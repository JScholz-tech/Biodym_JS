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88D22F98-710B-4B23-9EED-71E85EE4CC42}" xr6:coauthVersionLast="47" xr6:coauthVersionMax="47" xr10:uidLastSave="{00000000-0000-0000-0000-000000000000}"/>
  <bookViews>
    <workbookView xWindow="38235" yWindow="-16935" windowWidth="21930" windowHeight="38010" tabRatio="840" firstSheet="9" activeTab="13" xr2:uid="{00000000-000D-0000-FFFF-FFFF00000000}"/>
  </bookViews>
  <sheets>
    <sheet name="Version_CS0_07.07."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5_dynamic_tcs" sheetId="33" r:id="rId9"/>
    <sheet name="3_1_Definition_DSM" sheetId="35" r:id="rId10"/>
    <sheet name="2_4_Initial_Stock" sheetId="21" r:id="rId11"/>
    <sheet name="2_6_Stock_Outflow_TCs" sheetId="41" r:id="rId12"/>
    <sheet name="3_2_Definition_FOMP" sheetId="37" r:id="rId13"/>
    <sheet name="4_1_Uncertainty_Parameters" sheetId="38" r:id="rId14"/>
    <sheet name="3. TC_Data" sheetId="28" r:id="rId15"/>
    <sheet name="PX - Template" sheetId="27" r:id="rId16"/>
    <sheet name="4. Calculation_factors&gt;&gt;&gt;&gt;" sheetId="13" r:id="rId17"/>
    <sheet name="4. Codelists&gt;&gt;&gt;&gt;" sheetId="3" r:id="rId18"/>
    <sheet name="4_1 Codelists" sheetId="17" r:id="rId19"/>
    <sheet name="5. Wastefiles &gt;&gt;&gt;&gt;" sheetId="14" r:id="rId20"/>
  </sheets>
  <externalReferences>
    <externalReference r:id="rId21"/>
  </externalReferences>
  <definedNames>
    <definedName name="Baumart_">[1]!Baumart[Baumart]</definedName>
    <definedName name="Cluster_">[1]!Cluster[Cluster]</definedName>
    <definedName name="einheit">[1]!Tabelle14[Einheit]</definedName>
    <definedName name="Erhebungsart_">[1]!Erhebungsart[Erhebungsart]</definedName>
    <definedName name="Herkunft_">[1]!Herkunft[Herkunft]</definedName>
    <definedName name="Holzstrom_">[1]!Holzstrom[Holzstrom]</definedName>
    <definedName name="In_Out_">[1]!Tabelleinput[In/Out]</definedName>
    <definedName name="Inhaltsverzeichnis">"MTRANS(ERSETZEN(Inhalt;1;FINDEN(""]"";Inhalt);""))"</definedName>
    <definedName name="Klassifizierung">[1]!Tabelle9[Klassifizierung]</definedName>
    <definedName name="Ort_">[1]!Ort[Ort]</definedName>
    <definedName name="Tab_Process_TCs_dyn" localSheetId="8">Tab_Process_TCs2527[]</definedName>
    <definedName name="Tab_Process_TCs_dyn">#REF!</definedName>
    <definedName name="Ziel_">[1]!Ziel[Ziel]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21" l="1"/>
  <c r="D2" i="21"/>
  <c r="T2" i="21" s="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60" i="39"/>
  <c r="L61" i="39"/>
  <c r="L62" i="39"/>
  <c r="L63" i="39"/>
  <c r="L64" i="39"/>
  <c r="L2"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60" i="39"/>
  <c r="K61" i="39"/>
  <c r="K62" i="39"/>
  <c r="K63" i="39"/>
  <c r="K64" i="39"/>
  <c r="K2" i="39"/>
  <c r="I3" i="39"/>
  <c r="I4" i="3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I60" i="39"/>
  <c r="I61" i="39"/>
  <c r="I62" i="39"/>
  <c r="I63" i="39"/>
  <c r="I64"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60" i="39"/>
  <c r="J61" i="39"/>
  <c r="J62" i="39"/>
  <c r="J63" i="39"/>
  <c r="J64" i="39"/>
  <c r="J2" i="39"/>
  <c r="I2" i="39"/>
  <c r="H64" i="39"/>
  <c r="G64" i="39"/>
  <c r="F64" i="39"/>
  <c r="E64" i="39"/>
  <c r="C64" i="39"/>
  <c r="B64" i="39"/>
  <c r="H63" i="39"/>
  <c r="G63" i="39"/>
  <c r="F63" i="39"/>
  <c r="E63" i="39"/>
  <c r="C63" i="39"/>
  <c r="B63" i="39"/>
  <c r="H62" i="39"/>
  <c r="G62" i="39"/>
  <c r="F62" i="39"/>
  <c r="E62" i="39"/>
  <c r="C62" i="39"/>
  <c r="B62" i="39"/>
  <c r="H61" i="39"/>
  <c r="G61" i="39"/>
  <c r="F61" i="39"/>
  <c r="E61" i="39"/>
  <c r="C61" i="39"/>
  <c r="B61" i="39"/>
  <c r="H60" i="39"/>
  <c r="G60" i="39"/>
  <c r="F60" i="39"/>
  <c r="E60" i="39"/>
  <c r="C60" i="39"/>
  <c r="B60"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7" i="39"/>
  <c r="G7" i="39"/>
  <c r="F7" i="39"/>
  <c r="E7" i="39"/>
  <c r="C7" i="39"/>
  <c r="B7" i="39"/>
  <c r="H6" i="39"/>
  <c r="G6" i="39"/>
  <c r="F6" i="39"/>
  <c r="E6" i="39"/>
  <c r="C6" i="39"/>
  <c r="B6" i="39"/>
  <c r="H5" i="39"/>
  <c r="G5" i="39"/>
  <c r="F5" i="39"/>
  <c r="E5" i="39"/>
  <c r="C5" i="39"/>
  <c r="B5" i="39"/>
  <c r="H4" i="39"/>
  <c r="G4" i="39"/>
  <c r="F4" i="39"/>
  <c r="E4" i="39"/>
  <c r="C4" i="39"/>
  <c r="B4" i="39"/>
  <c r="H3" i="39"/>
  <c r="G3" i="39"/>
  <c r="F3" i="39"/>
  <c r="E3" i="39"/>
  <c r="C3" i="39"/>
  <c r="B3" i="39"/>
  <c r="H2" i="39"/>
  <c r="G2" i="39"/>
  <c r="F2" i="39"/>
  <c r="F2" i="33" s="1"/>
  <c r="E2" i="39"/>
  <c r="C2" i="39"/>
  <c r="C2" i="33" s="1"/>
  <c r="B2" i="39"/>
  <c r="K47" i="37"/>
  <c r="J47" i="37"/>
  <c r="I47" i="37"/>
  <c r="H47" i="37"/>
  <c r="G47" i="37"/>
  <c r="F47" i="37"/>
  <c r="E47" i="37"/>
  <c r="C47" i="37"/>
  <c r="B47" i="37"/>
  <c r="K46" i="37"/>
  <c r="J46" i="37"/>
  <c r="I46" i="37"/>
  <c r="H46" i="37"/>
  <c r="G46" i="37"/>
  <c r="F46" i="37"/>
  <c r="E46" i="37"/>
  <c r="C46" i="37"/>
  <c r="B46" i="37"/>
  <c r="K45" i="37"/>
  <c r="J45" i="37"/>
  <c r="I45" i="37"/>
  <c r="H45" i="37"/>
  <c r="G45" i="37"/>
  <c r="F45" i="37"/>
  <c r="E45" i="37"/>
  <c r="C45" i="37"/>
  <c r="B45" i="37"/>
  <c r="K44" i="37"/>
  <c r="J44" i="37"/>
  <c r="I44" i="37"/>
  <c r="H44" i="37"/>
  <c r="G44" i="37"/>
  <c r="F44" i="37"/>
  <c r="E44" i="37"/>
  <c r="C44" i="37"/>
  <c r="B44" i="37"/>
  <c r="K43" i="37"/>
  <c r="J43" i="37"/>
  <c r="I43" i="37"/>
  <c r="H43" i="37"/>
  <c r="G43" i="37"/>
  <c r="F43" i="37"/>
  <c r="E43" i="37"/>
  <c r="C43" i="37"/>
  <c r="B43" i="37"/>
  <c r="K42" i="37"/>
  <c r="J42" i="37"/>
  <c r="I42" i="37"/>
  <c r="H42" i="37"/>
  <c r="G42" i="37"/>
  <c r="F42" i="37"/>
  <c r="E42" i="37"/>
  <c r="C42" i="37"/>
  <c r="B42" i="37"/>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C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8" i="16"/>
  <c r="C3" i="35" s="1"/>
  <c r="C9" i="16"/>
  <c r="C6" i="35" s="1"/>
  <c r="C10" i="16"/>
  <c r="C5"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13" i="15"/>
  <c r="U12" i="15"/>
  <c r="U11" i="15"/>
  <c r="U10" i="15"/>
  <c r="U9" i="15"/>
  <c r="U8" i="15"/>
  <c r="U7" i="15"/>
  <c r="U4" i="15"/>
  <c r="U2" i="15"/>
  <c r="U3" i="15"/>
  <c r="U5" i="15"/>
  <c r="U6" i="15"/>
  <c r="B2" i="15"/>
  <c r="U33" i="15"/>
  <c r="U32" i="15"/>
  <c r="G2" i="33" l="1"/>
  <c r="C15" i="33"/>
  <c r="F15" i="33"/>
  <c r="G15" i="33"/>
  <c r="F32" i="33"/>
  <c r="F44" i="33"/>
  <c r="F56" i="33"/>
  <c r="F68" i="33"/>
  <c r="F80" i="33"/>
  <c r="F92" i="33"/>
  <c r="F104" i="33"/>
  <c r="F116" i="33"/>
  <c r="F128" i="33"/>
  <c r="F140" i="33"/>
  <c r="F45" i="33"/>
  <c r="F81" i="33"/>
  <c r="F117" i="33"/>
  <c r="F34" i="33"/>
  <c r="F46" i="33"/>
  <c r="F58" i="33"/>
  <c r="F70" i="33"/>
  <c r="F82" i="33"/>
  <c r="F94" i="33"/>
  <c r="F106" i="33"/>
  <c r="F118" i="33"/>
  <c r="F130" i="33"/>
  <c r="F142"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0" i="33"/>
  <c r="F42" i="33"/>
  <c r="F54" i="33"/>
  <c r="F66" i="33"/>
  <c r="F78" i="33"/>
  <c r="F90" i="33"/>
  <c r="F102" i="33"/>
  <c r="F114" i="33"/>
  <c r="F126" i="33"/>
  <c r="F138" i="33"/>
  <c r="F150" i="33"/>
  <c r="F31" i="33"/>
  <c r="F43" i="33"/>
  <c r="F55" i="33"/>
  <c r="F67" i="33"/>
  <c r="F79" i="33"/>
  <c r="F91" i="33"/>
  <c r="F103" i="33"/>
  <c r="F115" i="33"/>
  <c r="F127" i="33"/>
  <c r="F139" i="33"/>
  <c r="F151" i="33"/>
  <c r="F33" i="33"/>
  <c r="F57" i="33"/>
  <c r="F69" i="33"/>
  <c r="F93" i="33"/>
  <c r="F105" i="33"/>
  <c r="F129" i="33"/>
  <c r="F141" i="33"/>
  <c r="G3" i="33"/>
  <c r="G4" i="33"/>
  <c r="G5" i="33"/>
  <c r="G6" i="33"/>
  <c r="G7" i="33"/>
  <c r="G8" i="33"/>
  <c r="G9" i="33"/>
  <c r="G10" i="33"/>
  <c r="G11" i="33"/>
  <c r="G12" i="33"/>
  <c r="G16" i="33"/>
  <c r="G17" i="33"/>
  <c r="G18" i="33"/>
  <c r="G19" i="33"/>
  <c r="C31" i="33"/>
  <c r="C67" i="33"/>
  <c r="C91" i="33"/>
  <c r="C127" i="33"/>
  <c r="C32" i="33"/>
  <c r="C68" i="33"/>
  <c r="C104" i="33"/>
  <c r="C140" i="33"/>
  <c r="C33" i="33"/>
  <c r="C45" i="33"/>
  <c r="C57" i="33"/>
  <c r="C69" i="33"/>
  <c r="C81" i="33"/>
  <c r="C93" i="33"/>
  <c r="C105" i="33"/>
  <c r="C117" i="33"/>
  <c r="C129" i="33"/>
  <c r="C141" i="33"/>
  <c r="C96" i="33"/>
  <c r="C34" i="33"/>
  <c r="C46" i="33"/>
  <c r="C58" i="33"/>
  <c r="C70" i="33"/>
  <c r="C82" i="33"/>
  <c r="C94" i="33"/>
  <c r="C106" i="33"/>
  <c r="C118" i="33"/>
  <c r="C130" i="33"/>
  <c r="C142" i="33"/>
  <c r="C48" i="33"/>
  <c r="C145" i="33"/>
  <c r="C35" i="33"/>
  <c r="C47" i="33"/>
  <c r="C59" i="33"/>
  <c r="C71" i="33"/>
  <c r="C83" i="33"/>
  <c r="C95" i="33"/>
  <c r="C107" i="33"/>
  <c r="C119" i="33"/>
  <c r="C131" i="33"/>
  <c r="C143" i="33"/>
  <c r="C84" i="33"/>
  <c r="C120" i="33"/>
  <c r="C144" i="33"/>
  <c r="C24" i="33"/>
  <c r="C36" i="33"/>
  <c r="C60" i="33"/>
  <c r="C72" i="33"/>
  <c r="C108" i="33"/>
  <c r="C132" i="33"/>
  <c r="C25" i="33"/>
  <c r="C37" i="33"/>
  <c r="C49" i="33"/>
  <c r="C61" i="33"/>
  <c r="C73" i="33"/>
  <c r="C85" i="33"/>
  <c r="C97" i="33"/>
  <c r="C109" i="33"/>
  <c r="C121" i="33"/>
  <c r="C133"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29" i="33"/>
  <c r="C41" i="33"/>
  <c r="C53" i="33"/>
  <c r="C65" i="33"/>
  <c r="C77" i="33"/>
  <c r="C89" i="33"/>
  <c r="C101" i="33"/>
  <c r="C113" i="33"/>
  <c r="C125" i="33"/>
  <c r="C137" i="33"/>
  <c r="C149" i="33"/>
  <c r="C30" i="33"/>
  <c r="C42" i="33"/>
  <c r="C54" i="33"/>
  <c r="C66" i="33"/>
  <c r="C78" i="33"/>
  <c r="C90" i="33"/>
  <c r="C102" i="33"/>
  <c r="C114" i="33"/>
  <c r="C126" i="33"/>
  <c r="C138" i="33"/>
  <c r="C150" i="33"/>
  <c r="C43" i="33"/>
  <c r="C55" i="33"/>
  <c r="C79" i="33"/>
  <c r="C103" i="33"/>
  <c r="C115" i="33"/>
  <c r="C139" i="33"/>
  <c r="C151" i="33"/>
  <c r="C44" i="33"/>
  <c r="C56" i="33"/>
  <c r="C80" i="33"/>
  <c r="C92" i="33"/>
  <c r="C116" i="33"/>
  <c r="C128" i="33"/>
  <c r="G32" i="33"/>
  <c r="G44" i="33"/>
  <c r="G56" i="33"/>
  <c r="G68" i="33"/>
  <c r="G80" i="33"/>
  <c r="G92" i="33"/>
  <c r="G104" i="33"/>
  <c r="G116" i="33"/>
  <c r="G128" i="33"/>
  <c r="G140" i="33"/>
  <c r="G33" i="33"/>
  <c r="G141" i="33"/>
  <c r="G34" i="33"/>
  <c r="G46" i="33"/>
  <c r="G58" i="33"/>
  <c r="G70" i="33"/>
  <c r="G82" i="33"/>
  <c r="G94" i="33"/>
  <c r="G106" i="33"/>
  <c r="G118" i="33"/>
  <c r="G130" i="33"/>
  <c r="G142"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30" i="33"/>
  <c r="G42" i="33"/>
  <c r="G54" i="33"/>
  <c r="G66" i="33"/>
  <c r="G78" i="33"/>
  <c r="G90" i="33"/>
  <c r="G102" i="33"/>
  <c r="G114" i="33"/>
  <c r="G126" i="33"/>
  <c r="G138" i="33"/>
  <c r="G150" i="33"/>
  <c r="G31" i="33"/>
  <c r="G43" i="33"/>
  <c r="G55" i="33"/>
  <c r="G67" i="33"/>
  <c r="G79" i="33"/>
  <c r="G91" i="33"/>
  <c r="G103" i="33"/>
  <c r="G115" i="33"/>
  <c r="G127" i="33"/>
  <c r="G139" i="33"/>
  <c r="G151" i="33"/>
  <c r="G45" i="33"/>
  <c r="G57" i="33"/>
  <c r="G69" i="33"/>
  <c r="G81" i="33"/>
  <c r="G93" i="33"/>
  <c r="G105" i="33"/>
  <c r="G117" i="33"/>
  <c r="G129" i="33"/>
  <c r="C3" i="33"/>
  <c r="C4" i="33"/>
  <c r="C5" i="33"/>
  <c r="C6" i="33"/>
  <c r="C7" i="33"/>
  <c r="C8" i="33"/>
  <c r="C9" i="33"/>
  <c r="C10" i="33"/>
  <c r="C11" i="33"/>
  <c r="C12" i="33"/>
  <c r="C17" i="33"/>
  <c r="C16" i="33"/>
  <c r="C18" i="33"/>
  <c r="C19" i="33"/>
  <c r="F4" i="33"/>
  <c r="F5" i="33"/>
  <c r="F6" i="33"/>
  <c r="F7" i="33"/>
  <c r="F8" i="33"/>
  <c r="F9" i="33"/>
  <c r="F10" i="33"/>
  <c r="F3" i="33"/>
  <c r="F11" i="33"/>
  <c r="F12" i="33"/>
  <c r="F16" i="33"/>
  <c r="F17" i="33"/>
  <c r="F18" i="33"/>
  <c r="F19" i="33"/>
  <c r="G13" i="33"/>
  <c r="G14" i="33"/>
  <c r="G20" i="33"/>
  <c r="G21" i="33"/>
  <c r="G23" i="33"/>
  <c r="G22" i="33"/>
  <c r="C13" i="33"/>
  <c r="C14" i="33"/>
  <c r="C20" i="33"/>
  <c r="C21" i="33"/>
  <c r="C22" i="33"/>
  <c r="C23" i="33"/>
  <c r="F13" i="33"/>
  <c r="F22" i="33"/>
  <c r="F20" i="33"/>
  <c r="F23" i="33"/>
  <c r="F14" i="33"/>
  <c r="F21" i="33"/>
  <c r="C8" i="35"/>
  <c r="C7" i="35"/>
  <c r="C4" i="37"/>
  <c r="C3" i="37"/>
  <c r="C4" i="35"/>
  <c r="C2" i="35"/>
  <c r="C5" i="35"/>
  <c r="C2" i="37"/>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147" i="33"/>
  <c r="M147" i="33"/>
  <c r="P147" i="33"/>
  <c r="S147" i="33"/>
  <c r="V147" i="33"/>
  <c r="Y147" i="33"/>
  <c r="AB147" i="33"/>
  <c r="BG147" i="33"/>
  <c r="B148" i="33"/>
  <c r="M148" i="33"/>
  <c r="P148" i="33"/>
  <c r="S148" i="33"/>
  <c r="V148" i="33"/>
  <c r="Y148" i="33"/>
  <c r="AB148" i="33"/>
  <c r="BG148" i="33"/>
  <c r="B8" i="33"/>
  <c r="M8" i="33"/>
  <c r="P8" i="33"/>
  <c r="S8" i="33"/>
  <c r="V8" i="33"/>
  <c r="Y8" i="33"/>
  <c r="AB8" i="33"/>
  <c r="BG8" i="33"/>
  <c r="B5" i="33"/>
  <c r="M5" i="33"/>
  <c r="P5" i="33"/>
  <c r="S5" i="33"/>
  <c r="V5" i="33"/>
  <c r="Y5" i="33"/>
  <c r="AB5" i="33"/>
  <c r="BG5" i="33"/>
  <c r="B6" i="33"/>
  <c r="M6" i="33"/>
  <c r="P6" i="33"/>
  <c r="S6" i="33"/>
  <c r="V6" i="33"/>
  <c r="Y6" i="33"/>
  <c r="AB6" i="33"/>
  <c r="BG6" i="33"/>
  <c r="B149" i="33"/>
  <c r="M149" i="33"/>
  <c r="P149" i="33"/>
  <c r="S149" i="33"/>
  <c r="V149" i="33"/>
  <c r="Y149" i="33"/>
  <c r="AB149" i="33"/>
  <c r="BG149" i="33"/>
  <c r="B150" i="33"/>
  <c r="M150" i="33"/>
  <c r="P150" i="33"/>
  <c r="S150" i="33"/>
  <c r="V150" i="33"/>
  <c r="Y150" i="33"/>
  <c r="AB150" i="33"/>
  <c r="BG150" i="33"/>
  <c r="B151" i="33"/>
  <c r="M151" i="33"/>
  <c r="P151" i="33"/>
  <c r="S151" i="33"/>
  <c r="V151" i="33"/>
  <c r="Y151" i="33"/>
  <c r="AB151" i="33"/>
  <c r="BG151" i="33"/>
  <c r="B2" i="33"/>
  <c r="M2" i="33"/>
  <c r="P2" i="33"/>
  <c r="S2" i="33"/>
  <c r="V2" i="33"/>
  <c r="Y2" i="33"/>
  <c r="AB2" i="33"/>
  <c r="BG2" i="33"/>
  <c r="B3" i="33"/>
  <c r="M3" i="33"/>
  <c r="P3" i="33"/>
  <c r="S3" i="33"/>
  <c r="V3" i="33"/>
  <c r="Y3" i="33"/>
  <c r="AB3" i="33"/>
  <c r="BG3" i="33"/>
  <c r="B4" i="33"/>
  <c r="M4" i="33"/>
  <c r="P4" i="33"/>
  <c r="S4" i="33"/>
  <c r="V4" i="33"/>
  <c r="Y4" i="33"/>
  <c r="AB4" i="33"/>
  <c r="BG4" i="33"/>
  <c r="B7" i="33"/>
  <c r="M7" i="33"/>
  <c r="P7" i="33"/>
  <c r="S7" i="33"/>
  <c r="V7" i="33"/>
  <c r="Y7" i="33"/>
  <c r="AB7" i="33"/>
  <c r="BG7"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M23" i="33"/>
  <c r="P23" i="33"/>
  <c r="S23" i="33"/>
  <c r="V23" i="33"/>
  <c r="Y23" i="33"/>
  <c r="AB23" i="33"/>
  <c r="BG23" i="33"/>
  <c r="B24" i="33"/>
  <c r="M24" i="33"/>
  <c r="P24" i="33"/>
  <c r="S24" i="33"/>
  <c r="V24" i="33"/>
  <c r="Y24" i="33"/>
  <c r="AB24" i="33"/>
  <c r="BG24" i="33"/>
  <c r="B25" i="33"/>
  <c r="H25" i="33"/>
  <c r="AE25" i="33" s="1"/>
  <c r="I25" i="33"/>
  <c r="M25" i="33"/>
  <c r="N25" i="33"/>
  <c r="P25" i="33"/>
  <c r="Q25" i="33"/>
  <c r="S25" i="33"/>
  <c r="T25" i="33"/>
  <c r="V25" i="33"/>
  <c r="W25" i="33"/>
  <c r="Y25" i="33"/>
  <c r="Z25" i="33"/>
  <c r="AB25" i="33"/>
  <c r="BG25" i="33"/>
  <c r="B26" i="33"/>
  <c r="H26" i="33"/>
  <c r="AE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Y28" i="33" s="1"/>
  <c r="I28" i="33"/>
  <c r="M28" i="33"/>
  <c r="N28" i="33"/>
  <c r="P28" i="33"/>
  <c r="Q28" i="33"/>
  <c r="S28" i="33"/>
  <c r="T28" i="33"/>
  <c r="V28" i="33"/>
  <c r="W28" i="33"/>
  <c r="Y28" i="33"/>
  <c r="Z28" i="33"/>
  <c r="AB28" i="33"/>
  <c r="BG28" i="33"/>
  <c r="B29" i="33"/>
  <c r="H29" i="33"/>
  <c r="AE29" i="33" s="1"/>
  <c r="I29" i="33"/>
  <c r="M29" i="33"/>
  <c r="N29" i="33"/>
  <c r="P29" i="33"/>
  <c r="Q29" i="33"/>
  <c r="S29" i="33"/>
  <c r="T29" i="33"/>
  <c r="V29" i="33"/>
  <c r="W29" i="33"/>
  <c r="Y29" i="33"/>
  <c r="Z29" i="33"/>
  <c r="AB29" i="33"/>
  <c r="BG29" i="33"/>
  <c r="B30" i="33"/>
  <c r="H30" i="33"/>
  <c r="AJ30" i="33" s="1"/>
  <c r="I30" i="33"/>
  <c r="M30" i="33"/>
  <c r="N30" i="33"/>
  <c r="P30" i="33"/>
  <c r="Q30" i="33"/>
  <c r="S30" i="33"/>
  <c r="T30" i="33"/>
  <c r="V30" i="33"/>
  <c r="W30" i="33"/>
  <c r="Y30" i="33"/>
  <c r="Z30" i="33"/>
  <c r="AB30" i="33"/>
  <c r="BG30" i="33"/>
  <c r="B31" i="33"/>
  <c r="H31" i="33"/>
  <c r="AT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AE33" i="33" s="1"/>
  <c r="I33" i="33"/>
  <c r="M33" i="33"/>
  <c r="N33" i="33"/>
  <c r="P33" i="33"/>
  <c r="Q33" i="33"/>
  <c r="S33" i="33"/>
  <c r="T33" i="33"/>
  <c r="V33" i="33"/>
  <c r="W33" i="33"/>
  <c r="Y33" i="33"/>
  <c r="Z33" i="33"/>
  <c r="AB33" i="33"/>
  <c r="BG33" i="33"/>
  <c r="B34" i="33"/>
  <c r="H34" i="33"/>
  <c r="BD34" i="33" s="1"/>
  <c r="I34" i="33"/>
  <c r="M34" i="33"/>
  <c r="N34" i="33"/>
  <c r="P34" i="33"/>
  <c r="Q34" i="33"/>
  <c r="S34" i="33"/>
  <c r="T34" i="33"/>
  <c r="V34" i="33"/>
  <c r="W34" i="33"/>
  <c r="Y34" i="33"/>
  <c r="Z34" i="33"/>
  <c r="AB34" i="33"/>
  <c r="BG34" i="33"/>
  <c r="B35" i="33"/>
  <c r="H35" i="33"/>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AJ37" i="33" s="1"/>
  <c r="I37" i="33"/>
  <c r="M37" i="33"/>
  <c r="N37" i="33"/>
  <c r="P37" i="33"/>
  <c r="Q37" i="33"/>
  <c r="S37" i="33"/>
  <c r="T37" i="33"/>
  <c r="V37" i="33"/>
  <c r="W37" i="33"/>
  <c r="Y37" i="33"/>
  <c r="Z37" i="33"/>
  <c r="AB37" i="33"/>
  <c r="BG37" i="33"/>
  <c r="B38" i="33"/>
  <c r="H38" i="33"/>
  <c r="AE38" i="33" s="1"/>
  <c r="I38" i="33"/>
  <c r="M38" i="33"/>
  <c r="N38" i="33"/>
  <c r="P38" i="33"/>
  <c r="Q38" i="33"/>
  <c r="S38" i="33"/>
  <c r="T38" i="33"/>
  <c r="V38" i="33"/>
  <c r="W38" i="33"/>
  <c r="Y38" i="33"/>
  <c r="Z38" i="33"/>
  <c r="AB38" i="33"/>
  <c r="BG38" i="33"/>
  <c r="B39" i="33"/>
  <c r="H39" i="33"/>
  <c r="BD39" i="33" s="1"/>
  <c r="I39" i="33"/>
  <c r="M39" i="33"/>
  <c r="N39" i="33"/>
  <c r="P39" i="33"/>
  <c r="Q39" i="33"/>
  <c r="S39" i="33"/>
  <c r="T39" i="33"/>
  <c r="V39" i="33"/>
  <c r="W39" i="33"/>
  <c r="Y39" i="33"/>
  <c r="Z39" i="33"/>
  <c r="AB39" i="33"/>
  <c r="BG39" i="33"/>
  <c r="B40" i="33"/>
  <c r="H40" i="33"/>
  <c r="AY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E43" i="33" s="1"/>
  <c r="I43" i="33"/>
  <c r="M43" i="33"/>
  <c r="N43" i="33"/>
  <c r="P43" i="33"/>
  <c r="Q43" i="33"/>
  <c r="S43" i="33"/>
  <c r="T43" i="33"/>
  <c r="V43" i="33"/>
  <c r="W43" i="33"/>
  <c r="Y43" i="33"/>
  <c r="Z43" i="33"/>
  <c r="AB43" i="33"/>
  <c r="BG43" i="33"/>
  <c r="B44" i="33"/>
  <c r="H44" i="33"/>
  <c r="AJ44" i="33" s="1"/>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I48" i="33"/>
  <c r="M48" i="33"/>
  <c r="N48" i="33"/>
  <c r="P48" i="33"/>
  <c r="Q48" i="33"/>
  <c r="S48" i="33"/>
  <c r="T48" i="33"/>
  <c r="V48" i="33"/>
  <c r="W48" i="33"/>
  <c r="Y48" i="33"/>
  <c r="Z48" i="33"/>
  <c r="AB48" i="33"/>
  <c r="BG48" i="33"/>
  <c r="B49" i="33"/>
  <c r="H49" i="33"/>
  <c r="AJ49" i="33" s="1"/>
  <c r="I49" i="33"/>
  <c r="M49" i="33"/>
  <c r="N49" i="33"/>
  <c r="P49" i="33"/>
  <c r="Q49" i="33"/>
  <c r="S49" i="33"/>
  <c r="T49" i="33"/>
  <c r="V49" i="33"/>
  <c r="W49" i="33"/>
  <c r="Y49" i="33"/>
  <c r="Z49" i="33"/>
  <c r="AB49" i="33"/>
  <c r="BG49" i="33"/>
  <c r="B50" i="33"/>
  <c r="H50" i="33"/>
  <c r="AO50" i="33" s="1"/>
  <c r="I50" i="33"/>
  <c r="M50" i="33"/>
  <c r="N50" i="33"/>
  <c r="P50" i="33"/>
  <c r="Q50" i="33"/>
  <c r="S50" i="33"/>
  <c r="T50" i="33"/>
  <c r="V50" i="33"/>
  <c r="W50" i="33"/>
  <c r="Y50" i="33"/>
  <c r="Z50" i="33"/>
  <c r="AB50" i="33"/>
  <c r="BG50" i="33"/>
  <c r="B51" i="33"/>
  <c r="H51" i="33"/>
  <c r="AE51" i="33" s="1"/>
  <c r="I51" i="33"/>
  <c r="M51" i="33"/>
  <c r="N51" i="33"/>
  <c r="P51" i="33"/>
  <c r="Q51" i="33"/>
  <c r="S51" i="33"/>
  <c r="T51" i="33"/>
  <c r="V51" i="33"/>
  <c r="W51" i="33"/>
  <c r="Y51" i="33"/>
  <c r="Z51" i="33"/>
  <c r="AB51" i="33"/>
  <c r="BG51" i="33"/>
  <c r="B52" i="33"/>
  <c r="H52" i="33"/>
  <c r="AJ52" i="33" s="1"/>
  <c r="I52" i="33"/>
  <c r="M52" i="33"/>
  <c r="N52" i="33"/>
  <c r="P52" i="33"/>
  <c r="Q52" i="33"/>
  <c r="S52" i="33"/>
  <c r="T52" i="33"/>
  <c r="V52" i="33"/>
  <c r="W52" i="33"/>
  <c r="Y52" i="33"/>
  <c r="Z52" i="33"/>
  <c r="AB52" i="33"/>
  <c r="BG52" i="33"/>
  <c r="B53" i="33"/>
  <c r="H53" i="33"/>
  <c r="AO53" i="33" s="1"/>
  <c r="I53" i="33"/>
  <c r="M53" i="33"/>
  <c r="N53" i="33"/>
  <c r="P53" i="33"/>
  <c r="Q53" i="33"/>
  <c r="S53" i="33"/>
  <c r="T53" i="33"/>
  <c r="V53" i="33"/>
  <c r="W53" i="33"/>
  <c r="Y53" i="33"/>
  <c r="Z53" i="33"/>
  <c r="AB53" i="33"/>
  <c r="BG53" i="33"/>
  <c r="B54" i="33"/>
  <c r="H54" i="33"/>
  <c r="BD54" i="33" s="1"/>
  <c r="I54" i="33"/>
  <c r="M54" i="33"/>
  <c r="N54" i="33"/>
  <c r="P54" i="33"/>
  <c r="Q54" i="33"/>
  <c r="S54" i="33"/>
  <c r="T54" i="33"/>
  <c r="V54" i="33"/>
  <c r="W54" i="33"/>
  <c r="Y54" i="33"/>
  <c r="Z54" i="33"/>
  <c r="AB54" i="33"/>
  <c r="BG54" i="33"/>
  <c r="B55" i="33"/>
  <c r="H55" i="33"/>
  <c r="AE55" i="33" s="1"/>
  <c r="I55" i="33"/>
  <c r="M55" i="33"/>
  <c r="N55" i="33"/>
  <c r="P55" i="33"/>
  <c r="Q55" i="33"/>
  <c r="S55" i="33"/>
  <c r="T55" i="33"/>
  <c r="V55" i="33"/>
  <c r="W55" i="33"/>
  <c r="Y55" i="33"/>
  <c r="Z55" i="33"/>
  <c r="AB55" i="33"/>
  <c r="BG55" i="33"/>
  <c r="B56" i="33"/>
  <c r="H56" i="33"/>
  <c r="AO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AE58" i="33" s="1"/>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I60" i="33"/>
  <c r="M60" i="33"/>
  <c r="N60" i="33"/>
  <c r="P60" i="33"/>
  <c r="Q60" i="33"/>
  <c r="S60" i="33"/>
  <c r="T60" i="33"/>
  <c r="V60" i="33"/>
  <c r="W60" i="33"/>
  <c r="Y60" i="33"/>
  <c r="Z60" i="33"/>
  <c r="AB60" i="33"/>
  <c r="BG60" i="33"/>
  <c r="B61" i="33"/>
  <c r="H61" i="33"/>
  <c r="AJ61" i="33" s="1"/>
  <c r="I61" i="33"/>
  <c r="M61" i="33"/>
  <c r="N61" i="33"/>
  <c r="P61" i="33"/>
  <c r="Q61" i="33"/>
  <c r="S61" i="33"/>
  <c r="T61" i="33"/>
  <c r="V61" i="33"/>
  <c r="W61" i="33"/>
  <c r="Y61" i="33"/>
  <c r="Z61" i="33"/>
  <c r="AB61" i="33"/>
  <c r="BG61" i="33"/>
  <c r="B62" i="33"/>
  <c r="H62" i="33"/>
  <c r="BD62" i="33" s="1"/>
  <c r="I62" i="33"/>
  <c r="M62" i="33"/>
  <c r="N62" i="33"/>
  <c r="P62" i="33"/>
  <c r="Q62" i="33"/>
  <c r="S62" i="33"/>
  <c r="T62" i="33"/>
  <c r="V62" i="33"/>
  <c r="W62" i="33"/>
  <c r="Y62" i="33"/>
  <c r="Z62" i="33"/>
  <c r="AB62" i="33"/>
  <c r="BG62" i="33"/>
  <c r="B63" i="33"/>
  <c r="H63" i="33"/>
  <c r="AE63" i="33" s="1"/>
  <c r="I63" i="33"/>
  <c r="M63" i="33"/>
  <c r="N63" i="33"/>
  <c r="P63" i="33"/>
  <c r="Q63" i="33"/>
  <c r="S63" i="33"/>
  <c r="T63" i="33"/>
  <c r="V63" i="33"/>
  <c r="W63" i="33"/>
  <c r="Y63" i="33"/>
  <c r="Z63" i="33"/>
  <c r="AB63" i="33"/>
  <c r="AG63" i="33"/>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G86" i="33" s="1"/>
  <c r="AG87" i="33" s="1"/>
  <c r="AL63" i="33"/>
  <c r="B64" i="33"/>
  <c r="H64" i="33"/>
  <c r="AY64" i="33" s="1"/>
  <c r="I64" i="33"/>
  <c r="M64" i="33"/>
  <c r="N64" i="33"/>
  <c r="P64" i="33"/>
  <c r="Q64" i="33"/>
  <c r="S64" i="33"/>
  <c r="T64" i="33"/>
  <c r="V64" i="33"/>
  <c r="W64" i="33"/>
  <c r="Y64" i="33"/>
  <c r="Z64" i="33"/>
  <c r="AB64" i="33"/>
  <c r="B65" i="33"/>
  <c r="H65" i="33"/>
  <c r="AE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O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J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Y72" i="33" s="1"/>
  <c r="I72" i="33"/>
  <c r="M72" i="33"/>
  <c r="N72" i="33"/>
  <c r="P72" i="33"/>
  <c r="Q72" i="33"/>
  <c r="S72" i="33"/>
  <c r="T72" i="33"/>
  <c r="V72" i="33"/>
  <c r="W72" i="33"/>
  <c r="Y72" i="33"/>
  <c r="Z72" i="33"/>
  <c r="AB72" i="33"/>
  <c r="B73" i="33"/>
  <c r="H73" i="33"/>
  <c r="AY73" i="33" s="1"/>
  <c r="I73" i="33"/>
  <c r="M73" i="33"/>
  <c r="N73" i="33"/>
  <c r="P73" i="33"/>
  <c r="Q73" i="33"/>
  <c r="S73" i="33"/>
  <c r="T73" i="33"/>
  <c r="V73" i="33"/>
  <c r="W73" i="33"/>
  <c r="Y73" i="33"/>
  <c r="Z73" i="33"/>
  <c r="AB73" i="33"/>
  <c r="B74" i="33"/>
  <c r="H74" i="33"/>
  <c r="AE74" i="33" s="1"/>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I76" i="33"/>
  <c r="M76" i="33"/>
  <c r="N76" i="33"/>
  <c r="P76" i="33"/>
  <c r="Q76" i="33"/>
  <c r="S76" i="33"/>
  <c r="T76" i="33"/>
  <c r="V76" i="33"/>
  <c r="W76" i="33"/>
  <c r="Y76" i="33"/>
  <c r="Z76" i="33"/>
  <c r="AB76" i="33"/>
  <c r="B77" i="33"/>
  <c r="H77" i="33"/>
  <c r="BD77" i="33" s="1"/>
  <c r="I77" i="33"/>
  <c r="M77" i="33"/>
  <c r="N77" i="33"/>
  <c r="P77" i="33"/>
  <c r="Q77" i="33"/>
  <c r="S77" i="33"/>
  <c r="T77" i="33"/>
  <c r="V77" i="33"/>
  <c r="W77" i="33"/>
  <c r="Y77" i="33"/>
  <c r="Z77" i="33"/>
  <c r="AB77" i="33"/>
  <c r="B78" i="33"/>
  <c r="H78" i="33"/>
  <c r="AE78" i="33" s="1"/>
  <c r="I78" i="33"/>
  <c r="M78" i="33"/>
  <c r="N78" i="33"/>
  <c r="P78" i="33"/>
  <c r="Q78" i="33"/>
  <c r="S78" i="33"/>
  <c r="T78" i="33"/>
  <c r="V78" i="33"/>
  <c r="W78" i="33"/>
  <c r="Y78" i="33"/>
  <c r="Z78" i="33"/>
  <c r="AB78" i="33"/>
  <c r="B79" i="33"/>
  <c r="H79" i="33"/>
  <c r="AY79" i="33" s="1"/>
  <c r="I79" i="33"/>
  <c r="M79" i="33"/>
  <c r="N79" i="33"/>
  <c r="P79" i="33"/>
  <c r="Q79" i="33"/>
  <c r="S79" i="33"/>
  <c r="T79" i="33"/>
  <c r="V79" i="33"/>
  <c r="W79" i="33"/>
  <c r="Y79" i="33"/>
  <c r="Z79" i="33"/>
  <c r="AB79" i="33"/>
  <c r="B80" i="33"/>
  <c r="H80" i="33"/>
  <c r="AT80" i="33" s="1"/>
  <c r="I80" i="33"/>
  <c r="M80" i="33"/>
  <c r="N80" i="33"/>
  <c r="P80" i="33"/>
  <c r="Q80" i="33"/>
  <c r="S80" i="33"/>
  <c r="T80" i="33"/>
  <c r="V80" i="33"/>
  <c r="W80" i="33"/>
  <c r="Y80" i="33"/>
  <c r="Z80" i="33"/>
  <c r="AB80" i="33"/>
  <c r="B81" i="33"/>
  <c r="H81" i="33"/>
  <c r="AE81" i="33" s="1"/>
  <c r="I81" i="33"/>
  <c r="M81" i="33"/>
  <c r="N81" i="33"/>
  <c r="P81" i="33"/>
  <c r="Q81" i="33"/>
  <c r="S81" i="33"/>
  <c r="T81" i="33"/>
  <c r="V81" i="33"/>
  <c r="W81" i="33"/>
  <c r="Y81" i="33"/>
  <c r="Z81" i="33"/>
  <c r="AB81" i="33"/>
  <c r="B82" i="33"/>
  <c r="H82" i="33"/>
  <c r="AE82" i="33" s="1"/>
  <c r="I82" i="33"/>
  <c r="M82" i="33"/>
  <c r="N82" i="33"/>
  <c r="P82" i="33"/>
  <c r="Q82" i="33"/>
  <c r="S82" i="33"/>
  <c r="T82" i="33"/>
  <c r="V82" i="33"/>
  <c r="W82" i="33"/>
  <c r="Y82" i="33"/>
  <c r="Z82" i="33"/>
  <c r="AB82" i="33"/>
  <c r="B83" i="33"/>
  <c r="H83" i="33"/>
  <c r="AO83" i="33" s="1"/>
  <c r="I83" i="33"/>
  <c r="M83" i="33"/>
  <c r="N83" i="33"/>
  <c r="P83" i="33"/>
  <c r="Q83" i="33"/>
  <c r="S83" i="33"/>
  <c r="T83" i="33"/>
  <c r="V83" i="33"/>
  <c r="W83" i="33"/>
  <c r="Y83" i="33"/>
  <c r="Z83" i="33"/>
  <c r="AB83" i="33"/>
  <c r="B84" i="33"/>
  <c r="H84" i="33"/>
  <c r="AY84" i="33" s="1"/>
  <c r="I84" i="33"/>
  <c r="M84" i="33"/>
  <c r="N84" i="33"/>
  <c r="P84" i="33"/>
  <c r="Q84" i="33"/>
  <c r="S84" i="33"/>
  <c r="T84" i="33"/>
  <c r="V84" i="33"/>
  <c r="W84" i="33"/>
  <c r="Y84" i="33"/>
  <c r="Z84" i="33"/>
  <c r="AB84" i="33"/>
  <c r="B85" i="33"/>
  <c r="H85" i="33"/>
  <c r="AT85" i="33" s="1"/>
  <c r="I85" i="33"/>
  <c r="M85" i="33"/>
  <c r="N85" i="33"/>
  <c r="P85" i="33"/>
  <c r="Q85" i="33"/>
  <c r="S85" i="33"/>
  <c r="T85" i="33"/>
  <c r="V85" i="33"/>
  <c r="W85" i="33"/>
  <c r="Y85" i="33"/>
  <c r="Z85" i="33"/>
  <c r="AB85" i="33"/>
  <c r="B86" i="33"/>
  <c r="H86" i="33"/>
  <c r="AE86" i="33" s="1"/>
  <c r="I86" i="33"/>
  <c r="M86" i="33"/>
  <c r="N86" i="33"/>
  <c r="P86" i="33"/>
  <c r="Q86" i="33"/>
  <c r="S86" i="33"/>
  <c r="T86" i="33"/>
  <c r="V86" i="33"/>
  <c r="W86" i="33"/>
  <c r="Y86" i="33"/>
  <c r="Z86" i="33"/>
  <c r="AB86" i="33"/>
  <c r="B87" i="33"/>
  <c r="H87" i="33"/>
  <c r="AJ87" i="33" s="1"/>
  <c r="I87" i="33"/>
  <c r="M87" i="33"/>
  <c r="N87" i="33"/>
  <c r="P87" i="33"/>
  <c r="Q87" i="33"/>
  <c r="S87" i="33"/>
  <c r="T87" i="33"/>
  <c r="V87" i="33"/>
  <c r="W87" i="33"/>
  <c r="Y87" i="33"/>
  <c r="Z87" i="33"/>
  <c r="AB87" i="33"/>
  <c r="B88" i="33"/>
  <c r="H88" i="33"/>
  <c r="BD88" i="33" s="1"/>
  <c r="I88" i="33"/>
  <c r="M88" i="33"/>
  <c r="N88" i="33"/>
  <c r="P88" i="33"/>
  <c r="Q88" i="33"/>
  <c r="S88" i="33"/>
  <c r="T88" i="33"/>
  <c r="V88" i="33"/>
  <c r="W88" i="33"/>
  <c r="Y88" i="33"/>
  <c r="Z88" i="33"/>
  <c r="AB88" i="33"/>
  <c r="BG88" i="33"/>
  <c r="B89" i="33"/>
  <c r="H89" i="33"/>
  <c r="AE89" i="33" s="1"/>
  <c r="I89" i="33"/>
  <c r="M89" i="33"/>
  <c r="N89" i="33"/>
  <c r="P89" i="33"/>
  <c r="Q89" i="33"/>
  <c r="S89" i="33"/>
  <c r="T89" i="33"/>
  <c r="V89" i="33"/>
  <c r="W89" i="33"/>
  <c r="Y89" i="33"/>
  <c r="Z89" i="33"/>
  <c r="AB89" i="33"/>
  <c r="BG89" i="33"/>
  <c r="B90" i="33"/>
  <c r="H90" i="33"/>
  <c r="AE90" i="33" s="1"/>
  <c r="I90" i="33"/>
  <c r="M90" i="33"/>
  <c r="N90" i="33"/>
  <c r="P90" i="33"/>
  <c r="Q90" i="33"/>
  <c r="S90" i="33"/>
  <c r="T90" i="33"/>
  <c r="V90" i="33"/>
  <c r="W90" i="33"/>
  <c r="Y90" i="33"/>
  <c r="Z90" i="33"/>
  <c r="AB90" i="33"/>
  <c r="BG90" i="33"/>
  <c r="B91" i="33"/>
  <c r="H91" i="33"/>
  <c r="AO91" i="33" s="1"/>
  <c r="I91" i="33"/>
  <c r="M91" i="33"/>
  <c r="N91" i="33"/>
  <c r="P91" i="33"/>
  <c r="Q91" i="33"/>
  <c r="S91" i="33"/>
  <c r="T91" i="33"/>
  <c r="V91" i="33"/>
  <c r="W91" i="33"/>
  <c r="Y91" i="33"/>
  <c r="Z91" i="33"/>
  <c r="AB91" i="33"/>
  <c r="BG91" i="33"/>
  <c r="B92" i="33"/>
  <c r="H92" i="33"/>
  <c r="AO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Y94" i="33" s="1"/>
  <c r="I94" i="33"/>
  <c r="M94" i="33"/>
  <c r="N94" i="33"/>
  <c r="P94" i="33"/>
  <c r="Q94" i="33"/>
  <c r="S94" i="33"/>
  <c r="T94" i="33"/>
  <c r="V94" i="33"/>
  <c r="W94" i="33"/>
  <c r="Y94" i="33"/>
  <c r="Z94" i="33"/>
  <c r="AB94" i="33"/>
  <c r="BG94" i="33"/>
  <c r="B95" i="33"/>
  <c r="H95" i="33"/>
  <c r="AJ95" i="33" s="1"/>
  <c r="I95" i="33"/>
  <c r="M95" i="33"/>
  <c r="N95" i="33"/>
  <c r="P95" i="33"/>
  <c r="Q95" i="33"/>
  <c r="S95" i="33"/>
  <c r="T95" i="33"/>
  <c r="V95" i="33"/>
  <c r="W95" i="33"/>
  <c r="Y95" i="33"/>
  <c r="Z95" i="33"/>
  <c r="AB95" i="33"/>
  <c r="BG95" i="33"/>
  <c r="B96" i="33"/>
  <c r="H96" i="33"/>
  <c r="AJ96" i="33" s="1"/>
  <c r="I96" i="33"/>
  <c r="M96" i="33"/>
  <c r="N96" i="33"/>
  <c r="P96" i="33"/>
  <c r="Q96" i="33"/>
  <c r="S96" i="33"/>
  <c r="T96" i="33"/>
  <c r="V96" i="33"/>
  <c r="W96" i="33"/>
  <c r="Y96" i="33"/>
  <c r="Z96" i="33"/>
  <c r="AB96" i="33"/>
  <c r="BG96" i="33"/>
  <c r="B97" i="33"/>
  <c r="H97" i="33"/>
  <c r="AE97" i="33" s="1"/>
  <c r="I97" i="33"/>
  <c r="M97" i="33"/>
  <c r="N97" i="33"/>
  <c r="P97" i="33"/>
  <c r="Q97" i="33"/>
  <c r="S97" i="33"/>
  <c r="T97" i="33"/>
  <c r="V97" i="33"/>
  <c r="W97" i="33"/>
  <c r="Y97" i="33"/>
  <c r="Z97" i="33"/>
  <c r="AB97" i="33"/>
  <c r="BG97" i="33"/>
  <c r="B98" i="33"/>
  <c r="H98" i="33"/>
  <c r="AO98" i="33" s="1"/>
  <c r="I98" i="33"/>
  <c r="M98" i="33"/>
  <c r="N98" i="33"/>
  <c r="P98" i="33"/>
  <c r="Q98" i="33"/>
  <c r="S98" i="33"/>
  <c r="T98" i="33"/>
  <c r="V98" i="33"/>
  <c r="W98" i="33"/>
  <c r="Y98" i="33"/>
  <c r="Z98" i="33"/>
  <c r="AB98" i="33"/>
  <c r="BG98" i="33"/>
  <c r="B99" i="33"/>
  <c r="H99" i="33"/>
  <c r="BD99" i="33" s="1"/>
  <c r="I99" i="33"/>
  <c r="M99" i="33"/>
  <c r="N99" i="33"/>
  <c r="P99" i="33"/>
  <c r="Q99" i="33"/>
  <c r="S99" i="33"/>
  <c r="T99" i="33"/>
  <c r="V99" i="33"/>
  <c r="W99" i="33"/>
  <c r="Y99" i="33"/>
  <c r="Z99" i="33"/>
  <c r="AB99" i="33"/>
  <c r="BG99" i="33"/>
  <c r="B100" i="33"/>
  <c r="H100" i="33"/>
  <c r="BD100" i="33" s="1"/>
  <c r="I100" i="33"/>
  <c r="M100" i="33"/>
  <c r="N100" i="33"/>
  <c r="P100" i="33"/>
  <c r="Q100" i="33"/>
  <c r="S100" i="33"/>
  <c r="T100" i="33"/>
  <c r="V100" i="33"/>
  <c r="W100" i="33"/>
  <c r="Y100" i="33"/>
  <c r="Z100" i="33"/>
  <c r="AB100" i="33"/>
  <c r="BG100" i="33"/>
  <c r="B101" i="33"/>
  <c r="H101" i="33"/>
  <c r="AY101" i="33" s="1"/>
  <c r="I101" i="33"/>
  <c r="M101" i="33"/>
  <c r="N101" i="33"/>
  <c r="P101" i="33"/>
  <c r="Q101" i="33"/>
  <c r="S101" i="33"/>
  <c r="T101" i="33"/>
  <c r="V101" i="33"/>
  <c r="W101" i="33"/>
  <c r="Y101" i="33"/>
  <c r="Z101" i="33"/>
  <c r="AB101" i="33"/>
  <c r="BG101" i="33"/>
  <c r="B102" i="33"/>
  <c r="H102" i="33"/>
  <c r="I102" i="33"/>
  <c r="M102" i="33"/>
  <c r="N102" i="33"/>
  <c r="P102" i="33"/>
  <c r="Q102" i="33"/>
  <c r="S102" i="33"/>
  <c r="T102" i="33"/>
  <c r="V102" i="33"/>
  <c r="W102" i="33"/>
  <c r="Y102" i="33"/>
  <c r="Z102" i="33"/>
  <c r="AB102" i="33"/>
  <c r="BG102" i="33"/>
  <c r="B103" i="33"/>
  <c r="H103" i="33"/>
  <c r="AJ103" i="33" s="1"/>
  <c r="I103" i="33"/>
  <c r="M103" i="33"/>
  <c r="N103" i="33"/>
  <c r="P103" i="33"/>
  <c r="Q103" i="33"/>
  <c r="S103" i="33"/>
  <c r="T103" i="33"/>
  <c r="V103" i="33"/>
  <c r="W103" i="33"/>
  <c r="Y103" i="33"/>
  <c r="Z103" i="33"/>
  <c r="AB103" i="33"/>
  <c r="BG103" i="33"/>
  <c r="B104" i="33"/>
  <c r="H104" i="33"/>
  <c r="AO104" i="33" s="1"/>
  <c r="I104" i="33"/>
  <c r="M104" i="33"/>
  <c r="N104" i="33"/>
  <c r="P104" i="33"/>
  <c r="Q104" i="33"/>
  <c r="S104" i="33"/>
  <c r="T104" i="33"/>
  <c r="V104" i="33"/>
  <c r="W104" i="33"/>
  <c r="Y104" i="33"/>
  <c r="Z104" i="33"/>
  <c r="AB104" i="33"/>
  <c r="BG104" i="33"/>
  <c r="B105" i="33"/>
  <c r="H105" i="33"/>
  <c r="AT105" i="33" s="1"/>
  <c r="I105" i="33"/>
  <c r="M105" i="33"/>
  <c r="N105" i="33"/>
  <c r="P105" i="33"/>
  <c r="Q105" i="33"/>
  <c r="S105" i="33"/>
  <c r="T105" i="33"/>
  <c r="V105" i="33"/>
  <c r="W105" i="33"/>
  <c r="Y105" i="33"/>
  <c r="Z105" i="33"/>
  <c r="AB105" i="33"/>
  <c r="BG105" i="33"/>
  <c r="B106" i="33"/>
  <c r="H106" i="33"/>
  <c r="AE106" i="33" s="1"/>
  <c r="I106" i="33"/>
  <c r="M106" i="33"/>
  <c r="N106" i="33"/>
  <c r="P106" i="33"/>
  <c r="Q106" i="33"/>
  <c r="S106" i="33"/>
  <c r="T106" i="33"/>
  <c r="V106" i="33"/>
  <c r="W106" i="33"/>
  <c r="Y106" i="33"/>
  <c r="Z106" i="33"/>
  <c r="AB106" i="33"/>
  <c r="BG106" i="33"/>
  <c r="B107" i="33"/>
  <c r="H107" i="33"/>
  <c r="AJ107" i="33" s="1"/>
  <c r="I107" i="33"/>
  <c r="M107" i="33"/>
  <c r="N107" i="33"/>
  <c r="P107" i="33"/>
  <c r="Q107" i="33"/>
  <c r="S107" i="33"/>
  <c r="T107" i="33"/>
  <c r="V107" i="33"/>
  <c r="W107" i="33"/>
  <c r="Y107" i="33"/>
  <c r="Z107" i="33"/>
  <c r="AB107" i="33"/>
  <c r="BG107" i="33"/>
  <c r="B108" i="33"/>
  <c r="H108" i="33"/>
  <c r="BD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E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J112" i="33" s="1"/>
  <c r="I112" i="33"/>
  <c r="M112" i="33"/>
  <c r="N112" i="33"/>
  <c r="P112" i="33"/>
  <c r="Q112" i="33"/>
  <c r="S112" i="33"/>
  <c r="T112" i="33"/>
  <c r="V112" i="33"/>
  <c r="W112" i="33"/>
  <c r="Y112" i="33"/>
  <c r="Z112" i="33"/>
  <c r="AB112" i="33"/>
  <c r="BG112" i="33"/>
  <c r="B113" i="33"/>
  <c r="H113" i="33"/>
  <c r="AE113" i="33" s="1"/>
  <c r="I113" i="33"/>
  <c r="M113" i="33"/>
  <c r="N113" i="33"/>
  <c r="P113" i="33"/>
  <c r="Q113" i="33"/>
  <c r="S113" i="33"/>
  <c r="T113" i="33"/>
  <c r="V113" i="33"/>
  <c r="W113" i="33"/>
  <c r="Y113" i="33"/>
  <c r="Z113" i="33"/>
  <c r="AB113" i="33"/>
  <c r="BG113" i="33"/>
  <c r="B114" i="33"/>
  <c r="H114" i="33"/>
  <c r="AE114" i="33" s="1"/>
  <c r="I114" i="33"/>
  <c r="M114" i="33"/>
  <c r="N114" i="33"/>
  <c r="P114" i="33"/>
  <c r="Q114" i="33"/>
  <c r="S114" i="33"/>
  <c r="T114" i="33"/>
  <c r="V114" i="33"/>
  <c r="W114" i="33"/>
  <c r="Y114" i="33"/>
  <c r="Z114" i="33"/>
  <c r="AB114" i="33"/>
  <c r="BG114" i="33"/>
  <c r="B115" i="33"/>
  <c r="H115" i="33"/>
  <c r="AT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BD117" i="33" s="1"/>
  <c r="I117" i="33"/>
  <c r="M117" i="33"/>
  <c r="N117" i="33"/>
  <c r="P117" i="33"/>
  <c r="Q117" i="33"/>
  <c r="S117" i="33"/>
  <c r="T117" i="33"/>
  <c r="V117" i="33"/>
  <c r="W117" i="33"/>
  <c r="Y117" i="33"/>
  <c r="Z117" i="33"/>
  <c r="AB117" i="33"/>
  <c r="BG117" i="33"/>
  <c r="B118" i="33"/>
  <c r="H118" i="33"/>
  <c r="AO118" i="33" s="1"/>
  <c r="I118" i="33"/>
  <c r="M118" i="33"/>
  <c r="N118" i="33"/>
  <c r="P118" i="33"/>
  <c r="Q118" i="33"/>
  <c r="S118" i="33"/>
  <c r="T118" i="33"/>
  <c r="V118" i="33"/>
  <c r="W118" i="33"/>
  <c r="Y118" i="33"/>
  <c r="Z118" i="33"/>
  <c r="AB118" i="33"/>
  <c r="BG118" i="33"/>
  <c r="B119" i="33"/>
  <c r="H119" i="33"/>
  <c r="I119" i="33"/>
  <c r="M119" i="33"/>
  <c r="N119" i="33"/>
  <c r="P119" i="33"/>
  <c r="Q119" i="33"/>
  <c r="S119" i="33"/>
  <c r="T119" i="33"/>
  <c r="V119" i="33"/>
  <c r="W119" i="33"/>
  <c r="Y119" i="33"/>
  <c r="Z119" i="33"/>
  <c r="AB119" i="33"/>
  <c r="BG119" i="33"/>
  <c r="B120" i="33"/>
  <c r="H120" i="33"/>
  <c r="AJ120" i="33" s="1"/>
  <c r="I120" i="33"/>
  <c r="M120" i="33"/>
  <c r="N120" i="33"/>
  <c r="P120" i="33"/>
  <c r="Q120" i="33"/>
  <c r="S120" i="33"/>
  <c r="T120" i="33"/>
  <c r="V120" i="33"/>
  <c r="W120" i="33"/>
  <c r="Y120" i="33"/>
  <c r="Z120" i="33"/>
  <c r="AB120" i="33"/>
  <c r="BG120" i="33"/>
  <c r="B121" i="33"/>
  <c r="H121" i="33"/>
  <c r="AJ121" i="33" s="1"/>
  <c r="I121" i="33"/>
  <c r="M121" i="33"/>
  <c r="N121" i="33"/>
  <c r="P121" i="33"/>
  <c r="Q121" i="33"/>
  <c r="S121" i="33"/>
  <c r="T121" i="33"/>
  <c r="V121" i="33"/>
  <c r="W121" i="33"/>
  <c r="Y121" i="33"/>
  <c r="Z121" i="33"/>
  <c r="AB121" i="33"/>
  <c r="BG121" i="33"/>
  <c r="B122" i="33"/>
  <c r="H122" i="33"/>
  <c r="AY122" i="33" s="1"/>
  <c r="I122" i="33"/>
  <c r="M122" i="33"/>
  <c r="N122" i="33"/>
  <c r="P122" i="33"/>
  <c r="Q122" i="33"/>
  <c r="S122" i="33"/>
  <c r="T122" i="33"/>
  <c r="V122" i="33"/>
  <c r="W122" i="33"/>
  <c r="Y122" i="33"/>
  <c r="Z122" i="33"/>
  <c r="AB122" i="33"/>
  <c r="BG122" i="33"/>
  <c r="B123" i="33"/>
  <c r="H123" i="33"/>
  <c r="AO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E125" i="33" s="1"/>
  <c r="I125" i="33"/>
  <c r="M125" i="33"/>
  <c r="N125" i="33"/>
  <c r="P125" i="33"/>
  <c r="Q125" i="33"/>
  <c r="S125" i="33"/>
  <c r="T125" i="33"/>
  <c r="V125" i="33"/>
  <c r="W125" i="33"/>
  <c r="Y125" i="33"/>
  <c r="Z125" i="33"/>
  <c r="AB125" i="33"/>
  <c r="BG125" i="33"/>
  <c r="B126" i="33"/>
  <c r="H126" i="33"/>
  <c r="AO126" i="33" s="1"/>
  <c r="I126" i="33"/>
  <c r="M126" i="33"/>
  <c r="N126" i="33"/>
  <c r="P126" i="33"/>
  <c r="Q126" i="33"/>
  <c r="S126" i="33"/>
  <c r="T126" i="33"/>
  <c r="V126" i="33"/>
  <c r="W126" i="33"/>
  <c r="Y126" i="33"/>
  <c r="Z126" i="33"/>
  <c r="AB126" i="33"/>
  <c r="BG126" i="33"/>
  <c r="B127" i="33"/>
  <c r="H127" i="33"/>
  <c r="AY127" i="33" s="1"/>
  <c r="I127" i="33"/>
  <c r="M127" i="33"/>
  <c r="N127" i="33"/>
  <c r="P127" i="33"/>
  <c r="Q127" i="33"/>
  <c r="S127" i="33"/>
  <c r="T127" i="33"/>
  <c r="V127" i="33"/>
  <c r="W127" i="33"/>
  <c r="Y127" i="33"/>
  <c r="Z127" i="33"/>
  <c r="AB127" i="33"/>
  <c r="BG127" i="33"/>
  <c r="B128" i="33"/>
  <c r="H128" i="33"/>
  <c r="AE128" i="33" s="1"/>
  <c r="I128" i="33"/>
  <c r="M128" i="33"/>
  <c r="N128" i="33"/>
  <c r="P128" i="33"/>
  <c r="Q128" i="33"/>
  <c r="S128" i="33"/>
  <c r="T128" i="33"/>
  <c r="V128" i="33"/>
  <c r="W128" i="33"/>
  <c r="Y128" i="33"/>
  <c r="Z128" i="33"/>
  <c r="AB128" i="33"/>
  <c r="BG128" i="33"/>
  <c r="B129" i="33"/>
  <c r="H129" i="33"/>
  <c r="AO129" i="33" s="1"/>
  <c r="I129" i="33"/>
  <c r="M129" i="33"/>
  <c r="N129" i="33"/>
  <c r="P129" i="33"/>
  <c r="Q129" i="33"/>
  <c r="S129" i="33"/>
  <c r="T129" i="33"/>
  <c r="V129" i="33"/>
  <c r="W129" i="33"/>
  <c r="Y129" i="33"/>
  <c r="Z129" i="33"/>
  <c r="AB129" i="33"/>
  <c r="BG129" i="33"/>
  <c r="B130" i="33"/>
  <c r="H130" i="33"/>
  <c r="AY130" i="33" s="1"/>
  <c r="I130" i="33"/>
  <c r="M130" i="33"/>
  <c r="N130" i="33"/>
  <c r="P130" i="33"/>
  <c r="Q130" i="33"/>
  <c r="S130" i="33"/>
  <c r="T130" i="33"/>
  <c r="V130" i="33"/>
  <c r="W130" i="33"/>
  <c r="Y130" i="33"/>
  <c r="Z130" i="33"/>
  <c r="AB130" i="33"/>
  <c r="BG130" i="33"/>
  <c r="B131" i="33"/>
  <c r="H131" i="33"/>
  <c r="I131" i="33"/>
  <c r="M131" i="33"/>
  <c r="N131" i="33"/>
  <c r="P131" i="33"/>
  <c r="Q131" i="33"/>
  <c r="S131" i="33"/>
  <c r="T131" i="33"/>
  <c r="V131" i="33"/>
  <c r="W131" i="33"/>
  <c r="Y131" i="33"/>
  <c r="Z131" i="33"/>
  <c r="AB131" i="33"/>
  <c r="BG131" i="33"/>
  <c r="B132" i="33"/>
  <c r="H132" i="33"/>
  <c r="AO132" i="33" s="1"/>
  <c r="I132" i="33"/>
  <c r="M132" i="33"/>
  <c r="N132" i="33"/>
  <c r="P132" i="33"/>
  <c r="Q132" i="33"/>
  <c r="S132" i="33"/>
  <c r="T132" i="33"/>
  <c r="V132" i="33"/>
  <c r="W132" i="33"/>
  <c r="Y132" i="33"/>
  <c r="Z132" i="33"/>
  <c r="AB132" i="33"/>
  <c r="BG132" i="33"/>
  <c r="B133" i="33"/>
  <c r="H133" i="33"/>
  <c r="AJ133" i="33" s="1"/>
  <c r="I133" i="33"/>
  <c r="M133" i="33"/>
  <c r="N133" i="33"/>
  <c r="P133" i="33"/>
  <c r="Q133" i="33"/>
  <c r="S133" i="33"/>
  <c r="T133" i="33"/>
  <c r="V133" i="33"/>
  <c r="W133" i="33"/>
  <c r="Y133" i="33"/>
  <c r="Z133" i="33"/>
  <c r="AB133" i="33"/>
  <c r="BG133" i="33"/>
  <c r="B134" i="33"/>
  <c r="H134" i="33"/>
  <c r="BD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J136" i="33" s="1"/>
  <c r="I136" i="33"/>
  <c r="M136" i="33"/>
  <c r="N136" i="33"/>
  <c r="P136" i="33"/>
  <c r="Q136" i="33"/>
  <c r="S136" i="33"/>
  <c r="T136" i="33"/>
  <c r="V136" i="33"/>
  <c r="W136" i="33"/>
  <c r="Y136" i="33"/>
  <c r="Z136" i="33"/>
  <c r="AB136" i="33"/>
  <c r="BG136" i="33"/>
  <c r="B137" i="33"/>
  <c r="H137" i="33"/>
  <c r="AE137" i="33" s="1"/>
  <c r="I137" i="33"/>
  <c r="M137" i="33"/>
  <c r="N137" i="33"/>
  <c r="P137" i="33"/>
  <c r="Q137" i="33"/>
  <c r="S137" i="33"/>
  <c r="T137" i="33"/>
  <c r="V137" i="33"/>
  <c r="W137" i="33"/>
  <c r="Y137" i="33"/>
  <c r="Z137" i="33"/>
  <c r="AB137" i="33"/>
  <c r="BG137" i="33"/>
  <c r="B138" i="33"/>
  <c r="H138" i="33"/>
  <c r="AE138" i="33" s="1"/>
  <c r="I138" i="33"/>
  <c r="M138" i="33"/>
  <c r="N138" i="33"/>
  <c r="P138" i="33"/>
  <c r="Q138" i="33"/>
  <c r="S138" i="33"/>
  <c r="T138" i="33"/>
  <c r="V138" i="33"/>
  <c r="W138" i="33"/>
  <c r="Y138" i="33"/>
  <c r="Z138" i="33"/>
  <c r="AB138" i="33"/>
  <c r="BG138" i="33"/>
  <c r="B139" i="33"/>
  <c r="H139" i="33"/>
  <c r="AJ139" i="33" s="1"/>
  <c r="I139" i="33"/>
  <c r="M139" i="33"/>
  <c r="N139" i="33"/>
  <c r="P139" i="33"/>
  <c r="Q139" i="33"/>
  <c r="S139" i="33"/>
  <c r="T139" i="33"/>
  <c r="V139" i="33"/>
  <c r="W139" i="33"/>
  <c r="Y139" i="33"/>
  <c r="Z139" i="33"/>
  <c r="AB139" i="33"/>
  <c r="BG139" i="33"/>
  <c r="B10" i="33"/>
  <c r="M10" i="33"/>
  <c r="P10" i="33"/>
  <c r="S10" i="33"/>
  <c r="V10" i="33"/>
  <c r="Y10" i="33"/>
  <c r="AB10" i="33"/>
  <c r="BG10" i="33"/>
  <c r="BG9" i="33"/>
  <c r="AB9" i="33"/>
  <c r="Y9" i="33"/>
  <c r="V9" i="33"/>
  <c r="S9" i="33"/>
  <c r="P9" i="33"/>
  <c r="M9" i="33"/>
  <c r="B9" i="33"/>
  <c r="AE64" i="33" l="1"/>
  <c r="BD84" i="33"/>
  <c r="BD104" i="33"/>
  <c r="BD59" i="33"/>
  <c r="AJ104" i="33"/>
  <c r="AE59" i="33"/>
  <c r="AY98" i="33"/>
  <c r="AY115" i="33"/>
  <c r="AT64" i="33"/>
  <c r="AY55" i="33"/>
  <c r="AO64" i="33"/>
  <c r="AY45" i="33"/>
  <c r="AT132" i="33"/>
  <c r="BD41" i="33"/>
  <c r="AE132" i="33"/>
  <c r="BD27" i="33"/>
  <c r="BD116" i="33"/>
  <c r="AY89" i="33"/>
  <c r="AE116" i="33"/>
  <c r="AT91" i="33"/>
  <c r="AT134" i="33"/>
  <c r="BD93" i="33"/>
  <c r="AO45" i="33"/>
  <c r="BD133" i="33"/>
  <c r="AE133" i="33"/>
  <c r="AE108" i="33"/>
  <c r="AE91" i="33"/>
  <c r="AE117" i="33"/>
  <c r="AY91" i="33"/>
  <c r="BD83" i="33"/>
  <c r="AE32" i="33"/>
  <c r="AE45" i="33"/>
  <c r="BD103" i="33"/>
  <c r="AO37" i="33"/>
  <c r="AE103" i="33"/>
  <c r="AE87" i="33"/>
  <c r="BD44" i="33"/>
  <c r="AE44" i="33"/>
  <c r="AY87" i="33"/>
  <c r="AO63" i="33"/>
  <c r="BD58" i="33"/>
  <c r="AJ134" i="33"/>
  <c r="BD37" i="33"/>
  <c r="AE37" i="33"/>
  <c r="AJ26" i="33"/>
  <c r="AT87" i="33"/>
  <c r="BD114" i="33"/>
  <c r="BD92" i="33"/>
  <c r="BD73" i="33"/>
  <c r="BD50" i="33"/>
  <c r="AY134" i="33"/>
  <c r="AE134" i="33"/>
  <c r="AE127" i="33"/>
  <c r="AO103" i="33"/>
  <c r="AJ43" i="33"/>
  <c r="BD26" i="33"/>
  <c r="AT103" i="33"/>
  <c r="AE115" i="33"/>
  <c r="AT71" i="33"/>
  <c r="AT82" i="33"/>
  <c r="BD38" i="33"/>
  <c r="AJ106" i="33"/>
  <c r="AT68" i="33"/>
  <c r="AO47" i="33"/>
  <c r="AE122" i="33"/>
  <c r="AE121" i="33"/>
  <c r="BD106" i="33"/>
  <c r="AY103" i="33"/>
  <c r="AT96" i="33"/>
  <c r="BD71" i="33"/>
  <c r="AO41" i="33"/>
  <c r="AO38" i="33"/>
  <c r="AT127" i="33"/>
  <c r="AJ71" i="33"/>
  <c r="AE139" i="33"/>
  <c r="BD113" i="33"/>
  <c r="AE68" i="33"/>
  <c r="AO59" i="33"/>
  <c r="AE47" i="33"/>
  <c r="AY38" i="33"/>
  <c r="AO121" i="33"/>
  <c r="AT72" i="33"/>
  <c r="AO82" i="33"/>
  <c r="AT128" i="33"/>
  <c r="AY105" i="33"/>
  <c r="BD72" i="33"/>
  <c r="AT110" i="33"/>
  <c r="AO122" i="33"/>
  <c r="AO29" i="33"/>
  <c r="AJ105" i="33"/>
  <c r="AT59" i="33"/>
  <c r="BD105" i="33"/>
  <c r="AO87" i="33"/>
  <c r="AO58" i="33"/>
  <c r="BD139" i="33"/>
  <c r="AE105" i="33"/>
  <c r="AT129" i="33"/>
  <c r="AJ115" i="33"/>
  <c r="AE107" i="33"/>
  <c r="BD87" i="33"/>
  <c r="BD82" i="33"/>
  <c r="AT122" i="33"/>
  <c r="AT121" i="33"/>
  <c r="BD107" i="33"/>
  <c r="BD90" i="33"/>
  <c r="AJ83" i="33"/>
  <c r="AE72" i="33"/>
  <c r="AT120" i="33"/>
  <c r="AO96" i="33"/>
  <c r="AO54" i="33"/>
  <c r="AO110" i="33"/>
  <c r="AO33" i="33"/>
  <c r="BD31" i="33"/>
  <c r="AO86" i="33"/>
  <c r="AO52" i="33"/>
  <c r="AO111" i="33"/>
  <c r="BD49" i="33"/>
  <c r="AT47" i="33"/>
  <c r="AT45" i="33"/>
  <c r="AY117" i="33"/>
  <c r="AY106" i="33"/>
  <c r="BD86" i="33"/>
  <c r="AY83" i="33"/>
  <c r="AE83" i="33"/>
  <c r="AT78" i="33"/>
  <c r="AE73" i="33"/>
  <c r="AO68" i="33"/>
  <c r="AT62" i="33"/>
  <c r="AT56" i="33"/>
  <c r="AY26" i="33"/>
  <c r="AT109" i="33"/>
  <c r="AO31" i="33"/>
  <c r="AO97" i="33"/>
  <c r="AT139" i="33"/>
  <c r="BD129" i="33"/>
  <c r="AJ129" i="33"/>
  <c r="AO127" i="33"/>
  <c r="AO120" i="33"/>
  <c r="AT116" i="33"/>
  <c r="AO112" i="33"/>
  <c r="AJ101" i="33"/>
  <c r="BD95" i="33"/>
  <c r="AJ86" i="33"/>
  <c r="AY82" i="33"/>
  <c r="AJ80" i="33"/>
  <c r="AO61" i="33"/>
  <c r="BD52" i="33"/>
  <c r="AT44" i="33"/>
  <c r="AT43" i="33"/>
  <c r="AT42" i="33"/>
  <c r="AO36" i="33"/>
  <c r="AJ31" i="33"/>
  <c r="AT52" i="33"/>
  <c r="AT30" i="33"/>
  <c r="AO113" i="33"/>
  <c r="BD109" i="33"/>
  <c r="BD101" i="33"/>
  <c r="BD97" i="33"/>
  <c r="AE96" i="33"/>
  <c r="AE95" i="33"/>
  <c r="AO90" i="33"/>
  <c r="AY86" i="33"/>
  <c r="AT83" i="33"/>
  <c r="AT73" i="33"/>
  <c r="BD68" i="33"/>
  <c r="AJ68" i="33"/>
  <c r="AE52" i="33"/>
  <c r="BD45" i="33"/>
  <c r="BD33" i="33"/>
  <c r="AY31" i="33"/>
  <c r="AT61" i="33"/>
  <c r="BD110" i="33"/>
  <c r="AO89" i="33"/>
  <c r="AJ128" i="33"/>
  <c r="AY129" i="33"/>
  <c r="AE129" i="33"/>
  <c r="AY52" i="33"/>
  <c r="AT49" i="33"/>
  <c r="AE31" i="33"/>
  <c r="AY128" i="33"/>
  <c r="AO105" i="33"/>
  <c r="AJ92" i="33"/>
  <c r="AJ89" i="33"/>
  <c r="AJ78" i="33"/>
  <c r="BD67" i="33"/>
  <c r="AJ64" i="33"/>
  <c r="BG63" i="33"/>
  <c r="BD61" i="33"/>
  <c r="BD47" i="33"/>
  <c r="AO44" i="33"/>
  <c r="AJ38" i="33"/>
  <c r="AO95" i="33"/>
  <c r="AO128" i="33"/>
  <c r="BD128" i="33"/>
  <c r="BD96" i="33"/>
  <c r="BD53" i="33"/>
  <c r="AO139" i="33"/>
  <c r="BD111" i="33"/>
  <c r="BD80" i="33"/>
  <c r="AE75" i="33"/>
  <c r="AO43" i="33"/>
  <c r="AO134" i="33"/>
  <c r="AE120" i="33"/>
  <c r="BD115" i="33"/>
  <c r="AO114" i="33"/>
  <c r="BD112" i="33"/>
  <c r="AT95" i="33"/>
  <c r="BD89" i="33"/>
  <c r="AO73" i="33"/>
  <c r="AJ70" i="33"/>
  <c r="BD64" i="33"/>
  <c r="BD63" i="33"/>
  <c r="AE61" i="33"/>
  <c r="BD36" i="33"/>
  <c r="AY33" i="33"/>
  <c r="AO26" i="33"/>
  <c r="AY81" i="33"/>
  <c r="AJ62" i="33"/>
  <c r="AY62" i="33"/>
  <c r="AO57" i="33"/>
  <c r="AE46" i="33"/>
  <c r="BD46" i="33"/>
  <c r="AO46" i="33"/>
  <c r="AE126" i="33"/>
  <c r="BD126" i="33"/>
  <c r="AJ119" i="33"/>
  <c r="AT119" i="33"/>
  <c r="AY116" i="33"/>
  <c r="AE98" i="33"/>
  <c r="AY92" i="33"/>
  <c r="AE92" i="33"/>
  <c r="AT79" i="33"/>
  <c r="AJ79" i="33"/>
  <c r="BD79" i="33"/>
  <c r="AO77" i="33"/>
  <c r="BD48" i="33"/>
  <c r="AO48" i="33"/>
  <c r="AO135" i="33"/>
  <c r="AT117" i="33"/>
  <c r="AE99" i="33"/>
  <c r="AO99" i="33"/>
  <c r="AO62" i="33"/>
  <c r="AJ28" i="33"/>
  <c r="BD28" i="33"/>
  <c r="AO28" i="33"/>
  <c r="AT28" i="33"/>
  <c r="AE28" i="33"/>
  <c r="AJ25" i="33"/>
  <c r="BD25" i="33"/>
  <c r="AO25" i="33"/>
  <c r="AT25" i="33"/>
  <c r="BD127" i="33"/>
  <c r="AO125" i="33"/>
  <c r="BD122" i="33"/>
  <c r="AO119" i="33"/>
  <c r="AE118" i="33"/>
  <c r="AY118" i="33"/>
  <c r="AT98" i="33"/>
  <c r="AJ32" i="33"/>
  <c r="AO32" i="33"/>
  <c r="AT32" i="33"/>
  <c r="AE130" i="33"/>
  <c r="AJ130" i="33"/>
  <c r="BD130" i="33"/>
  <c r="AE94" i="33"/>
  <c r="AO94" i="33"/>
  <c r="AT93" i="33"/>
  <c r="AE93" i="33"/>
  <c r="AY93" i="33"/>
  <c r="AT92" i="33"/>
  <c r="AJ88" i="33"/>
  <c r="AO88" i="33"/>
  <c r="AY80" i="33"/>
  <c r="AE80" i="33"/>
  <c r="AT40" i="33"/>
  <c r="AE40" i="33"/>
  <c r="AJ40" i="33"/>
  <c r="BD40" i="33"/>
  <c r="AE39" i="33"/>
  <c r="AO39" i="33"/>
  <c r="AY77" i="33"/>
  <c r="AJ77" i="33"/>
  <c r="AJ131" i="33"/>
  <c r="BD131" i="33"/>
  <c r="AJ35" i="33"/>
  <c r="AT35" i="33"/>
  <c r="AE35" i="33"/>
  <c r="BD35" i="33"/>
  <c r="AJ135" i="33"/>
  <c r="AT133" i="33"/>
  <c r="AJ132" i="33"/>
  <c r="BD132" i="33"/>
  <c r="AJ127" i="33"/>
  <c r="AJ122" i="33"/>
  <c r="AO117" i="33"/>
  <c r="AT107" i="33"/>
  <c r="AJ91" i="33"/>
  <c r="BD91" i="33"/>
  <c r="AO81" i="33"/>
  <c r="AY76" i="33"/>
  <c r="BD76" i="33"/>
  <c r="AE50" i="33"/>
  <c r="AT50" i="33"/>
  <c r="AJ50" i="33"/>
  <c r="AY50" i="33"/>
  <c r="AE34" i="33"/>
  <c r="AO34" i="33"/>
  <c r="AJ100" i="33"/>
  <c r="AO100" i="33"/>
  <c r="AJ108" i="33"/>
  <c r="AO108" i="33"/>
  <c r="AO93" i="33"/>
  <c r="AO80" i="33"/>
  <c r="AE77" i="33"/>
  <c r="AE71" i="33"/>
  <c r="AO71" i="33"/>
  <c r="AJ56" i="33"/>
  <c r="AE56" i="33"/>
  <c r="BD56" i="33"/>
  <c r="AJ55" i="33"/>
  <c r="BD55" i="33"/>
  <c r="AT55" i="33"/>
  <c r="AJ54" i="33"/>
  <c r="AT54" i="33"/>
  <c r="AE54" i="33"/>
  <c r="AO40" i="33"/>
  <c r="BD135" i="33"/>
  <c r="AO130" i="33"/>
  <c r="BD119" i="33"/>
  <c r="BD118" i="33"/>
  <c r="AJ118" i="33"/>
  <c r="AO115" i="33"/>
  <c r="AT108" i="33"/>
  <c r="AE62" i="33"/>
  <c r="AO35" i="33"/>
  <c r="AE57" i="33"/>
  <c r="AY57" i="33"/>
  <c r="BD57" i="33"/>
  <c r="AY65" i="33"/>
  <c r="AJ65" i="33"/>
  <c r="AT65" i="33"/>
  <c r="AO131" i="33"/>
  <c r="BD125" i="33"/>
  <c r="BD121" i="33"/>
  <c r="AT104" i="33"/>
  <c r="AE104" i="33"/>
  <c r="AY104" i="33"/>
  <c r="AE102" i="33"/>
  <c r="BD102" i="33"/>
  <c r="AO102" i="33"/>
  <c r="AE101" i="33"/>
  <c r="AO101" i="33"/>
  <c r="BD98" i="33"/>
  <c r="AY135" i="33"/>
  <c r="AO133" i="33"/>
  <c r="AJ124" i="33"/>
  <c r="BD124" i="33"/>
  <c r="AE123" i="33"/>
  <c r="BD123" i="33"/>
  <c r="BD120" i="33"/>
  <c r="AE119" i="33"/>
  <c r="AJ117" i="33"/>
  <c r="AJ116" i="33"/>
  <c r="AJ110" i="33"/>
  <c r="AY110" i="33"/>
  <c r="AJ109" i="33"/>
  <c r="AO109" i="33"/>
  <c r="AO107" i="33"/>
  <c r="AJ98" i="33"/>
  <c r="BD94" i="33"/>
  <c r="AJ94" i="33"/>
  <c r="BD81" i="33"/>
  <c r="AE79" i="33"/>
  <c r="AT77" i="33"/>
  <c r="AT57" i="33"/>
  <c r="AO55" i="33"/>
  <c r="AE42" i="33"/>
  <c r="AT38" i="33"/>
  <c r="AO30" i="33"/>
  <c r="AO49" i="33"/>
  <c r="BD43" i="33"/>
  <c r="BD30" i="33"/>
  <c r="AO51" i="33"/>
  <c r="AO106" i="33"/>
  <c r="AT86" i="33"/>
  <c r="AY43" i="33"/>
  <c r="AO42" i="33"/>
  <c r="AT37" i="33"/>
  <c r="BD42" i="33"/>
  <c r="AJ33" i="33"/>
  <c r="BD29" i="33"/>
  <c r="BD51" i="33"/>
  <c r="AE49" i="33"/>
  <c r="AE30" i="33"/>
  <c r="AO27" i="33"/>
  <c r="AT26" i="33"/>
  <c r="BD137" i="33"/>
  <c r="AO137" i="33"/>
  <c r="AT131" i="33"/>
  <c r="AE131" i="33"/>
  <c r="AT74" i="33"/>
  <c r="AE60" i="33"/>
  <c r="AT60" i="33"/>
  <c r="AJ60" i="33"/>
  <c r="AY60" i="33"/>
  <c r="AY139" i="33"/>
  <c r="AT136" i="33"/>
  <c r="AE136" i="33"/>
  <c r="AY132" i="33"/>
  <c r="AT124" i="33"/>
  <c r="AE124" i="33"/>
  <c r="AY120" i="33"/>
  <c r="AT112" i="33"/>
  <c r="AE112" i="33"/>
  <c r="AY108" i="33"/>
  <c r="AT100" i="33"/>
  <c r="AE100" i="33"/>
  <c r="AY96" i="33"/>
  <c r="AT88" i="33"/>
  <c r="AE88" i="33"/>
  <c r="AE85" i="33"/>
  <c r="AO79" i="33"/>
  <c r="AY78" i="33"/>
  <c r="AO76" i="33"/>
  <c r="AY75" i="33"/>
  <c r="AJ75" i="33"/>
  <c r="AJ73" i="33"/>
  <c r="AY137" i="33"/>
  <c r="AJ137" i="33"/>
  <c r="AY125" i="33"/>
  <c r="AJ125" i="33"/>
  <c r="AY113" i="33"/>
  <c r="AJ113" i="33"/>
  <c r="AY69" i="33"/>
  <c r="AO69" i="33"/>
  <c r="BD69" i="33"/>
  <c r="AO138" i="33"/>
  <c r="BD85" i="33"/>
  <c r="AO85" i="33"/>
  <c r="AJ84" i="33"/>
  <c r="AJ81" i="33"/>
  <c r="AO72" i="33"/>
  <c r="AJ66" i="33"/>
  <c r="AO60" i="33"/>
  <c r="BD138" i="33"/>
  <c r="AY123" i="33"/>
  <c r="AJ123" i="33"/>
  <c r="AY111" i="33"/>
  <c r="AJ111" i="33"/>
  <c r="AY99" i="33"/>
  <c r="AJ99" i="33"/>
  <c r="AT75" i="33"/>
  <c r="BD74" i="33"/>
  <c r="AO74" i="33"/>
  <c r="BD136" i="33"/>
  <c r="AO136" i="33"/>
  <c r="AJ76" i="33"/>
  <c r="AT137" i="33"/>
  <c r="AY133" i="33"/>
  <c r="AT125" i="33"/>
  <c r="AY121" i="33"/>
  <c r="AT113" i="33"/>
  <c r="AY109" i="33"/>
  <c r="AT101" i="33"/>
  <c r="AY97" i="33"/>
  <c r="AJ97" i="33"/>
  <c r="AT89" i="33"/>
  <c r="AT81" i="33"/>
  <c r="AY138" i="33"/>
  <c r="AJ138" i="33"/>
  <c r="AT130" i="33"/>
  <c r="AY126" i="33"/>
  <c r="AJ126" i="33"/>
  <c r="AT118" i="33"/>
  <c r="AY114" i="33"/>
  <c r="AJ114" i="33"/>
  <c r="AT106" i="33"/>
  <c r="AY102" i="33"/>
  <c r="AJ102" i="33"/>
  <c r="AT94" i="33"/>
  <c r="AY90" i="33"/>
  <c r="AJ90" i="33"/>
  <c r="AY85" i="33"/>
  <c r="AT84" i="33"/>
  <c r="AJ82" i="33"/>
  <c r="AJ72" i="33"/>
  <c r="AE67" i="33"/>
  <c r="AT67" i="33"/>
  <c r="AJ67" i="33"/>
  <c r="AY67" i="33"/>
  <c r="AT135" i="33"/>
  <c r="AY131" i="33"/>
  <c r="AT123" i="33"/>
  <c r="AY119" i="33"/>
  <c r="AT111" i="33"/>
  <c r="AY107" i="33"/>
  <c r="AT99" i="33"/>
  <c r="AY95" i="33"/>
  <c r="AJ85" i="33"/>
  <c r="AE84" i="33"/>
  <c r="AO75" i="33"/>
  <c r="AY74" i="33"/>
  <c r="BD60" i="33"/>
  <c r="AE53" i="33"/>
  <c r="AT53" i="33"/>
  <c r="AJ53" i="33"/>
  <c r="AY53" i="33"/>
  <c r="AE48" i="33"/>
  <c r="AT48" i="33"/>
  <c r="AJ48" i="33"/>
  <c r="AY48" i="33"/>
  <c r="AY136" i="33"/>
  <c r="AY124" i="33"/>
  <c r="AY112" i="33"/>
  <c r="AY100" i="33"/>
  <c r="AY88" i="33"/>
  <c r="BD78" i="33"/>
  <c r="AO78" i="33"/>
  <c r="AT76" i="33"/>
  <c r="AJ74" i="33"/>
  <c r="AO66" i="33"/>
  <c r="BD66" i="33"/>
  <c r="AE66" i="33"/>
  <c r="AT66" i="33"/>
  <c r="AT97" i="33"/>
  <c r="AE76" i="33"/>
  <c r="AE69" i="33"/>
  <c r="AT138" i="33"/>
  <c r="AT126" i="33"/>
  <c r="AT114" i="33"/>
  <c r="AT102" i="33"/>
  <c r="AT90" i="33"/>
  <c r="AO84" i="33"/>
  <c r="AO70" i="33"/>
  <c r="BD70" i="33"/>
  <c r="AE70" i="33"/>
  <c r="AT70" i="33"/>
  <c r="AT69" i="33"/>
  <c r="AY36" i="33"/>
  <c r="AJ36" i="33"/>
  <c r="AY63" i="33"/>
  <c r="AY41" i="33"/>
  <c r="AJ41" i="33"/>
  <c r="AT33" i="33"/>
  <c r="AY29" i="33"/>
  <c r="AJ29" i="33"/>
  <c r="AJ63" i="33"/>
  <c r="AY58" i="33"/>
  <c r="AJ58" i="33"/>
  <c r="AY46" i="33"/>
  <c r="AJ46" i="33"/>
  <c r="AY34" i="33"/>
  <c r="AJ34" i="33"/>
  <c r="BD65" i="33"/>
  <c r="AO65" i="33"/>
  <c r="AL64" i="33"/>
  <c r="AY51" i="33"/>
  <c r="AJ51" i="33"/>
  <c r="AY39" i="33"/>
  <c r="AJ39" i="33"/>
  <c r="AY27" i="33"/>
  <c r="AJ27" i="33"/>
  <c r="AY56" i="33"/>
  <c r="AY44" i="33"/>
  <c r="AT36" i="33"/>
  <c r="AY32" i="33"/>
  <c r="AT63" i="33"/>
  <c r="AY61" i="33"/>
  <c r="AY49" i="33"/>
  <c r="AT41" i="33"/>
  <c r="AY37" i="33"/>
  <c r="AT29" i="33"/>
  <c r="AY25" i="33"/>
  <c r="AT58" i="33"/>
  <c r="AY54" i="33"/>
  <c r="AT46" i="33"/>
  <c r="AY42" i="33"/>
  <c r="AT34" i="33"/>
  <c r="AY30" i="33"/>
  <c r="AY59" i="33"/>
  <c r="AT51" i="33"/>
  <c r="AY47" i="33"/>
  <c r="AT39" i="33"/>
  <c r="AY35" i="33"/>
  <c r="AT27" i="33"/>
  <c r="AL65" i="33" l="1"/>
  <c r="BG64" i="33"/>
  <c r="BG65" i="33" l="1"/>
  <c r="AL66" i="33"/>
  <c r="BG66" i="33" l="1"/>
  <c r="AL67" i="33"/>
  <c r="AK6" i="2"/>
  <c r="BG67" i="33" l="1"/>
  <c r="AL68" i="33"/>
  <c r="T6" i="1" a="1"/>
  <c r="T6" i="1" s="1"/>
  <c r="AL69" i="33" l="1"/>
  <c r="BG68" i="33"/>
  <c r="B1" i="27"/>
  <c r="BG69" i="33" l="1"/>
  <c r="AL70" i="33"/>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BG70" i="33" l="1"/>
  <c r="AL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BG71" i="33" l="1"/>
  <c r="AL72" i="33"/>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AL73" i="33" l="1"/>
  <c r="BG72" i="33"/>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G73" i="33" l="1"/>
  <c r="AL74" i="33"/>
  <c r="J48" i="27"/>
  <c r="K48" i="27"/>
  <c r="M48" i="27"/>
  <c r="K49" i="27"/>
  <c r="J49" i="27"/>
  <c r="L49" i="27" s="1"/>
  <c r="M49" i="27"/>
  <c r="B64" i="27"/>
  <c r="I44" i="27"/>
  <c r="M45" i="27"/>
  <c r="K45" i="27"/>
  <c r="J45" i="27"/>
  <c r="L45" i="27" s="1"/>
  <c r="D64" i="27"/>
  <c r="M47" i="27"/>
  <c r="J47" i="27"/>
  <c r="K47" i="27"/>
  <c r="J46" i="27"/>
  <c r="K46" i="27"/>
  <c r="M46" i="27"/>
  <c r="E55" i="27"/>
  <c r="E56" i="27"/>
  <c r="D31" i="27"/>
  <c r="BG74" i="33" l="1"/>
  <c r="AL75" i="33"/>
  <c r="M44" i="27"/>
  <c r="M50" i="27" s="1"/>
  <c r="I50" i="27"/>
  <c r="J44" i="27"/>
  <c r="K44" i="27"/>
  <c r="K50" i="27" s="1"/>
  <c r="L46" i="27"/>
  <c r="L47" i="27"/>
  <c r="L48" i="27"/>
  <c r="BG75" i="33" l="1"/>
  <c r="AL76" i="33"/>
  <c r="L44" i="27"/>
  <c r="L50" i="27" s="1"/>
  <c r="J50" i="27"/>
  <c r="AL77" i="33" l="1"/>
  <c r="BG7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4" i="15"/>
  <c r="U14" i="15"/>
  <c r="U15" i="15"/>
  <c r="U16" i="15"/>
  <c r="U17" i="15"/>
  <c r="U18" i="15"/>
  <c r="U19" i="15"/>
  <c r="U20" i="15"/>
  <c r="U21" i="15"/>
  <c r="U22" i="15"/>
  <c r="U23" i="15"/>
  <c r="U24" i="15"/>
  <c r="U25" i="15"/>
  <c r="U26" i="15"/>
  <c r="U27" i="15"/>
  <c r="U28" i="15"/>
  <c r="U29" i="15"/>
  <c r="U30" i="15"/>
  <c r="U31" i="15"/>
  <c r="BG77" i="33" l="1"/>
  <c r="AL78" i="33"/>
  <c r="I3" i="15"/>
  <c r="BG78" i="33" l="1"/>
  <c r="AL79" i="33"/>
  <c r="U47" i="15"/>
  <c r="U48" i="15"/>
  <c r="U49" i="15"/>
  <c r="U50" i="15"/>
  <c r="U51"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AA60" i="2"/>
  <c r="AL80" i="33" l="1"/>
  <c r="BG79" i="33"/>
  <c r="U44" i="15"/>
  <c r="U40" i="15"/>
  <c r="AA280" i="2"/>
  <c r="AA274" i="2"/>
  <c r="AA273" i="2"/>
  <c r="AA269" i="2"/>
  <c r="AA268" i="2"/>
  <c r="AA259" i="2"/>
  <c r="AA255" i="2"/>
  <c r="AA254" i="2"/>
  <c r="AA253" i="2"/>
  <c r="AA251" i="2"/>
  <c r="AA247" i="2"/>
  <c r="AA243" i="2"/>
  <c r="AA242" i="2"/>
  <c r="AA241" i="2"/>
  <c r="AA239" i="2"/>
  <c r="AA235" i="2"/>
  <c r="U36" i="15"/>
  <c r="U37" i="15"/>
  <c r="U38" i="15"/>
  <c r="U39" i="15"/>
  <c r="U41" i="15"/>
  <c r="U42" i="15"/>
  <c r="U45" i="15"/>
  <c r="U46"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AD2" i="2" s="1"/>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5" i="15"/>
  <c r="AJ2" i="2" l="1"/>
  <c r="BG80" i="33"/>
  <c r="AL81" i="33"/>
  <c r="AA32" i="2"/>
  <c r="AJ32" i="2" s="1"/>
  <c r="AD89" i="2"/>
  <c r="AD90" i="2"/>
  <c r="U43" i="15"/>
  <c r="AA3" i="2"/>
  <c r="AG3" i="2" s="1"/>
  <c r="AD61" i="2"/>
  <c r="AD60" i="2"/>
  <c r="AJ31" i="2"/>
  <c r="AA62" i="2"/>
  <c r="AJ61" i="2"/>
  <c r="AJ89" i="2"/>
  <c r="AJ60" i="2"/>
  <c r="AJ90" i="2"/>
  <c r="AG60" i="2"/>
  <c r="AG89" i="2"/>
  <c r="AG2" i="2"/>
  <c r="AA34" i="2"/>
  <c r="AG33" i="2"/>
  <c r="AG90" i="2"/>
  <c r="AA4" i="2"/>
  <c r="AG61" i="2"/>
  <c r="AA91" i="2"/>
  <c r="BG81" i="33" l="1"/>
  <c r="AL82" i="33"/>
  <c r="AD4" i="2"/>
  <c r="AJ3" i="2"/>
  <c r="AD3" i="2"/>
  <c r="AG31" i="2"/>
  <c r="AD31" i="2"/>
  <c r="AJ33" i="2"/>
  <c r="AA63" i="2"/>
  <c r="AJ4" i="2"/>
  <c r="AG4" i="2"/>
  <c r="AJ91" i="2"/>
  <c r="AA92" i="2"/>
  <c r="AD33" i="2"/>
  <c r="AG32" i="2"/>
  <c r="AD32" i="2"/>
  <c r="AJ34" i="2"/>
  <c r="AA35" i="2"/>
  <c r="AA5" i="2"/>
  <c r="AJ5" i="2" s="1"/>
  <c r="BG82" i="33" l="1"/>
  <c r="AL83" i="33"/>
  <c r="AJ62" i="2"/>
  <c r="AG62" i="2"/>
  <c r="AD62" i="2"/>
  <c r="AA64" i="2"/>
  <c r="AA93" i="2"/>
  <c r="AJ92" i="2"/>
  <c r="AG5" i="2"/>
  <c r="AD5" i="2"/>
  <c r="AA6" i="2"/>
  <c r="AJ6" i="2" s="1"/>
  <c r="AJ35" i="2"/>
  <c r="AA36" i="2"/>
  <c r="AD34" i="2"/>
  <c r="AG34" i="2"/>
  <c r="AD91" i="2"/>
  <c r="AG91" i="2"/>
  <c r="BG83" i="33" l="1"/>
  <c r="AL84" i="33"/>
  <c r="AD63" i="2"/>
  <c r="AJ63" i="2"/>
  <c r="AG63" i="2"/>
  <c r="AA65" i="2"/>
  <c r="AA7" i="2"/>
  <c r="AJ7" i="2" s="1"/>
  <c r="AJ36" i="2"/>
  <c r="AG35" i="2"/>
  <c r="AD35" i="2"/>
  <c r="AG92" i="2"/>
  <c r="AD92" i="2"/>
  <c r="AG6" i="2"/>
  <c r="AD6" i="2"/>
  <c r="AA94" i="2"/>
  <c r="AJ93" i="2"/>
  <c r="BG84" i="33" l="1"/>
  <c r="AL85" i="33"/>
  <c r="AA8" i="2"/>
  <c r="AJ8" i="2" s="1"/>
  <c r="AA37" i="2"/>
  <c r="AJ37" i="2" s="1"/>
  <c r="AD64" i="2"/>
  <c r="AG64" i="2"/>
  <c r="AJ64" i="2"/>
  <c r="AD37" i="2"/>
  <c r="AG93" i="2"/>
  <c r="AD93" i="2"/>
  <c r="AD36" i="2"/>
  <c r="AG36" i="2"/>
  <c r="AJ94" i="2"/>
  <c r="AD7" i="2"/>
  <c r="AG7" i="2"/>
  <c r="AD8" i="2" l="1"/>
  <c r="AL86" i="33"/>
  <c r="BG85" i="33"/>
  <c r="AG37" i="2"/>
  <c r="AG8" i="2"/>
  <c r="AA9" i="2"/>
  <c r="AA38" i="2"/>
  <c r="AA66" i="2"/>
  <c r="AG66" i="2" s="1"/>
  <c r="AJ95" i="2"/>
  <c r="AA95" i="2"/>
  <c r="AD95" i="2" s="1"/>
  <c r="AJ65" i="2"/>
  <c r="AD65" i="2"/>
  <c r="AG65" i="2"/>
  <c r="AG95" i="2"/>
  <c r="AG94" i="2"/>
  <c r="AD94" i="2"/>
  <c r="BG86" i="33" l="1"/>
  <c r="AL87" i="33"/>
  <c r="BG87"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I9" i="15"/>
  <c r="K5" i="15"/>
  <c r="I10" i="15"/>
  <c r="K8" i="15"/>
  <c r="I7" i="15"/>
  <c r="K6" i="15"/>
  <c r="K9" i="15"/>
  <c r="K7" i="15"/>
  <c r="K2" i="15"/>
  <c r="C2" i="15" s="1"/>
  <c r="N8" i="39" s="1"/>
  <c r="O8" i="39" s="1"/>
  <c r="K3" i="15"/>
  <c r="C3" i="15" s="1"/>
  <c r="N9" i="39" s="1"/>
  <c r="O9" i="39" s="1"/>
  <c r="I11" i="15"/>
  <c r="K12" i="15"/>
  <c r="AD208" i="2"/>
  <c r="AD12" i="2"/>
  <c r="AG12" i="2"/>
  <c r="AJ12" i="2"/>
  <c r="AA13" i="2"/>
  <c r="AG41" i="2"/>
  <c r="AD41" i="2"/>
  <c r="AJ41" i="2"/>
  <c r="AA42" i="2"/>
  <c r="AG69" i="2"/>
  <c r="AJ69" i="2"/>
  <c r="AD69" i="2"/>
  <c r="AA70" i="2"/>
  <c r="AJ98" i="2"/>
  <c r="AD98" i="2"/>
  <c r="AG98" i="2"/>
  <c r="AA99" i="2"/>
  <c r="AA209" i="2"/>
  <c r="AJ209" i="2" s="1"/>
  <c r="AJ208" i="2"/>
  <c r="K11" i="15"/>
  <c r="I12" i="15"/>
  <c r="K32" i="15"/>
  <c r="I31" i="15"/>
  <c r="K31" i="15" l="1"/>
  <c r="I32" i="15"/>
  <c r="K10" i="15"/>
  <c r="C10" i="15" s="1"/>
  <c r="C7" i="15"/>
  <c r="C9" i="15"/>
  <c r="C6" i="15"/>
  <c r="N3" i="39" s="1"/>
  <c r="O3" i="39" s="1"/>
  <c r="C5" i="15"/>
  <c r="N4" i="39" s="1"/>
  <c r="O4" i="39" s="1"/>
  <c r="C8" i="15"/>
  <c r="F6" i="27"/>
  <c r="A36" i="27" s="1"/>
  <c r="A45" i="27" s="1"/>
  <c r="A59" i="27" s="1"/>
  <c r="F7" i="27"/>
  <c r="A37" i="27" s="1"/>
  <c r="A46" i="27" s="1"/>
  <c r="A60" i="27" s="1"/>
  <c r="F8" i="27"/>
  <c r="A38" i="27" s="1"/>
  <c r="A47" i="27" s="1"/>
  <c r="A61" i="27" s="1"/>
  <c r="F9" i="27"/>
  <c r="A39" i="27" s="1"/>
  <c r="A48" i="27" s="1"/>
  <c r="A62" i="27" s="1"/>
  <c r="B6" i="27"/>
  <c r="A17" i="27" s="1"/>
  <c r="B7" i="27"/>
  <c r="A18" i="27" s="1"/>
  <c r="B8" i="27"/>
  <c r="A19" i="27" s="1"/>
  <c r="F5" i="27"/>
  <c r="A35" i="27" s="1"/>
  <c r="A44" i="27" s="1"/>
  <c r="A58" i="27" s="1"/>
  <c r="B9" i="27"/>
  <c r="A20" i="27" s="1"/>
  <c r="B5" i="27"/>
  <c r="A16" i="27" s="1"/>
  <c r="C12" i="15"/>
  <c r="H19" i="33" s="1"/>
  <c r="AG209" i="2"/>
  <c r="AD209" i="2"/>
  <c r="AD13" i="2"/>
  <c r="AJ13" i="2"/>
  <c r="AG13" i="2"/>
  <c r="AA14" i="2"/>
  <c r="AJ42" i="2"/>
  <c r="AD42" i="2"/>
  <c r="AG42" i="2"/>
  <c r="AA43" i="2"/>
  <c r="AD70" i="2"/>
  <c r="AG70" i="2"/>
  <c r="AJ70" i="2"/>
  <c r="AA71" i="2"/>
  <c r="AA100" i="2"/>
  <c r="AG99" i="2"/>
  <c r="AJ99" i="2"/>
  <c r="AD99" i="2"/>
  <c r="AA210" i="2"/>
  <c r="AD210" i="2" s="1"/>
  <c r="C11" i="15"/>
  <c r="K33" i="15"/>
  <c r="I33" i="15"/>
  <c r="K34"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10" i="39" l="1"/>
  <c r="O10" i="39" s="1"/>
  <c r="H13" i="33"/>
  <c r="AT13" i="33" s="1"/>
  <c r="H11" i="33"/>
  <c r="BD11" i="33" s="1"/>
  <c r="N5" i="39"/>
  <c r="O5" i="39" s="1"/>
  <c r="H12" i="33"/>
  <c r="AE12" i="33" s="1"/>
  <c r="N14" i="39"/>
  <c r="O14" i="39" s="1"/>
  <c r="H14" i="33"/>
  <c r="AE14" i="33" s="1"/>
  <c r="H23" i="33"/>
  <c r="H21" i="33"/>
  <c r="H22" i="33"/>
  <c r="H20" i="33"/>
  <c r="H24" i="33"/>
  <c r="BD19" i="33"/>
  <c r="AE19" i="33"/>
  <c r="AO19" i="33"/>
  <c r="I19" i="33"/>
  <c r="AY19" i="33"/>
  <c r="AT19" i="33"/>
  <c r="AJ19" i="33"/>
  <c r="AB2" i="16"/>
  <c r="H18" i="33"/>
  <c r="A26" i="27"/>
  <c r="A27" i="27"/>
  <c r="A25" i="27"/>
  <c r="A29" i="27"/>
  <c r="A28" i="27"/>
  <c r="H8"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3" i="33" l="1"/>
  <c r="AJ13" i="33"/>
  <c r="BD13" i="33"/>
  <c r="AO11" i="33"/>
  <c r="AJ11" i="33"/>
  <c r="AT11" i="33"/>
  <c r="AY13" i="33"/>
  <c r="BD12" i="33"/>
  <c r="AJ12" i="33"/>
  <c r="AY12" i="33"/>
  <c r="I12" i="33"/>
  <c r="AT12" i="33"/>
  <c r="AO12" i="33"/>
  <c r="AY11" i="33"/>
  <c r="AE11" i="33"/>
  <c r="AE13" i="33"/>
  <c r="I11" i="33"/>
  <c r="I13" i="33"/>
  <c r="AJ14" i="33"/>
  <c r="AY14" i="33"/>
  <c r="AT14" i="33"/>
  <c r="AO14" i="33"/>
  <c r="BD14" i="33"/>
  <c r="I14" i="33"/>
  <c r="AE24" i="33"/>
  <c r="AY24" i="33"/>
  <c r="I24" i="33"/>
  <c r="AJ24" i="33"/>
  <c r="BD24" i="33"/>
  <c r="AT24" i="33"/>
  <c r="AO24" i="33"/>
  <c r="AJ20" i="33"/>
  <c r="AO20" i="33"/>
  <c r="BD20" i="33"/>
  <c r="I20" i="33"/>
  <c r="AT20" i="33"/>
  <c r="AE20" i="33"/>
  <c r="AY20" i="33"/>
  <c r="AE22" i="33"/>
  <c r="BD22" i="33"/>
  <c r="AT22" i="33"/>
  <c r="I22" i="33"/>
  <c r="AJ22" i="33"/>
  <c r="AO22" i="33"/>
  <c r="AY22" i="33"/>
  <c r="AE21" i="33"/>
  <c r="AT21" i="33"/>
  <c r="BD21" i="33"/>
  <c r="I21" i="33"/>
  <c r="AJ21" i="33"/>
  <c r="AO21" i="33"/>
  <c r="AY21" i="33"/>
  <c r="AJ23" i="33"/>
  <c r="I23" i="33"/>
  <c r="AE23" i="33"/>
  <c r="BD23" i="33"/>
  <c r="AT23" i="33"/>
  <c r="AO23" i="33"/>
  <c r="AY23" i="33"/>
  <c r="AJ18" i="33"/>
  <c r="AE18" i="33"/>
  <c r="AY18" i="33"/>
  <c r="BD18" i="33"/>
  <c r="I18" i="33"/>
  <c r="AO18" i="33"/>
  <c r="AT18" i="33"/>
  <c r="AE8" i="33"/>
  <c r="AJ8" i="33"/>
  <c r="BD8" i="33"/>
  <c r="I8" i="33"/>
  <c r="AT8" i="33"/>
  <c r="AY8" i="33"/>
  <c r="AO8" i="33"/>
  <c r="AX141" i="33"/>
  <c r="AZ141" i="33" s="1"/>
  <c r="AH142" i="33"/>
  <c r="AR143" i="33"/>
  <c r="BB144" i="33"/>
  <c r="AM145" i="33"/>
  <c r="AD147" i="33"/>
  <c r="AF147" i="33" s="1"/>
  <c r="AN148" i="33"/>
  <c r="AX8" i="33"/>
  <c r="AZ8" i="33" s="1"/>
  <c r="AS5" i="33"/>
  <c r="AH6" i="33"/>
  <c r="AI149" i="33"/>
  <c r="AK149" i="33" s="1"/>
  <c r="AW150" i="33"/>
  <c r="AD151" i="33"/>
  <c r="AF151" i="33" s="1"/>
  <c r="AS2" i="33"/>
  <c r="AD3" i="33"/>
  <c r="AF3" i="33" s="1"/>
  <c r="AN4" i="33"/>
  <c r="BB7" i="33"/>
  <c r="AM11" i="33"/>
  <c r="AX12" i="33"/>
  <c r="AZ12" i="33" s="1"/>
  <c r="AH13" i="33"/>
  <c r="AW14" i="33"/>
  <c r="AH15" i="33"/>
  <c r="AW16" i="33"/>
  <c r="AH17" i="33"/>
  <c r="AW18" i="33"/>
  <c r="AH19" i="33"/>
  <c r="AN20" i="33"/>
  <c r="AH22" i="33"/>
  <c r="AW23" i="33"/>
  <c r="AH24" i="33"/>
  <c r="AR25" i="33"/>
  <c r="BC26" i="33"/>
  <c r="BE26" i="33" s="1"/>
  <c r="AM27" i="33"/>
  <c r="AX28" i="33"/>
  <c r="AZ28" i="33" s="1"/>
  <c r="AI29" i="33"/>
  <c r="AK29" i="33" s="1"/>
  <c r="AW30" i="33"/>
  <c r="AH31" i="33"/>
  <c r="AW32" i="33"/>
  <c r="AH33" i="33"/>
  <c r="AR34" i="33"/>
  <c r="AC35" i="33"/>
  <c r="BC35" i="33"/>
  <c r="BE35" i="33" s="1"/>
  <c r="AN36" i="33"/>
  <c r="BB37" i="33"/>
  <c r="AM38" i="33"/>
  <c r="AW39" i="33"/>
  <c r="AD40" i="33"/>
  <c r="AF40" i="33" s="1"/>
  <c r="AR41" i="33"/>
  <c r="AX42" i="33"/>
  <c r="AZ42" i="33" s="1"/>
  <c r="AI43" i="33"/>
  <c r="AK43" i="33" s="1"/>
  <c r="AX44" i="33"/>
  <c r="AZ44" i="33" s="1"/>
  <c r="AI45" i="33"/>
  <c r="AK45" i="33" s="1"/>
  <c r="AR140" i="33"/>
  <c r="BB141" i="33"/>
  <c r="AI142" i="33"/>
  <c r="AK142" i="33" s="1"/>
  <c r="AS143" i="33"/>
  <c r="AC144" i="33"/>
  <c r="BC144" i="33"/>
  <c r="BE144" i="33" s="1"/>
  <c r="AN145" i="33"/>
  <c r="AW146" i="33"/>
  <c r="AH147" i="33"/>
  <c r="AC8" i="33"/>
  <c r="AW5" i="33"/>
  <c r="AI6" i="33"/>
  <c r="AK6" i="33" s="1"/>
  <c r="AM149" i="33"/>
  <c r="AX150" i="33"/>
  <c r="AZ150" i="33" s="1"/>
  <c r="AH151" i="33"/>
  <c r="AW2" i="33"/>
  <c r="AR4" i="33"/>
  <c r="BC7" i="33"/>
  <c r="BE7" i="33" s="1"/>
  <c r="AN11" i="33"/>
  <c r="BB12" i="33"/>
  <c r="AI13" i="33"/>
  <c r="AK13" i="33" s="1"/>
  <c r="AX14" i="33"/>
  <c r="AZ14" i="33" s="1"/>
  <c r="AI15" i="33"/>
  <c r="AK15" i="33" s="1"/>
  <c r="AX16" i="33"/>
  <c r="AZ16" i="33" s="1"/>
  <c r="AI17" i="33"/>
  <c r="AK17" i="33" s="1"/>
  <c r="AX18" i="33"/>
  <c r="AZ18" i="33" s="1"/>
  <c r="AI19" i="33"/>
  <c r="AK19" i="33" s="1"/>
  <c r="AR20" i="33"/>
  <c r="BB21" i="33"/>
  <c r="AI22" i="33"/>
  <c r="AK22" i="33" s="1"/>
  <c r="AX23" i="33"/>
  <c r="AZ23" i="33" s="1"/>
  <c r="AI24" i="33"/>
  <c r="AK24" i="33" s="1"/>
  <c r="AS25" i="33"/>
  <c r="AC26" i="33"/>
  <c r="AN27" i="33"/>
  <c r="BB28" i="33"/>
  <c r="AM29" i="33"/>
  <c r="AX30" i="33"/>
  <c r="AZ30" i="33" s="1"/>
  <c r="AI31" i="33"/>
  <c r="AK31" i="33" s="1"/>
  <c r="AX32" i="33"/>
  <c r="AZ32" i="33" s="1"/>
  <c r="AI33" i="33"/>
  <c r="AK33" i="33" s="1"/>
  <c r="AS34" i="33"/>
  <c r="AD35" i="33"/>
  <c r="AF35" i="33" s="1"/>
  <c r="AR36" i="33"/>
  <c r="AC37" i="33"/>
  <c r="BC37" i="33"/>
  <c r="BE37" i="33" s="1"/>
  <c r="AN38" i="33"/>
  <c r="AX39" i="33"/>
  <c r="AZ39" i="33" s="1"/>
  <c r="AS41" i="33"/>
  <c r="BB42" i="33"/>
  <c r="AM43" i="33"/>
  <c r="BB44" i="33"/>
  <c r="AM45" i="33"/>
  <c r="AW46" i="33"/>
  <c r="AD47" i="33"/>
  <c r="AF47" i="33" s="1"/>
  <c r="AS48" i="33"/>
  <c r="AD49" i="33"/>
  <c r="AF49" i="33" s="1"/>
  <c r="AR50" i="33"/>
  <c r="AC51" i="33"/>
  <c r="AR52" i="33"/>
  <c r="AC53" i="33"/>
  <c r="BC53" i="33"/>
  <c r="BE53" i="33" s="1"/>
  <c r="AN54" i="33"/>
  <c r="AI56" i="33"/>
  <c r="AK56" i="33" s="1"/>
  <c r="AX57" i="33"/>
  <c r="AZ57" i="33" s="1"/>
  <c r="AI58" i="33"/>
  <c r="AK58" i="33" s="1"/>
  <c r="AS59" i="33"/>
  <c r="AC60" i="33"/>
  <c r="AR61" i="33"/>
  <c r="AC62" i="33"/>
  <c r="BB62" i="33"/>
  <c r="AI63" i="33"/>
  <c r="AK63" i="33" s="1"/>
  <c r="AR64" i="33"/>
  <c r="AC65" i="33"/>
  <c r="BC65" i="33"/>
  <c r="BE65" i="33" s="1"/>
  <c r="AW140" i="33"/>
  <c r="AH141" i="33"/>
  <c r="AC143" i="33"/>
  <c r="AX143" i="33"/>
  <c r="AZ143" i="33" s="1"/>
  <c r="AH144" i="33"/>
  <c r="AS145" i="33"/>
  <c r="BC146" i="33"/>
  <c r="BE146" i="33" s="1"/>
  <c r="AN147" i="33"/>
  <c r="AW148" i="33"/>
  <c r="AI8" i="33"/>
  <c r="AK8" i="33" s="1"/>
  <c r="BC5" i="33"/>
  <c r="BE5" i="33" s="1"/>
  <c r="AR6" i="33"/>
  <c r="AS149" i="33"/>
  <c r="AD150" i="33"/>
  <c r="AF150" i="33" s="1"/>
  <c r="AN151" i="33"/>
  <c r="BC2" i="33"/>
  <c r="BE2" i="33" s="1"/>
  <c r="AM3" i="33"/>
  <c r="AX4" i="33"/>
  <c r="AZ4" i="33" s="1"/>
  <c r="AH7" i="33"/>
  <c r="AW11" i="33"/>
  <c r="AR13" i="33"/>
  <c r="AC14" i="33"/>
  <c r="AR15" i="33"/>
  <c r="AC16" i="33"/>
  <c r="AR17" i="33"/>
  <c r="AC18" i="33"/>
  <c r="AR19" i="33"/>
  <c r="AW20" i="33"/>
  <c r="AH21" i="33"/>
  <c r="AR22" i="33"/>
  <c r="AC23" i="33"/>
  <c r="AR24" i="33"/>
  <c r="AX25" i="33"/>
  <c r="AZ25" i="33" s="1"/>
  <c r="AI26" i="33"/>
  <c r="AK26" i="33" s="1"/>
  <c r="AW27" i="33"/>
  <c r="AD28" i="33"/>
  <c r="AF28" i="33" s="1"/>
  <c r="AS29" i="33"/>
  <c r="AD30" i="33"/>
  <c r="AF30" i="33" s="1"/>
  <c r="AR31" i="33"/>
  <c r="AC32" i="33"/>
  <c r="AR33" i="33"/>
  <c r="AC34" i="33"/>
  <c r="BB34" i="33"/>
  <c r="AI35" i="33"/>
  <c r="AK35" i="33" s="1"/>
  <c r="AX36" i="33"/>
  <c r="AZ36" i="33" s="1"/>
  <c r="AH37" i="33"/>
  <c r="AC140" i="33"/>
  <c r="AX140" i="33"/>
  <c r="AZ140" i="33" s="1"/>
  <c r="AI141" i="33"/>
  <c r="AK141" i="33" s="1"/>
  <c r="AR142" i="33"/>
  <c r="AD143" i="33"/>
  <c r="AF143" i="33" s="1"/>
  <c r="BB143" i="33"/>
  <c r="AI144" i="33"/>
  <c r="AK144" i="33" s="1"/>
  <c r="AW145" i="33"/>
  <c r="AH146" i="33"/>
  <c r="AR147" i="33"/>
  <c r="AX148" i="33"/>
  <c r="AZ148" i="33" s="1"/>
  <c r="AC5" i="33"/>
  <c r="AS6" i="33"/>
  <c r="AW149" i="33"/>
  <c r="AH150" i="33"/>
  <c r="AR151" i="33"/>
  <c r="AC2" i="33"/>
  <c r="AN3" i="33"/>
  <c r="AI7" i="33"/>
  <c r="AK7" i="33" s="1"/>
  <c r="AX11" i="33"/>
  <c r="AZ11" i="33" s="1"/>
  <c r="AH12" i="33"/>
  <c r="AS13" i="33"/>
  <c r="AD14" i="33"/>
  <c r="AF14" i="33" s="1"/>
  <c r="AS15" i="33"/>
  <c r="AD16" i="33"/>
  <c r="AF16" i="33" s="1"/>
  <c r="AS17" i="33"/>
  <c r="AD18" i="33"/>
  <c r="AF18" i="33" s="1"/>
  <c r="AS19" i="33"/>
  <c r="AX20" i="33"/>
  <c r="AZ20" i="33" s="1"/>
  <c r="AI21" i="33"/>
  <c r="AK21" i="33" s="1"/>
  <c r="AS22" i="33"/>
  <c r="AD23" i="33"/>
  <c r="AF23" i="33" s="1"/>
  <c r="AS24" i="33"/>
  <c r="AC25" i="33"/>
  <c r="BB25" i="33"/>
  <c r="AM26" i="33"/>
  <c r="AX27" i="33"/>
  <c r="AZ27" i="33" s="1"/>
  <c r="AH28" i="33"/>
  <c r="AW29" i="33"/>
  <c r="AH30" i="33"/>
  <c r="AS31" i="33"/>
  <c r="AD32" i="33"/>
  <c r="AF32" i="33" s="1"/>
  <c r="AS33" i="33"/>
  <c r="AD34" i="33"/>
  <c r="AF34" i="33" s="1"/>
  <c r="BC34" i="33"/>
  <c r="BE34" i="33" s="1"/>
  <c r="AM35" i="33"/>
  <c r="BB36" i="33"/>
  <c r="AI37" i="33"/>
  <c r="AK37" i="33" s="1"/>
  <c r="AW38" i="33"/>
  <c r="AH39" i="33"/>
  <c r="AN40" i="33"/>
  <c r="BC41" i="33"/>
  <c r="BE41" i="33" s="1"/>
  <c r="AI42" i="33"/>
  <c r="AK42" i="33" s="1"/>
  <c r="AW43" i="33"/>
  <c r="AD140" i="33"/>
  <c r="AF140" i="33" s="1"/>
  <c r="BB140" i="33"/>
  <c r="AM141" i="33"/>
  <c r="AS142" i="33"/>
  <c r="BC143" i="33"/>
  <c r="BE143" i="33" s="1"/>
  <c r="AM144" i="33"/>
  <c r="AX145" i="33"/>
  <c r="AZ145" i="33" s="1"/>
  <c r="AI146" i="33"/>
  <c r="AK146" i="33" s="1"/>
  <c r="AS147" i="33"/>
  <c r="AC148" i="33"/>
  <c r="BB148" i="33"/>
  <c r="AM8" i="33"/>
  <c r="AD5" i="33"/>
  <c r="AF5" i="33" s="1"/>
  <c r="AW6" i="33"/>
  <c r="AX149" i="33"/>
  <c r="AZ149" i="33" s="1"/>
  <c r="AI150" i="33"/>
  <c r="AK150" i="33" s="1"/>
  <c r="AS151" i="33"/>
  <c r="AD2" i="33"/>
  <c r="AF2" i="33" s="1"/>
  <c r="AR3" i="33"/>
  <c r="BB4" i="33"/>
  <c r="AM7" i="33"/>
  <c r="BB11" i="33"/>
  <c r="AI12" i="33"/>
  <c r="AK12" i="33" s="1"/>
  <c r="AW13" i="33"/>
  <c r="AH14" i="33"/>
  <c r="AW15" i="33"/>
  <c r="AH16" i="33"/>
  <c r="AW17" i="33"/>
  <c r="AH18" i="33"/>
  <c r="AW19" i="33"/>
  <c r="AC20" i="33"/>
  <c r="BB20" i="33"/>
  <c r="AM21" i="33"/>
  <c r="AW22" i="33"/>
  <c r="AH23" i="33"/>
  <c r="AW24" i="33"/>
  <c r="AD25" i="33"/>
  <c r="AF25" i="33" s="1"/>
  <c r="BC25" i="33"/>
  <c r="BE25" i="33" s="1"/>
  <c r="AN26" i="33"/>
  <c r="BB27" i="33"/>
  <c r="AI28" i="33"/>
  <c r="AK28" i="33" s="1"/>
  <c r="AX29" i="33"/>
  <c r="AZ29" i="33" s="1"/>
  <c r="AI30" i="33"/>
  <c r="AK30" i="33" s="1"/>
  <c r="AW31" i="33"/>
  <c r="AH32" i="33"/>
  <c r="AW33" i="33"/>
  <c r="AH34" i="33"/>
  <c r="AN35" i="33"/>
  <c r="BC36" i="33"/>
  <c r="BE36" i="33" s="1"/>
  <c r="AM37" i="33"/>
  <c r="AX38" i="33"/>
  <c r="AZ38" i="33" s="1"/>
  <c r="AI39" i="33"/>
  <c r="AK39" i="33" s="1"/>
  <c r="AR40" i="33"/>
  <c r="AC41" i="33"/>
  <c r="AM42" i="33"/>
  <c r="AX43" i="33"/>
  <c r="AZ43" i="33" s="1"/>
  <c r="AI44" i="33"/>
  <c r="AK44" i="33" s="1"/>
  <c r="AX45" i="33"/>
  <c r="AZ45" i="33" s="1"/>
  <c r="BC140" i="33"/>
  <c r="BE140" i="33" s="1"/>
  <c r="AN141" i="33"/>
  <c r="AW142" i="33"/>
  <c r="AH143" i="33"/>
  <c r="AN144" i="33"/>
  <c r="BB145" i="33"/>
  <c r="AM146" i="33"/>
  <c r="AD148" i="33"/>
  <c r="AF148" i="33" s="1"/>
  <c r="BC148" i="33"/>
  <c r="BE148" i="33" s="1"/>
  <c r="AN8" i="33"/>
  <c r="AH5" i="33"/>
  <c r="AX6" i="33"/>
  <c r="AZ6" i="33" s="1"/>
  <c r="BB149" i="33"/>
  <c r="AM150" i="33"/>
  <c r="AW151" i="33"/>
  <c r="AH2" i="33"/>
  <c r="AS3" i="33"/>
  <c r="AC4" i="33"/>
  <c r="BC4" i="33"/>
  <c r="BE4" i="33" s="1"/>
  <c r="AN7" i="33"/>
  <c r="BC11" i="33"/>
  <c r="BE11" i="33" s="1"/>
  <c r="AM12" i="33"/>
  <c r="AX13" i="33"/>
  <c r="AZ13" i="33" s="1"/>
  <c r="AI14" i="33"/>
  <c r="AK14" i="33" s="1"/>
  <c r="AX15" i="33"/>
  <c r="AZ15" i="33" s="1"/>
  <c r="AI16" i="33"/>
  <c r="AK16" i="33" s="1"/>
  <c r="AX17" i="33"/>
  <c r="AZ17" i="33" s="1"/>
  <c r="AI18" i="33"/>
  <c r="AK18" i="33" s="1"/>
  <c r="AX19" i="33"/>
  <c r="AZ19" i="33" s="1"/>
  <c r="AD20" i="33"/>
  <c r="AF20" i="33" s="1"/>
  <c r="BC20" i="33"/>
  <c r="BE20" i="33" s="1"/>
  <c r="AN21" i="33"/>
  <c r="AX22" i="33"/>
  <c r="AZ22" i="33" s="1"/>
  <c r="AI23" i="33"/>
  <c r="AK23" i="33" s="1"/>
  <c r="AX24" i="33"/>
  <c r="AZ24" i="33" s="1"/>
  <c r="AR26" i="33"/>
  <c r="AC27" i="33"/>
  <c r="BC27" i="33"/>
  <c r="BE27" i="33" s="1"/>
  <c r="AM28" i="33"/>
  <c r="BB29" i="33"/>
  <c r="AM30" i="33"/>
  <c r="AX31" i="33"/>
  <c r="AZ31" i="33" s="1"/>
  <c r="AI32" i="33"/>
  <c r="AK32" i="33" s="1"/>
  <c r="AX33" i="33"/>
  <c r="AZ33" i="33" s="1"/>
  <c r="AI34" i="33"/>
  <c r="AK34" i="33" s="1"/>
  <c r="AH140" i="33"/>
  <c r="AR141" i="33"/>
  <c r="AX142" i="33"/>
  <c r="AZ142" i="33" s="1"/>
  <c r="AI143" i="33"/>
  <c r="AK143" i="33" s="1"/>
  <c r="AR144" i="33"/>
  <c r="AC145" i="33"/>
  <c r="BC145" i="33"/>
  <c r="BE145" i="33" s="1"/>
  <c r="AN146" i="33"/>
  <c r="AW147" i="33"/>
  <c r="AI5" i="33"/>
  <c r="AK5" i="33" s="1"/>
  <c r="BB6" i="33"/>
  <c r="BC149" i="33"/>
  <c r="BE149" i="33" s="1"/>
  <c r="AN150" i="33"/>
  <c r="AX151" i="33"/>
  <c r="AZ151" i="33" s="1"/>
  <c r="AI2" i="33"/>
  <c r="AK2" i="33" s="1"/>
  <c r="AW3" i="33"/>
  <c r="AD4" i="33"/>
  <c r="AF4" i="33" s="1"/>
  <c r="AR7" i="33"/>
  <c r="AC11" i="33"/>
  <c r="AN12" i="33"/>
  <c r="BB13" i="33"/>
  <c r="AM14" i="33"/>
  <c r="BB15" i="33"/>
  <c r="AM16" i="33"/>
  <c r="BB17" i="33"/>
  <c r="AM18" i="33"/>
  <c r="AR21" i="33"/>
  <c r="BB22" i="33"/>
  <c r="AM23" i="33"/>
  <c r="AH25" i="33"/>
  <c r="AS26" i="33"/>
  <c r="AD27" i="33"/>
  <c r="AF27" i="33" s="1"/>
  <c r="AN28" i="33"/>
  <c r="BC29" i="33"/>
  <c r="BE29" i="33" s="1"/>
  <c r="AN30" i="33"/>
  <c r="BB31" i="33"/>
  <c r="AM32" i="33"/>
  <c r="BB33" i="33"/>
  <c r="AS35" i="33"/>
  <c r="AD36" i="33"/>
  <c r="AF36" i="33" s="1"/>
  <c r="AR37" i="33"/>
  <c r="AC38" i="33"/>
  <c r="BC38" i="33"/>
  <c r="BE38" i="33" s="1"/>
  <c r="AN39" i="33"/>
  <c r="AW40" i="33"/>
  <c r="AH41" i="33"/>
  <c r="AR42" i="33"/>
  <c r="BC43" i="33"/>
  <c r="BE43" i="33" s="1"/>
  <c r="AD141" i="33"/>
  <c r="AF141" i="33" s="1"/>
  <c r="AD142" i="33"/>
  <c r="AF142" i="33" s="1"/>
  <c r="AN143" i="33"/>
  <c r="AW144" i="33"/>
  <c r="AR145" i="33"/>
  <c r="BB146" i="33"/>
  <c r="AC149" i="33"/>
  <c r="AI151" i="33"/>
  <c r="AK151" i="33" s="1"/>
  <c r="AR2" i="33"/>
  <c r="AX3" i="33"/>
  <c r="AZ3" i="33" s="1"/>
  <c r="AC19" i="33"/>
  <c r="AD26" i="33"/>
  <c r="AF26" i="33" s="1"/>
  <c r="AI27" i="33"/>
  <c r="AK27" i="33" s="1"/>
  <c r="AR28" i="33"/>
  <c r="AH29" i="33"/>
  <c r="AS30" i="33"/>
  <c r="AN31" i="33"/>
  <c r="BC32" i="33"/>
  <c r="BE32" i="33" s="1"/>
  <c r="BC39" i="33"/>
  <c r="BE39" i="33" s="1"/>
  <c r="AS40" i="33"/>
  <c r="AM41" i="33"/>
  <c r="BC44" i="33"/>
  <c r="BE44" i="33" s="1"/>
  <c r="AS45" i="33"/>
  <c r="AD46" i="33"/>
  <c r="AF46" i="33" s="1"/>
  <c r="AS47" i="33"/>
  <c r="AD48" i="33"/>
  <c r="AF48" i="33" s="1"/>
  <c r="AX49" i="33"/>
  <c r="AZ49" i="33" s="1"/>
  <c r="AH50" i="33"/>
  <c r="BB51" i="33"/>
  <c r="AM52" i="33"/>
  <c r="AS54" i="33"/>
  <c r="AD55" i="33"/>
  <c r="AF55" i="33" s="1"/>
  <c r="BC55" i="33"/>
  <c r="BE55" i="33" s="1"/>
  <c r="AR56" i="33"/>
  <c r="AC57" i="33"/>
  <c r="AS58" i="33"/>
  <c r="AD59" i="33"/>
  <c r="AF59" i="33" s="1"/>
  <c r="AS60" i="33"/>
  <c r="AD61" i="33"/>
  <c r="AF61" i="33" s="1"/>
  <c r="AD65" i="33"/>
  <c r="AF65" i="33" s="1"/>
  <c r="AW66" i="33"/>
  <c r="AI67" i="33"/>
  <c r="AK67" i="33" s="1"/>
  <c r="AX68" i="33"/>
  <c r="AZ68" i="33" s="1"/>
  <c r="AM69" i="33"/>
  <c r="BC70" i="33"/>
  <c r="BE70" i="33" s="1"/>
  <c r="AR71" i="33"/>
  <c r="AD72" i="33"/>
  <c r="AF72" i="33" s="1"/>
  <c r="AS73" i="33"/>
  <c r="AH74" i="33"/>
  <c r="AW75" i="33"/>
  <c r="AI76" i="33"/>
  <c r="AK76" i="33" s="1"/>
  <c r="BB77" i="33"/>
  <c r="AN78" i="33"/>
  <c r="AC79" i="33"/>
  <c r="BC79" i="33"/>
  <c r="BE79" i="33" s="1"/>
  <c r="AR80" i="33"/>
  <c r="AD81" i="33"/>
  <c r="AF81" i="33" s="1"/>
  <c r="AW82" i="33"/>
  <c r="AI83" i="33"/>
  <c r="AK83" i="33" s="1"/>
  <c r="AX84" i="33"/>
  <c r="AZ84" i="33" s="1"/>
  <c r="AI85" i="33"/>
  <c r="AK85" i="33" s="1"/>
  <c r="AX86" i="33"/>
  <c r="AZ86" i="33" s="1"/>
  <c r="AM87" i="33"/>
  <c r="BC88" i="33"/>
  <c r="BE88" i="33" s="1"/>
  <c r="AN89" i="33"/>
  <c r="BB90" i="33"/>
  <c r="AM91" i="33"/>
  <c r="BB92" i="33"/>
  <c r="AM93" i="33"/>
  <c r="AX94" i="33"/>
  <c r="AZ94" i="33" s="1"/>
  <c r="AI95" i="33"/>
  <c r="AK95" i="33" s="1"/>
  <c r="AX96" i="33"/>
  <c r="AZ96" i="33" s="1"/>
  <c r="AI97" i="33"/>
  <c r="AK97" i="33" s="1"/>
  <c r="AX98" i="33"/>
  <c r="AZ98" i="33" s="1"/>
  <c r="AH99" i="33"/>
  <c r="AW100" i="33"/>
  <c r="AH101" i="33"/>
  <c r="AW102" i="33"/>
  <c r="AH103" i="33"/>
  <c r="AI140" i="33"/>
  <c r="AK140" i="33" s="1"/>
  <c r="AS141" i="33"/>
  <c r="AX144" i="33"/>
  <c r="AZ144" i="33" s="1"/>
  <c r="AD149" i="33"/>
  <c r="AF149" i="33" s="1"/>
  <c r="AR150" i="33"/>
  <c r="AM151" i="33"/>
  <c r="AX2" i="33"/>
  <c r="AZ2" i="33" s="1"/>
  <c r="BB3" i="33"/>
  <c r="AN18" i="33"/>
  <c r="AD19" i="33"/>
  <c r="AF19" i="33" s="1"/>
  <c r="AC24" i="33"/>
  <c r="AI25" i="33"/>
  <c r="AK25" i="33" s="1"/>
  <c r="AH26" i="33"/>
  <c r="AS28" i="33"/>
  <c r="AN29" i="33"/>
  <c r="BB30" i="33"/>
  <c r="BC31" i="33"/>
  <c r="BE31" i="33" s="1"/>
  <c r="AX40" i="33"/>
  <c r="AZ40" i="33" s="1"/>
  <c r="AN41" i="33"/>
  <c r="AC42" i="33"/>
  <c r="AW45" i="33"/>
  <c r="AH46" i="33"/>
  <c r="AW47" i="33"/>
  <c r="AH48" i="33"/>
  <c r="BB49" i="33"/>
  <c r="AI50" i="33"/>
  <c r="AK50" i="33" s="1"/>
  <c r="BC51" i="33"/>
  <c r="BE51" i="33" s="1"/>
  <c r="AN52" i="33"/>
  <c r="AD53" i="33"/>
  <c r="AF53" i="33" s="1"/>
  <c r="AW54" i="33"/>
  <c r="AS56" i="33"/>
  <c r="AD57" i="33"/>
  <c r="AF57" i="33" s="1"/>
  <c r="AW58" i="33"/>
  <c r="AW60" i="33"/>
  <c r="AH61" i="33"/>
  <c r="AW62" i="33"/>
  <c r="AH63" i="33"/>
  <c r="AS64" i="33"/>
  <c r="AH65" i="33"/>
  <c r="AX66" i="33"/>
  <c r="AZ66" i="33" s="1"/>
  <c r="AM67" i="33"/>
  <c r="BB68" i="33"/>
  <c r="AN69" i="33"/>
  <c r="AC70" i="33"/>
  <c r="AS71" i="33"/>
  <c r="AH72" i="33"/>
  <c r="AW73" i="33"/>
  <c r="AI74" i="33"/>
  <c r="AK74" i="33" s="1"/>
  <c r="AX75" i="33"/>
  <c r="AZ75" i="33" s="1"/>
  <c r="AM76" i="33"/>
  <c r="BC77" i="33"/>
  <c r="BE77" i="33" s="1"/>
  <c r="AR78" i="33"/>
  <c r="AD79" i="33"/>
  <c r="AF79" i="33" s="1"/>
  <c r="AS80" i="33"/>
  <c r="AH81" i="33"/>
  <c r="AX82" i="33"/>
  <c r="AZ82" i="33" s="1"/>
  <c r="AM83" i="33"/>
  <c r="BB84" i="33"/>
  <c r="AM85" i="33"/>
  <c r="BB86" i="33"/>
  <c r="AN87" i="33"/>
  <c r="AC88" i="33"/>
  <c r="AR89" i="33"/>
  <c r="BC90" i="33"/>
  <c r="BE90" i="33" s="1"/>
  <c r="AN91" i="33"/>
  <c r="BC92" i="33"/>
  <c r="BE92" i="33" s="1"/>
  <c r="AN93" i="33"/>
  <c r="BB94" i="33"/>
  <c r="AM95" i="33"/>
  <c r="BB96" i="33"/>
  <c r="AM97" i="33"/>
  <c r="AI99" i="33"/>
  <c r="AK99" i="33" s="1"/>
  <c r="AX100" i="33"/>
  <c r="AZ100" i="33" s="1"/>
  <c r="AI101" i="33"/>
  <c r="AK101" i="33" s="1"/>
  <c r="AX102" i="33"/>
  <c r="AZ102" i="33" s="1"/>
  <c r="AI103" i="33"/>
  <c r="AK103" i="33" s="1"/>
  <c r="AM140" i="33"/>
  <c r="AM142" i="33"/>
  <c r="AH149" i="33"/>
  <c r="AS150" i="33"/>
  <c r="BB151" i="33"/>
  <c r="BB2" i="33"/>
  <c r="BC3" i="33"/>
  <c r="BE3" i="33" s="1"/>
  <c r="AC17" i="33"/>
  <c r="AR18" i="33"/>
  <c r="AM19" i="33"/>
  <c r="AC21" i="33"/>
  <c r="AC22" i="33"/>
  <c r="AN23" i="33"/>
  <c r="AD24" i="33"/>
  <c r="AF24" i="33" s="1"/>
  <c r="AM25" i="33"/>
  <c r="AW26" i="33"/>
  <c r="AR27" i="33"/>
  <c r="AW28" i="33"/>
  <c r="AR29" i="33"/>
  <c r="BC30" i="33"/>
  <c r="BE30" i="33" s="1"/>
  <c r="BB40" i="33"/>
  <c r="AW41" i="33"/>
  <c r="AD42" i="33"/>
  <c r="AF42" i="33" s="1"/>
  <c r="AI46" i="33"/>
  <c r="AK46" i="33" s="1"/>
  <c r="AX47" i="33"/>
  <c r="AZ47" i="33" s="1"/>
  <c r="AI48" i="33"/>
  <c r="AK48" i="33" s="1"/>
  <c r="BC49" i="33"/>
  <c r="BE49" i="33" s="1"/>
  <c r="AM50" i="33"/>
  <c r="AS52" i="33"/>
  <c r="AH53" i="33"/>
  <c r="AX54" i="33"/>
  <c r="AZ54" i="33" s="1"/>
  <c r="AH55" i="33"/>
  <c r="AW56" i="33"/>
  <c r="AH57" i="33"/>
  <c r="AX58" i="33"/>
  <c r="AZ58" i="33" s="1"/>
  <c r="AH59" i="33"/>
  <c r="AX60" i="33"/>
  <c r="AZ60" i="33" s="1"/>
  <c r="AI61" i="33"/>
  <c r="AK61" i="33" s="1"/>
  <c r="AX62" i="33"/>
  <c r="AZ62" i="33" s="1"/>
  <c r="AI65" i="33"/>
  <c r="AK65" i="33" s="1"/>
  <c r="BB66" i="33"/>
  <c r="AN67" i="33"/>
  <c r="AC68" i="33"/>
  <c r="BC68" i="33"/>
  <c r="BE68" i="33" s="1"/>
  <c r="AR69" i="33"/>
  <c r="AD70" i="33"/>
  <c r="AF70" i="33" s="1"/>
  <c r="AW71" i="33"/>
  <c r="AI72" i="33"/>
  <c r="AK72" i="33" s="1"/>
  <c r="AX73" i="33"/>
  <c r="AZ73" i="33" s="1"/>
  <c r="AM74" i="33"/>
  <c r="BB75" i="33"/>
  <c r="AN76" i="33"/>
  <c r="AC77" i="33"/>
  <c r="AS78" i="33"/>
  <c r="AH79" i="33"/>
  <c r="AW80" i="33"/>
  <c r="AI81" i="33"/>
  <c r="AK81" i="33" s="1"/>
  <c r="BB82" i="33"/>
  <c r="AN83" i="33"/>
  <c r="AC84" i="33"/>
  <c r="BC84" i="33"/>
  <c r="BE84" i="33" s="1"/>
  <c r="AN85" i="33"/>
  <c r="AC86" i="33"/>
  <c r="BC86" i="33"/>
  <c r="BE86" i="33" s="1"/>
  <c r="AR87" i="33"/>
  <c r="AD88" i="33"/>
  <c r="AF88" i="33" s="1"/>
  <c r="AS89" i="33"/>
  <c r="AN140" i="33"/>
  <c r="AW141" i="33"/>
  <c r="AN142" i="33"/>
  <c r="AW143" i="33"/>
  <c r="AD8" i="33"/>
  <c r="AF8" i="33" s="1"/>
  <c r="AC6" i="33"/>
  <c r="AN149" i="33"/>
  <c r="BB150" i="33"/>
  <c r="BC151" i="33"/>
  <c r="BE151" i="33" s="1"/>
  <c r="AN16" i="33"/>
  <c r="AD17" i="33"/>
  <c r="AF17" i="33" s="1"/>
  <c r="AS18" i="33"/>
  <c r="AN19" i="33"/>
  <c r="AH20" i="33"/>
  <c r="AD21" i="33"/>
  <c r="AF21" i="33" s="1"/>
  <c r="AD22" i="33"/>
  <c r="AF22" i="33" s="1"/>
  <c r="AR23" i="33"/>
  <c r="AM24" i="33"/>
  <c r="AN25" i="33"/>
  <c r="AX26" i="33"/>
  <c r="AZ26" i="33" s="1"/>
  <c r="AS27" i="33"/>
  <c r="BC28" i="33"/>
  <c r="BE28" i="33" s="1"/>
  <c r="BC40" i="33"/>
  <c r="BE40" i="33" s="1"/>
  <c r="AX41" i="33"/>
  <c r="AZ41" i="33" s="1"/>
  <c r="AH42" i="33"/>
  <c r="AC43" i="33"/>
  <c r="BB45" i="33"/>
  <c r="AM46" i="33"/>
  <c r="BB47" i="33"/>
  <c r="AM48" i="33"/>
  <c r="AN50" i="33"/>
  <c r="AD51" i="33"/>
  <c r="AF51" i="33" s="1"/>
  <c r="AW52" i="33"/>
  <c r="AI53" i="33"/>
  <c r="AK53" i="33" s="1"/>
  <c r="BB54" i="33"/>
  <c r="AI55" i="33"/>
  <c r="AK55" i="33" s="1"/>
  <c r="AX56" i="33"/>
  <c r="AZ56" i="33" s="1"/>
  <c r="AI57" i="33"/>
  <c r="AK57" i="33" s="1"/>
  <c r="BB58" i="33"/>
  <c r="AI59" i="33"/>
  <c r="AK59" i="33" s="1"/>
  <c r="BB60" i="33"/>
  <c r="AM61" i="33"/>
  <c r="BC62" i="33"/>
  <c r="BE62" i="33" s="1"/>
  <c r="AM63" i="33"/>
  <c r="AW64" i="33"/>
  <c r="AM65" i="33"/>
  <c r="BC66" i="33"/>
  <c r="BE66" i="33" s="1"/>
  <c r="AR67" i="33"/>
  <c r="AD68" i="33"/>
  <c r="AF68" i="33" s="1"/>
  <c r="AS69" i="33"/>
  <c r="AH70" i="33"/>
  <c r="AX71" i="33"/>
  <c r="AZ71" i="33" s="1"/>
  <c r="AM72" i="33"/>
  <c r="BB73" i="33"/>
  <c r="AN74" i="33"/>
  <c r="BC75" i="33"/>
  <c r="BE75" i="33" s="1"/>
  <c r="AR76" i="33"/>
  <c r="AD77" i="33"/>
  <c r="AF77" i="33" s="1"/>
  <c r="AW78" i="33"/>
  <c r="AI79" i="33"/>
  <c r="AK79" i="33" s="1"/>
  <c r="AX80" i="33"/>
  <c r="AZ80" i="33" s="1"/>
  <c r="AM81" i="33"/>
  <c r="BC82" i="33"/>
  <c r="BE82" i="33" s="1"/>
  <c r="AR83" i="33"/>
  <c r="AD84" i="33"/>
  <c r="AF84" i="33" s="1"/>
  <c r="AR85" i="33"/>
  <c r="AD86" i="33"/>
  <c r="AF86" i="33" s="1"/>
  <c r="AS87" i="33"/>
  <c r="AH88" i="33"/>
  <c r="AW89" i="33"/>
  <c r="AD90" i="33"/>
  <c r="AF90" i="33" s="1"/>
  <c r="AS91" i="33"/>
  <c r="AD92" i="33"/>
  <c r="AF92" i="33" s="1"/>
  <c r="AS93" i="33"/>
  <c r="AD94" i="33"/>
  <c r="AF94" i="33" s="1"/>
  <c r="AR95" i="33"/>
  <c r="AS140" i="33"/>
  <c r="BC141" i="33"/>
  <c r="BE141" i="33" s="1"/>
  <c r="BB142" i="33"/>
  <c r="AH8" i="33"/>
  <c r="AD6" i="33"/>
  <c r="AF6" i="33" s="1"/>
  <c r="AR149" i="33"/>
  <c r="BC150" i="33"/>
  <c r="BE150" i="33" s="1"/>
  <c r="AC15" i="33"/>
  <c r="AR16" i="33"/>
  <c r="AM17" i="33"/>
  <c r="BB18" i="33"/>
  <c r="AI20" i="33"/>
  <c r="AK20" i="33" s="1"/>
  <c r="AS21" i="33"/>
  <c r="AS23" i="33"/>
  <c r="AN24" i="33"/>
  <c r="BB26" i="33"/>
  <c r="BB41" i="33"/>
  <c r="AN42" i="33"/>
  <c r="AD43" i="33"/>
  <c r="AF43" i="33" s="1"/>
  <c r="AC44" i="33"/>
  <c r="BC45" i="33"/>
  <c r="BE45" i="33" s="1"/>
  <c r="AN46" i="33"/>
  <c r="BC47" i="33"/>
  <c r="BE47" i="33" s="1"/>
  <c r="AN48" i="33"/>
  <c r="AC49" i="33"/>
  <c r="AS50" i="33"/>
  <c r="AH51" i="33"/>
  <c r="AX52" i="33"/>
  <c r="AZ52" i="33" s="1"/>
  <c r="AM53" i="33"/>
  <c r="BC54" i="33"/>
  <c r="BE54" i="33" s="1"/>
  <c r="AM55" i="33"/>
  <c r="BB56" i="33"/>
  <c r="AM57" i="33"/>
  <c r="BC58" i="33"/>
  <c r="BE58" i="33" s="1"/>
  <c r="AM59" i="33"/>
  <c r="BC60" i="33"/>
  <c r="BE60" i="33" s="1"/>
  <c r="AN61" i="33"/>
  <c r="AD62" i="33"/>
  <c r="AF62" i="33" s="1"/>
  <c r="AN63" i="33"/>
  <c r="AX64" i="33"/>
  <c r="AZ64" i="33" s="1"/>
  <c r="AN65" i="33"/>
  <c r="AC66" i="33"/>
  <c r="AS67" i="33"/>
  <c r="AH68" i="33"/>
  <c r="AW69" i="33"/>
  <c r="AI70" i="33"/>
  <c r="AK70" i="33" s="1"/>
  <c r="BB71" i="33"/>
  <c r="AN72" i="33"/>
  <c r="AC73" i="33"/>
  <c r="BC73" i="33"/>
  <c r="BE73" i="33" s="1"/>
  <c r="AC75" i="33"/>
  <c r="AS76" i="33"/>
  <c r="AH77" i="33"/>
  <c r="AX78" i="33"/>
  <c r="AZ78" i="33" s="1"/>
  <c r="BB80" i="33"/>
  <c r="AN81" i="33"/>
  <c r="AC82" i="33"/>
  <c r="AS83" i="33"/>
  <c r="AS85" i="33"/>
  <c r="AH86" i="33"/>
  <c r="AW87" i="33"/>
  <c r="AI88" i="33"/>
  <c r="AK88" i="33" s="1"/>
  <c r="AX89" i="33"/>
  <c r="AZ89" i="33" s="1"/>
  <c r="AH90" i="33"/>
  <c r="AW91" i="33"/>
  <c r="AH92" i="33"/>
  <c r="AW93" i="33"/>
  <c r="AS95" i="33"/>
  <c r="AD96" i="33"/>
  <c r="AF96" i="33" s="1"/>
  <c r="AS97" i="33"/>
  <c r="AD98" i="33"/>
  <c r="AF98" i="33" s="1"/>
  <c r="AR99" i="33"/>
  <c r="AC100" i="33"/>
  <c r="AR101" i="33"/>
  <c r="AC102" i="33"/>
  <c r="BC142" i="33"/>
  <c r="BE142" i="33" s="1"/>
  <c r="AH148" i="33"/>
  <c r="AM5" i="33"/>
  <c r="AM6" i="33"/>
  <c r="AC12" i="33"/>
  <c r="AC13" i="33"/>
  <c r="AN14" i="33"/>
  <c r="AD15" i="33"/>
  <c r="AF15" i="33" s="1"/>
  <c r="AS16" i="33"/>
  <c r="AN17" i="33"/>
  <c r="BC18" i="33"/>
  <c r="BE18" i="33" s="1"/>
  <c r="AM20" i="33"/>
  <c r="AW21" i="33"/>
  <c r="AM22" i="33"/>
  <c r="BB23" i="33"/>
  <c r="BB24" i="33"/>
  <c r="AW25" i="33"/>
  <c r="AC36" i="33"/>
  <c r="AD37" i="33"/>
  <c r="AF37" i="33" s="1"/>
  <c r="AD38" i="33"/>
  <c r="AF38" i="33" s="1"/>
  <c r="AC39" i="33"/>
  <c r="AS42" i="33"/>
  <c r="AH43" i="33"/>
  <c r="AD44" i="33"/>
  <c r="AF44" i="33" s="1"/>
  <c r="AR48" i="33"/>
  <c r="AH49" i="33"/>
  <c r="AW50" i="33"/>
  <c r="AI51" i="33"/>
  <c r="AK51" i="33" s="1"/>
  <c r="BB52" i="33"/>
  <c r="AN53" i="33"/>
  <c r="AN55" i="33"/>
  <c r="BC56" i="33"/>
  <c r="BE56" i="33" s="1"/>
  <c r="AN57" i="33"/>
  <c r="AC58" i="33"/>
  <c r="AN59" i="33"/>
  <c r="AS61" i="33"/>
  <c r="AR63" i="33"/>
  <c r="AC64" i="33"/>
  <c r="BB64" i="33"/>
  <c r="AD66" i="33"/>
  <c r="AF66" i="33" s="1"/>
  <c r="AW67" i="33"/>
  <c r="AI68" i="33"/>
  <c r="AK68" i="33" s="1"/>
  <c r="AX69" i="33"/>
  <c r="AZ69" i="33" s="1"/>
  <c r="AM70" i="33"/>
  <c r="BC71" i="33"/>
  <c r="BE71" i="33" s="1"/>
  <c r="AR72" i="33"/>
  <c r="AD73" i="33"/>
  <c r="AF73" i="33" s="1"/>
  <c r="AR74" i="33"/>
  <c r="AD75" i="33"/>
  <c r="AF75" i="33" s="1"/>
  <c r="AW76" i="33"/>
  <c r="AI77" i="33"/>
  <c r="AK77" i="33" s="1"/>
  <c r="BB78" i="33"/>
  <c r="AM79" i="33"/>
  <c r="BC80" i="33"/>
  <c r="BE80" i="33" s="1"/>
  <c r="AR81" i="33"/>
  <c r="AD82" i="33"/>
  <c r="AF82" i="33" s="1"/>
  <c r="AW83" i="33"/>
  <c r="AH84" i="33"/>
  <c r="AW85" i="33"/>
  <c r="AI86" i="33"/>
  <c r="AK86" i="33" s="1"/>
  <c r="AX87" i="33"/>
  <c r="AZ87" i="33" s="1"/>
  <c r="AM88" i="33"/>
  <c r="AI90" i="33"/>
  <c r="AK90" i="33" s="1"/>
  <c r="AX91" i="33"/>
  <c r="AZ91" i="33" s="1"/>
  <c r="AI92" i="33"/>
  <c r="AK92" i="33" s="1"/>
  <c r="AX93" i="33"/>
  <c r="AZ93" i="33" s="1"/>
  <c r="AH94" i="33"/>
  <c r="AW95" i="33"/>
  <c r="AH96" i="33"/>
  <c r="AW97" i="33"/>
  <c r="AH98" i="33"/>
  <c r="AS99" i="33"/>
  <c r="AC146" i="33"/>
  <c r="AC147" i="33"/>
  <c r="AI148" i="33"/>
  <c r="AK148" i="33" s="1"/>
  <c r="AR8" i="33"/>
  <c r="AN5" i="33"/>
  <c r="AN6" i="33"/>
  <c r="AD11" i="33"/>
  <c r="AF11" i="33" s="1"/>
  <c r="AD12" i="33"/>
  <c r="AF12" i="33" s="1"/>
  <c r="AD13" i="33"/>
  <c r="AF13" i="33" s="1"/>
  <c r="AR14" i="33"/>
  <c r="AM15" i="33"/>
  <c r="BB16" i="33"/>
  <c r="BC17" i="33"/>
  <c r="BE17" i="33" s="1"/>
  <c r="BB19" i="33"/>
  <c r="AS20" i="33"/>
  <c r="AX21" i="33"/>
  <c r="AZ21" i="33" s="1"/>
  <c r="AN22" i="33"/>
  <c r="BC23" i="33"/>
  <c r="BE23" i="33" s="1"/>
  <c r="BC24" i="33"/>
  <c r="BE24" i="33" s="1"/>
  <c r="AM34" i="33"/>
  <c r="AH35" i="33"/>
  <c r="AH36" i="33"/>
  <c r="AH38" i="33"/>
  <c r="AD39" i="33"/>
  <c r="AF39" i="33" s="1"/>
  <c r="AN43" i="33"/>
  <c r="AH44" i="33"/>
  <c r="AR46" i="33"/>
  <c r="AC47" i="33"/>
  <c r="AW48" i="33"/>
  <c r="AI49" i="33"/>
  <c r="AK49" i="33" s="1"/>
  <c r="AX50" i="33"/>
  <c r="AZ50" i="33" s="1"/>
  <c r="AM51" i="33"/>
  <c r="BC52" i="33"/>
  <c r="BE52" i="33" s="1"/>
  <c r="AC54" i="33"/>
  <c r="AR55" i="33"/>
  <c r="AR57" i="33"/>
  <c r="AD58" i="33"/>
  <c r="AF58" i="33" s="1"/>
  <c r="AR59" i="33"/>
  <c r="AD60" i="33"/>
  <c r="AF60" i="33" s="1"/>
  <c r="AW61" i="33"/>
  <c r="AH62" i="33"/>
  <c r="AS63" i="33"/>
  <c r="AD64" i="33"/>
  <c r="AF64" i="33" s="1"/>
  <c r="BC64" i="33"/>
  <c r="BE64" i="33" s="1"/>
  <c r="AR65" i="33"/>
  <c r="AH66" i="33"/>
  <c r="AX67" i="33"/>
  <c r="AZ67" i="33" s="1"/>
  <c r="AM68" i="33"/>
  <c r="BB69" i="33"/>
  <c r="AN70" i="33"/>
  <c r="AC71" i="33"/>
  <c r="AS72" i="33"/>
  <c r="AS74" i="33"/>
  <c r="AH75" i="33"/>
  <c r="AX76" i="33"/>
  <c r="AZ76" i="33" s="1"/>
  <c r="AM77" i="33"/>
  <c r="BC78" i="33"/>
  <c r="BE78" i="33" s="1"/>
  <c r="AN79" i="33"/>
  <c r="AC80" i="33"/>
  <c r="AS81" i="33"/>
  <c r="AH82" i="33"/>
  <c r="AX83" i="33"/>
  <c r="AZ83" i="33" s="1"/>
  <c r="AI84" i="33"/>
  <c r="AK84" i="33" s="1"/>
  <c r="AX85" i="33"/>
  <c r="AZ85" i="33" s="1"/>
  <c r="AM86" i="33"/>
  <c r="BB87" i="33"/>
  <c r="AD146" i="33"/>
  <c r="AF146" i="33" s="1"/>
  <c r="AI147" i="33"/>
  <c r="AK147" i="33" s="1"/>
  <c r="AM148" i="33"/>
  <c r="AS8" i="33"/>
  <c r="AR5" i="33"/>
  <c r="BC6" i="33"/>
  <c r="BE6" i="33" s="1"/>
  <c r="AH4" i="33"/>
  <c r="AC7" i="33"/>
  <c r="AH11" i="33"/>
  <c r="AR12" i="33"/>
  <c r="AS14" i="33"/>
  <c r="AN15" i="33"/>
  <c r="BC16" i="33"/>
  <c r="BE16" i="33" s="1"/>
  <c r="BC19" i="33"/>
  <c r="BE19" i="33" s="1"/>
  <c r="BC21" i="33"/>
  <c r="BE21" i="33" s="1"/>
  <c r="BC22" i="33"/>
  <c r="BE22" i="33" s="1"/>
  <c r="AC33" i="33"/>
  <c r="AN34" i="33"/>
  <c r="AR35" i="33"/>
  <c r="AI36" i="33"/>
  <c r="AK36" i="33" s="1"/>
  <c r="AN37" i="33"/>
  <c r="AI38" i="33"/>
  <c r="AK38" i="33" s="1"/>
  <c r="AM39" i="33"/>
  <c r="AW42" i="33"/>
  <c r="AR43" i="33"/>
  <c r="AM44" i="33"/>
  <c r="AC45" i="33"/>
  <c r="AS46" i="33"/>
  <c r="AH47" i="33"/>
  <c r="AX48" i="33"/>
  <c r="AZ48" i="33" s="1"/>
  <c r="AM49" i="33"/>
  <c r="BB50" i="33"/>
  <c r="AN51" i="33"/>
  <c r="AR53" i="33"/>
  <c r="AD54" i="33"/>
  <c r="AF54" i="33" s="1"/>
  <c r="AS55" i="33"/>
  <c r="AC56" i="33"/>
  <c r="AS57" i="33"/>
  <c r="AH58" i="33"/>
  <c r="AW59" i="33"/>
  <c r="AH60" i="33"/>
  <c r="AX61" i="33"/>
  <c r="AZ61" i="33" s="1"/>
  <c r="AI62" i="33"/>
  <c r="AK62" i="33" s="1"/>
  <c r="AW63" i="33"/>
  <c r="AS65" i="33"/>
  <c r="AI66" i="33"/>
  <c r="AK66" i="33" s="1"/>
  <c r="BB67" i="33"/>
  <c r="AN68" i="33"/>
  <c r="BC69" i="33"/>
  <c r="BE69" i="33" s="1"/>
  <c r="AR70" i="33"/>
  <c r="AD71" i="33"/>
  <c r="AF71" i="33" s="1"/>
  <c r="AW72" i="33"/>
  <c r="AH73" i="33"/>
  <c r="AW74" i="33"/>
  <c r="AI75" i="33"/>
  <c r="AK75" i="33" s="1"/>
  <c r="BB76" i="33"/>
  <c r="AN77" i="33"/>
  <c r="AC78" i="33"/>
  <c r="AR79" i="33"/>
  <c r="AD80" i="33"/>
  <c r="AF80" i="33" s="1"/>
  <c r="AW81" i="33"/>
  <c r="AI82" i="33"/>
  <c r="AK82" i="33" s="1"/>
  <c r="BB83" i="33"/>
  <c r="AM84" i="33"/>
  <c r="BB85" i="33"/>
  <c r="AN86" i="33"/>
  <c r="AD145" i="33"/>
  <c r="AF145" i="33" s="1"/>
  <c r="AM147" i="33"/>
  <c r="AR148" i="33"/>
  <c r="AW8" i="33"/>
  <c r="AX5" i="33"/>
  <c r="AZ5" i="33" s="1"/>
  <c r="AI4" i="33"/>
  <c r="AK4" i="33" s="1"/>
  <c r="AD7" i="33"/>
  <c r="AF7" i="33" s="1"/>
  <c r="AI11" i="33"/>
  <c r="AK11" i="33" s="1"/>
  <c r="AS12" i="33"/>
  <c r="AM13" i="33"/>
  <c r="BB14" i="33"/>
  <c r="BC15" i="33"/>
  <c r="BE15" i="33" s="1"/>
  <c r="AN32" i="33"/>
  <c r="AD33" i="33"/>
  <c r="AF33" i="33" s="1"/>
  <c r="AW35" i="33"/>
  <c r="AM36" i="33"/>
  <c r="AS37" i="33"/>
  <c r="AR38" i="33"/>
  <c r="AC40" i="33"/>
  <c r="BC42" i="33"/>
  <c r="BE42" i="33" s="1"/>
  <c r="AS43" i="33"/>
  <c r="AN44" i="33"/>
  <c r="AD45" i="33"/>
  <c r="AF45" i="33" s="1"/>
  <c r="AX46" i="33"/>
  <c r="AZ46" i="33" s="1"/>
  <c r="AI47" i="33"/>
  <c r="AK47" i="33" s="1"/>
  <c r="BB48" i="33"/>
  <c r="AN49" i="33"/>
  <c r="BC50" i="33"/>
  <c r="BE50" i="33" s="1"/>
  <c r="AR51" i="33"/>
  <c r="AC52" i="33"/>
  <c r="AS53" i="33"/>
  <c r="AH54" i="33"/>
  <c r="AW55" i="33"/>
  <c r="AD56" i="33"/>
  <c r="AF56" i="33" s="1"/>
  <c r="AW57" i="33"/>
  <c r="AX59" i="33"/>
  <c r="AZ59" i="33" s="1"/>
  <c r="AI60" i="33"/>
  <c r="AK60" i="33" s="1"/>
  <c r="BB61" i="33"/>
  <c r="AM62" i="33"/>
  <c r="AX63" i="33"/>
  <c r="AZ63" i="33" s="1"/>
  <c r="AH64" i="33"/>
  <c r="AW65" i="33"/>
  <c r="AM66" i="33"/>
  <c r="BC67" i="33"/>
  <c r="BE67" i="33" s="1"/>
  <c r="AC69" i="33"/>
  <c r="AS70" i="33"/>
  <c r="AH71" i="33"/>
  <c r="AX72" i="33"/>
  <c r="AZ72" i="33" s="1"/>
  <c r="AI73" i="33"/>
  <c r="AK73" i="33" s="1"/>
  <c r="AX74" i="33"/>
  <c r="AZ74" i="33" s="1"/>
  <c r="AM75" i="33"/>
  <c r="BC76" i="33"/>
  <c r="BE76" i="33" s="1"/>
  <c r="AR77" i="33"/>
  <c r="AD78" i="33"/>
  <c r="AF78" i="33" s="1"/>
  <c r="AS79" i="33"/>
  <c r="AH80" i="33"/>
  <c r="AX81" i="33"/>
  <c r="AZ81" i="33" s="1"/>
  <c r="AM82" i="33"/>
  <c r="BC83" i="33"/>
  <c r="BE83" i="33" s="1"/>
  <c r="AN84" i="33"/>
  <c r="BC85" i="33"/>
  <c r="BE85" i="33" s="1"/>
  <c r="AC87" i="33"/>
  <c r="AS88" i="33"/>
  <c r="AD89" i="33"/>
  <c r="AF89" i="33" s="1"/>
  <c r="AR90" i="33"/>
  <c r="AD144" i="33"/>
  <c r="AF144" i="33" s="1"/>
  <c r="AH145" i="33"/>
  <c r="AR146" i="33"/>
  <c r="AX147" i="33"/>
  <c r="AZ147" i="33" s="1"/>
  <c r="AS148" i="33"/>
  <c r="BB8" i="33"/>
  <c r="BB5" i="33"/>
  <c r="AC3" i="33"/>
  <c r="AM4" i="33"/>
  <c r="AS7" i="33"/>
  <c r="AR11" i="33"/>
  <c r="AW12" i="33"/>
  <c r="AN13" i="33"/>
  <c r="BC14" i="33"/>
  <c r="BE14" i="33" s="1"/>
  <c r="AC30" i="33"/>
  <c r="AC31" i="33"/>
  <c r="AR32" i="33"/>
  <c r="AM33" i="33"/>
  <c r="AW34" i="33"/>
  <c r="AX35" i="33"/>
  <c r="AZ35" i="33" s="1"/>
  <c r="AS36" i="33"/>
  <c r="AW37" i="33"/>
  <c r="AS38" i="33"/>
  <c r="AR39" i="33"/>
  <c r="AH40" i="33"/>
  <c r="BB43" i="33"/>
  <c r="AR44" i="33"/>
  <c r="AH45" i="33"/>
  <c r="AM47" i="33"/>
  <c r="BC48" i="33"/>
  <c r="BE48" i="33" s="1"/>
  <c r="AR49" i="33"/>
  <c r="AS51" i="33"/>
  <c r="AD52" i="33"/>
  <c r="AF52" i="33" s="1"/>
  <c r="AW53" i="33"/>
  <c r="AI54" i="33"/>
  <c r="AK54" i="33" s="1"/>
  <c r="AX55" i="33"/>
  <c r="AZ55" i="33" s="1"/>
  <c r="AH56" i="33"/>
  <c r="BB57" i="33"/>
  <c r="AM58" i="33"/>
  <c r="BB59" i="33"/>
  <c r="AM60" i="33"/>
  <c r="BC61" i="33"/>
  <c r="BE61" i="33" s="1"/>
  <c r="AN62" i="33"/>
  <c r="AI64" i="33"/>
  <c r="AK64" i="33" s="1"/>
  <c r="AX65" i="33"/>
  <c r="AZ65" i="33" s="1"/>
  <c r="AN66" i="33"/>
  <c r="AC67" i="33"/>
  <c r="AR68" i="33"/>
  <c r="AD69" i="33"/>
  <c r="AF69" i="33" s="1"/>
  <c r="AW70" i="33"/>
  <c r="AI71" i="33"/>
  <c r="AK71" i="33" s="1"/>
  <c r="BB72" i="33"/>
  <c r="AM73" i="33"/>
  <c r="BB74" i="33"/>
  <c r="AN75" i="33"/>
  <c r="AC76" i="33"/>
  <c r="AS77" i="33"/>
  <c r="AH78" i="33"/>
  <c r="AW79" i="33"/>
  <c r="AI80" i="33"/>
  <c r="AK80" i="33" s="1"/>
  <c r="BB81" i="33"/>
  <c r="AI145" i="33"/>
  <c r="AK145" i="33" s="1"/>
  <c r="AS146" i="33"/>
  <c r="BB147" i="33"/>
  <c r="BC8" i="33"/>
  <c r="BE8" i="33" s="1"/>
  <c r="AM2" i="33"/>
  <c r="AH3" i="33"/>
  <c r="AS4" i="33"/>
  <c r="AW7" i="33"/>
  <c r="AS11" i="33"/>
  <c r="BC12" i="33"/>
  <c r="BE12" i="33" s="1"/>
  <c r="BC13" i="33"/>
  <c r="BE13" i="33" s="1"/>
  <c r="AC29" i="33"/>
  <c r="AD31" i="33"/>
  <c r="AF31" i="33" s="1"/>
  <c r="AS32" i="33"/>
  <c r="AN33" i="33"/>
  <c r="AX34" i="33"/>
  <c r="AZ34" i="33" s="1"/>
  <c r="BB35" i="33"/>
  <c r="AW36" i="33"/>
  <c r="AX37" i="33"/>
  <c r="AZ37" i="33" s="1"/>
  <c r="BB38" i="33"/>
  <c r="AS39" i="33"/>
  <c r="AI40" i="33"/>
  <c r="AK40" i="33" s="1"/>
  <c r="AD41" i="33"/>
  <c r="AF41" i="33" s="1"/>
  <c r="AS44" i="33"/>
  <c r="AN45" i="33"/>
  <c r="BB46" i="33"/>
  <c r="AN47" i="33"/>
  <c r="AS49" i="33"/>
  <c r="AC50" i="33"/>
  <c r="AW51" i="33"/>
  <c r="AH52" i="33"/>
  <c r="AX53" i="33"/>
  <c r="AZ53" i="33" s="1"/>
  <c r="AM54" i="33"/>
  <c r="AM56" i="33"/>
  <c r="BC57" i="33"/>
  <c r="BE57" i="33" s="1"/>
  <c r="AN58" i="33"/>
  <c r="BC59" i="33"/>
  <c r="BE59" i="33" s="1"/>
  <c r="AN60" i="33"/>
  <c r="AR62" i="33"/>
  <c r="AC63" i="33"/>
  <c r="BB63" i="33"/>
  <c r="AM64" i="33"/>
  <c r="BB65" i="33"/>
  <c r="AR66" i="33"/>
  <c r="AD67" i="33"/>
  <c r="AF67" i="33" s="1"/>
  <c r="AS68" i="33"/>
  <c r="AH69" i="33"/>
  <c r="AX70" i="33"/>
  <c r="AZ70" i="33" s="1"/>
  <c r="AM71" i="33"/>
  <c r="BC72" i="33"/>
  <c r="BE72" i="33" s="1"/>
  <c r="AN73" i="33"/>
  <c r="AC74" i="33"/>
  <c r="BC74" i="33"/>
  <c r="BE74" i="33" s="1"/>
  <c r="AR75" i="33"/>
  <c r="AD76" i="33"/>
  <c r="AF76" i="33" s="1"/>
  <c r="AW77" i="33"/>
  <c r="AI78" i="33"/>
  <c r="AK78" i="33" s="1"/>
  <c r="AX79" i="33"/>
  <c r="AZ79" i="33" s="1"/>
  <c r="AM80" i="33"/>
  <c r="BC81" i="33"/>
  <c r="BE81" i="33" s="1"/>
  <c r="AR82" i="33"/>
  <c r="AD83" i="33"/>
  <c r="AF83" i="33" s="1"/>
  <c r="AS84" i="33"/>
  <c r="AD85" i="33"/>
  <c r="AF85" i="33" s="1"/>
  <c r="AW4" i="33"/>
  <c r="AW44" i="33"/>
  <c r="AR54" i="33"/>
  <c r="AC59" i="33"/>
  <c r="AC83" i="33"/>
  <c r="AW86" i="33"/>
  <c r="AW94" i="33"/>
  <c r="AX95" i="33"/>
  <c r="AZ95" i="33" s="1"/>
  <c r="AN96" i="33"/>
  <c r="AD97" i="33"/>
  <c r="AF97" i="33" s="1"/>
  <c r="BC99" i="33"/>
  <c r="BE99" i="33" s="1"/>
  <c r="AR100" i="33"/>
  <c r="AM101" i="33"/>
  <c r="BB103" i="33"/>
  <c r="AW105" i="33"/>
  <c r="AH106" i="33"/>
  <c r="AW107" i="33"/>
  <c r="AH108" i="33"/>
  <c r="AW109" i="33"/>
  <c r="AH110" i="33"/>
  <c r="AW111" i="33"/>
  <c r="AD112" i="33"/>
  <c r="AF112" i="33" s="1"/>
  <c r="AS113" i="33"/>
  <c r="AD114" i="33"/>
  <c r="AF114" i="33" s="1"/>
  <c r="AR115" i="33"/>
  <c r="AX116" i="33"/>
  <c r="AZ116" i="33" s="1"/>
  <c r="AH117" i="33"/>
  <c r="AS118" i="33"/>
  <c r="AD119" i="33"/>
  <c r="AF119" i="33" s="1"/>
  <c r="AS120" i="33"/>
  <c r="AD121" i="33"/>
  <c r="AF121" i="33" s="1"/>
  <c r="AR122" i="33"/>
  <c r="AC123" i="33"/>
  <c r="BC123" i="33"/>
  <c r="BE123" i="33" s="1"/>
  <c r="AN124" i="33"/>
  <c r="BC125" i="33"/>
  <c r="BE125" i="33" s="1"/>
  <c r="AN126" i="33"/>
  <c r="BB127" i="33"/>
  <c r="AM128" i="33"/>
  <c r="AX129" i="33"/>
  <c r="AZ129" i="33" s="1"/>
  <c r="AI130" i="33"/>
  <c r="AK130" i="33" s="1"/>
  <c r="AX131" i="33"/>
  <c r="AZ131" i="33" s="1"/>
  <c r="AH132" i="33"/>
  <c r="AS133" i="33"/>
  <c r="AD134" i="33"/>
  <c r="AF134" i="33" s="1"/>
  <c r="BC134" i="33"/>
  <c r="BE134" i="33" s="1"/>
  <c r="AN135" i="33"/>
  <c r="BC136" i="33"/>
  <c r="BE136" i="33" s="1"/>
  <c r="AN137" i="33"/>
  <c r="BC138" i="33"/>
  <c r="BE138" i="33" s="1"/>
  <c r="AN139" i="33"/>
  <c r="AC10" i="33"/>
  <c r="AC127" i="33"/>
  <c r="BC127" i="33"/>
  <c r="BE127" i="33" s="1"/>
  <c r="AN128" i="33"/>
  <c r="BB129" i="33"/>
  <c r="BB131" i="33"/>
  <c r="AI132" i="33"/>
  <c r="AK132" i="33" s="1"/>
  <c r="AW133" i="33"/>
  <c r="AH134" i="33"/>
  <c r="AR135" i="33"/>
  <c r="AC136" i="33"/>
  <c r="AR137" i="33"/>
  <c r="AR139" i="33"/>
  <c r="AD136" i="33"/>
  <c r="AF136" i="33" s="1"/>
  <c r="AS137" i="33"/>
  <c r="AS139" i="33"/>
  <c r="AR30" i="33"/>
  <c r="BC46" i="33"/>
  <c r="BE46" i="33" s="1"/>
  <c r="AN56" i="33"/>
  <c r="AR88" i="33"/>
  <c r="AM90" i="33"/>
  <c r="AD91" i="33"/>
  <c r="AF91" i="33" s="1"/>
  <c r="AC92" i="33"/>
  <c r="BC96" i="33"/>
  <c r="BE96" i="33" s="1"/>
  <c r="AN98" i="33"/>
  <c r="AX101" i="33"/>
  <c r="AZ101" i="33" s="1"/>
  <c r="AS104" i="33"/>
  <c r="AC105" i="33"/>
  <c r="AR106" i="33"/>
  <c r="AC107" i="33"/>
  <c r="AR108" i="33"/>
  <c r="AC109" i="33"/>
  <c r="AR110" i="33"/>
  <c r="AC142" i="33"/>
  <c r="AS144" i="33"/>
  <c r="AX146" i="33"/>
  <c r="AZ146" i="33" s="1"/>
  <c r="AC151" i="33"/>
  <c r="BC33" i="33"/>
  <c r="BE33" i="33" s="1"/>
  <c r="AW49" i="33"/>
  <c r="AH83" i="33"/>
  <c r="BC94" i="33"/>
  <c r="BE94" i="33" s="1"/>
  <c r="BB95" i="33"/>
  <c r="AR96" i="33"/>
  <c r="AH97" i="33"/>
  <c r="AC98" i="33"/>
  <c r="AS100" i="33"/>
  <c r="AN101" i="33"/>
  <c r="AD102" i="33"/>
  <c r="AF102" i="33" s="1"/>
  <c r="BC103" i="33"/>
  <c r="BE103" i="33" s="1"/>
  <c r="AM104" i="33"/>
  <c r="AX105" i="33"/>
  <c r="AZ105" i="33" s="1"/>
  <c r="AI106" i="33"/>
  <c r="AK106" i="33" s="1"/>
  <c r="AX107" i="33"/>
  <c r="AZ107" i="33" s="1"/>
  <c r="AI108" i="33"/>
  <c r="AK108" i="33" s="1"/>
  <c r="AX109" i="33"/>
  <c r="AZ109" i="33" s="1"/>
  <c r="AI110" i="33"/>
  <c r="AK110" i="33" s="1"/>
  <c r="AX111" i="33"/>
  <c r="AZ111" i="33" s="1"/>
  <c r="AH112" i="33"/>
  <c r="AW113" i="33"/>
  <c r="AH114" i="33"/>
  <c r="AS115" i="33"/>
  <c r="BB116" i="33"/>
  <c r="AI117" i="33"/>
  <c r="AK117" i="33" s="1"/>
  <c r="AW118" i="33"/>
  <c r="AH119" i="33"/>
  <c r="AW120" i="33"/>
  <c r="AH121" i="33"/>
  <c r="AS122" i="33"/>
  <c r="AD123" i="33"/>
  <c r="AF123" i="33" s="1"/>
  <c r="AR124" i="33"/>
  <c r="AC125" i="33"/>
  <c r="AR126" i="33"/>
  <c r="AM130" i="33"/>
  <c r="AC138" i="33"/>
  <c r="AD10" i="33"/>
  <c r="AF10" i="33" s="1"/>
  <c r="AD138" i="33"/>
  <c r="AF138" i="33" s="1"/>
  <c r="AC28" i="33"/>
  <c r="BB39" i="33"/>
  <c r="AC89" i="33"/>
  <c r="BC95" i="33"/>
  <c r="BE95" i="33" s="1"/>
  <c r="AS96" i="33"/>
  <c r="AN97" i="33"/>
  <c r="AI98" i="33"/>
  <c r="AK98" i="33" s="1"/>
  <c r="BB100" i="33"/>
  <c r="AS101" i="33"/>
  <c r="AH102" i="33"/>
  <c r="AN104" i="33"/>
  <c r="BB105" i="33"/>
  <c r="AM106" i="33"/>
  <c r="BB107" i="33"/>
  <c r="AM108" i="33"/>
  <c r="BB109" i="33"/>
  <c r="AM110" i="33"/>
  <c r="BB111" i="33"/>
  <c r="AI112" i="33"/>
  <c r="AK112" i="33" s="1"/>
  <c r="AX113" i="33"/>
  <c r="AZ113" i="33" s="1"/>
  <c r="AI114" i="33"/>
  <c r="AK114" i="33" s="1"/>
  <c r="AW115" i="33"/>
  <c r="AC116" i="33"/>
  <c r="BC116" i="33"/>
  <c r="BE116" i="33" s="1"/>
  <c r="AM117" i="33"/>
  <c r="AX118" i="33"/>
  <c r="AZ118" i="33" s="1"/>
  <c r="AI119" i="33"/>
  <c r="AK119" i="33" s="1"/>
  <c r="AX120" i="33"/>
  <c r="AZ120" i="33" s="1"/>
  <c r="AI121" i="33"/>
  <c r="AK121" i="33" s="1"/>
  <c r="AW122" i="33"/>
  <c r="AH123" i="33"/>
  <c r="AS124" i="33"/>
  <c r="AD125" i="33"/>
  <c r="AF125" i="33" s="1"/>
  <c r="AS126" i="33"/>
  <c r="AD127" i="33"/>
  <c r="AF127" i="33" s="1"/>
  <c r="AR128" i="33"/>
  <c r="AC129" i="33"/>
  <c r="BC129" i="33"/>
  <c r="BE129" i="33" s="1"/>
  <c r="AN130" i="33"/>
  <c r="BC131" i="33"/>
  <c r="BE131" i="33" s="1"/>
  <c r="AM132" i="33"/>
  <c r="AX133" i="33"/>
  <c r="AZ133" i="33" s="1"/>
  <c r="AI134" i="33"/>
  <c r="AK134" i="33" s="1"/>
  <c r="AS135" i="33"/>
  <c r="AH10" i="33"/>
  <c r="AX97" i="33"/>
  <c r="AZ97" i="33" s="1"/>
  <c r="AC103" i="33"/>
  <c r="AI3" i="33"/>
  <c r="AK3" i="33" s="1"/>
  <c r="AC46" i="33"/>
  <c r="AX51" i="33"/>
  <c r="AZ51" i="33" s="1"/>
  <c r="AC85" i="33"/>
  <c r="AN88" i="33"/>
  <c r="AH89" i="33"/>
  <c r="AC90" i="33"/>
  <c r="AC91" i="33"/>
  <c r="AW96" i="33"/>
  <c r="AR97" i="33"/>
  <c r="AM98" i="33"/>
  <c r="BC100" i="33"/>
  <c r="BE100" i="33" s="1"/>
  <c r="AW101" i="33"/>
  <c r="AI102" i="33"/>
  <c r="AK102" i="33" s="1"/>
  <c r="AR104" i="33"/>
  <c r="BC105" i="33"/>
  <c r="BE105" i="33" s="1"/>
  <c r="AN106" i="33"/>
  <c r="BC107" i="33"/>
  <c r="BE107" i="33" s="1"/>
  <c r="AN108" i="33"/>
  <c r="BC109" i="33"/>
  <c r="BE109" i="33" s="1"/>
  <c r="AN110" i="33"/>
  <c r="BC111" i="33"/>
  <c r="BE111" i="33" s="1"/>
  <c r="AM112" i="33"/>
  <c r="BB113" i="33"/>
  <c r="AM114" i="33"/>
  <c r="AX115" i="33"/>
  <c r="AZ115" i="33" s="1"/>
  <c r="AD116" i="33"/>
  <c r="AF116" i="33" s="1"/>
  <c r="AN117" i="33"/>
  <c r="BB118" i="33"/>
  <c r="AM119" i="33"/>
  <c r="BB120" i="33"/>
  <c r="AX122" i="33"/>
  <c r="AZ122" i="33" s="1"/>
  <c r="AI123" i="33"/>
  <c r="AK123" i="33" s="1"/>
  <c r="AW124" i="33"/>
  <c r="AH125" i="33"/>
  <c r="AW126" i="33"/>
  <c r="AH127" i="33"/>
  <c r="AS128" i="33"/>
  <c r="AD129" i="33"/>
  <c r="AF129" i="33" s="1"/>
  <c r="AR130" i="33"/>
  <c r="AC131" i="33"/>
  <c r="AN132" i="33"/>
  <c r="BB133" i="33"/>
  <c r="AW135" i="33"/>
  <c r="AH136" i="33"/>
  <c r="AW137" i="33"/>
  <c r="AH138" i="33"/>
  <c r="AW139" i="33"/>
  <c r="AI10" i="33"/>
  <c r="AK10" i="33" s="1"/>
  <c r="AI41" i="33"/>
  <c r="AK41" i="33" s="1"/>
  <c r="AC61" i="33"/>
  <c r="AN64" i="33"/>
  <c r="AH85" i="33"/>
  <c r="AI89" i="33"/>
  <c r="AK89" i="33" s="1"/>
  <c r="AM102" i="33"/>
  <c r="AC111" i="33"/>
  <c r="AC150" i="33"/>
  <c r="BB53" i="33"/>
  <c r="AR58" i="33"/>
  <c r="AS66" i="33"/>
  <c r="AW68" i="33"/>
  <c r="BB70" i="33"/>
  <c r="AC72" i="33"/>
  <c r="AD74" i="33"/>
  <c r="AF74" i="33" s="1"/>
  <c r="AH76" i="33"/>
  <c r="AM78" i="33"/>
  <c r="AN80" i="33"/>
  <c r="AN82" i="33"/>
  <c r="AW88" i="33"/>
  <c r="AM89" i="33"/>
  <c r="AN90" i="33"/>
  <c r="AH91" i="33"/>
  <c r="AM92" i="33"/>
  <c r="AC93" i="33"/>
  <c r="BB97" i="33"/>
  <c r="AR98" i="33"/>
  <c r="AC99" i="33"/>
  <c r="BB101" i="33"/>
  <c r="AN102" i="33"/>
  <c r="AD103" i="33"/>
  <c r="AF103" i="33" s="1"/>
  <c r="AW104" i="33"/>
  <c r="AD105" i="33"/>
  <c r="AF105" i="33" s="1"/>
  <c r="AS106" i="33"/>
  <c r="AD107" i="33"/>
  <c r="AF107" i="33" s="1"/>
  <c r="AS108" i="33"/>
  <c r="AD109" i="33"/>
  <c r="AF109" i="33" s="1"/>
  <c r="AS110" i="33"/>
  <c r="AD111" i="33"/>
  <c r="AF111" i="33" s="1"/>
  <c r="AR112" i="33"/>
  <c r="AC113" i="33"/>
  <c r="AR114" i="33"/>
  <c r="AH116" i="33"/>
  <c r="AS117" i="33"/>
  <c r="AD118" i="33"/>
  <c r="AF118" i="33" s="1"/>
  <c r="AR119" i="33"/>
  <c r="AC120" i="33"/>
  <c r="AN121" i="33"/>
  <c r="BC122" i="33"/>
  <c r="BE122" i="33" s="1"/>
  <c r="AN123" i="33"/>
  <c r="BB124" i="33"/>
  <c r="AM125" i="33"/>
  <c r="BB126" i="33"/>
  <c r="AM127" i="33"/>
  <c r="AH27" i="33"/>
  <c r="BB32" i="33"/>
  <c r="AC48" i="33"/>
  <c r="AD63" i="33"/>
  <c r="AF63" i="33" s="1"/>
  <c r="AS82" i="33"/>
  <c r="AD87" i="33"/>
  <c r="AF87" i="33" s="1"/>
  <c r="AX88" i="33"/>
  <c r="AZ88" i="33" s="1"/>
  <c r="AS90" i="33"/>
  <c r="AI91" i="33"/>
  <c r="AK91" i="33" s="1"/>
  <c r="AN92" i="33"/>
  <c r="AD93" i="33"/>
  <c r="AF93" i="33" s="1"/>
  <c r="AC94" i="33"/>
  <c r="BC97" i="33"/>
  <c r="BE97" i="33" s="1"/>
  <c r="AS98" i="33"/>
  <c r="AD99" i="33"/>
  <c r="AF99" i="33" s="1"/>
  <c r="BC101" i="33"/>
  <c r="BE101" i="33" s="1"/>
  <c r="AR102" i="33"/>
  <c r="AM103" i="33"/>
  <c r="AX104" i="33"/>
  <c r="AZ104" i="33" s="1"/>
  <c r="AH105" i="33"/>
  <c r="AW106" i="33"/>
  <c r="AH107" i="33"/>
  <c r="AW108" i="33"/>
  <c r="AH109" i="33"/>
  <c r="AW110" i="33"/>
  <c r="AH111" i="33"/>
  <c r="AS112" i="33"/>
  <c r="AD113" i="33"/>
  <c r="AF113" i="33" s="1"/>
  <c r="AS114" i="33"/>
  <c r="AC115" i="33"/>
  <c r="BB115" i="33"/>
  <c r="AI116" i="33"/>
  <c r="AK116" i="33" s="1"/>
  <c r="AW117" i="33"/>
  <c r="AH118" i="33"/>
  <c r="AS119" i="33"/>
  <c r="AD120" i="33"/>
  <c r="AF120" i="33" s="1"/>
  <c r="AR121" i="33"/>
  <c r="AC122" i="33"/>
  <c r="BC124" i="33"/>
  <c r="BE124" i="33" s="1"/>
  <c r="AN125" i="33"/>
  <c r="BC126" i="33"/>
  <c r="BE126" i="33" s="1"/>
  <c r="AN127" i="33"/>
  <c r="BB128" i="33"/>
  <c r="AM129" i="33"/>
  <c r="AX130" i="33"/>
  <c r="AZ130" i="33" s="1"/>
  <c r="AI131" i="33"/>
  <c r="AK131" i="33" s="1"/>
  <c r="AD133" i="33"/>
  <c r="AF133" i="33" s="1"/>
  <c r="AR134" i="33"/>
  <c r="BC135" i="33"/>
  <c r="BE135" i="33" s="1"/>
  <c r="AC141" i="33"/>
  <c r="AM143" i="33"/>
  <c r="BC147" i="33"/>
  <c r="BE147" i="33" s="1"/>
  <c r="AR45" i="33"/>
  <c r="AC55" i="33"/>
  <c r="AR84" i="33"/>
  <c r="AH87" i="33"/>
  <c r="BB88" i="33"/>
  <c r="BB89" i="33"/>
  <c r="AW90" i="33"/>
  <c r="AR91" i="33"/>
  <c r="AR92" i="33"/>
  <c r="AH93" i="33"/>
  <c r="AI94" i="33"/>
  <c r="AK94" i="33" s="1"/>
  <c r="AW98" i="33"/>
  <c r="AM99" i="33"/>
  <c r="AD100" i="33"/>
  <c r="AF100" i="33" s="1"/>
  <c r="AS102" i="33"/>
  <c r="AN103" i="33"/>
  <c r="BB104" i="33"/>
  <c r="AI105" i="33"/>
  <c r="AK105" i="33" s="1"/>
  <c r="AX106" i="33"/>
  <c r="AZ106" i="33" s="1"/>
  <c r="AI107" i="33"/>
  <c r="AK107" i="33" s="1"/>
  <c r="AX108" i="33"/>
  <c r="AZ108" i="33" s="1"/>
  <c r="AI109" i="33"/>
  <c r="AK109" i="33" s="1"/>
  <c r="AX110" i="33"/>
  <c r="AZ110" i="33" s="1"/>
  <c r="AI111" i="33"/>
  <c r="AK111" i="33" s="1"/>
  <c r="AW112" i="33"/>
  <c r="AH113" i="33"/>
  <c r="AW114" i="33"/>
  <c r="AD115" i="33"/>
  <c r="AF115" i="33" s="1"/>
  <c r="BC115" i="33"/>
  <c r="BE115" i="33" s="1"/>
  <c r="AM116" i="33"/>
  <c r="AX117" i="33"/>
  <c r="AZ117" i="33" s="1"/>
  <c r="AI118" i="33"/>
  <c r="AK118" i="33" s="1"/>
  <c r="AW119" i="33"/>
  <c r="AH120" i="33"/>
  <c r="AS121" i="33"/>
  <c r="AD122" i="33"/>
  <c r="AF122" i="33" s="1"/>
  <c r="AR123" i="33"/>
  <c r="AC124" i="33"/>
  <c r="AR125" i="33"/>
  <c r="AC126" i="33"/>
  <c r="AR127" i="33"/>
  <c r="BC128" i="33"/>
  <c r="BE128" i="33" s="1"/>
  <c r="AN129" i="33"/>
  <c r="BB130" i="33"/>
  <c r="AM131" i="33"/>
  <c r="AW132" i="33"/>
  <c r="AH133" i="33"/>
  <c r="AS134" i="33"/>
  <c r="AC135" i="33"/>
  <c r="AR136" i="33"/>
  <c r="AC137" i="33"/>
  <c r="AR138" i="33"/>
  <c r="AN2" i="33"/>
  <c r="AX7" i="33"/>
  <c r="AZ7" i="33" s="1"/>
  <c r="AD50" i="33"/>
  <c r="AF50" i="33" s="1"/>
  <c r="AW84" i="33"/>
  <c r="AI87" i="33"/>
  <c r="AK87" i="33" s="1"/>
  <c r="BC89" i="33"/>
  <c r="BE89" i="33" s="1"/>
  <c r="AX90" i="33"/>
  <c r="AZ90" i="33" s="1"/>
  <c r="BB91" i="33"/>
  <c r="AS92" i="33"/>
  <c r="AI93" i="33"/>
  <c r="AK93" i="33" s="1"/>
  <c r="AM94" i="33"/>
  <c r="AC95" i="33"/>
  <c r="AN99" i="33"/>
  <c r="AH100" i="33"/>
  <c r="BB102" i="33"/>
  <c r="AR103" i="33"/>
  <c r="AC104" i="33"/>
  <c r="BC104" i="33"/>
  <c r="BE104" i="33" s="1"/>
  <c r="AM105" i="33"/>
  <c r="BB106" i="33"/>
  <c r="AM107" i="33"/>
  <c r="BB108" i="33"/>
  <c r="AM109" i="33"/>
  <c r="BB110" i="33"/>
  <c r="AM111" i="33"/>
  <c r="AX112" i="33"/>
  <c r="AZ112" i="33" s="1"/>
  <c r="AI113" i="33"/>
  <c r="AK113" i="33" s="1"/>
  <c r="AX114" i="33"/>
  <c r="AZ114" i="33" s="1"/>
  <c r="AH115" i="33"/>
  <c r="AN116" i="33"/>
  <c r="BB117" i="33"/>
  <c r="AX119" i="33"/>
  <c r="AZ119" i="33" s="1"/>
  <c r="AI120" i="33"/>
  <c r="AK120" i="33" s="1"/>
  <c r="AW121" i="33"/>
  <c r="AH122" i="33"/>
  <c r="AS123" i="33"/>
  <c r="AD124" i="33"/>
  <c r="AF124" i="33" s="1"/>
  <c r="AS125" i="33"/>
  <c r="AD126" i="33"/>
  <c r="AF126" i="33" s="1"/>
  <c r="AS127" i="33"/>
  <c r="AD29" i="33"/>
  <c r="AF29" i="33" s="1"/>
  <c r="AM40" i="33"/>
  <c r="BB55" i="33"/>
  <c r="AR60" i="33"/>
  <c r="BC63" i="33"/>
  <c r="BE63" i="33" s="1"/>
  <c r="BC87" i="33"/>
  <c r="BE87" i="33" s="1"/>
  <c r="BC91" i="33"/>
  <c r="BE91" i="33" s="1"/>
  <c r="AW92" i="33"/>
  <c r="AR93" i="33"/>
  <c r="AN94" i="33"/>
  <c r="AD95" i="33"/>
  <c r="AF95" i="33" s="1"/>
  <c r="AC96" i="33"/>
  <c r="BB98" i="33"/>
  <c r="AW99" i="33"/>
  <c r="AI100" i="33"/>
  <c r="AK100" i="33" s="1"/>
  <c r="BC102" i="33"/>
  <c r="BE102" i="33" s="1"/>
  <c r="AS103" i="33"/>
  <c r="AD104" i="33"/>
  <c r="AF104" i="33" s="1"/>
  <c r="AN105" i="33"/>
  <c r="BC106" i="33"/>
  <c r="BE106" i="33" s="1"/>
  <c r="AN107" i="33"/>
  <c r="BC108" i="33"/>
  <c r="BE108" i="33" s="1"/>
  <c r="AN109" i="33"/>
  <c r="BC110" i="33"/>
  <c r="BE110" i="33" s="1"/>
  <c r="AN111" i="33"/>
  <c r="BB112" i="33"/>
  <c r="AM113" i="33"/>
  <c r="AI115" i="33"/>
  <c r="AK115" i="33" s="1"/>
  <c r="AR116" i="33"/>
  <c r="BC117" i="33"/>
  <c r="BE117" i="33" s="1"/>
  <c r="AM118" i="33"/>
  <c r="BB119" i="33"/>
  <c r="AM120" i="33"/>
  <c r="AX121" i="33"/>
  <c r="AZ121" i="33" s="1"/>
  <c r="AI122" i="33"/>
  <c r="AK122" i="33" s="1"/>
  <c r="AW123" i="33"/>
  <c r="AH124" i="33"/>
  <c r="AW125" i="33"/>
  <c r="AH126" i="33"/>
  <c r="AD128" i="33"/>
  <c r="AF128" i="33" s="1"/>
  <c r="AR129" i="33"/>
  <c r="AI52" i="33"/>
  <c r="AK52" i="33" s="1"/>
  <c r="AR86" i="33"/>
  <c r="AX92" i="33"/>
  <c r="AZ92" i="33" s="1"/>
  <c r="BB93" i="33"/>
  <c r="AR94" i="33"/>
  <c r="AH95" i="33"/>
  <c r="AI96" i="33"/>
  <c r="AK96" i="33" s="1"/>
  <c r="BC98" i="33"/>
  <c r="BE98" i="33" s="1"/>
  <c r="AX99" i="33"/>
  <c r="AZ99" i="33" s="1"/>
  <c r="AM100" i="33"/>
  <c r="AC101" i="33"/>
  <c r="AW103" i="33"/>
  <c r="AH104" i="33"/>
  <c r="AR105" i="33"/>
  <c r="AC106" i="33"/>
  <c r="AR107" i="33"/>
  <c r="AC108" i="33"/>
  <c r="AR109" i="33"/>
  <c r="AC110" i="33"/>
  <c r="AR111" i="33"/>
  <c r="BC112" i="33"/>
  <c r="BE112" i="33" s="1"/>
  <c r="AN113" i="33"/>
  <c r="BB114" i="33"/>
  <c r="AM115" i="33"/>
  <c r="AS116" i="33"/>
  <c r="AC117" i="33"/>
  <c r="AN118" i="33"/>
  <c r="BC119" i="33"/>
  <c r="BE119" i="33" s="1"/>
  <c r="AN120" i="33"/>
  <c r="BB121" i="33"/>
  <c r="AM122" i="33"/>
  <c r="AX123" i="33"/>
  <c r="AZ123" i="33" s="1"/>
  <c r="AI124" i="33"/>
  <c r="AK124" i="33" s="1"/>
  <c r="AX125" i="33"/>
  <c r="AZ125" i="33" s="1"/>
  <c r="AI126" i="33"/>
  <c r="AK126" i="33" s="1"/>
  <c r="AW127" i="33"/>
  <c r="AH128" i="33"/>
  <c r="AS129" i="33"/>
  <c r="AD130" i="33"/>
  <c r="AF130" i="33" s="1"/>
  <c r="AS131" i="33"/>
  <c r="AD132" i="33"/>
  <c r="AF132" i="33" s="1"/>
  <c r="BC132" i="33"/>
  <c r="BE132" i="33" s="1"/>
  <c r="AN133" i="33"/>
  <c r="AI135" i="33"/>
  <c r="AK135" i="33" s="1"/>
  <c r="AX136" i="33"/>
  <c r="AZ136" i="33" s="1"/>
  <c r="AI137" i="33"/>
  <c r="AK137" i="33" s="1"/>
  <c r="AX138" i="33"/>
  <c r="AZ138" i="33" s="1"/>
  <c r="AI139" i="33"/>
  <c r="AK139" i="33" s="1"/>
  <c r="BB10" i="33"/>
  <c r="AH67" i="33"/>
  <c r="AD108" i="33"/>
  <c r="AF108" i="33" s="1"/>
  <c r="AR113" i="33"/>
  <c r="BC120" i="33"/>
  <c r="BE120" i="33" s="1"/>
  <c r="AM123" i="33"/>
  <c r="AM126" i="33"/>
  <c r="AC130" i="33"/>
  <c r="AH131" i="33"/>
  <c r="AR132" i="33"/>
  <c r="AI133" i="33"/>
  <c r="AK133" i="33" s="1"/>
  <c r="AN134" i="33"/>
  <c r="AM135" i="33"/>
  <c r="AS136" i="33"/>
  <c r="AX137" i="33"/>
  <c r="AZ137" i="33" s="1"/>
  <c r="AS138" i="33"/>
  <c r="AM139" i="33"/>
  <c r="AS10" i="33"/>
  <c r="BC113" i="33"/>
  <c r="BE113" i="33" s="1"/>
  <c r="BB123" i="33"/>
  <c r="AX126" i="33"/>
  <c r="AZ126" i="33" s="1"/>
  <c r="AN131" i="33"/>
  <c r="AS132" i="33"/>
  <c r="AM133" i="33"/>
  <c r="AX135" i="33"/>
  <c r="AZ135" i="33" s="1"/>
  <c r="BB137" i="33"/>
  <c r="AW138" i="33"/>
  <c r="AW10" i="33"/>
  <c r="AN95" i="33"/>
  <c r="AC112" i="33"/>
  <c r="AI125" i="33"/>
  <c r="AK125" i="33" s="1"/>
  <c r="AM96" i="33"/>
  <c r="AH139" i="33"/>
  <c r="AH130" i="33"/>
  <c r="AW134" i="33"/>
  <c r="AW136" i="33"/>
  <c r="AX139" i="33"/>
  <c r="AZ139" i="33" s="1"/>
  <c r="AN122" i="33"/>
  <c r="AX103" i="33"/>
  <c r="AZ103" i="33" s="1"/>
  <c r="BC93" i="33"/>
  <c r="BE93" i="33" s="1"/>
  <c r="AD110" i="33"/>
  <c r="AF110" i="33" s="1"/>
  <c r="AW116" i="33"/>
  <c r="AH129" i="33"/>
  <c r="AS130" i="33"/>
  <c r="AR131" i="33"/>
  <c r="AR133" i="33"/>
  <c r="AX134" i="33"/>
  <c r="AZ134" i="33" s="1"/>
  <c r="BB135" i="33"/>
  <c r="BB136" i="33"/>
  <c r="BC137" i="33"/>
  <c r="BE137" i="33" s="1"/>
  <c r="BB138" i="33"/>
  <c r="BB139" i="33"/>
  <c r="AX10" i="33"/>
  <c r="AZ10" i="33" s="1"/>
  <c r="BB134" i="33"/>
  <c r="BC10" i="33"/>
  <c r="BE10" i="33" s="1"/>
  <c r="AN119" i="33"/>
  <c r="BB132" i="33"/>
  <c r="AR117" i="33"/>
  <c r="AD131" i="33"/>
  <c r="AF131" i="33" s="1"/>
  <c r="AC133" i="33"/>
  <c r="AM137" i="33"/>
  <c r="AN138" i="33"/>
  <c r="AM31" i="33"/>
  <c r="AN100" i="33"/>
  <c r="AS105" i="33"/>
  <c r="AC119" i="33"/>
  <c r="AI129" i="33"/>
  <c r="AK129" i="33" s="1"/>
  <c r="AW130" i="33"/>
  <c r="AW131" i="33"/>
  <c r="AX132" i="33"/>
  <c r="AZ132" i="33" s="1"/>
  <c r="BC133" i="33"/>
  <c r="BE133" i="33" s="1"/>
  <c r="BC139" i="33"/>
  <c r="BE139" i="33" s="1"/>
  <c r="BC130" i="33"/>
  <c r="BE130" i="33" s="1"/>
  <c r="AR120" i="33"/>
  <c r="AS62" i="33"/>
  <c r="AC128" i="33"/>
  <c r="AN136" i="33"/>
  <c r="AC81" i="33"/>
  <c r="AS107" i="33"/>
  <c r="AN112" i="33"/>
  <c r="AN115" i="33"/>
  <c r="BB122" i="33"/>
  <c r="BB125" i="33"/>
  <c r="AI128" i="33"/>
  <c r="AK128" i="33" s="1"/>
  <c r="AW129" i="33"/>
  <c r="AC97" i="33"/>
  <c r="AC118" i="33"/>
  <c r="AR47" i="33"/>
  <c r="BB79" i="33"/>
  <c r="AI104" i="33"/>
  <c r="AK104" i="33" s="1"/>
  <c r="AW128" i="33"/>
  <c r="AM124" i="33"/>
  <c r="AX77" i="33"/>
  <c r="AZ77" i="33" s="1"/>
  <c r="AS109" i="33"/>
  <c r="AR118" i="33"/>
  <c r="AC121" i="33"/>
  <c r="AX128" i="33"/>
  <c r="AZ128" i="33" s="1"/>
  <c r="BB99" i="33"/>
  <c r="AC114" i="33"/>
  <c r="BC118" i="33"/>
  <c r="BE118" i="33" s="1"/>
  <c r="AI127" i="33"/>
  <c r="AK127" i="33" s="1"/>
  <c r="AR10" i="33"/>
  <c r="AS75" i="33"/>
  <c r="AS86" i="33"/>
  <c r="AM121" i="33"/>
  <c r="AR73" i="33"/>
  <c r="AS94" i="33"/>
  <c r="AS111" i="33"/>
  <c r="AN114" i="33"/>
  <c r="BC121" i="33"/>
  <c r="BE121" i="33" s="1"/>
  <c r="AX124" i="33"/>
  <c r="AZ124" i="33" s="1"/>
  <c r="AX127" i="33"/>
  <c r="AZ127" i="33" s="1"/>
  <c r="AI136" i="33"/>
  <c r="AK136" i="33" s="1"/>
  <c r="AD137" i="33"/>
  <c r="AF137" i="33" s="1"/>
  <c r="AI138" i="33"/>
  <c r="AK138" i="33" s="1"/>
  <c r="AC139" i="33"/>
  <c r="AM10" i="33"/>
  <c r="AC134" i="33"/>
  <c r="AH137" i="33"/>
  <c r="AI69" i="33"/>
  <c r="AK69" i="33" s="1"/>
  <c r="AH135" i="33"/>
  <c r="AN71" i="33"/>
  <c r="AD101" i="33"/>
  <c r="AF101" i="33" s="1"/>
  <c r="AD106" i="33"/>
  <c r="AF106" i="33" s="1"/>
  <c r="BC114" i="33"/>
  <c r="BE114" i="33" s="1"/>
  <c r="AD117" i="33"/>
  <c r="AF117" i="33" s="1"/>
  <c r="AC132" i="33"/>
  <c r="AD135" i="33"/>
  <c r="AF135" i="33" s="1"/>
  <c r="AM136" i="33"/>
  <c r="AM138" i="33"/>
  <c r="AD139" i="33"/>
  <c r="AF139" i="33" s="1"/>
  <c r="AN10" i="33"/>
  <c r="AM134" i="33"/>
  <c r="AR9" i="33"/>
  <c r="AC9" i="33"/>
  <c r="AG211" i="2"/>
  <c r="AD211" i="2"/>
  <c r="AD15" i="2"/>
  <c r="AG15" i="2"/>
  <c r="AJ15" i="2"/>
  <c r="AA16" i="2"/>
  <c r="AJ44" i="2"/>
  <c r="AG44" i="2"/>
  <c r="AD44" i="2"/>
  <c r="AA45" i="2"/>
  <c r="AG72" i="2"/>
  <c r="AJ72" i="2"/>
  <c r="AD72" i="2"/>
  <c r="AA73" i="2"/>
  <c r="AG101" i="2"/>
  <c r="AJ101" i="2"/>
  <c r="AD101" i="2"/>
  <c r="AA102" i="2"/>
  <c r="AA212" i="2"/>
  <c r="K17" i="15"/>
  <c r="I17" i="15"/>
  <c r="AU105" i="33" l="1"/>
  <c r="AP105" i="33"/>
  <c r="AU22" i="33"/>
  <c r="AP22" i="33"/>
  <c r="AP10" i="33"/>
  <c r="AU10" i="33"/>
  <c r="AP14" i="33"/>
  <c r="AU14" i="33"/>
  <c r="AU30" i="33"/>
  <c r="AP30" i="33"/>
  <c r="AU72" i="33"/>
  <c r="AP72" i="33"/>
  <c r="AU20" i="33"/>
  <c r="AP20" i="33"/>
  <c r="AU148" i="33"/>
  <c r="AP148" i="33"/>
  <c r="AP11" i="33"/>
  <c r="AU11" i="33"/>
  <c r="AU90" i="33"/>
  <c r="AP90" i="33"/>
  <c r="AU13" i="33"/>
  <c r="AP13" i="33"/>
  <c r="AP115" i="33"/>
  <c r="AU115" i="33"/>
  <c r="AP43" i="33"/>
  <c r="AU43" i="33"/>
  <c r="AU74" i="33"/>
  <c r="AP74" i="33"/>
  <c r="AP50" i="33"/>
  <c r="AU50" i="33"/>
  <c r="AP25" i="33"/>
  <c r="AU25" i="33"/>
  <c r="AU149" i="33"/>
  <c r="AP149" i="33"/>
  <c r="AU76" i="33"/>
  <c r="AP76" i="33"/>
  <c r="AP28" i="33"/>
  <c r="AU28" i="33"/>
  <c r="AP3" i="33"/>
  <c r="AU3" i="33"/>
  <c r="AU58" i="33"/>
  <c r="AP58" i="33"/>
  <c r="AP144" i="33"/>
  <c r="AU144" i="33"/>
  <c r="AU119" i="33"/>
  <c r="AP119" i="33"/>
  <c r="AU116" i="33"/>
  <c r="AP116" i="33"/>
  <c r="AP98" i="33"/>
  <c r="AU98" i="33"/>
  <c r="AU46" i="33"/>
  <c r="AP46" i="33"/>
  <c r="AP18" i="33"/>
  <c r="AU18" i="33"/>
  <c r="AU39" i="33"/>
  <c r="AP39" i="33"/>
  <c r="AP12" i="33"/>
  <c r="AU12" i="33"/>
  <c r="AU26" i="33"/>
  <c r="AP26" i="33"/>
  <c r="AP40" i="33"/>
  <c r="AU40" i="33"/>
  <c r="AU54" i="33"/>
  <c r="AP54" i="33"/>
  <c r="AU145" i="33"/>
  <c r="AP145" i="33"/>
  <c r="AU121" i="33"/>
  <c r="AP121" i="33"/>
  <c r="AP16" i="33"/>
  <c r="AU16" i="33"/>
  <c r="AU86" i="33"/>
  <c r="AP86" i="33"/>
  <c r="AU67" i="33"/>
  <c r="AP67" i="33"/>
  <c r="AP4" i="33"/>
  <c r="AU4" i="33"/>
  <c r="AU131" i="33"/>
  <c r="AP131" i="33"/>
  <c r="AU48" i="33"/>
  <c r="AP48" i="33"/>
  <c r="AP112" i="33"/>
  <c r="AU112" i="33"/>
  <c r="AU133" i="33"/>
  <c r="AP133" i="33"/>
  <c r="AU82" i="33"/>
  <c r="AP82" i="33"/>
  <c r="AU110" i="33"/>
  <c r="AP110" i="33"/>
  <c r="AP139" i="33"/>
  <c r="AU139" i="33"/>
  <c r="AU66" i="33"/>
  <c r="AP66" i="33"/>
  <c r="AU85" i="33"/>
  <c r="AP85" i="33"/>
  <c r="AP89" i="33"/>
  <c r="AU89" i="33"/>
  <c r="AP78" i="33"/>
  <c r="AU78" i="33"/>
  <c r="AP31" i="33"/>
  <c r="AU31" i="33"/>
  <c r="AP141" i="33"/>
  <c r="AU141" i="33"/>
  <c r="AP147" i="33"/>
  <c r="AU147" i="33"/>
  <c r="AU114" i="33"/>
  <c r="AP114" i="33"/>
  <c r="AP5" i="33"/>
  <c r="AU5" i="33"/>
  <c r="AP127" i="33"/>
  <c r="AU127" i="33"/>
  <c r="AU55" i="33"/>
  <c r="AP55" i="33"/>
  <c r="AP113" i="33"/>
  <c r="AU113" i="33"/>
  <c r="AU104" i="33"/>
  <c r="AP104" i="33"/>
  <c r="AP70" i="33"/>
  <c r="AU70" i="33"/>
  <c r="AP111" i="33"/>
  <c r="AU111" i="33"/>
  <c r="AP102" i="33"/>
  <c r="AU102" i="33"/>
  <c r="AU80" i="33"/>
  <c r="AP80" i="33"/>
  <c r="AP101" i="33"/>
  <c r="AU101" i="33"/>
  <c r="AU79" i="33"/>
  <c r="AP79" i="33"/>
  <c r="AU81" i="33"/>
  <c r="AP81" i="33"/>
  <c r="AP23" i="33"/>
  <c r="AU23" i="33"/>
  <c r="AU93" i="33"/>
  <c r="AP93" i="33"/>
  <c r="AP69" i="33"/>
  <c r="AU69" i="33"/>
  <c r="AU41" i="33"/>
  <c r="AP41" i="33"/>
  <c r="AP96" i="33"/>
  <c r="AU96" i="33"/>
  <c r="AU63" i="33"/>
  <c r="AP63" i="33"/>
  <c r="AP134" i="33"/>
  <c r="AU134" i="33"/>
  <c r="AU87" i="33"/>
  <c r="AP87" i="33"/>
  <c r="AU34" i="33"/>
  <c r="AP34" i="33"/>
  <c r="AP136" i="33"/>
  <c r="AU136" i="33"/>
  <c r="AU95" i="33"/>
  <c r="AP95" i="33"/>
  <c r="AP120" i="33"/>
  <c r="AU120" i="33"/>
  <c r="AU109" i="33"/>
  <c r="AP109" i="33"/>
  <c r="AU129" i="33"/>
  <c r="AP129" i="33"/>
  <c r="AP108" i="33"/>
  <c r="AU108" i="33"/>
  <c r="AU97" i="33"/>
  <c r="AP97" i="33"/>
  <c r="AP137" i="33"/>
  <c r="AU137" i="33"/>
  <c r="AP126" i="33"/>
  <c r="AU126" i="33"/>
  <c r="AU68" i="33"/>
  <c r="AP68" i="33"/>
  <c r="AU15" i="33"/>
  <c r="AP15" i="33"/>
  <c r="AP21" i="33"/>
  <c r="AU21" i="33"/>
  <c r="AU7" i="33"/>
  <c r="AP7" i="33"/>
  <c r="AU35" i="33"/>
  <c r="AP35" i="33"/>
  <c r="AP45" i="33"/>
  <c r="AU45" i="33"/>
  <c r="AU53" i="33"/>
  <c r="AP53" i="33"/>
  <c r="AP100" i="33"/>
  <c r="AU100" i="33"/>
  <c r="AP94" i="33"/>
  <c r="AU94" i="33"/>
  <c r="AU92" i="33"/>
  <c r="AP92" i="33"/>
  <c r="AP132" i="33"/>
  <c r="AU132" i="33"/>
  <c r="AU75" i="33"/>
  <c r="AP75" i="33"/>
  <c r="AP62" i="33"/>
  <c r="AU62" i="33"/>
  <c r="AP49" i="33"/>
  <c r="AU49" i="33"/>
  <c r="AP59" i="33"/>
  <c r="AU59" i="33"/>
  <c r="AP42" i="33"/>
  <c r="AU42" i="33"/>
  <c r="AU142" i="33"/>
  <c r="AP142" i="33"/>
  <c r="AU83" i="33"/>
  <c r="AP83" i="33"/>
  <c r="AP91" i="33"/>
  <c r="AU91" i="33"/>
  <c r="AU146" i="33"/>
  <c r="AP146" i="33"/>
  <c r="AP38" i="33"/>
  <c r="AU38" i="33"/>
  <c r="AU27" i="33"/>
  <c r="AP27" i="33"/>
  <c r="AP61" i="33"/>
  <c r="AU61" i="33"/>
  <c r="AP125" i="33"/>
  <c r="AU125" i="33"/>
  <c r="AU118" i="33"/>
  <c r="AP118" i="33"/>
  <c r="AU107" i="33"/>
  <c r="AP107" i="33"/>
  <c r="AP99" i="33"/>
  <c r="AU99" i="33"/>
  <c r="AU2" i="33"/>
  <c r="AP2" i="33"/>
  <c r="AU106" i="33"/>
  <c r="AP106" i="33"/>
  <c r="AU88" i="33"/>
  <c r="AP88" i="33"/>
  <c r="AU135" i="33"/>
  <c r="AP135" i="33"/>
  <c r="AP124" i="33"/>
  <c r="AU124" i="33"/>
  <c r="AP73" i="33"/>
  <c r="AU73" i="33"/>
  <c r="AP47" i="33"/>
  <c r="AU47" i="33"/>
  <c r="AP33" i="33"/>
  <c r="AU33" i="33"/>
  <c r="AU17" i="33"/>
  <c r="AP17" i="33"/>
  <c r="AU65" i="33"/>
  <c r="AP65" i="33"/>
  <c r="AP19" i="33"/>
  <c r="AU19" i="33"/>
  <c r="AP52" i="33"/>
  <c r="AU52" i="33"/>
  <c r="AP143" i="33"/>
  <c r="AU143" i="33"/>
  <c r="AU8" i="33"/>
  <c r="AP8" i="33"/>
  <c r="AU151" i="33"/>
  <c r="AP151" i="33"/>
  <c r="AP84" i="33"/>
  <c r="AU84" i="33"/>
  <c r="AP24" i="33"/>
  <c r="AU24" i="33"/>
  <c r="AU128" i="33"/>
  <c r="AP128" i="33"/>
  <c r="AU44" i="33"/>
  <c r="AP44" i="33"/>
  <c r="AU150" i="33"/>
  <c r="AP150" i="33"/>
  <c r="AU71" i="33"/>
  <c r="AP71" i="33"/>
  <c r="AP138" i="33"/>
  <c r="AU138" i="33"/>
  <c r="AP122" i="33"/>
  <c r="AU122" i="33"/>
  <c r="AP103" i="33"/>
  <c r="AU103" i="33"/>
  <c r="AU123" i="33"/>
  <c r="AP123" i="33"/>
  <c r="AU64" i="33"/>
  <c r="AP64" i="33"/>
  <c r="AU117" i="33"/>
  <c r="AP117" i="33"/>
  <c r="AU130" i="33"/>
  <c r="AP130" i="33"/>
  <c r="AU56" i="33"/>
  <c r="AP56" i="33"/>
  <c r="AP60" i="33"/>
  <c r="AU60" i="33"/>
  <c r="AU32" i="33"/>
  <c r="AP32" i="33"/>
  <c r="AU77" i="33"/>
  <c r="AP77" i="33"/>
  <c r="AU51" i="33"/>
  <c r="AP51" i="33"/>
  <c r="AU37" i="33"/>
  <c r="AP37" i="33"/>
  <c r="AP6" i="33"/>
  <c r="AU6" i="33"/>
  <c r="AP57" i="33"/>
  <c r="AU57" i="33"/>
  <c r="AP140" i="33"/>
  <c r="AU140" i="33"/>
  <c r="AU29" i="33"/>
  <c r="AP29" i="33"/>
  <c r="AP36" i="33"/>
  <c r="AU36" i="33"/>
  <c r="AD16" i="2"/>
  <c r="AJ16" i="2"/>
  <c r="AG16" i="2"/>
  <c r="AA17" i="2"/>
  <c r="AD45" i="2"/>
  <c r="AJ45" i="2"/>
  <c r="AG45" i="2"/>
  <c r="AA46" i="2"/>
  <c r="AG73" i="2"/>
  <c r="AD73" i="2"/>
  <c r="AJ73" i="2"/>
  <c r="AA74" i="2"/>
  <c r="AD102" i="2"/>
  <c r="AG102" i="2"/>
  <c r="AJ102" i="2"/>
  <c r="AA103" i="2"/>
  <c r="AA213" i="2"/>
  <c r="AJ212" i="2"/>
  <c r="AG212" i="2"/>
  <c r="AD212" i="2"/>
  <c r="C17" i="15"/>
  <c r="N13" i="39" s="1"/>
  <c r="O13" i="39" s="1"/>
  <c r="I20"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4" i="15"/>
  <c r="I16" i="15"/>
  <c r="I15" i="15"/>
  <c r="I19" i="15"/>
  <c r="AG18" i="2" l="1"/>
  <c r="AD18" i="2"/>
  <c r="AJ18" i="2"/>
  <c r="AA19" i="2"/>
  <c r="AJ47" i="2"/>
  <c r="AG47" i="2"/>
  <c r="AD47" i="2"/>
  <c r="AA48" i="2"/>
  <c r="AJ75" i="2"/>
  <c r="AG75" i="2"/>
  <c r="AD75" i="2"/>
  <c r="AA76" i="2"/>
  <c r="AD104" i="2"/>
  <c r="AJ104" i="2"/>
  <c r="AG104" i="2"/>
  <c r="AA105" i="2"/>
  <c r="AJ214" i="2"/>
  <c r="AG214" i="2"/>
  <c r="AD214" i="2"/>
  <c r="AA215" i="2"/>
  <c r="K19" i="15"/>
  <c r="AG19" i="2" l="1"/>
  <c r="AD19" i="2"/>
  <c r="AJ19" i="2"/>
  <c r="AA20" i="2"/>
  <c r="AJ48" i="2"/>
  <c r="AG48" i="2"/>
  <c r="AD48" i="2"/>
  <c r="AA49" i="2"/>
  <c r="AD76" i="2"/>
  <c r="AG76" i="2"/>
  <c r="AJ76" i="2"/>
  <c r="AA77" i="2"/>
  <c r="AJ105" i="2"/>
  <c r="AD105" i="2"/>
  <c r="AG105" i="2"/>
  <c r="AA106" i="2"/>
  <c r="AA216" i="2"/>
  <c r="AJ215" i="2"/>
  <c r="AG215" i="2"/>
  <c r="AD215" i="2"/>
  <c r="C19"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6" i="15"/>
  <c r="C16"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6" i="39" l="1"/>
  <c r="O16" i="39" s="1"/>
  <c r="N19" i="39"/>
  <c r="O19" i="39" s="1"/>
  <c r="H142" i="33"/>
  <c r="H145" i="33"/>
  <c r="H148" i="33"/>
  <c r="BB9" i="33"/>
  <c r="AW9" i="33"/>
  <c r="AH9" i="33"/>
  <c r="AM9"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4" i="15"/>
  <c r="K35" i="15"/>
  <c r="I35" i="15"/>
  <c r="K36" i="15"/>
  <c r="I36" i="15"/>
  <c r="I42" i="15"/>
  <c r="K40" i="15"/>
  <c r="K20" i="15"/>
  <c r="K28" i="15"/>
  <c r="K26" i="15"/>
  <c r="K27" i="15"/>
  <c r="I40" i="15"/>
  <c r="I37" i="15"/>
  <c r="K44" i="15"/>
  <c r="I26" i="15"/>
  <c r="K30" i="15"/>
  <c r="I27" i="15"/>
  <c r="K29" i="15"/>
  <c r="C31" i="15"/>
  <c r="I28" i="15"/>
  <c r="I39" i="15"/>
  <c r="K48" i="15"/>
  <c r="I45"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42" i="15"/>
  <c r="I43" i="15"/>
  <c r="I25" i="15"/>
  <c r="I24" i="15"/>
  <c r="K38" i="15"/>
  <c r="I23" i="15"/>
  <c r="I55" i="15"/>
  <c r="K37" i="15"/>
  <c r="K25" i="15"/>
  <c r="K24" i="15"/>
  <c r="K23" i="15"/>
  <c r="I38" i="15"/>
  <c r="G344" i="2"/>
  <c r="D338" i="2"/>
  <c r="D339" i="2"/>
  <c r="G345" i="2"/>
  <c r="E344" i="2"/>
  <c r="E345" i="2"/>
  <c r="G338" i="2"/>
  <c r="G339" i="2"/>
  <c r="E338" i="2"/>
  <c r="E339" i="2"/>
  <c r="K63" i="15"/>
  <c r="K73" i="15"/>
  <c r="I52" i="15"/>
  <c r="K75" i="15"/>
  <c r="K61" i="15"/>
  <c r="K51" i="15"/>
  <c r="K49" i="15"/>
  <c r="I78" i="15"/>
  <c r="I76" i="15"/>
  <c r="I66" i="15"/>
  <c r="I64" i="15"/>
  <c r="I54" i="15"/>
  <c r="K41" i="15"/>
  <c r="K39" i="15"/>
  <c r="K74" i="15"/>
  <c r="K62" i="15"/>
  <c r="K50" i="15"/>
  <c r="I77" i="15"/>
  <c r="I65" i="15"/>
  <c r="I53" i="15"/>
  <c r="K72" i="15"/>
  <c r="K60" i="15"/>
  <c r="I75" i="15"/>
  <c r="I63" i="15"/>
  <c r="I51" i="15"/>
  <c r="K71" i="15"/>
  <c r="K59" i="15"/>
  <c r="K47" i="15"/>
  <c r="I74" i="15"/>
  <c r="I62" i="15"/>
  <c r="I50" i="15"/>
  <c r="K82" i="15"/>
  <c r="K70" i="15"/>
  <c r="K58" i="15"/>
  <c r="K46" i="15"/>
  <c r="I73" i="15"/>
  <c r="I61" i="15"/>
  <c r="I49" i="15"/>
  <c r="I18" i="15"/>
  <c r="K81" i="15"/>
  <c r="K69" i="15"/>
  <c r="K57" i="15"/>
  <c r="I72" i="15"/>
  <c r="I60" i="15"/>
  <c r="I48" i="15"/>
  <c r="K80" i="15"/>
  <c r="K68" i="15"/>
  <c r="K56" i="15"/>
  <c r="I71" i="15"/>
  <c r="I59" i="15"/>
  <c r="I47" i="15"/>
  <c r="K79" i="15"/>
  <c r="K67" i="15"/>
  <c r="K55" i="15"/>
  <c r="I82" i="15"/>
  <c r="I70" i="15"/>
  <c r="I58" i="15"/>
  <c r="I46" i="15"/>
  <c r="K78" i="15"/>
  <c r="K66" i="15"/>
  <c r="K54" i="15"/>
  <c r="I81" i="15"/>
  <c r="I57" i="15"/>
  <c r="K77" i="15"/>
  <c r="K65" i="15"/>
  <c r="K53" i="15"/>
  <c r="K22" i="15"/>
  <c r="I80" i="15"/>
  <c r="I68" i="15"/>
  <c r="I56" i="15"/>
  <c r="I41" i="15"/>
  <c r="K76" i="15"/>
  <c r="K64" i="15"/>
  <c r="K52" i="15"/>
  <c r="K21" i="15"/>
  <c r="I79" i="15"/>
  <c r="I67" i="15"/>
  <c r="AE148" i="33" l="1"/>
  <c r="BD148" i="33"/>
  <c r="AO148" i="33"/>
  <c r="AY148" i="33"/>
  <c r="AT148" i="33"/>
  <c r="AJ148" i="33"/>
  <c r="I148" i="33"/>
  <c r="AE145" i="33"/>
  <c r="I145" i="33"/>
  <c r="BD145" i="33"/>
  <c r="AY145" i="33"/>
  <c r="AJ145" i="33"/>
  <c r="AT145" i="33"/>
  <c r="AO145" i="33"/>
  <c r="AE142" i="33"/>
  <c r="AJ142" i="33"/>
  <c r="I142" i="33"/>
  <c r="AT142" i="33"/>
  <c r="BD142" i="33"/>
  <c r="AO142" i="33"/>
  <c r="AY142"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20" i="15"/>
  <c r="C81" i="15"/>
  <c r="C40" i="15"/>
  <c r="C28" i="15"/>
  <c r="C36" i="15"/>
  <c r="C60" i="15"/>
  <c r="C35" i="15"/>
  <c r="C79" i="15"/>
  <c r="C32" i="15"/>
  <c r="C71" i="15"/>
  <c r="C56" i="15"/>
  <c r="C70" i="15"/>
  <c r="C53" i="15"/>
  <c r="C57" i="15"/>
  <c r="C62" i="15"/>
  <c r="C78" i="15"/>
  <c r="X51" i="16"/>
  <c r="C49" i="15"/>
  <c r="C67" i="15"/>
  <c r="C77" i="15"/>
  <c r="C68" i="15"/>
  <c r="C58" i="15"/>
  <c r="C25" i="15"/>
  <c r="C82" i="15"/>
  <c r="C75" i="15"/>
  <c r="X29" i="16"/>
  <c r="C38" i="15"/>
  <c r="C41" i="15"/>
  <c r="C61" i="15"/>
  <c r="C39" i="15"/>
  <c r="C46" i="15"/>
  <c r="C73" i="15"/>
  <c r="C52" i="15"/>
  <c r="C33" i="15"/>
  <c r="C80" i="15"/>
  <c r="C63" i="15"/>
  <c r="C54" i="15"/>
  <c r="C27" i="15"/>
  <c r="C51" i="15"/>
  <c r="C72" i="15"/>
  <c r="C64" i="15"/>
  <c r="C42" i="15"/>
  <c r="C66" i="15"/>
  <c r="C55" i="15"/>
  <c r="C26" i="15"/>
  <c r="C34" i="15"/>
  <c r="C50" i="15"/>
  <c r="C76" i="15"/>
  <c r="C23" i="15"/>
  <c r="AB4" i="16" s="1"/>
  <c r="C48" i="15"/>
  <c r="C47" i="15"/>
  <c r="R4" i="16"/>
  <c r="C37" i="15"/>
  <c r="AD21" i="16" s="1"/>
  <c r="C59" i="15"/>
  <c r="C74" i="15"/>
  <c r="C65" i="15"/>
  <c r="C24" i="15"/>
  <c r="H350" i="2"/>
  <c r="H272" i="2"/>
  <c r="H275" i="2"/>
  <c r="H266" i="2"/>
  <c r="H274" i="2"/>
  <c r="H269" i="2"/>
  <c r="H268" i="2"/>
  <c r="H325" i="2"/>
  <c r="H329" i="2"/>
  <c r="H347" i="2"/>
  <c r="H246" i="2"/>
  <c r="F309" i="2"/>
  <c r="I44" i="15"/>
  <c r="C44" i="15" s="1"/>
  <c r="K43" i="15"/>
  <c r="I22" i="15"/>
  <c r="C22" i="15" s="1"/>
  <c r="K45" i="15"/>
  <c r="C45" i="15" s="1"/>
  <c r="I69" i="15"/>
  <c r="C69" i="15" s="1"/>
  <c r="I21" i="15"/>
  <c r="I30" i="15"/>
  <c r="I29" i="15"/>
  <c r="F91" i="2" s="1"/>
  <c r="K14" i="15"/>
  <c r="K15" i="15"/>
  <c r="K13" i="15"/>
  <c r="H234" i="2"/>
  <c r="H225" i="2"/>
  <c r="H241" i="2"/>
  <c r="H249" i="2"/>
  <c r="H247" i="2"/>
  <c r="H245" i="2"/>
  <c r="K18" i="15"/>
  <c r="H259" i="2" s="1"/>
  <c r="I13"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53" i="39" l="1"/>
  <c r="O53" i="39" s="1"/>
  <c r="N32" i="39"/>
  <c r="O32" i="39" s="1"/>
  <c r="N31" i="39"/>
  <c r="O31" i="39" s="1"/>
  <c r="N49" i="39"/>
  <c r="O49" i="39" s="1"/>
  <c r="N28" i="39"/>
  <c r="O28" i="39" s="1"/>
  <c r="N22" i="39"/>
  <c r="O22" i="39" s="1"/>
  <c r="N56" i="39"/>
  <c r="O56" i="39" s="1"/>
  <c r="N43" i="39"/>
  <c r="O43" i="39" s="1"/>
  <c r="N40" i="39"/>
  <c r="O40" i="39" s="1"/>
  <c r="N58" i="39"/>
  <c r="O58" i="39" s="1"/>
  <c r="N33" i="39"/>
  <c r="O33" i="39" s="1"/>
  <c r="N55" i="39"/>
  <c r="O55" i="39" s="1"/>
  <c r="N52" i="39"/>
  <c r="O52" i="39" s="1"/>
  <c r="N59" i="39"/>
  <c r="O59" i="39" s="1"/>
  <c r="N46" i="39"/>
  <c r="O46" i="39" s="1"/>
  <c r="N20" i="39"/>
  <c r="O20" i="39" s="1"/>
  <c r="N64" i="39"/>
  <c r="O64" i="39" s="1"/>
  <c r="N24" i="39"/>
  <c r="O24" i="39" s="1"/>
  <c r="N35" i="39"/>
  <c r="O35" i="39" s="1"/>
  <c r="N44" i="39"/>
  <c r="O44" i="39" s="1"/>
  <c r="N37" i="39"/>
  <c r="O37" i="39" s="1"/>
  <c r="N48" i="39"/>
  <c r="O48" i="39" s="1"/>
  <c r="N47" i="39"/>
  <c r="O47" i="39" s="1"/>
  <c r="N21" i="39"/>
  <c r="O21" i="39" s="1"/>
  <c r="N50" i="39"/>
  <c r="O50" i="39" s="1"/>
  <c r="N26" i="39"/>
  <c r="O26" i="39" s="1"/>
  <c r="N25" i="39"/>
  <c r="O25" i="39" s="1"/>
  <c r="N45" i="39"/>
  <c r="O45" i="39" s="1"/>
  <c r="N27" i="39"/>
  <c r="O27" i="39" s="1"/>
  <c r="N51" i="39"/>
  <c r="O51" i="39" s="1"/>
  <c r="N61" i="39"/>
  <c r="O61" i="39" s="1"/>
  <c r="N57" i="39"/>
  <c r="O57" i="39" s="1"/>
  <c r="N63" i="39"/>
  <c r="O63" i="39" s="1"/>
  <c r="N38" i="39"/>
  <c r="O38" i="39" s="1"/>
  <c r="N34" i="39"/>
  <c r="O34" i="39" s="1"/>
  <c r="N30" i="39"/>
  <c r="O30" i="39" s="1"/>
  <c r="N62" i="39"/>
  <c r="O62" i="39" s="1"/>
  <c r="N23" i="39"/>
  <c r="O23" i="39" s="1"/>
  <c r="N29" i="39"/>
  <c r="O29" i="39" s="1"/>
  <c r="N42" i="39"/>
  <c r="O42" i="39" s="1"/>
  <c r="N39" i="39"/>
  <c r="O39" i="39" s="1"/>
  <c r="N36" i="39"/>
  <c r="O36" i="39" s="1"/>
  <c r="N41" i="39"/>
  <c r="O41" i="39" s="1"/>
  <c r="N54" i="39"/>
  <c r="O54" i="39" s="1"/>
  <c r="N60" i="39"/>
  <c r="O60" i="39" s="1"/>
  <c r="O2" i="39"/>
  <c r="H2" i="33"/>
  <c r="H3" i="33"/>
  <c r="Z8" i="16"/>
  <c r="AL8" i="16"/>
  <c r="X8" i="16"/>
  <c r="X9" i="16"/>
  <c r="Z9" i="16"/>
  <c r="AL9" i="16"/>
  <c r="AB8" i="16"/>
  <c r="AB9" i="16"/>
  <c r="R8" i="16"/>
  <c r="AJ9" i="16"/>
  <c r="R9" i="16"/>
  <c r="AD9" i="16"/>
  <c r="AF9" i="16"/>
  <c r="T8" i="16"/>
  <c r="AF8" i="16"/>
  <c r="T9" i="16"/>
  <c r="V8" i="16"/>
  <c r="AH8" i="16"/>
  <c r="AJ8" i="16"/>
  <c r="V9" i="16"/>
  <c r="AH9" i="16"/>
  <c r="AB13" i="16"/>
  <c r="AL31" i="16"/>
  <c r="Z2" i="16"/>
  <c r="AB22" i="16"/>
  <c r="R5" i="16"/>
  <c r="R17" i="16"/>
  <c r="T4" i="16"/>
  <c r="AD38" i="16"/>
  <c r="Z54" i="16"/>
  <c r="X55" i="16"/>
  <c r="R55" i="16"/>
  <c r="AB58"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4" i="16"/>
  <c r="T20" i="16"/>
  <c r="AL4" i="16"/>
  <c r="AF52" i="16"/>
  <c r="AD17" i="16"/>
  <c r="V3" i="16"/>
  <c r="AJ51" i="16"/>
  <c r="R41" i="16"/>
  <c r="T40" i="16"/>
  <c r="X12" i="16"/>
  <c r="X21" i="16"/>
  <c r="AD28" i="16"/>
  <c r="AB38" i="16"/>
  <c r="AB49" i="16"/>
  <c r="X33" i="16"/>
  <c r="AF35" i="16"/>
  <c r="AB48" i="16"/>
  <c r="Z47" i="16"/>
  <c r="AJ26" i="16"/>
  <c r="AL17" i="16"/>
  <c r="AL10" i="16"/>
  <c r="AF53" i="16"/>
  <c r="AL23" i="16"/>
  <c r="AH27" i="16"/>
  <c r="Z24" i="16"/>
  <c r="X13" i="16"/>
  <c r="R36" i="16"/>
  <c r="AL20" i="16"/>
  <c r="R52" i="16"/>
  <c r="T2" i="16"/>
  <c r="AF37" i="16"/>
  <c r="AF54" i="16"/>
  <c r="Z20" i="16"/>
  <c r="AJ30" i="16"/>
  <c r="AB39" i="16"/>
  <c r="AD55" i="16"/>
  <c r="AJ21" i="16"/>
  <c r="T35" i="16"/>
  <c r="T36" i="16"/>
  <c r="AH58" i="16"/>
  <c r="AD37" i="16"/>
  <c r="AJ33" i="16"/>
  <c r="AL5" i="16"/>
  <c r="AD41" i="16"/>
  <c r="T12" i="16"/>
  <c r="AB29" i="16"/>
  <c r="T19" i="16"/>
  <c r="AL49" i="16"/>
  <c r="AB20" i="16"/>
  <c r="C29" i="15"/>
  <c r="F178" i="2"/>
  <c r="F179" i="2"/>
  <c r="F180" i="2"/>
  <c r="F181" i="2"/>
  <c r="F177" i="2"/>
  <c r="F182" i="2"/>
  <c r="C30" i="15"/>
  <c r="F209" i="2"/>
  <c r="F206" i="2"/>
  <c r="F210" i="2"/>
  <c r="F207" i="2"/>
  <c r="F211" i="2"/>
  <c r="F208" i="2"/>
  <c r="F147" i="2"/>
  <c r="X14" i="16"/>
  <c r="AH15" i="16"/>
  <c r="AF49" i="16"/>
  <c r="V16" i="16"/>
  <c r="AL41" i="16"/>
  <c r="AB51" i="16"/>
  <c r="T41" i="16"/>
  <c r="Z49" i="16"/>
  <c r="V6" i="16"/>
  <c r="T39" i="16"/>
  <c r="Z29" i="16"/>
  <c r="V54" i="16"/>
  <c r="AL48" i="16"/>
  <c r="T14" i="16"/>
  <c r="AJ54" i="16"/>
  <c r="AH21" i="16"/>
  <c r="AF33" i="16"/>
  <c r="Z48" i="16"/>
  <c r="AL13" i="16"/>
  <c r="AF58" i="16"/>
  <c r="Z51" i="16"/>
  <c r="Z26" i="16"/>
  <c r="R28" i="16"/>
  <c r="V58" i="16"/>
  <c r="X26" i="16"/>
  <c r="AD33" i="16"/>
  <c r="AJ25" i="16"/>
  <c r="V10" i="16"/>
  <c r="T53" i="16"/>
  <c r="Z3" i="16"/>
  <c r="V27" i="16"/>
  <c r="AL7" i="16"/>
  <c r="R33" i="16"/>
  <c r="AL36" i="16"/>
  <c r="AF14" i="16"/>
  <c r="AJ32" i="16"/>
  <c r="AH39" i="16"/>
  <c r="AB25" i="16"/>
  <c r="AJ15" i="16"/>
  <c r="R51" i="16"/>
  <c r="X2" i="16"/>
  <c r="AJ45" i="16"/>
  <c r="AH13" i="16"/>
  <c r="V52" i="16"/>
  <c r="Z40" i="16"/>
  <c r="AL54" i="16"/>
  <c r="AD15" i="16"/>
  <c r="AD29" i="16"/>
  <c r="AB17" i="16"/>
  <c r="X45" i="16"/>
  <c r="Z16" i="16"/>
  <c r="AJ19" i="16"/>
  <c r="AB41" i="16"/>
  <c r="R45" i="16"/>
  <c r="AB14" i="16"/>
  <c r="X24" i="16"/>
  <c r="AD27" i="16"/>
  <c r="AL12" i="16"/>
  <c r="AD39" i="16"/>
  <c r="AJ42" i="16"/>
  <c r="AJ16" i="16"/>
  <c r="X15" i="16"/>
  <c r="T55" i="16"/>
  <c r="T46" i="16"/>
  <c r="AD44" i="16"/>
  <c r="R29" i="16"/>
  <c r="AL11" i="16"/>
  <c r="AD30" i="16"/>
  <c r="X3" i="16"/>
  <c r="AD42" i="16"/>
  <c r="AH6" i="16"/>
  <c r="Z13" i="16"/>
  <c r="T37" i="16"/>
  <c r="AJ2" i="16"/>
  <c r="Z39" i="16"/>
  <c r="R53" i="16"/>
  <c r="X30" i="16"/>
  <c r="T11" i="16"/>
  <c r="X42" i="16"/>
  <c r="AH22" i="16"/>
  <c r="V49" i="16"/>
  <c r="T23" i="16"/>
  <c r="X40" i="16"/>
  <c r="AJ18" i="16"/>
  <c r="V7" i="16"/>
  <c r="R30" i="16"/>
  <c r="T7" i="16"/>
  <c r="T44" i="16"/>
  <c r="AJ22" i="16"/>
  <c r="R50" i="16"/>
  <c r="AJ11" i="16"/>
  <c r="AD36" i="16"/>
  <c r="F312" i="2"/>
  <c r="F271" i="2"/>
  <c r="F266" i="2"/>
  <c r="F293" i="2"/>
  <c r="F278" i="2"/>
  <c r="F330" i="2"/>
  <c r="F310" i="2"/>
  <c r="F315" i="2"/>
  <c r="F302" i="2"/>
  <c r="F323" i="2"/>
  <c r="F283" i="2"/>
  <c r="F282" i="2"/>
  <c r="F299" i="2"/>
  <c r="F269" i="2"/>
  <c r="F313" i="2"/>
  <c r="F333" i="2"/>
  <c r="F328" i="2"/>
  <c r="F281" i="2"/>
  <c r="F272" i="2"/>
  <c r="F298" i="2"/>
  <c r="F304" i="2"/>
  <c r="F290" i="2"/>
  <c r="F327" i="2"/>
  <c r="F350" i="2"/>
  <c r="X43" i="16"/>
  <c r="F276" i="2"/>
  <c r="F273" i="2"/>
  <c r="F292" i="2"/>
  <c r="F318" i="2"/>
  <c r="F332" i="2"/>
  <c r="F291" i="2"/>
  <c r="F348" i="2"/>
  <c r="AB26" i="16"/>
  <c r="R35" i="16"/>
  <c r="F294" i="2"/>
  <c r="F265" i="2"/>
  <c r="F275" i="2"/>
  <c r="F306" i="2"/>
  <c r="F286" i="2"/>
  <c r="F287" i="2"/>
  <c r="F347" i="2"/>
  <c r="V22" i="16"/>
  <c r="R40" i="16"/>
  <c r="AB53" i="16"/>
  <c r="Z58" i="16"/>
  <c r="V37" i="16"/>
  <c r="R27" i="16"/>
  <c r="AJ20" i="16"/>
  <c r="AF50" i="16"/>
  <c r="AF31" i="16"/>
  <c r="AL3" i="16"/>
  <c r="T49" i="16"/>
  <c r="AL55" i="16"/>
  <c r="T34" i="16"/>
  <c r="AF3" i="16"/>
  <c r="AL26" i="16"/>
  <c r="AD19" i="16"/>
  <c r="AH47" i="16"/>
  <c r="AL30" i="16"/>
  <c r="AH37" i="16"/>
  <c r="X27" i="16"/>
  <c r="AD45" i="16"/>
  <c r="X6" i="16"/>
  <c r="V13" i="16"/>
  <c r="AF16" i="16"/>
  <c r="T13" i="16"/>
  <c r="Z10" i="16"/>
  <c r="Z17" i="16"/>
  <c r="AJ36" i="16"/>
  <c r="T58" i="16"/>
  <c r="T38" i="16"/>
  <c r="Z52" i="16"/>
  <c r="AD20" i="16"/>
  <c r="T50" i="16"/>
  <c r="Z31" i="16"/>
  <c r="AH7" i="16"/>
  <c r="AD50" i="16"/>
  <c r="AF55" i="16"/>
  <c r="AH35" i="16"/>
  <c r="AL37" i="16"/>
  <c r="Z27" i="16"/>
  <c r="X19" i="16"/>
  <c r="Z5" i="16"/>
  <c r="AJ31" i="16"/>
  <c r="AF41" i="16"/>
  <c r="T29" i="16"/>
  <c r="T17" i="16"/>
  <c r="AL51" i="16"/>
  <c r="AJ24" i="16"/>
  <c r="R2" i="16"/>
  <c r="R39" i="16"/>
  <c r="AL29" i="16"/>
  <c r="X20" i="16"/>
  <c r="AD51" i="16"/>
  <c r="T31" i="16"/>
  <c r="R49" i="16"/>
  <c r="Z55" i="16"/>
  <c r="AB47" i="16"/>
  <c r="AJ38" i="16"/>
  <c r="AH28" i="16"/>
  <c r="AH20" i="16"/>
  <c r="T47" i="16"/>
  <c r="AH32" i="16"/>
  <c r="AD49" i="16"/>
  <c r="X36" i="16"/>
  <c r="AF43" i="16"/>
  <c r="T25" i="16"/>
  <c r="AF38" i="16"/>
  <c r="AJ46" i="16"/>
  <c r="AL50" i="16"/>
  <c r="T54" i="16"/>
  <c r="AH34" i="16"/>
  <c r="AL24" i="16"/>
  <c r="AH46" i="16"/>
  <c r="AJ50" i="16"/>
  <c r="AH31" i="16"/>
  <c r="AL47" i="16"/>
  <c r="X25" i="16"/>
  <c r="R42" i="16"/>
  <c r="AF34" i="16"/>
  <c r="T10" i="16"/>
  <c r="AB16" i="16"/>
  <c r="AJ13" i="16"/>
  <c r="X10" i="16"/>
  <c r="AJ49" i="16"/>
  <c r="AD54" i="16"/>
  <c r="Z41" i="16"/>
  <c r="AH36" i="16"/>
  <c r="AB21" i="16"/>
  <c r="R38" i="16"/>
  <c r="X28" i="16"/>
  <c r="AD32" i="16"/>
  <c r="AL38" i="16"/>
  <c r="AJ52" i="16"/>
  <c r="AJ58" i="16"/>
  <c r="AF40" i="16"/>
  <c r="AH29" i="16"/>
  <c r="V20" i="16"/>
  <c r="AD34" i="16"/>
  <c r="V53" i="16"/>
  <c r="T45" i="16"/>
  <c r="AB45" i="16"/>
  <c r="AF30" i="16"/>
  <c r="R34" i="16"/>
  <c r="T52" i="16"/>
  <c r="Z12" i="16"/>
  <c r="Z50" i="16"/>
  <c r="AJ55" i="16"/>
  <c r="Z34" i="16"/>
  <c r="AH12" i="16"/>
  <c r="Z25" i="16"/>
  <c r="X18" i="16"/>
  <c r="Z46" i="16"/>
  <c r="Z15" i="16"/>
  <c r="X50" i="16"/>
  <c r="AB31" i="16"/>
  <c r="X11" i="16"/>
  <c r="AH26" i="16"/>
  <c r="AH43" i="16"/>
  <c r="X34" i="16"/>
  <c r="Z14" i="16"/>
  <c r="T16" i="16"/>
  <c r="AJ6" i="16"/>
  <c r="AD14" i="16"/>
  <c r="AL6" i="16"/>
  <c r="X49" i="16"/>
  <c r="X54" i="16"/>
  <c r="AJ48" i="16"/>
  <c r="AH18" i="16"/>
  <c r="V21" i="16"/>
  <c r="AL40" i="16"/>
  <c r="AL53" i="16"/>
  <c r="X32" i="16"/>
  <c r="AJ39" i="16"/>
  <c r="V28" i="16"/>
  <c r="AD58" i="16"/>
  <c r="AH41" i="16"/>
  <c r="V29" i="16"/>
  <c r="AL21" i="16"/>
  <c r="AL42" i="16"/>
  <c r="R43" i="16"/>
  <c r="AB46" i="16"/>
  <c r="AD31" i="16"/>
  <c r="AL25" i="16"/>
  <c r="T43" i="16"/>
  <c r="AH19" i="16"/>
  <c r="AL35" i="16"/>
  <c r="AH51" i="16"/>
  <c r="V31" i="16"/>
  <c r="X35" i="16"/>
  <c r="AJ12" i="16"/>
  <c r="V26" i="16"/>
  <c r="AB43" i="16"/>
  <c r="AJ5" i="16"/>
  <c r="AD6" i="16"/>
  <c r="Z6" i="16"/>
  <c r="AD13" i="16"/>
  <c r="AH16" i="16"/>
  <c r="AF13" i="16"/>
  <c r="AF11" i="16"/>
  <c r="AH50" i="16"/>
  <c r="R54" i="16"/>
  <c r="AF46" i="16"/>
  <c r="X4" i="16"/>
  <c r="X48" i="16"/>
  <c r="AB18" i="16"/>
  <c r="AL2" i="16"/>
  <c r="AJ17" i="16"/>
  <c r="Z53" i="16"/>
  <c r="R32" i="16"/>
  <c r="AH40" i="16"/>
  <c r="AJ53" i="16"/>
  <c r="X58" i="16"/>
  <c r="V41" i="16"/>
  <c r="Z36" i="16"/>
  <c r="AF21" i="16"/>
  <c r="AD43" i="16"/>
  <c r="AJ43" i="16"/>
  <c r="R47" i="16"/>
  <c r="AD47" i="16"/>
  <c r="AB32" i="16"/>
  <c r="AF28" i="16"/>
  <c r="AB19" i="16"/>
  <c r="AF47" i="16"/>
  <c r="AB37" i="16"/>
  <c r="V51" i="16"/>
  <c r="AL32" i="16"/>
  <c r="X5" i="16"/>
  <c r="AF27" i="16"/>
  <c r="V43" i="16"/>
  <c r="AD23" i="16"/>
  <c r="AH14" i="16"/>
  <c r="AD16" i="16"/>
  <c r="AJ14" i="16"/>
  <c r="T6" i="16"/>
  <c r="AL22" i="16"/>
  <c r="AL15" i="16"/>
  <c r="V50" i="16"/>
  <c r="AH55" i="16"/>
  <c r="X46" i="16"/>
  <c r="V12" i="16"/>
  <c r="AH25" i="16"/>
  <c r="V18" i="16"/>
  <c r="X17" i="16"/>
  <c r="AF36" i="16"/>
  <c r="AH33" i="16"/>
  <c r="AH17" i="16"/>
  <c r="X53" i="16"/>
  <c r="R58" i="16"/>
  <c r="AF48" i="16"/>
  <c r="AL18" i="16"/>
  <c r="Z21" i="16"/>
  <c r="AJ37" i="16"/>
  <c r="V2" i="16"/>
  <c r="AH44" i="16"/>
  <c r="AH23" i="16"/>
  <c r="AL28" i="16"/>
  <c r="AB42" i="16"/>
  <c r="V19" i="16"/>
  <c r="X23" i="16"/>
  <c r="Z38" i="16"/>
  <c r="AB28" i="16"/>
  <c r="AF32" i="16"/>
  <c r="Z37" i="16"/>
  <c r="T27" i="16"/>
  <c r="AL44" i="16"/>
  <c r="X47" i="16"/>
  <c r="Z22" i="16"/>
  <c r="X16" i="16"/>
  <c r="X22" i="16"/>
  <c r="AJ10" i="16"/>
  <c r="AF12" i="16"/>
  <c r="AF51" i="16"/>
  <c r="AB55" i="16"/>
  <c r="AJ23" i="16"/>
  <c r="AJ7" i="16"/>
  <c r="V25" i="16"/>
  <c r="AL19" i="16"/>
  <c r="AH24" i="16"/>
  <c r="AH30" i="16"/>
  <c r="AB33" i="16"/>
  <c r="V17" i="16"/>
  <c r="AB36" i="16"/>
  <c r="T48" i="16"/>
  <c r="AF18" i="16"/>
  <c r="T21" i="16"/>
  <c r="AF17" i="16"/>
  <c r="AJ41" i="16"/>
  <c r="AF45" i="16"/>
  <c r="Z7" i="16"/>
  <c r="AB44" i="16"/>
  <c r="X44" i="16"/>
  <c r="X39" i="16"/>
  <c r="AL27" i="16"/>
  <c r="Z32" i="16"/>
  <c r="X38" i="16"/>
  <c r="AB52" i="16"/>
  <c r="AF44" i="16"/>
  <c r="V23" i="16"/>
  <c r="T22" i="16"/>
  <c r="AF10" i="16"/>
  <c r="AL16" i="16"/>
  <c r="AH10" i="16"/>
  <c r="X37" i="16"/>
  <c r="T51" i="16"/>
  <c r="V55" i="16"/>
  <c r="AD35" i="16"/>
  <c r="AJ3" i="16"/>
  <c r="AF26" i="16"/>
  <c r="AF19" i="16"/>
  <c r="AJ4" i="16"/>
  <c r="V24" i="16"/>
  <c r="AB30" i="16"/>
  <c r="V33" i="16"/>
  <c r="AF24" i="16"/>
  <c r="AH54" i="16"/>
  <c r="Z11" i="16"/>
  <c r="AD25" i="16"/>
  <c r="Z18" i="16"/>
  <c r="AJ34" i="16"/>
  <c r="AF25" i="16"/>
  <c r="AL43" i="16"/>
  <c r="AD46" i="16"/>
  <c r="R37" i="16"/>
  <c r="V35" i="16"/>
  <c r="V45" i="16"/>
  <c r="AD52" i="16"/>
  <c r="AF20" i="16"/>
  <c r="V40" i="16"/>
  <c r="AD53" i="16"/>
  <c r="T32" i="16"/>
  <c r="V39" i="16"/>
  <c r="AL52" i="16"/>
  <c r="Z44" i="16"/>
  <c r="AD10" i="16"/>
  <c r="AF6" i="16"/>
  <c r="AL14" i="16"/>
  <c r="V14" i="16"/>
  <c r="V38" i="16"/>
  <c r="Z28" i="16"/>
  <c r="AL58" i="16"/>
  <c r="V5" i="16"/>
  <c r="T26" i="16"/>
  <c r="Z19" i="16"/>
  <c r="AH49" i="16"/>
  <c r="V30" i="16"/>
  <c r="AB54" i="16"/>
  <c r="AF15" i="16"/>
  <c r="R25" i="16"/>
  <c r="T18" i="16"/>
  <c r="AB34" i="16"/>
  <c r="AB27" i="16"/>
  <c r="Z4" i="16"/>
  <c r="AF23" i="16"/>
  <c r="X41" i="16"/>
  <c r="R23" i="16"/>
  <c r="Z45" i="16"/>
  <c r="V34" i="16"/>
  <c r="AH3" i="16"/>
  <c r="R48" i="16"/>
  <c r="V15" i="16"/>
  <c r="R31" i="16"/>
  <c r="AB23" i="16"/>
  <c r="AB35" i="16"/>
  <c r="Z42" i="16"/>
  <c r="T28" i="16"/>
  <c r="V11" i="16"/>
  <c r="AH52" i="16"/>
  <c r="AH45" i="16"/>
  <c r="V46" i="16"/>
  <c r="AH42" i="16"/>
  <c r="AH38" i="16"/>
  <c r="AF42" i="16"/>
  <c r="X52" i="16"/>
  <c r="AJ28" i="16"/>
  <c r="AD24" i="16"/>
  <c r="AL39" i="16"/>
  <c r="Z30" i="16"/>
  <c r="AJ35" i="16"/>
  <c r="X31" i="16"/>
  <c r="T33" i="16"/>
  <c r="AL33" i="16"/>
  <c r="T15" i="16"/>
  <c r="X7" i="16"/>
  <c r="AD40" i="16"/>
  <c r="AJ40" i="16"/>
  <c r="V48" i="16"/>
  <c r="Z23" i="16"/>
  <c r="V32" i="16"/>
  <c r="AD48" i="16"/>
  <c r="R26" i="16"/>
  <c r="AH53" i="16"/>
  <c r="Z35" i="16"/>
  <c r="V42" i="16"/>
  <c r="AL46" i="16"/>
  <c r="R44" i="16"/>
  <c r="T5" i="16"/>
  <c r="T42" i="16"/>
  <c r="Z33" i="16"/>
  <c r="AF7" i="16"/>
  <c r="V36" i="16"/>
  <c r="AF39" i="16"/>
  <c r="V47" i="16"/>
  <c r="AH48" i="16"/>
  <c r="AB50" i="16"/>
  <c r="R15" i="16"/>
  <c r="Z43" i="16"/>
  <c r="AD26" i="16"/>
  <c r="V44" i="16"/>
  <c r="R24" i="16"/>
  <c r="AJ44" i="16"/>
  <c r="AJ47" i="16"/>
  <c r="AF29" i="16"/>
  <c r="AH11" i="16"/>
  <c r="AB40" i="16"/>
  <c r="AL34" i="16"/>
  <c r="AJ29" i="16"/>
  <c r="AL45" i="16"/>
  <c r="R46" i="16"/>
  <c r="T30" i="16"/>
  <c r="AJ27" i="16"/>
  <c r="R20" i="16"/>
  <c r="AF56" i="16"/>
  <c r="AF57" i="16"/>
  <c r="F176" i="2"/>
  <c r="C18" i="15"/>
  <c r="N18" i="39" s="1"/>
  <c r="O18" i="39" s="1"/>
  <c r="C14" i="15"/>
  <c r="R21" i="16"/>
  <c r="AD12" i="16"/>
  <c r="C15" i="15"/>
  <c r="N7" i="39" s="1"/>
  <c r="O7" i="39" s="1"/>
  <c r="C21" i="15"/>
  <c r="F205" i="2"/>
  <c r="C13" i="15"/>
  <c r="H4" i="33" s="1"/>
  <c r="R19" i="16"/>
  <c r="R12" i="16"/>
  <c r="F232" i="2"/>
  <c r="AF5" i="16"/>
  <c r="R11" i="16"/>
  <c r="R22" i="16"/>
  <c r="AB15" i="16"/>
  <c r="C43" i="15"/>
  <c r="T24"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BD4" i="33" l="1"/>
  <c r="I4" i="33"/>
  <c r="AY4" i="33"/>
  <c r="AO4" i="33"/>
  <c r="AE4" i="33"/>
  <c r="AJ4" i="33"/>
  <c r="AT4" i="33"/>
  <c r="AD7" i="16"/>
  <c r="H7" i="33"/>
  <c r="N15" i="39"/>
  <c r="O15" i="39" s="1"/>
  <c r="N6" i="39"/>
  <c r="O6" i="39" s="1"/>
  <c r="AB12" i="16"/>
  <c r="N11" i="39"/>
  <c r="O11" i="39" s="1"/>
  <c r="N17" i="39"/>
  <c r="O17" i="39" s="1"/>
  <c r="H17" i="33"/>
  <c r="BD17" i="33" s="1"/>
  <c r="N12" i="39"/>
  <c r="O12" i="39" s="1"/>
  <c r="Z13" i="33"/>
  <c r="W13" i="33"/>
  <c r="Q13" i="33"/>
  <c r="T13" i="33"/>
  <c r="T23" i="33"/>
  <c r="T20" i="33"/>
  <c r="T24" i="33"/>
  <c r="T21" i="33"/>
  <c r="T22" i="33"/>
  <c r="AD11" i="16"/>
  <c r="H15" i="33"/>
  <c r="AO15" i="33" s="1"/>
  <c r="H16" i="33"/>
  <c r="AB11" i="16"/>
  <c r="W22" i="33"/>
  <c r="W23" i="33"/>
  <c r="W24" i="33"/>
  <c r="W21" i="33"/>
  <c r="W20" i="33"/>
  <c r="Q23" i="33"/>
  <c r="Q20" i="33"/>
  <c r="Q24" i="33"/>
  <c r="Q21" i="33"/>
  <c r="Q22" i="33"/>
  <c r="Z21" i="33"/>
  <c r="Z22" i="33"/>
  <c r="Z23" i="33"/>
  <c r="Z20" i="33"/>
  <c r="Z24" i="33"/>
  <c r="N20" i="33"/>
  <c r="N22" i="33"/>
  <c r="N21" i="33"/>
  <c r="N23" i="33"/>
  <c r="N24" i="33"/>
  <c r="Q16" i="33"/>
  <c r="Q17" i="33"/>
  <c r="Z18" i="33"/>
  <c r="Z19" i="33"/>
  <c r="W17" i="33"/>
  <c r="W16" i="33"/>
  <c r="Q18" i="33"/>
  <c r="Q19" i="33"/>
  <c r="W19" i="33"/>
  <c r="W18" i="33"/>
  <c r="T16" i="33"/>
  <c r="T17" i="33"/>
  <c r="N19" i="33"/>
  <c r="N18" i="33"/>
  <c r="T18" i="33"/>
  <c r="T19" i="33"/>
  <c r="N17" i="33"/>
  <c r="N16" i="33"/>
  <c r="Z16" i="33"/>
  <c r="Z17" i="33"/>
  <c r="AD8" i="16"/>
  <c r="T14" i="33"/>
  <c r="T15" i="33"/>
  <c r="Q14" i="33"/>
  <c r="Q15" i="33"/>
  <c r="W14" i="33"/>
  <c r="W15" i="33"/>
  <c r="Z14" i="33"/>
  <c r="Z15" i="33"/>
  <c r="N14" i="33"/>
  <c r="T11" i="33"/>
  <c r="T12" i="33"/>
  <c r="Z12" i="33"/>
  <c r="Z11" i="33"/>
  <c r="W11" i="33"/>
  <c r="W12" i="33"/>
  <c r="Q11" i="33"/>
  <c r="Q12" i="33"/>
  <c r="T7" i="33"/>
  <c r="Z7" i="33"/>
  <c r="W7" i="33"/>
  <c r="AE7" i="33"/>
  <c r="I7" i="33"/>
  <c r="AJ7" i="33"/>
  <c r="AY7" i="33"/>
  <c r="AT7" i="33"/>
  <c r="BD7" i="33"/>
  <c r="AO7" i="33"/>
  <c r="BD3" i="33"/>
  <c r="I3" i="33"/>
  <c r="AY3" i="33"/>
  <c r="AT3" i="33"/>
  <c r="AJ3" i="33"/>
  <c r="AO3" i="33"/>
  <c r="AE3" i="33"/>
  <c r="H151" i="33"/>
  <c r="H150" i="33"/>
  <c r="H149" i="33"/>
  <c r="AE2" i="33"/>
  <c r="I2" i="33"/>
  <c r="AY2" i="33"/>
  <c r="AJ2" i="33"/>
  <c r="BD2" i="33"/>
  <c r="AT2" i="33"/>
  <c r="AO2" i="33"/>
  <c r="Q151" i="33"/>
  <c r="Q150" i="33"/>
  <c r="Q149" i="33"/>
  <c r="Z4" i="33"/>
  <c r="W4" i="33"/>
  <c r="T4" i="33"/>
  <c r="Q2" i="33"/>
  <c r="Q3" i="33"/>
  <c r="T3" i="33"/>
  <c r="Q4" i="33"/>
  <c r="W150" i="33"/>
  <c r="W149" i="33"/>
  <c r="W151" i="33"/>
  <c r="Z149" i="33"/>
  <c r="Z150" i="33"/>
  <c r="Z151" i="33"/>
  <c r="T151" i="33"/>
  <c r="T149" i="33"/>
  <c r="T150" i="33"/>
  <c r="N149" i="33"/>
  <c r="N150" i="33"/>
  <c r="N151" i="33"/>
  <c r="Z3" i="33"/>
  <c r="Z2" i="33"/>
  <c r="W3" i="33"/>
  <c r="W2" i="33"/>
  <c r="AF2" i="16"/>
  <c r="AH5" i="16"/>
  <c r="AD4" i="16"/>
  <c r="H5" i="33"/>
  <c r="H6" i="33"/>
  <c r="H141" i="33"/>
  <c r="H144" i="33"/>
  <c r="H147" i="33"/>
  <c r="H10" i="33"/>
  <c r="H140" i="33"/>
  <c r="H143" i="33"/>
  <c r="H146" i="33"/>
  <c r="Q146" i="33"/>
  <c r="Q148" i="33"/>
  <c r="Q144" i="33"/>
  <c r="Q141" i="33"/>
  <c r="Q142" i="33"/>
  <c r="Q147" i="33"/>
  <c r="Q140" i="33"/>
  <c r="Q145" i="33"/>
  <c r="Q143" i="33"/>
  <c r="Z6" i="33"/>
  <c r="Z5" i="33"/>
  <c r="Z10" i="33"/>
  <c r="Z8" i="33"/>
  <c r="W6" i="33"/>
  <c r="W5" i="33"/>
  <c r="W143" i="33"/>
  <c r="W145" i="33"/>
  <c r="W148" i="33"/>
  <c r="W141" i="33"/>
  <c r="W146" i="33"/>
  <c r="W144" i="33"/>
  <c r="W142" i="33"/>
  <c r="W147" i="33"/>
  <c r="W140" i="33"/>
  <c r="Q5" i="33"/>
  <c r="Q6" i="33"/>
  <c r="Z140" i="33"/>
  <c r="Z145" i="33"/>
  <c r="Z143" i="33"/>
  <c r="Z147" i="33"/>
  <c r="Z148" i="33"/>
  <c r="Z141" i="33"/>
  <c r="Z142" i="33"/>
  <c r="Z146" i="33"/>
  <c r="Z144" i="33"/>
  <c r="T6" i="33"/>
  <c r="T5" i="33"/>
  <c r="T10" i="33"/>
  <c r="T8" i="33"/>
  <c r="T148" i="33"/>
  <c r="T141" i="33"/>
  <c r="T146" i="33"/>
  <c r="T144" i="33"/>
  <c r="T142" i="33"/>
  <c r="T147" i="33"/>
  <c r="T140" i="33"/>
  <c r="T145" i="33"/>
  <c r="T143" i="33"/>
  <c r="N144" i="33"/>
  <c r="N142" i="33"/>
  <c r="N147" i="33"/>
  <c r="N140" i="33"/>
  <c r="N146" i="33"/>
  <c r="N145" i="33"/>
  <c r="N143" i="33"/>
  <c r="N148" i="33"/>
  <c r="N141" i="33"/>
  <c r="W10" i="33"/>
  <c r="W8" i="33"/>
  <c r="T9" i="33"/>
  <c r="W9" i="33"/>
  <c r="Z9"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6" i="16"/>
  <c r="B254" i="2"/>
  <c r="B256" i="2"/>
  <c r="B235" i="2"/>
  <c r="B317" i="2"/>
  <c r="B339" i="2"/>
  <c r="B281" i="2"/>
  <c r="B332" i="2"/>
  <c r="B309" i="2"/>
  <c r="AL57" i="16"/>
  <c r="AD57" i="16"/>
  <c r="B237" i="2"/>
  <c r="B341" i="2"/>
  <c r="B244" i="2"/>
  <c r="B322" i="2"/>
  <c r="B296" i="2"/>
  <c r="B260" i="2"/>
  <c r="B292" i="2"/>
  <c r="B340" i="2"/>
  <c r="B333" i="2"/>
  <c r="B172" i="2"/>
  <c r="B165" i="2"/>
  <c r="B103" i="2"/>
  <c r="B116" i="2"/>
  <c r="B97" i="2"/>
  <c r="B135" i="2"/>
  <c r="B128" i="2"/>
  <c r="B79" i="2"/>
  <c r="B62" i="2"/>
  <c r="B77" i="2"/>
  <c r="B259" i="2"/>
  <c r="T56" i="16"/>
  <c r="B282" i="2"/>
  <c r="Z56" i="16"/>
  <c r="B257" i="2"/>
  <c r="AH57" i="16"/>
  <c r="AJ56" i="16"/>
  <c r="B280" i="2"/>
  <c r="B326" i="2"/>
  <c r="B335" i="2"/>
  <c r="B271" i="2"/>
  <c r="B285" i="2"/>
  <c r="B313" i="2"/>
  <c r="B241" i="2"/>
  <c r="B171" i="2"/>
  <c r="B175" i="2"/>
  <c r="B102" i="2"/>
  <c r="B93" i="2"/>
  <c r="B95" i="2"/>
  <c r="B133" i="2"/>
  <c r="B146" i="2"/>
  <c r="B68" i="2"/>
  <c r="B78" i="2"/>
  <c r="B87" i="2"/>
  <c r="B252" i="2"/>
  <c r="B320" i="2"/>
  <c r="B315" i="2"/>
  <c r="AB56" i="16"/>
  <c r="AB57" i="16"/>
  <c r="B345" i="2"/>
  <c r="B307" i="2"/>
  <c r="B277" i="2"/>
  <c r="B236" i="2"/>
  <c r="B274" i="2"/>
  <c r="B306" i="2"/>
  <c r="B325" i="2"/>
  <c r="B314" i="2"/>
  <c r="B159" i="2"/>
  <c r="B158" i="2"/>
  <c r="B111" i="2"/>
  <c r="B108" i="2"/>
  <c r="B105" i="2"/>
  <c r="B139" i="2"/>
  <c r="B85" i="2"/>
  <c r="B61" i="2"/>
  <c r="B80" i="2"/>
  <c r="R57" i="16"/>
  <c r="B327" i="2"/>
  <c r="V56" i="16"/>
  <c r="B262" i="2"/>
  <c r="B289" i="2"/>
  <c r="B278" i="2"/>
  <c r="B319" i="2"/>
  <c r="B270" i="2"/>
  <c r="B273" i="2"/>
  <c r="B247" i="2"/>
  <c r="B310" i="2"/>
  <c r="B312" i="2"/>
  <c r="B299" i="2"/>
  <c r="B147" i="2"/>
  <c r="B169" i="2"/>
  <c r="B164" i="2"/>
  <c r="B90" i="2"/>
  <c r="B96" i="2"/>
  <c r="B112" i="2"/>
  <c r="B134" i="2"/>
  <c r="B67" i="2"/>
  <c r="B72" i="2"/>
  <c r="B71" i="2"/>
  <c r="X57" i="16"/>
  <c r="B338" i="2"/>
  <c r="T57" i="16"/>
  <c r="B297" i="2"/>
  <c r="B279" i="2"/>
  <c r="B323" i="2"/>
  <c r="B295" i="2"/>
  <c r="B298" i="2"/>
  <c r="B266" i="2"/>
  <c r="B303" i="2"/>
  <c r="B334" i="2"/>
  <c r="B291" i="2"/>
  <c r="B272" i="2"/>
  <c r="B330" i="2"/>
  <c r="B246" i="2"/>
  <c r="B284" i="2"/>
  <c r="B157" i="2"/>
  <c r="B174" i="2"/>
  <c r="B104" i="2"/>
  <c r="B115" i="2"/>
  <c r="B144" i="2"/>
  <c r="B140" i="2"/>
  <c r="B88" i="2"/>
  <c r="B81" i="2"/>
  <c r="B23" i="2"/>
  <c r="Z57" i="16"/>
  <c r="X56"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7" i="16"/>
  <c r="V57" i="16"/>
  <c r="B350" i="2"/>
  <c r="R56" i="16"/>
  <c r="B248" i="2"/>
  <c r="B344" i="2"/>
  <c r="B324" i="2"/>
  <c r="B343" i="2"/>
  <c r="B294" i="2"/>
  <c r="B287" i="2"/>
  <c r="B283" i="2"/>
  <c r="B301" i="2"/>
  <c r="B150" i="2"/>
  <c r="B122" i="2"/>
  <c r="B166" i="2"/>
  <c r="B94" i="2"/>
  <c r="B106" i="2"/>
  <c r="B125" i="2"/>
  <c r="B130" i="2"/>
  <c r="B66" i="2"/>
  <c r="B60" i="2"/>
  <c r="B28" i="2"/>
  <c r="B348" i="2"/>
  <c r="B258" i="2"/>
  <c r="AH56" i="16"/>
  <c r="B349" i="2"/>
  <c r="B245" i="2"/>
  <c r="B336" i="2"/>
  <c r="B302" i="2"/>
  <c r="B269" i="2"/>
  <c r="B239" i="2"/>
  <c r="B149" i="2"/>
  <c r="B121" i="2"/>
  <c r="B162" i="2"/>
  <c r="B154" i="2"/>
  <c r="B89" i="2"/>
  <c r="B113" i="2"/>
  <c r="B136" i="2"/>
  <c r="B132" i="2"/>
  <c r="B73" i="2"/>
  <c r="B65" i="2"/>
  <c r="B30" i="2"/>
  <c r="B253" i="2"/>
  <c r="B234" i="2"/>
  <c r="B251" i="2"/>
  <c r="B261" i="2"/>
  <c r="AL56" i="16"/>
  <c r="B346" i="2"/>
  <c r="B249" i="2"/>
  <c r="B290" i="2"/>
  <c r="B265" i="2"/>
  <c r="B268" i="2"/>
  <c r="B120" i="2"/>
  <c r="B161" i="2"/>
  <c r="B160" i="2"/>
  <c r="B92" i="2"/>
  <c r="B109" i="2"/>
  <c r="B101" i="2"/>
  <c r="B142" i="2"/>
  <c r="B129" i="2"/>
  <c r="B86" i="2"/>
  <c r="B63" i="2"/>
  <c r="B82" i="2"/>
  <c r="B26" i="2"/>
  <c r="AB7" i="16"/>
  <c r="AD18"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10" i="16"/>
  <c r="N15" i="33" s="1"/>
  <c r="B218" i="2"/>
  <c r="B212" i="2"/>
  <c r="B227" i="2"/>
  <c r="B217" i="2"/>
  <c r="B230" i="2"/>
  <c r="B222" i="2"/>
  <c r="B223" i="2"/>
  <c r="B215" i="2"/>
  <c r="B214" i="2"/>
  <c r="R13" i="16"/>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10" i="16"/>
  <c r="AB3" i="16"/>
  <c r="R7" i="16"/>
  <c r="N13" i="33" s="1"/>
  <c r="AF22" i="16"/>
  <c r="R18" i="16"/>
  <c r="R14" i="16"/>
  <c r="AH4" i="16"/>
  <c r="R16" i="16"/>
  <c r="AF4" i="16"/>
  <c r="T3" i="16"/>
  <c r="Q7" i="33" s="1"/>
  <c r="AD22" i="16"/>
  <c r="R3" i="16"/>
  <c r="N4" i="33" l="1"/>
  <c r="AJ17" i="33"/>
  <c r="AO17" i="33"/>
  <c r="AY17" i="33"/>
  <c r="AE17" i="33"/>
  <c r="AT17" i="33"/>
  <c r="I17" i="33"/>
  <c r="AT15" i="33"/>
  <c r="BD15" i="33"/>
  <c r="AJ15" i="33"/>
  <c r="AY15" i="33"/>
  <c r="I15" i="33"/>
  <c r="AE15" i="33"/>
  <c r="AY16" i="33"/>
  <c r="AO16" i="33"/>
  <c r="AT16" i="33"/>
  <c r="BD16" i="33"/>
  <c r="AJ16" i="33"/>
  <c r="I16" i="33"/>
  <c r="AE16" i="33"/>
  <c r="N11" i="33"/>
  <c r="N12" i="33"/>
  <c r="T2" i="33"/>
  <c r="AY151" i="33"/>
  <c r="I151" i="33"/>
  <c r="AJ151" i="33"/>
  <c r="AE151" i="33"/>
  <c r="BD151" i="33"/>
  <c r="AO151" i="33"/>
  <c r="AT151" i="33"/>
  <c r="AY149" i="33"/>
  <c r="AE149" i="33"/>
  <c r="I149" i="33"/>
  <c r="BD149" i="33"/>
  <c r="AO149" i="33"/>
  <c r="AT149" i="33"/>
  <c r="AJ149" i="33"/>
  <c r="AE150" i="33"/>
  <c r="BD150" i="33"/>
  <c r="AJ150" i="33"/>
  <c r="I150" i="33"/>
  <c r="AO150" i="33"/>
  <c r="AY150" i="33"/>
  <c r="AT150" i="33"/>
  <c r="N2" i="33"/>
  <c r="N3" i="33"/>
  <c r="N7" i="33"/>
  <c r="AE143" i="33"/>
  <c r="BD143" i="33"/>
  <c r="AT143" i="33"/>
  <c r="AO143" i="33"/>
  <c r="I143" i="33"/>
  <c r="AY143" i="33"/>
  <c r="AJ143" i="33"/>
  <c r="AE10" i="33"/>
  <c r="AT10" i="33"/>
  <c r="I10" i="33"/>
  <c r="BD10" i="33"/>
  <c r="AY10" i="33"/>
  <c r="AO10" i="33"/>
  <c r="AJ10" i="33"/>
  <c r="AE140" i="33"/>
  <c r="AT140" i="33"/>
  <c r="AY140" i="33"/>
  <c r="AJ140" i="33"/>
  <c r="I140" i="33"/>
  <c r="BD140" i="33"/>
  <c r="AO140" i="33"/>
  <c r="AE147" i="33"/>
  <c r="BD147" i="33"/>
  <c r="AT147" i="33"/>
  <c r="AO147" i="33"/>
  <c r="AY147" i="33"/>
  <c r="AJ147" i="33"/>
  <c r="I147" i="33"/>
  <c r="AE144" i="33"/>
  <c r="BD144" i="33"/>
  <c r="AO144" i="33"/>
  <c r="AY144" i="33"/>
  <c r="AJ144" i="33"/>
  <c r="I144" i="33"/>
  <c r="AT144" i="33"/>
  <c r="AE141" i="33"/>
  <c r="AT141" i="33"/>
  <c r="I141" i="33"/>
  <c r="AY141" i="33"/>
  <c r="AJ141" i="33"/>
  <c r="BD141" i="33"/>
  <c r="AO141" i="33"/>
  <c r="AE6" i="33"/>
  <c r="I6" i="33"/>
  <c r="AY6" i="33"/>
  <c r="AJ6" i="33"/>
  <c r="AO6" i="33"/>
  <c r="AT6" i="33"/>
  <c r="BD6" i="33"/>
  <c r="AT5" i="33"/>
  <c r="AE5" i="33"/>
  <c r="AO5" i="33"/>
  <c r="BD5" i="33"/>
  <c r="AJ5" i="33"/>
  <c r="AY5" i="33"/>
  <c r="I5" i="33"/>
  <c r="AE146" i="33"/>
  <c r="AJ146" i="33"/>
  <c r="I146" i="33"/>
  <c r="AY146" i="33"/>
  <c r="AT146" i="33"/>
  <c r="BD146" i="33"/>
  <c r="AO146" i="33"/>
  <c r="N8" i="33"/>
  <c r="N10" i="33"/>
  <c r="N5" i="33"/>
  <c r="N6" i="33"/>
  <c r="Q8" i="33"/>
  <c r="Q10" i="33"/>
  <c r="N9" i="33"/>
  <c r="Q9" i="33"/>
  <c r="AI9" i="33"/>
  <c r="AK9" i="33" s="1"/>
  <c r="AS9" i="33"/>
  <c r="AN9" i="33"/>
  <c r="AX9" i="33"/>
  <c r="AZ9" i="33" s="1"/>
  <c r="BC9" i="33"/>
  <c r="BE9" i="33" s="1"/>
  <c r="AD24" i="2"/>
  <c r="AJ24" i="2"/>
  <c r="AG24" i="2"/>
  <c r="AA25" i="2"/>
  <c r="AG53" i="2"/>
  <c r="AJ53" i="2"/>
  <c r="AD53" i="2"/>
  <c r="AA54" i="2"/>
  <c r="AG81" i="2"/>
  <c r="AD81" i="2"/>
  <c r="AJ81" i="2"/>
  <c r="AA82" i="2"/>
  <c r="AD110" i="2"/>
  <c r="AG110" i="2"/>
  <c r="AJ110" i="2"/>
  <c r="AA111" i="2"/>
  <c r="AJ220" i="2"/>
  <c r="AG220" i="2"/>
  <c r="AD220" i="2"/>
  <c r="AA221" i="2"/>
  <c r="AU9" i="33" l="1"/>
  <c r="AP9" i="33"/>
  <c r="AD9" i="33"/>
  <c r="AF9"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52"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9" i="33" l="1"/>
  <c r="AY9" i="33" l="1"/>
  <c r="I9" i="33"/>
  <c r="AT9" i="33"/>
  <c r="AE9" i="33"/>
  <c r="AO9" i="33"/>
  <c r="BD9" i="33"/>
  <c r="AJ9"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<sst xmlns="http://schemas.openxmlformats.org/spreadsheetml/2006/main" count="3287" uniqueCount="497">
  <si>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</si>
  <si>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</si>
  <si>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</si>
  <si>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</si>
  <si>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</si>
  <si>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</si>
  <si>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</si>
  <si>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</si>
  <si>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</si>
  <si>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</si>
  <si>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</si>
  <si>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</si>
  <si>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</si>
  <si>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</si>
  <si>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</si>
  <si>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</si>
  <si>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</si>
  <si>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</si>
  <si>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</si>
  <si>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</si>
  <si>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</si>
  <si>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</si>
  <si>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</si>
  <si>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</si>
  <si>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</si>
  <si>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</si>
  <si>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</si>
  <si>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</si>
  <si>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</si>
  <si>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</si>
  <si>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</si>
  <si>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</si>
  <si>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</si>
  <si>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</si>
  <si>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</si>
  <si>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</si>
  <si>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</si>
  <si>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</si>
  <si>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</si>
  <si>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</si>
  <si>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</si>
  <si>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</si>
  <si>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</si>
  <si>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</si>
  <si>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</si>
  <si>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</si>
  <si>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</si>
  <si>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</si>
  <si>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</si>
  <si>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</si>
  <si>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</si>
  <si>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</si>
  <si>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</si>
  <si>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</si>
  <si>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</si>
  <si>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</si>
  <si>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</si>
  <si>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</si>
  <si>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</si>
  <si>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</si>
  <si>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</si>
  <si>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</si>
  <si>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</si>
  <si>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</si>
  <si>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</si>
  <si>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</si>
  <si>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</si>
  <si>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</si>
  <si>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</si>
  <si>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</si>
  <si>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</si>
  <si>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</si>
  <si>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</si>
  <si>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</si>
  <si>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</si>
  <si>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</si>
  <si>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</si>
  <si>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</si>
  <si>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</si>
  <si>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</si>
  <si>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</si>
  <si>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</si>
  <si>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</si>
  <si>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</si>
  <si>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</si>
  <si>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</si>
  <si>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</si>
  <si>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</si>
  <si>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</si>
  <si>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</si>
  <si>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</si>
  <si>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</si>
  <si>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</si>
  <si>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</si>
  <si>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</si>
  <si>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</si>
  <si>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</si>
  <si>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</si>
  <si>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</si>
  <si>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</si>
  <si>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</si>
  <si>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</si>
  <si>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</si>
  <si>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</si>
  <si>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</si>
  <si>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</si>
  <si>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</si>
  <si>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</si>
  <si>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</si>
  <si>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</si>
  <si>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</si>
  <si>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</si>
  <si>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</si>
  <si>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</si>
  <si>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</si>
  <si>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</si>
  <si>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</si>
  <si>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</si>
  <si>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</si>
  <si>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</si>
  <si>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</si>
  <si>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</si>
  <si>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</si>
  <si>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</si>
  <si>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</si>
  <si>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</si>
  <si>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</si>
  <si>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</si>
  <si>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</si>
  <si>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</si>
  <si>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</si>
  <si>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</si>
  <si>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</si>
  <si>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</si>
  <si>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</si>
  <si>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</si>
  <si>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</si>
  <si>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</si>
  <si>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</si>
  <si>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</si>
  <si>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</si>
  <si>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</si>
  <si>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</si>
  <si>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</si>
  <si>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</si>
  <si>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</si>
  <si>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</si>
  <si>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</si>
  <si>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</si>
  <si>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</si>
  <si>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</si>
  <si>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</si>
  <si>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</si>
  <si>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</si>
  <si>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</si>
  <si>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</si>
  <si>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</si>
  <si>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</si>
  <si>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</si>
  <si>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</si>
  <si>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</si>
  <si>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</si>
  <si>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</si>
  <si>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</si>
  <si>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</si>
  <si>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</si>
  <si>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</si>
  <si>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</si>
  <si>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</si>
  <si>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</si>
  <si>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</si>
  <si>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</si>
  <si>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</si>
  <si>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</si>
  <si>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</si>
  <si>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</si>
  <si>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</si>
  <si>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</si>
  <si>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</si>
  <si>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</si>
  <si>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</si>
  <si>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</si>
  <si>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</si>
  <si>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</si>
  <si>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</si>
  <si>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</si>
  <si>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</si>
  <si>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</si>
  <si>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</si>
  <si>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</si>
  <si>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</si>
  <si>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</si>
  <si>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</si>
  <si>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</si>
  <si>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</si>
  <si>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Cultivation</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</si>
  <si>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</si>
  <si>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</si>
  <si>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</si>
  <si>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</si>
  <si>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</si>
  <si>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</si>
  <si>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</si>
  <si>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</si>
  <si>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</si>
  <si>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</si>
  <si>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</si>
  <si>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</si>
  <si>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</si>
  <si>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</si>
  <si>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</si>
  <si>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</si>
  <si>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</si>
  <si>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</si>
  <si>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</si>
  <si>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</si>
  <si>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</si>
  <si>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</si>
  <si>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</si>
  <si>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</si>
  <si>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</si>
  <si>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</si>
  <si>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</si>
  <si>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</si>
  <si>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</si>
  <si>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</si>
  <si>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</si>
  <si>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</si>
  <si>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</si>
  <si>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</si>
  <si>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</si>
  <si>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</si>
  <si>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</si>
  <si>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</si>
  <si>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</si>
  <si>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</si>
  <si>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</si>
  <si>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</si>
  <si>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</si>
  <si>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</si>
  <si>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</si>
  <si>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</si>
  <si>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</si>
  <si>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</si>
  <si>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</si>
  <si>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</si>
  <si>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</si>
  <si>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</si>
  <si>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</si>
  <si>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</si>
  <si>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</si>
  <si>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</si>
  <si>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</si>
  <si>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</si>
  <si>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</si>
  <si>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</si>
  <si>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</si>
  <si>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</si>
  <si>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</si>
  <si>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</si>
  <si>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</si>
  <si>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</si>
  <si>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</si>
  <si>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</si>
  <si>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</si>
  <si>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</si>
  <si>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</si>
  <si>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</si>
  <si>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</si>
  <si>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</si>
  <si>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TC_ID_O_1</t>
  </si>
  <si>
    <t>TC_ID_O_2</t>
  </si>
  <si>
    <t>Column1</t>
  </si>
  <si>
    <t>DynTC?</t>
  </si>
  <si>
    <t xml:space="preserve">Autoren: </t>
  </si>
  <si>
    <t>Johannes Roland Scholz</t>
  </si>
  <si>
    <t>Lukas Hoppe</t>
  </si>
  <si>
    <t>Environment</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</si>
  <si>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</si>
  <si>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</si>
  <si>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</si>
  <si>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</si>
  <si>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</si>
  <si>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</si>
  <si>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</si>
  <si>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</si>
  <si>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</si>
  <si>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</si>
  <si>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</si>
  <si>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</si>
  <si>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</si>
  <si>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</si>
  <si>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</si>
  <si>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</si>
  <si>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</si>
  <si>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</si>
  <si>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</si>
  <si>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</si>
  <si>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</si>
  <si>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</si>
  <si>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</si>
  <si>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</si>
  <si>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</si>
  <si>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</si>
  <si>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</si>
  <si>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</si>
  <si>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</si>
  <si>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Straw_roof</t>
  </si>
  <si>
    <t>Straw_roof_used</t>
  </si>
  <si>
    <t>Incineration_Emissions_C</t>
  </si>
  <si>
    <t>Incineration_Emissions_E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</si>
  <si>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</si>
  <si>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</si>
  <si>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</si>
  <si>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</si>
  <si>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</si>
  <si>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</si>
  <si>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</si>
  <si>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</si>
  <si>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</si>
  <si>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</si>
  <si>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</si>
  <si>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</si>
  <si>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</si>
  <si>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</si>
  <si>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</si>
  <si>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</si>
  <si>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</si>
  <si>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</si>
  <si>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</si>
  <si>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</si>
  <si>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</si>
  <si>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</si>
  <si>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</si>
  <si>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Blech</t>
  </si>
  <si>
    <t>Eisen</t>
  </si>
  <si>
    <t>Stahl</t>
  </si>
  <si>
    <t>Wolle</t>
  </si>
  <si>
    <t>Parameter_Name</t>
  </si>
  <si>
    <t>outflow_id</t>
  </si>
  <si>
    <t>f</t>
  </si>
  <si>
    <t>k1</t>
  </si>
  <si>
    <t>k2</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</si>
  <si>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</si>
  <si>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</si>
  <si>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</si>
  <si>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</si>
  <si>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</si>
  <si>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</si>
  <si>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</si>
  <si>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</si>
  <si>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</si>
  <si>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</si>
  <si>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</si>
  <si>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</si>
  <si>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</si>
  <si>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</si>
  <si>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</si>
  <si>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</si>
  <si>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</si>
  <si>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</si>
  <si>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</si>
  <si>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Selected Outut Flow for the FOMP Process</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</si>
  <si>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</si>
  <si>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</si>
  <si>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</si>
  <si>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</si>
  <si>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</si>
  <si>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</si>
  <si>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</si>
  <si>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</si>
  <si>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</si>
  <si>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</si>
  <si>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</si>
  <si>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</si>
  <si>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</si>
  <si>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</si>
  <si>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</si>
  <si>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</si>
  <si>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</si>
  <si>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</si>
  <si>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</si>
  <si>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</si>
  <si>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</si>
  <si>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</si>
  <si>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</si>
  <si>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</si>
  <si>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</si>
  <si>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</si>
  <si>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</si>
  <si>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</si>
  <si>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</si>
  <si>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</si>
  <si>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</si>
  <si>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straw d&amp;C</t>
  </si>
  <si>
    <t>Animal bedding</t>
  </si>
  <si>
    <t>Utilization in construction</t>
  </si>
  <si>
    <t>Incineration</t>
  </si>
  <si>
    <t>Incorporation</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</si>
  <si>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</si>
  <si>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</si>
  <si>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</si>
  <si>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</si>
  <si>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</si>
  <si>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</si>
  <si>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</si>
  <si>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</si>
  <si>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</si>
  <si>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</si>
  <si>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</si>
  <si>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</si>
  <si>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</si>
  <si>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</si>
  <si>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</si>
  <si>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</si>
  <si>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</si>
  <si>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</si>
  <si>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</si>
  <si>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</si>
  <si>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</si>
  <si>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</si>
  <si>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</si>
  <si>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</si>
  <si>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</si>
  <si>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</si>
  <si>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</si>
  <si>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</si>
  <si>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</si>
  <si>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</si>
  <si>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</si>
  <si>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</si>
  <si>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</si>
  <si>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</si>
  <si>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BioDYM MFA Tool - Configuration Settings</t>
  </si>
  <si>
    <t>Input File Path</t>
  </si>
  <si>
    <t>data/01_input/your_data_file.xlsx</t>
  </si>
  <si>
    <t>Output File Path</t>
  </si>
  <si>
    <t>data/02_output/results.xlsx</t>
  </si>
  <si>
    <t>Start Year</t>
  </si>
  <si>
    <t>End Year</t>
  </si>
  <si>
    <t>Elements (comma-separated)</t>
  </si>
  <si>
    <t>material,WC,DM,CC</t>
  </si>
  <si>
    <t>🎲 CALCULATION OPTIONS</t>
  </si>
  <si>
    <t>Run Monte Carlo Simulation</t>
  </si>
  <si>
    <t>Monte Carlo Iterations</t>
  </si>
  <si>
    <t>Run DSM Calculation</t>
  </si>
  <si>
    <t>Run FOMP Calculation</t>
  </si>
  <si>
    <t>📈 ANALYSIS SETTINGS</t>
  </si>
  <si>
    <t>Minimum Flow Threshold (Mg)</t>
  </si>
  <si>
    <t>Show Zero Flows in Plots</t>
  </si>
  <si>
    <t>Export Format</t>
  </si>
  <si>
    <t>Excel</t>
  </si>
  <si>
    <t>🎨 VISUALIZATION SETTINGS</t>
  </si>
  <si>
    <t>Default Plot Style</t>
  </si>
  <si>
    <t>Line</t>
  </si>
  <si>
    <t>Color Scheme</t>
  </si>
  <si>
    <t>Default</t>
  </si>
  <si>
    <t>Export Plots as Images</t>
  </si>
  <si>
    <t>Dashboard Layout</t>
  </si>
  <si>
    <t>Grid</t>
  </si>
  <si>
    <t>⚠️  VALIDATION SETTINGS</t>
  </si>
  <si>
    <t>Mass Balance Tolerance</t>
  </si>
  <si>
    <t>Data Validation Level</t>
  </si>
  <si>
    <t>Strict</t>
  </si>
  <si>
    <t>Auto-save Results</t>
  </si>
  <si>
    <t xml:space="preserve"> MODEL SCOPE</t>
  </si>
  <si>
    <t>FILE PATHS</t>
  </si>
  <si>
    <t>Selected Options</t>
  </si>
  <si>
    <t>F_10_00</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</si>
  <si>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</si>
  <si>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</si>
  <si>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</si>
  <si>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</si>
  <si>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</si>
  <si>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</si>
  <si>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</si>
  <si>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</si>
  <si>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</si>
  <si>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</si>
  <si>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</si>
  <si>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</si>
  <si>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</si>
  <si>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</si>
  <si>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</si>
  <si>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</si>
  <si>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</si>
  <si>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Stock-Outflow TCs (BioDYM Extension)</t>
  </si>
  <si>
    <t>Initial Stock Parameters</t>
  </si>
  <si>
    <t>Flow Composition Parameters</t>
  </si>
  <si>
    <t>Parameter_Selection</t>
  </si>
  <si>
    <t>TC_04_00</t>
  </si>
  <si>
    <t>TC_04_01</t>
  </si>
  <si>
    <t>TC_05_06</t>
  </si>
  <si>
    <t>fomp_10_k1</t>
  </si>
  <si>
    <t>fomp_10_k2</t>
  </si>
  <si>
    <t>AGB</t>
  </si>
  <si>
    <t>Animal_AGB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</si>
</sst>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color rgb="FFFFFFFF"/>
      <name val="Calibri"/>
      <family val="2"/>
    </font>
  </fonts>
  <fills count="39">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
      <patternFill patternType="solid">
        <fgColor rgb="FF4F81BD"/>
        <bgColor rgb="FF4F81BD"/>
      </patternFill>
    </fill>
    <fill>
      <patternFill patternType="solid">
        <fgColor rgb="FFD0D8E4"/>
        <bgColor rgb="FFD0D8E4"/>
      </patternFill>
    </fill>
  </fills>
  <borders count="43">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71">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3" fillId="0" borderId="0" xfId="0" applyFont="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5" fillId="6" borderId="13" xfId="4" applyBorder="1">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27" xfId="1" applyNumberFormat="1" applyFont="1" applyFill="1"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14" fillId="37" borderId="0" xfId="0" applyFont="1" applyFill="1"/>
    <xf numFmtId="0" fontId="14" fillId="37" borderId="3" xfId="0" applyFont="1" applyFill="1" applyBorder="1"/>
    <xf numFmtId="0" fontId="14" fillId="37" borderId="4" xfId="0" applyFont="1" applyFill="1" applyBorder="1"/>
    <xf numFmtId="0" fontId="14" fillId="37" borderId="5" xfId="0" applyFont="1" applyFill="1" applyBorder="1"/>
    <xf numFmtId="0" fontId="0" fillId="38" borderId="6" xfId="0" applyFill="1" applyBorder="1"/>
    <xf numFmtId="0" fontId="14" fillId="37" borderId="6" xfId="0" applyFont="1" applyFill="1" applyBorder="1"/>
    <xf numFmtId="0" fontId="14" fillId="37" borderId="7" xfId="0" applyFont="1" applyFill="1" applyBorder="1"/>
    <xf numFmtId="0" fontId="0" fillId="38" borderId="8" xfId="0" applyFill="1" applyBorder="1"/>
    <xf numFmtId="0" fontId="5" fillId="6" borderId="16" xfId="4" applyBorder="1">
      <protection locked="0"/>
    </xf>
    <xf numFmtId="9" fontId="5" fillId="6" borderId="12" xfId="1" applyFont="1" applyFill="1" applyBorder="1" applyProtection="1">
      <protection locked="0"/>
    </xf>
    <xf numFmtId="0" fontId="0" fillId="0" borderId="0" xfId="0" applyAlignment="1">
      <alignment horizontal="left" wrapText="1"/>
    </xf>
    <xf numFmtId="0" fontId="0" fillId="0" borderId="0" xfId="0" applyAlignment="1">
      <alignment horizont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18">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83" totalsRowShown="0" headerRowCellStyle="05_Header">
  <autoFilter ref="A1:V83" xr:uid="{DA5E02B4-C3D5-4EC6-A468-E6098B9805CF}"/>
  <tableColumns count="22">
    <tableColumn id="13" xr3:uid="{660990D7-F8E8-451E-A19A-9F23873E1903}" name="Complete?" dataDxfId="117" dataCellStyle="04_Comments"/>
    <tableColumn id="1" xr3:uid="{23E8F131-81B2-4705-927A-A42C393BEDCE}" name="ID" dataDxfId="116">
      <calculatedColumnFormula>ROW()-1</calculatedColumnFormula>
    </tableColumn>
    <tableColumn id="2" xr3:uid="{D694ED25-71D4-4BD1-B627-FBE0FAE9FC8B}" name="Flow_ID" dataDxfId="115">
      <calculatedColumnFormula>"F_"&amp;LEFT(I2,2)&amp;"_"&amp;LEFT(K2,2)</calculatedColumnFormula>
    </tableColumn>
    <tableColumn id="3" xr3:uid="{CA1C6FA9-65CA-47E1-94EA-BBB750256C84}" name="Name(EN)" dataDxfId="114"/>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DxfId="113"/>
    <tableColumn id="6" xr3:uid="{6B50AC7E-8239-487E-AA74-DF3B748A4DBC}" name="Process_ID_O">
      <calculatedColumnFormula>_xlfn.XLOOKUP(H2,Tab_Def_Processes[Name(EN)],Tab_Def_Processes[Process_ID],,0,)</calculatedColumnFormula>
    </tableColumn>
    <tableColumn id="7" xr3:uid="{BB5929AC-D161-4245-A509-7FD167BBC61D}" name="Input_Process"/>
    <tableColumn id="8" xr3:uid="{B9EB18D6-7F00-4BB7-ADFD-200FC95B2CA7}" name="Process_ID_I" dataDxfId="112">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11"/>
    <tableColumn id="22" xr3:uid="{ABA27704-56CF-4C30-88CB-BB6E944F7F08}" name="WC_source" dataDxfId="110"/>
    <tableColumn id="23" xr3:uid="{5CA0D08F-32C9-451C-A223-78F9E163EE87}" name="DM" dataDxfId="109"/>
    <tableColumn id="19" xr3:uid="{B3649430-F3A4-4F10-84D0-61D5F3B7C06D}" name="DM_source"/>
    <tableColumn id="20" xr3:uid="{826B197D-7E74-49DB-8367-DD0E48B963C3}" name="CC_DM[%]" dataDxfId="108"/>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07"/>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06">
      <calculatedColumnFormula>_xlfn.XLOOKUP(C2,Tab_Def_Flows[Name(EN)],Tab_Def_Flows[Process_ID_I],,0,)</calculatedColumnFormula>
    </tableColumn>
    <tableColumn id="34" xr3:uid="{1EF5EFE9-B149-4960-A691-8F1B8725DE37}" name="TC?" dataDxfId="105">
      <calculatedColumnFormula>_xlfn.XLOOKUP(C2,Tab_Def_Flows[Name(EN)],#REF!,,0,)</calculatedColumnFormula>
    </tableColumn>
    <tableColumn id="30" xr3:uid="{F13B49C3-7111-4C57-A913-01AB03549B56}" name="WC?" dataDxfId="104">
      <calculatedColumnFormula>_xlfn.XLOOKUP(C2,Tab_Def_Flows[Name(EN)],Tab_Def_Flows[WC?],,0,)</calculatedColumnFormula>
    </tableColumn>
    <tableColumn id="31" xr3:uid="{24B36152-385D-4D3C-A274-72EA56B6819A}" name="DM?" dataDxfId="103">
      <calculatedColumnFormula>_xlfn.XLOOKUP(C2,Tab_Def_Flows[Name(EN)],Tab_Def_Flows[DM?],,0,)</calculatedColumnFormula>
    </tableColumn>
    <tableColumn id="32" xr3:uid="{A086924B-597B-4B7A-B9B2-8397025FD97B}" name="CC?" dataDxfId="102">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01"/>
    <tableColumn id="10" xr3:uid="{830F5101-5C33-4F82-BC56-E2BC7AF81364}" name="UoM_Source"/>
    <tableColumn id="11" xr3:uid="{4CDA8F79-829B-47EF-ADFC-3E43B62F90A4}" name="Name_Source"/>
    <tableColumn id="26" xr3:uid="{5682EF5B-30C4-46B4-B5FF-A174139B9E8A}" name="AVV" dataDxfId="100">
      <calculatedColumnFormula>INDEX(#REF!,MATCH(Tab_Data_Flows[[#This Row],[Name(EN)]],#REF!,0),12)</calculatedColumnFormula>
    </tableColumn>
    <tableColumn id="27" xr3:uid="{0FD99FBB-FEDB-4B73-A541-FB8A676D64E7}" name="Titel_Source" dataDxfId="99">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98"/>
    <tableColumn id="25" xr3:uid="{94996270-9A62-4B8C-B04B-D56A7F9FDE30}" name="Name_CF" dataDxfId="97">
      <calculatedColumnFormula>#REF!</calculatedColumnFormula>
    </tableColumn>
    <tableColumn id="17" xr3:uid="{E761CF85-B508-4386-AFDF-6ABE121824EE}" name="Flow_Py" dataDxfId="96"/>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8" totalsRowShown="0" headerRowCellStyle="05_Header">
  <autoFilter ref="A1:AL58" xr:uid="{CEDB6F7C-CFD3-4534-80A6-FB20E3898B22}"/>
  <tableColumns count="38">
    <tableColumn id="39" xr3:uid="{488AB972-9613-4DA9-9600-5BFBE3896251}" name="Complete?" dataDxfId="95" dataCellStyle="04_Comments"/>
    <tableColumn id="1" xr3:uid="{A63F92FA-2376-4B5A-A2DF-588878E604E1}" name="ID" dataDxfId="94">
      <calculatedColumnFormula>ROW()-1</calculatedColumnFormula>
    </tableColumn>
    <tableColumn id="2" xr3:uid="{6D346BEA-29CA-401C-8ABB-6C62791A731A}" name="Process_ID" dataDxfId="93">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92"/>
    <tableColumn id="14" xr3:uid="{334FD543-CE98-4427-87D5-A79F68872B3C}" name="Input_Flow_I_1" dataDxfId="91"/>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90">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89">
      <calculatedColumnFormula>_xlfn.XLOOKUP(AK2,Tab_Def_Flows[Name(EN)],Tab_Def_Flows[Flow_ID],,0,)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64" totalsRowShown="0" tableBorderDxfId="88" headerRowCellStyle="05_Header">
  <autoFilter ref="A1:U64" xr:uid="{7602A998-85E6-499A-B1A3-C584F22BB41F}"/>
  <tableColumns count="21">
    <tableColumn id="33" xr3:uid="{2E104FB0-3B3F-413B-B1B0-969D126AA7B1}" name="Complete?" dataDxfId="87" dataCellStyle="04_Comments"/>
    <tableColumn id="1" xr3:uid="{B9E05773-FB7F-407B-8FB3-BE93F6BB50D9}" name="ID" dataDxfId="86">
      <calculatedColumnFormula>ROW()-1</calculatedColumnFormula>
    </tableColumn>
    <tableColumn id="2" xr3:uid="{4324CFF4-5791-4829-80A7-8BA4CF2CD799}" name="Process_ID" dataDxfId="85">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84">
      <calculatedColumnFormula>_xlfn.XLOOKUP($D2,Tab_Def_Processes[Name(EN)],Tab_Def_Processes[Initial_Stock?],,0,)</calculatedColumnFormula>
    </tableColumn>
    <tableColumn id="12" xr3:uid="{1AEDC949-1281-46C8-9543-F9AB0A724F08}" name="DSM?" dataDxfId="83">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51" totalsRowShown="0" headerRowDxfId="82" headerRowBorderDxfId="81" tableBorderDxfId="80">
  <autoFilter ref="A1:BL151" xr:uid="{7602A998-85E6-499A-B1A3-C584F22BB41F}"/>
  <sortState xmlns:xlrd2="http://schemas.microsoft.com/office/spreadsheetml/2017/richdata2" ref="A2:BL151">
    <sortCondition ref="D1:D151"/>
  </sortState>
  <tableColumns count="64">
    <tableColumn id="33" xr3:uid="{8D32234C-9537-417C-B55D-065038402726}" name="Complete?" dataDxfId="79" dataCellStyle="04_Comments"/>
    <tableColumn id="1" xr3:uid="{CE7CE076-C32F-4791-85A9-C6321A66E672}" name="ID" dataDxfId="78">
      <calculatedColumnFormula>ROW()-1</calculatedColumnFormula>
    </tableColumn>
    <tableColumn id="2" xr3:uid="{F7259AFD-9D16-4ACC-BDB2-8D0DCC203B92}" name="Process_ID" dataDxfId="77"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76"/>
    <tableColumn id="57" xr3:uid="{D3D78B03-02F6-42CA-BD33-6A54DF04FE86}" name="Column1"/>
    <tableColumn id="11" xr3:uid="{D4C9F650-44B6-4DD5-875E-10DEE39F6D03}" name="Input_Flow_I_1" dataDxfId="75">
      <calculatedColumnFormula>_xlfn.XLOOKUP($D2,Tab_Def_Processes[Name(EN)],Tab_Def_Processes[Input_Flow_I_1],,0,)</calculatedColumnFormula>
    </tableColumn>
    <tableColumn id="12" xr3:uid="{5D9673E4-4F5C-4A02-8FE3-DAF7E360A271}" name="Flow_ID_I_1" dataDxfId="74">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73">
      <calculatedColumnFormula>_xlfn.XLOOKUP($D2,Tab_Def_Processes[Name(EN)],Tab_Def_Processes[Input_Flow_I_2],,0,)</calculatedColumnFormula>
    </tableColumn>
    <tableColumn id="14" xr3:uid="{39DCAF4C-C94E-4F6B-9473-486EB368D1A4}" name="Flow_ID_I_3" dataDxfId="72">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71">
      <calculatedColumnFormula>_xlfn.XLOOKUP($D2,Tab_Def_Processes[Name(EN)],Tab_Def_Processes[Input_Flow_I_3],,0,)</calculatedColumnFormula>
    </tableColumn>
    <tableColumn id="16" xr3:uid="{59EB2AB7-4406-48E2-A12E-175CA457D434}" name="Flow ID I_3" dataDxfId="70">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69">
      <calculatedColumnFormula>_xlfn.XLOOKUP($D2,Tab_Def_Processes[Name(EN)],Tab_Def_Processes[Input_Flow_I_4],,0,)</calculatedColumnFormula>
    </tableColumn>
    <tableColumn id="18" xr3:uid="{6B6A8FB7-CFFD-4E02-B4C2-DA33227D2D15}" name="Flow ID I_4" dataDxfId="68">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67">
      <calculatedColumnFormula>_xlfn.XLOOKUP($D2,Tab_Def_Processes[Name(EN)],Tab_Def_Processes[Input_Flow_I_5],,0,)</calculatedColumnFormula>
    </tableColumn>
    <tableColumn id="20" xr3:uid="{4DEF4D28-396A-452E-A2BA-F6E3F074F47C}" name="Flow ID I_5" dataDxfId="66">
      <calculatedColumnFormula>_xlfn.XLOOKUP($D2,Tab_Def_Processes[Name(EN)],Tab_Def_Processes[Flow_ID_I_5],,0,)</calculatedColumnFormula>
    </tableColumn>
    <tableColumn id="39" xr3:uid="{31A505D2-1052-4114-89A3-0125D2AEA2C0}" name="Flow_TC_I_5_[%]"/>
    <tableColumn id="34" xr3:uid="{87220065-CDDC-4D7C-BE11-D9EA0B3FF3E5}" name="Sum_TC_I" dataDxfId="65">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64">
      <calculatedColumnFormula>_xlfn.XLOOKUP($D2,#REF!,#REF!,,0,)</calculatedColumnFormula>
    </tableColumn>
    <tableColumn id="22" xr3:uid="{B381C1D4-C8F7-4BE4-A024-4BBD1B417D36}" name="Flow_ID_O_1" dataDxfId="63">
      <calculatedColumnFormula>_xlfn.XLOOKUP($D2,#REF!,#REF!,,0,)</calculatedColumnFormula>
    </tableColumn>
    <tableColumn id="63" xr3:uid="{C44CA027-9688-45B0-88EB-F14F3A7BECB8}" name="TC_ID_O_1_Year" dataDxfId="62">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61"/>
    <tableColumn id="23" xr3:uid="{B25FB2F6-238F-410A-AF2E-782A213D011A}" name="Output_Flow_O_2" dataDxfId="60">
      <calculatedColumnFormula>_xlfn.XLOOKUP($D2,#REF!,#REF!,,0,)</calculatedColumnFormula>
    </tableColumn>
    <tableColumn id="24" xr3:uid="{97798FE5-868B-45C0-AE3B-C29AF4C86E8E}" name="Flow_ID_O_2" dataDxfId="59">
      <calculatedColumnFormula>_xlfn.XLOOKUP($D2,#REF!,#REF!,,0,)</calculatedColumnFormula>
    </tableColumn>
    <tableColumn id="64" xr3:uid="{3679F173-262B-4D42-9125-71B27049FF31}" name="TC_ID_O_2_Year" dataDxfId="58">
      <calculatedColumnFormula>Tab_Process_TCs2527[[#This Row],[Flow_ID]]</calculatedColumnFormula>
    </tableColumn>
    <tableColumn id="54" xr3:uid="{59052527-1CA5-4A17-978F-E10A4CF13AAE}" name="TC_ID_O_2" dataDxfId="57">
      <calculatedColumnFormula>"TC"&amp;"_"&amp;RIGHT(AI2,5)</calculatedColumnFormula>
    </tableColumn>
    <tableColumn id="41" xr3:uid="{7F915D49-034F-4E82-9BAA-B8ED5CA4F335}" name="TC_O_2_[%]" dataDxfId="56" dataCellStyle="Percent"/>
    <tableColumn id="25" xr3:uid="{5714904F-F57E-48CA-BFAA-826C1CEFD309}" name="Output_Flow_O_3" dataDxfId="55">
      <calculatedColumnFormula>_xlfn.XLOOKUP($D2,#REF!,#REF!,,0,)</calculatedColumnFormula>
    </tableColumn>
    <tableColumn id="26" xr3:uid="{BF841E8C-9EB2-40B0-BD1F-8C768DE188AD}" name="Flow_ID_O_3" dataDxfId="54">
      <calculatedColumnFormula>_xlfn.XLOOKUP($D2,#REF!,#REF!,,0,)</calculatedColumnFormula>
    </tableColumn>
    <tableColumn id="65" xr3:uid="{40F24D12-78F3-4E2A-85F5-F634958096FD}" name="TC_ID_O_3_Year" dataDxfId="53">
      <calculatedColumnFormula>Tab_Process_TCs2527[[#This Row],[Flow_ID]]</calculatedColumnFormula>
    </tableColumn>
    <tableColumn id="42" xr3:uid="{231A0501-9932-43B0-A3F9-EB8BB036203D}" name="TC_ID_O_3" dataDxfId="52">
      <calculatedColumnFormula>"TC"&amp;"_"&amp;RIGHT(AN2,5)</calculatedColumnFormula>
    </tableColumn>
    <tableColumn id="27" xr3:uid="{25A11679-9BF9-4DEC-B798-B8A275D3B8AC}" name="TC_O_3_[%]" dataDxfId="51" dataCellStyle="Percent"/>
    <tableColumn id="28" xr3:uid="{67E45B1E-4E5D-4D83-A664-45983FD6F9D1}" name="Output_Flow_O_4" dataDxfId="50">
      <calculatedColumnFormula>_xlfn.XLOOKUP($D2,#REF!,#REF!,,0,)</calculatedColumnFormula>
    </tableColumn>
    <tableColumn id="43" xr3:uid="{C5680328-8545-431B-B943-966088B5B85B}" name="Flow_ID_O_4" dataDxfId="49">
      <calculatedColumnFormula>_xlfn.XLOOKUP($D2,#REF!,#REF!,,0,)</calculatedColumnFormula>
    </tableColumn>
    <tableColumn id="66" xr3:uid="{3C939FEA-060E-42BF-AC8F-37677818A9F4}" name="TC_ID_O_4_Year" dataDxfId="48">
      <calculatedColumnFormula>Tab_Process_TCs2527[[#This Row],[Flow_ID]]</calculatedColumnFormula>
    </tableColumn>
    <tableColumn id="29" xr3:uid="{5B8610D8-109C-4CC7-9DE9-5EF61CC39BD7}" name="TC_ID_O_4" dataDxfId="47">
      <calculatedColumnFormula>"TC"&amp;"_"&amp;RIGHT(AN2,5)</calculatedColumnFormula>
    </tableColumn>
    <tableColumn id="30" xr3:uid="{8DFBA5BB-ECEC-455D-9C69-3FF71622F2AC}" name="TC_O_4_[%]" dataDxfId="46" dataCellStyle="Percent"/>
    <tableColumn id="44" xr3:uid="{5785B5EE-01FF-44CB-9D74-9D2780652646}" name="Output_Flow_O_5" dataDxfId="45">
      <calculatedColumnFormula>_xlfn.XLOOKUP($D2,#REF!,#REF!,,0,)</calculatedColumnFormula>
    </tableColumn>
    <tableColumn id="31" xr3:uid="{54C02504-99D3-419C-9253-1DA532111E60}" name="Flow_ID_O_5" dataDxfId="44">
      <calculatedColumnFormula>_xlfn.XLOOKUP($D2,#REF!,#REF!,,0,)</calculatedColumnFormula>
    </tableColumn>
    <tableColumn id="67" xr3:uid="{770D2E29-F077-423A-9DDE-B86470FADA38}" name="TC_ID_O_5_Year" dataDxfId="43">
      <calculatedColumnFormula>Tab_Process_TCs2527[[#This Row],[Flow_ID]]</calculatedColumnFormula>
    </tableColumn>
    <tableColumn id="46" xr3:uid="{CBB535D2-9A64-4C2F-AF19-4CF0A79C6798}" name="TC_ID_O_5" dataDxfId="42">
      <calculatedColumnFormula>"TC"&amp;"_"&amp;RIGHT(AX2,5)</calculatedColumnFormula>
    </tableColumn>
    <tableColumn id="45" xr3:uid="{43E42E8C-202D-4522-9E50-CB3B80F8EE29}" name="TC O_5_[%]" dataDxfId="41" dataCellStyle="Percent"/>
    <tableColumn id="32" xr3:uid="{FD3810B5-3F37-4777-8ACB-D2CAAFA5C5EB}" name="Output_Flow_O_6" dataDxfId="40">
      <calculatedColumnFormula>_xlfn.XLOOKUP($D2,#REF!,#REF!,,0,)</calculatedColumnFormula>
    </tableColumn>
    <tableColumn id="48" xr3:uid="{EF811571-9CC9-41DC-BFA4-320CD8D9C0C6}" name="Flow_ID_O_6" dataDxfId="39">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38">
      <calculatedColumnFormula>"TC"&amp;"_"&amp;RIGHT(BC2,5)</calculatedColumnFormula>
    </tableColumn>
    <tableColumn id="50" xr3:uid="{5AF5E9BC-3B3E-4244-A22E-AC3284E0E97C}" name="TC O_6_[%]" dataDxfId="37" dataCellStyle="Percent"/>
    <tableColumn id="51" xr3:uid="{B76A3DEE-BBAC-4CE1-BE1D-2941B928DB78}" name="Sum_TC_O" dataDxfId="36"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35" dataDxfId="34" tableBorderDxfId="33">
  <autoFilter ref="A1:R51" xr:uid="{258723AD-03F6-4700-9C12-0435A55E108D}"/>
  <tableColumns count="18">
    <tableColumn id="1" xr3:uid="{33B8EF63-7663-4BA6-9B91-D446C0C9C276}" name="Complete?" dataCellStyle="04_Comments"/>
    <tableColumn id="2" xr3:uid="{6589C290-508A-4E8E-8896-B6E09EB1B594}" name="ID" dataDxfId="32">
      <calculatedColumnFormula>ROW()-1</calculatedColumnFormula>
    </tableColumn>
    <tableColumn id="4" xr3:uid="{F4E33EB8-7313-4BD5-8A0A-D0E18A2A18E9}" name="Process_ID" dataDxfId="31">
      <calculatedColumnFormula>_xlfn.XLOOKUP($D2,Tab_Def_Processes[Name(EN)],Tab_Def_Processes[Process_ID],,0,)</calculatedColumnFormula>
    </tableColumn>
    <tableColumn id="5" xr3:uid="{E9F30AE4-3733-473D-B124-CDB1D225C217}" name="Name(EN)" dataDxfId="30"/>
    <tableColumn id="6" xr3:uid="{8636F935-6448-4819-ADDF-71DFA45559FA}" name="Process_Type" dataDxfId="29">
      <calculatedColumnFormula>_xlfn.XLOOKUP($D2,Tab_Def_Processes[Name(EN)],Tab_Def_Processes[Process_Type],,0,)</calculatedColumnFormula>
    </tableColumn>
    <tableColumn id="11" xr3:uid="{60B3771B-3986-46D1-B5BA-CE7814BD4A11}" name="TC?" dataDxfId="28">
      <calculatedColumnFormula>_xlfn.XLOOKUP($D2,Tab_Def_Processes[Name(EN)],Tab_Def_Processes[TC?],,0,)</calculatedColumnFormula>
    </tableColumn>
    <tableColumn id="12" xr3:uid="{A2F17CD8-5CAE-47C5-88AC-65F98D1E04A7}" name="Dyn_TC?" dataDxfId="27">
      <calculatedColumnFormula>_xlfn.XLOOKUP($D2,Tab_Def_Processes[Name(EN)],Tab_Def_Processes[Dyn_TC?],,0,)</calculatedColumnFormula>
    </tableColumn>
    <tableColumn id="13" xr3:uid="{AAC3F32E-5E29-4B43-870A-6E7FC451D4C7}" name="Stock?" dataDxfId="26">
      <calculatedColumnFormula>_xlfn.XLOOKUP($D2,Tab_Def_Processes[Name(EN)],Tab_Def_Processes[Stock?],,0,)</calculatedColumnFormula>
    </tableColumn>
    <tableColumn id="14" xr3:uid="{46AA84AB-D3F4-4DFC-AFA9-73ECA93071B0}" name="Initial_Stock?" dataDxfId="25">
      <calculatedColumnFormula>_xlfn.XLOOKUP($D2,Tab_Def_Processes[Name(EN)],Tab_Def_Processes[Initial_Stock?],,0,)</calculatedColumnFormula>
    </tableColumn>
    <tableColumn id="7" xr3:uid="{4D982150-569B-49F8-B2ED-A59759BD8284}" name="DSM?" dataDxfId="24"/>
    <tableColumn id="8" xr3:uid="{722B87D6-F9E5-415C-984B-850168F8B4C0}" name="FOMP?" dataDxfId="23"/>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22" headerRowCellStyle="05_Header">
  <autoFilter ref="A1:U63" xr:uid="{7602A998-85E6-499A-B1A3-C584F22BB41F}"/>
  <tableColumns count="21">
    <tableColumn id="24" xr3:uid="{799CF049-9A74-47E4-BCE6-68EB92DFEDD4}" name="Complete?" dataDxfId="21" dataCellStyle="04_Comments"/>
    <tableColumn id="1" xr3:uid="{75AB9428-C675-46D8-B904-74A952E29611}" name="ID" dataDxfId="20">
      <calculatedColumnFormula>ROW()-1</calculatedColumnFormula>
    </tableColumn>
    <tableColumn id="22" xr3:uid="{055CB3E4-C1DF-486D-9F8E-E65039E95278}" name="Stock_ID" dataDxfId="19">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18"/>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M47" totalsRowShown="0" dataDxfId="17" tableBorderDxfId="16" headerRowCellStyle="05_Header">
  <autoFilter ref="A1:M47" xr:uid="{258723AD-03F6-4700-9C12-0435A55E108D}"/>
  <tableColumns count="13">
    <tableColumn id="1" xr3:uid="{45321D18-7A58-4FFA-814A-4BFE5587094A}" name="Complete?" dataCellStyle="04_Comments"/>
    <tableColumn id="2" xr3:uid="{EC881CBD-180B-4D64-9A86-8AA6EC24B7F6}" name="ID" dataDxfId="15">
      <calculatedColumnFormula>ROW()-1</calculatedColumnFormula>
    </tableColumn>
    <tableColumn id="4" xr3:uid="{844E5006-9125-4DE3-A7C3-7D82AE3725EE}" name="Process_ID" dataDxfId="14">
      <calculatedColumnFormula>_xlfn.XLOOKUP($D2,Tab_Def_Processes[Name(EN)],Tab_Def_Processes[Process_ID],,0,)</calculatedColumnFormula>
    </tableColumn>
    <tableColumn id="5" xr3:uid="{0A9A4390-230F-4C39-9AF5-D72E04524EC5}" name="Name(EN)" dataDxfId="13"/>
    <tableColumn id="6" xr3:uid="{27F8000C-3015-4447-BAA8-364798FFAAFF}" name="Process_Type" dataDxfId="12">
      <calculatedColumnFormula>_xlfn.XLOOKUP($D2,Tab_Def_Processes[Name(EN)],Tab_Def_Processes[Process_Type],,0,)</calculatedColumnFormula>
    </tableColumn>
    <tableColumn id="11" xr3:uid="{CC767FA8-EDF4-482B-B626-0EE382C271A5}" name="TC?" dataDxfId="11">
      <calculatedColumnFormula>_xlfn.XLOOKUP($D2,Tab_Def_Processes[Name(EN)],Tab_Def_Processes[TC?],,0,)</calculatedColumnFormula>
    </tableColumn>
    <tableColumn id="12" xr3:uid="{E84B3ABE-4E12-4E6F-A681-7D39D8B20B42}" name="Dyn_TC?" dataDxfId="10">
      <calculatedColumnFormula>_xlfn.XLOOKUP($D2,Tab_Def_Processes[Name(EN)],Tab_Def_Processes[Dyn_TC?],,0,)</calculatedColumnFormula>
    </tableColumn>
    <tableColumn id="13" xr3:uid="{981DEE9B-FA47-4F47-8F80-39B1E8690449}" name="Stock?" dataDxfId="9">
      <calculatedColumnFormula>_xlfn.XLOOKUP($D2,Tab_Def_Processes[Name(EN)],Tab_Def_Processes[Stock?],,0,)</calculatedColumnFormula>
    </tableColumn>
    <tableColumn id="14" xr3:uid="{69989678-F20B-45BE-B37C-4E9CE9AA75DC}" name="Initial_Stock?" dataDxfId="8">
      <calculatedColumnFormula>_xlfn.XLOOKUP($D2,Tab_Def_Processes[Name(EN)],Tab_Def_Processes[Initial_Stock?],,0,)</calculatedColumnFormula>
    </tableColumn>
    <tableColumn id="7" xr3:uid="{3CFB9275-BB11-4A48-A179-F10B662CD314}" name="DSM?" dataDxfId="7">
      <calculatedColumnFormula>_xlfn.XLOOKUP($D2,Tab_Def_Processes[Name(EN)],Tab_Def_Processes[DSM?],,0,)</calculatedColumnFormula>
    </tableColumn>
    <tableColumn id="8" xr3:uid="{10C6F948-DB35-488A-BBCF-1C22C3F74E52}" name="FOMP?" dataDxfId="6">
      <calculatedColumnFormula>_xlfn.XLOOKUP($D2,Tab_Def_Processes[Name(EN)],Tab_Def_Processes[FOMP?],,0,)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calculatedColumnFormula>ROW()-1</calculatedColumnFormula>
    </tableColumn>
    <tableColumn id="8" xr3:uid="{742D281F-FD40-4E25-B6FD-6F60D5C439F3}" name="Parameter"/>
    <tableColumn id="10" xr3:uid="{1567AED1-7A18-451C-85CB-327A25F41F16}" name="Parameter_Selection"/>
    <tableColumn id="1" xr3:uid="{CCEF4F17-5712-44C3-B4F9-161E0132EFC0}" name="Parameter_Name"/>
    <tableColumn id="2" xr3:uid="{B8DD25CA-C200-46CB-9DBD-EE2340CAFEAF}" name="Distribution"/>
    <tableColumn id="3" xr3:uid="{13169A81-F3FF-43EF-9FA3-AB9B9409BC2B}" name="Mean"/>
    <tableColumn id="4" xr3:uid="{1A8F199E-93F2-4AB5-B5EE-F288F66737BE}" name="StdDev"/>
    <tableColumn id="5" xr3:uid="{D05AC978-49AC-470D-9578-3AABF77DA32B}" name="Min"/>
    <tableColumn id="6" xr3:uid="{8A94556B-B3F9-4F1A-AA76-C905DC374408}" name="Max"/>
    <tableColumn id="7" xr3:uid="{059240DD-5B44-443F-8509-00A61B6B2964}" name="Mode"/>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26:H34" totalsRowShown="0">
  <autoFilter ref="F26:H34"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37:B39" totalsRowShown="0">
  <autoFilter ref="A37:B39"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24:C33" totalsRowShown="0">
  <autoFilter ref="A24:C33"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17:C21" totalsRowShown="0">
  <autoFilter ref="A17:C21"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4" totalsRowShown="0">
  <autoFilter ref="A10:C14"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41:C50" totalsRowShown="0">
  <autoFilter ref="A41:C50"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Tab_DSM_Category_ID34" displayName="Tab_DSM_Category_ID34" ref="A53:C69" totalsRowShown="0">
  <autoFilter ref="A53:C69" xr:uid="{0C49303C-3F2A-47E9-AFA2-40567CFC337F}"/>
  <tableColumns count="3">
    <tableColumn id="1" xr3:uid="{1F44C9D4-F58A-4FDD-AC7B-647F4307F673}" name="Category ID"/>
    <tableColumn id="2" xr3:uid="{60410B87-2F7D-4C87-A6AE-FFD0649D6788}" name="DSM Material"/>
    <tableColumn id="3" xr3:uid="{8CB33AAE-37DF-4D9B-A820-9BCEAC52766C}"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Tab_DSM_Category_ID345" displayName="Tab_DSM_Category_ID345" ref="E53:G69" totalsRowShown="0">
  <autoFilter ref="E53:G69" xr:uid="{EEA6ECF2-7F77-4AD4-BD41-E132F6461505}"/>
  <tableColumns count="3">
    <tableColumn id="1" xr3:uid="{BEEDA7F3-3ADD-4DFE-8DC0-E2862B506753}" name="Category ID"/>
    <tableColumn id="2" xr3:uid="{AF335B03-1C5C-447B-A2D3-C54F1AB4078E}" name="DSM Material"/>
    <tableColumn id="3" xr3:uid="{09F4CD29-5FF4-4DD6-BB58-B31601A5A757}"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table" Target="../tables/table10.xml"/><Relationship Id="rId1" Type="http://schemas.openxmlformats.org/officeDocument/2006/relationships/printerSettings" Target="../printerSettings/printerSettings5.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Q34" sqref="Q34"/>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19" zoomScaleNormal="130" zoomScalePageLayoutView="130" workbookViewId="0">
      <selection activeCell="A57" sqref="A47:A57"/>
    </sheetView>
  </sheetViews>
  <sheetFormatPr defaultColWidth="9.140625" defaultRowHeight="15" x14ac:dyDescent="0.25"/>
  <sheetData>
    <row r="2" spans="2:20" x14ac:dyDescent="0.25">
      <c r="B2" t="s">
        <v>269</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355</v>
      </c>
      <c r="T7">
        <v>2026</v>
      </c>
    </row>
    <row r="8" spans="2:20" x14ac:dyDescent="0.25">
      <c r="C8" t="s">
        <v>28</v>
      </c>
      <c r="F8" t="s">
        <v>10</v>
      </c>
      <c r="N8" s="12" t="s">
        <v>356</v>
      </c>
      <c r="O8" s="12"/>
      <c r="T8">
        <v>2027</v>
      </c>
    </row>
    <row r="9" spans="2:20" x14ac:dyDescent="0.25">
      <c r="F9" t="s">
        <v>9</v>
      </c>
      <c r="N9" s="192" t="s">
        <v>357</v>
      </c>
      <c r="O9" s="192"/>
      <c r="T9">
        <v>2028</v>
      </c>
    </row>
    <row r="10" spans="2:20" x14ac:dyDescent="0.25">
      <c r="N10" s="10" t="s">
        <v>358</v>
      </c>
      <c r="O10" s="10"/>
      <c r="T10">
        <v>2029</v>
      </c>
    </row>
    <row r="11" spans="2:20" x14ac:dyDescent="0.25">
      <c r="N11" s="38" t="s">
        <v>359</v>
      </c>
      <c r="O11" s="38"/>
      <c r="T11">
        <v>2030</v>
      </c>
    </row>
    <row r="12" spans="2:20" x14ac:dyDescent="0.25">
      <c r="B12" s="210" t="s">
        <v>29</v>
      </c>
      <c r="C12" s="210"/>
      <c r="D12" s="210"/>
      <c r="E12" s="210"/>
      <c r="F12" s="210"/>
      <c r="G12" s="210"/>
      <c r="H12" s="210"/>
      <c r="I12" s="210"/>
      <c r="J12" s="210"/>
      <c r="K12" s="210"/>
      <c r="L12" s="210"/>
      <c r="M12" s="210"/>
      <c r="T12">
        <v>2031</v>
      </c>
    </row>
    <row r="13" spans="2:20" x14ac:dyDescent="0.25">
      <c r="B13" s="210"/>
      <c r="C13" s="210"/>
      <c r="D13" s="210"/>
      <c r="E13" s="210"/>
      <c r="F13" s="210"/>
      <c r="G13" s="210"/>
      <c r="H13" s="210"/>
      <c r="I13" s="210"/>
      <c r="J13" s="210"/>
      <c r="K13" s="210"/>
      <c r="L13" s="210"/>
      <c r="M13" s="210"/>
      <c r="T13">
        <v>2032</v>
      </c>
    </row>
    <row r="14" spans="2:20" x14ac:dyDescent="0.25">
      <c r="B14" s="210"/>
      <c r="C14" s="210"/>
      <c r="D14" s="210"/>
      <c r="E14" s="210"/>
      <c r="F14" s="210"/>
      <c r="G14" s="210"/>
      <c r="H14" s="210"/>
      <c r="I14" s="210"/>
      <c r="J14" s="210"/>
      <c r="K14" s="210"/>
      <c r="L14" s="210"/>
      <c r="M14" s="210"/>
      <c r="T14">
        <v>2033</v>
      </c>
    </row>
    <row r="15" spans="2:20" x14ac:dyDescent="0.25">
      <c r="B15" s="211" t="s">
        <v>30</v>
      </c>
      <c r="C15" s="211"/>
      <c r="D15" s="211"/>
      <c r="E15" s="211"/>
      <c r="F15" s="211"/>
      <c r="G15" s="211"/>
      <c r="H15" s="211"/>
      <c r="I15" s="211"/>
      <c r="J15" s="211"/>
      <c r="K15" s="211"/>
      <c r="L15" s="211"/>
      <c r="T15">
        <v>2034</v>
      </c>
    </row>
    <row r="16" spans="2:20" x14ac:dyDescent="0.25">
      <c r="B16" s="211"/>
      <c r="C16" s="211"/>
      <c r="D16" s="211"/>
      <c r="E16" s="211"/>
      <c r="F16" s="211"/>
      <c r="G16" s="211"/>
      <c r="H16" s="211"/>
      <c r="I16" s="211"/>
      <c r="J16" s="211"/>
      <c r="K16" s="211"/>
      <c r="L16" s="211"/>
      <c r="T16">
        <v>2035</v>
      </c>
    </row>
    <row r="17" spans="2:20" x14ac:dyDescent="0.25">
      <c r="B17" s="211"/>
      <c r="C17" s="211"/>
      <c r="D17" s="211"/>
      <c r="E17" s="211"/>
      <c r="F17" s="211"/>
      <c r="G17" s="211"/>
      <c r="H17" s="211"/>
      <c r="I17" s="211"/>
      <c r="J17" s="211"/>
      <c r="K17" s="211"/>
      <c r="L17" s="211"/>
      <c r="T17">
        <v>2036</v>
      </c>
    </row>
    <row r="18" spans="2:20" x14ac:dyDescent="0.25">
      <c r="B18" s="211"/>
      <c r="C18" s="211"/>
      <c r="D18" s="211"/>
      <c r="E18" s="211"/>
      <c r="F18" s="211"/>
      <c r="G18" s="211"/>
      <c r="H18" s="211"/>
      <c r="I18" s="211"/>
      <c r="J18" s="211"/>
      <c r="K18" s="211"/>
      <c r="L18" s="211"/>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274</v>
      </c>
      <c r="C40" t="s">
        <v>275</v>
      </c>
    </row>
    <row r="41" spans="1:3" x14ac:dyDescent="0.25">
      <c r="C41" t="s">
        <v>276</v>
      </c>
    </row>
    <row r="45" spans="1:3" ht="18.75" x14ac:dyDescent="0.3">
      <c r="A45" s="198" t="s">
        <v>407</v>
      </c>
    </row>
    <row r="47" spans="1:3" ht="15.75" x14ac:dyDescent="0.25">
      <c r="A47" s="199" t="s">
        <v>408</v>
      </c>
    </row>
    <row r="48" spans="1:3" x14ac:dyDescent="0.25">
      <c r="A48" t="s">
        <v>409</v>
      </c>
    </row>
    <row r="49" spans="1:1" x14ac:dyDescent="0.25">
      <c r="A49" t="s">
        <v>410</v>
      </c>
    </row>
    <row r="50" spans="1:1" x14ac:dyDescent="0.25">
      <c r="A50" t="s">
        <v>411</v>
      </c>
    </row>
    <row r="51" spans="1:1" x14ac:dyDescent="0.25">
      <c r="A51" t="s">
        <v>412</v>
      </c>
    </row>
    <row r="52" spans="1:1" x14ac:dyDescent="0.25">
      <c r="A52" t="s">
        <v>413</v>
      </c>
    </row>
    <row r="53" spans="1:1" x14ac:dyDescent="0.25">
      <c r="A53" t="s">
        <v>414</v>
      </c>
    </row>
    <row r="54" spans="1:1" x14ac:dyDescent="0.25">
      <c r="A54" t="s">
        <v>415</v>
      </c>
    </row>
    <row r="55" spans="1:1" x14ac:dyDescent="0.25">
      <c r="A55" t="s">
        <v>416</v>
      </c>
    </row>
    <row r="56" spans="1:1" x14ac:dyDescent="0.25">
      <c r="A56" t="s">
        <v>417</v>
      </c>
    </row>
    <row r="57" spans="1:1" x14ac:dyDescent="0.25">
      <c r="A57" t="s">
        <v>418</v>
      </c>
    </row>
    <row r="59" spans="1:1" ht="15.75" x14ac:dyDescent="0.25">
      <c r="A59" s="199" t="s">
        <v>419</v>
      </c>
    </row>
    <row r="60" spans="1:1" x14ac:dyDescent="0.25">
      <c r="A60" t="s">
        <v>420</v>
      </c>
    </row>
    <row r="61" spans="1:1" x14ac:dyDescent="0.25">
      <c r="A61" t="s">
        <v>421</v>
      </c>
    </row>
    <row r="62" spans="1:1" x14ac:dyDescent="0.25">
      <c r="A62" t="s">
        <v>422</v>
      </c>
    </row>
    <row r="63" spans="1:1" x14ac:dyDescent="0.25">
      <c r="A63" t="s">
        <v>423</v>
      </c>
    </row>
    <row r="64" spans="1:1" x14ac:dyDescent="0.25">
      <c r="A64" t="s">
        <v>424</v>
      </c>
    </row>
    <row r="65" spans="1:1" x14ac:dyDescent="0.25">
      <c r="A65" t="s">
        <v>425</v>
      </c>
    </row>
    <row r="66" spans="1:1" ht="15.75" x14ac:dyDescent="0.25">
      <c r="A66" s="199"/>
    </row>
    <row r="67" spans="1:1" x14ac:dyDescent="0.25">
      <c r="A67" t="s">
        <v>426</v>
      </c>
    </row>
    <row r="68" spans="1:1" x14ac:dyDescent="0.25">
      <c r="A68" t="s">
        <v>427</v>
      </c>
    </row>
    <row r="69" spans="1:1" x14ac:dyDescent="0.25">
      <c r="A69" t="s">
        <v>428</v>
      </c>
    </row>
    <row r="70" spans="1:1" x14ac:dyDescent="0.25">
      <c r="A70" t="s">
        <v>429</v>
      </c>
    </row>
    <row r="71" spans="1:1" ht="15.75" x14ac:dyDescent="0.25">
      <c r="A71" s="199" t="s">
        <v>430</v>
      </c>
    </row>
    <row r="73" spans="1:1" x14ac:dyDescent="0.25">
      <c r="A73" t="s">
        <v>431</v>
      </c>
    </row>
    <row r="74" spans="1:1" x14ac:dyDescent="0.25">
      <c r="A74" t="s">
        <v>432</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372</v>
      </c>
    </row>
    <row r="2" spans="1:2" x14ac:dyDescent="0.25">
      <c r="A2" s="194" t="s">
        <v>373</v>
      </c>
      <c r="B2" t="s">
        <v>374</v>
      </c>
    </row>
    <row r="3" spans="1:2" x14ac:dyDescent="0.25">
      <c r="A3" t="s">
        <v>375</v>
      </c>
      <c r="B3" t="s">
        <v>376</v>
      </c>
    </row>
    <row r="4" spans="1:2" x14ac:dyDescent="0.25">
      <c r="A4">
        <v>2</v>
      </c>
      <c r="B4" t="s">
        <v>377</v>
      </c>
    </row>
    <row r="5" spans="1:2" x14ac:dyDescent="0.25">
      <c r="A5" t="s">
        <v>378</v>
      </c>
      <c r="B5" t="s">
        <v>379</v>
      </c>
    </row>
    <row r="6" spans="1:2" x14ac:dyDescent="0.25">
      <c r="A6" t="s">
        <v>380</v>
      </c>
      <c r="B6" t="s">
        <v>384</v>
      </c>
    </row>
    <row r="7" spans="1:2" x14ac:dyDescent="0.25">
      <c r="A7" t="s">
        <v>381</v>
      </c>
    </row>
    <row r="8" spans="1:2" x14ac:dyDescent="0.25">
      <c r="A8" t="s">
        <v>382</v>
      </c>
      <c r="B8" t="s">
        <v>383</v>
      </c>
    </row>
    <row r="9" spans="1:2" x14ac:dyDescent="0.25">
      <c r="A9" t="s">
        <v>385</v>
      </c>
      <c r="B9" t="s">
        <v>386</v>
      </c>
    </row>
    <row r="10" spans="1:2" x14ac:dyDescent="0.25">
      <c r="A10">
        <v>3</v>
      </c>
      <c r="B10" t="s">
        <v>387</v>
      </c>
    </row>
    <row r="11" spans="1:2" x14ac:dyDescent="0.25">
      <c r="A11" t="s">
        <v>388</v>
      </c>
      <c r="B11" t="s">
        <v>389</v>
      </c>
    </row>
    <row r="12" spans="1:2" x14ac:dyDescent="0.25">
      <c r="A12" t="s">
        <v>390</v>
      </c>
      <c r="B12" t="s">
        <v>391</v>
      </c>
    </row>
    <row r="13" spans="1:2" x14ac:dyDescent="0.25">
      <c r="A13">
        <v>4</v>
      </c>
      <c r="B13" t="s">
        <v>392</v>
      </c>
    </row>
    <row r="14" spans="1:2" x14ac:dyDescent="0.25">
      <c r="A14" t="s">
        <v>393</v>
      </c>
      <c r="B14" t="s">
        <v>392</v>
      </c>
    </row>
    <row r="17" spans="1:1" ht="15.75" x14ac:dyDescent="0.25">
      <c r="A17" s="199" t="s">
        <v>408</v>
      </c>
    </row>
    <row r="18" spans="1:1" x14ac:dyDescent="0.25">
      <c r="A18" t="s">
        <v>409</v>
      </c>
    </row>
    <row r="19" spans="1:1" x14ac:dyDescent="0.25">
      <c r="A19" t="s">
        <v>410</v>
      </c>
    </row>
    <row r="20" spans="1:1" x14ac:dyDescent="0.25">
      <c r="A20" t="s">
        <v>411</v>
      </c>
    </row>
    <row r="21" spans="1:1" x14ac:dyDescent="0.25">
      <c r="A21" t="s">
        <v>412</v>
      </c>
    </row>
    <row r="22" spans="1:1" x14ac:dyDescent="0.25">
      <c r="A22" t="s">
        <v>413</v>
      </c>
    </row>
    <row r="23" spans="1:1" x14ac:dyDescent="0.25">
      <c r="A23" t="s">
        <v>414</v>
      </c>
    </row>
    <row r="24" spans="1:1" x14ac:dyDescent="0.25">
      <c r="A24" t="s">
        <v>415</v>
      </c>
    </row>
    <row r="25" spans="1:1" x14ac:dyDescent="0.25">
      <c r="A25" t="s">
        <v>416</v>
      </c>
    </row>
    <row r="26" spans="1:1" x14ac:dyDescent="0.25">
      <c r="A26" t="s">
        <v>417</v>
      </c>
    </row>
    <row r="27" spans="1:1" x14ac:dyDescent="0.25">
      <c r="A27" t="s">
        <v>418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C26"/>
  <sheetViews>
    <sheetView topLeftCell="A12" zoomScale="130" zoomScaleNormal="130" workbookViewId="0">
      <selection activeCell="B19" sqref="B19"/>
    </sheetView>
  </sheetViews>
  <sheetFormatPr defaultRowHeight="15" x14ac:dyDescent="0.25"/>
  <cols>
    <col min="1" max="1" width="42.5703125" customWidth="1"/>
    <col min="2" max="2" width="33.85546875" customWidth="1"/>
    <col min="3" max="3" width="29.140625" customWidth="1"/>
  </cols>
  <sheetData>
    <row r="1" spans="1:3" ht="15.75" thickBot="1" x14ac:dyDescent="0.3">
      <c r="A1" s="200" t="s">
        <v>433</v>
      </c>
    </row>
    <row r="2" spans="1:3" x14ac:dyDescent="0.25">
      <c r="A2" s="201" t="s">
        <v>466</v>
      </c>
      <c r="B2" s="202" t="s">
        <v>467</v>
      </c>
      <c r="C2" s="203" t="s">
        <v>43</v>
      </c>
    </row>
    <row r="3" spans="1:3" x14ac:dyDescent="0.25">
      <c r="A3" s="204" t="s">
        <v>434</v>
      </c>
      <c r="B3" s="12" t="s">
        <v>435</v>
      </c>
      <c r="C3" s="38"/>
    </row>
    <row r="4" spans="1:3" x14ac:dyDescent="0.25">
      <c r="A4" s="204" t="s">
        <v>436</v>
      </c>
      <c r="B4" s="12" t="s">
        <v>437</v>
      </c>
      <c r="C4" s="38"/>
    </row>
    <row r="5" spans="1:3" x14ac:dyDescent="0.25">
      <c r="A5" s="205" t="s">
        <v>465</v>
      </c>
      <c r="B5" s="200"/>
      <c r="C5" s="206"/>
    </row>
    <row r="6" spans="1:3" x14ac:dyDescent="0.25">
      <c r="A6" s="204" t="s">
        <v>438</v>
      </c>
      <c r="B6" s="12">
        <v>2025</v>
      </c>
      <c r="C6" s="38"/>
    </row>
    <row r="7" spans="1:3" x14ac:dyDescent="0.25">
      <c r="A7" s="204" t="s">
        <v>439</v>
      </c>
      <c r="B7" s="12">
        <v>2050</v>
      </c>
      <c r="C7" s="38"/>
    </row>
    <row r="8" spans="1:3" x14ac:dyDescent="0.25">
      <c r="A8" s="204" t="s">
        <v>440</v>
      </c>
      <c r="B8" s="12" t="s">
        <v>441</v>
      </c>
      <c r="C8" s="38"/>
    </row>
    <row r="9" spans="1:3" x14ac:dyDescent="0.25">
      <c r="A9" s="205" t="s">
        <v>442</v>
      </c>
      <c r="B9" s="200"/>
      <c r="C9" s="206"/>
    </row>
    <row r="10" spans="1:3" x14ac:dyDescent="0.25">
      <c r="A10" s="204" t="s">
        <v>443</v>
      </c>
      <c r="B10" s="12" t="s">
        <v>7</v>
      </c>
      <c r="C10" s="38"/>
    </row>
    <row r="11" spans="1:3" x14ac:dyDescent="0.25">
      <c r="A11" s="204" t="s">
        <v>444</v>
      </c>
      <c r="B11" s="12">
        <v>10</v>
      </c>
      <c r="C11" s="38"/>
    </row>
    <row r="12" spans="1:3" x14ac:dyDescent="0.25">
      <c r="A12" s="204" t="s">
        <v>445</v>
      </c>
      <c r="B12" s="12" t="s">
        <v>7</v>
      </c>
      <c r="C12" s="38"/>
    </row>
    <row r="13" spans="1:3" x14ac:dyDescent="0.25">
      <c r="A13" s="204" t="s">
        <v>446</v>
      </c>
      <c r="B13" s="12" t="s">
        <v>7</v>
      </c>
      <c r="C13" s="38"/>
    </row>
    <row r="14" spans="1:3" x14ac:dyDescent="0.25">
      <c r="A14" s="205" t="s">
        <v>447</v>
      </c>
      <c r="B14" s="200"/>
      <c r="C14" s="206"/>
    </row>
    <row r="15" spans="1:3" x14ac:dyDescent="0.25">
      <c r="A15" s="204" t="s">
        <v>448</v>
      </c>
      <c r="B15" s="12">
        <v>0.1</v>
      </c>
      <c r="C15" s="38"/>
    </row>
    <row r="16" spans="1:3" x14ac:dyDescent="0.25">
      <c r="A16" s="204" t="s">
        <v>449</v>
      </c>
      <c r="B16" s="12" t="s">
        <v>8</v>
      </c>
      <c r="C16" s="38"/>
    </row>
    <row r="17" spans="1:3" x14ac:dyDescent="0.25">
      <c r="A17" s="204" t="s">
        <v>450</v>
      </c>
      <c r="B17" s="12" t="s">
        <v>451</v>
      </c>
      <c r="C17" s="38"/>
    </row>
    <row r="18" spans="1:3" x14ac:dyDescent="0.25">
      <c r="A18" s="205" t="s">
        <v>452</v>
      </c>
      <c r="B18" s="200"/>
      <c r="C18" s="206"/>
    </row>
    <row r="19" spans="1:3" x14ac:dyDescent="0.25">
      <c r="A19" s="204" t="s">
        <v>453</v>
      </c>
      <c r="B19" s="12" t="s">
        <v>454</v>
      </c>
      <c r="C19" s="38"/>
    </row>
    <row r="20" spans="1:3" x14ac:dyDescent="0.25">
      <c r="A20" s="204" t="s">
        <v>455</v>
      </c>
      <c r="B20" s="12" t="s">
        <v>456</v>
      </c>
      <c r="C20" s="38"/>
    </row>
    <row r="21" spans="1:3" x14ac:dyDescent="0.25">
      <c r="A21" s="204" t="s">
        <v>457</v>
      </c>
      <c r="B21" s="12" t="s">
        <v>7</v>
      </c>
      <c r="C21" s="38"/>
    </row>
    <row r="22" spans="1:3" x14ac:dyDescent="0.25">
      <c r="A22" s="204" t="s">
        <v>458</v>
      </c>
      <c r="B22" s="12" t="s">
        <v>459</v>
      </c>
      <c r="C22" s="38"/>
    </row>
    <row r="23" spans="1:3" x14ac:dyDescent="0.25">
      <c r="A23" s="205" t="s">
        <v>460</v>
      </c>
      <c r="B23" s="200"/>
      <c r="C23" s="206"/>
    </row>
    <row r="24" spans="1:3" x14ac:dyDescent="0.25">
      <c r="A24" s="204" t="s">
        <v>461</v>
      </c>
      <c r="B24" s="12">
        <v>1E-3</v>
      </c>
      <c r="C24" s="38"/>
    </row>
    <row r="25" spans="1:3" x14ac:dyDescent="0.25">
      <c r="A25" s="204" t="s">
        <v>462</v>
      </c>
      <c r="B25" s="12" t="s">
        <v>463</v>
      </c>
      <c r="C25" s="38"/>
    </row>
    <row r="26" spans="1:3" ht="15.75" thickBot="1" x14ac:dyDescent="0.3">
      <c r="A26" s="207" t="s">
        <v>464</v>
      </c>
      <c r="B26" s="208" t="s">
        <v>7</v>
      </c>
      <c r="C26" s="38"/>
    </row>
  </sheetData>
  <dataValidations count="6">
    <dataValidation type="list" allowBlank="1" sqref="B24" xr:uid="{CE4D47E8-43B8-4ED5-BE13-9EFCB92EB467}">
      <formula1>"Strict,Moderate,Relaxed"</formula1>
    </dataValidation>
    <dataValidation type="list" allowBlank="1" sqref="B22:B23" xr:uid="{F99AF790-A2EA-4DEF-A395-6211F608F3FF}">
      <formula1>"Grid,Flow,Compact"</formula1>
    </dataValidation>
    <dataValidation type="list" allowBlank="1" sqref="B20" xr:uid="{4589B1D2-8A73-4863-B91C-BDEAC768356B}">
      <formula1>"Default,Colorblind,High Contrast"</formula1>
    </dataValidation>
    <dataValidation type="list" allowBlank="1" sqref="B19" xr:uid="{6467C29B-0449-4DBC-8B9F-EDEBF3262A52}">
      <formula1>"Line,Bar,Scatter"</formula1>
    </dataValidation>
    <dataValidation type="list" allowBlank="1" sqref="B17" xr:uid="{659805AE-A9FC-4B86-B408-9D3AEC501ADF}">
      <formula1>"Excel,CSV,JSON"</formula1>
    </dataValidation>
    <dataValidation type="list" allowBlank="1" sqref="B10 B18 B12:B16" xr:uid="{2349C248-6F43-4E01-93B7-2091BBC7C074}">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V83"/>
  <sheetViews>
    <sheetView zoomScale="92" zoomScaleNormal="145" workbookViewId="0">
      <pane xSplit="4" ySplit="20" topLeftCell="L21" activePane="bottomRight" state="frozen"/>
      <selection pane="topRight" activeCell="E1" sqref="E1"/>
      <selection pane="bottomLeft" activeCell="A14" sqref="A14"/>
      <selection pane="bottomRight" activeCell="O20" sqref="O20"/>
    </sheetView>
  </sheetViews>
  <sheetFormatPr defaultColWidth="10.85546875" defaultRowHeight="15" x14ac:dyDescent="0.25"/>
  <cols>
    <col min="1" max="1" width="14.42578125" customWidth="1"/>
    <col min="2" max="2" width="10.28515625" style="48"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6"/>
    <col min="19" max="19" width="15.28515625" customWidth="1"/>
    <col min="20" max="20" width="15.42578125" customWidth="1"/>
    <col min="21" max="21" width="13" customWidth="1"/>
    <col min="22" max="22" width="15.7109375" customWidth="1"/>
  </cols>
  <sheetData>
    <row r="1" spans="1:22" x14ac:dyDescent="0.25">
      <c r="A1" s="196" t="s">
        <v>88</v>
      </c>
      <c r="B1" s="196" t="s">
        <v>32</v>
      </c>
      <c r="C1" s="196" t="s">
        <v>41</v>
      </c>
      <c r="D1" s="196" t="s">
        <v>90</v>
      </c>
      <c r="E1" s="196" t="s">
        <v>37</v>
      </c>
      <c r="F1" s="196" t="s">
        <v>42</v>
      </c>
      <c r="G1" s="196" t="s">
        <v>43</v>
      </c>
      <c r="H1" s="196" t="s">
        <v>44</v>
      </c>
      <c r="I1" s="196" t="s">
        <v>45</v>
      </c>
      <c r="J1" s="196" t="s">
        <v>46</v>
      </c>
      <c r="K1" s="196" t="s">
        <v>47</v>
      </c>
      <c r="L1" s="196" t="s">
        <v>106</v>
      </c>
      <c r="M1" s="196" t="s">
        <v>108</v>
      </c>
      <c r="N1" s="196" t="s">
        <v>107</v>
      </c>
      <c r="O1" s="196" t="s">
        <v>192</v>
      </c>
      <c r="P1" s="196" t="s">
        <v>110</v>
      </c>
      <c r="Q1" s="196" t="s">
        <v>193</v>
      </c>
      <c r="R1" s="196" t="s">
        <v>112</v>
      </c>
      <c r="S1" s="196" t="s">
        <v>142</v>
      </c>
      <c r="T1" s="196" t="s">
        <v>143</v>
      </c>
      <c r="U1" s="196" t="s">
        <v>194</v>
      </c>
      <c r="V1" s="196" t="s">
        <v>141</v>
      </c>
    </row>
    <row r="2" spans="1:22" x14ac:dyDescent="0.25">
      <c r="A2" s="197" t="b">
        <v>1</v>
      </c>
      <c r="B2" s="45">
        <f t="shared" ref="B2:B65" si="0">ROW()-1</f>
        <v>1</v>
      </c>
      <c r="C2" s="10" t="str">
        <f t="shared" ref="C2:C10" si="1">"F_"&amp;LEFT(I2,2)&amp;"_"&amp;LEFT(K2,2)</f>
        <v>F_00_02</v>
      </c>
      <c r="D2" s="12" t="s">
        <v>285</v>
      </c>
      <c r="E2" s="38"/>
      <c r="F2" s="38"/>
      <c r="G2" s="38"/>
      <c r="H2" s="39" t="s">
        <v>196</v>
      </c>
      <c r="I2" s="10" t="str">
        <f>_xlfn.XLOOKUP(H2,Tab_Def_Processes[Name(EN)],Tab_Def_Processes[Process_ID],,0,)</f>
        <v>00</v>
      </c>
      <c r="J2" s="12" t="s">
        <v>195</v>
      </c>
      <c r="K2" s="18" t="str">
        <f>_xlfn.XLOOKUP(J2,Tab_Def_Processes[Name(EN)],Tab_Def_Processes[Process_ID],,0,)</f>
        <v>02</v>
      </c>
      <c r="L2" s="192" t="s">
        <v>7</v>
      </c>
      <c r="M2" s="192" t="s">
        <v>7</v>
      </c>
      <c r="N2" s="192" t="s">
        <v>7</v>
      </c>
      <c r="O2" s="186">
        <v>0</v>
      </c>
      <c r="P2" s="57" t="s">
        <v>197</v>
      </c>
      <c r="Q2" s="186">
        <v>1</v>
      </c>
      <c r="R2" s="57" t="s">
        <v>197</v>
      </c>
      <c r="S2" s="186">
        <v>1</v>
      </c>
      <c r="T2" s="57" t="s">
        <v>197</v>
      </c>
      <c r="U2" s="193">
        <f>Tab_Def_Flows[[#This Row],[CC_DM'[%']]]*Tab_Def_Flows[[#This Row],[DM]]</f>
        <v>1</v>
      </c>
      <c r="V2" s="12" t="s">
        <v>198</v>
      </c>
    </row>
    <row r="3" spans="1:22" x14ac:dyDescent="0.25">
      <c r="A3" s="197" t="b">
        <v>1</v>
      </c>
      <c r="B3" s="45">
        <f t="shared" si="0"/>
        <v>2</v>
      </c>
      <c r="C3" s="10" t="str">
        <f t="shared" si="1"/>
        <v>F_01_02</v>
      </c>
      <c r="D3" s="12" t="s">
        <v>286</v>
      </c>
      <c r="E3" s="38"/>
      <c r="F3" s="38"/>
      <c r="G3" s="38"/>
      <c r="H3" s="39" t="s">
        <v>277</v>
      </c>
      <c r="I3" s="10" t="str">
        <f>_xlfn.XLOOKUP(H3,Tab_Def_Processes[Name(EN)],Tab_Def_Processes[Process_ID],,0,)</f>
        <v>01</v>
      </c>
      <c r="J3" s="12" t="s">
        <v>195</v>
      </c>
      <c r="K3" s="18" t="str">
        <f>_xlfn.XLOOKUP(J3,Tab_Def_Processes[Name(EN)],Tab_Def_Processes[Process_ID],,0,)</f>
        <v>02</v>
      </c>
      <c r="L3" s="192" t="s">
        <v>7</v>
      </c>
      <c r="M3" s="192" t="s">
        <v>7</v>
      </c>
      <c r="N3" s="192" t="s">
        <v>7</v>
      </c>
      <c r="O3" s="186">
        <v>0</v>
      </c>
      <c r="P3" s="57" t="s">
        <v>197</v>
      </c>
      <c r="Q3" s="186">
        <v>1</v>
      </c>
      <c r="R3" s="57" t="s">
        <v>197</v>
      </c>
      <c r="S3" s="186">
        <v>0</v>
      </c>
      <c r="T3" s="57" t="s">
        <v>197</v>
      </c>
      <c r="U3" s="193">
        <f>Tab_Def_Flows[[#This Row],[CC_DM'[%']]]*Tab_Def_Flows[[#This Row],[DM]]</f>
        <v>0</v>
      </c>
      <c r="V3" s="12" t="s">
        <v>198</v>
      </c>
    </row>
    <row r="4" spans="1:22" x14ac:dyDescent="0.25">
      <c r="A4" s="197" t="b">
        <v>1</v>
      </c>
      <c r="B4" s="45">
        <f t="shared" si="0"/>
        <v>3</v>
      </c>
      <c r="C4" s="10" t="str">
        <f t="shared" si="1"/>
        <v>F_02_03</v>
      </c>
      <c r="D4" s="12" t="s">
        <v>278</v>
      </c>
      <c r="E4" s="38"/>
      <c r="F4" s="38"/>
      <c r="G4" s="38"/>
      <c r="H4" s="39" t="s">
        <v>195</v>
      </c>
      <c r="I4" s="10" t="str">
        <f>_xlfn.XLOOKUP(H4,Tab_Def_Processes[Name(EN)],Tab_Def_Processes[Process_ID],,0,)</f>
        <v>02</v>
      </c>
      <c r="J4" s="12" t="s">
        <v>305</v>
      </c>
      <c r="K4" s="18" t="str">
        <f>_xlfn.XLOOKUP(J4,Tab_Def_Processes[Name(EN)],Tab_Def_Processes[Process_ID],,0,)</f>
        <v>03</v>
      </c>
      <c r="L4" s="192" t="s">
        <v>7</v>
      </c>
      <c r="M4" s="192" t="s">
        <v>7</v>
      </c>
      <c r="N4" s="192" t="s">
        <v>7</v>
      </c>
      <c r="O4" s="186">
        <v>0</v>
      </c>
      <c r="P4" s="57" t="s">
        <v>197</v>
      </c>
      <c r="Q4" s="186">
        <v>1</v>
      </c>
      <c r="R4" s="57" t="s">
        <v>197</v>
      </c>
      <c r="S4" s="186">
        <v>0.5</v>
      </c>
      <c r="T4" s="57" t="s">
        <v>197</v>
      </c>
      <c r="U4" s="193">
        <f>Tab_Def_Flows[[#This Row],[CC_DM'[%']]]*Tab_Def_Flows[[#This Row],[DM]]</f>
        <v>0.5</v>
      </c>
      <c r="V4" s="12" t="s">
        <v>198</v>
      </c>
    </row>
    <row r="5" spans="1:22" x14ac:dyDescent="0.25">
      <c r="A5" s="197" t="b">
        <v>0</v>
      </c>
      <c r="B5" s="45">
        <f t="shared" si="0"/>
        <v>4</v>
      </c>
      <c r="C5" s="10" t="str">
        <f t="shared" si="1"/>
        <v>F_03_04</v>
      </c>
      <c r="D5" s="12" t="s">
        <v>279</v>
      </c>
      <c r="E5" s="38"/>
      <c r="F5" s="38"/>
      <c r="G5" s="38"/>
      <c r="H5" s="39" t="s">
        <v>305</v>
      </c>
      <c r="I5" s="10" t="str">
        <f>_xlfn.XLOOKUP(H5,Tab_Def_Processes[Name(EN)],Tab_Def_Processes[Process_ID],,0,)</f>
        <v>03</v>
      </c>
      <c r="J5" s="12" t="s">
        <v>399</v>
      </c>
      <c r="K5" s="18" t="str">
        <f>_xlfn.XLOOKUP(J5,Tab_Def_Processes[Name(EN)],Tab_Def_Processes[Process_ID],,0,)</f>
        <v>04</v>
      </c>
      <c r="L5" s="192" t="s">
        <v>7</v>
      </c>
      <c r="M5" s="192" t="s">
        <v>7</v>
      </c>
      <c r="N5" s="192" t="s">
        <v>7</v>
      </c>
      <c r="O5" s="186">
        <v>0</v>
      </c>
      <c r="P5" s="57" t="s">
        <v>197</v>
      </c>
      <c r="Q5" s="186">
        <v>1</v>
      </c>
      <c r="R5" s="57" t="s">
        <v>197</v>
      </c>
      <c r="S5" s="186">
        <v>0.5</v>
      </c>
      <c r="T5" s="57" t="s">
        <v>197</v>
      </c>
      <c r="U5" s="193">
        <f>Tab_Def_Flows[[#This Row],[CC_DM'[%']]]*Tab_Def_Flows[[#This Row],[DM]]</f>
        <v>0.5</v>
      </c>
      <c r="V5" s="12" t="s">
        <v>198</v>
      </c>
    </row>
    <row r="6" spans="1:22" x14ac:dyDescent="0.25">
      <c r="A6" s="197" t="b">
        <v>0</v>
      </c>
      <c r="B6" s="45">
        <f t="shared" si="0"/>
        <v>5</v>
      </c>
      <c r="C6" s="10" t="str">
        <f t="shared" si="1"/>
        <v>F_03_05</v>
      </c>
      <c r="D6" s="12" t="s">
        <v>280</v>
      </c>
      <c r="E6" s="38"/>
      <c r="F6" s="38"/>
      <c r="G6" s="38"/>
      <c r="H6" s="39" t="s">
        <v>305</v>
      </c>
      <c r="I6" s="10" t="str">
        <f>_xlfn.XLOOKUP(H6,Tab_Def_Processes[Name(EN)],Tab_Def_Processes[Process_ID],,0,)</f>
        <v>03</v>
      </c>
      <c r="J6" s="12" t="s">
        <v>306</v>
      </c>
      <c r="K6" s="18" t="str">
        <f>_xlfn.XLOOKUP(J6,Tab_Def_Processes[Name(EN)],Tab_Def_Processes[Process_ID],,0,)</f>
        <v>05</v>
      </c>
      <c r="L6" s="192" t="s">
        <v>7</v>
      </c>
      <c r="M6" s="192" t="s">
        <v>7</v>
      </c>
      <c r="N6" s="192" t="s">
        <v>7</v>
      </c>
      <c r="O6" s="186">
        <v>0</v>
      </c>
      <c r="P6" s="57" t="s">
        <v>197</v>
      </c>
      <c r="Q6" s="186">
        <v>1</v>
      </c>
      <c r="R6" s="57" t="s">
        <v>197</v>
      </c>
      <c r="S6" s="186">
        <v>0.5</v>
      </c>
      <c r="T6" s="57" t="s">
        <v>197</v>
      </c>
      <c r="U6" s="193">
        <f>Tab_Def_Flows[[#This Row],[CC_DM'[%']]]*Tab_Def_Flows[[#This Row],[DM]]</f>
        <v>0.5</v>
      </c>
      <c r="V6" s="12" t="s">
        <v>198</v>
      </c>
    </row>
    <row r="7" spans="1:22" x14ac:dyDescent="0.25">
      <c r="A7" s="197" t="b">
        <v>0</v>
      </c>
      <c r="B7" s="45">
        <f t="shared" si="0"/>
        <v>6</v>
      </c>
      <c r="C7" s="10" t="str">
        <f t="shared" si="1"/>
        <v>F_04_00</v>
      </c>
      <c r="D7" s="12" t="s">
        <v>281</v>
      </c>
      <c r="E7" s="38"/>
      <c r="F7" s="38"/>
      <c r="G7" s="38"/>
      <c r="H7" s="39" t="s">
        <v>399</v>
      </c>
      <c r="I7" s="10" t="str">
        <f>_xlfn.XLOOKUP(H7,Tab_Def_Processes[Name(EN)],Tab_Def_Processes[Process_ID],,0,)</f>
        <v>04</v>
      </c>
      <c r="J7" s="12" t="s">
        <v>196</v>
      </c>
      <c r="K7" s="18" t="str">
        <f>_xlfn.XLOOKUP(J7,Tab_Def_Processes[Name(EN)],Tab_Def_Processes[Process_ID],,0,)</f>
        <v>00</v>
      </c>
      <c r="L7" s="192" t="s">
        <v>7</v>
      </c>
      <c r="M7" s="192" t="s">
        <v>7</v>
      </c>
      <c r="N7" s="192" t="s">
        <v>7</v>
      </c>
      <c r="O7" s="186">
        <v>0</v>
      </c>
      <c r="P7" s="57" t="s">
        <v>197</v>
      </c>
      <c r="Q7" s="186">
        <v>1</v>
      </c>
      <c r="R7" s="57" t="s">
        <v>197</v>
      </c>
      <c r="S7" s="186">
        <v>1</v>
      </c>
      <c r="T7" s="57" t="s">
        <v>197</v>
      </c>
      <c r="U7" s="193">
        <f>Tab_Def_Flows[[#This Row],[CC_DM'[%']]]*Tab_Def_Flows[[#This Row],[DM]]</f>
        <v>1</v>
      </c>
      <c r="V7" s="12" t="s">
        <v>198</v>
      </c>
    </row>
    <row r="8" spans="1:22" x14ac:dyDescent="0.25">
      <c r="A8" s="197" t="b">
        <v>0</v>
      </c>
      <c r="B8" s="45">
        <f t="shared" si="0"/>
        <v>7</v>
      </c>
      <c r="C8" s="10" t="str">
        <f t="shared" si="1"/>
        <v>F_04_01</v>
      </c>
      <c r="D8" s="12" t="s">
        <v>282</v>
      </c>
      <c r="E8" s="38"/>
      <c r="F8" s="38"/>
      <c r="G8" s="38"/>
      <c r="H8" s="39" t="s">
        <v>399</v>
      </c>
      <c r="I8" s="10" t="str">
        <f>_xlfn.XLOOKUP(H8,Tab_Def_Processes[Name(EN)],Tab_Def_Processes[Process_ID],,0,)</f>
        <v>04</v>
      </c>
      <c r="J8" s="12" t="s">
        <v>277</v>
      </c>
      <c r="K8" s="18" t="str">
        <f>_xlfn.XLOOKUP(J8,Tab_Def_Processes[Name(EN)],Tab_Def_Processes[Process_ID],,0,)</f>
        <v>01</v>
      </c>
      <c r="L8" s="192" t="s">
        <v>7</v>
      </c>
      <c r="M8" s="192" t="s">
        <v>7</v>
      </c>
      <c r="N8" s="192" t="s">
        <v>7</v>
      </c>
      <c r="O8" s="186">
        <v>0</v>
      </c>
      <c r="P8" s="57" t="s">
        <v>197</v>
      </c>
      <c r="Q8" s="186">
        <v>1</v>
      </c>
      <c r="R8" s="57" t="s">
        <v>197</v>
      </c>
      <c r="S8" s="186">
        <v>0</v>
      </c>
      <c r="T8" s="57" t="s">
        <v>197</v>
      </c>
      <c r="U8" s="193">
        <f>Tab_Def_Flows[[#This Row],[CC_DM'[%']]]*Tab_Def_Flows[[#This Row],[DM]]</f>
        <v>0</v>
      </c>
      <c r="V8" s="12" t="s">
        <v>198</v>
      </c>
    </row>
    <row r="9" spans="1:22" x14ac:dyDescent="0.25">
      <c r="A9" s="197" t="b">
        <v>0</v>
      </c>
      <c r="B9" s="45">
        <f t="shared" si="0"/>
        <v>8</v>
      </c>
      <c r="C9" s="10" t="str">
        <f t="shared" si="1"/>
        <v>F_05_06</v>
      </c>
      <c r="D9" s="12" t="s">
        <v>307</v>
      </c>
      <c r="E9" s="38"/>
      <c r="F9" s="38"/>
      <c r="G9" s="38"/>
      <c r="H9" s="39" t="s">
        <v>306</v>
      </c>
      <c r="I9" s="10" t="str">
        <f>_xlfn.XLOOKUP(H9,Tab_Def_Processes[Name(EN)],Tab_Def_Processes[Process_ID],,0,)</f>
        <v>05</v>
      </c>
      <c r="J9" s="12" t="s">
        <v>396</v>
      </c>
      <c r="K9" s="18" t="str">
        <f>_xlfn.XLOOKUP(J9,Tab_Def_Processes[Name(EN)],Tab_Def_Processes[Process_ID],,0,)</f>
        <v>06</v>
      </c>
      <c r="L9" s="192" t="s">
        <v>7</v>
      </c>
      <c r="M9" s="192" t="s">
        <v>7</v>
      </c>
      <c r="N9" s="192" t="s">
        <v>7</v>
      </c>
      <c r="O9" s="186">
        <v>0</v>
      </c>
      <c r="P9" s="57" t="s">
        <v>197</v>
      </c>
      <c r="Q9" s="186">
        <v>1</v>
      </c>
      <c r="R9" s="57" t="s">
        <v>197</v>
      </c>
      <c r="S9" s="186">
        <v>0.5</v>
      </c>
      <c r="T9" s="57" t="s">
        <v>197</v>
      </c>
      <c r="U9" s="193">
        <f>Tab_Def_Flows[[#This Row],[CC_DM'[%']]]*Tab_Def_Flows[[#This Row],[DM]]</f>
        <v>0.5</v>
      </c>
      <c r="V9" s="12" t="s">
        <v>198</v>
      </c>
    </row>
    <row r="10" spans="1:22" x14ac:dyDescent="0.25">
      <c r="A10" s="197" t="b">
        <v>0</v>
      </c>
      <c r="B10" s="45">
        <f t="shared" si="0"/>
        <v>9</v>
      </c>
      <c r="C10" s="10" t="str">
        <f t="shared" si="1"/>
        <v>F_06_07</v>
      </c>
      <c r="D10" s="12" t="s">
        <v>308</v>
      </c>
      <c r="E10" s="38"/>
      <c r="F10" s="38"/>
      <c r="G10" s="38"/>
      <c r="H10" s="39" t="s">
        <v>396</v>
      </c>
      <c r="I10" s="10" t="str">
        <f>_xlfn.XLOOKUP(H10,Tab_Def_Processes[Name(EN)],Tab_Def_Processes[Process_ID],,0,)</f>
        <v>06</v>
      </c>
      <c r="J10" s="12" t="s">
        <v>397</v>
      </c>
      <c r="K10" s="18" t="str">
        <f>_xlfn.XLOOKUP(J10,Tab_Def_Processes[Name(EN)],Tab_Def_Processes[Process_ID],,0,)</f>
        <v>07</v>
      </c>
      <c r="L10" s="192" t="s">
        <v>7</v>
      </c>
      <c r="M10" s="192" t="s">
        <v>7</v>
      </c>
      <c r="N10" s="192" t="s">
        <v>7</v>
      </c>
      <c r="O10" s="186">
        <v>0</v>
      </c>
      <c r="P10" s="57" t="s">
        <v>197</v>
      </c>
      <c r="Q10" s="186">
        <v>1</v>
      </c>
      <c r="R10" s="57" t="s">
        <v>197</v>
      </c>
      <c r="S10" s="186">
        <v>0.5</v>
      </c>
      <c r="T10" s="57" t="s">
        <v>197</v>
      </c>
      <c r="U10" s="193">
        <f>Tab_Def_Flows[[#This Row],[CC_DM'[%']]]*Tab_Def_Flows[[#This Row],[DM]]</f>
        <v>0.5</v>
      </c>
      <c r="V10" s="12" t="s">
        <v>198</v>
      </c>
    </row>
    <row r="11" spans="1:22" x14ac:dyDescent="0.25">
      <c r="A11" s="197" t="b">
        <v>0</v>
      </c>
      <c r="B11" s="45">
        <f t="shared" si="0"/>
        <v>10</v>
      </c>
      <c r="C11" s="10" t="str">
        <f>"F_"&amp;LEFT(I11,2)&amp;"_"&amp;LEFT(K11,2)</f>
        <v>F_07_00</v>
      </c>
      <c r="D11" s="12" t="s">
        <v>309</v>
      </c>
      <c r="E11" s="38"/>
      <c r="F11" s="38"/>
      <c r="G11" s="38"/>
      <c r="H11" s="39" t="s">
        <v>397</v>
      </c>
      <c r="I11" s="10" t="str">
        <f>_xlfn.XLOOKUP(H11,Tab_Def_Processes[Name(EN)],Tab_Def_Processes[Process_ID],,0,)</f>
        <v>07</v>
      </c>
      <c r="J11" s="12" t="s">
        <v>196</v>
      </c>
      <c r="K11" s="18" t="str">
        <f>_xlfn.XLOOKUP(J11,Tab_Def_Processes[Name(EN)],Tab_Def_Processes[Process_ID],,0,)</f>
        <v>00</v>
      </c>
      <c r="L11" s="192" t="s">
        <v>7</v>
      </c>
      <c r="M11" s="192" t="s">
        <v>7</v>
      </c>
      <c r="N11" s="192" t="s">
        <v>7</v>
      </c>
      <c r="O11" s="186">
        <v>0</v>
      </c>
      <c r="P11" s="57" t="s">
        <v>197</v>
      </c>
      <c r="Q11" s="186">
        <v>1</v>
      </c>
      <c r="R11" s="57" t="s">
        <v>197</v>
      </c>
      <c r="S11" s="186">
        <v>1</v>
      </c>
      <c r="T11" s="57" t="s">
        <v>197</v>
      </c>
      <c r="U11" s="193">
        <f>Tab_Def_Flows[[#This Row],[CC_DM'[%']]]*Tab_Def_Flows[[#This Row],[DM]]</f>
        <v>1</v>
      </c>
      <c r="V11" s="12" t="s">
        <v>198</v>
      </c>
    </row>
    <row r="12" spans="1:22" x14ac:dyDescent="0.25">
      <c r="A12" s="197" t="b">
        <v>0</v>
      </c>
      <c r="B12" s="45">
        <f t="shared" si="0"/>
        <v>11</v>
      </c>
      <c r="C12" s="10" t="str">
        <f t="shared" ref="C12:C72" si="2">"F_"&amp;LEFT(I12,2)&amp;"_"&amp;LEFT(K12,2)</f>
        <v>F_07_01</v>
      </c>
      <c r="D12" s="12" t="s">
        <v>310</v>
      </c>
      <c r="E12" s="38"/>
      <c r="F12" s="38"/>
      <c r="G12" s="38"/>
      <c r="H12" s="39" t="s">
        <v>397</v>
      </c>
      <c r="I12" s="10" t="str">
        <f>_xlfn.XLOOKUP(H12,Tab_Def_Processes[Name(EN)],Tab_Def_Processes[Process_ID],,0,)</f>
        <v>07</v>
      </c>
      <c r="J12" s="12" t="s">
        <v>277</v>
      </c>
      <c r="K12" s="18" t="str">
        <f>_xlfn.XLOOKUP(J12,Tab_Def_Processes[Name(EN)],Tab_Def_Processes[Process_ID],,0,)</f>
        <v>01</v>
      </c>
      <c r="L12" s="192" t="s">
        <v>7</v>
      </c>
      <c r="M12" s="192" t="s">
        <v>7</v>
      </c>
      <c r="N12" s="192" t="s">
        <v>7</v>
      </c>
      <c r="O12" s="186">
        <v>0</v>
      </c>
      <c r="P12" s="57" t="s">
        <v>197</v>
      </c>
      <c r="Q12" s="186">
        <v>1</v>
      </c>
      <c r="R12" s="57" t="s">
        <v>197</v>
      </c>
      <c r="S12" s="186">
        <v>0</v>
      </c>
      <c r="T12" s="57" t="s">
        <v>197</v>
      </c>
      <c r="U12" s="193">
        <f>Tab_Def_Flows[[#This Row],[CC_DM'[%']]]*Tab_Def_Flows[[#This Row],[DM]]</f>
        <v>0</v>
      </c>
      <c r="V12" s="12" t="s">
        <v>198</v>
      </c>
    </row>
    <row r="13" spans="1:22" x14ac:dyDescent="0.25">
      <c r="A13" s="197" t="b">
        <v>0</v>
      </c>
      <c r="B13" s="45">
        <f t="shared" si="0"/>
        <v>12</v>
      </c>
      <c r="C13" s="10" t="str">
        <f t="shared" si="2"/>
        <v>F_05_08</v>
      </c>
      <c r="D13" s="12" t="s">
        <v>406</v>
      </c>
      <c r="E13" s="38"/>
      <c r="F13" s="38"/>
      <c r="G13" s="38"/>
      <c r="H13" s="39" t="s">
        <v>306</v>
      </c>
      <c r="I13" s="10" t="str">
        <f>_xlfn.XLOOKUP(H13,Tab_Def_Processes[Name(EN)],Tab_Def_Processes[Process_ID],,0,)</f>
        <v>05</v>
      </c>
      <c r="J13" s="12" t="s">
        <v>398</v>
      </c>
      <c r="K13" s="18" t="str">
        <f>_xlfn.XLOOKUP(J13,Tab_Def_Processes[Name(EN)],Tab_Def_Processes[Process_ID],,0,)</f>
        <v>08</v>
      </c>
      <c r="L13" s="192" t="s">
        <v>7</v>
      </c>
      <c r="M13" s="192" t="s">
        <v>7</v>
      </c>
      <c r="N13" s="192" t="s">
        <v>7</v>
      </c>
      <c r="O13" s="186">
        <v>0</v>
      </c>
      <c r="P13" s="57" t="s">
        <v>197</v>
      </c>
      <c r="Q13" s="186">
        <v>1</v>
      </c>
      <c r="R13" s="57" t="s">
        <v>197</v>
      </c>
      <c r="S13" s="186">
        <v>0</v>
      </c>
      <c r="T13" s="57" t="s">
        <v>197</v>
      </c>
      <c r="U13" s="193">
        <f>Tab_Def_Flows[[#This Row],[CC_DM'[%']]]*Tab_Def_Flows[[#This Row],[DM]]</f>
        <v>0</v>
      </c>
      <c r="V13" s="12" t="s">
        <v>198</v>
      </c>
    </row>
    <row r="14" spans="1:22" x14ac:dyDescent="0.25">
      <c r="A14" s="197" t="b">
        <v>0</v>
      </c>
      <c r="B14" s="45">
        <f t="shared" si="0"/>
        <v>13</v>
      </c>
      <c r="C14" s="10" t="str">
        <f t="shared" si="2"/>
        <v>F_08_10</v>
      </c>
      <c r="D14" s="12" t="s">
        <v>405</v>
      </c>
      <c r="E14" s="38"/>
      <c r="F14" s="38"/>
      <c r="G14" s="38"/>
      <c r="H14" s="39" t="s">
        <v>398</v>
      </c>
      <c r="I14" s="10" t="str">
        <f>_xlfn.XLOOKUP(H14,Tab_Def_Processes[Name(EN)],Tab_Def_Processes[Process_ID],,0,)</f>
        <v>08</v>
      </c>
      <c r="J14" s="12" t="s">
        <v>101</v>
      </c>
      <c r="K14" s="18" t="str">
        <f>_xlfn.XLOOKUP(J14,Tab_Def_Processes[Name(EN)],Tab_Def_Processes[Process_ID],,0,)</f>
        <v>10</v>
      </c>
      <c r="L14" s="192" t="s">
        <v>7</v>
      </c>
      <c r="M14" s="192" t="s">
        <v>7</v>
      </c>
      <c r="N14" s="192" t="s">
        <v>7</v>
      </c>
      <c r="O14" s="186">
        <v>0</v>
      </c>
      <c r="P14" s="57" t="s">
        <v>197</v>
      </c>
      <c r="Q14" s="186">
        <v>1</v>
      </c>
      <c r="R14" s="57" t="s">
        <v>197</v>
      </c>
      <c r="S14" s="186">
        <v>0.5</v>
      </c>
      <c r="T14" s="57" t="s">
        <v>197</v>
      </c>
      <c r="U14" s="193">
        <f>Tab_Def_Flows[[#This Row],[CC_DM'[%']]]*Tab_Def_Flows[[#This Row],[DM]]</f>
        <v>0.5</v>
      </c>
      <c r="V14" s="12" t="s">
        <v>198</v>
      </c>
    </row>
    <row r="15" spans="1:22" x14ac:dyDescent="0.25">
      <c r="A15" s="197" t="b">
        <v>0</v>
      </c>
      <c r="B15" s="45">
        <f t="shared" si="0"/>
        <v>14</v>
      </c>
      <c r="C15" s="10" t="str">
        <f t="shared" si="2"/>
        <v>F_05_09</v>
      </c>
      <c r="D15" s="12" t="s">
        <v>404</v>
      </c>
      <c r="E15" s="38"/>
      <c r="F15" s="38"/>
      <c r="G15" s="38"/>
      <c r="H15" s="39" t="s">
        <v>306</v>
      </c>
      <c r="I15" s="10" t="str">
        <f>_xlfn.XLOOKUP(H15,Tab_Def_Processes[Name(EN)],Tab_Def_Processes[Process_ID],,0,)</f>
        <v>05</v>
      </c>
      <c r="J15" s="12" t="s">
        <v>395</v>
      </c>
      <c r="K15" s="18" t="str">
        <f>_xlfn.XLOOKUP(J15,Tab_Def_Processes[Name(EN)],Tab_Def_Processes[Process_ID],,0,)</f>
        <v>09</v>
      </c>
      <c r="L15" s="192" t="s">
        <v>7</v>
      </c>
      <c r="M15" s="192" t="s">
        <v>7</v>
      </c>
      <c r="N15" s="192" t="s">
        <v>7</v>
      </c>
      <c r="O15" s="186">
        <v>0</v>
      </c>
      <c r="P15" s="57" t="s">
        <v>197</v>
      </c>
      <c r="Q15" s="186">
        <v>1</v>
      </c>
      <c r="R15" s="57" t="s">
        <v>197</v>
      </c>
      <c r="S15" s="186">
        <v>0.5</v>
      </c>
      <c r="T15" s="57" t="s">
        <v>197</v>
      </c>
      <c r="U15" s="193">
        <f>Tab_Def_Flows[[#This Row],[CC_DM'[%']]]*Tab_Def_Flows[[#This Row],[DM]]</f>
        <v>0.5</v>
      </c>
      <c r="V15" s="12" t="s">
        <v>198</v>
      </c>
    </row>
    <row r="16" spans="1:22" x14ac:dyDescent="0.25">
      <c r="A16" s="197" t="b">
        <v>0</v>
      </c>
      <c r="B16" s="45">
        <f t="shared" si="0"/>
        <v>15</v>
      </c>
      <c r="C16" s="10" t="str">
        <f t="shared" si="2"/>
        <v>F_09_00</v>
      </c>
      <c r="D16" s="12" t="s">
        <v>400</v>
      </c>
      <c r="E16" s="38"/>
      <c r="F16" s="38"/>
      <c r="G16" s="38"/>
      <c r="H16" s="39" t="s">
        <v>395</v>
      </c>
      <c r="I16" s="10" t="str">
        <f>_xlfn.XLOOKUP(H16,Tab_Def_Processes[Name(EN)],Tab_Def_Processes[Process_ID],,0,)</f>
        <v>09</v>
      </c>
      <c r="J16" s="12" t="s">
        <v>196</v>
      </c>
      <c r="K16" s="18" t="str">
        <f>_xlfn.XLOOKUP(J16,Tab_Def_Processes[Name(EN)],Tab_Def_Processes[Process_ID],,0,)</f>
        <v>00</v>
      </c>
      <c r="L16" s="192" t="s">
        <v>7</v>
      </c>
      <c r="M16" s="192" t="s">
        <v>7</v>
      </c>
      <c r="N16" s="192" t="s">
        <v>7</v>
      </c>
      <c r="O16" s="186">
        <v>0</v>
      </c>
      <c r="P16" s="57" t="s">
        <v>197</v>
      </c>
      <c r="Q16" s="186">
        <v>1</v>
      </c>
      <c r="R16" s="57" t="s">
        <v>197</v>
      </c>
      <c r="S16" s="186">
        <v>1</v>
      </c>
      <c r="T16" s="57" t="s">
        <v>197</v>
      </c>
      <c r="U16" s="193">
        <f>Tab_Def_Flows[[#This Row],[CC_DM'[%']]]*Tab_Def_Flows[[#This Row],[DM]]</f>
        <v>1</v>
      </c>
      <c r="V16" s="12" t="s">
        <v>198</v>
      </c>
    </row>
    <row r="17" spans="1:22" x14ac:dyDescent="0.25">
      <c r="A17" s="197" t="b">
        <v>0</v>
      </c>
      <c r="B17" s="45">
        <f t="shared" si="0"/>
        <v>16</v>
      </c>
      <c r="C17" s="10" t="str">
        <f t="shared" si="2"/>
        <v>F_09_01</v>
      </c>
      <c r="D17" s="12" t="s">
        <v>401</v>
      </c>
      <c r="E17" s="38"/>
      <c r="F17" s="38"/>
      <c r="G17" s="38"/>
      <c r="H17" s="39" t="s">
        <v>395</v>
      </c>
      <c r="I17" s="10" t="str">
        <f>_xlfn.XLOOKUP(H17,Tab_Def_Processes[Name(EN)],Tab_Def_Processes[Process_ID],,0,)</f>
        <v>09</v>
      </c>
      <c r="J17" s="12" t="s">
        <v>277</v>
      </c>
      <c r="K17" s="18" t="str">
        <f>_xlfn.XLOOKUP(J17,Tab_Def_Processes[Name(EN)],Tab_Def_Processes[Process_ID],,0,)</f>
        <v>01</v>
      </c>
      <c r="L17" s="192" t="s">
        <v>7</v>
      </c>
      <c r="M17" s="192" t="s">
        <v>7</v>
      </c>
      <c r="N17" s="192" t="s">
        <v>7</v>
      </c>
      <c r="O17" s="186">
        <v>0</v>
      </c>
      <c r="P17" s="57" t="s">
        <v>197</v>
      </c>
      <c r="Q17" s="186">
        <v>1</v>
      </c>
      <c r="R17" s="57" t="s">
        <v>197</v>
      </c>
      <c r="S17" s="186">
        <v>0</v>
      </c>
      <c r="T17" s="57" t="s">
        <v>197</v>
      </c>
      <c r="U17" s="193">
        <f>Tab_Def_Flows[[#This Row],[CC_DM'[%']]]*Tab_Def_Flows[[#This Row],[DM]]</f>
        <v>0</v>
      </c>
      <c r="V17" s="12" t="s">
        <v>198</v>
      </c>
    </row>
    <row r="18" spans="1:22" x14ac:dyDescent="0.25">
      <c r="A18" s="197" t="b">
        <v>0</v>
      </c>
      <c r="B18" s="45">
        <f t="shared" si="0"/>
        <v>17</v>
      </c>
      <c r="C18" s="10" t="str">
        <f t="shared" si="2"/>
        <v>F_10_00</v>
      </c>
      <c r="D18" s="12" t="s">
        <v>402</v>
      </c>
      <c r="E18" s="38"/>
      <c r="F18" s="38"/>
      <c r="G18" s="38"/>
      <c r="H18" s="39" t="s">
        <v>101</v>
      </c>
      <c r="I18" s="10" t="str">
        <f>_xlfn.XLOOKUP(H18,Tab_Def_Processes[Name(EN)],Tab_Def_Processes[Process_ID],,0,)</f>
        <v>10</v>
      </c>
      <c r="J18" s="12" t="s">
        <v>196</v>
      </c>
      <c r="K18" s="18" t="str">
        <f>_xlfn.XLOOKUP(J18,Tab_Def_Processes[Name(EN)],Tab_Def_Processes[Process_ID],,0,)</f>
        <v>00</v>
      </c>
      <c r="L18" s="192" t="s">
        <v>7</v>
      </c>
      <c r="M18" s="192" t="s">
        <v>7</v>
      </c>
      <c r="N18" s="192" t="s">
        <v>7</v>
      </c>
      <c r="O18" s="186">
        <v>0</v>
      </c>
      <c r="P18" s="57" t="s">
        <v>197</v>
      </c>
      <c r="Q18" s="186">
        <v>1</v>
      </c>
      <c r="R18" s="57" t="s">
        <v>197</v>
      </c>
      <c r="S18" s="186">
        <v>1</v>
      </c>
      <c r="T18" s="57" t="s">
        <v>197</v>
      </c>
      <c r="U18" s="193">
        <f>Tab_Def_Flows[[#This Row],[CC_DM'[%']]]*Tab_Def_Flows[[#This Row],[DM]]</f>
        <v>1</v>
      </c>
      <c r="V18" s="12" t="s">
        <v>198</v>
      </c>
    </row>
    <row r="19" spans="1:22" x14ac:dyDescent="0.25">
      <c r="A19" s="197" t="b">
        <v>0</v>
      </c>
      <c r="B19" s="45">
        <f t="shared" si="0"/>
        <v>18</v>
      </c>
      <c r="C19" s="10" t="str">
        <f t="shared" si="2"/>
        <v>F_10_01</v>
      </c>
      <c r="D19" s="12" t="s">
        <v>403</v>
      </c>
      <c r="E19" s="38"/>
      <c r="F19" s="38"/>
      <c r="G19" s="38"/>
      <c r="H19" s="39" t="s">
        <v>101</v>
      </c>
      <c r="I19" s="10" t="str">
        <f>_xlfn.XLOOKUP(H19,Tab_Def_Processes[Name(EN)],Tab_Def_Processes[Process_ID],,0,)</f>
        <v>10</v>
      </c>
      <c r="J19" s="12" t="s">
        <v>277</v>
      </c>
      <c r="K19" s="18" t="str">
        <f>_xlfn.XLOOKUP(J19,Tab_Def_Processes[Name(EN)],Tab_Def_Processes[Process_ID],,0,)</f>
        <v>01</v>
      </c>
      <c r="L19" s="192" t="s">
        <v>7</v>
      </c>
      <c r="M19" s="192" t="s">
        <v>7</v>
      </c>
      <c r="N19" s="192" t="s">
        <v>7</v>
      </c>
      <c r="O19" s="186">
        <v>0</v>
      </c>
      <c r="P19" s="57" t="s">
        <v>197</v>
      </c>
      <c r="Q19" s="186">
        <v>1</v>
      </c>
      <c r="R19" s="57" t="s">
        <v>197</v>
      </c>
      <c r="S19" s="186">
        <v>0</v>
      </c>
      <c r="T19" s="57" t="s">
        <v>197</v>
      </c>
      <c r="U19" s="193">
        <f>Tab_Def_Flows[[#This Row],[CC_DM'[%']]]*Tab_Def_Flows[[#This Row],[DM]]</f>
        <v>0</v>
      </c>
      <c r="V19" s="12" t="s">
        <v>198</v>
      </c>
    </row>
    <row r="20" spans="1:22" x14ac:dyDescent="0.25">
      <c r="A20" s="197" t="b">
        <v>0</v>
      </c>
      <c r="B20" s="45">
        <f t="shared" si="0"/>
        <v>19</v>
      </c>
      <c r="C20" s="10" t="str">
        <f t="shared" si="2"/>
        <v>F_09_11</v>
      </c>
      <c r="D20" s="12" t="s">
        <v>496</v>
      </c>
      <c r="E20" s="38"/>
      <c r="F20" s="38"/>
      <c r="G20" s="38"/>
      <c r="H20" s="39" t="s">
        <v>395</v>
      </c>
      <c r="I20" s="10" t="str">
        <f>_xlfn.XLOOKUP(H20,Tab_Def_Processes[Name(EN)],Tab_Def_Processes[Process_ID],,0,)</f>
        <v>09</v>
      </c>
      <c r="J20" s="12" t="s">
        <v>495</v>
      </c>
      <c r="K20" s="18" t="str">
        <f>_xlfn.XLOOKUP(J20,Tab_Def_Processes[Name(EN)],Tab_Def_Processes[Process_ID],,0,)</f>
        <v>11</v>
      </c>
      <c r="L20" s="192" t="s">
        <v>7</v>
      </c>
      <c r="M20" s="192" t="s">
        <v>7</v>
      </c>
      <c r="N20" s="192" t="s">
        <v>7</v>
      </c>
      <c r="O20" s="186"/>
      <c r="P20" s="57"/>
      <c r="R20" s="57"/>
      <c r="S20" s="186"/>
      <c r="T20" s="57"/>
      <c r="U20" s="193">
        <f>Tab_Def_Flows[[#This Row],[CC_DM'[%']]]*Tab_Def_Flows[[#This Row],[DM]]</f>
        <v>0</v>
      </c>
      <c r="V20" s="12" t="s">
        <v>198</v>
      </c>
    </row>
    <row r="21" spans="1:22" x14ac:dyDescent="0.25">
      <c r="A21" s="197" t="b">
        <v>0</v>
      </c>
      <c r="B21" s="45">
        <f t="shared" si="0"/>
        <v>20</v>
      </c>
      <c r="C21" s="10" t="str">
        <f t="shared" si="2"/>
        <v>F_12_12</v>
      </c>
      <c r="D21" s="12"/>
      <c r="E21" s="38"/>
      <c r="F21" s="38"/>
      <c r="G21" s="38"/>
      <c r="H21" s="39"/>
      <c r="I21" s="10" t="str">
        <f>_xlfn.XLOOKUP(H21,Tab_Def_Processes[Name(EN)],Tab_Def_Processes[Process_ID],,0,)</f>
        <v>12</v>
      </c>
      <c r="J21" s="12"/>
      <c r="K21" s="18" t="str">
        <f>_xlfn.XLOOKUP(J21,Tab_Def_Processes[Name(EN)],Tab_Def_Processes[Process_ID],,0,)</f>
        <v>12</v>
      </c>
      <c r="L21" s="192"/>
      <c r="M21" s="192"/>
      <c r="N21" s="192"/>
      <c r="O21" s="186"/>
      <c r="P21" s="57"/>
      <c r="R21" s="57"/>
      <c r="S21" s="186"/>
      <c r="T21" s="57"/>
      <c r="U21" s="193">
        <f>Tab_Def_Flows[[#This Row],[CC_DM'[%']]]*Tab_Def_Flows[[#This Row],[DM]]</f>
        <v>0</v>
      </c>
      <c r="V21" s="12" t="s">
        <v>198</v>
      </c>
    </row>
    <row r="22" spans="1:22" x14ac:dyDescent="0.25">
      <c r="A22" s="197" t="b">
        <v>0</v>
      </c>
      <c r="B22" s="45">
        <f t="shared" si="0"/>
        <v>21</v>
      </c>
      <c r="C22" s="10" t="str">
        <f t="shared" si="2"/>
        <v>F_12_12</v>
      </c>
      <c r="D22" s="12"/>
      <c r="E22" s="38"/>
      <c r="F22" s="38"/>
      <c r="G22" s="38"/>
      <c r="H22" s="39"/>
      <c r="I22" s="10" t="str">
        <f>_xlfn.XLOOKUP(H22,Tab_Def_Processes[Name(EN)],Tab_Def_Processes[Process_ID],,0,)</f>
        <v>12</v>
      </c>
      <c r="J22" s="12"/>
      <c r="K22" s="18" t="str">
        <f>_xlfn.XLOOKUP(J22,Tab_Def_Processes[Name(EN)],Tab_Def_Processes[Process_ID],,0,)</f>
        <v>12</v>
      </c>
      <c r="L22" s="192"/>
      <c r="M22" s="192"/>
      <c r="N22" s="192"/>
      <c r="O22" s="186"/>
      <c r="P22" s="57"/>
      <c r="R22" s="57"/>
      <c r="S22" s="186"/>
      <c r="T22" s="57"/>
      <c r="U22" s="193">
        <f>Tab_Def_Flows[[#This Row],[CC_DM'[%']]]*Tab_Def_Flows[[#This Row],[DM]]</f>
        <v>0</v>
      </c>
      <c r="V22" s="12" t="s">
        <v>198</v>
      </c>
    </row>
    <row r="23" spans="1:22" x14ac:dyDescent="0.25">
      <c r="A23" s="197" t="b">
        <v>0</v>
      </c>
      <c r="B23" s="45">
        <f t="shared" si="0"/>
        <v>22</v>
      </c>
      <c r="C23" s="10" t="str">
        <f t="shared" si="2"/>
        <v>F_12_12</v>
      </c>
      <c r="D23" s="12"/>
      <c r="E23" s="38"/>
      <c r="F23" s="38"/>
      <c r="G23" s="38"/>
      <c r="H23" s="39"/>
      <c r="I23" s="10" t="str">
        <f>_xlfn.XLOOKUP(H23,Tab_Def_Processes[Name(EN)],Tab_Def_Processes[Process_ID],,0,)</f>
        <v>12</v>
      </c>
      <c r="J23" s="12"/>
      <c r="K23" s="18" t="str">
        <f>_xlfn.XLOOKUP(J23,Tab_Def_Processes[Name(EN)],Tab_Def_Processes[Process_ID],,0,)</f>
        <v>12</v>
      </c>
      <c r="L23" s="192"/>
      <c r="M23" s="192"/>
      <c r="N23" s="192"/>
      <c r="O23" s="186"/>
      <c r="P23" s="57"/>
      <c r="R23" s="57"/>
      <c r="S23" s="186"/>
      <c r="T23" s="57"/>
      <c r="U23" s="193">
        <f>Tab_Def_Flows[[#This Row],[CC_DM'[%']]]*Tab_Def_Flows[[#This Row],[DM]]</f>
        <v>0</v>
      </c>
      <c r="V23" s="12" t="s">
        <v>198</v>
      </c>
    </row>
    <row r="24" spans="1:22" x14ac:dyDescent="0.25">
      <c r="A24" s="197" t="b">
        <v>0</v>
      </c>
      <c r="B24" s="45">
        <f t="shared" si="0"/>
        <v>23</v>
      </c>
      <c r="C24" s="10" t="str">
        <f t="shared" si="2"/>
        <v>F_12_12</v>
      </c>
      <c r="D24" s="12"/>
      <c r="E24" s="38"/>
      <c r="F24" s="38"/>
      <c r="G24" s="38"/>
      <c r="H24" s="39"/>
      <c r="I24" s="10" t="str">
        <f>_xlfn.XLOOKUP(H24,Tab_Def_Processes[Name(EN)],Tab_Def_Processes[Process_ID],,0,)</f>
        <v>12</v>
      </c>
      <c r="J24" s="12"/>
      <c r="K24" s="18" t="str">
        <f>_xlfn.XLOOKUP(J24,Tab_Def_Processes[Name(EN)],Tab_Def_Processes[Process_ID],,0,)</f>
        <v>12</v>
      </c>
      <c r="L24" s="192"/>
      <c r="M24" s="192"/>
      <c r="N24" s="192"/>
      <c r="O24" s="186"/>
      <c r="P24" s="57"/>
      <c r="R24" s="57"/>
      <c r="S24" s="186"/>
      <c r="T24" s="57"/>
      <c r="U24" s="193">
        <f>Tab_Def_Flows[[#This Row],[CC_DM'[%']]]*Tab_Def_Flows[[#This Row],[DM]]</f>
        <v>0</v>
      </c>
      <c r="V24" s="12" t="s">
        <v>198</v>
      </c>
    </row>
    <row r="25" spans="1:22" x14ac:dyDescent="0.25">
      <c r="A25" s="197" t="b">
        <v>0</v>
      </c>
      <c r="B25" s="45">
        <f t="shared" si="0"/>
        <v>24</v>
      </c>
      <c r="C25" s="10" t="str">
        <f t="shared" si="2"/>
        <v>F_12_12</v>
      </c>
      <c r="D25" s="12"/>
      <c r="E25" s="38"/>
      <c r="F25" s="38"/>
      <c r="G25" s="38"/>
      <c r="H25" s="39"/>
      <c r="I25" s="10" t="str">
        <f>_xlfn.XLOOKUP(H25,Tab_Def_Processes[Name(EN)],Tab_Def_Processes[Process_ID],,0,)</f>
        <v>12</v>
      </c>
      <c r="J25" s="12"/>
      <c r="K25" s="18" t="str">
        <f>_xlfn.XLOOKUP(J25,Tab_Def_Processes[Name(EN)],Tab_Def_Processes[Process_ID],,0,)</f>
        <v>12</v>
      </c>
      <c r="L25" s="192"/>
      <c r="M25" s="192"/>
      <c r="N25" s="192"/>
      <c r="O25" s="186"/>
      <c r="P25" s="57"/>
      <c r="R25" s="57"/>
      <c r="S25" s="186"/>
      <c r="T25" s="57"/>
      <c r="U25" s="193">
        <f>Tab_Def_Flows[[#This Row],[CC_DM'[%']]]*Tab_Def_Flows[[#This Row],[DM]]</f>
        <v>0</v>
      </c>
      <c r="V25" s="12" t="s">
        <v>198</v>
      </c>
    </row>
    <row r="26" spans="1:22" x14ac:dyDescent="0.25">
      <c r="A26" s="197" t="b">
        <v>0</v>
      </c>
      <c r="B26" s="45">
        <f t="shared" si="0"/>
        <v>25</v>
      </c>
      <c r="C26" s="10" t="str">
        <f t="shared" si="2"/>
        <v>F_12_12</v>
      </c>
      <c r="D26" s="12"/>
      <c r="E26" s="38"/>
      <c r="F26" s="38"/>
      <c r="G26" s="38"/>
      <c r="H26" s="39"/>
      <c r="I26" s="10" t="str">
        <f>_xlfn.XLOOKUP(H26,Tab_Def_Processes[Name(EN)],Tab_Def_Processes[Process_ID],,0,)</f>
        <v>12</v>
      </c>
      <c r="J26" s="12"/>
      <c r="K26" s="18" t="str">
        <f>_xlfn.XLOOKUP(J26,Tab_Def_Processes[Name(EN)],Tab_Def_Processes[Process_ID],,0,)</f>
        <v>12</v>
      </c>
      <c r="L26" s="192"/>
      <c r="M26" s="192"/>
      <c r="N26" s="192"/>
      <c r="O26" s="186"/>
      <c r="P26" s="57"/>
      <c r="R26" s="57"/>
      <c r="S26" s="186"/>
      <c r="T26" s="57"/>
      <c r="U26" s="193">
        <f>Tab_Def_Flows[[#This Row],[CC_DM'[%']]]*Tab_Def_Flows[[#This Row],[DM]]</f>
        <v>0</v>
      </c>
      <c r="V26" s="12" t="s">
        <v>198</v>
      </c>
    </row>
    <row r="27" spans="1:22" x14ac:dyDescent="0.25">
      <c r="A27" s="197" t="b">
        <v>0</v>
      </c>
      <c r="B27" s="45">
        <f t="shared" si="0"/>
        <v>26</v>
      </c>
      <c r="C27" s="10" t="str">
        <f t="shared" si="2"/>
        <v>F_12_12</v>
      </c>
      <c r="D27" s="12"/>
      <c r="E27" s="38"/>
      <c r="F27" s="38"/>
      <c r="G27" s="38"/>
      <c r="H27" s="39"/>
      <c r="I27" s="10" t="str">
        <f>_xlfn.XLOOKUP(H27,Tab_Def_Processes[Name(EN)],Tab_Def_Processes[Process_ID],,0,)</f>
        <v>12</v>
      </c>
      <c r="J27" s="12"/>
      <c r="K27" s="18" t="str">
        <f>_xlfn.XLOOKUP(J27,Tab_Def_Processes[Name(EN)],Tab_Def_Processes[Process_ID],,0,)</f>
        <v>12</v>
      </c>
      <c r="L27" s="192"/>
      <c r="M27" s="192"/>
      <c r="N27" s="192"/>
      <c r="O27" s="186"/>
      <c r="P27" s="57"/>
      <c r="R27" s="57"/>
      <c r="S27" s="186"/>
      <c r="T27" s="57"/>
      <c r="U27" s="193">
        <f>Tab_Def_Flows[[#This Row],[CC_DM'[%']]]*Tab_Def_Flows[[#This Row],[DM]]</f>
        <v>0</v>
      </c>
      <c r="V27" s="12" t="s">
        <v>198</v>
      </c>
    </row>
    <row r="28" spans="1:22" x14ac:dyDescent="0.25">
      <c r="A28" s="197" t="b">
        <v>0</v>
      </c>
      <c r="B28" s="45">
        <f t="shared" si="0"/>
        <v>27</v>
      </c>
      <c r="C28" s="10" t="str">
        <f t="shared" si="2"/>
        <v>F_12_12</v>
      </c>
      <c r="D28" s="12"/>
      <c r="E28" s="38"/>
      <c r="F28" s="38"/>
      <c r="G28" s="38"/>
      <c r="H28" s="39"/>
      <c r="I28" s="10" t="str">
        <f>_xlfn.XLOOKUP(H28,Tab_Def_Processes[Name(EN)],Tab_Def_Processes[Process_ID],,0,)</f>
        <v>12</v>
      </c>
      <c r="J28" s="12"/>
      <c r="K28" s="18" t="str">
        <f>_xlfn.XLOOKUP(J28,Tab_Def_Processes[Name(EN)],Tab_Def_Processes[Process_ID],,0,)</f>
        <v>12</v>
      </c>
      <c r="L28" s="192"/>
      <c r="M28" s="192"/>
      <c r="N28" s="192"/>
      <c r="O28" s="186"/>
      <c r="P28" s="57"/>
      <c r="R28" s="57"/>
      <c r="S28" s="186"/>
      <c r="T28" s="57"/>
      <c r="U28" s="193">
        <f>Tab_Def_Flows[[#This Row],[CC_DM'[%']]]*Tab_Def_Flows[[#This Row],[DM]]</f>
        <v>0</v>
      </c>
      <c r="V28" s="12" t="s">
        <v>198</v>
      </c>
    </row>
    <row r="29" spans="1:22" x14ac:dyDescent="0.25">
      <c r="A29" s="197" t="b">
        <v>0</v>
      </c>
      <c r="B29" s="45">
        <f t="shared" si="0"/>
        <v>28</v>
      </c>
      <c r="C29" s="10" t="str">
        <f t="shared" si="2"/>
        <v>F_12_12</v>
      </c>
      <c r="D29" s="12"/>
      <c r="E29" s="38"/>
      <c r="F29" s="38"/>
      <c r="G29" s="38"/>
      <c r="H29" s="39"/>
      <c r="I29" s="10" t="str">
        <f>_xlfn.XLOOKUP(H29,Tab_Def_Processes[Name(EN)],Tab_Def_Processes[Process_ID],,0,)</f>
        <v>12</v>
      </c>
      <c r="J29" s="12"/>
      <c r="K29" s="18" t="str">
        <f>_xlfn.XLOOKUP(J29,Tab_Def_Processes[Name(EN)],Tab_Def_Processes[Process_ID],,0,)</f>
        <v>12</v>
      </c>
      <c r="L29" s="192"/>
      <c r="M29" s="192"/>
      <c r="N29" s="192"/>
      <c r="O29" s="186"/>
      <c r="P29" s="57"/>
      <c r="R29" s="57"/>
      <c r="S29" s="186"/>
      <c r="T29" s="57"/>
      <c r="U29" s="193">
        <f>Tab_Def_Flows[[#This Row],[CC_DM'[%']]]*Tab_Def_Flows[[#This Row],[DM]]</f>
        <v>0</v>
      </c>
      <c r="V29" s="12" t="s">
        <v>198</v>
      </c>
    </row>
    <row r="30" spans="1:22" x14ac:dyDescent="0.25">
      <c r="A30" s="197" t="b">
        <v>0</v>
      </c>
      <c r="B30" s="45">
        <f t="shared" si="0"/>
        <v>29</v>
      </c>
      <c r="C30" s="10" t="str">
        <f t="shared" si="2"/>
        <v>F_12_12</v>
      </c>
      <c r="D30" s="12"/>
      <c r="E30" s="38"/>
      <c r="F30" s="38"/>
      <c r="G30" s="38"/>
      <c r="H30" s="39"/>
      <c r="I30" s="10" t="str">
        <f>_xlfn.XLOOKUP(H30,Tab_Def_Processes[Name(EN)],Tab_Def_Processes[Process_ID],,0,)</f>
        <v>12</v>
      </c>
      <c r="J30" s="12"/>
      <c r="K30" s="18" t="str">
        <f>_xlfn.XLOOKUP(J30,Tab_Def_Processes[Name(EN)],Tab_Def_Processes[Process_ID],,0,)</f>
        <v>12</v>
      </c>
      <c r="L30" s="192"/>
      <c r="M30" s="192"/>
      <c r="N30" s="192"/>
      <c r="O30" s="186"/>
      <c r="P30" s="57"/>
      <c r="R30" s="57"/>
      <c r="S30" s="186"/>
      <c r="T30" s="57"/>
      <c r="U30" s="193">
        <f>Tab_Def_Flows[[#This Row],[CC_DM'[%']]]*Tab_Def_Flows[[#This Row],[DM]]</f>
        <v>0</v>
      </c>
      <c r="V30" s="12" t="s">
        <v>198</v>
      </c>
    </row>
    <row r="31" spans="1:22" x14ac:dyDescent="0.25">
      <c r="A31" s="197" t="b">
        <v>0</v>
      </c>
      <c r="B31" s="45">
        <f t="shared" si="0"/>
        <v>30</v>
      </c>
      <c r="C31" s="10" t="str">
        <f t="shared" si="2"/>
        <v>F_12_12</v>
      </c>
      <c r="D31" s="12"/>
      <c r="E31" s="38"/>
      <c r="F31" s="38"/>
      <c r="G31" s="38"/>
      <c r="H31" s="39"/>
      <c r="I31" s="10" t="str">
        <f>_xlfn.XLOOKUP(H31,Tab_Def_Processes[Name(EN)],Tab_Def_Processes[Process_ID],,0,)</f>
        <v>12</v>
      </c>
      <c r="J31" s="12"/>
      <c r="K31" s="18" t="str">
        <f>_xlfn.XLOOKUP(J31,Tab_Def_Processes[Name(EN)],Tab_Def_Processes[Process_ID],,0,)</f>
        <v>12</v>
      </c>
      <c r="L31" s="192"/>
      <c r="M31" s="192"/>
      <c r="N31" s="192"/>
      <c r="O31" s="186"/>
      <c r="P31" s="57"/>
      <c r="R31" s="57"/>
      <c r="S31" s="186"/>
      <c r="T31" s="57"/>
      <c r="U31" s="193">
        <f>Tab_Def_Flows[[#This Row],[CC_DM'[%']]]*Tab_Def_Flows[[#This Row],[DM]]</f>
        <v>0</v>
      </c>
      <c r="V31" s="12" t="s">
        <v>198</v>
      </c>
    </row>
    <row r="32" spans="1:22" x14ac:dyDescent="0.25">
      <c r="A32" s="197" t="b">
        <v>0</v>
      </c>
      <c r="B32" s="45">
        <f t="shared" si="0"/>
        <v>31</v>
      </c>
      <c r="C32" s="10" t="str">
        <f t="shared" si="2"/>
        <v>F_12_12</v>
      </c>
      <c r="D32" s="12"/>
      <c r="E32" s="38"/>
      <c r="F32" s="38"/>
      <c r="G32" s="38"/>
      <c r="H32" s="39"/>
      <c r="I32" s="10" t="str">
        <f>_xlfn.XLOOKUP(H32,Tab_Def_Processes[Name(EN)],Tab_Def_Processes[Process_ID],,0,)</f>
        <v>12</v>
      </c>
      <c r="J32" s="12"/>
      <c r="K32" s="18" t="str">
        <f>_xlfn.XLOOKUP(J32,Tab_Def_Processes[Name(EN)],Tab_Def_Processes[Process_ID],,0,)</f>
        <v>12</v>
      </c>
      <c r="L32" s="192"/>
      <c r="M32" s="192"/>
      <c r="N32" s="192"/>
      <c r="O32" s="186"/>
      <c r="P32" s="57"/>
      <c r="R32" s="57"/>
      <c r="S32" s="186"/>
      <c r="T32" s="57"/>
      <c r="U32" s="193">
        <f>Tab_Def_Flows[[#This Row],[CC_DM'[%']]]*Tab_Def_Flows[[#This Row],[DM]]</f>
        <v>0</v>
      </c>
      <c r="V32" s="12" t="s">
        <v>198</v>
      </c>
    </row>
    <row r="33" spans="1:22" x14ac:dyDescent="0.25">
      <c r="A33" s="197" t="b">
        <v>0</v>
      </c>
      <c r="B33" s="45">
        <f t="shared" si="0"/>
        <v>32</v>
      </c>
      <c r="C33" s="10" t="str">
        <f t="shared" si="2"/>
        <v>F_12_12</v>
      </c>
      <c r="D33" s="12"/>
      <c r="E33" s="38"/>
      <c r="F33" s="38"/>
      <c r="G33" s="38"/>
      <c r="H33" s="39"/>
      <c r="I33" s="10" t="str">
        <f>_xlfn.XLOOKUP(H33,Tab_Def_Processes[Name(EN)],Tab_Def_Processes[Process_ID],,0,)</f>
        <v>12</v>
      </c>
      <c r="J33" s="12"/>
      <c r="K33" s="18" t="str">
        <f>_xlfn.XLOOKUP(J33,Tab_Def_Processes[Name(EN)],Tab_Def_Processes[Process_ID],,0,)</f>
        <v>12</v>
      </c>
      <c r="L33" s="192"/>
      <c r="M33" s="192"/>
      <c r="N33" s="192"/>
      <c r="O33" s="186"/>
      <c r="P33" s="57"/>
      <c r="R33" s="57"/>
      <c r="S33" s="186"/>
      <c r="T33" s="57"/>
      <c r="U33" s="193">
        <f>Tab_Def_Flows[[#This Row],[CC_DM'[%']]]*Tab_Def_Flows[[#This Row],[DM]]</f>
        <v>0</v>
      </c>
      <c r="V33" s="12" t="s">
        <v>198</v>
      </c>
    </row>
    <row r="34" spans="1:22" x14ac:dyDescent="0.25">
      <c r="A34" s="197" t="b">
        <v>0</v>
      </c>
      <c r="B34" s="45">
        <f t="shared" si="0"/>
        <v>33</v>
      </c>
      <c r="C34" s="10" t="str">
        <f t="shared" si="2"/>
        <v>F_12_12</v>
      </c>
      <c r="D34" s="12"/>
      <c r="E34" s="38"/>
      <c r="F34" s="38"/>
      <c r="G34" s="38"/>
      <c r="H34" s="39"/>
      <c r="I34" s="10" t="str">
        <f>_xlfn.XLOOKUP(H34,Tab_Def_Processes[Name(EN)],Tab_Def_Processes[Process_ID],,0,)</f>
        <v>12</v>
      </c>
      <c r="J34" s="12"/>
      <c r="K34" s="18" t="str">
        <f>_xlfn.XLOOKUP(J34,Tab_Def_Processes[Name(EN)],Tab_Def_Processes[Process_ID],,0,)</f>
        <v>12</v>
      </c>
      <c r="L34" s="192"/>
      <c r="M34" s="192"/>
      <c r="N34" s="192"/>
      <c r="O34" s="186"/>
      <c r="P34" s="57"/>
      <c r="R34" s="57"/>
      <c r="S34" s="186"/>
      <c r="T34" s="57"/>
      <c r="U34" s="193">
        <f>Tab_Def_Flows[[#This Row],[CC_DM'[%']]]*Tab_Def_Flows[[#This Row],[DM]]</f>
        <v>0</v>
      </c>
      <c r="V34" s="12"/>
    </row>
    <row r="35" spans="1:22" x14ac:dyDescent="0.25">
      <c r="A35" s="197" t="b">
        <v>0</v>
      </c>
      <c r="B35" s="45">
        <f t="shared" si="0"/>
        <v>34</v>
      </c>
      <c r="C35" s="10" t="str">
        <f t="shared" si="2"/>
        <v>F_12_12</v>
      </c>
      <c r="D35" s="12"/>
      <c r="E35" s="38"/>
      <c r="F35" s="38"/>
      <c r="G35" s="38"/>
      <c r="H35" s="39"/>
      <c r="I35" s="10" t="str">
        <f>_xlfn.XLOOKUP(H35,Tab_Def_Processes[Name(EN)],Tab_Def_Processes[Process_ID],,0,)</f>
        <v>12</v>
      </c>
      <c r="J35" s="12"/>
      <c r="K35" s="18" t="str">
        <f>_xlfn.XLOOKUP(J35,Tab_Def_Processes[Name(EN)],Tab_Def_Processes[Process_ID],,0,)</f>
        <v>12</v>
      </c>
      <c r="L35" s="192"/>
      <c r="M35" s="192"/>
      <c r="N35" s="192"/>
      <c r="O35" s="186"/>
      <c r="P35" s="57"/>
      <c r="R35" s="57"/>
      <c r="S35" s="186"/>
      <c r="T35" s="57"/>
      <c r="U35" s="193">
        <f>Tab_Def_Flows[[#This Row],[CC_DM'[%']]]*Tab_Def_Flows[[#This Row],[DM]]</f>
        <v>0</v>
      </c>
      <c r="V35" s="12"/>
    </row>
    <row r="36" spans="1:22" x14ac:dyDescent="0.25">
      <c r="A36" s="197" t="b">
        <v>0</v>
      </c>
      <c r="B36" s="45">
        <f t="shared" si="0"/>
        <v>35</v>
      </c>
      <c r="C36" s="10" t="str">
        <f t="shared" si="2"/>
        <v>F_12_12</v>
      </c>
      <c r="D36" s="12"/>
      <c r="E36" s="38"/>
      <c r="F36" s="38"/>
      <c r="G36" s="38"/>
      <c r="H36" s="39"/>
      <c r="I36" s="10" t="str">
        <f>_xlfn.XLOOKUP(H36,Tab_Def_Processes[Name(EN)],Tab_Def_Processes[Process_ID],,0,)</f>
        <v>12</v>
      </c>
      <c r="J36" s="12"/>
      <c r="K36" s="18" t="str">
        <f>_xlfn.XLOOKUP(J36,Tab_Def_Processes[Name(EN)],Tab_Def_Processes[Process_ID],,0,)</f>
        <v>12</v>
      </c>
      <c r="L36" s="192"/>
      <c r="M36" s="192"/>
      <c r="N36" s="192"/>
      <c r="O36" s="186"/>
      <c r="P36" s="57"/>
      <c r="R36" s="57"/>
      <c r="S36" s="186"/>
      <c r="T36" s="57"/>
      <c r="U36" s="193">
        <f>Tab_Def_Flows[[#This Row],[CC_DM'[%']]]*Tab_Def_Flows[[#This Row],[DM]]</f>
        <v>0</v>
      </c>
      <c r="V36" s="12"/>
    </row>
    <row r="37" spans="1:22" x14ac:dyDescent="0.25">
      <c r="A37" s="197" t="b">
        <v>0</v>
      </c>
      <c r="B37" s="45">
        <f t="shared" si="0"/>
        <v>36</v>
      </c>
      <c r="C37" s="10" t="str">
        <f t="shared" si="2"/>
        <v>F_12_12</v>
      </c>
      <c r="D37" s="12"/>
      <c r="E37" s="38"/>
      <c r="F37" s="38"/>
      <c r="G37" s="38"/>
      <c r="H37" s="39"/>
      <c r="I37" s="10" t="str">
        <f>_xlfn.XLOOKUP(H37,Tab_Def_Processes[Name(EN)],Tab_Def_Processes[Process_ID],,0,)</f>
        <v>12</v>
      </c>
      <c r="J37" s="12"/>
      <c r="K37" s="18" t="str">
        <f>_xlfn.XLOOKUP(J37,Tab_Def_Processes[Name(EN)],Tab_Def_Processes[Process_ID],,0,)</f>
        <v>12</v>
      </c>
      <c r="L37" s="192"/>
      <c r="M37" s="192"/>
      <c r="N37" s="192"/>
      <c r="O37" s="186"/>
      <c r="P37" s="42"/>
      <c r="R37" s="42"/>
      <c r="S37" s="186"/>
      <c r="T37" s="42"/>
      <c r="U37" s="193">
        <f>Tab_Def_Flows[[#This Row],[CC_DM'[%']]]*Tab_Def_Flows[[#This Row],[DM]]</f>
        <v>0</v>
      </c>
      <c r="V37" s="12"/>
    </row>
    <row r="38" spans="1:22" x14ac:dyDescent="0.25">
      <c r="A38" s="197" t="b">
        <v>0</v>
      </c>
      <c r="B38" s="45">
        <f t="shared" si="0"/>
        <v>37</v>
      </c>
      <c r="C38" s="10" t="str">
        <f t="shared" si="2"/>
        <v>F_12_12</v>
      </c>
      <c r="D38" s="12"/>
      <c r="E38" s="38"/>
      <c r="F38" s="38"/>
      <c r="G38" s="38"/>
      <c r="H38" s="39"/>
      <c r="I38" s="10" t="str">
        <f>_xlfn.XLOOKUP(H38,Tab_Def_Processes[Name(EN)],Tab_Def_Processes[Process_ID],,0,)</f>
        <v>12</v>
      </c>
      <c r="J38" s="12"/>
      <c r="K38" s="18" t="str">
        <f>_xlfn.XLOOKUP(J38,Tab_Def_Processes[Name(EN)],Tab_Def_Processes[Process_ID],,0,)</f>
        <v>12</v>
      </c>
      <c r="L38" s="192"/>
      <c r="M38" s="192"/>
      <c r="N38" s="192"/>
      <c r="O38" s="186"/>
      <c r="P38" s="42"/>
      <c r="R38" s="42"/>
      <c r="S38" s="186"/>
      <c r="T38" s="42"/>
      <c r="U38" s="193">
        <f>Tab_Def_Flows[[#This Row],[CC_DM'[%']]]*Tab_Def_Flows[[#This Row],[DM]]</f>
        <v>0</v>
      </c>
      <c r="V38" s="12"/>
    </row>
    <row r="39" spans="1:22" x14ac:dyDescent="0.25">
      <c r="A39" s="197" t="b">
        <v>0</v>
      </c>
      <c r="B39" s="45">
        <f t="shared" si="0"/>
        <v>38</v>
      </c>
      <c r="C39" s="10" t="str">
        <f t="shared" si="2"/>
        <v>F_12_12</v>
      </c>
      <c r="D39" s="12"/>
      <c r="E39" s="38"/>
      <c r="F39" s="38"/>
      <c r="G39" s="38"/>
      <c r="H39" s="39"/>
      <c r="I39" s="10" t="str">
        <f>_xlfn.XLOOKUP(H39,Tab_Def_Processes[Name(EN)],Tab_Def_Processes[Process_ID],,0,)</f>
        <v>12</v>
      </c>
      <c r="J39" s="12"/>
      <c r="K39" s="18" t="str">
        <f>_xlfn.XLOOKUP(J39,Tab_Def_Processes[Name(EN)],Tab_Def_Processes[Process_ID],,0,)</f>
        <v>12</v>
      </c>
      <c r="L39" s="192"/>
      <c r="M39" s="192"/>
      <c r="N39" s="192"/>
      <c r="O39" s="186"/>
      <c r="P39" s="42"/>
      <c r="R39" s="42"/>
      <c r="S39" s="186"/>
      <c r="T39" s="42"/>
      <c r="U39" s="193">
        <f>Tab_Def_Flows[[#This Row],[CC_DM'[%']]]*Tab_Def_Flows[[#This Row],[DM]]</f>
        <v>0</v>
      </c>
      <c r="V39" s="12"/>
    </row>
    <row r="40" spans="1:22" x14ac:dyDescent="0.25">
      <c r="A40" s="197" t="b">
        <v>0</v>
      </c>
      <c r="B40" s="45">
        <f t="shared" si="0"/>
        <v>39</v>
      </c>
      <c r="C40" s="10" t="str">
        <f t="shared" si="2"/>
        <v>F_12_12</v>
      </c>
      <c r="D40" s="12"/>
      <c r="E40" s="38"/>
      <c r="F40" s="38"/>
      <c r="G40" s="38"/>
      <c r="H40" s="39"/>
      <c r="I40" s="10" t="str">
        <f>_xlfn.XLOOKUP(H40,Tab_Def_Processes[Name(EN)],Tab_Def_Processes[Process_ID],,0,)</f>
        <v>12</v>
      </c>
      <c r="J40" s="12"/>
      <c r="K40" s="18" t="str">
        <f>_xlfn.XLOOKUP(J40,Tab_Def_Processes[Name(EN)],Tab_Def_Processes[Process_ID],,0,)</f>
        <v>12</v>
      </c>
      <c r="L40" s="192"/>
      <c r="M40" s="192"/>
      <c r="N40" s="192"/>
      <c r="O40" s="186"/>
      <c r="P40" s="42"/>
      <c r="R40" s="42"/>
      <c r="S40" s="186"/>
      <c r="T40" s="42"/>
      <c r="U40" s="193">
        <f>Tab_Def_Flows[[#This Row],[CC_DM'[%']]]*Tab_Def_Flows[[#This Row],[DM]]</f>
        <v>0</v>
      </c>
      <c r="V40" s="12"/>
    </row>
    <row r="41" spans="1:22" x14ac:dyDescent="0.25">
      <c r="A41" s="197" t="b">
        <v>0</v>
      </c>
      <c r="B41" s="45">
        <f t="shared" si="0"/>
        <v>40</v>
      </c>
      <c r="C41" s="10" t="str">
        <f t="shared" si="2"/>
        <v>F_12_12</v>
      </c>
      <c r="D41" s="12"/>
      <c r="E41" s="38"/>
      <c r="F41" s="38"/>
      <c r="G41" s="38"/>
      <c r="H41" s="39"/>
      <c r="I41" s="10" t="str">
        <f>_xlfn.XLOOKUP(H41,Tab_Def_Processes[Name(EN)],Tab_Def_Processes[Process_ID],,0,)</f>
        <v>12</v>
      </c>
      <c r="J41" s="12"/>
      <c r="K41" s="18" t="str">
        <f>_xlfn.XLOOKUP(J41,Tab_Def_Processes[Name(EN)],Tab_Def_Processes[Process_ID],,0,)</f>
        <v>12</v>
      </c>
      <c r="L41" s="192"/>
      <c r="M41" s="192"/>
      <c r="N41" s="192"/>
      <c r="O41" s="186"/>
      <c r="P41" s="42"/>
      <c r="R41" s="42"/>
      <c r="S41" s="186"/>
      <c r="T41" s="42"/>
      <c r="U41" s="193">
        <f>Tab_Def_Flows[[#This Row],[CC_DM'[%']]]*Tab_Def_Flows[[#This Row],[DM]]</f>
        <v>0</v>
      </c>
      <c r="V41" s="12"/>
    </row>
    <row r="42" spans="1:22" x14ac:dyDescent="0.25">
      <c r="A42" s="197" t="b">
        <v>0</v>
      </c>
      <c r="B42" s="45">
        <f t="shared" si="0"/>
        <v>41</v>
      </c>
      <c r="C42" s="10" t="str">
        <f t="shared" si="2"/>
        <v>F_12_12</v>
      </c>
      <c r="D42" s="12"/>
      <c r="E42" s="38"/>
      <c r="F42" s="38"/>
      <c r="G42" s="38"/>
      <c r="H42" s="39"/>
      <c r="I42" s="10" t="str">
        <f>_xlfn.XLOOKUP(H42,Tab_Def_Processes[Name(EN)],Tab_Def_Processes[Process_ID],,0,)</f>
        <v>12</v>
      </c>
      <c r="J42" s="12"/>
      <c r="K42" s="18" t="str">
        <f>_xlfn.XLOOKUP(J42,Tab_Def_Processes[Name(EN)],Tab_Def_Processes[Process_ID],,0,)</f>
        <v>12</v>
      </c>
      <c r="L42" s="192"/>
      <c r="M42" s="192"/>
      <c r="N42" s="192"/>
      <c r="O42" s="186"/>
      <c r="P42" s="42"/>
      <c r="R42" s="42"/>
      <c r="S42" s="186"/>
      <c r="T42" s="42"/>
      <c r="U42" s="193">
        <f>Tab_Def_Flows[[#This Row],[CC_DM'[%']]]*Tab_Def_Flows[[#This Row],[DM]]</f>
        <v>0</v>
      </c>
      <c r="V42" s="12"/>
    </row>
    <row r="43" spans="1:22" x14ac:dyDescent="0.25">
      <c r="A43" s="197" t="b">
        <v>0</v>
      </c>
      <c r="B43" s="45">
        <f t="shared" si="0"/>
        <v>42</v>
      </c>
      <c r="C43" s="10" t="str">
        <f t="shared" si="2"/>
        <v>F_12_12</v>
      </c>
      <c r="D43" s="12"/>
      <c r="E43" s="38"/>
      <c r="F43" s="38"/>
      <c r="G43" s="38"/>
      <c r="H43" s="39"/>
      <c r="I43" s="10" t="str">
        <f>_xlfn.XLOOKUP(H43,Tab_Def_Processes[Name(EN)],Tab_Def_Processes[Process_ID],,0,)</f>
        <v>12</v>
      </c>
      <c r="J43" s="12"/>
      <c r="K43" s="18" t="str">
        <f>_xlfn.XLOOKUP(J43,Tab_Def_Processes[Name(EN)],Tab_Def_Processes[Process_ID],,0,)</f>
        <v>12</v>
      </c>
      <c r="L43" s="192"/>
      <c r="M43" s="192"/>
      <c r="N43" s="192"/>
      <c r="O43" s="186"/>
      <c r="P43" s="42"/>
      <c r="R43" s="42"/>
      <c r="S43" s="186"/>
      <c r="T43" s="42"/>
      <c r="U43" s="193">
        <f>Tab_Def_Flows[[#This Row],[CC_DM'[%']]]*Tab_Def_Flows[[#This Row],[DM]]</f>
        <v>0</v>
      </c>
      <c r="V43" s="12"/>
    </row>
    <row r="44" spans="1:22" x14ac:dyDescent="0.25">
      <c r="A44" s="197" t="b">
        <v>0</v>
      </c>
      <c r="B44" s="45">
        <f t="shared" si="0"/>
        <v>43</v>
      </c>
      <c r="C44" s="10" t="str">
        <f t="shared" si="2"/>
        <v>F_12_12</v>
      </c>
      <c r="D44" s="12"/>
      <c r="E44" s="38"/>
      <c r="F44" s="38"/>
      <c r="G44" s="38"/>
      <c r="H44" s="39"/>
      <c r="I44" s="10" t="str">
        <f>_xlfn.XLOOKUP(H44,Tab_Def_Processes[Name(EN)],Tab_Def_Processes[Process_ID],,0,)</f>
        <v>12</v>
      </c>
      <c r="J44" s="12"/>
      <c r="K44" s="18" t="str">
        <f>_xlfn.XLOOKUP(J44,Tab_Def_Processes[Name(EN)],Tab_Def_Processes[Process_ID],,0,)</f>
        <v>12</v>
      </c>
      <c r="L44" s="192"/>
      <c r="M44" s="192"/>
      <c r="N44" s="192"/>
      <c r="O44" s="186"/>
      <c r="P44" s="42"/>
      <c r="R44" s="42"/>
      <c r="S44" s="186"/>
      <c r="T44" s="42"/>
      <c r="U44" s="193">
        <f>Tab_Def_Flows[[#This Row],[CC_DM'[%']]]*Tab_Def_Flows[[#This Row],[DM]]</f>
        <v>0</v>
      </c>
      <c r="V44" s="12"/>
    </row>
    <row r="45" spans="1:22" x14ac:dyDescent="0.25">
      <c r="A45" s="197" t="b">
        <v>0</v>
      </c>
      <c r="B45" s="45">
        <f t="shared" si="0"/>
        <v>44</v>
      </c>
      <c r="C45" s="10" t="str">
        <f t="shared" si="2"/>
        <v>F_12_12</v>
      </c>
      <c r="D45" s="12"/>
      <c r="E45" s="38"/>
      <c r="F45" s="38"/>
      <c r="G45" s="38"/>
      <c r="H45" s="39"/>
      <c r="I45" s="10" t="str">
        <f>_xlfn.XLOOKUP(H45,Tab_Def_Processes[Name(EN)],Tab_Def_Processes[Process_ID],,0,)</f>
        <v>12</v>
      </c>
      <c r="J45" s="12"/>
      <c r="K45" s="18" t="str">
        <f>_xlfn.XLOOKUP(J45,Tab_Def_Processes[Name(EN)],Tab_Def_Processes[Process_ID],,0,)</f>
        <v>12</v>
      </c>
      <c r="L45" s="192"/>
      <c r="M45" s="192"/>
      <c r="N45" s="192"/>
      <c r="O45" s="186"/>
      <c r="P45" s="42"/>
      <c r="R45" s="42"/>
      <c r="S45" s="186"/>
      <c r="T45" s="42"/>
      <c r="U45" s="193">
        <f>Tab_Def_Flows[[#This Row],[CC_DM'[%']]]*Tab_Def_Flows[[#This Row],[DM]]</f>
        <v>0</v>
      </c>
      <c r="V45" s="12"/>
    </row>
    <row r="46" spans="1:22" x14ac:dyDescent="0.25">
      <c r="A46" s="197" t="b">
        <v>0</v>
      </c>
      <c r="B46" s="45">
        <f t="shared" si="0"/>
        <v>45</v>
      </c>
      <c r="C46" s="10" t="str">
        <f t="shared" si="2"/>
        <v>F_12_12</v>
      </c>
      <c r="D46" s="12"/>
      <c r="E46" s="38"/>
      <c r="F46" s="38"/>
      <c r="G46" s="38"/>
      <c r="H46" s="39"/>
      <c r="I46" s="10" t="str">
        <f>_xlfn.XLOOKUP(H46,Tab_Def_Processes[Name(EN)],Tab_Def_Processes[Process_ID],,0,)</f>
        <v>12</v>
      </c>
      <c r="J46" s="12"/>
      <c r="K46" s="18" t="str">
        <f>_xlfn.XLOOKUP(J46,Tab_Def_Processes[Name(EN)],Tab_Def_Processes[Process_ID],,0,)</f>
        <v>12</v>
      </c>
      <c r="L46" s="192"/>
      <c r="M46" s="192"/>
      <c r="N46" s="192"/>
      <c r="O46" s="186"/>
      <c r="P46" s="42"/>
      <c r="R46" s="42"/>
      <c r="S46" s="186"/>
      <c r="T46" s="42"/>
      <c r="U46" s="193">
        <f>Tab_Def_Flows[[#This Row],[CC_DM'[%']]]*Tab_Def_Flows[[#This Row],[DM]]</f>
        <v>0</v>
      </c>
      <c r="V46" s="12"/>
    </row>
    <row r="47" spans="1:22" x14ac:dyDescent="0.25">
      <c r="A47" s="197" t="b">
        <v>0</v>
      </c>
      <c r="B47" s="45">
        <f t="shared" si="0"/>
        <v>46</v>
      </c>
      <c r="C47" s="10" t="str">
        <f t="shared" si="2"/>
        <v>F_12_12</v>
      </c>
      <c r="D47" s="12"/>
      <c r="E47" s="38"/>
      <c r="F47" s="38"/>
      <c r="G47" s="38"/>
      <c r="H47" s="39"/>
      <c r="I47" s="10" t="str">
        <f>_xlfn.XLOOKUP(H47,Tab_Def_Processes[Name(EN)],Tab_Def_Processes[Process_ID],,0,)</f>
        <v>12</v>
      </c>
      <c r="J47" s="12"/>
      <c r="K47" s="18" t="str">
        <f>_xlfn.XLOOKUP(J47,Tab_Def_Processes[Name(EN)],Tab_Def_Processes[Process_ID],,0,)</f>
        <v>12</v>
      </c>
      <c r="L47" s="192"/>
      <c r="M47" s="192"/>
      <c r="N47" s="192"/>
      <c r="O47" s="186"/>
      <c r="P47" s="42"/>
      <c r="R47" s="42"/>
      <c r="S47" s="186"/>
      <c r="T47" s="42"/>
      <c r="U47" s="193">
        <f>Tab_Def_Flows[[#This Row],[CC_DM'[%']]]*Tab_Def_Flows[[#This Row],[DM]]</f>
        <v>0</v>
      </c>
      <c r="V47" s="12"/>
    </row>
    <row r="48" spans="1:22" x14ac:dyDescent="0.25">
      <c r="A48" s="197" t="b">
        <v>0</v>
      </c>
      <c r="B48" s="45">
        <f t="shared" si="0"/>
        <v>47</v>
      </c>
      <c r="C48" s="10" t="str">
        <f t="shared" si="2"/>
        <v>F_12_12</v>
      </c>
      <c r="D48" s="12"/>
      <c r="E48" s="38"/>
      <c r="F48" s="38"/>
      <c r="G48" s="38"/>
      <c r="H48" s="39"/>
      <c r="I48" s="10" t="str">
        <f>_xlfn.XLOOKUP(H48,Tab_Def_Processes[Name(EN)],Tab_Def_Processes[Process_ID],,0,)</f>
        <v>12</v>
      </c>
      <c r="J48" s="12"/>
      <c r="K48" s="18" t="str">
        <f>_xlfn.XLOOKUP(J48,Tab_Def_Processes[Name(EN)],Tab_Def_Processes[Process_ID],,0,)</f>
        <v>12</v>
      </c>
      <c r="L48" s="192"/>
      <c r="M48" s="192"/>
      <c r="N48" s="192"/>
      <c r="O48" s="186"/>
      <c r="P48" s="42"/>
      <c r="R48" s="42"/>
      <c r="S48" s="186"/>
      <c r="T48" s="42"/>
      <c r="U48" s="193">
        <f>Tab_Def_Flows[[#This Row],[CC_DM'[%']]]*Tab_Def_Flows[[#This Row],[DM]]</f>
        <v>0</v>
      </c>
      <c r="V48" s="12"/>
    </row>
    <row r="49" spans="1:22" ht="15.75" customHeight="1" x14ac:dyDescent="0.25">
      <c r="A49" s="197" t="b">
        <v>0</v>
      </c>
      <c r="B49" s="45">
        <f t="shared" si="0"/>
        <v>48</v>
      </c>
      <c r="C49" s="10" t="str">
        <f t="shared" si="2"/>
        <v>F_12_12</v>
      </c>
      <c r="D49" s="12"/>
      <c r="E49" s="38"/>
      <c r="F49" s="38"/>
      <c r="G49" s="38"/>
      <c r="H49" s="39"/>
      <c r="I49" s="10" t="str">
        <f>_xlfn.XLOOKUP(H49,Tab_Def_Processes[Name(EN)],Tab_Def_Processes[Process_ID],,0,)</f>
        <v>12</v>
      </c>
      <c r="J49" s="12"/>
      <c r="K49" s="18" t="str">
        <f>_xlfn.XLOOKUP(J49,Tab_Def_Processes[Name(EN)],Tab_Def_Processes[Process_ID],,0,)</f>
        <v>12</v>
      </c>
      <c r="L49" s="192"/>
      <c r="M49" s="192"/>
      <c r="N49" s="192"/>
      <c r="O49" s="186"/>
      <c r="P49" s="42"/>
      <c r="R49" s="42"/>
      <c r="S49" s="186"/>
      <c r="T49" s="42"/>
      <c r="U49" s="193">
        <f>Tab_Def_Flows[[#This Row],[CC_DM'[%']]]*Tab_Def_Flows[[#This Row],[DM]]</f>
        <v>0</v>
      </c>
      <c r="V49" s="12"/>
    </row>
    <row r="50" spans="1:22" x14ac:dyDescent="0.25">
      <c r="A50" s="197" t="b">
        <v>0</v>
      </c>
      <c r="B50" s="45">
        <f t="shared" si="0"/>
        <v>49</v>
      </c>
      <c r="C50" s="10" t="str">
        <f t="shared" si="2"/>
        <v>F_12_12</v>
      </c>
      <c r="D50" s="12"/>
      <c r="E50" s="38"/>
      <c r="F50" s="38"/>
      <c r="G50" s="38"/>
      <c r="H50" s="39"/>
      <c r="I50" s="10" t="str">
        <f>_xlfn.XLOOKUP(H50,Tab_Def_Processes[Name(EN)],Tab_Def_Processes[Process_ID],,0,)</f>
        <v>12</v>
      </c>
      <c r="J50" s="12"/>
      <c r="K50" s="18" t="str">
        <f>_xlfn.XLOOKUP(J50,Tab_Def_Processes[Name(EN)],Tab_Def_Processes[Process_ID],,0,)</f>
        <v>12</v>
      </c>
      <c r="L50" s="192"/>
      <c r="M50" s="192"/>
      <c r="N50" s="192"/>
      <c r="O50" s="186"/>
      <c r="P50" s="42"/>
      <c r="R50" s="42"/>
      <c r="S50" s="186"/>
      <c r="T50" s="42"/>
      <c r="U50" s="193">
        <f>Tab_Def_Flows[[#This Row],[CC_DM'[%']]]*Tab_Def_Flows[[#This Row],[DM]]</f>
        <v>0</v>
      </c>
      <c r="V50" s="12"/>
    </row>
    <row r="51" spans="1:22" x14ac:dyDescent="0.25">
      <c r="A51" s="197" t="b">
        <v>0</v>
      </c>
      <c r="B51" s="45">
        <f t="shared" si="0"/>
        <v>50</v>
      </c>
      <c r="C51" s="10" t="str">
        <f t="shared" si="2"/>
        <v>F_12_12</v>
      </c>
      <c r="D51" s="12"/>
      <c r="E51" s="38"/>
      <c r="F51" s="38"/>
      <c r="G51" s="38"/>
      <c r="H51" s="39"/>
      <c r="I51" s="10" t="str">
        <f>_xlfn.XLOOKUP(H51,Tab_Def_Processes[Name(EN)],Tab_Def_Processes[Process_ID],,0,)</f>
        <v>12</v>
      </c>
      <c r="J51" s="12"/>
      <c r="K51" s="18" t="str">
        <f>_xlfn.XLOOKUP(J51,Tab_Def_Processes[Name(EN)],Tab_Def_Processes[Process_ID],,0,)</f>
        <v>12</v>
      </c>
      <c r="L51" s="192"/>
      <c r="M51" s="192"/>
      <c r="N51" s="192"/>
      <c r="O51" s="186"/>
      <c r="P51" s="42"/>
      <c r="R51" s="42"/>
      <c r="S51" s="186"/>
      <c r="T51" s="42"/>
      <c r="U51" s="193">
        <f>Tab_Def_Flows[[#This Row],[CC_DM'[%']]]*Tab_Def_Flows[[#This Row],[DM]]</f>
        <v>0</v>
      </c>
      <c r="V51" s="12"/>
    </row>
    <row r="52" spans="1:22" x14ac:dyDescent="0.25">
      <c r="A52" s="197" t="b">
        <v>0</v>
      </c>
      <c r="B52" s="45">
        <f t="shared" si="0"/>
        <v>51</v>
      </c>
      <c r="C52" s="10" t="str">
        <f t="shared" si="2"/>
        <v>F_12_12</v>
      </c>
      <c r="D52" s="12"/>
      <c r="E52" s="38"/>
      <c r="F52" s="38"/>
      <c r="G52" s="38"/>
      <c r="H52" s="39"/>
      <c r="I52" s="10" t="str">
        <f>_xlfn.XLOOKUP(H52,Tab_Def_Processes[Name(EN)],Tab_Def_Processes[Process_ID],,0,)</f>
        <v>12</v>
      </c>
      <c r="J52" s="12"/>
      <c r="K52" s="18" t="str">
        <f>_xlfn.XLOOKUP(J52,Tab_Def_Processes[Name(EN)],Tab_Def_Processes[Process_ID],,0,)</f>
        <v>12</v>
      </c>
      <c r="L52" s="192"/>
      <c r="M52" s="192"/>
      <c r="N52" s="192"/>
      <c r="O52" s="186"/>
      <c r="P52" s="42"/>
      <c r="R52" s="42"/>
      <c r="S52" s="186"/>
      <c r="T52" s="42"/>
      <c r="U52" s="193">
        <f>Tab_Def_Flows[[#This Row],[CC_DM'[%']]]*Tab_Def_Flows[[#This Row],[DM]]</f>
        <v>0</v>
      </c>
      <c r="V52" s="12"/>
    </row>
    <row r="53" spans="1:22" x14ac:dyDescent="0.25">
      <c r="A53" s="197" t="b">
        <v>0</v>
      </c>
      <c r="B53" s="45">
        <f t="shared" si="0"/>
        <v>52</v>
      </c>
      <c r="C53" s="10" t="str">
        <f t="shared" si="2"/>
        <v>F_12_12</v>
      </c>
      <c r="D53" s="12"/>
      <c r="E53" s="38"/>
      <c r="F53" s="38"/>
      <c r="G53" s="38"/>
      <c r="H53" s="39"/>
      <c r="I53" s="10" t="str">
        <f>_xlfn.XLOOKUP(H53,Tab_Def_Processes[Name(EN)],Tab_Def_Processes[Process_ID],,0,)</f>
        <v>12</v>
      </c>
      <c r="J53" s="12"/>
      <c r="K53" s="18" t="str">
        <f>_xlfn.XLOOKUP(J53,Tab_Def_Processes[Name(EN)],Tab_Def_Processes[Process_ID],,0,)</f>
        <v>12</v>
      </c>
      <c r="L53" s="192"/>
      <c r="M53" s="192"/>
      <c r="N53" s="192"/>
      <c r="O53" s="186"/>
      <c r="P53" s="42"/>
      <c r="R53" s="42"/>
      <c r="S53" s="186"/>
      <c r="T53" s="42"/>
      <c r="U53" s="193">
        <f>Tab_Def_Flows[[#This Row],[CC_DM'[%']]]*Tab_Def_Flows[[#This Row],[DM]]</f>
        <v>0</v>
      </c>
      <c r="V53" s="12"/>
    </row>
    <row r="54" spans="1:22" x14ac:dyDescent="0.25">
      <c r="A54" s="197" t="b">
        <v>0</v>
      </c>
      <c r="B54" s="45">
        <f t="shared" si="0"/>
        <v>53</v>
      </c>
      <c r="C54" s="10" t="str">
        <f t="shared" si="2"/>
        <v>F_12_12</v>
      </c>
      <c r="D54" s="12"/>
      <c r="E54" s="38"/>
      <c r="F54" s="38"/>
      <c r="G54" s="38"/>
      <c r="H54" s="39"/>
      <c r="I54" s="10" t="str">
        <f>_xlfn.XLOOKUP(H54,Tab_Def_Processes[Name(EN)],Tab_Def_Processes[Process_ID],,0,)</f>
        <v>12</v>
      </c>
      <c r="J54" s="12"/>
      <c r="K54" s="18" t="str">
        <f>_xlfn.XLOOKUP(J54,Tab_Def_Processes[Name(EN)],Tab_Def_Processes[Process_ID],,0,)</f>
        <v>12</v>
      </c>
      <c r="L54" s="192"/>
      <c r="M54" s="192"/>
      <c r="N54" s="192"/>
      <c r="O54" s="186"/>
      <c r="P54" s="42"/>
      <c r="R54" s="42"/>
      <c r="S54" s="186"/>
      <c r="T54" s="42"/>
      <c r="U54" s="193">
        <f>Tab_Def_Flows[[#This Row],[CC_DM'[%']]]*Tab_Def_Flows[[#This Row],[DM]]</f>
        <v>0</v>
      </c>
      <c r="V54" s="12"/>
    </row>
    <row r="55" spans="1:22" x14ac:dyDescent="0.25">
      <c r="A55" s="197" t="b">
        <v>0</v>
      </c>
      <c r="B55" s="45">
        <f t="shared" si="0"/>
        <v>54</v>
      </c>
      <c r="C55" s="10" t="str">
        <f t="shared" si="2"/>
        <v>F_12_12</v>
      </c>
      <c r="D55" s="12"/>
      <c r="E55" s="38"/>
      <c r="F55" s="38"/>
      <c r="G55" s="38"/>
      <c r="H55" s="39"/>
      <c r="I55" s="10" t="str">
        <f>_xlfn.XLOOKUP(H55,Tab_Def_Processes[Name(EN)],Tab_Def_Processes[Process_ID],,0,)</f>
        <v>12</v>
      </c>
      <c r="J55" s="12"/>
      <c r="K55" s="18" t="str">
        <f>_xlfn.XLOOKUP(J55,Tab_Def_Processes[Name(EN)],Tab_Def_Processes[Process_ID],,0,)</f>
        <v>12</v>
      </c>
      <c r="L55" s="192"/>
      <c r="M55" s="192"/>
      <c r="N55" s="192"/>
      <c r="O55" s="186"/>
      <c r="P55" s="42"/>
      <c r="R55" s="42"/>
      <c r="S55" s="186"/>
      <c r="T55" s="42"/>
      <c r="U55" s="193">
        <f>Tab_Def_Flows[[#This Row],[CC_DM'[%']]]*Tab_Def_Flows[[#This Row],[DM]]</f>
        <v>0</v>
      </c>
      <c r="V55" s="12"/>
    </row>
    <row r="56" spans="1:22" x14ac:dyDescent="0.25">
      <c r="A56" s="197" t="b">
        <v>0</v>
      </c>
      <c r="B56" s="45">
        <f t="shared" si="0"/>
        <v>55</v>
      </c>
      <c r="C56" s="10" t="str">
        <f t="shared" si="2"/>
        <v>F_12_12</v>
      </c>
      <c r="D56" s="12"/>
      <c r="E56" s="38"/>
      <c r="F56" s="38"/>
      <c r="G56" s="38"/>
      <c r="H56" s="39"/>
      <c r="I56" s="10" t="str">
        <f>_xlfn.XLOOKUP(H56,Tab_Def_Processes[Name(EN)],Tab_Def_Processes[Process_ID],,0,)</f>
        <v>12</v>
      </c>
      <c r="J56" s="12"/>
      <c r="K56" s="18" t="str">
        <f>_xlfn.XLOOKUP(J56,Tab_Def_Processes[Name(EN)],Tab_Def_Processes[Process_ID],,0,)</f>
        <v>12</v>
      </c>
      <c r="L56" s="192"/>
      <c r="M56" s="192"/>
      <c r="N56" s="192"/>
      <c r="O56" s="186"/>
      <c r="P56" s="42"/>
      <c r="R56" s="42"/>
      <c r="S56" s="186"/>
      <c r="T56" s="42"/>
      <c r="U56" s="193">
        <f>Tab_Def_Flows[[#This Row],[CC_DM'[%']]]*Tab_Def_Flows[[#This Row],[DM]]</f>
        <v>0</v>
      </c>
      <c r="V56" s="12"/>
    </row>
    <row r="57" spans="1:22" x14ac:dyDescent="0.25">
      <c r="A57" s="197" t="b">
        <v>0</v>
      </c>
      <c r="B57" s="45">
        <f t="shared" si="0"/>
        <v>56</v>
      </c>
      <c r="C57" s="10" t="str">
        <f t="shared" si="2"/>
        <v>F_12_12</v>
      </c>
      <c r="D57" s="12"/>
      <c r="E57" s="38"/>
      <c r="F57" s="38"/>
      <c r="G57" s="38"/>
      <c r="H57" s="39"/>
      <c r="I57" s="10" t="str">
        <f>_xlfn.XLOOKUP(H57,Tab_Def_Processes[Name(EN)],Tab_Def_Processes[Process_ID],,0,)</f>
        <v>12</v>
      </c>
      <c r="J57" s="12"/>
      <c r="K57" s="18" t="str">
        <f>_xlfn.XLOOKUP(J57,Tab_Def_Processes[Name(EN)],Tab_Def_Processes[Process_ID],,0,)</f>
        <v>12</v>
      </c>
      <c r="L57" s="192"/>
      <c r="M57" s="192"/>
      <c r="N57" s="192"/>
      <c r="O57" s="186"/>
      <c r="P57" s="42"/>
      <c r="R57" s="42"/>
      <c r="S57" s="186"/>
      <c r="T57" s="42"/>
      <c r="U57" s="193">
        <f>Tab_Def_Flows[[#This Row],[CC_DM'[%']]]*Tab_Def_Flows[[#This Row],[DM]]</f>
        <v>0</v>
      </c>
      <c r="V57" s="12"/>
    </row>
    <row r="58" spans="1:22" ht="15" customHeight="1" x14ac:dyDescent="0.25">
      <c r="A58" s="197" t="b">
        <v>0</v>
      </c>
      <c r="B58" s="45">
        <f t="shared" si="0"/>
        <v>57</v>
      </c>
      <c r="C58" s="10" t="str">
        <f t="shared" si="2"/>
        <v>F_12_12</v>
      </c>
      <c r="D58" s="12"/>
      <c r="E58" s="40"/>
      <c r="F58" s="38"/>
      <c r="G58" s="40"/>
      <c r="H58" s="39"/>
      <c r="I58" s="10" t="str">
        <f>_xlfn.XLOOKUP(H58,Tab_Def_Processes[Name(EN)],Tab_Def_Processes[Process_ID],,0,)</f>
        <v>12</v>
      </c>
      <c r="J58" s="12"/>
      <c r="K58" s="18" t="str">
        <f>_xlfn.XLOOKUP(J58,Tab_Def_Processes[Name(EN)],Tab_Def_Processes[Process_ID],,0,)</f>
        <v>12</v>
      </c>
      <c r="L58" s="192"/>
      <c r="M58" s="192"/>
      <c r="N58" s="192"/>
      <c r="O58" s="186"/>
      <c r="P58" s="42"/>
      <c r="R58" s="42"/>
      <c r="S58" s="186"/>
      <c r="T58" s="42"/>
      <c r="U58" s="193">
        <f>Tab_Def_Flows[[#This Row],[CC_DM'[%']]]*Tab_Def_Flows[[#This Row],[DM]]</f>
        <v>0</v>
      </c>
      <c r="V58" s="12"/>
    </row>
    <row r="59" spans="1:22" ht="15" customHeight="1" x14ac:dyDescent="0.25">
      <c r="A59" s="197" t="b">
        <v>0</v>
      </c>
      <c r="B59" s="45">
        <f t="shared" si="0"/>
        <v>58</v>
      </c>
      <c r="C59" s="10" t="str">
        <f t="shared" si="2"/>
        <v>F_12_12</v>
      </c>
      <c r="D59" s="12"/>
      <c r="E59" s="40"/>
      <c r="F59" s="38"/>
      <c r="G59" s="40"/>
      <c r="H59" s="39"/>
      <c r="I59" s="10" t="str">
        <f>_xlfn.XLOOKUP(H59,Tab_Def_Processes[Name(EN)],Tab_Def_Processes[Process_ID],,0,)</f>
        <v>12</v>
      </c>
      <c r="J59" s="12"/>
      <c r="K59" s="18" t="str">
        <f>_xlfn.XLOOKUP(J59,Tab_Def_Processes[Name(EN)],Tab_Def_Processes[Process_ID],,0,)</f>
        <v>12</v>
      </c>
      <c r="L59" s="192"/>
      <c r="M59" s="192"/>
      <c r="N59" s="192"/>
      <c r="O59" s="186"/>
      <c r="P59" s="42"/>
      <c r="R59" s="42"/>
      <c r="S59" s="186"/>
      <c r="T59" s="42"/>
      <c r="U59" s="193">
        <f>Tab_Def_Flows[[#This Row],[CC_DM'[%']]]*Tab_Def_Flows[[#This Row],[DM]]</f>
        <v>0</v>
      </c>
      <c r="V59" s="12"/>
    </row>
    <row r="60" spans="1:22" ht="15" customHeight="1" x14ac:dyDescent="0.25">
      <c r="A60" s="197" t="b">
        <v>0</v>
      </c>
      <c r="B60" s="45">
        <f t="shared" si="0"/>
        <v>59</v>
      </c>
      <c r="C60" s="10" t="str">
        <f t="shared" si="2"/>
        <v>F_12_12</v>
      </c>
      <c r="D60" s="12"/>
      <c r="E60" s="40"/>
      <c r="F60" s="38"/>
      <c r="G60" s="40"/>
      <c r="H60" s="39"/>
      <c r="I60" s="10" t="str">
        <f>_xlfn.XLOOKUP(H60,Tab_Def_Processes[Name(EN)],Tab_Def_Processes[Process_ID],,0,)</f>
        <v>12</v>
      </c>
      <c r="J60" s="12"/>
      <c r="K60" s="18" t="str">
        <f>_xlfn.XLOOKUP(J60,Tab_Def_Processes[Name(EN)],Tab_Def_Processes[Process_ID],,0,)</f>
        <v>12</v>
      </c>
      <c r="L60" s="192"/>
      <c r="M60" s="192"/>
      <c r="N60" s="192"/>
      <c r="O60" s="186"/>
      <c r="P60" s="42"/>
      <c r="R60" s="42"/>
      <c r="S60" s="186"/>
      <c r="T60" s="42"/>
      <c r="U60" s="193">
        <f>Tab_Def_Flows[[#This Row],[CC_DM'[%']]]*Tab_Def_Flows[[#This Row],[DM]]</f>
        <v>0</v>
      </c>
      <c r="V60" s="12"/>
    </row>
    <row r="61" spans="1:22" ht="15" customHeight="1" x14ac:dyDescent="0.25">
      <c r="A61" s="197" t="b">
        <v>0</v>
      </c>
      <c r="B61" s="45">
        <f t="shared" si="0"/>
        <v>60</v>
      </c>
      <c r="C61" s="10" t="str">
        <f t="shared" si="2"/>
        <v>F_12_12</v>
      </c>
      <c r="D61" s="12"/>
      <c r="E61" s="40"/>
      <c r="F61" s="38"/>
      <c r="G61" s="40"/>
      <c r="H61" s="39"/>
      <c r="I61" s="10" t="str">
        <f>_xlfn.XLOOKUP(H61,Tab_Def_Processes[Name(EN)],Tab_Def_Processes[Process_ID],,0,)</f>
        <v>12</v>
      </c>
      <c r="J61" s="12"/>
      <c r="K61" s="18" t="str">
        <f>_xlfn.XLOOKUP(J61,Tab_Def_Processes[Name(EN)],Tab_Def_Processes[Process_ID],,0,)</f>
        <v>12</v>
      </c>
      <c r="L61" s="192"/>
      <c r="M61" s="192"/>
      <c r="N61" s="192"/>
      <c r="O61" s="186"/>
      <c r="P61" s="42"/>
      <c r="R61" s="42"/>
      <c r="S61" s="186"/>
      <c r="T61" s="42"/>
      <c r="U61" s="193">
        <f>Tab_Def_Flows[[#This Row],[CC_DM'[%']]]*Tab_Def_Flows[[#This Row],[DM]]</f>
        <v>0</v>
      </c>
      <c r="V61" s="12"/>
    </row>
    <row r="62" spans="1:22" ht="15" customHeight="1" x14ac:dyDescent="0.25">
      <c r="A62" s="197" t="b">
        <v>0</v>
      </c>
      <c r="B62" s="45">
        <f t="shared" si="0"/>
        <v>61</v>
      </c>
      <c r="C62" s="10" t="str">
        <f t="shared" si="2"/>
        <v>F_12_12</v>
      </c>
      <c r="D62" s="12"/>
      <c r="E62" s="38"/>
      <c r="F62" s="38"/>
      <c r="G62" s="40"/>
      <c r="H62" s="39"/>
      <c r="I62" s="10" t="str">
        <f>_xlfn.XLOOKUP(H62,Tab_Def_Processes[Name(EN)],Tab_Def_Processes[Process_ID],,0,)</f>
        <v>12</v>
      </c>
      <c r="J62" s="12"/>
      <c r="K62" s="18" t="str">
        <f>_xlfn.XLOOKUP(J62,Tab_Def_Processes[Name(EN)],Tab_Def_Processes[Process_ID],,0,)</f>
        <v>12</v>
      </c>
      <c r="L62" s="192"/>
      <c r="M62" s="192"/>
      <c r="N62" s="192"/>
      <c r="O62" s="186"/>
      <c r="P62" s="42"/>
      <c r="R62" s="42"/>
      <c r="S62" s="186"/>
      <c r="T62" s="42"/>
      <c r="U62" s="193">
        <f>Tab_Def_Flows[[#This Row],[CC_DM'[%']]]*Tab_Def_Flows[[#This Row],[DM]]</f>
        <v>0</v>
      </c>
      <c r="V62" s="12"/>
    </row>
    <row r="63" spans="1:22" ht="15" customHeight="1" x14ac:dyDescent="0.25">
      <c r="A63" s="197" t="b">
        <v>0</v>
      </c>
      <c r="B63" s="45">
        <f t="shared" si="0"/>
        <v>62</v>
      </c>
      <c r="C63" s="10" t="str">
        <f t="shared" si="2"/>
        <v>F_12_12</v>
      </c>
      <c r="D63" s="12"/>
      <c r="E63" s="38"/>
      <c r="F63" s="38"/>
      <c r="G63" s="40"/>
      <c r="H63" s="39"/>
      <c r="I63" s="10" t="str">
        <f>_xlfn.XLOOKUP(H63,Tab_Def_Processes[Name(EN)],Tab_Def_Processes[Process_ID],,0,)</f>
        <v>12</v>
      </c>
      <c r="J63" s="12"/>
      <c r="K63" s="18" t="str">
        <f>_xlfn.XLOOKUP(J63,Tab_Def_Processes[Name(EN)],Tab_Def_Processes[Process_ID],,0,)</f>
        <v>12</v>
      </c>
      <c r="L63" s="192"/>
      <c r="M63" s="192"/>
      <c r="N63" s="192"/>
      <c r="O63" s="186"/>
      <c r="P63" s="42"/>
      <c r="R63" s="42"/>
      <c r="S63" s="186"/>
      <c r="T63" s="42"/>
      <c r="U63" s="193">
        <f>Tab_Def_Flows[[#This Row],[CC_DM'[%']]]*Tab_Def_Flows[[#This Row],[DM]]</f>
        <v>0</v>
      </c>
      <c r="V63" s="12"/>
    </row>
    <row r="64" spans="1:22" ht="15" customHeight="1" x14ac:dyDescent="0.25">
      <c r="A64" s="197" t="b">
        <v>0</v>
      </c>
      <c r="B64" s="45">
        <f t="shared" si="0"/>
        <v>63</v>
      </c>
      <c r="C64" s="10" t="str">
        <f t="shared" si="2"/>
        <v>F_12_12</v>
      </c>
      <c r="D64" s="12"/>
      <c r="E64" s="38"/>
      <c r="F64" s="38"/>
      <c r="G64" s="40"/>
      <c r="H64" s="39"/>
      <c r="I64" s="10" t="str">
        <f>_xlfn.XLOOKUP(H64,Tab_Def_Processes[Name(EN)],Tab_Def_Processes[Process_ID],,0,)</f>
        <v>12</v>
      </c>
      <c r="J64" s="12"/>
      <c r="K64" s="18" t="str">
        <f>_xlfn.XLOOKUP(J64,Tab_Def_Processes[Name(EN)],Tab_Def_Processes[Process_ID],,0,)</f>
        <v>12</v>
      </c>
      <c r="L64" s="192"/>
      <c r="M64" s="192"/>
      <c r="N64" s="192"/>
      <c r="O64" s="186"/>
      <c r="P64" s="42"/>
      <c r="R64" s="42"/>
      <c r="S64" s="186"/>
      <c r="T64" s="42"/>
      <c r="U64" s="193">
        <f>Tab_Def_Flows[[#This Row],[CC_DM'[%']]]*Tab_Def_Flows[[#This Row],[DM]]</f>
        <v>0</v>
      </c>
      <c r="V64" s="12"/>
    </row>
    <row r="65" spans="1:22" ht="15" customHeight="1" x14ac:dyDescent="0.25">
      <c r="A65" s="197" t="b">
        <v>0</v>
      </c>
      <c r="B65" s="45">
        <f t="shared" si="0"/>
        <v>64</v>
      </c>
      <c r="C65" s="10" t="str">
        <f t="shared" si="2"/>
        <v>F_12_12</v>
      </c>
      <c r="D65" s="12"/>
      <c r="E65" s="38"/>
      <c r="F65" s="38"/>
      <c r="G65" s="40"/>
      <c r="H65" s="39"/>
      <c r="I65" s="10" t="str">
        <f>_xlfn.XLOOKUP(H65,Tab_Def_Processes[Name(EN)],Tab_Def_Processes[Process_ID],,0,)</f>
        <v>12</v>
      </c>
      <c r="J65" s="12"/>
      <c r="K65" s="18" t="str">
        <f>_xlfn.XLOOKUP(J65,Tab_Def_Processes[Name(EN)],Tab_Def_Processes[Process_ID],,0,)</f>
        <v>12</v>
      </c>
      <c r="L65" s="192"/>
      <c r="M65" s="192"/>
      <c r="N65" s="192"/>
      <c r="O65" s="186"/>
      <c r="P65" s="42"/>
      <c r="R65" s="42"/>
      <c r="S65" s="186"/>
      <c r="T65" s="42"/>
      <c r="U65" s="193">
        <f>Tab_Def_Flows[[#This Row],[CC_DM'[%']]]*Tab_Def_Flows[[#This Row],[DM]]</f>
        <v>0</v>
      </c>
      <c r="V65" s="12"/>
    </row>
    <row r="66" spans="1:22" x14ac:dyDescent="0.25">
      <c r="A66" s="197" t="b">
        <v>0</v>
      </c>
      <c r="B66" s="45">
        <f t="shared" ref="B66:B83" si="3">ROW()-1</f>
        <v>65</v>
      </c>
      <c r="C66" s="10" t="str">
        <f t="shared" si="2"/>
        <v>F_12_12</v>
      </c>
      <c r="D66" s="12"/>
      <c r="E66" s="38"/>
      <c r="F66" s="38"/>
      <c r="G66" s="38"/>
      <c r="H66" s="39"/>
      <c r="I66" s="10" t="str">
        <f>_xlfn.XLOOKUP(H66,Tab_Def_Processes[Name(EN)],Tab_Def_Processes[Process_ID],,0,)</f>
        <v>12</v>
      </c>
      <c r="J66" s="12"/>
      <c r="K66" s="18" t="str">
        <f>_xlfn.XLOOKUP(J66,Tab_Def_Processes[Name(EN)],Tab_Def_Processes[Process_ID],,0,)</f>
        <v>12</v>
      </c>
      <c r="L66" s="192"/>
      <c r="M66" s="192"/>
      <c r="N66" s="192"/>
      <c r="O66" s="186"/>
      <c r="P66" s="42"/>
      <c r="R66" s="42"/>
      <c r="S66" s="186"/>
      <c r="T66" s="42"/>
      <c r="U66" s="193">
        <f>Tab_Def_Flows[[#This Row],[CC_DM'[%']]]*Tab_Def_Flows[[#This Row],[DM]]</f>
        <v>0</v>
      </c>
      <c r="V66" s="12"/>
    </row>
    <row r="67" spans="1:22" x14ac:dyDescent="0.25">
      <c r="A67" s="197" t="b">
        <v>0</v>
      </c>
      <c r="B67" s="45">
        <f t="shared" si="3"/>
        <v>66</v>
      </c>
      <c r="C67" s="10" t="str">
        <f t="shared" si="2"/>
        <v>F_12_12</v>
      </c>
      <c r="D67" s="12"/>
      <c r="E67" s="38"/>
      <c r="F67" s="38"/>
      <c r="G67" s="38"/>
      <c r="H67" s="39"/>
      <c r="I67" s="10" t="str">
        <f>_xlfn.XLOOKUP(H67,Tab_Def_Processes[Name(EN)],Tab_Def_Processes[Process_ID],,0,)</f>
        <v>12</v>
      </c>
      <c r="J67" s="12"/>
      <c r="K67" s="18" t="str">
        <f>_xlfn.XLOOKUP(J67,Tab_Def_Processes[Name(EN)],Tab_Def_Processes[Process_ID],,0,)</f>
        <v>12</v>
      </c>
      <c r="L67" s="192"/>
      <c r="M67" s="192"/>
      <c r="N67" s="192"/>
      <c r="O67" s="186"/>
      <c r="P67" s="42"/>
      <c r="R67" s="42"/>
      <c r="S67" s="186"/>
      <c r="T67" s="42"/>
      <c r="U67" s="193">
        <f>Tab_Def_Flows[[#This Row],[CC_DM'[%']]]*Tab_Def_Flows[[#This Row],[DM]]</f>
        <v>0</v>
      </c>
      <c r="V67" s="12"/>
    </row>
    <row r="68" spans="1:22" x14ac:dyDescent="0.25">
      <c r="A68" s="197" t="b">
        <v>0</v>
      </c>
      <c r="B68" s="45">
        <f t="shared" si="3"/>
        <v>67</v>
      </c>
      <c r="C68" s="10" t="str">
        <f t="shared" si="2"/>
        <v>F_12_12</v>
      </c>
      <c r="D68" s="12"/>
      <c r="E68" s="38"/>
      <c r="F68" s="38"/>
      <c r="G68" s="38"/>
      <c r="H68" s="39"/>
      <c r="I68" s="10" t="str">
        <f>_xlfn.XLOOKUP(H68,Tab_Def_Processes[Name(EN)],Tab_Def_Processes[Process_ID],,0,)</f>
        <v>12</v>
      </c>
      <c r="J68" s="12"/>
      <c r="K68" s="18" t="str">
        <f>_xlfn.XLOOKUP(J68,Tab_Def_Processes[Name(EN)],Tab_Def_Processes[Process_ID],,0,)</f>
        <v>12</v>
      </c>
      <c r="L68" s="192"/>
      <c r="M68" s="192"/>
      <c r="N68" s="192"/>
      <c r="O68" s="186"/>
      <c r="P68" s="42"/>
      <c r="R68" s="42"/>
      <c r="S68" s="186"/>
      <c r="T68" s="42"/>
      <c r="U68" s="193">
        <f>Tab_Def_Flows[[#This Row],[CC_DM'[%']]]*Tab_Def_Flows[[#This Row],[DM]]</f>
        <v>0</v>
      </c>
      <c r="V68" s="12"/>
    </row>
    <row r="69" spans="1:22" x14ac:dyDescent="0.25">
      <c r="A69" s="197" t="b">
        <v>0</v>
      </c>
      <c r="B69" s="45">
        <f t="shared" si="3"/>
        <v>68</v>
      </c>
      <c r="C69" s="10" t="str">
        <f t="shared" si="2"/>
        <v>F_12_12</v>
      </c>
      <c r="D69" s="12"/>
      <c r="E69" s="38"/>
      <c r="F69" s="38"/>
      <c r="G69" s="38"/>
      <c r="H69" s="39"/>
      <c r="I69" s="10" t="str">
        <f>_xlfn.XLOOKUP(H69,Tab_Def_Processes[Name(EN)],Tab_Def_Processes[Process_ID],,0,)</f>
        <v>12</v>
      </c>
      <c r="J69" s="12"/>
      <c r="K69" s="18" t="str">
        <f>_xlfn.XLOOKUP(J69,Tab_Def_Processes[Name(EN)],Tab_Def_Processes[Process_ID],,0,)</f>
        <v>12</v>
      </c>
      <c r="L69" s="192"/>
      <c r="M69" s="192"/>
      <c r="N69" s="192"/>
      <c r="O69" s="186"/>
      <c r="P69" s="42"/>
      <c r="R69" s="42"/>
      <c r="S69" s="186"/>
      <c r="T69" s="42"/>
      <c r="U69" s="193">
        <f>Tab_Def_Flows[[#This Row],[CC_DM'[%']]]*Tab_Def_Flows[[#This Row],[DM]]</f>
        <v>0</v>
      </c>
      <c r="V69" s="12"/>
    </row>
    <row r="70" spans="1:22" x14ac:dyDescent="0.25">
      <c r="A70" s="197" t="b">
        <v>0</v>
      </c>
      <c r="B70" s="45">
        <f t="shared" si="3"/>
        <v>69</v>
      </c>
      <c r="C70" s="10" t="str">
        <f t="shared" si="2"/>
        <v>F_12_12</v>
      </c>
      <c r="D70" s="12"/>
      <c r="E70" s="38"/>
      <c r="F70" s="38"/>
      <c r="G70" s="38"/>
      <c r="H70" s="39"/>
      <c r="I70" s="10" t="str">
        <f>_xlfn.XLOOKUP(H70,Tab_Def_Processes[Name(EN)],Tab_Def_Processes[Process_ID],,0,)</f>
        <v>12</v>
      </c>
      <c r="J70" s="12"/>
      <c r="K70" s="18" t="str">
        <f>_xlfn.XLOOKUP(J70,Tab_Def_Processes[Name(EN)],Tab_Def_Processes[Process_ID],,0,)</f>
        <v>12</v>
      </c>
      <c r="L70" s="192"/>
      <c r="M70" s="192"/>
      <c r="N70" s="192"/>
      <c r="O70" s="186"/>
      <c r="P70" s="42"/>
      <c r="R70" s="42"/>
      <c r="S70" s="186"/>
      <c r="T70" s="42"/>
      <c r="U70" s="193">
        <f>Tab_Def_Flows[[#This Row],[CC_DM'[%']]]*Tab_Def_Flows[[#This Row],[DM]]</f>
        <v>0</v>
      </c>
      <c r="V70" s="12"/>
    </row>
    <row r="71" spans="1:22" x14ac:dyDescent="0.25">
      <c r="A71" s="197" t="b">
        <v>0</v>
      </c>
      <c r="B71" s="45">
        <f t="shared" si="3"/>
        <v>70</v>
      </c>
      <c r="C71" s="10" t="str">
        <f t="shared" si="2"/>
        <v>F_12_12</v>
      </c>
      <c r="D71" s="12"/>
      <c r="E71" s="38"/>
      <c r="F71" s="38"/>
      <c r="G71" s="38"/>
      <c r="H71" s="39"/>
      <c r="I71" s="10" t="str">
        <f>_xlfn.XLOOKUP(H71,Tab_Def_Processes[Name(EN)],Tab_Def_Processes[Process_ID],,0,)</f>
        <v>12</v>
      </c>
      <c r="J71" s="12"/>
      <c r="K71" s="18" t="str">
        <f>_xlfn.XLOOKUP(J71,Tab_Def_Processes[Name(EN)],Tab_Def_Processes[Process_ID],,0,)</f>
        <v>12</v>
      </c>
      <c r="L71" s="192"/>
      <c r="M71" s="192"/>
      <c r="N71" s="192"/>
      <c r="O71" s="186"/>
      <c r="P71" s="42"/>
      <c r="R71" s="42"/>
      <c r="S71" s="186"/>
      <c r="T71" s="42"/>
      <c r="U71" s="193">
        <f>Tab_Def_Flows[[#This Row],[CC_DM'[%']]]*Tab_Def_Flows[[#This Row],[DM]]</f>
        <v>0</v>
      </c>
      <c r="V71" s="12"/>
    </row>
    <row r="72" spans="1:22" x14ac:dyDescent="0.25">
      <c r="A72" s="197" t="b">
        <v>0</v>
      </c>
      <c r="B72" s="45">
        <f t="shared" si="3"/>
        <v>71</v>
      </c>
      <c r="C72" s="10" t="str">
        <f t="shared" si="2"/>
        <v>F_12_12</v>
      </c>
      <c r="D72" s="12"/>
      <c r="E72" s="38"/>
      <c r="F72" s="38"/>
      <c r="G72" s="38"/>
      <c r="H72" s="39"/>
      <c r="I72" s="10" t="str">
        <f>_xlfn.XLOOKUP(H72,Tab_Def_Processes[Name(EN)],Tab_Def_Processes[Process_ID],,0,)</f>
        <v>12</v>
      </c>
      <c r="J72" s="12"/>
      <c r="K72" s="18" t="str">
        <f>_xlfn.XLOOKUP(J72,Tab_Def_Processes[Name(EN)],Tab_Def_Processes[Process_ID],,0,)</f>
        <v>12</v>
      </c>
      <c r="L72" s="192"/>
      <c r="M72" s="192"/>
      <c r="N72" s="192"/>
      <c r="O72" s="186"/>
      <c r="P72" s="42"/>
      <c r="R72" s="42"/>
      <c r="S72" s="186"/>
      <c r="T72" s="42"/>
      <c r="U72" s="193">
        <f>Tab_Def_Flows[[#This Row],[CC_DM'[%']]]*Tab_Def_Flows[[#This Row],[DM]]</f>
        <v>0</v>
      </c>
      <c r="V72" s="12"/>
    </row>
    <row r="73" spans="1:22" x14ac:dyDescent="0.25">
      <c r="A73" s="197" t="b">
        <v>0</v>
      </c>
      <c r="B73" s="45">
        <f t="shared" si="3"/>
        <v>72</v>
      </c>
      <c r="C73" s="10" t="str">
        <f t="shared" ref="C73:C82" si="4">"F_"&amp;LEFT(I73,2)&amp;"_"&amp;LEFT(K73,2)</f>
        <v>F_12_12</v>
      </c>
      <c r="D73" s="12"/>
      <c r="E73" s="38"/>
      <c r="F73" s="38"/>
      <c r="G73" s="38"/>
      <c r="H73" s="39"/>
      <c r="I73" s="10" t="str">
        <f>_xlfn.XLOOKUP(H73,Tab_Def_Processes[Name(EN)],Tab_Def_Processes[Process_ID],,0,)</f>
        <v>12</v>
      </c>
      <c r="J73" s="12"/>
      <c r="K73" s="18" t="str">
        <f>_xlfn.XLOOKUP(J73,Tab_Def_Processes[Name(EN)],Tab_Def_Processes[Process_ID],,0,)</f>
        <v>12</v>
      </c>
      <c r="L73" s="192"/>
      <c r="M73" s="192"/>
      <c r="N73" s="192"/>
      <c r="O73" s="186"/>
      <c r="P73" s="42"/>
      <c r="R73" s="42"/>
      <c r="S73" s="186"/>
      <c r="T73" s="42"/>
      <c r="U73" s="193">
        <f>Tab_Def_Flows[[#This Row],[CC_DM'[%']]]*Tab_Def_Flows[[#This Row],[DM]]</f>
        <v>0</v>
      </c>
      <c r="V73" s="12"/>
    </row>
    <row r="74" spans="1:22" x14ac:dyDescent="0.25">
      <c r="A74" s="197" t="b">
        <v>0</v>
      </c>
      <c r="B74" s="45">
        <f t="shared" si="3"/>
        <v>73</v>
      </c>
      <c r="C74" s="10" t="str">
        <f t="shared" si="4"/>
        <v>F_12_12</v>
      </c>
      <c r="D74" s="12"/>
      <c r="E74" s="38"/>
      <c r="F74" s="38"/>
      <c r="G74" s="38"/>
      <c r="H74" s="39"/>
      <c r="I74" s="10" t="str">
        <f>_xlfn.XLOOKUP(H74,Tab_Def_Processes[Name(EN)],Tab_Def_Processes[Process_ID],,0,)</f>
        <v>12</v>
      </c>
      <c r="J74" s="12"/>
      <c r="K74" s="18" t="str">
        <f>_xlfn.XLOOKUP(J74,Tab_Def_Processes[Name(EN)],Tab_Def_Processes[Process_ID],,0,)</f>
        <v>12</v>
      </c>
      <c r="L74" s="192"/>
      <c r="M74" s="192"/>
      <c r="N74" s="192"/>
      <c r="O74" s="186"/>
      <c r="P74" s="42"/>
      <c r="R74" s="42"/>
      <c r="S74" s="186"/>
      <c r="T74" s="42"/>
      <c r="U74" s="193">
        <f>Tab_Def_Flows[[#This Row],[CC_DM'[%']]]*Tab_Def_Flows[[#This Row],[DM]]</f>
        <v>0</v>
      </c>
      <c r="V74" s="12"/>
    </row>
    <row r="75" spans="1:22" x14ac:dyDescent="0.25">
      <c r="A75" s="197" t="b">
        <v>0</v>
      </c>
      <c r="B75" s="45">
        <f t="shared" si="3"/>
        <v>74</v>
      </c>
      <c r="C75" s="10" t="str">
        <f t="shared" si="4"/>
        <v>F_12_12</v>
      </c>
      <c r="D75" s="12"/>
      <c r="E75" s="38"/>
      <c r="F75" s="38"/>
      <c r="G75" s="38"/>
      <c r="H75" s="39"/>
      <c r="I75" s="10" t="str">
        <f>_xlfn.XLOOKUP(H75,Tab_Def_Processes[Name(EN)],Tab_Def_Processes[Process_ID],,0,)</f>
        <v>12</v>
      </c>
      <c r="J75" s="12"/>
      <c r="K75" s="18" t="str">
        <f>_xlfn.XLOOKUP(J75,Tab_Def_Processes[Name(EN)],Tab_Def_Processes[Process_ID],,0,)</f>
        <v>12</v>
      </c>
      <c r="L75" s="192"/>
      <c r="M75" s="192"/>
      <c r="N75" s="192"/>
      <c r="O75" s="186"/>
      <c r="P75" s="42"/>
      <c r="R75" s="42"/>
      <c r="S75" s="186"/>
      <c r="T75" s="42"/>
      <c r="U75" s="193">
        <f>Tab_Def_Flows[[#This Row],[CC_DM'[%']]]*Tab_Def_Flows[[#This Row],[DM]]</f>
        <v>0</v>
      </c>
      <c r="V75" s="12"/>
    </row>
    <row r="76" spans="1:22" x14ac:dyDescent="0.25">
      <c r="A76" s="197" t="b">
        <v>0</v>
      </c>
      <c r="B76" s="45">
        <f t="shared" si="3"/>
        <v>75</v>
      </c>
      <c r="C76" s="10" t="str">
        <f t="shared" si="4"/>
        <v>F_12_12</v>
      </c>
      <c r="D76" s="12"/>
      <c r="E76" s="38"/>
      <c r="F76" s="38"/>
      <c r="G76" s="38"/>
      <c r="H76" s="39"/>
      <c r="I76" s="10" t="str">
        <f>_xlfn.XLOOKUP(H76,Tab_Def_Processes[Name(EN)],Tab_Def_Processes[Process_ID],,0,)</f>
        <v>12</v>
      </c>
      <c r="J76" s="12"/>
      <c r="K76" s="18" t="str">
        <f>_xlfn.XLOOKUP(J76,Tab_Def_Processes[Name(EN)],Tab_Def_Processes[Process_ID],,0,)</f>
        <v>12</v>
      </c>
      <c r="L76" s="192"/>
      <c r="M76" s="192"/>
      <c r="N76" s="192"/>
      <c r="O76" s="186"/>
      <c r="P76" s="42"/>
      <c r="R76" s="42"/>
      <c r="S76" s="186"/>
      <c r="T76" s="42"/>
      <c r="U76" s="193">
        <f>Tab_Def_Flows[[#This Row],[CC_DM'[%']]]*Tab_Def_Flows[[#This Row],[DM]]</f>
        <v>0</v>
      </c>
      <c r="V76" s="12"/>
    </row>
    <row r="77" spans="1:22" x14ac:dyDescent="0.25">
      <c r="A77" s="197" t="b">
        <v>0</v>
      </c>
      <c r="B77" s="45">
        <f t="shared" si="3"/>
        <v>76</v>
      </c>
      <c r="C77" s="10" t="str">
        <f t="shared" si="4"/>
        <v>F_12_12</v>
      </c>
      <c r="D77" s="12"/>
      <c r="E77" s="38"/>
      <c r="F77" s="38"/>
      <c r="G77" s="38"/>
      <c r="H77" s="39"/>
      <c r="I77" s="10" t="str">
        <f>_xlfn.XLOOKUP(H77,Tab_Def_Processes[Name(EN)],Tab_Def_Processes[Process_ID],,0,)</f>
        <v>12</v>
      </c>
      <c r="J77" s="12"/>
      <c r="K77" s="18" t="str">
        <f>_xlfn.XLOOKUP(J77,Tab_Def_Processes[Name(EN)],Tab_Def_Processes[Process_ID],,0,)</f>
        <v>12</v>
      </c>
      <c r="L77" s="192"/>
      <c r="M77" s="192"/>
      <c r="N77" s="192"/>
      <c r="O77" s="186"/>
      <c r="P77" s="42"/>
      <c r="R77" s="42"/>
      <c r="S77" s="186"/>
      <c r="T77" s="42"/>
      <c r="U77" s="193">
        <f>Tab_Def_Flows[[#This Row],[CC_DM'[%']]]*Tab_Def_Flows[[#This Row],[DM]]</f>
        <v>0</v>
      </c>
      <c r="V77" s="12"/>
    </row>
    <row r="78" spans="1:22" x14ac:dyDescent="0.25">
      <c r="A78" s="197" t="b">
        <v>0</v>
      </c>
      <c r="B78" s="45">
        <f t="shared" si="3"/>
        <v>77</v>
      </c>
      <c r="C78" s="10" t="str">
        <f t="shared" si="4"/>
        <v>F_12_12</v>
      </c>
      <c r="D78" s="12"/>
      <c r="E78" s="38"/>
      <c r="F78" s="38"/>
      <c r="G78" s="38"/>
      <c r="H78" s="39"/>
      <c r="I78" s="10" t="str">
        <f>_xlfn.XLOOKUP(H78,Tab_Def_Processes[Name(EN)],Tab_Def_Processes[Process_ID],,0,)</f>
        <v>12</v>
      </c>
      <c r="J78" s="12"/>
      <c r="K78" s="18" t="str">
        <f>_xlfn.XLOOKUP(J78,Tab_Def_Processes[Name(EN)],Tab_Def_Processes[Process_ID],,0,)</f>
        <v>12</v>
      </c>
      <c r="L78" s="192"/>
      <c r="M78" s="192"/>
      <c r="N78" s="192"/>
      <c r="O78" s="186"/>
      <c r="P78" s="42"/>
      <c r="R78" s="42"/>
      <c r="S78" s="186"/>
      <c r="T78" s="42"/>
      <c r="U78" s="193">
        <f>Tab_Def_Flows[[#This Row],[CC_DM'[%']]]*Tab_Def_Flows[[#This Row],[DM]]</f>
        <v>0</v>
      </c>
      <c r="V78" s="12"/>
    </row>
    <row r="79" spans="1:22" x14ac:dyDescent="0.25">
      <c r="A79" s="197" t="b">
        <v>0</v>
      </c>
      <c r="B79" s="45">
        <f t="shared" si="3"/>
        <v>78</v>
      </c>
      <c r="C79" s="10" t="str">
        <f t="shared" si="4"/>
        <v>F_12_12</v>
      </c>
      <c r="D79" s="12"/>
      <c r="E79" s="38"/>
      <c r="F79" s="38"/>
      <c r="G79" s="38"/>
      <c r="H79" s="39"/>
      <c r="I79" s="10" t="str">
        <f>_xlfn.XLOOKUP(H79,Tab_Def_Processes[Name(EN)],Tab_Def_Processes[Process_ID],,0,)</f>
        <v>12</v>
      </c>
      <c r="J79" s="12"/>
      <c r="K79" s="18" t="str">
        <f>_xlfn.XLOOKUP(J79,Tab_Def_Processes[Name(EN)],Tab_Def_Processes[Process_ID],,0,)</f>
        <v>12</v>
      </c>
      <c r="L79" s="192"/>
      <c r="M79" s="192"/>
      <c r="N79" s="192"/>
      <c r="O79" s="186"/>
      <c r="P79" s="42"/>
      <c r="R79" s="42"/>
      <c r="S79" s="186"/>
      <c r="T79" s="42"/>
      <c r="U79" s="193">
        <f>Tab_Def_Flows[[#This Row],[CC_DM'[%']]]*Tab_Def_Flows[[#This Row],[DM]]</f>
        <v>0</v>
      </c>
      <c r="V79" s="12"/>
    </row>
    <row r="80" spans="1:22" x14ac:dyDescent="0.25">
      <c r="A80" s="197" t="b">
        <v>0</v>
      </c>
      <c r="B80" s="45">
        <f t="shared" si="3"/>
        <v>79</v>
      </c>
      <c r="C80" s="10" t="str">
        <f t="shared" si="4"/>
        <v>F_12_12</v>
      </c>
      <c r="D80" s="12"/>
      <c r="E80" s="38"/>
      <c r="F80" s="38"/>
      <c r="G80" s="38"/>
      <c r="H80" s="39"/>
      <c r="I80" s="10" t="str">
        <f>_xlfn.XLOOKUP(H80,Tab_Def_Processes[Name(EN)],Tab_Def_Processes[Process_ID],,0,)</f>
        <v>12</v>
      </c>
      <c r="J80" s="12"/>
      <c r="K80" s="18" t="str">
        <f>_xlfn.XLOOKUP(J80,Tab_Def_Processes[Name(EN)],Tab_Def_Processes[Process_ID],,0,)</f>
        <v>12</v>
      </c>
      <c r="L80" s="192"/>
      <c r="M80" s="192"/>
      <c r="N80" s="192"/>
      <c r="O80" s="186"/>
      <c r="P80" s="42"/>
      <c r="R80" s="42"/>
      <c r="S80" s="186"/>
      <c r="T80" s="42"/>
      <c r="U80" s="193">
        <f>Tab_Def_Flows[[#This Row],[CC_DM'[%']]]*Tab_Def_Flows[[#This Row],[DM]]</f>
        <v>0</v>
      </c>
      <c r="V80" s="12"/>
    </row>
    <row r="81" spans="1:22" x14ac:dyDescent="0.25">
      <c r="A81" s="197" t="b">
        <v>0</v>
      </c>
      <c r="B81" s="45">
        <f t="shared" si="3"/>
        <v>80</v>
      </c>
      <c r="C81" s="10" t="str">
        <f t="shared" si="4"/>
        <v>F_12_12</v>
      </c>
      <c r="D81" s="12"/>
      <c r="E81" s="38"/>
      <c r="F81" s="38"/>
      <c r="G81" s="38"/>
      <c r="H81" s="39"/>
      <c r="I81" s="10" t="str">
        <f>_xlfn.XLOOKUP(H81,Tab_Def_Processes[Name(EN)],Tab_Def_Processes[Process_ID],,0,)</f>
        <v>12</v>
      </c>
      <c r="J81" s="12"/>
      <c r="K81" s="18" t="str">
        <f>_xlfn.XLOOKUP(J81,Tab_Def_Processes[Name(EN)],Tab_Def_Processes[Process_ID],,0,)</f>
        <v>12</v>
      </c>
      <c r="L81" s="192"/>
      <c r="M81" s="192"/>
      <c r="N81" s="192"/>
      <c r="O81" s="186"/>
      <c r="P81" s="42"/>
      <c r="R81" s="42"/>
      <c r="S81" s="186"/>
      <c r="T81" s="42"/>
      <c r="U81" s="193">
        <f>Tab_Def_Flows[[#This Row],[CC_DM'[%']]]*Tab_Def_Flows[[#This Row],[DM]]</f>
        <v>0</v>
      </c>
      <c r="V81" s="12"/>
    </row>
    <row r="82" spans="1:22" x14ac:dyDescent="0.25">
      <c r="A82" s="197" t="b">
        <v>0</v>
      </c>
      <c r="B82" s="45">
        <f t="shared" si="3"/>
        <v>81</v>
      </c>
      <c r="C82" s="10" t="str">
        <f t="shared" si="4"/>
        <v>F_12_12</v>
      </c>
      <c r="D82" s="12"/>
      <c r="E82" s="38"/>
      <c r="F82" s="38"/>
      <c r="G82" s="38"/>
      <c r="H82" s="39"/>
      <c r="I82" s="10" t="str">
        <f>_xlfn.XLOOKUP(H82,Tab_Def_Processes[Name(EN)],Tab_Def_Processes[Process_ID],,0,)</f>
        <v>12</v>
      </c>
      <c r="J82" s="12"/>
      <c r="K82" s="18" t="str">
        <f>_xlfn.XLOOKUP(J82,Tab_Def_Processes[Name(EN)],Tab_Def_Processes[Process_ID],,0,)</f>
        <v>12</v>
      </c>
      <c r="L82" s="192"/>
      <c r="M82" s="192"/>
      <c r="N82" s="192"/>
      <c r="O82" s="186"/>
      <c r="P82" s="42"/>
      <c r="R82" s="42"/>
      <c r="S82" s="186"/>
      <c r="T82" s="42"/>
      <c r="U82" s="193">
        <f>Tab_Def_Flows[[#This Row],[CC_DM'[%']]]*Tab_Def_Flows[[#This Row],[DM]]</f>
        <v>0</v>
      </c>
      <c r="V82" s="12"/>
    </row>
    <row r="83" spans="1:22" x14ac:dyDescent="0.25">
      <c r="A83" s="197" t="b">
        <v>0</v>
      </c>
      <c r="B83" s="45">
        <f t="shared" si="3"/>
        <v>82</v>
      </c>
      <c r="C83" s="10" t="s">
        <v>35</v>
      </c>
      <c r="D83" s="12" t="s">
        <v>35</v>
      </c>
      <c r="E83" s="38"/>
      <c r="F83" s="38"/>
      <c r="G83" s="38"/>
      <c r="H83" s="39"/>
      <c r="I83" s="10"/>
      <c r="J83" s="12"/>
      <c r="K83" s="18"/>
      <c r="L83" s="192"/>
      <c r="M83" s="192"/>
      <c r="N83" s="192"/>
      <c r="O83" s="186"/>
      <c r="P83" s="42"/>
      <c r="R83" s="42"/>
      <c r="S83" s="186"/>
      <c r="T83" s="42"/>
      <c r="U83" s="193">
        <f>Tab_Def_Flows[[#This Row],[CC_DM'[%']]]*Tab_Def_Flows[[#This Row],[DM]]</f>
        <v>0</v>
      </c>
      <c r="V83" s="12"/>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4802C009-D5CD-4ED0-AC7A-55F162A86DD7}">
          <x14:formula1>
            <xm:f>'2_1_Definition_Processes'!$D$2:$D$58</xm:f>
          </x14:formula1>
          <xm:sqref>J2:J83 H2:H83</xm:sqref>
        </x14:dataValidation>
        <x14:dataValidation type="list" allowBlank="1" showInputMessage="1" showErrorMessage="1" xr:uid="{DEB85BD0-124F-4151-B691-0ABA301771C2}">
          <x14:formula1>
            <xm:f>'4_1 Codelists'!$B$38:$B$39</xm:f>
          </x14:formula1>
          <xm:sqref>T39:T83 L2:N83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Normal="100" workbookViewId="0">
      <selection activeCell="O7" sqref="O7"/>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7" customWidth="1"/>
    <col min="33" max="33" width="16.5703125" customWidth="1"/>
    <col min="34" max="35" width="19.7109375" customWidth="1"/>
    <col min="36" max="36" width="15.28515625" customWidth="1"/>
    <col min="37" max="37" width="19" style="10" customWidth="1"/>
  </cols>
  <sheetData>
    <row r="1" spans="1:37" x14ac:dyDescent="0.25">
      <c r="A1" s="196" t="s">
        <v>32</v>
      </c>
      <c r="B1" s="196" t="s">
        <v>41</v>
      </c>
      <c r="C1" s="196" t="s">
        <v>90</v>
      </c>
      <c r="D1" s="196" t="s">
        <v>42</v>
      </c>
      <c r="E1" s="196" t="s">
        <v>44</v>
      </c>
      <c r="F1" s="196" t="s">
        <v>45</v>
      </c>
      <c r="G1" s="196" t="s">
        <v>46</v>
      </c>
      <c r="H1" s="196" t="s">
        <v>47</v>
      </c>
      <c r="I1" s="196" t="s">
        <v>65</v>
      </c>
      <c r="J1" s="196" t="s">
        <v>106</v>
      </c>
      <c r="K1" s="196" t="s">
        <v>108</v>
      </c>
      <c r="L1" s="196" t="s">
        <v>107</v>
      </c>
      <c r="M1" s="196" t="s">
        <v>59</v>
      </c>
      <c r="N1" s="196" t="s">
        <v>58</v>
      </c>
      <c r="O1" s="196" t="s">
        <v>56</v>
      </c>
      <c r="P1" s="196" t="s">
        <v>57</v>
      </c>
      <c r="Q1" s="196" t="s">
        <v>48</v>
      </c>
      <c r="R1" s="196" t="s">
        <v>38</v>
      </c>
      <c r="S1" s="196" t="s">
        <v>49</v>
      </c>
      <c r="T1" s="196" t="s">
        <v>50</v>
      </c>
      <c r="U1" s="196" t="s">
        <v>51</v>
      </c>
      <c r="V1" s="196" t="s">
        <v>52</v>
      </c>
      <c r="W1" s="196" t="s">
        <v>5</v>
      </c>
      <c r="X1" s="196" t="s">
        <v>53</v>
      </c>
      <c r="Y1" s="196" t="s">
        <v>54</v>
      </c>
      <c r="Z1" s="196" t="s">
        <v>55</v>
      </c>
      <c r="AA1" s="196" t="s">
        <v>60</v>
      </c>
      <c r="AB1" s="196" t="s">
        <v>61</v>
      </c>
      <c r="AC1" s="196" t="s">
        <v>109</v>
      </c>
      <c r="AD1" s="196" t="s">
        <v>115</v>
      </c>
      <c r="AE1" s="196" t="s">
        <v>119</v>
      </c>
      <c r="AF1" s="196" t="s">
        <v>111</v>
      </c>
      <c r="AG1" s="196" t="s">
        <v>116</v>
      </c>
      <c r="AH1" s="196" t="s">
        <v>118</v>
      </c>
      <c r="AI1" s="196" t="s">
        <v>113</v>
      </c>
      <c r="AJ1" s="196" t="s">
        <v>120</v>
      </c>
      <c r="AK1" s="196" t="s">
        <v>117</v>
      </c>
    </row>
    <row r="2" spans="1:37" x14ac:dyDescent="0.25">
      <c r="A2" s="17">
        <f>ROW()-1</f>
        <v>1</v>
      </c>
      <c r="B2" s="10" t="str">
        <f>_xlfn.XLOOKUP(C2,Tab_Def_Flows[Name(EN)],Tab_Def_Flows[Flow_ID],,0,)</f>
        <v>F_00_02</v>
      </c>
      <c r="C2" s="12" t="s">
        <v>285</v>
      </c>
      <c r="D2" s="10">
        <f>_xlfn.XLOOKUP(C2,Tab_Def_Flows[Name(EN)],Tab_Def_Flows[Type_Biomass],,0,)</f>
        <v>0</v>
      </c>
      <c r="E2" s="10" t="str">
        <f>_xlfn.XLOOKUP(C2,Tab_Def_Flows[Name(EN)],Tab_Def_Flows[Output_Process],,0,)</f>
        <v>Atmosphere</v>
      </c>
      <c r="F2" s="10" t="str">
        <f>_xlfn.XLOOKUP(C2,Tab_Def_Flows[Name(EN)],Tab_Def_Flows[Process_ID_O],,0,)</f>
        <v>00</v>
      </c>
      <c r="G2" s="10" t="str">
        <f>_xlfn.XLOOKUP(C2,Tab_Def_Flows[Name(EN)],Tab_Def_Flows[Input_Process],,0,)</f>
        <v>Cultivation</v>
      </c>
      <c r="H2" s="18" t="str">
        <f>_xlfn.XLOOKUP(C2,Tab_Def_Flows[Name(EN)],Tab_Def_Flows[Process_ID_I],,0,)</f>
        <v>02</v>
      </c>
      <c r="I2" s="18" t="e">
        <f>_xlfn.XLOOKUP(C2,Tab_Def_Flows[Name(EN)],#REF!,,0,)</f>
        <v>#REF!</v>
      </c>
      <c r="J2" s="18" t="str">
        <f>_xlfn.XLOOKUP(C2,Tab_Def_Flows[Name(EN)],Tab_Def_Flows[WC?],,0,)</f>
        <v>Yes</v>
      </c>
      <c r="K2" s="18" t="str">
        <f>_xlfn.XLOOKUP(C2,Tab_Def_Flows[Name(EN)],Tab_Def_Flows[DM?],,0,)</f>
        <v>Yes</v>
      </c>
      <c r="L2" s="18" t="str">
        <f>_xlfn.XLOOKUP(C2,Tab_Def_Flows[Name(EN)],Tab_Def_Flows[CC?],,0,)</f>
        <v>Yes</v>
      </c>
      <c r="M2" s="12">
        <v>2025</v>
      </c>
      <c r="N2" s="12" t="s">
        <v>105</v>
      </c>
      <c r="O2" s="50">
        <v>100</v>
      </c>
      <c r="P2" s="12"/>
      <c r="Q2" s="12" t="s">
        <v>114</v>
      </c>
      <c r="R2" s="12"/>
      <c r="S2" s="12"/>
      <c r="T2" s="12"/>
      <c r="U2" s="12"/>
      <c r="V2" s="12"/>
      <c r="W2" s="12"/>
      <c r="X2" s="12" t="s">
        <v>8</v>
      </c>
      <c r="Y2" s="43"/>
      <c r="Z2" s="12"/>
      <c r="AA2" s="36">
        <f>IF(X2="no",O2,O2*Y2)</f>
        <v>100</v>
      </c>
      <c r="AB2" s="12" t="s">
        <v>283</v>
      </c>
      <c r="AC2" s="193">
        <f>INDEX(Tab_Def_Flows[[Flow_ID]:[CC_DM_source]],MATCH(Tab_Data_Flows[[#This Row],[Name(EN)]],Tab_Def_Flows[Name(EN)],0),13)</f>
        <v>0</v>
      </c>
      <c r="AD2" s="10">
        <f>IF(J2="Yes",AA2*Tab_Data_Flows[[#This Row],[WC_'[%']]],"N.A.")</f>
        <v>0</v>
      </c>
      <c r="AE2" s="10" t="str">
        <f>Tab_Data_Flows[[#This Row],[UoM_Flow_Py]]</f>
        <v>Mg</v>
      </c>
      <c r="AF2" s="193">
        <f>INDEX(Tab_Def_Flows[[Flow_ID]:[CC_DM_source]],MATCH(Tab_Data_Flows[[#This Row],[Name(EN)]],Tab_Def_Flows[Name(EN)],0),15)</f>
        <v>1</v>
      </c>
      <c r="AG2" s="10">
        <f>IF(K2="Yes",AF2*Tab_Data_Flows[[#This Row],[Flow_Py]],"N.A.")</f>
        <v>100</v>
      </c>
      <c r="AH2" s="10" t="str">
        <f>Tab_Data_Flows[[#This Row],[UoM_Flow_Py]]</f>
        <v>Mg</v>
      </c>
      <c r="AI2" s="193">
        <f>INDEX(Tab_Def_Flows[[Flow_ID]:[CC_DM_source]],MATCH(Tab_Data_Flows[[#This Row],[Name(EN)]],Tab_Def_Flows[Name(EN)],0),17)</f>
        <v>1</v>
      </c>
      <c r="AJ2" s="10">
        <f>IF(L2="Yes",AI2*Tab_Data_Flows[[#This Row],[Flow_Py]]*Tab_Data_Flows[[#This Row],[DM_'[%']]],"N.A.")</f>
        <v>100</v>
      </c>
      <c r="AK2" s="10" t="str">
        <f>Tab_Data_Flows[[#This Row],[UoM_Flow_Py]]</f>
        <v>Mg</v>
      </c>
    </row>
    <row r="3" spans="1:37" x14ac:dyDescent="0.25">
      <c r="A3" s="17">
        <f t="shared" ref="A3:A66" si="0">ROW()-1</f>
        <v>2</v>
      </c>
      <c r="B3" s="10" t="str">
        <f>_xlfn.XLOOKUP(C3,Tab_Def_Flows[Name(EN)],Tab_Def_Flows[Flow_ID],,0,)</f>
        <v>F_00_02</v>
      </c>
      <c r="C3" s="12" t="s">
        <v>285</v>
      </c>
      <c r="D3" s="10">
        <f>_xlfn.XLOOKUP(C3,Tab_Def_Flows[Name(EN)],Tab_Def_Flows[Type_Biomass],,0,)</f>
        <v>0</v>
      </c>
      <c r="E3" s="10" t="str">
        <f>_xlfn.XLOOKUP(C3,Tab_Def_Flows[Name(EN)],Tab_Def_Flows[Output_Process],,0,)</f>
        <v>Atmosphere</v>
      </c>
      <c r="F3" s="10" t="str">
        <f>_xlfn.XLOOKUP(C3,Tab_Def_Flows[Name(EN)],Tab_Def_Flows[Process_ID_O],,0,)</f>
        <v>00</v>
      </c>
      <c r="G3" s="10" t="str">
        <f>_xlfn.XLOOKUP(C3,Tab_Def_Flows[Name(EN)],Tab_Def_Flows[Input_Process],,0,)</f>
        <v>Cultivation</v>
      </c>
      <c r="H3" s="18" t="str">
        <f>_xlfn.XLOOKUP(C3,Tab_Def_Flows[Name(EN)],Tab_Def_Flows[Process_ID_I],,0,)</f>
        <v>02</v>
      </c>
      <c r="I3" s="18" t="e">
        <f>_xlfn.XLOOKUP(C3,Tab_Def_Flows[Name(EN)],#REF!,,0,)</f>
        <v>#REF!</v>
      </c>
      <c r="J3" s="18" t="str">
        <f>_xlfn.XLOOKUP(C3,Tab_Def_Flows[Name(EN)],Tab_Def_Flows[WC?],,0,)</f>
        <v>Yes</v>
      </c>
      <c r="K3" s="18" t="str">
        <f>_xlfn.XLOOKUP(C3,Tab_Def_Flows[Name(EN)],Tab_Def_Flows[DM?],,0,)</f>
        <v>Yes</v>
      </c>
      <c r="L3" s="18" t="str">
        <f>_xlfn.XLOOKUP(C3,Tab_Def_Flows[Name(EN)],Tab_Def_Flows[CC?],,0,)</f>
        <v>Yes</v>
      </c>
      <c r="M3" s="12">
        <v>2026</v>
      </c>
      <c r="N3" s="12" t="s">
        <v>105</v>
      </c>
      <c r="O3" s="50">
        <v>110</v>
      </c>
      <c r="P3" s="12"/>
      <c r="Q3" s="12" t="s">
        <v>114</v>
      </c>
      <c r="R3" s="12"/>
      <c r="S3" s="12"/>
      <c r="T3" s="12"/>
      <c r="U3" s="12"/>
      <c r="V3" s="12"/>
      <c r="W3" s="12"/>
      <c r="X3" s="12" t="s">
        <v>8</v>
      </c>
      <c r="Y3" s="43"/>
      <c r="Z3" s="12"/>
      <c r="AA3" s="36">
        <f t="shared" ref="AA3:AA66" si="1">IF(X3="no",O3,O3*Y3)</f>
        <v>110</v>
      </c>
      <c r="AB3" s="12" t="s">
        <v>283</v>
      </c>
      <c r="AC3" s="193">
        <f>INDEX(Tab_Def_Flows[[Flow_ID]:[CC_DM_source]],MATCH(Tab_Data_Flows[[#This Row],[Name(EN)]],Tab_Def_Flows[Name(EN)],0),13)</f>
        <v>0</v>
      </c>
      <c r="AD3" s="10">
        <f>IF(J3="Yes",AA3*Tab_Data_Flows[[#This Row],[WC_'[%']]],"N.A.")</f>
        <v>0</v>
      </c>
      <c r="AE3" s="10" t="str">
        <f>Tab_Data_Flows[[#This Row],[UoM_Flow_Py]]</f>
        <v>Mg</v>
      </c>
      <c r="AF3" s="193">
        <f>INDEX(Tab_Def_Flows[[Flow_ID]:[CC_DM_source]],MATCH(Tab_Data_Flows[[#This Row],[Name(EN)]],Tab_Def_Flows[Name(EN)],0),15)</f>
        <v>1</v>
      </c>
      <c r="AG3" s="10">
        <f>IF(K3="Yes",AF3*Tab_Data_Flows[[#This Row],[Flow_Py]],"N.A.")</f>
        <v>110</v>
      </c>
      <c r="AH3" s="10" t="str">
        <f>Tab_Data_Flows[[#This Row],[UoM_Flow_Py]]</f>
        <v>Mg</v>
      </c>
      <c r="AI3" s="193">
        <f>INDEX(Tab_Def_Flows[[Flow_ID]:[CC_DM_source]],MATCH(Tab_Data_Flows[[#This Row],[Name(EN)]],Tab_Def_Flows[Name(EN)],0),17)</f>
        <v>1</v>
      </c>
      <c r="AJ3" s="10">
        <f>IF(L3="Yes",AI3*Tab_Data_Flows[[#This Row],[Flow_Py]]*Tab_Data_Flows[[#This Row],[DM_'[%']]],"N.A.")</f>
        <v>110</v>
      </c>
      <c r="AK3" s="10" t="str">
        <f>Tab_Data_Flows[[#This Row],[UoM_Flow_Py]]</f>
        <v>Mg</v>
      </c>
    </row>
    <row r="4" spans="1:37" x14ac:dyDescent="0.25">
      <c r="A4" s="17">
        <f t="shared" si="0"/>
        <v>3</v>
      </c>
      <c r="B4" s="10" t="str">
        <f>_xlfn.XLOOKUP(C4,Tab_Def_Flows[Name(EN)],Tab_Def_Flows[Flow_ID],,0,)</f>
        <v>F_00_02</v>
      </c>
      <c r="C4" s="12" t="s">
        <v>285</v>
      </c>
      <c r="D4" s="10">
        <f>_xlfn.XLOOKUP(C4,Tab_Def_Flows[Name(EN)],Tab_Def_Flows[Type_Biomass],,0,)</f>
        <v>0</v>
      </c>
      <c r="E4" s="10" t="str">
        <f>_xlfn.XLOOKUP(C4,Tab_Def_Flows[Name(EN)],Tab_Def_Flows[Output_Process],,0,)</f>
        <v>Atmosphere</v>
      </c>
      <c r="F4" s="10" t="str">
        <f>_xlfn.XLOOKUP(C4,Tab_Def_Flows[Name(EN)],Tab_Def_Flows[Process_ID_O],,0,)</f>
        <v>00</v>
      </c>
      <c r="G4" s="10" t="str">
        <f>_xlfn.XLOOKUP(C4,Tab_Def_Flows[Name(EN)],Tab_Def_Flows[Input_Process],,0,)</f>
        <v>Cultivation</v>
      </c>
      <c r="H4" s="18" t="str">
        <f>_xlfn.XLOOKUP(C4,Tab_Def_Flows[Name(EN)],Tab_Def_Flows[Process_ID_I],,0,)</f>
        <v>02</v>
      </c>
      <c r="I4" s="18" t="e">
        <f>_xlfn.XLOOKUP(C4,Tab_Def_Flows[Name(EN)],#REF!,,0,)</f>
        <v>#REF!</v>
      </c>
      <c r="J4" s="18" t="str">
        <f>_xlfn.XLOOKUP(C4,Tab_Def_Flows[Name(EN)],Tab_Def_Flows[WC?],,0,)</f>
        <v>Yes</v>
      </c>
      <c r="K4" s="18" t="str">
        <f>_xlfn.XLOOKUP(C4,Tab_Def_Flows[Name(EN)],Tab_Def_Flows[DM?],,0,)</f>
        <v>Yes</v>
      </c>
      <c r="L4" s="18" t="str">
        <f>_xlfn.XLOOKUP(C4,Tab_Def_Flows[Name(EN)],Tab_Def_Flows[CC?],,0,)</f>
        <v>Yes</v>
      </c>
      <c r="M4" s="12">
        <v>2027</v>
      </c>
      <c r="N4" s="12" t="s">
        <v>105</v>
      </c>
      <c r="O4" s="50">
        <v>120</v>
      </c>
      <c r="P4" s="12"/>
      <c r="Q4" s="12" t="s">
        <v>114</v>
      </c>
      <c r="R4" s="12"/>
      <c r="S4" s="12"/>
      <c r="T4" s="12"/>
      <c r="U4" s="12"/>
      <c r="V4" s="12"/>
      <c r="W4" s="12"/>
      <c r="X4" s="12" t="s">
        <v>8</v>
      </c>
      <c r="Y4" s="43"/>
      <c r="Z4" s="12"/>
      <c r="AA4" s="36">
        <f t="shared" si="1"/>
        <v>120</v>
      </c>
      <c r="AB4" s="12" t="s">
        <v>283</v>
      </c>
      <c r="AC4" s="193">
        <f>INDEX(Tab_Def_Flows[[Flow_ID]:[CC_DM_source]],MATCH(Tab_Data_Flows[[#This Row],[Name(EN)]],Tab_Def_Flows[Name(EN)],0),13)</f>
        <v>0</v>
      </c>
      <c r="AD4" s="10">
        <f>IF(J4="Yes",AA4*Tab_Data_Flows[[#This Row],[WC_'[%']]],"N.A.")</f>
        <v>0</v>
      </c>
      <c r="AE4" s="10" t="str">
        <f>Tab_Data_Flows[[#This Row],[UoM_Flow_Py]]</f>
        <v>Mg</v>
      </c>
      <c r="AF4" s="193">
        <f>INDEX(Tab_Def_Flows[[Flow_ID]:[CC_DM_source]],MATCH(Tab_Data_Flows[[#This Row],[Name(EN)]],Tab_Def_Flows[Name(EN)],0),15)</f>
        <v>1</v>
      </c>
      <c r="AG4" s="10">
        <f>IF(K4="Yes",AF4*Tab_Data_Flows[[#This Row],[Flow_Py]],"N.A.")</f>
        <v>120</v>
      </c>
      <c r="AH4" s="10" t="str">
        <f>Tab_Data_Flows[[#This Row],[UoM_Flow_Py]]</f>
        <v>Mg</v>
      </c>
      <c r="AI4" s="193">
        <f>INDEX(Tab_Def_Flows[[Flow_ID]:[CC_DM_source]],MATCH(Tab_Data_Flows[[#This Row],[Name(EN)]],Tab_Def_Flows[Name(EN)],0),17)</f>
        <v>1</v>
      </c>
      <c r="AJ4" s="10">
        <f>IF(L4="Yes",AI4*Tab_Data_Flows[[#This Row],[Flow_Py]]*Tab_Data_Flows[[#This Row],[DM_'[%']]],"N.A.")</f>
        <v>120</v>
      </c>
      <c r="AK4" s="10" t="str">
        <f>Tab_Data_Flows[[#This Row],[UoM_Flow_Py]]</f>
        <v>Mg</v>
      </c>
    </row>
    <row r="5" spans="1:37" x14ac:dyDescent="0.25">
      <c r="A5" s="17">
        <f t="shared" si="0"/>
        <v>4</v>
      </c>
      <c r="B5" s="10" t="str">
        <f>_xlfn.XLOOKUP(C5,Tab_Def_Flows[Name(EN)],Tab_Def_Flows[Flow_ID],,0,)</f>
        <v>F_00_02</v>
      </c>
      <c r="C5" s="12" t="s">
        <v>285</v>
      </c>
      <c r="D5" s="10">
        <f>_xlfn.XLOOKUP(C5,Tab_Def_Flows[Name(EN)],Tab_Def_Flows[Type_Biomass],,0,)</f>
        <v>0</v>
      </c>
      <c r="E5" s="10" t="str">
        <f>_xlfn.XLOOKUP(C5,Tab_Def_Flows[Name(EN)],Tab_Def_Flows[Output_Process],,0,)</f>
        <v>Atmosphere</v>
      </c>
      <c r="F5" s="10" t="str">
        <f>_xlfn.XLOOKUP(C5,Tab_Def_Flows[Name(EN)],Tab_Def_Flows[Process_ID_O],,0,)</f>
        <v>00</v>
      </c>
      <c r="G5" s="10" t="str">
        <f>_xlfn.XLOOKUP(C5,Tab_Def_Flows[Name(EN)],Tab_Def_Flows[Input_Process],,0,)</f>
        <v>Cultivation</v>
      </c>
      <c r="H5" s="18" t="str">
        <f>_xlfn.XLOOKUP(C5,Tab_Def_Flows[Name(EN)],Tab_Def_Flows[Process_ID_I],,0,)</f>
        <v>02</v>
      </c>
      <c r="I5" s="18" t="e">
        <f>_xlfn.XLOOKUP(C5,Tab_Def_Flows[Name(EN)],#REF!,,0,)</f>
        <v>#REF!</v>
      </c>
      <c r="J5" s="18" t="str">
        <f>_xlfn.XLOOKUP(C5,Tab_Def_Flows[Name(EN)],Tab_Def_Flows[WC?],,0,)</f>
        <v>Yes</v>
      </c>
      <c r="K5" s="18" t="str">
        <f>_xlfn.XLOOKUP(C5,Tab_Def_Flows[Name(EN)],Tab_Def_Flows[DM?],,0,)</f>
        <v>Yes</v>
      </c>
      <c r="L5" s="18" t="str">
        <f>_xlfn.XLOOKUP(C5,Tab_Def_Flows[Name(EN)],Tab_Def_Flows[CC?],,0,)</f>
        <v>Yes</v>
      </c>
      <c r="M5" s="12">
        <v>2028</v>
      </c>
      <c r="N5" s="12" t="s">
        <v>105</v>
      </c>
      <c r="O5" s="50">
        <v>130</v>
      </c>
      <c r="P5" s="12"/>
      <c r="Q5" s="12" t="s">
        <v>114</v>
      </c>
      <c r="R5" s="12"/>
      <c r="S5" s="12"/>
      <c r="T5" s="12"/>
      <c r="U5" s="12"/>
      <c r="V5" s="12"/>
      <c r="W5" s="12"/>
      <c r="X5" s="12" t="s">
        <v>8</v>
      </c>
      <c r="Y5" s="43"/>
      <c r="Z5" s="12"/>
      <c r="AA5" s="36">
        <f t="shared" si="1"/>
        <v>130</v>
      </c>
      <c r="AB5" s="12" t="s">
        <v>283</v>
      </c>
      <c r="AC5" s="193">
        <f>INDEX(Tab_Def_Flows[[Flow_ID]:[CC_DM_source]],MATCH(Tab_Data_Flows[[#This Row],[Name(EN)]],Tab_Def_Flows[Name(EN)],0),13)</f>
        <v>0</v>
      </c>
      <c r="AD5" s="10">
        <f>IF(J5="Yes",AA5*Tab_Data_Flows[[#This Row],[WC_'[%']]],"N.A.")</f>
        <v>0</v>
      </c>
      <c r="AE5" s="10" t="str">
        <f>Tab_Data_Flows[[#This Row],[UoM_Flow_Py]]</f>
        <v>Mg</v>
      </c>
      <c r="AF5" s="193">
        <f>INDEX(Tab_Def_Flows[[Flow_ID]:[CC_DM_source]],MATCH(Tab_Data_Flows[[#This Row],[Name(EN)]],Tab_Def_Flows[Name(EN)],0),15)</f>
        <v>1</v>
      </c>
      <c r="AG5" s="10">
        <f>IF(K5="Yes",AF5*Tab_Data_Flows[[#This Row],[Flow_Py]],"N.A.")</f>
        <v>130</v>
      </c>
      <c r="AH5" s="10" t="str">
        <f>Tab_Data_Flows[[#This Row],[UoM_Flow_Py]]</f>
        <v>Mg</v>
      </c>
      <c r="AI5" s="193">
        <f>INDEX(Tab_Def_Flows[[Flow_ID]:[CC_DM_source]],MATCH(Tab_Data_Flows[[#This Row],[Name(EN)]],Tab_Def_Flows[Name(EN)],0),17)</f>
        <v>1</v>
      </c>
      <c r="AJ5" s="10">
        <f>IF(L5="Yes",AI5*Tab_Data_Flows[[#This Row],[Flow_Py]]*Tab_Data_Flows[[#This Row],[DM_'[%']]],"N.A.")</f>
        <v>130</v>
      </c>
      <c r="AK5" s="10" t="str">
        <f>Tab_Data_Flows[[#This Row],[UoM_Flow_Py]]</f>
        <v>Mg</v>
      </c>
    </row>
    <row r="6" spans="1:37" x14ac:dyDescent="0.25">
      <c r="A6" s="17">
        <f t="shared" si="0"/>
        <v>5</v>
      </c>
      <c r="B6" s="10" t="str">
        <f>_xlfn.XLOOKUP(C6,Tab_Def_Flows[Name(EN)],Tab_Def_Flows[Flow_ID],,0,)</f>
        <v>F_00_02</v>
      </c>
      <c r="C6" s="12" t="s">
        <v>285</v>
      </c>
      <c r="D6" s="10">
        <f>_xlfn.XLOOKUP(C6,Tab_Def_Flows[Name(EN)],Tab_Def_Flows[Type_Biomass],,0,)</f>
        <v>0</v>
      </c>
      <c r="E6" s="10" t="str">
        <f>_xlfn.XLOOKUP(C6,Tab_Def_Flows[Name(EN)],Tab_Def_Flows[Output_Process],,0,)</f>
        <v>Atmosphere</v>
      </c>
      <c r="F6" s="10" t="str">
        <f>_xlfn.XLOOKUP(C6,Tab_Def_Flows[Name(EN)],Tab_Def_Flows[Process_ID_O],,0,)</f>
        <v>00</v>
      </c>
      <c r="G6" s="10" t="str">
        <f>_xlfn.XLOOKUP(C6,Tab_Def_Flows[Name(EN)],Tab_Def_Flows[Input_Process],,0,)</f>
        <v>Cultivation</v>
      </c>
      <c r="H6" s="18" t="str">
        <f>_xlfn.XLOOKUP(C6,Tab_Def_Flows[Name(EN)],Tab_Def_Flows[Process_ID_I],,0,)</f>
        <v>02</v>
      </c>
      <c r="I6" s="18" t="e">
        <f>_xlfn.XLOOKUP(C6,Tab_Def_Flows[Name(EN)],#REF!,,0,)</f>
        <v>#REF!</v>
      </c>
      <c r="J6" s="18" t="str">
        <f>_xlfn.XLOOKUP(C6,Tab_Def_Flows[Name(EN)],Tab_Def_Flows[WC?],,0,)</f>
        <v>Yes</v>
      </c>
      <c r="K6" s="18" t="str">
        <f>_xlfn.XLOOKUP(C6,Tab_Def_Flows[Name(EN)],Tab_Def_Flows[DM?],,0,)</f>
        <v>Yes</v>
      </c>
      <c r="L6" s="18" t="str">
        <f>_xlfn.XLOOKUP(C6,Tab_Def_Flows[Name(EN)],Tab_Def_Flows[CC?],,0,)</f>
        <v>Yes</v>
      </c>
      <c r="M6" s="12">
        <v>2029</v>
      </c>
      <c r="N6" s="12" t="s">
        <v>105</v>
      </c>
      <c r="O6" s="50">
        <v>140</v>
      </c>
      <c r="P6" s="12"/>
      <c r="Q6" s="12" t="s">
        <v>114</v>
      </c>
      <c r="R6" s="12"/>
      <c r="S6" s="12"/>
      <c r="T6" s="12"/>
      <c r="U6" s="12"/>
      <c r="V6" s="12"/>
      <c r="W6" s="12"/>
      <c r="X6" s="12" t="s">
        <v>8</v>
      </c>
      <c r="Y6" s="43"/>
      <c r="Z6" s="12"/>
      <c r="AA6" s="36">
        <f t="shared" si="1"/>
        <v>140</v>
      </c>
      <c r="AB6" s="12" t="s">
        <v>283</v>
      </c>
      <c r="AC6" s="193">
        <f>INDEX(Tab_Def_Flows[[Flow_ID]:[CC_DM_source]],MATCH(Tab_Data_Flows[[#This Row],[Name(EN)]],Tab_Def_Flows[Name(EN)],0),13)</f>
        <v>0</v>
      </c>
      <c r="AD6" s="10">
        <f>IF(J6="Yes",AA6*Tab_Data_Flows[[#This Row],[WC_'[%']]],"N.A.")</f>
        <v>0</v>
      </c>
      <c r="AE6" s="10" t="str">
        <f>Tab_Data_Flows[[#This Row],[UoM_Flow_Py]]</f>
        <v>Mg</v>
      </c>
      <c r="AF6" s="193">
        <f>INDEX(Tab_Def_Flows[[Flow_ID]:[CC_DM_source]],MATCH(Tab_Data_Flows[[#This Row],[Name(EN)]],Tab_Def_Flows[Name(EN)],0),15)</f>
        <v>1</v>
      </c>
      <c r="AG6" s="10">
        <f>IF(K6="Yes",AF6*Tab_Data_Flows[[#This Row],[Flow_Py]],"N.A.")</f>
        <v>140</v>
      </c>
      <c r="AH6" s="10" t="str">
        <f>Tab_Data_Flows[[#This Row],[UoM_Flow_Py]]</f>
        <v>Mg</v>
      </c>
      <c r="AI6" s="193">
        <f>INDEX(Tab_Def_Flows[[Flow_ID]:[CC_DM_source]],MATCH(Tab_Data_Flows[[#This Row],[Name(EN)]],Tab_Def_Flows[Name(EN)],0),17)</f>
        <v>1</v>
      </c>
      <c r="AJ6" s="10">
        <f>IF(L6="Yes",AI6*Tab_Data_Flows[[#This Row],[Flow_Py]]*Tab_Data_Flows[[#This Row],[DM_'[%']]],"N.A.")</f>
        <v>140</v>
      </c>
      <c r="AK6" s="10" t="str">
        <f>Tab_Data_Flows[[#This Row],[UoM_Flow_Py]]</f>
        <v>Mg</v>
      </c>
    </row>
    <row r="7" spans="1:37" x14ac:dyDescent="0.25">
      <c r="A7" s="17">
        <f t="shared" si="0"/>
        <v>6</v>
      </c>
      <c r="B7" s="10" t="str">
        <f>_xlfn.XLOOKUP(C7,Tab_Def_Flows[Name(EN)],Tab_Def_Flows[Flow_ID],,0,)</f>
        <v>F_00_02</v>
      </c>
      <c r="C7" s="12" t="s">
        <v>285</v>
      </c>
      <c r="D7" s="10">
        <f>_xlfn.XLOOKUP(C7,Tab_Def_Flows[Name(EN)],Tab_Def_Flows[Type_Biomass],,0,)</f>
        <v>0</v>
      </c>
      <c r="E7" s="10" t="str">
        <f>_xlfn.XLOOKUP(C7,Tab_Def_Flows[Name(EN)],Tab_Def_Flows[Output_Process],,0,)</f>
        <v>Atmosphere</v>
      </c>
      <c r="F7" s="10" t="str">
        <f>_xlfn.XLOOKUP(C7,Tab_Def_Flows[Name(EN)],Tab_Def_Flows[Process_ID_O],,0,)</f>
        <v>00</v>
      </c>
      <c r="G7" s="10" t="str">
        <f>_xlfn.XLOOKUP(C7,Tab_Def_Flows[Name(EN)],Tab_Def_Flows[Input_Process],,0,)</f>
        <v>Cultivation</v>
      </c>
      <c r="H7" s="18" t="str">
        <f>_xlfn.XLOOKUP(C7,Tab_Def_Flows[Name(EN)],Tab_Def_Flows[Process_ID_I],,0,)</f>
        <v>02</v>
      </c>
      <c r="I7" s="18" t="e">
        <f>_xlfn.XLOOKUP(C7,Tab_Def_Flows[Name(EN)],#REF!,,0,)</f>
        <v>#REF!</v>
      </c>
      <c r="J7" s="18" t="str">
        <f>_xlfn.XLOOKUP(C7,Tab_Def_Flows[Name(EN)],Tab_Def_Flows[WC?],,0,)</f>
        <v>Yes</v>
      </c>
      <c r="K7" s="18" t="str">
        <f>_xlfn.XLOOKUP(C7,Tab_Def_Flows[Name(EN)],Tab_Def_Flows[DM?],,0,)</f>
        <v>Yes</v>
      </c>
      <c r="L7" s="18" t="str">
        <f>_xlfn.XLOOKUP(C7,Tab_Def_Flows[Name(EN)],Tab_Def_Flows[CC?],,0,)</f>
        <v>Yes</v>
      </c>
      <c r="M7" s="12">
        <v>2030</v>
      </c>
      <c r="N7" s="12" t="s">
        <v>105</v>
      </c>
      <c r="O7" s="50">
        <v>150</v>
      </c>
      <c r="P7" s="12"/>
      <c r="Q7" s="12" t="s">
        <v>114</v>
      </c>
      <c r="R7" s="12"/>
      <c r="S7" s="12"/>
      <c r="T7" s="12"/>
      <c r="U7" s="12"/>
      <c r="V7" s="12"/>
      <c r="W7" s="12"/>
      <c r="X7" s="12" t="s">
        <v>8</v>
      </c>
      <c r="Y7" s="43"/>
      <c r="Z7" s="12"/>
      <c r="AA7" s="36">
        <f t="shared" si="1"/>
        <v>150</v>
      </c>
      <c r="AB7" s="12" t="s">
        <v>283</v>
      </c>
      <c r="AC7" s="193">
        <f>INDEX(Tab_Def_Flows[[Flow_ID]:[CC_DM_source]],MATCH(Tab_Data_Flows[[#This Row],[Name(EN)]],Tab_Def_Flows[Name(EN)],0),13)</f>
        <v>0</v>
      </c>
      <c r="AD7" s="10">
        <f>IF(J7="Yes",AA7*Tab_Data_Flows[[#This Row],[WC_'[%']]],"N.A.")</f>
        <v>0</v>
      </c>
      <c r="AE7" s="10" t="str">
        <f>Tab_Data_Flows[[#This Row],[UoM_Flow_Py]]</f>
        <v>Mg</v>
      </c>
      <c r="AF7" s="193">
        <f>INDEX(Tab_Def_Flows[[Flow_ID]:[CC_DM_source]],MATCH(Tab_Data_Flows[[#This Row],[Name(EN)]],Tab_Def_Flows[Name(EN)],0),15)</f>
        <v>1</v>
      </c>
      <c r="AG7" s="10">
        <f>IF(K7="Yes",AF7*Tab_Data_Flows[[#This Row],[Flow_Py]],"N.A.")</f>
        <v>150</v>
      </c>
      <c r="AH7" s="10" t="str">
        <f>Tab_Data_Flows[[#This Row],[UoM_Flow_Py]]</f>
        <v>Mg</v>
      </c>
      <c r="AI7" s="193">
        <f>INDEX(Tab_Def_Flows[[Flow_ID]:[CC_DM_source]],MATCH(Tab_Data_Flows[[#This Row],[Name(EN)]],Tab_Def_Flows[Name(EN)],0),17)</f>
        <v>1</v>
      </c>
      <c r="AJ7" s="10">
        <f>IF(L7="Yes",AI7*Tab_Data_Flows[[#This Row],[Flow_Py]]*Tab_Data_Flows[[#This Row],[DM_'[%']]],"N.A.")</f>
        <v>150</v>
      </c>
      <c r="AK7" s="10" t="str">
        <f>Tab_Data_Flows[[#This Row],[UoM_Flow_Py]]</f>
        <v>Mg</v>
      </c>
    </row>
    <row r="8" spans="1:37" x14ac:dyDescent="0.25">
      <c r="A8" s="17">
        <f t="shared" si="0"/>
        <v>7</v>
      </c>
      <c r="B8" s="10" t="str">
        <f>_xlfn.XLOOKUP(C8,Tab_Def_Flows[Name(EN)],Tab_Def_Flows[Flow_ID],,0,)</f>
        <v>F_00_02</v>
      </c>
      <c r="C8" s="12" t="s">
        <v>285</v>
      </c>
      <c r="D8" s="10">
        <f>_xlfn.XLOOKUP(C8,Tab_Def_Flows[Name(EN)],Tab_Def_Flows[Type_Biomass],,0,)</f>
        <v>0</v>
      </c>
      <c r="E8" s="10" t="str">
        <f>_xlfn.XLOOKUP(C8,Tab_Def_Flows[Name(EN)],Tab_Def_Flows[Output_Process],,0,)</f>
        <v>Atmosphere</v>
      </c>
      <c r="F8" s="10" t="str">
        <f>_xlfn.XLOOKUP(C8,Tab_Def_Flows[Name(EN)],Tab_Def_Flows[Process_ID_O],,0,)</f>
        <v>00</v>
      </c>
      <c r="G8" s="10" t="str">
        <f>_xlfn.XLOOKUP(C8,Tab_Def_Flows[Name(EN)],Tab_Def_Flows[Input_Process],,0,)</f>
        <v>Cultivation</v>
      </c>
      <c r="H8" s="18" t="str">
        <f>_xlfn.XLOOKUP(C8,Tab_Def_Flows[Name(EN)],Tab_Def_Flows[Process_ID_I],,0,)</f>
        <v>02</v>
      </c>
      <c r="I8" s="18" t="e">
        <f>_xlfn.XLOOKUP(C8,Tab_Def_Flows[Name(EN)],#REF!,,0,)</f>
        <v>#REF!</v>
      </c>
      <c r="J8" s="18" t="str">
        <f>_xlfn.XLOOKUP(C8,Tab_Def_Flows[Name(EN)],Tab_Def_Flows[WC?],,0,)</f>
        <v>Yes</v>
      </c>
      <c r="K8" s="18" t="str">
        <f>_xlfn.XLOOKUP(C8,Tab_Def_Flows[Name(EN)],Tab_Def_Flows[DM?],,0,)</f>
        <v>Yes</v>
      </c>
      <c r="L8" s="18" t="str">
        <f>_xlfn.XLOOKUP(C8,Tab_Def_Flows[Name(EN)],Tab_Def_Flows[CC?],,0,)</f>
        <v>Yes</v>
      </c>
      <c r="M8" s="12">
        <v>2031</v>
      </c>
      <c r="N8" s="12" t="s">
        <v>105</v>
      </c>
      <c r="O8" s="50">
        <v>160</v>
      </c>
      <c r="P8" s="12"/>
      <c r="Q8" s="12" t="s">
        <v>114</v>
      </c>
      <c r="R8" s="12"/>
      <c r="S8" s="12"/>
      <c r="T8" s="12"/>
      <c r="U8" s="12"/>
      <c r="V8" s="12"/>
      <c r="W8" s="12"/>
      <c r="X8" s="12" t="s">
        <v>8</v>
      </c>
      <c r="Y8" s="43"/>
      <c r="Z8" s="12"/>
      <c r="AA8" s="36">
        <f t="shared" si="1"/>
        <v>160</v>
      </c>
      <c r="AB8" s="12" t="s">
        <v>283</v>
      </c>
      <c r="AC8" s="193">
        <f>INDEX(Tab_Def_Flows[[Flow_ID]:[CC_DM_source]],MATCH(Tab_Data_Flows[[#This Row],[Name(EN)]],Tab_Def_Flows[Name(EN)],0),13)</f>
        <v>0</v>
      </c>
      <c r="AD8" s="10">
        <f>IF(J8="Yes",AA8*Tab_Data_Flows[[#This Row],[WC_'[%']]],"N.A.")</f>
        <v>0</v>
      </c>
      <c r="AE8" s="10" t="str">
        <f>Tab_Data_Flows[[#This Row],[UoM_Flow_Py]]</f>
        <v>Mg</v>
      </c>
      <c r="AF8" s="193">
        <f>INDEX(Tab_Def_Flows[[Flow_ID]:[CC_DM_source]],MATCH(Tab_Data_Flows[[#This Row],[Name(EN)]],Tab_Def_Flows[Name(EN)],0),15)</f>
        <v>1</v>
      </c>
      <c r="AG8" s="10">
        <f>IF(K8="Yes",AF8*Tab_Data_Flows[[#This Row],[Flow_Py]],"N.A.")</f>
        <v>160</v>
      </c>
      <c r="AH8" s="10" t="str">
        <f>Tab_Data_Flows[[#This Row],[UoM_Flow_Py]]</f>
        <v>Mg</v>
      </c>
      <c r="AI8" s="193">
        <f>INDEX(Tab_Def_Flows[[Flow_ID]:[CC_DM_source]],MATCH(Tab_Data_Flows[[#This Row],[Name(EN)]],Tab_Def_Flows[Name(EN)],0),17)</f>
        <v>1</v>
      </c>
      <c r="AJ8" s="10">
        <f>IF(L8="Yes",AI8*Tab_Data_Flows[[#This Row],[Flow_Py]]*Tab_Data_Flows[[#This Row],[DM_'[%']]],"N.A.")</f>
        <v>160</v>
      </c>
      <c r="AK8" s="10" t="str">
        <f>Tab_Data_Flows[[#This Row],[UoM_Flow_Py]]</f>
        <v>Mg</v>
      </c>
    </row>
    <row r="9" spans="1:37" x14ac:dyDescent="0.25">
      <c r="A9" s="17">
        <f t="shared" si="0"/>
        <v>8</v>
      </c>
      <c r="B9" s="10" t="str">
        <f>_xlfn.XLOOKUP(C9,Tab_Def_Flows[Name(EN)],Tab_Def_Flows[Flow_ID],,0,)</f>
        <v>F_00_02</v>
      </c>
      <c r="C9" s="12" t="s">
        <v>285</v>
      </c>
      <c r="D9" s="10">
        <f>_xlfn.XLOOKUP(C9,Tab_Def_Flows[Name(EN)],Tab_Def_Flows[Type_Biomass],,0,)</f>
        <v>0</v>
      </c>
      <c r="E9" s="10" t="str">
        <f>_xlfn.XLOOKUP(C9,Tab_Def_Flows[Name(EN)],Tab_Def_Flows[Output_Process],,0,)</f>
        <v>Atmosphere</v>
      </c>
      <c r="F9" s="10" t="str">
        <f>_xlfn.XLOOKUP(C9,Tab_Def_Flows[Name(EN)],Tab_Def_Flows[Process_ID_O],,0,)</f>
        <v>00</v>
      </c>
      <c r="G9" s="10" t="str">
        <f>_xlfn.XLOOKUP(C9,Tab_Def_Flows[Name(EN)],Tab_Def_Flows[Input_Process],,0,)</f>
        <v>Cultivation</v>
      </c>
      <c r="H9" s="18" t="str">
        <f>_xlfn.XLOOKUP(C9,Tab_Def_Flows[Name(EN)],Tab_Def_Flows[Process_ID_I],,0,)</f>
        <v>02</v>
      </c>
      <c r="I9" s="10" t="e">
        <f>_xlfn.XLOOKUP(C9,Tab_Def_Flows[Name(EN)],#REF!,,0,)</f>
        <v>#REF!</v>
      </c>
      <c r="J9" s="10" t="str">
        <f>_xlfn.XLOOKUP(C9,Tab_Def_Flows[Name(EN)],Tab_Def_Flows[WC?],,0,)</f>
        <v>Yes</v>
      </c>
      <c r="K9" s="10" t="str">
        <f>_xlfn.XLOOKUP(C9,Tab_Def_Flows[Name(EN)],Tab_Def_Flows[DM?],,0,)</f>
        <v>Yes</v>
      </c>
      <c r="L9" s="10" t="str">
        <f>_xlfn.XLOOKUP(C9,Tab_Def_Flows[Name(EN)],Tab_Def_Flows[CC?],,0,)</f>
        <v>Yes</v>
      </c>
      <c r="M9" s="12">
        <v>2032</v>
      </c>
      <c r="N9" s="12" t="s">
        <v>105</v>
      </c>
      <c r="O9" s="50">
        <v>170</v>
      </c>
      <c r="P9" s="12"/>
      <c r="Q9" s="12"/>
      <c r="R9" s="12" t="e">
        <f>INDEX(#REF!,MATCH(Tab_Data_Flows[[#This Row],[Name(EN)]],#REF!,0),12)</f>
        <v>#REF!</v>
      </c>
      <c r="S9" s="12" t="e">
        <f>MATCH(Tab_Data_Flows[[#This Row],[Name(EN)]],#REF!,0)</f>
        <v>#REF!</v>
      </c>
      <c r="T9" s="12"/>
      <c r="U9" s="12"/>
      <c r="V9" s="12"/>
      <c r="W9" s="12"/>
      <c r="X9" s="12" t="s">
        <v>8</v>
      </c>
      <c r="Y9" s="12"/>
      <c r="Z9" s="12"/>
      <c r="AA9" s="36">
        <f t="shared" si="1"/>
        <v>170</v>
      </c>
      <c r="AB9" s="12" t="s">
        <v>283</v>
      </c>
      <c r="AC9" s="193">
        <f>INDEX(Tab_Def_Flows[[Flow_ID]:[CC_DM_source]],MATCH(Tab_Data_Flows[[#This Row],[Name(EN)]],Tab_Def_Flows[Name(EN)],0),13)</f>
        <v>0</v>
      </c>
      <c r="AD9" s="10">
        <f>IF(J9="Yes",AA9*Tab_Data_Flows[[#This Row],[WC_'[%']]],"N.A.")</f>
        <v>0</v>
      </c>
      <c r="AE9" s="10" t="str">
        <f>Tab_Data_Flows[[#This Row],[UoM_Flow_Py]]</f>
        <v>Mg</v>
      </c>
      <c r="AF9" s="193">
        <f>INDEX(Tab_Def_Flows[[Flow_ID]:[CC_DM_source]],MATCH(Tab_Data_Flows[[#This Row],[Name(EN)]],Tab_Def_Flows[Name(EN)],0),15)</f>
        <v>1</v>
      </c>
      <c r="AG9" s="10">
        <f>IF(K9="Yes",AF9*Tab_Data_Flows[[#This Row],[Flow_Py]],"N.A.")</f>
        <v>170</v>
      </c>
      <c r="AH9" s="10" t="str">
        <f>Tab_Data_Flows[[#This Row],[UoM_Flow_Py]]</f>
        <v>Mg</v>
      </c>
      <c r="AI9" s="193">
        <f>INDEX(Tab_Def_Flows[[Flow_ID]:[CC_DM_source]],MATCH(Tab_Data_Flows[[#This Row],[Name(EN)]],Tab_Def_Flows[Name(EN)],0),17)</f>
        <v>1</v>
      </c>
      <c r="AJ9" s="10">
        <f>IF(L9="Yes",AI9*Tab_Data_Flows[[#This Row],[Flow_Py]]*Tab_Data_Flows[[#This Row],[DM_'[%']]],"N.A.")</f>
        <v>170</v>
      </c>
      <c r="AK9" s="10" t="str">
        <f>Tab_Data_Flows[[#This Row],[UoM_Flow_Py]]</f>
        <v>Mg</v>
      </c>
    </row>
    <row r="10" spans="1:37" x14ac:dyDescent="0.25">
      <c r="A10" s="17">
        <f t="shared" si="0"/>
        <v>9</v>
      </c>
      <c r="B10" s="10" t="str">
        <f>_xlfn.XLOOKUP(C10,Tab_Def_Flows[Name(EN)],Tab_Def_Flows[Flow_ID],,0,)</f>
        <v>F_00_02</v>
      </c>
      <c r="C10" s="12" t="s">
        <v>285</v>
      </c>
      <c r="D10" s="10">
        <f>_xlfn.XLOOKUP(C10,Tab_Def_Flows[Name(EN)],Tab_Def_Flows[Type_Biomass],,0,)</f>
        <v>0</v>
      </c>
      <c r="E10" s="10" t="str">
        <f>_xlfn.XLOOKUP(C10,Tab_Def_Flows[Name(EN)],Tab_Def_Flows[Output_Process],,0,)</f>
        <v>Atmosphere</v>
      </c>
      <c r="F10" s="10" t="str">
        <f>_xlfn.XLOOKUP(C10,Tab_Def_Flows[Name(EN)],Tab_Def_Flows[Process_ID_O],,0,)</f>
        <v>00</v>
      </c>
      <c r="G10" s="10" t="str">
        <f>_xlfn.XLOOKUP(C10,Tab_Def_Flows[Name(EN)],Tab_Def_Flows[Input_Process],,0,)</f>
        <v>Cultivation</v>
      </c>
      <c r="H10" s="18" t="str">
        <f>_xlfn.XLOOKUP(C10,Tab_Def_Flows[Name(EN)],Tab_Def_Flows[Process_ID_I],,0,)</f>
        <v>02</v>
      </c>
      <c r="I10" s="10" t="e">
        <f>_xlfn.XLOOKUP(C10,Tab_Def_Flows[Name(EN)],#REF!,,0,)</f>
        <v>#REF!</v>
      </c>
      <c r="J10" s="10" t="str">
        <f>_xlfn.XLOOKUP(C10,Tab_Def_Flows[Name(EN)],Tab_Def_Flows[WC?],,0,)</f>
        <v>Yes</v>
      </c>
      <c r="K10" s="10" t="str">
        <f>_xlfn.XLOOKUP(C10,Tab_Def_Flows[Name(EN)],Tab_Def_Flows[DM?],,0,)</f>
        <v>Yes</v>
      </c>
      <c r="L10" s="10" t="str">
        <f>_xlfn.XLOOKUP(C10,Tab_Def_Flows[Name(EN)],Tab_Def_Flows[CC?],,0,)</f>
        <v>Yes</v>
      </c>
      <c r="M10" s="12">
        <v>2033</v>
      </c>
      <c r="N10" s="12" t="s">
        <v>105</v>
      </c>
      <c r="O10" s="50">
        <v>180</v>
      </c>
      <c r="P10" s="12"/>
      <c r="Q10" s="12"/>
      <c r="R10" s="12" t="e">
        <f>INDEX(#REF!,MATCH(Tab_Data_Flows[[#This Row],[Name(EN)]],#REF!,0),12)</f>
        <v>#REF!</v>
      </c>
      <c r="S10" s="12" t="e">
        <f>MATCH(Tab_Data_Flows[[#This Row],[Name(EN)]],#REF!,0)</f>
        <v>#REF!</v>
      </c>
      <c r="T10" s="12"/>
      <c r="U10" s="12"/>
      <c r="V10" s="12"/>
      <c r="W10" s="12"/>
      <c r="X10" s="12" t="s">
        <v>8</v>
      </c>
      <c r="Y10" s="12"/>
      <c r="Z10" s="12"/>
      <c r="AA10" s="36">
        <f t="shared" si="1"/>
        <v>180</v>
      </c>
      <c r="AB10" s="12" t="s">
        <v>283</v>
      </c>
      <c r="AC10" s="193">
        <f>INDEX(Tab_Def_Flows[[Flow_ID]:[CC_DM_source]],MATCH(Tab_Data_Flows[[#This Row],[Name(EN)]],Tab_Def_Flows[Name(EN)],0),13)</f>
        <v>0</v>
      </c>
      <c r="AD10" s="10">
        <f>IF(J10="Yes",AA10*Tab_Data_Flows[[#This Row],[WC_'[%']]],"N.A.")</f>
        <v>0</v>
      </c>
      <c r="AE10" s="10" t="str">
        <f>Tab_Data_Flows[[#This Row],[UoM_Flow_Py]]</f>
        <v>Mg</v>
      </c>
      <c r="AF10" s="193">
        <f>INDEX(Tab_Def_Flows[[Flow_ID]:[CC_DM_source]],MATCH(Tab_Data_Flows[[#This Row],[Name(EN)]],Tab_Def_Flows[Name(EN)],0),15)</f>
        <v>1</v>
      </c>
      <c r="AG10" s="10">
        <f>IF(K10="Yes",AF10*Tab_Data_Flows[[#This Row],[Flow_Py]],"N.A.")</f>
        <v>180</v>
      </c>
      <c r="AH10" s="10" t="str">
        <f>Tab_Data_Flows[[#This Row],[UoM_Flow_Py]]</f>
        <v>Mg</v>
      </c>
      <c r="AI10" s="193">
        <f>INDEX(Tab_Def_Flows[[Flow_ID]:[CC_DM_source]],MATCH(Tab_Data_Flows[[#This Row],[Name(EN)]],Tab_Def_Flows[Name(EN)],0),17)</f>
        <v>1</v>
      </c>
      <c r="AJ10" s="10">
        <f>IF(L10="Yes",AI10*Tab_Data_Flows[[#This Row],[Flow_Py]]*Tab_Data_Flows[[#This Row],[DM_'[%']]],"N.A.")</f>
        <v>180</v>
      </c>
      <c r="AK10" s="10" t="str">
        <f>Tab_Data_Flows[[#This Row],[UoM_Flow_Py]]</f>
        <v>Mg</v>
      </c>
    </row>
    <row r="11" spans="1:37" x14ac:dyDescent="0.25">
      <c r="A11" s="17">
        <f t="shared" si="0"/>
        <v>10</v>
      </c>
      <c r="B11" s="10" t="str">
        <f>_xlfn.XLOOKUP(C11,Tab_Def_Flows[Name(EN)],Tab_Def_Flows[Flow_ID],,0,)</f>
        <v>F_00_02</v>
      </c>
      <c r="C11" s="12" t="s">
        <v>285</v>
      </c>
      <c r="D11" s="10">
        <f>_xlfn.XLOOKUP(C11,Tab_Def_Flows[Name(EN)],Tab_Def_Flows[Type_Biomass],,0,)</f>
        <v>0</v>
      </c>
      <c r="E11" s="10" t="str">
        <f>_xlfn.XLOOKUP(C11,Tab_Def_Flows[Name(EN)],Tab_Def_Flows[Output_Process],,0,)</f>
        <v>Atmosphere</v>
      </c>
      <c r="F11" s="10" t="str">
        <f>_xlfn.XLOOKUP(C11,Tab_Def_Flows[Name(EN)],Tab_Def_Flows[Process_ID_O],,0,)</f>
        <v>00</v>
      </c>
      <c r="G11" s="10" t="str">
        <f>_xlfn.XLOOKUP(C11,Tab_Def_Flows[Name(EN)],Tab_Def_Flows[Input_Process],,0,)</f>
        <v>Cultivation</v>
      </c>
      <c r="H11" s="18" t="str">
        <f>_xlfn.XLOOKUP(C11,Tab_Def_Flows[Name(EN)],Tab_Def_Flows[Process_ID_I],,0,)</f>
        <v>02</v>
      </c>
      <c r="I11" s="10" t="e">
        <f>_xlfn.XLOOKUP(C11,Tab_Def_Flows[Name(EN)],#REF!,,0,)</f>
        <v>#REF!</v>
      </c>
      <c r="J11" s="10" t="str">
        <f>_xlfn.XLOOKUP(C11,Tab_Def_Flows[Name(EN)],Tab_Def_Flows[WC?],,0,)</f>
        <v>Yes</v>
      </c>
      <c r="K11" s="10" t="str">
        <f>_xlfn.XLOOKUP(C11,Tab_Def_Flows[Name(EN)],Tab_Def_Flows[DM?],,0,)</f>
        <v>Yes</v>
      </c>
      <c r="L11" s="10" t="str">
        <f>_xlfn.XLOOKUP(C11,Tab_Def_Flows[Name(EN)],Tab_Def_Flows[CC?],,0,)</f>
        <v>Yes</v>
      </c>
      <c r="M11" s="12">
        <v>2034</v>
      </c>
      <c r="N11" s="12" t="s">
        <v>105</v>
      </c>
      <c r="O11" s="50">
        <v>190</v>
      </c>
      <c r="P11" s="12"/>
      <c r="Q11" s="12"/>
      <c r="R11" s="12" t="e">
        <f>INDEX(#REF!,MATCH(Tab_Data_Flows[[#This Row],[Name(EN)]],#REF!,0),12)</f>
        <v>#REF!</v>
      </c>
      <c r="S11" s="12" t="e">
        <f>MATCH(Tab_Data_Flows[[#This Row],[Name(EN)]],#REF!,0)</f>
        <v>#REF!</v>
      </c>
      <c r="T11" s="12"/>
      <c r="U11" s="12"/>
      <c r="V11" s="12"/>
      <c r="W11" s="12"/>
      <c r="X11" s="12" t="s">
        <v>8</v>
      </c>
      <c r="Y11" s="12"/>
      <c r="Z11" s="12"/>
      <c r="AA11" s="36">
        <f t="shared" si="1"/>
        <v>190</v>
      </c>
      <c r="AB11" s="12" t="s">
        <v>283</v>
      </c>
      <c r="AC11" s="193">
        <f>INDEX(Tab_Def_Flows[[Flow_ID]:[CC_DM_source]],MATCH(Tab_Data_Flows[[#This Row],[Name(EN)]],Tab_Def_Flows[Name(EN)],0),13)</f>
        <v>0</v>
      </c>
      <c r="AD11" s="10">
        <f>IF(J11="Yes",AA11*Tab_Data_Flows[[#This Row],[WC_'[%']]],"N.A.")</f>
        <v>0</v>
      </c>
      <c r="AE11" s="10" t="str">
        <f>Tab_Data_Flows[[#This Row],[UoM_Flow_Py]]</f>
        <v>Mg</v>
      </c>
      <c r="AF11" s="193">
        <f>INDEX(Tab_Def_Flows[[Flow_ID]:[CC_DM_source]],MATCH(Tab_Data_Flows[[#This Row],[Name(EN)]],Tab_Def_Flows[Name(EN)],0),15)</f>
        <v>1</v>
      </c>
      <c r="AG11" s="10">
        <f>IF(K11="Yes",AF11*Tab_Data_Flows[[#This Row],[Flow_Py]],"N.A.")</f>
        <v>190</v>
      </c>
      <c r="AH11" s="10" t="str">
        <f>Tab_Data_Flows[[#This Row],[UoM_Flow_Py]]</f>
        <v>Mg</v>
      </c>
      <c r="AI11" s="193">
        <f>INDEX(Tab_Def_Flows[[Flow_ID]:[CC_DM_source]],MATCH(Tab_Data_Flows[[#This Row],[Name(EN)]],Tab_Def_Flows[Name(EN)],0),17)</f>
        <v>1</v>
      </c>
      <c r="AJ11" s="10">
        <f>IF(L11="Yes",AI11*Tab_Data_Flows[[#This Row],[Flow_Py]]*Tab_Data_Flows[[#This Row],[DM_'[%']]],"N.A.")</f>
        <v>190</v>
      </c>
      <c r="AK11" s="10" t="str">
        <f>Tab_Data_Flows[[#This Row],[UoM_Flow_Py]]</f>
        <v>Mg</v>
      </c>
    </row>
    <row r="12" spans="1:37" x14ac:dyDescent="0.25">
      <c r="A12" s="17">
        <f t="shared" si="0"/>
        <v>11</v>
      </c>
      <c r="B12" s="10" t="str">
        <f>_xlfn.XLOOKUP(C12,Tab_Def_Flows[Name(EN)],Tab_Def_Flows[Flow_ID],,0,)</f>
        <v>F_00_02</v>
      </c>
      <c r="C12" s="12" t="s">
        <v>285</v>
      </c>
      <c r="D12" s="10">
        <f>_xlfn.XLOOKUP(C12,Tab_Def_Flows[Name(EN)],Tab_Def_Flows[Type_Biomass],,0,)</f>
        <v>0</v>
      </c>
      <c r="E12" s="10" t="str">
        <f>_xlfn.XLOOKUP(C12,Tab_Def_Flows[Name(EN)],Tab_Def_Flows[Output_Process],,0,)</f>
        <v>Atmosphere</v>
      </c>
      <c r="F12" s="10" t="str">
        <f>_xlfn.XLOOKUP(C12,Tab_Def_Flows[Name(EN)],Tab_Def_Flows[Process_ID_O],,0,)</f>
        <v>00</v>
      </c>
      <c r="G12" s="10" t="str">
        <f>_xlfn.XLOOKUP(C12,Tab_Def_Flows[Name(EN)],Tab_Def_Flows[Input_Process],,0,)</f>
        <v>Cultivation</v>
      </c>
      <c r="H12" s="18" t="str">
        <f>_xlfn.XLOOKUP(C12,Tab_Def_Flows[Name(EN)],Tab_Def_Flows[Process_ID_I],,0,)</f>
        <v>02</v>
      </c>
      <c r="I12" s="10" t="e">
        <f>_xlfn.XLOOKUP(C12,Tab_Def_Flows[Name(EN)],#REF!,,0,)</f>
        <v>#REF!</v>
      </c>
      <c r="J12" s="10" t="str">
        <f>_xlfn.XLOOKUP(C12,Tab_Def_Flows[Name(EN)],Tab_Def_Flows[WC?],,0,)</f>
        <v>Yes</v>
      </c>
      <c r="K12" s="10" t="str">
        <f>_xlfn.XLOOKUP(C12,Tab_Def_Flows[Name(EN)],Tab_Def_Flows[DM?],,0,)</f>
        <v>Yes</v>
      </c>
      <c r="L12" s="10" t="str">
        <f>_xlfn.XLOOKUP(C12,Tab_Def_Flows[Name(EN)],Tab_Def_Flows[CC?],,0,)</f>
        <v>Yes</v>
      </c>
      <c r="M12" s="12">
        <v>2035</v>
      </c>
      <c r="N12" s="12" t="s">
        <v>105</v>
      </c>
      <c r="O12" s="50">
        <v>200</v>
      </c>
      <c r="P12" s="12"/>
      <c r="Q12" s="12"/>
      <c r="R12" s="12" t="e">
        <f>INDEX(#REF!,MATCH(Tab_Data_Flows[[#This Row],[Name(EN)]],#REF!,0),12)</f>
        <v>#REF!</v>
      </c>
      <c r="S12" s="12" t="e">
        <f>MATCH(Tab_Data_Flows[[#This Row],[Name(EN)]],#REF!,0)</f>
        <v>#REF!</v>
      </c>
      <c r="T12" s="12"/>
      <c r="U12" s="12"/>
      <c r="V12" s="12"/>
      <c r="W12" s="12"/>
      <c r="X12" s="12" t="s">
        <v>8</v>
      </c>
      <c r="Y12" s="12"/>
      <c r="Z12" s="12"/>
      <c r="AA12" s="36">
        <f t="shared" si="1"/>
        <v>200</v>
      </c>
      <c r="AB12" s="12" t="s">
        <v>283</v>
      </c>
      <c r="AC12" s="193">
        <f>INDEX(Tab_Def_Flows[[Flow_ID]:[CC_DM_source]],MATCH(Tab_Data_Flows[[#This Row],[Name(EN)]],Tab_Def_Flows[Name(EN)],0),13)</f>
        <v>0</v>
      </c>
      <c r="AD12" s="10">
        <f>IF(J12="Yes",AA12*Tab_Data_Flows[[#This Row],[WC_'[%']]],"N.A.")</f>
        <v>0</v>
      </c>
      <c r="AE12" s="10" t="str">
        <f>Tab_Data_Flows[[#This Row],[UoM_Flow_Py]]</f>
        <v>Mg</v>
      </c>
      <c r="AF12" s="193">
        <f>INDEX(Tab_Def_Flows[[Flow_ID]:[CC_DM_source]],MATCH(Tab_Data_Flows[[#This Row],[Name(EN)]],Tab_Def_Flows[Name(EN)],0),15)</f>
        <v>1</v>
      </c>
      <c r="AG12" s="10">
        <f>IF(K12="Yes",AF12*Tab_Data_Flows[[#This Row],[Flow_Py]],"N.A.")</f>
        <v>200</v>
      </c>
      <c r="AH12" s="10" t="str">
        <f>Tab_Data_Flows[[#This Row],[UoM_Flow_Py]]</f>
        <v>Mg</v>
      </c>
      <c r="AI12" s="193">
        <f>INDEX(Tab_Def_Flows[[Flow_ID]:[CC_DM_source]],MATCH(Tab_Data_Flows[[#This Row],[Name(EN)]],Tab_Def_Flows[Name(EN)],0),17)</f>
        <v>1</v>
      </c>
      <c r="AJ12" s="10">
        <f>IF(L12="Yes",AI12*Tab_Data_Flows[[#This Row],[Flow_Py]]*Tab_Data_Flows[[#This Row],[DM_'[%']]],"N.A.")</f>
        <v>200</v>
      </c>
      <c r="AK12" s="10" t="str">
        <f>Tab_Data_Flows[[#This Row],[UoM_Flow_Py]]</f>
        <v>Mg</v>
      </c>
    </row>
    <row r="13" spans="1:37" x14ac:dyDescent="0.25">
      <c r="A13" s="17">
        <f t="shared" si="0"/>
        <v>12</v>
      </c>
      <c r="B13" s="10" t="str">
        <f>_xlfn.XLOOKUP(C13,Tab_Def_Flows[Name(EN)],Tab_Def_Flows[Flow_ID],,0,)</f>
        <v>F_00_02</v>
      </c>
      <c r="C13" s="12" t="s">
        <v>285</v>
      </c>
      <c r="D13" s="10">
        <f>_xlfn.XLOOKUP(C13,Tab_Def_Flows[Name(EN)],Tab_Def_Flows[Type_Biomass],,0,)</f>
        <v>0</v>
      </c>
      <c r="E13" s="10" t="str">
        <f>_xlfn.XLOOKUP(C13,Tab_Def_Flows[Name(EN)],Tab_Def_Flows[Output_Process],,0,)</f>
        <v>Atmosphere</v>
      </c>
      <c r="F13" s="10" t="str">
        <f>_xlfn.XLOOKUP(C13,Tab_Def_Flows[Name(EN)],Tab_Def_Flows[Process_ID_O],,0,)</f>
        <v>00</v>
      </c>
      <c r="G13" s="10" t="str">
        <f>_xlfn.XLOOKUP(C13,Tab_Def_Flows[Name(EN)],Tab_Def_Flows[Input_Process],,0,)</f>
        <v>Cultivation</v>
      </c>
      <c r="H13" s="18" t="str">
        <f>_xlfn.XLOOKUP(C13,Tab_Def_Flows[Name(EN)],Tab_Def_Flows[Process_ID_I],,0,)</f>
        <v>02</v>
      </c>
      <c r="I13" s="10" t="e">
        <f>_xlfn.XLOOKUP(C13,Tab_Def_Flows[Name(EN)],#REF!,,0,)</f>
        <v>#REF!</v>
      </c>
      <c r="J13" s="10" t="str">
        <f>_xlfn.XLOOKUP(C13,Tab_Def_Flows[Name(EN)],Tab_Def_Flows[WC?],,0,)</f>
        <v>Yes</v>
      </c>
      <c r="K13" s="10" t="str">
        <f>_xlfn.XLOOKUP(C13,Tab_Def_Flows[Name(EN)],Tab_Def_Flows[DM?],,0,)</f>
        <v>Yes</v>
      </c>
      <c r="L13" s="10" t="str">
        <f>_xlfn.XLOOKUP(C13,Tab_Def_Flows[Name(EN)],Tab_Def_Flows[CC?],,0,)</f>
        <v>Yes</v>
      </c>
      <c r="M13" s="12">
        <v>2036</v>
      </c>
      <c r="N13" s="12" t="s">
        <v>105</v>
      </c>
      <c r="O13" s="50">
        <v>10</v>
      </c>
      <c r="P13" s="12"/>
      <c r="Q13" s="12"/>
      <c r="R13" s="12" t="e">
        <f>INDEX(#REF!,MATCH(Tab_Data_Flows[[#This Row],[Name(EN)]],#REF!,0),12)</f>
        <v>#REF!</v>
      </c>
      <c r="S13" s="12" t="e">
        <f>MATCH(Tab_Data_Flows[[#This Row],[Name(EN)]],#REF!,0)</f>
        <v>#REF!</v>
      </c>
      <c r="T13" s="12"/>
      <c r="U13" s="12"/>
      <c r="V13" s="12"/>
      <c r="W13" s="12"/>
      <c r="X13" s="12" t="s">
        <v>8</v>
      </c>
      <c r="Y13" s="12"/>
      <c r="Z13" s="12"/>
      <c r="AA13" s="36">
        <f t="shared" si="1"/>
        <v>10</v>
      </c>
      <c r="AB13" s="12" t="s">
        <v>283</v>
      </c>
      <c r="AC13" s="193">
        <f>INDEX(Tab_Def_Flows[[Flow_ID]:[CC_DM_source]],MATCH(Tab_Data_Flows[[#This Row],[Name(EN)]],Tab_Def_Flows[Name(EN)],0),13)</f>
        <v>0</v>
      </c>
      <c r="AD13" s="10">
        <f>IF(J13="Yes",AA13*Tab_Data_Flows[[#This Row],[WC_'[%']]],"N.A.")</f>
        <v>0</v>
      </c>
      <c r="AE13" s="10" t="str">
        <f>Tab_Data_Flows[[#This Row],[UoM_Flow_Py]]</f>
        <v>Mg</v>
      </c>
      <c r="AF13" s="193">
        <f>INDEX(Tab_Def_Flows[[Flow_ID]:[CC_DM_source]],MATCH(Tab_Data_Flows[[#This Row],[Name(EN)]],Tab_Def_Flows[Name(EN)],0),15)</f>
        <v>1</v>
      </c>
      <c r="AG13" s="10">
        <f>IF(K13="Yes",AF13*Tab_Data_Flows[[#This Row],[Flow_Py]],"N.A.")</f>
        <v>10</v>
      </c>
      <c r="AH13" s="10" t="str">
        <f>Tab_Data_Flows[[#This Row],[UoM_Flow_Py]]</f>
        <v>Mg</v>
      </c>
      <c r="AI13" s="193">
        <f>INDEX(Tab_Def_Flows[[Flow_ID]:[CC_DM_source]],MATCH(Tab_Data_Flows[[#This Row],[Name(EN)]],Tab_Def_Flows[Name(EN)],0),17)</f>
        <v>1</v>
      </c>
      <c r="AJ13" s="10">
        <f>IF(L13="Yes",AI13*Tab_Data_Flows[[#This Row],[Flow_Py]]*Tab_Data_Flows[[#This Row],[DM_'[%']]],"N.A.")</f>
        <v>10</v>
      </c>
      <c r="AK13" s="10" t="str">
        <f>Tab_Data_Flows[[#This Row],[UoM_Flow_Py]]</f>
        <v>Mg</v>
      </c>
    </row>
    <row r="14" spans="1:37" x14ac:dyDescent="0.25">
      <c r="A14" s="17">
        <f t="shared" si="0"/>
        <v>13</v>
      </c>
      <c r="B14" s="10" t="str">
        <f>_xlfn.XLOOKUP(C14,Tab_Def_Flows[Name(EN)],Tab_Def_Flows[Flow_ID],,0,)</f>
        <v>F_00_02</v>
      </c>
      <c r="C14" s="12" t="s">
        <v>285</v>
      </c>
      <c r="D14" s="10">
        <f>_xlfn.XLOOKUP(C14,Tab_Def_Flows[Name(EN)],Tab_Def_Flows[Type_Biomass],,0,)</f>
        <v>0</v>
      </c>
      <c r="E14" s="10" t="str">
        <f>_xlfn.XLOOKUP(C14,Tab_Def_Flows[Name(EN)],Tab_Def_Flows[Output_Process],,0,)</f>
        <v>Atmosphere</v>
      </c>
      <c r="F14" s="10" t="str">
        <f>_xlfn.XLOOKUP(C14,Tab_Def_Flows[Name(EN)],Tab_Def_Flows[Process_ID_O],,0,)</f>
        <v>00</v>
      </c>
      <c r="G14" s="10" t="str">
        <f>_xlfn.XLOOKUP(C14,Tab_Def_Flows[Name(EN)],Tab_Def_Flows[Input_Process],,0,)</f>
        <v>Cultivation</v>
      </c>
      <c r="H14" s="18" t="str">
        <f>_xlfn.XLOOKUP(C14,Tab_Def_Flows[Name(EN)],Tab_Def_Flows[Process_ID_I],,0,)</f>
        <v>02</v>
      </c>
      <c r="I14" s="10" t="e">
        <f>_xlfn.XLOOKUP(C14,Tab_Def_Flows[Name(EN)],#REF!,,0,)</f>
        <v>#REF!</v>
      </c>
      <c r="J14" s="10" t="str">
        <f>_xlfn.XLOOKUP(C14,Tab_Def_Flows[Name(EN)],Tab_Def_Flows[WC?],,0,)</f>
        <v>Yes</v>
      </c>
      <c r="K14" s="10" t="str">
        <f>_xlfn.XLOOKUP(C14,Tab_Def_Flows[Name(EN)],Tab_Def_Flows[DM?],,0,)</f>
        <v>Yes</v>
      </c>
      <c r="L14" s="10" t="str">
        <f>_xlfn.XLOOKUP(C14,Tab_Def_Flows[Name(EN)],Tab_Def_Flows[CC?],,0,)</f>
        <v>Yes</v>
      </c>
      <c r="M14" s="12">
        <v>2037</v>
      </c>
      <c r="N14" s="12" t="s">
        <v>105</v>
      </c>
      <c r="O14" s="50">
        <v>220</v>
      </c>
      <c r="P14" s="12"/>
      <c r="Q14" s="12"/>
      <c r="R14" s="12" t="e">
        <f>INDEX(#REF!,MATCH(Tab_Data_Flows[[#This Row],[Name(EN)]],#REF!,0),12)</f>
        <v>#REF!</v>
      </c>
      <c r="S14" s="12" t="e">
        <f>MATCH(Tab_Data_Flows[[#This Row],[Name(EN)]],#REF!,0)</f>
        <v>#REF!</v>
      </c>
      <c r="T14" s="12"/>
      <c r="U14" s="12"/>
      <c r="V14" s="12"/>
      <c r="W14" s="12"/>
      <c r="X14" s="12" t="s">
        <v>8</v>
      </c>
      <c r="Y14" s="12"/>
      <c r="Z14" s="12"/>
      <c r="AA14" s="36">
        <f t="shared" si="1"/>
        <v>220</v>
      </c>
      <c r="AB14" s="12" t="s">
        <v>283</v>
      </c>
      <c r="AC14" s="193">
        <f>INDEX(Tab_Def_Flows[[Flow_ID]:[CC_DM_source]],MATCH(Tab_Data_Flows[[#This Row],[Name(EN)]],Tab_Def_Flows[Name(EN)],0),13)</f>
        <v>0</v>
      </c>
      <c r="AD14" s="10">
        <f>IF(J14="Yes",AA14*Tab_Data_Flows[[#This Row],[WC_'[%']]],"N.A.")</f>
        <v>0</v>
      </c>
      <c r="AE14" s="10" t="str">
        <f>Tab_Data_Flows[[#This Row],[UoM_Flow_Py]]</f>
        <v>Mg</v>
      </c>
      <c r="AF14" s="193">
        <f>INDEX(Tab_Def_Flows[[Flow_ID]:[CC_DM_source]],MATCH(Tab_Data_Flows[[#This Row],[Name(EN)]],Tab_Def_Flows[Name(EN)],0),15)</f>
        <v>1</v>
      </c>
      <c r="AG14" s="10">
        <f>IF(K14="Yes",AF14*Tab_Data_Flows[[#This Row],[Flow_Py]],"N.A.")</f>
        <v>220</v>
      </c>
      <c r="AH14" s="10" t="str">
        <f>Tab_Data_Flows[[#This Row],[UoM_Flow_Py]]</f>
        <v>Mg</v>
      </c>
      <c r="AI14" s="193">
        <f>INDEX(Tab_Def_Flows[[Flow_ID]:[CC_DM_source]],MATCH(Tab_Data_Flows[[#This Row],[Name(EN)]],Tab_Def_Flows[Name(EN)],0),17)</f>
        <v>1</v>
      </c>
      <c r="AJ14" s="10">
        <f>IF(L14="Yes",AI14*Tab_Data_Flows[[#This Row],[Flow_Py]]*Tab_Data_Flows[[#This Row],[DM_'[%']]],"N.A.")</f>
        <v>220</v>
      </c>
      <c r="AK14" s="10" t="str">
        <f>Tab_Data_Flows[[#This Row],[UoM_Flow_Py]]</f>
        <v>Mg</v>
      </c>
    </row>
    <row r="15" spans="1:37" x14ac:dyDescent="0.25">
      <c r="A15" s="17">
        <f t="shared" si="0"/>
        <v>14</v>
      </c>
      <c r="B15" s="10" t="str">
        <f>_xlfn.XLOOKUP(C15,Tab_Def_Flows[Name(EN)],Tab_Def_Flows[Flow_ID],,0,)</f>
        <v>F_00_02</v>
      </c>
      <c r="C15" s="12" t="s">
        <v>285</v>
      </c>
      <c r="D15" s="10">
        <f>_xlfn.XLOOKUP(C15,Tab_Def_Flows[Name(EN)],Tab_Def_Flows[Type_Biomass],,0,)</f>
        <v>0</v>
      </c>
      <c r="E15" s="10" t="str">
        <f>_xlfn.XLOOKUP(C15,Tab_Def_Flows[Name(EN)],Tab_Def_Flows[Output_Process],,0,)</f>
        <v>Atmosphere</v>
      </c>
      <c r="F15" s="10" t="str">
        <f>_xlfn.XLOOKUP(C15,Tab_Def_Flows[Name(EN)],Tab_Def_Flows[Process_ID_O],,0,)</f>
        <v>00</v>
      </c>
      <c r="G15" s="10" t="str">
        <f>_xlfn.XLOOKUP(C15,Tab_Def_Flows[Name(EN)],Tab_Def_Flows[Input_Process],,0,)</f>
        <v>Cultivation</v>
      </c>
      <c r="H15" s="18" t="str">
        <f>_xlfn.XLOOKUP(C15,Tab_Def_Flows[Name(EN)],Tab_Def_Flows[Process_ID_I],,0,)</f>
        <v>02</v>
      </c>
      <c r="I15" s="10" t="e">
        <f>_xlfn.XLOOKUP(C15,Tab_Def_Flows[Name(EN)],#REF!,,0,)</f>
        <v>#REF!</v>
      </c>
      <c r="J15" s="10" t="str">
        <f>_xlfn.XLOOKUP(C15,Tab_Def_Flows[Name(EN)],Tab_Def_Flows[WC?],,0,)</f>
        <v>Yes</v>
      </c>
      <c r="K15" s="10" t="str">
        <f>_xlfn.XLOOKUP(C15,Tab_Def_Flows[Name(EN)],Tab_Def_Flows[DM?],,0,)</f>
        <v>Yes</v>
      </c>
      <c r="L15" s="10" t="str">
        <f>_xlfn.XLOOKUP(C15,Tab_Def_Flows[Name(EN)],Tab_Def_Flows[CC?],,0,)</f>
        <v>Yes</v>
      </c>
      <c r="M15" s="12">
        <v>2038</v>
      </c>
      <c r="N15" s="12" t="s">
        <v>105</v>
      </c>
      <c r="O15" s="50">
        <v>230</v>
      </c>
      <c r="P15" s="12"/>
      <c r="Q15" s="12"/>
      <c r="R15" s="12" t="e">
        <f>INDEX(#REF!,MATCH(Tab_Data_Flows[[#This Row],[Name(EN)]],#REF!,0),12)</f>
        <v>#REF!</v>
      </c>
      <c r="S15" s="12" t="e">
        <f>MATCH(Tab_Data_Flows[[#This Row],[Name(EN)]],#REF!,0)</f>
        <v>#REF!</v>
      </c>
      <c r="T15" s="12"/>
      <c r="U15" s="12"/>
      <c r="V15" s="12"/>
      <c r="W15" s="12"/>
      <c r="X15" s="12" t="s">
        <v>8</v>
      </c>
      <c r="Y15" s="12"/>
      <c r="Z15" s="12"/>
      <c r="AA15" s="36">
        <f t="shared" si="1"/>
        <v>230</v>
      </c>
      <c r="AB15" s="12" t="s">
        <v>283</v>
      </c>
      <c r="AC15" s="193">
        <f>INDEX(Tab_Def_Flows[[Flow_ID]:[CC_DM_source]],MATCH(Tab_Data_Flows[[#This Row],[Name(EN)]],Tab_Def_Flows[Name(EN)],0),13)</f>
        <v>0</v>
      </c>
      <c r="AD15" s="10">
        <f>IF(J15="Yes",AA15*Tab_Data_Flows[[#This Row],[WC_'[%']]],"N.A.")</f>
        <v>0</v>
      </c>
      <c r="AE15" s="10" t="str">
        <f>Tab_Data_Flows[[#This Row],[UoM_Flow_Py]]</f>
        <v>Mg</v>
      </c>
      <c r="AF15" s="193">
        <f>INDEX(Tab_Def_Flows[[Flow_ID]:[CC_DM_source]],MATCH(Tab_Data_Flows[[#This Row],[Name(EN)]],Tab_Def_Flows[Name(EN)],0),15)</f>
        <v>1</v>
      </c>
      <c r="AG15" s="10">
        <f>IF(K15="Yes",AF15*Tab_Data_Flows[[#This Row],[Flow_Py]],"N.A.")</f>
        <v>230</v>
      </c>
      <c r="AH15" s="10" t="str">
        <f>Tab_Data_Flows[[#This Row],[UoM_Flow_Py]]</f>
        <v>Mg</v>
      </c>
      <c r="AI15" s="193">
        <f>INDEX(Tab_Def_Flows[[Flow_ID]:[CC_DM_source]],MATCH(Tab_Data_Flows[[#This Row],[Name(EN)]],Tab_Def_Flows[Name(EN)],0),17)</f>
        <v>1</v>
      </c>
      <c r="AJ15" s="10">
        <f>IF(L15="Yes",AI15*Tab_Data_Flows[[#This Row],[Flow_Py]]*Tab_Data_Flows[[#This Row],[DM_'[%']]],"N.A.")</f>
        <v>230</v>
      </c>
      <c r="AK15" s="10" t="str">
        <f>Tab_Data_Flows[[#This Row],[UoM_Flow_Py]]</f>
        <v>Mg</v>
      </c>
    </row>
    <row r="16" spans="1:37" x14ac:dyDescent="0.25">
      <c r="A16" s="17">
        <f t="shared" si="0"/>
        <v>15</v>
      </c>
      <c r="B16" s="10" t="str">
        <f>_xlfn.XLOOKUP(C16,Tab_Def_Flows[Name(EN)],Tab_Def_Flows[Flow_ID],,0,)</f>
        <v>F_00_02</v>
      </c>
      <c r="C16" s="12" t="s">
        <v>285</v>
      </c>
      <c r="D16" s="10">
        <f>_xlfn.XLOOKUP(C16,Tab_Def_Flows[Name(EN)],Tab_Def_Flows[Type_Biomass],,0,)</f>
        <v>0</v>
      </c>
      <c r="E16" s="10" t="str">
        <f>_xlfn.XLOOKUP(C16,Tab_Def_Flows[Name(EN)],Tab_Def_Flows[Output_Process],,0,)</f>
        <v>Atmosphere</v>
      </c>
      <c r="F16" s="10" t="str">
        <f>_xlfn.XLOOKUP(C16,Tab_Def_Flows[Name(EN)],Tab_Def_Flows[Process_ID_O],,0,)</f>
        <v>00</v>
      </c>
      <c r="G16" s="10" t="str">
        <f>_xlfn.XLOOKUP(C16,Tab_Def_Flows[Name(EN)],Tab_Def_Flows[Input_Process],,0,)</f>
        <v>Cultivation</v>
      </c>
      <c r="H16" s="18" t="str">
        <f>_xlfn.XLOOKUP(C16,Tab_Def_Flows[Name(EN)],Tab_Def_Flows[Process_ID_I],,0,)</f>
        <v>02</v>
      </c>
      <c r="I16" s="10" t="e">
        <f>_xlfn.XLOOKUP(C16,Tab_Def_Flows[Name(EN)],#REF!,,0,)</f>
        <v>#REF!</v>
      </c>
      <c r="J16" s="10" t="str">
        <f>_xlfn.XLOOKUP(C16,Tab_Def_Flows[Name(EN)],Tab_Def_Flows[WC?],,0,)</f>
        <v>Yes</v>
      </c>
      <c r="K16" s="10" t="str">
        <f>_xlfn.XLOOKUP(C16,Tab_Def_Flows[Name(EN)],Tab_Def_Flows[DM?],,0,)</f>
        <v>Yes</v>
      </c>
      <c r="L16" s="10" t="str">
        <f>_xlfn.XLOOKUP(C16,Tab_Def_Flows[Name(EN)],Tab_Def_Flows[CC?],,0,)</f>
        <v>Yes</v>
      </c>
      <c r="M16" s="12">
        <v>2039</v>
      </c>
      <c r="N16" s="12" t="s">
        <v>105</v>
      </c>
      <c r="O16" s="50">
        <v>240</v>
      </c>
      <c r="P16" s="12"/>
      <c r="Q16" s="12"/>
      <c r="R16" s="12" t="e">
        <f>INDEX(#REF!,MATCH(Tab_Data_Flows[[#This Row],[Name(EN)]],#REF!,0),12)</f>
        <v>#REF!</v>
      </c>
      <c r="S16" s="12" t="e">
        <f>MATCH(Tab_Data_Flows[[#This Row],[Name(EN)]],#REF!,0)</f>
        <v>#REF!</v>
      </c>
      <c r="T16" s="12"/>
      <c r="U16" s="12"/>
      <c r="V16" s="12"/>
      <c r="W16" s="12"/>
      <c r="X16" s="12" t="s">
        <v>8</v>
      </c>
      <c r="Y16" s="12"/>
      <c r="Z16" s="12"/>
      <c r="AA16" s="36">
        <f t="shared" si="1"/>
        <v>240</v>
      </c>
      <c r="AB16" s="12" t="s">
        <v>283</v>
      </c>
      <c r="AC16" s="193">
        <f>INDEX(Tab_Def_Flows[[Flow_ID]:[CC_DM_source]],MATCH(Tab_Data_Flows[[#This Row],[Name(EN)]],Tab_Def_Flows[Name(EN)],0),13)</f>
        <v>0</v>
      </c>
      <c r="AD16" s="10">
        <f>IF(J16="Yes",AA16*Tab_Data_Flows[[#This Row],[WC_'[%']]],"N.A.")</f>
        <v>0</v>
      </c>
      <c r="AE16" s="10" t="str">
        <f>Tab_Data_Flows[[#This Row],[UoM_Flow_Py]]</f>
        <v>Mg</v>
      </c>
      <c r="AF16" s="193">
        <f>INDEX(Tab_Def_Flows[[Flow_ID]:[CC_DM_source]],MATCH(Tab_Data_Flows[[#This Row],[Name(EN)]],Tab_Def_Flows[Name(EN)],0),15)</f>
        <v>1</v>
      </c>
      <c r="AG16" s="10">
        <f>IF(K16="Yes",AF16*Tab_Data_Flows[[#This Row],[Flow_Py]],"N.A.")</f>
        <v>240</v>
      </c>
      <c r="AH16" s="10" t="str">
        <f>Tab_Data_Flows[[#This Row],[UoM_Flow_Py]]</f>
        <v>Mg</v>
      </c>
      <c r="AI16" s="193">
        <f>INDEX(Tab_Def_Flows[[Flow_ID]:[CC_DM_source]],MATCH(Tab_Data_Flows[[#This Row],[Name(EN)]],Tab_Def_Flows[Name(EN)],0),17)</f>
        <v>1</v>
      </c>
      <c r="AJ16" s="10">
        <f>IF(L16="Yes",AI16*Tab_Data_Flows[[#This Row],[Flow_Py]]*Tab_Data_Flows[[#This Row],[DM_'[%']]],"N.A.")</f>
        <v>240</v>
      </c>
      <c r="AK16" s="10" t="str">
        <f>Tab_Data_Flows[[#This Row],[UoM_Flow_Py]]</f>
        <v>Mg</v>
      </c>
    </row>
    <row r="17" spans="1:37" x14ac:dyDescent="0.25">
      <c r="A17" s="17">
        <f t="shared" si="0"/>
        <v>16</v>
      </c>
      <c r="B17" s="10" t="str">
        <f>_xlfn.XLOOKUP(C17,Tab_Def_Flows[Name(EN)],Tab_Def_Flows[Flow_ID],,0,)</f>
        <v>F_00_02</v>
      </c>
      <c r="C17" s="12" t="s">
        <v>285</v>
      </c>
      <c r="D17" s="10">
        <f>_xlfn.XLOOKUP(C17,Tab_Def_Flows[Name(EN)],Tab_Def_Flows[Type_Biomass],,0,)</f>
        <v>0</v>
      </c>
      <c r="E17" s="10" t="str">
        <f>_xlfn.XLOOKUP(C17,Tab_Def_Flows[Name(EN)],Tab_Def_Flows[Output_Process],,0,)</f>
        <v>Atmosphere</v>
      </c>
      <c r="F17" s="10" t="str">
        <f>_xlfn.XLOOKUP(C17,Tab_Def_Flows[Name(EN)],Tab_Def_Flows[Process_ID_O],,0,)</f>
        <v>00</v>
      </c>
      <c r="G17" s="10" t="str">
        <f>_xlfn.XLOOKUP(C17,Tab_Def_Flows[Name(EN)],Tab_Def_Flows[Input_Process],,0,)</f>
        <v>Cultivation</v>
      </c>
      <c r="H17" s="18" t="str">
        <f>_xlfn.XLOOKUP(C17,Tab_Def_Flows[Name(EN)],Tab_Def_Flows[Process_ID_I],,0,)</f>
        <v>02</v>
      </c>
      <c r="I17" s="10" t="e">
        <f>_xlfn.XLOOKUP(C17,Tab_Def_Flows[Name(EN)],#REF!,,0,)</f>
        <v>#REF!</v>
      </c>
      <c r="J17" s="10" t="str">
        <f>_xlfn.XLOOKUP(C17,Tab_Def_Flows[Name(EN)],Tab_Def_Flows[WC?],,0,)</f>
        <v>Yes</v>
      </c>
      <c r="K17" s="10" t="str">
        <f>_xlfn.XLOOKUP(C17,Tab_Def_Flows[Name(EN)],Tab_Def_Flows[DM?],,0,)</f>
        <v>Yes</v>
      </c>
      <c r="L17" s="10" t="str">
        <f>_xlfn.XLOOKUP(C17,Tab_Def_Flows[Name(EN)],Tab_Def_Flows[CC?],,0,)</f>
        <v>Yes</v>
      </c>
      <c r="M17" s="12">
        <v>2040</v>
      </c>
      <c r="N17" s="12" t="s">
        <v>105</v>
      </c>
      <c r="O17" s="50">
        <v>250</v>
      </c>
      <c r="P17" s="12"/>
      <c r="Q17" s="12"/>
      <c r="R17" s="12" t="e">
        <f>INDEX(#REF!,MATCH(Tab_Data_Flows[[#This Row],[Name(EN)]],#REF!,0),12)</f>
        <v>#REF!</v>
      </c>
      <c r="S17" s="12" t="e">
        <f>MATCH(Tab_Data_Flows[[#This Row],[Name(EN)]],#REF!,0)</f>
        <v>#REF!</v>
      </c>
      <c r="T17" s="12"/>
      <c r="U17" s="12"/>
      <c r="V17" s="12"/>
      <c r="W17" s="12"/>
      <c r="X17" s="12" t="s">
        <v>8</v>
      </c>
      <c r="Y17" s="12"/>
      <c r="Z17" s="12"/>
      <c r="AA17" s="36">
        <f t="shared" si="1"/>
        <v>250</v>
      </c>
      <c r="AB17" s="12" t="s">
        <v>283</v>
      </c>
      <c r="AC17" s="193">
        <f>INDEX(Tab_Def_Flows[[Flow_ID]:[CC_DM_source]],MATCH(Tab_Data_Flows[[#This Row],[Name(EN)]],Tab_Def_Flows[Name(EN)],0),13)</f>
        <v>0</v>
      </c>
      <c r="AD17" s="10">
        <f>IF(J17="Yes",AA17*Tab_Data_Flows[[#This Row],[WC_'[%']]],"N.A.")</f>
        <v>0</v>
      </c>
      <c r="AE17" s="10" t="str">
        <f>Tab_Data_Flows[[#This Row],[UoM_Flow_Py]]</f>
        <v>Mg</v>
      </c>
      <c r="AF17" s="193">
        <f>INDEX(Tab_Def_Flows[[Flow_ID]:[CC_DM_source]],MATCH(Tab_Data_Flows[[#This Row],[Name(EN)]],Tab_Def_Flows[Name(EN)],0),15)</f>
        <v>1</v>
      </c>
      <c r="AG17" s="10">
        <f>IF(K17="Yes",AF17*Tab_Data_Flows[[#This Row],[Flow_Py]],"N.A.")</f>
        <v>250</v>
      </c>
      <c r="AH17" s="10" t="str">
        <f>Tab_Data_Flows[[#This Row],[UoM_Flow_Py]]</f>
        <v>Mg</v>
      </c>
      <c r="AI17" s="193">
        <f>INDEX(Tab_Def_Flows[[Flow_ID]:[CC_DM_source]],MATCH(Tab_Data_Flows[[#This Row],[Name(EN)]],Tab_Def_Flows[Name(EN)],0),17)</f>
        <v>1</v>
      </c>
      <c r="AJ17" s="10">
        <f>IF(L17="Yes",AI17*Tab_Data_Flows[[#This Row],[Flow_Py]]*Tab_Data_Flows[[#This Row],[DM_'[%']]],"N.A.")</f>
        <v>250</v>
      </c>
      <c r="AK17" s="10" t="str">
        <f>Tab_Data_Flows[[#This Row],[UoM_Flow_Py]]</f>
        <v>Mg</v>
      </c>
    </row>
    <row r="18" spans="1:37" x14ac:dyDescent="0.25">
      <c r="A18" s="17">
        <f t="shared" si="0"/>
        <v>17</v>
      </c>
      <c r="B18" s="10" t="str">
        <f>_xlfn.XLOOKUP(C18,Tab_Def_Flows[Name(EN)],Tab_Def_Flows[Flow_ID],,0,)</f>
        <v>F_00_02</v>
      </c>
      <c r="C18" s="12" t="s">
        <v>285</v>
      </c>
      <c r="D18" s="10">
        <f>_xlfn.XLOOKUP(C18,Tab_Def_Flows[Name(EN)],Tab_Def_Flows[Type_Biomass],,0,)</f>
        <v>0</v>
      </c>
      <c r="E18" s="10" t="str">
        <f>_xlfn.XLOOKUP(C18,Tab_Def_Flows[Name(EN)],Tab_Def_Flows[Output_Process],,0,)</f>
        <v>Atmosphere</v>
      </c>
      <c r="F18" s="10" t="str">
        <f>_xlfn.XLOOKUP(C18,Tab_Def_Flows[Name(EN)],Tab_Def_Flows[Process_ID_O],,0,)</f>
        <v>00</v>
      </c>
      <c r="G18" s="10" t="str">
        <f>_xlfn.XLOOKUP(C18,Tab_Def_Flows[Name(EN)],Tab_Def_Flows[Input_Process],,0,)</f>
        <v>Cultivation</v>
      </c>
      <c r="H18" s="18" t="str">
        <f>_xlfn.XLOOKUP(C18,Tab_Def_Flows[Name(EN)],Tab_Def_Flows[Process_ID_I],,0,)</f>
        <v>02</v>
      </c>
      <c r="I18" s="10" t="e">
        <f>_xlfn.XLOOKUP(C18,Tab_Def_Flows[Name(EN)],#REF!,,0,)</f>
        <v>#REF!</v>
      </c>
      <c r="J18" s="10" t="str">
        <f>_xlfn.XLOOKUP(C18,Tab_Def_Flows[Name(EN)],Tab_Def_Flows[WC?],,0,)</f>
        <v>Yes</v>
      </c>
      <c r="K18" s="10" t="str">
        <f>_xlfn.XLOOKUP(C18,Tab_Def_Flows[Name(EN)],Tab_Def_Flows[DM?],,0,)</f>
        <v>Yes</v>
      </c>
      <c r="L18" s="10" t="str">
        <f>_xlfn.XLOOKUP(C18,Tab_Def_Flows[Name(EN)],Tab_Def_Flows[CC?],,0,)</f>
        <v>Yes</v>
      </c>
      <c r="M18" s="12">
        <v>2041</v>
      </c>
      <c r="N18" s="12" t="s">
        <v>105</v>
      </c>
      <c r="O18" s="50">
        <v>260</v>
      </c>
      <c r="P18" s="12"/>
      <c r="Q18" s="12"/>
      <c r="R18" s="12" t="e">
        <f>INDEX(#REF!,MATCH(Tab_Data_Flows[[#This Row],[Name(EN)]],#REF!,0),12)</f>
        <v>#REF!</v>
      </c>
      <c r="S18" s="12" t="e">
        <f>MATCH(Tab_Data_Flows[[#This Row],[Name(EN)]],#REF!,0)</f>
        <v>#REF!</v>
      </c>
      <c r="T18" s="12"/>
      <c r="U18" s="12"/>
      <c r="V18" s="12"/>
      <c r="W18" s="12"/>
      <c r="X18" s="12" t="s">
        <v>8</v>
      </c>
      <c r="Y18" s="12"/>
      <c r="Z18" s="12"/>
      <c r="AA18" s="36">
        <f t="shared" si="1"/>
        <v>260</v>
      </c>
      <c r="AB18" s="12" t="s">
        <v>283</v>
      </c>
      <c r="AC18" s="193">
        <f>INDEX(Tab_Def_Flows[[Flow_ID]:[CC_DM_source]],MATCH(Tab_Data_Flows[[#This Row],[Name(EN)]],Tab_Def_Flows[Name(EN)],0),13)</f>
        <v>0</v>
      </c>
      <c r="AD18" s="10">
        <f>IF(J18="Yes",AA18*Tab_Data_Flows[[#This Row],[WC_'[%']]],"N.A.")</f>
        <v>0</v>
      </c>
      <c r="AE18" s="10" t="str">
        <f>Tab_Data_Flows[[#This Row],[UoM_Flow_Py]]</f>
        <v>Mg</v>
      </c>
      <c r="AF18" s="193">
        <f>INDEX(Tab_Def_Flows[[Flow_ID]:[CC_DM_source]],MATCH(Tab_Data_Flows[[#This Row],[Name(EN)]],Tab_Def_Flows[Name(EN)],0),15)</f>
        <v>1</v>
      </c>
      <c r="AG18" s="10">
        <f>IF(K18="Yes",AF18*Tab_Data_Flows[[#This Row],[Flow_Py]],"N.A.")</f>
        <v>260</v>
      </c>
      <c r="AH18" s="10" t="str">
        <f>Tab_Data_Flows[[#This Row],[UoM_Flow_Py]]</f>
        <v>Mg</v>
      </c>
      <c r="AI18" s="193">
        <f>INDEX(Tab_Def_Flows[[Flow_ID]:[CC_DM_source]],MATCH(Tab_Data_Flows[[#This Row],[Name(EN)]],Tab_Def_Flows[Name(EN)],0),17)</f>
        <v>1</v>
      </c>
      <c r="AJ18" s="10">
        <f>IF(L18="Yes",AI18*Tab_Data_Flows[[#This Row],[Flow_Py]]*Tab_Data_Flows[[#This Row],[DM_'[%']]],"N.A.")</f>
        <v>260</v>
      </c>
      <c r="AK18" s="10" t="str">
        <f>Tab_Data_Flows[[#This Row],[UoM_Flow_Py]]</f>
        <v>Mg</v>
      </c>
    </row>
    <row r="19" spans="1:37" x14ac:dyDescent="0.25">
      <c r="A19" s="17">
        <f t="shared" si="0"/>
        <v>18</v>
      </c>
      <c r="B19" s="10" t="str">
        <f>_xlfn.XLOOKUP(C19,Tab_Def_Flows[Name(EN)],Tab_Def_Flows[Flow_ID],,0,)</f>
        <v>F_00_02</v>
      </c>
      <c r="C19" s="12" t="s">
        <v>285</v>
      </c>
      <c r="D19" s="10">
        <f>_xlfn.XLOOKUP(C19,Tab_Def_Flows[Name(EN)],Tab_Def_Flows[Type_Biomass],,0,)</f>
        <v>0</v>
      </c>
      <c r="E19" s="10" t="str">
        <f>_xlfn.XLOOKUP(C19,Tab_Def_Flows[Name(EN)],Tab_Def_Flows[Output_Process],,0,)</f>
        <v>Atmosphere</v>
      </c>
      <c r="F19" s="10" t="str">
        <f>_xlfn.XLOOKUP(C19,Tab_Def_Flows[Name(EN)],Tab_Def_Flows[Process_ID_O],,0,)</f>
        <v>00</v>
      </c>
      <c r="G19" s="10" t="str">
        <f>_xlfn.XLOOKUP(C19,Tab_Def_Flows[Name(EN)],Tab_Def_Flows[Input_Process],,0,)</f>
        <v>Cultivation</v>
      </c>
      <c r="H19" s="18" t="str">
        <f>_xlfn.XLOOKUP(C19,Tab_Def_Flows[Name(EN)],Tab_Def_Flows[Process_ID_I],,0,)</f>
        <v>02</v>
      </c>
      <c r="I19" s="10" t="e">
        <f>_xlfn.XLOOKUP(C19,Tab_Def_Flows[Name(EN)],#REF!,,0,)</f>
        <v>#REF!</v>
      </c>
      <c r="J19" s="10" t="str">
        <f>_xlfn.XLOOKUP(C19,Tab_Def_Flows[Name(EN)],Tab_Def_Flows[WC?],,0,)</f>
        <v>Yes</v>
      </c>
      <c r="K19" s="10" t="str">
        <f>_xlfn.XLOOKUP(C19,Tab_Def_Flows[Name(EN)],Tab_Def_Flows[DM?],,0,)</f>
        <v>Yes</v>
      </c>
      <c r="L19" s="10" t="str">
        <f>_xlfn.XLOOKUP(C19,Tab_Def_Flows[Name(EN)],Tab_Def_Flows[CC?],,0,)</f>
        <v>Yes</v>
      </c>
      <c r="M19" s="12">
        <v>2042</v>
      </c>
      <c r="N19" s="12" t="s">
        <v>105</v>
      </c>
      <c r="O19" s="50">
        <v>270</v>
      </c>
      <c r="P19" s="12"/>
      <c r="Q19" s="12"/>
      <c r="R19" s="12" t="e">
        <f>INDEX(#REF!,MATCH(Tab_Data_Flows[[#This Row],[Name(EN)]],#REF!,0),12)</f>
        <v>#REF!</v>
      </c>
      <c r="S19" s="12" t="e">
        <f>MATCH(Tab_Data_Flows[[#This Row],[Name(EN)]],#REF!,0)</f>
        <v>#REF!</v>
      </c>
      <c r="T19" s="12"/>
      <c r="U19" s="12"/>
      <c r="V19" s="12"/>
      <c r="W19" s="12"/>
      <c r="X19" s="12" t="s">
        <v>8</v>
      </c>
      <c r="Y19" s="12"/>
      <c r="Z19" s="12"/>
      <c r="AA19" s="36">
        <f t="shared" si="1"/>
        <v>270</v>
      </c>
      <c r="AB19" s="12" t="s">
        <v>283</v>
      </c>
      <c r="AC19" s="193">
        <f>INDEX(Tab_Def_Flows[[Flow_ID]:[CC_DM_source]],MATCH(Tab_Data_Flows[[#This Row],[Name(EN)]],Tab_Def_Flows[Name(EN)],0),13)</f>
        <v>0</v>
      </c>
      <c r="AD19" s="10">
        <f>IF(J19="Yes",AA19*Tab_Data_Flows[[#This Row],[WC_'[%']]],"N.A.")</f>
        <v>0</v>
      </c>
      <c r="AE19" s="10" t="str">
        <f>Tab_Data_Flows[[#This Row],[UoM_Flow_Py]]</f>
        <v>Mg</v>
      </c>
      <c r="AF19" s="193">
        <f>INDEX(Tab_Def_Flows[[Flow_ID]:[CC_DM_source]],MATCH(Tab_Data_Flows[[#This Row],[Name(EN)]],Tab_Def_Flows[Name(EN)],0),15)</f>
        <v>1</v>
      </c>
      <c r="AG19" s="10">
        <f>IF(K19="Yes",AF19*Tab_Data_Flows[[#This Row],[Flow_Py]],"N.A.")</f>
        <v>270</v>
      </c>
      <c r="AH19" s="10" t="str">
        <f>Tab_Data_Flows[[#This Row],[UoM_Flow_Py]]</f>
        <v>Mg</v>
      </c>
      <c r="AI19" s="193">
        <f>INDEX(Tab_Def_Flows[[Flow_ID]:[CC_DM_source]],MATCH(Tab_Data_Flows[[#This Row],[Name(EN)]],Tab_Def_Flows[Name(EN)],0),17)</f>
        <v>1</v>
      </c>
      <c r="AJ19" s="10">
        <f>IF(L19="Yes",AI19*Tab_Data_Flows[[#This Row],[Flow_Py]]*Tab_Data_Flows[[#This Row],[DM_'[%']]],"N.A.")</f>
        <v>270</v>
      </c>
      <c r="AK19" s="10" t="str">
        <f>Tab_Data_Flows[[#This Row],[UoM_Flow_Py]]</f>
        <v>Mg</v>
      </c>
    </row>
    <row r="20" spans="1:37" x14ac:dyDescent="0.25">
      <c r="A20" s="17">
        <f t="shared" si="0"/>
        <v>19</v>
      </c>
      <c r="B20" s="10" t="str">
        <f>_xlfn.XLOOKUP(C20,Tab_Def_Flows[Name(EN)],Tab_Def_Flows[Flow_ID],,0,)</f>
        <v>F_00_02</v>
      </c>
      <c r="C20" s="12" t="s">
        <v>285</v>
      </c>
      <c r="D20" s="10">
        <f>_xlfn.XLOOKUP(C20,Tab_Def_Flows[Name(EN)],Tab_Def_Flows[Type_Biomass],,0,)</f>
        <v>0</v>
      </c>
      <c r="E20" s="10" t="str">
        <f>_xlfn.XLOOKUP(C20,Tab_Def_Flows[Name(EN)],Tab_Def_Flows[Output_Process],,0,)</f>
        <v>Atmosphere</v>
      </c>
      <c r="F20" s="10" t="str">
        <f>_xlfn.XLOOKUP(C20,Tab_Def_Flows[Name(EN)],Tab_Def_Flows[Process_ID_O],,0,)</f>
        <v>00</v>
      </c>
      <c r="G20" s="10" t="str">
        <f>_xlfn.XLOOKUP(C20,Tab_Def_Flows[Name(EN)],Tab_Def_Flows[Input_Process],,0,)</f>
        <v>Cultivation</v>
      </c>
      <c r="H20" s="18" t="str">
        <f>_xlfn.XLOOKUP(C20,Tab_Def_Flows[Name(EN)],Tab_Def_Flows[Process_ID_I],,0,)</f>
        <v>02</v>
      </c>
      <c r="I20" s="10" t="e">
        <f>_xlfn.XLOOKUP(C20,Tab_Def_Flows[Name(EN)],#REF!,,0,)</f>
        <v>#REF!</v>
      </c>
      <c r="J20" s="10" t="str">
        <f>_xlfn.XLOOKUP(C20,Tab_Def_Flows[Name(EN)],Tab_Def_Flows[WC?],,0,)</f>
        <v>Yes</v>
      </c>
      <c r="K20" s="10" t="str">
        <f>_xlfn.XLOOKUP(C20,Tab_Def_Flows[Name(EN)],Tab_Def_Flows[DM?],,0,)</f>
        <v>Yes</v>
      </c>
      <c r="L20" s="10" t="str">
        <f>_xlfn.XLOOKUP(C20,Tab_Def_Flows[Name(EN)],Tab_Def_Flows[CC?],,0,)</f>
        <v>Yes</v>
      </c>
      <c r="M20" s="12">
        <v>2043</v>
      </c>
      <c r="N20" s="12" t="s">
        <v>105</v>
      </c>
      <c r="O20" s="50">
        <v>280</v>
      </c>
      <c r="P20" s="12"/>
      <c r="Q20" s="12"/>
      <c r="R20" s="12" t="e">
        <f>INDEX(#REF!,MATCH(Tab_Data_Flows[[#This Row],[Name(EN)]],#REF!,0),12)</f>
        <v>#REF!</v>
      </c>
      <c r="S20" s="12" t="e">
        <f>MATCH(Tab_Data_Flows[[#This Row],[Name(EN)]],#REF!,0)</f>
        <v>#REF!</v>
      </c>
      <c r="T20" s="12"/>
      <c r="U20" s="12"/>
      <c r="V20" s="12"/>
      <c r="W20" s="12"/>
      <c r="X20" s="12" t="s">
        <v>8</v>
      </c>
      <c r="Y20" s="12"/>
      <c r="Z20" s="12"/>
      <c r="AA20" s="36">
        <f t="shared" si="1"/>
        <v>280</v>
      </c>
      <c r="AB20" s="12" t="s">
        <v>283</v>
      </c>
      <c r="AC20" s="193">
        <f>INDEX(Tab_Def_Flows[[Flow_ID]:[CC_DM_source]],MATCH(Tab_Data_Flows[[#This Row],[Name(EN)]],Tab_Def_Flows[Name(EN)],0),13)</f>
        <v>0</v>
      </c>
      <c r="AD20" s="10">
        <f>IF(J20="Yes",AA20*Tab_Data_Flows[[#This Row],[WC_'[%']]],"N.A.")</f>
        <v>0</v>
      </c>
      <c r="AE20" s="10" t="str">
        <f>Tab_Data_Flows[[#This Row],[UoM_Flow_Py]]</f>
        <v>Mg</v>
      </c>
      <c r="AF20" s="193">
        <f>INDEX(Tab_Def_Flows[[Flow_ID]:[CC_DM_source]],MATCH(Tab_Data_Flows[[#This Row],[Name(EN)]],Tab_Def_Flows[Name(EN)],0),15)</f>
        <v>1</v>
      </c>
      <c r="AG20" s="10">
        <f>IF(K20="Yes",AF20*Tab_Data_Flows[[#This Row],[Flow_Py]],"N.A.")</f>
        <v>280</v>
      </c>
      <c r="AH20" s="10" t="str">
        <f>Tab_Data_Flows[[#This Row],[UoM_Flow_Py]]</f>
        <v>Mg</v>
      </c>
      <c r="AI20" s="193">
        <f>INDEX(Tab_Def_Flows[[Flow_ID]:[CC_DM_source]],MATCH(Tab_Data_Flows[[#This Row],[Name(EN)]],Tab_Def_Flows[Name(EN)],0),17)</f>
        <v>1</v>
      </c>
      <c r="AJ20" s="10">
        <f>IF(L20="Yes",AI20*Tab_Data_Flows[[#This Row],[Flow_Py]]*Tab_Data_Flows[[#This Row],[DM_'[%']]],"N.A.")</f>
        <v>280</v>
      </c>
      <c r="AK20" s="10" t="str">
        <f>Tab_Data_Flows[[#This Row],[UoM_Flow_Py]]</f>
        <v>Mg</v>
      </c>
    </row>
    <row r="21" spans="1:37" x14ac:dyDescent="0.25">
      <c r="A21" s="17">
        <f t="shared" si="0"/>
        <v>20</v>
      </c>
      <c r="B21" s="10" t="str">
        <f>_xlfn.XLOOKUP(C21,Tab_Def_Flows[Name(EN)],Tab_Def_Flows[Flow_ID],,0,)</f>
        <v>F_00_02</v>
      </c>
      <c r="C21" s="12" t="s">
        <v>285</v>
      </c>
      <c r="D21" s="10">
        <f>_xlfn.XLOOKUP(C21,Tab_Def_Flows[Name(EN)],Tab_Def_Flows[Type_Biomass],,0,)</f>
        <v>0</v>
      </c>
      <c r="E21" s="10" t="str">
        <f>_xlfn.XLOOKUP(C21,Tab_Def_Flows[Name(EN)],Tab_Def_Flows[Output_Process],,0,)</f>
        <v>Atmosphere</v>
      </c>
      <c r="F21" s="10" t="str">
        <f>_xlfn.XLOOKUP(C21,Tab_Def_Flows[Name(EN)],Tab_Def_Flows[Process_ID_O],,0,)</f>
        <v>00</v>
      </c>
      <c r="G21" s="10" t="str">
        <f>_xlfn.XLOOKUP(C21,Tab_Def_Flows[Name(EN)],Tab_Def_Flows[Input_Process],,0,)</f>
        <v>Cultivation</v>
      </c>
      <c r="H21" s="18" t="str">
        <f>_xlfn.XLOOKUP(C21,Tab_Def_Flows[Name(EN)],Tab_Def_Flows[Process_ID_I],,0,)</f>
        <v>02</v>
      </c>
      <c r="I21" s="10" t="e">
        <f>_xlfn.XLOOKUP(C21,Tab_Def_Flows[Name(EN)],#REF!,,0,)</f>
        <v>#REF!</v>
      </c>
      <c r="J21" s="10" t="str">
        <f>_xlfn.XLOOKUP(C21,Tab_Def_Flows[Name(EN)],Tab_Def_Flows[WC?],,0,)</f>
        <v>Yes</v>
      </c>
      <c r="K21" s="10" t="str">
        <f>_xlfn.XLOOKUP(C21,Tab_Def_Flows[Name(EN)],Tab_Def_Flows[DM?],,0,)</f>
        <v>Yes</v>
      </c>
      <c r="L21" s="10" t="str">
        <f>_xlfn.XLOOKUP(C21,Tab_Def_Flows[Name(EN)],Tab_Def_Flows[CC?],,0,)</f>
        <v>Yes</v>
      </c>
      <c r="M21" s="12">
        <v>2044</v>
      </c>
      <c r="N21" s="12" t="s">
        <v>105</v>
      </c>
      <c r="O21" s="50">
        <v>290</v>
      </c>
      <c r="P21" s="12"/>
      <c r="Q21" s="12"/>
      <c r="R21" s="12" t="e">
        <f>INDEX(#REF!,MATCH(Tab_Data_Flows[[#This Row],[Name(EN)]],#REF!,0),12)</f>
        <v>#REF!</v>
      </c>
      <c r="S21" s="12" t="e">
        <f>MATCH(Tab_Data_Flows[[#This Row],[Name(EN)]],#REF!,0)</f>
        <v>#REF!</v>
      </c>
      <c r="T21" s="12"/>
      <c r="U21" s="12"/>
      <c r="V21" s="12"/>
      <c r="W21" s="12"/>
      <c r="X21" s="12" t="s">
        <v>8</v>
      </c>
      <c r="Y21" s="12"/>
      <c r="Z21" s="12"/>
      <c r="AA21" s="36">
        <f t="shared" si="1"/>
        <v>290</v>
      </c>
      <c r="AB21" s="12" t="s">
        <v>283</v>
      </c>
      <c r="AC21" s="193">
        <f>INDEX(Tab_Def_Flows[[Flow_ID]:[CC_DM_source]],MATCH(Tab_Data_Flows[[#This Row],[Name(EN)]],Tab_Def_Flows[Name(EN)],0),13)</f>
        <v>0</v>
      </c>
      <c r="AD21" s="10">
        <f>IF(J21="Yes",AA21*Tab_Data_Flows[[#This Row],[WC_'[%']]],"N.A.")</f>
        <v>0</v>
      </c>
      <c r="AE21" s="10" t="str">
        <f>Tab_Data_Flows[[#This Row],[UoM_Flow_Py]]</f>
        <v>Mg</v>
      </c>
      <c r="AF21" s="193">
        <f>INDEX(Tab_Def_Flows[[Flow_ID]:[CC_DM_source]],MATCH(Tab_Data_Flows[[#This Row],[Name(EN)]],Tab_Def_Flows[Name(EN)],0),15)</f>
        <v>1</v>
      </c>
      <c r="AG21" s="10">
        <f>IF(K21="Yes",AF21*Tab_Data_Flows[[#This Row],[Flow_Py]],"N.A.")</f>
        <v>290</v>
      </c>
      <c r="AH21" s="10" t="str">
        <f>Tab_Data_Flows[[#This Row],[UoM_Flow_Py]]</f>
        <v>Mg</v>
      </c>
      <c r="AI21" s="193">
        <f>INDEX(Tab_Def_Flows[[Flow_ID]:[CC_DM_source]],MATCH(Tab_Data_Flows[[#This Row],[Name(EN)]],Tab_Def_Flows[Name(EN)],0),17)</f>
        <v>1</v>
      </c>
      <c r="AJ21" s="10">
        <f>IF(L21="Yes",AI21*Tab_Data_Flows[[#This Row],[Flow_Py]]*Tab_Data_Flows[[#This Row],[DM_'[%']]],"N.A.")</f>
        <v>290</v>
      </c>
      <c r="AK21" s="10" t="str">
        <f>Tab_Data_Flows[[#This Row],[UoM_Flow_Py]]</f>
        <v>Mg</v>
      </c>
    </row>
    <row r="22" spans="1:37" x14ac:dyDescent="0.25">
      <c r="A22" s="17">
        <f t="shared" si="0"/>
        <v>21</v>
      </c>
      <c r="B22" s="10" t="str">
        <f>_xlfn.XLOOKUP(C22,Tab_Def_Flows[Name(EN)],Tab_Def_Flows[Flow_ID],,0,)</f>
        <v>F_00_02</v>
      </c>
      <c r="C22" s="12" t="s">
        <v>285</v>
      </c>
      <c r="D22" s="10">
        <f>_xlfn.XLOOKUP(C22,Tab_Def_Flows[Name(EN)],Tab_Def_Flows[Type_Biomass],,0,)</f>
        <v>0</v>
      </c>
      <c r="E22" s="10" t="str">
        <f>_xlfn.XLOOKUP(C22,Tab_Def_Flows[Name(EN)],Tab_Def_Flows[Output_Process],,0,)</f>
        <v>Atmosphere</v>
      </c>
      <c r="F22" s="10" t="str">
        <f>_xlfn.XLOOKUP(C22,Tab_Def_Flows[Name(EN)],Tab_Def_Flows[Process_ID_O],,0,)</f>
        <v>00</v>
      </c>
      <c r="G22" s="10" t="str">
        <f>_xlfn.XLOOKUP(C22,Tab_Def_Flows[Name(EN)],Tab_Def_Flows[Input_Process],,0,)</f>
        <v>Cultivation</v>
      </c>
      <c r="H22" s="18" t="str">
        <f>_xlfn.XLOOKUP(C22,Tab_Def_Flows[Name(EN)],Tab_Def_Flows[Process_ID_I],,0,)</f>
        <v>02</v>
      </c>
      <c r="I22" s="10" t="e">
        <f>_xlfn.XLOOKUP(C22,Tab_Def_Flows[Name(EN)],#REF!,,0,)</f>
        <v>#REF!</v>
      </c>
      <c r="J22" s="10" t="str">
        <f>_xlfn.XLOOKUP(C22,Tab_Def_Flows[Name(EN)],Tab_Def_Flows[WC?],,0,)</f>
        <v>Yes</v>
      </c>
      <c r="K22" s="10" t="str">
        <f>_xlfn.XLOOKUP(C22,Tab_Def_Flows[Name(EN)],Tab_Def_Flows[DM?],,0,)</f>
        <v>Yes</v>
      </c>
      <c r="L22" s="10" t="str">
        <f>_xlfn.XLOOKUP(C22,Tab_Def_Flows[Name(EN)],Tab_Def_Flows[CC?],,0,)</f>
        <v>Yes</v>
      </c>
      <c r="M22" s="12">
        <v>2045</v>
      </c>
      <c r="N22" s="12" t="s">
        <v>105</v>
      </c>
      <c r="O22" s="50">
        <v>300</v>
      </c>
      <c r="P22" s="12"/>
      <c r="Q22" s="12"/>
      <c r="R22" s="12" t="e">
        <f>INDEX(#REF!,MATCH(Tab_Data_Flows[[#This Row],[Name(EN)]],#REF!,0),12)</f>
        <v>#REF!</v>
      </c>
      <c r="S22" s="12" t="e">
        <f>MATCH(Tab_Data_Flows[[#This Row],[Name(EN)]],#REF!,0)</f>
        <v>#REF!</v>
      </c>
      <c r="T22" s="12"/>
      <c r="U22" s="12"/>
      <c r="V22" s="12"/>
      <c r="W22" s="12"/>
      <c r="X22" s="12" t="s">
        <v>8</v>
      </c>
      <c r="Y22" s="12"/>
      <c r="Z22" s="12"/>
      <c r="AA22" s="36">
        <f t="shared" si="1"/>
        <v>300</v>
      </c>
      <c r="AB22" s="12" t="s">
        <v>283</v>
      </c>
      <c r="AC22" s="193">
        <f>INDEX(Tab_Def_Flows[[Flow_ID]:[CC_DM_source]],MATCH(Tab_Data_Flows[[#This Row],[Name(EN)]],Tab_Def_Flows[Name(EN)],0),13)</f>
        <v>0</v>
      </c>
      <c r="AD22" s="10">
        <f>IF(J22="Yes",AA22*Tab_Data_Flows[[#This Row],[WC_'[%']]],"N.A.")</f>
        <v>0</v>
      </c>
      <c r="AE22" s="10" t="str">
        <f>Tab_Data_Flows[[#This Row],[UoM_Flow_Py]]</f>
        <v>Mg</v>
      </c>
      <c r="AF22" s="193">
        <f>INDEX(Tab_Def_Flows[[Flow_ID]:[CC_DM_source]],MATCH(Tab_Data_Flows[[#This Row],[Name(EN)]],Tab_Def_Flows[Name(EN)],0),15)</f>
        <v>1</v>
      </c>
      <c r="AG22" s="10">
        <f>IF(K22="Yes",AF22*Tab_Data_Flows[[#This Row],[Flow_Py]],"N.A.")</f>
        <v>300</v>
      </c>
      <c r="AH22" s="10" t="str">
        <f>Tab_Data_Flows[[#This Row],[UoM_Flow_Py]]</f>
        <v>Mg</v>
      </c>
      <c r="AI22" s="193">
        <f>INDEX(Tab_Def_Flows[[Flow_ID]:[CC_DM_source]],MATCH(Tab_Data_Flows[[#This Row],[Name(EN)]],Tab_Def_Flows[Name(EN)],0),17)</f>
        <v>1</v>
      </c>
      <c r="AJ22" s="10">
        <f>IF(L22="Yes",AI22*Tab_Data_Flows[[#This Row],[Flow_Py]]*Tab_Data_Flows[[#This Row],[DM_'[%']]],"N.A.")</f>
        <v>300</v>
      </c>
      <c r="AK22" s="10" t="str">
        <f>Tab_Data_Flows[[#This Row],[UoM_Flow_Py]]</f>
        <v>Mg</v>
      </c>
    </row>
    <row r="23" spans="1:37" x14ac:dyDescent="0.25">
      <c r="A23" s="17">
        <f t="shared" si="0"/>
        <v>22</v>
      </c>
      <c r="B23" s="10" t="str">
        <f>_xlfn.XLOOKUP(C23,Tab_Def_Flows[Name(EN)],Tab_Def_Flows[Flow_ID],,0,)</f>
        <v>F_00_02</v>
      </c>
      <c r="C23" s="12" t="s">
        <v>285</v>
      </c>
      <c r="D23" s="10">
        <f>_xlfn.XLOOKUP(C23,Tab_Def_Flows[Name(EN)],Tab_Def_Flows[Type_Biomass],,0,)</f>
        <v>0</v>
      </c>
      <c r="E23" s="10" t="str">
        <f>_xlfn.XLOOKUP(C23,Tab_Def_Flows[Name(EN)],Tab_Def_Flows[Output_Process],,0,)</f>
        <v>Atmosphere</v>
      </c>
      <c r="F23" s="10" t="str">
        <f>_xlfn.XLOOKUP(C23,Tab_Def_Flows[Name(EN)],Tab_Def_Flows[Process_ID_O],,0,)</f>
        <v>00</v>
      </c>
      <c r="G23" s="10" t="str">
        <f>_xlfn.XLOOKUP(C23,Tab_Def_Flows[Name(EN)],Tab_Def_Flows[Input_Process],,0,)</f>
        <v>Cultivation</v>
      </c>
      <c r="H23" s="18" t="str">
        <f>_xlfn.XLOOKUP(C23,Tab_Def_Flows[Name(EN)],Tab_Def_Flows[Process_ID_I],,0,)</f>
        <v>02</v>
      </c>
      <c r="I23" s="10" t="e">
        <f>_xlfn.XLOOKUP(C23,Tab_Def_Flows[Name(EN)],#REF!,,0,)</f>
        <v>#REF!</v>
      </c>
      <c r="J23" s="10" t="str">
        <f>_xlfn.XLOOKUP(C23,Tab_Def_Flows[Name(EN)],Tab_Def_Flows[WC?],,0,)</f>
        <v>Yes</v>
      </c>
      <c r="K23" s="10" t="str">
        <f>_xlfn.XLOOKUP(C23,Tab_Def_Flows[Name(EN)],Tab_Def_Flows[DM?],,0,)</f>
        <v>Yes</v>
      </c>
      <c r="L23" s="10" t="str">
        <f>_xlfn.XLOOKUP(C23,Tab_Def_Flows[Name(EN)],Tab_Def_Flows[CC?],,0,)</f>
        <v>Yes</v>
      </c>
      <c r="M23" s="12">
        <v>2046</v>
      </c>
      <c r="N23" s="12" t="s">
        <v>105</v>
      </c>
      <c r="O23" s="50">
        <v>310</v>
      </c>
      <c r="P23" s="12"/>
      <c r="Q23" s="12"/>
      <c r="R23" s="12" t="e">
        <f>INDEX(#REF!,MATCH(Tab_Data_Flows[[#This Row],[Name(EN)]],#REF!,0),12)</f>
        <v>#REF!</v>
      </c>
      <c r="S23" s="12" t="e">
        <f>MATCH(Tab_Data_Flows[[#This Row],[Name(EN)]],#REF!,0)</f>
        <v>#REF!</v>
      </c>
      <c r="T23" s="12"/>
      <c r="U23" s="12"/>
      <c r="V23" s="12"/>
      <c r="W23" s="12"/>
      <c r="X23" s="12" t="s">
        <v>8</v>
      </c>
      <c r="Y23" s="12"/>
      <c r="Z23" s="12"/>
      <c r="AA23" s="36">
        <f t="shared" si="1"/>
        <v>310</v>
      </c>
      <c r="AB23" s="12" t="s">
        <v>283</v>
      </c>
      <c r="AC23" s="193">
        <f>INDEX(Tab_Def_Flows[[Flow_ID]:[CC_DM_source]],MATCH(Tab_Data_Flows[[#This Row],[Name(EN)]],Tab_Def_Flows[Name(EN)],0),13)</f>
        <v>0</v>
      </c>
      <c r="AD23" s="10">
        <f>IF(J23="Yes",AA23*Tab_Data_Flows[[#This Row],[WC_'[%']]],"N.A.")</f>
        <v>0</v>
      </c>
      <c r="AE23" s="10" t="str">
        <f>Tab_Data_Flows[[#This Row],[UoM_Flow_Py]]</f>
        <v>Mg</v>
      </c>
      <c r="AF23" s="193">
        <f>INDEX(Tab_Def_Flows[[Flow_ID]:[CC_DM_source]],MATCH(Tab_Data_Flows[[#This Row],[Name(EN)]],Tab_Def_Flows[Name(EN)],0),15)</f>
        <v>1</v>
      </c>
      <c r="AG23" s="10">
        <f>IF(K23="Yes",AF23*Tab_Data_Flows[[#This Row],[Flow_Py]],"N.A.")</f>
        <v>310</v>
      </c>
      <c r="AH23" s="10" t="str">
        <f>Tab_Data_Flows[[#This Row],[UoM_Flow_Py]]</f>
        <v>Mg</v>
      </c>
      <c r="AI23" s="193">
        <f>INDEX(Tab_Def_Flows[[Flow_ID]:[CC_DM_source]],MATCH(Tab_Data_Flows[[#This Row],[Name(EN)]],Tab_Def_Flows[Name(EN)],0),17)</f>
        <v>1</v>
      </c>
      <c r="AJ23" s="10">
        <f>IF(L23="Yes",AI23*Tab_Data_Flows[[#This Row],[Flow_Py]]*Tab_Data_Flows[[#This Row],[DM_'[%']]],"N.A.")</f>
        <v>310</v>
      </c>
      <c r="AK23" s="10" t="str">
        <f>Tab_Data_Flows[[#This Row],[UoM_Flow_Py]]</f>
        <v>Mg</v>
      </c>
    </row>
    <row r="24" spans="1:37" x14ac:dyDescent="0.25">
      <c r="A24" s="17">
        <f t="shared" si="0"/>
        <v>23</v>
      </c>
      <c r="B24" s="10" t="str">
        <f>_xlfn.XLOOKUP(C24,Tab_Def_Flows[Name(EN)],Tab_Def_Flows[Flow_ID],,0,)</f>
        <v>F_00_02</v>
      </c>
      <c r="C24" s="12" t="s">
        <v>285</v>
      </c>
      <c r="D24" s="10">
        <f>_xlfn.XLOOKUP(C24,Tab_Def_Flows[Name(EN)],Tab_Def_Flows[Type_Biomass],,0,)</f>
        <v>0</v>
      </c>
      <c r="E24" s="10" t="str">
        <f>_xlfn.XLOOKUP(C24,Tab_Def_Flows[Name(EN)],Tab_Def_Flows[Output_Process],,0,)</f>
        <v>Atmosphere</v>
      </c>
      <c r="F24" s="10" t="str">
        <f>_xlfn.XLOOKUP(C24,Tab_Def_Flows[Name(EN)],Tab_Def_Flows[Process_ID_O],,0,)</f>
        <v>00</v>
      </c>
      <c r="G24" s="10" t="str">
        <f>_xlfn.XLOOKUP(C24,Tab_Def_Flows[Name(EN)],Tab_Def_Flows[Input_Process],,0,)</f>
        <v>Cultivation</v>
      </c>
      <c r="H24" s="18" t="str">
        <f>_xlfn.XLOOKUP(C24,Tab_Def_Flows[Name(EN)],Tab_Def_Flows[Process_ID_I],,0,)</f>
        <v>02</v>
      </c>
      <c r="I24" s="10" t="e">
        <f>_xlfn.XLOOKUP(C24,Tab_Def_Flows[Name(EN)],#REF!,,0,)</f>
        <v>#REF!</v>
      </c>
      <c r="J24" s="10" t="str">
        <f>_xlfn.XLOOKUP(C24,Tab_Def_Flows[Name(EN)],Tab_Def_Flows[WC?],,0,)</f>
        <v>Yes</v>
      </c>
      <c r="K24" s="10" t="str">
        <f>_xlfn.XLOOKUP(C24,Tab_Def_Flows[Name(EN)],Tab_Def_Flows[DM?],,0,)</f>
        <v>Yes</v>
      </c>
      <c r="L24" s="10" t="str">
        <f>_xlfn.XLOOKUP(C24,Tab_Def_Flows[Name(EN)],Tab_Def_Flows[CC?],,0,)</f>
        <v>Yes</v>
      </c>
      <c r="M24" s="12">
        <v>2047</v>
      </c>
      <c r="N24" s="12" t="s">
        <v>105</v>
      </c>
      <c r="O24" s="50">
        <v>320</v>
      </c>
      <c r="P24" s="12"/>
      <c r="Q24" s="12"/>
      <c r="R24" s="12" t="e">
        <f>INDEX(#REF!,MATCH(Tab_Data_Flows[[#This Row],[Name(EN)]],#REF!,0),12)</f>
        <v>#REF!</v>
      </c>
      <c r="S24" s="12" t="e">
        <f>MATCH(Tab_Data_Flows[[#This Row],[Name(EN)]],#REF!,0)</f>
        <v>#REF!</v>
      </c>
      <c r="T24" s="12"/>
      <c r="U24" s="12"/>
      <c r="V24" s="12"/>
      <c r="W24" s="12"/>
      <c r="X24" s="12" t="s">
        <v>8</v>
      </c>
      <c r="Y24" s="12"/>
      <c r="Z24" s="12"/>
      <c r="AA24" s="36">
        <f t="shared" si="1"/>
        <v>320</v>
      </c>
      <c r="AB24" s="12" t="s">
        <v>283</v>
      </c>
      <c r="AC24" s="193">
        <f>INDEX(Tab_Def_Flows[[Flow_ID]:[CC_DM_source]],MATCH(Tab_Data_Flows[[#This Row],[Name(EN)]],Tab_Def_Flows[Name(EN)],0),13)</f>
        <v>0</v>
      </c>
      <c r="AD24" s="10">
        <f>IF(J24="Yes",AA24*Tab_Data_Flows[[#This Row],[WC_'[%']]],"N.A.")</f>
        <v>0</v>
      </c>
      <c r="AE24" s="10" t="str">
        <f>Tab_Data_Flows[[#This Row],[UoM_Flow_Py]]</f>
        <v>Mg</v>
      </c>
      <c r="AF24" s="193">
        <f>INDEX(Tab_Def_Flows[[Flow_ID]:[CC_DM_source]],MATCH(Tab_Data_Flows[[#This Row],[Name(EN)]],Tab_Def_Flows[Name(EN)],0),15)</f>
        <v>1</v>
      </c>
      <c r="AG24" s="10">
        <f>IF(K24="Yes",AF24*Tab_Data_Flows[[#This Row],[Flow_Py]],"N.A.")</f>
        <v>320</v>
      </c>
      <c r="AH24" s="10" t="str">
        <f>Tab_Data_Flows[[#This Row],[UoM_Flow_Py]]</f>
        <v>Mg</v>
      </c>
      <c r="AI24" s="193">
        <f>INDEX(Tab_Def_Flows[[Flow_ID]:[CC_DM_source]],MATCH(Tab_Data_Flows[[#This Row],[Name(EN)]],Tab_Def_Flows[Name(EN)],0),17)</f>
        <v>1</v>
      </c>
      <c r="AJ24" s="10">
        <f>IF(L24="Yes",AI24*Tab_Data_Flows[[#This Row],[Flow_Py]]*Tab_Data_Flows[[#This Row],[DM_'[%']]],"N.A.")</f>
        <v>320</v>
      </c>
      <c r="AK24" s="10" t="str">
        <f>Tab_Data_Flows[[#This Row],[UoM_Flow_Py]]</f>
        <v>Mg</v>
      </c>
    </row>
    <row r="25" spans="1:37" x14ac:dyDescent="0.25">
      <c r="A25" s="17">
        <f t="shared" si="0"/>
        <v>24</v>
      </c>
      <c r="B25" s="10" t="str">
        <f>_xlfn.XLOOKUP(C25,Tab_Def_Flows[Name(EN)],Tab_Def_Flows[Flow_ID],,0,)</f>
        <v>F_00_02</v>
      </c>
      <c r="C25" s="12" t="s">
        <v>285</v>
      </c>
      <c r="D25" s="10">
        <f>_xlfn.XLOOKUP(C25,Tab_Def_Flows[Name(EN)],Tab_Def_Flows[Type_Biomass],,0,)</f>
        <v>0</v>
      </c>
      <c r="E25" s="10" t="str">
        <f>_xlfn.XLOOKUP(C25,Tab_Def_Flows[Name(EN)],Tab_Def_Flows[Output_Process],,0,)</f>
        <v>Atmosphere</v>
      </c>
      <c r="F25" s="10" t="str">
        <f>_xlfn.XLOOKUP(C25,Tab_Def_Flows[Name(EN)],Tab_Def_Flows[Process_ID_O],,0,)</f>
        <v>00</v>
      </c>
      <c r="G25" s="10" t="str">
        <f>_xlfn.XLOOKUP(C25,Tab_Def_Flows[Name(EN)],Tab_Def_Flows[Input_Process],,0,)</f>
        <v>Cultivation</v>
      </c>
      <c r="H25" s="18" t="str">
        <f>_xlfn.XLOOKUP(C25,Tab_Def_Flows[Name(EN)],Tab_Def_Flows[Process_ID_I],,0,)</f>
        <v>02</v>
      </c>
      <c r="I25" s="10" t="e">
        <f>_xlfn.XLOOKUP(C25,Tab_Def_Flows[Name(EN)],#REF!,,0,)</f>
        <v>#REF!</v>
      </c>
      <c r="J25" s="10" t="str">
        <f>_xlfn.XLOOKUP(C25,Tab_Def_Flows[Name(EN)],Tab_Def_Flows[WC?],,0,)</f>
        <v>Yes</v>
      </c>
      <c r="K25" s="10" t="str">
        <f>_xlfn.XLOOKUP(C25,Tab_Def_Flows[Name(EN)],Tab_Def_Flows[DM?],,0,)</f>
        <v>Yes</v>
      </c>
      <c r="L25" s="10" t="str">
        <f>_xlfn.XLOOKUP(C25,Tab_Def_Flows[Name(EN)],Tab_Def_Flows[CC?],,0,)</f>
        <v>Yes</v>
      </c>
      <c r="M25" s="12">
        <v>2048</v>
      </c>
      <c r="N25" s="12" t="s">
        <v>105</v>
      </c>
      <c r="O25" s="50">
        <v>330</v>
      </c>
      <c r="P25" s="12"/>
      <c r="Q25" s="12"/>
      <c r="R25" s="12" t="e">
        <f>INDEX(#REF!,MATCH(Tab_Data_Flows[[#This Row],[Name(EN)]],#REF!,0),12)</f>
        <v>#REF!</v>
      </c>
      <c r="S25" s="12" t="e">
        <f>MATCH(Tab_Data_Flows[[#This Row],[Name(EN)]],#REF!,0)</f>
        <v>#REF!</v>
      </c>
      <c r="T25" s="12"/>
      <c r="U25" s="12"/>
      <c r="V25" s="12"/>
      <c r="W25" s="12"/>
      <c r="X25" s="12" t="s">
        <v>8</v>
      </c>
      <c r="Y25" s="12"/>
      <c r="Z25" s="12"/>
      <c r="AA25" s="36">
        <f t="shared" si="1"/>
        <v>330</v>
      </c>
      <c r="AB25" s="12" t="s">
        <v>283</v>
      </c>
      <c r="AC25" s="193">
        <f>INDEX(Tab_Def_Flows[[Flow_ID]:[CC_DM_source]],MATCH(Tab_Data_Flows[[#This Row],[Name(EN)]],Tab_Def_Flows[Name(EN)],0),13)</f>
        <v>0</v>
      </c>
      <c r="AD25" s="10">
        <f>IF(J25="Yes",AA25*Tab_Data_Flows[[#This Row],[WC_'[%']]],"N.A.")</f>
        <v>0</v>
      </c>
      <c r="AE25" s="10" t="str">
        <f>Tab_Data_Flows[[#This Row],[UoM_Flow_Py]]</f>
        <v>Mg</v>
      </c>
      <c r="AF25" s="193">
        <f>INDEX(Tab_Def_Flows[[Flow_ID]:[CC_DM_source]],MATCH(Tab_Data_Flows[[#This Row],[Name(EN)]],Tab_Def_Flows[Name(EN)],0),15)</f>
        <v>1</v>
      </c>
      <c r="AG25" s="10">
        <f>IF(K25="Yes",AF25*Tab_Data_Flows[[#This Row],[Flow_Py]],"N.A.")</f>
        <v>330</v>
      </c>
      <c r="AH25" s="10" t="str">
        <f>Tab_Data_Flows[[#This Row],[UoM_Flow_Py]]</f>
        <v>Mg</v>
      </c>
      <c r="AI25" s="193">
        <f>INDEX(Tab_Def_Flows[[Flow_ID]:[CC_DM_source]],MATCH(Tab_Data_Flows[[#This Row],[Name(EN)]],Tab_Def_Flows[Name(EN)],0),17)</f>
        <v>1</v>
      </c>
      <c r="AJ25" s="10">
        <f>IF(L25="Yes",AI25*Tab_Data_Flows[[#This Row],[Flow_Py]]*Tab_Data_Flows[[#This Row],[DM_'[%']]],"N.A.")</f>
        <v>330</v>
      </c>
      <c r="AK25" s="10" t="str">
        <f>Tab_Data_Flows[[#This Row],[UoM_Flow_Py]]</f>
        <v>Mg</v>
      </c>
    </row>
    <row r="26" spans="1:37" x14ac:dyDescent="0.25">
      <c r="A26" s="17">
        <f t="shared" si="0"/>
        <v>25</v>
      </c>
      <c r="B26" s="10" t="str">
        <f>_xlfn.XLOOKUP(C26,Tab_Def_Flows[Name(EN)],Tab_Def_Flows[Flow_ID],,0,)</f>
        <v>F_00_02</v>
      </c>
      <c r="C26" s="12" t="s">
        <v>285</v>
      </c>
      <c r="D26" s="10">
        <f>_xlfn.XLOOKUP(C26,Tab_Def_Flows[Name(EN)],Tab_Def_Flows[Type_Biomass],,0,)</f>
        <v>0</v>
      </c>
      <c r="E26" s="10" t="str">
        <f>_xlfn.XLOOKUP(C26,Tab_Def_Flows[Name(EN)],Tab_Def_Flows[Output_Process],,0,)</f>
        <v>Atmosphere</v>
      </c>
      <c r="F26" s="10" t="str">
        <f>_xlfn.XLOOKUP(C26,Tab_Def_Flows[Name(EN)],Tab_Def_Flows[Process_ID_O],,0,)</f>
        <v>00</v>
      </c>
      <c r="G26" s="10" t="str">
        <f>_xlfn.XLOOKUP(C26,Tab_Def_Flows[Name(EN)],Tab_Def_Flows[Input_Process],,0,)</f>
        <v>Cultivation</v>
      </c>
      <c r="H26" s="18" t="str">
        <f>_xlfn.XLOOKUP(C26,Tab_Def_Flows[Name(EN)],Tab_Def_Flows[Process_ID_I],,0,)</f>
        <v>02</v>
      </c>
      <c r="I26" s="10" t="e">
        <f>_xlfn.XLOOKUP(C26,Tab_Def_Flows[Name(EN)],#REF!,,0,)</f>
        <v>#REF!</v>
      </c>
      <c r="J26" s="10" t="str">
        <f>_xlfn.XLOOKUP(C26,Tab_Def_Flows[Name(EN)],Tab_Def_Flows[WC?],,0,)</f>
        <v>Yes</v>
      </c>
      <c r="K26" s="10" t="str">
        <f>_xlfn.XLOOKUP(C26,Tab_Def_Flows[Name(EN)],Tab_Def_Flows[DM?],,0,)</f>
        <v>Yes</v>
      </c>
      <c r="L26" s="10" t="str">
        <f>_xlfn.XLOOKUP(C26,Tab_Def_Flows[Name(EN)],Tab_Def_Flows[CC?],,0,)</f>
        <v>Yes</v>
      </c>
      <c r="M26" s="12">
        <v>2049</v>
      </c>
      <c r="N26" s="12" t="s">
        <v>105</v>
      </c>
      <c r="O26" s="50">
        <v>340</v>
      </c>
      <c r="P26" s="12"/>
      <c r="Q26" s="12"/>
      <c r="R26" s="12" t="e">
        <f>INDEX(#REF!,MATCH(Tab_Data_Flows[[#This Row],[Name(EN)]],#REF!,0),12)</f>
        <v>#REF!</v>
      </c>
      <c r="S26" s="12" t="e">
        <f>MATCH(Tab_Data_Flows[[#This Row],[Name(EN)]],#REF!,0)</f>
        <v>#REF!</v>
      </c>
      <c r="T26" s="12"/>
      <c r="U26" s="12"/>
      <c r="V26" s="12"/>
      <c r="W26" s="12"/>
      <c r="X26" s="12" t="s">
        <v>8</v>
      </c>
      <c r="Y26" s="12"/>
      <c r="Z26" s="12"/>
      <c r="AA26" s="36">
        <f t="shared" si="1"/>
        <v>340</v>
      </c>
      <c r="AB26" s="12" t="s">
        <v>283</v>
      </c>
      <c r="AC26" s="193">
        <f>INDEX(Tab_Def_Flows[[Flow_ID]:[CC_DM_source]],MATCH(Tab_Data_Flows[[#This Row],[Name(EN)]],Tab_Def_Flows[Name(EN)],0),13)</f>
        <v>0</v>
      </c>
      <c r="AD26" s="10">
        <f>IF(J26="Yes",AA26*Tab_Data_Flows[[#This Row],[WC_'[%']]],"N.A.")</f>
        <v>0</v>
      </c>
      <c r="AE26" s="10" t="str">
        <f>Tab_Data_Flows[[#This Row],[UoM_Flow_Py]]</f>
        <v>Mg</v>
      </c>
      <c r="AF26" s="193">
        <f>INDEX(Tab_Def_Flows[[Flow_ID]:[CC_DM_source]],MATCH(Tab_Data_Flows[[#This Row],[Name(EN)]],Tab_Def_Flows[Name(EN)],0),15)</f>
        <v>1</v>
      </c>
      <c r="AG26" s="10">
        <f>IF(K26="Yes",AF26*Tab_Data_Flows[[#This Row],[Flow_Py]],"N.A.")</f>
        <v>340</v>
      </c>
      <c r="AH26" s="10" t="str">
        <f>Tab_Data_Flows[[#This Row],[UoM_Flow_Py]]</f>
        <v>Mg</v>
      </c>
      <c r="AI26" s="193">
        <f>INDEX(Tab_Def_Flows[[Flow_ID]:[CC_DM_source]],MATCH(Tab_Data_Flows[[#This Row],[Name(EN)]],Tab_Def_Flows[Name(EN)],0),17)</f>
        <v>1</v>
      </c>
      <c r="AJ26" s="10">
        <f>IF(L26="Yes",AI26*Tab_Data_Flows[[#This Row],[Flow_Py]]*Tab_Data_Flows[[#This Row],[DM_'[%']]],"N.A.")</f>
        <v>340</v>
      </c>
      <c r="AK26" s="10" t="str">
        <f>Tab_Data_Flows[[#This Row],[UoM_Flow_Py]]</f>
        <v>Mg</v>
      </c>
    </row>
    <row r="27" spans="1:37" x14ac:dyDescent="0.25">
      <c r="A27" s="17">
        <f t="shared" si="0"/>
        <v>26</v>
      </c>
      <c r="B27" s="10" t="str">
        <f>_xlfn.XLOOKUP(C27,Tab_Def_Flows[Name(EN)],Tab_Def_Flows[Flow_ID],,0,)</f>
        <v>F_00_02</v>
      </c>
      <c r="C27" s="12" t="s">
        <v>285</v>
      </c>
      <c r="D27" s="10">
        <f>_xlfn.XLOOKUP(C27,Tab_Def_Flows[Name(EN)],Tab_Def_Flows[Type_Biomass],,0,)</f>
        <v>0</v>
      </c>
      <c r="E27" s="10" t="str">
        <f>_xlfn.XLOOKUP(C27,Tab_Def_Flows[Name(EN)],Tab_Def_Flows[Output_Process],,0,)</f>
        <v>Atmosphere</v>
      </c>
      <c r="F27" s="10" t="str">
        <f>_xlfn.XLOOKUP(C27,Tab_Def_Flows[Name(EN)],Tab_Def_Flows[Process_ID_O],,0,)</f>
        <v>00</v>
      </c>
      <c r="G27" s="10" t="str">
        <f>_xlfn.XLOOKUP(C27,Tab_Def_Flows[Name(EN)],Tab_Def_Flows[Input_Process],,0,)</f>
        <v>Cultivation</v>
      </c>
      <c r="H27" s="18" t="str">
        <f>_xlfn.XLOOKUP(C27,Tab_Def_Flows[Name(EN)],Tab_Def_Flows[Process_ID_I],,0,)</f>
        <v>02</v>
      </c>
      <c r="I27" s="10" t="e">
        <f>_xlfn.XLOOKUP(C27,Tab_Def_Flows[Name(EN)],#REF!,,0,)</f>
        <v>#REF!</v>
      </c>
      <c r="J27" s="10" t="str">
        <f>_xlfn.XLOOKUP(C27,Tab_Def_Flows[Name(EN)],Tab_Def_Flows[WC?],,0,)</f>
        <v>Yes</v>
      </c>
      <c r="K27" s="10" t="str">
        <f>_xlfn.XLOOKUP(C27,Tab_Def_Flows[Name(EN)],Tab_Def_Flows[DM?],,0,)</f>
        <v>Yes</v>
      </c>
      <c r="L27" s="10" t="str">
        <f>_xlfn.XLOOKUP(C27,Tab_Def_Flows[Name(EN)],Tab_Def_Flows[CC?],,0,)</f>
        <v>Yes</v>
      </c>
      <c r="M27" s="12">
        <v>2050</v>
      </c>
      <c r="N27" s="12" t="s">
        <v>105</v>
      </c>
      <c r="O27" s="50">
        <v>350</v>
      </c>
      <c r="P27" s="12"/>
      <c r="Q27" s="12"/>
      <c r="R27" s="12" t="e">
        <f>INDEX(#REF!,MATCH(Tab_Data_Flows[[#This Row],[Name(EN)]],#REF!,0),12)</f>
        <v>#REF!</v>
      </c>
      <c r="S27" s="12" t="e">
        <f>MATCH(Tab_Data_Flows[[#This Row],[Name(EN)]],#REF!,0)</f>
        <v>#REF!</v>
      </c>
      <c r="T27" s="12"/>
      <c r="U27" s="12"/>
      <c r="V27" s="12"/>
      <c r="W27" s="12"/>
      <c r="X27" s="12" t="s">
        <v>8</v>
      </c>
      <c r="Y27" s="12"/>
      <c r="Z27" s="12"/>
      <c r="AA27" s="36">
        <f t="shared" si="1"/>
        <v>350</v>
      </c>
      <c r="AB27" s="12" t="s">
        <v>283</v>
      </c>
      <c r="AC27" s="193">
        <f>INDEX(Tab_Def_Flows[[Flow_ID]:[CC_DM_source]],MATCH(Tab_Data_Flows[[#This Row],[Name(EN)]],Tab_Def_Flows[Name(EN)],0),13)</f>
        <v>0</v>
      </c>
      <c r="AD27" s="10">
        <f>IF(J27="Yes",AA27*Tab_Data_Flows[[#This Row],[WC_'[%']]],"N.A.")</f>
        <v>0</v>
      </c>
      <c r="AE27" s="10" t="str">
        <f>Tab_Data_Flows[[#This Row],[UoM_Flow_Py]]</f>
        <v>Mg</v>
      </c>
      <c r="AF27" s="193">
        <f>INDEX(Tab_Def_Flows[[Flow_ID]:[CC_DM_source]],MATCH(Tab_Data_Flows[[#This Row],[Name(EN)]],Tab_Def_Flows[Name(EN)],0),15)</f>
        <v>1</v>
      </c>
      <c r="AG27" s="10">
        <f>IF(K27="Yes",AF27*Tab_Data_Flows[[#This Row],[Flow_Py]],"N.A.")</f>
        <v>350</v>
      </c>
      <c r="AH27" s="10" t="str">
        <f>Tab_Data_Flows[[#This Row],[UoM_Flow_Py]]</f>
        <v>Mg</v>
      </c>
      <c r="AI27" s="193">
        <f>INDEX(Tab_Def_Flows[[Flow_ID]:[CC_DM_source]],MATCH(Tab_Data_Flows[[#This Row],[Name(EN)]],Tab_Def_Flows[Name(EN)],0),17)</f>
        <v>1</v>
      </c>
      <c r="AJ27" s="10">
        <f>IF(L27="Yes",AI27*Tab_Data_Flows[[#This Row],[Flow_Py]]*Tab_Data_Flows[[#This Row],[DM_'[%']]],"N.A.")</f>
        <v>350</v>
      </c>
      <c r="AK27" s="10" t="str">
        <f>Tab_Data_Flows[[#This Row],[UoM_Flow_Py]]</f>
        <v>Mg</v>
      </c>
    </row>
    <row r="28" spans="1:37" x14ac:dyDescent="0.25">
      <c r="A28" s="17">
        <f t="shared" si="0"/>
        <v>27</v>
      </c>
      <c r="B28" s="10" t="str">
        <f>_xlfn.XLOOKUP(C28,Tab_Def_Flows[Name(EN)],Tab_Def_Flows[Flow_ID],,0,)</f>
        <v>F_01_02</v>
      </c>
      <c r="C28" s="12" t="s">
        <v>286</v>
      </c>
      <c r="D28" s="10">
        <f>_xlfn.XLOOKUP(C28,Tab_Def_Flows[Name(EN)],Tab_Def_Flows[Type_Biomass],,0,)</f>
        <v>0</v>
      </c>
      <c r="E28" s="10" t="str">
        <f>_xlfn.XLOOKUP(C28,Tab_Def_Flows[Name(EN)],Tab_Def_Flows[Output_Process],,0,)</f>
        <v>Environment</v>
      </c>
      <c r="F28" s="10" t="str">
        <f>_xlfn.XLOOKUP(C28,Tab_Def_Flows[Name(EN)],Tab_Def_Flows[Process_ID_O],,0,)</f>
        <v>01</v>
      </c>
      <c r="G28" s="10" t="str">
        <f>_xlfn.XLOOKUP(C28,Tab_Def_Flows[Name(EN)],Tab_Def_Flows[Input_Process],,0,)</f>
        <v>Cultivation</v>
      </c>
      <c r="H28" s="18" t="str">
        <f>_xlfn.XLOOKUP(C28,Tab_Def_Flows[Name(EN)],Tab_Def_Flows[Process_ID_I],,0,)</f>
        <v>02</v>
      </c>
      <c r="I28" s="10" t="e">
        <f>_xlfn.XLOOKUP(C28,Tab_Def_Flows[Name(EN)],#REF!,,0,)</f>
        <v>#REF!</v>
      </c>
      <c r="J28" s="10" t="str">
        <f>_xlfn.XLOOKUP(C28,Tab_Def_Flows[Name(EN)],Tab_Def_Flows[WC?],,0,)</f>
        <v>Yes</v>
      </c>
      <c r="K28" s="10" t="str">
        <f>_xlfn.XLOOKUP(C28,Tab_Def_Flows[Name(EN)],Tab_Def_Flows[DM?],,0,)</f>
        <v>Yes</v>
      </c>
      <c r="L28" s="10" t="str">
        <f>_xlfn.XLOOKUP(C28,Tab_Def_Flows[Name(EN)],Tab_Def_Flows[CC?],,0,)</f>
        <v>Yes</v>
      </c>
      <c r="M28" s="12">
        <v>2025</v>
      </c>
      <c r="N28" s="12" t="s">
        <v>105</v>
      </c>
      <c r="O28" s="50">
        <v>100</v>
      </c>
      <c r="P28" s="12"/>
      <c r="Q28" s="12"/>
      <c r="R28" s="12" t="e">
        <f>INDEX(#REF!,MATCH(Tab_Data_Flows[[#This Row],[Name(EN)]],#REF!,0),12)</f>
        <v>#REF!</v>
      </c>
      <c r="S28" s="12" t="e">
        <f>MATCH(Tab_Data_Flows[[#This Row],[Name(EN)]],#REF!,0)</f>
        <v>#REF!</v>
      </c>
      <c r="T28" s="12"/>
      <c r="U28" s="12"/>
      <c r="V28" s="12"/>
      <c r="W28" s="12"/>
      <c r="X28" s="12" t="s">
        <v>8</v>
      </c>
      <c r="Y28" s="12"/>
      <c r="Z28" s="12"/>
      <c r="AA28" s="36">
        <f t="shared" si="1"/>
        <v>100</v>
      </c>
      <c r="AB28" s="12" t="s">
        <v>283</v>
      </c>
      <c r="AC28" s="193">
        <f>INDEX(Tab_Def_Flows[[Flow_ID]:[CC_DM_source]],MATCH(Tab_Data_Flows[[#This Row],[Name(EN)]],Tab_Def_Flows[Name(EN)],0),13)</f>
        <v>0</v>
      </c>
      <c r="AD28" s="10">
        <f>IF(J28="Yes",AA28*Tab_Data_Flows[[#This Row],[WC_'[%']]],"N.A.")</f>
        <v>0</v>
      </c>
      <c r="AE28" s="10" t="str">
        <f>Tab_Data_Flows[[#This Row],[UoM_Flow_Py]]</f>
        <v>Mg</v>
      </c>
      <c r="AF28" s="193">
        <f>INDEX(Tab_Def_Flows[[Flow_ID]:[CC_DM_source]],MATCH(Tab_Data_Flows[[#This Row],[Name(EN)]],Tab_Def_Flows[Name(EN)],0),15)</f>
        <v>1</v>
      </c>
      <c r="AG28" s="10">
        <f>IF(K28="Yes",AF28*Tab_Data_Flows[[#This Row],[Flow_Py]],"N.A.")</f>
        <v>100</v>
      </c>
      <c r="AH28" s="10" t="str">
        <f>Tab_Data_Flows[[#This Row],[UoM_Flow_Py]]</f>
        <v>Mg</v>
      </c>
      <c r="AI28" s="193">
        <f>INDEX(Tab_Def_Flows[[Flow_ID]:[CC_DM_source]],MATCH(Tab_Data_Flows[[#This Row],[Name(EN)]],Tab_Def_Flows[Name(EN)],0),17)</f>
        <v>0</v>
      </c>
      <c r="AJ28" s="10">
        <f>IF(L28="Yes",AI28*Tab_Data_Flows[[#This Row],[Flow_Py]]*Tab_Data_Flows[[#This Row],[DM_'[%']]],"N.A.")</f>
        <v>0</v>
      </c>
      <c r="AK28" s="10" t="str">
        <f>Tab_Data_Flows[[#This Row],[UoM_Flow_Py]]</f>
        <v>Mg</v>
      </c>
    </row>
    <row r="29" spans="1:37" x14ac:dyDescent="0.25">
      <c r="A29" s="17">
        <f t="shared" si="0"/>
        <v>28</v>
      </c>
      <c r="B29" s="10" t="str">
        <f>_xlfn.XLOOKUP(C29,Tab_Def_Flows[Name(EN)],Tab_Def_Flows[Flow_ID],,0,)</f>
        <v>F_01_02</v>
      </c>
      <c r="C29" s="12" t="s">
        <v>286</v>
      </c>
      <c r="D29" s="10">
        <f>_xlfn.XLOOKUP(C29,Tab_Def_Flows[Name(EN)],Tab_Def_Flows[Type_Biomass],,0,)</f>
        <v>0</v>
      </c>
      <c r="E29" s="10" t="str">
        <f>_xlfn.XLOOKUP(C29,Tab_Def_Flows[Name(EN)],Tab_Def_Flows[Output_Process],,0,)</f>
        <v>Environment</v>
      </c>
      <c r="F29" s="10" t="str">
        <f>_xlfn.XLOOKUP(C29,Tab_Def_Flows[Name(EN)],Tab_Def_Flows[Process_ID_O],,0,)</f>
        <v>01</v>
      </c>
      <c r="G29" s="10" t="str">
        <f>_xlfn.XLOOKUP(C29,Tab_Def_Flows[Name(EN)],Tab_Def_Flows[Input_Process],,0,)</f>
        <v>Cultivation</v>
      </c>
      <c r="H29" s="18" t="str">
        <f>_xlfn.XLOOKUP(C29,Tab_Def_Flows[Name(EN)],Tab_Def_Flows[Process_ID_I],,0,)</f>
        <v>02</v>
      </c>
      <c r="I29" s="10" t="e">
        <f>_xlfn.XLOOKUP(C29,Tab_Def_Flows[Name(EN)],#REF!,,0,)</f>
        <v>#REF!</v>
      </c>
      <c r="J29" s="10" t="str">
        <f>_xlfn.XLOOKUP(C29,Tab_Def_Flows[Name(EN)],Tab_Def_Flows[WC?],,0,)</f>
        <v>Yes</v>
      </c>
      <c r="K29" s="10" t="str">
        <f>_xlfn.XLOOKUP(C29,Tab_Def_Flows[Name(EN)],Tab_Def_Flows[DM?],,0,)</f>
        <v>Yes</v>
      </c>
      <c r="L29" s="10" t="str">
        <f>_xlfn.XLOOKUP(C29,Tab_Def_Flows[Name(EN)],Tab_Def_Flows[CC?],,0,)</f>
        <v>Yes</v>
      </c>
      <c r="M29" s="12">
        <v>2026</v>
      </c>
      <c r="N29" s="12" t="s">
        <v>105</v>
      </c>
      <c r="O29" s="50">
        <v>110</v>
      </c>
      <c r="P29" s="12"/>
      <c r="Q29" s="12"/>
      <c r="R29" s="12" t="e">
        <f>INDEX(#REF!,MATCH(Tab_Data_Flows[[#This Row],[Name(EN)]],#REF!,0),12)</f>
        <v>#REF!</v>
      </c>
      <c r="S29" s="12" t="e">
        <f>MATCH(Tab_Data_Flows[[#This Row],[Name(EN)]],#REF!,0)</f>
        <v>#REF!</v>
      </c>
      <c r="T29" s="12"/>
      <c r="U29" s="12"/>
      <c r="V29" s="12"/>
      <c r="W29" s="12"/>
      <c r="X29" s="12" t="s">
        <v>8</v>
      </c>
      <c r="Y29" s="12"/>
      <c r="Z29" s="12"/>
      <c r="AA29" s="36">
        <f t="shared" si="1"/>
        <v>110</v>
      </c>
      <c r="AB29" s="12" t="s">
        <v>283</v>
      </c>
      <c r="AC29" s="193">
        <f>INDEX(Tab_Def_Flows[[Flow_ID]:[CC_DM_source]],MATCH(Tab_Data_Flows[[#This Row],[Name(EN)]],Tab_Def_Flows[Name(EN)],0),13)</f>
        <v>0</v>
      </c>
      <c r="AD29" s="10">
        <f>IF(J29="Yes",AA29*Tab_Data_Flows[[#This Row],[WC_'[%']]],"N.A.")</f>
        <v>0</v>
      </c>
      <c r="AE29" s="10" t="str">
        <f>Tab_Data_Flows[[#This Row],[UoM_Flow_Py]]</f>
        <v>Mg</v>
      </c>
      <c r="AF29" s="193">
        <f>INDEX(Tab_Def_Flows[[Flow_ID]:[CC_DM_source]],MATCH(Tab_Data_Flows[[#This Row],[Name(EN)]],Tab_Def_Flows[Name(EN)],0),15)</f>
        <v>1</v>
      </c>
      <c r="AG29" s="10">
        <f>IF(K29="Yes",AF29*Tab_Data_Flows[[#This Row],[Flow_Py]],"N.A.")</f>
        <v>110</v>
      </c>
      <c r="AH29" s="10" t="str">
        <f>Tab_Data_Flows[[#This Row],[UoM_Flow_Py]]</f>
        <v>Mg</v>
      </c>
      <c r="AI29" s="193">
        <f>INDEX(Tab_Def_Flows[[Flow_ID]:[CC_DM_source]],MATCH(Tab_Data_Flows[[#This Row],[Name(EN)]],Tab_Def_Flows[Name(EN)],0),17)</f>
        <v>0</v>
      </c>
      <c r="AJ29" s="10">
        <f>IF(L29="Yes",AI29*Tab_Data_Flows[[#This Row],[Flow_Py]]*Tab_Data_Flows[[#This Row],[DM_'[%']]],"N.A.")</f>
        <v>0</v>
      </c>
      <c r="AK29" s="10" t="str">
        <f>Tab_Data_Flows[[#This Row],[UoM_Flow_Py]]</f>
        <v>Mg</v>
      </c>
    </row>
    <row r="30" spans="1:37" x14ac:dyDescent="0.25">
      <c r="A30" s="17">
        <f t="shared" si="0"/>
        <v>29</v>
      </c>
      <c r="B30" s="10" t="str">
        <f>_xlfn.XLOOKUP(C30,Tab_Def_Flows[Name(EN)],Tab_Def_Flows[Flow_ID],,0,)</f>
        <v>F_01_02</v>
      </c>
      <c r="C30" s="12" t="s">
        <v>286</v>
      </c>
      <c r="D30" s="10">
        <f>_xlfn.XLOOKUP(C30,Tab_Def_Flows[Name(EN)],Tab_Def_Flows[Type_Biomass],,0,)</f>
        <v>0</v>
      </c>
      <c r="E30" s="10" t="str">
        <f>_xlfn.XLOOKUP(C30,Tab_Def_Flows[Name(EN)],Tab_Def_Flows[Output_Process],,0,)</f>
        <v>Environment</v>
      </c>
      <c r="F30" s="10" t="str">
        <f>_xlfn.XLOOKUP(C30,Tab_Def_Flows[Name(EN)],Tab_Def_Flows[Process_ID_O],,0,)</f>
        <v>01</v>
      </c>
      <c r="G30" s="10" t="str">
        <f>_xlfn.XLOOKUP(C30,Tab_Def_Flows[Name(EN)],Tab_Def_Flows[Input_Process],,0,)</f>
        <v>Cultivation</v>
      </c>
      <c r="H30" s="18" t="str">
        <f>_xlfn.XLOOKUP(C30,Tab_Def_Flows[Name(EN)],Tab_Def_Flows[Process_ID_I],,0,)</f>
        <v>02</v>
      </c>
      <c r="I30" s="10" t="e">
        <f>_xlfn.XLOOKUP(C30,Tab_Def_Flows[Name(EN)],#REF!,,0,)</f>
        <v>#REF!</v>
      </c>
      <c r="J30" s="10" t="str">
        <f>_xlfn.XLOOKUP(C30,Tab_Def_Flows[Name(EN)],Tab_Def_Flows[WC?],,0,)</f>
        <v>Yes</v>
      </c>
      <c r="K30" s="10" t="str">
        <f>_xlfn.XLOOKUP(C30,Tab_Def_Flows[Name(EN)],Tab_Def_Flows[DM?],,0,)</f>
        <v>Yes</v>
      </c>
      <c r="L30" s="10" t="str">
        <f>_xlfn.XLOOKUP(C30,Tab_Def_Flows[Name(EN)],Tab_Def_Flows[CC?],,0,)</f>
        <v>Yes</v>
      </c>
      <c r="M30" s="12">
        <v>2027</v>
      </c>
      <c r="N30" s="12" t="s">
        <v>105</v>
      </c>
      <c r="O30" s="50">
        <v>120</v>
      </c>
      <c r="P30" s="12"/>
      <c r="Q30" s="12"/>
      <c r="R30" s="12" t="e">
        <f>INDEX(#REF!,MATCH(Tab_Data_Flows[[#This Row],[Name(EN)]],#REF!,0),12)</f>
        <v>#REF!</v>
      </c>
      <c r="S30" s="12" t="e">
        <f>MATCH(Tab_Data_Flows[[#This Row],[Name(EN)]],#REF!,0)</f>
        <v>#REF!</v>
      </c>
      <c r="T30" s="12"/>
      <c r="U30" s="12"/>
      <c r="V30" s="12"/>
      <c r="W30" s="12"/>
      <c r="X30" s="12" t="s">
        <v>8</v>
      </c>
      <c r="Y30" s="12"/>
      <c r="Z30" s="12"/>
      <c r="AA30" s="36">
        <f t="shared" si="1"/>
        <v>120</v>
      </c>
      <c r="AB30" s="12" t="s">
        <v>283</v>
      </c>
      <c r="AC30" s="193">
        <f>INDEX(Tab_Def_Flows[[Flow_ID]:[CC_DM_source]],MATCH(Tab_Data_Flows[[#This Row],[Name(EN)]],Tab_Def_Flows[Name(EN)],0),13)</f>
        <v>0</v>
      </c>
      <c r="AD30" s="10">
        <f>IF(J30="Yes",AA30*Tab_Data_Flows[[#This Row],[WC_'[%']]],"N.A.")</f>
        <v>0</v>
      </c>
      <c r="AE30" s="10" t="str">
        <f>Tab_Data_Flows[[#This Row],[UoM_Flow_Py]]</f>
        <v>Mg</v>
      </c>
      <c r="AF30" s="193">
        <f>INDEX(Tab_Def_Flows[[Flow_ID]:[CC_DM_source]],MATCH(Tab_Data_Flows[[#This Row],[Name(EN)]],Tab_Def_Flows[Name(EN)],0),15)</f>
        <v>1</v>
      </c>
      <c r="AG30" s="10">
        <f>IF(K30="Yes",AF30*Tab_Data_Flows[[#This Row],[Flow_Py]],"N.A.")</f>
        <v>120</v>
      </c>
      <c r="AH30" s="10" t="str">
        <f>Tab_Data_Flows[[#This Row],[UoM_Flow_Py]]</f>
        <v>Mg</v>
      </c>
      <c r="AI30" s="193">
        <f>INDEX(Tab_Def_Flows[[Flow_ID]:[CC_DM_source]],MATCH(Tab_Data_Flows[[#This Row],[Name(EN)]],Tab_Def_Flows[Name(EN)],0),17)</f>
        <v>0</v>
      </c>
      <c r="AJ30" s="10">
        <f>IF(L30="Yes",AI30*Tab_Data_Flows[[#This Row],[Flow_Py]]*Tab_Data_Flows[[#This Row],[DM_'[%']]],"N.A.")</f>
        <v>0</v>
      </c>
      <c r="AK30" s="10" t="str">
        <f>Tab_Data_Flows[[#This Row],[UoM_Flow_Py]]</f>
        <v>Mg</v>
      </c>
    </row>
    <row r="31" spans="1:37" x14ac:dyDescent="0.25">
      <c r="A31" s="17">
        <f t="shared" si="0"/>
        <v>30</v>
      </c>
      <c r="B31" s="10" t="str">
        <f>_xlfn.XLOOKUP(C31,Tab_Def_Flows[Name(EN)],Tab_Def_Flows[Flow_ID],,0,)</f>
        <v>F_01_02</v>
      </c>
      <c r="C31" s="12" t="s">
        <v>286</v>
      </c>
      <c r="D31" s="10">
        <f>_xlfn.XLOOKUP(C31,Tab_Def_Flows[Name(EN)],Tab_Def_Flows[Type_Biomass],,0,)</f>
        <v>0</v>
      </c>
      <c r="E31" s="10" t="str">
        <f>_xlfn.XLOOKUP(C31,Tab_Def_Flows[Name(EN)],Tab_Def_Flows[Output_Process],,0,)</f>
        <v>Environment</v>
      </c>
      <c r="F31" s="10" t="str">
        <f>_xlfn.XLOOKUP(C31,Tab_Def_Flows[Name(EN)],Tab_Def_Flows[Process_ID_O],,0,)</f>
        <v>01</v>
      </c>
      <c r="G31" s="10" t="str">
        <f>_xlfn.XLOOKUP(C31,Tab_Def_Flows[Name(EN)],Tab_Def_Flows[Input_Process],,0,)</f>
        <v>Cultivation</v>
      </c>
      <c r="H31" s="18" t="str">
        <f>_xlfn.XLOOKUP(C31,Tab_Def_Flows[Name(EN)],Tab_Def_Flows[Process_ID_I],,0,)</f>
        <v>02</v>
      </c>
      <c r="I31" s="18" t="e">
        <f>_xlfn.XLOOKUP(C31,Tab_Def_Flows[Name(EN)],#REF!,,0,)</f>
        <v>#REF!</v>
      </c>
      <c r="J31" s="18" t="str">
        <f>_xlfn.XLOOKUP(C31,Tab_Def_Flows[Name(EN)],Tab_Def_Flows[WC?],,0,)</f>
        <v>Yes</v>
      </c>
      <c r="K31" s="18" t="str">
        <f>_xlfn.XLOOKUP(C31,Tab_Def_Flows[Name(EN)],Tab_Def_Flows[DM?],,0,)</f>
        <v>Yes</v>
      </c>
      <c r="L31" s="18" t="str">
        <f>_xlfn.XLOOKUP(C31,Tab_Def_Flows[Name(EN)],Tab_Def_Flows[CC?],,0,)</f>
        <v>Yes</v>
      </c>
      <c r="M31" s="12">
        <v>2028</v>
      </c>
      <c r="N31" s="12" t="s">
        <v>105</v>
      </c>
      <c r="O31" s="50">
        <v>130</v>
      </c>
      <c r="P31" s="12"/>
      <c r="Q31" s="12"/>
      <c r="R31" s="12"/>
      <c r="S31" s="12"/>
      <c r="T31" s="12"/>
      <c r="U31" s="12"/>
      <c r="V31" s="12"/>
      <c r="W31" s="12"/>
      <c r="X31" s="12" t="s">
        <v>8</v>
      </c>
      <c r="Y31" s="43"/>
      <c r="Z31" s="12"/>
      <c r="AA31" s="36">
        <f t="shared" si="1"/>
        <v>130</v>
      </c>
      <c r="AB31" s="12" t="s">
        <v>283</v>
      </c>
      <c r="AC31" s="193">
        <f>INDEX(Tab_Def_Flows[[Flow_ID]:[CC_DM_source]],MATCH(Tab_Data_Flows[[#This Row],[Name(EN)]],Tab_Def_Flows[Name(EN)],0),13)</f>
        <v>0</v>
      </c>
      <c r="AD31" s="10">
        <f>IF(J31="Yes",AA31*Tab_Data_Flows[[#This Row],[WC_'[%']]],"N.A.")</f>
        <v>0</v>
      </c>
      <c r="AE31" s="10" t="str">
        <f>Tab_Data_Flows[[#This Row],[UoM_Flow_Py]]</f>
        <v>Mg</v>
      </c>
      <c r="AF31" s="193">
        <f>INDEX(Tab_Def_Flows[[Flow_ID]:[CC_DM_source]],MATCH(Tab_Data_Flows[[#This Row],[Name(EN)]],Tab_Def_Flows[Name(EN)],0),15)</f>
        <v>1</v>
      </c>
      <c r="AG31" s="10">
        <f>IF(K31="Yes",AF31*Tab_Data_Flows[[#This Row],[Flow_Py]],"N.A.")</f>
        <v>130</v>
      </c>
      <c r="AH31" s="10" t="str">
        <f>Tab_Data_Flows[[#This Row],[UoM_Flow_Py]]</f>
        <v>Mg</v>
      </c>
      <c r="AI31" s="193">
        <f>INDEX(Tab_Def_Flows[[Flow_ID]:[CC_DM_source]],MATCH(Tab_Data_Flows[[#This Row],[Name(EN)]],Tab_Def_Flows[Name(EN)],0),17)</f>
        <v>0</v>
      </c>
      <c r="AJ31" s="10">
        <f>IF(L31="Yes",AI31*Tab_Data_Flows[[#This Row],[Flow_Py]]*Tab_Data_Flows[[#This Row],[DM_'[%']]],"N.A.")</f>
        <v>0</v>
      </c>
      <c r="AK31" s="10" t="str">
        <f>Tab_Data_Flows[[#This Row],[UoM_Flow_Py]]</f>
        <v>Mg</v>
      </c>
    </row>
    <row r="32" spans="1:37" x14ac:dyDescent="0.25">
      <c r="A32" s="17">
        <f t="shared" si="0"/>
        <v>31</v>
      </c>
      <c r="B32" s="10" t="str">
        <f>_xlfn.XLOOKUP(C32,Tab_Def_Flows[Name(EN)],Tab_Def_Flows[Flow_ID],,0,)</f>
        <v>F_01_02</v>
      </c>
      <c r="C32" s="12" t="s">
        <v>286</v>
      </c>
      <c r="D32" s="10">
        <f>_xlfn.XLOOKUP(C32,Tab_Def_Flows[Name(EN)],Tab_Def_Flows[Type_Biomass],,0,)</f>
        <v>0</v>
      </c>
      <c r="E32" s="10" t="str">
        <f>_xlfn.XLOOKUP(C32,Tab_Def_Flows[Name(EN)],Tab_Def_Flows[Output_Process],,0,)</f>
        <v>Environment</v>
      </c>
      <c r="F32" s="10" t="str">
        <f>_xlfn.XLOOKUP(C32,Tab_Def_Flows[Name(EN)],Tab_Def_Flows[Process_ID_O],,0,)</f>
        <v>01</v>
      </c>
      <c r="G32" s="10" t="str">
        <f>_xlfn.XLOOKUP(C32,Tab_Def_Flows[Name(EN)],Tab_Def_Flows[Input_Process],,0,)</f>
        <v>Cultivation</v>
      </c>
      <c r="H32" s="18" t="str">
        <f>_xlfn.XLOOKUP(C32,Tab_Def_Flows[Name(EN)],Tab_Def_Flows[Process_ID_I],,0,)</f>
        <v>02</v>
      </c>
      <c r="I32" s="18" t="e">
        <f>_xlfn.XLOOKUP(C32,Tab_Def_Flows[Name(EN)],#REF!,,0,)</f>
        <v>#REF!</v>
      </c>
      <c r="J32" s="18" t="str">
        <f>_xlfn.XLOOKUP(C32,Tab_Def_Flows[Name(EN)],Tab_Def_Flows[WC?],,0,)</f>
        <v>Yes</v>
      </c>
      <c r="K32" s="18" t="str">
        <f>_xlfn.XLOOKUP(C32,Tab_Def_Flows[Name(EN)],Tab_Def_Flows[DM?],,0,)</f>
        <v>Yes</v>
      </c>
      <c r="L32" s="18" t="str">
        <f>_xlfn.XLOOKUP(C32,Tab_Def_Flows[Name(EN)],Tab_Def_Flows[CC?],,0,)</f>
        <v>Yes</v>
      </c>
      <c r="M32" s="12">
        <v>2029</v>
      </c>
      <c r="N32" s="12" t="s">
        <v>105</v>
      </c>
      <c r="O32" s="50">
        <v>140</v>
      </c>
      <c r="P32" s="12"/>
      <c r="Q32" s="12"/>
      <c r="R32" s="12"/>
      <c r="S32" s="12"/>
      <c r="T32" s="12"/>
      <c r="U32" s="12"/>
      <c r="V32" s="12"/>
      <c r="W32" s="12"/>
      <c r="X32" s="12" t="s">
        <v>8</v>
      </c>
      <c r="Y32" s="43"/>
      <c r="Z32" s="12"/>
      <c r="AA32" s="36">
        <f t="shared" si="1"/>
        <v>140</v>
      </c>
      <c r="AB32" s="12" t="s">
        <v>283</v>
      </c>
      <c r="AC32" s="193">
        <f>INDEX(Tab_Def_Flows[[Flow_ID]:[CC_DM_source]],MATCH(Tab_Data_Flows[[#This Row],[Name(EN)]],Tab_Def_Flows[Name(EN)],0),13)</f>
        <v>0</v>
      </c>
      <c r="AD32" s="10">
        <f>IF(J32="Yes",AA32*Tab_Data_Flows[[#This Row],[WC_'[%']]],"N.A.")</f>
        <v>0</v>
      </c>
      <c r="AE32" s="10" t="str">
        <f>Tab_Data_Flows[[#This Row],[UoM_Flow_Py]]</f>
        <v>Mg</v>
      </c>
      <c r="AF32" s="193">
        <f>INDEX(Tab_Def_Flows[[Flow_ID]:[CC_DM_source]],MATCH(Tab_Data_Flows[[#This Row],[Name(EN)]],Tab_Def_Flows[Name(EN)],0),15)</f>
        <v>1</v>
      </c>
      <c r="AG32" s="10">
        <f>IF(K32="Yes",AF32*Tab_Data_Flows[[#This Row],[Flow_Py]],"N.A.")</f>
        <v>140</v>
      </c>
      <c r="AH32" s="10" t="str">
        <f>Tab_Data_Flows[[#This Row],[UoM_Flow_Py]]</f>
        <v>Mg</v>
      </c>
      <c r="AI32" s="193">
        <f>INDEX(Tab_Def_Flows[[Flow_ID]:[CC_DM_source]],MATCH(Tab_Data_Flows[[#This Row],[Name(EN)]],Tab_Def_Flows[Name(EN)],0),17)</f>
        <v>0</v>
      </c>
      <c r="AJ32" s="10">
        <f>IF(L32="Yes",AI32*Tab_Data_Flows[[#This Row],[Flow_Py]]*Tab_Data_Flows[[#This Row],[DM_'[%']]],"N.A.")</f>
        <v>0</v>
      </c>
      <c r="AK32" s="10" t="str">
        <f>Tab_Data_Flows[[#This Row],[UoM_Flow_Py]]</f>
        <v>Mg</v>
      </c>
    </row>
    <row r="33" spans="1:37" x14ac:dyDescent="0.25">
      <c r="A33" s="17">
        <f t="shared" si="0"/>
        <v>32</v>
      </c>
      <c r="B33" s="10" t="str">
        <f>_xlfn.XLOOKUP(C33,Tab_Def_Flows[Name(EN)],Tab_Def_Flows[Flow_ID],,0,)</f>
        <v>F_01_02</v>
      </c>
      <c r="C33" s="12" t="s">
        <v>286</v>
      </c>
      <c r="D33" s="10">
        <f>_xlfn.XLOOKUP(C33,Tab_Def_Flows[Name(EN)],Tab_Def_Flows[Type_Biomass],,0,)</f>
        <v>0</v>
      </c>
      <c r="E33" s="10" t="str">
        <f>_xlfn.XLOOKUP(C33,Tab_Def_Flows[Name(EN)],Tab_Def_Flows[Output_Process],,0,)</f>
        <v>Environment</v>
      </c>
      <c r="F33" s="10" t="str">
        <f>_xlfn.XLOOKUP(C33,Tab_Def_Flows[Name(EN)],Tab_Def_Flows[Process_ID_O],,0,)</f>
        <v>01</v>
      </c>
      <c r="G33" s="10" t="str">
        <f>_xlfn.XLOOKUP(C33,Tab_Def_Flows[Name(EN)],Tab_Def_Flows[Input_Process],,0,)</f>
        <v>Cultivation</v>
      </c>
      <c r="H33" s="18" t="str">
        <f>_xlfn.XLOOKUP(C33,Tab_Def_Flows[Name(EN)],Tab_Def_Flows[Process_ID_I],,0,)</f>
        <v>02</v>
      </c>
      <c r="I33" s="18" t="e">
        <f>_xlfn.XLOOKUP(C33,Tab_Def_Flows[Name(EN)],#REF!,,0,)</f>
        <v>#REF!</v>
      </c>
      <c r="J33" s="18" t="str">
        <f>_xlfn.XLOOKUP(C33,Tab_Def_Flows[Name(EN)],Tab_Def_Flows[WC?],,0,)</f>
        <v>Yes</v>
      </c>
      <c r="K33" s="18" t="str">
        <f>_xlfn.XLOOKUP(C33,Tab_Def_Flows[Name(EN)],Tab_Def_Flows[DM?],,0,)</f>
        <v>Yes</v>
      </c>
      <c r="L33" s="18" t="str">
        <f>_xlfn.XLOOKUP(C33,Tab_Def_Flows[Name(EN)],Tab_Def_Flows[CC?],,0,)</f>
        <v>Yes</v>
      </c>
      <c r="M33" s="12">
        <v>2030</v>
      </c>
      <c r="N33" s="12" t="s">
        <v>105</v>
      </c>
      <c r="O33" s="50">
        <v>150</v>
      </c>
      <c r="P33" s="12"/>
      <c r="Q33" s="12"/>
      <c r="R33" s="12"/>
      <c r="S33" s="12"/>
      <c r="T33" s="12"/>
      <c r="U33" s="12"/>
      <c r="V33" s="12"/>
      <c r="W33" s="12"/>
      <c r="X33" s="12" t="s">
        <v>8</v>
      </c>
      <c r="Y33" s="43"/>
      <c r="Z33" s="12"/>
      <c r="AA33" s="36">
        <f t="shared" si="1"/>
        <v>150</v>
      </c>
      <c r="AB33" s="12" t="s">
        <v>283</v>
      </c>
      <c r="AC33" s="193">
        <f>INDEX(Tab_Def_Flows[[Flow_ID]:[CC_DM_source]],MATCH(Tab_Data_Flows[[#This Row],[Name(EN)]],Tab_Def_Flows[Name(EN)],0),13)</f>
        <v>0</v>
      </c>
      <c r="AD33" s="10">
        <f>IF(J33="Yes",AA33*Tab_Data_Flows[[#This Row],[WC_'[%']]],"N.A.")</f>
        <v>0</v>
      </c>
      <c r="AE33" s="10" t="str">
        <f>Tab_Data_Flows[[#This Row],[UoM_Flow_Py]]</f>
        <v>Mg</v>
      </c>
      <c r="AF33" s="193">
        <f>INDEX(Tab_Def_Flows[[Flow_ID]:[CC_DM_source]],MATCH(Tab_Data_Flows[[#This Row],[Name(EN)]],Tab_Def_Flows[Name(EN)],0),15)</f>
        <v>1</v>
      </c>
      <c r="AG33" s="10">
        <f>IF(K33="Yes",AF33*Tab_Data_Flows[[#This Row],[Flow_Py]],"N.A.")</f>
        <v>150</v>
      </c>
      <c r="AH33" s="10" t="str">
        <f>Tab_Data_Flows[[#This Row],[UoM_Flow_Py]]</f>
        <v>Mg</v>
      </c>
      <c r="AI33" s="193">
        <f>INDEX(Tab_Def_Flows[[Flow_ID]:[CC_DM_source]],MATCH(Tab_Data_Flows[[#This Row],[Name(EN)]],Tab_Def_Flows[Name(EN)],0),17)</f>
        <v>0</v>
      </c>
      <c r="AJ33" s="10">
        <f>IF(L33="Yes",AI33*Tab_Data_Flows[[#This Row],[Flow_Py]]*Tab_Data_Flows[[#This Row],[DM_'[%']]],"N.A.")</f>
        <v>0</v>
      </c>
      <c r="AK33" s="10" t="str">
        <f>Tab_Data_Flows[[#This Row],[UoM_Flow_Py]]</f>
        <v>Mg</v>
      </c>
    </row>
    <row r="34" spans="1:37" x14ac:dyDescent="0.25">
      <c r="A34" s="17">
        <f t="shared" si="0"/>
        <v>33</v>
      </c>
      <c r="B34" s="10" t="str">
        <f>_xlfn.XLOOKUP(C34,Tab_Def_Flows[Name(EN)],Tab_Def_Flows[Flow_ID],,0,)</f>
        <v>F_01_02</v>
      </c>
      <c r="C34" s="12" t="s">
        <v>286</v>
      </c>
      <c r="D34" s="10">
        <f>_xlfn.XLOOKUP(C34,Tab_Def_Flows[Name(EN)],Tab_Def_Flows[Type_Biomass],,0,)</f>
        <v>0</v>
      </c>
      <c r="E34" s="10" t="str">
        <f>_xlfn.XLOOKUP(C34,Tab_Def_Flows[Name(EN)],Tab_Def_Flows[Output_Process],,0,)</f>
        <v>Environment</v>
      </c>
      <c r="F34" s="10" t="str">
        <f>_xlfn.XLOOKUP(C34,Tab_Def_Flows[Name(EN)],Tab_Def_Flows[Process_ID_O],,0,)</f>
        <v>01</v>
      </c>
      <c r="G34" s="10" t="str">
        <f>_xlfn.XLOOKUP(C34,Tab_Def_Flows[Name(EN)],Tab_Def_Flows[Input_Process],,0,)</f>
        <v>Cultivation</v>
      </c>
      <c r="H34" s="18" t="str">
        <f>_xlfn.XLOOKUP(C34,Tab_Def_Flows[Name(EN)],Tab_Def_Flows[Process_ID_I],,0,)</f>
        <v>02</v>
      </c>
      <c r="I34" s="18" t="e">
        <f>_xlfn.XLOOKUP(C34,Tab_Def_Flows[Name(EN)],#REF!,,0,)</f>
        <v>#REF!</v>
      </c>
      <c r="J34" s="18" t="str">
        <f>_xlfn.XLOOKUP(C34,Tab_Def_Flows[Name(EN)],Tab_Def_Flows[WC?],,0,)</f>
        <v>Yes</v>
      </c>
      <c r="K34" s="18" t="str">
        <f>_xlfn.XLOOKUP(C34,Tab_Def_Flows[Name(EN)],Tab_Def_Flows[DM?],,0,)</f>
        <v>Yes</v>
      </c>
      <c r="L34" s="18" t="str">
        <f>_xlfn.XLOOKUP(C34,Tab_Def_Flows[Name(EN)],Tab_Def_Flows[CC?],,0,)</f>
        <v>Yes</v>
      </c>
      <c r="M34" s="12">
        <v>2031</v>
      </c>
      <c r="N34" s="12" t="s">
        <v>105</v>
      </c>
      <c r="O34" s="50">
        <v>160</v>
      </c>
      <c r="P34" s="12"/>
      <c r="Q34" s="12"/>
      <c r="R34" s="12"/>
      <c r="S34" s="12"/>
      <c r="T34" s="12"/>
      <c r="U34" s="12"/>
      <c r="V34" s="12"/>
      <c r="W34" s="12"/>
      <c r="X34" s="12" t="s">
        <v>8</v>
      </c>
      <c r="Y34" s="43"/>
      <c r="Z34" s="12"/>
      <c r="AA34" s="36">
        <f t="shared" si="1"/>
        <v>160</v>
      </c>
      <c r="AB34" s="12" t="s">
        <v>283</v>
      </c>
      <c r="AC34" s="193">
        <f>INDEX(Tab_Def_Flows[[Flow_ID]:[CC_DM_source]],MATCH(Tab_Data_Flows[[#This Row],[Name(EN)]],Tab_Def_Flows[Name(EN)],0),13)</f>
        <v>0</v>
      </c>
      <c r="AD34" s="10">
        <f>IF(J34="Yes",AA34*Tab_Data_Flows[[#This Row],[WC_'[%']]],"N.A.")</f>
        <v>0</v>
      </c>
      <c r="AE34" s="10" t="str">
        <f>Tab_Data_Flows[[#This Row],[UoM_Flow_Py]]</f>
        <v>Mg</v>
      </c>
      <c r="AF34" s="193">
        <f>INDEX(Tab_Def_Flows[[Flow_ID]:[CC_DM_source]],MATCH(Tab_Data_Flows[[#This Row],[Name(EN)]],Tab_Def_Flows[Name(EN)],0),15)</f>
        <v>1</v>
      </c>
      <c r="AG34" s="10">
        <f>IF(K34="Yes",AF34*Tab_Data_Flows[[#This Row],[Flow_Py]],"N.A.")</f>
        <v>160</v>
      </c>
      <c r="AH34" s="10" t="str">
        <f>Tab_Data_Flows[[#This Row],[UoM_Flow_Py]]</f>
        <v>Mg</v>
      </c>
      <c r="AI34" s="193">
        <f>INDEX(Tab_Def_Flows[[Flow_ID]:[CC_DM_source]],MATCH(Tab_Data_Flows[[#This Row],[Name(EN)]],Tab_Def_Flows[Name(EN)],0),17)</f>
        <v>0</v>
      </c>
      <c r="AJ34" s="10">
        <f>IF(L34="Yes",AI34*Tab_Data_Flows[[#This Row],[Flow_Py]]*Tab_Data_Flows[[#This Row],[DM_'[%']]],"N.A.")</f>
        <v>0</v>
      </c>
      <c r="AK34" s="10" t="str">
        <f>Tab_Data_Flows[[#This Row],[UoM_Flow_Py]]</f>
        <v>Mg</v>
      </c>
    </row>
    <row r="35" spans="1:37" x14ac:dyDescent="0.25">
      <c r="A35" s="17">
        <f t="shared" si="0"/>
        <v>34</v>
      </c>
      <c r="B35" s="10" t="str">
        <f>_xlfn.XLOOKUP(C35,Tab_Def_Flows[Name(EN)],Tab_Def_Flows[Flow_ID],,0,)</f>
        <v>F_01_02</v>
      </c>
      <c r="C35" s="12" t="s">
        <v>286</v>
      </c>
      <c r="D35" s="10">
        <f>_xlfn.XLOOKUP(C35,Tab_Def_Flows[Name(EN)],Tab_Def_Flows[Type_Biomass],,0,)</f>
        <v>0</v>
      </c>
      <c r="E35" s="10" t="str">
        <f>_xlfn.XLOOKUP(C35,Tab_Def_Flows[Name(EN)],Tab_Def_Flows[Output_Process],,0,)</f>
        <v>Environment</v>
      </c>
      <c r="F35" s="10" t="str">
        <f>_xlfn.XLOOKUP(C35,Tab_Def_Flows[Name(EN)],Tab_Def_Flows[Process_ID_O],,0,)</f>
        <v>01</v>
      </c>
      <c r="G35" s="10" t="str">
        <f>_xlfn.XLOOKUP(C35,Tab_Def_Flows[Name(EN)],Tab_Def_Flows[Input_Process],,0,)</f>
        <v>Cultivation</v>
      </c>
      <c r="H35" s="18" t="str">
        <f>_xlfn.XLOOKUP(C35,Tab_Def_Flows[Name(EN)],Tab_Def_Flows[Process_ID_I],,0,)</f>
        <v>02</v>
      </c>
      <c r="I35" s="18" t="e">
        <f>_xlfn.XLOOKUP(C35,Tab_Def_Flows[Name(EN)],#REF!,,0,)</f>
        <v>#REF!</v>
      </c>
      <c r="J35" s="18" t="str">
        <f>_xlfn.XLOOKUP(C35,Tab_Def_Flows[Name(EN)],Tab_Def_Flows[WC?],,0,)</f>
        <v>Yes</v>
      </c>
      <c r="K35" s="18" t="str">
        <f>_xlfn.XLOOKUP(C35,Tab_Def_Flows[Name(EN)],Tab_Def_Flows[DM?],,0,)</f>
        <v>Yes</v>
      </c>
      <c r="L35" s="18" t="str">
        <f>_xlfn.XLOOKUP(C35,Tab_Def_Flows[Name(EN)],Tab_Def_Flows[CC?],,0,)</f>
        <v>Yes</v>
      </c>
      <c r="M35" s="12">
        <v>2032</v>
      </c>
      <c r="N35" s="12" t="s">
        <v>105</v>
      </c>
      <c r="O35" s="50">
        <v>170</v>
      </c>
      <c r="P35" s="12"/>
      <c r="Q35" s="12"/>
      <c r="R35" s="12"/>
      <c r="S35" s="12"/>
      <c r="T35" s="12"/>
      <c r="U35" s="12"/>
      <c r="V35" s="12"/>
      <c r="W35" s="12"/>
      <c r="X35" s="12" t="s">
        <v>8</v>
      </c>
      <c r="Y35" s="43"/>
      <c r="Z35" s="12"/>
      <c r="AA35" s="36">
        <f t="shared" si="1"/>
        <v>170</v>
      </c>
      <c r="AB35" s="12" t="s">
        <v>283</v>
      </c>
      <c r="AC35" s="193">
        <f>INDEX(Tab_Def_Flows[[Flow_ID]:[CC_DM_source]],MATCH(Tab_Data_Flows[[#This Row],[Name(EN)]],Tab_Def_Flows[Name(EN)],0),13)</f>
        <v>0</v>
      </c>
      <c r="AD35" s="10">
        <f>IF(J35="Yes",AA35*Tab_Data_Flows[[#This Row],[WC_'[%']]],"N.A.")</f>
        <v>0</v>
      </c>
      <c r="AE35" s="10" t="str">
        <f>Tab_Data_Flows[[#This Row],[UoM_Flow_Py]]</f>
        <v>Mg</v>
      </c>
      <c r="AF35" s="193">
        <f>INDEX(Tab_Def_Flows[[Flow_ID]:[CC_DM_source]],MATCH(Tab_Data_Flows[[#This Row],[Name(EN)]],Tab_Def_Flows[Name(EN)],0),15)</f>
        <v>1</v>
      </c>
      <c r="AG35" s="10">
        <f>IF(K35="Yes",AF35*Tab_Data_Flows[[#This Row],[Flow_Py]],"N.A.")</f>
        <v>170</v>
      </c>
      <c r="AH35" s="10" t="str">
        <f>Tab_Data_Flows[[#This Row],[UoM_Flow_Py]]</f>
        <v>Mg</v>
      </c>
      <c r="AI35" s="193">
        <f>INDEX(Tab_Def_Flows[[Flow_ID]:[CC_DM_source]],MATCH(Tab_Data_Flows[[#This Row],[Name(EN)]],Tab_Def_Flows[Name(EN)],0),17)</f>
        <v>0</v>
      </c>
      <c r="AJ35" s="10">
        <f>IF(L35="Yes",AI35*Tab_Data_Flows[[#This Row],[Flow_Py]]*Tab_Data_Flows[[#This Row],[DM_'[%']]],"N.A.")</f>
        <v>0</v>
      </c>
      <c r="AK35" s="10" t="str">
        <f>Tab_Data_Flows[[#This Row],[UoM_Flow_Py]]</f>
        <v>Mg</v>
      </c>
    </row>
    <row r="36" spans="1:37" x14ac:dyDescent="0.25">
      <c r="A36" s="17">
        <f t="shared" si="0"/>
        <v>35</v>
      </c>
      <c r="B36" s="10" t="str">
        <f>_xlfn.XLOOKUP(C36,Tab_Def_Flows[Name(EN)],Tab_Def_Flows[Flow_ID],,0,)</f>
        <v>F_01_02</v>
      </c>
      <c r="C36" s="12" t="s">
        <v>286</v>
      </c>
      <c r="D36" s="10">
        <f>_xlfn.XLOOKUP(C36,Tab_Def_Flows[Name(EN)],Tab_Def_Flows[Type_Biomass],,0,)</f>
        <v>0</v>
      </c>
      <c r="E36" s="10" t="str">
        <f>_xlfn.XLOOKUP(C36,Tab_Def_Flows[Name(EN)],Tab_Def_Flows[Output_Process],,0,)</f>
        <v>Environment</v>
      </c>
      <c r="F36" s="10" t="str">
        <f>_xlfn.XLOOKUP(C36,Tab_Def_Flows[Name(EN)],Tab_Def_Flows[Process_ID_O],,0,)</f>
        <v>01</v>
      </c>
      <c r="G36" s="10" t="str">
        <f>_xlfn.XLOOKUP(C36,Tab_Def_Flows[Name(EN)],Tab_Def_Flows[Input_Process],,0,)</f>
        <v>Cultivation</v>
      </c>
      <c r="H36" s="18" t="str">
        <f>_xlfn.XLOOKUP(C36,Tab_Def_Flows[Name(EN)],Tab_Def_Flows[Process_ID_I],,0,)</f>
        <v>02</v>
      </c>
      <c r="I36" s="18" t="e">
        <f>_xlfn.XLOOKUP(C36,Tab_Def_Flows[Name(EN)],#REF!,,0,)</f>
        <v>#REF!</v>
      </c>
      <c r="J36" s="18" t="str">
        <f>_xlfn.XLOOKUP(C36,Tab_Def_Flows[Name(EN)],Tab_Def_Flows[WC?],,0,)</f>
        <v>Yes</v>
      </c>
      <c r="K36" s="18" t="str">
        <f>_xlfn.XLOOKUP(C36,Tab_Def_Flows[Name(EN)],Tab_Def_Flows[DM?],,0,)</f>
        <v>Yes</v>
      </c>
      <c r="L36" s="18" t="str">
        <f>_xlfn.XLOOKUP(C36,Tab_Def_Flows[Name(EN)],Tab_Def_Flows[CC?],,0,)</f>
        <v>Yes</v>
      </c>
      <c r="M36" s="12">
        <v>2033</v>
      </c>
      <c r="N36" s="12" t="s">
        <v>105</v>
      </c>
      <c r="O36" s="50">
        <v>180</v>
      </c>
      <c r="P36" s="12"/>
      <c r="Q36" s="12"/>
      <c r="R36" s="12"/>
      <c r="S36" s="12"/>
      <c r="T36" s="12"/>
      <c r="U36" s="12"/>
      <c r="V36" s="12"/>
      <c r="W36" s="12"/>
      <c r="X36" s="12" t="s">
        <v>8</v>
      </c>
      <c r="Y36" s="43"/>
      <c r="Z36" s="12"/>
      <c r="AA36" s="36">
        <f t="shared" si="1"/>
        <v>180</v>
      </c>
      <c r="AB36" s="12" t="s">
        <v>283</v>
      </c>
      <c r="AC36" s="193">
        <f>INDEX(Tab_Def_Flows[[Flow_ID]:[CC_DM_source]],MATCH(Tab_Data_Flows[[#This Row],[Name(EN)]],Tab_Def_Flows[Name(EN)],0),13)</f>
        <v>0</v>
      </c>
      <c r="AD36" s="10">
        <f>IF(J36="Yes",AA36*Tab_Data_Flows[[#This Row],[WC_'[%']]],"N.A.")</f>
        <v>0</v>
      </c>
      <c r="AE36" s="10" t="str">
        <f>Tab_Data_Flows[[#This Row],[UoM_Flow_Py]]</f>
        <v>Mg</v>
      </c>
      <c r="AF36" s="193">
        <f>INDEX(Tab_Def_Flows[[Flow_ID]:[CC_DM_source]],MATCH(Tab_Data_Flows[[#This Row],[Name(EN)]],Tab_Def_Flows[Name(EN)],0),15)</f>
        <v>1</v>
      </c>
      <c r="AG36" s="10">
        <f>IF(K36="Yes",AF36*Tab_Data_Flows[[#This Row],[Flow_Py]],"N.A.")</f>
        <v>180</v>
      </c>
      <c r="AH36" s="10" t="str">
        <f>Tab_Data_Flows[[#This Row],[UoM_Flow_Py]]</f>
        <v>Mg</v>
      </c>
      <c r="AI36" s="193">
        <f>INDEX(Tab_Def_Flows[[Flow_ID]:[CC_DM_source]],MATCH(Tab_Data_Flows[[#This Row],[Name(EN)]],Tab_Def_Flows[Name(EN)],0),17)</f>
        <v>0</v>
      </c>
      <c r="AJ36" s="10">
        <f>IF(L36="Yes",AI36*Tab_Data_Flows[[#This Row],[Flow_Py]]*Tab_Data_Flows[[#This Row],[DM_'[%']]],"N.A.")</f>
        <v>0</v>
      </c>
      <c r="AK36" s="10" t="str">
        <f>Tab_Data_Flows[[#This Row],[UoM_Flow_Py]]</f>
        <v>Mg</v>
      </c>
    </row>
    <row r="37" spans="1:37" x14ac:dyDescent="0.25">
      <c r="A37" s="17">
        <f t="shared" si="0"/>
        <v>36</v>
      </c>
      <c r="B37" s="10" t="str">
        <f>_xlfn.XLOOKUP(C37,Tab_Def_Flows[Name(EN)],Tab_Def_Flows[Flow_ID],,0,)</f>
        <v>F_01_02</v>
      </c>
      <c r="C37" s="12" t="s">
        <v>286</v>
      </c>
      <c r="D37" s="10">
        <f>_xlfn.XLOOKUP(C37,Tab_Def_Flows[Name(EN)],Tab_Def_Flows[Type_Biomass],,0,)</f>
        <v>0</v>
      </c>
      <c r="E37" s="10" t="str">
        <f>_xlfn.XLOOKUP(C37,Tab_Def_Flows[Name(EN)],Tab_Def_Flows[Output_Process],,0,)</f>
        <v>Environment</v>
      </c>
      <c r="F37" s="10" t="str">
        <f>_xlfn.XLOOKUP(C37,Tab_Def_Flows[Name(EN)],Tab_Def_Flows[Process_ID_O],,0,)</f>
        <v>01</v>
      </c>
      <c r="G37" s="10" t="str">
        <f>_xlfn.XLOOKUP(C37,Tab_Def_Flows[Name(EN)],Tab_Def_Flows[Input_Process],,0,)</f>
        <v>Cultivation</v>
      </c>
      <c r="H37" s="18" t="str">
        <f>_xlfn.XLOOKUP(C37,Tab_Def_Flows[Name(EN)],Tab_Def_Flows[Process_ID_I],,0,)</f>
        <v>02</v>
      </c>
      <c r="I37" s="18" t="e">
        <f>_xlfn.XLOOKUP(C37,Tab_Def_Flows[Name(EN)],#REF!,,0,)</f>
        <v>#REF!</v>
      </c>
      <c r="J37" s="18" t="str">
        <f>_xlfn.XLOOKUP(C37,Tab_Def_Flows[Name(EN)],Tab_Def_Flows[WC?],,0,)</f>
        <v>Yes</v>
      </c>
      <c r="K37" s="18" t="str">
        <f>_xlfn.XLOOKUP(C37,Tab_Def_Flows[Name(EN)],Tab_Def_Flows[DM?],,0,)</f>
        <v>Yes</v>
      </c>
      <c r="L37" s="18" t="str">
        <f>_xlfn.XLOOKUP(C37,Tab_Def_Flows[Name(EN)],Tab_Def_Flows[CC?],,0,)</f>
        <v>Yes</v>
      </c>
      <c r="M37" s="12">
        <v>2034</v>
      </c>
      <c r="N37" s="12" t="s">
        <v>105</v>
      </c>
      <c r="O37" s="50">
        <v>190</v>
      </c>
      <c r="P37" s="12"/>
      <c r="Q37" s="12"/>
      <c r="R37" s="12"/>
      <c r="S37" s="12"/>
      <c r="T37" s="12"/>
      <c r="U37" s="12"/>
      <c r="V37" s="12"/>
      <c r="W37" s="12"/>
      <c r="X37" s="12" t="s">
        <v>8</v>
      </c>
      <c r="Y37" s="43"/>
      <c r="Z37" s="12"/>
      <c r="AA37" s="36">
        <f t="shared" si="1"/>
        <v>190</v>
      </c>
      <c r="AB37" s="12" t="s">
        <v>283</v>
      </c>
      <c r="AC37" s="193">
        <f>INDEX(Tab_Def_Flows[[Flow_ID]:[CC_DM_source]],MATCH(Tab_Data_Flows[[#This Row],[Name(EN)]],Tab_Def_Flows[Name(EN)],0),13)</f>
        <v>0</v>
      </c>
      <c r="AD37" s="10">
        <f>IF(J37="Yes",AA37*Tab_Data_Flows[[#This Row],[WC_'[%']]],"N.A.")</f>
        <v>0</v>
      </c>
      <c r="AE37" s="10" t="str">
        <f>Tab_Data_Flows[[#This Row],[UoM_Flow_Py]]</f>
        <v>Mg</v>
      </c>
      <c r="AF37" s="193">
        <f>INDEX(Tab_Def_Flows[[Flow_ID]:[CC_DM_source]],MATCH(Tab_Data_Flows[[#This Row],[Name(EN)]],Tab_Def_Flows[Name(EN)],0),15)</f>
        <v>1</v>
      </c>
      <c r="AG37" s="10">
        <f>IF(K37="Yes",AF37*Tab_Data_Flows[[#This Row],[Flow_Py]],"N.A.")</f>
        <v>190</v>
      </c>
      <c r="AH37" s="10" t="str">
        <f>Tab_Data_Flows[[#This Row],[UoM_Flow_Py]]</f>
        <v>Mg</v>
      </c>
      <c r="AI37" s="193">
        <f>INDEX(Tab_Def_Flows[[Flow_ID]:[CC_DM_source]],MATCH(Tab_Data_Flows[[#This Row],[Name(EN)]],Tab_Def_Flows[Name(EN)],0),17)</f>
        <v>0</v>
      </c>
      <c r="AJ37" s="10">
        <f>IF(L37="Yes",AI37*Tab_Data_Flows[[#This Row],[Flow_Py]]*Tab_Data_Flows[[#This Row],[DM_'[%']]],"N.A.")</f>
        <v>0</v>
      </c>
      <c r="AK37" s="10" t="str">
        <f>Tab_Data_Flows[[#This Row],[UoM_Flow_Py]]</f>
        <v>Mg</v>
      </c>
    </row>
    <row r="38" spans="1:37" x14ac:dyDescent="0.25">
      <c r="A38" s="17">
        <f t="shared" si="0"/>
        <v>37</v>
      </c>
      <c r="B38" s="10" t="str">
        <f>_xlfn.XLOOKUP(C38,Tab_Def_Flows[Name(EN)],Tab_Def_Flows[Flow_ID],,0,)</f>
        <v>F_01_02</v>
      </c>
      <c r="C38" s="12" t="s">
        <v>286</v>
      </c>
      <c r="D38" s="10"/>
      <c r="E38" s="10" t="str">
        <f>_xlfn.XLOOKUP(C38,Tab_Def_Flows[Name(EN)],Tab_Def_Flows[Output_Process],,0,)</f>
        <v>Environment</v>
      </c>
      <c r="F38" s="10" t="str">
        <f>_xlfn.XLOOKUP(C38,Tab_Def_Flows[Name(EN)],Tab_Def_Flows[Process_ID_O],,0,)</f>
        <v>01</v>
      </c>
      <c r="G38" s="10" t="str">
        <f>_xlfn.XLOOKUP(C38,Tab_Def_Flows[Name(EN)],Tab_Def_Flows[Input_Process],,0,)</f>
        <v>Cultivation</v>
      </c>
      <c r="H38" s="18" t="str">
        <f>_xlfn.XLOOKUP(C38,Tab_Def_Flows[Name(EN)],Tab_Def_Flows[Process_ID_I],,0,)</f>
        <v>02</v>
      </c>
      <c r="I38" s="10" t="e">
        <f>_xlfn.XLOOKUP(C38,Tab_Def_Flows[Name(EN)],#REF!,,0,)</f>
        <v>#REF!</v>
      </c>
      <c r="J38" s="10" t="str">
        <f>_xlfn.XLOOKUP(C38,Tab_Def_Flows[Name(EN)],Tab_Def_Flows[WC?],,0,)</f>
        <v>Yes</v>
      </c>
      <c r="K38" s="10" t="str">
        <f>_xlfn.XLOOKUP(C38,Tab_Def_Flows[Name(EN)],Tab_Def_Flows[DM?],,0,)</f>
        <v>Yes</v>
      </c>
      <c r="L38" s="10" t="str">
        <f>_xlfn.XLOOKUP(C38,Tab_Def_Flows[Name(EN)],Tab_Def_Flows[CC?],,0,)</f>
        <v>Yes</v>
      </c>
      <c r="M38" s="12">
        <v>2035</v>
      </c>
      <c r="N38" s="12"/>
      <c r="O38" s="50">
        <v>200</v>
      </c>
      <c r="P38" s="12"/>
      <c r="Q38" s="12"/>
      <c r="R38" s="12" t="e">
        <f>INDEX(#REF!,MATCH(Tab_Data_Flows[[#This Row],[Name(EN)]],#REF!,0),12)</f>
        <v>#REF!</v>
      </c>
      <c r="S38" s="12" t="e">
        <f>MATCH(Tab_Data_Flows[[#This Row],[Name(EN)]],#REF!,0)</f>
        <v>#REF!</v>
      </c>
      <c r="T38" s="12"/>
      <c r="U38" s="12"/>
      <c r="V38" s="12"/>
      <c r="W38" s="12"/>
      <c r="X38" s="12" t="s">
        <v>8</v>
      </c>
      <c r="Y38" s="12"/>
      <c r="Z38" s="12"/>
      <c r="AA38" s="36">
        <f t="shared" si="1"/>
        <v>200</v>
      </c>
      <c r="AB38" s="12" t="s">
        <v>283</v>
      </c>
      <c r="AC38" s="193">
        <f>INDEX(Tab_Def_Flows[[Flow_ID]:[CC_DM_source]],MATCH(Tab_Data_Flows[[#This Row],[Name(EN)]],Tab_Def_Flows[Name(EN)],0),13)</f>
        <v>0</v>
      </c>
      <c r="AD38" s="10">
        <f>IF(J38="Yes",AA38*Tab_Data_Flows[[#This Row],[WC_'[%']]],"N.A.")</f>
        <v>0</v>
      </c>
      <c r="AE38" s="10" t="str">
        <f>Tab_Data_Flows[[#This Row],[UoM_Flow_Py]]</f>
        <v>Mg</v>
      </c>
      <c r="AF38" s="193">
        <f>INDEX(Tab_Def_Flows[[Flow_ID]:[CC_DM_source]],MATCH(Tab_Data_Flows[[#This Row],[Name(EN)]],Tab_Def_Flows[Name(EN)],0),15)</f>
        <v>1</v>
      </c>
      <c r="AG38" s="10">
        <f>IF(K38="Yes",AF38*Tab_Data_Flows[[#This Row],[Flow_Py]],"N.A.")</f>
        <v>200</v>
      </c>
      <c r="AH38" s="10" t="str">
        <f>Tab_Data_Flows[[#This Row],[UoM_Flow_Py]]</f>
        <v>Mg</v>
      </c>
      <c r="AI38" s="193">
        <f>INDEX(Tab_Def_Flows[[Flow_ID]:[CC_DM_source]],MATCH(Tab_Data_Flows[[#This Row],[Name(EN)]],Tab_Def_Flows[Name(EN)],0),17)</f>
        <v>0</v>
      </c>
      <c r="AJ38" s="10">
        <f>IF(L38="Yes",AI38*Tab_Data_Flows[[#This Row],[Flow_Py]]*Tab_Data_Flows[[#This Row],[DM_'[%']]],"N.A.")</f>
        <v>0</v>
      </c>
      <c r="AK38" s="10" t="str">
        <f>Tab_Data_Flows[[#This Row],[UoM_Flow_Py]]</f>
        <v>Mg</v>
      </c>
    </row>
    <row r="39" spans="1:37" x14ac:dyDescent="0.25">
      <c r="A39" s="17">
        <f t="shared" si="0"/>
        <v>38</v>
      </c>
      <c r="B39" s="10" t="str">
        <f>_xlfn.XLOOKUP(C39,Tab_Def_Flows[Name(EN)],Tab_Def_Flows[Flow_ID],,0,)</f>
        <v>F_01_02</v>
      </c>
      <c r="C39" s="12" t="s">
        <v>286</v>
      </c>
      <c r="D39" s="10"/>
      <c r="E39" s="10" t="str">
        <f>_xlfn.XLOOKUP(C39,Tab_Def_Flows[Name(EN)],Tab_Def_Flows[Output_Process],,0,)</f>
        <v>Environment</v>
      </c>
      <c r="F39" s="10" t="str">
        <f>_xlfn.XLOOKUP(C39,Tab_Def_Flows[Name(EN)],Tab_Def_Flows[Process_ID_O],,0,)</f>
        <v>01</v>
      </c>
      <c r="G39" s="10" t="str">
        <f>_xlfn.XLOOKUP(C39,Tab_Def_Flows[Name(EN)],Tab_Def_Flows[Input_Process],,0,)</f>
        <v>Cultivation</v>
      </c>
      <c r="H39" s="18" t="str">
        <f>_xlfn.XLOOKUP(C39,Tab_Def_Flows[Name(EN)],Tab_Def_Flows[Process_ID_I],,0,)</f>
        <v>02</v>
      </c>
      <c r="I39" s="10" t="e">
        <f>_xlfn.XLOOKUP(C39,Tab_Def_Flows[Name(EN)],#REF!,,0,)</f>
        <v>#REF!</v>
      </c>
      <c r="J39" s="10" t="str">
        <f>_xlfn.XLOOKUP(C39,Tab_Def_Flows[Name(EN)],Tab_Def_Flows[WC?],,0,)</f>
        <v>Yes</v>
      </c>
      <c r="K39" s="10" t="str">
        <f>_xlfn.XLOOKUP(C39,Tab_Def_Flows[Name(EN)],Tab_Def_Flows[DM?],,0,)</f>
        <v>Yes</v>
      </c>
      <c r="L39" s="10" t="str">
        <f>_xlfn.XLOOKUP(C39,Tab_Def_Flows[Name(EN)],Tab_Def_Flows[CC?],,0,)</f>
        <v>Yes</v>
      </c>
      <c r="M39" s="12">
        <v>2036</v>
      </c>
      <c r="N39" s="12"/>
      <c r="O39" s="50">
        <v>10</v>
      </c>
      <c r="P39" s="12"/>
      <c r="Q39" s="12"/>
      <c r="R39" s="12" t="e">
        <f>INDEX(#REF!,MATCH(Tab_Data_Flows[[#This Row],[Name(EN)]],#REF!,0),12)</f>
        <v>#REF!</v>
      </c>
      <c r="S39" s="12" t="e">
        <f>MATCH(Tab_Data_Flows[[#This Row],[Name(EN)]],#REF!,0)</f>
        <v>#REF!</v>
      </c>
      <c r="T39" s="12"/>
      <c r="U39" s="12"/>
      <c r="V39" s="12"/>
      <c r="W39" s="12"/>
      <c r="X39" s="12" t="s">
        <v>8</v>
      </c>
      <c r="Y39" s="12"/>
      <c r="Z39" s="12"/>
      <c r="AA39" s="36">
        <f t="shared" si="1"/>
        <v>10</v>
      </c>
      <c r="AB39" s="12" t="s">
        <v>283</v>
      </c>
      <c r="AC39" s="193">
        <f>INDEX(Tab_Def_Flows[[Flow_ID]:[CC_DM_source]],MATCH(Tab_Data_Flows[[#This Row],[Name(EN)]],Tab_Def_Flows[Name(EN)],0),13)</f>
        <v>0</v>
      </c>
      <c r="AD39" s="10">
        <f>IF(J39="Yes",AA39*Tab_Data_Flows[[#This Row],[WC_'[%']]],"N.A.")</f>
        <v>0</v>
      </c>
      <c r="AE39" s="10" t="str">
        <f>Tab_Data_Flows[[#This Row],[UoM_Flow_Py]]</f>
        <v>Mg</v>
      </c>
      <c r="AF39" s="193">
        <f>INDEX(Tab_Def_Flows[[Flow_ID]:[CC_DM_source]],MATCH(Tab_Data_Flows[[#This Row],[Name(EN)]],Tab_Def_Flows[Name(EN)],0),15)</f>
        <v>1</v>
      </c>
      <c r="AG39" s="10">
        <f>IF(K39="Yes",AF39*Tab_Data_Flows[[#This Row],[Flow_Py]],"N.A.")</f>
        <v>10</v>
      </c>
      <c r="AH39" s="10" t="str">
        <f>Tab_Data_Flows[[#This Row],[UoM_Flow_Py]]</f>
        <v>Mg</v>
      </c>
      <c r="AI39" s="193">
        <f>INDEX(Tab_Def_Flows[[Flow_ID]:[CC_DM_source]],MATCH(Tab_Data_Flows[[#This Row],[Name(EN)]],Tab_Def_Flows[Name(EN)],0),17)</f>
        <v>0</v>
      </c>
      <c r="AJ39" s="10">
        <f>IF(L39="Yes",AI39*Tab_Data_Flows[[#This Row],[Flow_Py]]*Tab_Data_Flows[[#This Row],[DM_'[%']]],"N.A.")</f>
        <v>0</v>
      </c>
      <c r="AK39" s="10" t="str">
        <f>Tab_Data_Flows[[#This Row],[UoM_Flow_Py]]</f>
        <v>Mg</v>
      </c>
    </row>
    <row r="40" spans="1:37" x14ac:dyDescent="0.25">
      <c r="A40" s="17">
        <f t="shared" si="0"/>
        <v>39</v>
      </c>
      <c r="B40" s="10" t="str">
        <f>_xlfn.XLOOKUP(C40,Tab_Def_Flows[Name(EN)],Tab_Def_Flows[Flow_ID],,0,)</f>
        <v>F_01_02</v>
      </c>
      <c r="C40" s="12" t="s">
        <v>286</v>
      </c>
      <c r="D40" s="10"/>
      <c r="E40" s="10" t="str">
        <f>_xlfn.XLOOKUP(C40,Tab_Def_Flows[Name(EN)],Tab_Def_Flows[Output_Process],,0,)</f>
        <v>Environment</v>
      </c>
      <c r="F40" s="10" t="str">
        <f>_xlfn.XLOOKUP(C40,Tab_Def_Flows[Name(EN)],Tab_Def_Flows[Process_ID_O],,0,)</f>
        <v>01</v>
      </c>
      <c r="G40" s="10" t="str">
        <f>_xlfn.XLOOKUP(C40,Tab_Def_Flows[Name(EN)],Tab_Def_Flows[Input_Process],,0,)</f>
        <v>Cultivation</v>
      </c>
      <c r="H40" s="18" t="str">
        <f>_xlfn.XLOOKUP(C40,Tab_Def_Flows[Name(EN)],Tab_Def_Flows[Process_ID_I],,0,)</f>
        <v>02</v>
      </c>
      <c r="I40" s="10" t="e">
        <f>_xlfn.XLOOKUP(C40,Tab_Def_Flows[Name(EN)],#REF!,,0,)</f>
        <v>#REF!</v>
      </c>
      <c r="J40" s="10" t="str">
        <f>_xlfn.XLOOKUP(C40,Tab_Def_Flows[Name(EN)],Tab_Def_Flows[WC?],,0,)</f>
        <v>Yes</v>
      </c>
      <c r="K40" s="10" t="str">
        <f>_xlfn.XLOOKUP(C40,Tab_Def_Flows[Name(EN)],Tab_Def_Flows[DM?],,0,)</f>
        <v>Yes</v>
      </c>
      <c r="L40" s="10" t="str">
        <f>_xlfn.XLOOKUP(C40,Tab_Def_Flows[Name(EN)],Tab_Def_Flows[CC?],,0,)</f>
        <v>Yes</v>
      </c>
      <c r="M40" s="12">
        <v>2037</v>
      </c>
      <c r="N40" s="12"/>
      <c r="O40" s="50">
        <v>220</v>
      </c>
      <c r="P40" s="12"/>
      <c r="Q40" s="12"/>
      <c r="R40" s="12" t="e">
        <f>INDEX(#REF!,MATCH(Tab_Data_Flows[[#This Row],[Name(EN)]],#REF!,0),12)</f>
        <v>#REF!</v>
      </c>
      <c r="S40" s="12" t="e">
        <f>MATCH(Tab_Data_Flows[[#This Row],[Name(EN)]],#REF!,0)</f>
        <v>#REF!</v>
      </c>
      <c r="T40" s="12"/>
      <c r="U40" s="12"/>
      <c r="V40" s="12"/>
      <c r="W40" s="12"/>
      <c r="X40" s="12" t="s">
        <v>8</v>
      </c>
      <c r="Y40" s="12"/>
      <c r="Z40" s="12"/>
      <c r="AA40" s="36">
        <f t="shared" si="1"/>
        <v>220</v>
      </c>
      <c r="AB40" s="12" t="s">
        <v>283</v>
      </c>
      <c r="AC40" s="193">
        <f>INDEX(Tab_Def_Flows[[Flow_ID]:[CC_DM_source]],MATCH(Tab_Data_Flows[[#This Row],[Name(EN)]],Tab_Def_Flows[Name(EN)],0),13)</f>
        <v>0</v>
      </c>
      <c r="AD40" s="10">
        <f>IF(J40="Yes",AA40*Tab_Data_Flows[[#This Row],[WC_'[%']]],"N.A.")</f>
        <v>0</v>
      </c>
      <c r="AE40" s="10" t="str">
        <f>Tab_Data_Flows[[#This Row],[UoM_Flow_Py]]</f>
        <v>Mg</v>
      </c>
      <c r="AF40" s="193">
        <f>INDEX(Tab_Def_Flows[[Flow_ID]:[CC_DM_source]],MATCH(Tab_Data_Flows[[#This Row],[Name(EN)]],Tab_Def_Flows[Name(EN)],0),15)</f>
        <v>1</v>
      </c>
      <c r="AG40" s="10">
        <f>IF(K40="Yes",AF40*Tab_Data_Flows[[#This Row],[Flow_Py]],"N.A.")</f>
        <v>220</v>
      </c>
      <c r="AH40" s="10" t="str">
        <f>Tab_Data_Flows[[#This Row],[UoM_Flow_Py]]</f>
        <v>Mg</v>
      </c>
      <c r="AI40" s="193">
        <f>INDEX(Tab_Def_Flows[[Flow_ID]:[CC_DM_source]],MATCH(Tab_Data_Flows[[#This Row],[Name(EN)]],Tab_Def_Flows[Name(EN)],0),17)</f>
        <v>0</v>
      </c>
      <c r="AJ40" s="10">
        <f>IF(L40="Yes",AI40*Tab_Data_Flows[[#This Row],[Flow_Py]]*Tab_Data_Flows[[#This Row],[DM_'[%']]],"N.A.")</f>
        <v>0</v>
      </c>
      <c r="AK40" s="10" t="str">
        <f>Tab_Data_Flows[[#This Row],[UoM_Flow_Py]]</f>
        <v>Mg</v>
      </c>
    </row>
    <row r="41" spans="1:37" x14ac:dyDescent="0.25">
      <c r="A41" s="17">
        <f t="shared" si="0"/>
        <v>40</v>
      </c>
      <c r="B41" s="10" t="str">
        <f>_xlfn.XLOOKUP(C41,Tab_Def_Flows[Name(EN)],Tab_Def_Flows[Flow_ID],,0,)</f>
        <v>F_01_02</v>
      </c>
      <c r="C41" s="12" t="s">
        <v>286</v>
      </c>
      <c r="D41" s="10"/>
      <c r="E41" s="10" t="str">
        <f>_xlfn.XLOOKUP(C41,Tab_Def_Flows[Name(EN)],Tab_Def_Flows[Output_Process],,0,)</f>
        <v>Environment</v>
      </c>
      <c r="F41" s="10" t="str">
        <f>_xlfn.XLOOKUP(C41,Tab_Def_Flows[Name(EN)],Tab_Def_Flows[Process_ID_O],,0,)</f>
        <v>01</v>
      </c>
      <c r="G41" s="10" t="str">
        <f>_xlfn.XLOOKUP(C41,Tab_Def_Flows[Name(EN)],Tab_Def_Flows[Input_Process],,0,)</f>
        <v>Cultivation</v>
      </c>
      <c r="H41" s="18" t="str">
        <f>_xlfn.XLOOKUP(C41,Tab_Def_Flows[Name(EN)],Tab_Def_Flows[Process_ID_I],,0,)</f>
        <v>02</v>
      </c>
      <c r="I41" s="10" t="e">
        <f>_xlfn.XLOOKUP(C41,Tab_Def_Flows[Name(EN)],#REF!,,0,)</f>
        <v>#REF!</v>
      </c>
      <c r="J41" s="10" t="str">
        <f>_xlfn.XLOOKUP(C41,Tab_Def_Flows[Name(EN)],Tab_Def_Flows[WC?],,0,)</f>
        <v>Yes</v>
      </c>
      <c r="K41" s="10" t="str">
        <f>_xlfn.XLOOKUP(C41,Tab_Def_Flows[Name(EN)],Tab_Def_Flows[DM?],,0,)</f>
        <v>Yes</v>
      </c>
      <c r="L41" s="10" t="str">
        <f>_xlfn.XLOOKUP(C41,Tab_Def_Flows[Name(EN)],Tab_Def_Flows[CC?],,0,)</f>
        <v>Yes</v>
      </c>
      <c r="M41" s="12">
        <v>2038</v>
      </c>
      <c r="N41" s="12"/>
      <c r="O41" s="50">
        <v>230</v>
      </c>
      <c r="P41" s="12"/>
      <c r="Q41" s="12"/>
      <c r="R41" s="12" t="e">
        <f>INDEX(#REF!,MATCH(Tab_Data_Flows[[#This Row],[Name(EN)]],#REF!,0),12)</f>
        <v>#REF!</v>
      </c>
      <c r="S41" s="12" t="e">
        <f>MATCH(Tab_Data_Flows[[#This Row],[Name(EN)]],#REF!,0)</f>
        <v>#REF!</v>
      </c>
      <c r="T41" s="12"/>
      <c r="U41" s="12"/>
      <c r="V41" s="12"/>
      <c r="W41" s="12"/>
      <c r="X41" s="12" t="s">
        <v>8</v>
      </c>
      <c r="Y41" s="12"/>
      <c r="Z41" s="12"/>
      <c r="AA41" s="36">
        <f t="shared" si="1"/>
        <v>230</v>
      </c>
      <c r="AB41" s="12" t="s">
        <v>283</v>
      </c>
      <c r="AC41" s="193">
        <f>INDEX(Tab_Def_Flows[[Flow_ID]:[CC_DM_source]],MATCH(Tab_Data_Flows[[#This Row],[Name(EN)]],Tab_Def_Flows[Name(EN)],0),13)</f>
        <v>0</v>
      </c>
      <c r="AD41" s="10">
        <f>IF(J41="Yes",AA41*Tab_Data_Flows[[#This Row],[WC_'[%']]],"N.A.")</f>
        <v>0</v>
      </c>
      <c r="AE41" s="10" t="str">
        <f>Tab_Data_Flows[[#This Row],[UoM_Flow_Py]]</f>
        <v>Mg</v>
      </c>
      <c r="AF41" s="193">
        <f>INDEX(Tab_Def_Flows[[Flow_ID]:[CC_DM_source]],MATCH(Tab_Data_Flows[[#This Row],[Name(EN)]],Tab_Def_Flows[Name(EN)],0),15)</f>
        <v>1</v>
      </c>
      <c r="AG41" s="10">
        <f>IF(K41="Yes",AF41*Tab_Data_Flows[[#This Row],[Flow_Py]],"N.A.")</f>
        <v>230</v>
      </c>
      <c r="AH41" s="10" t="str">
        <f>Tab_Data_Flows[[#This Row],[UoM_Flow_Py]]</f>
        <v>Mg</v>
      </c>
      <c r="AI41" s="193">
        <f>INDEX(Tab_Def_Flows[[Flow_ID]:[CC_DM_source]],MATCH(Tab_Data_Flows[[#This Row],[Name(EN)]],Tab_Def_Flows[Name(EN)],0),17)</f>
        <v>0</v>
      </c>
      <c r="AJ41" s="10">
        <f>IF(L41="Yes",AI41*Tab_Data_Flows[[#This Row],[Flow_Py]]*Tab_Data_Flows[[#This Row],[DM_'[%']]],"N.A.")</f>
        <v>0</v>
      </c>
      <c r="AK41" s="10" t="str">
        <f>Tab_Data_Flows[[#This Row],[UoM_Flow_Py]]</f>
        <v>Mg</v>
      </c>
    </row>
    <row r="42" spans="1:37" x14ac:dyDescent="0.25">
      <c r="A42" s="17">
        <f t="shared" si="0"/>
        <v>41</v>
      </c>
      <c r="B42" s="10" t="str">
        <f>_xlfn.XLOOKUP(C42,Tab_Def_Flows[Name(EN)],Tab_Def_Flows[Flow_ID],,0,)</f>
        <v>F_01_02</v>
      </c>
      <c r="C42" s="12" t="s">
        <v>286</v>
      </c>
      <c r="D42" s="10"/>
      <c r="E42" s="10" t="str">
        <f>_xlfn.XLOOKUP(C42,Tab_Def_Flows[Name(EN)],Tab_Def_Flows[Output_Process],,0,)</f>
        <v>Environment</v>
      </c>
      <c r="F42" s="10" t="str">
        <f>_xlfn.XLOOKUP(C42,Tab_Def_Flows[Name(EN)],Tab_Def_Flows[Process_ID_O],,0,)</f>
        <v>01</v>
      </c>
      <c r="G42" s="10" t="str">
        <f>_xlfn.XLOOKUP(C42,Tab_Def_Flows[Name(EN)],Tab_Def_Flows[Input_Process],,0,)</f>
        <v>Cultivation</v>
      </c>
      <c r="H42" s="18" t="str">
        <f>_xlfn.XLOOKUP(C42,Tab_Def_Flows[Name(EN)],Tab_Def_Flows[Process_ID_I],,0,)</f>
        <v>02</v>
      </c>
      <c r="I42" s="10" t="e">
        <f>_xlfn.XLOOKUP(C42,Tab_Def_Flows[Name(EN)],#REF!,,0,)</f>
        <v>#REF!</v>
      </c>
      <c r="J42" s="10" t="str">
        <f>_xlfn.XLOOKUP(C42,Tab_Def_Flows[Name(EN)],Tab_Def_Flows[WC?],,0,)</f>
        <v>Yes</v>
      </c>
      <c r="K42" s="10" t="str">
        <f>_xlfn.XLOOKUP(C42,Tab_Def_Flows[Name(EN)],Tab_Def_Flows[DM?],,0,)</f>
        <v>Yes</v>
      </c>
      <c r="L42" s="10" t="str">
        <f>_xlfn.XLOOKUP(C42,Tab_Def_Flows[Name(EN)],Tab_Def_Flows[CC?],,0,)</f>
        <v>Yes</v>
      </c>
      <c r="M42" s="12">
        <v>2039</v>
      </c>
      <c r="N42" s="12"/>
      <c r="O42" s="50">
        <v>240</v>
      </c>
      <c r="P42" s="12"/>
      <c r="Q42" s="12"/>
      <c r="R42" s="12" t="e">
        <f>INDEX(#REF!,MATCH(Tab_Data_Flows[[#This Row],[Name(EN)]],#REF!,0),12)</f>
        <v>#REF!</v>
      </c>
      <c r="S42" s="12" t="e">
        <f>MATCH(Tab_Data_Flows[[#This Row],[Name(EN)]],#REF!,0)</f>
        <v>#REF!</v>
      </c>
      <c r="T42" s="12"/>
      <c r="U42" s="12"/>
      <c r="V42" s="12"/>
      <c r="W42" s="12"/>
      <c r="X42" s="12" t="s">
        <v>8</v>
      </c>
      <c r="Y42" s="12"/>
      <c r="Z42" s="12"/>
      <c r="AA42" s="36">
        <f t="shared" si="1"/>
        <v>240</v>
      </c>
      <c r="AB42" s="12" t="s">
        <v>283</v>
      </c>
      <c r="AC42" s="193">
        <f>INDEX(Tab_Def_Flows[[Flow_ID]:[CC_DM_source]],MATCH(Tab_Data_Flows[[#This Row],[Name(EN)]],Tab_Def_Flows[Name(EN)],0),13)</f>
        <v>0</v>
      </c>
      <c r="AD42" s="10">
        <f>IF(J42="Yes",AA42*Tab_Data_Flows[[#This Row],[WC_'[%']]],"N.A.")</f>
        <v>0</v>
      </c>
      <c r="AE42" s="10" t="str">
        <f>Tab_Data_Flows[[#This Row],[UoM_Flow_Py]]</f>
        <v>Mg</v>
      </c>
      <c r="AF42" s="193">
        <f>INDEX(Tab_Def_Flows[[Flow_ID]:[CC_DM_source]],MATCH(Tab_Data_Flows[[#This Row],[Name(EN)]],Tab_Def_Flows[Name(EN)],0),15)</f>
        <v>1</v>
      </c>
      <c r="AG42" s="10">
        <f>IF(K42="Yes",AF42*Tab_Data_Flows[[#This Row],[Flow_Py]],"N.A.")</f>
        <v>240</v>
      </c>
      <c r="AH42" s="10" t="str">
        <f>Tab_Data_Flows[[#This Row],[UoM_Flow_Py]]</f>
        <v>Mg</v>
      </c>
      <c r="AI42" s="193">
        <f>INDEX(Tab_Def_Flows[[Flow_ID]:[CC_DM_source]],MATCH(Tab_Data_Flows[[#This Row],[Name(EN)]],Tab_Def_Flows[Name(EN)],0),17)</f>
        <v>0</v>
      </c>
      <c r="AJ42" s="10">
        <f>IF(L42="Yes",AI42*Tab_Data_Flows[[#This Row],[Flow_Py]]*Tab_Data_Flows[[#This Row],[DM_'[%']]],"N.A.")</f>
        <v>0</v>
      </c>
      <c r="AK42" s="10" t="str">
        <f>Tab_Data_Flows[[#This Row],[UoM_Flow_Py]]</f>
        <v>Mg</v>
      </c>
    </row>
    <row r="43" spans="1:37" x14ac:dyDescent="0.25">
      <c r="A43" s="17">
        <f t="shared" si="0"/>
        <v>42</v>
      </c>
      <c r="B43" s="10" t="str">
        <f>_xlfn.XLOOKUP(C43,Tab_Def_Flows[Name(EN)],Tab_Def_Flows[Flow_ID],,0,)</f>
        <v>F_01_02</v>
      </c>
      <c r="C43" s="12" t="s">
        <v>286</v>
      </c>
      <c r="D43" s="10"/>
      <c r="E43" s="10" t="str">
        <f>_xlfn.XLOOKUP(C43,Tab_Def_Flows[Name(EN)],Tab_Def_Flows[Output_Process],,0,)</f>
        <v>Environment</v>
      </c>
      <c r="F43" s="10" t="str">
        <f>_xlfn.XLOOKUP(C43,Tab_Def_Flows[Name(EN)],Tab_Def_Flows[Process_ID_O],,0,)</f>
        <v>01</v>
      </c>
      <c r="G43" s="10" t="str">
        <f>_xlfn.XLOOKUP(C43,Tab_Def_Flows[Name(EN)],Tab_Def_Flows[Input_Process],,0,)</f>
        <v>Cultivation</v>
      </c>
      <c r="H43" s="18" t="str">
        <f>_xlfn.XLOOKUP(C43,Tab_Def_Flows[Name(EN)],Tab_Def_Flows[Process_ID_I],,0,)</f>
        <v>02</v>
      </c>
      <c r="I43" s="10" t="e">
        <f>_xlfn.XLOOKUP(C43,Tab_Def_Flows[Name(EN)],#REF!,,0,)</f>
        <v>#REF!</v>
      </c>
      <c r="J43" s="10" t="str">
        <f>_xlfn.XLOOKUP(C43,Tab_Def_Flows[Name(EN)],Tab_Def_Flows[WC?],,0,)</f>
        <v>Yes</v>
      </c>
      <c r="K43" s="10" t="str">
        <f>_xlfn.XLOOKUP(C43,Tab_Def_Flows[Name(EN)],Tab_Def_Flows[DM?],,0,)</f>
        <v>Yes</v>
      </c>
      <c r="L43" s="10" t="str">
        <f>_xlfn.XLOOKUP(C43,Tab_Def_Flows[Name(EN)],Tab_Def_Flows[CC?],,0,)</f>
        <v>Yes</v>
      </c>
      <c r="M43" s="12">
        <v>2040</v>
      </c>
      <c r="N43" s="12"/>
      <c r="O43" s="50">
        <v>250</v>
      </c>
      <c r="P43" s="12"/>
      <c r="Q43" s="12"/>
      <c r="R43" s="12" t="e">
        <f>INDEX(#REF!,MATCH(Tab_Data_Flows[[#This Row],[Name(EN)]],#REF!,0),12)</f>
        <v>#REF!</v>
      </c>
      <c r="S43" s="12" t="e">
        <f>MATCH(Tab_Data_Flows[[#This Row],[Name(EN)]],#REF!,0)</f>
        <v>#REF!</v>
      </c>
      <c r="T43" s="12"/>
      <c r="U43" s="12"/>
      <c r="V43" s="12"/>
      <c r="W43" s="12"/>
      <c r="X43" s="12" t="s">
        <v>8</v>
      </c>
      <c r="Y43" s="12"/>
      <c r="Z43" s="12"/>
      <c r="AA43" s="36">
        <f t="shared" si="1"/>
        <v>250</v>
      </c>
      <c r="AB43" s="12" t="s">
        <v>283</v>
      </c>
      <c r="AC43" s="193">
        <f>INDEX(Tab_Def_Flows[[Flow_ID]:[CC_DM_source]],MATCH(Tab_Data_Flows[[#This Row],[Name(EN)]],Tab_Def_Flows[Name(EN)],0),13)</f>
        <v>0</v>
      </c>
      <c r="AD43" s="10">
        <f>IF(J43="Yes",AA43*Tab_Data_Flows[[#This Row],[WC_'[%']]],"N.A.")</f>
        <v>0</v>
      </c>
      <c r="AE43" s="10" t="str">
        <f>Tab_Data_Flows[[#This Row],[UoM_Flow_Py]]</f>
        <v>Mg</v>
      </c>
      <c r="AF43" s="193">
        <f>INDEX(Tab_Def_Flows[[Flow_ID]:[CC_DM_source]],MATCH(Tab_Data_Flows[[#This Row],[Name(EN)]],Tab_Def_Flows[Name(EN)],0),15)</f>
        <v>1</v>
      </c>
      <c r="AG43" s="10">
        <f>IF(K43="Yes",AF43*Tab_Data_Flows[[#This Row],[Flow_Py]],"N.A.")</f>
        <v>250</v>
      </c>
      <c r="AH43" s="10" t="str">
        <f>Tab_Data_Flows[[#This Row],[UoM_Flow_Py]]</f>
        <v>Mg</v>
      </c>
      <c r="AI43" s="193">
        <f>INDEX(Tab_Def_Flows[[Flow_ID]:[CC_DM_source]],MATCH(Tab_Data_Flows[[#This Row],[Name(EN)]],Tab_Def_Flows[Name(EN)],0),17)</f>
        <v>0</v>
      </c>
      <c r="AJ43" s="10">
        <f>IF(L43="Yes",AI43*Tab_Data_Flows[[#This Row],[Flow_Py]]*Tab_Data_Flows[[#This Row],[DM_'[%']]],"N.A.")</f>
        <v>0</v>
      </c>
      <c r="AK43" s="10" t="str">
        <f>Tab_Data_Flows[[#This Row],[UoM_Flow_Py]]</f>
        <v>Mg</v>
      </c>
    </row>
    <row r="44" spans="1:37" x14ac:dyDescent="0.25">
      <c r="A44" s="17">
        <f t="shared" si="0"/>
        <v>43</v>
      </c>
      <c r="B44" s="10" t="str">
        <f>_xlfn.XLOOKUP(C44,Tab_Def_Flows[Name(EN)],Tab_Def_Flows[Flow_ID],,0,)</f>
        <v>F_01_02</v>
      </c>
      <c r="C44" s="12" t="s">
        <v>286</v>
      </c>
      <c r="D44" s="10"/>
      <c r="E44" s="10" t="str">
        <f>_xlfn.XLOOKUP(C44,Tab_Def_Flows[Name(EN)],Tab_Def_Flows[Output_Process],,0,)</f>
        <v>Environment</v>
      </c>
      <c r="F44" s="10" t="str">
        <f>_xlfn.XLOOKUP(C44,Tab_Def_Flows[Name(EN)],Tab_Def_Flows[Process_ID_O],,0,)</f>
        <v>01</v>
      </c>
      <c r="G44" s="10" t="str">
        <f>_xlfn.XLOOKUP(C44,Tab_Def_Flows[Name(EN)],Tab_Def_Flows[Input_Process],,0,)</f>
        <v>Cultivation</v>
      </c>
      <c r="H44" s="18" t="str">
        <f>_xlfn.XLOOKUP(C44,Tab_Def_Flows[Name(EN)],Tab_Def_Flows[Process_ID_I],,0,)</f>
        <v>02</v>
      </c>
      <c r="I44" s="10" t="e">
        <f>_xlfn.XLOOKUP(C44,Tab_Def_Flows[Name(EN)],#REF!,,0,)</f>
        <v>#REF!</v>
      </c>
      <c r="J44" s="10" t="str">
        <f>_xlfn.XLOOKUP(C44,Tab_Def_Flows[Name(EN)],Tab_Def_Flows[WC?],,0,)</f>
        <v>Yes</v>
      </c>
      <c r="K44" s="10" t="str">
        <f>_xlfn.XLOOKUP(C44,Tab_Def_Flows[Name(EN)],Tab_Def_Flows[DM?],,0,)</f>
        <v>Yes</v>
      </c>
      <c r="L44" s="10" t="str">
        <f>_xlfn.XLOOKUP(C44,Tab_Def_Flows[Name(EN)],Tab_Def_Flows[CC?],,0,)</f>
        <v>Yes</v>
      </c>
      <c r="M44" s="12">
        <v>2041</v>
      </c>
      <c r="N44" s="12"/>
      <c r="O44" s="50">
        <v>260</v>
      </c>
      <c r="P44" s="12"/>
      <c r="Q44" s="12"/>
      <c r="R44" s="12" t="e">
        <f>INDEX(#REF!,MATCH(Tab_Data_Flows[[#This Row],[Name(EN)]],#REF!,0),12)</f>
        <v>#REF!</v>
      </c>
      <c r="S44" s="12" t="e">
        <f>MATCH(Tab_Data_Flows[[#This Row],[Name(EN)]],#REF!,0)</f>
        <v>#REF!</v>
      </c>
      <c r="T44" s="12"/>
      <c r="U44" s="12"/>
      <c r="V44" s="12"/>
      <c r="W44" s="12"/>
      <c r="X44" s="12" t="s">
        <v>8</v>
      </c>
      <c r="Y44" s="12"/>
      <c r="Z44" s="12"/>
      <c r="AA44" s="36">
        <f t="shared" si="1"/>
        <v>260</v>
      </c>
      <c r="AB44" s="12" t="s">
        <v>283</v>
      </c>
      <c r="AC44" s="193">
        <f>INDEX(Tab_Def_Flows[[Flow_ID]:[CC_DM_source]],MATCH(Tab_Data_Flows[[#This Row],[Name(EN)]],Tab_Def_Flows[Name(EN)],0),13)</f>
        <v>0</v>
      </c>
      <c r="AD44" s="10">
        <f>IF(J44="Yes",AA44*Tab_Data_Flows[[#This Row],[WC_'[%']]],"N.A.")</f>
        <v>0</v>
      </c>
      <c r="AE44" s="10" t="str">
        <f>Tab_Data_Flows[[#This Row],[UoM_Flow_Py]]</f>
        <v>Mg</v>
      </c>
      <c r="AF44" s="193">
        <f>INDEX(Tab_Def_Flows[[Flow_ID]:[CC_DM_source]],MATCH(Tab_Data_Flows[[#This Row],[Name(EN)]],Tab_Def_Flows[Name(EN)],0),15)</f>
        <v>1</v>
      </c>
      <c r="AG44" s="10">
        <f>IF(K44="Yes",AF44*Tab_Data_Flows[[#This Row],[Flow_Py]],"N.A.")</f>
        <v>260</v>
      </c>
      <c r="AH44" s="10" t="str">
        <f>Tab_Data_Flows[[#This Row],[UoM_Flow_Py]]</f>
        <v>Mg</v>
      </c>
      <c r="AI44" s="193">
        <f>INDEX(Tab_Def_Flows[[Flow_ID]:[CC_DM_source]],MATCH(Tab_Data_Flows[[#This Row],[Name(EN)]],Tab_Def_Flows[Name(EN)],0),17)</f>
        <v>0</v>
      </c>
      <c r="AJ44" s="10">
        <f>IF(L44="Yes",AI44*Tab_Data_Flows[[#This Row],[Flow_Py]]*Tab_Data_Flows[[#This Row],[DM_'[%']]],"N.A.")</f>
        <v>0</v>
      </c>
      <c r="AK44" s="10" t="str">
        <f>Tab_Data_Flows[[#This Row],[UoM_Flow_Py]]</f>
        <v>Mg</v>
      </c>
    </row>
    <row r="45" spans="1:37" x14ac:dyDescent="0.25">
      <c r="A45" s="17">
        <f t="shared" si="0"/>
        <v>44</v>
      </c>
      <c r="B45" s="10" t="str">
        <f>_xlfn.XLOOKUP(C45,Tab_Def_Flows[Name(EN)],Tab_Def_Flows[Flow_ID],,0,)</f>
        <v>F_01_02</v>
      </c>
      <c r="C45" s="12" t="s">
        <v>286</v>
      </c>
      <c r="D45" s="10"/>
      <c r="E45" s="10" t="str">
        <f>_xlfn.XLOOKUP(C45,Tab_Def_Flows[Name(EN)],Tab_Def_Flows[Output_Process],,0,)</f>
        <v>Environment</v>
      </c>
      <c r="F45" s="10" t="str">
        <f>_xlfn.XLOOKUP(C45,Tab_Def_Flows[Name(EN)],Tab_Def_Flows[Process_ID_O],,0,)</f>
        <v>01</v>
      </c>
      <c r="G45" s="10" t="str">
        <f>_xlfn.XLOOKUP(C45,Tab_Def_Flows[Name(EN)],Tab_Def_Flows[Input_Process],,0,)</f>
        <v>Cultivation</v>
      </c>
      <c r="H45" s="18" t="str">
        <f>_xlfn.XLOOKUP(C45,Tab_Def_Flows[Name(EN)],Tab_Def_Flows[Process_ID_I],,0,)</f>
        <v>02</v>
      </c>
      <c r="I45" s="10" t="e">
        <f>_xlfn.XLOOKUP(C45,Tab_Def_Flows[Name(EN)],#REF!,,0,)</f>
        <v>#REF!</v>
      </c>
      <c r="J45" s="10" t="str">
        <f>_xlfn.XLOOKUP(C45,Tab_Def_Flows[Name(EN)],Tab_Def_Flows[WC?],,0,)</f>
        <v>Yes</v>
      </c>
      <c r="K45" s="10" t="str">
        <f>_xlfn.XLOOKUP(C45,Tab_Def_Flows[Name(EN)],Tab_Def_Flows[DM?],,0,)</f>
        <v>Yes</v>
      </c>
      <c r="L45" s="10" t="str">
        <f>_xlfn.XLOOKUP(C45,Tab_Def_Flows[Name(EN)],Tab_Def_Flows[CC?],,0,)</f>
        <v>Yes</v>
      </c>
      <c r="M45" s="12">
        <v>2042</v>
      </c>
      <c r="N45" s="12"/>
      <c r="O45" s="50">
        <v>270</v>
      </c>
      <c r="P45" s="12"/>
      <c r="Q45" s="12"/>
      <c r="R45" s="12" t="e">
        <f>INDEX(#REF!,MATCH(Tab_Data_Flows[[#This Row],[Name(EN)]],#REF!,0),12)</f>
        <v>#REF!</v>
      </c>
      <c r="S45" s="12" t="e">
        <f>MATCH(Tab_Data_Flows[[#This Row],[Name(EN)]],#REF!,0)</f>
        <v>#REF!</v>
      </c>
      <c r="T45" s="12"/>
      <c r="U45" s="12"/>
      <c r="V45" s="12"/>
      <c r="W45" s="12"/>
      <c r="X45" s="12" t="s">
        <v>8</v>
      </c>
      <c r="Y45" s="12"/>
      <c r="Z45" s="12"/>
      <c r="AA45" s="36">
        <f t="shared" si="1"/>
        <v>270</v>
      </c>
      <c r="AB45" s="12" t="s">
        <v>283</v>
      </c>
      <c r="AC45" s="193">
        <f>INDEX(Tab_Def_Flows[[Flow_ID]:[CC_DM_source]],MATCH(Tab_Data_Flows[[#This Row],[Name(EN)]],Tab_Def_Flows[Name(EN)],0),13)</f>
        <v>0</v>
      </c>
      <c r="AD45" s="10">
        <f>IF(J45="Yes",AA45*Tab_Data_Flows[[#This Row],[WC_'[%']]],"N.A.")</f>
        <v>0</v>
      </c>
      <c r="AE45" s="10" t="str">
        <f>Tab_Data_Flows[[#This Row],[UoM_Flow_Py]]</f>
        <v>Mg</v>
      </c>
      <c r="AF45" s="193">
        <f>INDEX(Tab_Def_Flows[[Flow_ID]:[CC_DM_source]],MATCH(Tab_Data_Flows[[#This Row],[Name(EN)]],Tab_Def_Flows[Name(EN)],0),15)</f>
        <v>1</v>
      </c>
      <c r="AG45" s="10">
        <f>IF(K45="Yes",AF45*Tab_Data_Flows[[#This Row],[Flow_Py]],"N.A.")</f>
        <v>270</v>
      </c>
      <c r="AH45" s="10" t="str">
        <f>Tab_Data_Flows[[#This Row],[UoM_Flow_Py]]</f>
        <v>Mg</v>
      </c>
      <c r="AI45" s="193">
        <f>INDEX(Tab_Def_Flows[[Flow_ID]:[CC_DM_source]],MATCH(Tab_Data_Flows[[#This Row],[Name(EN)]],Tab_Def_Flows[Name(EN)],0),17)</f>
        <v>0</v>
      </c>
      <c r="AJ45" s="10">
        <f>IF(L45="Yes",AI45*Tab_Data_Flows[[#This Row],[Flow_Py]]*Tab_Data_Flows[[#This Row],[DM_'[%']]],"N.A.")</f>
        <v>0</v>
      </c>
      <c r="AK45" s="10" t="str">
        <f>Tab_Data_Flows[[#This Row],[UoM_Flow_Py]]</f>
        <v>Mg</v>
      </c>
    </row>
    <row r="46" spans="1:37" x14ac:dyDescent="0.25">
      <c r="A46" s="17">
        <f t="shared" si="0"/>
        <v>45</v>
      </c>
      <c r="B46" s="10" t="str">
        <f>_xlfn.XLOOKUP(C46,Tab_Def_Flows[Name(EN)],Tab_Def_Flows[Flow_ID],,0,)</f>
        <v>F_01_02</v>
      </c>
      <c r="C46" s="12" t="s">
        <v>286</v>
      </c>
      <c r="D46" s="10"/>
      <c r="E46" s="10" t="str">
        <f>_xlfn.XLOOKUP(C46,Tab_Def_Flows[Name(EN)],Tab_Def_Flows[Output_Process],,0,)</f>
        <v>Environment</v>
      </c>
      <c r="F46" s="10" t="str">
        <f>_xlfn.XLOOKUP(C46,Tab_Def_Flows[Name(EN)],Tab_Def_Flows[Process_ID_O],,0,)</f>
        <v>01</v>
      </c>
      <c r="G46" s="10" t="str">
        <f>_xlfn.XLOOKUP(C46,Tab_Def_Flows[Name(EN)],Tab_Def_Flows[Input_Process],,0,)</f>
        <v>Cultivation</v>
      </c>
      <c r="H46" s="18" t="str">
        <f>_xlfn.XLOOKUP(C46,Tab_Def_Flows[Name(EN)],Tab_Def_Flows[Process_ID_I],,0,)</f>
        <v>02</v>
      </c>
      <c r="I46" s="10" t="e">
        <f>_xlfn.XLOOKUP(C46,Tab_Def_Flows[Name(EN)],#REF!,,0,)</f>
        <v>#REF!</v>
      </c>
      <c r="J46" s="10" t="str">
        <f>_xlfn.XLOOKUP(C46,Tab_Def_Flows[Name(EN)],Tab_Def_Flows[WC?],,0,)</f>
        <v>Yes</v>
      </c>
      <c r="K46" s="10" t="str">
        <f>_xlfn.XLOOKUP(C46,Tab_Def_Flows[Name(EN)],Tab_Def_Flows[DM?],,0,)</f>
        <v>Yes</v>
      </c>
      <c r="L46" s="10" t="str">
        <f>_xlfn.XLOOKUP(C46,Tab_Def_Flows[Name(EN)],Tab_Def_Flows[CC?],,0,)</f>
        <v>Yes</v>
      </c>
      <c r="M46" s="12">
        <v>2043</v>
      </c>
      <c r="N46" s="12"/>
      <c r="O46" s="50">
        <v>280</v>
      </c>
      <c r="P46" s="12"/>
      <c r="Q46" s="12"/>
      <c r="R46" s="12" t="e">
        <f>INDEX(#REF!,MATCH(Tab_Data_Flows[[#This Row],[Name(EN)]],#REF!,0),12)</f>
        <v>#REF!</v>
      </c>
      <c r="S46" s="12" t="e">
        <f>MATCH(Tab_Data_Flows[[#This Row],[Name(EN)]],#REF!,0)</f>
        <v>#REF!</v>
      </c>
      <c r="T46" s="12"/>
      <c r="U46" s="12"/>
      <c r="V46" s="12"/>
      <c r="W46" s="12"/>
      <c r="X46" s="12" t="s">
        <v>8</v>
      </c>
      <c r="Y46" s="12"/>
      <c r="Z46" s="12"/>
      <c r="AA46" s="36">
        <f t="shared" si="1"/>
        <v>280</v>
      </c>
      <c r="AB46" s="12" t="s">
        <v>283</v>
      </c>
      <c r="AC46" s="193">
        <f>INDEX(Tab_Def_Flows[[Flow_ID]:[CC_DM_source]],MATCH(Tab_Data_Flows[[#This Row],[Name(EN)]],Tab_Def_Flows[Name(EN)],0),13)</f>
        <v>0</v>
      </c>
      <c r="AD46" s="10">
        <f>IF(J46="Yes",AA46*Tab_Data_Flows[[#This Row],[WC_'[%']]],"N.A.")</f>
        <v>0</v>
      </c>
      <c r="AE46" s="10" t="str">
        <f>Tab_Data_Flows[[#This Row],[UoM_Flow_Py]]</f>
        <v>Mg</v>
      </c>
      <c r="AF46" s="193">
        <f>INDEX(Tab_Def_Flows[[Flow_ID]:[CC_DM_source]],MATCH(Tab_Data_Flows[[#This Row],[Name(EN)]],Tab_Def_Flows[Name(EN)],0),15)</f>
        <v>1</v>
      </c>
      <c r="AG46" s="10">
        <f>IF(K46="Yes",AF46*Tab_Data_Flows[[#This Row],[Flow_Py]],"N.A.")</f>
        <v>280</v>
      </c>
      <c r="AH46" s="10" t="str">
        <f>Tab_Data_Flows[[#This Row],[UoM_Flow_Py]]</f>
        <v>Mg</v>
      </c>
      <c r="AI46" s="193">
        <f>INDEX(Tab_Def_Flows[[Flow_ID]:[CC_DM_source]],MATCH(Tab_Data_Flows[[#This Row],[Name(EN)]],Tab_Def_Flows[Name(EN)],0),17)</f>
        <v>0</v>
      </c>
      <c r="AJ46" s="10">
        <f>IF(L46="Yes",AI46*Tab_Data_Flows[[#This Row],[Flow_Py]]*Tab_Data_Flows[[#This Row],[DM_'[%']]],"N.A.")</f>
        <v>0</v>
      </c>
      <c r="AK46" s="10" t="str">
        <f>Tab_Data_Flows[[#This Row],[UoM_Flow_Py]]</f>
        <v>Mg</v>
      </c>
    </row>
    <row r="47" spans="1:37" x14ac:dyDescent="0.25">
      <c r="A47" s="17">
        <f t="shared" si="0"/>
        <v>46</v>
      </c>
      <c r="B47" s="10" t="str">
        <f>_xlfn.XLOOKUP(C47,Tab_Def_Flows[Name(EN)],Tab_Def_Flows[Flow_ID],,0,)</f>
        <v>F_01_02</v>
      </c>
      <c r="C47" s="12" t="s">
        <v>286</v>
      </c>
      <c r="D47" s="10"/>
      <c r="E47" s="10" t="str">
        <f>_xlfn.XLOOKUP(C47,Tab_Def_Flows[Name(EN)],Tab_Def_Flows[Output_Process],,0,)</f>
        <v>Environment</v>
      </c>
      <c r="F47" s="10" t="str">
        <f>_xlfn.XLOOKUP(C47,Tab_Def_Flows[Name(EN)],Tab_Def_Flows[Process_ID_O],,0,)</f>
        <v>01</v>
      </c>
      <c r="G47" s="10" t="str">
        <f>_xlfn.XLOOKUP(C47,Tab_Def_Flows[Name(EN)],Tab_Def_Flows[Input_Process],,0,)</f>
        <v>Cultivation</v>
      </c>
      <c r="H47" s="18" t="str">
        <f>_xlfn.XLOOKUP(C47,Tab_Def_Flows[Name(EN)],Tab_Def_Flows[Process_ID_I],,0,)</f>
        <v>02</v>
      </c>
      <c r="I47" s="10" t="e">
        <f>_xlfn.XLOOKUP(C47,Tab_Def_Flows[Name(EN)],#REF!,,0,)</f>
        <v>#REF!</v>
      </c>
      <c r="J47" s="10" t="str">
        <f>_xlfn.XLOOKUP(C47,Tab_Def_Flows[Name(EN)],Tab_Def_Flows[WC?],,0,)</f>
        <v>Yes</v>
      </c>
      <c r="K47" s="10" t="str">
        <f>_xlfn.XLOOKUP(C47,Tab_Def_Flows[Name(EN)],Tab_Def_Flows[DM?],,0,)</f>
        <v>Yes</v>
      </c>
      <c r="L47" s="10" t="str">
        <f>_xlfn.XLOOKUP(C47,Tab_Def_Flows[Name(EN)],Tab_Def_Flows[CC?],,0,)</f>
        <v>Yes</v>
      </c>
      <c r="M47" s="12">
        <v>2044</v>
      </c>
      <c r="N47" s="12"/>
      <c r="O47" s="50">
        <v>290</v>
      </c>
      <c r="P47" s="12"/>
      <c r="Q47" s="12"/>
      <c r="R47" s="12" t="e">
        <f>INDEX(#REF!,MATCH(Tab_Data_Flows[[#This Row],[Name(EN)]],#REF!,0),12)</f>
        <v>#REF!</v>
      </c>
      <c r="S47" s="12" t="e">
        <f>MATCH(Tab_Data_Flows[[#This Row],[Name(EN)]],#REF!,0)</f>
        <v>#REF!</v>
      </c>
      <c r="T47" s="12"/>
      <c r="U47" s="12"/>
      <c r="V47" s="12"/>
      <c r="W47" s="12"/>
      <c r="X47" s="12" t="s">
        <v>8</v>
      </c>
      <c r="Y47" s="12"/>
      <c r="Z47" s="12"/>
      <c r="AA47" s="36">
        <f t="shared" si="1"/>
        <v>290</v>
      </c>
      <c r="AB47" s="12" t="s">
        <v>283</v>
      </c>
      <c r="AC47" s="193">
        <f>INDEX(Tab_Def_Flows[[Flow_ID]:[CC_DM_source]],MATCH(Tab_Data_Flows[[#This Row],[Name(EN)]],Tab_Def_Flows[Name(EN)],0),13)</f>
        <v>0</v>
      </c>
      <c r="AD47" s="10">
        <f>IF(J47="Yes",AA47*Tab_Data_Flows[[#This Row],[WC_'[%']]],"N.A.")</f>
        <v>0</v>
      </c>
      <c r="AE47" s="10" t="str">
        <f>Tab_Data_Flows[[#This Row],[UoM_Flow_Py]]</f>
        <v>Mg</v>
      </c>
      <c r="AF47" s="193">
        <f>INDEX(Tab_Def_Flows[[Flow_ID]:[CC_DM_source]],MATCH(Tab_Data_Flows[[#This Row],[Name(EN)]],Tab_Def_Flows[Name(EN)],0),15)</f>
        <v>1</v>
      </c>
      <c r="AG47" s="10">
        <f>IF(K47="Yes",AF47*Tab_Data_Flows[[#This Row],[Flow_Py]],"N.A.")</f>
        <v>290</v>
      </c>
      <c r="AH47" s="10" t="str">
        <f>Tab_Data_Flows[[#This Row],[UoM_Flow_Py]]</f>
        <v>Mg</v>
      </c>
      <c r="AI47" s="193">
        <f>INDEX(Tab_Def_Flows[[Flow_ID]:[CC_DM_source]],MATCH(Tab_Data_Flows[[#This Row],[Name(EN)]],Tab_Def_Flows[Name(EN)],0),17)</f>
        <v>0</v>
      </c>
      <c r="AJ47" s="10">
        <f>IF(L47="Yes",AI47*Tab_Data_Flows[[#This Row],[Flow_Py]]*Tab_Data_Flows[[#This Row],[DM_'[%']]],"N.A.")</f>
        <v>0</v>
      </c>
      <c r="AK47" s="10" t="str">
        <f>Tab_Data_Flows[[#This Row],[UoM_Flow_Py]]</f>
        <v>Mg</v>
      </c>
    </row>
    <row r="48" spans="1:37" x14ac:dyDescent="0.25">
      <c r="A48" s="17">
        <f t="shared" si="0"/>
        <v>47</v>
      </c>
      <c r="B48" s="10" t="str">
        <f>_xlfn.XLOOKUP(C48,Tab_Def_Flows[Name(EN)],Tab_Def_Flows[Flow_ID],,0,)</f>
        <v>F_01_02</v>
      </c>
      <c r="C48" s="12" t="s">
        <v>286</v>
      </c>
      <c r="D48" s="10"/>
      <c r="E48" s="10" t="str">
        <f>_xlfn.XLOOKUP(C48,Tab_Def_Flows[Name(EN)],Tab_Def_Flows[Output_Process],,0,)</f>
        <v>Environment</v>
      </c>
      <c r="F48" s="10" t="str">
        <f>_xlfn.XLOOKUP(C48,Tab_Def_Flows[Name(EN)],Tab_Def_Flows[Process_ID_O],,0,)</f>
        <v>01</v>
      </c>
      <c r="G48" s="10" t="str">
        <f>_xlfn.XLOOKUP(C48,Tab_Def_Flows[Name(EN)],Tab_Def_Flows[Input_Process],,0,)</f>
        <v>Cultivation</v>
      </c>
      <c r="H48" s="18" t="str">
        <f>_xlfn.XLOOKUP(C48,Tab_Def_Flows[Name(EN)],Tab_Def_Flows[Process_ID_I],,0,)</f>
        <v>02</v>
      </c>
      <c r="I48" s="10" t="e">
        <f>_xlfn.XLOOKUP(C48,Tab_Def_Flows[Name(EN)],#REF!,,0,)</f>
        <v>#REF!</v>
      </c>
      <c r="J48" s="10" t="str">
        <f>_xlfn.XLOOKUP(C48,Tab_Def_Flows[Name(EN)],Tab_Def_Flows[WC?],,0,)</f>
        <v>Yes</v>
      </c>
      <c r="K48" s="10" t="str">
        <f>_xlfn.XLOOKUP(C48,Tab_Def_Flows[Name(EN)],Tab_Def_Flows[DM?],,0,)</f>
        <v>Yes</v>
      </c>
      <c r="L48" s="10" t="str">
        <f>_xlfn.XLOOKUP(C48,Tab_Def_Flows[Name(EN)],Tab_Def_Flows[CC?],,0,)</f>
        <v>Yes</v>
      </c>
      <c r="M48" s="12">
        <v>2045</v>
      </c>
      <c r="N48" s="12"/>
      <c r="O48" s="50">
        <v>300</v>
      </c>
      <c r="P48" s="12"/>
      <c r="Q48" s="12"/>
      <c r="R48" s="12" t="e">
        <f>INDEX(#REF!,MATCH(Tab_Data_Flows[[#This Row],[Name(EN)]],#REF!,0),12)</f>
        <v>#REF!</v>
      </c>
      <c r="S48" s="12" t="e">
        <f>MATCH(Tab_Data_Flows[[#This Row],[Name(EN)]],#REF!,0)</f>
        <v>#REF!</v>
      </c>
      <c r="T48" s="12"/>
      <c r="U48" s="12"/>
      <c r="V48" s="12"/>
      <c r="W48" s="12"/>
      <c r="X48" s="12" t="s">
        <v>8</v>
      </c>
      <c r="Y48" s="12"/>
      <c r="Z48" s="12"/>
      <c r="AA48" s="36">
        <f t="shared" si="1"/>
        <v>300</v>
      </c>
      <c r="AB48" s="12" t="s">
        <v>283</v>
      </c>
      <c r="AC48" s="193">
        <f>INDEX(Tab_Def_Flows[[Flow_ID]:[CC_DM_source]],MATCH(Tab_Data_Flows[[#This Row],[Name(EN)]],Tab_Def_Flows[Name(EN)],0),13)</f>
        <v>0</v>
      </c>
      <c r="AD48" s="10">
        <f>IF(J48="Yes",AA48*Tab_Data_Flows[[#This Row],[WC_'[%']]],"N.A.")</f>
        <v>0</v>
      </c>
      <c r="AE48" s="10" t="str">
        <f>Tab_Data_Flows[[#This Row],[UoM_Flow_Py]]</f>
        <v>Mg</v>
      </c>
      <c r="AF48" s="193">
        <f>INDEX(Tab_Def_Flows[[Flow_ID]:[CC_DM_source]],MATCH(Tab_Data_Flows[[#This Row],[Name(EN)]],Tab_Def_Flows[Name(EN)],0),15)</f>
        <v>1</v>
      </c>
      <c r="AG48" s="10">
        <f>IF(K48="Yes",AF48*Tab_Data_Flows[[#This Row],[Flow_Py]],"N.A.")</f>
        <v>300</v>
      </c>
      <c r="AH48" s="10" t="str">
        <f>Tab_Data_Flows[[#This Row],[UoM_Flow_Py]]</f>
        <v>Mg</v>
      </c>
      <c r="AI48" s="193">
        <f>INDEX(Tab_Def_Flows[[Flow_ID]:[CC_DM_source]],MATCH(Tab_Data_Flows[[#This Row],[Name(EN)]],Tab_Def_Flows[Name(EN)],0),17)</f>
        <v>0</v>
      </c>
      <c r="AJ48" s="10">
        <f>IF(L48="Yes",AI48*Tab_Data_Flows[[#This Row],[Flow_Py]]*Tab_Data_Flows[[#This Row],[DM_'[%']]],"N.A.")</f>
        <v>0</v>
      </c>
      <c r="AK48" s="10" t="str">
        <f>Tab_Data_Flows[[#This Row],[UoM_Flow_Py]]</f>
        <v>Mg</v>
      </c>
    </row>
    <row r="49" spans="1:37" x14ac:dyDescent="0.25">
      <c r="A49" s="17">
        <f t="shared" si="0"/>
        <v>48</v>
      </c>
      <c r="B49" s="10" t="str">
        <f>_xlfn.XLOOKUP(C49,Tab_Def_Flows[Name(EN)],Tab_Def_Flows[Flow_ID],,0,)</f>
        <v>F_01_02</v>
      </c>
      <c r="C49" s="12" t="s">
        <v>286</v>
      </c>
      <c r="D49" s="10"/>
      <c r="E49" s="10" t="str">
        <f>_xlfn.XLOOKUP(C49,Tab_Def_Flows[Name(EN)],Tab_Def_Flows[Output_Process],,0,)</f>
        <v>Environment</v>
      </c>
      <c r="F49" s="10" t="str">
        <f>_xlfn.XLOOKUP(C49,Tab_Def_Flows[Name(EN)],Tab_Def_Flows[Process_ID_O],,0,)</f>
        <v>01</v>
      </c>
      <c r="G49" s="10" t="str">
        <f>_xlfn.XLOOKUP(C49,Tab_Def_Flows[Name(EN)],Tab_Def_Flows[Input_Process],,0,)</f>
        <v>Cultivation</v>
      </c>
      <c r="H49" s="18" t="str">
        <f>_xlfn.XLOOKUP(C49,Tab_Def_Flows[Name(EN)],Tab_Def_Flows[Process_ID_I],,0,)</f>
        <v>02</v>
      </c>
      <c r="I49" s="10" t="e">
        <f>_xlfn.XLOOKUP(C49,Tab_Def_Flows[Name(EN)],#REF!,,0,)</f>
        <v>#REF!</v>
      </c>
      <c r="J49" s="10" t="str">
        <f>_xlfn.XLOOKUP(C49,Tab_Def_Flows[Name(EN)],Tab_Def_Flows[WC?],,0,)</f>
        <v>Yes</v>
      </c>
      <c r="K49" s="10" t="str">
        <f>_xlfn.XLOOKUP(C49,Tab_Def_Flows[Name(EN)],Tab_Def_Flows[DM?],,0,)</f>
        <v>Yes</v>
      </c>
      <c r="L49" s="10" t="str">
        <f>_xlfn.XLOOKUP(C49,Tab_Def_Flows[Name(EN)],Tab_Def_Flows[CC?],,0,)</f>
        <v>Yes</v>
      </c>
      <c r="M49" s="12">
        <v>2046</v>
      </c>
      <c r="N49" s="12"/>
      <c r="O49" s="50">
        <v>310</v>
      </c>
      <c r="P49" s="12"/>
      <c r="Q49" s="12"/>
      <c r="R49" s="12" t="e">
        <f>INDEX(#REF!,MATCH(Tab_Data_Flows[[#This Row],[Name(EN)]],#REF!,0),12)</f>
        <v>#REF!</v>
      </c>
      <c r="S49" s="12" t="e">
        <f>MATCH(Tab_Data_Flows[[#This Row],[Name(EN)]],#REF!,0)</f>
        <v>#REF!</v>
      </c>
      <c r="T49" s="12"/>
      <c r="U49" s="12"/>
      <c r="V49" s="12"/>
      <c r="W49" s="12"/>
      <c r="X49" s="12" t="s">
        <v>8</v>
      </c>
      <c r="Y49" s="12"/>
      <c r="Z49" s="12"/>
      <c r="AA49" s="36">
        <f t="shared" si="1"/>
        <v>310</v>
      </c>
      <c r="AB49" s="12" t="s">
        <v>283</v>
      </c>
      <c r="AC49" s="193">
        <f>INDEX(Tab_Def_Flows[[Flow_ID]:[CC_DM_source]],MATCH(Tab_Data_Flows[[#This Row],[Name(EN)]],Tab_Def_Flows[Name(EN)],0),13)</f>
        <v>0</v>
      </c>
      <c r="AD49" s="10">
        <f>IF(J49="Yes",AA49*Tab_Data_Flows[[#This Row],[WC_'[%']]],"N.A.")</f>
        <v>0</v>
      </c>
      <c r="AE49" s="10" t="str">
        <f>Tab_Data_Flows[[#This Row],[UoM_Flow_Py]]</f>
        <v>Mg</v>
      </c>
      <c r="AF49" s="193">
        <f>INDEX(Tab_Def_Flows[[Flow_ID]:[CC_DM_source]],MATCH(Tab_Data_Flows[[#This Row],[Name(EN)]],Tab_Def_Flows[Name(EN)],0),15)</f>
        <v>1</v>
      </c>
      <c r="AG49" s="10">
        <f>IF(K49="Yes",AF49*Tab_Data_Flows[[#This Row],[Flow_Py]],"N.A.")</f>
        <v>310</v>
      </c>
      <c r="AH49" s="10" t="str">
        <f>Tab_Data_Flows[[#This Row],[UoM_Flow_Py]]</f>
        <v>Mg</v>
      </c>
      <c r="AI49" s="193">
        <f>INDEX(Tab_Def_Flows[[Flow_ID]:[CC_DM_source]],MATCH(Tab_Data_Flows[[#This Row],[Name(EN)]],Tab_Def_Flows[Name(EN)],0),17)</f>
        <v>0</v>
      </c>
      <c r="AJ49" s="10">
        <f>IF(L49="Yes",AI49*Tab_Data_Flows[[#This Row],[Flow_Py]]*Tab_Data_Flows[[#This Row],[DM_'[%']]],"N.A.")</f>
        <v>0</v>
      </c>
      <c r="AK49" s="10" t="str">
        <f>Tab_Data_Flows[[#This Row],[UoM_Flow_Py]]</f>
        <v>Mg</v>
      </c>
    </row>
    <row r="50" spans="1:37" x14ac:dyDescent="0.25">
      <c r="A50" s="17">
        <f t="shared" si="0"/>
        <v>49</v>
      </c>
      <c r="B50" s="10" t="str">
        <f>_xlfn.XLOOKUP(C50,Tab_Def_Flows[Name(EN)],Tab_Def_Flows[Flow_ID],,0,)</f>
        <v>F_01_02</v>
      </c>
      <c r="C50" s="12" t="s">
        <v>286</v>
      </c>
      <c r="D50" s="10"/>
      <c r="E50" s="10" t="str">
        <f>_xlfn.XLOOKUP(C50,Tab_Def_Flows[Name(EN)],Tab_Def_Flows[Output_Process],,0,)</f>
        <v>Environment</v>
      </c>
      <c r="F50" s="10" t="str">
        <f>_xlfn.XLOOKUP(C50,Tab_Def_Flows[Name(EN)],Tab_Def_Flows[Process_ID_O],,0,)</f>
        <v>01</v>
      </c>
      <c r="G50" s="10" t="str">
        <f>_xlfn.XLOOKUP(C50,Tab_Def_Flows[Name(EN)],Tab_Def_Flows[Input_Process],,0,)</f>
        <v>Cultivation</v>
      </c>
      <c r="H50" s="18" t="str">
        <f>_xlfn.XLOOKUP(C50,Tab_Def_Flows[Name(EN)],Tab_Def_Flows[Process_ID_I],,0,)</f>
        <v>02</v>
      </c>
      <c r="I50" s="10" t="e">
        <f>_xlfn.XLOOKUP(C50,Tab_Def_Flows[Name(EN)],#REF!,,0,)</f>
        <v>#REF!</v>
      </c>
      <c r="J50" s="10" t="str">
        <f>_xlfn.XLOOKUP(C50,Tab_Def_Flows[Name(EN)],Tab_Def_Flows[WC?],,0,)</f>
        <v>Yes</v>
      </c>
      <c r="K50" s="10" t="str">
        <f>_xlfn.XLOOKUP(C50,Tab_Def_Flows[Name(EN)],Tab_Def_Flows[DM?],,0,)</f>
        <v>Yes</v>
      </c>
      <c r="L50" s="10" t="str">
        <f>_xlfn.XLOOKUP(C50,Tab_Def_Flows[Name(EN)],Tab_Def_Flows[CC?],,0,)</f>
        <v>Yes</v>
      </c>
      <c r="M50" s="12">
        <v>2047</v>
      </c>
      <c r="N50" s="12"/>
      <c r="O50" s="50">
        <v>320</v>
      </c>
      <c r="P50" s="12"/>
      <c r="Q50" s="12"/>
      <c r="R50" s="12" t="e">
        <f>INDEX(#REF!,MATCH(Tab_Data_Flows[[#This Row],[Name(EN)]],#REF!,0),12)</f>
        <v>#REF!</v>
      </c>
      <c r="S50" s="12" t="e">
        <f>MATCH(Tab_Data_Flows[[#This Row],[Name(EN)]],#REF!,0)</f>
        <v>#REF!</v>
      </c>
      <c r="T50" s="12"/>
      <c r="U50" s="12"/>
      <c r="V50" s="12"/>
      <c r="W50" s="12"/>
      <c r="X50" s="12" t="s">
        <v>8</v>
      </c>
      <c r="Y50" s="12"/>
      <c r="Z50" s="12"/>
      <c r="AA50" s="36">
        <f t="shared" si="1"/>
        <v>320</v>
      </c>
      <c r="AB50" s="12" t="s">
        <v>283</v>
      </c>
      <c r="AC50" s="193">
        <f>INDEX(Tab_Def_Flows[[Flow_ID]:[CC_DM_source]],MATCH(Tab_Data_Flows[[#This Row],[Name(EN)]],Tab_Def_Flows[Name(EN)],0),13)</f>
        <v>0</v>
      </c>
      <c r="AD50" s="10">
        <f>IF(J50="Yes",AA50*Tab_Data_Flows[[#This Row],[WC_'[%']]],"N.A.")</f>
        <v>0</v>
      </c>
      <c r="AE50" s="10" t="str">
        <f>Tab_Data_Flows[[#This Row],[UoM_Flow_Py]]</f>
        <v>Mg</v>
      </c>
      <c r="AF50" s="193">
        <f>INDEX(Tab_Def_Flows[[Flow_ID]:[CC_DM_source]],MATCH(Tab_Data_Flows[[#This Row],[Name(EN)]],Tab_Def_Flows[Name(EN)],0),15)</f>
        <v>1</v>
      </c>
      <c r="AG50" s="10">
        <f>IF(K50="Yes",AF50*Tab_Data_Flows[[#This Row],[Flow_Py]],"N.A.")</f>
        <v>320</v>
      </c>
      <c r="AH50" s="10" t="str">
        <f>Tab_Data_Flows[[#This Row],[UoM_Flow_Py]]</f>
        <v>Mg</v>
      </c>
      <c r="AI50" s="193">
        <f>INDEX(Tab_Def_Flows[[Flow_ID]:[CC_DM_source]],MATCH(Tab_Data_Flows[[#This Row],[Name(EN)]],Tab_Def_Flows[Name(EN)],0),17)</f>
        <v>0</v>
      </c>
      <c r="AJ50" s="10">
        <f>IF(L50="Yes",AI50*Tab_Data_Flows[[#This Row],[Flow_Py]]*Tab_Data_Flows[[#This Row],[DM_'[%']]],"N.A.")</f>
        <v>0</v>
      </c>
      <c r="AK50" s="10" t="str">
        <f>Tab_Data_Flows[[#This Row],[UoM_Flow_Py]]</f>
        <v>Mg</v>
      </c>
    </row>
    <row r="51" spans="1:37" x14ac:dyDescent="0.25">
      <c r="A51" s="17">
        <f t="shared" si="0"/>
        <v>50</v>
      </c>
      <c r="B51" s="10" t="str">
        <f>_xlfn.XLOOKUP(C51,Tab_Def_Flows[Name(EN)],Tab_Def_Flows[Flow_ID],,0,)</f>
        <v>F_01_02</v>
      </c>
      <c r="C51" s="12" t="s">
        <v>286</v>
      </c>
      <c r="D51" s="10"/>
      <c r="E51" s="10" t="str">
        <f>_xlfn.XLOOKUP(C51,Tab_Def_Flows[Name(EN)],Tab_Def_Flows[Output_Process],,0,)</f>
        <v>Environment</v>
      </c>
      <c r="F51" s="10" t="str">
        <f>_xlfn.XLOOKUP(C51,Tab_Def_Flows[Name(EN)],Tab_Def_Flows[Process_ID_O],,0,)</f>
        <v>01</v>
      </c>
      <c r="G51" s="10" t="str">
        <f>_xlfn.XLOOKUP(C51,Tab_Def_Flows[Name(EN)],Tab_Def_Flows[Input_Process],,0,)</f>
        <v>Cultivation</v>
      </c>
      <c r="H51" s="18" t="str">
        <f>_xlfn.XLOOKUP(C51,Tab_Def_Flows[Name(EN)],Tab_Def_Flows[Process_ID_I],,0,)</f>
        <v>02</v>
      </c>
      <c r="I51" s="10" t="e">
        <f>_xlfn.XLOOKUP(C51,Tab_Def_Flows[Name(EN)],#REF!,,0,)</f>
        <v>#REF!</v>
      </c>
      <c r="J51" s="10" t="str">
        <f>_xlfn.XLOOKUP(C51,Tab_Def_Flows[Name(EN)],Tab_Def_Flows[WC?],,0,)</f>
        <v>Yes</v>
      </c>
      <c r="K51" s="10" t="str">
        <f>_xlfn.XLOOKUP(C51,Tab_Def_Flows[Name(EN)],Tab_Def_Flows[DM?],,0,)</f>
        <v>Yes</v>
      </c>
      <c r="L51" s="10" t="str">
        <f>_xlfn.XLOOKUP(C51,Tab_Def_Flows[Name(EN)],Tab_Def_Flows[CC?],,0,)</f>
        <v>Yes</v>
      </c>
      <c r="M51" s="12">
        <v>2048</v>
      </c>
      <c r="N51" s="12"/>
      <c r="O51" s="50">
        <v>330</v>
      </c>
      <c r="P51" s="12"/>
      <c r="Q51" s="12"/>
      <c r="R51" s="12" t="e">
        <f>INDEX(#REF!,MATCH(Tab_Data_Flows[[#This Row],[Name(EN)]],#REF!,0),12)</f>
        <v>#REF!</v>
      </c>
      <c r="S51" s="12" t="e">
        <f>MATCH(Tab_Data_Flows[[#This Row],[Name(EN)]],#REF!,0)</f>
        <v>#REF!</v>
      </c>
      <c r="T51" s="12"/>
      <c r="U51" s="12"/>
      <c r="V51" s="12"/>
      <c r="W51" s="12"/>
      <c r="X51" s="12" t="s">
        <v>8</v>
      </c>
      <c r="Y51" s="12"/>
      <c r="Z51" s="12"/>
      <c r="AA51" s="36">
        <f t="shared" si="1"/>
        <v>330</v>
      </c>
      <c r="AB51" s="12" t="s">
        <v>283</v>
      </c>
      <c r="AC51" s="193">
        <f>INDEX(Tab_Def_Flows[[Flow_ID]:[CC_DM_source]],MATCH(Tab_Data_Flows[[#This Row],[Name(EN)]],Tab_Def_Flows[Name(EN)],0),13)</f>
        <v>0</v>
      </c>
      <c r="AD51" s="10">
        <f>IF(J51="Yes",AA51*Tab_Data_Flows[[#This Row],[WC_'[%']]],"N.A.")</f>
        <v>0</v>
      </c>
      <c r="AE51" s="10" t="str">
        <f>Tab_Data_Flows[[#This Row],[UoM_Flow_Py]]</f>
        <v>Mg</v>
      </c>
      <c r="AF51" s="193">
        <f>INDEX(Tab_Def_Flows[[Flow_ID]:[CC_DM_source]],MATCH(Tab_Data_Flows[[#This Row],[Name(EN)]],Tab_Def_Flows[Name(EN)],0),15)</f>
        <v>1</v>
      </c>
      <c r="AG51" s="10">
        <f>IF(K51="Yes",AF51*Tab_Data_Flows[[#This Row],[Flow_Py]],"N.A.")</f>
        <v>330</v>
      </c>
      <c r="AH51" s="10" t="str">
        <f>Tab_Data_Flows[[#This Row],[UoM_Flow_Py]]</f>
        <v>Mg</v>
      </c>
      <c r="AI51" s="193">
        <f>INDEX(Tab_Def_Flows[[Flow_ID]:[CC_DM_source]],MATCH(Tab_Data_Flows[[#This Row],[Name(EN)]],Tab_Def_Flows[Name(EN)],0),17)</f>
        <v>0</v>
      </c>
      <c r="AJ51" s="10">
        <f>IF(L51="Yes",AI51*Tab_Data_Flows[[#This Row],[Flow_Py]]*Tab_Data_Flows[[#This Row],[DM_'[%']]],"N.A.")</f>
        <v>0</v>
      </c>
      <c r="AK51" s="10" t="str">
        <f>Tab_Data_Flows[[#This Row],[UoM_Flow_Py]]</f>
        <v>Mg</v>
      </c>
    </row>
    <row r="52" spans="1:37" x14ac:dyDescent="0.25">
      <c r="A52" s="17">
        <f t="shared" si="0"/>
        <v>51</v>
      </c>
      <c r="B52" s="10" t="str">
        <f>_xlfn.XLOOKUP(C52,Tab_Def_Flows[Name(EN)],Tab_Def_Flows[Flow_ID],,0,)</f>
        <v>F_01_02</v>
      </c>
      <c r="C52" s="12" t="s">
        <v>286</v>
      </c>
      <c r="D52" s="10"/>
      <c r="E52" s="10" t="str">
        <f>_xlfn.XLOOKUP(C52,Tab_Def_Flows[Name(EN)],Tab_Def_Flows[Output_Process],,0,)</f>
        <v>Environment</v>
      </c>
      <c r="F52" s="10" t="str">
        <f>_xlfn.XLOOKUP(C52,Tab_Def_Flows[Name(EN)],Tab_Def_Flows[Process_ID_O],,0,)</f>
        <v>01</v>
      </c>
      <c r="G52" s="10" t="str">
        <f>_xlfn.XLOOKUP(C52,Tab_Def_Flows[Name(EN)],Tab_Def_Flows[Input_Process],,0,)</f>
        <v>Cultivation</v>
      </c>
      <c r="H52" s="18" t="str">
        <f>_xlfn.XLOOKUP(C52,Tab_Def_Flows[Name(EN)],Tab_Def_Flows[Process_ID_I],,0,)</f>
        <v>02</v>
      </c>
      <c r="I52" s="10" t="e">
        <f>_xlfn.XLOOKUP(C52,Tab_Def_Flows[Name(EN)],#REF!,,0,)</f>
        <v>#REF!</v>
      </c>
      <c r="J52" s="10" t="str">
        <f>_xlfn.XLOOKUP(C52,Tab_Def_Flows[Name(EN)],Tab_Def_Flows[WC?],,0,)</f>
        <v>Yes</v>
      </c>
      <c r="K52" s="10" t="str">
        <f>_xlfn.XLOOKUP(C52,Tab_Def_Flows[Name(EN)],Tab_Def_Flows[DM?],,0,)</f>
        <v>Yes</v>
      </c>
      <c r="L52" s="10" t="str">
        <f>_xlfn.XLOOKUP(C52,Tab_Def_Flows[Name(EN)],Tab_Def_Flows[CC?],,0,)</f>
        <v>Yes</v>
      </c>
      <c r="M52" s="12">
        <v>2049</v>
      </c>
      <c r="N52" s="12"/>
      <c r="O52" s="50">
        <v>340</v>
      </c>
      <c r="P52" s="12"/>
      <c r="Q52" s="12"/>
      <c r="R52" s="12" t="e">
        <f>INDEX(#REF!,MATCH(Tab_Data_Flows[[#This Row],[Name(EN)]],#REF!,0),12)</f>
        <v>#REF!</v>
      </c>
      <c r="S52" s="12" t="e">
        <f>MATCH(Tab_Data_Flows[[#This Row],[Name(EN)]],#REF!,0)</f>
        <v>#REF!</v>
      </c>
      <c r="T52" s="12"/>
      <c r="U52" s="12"/>
      <c r="V52" s="12"/>
      <c r="W52" s="12"/>
      <c r="X52" s="12" t="s">
        <v>8</v>
      </c>
      <c r="Y52" s="12"/>
      <c r="Z52" s="12"/>
      <c r="AA52" s="36">
        <f t="shared" si="1"/>
        <v>340</v>
      </c>
      <c r="AB52" s="12" t="s">
        <v>283</v>
      </c>
      <c r="AC52" s="193">
        <f>INDEX(Tab_Def_Flows[[Flow_ID]:[CC_DM_source]],MATCH(Tab_Data_Flows[[#This Row],[Name(EN)]],Tab_Def_Flows[Name(EN)],0),13)</f>
        <v>0</v>
      </c>
      <c r="AD52" s="10">
        <f>IF(J52="Yes",AA52*Tab_Data_Flows[[#This Row],[WC_'[%']]],"N.A.")</f>
        <v>0</v>
      </c>
      <c r="AE52" s="10" t="str">
        <f>Tab_Data_Flows[[#This Row],[UoM_Flow_Py]]</f>
        <v>Mg</v>
      </c>
      <c r="AF52" s="193">
        <f>INDEX(Tab_Def_Flows[[Flow_ID]:[CC_DM_source]],MATCH(Tab_Data_Flows[[#This Row],[Name(EN)]],Tab_Def_Flows[Name(EN)],0),15)</f>
        <v>1</v>
      </c>
      <c r="AG52" s="10">
        <f>IF(K52="Yes",AF52*Tab_Data_Flows[[#This Row],[Flow_Py]],"N.A.")</f>
        <v>340</v>
      </c>
      <c r="AH52" s="10" t="str">
        <f>Tab_Data_Flows[[#This Row],[UoM_Flow_Py]]</f>
        <v>Mg</v>
      </c>
      <c r="AI52" s="193">
        <f>INDEX(Tab_Def_Flows[[Flow_ID]:[CC_DM_source]],MATCH(Tab_Data_Flows[[#This Row],[Name(EN)]],Tab_Def_Flows[Name(EN)],0),17)</f>
        <v>0</v>
      </c>
      <c r="AJ52" s="10">
        <f>IF(L52="Yes",AI52*Tab_Data_Flows[[#This Row],[Flow_Py]]*Tab_Data_Flows[[#This Row],[DM_'[%']]],"N.A.")</f>
        <v>0</v>
      </c>
      <c r="AK52" s="10" t="str">
        <f>Tab_Data_Flows[[#This Row],[UoM_Flow_Py]]</f>
        <v>Mg</v>
      </c>
    </row>
    <row r="53" spans="1:37" x14ac:dyDescent="0.25">
      <c r="A53" s="17">
        <f t="shared" si="0"/>
        <v>52</v>
      </c>
      <c r="B53" s="10" t="str">
        <f>_xlfn.XLOOKUP(C53,Tab_Def_Flows[Name(EN)],Tab_Def_Flows[Flow_ID],,0,)</f>
        <v>F_01_02</v>
      </c>
      <c r="C53" s="12" t="s">
        <v>286</v>
      </c>
      <c r="D53" s="10"/>
      <c r="E53" s="10" t="str">
        <f>_xlfn.XLOOKUP(C53,Tab_Def_Flows[Name(EN)],Tab_Def_Flows[Output_Process],,0,)</f>
        <v>Environment</v>
      </c>
      <c r="F53" s="10" t="str">
        <f>_xlfn.XLOOKUP(C53,Tab_Def_Flows[Name(EN)],Tab_Def_Flows[Process_ID_O],,0,)</f>
        <v>01</v>
      </c>
      <c r="G53" s="10" t="str">
        <f>_xlfn.XLOOKUP(C53,Tab_Def_Flows[Name(EN)],Tab_Def_Flows[Input_Process],,0,)</f>
        <v>Cultivation</v>
      </c>
      <c r="H53" s="18" t="str">
        <f>_xlfn.XLOOKUP(C53,Tab_Def_Flows[Name(EN)],Tab_Def_Flows[Process_ID_I],,0,)</f>
        <v>02</v>
      </c>
      <c r="I53" s="10" t="e">
        <f>_xlfn.XLOOKUP(C53,Tab_Def_Flows[Name(EN)],#REF!,,0,)</f>
        <v>#REF!</v>
      </c>
      <c r="J53" s="10" t="str">
        <f>_xlfn.XLOOKUP(C53,Tab_Def_Flows[Name(EN)],Tab_Def_Flows[WC?],,0,)</f>
        <v>Yes</v>
      </c>
      <c r="K53" s="10" t="str">
        <f>_xlfn.XLOOKUP(C53,Tab_Def_Flows[Name(EN)],Tab_Def_Flows[DM?],,0,)</f>
        <v>Yes</v>
      </c>
      <c r="L53" s="10" t="str">
        <f>_xlfn.XLOOKUP(C53,Tab_Def_Flows[Name(EN)],Tab_Def_Flows[CC?],,0,)</f>
        <v>Yes</v>
      </c>
      <c r="M53" s="12">
        <v>2050</v>
      </c>
      <c r="N53" s="12"/>
      <c r="O53" s="50">
        <v>350</v>
      </c>
      <c r="P53" s="12"/>
      <c r="Q53" s="12"/>
      <c r="R53" s="12" t="e">
        <f>INDEX(#REF!,MATCH(Tab_Data_Flows[[#This Row],[Name(EN)]],#REF!,0),12)</f>
        <v>#REF!</v>
      </c>
      <c r="S53" s="12" t="e">
        <f>MATCH(Tab_Data_Flows[[#This Row],[Name(EN)]],#REF!,0)</f>
        <v>#REF!</v>
      </c>
      <c r="T53" s="12"/>
      <c r="U53" s="12"/>
      <c r="V53" s="12"/>
      <c r="W53" s="12"/>
      <c r="X53" s="12" t="s">
        <v>8</v>
      </c>
      <c r="Y53" s="12"/>
      <c r="Z53" s="12"/>
      <c r="AA53" s="36">
        <f t="shared" si="1"/>
        <v>350</v>
      </c>
      <c r="AB53" s="12" t="s">
        <v>283</v>
      </c>
      <c r="AC53" s="193">
        <f>INDEX(Tab_Def_Flows[[Flow_ID]:[CC_DM_source]],MATCH(Tab_Data_Flows[[#This Row],[Name(EN)]],Tab_Def_Flows[Name(EN)],0),13)</f>
        <v>0</v>
      </c>
      <c r="AD53" s="10">
        <f>IF(J53="Yes",AA53*Tab_Data_Flows[[#This Row],[WC_'[%']]],"N.A.")</f>
        <v>0</v>
      </c>
      <c r="AE53" s="10" t="str">
        <f>Tab_Data_Flows[[#This Row],[UoM_Flow_Py]]</f>
        <v>Mg</v>
      </c>
      <c r="AF53" s="193">
        <f>INDEX(Tab_Def_Flows[[Flow_ID]:[CC_DM_source]],MATCH(Tab_Data_Flows[[#This Row],[Name(EN)]],Tab_Def_Flows[Name(EN)],0),15)</f>
        <v>1</v>
      </c>
      <c r="AG53" s="10">
        <f>IF(K53="Yes",AF53*Tab_Data_Flows[[#This Row],[Flow_Py]],"N.A.")</f>
        <v>350</v>
      </c>
      <c r="AH53" s="10" t="str">
        <f>Tab_Data_Flows[[#This Row],[UoM_Flow_Py]]</f>
        <v>Mg</v>
      </c>
      <c r="AI53" s="193">
        <f>INDEX(Tab_Def_Flows[[Flow_ID]:[CC_DM_source]],MATCH(Tab_Data_Flows[[#This Row],[Name(EN)]],Tab_Def_Flows[Name(EN)],0),17)</f>
        <v>0</v>
      </c>
      <c r="AJ53" s="10">
        <f>IF(L53="Yes",AI53*Tab_Data_Flows[[#This Row],[Flow_Py]]*Tab_Data_Flows[[#This Row],[DM_'[%']]],"N.A.")</f>
        <v>0</v>
      </c>
      <c r="AK53" s="10" t="str">
        <f>Tab_Data_Flows[[#This Row],[UoM_Flow_Py]]</f>
        <v>Mg</v>
      </c>
    </row>
    <row r="54" spans="1:37" x14ac:dyDescent="0.25">
      <c r="A54" s="17">
        <f t="shared" si="0"/>
        <v>53</v>
      </c>
      <c r="B54" s="10" t="str">
        <f>_xlfn.XLOOKUP(C54,Tab_Def_Flows[Name(EN)],Tab_Def_Flows[Flow_ID],,0,)</f>
        <v>N.A.</v>
      </c>
      <c r="C54" s="12" t="s">
        <v>35</v>
      </c>
      <c r="D54" s="10"/>
      <c r="E54" s="10">
        <f>_xlfn.XLOOKUP(C54,Tab_Def_Flows[Name(EN)],Tab_Def_Flows[Output_Process],,0,)</f>
        <v>0</v>
      </c>
      <c r="F54" s="10">
        <f>_xlfn.XLOOKUP(C54,Tab_Def_Flows[Name(EN)],Tab_Def_Flows[Process_ID_O],,0,)</f>
        <v>0</v>
      </c>
      <c r="G54" s="10">
        <f>_xlfn.XLOOKUP(C54,Tab_Def_Flows[Name(EN)],Tab_Def_Flows[Input_Process],,0,)</f>
        <v>0</v>
      </c>
      <c r="H54" s="18">
        <f>_xlfn.XLOOKUP(C54,Tab_Def_Flows[Name(EN)],Tab_Def_Flows[Process_ID_I],,0,)</f>
        <v>0</v>
      </c>
      <c r="I54" s="10" t="e">
        <f>_xlfn.XLOOKUP(C54,Tab_Def_Flows[Name(EN)],#REF!,,0,)</f>
        <v>#REF!</v>
      </c>
      <c r="J54" s="10">
        <f>_xlfn.XLOOKUP(C54,Tab_Def_Flows[Name(EN)],Tab_Def_Flows[WC?],,0,)</f>
        <v>0</v>
      </c>
      <c r="K54" s="10">
        <f>_xlfn.XLOOKUP(C54,Tab_Def_Flows[Name(EN)],Tab_Def_Flows[DM?],,0,)</f>
        <v>0</v>
      </c>
      <c r="L54" s="10">
        <f>_xlfn.XLOOKUP(C54,Tab_Def_Flows[Name(EN)],Tab_Def_Flows[CC?],,0,)</f>
        <v>0</v>
      </c>
      <c r="M54" s="12"/>
      <c r="N54" s="12"/>
      <c r="O54" s="50"/>
      <c r="P54" s="12"/>
      <c r="Q54" s="12"/>
      <c r="R54" s="12" t="e">
        <f>INDEX(#REF!,MATCH(Tab_Data_Flows[[#This Row],[Name(EN)]],#REF!,0),12)</f>
        <v>#REF!</v>
      </c>
      <c r="S54" s="12" t="e">
        <f>MATCH(Tab_Data_Flows[[#This Row],[Name(EN)]],#REF!,0)</f>
        <v>#REF!</v>
      </c>
      <c r="T54" s="12"/>
      <c r="U54" s="12"/>
      <c r="V54" s="12"/>
      <c r="W54" s="12"/>
      <c r="X54" s="12" t="s">
        <v>8</v>
      </c>
      <c r="Y54" s="12"/>
      <c r="Z54" s="12"/>
      <c r="AA54" s="36">
        <f t="shared" si="1"/>
        <v>0</v>
      </c>
      <c r="AB54" s="12" t="s">
        <v>283</v>
      </c>
      <c r="AC54" s="193">
        <f>INDEX(Tab_Def_Flows[[Flow_ID]:[CC_DM_source]],MATCH(Tab_Data_Flows[[#This Row],[Name(EN)]],Tab_Def_Flows[Name(EN)],0),13)</f>
        <v>0</v>
      </c>
      <c r="AD54" s="10" t="str">
        <f>IF(J54="Yes",AA54*Tab_Data_Flows[[#This Row],[WC_'[%']]],"N.A.")</f>
        <v>N.A.</v>
      </c>
      <c r="AE54" s="10" t="str">
        <f>Tab_Data_Flows[[#This Row],[UoM_Flow_Py]]</f>
        <v>Mg</v>
      </c>
      <c r="AF54" s="193">
        <f>INDEX(Tab_Def_Flows[[Flow_ID]:[CC_DM_source]],MATCH(Tab_Data_Flows[[#This Row],[Name(EN)]],Tab_Def_Flows[Name(EN)],0),15)</f>
        <v>0</v>
      </c>
      <c r="AG54" s="10" t="str">
        <f>IF(K54="Yes",AF54*Tab_Data_Flows[[#This Row],[Flow_Py]],"N.A.")</f>
        <v>N.A.</v>
      </c>
      <c r="AH54" s="10" t="str">
        <f>Tab_Data_Flows[[#This Row],[UoM_Flow_Py]]</f>
        <v>Mg</v>
      </c>
      <c r="AI54" s="193">
        <f>INDEX(Tab_Def_Flows[[Flow_ID]:[CC_DM_source]],MATCH(Tab_Data_Flows[[#This Row],[Name(EN)]],Tab_Def_Flows[Name(EN)],0),17)</f>
        <v>0</v>
      </c>
      <c r="AJ54" s="10" t="str">
        <f>IF(L54="Yes",AI54*Tab_Data_Flows[[#This Row],[Flow_Py]]*Tab_Data_Flows[[#This Row],[DM_'[%']]],"N.A.")</f>
        <v>N.A.</v>
      </c>
      <c r="AK54" s="10" t="str">
        <f>Tab_Data_Flows[[#This Row],[UoM_Flow_Py]]</f>
        <v>Mg</v>
      </c>
    </row>
    <row r="55" spans="1:37" x14ac:dyDescent="0.25">
      <c r="A55" s="17">
        <f t="shared" si="0"/>
        <v>54</v>
      </c>
      <c r="B55" s="10" t="str">
        <f>_xlfn.XLOOKUP(C55,Tab_Def_Flows[Name(EN)],Tab_Def_Flows[Flow_ID],,0,)</f>
        <v>N.A.</v>
      </c>
      <c r="C55" s="12" t="s">
        <v>35</v>
      </c>
      <c r="D55" s="10"/>
      <c r="E55" s="10">
        <f>_xlfn.XLOOKUP(C55,Tab_Def_Flows[Name(EN)],Tab_Def_Flows[Output_Process],,0,)</f>
        <v>0</v>
      </c>
      <c r="F55" s="10">
        <f>_xlfn.XLOOKUP(C55,Tab_Def_Flows[Name(EN)],Tab_Def_Flows[Process_ID_O],,0,)</f>
        <v>0</v>
      </c>
      <c r="G55" s="10">
        <f>_xlfn.XLOOKUP(C55,Tab_Def_Flows[Name(EN)],Tab_Def_Flows[Input_Process],,0,)</f>
        <v>0</v>
      </c>
      <c r="H55" s="18">
        <f>_xlfn.XLOOKUP(C55,Tab_Def_Flows[Name(EN)],Tab_Def_Flows[Process_ID_I],,0,)</f>
        <v>0</v>
      </c>
      <c r="I55" s="10" t="e">
        <f>_xlfn.XLOOKUP(C55,Tab_Def_Flows[Name(EN)],#REF!,,0,)</f>
        <v>#REF!</v>
      </c>
      <c r="J55" s="10">
        <f>_xlfn.XLOOKUP(C55,Tab_Def_Flows[Name(EN)],Tab_Def_Flows[WC?],,0,)</f>
        <v>0</v>
      </c>
      <c r="K55" s="10">
        <f>_xlfn.XLOOKUP(C55,Tab_Def_Flows[Name(EN)],Tab_Def_Flows[DM?],,0,)</f>
        <v>0</v>
      </c>
      <c r="L55" s="10">
        <f>_xlfn.XLOOKUP(C55,Tab_Def_Flows[Name(EN)],Tab_Def_Flows[CC?],,0,)</f>
        <v>0</v>
      </c>
      <c r="M55" s="12"/>
      <c r="N55" s="12"/>
      <c r="O55" s="50"/>
      <c r="P55" s="12"/>
      <c r="Q55" s="12"/>
      <c r="R55" s="12" t="e">
        <f>INDEX(#REF!,MATCH(Tab_Data_Flows[[#This Row],[Name(EN)]],#REF!,0),12)</f>
        <v>#REF!</v>
      </c>
      <c r="S55" s="12" t="e">
        <f>MATCH(Tab_Data_Flows[[#This Row],[Name(EN)]],#REF!,0)</f>
        <v>#REF!</v>
      </c>
      <c r="T55" s="12"/>
      <c r="U55" s="12"/>
      <c r="V55" s="12"/>
      <c r="W55" s="12"/>
      <c r="X55" s="12" t="s">
        <v>8</v>
      </c>
      <c r="Y55" s="12"/>
      <c r="Z55" s="12"/>
      <c r="AA55" s="36">
        <f t="shared" si="1"/>
        <v>0</v>
      </c>
      <c r="AB55" s="12" t="s">
        <v>283</v>
      </c>
      <c r="AC55" s="193">
        <f>INDEX(Tab_Def_Flows[[Flow_ID]:[CC_DM_source]],MATCH(Tab_Data_Flows[[#This Row],[Name(EN)]],Tab_Def_Flows[Name(EN)],0),13)</f>
        <v>0</v>
      </c>
      <c r="AD55" s="10" t="str">
        <f>IF(J55="Yes",AA55*Tab_Data_Flows[[#This Row],[WC_'[%']]],"N.A.")</f>
        <v>N.A.</v>
      </c>
      <c r="AE55" s="10" t="str">
        <f>Tab_Data_Flows[[#This Row],[UoM_Flow_Py]]</f>
        <v>Mg</v>
      </c>
      <c r="AF55" s="193">
        <f>INDEX(Tab_Def_Flows[[Flow_ID]:[CC_DM_source]],MATCH(Tab_Data_Flows[[#This Row],[Name(EN)]],Tab_Def_Flows[Name(EN)],0),15)</f>
        <v>0</v>
      </c>
      <c r="AG55" s="10" t="str">
        <f>IF(K55="Yes",AF55*Tab_Data_Flows[[#This Row],[Flow_Py]],"N.A.")</f>
        <v>N.A.</v>
      </c>
      <c r="AH55" s="10" t="str">
        <f>Tab_Data_Flows[[#This Row],[UoM_Flow_Py]]</f>
        <v>Mg</v>
      </c>
      <c r="AI55" s="193">
        <f>INDEX(Tab_Def_Flows[[Flow_ID]:[CC_DM_source]],MATCH(Tab_Data_Flows[[#This Row],[Name(EN)]],Tab_Def_Flows[Name(EN)],0),17)</f>
        <v>0</v>
      </c>
      <c r="AJ55" s="10" t="str">
        <f>IF(L55="Yes",AI55*Tab_Data_Flows[[#This Row],[Flow_Py]]*Tab_Data_Flows[[#This Row],[DM_'[%']]],"N.A.")</f>
        <v>N.A.</v>
      </c>
      <c r="AK55" s="10" t="str">
        <f>Tab_Data_Flows[[#This Row],[UoM_Flow_Py]]</f>
        <v>Mg</v>
      </c>
    </row>
    <row r="56" spans="1:37" x14ac:dyDescent="0.25">
      <c r="A56" s="17">
        <f t="shared" si="0"/>
        <v>55</v>
      </c>
      <c r="B56" s="10" t="str">
        <f>_xlfn.XLOOKUP(C56,Tab_Def_Flows[Name(EN)],Tab_Def_Flows[Flow_ID],,0,)</f>
        <v>N.A.</v>
      </c>
      <c r="C56" s="12" t="s">
        <v>35</v>
      </c>
      <c r="D56" s="10"/>
      <c r="E56" s="10">
        <f>_xlfn.XLOOKUP(C56,Tab_Def_Flows[Name(EN)],Tab_Def_Flows[Output_Process],,0,)</f>
        <v>0</v>
      </c>
      <c r="F56" s="10">
        <f>_xlfn.XLOOKUP(C56,Tab_Def_Flows[Name(EN)],Tab_Def_Flows[Process_ID_O],,0,)</f>
        <v>0</v>
      </c>
      <c r="G56" s="10">
        <f>_xlfn.XLOOKUP(C56,Tab_Def_Flows[Name(EN)],Tab_Def_Flows[Input_Process],,0,)</f>
        <v>0</v>
      </c>
      <c r="H56" s="18">
        <f>_xlfn.XLOOKUP(C56,Tab_Def_Flows[Name(EN)],Tab_Def_Flows[Process_ID_I],,0,)</f>
        <v>0</v>
      </c>
      <c r="I56" s="10" t="e">
        <f>_xlfn.XLOOKUP(C56,Tab_Def_Flows[Name(EN)],#REF!,,0,)</f>
        <v>#REF!</v>
      </c>
      <c r="J56" s="10">
        <f>_xlfn.XLOOKUP(C56,Tab_Def_Flows[Name(EN)],Tab_Def_Flows[WC?],,0,)</f>
        <v>0</v>
      </c>
      <c r="K56" s="10">
        <f>_xlfn.XLOOKUP(C56,Tab_Def_Flows[Name(EN)],Tab_Def_Flows[DM?],,0,)</f>
        <v>0</v>
      </c>
      <c r="L56" s="10">
        <f>_xlfn.XLOOKUP(C56,Tab_Def_Flows[Name(EN)],Tab_Def_Flows[CC?],,0,)</f>
        <v>0</v>
      </c>
      <c r="M56" s="12"/>
      <c r="N56" s="12"/>
      <c r="O56" s="50"/>
      <c r="P56" s="12"/>
      <c r="Q56" s="12"/>
      <c r="R56" s="12" t="e">
        <f>INDEX(#REF!,MATCH(Tab_Data_Flows[[#This Row],[Name(EN)]],#REF!,0),12)</f>
        <v>#REF!</v>
      </c>
      <c r="S56" s="12" t="e">
        <f>MATCH(Tab_Data_Flows[[#This Row],[Name(EN)]],#REF!,0)</f>
        <v>#REF!</v>
      </c>
      <c r="T56" s="12"/>
      <c r="U56" s="12"/>
      <c r="V56" s="12"/>
      <c r="W56" s="12"/>
      <c r="X56" s="12" t="s">
        <v>8</v>
      </c>
      <c r="Y56" s="12"/>
      <c r="Z56" s="12"/>
      <c r="AA56" s="36">
        <f t="shared" si="1"/>
        <v>0</v>
      </c>
      <c r="AB56" s="12" t="s">
        <v>283</v>
      </c>
      <c r="AC56" s="193">
        <f>INDEX(Tab_Def_Flows[[Flow_ID]:[CC_DM_source]],MATCH(Tab_Data_Flows[[#This Row],[Name(EN)]],Tab_Def_Flows[Name(EN)],0),13)</f>
        <v>0</v>
      </c>
      <c r="AD56" s="10" t="str">
        <f>IF(J56="Yes",AA56*Tab_Data_Flows[[#This Row],[WC_'[%']]],"N.A.")</f>
        <v>N.A.</v>
      </c>
      <c r="AE56" s="10" t="str">
        <f>Tab_Data_Flows[[#This Row],[UoM_Flow_Py]]</f>
        <v>Mg</v>
      </c>
      <c r="AF56" s="193">
        <f>INDEX(Tab_Def_Flows[[Flow_ID]:[CC_DM_source]],MATCH(Tab_Data_Flows[[#This Row],[Name(EN)]],Tab_Def_Flows[Name(EN)],0),15)</f>
        <v>0</v>
      </c>
      <c r="AG56" s="10" t="str">
        <f>IF(K56="Yes",AF56*Tab_Data_Flows[[#This Row],[Flow_Py]],"N.A.")</f>
        <v>N.A.</v>
      </c>
      <c r="AH56" s="10" t="str">
        <f>Tab_Data_Flows[[#This Row],[UoM_Flow_Py]]</f>
        <v>Mg</v>
      </c>
      <c r="AI56" s="193">
        <f>INDEX(Tab_Def_Flows[[Flow_ID]:[CC_DM_source]],MATCH(Tab_Data_Flows[[#This Row],[Name(EN)]],Tab_Def_Flows[Name(EN)],0),17)</f>
        <v>0</v>
      </c>
      <c r="AJ56" s="10" t="str">
        <f>IF(L56="Yes",AI56*Tab_Data_Flows[[#This Row],[Flow_Py]]*Tab_Data_Flows[[#This Row],[DM_'[%']]],"N.A.")</f>
        <v>N.A.</v>
      </c>
      <c r="AK56" s="10" t="str">
        <f>Tab_Data_Flows[[#This Row],[UoM_Flow_Py]]</f>
        <v>Mg</v>
      </c>
    </row>
    <row r="57" spans="1:37" x14ac:dyDescent="0.25">
      <c r="A57" s="17">
        <f t="shared" si="0"/>
        <v>56</v>
      </c>
      <c r="B57" s="10" t="str">
        <f>_xlfn.XLOOKUP(C57,Tab_Def_Flows[Name(EN)],Tab_Def_Flows[Flow_ID],,0,)</f>
        <v>N.A.</v>
      </c>
      <c r="C57" s="12" t="s">
        <v>35</v>
      </c>
      <c r="D57" s="10"/>
      <c r="E57" s="10">
        <f>_xlfn.XLOOKUP(C57,Tab_Def_Flows[Name(EN)],Tab_Def_Flows[Output_Process],,0,)</f>
        <v>0</v>
      </c>
      <c r="F57" s="10">
        <f>_xlfn.XLOOKUP(C57,Tab_Def_Flows[Name(EN)],Tab_Def_Flows[Process_ID_O],,0,)</f>
        <v>0</v>
      </c>
      <c r="G57" s="10">
        <f>_xlfn.XLOOKUP(C57,Tab_Def_Flows[Name(EN)],Tab_Def_Flows[Input_Process],,0,)</f>
        <v>0</v>
      </c>
      <c r="H57" s="18">
        <f>_xlfn.XLOOKUP(C57,Tab_Def_Flows[Name(EN)],Tab_Def_Flows[Process_ID_I],,0,)</f>
        <v>0</v>
      </c>
      <c r="I57" s="10" t="e">
        <f>_xlfn.XLOOKUP(C57,Tab_Def_Flows[Name(EN)],#REF!,,0,)</f>
        <v>#REF!</v>
      </c>
      <c r="J57" s="10">
        <f>_xlfn.XLOOKUP(C57,Tab_Def_Flows[Name(EN)],Tab_Def_Flows[WC?],,0,)</f>
        <v>0</v>
      </c>
      <c r="K57" s="10">
        <f>_xlfn.XLOOKUP(C57,Tab_Def_Flows[Name(EN)],Tab_Def_Flows[DM?],,0,)</f>
        <v>0</v>
      </c>
      <c r="L57" s="10">
        <f>_xlfn.XLOOKUP(C57,Tab_Def_Flows[Name(EN)],Tab_Def_Flows[CC?],,0,)</f>
        <v>0</v>
      </c>
      <c r="M57" s="12"/>
      <c r="N57" s="12"/>
      <c r="O57" s="50"/>
      <c r="P57" s="12"/>
      <c r="Q57" s="12"/>
      <c r="R57" s="12" t="e">
        <f>INDEX(#REF!,MATCH(Tab_Data_Flows[[#This Row],[Name(EN)]],#REF!,0),12)</f>
        <v>#REF!</v>
      </c>
      <c r="S57" s="12" t="e">
        <f>MATCH(Tab_Data_Flows[[#This Row],[Name(EN)]],#REF!,0)</f>
        <v>#REF!</v>
      </c>
      <c r="T57" s="12"/>
      <c r="U57" s="12"/>
      <c r="V57" s="12"/>
      <c r="W57" s="12"/>
      <c r="X57" s="12" t="s">
        <v>8</v>
      </c>
      <c r="Y57" s="12"/>
      <c r="Z57" s="12"/>
      <c r="AA57" s="36">
        <f t="shared" si="1"/>
        <v>0</v>
      </c>
      <c r="AB57" s="12" t="s">
        <v>283</v>
      </c>
      <c r="AC57" s="193">
        <f>INDEX(Tab_Def_Flows[[Flow_ID]:[CC_DM_source]],MATCH(Tab_Data_Flows[[#This Row],[Name(EN)]],Tab_Def_Flows[Name(EN)],0),13)</f>
        <v>0</v>
      </c>
      <c r="AD57" s="10" t="str">
        <f>IF(J57="Yes",AA57*Tab_Data_Flows[[#This Row],[WC_'[%']]],"N.A.")</f>
        <v>N.A.</v>
      </c>
      <c r="AE57" s="10" t="str">
        <f>Tab_Data_Flows[[#This Row],[UoM_Flow_Py]]</f>
        <v>Mg</v>
      </c>
      <c r="AF57" s="193">
        <f>INDEX(Tab_Def_Flows[[Flow_ID]:[CC_DM_source]],MATCH(Tab_Data_Flows[[#This Row],[Name(EN)]],Tab_Def_Flows[Name(EN)],0),15)</f>
        <v>0</v>
      </c>
      <c r="AG57" s="10" t="str">
        <f>IF(K57="Yes",AF57*Tab_Data_Flows[[#This Row],[Flow_Py]],"N.A.")</f>
        <v>N.A.</v>
      </c>
      <c r="AH57" s="10" t="str">
        <f>Tab_Data_Flows[[#This Row],[UoM_Flow_Py]]</f>
        <v>Mg</v>
      </c>
      <c r="AI57" s="193">
        <f>INDEX(Tab_Def_Flows[[Flow_ID]:[CC_DM_source]],MATCH(Tab_Data_Flows[[#This Row],[Name(EN)]],Tab_Def_Flows[Name(EN)],0),17)</f>
        <v>0</v>
      </c>
      <c r="AJ57" s="10" t="str">
        <f>IF(L57="Yes",AI57*Tab_Data_Flows[[#This Row],[Flow_Py]]*Tab_Data_Flows[[#This Row],[DM_'[%']]],"N.A.")</f>
        <v>N.A.</v>
      </c>
      <c r="AK57" s="10" t="str">
        <f>Tab_Data_Flows[[#This Row],[UoM_Flow_Py]]</f>
        <v>Mg</v>
      </c>
    </row>
    <row r="58" spans="1:37" x14ac:dyDescent="0.25">
      <c r="A58" s="17">
        <f t="shared" si="0"/>
        <v>57</v>
      </c>
      <c r="B58" s="10" t="str">
        <f>_xlfn.XLOOKUP(C58,Tab_Def_Flows[Name(EN)],Tab_Def_Flows[Flow_ID],,0,)</f>
        <v>N.A.</v>
      </c>
      <c r="C58" s="12" t="s">
        <v>35</v>
      </c>
      <c r="D58" s="10"/>
      <c r="E58" s="10">
        <f>_xlfn.XLOOKUP(C58,Tab_Def_Flows[Name(EN)],Tab_Def_Flows[Output_Process],,0,)</f>
        <v>0</v>
      </c>
      <c r="F58" s="10">
        <f>_xlfn.XLOOKUP(C58,Tab_Def_Flows[Name(EN)],Tab_Def_Flows[Process_ID_O],,0,)</f>
        <v>0</v>
      </c>
      <c r="G58" s="10">
        <f>_xlfn.XLOOKUP(C58,Tab_Def_Flows[Name(EN)],Tab_Def_Flows[Input_Process],,0,)</f>
        <v>0</v>
      </c>
      <c r="H58" s="18">
        <f>_xlfn.XLOOKUP(C58,Tab_Def_Flows[Name(EN)],Tab_Def_Flows[Process_ID_I],,0,)</f>
        <v>0</v>
      </c>
      <c r="I58" s="10" t="e">
        <f>_xlfn.XLOOKUP(C58,Tab_Def_Flows[Name(EN)],#REF!,,0,)</f>
        <v>#REF!</v>
      </c>
      <c r="J58" s="10">
        <f>_xlfn.XLOOKUP(C58,Tab_Def_Flows[Name(EN)],Tab_Def_Flows[WC?],,0,)</f>
        <v>0</v>
      </c>
      <c r="K58" s="10">
        <f>_xlfn.XLOOKUP(C58,Tab_Def_Flows[Name(EN)],Tab_Def_Flows[DM?],,0,)</f>
        <v>0</v>
      </c>
      <c r="L58" s="10">
        <f>_xlfn.XLOOKUP(C58,Tab_Def_Flows[Name(EN)],Tab_Def_Flows[CC?],,0,)</f>
        <v>0</v>
      </c>
      <c r="M58" s="12"/>
      <c r="N58" s="12"/>
      <c r="O58" s="50"/>
      <c r="P58" s="12"/>
      <c r="Q58" s="12"/>
      <c r="R58" s="12" t="e">
        <f>INDEX(#REF!,MATCH(Tab_Data_Flows[[#This Row],[Name(EN)]],#REF!,0),12)</f>
        <v>#REF!</v>
      </c>
      <c r="S58" s="12" t="e">
        <f>MATCH(Tab_Data_Flows[[#This Row],[Name(EN)]],#REF!,0)</f>
        <v>#REF!</v>
      </c>
      <c r="T58" s="12"/>
      <c r="U58" s="12"/>
      <c r="V58" s="12"/>
      <c r="W58" s="12"/>
      <c r="X58" s="12" t="s">
        <v>8</v>
      </c>
      <c r="Y58" s="12"/>
      <c r="Z58" s="12"/>
      <c r="AA58" s="36">
        <f t="shared" si="1"/>
        <v>0</v>
      </c>
      <c r="AB58" s="12" t="s">
        <v>283</v>
      </c>
      <c r="AC58" s="193">
        <f>INDEX(Tab_Def_Flows[[Flow_ID]:[CC_DM_source]],MATCH(Tab_Data_Flows[[#This Row],[Name(EN)]],Tab_Def_Flows[Name(EN)],0),13)</f>
        <v>0</v>
      </c>
      <c r="AD58" s="10" t="str">
        <f>IF(J58="Yes",AA58*Tab_Data_Flows[[#This Row],[WC_'[%']]],"N.A.")</f>
        <v>N.A.</v>
      </c>
      <c r="AE58" s="10" t="str">
        <f>Tab_Data_Flows[[#This Row],[UoM_Flow_Py]]</f>
        <v>Mg</v>
      </c>
      <c r="AF58" s="193">
        <f>INDEX(Tab_Def_Flows[[Flow_ID]:[CC_DM_source]],MATCH(Tab_Data_Flows[[#This Row],[Name(EN)]],Tab_Def_Flows[Name(EN)],0),15)</f>
        <v>0</v>
      </c>
      <c r="AG58" s="10" t="str">
        <f>IF(K58="Yes",AF58*Tab_Data_Flows[[#This Row],[Flow_Py]],"N.A.")</f>
        <v>N.A.</v>
      </c>
      <c r="AH58" s="10" t="str">
        <f>Tab_Data_Flows[[#This Row],[UoM_Flow_Py]]</f>
        <v>Mg</v>
      </c>
      <c r="AI58" s="193">
        <f>INDEX(Tab_Def_Flows[[Flow_ID]:[CC_DM_source]],MATCH(Tab_Data_Flows[[#This Row],[Name(EN)]],Tab_Def_Flows[Name(EN)],0),17)</f>
        <v>0</v>
      </c>
      <c r="AJ58" s="10" t="str">
        <f>IF(L58="Yes",AI58*Tab_Data_Flows[[#This Row],[Flow_Py]]*Tab_Data_Flows[[#This Row],[DM_'[%']]],"N.A.")</f>
        <v>N.A.</v>
      </c>
      <c r="AK58" s="10" t="str">
        <f>Tab_Data_Flows[[#This Row],[UoM_Flow_Py]]</f>
        <v>Mg</v>
      </c>
    </row>
    <row r="59" spans="1:37" x14ac:dyDescent="0.25">
      <c r="A59" s="17">
        <f t="shared" si="0"/>
        <v>58</v>
      </c>
      <c r="B59" s="10" t="str">
        <f>_xlfn.XLOOKUP(C59,Tab_Def_Flows[Name(EN)],Tab_Def_Flows[Flow_ID],,0,)</f>
        <v>N.A.</v>
      </c>
      <c r="C59" s="12" t="s">
        <v>35</v>
      </c>
      <c r="D59" s="10"/>
      <c r="E59" s="10">
        <f>_xlfn.XLOOKUP(C59,Tab_Def_Flows[Name(EN)],Tab_Def_Flows[Output_Process],,0,)</f>
        <v>0</v>
      </c>
      <c r="F59" s="10">
        <f>_xlfn.XLOOKUP(C59,Tab_Def_Flows[Name(EN)],Tab_Def_Flows[Process_ID_O],,0,)</f>
        <v>0</v>
      </c>
      <c r="G59" s="10">
        <f>_xlfn.XLOOKUP(C59,Tab_Def_Flows[Name(EN)],Tab_Def_Flows[Input_Process],,0,)</f>
        <v>0</v>
      </c>
      <c r="H59" s="18">
        <f>_xlfn.XLOOKUP(C59,Tab_Def_Flows[Name(EN)],Tab_Def_Flows[Process_ID_I],,0,)</f>
        <v>0</v>
      </c>
      <c r="I59" s="10" t="e">
        <f>_xlfn.XLOOKUP(C59,Tab_Def_Flows[Name(EN)],#REF!,,0,)</f>
        <v>#REF!</v>
      </c>
      <c r="J59" s="10">
        <f>_xlfn.XLOOKUP(C59,Tab_Def_Flows[Name(EN)],Tab_Def_Flows[WC?],,0,)</f>
        <v>0</v>
      </c>
      <c r="K59" s="10">
        <f>_xlfn.XLOOKUP(C59,Tab_Def_Flows[Name(EN)],Tab_Def_Flows[DM?],,0,)</f>
        <v>0</v>
      </c>
      <c r="L59" s="10">
        <f>_xlfn.XLOOKUP(C59,Tab_Def_Flows[Name(EN)],Tab_Def_Flows[CC?],,0,)</f>
        <v>0</v>
      </c>
      <c r="M59" s="12"/>
      <c r="N59" s="12"/>
      <c r="O59" s="50"/>
      <c r="P59" s="12"/>
      <c r="Q59" s="12"/>
      <c r="R59" s="12" t="e">
        <f>INDEX(#REF!,MATCH(Tab_Data_Flows[[#This Row],[Name(EN)]],#REF!,0),12)</f>
        <v>#REF!</v>
      </c>
      <c r="S59" s="12" t="e">
        <f>MATCH(Tab_Data_Flows[[#This Row],[Name(EN)]],#REF!,0)</f>
        <v>#REF!</v>
      </c>
      <c r="T59" s="12"/>
      <c r="U59" s="12"/>
      <c r="V59" s="12"/>
      <c r="W59" s="12"/>
      <c r="X59" s="12" t="s">
        <v>8</v>
      </c>
      <c r="Y59" s="12"/>
      <c r="Z59" s="12"/>
      <c r="AA59" s="36">
        <f t="shared" si="1"/>
        <v>0</v>
      </c>
      <c r="AB59" s="12" t="s">
        <v>283</v>
      </c>
      <c r="AC59" s="193">
        <f>INDEX(Tab_Def_Flows[[Flow_ID]:[CC_DM_source]],MATCH(Tab_Data_Flows[[#This Row],[Name(EN)]],Tab_Def_Flows[Name(EN)],0),13)</f>
        <v>0</v>
      </c>
      <c r="AD59" s="10" t="str">
        <f>IF(J59="Yes",AA59*Tab_Data_Flows[[#This Row],[WC_'[%']]],"N.A.")</f>
        <v>N.A.</v>
      </c>
      <c r="AE59" s="10" t="str">
        <f>Tab_Data_Flows[[#This Row],[UoM_Flow_Py]]</f>
        <v>Mg</v>
      </c>
      <c r="AF59" s="193">
        <f>INDEX(Tab_Def_Flows[[Flow_ID]:[CC_DM_source]],MATCH(Tab_Data_Flows[[#This Row],[Name(EN)]],Tab_Def_Flows[Name(EN)],0),15)</f>
        <v>0</v>
      </c>
      <c r="AG59" s="10" t="str">
        <f>IF(K59="Yes",AF59*Tab_Data_Flows[[#This Row],[Flow_Py]],"N.A.")</f>
        <v>N.A.</v>
      </c>
      <c r="AH59" s="10" t="str">
        <f>Tab_Data_Flows[[#This Row],[UoM_Flow_Py]]</f>
        <v>Mg</v>
      </c>
      <c r="AI59" s="193">
        <f>INDEX(Tab_Def_Flows[[Flow_ID]:[CC_DM_source]],MATCH(Tab_Data_Flows[[#This Row],[Name(EN)]],Tab_Def_Flows[Name(EN)],0),17)</f>
        <v>0</v>
      </c>
      <c r="AJ59" s="10" t="str">
        <f>IF(L59="Yes",AI59*Tab_Data_Flows[[#This Row],[Flow_Py]]*Tab_Data_Flows[[#This Row],[DM_'[%']]],"N.A.")</f>
        <v>N.A.</v>
      </c>
      <c r="AK59" s="10" t="str">
        <f>Tab_Data_Flows[[#This Row],[UoM_Flow_Py]]</f>
        <v>Mg</v>
      </c>
    </row>
    <row r="60" spans="1:37" x14ac:dyDescent="0.25">
      <c r="A60" s="17">
        <f t="shared" si="0"/>
        <v>59</v>
      </c>
      <c r="B60" s="10" t="str">
        <f>_xlfn.XLOOKUP(C60,Tab_Def_Flows[Name(EN)],Tab_Def_Flows[Flow_ID],,0,)</f>
        <v>N.A.</v>
      </c>
      <c r="C60" s="12" t="s">
        <v>35</v>
      </c>
      <c r="D60" s="10">
        <f>_xlfn.XLOOKUP(C60,Tab_Def_Flows[Name(EN)],Tab_Def_Flows[Type_Biomass],,0,)</f>
        <v>0</v>
      </c>
      <c r="E60" s="10">
        <f>_xlfn.XLOOKUP(C60,Tab_Def_Flows[Name(EN)],Tab_Def_Flows[Output_Process],,0,)</f>
        <v>0</v>
      </c>
      <c r="F60" s="10">
        <f>_xlfn.XLOOKUP(C60,Tab_Def_Flows[Name(EN)],Tab_Def_Flows[Process_ID_O],,0,)</f>
        <v>0</v>
      </c>
      <c r="G60" s="10">
        <f>_xlfn.XLOOKUP(C60,Tab_Def_Flows[Name(EN)],Tab_Def_Flows[Input_Process],,0,)</f>
        <v>0</v>
      </c>
      <c r="H60" s="18">
        <f>_xlfn.XLOOKUP(C60,Tab_Def_Flows[Name(EN)],Tab_Def_Flows[Process_ID_I],,0,)</f>
        <v>0</v>
      </c>
      <c r="I60" s="18" t="e">
        <f>_xlfn.XLOOKUP(C60,Tab_Def_Flows[Name(EN)],#REF!,,0,)</f>
        <v>#REF!</v>
      </c>
      <c r="J60" s="18">
        <f>_xlfn.XLOOKUP(C60,Tab_Def_Flows[Name(EN)],Tab_Def_Flows[WC?],,0,)</f>
        <v>0</v>
      </c>
      <c r="K60" s="18">
        <f>_xlfn.XLOOKUP(C60,Tab_Def_Flows[Name(EN)],Tab_Def_Flows[DM?],,0,)</f>
        <v>0</v>
      </c>
      <c r="L60" s="18">
        <f>_xlfn.XLOOKUP(C60,Tab_Def_Flows[Name(EN)],Tab_Def_Flows[CC?],,0,)</f>
        <v>0</v>
      </c>
      <c r="M60" s="12"/>
      <c r="N60" s="12" t="s">
        <v>105</v>
      </c>
      <c r="O60" s="50"/>
      <c r="P60" s="12"/>
      <c r="Q60" s="12"/>
      <c r="R60" s="12"/>
      <c r="S60" s="12"/>
      <c r="T60" s="12"/>
      <c r="U60" s="12"/>
      <c r="V60" s="12"/>
      <c r="W60" s="12"/>
      <c r="X60" s="12" t="s">
        <v>8</v>
      </c>
      <c r="Y60" s="43"/>
      <c r="Z60" s="12"/>
      <c r="AA60" s="36">
        <f>IF(X60="no",O60,O60*Y60)</f>
        <v>0</v>
      </c>
      <c r="AB60" s="12" t="s">
        <v>283</v>
      </c>
      <c r="AC60" s="193">
        <f>INDEX(Tab_Def_Flows[[Flow_ID]:[CC_DM_source]],MATCH(Tab_Data_Flows[[#This Row],[Name(EN)]],Tab_Def_Flows[Name(EN)],0),13)</f>
        <v>0</v>
      </c>
      <c r="AD60" s="10" t="str">
        <f>IF(J60="Yes",AA60*Tab_Data_Flows[[#This Row],[WC_'[%']]],"N.A.")</f>
        <v>N.A.</v>
      </c>
      <c r="AE60" s="10" t="str">
        <f>Tab_Data_Flows[[#This Row],[UoM_Flow_Py]]</f>
        <v>Mg</v>
      </c>
      <c r="AF60" s="193">
        <f>INDEX(Tab_Def_Flows[[Flow_ID]:[CC_DM_source]],MATCH(Tab_Data_Flows[[#This Row],[Name(EN)]],Tab_Def_Flows[Name(EN)],0),15)</f>
        <v>0</v>
      </c>
      <c r="AG60" s="10" t="str">
        <f>IF(K60="Yes",AF60*Tab_Data_Flows[[#This Row],[Flow_Py]],"N.A.")</f>
        <v>N.A.</v>
      </c>
      <c r="AH60" s="10" t="str">
        <f>Tab_Data_Flows[[#This Row],[UoM_Flow_Py]]</f>
        <v>Mg</v>
      </c>
      <c r="AI60" s="193">
        <f>INDEX(Tab_Def_Flows[[Flow_ID]:[CC_DM_source]],MATCH(Tab_Data_Flows[[#This Row],[Name(EN)]],Tab_Def_Flows[Name(EN)],0),17)</f>
        <v>0</v>
      </c>
      <c r="AJ60" s="10" t="str">
        <f>IF(L60="Yes",AI60*Tab_Data_Flows[[#This Row],[Flow_Py]]*Tab_Data_Flows[[#This Row],[DM_'[%']]],"N.A.")</f>
        <v>N.A.</v>
      </c>
      <c r="AK60" s="10" t="str">
        <f>Tab_Data_Flows[[#This Row],[UoM_Flow_Py]]</f>
        <v>Mg</v>
      </c>
    </row>
    <row r="61" spans="1:37" x14ac:dyDescent="0.25">
      <c r="A61" s="17">
        <f t="shared" si="0"/>
        <v>60</v>
      </c>
      <c r="B61" s="10" t="str">
        <f>_xlfn.XLOOKUP(C61,Tab_Def_Flows[Name(EN)],Tab_Def_Flows[Flow_ID],,0,)</f>
        <v>N.A.</v>
      </c>
      <c r="C61" s="12" t="s">
        <v>35</v>
      </c>
      <c r="D61" s="10">
        <f>_xlfn.XLOOKUP(C61,Tab_Def_Flows[Name(EN)],Tab_Def_Flows[Type_Biomass],,0,)</f>
        <v>0</v>
      </c>
      <c r="E61" s="10">
        <f>_xlfn.XLOOKUP(C61,Tab_Def_Flows[Name(EN)],Tab_Def_Flows[Output_Process],,0,)</f>
        <v>0</v>
      </c>
      <c r="F61" s="10">
        <f>_xlfn.XLOOKUP(C61,Tab_Def_Flows[Name(EN)],Tab_Def_Flows[Process_ID_O],,0,)</f>
        <v>0</v>
      </c>
      <c r="G61" s="10">
        <f>_xlfn.XLOOKUP(C61,Tab_Def_Flows[Name(EN)],Tab_Def_Flows[Input_Process],,0,)</f>
        <v>0</v>
      </c>
      <c r="H61" s="18">
        <f>_xlfn.XLOOKUP(C61,Tab_Def_Flows[Name(EN)],Tab_Def_Flows[Process_ID_I],,0,)</f>
        <v>0</v>
      </c>
      <c r="I61" s="18" t="e">
        <f>_xlfn.XLOOKUP(C61,Tab_Def_Flows[Name(EN)],#REF!,,0,)</f>
        <v>#REF!</v>
      </c>
      <c r="J61" s="18">
        <f>_xlfn.XLOOKUP(C61,Tab_Def_Flows[Name(EN)],Tab_Def_Flows[WC?],,0,)</f>
        <v>0</v>
      </c>
      <c r="K61" s="18">
        <f>_xlfn.XLOOKUP(C61,Tab_Def_Flows[Name(EN)],Tab_Def_Flows[DM?],,0,)</f>
        <v>0</v>
      </c>
      <c r="L61" s="18">
        <f>_xlfn.XLOOKUP(C61,Tab_Def_Flows[Name(EN)],Tab_Def_Flows[CC?],,0,)</f>
        <v>0</v>
      </c>
      <c r="M61" s="12"/>
      <c r="N61" s="12" t="s">
        <v>105</v>
      </c>
      <c r="O61" s="50"/>
      <c r="P61" s="12"/>
      <c r="Q61" s="12"/>
      <c r="R61" s="12"/>
      <c r="S61" s="12"/>
      <c r="T61" s="12"/>
      <c r="U61" s="12"/>
      <c r="V61" s="12"/>
      <c r="W61" s="12"/>
      <c r="X61" s="12" t="s">
        <v>8</v>
      </c>
      <c r="Y61" s="43"/>
      <c r="Z61" s="12"/>
      <c r="AA61" s="36">
        <f t="shared" si="1"/>
        <v>0</v>
      </c>
      <c r="AB61" s="12" t="s">
        <v>283</v>
      </c>
      <c r="AC61" s="193">
        <f>INDEX(Tab_Def_Flows[[Flow_ID]:[CC_DM_source]],MATCH(Tab_Data_Flows[[#This Row],[Name(EN)]],Tab_Def_Flows[Name(EN)],0),13)</f>
        <v>0</v>
      </c>
      <c r="AD61" s="10" t="str">
        <f>IF(J61="Yes",AA61*Tab_Data_Flows[[#This Row],[WC_'[%']]],"N.A.")</f>
        <v>N.A.</v>
      </c>
      <c r="AE61" s="10" t="str">
        <f>Tab_Data_Flows[[#This Row],[UoM_Flow_Py]]</f>
        <v>Mg</v>
      </c>
      <c r="AF61" s="193">
        <f>INDEX(Tab_Def_Flows[[Flow_ID]:[CC_DM_source]],MATCH(Tab_Data_Flows[[#This Row],[Name(EN)]],Tab_Def_Flows[Name(EN)],0),15)</f>
        <v>0</v>
      </c>
      <c r="AG61" s="10" t="str">
        <f>IF(K61="Yes",AF61*Tab_Data_Flows[[#This Row],[Flow_Py]],"N.A.")</f>
        <v>N.A.</v>
      </c>
      <c r="AH61" s="10" t="str">
        <f>Tab_Data_Flows[[#This Row],[UoM_Flow_Py]]</f>
        <v>Mg</v>
      </c>
      <c r="AI61" s="193">
        <f>INDEX(Tab_Def_Flows[[Flow_ID]:[CC_DM_source]],MATCH(Tab_Data_Flows[[#This Row],[Name(EN)]],Tab_Def_Flows[Name(EN)],0),17)</f>
        <v>0</v>
      </c>
      <c r="AJ61" s="10" t="str">
        <f>IF(L61="Yes",AI61*Tab_Data_Flows[[#This Row],[Flow_Py]]*Tab_Data_Flows[[#This Row],[DM_'[%']]],"N.A.")</f>
        <v>N.A.</v>
      </c>
      <c r="AK61" s="10" t="str">
        <f>Tab_Data_Flows[[#This Row],[UoM_Flow_Py]]</f>
        <v>Mg</v>
      </c>
    </row>
    <row r="62" spans="1:37" x14ac:dyDescent="0.25">
      <c r="A62" s="17">
        <f t="shared" si="0"/>
        <v>61</v>
      </c>
      <c r="B62" s="10" t="str">
        <f>_xlfn.XLOOKUP(C62,Tab_Def_Flows[Name(EN)],Tab_Def_Flows[Flow_ID],,0,)</f>
        <v>N.A.</v>
      </c>
      <c r="C62" s="12" t="s">
        <v>35</v>
      </c>
      <c r="D62" s="10">
        <f>_xlfn.XLOOKUP(C62,Tab_Def_Flows[Name(EN)],Tab_Def_Flows[Type_Biomass],,0,)</f>
        <v>0</v>
      </c>
      <c r="E62" s="10">
        <f>_xlfn.XLOOKUP(C62,Tab_Def_Flows[Name(EN)],Tab_Def_Flows[Output_Process],,0,)</f>
        <v>0</v>
      </c>
      <c r="F62" s="10">
        <f>_xlfn.XLOOKUP(C62,Tab_Def_Flows[Name(EN)],Tab_Def_Flows[Process_ID_O],,0,)</f>
        <v>0</v>
      </c>
      <c r="G62" s="10">
        <f>_xlfn.XLOOKUP(C62,Tab_Def_Flows[Name(EN)],Tab_Def_Flows[Input_Process],,0,)</f>
        <v>0</v>
      </c>
      <c r="H62" s="18">
        <f>_xlfn.XLOOKUP(C62,Tab_Def_Flows[Name(EN)],Tab_Def_Flows[Process_ID_I],,0,)</f>
        <v>0</v>
      </c>
      <c r="I62" s="18" t="e">
        <f>_xlfn.XLOOKUP(C62,Tab_Def_Flows[Name(EN)],#REF!,,0,)</f>
        <v>#REF!</v>
      </c>
      <c r="J62" s="18">
        <f>_xlfn.XLOOKUP(C62,Tab_Def_Flows[Name(EN)],Tab_Def_Flows[WC?],,0,)</f>
        <v>0</v>
      </c>
      <c r="K62" s="18">
        <f>_xlfn.XLOOKUP(C62,Tab_Def_Flows[Name(EN)],Tab_Def_Flows[DM?],,0,)</f>
        <v>0</v>
      </c>
      <c r="L62" s="18">
        <f>_xlfn.XLOOKUP(C62,Tab_Def_Flows[Name(EN)],Tab_Def_Flows[CC?],,0,)</f>
        <v>0</v>
      </c>
      <c r="M62" s="12"/>
      <c r="N62" s="12" t="s">
        <v>105</v>
      </c>
      <c r="O62" s="50"/>
      <c r="P62" s="12"/>
      <c r="Q62" s="12"/>
      <c r="R62" s="12"/>
      <c r="S62" s="12"/>
      <c r="T62" s="12"/>
      <c r="U62" s="12"/>
      <c r="V62" s="12"/>
      <c r="W62" s="12"/>
      <c r="X62" s="12" t="s">
        <v>8</v>
      </c>
      <c r="Y62" s="43"/>
      <c r="Z62" s="12"/>
      <c r="AA62" s="36">
        <f t="shared" si="1"/>
        <v>0</v>
      </c>
      <c r="AB62" s="12" t="s">
        <v>283</v>
      </c>
      <c r="AC62" s="193">
        <f>INDEX(Tab_Def_Flows[[Flow_ID]:[CC_DM_source]],MATCH(Tab_Data_Flows[[#This Row],[Name(EN)]],Tab_Def_Flows[Name(EN)],0),13)</f>
        <v>0</v>
      </c>
      <c r="AD62" s="10" t="str">
        <f>IF(J62="Yes",AA62*Tab_Data_Flows[[#This Row],[WC_'[%']]],"N.A.")</f>
        <v>N.A.</v>
      </c>
      <c r="AE62" s="10" t="str">
        <f>Tab_Data_Flows[[#This Row],[UoM_Flow_Py]]</f>
        <v>Mg</v>
      </c>
      <c r="AF62" s="193">
        <f>INDEX(Tab_Def_Flows[[Flow_ID]:[CC_DM_source]],MATCH(Tab_Data_Flows[[#This Row],[Name(EN)]],Tab_Def_Flows[Name(EN)],0),15)</f>
        <v>0</v>
      </c>
      <c r="AG62" s="10" t="str">
        <f>IF(K62="Yes",AF62*Tab_Data_Flows[[#This Row],[Flow_Py]],"N.A.")</f>
        <v>N.A.</v>
      </c>
      <c r="AH62" s="10" t="str">
        <f>Tab_Data_Flows[[#This Row],[UoM_Flow_Py]]</f>
        <v>Mg</v>
      </c>
      <c r="AI62" s="193">
        <f>INDEX(Tab_Def_Flows[[Flow_ID]:[CC_DM_source]],MATCH(Tab_Data_Flows[[#This Row],[Name(EN)]],Tab_Def_Flows[Name(EN)],0),17)</f>
        <v>0</v>
      </c>
      <c r="AJ62" s="10" t="str">
        <f>IF(L62="Yes",AI62*Tab_Data_Flows[[#This Row],[Flow_Py]]*Tab_Data_Flows[[#This Row],[DM_'[%']]],"N.A.")</f>
        <v>N.A.</v>
      </c>
      <c r="AK62" s="10" t="str">
        <f>Tab_Data_Flows[[#This Row],[UoM_Flow_Py]]</f>
        <v>Mg</v>
      </c>
    </row>
    <row r="63" spans="1:37" x14ac:dyDescent="0.25">
      <c r="A63" s="17">
        <f t="shared" si="0"/>
        <v>62</v>
      </c>
      <c r="B63" s="10" t="str">
        <f>_xlfn.XLOOKUP(C63,Tab_Def_Flows[Name(EN)],Tab_Def_Flows[Flow_ID],,0,)</f>
        <v>N.A.</v>
      </c>
      <c r="C63" s="12" t="s">
        <v>35</v>
      </c>
      <c r="D63" s="10">
        <f>_xlfn.XLOOKUP(C63,Tab_Def_Flows[Name(EN)],Tab_Def_Flows[Type_Biomass],,0,)</f>
        <v>0</v>
      </c>
      <c r="E63" s="10">
        <f>_xlfn.XLOOKUP(C63,Tab_Def_Flows[Name(EN)],Tab_Def_Flows[Output_Process],,0,)</f>
        <v>0</v>
      </c>
      <c r="F63" s="10">
        <f>_xlfn.XLOOKUP(C63,Tab_Def_Flows[Name(EN)],Tab_Def_Flows[Process_ID_O],,0,)</f>
        <v>0</v>
      </c>
      <c r="G63" s="10">
        <f>_xlfn.XLOOKUP(C63,Tab_Def_Flows[Name(EN)],Tab_Def_Flows[Input_Process],,0,)</f>
        <v>0</v>
      </c>
      <c r="H63" s="18">
        <f>_xlfn.XLOOKUP(C63,Tab_Def_Flows[Name(EN)],Tab_Def_Flows[Process_ID_I],,0,)</f>
        <v>0</v>
      </c>
      <c r="I63" s="18" t="e">
        <f>_xlfn.XLOOKUP(C63,Tab_Def_Flows[Name(EN)],#REF!,,0,)</f>
        <v>#REF!</v>
      </c>
      <c r="J63" s="18">
        <f>_xlfn.XLOOKUP(C63,Tab_Def_Flows[Name(EN)],Tab_Def_Flows[WC?],,0,)</f>
        <v>0</v>
      </c>
      <c r="K63" s="18">
        <f>_xlfn.XLOOKUP(C63,Tab_Def_Flows[Name(EN)],Tab_Def_Flows[DM?],,0,)</f>
        <v>0</v>
      </c>
      <c r="L63" s="18">
        <f>_xlfn.XLOOKUP(C63,Tab_Def_Flows[Name(EN)],Tab_Def_Flows[CC?],,0,)</f>
        <v>0</v>
      </c>
      <c r="M63" s="12"/>
      <c r="N63" s="12" t="s">
        <v>105</v>
      </c>
      <c r="O63" s="50"/>
      <c r="P63" s="12"/>
      <c r="Q63" s="12"/>
      <c r="R63" s="12"/>
      <c r="S63" s="12"/>
      <c r="T63" s="12"/>
      <c r="U63" s="12"/>
      <c r="V63" s="12"/>
      <c r="W63" s="12"/>
      <c r="X63" s="12" t="s">
        <v>8</v>
      </c>
      <c r="Y63" s="43"/>
      <c r="Z63" s="12"/>
      <c r="AA63" s="36">
        <f t="shared" si="1"/>
        <v>0</v>
      </c>
      <c r="AB63" s="12" t="s">
        <v>283</v>
      </c>
      <c r="AC63" s="193">
        <f>INDEX(Tab_Def_Flows[[Flow_ID]:[CC_DM_source]],MATCH(Tab_Data_Flows[[#This Row],[Name(EN)]],Tab_Def_Flows[Name(EN)],0),13)</f>
        <v>0</v>
      </c>
      <c r="AD63" s="10" t="str">
        <f>IF(J63="Yes",AA63*Tab_Data_Flows[[#This Row],[WC_'[%']]],"N.A.")</f>
        <v>N.A.</v>
      </c>
      <c r="AE63" s="10" t="str">
        <f>Tab_Data_Flows[[#This Row],[UoM_Flow_Py]]</f>
        <v>Mg</v>
      </c>
      <c r="AF63" s="193">
        <f>INDEX(Tab_Def_Flows[[Flow_ID]:[CC_DM_source]],MATCH(Tab_Data_Flows[[#This Row],[Name(EN)]],Tab_Def_Flows[Name(EN)],0),15)</f>
        <v>0</v>
      </c>
      <c r="AG63" s="10" t="str">
        <f>IF(K63="Yes",AF63*Tab_Data_Flows[[#This Row],[Flow_Py]],"N.A.")</f>
        <v>N.A.</v>
      </c>
      <c r="AH63" s="10" t="str">
        <f>Tab_Data_Flows[[#This Row],[UoM_Flow_Py]]</f>
        <v>Mg</v>
      </c>
      <c r="AI63" s="193">
        <f>INDEX(Tab_Def_Flows[[Flow_ID]:[CC_DM_source]],MATCH(Tab_Data_Flows[[#This Row],[Name(EN)]],Tab_Def_Flows[Name(EN)],0),17)</f>
        <v>0</v>
      </c>
      <c r="AJ63" s="10" t="str">
        <f>IF(L63="Yes",AI63*Tab_Data_Flows[[#This Row],[Flow_Py]]*Tab_Data_Flows[[#This Row],[DM_'[%']]],"N.A.")</f>
        <v>N.A.</v>
      </c>
      <c r="AK63" s="10" t="str">
        <f>Tab_Data_Flows[[#This Row],[UoM_Flow_Py]]</f>
        <v>Mg</v>
      </c>
    </row>
    <row r="64" spans="1:37" x14ac:dyDescent="0.25">
      <c r="A64" s="17">
        <f t="shared" si="0"/>
        <v>63</v>
      </c>
      <c r="B64" s="10" t="str">
        <f>_xlfn.XLOOKUP(C64,Tab_Def_Flows[Name(EN)],Tab_Def_Flows[Flow_ID],,0,)</f>
        <v>N.A.</v>
      </c>
      <c r="C64" s="12" t="s">
        <v>35</v>
      </c>
      <c r="D64" s="10">
        <f>_xlfn.XLOOKUP(C64,Tab_Def_Flows[Name(EN)],Tab_Def_Flows[Type_Biomass],,0,)</f>
        <v>0</v>
      </c>
      <c r="E64" s="10">
        <f>_xlfn.XLOOKUP(C64,Tab_Def_Flows[Name(EN)],Tab_Def_Flows[Output_Process],,0,)</f>
        <v>0</v>
      </c>
      <c r="F64" s="10">
        <f>_xlfn.XLOOKUP(C64,Tab_Def_Flows[Name(EN)],Tab_Def_Flows[Process_ID_O],,0,)</f>
        <v>0</v>
      </c>
      <c r="G64" s="10">
        <f>_xlfn.XLOOKUP(C64,Tab_Def_Flows[Name(EN)],Tab_Def_Flows[Input_Process],,0,)</f>
        <v>0</v>
      </c>
      <c r="H64" s="18">
        <f>_xlfn.XLOOKUP(C64,Tab_Def_Flows[Name(EN)],Tab_Def_Flows[Process_ID_I],,0,)</f>
        <v>0</v>
      </c>
      <c r="I64" s="18" t="e">
        <f>_xlfn.XLOOKUP(C64,Tab_Def_Flows[Name(EN)],#REF!,,0,)</f>
        <v>#REF!</v>
      </c>
      <c r="J64" s="18">
        <f>_xlfn.XLOOKUP(C64,Tab_Def_Flows[Name(EN)],Tab_Def_Flows[WC?],,0,)</f>
        <v>0</v>
      </c>
      <c r="K64" s="18">
        <f>_xlfn.XLOOKUP(C64,Tab_Def_Flows[Name(EN)],Tab_Def_Flows[DM?],,0,)</f>
        <v>0</v>
      </c>
      <c r="L64" s="18">
        <f>_xlfn.XLOOKUP(C64,Tab_Def_Flows[Name(EN)],Tab_Def_Flows[CC?],,0,)</f>
        <v>0</v>
      </c>
      <c r="M64" s="12"/>
      <c r="N64" s="12" t="s">
        <v>105</v>
      </c>
      <c r="O64" s="50"/>
      <c r="P64" s="12"/>
      <c r="Q64" s="12"/>
      <c r="R64" s="12"/>
      <c r="S64" s="12"/>
      <c r="T64" s="12"/>
      <c r="U64" s="12"/>
      <c r="V64" s="12"/>
      <c r="W64" s="12"/>
      <c r="X64" s="12" t="s">
        <v>8</v>
      </c>
      <c r="Y64" s="43"/>
      <c r="Z64" s="12"/>
      <c r="AA64" s="36">
        <f t="shared" si="1"/>
        <v>0</v>
      </c>
      <c r="AB64" s="12" t="s">
        <v>283</v>
      </c>
      <c r="AC64" s="193">
        <f>INDEX(Tab_Def_Flows[[Flow_ID]:[CC_DM_source]],MATCH(Tab_Data_Flows[[#This Row],[Name(EN)]],Tab_Def_Flows[Name(EN)],0),13)</f>
        <v>0</v>
      </c>
      <c r="AD64" s="10" t="str">
        <f>IF(J64="Yes",AA64*Tab_Data_Flows[[#This Row],[WC_'[%']]],"N.A.")</f>
        <v>N.A.</v>
      </c>
      <c r="AE64" s="10" t="str">
        <f>Tab_Data_Flows[[#This Row],[UoM_Flow_Py]]</f>
        <v>Mg</v>
      </c>
      <c r="AF64" s="193">
        <f>INDEX(Tab_Def_Flows[[Flow_ID]:[CC_DM_source]],MATCH(Tab_Data_Flows[[#This Row],[Name(EN)]],Tab_Def_Flows[Name(EN)],0),15)</f>
        <v>0</v>
      </c>
      <c r="AG64" s="10" t="str">
        <f>IF(K64="Yes",AF64*Tab_Data_Flows[[#This Row],[Flow_Py]],"N.A.")</f>
        <v>N.A.</v>
      </c>
      <c r="AH64" s="10" t="str">
        <f>Tab_Data_Flows[[#This Row],[UoM_Flow_Py]]</f>
        <v>Mg</v>
      </c>
      <c r="AI64" s="193">
        <f>INDEX(Tab_Def_Flows[[Flow_ID]:[CC_DM_source]],MATCH(Tab_Data_Flows[[#This Row],[Name(EN)]],Tab_Def_Flows[Name(EN)],0),17)</f>
        <v>0</v>
      </c>
      <c r="AJ64" s="10" t="str">
        <f>IF(L64="Yes",AI64*Tab_Data_Flows[[#This Row],[Flow_Py]]*Tab_Data_Flows[[#This Row],[DM_'[%']]],"N.A.")</f>
        <v>N.A.</v>
      </c>
      <c r="AK64" s="10" t="str">
        <f>Tab_Data_Flows[[#This Row],[UoM_Flow_Py]]</f>
        <v>Mg</v>
      </c>
    </row>
    <row r="65" spans="1:37" x14ac:dyDescent="0.25">
      <c r="A65" s="17">
        <f t="shared" si="0"/>
        <v>64</v>
      </c>
      <c r="B65" s="10" t="str">
        <f>_xlfn.XLOOKUP(C65,Tab_Def_Flows[Name(EN)],Tab_Def_Flows[Flow_ID],,0,)</f>
        <v>N.A.</v>
      </c>
      <c r="C65" s="12" t="s">
        <v>35</v>
      </c>
      <c r="D65" s="10">
        <f>_xlfn.XLOOKUP(C65,Tab_Def_Flows[Name(EN)],Tab_Def_Flows[Type_Biomass],,0,)</f>
        <v>0</v>
      </c>
      <c r="E65" s="10">
        <f>_xlfn.XLOOKUP(C65,Tab_Def_Flows[Name(EN)],Tab_Def_Flows[Output_Process],,0,)</f>
        <v>0</v>
      </c>
      <c r="F65" s="10">
        <f>_xlfn.XLOOKUP(C65,Tab_Def_Flows[Name(EN)],Tab_Def_Flows[Process_ID_O],,0,)</f>
        <v>0</v>
      </c>
      <c r="G65" s="10">
        <f>_xlfn.XLOOKUP(C65,Tab_Def_Flows[Name(EN)],Tab_Def_Flows[Input_Process],,0,)</f>
        <v>0</v>
      </c>
      <c r="H65" s="18">
        <f>_xlfn.XLOOKUP(C65,Tab_Def_Flows[Name(EN)],Tab_Def_Flows[Process_ID_I],,0,)</f>
        <v>0</v>
      </c>
      <c r="I65" s="18" t="e">
        <f>_xlfn.XLOOKUP(C65,Tab_Def_Flows[Name(EN)],#REF!,,0,)</f>
        <v>#REF!</v>
      </c>
      <c r="J65" s="18">
        <f>_xlfn.XLOOKUP(C65,Tab_Def_Flows[Name(EN)],Tab_Def_Flows[WC?],,0,)</f>
        <v>0</v>
      </c>
      <c r="K65" s="18">
        <f>_xlfn.XLOOKUP(C65,Tab_Def_Flows[Name(EN)],Tab_Def_Flows[DM?],,0,)</f>
        <v>0</v>
      </c>
      <c r="L65" s="18">
        <f>_xlfn.XLOOKUP(C65,Tab_Def_Flows[Name(EN)],Tab_Def_Flows[CC?],,0,)</f>
        <v>0</v>
      </c>
      <c r="M65" s="12"/>
      <c r="N65" s="12" t="s">
        <v>105</v>
      </c>
      <c r="O65" s="50"/>
      <c r="P65" s="12"/>
      <c r="Q65" s="12"/>
      <c r="R65" s="12"/>
      <c r="S65" s="12"/>
      <c r="T65" s="12"/>
      <c r="U65" s="12"/>
      <c r="V65" s="12"/>
      <c r="W65" s="12"/>
      <c r="X65" s="12" t="s">
        <v>8</v>
      </c>
      <c r="Y65" s="43"/>
      <c r="Z65" s="12"/>
      <c r="AA65" s="36">
        <f t="shared" si="1"/>
        <v>0</v>
      </c>
      <c r="AB65" s="12" t="s">
        <v>283</v>
      </c>
      <c r="AC65" s="193">
        <f>INDEX(Tab_Def_Flows[[Flow_ID]:[CC_DM_source]],MATCH(Tab_Data_Flows[[#This Row],[Name(EN)]],Tab_Def_Flows[Name(EN)],0),13)</f>
        <v>0</v>
      </c>
      <c r="AD65" s="10" t="str">
        <f>IF(J65="Yes",AA65*Tab_Data_Flows[[#This Row],[WC_'[%']]],"N.A.")</f>
        <v>N.A.</v>
      </c>
      <c r="AE65" s="10" t="str">
        <f>Tab_Data_Flows[[#This Row],[UoM_Flow_Py]]</f>
        <v>Mg</v>
      </c>
      <c r="AF65" s="193">
        <f>INDEX(Tab_Def_Flows[[Flow_ID]:[CC_DM_source]],MATCH(Tab_Data_Flows[[#This Row],[Name(EN)]],Tab_Def_Flows[Name(EN)],0),15)</f>
        <v>0</v>
      </c>
      <c r="AG65" s="10" t="str">
        <f>IF(K65="Yes",AF65*Tab_Data_Flows[[#This Row],[Flow_Py]],"N.A.")</f>
        <v>N.A.</v>
      </c>
      <c r="AH65" s="10" t="str">
        <f>Tab_Data_Flows[[#This Row],[UoM_Flow_Py]]</f>
        <v>Mg</v>
      </c>
      <c r="AI65" s="193">
        <f>INDEX(Tab_Def_Flows[[Flow_ID]:[CC_DM_source]],MATCH(Tab_Data_Flows[[#This Row],[Name(EN)]],Tab_Def_Flows[Name(EN)],0),17)</f>
        <v>0</v>
      </c>
      <c r="AJ65" s="10" t="str">
        <f>IF(L65="Yes",AI65*Tab_Data_Flows[[#This Row],[Flow_Py]]*Tab_Data_Flows[[#This Row],[DM_'[%']]],"N.A.")</f>
        <v>N.A.</v>
      </c>
      <c r="AK65" s="10" t="str">
        <f>Tab_Data_Flows[[#This Row],[UoM_Flow_Py]]</f>
        <v>Mg</v>
      </c>
    </row>
    <row r="66" spans="1:37" x14ac:dyDescent="0.25">
      <c r="A66" s="17">
        <f t="shared" si="0"/>
        <v>65</v>
      </c>
      <c r="B66" s="10" t="str">
        <f>_xlfn.XLOOKUP(C66,Tab_Def_Flows[Name(EN)],Tab_Def_Flows[Flow_ID],,0,)</f>
        <v>N.A.</v>
      </c>
      <c r="C66" s="12" t="s">
        <v>35</v>
      </c>
      <c r="D66" s="10">
        <f>_xlfn.XLOOKUP(C66,Tab_Def_Flows[Name(EN)],Tab_Def_Flows[Type_Biomass],,0,)</f>
        <v>0</v>
      </c>
      <c r="E66" s="10">
        <f>_xlfn.XLOOKUP(C66,Tab_Def_Flows[Name(EN)],Tab_Def_Flows[Output_Process],,0,)</f>
        <v>0</v>
      </c>
      <c r="F66" s="10">
        <f>_xlfn.XLOOKUP(C66,Tab_Def_Flows[Name(EN)],Tab_Def_Flows[Process_ID_O],,0,)</f>
        <v>0</v>
      </c>
      <c r="G66" s="10">
        <f>_xlfn.XLOOKUP(C66,Tab_Def_Flows[Name(EN)],Tab_Def_Flows[Input_Process],,0,)</f>
        <v>0</v>
      </c>
      <c r="H66" s="18">
        <f>_xlfn.XLOOKUP(C66,Tab_Def_Flows[Name(EN)],Tab_Def_Flows[Process_ID_I],,0,)</f>
        <v>0</v>
      </c>
      <c r="I66" s="18" t="e">
        <f>_xlfn.XLOOKUP(C66,Tab_Def_Flows[Name(EN)],#REF!,,0,)</f>
        <v>#REF!</v>
      </c>
      <c r="J66" s="18">
        <f>_xlfn.XLOOKUP(C66,Tab_Def_Flows[Name(EN)],Tab_Def_Flows[WC?],,0,)</f>
        <v>0</v>
      </c>
      <c r="K66" s="18">
        <f>_xlfn.XLOOKUP(C66,Tab_Def_Flows[Name(EN)],Tab_Def_Flows[DM?],,0,)</f>
        <v>0</v>
      </c>
      <c r="L66" s="18">
        <f>_xlfn.XLOOKUP(C66,Tab_Def_Flows[Name(EN)],Tab_Def_Flows[CC?],,0,)</f>
        <v>0</v>
      </c>
      <c r="M66" s="12"/>
      <c r="N66" s="12" t="s">
        <v>105</v>
      </c>
      <c r="O66" s="50"/>
      <c r="P66" s="12"/>
      <c r="Q66" s="12"/>
      <c r="R66" s="12"/>
      <c r="S66" s="12"/>
      <c r="T66" s="12"/>
      <c r="U66" s="12"/>
      <c r="V66" s="12"/>
      <c r="W66" s="12"/>
      <c r="X66" s="12" t="s">
        <v>8</v>
      </c>
      <c r="Y66" s="43"/>
      <c r="Z66" s="12"/>
      <c r="AA66" s="36">
        <f t="shared" si="1"/>
        <v>0</v>
      </c>
      <c r="AB66" s="12" t="s">
        <v>283</v>
      </c>
      <c r="AC66" s="193">
        <f>INDEX(Tab_Def_Flows[[Flow_ID]:[CC_DM_source]],MATCH(Tab_Data_Flows[[#This Row],[Name(EN)]],Tab_Def_Flows[Name(EN)],0),13)</f>
        <v>0</v>
      </c>
      <c r="AD66" s="10" t="str">
        <f>IF(J66="Yes",AA66*Tab_Data_Flows[[#This Row],[WC_'[%']]],"N.A.")</f>
        <v>N.A.</v>
      </c>
      <c r="AE66" s="10" t="str">
        <f>Tab_Data_Flows[[#This Row],[UoM_Flow_Py]]</f>
        <v>Mg</v>
      </c>
      <c r="AF66" s="193">
        <f>INDEX(Tab_Def_Flows[[Flow_ID]:[CC_DM_source]],MATCH(Tab_Data_Flows[[#This Row],[Name(EN)]],Tab_Def_Flows[Name(EN)],0),15)</f>
        <v>0</v>
      </c>
      <c r="AG66" s="10" t="str">
        <f>IF(K66="Yes",AF66*Tab_Data_Flows[[#This Row],[Flow_Py]],"N.A.")</f>
        <v>N.A.</v>
      </c>
      <c r="AH66" s="10" t="str">
        <f>Tab_Data_Flows[[#This Row],[UoM_Flow_Py]]</f>
        <v>Mg</v>
      </c>
      <c r="AI66" s="193">
        <f>INDEX(Tab_Def_Flows[[Flow_ID]:[CC_DM_source]],MATCH(Tab_Data_Flows[[#This Row],[Name(EN)]],Tab_Def_Flows[Name(EN)],0),17)</f>
        <v>0</v>
      </c>
      <c r="AJ66" s="10" t="str">
        <f>IF(L66="Yes",AI66*Tab_Data_Flows[[#This Row],[Flow_Py]]*Tab_Data_Flows[[#This Row],[DM_'[%']]],"N.A.")</f>
        <v>N.A.</v>
      </c>
      <c r="AK66" s="10" t="str">
        <f>Tab_Data_Flows[[#This Row],[UoM_Flow_Py]]</f>
        <v>Mg</v>
      </c>
    </row>
    <row r="67" spans="1:37" x14ac:dyDescent="0.25">
      <c r="A67" s="17">
        <f t="shared" ref="A67:A130" si="2">ROW()-1</f>
        <v>66</v>
      </c>
      <c r="B67" s="10" t="str">
        <f>_xlfn.XLOOKUP(C67,Tab_Def_Flows[Name(EN)],Tab_Def_Flows[Flow_ID],,0,)</f>
        <v>N.A.</v>
      </c>
      <c r="C67" s="12" t="s">
        <v>35</v>
      </c>
      <c r="D67" s="10"/>
      <c r="E67" s="10">
        <f>_xlfn.XLOOKUP(C67,Tab_Def_Flows[Name(EN)],Tab_Def_Flows[Output_Process],,0,)</f>
        <v>0</v>
      </c>
      <c r="F67" s="10">
        <f>_xlfn.XLOOKUP(C67,Tab_Def_Flows[Name(EN)],Tab_Def_Flows[Process_ID_O],,0,)</f>
        <v>0</v>
      </c>
      <c r="G67" s="10">
        <f>_xlfn.XLOOKUP(C67,Tab_Def_Flows[Name(EN)],Tab_Def_Flows[Input_Process],,0,)</f>
        <v>0</v>
      </c>
      <c r="H67" s="18">
        <f>_xlfn.XLOOKUP(C67,Tab_Def_Flows[Name(EN)],Tab_Def_Flows[Process_ID_I],,0,)</f>
        <v>0</v>
      </c>
      <c r="I67" s="10" t="e">
        <f>_xlfn.XLOOKUP(C67,Tab_Def_Flows[Name(EN)],#REF!,,0,)</f>
        <v>#REF!</v>
      </c>
      <c r="J67" s="10">
        <f>_xlfn.XLOOKUP(C67,Tab_Def_Flows[Name(EN)],Tab_Def_Flows[WC?],,0,)</f>
        <v>0</v>
      </c>
      <c r="K67" s="10">
        <f>_xlfn.XLOOKUP(C67,Tab_Def_Flows[Name(EN)],Tab_Def_Flows[DM?],,0,)</f>
        <v>0</v>
      </c>
      <c r="L67" s="10">
        <f>_xlfn.XLOOKUP(C67,Tab_Def_Flows[Name(EN)],Tab_Def_Flows[CC?],,0,)</f>
        <v>0</v>
      </c>
      <c r="M67" s="12"/>
      <c r="N67" s="12"/>
      <c r="O67" s="50"/>
      <c r="P67" s="12"/>
      <c r="Q67" s="12"/>
      <c r="R67" s="12" t="e">
        <f>INDEX(#REF!,MATCH(Tab_Data_Flows[[#This Row],[Name(EN)]],#REF!,0),12)</f>
        <v>#REF!</v>
      </c>
      <c r="S67" s="12" t="e">
        <f>MATCH(Tab_Data_Flows[[#This Row],[Name(EN)]],#REF!,0)</f>
        <v>#REF!</v>
      </c>
      <c r="T67" s="12"/>
      <c r="U67" s="12"/>
      <c r="V67" s="12"/>
      <c r="W67" s="12"/>
      <c r="X67" s="12" t="s">
        <v>8</v>
      </c>
      <c r="Y67" s="12"/>
      <c r="Z67" s="12"/>
      <c r="AA67" s="36">
        <f t="shared" ref="AA67:AA130" si="3">IF(X67="no",O67,O67*Y67)</f>
        <v>0</v>
      </c>
      <c r="AB67" s="12" t="s">
        <v>283</v>
      </c>
      <c r="AC67" s="193">
        <f>INDEX(Tab_Def_Flows[[Flow_ID]:[CC_DM_source]],MATCH(Tab_Data_Flows[[#This Row],[Name(EN)]],Tab_Def_Flows[Name(EN)],0),13)</f>
        <v>0</v>
      </c>
      <c r="AD67" s="10" t="str">
        <f>IF(J67="Yes",AA67*Tab_Data_Flows[[#This Row],[WC_'[%']]],"N.A.")</f>
        <v>N.A.</v>
      </c>
      <c r="AE67" s="10" t="str">
        <f>Tab_Data_Flows[[#This Row],[UoM_Flow_Py]]</f>
        <v>Mg</v>
      </c>
      <c r="AF67" s="193">
        <f>INDEX(Tab_Def_Flows[[Flow_ID]:[CC_DM_source]],MATCH(Tab_Data_Flows[[#This Row],[Name(EN)]],Tab_Def_Flows[Name(EN)],0),15)</f>
        <v>0</v>
      </c>
      <c r="AG67" s="10" t="str">
        <f>IF(K67="Yes",AF67*Tab_Data_Flows[[#This Row],[Flow_Py]],"N.A.")</f>
        <v>N.A.</v>
      </c>
      <c r="AH67" s="10" t="str">
        <f>Tab_Data_Flows[[#This Row],[UoM_Flow_Py]]</f>
        <v>Mg</v>
      </c>
      <c r="AI67" s="193">
        <f>INDEX(Tab_Def_Flows[[Flow_ID]:[CC_DM_source]],MATCH(Tab_Data_Flows[[#This Row],[Name(EN)]],Tab_Def_Flows[Name(EN)],0),17)</f>
        <v>0</v>
      </c>
      <c r="AJ67" s="10" t="str">
        <f>IF(L67="Yes",AI67*Tab_Data_Flows[[#This Row],[Flow_Py]]*Tab_Data_Flows[[#This Row],[DM_'[%']]],"N.A.")</f>
        <v>N.A.</v>
      </c>
      <c r="AK67" s="10" t="str">
        <f>Tab_Data_Flows[[#This Row],[UoM_Flow_Py]]</f>
        <v>Mg</v>
      </c>
    </row>
    <row r="68" spans="1:37" x14ac:dyDescent="0.25">
      <c r="A68" s="17">
        <f t="shared" si="2"/>
        <v>67</v>
      </c>
      <c r="B68" s="10" t="str">
        <f>_xlfn.XLOOKUP(C68,Tab_Def_Flows[Name(EN)],Tab_Def_Flows[Flow_ID],,0,)</f>
        <v>N.A.</v>
      </c>
      <c r="C68" s="12" t="s">
        <v>35</v>
      </c>
      <c r="D68" s="10"/>
      <c r="E68" s="10">
        <f>_xlfn.XLOOKUP(C68,Tab_Def_Flows[Name(EN)],Tab_Def_Flows[Output_Process],,0,)</f>
        <v>0</v>
      </c>
      <c r="F68" s="10">
        <f>_xlfn.XLOOKUP(C68,Tab_Def_Flows[Name(EN)],Tab_Def_Flows[Process_ID_O],,0,)</f>
        <v>0</v>
      </c>
      <c r="G68" s="10">
        <f>_xlfn.XLOOKUP(C68,Tab_Def_Flows[Name(EN)],Tab_Def_Flows[Input_Process],,0,)</f>
        <v>0</v>
      </c>
      <c r="H68" s="18">
        <f>_xlfn.XLOOKUP(C68,Tab_Def_Flows[Name(EN)],Tab_Def_Flows[Process_ID_I],,0,)</f>
        <v>0</v>
      </c>
      <c r="I68" s="10" t="e">
        <f>_xlfn.XLOOKUP(C68,Tab_Def_Flows[Name(EN)],#REF!,,0,)</f>
        <v>#REF!</v>
      </c>
      <c r="J68" s="10">
        <f>_xlfn.XLOOKUP(C68,Tab_Def_Flows[Name(EN)],Tab_Def_Flows[WC?],,0,)</f>
        <v>0</v>
      </c>
      <c r="K68" s="10">
        <f>_xlfn.XLOOKUP(C68,Tab_Def_Flows[Name(EN)],Tab_Def_Flows[DM?],,0,)</f>
        <v>0</v>
      </c>
      <c r="L68" s="10">
        <f>_xlfn.XLOOKUP(C68,Tab_Def_Flows[Name(EN)],Tab_Def_Flows[CC?],,0,)</f>
        <v>0</v>
      </c>
      <c r="M68" s="12"/>
      <c r="N68" s="12"/>
      <c r="O68" s="50"/>
      <c r="P68" s="12"/>
      <c r="Q68" s="12"/>
      <c r="R68" s="12" t="e">
        <f>INDEX(#REF!,MATCH(Tab_Data_Flows[[#This Row],[Name(EN)]],#REF!,0),12)</f>
        <v>#REF!</v>
      </c>
      <c r="S68" s="12" t="e">
        <f>MATCH(Tab_Data_Flows[[#This Row],[Name(EN)]],#REF!,0)</f>
        <v>#REF!</v>
      </c>
      <c r="T68" s="12"/>
      <c r="U68" s="12"/>
      <c r="V68" s="12"/>
      <c r="W68" s="12"/>
      <c r="X68" s="12" t="s">
        <v>8</v>
      </c>
      <c r="Y68" s="12"/>
      <c r="Z68" s="12"/>
      <c r="AA68" s="36">
        <f t="shared" si="3"/>
        <v>0</v>
      </c>
      <c r="AB68" s="12" t="s">
        <v>283</v>
      </c>
      <c r="AC68" s="193">
        <f>INDEX(Tab_Def_Flows[[Flow_ID]:[CC_DM_source]],MATCH(Tab_Data_Flows[[#This Row],[Name(EN)]],Tab_Def_Flows[Name(EN)],0),13)</f>
        <v>0</v>
      </c>
      <c r="AD68" s="10" t="str">
        <f>IF(J68="Yes",AA68*Tab_Data_Flows[[#This Row],[WC_'[%']]],"N.A.")</f>
        <v>N.A.</v>
      </c>
      <c r="AE68" s="10" t="str">
        <f>Tab_Data_Flows[[#This Row],[UoM_Flow_Py]]</f>
        <v>Mg</v>
      </c>
      <c r="AF68" s="193">
        <f>INDEX(Tab_Def_Flows[[Flow_ID]:[CC_DM_source]],MATCH(Tab_Data_Flows[[#This Row],[Name(EN)]],Tab_Def_Flows[Name(EN)],0),15)</f>
        <v>0</v>
      </c>
      <c r="AG68" s="10" t="str">
        <f>IF(K68="Yes",AF68*Tab_Data_Flows[[#This Row],[Flow_Py]],"N.A.")</f>
        <v>N.A.</v>
      </c>
      <c r="AH68" s="10" t="str">
        <f>Tab_Data_Flows[[#This Row],[UoM_Flow_Py]]</f>
        <v>Mg</v>
      </c>
      <c r="AI68" s="193">
        <f>INDEX(Tab_Def_Flows[[Flow_ID]:[CC_DM_source]],MATCH(Tab_Data_Flows[[#This Row],[Name(EN)]],Tab_Def_Flows[Name(EN)],0),17)</f>
        <v>0</v>
      </c>
      <c r="AJ68" s="10" t="str">
        <f>IF(L68="Yes",AI68*Tab_Data_Flows[[#This Row],[Flow_Py]]*Tab_Data_Flows[[#This Row],[DM_'[%']]],"N.A.")</f>
        <v>N.A.</v>
      </c>
      <c r="AK68" s="10" t="str">
        <f>Tab_Data_Flows[[#This Row],[UoM_Flow_Py]]</f>
        <v>Mg</v>
      </c>
    </row>
    <row r="69" spans="1:37" x14ac:dyDescent="0.25">
      <c r="A69" s="17">
        <f t="shared" si="2"/>
        <v>68</v>
      </c>
      <c r="B69" s="10" t="str">
        <f>_xlfn.XLOOKUP(C69,Tab_Def_Flows[Name(EN)],Tab_Def_Flows[Flow_ID],,0,)</f>
        <v>N.A.</v>
      </c>
      <c r="C69" s="12" t="s">
        <v>35</v>
      </c>
      <c r="D69" s="10"/>
      <c r="E69" s="10">
        <f>_xlfn.XLOOKUP(C69,Tab_Def_Flows[Name(EN)],Tab_Def_Flows[Output_Process],,0,)</f>
        <v>0</v>
      </c>
      <c r="F69" s="10">
        <f>_xlfn.XLOOKUP(C69,Tab_Def_Flows[Name(EN)],Tab_Def_Flows[Process_ID_O],,0,)</f>
        <v>0</v>
      </c>
      <c r="G69" s="10">
        <f>_xlfn.XLOOKUP(C69,Tab_Def_Flows[Name(EN)],Tab_Def_Flows[Input_Process],,0,)</f>
        <v>0</v>
      </c>
      <c r="H69" s="18">
        <f>_xlfn.XLOOKUP(C69,Tab_Def_Flows[Name(EN)],Tab_Def_Flows[Process_ID_I],,0,)</f>
        <v>0</v>
      </c>
      <c r="I69" s="10" t="e">
        <f>_xlfn.XLOOKUP(C69,Tab_Def_Flows[Name(EN)],#REF!,,0,)</f>
        <v>#REF!</v>
      </c>
      <c r="J69" s="10">
        <f>_xlfn.XLOOKUP(C69,Tab_Def_Flows[Name(EN)],Tab_Def_Flows[WC?],,0,)</f>
        <v>0</v>
      </c>
      <c r="K69" s="10">
        <f>_xlfn.XLOOKUP(C69,Tab_Def_Flows[Name(EN)],Tab_Def_Flows[DM?],,0,)</f>
        <v>0</v>
      </c>
      <c r="L69" s="10">
        <f>_xlfn.XLOOKUP(C69,Tab_Def_Flows[Name(EN)],Tab_Def_Flows[CC?],,0,)</f>
        <v>0</v>
      </c>
      <c r="M69" s="12"/>
      <c r="N69" s="12"/>
      <c r="O69" s="50"/>
      <c r="P69" s="12"/>
      <c r="Q69" s="12"/>
      <c r="R69" s="12" t="e">
        <f>INDEX(#REF!,MATCH(Tab_Data_Flows[[#This Row],[Name(EN)]],#REF!,0),12)</f>
        <v>#REF!</v>
      </c>
      <c r="S69" s="12" t="e">
        <f>MATCH(Tab_Data_Flows[[#This Row],[Name(EN)]],#REF!,0)</f>
        <v>#REF!</v>
      </c>
      <c r="T69" s="12"/>
      <c r="U69" s="12"/>
      <c r="V69" s="12"/>
      <c r="W69" s="12"/>
      <c r="X69" s="12" t="s">
        <v>8</v>
      </c>
      <c r="Y69" s="12"/>
      <c r="Z69" s="12"/>
      <c r="AA69" s="36">
        <f t="shared" si="3"/>
        <v>0</v>
      </c>
      <c r="AB69" s="12" t="s">
        <v>283</v>
      </c>
      <c r="AC69" s="193">
        <f>INDEX(Tab_Def_Flows[[Flow_ID]:[CC_DM_source]],MATCH(Tab_Data_Flows[[#This Row],[Name(EN)]],Tab_Def_Flows[Name(EN)],0),13)</f>
        <v>0</v>
      </c>
      <c r="AD69" s="10" t="str">
        <f>IF(J69="Yes",AA69*Tab_Data_Flows[[#This Row],[WC_'[%']]],"N.A.")</f>
        <v>N.A.</v>
      </c>
      <c r="AE69" s="10" t="str">
        <f>Tab_Data_Flows[[#This Row],[UoM_Flow_Py]]</f>
        <v>Mg</v>
      </c>
      <c r="AF69" s="193">
        <f>INDEX(Tab_Def_Flows[[Flow_ID]:[CC_DM_source]],MATCH(Tab_Data_Flows[[#This Row],[Name(EN)]],Tab_Def_Flows[Name(EN)],0),15)</f>
        <v>0</v>
      </c>
      <c r="AG69" s="10" t="str">
        <f>IF(K69="Yes",AF69*Tab_Data_Flows[[#This Row],[Flow_Py]],"N.A.")</f>
        <v>N.A.</v>
      </c>
      <c r="AH69" s="10" t="str">
        <f>Tab_Data_Flows[[#This Row],[UoM_Flow_Py]]</f>
        <v>Mg</v>
      </c>
      <c r="AI69" s="193">
        <f>INDEX(Tab_Def_Flows[[Flow_ID]:[CC_DM_source]],MATCH(Tab_Data_Flows[[#This Row],[Name(EN)]],Tab_Def_Flows[Name(EN)],0),17)</f>
        <v>0</v>
      </c>
      <c r="AJ69" s="10" t="str">
        <f>IF(L69="Yes",AI69*Tab_Data_Flows[[#This Row],[Flow_Py]]*Tab_Data_Flows[[#This Row],[DM_'[%']]],"N.A.")</f>
        <v>N.A.</v>
      </c>
      <c r="AK69" s="10" t="str">
        <f>Tab_Data_Flows[[#This Row],[UoM_Flow_Py]]</f>
        <v>Mg</v>
      </c>
    </row>
    <row r="70" spans="1:37" x14ac:dyDescent="0.25">
      <c r="A70" s="17">
        <f t="shared" si="2"/>
        <v>69</v>
      </c>
      <c r="B70" s="10" t="str">
        <f>_xlfn.XLOOKUP(C70,Tab_Def_Flows[Name(EN)],Tab_Def_Flows[Flow_ID],,0,)</f>
        <v>N.A.</v>
      </c>
      <c r="C70" s="12" t="s">
        <v>35</v>
      </c>
      <c r="D70" s="10"/>
      <c r="E70" s="10">
        <f>_xlfn.XLOOKUP(C70,Tab_Def_Flows[Name(EN)],Tab_Def_Flows[Output_Process],,0,)</f>
        <v>0</v>
      </c>
      <c r="F70" s="10">
        <f>_xlfn.XLOOKUP(C70,Tab_Def_Flows[Name(EN)],Tab_Def_Flows[Process_ID_O],,0,)</f>
        <v>0</v>
      </c>
      <c r="G70" s="10">
        <f>_xlfn.XLOOKUP(C70,Tab_Def_Flows[Name(EN)],Tab_Def_Flows[Input_Process],,0,)</f>
        <v>0</v>
      </c>
      <c r="H70" s="18">
        <f>_xlfn.XLOOKUP(C70,Tab_Def_Flows[Name(EN)],Tab_Def_Flows[Process_ID_I],,0,)</f>
        <v>0</v>
      </c>
      <c r="I70" s="10" t="e">
        <f>_xlfn.XLOOKUP(C70,Tab_Def_Flows[Name(EN)],#REF!,,0,)</f>
        <v>#REF!</v>
      </c>
      <c r="J70" s="10">
        <f>_xlfn.XLOOKUP(C70,Tab_Def_Flows[Name(EN)],Tab_Def_Flows[WC?],,0,)</f>
        <v>0</v>
      </c>
      <c r="K70" s="10">
        <f>_xlfn.XLOOKUP(C70,Tab_Def_Flows[Name(EN)],Tab_Def_Flows[DM?],,0,)</f>
        <v>0</v>
      </c>
      <c r="L70" s="10">
        <f>_xlfn.XLOOKUP(C70,Tab_Def_Flows[Name(EN)],Tab_Def_Flows[CC?],,0,)</f>
        <v>0</v>
      </c>
      <c r="M70" s="12"/>
      <c r="N70" s="12"/>
      <c r="O70" s="50"/>
      <c r="P70" s="12"/>
      <c r="Q70" s="12"/>
      <c r="R70" s="12" t="e">
        <f>INDEX(#REF!,MATCH(Tab_Data_Flows[[#This Row],[Name(EN)]],#REF!,0),12)</f>
        <v>#REF!</v>
      </c>
      <c r="S70" s="12" t="e">
        <f>MATCH(Tab_Data_Flows[[#This Row],[Name(EN)]],#REF!,0)</f>
        <v>#REF!</v>
      </c>
      <c r="T70" s="12"/>
      <c r="U70" s="12"/>
      <c r="V70" s="12"/>
      <c r="W70" s="12"/>
      <c r="X70" s="12" t="s">
        <v>8</v>
      </c>
      <c r="Y70" s="12"/>
      <c r="Z70" s="12"/>
      <c r="AA70" s="36">
        <f t="shared" si="3"/>
        <v>0</v>
      </c>
      <c r="AB70" s="12" t="s">
        <v>283</v>
      </c>
      <c r="AC70" s="193">
        <f>INDEX(Tab_Def_Flows[[Flow_ID]:[CC_DM_source]],MATCH(Tab_Data_Flows[[#This Row],[Name(EN)]],Tab_Def_Flows[Name(EN)],0),13)</f>
        <v>0</v>
      </c>
      <c r="AD70" s="10" t="str">
        <f>IF(J70="Yes",AA70*Tab_Data_Flows[[#This Row],[WC_'[%']]],"N.A.")</f>
        <v>N.A.</v>
      </c>
      <c r="AE70" s="10" t="str">
        <f>Tab_Data_Flows[[#This Row],[UoM_Flow_Py]]</f>
        <v>Mg</v>
      </c>
      <c r="AF70" s="193">
        <f>INDEX(Tab_Def_Flows[[Flow_ID]:[CC_DM_source]],MATCH(Tab_Data_Flows[[#This Row],[Name(EN)]],Tab_Def_Flows[Name(EN)],0),15)</f>
        <v>0</v>
      </c>
      <c r="AG70" s="10" t="str">
        <f>IF(K70="Yes",AF70*Tab_Data_Flows[[#This Row],[Flow_Py]],"N.A.")</f>
        <v>N.A.</v>
      </c>
      <c r="AH70" s="10" t="str">
        <f>Tab_Data_Flows[[#This Row],[UoM_Flow_Py]]</f>
        <v>Mg</v>
      </c>
      <c r="AI70" s="193">
        <f>INDEX(Tab_Def_Flows[[Flow_ID]:[CC_DM_source]],MATCH(Tab_Data_Flows[[#This Row],[Name(EN)]],Tab_Def_Flows[Name(EN)],0),17)</f>
        <v>0</v>
      </c>
      <c r="AJ70" s="10" t="str">
        <f>IF(L70="Yes",AI70*Tab_Data_Flows[[#This Row],[Flow_Py]]*Tab_Data_Flows[[#This Row],[DM_'[%']]],"N.A.")</f>
        <v>N.A.</v>
      </c>
      <c r="AK70" s="10" t="str">
        <f>Tab_Data_Flows[[#This Row],[UoM_Flow_Py]]</f>
        <v>Mg</v>
      </c>
    </row>
    <row r="71" spans="1:37" x14ac:dyDescent="0.25">
      <c r="A71" s="17">
        <f t="shared" si="2"/>
        <v>70</v>
      </c>
      <c r="B71" s="10" t="str">
        <f>_xlfn.XLOOKUP(C71,Tab_Def_Flows[Name(EN)],Tab_Def_Flows[Flow_ID],,0,)</f>
        <v>N.A.</v>
      </c>
      <c r="C71" s="12" t="s">
        <v>35</v>
      </c>
      <c r="D71" s="10"/>
      <c r="E71" s="10">
        <f>_xlfn.XLOOKUP(C71,Tab_Def_Flows[Name(EN)],Tab_Def_Flows[Output_Process],,0,)</f>
        <v>0</v>
      </c>
      <c r="F71" s="10">
        <f>_xlfn.XLOOKUP(C71,Tab_Def_Flows[Name(EN)],Tab_Def_Flows[Process_ID_O],,0,)</f>
        <v>0</v>
      </c>
      <c r="G71" s="10">
        <f>_xlfn.XLOOKUP(C71,Tab_Def_Flows[Name(EN)],Tab_Def_Flows[Input_Process],,0,)</f>
        <v>0</v>
      </c>
      <c r="H71" s="18">
        <f>_xlfn.XLOOKUP(C71,Tab_Def_Flows[Name(EN)],Tab_Def_Flows[Process_ID_I],,0,)</f>
        <v>0</v>
      </c>
      <c r="I71" s="10" t="e">
        <f>_xlfn.XLOOKUP(C71,Tab_Def_Flows[Name(EN)],#REF!,,0,)</f>
        <v>#REF!</v>
      </c>
      <c r="J71" s="10">
        <f>_xlfn.XLOOKUP(C71,Tab_Def_Flows[Name(EN)],Tab_Def_Flows[WC?],,0,)</f>
        <v>0</v>
      </c>
      <c r="K71" s="10">
        <f>_xlfn.XLOOKUP(C71,Tab_Def_Flows[Name(EN)],Tab_Def_Flows[DM?],,0,)</f>
        <v>0</v>
      </c>
      <c r="L71" s="10">
        <f>_xlfn.XLOOKUP(C71,Tab_Def_Flows[Name(EN)],Tab_Def_Flows[CC?],,0,)</f>
        <v>0</v>
      </c>
      <c r="M71" s="12"/>
      <c r="N71" s="12"/>
      <c r="O71" s="50"/>
      <c r="P71" s="12"/>
      <c r="Q71" s="12"/>
      <c r="R71" s="12" t="e">
        <f>INDEX(#REF!,MATCH(Tab_Data_Flows[[#This Row],[Name(EN)]],#REF!,0),12)</f>
        <v>#REF!</v>
      </c>
      <c r="S71" s="12" t="e">
        <f>MATCH(Tab_Data_Flows[[#This Row],[Name(EN)]],#REF!,0)</f>
        <v>#REF!</v>
      </c>
      <c r="T71" s="12"/>
      <c r="U71" s="12"/>
      <c r="V71" s="12"/>
      <c r="W71" s="12"/>
      <c r="X71" s="12" t="s">
        <v>8</v>
      </c>
      <c r="Y71" s="12"/>
      <c r="Z71" s="12"/>
      <c r="AA71" s="36">
        <f t="shared" si="3"/>
        <v>0</v>
      </c>
      <c r="AB71" s="12" t="s">
        <v>283</v>
      </c>
      <c r="AC71" s="193">
        <f>INDEX(Tab_Def_Flows[[Flow_ID]:[CC_DM_source]],MATCH(Tab_Data_Flows[[#This Row],[Name(EN)]],Tab_Def_Flows[Name(EN)],0),13)</f>
        <v>0</v>
      </c>
      <c r="AD71" s="10" t="str">
        <f>IF(J71="Yes",AA71*Tab_Data_Flows[[#This Row],[WC_'[%']]],"N.A.")</f>
        <v>N.A.</v>
      </c>
      <c r="AE71" s="10" t="str">
        <f>Tab_Data_Flows[[#This Row],[UoM_Flow_Py]]</f>
        <v>Mg</v>
      </c>
      <c r="AF71" s="193">
        <f>INDEX(Tab_Def_Flows[[Flow_ID]:[CC_DM_source]],MATCH(Tab_Data_Flows[[#This Row],[Name(EN)]],Tab_Def_Flows[Name(EN)],0),15)</f>
        <v>0</v>
      </c>
      <c r="AG71" s="10" t="str">
        <f>IF(K71="Yes",AF71*Tab_Data_Flows[[#This Row],[Flow_Py]],"N.A.")</f>
        <v>N.A.</v>
      </c>
      <c r="AH71" s="10" t="str">
        <f>Tab_Data_Flows[[#This Row],[UoM_Flow_Py]]</f>
        <v>Mg</v>
      </c>
      <c r="AI71" s="193">
        <f>INDEX(Tab_Def_Flows[[Flow_ID]:[CC_DM_source]],MATCH(Tab_Data_Flows[[#This Row],[Name(EN)]],Tab_Def_Flows[Name(EN)],0),17)</f>
        <v>0</v>
      </c>
      <c r="AJ71" s="10" t="str">
        <f>IF(L71="Yes",AI71*Tab_Data_Flows[[#This Row],[Flow_Py]]*Tab_Data_Flows[[#This Row],[DM_'[%']]],"N.A.")</f>
        <v>N.A.</v>
      </c>
      <c r="AK71" s="10" t="str">
        <f>Tab_Data_Flows[[#This Row],[UoM_Flow_Py]]</f>
        <v>Mg</v>
      </c>
    </row>
    <row r="72" spans="1:37" x14ac:dyDescent="0.25">
      <c r="A72" s="17">
        <f t="shared" si="2"/>
        <v>71</v>
      </c>
      <c r="B72" s="10" t="str">
        <f>_xlfn.XLOOKUP(C72,Tab_Def_Flows[Name(EN)],Tab_Def_Flows[Flow_ID],,0,)</f>
        <v>N.A.</v>
      </c>
      <c r="C72" s="12" t="s">
        <v>35</v>
      </c>
      <c r="D72" s="10"/>
      <c r="E72" s="10">
        <f>_xlfn.XLOOKUP(C72,Tab_Def_Flows[Name(EN)],Tab_Def_Flows[Output_Process],,0,)</f>
        <v>0</v>
      </c>
      <c r="F72" s="10">
        <f>_xlfn.XLOOKUP(C72,Tab_Def_Flows[Name(EN)],Tab_Def_Flows[Process_ID_O],,0,)</f>
        <v>0</v>
      </c>
      <c r="G72" s="10">
        <f>_xlfn.XLOOKUP(C72,Tab_Def_Flows[Name(EN)],Tab_Def_Flows[Input_Process],,0,)</f>
        <v>0</v>
      </c>
      <c r="H72" s="18">
        <f>_xlfn.XLOOKUP(C72,Tab_Def_Flows[Name(EN)],Tab_Def_Flows[Process_ID_I],,0,)</f>
        <v>0</v>
      </c>
      <c r="I72" s="10" t="e">
        <f>_xlfn.XLOOKUP(C72,Tab_Def_Flows[Name(EN)],#REF!,,0,)</f>
        <v>#REF!</v>
      </c>
      <c r="J72" s="10">
        <f>_xlfn.XLOOKUP(C72,Tab_Def_Flows[Name(EN)],Tab_Def_Flows[WC?],,0,)</f>
        <v>0</v>
      </c>
      <c r="K72" s="10">
        <f>_xlfn.XLOOKUP(C72,Tab_Def_Flows[Name(EN)],Tab_Def_Flows[DM?],,0,)</f>
        <v>0</v>
      </c>
      <c r="L72" s="10">
        <f>_xlfn.XLOOKUP(C72,Tab_Def_Flows[Name(EN)],Tab_Def_Flows[CC?],,0,)</f>
        <v>0</v>
      </c>
      <c r="M72" s="12"/>
      <c r="N72" s="12"/>
      <c r="O72" s="50"/>
      <c r="P72" s="12"/>
      <c r="Q72" s="12"/>
      <c r="R72" s="12" t="e">
        <f>INDEX(#REF!,MATCH(Tab_Data_Flows[[#This Row],[Name(EN)]],#REF!,0),12)</f>
        <v>#REF!</v>
      </c>
      <c r="S72" s="12" t="e">
        <f>MATCH(Tab_Data_Flows[[#This Row],[Name(EN)]],#REF!,0)</f>
        <v>#REF!</v>
      </c>
      <c r="T72" s="12"/>
      <c r="U72" s="12"/>
      <c r="V72" s="12"/>
      <c r="W72" s="12"/>
      <c r="X72" s="12" t="s">
        <v>8</v>
      </c>
      <c r="Y72" s="12"/>
      <c r="Z72" s="12"/>
      <c r="AA72" s="36">
        <f t="shared" si="3"/>
        <v>0</v>
      </c>
      <c r="AB72" s="12" t="s">
        <v>283</v>
      </c>
      <c r="AC72" s="193">
        <f>INDEX(Tab_Def_Flows[[Flow_ID]:[CC_DM_source]],MATCH(Tab_Data_Flows[[#This Row],[Name(EN)]],Tab_Def_Flows[Name(EN)],0),13)</f>
        <v>0</v>
      </c>
      <c r="AD72" s="10" t="str">
        <f>IF(J72="Yes",AA72*Tab_Data_Flows[[#This Row],[WC_'[%']]],"N.A.")</f>
        <v>N.A.</v>
      </c>
      <c r="AE72" s="10" t="str">
        <f>Tab_Data_Flows[[#This Row],[UoM_Flow_Py]]</f>
        <v>Mg</v>
      </c>
      <c r="AF72" s="193">
        <f>INDEX(Tab_Def_Flows[[Flow_ID]:[CC_DM_source]],MATCH(Tab_Data_Flows[[#This Row],[Name(EN)]],Tab_Def_Flows[Name(EN)],0),15)</f>
        <v>0</v>
      </c>
      <c r="AG72" s="10" t="str">
        <f>IF(K72="Yes",AF72*Tab_Data_Flows[[#This Row],[Flow_Py]],"N.A.")</f>
        <v>N.A.</v>
      </c>
      <c r="AH72" s="10" t="str">
        <f>Tab_Data_Flows[[#This Row],[UoM_Flow_Py]]</f>
        <v>Mg</v>
      </c>
      <c r="AI72" s="193">
        <f>INDEX(Tab_Def_Flows[[Flow_ID]:[CC_DM_source]],MATCH(Tab_Data_Flows[[#This Row],[Name(EN)]],Tab_Def_Flows[Name(EN)],0),17)</f>
        <v>0</v>
      </c>
      <c r="AJ72" s="10" t="str">
        <f>IF(L72="Yes",AI72*Tab_Data_Flows[[#This Row],[Flow_Py]]*Tab_Data_Flows[[#This Row],[DM_'[%']]],"N.A.")</f>
        <v>N.A.</v>
      </c>
      <c r="AK72" s="10" t="str">
        <f>Tab_Data_Flows[[#This Row],[UoM_Flow_Py]]</f>
        <v>Mg</v>
      </c>
    </row>
    <row r="73" spans="1:37" x14ac:dyDescent="0.25">
      <c r="A73" s="17">
        <f t="shared" si="2"/>
        <v>72</v>
      </c>
      <c r="B73" s="10" t="str">
        <f>_xlfn.XLOOKUP(C73,Tab_Def_Flows[Name(EN)],Tab_Def_Flows[Flow_ID],,0,)</f>
        <v>N.A.</v>
      </c>
      <c r="C73" s="12" t="s">
        <v>35</v>
      </c>
      <c r="D73" s="10"/>
      <c r="E73" s="10">
        <f>_xlfn.XLOOKUP(C73,Tab_Def_Flows[Name(EN)],Tab_Def_Flows[Output_Process],,0,)</f>
        <v>0</v>
      </c>
      <c r="F73" s="10">
        <f>_xlfn.XLOOKUP(C73,Tab_Def_Flows[Name(EN)],Tab_Def_Flows[Process_ID_O],,0,)</f>
        <v>0</v>
      </c>
      <c r="G73" s="10">
        <f>_xlfn.XLOOKUP(C73,Tab_Def_Flows[Name(EN)],Tab_Def_Flows[Input_Process],,0,)</f>
        <v>0</v>
      </c>
      <c r="H73" s="18">
        <f>_xlfn.XLOOKUP(C73,Tab_Def_Flows[Name(EN)],Tab_Def_Flows[Process_ID_I],,0,)</f>
        <v>0</v>
      </c>
      <c r="I73" s="10" t="e">
        <f>_xlfn.XLOOKUP(C73,Tab_Def_Flows[Name(EN)],#REF!,,0,)</f>
        <v>#REF!</v>
      </c>
      <c r="J73" s="10">
        <f>_xlfn.XLOOKUP(C73,Tab_Def_Flows[Name(EN)],Tab_Def_Flows[WC?],,0,)</f>
        <v>0</v>
      </c>
      <c r="K73" s="10">
        <f>_xlfn.XLOOKUP(C73,Tab_Def_Flows[Name(EN)],Tab_Def_Flows[DM?],,0,)</f>
        <v>0</v>
      </c>
      <c r="L73" s="10">
        <f>_xlfn.XLOOKUP(C73,Tab_Def_Flows[Name(EN)],Tab_Def_Flows[CC?],,0,)</f>
        <v>0</v>
      </c>
      <c r="M73" s="12"/>
      <c r="N73" s="12"/>
      <c r="O73" s="50"/>
      <c r="P73" s="12"/>
      <c r="Q73" s="12"/>
      <c r="R73" s="12" t="e">
        <f>INDEX(#REF!,MATCH(Tab_Data_Flows[[#This Row],[Name(EN)]],#REF!,0),12)</f>
        <v>#REF!</v>
      </c>
      <c r="S73" s="12" t="e">
        <f>MATCH(Tab_Data_Flows[[#This Row],[Name(EN)]],#REF!,0)</f>
        <v>#REF!</v>
      </c>
      <c r="T73" s="12"/>
      <c r="U73" s="12"/>
      <c r="V73" s="12"/>
      <c r="W73" s="12"/>
      <c r="X73" s="12" t="s">
        <v>8</v>
      </c>
      <c r="Y73" s="12"/>
      <c r="Z73" s="12"/>
      <c r="AA73" s="36">
        <f t="shared" si="3"/>
        <v>0</v>
      </c>
      <c r="AB73" s="12" t="s">
        <v>283</v>
      </c>
      <c r="AC73" s="193">
        <f>INDEX(Tab_Def_Flows[[Flow_ID]:[CC_DM_source]],MATCH(Tab_Data_Flows[[#This Row],[Name(EN)]],Tab_Def_Flows[Name(EN)],0),13)</f>
        <v>0</v>
      </c>
      <c r="AD73" s="10" t="str">
        <f>IF(J73="Yes",AA73*Tab_Data_Flows[[#This Row],[WC_'[%']]],"N.A.")</f>
        <v>N.A.</v>
      </c>
      <c r="AE73" s="10" t="str">
        <f>Tab_Data_Flows[[#This Row],[UoM_Flow_Py]]</f>
        <v>Mg</v>
      </c>
      <c r="AF73" s="193">
        <f>INDEX(Tab_Def_Flows[[Flow_ID]:[CC_DM_source]],MATCH(Tab_Data_Flows[[#This Row],[Name(EN)]],Tab_Def_Flows[Name(EN)],0),15)</f>
        <v>0</v>
      </c>
      <c r="AG73" s="10" t="str">
        <f>IF(K73="Yes",AF73*Tab_Data_Flows[[#This Row],[Flow_Py]],"N.A.")</f>
        <v>N.A.</v>
      </c>
      <c r="AH73" s="10" t="str">
        <f>Tab_Data_Flows[[#This Row],[UoM_Flow_Py]]</f>
        <v>Mg</v>
      </c>
      <c r="AI73" s="193">
        <f>INDEX(Tab_Def_Flows[[Flow_ID]:[CC_DM_source]],MATCH(Tab_Data_Flows[[#This Row],[Name(EN)]],Tab_Def_Flows[Name(EN)],0),17)</f>
        <v>0</v>
      </c>
      <c r="AJ73" s="10" t="str">
        <f>IF(L73="Yes",AI73*Tab_Data_Flows[[#This Row],[Flow_Py]]*Tab_Data_Flows[[#This Row],[DM_'[%']]],"N.A.")</f>
        <v>N.A.</v>
      </c>
      <c r="AK73" s="10" t="str">
        <f>Tab_Data_Flows[[#This Row],[UoM_Flow_Py]]</f>
        <v>Mg</v>
      </c>
    </row>
    <row r="74" spans="1:37" x14ac:dyDescent="0.25">
      <c r="A74" s="17">
        <f t="shared" si="2"/>
        <v>73</v>
      </c>
      <c r="B74" s="10" t="str">
        <f>_xlfn.XLOOKUP(C74,Tab_Def_Flows[Name(EN)],Tab_Def_Flows[Flow_ID],,0,)</f>
        <v>N.A.</v>
      </c>
      <c r="C74" s="12" t="s">
        <v>35</v>
      </c>
      <c r="D74" s="10"/>
      <c r="E74" s="10">
        <f>_xlfn.XLOOKUP(C74,Tab_Def_Flows[Name(EN)],Tab_Def_Flows[Output_Process],,0,)</f>
        <v>0</v>
      </c>
      <c r="F74" s="10">
        <f>_xlfn.XLOOKUP(C74,Tab_Def_Flows[Name(EN)],Tab_Def_Flows[Process_ID_O],,0,)</f>
        <v>0</v>
      </c>
      <c r="G74" s="10">
        <f>_xlfn.XLOOKUP(C74,Tab_Def_Flows[Name(EN)],Tab_Def_Flows[Input_Process],,0,)</f>
        <v>0</v>
      </c>
      <c r="H74" s="18">
        <f>_xlfn.XLOOKUP(C74,Tab_Def_Flows[Name(EN)],Tab_Def_Flows[Process_ID_I],,0,)</f>
        <v>0</v>
      </c>
      <c r="I74" s="10" t="e">
        <f>_xlfn.XLOOKUP(C74,Tab_Def_Flows[Name(EN)],#REF!,,0,)</f>
        <v>#REF!</v>
      </c>
      <c r="J74" s="10">
        <f>_xlfn.XLOOKUP(C74,Tab_Def_Flows[Name(EN)],Tab_Def_Flows[WC?],,0,)</f>
        <v>0</v>
      </c>
      <c r="K74" s="10">
        <f>_xlfn.XLOOKUP(C74,Tab_Def_Flows[Name(EN)],Tab_Def_Flows[DM?],,0,)</f>
        <v>0</v>
      </c>
      <c r="L74" s="10">
        <f>_xlfn.XLOOKUP(C74,Tab_Def_Flows[Name(EN)],Tab_Def_Flows[CC?],,0,)</f>
        <v>0</v>
      </c>
      <c r="M74" s="12"/>
      <c r="N74" s="12"/>
      <c r="O74" s="50"/>
      <c r="P74" s="12"/>
      <c r="Q74" s="12"/>
      <c r="R74" s="12" t="e">
        <f>INDEX(#REF!,MATCH(Tab_Data_Flows[[#This Row],[Name(EN)]],#REF!,0),12)</f>
        <v>#REF!</v>
      </c>
      <c r="S74" s="12" t="e">
        <f>MATCH(Tab_Data_Flows[[#This Row],[Name(EN)]],#REF!,0)</f>
        <v>#REF!</v>
      </c>
      <c r="T74" s="12"/>
      <c r="U74" s="12"/>
      <c r="V74" s="12"/>
      <c r="W74" s="12"/>
      <c r="X74" s="12" t="s">
        <v>8</v>
      </c>
      <c r="Y74" s="12"/>
      <c r="Z74" s="12"/>
      <c r="AA74" s="36">
        <f t="shared" si="3"/>
        <v>0</v>
      </c>
      <c r="AB74" s="12" t="s">
        <v>283</v>
      </c>
      <c r="AC74" s="193">
        <f>INDEX(Tab_Def_Flows[[Flow_ID]:[CC_DM_source]],MATCH(Tab_Data_Flows[[#This Row],[Name(EN)]],Tab_Def_Flows[Name(EN)],0),13)</f>
        <v>0</v>
      </c>
      <c r="AD74" s="10" t="str">
        <f>IF(J74="Yes",AA74*Tab_Data_Flows[[#This Row],[WC_'[%']]],"N.A.")</f>
        <v>N.A.</v>
      </c>
      <c r="AE74" s="10" t="str">
        <f>Tab_Data_Flows[[#This Row],[UoM_Flow_Py]]</f>
        <v>Mg</v>
      </c>
      <c r="AF74" s="193">
        <f>INDEX(Tab_Def_Flows[[Flow_ID]:[CC_DM_source]],MATCH(Tab_Data_Flows[[#This Row],[Name(EN)]],Tab_Def_Flows[Name(EN)],0),15)</f>
        <v>0</v>
      </c>
      <c r="AG74" s="10" t="str">
        <f>IF(K74="Yes",AF74*Tab_Data_Flows[[#This Row],[Flow_Py]],"N.A.")</f>
        <v>N.A.</v>
      </c>
      <c r="AH74" s="10" t="str">
        <f>Tab_Data_Flows[[#This Row],[UoM_Flow_Py]]</f>
        <v>Mg</v>
      </c>
      <c r="AI74" s="193">
        <f>INDEX(Tab_Def_Flows[[Flow_ID]:[CC_DM_source]],MATCH(Tab_Data_Flows[[#This Row],[Name(EN)]],Tab_Def_Flows[Name(EN)],0),17)</f>
        <v>0</v>
      </c>
      <c r="AJ74" s="10" t="str">
        <f>IF(L74="Yes",AI74*Tab_Data_Flows[[#This Row],[Flow_Py]]*Tab_Data_Flows[[#This Row],[DM_'[%']]],"N.A.")</f>
        <v>N.A.</v>
      </c>
      <c r="AK74" s="10" t="str">
        <f>Tab_Data_Flows[[#This Row],[UoM_Flow_Py]]</f>
        <v>Mg</v>
      </c>
    </row>
    <row r="75" spans="1:37" x14ac:dyDescent="0.25">
      <c r="A75" s="17">
        <f t="shared" si="2"/>
        <v>74</v>
      </c>
      <c r="B75" s="10" t="str">
        <f>_xlfn.XLOOKUP(C75,Tab_Def_Flows[Name(EN)],Tab_Def_Flows[Flow_ID],,0,)</f>
        <v>N.A.</v>
      </c>
      <c r="C75" s="12" t="s">
        <v>35</v>
      </c>
      <c r="D75" s="10"/>
      <c r="E75" s="10">
        <f>_xlfn.XLOOKUP(C75,Tab_Def_Flows[Name(EN)],Tab_Def_Flows[Output_Process],,0,)</f>
        <v>0</v>
      </c>
      <c r="F75" s="10">
        <f>_xlfn.XLOOKUP(C75,Tab_Def_Flows[Name(EN)],Tab_Def_Flows[Process_ID_O],,0,)</f>
        <v>0</v>
      </c>
      <c r="G75" s="10">
        <f>_xlfn.XLOOKUP(C75,Tab_Def_Flows[Name(EN)],Tab_Def_Flows[Input_Process],,0,)</f>
        <v>0</v>
      </c>
      <c r="H75" s="18">
        <f>_xlfn.XLOOKUP(C75,Tab_Def_Flows[Name(EN)],Tab_Def_Flows[Process_ID_I],,0,)</f>
        <v>0</v>
      </c>
      <c r="I75" s="10" t="e">
        <f>_xlfn.XLOOKUP(C75,Tab_Def_Flows[Name(EN)],#REF!,,0,)</f>
        <v>#REF!</v>
      </c>
      <c r="J75" s="10">
        <f>_xlfn.XLOOKUP(C75,Tab_Def_Flows[Name(EN)],Tab_Def_Flows[WC?],,0,)</f>
        <v>0</v>
      </c>
      <c r="K75" s="10">
        <f>_xlfn.XLOOKUP(C75,Tab_Def_Flows[Name(EN)],Tab_Def_Flows[DM?],,0,)</f>
        <v>0</v>
      </c>
      <c r="L75" s="10">
        <f>_xlfn.XLOOKUP(C75,Tab_Def_Flows[Name(EN)],Tab_Def_Flows[CC?],,0,)</f>
        <v>0</v>
      </c>
      <c r="M75" s="12"/>
      <c r="N75" s="12"/>
      <c r="O75" s="50"/>
      <c r="P75" s="12"/>
      <c r="Q75" s="12"/>
      <c r="R75" s="12" t="e">
        <f>INDEX(#REF!,MATCH(Tab_Data_Flows[[#This Row],[Name(EN)]],#REF!,0),12)</f>
        <v>#REF!</v>
      </c>
      <c r="S75" s="12" t="e">
        <f>MATCH(Tab_Data_Flows[[#This Row],[Name(EN)]],#REF!,0)</f>
        <v>#REF!</v>
      </c>
      <c r="T75" s="12"/>
      <c r="U75" s="12"/>
      <c r="V75" s="12"/>
      <c r="W75" s="12"/>
      <c r="X75" s="12" t="s">
        <v>8</v>
      </c>
      <c r="Y75" s="12"/>
      <c r="Z75" s="12"/>
      <c r="AA75" s="36">
        <f t="shared" si="3"/>
        <v>0</v>
      </c>
      <c r="AB75" s="12" t="s">
        <v>283</v>
      </c>
      <c r="AC75" s="193">
        <f>INDEX(Tab_Def_Flows[[Flow_ID]:[CC_DM_source]],MATCH(Tab_Data_Flows[[#This Row],[Name(EN)]],Tab_Def_Flows[Name(EN)],0),13)</f>
        <v>0</v>
      </c>
      <c r="AD75" s="10" t="str">
        <f>IF(J75="Yes",AA75*Tab_Data_Flows[[#This Row],[WC_'[%']]],"N.A.")</f>
        <v>N.A.</v>
      </c>
      <c r="AE75" s="10" t="str">
        <f>Tab_Data_Flows[[#This Row],[UoM_Flow_Py]]</f>
        <v>Mg</v>
      </c>
      <c r="AF75" s="193">
        <f>INDEX(Tab_Def_Flows[[Flow_ID]:[CC_DM_source]],MATCH(Tab_Data_Flows[[#This Row],[Name(EN)]],Tab_Def_Flows[Name(EN)],0),15)</f>
        <v>0</v>
      </c>
      <c r="AG75" s="10" t="str">
        <f>IF(K75="Yes",AF75*Tab_Data_Flows[[#This Row],[Flow_Py]],"N.A.")</f>
        <v>N.A.</v>
      </c>
      <c r="AH75" s="10" t="str">
        <f>Tab_Data_Flows[[#This Row],[UoM_Flow_Py]]</f>
        <v>Mg</v>
      </c>
      <c r="AI75" s="193">
        <f>INDEX(Tab_Def_Flows[[Flow_ID]:[CC_DM_source]],MATCH(Tab_Data_Flows[[#This Row],[Name(EN)]],Tab_Def_Flows[Name(EN)],0),17)</f>
        <v>0</v>
      </c>
      <c r="AJ75" s="10" t="str">
        <f>IF(L75="Yes",AI75*Tab_Data_Flows[[#This Row],[Flow_Py]]*Tab_Data_Flows[[#This Row],[DM_'[%']]],"N.A.")</f>
        <v>N.A.</v>
      </c>
      <c r="AK75" s="10" t="str">
        <f>Tab_Data_Flows[[#This Row],[UoM_Flow_Py]]</f>
        <v>Mg</v>
      </c>
    </row>
    <row r="76" spans="1:37" x14ac:dyDescent="0.25">
      <c r="A76" s="17">
        <f t="shared" si="2"/>
        <v>75</v>
      </c>
      <c r="B76" s="10" t="str">
        <f>_xlfn.XLOOKUP(C76,Tab_Def_Flows[Name(EN)],Tab_Def_Flows[Flow_ID],,0,)</f>
        <v>N.A.</v>
      </c>
      <c r="C76" s="12" t="s">
        <v>35</v>
      </c>
      <c r="D76" s="10"/>
      <c r="E76" s="10">
        <f>_xlfn.XLOOKUP(C76,Tab_Def_Flows[Name(EN)],Tab_Def_Flows[Output_Process],,0,)</f>
        <v>0</v>
      </c>
      <c r="F76" s="10">
        <f>_xlfn.XLOOKUP(C76,Tab_Def_Flows[Name(EN)],Tab_Def_Flows[Process_ID_O],,0,)</f>
        <v>0</v>
      </c>
      <c r="G76" s="10">
        <f>_xlfn.XLOOKUP(C76,Tab_Def_Flows[Name(EN)],Tab_Def_Flows[Input_Process],,0,)</f>
        <v>0</v>
      </c>
      <c r="H76" s="18">
        <f>_xlfn.XLOOKUP(C76,Tab_Def_Flows[Name(EN)],Tab_Def_Flows[Process_ID_I],,0,)</f>
        <v>0</v>
      </c>
      <c r="I76" s="10" t="e">
        <f>_xlfn.XLOOKUP(C76,Tab_Def_Flows[Name(EN)],#REF!,,0,)</f>
        <v>#REF!</v>
      </c>
      <c r="J76" s="10">
        <f>_xlfn.XLOOKUP(C76,Tab_Def_Flows[Name(EN)],Tab_Def_Flows[WC?],,0,)</f>
        <v>0</v>
      </c>
      <c r="K76" s="10">
        <f>_xlfn.XLOOKUP(C76,Tab_Def_Flows[Name(EN)],Tab_Def_Flows[DM?],,0,)</f>
        <v>0</v>
      </c>
      <c r="L76" s="10">
        <f>_xlfn.XLOOKUP(C76,Tab_Def_Flows[Name(EN)],Tab_Def_Flows[CC?],,0,)</f>
        <v>0</v>
      </c>
      <c r="M76" s="12"/>
      <c r="N76" s="12"/>
      <c r="O76" s="50"/>
      <c r="P76" s="12"/>
      <c r="Q76" s="12"/>
      <c r="R76" s="12" t="e">
        <f>INDEX(#REF!,MATCH(Tab_Data_Flows[[#This Row],[Name(EN)]],#REF!,0),12)</f>
        <v>#REF!</v>
      </c>
      <c r="S76" s="12" t="e">
        <f>MATCH(Tab_Data_Flows[[#This Row],[Name(EN)]],#REF!,0)</f>
        <v>#REF!</v>
      </c>
      <c r="T76" s="12"/>
      <c r="U76" s="12"/>
      <c r="V76" s="12"/>
      <c r="W76" s="12"/>
      <c r="X76" s="12" t="s">
        <v>8</v>
      </c>
      <c r="Y76" s="12"/>
      <c r="Z76" s="12"/>
      <c r="AA76" s="36">
        <f t="shared" si="3"/>
        <v>0</v>
      </c>
      <c r="AB76" s="12" t="s">
        <v>283</v>
      </c>
      <c r="AC76" s="193">
        <f>INDEX(Tab_Def_Flows[[Flow_ID]:[CC_DM_source]],MATCH(Tab_Data_Flows[[#This Row],[Name(EN)]],Tab_Def_Flows[Name(EN)],0),13)</f>
        <v>0</v>
      </c>
      <c r="AD76" s="10" t="str">
        <f>IF(J76="Yes",AA76*Tab_Data_Flows[[#This Row],[WC_'[%']]],"N.A.")</f>
        <v>N.A.</v>
      </c>
      <c r="AE76" s="10" t="str">
        <f>Tab_Data_Flows[[#This Row],[UoM_Flow_Py]]</f>
        <v>Mg</v>
      </c>
      <c r="AF76" s="193">
        <f>INDEX(Tab_Def_Flows[[Flow_ID]:[CC_DM_source]],MATCH(Tab_Data_Flows[[#This Row],[Name(EN)]],Tab_Def_Flows[Name(EN)],0),15)</f>
        <v>0</v>
      </c>
      <c r="AG76" s="10" t="str">
        <f>IF(K76="Yes",AF76*Tab_Data_Flows[[#This Row],[Flow_Py]],"N.A.")</f>
        <v>N.A.</v>
      </c>
      <c r="AH76" s="10" t="str">
        <f>Tab_Data_Flows[[#This Row],[UoM_Flow_Py]]</f>
        <v>Mg</v>
      </c>
      <c r="AI76" s="193">
        <f>INDEX(Tab_Def_Flows[[Flow_ID]:[CC_DM_source]],MATCH(Tab_Data_Flows[[#This Row],[Name(EN)]],Tab_Def_Flows[Name(EN)],0),17)</f>
        <v>0</v>
      </c>
      <c r="AJ76" s="10" t="str">
        <f>IF(L76="Yes",AI76*Tab_Data_Flows[[#This Row],[Flow_Py]]*Tab_Data_Flows[[#This Row],[DM_'[%']]],"N.A.")</f>
        <v>N.A.</v>
      </c>
      <c r="AK76" s="10" t="str">
        <f>Tab_Data_Flows[[#This Row],[UoM_Flow_Py]]</f>
        <v>Mg</v>
      </c>
    </row>
    <row r="77" spans="1:37" x14ac:dyDescent="0.25">
      <c r="A77" s="17">
        <f t="shared" si="2"/>
        <v>76</v>
      </c>
      <c r="B77" s="10" t="str">
        <f>_xlfn.XLOOKUP(C77,Tab_Def_Flows[Name(EN)],Tab_Def_Flows[Flow_ID],,0,)</f>
        <v>N.A.</v>
      </c>
      <c r="C77" s="12" t="s">
        <v>35</v>
      </c>
      <c r="D77" s="10"/>
      <c r="E77" s="10">
        <f>_xlfn.XLOOKUP(C77,Tab_Def_Flows[Name(EN)],Tab_Def_Flows[Output_Process],,0,)</f>
        <v>0</v>
      </c>
      <c r="F77" s="10">
        <f>_xlfn.XLOOKUP(C77,Tab_Def_Flows[Name(EN)],Tab_Def_Flows[Process_ID_O],,0,)</f>
        <v>0</v>
      </c>
      <c r="G77" s="10">
        <f>_xlfn.XLOOKUP(C77,Tab_Def_Flows[Name(EN)],Tab_Def_Flows[Input_Process],,0,)</f>
        <v>0</v>
      </c>
      <c r="H77" s="18">
        <f>_xlfn.XLOOKUP(C77,Tab_Def_Flows[Name(EN)],Tab_Def_Flows[Process_ID_I],,0,)</f>
        <v>0</v>
      </c>
      <c r="I77" s="10" t="e">
        <f>_xlfn.XLOOKUP(C77,Tab_Def_Flows[Name(EN)],#REF!,,0,)</f>
        <v>#REF!</v>
      </c>
      <c r="J77" s="10">
        <f>_xlfn.XLOOKUP(C77,Tab_Def_Flows[Name(EN)],Tab_Def_Flows[WC?],,0,)</f>
        <v>0</v>
      </c>
      <c r="K77" s="10">
        <f>_xlfn.XLOOKUP(C77,Tab_Def_Flows[Name(EN)],Tab_Def_Flows[DM?],,0,)</f>
        <v>0</v>
      </c>
      <c r="L77" s="10">
        <f>_xlfn.XLOOKUP(C77,Tab_Def_Flows[Name(EN)],Tab_Def_Flows[CC?],,0,)</f>
        <v>0</v>
      </c>
      <c r="M77" s="12"/>
      <c r="N77" s="12"/>
      <c r="O77" s="50"/>
      <c r="P77" s="12"/>
      <c r="Q77" s="12"/>
      <c r="R77" s="12" t="e">
        <f>INDEX(#REF!,MATCH(Tab_Data_Flows[[#This Row],[Name(EN)]],#REF!,0),12)</f>
        <v>#REF!</v>
      </c>
      <c r="S77" s="12" t="e">
        <f>MATCH(Tab_Data_Flows[[#This Row],[Name(EN)]],#REF!,0)</f>
        <v>#REF!</v>
      </c>
      <c r="T77" s="12"/>
      <c r="U77" s="12"/>
      <c r="V77" s="12"/>
      <c r="W77" s="12"/>
      <c r="X77" s="12" t="s">
        <v>8</v>
      </c>
      <c r="Y77" s="12"/>
      <c r="Z77" s="12"/>
      <c r="AA77" s="36">
        <f t="shared" si="3"/>
        <v>0</v>
      </c>
      <c r="AB77" s="12" t="s">
        <v>283</v>
      </c>
      <c r="AC77" s="193">
        <f>INDEX(Tab_Def_Flows[[Flow_ID]:[CC_DM_source]],MATCH(Tab_Data_Flows[[#This Row],[Name(EN)]],Tab_Def_Flows[Name(EN)],0),13)</f>
        <v>0</v>
      </c>
      <c r="AD77" s="10" t="str">
        <f>IF(J77="Yes",AA77*Tab_Data_Flows[[#This Row],[WC_'[%']]],"N.A.")</f>
        <v>N.A.</v>
      </c>
      <c r="AE77" s="10" t="str">
        <f>Tab_Data_Flows[[#This Row],[UoM_Flow_Py]]</f>
        <v>Mg</v>
      </c>
      <c r="AF77" s="193">
        <f>INDEX(Tab_Def_Flows[[Flow_ID]:[CC_DM_source]],MATCH(Tab_Data_Flows[[#This Row],[Name(EN)]],Tab_Def_Flows[Name(EN)],0),15)</f>
        <v>0</v>
      </c>
      <c r="AG77" s="10" t="str">
        <f>IF(K77="Yes",AF77*Tab_Data_Flows[[#This Row],[Flow_Py]],"N.A.")</f>
        <v>N.A.</v>
      </c>
      <c r="AH77" s="10" t="str">
        <f>Tab_Data_Flows[[#This Row],[UoM_Flow_Py]]</f>
        <v>Mg</v>
      </c>
      <c r="AI77" s="193">
        <f>INDEX(Tab_Def_Flows[[Flow_ID]:[CC_DM_source]],MATCH(Tab_Data_Flows[[#This Row],[Name(EN)]],Tab_Def_Flows[Name(EN)],0),17)</f>
        <v>0</v>
      </c>
      <c r="AJ77" s="10" t="str">
        <f>IF(L77="Yes",AI77*Tab_Data_Flows[[#This Row],[Flow_Py]]*Tab_Data_Flows[[#This Row],[DM_'[%']]],"N.A.")</f>
        <v>N.A.</v>
      </c>
      <c r="AK77" s="10" t="str">
        <f>Tab_Data_Flows[[#This Row],[UoM_Flow_Py]]</f>
        <v>Mg</v>
      </c>
    </row>
    <row r="78" spans="1:37" x14ac:dyDescent="0.25">
      <c r="A78" s="17">
        <f t="shared" si="2"/>
        <v>77</v>
      </c>
      <c r="B78" s="10" t="str">
        <f>_xlfn.XLOOKUP(C78,Tab_Def_Flows[Name(EN)],Tab_Def_Flows[Flow_ID],,0,)</f>
        <v>N.A.</v>
      </c>
      <c r="C78" s="12" t="s">
        <v>35</v>
      </c>
      <c r="D78" s="10"/>
      <c r="E78" s="10">
        <f>_xlfn.XLOOKUP(C78,Tab_Def_Flows[Name(EN)],Tab_Def_Flows[Output_Process],,0,)</f>
        <v>0</v>
      </c>
      <c r="F78" s="10">
        <f>_xlfn.XLOOKUP(C78,Tab_Def_Flows[Name(EN)],Tab_Def_Flows[Process_ID_O],,0,)</f>
        <v>0</v>
      </c>
      <c r="G78" s="10">
        <f>_xlfn.XLOOKUP(C78,Tab_Def_Flows[Name(EN)],Tab_Def_Flows[Input_Process],,0,)</f>
        <v>0</v>
      </c>
      <c r="H78" s="18">
        <f>_xlfn.XLOOKUP(C78,Tab_Def_Flows[Name(EN)],Tab_Def_Flows[Process_ID_I],,0,)</f>
        <v>0</v>
      </c>
      <c r="I78" s="10" t="e">
        <f>_xlfn.XLOOKUP(C78,Tab_Def_Flows[Name(EN)],#REF!,,0,)</f>
        <v>#REF!</v>
      </c>
      <c r="J78" s="10">
        <f>_xlfn.XLOOKUP(C78,Tab_Def_Flows[Name(EN)],Tab_Def_Flows[WC?],,0,)</f>
        <v>0</v>
      </c>
      <c r="K78" s="10">
        <f>_xlfn.XLOOKUP(C78,Tab_Def_Flows[Name(EN)],Tab_Def_Flows[DM?],,0,)</f>
        <v>0</v>
      </c>
      <c r="L78" s="10">
        <f>_xlfn.XLOOKUP(C78,Tab_Def_Flows[Name(EN)],Tab_Def_Flows[CC?],,0,)</f>
        <v>0</v>
      </c>
      <c r="M78" s="12"/>
      <c r="N78" s="12"/>
      <c r="O78" s="50"/>
      <c r="P78" s="12"/>
      <c r="Q78" s="12"/>
      <c r="R78" s="12" t="e">
        <f>INDEX(#REF!,MATCH(Tab_Data_Flows[[#This Row],[Name(EN)]],#REF!,0),12)</f>
        <v>#REF!</v>
      </c>
      <c r="S78" s="12" t="e">
        <f>MATCH(Tab_Data_Flows[[#This Row],[Name(EN)]],#REF!,0)</f>
        <v>#REF!</v>
      </c>
      <c r="T78" s="12"/>
      <c r="U78" s="12"/>
      <c r="V78" s="12"/>
      <c r="W78" s="12"/>
      <c r="X78" s="12" t="s">
        <v>8</v>
      </c>
      <c r="Y78" s="12"/>
      <c r="Z78" s="12"/>
      <c r="AA78" s="36">
        <f t="shared" si="3"/>
        <v>0</v>
      </c>
      <c r="AB78" s="12" t="s">
        <v>283</v>
      </c>
      <c r="AC78" s="193">
        <f>INDEX(Tab_Def_Flows[[Flow_ID]:[CC_DM_source]],MATCH(Tab_Data_Flows[[#This Row],[Name(EN)]],Tab_Def_Flows[Name(EN)],0),13)</f>
        <v>0</v>
      </c>
      <c r="AD78" s="10" t="str">
        <f>IF(J78="Yes",AA78*Tab_Data_Flows[[#This Row],[WC_'[%']]],"N.A.")</f>
        <v>N.A.</v>
      </c>
      <c r="AE78" s="10" t="str">
        <f>Tab_Data_Flows[[#This Row],[UoM_Flow_Py]]</f>
        <v>Mg</v>
      </c>
      <c r="AF78" s="193">
        <f>INDEX(Tab_Def_Flows[[Flow_ID]:[CC_DM_source]],MATCH(Tab_Data_Flows[[#This Row],[Name(EN)]],Tab_Def_Flows[Name(EN)],0),15)</f>
        <v>0</v>
      </c>
      <c r="AG78" s="10" t="str">
        <f>IF(K78="Yes",AF78*Tab_Data_Flows[[#This Row],[Flow_Py]],"N.A.")</f>
        <v>N.A.</v>
      </c>
      <c r="AH78" s="10" t="str">
        <f>Tab_Data_Flows[[#This Row],[UoM_Flow_Py]]</f>
        <v>Mg</v>
      </c>
      <c r="AI78" s="193">
        <f>INDEX(Tab_Def_Flows[[Flow_ID]:[CC_DM_source]],MATCH(Tab_Data_Flows[[#This Row],[Name(EN)]],Tab_Def_Flows[Name(EN)],0),17)</f>
        <v>0</v>
      </c>
      <c r="AJ78" s="10" t="str">
        <f>IF(L78="Yes",AI78*Tab_Data_Flows[[#This Row],[Flow_Py]]*Tab_Data_Flows[[#This Row],[DM_'[%']]],"N.A.")</f>
        <v>N.A.</v>
      </c>
      <c r="AK78" s="10" t="str">
        <f>Tab_Data_Flows[[#This Row],[UoM_Flow_Py]]</f>
        <v>Mg</v>
      </c>
    </row>
    <row r="79" spans="1:37" x14ac:dyDescent="0.25">
      <c r="A79" s="17">
        <f t="shared" si="2"/>
        <v>78</v>
      </c>
      <c r="B79" s="10" t="str">
        <f>_xlfn.XLOOKUP(C79,Tab_Def_Flows[Name(EN)],Tab_Def_Flows[Flow_ID],,0,)</f>
        <v>N.A.</v>
      </c>
      <c r="C79" s="12" t="s">
        <v>35</v>
      </c>
      <c r="D79" s="10"/>
      <c r="E79" s="10">
        <f>_xlfn.XLOOKUP(C79,Tab_Def_Flows[Name(EN)],Tab_Def_Flows[Output_Process],,0,)</f>
        <v>0</v>
      </c>
      <c r="F79" s="10">
        <f>_xlfn.XLOOKUP(C79,Tab_Def_Flows[Name(EN)],Tab_Def_Flows[Process_ID_O],,0,)</f>
        <v>0</v>
      </c>
      <c r="G79" s="10">
        <f>_xlfn.XLOOKUP(C79,Tab_Def_Flows[Name(EN)],Tab_Def_Flows[Input_Process],,0,)</f>
        <v>0</v>
      </c>
      <c r="H79" s="18">
        <f>_xlfn.XLOOKUP(C79,Tab_Def_Flows[Name(EN)],Tab_Def_Flows[Process_ID_I],,0,)</f>
        <v>0</v>
      </c>
      <c r="I79" s="10" t="e">
        <f>_xlfn.XLOOKUP(C79,Tab_Def_Flows[Name(EN)],#REF!,,0,)</f>
        <v>#REF!</v>
      </c>
      <c r="J79" s="10">
        <f>_xlfn.XLOOKUP(C79,Tab_Def_Flows[Name(EN)],Tab_Def_Flows[WC?],,0,)</f>
        <v>0</v>
      </c>
      <c r="K79" s="10">
        <f>_xlfn.XLOOKUP(C79,Tab_Def_Flows[Name(EN)],Tab_Def_Flows[DM?],,0,)</f>
        <v>0</v>
      </c>
      <c r="L79" s="10">
        <f>_xlfn.XLOOKUP(C79,Tab_Def_Flows[Name(EN)],Tab_Def_Flows[CC?],,0,)</f>
        <v>0</v>
      </c>
      <c r="M79" s="12"/>
      <c r="N79" s="12"/>
      <c r="O79" s="50"/>
      <c r="P79" s="12"/>
      <c r="Q79" s="12"/>
      <c r="R79" s="12" t="e">
        <f>INDEX(#REF!,MATCH(Tab_Data_Flows[[#This Row],[Name(EN)]],#REF!,0),12)</f>
        <v>#REF!</v>
      </c>
      <c r="S79" s="12" t="e">
        <f>MATCH(Tab_Data_Flows[[#This Row],[Name(EN)]],#REF!,0)</f>
        <v>#REF!</v>
      </c>
      <c r="T79" s="12"/>
      <c r="U79" s="12"/>
      <c r="V79" s="12"/>
      <c r="W79" s="12"/>
      <c r="X79" s="12" t="s">
        <v>8</v>
      </c>
      <c r="Y79" s="12"/>
      <c r="Z79" s="12"/>
      <c r="AA79" s="36">
        <f t="shared" si="3"/>
        <v>0</v>
      </c>
      <c r="AB79" s="12" t="s">
        <v>283</v>
      </c>
      <c r="AC79" s="193">
        <f>INDEX(Tab_Def_Flows[[Flow_ID]:[CC_DM_source]],MATCH(Tab_Data_Flows[[#This Row],[Name(EN)]],Tab_Def_Flows[Name(EN)],0),13)</f>
        <v>0</v>
      </c>
      <c r="AD79" s="10" t="str">
        <f>IF(J79="Yes",AA79*Tab_Data_Flows[[#This Row],[WC_'[%']]],"N.A.")</f>
        <v>N.A.</v>
      </c>
      <c r="AE79" s="10" t="str">
        <f>Tab_Data_Flows[[#This Row],[UoM_Flow_Py]]</f>
        <v>Mg</v>
      </c>
      <c r="AF79" s="193">
        <f>INDEX(Tab_Def_Flows[[Flow_ID]:[CC_DM_source]],MATCH(Tab_Data_Flows[[#This Row],[Name(EN)]],Tab_Def_Flows[Name(EN)],0),15)</f>
        <v>0</v>
      </c>
      <c r="AG79" s="10" t="str">
        <f>IF(K79="Yes",AF79*Tab_Data_Flows[[#This Row],[Flow_Py]],"N.A.")</f>
        <v>N.A.</v>
      </c>
      <c r="AH79" s="10" t="str">
        <f>Tab_Data_Flows[[#This Row],[UoM_Flow_Py]]</f>
        <v>Mg</v>
      </c>
      <c r="AI79" s="193">
        <f>INDEX(Tab_Def_Flows[[Flow_ID]:[CC_DM_source]],MATCH(Tab_Data_Flows[[#This Row],[Name(EN)]],Tab_Def_Flows[Name(EN)],0),17)</f>
        <v>0</v>
      </c>
      <c r="AJ79" s="10" t="str">
        <f>IF(L79="Yes",AI79*Tab_Data_Flows[[#This Row],[Flow_Py]]*Tab_Data_Flows[[#This Row],[DM_'[%']]],"N.A.")</f>
        <v>N.A.</v>
      </c>
      <c r="AK79" s="10" t="str">
        <f>Tab_Data_Flows[[#This Row],[UoM_Flow_Py]]</f>
        <v>Mg</v>
      </c>
    </row>
    <row r="80" spans="1:37" x14ac:dyDescent="0.25">
      <c r="A80" s="17">
        <f t="shared" si="2"/>
        <v>79</v>
      </c>
      <c r="B80" s="10" t="str">
        <f>_xlfn.XLOOKUP(C80,Tab_Def_Flows[Name(EN)],Tab_Def_Flows[Flow_ID],,0,)</f>
        <v>N.A.</v>
      </c>
      <c r="C80" s="12" t="s">
        <v>35</v>
      </c>
      <c r="D80" s="10"/>
      <c r="E80" s="10">
        <f>_xlfn.XLOOKUP(C80,Tab_Def_Flows[Name(EN)],Tab_Def_Flows[Output_Process],,0,)</f>
        <v>0</v>
      </c>
      <c r="F80" s="10">
        <f>_xlfn.XLOOKUP(C80,Tab_Def_Flows[Name(EN)],Tab_Def_Flows[Process_ID_O],,0,)</f>
        <v>0</v>
      </c>
      <c r="G80" s="10">
        <f>_xlfn.XLOOKUP(C80,Tab_Def_Flows[Name(EN)],Tab_Def_Flows[Input_Process],,0,)</f>
        <v>0</v>
      </c>
      <c r="H80" s="18">
        <f>_xlfn.XLOOKUP(C80,Tab_Def_Flows[Name(EN)],Tab_Def_Flows[Process_ID_I],,0,)</f>
        <v>0</v>
      </c>
      <c r="I80" s="10" t="e">
        <f>_xlfn.XLOOKUP(C80,Tab_Def_Flows[Name(EN)],#REF!,,0,)</f>
        <v>#REF!</v>
      </c>
      <c r="J80" s="10">
        <f>_xlfn.XLOOKUP(C80,Tab_Def_Flows[Name(EN)],Tab_Def_Flows[WC?],,0,)</f>
        <v>0</v>
      </c>
      <c r="K80" s="10">
        <f>_xlfn.XLOOKUP(C80,Tab_Def_Flows[Name(EN)],Tab_Def_Flows[DM?],,0,)</f>
        <v>0</v>
      </c>
      <c r="L80" s="10">
        <f>_xlfn.XLOOKUP(C80,Tab_Def_Flows[Name(EN)],Tab_Def_Flows[CC?],,0,)</f>
        <v>0</v>
      </c>
      <c r="M80" s="12"/>
      <c r="N80" s="12"/>
      <c r="O80" s="50"/>
      <c r="P80" s="12"/>
      <c r="Q80" s="12"/>
      <c r="R80" s="12" t="e">
        <f>INDEX(#REF!,MATCH(Tab_Data_Flows[[#This Row],[Name(EN)]],#REF!,0),12)</f>
        <v>#REF!</v>
      </c>
      <c r="S80" s="12" t="e">
        <f>MATCH(Tab_Data_Flows[[#This Row],[Name(EN)]],#REF!,0)</f>
        <v>#REF!</v>
      </c>
      <c r="T80" s="12"/>
      <c r="U80" s="12"/>
      <c r="V80" s="12"/>
      <c r="W80" s="12"/>
      <c r="X80" s="12" t="s">
        <v>8</v>
      </c>
      <c r="Y80" s="12"/>
      <c r="Z80" s="12"/>
      <c r="AA80" s="36">
        <f t="shared" si="3"/>
        <v>0</v>
      </c>
      <c r="AB80" s="12" t="s">
        <v>283</v>
      </c>
      <c r="AC80" s="193">
        <f>INDEX(Tab_Def_Flows[[Flow_ID]:[CC_DM_source]],MATCH(Tab_Data_Flows[[#This Row],[Name(EN)]],Tab_Def_Flows[Name(EN)],0),13)</f>
        <v>0</v>
      </c>
      <c r="AD80" s="10" t="str">
        <f>IF(J80="Yes",AA80*Tab_Data_Flows[[#This Row],[WC_'[%']]],"N.A.")</f>
        <v>N.A.</v>
      </c>
      <c r="AE80" s="10" t="str">
        <f>Tab_Data_Flows[[#This Row],[UoM_Flow_Py]]</f>
        <v>Mg</v>
      </c>
      <c r="AF80" s="193">
        <f>INDEX(Tab_Def_Flows[[Flow_ID]:[CC_DM_source]],MATCH(Tab_Data_Flows[[#This Row],[Name(EN)]],Tab_Def_Flows[Name(EN)],0),15)</f>
        <v>0</v>
      </c>
      <c r="AG80" s="10" t="str">
        <f>IF(K80="Yes",AF80*Tab_Data_Flows[[#This Row],[Flow_Py]],"N.A.")</f>
        <v>N.A.</v>
      </c>
      <c r="AH80" s="10" t="str">
        <f>Tab_Data_Flows[[#This Row],[UoM_Flow_Py]]</f>
        <v>Mg</v>
      </c>
      <c r="AI80" s="193">
        <f>INDEX(Tab_Def_Flows[[Flow_ID]:[CC_DM_source]],MATCH(Tab_Data_Flows[[#This Row],[Name(EN)]],Tab_Def_Flows[Name(EN)],0),17)</f>
        <v>0</v>
      </c>
      <c r="AJ80" s="10" t="str">
        <f>IF(L80="Yes",AI80*Tab_Data_Flows[[#This Row],[Flow_Py]]*Tab_Data_Flows[[#This Row],[DM_'[%']]],"N.A.")</f>
        <v>N.A.</v>
      </c>
      <c r="AK80" s="10" t="str">
        <f>Tab_Data_Flows[[#This Row],[UoM_Flow_Py]]</f>
        <v>Mg</v>
      </c>
    </row>
    <row r="81" spans="1:37" x14ac:dyDescent="0.25">
      <c r="A81" s="17">
        <f t="shared" si="2"/>
        <v>80</v>
      </c>
      <c r="B81" s="10" t="str">
        <f>_xlfn.XLOOKUP(C81,Tab_Def_Flows[Name(EN)],Tab_Def_Flows[Flow_ID],,0,)</f>
        <v>N.A.</v>
      </c>
      <c r="C81" s="12" t="s">
        <v>35</v>
      </c>
      <c r="D81" s="10"/>
      <c r="E81" s="10">
        <f>_xlfn.XLOOKUP(C81,Tab_Def_Flows[Name(EN)],Tab_Def_Flows[Output_Process],,0,)</f>
        <v>0</v>
      </c>
      <c r="F81" s="10">
        <f>_xlfn.XLOOKUP(C81,Tab_Def_Flows[Name(EN)],Tab_Def_Flows[Process_ID_O],,0,)</f>
        <v>0</v>
      </c>
      <c r="G81" s="10">
        <f>_xlfn.XLOOKUP(C81,Tab_Def_Flows[Name(EN)],Tab_Def_Flows[Input_Process],,0,)</f>
        <v>0</v>
      </c>
      <c r="H81" s="18">
        <f>_xlfn.XLOOKUP(C81,Tab_Def_Flows[Name(EN)],Tab_Def_Flows[Process_ID_I],,0,)</f>
        <v>0</v>
      </c>
      <c r="I81" s="10" t="e">
        <f>_xlfn.XLOOKUP(C81,Tab_Def_Flows[Name(EN)],#REF!,,0,)</f>
        <v>#REF!</v>
      </c>
      <c r="J81" s="10">
        <f>_xlfn.XLOOKUP(C81,Tab_Def_Flows[Name(EN)],Tab_Def_Flows[WC?],,0,)</f>
        <v>0</v>
      </c>
      <c r="K81" s="10">
        <f>_xlfn.XLOOKUP(C81,Tab_Def_Flows[Name(EN)],Tab_Def_Flows[DM?],,0,)</f>
        <v>0</v>
      </c>
      <c r="L81" s="10">
        <f>_xlfn.XLOOKUP(C81,Tab_Def_Flows[Name(EN)],Tab_Def_Flows[CC?],,0,)</f>
        <v>0</v>
      </c>
      <c r="M81" s="12"/>
      <c r="N81" s="12"/>
      <c r="O81" s="50"/>
      <c r="P81" s="12"/>
      <c r="Q81" s="12"/>
      <c r="R81" s="12" t="e">
        <f>INDEX(#REF!,MATCH(Tab_Data_Flows[[#This Row],[Name(EN)]],#REF!,0),12)</f>
        <v>#REF!</v>
      </c>
      <c r="S81" s="12" t="e">
        <f>MATCH(Tab_Data_Flows[[#This Row],[Name(EN)]],#REF!,0)</f>
        <v>#REF!</v>
      </c>
      <c r="T81" s="12"/>
      <c r="U81" s="12"/>
      <c r="V81" s="12"/>
      <c r="W81" s="12"/>
      <c r="X81" s="12" t="s">
        <v>8</v>
      </c>
      <c r="Y81" s="12"/>
      <c r="Z81" s="12"/>
      <c r="AA81" s="36">
        <f t="shared" si="3"/>
        <v>0</v>
      </c>
      <c r="AB81" s="12" t="s">
        <v>283</v>
      </c>
      <c r="AC81" s="193">
        <f>INDEX(Tab_Def_Flows[[Flow_ID]:[CC_DM_source]],MATCH(Tab_Data_Flows[[#This Row],[Name(EN)]],Tab_Def_Flows[Name(EN)],0),13)</f>
        <v>0</v>
      </c>
      <c r="AD81" s="10" t="str">
        <f>IF(J81="Yes",AA81*Tab_Data_Flows[[#This Row],[WC_'[%']]],"N.A.")</f>
        <v>N.A.</v>
      </c>
      <c r="AE81" s="10" t="str">
        <f>Tab_Data_Flows[[#This Row],[UoM_Flow_Py]]</f>
        <v>Mg</v>
      </c>
      <c r="AF81" s="193">
        <f>INDEX(Tab_Def_Flows[[Flow_ID]:[CC_DM_source]],MATCH(Tab_Data_Flows[[#This Row],[Name(EN)]],Tab_Def_Flows[Name(EN)],0),15)</f>
        <v>0</v>
      </c>
      <c r="AG81" s="10" t="str">
        <f>IF(K81="Yes",AF81*Tab_Data_Flows[[#This Row],[Flow_Py]],"N.A.")</f>
        <v>N.A.</v>
      </c>
      <c r="AH81" s="10" t="str">
        <f>Tab_Data_Flows[[#This Row],[UoM_Flow_Py]]</f>
        <v>Mg</v>
      </c>
      <c r="AI81" s="193">
        <f>INDEX(Tab_Def_Flows[[Flow_ID]:[CC_DM_source]],MATCH(Tab_Data_Flows[[#This Row],[Name(EN)]],Tab_Def_Flows[Name(EN)],0),17)</f>
        <v>0</v>
      </c>
      <c r="AJ81" s="10" t="str">
        <f>IF(L81="Yes",AI81*Tab_Data_Flows[[#This Row],[Flow_Py]]*Tab_Data_Flows[[#This Row],[DM_'[%']]],"N.A.")</f>
        <v>N.A.</v>
      </c>
      <c r="AK81" s="10" t="str">
        <f>Tab_Data_Flows[[#This Row],[UoM_Flow_Py]]</f>
        <v>Mg</v>
      </c>
    </row>
    <row r="82" spans="1:37" x14ac:dyDescent="0.25">
      <c r="A82" s="17">
        <f t="shared" si="2"/>
        <v>81</v>
      </c>
      <c r="B82" s="10" t="str">
        <f>_xlfn.XLOOKUP(C82,Tab_Def_Flows[Name(EN)],Tab_Def_Flows[Flow_ID],,0,)</f>
        <v>N.A.</v>
      </c>
      <c r="C82" s="12" t="s">
        <v>35</v>
      </c>
      <c r="D82" s="10"/>
      <c r="E82" s="10">
        <f>_xlfn.XLOOKUP(C82,Tab_Def_Flows[Name(EN)],Tab_Def_Flows[Output_Process],,0,)</f>
        <v>0</v>
      </c>
      <c r="F82" s="10">
        <f>_xlfn.XLOOKUP(C82,Tab_Def_Flows[Name(EN)],Tab_Def_Flows[Process_ID_O],,0,)</f>
        <v>0</v>
      </c>
      <c r="G82" s="10">
        <f>_xlfn.XLOOKUP(C82,Tab_Def_Flows[Name(EN)],Tab_Def_Flows[Input_Process],,0,)</f>
        <v>0</v>
      </c>
      <c r="H82" s="18">
        <f>_xlfn.XLOOKUP(C82,Tab_Def_Flows[Name(EN)],Tab_Def_Flows[Process_ID_I],,0,)</f>
        <v>0</v>
      </c>
      <c r="I82" s="10" t="e">
        <f>_xlfn.XLOOKUP(C82,Tab_Def_Flows[Name(EN)],#REF!,,0,)</f>
        <v>#REF!</v>
      </c>
      <c r="J82" s="10">
        <f>_xlfn.XLOOKUP(C82,Tab_Def_Flows[Name(EN)],Tab_Def_Flows[WC?],,0,)</f>
        <v>0</v>
      </c>
      <c r="K82" s="10">
        <f>_xlfn.XLOOKUP(C82,Tab_Def_Flows[Name(EN)],Tab_Def_Flows[DM?],,0,)</f>
        <v>0</v>
      </c>
      <c r="L82" s="10">
        <f>_xlfn.XLOOKUP(C82,Tab_Def_Flows[Name(EN)],Tab_Def_Flows[CC?],,0,)</f>
        <v>0</v>
      </c>
      <c r="M82" s="12"/>
      <c r="N82" s="12"/>
      <c r="O82" s="50"/>
      <c r="P82" s="12"/>
      <c r="Q82" s="12"/>
      <c r="R82" s="12" t="e">
        <f>INDEX(#REF!,MATCH(Tab_Data_Flows[[#This Row],[Name(EN)]],#REF!,0),12)</f>
        <v>#REF!</v>
      </c>
      <c r="S82" s="12" t="e">
        <f>MATCH(Tab_Data_Flows[[#This Row],[Name(EN)]],#REF!,0)</f>
        <v>#REF!</v>
      </c>
      <c r="T82" s="12"/>
      <c r="U82" s="12"/>
      <c r="V82" s="12"/>
      <c r="W82" s="12"/>
      <c r="X82" s="12" t="s">
        <v>8</v>
      </c>
      <c r="Y82" s="12"/>
      <c r="Z82" s="12"/>
      <c r="AA82" s="36">
        <f t="shared" si="3"/>
        <v>0</v>
      </c>
      <c r="AB82" s="12" t="s">
        <v>283</v>
      </c>
      <c r="AC82" s="193">
        <f>INDEX(Tab_Def_Flows[[Flow_ID]:[CC_DM_source]],MATCH(Tab_Data_Flows[[#This Row],[Name(EN)]],Tab_Def_Flows[Name(EN)],0),13)</f>
        <v>0</v>
      </c>
      <c r="AD82" s="10" t="str">
        <f>IF(J82="Yes",AA82*Tab_Data_Flows[[#This Row],[WC_'[%']]],"N.A.")</f>
        <v>N.A.</v>
      </c>
      <c r="AE82" s="10" t="str">
        <f>Tab_Data_Flows[[#This Row],[UoM_Flow_Py]]</f>
        <v>Mg</v>
      </c>
      <c r="AF82" s="193">
        <f>INDEX(Tab_Def_Flows[[Flow_ID]:[CC_DM_source]],MATCH(Tab_Data_Flows[[#This Row],[Name(EN)]],Tab_Def_Flows[Name(EN)],0),15)</f>
        <v>0</v>
      </c>
      <c r="AG82" s="10" t="str">
        <f>IF(K82="Yes",AF82*Tab_Data_Flows[[#This Row],[Flow_Py]],"N.A.")</f>
        <v>N.A.</v>
      </c>
      <c r="AH82" s="10" t="str">
        <f>Tab_Data_Flows[[#This Row],[UoM_Flow_Py]]</f>
        <v>Mg</v>
      </c>
      <c r="AI82" s="193">
        <f>INDEX(Tab_Def_Flows[[Flow_ID]:[CC_DM_source]],MATCH(Tab_Data_Flows[[#This Row],[Name(EN)]],Tab_Def_Flows[Name(EN)],0),17)</f>
        <v>0</v>
      </c>
      <c r="AJ82" s="10" t="str">
        <f>IF(L82="Yes",AI82*Tab_Data_Flows[[#This Row],[Flow_Py]]*Tab_Data_Flows[[#This Row],[DM_'[%']]],"N.A.")</f>
        <v>N.A.</v>
      </c>
      <c r="AK82" s="10" t="str">
        <f>Tab_Data_Flows[[#This Row],[UoM_Flow_Py]]</f>
        <v>Mg</v>
      </c>
    </row>
    <row r="83" spans="1:37" x14ac:dyDescent="0.25">
      <c r="A83" s="17">
        <f t="shared" si="2"/>
        <v>82</v>
      </c>
      <c r="B83" s="10" t="str">
        <f>_xlfn.XLOOKUP(C83,Tab_Def_Flows[Name(EN)],Tab_Def_Flows[Flow_ID],,0,)</f>
        <v>N.A.</v>
      </c>
      <c r="C83" s="12" t="s">
        <v>35</v>
      </c>
      <c r="D83" s="10"/>
      <c r="E83" s="10">
        <f>_xlfn.XLOOKUP(C83,Tab_Def_Flows[Name(EN)],Tab_Def_Flows[Output_Process],,0,)</f>
        <v>0</v>
      </c>
      <c r="F83" s="10">
        <f>_xlfn.XLOOKUP(C83,Tab_Def_Flows[Name(EN)],Tab_Def_Flows[Process_ID_O],,0,)</f>
        <v>0</v>
      </c>
      <c r="G83" s="10">
        <f>_xlfn.XLOOKUP(C83,Tab_Def_Flows[Name(EN)],Tab_Def_Flows[Input_Process],,0,)</f>
        <v>0</v>
      </c>
      <c r="H83" s="18">
        <f>_xlfn.XLOOKUP(C83,Tab_Def_Flows[Name(EN)],Tab_Def_Flows[Process_ID_I],,0,)</f>
        <v>0</v>
      </c>
      <c r="I83" s="10" t="e">
        <f>_xlfn.XLOOKUP(C83,Tab_Def_Flows[Name(EN)],#REF!,,0,)</f>
        <v>#REF!</v>
      </c>
      <c r="J83" s="10">
        <f>_xlfn.XLOOKUP(C83,Tab_Def_Flows[Name(EN)],Tab_Def_Flows[WC?],,0,)</f>
        <v>0</v>
      </c>
      <c r="K83" s="10">
        <f>_xlfn.XLOOKUP(C83,Tab_Def_Flows[Name(EN)],Tab_Def_Flows[DM?],,0,)</f>
        <v>0</v>
      </c>
      <c r="L83" s="10">
        <f>_xlfn.XLOOKUP(C83,Tab_Def_Flows[Name(EN)],Tab_Def_Flows[CC?],,0,)</f>
        <v>0</v>
      </c>
      <c r="M83" s="12"/>
      <c r="N83" s="12"/>
      <c r="O83" s="50"/>
      <c r="P83" s="12"/>
      <c r="Q83" s="12"/>
      <c r="R83" s="12" t="e">
        <f>INDEX(#REF!,MATCH(Tab_Data_Flows[[#This Row],[Name(EN)]],#REF!,0),12)</f>
        <v>#REF!</v>
      </c>
      <c r="S83" s="12" t="e">
        <f>MATCH(Tab_Data_Flows[[#This Row],[Name(EN)]],#REF!,0)</f>
        <v>#REF!</v>
      </c>
      <c r="T83" s="12"/>
      <c r="U83" s="12"/>
      <c r="V83" s="12"/>
      <c r="W83" s="12"/>
      <c r="X83" s="12" t="s">
        <v>8</v>
      </c>
      <c r="Y83" s="12"/>
      <c r="Z83" s="12"/>
      <c r="AA83" s="36">
        <f t="shared" si="3"/>
        <v>0</v>
      </c>
      <c r="AB83" s="12" t="s">
        <v>283</v>
      </c>
      <c r="AC83" s="193">
        <f>INDEX(Tab_Def_Flows[[Flow_ID]:[CC_DM_source]],MATCH(Tab_Data_Flows[[#This Row],[Name(EN)]],Tab_Def_Flows[Name(EN)],0),13)</f>
        <v>0</v>
      </c>
      <c r="AD83" s="10" t="str">
        <f>IF(J83="Yes",AA83*Tab_Data_Flows[[#This Row],[WC_'[%']]],"N.A.")</f>
        <v>N.A.</v>
      </c>
      <c r="AE83" s="10" t="str">
        <f>Tab_Data_Flows[[#This Row],[UoM_Flow_Py]]</f>
        <v>Mg</v>
      </c>
      <c r="AF83" s="193">
        <f>INDEX(Tab_Def_Flows[[Flow_ID]:[CC_DM_source]],MATCH(Tab_Data_Flows[[#This Row],[Name(EN)]],Tab_Def_Flows[Name(EN)],0),15)</f>
        <v>0</v>
      </c>
      <c r="AG83" s="10" t="str">
        <f>IF(K83="Yes",AF83*Tab_Data_Flows[[#This Row],[Flow_Py]],"N.A.")</f>
        <v>N.A.</v>
      </c>
      <c r="AH83" s="10" t="str">
        <f>Tab_Data_Flows[[#This Row],[UoM_Flow_Py]]</f>
        <v>Mg</v>
      </c>
      <c r="AI83" s="193">
        <f>INDEX(Tab_Def_Flows[[Flow_ID]:[CC_DM_source]],MATCH(Tab_Data_Flows[[#This Row],[Name(EN)]],Tab_Def_Flows[Name(EN)],0),17)</f>
        <v>0</v>
      </c>
      <c r="AJ83" s="10" t="str">
        <f>IF(L83="Yes",AI83*Tab_Data_Flows[[#This Row],[Flow_Py]]*Tab_Data_Flows[[#This Row],[DM_'[%']]],"N.A.")</f>
        <v>N.A.</v>
      </c>
      <c r="AK83" s="10" t="str">
        <f>Tab_Data_Flows[[#This Row],[UoM_Flow_Py]]</f>
        <v>Mg</v>
      </c>
    </row>
    <row r="84" spans="1:37" x14ac:dyDescent="0.25">
      <c r="A84" s="17">
        <f t="shared" si="2"/>
        <v>83</v>
      </c>
      <c r="B84" s="10" t="str">
        <f>_xlfn.XLOOKUP(C84,Tab_Def_Flows[Name(EN)],Tab_Def_Flows[Flow_ID],,0,)</f>
        <v>N.A.</v>
      </c>
      <c r="C84" s="12" t="s">
        <v>35</v>
      </c>
      <c r="D84" s="10"/>
      <c r="E84" s="10">
        <f>_xlfn.XLOOKUP(C84,Tab_Def_Flows[Name(EN)],Tab_Def_Flows[Output_Process],,0,)</f>
        <v>0</v>
      </c>
      <c r="F84" s="10">
        <f>_xlfn.XLOOKUP(C84,Tab_Def_Flows[Name(EN)],Tab_Def_Flows[Process_ID_O],,0,)</f>
        <v>0</v>
      </c>
      <c r="G84" s="10">
        <f>_xlfn.XLOOKUP(C84,Tab_Def_Flows[Name(EN)],Tab_Def_Flows[Input_Process],,0,)</f>
        <v>0</v>
      </c>
      <c r="H84" s="18">
        <f>_xlfn.XLOOKUP(C84,Tab_Def_Flows[Name(EN)],Tab_Def_Flows[Process_ID_I],,0,)</f>
        <v>0</v>
      </c>
      <c r="I84" s="10" t="e">
        <f>_xlfn.XLOOKUP(C84,Tab_Def_Flows[Name(EN)],#REF!,,0,)</f>
        <v>#REF!</v>
      </c>
      <c r="J84" s="10">
        <f>_xlfn.XLOOKUP(C84,Tab_Def_Flows[Name(EN)],Tab_Def_Flows[WC?],,0,)</f>
        <v>0</v>
      </c>
      <c r="K84" s="10">
        <f>_xlfn.XLOOKUP(C84,Tab_Def_Flows[Name(EN)],Tab_Def_Flows[DM?],,0,)</f>
        <v>0</v>
      </c>
      <c r="L84" s="10">
        <f>_xlfn.XLOOKUP(C84,Tab_Def_Flows[Name(EN)],Tab_Def_Flows[CC?],,0,)</f>
        <v>0</v>
      </c>
      <c r="M84" s="12"/>
      <c r="N84" s="12"/>
      <c r="O84" s="50"/>
      <c r="P84" s="12"/>
      <c r="Q84" s="12"/>
      <c r="R84" s="12" t="e">
        <f>INDEX(#REF!,MATCH(Tab_Data_Flows[[#This Row],[Name(EN)]],#REF!,0),12)</f>
        <v>#REF!</v>
      </c>
      <c r="S84" s="12" t="e">
        <f>MATCH(Tab_Data_Flows[[#This Row],[Name(EN)]],#REF!,0)</f>
        <v>#REF!</v>
      </c>
      <c r="T84" s="12"/>
      <c r="U84" s="12"/>
      <c r="V84" s="12"/>
      <c r="W84" s="12"/>
      <c r="X84" s="12" t="s">
        <v>8</v>
      </c>
      <c r="Y84" s="12"/>
      <c r="Z84" s="12"/>
      <c r="AA84" s="36">
        <f t="shared" si="3"/>
        <v>0</v>
      </c>
      <c r="AB84" s="12" t="s">
        <v>283</v>
      </c>
      <c r="AC84" s="193">
        <f>INDEX(Tab_Def_Flows[[Flow_ID]:[CC_DM_source]],MATCH(Tab_Data_Flows[[#This Row],[Name(EN)]],Tab_Def_Flows[Name(EN)],0),13)</f>
        <v>0</v>
      </c>
      <c r="AD84" s="10" t="str">
        <f>IF(J84="Yes",AA84*Tab_Data_Flows[[#This Row],[WC_'[%']]],"N.A.")</f>
        <v>N.A.</v>
      </c>
      <c r="AE84" s="10" t="str">
        <f>Tab_Data_Flows[[#This Row],[UoM_Flow_Py]]</f>
        <v>Mg</v>
      </c>
      <c r="AF84" s="193">
        <f>INDEX(Tab_Def_Flows[[Flow_ID]:[CC_DM_source]],MATCH(Tab_Data_Flows[[#This Row],[Name(EN)]],Tab_Def_Flows[Name(EN)],0),15)</f>
        <v>0</v>
      </c>
      <c r="AG84" s="10" t="str">
        <f>IF(K84="Yes",AF84*Tab_Data_Flows[[#This Row],[Flow_Py]],"N.A.")</f>
        <v>N.A.</v>
      </c>
      <c r="AH84" s="10" t="str">
        <f>Tab_Data_Flows[[#This Row],[UoM_Flow_Py]]</f>
        <v>Mg</v>
      </c>
      <c r="AI84" s="193">
        <f>INDEX(Tab_Def_Flows[[Flow_ID]:[CC_DM_source]],MATCH(Tab_Data_Flows[[#This Row],[Name(EN)]],Tab_Def_Flows[Name(EN)],0),17)</f>
        <v>0</v>
      </c>
      <c r="AJ84" s="10" t="str">
        <f>IF(L84="Yes",AI84*Tab_Data_Flows[[#This Row],[Flow_Py]]*Tab_Data_Flows[[#This Row],[DM_'[%']]],"N.A.")</f>
        <v>N.A.</v>
      </c>
      <c r="AK84" s="10" t="str">
        <f>Tab_Data_Flows[[#This Row],[UoM_Flow_Py]]</f>
        <v>Mg</v>
      </c>
    </row>
    <row r="85" spans="1:37" x14ac:dyDescent="0.25">
      <c r="A85" s="17">
        <f t="shared" si="2"/>
        <v>84</v>
      </c>
      <c r="B85" s="10" t="str">
        <f>_xlfn.XLOOKUP(C85,Tab_Def_Flows[Name(EN)],Tab_Def_Flows[Flow_ID],,0,)</f>
        <v>N.A.</v>
      </c>
      <c r="C85" s="12" t="s">
        <v>35</v>
      </c>
      <c r="D85" s="10"/>
      <c r="E85" s="10">
        <f>_xlfn.XLOOKUP(C85,Tab_Def_Flows[Name(EN)],Tab_Def_Flows[Output_Process],,0,)</f>
        <v>0</v>
      </c>
      <c r="F85" s="10">
        <f>_xlfn.XLOOKUP(C85,Tab_Def_Flows[Name(EN)],Tab_Def_Flows[Process_ID_O],,0,)</f>
        <v>0</v>
      </c>
      <c r="G85" s="10">
        <f>_xlfn.XLOOKUP(C85,Tab_Def_Flows[Name(EN)],Tab_Def_Flows[Input_Process],,0,)</f>
        <v>0</v>
      </c>
      <c r="H85" s="18">
        <f>_xlfn.XLOOKUP(C85,Tab_Def_Flows[Name(EN)],Tab_Def_Flows[Process_ID_I],,0,)</f>
        <v>0</v>
      </c>
      <c r="I85" s="10" t="e">
        <f>_xlfn.XLOOKUP(C85,Tab_Def_Flows[Name(EN)],#REF!,,0,)</f>
        <v>#REF!</v>
      </c>
      <c r="J85" s="10">
        <f>_xlfn.XLOOKUP(C85,Tab_Def_Flows[Name(EN)],Tab_Def_Flows[WC?],,0,)</f>
        <v>0</v>
      </c>
      <c r="K85" s="10">
        <f>_xlfn.XLOOKUP(C85,Tab_Def_Flows[Name(EN)],Tab_Def_Flows[DM?],,0,)</f>
        <v>0</v>
      </c>
      <c r="L85" s="10">
        <f>_xlfn.XLOOKUP(C85,Tab_Def_Flows[Name(EN)],Tab_Def_Flows[CC?],,0,)</f>
        <v>0</v>
      </c>
      <c r="M85" s="12"/>
      <c r="N85" s="12"/>
      <c r="O85" s="50"/>
      <c r="P85" s="12"/>
      <c r="Q85" s="12"/>
      <c r="R85" s="12" t="e">
        <f>INDEX(#REF!,MATCH(Tab_Data_Flows[[#This Row],[Name(EN)]],#REF!,0),12)</f>
        <v>#REF!</v>
      </c>
      <c r="S85" s="12" t="e">
        <f>MATCH(Tab_Data_Flows[[#This Row],[Name(EN)]],#REF!,0)</f>
        <v>#REF!</v>
      </c>
      <c r="T85" s="12"/>
      <c r="U85" s="12"/>
      <c r="V85" s="12"/>
      <c r="W85" s="12"/>
      <c r="X85" s="12" t="s">
        <v>8</v>
      </c>
      <c r="Y85" s="12"/>
      <c r="Z85" s="12"/>
      <c r="AA85" s="36">
        <f t="shared" si="3"/>
        <v>0</v>
      </c>
      <c r="AB85" s="12" t="s">
        <v>283</v>
      </c>
      <c r="AC85" s="193">
        <f>INDEX(Tab_Def_Flows[[Flow_ID]:[CC_DM_source]],MATCH(Tab_Data_Flows[[#This Row],[Name(EN)]],Tab_Def_Flows[Name(EN)],0),13)</f>
        <v>0</v>
      </c>
      <c r="AD85" s="10" t="str">
        <f>IF(J85="Yes",AA85*Tab_Data_Flows[[#This Row],[WC_'[%']]],"N.A.")</f>
        <v>N.A.</v>
      </c>
      <c r="AE85" s="10" t="str">
        <f>Tab_Data_Flows[[#This Row],[UoM_Flow_Py]]</f>
        <v>Mg</v>
      </c>
      <c r="AF85" s="193">
        <f>INDEX(Tab_Def_Flows[[Flow_ID]:[CC_DM_source]],MATCH(Tab_Data_Flows[[#This Row],[Name(EN)]],Tab_Def_Flows[Name(EN)],0),15)</f>
        <v>0</v>
      </c>
      <c r="AG85" s="10" t="str">
        <f>IF(K85="Yes",AF85*Tab_Data_Flows[[#This Row],[Flow_Py]],"N.A.")</f>
        <v>N.A.</v>
      </c>
      <c r="AH85" s="10" t="str">
        <f>Tab_Data_Flows[[#This Row],[UoM_Flow_Py]]</f>
        <v>Mg</v>
      </c>
      <c r="AI85" s="193">
        <f>INDEX(Tab_Def_Flows[[Flow_ID]:[CC_DM_source]],MATCH(Tab_Data_Flows[[#This Row],[Name(EN)]],Tab_Def_Flows[Name(EN)],0),17)</f>
        <v>0</v>
      </c>
      <c r="AJ85" s="10" t="str">
        <f>IF(L85="Yes",AI85*Tab_Data_Flows[[#This Row],[Flow_Py]]*Tab_Data_Flows[[#This Row],[DM_'[%']]],"N.A.")</f>
        <v>N.A.</v>
      </c>
      <c r="AK85" s="10" t="str">
        <f>Tab_Data_Flows[[#This Row],[UoM_Flow_Py]]</f>
        <v>Mg</v>
      </c>
    </row>
    <row r="86" spans="1:37" x14ac:dyDescent="0.25">
      <c r="A86" s="17">
        <f t="shared" si="2"/>
        <v>85</v>
      </c>
      <c r="B86" s="10" t="str">
        <f>_xlfn.XLOOKUP(C86,Tab_Def_Flows[Name(EN)],Tab_Def_Flows[Flow_ID],,0,)</f>
        <v>N.A.</v>
      </c>
      <c r="C86" s="12" t="s">
        <v>35</v>
      </c>
      <c r="D86" s="10"/>
      <c r="E86" s="10">
        <f>_xlfn.XLOOKUP(C86,Tab_Def_Flows[Name(EN)],Tab_Def_Flows[Output_Process],,0,)</f>
        <v>0</v>
      </c>
      <c r="F86" s="10">
        <f>_xlfn.XLOOKUP(C86,Tab_Def_Flows[Name(EN)],Tab_Def_Flows[Process_ID_O],,0,)</f>
        <v>0</v>
      </c>
      <c r="G86" s="10">
        <f>_xlfn.XLOOKUP(C86,Tab_Def_Flows[Name(EN)],Tab_Def_Flows[Input_Process],,0,)</f>
        <v>0</v>
      </c>
      <c r="H86" s="18">
        <f>_xlfn.XLOOKUP(C86,Tab_Def_Flows[Name(EN)],Tab_Def_Flows[Process_ID_I],,0,)</f>
        <v>0</v>
      </c>
      <c r="I86" s="10" t="e">
        <f>_xlfn.XLOOKUP(C86,Tab_Def_Flows[Name(EN)],#REF!,,0,)</f>
        <v>#REF!</v>
      </c>
      <c r="J86" s="10">
        <f>_xlfn.XLOOKUP(C86,Tab_Def_Flows[Name(EN)],Tab_Def_Flows[WC?],,0,)</f>
        <v>0</v>
      </c>
      <c r="K86" s="10">
        <f>_xlfn.XLOOKUP(C86,Tab_Def_Flows[Name(EN)],Tab_Def_Flows[DM?],,0,)</f>
        <v>0</v>
      </c>
      <c r="L86" s="10">
        <f>_xlfn.XLOOKUP(C86,Tab_Def_Flows[Name(EN)],Tab_Def_Flows[CC?],,0,)</f>
        <v>0</v>
      </c>
      <c r="M86" s="12"/>
      <c r="N86" s="12"/>
      <c r="O86" s="50"/>
      <c r="P86" s="12"/>
      <c r="Q86" s="12"/>
      <c r="R86" s="12" t="e">
        <f>INDEX(#REF!,MATCH(Tab_Data_Flows[[#This Row],[Name(EN)]],#REF!,0),12)</f>
        <v>#REF!</v>
      </c>
      <c r="S86" s="12" t="e">
        <f>MATCH(Tab_Data_Flows[[#This Row],[Name(EN)]],#REF!,0)</f>
        <v>#REF!</v>
      </c>
      <c r="T86" s="12"/>
      <c r="U86" s="12"/>
      <c r="V86" s="12"/>
      <c r="W86" s="12"/>
      <c r="X86" s="12" t="s">
        <v>8</v>
      </c>
      <c r="Y86" s="12"/>
      <c r="Z86" s="12"/>
      <c r="AA86" s="36">
        <f t="shared" si="3"/>
        <v>0</v>
      </c>
      <c r="AB86" s="12" t="s">
        <v>283</v>
      </c>
      <c r="AC86" s="193">
        <f>INDEX(Tab_Def_Flows[[Flow_ID]:[CC_DM_source]],MATCH(Tab_Data_Flows[[#This Row],[Name(EN)]],Tab_Def_Flows[Name(EN)],0),13)</f>
        <v>0</v>
      </c>
      <c r="AD86" s="10" t="str">
        <f>IF(J86="Yes",AA86*Tab_Data_Flows[[#This Row],[WC_'[%']]],"N.A.")</f>
        <v>N.A.</v>
      </c>
      <c r="AE86" s="10" t="str">
        <f>Tab_Data_Flows[[#This Row],[UoM_Flow_Py]]</f>
        <v>Mg</v>
      </c>
      <c r="AF86" s="193">
        <f>INDEX(Tab_Def_Flows[[Flow_ID]:[CC_DM_source]],MATCH(Tab_Data_Flows[[#This Row],[Name(EN)]],Tab_Def_Flows[Name(EN)],0),15)</f>
        <v>0</v>
      </c>
      <c r="AG86" s="10" t="str">
        <f>IF(K86="Yes",AF86*Tab_Data_Flows[[#This Row],[Flow_Py]],"N.A.")</f>
        <v>N.A.</v>
      </c>
      <c r="AH86" s="10" t="str">
        <f>Tab_Data_Flows[[#This Row],[UoM_Flow_Py]]</f>
        <v>Mg</v>
      </c>
      <c r="AI86" s="193">
        <f>INDEX(Tab_Def_Flows[[Flow_ID]:[CC_DM_source]],MATCH(Tab_Data_Flows[[#This Row],[Name(EN)]],Tab_Def_Flows[Name(EN)],0),17)</f>
        <v>0</v>
      </c>
      <c r="AJ86" s="10" t="str">
        <f>IF(L86="Yes",AI86*Tab_Data_Flows[[#This Row],[Flow_Py]]*Tab_Data_Flows[[#This Row],[DM_'[%']]],"N.A.")</f>
        <v>N.A.</v>
      </c>
      <c r="AK86" s="10" t="str">
        <f>Tab_Data_Flows[[#This Row],[UoM_Flow_Py]]</f>
        <v>Mg</v>
      </c>
    </row>
    <row r="87" spans="1:37" x14ac:dyDescent="0.25">
      <c r="A87" s="17">
        <f t="shared" si="2"/>
        <v>86</v>
      </c>
      <c r="B87" s="10" t="str">
        <f>_xlfn.XLOOKUP(C87,Tab_Def_Flows[Name(EN)],Tab_Def_Flows[Flow_ID],,0,)</f>
        <v>N.A.</v>
      </c>
      <c r="C87" s="12" t="s">
        <v>35</v>
      </c>
      <c r="D87" s="10"/>
      <c r="E87" s="10">
        <f>_xlfn.XLOOKUP(C87,Tab_Def_Flows[Name(EN)],Tab_Def_Flows[Output_Process],,0,)</f>
        <v>0</v>
      </c>
      <c r="F87" s="10">
        <f>_xlfn.XLOOKUP(C87,Tab_Def_Flows[Name(EN)],Tab_Def_Flows[Process_ID_O],,0,)</f>
        <v>0</v>
      </c>
      <c r="G87" s="10">
        <f>_xlfn.XLOOKUP(C87,Tab_Def_Flows[Name(EN)],Tab_Def_Flows[Input_Process],,0,)</f>
        <v>0</v>
      </c>
      <c r="H87" s="18">
        <f>_xlfn.XLOOKUP(C87,Tab_Def_Flows[Name(EN)],Tab_Def_Flows[Process_ID_I],,0,)</f>
        <v>0</v>
      </c>
      <c r="I87" s="10" t="e">
        <f>_xlfn.XLOOKUP(C87,Tab_Def_Flows[Name(EN)],#REF!,,0,)</f>
        <v>#REF!</v>
      </c>
      <c r="J87" s="10">
        <f>_xlfn.XLOOKUP(C87,Tab_Def_Flows[Name(EN)],Tab_Def_Flows[WC?],,0,)</f>
        <v>0</v>
      </c>
      <c r="K87" s="10">
        <f>_xlfn.XLOOKUP(C87,Tab_Def_Flows[Name(EN)],Tab_Def_Flows[DM?],,0,)</f>
        <v>0</v>
      </c>
      <c r="L87" s="10">
        <f>_xlfn.XLOOKUP(C87,Tab_Def_Flows[Name(EN)],Tab_Def_Flows[CC?],,0,)</f>
        <v>0</v>
      </c>
      <c r="M87" s="12"/>
      <c r="N87" s="12"/>
      <c r="O87" s="50"/>
      <c r="P87" s="12"/>
      <c r="Q87" s="12"/>
      <c r="R87" s="12" t="e">
        <f>INDEX(#REF!,MATCH(Tab_Data_Flows[[#This Row],[Name(EN)]],#REF!,0),12)</f>
        <v>#REF!</v>
      </c>
      <c r="S87" s="12" t="e">
        <f>MATCH(Tab_Data_Flows[[#This Row],[Name(EN)]],#REF!,0)</f>
        <v>#REF!</v>
      </c>
      <c r="T87" s="12"/>
      <c r="U87" s="12"/>
      <c r="V87" s="12"/>
      <c r="W87" s="12"/>
      <c r="X87" s="12" t="s">
        <v>8</v>
      </c>
      <c r="Y87" s="12"/>
      <c r="Z87" s="12"/>
      <c r="AA87" s="36">
        <f t="shared" si="3"/>
        <v>0</v>
      </c>
      <c r="AB87" s="12" t="s">
        <v>283</v>
      </c>
      <c r="AC87" s="193">
        <f>INDEX(Tab_Def_Flows[[Flow_ID]:[CC_DM_source]],MATCH(Tab_Data_Flows[[#This Row],[Name(EN)]],Tab_Def_Flows[Name(EN)],0),13)</f>
        <v>0</v>
      </c>
      <c r="AD87" s="10" t="str">
        <f>IF(J87="Yes",AA87*Tab_Data_Flows[[#This Row],[WC_'[%']]],"N.A.")</f>
        <v>N.A.</v>
      </c>
      <c r="AE87" s="10" t="str">
        <f>Tab_Data_Flows[[#This Row],[UoM_Flow_Py]]</f>
        <v>Mg</v>
      </c>
      <c r="AF87" s="193">
        <f>INDEX(Tab_Def_Flows[[Flow_ID]:[CC_DM_source]],MATCH(Tab_Data_Flows[[#This Row],[Name(EN)]],Tab_Def_Flows[Name(EN)],0),15)</f>
        <v>0</v>
      </c>
      <c r="AG87" s="10" t="str">
        <f>IF(K87="Yes",AF87*Tab_Data_Flows[[#This Row],[Flow_Py]],"N.A.")</f>
        <v>N.A.</v>
      </c>
      <c r="AH87" s="10" t="str">
        <f>Tab_Data_Flows[[#This Row],[UoM_Flow_Py]]</f>
        <v>Mg</v>
      </c>
      <c r="AI87" s="193">
        <f>INDEX(Tab_Def_Flows[[Flow_ID]:[CC_DM_source]],MATCH(Tab_Data_Flows[[#This Row],[Name(EN)]],Tab_Def_Flows[Name(EN)],0),17)</f>
        <v>0</v>
      </c>
      <c r="AJ87" s="10" t="str">
        <f>IF(L87="Yes",AI87*Tab_Data_Flows[[#This Row],[Flow_Py]]*Tab_Data_Flows[[#This Row],[DM_'[%']]],"N.A.")</f>
        <v>N.A.</v>
      </c>
      <c r="AK87" s="10" t="str">
        <f>Tab_Data_Flows[[#This Row],[UoM_Flow_Py]]</f>
        <v>Mg</v>
      </c>
    </row>
    <row r="88" spans="1:37" x14ac:dyDescent="0.25">
      <c r="A88" s="17">
        <f t="shared" si="2"/>
        <v>87</v>
      </c>
      <c r="B88" s="10" t="str">
        <f>_xlfn.XLOOKUP(C88,Tab_Def_Flows[Name(EN)],Tab_Def_Flows[Flow_ID],,0,)</f>
        <v>N.A.</v>
      </c>
      <c r="C88" s="12" t="s">
        <v>35</v>
      </c>
      <c r="D88" s="10"/>
      <c r="E88" s="10">
        <f>_xlfn.XLOOKUP(C88,Tab_Def_Flows[Name(EN)],Tab_Def_Flows[Output_Process],,0,)</f>
        <v>0</v>
      </c>
      <c r="F88" s="10">
        <f>_xlfn.XLOOKUP(C88,Tab_Def_Flows[Name(EN)],Tab_Def_Flows[Process_ID_O],,0,)</f>
        <v>0</v>
      </c>
      <c r="G88" s="10">
        <f>_xlfn.XLOOKUP(C88,Tab_Def_Flows[Name(EN)],Tab_Def_Flows[Input_Process],,0,)</f>
        <v>0</v>
      </c>
      <c r="H88" s="18">
        <f>_xlfn.XLOOKUP(C88,Tab_Def_Flows[Name(EN)],Tab_Def_Flows[Process_ID_I],,0,)</f>
        <v>0</v>
      </c>
      <c r="I88" s="10" t="e">
        <f>_xlfn.XLOOKUP(C88,Tab_Def_Flows[Name(EN)],#REF!,,0,)</f>
        <v>#REF!</v>
      </c>
      <c r="J88" s="10">
        <f>_xlfn.XLOOKUP(C88,Tab_Def_Flows[Name(EN)],Tab_Def_Flows[WC?],,0,)</f>
        <v>0</v>
      </c>
      <c r="K88" s="10">
        <f>_xlfn.XLOOKUP(C88,Tab_Def_Flows[Name(EN)],Tab_Def_Flows[DM?],,0,)</f>
        <v>0</v>
      </c>
      <c r="L88" s="10">
        <f>_xlfn.XLOOKUP(C88,Tab_Def_Flows[Name(EN)],Tab_Def_Flows[CC?],,0,)</f>
        <v>0</v>
      </c>
      <c r="M88" s="12"/>
      <c r="N88" s="12"/>
      <c r="O88" s="50"/>
      <c r="P88" s="12"/>
      <c r="Q88" s="12"/>
      <c r="R88" s="12" t="e">
        <f>INDEX(#REF!,MATCH(Tab_Data_Flows[[#This Row],[Name(EN)]],#REF!,0),12)</f>
        <v>#REF!</v>
      </c>
      <c r="S88" s="12" t="e">
        <f>MATCH(Tab_Data_Flows[[#This Row],[Name(EN)]],#REF!,0)</f>
        <v>#REF!</v>
      </c>
      <c r="T88" s="12"/>
      <c r="U88" s="12"/>
      <c r="V88" s="12"/>
      <c r="W88" s="12"/>
      <c r="X88" s="12" t="s">
        <v>8</v>
      </c>
      <c r="Y88" s="12"/>
      <c r="Z88" s="12"/>
      <c r="AA88" s="36">
        <f t="shared" si="3"/>
        <v>0</v>
      </c>
      <c r="AB88" s="12" t="s">
        <v>283</v>
      </c>
      <c r="AC88" s="193">
        <f>INDEX(Tab_Def_Flows[[Flow_ID]:[CC_DM_source]],MATCH(Tab_Data_Flows[[#This Row],[Name(EN)]],Tab_Def_Flows[Name(EN)],0),13)</f>
        <v>0</v>
      </c>
      <c r="AD88" s="10" t="str">
        <f>IF(J88="Yes",AA88*Tab_Data_Flows[[#This Row],[WC_'[%']]],"N.A.")</f>
        <v>N.A.</v>
      </c>
      <c r="AE88" s="10" t="str">
        <f>Tab_Data_Flows[[#This Row],[UoM_Flow_Py]]</f>
        <v>Mg</v>
      </c>
      <c r="AF88" s="193">
        <f>INDEX(Tab_Def_Flows[[Flow_ID]:[CC_DM_source]],MATCH(Tab_Data_Flows[[#This Row],[Name(EN)]],Tab_Def_Flows[Name(EN)],0),15)</f>
        <v>0</v>
      </c>
      <c r="AG88" s="10" t="str">
        <f>IF(K88="Yes",AF88*Tab_Data_Flows[[#This Row],[Flow_Py]],"N.A.")</f>
        <v>N.A.</v>
      </c>
      <c r="AH88" s="10" t="str">
        <f>Tab_Data_Flows[[#This Row],[UoM_Flow_Py]]</f>
        <v>Mg</v>
      </c>
      <c r="AI88" s="193">
        <f>INDEX(Tab_Def_Flows[[Flow_ID]:[CC_DM_source]],MATCH(Tab_Data_Flows[[#This Row],[Name(EN)]],Tab_Def_Flows[Name(EN)],0),17)</f>
        <v>0</v>
      </c>
      <c r="AJ88" s="10" t="str">
        <f>IF(L88="Yes",AI88*Tab_Data_Flows[[#This Row],[Flow_Py]]*Tab_Data_Flows[[#This Row],[DM_'[%']]],"N.A.")</f>
        <v>N.A.</v>
      </c>
      <c r="AK88" s="10" t="str">
        <f>Tab_Data_Flows[[#This Row],[UoM_Flow_Py]]</f>
        <v>Mg</v>
      </c>
    </row>
    <row r="89" spans="1:37" x14ac:dyDescent="0.25">
      <c r="A89" s="17">
        <f t="shared" si="2"/>
        <v>88</v>
      </c>
      <c r="B89" s="10" t="str">
        <f>_xlfn.XLOOKUP(C89,Tab_Def_Flows[Name(EN)],Tab_Def_Flows[Flow_ID],,0,)</f>
        <v>N.A.</v>
      </c>
      <c r="C89" s="12" t="s">
        <v>35</v>
      </c>
      <c r="D89" s="10">
        <f>_xlfn.XLOOKUP(C89,Tab_Def_Flows[Name(EN)],Tab_Def_Flows[Type_Biomass],,0,)</f>
        <v>0</v>
      </c>
      <c r="E89" s="10">
        <f>_xlfn.XLOOKUP(C89,Tab_Def_Flows[Name(EN)],Tab_Def_Flows[Output_Process],,0,)</f>
        <v>0</v>
      </c>
      <c r="F89" s="10">
        <f>_xlfn.XLOOKUP(C89,Tab_Def_Flows[Name(EN)],Tab_Def_Flows[Process_ID_O],,0,)</f>
        <v>0</v>
      </c>
      <c r="G89" s="10">
        <f>_xlfn.XLOOKUP(C89,Tab_Def_Flows[Name(EN)],Tab_Def_Flows[Input_Process],,0,)</f>
        <v>0</v>
      </c>
      <c r="H89" s="18">
        <f>_xlfn.XLOOKUP(C89,Tab_Def_Flows[Name(EN)],Tab_Def_Flows[Process_ID_I],,0,)</f>
        <v>0</v>
      </c>
      <c r="I89" s="18" t="e">
        <f>_xlfn.XLOOKUP(C89,Tab_Def_Flows[Name(EN)],#REF!,,0,)</f>
        <v>#REF!</v>
      </c>
      <c r="J89" s="18">
        <f>_xlfn.XLOOKUP(C89,Tab_Def_Flows[Name(EN)],Tab_Def_Flows[WC?],,0,)</f>
        <v>0</v>
      </c>
      <c r="K89" s="18">
        <f>_xlfn.XLOOKUP(C89,Tab_Def_Flows[Name(EN)],Tab_Def_Flows[DM?],,0,)</f>
        <v>0</v>
      </c>
      <c r="L89" s="18">
        <f>_xlfn.XLOOKUP(C89,Tab_Def_Flows[Name(EN)],Tab_Def_Flows[CC?],,0,)</f>
        <v>0</v>
      </c>
      <c r="M89" s="12"/>
      <c r="N89" s="12" t="s">
        <v>105</v>
      </c>
      <c r="O89" s="50"/>
      <c r="P89" s="12"/>
      <c r="Q89" s="12"/>
      <c r="R89" s="12"/>
      <c r="S89" s="12"/>
      <c r="T89" s="12"/>
      <c r="U89" s="12"/>
      <c r="V89" s="12"/>
      <c r="W89" s="12"/>
      <c r="X89" s="12" t="s">
        <v>8</v>
      </c>
      <c r="Y89" s="43"/>
      <c r="Z89" s="12"/>
      <c r="AA89" s="36">
        <f t="shared" si="3"/>
        <v>0</v>
      </c>
      <c r="AB89" s="12" t="s">
        <v>283</v>
      </c>
      <c r="AC89" s="193">
        <f>INDEX(Tab_Def_Flows[[Flow_ID]:[CC_DM_source]],MATCH(Tab_Data_Flows[[#This Row],[Name(EN)]],Tab_Def_Flows[Name(EN)],0),13)</f>
        <v>0</v>
      </c>
      <c r="AD89" s="10" t="str">
        <f>IF(J89="Yes",AA89*Tab_Data_Flows[[#This Row],[WC_'[%']]],"N.A.")</f>
        <v>N.A.</v>
      </c>
      <c r="AE89" s="10" t="str">
        <f>Tab_Data_Flows[[#This Row],[UoM_Flow_Py]]</f>
        <v>Mg</v>
      </c>
      <c r="AF89" s="193">
        <f>INDEX(Tab_Def_Flows[[Flow_ID]:[CC_DM_source]],MATCH(Tab_Data_Flows[[#This Row],[Name(EN)]],Tab_Def_Flows[Name(EN)],0),15)</f>
        <v>0</v>
      </c>
      <c r="AG89" s="10" t="str">
        <f>IF(K89="Yes",AF89*Tab_Data_Flows[[#This Row],[Flow_Py]],"N.A.")</f>
        <v>N.A.</v>
      </c>
      <c r="AH89" s="10" t="str">
        <f>Tab_Data_Flows[[#This Row],[UoM_Flow_Py]]</f>
        <v>Mg</v>
      </c>
      <c r="AI89" s="193">
        <f>INDEX(Tab_Def_Flows[[Flow_ID]:[CC_DM_source]],MATCH(Tab_Data_Flows[[#This Row],[Name(EN)]],Tab_Def_Flows[Name(EN)],0),17)</f>
        <v>0</v>
      </c>
      <c r="AJ89" s="10" t="str">
        <f>IF(L89="Yes",AI89*Tab_Data_Flows[[#This Row],[Flow_Py]]*Tab_Data_Flows[[#This Row],[DM_'[%']]],"N.A.")</f>
        <v>N.A.</v>
      </c>
      <c r="AK89" s="10" t="str">
        <f>Tab_Data_Flows[[#This Row],[UoM_Flow_Py]]</f>
        <v>Mg</v>
      </c>
    </row>
    <row r="90" spans="1:37" x14ac:dyDescent="0.25">
      <c r="A90" s="17">
        <f t="shared" si="2"/>
        <v>89</v>
      </c>
      <c r="B90" s="10" t="str">
        <f>_xlfn.XLOOKUP(C90,Tab_Def_Flows[Name(EN)],Tab_Def_Flows[Flow_ID],,0,)</f>
        <v>N.A.</v>
      </c>
      <c r="C90" s="12" t="s">
        <v>35</v>
      </c>
      <c r="D90" s="10">
        <f>_xlfn.XLOOKUP(C90,Tab_Def_Flows[Name(EN)],Tab_Def_Flows[Type_Biomass],,0,)</f>
        <v>0</v>
      </c>
      <c r="E90" s="10">
        <f>_xlfn.XLOOKUP(C90,Tab_Def_Flows[Name(EN)],Tab_Def_Flows[Output_Process],,0,)</f>
        <v>0</v>
      </c>
      <c r="F90" s="10">
        <f>_xlfn.XLOOKUP(C90,Tab_Def_Flows[Name(EN)],Tab_Def_Flows[Process_ID_O],,0,)</f>
        <v>0</v>
      </c>
      <c r="G90" s="10">
        <f>_xlfn.XLOOKUP(C90,Tab_Def_Flows[Name(EN)],Tab_Def_Flows[Input_Process],,0,)</f>
        <v>0</v>
      </c>
      <c r="H90" s="18">
        <f>_xlfn.XLOOKUP(C90,Tab_Def_Flows[Name(EN)],Tab_Def_Flows[Process_ID_I],,0,)</f>
        <v>0</v>
      </c>
      <c r="I90" s="18" t="e">
        <f>_xlfn.XLOOKUP(C90,Tab_Def_Flows[Name(EN)],#REF!,,0,)</f>
        <v>#REF!</v>
      </c>
      <c r="J90" s="18">
        <f>_xlfn.XLOOKUP(C90,Tab_Def_Flows[Name(EN)],Tab_Def_Flows[WC?],,0,)</f>
        <v>0</v>
      </c>
      <c r="K90" s="18">
        <f>_xlfn.XLOOKUP(C90,Tab_Def_Flows[Name(EN)],Tab_Def_Flows[DM?],,0,)</f>
        <v>0</v>
      </c>
      <c r="L90" s="18">
        <f>_xlfn.XLOOKUP(C90,Tab_Def_Flows[Name(EN)],Tab_Def_Flows[CC?],,0,)</f>
        <v>0</v>
      </c>
      <c r="M90" s="12"/>
      <c r="N90" s="12" t="s">
        <v>105</v>
      </c>
      <c r="O90" s="50"/>
      <c r="P90" s="12"/>
      <c r="Q90" s="12"/>
      <c r="R90" s="12"/>
      <c r="S90" s="12"/>
      <c r="T90" s="12"/>
      <c r="U90" s="12"/>
      <c r="V90" s="12"/>
      <c r="W90" s="12"/>
      <c r="X90" s="12" t="s">
        <v>8</v>
      </c>
      <c r="Y90" s="43"/>
      <c r="Z90" s="12"/>
      <c r="AA90" s="36">
        <f t="shared" si="3"/>
        <v>0</v>
      </c>
      <c r="AB90" s="12" t="s">
        <v>283</v>
      </c>
      <c r="AC90" s="193">
        <f>INDEX(Tab_Def_Flows[[Flow_ID]:[CC_DM_source]],MATCH(Tab_Data_Flows[[#This Row],[Name(EN)]],Tab_Def_Flows[Name(EN)],0),13)</f>
        <v>0</v>
      </c>
      <c r="AD90" s="10" t="str">
        <f>IF(J90="Yes",AA90*Tab_Data_Flows[[#This Row],[WC_'[%']]],"N.A.")</f>
        <v>N.A.</v>
      </c>
      <c r="AE90" s="10" t="str">
        <f>Tab_Data_Flows[[#This Row],[UoM_Flow_Py]]</f>
        <v>Mg</v>
      </c>
      <c r="AF90" s="193">
        <f>INDEX(Tab_Def_Flows[[Flow_ID]:[CC_DM_source]],MATCH(Tab_Data_Flows[[#This Row],[Name(EN)]],Tab_Def_Flows[Name(EN)],0),15)</f>
        <v>0</v>
      </c>
      <c r="AG90" s="10" t="str">
        <f>IF(K90="Yes",AF90*Tab_Data_Flows[[#This Row],[Flow_Py]],"N.A.")</f>
        <v>N.A.</v>
      </c>
      <c r="AH90" s="10" t="str">
        <f>Tab_Data_Flows[[#This Row],[UoM_Flow_Py]]</f>
        <v>Mg</v>
      </c>
      <c r="AI90" s="193">
        <f>INDEX(Tab_Def_Flows[[Flow_ID]:[CC_DM_source]],MATCH(Tab_Data_Flows[[#This Row],[Name(EN)]],Tab_Def_Flows[Name(EN)],0),17)</f>
        <v>0</v>
      </c>
      <c r="AJ90" s="10" t="str">
        <f>IF(L90="Yes",AI90*Tab_Data_Flows[[#This Row],[Flow_Py]]*Tab_Data_Flows[[#This Row],[DM_'[%']]],"N.A.")</f>
        <v>N.A.</v>
      </c>
      <c r="AK90" s="10" t="str">
        <f>Tab_Data_Flows[[#This Row],[UoM_Flow_Py]]</f>
        <v>Mg</v>
      </c>
    </row>
    <row r="91" spans="1:37" x14ac:dyDescent="0.25">
      <c r="A91" s="17">
        <f t="shared" si="2"/>
        <v>90</v>
      </c>
      <c r="B91" s="10" t="str">
        <f>_xlfn.XLOOKUP(C91,Tab_Def_Flows[Name(EN)],Tab_Def_Flows[Flow_ID],,0,)</f>
        <v>N.A.</v>
      </c>
      <c r="C91" s="12" t="s">
        <v>35</v>
      </c>
      <c r="D91" s="10">
        <f>_xlfn.XLOOKUP(C91,Tab_Def_Flows[Name(EN)],Tab_Def_Flows[Type_Biomass],,0,)</f>
        <v>0</v>
      </c>
      <c r="E91" s="10">
        <f>_xlfn.XLOOKUP(C91,Tab_Def_Flows[Name(EN)],Tab_Def_Flows[Output_Process],,0,)</f>
        <v>0</v>
      </c>
      <c r="F91" s="10">
        <f>_xlfn.XLOOKUP(C91,Tab_Def_Flows[Name(EN)],Tab_Def_Flows[Process_ID_O],,0,)</f>
        <v>0</v>
      </c>
      <c r="G91" s="10">
        <f>_xlfn.XLOOKUP(C91,Tab_Def_Flows[Name(EN)],Tab_Def_Flows[Input_Process],,0,)</f>
        <v>0</v>
      </c>
      <c r="H91" s="18">
        <f>_xlfn.XLOOKUP(C91,Tab_Def_Flows[Name(EN)],Tab_Def_Flows[Process_ID_I],,0,)</f>
        <v>0</v>
      </c>
      <c r="I91" s="18" t="e">
        <f>_xlfn.XLOOKUP(C91,Tab_Def_Flows[Name(EN)],#REF!,,0,)</f>
        <v>#REF!</v>
      </c>
      <c r="J91" s="18">
        <f>_xlfn.XLOOKUP(C91,Tab_Def_Flows[Name(EN)],Tab_Def_Flows[WC?],,0,)</f>
        <v>0</v>
      </c>
      <c r="K91" s="18">
        <f>_xlfn.XLOOKUP(C91,Tab_Def_Flows[Name(EN)],Tab_Def_Flows[DM?],,0,)</f>
        <v>0</v>
      </c>
      <c r="L91" s="18">
        <f>_xlfn.XLOOKUP(C91,Tab_Def_Flows[Name(EN)],Tab_Def_Flows[CC?],,0,)</f>
        <v>0</v>
      </c>
      <c r="M91" s="12"/>
      <c r="N91" s="12" t="s">
        <v>105</v>
      </c>
      <c r="O91" s="50"/>
      <c r="P91" s="12"/>
      <c r="Q91" s="12"/>
      <c r="R91" s="12"/>
      <c r="S91" s="12"/>
      <c r="T91" s="12"/>
      <c r="U91" s="12"/>
      <c r="V91" s="12"/>
      <c r="W91" s="12"/>
      <c r="X91" s="12" t="s">
        <v>8</v>
      </c>
      <c r="Y91" s="43"/>
      <c r="Z91" s="12"/>
      <c r="AA91" s="36">
        <f t="shared" si="3"/>
        <v>0</v>
      </c>
      <c r="AB91" s="12" t="s">
        <v>283</v>
      </c>
      <c r="AC91" s="193">
        <f>INDEX(Tab_Def_Flows[[Flow_ID]:[CC_DM_source]],MATCH(Tab_Data_Flows[[#This Row],[Name(EN)]],Tab_Def_Flows[Name(EN)],0),13)</f>
        <v>0</v>
      </c>
      <c r="AD91" s="10" t="str">
        <f>IF(J91="Yes",AA91*Tab_Data_Flows[[#This Row],[WC_'[%']]],"N.A.")</f>
        <v>N.A.</v>
      </c>
      <c r="AE91" s="10" t="str">
        <f>Tab_Data_Flows[[#This Row],[UoM_Flow_Py]]</f>
        <v>Mg</v>
      </c>
      <c r="AF91" s="193">
        <f>INDEX(Tab_Def_Flows[[Flow_ID]:[CC_DM_source]],MATCH(Tab_Data_Flows[[#This Row],[Name(EN)]],Tab_Def_Flows[Name(EN)],0),15)</f>
        <v>0</v>
      </c>
      <c r="AG91" s="10" t="str">
        <f>IF(K91="Yes",AF91*Tab_Data_Flows[[#This Row],[Flow_Py]],"N.A.")</f>
        <v>N.A.</v>
      </c>
      <c r="AH91" s="10" t="str">
        <f>Tab_Data_Flows[[#This Row],[UoM_Flow_Py]]</f>
        <v>Mg</v>
      </c>
      <c r="AI91" s="193">
        <f>INDEX(Tab_Def_Flows[[Flow_ID]:[CC_DM_source]],MATCH(Tab_Data_Flows[[#This Row],[Name(EN)]],Tab_Def_Flows[Name(EN)],0),17)</f>
        <v>0</v>
      </c>
      <c r="AJ91" s="10" t="str">
        <f>IF(L91="Yes",AI91*Tab_Data_Flows[[#This Row],[Flow_Py]]*Tab_Data_Flows[[#This Row],[DM_'[%']]],"N.A.")</f>
        <v>N.A.</v>
      </c>
      <c r="AK91" s="10" t="str">
        <f>Tab_Data_Flows[[#This Row],[UoM_Flow_Py]]</f>
        <v>Mg</v>
      </c>
    </row>
    <row r="92" spans="1:37" x14ac:dyDescent="0.25">
      <c r="A92" s="17">
        <f t="shared" si="2"/>
        <v>91</v>
      </c>
      <c r="B92" s="10" t="str">
        <f>_xlfn.XLOOKUP(C92,Tab_Def_Flows[Name(EN)],Tab_Def_Flows[Flow_ID],,0,)</f>
        <v>N.A.</v>
      </c>
      <c r="C92" s="12" t="s">
        <v>35</v>
      </c>
      <c r="D92" s="10">
        <f>_xlfn.XLOOKUP(C92,Tab_Def_Flows[Name(EN)],Tab_Def_Flows[Type_Biomass],,0,)</f>
        <v>0</v>
      </c>
      <c r="E92" s="10">
        <f>_xlfn.XLOOKUP(C92,Tab_Def_Flows[Name(EN)],Tab_Def_Flows[Output_Process],,0,)</f>
        <v>0</v>
      </c>
      <c r="F92" s="10">
        <f>_xlfn.XLOOKUP(C92,Tab_Def_Flows[Name(EN)],Tab_Def_Flows[Process_ID_O],,0,)</f>
        <v>0</v>
      </c>
      <c r="G92" s="10">
        <f>_xlfn.XLOOKUP(C92,Tab_Def_Flows[Name(EN)],Tab_Def_Flows[Input_Process],,0,)</f>
        <v>0</v>
      </c>
      <c r="H92" s="18">
        <f>_xlfn.XLOOKUP(C92,Tab_Def_Flows[Name(EN)],Tab_Def_Flows[Process_ID_I],,0,)</f>
        <v>0</v>
      </c>
      <c r="I92" s="18" t="e">
        <f>_xlfn.XLOOKUP(C92,Tab_Def_Flows[Name(EN)],#REF!,,0,)</f>
        <v>#REF!</v>
      </c>
      <c r="J92" s="18">
        <f>_xlfn.XLOOKUP(C92,Tab_Def_Flows[Name(EN)],Tab_Def_Flows[WC?],,0,)</f>
        <v>0</v>
      </c>
      <c r="K92" s="18">
        <f>_xlfn.XLOOKUP(C92,Tab_Def_Flows[Name(EN)],Tab_Def_Flows[DM?],,0,)</f>
        <v>0</v>
      </c>
      <c r="L92" s="18">
        <f>_xlfn.XLOOKUP(C92,Tab_Def_Flows[Name(EN)],Tab_Def_Flows[CC?],,0,)</f>
        <v>0</v>
      </c>
      <c r="M92" s="12"/>
      <c r="N92" s="12" t="s">
        <v>105</v>
      </c>
      <c r="O92" s="50"/>
      <c r="P92" s="12"/>
      <c r="Q92" s="12"/>
      <c r="R92" s="12"/>
      <c r="S92" s="12"/>
      <c r="T92" s="12"/>
      <c r="U92" s="12"/>
      <c r="V92" s="12"/>
      <c r="W92" s="12"/>
      <c r="X92" s="12" t="s">
        <v>8</v>
      </c>
      <c r="Y92" s="43"/>
      <c r="Z92" s="12"/>
      <c r="AA92" s="36">
        <f t="shared" si="3"/>
        <v>0</v>
      </c>
      <c r="AB92" s="12" t="s">
        <v>283</v>
      </c>
      <c r="AC92" s="193">
        <f>INDEX(Tab_Def_Flows[[Flow_ID]:[CC_DM_source]],MATCH(Tab_Data_Flows[[#This Row],[Name(EN)]],Tab_Def_Flows[Name(EN)],0),13)</f>
        <v>0</v>
      </c>
      <c r="AD92" s="10" t="str">
        <f>IF(J92="Yes",AA92*Tab_Data_Flows[[#This Row],[WC_'[%']]],"N.A.")</f>
        <v>N.A.</v>
      </c>
      <c r="AE92" s="10" t="str">
        <f>Tab_Data_Flows[[#This Row],[UoM_Flow_Py]]</f>
        <v>Mg</v>
      </c>
      <c r="AF92" s="193">
        <f>INDEX(Tab_Def_Flows[[Flow_ID]:[CC_DM_source]],MATCH(Tab_Data_Flows[[#This Row],[Name(EN)]],Tab_Def_Flows[Name(EN)],0),15)</f>
        <v>0</v>
      </c>
      <c r="AG92" s="10" t="str">
        <f>IF(K92="Yes",AF92*Tab_Data_Flows[[#This Row],[Flow_Py]],"N.A.")</f>
        <v>N.A.</v>
      </c>
      <c r="AH92" s="10" t="str">
        <f>Tab_Data_Flows[[#This Row],[UoM_Flow_Py]]</f>
        <v>Mg</v>
      </c>
      <c r="AI92" s="193">
        <f>INDEX(Tab_Def_Flows[[Flow_ID]:[CC_DM_source]],MATCH(Tab_Data_Flows[[#This Row],[Name(EN)]],Tab_Def_Flows[Name(EN)],0),17)</f>
        <v>0</v>
      </c>
      <c r="AJ92" s="10" t="str">
        <f>IF(L92="Yes",AI92*Tab_Data_Flows[[#This Row],[Flow_Py]]*Tab_Data_Flows[[#This Row],[DM_'[%']]],"N.A.")</f>
        <v>N.A.</v>
      </c>
      <c r="AK92" s="10" t="str">
        <f>Tab_Data_Flows[[#This Row],[UoM_Flow_Py]]</f>
        <v>Mg</v>
      </c>
    </row>
    <row r="93" spans="1:37" x14ac:dyDescent="0.25">
      <c r="A93" s="17">
        <f t="shared" si="2"/>
        <v>92</v>
      </c>
      <c r="B93" s="10" t="str">
        <f>_xlfn.XLOOKUP(C93,Tab_Def_Flows[Name(EN)],Tab_Def_Flows[Flow_ID],,0,)</f>
        <v>N.A.</v>
      </c>
      <c r="C93" s="12" t="s">
        <v>35</v>
      </c>
      <c r="D93" s="10">
        <f>_xlfn.XLOOKUP(C93,Tab_Def_Flows[Name(EN)],Tab_Def_Flows[Type_Biomass],,0,)</f>
        <v>0</v>
      </c>
      <c r="E93" s="10">
        <f>_xlfn.XLOOKUP(C93,Tab_Def_Flows[Name(EN)],Tab_Def_Flows[Output_Process],,0,)</f>
        <v>0</v>
      </c>
      <c r="F93" s="10">
        <f>_xlfn.XLOOKUP(C93,Tab_Def_Flows[Name(EN)],Tab_Def_Flows[Process_ID_O],,0,)</f>
        <v>0</v>
      </c>
      <c r="G93" s="10">
        <f>_xlfn.XLOOKUP(C93,Tab_Def_Flows[Name(EN)],Tab_Def_Flows[Input_Process],,0,)</f>
        <v>0</v>
      </c>
      <c r="H93" s="18">
        <f>_xlfn.XLOOKUP(C93,Tab_Def_Flows[Name(EN)],Tab_Def_Flows[Process_ID_I],,0,)</f>
        <v>0</v>
      </c>
      <c r="I93" s="18" t="e">
        <f>_xlfn.XLOOKUP(C93,Tab_Def_Flows[Name(EN)],#REF!,,0,)</f>
        <v>#REF!</v>
      </c>
      <c r="J93" s="18">
        <f>_xlfn.XLOOKUP(C93,Tab_Def_Flows[Name(EN)],Tab_Def_Flows[WC?],,0,)</f>
        <v>0</v>
      </c>
      <c r="K93" s="18">
        <f>_xlfn.XLOOKUP(C93,Tab_Def_Flows[Name(EN)],Tab_Def_Flows[DM?],,0,)</f>
        <v>0</v>
      </c>
      <c r="L93" s="18">
        <f>_xlfn.XLOOKUP(C93,Tab_Def_Flows[Name(EN)],Tab_Def_Flows[CC?],,0,)</f>
        <v>0</v>
      </c>
      <c r="M93" s="12"/>
      <c r="N93" s="12" t="s">
        <v>105</v>
      </c>
      <c r="O93" s="50"/>
      <c r="P93" s="12"/>
      <c r="Q93" s="12"/>
      <c r="R93" s="12"/>
      <c r="S93" s="12"/>
      <c r="T93" s="12"/>
      <c r="U93" s="12"/>
      <c r="V93" s="12"/>
      <c r="W93" s="12"/>
      <c r="X93" s="12" t="s">
        <v>8</v>
      </c>
      <c r="Y93" s="43"/>
      <c r="Z93" s="12"/>
      <c r="AA93" s="36">
        <f t="shared" si="3"/>
        <v>0</v>
      </c>
      <c r="AB93" s="12" t="s">
        <v>283</v>
      </c>
      <c r="AC93" s="193">
        <f>INDEX(Tab_Def_Flows[[Flow_ID]:[CC_DM_source]],MATCH(Tab_Data_Flows[[#This Row],[Name(EN)]],Tab_Def_Flows[Name(EN)],0),13)</f>
        <v>0</v>
      </c>
      <c r="AD93" s="10" t="str">
        <f>IF(J93="Yes",AA93*Tab_Data_Flows[[#This Row],[WC_'[%']]],"N.A.")</f>
        <v>N.A.</v>
      </c>
      <c r="AE93" s="10" t="str">
        <f>Tab_Data_Flows[[#This Row],[UoM_Flow_Py]]</f>
        <v>Mg</v>
      </c>
      <c r="AF93" s="193">
        <f>INDEX(Tab_Def_Flows[[Flow_ID]:[CC_DM_source]],MATCH(Tab_Data_Flows[[#This Row],[Name(EN)]],Tab_Def_Flows[Name(EN)],0),15)</f>
        <v>0</v>
      </c>
      <c r="AG93" s="10" t="str">
        <f>IF(K93="Yes",AF93*Tab_Data_Flows[[#This Row],[Flow_Py]],"N.A.")</f>
        <v>N.A.</v>
      </c>
      <c r="AH93" s="10" t="str">
        <f>Tab_Data_Flows[[#This Row],[UoM_Flow_Py]]</f>
        <v>Mg</v>
      </c>
      <c r="AI93" s="193">
        <f>INDEX(Tab_Def_Flows[[Flow_ID]:[CC_DM_source]],MATCH(Tab_Data_Flows[[#This Row],[Name(EN)]],Tab_Def_Flows[Name(EN)],0),17)</f>
        <v>0</v>
      </c>
      <c r="AJ93" s="10" t="str">
        <f>IF(L93="Yes",AI93*Tab_Data_Flows[[#This Row],[Flow_Py]]*Tab_Data_Flows[[#This Row],[DM_'[%']]],"N.A.")</f>
        <v>N.A.</v>
      </c>
      <c r="AK93" s="10" t="str">
        <f>Tab_Data_Flows[[#This Row],[UoM_Flow_Py]]</f>
        <v>Mg</v>
      </c>
    </row>
    <row r="94" spans="1:37" x14ac:dyDescent="0.25">
      <c r="A94" s="17">
        <f t="shared" si="2"/>
        <v>93</v>
      </c>
      <c r="B94" s="10" t="str">
        <f>_xlfn.XLOOKUP(C94,Tab_Def_Flows[Name(EN)],Tab_Def_Flows[Flow_ID],,0,)</f>
        <v>N.A.</v>
      </c>
      <c r="C94" s="12" t="s">
        <v>35</v>
      </c>
      <c r="D94" s="10">
        <f>_xlfn.XLOOKUP(C94,Tab_Def_Flows[Name(EN)],Tab_Def_Flows[Type_Biomass],,0,)</f>
        <v>0</v>
      </c>
      <c r="E94" s="10">
        <f>_xlfn.XLOOKUP(C94,Tab_Def_Flows[Name(EN)],Tab_Def_Flows[Output_Process],,0,)</f>
        <v>0</v>
      </c>
      <c r="F94" s="10">
        <f>_xlfn.XLOOKUP(C94,Tab_Def_Flows[Name(EN)],Tab_Def_Flows[Process_ID_O],,0,)</f>
        <v>0</v>
      </c>
      <c r="G94" s="10">
        <f>_xlfn.XLOOKUP(C94,Tab_Def_Flows[Name(EN)],Tab_Def_Flows[Input_Process],,0,)</f>
        <v>0</v>
      </c>
      <c r="H94" s="18">
        <f>_xlfn.XLOOKUP(C94,Tab_Def_Flows[Name(EN)],Tab_Def_Flows[Process_ID_I],,0,)</f>
        <v>0</v>
      </c>
      <c r="I94" s="18" t="e">
        <f>_xlfn.XLOOKUP(C94,Tab_Def_Flows[Name(EN)],#REF!,,0,)</f>
        <v>#REF!</v>
      </c>
      <c r="J94" s="18">
        <f>_xlfn.XLOOKUP(C94,Tab_Def_Flows[Name(EN)],Tab_Def_Flows[WC?],,0,)</f>
        <v>0</v>
      </c>
      <c r="K94" s="18">
        <f>_xlfn.XLOOKUP(C94,Tab_Def_Flows[Name(EN)],Tab_Def_Flows[DM?],,0,)</f>
        <v>0</v>
      </c>
      <c r="L94" s="18">
        <f>_xlfn.XLOOKUP(C94,Tab_Def_Flows[Name(EN)],Tab_Def_Flows[CC?],,0,)</f>
        <v>0</v>
      </c>
      <c r="M94" s="12"/>
      <c r="N94" s="12" t="s">
        <v>105</v>
      </c>
      <c r="O94" s="50"/>
      <c r="P94" s="12"/>
      <c r="Q94" s="12"/>
      <c r="R94" s="12"/>
      <c r="S94" s="12"/>
      <c r="T94" s="12"/>
      <c r="U94" s="12"/>
      <c r="V94" s="12"/>
      <c r="W94" s="12"/>
      <c r="X94" s="12" t="s">
        <v>8</v>
      </c>
      <c r="Y94" s="43"/>
      <c r="Z94" s="12"/>
      <c r="AA94" s="36">
        <f t="shared" si="3"/>
        <v>0</v>
      </c>
      <c r="AB94" s="12" t="s">
        <v>283</v>
      </c>
      <c r="AC94" s="193">
        <f>INDEX(Tab_Def_Flows[[Flow_ID]:[CC_DM_source]],MATCH(Tab_Data_Flows[[#This Row],[Name(EN)]],Tab_Def_Flows[Name(EN)],0),13)</f>
        <v>0</v>
      </c>
      <c r="AD94" s="10" t="str">
        <f>IF(J94="Yes",AA94*Tab_Data_Flows[[#This Row],[WC_'[%']]],"N.A.")</f>
        <v>N.A.</v>
      </c>
      <c r="AE94" s="10" t="str">
        <f>Tab_Data_Flows[[#This Row],[UoM_Flow_Py]]</f>
        <v>Mg</v>
      </c>
      <c r="AF94" s="193">
        <f>INDEX(Tab_Def_Flows[[Flow_ID]:[CC_DM_source]],MATCH(Tab_Data_Flows[[#This Row],[Name(EN)]],Tab_Def_Flows[Name(EN)],0),15)</f>
        <v>0</v>
      </c>
      <c r="AG94" s="10" t="str">
        <f>IF(K94="Yes",AF94*Tab_Data_Flows[[#This Row],[Flow_Py]],"N.A.")</f>
        <v>N.A.</v>
      </c>
      <c r="AH94" s="10" t="str">
        <f>Tab_Data_Flows[[#This Row],[UoM_Flow_Py]]</f>
        <v>Mg</v>
      </c>
      <c r="AI94" s="193">
        <f>INDEX(Tab_Def_Flows[[Flow_ID]:[CC_DM_source]],MATCH(Tab_Data_Flows[[#This Row],[Name(EN)]],Tab_Def_Flows[Name(EN)],0),17)</f>
        <v>0</v>
      </c>
      <c r="AJ94" s="10" t="str">
        <f>IF(L94="Yes",AI94*Tab_Data_Flows[[#This Row],[Flow_Py]]*Tab_Data_Flows[[#This Row],[DM_'[%']]],"N.A.")</f>
        <v>N.A.</v>
      </c>
      <c r="AK94" s="10" t="str">
        <f>Tab_Data_Flows[[#This Row],[UoM_Flow_Py]]</f>
        <v>Mg</v>
      </c>
    </row>
    <row r="95" spans="1:37" x14ac:dyDescent="0.25">
      <c r="A95" s="17">
        <f t="shared" si="2"/>
        <v>94</v>
      </c>
      <c r="B95" s="10" t="str">
        <f>_xlfn.XLOOKUP(C95,Tab_Def_Flows[Name(EN)],Tab_Def_Flows[Flow_ID],,0,)</f>
        <v>N.A.</v>
      </c>
      <c r="C95" s="12" t="s">
        <v>35</v>
      </c>
      <c r="D95" s="10">
        <f>_xlfn.XLOOKUP(C95,Tab_Def_Flows[Name(EN)],Tab_Def_Flows[Type_Biomass],,0,)</f>
        <v>0</v>
      </c>
      <c r="E95" s="10">
        <f>_xlfn.XLOOKUP(C95,Tab_Def_Flows[Name(EN)],Tab_Def_Flows[Output_Process],,0,)</f>
        <v>0</v>
      </c>
      <c r="F95" s="10">
        <f>_xlfn.XLOOKUP(C95,Tab_Def_Flows[Name(EN)],Tab_Def_Flows[Process_ID_O],,0,)</f>
        <v>0</v>
      </c>
      <c r="G95" s="10">
        <f>_xlfn.XLOOKUP(C95,Tab_Def_Flows[Name(EN)],Tab_Def_Flows[Input_Process],,0,)</f>
        <v>0</v>
      </c>
      <c r="H95" s="18">
        <f>_xlfn.XLOOKUP(C95,Tab_Def_Flows[Name(EN)],Tab_Def_Flows[Process_ID_I],,0,)</f>
        <v>0</v>
      </c>
      <c r="I95" s="18" t="e">
        <f>_xlfn.XLOOKUP(C95,Tab_Def_Flows[Name(EN)],#REF!,,0,)</f>
        <v>#REF!</v>
      </c>
      <c r="J95" s="18">
        <f>_xlfn.XLOOKUP(C95,Tab_Def_Flows[Name(EN)],Tab_Def_Flows[WC?],,0,)</f>
        <v>0</v>
      </c>
      <c r="K95" s="18">
        <f>_xlfn.XLOOKUP(C95,Tab_Def_Flows[Name(EN)],Tab_Def_Flows[DM?],,0,)</f>
        <v>0</v>
      </c>
      <c r="L95" s="18">
        <f>_xlfn.XLOOKUP(C95,Tab_Def_Flows[Name(EN)],Tab_Def_Flows[CC?],,0,)</f>
        <v>0</v>
      </c>
      <c r="M95" s="12"/>
      <c r="N95" s="12" t="s">
        <v>105</v>
      </c>
      <c r="O95" s="50"/>
      <c r="P95" s="12"/>
      <c r="Q95" s="12"/>
      <c r="R95" s="12"/>
      <c r="S95" s="12"/>
      <c r="T95" s="12"/>
      <c r="U95" s="12"/>
      <c r="V95" s="12"/>
      <c r="W95" s="12"/>
      <c r="X95" s="12" t="s">
        <v>8</v>
      </c>
      <c r="Y95" s="43"/>
      <c r="Z95" s="12"/>
      <c r="AA95" s="36">
        <f t="shared" si="3"/>
        <v>0</v>
      </c>
      <c r="AB95" s="12" t="s">
        <v>283</v>
      </c>
      <c r="AC95" s="193">
        <f>INDEX(Tab_Def_Flows[[Flow_ID]:[CC_DM_source]],MATCH(Tab_Data_Flows[[#This Row],[Name(EN)]],Tab_Def_Flows[Name(EN)],0),13)</f>
        <v>0</v>
      </c>
      <c r="AD95" s="10" t="str">
        <f>IF(J95="Yes",AA95*Tab_Data_Flows[[#This Row],[WC_'[%']]],"N.A.")</f>
        <v>N.A.</v>
      </c>
      <c r="AE95" s="10" t="str">
        <f>Tab_Data_Flows[[#This Row],[UoM_Flow_Py]]</f>
        <v>Mg</v>
      </c>
      <c r="AF95" s="193">
        <f>INDEX(Tab_Def_Flows[[Flow_ID]:[CC_DM_source]],MATCH(Tab_Data_Flows[[#This Row],[Name(EN)]],Tab_Def_Flows[Name(EN)],0),15)</f>
        <v>0</v>
      </c>
      <c r="AG95" s="10" t="str">
        <f>IF(K95="Yes",AF95*Tab_Data_Flows[[#This Row],[Flow_Py]],"N.A.")</f>
        <v>N.A.</v>
      </c>
      <c r="AH95" s="10" t="str">
        <f>Tab_Data_Flows[[#This Row],[UoM_Flow_Py]]</f>
        <v>Mg</v>
      </c>
      <c r="AI95" s="193">
        <f>INDEX(Tab_Def_Flows[[Flow_ID]:[CC_DM_source]],MATCH(Tab_Data_Flows[[#This Row],[Name(EN)]],Tab_Def_Flows[Name(EN)],0),17)</f>
        <v>0</v>
      </c>
      <c r="AJ95" s="10" t="str">
        <f>IF(L95="Yes",AI95*Tab_Data_Flows[[#This Row],[Flow_Py]]*Tab_Data_Flows[[#This Row],[DM_'[%']]],"N.A.")</f>
        <v>N.A.</v>
      </c>
      <c r="AK95" s="10" t="str">
        <f>Tab_Data_Flows[[#This Row],[UoM_Flow_Py]]</f>
        <v>Mg</v>
      </c>
    </row>
    <row r="96" spans="1:37" x14ac:dyDescent="0.25">
      <c r="A96" s="17">
        <f t="shared" si="2"/>
        <v>95</v>
      </c>
      <c r="B96" s="10" t="str">
        <f>_xlfn.XLOOKUP(C96,Tab_Def_Flows[Name(EN)],Tab_Def_Flows[Flow_ID],,0,)</f>
        <v>N.A.</v>
      </c>
      <c r="C96" s="12" t="s">
        <v>35</v>
      </c>
      <c r="D96" s="10"/>
      <c r="E96" s="10">
        <f>_xlfn.XLOOKUP(C96,Tab_Def_Flows[Name(EN)],Tab_Def_Flows[Output_Process],,0,)</f>
        <v>0</v>
      </c>
      <c r="F96" s="10">
        <f>_xlfn.XLOOKUP(C96,Tab_Def_Flows[Name(EN)],Tab_Def_Flows[Process_ID_O],,0,)</f>
        <v>0</v>
      </c>
      <c r="G96" s="10">
        <f>_xlfn.XLOOKUP(C96,Tab_Def_Flows[Name(EN)],Tab_Def_Flows[Input_Process],,0,)</f>
        <v>0</v>
      </c>
      <c r="H96" s="18">
        <f>_xlfn.XLOOKUP(C96,Tab_Def_Flows[Name(EN)],Tab_Def_Flows[Process_ID_I],,0,)</f>
        <v>0</v>
      </c>
      <c r="I96" s="10" t="e">
        <f>_xlfn.XLOOKUP(C96,Tab_Def_Flows[Name(EN)],#REF!,,0,)</f>
        <v>#REF!</v>
      </c>
      <c r="J96" s="10">
        <f>_xlfn.XLOOKUP(C96,Tab_Def_Flows[Name(EN)],Tab_Def_Flows[WC?],,0,)</f>
        <v>0</v>
      </c>
      <c r="K96" s="10">
        <f>_xlfn.XLOOKUP(C96,Tab_Def_Flows[Name(EN)],Tab_Def_Flows[DM?],,0,)</f>
        <v>0</v>
      </c>
      <c r="L96" s="10">
        <f>_xlfn.XLOOKUP(C96,Tab_Def_Flows[Name(EN)],Tab_Def_Flows[CC?],,0,)</f>
        <v>0</v>
      </c>
      <c r="M96" s="12"/>
      <c r="N96" s="12"/>
      <c r="O96" s="50"/>
      <c r="P96" s="12"/>
      <c r="Q96" s="12"/>
      <c r="R96" s="12" t="e">
        <f>INDEX(#REF!,MATCH(Tab_Data_Flows[[#This Row],[Name(EN)]],#REF!,0),12)</f>
        <v>#REF!</v>
      </c>
      <c r="S96" s="12" t="e">
        <f>MATCH(Tab_Data_Flows[[#This Row],[Name(EN)]],#REF!,0)</f>
        <v>#REF!</v>
      </c>
      <c r="T96" s="12"/>
      <c r="U96" s="12"/>
      <c r="V96" s="12"/>
      <c r="W96" s="12"/>
      <c r="X96" s="12" t="s">
        <v>8</v>
      </c>
      <c r="Y96" s="12"/>
      <c r="Z96" s="12"/>
      <c r="AA96" s="36">
        <f t="shared" si="3"/>
        <v>0</v>
      </c>
      <c r="AB96" s="12" t="s">
        <v>283</v>
      </c>
      <c r="AC96" s="193">
        <f>INDEX(Tab_Def_Flows[[Flow_ID]:[CC_DM_source]],MATCH(Tab_Data_Flows[[#This Row],[Name(EN)]],Tab_Def_Flows[Name(EN)],0),13)</f>
        <v>0</v>
      </c>
      <c r="AD96" s="10" t="str">
        <f>IF(J96="Yes",AA96*Tab_Data_Flows[[#This Row],[WC_'[%']]],"N.A.")</f>
        <v>N.A.</v>
      </c>
      <c r="AE96" s="10" t="str">
        <f>Tab_Data_Flows[[#This Row],[UoM_Flow_Py]]</f>
        <v>Mg</v>
      </c>
      <c r="AF96" s="193">
        <f>INDEX(Tab_Def_Flows[[Flow_ID]:[CC_DM_source]],MATCH(Tab_Data_Flows[[#This Row],[Name(EN)]],Tab_Def_Flows[Name(EN)],0),15)</f>
        <v>0</v>
      </c>
      <c r="AG96" s="10" t="str">
        <f>IF(K96="Yes",AF96*Tab_Data_Flows[[#This Row],[Flow_Py]],"N.A.")</f>
        <v>N.A.</v>
      </c>
      <c r="AH96" s="10" t="str">
        <f>Tab_Data_Flows[[#This Row],[UoM_Flow_Py]]</f>
        <v>Mg</v>
      </c>
      <c r="AI96" s="193">
        <f>INDEX(Tab_Def_Flows[[Flow_ID]:[CC_DM_source]],MATCH(Tab_Data_Flows[[#This Row],[Name(EN)]],Tab_Def_Flows[Name(EN)],0),17)</f>
        <v>0</v>
      </c>
      <c r="AJ96" s="10" t="str">
        <f>IF(L96="Yes",AI96*Tab_Data_Flows[[#This Row],[Flow_Py]]*Tab_Data_Flows[[#This Row],[DM_'[%']]],"N.A.")</f>
        <v>N.A.</v>
      </c>
      <c r="AK96" s="10" t="str">
        <f>Tab_Data_Flows[[#This Row],[UoM_Flow_Py]]</f>
        <v>Mg</v>
      </c>
    </row>
    <row r="97" spans="1:37" x14ac:dyDescent="0.25">
      <c r="A97" s="17">
        <f t="shared" si="2"/>
        <v>96</v>
      </c>
      <c r="B97" s="10" t="str">
        <f>_xlfn.XLOOKUP(C97,Tab_Def_Flows[Name(EN)],Tab_Def_Flows[Flow_ID],,0,)</f>
        <v>N.A.</v>
      </c>
      <c r="C97" s="12" t="s">
        <v>35</v>
      </c>
      <c r="D97" s="10"/>
      <c r="E97" s="10">
        <f>_xlfn.XLOOKUP(C97,Tab_Def_Flows[Name(EN)],Tab_Def_Flows[Output_Process],,0,)</f>
        <v>0</v>
      </c>
      <c r="F97" s="10">
        <f>_xlfn.XLOOKUP(C97,Tab_Def_Flows[Name(EN)],Tab_Def_Flows[Process_ID_O],,0,)</f>
        <v>0</v>
      </c>
      <c r="G97" s="10">
        <f>_xlfn.XLOOKUP(C97,Tab_Def_Flows[Name(EN)],Tab_Def_Flows[Input_Process],,0,)</f>
        <v>0</v>
      </c>
      <c r="H97" s="18">
        <f>_xlfn.XLOOKUP(C97,Tab_Def_Flows[Name(EN)],Tab_Def_Flows[Process_ID_I],,0,)</f>
        <v>0</v>
      </c>
      <c r="I97" s="10" t="e">
        <f>_xlfn.XLOOKUP(C97,Tab_Def_Flows[Name(EN)],#REF!,,0,)</f>
        <v>#REF!</v>
      </c>
      <c r="J97" s="10">
        <f>_xlfn.XLOOKUP(C97,Tab_Def_Flows[Name(EN)],Tab_Def_Flows[WC?],,0,)</f>
        <v>0</v>
      </c>
      <c r="K97" s="10">
        <f>_xlfn.XLOOKUP(C97,Tab_Def_Flows[Name(EN)],Tab_Def_Flows[DM?],,0,)</f>
        <v>0</v>
      </c>
      <c r="L97" s="10">
        <f>_xlfn.XLOOKUP(C97,Tab_Def_Flows[Name(EN)],Tab_Def_Flows[CC?],,0,)</f>
        <v>0</v>
      </c>
      <c r="M97" s="12"/>
      <c r="N97" s="12"/>
      <c r="O97" s="50"/>
      <c r="P97" s="12"/>
      <c r="Q97" s="12"/>
      <c r="R97" s="12" t="e">
        <f>INDEX(#REF!,MATCH(Tab_Data_Flows[[#This Row],[Name(EN)]],#REF!,0),12)</f>
        <v>#REF!</v>
      </c>
      <c r="S97" s="12" t="e">
        <f>MATCH(Tab_Data_Flows[[#This Row],[Name(EN)]],#REF!,0)</f>
        <v>#REF!</v>
      </c>
      <c r="T97" s="12"/>
      <c r="U97" s="12"/>
      <c r="V97" s="12"/>
      <c r="W97" s="12"/>
      <c r="X97" s="12" t="s">
        <v>8</v>
      </c>
      <c r="Y97" s="12"/>
      <c r="Z97" s="12"/>
      <c r="AA97" s="36">
        <f t="shared" si="3"/>
        <v>0</v>
      </c>
      <c r="AB97" s="12" t="s">
        <v>283</v>
      </c>
      <c r="AC97" s="193">
        <f>INDEX(Tab_Def_Flows[[Flow_ID]:[CC_DM_source]],MATCH(Tab_Data_Flows[[#This Row],[Name(EN)]],Tab_Def_Flows[Name(EN)],0),13)</f>
        <v>0</v>
      </c>
      <c r="AD97" s="10" t="str">
        <f>IF(J97="Yes",AA97*Tab_Data_Flows[[#This Row],[WC_'[%']]],"N.A.")</f>
        <v>N.A.</v>
      </c>
      <c r="AE97" s="10" t="str">
        <f>Tab_Data_Flows[[#This Row],[UoM_Flow_Py]]</f>
        <v>Mg</v>
      </c>
      <c r="AF97" s="193">
        <f>INDEX(Tab_Def_Flows[[Flow_ID]:[CC_DM_source]],MATCH(Tab_Data_Flows[[#This Row],[Name(EN)]],Tab_Def_Flows[Name(EN)],0),15)</f>
        <v>0</v>
      </c>
      <c r="AG97" s="10" t="str">
        <f>IF(K97="Yes",AF97*Tab_Data_Flows[[#This Row],[Flow_Py]],"N.A.")</f>
        <v>N.A.</v>
      </c>
      <c r="AH97" s="10" t="str">
        <f>Tab_Data_Flows[[#This Row],[UoM_Flow_Py]]</f>
        <v>Mg</v>
      </c>
      <c r="AI97" s="193">
        <f>INDEX(Tab_Def_Flows[[Flow_ID]:[CC_DM_source]],MATCH(Tab_Data_Flows[[#This Row],[Name(EN)]],Tab_Def_Flows[Name(EN)],0),17)</f>
        <v>0</v>
      </c>
      <c r="AJ97" s="10" t="str">
        <f>IF(L97="Yes",AI97*Tab_Data_Flows[[#This Row],[Flow_Py]]*Tab_Data_Flows[[#This Row],[DM_'[%']]],"N.A.")</f>
        <v>N.A.</v>
      </c>
      <c r="AK97" s="10" t="str">
        <f>Tab_Data_Flows[[#This Row],[UoM_Flow_Py]]</f>
        <v>Mg</v>
      </c>
    </row>
    <row r="98" spans="1:37" x14ac:dyDescent="0.25">
      <c r="A98" s="17">
        <f t="shared" si="2"/>
        <v>97</v>
      </c>
      <c r="B98" s="10" t="str">
        <f>_xlfn.XLOOKUP(C98,Tab_Def_Flows[Name(EN)],Tab_Def_Flows[Flow_ID],,0,)</f>
        <v>N.A.</v>
      </c>
      <c r="C98" s="12" t="s">
        <v>35</v>
      </c>
      <c r="D98" s="10"/>
      <c r="E98" s="10">
        <f>_xlfn.XLOOKUP(C98,Tab_Def_Flows[Name(EN)],Tab_Def_Flows[Output_Process],,0,)</f>
        <v>0</v>
      </c>
      <c r="F98" s="10">
        <f>_xlfn.XLOOKUP(C98,Tab_Def_Flows[Name(EN)],Tab_Def_Flows[Process_ID_O],,0,)</f>
        <v>0</v>
      </c>
      <c r="G98" s="10">
        <f>_xlfn.XLOOKUP(C98,Tab_Def_Flows[Name(EN)],Tab_Def_Flows[Input_Process],,0,)</f>
        <v>0</v>
      </c>
      <c r="H98" s="18">
        <f>_xlfn.XLOOKUP(C98,Tab_Def_Flows[Name(EN)],Tab_Def_Flows[Process_ID_I],,0,)</f>
        <v>0</v>
      </c>
      <c r="I98" s="10" t="e">
        <f>_xlfn.XLOOKUP(C98,Tab_Def_Flows[Name(EN)],#REF!,,0,)</f>
        <v>#REF!</v>
      </c>
      <c r="J98" s="10">
        <f>_xlfn.XLOOKUP(C98,Tab_Def_Flows[Name(EN)],Tab_Def_Flows[WC?],,0,)</f>
        <v>0</v>
      </c>
      <c r="K98" s="10">
        <f>_xlfn.XLOOKUP(C98,Tab_Def_Flows[Name(EN)],Tab_Def_Flows[DM?],,0,)</f>
        <v>0</v>
      </c>
      <c r="L98" s="10">
        <f>_xlfn.XLOOKUP(C98,Tab_Def_Flows[Name(EN)],Tab_Def_Flows[CC?],,0,)</f>
        <v>0</v>
      </c>
      <c r="M98" s="12"/>
      <c r="N98" s="12"/>
      <c r="O98" s="50"/>
      <c r="P98" s="12"/>
      <c r="Q98" s="12"/>
      <c r="R98" s="12" t="e">
        <f>INDEX(#REF!,MATCH(Tab_Data_Flows[[#This Row],[Name(EN)]],#REF!,0),12)</f>
        <v>#REF!</v>
      </c>
      <c r="S98" s="12" t="e">
        <f>MATCH(Tab_Data_Flows[[#This Row],[Name(EN)]],#REF!,0)</f>
        <v>#REF!</v>
      </c>
      <c r="T98" s="12"/>
      <c r="U98" s="12"/>
      <c r="V98" s="12"/>
      <c r="W98" s="12"/>
      <c r="X98" s="12" t="s">
        <v>8</v>
      </c>
      <c r="Y98" s="12"/>
      <c r="Z98" s="12"/>
      <c r="AA98" s="36">
        <f t="shared" si="3"/>
        <v>0</v>
      </c>
      <c r="AB98" s="12" t="s">
        <v>283</v>
      </c>
      <c r="AC98" s="193">
        <f>INDEX(Tab_Def_Flows[[Flow_ID]:[CC_DM_source]],MATCH(Tab_Data_Flows[[#This Row],[Name(EN)]],Tab_Def_Flows[Name(EN)],0),13)</f>
        <v>0</v>
      </c>
      <c r="AD98" s="10" t="str">
        <f>IF(J98="Yes",AA98*Tab_Data_Flows[[#This Row],[WC_'[%']]],"N.A.")</f>
        <v>N.A.</v>
      </c>
      <c r="AE98" s="10" t="str">
        <f>Tab_Data_Flows[[#This Row],[UoM_Flow_Py]]</f>
        <v>Mg</v>
      </c>
      <c r="AF98" s="193">
        <f>INDEX(Tab_Def_Flows[[Flow_ID]:[CC_DM_source]],MATCH(Tab_Data_Flows[[#This Row],[Name(EN)]],Tab_Def_Flows[Name(EN)],0),15)</f>
        <v>0</v>
      </c>
      <c r="AG98" s="10" t="str">
        <f>IF(K98="Yes",AF98*Tab_Data_Flows[[#This Row],[Flow_Py]],"N.A.")</f>
        <v>N.A.</v>
      </c>
      <c r="AH98" s="10" t="str">
        <f>Tab_Data_Flows[[#This Row],[UoM_Flow_Py]]</f>
        <v>Mg</v>
      </c>
      <c r="AI98" s="193">
        <f>INDEX(Tab_Def_Flows[[Flow_ID]:[CC_DM_source]],MATCH(Tab_Data_Flows[[#This Row],[Name(EN)]],Tab_Def_Flows[Name(EN)],0),17)</f>
        <v>0</v>
      </c>
      <c r="AJ98" s="10" t="str">
        <f>IF(L98="Yes",AI98*Tab_Data_Flows[[#This Row],[Flow_Py]]*Tab_Data_Flows[[#This Row],[DM_'[%']]],"N.A.")</f>
        <v>N.A.</v>
      </c>
      <c r="AK98" s="10" t="str">
        <f>Tab_Data_Flows[[#This Row],[UoM_Flow_Py]]</f>
        <v>Mg</v>
      </c>
    </row>
    <row r="99" spans="1:37" x14ac:dyDescent="0.25">
      <c r="A99" s="17">
        <f t="shared" si="2"/>
        <v>98</v>
      </c>
      <c r="B99" s="10" t="str">
        <f>_xlfn.XLOOKUP(C99,Tab_Def_Flows[Name(EN)],Tab_Def_Flows[Flow_ID],,0,)</f>
        <v>N.A.</v>
      </c>
      <c r="C99" s="12" t="s">
        <v>35</v>
      </c>
      <c r="D99" s="10"/>
      <c r="E99" s="10">
        <f>_xlfn.XLOOKUP(C99,Tab_Def_Flows[Name(EN)],Tab_Def_Flows[Output_Process],,0,)</f>
        <v>0</v>
      </c>
      <c r="F99" s="10">
        <f>_xlfn.XLOOKUP(C99,Tab_Def_Flows[Name(EN)],Tab_Def_Flows[Process_ID_O],,0,)</f>
        <v>0</v>
      </c>
      <c r="G99" s="10">
        <f>_xlfn.XLOOKUP(C99,Tab_Def_Flows[Name(EN)],Tab_Def_Flows[Input_Process],,0,)</f>
        <v>0</v>
      </c>
      <c r="H99" s="18">
        <f>_xlfn.XLOOKUP(C99,Tab_Def_Flows[Name(EN)],Tab_Def_Flows[Process_ID_I],,0,)</f>
        <v>0</v>
      </c>
      <c r="I99" s="10" t="e">
        <f>_xlfn.XLOOKUP(C99,Tab_Def_Flows[Name(EN)],#REF!,,0,)</f>
        <v>#REF!</v>
      </c>
      <c r="J99" s="10">
        <f>_xlfn.XLOOKUP(C99,Tab_Def_Flows[Name(EN)],Tab_Def_Flows[WC?],,0,)</f>
        <v>0</v>
      </c>
      <c r="K99" s="10">
        <f>_xlfn.XLOOKUP(C99,Tab_Def_Flows[Name(EN)],Tab_Def_Flows[DM?],,0,)</f>
        <v>0</v>
      </c>
      <c r="L99" s="10">
        <f>_xlfn.XLOOKUP(C99,Tab_Def_Flows[Name(EN)],Tab_Def_Flows[CC?],,0,)</f>
        <v>0</v>
      </c>
      <c r="M99" s="12"/>
      <c r="N99" s="12"/>
      <c r="O99" s="50"/>
      <c r="P99" s="12"/>
      <c r="Q99" s="12"/>
      <c r="R99" s="12" t="e">
        <f>INDEX(#REF!,MATCH(Tab_Data_Flows[[#This Row],[Name(EN)]],#REF!,0),12)</f>
        <v>#REF!</v>
      </c>
      <c r="S99" s="12" t="e">
        <f>MATCH(Tab_Data_Flows[[#This Row],[Name(EN)]],#REF!,0)</f>
        <v>#REF!</v>
      </c>
      <c r="T99" s="12"/>
      <c r="U99" s="12"/>
      <c r="V99" s="12"/>
      <c r="W99" s="12"/>
      <c r="X99" s="12" t="s">
        <v>8</v>
      </c>
      <c r="Y99" s="12"/>
      <c r="Z99" s="12"/>
      <c r="AA99" s="36">
        <f t="shared" si="3"/>
        <v>0</v>
      </c>
      <c r="AB99" s="12" t="s">
        <v>283</v>
      </c>
      <c r="AC99" s="193">
        <f>INDEX(Tab_Def_Flows[[Flow_ID]:[CC_DM_source]],MATCH(Tab_Data_Flows[[#This Row],[Name(EN)]],Tab_Def_Flows[Name(EN)],0),13)</f>
        <v>0</v>
      </c>
      <c r="AD99" s="10" t="str">
        <f>IF(J99="Yes",AA99*Tab_Data_Flows[[#This Row],[WC_'[%']]],"N.A.")</f>
        <v>N.A.</v>
      </c>
      <c r="AE99" s="10" t="str">
        <f>Tab_Data_Flows[[#This Row],[UoM_Flow_Py]]</f>
        <v>Mg</v>
      </c>
      <c r="AF99" s="193">
        <f>INDEX(Tab_Def_Flows[[Flow_ID]:[CC_DM_source]],MATCH(Tab_Data_Flows[[#This Row],[Name(EN)]],Tab_Def_Flows[Name(EN)],0),15)</f>
        <v>0</v>
      </c>
      <c r="AG99" s="10" t="str">
        <f>IF(K99="Yes",AF99*Tab_Data_Flows[[#This Row],[Flow_Py]],"N.A.")</f>
        <v>N.A.</v>
      </c>
      <c r="AH99" s="10" t="str">
        <f>Tab_Data_Flows[[#This Row],[UoM_Flow_Py]]</f>
        <v>Mg</v>
      </c>
      <c r="AI99" s="193">
        <f>INDEX(Tab_Def_Flows[[Flow_ID]:[CC_DM_source]],MATCH(Tab_Data_Flows[[#This Row],[Name(EN)]],Tab_Def_Flows[Name(EN)],0),17)</f>
        <v>0</v>
      </c>
      <c r="AJ99" s="10" t="str">
        <f>IF(L99="Yes",AI99*Tab_Data_Flows[[#This Row],[Flow_Py]]*Tab_Data_Flows[[#This Row],[DM_'[%']]],"N.A.")</f>
        <v>N.A.</v>
      </c>
      <c r="AK99" s="10" t="str">
        <f>Tab_Data_Flows[[#This Row],[UoM_Flow_Py]]</f>
        <v>Mg</v>
      </c>
    </row>
    <row r="100" spans="1:37" x14ac:dyDescent="0.25">
      <c r="A100" s="17">
        <f t="shared" si="2"/>
        <v>99</v>
      </c>
      <c r="B100" s="10" t="str">
        <f>_xlfn.XLOOKUP(C100,Tab_Def_Flows[Name(EN)],Tab_Def_Flows[Flow_ID],,0,)</f>
        <v>N.A.</v>
      </c>
      <c r="C100" s="12" t="s">
        <v>35</v>
      </c>
      <c r="D100" s="10"/>
      <c r="E100" s="10">
        <f>_xlfn.XLOOKUP(C100,Tab_Def_Flows[Name(EN)],Tab_Def_Flows[Output_Process],,0,)</f>
        <v>0</v>
      </c>
      <c r="F100" s="10">
        <f>_xlfn.XLOOKUP(C100,Tab_Def_Flows[Name(EN)],Tab_Def_Flows[Process_ID_O],,0,)</f>
        <v>0</v>
      </c>
      <c r="G100" s="10">
        <f>_xlfn.XLOOKUP(C100,Tab_Def_Flows[Name(EN)],Tab_Def_Flows[Input_Process],,0,)</f>
        <v>0</v>
      </c>
      <c r="H100" s="18">
        <f>_xlfn.XLOOKUP(C100,Tab_Def_Flows[Name(EN)],Tab_Def_Flows[Process_ID_I],,0,)</f>
        <v>0</v>
      </c>
      <c r="I100" s="10" t="e">
        <f>_xlfn.XLOOKUP(C100,Tab_Def_Flows[Name(EN)],#REF!,,0,)</f>
        <v>#REF!</v>
      </c>
      <c r="J100" s="10">
        <f>_xlfn.XLOOKUP(C100,Tab_Def_Flows[Name(EN)],Tab_Def_Flows[WC?],,0,)</f>
        <v>0</v>
      </c>
      <c r="K100" s="10">
        <f>_xlfn.XLOOKUP(C100,Tab_Def_Flows[Name(EN)],Tab_Def_Flows[DM?],,0,)</f>
        <v>0</v>
      </c>
      <c r="L100" s="10">
        <f>_xlfn.XLOOKUP(C100,Tab_Def_Flows[Name(EN)],Tab_Def_Flows[CC?],,0,)</f>
        <v>0</v>
      </c>
      <c r="M100" s="12"/>
      <c r="N100" s="12"/>
      <c r="O100" s="50"/>
      <c r="P100" s="12"/>
      <c r="Q100" s="12"/>
      <c r="R100" s="12" t="e">
        <f>INDEX(#REF!,MATCH(Tab_Data_Flows[[#This Row],[Name(EN)]],#REF!,0),12)</f>
        <v>#REF!</v>
      </c>
      <c r="S100" s="12" t="e">
        <f>MATCH(Tab_Data_Flows[[#This Row],[Name(EN)]],#REF!,0)</f>
        <v>#REF!</v>
      </c>
      <c r="T100" s="12"/>
      <c r="U100" s="12"/>
      <c r="V100" s="12"/>
      <c r="W100" s="12"/>
      <c r="X100" s="12" t="s">
        <v>8</v>
      </c>
      <c r="Y100" s="12"/>
      <c r="Z100" s="12"/>
      <c r="AA100" s="36">
        <f t="shared" si="3"/>
        <v>0</v>
      </c>
      <c r="AB100" s="12" t="s">
        <v>283</v>
      </c>
      <c r="AC100" s="193">
        <f>INDEX(Tab_Def_Flows[[Flow_ID]:[CC_DM_source]],MATCH(Tab_Data_Flows[[#This Row],[Name(EN)]],Tab_Def_Flows[Name(EN)],0),13)</f>
        <v>0</v>
      </c>
      <c r="AD100" s="10" t="str">
        <f>IF(J100="Yes",AA100*Tab_Data_Flows[[#This Row],[WC_'[%']]],"N.A.")</f>
        <v>N.A.</v>
      </c>
      <c r="AE100" s="10" t="str">
        <f>Tab_Data_Flows[[#This Row],[UoM_Flow_Py]]</f>
        <v>Mg</v>
      </c>
      <c r="AF100" s="193">
        <f>INDEX(Tab_Def_Flows[[Flow_ID]:[CC_DM_source]],MATCH(Tab_Data_Flows[[#This Row],[Name(EN)]],Tab_Def_Flows[Name(EN)],0),15)</f>
        <v>0</v>
      </c>
      <c r="AG100" s="10" t="str">
        <f>IF(K100="Yes",AF100*Tab_Data_Flows[[#This Row],[Flow_Py]],"N.A.")</f>
        <v>N.A.</v>
      </c>
      <c r="AH100" s="10" t="str">
        <f>Tab_Data_Flows[[#This Row],[UoM_Flow_Py]]</f>
        <v>Mg</v>
      </c>
      <c r="AI100" s="193">
        <f>INDEX(Tab_Def_Flows[[Flow_ID]:[CC_DM_source]],MATCH(Tab_Data_Flows[[#This Row],[Name(EN)]],Tab_Def_Flows[Name(EN)],0),17)</f>
        <v>0</v>
      </c>
      <c r="AJ100" s="10" t="str">
        <f>IF(L100="Yes",AI100*Tab_Data_Flows[[#This Row],[Flow_Py]]*Tab_Data_Flows[[#This Row],[DM_'[%']]],"N.A.")</f>
        <v>N.A.</v>
      </c>
      <c r="AK100" s="10" t="str">
        <f>Tab_Data_Flows[[#This Row],[UoM_Flow_Py]]</f>
        <v>Mg</v>
      </c>
    </row>
    <row r="101" spans="1:37" x14ac:dyDescent="0.25">
      <c r="A101" s="17">
        <f t="shared" si="2"/>
        <v>100</v>
      </c>
      <c r="B101" s="10" t="str">
        <f>_xlfn.XLOOKUP(C101,Tab_Def_Flows[Name(EN)],Tab_Def_Flows[Flow_ID],,0,)</f>
        <v>N.A.</v>
      </c>
      <c r="C101" s="12" t="s">
        <v>35</v>
      </c>
      <c r="D101" s="10"/>
      <c r="E101" s="10">
        <f>_xlfn.XLOOKUP(C101,Tab_Def_Flows[Name(EN)],Tab_Def_Flows[Output_Process],,0,)</f>
        <v>0</v>
      </c>
      <c r="F101" s="10">
        <f>_xlfn.XLOOKUP(C101,Tab_Def_Flows[Name(EN)],Tab_Def_Flows[Process_ID_O],,0,)</f>
        <v>0</v>
      </c>
      <c r="G101" s="10">
        <f>_xlfn.XLOOKUP(C101,Tab_Def_Flows[Name(EN)],Tab_Def_Flows[Input_Process],,0,)</f>
        <v>0</v>
      </c>
      <c r="H101" s="18">
        <f>_xlfn.XLOOKUP(C101,Tab_Def_Flows[Name(EN)],Tab_Def_Flows[Process_ID_I],,0,)</f>
        <v>0</v>
      </c>
      <c r="I101" s="10" t="e">
        <f>_xlfn.XLOOKUP(C101,Tab_Def_Flows[Name(EN)],#REF!,,0,)</f>
        <v>#REF!</v>
      </c>
      <c r="J101" s="10">
        <f>_xlfn.XLOOKUP(C101,Tab_Def_Flows[Name(EN)],Tab_Def_Flows[WC?],,0,)</f>
        <v>0</v>
      </c>
      <c r="K101" s="10">
        <f>_xlfn.XLOOKUP(C101,Tab_Def_Flows[Name(EN)],Tab_Def_Flows[DM?],,0,)</f>
        <v>0</v>
      </c>
      <c r="L101" s="10">
        <f>_xlfn.XLOOKUP(C101,Tab_Def_Flows[Name(EN)],Tab_Def_Flows[CC?],,0,)</f>
        <v>0</v>
      </c>
      <c r="M101" s="12"/>
      <c r="N101" s="12"/>
      <c r="O101" s="50"/>
      <c r="P101" s="12"/>
      <c r="Q101" s="12"/>
      <c r="R101" s="12" t="e">
        <f>INDEX(#REF!,MATCH(Tab_Data_Flows[[#This Row],[Name(EN)]],#REF!,0),12)</f>
        <v>#REF!</v>
      </c>
      <c r="S101" s="12" t="e">
        <f>MATCH(Tab_Data_Flows[[#This Row],[Name(EN)]],#REF!,0)</f>
        <v>#REF!</v>
      </c>
      <c r="T101" s="12"/>
      <c r="U101" s="12"/>
      <c r="V101" s="12"/>
      <c r="W101" s="12"/>
      <c r="X101" s="12" t="s">
        <v>8</v>
      </c>
      <c r="Y101" s="12"/>
      <c r="Z101" s="12"/>
      <c r="AA101" s="36">
        <f t="shared" si="3"/>
        <v>0</v>
      </c>
      <c r="AB101" s="12" t="s">
        <v>283</v>
      </c>
      <c r="AC101" s="193">
        <f>INDEX(Tab_Def_Flows[[Flow_ID]:[CC_DM_source]],MATCH(Tab_Data_Flows[[#This Row],[Name(EN)]],Tab_Def_Flows[Name(EN)],0),13)</f>
        <v>0</v>
      </c>
      <c r="AD101" s="10" t="str">
        <f>IF(J101="Yes",AA101*Tab_Data_Flows[[#This Row],[WC_'[%']]],"N.A.")</f>
        <v>N.A.</v>
      </c>
      <c r="AE101" s="10" t="str">
        <f>Tab_Data_Flows[[#This Row],[UoM_Flow_Py]]</f>
        <v>Mg</v>
      </c>
      <c r="AF101" s="193">
        <f>INDEX(Tab_Def_Flows[[Flow_ID]:[CC_DM_source]],MATCH(Tab_Data_Flows[[#This Row],[Name(EN)]],Tab_Def_Flows[Name(EN)],0),15)</f>
        <v>0</v>
      </c>
      <c r="AG101" s="10" t="str">
        <f>IF(K101="Yes",AF101*Tab_Data_Flows[[#This Row],[Flow_Py]],"N.A.")</f>
        <v>N.A.</v>
      </c>
      <c r="AH101" s="10" t="str">
        <f>Tab_Data_Flows[[#This Row],[UoM_Flow_Py]]</f>
        <v>Mg</v>
      </c>
      <c r="AI101" s="193">
        <f>INDEX(Tab_Def_Flows[[Flow_ID]:[CC_DM_source]],MATCH(Tab_Data_Flows[[#This Row],[Name(EN)]],Tab_Def_Flows[Name(EN)],0),17)</f>
        <v>0</v>
      </c>
      <c r="AJ101" s="10" t="str">
        <f>IF(L101="Yes",AI101*Tab_Data_Flows[[#This Row],[Flow_Py]]*Tab_Data_Flows[[#This Row],[DM_'[%']]],"N.A.")</f>
        <v>N.A.</v>
      </c>
      <c r="AK101" s="10" t="str">
        <f>Tab_Data_Flows[[#This Row],[UoM_Flow_Py]]</f>
        <v>Mg</v>
      </c>
    </row>
    <row r="102" spans="1:37" x14ac:dyDescent="0.25">
      <c r="A102" s="17">
        <f t="shared" si="2"/>
        <v>101</v>
      </c>
      <c r="B102" s="10" t="str">
        <f>_xlfn.XLOOKUP(C102,Tab_Def_Flows[Name(EN)],Tab_Def_Flows[Flow_ID],,0,)</f>
        <v>N.A.</v>
      </c>
      <c r="C102" s="12" t="s">
        <v>35</v>
      </c>
      <c r="D102" s="10"/>
      <c r="E102" s="10">
        <f>_xlfn.XLOOKUP(C102,Tab_Def_Flows[Name(EN)],Tab_Def_Flows[Output_Process],,0,)</f>
        <v>0</v>
      </c>
      <c r="F102" s="10">
        <f>_xlfn.XLOOKUP(C102,Tab_Def_Flows[Name(EN)],Tab_Def_Flows[Process_ID_O],,0,)</f>
        <v>0</v>
      </c>
      <c r="G102" s="10">
        <f>_xlfn.XLOOKUP(C102,Tab_Def_Flows[Name(EN)],Tab_Def_Flows[Input_Process],,0,)</f>
        <v>0</v>
      </c>
      <c r="H102" s="18">
        <f>_xlfn.XLOOKUP(C102,Tab_Def_Flows[Name(EN)],Tab_Def_Flows[Process_ID_I],,0,)</f>
        <v>0</v>
      </c>
      <c r="I102" s="10" t="e">
        <f>_xlfn.XLOOKUP(C102,Tab_Def_Flows[Name(EN)],#REF!,,0,)</f>
        <v>#REF!</v>
      </c>
      <c r="J102" s="10">
        <f>_xlfn.XLOOKUP(C102,Tab_Def_Flows[Name(EN)],Tab_Def_Flows[WC?],,0,)</f>
        <v>0</v>
      </c>
      <c r="K102" s="10">
        <f>_xlfn.XLOOKUP(C102,Tab_Def_Flows[Name(EN)],Tab_Def_Flows[DM?],,0,)</f>
        <v>0</v>
      </c>
      <c r="L102" s="10">
        <f>_xlfn.XLOOKUP(C102,Tab_Def_Flows[Name(EN)],Tab_Def_Flows[CC?],,0,)</f>
        <v>0</v>
      </c>
      <c r="M102" s="12"/>
      <c r="N102" s="12"/>
      <c r="O102" s="50"/>
      <c r="P102" s="12"/>
      <c r="Q102" s="12"/>
      <c r="R102" s="12" t="e">
        <f>INDEX(#REF!,MATCH(Tab_Data_Flows[[#This Row],[Name(EN)]],#REF!,0),12)</f>
        <v>#REF!</v>
      </c>
      <c r="S102" s="12" t="e">
        <f>MATCH(Tab_Data_Flows[[#This Row],[Name(EN)]],#REF!,0)</f>
        <v>#REF!</v>
      </c>
      <c r="T102" s="12"/>
      <c r="U102" s="12"/>
      <c r="V102" s="12"/>
      <c r="W102" s="12"/>
      <c r="X102" s="12" t="s">
        <v>8</v>
      </c>
      <c r="Y102" s="12"/>
      <c r="Z102" s="12"/>
      <c r="AA102" s="36">
        <f t="shared" si="3"/>
        <v>0</v>
      </c>
      <c r="AB102" s="12" t="s">
        <v>283</v>
      </c>
      <c r="AC102" s="193">
        <f>INDEX(Tab_Def_Flows[[Flow_ID]:[CC_DM_source]],MATCH(Tab_Data_Flows[[#This Row],[Name(EN)]],Tab_Def_Flows[Name(EN)],0),13)</f>
        <v>0</v>
      </c>
      <c r="AD102" s="10" t="str">
        <f>IF(J102="Yes",AA102*Tab_Data_Flows[[#This Row],[WC_'[%']]],"N.A.")</f>
        <v>N.A.</v>
      </c>
      <c r="AE102" s="10" t="str">
        <f>Tab_Data_Flows[[#This Row],[UoM_Flow_Py]]</f>
        <v>Mg</v>
      </c>
      <c r="AF102" s="193">
        <f>INDEX(Tab_Def_Flows[[Flow_ID]:[CC_DM_source]],MATCH(Tab_Data_Flows[[#This Row],[Name(EN)]],Tab_Def_Flows[Name(EN)],0),15)</f>
        <v>0</v>
      </c>
      <c r="AG102" s="10" t="str">
        <f>IF(K102="Yes",AF102*Tab_Data_Flows[[#This Row],[Flow_Py]],"N.A.")</f>
        <v>N.A.</v>
      </c>
      <c r="AH102" s="10" t="str">
        <f>Tab_Data_Flows[[#This Row],[UoM_Flow_Py]]</f>
        <v>Mg</v>
      </c>
      <c r="AI102" s="193">
        <f>INDEX(Tab_Def_Flows[[Flow_ID]:[CC_DM_source]],MATCH(Tab_Data_Flows[[#This Row],[Name(EN)]],Tab_Def_Flows[Name(EN)],0),17)</f>
        <v>0</v>
      </c>
      <c r="AJ102" s="10" t="str">
        <f>IF(L102="Yes",AI102*Tab_Data_Flows[[#This Row],[Flow_Py]]*Tab_Data_Flows[[#This Row],[DM_'[%']]],"N.A.")</f>
        <v>N.A.</v>
      </c>
      <c r="AK102" s="10" t="str">
        <f>Tab_Data_Flows[[#This Row],[UoM_Flow_Py]]</f>
        <v>Mg</v>
      </c>
    </row>
    <row r="103" spans="1:37" x14ac:dyDescent="0.25">
      <c r="A103" s="17">
        <f t="shared" si="2"/>
        <v>102</v>
      </c>
      <c r="B103" s="10" t="str">
        <f>_xlfn.XLOOKUP(C103,Tab_Def_Flows[Name(EN)],Tab_Def_Flows[Flow_ID],,0,)</f>
        <v>N.A.</v>
      </c>
      <c r="C103" s="12" t="s">
        <v>35</v>
      </c>
      <c r="D103" s="10"/>
      <c r="E103" s="10">
        <f>_xlfn.XLOOKUP(C103,Tab_Def_Flows[Name(EN)],Tab_Def_Flows[Output_Process],,0,)</f>
        <v>0</v>
      </c>
      <c r="F103" s="10">
        <f>_xlfn.XLOOKUP(C103,Tab_Def_Flows[Name(EN)],Tab_Def_Flows[Process_ID_O],,0,)</f>
        <v>0</v>
      </c>
      <c r="G103" s="10">
        <f>_xlfn.XLOOKUP(C103,Tab_Def_Flows[Name(EN)],Tab_Def_Flows[Input_Process],,0,)</f>
        <v>0</v>
      </c>
      <c r="H103" s="18">
        <f>_xlfn.XLOOKUP(C103,Tab_Def_Flows[Name(EN)],Tab_Def_Flows[Process_ID_I],,0,)</f>
        <v>0</v>
      </c>
      <c r="I103" s="10" t="e">
        <f>_xlfn.XLOOKUP(C103,Tab_Def_Flows[Name(EN)],#REF!,,0,)</f>
        <v>#REF!</v>
      </c>
      <c r="J103" s="10">
        <f>_xlfn.XLOOKUP(C103,Tab_Def_Flows[Name(EN)],Tab_Def_Flows[WC?],,0,)</f>
        <v>0</v>
      </c>
      <c r="K103" s="10">
        <f>_xlfn.XLOOKUP(C103,Tab_Def_Flows[Name(EN)],Tab_Def_Flows[DM?],,0,)</f>
        <v>0</v>
      </c>
      <c r="L103" s="10">
        <f>_xlfn.XLOOKUP(C103,Tab_Def_Flows[Name(EN)],Tab_Def_Flows[CC?],,0,)</f>
        <v>0</v>
      </c>
      <c r="M103" s="12"/>
      <c r="N103" s="12"/>
      <c r="O103" s="50"/>
      <c r="P103" s="12"/>
      <c r="Q103" s="12"/>
      <c r="R103" s="12" t="e">
        <f>INDEX(#REF!,MATCH(Tab_Data_Flows[[#This Row],[Name(EN)]],#REF!,0),12)</f>
        <v>#REF!</v>
      </c>
      <c r="S103" s="12" t="e">
        <f>MATCH(Tab_Data_Flows[[#This Row],[Name(EN)]],#REF!,0)</f>
        <v>#REF!</v>
      </c>
      <c r="T103" s="12"/>
      <c r="U103" s="12"/>
      <c r="V103" s="12"/>
      <c r="W103" s="12"/>
      <c r="X103" s="12" t="s">
        <v>8</v>
      </c>
      <c r="Y103" s="12"/>
      <c r="Z103" s="12"/>
      <c r="AA103" s="36">
        <f t="shared" si="3"/>
        <v>0</v>
      </c>
      <c r="AB103" s="12" t="s">
        <v>283</v>
      </c>
      <c r="AC103" s="193">
        <f>INDEX(Tab_Def_Flows[[Flow_ID]:[CC_DM_source]],MATCH(Tab_Data_Flows[[#This Row],[Name(EN)]],Tab_Def_Flows[Name(EN)],0),13)</f>
        <v>0</v>
      </c>
      <c r="AD103" s="10" t="str">
        <f>IF(J103="Yes",AA103*Tab_Data_Flows[[#This Row],[WC_'[%']]],"N.A.")</f>
        <v>N.A.</v>
      </c>
      <c r="AE103" s="10" t="str">
        <f>Tab_Data_Flows[[#This Row],[UoM_Flow_Py]]</f>
        <v>Mg</v>
      </c>
      <c r="AF103" s="193">
        <f>INDEX(Tab_Def_Flows[[Flow_ID]:[CC_DM_source]],MATCH(Tab_Data_Flows[[#This Row],[Name(EN)]],Tab_Def_Flows[Name(EN)],0),15)</f>
        <v>0</v>
      </c>
      <c r="AG103" s="10" t="str">
        <f>IF(K103="Yes",AF103*Tab_Data_Flows[[#This Row],[Flow_Py]],"N.A.")</f>
        <v>N.A.</v>
      </c>
      <c r="AH103" s="10" t="str">
        <f>Tab_Data_Flows[[#This Row],[UoM_Flow_Py]]</f>
        <v>Mg</v>
      </c>
      <c r="AI103" s="193">
        <f>INDEX(Tab_Def_Flows[[Flow_ID]:[CC_DM_source]],MATCH(Tab_Data_Flows[[#This Row],[Name(EN)]],Tab_Def_Flows[Name(EN)],0),17)</f>
        <v>0</v>
      </c>
      <c r="AJ103" s="10" t="str">
        <f>IF(L103="Yes",AI103*Tab_Data_Flows[[#This Row],[Flow_Py]]*Tab_Data_Flows[[#This Row],[DM_'[%']]],"N.A.")</f>
        <v>N.A.</v>
      </c>
      <c r="AK103" s="10" t="str">
        <f>Tab_Data_Flows[[#This Row],[UoM_Flow_Py]]</f>
        <v>Mg</v>
      </c>
    </row>
    <row r="104" spans="1:37" x14ac:dyDescent="0.25">
      <c r="A104" s="17">
        <f t="shared" si="2"/>
        <v>103</v>
      </c>
      <c r="B104" s="10" t="str">
        <f>_xlfn.XLOOKUP(C104,Tab_Def_Flows[Name(EN)],Tab_Def_Flows[Flow_ID],,0,)</f>
        <v>N.A.</v>
      </c>
      <c r="C104" s="12" t="s">
        <v>35</v>
      </c>
      <c r="D104" s="10"/>
      <c r="E104" s="10">
        <f>_xlfn.XLOOKUP(C104,Tab_Def_Flows[Name(EN)],Tab_Def_Flows[Output_Process],,0,)</f>
        <v>0</v>
      </c>
      <c r="F104" s="10">
        <f>_xlfn.XLOOKUP(C104,Tab_Def_Flows[Name(EN)],Tab_Def_Flows[Process_ID_O],,0,)</f>
        <v>0</v>
      </c>
      <c r="G104" s="10">
        <f>_xlfn.XLOOKUP(C104,Tab_Def_Flows[Name(EN)],Tab_Def_Flows[Input_Process],,0,)</f>
        <v>0</v>
      </c>
      <c r="H104" s="18">
        <f>_xlfn.XLOOKUP(C104,Tab_Def_Flows[Name(EN)],Tab_Def_Flows[Process_ID_I],,0,)</f>
        <v>0</v>
      </c>
      <c r="I104" s="10" t="e">
        <f>_xlfn.XLOOKUP(C104,Tab_Def_Flows[Name(EN)],#REF!,,0,)</f>
        <v>#REF!</v>
      </c>
      <c r="J104" s="10">
        <f>_xlfn.XLOOKUP(C104,Tab_Def_Flows[Name(EN)],Tab_Def_Flows[WC?],,0,)</f>
        <v>0</v>
      </c>
      <c r="K104" s="10">
        <f>_xlfn.XLOOKUP(C104,Tab_Def_Flows[Name(EN)],Tab_Def_Flows[DM?],,0,)</f>
        <v>0</v>
      </c>
      <c r="L104" s="10">
        <f>_xlfn.XLOOKUP(C104,Tab_Def_Flows[Name(EN)],Tab_Def_Flows[CC?],,0,)</f>
        <v>0</v>
      </c>
      <c r="M104" s="12"/>
      <c r="N104" s="12"/>
      <c r="O104" s="50"/>
      <c r="P104" s="12"/>
      <c r="Q104" s="12"/>
      <c r="R104" s="12" t="e">
        <f>INDEX(#REF!,MATCH(Tab_Data_Flows[[#This Row],[Name(EN)]],#REF!,0),12)</f>
        <v>#REF!</v>
      </c>
      <c r="S104" s="12" t="e">
        <f>MATCH(Tab_Data_Flows[[#This Row],[Name(EN)]],#REF!,0)</f>
        <v>#REF!</v>
      </c>
      <c r="T104" s="12"/>
      <c r="U104" s="12"/>
      <c r="V104" s="12"/>
      <c r="W104" s="12"/>
      <c r="X104" s="12" t="s">
        <v>8</v>
      </c>
      <c r="Y104" s="12"/>
      <c r="Z104" s="12"/>
      <c r="AA104" s="36">
        <f t="shared" si="3"/>
        <v>0</v>
      </c>
      <c r="AB104" s="12" t="s">
        <v>283</v>
      </c>
      <c r="AC104" s="193">
        <f>INDEX(Tab_Def_Flows[[Flow_ID]:[CC_DM_source]],MATCH(Tab_Data_Flows[[#This Row],[Name(EN)]],Tab_Def_Flows[Name(EN)],0),13)</f>
        <v>0</v>
      </c>
      <c r="AD104" s="10" t="str">
        <f>IF(J104="Yes",AA104*Tab_Data_Flows[[#This Row],[WC_'[%']]],"N.A.")</f>
        <v>N.A.</v>
      </c>
      <c r="AE104" s="10" t="str">
        <f>Tab_Data_Flows[[#This Row],[UoM_Flow_Py]]</f>
        <v>Mg</v>
      </c>
      <c r="AF104" s="193">
        <f>INDEX(Tab_Def_Flows[[Flow_ID]:[CC_DM_source]],MATCH(Tab_Data_Flows[[#This Row],[Name(EN)]],Tab_Def_Flows[Name(EN)],0),15)</f>
        <v>0</v>
      </c>
      <c r="AG104" s="10" t="str">
        <f>IF(K104="Yes",AF104*Tab_Data_Flows[[#This Row],[Flow_Py]],"N.A.")</f>
        <v>N.A.</v>
      </c>
      <c r="AH104" s="10" t="str">
        <f>Tab_Data_Flows[[#This Row],[UoM_Flow_Py]]</f>
        <v>Mg</v>
      </c>
      <c r="AI104" s="193">
        <f>INDEX(Tab_Def_Flows[[Flow_ID]:[CC_DM_source]],MATCH(Tab_Data_Flows[[#This Row],[Name(EN)]],Tab_Def_Flows[Name(EN)],0),17)</f>
        <v>0</v>
      </c>
      <c r="AJ104" s="10" t="str">
        <f>IF(L104="Yes",AI104*Tab_Data_Flows[[#This Row],[Flow_Py]]*Tab_Data_Flows[[#This Row],[DM_'[%']]],"N.A.")</f>
        <v>N.A.</v>
      </c>
      <c r="AK104" s="10" t="str">
        <f>Tab_Data_Flows[[#This Row],[UoM_Flow_Py]]</f>
        <v>Mg</v>
      </c>
    </row>
    <row r="105" spans="1:37" x14ac:dyDescent="0.25">
      <c r="A105" s="17">
        <f t="shared" si="2"/>
        <v>104</v>
      </c>
      <c r="B105" s="10" t="str">
        <f>_xlfn.XLOOKUP(C105,Tab_Def_Flows[Name(EN)],Tab_Def_Flows[Flow_ID],,0,)</f>
        <v>N.A.</v>
      </c>
      <c r="C105" s="12" t="s">
        <v>35</v>
      </c>
      <c r="D105" s="10"/>
      <c r="E105" s="10">
        <f>_xlfn.XLOOKUP(C105,Tab_Def_Flows[Name(EN)],Tab_Def_Flows[Output_Process],,0,)</f>
        <v>0</v>
      </c>
      <c r="F105" s="10">
        <f>_xlfn.XLOOKUP(C105,Tab_Def_Flows[Name(EN)],Tab_Def_Flows[Process_ID_O],,0,)</f>
        <v>0</v>
      </c>
      <c r="G105" s="10">
        <f>_xlfn.XLOOKUP(C105,Tab_Def_Flows[Name(EN)],Tab_Def_Flows[Input_Process],,0,)</f>
        <v>0</v>
      </c>
      <c r="H105" s="18">
        <f>_xlfn.XLOOKUP(C105,Tab_Def_Flows[Name(EN)],Tab_Def_Flows[Process_ID_I],,0,)</f>
        <v>0</v>
      </c>
      <c r="I105" s="10" t="e">
        <f>_xlfn.XLOOKUP(C105,Tab_Def_Flows[Name(EN)],#REF!,,0,)</f>
        <v>#REF!</v>
      </c>
      <c r="J105" s="10">
        <f>_xlfn.XLOOKUP(C105,Tab_Def_Flows[Name(EN)],Tab_Def_Flows[WC?],,0,)</f>
        <v>0</v>
      </c>
      <c r="K105" s="10">
        <f>_xlfn.XLOOKUP(C105,Tab_Def_Flows[Name(EN)],Tab_Def_Flows[DM?],,0,)</f>
        <v>0</v>
      </c>
      <c r="L105" s="10">
        <f>_xlfn.XLOOKUP(C105,Tab_Def_Flows[Name(EN)],Tab_Def_Flows[CC?],,0,)</f>
        <v>0</v>
      </c>
      <c r="M105" s="12"/>
      <c r="N105" s="12"/>
      <c r="O105" s="50"/>
      <c r="P105" s="12"/>
      <c r="Q105" s="12"/>
      <c r="R105" s="12" t="e">
        <f>INDEX(#REF!,MATCH(Tab_Data_Flows[[#This Row],[Name(EN)]],#REF!,0),12)</f>
        <v>#REF!</v>
      </c>
      <c r="S105" s="12" t="e">
        <f>MATCH(Tab_Data_Flows[[#This Row],[Name(EN)]],#REF!,0)</f>
        <v>#REF!</v>
      </c>
      <c r="T105" s="12"/>
      <c r="U105" s="12"/>
      <c r="V105" s="12"/>
      <c r="W105" s="12"/>
      <c r="X105" s="12" t="s">
        <v>8</v>
      </c>
      <c r="Y105" s="12"/>
      <c r="Z105" s="12"/>
      <c r="AA105" s="36">
        <f t="shared" si="3"/>
        <v>0</v>
      </c>
      <c r="AB105" s="12" t="s">
        <v>283</v>
      </c>
      <c r="AC105" s="193">
        <f>INDEX(Tab_Def_Flows[[Flow_ID]:[CC_DM_source]],MATCH(Tab_Data_Flows[[#This Row],[Name(EN)]],Tab_Def_Flows[Name(EN)],0),13)</f>
        <v>0</v>
      </c>
      <c r="AD105" s="10" t="str">
        <f>IF(J105="Yes",AA105*Tab_Data_Flows[[#This Row],[WC_'[%']]],"N.A.")</f>
        <v>N.A.</v>
      </c>
      <c r="AE105" s="10" t="str">
        <f>Tab_Data_Flows[[#This Row],[UoM_Flow_Py]]</f>
        <v>Mg</v>
      </c>
      <c r="AF105" s="193">
        <f>INDEX(Tab_Def_Flows[[Flow_ID]:[CC_DM_source]],MATCH(Tab_Data_Flows[[#This Row],[Name(EN)]],Tab_Def_Flows[Name(EN)],0),15)</f>
        <v>0</v>
      </c>
      <c r="AG105" s="10" t="str">
        <f>IF(K105="Yes",AF105*Tab_Data_Flows[[#This Row],[Flow_Py]],"N.A.")</f>
        <v>N.A.</v>
      </c>
      <c r="AH105" s="10" t="str">
        <f>Tab_Data_Flows[[#This Row],[UoM_Flow_Py]]</f>
        <v>Mg</v>
      </c>
      <c r="AI105" s="193">
        <f>INDEX(Tab_Def_Flows[[Flow_ID]:[CC_DM_source]],MATCH(Tab_Data_Flows[[#This Row],[Name(EN)]],Tab_Def_Flows[Name(EN)],0),17)</f>
        <v>0</v>
      </c>
      <c r="AJ105" s="10" t="str">
        <f>IF(L105="Yes",AI105*Tab_Data_Flows[[#This Row],[Flow_Py]]*Tab_Data_Flows[[#This Row],[DM_'[%']]],"N.A.")</f>
        <v>N.A.</v>
      </c>
      <c r="AK105" s="10" t="str">
        <f>Tab_Data_Flows[[#This Row],[UoM_Flow_Py]]</f>
        <v>Mg</v>
      </c>
    </row>
    <row r="106" spans="1:37" x14ac:dyDescent="0.25">
      <c r="A106" s="17">
        <f t="shared" si="2"/>
        <v>105</v>
      </c>
      <c r="B106" s="10" t="str">
        <f>_xlfn.XLOOKUP(C106,Tab_Def_Flows[Name(EN)],Tab_Def_Flows[Flow_ID],,0,)</f>
        <v>N.A.</v>
      </c>
      <c r="C106" s="12" t="s">
        <v>35</v>
      </c>
      <c r="D106" s="10"/>
      <c r="E106" s="10">
        <f>_xlfn.XLOOKUP(C106,Tab_Def_Flows[Name(EN)],Tab_Def_Flows[Output_Process],,0,)</f>
        <v>0</v>
      </c>
      <c r="F106" s="10">
        <f>_xlfn.XLOOKUP(C106,Tab_Def_Flows[Name(EN)],Tab_Def_Flows[Process_ID_O],,0,)</f>
        <v>0</v>
      </c>
      <c r="G106" s="10">
        <f>_xlfn.XLOOKUP(C106,Tab_Def_Flows[Name(EN)],Tab_Def_Flows[Input_Process],,0,)</f>
        <v>0</v>
      </c>
      <c r="H106" s="18">
        <f>_xlfn.XLOOKUP(C106,Tab_Def_Flows[Name(EN)],Tab_Def_Flows[Process_ID_I],,0,)</f>
        <v>0</v>
      </c>
      <c r="I106" s="10" t="e">
        <f>_xlfn.XLOOKUP(C106,Tab_Def_Flows[Name(EN)],#REF!,,0,)</f>
        <v>#REF!</v>
      </c>
      <c r="J106" s="10">
        <f>_xlfn.XLOOKUP(C106,Tab_Def_Flows[Name(EN)],Tab_Def_Flows[WC?],,0,)</f>
        <v>0</v>
      </c>
      <c r="K106" s="10">
        <f>_xlfn.XLOOKUP(C106,Tab_Def_Flows[Name(EN)],Tab_Def_Flows[DM?],,0,)</f>
        <v>0</v>
      </c>
      <c r="L106" s="10">
        <f>_xlfn.XLOOKUP(C106,Tab_Def_Flows[Name(EN)],Tab_Def_Flows[CC?],,0,)</f>
        <v>0</v>
      </c>
      <c r="M106" s="12"/>
      <c r="N106" s="12"/>
      <c r="O106" s="50"/>
      <c r="P106" s="12"/>
      <c r="Q106" s="12"/>
      <c r="R106" s="12" t="e">
        <f>INDEX(#REF!,MATCH(Tab_Data_Flows[[#This Row],[Name(EN)]],#REF!,0),12)</f>
        <v>#REF!</v>
      </c>
      <c r="S106" s="12" t="e">
        <f>MATCH(Tab_Data_Flows[[#This Row],[Name(EN)]],#REF!,0)</f>
        <v>#REF!</v>
      </c>
      <c r="T106" s="12"/>
      <c r="U106" s="12"/>
      <c r="V106" s="12"/>
      <c r="W106" s="12"/>
      <c r="X106" s="12" t="s">
        <v>8</v>
      </c>
      <c r="Y106" s="12"/>
      <c r="Z106" s="12"/>
      <c r="AA106" s="36">
        <f t="shared" si="3"/>
        <v>0</v>
      </c>
      <c r="AB106" s="12" t="s">
        <v>283</v>
      </c>
      <c r="AC106" s="193">
        <f>INDEX(Tab_Def_Flows[[Flow_ID]:[CC_DM_source]],MATCH(Tab_Data_Flows[[#This Row],[Name(EN)]],Tab_Def_Flows[Name(EN)],0),13)</f>
        <v>0</v>
      </c>
      <c r="AD106" s="10" t="str">
        <f>IF(J106="Yes",AA106*Tab_Data_Flows[[#This Row],[WC_'[%']]],"N.A.")</f>
        <v>N.A.</v>
      </c>
      <c r="AE106" s="10" t="str">
        <f>Tab_Data_Flows[[#This Row],[UoM_Flow_Py]]</f>
        <v>Mg</v>
      </c>
      <c r="AF106" s="193">
        <f>INDEX(Tab_Def_Flows[[Flow_ID]:[CC_DM_source]],MATCH(Tab_Data_Flows[[#This Row],[Name(EN)]],Tab_Def_Flows[Name(EN)],0),15)</f>
        <v>0</v>
      </c>
      <c r="AG106" s="10" t="str">
        <f>IF(K106="Yes",AF106*Tab_Data_Flows[[#This Row],[Flow_Py]],"N.A.")</f>
        <v>N.A.</v>
      </c>
      <c r="AH106" s="10" t="str">
        <f>Tab_Data_Flows[[#This Row],[UoM_Flow_Py]]</f>
        <v>Mg</v>
      </c>
      <c r="AI106" s="193">
        <f>INDEX(Tab_Def_Flows[[Flow_ID]:[CC_DM_source]],MATCH(Tab_Data_Flows[[#This Row],[Name(EN)]],Tab_Def_Flows[Name(EN)],0),17)</f>
        <v>0</v>
      </c>
      <c r="AJ106" s="10" t="str">
        <f>IF(L106="Yes",AI106*Tab_Data_Flows[[#This Row],[Flow_Py]]*Tab_Data_Flows[[#This Row],[DM_'[%']]],"N.A.")</f>
        <v>N.A.</v>
      </c>
      <c r="AK106" s="10" t="str">
        <f>Tab_Data_Flows[[#This Row],[UoM_Flow_Py]]</f>
        <v>Mg</v>
      </c>
    </row>
    <row r="107" spans="1:37" x14ac:dyDescent="0.25">
      <c r="A107" s="17">
        <f t="shared" si="2"/>
        <v>106</v>
      </c>
      <c r="B107" s="10" t="str">
        <f>_xlfn.XLOOKUP(C107,Tab_Def_Flows[Name(EN)],Tab_Def_Flows[Flow_ID],,0,)</f>
        <v>N.A.</v>
      </c>
      <c r="C107" s="12" t="s">
        <v>35</v>
      </c>
      <c r="D107" s="10"/>
      <c r="E107" s="10">
        <f>_xlfn.XLOOKUP(C107,Tab_Def_Flows[Name(EN)],Tab_Def_Flows[Output_Process],,0,)</f>
        <v>0</v>
      </c>
      <c r="F107" s="10">
        <f>_xlfn.XLOOKUP(C107,Tab_Def_Flows[Name(EN)],Tab_Def_Flows[Process_ID_O],,0,)</f>
        <v>0</v>
      </c>
      <c r="G107" s="10">
        <f>_xlfn.XLOOKUP(C107,Tab_Def_Flows[Name(EN)],Tab_Def_Flows[Input_Process],,0,)</f>
        <v>0</v>
      </c>
      <c r="H107" s="18">
        <f>_xlfn.XLOOKUP(C107,Tab_Def_Flows[Name(EN)],Tab_Def_Flows[Process_ID_I],,0,)</f>
        <v>0</v>
      </c>
      <c r="I107" s="10" t="e">
        <f>_xlfn.XLOOKUP(C107,Tab_Def_Flows[Name(EN)],#REF!,,0,)</f>
        <v>#REF!</v>
      </c>
      <c r="J107" s="10">
        <f>_xlfn.XLOOKUP(C107,Tab_Def_Flows[Name(EN)],Tab_Def_Flows[WC?],,0,)</f>
        <v>0</v>
      </c>
      <c r="K107" s="10">
        <f>_xlfn.XLOOKUP(C107,Tab_Def_Flows[Name(EN)],Tab_Def_Flows[DM?],,0,)</f>
        <v>0</v>
      </c>
      <c r="L107" s="10">
        <f>_xlfn.XLOOKUP(C107,Tab_Def_Flows[Name(EN)],Tab_Def_Flows[CC?],,0,)</f>
        <v>0</v>
      </c>
      <c r="M107" s="12"/>
      <c r="N107" s="12"/>
      <c r="O107" s="50"/>
      <c r="P107" s="12"/>
      <c r="Q107" s="12"/>
      <c r="R107" s="12" t="e">
        <f>INDEX(#REF!,MATCH(Tab_Data_Flows[[#This Row],[Name(EN)]],#REF!,0),12)</f>
        <v>#REF!</v>
      </c>
      <c r="S107" s="12" t="e">
        <f>MATCH(Tab_Data_Flows[[#This Row],[Name(EN)]],#REF!,0)</f>
        <v>#REF!</v>
      </c>
      <c r="T107" s="12"/>
      <c r="U107" s="12"/>
      <c r="V107" s="12"/>
      <c r="W107" s="12"/>
      <c r="X107" s="12" t="s">
        <v>8</v>
      </c>
      <c r="Y107" s="12"/>
      <c r="Z107" s="12"/>
      <c r="AA107" s="36">
        <f t="shared" si="3"/>
        <v>0</v>
      </c>
      <c r="AB107" s="12" t="s">
        <v>283</v>
      </c>
      <c r="AC107" s="193">
        <f>INDEX(Tab_Def_Flows[[Flow_ID]:[CC_DM_source]],MATCH(Tab_Data_Flows[[#This Row],[Name(EN)]],Tab_Def_Flows[Name(EN)],0),13)</f>
        <v>0</v>
      </c>
      <c r="AD107" s="10" t="str">
        <f>IF(J107="Yes",AA107*Tab_Data_Flows[[#This Row],[WC_'[%']]],"N.A.")</f>
        <v>N.A.</v>
      </c>
      <c r="AE107" s="10" t="str">
        <f>Tab_Data_Flows[[#This Row],[UoM_Flow_Py]]</f>
        <v>Mg</v>
      </c>
      <c r="AF107" s="193">
        <f>INDEX(Tab_Def_Flows[[Flow_ID]:[CC_DM_source]],MATCH(Tab_Data_Flows[[#This Row],[Name(EN)]],Tab_Def_Flows[Name(EN)],0),15)</f>
        <v>0</v>
      </c>
      <c r="AG107" s="10" t="str">
        <f>IF(K107="Yes",AF107*Tab_Data_Flows[[#This Row],[Flow_Py]],"N.A.")</f>
        <v>N.A.</v>
      </c>
      <c r="AH107" s="10" t="str">
        <f>Tab_Data_Flows[[#This Row],[UoM_Flow_Py]]</f>
        <v>Mg</v>
      </c>
      <c r="AI107" s="193">
        <f>INDEX(Tab_Def_Flows[[Flow_ID]:[CC_DM_source]],MATCH(Tab_Data_Flows[[#This Row],[Name(EN)]],Tab_Def_Flows[Name(EN)],0),17)</f>
        <v>0</v>
      </c>
      <c r="AJ107" s="10" t="str">
        <f>IF(L107="Yes",AI107*Tab_Data_Flows[[#This Row],[Flow_Py]]*Tab_Data_Flows[[#This Row],[DM_'[%']]],"N.A.")</f>
        <v>N.A.</v>
      </c>
      <c r="AK107" s="10" t="str">
        <f>Tab_Data_Flows[[#This Row],[UoM_Flow_Py]]</f>
        <v>Mg</v>
      </c>
    </row>
    <row r="108" spans="1:37" x14ac:dyDescent="0.25">
      <c r="A108" s="17">
        <f t="shared" si="2"/>
        <v>107</v>
      </c>
      <c r="B108" s="10" t="str">
        <f>_xlfn.XLOOKUP(C108,Tab_Def_Flows[Name(EN)],Tab_Def_Flows[Flow_ID],,0,)</f>
        <v>N.A.</v>
      </c>
      <c r="C108" s="12" t="s">
        <v>35</v>
      </c>
      <c r="D108" s="10"/>
      <c r="E108" s="10">
        <f>_xlfn.XLOOKUP(C108,Tab_Def_Flows[Name(EN)],Tab_Def_Flows[Output_Process],,0,)</f>
        <v>0</v>
      </c>
      <c r="F108" s="10">
        <f>_xlfn.XLOOKUP(C108,Tab_Def_Flows[Name(EN)],Tab_Def_Flows[Process_ID_O],,0,)</f>
        <v>0</v>
      </c>
      <c r="G108" s="10">
        <f>_xlfn.XLOOKUP(C108,Tab_Def_Flows[Name(EN)],Tab_Def_Flows[Input_Process],,0,)</f>
        <v>0</v>
      </c>
      <c r="H108" s="18">
        <f>_xlfn.XLOOKUP(C108,Tab_Def_Flows[Name(EN)],Tab_Def_Flows[Process_ID_I],,0,)</f>
        <v>0</v>
      </c>
      <c r="I108" s="10" t="e">
        <f>_xlfn.XLOOKUP(C108,Tab_Def_Flows[Name(EN)],#REF!,,0,)</f>
        <v>#REF!</v>
      </c>
      <c r="J108" s="10">
        <f>_xlfn.XLOOKUP(C108,Tab_Def_Flows[Name(EN)],Tab_Def_Flows[WC?],,0,)</f>
        <v>0</v>
      </c>
      <c r="K108" s="10">
        <f>_xlfn.XLOOKUP(C108,Tab_Def_Flows[Name(EN)],Tab_Def_Flows[DM?],,0,)</f>
        <v>0</v>
      </c>
      <c r="L108" s="10">
        <f>_xlfn.XLOOKUP(C108,Tab_Def_Flows[Name(EN)],Tab_Def_Flows[CC?],,0,)</f>
        <v>0</v>
      </c>
      <c r="M108" s="12"/>
      <c r="N108" s="12"/>
      <c r="O108" s="50"/>
      <c r="P108" s="12"/>
      <c r="Q108" s="12"/>
      <c r="R108" s="12" t="e">
        <f>INDEX(#REF!,MATCH(Tab_Data_Flows[[#This Row],[Name(EN)]],#REF!,0),12)</f>
        <v>#REF!</v>
      </c>
      <c r="S108" s="12" t="e">
        <f>MATCH(Tab_Data_Flows[[#This Row],[Name(EN)]],#REF!,0)</f>
        <v>#REF!</v>
      </c>
      <c r="T108" s="12"/>
      <c r="U108" s="12"/>
      <c r="V108" s="12"/>
      <c r="W108" s="12"/>
      <c r="X108" s="12" t="s">
        <v>8</v>
      </c>
      <c r="Y108" s="12"/>
      <c r="Z108" s="12"/>
      <c r="AA108" s="36">
        <f t="shared" si="3"/>
        <v>0</v>
      </c>
      <c r="AB108" s="12" t="s">
        <v>283</v>
      </c>
      <c r="AC108" s="193">
        <f>INDEX(Tab_Def_Flows[[Flow_ID]:[CC_DM_source]],MATCH(Tab_Data_Flows[[#This Row],[Name(EN)]],Tab_Def_Flows[Name(EN)],0),13)</f>
        <v>0</v>
      </c>
      <c r="AD108" s="10" t="str">
        <f>IF(J108="Yes",AA108*Tab_Data_Flows[[#This Row],[WC_'[%']]],"N.A.")</f>
        <v>N.A.</v>
      </c>
      <c r="AE108" s="10" t="str">
        <f>Tab_Data_Flows[[#This Row],[UoM_Flow_Py]]</f>
        <v>Mg</v>
      </c>
      <c r="AF108" s="193">
        <f>INDEX(Tab_Def_Flows[[Flow_ID]:[CC_DM_source]],MATCH(Tab_Data_Flows[[#This Row],[Name(EN)]],Tab_Def_Flows[Name(EN)],0),15)</f>
        <v>0</v>
      </c>
      <c r="AG108" s="10" t="str">
        <f>IF(K108="Yes",AF108*Tab_Data_Flows[[#This Row],[Flow_Py]],"N.A.")</f>
        <v>N.A.</v>
      </c>
      <c r="AH108" s="10" t="str">
        <f>Tab_Data_Flows[[#This Row],[UoM_Flow_Py]]</f>
        <v>Mg</v>
      </c>
      <c r="AI108" s="193">
        <f>INDEX(Tab_Def_Flows[[Flow_ID]:[CC_DM_source]],MATCH(Tab_Data_Flows[[#This Row],[Name(EN)]],Tab_Def_Flows[Name(EN)],0),17)</f>
        <v>0</v>
      </c>
      <c r="AJ108" s="10" t="str">
        <f>IF(L108="Yes",AI108*Tab_Data_Flows[[#This Row],[Flow_Py]]*Tab_Data_Flows[[#This Row],[DM_'[%']]],"N.A.")</f>
        <v>N.A.</v>
      </c>
      <c r="AK108" s="10" t="str">
        <f>Tab_Data_Flows[[#This Row],[UoM_Flow_Py]]</f>
        <v>Mg</v>
      </c>
    </row>
    <row r="109" spans="1:37" x14ac:dyDescent="0.25">
      <c r="A109" s="17">
        <f t="shared" si="2"/>
        <v>108</v>
      </c>
      <c r="B109" s="10" t="str">
        <f>_xlfn.XLOOKUP(C109,Tab_Def_Flows[Name(EN)],Tab_Def_Flows[Flow_ID],,0,)</f>
        <v>N.A.</v>
      </c>
      <c r="C109" s="12" t="s">
        <v>35</v>
      </c>
      <c r="D109" s="10"/>
      <c r="E109" s="10">
        <f>_xlfn.XLOOKUP(C109,Tab_Def_Flows[Name(EN)],Tab_Def_Flows[Output_Process],,0,)</f>
        <v>0</v>
      </c>
      <c r="F109" s="10">
        <f>_xlfn.XLOOKUP(C109,Tab_Def_Flows[Name(EN)],Tab_Def_Flows[Process_ID_O],,0,)</f>
        <v>0</v>
      </c>
      <c r="G109" s="10">
        <f>_xlfn.XLOOKUP(C109,Tab_Def_Flows[Name(EN)],Tab_Def_Flows[Input_Process],,0,)</f>
        <v>0</v>
      </c>
      <c r="H109" s="18">
        <f>_xlfn.XLOOKUP(C109,Tab_Def_Flows[Name(EN)],Tab_Def_Flows[Process_ID_I],,0,)</f>
        <v>0</v>
      </c>
      <c r="I109" s="10" t="e">
        <f>_xlfn.XLOOKUP(C109,Tab_Def_Flows[Name(EN)],#REF!,,0,)</f>
        <v>#REF!</v>
      </c>
      <c r="J109" s="10">
        <f>_xlfn.XLOOKUP(C109,Tab_Def_Flows[Name(EN)],Tab_Def_Flows[WC?],,0,)</f>
        <v>0</v>
      </c>
      <c r="K109" s="10">
        <f>_xlfn.XLOOKUP(C109,Tab_Def_Flows[Name(EN)],Tab_Def_Flows[DM?],,0,)</f>
        <v>0</v>
      </c>
      <c r="L109" s="10">
        <f>_xlfn.XLOOKUP(C109,Tab_Def_Flows[Name(EN)],Tab_Def_Flows[CC?],,0,)</f>
        <v>0</v>
      </c>
      <c r="M109" s="12"/>
      <c r="N109" s="12"/>
      <c r="O109" s="50"/>
      <c r="P109" s="12"/>
      <c r="Q109" s="12"/>
      <c r="R109" s="12" t="e">
        <f>INDEX(#REF!,MATCH(Tab_Data_Flows[[#This Row],[Name(EN)]],#REF!,0),12)</f>
        <v>#REF!</v>
      </c>
      <c r="S109" s="12" t="e">
        <f>MATCH(Tab_Data_Flows[[#This Row],[Name(EN)]],#REF!,0)</f>
        <v>#REF!</v>
      </c>
      <c r="T109" s="12"/>
      <c r="U109" s="12"/>
      <c r="V109" s="12"/>
      <c r="W109" s="12"/>
      <c r="X109" s="12" t="s">
        <v>8</v>
      </c>
      <c r="Y109" s="12"/>
      <c r="Z109" s="12"/>
      <c r="AA109" s="36">
        <f t="shared" si="3"/>
        <v>0</v>
      </c>
      <c r="AB109" s="12" t="s">
        <v>283</v>
      </c>
      <c r="AC109" s="193">
        <f>INDEX(Tab_Def_Flows[[Flow_ID]:[CC_DM_source]],MATCH(Tab_Data_Flows[[#This Row],[Name(EN)]],Tab_Def_Flows[Name(EN)],0),13)</f>
        <v>0</v>
      </c>
      <c r="AD109" s="10" t="str">
        <f>IF(J109="Yes",AA109*Tab_Data_Flows[[#This Row],[WC_'[%']]],"N.A.")</f>
        <v>N.A.</v>
      </c>
      <c r="AE109" s="10" t="str">
        <f>Tab_Data_Flows[[#This Row],[UoM_Flow_Py]]</f>
        <v>Mg</v>
      </c>
      <c r="AF109" s="193">
        <f>INDEX(Tab_Def_Flows[[Flow_ID]:[CC_DM_source]],MATCH(Tab_Data_Flows[[#This Row],[Name(EN)]],Tab_Def_Flows[Name(EN)],0),15)</f>
        <v>0</v>
      </c>
      <c r="AG109" s="10" t="str">
        <f>IF(K109="Yes",AF109*Tab_Data_Flows[[#This Row],[Flow_Py]],"N.A.")</f>
        <v>N.A.</v>
      </c>
      <c r="AH109" s="10" t="str">
        <f>Tab_Data_Flows[[#This Row],[UoM_Flow_Py]]</f>
        <v>Mg</v>
      </c>
      <c r="AI109" s="193">
        <f>INDEX(Tab_Def_Flows[[Flow_ID]:[CC_DM_source]],MATCH(Tab_Data_Flows[[#This Row],[Name(EN)]],Tab_Def_Flows[Name(EN)],0),17)</f>
        <v>0</v>
      </c>
      <c r="AJ109" s="10" t="str">
        <f>IF(L109="Yes",AI109*Tab_Data_Flows[[#This Row],[Flow_Py]]*Tab_Data_Flows[[#This Row],[DM_'[%']]],"N.A.")</f>
        <v>N.A.</v>
      </c>
      <c r="AK109" s="10" t="str">
        <f>Tab_Data_Flows[[#This Row],[UoM_Flow_Py]]</f>
        <v>Mg</v>
      </c>
    </row>
    <row r="110" spans="1:37" x14ac:dyDescent="0.25">
      <c r="A110" s="17">
        <f t="shared" si="2"/>
        <v>109</v>
      </c>
      <c r="B110" s="10" t="str">
        <f>_xlfn.XLOOKUP(C110,Tab_Def_Flows[Name(EN)],Tab_Def_Flows[Flow_ID],,0,)</f>
        <v>N.A.</v>
      </c>
      <c r="C110" s="12" t="s">
        <v>35</v>
      </c>
      <c r="D110" s="10"/>
      <c r="E110" s="10">
        <f>_xlfn.XLOOKUP(C110,Tab_Def_Flows[Name(EN)],Tab_Def_Flows[Output_Process],,0,)</f>
        <v>0</v>
      </c>
      <c r="F110" s="10">
        <f>_xlfn.XLOOKUP(C110,Tab_Def_Flows[Name(EN)],Tab_Def_Flows[Process_ID_O],,0,)</f>
        <v>0</v>
      </c>
      <c r="G110" s="10">
        <f>_xlfn.XLOOKUP(C110,Tab_Def_Flows[Name(EN)],Tab_Def_Flows[Input_Process],,0,)</f>
        <v>0</v>
      </c>
      <c r="H110" s="18">
        <f>_xlfn.XLOOKUP(C110,Tab_Def_Flows[Name(EN)],Tab_Def_Flows[Process_ID_I],,0,)</f>
        <v>0</v>
      </c>
      <c r="I110" s="10" t="e">
        <f>_xlfn.XLOOKUP(C110,Tab_Def_Flows[Name(EN)],#REF!,,0,)</f>
        <v>#REF!</v>
      </c>
      <c r="J110" s="10">
        <f>_xlfn.XLOOKUP(C110,Tab_Def_Flows[Name(EN)],Tab_Def_Flows[WC?],,0,)</f>
        <v>0</v>
      </c>
      <c r="K110" s="10">
        <f>_xlfn.XLOOKUP(C110,Tab_Def_Flows[Name(EN)],Tab_Def_Flows[DM?],,0,)</f>
        <v>0</v>
      </c>
      <c r="L110" s="10">
        <f>_xlfn.XLOOKUP(C110,Tab_Def_Flows[Name(EN)],Tab_Def_Flows[CC?],,0,)</f>
        <v>0</v>
      </c>
      <c r="M110" s="12"/>
      <c r="N110" s="12"/>
      <c r="O110" s="50"/>
      <c r="P110" s="12"/>
      <c r="Q110" s="12"/>
      <c r="R110" s="12" t="e">
        <f>INDEX(#REF!,MATCH(Tab_Data_Flows[[#This Row],[Name(EN)]],#REF!,0),12)</f>
        <v>#REF!</v>
      </c>
      <c r="S110" s="12" t="e">
        <f>MATCH(Tab_Data_Flows[[#This Row],[Name(EN)]],#REF!,0)</f>
        <v>#REF!</v>
      </c>
      <c r="T110" s="12"/>
      <c r="U110" s="12"/>
      <c r="V110" s="12"/>
      <c r="W110" s="12"/>
      <c r="X110" s="12" t="s">
        <v>8</v>
      </c>
      <c r="Y110" s="12"/>
      <c r="Z110" s="12"/>
      <c r="AA110" s="36">
        <f t="shared" si="3"/>
        <v>0</v>
      </c>
      <c r="AB110" s="12" t="s">
        <v>283</v>
      </c>
      <c r="AC110" s="193">
        <f>INDEX(Tab_Def_Flows[[Flow_ID]:[CC_DM_source]],MATCH(Tab_Data_Flows[[#This Row],[Name(EN)]],Tab_Def_Flows[Name(EN)],0),13)</f>
        <v>0</v>
      </c>
      <c r="AD110" s="10" t="str">
        <f>IF(J110="Yes",AA110*Tab_Data_Flows[[#This Row],[WC_'[%']]],"N.A.")</f>
        <v>N.A.</v>
      </c>
      <c r="AE110" s="10" t="str">
        <f>Tab_Data_Flows[[#This Row],[UoM_Flow_Py]]</f>
        <v>Mg</v>
      </c>
      <c r="AF110" s="193">
        <f>INDEX(Tab_Def_Flows[[Flow_ID]:[CC_DM_source]],MATCH(Tab_Data_Flows[[#This Row],[Name(EN)]],Tab_Def_Flows[Name(EN)],0),15)</f>
        <v>0</v>
      </c>
      <c r="AG110" s="10" t="str">
        <f>IF(K110="Yes",AF110*Tab_Data_Flows[[#This Row],[Flow_Py]],"N.A.")</f>
        <v>N.A.</v>
      </c>
      <c r="AH110" s="10" t="str">
        <f>Tab_Data_Flows[[#This Row],[UoM_Flow_Py]]</f>
        <v>Mg</v>
      </c>
      <c r="AI110" s="193">
        <f>INDEX(Tab_Def_Flows[[Flow_ID]:[CC_DM_source]],MATCH(Tab_Data_Flows[[#This Row],[Name(EN)]],Tab_Def_Flows[Name(EN)],0),17)</f>
        <v>0</v>
      </c>
      <c r="AJ110" s="10" t="str">
        <f>IF(L110="Yes",AI110*Tab_Data_Flows[[#This Row],[Flow_Py]]*Tab_Data_Flows[[#This Row],[DM_'[%']]],"N.A.")</f>
        <v>N.A.</v>
      </c>
      <c r="AK110" s="10" t="str">
        <f>Tab_Data_Flows[[#This Row],[UoM_Flow_Py]]</f>
        <v>Mg</v>
      </c>
    </row>
    <row r="111" spans="1:37" x14ac:dyDescent="0.25">
      <c r="A111" s="17">
        <f t="shared" si="2"/>
        <v>110</v>
      </c>
      <c r="B111" s="10" t="str">
        <f>_xlfn.XLOOKUP(C111,Tab_Def_Flows[Name(EN)],Tab_Def_Flows[Flow_ID],,0,)</f>
        <v>N.A.</v>
      </c>
      <c r="C111" s="12" t="s">
        <v>35</v>
      </c>
      <c r="D111" s="10"/>
      <c r="E111" s="10">
        <f>_xlfn.XLOOKUP(C111,Tab_Def_Flows[Name(EN)],Tab_Def_Flows[Output_Process],,0,)</f>
        <v>0</v>
      </c>
      <c r="F111" s="10">
        <f>_xlfn.XLOOKUP(C111,Tab_Def_Flows[Name(EN)],Tab_Def_Flows[Process_ID_O],,0,)</f>
        <v>0</v>
      </c>
      <c r="G111" s="10">
        <f>_xlfn.XLOOKUP(C111,Tab_Def_Flows[Name(EN)],Tab_Def_Flows[Input_Process],,0,)</f>
        <v>0</v>
      </c>
      <c r="H111" s="18">
        <f>_xlfn.XLOOKUP(C111,Tab_Def_Flows[Name(EN)],Tab_Def_Flows[Process_ID_I],,0,)</f>
        <v>0</v>
      </c>
      <c r="I111" s="10" t="e">
        <f>_xlfn.XLOOKUP(C111,Tab_Def_Flows[Name(EN)],#REF!,,0,)</f>
        <v>#REF!</v>
      </c>
      <c r="J111" s="10">
        <f>_xlfn.XLOOKUP(C111,Tab_Def_Flows[Name(EN)],Tab_Def_Flows[WC?],,0,)</f>
        <v>0</v>
      </c>
      <c r="K111" s="10">
        <f>_xlfn.XLOOKUP(C111,Tab_Def_Flows[Name(EN)],Tab_Def_Flows[DM?],,0,)</f>
        <v>0</v>
      </c>
      <c r="L111" s="10">
        <f>_xlfn.XLOOKUP(C111,Tab_Def_Flows[Name(EN)],Tab_Def_Flows[CC?],,0,)</f>
        <v>0</v>
      </c>
      <c r="M111" s="12"/>
      <c r="N111" s="12"/>
      <c r="O111" s="50"/>
      <c r="P111" s="12"/>
      <c r="Q111" s="12"/>
      <c r="R111" s="12" t="e">
        <f>INDEX(#REF!,MATCH(Tab_Data_Flows[[#This Row],[Name(EN)]],#REF!,0),12)</f>
        <v>#REF!</v>
      </c>
      <c r="S111" s="12" t="e">
        <f>MATCH(Tab_Data_Flows[[#This Row],[Name(EN)]],#REF!,0)</f>
        <v>#REF!</v>
      </c>
      <c r="T111" s="12"/>
      <c r="U111" s="12"/>
      <c r="V111" s="12"/>
      <c r="W111" s="12"/>
      <c r="X111" s="12" t="s">
        <v>8</v>
      </c>
      <c r="Y111" s="12"/>
      <c r="Z111" s="12"/>
      <c r="AA111" s="36">
        <f t="shared" si="3"/>
        <v>0</v>
      </c>
      <c r="AB111" s="12" t="s">
        <v>283</v>
      </c>
      <c r="AC111" s="193">
        <f>INDEX(Tab_Def_Flows[[Flow_ID]:[CC_DM_source]],MATCH(Tab_Data_Flows[[#This Row],[Name(EN)]],Tab_Def_Flows[Name(EN)],0),13)</f>
        <v>0</v>
      </c>
      <c r="AD111" s="10" t="str">
        <f>IF(J111="Yes",AA111*Tab_Data_Flows[[#This Row],[WC_'[%']]],"N.A.")</f>
        <v>N.A.</v>
      </c>
      <c r="AE111" s="10" t="str">
        <f>Tab_Data_Flows[[#This Row],[UoM_Flow_Py]]</f>
        <v>Mg</v>
      </c>
      <c r="AF111" s="193">
        <f>INDEX(Tab_Def_Flows[[Flow_ID]:[CC_DM_source]],MATCH(Tab_Data_Flows[[#This Row],[Name(EN)]],Tab_Def_Flows[Name(EN)],0),15)</f>
        <v>0</v>
      </c>
      <c r="AG111" s="10" t="str">
        <f>IF(K111="Yes",AF111*Tab_Data_Flows[[#This Row],[Flow_Py]],"N.A.")</f>
        <v>N.A.</v>
      </c>
      <c r="AH111" s="10" t="str">
        <f>Tab_Data_Flows[[#This Row],[UoM_Flow_Py]]</f>
        <v>Mg</v>
      </c>
      <c r="AI111" s="193">
        <f>INDEX(Tab_Def_Flows[[Flow_ID]:[CC_DM_source]],MATCH(Tab_Data_Flows[[#This Row],[Name(EN)]],Tab_Def_Flows[Name(EN)],0),17)</f>
        <v>0</v>
      </c>
      <c r="AJ111" s="10" t="str">
        <f>IF(L111="Yes",AI111*Tab_Data_Flows[[#This Row],[Flow_Py]]*Tab_Data_Flows[[#This Row],[DM_'[%']]],"N.A.")</f>
        <v>N.A.</v>
      </c>
      <c r="AK111" s="10" t="str">
        <f>Tab_Data_Flows[[#This Row],[UoM_Flow_Py]]</f>
        <v>Mg</v>
      </c>
    </row>
    <row r="112" spans="1:37" x14ac:dyDescent="0.25">
      <c r="A112" s="17">
        <f t="shared" si="2"/>
        <v>111</v>
      </c>
      <c r="B112" s="10" t="str">
        <f>_xlfn.XLOOKUP(C112,Tab_Def_Flows[Name(EN)],Tab_Def_Flows[Flow_ID],,0,)</f>
        <v>N.A.</v>
      </c>
      <c r="C112" s="12" t="s">
        <v>35</v>
      </c>
      <c r="D112" s="10"/>
      <c r="E112" s="10">
        <f>_xlfn.XLOOKUP(C112,Tab_Def_Flows[Name(EN)],Tab_Def_Flows[Output_Process],,0,)</f>
        <v>0</v>
      </c>
      <c r="F112" s="10">
        <f>_xlfn.XLOOKUP(C112,Tab_Def_Flows[Name(EN)],Tab_Def_Flows[Process_ID_O],,0,)</f>
        <v>0</v>
      </c>
      <c r="G112" s="10">
        <f>_xlfn.XLOOKUP(C112,Tab_Def_Flows[Name(EN)],Tab_Def_Flows[Input_Process],,0,)</f>
        <v>0</v>
      </c>
      <c r="H112" s="18">
        <f>_xlfn.XLOOKUP(C112,Tab_Def_Flows[Name(EN)],Tab_Def_Flows[Process_ID_I],,0,)</f>
        <v>0</v>
      </c>
      <c r="I112" s="10" t="e">
        <f>_xlfn.XLOOKUP(C112,Tab_Def_Flows[Name(EN)],#REF!,,0,)</f>
        <v>#REF!</v>
      </c>
      <c r="J112" s="10">
        <f>_xlfn.XLOOKUP(C112,Tab_Def_Flows[Name(EN)],Tab_Def_Flows[WC?],,0,)</f>
        <v>0</v>
      </c>
      <c r="K112" s="10">
        <f>_xlfn.XLOOKUP(C112,Tab_Def_Flows[Name(EN)],Tab_Def_Flows[DM?],,0,)</f>
        <v>0</v>
      </c>
      <c r="L112" s="10">
        <f>_xlfn.XLOOKUP(C112,Tab_Def_Flows[Name(EN)],Tab_Def_Flows[CC?],,0,)</f>
        <v>0</v>
      </c>
      <c r="M112" s="12"/>
      <c r="N112" s="12"/>
      <c r="O112" s="50"/>
      <c r="P112" s="12"/>
      <c r="Q112" s="12"/>
      <c r="R112" s="12" t="e">
        <f>INDEX(#REF!,MATCH(Tab_Data_Flows[[#This Row],[Name(EN)]],#REF!,0),12)</f>
        <v>#REF!</v>
      </c>
      <c r="S112" s="12" t="e">
        <f>MATCH(Tab_Data_Flows[[#This Row],[Name(EN)]],#REF!,0)</f>
        <v>#REF!</v>
      </c>
      <c r="T112" s="12"/>
      <c r="U112" s="12"/>
      <c r="V112" s="12"/>
      <c r="W112" s="12"/>
      <c r="X112" s="12" t="s">
        <v>8</v>
      </c>
      <c r="Y112" s="12"/>
      <c r="Z112" s="12"/>
      <c r="AA112" s="36">
        <f t="shared" si="3"/>
        <v>0</v>
      </c>
      <c r="AB112" s="12" t="s">
        <v>283</v>
      </c>
      <c r="AC112" s="193">
        <f>INDEX(Tab_Def_Flows[[Flow_ID]:[CC_DM_source]],MATCH(Tab_Data_Flows[[#This Row],[Name(EN)]],Tab_Def_Flows[Name(EN)],0),13)</f>
        <v>0</v>
      </c>
      <c r="AD112" s="10" t="str">
        <f>IF(J112="Yes",AA112*Tab_Data_Flows[[#This Row],[WC_'[%']]],"N.A.")</f>
        <v>N.A.</v>
      </c>
      <c r="AE112" s="10" t="str">
        <f>Tab_Data_Flows[[#This Row],[UoM_Flow_Py]]</f>
        <v>Mg</v>
      </c>
      <c r="AF112" s="193">
        <f>INDEX(Tab_Def_Flows[[Flow_ID]:[CC_DM_source]],MATCH(Tab_Data_Flows[[#This Row],[Name(EN)]],Tab_Def_Flows[Name(EN)],0),15)</f>
        <v>0</v>
      </c>
      <c r="AG112" s="10" t="str">
        <f>IF(K112="Yes",AF112*Tab_Data_Flows[[#This Row],[Flow_Py]],"N.A.")</f>
        <v>N.A.</v>
      </c>
      <c r="AH112" s="10" t="str">
        <f>Tab_Data_Flows[[#This Row],[UoM_Flow_Py]]</f>
        <v>Mg</v>
      </c>
      <c r="AI112" s="193">
        <f>INDEX(Tab_Def_Flows[[Flow_ID]:[CC_DM_source]],MATCH(Tab_Data_Flows[[#This Row],[Name(EN)]],Tab_Def_Flows[Name(EN)],0),17)</f>
        <v>0</v>
      </c>
      <c r="AJ112" s="10" t="str">
        <f>IF(L112="Yes",AI112*Tab_Data_Flows[[#This Row],[Flow_Py]]*Tab_Data_Flows[[#This Row],[DM_'[%']]],"N.A.")</f>
        <v>N.A.</v>
      </c>
      <c r="AK112" s="10" t="str">
        <f>Tab_Data_Flows[[#This Row],[UoM_Flow_Py]]</f>
        <v>Mg</v>
      </c>
    </row>
    <row r="113" spans="1:37" x14ac:dyDescent="0.25">
      <c r="A113" s="17">
        <f t="shared" si="2"/>
        <v>112</v>
      </c>
      <c r="B113" s="10" t="str">
        <f>_xlfn.XLOOKUP(C113,Tab_Def_Flows[Name(EN)],Tab_Def_Flows[Flow_ID],,0,)</f>
        <v>N.A.</v>
      </c>
      <c r="C113" s="12" t="s">
        <v>35</v>
      </c>
      <c r="D113" s="10"/>
      <c r="E113" s="10">
        <f>_xlfn.XLOOKUP(C113,Tab_Def_Flows[Name(EN)],Tab_Def_Flows[Output_Process],,0,)</f>
        <v>0</v>
      </c>
      <c r="F113" s="10">
        <f>_xlfn.XLOOKUP(C113,Tab_Def_Flows[Name(EN)],Tab_Def_Flows[Process_ID_O],,0,)</f>
        <v>0</v>
      </c>
      <c r="G113" s="10">
        <f>_xlfn.XLOOKUP(C113,Tab_Def_Flows[Name(EN)],Tab_Def_Flows[Input_Process],,0,)</f>
        <v>0</v>
      </c>
      <c r="H113" s="18">
        <f>_xlfn.XLOOKUP(C113,Tab_Def_Flows[Name(EN)],Tab_Def_Flows[Process_ID_I],,0,)</f>
        <v>0</v>
      </c>
      <c r="I113" s="10" t="e">
        <f>_xlfn.XLOOKUP(C113,Tab_Def_Flows[Name(EN)],#REF!,,0,)</f>
        <v>#REF!</v>
      </c>
      <c r="J113" s="10">
        <f>_xlfn.XLOOKUP(C113,Tab_Def_Flows[Name(EN)],Tab_Def_Flows[WC?],,0,)</f>
        <v>0</v>
      </c>
      <c r="K113" s="10">
        <f>_xlfn.XLOOKUP(C113,Tab_Def_Flows[Name(EN)],Tab_Def_Flows[DM?],,0,)</f>
        <v>0</v>
      </c>
      <c r="L113" s="10">
        <f>_xlfn.XLOOKUP(C113,Tab_Def_Flows[Name(EN)],Tab_Def_Flows[CC?],,0,)</f>
        <v>0</v>
      </c>
      <c r="M113" s="12"/>
      <c r="N113" s="12"/>
      <c r="O113" s="50"/>
      <c r="P113" s="12"/>
      <c r="Q113" s="12"/>
      <c r="R113" s="12" t="e">
        <f>INDEX(#REF!,MATCH(Tab_Data_Flows[[#This Row],[Name(EN)]],#REF!,0),12)</f>
        <v>#REF!</v>
      </c>
      <c r="S113" s="12" t="e">
        <f>MATCH(Tab_Data_Flows[[#This Row],[Name(EN)]],#REF!,0)</f>
        <v>#REF!</v>
      </c>
      <c r="T113" s="12"/>
      <c r="U113" s="12"/>
      <c r="V113" s="12"/>
      <c r="W113" s="12"/>
      <c r="X113" s="12" t="s">
        <v>8</v>
      </c>
      <c r="Y113" s="12"/>
      <c r="Z113" s="12"/>
      <c r="AA113" s="36">
        <f t="shared" si="3"/>
        <v>0</v>
      </c>
      <c r="AB113" s="12" t="s">
        <v>283</v>
      </c>
      <c r="AC113" s="193">
        <f>INDEX(Tab_Def_Flows[[Flow_ID]:[CC_DM_source]],MATCH(Tab_Data_Flows[[#This Row],[Name(EN)]],Tab_Def_Flows[Name(EN)],0),13)</f>
        <v>0</v>
      </c>
      <c r="AD113" s="10" t="str">
        <f>IF(J113="Yes",AA113*Tab_Data_Flows[[#This Row],[WC_'[%']]],"N.A.")</f>
        <v>N.A.</v>
      </c>
      <c r="AE113" s="10" t="str">
        <f>Tab_Data_Flows[[#This Row],[UoM_Flow_Py]]</f>
        <v>Mg</v>
      </c>
      <c r="AF113" s="193">
        <f>INDEX(Tab_Def_Flows[[Flow_ID]:[CC_DM_source]],MATCH(Tab_Data_Flows[[#This Row],[Name(EN)]],Tab_Def_Flows[Name(EN)],0),15)</f>
        <v>0</v>
      </c>
      <c r="AG113" s="10" t="str">
        <f>IF(K113="Yes",AF113*Tab_Data_Flows[[#This Row],[Flow_Py]],"N.A.")</f>
        <v>N.A.</v>
      </c>
      <c r="AH113" s="10" t="str">
        <f>Tab_Data_Flows[[#This Row],[UoM_Flow_Py]]</f>
        <v>Mg</v>
      </c>
      <c r="AI113" s="193">
        <f>INDEX(Tab_Def_Flows[[Flow_ID]:[CC_DM_source]],MATCH(Tab_Data_Flows[[#This Row],[Name(EN)]],Tab_Def_Flows[Name(EN)],0),17)</f>
        <v>0</v>
      </c>
      <c r="AJ113" s="10" t="str">
        <f>IF(L113="Yes",AI113*Tab_Data_Flows[[#This Row],[Flow_Py]]*Tab_Data_Flows[[#This Row],[DM_'[%']]],"N.A.")</f>
        <v>N.A.</v>
      </c>
      <c r="AK113" s="10" t="str">
        <f>Tab_Data_Flows[[#This Row],[UoM_Flow_Py]]</f>
        <v>Mg</v>
      </c>
    </row>
    <row r="114" spans="1:37" x14ac:dyDescent="0.25">
      <c r="A114" s="17">
        <f t="shared" si="2"/>
        <v>113</v>
      </c>
      <c r="B114" s="10" t="str">
        <f>_xlfn.XLOOKUP(C114,Tab_Def_Flows[Name(EN)],Tab_Def_Flows[Flow_ID],,0,)</f>
        <v>N.A.</v>
      </c>
      <c r="C114" s="12" t="s">
        <v>35</v>
      </c>
      <c r="D114" s="10"/>
      <c r="E114" s="10">
        <f>_xlfn.XLOOKUP(C114,Tab_Def_Flows[Name(EN)],Tab_Def_Flows[Output_Process],,0,)</f>
        <v>0</v>
      </c>
      <c r="F114" s="10">
        <f>_xlfn.XLOOKUP(C114,Tab_Def_Flows[Name(EN)],Tab_Def_Flows[Process_ID_O],,0,)</f>
        <v>0</v>
      </c>
      <c r="G114" s="10">
        <f>_xlfn.XLOOKUP(C114,Tab_Def_Flows[Name(EN)],Tab_Def_Flows[Input_Process],,0,)</f>
        <v>0</v>
      </c>
      <c r="H114" s="18">
        <f>_xlfn.XLOOKUP(C114,Tab_Def_Flows[Name(EN)],Tab_Def_Flows[Process_ID_I],,0,)</f>
        <v>0</v>
      </c>
      <c r="I114" s="10" t="e">
        <f>_xlfn.XLOOKUP(C114,Tab_Def_Flows[Name(EN)],#REF!,,0,)</f>
        <v>#REF!</v>
      </c>
      <c r="J114" s="10">
        <f>_xlfn.XLOOKUP(C114,Tab_Def_Flows[Name(EN)],Tab_Def_Flows[WC?],,0,)</f>
        <v>0</v>
      </c>
      <c r="K114" s="10">
        <f>_xlfn.XLOOKUP(C114,Tab_Def_Flows[Name(EN)],Tab_Def_Flows[DM?],,0,)</f>
        <v>0</v>
      </c>
      <c r="L114" s="10">
        <f>_xlfn.XLOOKUP(C114,Tab_Def_Flows[Name(EN)],Tab_Def_Flows[CC?],,0,)</f>
        <v>0</v>
      </c>
      <c r="M114" s="12"/>
      <c r="N114" s="12"/>
      <c r="O114" s="50"/>
      <c r="P114" s="12"/>
      <c r="Q114" s="12"/>
      <c r="R114" s="12" t="e">
        <f>INDEX(#REF!,MATCH(Tab_Data_Flows[[#This Row],[Name(EN)]],#REF!,0),12)</f>
        <v>#REF!</v>
      </c>
      <c r="S114" s="12" t="e">
        <f>MATCH(Tab_Data_Flows[[#This Row],[Name(EN)]],#REF!,0)</f>
        <v>#REF!</v>
      </c>
      <c r="T114" s="12"/>
      <c r="U114" s="12"/>
      <c r="V114" s="12"/>
      <c r="W114" s="12"/>
      <c r="X114" s="12" t="s">
        <v>8</v>
      </c>
      <c r="Y114" s="12"/>
      <c r="Z114" s="12"/>
      <c r="AA114" s="36">
        <f t="shared" si="3"/>
        <v>0</v>
      </c>
      <c r="AB114" s="12" t="s">
        <v>283</v>
      </c>
      <c r="AC114" s="193">
        <f>INDEX(Tab_Def_Flows[[Flow_ID]:[CC_DM_source]],MATCH(Tab_Data_Flows[[#This Row],[Name(EN)]],Tab_Def_Flows[Name(EN)],0),13)</f>
        <v>0</v>
      </c>
      <c r="AD114" s="10" t="str">
        <f>IF(J114="Yes",AA114*Tab_Data_Flows[[#This Row],[WC_'[%']]],"N.A.")</f>
        <v>N.A.</v>
      </c>
      <c r="AE114" s="10" t="str">
        <f>Tab_Data_Flows[[#This Row],[UoM_Flow_Py]]</f>
        <v>Mg</v>
      </c>
      <c r="AF114" s="193">
        <f>INDEX(Tab_Def_Flows[[Flow_ID]:[CC_DM_source]],MATCH(Tab_Data_Flows[[#This Row],[Name(EN)]],Tab_Def_Flows[Name(EN)],0),15)</f>
        <v>0</v>
      </c>
      <c r="AG114" s="10" t="str">
        <f>IF(K114="Yes",AF114*Tab_Data_Flows[[#This Row],[Flow_Py]],"N.A.")</f>
        <v>N.A.</v>
      </c>
      <c r="AH114" s="10" t="str">
        <f>Tab_Data_Flows[[#This Row],[UoM_Flow_Py]]</f>
        <v>Mg</v>
      </c>
      <c r="AI114" s="193">
        <f>INDEX(Tab_Def_Flows[[Flow_ID]:[CC_DM_source]],MATCH(Tab_Data_Flows[[#This Row],[Name(EN)]],Tab_Def_Flows[Name(EN)],0),17)</f>
        <v>0</v>
      </c>
      <c r="AJ114" s="10" t="str">
        <f>IF(L114="Yes",AI114*Tab_Data_Flows[[#This Row],[Flow_Py]]*Tab_Data_Flows[[#This Row],[DM_'[%']]],"N.A.")</f>
        <v>N.A.</v>
      </c>
      <c r="AK114" s="10" t="str">
        <f>Tab_Data_Flows[[#This Row],[UoM_Flow_Py]]</f>
        <v>Mg</v>
      </c>
    </row>
    <row r="115" spans="1:37" x14ac:dyDescent="0.25">
      <c r="A115" s="17">
        <f t="shared" si="2"/>
        <v>114</v>
      </c>
      <c r="B115" s="10" t="str">
        <f>_xlfn.XLOOKUP(C115,Tab_Def_Flows[Name(EN)],Tab_Def_Flows[Flow_ID],,0,)</f>
        <v>N.A.</v>
      </c>
      <c r="C115" s="12" t="s">
        <v>35</v>
      </c>
      <c r="D115" s="10"/>
      <c r="E115" s="10">
        <f>_xlfn.XLOOKUP(C115,Tab_Def_Flows[Name(EN)],Tab_Def_Flows[Output_Process],,0,)</f>
        <v>0</v>
      </c>
      <c r="F115" s="10">
        <f>_xlfn.XLOOKUP(C115,Tab_Def_Flows[Name(EN)],Tab_Def_Flows[Process_ID_O],,0,)</f>
        <v>0</v>
      </c>
      <c r="G115" s="10">
        <f>_xlfn.XLOOKUP(C115,Tab_Def_Flows[Name(EN)],Tab_Def_Flows[Input_Process],,0,)</f>
        <v>0</v>
      </c>
      <c r="H115" s="18">
        <f>_xlfn.XLOOKUP(C115,Tab_Def_Flows[Name(EN)],Tab_Def_Flows[Process_ID_I],,0,)</f>
        <v>0</v>
      </c>
      <c r="I115" s="10" t="e">
        <f>_xlfn.XLOOKUP(C115,Tab_Def_Flows[Name(EN)],#REF!,,0,)</f>
        <v>#REF!</v>
      </c>
      <c r="J115" s="10">
        <f>_xlfn.XLOOKUP(C115,Tab_Def_Flows[Name(EN)],Tab_Def_Flows[WC?],,0,)</f>
        <v>0</v>
      </c>
      <c r="K115" s="10">
        <f>_xlfn.XLOOKUP(C115,Tab_Def_Flows[Name(EN)],Tab_Def_Flows[DM?],,0,)</f>
        <v>0</v>
      </c>
      <c r="L115" s="10">
        <f>_xlfn.XLOOKUP(C115,Tab_Def_Flows[Name(EN)],Tab_Def_Flows[CC?],,0,)</f>
        <v>0</v>
      </c>
      <c r="M115" s="12"/>
      <c r="N115" s="12"/>
      <c r="O115" s="50"/>
      <c r="P115" s="12"/>
      <c r="Q115" s="12"/>
      <c r="R115" s="12" t="e">
        <f>INDEX(#REF!,MATCH(Tab_Data_Flows[[#This Row],[Name(EN)]],#REF!,0),12)</f>
        <v>#REF!</v>
      </c>
      <c r="S115" s="12" t="e">
        <f>MATCH(Tab_Data_Flows[[#This Row],[Name(EN)]],#REF!,0)</f>
        <v>#REF!</v>
      </c>
      <c r="T115" s="12"/>
      <c r="U115" s="12"/>
      <c r="V115" s="12"/>
      <c r="W115" s="12"/>
      <c r="X115" s="12" t="s">
        <v>8</v>
      </c>
      <c r="Y115" s="12"/>
      <c r="Z115" s="12"/>
      <c r="AA115" s="36">
        <f t="shared" si="3"/>
        <v>0</v>
      </c>
      <c r="AB115" s="12" t="s">
        <v>283</v>
      </c>
      <c r="AC115" s="193">
        <f>INDEX(Tab_Def_Flows[[Flow_ID]:[CC_DM_source]],MATCH(Tab_Data_Flows[[#This Row],[Name(EN)]],Tab_Def_Flows[Name(EN)],0),13)</f>
        <v>0</v>
      </c>
      <c r="AD115" s="10" t="str">
        <f>IF(J115="Yes",AA115*Tab_Data_Flows[[#This Row],[WC_'[%']]],"N.A.")</f>
        <v>N.A.</v>
      </c>
      <c r="AE115" s="10" t="str">
        <f>Tab_Data_Flows[[#This Row],[UoM_Flow_Py]]</f>
        <v>Mg</v>
      </c>
      <c r="AF115" s="193">
        <f>INDEX(Tab_Def_Flows[[Flow_ID]:[CC_DM_source]],MATCH(Tab_Data_Flows[[#This Row],[Name(EN)]],Tab_Def_Flows[Name(EN)],0),15)</f>
        <v>0</v>
      </c>
      <c r="AG115" s="10" t="str">
        <f>IF(K115="Yes",AF115*Tab_Data_Flows[[#This Row],[Flow_Py]],"N.A.")</f>
        <v>N.A.</v>
      </c>
      <c r="AH115" s="10" t="str">
        <f>Tab_Data_Flows[[#This Row],[UoM_Flow_Py]]</f>
        <v>Mg</v>
      </c>
      <c r="AI115" s="193">
        <f>INDEX(Tab_Def_Flows[[Flow_ID]:[CC_DM_source]],MATCH(Tab_Data_Flows[[#This Row],[Name(EN)]],Tab_Def_Flows[Name(EN)],0),17)</f>
        <v>0</v>
      </c>
      <c r="AJ115" s="10" t="str">
        <f>IF(L115="Yes",AI115*Tab_Data_Flows[[#This Row],[Flow_Py]]*Tab_Data_Flows[[#This Row],[DM_'[%']]],"N.A.")</f>
        <v>N.A.</v>
      </c>
      <c r="AK115" s="10" t="str">
        <f>Tab_Data_Flows[[#This Row],[UoM_Flow_Py]]</f>
        <v>Mg</v>
      </c>
    </row>
    <row r="116" spans="1:37" x14ac:dyDescent="0.25">
      <c r="A116" s="17">
        <f t="shared" si="2"/>
        <v>115</v>
      </c>
      <c r="B116" s="10" t="str">
        <f>_xlfn.XLOOKUP(C116,Tab_Def_Flows[Name(EN)],Tab_Def_Flows[Flow_ID],,0,)</f>
        <v>N.A.</v>
      </c>
      <c r="C116" s="12" t="s">
        <v>35</v>
      </c>
      <c r="D116" s="10"/>
      <c r="E116" s="10">
        <f>_xlfn.XLOOKUP(C116,Tab_Def_Flows[Name(EN)],Tab_Def_Flows[Output_Process],,0,)</f>
        <v>0</v>
      </c>
      <c r="F116" s="10">
        <f>_xlfn.XLOOKUP(C116,Tab_Def_Flows[Name(EN)],Tab_Def_Flows[Process_ID_O],,0,)</f>
        <v>0</v>
      </c>
      <c r="G116" s="10">
        <f>_xlfn.XLOOKUP(C116,Tab_Def_Flows[Name(EN)],Tab_Def_Flows[Input_Process],,0,)</f>
        <v>0</v>
      </c>
      <c r="H116" s="18">
        <f>_xlfn.XLOOKUP(C116,Tab_Def_Flows[Name(EN)],Tab_Def_Flows[Process_ID_I],,0,)</f>
        <v>0</v>
      </c>
      <c r="I116" s="10" t="e">
        <f>_xlfn.XLOOKUP(C116,Tab_Def_Flows[Name(EN)],#REF!,,0,)</f>
        <v>#REF!</v>
      </c>
      <c r="J116" s="10">
        <f>_xlfn.XLOOKUP(C116,Tab_Def_Flows[Name(EN)],Tab_Def_Flows[WC?],,0,)</f>
        <v>0</v>
      </c>
      <c r="K116" s="10">
        <f>_xlfn.XLOOKUP(C116,Tab_Def_Flows[Name(EN)],Tab_Def_Flows[DM?],,0,)</f>
        <v>0</v>
      </c>
      <c r="L116" s="10">
        <f>_xlfn.XLOOKUP(C116,Tab_Def_Flows[Name(EN)],Tab_Def_Flows[CC?],,0,)</f>
        <v>0</v>
      </c>
      <c r="M116" s="12"/>
      <c r="N116" s="12"/>
      <c r="O116" s="50"/>
      <c r="P116" s="12"/>
      <c r="Q116" s="12"/>
      <c r="R116" s="12" t="e">
        <f>INDEX(#REF!,MATCH(Tab_Data_Flows[[#This Row],[Name(EN)]],#REF!,0),12)</f>
        <v>#REF!</v>
      </c>
      <c r="S116" s="12" t="e">
        <f>MATCH(Tab_Data_Flows[[#This Row],[Name(EN)]],#REF!,0)</f>
        <v>#REF!</v>
      </c>
      <c r="T116" s="12"/>
      <c r="U116" s="12"/>
      <c r="V116" s="12"/>
      <c r="W116" s="12"/>
      <c r="X116" s="12" t="s">
        <v>8</v>
      </c>
      <c r="Y116" s="12"/>
      <c r="Z116" s="12"/>
      <c r="AA116" s="36">
        <f t="shared" si="3"/>
        <v>0</v>
      </c>
      <c r="AB116" s="12" t="s">
        <v>283</v>
      </c>
      <c r="AC116" s="193">
        <f>INDEX(Tab_Def_Flows[[Flow_ID]:[CC_DM_source]],MATCH(Tab_Data_Flows[[#This Row],[Name(EN)]],Tab_Def_Flows[Name(EN)],0),13)</f>
        <v>0</v>
      </c>
      <c r="AD116" s="10" t="str">
        <f>IF(J116="Yes",AA116*Tab_Data_Flows[[#This Row],[WC_'[%']]],"N.A.")</f>
        <v>N.A.</v>
      </c>
      <c r="AE116" s="10" t="str">
        <f>Tab_Data_Flows[[#This Row],[UoM_Flow_Py]]</f>
        <v>Mg</v>
      </c>
      <c r="AF116" s="193">
        <f>INDEX(Tab_Def_Flows[[Flow_ID]:[CC_DM_source]],MATCH(Tab_Data_Flows[[#This Row],[Name(EN)]],Tab_Def_Flows[Name(EN)],0),15)</f>
        <v>0</v>
      </c>
      <c r="AG116" s="10" t="str">
        <f>IF(K116="Yes",AF116*Tab_Data_Flows[[#This Row],[Flow_Py]],"N.A.")</f>
        <v>N.A.</v>
      </c>
      <c r="AH116" s="10" t="str">
        <f>Tab_Data_Flows[[#This Row],[UoM_Flow_Py]]</f>
        <v>Mg</v>
      </c>
      <c r="AI116" s="193">
        <f>INDEX(Tab_Def_Flows[[Flow_ID]:[CC_DM_source]],MATCH(Tab_Data_Flows[[#This Row],[Name(EN)]],Tab_Def_Flows[Name(EN)],0),17)</f>
        <v>0</v>
      </c>
      <c r="AJ116" s="10" t="str">
        <f>IF(L116="Yes",AI116*Tab_Data_Flows[[#This Row],[Flow_Py]]*Tab_Data_Flows[[#This Row],[DM_'[%']]],"N.A.")</f>
        <v>N.A.</v>
      </c>
      <c r="AK116" s="10" t="str">
        <f>Tab_Data_Flows[[#This Row],[UoM_Flow_Py]]</f>
        <v>Mg</v>
      </c>
    </row>
    <row r="117" spans="1:37" x14ac:dyDescent="0.25">
      <c r="A117" s="17">
        <f t="shared" si="2"/>
        <v>116</v>
      </c>
      <c r="B117" s="10" t="str">
        <f>_xlfn.XLOOKUP(C117,Tab_Def_Flows[Name(EN)],Tab_Def_Flows[Flow_ID],,0,)</f>
        <v>N.A.</v>
      </c>
      <c r="C117" s="12" t="s">
        <v>35</v>
      </c>
      <c r="D117" s="10"/>
      <c r="E117" s="10">
        <f>_xlfn.XLOOKUP(C117,Tab_Def_Flows[Name(EN)],Tab_Def_Flows[Output_Process],,0,)</f>
        <v>0</v>
      </c>
      <c r="F117" s="10">
        <f>_xlfn.XLOOKUP(C117,Tab_Def_Flows[Name(EN)],Tab_Def_Flows[Process_ID_O],,0,)</f>
        <v>0</v>
      </c>
      <c r="G117" s="10">
        <f>_xlfn.XLOOKUP(C117,Tab_Def_Flows[Name(EN)],Tab_Def_Flows[Input_Process],,0,)</f>
        <v>0</v>
      </c>
      <c r="H117" s="18">
        <f>_xlfn.XLOOKUP(C117,Tab_Def_Flows[Name(EN)],Tab_Def_Flows[Process_ID_I],,0,)</f>
        <v>0</v>
      </c>
      <c r="I117" s="10" t="e">
        <f>_xlfn.XLOOKUP(C117,Tab_Def_Flows[Name(EN)],#REF!,,0,)</f>
        <v>#REF!</v>
      </c>
      <c r="J117" s="10">
        <f>_xlfn.XLOOKUP(C117,Tab_Def_Flows[Name(EN)],Tab_Def_Flows[WC?],,0,)</f>
        <v>0</v>
      </c>
      <c r="K117" s="10">
        <f>_xlfn.XLOOKUP(C117,Tab_Def_Flows[Name(EN)],Tab_Def_Flows[DM?],,0,)</f>
        <v>0</v>
      </c>
      <c r="L117" s="10">
        <f>_xlfn.XLOOKUP(C117,Tab_Def_Flows[Name(EN)],Tab_Def_Flows[CC?],,0,)</f>
        <v>0</v>
      </c>
      <c r="M117" s="12"/>
      <c r="N117" s="12"/>
      <c r="O117" s="50"/>
      <c r="P117" s="12"/>
      <c r="Q117" s="12"/>
      <c r="R117" s="12" t="e">
        <f>INDEX(#REF!,MATCH(Tab_Data_Flows[[#This Row],[Name(EN)]],#REF!,0),12)</f>
        <v>#REF!</v>
      </c>
      <c r="S117" s="12" t="e">
        <f>MATCH(Tab_Data_Flows[[#This Row],[Name(EN)]],#REF!,0)</f>
        <v>#REF!</v>
      </c>
      <c r="T117" s="12"/>
      <c r="U117" s="12"/>
      <c r="V117" s="12"/>
      <c r="W117" s="12"/>
      <c r="X117" s="12" t="s">
        <v>8</v>
      </c>
      <c r="Y117" s="12"/>
      <c r="Z117" s="12"/>
      <c r="AA117" s="36">
        <f t="shared" si="3"/>
        <v>0</v>
      </c>
      <c r="AB117" s="12" t="s">
        <v>283</v>
      </c>
      <c r="AC117" s="193">
        <f>INDEX(Tab_Def_Flows[[Flow_ID]:[CC_DM_source]],MATCH(Tab_Data_Flows[[#This Row],[Name(EN)]],Tab_Def_Flows[Name(EN)],0),13)</f>
        <v>0</v>
      </c>
      <c r="AD117" s="10" t="str">
        <f>IF(J117="Yes",AA117*Tab_Data_Flows[[#This Row],[WC_'[%']]],"N.A.")</f>
        <v>N.A.</v>
      </c>
      <c r="AE117" s="10" t="str">
        <f>Tab_Data_Flows[[#This Row],[UoM_Flow_Py]]</f>
        <v>Mg</v>
      </c>
      <c r="AF117" s="193">
        <f>INDEX(Tab_Def_Flows[[Flow_ID]:[CC_DM_source]],MATCH(Tab_Data_Flows[[#This Row],[Name(EN)]],Tab_Def_Flows[Name(EN)],0),15)</f>
        <v>0</v>
      </c>
      <c r="AG117" s="10" t="str">
        <f>IF(K117="Yes",AF117*Tab_Data_Flows[[#This Row],[Flow_Py]],"N.A.")</f>
        <v>N.A.</v>
      </c>
      <c r="AH117" s="10" t="str">
        <f>Tab_Data_Flows[[#This Row],[UoM_Flow_Py]]</f>
        <v>Mg</v>
      </c>
      <c r="AI117" s="193">
        <f>INDEX(Tab_Def_Flows[[Flow_ID]:[CC_DM_source]],MATCH(Tab_Data_Flows[[#This Row],[Name(EN)]],Tab_Def_Flows[Name(EN)],0),17)</f>
        <v>0</v>
      </c>
      <c r="AJ117" s="10" t="str">
        <f>IF(L117="Yes",AI117*Tab_Data_Flows[[#This Row],[Flow_Py]]*Tab_Data_Flows[[#This Row],[DM_'[%']]],"N.A.")</f>
        <v>N.A.</v>
      </c>
      <c r="AK117" s="10" t="str">
        <f>Tab_Data_Flows[[#This Row],[UoM_Flow_Py]]</f>
        <v>Mg</v>
      </c>
    </row>
    <row r="118" spans="1:37" x14ac:dyDescent="0.25">
      <c r="A118" s="17">
        <f t="shared" si="2"/>
        <v>117</v>
      </c>
      <c r="B118" s="10" t="str">
        <f>_xlfn.XLOOKUP(C118,Tab_Def_Flows[Name(EN)],Tab_Def_Flows[Flow_ID],,0,)</f>
        <v>N.A.</v>
      </c>
      <c r="C118" s="12" t="s">
        <v>35</v>
      </c>
      <c r="D118" s="10">
        <f>_xlfn.XLOOKUP(C118,Tab_Def_Flows[Name(EN)],Tab_Def_Flows[Type_Biomass],,0,)</f>
        <v>0</v>
      </c>
      <c r="E118" s="10">
        <f>_xlfn.XLOOKUP(C118,Tab_Def_Flows[Name(EN)],Tab_Def_Flows[Output_Process],,0,)</f>
        <v>0</v>
      </c>
      <c r="F118" s="10">
        <f>_xlfn.XLOOKUP(C118,Tab_Def_Flows[Name(EN)],Tab_Def_Flows[Process_ID_O],,0,)</f>
        <v>0</v>
      </c>
      <c r="G118" s="10">
        <f>_xlfn.XLOOKUP(C118,Tab_Def_Flows[Name(EN)],Tab_Def_Flows[Input_Process],,0,)</f>
        <v>0</v>
      </c>
      <c r="H118" s="18">
        <f>_xlfn.XLOOKUP(C118,Tab_Def_Flows[Name(EN)],Tab_Def_Flows[Process_ID_I],,0,)</f>
        <v>0</v>
      </c>
      <c r="I118" s="18" t="e">
        <f>_xlfn.XLOOKUP(C118,Tab_Def_Flows[Name(EN)],#REF!,,0,)</f>
        <v>#REF!</v>
      </c>
      <c r="J118" s="18">
        <f>_xlfn.XLOOKUP(C118,Tab_Def_Flows[Name(EN)],Tab_Def_Flows[WC?],,0,)</f>
        <v>0</v>
      </c>
      <c r="K118" s="18">
        <f>_xlfn.XLOOKUP(C118,Tab_Def_Flows[Name(EN)],Tab_Def_Flows[DM?],,0,)</f>
        <v>0</v>
      </c>
      <c r="L118" s="18">
        <f>_xlfn.XLOOKUP(C118,Tab_Def_Flows[Name(EN)],Tab_Def_Flows[CC?],,0,)</f>
        <v>0</v>
      </c>
      <c r="M118" s="12"/>
      <c r="N118" s="12" t="s">
        <v>105</v>
      </c>
      <c r="O118" s="50"/>
      <c r="P118" s="12"/>
      <c r="Q118" s="12" t="s">
        <v>114</v>
      </c>
      <c r="R118" s="12"/>
      <c r="S118" s="12"/>
      <c r="T118" s="12"/>
      <c r="U118" s="12"/>
      <c r="V118" s="12"/>
      <c r="W118" s="12"/>
      <c r="X118" s="12" t="s">
        <v>8</v>
      </c>
      <c r="Y118" s="43"/>
      <c r="Z118" s="12"/>
      <c r="AA118" s="36">
        <f t="shared" si="3"/>
        <v>0</v>
      </c>
      <c r="AB118" s="12" t="s">
        <v>283</v>
      </c>
      <c r="AC118" s="193">
        <f>INDEX(Tab_Def_Flows[[Flow_ID]:[CC_DM_source]],MATCH(Tab_Data_Flows[[#This Row],[Name(EN)]],Tab_Def_Flows[Name(EN)],0),13)</f>
        <v>0</v>
      </c>
      <c r="AD118" s="10" t="str">
        <f>IF(J118="Yes",AA118*Tab_Data_Flows[[#This Row],[WC_'[%']]],"N.A.")</f>
        <v>N.A.</v>
      </c>
      <c r="AE118" s="10" t="str">
        <f>Tab_Data_Flows[[#This Row],[UoM_Flow_Py]]</f>
        <v>Mg</v>
      </c>
      <c r="AF118" s="193">
        <f>INDEX(Tab_Def_Flows[[Flow_ID]:[CC_DM_source]],MATCH(Tab_Data_Flows[[#This Row],[Name(EN)]],Tab_Def_Flows[Name(EN)],0),15)</f>
        <v>0</v>
      </c>
      <c r="AG118" s="10" t="str">
        <f>IF(K118="Yes",AF118*Tab_Data_Flows[[#This Row],[Flow_Py]],"N.A.")</f>
        <v>N.A.</v>
      </c>
      <c r="AH118" s="10" t="str">
        <f>Tab_Data_Flows[[#This Row],[UoM_Flow_Py]]</f>
        <v>Mg</v>
      </c>
      <c r="AI118" s="193">
        <f>INDEX(Tab_Def_Flows[[Flow_ID]:[CC_DM_source]],MATCH(Tab_Data_Flows[[#This Row],[Name(EN)]],Tab_Def_Flows[Name(EN)],0),17)</f>
        <v>0</v>
      </c>
      <c r="AJ118" s="10" t="str">
        <f>IF(L118="Yes",AI118*Tab_Data_Flows[[#This Row],[Flow_Py]]*Tab_Data_Flows[[#This Row],[DM_'[%']]],"N.A.")</f>
        <v>N.A.</v>
      </c>
      <c r="AK118" s="10" t="str">
        <f>Tab_Data_Flows[[#This Row],[UoM_Flow_Py]]</f>
        <v>Mg</v>
      </c>
    </row>
    <row r="119" spans="1:37" x14ac:dyDescent="0.25">
      <c r="A119" s="17">
        <f t="shared" si="2"/>
        <v>118</v>
      </c>
      <c r="B119" s="10" t="str">
        <f>_xlfn.XLOOKUP(C119,Tab_Def_Flows[Name(EN)],Tab_Def_Flows[Flow_ID],,0,)</f>
        <v>N.A.</v>
      </c>
      <c r="C119" s="12" t="s">
        <v>35</v>
      </c>
      <c r="D119" s="10">
        <f>_xlfn.XLOOKUP(C119,Tab_Def_Flows[Name(EN)],Tab_Def_Flows[Type_Biomass],,0,)</f>
        <v>0</v>
      </c>
      <c r="E119" s="10">
        <f>_xlfn.XLOOKUP(C119,Tab_Def_Flows[Name(EN)],Tab_Def_Flows[Output_Process],,0,)</f>
        <v>0</v>
      </c>
      <c r="F119" s="10">
        <f>_xlfn.XLOOKUP(C119,Tab_Def_Flows[Name(EN)],Tab_Def_Flows[Process_ID_O],,0,)</f>
        <v>0</v>
      </c>
      <c r="G119" s="10">
        <f>_xlfn.XLOOKUP(C119,Tab_Def_Flows[Name(EN)],Tab_Def_Flows[Input_Process],,0,)</f>
        <v>0</v>
      </c>
      <c r="H119" s="18">
        <f>_xlfn.XLOOKUP(C119,Tab_Def_Flows[Name(EN)],Tab_Def_Flows[Process_ID_I],,0,)</f>
        <v>0</v>
      </c>
      <c r="I119" s="18" t="e">
        <f>_xlfn.XLOOKUP(C119,Tab_Def_Flows[Name(EN)],#REF!,,0,)</f>
        <v>#REF!</v>
      </c>
      <c r="J119" s="18">
        <f>_xlfn.XLOOKUP(C119,Tab_Def_Flows[Name(EN)],Tab_Def_Flows[WC?],,0,)</f>
        <v>0</v>
      </c>
      <c r="K119" s="18">
        <f>_xlfn.XLOOKUP(C119,Tab_Def_Flows[Name(EN)],Tab_Def_Flows[DM?],,0,)</f>
        <v>0</v>
      </c>
      <c r="L119" s="18">
        <f>_xlfn.XLOOKUP(C119,Tab_Def_Flows[Name(EN)],Tab_Def_Flows[CC?],,0,)</f>
        <v>0</v>
      </c>
      <c r="M119" s="12"/>
      <c r="N119" s="12" t="s">
        <v>105</v>
      </c>
      <c r="O119" s="50"/>
      <c r="P119" s="12"/>
      <c r="Q119" s="12" t="s">
        <v>114</v>
      </c>
      <c r="R119" s="12"/>
      <c r="S119" s="12"/>
      <c r="T119" s="12"/>
      <c r="U119" s="12"/>
      <c r="V119" s="12"/>
      <c r="W119" s="12"/>
      <c r="X119" s="12" t="s">
        <v>8</v>
      </c>
      <c r="Y119" s="43"/>
      <c r="Z119" s="12"/>
      <c r="AA119" s="36">
        <f t="shared" si="3"/>
        <v>0</v>
      </c>
      <c r="AB119" s="12" t="s">
        <v>283</v>
      </c>
      <c r="AC119" s="193">
        <f>INDEX(Tab_Def_Flows[[Flow_ID]:[CC_DM_source]],MATCH(Tab_Data_Flows[[#This Row],[Name(EN)]],Tab_Def_Flows[Name(EN)],0),13)</f>
        <v>0</v>
      </c>
      <c r="AD119" s="10" t="str">
        <f>IF(J119="Yes",AA119*Tab_Data_Flows[[#This Row],[WC_'[%']]],"N.A.")</f>
        <v>N.A.</v>
      </c>
      <c r="AE119" s="10" t="str">
        <f>Tab_Data_Flows[[#This Row],[UoM_Flow_Py]]</f>
        <v>Mg</v>
      </c>
      <c r="AF119" s="193">
        <f>INDEX(Tab_Def_Flows[[Flow_ID]:[CC_DM_source]],MATCH(Tab_Data_Flows[[#This Row],[Name(EN)]],Tab_Def_Flows[Name(EN)],0),15)</f>
        <v>0</v>
      </c>
      <c r="AG119" s="10" t="str">
        <f>IF(K119="Yes",AF119*Tab_Data_Flows[[#This Row],[Flow_Py]]-AJ235,"N.A.")</f>
        <v>N.A.</v>
      </c>
      <c r="AH119" s="10" t="str">
        <f>Tab_Data_Flows[[#This Row],[UoM_Flow_Py]]</f>
        <v>Mg</v>
      </c>
      <c r="AI119" s="193">
        <f>INDEX(Tab_Def_Flows[[Flow_ID]:[CC_DM_source]],MATCH(Tab_Data_Flows[[#This Row],[Name(EN)]],Tab_Def_Flows[Name(EN)],0),17)</f>
        <v>0</v>
      </c>
      <c r="AJ119" s="10" t="str">
        <f>IF(L119="Yes",AI119*Tab_Data_Flows[[#This Row],[Flow_Py]]*Tab_Data_Flows[[#This Row],[DM_'[%']]],"N.A.")</f>
        <v>N.A.</v>
      </c>
      <c r="AK119" s="10" t="str">
        <f>Tab_Data_Flows[[#This Row],[UoM_Flow_Py]]</f>
        <v>Mg</v>
      </c>
    </row>
    <row r="120" spans="1:37" x14ac:dyDescent="0.25">
      <c r="A120" s="17">
        <f t="shared" si="2"/>
        <v>119</v>
      </c>
      <c r="B120" s="10" t="str">
        <f>_xlfn.XLOOKUP(C120,Tab_Def_Flows[Name(EN)],Tab_Def_Flows[Flow_ID],,0,)</f>
        <v>N.A.</v>
      </c>
      <c r="C120" s="12" t="s">
        <v>35</v>
      </c>
      <c r="D120" s="10">
        <f>_xlfn.XLOOKUP(C120,Tab_Def_Flows[Name(EN)],Tab_Def_Flows[Type_Biomass],,0,)</f>
        <v>0</v>
      </c>
      <c r="E120" s="10">
        <f>_xlfn.XLOOKUP(C120,Tab_Def_Flows[Name(EN)],Tab_Def_Flows[Output_Process],,0,)</f>
        <v>0</v>
      </c>
      <c r="F120" s="10">
        <f>_xlfn.XLOOKUP(C120,Tab_Def_Flows[Name(EN)],Tab_Def_Flows[Process_ID_O],,0,)</f>
        <v>0</v>
      </c>
      <c r="G120" s="10">
        <f>_xlfn.XLOOKUP(C120,Tab_Def_Flows[Name(EN)],Tab_Def_Flows[Input_Process],,0,)</f>
        <v>0</v>
      </c>
      <c r="H120" s="18">
        <f>_xlfn.XLOOKUP(C120,Tab_Def_Flows[Name(EN)],Tab_Def_Flows[Process_ID_I],,0,)</f>
        <v>0</v>
      </c>
      <c r="I120" s="18" t="e">
        <f>_xlfn.XLOOKUP(C120,Tab_Def_Flows[Name(EN)],#REF!,,0,)</f>
        <v>#REF!</v>
      </c>
      <c r="J120" s="18">
        <f>_xlfn.XLOOKUP(C120,Tab_Def_Flows[Name(EN)],Tab_Def_Flows[WC?],,0,)</f>
        <v>0</v>
      </c>
      <c r="K120" s="18">
        <f>_xlfn.XLOOKUP(C120,Tab_Def_Flows[Name(EN)],Tab_Def_Flows[DM?],,0,)</f>
        <v>0</v>
      </c>
      <c r="L120" s="18">
        <f>_xlfn.XLOOKUP(C120,Tab_Def_Flows[Name(EN)],Tab_Def_Flows[CC?],,0,)</f>
        <v>0</v>
      </c>
      <c r="M120" s="12"/>
      <c r="N120" s="12" t="s">
        <v>105</v>
      </c>
      <c r="O120" s="50"/>
      <c r="P120" s="12"/>
      <c r="Q120" s="12" t="s">
        <v>114</v>
      </c>
      <c r="R120" s="12"/>
      <c r="S120" s="12"/>
      <c r="T120" s="12"/>
      <c r="U120" s="12"/>
      <c r="V120" s="12"/>
      <c r="W120" s="12"/>
      <c r="X120" s="12" t="s">
        <v>8</v>
      </c>
      <c r="Y120" s="43"/>
      <c r="Z120" s="12"/>
      <c r="AA120" s="36">
        <f t="shared" si="3"/>
        <v>0</v>
      </c>
      <c r="AB120" s="12" t="s">
        <v>283</v>
      </c>
      <c r="AC120" s="193">
        <f>INDEX(Tab_Def_Flows[[Flow_ID]:[CC_DM_source]],MATCH(Tab_Data_Flows[[#This Row],[Name(EN)]],Tab_Def_Flows[Name(EN)],0),13)</f>
        <v>0</v>
      </c>
      <c r="AD120" s="10" t="str">
        <f>IF(J120="Yes",AA120*Tab_Data_Flows[[#This Row],[WC_'[%']]],"N.A.")</f>
        <v>N.A.</v>
      </c>
      <c r="AE120" s="10" t="str">
        <f>Tab_Data_Flows[[#This Row],[UoM_Flow_Py]]</f>
        <v>Mg</v>
      </c>
      <c r="AF120" s="193">
        <f>INDEX(Tab_Def_Flows[[Flow_ID]:[CC_DM_source]],MATCH(Tab_Data_Flows[[#This Row],[Name(EN)]],Tab_Def_Flows[Name(EN)],0),15)</f>
        <v>0</v>
      </c>
      <c r="AG120" s="10" t="str">
        <f>IF(K120="Yes",AF120*Tab_Data_Flows[[#This Row],[Flow_Py]]-AJ236,"N.A.")</f>
        <v>N.A.</v>
      </c>
      <c r="AH120" s="10" t="str">
        <f>Tab_Data_Flows[[#This Row],[UoM_Flow_Py]]</f>
        <v>Mg</v>
      </c>
      <c r="AI120" s="193">
        <f>INDEX(Tab_Def_Flows[[Flow_ID]:[CC_DM_source]],MATCH(Tab_Data_Flows[[#This Row],[Name(EN)]],Tab_Def_Flows[Name(EN)],0),17)</f>
        <v>0</v>
      </c>
      <c r="AJ120" s="10" t="str">
        <f>IF(L120="Yes",AI120*Tab_Data_Flows[[#This Row],[Flow_Py]]*Tab_Data_Flows[[#This Row],[DM_'[%']]],"N.A.")</f>
        <v>N.A.</v>
      </c>
      <c r="AK120" s="10" t="str">
        <f>Tab_Data_Flows[[#This Row],[UoM_Flow_Py]]</f>
        <v>Mg</v>
      </c>
    </row>
    <row r="121" spans="1:37" x14ac:dyDescent="0.25">
      <c r="A121" s="17">
        <f t="shared" si="2"/>
        <v>120</v>
      </c>
      <c r="B121" s="10" t="str">
        <f>_xlfn.XLOOKUP(C121,Tab_Def_Flows[Name(EN)],Tab_Def_Flows[Flow_ID],,0,)</f>
        <v>N.A.</v>
      </c>
      <c r="C121" s="12" t="s">
        <v>35</v>
      </c>
      <c r="D121" s="10">
        <f>_xlfn.XLOOKUP(C121,Tab_Def_Flows[Name(EN)],Tab_Def_Flows[Type_Biomass],,0,)</f>
        <v>0</v>
      </c>
      <c r="E121" s="10">
        <f>_xlfn.XLOOKUP(C121,Tab_Def_Flows[Name(EN)],Tab_Def_Flows[Output_Process],,0,)</f>
        <v>0</v>
      </c>
      <c r="F121" s="10">
        <f>_xlfn.XLOOKUP(C121,Tab_Def_Flows[Name(EN)],Tab_Def_Flows[Process_ID_O],,0,)</f>
        <v>0</v>
      </c>
      <c r="G121" s="10">
        <f>_xlfn.XLOOKUP(C121,Tab_Def_Flows[Name(EN)],Tab_Def_Flows[Input_Process],,0,)</f>
        <v>0</v>
      </c>
      <c r="H121" s="18">
        <f>_xlfn.XLOOKUP(C121,Tab_Def_Flows[Name(EN)],Tab_Def_Flows[Process_ID_I],,0,)</f>
        <v>0</v>
      </c>
      <c r="I121" s="18" t="e">
        <f>_xlfn.XLOOKUP(C121,Tab_Def_Flows[Name(EN)],#REF!,,0,)</f>
        <v>#REF!</v>
      </c>
      <c r="J121" s="18">
        <f>_xlfn.XLOOKUP(C121,Tab_Def_Flows[Name(EN)],Tab_Def_Flows[WC?],,0,)</f>
        <v>0</v>
      </c>
      <c r="K121" s="18">
        <f>_xlfn.XLOOKUP(C121,Tab_Def_Flows[Name(EN)],Tab_Def_Flows[DM?],,0,)</f>
        <v>0</v>
      </c>
      <c r="L121" s="18">
        <f>_xlfn.XLOOKUP(C121,Tab_Def_Flows[Name(EN)],Tab_Def_Flows[CC?],,0,)</f>
        <v>0</v>
      </c>
      <c r="M121" s="12"/>
      <c r="N121" s="12" t="s">
        <v>105</v>
      </c>
      <c r="O121" s="50"/>
      <c r="P121" s="12"/>
      <c r="Q121" s="12" t="s">
        <v>114</v>
      </c>
      <c r="R121" s="12"/>
      <c r="S121" s="12"/>
      <c r="T121" s="12"/>
      <c r="U121" s="12"/>
      <c r="V121" s="12"/>
      <c r="W121" s="12"/>
      <c r="X121" s="12" t="s">
        <v>8</v>
      </c>
      <c r="Y121" s="43"/>
      <c r="Z121" s="12"/>
      <c r="AA121" s="36">
        <f t="shared" si="3"/>
        <v>0</v>
      </c>
      <c r="AB121" s="12" t="s">
        <v>283</v>
      </c>
      <c r="AC121" s="193">
        <f>INDEX(Tab_Def_Flows[[Flow_ID]:[CC_DM_source]],MATCH(Tab_Data_Flows[[#This Row],[Name(EN)]],Tab_Def_Flows[Name(EN)],0),13)</f>
        <v>0</v>
      </c>
      <c r="AD121" s="10" t="str">
        <f>IF(J121="Yes",AA121*Tab_Data_Flows[[#This Row],[WC_'[%']]],"N.A.")</f>
        <v>N.A.</v>
      </c>
      <c r="AE121" s="10" t="str">
        <f>Tab_Data_Flows[[#This Row],[UoM_Flow_Py]]</f>
        <v>Mg</v>
      </c>
      <c r="AF121" s="193">
        <f>INDEX(Tab_Def_Flows[[Flow_ID]:[CC_DM_source]],MATCH(Tab_Data_Flows[[#This Row],[Name(EN)]],Tab_Def_Flows[Name(EN)],0),15)</f>
        <v>0</v>
      </c>
      <c r="AG121" s="10" t="str">
        <f>IF(K121="Yes",AF121*Tab_Data_Flows[[#This Row],[Flow_Py]]-AJ237,"N.A.")</f>
        <v>N.A.</v>
      </c>
      <c r="AH121" s="10" t="str">
        <f>Tab_Data_Flows[[#This Row],[UoM_Flow_Py]]</f>
        <v>Mg</v>
      </c>
      <c r="AI121" s="193">
        <f>INDEX(Tab_Def_Flows[[Flow_ID]:[CC_DM_source]],MATCH(Tab_Data_Flows[[#This Row],[Name(EN)]],Tab_Def_Flows[Name(EN)],0),17)</f>
        <v>0</v>
      </c>
      <c r="AJ121" s="10" t="str">
        <f>IF(L121="Yes",AI121*Tab_Data_Flows[[#This Row],[Flow_Py]]*Tab_Data_Flows[[#This Row],[DM_'[%']]],"N.A.")</f>
        <v>N.A.</v>
      </c>
      <c r="AK121" s="10" t="str">
        <f>Tab_Data_Flows[[#This Row],[UoM_Flow_Py]]</f>
        <v>Mg</v>
      </c>
    </row>
    <row r="122" spans="1:37" x14ac:dyDescent="0.25">
      <c r="A122" s="17">
        <f t="shared" si="2"/>
        <v>121</v>
      </c>
      <c r="B122" s="10" t="str">
        <f>_xlfn.XLOOKUP(C122,Tab_Def_Flows[Name(EN)],Tab_Def_Flows[Flow_ID],,0,)</f>
        <v>N.A.</v>
      </c>
      <c r="C122" s="12" t="s">
        <v>35</v>
      </c>
      <c r="D122" s="10">
        <f>_xlfn.XLOOKUP(C122,Tab_Def_Flows[Name(EN)],Tab_Def_Flows[Type_Biomass],,0,)</f>
        <v>0</v>
      </c>
      <c r="E122" s="10">
        <f>_xlfn.XLOOKUP(C122,Tab_Def_Flows[Name(EN)],Tab_Def_Flows[Output_Process],,0,)</f>
        <v>0</v>
      </c>
      <c r="F122" s="10">
        <f>_xlfn.XLOOKUP(C122,Tab_Def_Flows[Name(EN)],Tab_Def_Flows[Process_ID_O],,0,)</f>
        <v>0</v>
      </c>
      <c r="G122" s="10">
        <f>_xlfn.XLOOKUP(C122,Tab_Def_Flows[Name(EN)],Tab_Def_Flows[Input_Process],,0,)</f>
        <v>0</v>
      </c>
      <c r="H122" s="18">
        <f>_xlfn.XLOOKUP(C122,Tab_Def_Flows[Name(EN)],Tab_Def_Flows[Process_ID_I],,0,)</f>
        <v>0</v>
      </c>
      <c r="I122" s="18" t="e">
        <f>_xlfn.XLOOKUP(C122,Tab_Def_Flows[Name(EN)],#REF!,,0,)</f>
        <v>#REF!</v>
      </c>
      <c r="J122" s="18">
        <f>_xlfn.XLOOKUP(C122,Tab_Def_Flows[Name(EN)],Tab_Def_Flows[WC?],,0,)</f>
        <v>0</v>
      </c>
      <c r="K122" s="18">
        <f>_xlfn.XLOOKUP(C122,Tab_Def_Flows[Name(EN)],Tab_Def_Flows[DM?],,0,)</f>
        <v>0</v>
      </c>
      <c r="L122" s="18">
        <f>_xlfn.XLOOKUP(C122,Tab_Def_Flows[Name(EN)],Tab_Def_Flows[CC?],,0,)</f>
        <v>0</v>
      </c>
      <c r="M122" s="12"/>
      <c r="N122" s="12" t="s">
        <v>105</v>
      </c>
      <c r="O122" s="50"/>
      <c r="P122" s="12"/>
      <c r="Q122" s="12" t="s">
        <v>114</v>
      </c>
      <c r="R122" s="12"/>
      <c r="S122" s="12"/>
      <c r="T122" s="12"/>
      <c r="U122" s="12"/>
      <c r="V122" s="12"/>
      <c r="W122" s="12"/>
      <c r="X122" s="12" t="s">
        <v>8</v>
      </c>
      <c r="Y122" s="43"/>
      <c r="Z122" s="12"/>
      <c r="AA122" s="36">
        <f t="shared" si="3"/>
        <v>0</v>
      </c>
      <c r="AB122" s="12" t="s">
        <v>283</v>
      </c>
      <c r="AC122" s="193">
        <f>INDEX(Tab_Def_Flows[[Flow_ID]:[CC_DM_source]],MATCH(Tab_Data_Flows[[#This Row],[Name(EN)]],Tab_Def_Flows[Name(EN)],0),13)</f>
        <v>0</v>
      </c>
      <c r="AD122" s="10" t="str">
        <f>IF(J122="Yes",AA122*Tab_Data_Flows[[#This Row],[WC_'[%']]],"N.A.")</f>
        <v>N.A.</v>
      </c>
      <c r="AE122" s="10" t="str">
        <f>Tab_Data_Flows[[#This Row],[UoM_Flow_Py]]</f>
        <v>Mg</v>
      </c>
      <c r="AF122" s="193">
        <f>INDEX(Tab_Def_Flows[[Flow_ID]:[CC_DM_source]],MATCH(Tab_Data_Flows[[#This Row],[Name(EN)]],Tab_Def_Flows[Name(EN)],0),15)</f>
        <v>0</v>
      </c>
      <c r="AG122" s="10" t="str">
        <f>IF(K122="Yes",AF122*Tab_Data_Flows[[#This Row],[Flow_Py]]-AJ238,"N.A.")</f>
        <v>N.A.</v>
      </c>
      <c r="AH122" s="10" t="str">
        <f>Tab_Data_Flows[[#This Row],[UoM_Flow_Py]]</f>
        <v>Mg</v>
      </c>
      <c r="AI122" s="193">
        <f>INDEX(Tab_Def_Flows[[Flow_ID]:[CC_DM_source]],MATCH(Tab_Data_Flows[[#This Row],[Name(EN)]],Tab_Def_Flows[Name(EN)],0),17)</f>
        <v>0</v>
      </c>
      <c r="AJ122" s="10" t="str">
        <f>IF(L122="Yes",AI122*Tab_Data_Flows[[#This Row],[Flow_Py]]*Tab_Data_Flows[[#This Row],[DM_'[%']]],"N.A.")</f>
        <v>N.A.</v>
      </c>
      <c r="AK122" s="10" t="str">
        <f>Tab_Data_Flows[[#This Row],[UoM_Flow_Py]]</f>
        <v>Mg</v>
      </c>
    </row>
    <row r="123" spans="1:37" x14ac:dyDescent="0.25">
      <c r="A123" s="17">
        <f t="shared" si="2"/>
        <v>122</v>
      </c>
      <c r="B123" s="10" t="str">
        <f>_xlfn.XLOOKUP(C123,Tab_Def_Flows[Name(EN)],Tab_Def_Flows[Flow_ID],,0,)</f>
        <v>N.A.</v>
      </c>
      <c r="C123" s="12" t="s">
        <v>35</v>
      </c>
      <c r="D123" s="10">
        <f>_xlfn.XLOOKUP(C123,Tab_Def_Flows[Name(EN)],Tab_Def_Flows[Type_Biomass],,0,)</f>
        <v>0</v>
      </c>
      <c r="E123" s="10">
        <f>_xlfn.XLOOKUP(C123,Tab_Def_Flows[Name(EN)],Tab_Def_Flows[Output_Process],,0,)</f>
        <v>0</v>
      </c>
      <c r="F123" s="10">
        <f>_xlfn.XLOOKUP(C123,Tab_Def_Flows[Name(EN)],Tab_Def_Flows[Process_ID_O],,0,)</f>
        <v>0</v>
      </c>
      <c r="G123" s="10">
        <f>_xlfn.XLOOKUP(C123,Tab_Def_Flows[Name(EN)],Tab_Def_Flows[Input_Process],,0,)</f>
        <v>0</v>
      </c>
      <c r="H123" s="18">
        <f>_xlfn.XLOOKUP(C123,Tab_Def_Flows[Name(EN)],Tab_Def_Flows[Process_ID_I],,0,)</f>
        <v>0</v>
      </c>
      <c r="I123" s="18" t="e">
        <f>_xlfn.XLOOKUP(C123,Tab_Def_Flows[Name(EN)],#REF!,,0,)</f>
        <v>#REF!</v>
      </c>
      <c r="J123" s="18">
        <f>_xlfn.XLOOKUP(C123,Tab_Def_Flows[Name(EN)],Tab_Def_Flows[WC?],,0,)</f>
        <v>0</v>
      </c>
      <c r="K123" s="18">
        <f>_xlfn.XLOOKUP(C123,Tab_Def_Flows[Name(EN)],Tab_Def_Flows[DM?],,0,)</f>
        <v>0</v>
      </c>
      <c r="L123" s="18">
        <f>_xlfn.XLOOKUP(C123,Tab_Def_Flows[Name(EN)],Tab_Def_Flows[CC?],,0,)</f>
        <v>0</v>
      </c>
      <c r="M123" s="12"/>
      <c r="N123" s="12" t="s">
        <v>105</v>
      </c>
      <c r="O123" s="50"/>
      <c r="P123" s="12"/>
      <c r="Q123" s="12" t="s">
        <v>114</v>
      </c>
      <c r="R123" s="12"/>
      <c r="S123" s="12"/>
      <c r="T123" s="12"/>
      <c r="U123" s="12"/>
      <c r="V123" s="12"/>
      <c r="W123" s="12"/>
      <c r="X123" s="12" t="s">
        <v>8</v>
      </c>
      <c r="Y123" s="43"/>
      <c r="Z123" s="12"/>
      <c r="AA123" s="36">
        <f t="shared" si="3"/>
        <v>0</v>
      </c>
      <c r="AB123" s="12" t="s">
        <v>283</v>
      </c>
      <c r="AC123" s="193">
        <f>INDEX(Tab_Def_Flows[[Flow_ID]:[CC_DM_source]],MATCH(Tab_Data_Flows[[#This Row],[Name(EN)]],Tab_Def_Flows[Name(EN)],0),13)</f>
        <v>0</v>
      </c>
      <c r="AD123" s="10" t="str">
        <f>IF(J123="Yes",AA123*Tab_Data_Flows[[#This Row],[WC_'[%']]],"N.A.")</f>
        <v>N.A.</v>
      </c>
      <c r="AE123" s="10" t="str">
        <f>Tab_Data_Flows[[#This Row],[UoM_Flow_Py]]</f>
        <v>Mg</v>
      </c>
      <c r="AF123" s="193">
        <f>INDEX(Tab_Def_Flows[[Flow_ID]:[CC_DM_source]],MATCH(Tab_Data_Flows[[#This Row],[Name(EN)]],Tab_Def_Flows[Name(EN)],0),15)</f>
        <v>0</v>
      </c>
      <c r="AG123" s="10" t="str">
        <f>IF(K123="Yes",AF123*Tab_Data_Flows[[#This Row],[Flow_Py]]-AJ239,"N.A.")</f>
        <v>N.A.</v>
      </c>
      <c r="AH123" s="10" t="str">
        <f>Tab_Data_Flows[[#This Row],[UoM_Flow_Py]]</f>
        <v>Mg</v>
      </c>
      <c r="AI123" s="193">
        <f>INDEX(Tab_Def_Flows[[Flow_ID]:[CC_DM_source]],MATCH(Tab_Data_Flows[[#This Row],[Name(EN)]],Tab_Def_Flows[Name(EN)],0),17)</f>
        <v>0</v>
      </c>
      <c r="AJ123" s="10" t="str">
        <f>IF(L123="Yes",AI123*Tab_Data_Flows[[#This Row],[Flow_Py]]*Tab_Data_Flows[[#This Row],[DM_'[%']]],"N.A.")</f>
        <v>N.A.</v>
      </c>
      <c r="AK123" s="10" t="str">
        <f>Tab_Data_Flows[[#This Row],[UoM_Flow_Py]]</f>
        <v>Mg</v>
      </c>
    </row>
    <row r="124" spans="1:37" x14ac:dyDescent="0.25">
      <c r="A124" s="17">
        <f t="shared" si="2"/>
        <v>123</v>
      </c>
      <c r="B124" s="10" t="str">
        <f>_xlfn.XLOOKUP(C124,Tab_Def_Flows[Name(EN)],Tab_Def_Flows[Flow_ID],,0,)</f>
        <v>N.A.</v>
      </c>
      <c r="C124" s="12" t="s">
        <v>35</v>
      </c>
      <c r="D124" s="10">
        <f>_xlfn.XLOOKUP(C124,Tab_Def_Flows[Name(EN)],Tab_Def_Flows[Type_Biomass],,0,)</f>
        <v>0</v>
      </c>
      <c r="E124" s="10">
        <f>_xlfn.XLOOKUP(C124,Tab_Def_Flows[Name(EN)],Tab_Def_Flows[Output_Process],,0,)</f>
        <v>0</v>
      </c>
      <c r="F124" s="10">
        <f>_xlfn.XLOOKUP(C124,Tab_Def_Flows[Name(EN)],Tab_Def_Flows[Process_ID_O],,0,)</f>
        <v>0</v>
      </c>
      <c r="G124" s="10">
        <f>_xlfn.XLOOKUP(C124,Tab_Def_Flows[Name(EN)],Tab_Def_Flows[Input_Process],,0,)</f>
        <v>0</v>
      </c>
      <c r="H124" s="18">
        <f>_xlfn.XLOOKUP(C124,Tab_Def_Flows[Name(EN)],Tab_Def_Flows[Process_ID_I],,0,)</f>
        <v>0</v>
      </c>
      <c r="I124" s="18" t="e">
        <f>_xlfn.XLOOKUP(C124,Tab_Def_Flows[Name(EN)],#REF!,,0,)</f>
        <v>#REF!</v>
      </c>
      <c r="J124" s="18">
        <f>_xlfn.XLOOKUP(C124,Tab_Def_Flows[Name(EN)],Tab_Def_Flows[WC?],,0,)</f>
        <v>0</v>
      </c>
      <c r="K124" s="18">
        <f>_xlfn.XLOOKUP(C124,Tab_Def_Flows[Name(EN)],Tab_Def_Flows[DM?],,0,)</f>
        <v>0</v>
      </c>
      <c r="L124" s="18">
        <f>_xlfn.XLOOKUP(C124,Tab_Def_Flows[Name(EN)],Tab_Def_Flows[CC?],,0,)</f>
        <v>0</v>
      </c>
      <c r="M124" s="12"/>
      <c r="N124" s="12" t="s">
        <v>105</v>
      </c>
      <c r="O124" s="50"/>
      <c r="P124" s="12"/>
      <c r="Q124" s="12" t="s">
        <v>114</v>
      </c>
      <c r="R124" s="12"/>
      <c r="S124" s="12"/>
      <c r="T124" s="12"/>
      <c r="U124" s="12"/>
      <c r="V124" s="12"/>
      <c r="W124" s="12"/>
      <c r="X124" s="12" t="s">
        <v>8</v>
      </c>
      <c r="Y124" s="43"/>
      <c r="Z124" s="12"/>
      <c r="AA124" s="36">
        <f t="shared" si="3"/>
        <v>0</v>
      </c>
      <c r="AB124" s="12" t="s">
        <v>283</v>
      </c>
      <c r="AC124" s="193">
        <f>INDEX(Tab_Def_Flows[[Flow_ID]:[CC_DM_source]],MATCH(Tab_Data_Flows[[#This Row],[Name(EN)]],Tab_Def_Flows[Name(EN)],0),13)</f>
        <v>0</v>
      </c>
      <c r="AD124" s="10" t="str">
        <f>IF(J124="Yes",AA124*Tab_Data_Flows[[#This Row],[WC_'[%']]],"N.A.")</f>
        <v>N.A.</v>
      </c>
      <c r="AE124" s="10" t="str">
        <f>Tab_Data_Flows[[#This Row],[UoM_Flow_Py]]</f>
        <v>Mg</v>
      </c>
      <c r="AF124" s="193">
        <f>INDEX(Tab_Def_Flows[[Flow_ID]:[CC_DM_source]],MATCH(Tab_Data_Flows[[#This Row],[Name(EN)]],Tab_Def_Flows[Name(EN)],0),15)</f>
        <v>0</v>
      </c>
      <c r="AG124" s="10" t="str">
        <f>IF(K124="Yes",AF124*Tab_Data_Flows[[#This Row],[Flow_Py]]-AJ240,"N.A.")</f>
        <v>N.A.</v>
      </c>
      <c r="AH124" s="10" t="str">
        <f>Tab_Data_Flows[[#This Row],[UoM_Flow_Py]]</f>
        <v>Mg</v>
      </c>
      <c r="AI124" s="193">
        <f>INDEX(Tab_Def_Flows[[Flow_ID]:[CC_DM_source]],MATCH(Tab_Data_Flows[[#This Row],[Name(EN)]],Tab_Def_Flows[Name(EN)],0),17)</f>
        <v>0</v>
      </c>
      <c r="AJ124" s="10" t="str">
        <f>IF(L124="Yes",AI124*Tab_Data_Flows[[#This Row],[Flow_Py]]*Tab_Data_Flows[[#This Row],[DM_'[%']]],"N.A.")</f>
        <v>N.A.</v>
      </c>
      <c r="AK124" s="10" t="str">
        <f>Tab_Data_Flows[[#This Row],[UoM_Flow_Py]]</f>
        <v>Mg</v>
      </c>
    </row>
    <row r="125" spans="1:37" x14ac:dyDescent="0.25">
      <c r="A125" s="17">
        <f t="shared" si="2"/>
        <v>124</v>
      </c>
      <c r="B125" s="10" t="str">
        <f>_xlfn.XLOOKUP(C125,Tab_Def_Flows[Name(EN)],Tab_Def_Flows[Flow_ID],,0,)</f>
        <v>N.A.</v>
      </c>
      <c r="C125" s="12" t="s">
        <v>35</v>
      </c>
      <c r="D125" s="10"/>
      <c r="E125" s="10">
        <f>_xlfn.XLOOKUP(C125,Tab_Def_Flows[Name(EN)],Tab_Def_Flows[Output_Process],,0,)</f>
        <v>0</v>
      </c>
      <c r="F125" s="10">
        <f>_xlfn.XLOOKUP(C125,Tab_Def_Flows[Name(EN)],Tab_Def_Flows[Process_ID_O],,0,)</f>
        <v>0</v>
      </c>
      <c r="G125" s="10">
        <f>_xlfn.XLOOKUP(C125,Tab_Def_Flows[Name(EN)],Tab_Def_Flows[Input_Process],,0,)</f>
        <v>0</v>
      </c>
      <c r="H125" s="18">
        <f>_xlfn.XLOOKUP(C125,Tab_Def_Flows[Name(EN)],Tab_Def_Flows[Process_ID_I],,0,)</f>
        <v>0</v>
      </c>
      <c r="I125" s="10" t="e">
        <f>_xlfn.XLOOKUP(C125,Tab_Def_Flows[Name(EN)],#REF!,,0,)</f>
        <v>#REF!</v>
      </c>
      <c r="J125" s="10">
        <f>_xlfn.XLOOKUP(C125,Tab_Def_Flows[Name(EN)],Tab_Def_Flows[WC?],,0,)</f>
        <v>0</v>
      </c>
      <c r="K125" s="10">
        <f>_xlfn.XLOOKUP(C125,Tab_Def_Flows[Name(EN)],Tab_Def_Flows[DM?],,0,)</f>
        <v>0</v>
      </c>
      <c r="L125" s="10">
        <f>_xlfn.XLOOKUP(C125,Tab_Def_Flows[Name(EN)],Tab_Def_Flows[CC?],,0,)</f>
        <v>0</v>
      </c>
      <c r="M125" s="12"/>
      <c r="N125" s="12"/>
      <c r="O125" s="50"/>
      <c r="P125" s="12"/>
      <c r="Q125" s="12"/>
      <c r="R125" s="12" t="e">
        <f>INDEX(#REF!,MATCH(Tab_Data_Flows[[#This Row],[Name(EN)]],#REF!,0),12)</f>
        <v>#REF!</v>
      </c>
      <c r="S125" s="12" t="e">
        <f>MATCH(Tab_Data_Flows[[#This Row],[Name(EN)]],#REF!,0)</f>
        <v>#REF!</v>
      </c>
      <c r="T125" s="12"/>
      <c r="U125" s="12"/>
      <c r="V125" s="12"/>
      <c r="W125" s="12"/>
      <c r="X125" s="12" t="s">
        <v>8</v>
      </c>
      <c r="Y125" s="12"/>
      <c r="Z125" s="12"/>
      <c r="AA125" s="36">
        <f t="shared" si="3"/>
        <v>0</v>
      </c>
      <c r="AB125" s="12" t="s">
        <v>283</v>
      </c>
      <c r="AC125" s="193">
        <f>INDEX(Tab_Def_Flows[[Flow_ID]:[CC_DM_source]],MATCH(Tab_Data_Flows[[#This Row],[Name(EN)]],Tab_Def_Flows[Name(EN)],0),13)</f>
        <v>0</v>
      </c>
      <c r="AD125" s="10" t="str">
        <f>IF(J125="Yes",AA125*Tab_Data_Flows[[#This Row],[WC_'[%']]],"N.A.")</f>
        <v>N.A.</v>
      </c>
      <c r="AE125" s="10" t="str">
        <f>Tab_Data_Flows[[#This Row],[UoM_Flow_Py]]</f>
        <v>Mg</v>
      </c>
      <c r="AF125" s="193">
        <f>INDEX(Tab_Def_Flows[[Flow_ID]:[CC_DM_source]],MATCH(Tab_Data_Flows[[#This Row],[Name(EN)]],Tab_Def_Flows[Name(EN)],0),15)</f>
        <v>0</v>
      </c>
      <c r="AG125" s="10" t="str">
        <f>IF(K125="Yes",AF125*Tab_Data_Flows[[#This Row],[Flow_Py]]-AJ241,"N.A.")</f>
        <v>N.A.</v>
      </c>
      <c r="AH125" s="10" t="str">
        <f>Tab_Data_Flows[[#This Row],[UoM_Flow_Py]]</f>
        <v>Mg</v>
      </c>
      <c r="AI125" s="193">
        <f>INDEX(Tab_Def_Flows[[Flow_ID]:[CC_DM_source]],MATCH(Tab_Data_Flows[[#This Row],[Name(EN)]],Tab_Def_Flows[Name(EN)],0),17)</f>
        <v>0</v>
      </c>
      <c r="AJ125" s="10" t="str">
        <f>IF(L125="Yes",AI125*Tab_Data_Flows[[#This Row],[Flow_Py]]*Tab_Data_Flows[[#This Row],[DM_'[%']]],"N.A.")</f>
        <v>N.A.</v>
      </c>
      <c r="AK125" s="10" t="str">
        <f>Tab_Data_Flows[[#This Row],[UoM_Flow_Py]]</f>
        <v>Mg</v>
      </c>
    </row>
    <row r="126" spans="1:37" x14ac:dyDescent="0.25">
      <c r="A126" s="17">
        <f t="shared" si="2"/>
        <v>125</v>
      </c>
      <c r="B126" s="10" t="str">
        <f>_xlfn.XLOOKUP(C126,Tab_Def_Flows[Name(EN)],Tab_Def_Flows[Flow_ID],,0,)</f>
        <v>N.A.</v>
      </c>
      <c r="C126" s="12" t="s">
        <v>35</v>
      </c>
      <c r="D126" s="10"/>
      <c r="E126" s="10">
        <f>_xlfn.XLOOKUP(C126,Tab_Def_Flows[Name(EN)],Tab_Def_Flows[Output_Process],,0,)</f>
        <v>0</v>
      </c>
      <c r="F126" s="10">
        <f>_xlfn.XLOOKUP(C126,Tab_Def_Flows[Name(EN)],Tab_Def_Flows[Process_ID_O],,0,)</f>
        <v>0</v>
      </c>
      <c r="G126" s="10">
        <f>_xlfn.XLOOKUP(C126,Tab_Def_Flows[Name(EN)],Tab_Def_Flows[Input_Process],,0,)</f>
        <v>0</v>
      </c>
      <c r="H126" s="18">
        <f>_xlfn.XLOOKUP(C126,Tab_Def_Flows[Name(EN)],Tab_Def_Flows[Process_ID_I],,0,)</f>
        <v>0</v>
      </c>
      <c r="I126" s="10" t="e">
        <f>_xlfn.XLOOKUP(C126,Tab_Def_Flows[Name(EN)],#REF!,,0,)</f>
        <v>#REF!</v>
      </c>
      <c r="J126" s="10">
        <f>_xlfn.XLOOKUP(C126,Tab_Def_Flows[Name(EN)],Tab_Def_Flows[WC?],,0,)</f>
        <v>0</v>
      </c>
      <c r="K126" s="10">
        <f>_xlfn.XLOOKUP(C126,Tab_Def_Flows[Name(EN)],Tab_Def_Flows[DM?],,0,)</f>
        <v>0</v>
      </c>
      <c r="L126" s="10">
        <f>_xlfn.XLOOKUP(C126,Tab_Def_Flows[Name(EN)],Tab_Def_Flows[CC?],,0,)</f>
        <v>0</v>
      </c>
      <c r="M126" s="12"/>
      <c r="N126" s="12"/>
      <c r="O126" s="50"/>
      <c r="P126" s="12"/>
      <c r="Q126" s="12"/>
      <c r="R126" s="12" t="e">
        <f>INDEX(#REF!,MATCH(Tab_Data_Flows[[#This Row],[Name(EN)]],#REF!,0),12)</f>
        <v>#REF!</v>
      </c>
      <c r="S126" s="12" t="e">
        <f>MATCH(Tab_Data_Flows[[#This Row],[Name(EN)]],#REF!,0)</f>
        <v>#REF!</v>
      </c>
      <c r="T126" s="12"/>
      <c r="U126" s="12"/>
      <c r="V126" s="12"/>
      <c r="W126" s="12"/>
      <c r="X126" s="12" t="s">
        <v>8</v>
      </c>
      <c r="Y126" s="12"/>
      <c r="Z126" s="12"/>
      <c r="AA126" s="36">
        <f t="shared" si="3"/>
        <v>0</v>
      </c>
      <c r="AB126" s="12" t="s">
        <v>283</v>
      </c>
      <c r="AC126" s="193">
        <f>INDEX(Tab_Def_Flows[[Flow_ID]:[CC_DM_source]],MATCH(Tab_Data_Flows[[#This Row],[Name(EN)]],Tab_Def_Flows[Name(EN)],0),13)</f>
        <v>0</v>
      </c>
      <c r="AD126" s="10" t="str">
        <f>IF(J126="Yes",AA126*Tab_Data_Flows[[#This Row],[WC_'[%']]],"N.A.")</f>
        <v>N.A.</v>
      </c>
      <c r="AE126" s="10" t="str">
        <f>Tab_Data_Flows[[#This Row],[UoM_Flow_Py]]</f>
        <v>Mg</v>
      </c>
      <c r="AF126" s="193">
        <f>INDEX(Tab_Def_Flows[[Flow_ID]:[CC_DM_source]],MATCH(Tab_Data_Flows[[#This Row],[Name(EN)]],Tab_Def_Flows[Name(EN)],0),15)</f>
        <v>0</v>
      </c>
      <c r="AG126" s="10" t="str">
        <f>IF(K126="Yes",AF126*Tab_Data_Flows[[#This Row],[Flow_Py]]-AJ242,"N.A.")</f>
        <v>N.A.</v>
      </c>
      <c r="AH126" s="10" t="str">
        <f>Tab_Data_Flows[[#This Row],[UoM_Flow_Py]]</f>
        <v>Mg</v>
      </c>
      <c r="AI126" s="193">
        <f>INDEX(Tab_Def_Flows[[Flow_ID]:[CC_DM_source]],MATCH(Tab_Data_Flows[[#This Row],[Name(EN)]],Tab_Def_Flows[Name(EN)],0),17)</f>
        <v>0</v>
      </c>
      <c r="AJ126" s="10" t="str">
        <f>IF(L126="Yes",AI126*Tab_Data_Flows[[#This Row],[Flow_Py]]*Tab_Data_Flows[[#This Row],[DM_'[%']]],"N.A.")</f>
        <v>N.A.</v>
      </c>
      <c r="AK126" s="10" t="str">
        <f>Tab_Data_Flows[[#This Row],[UoM_Flow_Py]]</f>
        <v>Mg</v>
      </c>
    </row>
    <row r="127" spans="1:37" x14ac:dyDescent="0.25">
      <c r="A127" s="17">
        <f t="shared" si="2"/>
        <v>126</v>
      </c>
      <c r="B127" s="10" t="str">
        <f>_xlfn.XLOOKUP(C127,Tab_Def_Flows[Name(EN)],Tab_Def_Flows[Flow_ID],,0,)</f>
        <v>N.A.</v>
      </c>
      <c r="C127" s="12" t="s">
        <v>35</v>
      </c>
      <c r="D127" s="10"/>
      <c r="E127" s="10">
        <f>_xlfn.XLOOKUP(C127,Tab_Def_Flows[Name(EN)],Tab_Def_Flows[Output_Process],,0,)</f>
        <v>0</v>
      </c>
      <c r="F127" s="10">
        <f>_xlfn.XLOOKUP(C127,Tab_Def_Flows[Name(EN)],Tab_Def_Flows[Process_ID_O],,0,)</f>
        <v>0</v>
      </c>
      <c r="G127" s="10">
        <f>_xlfn.XLOOKUP(C127,Tab_Def_Flows[Name(EN)],Tab_Def_Flows[Input_Process],,0,)</f>
        <v>0</v>
      </c>
      <c r="H127" s="18">
        <f>_xlfn.XLOOKUP(C127,Tab_Def_Flows[Name(EN)],Tab_Def_Flows[Process_ID_I],,0,)</f>
        <v>0</v>
      </c>
      <c r="I127" s="10" t="e">
        <f>_xlfn.XLOOKUP(C127,Tab_Def_Flows[Name(EN)],#REF!,,0,)</f>
        <v>#REF!</v>
      </c>
      <c r="J127" s="10">
        <f>_xlfn.XLOOKUP(C127,Tab_Def_Flows[Name(EN)],Tab_Def_Flows[WC?],,0,)</f>
        <v>0</v>
      </c>
      <c r="K127" s="10">
        <f>_xlfn.XLOOKUP(C127,Tab_Def_Flows[Name(EN)],Tab_Def_Flows[DM?],,0,)</f>
        <v>0</v>
      </c>
      <c r="L127" s="10">
        <f>_xlfn.XLOOKUP(C127,Tab_Def_Flows[Name(EN)],Tab_Def_Flows[CC?],,0,)</f>
        <v>0</v>
      </c>
      <c r="M127" s="12"/>
      <c r="N127" s="12"/>
      <c r="O127" s="50"/>
      <c r="P127" s="12"/>
      <c r="Q127" s="12"/>
      <c r="R127" s="12" t="e">
        <f>INDEX(#REF!,MATCH(Tab_Data_Flows[[#This Row],[Name(EN)]],#REF!,0),12)</f>
        <v>#REF!</v>
      </c>
      <c r="S127" s="12" t="e">
        <f>MATCH(Tab_Data_Flows[[#This Row],[Name(EN)]],#REF!,0)</f>
        <v>#REF!</v>
      </c>
      <c r="T127" s="12"/>
      <c r="U127" s="12"/>
      <c r="V127" s="12"/>
      <c r="W127" s="12"/>
      <c r="X127" s="12" t="s">
        <v>8</v>
      </c>
      <c r="Y127" s="12"/>
      <c r="Z127" s="12"/>
      <c r="AA127" s="36">
        <f t="shared" si="3"/>
        <v>0</v>
      </c>
      <c r="AB127" s="12" t="s">
        <v>283</v>
      </c>
      <c r="AC127" s="193">
        <f>INDEX(Tab_Def_Flows[[Flow_ID]:[CC_DM_source]],MATCH(Tab_Data_Flows[[#This Row],[Name(EN)]],Tab_Def_Flows[Name(EN)],0),13)</f>
        <v>0</v>
      </c>
      <c r="AD127" s="10" t="str">
        <f>IF(J127="Yes",AA127*Tab_Data_Flows[[#This Row],[WC_'[%']]],"N.A.")</f>
        <v>N.A.</v>
      </c>
      <c r="AE127" s="10" t="str">
        <f>Tab_Data_Flows[[#This Row],[UoM_Flow_Py]]</f>
        <v>Mg</v>
      </c>
      <c r="AF127" s="193">
        <f>INDEX(Tab_Def_Flows[[Flow_ID]:[CC_DM_source]],MATCH(Tab_Data_Flows[[#This Row],[Name(EN)]],Tab_Def_Flows[Name(EN)],0),15)</f>
        <v>0</v>
      </c>
      <c r="AG127" s="10" t="str">
        <f>IF(K127="Yes",AF127*Tab_Data_Flows[[#This Row],[Flow_Py]]-AJ243,"N.A.")</f>
        <v>N.A.</v>
      </c>
      <c r="AH127" s="10" t="str">
        <f>Tab_Data_Flows[[#This Row],[UoM_Flow_Py]]</f>
        <v>Mg</v>
      </c>
      <c r="AI127" s="193">
        <f>INDEX(Tab_Def_Flows[[Flow_ID]:[CC_DM_source]],MATCH(Tab_Data_Flows[[#This Row],[Name(EN)]],Tab_Def_Flows[Name(EN)],0),17)</f>
        <v>0</v>
      </c>
      <c r="AJ127" s="10" t="str">
        <f>IF(L127="Yes",AI127*Tab_Data_Flows[[#This Row],[Flow_Py]]*Tab_Data_Flows[[#This Row],[DM_'[%']]],"N.A.")</f>
        <v>N.A.</v>
      </c>
      <c r="AK127" s="10" t="str">
        <f>Tab_Data_Flows[[#This Row],[UoM_Flow_Py]]</f>
        <v>Mg</v>
      </c>
    </row>
    <row r="128" spans="1:37" x14ac:dyDescent="0.25">
      <c r="A128" s="17">
        <f t="shared" si="2"/>
        <v>127</v>
      </c>
      <c r="B128" s="10" t="str">
        <f>_xlfn.XLOOKUP(C128,Tab_Def_Flows[Name(EN)],Tab_Def_Flows[Flow_ID],,0,)</f>
        <v>N.A.</v>
      </c>
      <c r="C128" s="12" t="s">
        <v>35</v>
      </c>
      <c r="D128" s="10"/>
      <c r="E128" s="10">
        <f>_xlfn.XLOOKUP(C128,Tab_Def_Flows[Name(EN)],Tab_Def_Flows[Output_Process],,0,)</f>
        <v>0</v>
      </c>
      <c r="F128" s="10">
        <f>_xlfn.XLOOKUP(C128,Tab_Def_Flows[Name(EN)],Tab_Def_Flows[Process_ID_O],,0,)</f>
        <v>0</v>
      </c>
      <c r="G128" s="10">
        <f>_xlfn.XLOOKUP(C128,Tab_Def_Flows[Name(EN)],Tab_Def_Flows[Input_Process],,0,)</f>
        <v>0</v>
      </c>
      <c r="H128" s="18">
        <f>_xlfn.XLOOKUP(C128,Tab_Def_Flows[Name(EN)],Tab_Def_Flows[Process_ID_I],,0,)</f>
        <v>0</v>
      </c>
      <c r="I128" s="10" t="e">
        <f>_xlfn.XLOOKUP(C128,Tab_Def_Flows[Name(EN)],#REF!,,0,)</f>
        <v>#REF!</v>
      </c>
      <c r="J128" s="10">
        <f>_xlfn.XLOOKUP(C128,Tab_Def_Flows[Name(EN)],Tab_Def_Flows[WC?],,0,)</f>
        <v>0</v>
      </c>
      <c r="K128" s="10">
        <f>_xlfn.XLOOKUP(C128,Tab_Def_Flows[Name(EN)],Tab_Def_Flows[DM?],,0,)</f>
        <v>0</v>
      </c>
      <c r="L128" s="10">
        <f>_xlfn.XLOOKUP(C128,Tab_Def_Flows[Name(EN)],Tab_Def_Flows[CC?],,0,)</f>
        <v>0</v>
      </c>
      <c r="M128" s="12"/>
      <c r="N128" s="12"/>
      <c r="O128" s="50"/>
      <c r="P128" s="12"/>
      <c r="Q128" s="12"/>
      <c r="R128" s="12" t="e">
        <f>INDEX(#REF!,MATCH(Tab_Data_Flows[[#This Row],[Name(EN)]],#REF!,0),12)</f>
        <v>#REF!</v>
      </c>
      <c r="S128" s="12" t="e">
        <f>MATCH(Tab_Data_Flows[[#This Row],[Name(EN)]],#REF!,0)</f>
        <v>#REF!</v>
      </c>
      <c r="T128" s="12"/>
      <c r="U128" s="12"/>
      <c r="V128" s="12"/>
      <c r="W128" s="12"/>
      <c r="X128" s="12" t="s">
        <v>8</v>
      </c>
      <c r="Y128" s="12"/>
      <c r="Z128" s="12"/>
      <c r="AA128" s="36">
        <f t="shared" si="3"/>
        <v>0</v>
      </c>
      <c r="AB128" s="12" t="s">
        <v>283</v>
      </c>
      <c r="AC128" s="193">
        <f>INDEX(Tab_Def_Flows[[Flow_ID]:[CC_DM_source]],MATCH(Tab_Data_Flows[[#This Row],[Name(EN)]],Tab_Def_Flows[Name(EN)],0),13)</f>
        <v>0</v>
      </c>
      <c r="AD128" s="10" t="str">
        <f>IF(J128="Yes",AA128*Tab_Data_Flows[[#This Row],[WC_'[%']]],"N.A.")</f>
        <v>N.A.</v>
      </c>
      <c r="AE128" s="10" t="str">
        <f>Tab_Data_Flows[[#This Row],[UoM_Flow_Py]]</f>
        <v>Mg</v>
      </c>
      <c r="AF128" s="193">
        <f>INDEX(Tab_Def_Flows[[Flow_ID]:[CC_DM_source]],MATCH(Tab_Data_Flows[[#This Row],[Name(EN)]],Tab_Def_Flows[Name(EN)],0),15)</f>
        <v>0</v>
      </c>
      <c r="AG128" s="10" t="str">
        <f>IF(K128="Yes",AF128*Tab_Data_Flows[[#This Row],[Flow_Py]]-AJ244,"N.A.")</f>
        <v>N.A.</v>
      </c>
      <c r="AH128" s="10" t="str">
        <f>Tab_Data_Flows[[#This Row],[UoM_Flow_Py]]</f>
        <v>Mg</v>
      </c>
      <c r="AI128" s="193">
        <f>INDEX(Tab_Def_Flows[[Flow_ID]:[CC_DM_source]],MATCH(Tab_Data_Flows[[#This Row],[Name(EN)]],Tab_Def_Flows[Name(EN)],0),17)</f>
        <v>0</v>
      </c>
      <c r="AJ128" s="10" t="str">
        <f>IF(L128="Yes",AI128*Tab_Data_Flows[[#This Row],[Flow_Py]]*Tab_Data_Flows[[#This Row],[DM_'[%']]],"N.A.")</f>
        <v>N.A.</v>
      </c>
      <c r="AK128" s="10" t="str">
        <f>Tab_Data_Flows[[#This Row],[UoM_Flow_Py]]</f>
        <v>Mg</v>
      </c>
    </row>
    <row r="129" spans="1:37" x14ac:dyDescent="0.25">
      <c r="A129" s="17">
        <f t="shared" si="2"/>
        <v>128</v>
      </c>
      <c r="B129" s="10" t="str">
        <f>_xlfn.XLOOKUP(C129,Tab_Def_Flows[Name(EN)],Tab_Def_Flows[Flow_ID],,0,)</f>
        <v>N.A.</v>
      </c>
      <c r="C129" s="12" t="s">
        <v>35</v>
      </c>
      <c r="D129" s="10"/>
      <c r="E129" s="10">
        <f>_xlfn.XLOOKUP(C129,Tab_Def_Flows[Name(EN)],Tab_Def_Flows[Output_Process],,0,)</f>
        <v>0</v>
      </c>
      <c r="F129" s="10">
        <f>_xlfn.XLOOKUP(C129,Tab_Def_Flows[Name(EN)],Tab_Def_Flows[Process_ID_O],,0,)</f>
        <v>0</v>
      </c>
      <c r="G129" s="10">
        <f>_xlfn.XLOOKUP(C129,Tab_Def_Flows[Name(EN)],Tab_Def_Flows[Input_Process],,0,)</f>
        <v>0</v>
      </c>
      <c r="H129" s="18">
        <f>_xlfn.XLOOKUP(C129,Tab_Def_Flows[Name(EN)],Tab_Def_Flows[Process_ID_I],,0,)</f>
        <v>0</v>
      </c>
      <c r="I129" s="10" t="e">
        <f>_xlfn.XLOOKUP(C129,Tab_Def_Flows[Name(EN)],#REF!,,0,)</f>
        <v>#REF!</v>
      </c>
      <c r="J129" s="10">
        <f>_xlfn.XLOOKUP(C129,Tab_Def_Flows[Name(EN)],Tab_Def_Flows[WC?],,0,)</f>
        <v>0</v>
      </c>
      <c r="K129" s="10">
        <f>_xlfn.XLOOKUP(C129,Tab_Def_Flows[Name(EN)],Tab_Def_Flows[DM?],,0,)</f>
        <v>0</v>
      </c>
      <c r="L129" s="10">
        <f>_xlfn.XLOOKUP(C129,Tab_Def_Flows[Name(EN)],Tab_Def_Flows[CC?],,0,)</f>
        <v>0</v>
      </c>
      <c r="M129" s="12"/>
      <c r="N129" s="12"/>
      <c r="O129" s="50"/>
      <c r="P129" s="12"/>
      <c r="Q129" s="12"/>
      <c r="R129" s="12" t="e">
        <f>INDEX(#REF!,MATCH(Tab_Data_Flows[[#This Row],[Name(EN)]],#REF!,0),12)</f>
        <v>#REF!</v>
      </c>
      <c r="S129" s="12" t="e">
        <f>MATCH(Tab_Data_Flows[[#This Row],[Name(EN)]],#REF!,0)</f>
        <v>#REF!</v>
      </c>
      <c r="T129" s="12"/>
      <c r="U129" s="12"/>
      <c r="V129" s="12"/>
      <c r="W129" s="12"/>
      <c r="X129" s="12" t="s">
        <v>8</v>
      </c>
      <c r="Y129" s="12"/>
      <c r="Z129" s="12"/>
      <c r="AA129" s="36">
        <f t="shared" si="3"/>
        <v>0</v>
      </c>
      <c r="AB129" s="12" t="s">
        <v>283</v>
      </c>
      <c r="AC129" s="193">
        <f>INDEX(Tab_Def_Flows[[Flow_ID]:[CC_DM_source]],MATCH(Tab_Data_Flows[[#This Row],[Name(EN)]],Tab_Def_Flows[Name(EN)],0),13)</f>
        <v>0</v>
      </c>
      <c r="AD129" s="10" t="str">
        <f>IF(J129="Yes",AA129*Tab_Data_Flows[[#This Row],[WC_'[%']]],"N.A.")</f>
        <v>N.A.</v>
      </c>
      <c r="AE129" s="10" t="str">
        <f>Tab_Data_Flows[[#This Row],[UoM_Flow_Py]]</f>
        <v>Mg</v>
      </c>
      <c r="AF129" s="193">
        <f>INDEX(Tab_Def_Flows[[Flow_ID]:[CC_DM_source]],MATCH(Tab_Data_Flows[[#This Row],[Name(EN)]],Tab_Def_Flows[Name(EN)],0),15)</f>
        <v>0</v>
      </c>
      <c r="AG129" s="10" t="str">
        <f>IF(K129="Yes",AF129*Tab_Data_Flows[[#This Row],[Flow_Py]]-AJ245,"N.A.")</f>
        <v>N.A.</v>
      </c>
      <c r="AH129" s="10" t="str">
        <f>Tab_Data_Flows[[#This Row],[UoM_Flow_Py]]</f>
        <v>Mg</v>
      </c>
      <c r="AI129" s="193">
        <f>INDEX(Tab_Def_Flows[[Flow_ID]:[CC_DM_source]],MATCH(Tab_Data_Flows[[#This Row],[Name(EN)]],Tab_Def_Flows[Name(EN)],0),17)</f>
        <v>0</v>
      </c>
      <c r="AJ129" s="10" t="str">
        <f>IF(L129="Yes",AI129*Tab_Data_Flows[[#This Row],[Flow_Py]]*Tab_Data_Flows[[#This Row],[DM_'[%']]],"N.A.")</f>
        <v>N.A.</v>
      </c>
      <c r="AK129" s="10" t="str">
        <f>Tab_Data_Flows[[#This Row],[UoM_Flow_Py]]</f>
        <v>Mg</v>
      </c>
    </row>
    <row r="130" spans="1:37" x14ac:dyDescent="0.25">
      <c r="A130" s="17">
        <f t="shared" si="2"/>
        <v>129</v>
      </c>
      <c r="B130" s="10" t="str">
        <f>_xlfn.XLOOKUP(C130,Tab_Def_Flows[Name(EN)],Tab_Def_Flows[Flow_ID],,0,)</f>
        <v>N.A.</v>
      </c>
      <c r="C130" s="12" t="s">
        <v>35</v>
      </c>
      <c r="D130" s="10"/>
      <c r="E130" s="10">
        <f>_xlfn.XLOOKUP(C130,Tab_Def_Flows[Name(EN)],Tab_Def_Flows[Output_Process],,0,)</f>
        <v>0</v>
      </c>
      <c r="F130" s="10">
        <f>_xlfn.XLOOKUP(C130,Tab_Def_Flows[Name(EN)],Tab_Def_Flows[Process_ID_O],,0,)</f>
        <v>0</v>
      </c>
      <c r="G130" s="10">
        <f>_xlfn.XLOOKUP(C130,Tab_Def_Flows[Name(EN)],Tab_Def_Flows[Input_Process],,0,)</f>
        <v>0</v>
      </c>
      <c r="H130" s="18">
        <f>_xlfn.XLOOKUP(C130,Tab_Def_Flows[Name(EN)],Tab_Def_Flows[Process_ID_I],,0,)</f>
        <v>0</v>
      </c>
      <c r="I130" s="10" t="e">
        <f>_xlfn.XLOOKUP(C130,Tab_Def_Flows[Name(EN)],#REF!,,0,)</f>
        <v>#REF!</v>
      </c>
      <c r="J130" s="10">
        <f>_xlfn.XLOOKUP(C130,Tab_Def_Flows[Name(EN)],Tab_Def_Flows[WC?],,0,)</f>
        <v>0</v>
      </c>
      <c r="K130" s="10">
        <f>_xlfn.XLOOKUP(C130,Tab_Def_Flows[Name(EN)],Tab_Def_Flows[DM?],,0,)</f>
        <v>0</v>
      </c>
      <c r="L130" s="10">
        <f>_xlfn.XLOOKUP(C130,Tab_Def_Flows[Name(EN)],Tab_Def_Flows[CC?],,0,)</f>
        <v>0</v>
      </c>
      <c r="M130" s="12"/>
      <c r="N130" s="12"/>
      <c r="O130" s="50"/>
      <c r="P130" s="12"/>
      <c r="Q130" s="12"/>
      <c r="R130" s="12" t="e">
        <f>INDEX(#REF!,MATCH(Tab_Data_Flows[[#This Row],[Name(EN)]],#REF!,0),12)</f>
        <v>#REF!</v>
      </c>
      <c r="S130" s="12" t="e">
        <f>MATCH(Tab_Data_Flows[[#This Row],[Name(EN)]],#REF!,0)</f>
        <v>#REF!</v>
      </c>
      <c r="T130" s="12"/>
      <c r="U130" s="12"/>
      <c r="V130" s="12"/>
      <c r="W130" s="12"/>
      <c r="X130" s="12" t="s">
        <v>8</v>
      </c>
      <c r="Y130" s="12"/>
      <c r="Z130" s="12"/>
      <c r="AA130" s="36">
        <f t="shared" si="3"/>
        <v>0</v>
      </c>
      <c r="AB130" s="12" t="s">
        <v>283</v>
      </c>
      <c r="AC130" s="193">
        <f>INDEX(Tab_Def_Flows[[Flow_ID]:[CC_DM_source]],MATCH(Tab_Data_Flows[[#This Row],[Name(EN)]],Tab_Def_Flows[Name(EN)],0),13)</f>
        <v>0</v>
      </c>
      <c r="AD130" s="10" t="str">
        <f>IF(J130="Yes",AA130*Tab_Data_Flows[[#This Row],[WC_'[%']]],"N.A.")</f>
        <v>N.A.</v>
      </c>
      <c r="AE130" s="10" t="str">
        <f>Tab_Data_Flows[[#This Row],[UoM_Flow_Py]]</f>
        <v>Mg</v>
      </c>
      <c r="AF130" s="193">
        <f>INDEX(Tab_Def_Flows[[Flow_ID]:[CC_DM_source]],MATCH(Tab_Data_Flows[[#This Row],[Name(EN)]],Tab_Def_Flows[Name(EN)],0),15)</f>
        <v>0</v>
      </c>
      <c r="AG130" s="10" t="str">
        <f>IF(K130="Yes",AF130*Tab_Data_Flows[[#This Row],[Flow_Py]]-AJ246,"N.A.")</f>
        <v>N.A.</v>
      </c>
      <c r="AH130" s="10" t="str">
        <f>Tab_Data_Flows[[#This Row],[UoM_Flow_Py]]</f>
        <v>Mg</v>
      </c>
      <c r="AI130" s="193">
        <f>INDEX(Tab_Def_Flows[[Flow_ID]:[CC_DM_source]],MATCH(Tab_Data_Flows[[#This Row],[Name(EN)]],Tab_Def_Flows[Name(EN)],0),17)</f>
        <v>0</v>
      </c>
      <c r="AJ130" s="10" t="str">
        <f>IF(L130="Yes",AI130*Tab_Data_Flows[[#This Row],[Flow_Py]]*Tab_Data_Flows[[#This Row],[DM_'[%']]],"N.A.")</f>
        <v>N.A.</v>
      </c>
      <c r="AK130" s="10" t="str">
        <f>Tab_Data_Flows[[#This Row],[UoM_Flow_Py]]</f>
        <v>Mg</v>
      </c>
    </row>
    <row r="131" spans="1:37" x14ac:dyDescent="0.25">
      <c r="A131" s="17">
        <f t="shared" ref="A131:A194" si="4">ROW()-1</f>
        <v>130</v>
      </c>
      <c r="B131" s="10" t="str">
        <f>_xlfn.XLOOKUP(C131,Tab_Def_Flows[Name(EN)],Tab_Def_Flows[Flow_ID],,0,)</f>
        <v>N.A.</v>
      </c>
      <c r="C131" s="12" t="s">
        <v>35</v>
      </c>
      <c r="D131" s="10"/>
      <c r="E131" s="10">
        <f>_xlfn.XLOOKUP(C131,Tab_Def_Flows[Name(EN)],Tab_Def_Flows[Output_Process],,0,)</f>
        <v>0</v>
      </c>
      <c r="F131" s="10">
        <f>_xlfn.XLOOKUP(C131,Tab_Def_Flows[Name(EN)],Tab_Def_Flows[Process_ID_O],,0,)</f>
        <v>0</v>
      </c>
      <c r="G131" s="10">
        <f>_xlfn.XLOOKUP(C131,Tab_Def_Flows[Name(EN)],Tab_Def_Flows[Input_Process],,0,)</f>
        <v>0</v>
      </c>
      <c r="H131" s="18">
        <f>_xlfn.XLOOKUP(C131,Tab_Def_Flows[Name(EN)],Tab_Def_Flows[Process_ID_I],,0,)</f>
        <v>0</v>
      </c>
      <c r="I131" s="10" t="e">
        <f>_xlfn.XLOOKUP(C131,Tab_Def_Flows[Name(EN)],#REF!,,0,)</f>
        <v>#REF!</v>
      </c>
      <c r="J131" s="10">
        <f>_xlfn.XLOOKUP(C131,Tab_Def_Flows[Name(EN)],Tab_Def_Flows[WC?],,0,)</f>
        <v>0</v>
      </c>
      <c r="K131" s="10">
        <f>_xlfn.XLOOKUP(C131,Tab_Def_Flows[Name(EN)],Tab_Def_Flows[DM?],,0,)</f>
        <v>0</v>
      </c>
      <c r="L131" s="10">
        <f>_xlfn.XLOOKUP(C131,Tab_Def_Flows[Name(EN)],Tab_Def_Flows[CC?],,0,)</f>
        <v>0</v>
      </c>
      <c r="M131" s="12"/>
      <c r="N131" s="12"/>
      <c r="O131" s="50"/>
      <c r="P131" s="12"/>
      <c r="Q131" s="12"/>
      <c r="R131" s="12" t="e">
        <f>INDEX(#REF!,MATCH(Tab_Data_Flows[[#This Row],[Name(EN)]],#REF!,0),12)</f>
        <v>#REF!</v>
      </c>
      <c r="S131" s="12" t="e">
        <f>MATCH(Tab_Data_Flows[[#This Row],[Name(EN)]],#REF!,0)</f>
        <v>#REF!</v>
      </c>
      <c r="T131" s="12"/>
      <c r="U131" s="12"/>
      <c r="V131" s="12"/>
      <c r="W131" s="12"/>
      <c r="X131" s="12" t="s">
        <v>8</v>
      </c>
      <c r="Y131" s="12"/>
      <c r="Z131" s="12"/>
      <c r="AA131" s="36">
        <f t="shared" ref="AA131:AA194" si="5">IF(X131="no",O131,O131*Y131)</f>
        <v>0</v>
      </c>
      <c r="AB131" s="12" t="s">
        <v>283</v>
      </c>
      <c r="AC131" s="193">
        <f>INDEX(Tab_Def_Flows[[Flow_ID]:[CC_DM_source]],MATCH(Tab_Data_Flows[[#This Row],[Name(EN)]],Tab_Def_Flows[Name(EN)],0),13)</f>
        <v>0</v>
      </c>
      <c r="AD131" s="10" t="str">
        <f>IF(J131="Yes",AA131*Tab_Data_Flows[[#This Row],[WC_'[%']]],"N.A.")</f>
        <v>N.A.</v>
      </c>
      <c r="AE131" s="10" t="str">
        <f>Tab_Data_Flows[[#This Row],[UoM_Flow_Py]]</f>
        <v>Mg</v>
      </c>
      <c r="AF131" s="193">
        <f>INDEX(Tab_Def_Flows[[Flow_ID]:[CC_DM_source]],MATCH(Tab_Data_Flows[[#This Row],[Name(EN)]],Tab_Def_Flows[Name(EN)],0),15)</f>
        <v>0</v>
      </c>
      <c r="AG131" s="10" t="str">
        <f>IF(K131="Yes",AF131*Tab_Data_Flows[[#This Row],[Flow_Py]]-AJ247,"N.A.")</f>
        <v>N.A.</v>
      </c>
      <c r="AH131" s="10" t="str">
        <f>Tab_Data_Flows[[#This Row],[UoM_Flow_Py]]</f>
        <v>Mg</v>
      </c>
      <c r="AI131" s="193">
        <f>INDEX(Tab_Def_Flows[[Flow_ID]:[CC_DM_source]],MATCH(Tab_Data_Flows[[#This Row],[Name(EN)]],Tab_Def_Flows[Name(EN)],0),17)</f>
        <v>0</v>
      </c>
      <c r="AJ131" s="10" t="str">
        <f>IF(L131="Yes",AI131*Tab_Data_Flows[[#This Row],[Flow_Py]]*Tab_Data_Flows[[#This Row],[DM_'[%']]],"N.A.")</f>
        <v>N.A.</v>
      </c>
      <c r="AK131" s="10" t="str">
        <f>Tab_Data_Flows[[#This Row],[UoM_Flow_Py]]</f>
        <v>Mg</v>
      </c>
    </row>
    <row r="132" spans="1:37" x14ac:dyDescent="0.25">
      <c r="A132" s="17">
        <f t="shared" si="4"/>
        <v>131</v>
      </c>
      <c r="B132" s="10" t="str">
        <f>_xlfn.XLOOKUP(C132,Tab_Def_Flows[Name(EN)],Tab_Def_Flows[Flow_ID],,0,)</f>
        <v>N.A.</v>
      </c>
      <c r="C132" s="12" t="s">
        <v>35</v>
      </c>
      <c r="D132" s="10"/>
      <c r="E132" s="10">
        <f>_xlfn.XLOOKUP(C132,Tab_Def_Flows[Name(EN)],Tab_Def_Flows[Output_Process],,0,)</f>
        <v>0</v>
      </c>
      <c r="F132" s="10">
        <f>_xlfn.XLOOKUP(C132,Tab_Def_Flows[Name(EN)],Tab_Def_Flows[Process_ID_O],,0,)</f>
        <v>0</v>
      </c>
      <c r="G132" s="10">
        <f>_xlfn.XLOOKUP(C132,Tab_Def_Flows[Name(EN)],Tab_Def_Flows[Input_Process],,0,)</f>
        <v>0</v>
      </c>
      <c r="H132" s="18">
        <f>_xlfn.XLOOKUP(C132,Tab_Def_Flows[Name(EN)],Tab_Def_Flows[Process_ID_I],,0,)</f>
        <v>0</v>
      </c>
      <c r="I132" s="10" t="e">
        <f>_xlfn.XLOOKUP(C132,Tab_Def_Flows[Name(EN)],#REF!,,0,)</f>
        <v>#REF!</v>
      </c>
      <c r="J132" s="10">
        <f>_xlfn.XLOOKUP(C132,Tab_Def_Flows[Name(EN)],Tab_Def_Flows[WC?],,0,)</f>
        <v>0</v>
      </c>
      <c r="K132" s="10">
        <f>_xlfn.XLOOKUP(C132,Tab_Def_Flows[Name(EN)],Tab_Def_Flows[DM?],,0,)</f>
        <v>0</v>
      </c>
      <c r="L132" s="10">
        <f>_xlfn.XLOOKUP(C132,Tab_Def_Flows[Name(EN)],Tab_Def_Flows[CC?],,0,)</f>
        <v>0</v>
      </c>
      <c r="M132" s="12"/>
      <c r="N132" s="12"/>
      <c r="O132" s="50"/>
      <c r="P132" s="12"/>
      <c r="Q132" s="12"/>
      <c r="R132" s="12" t="e">
        <f>INDEX(#REF!,MATCH(Tab_Data_Flows[[#This Row],[Name(EN)]],#REF!,0),12)</f>
        <v>#REF!</v>
      </c>
      <c r="S132" s="12" t="e">
        <f>MATCH(Tab_Data_Flows[[#This Row],[Name(EN)]],#REF!,0)</f>
        <v>#REF!</v>
      </c>
      <c r="T132" s="12"/>
      <c r="U132" s="12"/>
      <c r="V132" s="12"/>
      <c r="W132" s="12"/>
      <c r="X132" s="12" t="s">
        <v>8</v>
      </c>
      <c r="Y132" s="12"/>
      <c r="Z132" s="12"/>
      <c r="AA132" s="36">
        <f t="shared" si="5"/>
        <v>0</v>
      </c>
      <c r="AB132" s="12" t="s">
        <v>283</v>
      </c>
      <c r="AC132" s="193">
        <f>INDEX(Tab_Def_Flows[[Flow_ID]:[CC_DM_source]],MATCH(Tab_Data_Flows[[#This Row],[Name(EN)]],Tab_Def_Flows[Name(EN)],0),13)</f>
        <v>0</v>
      </c>
      <c r="AD132" s="10" t="str">
        <f>IF(J132="Yes",AA132*Tab_Data_Flows[[#This Row],[WC_'[%']]],"N.A.")</f>
        <v>N.A.</v>
      </c>
      <c r="AE132" s="10" t="str">
        <f>Tab_Data_Flows[[#This Row],[UoM_Flow_Py]]</f>
        <v>Mg</v>
      </c>
      <c r="AF132" s="193">
        <f>INDEX(Tab_Def_Flows[[Flow_ID]:[CC_DM_source]],MATCH(Tab_Data_Flows[[#This Row],[Name(EN)]],Tab_Def_Flows[Name(EN)],0),15)</f>
        <v>0</v>
      </c>
      <c r="AG132" s="10" t="str">
        <f>IF(K132="Yes",AF132*Tab_Data_Flows[[#This Row],[Flow_Py]]-AJ248,"N.A.")</f>
        <v>N.A.</v>
      </c>
      <c r="AH132" s="10" t="str">
        <f>Tab_Data_Flows[[#This Row],[UoM_Flow_Py]]</f>
        <v>Mg</v>
      </c>
      <c r="AI132" s="193">
        <f>INDEX(Tab_Def_Flows[[Flow_ID]:[CC_DM_source]],MATCH(Tab_Data_Flows[[#This Row],[Name(EN)]],Tab_Def_Flows[Name(EN)],0),17)</f>
        <v>0</v>
      </c>
      <c r="AJ132" s="10" t="str">
        <f>IF(L132="Yes",AI132*Tab_Data_Flows[[#This Row],[Flow_Py]]*Tab_Data_Flows[[#This Row],[DM_'[%']]],"N.A.")</f>
        <v>N.A.</v>
      </c>
      <c r="AK132" s="10" t="str">
        <f>Tab_Data_Flows[[#This Row],[UoM_Flow_Py]]</f>
        <v>Mg</v>
      </c>
    </row>
    <row r="133" spans="1:37" x14ac:dyDescent="0.25">
      <c r="A133" s="17">
        <f t="shared" si="4"/>
        <v>132</v>
      </c>
      <c r="B133" s="10" t="str">
        <f>_xlfn.XLOOKUP(C133,Tab_Def_Flows[Name(EN)],Tab_Def_Flows[Flow_ID],,0,)</f>
        <v>N.A.</v>
      </c>
      <c r="C133" s="12" t="s">
        <v>35</v>
      </c>
      <c r="D133" s="10"/>
      <c r="E133" s="10">
        <f>_xlfn.XLOOKUP(C133,Tab_Def_Flows[Name(EN)],Tab_Def_Flows[Output_Process],,0,)</f>
        <v>0</v>
      </c>
      <c r="F133" s="10">
        <f>_xlfn.XLOOKUP(C133,Tab_Def_Flows[Name(EN)],Tab_Def_Flows[Process_ID_O],,0,)</f>
        <v>0</v>
      </c>
      <c r="G133" s="10">
        <f>_xlfn.XLOOKUP(C133,Tab_Def_Flows[Name(EN)],Tab_Def_Flows[Input_Process],,0,)</f>
        <v>0</v>
      </c>
      <c r="H133" s="18">
        <f>_xlfn.XLOOKUP(C133,Tab_Def_Flows[Name(EN)],Tab_Def_Flows[Process_ID_I],,0,)</f>
        <v>0</v>
      </c>
      <c r="I133" s="10" t="e">
        <f>_xlfn.XLOOKUP(C133,Tab_Def_Flows[Name(EN)],#REF!,,0,)</f>
        <v>#REF!</v>
      </c>
      <c r="J133" s="10">
        <f>_xlfn.XLOOKUP(C133,Tab_Def_Flows[Name(EN)],Tab_Def_Flows[WC?],,0,)</f>
        <v>0</v>
      </c>
      <c r="K133" s="10">
        <f>_xlfn.XLOOKUP(C133,Tab_Def_Flows[Name(EN)],Tab_Def_Flows[DM?],,0,)</f>
        <v>0</v>
      </c>
      <c r="L133" s="10">
        <f>_xlfn.XLOOKUP(C133,Tab_Def_Flows[Name(EN)],Tab_Def_Flows[CC?],,0,)</f>
        <v>0</v>
      </c>
      <c r="M133" s="12"/>
      <c r="N133" s="12"/>
      <c r="O133" s="50"/>
      <c r="P133" s="12"/>
      <c r="Q133" s="12"/>
      <c r="R133" s="12" t="e">
        <f>INDEX(#REF!,MATCH(Tab_Data_Flows[[#This Row],[Name(EN)]],#REF!,0),12)</f>
        <v>#REF!</v>
      </c>
      <c r="S133" s="12" t="e">
        <f>MATCH(Tab_Data_Flows[[#This Row],[Name(EN)]],#REF!,0)</f>
        <v>#REF!</v>
      </c>
      <c r="T133" s="12"/>
      <c r="U133" s="12"/>
      <c r="V133" s="12"/>
      <c r="W133" s="12"/>
      <c r="X133" s="12" t="s">
        <v>8</v>
      </c>
      <c r="Y133" s="12"/>
      <c r="Z133" s="12"/>
      <c r="AA133" s="36">
        <f t="shared" si="5"/>
        <v>0</v>
      </c>
      <c r="AB133" s="12" t="s">
        <v>283</v>
      </c>
      <c r="AC133" s="193">
        <f>INDEX(Tab_Def_Flows[[Flow_ID]:[CC_DM_source]],MATCH(Tab_Data_Flows[[#This Row],[Name(EN)]],Tab_Def_Flows[Name(EN)],0),13)</f>
        <v>0</v>
      </c>
      <c r="AD133" s="10" t="str">
        <f>IF(J133="Yes",AA133*Tab_Data_Flows[[#This Row],[WC_'[%']]],"N.A.")</f>
        <v>N.A.</v>
      </c>
      <c r="AE133" s="10" t="str">
        <f>Tab_Data_Flows[[#This Row],[UoM_Flow_Py]]</f>
        <v>Mg</v>
      </c>
      <c r="AF133" s="193">
        <f>INDEX(Tab_Def_Flows[[Flow_ID]:[CC_DM_source]],MATCH(Tab_Data_Flows[[#This Row],[Name(EN)]],Tab_Def_Flows[Name(EN)],0),15)</f>
        <v>0</v>
      </c>
      <c r="AG133" s="10" t="str">
        <f>IF(K133="Yes",AF133*Tab_Data_Flows[[#This Row],[Flow_Py]]-AJ249,"N.A.")</f>
        <v>N.A.</v>
      </c>
      <c r="AH133" s="10" t="str">
        <f>Tab_Data_Flows[[#This Row],[UoM_Flow_Py]]</f>
        <v>Mg</v>
      </c>
      <c r="AI133" s="193">
        <f>INDEX(Tab_Def_Flows[[Flow_ID]:[CC_DM_source]],MATCH(Tab_Data_Flows[[#This Row],[Name(EN)]],Tab_Def_Flows[Name(EN)],0),17)</f>
        <v>0</v>
      </c>
      <c r="AJ133" s="10" t="str">
        <f>IF(L133="Yes",AI133*Tab_Data_Flows[[#This Row],[Flow_Py]]*Tab_Data_Flows[[#This Row],[DM_'[%']]],"N.A.")</f>
        <v>N.A.</v>
      </c>
      <c r="AK133" s="10" t="str">
        <f>Tab_Data_Flows[[#This Row],[UoM_Flow_Py]]</f>
        <v>Mg</v>
      </c>
    </row>
    <row r="134" spans="1:37" x14ac:dyDescent="0.25">
      <c r="A134" s="17">
        <f t="shared" si="4"/>
        <v>133</v>
      </c>
      <c r="B134" s="10" t="str">
        <f>_xlfn.XLOOKUP(C134,Tab_Def_Flows[Name(EN)],Tab_Def_Flows[Flow_ID],,0,)</f>
        <v>N.A.</v>
      </c>
      <c r="C134" s="12" t="s">
        <v>35</v>
      </c>
      <c r="D134" s="10"/>
      <c r="E134" s="10">
        <f>_xlfn.XLOOKUP(C134,Tab_Def_Flows[Name(EN)],Tab_Def_Flows[Output_Process],,0,)</f>
        <v>0</v>
      </c>
      <c r="F134" s="10">
        <f>_xlfn.XLOOKUP(C134,Tab_Def_Flows[Name(EN)],Tab_Def_Flows[Process_ID_O],,0,)</f>
        <v>0</v>
      </c>
      <c r="G134" s="10">
        <f>_xlfn.XLOOKUP(C134,Tab_Def_Flows[Name(EN)],Tab_Def_Flows[Input_Process],,0,)</f>
        <v>0</v>
      </c>
      <c r="H134" s="18">
        <f>_xlfn.XLOOKUP(C134,Tab_Def_Flows[Name(EN)],Tab_Def_Flows[Process_ID_I],,0,)</f>
        <v>0</v>
      </c>
      <c r="I134" s="10" t="e">
        <f>_xlfn.XLOOKUP(C134,Tab_Def_Flows[Name(EN)],#REF!,,0,)</f>
        <v>#REF!</v>
      </c>
      <c r="J134" s="10">
        <f>_xlfn.XLOOKUP(C134,Tab_Def_Flows[Name(EN)],Tab_Def_Flows[WC?],,0,)</f>
        <v>0</v>
      </c>
      <c r="K134" s="10">
        <f>_xlfn.XLOOKUP(C134,Tab_Def_Flows[Name(EN)],Tab_Def_Flows[DM?],,0,)</f>
        <v>0</v>
      </c>
      <c r="L134" s="10">
        <f>_xlfn.XLOOKUP(C134,Tab_Def_Flows[Name(EN)],Tab_Def_Flows[CC?],,0,)</f>
        <v>0</v>
      </c>
      <c r="M134" s="12"/>
      <c r="N134" s="12"/>
      <c r="O134" s="50"/>
      <c r="P134" s="12"/>
      <c r="Q134" s="12"/>
      <c r="R134" s="12" t="e">
        <f>INDEX(#REF!,MATCH(Tab_Data_Flows[[#This Row],[Name(EN)]],#REF!,0),12)</f>
        <v>#REF!</v>
      </c>
      <c r="S134" s="12" t="e">
        <f>MATCH(Tab_Data_Flows[[#This Row],[Name(EN)]],#REF!,0)</f>
        <v>#REF!</v>
      </c>
      <c r="T134" s="12"/>
      <c r="U134" s="12"/>
      <c r="V134" s="12"/>
      <c r="W134" s="12"/>
      <c r="X134" s="12" t="s">
        <v>8</v>
      </c>
      <c r="Y134" s="12"/>
      <c r="Z134" s="12"/>
      <c r="AA134" s="36">
        <f t="shared" si="5"/>
        <v>0</v>
      </c>
      <c r="AB134" s="12" t="s">
        <v>283</v>
      </c>
      <c r="AC134" s="193">
        <f>INDEX(Tab_Def_Flows[[Flow_ID]:[CC_DM_source]],MATCH(Tab_Data_Flows[[#This Row],[Name(EN)]],Tab_Def_Flows[Name(EN)],0),13)</f>
        <v>0</v>
      </c>
      <c r="AD134" s="10" t="str">
        <f>IF(J134="Yes",AA134*Tab_Data_Flows[[#This Row],[WC_'[%']]],"N.A.")</f>
        <v>N.A.</v>
      </c>
      <c r="AE134" s="10" t="str">
        <f>Tab_Data_Flows[[#This Row],[UoM_Flow_Py]]</f>
        <v>Mg</v>
      </c>
      <c r="AF134" s="193">
        <f>INDEX(Tab_Def_Flows[[Flow_ID]:[CC_DM_source]],MATCH(Tab_Data_Flows[[#This Row],[Name(EN)]],Tab_Def_Flows[Name(EN)],0),15)</f>
        <v>0</v>
      </c>
      <c r="AG134" s="10" t="str">
        <f>IF(K134="Yes",AF134*Tab_Data_Flows[[#This Row],[Flow_Py]]-AJ250,"N.A.")</f>
        <v>N.A.</v>
      </c>
      <c r="AH134" s="10" t="str">
        <f>Tab_Data_Flows[[#This Row],[UoM_Flow_Py]]</f>
        <v>Mg</v>
      </c>
      <c r="AI134" s="193">
        <f>INDEX(Tab_Def_Flows[[Flow_ID]:[CC_DM_source]],MATCH(Tab_Data_Flows[[#This Row],[Name(EN)]],Tab_Def_Flows[Name(EN)],0),17)</f>
        <v>0</v>
      </c>
      <c r="AJ134" s="10" t="str">
        <f>IF(L134="Yes",AI134*Tab_Data_Flows[[#This Row],[Flow_Py]]*Tab_Data_Flows[[#This Row],[DM_'[%']]],"N.A.")</f>
        <v>N.A.</v>
      </c>
      <c r="AK134" s="10" t="str">
        <f>Tab_Data_Flows[[#This Row],[UoM_Flow_Py]]</f>
        <v>Mg</v>
      </c>
    </row>
    <row r="135" spans="1:37" x14ac:dyDescent="0.25">
      <c r="A135" s="17">
        <f t="shared" si="4"/>
        <v>134</v>
      </c>
      <c r="B135" s="10" t="str">
        <f>_xlfn.XLOOKUP(C135,Tab_Def_Flows[Name(EN)],Tab_Def_Flows[Flow_ID],,0,)</f>
        <v>N.A.</v>
      </c>
      <c r="C135" s="12" t="s">
        <v>35</v>
      </c>
      <c r="D135" s="10"/>
      <c r="E135" s="10">
        <f>_xlfn.XLOOKUP(C135,Tab_Def_Flows[Name(EN)],Tab_Def_Flows[Output_Process],,0,)</f>
        <v>0</v>
      </c>
      <c r="F135" s="10">
        <f>_xlfn.XLOOKUP(C135,Tab_Def_Flows[Name(EN)],Tab_Def_Flows[Process_ID_O],,0,)</f>
        <v>0</v>
      </c>
      <c r="G135" s="10">
        <f>_xlfn.XLOOKUP(C135,Tab_Def_Flows[Name(EN)],Tab_Def_Flows[Input_Process],,0,)</f>
        <v>0</v>
      </c>
      <c r="H135" s="18">
        <f>_xlfn.XLOOKUP(C135,Tab_Def_Flows[Name(EN)],Tab_Def_Flows[Process_ID_I],,0,)</f>
        <v>0</v>
      </c>
      <c r="I135" s="10" t="e">
        <f>_xlfn.XLOOKUP(C135,Tab_Def_Flows[Name(EN)],#REF!,,0,)</f>
        <v>#REF!</v>
      </c>
      <c r="J135" s="10">
        <f>_xlfn.XLOOKUP(C135,Tab_Def_Flows[Name(EN)],Tab_Def_Flows[WC?],,0,)</f>
        <v>0</v>
      </c>
      <c r="K135" s="10">
        <f>_xlfn.XLOOKUP(C135,Tab_Def_Flows[Name(EN)],Tab_Def_Flows[DM?],,0,)</f>
        <v>0</v>
      </c>
      <c r="L135" s="10">
        <f>_xlfn.XLOOKUP(C135,Tab_Def_Flows[Name(EN)],Tab_Def_Flows[CC?],,0,)</f>
        <v>0</v>
      </c>
      <c r="M135" s="12"/>
      <c r="N135" s="12"/>
      <c r="O135" s="50"/>
      <c r="P135" s="12"/>
      <c r="Q135" s="12"/>
      <c r="R135" s="12" t="e">
        <f>INDEX(#REF!,MATCH(Tab_Data_Flows[[#This Row],[Name(EN)]],#REF!,0),12)</f>
        <v>#REF!</v>
      </c>
      <c r="S135" s="12" t="e">
        <f>MATCH(Tab_Data_Flows[[#This Row],[Name(EN)]],#REF!,0)</f>
        <v>#REF!</v>
      </c>
      <c r="T135" s="12"/>
      <c r="U135" s="12"/>
      <c r="V135" s="12"/>
      <c r="W135" s="12"/>
      <c r="X135" s="12" t="s">
        <v>8</v>
      </c>
      <c r="Y135" s="12"/>
      <c r="Z135" s="12"/>
      <c r="AA135" s="36">
        <f t="shared" si="5"/>
        <v>0</v>
      </c>
      <c r="AB135" s="12" t="s">
        <v>283</v>
      </c>
      <c r="AC135" s="193">
        <f>INDEX(Tab_Def_Flows[[Flow_ID]:[CC_DM_source]],MATCH(Tab_Data_Flows[[#This Row],[Name(EN)]],Tab_Def_Flows[Name(EN)],0),13)</f>
        <v>0</v>
      </c>
      <c r="AD135" s="10" t="str">
        <f>IF(J135="Yes",AA135*Tab_Data_Flows[[#This Row],[WC_'[%']]],"N.A.")</f>
        <v>N.A.</v>
      </c>
      <c r="AE135" s="10" t="str">
        <f>Tab_Data_Flows[[#This Row],[UoM_Flow_Py]]</f>
        <v>Mg</v>
      </c>
      <c r="AF135" s="193">
        <f>INDEX(Tab_Def_Flows[[Flow_ID]:[CC_DM_source]],MATCH(Tab_Data_Flows[[#This Row],[Name(EN)]],Tab_Def_Flows[Name(EN)],0),15)</f>
        <v>0</v>
      </c>
      <c r="AG135" s="10" t="str">
        <f>IF(K135="Yes",AF135*Tab_Data_Flows[[#This Row],[Flow_Py]]-AJ251,"N.A.")</f>
        <v>N.A.</v>
      </c>
      <c r="AH135" s="10" t="str">
        <f>Tab_Data_Flows[[#This Row],[UoM_Flow_Py]]</f>
        <v>Mg</v>
      </c>
      <c r="AI135" s="193">
        <f>INDEX(Tab_Def_Flows[[Flow_ID]:[CC_DM_source]],MATCH(Tab_Data_Flows[[#This Row],[Name(EN)]],Tab_Def_Flows[Name(EN)],0),17)</f>
        <v>0</v>
      </c>
      <c r="AJ135" s="10" t="str">
        <f>IF(L135="Yes",AI135*Tab_Data_Flows[[#This Row],[Flow_Py]]*Tab_Data_Flows[[#This Row],[DM_'[%']]],"N.A.")</f>
        <v>N.A.</v>
      </c>
      <c r="AK135" s="10" t="str">
        <f>Tab_Data_Flows[[#This Row],[UoM_Flow_Py]]</f>
        <v>Mg</v>
      </c>
    </row>
    <row r="136" spans="1:37" x14ac:dyDescent="0.25">
      <c r="A136" s="17">
        <f t="shared" si="4"/>
        <v>135</v>
      </c>
      <c r="B136" s="10" t="str">
        <f>_xlfn.XLOOKUP(C136,Tab_Def_Flows[Name(EN)],Tab_Def_Flows[Flow_ID],,0,)</f>
        <v>N.A.</v>
      </c>
      <c r="C136" s="12" t="s">
        <v>35</v>
      </c>
      <c r="D136" s="10"/>
      <c r="E136" s="10">
        <f>_xlfn.XLOOKUP(C136,Tab_Def_Flows[Name(EN)],Tab_Def_Flows[Output_Process],,0,)</f>
        <v>0</v>
      </c>
      <c r="F136" s="10">
        <f>_xlfn.XLOOKUP(C136,Tab_Def_Flows[Name(EN)],Tab_Def_Flows[Process_ID_O],,0,)</f>
        <v>0</v>
      </c>
      <c r="G136" s="10">
        <f>_xlfn.XLOOKUP(C136,Tab_Def_Flows[Name(EN)],Tab_Def_Flows[Input_Process],,0,)</f>
        <v>0</v>
      </c>
      <c r="H136" s="18">
        <f>_xlfn.XLOOKUP(C136,Tab_Def_Flows[Name(EN)],Tab_Def_Flows[Process_ID_I],,0,)</f>
        <v>0</v>
      </c>
      <c r="I136" s="10" t="e">
        <f>_xlfn.XLOOKUP(C136,Tab_Def_Flows[Name(EN)],#REF!,,0,)</f>
        <v>#REF!</v>
      </c>
      <c r="J136" s="10">
        <f>_xlfn.XLOOKUP(C136,Tab_Def_Flows[Name(EN)],Tab_Def_Flows[WC?],,0,)</f>
        <v>0</v>
      </c>
      <c r="K136" s="10">
        <f>_xlfn.XLOOKUP(C136,Tab_Def_Flows[Name(EN)],Tab_Def_Flows[DM?],,0,)</f>
        <v>0</v>
      </c>
      <c r="L136" s="10">
        <f>_xlfn.XLOOKUP(C136,Tab_Def_Flows[Name(EN)],Tab_Def_Flows[CC?],,0,)</f>
        <v>0</v>
      </c>
      <c r="M136" s="12"/>
      <c r="N136" s="12"/>
      <c r="O136" s="50"/>
      <c r="P136" s="12"/>
      <c r="Q136" s="12"/>
      <c r="R136" s="12" t="e">
        <f>INDEX(#REF!,MATCH(Tab_Data_Flows[[#This Row],[Name(EN)]],#REF!,0),12)</f>
        <v>#REF!</v>
      </c>
      <c r="S136" s="12" t="e">
        <f>MATCH(Tab_Data_Flows[[#This Row],[Name(EN)]],#REF!,0)</f>
        <v>#REF!</v>
      </c>
      <c r="T136" s="12"/>
      <c r="U136" s="12"/>
      <c r="V136" s="12"/>
      <c r="W136" s="12"/>
      <c r="X136" s="12" t="s">
        <v>8</v>
      </c>
      <c r="Y136" s="12"/>
      <c r="Z136" s="12"/>
      <c r="AA136" s="36">
        <f t="shared" si="5"/>
        <v>0</v>
      </c>
      <c r="AB136" s="12" t="s">
        <v>283</v>
      </c>
      <c r="AC136" s="193">
        <f>INDEX(Tab_Def_Flows[[Flow_ID]:[CC_DM_source]],MATCH(Tab_Data_Flows[[#This Row],[Name(EN)]],Tab_Def_Flows[Name(EN)],0),13)</f>
        <v>0</v>
      </c>
      <c r="AD136" s="10" t="str">
        <f>IF(J136="Yes",AA136*Tab_Data_Flows[[#This Row],[WC_'[%']]],"N.A.")</f>
        <v>N.A.</v>
      </c>
      <c r="AE136" s="10" t="str">
        <f>Tab_Data_Flows[[#This Row],[UoM_Flow_Py]]</f>
        <v>Mg</v>
      </c>
      <c r="AF136" s="193">
        <f>INDEX(Tab_Def_Flows[[Flow_ID]:[CC_DM_source]],MATCH(Tab_Data_Flows[[#This Row],[Name(EN)]],Tab_Def_Flows[Name(EN)],0),15)</f>
        <v>0</v>
      </c>
      <c r="AG136" s="10" t="str">
        <f>IF(K136="Yes",AF136*Tab_Data_Flows[[#This Row],[Flow_Py]]-AJ252,"N.A.")</f>
        <v>N.A.</v>
      </c>
      <c r="AH136" s="10" t="str">
        <f>Tab_Data_Flows[[#This Row],[UoM_Flow_Py]]</f>
        <v>Mg</v>
      </c>
      <c r="AI136" s="193">
        <f>INDEX(Tab_Def_Flows[[Flow_ID]:[CC_DM_source]],MATCH(Tab_Data_Flows[[#This Row],[Name(EN)]],Tab_Def_Flows[Name(EN)],0),17)</f>
        <v>0</v>
      </c>
      <c r="AJ136" s="10" t="str">
        <f>IF(L136="Yes",AI136*Tab_Data_Flows[[#This Row],[Flow_Py]]*Tab_Data_Flows[[#This Row],[DM_'[%']]],"N.A.")</f>
        <v>N.A.</v>
      </c>
      <c r="AK136" s="10" t="str">
        <f>Tab_Data_Flows[[#This Row],[UoM_Flow_Py]]</f>
        <v>Mg</v>
      </c>
    </row>
    <row r="137" spans="1:37" x14ac:dyDescent="0.25">
      <c r="A137" s="17">
        <f t="shared" si="4"/>
        <v>136</v>
      </c>
      <c r="B137" s="10" t="str">
        <f>_xlfn.XLOOKUP(C137,Tab_Def_Flows[Name(EN)],Tab_Def_Flows[Flow_ID],,0,)</f>
        <v>N.A.</v>
      </c>
      <c r="C137" s="12" t="s">
        <v>35</v>
      </c>
      <c r="D137" s="10"/>
      <c r="E137" s="10">
        <f>_xlfn.XLOOKUP(C137,Tab_Def_Flows[Name(EN)],Tab_Def_Flows[Output_Process],,0,)</f>
        <v>0</v>
      </c>
      <c r="F137" s="10">
        <f>_xlfn.XLOOKUP(C137,Tab_Def_Flows[Name(EN)],Tab_Def_Flows[Process_ID_O],,0,)</f>
        <v>0</v>
      </c>
      <c r="G137" s="10">
        <f>_xlfn.XLOOKUP(C137,Tab_Def_Flows[Name(EN)],Tab_Def_Flows[Input_Process],,0,)</f>
        <v>0</v>
      </c>
      <c r="H137" s="18">
        <f>_xlfn.XLOOKUP(C137,Tab_Def_Flows[Name(EN)],Tab_Def_Flows[Process_ID_I],,0,)</f>
        <v>0</v>
      </c>
      <c r="I137" s="10" t="e">
        <f>_xlfn.XLOOKUP(C137,Tab_Def_Flows[Name(EN)],#REF!,,0,)</f>
        <v>#REF!</v>
      </c>
      <c r="J137" s="10">
        <f>_xlfn.XLOOKUP(C137,Tab_Def_Flows[Name(EN)],Tab_Def_Flows[WC?],,0,)</f>
        <v>0</v>
      </c>
      <c r="K137" s="10">
        <f>_xlfn.XLOOKUP(C137,Tab_Def_Flows[Name(EN)],Tab_Def_Flows[DM?],,0,)</f>
        <v>0</v>
      </c>
      <c r="L137" s="10">
        <f>_xlfn.XLOOKUP(C137,Tab_Def_Flows[Name(EN)],Tab_Def_Flows[CC?],,0,)</f>
        <v>0</v>
      </c>
      <c r="M137" s="12"/>
      <c r="N137" s="12"/>
      <c r="O137" s="50"/>
      <c r="P137" s="12"/>
      <c r="Q137" s="12"/>
      <c r="R137" s="12" t="e">
        <f>INDEX(#REF!,MATCH(Tab_Data_Flows[[#This Row],[Name(EN)]],#REF!,0),12)</f>
        <v>#REF!</v>
      </c>
      <c r="S137" s="12" t="e">
        <f>MATCH(Tab_Data_Flows[[#This Row],[Name(EN)]],#REF!,0)</f>
        <v>#REF!</v>
      </c>
      <c r="T137" s="12"/>
      <c r="U137" s="12"/>
      <c r="V137" s="12"/>
      <c r="W137" s="12"/>
      <c r="X137" s="12" t="s">
        <v>8</v>
      </c>
      <c r="Y137" s="12"/>
      <c r="Z137" s="12"/>
      <c r="AA137" s="36">
        <f t="shared" si="5"/>
        <v>0</v>
      </c>
      <c r="AB137" s="12" t="s">
        <v>283</v>
      </c>
      <c r="AC137" s="193">
        <f>INDEX(Tab_Def_Flows[[Flow_ID]:[CC_DM_source]],MATCH(Tab_Data_Flows[[#This Row],[Name(EN)]],Tab_Def_Flows[Name(EN)],0),13)</f>
        <v>0</v>
      </c>
      <c r="AD137" s="10" t="str">
        <f>IF(J137="Yes",AA137*Tab_Data_Flows[[#This Row],[WC_'[%']]],"N.A.")</f>
        <v>N.A.</v>
      </c>
      <c r="AE137" s="10" t="str">
        <f>Tab_Data_Flows[[#This Row],[UoM_Flow_Py]]</f>
        <v>Mg</v>
      </c>
      <c r="AF137" s="193">
        <f>INDEX(Tab_Def_Flows[[Flow_ID]:[CC_DM_source]],MATCH(Tab_Data_Flows[[#This Row],[Name(EN)]],Tab_Def_Flows[Name(EN)],0),15)</f>
        <v>0</v>
      </c>
      <c r="AG137" s="10" t="str">
        <f>IF(K137="Yes",AF137*Tab_Data_Flows[[#This Row],[Flow_Py]]-AJ253,"N.A.")</f>
        <v>N.A.</v>
      </c>
      <c r="AH137" s="10" t="str">
        <f>Tab_Data_Flows[[#This Row],[UoM_Flow_Py]]</f>
        <v>Mg</v>
      </c>
      <c r="AI137" s="193">
        <f>INDEX(Tab_Def_Flows[[Flow_ID]:[CC_DM_source]],MATCH(Tab_Data_Flows[[#This Row],[Name(EN)]],Tab_Def_Flows[Name(EN)],0),17)</f>
        <v>0</v>
      </c>
      <c r="AJ137" s="10" t="str">
        <f>IF(L137="Yes",AI137*Tab_Data_Flows[[#This Row],[Flow_Py]]*Tab_Data_Flows[[#This Row],[DM_'[%']]],"N.A.")</f>
        <v>N.A.</v>
      </c>
      <c r="AK137" s="10" t="str">
        <f>Tab_Data_Flows[[#This Row],[UoM_Flow_Py]]</f>
        <v>Mg</v>
      </c>
    </row>
    <row r="138" spans="1:37" x14ac:dyDescent="0.25">
      <c r="A138" s="17">
        <f t="shared" si="4"/>
        <v>137</v>
      </c>
      <c r="B138" s="10" t="str">
        <f>_xlfn.XLOOKUP(C138,Tab_Def_Flows[Name(EN)],Tab_Def_Flows[Flow_ID],,0,)</f>
        <v>N.A.</v>
      </c>
      <c r="C138" s="12" t="s">
        <v>35</v>
      </c>
      <c r="D138" s="10"/>
      <c r="E138" s="10">
        <f>_xlfn.XLOOKUP(C138,Tab_Def_Flows[Name(EN)],Tab_Def_Flows[Output_Process],,0,)</f>
        <v>0</v>
      </c>
      <c r="F138" s="10">
        <f>_xlfn.XLOOKUP(C138,Tab_Def_Flows[Name(EN)],Tab_Def_Flows[Process_ID_O],,0,)</f>
        <v>0</v>
      </c>
      <c r="G138" s="10">
        <f>_xlfn.XLOOKUP(C138,Tab_Def_Flows[Name(EN)],Tab_Def_Flows[Input_Process],,0,)</f>
        <v>0</v>
      </c>
      <c r="H138" s="18">
        <f>_xlfn.XLOOKUP(C138,Tab_Def_Flows[Name(EN)],Tab_Def_Flows[Process_ID_I],,0,)</f>
        <v>0</v>
      </c>
      <c r="I138" s="10" t="e">
        <f>_xlfn.XLOOKUP(C138,Tab_Def_Flows[Name(EN)],#REF!,,0,)</f>
        <v>#REF!</v>
      </c>
      <c r="J138" s="10">
        <f>_xlfn.XLOOKUP(C138,Tab_Def_Flows[Name(EN)],Tab_Def_Flows[WC?],,0,)</f>
        <v>0</v>
      </c>
      <c r="K138" s="10">
        <f>_xlfn.XLOOKUP(C138,Tab_Def_Flows[Name(EN)],Tab_Def_Flows[DM?],,0,)</f>
        <v>0</v>
      </c>
      <c r="L138" s="10">
        <f>_xlfn.XLOOKUP(C138,Tab_Def_Flows[Name(EN)],Tab_Def_Flows[CC?],,0,)</f>
        <v>0</v>
      </c>
      <c r="M138" s="12"/>
      <c r="N138" s="12"/>
      <c r="O138" s="50"/>
      <c r="P138" s="12"/>
      <c r="Q138" s="12"/>
      <c r="R138" s="12" t="e">
        <f>INDEX(#REF!,MATCH(Tab_Data_Flows[[#This Row],[Name(EN)]],#REF!,0),12)</f>
        <v>#REF!</v>
      </c>
      <c r="S138" s="12" t="e">
        <f>MATCH(Tab_Data_Flows[[#This Row],[Name(EN)]],#REF!,0)</f>
        <v>#REF!</v>
      </c>
      <c r="T138" s="12"/>
      <c r="U138" s="12"/>
      <c r="V138" s="12"/>
      <c r="W138" s="12"/>
      <c r="X138" s="12" t="s">
        <v>8</v>
      </c>
      <c r="Y138" s="12"/>
      <c r="Z138" s="12"/>
      <c r="AA138" s="36">
        <f t="shared" si="5"/>
        <v>0</v>
      </c>
      <c r="AB138" s="12" t="s">
        <v>283</v>
      </c>
      <c r="AC138" s="193">
        <f>INDEX(Tab_Def_Flows[[Flow_ID]:[CC_DM_source]],MATCH(Tab_Data_Flows[[#This Row],[Name(EN)]],Tab_Def_Flows[Name(EN)],0),13)</f>
        <v>0</v>
      </c>
      <c r="AD138" s="10" t="str">
        <f>IF(J138="Yes",AA138*Tab_Data_Flows[[#This Row],[WC_'[%']]],"N.A.")</f>
        <v>N.A.</v>
      </c>
      <c r="AE138" s="10" t="str">
        <f>Tab_Data_Flows[[#This Row],[UoM_Flow_Py]]</f>
        <v>Mg</v>
      </c>
      <c r="AF138" s="193">
        <f>INDEX(Tab_Def_Flows[[Flow_ID]:[CC_DM_source]],MATCH(Tab_Data_Flows[[#This Row],[Name(EN)]],Tab_Def_Flows[Name(EN)],0),15)</f>
        <v>0</v>
      </c>
      <c r="AG138" s="10" t="str">
        <f>IF(K138="Yes",AF138*Tab_Data_Flows[[#This Row],[Flow_Py]]-AJ254,"N.A.")</f>
        <v>N.A.</v>
      </c>
      <c r="AH138" s="10" t="str">
        <f>Tab_Data_Flows[[#This Row],[UoM_Flow_Py]]</f>
        <v>Mg</v>
      </c>
      <c r="AI138" s="193">
        <f>INDEX(Tab_Def_Flows[[Flow_ID]:[CC_DM_source]],MATCH(Tab_Data_Flows[[#This Row],[Name(EN)]],Tab_Def_Flows[Name(EN)],0),17)</f>
        <v>0</v>
      </c>
      <c r="AJ138" s="10" t="str">
        <f>IF(L138="Yes",AI138*Tab_Data_Flows[[#This Row],[Flow_Py]]*Tab_Data_Flows[[#This Row],[DM_'[%']]],"N.A.")</f>
        <v>N.A.</v>
      </c>
      <c r="AK138" s="10" t="str">
        <f>Tab_Data_Flows[[#This Row],[UoM_Flow_Py]]</f>
        <v>Mg</v>
      </c>
    </row>
    <row r="139" spans="1:37" x14ac:dyDescent="0.25">
      <c r="A139" s="17">
        <f t="shared" si="4"/>
        <v>138</v>
      </c>
      <c r="B139" s="10" t="str">
        <f>_xlfn.XLOOKUP(C139,Tab_Def_Flows[Name(EN)],Tab_Def_Flows[Flow_ID],,0,)</f>
        <v>N.A.</v>
      </c>
      <c r="C139" s="12" t="s">
        <v>35</v>
      </c>
      <c r="D139" s="10"/>
      <c r="E139" s="10">
        <f>_xlfn.XLOOKUP(C139,Tab_Def_Flows[Name(EN)],Tab_Def_Flows[Output_Process],,0,)</f>
        <v>0</v>
      </c>
      <c r="F139" s="10">
        <f>_xlfn.XLOOKUP(C139,Tab_Def_Flows[Name(EN)],Tab_Def_Flows[Process_ID_O],,0,)</f>
        <v>0</v>
      </c>
      <c r="G139" s="10">
        <f>_xlfn.XLOOKUP(C139,Tab_Def_Flows[Name(EN)],Tab_Def_Flows[Input_Process],,0,)</f>
        <v>0</v>
      </c>
      <c r="H139" s="18">
        <f>_xlfn.XLOOKUP(C139,Tab_Def_Flows[Name(EN)],Tab_Def_Flows[Process_ID_I],,0,)</f>
        <v>0</v>
      </c>
      <c r="I139" s="10" t="e">
        <f>_xlfn.XLOOKUP(C139,Tab_Def_Flows[Name(EN)],#REF!,,0,)</f>
        <v>#REF!</v>
      </c>
      <c r="J139" s="10">
        <f>_xlfn.XLOOKUP(C139,Tab_Def_Flows[Name(EN)],Tab_Def_Flows[WC?],,0,)</f>
        <v>0</v>
      </c>
      <c r="K139" s="10">
        <f>_xlfn.XLOOKUP(C139,Tab_Def_Flows[Name(EN)],Tab_Def_Flows[DM?],,0,)</f>
        <v>0</v>
      </c>
      <c r="L139" s="10">
        <f>_xlfn.XLOOKUP(C139,Tab_Def_Flows[Name(EN)],Tab_Def_Flows[CC?],,0,)</f>
        <v>0</v>
      </c>
      <c r="M139" s="12"/>
      <c r="N139" s="12"/>
      <c r="O139" s="50"/>
      <c r="P139" s="12"/>
      <c r="Q139" s="12"/>
      <c r="R139" s="12" t="e">
        <f>INDEX(#REF!,MATCH(Tab_Data_Flows[[#This Row],[Name(EN)]],#REF!,0),12)</f>
        <v>#REF!</v>
      </c>
      <c r="S139" s="12" t="e">
        <f>MATCH(Tab_Data_Flows[[#This Row],[Name(EN)]],#REF!,0)</f>
        <v>#REF!</v>
      </c>
      <c r="T139" s="12"/>
      <c r="U139" s="12"/>
      <c r="V139" s="12"/>
      <c r="W139" s="12"/>
      <c r="X139" s="12" t="s">
        <v>8</v>
      </c>
      <c r="Y139" s="12"/>
      <c r="Z139" s="12"/>
      <c r="AA139" s="36">
        <f t="shared" si="5"/>
        <v>0</v>
      </c>
      <c r="AB139" s="12" t="s">
        <v>283</v>
      </c>
      <c r="AC139" s="193">
        <f>INDEX(Tab_Def_Flows[[Flow_ID]:[CC_DM_source]],MATCH(Tab_Data_Flows[[#This Row],[Name(EN)]],Tab_Def_Flows[Name(EN)],0),13)</f>
        <v>0</v>
      </c>
      <c r="AD139" s="10" t="str">
        <f>IF(J139="Yes",AA139*Tab_Data_Flows[[#This Row],[WC_'[%']]],"N.A.")</f>
        <v>N.A.</v>
      </c>
      <c r="AE139" s="10" t="str">
        <f>Tab_Data_Flows[[#This Row],[UoM_Flow_Py]]</f>
        <v>Mg</v>
      </c>
      <c r="AF139" s="193">
        <f>INDEX(Tab_Def_Flows[[Flow_ID]:[CC_DM_source]],MATCH(Tab_Data_Flows[[#This Row],[Name(EN)]],Tab_Def_Flows[Name(EN)],0),15)</f>
        <v>0</v>
      </c>
      <c r="AG139" s="10" t="str">
        <f>IF(K139="Yes",AF139*Tab_Data_Flows[[#This Row],[Flow_Py]]-AJ255,"N.A.")</f>
        <v>N.A.</v>
      </c>
      <c r="AH139" s="10" t="str">
        <f>Tab_Data_Flows[[#This Row],[UoM_Flow_Py]]</f>
        <v>Mg</v>
      </c>
      <c r="AI139" s="193">
        <f>INDEX(Tab_Def_Flows[[Flow_ID]:[CC_DM_source]],MATCH(Tab_Data_Flows[[#This Row],[Name(EN)]],Tab_Def_Flows[Name(EN)],0),17)</f>
        <v>0</v>
      </c>
      <c r="AJ139" s="10" t="str">
        <f>IF(L139="Yes",AI139*Tab_Data_Flows[[#This Row],[Flow_Py]]*Tab_Data_Flows[[#This Row],[DM_'[%']]],"N.A.")</f>
        <v>N.A.</v>
      </c>
      <c r="AK139" s="10" t="str">
        <f>Tab_Data_Flows[[#This Row],[UoM_Flow_Py]]</f>
        <v>Mg</v>
      </c>
    </row>
    <row r="140" spans="1:37" x14ac:dyDescent="0.25">
      <c r="A140" s="17">
        <f t="shared" si="4"/>
        <v>139</v>
      </c>
      <c r="B140" s="10" t="str">
        <f>_xlfn.XLOOKUP(C140,Tab_Def_Flows[Name(EN)],Tab_Def_Flows[Flow_ID],,0,)</f>
        <v>N.A.</v>
      </c>
      <c r="C140" s="12" t="s">
        <v>35</v>
      </c>
      <c r="D140" s="10"/>
      <c r="E140" s="10">
        <f>_xlfn.XLOOKUP(C140,Tab_Def_Flows[Name(EN)],Tab_Def_Flows[Output_Process],,0,)</f>
        <v>0</v>
      </c>
      <c r="F140" s="10">
        <f>_xlfn.XLOOKUP(C140,Tab_Def_Flows[Name(EN)],Tab_Def_Flows[Process_ID_O],,0,)</f>
        <v>0</v>
      </c>
      <c r="G140" s="10">
        <f>_xlfn.XLOOKUP(C140,Tab_Def_Flows[Name(EN)],Tab_Def_Flows[Input_Process],,0,)</f>
        <v>0</v>
      </c>
      <c r="H140" s="18">
        <f>_xlfn.XLOOKUP(C140,Tab_Def_Flows[Name(EN)],Tab_Def_Flows[Process_ID_I],,0,)</f>
        <v>0</v>
      </c>
      <c r="I140" s="10" t="e">
        <f>_xlfn.XLOOKUP(C140,Tab_Def_Flows[Name(EN)],#REF!,,0,)</f>
        <v>#REF!</v>
      </c>
      <c r="J140" s="10">
        <f>_xlfn.XLOOKUP(C140,Tab_Def_Flows[Name(EN)],Tab_Def_Flows[WC?],,0,)</f>
        <v>0</v>
      </c>
      <c r="K140" s="10">
        <f>_xlfn.XLOOKUP(C140,Tab_Def_Flows[Name(EN)],Tab_Def_Flows[DM?],,0,)</f>
        <v>0</v>
      </c>
      <c r="L140" s="10">
        <f>_xlfn.XLOOKUP(C140,Tab_Def_Flows[Name(EN)],Tab_Def_Flows[CC?],,0,)</f>
        <v>0</v>
      </c>
      <c r="M140" s="12"/>
      <c r="N140" s="12"/>
      <c r="O140" s="50"/>
      <c r="P140" s="12"/>
      <c r="Q140" s="12"/>
      <c r="R140" s="12" t="e">
        <f>INDEX(#REF!,MATCH(Tab_Data_Flows[[#This Row],[Name(EN)]],#REF!,0),12)</f>
        <v>#REF!</v>
      </c>
      <c r="S140" s="12" t="e">
        <f>MATCH(Tab_Data_Flows[[#This Row],[Name(EN)]],#REF!,0)</f>
        <v>#REF!</v>
      </c>
      <c r="T140" s="12"/>
      <c r="U140" s="12"/>
      <c r="V140" s="12"/>
      <c r="W140" s="12"/>
      <c r="X140" s="12" t="s">
        <v>8</v>
      </c>
      <c r="Y140" s="12"/>
      <c r="Z140" s="12"/>
      <c r="AA140" s="36">
        <f t="shared" si="5"/>
        <v>0</v>
      </c>
      <c r="AB140" s="12" t="s">
        <v>283</v>
      </c>
      <c r="AC140" s="193">
        <f>INDEX(Tab_Def_Flows[[Flow_ID]:[CC_DM_source]],MATCH(Tab_Data_Flows[[#This Row],[Name(EN)]],Tab_Def_Flows[Name(EN)],0),13)</f>
        <v>0</v>
      </c>
      <c r="AD140" s="10" t="str">
        <f>IF(J140="Yes",AA140*Tab_Data_Flows[[#This Row],[WC_'[%']]],"N.A.")</f>
        <v>N.A.</v>
      </c>
      <c r="AE140" s="10" t="str">
        <f>Tab_Data_Flows[[#This Row],[UoM_Flow_Py]]</f>
        <v>Mg</v>
      </c>
      <c r="AF140" s="193">
        <f>INDEX(Tab_Def_Flows[[Flow_ID]:[CC_DM_source]],MATCH(Tab_Data_Flows[[#This Row],[Name(EN)]],Tab_Def_Flows[Name(EN)],0),15)</f>
        <v>0</v>
      </c>
      <c r="AG140" s="10" t="str">
        <f>IF(K140="Yes",AF140*Tab_Data_Flows[[#This Row],[Flow_Py]]-AJ256,"N.A.")</f>
        <v>N.A.</v>
      </c>
      <c r="AH140" s="10" t="str">
        <f>Tab_Data_Flows[[#This Row],[UoM_Flow_Py]]</f>
        <v>Mg</v>
      </c>
      <c r="AI140" s="193">
        <f>INDEX(Tab_Def_Flows[[Flow_ID]:[CC_DM_source]],MATCH(Tab_Data_Flows[[#This Row],[Name(EN)]],Tab_Def_Flows[Name(EN)],0),17)</f>
        <v>0</v>
      </c>
      <c r="AJ140" s="10" t="str">
        <f>IF(L140="Yes",AI140*Tab_Data_Flows[[#This Row],[Flow_Py]]*Tab_Data_Flows[[#This Row],[DM_'[%']]],"N.A.")</f>
        <v>N.A.</v>
      </c>
      <c r="AK140" s="10" t="str">
        <f>Tab_Data_Flows[[#This Row],[UoM_Flow_Py]]</f>
        <v>Mg</v>
      </c>
    </row>
    <row r="141" spans="1:37" x14ac:dyDescent="0.25">
      <c r="A141" s="17">
        <f t="shared" si="4"/>
        <v>140</v>
      </c>
      <c r="B141" s="10" t="str">
        <f>_xlfn.XLOOKUP(C141,Tab_Def_Flows[Name(EN)],Tab_Def_Flows[Flow_ID],,0,)</f>
        <v>N.A.</v>
      </c>
      <c r="C141" s="12" t="s">
        <v>35</v>
      </c>
      <c r="D141" s="10"/>
      <c r="E141" s="10">
        <f>_xlfn.XLOOKUP(C141,Tab_Def_Flows[Name(EN)],Tab_Def_Flows[Output_Process],,0,)</f>
        <v>0</v>
      </c>
      <c r="F141" s="10">
        <f>_xlfn.XLOOKUP(C141,Tab_Def_Flows[Name(EN)],Tab_Def_Flows[Process_ID_O],,0,)</f>
        <v>0</v>
      </c>
      <c r="G141" s="10">
        <f>_xlfn.XLOOKUP(C141,Tab_Def_Flows[Name(EN)],Tab_Def_Flows[Input_Process],,0,)</f>
        <v>0</v>
      </c>
      <c r="H141" s="18">
        <f>_xlfn.XLOOKUP(C141,Tab_Def_Flows[Name(EN)],Tab_Def_Flows[Process_ID_I],,0,)</f>
        <v>0</v>
      </c>
      <c r="I141" s="10" t="e">
        <f>_xlfn.XLOOKUP(C141,Tab_Def_Flows[Name(EN)],#REF!,,0,)</f>
        <v>#REF!</v>
      </c>
      <c r="J141" s="10">
        <f>_xlfn.XLOOKUP(C141,Tab_Def_Flows[Name(EN)],Tab_Def_Flows[WC?],,0,)</f>
        <v>0</v>
      </c>
      <c r="K141" s="10">
        <f>_xlfn.XLOOKUP(C141,Tab_Def_Flows[Name(EN)],Tab_Def_Flows[DM?],,0,)</f>
        <v>0</v>
      </c>
      <c r="L141" s="10">
        <f>_xlfn.XLOOKUP(C141,Tab_Def_Flows[Name(EN)],Tab_Def_Flows[CC?],,0,)</f>
        <v>0</v>
      </c>
      <c r="M141" s="12"/>
      <c r="N141" s="12"/>
      <c r="O141" s="50"/>
      <c r="P141" s="12"/>
      <c r="Q141" s="12"/>
      <c r="R141" s="12" t="e">
        <f>INDEX(#REF!,MATCH(Tab_Data_Flows[[#This Row],[Name(EN)]],#REF!,0),12)</f>
        <v>#REF!</v>
      </c>
      <c r="S141" s="12" t="e">
        <f>MATCH(Tab_Data_Flows[[#This Row],[Name(EN)]],#REF!,0)</f>
        <v>#REF!</v>
      </c>
      <c r="T141" s="12"/>
      <c r="U141" s="12"/>
      <c r="V141" s="12"/>
      <c r="W141" s="12"/>
      <c r="X141" s="12" t="s">
        <v>8</v>
      </c>
      <c r="Y141" s="12"/>
      <c r="Z141" s="12"/>
      <c r="AA141" s="36">
        <f t="shared" si="5"/>
        <v>0</v>
      </c>
      <c r="AB141" s="12" t="s">
        <v>283</v>
      </c>
      <c r="AC141" s="193">
        <f>INDEX(Tab_Def_Flows[[Flow_ID]:[CC_DM_source]],MATCH(Tab_Data_Flows[[#This Row],[Name(EN)]],Tab_Def_Flows[Name(EN)],0),13)</f>
        <v>0</v>
      </c>
      <c r="AD141" s="10" t="str">
        <f>IF(J141="Yes",AA141*Tab_Data_Flows[[#This Row],[WC_'[%']]],"N.A.")</f>
        <v>N.A.</v>
      </c>
      <c r="AE141" s="10" t="str">
        <f>Tab_Data_Flows[[#This Row],[UoM_Flow_Py]]</f>
        <v>Mg</v>
      </c>
      <c r="AF141" s="193">
        <f>INDEX(Tab_Def_Flows[[Flow_ID]:[CC_DM_source]],MATCH(Tab_Data_Flows[[#This Row],[Name(EN)]],Tab_Def_Flows[Name(EN)],0),15)</f>
        <v>0</v>
      </c>
      <c r="AG141" s="10" t="str">
        <f>IF(K141="Yes",AF141*Tab_Data_Flows[[#This Row],[Flow_Py]]-AJ257,"N.A.")</f>
        <v>N.A.</v>
      </c>
      <c r="AH141" s="10" t="str">
        <f>Tab_Data_Flows[[#This Row],[UoM_Flow_Py]]</f>
        <v>Mg</v>
      </c>
      <c r="AI141" s="193">
        <f>INDEX(Tab_Def_Flows[[Flow_ID]:[CC_DM_source]],MATCH(Tab_Data_Flows[[#This Row],[Name(EN)]],Tab_Def_Flows[Name(EN)],0),17)</f>
        <v>0</v>
      </c>
      <c r="AJ141" s="10" t="str">
        <f>IF(L141="Yes",AI141*Tab_Data_Flows[[#This Row],[Flow_Py]]*Tab_Data_Flows[[#This Row],[DM_'[%']]],"N.A.")</f>
        <v>N.A.</v>
      </c>
      <c r="AK141" s="10" t="str">
        <f>Tab_Data_Flows[[#This Row],[UoM_Flow_Py]]</f>
        <v>Mg</v>
      </c>
    </row>
    <row r="142" spans="1:37" x14ac:dyDescent="0.25">
      <c r="A142" s="17">
        <f t="shared" si="4"/>
        <v>141</v>
      </c>
      <c r="B142" s="10" t="str">
        <f>_xlfn.XLOOKUP(C142,Tab_Def_Flows[Name(EN)],Tab_Def_Flows[Flow_ID],,0,)</f>
        <v>N.A.</v>
      </c>
      <c r="C142" s="12" t="s">
        <v>35</v>
      </c>
      <c r="D142" s="10"/>
      <c r="E142" s="10">
        <f>_xlfn.XLOOKUP(C142,Tab_Def_Flows[Name(EN)],Tab_Def_Flows[Output_Process],,0,)</f>
        <v>0</v>
      </c>
      <c r="F142" s="10">
        <f>_xlfn.XLOOKUP(C142,Tab_Def_Flows[Name(EN)],Tab_Def_Flows[Process_ID_O],,0,)</f>
        <v>0</v>
      </c>
      <c r="G142" s="10">
        <f>_xlfn.XLOOKUP(C142,Tab_Def_Flows[Name(EN)],Tab_Def_Flows[Input_Process],,0,)</f>
        <v>0</v>
      </c>
      <c r="H142" s="18">
        <f>_xlfn.XLOOKUP(C142,Tab_Def_Flows[Name(EN)],Tab_Def_Flows[Process_ID_I],,0,)</f>
        <v>0</v>
      </c>
      <c r="I142" s="10" t="e">
        <f>_xlfn.XLOOKUP(C142,Tab_Def_Flows[Name(EN)],#REF!,,0,)</f>
        <v>#REF!</v>
      </c>
      <c r="J142" s="10">
        <f>_xlfn.XLOOKUP(C142,Tab_Def_Flows[Name(EN)],Tab_Def_Flows[WC?],,0,)</f>
        <v>0</v>
      </c>
      <c r="K142" s="10">
        <f>_xlfn.XLOOKUP(C142,Tab_Def_Flows[Name(EN)],Tab_Def_Flows[DM?],,0,)</f>
        <v>0</v>
      </c>
      <c r="L142" s="10">
        <f>_xlfn.XLOOKUP(C142,Tab_Def_Flows[Name(EN)],Tab_Def_Flows[CC?],,0,)</f>
        <v>0</v>
      </c>
      <c r="M142" s="12"/>
      <c r="N142" s="12"/>
      <c r="O142" s="50"/>
      <c r="P142" s="12"/>
      <c r="Q142" s="12"/>
      <c r="R142" s="12" t="e">
        <f>INDEX(#REF!,MATCH(Tab_Data_Flows[[#This Row],[Name(EN)]],#REF!,0),12)</f>
        <v>#REF!</v>
      </c>
      <c r="S142" s="12" t="e">
        <f>MATCH(Tab_Data_Flows[[#This Row],[Name(EN)]],#REF!,0)</f>
        <v>#REF!</v>
      </c>
      <c r="T142" s="12"/>
      <c r="U142" s="12"/>
      <c r="V142" s="12"/>
      <c r="W142" s="12"/>
      <c r="X142" s="12" t="s">
        <v>8</v>
      </c>
      <c r="Y142" s="12"/>
      <c r="Z142" s="12"/>
      <c r="AA142" s="36">
        <f t="shared" si="5"/>
        <v>0</v>
      </c>
      <c r="AB142" s="12" t="s">
        <v>283</v>
      </c>
      <c r="AC142" s="193">
        <f>INDEX(Tab_Def_Flows[[Flow_ID]:[CC_DM_source]],MATCH(Tab_Data_Flows[[#This Row],[Name(EN)]],Tab_Def_Flows[Name(EN)],0),13)</f>
        <v>0</v>
      </c>
      <c r="AD142" s="10" t="str">
        <f>IF(J142="Yes",AA142*Tab_Data_Flows[[#This Row],[WC_'[%']]],"N.A.")</f>
        <v>N.A.</v>
      </c>
      <c r="AE142" s="10" t="str">
        <f>Tab_Data_Flows[[#This Row],[UoM_Flow_Py]]</f>
        <v>Mg</v>
      </c>
      <c r="AF142" s="193">
        <f>INDEX(Tab_Def_Flows[[Flow_ID]:[CC_DM_source]],MATCH(Tab_Data_Flows[[#This Row],[Name(EN)]],Tab_Def_Flows[Name(EN)],0),15)</f>
        <v>0</v>
      </c>
      <c r="AG142" s="10" t="str">
        <f>IF(K142="Yes",AF142*Tab_Data_Flows[[#This Row],[Flow_Py]]-AJ258,"N.A.")</f>
        <v>N.A.</v>
      </c>
      <c r="AH142" s="10" t="str">
        <f>Tab_Data_Flows[[#This Row],[UoM_Flow_Py]]</f>
        <v>Mg</v>
      </c>
      <c r="AI142" s="193">
        <f>INDEX(Tab_Def_Flows[[Flow_ID]:[CC_DM_source]],MATCH(Tab_Data_Flows[[#This Row],[Name(EN)]],Tab_Def_Flows[Name(EN)],0),17)</f>
        <v>0</v>
      </c>
      <c r="AJ142" s="10" t="str">
        <f>IF(L142="Yes",AI142*Tab_Data_Flows[[#This Row],[Flow_Py]]*Tab_Data_Flows[[#This Row],[DM_'[%']]],"N.A.")</f>
        <v>N.A.</v>
      </c>
      <c r="AK142" s="10" t="str">
        <f>Tab_Data_Flows[[#This Row],[UoM_Flow_Py]]</f>
        <v>Mg</v>
      </c>
    </row>
    <row r="143" spans="1:37" x14ac:dyDescent="0.25">
      <c r="A143" s="17">
        <f t="shared" si="4"/>
        <v>142</v>
      </c>
      <c r="B143" s="10" t="str">
        <f>_xlfn.XLOOKUP(C143,Tab_Def_Flows[Name(EN)],Tab_Def_Flows[Flow_ID],,0,)</f>
        <v>N.A.</v>
      </c>
      <c r="C143" s="12" t="s">
        <v>35</v>
      </c>
      <c r="D143" s="10"/>
      <c r="E143" s="10">
        <f>_xlfn.XLOOKUP(C143,Tab_Def_Flows[Name(EN)],Tab_Def_Flows[Output_Process],,0,)</f>
        <v>0</v>
      </c>
      <c r="F143" s="10">
        <f>_xlfn.XLOOKUP(C143,Tab_Def_Flows[Name(EN)],Tab_Def_Flows[Process_ID_O],,0,)</f>
        <v>0</v>
      </c>
      <c r="G143" s="10">
        <f>_xlfn.XLOOKUP(C143,Tab_Def_Flows[Name(EN)],Tab_Def_Flows[Input_Process],,0,)</f>
        <v>0</v>
      </c>
      <c r="H143" s="18">
        <f>_xlfn.XLOOKUP(C143,Tab_Def_Flows[Name(EN)],Tab_Def_Flows[Process_ID_I],,0,)</f>
        <v>0</v>
      </c>
      <c r="I143" s="10" t="e">
        <f>_xlfn.XLOOKUP(C143,Tab_Def_Flows[Name(EN)],#REF!,,0,)</f>
        <v>#REF!</v>
      </c>
      <c r="J143" s="10">
        <f>_xlfn.XLOOKUP(C143,Tab_Def_Flows[Name(EN)],Tab_Def_Flows[WC?],,0,)</f>
        <v>0</v>
      </c>
      <c r="K143" s="10">
        <f>_xlfn.XLOOKUP(C143,Tab_Def_Flows[Name(EN)],Tab_Def_Flows[DM?],,0,)</f>
        <v>0</v>
      </c>
      <c r="L143" s="10">
        <f>_xlfn.XLOOKUP(C143,Tab_Def_Flows[Name(EN)],Tab_Def_Flows[CC?],,0,)</f>
        <v>0</v>
      </c>
      <c r="M143" s="12"/>
      <c r="N143" s="12"/>
      <c r="O143" s="50"/>
      <c r="P143" s="12"/>
      <c r="Q143" s="12"/>
      <c r="R143" s="12" t="e">
        <f>INDEX(#REF!,MATCH(Tab_Data_Flows[[#This Row],[Name(EN)]],#REF!,0),12)</f>
        <v>#REF!</v>
      </c>
      <c r="S143" s="12" t="e">
        <f>MATCH(Tab_Data_Flows[[#This Row],[Name(EN)]],#REF!,0)</f>
        <v>#REF!</v>
      </c>
      <c r="T143" s="12"/>
      <c r="U143" s="12"/>
      <c r="V143" s="12"/>
      <c r="W143" s="12"/>
      <c r="X143" s="12" t="s">
        <v>8</v>
      </c>
      <c r="Y143" s="12"/>
      <c r="Z143" s="12"/>
      <c r="AA143" s="36">
        <f t="shared" si="5"/>
        <v>0</v>
      </c>
      <c r="AB143" s="12" t="s">
        <v>283</v>
      </c>
      <c r="AC143" s="193">
        <f>INDEX(Tab_Def_Flows[[Flow_ID]:[CC_DM_source]],MATCH(Tab_Data_Flows[[#This Row],[Name(EN)]],Tab_Def_Flows[Name(EN)],0),13)</f>
        <v>0</v>
      </c>
      <c r="AD143" s="10" t="str">
        <f>IF(J143="Yes",AA143*Tab_Data_Flows[[#This Row],[WC_'[%']]],"N.A.")</f>
        <v>N.A.</v>
      </c>
      <c r="AE143" s="10" t="str">
        <f>Tab_Data_Flows[[#This Row],[UoM_Flow_Py]]</f>
        <v>Mg</v>
      </c>
      <c r="AF143" s="193">
        <f>INDEX(Tab_Def_Flows[[Flow_ID]:[CC_DM_source]],MATCH(Tab_Data_Flows[[#This Row],[Name(EN)]],Tab_Def_Flows[Name(EN)],0),15)</f>
        <v>0</v>
      </c>
      <c r="AG143" s="10" t="str">
        <f>IF(K143="Yes",AF143*Tab_Data_Flows[[#This Row],[Flow_Py]]-AJ259,"N.A.")</f>
        <v>N.A.</v>
      </c>
      <c r="AH143" s="10" t="str">
        <f>Tab_Data_Flows[[#This Row],[UoM_Flow_Py]]</f>
        <v>Mg</v>
      </c>
      <c r="AI143" s="193">
        <f>INDEX(Tab_Def_Flows[[Flow_ID]:[CC_DM_source]],MATCH(Tab_Data_Flows[[#This Row],[Name(EN)]],Tab_Def_Flows[Name(EN)],0),17)</f>
        <v>0</v>
      </c>
      <c r="AJ143" s="10" t="str">
        <f>IF(L143="Yes",AI143*Tab_Data_Flows[[#This Row],[Flow_Py]]*Tab_Data_Flows[[#This Row],[DM_'[%']]],"N.A.")</f>
        <v>N.A.</v>
      </c>
      <c r="AK143" s="10" t="str">
        <f>Tab_Data_Flows[[#This Row],[UoM_Flow_Py]]</f>
        <v>Mg</v>
      </c>
    </row>
    <row r="144" spans="1:37" x14ac:dyDescent="0.25">
      <c r="A144" s="17">
        <f t="shared" si="4"/>
        <v>143</v>
      </c>
      <c r="B144" s="10" t="str">
        <f>_xlfn.XLOOKUP(C144,Tab_Def_Flows[Name(EN)],Tab_Def_Flows[Flow_ID],,0,)</f>
        <v>N.A.</v>
      </c>
      <c r="C144" s="12" t="s">
        <v>35</v>
      </c>
      <c r="D144" s="10"/>
      <c r="E144" s="10">
        <f>_xlfn.XLOOKUP(C144,Tab_Def_Flows[Name(EN)],Tab_Def_Flows[Output_Process],,0,)</f>
        <v>0</v>
      </c>
      <c r="F144" s="10">
        <f>_xlfn.XLOOKUP(C144,Tab_Def_Flows[Name(EN)],Tab_Def_Flows[Process_ID_O],,0,)</f>
        <v>0</v>
      </c>
      <c r="G144" s="10">
        <f>_xlfn.XLOOKUP(C144,Tab_Def_Flows[Name(EN)],Tab_Def_Flows[Input_Process],,0,)</f>
        <v>0</v>
      </c>
      <c r="H144" s="18">
        <f>_xlfn.XLOOKUP(C144,Tab_Def_Flows[Name(EN)],Tab_Def_Flows[Process_ID_I],,0,)</f>
        <v>0</v>
      </c>
      <c r="I144" s="10" t="e">
        <f>_xlfn.XLOOKUP(C144,Tab_Def_Flows[Name(EN)],#REF!,,0,)</f>
        <v>#REF!</v>
      </c>
      <c r="J144" s="10">
        <f>_xlfn.XLOOKUP(C144,Tab_Def_Flows[Name(EN)],Tab_Def_Flows[WC?],,0,)</f>
        <v>0</v>
      </c>
      <c r="K144" s="10">
        <f>_xlfn.XLOOKUP(C144,Tab_Def_Flows[Name(EN)],Tab_Def_Flows[DM?],,0,)</f>
        <v>0</v>
      </c>
      <c r="L144" s="10">
        <f>_xlfn.XLOOKUP(C144,Tab_Def_Flows[Name(EN)],Tab_Def_Flows[CC?],,0,)</f>
        <v>0</v>
      </c>
      <c r="M144" s="12"/>
      <c r="N144" s="12"/>
      <c r="O144" s="50"/>
      <c r="P144" s="12"/>
      <c r="Q144" s="12"/>
      <c r="R144" s="12" t="e">
        <f>INDEX(#REF!,MATCH(Tab_Data_Flows[[#This Row],[Name(EN)]],#REF!,0),12)</f>
        <v>#REF!</v>
      </c>
      <c r="S144" s="12" t="e">
        <f>MATCH(Tab_Data_Flows[[#This Row],[Name(EN)]],#REF!,0)</f>
        <v>#REF!</v>
      </c>
      <c r="T144" s="12"/>
      <c r="U144" s="12"/>
      <c r="V144" s="12"/>
      <c r="W144" s="12"/>
      <c r="X144" s="12" t="s">
        <v>8</v>
      </c>
      <c r="Y144" s="12"/>
      <c r="Z144" s="12"/>
      <c r="AA144" s="36">
        <f t="shared" si="5"/>
        <v>0</v>
      </c>
      <c r="AB144" s="12" t="s">
        <v>283</v>
      </c>
      <c r="AC144" s="193">
        <f>INDEX(Tab_Def_Flows[[Flow_ID]:[CC_DM_source]],MATCH(Tab_Data_Flows[[#This Row],[Name(EN)]],Tab_Def_Flows[Name(EN)],0),13)</f>
        <v>0</v>
      </c>
      <c r="AD144" s="10" t="str">
        <f>IF(J144="Yes",AA144*Tab_Data_Flows[[#This Row],[WC_'[%']]],"N.A.")</f>
        <v>N.A.</v>
      </c>
      <c r="AE144" s="10" t="str">
        <f>Tab_Data_Flows[[#This Row],[UoM_Flow_Py]]</f>
        <v>Mg</v>
      </c>
      <c r="AF144" s="193">
        <f>INDEX(Tab_Def_Flows[[Flow_ID]:[CC_DM_source]],MATCH(Tab_Data_Flows[[#This Row],[Name(EN)]],Tab_Def_Flows[Name(EN)],0),15)</f>
        <v>0</v>
      </c>
      <c r="AG144" s="10" t="str">
        <f>IF(K144="Yes",AF144*Tab_Data_Flows[[#This Row],[Flow_Py]]-AJ260,"N.A.")</f>
        <v>N.A.</v>
      </c>
      <c r="AH144" s="10" t="str">
        <f>Tab_Data_Flows[[#This Row],[UoM_Flow_Py]]</f>
        <v>Mg</v>
      </c>
      <c r="AI144" s="193">
        <f>INDEX(Tab_Def_Flows[[Flow_ID]:[CC_DM_source]],MATCH(Tab_Data_Flows[[#This Row],[Name(EN)]],Tab_Def_Flows[Name(EN)],0),17)</f>
        <v>0</v>
      </c>
      <c r="AJ144" s="10" t="str">
        <f>IF(L144="Yes",AI144*Tab_Data_Flows[[#This Row],[Flow_Py]]*Tab_Data_Flows[[#This Row],[DM_'[%']]],"N.A.")</f>
        <v>N.A.</v>
      </c>
      <c r="AK144" s="10" t="str">
        <f>Tab_Data_Flows[[#This Row],[UoM_Flow_Py]]</f>
        <v>Mg</v>
      </c>
    </row>
    <row r="145" spans="1:37" x14ac:dyDescent="0.25">
      <c r="A145" s="17">
        <f t="shared" si="4"/>
        <v>144</v>
      </c>
      <c r="B145" s="10" t="str">
        <f>_xlfn.XLOOKUP(C145,Tab_Def_Flows[Name(EN)],Tab_Def_Flows[Flow_ID],,0,)</f>
        <v>N.A.</v>
      </c>
      <c r="C145" s="12" t="s">
        <v>35</v>
      </c>
      <c r="D145" s="10"/>
      <c r="E145" s="10">
        <f>_xlfn.XLOOKUP(C145,Tab_Def_Flows[Name(EN)],Tab_Def_Flows[Output_Process],,0,)</f>
        <v>0</v>
      </c>
      <c r="F145" s="10">
        <f>_xlfn.XLOOKUP(C145,Tab_Def_Flows[Name(EN)],Tab_Def_Flows[Process_ID_O],,0,)</f>
        <v>0</v>
      </c>
      <c r="G145" s="10">
        <f>_xlfn.XLOOKUP(C145,Tab_Def_Flows[Name(EN)],Tab_Def_Flows[Input_Process],,0,)</f>
        <v>0</v>
      </c>
      <c r="H145" s="18">
        <f>_xlfn.XLOOKUP(C145,Tab_Def_Flows[Name(EN)],Tab_Def_Flows[Process_ID_I],,0,)</f>
        <v>0</v>
      </c>
      <c r="I145" s="10" t="e">
        <f>_xlfn.XLOOKUP(C145,Tab_Def_Flows[Name(EN)],#REF!,,0,)</f>
        <v>#REF!</v>
      </c>
      <c r="J145" s="10">
        <f>_xlfn.XLOOKUP(C145,Tab_Def_Flows[Name(EN)],Tab_Def_Flows[WC?],,0,)</f>
        <v>0</v>
      </c>
      <c r="K145" s="10">
        <f>_xlfn.XLOOKUP(C145,Tab_Def_Flows[Name(EN)],Tab_Def_Flows[DM?],,0,)</f>
        <v>0</v>
      </c>
      <c r="L145" s="10">
        <f>_xlfn.XLOOKUP(C145,Tab_Def_Flows[Name(EN)],Tab_Def_Flows[CC?],,0,)</f>
        <v>0</v>
      </c>
      <c r="M145" s="12"/>
      <c r="N145" s="12"/>
      <c r="O145" s="50"/>
      <c r="P145" s="12"/>
      <c r="Q145" s="12"/>
      <c r="R145" s="12" t="e">
        <f>INDEX(#REF!,MATCH(Tab_Data_Flows[[#This Row],[Name(EN)]],#REF!,0),12)</f>
        <v>#REF!</v>
      </c>
      <c r="S145" s="12" t="e">
        <f>MATCH(Tab_Data_Flows[[#This Row],[Name(EN)]],#REF!,0)</f>
        <v>#REF!</v>
      </c>
      <c r="T145" s="12"/>
      <c r="U145" s="12"/>
      <c r="V145" s="12"/>
      <c r="W145" s="12"/>
      <c r="X145" s="12" t="s">
        <v>8</v>
      </c>
      <c r="Y145" s="12"/>
      <c r="Z145" s="12"/>
      <c r="AA145" s="36">
        <f t="shared" si="5"/>
        <v>0</v>
      </c>
      <c r="AB145" s="12" t="s">
        <v>283</v>
      </c>
      <c r="AC145" s="193">
        <f>INDEX(Tab_Def_Flows[[Flow_ID]:[CC_DM_source]],MATCH(Tab_Data_Flows[[#This Row],[Name(EN)]],Tab_Def_Flows[Name(EN)],0),13)</f>
        <v>0</v>
      </c>
      <c r="AD145" s="10" t="str">
        <f>IF(J145="Yes",AA145*Tab_Data_Flows[[#This Row],[WC_'[%']]],"N.A.")</f>
        <v>N.A.</v>
      </c>
      <c r="AE145" s="10" t="str">
        <f>Tab_Data_Flows[[#This Row],[UoM_Flow_Py]]</f>
        <v>Mg</v>
      </c>
      <c r="AF145" s="193">
        <f>INDEX(Tab_Def_Flows[[Flow_ID]:[CC_DM_source]],MATCH(Tab_Data_Flows[[#This Row],[Name(EN)]],Tab_Def_Flows[Name(EN)],0),15)</f>
        <v>0</v>
      </c>
      <c r="AG145" s="10" t="str">
        <f>IF(K145="Yes",AF145*Tab_Data_Flows[[#This Row],[Flow_Py]]-AJ261,"N.A.")</f>
        <v>N.A.</v>
      </c>
      <c r="AH145" s="10" t="str">
        <f>Tab_Data_Flows[[#This Row],[UoM_Flow_Py]]</f>
        <v>Mg</v>
      </c>
      <c r="AI145" s="193">
        <f>INDEX(Tab_Def_Flows[[Flow_ID]:[CC_DM_source]],MATCH(Tab_Data_Flows[[#This Row],[Name(EN)]],Tab_Def_Flows[Name(EN)],0),17)</f>
        <v>0</v>
      </c>
      <c r="AJ145" s="10" t="str">
        <f>IF(L145="Yes",AI145*Tab_Data_Flows[[#This Row],[Flow_Py]]*Tab_Data_Flows[[#This Row],[DM_'[%']]],"N.A.")</f>
        <v>N.A.</v>
      </c>
      <c r="AK145" s="10" t="str">
        <f>Tab_Data_Flows[[#This Row],[UoM_Flow_Py]]</f>
        <v>Mg</v>
      </c>
    </row>
    <row r="146" spans="1:37" x14ac:dyDescent="0.25">
      <c r="A146" s="17">
        <f t="shared" si="4"/>
        <v>145</v>
      </c>
      <c r="B146" s="10" t="str">
        <f>_xlfn.XLOOKUP(C146,Tab_Def_Flows[Name(EN)],Tab_Def_Flows[Flow_ID],,0,)</f>
        <v>N.A.</v>
      </c>
      <c r="C146" s="12" t="s">
        <v>35</v>
      </c>
      <c r="D146" s="10"/>
      <c r="E146" s="10">
        <f>_xlfn.XLOOKUP(C146,Tab_Def_Flows[Name(EN)],Tab_Def_Flows[Output_Process],,0,)</f>
        <v>0</v>
      </c>
      <c r="F146" s="10">
        <f>_xlfn.XLOOKUP(C146,Tab_Def_Flows[Name(EN)],Tab_Def_Flows[Process_ID_O],,0,)</f>
        <v>0</v>
      </c>
      <c r="G146" s="10">
        <f>_xlfn.XLOOKUP(C146,Tab_Def_Flows[Name(EN)],Tab_Def_Flows[Input_Process],,0,)</f>
        <v>0</v>
      </c>
      <c r="H146" s="18">
        <f>_xlfn.XLOOKUP(C146,Tab_Def_Flows[Name(EN)],Tab_Def_Flows[Process_ID_I],,0,)</f>
        <v>0</v>
      </c>
      <c r="I146" s="10" t="e">
        <f>_xlfn.XLOOKUP(C146,Tab_Def_Flows[Name(EN)],#REF!,,0,)</f>
        <v>#REF!</v>
      </c>
      <c r="J146" s="10">
        <f>_xlfn.XLOOKUP(C146,Tab_Def_Flows[Name(EN)],Tab_Def_Flows[WC?],,0,)</f>
        <v>0</v>
      </c>
      <c r="K146" s="10">
        <f>_xlfn.XLOOKUP(C146,Tab_Def_Flows[Name(EN)],Tab_Def_Flows[DM?],,0,)</f>
        <v>0</v>
      </c>
      <c r="L146" s="10">
        <f>_xlfn.XLOOKUP(C146,Tab_Def_Flows[Name(EN)],Tab_Def_Flows[CC?],,0,)</f>
        <v>0</v>
      </c>
      <c r="M146" s="12"/>
      <c r="N146" s="12"/>
      <c r="O146" s="50"/>
      <c r="P146" s="12"/>
      <c r="Q146" s="12"/>
      <c r="R146" s="12" t="e">
        <f>INDEX(#REF!,MATCH(Tab_Data_Flows[[#This Row],[Name(EN)]],#REF!,0),12)</f>
        <v>#REF!</v>
      </c>
      <c r="S146" s="12" t="e">
        <f>MATCH(Tab_Data_Flows[[#This Row],[Name(EN)]],#REF!,0)</f>
        <v>#REF!</v>
      </c>
      <c r="T146" s="12"/>
      <c r="U146" s="12"/>
      <c r="V146" s="12"/>
      <c r="W146" s="12"/>
      <c r="X146" s="12" t="s">
        <v>8</v>
      </c>
      <c r="Y146" s="12"/>
      <c r="Z146" s="12"/>
      <c r="AA146" s="36">
        <f t="shared" si="5"/>
        <v>0</v>
      </c>
      <c r="AB146" s="12" t="s">
        <v>283</v>
      </c>
      <c r="AC146" s="193">
        <f>INDEX(Tab_Def_Flows[[Flow_ID]:[CC_DM_source]],MATCH(Tab_Data_Flows[[#This Row],[Name(EN)]],Tab_Def_Flows[Name(EN)],0),13)</f>
        <v>0</v>
      </c>
      <c r="AD146" s="10" t="str">
        <f>IF(J146="Yes",AA146*Tab_Data_Flows[[#This Row],[WC_'[%']]],"N.A.")</f>
        <v>N.A.</v>
      </c>
      <c r="AE146" s="10" t="str">
        <f>Tab_Data_Flows[[#This Row],[UoM_Flow_Py]]</f>
        <v>Mg</v>
      </c>
      <c r="AF146" s="193">
        <f>INDEX(Tab_Def_Flows[[Flow_ID]:[CC_DM_source]],MATCH(Tab_Data_Flows[[#This Row],[Name(EN)]],Tab_Def_Flows[Name(EN)],0),15)</f>
        <v>0</v>
      </c>
      <c r="AG146" s="10" t="str">
        <f>IF(K146="Yes",AF146*Tab_Data_Flows[[#This Row],[Flow_Py]]-AJ262,"N.A.")</f>
        <v>N.A.</v>
      </c>
      <c r="AH146" s="10" t="str">
        <f>Tab_Data_Flows[[#This Row],[UoM_Flow_Py]]</f>
        <v>Mg</v>
      </c>
      <c r="AI146" s="193">
        <f>INDEX(Tab_Def_Flows[[Flow_ID]:[CC_DM_source]],MATCH(Tab_Data_Flows[[#This Row],[Name(EN)]],Tab_Def_Flows[Name(EN)],0),17)</f>
        <v>0</v>
      </c>
      <c r="AJ146" s="10" t="str">
        <f>IF(L146="Yes",AI146*Tab_Data_Flows[[#This Row],[Flow_Py]]*Tab_Data_Flows[[#This Row],[DM_'[%']]],"N.A.")</f>
        <v>N.A.</v>
      </c>
      <c r="AK146" s="10" t="str">
        <f>Tab_Data_Flows[[#This Row],[UoM_Flow_Py]]</f>
        <v>Mg</v>
      </c>
    </row>
    <row r="147" spans="1:37" x14ac:dyDescent="0.25">
      <c r="A147" s="17">
        <f t="shared" si="4"/>
        <v>146</v>
      </c>
      <c r="B147" s="10" t="str">
        <f>_xlfn.XLOOKUP(C147,Tab_Def_Flows[Name(EN)],Tab_Def_Flows[Flow_ID],,0,)</f>
        <v>N.A.</v>
      </c>
      <c r="C147" s="12" t="s">
        <v>35</v>
      </c>
      <c r="D147" s="10">
        <f>_xlfn.XLOOKUP(C147,Tab_Def_Flows[Name(EN)],Tab_Def_Flows[Type_Biomass],,0,)</f>
        <v>0</v>
      </c>
      <c r="E147" s="10">
        <f>_xlfn.XLOOKUP(C147,Tab_Def_Flows[Name(EN)],Tab_Def_Flows[Output_Process],,0,)</f>
        <v>0</v>
      </c>
      <c r="F147" s="10">
        <f>_xlfn.XLOOKUP(C147,Tab_Def_Flows[Name(EN)],Tab_Def_Flows[Process_ID_O],,0,)</f>
        <v>0</v>
      </c>
      <c r="G147" s="10">
        <f>_xlfn.XLOOKUP(C147,Tab_Def_Flows[Name(EN)],Tab_Def_Flows[Input_Process],,0,)</f>
        <v>0</v>
      </c>
      <c r="H147" s="18">
        <f>_xlfn.XLOOKUP(C147,Tab_Def_Flows[Name(EN)],Tab_Def_Flows[Process_ID_I],,0,)</f>
        <v>0</v>
      </c>
      <c r="I147" s="18" t="e">
        <f>_xlfn.XLOOKUP(C147,Tab_Def_Flows[Name(EN)],#REF!,,0,)</f>
        <v>#REF!</v>
      </c>
      <c r="J147" s="18">
        <f>_xlfn.XLOOKUP(C147,Tab_Def_Flows[Name(EN)],Tab_Def_Flows[WC?],,0,)</f>
        <v>0</v>
      </c>
      <c r="K147" s="18">
        <f>_xlfn.XLOOKUP(C147,Tab_Def_Flows[Name(EN)],Tab_Def_Flows[DM?],,0,)</f>
        <v>0</v>
      </c>
      <c r="L147" s="18">
        <f>_xlfn.XLOOKUP(C147,Tab_Def_Flows[Name(EN)],Tab_Def_Flows[CC?],,0,)</f>
        <v>0</v>
      </c>
      <c r="M147" s="12"/>
      <c r="N147" s="12" t="s">
        <v>105</v>
      </c>
      <c r="O147" s="50"/>
      <c r="P147" s="12"/>
      <c r="Q147" s="12"/>
      <c r="R147" s="12"/>
      <c r="S147" s="12"/>
      <c r="T147" s="12"/>
      <c r="U147" s="12"/>
      <c r="V147" s="12"/>
      <c r="W147" s="12"/>
      <c r="X147" s="12" t="s">
        <v>8</v>
      </c>
      <c r="Y147" s="43"/>
      <c r="Z147" s="12"/>
      <c r="AA147" s="36">
        <f t="shared" si="5"/>
        <v>0</v>
      </c>
      <c r="AB147" s="12" t="s">
        <v>283</v>
      </c>
      <c r="AC147" s="193">
        <f>INDEX(Tab_Def_Flows[[Flow_ID]:[CC_DM_source]],MATCH(Tab_Data_Flows[[#This Row],[Name(EN)]],Tab_Def_Flows[Name(EN)],0),13)</f>
        <v>0</v>
      </c>
      <c r="AD147" s="10" t="str">
        <f>IF(J147="Yes",AA147*Tab_Data_Flows[[#This Row],[WC_'[%']]],"N.A.")</f>
        <v>N.A.</v>
      </c>
      <c r="AE147" s="10" t="str">
        <f>Tab_Data_Flows[[#This Row],[UoM_Flow_Py]]</f>
        <v>Mg</v>
      </c>
      <c r="AF147" s="193">
        <f>INDEX(Tab_Def_Flows[[Flow_ID]:[CC_DM_source]],MATCH(Tab_Data_Flows[[#This Row],[Name(EN)]],Tab_Def_Flows[Name(EN)],0),15)</f>
        <v>0</v>
      </c>
      <c r="AG147" s="10" t="str">
        <f>IF(K147="Yes",AF147*Tab_Data_Flows[[#This Row],[Flow_Py]],"N.A.")</f>
        <v>N.A.</v>
      </c>
      <c r="AH147" s="10" t="str">
        <f>Tab_Data_Flows[[#This Row],[UoM_Flow_Py]]</f>
        <v>Mg</v>
      </c>
      <c r="AI147" s="193">
        <f>INDEX(Tab_Def_Flows[[Flow_ID]:[CC_DM_source]],MATCH(Tab_Data_Flows[[#This Row],[Name(EN)]],Tab_Def_Flows[Name(EN)],0),17)</f>
        <v>0</v>
      </c>
      <c r="AJ147" s="10" t="str">
        <f>IF(L147="Yes",AI147*Tab_Data_Flows[[#This Row],[Flow_Py]]*Tab_Data_Flows[[#This Row],[DM_'[%']]],"N.A.")</f>
        <v>N.A.</v>
      </c>
      <c r="AK147" s="10" t="str">
        <f>Tab_Data_Flows[[#This Row],[UoM_Flow_Py]]</f>
        <v>Mg</v>
      </c>
    </row>
    <row r="148" spans="1:37" x14ac:dyDescent="0.25">
      <c r="A148" s="17">
        <f t="shared" si="4"/>
        <v>147</v>
      </c>
      <c r="B148" s="10" t="str">
        <f>_xlfn.XLOOKUP(C148,Tab_Def_Flows[Name(EN)],Tab_Def_Flows[Flow_ID],,0,)</f>
        <v>N.A.</v>
      </c>
      <c r="C148" s="12" t="s">
        <v>35</v>
      </c>
      <c r="D148" s="10">
        <f>_xlfn.XLOOKUP(C148,Tab_Def_Flows[Name(EN)],Tab_Def_Flows[Type_Biomass],,0,)</f>
        <v>0</v>
      </c>
      <c r="E148" s="10">
        <f>_xlfn.XLOOKUP(C148,Tab_Def_Flows[Name(EN)],Tab_Def_Flows[Output_Process],,0,)</f>
        <v>0</v>
      </c>
      <c r="F148" s="10">
        <f>_xlfn.XLOOKUP(C148,Tab_Def_Flows[Name(EN)],Tab_Def_Flows[Process_ID_O],,0,)</f>
        <v>0</v>
      </c>
      <c r="G148" s="10">
        <f>_xlfn.XLOOKUP(C148,Tab_Def_Flows[Name(EN)],Tab_Def_Flows[Input_Process],,0,)</f>
        <v>0</v>
      </c>
      <c r="H148" s="18">
        <f>_xlfn.XLOOKUP(C148,Tab_Def_Flows[Name(EN)],Tab_Def_Flows[Process_ID_I],,0,)</f>
        <v>0</v>
      </c>
      <c r="I148" s="18" t="e">
        <f>_xlfn.XLOOKUP(C148,Tab_Def_Flows[Name(EN)],#REF!,,0,)</f>
        <v>#REF!</v>
      </c>
      <c r="J148" s="18">
        <f>_xlfn.XLOOKUP(C148,Tab_Def_Flows[Name(EN)],Tab_Def_Flows[WC?],,0,)</f>
        <v>0</v>
      </c>
      <c r="K148" s="18">
        <f>_xlfn.XLOOKUP(C148,Tab_Def_Flows[Name(EN)],Tab_Def_Flows[DM?],,0,)</f>
        <v>0</v>
      </c>
      <c r="L148" s="18">
        <f>_xlfn.XLOOKUP(C148,Tab_Def_Flows[Name(EN)],Tab_Def_Flows[CC?],,0,)</f>
        <v>0</v>
      </c>
      <c r="M148" s="12"/>
      <c r="N148" s="12" t="s">
        <v>105</v>
      </c>
      <c r="O148" s="50"/>
      <c r="P148" s="12"/>
      <c r="Q148" s="12"/>
      <c r="R148" s="12"/>
      <c r="S148" s="12"/>
      <c r="T148" s="12"/>
      <c r="U148" s="12"/>
      <c r="V148" s="12"/>
      <c r="W148" s="12"/>
      <c r="X148" s="12" t="s">
        <v>8</v>
      </c>
      <c r="Y148" s="43"/>
      <c r="Z148" s="12"/>
      <c r="AA148" s="36">
        <f t="shared" si="5"/>
        <v>0</v>
      </c>
      <c r="AB148" s="12" t="s">
        <v>283</v>
      </c>
      <c r="AC148" s="193">
        <f>INDEX(Tab_Def_Flows[[Flow_ID]:[CC_DM_source]],MATCH(Tab_Data_Flows[[#This Row],[Name(EN)]],Tab_Def_Flows[Name(EN)],0),13)</f>
        <v>0</v>
      </c>
      <c r="AD148" s="10" t="str">
        <f>IF(J148="Yes",AA148*Tab_Data_Flows[[#This Row],[WC_'[%']]],"N.A.")</f>
        <v>N.A.</v>
      </c>
      <c r="AE148" s="10" t="str">
        <f>Tab_Data_Flows[[#This Row],[UoM_Flow_Py]]</f>
        <v>Mg</v>
      </c>
      <c r="AF148" s="193">
        <f>INDEX(Tab_Def_Flows[[Flow_ID]:[CC_DM_source]],MATCH(Tab_Data_Flows[[#This Row],[Name(EN)]],Tab_Def_Flows[Name(EN)],0),15)</f>
        <v>0</v>
      </c>
      <c r="AG148" s="10" t="str">
        <f>IF(K148="Yes",AF148*Tab_Data_Flows[[#This Row],[Flow_Py]]-AJ264,"N.A.")</f>
        <v>N.A.</v>
      </c>
      <c r="AH148" s="10" t="str">
        <f>Tab_Data_Flows[[#This Row],[UoM_Flow_Py]]</f>
        <v>Mg</v>
      </c>
      <c r="AI148" s="193">
        <f>INDEX(Tab_Def_Flows[[Flow_ID]:[CC_DM_source]],MATCH(Tab_Data_Flows[[#This Row],[Name(EN)]],Tab_Def_Flows[Name(EN)],0),17)</f>
        <v>0</v>
      </c>
      <c r="AJ148" s="10" t="str">
        <f>IF(L148="Yes",AI148*Tab_Data_Flows[[#This Row],[Flow_Py]]*Tab_Data_Flows[[#This Row],[DM_'[%']]],"N.A.")</f>
        <v>N.A.</v>
      </c>
      <c r="AK148" s="10" t="str">
        <f>Tab_Data_Flows[[#This Row],[UoM_Flow_Py]]</f>
        <v>Mg</v>
      </c>
    </row>
    <row r="149" spans="1:37" x14ac:dyDescent="0.25">
      <c r="A149" s="17">
        <f t="shared" si="4"/>
        <v>148</v>
      </c>
      <c r="B149" s="10" t="str">
        <f>_xlfn.XLOOKUP(C149,Tab_Def_Flows[Name(EN)],Tab_Def_Flows[Flow_ID],,0,)</f>
        <v>N.A.</v>
      </c>
      <c r="C149" s="12" t="s">
        <v>35</v>
      </c>
      <c r="D149" s="10">
        <f>_xlfn.XLOOKUP(C149,Tab_Def_Flows[Name(EN)],Tab_Def_Flows[Type_Biomass],,0,)</f>
        <v>0</v>
      </c>
      <c r="E149" s="10">
        <f>_xlfn.XLOOKUP(C149,Tab_Def_Flows[Name(EN)],Tab_Def_Flows[Output_Process],,0,)</f>
        <v>0</v>
      </c>
      <c r="F149" s="10">
        <f>_xlfn.XLOOKUP(C149,Tab_Def_Flows[Name(EN)],Tab_Def_Flows[Process_ID_O],,0,)</f>
        <v>0</v>
      </c>
      <c r="G149" s="10">
        <f>_xlfn.XLOOKUP(C149,Tab_Def_Flows[Name(EN)],Tab_Def_Flows[Input_Process],,0,)</f>
        <v>0</v>
      </c>
      <c r="H149" s="18">
        <f>_xlfn.XLOOKUP(C149,Tab_Def_Flows[Name(EN)],Tab_Def_Flows[Process_ID_I],,0,)</f>
        <v>0</v>
      </c>
      <c r="I149" s="18" t="e">
        <f>_xlfn.XLOOKUP(C149,Tab_Def_Flows[Name(EN)],#REF!,,0,)</f>
        <v>#REF!</v>
      </c>
      <c r="J149" s="18">
        <f>_xlfn.XLOOKUP(C149,Tab_Def_Flows[Name(EN)],Tab_Def_Flows[WC?],,0,)</f>
        <v>0</v>
      </c>
      <c r="K149" s="18">
        <f>_xlfn.XLOOKUP(C149,Tab_Def_Flows[Name(EN)],Tab_Def_Flows[DM?],,0,)</f>
        <v>0</v>
      </c>
      <c r="L149" s="18">
        <f>_xlfn.XLOOKUP(C149,Tab_Def_Flows[Name(EN)],Tab_Def_Flows[CC?],,0,)</f>
        <v>0</v>
      </c>
      <c r="M149" s="12"/>
      <c r="N149" s="12" t="s">
        <v>105</v>
      </c>
      <c r="O149" s="50"/>
      <c r="P149" s="12"/>
      <c r="Q149" s="12"/>
      <c r="R149" s="12"/>
      <c r="S149" s="12"/>
      <c r="T149" s="12"/>
      <c r="U149" s="12"/>
      <c r="V149" s="12"/>
      <c r="W149" s="12"/>
      <c r="X149" s="12" t="s">
        <v>8</v>
      </c>
      <c r="Y149" s="43"/>
      <c r="Z149" s="12"/>
      <c r="AA149" s="36">
        <f t="shared" si="5"/>
        <v>0</v>
      </c>
      <c r="AB149" s="12" t="s">
        <v>283</v>
      </c>
      <c r="AC149" s="193">
        <f>INDEX(Tab_Def_Flows[[Flow_ID]:[CC_DM_source]],MATCH(Tab_Data_Flows[[#This Row],[Name(EN)]],Tab_Def_Flows[Name(EN)],0),13)</f>
        <v>0</v>
      </c>
      <c r="AD149" s="10" t="str">
        <f>IF(J149="Yes",AA149*Tab_Data_Flows[[#This Row],[WC_'[%']]],"N.A.")</f>
        <v>N.A.</v>
      </c>
      <c r="AE149" s="10" t="str">
        <f>Tab_Data_Flows[[#This Row],[UoM_Flow_Py]]</f>
        <v>Mg</v>
      </c>
      <c r="AF149" s="193">
        <f>INDEX(Tab_Def_Flows[[Flow_ID]:[CC_DM_source]],MATCH(Tab_Data_Flows[[#This Row],[Name(EN)]],Tab_Def_Flows[Name(EN)],0),15)</f>
        <v>0</v>
      </c>
      <c r="AG149" s="10" t="str">
        <f>IF(K149="Yes",AF149*Tab_Data_Flows[[#This Row],[Flow_Py]]-AJ265,"N.A.")</f>
        <v>N.A.</v>
      </c>
      <c r="AH149" s="10" t="str">
        <f>Tab_Data_Flows[[#This Row],[UoM_Flow_Py]]</f>
        <v>Mg</v>
      </c>
      <c r="AI149" s="193">
        <f>INDEX(Tab_Def_Flows[[Flow_ID]:[CC_DM_source]],MATCH(Tab_Data_Flows[[#This Row],[Name(EN)]],Tab_Def_Flows[Name(EN)],0),17)</f>
        <v>0</v>
      </c>
      <c r="AJ149" s="10" t="str">
        <f>IF(L149="Yes",AI149*Tab_Data_Flows[[#This Row],[Flow_Py]]*Tab_Data_Flows[[#This Row],[DM_'[%']]],"N.A.")</f>
        <v>N.A.</v>
      </c>
      <c r="AK149" s="10" t="str">
        <f>Tab_Data_Flows[[#This Row],[UoM_Flow_Py]]</f>
        <v>Mg</v>
      </c>
    </row>
    <row r="150" spans="1:37" x14ac:dyDescent="0.25">
      <c r="A150" s="17">
        <f t="shared" si="4"/>
        <v>149</v>
      </c>
      <c r="B150" s="10" t="str">
        <f>_xlfn.XLOOKUP(C150,Tab_Def_Flows[Name(EN)],Tab_Def_Flows[Flow_ID],,0,)</f>
        <v>N.A.</v>
      </c>
      <c r="C150" s="12" t="s">
        <v>35</v>
      </c>
      <c r="D150" s="10">
        <f>_xlfn.XLOOKUP(C150,Tab_Def_Flows[Name(EN)],Tab_Def_Flows[Type_Biomass],,0,)</f>
        <v>0</v>
      </c>
      <c r="E150" s="10">
        <f>_xlfn.XLOOKUP(C150,Tab_Def_Flows[Name(EN)],Tab_Def_Flows[Output_Process],,0,)</f>
        <v>0</v>
      </c>
      <c r="F150" s="10">
        <f>_xlfn.XLOOKUP(C150,Tab_Def_Flows[Name(EN)],Tab_Def_Flows[Process_ID_O],,0,)</f>
        <v>0</v>
      </c>
      <c r="G150" s="10">
        <f>_xlfn.XLOOKUP(C150,Tab_Def_Flows[Name(EN)],Tab_Def_Flows[Input_Process],,0,)</f>
        <v>0</v>
      </c>
      <c r="H150" s="18">
        <f>_xlfn.XLOOKUP(C150,Tab_Def_Flows[Name(EN)],Tab_Def_Flows[Process_ID_I],,0,)</f>
        <v>0</v>
      </c>
      <c r="I150" s="18" t="e">
        <f>_xlfn.XLOOKUP(C150,Tab_Def_Flows[Name(EN)],#REF!,,0,)</f>
        <v>#REF!</v>
      </c>
      <c r="J150" s="18">
        <f>_xlfn.XLOOKUP(C150,Tab_Def_Flows[Name(EN)],Tab_Def_Flows[WC?],,0,)</f>
        <v>0</v>
      </c>
      <c r="K150" s="18">
        <f>_xlfn.XLOOKUP(C150,Tab_Def_Flows[Name(EN)],Tab_Def_Flows[DM?],,0,)</f>
        <v>0</v>
      </c>
      <c r="L150" s="18">
        <f>_xlfn.XLOOKUP(C150,Tab_Def_Flows[Name(EN)],Tab_Def_Flows[CC?],,0,)</f>
        <v>0</v>
      </c>
      <c r="M150" s="12"/>
      <c r="N150" s="12" t="s">
        <v>105</v>
      </c>
      <c r="O150" s="50"/>
      <c r="P150" s="12"/>
      <c r="Q150" s="12"/>
      <c r="R150" s="12"/>
      <c r="S150" s="12"/>
      <c r="T150" s="12"/>
      <c r="U150" s="12"/>
      <c r="V150" s="12"/>
      <c r="W150" s="12"/>
      <c r="X150" s="12" t="s">
        <v>8</v>
      </c>
      <c r="Y150" s="43"/>
      <c r="Z150" s="12"/>
      <c r="AA150" s="36">
        <f t="shared" si="5"/>
        <v>0</v>
      </c>
      <c r="AB150" s="12" t="s">
        <v>283</v>
      </c>
      <c r="AC150" s="193">
        <f>INDEX(Tab_Def_Flows[[Flow_ID]:[CC_DM_source]],MATCH(Tab_Data_Flows[[#This Row],[Name(EN)]],Tab_Def_Flows[Name(EN)],0),13)</f>
        <v>0</v>
      </c>
      <c r="AD150" s="10" t="str">
        <f>IF(J150="Yes",AA150*Tab_Data_Flows[[#This Row],[WC_'[%']]],"N.A.")</f>
        <v>N.A.</v>
      </c>
      <c r="AE150" s="10" t="str">
        <f>Tab_Data_Flows[[#This Row],[UoM_Flow_Py]]</f>
        <v>Mg</v>
      </c>
      <c r="AF150" s="193">
        <f>INDEX(Tab_Def_Flows[[Flow_ID]:[CC_DM_source]],MATCH(Tab_Data_Flows[[#This Row],[Name(EN)]],Tab_Def_Flows[Name(EN)],0),15)</f>
        <v>0</v>
      </c>
      <c r="AG150" s="10" t="str">
        <f>IF(K150="Yes",AF150*Tab_Data_Flows[[#This Row],[Flow_Py]]-AJ266,"N.A.")</f>
        <v>N.A.</v>
      </c>
      <c r="AH150" s="10" t="str">
        <f>Tab_Data_Flows[[#This Row],[UoM_Flow_Py]]</f>
        <v>Mg</v>
      </c>
      <c r="AI150" s="193">
        <f>INDEX(Tab_Def_Flows[[Flow_ID]:[CC_DM_source]],MATCH(Tab_Data_Flows[[#This Row],[Name(EN)]],Tab_Def_Flows[Name(EN)],0),17)</f>
        <v>0</v>
      </c>
      <c r="AJ150" s="10" t="str">
        <f>IF(L150="Yes",AI150*Tab_Data_Flows[[#This Row],[Flow_Py]]*Tab_Data_Flows[[#This Row],[DM_'[%']]],"N.A.")</f>
        <v>N.A.</v>
      </c>
      <c r="AK150" s="10" t="str">
        <f>Tab_Data_Flows[[#This Row],[UoM_Flow_Py]]</f>
        <v>Mg</v>
      </c>
    </row>
    <row r="151" spans="1:37" x14ac:dyDescent="0.25">
      <c r="A151" s="17">
        <f t="shared" si="4"/>
        <v>150</v>
      </c>
      <c r="B151" s="10" t="str">
        <f>_xlfn.XLOOKUP(C151,Tab_Def_Flows[Name(EN)],Tab_Def_Flows[Flow_ID],,0,)</f>
        <v>N.A.</v>
      </c>
      <c r="C151" s="12" t="s">
        <v>35</v>
      </c>
      <c r="D151" s="10">
        <f>_xlfn.XLOOKUP(C151,Tab_Def_Flows[Name(EN)],Tab_Def_Flows[Type_Biomass],,0,)</f>
        <v>0</v>
      </c>
      <c r="E151" s="10">
        <f>_xlfn.XLOOKUP(C151,Tab_Def_Flows[Name(EN)],Tab_Def_Flows[Output_Process],,0,)</f>
        <v>0</v>
      </c>
      <c r="F151" s="10">
        <f>_xlfn.XLOOKUP(C151,Tab_Def_Flows[Name(EN)],Tab_Def_Flows[Process_ID_O],,0,)</f>
        <v>0</v>
      </c>
      <c r="G151" s="10">
        <f>_xlfn.XLOOKUP(C151,Tab_Def_Flows[Name(EN)],Tab_Def_Flows[Input_Process],,0,)</f>
        <v>0</v>
      </c>
      <c r="H151" s="18">
        <f>_xlfn.XLOOKUP(C151,Tab_Def_Flows[Name(EN)],Tab_Def_Flows[Process_ID_I],,0,)</f>
        <v>0</v>
      </c>
      <c r="I151" s="18" t="e">
        <f>_xlfn.XLOOKUP(C151,Tab_Def_Flows[Name(EN)],#REF!,,0,)</f>
        <v>#REF!</v>
      </c>
      <c r="J151" s="18">
        <f>_xlfn.XLOOKUP(C151,Tab_Def_Flows[Name(EN)],Tab_Def_Flows[WC?],,0,)</f>
        <v>0</v>
      </c>
      <c r="K151" s="18">
        <f>_xlfn.XLOOKUP(C151,Tab_Def_Flows[Name(EN)],Tab_Def_Flows[DM?],,0,)</f>
        <v>0</v>
      </c>
      <c r="L151" s="18">
        <f>_xlfn.XLOOKUP(C151,Tab_Def_Flows[Name(EN)],Tab_Def_Flows[CC?],,0,)</f>
        <v>0</v>
      </c>
      <c r="M151" s="12"/>
      <c r="N151" s="12" t="s">
        <v>105</v>
      </c>
      <c r="O151" s="50"/>
      <c r="P151" s="12"/>
      <c r="Q151" s="12"/>
      <c r="R151" s="12"/>
      <c r="S151" s="12"/>
      <c r="T151" s="12"/>
      <c r="U151" s="12"/>
      <c r="V151" s="12"/>
      <c r="W151" s="12"/>
      <c r="X151" s="12" t="s">
        <v>8</v>
      </c>
      <c r="Y151" s="43"/>
      <c r="Z151" s="12"/>
      <c r="AA151" s="36">
        <f t="shared" si="5"/>
        <v>0</v>
      </c>
      <c r="AB151" s="12" t="s">
        <v>283</v>
      </c>
      <c r="AC151" s="193">
        <f>INDEX(Tab_Def_Flows[[Flow_ID]:[CC_DM_source]],MATCH(Tab_Data_Flows[[#This Row],[Name(EN)]],Tab_Def_Flows[Name(EN)],0),13)</f>
        <v>0</v>
      </c>
      <c r="AD151" s="10" t="str">
        <f>IF(J151="Yes",AA151*Tab_Data_Flows[[#This Row],[WC_'[%']]],"N.A.")</f>
        <v>N.A.</v>
      </c>
      <c r="AE151" s="10" t="str">
        <f>Tab_Data_Flows[[#This Row],[UoM_Flow_Py]]</f>
        <v>Mg</v>
      </c>
      <c r="AF151" s="193">
        <f>INDEX(Tab_Def_Flows[[Flow_ID]:[CC_DM_source]],MATCH(Tab_Data_Flows[[#This Row],[Name(EN)]],Tab_Def_Flows[Name(EN)],0),15)</f>
        <v>0</v>
      </c>
      <c r="AG151" s="10" t="str">
        <f>IF(K151="Yes",AF151*Tab_Data_Flows[[#This Row],[Flow_Py]]-AJ267,"N.A.")</f>
        <v>N.A.</v>
      </c>
      <c r="AH151" s="10" t="str">
        <f>Tab_Data_Flows[[#This Row],[UoM_Flow_Py]]</f>
        <v>Mg</v>
      </c>
      <c r="AI151" s="193">
        <f>INDEX(Tab_Def_Flows[[Flow_ID]:[CC_DM_source]],MATCH(Tab_Data_Flows[[#This Row],[Name(EN)]],Tab_Def_Flows[Name(EN)],0),17)</f>
        <v>0</v>
      </c>
      <c r="AJ151" s="10" t="str">
        <f>IF(L151="Yes",AI151*Tab_Data_Flows[[#This Row],[Flow_Py]]*Tab_Data_Flows[[#This Row],[DM_'[%']]],"N.A.")</f>
        <v>N.A.</v>
      </c>
      <c r="AK151" s="10" t="str">
        <f>Tab_Data_Flows[[#This Row],[UoM_Flow_Py]]</f>
        <v>Mg</v>
      </c>
    </row>
    <row r="152" spans="1:37" x14ac:dyDescent="0.25">
      <c r="A152" s="17">
        <f t="shared" si="4"/>
        <v>151</v>
      </c>
      <c r="B152" s="10" t="str">
        <f>_xlfn.XLOOKUP(C152,Tab_Def_Flows[Name(EN)],Tab_Def_Flows[Flow_ID],,0,)</f>
        <v>N.A.</v>
      </c>
      <c r="C152" s="12" t="s">
        <v>35</v>
      </c>
      <c r="D152" s="10">
        <f>_xlfn.XLOOKUP(C152,Tab_Def_Flows[Name(EN)],Tab_Def_Flows[Type_Biomass],,0,)</f>
        <v>0</v>
      </c>
      <c r="E152" s="10">
        <f>_xlfn.XLOOKUP(C152,Tab_Def_Flows[Name(EN)],Tab_Def_Flows[Output_Process],,0,)</f>
        <v>0</v>
      </c>
      <c r="F152" s="10">
        <f>_xlfn.XLOOKUP(C152,Tab_Def_Flows[Name(EN)],Tab_Def_Flows[Process_ID_O],,0,)</f>
        <v>0</v>
      </c>
      <c r="G152" s="10">
        <f>_xlfn.XLOOKUP(C152,Tab_Def_Flows[Name(EN)],Tab_Def_Flows[Input_Process],,0,)</f>
        <v>0</v>
      </c>
      <c r="H152" s="18">
        <f>_xlfn.XLOOKUP(C152,Tab_Def_Flows[Name(EN)],Tab_Def_Flows[Process_ID_I],,0,)</f>
        <v>0</v>
      </c>
      <c r="I152" s="18" t="e">
        <f>_xlfn.XLOOKUP(C152,Tab_Def_Flows[Name(EN)],#REF!,,0,)</f>
        <v>#REF!</v>
      </c>
      <c r="J152" s="18">
        <f>_xlfn.XLOOKUP(C152,Tab_Def_Flows[Name(EN)],Tab_Def_Flows[WC?],,0,)</f>
        <v>0</v>
      </c>
      <c r="K152" s="18">
        <f>_xlfn.XLOOKUP(C152,Tab_Def_Flows[Name(EN)],Tab_Def_Flows[DM?],,0,)</f>
        <v>0</v>
      </c>
      <c r="L152" s="18">
        <f>_xlfn.XLOOKUP(C152,Tab_Def_Flows[Name(EN)],Tab_Def_Flows[CC?],,0,)</f>
        <v>0</v>
      </c>
      <c r="M152" s="12"/>
      <c r="N152" s="12" t="s">
        <v>105</v>
      </c>
      <c r="O152" s="50"/>
      <c r="P152" s="12"/>
      <c r="Q152" s="12"/>
      <c r="R152" s="12"/>
      <c r="S152" s="12"/>
      <c r="T152" s="12"/>
      <c r="U152" s="12"/>
      <c r="V152" s="12"/>
      <c r="W152" s="12"/>
      <c r="X152" s="12" t="s">
        <v>8</v>
      </c>
      <c r="Y152" s="43"/>
      <c r="Z152" s="12"/>
      <c r="AA152" s="36">
        <f t="shared" si="5"/>
        <v>0</v>
      </c>
      <c r="AB152" s="12" t="s">
        <v>283</v>
      </c>
      <c r="AC152" s="193">
        <f>INDEX(Tab_Def_Flows[[Flow_ID]:[CC_DM_source]],MATCH(Tab_Data_Flows[[#This Row],[Name(EN)]],Tab_Def_Flows[Name(EN)],0),13)</f>
        <v>0</v>
      </c>
      <c r="AD152" s="10" t="str">
        <f>IF(J152="Yes",AA152*Tab_Data_Flows[[#This Row],[WC_'[%']]],"N.A.")</f>
        <v>N.A.</v>
      </c>
      <c r="AE152" s="10" t="str">
        <f>Tab_Data_Flows[[#This Row],[UoM_Flow_Py]]</f>
        <v>Mg</v>
      </c>
      <c r="AF152" s="193">
        <f>INDEX(Tab_Def_Flows[[Flow_ID]:[CC_DM_source]],MATCH(Tab_Data_Flows[[#This Row],[Name(EN)]],Tab_Def_Flows[Name(EN)],0),15)</f>
        <v>0</v>
      </c>
      <c r="AG152" s="10" t="str">
        <f>IF(K152="Yes",AF152*Tab_Data_Flows[[#This Row],[Flow_Py]]-AJ268,"N.A.")</f>
        <v>N.A.</v>
      </c>
      <c r="AH152" s="10" t="str">
        <f>Tab_Data_Flows[[#This Row],[UoM_Flow_Py]]</f>
        <v>Mg</v>
      </c>
      <c r="AI152" s="193">
        <f>INDEX(Tab_Def_Flows[[Flow_ID]:[CC_DM_source]],MATCH(Tab_Data_Flows[[#This Row],[Name(EN)]],Tab_Def_Flows[Name(EN)],0),17)</f>
        <v>0</v>
      </c>
      <c r="AJ152" s="10" t="str">
        <f>IF(L152="Yes",AI152*Tab_Data_Flows[[#This Row],[Flow_Py]]*Tab_Data_Flows[[#This Row],[DM_'[%']]],"N.A.")</f>
        <v>N.A.</v>
      </c>
      <c r="AK152" s="10" t="str">
        <f>Tab_Data_Flows[[#This Row],[UoM_Flow_Py]]</f>
        <v>Mg</v>
      </c>
    </row>
    <row r="153" spans="1:37" x14ac:dyDescent="0.25">
      <c r="A153" s="17">
        <f t="shared" si="4"/>
        <v>152</v>
      </c>
      <c r="B153" s="10" t="str">
        <f>_xlfn.XLOOKUP(C153,Tab_Def_Flows[Name(EN)],Tab_Def_Flows[Flow_ID],,0,)</f>
        <v>N.A.</v>
      </c>
      <c r="C153" s="12" t="s">
        <v>35</v>
      </c>
      <c r="D153" s="10">
        <f>_xlfn.XLOOKUP(C153,Tab_Def_Flows[Name(EN)],Tab_Def_Flows[Type_Biomass],,0,)</f>
        <v>0</v>
      </c>
      <c r="E153" s="10">
        <f>_xlfn.XLOOKUP(C153,Tab_Def_Flows[Name(EN)],Tab_Def_Flows[Output_Process],,0,)</f>
        <v>0</v>
      </c>
      <c r="F153" s="10">
        <f>_xlfn.XLOOKUP(C153,Tab_Def_Flows[Name(EN)],Tab_Def_Flows[Process_ID_O],,0,)</f>
        <v>0</v>
      </c>
      <c r="G153" s="10">
        <f>_xlfn.XLOOKUP(C153,Tab_Def_Flows[Name(EN)],Tab_Def_Flows[Input_Process],,0,)</f>
        <v>0</v>
      </c>
      <c r="H153" s="18">
        <f>_xlfn.XLOOKUP(C153,Tab_Def_Flows[Name(EN)],Tab_Def_Flows[Process_ID_I],,0,)</f>
        <v>0</v>
      </c>
      <c r="I153" s="18" t="e">
        <f>_xlfn.XLOOKUP(C153,Tab_Def_Flows[Name(EN)],#REF!,,0,)</f>
        <v>#REF!</v>
      </c>
      <c r="J153" s="18">
        <f>_xlfn.XLOOKUP(C153,Tab_Def_Flows[Name(EN)],Tab_Def_Flows[WC?],,0,)</f>
        <v>0</v>
      </c>
      <c r="K153" s="18">
        <f>_xlfn.XLOOKUP(C153,Tab_Def_Flows[Name(EN)],Tab_Def_Flows[DM?],,0,)</f>
        <v>0</v>
      </c>
      <c r="L153" s="18">
        <f>_xlfn.XLOOKUP(C153,Tab_Def_Flows[Name(EN)],Tab_Def_Flows[CC?],,0,)</f>
        <v>0</v>
      </c>
      <c r="M153" s="12"/>
      <c r="N153" s="12" t="s">
        <v>105</v>
      </c>
      <c r="O153" s="50"/>
      <c r="P153" s="12"/>
      <c r="Q153" s="12"/>
      <c r="R153" s="12"/>
      <c r="S153" s="12"/>
      <c r="T153" s="12"/>
      <c r="U153" s="12"/>
      <c r="V153" s="12"/>
      <c r="W153" s="12"/>
      <c r="X153" s="12" t="s">
        <v>8</v>
      </c>
      <c r="Y153" s="43"/>
      <c r="Z153" s="12"/>
      <c r="AA153" s="36">
        <f t="shared" si="5"/>
        <v>0</v>
      </c>
      <c r="AB153" s="12" t="s">
        <v>283</v>
      </c>
      <c r="AC153" s="193">
        <f>INDEX(Tab_Def_Flows[[Flow_ID]:[CC_DM_source]],MATCH(Tab_Data_Flows[[#This Row],[Name(EN)]],Tab_Def_Flows[Name(EN)],0),13)</f>
        <v>0</v>
      </c>
      <c r="AD153" s="10" t="str">
        <f>IF(J153="Yes",AA153*Tab_Data_Flows[[#This Row],[WC_'[%']]],"N.A.")</f>
        <v>N.A.</v>
      </c>
      <c r="AE153" s="10" t="str">
        <f>Tab_Data_Flows[[#This Row],[UoM_Flow_Py]]</f>
        <v>Mg</v>
      </c>
      <c r="AF153" s="193">
        <f>INDEX(Tab_Def_Flows[[Flow_ID]:[CC_DM_source]],MATCH(Tab_Data_Flows[[#This Row],[Name(EN)]],Tab_Def_Flows[Name(EN)],0),15)</f>
        <v>0</v>
      </c>
      <c r="AG153" s="10" t="str">
        <f>IF(K153="Yes",AF153*Tab_Data_Flows[[#This Row],[Flow_Py]]-AJ269,"N.A.")</f>
        <v>N.A.</v>
      </c>
      <c r="AH153" s="10" t="str">
        <f>Tab_Data_Flows[[#This Row],[UoM_Flow_Py]]</f>
        <v>Mg</v>
      </c>
      <c r="AI153" s="193">
        <f>INDEX(Tab_Def_Flows[[Flow_ID]:[CC_DM_source]],MATCH(Tab_Data_Flows[[#This Row],[Name(EN)]],Tab_Def_Flows[Name(EN)],0),17)</f>
        <v>0</v>
      </c>
      <c r="AJ153" s="10" t="str">
        <f>IF(L153="Yes",AI153*Tab_Data_Flows[[#This Row],[Flow_Py]]*Tab_Data_Flows[[#This Row],[DM_'[%']]],"N.A.")</f>
        <v>N.A.</v>
      </c>
      <c r="AK153" s="10" t="str">
        <f>Tab_Data_Flows[[#This Row],[UoM_Flow_Py]]</f>
        <v>Mg</v>
      </c>
    </row>
    <row r="154" spans="1:37" x14ac:dyDescent="0.25">
      <c r="A154" s="17">
        <f t="shared" si="4"/>
        <v>153</v>
      </c>
      <c r="B154" s="10" t="str">
        <f>_xlfn.XLOOKUP(C154,Tab_Def_Flows[Name(EN)],Tab_Def_Flows[Flow_ID],,0,)</f>
        <v>N.A.</v>
      </c>
      <c r="C154" s="12" t="s">
        <v>35</v>
      </c>
      <c r="D154" s="10">
        <f>_xlfn.XLOOKUP(C154,Tab_Def_Flows[Name(EN)],Tab_Def_Flows[Type_Biomass],,0,)</f>
        <v>0</v>
      </c>
      <c r="E154" s="10">
        <f>_xlfn.XLOOKUP(C154,Tab_Def_Flows[Name(EN)],Tab_Def_Flows[Output_Process],,0,)</f>
        <v>0</v>
      </c>
      <c r="F154" s="10">
        <f>_xlfn.XLOOKUP(C154,Tab_Def_Flows[Name(EN)],Tab_Def_Flows[Process_ID_O],,0,)</f>
        <v>0</v>
      </c>
      <c r="G154" s="10">
        <f>_xlfn.XLOOKUP(C154,Tab_Def_Flows[Name(EN)],Tab_Def_Flows[Input_Process],,0,)</f>
        <v>0</v>
      </c>
      <c r="H154" s="18">
        <f>_xlfn.XLOOKUP(C154,Tab_Def_Flows[Name(EN)],Tab_Def_Flows[Process_ID_I],,0,)</f>
        <v>0</v>
      </c>
      <c r="I154" s="10" t="e">
        <f>_xlfn.XLOOKUP(C154,Tab_Def_Flows[Name(EN)],#REF!,,0,)</f>
        <v>#REF!</v>
      </c>
      <c r="J154" s="10">
        <f>_xlfn.XLOOKUP(C154,Tab_Def_Flows[Name(EN)],Tab_Def_Flows[WC?],,0,)</f>
        <v>0</v>
      </c>
      <c r="K154" s="10">
        <f>_xlfn.XLOOKUP(C154,Tab_Def_Flows[Name(EN)],Tab_Def_Flows[DM?],,0,)</f>
        <v>0</v>
      </c>
      <c r="L154" s="10">
        <f>_xlfn.XLOOKUP(C154,Tab_Def_Flows[Name(EN)],Tab_Def_Flows[CC?],,0,)</f>
        <v>0</v>
      </c>
      <c r="M154" s="12"/>
      <c r="N154" s="12"/>
      <c r="O154" s="50"/>
      <c r="P154" s="12"/>
      <c r="Q154" s="12"/>
      <c r="R154" s="12" t="e">
        <f>INDEX(#REF!,MATCH(Tab_Data_Flows[[#This Row],[Name(EN)]],#REF!,0),12)</f>
        <v>#REF!</v>
      </c>
      <c r="S154" s="12" t="e">
        <f>MATCH(Tab_Data_Flows[[#This Row],[Name(EN)]],#REF!,0)</f>
        <v>#REF!</v>
      </c>
      <c r="T154" s="12"/>
      <c r="U154" s="12"/>
      <c r="V154" s="12"/>
      <c r="W154" s="12"/>
      <c r="X154" s="12" t="s">
        <v>8</v>
      </c>
      <c r="Y154" s="12"/>
      <c r="Z154" s="12"/>
      <c r="AA154" s="36">
        <f t="shared" si="5"/>
        <v>0</v>
      </c>
      <c r="AB154" s="12" t="s">
        <v>283</v>
      </c>
      <c r="AC154" s="193">
        <f>INDEX(Tab_Def_Flows[[Flow_ID]:[CC_DM_source]],MATCH(Tab_Data_Flows[[#This Row],[Name(EN)]],Tab_Def_Flows[Name(EN)],0),13)</f>
        <v>0</v>
      </c>
      <c r="AD154" s="10" t="str">
        <f>IF(J154="Yes",AA154*Tab_Data_Flows[[#This Row],[WC_'[%']]],"N.A.")</f>
        <v>N.A.</v>
      </c>
      <c r="AE154" s="10" t="str">
        <f>Tab_Data_Flows[[#This Row],[UoM_Flow_Py]]</f>
        <v>Mg</v>
      </c>
      <c r="AF154" s="193">
        <f>INDEX(Tab_Def_Flows[[Flow_ID]:[CC_DM_source]],MATCH(Tab_Data_Flows[[#This Row],[Name(EN)]],Tab_Def_Flows[Name(EN)],0),15)</f>
        <v>0</v>
      </c>
      <c r="AG154" s="10" t="str">
        <f>IF(K154="Yes",AF154*Tab_Data_Flows[[#This Row],[Flow_Py]]-AJ270,"N.A.")</f>
        <v>N.A.</v>
      </c>
      <c r="AH154" s="10" t="str">
        <f>Tab_Data_Flows[[#This Row],[UoM_Flow_Py]]</f>
        <v>Mg</v>
      </c>
      <c r="AI154" s="193">
        <f>INDEX(Tab_Def_Flows[[Flow_ID]:[CC_DM_source]],MATCH(Tab_Data_Flows[[#This Row],[Name(EN)]],Tab_Def_Flows[Name(EN)],0),17)</f>
        <v>0</v>
      </c>
      <c r="AJ154" s="10" t="str">
        <f>IF(L154="Yes",AI154*Tab_Data_Flows[[#This Row],[Flow_Py]]*Tab_Data_Flows[[#This Row],[DM_'[%']]],"N.A.")</f>
        <v>N.A.</v>
      </c>
      <c r="AK154" s="10" t="str">
        <f>Tab_Data_Flows[[#This Row],[UoM_Flow_Py]]</f>
        <v>Mg</v>
      </c>
    </row>
    <row r="155" spans="1:37" x14ac:dyDescent="0.25">
      <c r="A155" s="17">
        <f t="shared" si="4"/>
        <v>154</v>
      </c>
      <c r="B155" s="10" t="str">
        <f>_xlfn.XLOOKUP(C155,Tab_Def_Flows[Name(EN)],Tab_Def_Flows[Flow_ID],,0,)</f>
        <v>N.A.</v>
      </c>
      <c r="C155" s="12" t="s">
        <v>35</v>
      </c>
      <c r="D155" s="10">
        <f>_xlfn.XLOOKUP(C155,Tab_Def_Flows[Name(EN)],Tab_Def_Flows[Type_Biomass],,0,)</f>
        <v>0</v>
      </c>
      <c r="E155" s="10">
        <f>_xlfn.XLOOKUP(C155,Tab_Def_Flows[Name(EN)],Tab_Def_Flows[Output_Process],,0,)</f>
        <v>0</v>
      </c>
      <c r="F155" s="10">
        <f>_xlfn.XLOOKUP(C155,Tab_Def_Flows[Name(EN)],Tab_Def_Flows[Process_ID_O],,0,)</f>
        <v>0</v>
      </c>
      <c r="G155" s="10">
        <f>_xlfn.XLOOKUP(C155,Tab_Def_Flows[Name(EN)],Tab_Def_Flows[Input_Process],,0,)</f>
        <v>0</v>
      </c>
      <c r="H155" s="18">
        <f>_xlfn.XLOOKUP(C155,Tab_Def_Flows[Name(EN)],Tab_Def_Flows[Process_ID_I],,0,)</f>
        <v>0</v>
      </c>
      <c r="I155" s="10" t="e">
        <f>_xlfn.XLOOKUP(C155,Tab_Def_Flows[Name(EN)],#REF!,,0,)</f>
        <v>#REF!</v>
      </c>
      <c r="J155" s="10">
        <f>_xlfn.XLOOKUP(C155,Tab_Def_Flows[Name(EN)],Tab_Def_Flows[WC?],,0,)</f>
        <v>0</v>
      </c>
      <c r="K155" s="10">
        <f>_xlfn.XLOOKUP(C155,Tab_Def_Flows[Name(EN)],Tab_Def_Flows[DM?],,0,)</f>
        <v>0</v>
      </c>
      <c r="L155" s="10">
        <f>_xlfn.XLOOKUP(C155,Tab_Def_Flows[Name(EN)],Tab_Def_Flows[CC?],,0,)</f>
        <v>0</v>
      </c>
      <c r="M155" s="12"/>
      <c r="N155" s="12"/>
      <c r="O155" s="50"/>
      <c r="P155" s="12"/>
      <c r="Q155" s="12"/>
      <c r="R155" s="12" t="e">
        <f>INDEX(#REF!,MATCH(Tab_Data_Flows[[#This Row],[Name(EN)]],#REF!,0),12)</f>
        <v>#REF!</v>
      </c>
      <c r="S155" s="12" t="e">
        <f>MATCH(Tab_Data_Flows[[#This Row],[Name(EN)]],#REF!,0)</f>
        <v>#REF!</v>
      </c>
      <c r="T155" s="12"/>
      <c r="U155" s="12"/>
      <c r="V155" s="12"/>
      <c r="W155" s="12"/>
      <c r="X155" s="12" t="s">
        <v>8</v>
      </c>
      <c r="Y155" s="12"/>
      <c r="Z155" s="12"/>
      <c r="AA155" s="36">
        <f t="shared" si="5"/>
        <v>0</v>
      </c>
      <c r="AB155" s="12" t="s">
        <v>283</v>
      </c>
      <c r="AC155" s="193">
        <f>INDEX(Tab_Def_Flows[[Flow_ID]:[CC_DM_source]],MATCH(Tab_Data_Flows[[#This Row],[Name(EN)]],Tab_Def_Flows[Name(EN)],0),13)</f>
        <v>0</v>
      </c>
      <c r="AD155" s="10" t="str">
        <f>IF(J155="Yes",AA155*Tab_Data_Flows[[#This Row],[WC_'[%']]],"N.A.")</f>
        <v>N.A.</v>
      </c>
      <c r="AE155" s="10" t="str">
        <f>Tab_Data_Flows[[#This Row],[UoM_Flow_Py]]</f>
        <v>Mg</v>
      </c>
      <c r="AF155" s="193">
        <f>INDEX(Tab_Def_Flows[[Flow_ID]:[CC_DM_source]],MATCH(Tab_Data_Flows[[#This Row],[Name(EN)]],Tab_Def_Flows[Name(EN)],0),15)</f>
        <v>0</v>
      </c>
      <c r="AG155" s="10" t="str">
        <f>IF(K155="Yes",AF155*Tab_Data_Flows[[#This Row],[Flow_Py]]-AJ271,"N.A.")</f>
        <v>N.A.</v>
      </c>
      <c r="AH155" s="10" t="str">
        <f>Tab_Data_Flows[[#This Row],[UoM_Flow_Py]]</f>
        <v>Mg</v>
      </c>
      <c r="AI155" s="193">
        <f>INDEX(Tab_Def_Flows[[Flow_ID]:[CC_DM_source]],MATCH(Tab_Data_Flows[[#This Row],[Name(EN)]],Tab_Def_Flows[Name(EN)],0),17)</f>
        <v>0</v>
      </c>
      <c r="AJ155" s="10" t="str">
        <f>IF(L155="Yes",AI155*Tab_Data_Flows[[#This Row],[Flow_Py]]*Tab_Data_Flows[[#This Row],[DM_'[%']]],"N.A.")</f>
        <v>N.A.</v>
      </c>
      <c r="AK155" s="10" t="str">
        <f>Tab_Data_Flows[[#This Row],[UoM_Flow_Py]]</f>
        <v>Mg</v>
      </c>
    </row>
    <row r="156" spans="1:37" x14ac:dyDescent="0.25">
      <c r="A156" s="17">
        <f t="shared" si="4"/>
        <v>155</v>
      </c>
      <c r="B156" s="10" t="str">
        <f>_xlfn.XLOOKUP(C156,Tab_Def_Flows[Name(EN)],Tab_Def_Flows[Flow_ID],,0,)</f>
        <v>N.A.</v>
      </c>
      <c r="C156" s="12" t="s">
        <v>35</v>
      </c>
      <c r="D156" s="10">
        <f>_xlfn.XLOOKUP(C156,Tab_Def_Flows[Name(EN)],Tab_Def_Flows[Type_Biomass],,0,)</f>
        <v>0</v>
      </c>
      <c r="E156" s="10">
        <f>_xlfn.XLOOKUP(C156,Tab_Def_Flows[Name(EN)],Tab_Def_Flows[Output_Process],,0,)</f>
        <v>0</v>
      </c>
      <c r="F156" s="10">
        <f>_xlfn.XLOOKUP(C156,Tab_Def_Flows[Name(EN)],Tab_Def_Flows[Process_ID_O],,0,)</f>
        <v>0</v>
      </c>
      <c r="G156" s="10">
        <f>_xlfn.XLOOKUP(C156,Tab_Def_Flows[Name(EN)],Tab_Def_Flows[Input_Process],,0,)</f>
        <v>0</v>
      </c>
      <c r="H156" s="18">
        <f>_xlfn.XLOOKUP(C156,Tab_Def_Flows[Name(EN)],Tab_Def_Flows[Process_ID_I],,0,)</f>
        <v>0</v>
      </c>
      <c r="I156" s="10" t="e">
        <f>_xlfn.XLOOKUP(C156,Tab_Def_Flows[Name(EN)],#REF!,,0,)</f>
        <v>#REF!</v>
      </c>
      <c r="J156" s="10">
        <f>_xlfn.XLOOKUP(C156,Tab_Def_Flows[Name(EN)],Tab_Def_Flows[WC?],,0,)</f>
        <v>0</v>
      </c>
      <c r="K156" s="10">
        <f>_xlfn.XLOOKUP(C156,Tab_Def_Flows[Name(EN)],Tab_Def_Flows[DM?],,0,)</f>
        <v>0</v>
      </c>
      <c r="L156" s="10">
        <f>_xlfn.XLOOKUP(C156,Tab_Def_Flows[Name(EN)],Tab_Def_Flows[CC?],,0,)</f>
        <v>0</v>
      </c>
      <c r="M156" s="12"/>
      <c r="N156" s="12"/>
      <c r="O156" s="50"/>
      <c r="P156" s="12"/>
      <c r="Q156" s="12"/>
      <c r="R156" s="12" t="e">
        <f>INDEX(#REF!,MATCH(Tab_Data_Flows[[#This Row],[Name(EN)]],#REF!,0),12)</f>
        <v>#REF!</v>
      </c>
      <c r="S156" s="12" t="e">
        <f>MATCH(Tab_Data_Flows[[#This Row],[Name(EN)]],#REF!,0)</f>
        <v>#REF!</v>
      </c>
      <c r="T156" s="12"/>
      <c r="U156" s="12"/>
      <c r="V156" s="12"/>
      <c r="W156" s="12"/>
      <c r="X156" s="12" t="s">
        <v>8</v>
      </c>
      <c r="Y156" s="12"/>
      <c r="Z156" s="12"/>
      <c r="AA156" s="36">
        <f t="shared" si="5"/>
        <v>0</v>
      </c>
      <c r="AB156" s="12" t="s">
        <v>283</v>
      </c>
      <c r="AC156" s="193">
        <f>INDEX(Tab_Def_Flows[[Flow_ID]:[CC_DM_source]],MATCH(Tab_Data_Flows[[#This Row],[Name(EN)]],Tab_Def_Flows[Name(EN)],0),13)</f>
        <v>0</v>
      </c>
      <c r="AD156" s="10" t="str">
        <f>IF(J156="Yes",AA156*Tab_Data_Flows[[#This Row],[WC_'[%']]],"N.A.")</f>
        <v>N.A.</v>
      </c>
      <c r="AE156" s="10" t="str">
        <f>Tab_Data_Flows[[#This Row],[UoM_Flow_Py]]</f>
        <v>Mg</v>
      </c>
      <c r="AF156" s="193">
        <f>INDEX(Tab_Def_Flows[[Flow_ID]:[CC_DM_source]],MATCH(Tab_Data_Flows[[#This Row],[Name(EN)]],Tab_Def_Flows[Name(EN)],0),15)</f>
        <v>0</v>
      </c>
      <c r="AG156" s="10" t="str">
        <f>IF(K156="Yes",AF156*Tab_Data_Flows[[#This Row],[Flow_Py]]-AJ272,"N.A.")</f>
        <v>N.A.</v>
      </c>
      <c r="AH156" s="10" t="str">
        <f>Tab_Data_Flows[[#This Row],[UoM_Flow_Py]]</f>
        <v>Mg</v>
      </c>
      <c r="AI156" s="193">
        <f>INDEX(Tab_Def_Flows[[Flow_ID]:[CC_DM_source]],MATCH(Tab_Data_Flows[[#This Row],[Name(EN)]],Tab_Def_Flows[Name(EN)],0),17)</f>
        <v>0</v>
      </c>
      <c r="AJ156" s="10" t="str">
        <f>IF(L156="Yes",AI156*Tab_Data_Flows[[#This Row],[Flow_Py]]*Tab_Data_Flows[[#This Row],[DM_'[%']]],"N.A.")</f>
        <v>N.A.</v>
      </c>
      <c r="AK156" s="10" t="str">
        <f>Tab_Data_Flows[[#This Row],[UoM_Flow_Py]]</f>
        <v>Mg</v>
      </c>
    </row>
    <row r="157" spans="1:37" x14ac:dyDescent="0.25">
      <c r="A157" s="17">
        <f t="shared" si="4"/>
        <v>156</v>
      </c>
      <c r="B157" s="10" t="str">
        <f>_xlfn.XLOOKUP(C157,Tab_Def_Flows[Name(EN)],Tab_Def_Flows[Flow_ID],,0,)</f>
        <v>N.A.</v>
      </c>
      <c r="C157" s="12" t="s">
        <v>35</v>
      </c>
      <c r="D157" s="10">
        <f>_xlfn.XLOOKUP(C157,Tab_Def_Flows[Name(EN)],Tab_Def_Flows[Type_Biomass],,0,)</f>
        <v>0</v>
      </c>
      <c r="E157" s="10">
        <f>_xlfn.XLOOKUP(C157,Tab_Def_Flows[Name(EN)],Tab_Def_Flows[Output_Process],,0,)</f>
        <v>0</v>
      </c>
      <c r="F157" s="10">
        <f>_xlfn.XLOOKUP(C157,Tab_Def_Flows[Name(EN)],Tab_Def_Flows[Process_ID_O],,0,)</f>
        <v>0</v>
      </c>
      <c r="G157" s="10">
        <f>_xlfn.XLOOKUP(C157,Tab_Def_Flows[Name(EN)],Tab_Def_Flows[Input_Process],,0,)</f>
        <v>0</v>
      </c>
      <c r="H157" s="18">
        <f>_xlfn.XLOOKUP(C157,Tab_Def_Flows[Name(EN)],Tab_Def_Flows[Process_ID_I],,0,)</f>
        <v>0</v>
      </c>
      <c r="I157" s="10" t="e">
        <f>_xlfn.XLOOKUP(C157,Tab_Def_Flows[Name(EN)],#REF!,,0,)</f>
        <v>#REF!</v>
      </c>
      <c r="J157" s="10">
        <f>_xlfn.XLOOKUP(C157,Tab_Def_Flows[Name(EN)],Tab_Def_Flows[WC?],,0,)</f>
        <v>0</v>
      </c>
      <c r="K157" s="10">
        <f>_xlfn.XLOOKUP(C157,Tab_Def_Flows[Name(EN)],Tab_Def_Flows[DM?],,0,)</f>
        <v>0</v>
      </c>
      <c r="L157" s="10">
        <f>_xlfn.XLOOKUP(C157,Tab_Def_Flows[Name(EN)],Tab_Def_Flows[CC?],,0,)</f>
        <v>0</v>
      </c>
      <c r="M157" s="12"/>
      <c r="N157" s="12"/>
      <c r="O157" s="50"/>
      <c r="P157" s="12"/>
      <c r="Q157" s="12"/>
      <c r="R157" s="12" t="e">
        <f>INDEX(#REF!,MATCH(Tab_Data_Flows[[#This Row],[Name(EN)]],#REF!,0),12)</f>
        <v>#REF!</v>
      </c>
      <c r="S157" s="12" t="e">
        <f>MATCH(Tab_Data_Flows[[#This Row],[Name(EN)]],#REF!,0)</f>
        <v>#REF!</v>
      </c>
      <c r="T157" s="12"/>
      <c r="U157" s="12"/>
      <c r="V157" s="12"/>
      <c r="W157" s="12"/>
      <c r="X157" s="12" t="s">
        <v>8</v>
      </c>
      <c r="Y157" s="12"/>
      <c r="Z157" s="12"/>
      <c r="AA157" s="36">
        <f t="shared" si="5"/>
        <v>0</v>
      </c>
      <c r="AB157" s="12" t="s">
        <v>283</v>
      </c>
      <c r="AC157" s="193">
        <f>INDEX(Tab_Def_Flows[[Flow_ID]:[CC_DM_source]],MATCH(Tab_Data_Flows[[#This Row],[Name(EN)]],Tab_Def_Flows[Name(EN)],0),13)</f>
        <v>0</v>
      </c>
      <c r="AD157" s="10" t="str">
        <f>IF(J157="Yes",AA157*Tab_Data_Flows[[#This Row],[WC_'[%']]],"N.A.")</f>
        <v>N.A.</v>
      </c>
      <c r="AE157" s="10" t="str">
        <f>Tab_Data_Flows[[#This Row],[UoM_Flow_Py]]</f>
        <v>Mg</v>
      </c>
      <c r="AF157" s="193">
        <f>INDEX(Tab_Def_Flows[[Flow_ID]:[CC_DM_source]],MATCH(Tab_Data_Flows[[#This Row],[Name(EN)]],Tab_Def_Flows[Name(EN)],0),15)</f>
        <v>0</v>
      </c>
      <c r="AG157" s="10" t="str">
        <f>IF(K157="Yes",AF157*Tab_Data_Flows[[#This Row],[Flow_Py]]-AJ273,"N.A.")</f>
        <v>N.A.</v>
      </c>
      <c r="AH157" s="10" t="str">
        <f>Tab_Data_Flows[[#This Row],[UoM_Flow_Py]]</f>
        <v>Mg</v>
      </c>
      <c r="AI157" s="193">
        <f>INDEX(Tab_Def_Flows[[Flow_ID]:[CC_DM_source]],MATCH(Tab_Data_Flows[[#This Row],[Name(EN)]],Tab_Def_Flows[Name(EN)],0),17)</f>
        <v>0</v>
      </c>
      <c r="AJ157" s="10" t="str">
        <f>IF(L157="Yes",AI157*Tab_Data_Flows[[#This Row],[Flow_Py]]*Tab_Data_Flows[[#This Row],[DM_'[%']]],"N.A.")</f>
        <v>N.A.</v>
      </c>
      <c r="AK157" s="10" t="str">
        <f>Tab_Data_Flows[[#This Row],[UoM_Flow_Py]]</f>
        <v>Mg</v>
      </c>
    </row>
    <row r="158" spans="1:37" x14ac:dyDescent="0.25">
      <c r="A158" s="17">
        <f t="shared" si="4"/>
        <v>157</v>
      </c>
      <c r="B158" s="10" t="str">
        <f>_xlfn.XLOOKUP(C158,Tab_Def_Flows[Name(EN)],Tab_Def_Flows[Flow_ID],,0,)</f>
        <v>N.A.</v>
      </c>
      <c r="C158" s="12" t="s">
        <v>35</v>
      </c>
      <c r="D158" s="10">
        <f>_xlfn.XLOOKUP(C158,Tab_Def_Flows[Name(EN)],Tab_Def_Flows[Type_Biomass],,0,)</f>
        <v>0</v>
      </c>
      <c r="E158" s="10">
        <f>_xlfn.XLOOKUP(C158,Tab_Def_Flows[Name(EN)],Tab_Def_Flows[Output_Process],,0,)</f>
        <v>0</v>
      </c>
      <c r="F158" s="10">
        <f>_xlfn.XLOOKUP(C158,Tab_Def_Flows[Name(EN)],Tab_Def_Flows[Process_ID_O],,0,)</f>
        <v>0</v>
      </c>
      <c r="G158" s="10">
        <f>_xlfn.XLOOKUP(C158,Tab_Def_Flows[Name(EN)],Tab_Def_Flows[Input_Process],,0,)</f>
        <v>0</v>
      </c>
      <c r="H158" s="18">
        <f>_xlfn.XLOOKUP(C158,Tab_Def_Flows[Name(EN)],Tab_Def_Flows[Process_ID_I],,0,)</f>
        <v>0</v>
      </c>
      <c r="I158" s="10" t="e">
        <f>_xlfn.XLOOKUP(C158,Tab_Def_Flows[Name(EN)],#REF!,,0,)</f>
        <v>#REF!</v>
      </c>
      <c r="J158" s="10">
        <f>_xlfn.XLOOKUP(C158,Tab_Def_Flows[Name(EN)],Tab_Def_Flows[WC?],,0,)</f>
        <v>0</v>
      </c>
      <c r="K158" s="10">
        <f>_xlfn.XLOOKUP(C158,Tab_Def_Flows[Name(EN)],Tab_Def_Flows[DM?],,0,)</f>
        <v>0</v>
      </c>
      <c r="L158" s="10">
        <f>_xlfn.XLOOKUP(C158,Tab_Def_Flows[Name(EN)],Tab_Def_Flows[CC?],,0,)</f>
        <v>0</v>
      </c>
      <c r="M158" s="12"/>
      <c r="N158" s="12"/>
      <c r="O158" s="50"/>
      <c r="P158" s="12"/>
      <c r="Q158" s="12"/>
      <c r="R158" s="12" t="e">
        <f>INDEX(#REF!,MATCH(Tab_Data_Flows[[#This Row],[Name(EN)]],#REF!,0),12)</f>
        <v>#REF!</v>
      </c>
      <c r="S158" s="12" t="e">
        <f>MATCH(Tab_Data_Flows[[#This Row],[Name(EN)]],#REF!,0)</f>
        <v>#REF!</v>
      </c>
      <c r="T158" s="12"/>
      <c r="U158" s="12"/>
      <c r="V158" s="12"/>
      <c r="W158" s="12"/>
      <c r="X158" s="12" t="s">
        <v>8</v>
      </c>
      <c r="Y158" s="12"/>
      <c r="Z158" s="12"/>
      <c r="AA158" s="36">
        <f t="shared" si="5"/>
        <v>0</v>
      </c>
      <c r="AB158" s="12" t="s">
        <v>283</v>
      </c>
      <c r="AC158" s="193">
        <f>INDEX(Tab_Def_Flows[[Flow_ID]:[CC_DM_source]],MATCH(Tab_Data_Flows[[#This Row],[Name(EN)]],Tab_Def_Flows[Name(EN)],0),13)</f>
        <v>0</v>
      </c>
      <c r="AD158" s="10" t="str">
        <f>IF(J158="Yes",AA158*Tab_Data_Flows[[#This Row],[WC_'[%']]],"N.A.")</f>
        <v>N.A.</v>
      </c>
      <c r="AE158" s="10" t="str">
        <f>Tab_Data_Flows[[#This Row],[UoM_Flow_Py]]</f>
        <v>Mg</v>
      </c>
      <c r="AF158" s="193">
        <f>INDEX(Tab_Def_Flows[[Flow_ID]:[CC_DM_source]],MATCH(Tab_Data_Flows[[#This Row],[Name(EN)]],Tab_Def_Flows[Name(EN)],0),15)</f>
        <v>0</v>
      </c>
      <c r="AG158" s="10" t="str">
        <f>IF(K158="Yes",AF158*Tab_Data_Flows[[#This Row],[Flow_Py]]-AJ274,"N.A.")</f>
        <v>N.A.</v>
      </c>
      <c r="AH158" s="10" t="str">
        <f>Tab_Data_Flows[[#This Row],[UoM_Flow_Py]]</f>
        <v>Mg</v>
      </c>
      <c r="AI158" s="193">
        <f>INDEX(Tab_Def_Flows[[Flow_ID]:[CC_DM_source]],MATCH(Tab_Data_Flows[[#This Row],[Name(EN)]],Tab_Def_Flows[Name(EN)],0),17)</f>
        <v>0</v>
      </c>
      <c r="AJ158" s="10" t="str">
        <f>IF(L158="Yes",AI158*Tab_Data_Flows[[#This Row],[Flow_Py]]*Tab_Data_Flows[[#This Row],[DM_'[%']]],"N.A.")</f>
        <v>N.A.</v>
      </c>
      <c r="AK158" s="10" t="str">
        <f>Tab_Data_Flows[[#This Row],[UoM_Flow_Py]]</f>
        <v>Mg</v>
      </c>
    </row>
    <row r="159" spans="1:37" x14ac:dyDescent="0.25">
      <c r="A159" s="17">
        <f t="shared" si="4"/>
        <v>158</v>
      </c>
      <c r="B159" s="10" t="str">
        <f>_xlfn.XLOOKUP(C159,Tab_Def_Flows[Name(EN)],Tab_Def_Flows[Flow_ID],,0,)</f>
        <v>N.A.</v>
      </c>
      <c r="C159" s="12" t="s">
        <v>35</v>
      </c>
      <c r="D159" s="10">
        <f>_xlfn.XLOOKUP(C159,Tab_Def_Flows[Name(EN)],Tab_Def_Flows[Type_Biomass],,0,)</f>
        <v>0</v>
      </c>
      <c r="E159" s="10">
        <f>_xlfn.XLOOKUP(C159,Tab_Def_Flows[Name(EN)],Tab_Def_Flows[Output_Process],,0,)</f>
        <v>0</v>
      </c>
      <c r="F159" s="10">
        <f>_xlfn.XLOOKUP(C159,Tab_Def_Flows[Name(EN)],Tab_Def_Flows[Process_ID_O],,0,)</f>
        <v>0</v>
      </c>
      <c r="G159" s="10">
        <f>_xlfn.XLOOKUP(C159,Tab_Def_Flows[Name(EN)],Tab_Def_Flows[Input_Process],,0,)</f>
        <v>0</v>
      </c>
      <c r="H159" s="18">
        <f>_xlfn.XLOOKUP(C159,Tab_Def_Flows[Name(EN)],Tab_Def_Flows[Process_ID_I],,0,)</f>
        <v>0</v>
      </c>
      <c r="I159" s="10" t="e">
        <f>_xlfn.XLOOKUP(C159,Tab_Def_Flows[Name(EN)],#REF!,,0,)</f>
        <v>#REF!</v>
      </c>
      <c r="J159" s="10">
        <f>_xlfn.XLOOKUP(C159,Tab_Def_Flows[Name(EN)],Tab_Def_Flows[WC?],,0,)</f>
        <v>0</v>
      </c>
      <c r="K159" s="10">
        <f>_xlfn.XLOOKUP(C159,Tab_Def_Flows[Name(EN)],Tab_Def_Flows[DM?],,0,)</f>
        <v>0</v>
      </c>
      <c r="L159" s="10">
        <f>_xlfn.XLOOKUP(C159,Tab_Def_Flows[Name(EN)],Tab_Def_Flows[CC?],,0,)</f>
        <v>0</v>
      </c>
      <c r="M159" s="12"/>
      <c r="N159" s="12"/>
      <c r="O159" s="50"/>
      <c r="P159" s="12"/>
      <c r="Q159" s="12"/>
      <c r="R159" s="12" t="e">
        <f>INDEX(#REF!,MATCH(Tab_Data_Flows[[#This Row],[Name(EN)]],#REF!,0),12)</f>
        <v>#REF!</v>
      </c>
      <c r="S159" s="12" t="e">
        <f>MATCH(Tab_Data_Flows[[#This Row],[Name(EN)]],#REF!,0)</f>
        <v>#REF!</v>
      </c>
      <c r="T159" s="12"/>
      <c r="U159" s="12"/>
      <c r="V159" s="12"/>
      <c r="W159" s="12"/>
      <c r="X159" s="12" t="s">
        <v>8</v>
      </c>
      <c r="Y159" s="12"/>
      <c r="Z159" s="12"/>
      <c r="AA159" s="36">
        <f t="shared" si="5"/>
        <v>0</v>
      </c>
      <c r="AB159" s="12" t="s">
        <v>283</v>
      </c>
      <c r="AC159" s="193">
        <f>INDEX(Tab_Def_Flows[[Flow_ID]:[CC_DM_source]],MATCH(Tab_Data_Flows[[#This Row],[Name(EN)]],Tab_Def_Flows[Name(EN)],0),13)</f>
        <v>0</v>
      </c>
      <c r="AD159" s="10" t="str">
        <f>IF(J159="Yes",AA159*Tab_Data_Flows[[#This Row],[WC_'[%']]],"N.A.")</f>
        <v>N.A.</v>
      </c>
      <c r="AE159" s="10" t="str">
        <f>Tab_Data_Flows[[#This Row],[UoM_Flow_Py]]</f>
        <v>Mg</v>
      </c>
      <c r="AF159" s="193">
        <f>INDEX(Tab_Def_Flows[[Flow_ID]:[CC_DM_source]],MATCH(Tab_Data_Flows[[#This Row],[Name(EN)]],Tab_Def_Flows[Name(EN)],0),15)</f>
        <v>0</v>
      </c>
      <c r="AG159" s="10" t="str">
        <f>IF(K159="Yes",AF159*Tab_Data_Flows[[#This Row],[Flow_Py]]-AJ275,"N.A.")</f>
        <v>N.A.</v>
      </c>
      <c r="AH159" s="10" t="str">
        <f>Tab_Data_Flows[[#This Row],[UoM_Flow_Py]]</f>
        <v>Mg</v>
      </c>
      <c r="AI159" s="193">
        <f>INDEX(Tab_Def_Flows[[Flow_ID]:[CC_DM_source]],MATCH(Tab_Data_Flows[[#This Row],[Name(EN)]],Tab_Def_Flows[Name(EN)],0),17)</f>
        <v>0</v>
      </c>
      <c r="AJ159" s="10" t="str">
        <f>IF(L159="Yes",AI159*Tab_Data_Flows[[#This Row],[Flow_Py]]*Tab_Data_Flows[[#This Row],[DM_'[%']]],"N.A.")</f>
        <v>N.A.</v>
      </c>
      <c r="AK159" s="10" t="str">
        <f>Tab_Data_Flows[[#This Row],[UoM_Flow_Py]]</f>
        <v>Mg</v>
      </c>
    </row>
    <row r="160" spans="1:37" x14ac:dyDescent="0.25">
      <c r="A160" s="17">
        <f t="shared" si="4"/>
        <v>159</v>
      </c>
      <c r="B160" s="10" t="str">
        <f>_xlfn.XLOOKUP(C160,Tab_Def_Flows[Name(EN)],Tab_Def_Flows[Flow_ID],,0,)</f>
        <v>N.A.</v>
      </c>
      <c r="C160" s="12" t="s">
        <v>35</v>
      </c>
      <c r="D160" s="10">
        <f>_xlfn.XLOOKUP(C160,Tab_Def_Flows[Name(EN)],Tab_Def_Flows[Type_Biomass],,0,)</f>
        <v>0</v>
      </c>
      <c r="E160" s="10">
        <f>_xlfn.XLOOKUP(C160,Tab_Def_Flows[Name(EN)],Tab_Def_Flows[Output_Process],,0,)</f>
        <v>0</v>
      </c>
      <c r="F160" s="10">
        <f>_xlfn.XLOOKUP(C160,Tab_Def_Flows[Name(EN)],Tab_Def_Flows[Process_ID_O],,0,)</f>
        <v>0</v>
      </c>
      <c r="G160" s="10">
        <f>_xlfn.XLOOKUP(C160,Tab_Def_Flows[Name(EN)],Tab_Def_Flows[Input_Process],,0,)</f>
        <v>0</v>
      </c>
      <c r="H160" s="18">
        <f>_xlfn.XLOOKUP(C160,Tab_Def_Flows[Name(EN)],Tab_Def_Flows[Process_ID_I],,0,)</f>
        <v>0</v>
      </c>
      <c r="I160" s="10" t="e">
        <f>_xlfn.XLOOKUP(C160,Tab_Def_Flows[Name(EN)],#REF!,,0,)</f>
        <v>#REF!</v>
      </c>
      <c r="J160" s="10">
        <f>_xlfn.XLOOKUP(C160,Tab_Def_Flows[Name(EN)],Tab_Def_Flows[WC?],,0,)</f>
        <v>0</v>
      </c>
      <c r="K160" s="10">
        <f>_xlfn.XLOOKUP(C160,Tab_Def_Flows[Name(EN)],Tab_Def_Flows[DM?],,0,)</f>
        <v>0</v>
      </c>
      <c r="L160" s="10">
        <f>_xlfn.XLOOKUP(C160,Tab_Def_Flows[Name(EN)],Tab_Def_Flows[CC?],,0,)</f>
        <v>0</v>
      </c>
      <c r="M160" s="12"/>
      <c r="N160" s="12"/>
      <c r="O160" s="50"/>
      <c r="P160" s="12"/>
      <c r="Q160" s="12"/>
      <c r="R160" s="12" t="e">
        <f>INDEX(#REF!,MATCH(Tab_Data_Flows[[#This Row],[Name(EN)]],#REF!,0),12)</f>
        <v>#REF!</v>
      </c>
      <c r="S160" s="12" t="e">
        <f>MATCH(Tab_Data_Flows[[#This Row],[Name(EN)]],#REF!,0)</f>
        <v>#REF!</v>
      </c>
      <c r="T160" s="12"/>
      <c r="U160" s="12"/>
      <c r="V160" s="12"/>
      <c r="W160" s="12"/>
      <c r="X160" s="12" t="s">
        <v>8</v>
      </c>
      <c r="Y160" s="12"/>
      <c r="Z160" s="12"/>
      <c r="AA160" s="36">
        <f t="shared" si="5"/>
        <v>0</v>
      </c>
      <c r="AB160" s="12" t="s">
        <v>283</v>
      </c>
      <c r="AC160" s="193">
        <f>INDEX(Tab_Def_Flows[[Flow_ID]:[CC_DM_source]],MATCH(Tab_Data_Flows[[#This Row],[Name(EN)]],Tab_Def_Flows[Name(EN)],0),13)</f>
        <v>0</v>
      </c>
      <c r="AD160" s="10" t="str">
        <f>IF(J160="Yes",AA160*Tab_Data_Flows[[#This Row],[WC_'[%']]],"N.A.")</f>
        <v>N.A.</v>
      </c>
      <c r="AE160" s="10" t="str">
        <f>Tab_Data_Flows[[#This Row],[UoM_Flow_Py]]</f>
        <v>Mg</v>
      </c>
      <c r="AF160" s="193">
        <f>INDEX(Tab_Def_Flows[[Flow_ID]:[CC_DM_source]],MATCH(Tab_Data_Flows[[#This Row],[Name(EN)]],Tab_Def_Flows[Name(EN)],0),15)</f>
        <v>0</v>
      </c>
      <c r="AG160" s="10" t="str">
        <f>IF(K160="Yes",AF160*Tab_Data_Flows[[#This Row],[Flow_Py]]-AJ276,"N.A.")</f>
        <v>N.A.</v>
      </c>
      <c r="AH160" s="10" t="str">
        <f>Tab_Data_Flows[[#This Row],[UoM_Flow_Py]]</f>
        <v>Mg</v>
      </c>
      <c r="AI160" s="193">
        <f>INDEX(Tab_Def_Flows[[Flow_ID]:[CC_DM_source]],MATCH(Tab_Data_Flows[[#This Row],[Name(EN)]],Tab_Def_Flows[Name(EN)],0),17)</f>
        <v>0</v>
      </c>
      <c r="AJ160" s="10" t="str">
        <f>IF(L160="Yes",AI160*Tab_Data_Flows[[#This Row],[Flow_Py]]*Tab_Data_Flows[[#This Row],[DM_'[%']]],"N.A.")</f>
        <v>N.A.</v>
      </c>
      <c r="AK160" s="10" t="str">
        <f>Tab_Data_Flows[[#This Row],[UoM_Flow_Py]]</f>
        <v>Mg</v>
      </c>
    </row>
    <row r="161" spans="1:37" x14ac:dyDescent="0.25">
      <c r="A161" s="17">
        <f t="shared" si="4"/>
        <v>160</v>
      </c>
      <c r="B161" s="10" t="str">
        <f>_xlfn.XLOOKUP(C161,Tab_Def_Flows[Name(EN)],Tab_Def_Flows[Flow_ID],,0,)</f>
        <v>N.A.</v>
      </c>
      <c r="C161" s="12" t="s">
        <v>35</v>
      </c>
      <c r="D161" s="10">
        <f>_xlfn.XLOOKUP(C161,Tab_Def_Flows[Name(EN)],Tab_Def_Flows[Type_Biomass],,0,)</f>
        <v>0</v>
      </c>
      <c r="E161" s="10">
        <f>_xlfn.XLOOKUP(C161,Tab_Def_Flows[Name(EN)],Tab_Def_Flows[Output_Process],,0,)</f>
        <v>0</v>
      </c>
      <c r="F161" s="10">
        <f>_xlfn.XLOOKUP(C161,Tab_Def_Flows[Name(EN)],Tab_Def_Flows[Process_ID_O],,0,)</f>
        <v>0</v>
      </c>
      <c r="G161" s="10">
        <f>_xlfn.XLOOKUP(C161,Tab_Def_Flows[Name(EN)],Tab_Def_Flows[Input_Process],,0,)</f>
        <v>0</v>
      </c>
      <c r="H161" s="18">
        <f>_xlfn.XLOOKUP(C161,Tab_Def_Flows[Name(EN)],Tab_Def_Flows[Process_ID_I],,0,)</f>
        <v>0</v>
      </c>
      <c r="I161" s="10" t="e">
        <f>_xlfn.XLOOKUP(C161,Tab_Def_Flows[Name(EN)],#REF!,,0,)</f>
        <v>#REF!</v>
      </c>
      <c r="J161" s="10">
        <f>_xlfn.XLOOKUP(C161,Tab_Def_Flows[Name(EN)],Tab_Def_Flows[WC?],,0,)</f>
        <v>0</v>
      </c>
      <c r="K161" s="10">
        <f>_xlfn.XLOOKUP(C161,Tab_Def_Flows[Name(EN)],Tab_Def_Flows[DM?],,0,)</f>
        <v>0</v>
      </c>
      <c r="L161" s="10">
        <f>_xlfn.XLOOKUP(C161,Tab_Def_Flows[Name(EN)],Tab_Def_Flows[CC?],,0,)</f>
        <v>0</v>
      </c>
      <c r="M161" s="12"/>
      <c r="N161" s="12"/>
      <c r="O161" s="50"/>
      <c r="P161" s="12"/>
      <c r="Q161" s="12"/>
      <c r="R161" s="12" t="e">
        <f>INDEX(#REF!,MATCH(Tab_Data_Flows[[#This Row],[Name(EN)]],#REF!,0),12)</f>
        <v>#REF!</v>
      </c>
      <c r="S161" s="12" t="e">
        <f>MATCH(Tab_Data_Flows[[#This Row],[Name(EN)]],#REF!,0)</f>
        <v>#REF!</v>
      </c>
      <c r="T161" s="12"/>
      <c r="U161" s="12"/>
      <c r="V161" s="12"/>
      <c r="W161" s="12"/>
      <c r="X161" s="12" t="s">
        <v>8</v>
      </c>
      <c r="Y161" s="12"/>
      <c r="Z161" s="12"/>
      <c r="AA161" s="36">
        <f t="shared" si="5"/>
        <v>0</v>
      </c>
      <c r="AB161" s="12" t="s">
        <v>283</v>
      </c>
      <c r="AC161" s="193">
        <f>INDEX(Tab_Def_Flows[[Flow_ID]:[CC_DM_source]],MATCH(Tab_Data_Flows[[#This Row],[Name(EN)]],Tab_Def_Flows[Name(EN)],0),13)</f>
        <v>0</v>
      </c>
      <c r="AD161" s="10" t="str">
        <f>IF(J161="Yes",AA161*Tab_Data_Flows[[#This Row],[WC_'[%']]],"N.A.")</f>
        <v>N.A.</v>
      </c>
      <c r="AE161" s="10" t="str">
        <f>Tab_Data_Flows[[#This Row],[UoM_Flow_Py]]</f>
        <v>Mg</v>
      </c>
      <c r="AF161" s="193">
        <f>INDEX(Tab_Def_Flows[[Flow_ID]:[CC_DM_source]],MATCH(Tab_Data_Flows[[#This Row],[Name(EN)]],Tab_Def_Flows[Name(EN)],0),15)</f>
        <v>0</v>
      </c>
      <c r="AG161" s="10" t="str">
        <f>IF(K161="Yes",AF161*Tab_Data_Flows[[#This Row],[Flow_Py]]-AJ277,"N.A.")</f>
        <v>N.A.</v>
      </c>
      <c r="AH161" s="10" t="str">
        <f>Tab_Data_Flows[[#This Row],[UoM_Flow_Py]]</f>
        <v>Mg</v>
      </c>
      <c r="AI161" s="193">
        <f>INDEX(Tab_Def_Flows[[Flow_ID]:[CC_DM_source]],MATCH(Tab_Data_Flows[[#This Row],[Name(EN)]],Tab_Def_Flows[Name(EN)],0),17)</f>
        <v>0</v>
      </c>
      <c r="AJ161" s="10" t="str">
        <f>IF(L161="Yes",AI161*Tab_Data_Flows[[#This Row],[Flow_Py]]*Tab_Data_Flows[[#This Row],[DM_'[%']]],"N.A.")</f>
        <v>N.A.</v>
      </c>
      <c r="AK161" s="10" t="str">
        <f>Tab_Data_Flows[[#This Row],[UoM_Flow_Py]]</f>
        <v>Mg</v>
      </c>
    </row>
    <row r="162" spans="1:37" x14ac:dyDescent="0.25">
      <c r="A162" s="17">
        <f t="shared" si="4"/>
        <v>161</v>
      </c>
      <c r="B162" s="10" t="str">
        <f>_xlfn.XLOOKUP(C162,Tab_Def_Flows[Name(EN)],Tab_Def_Flows[Flow_ID],,0,)</f>
        <v>N.A.</v>
      </c>
      <c r="C162" s="12" t="s">
        <v>35</v>
      </c>
      <c r="D162" s="10">
        <f>_xlfn.XLOOKUP(C162,Tab_Def_Flows[Name(EN)],Tab_Def_Flows[Type_Biomass],,0,)</f>
        <v>0</v>
      </c>
      <c r="E162" s="10">
        <f>_xlfn.XLOOKUP(C162,Tab_Def_Flows[Name(EN)],Tab_Def_Flows[Output_Process],,0,)</f>
        <v>0</v>
      </c>
      <c r="F162" s="10">
        <f>_xlfn.XLOOKUP(C162,Tab_Def_Flows[Name(EN)],Tab_Def_Flows[Process_ID_O],,0,)</f>
        <v>0</v>
      </c>
      <c r="G162" s="10">
        <f>_xlfn.XLOOKUP(C162,Tab_Def_Flows[Name(EN)],Tab_Def_Flows[Input_Process],,0,)</f>
        <v>0</v>
      </c>
      <c r="H162" s="18">
        <f>_xlfn.XLOOKUP(C162,Tab_Def_Flows[Name(EN)],Tab_Def_Flows[Process_ID_I],,0,)</f>
        <v>0</v>
      </c>
      <c r="I162" s="10" t="e">
        <f>_xlfn.XLOOKUP(C162,Tab_Def_Flows[Name(EN)],#REF!,,0,)</f>
        <v>#REF!</v>
      </c>
      <c r="J162" s="10">
        <f>_xlfn.XLOOKUP(C162,Tab_Def_Flows[Name(EN)],Tab_Def_Flows[WC?],,0,)</f>
        <v>0</v>
      </c>
      <c r="K162" s="10">
        <f>_xlfn.XLOOKUP(C162,Tab_Def_Flows[Name(EN)],Tab_Def_Flows[DM?],,0,)</f>
        <v>0</v>
      </c>
      <c r="L162" s="10">
        <f>_xlfn.XLOOKUP(C162,Tab_Def_Flows[Name(EN)],Tab_Def_Flows[CC?],,0,)</f>
        <v>0</v>
      </c>
      <c r="M162" s="12"/>
      <c r="N162" s="12"/>
      <c r="O162" s="50"/>
      <c r="P162" s="12"/>
      <c r="Q162" s="12"/>
      <c r="R162" s="12" t="e">
        <f>INDEX(#REF!,MATCH(Tab_Data_Flows[[#This Row],[Name(EN)]],#REF!,0),12)</f>
        <v>#REF!</v>
      </c>
      <c r="S162" s="12" t="e">
        <f>MATCH(Tab_Data_Flows[[#This Row],[Name(EN)]],#REF!,0)</f>
        <v>#REF!</v>
      </c>
      <c r="T162" s="12"/>
      <c r="U162" s="12"/>
      <c r="V162" s="12"/>
      <c r="W162" s="12"/>
      <c r="X162" s="12" t="s">
        <v>8</v>
      </c>
      <c r="Y162" s="12"/>
      <c r="Z162" s="12"/>
      <c r="AA162" s="36">
        <f t="shared" si="5"/>
        <v>0</v>
      </c>
      <c r="AB162" s="12" t="s">
        <v>283</v>
      </c>
      <c r="AC162" s="193">
        <f>INDEX(Tab_Def_Flows[[Flow_ID]:[CC_DM_source]],MATCH(Tab_Data_Flows[[#This Row],[Name(EN)]],Tab_Def_Flows[Name(EN)],0),13)</f>
        <v>0</v>
      </c>
      <c r="AD162" s="10" t="str">
        <f>IF(J162="Yes",AA162*Tab_Data_Flows[[#This Row],[WC_'[%']]],"N.A.")</f>
        <v>N.A.</v>
      </c>
      <c r="AE162" s="10" t="str">
        <f>Tab_Data_Flows[[#This Row],[UoM_Flow_Py]]</f>
        <v>Mg</v>
      </c>
      <c r="AF162" s="193">
        <f>INDEX(Tab_Def_Flows[[Flow_ID]:[CC_DM_source]],MATCH(Tab_Data_Flows[[#This Row],[Name(EN)]],Tab_Def_Flows[Name(EN)],0),15)</f>
        <v>0</v>
      </c>
      <c r="AG162" s="10" t="str">
        <f>IF(K162="Yes",AF162*Tab_Data_Flows[[#This Row],[Flow_Py]]-AJ278,"N.A.")</f>
        <v>N.A.</v>
      </c>
      <c r="AH162" s="10" t="str">
        <f>Tab_Data_Flows[[#This Row],[UoM_Flow_Py]]</f>
        <v>Mg</v>
      </c>
      <c r="AI162" s="193">
        <f>INDEX(Tab_Def_Flows[[Flow_ID]:[CC_DM_source]],MATCH(Tab_Data_Flows[[#This Row],[Name(EN)]],Tab_Def_Flows[Name(EN)],0),17)</f>
        <v>0</v>
      </c>
      <c r="AJ162" s="10" t="str">
        <f>IF(L162="Yes",AI162*Tab_Data_Flows[[#This Row],[Flow_Py]]*Tab_Data_Flows[[#This Row],[DM_'[%']]],"N.A.")</f>
        <v>N.A.</v>
      </c>
      <c r="AK162" s="10" t="str">
        <f>Tab_Data_Flows[[#This Row],[UoM_Flow_Py]]</f>
        <v>Mg</v>
      </c>
    </row>
    <row r="163" spans="1:37" x14ac:dyDescent="0.25">
      <c r="A163" s="17">
        <f t="shared" si="4"/>
        <v>162</v>
      </c>
      <c r="B163" s="10" t="str">
        <f>_xlfn.XLOOKUP(C163,Tab_Def_Flows[Name(EN)],Tab_Def_Flows[Flow_ID],,0,)</f>
        <v>N.A.</v>
      </c>
      <c r="C163" s="12" t="s">
        <v>35</v>
      </c>
      <c r="D163" s="10">
        <f>_xlfn.XLOOKUP(C163,Tab_Def_Flows[Name(EN)],Tab_Def_Flows[Type_Biomass],,0,)</f>
        <v>0</v>
      </c>
      <c r="E163" s="10">
        <f>_xlfn.XLOOKUP(C163,Tab_Def_Flows[Name(EN)],Tab_Def_Flows[Output_Process],,0,)</f>
        <v>0</v>
      </c>
      <c r="F163" s="10">
        <f>_xlfn.XLOOKUP(C163,Tab_Def_Flows[Name(EN)],Tab_Def_Flows[Process_ID_O],,0,)</f>
        <v>0</v>
      </c>
      <c r="G163" s="10">
        <f>_xlfn.XLOOKUP(C163,Tab_Def_Flows[Name(EN)],Tab_Def_Flows[Input_Process],,0,)</f>
        <v>0</v>
      </c>
      <c r="H163" s="18">
        <f>_xlfn.XLOOKUP(C163,Tab_Def_Flows[Name(EN)],Tab_Def_Flows[Process_ID_I],,0,)</f>
        <v>0</v>
      </c>
      <c r="I163" s="10" t="e">
        <f>_xlfn.XLOOKUP(C163,Tab_Def_Flows[Name(EN)],#REF!,,0,)</f>
        <v>#REF!</v>
      </c>
      <c r="J163" s="10">
        <f>_xlfn.XLOOKUP(C163,Tab_Def_Flows[Name(EN)],Tab_Def_Flows[WC?],,0,)</f>
        <v>0</v>
      </c>
      <c r="K163" s="10">
        <f>_xlfn.XLOOKUP(C163,Tab_Def_Flows[Name(EN)],Tab_Def_Flows[DM?],,0,)</f>
        <v>0</v>
      </c>
      <c r="L163" s="10">
        <f>_xlfn.XLOOKUP(C163,Tab_Def_Flows[Name(EN)],Tab_Def_Flows[CC?],,0,)</f>
        <v>0</v>
      </c>
      <c r="M163" s="12"/>
      <c r="N163" s="12"/>
      <c r="O163" s="50"/>
      <c r="P163" s="12"/>
      <c r="Q163" s="12"/>
      <c r="R163" s="12" t="e">
        <f>INDEX(#REF!,MATCH(Tab_Data_Flows[[#This Row],[Name(EN)]],#REF!,0),12)</f>
        <v>#REF!</v>
      </c>
      <c r="S163" s="12" t="e">
        <f>MATCH(Tab_Data_Flows[[#This Row],[Name(EN)]],#REF!,0)</f>
        <v>#REF!</v>
      </c>
      <c r="T163" s="12"/>
      <c r="U163" s="12"/>
      <c r="V163" s="12"/>
      <c r="W163" s="12"/>
      <c r="X163" s="12" t="s">
        <v>8</v>
      </c>
      <c r="Y163" s="12"/>
      <c r="Z163" s="12"/>
      <c r="AA163" s="36">
        <f t="shared" si="5"/>
        <v>0</v>
      </c>
      <c r="AB163" s="12" t="s">
        <v>283</v>
      </c>
      <c r="AC163" s="193">
        <f>INDEX(Tab_Def_Flows[[Flow_ID]:[CC_DM_source]],MATCH(Tab_Data_Flows[[#This Row],[Name(EN)]],Tab_Def_Flows[Name(EN)],0),13)</f>
        <v>0</v>
      </c>
      <c r="AD163" s="10" t="str">
        <f>IF(J163="Yes",AA163*Tab_Data_Flows[[#This Row],[WC_'[%']]],"N.A.")</f>
        <v>N.A.</v>
      </c>
      <c r="AE163" s="10" t="str">
        <f>Tab_Data_Flows[[#This Row],[UoM_Flow_Py]]</f>
        <v>Mg</v>
      </c>
      <c r="AF163" s="193">
        <f>INDEX(Tab_Def_Flows[[Flow_ID]:[CC_DM_source]],MATCH(Tab_Data_Flows[[#This Row],[Name(EN)]],Tab_Def_Flows[Name(EN)],0),15)</f>
        <v>0</v>
      </c>
      <c r="AG163" s="10" t="str">
        <f>IF(K163="Yes",AF163*Tab_Data_Flows[[#This Row],[Flow_Py]]-AJ279,"N.A.")</f>
        <v>N.A.</v>
      </c>
      <c r="AH163" s="10" t="str">
        <f>Tab_Data_Flows[[#This Row],[UoM_Flow_Py]]</f>
        <v>Mg</v>
      </c>
      <c r="AI163" s="193">
        <f>INDEX(Tab_Def_Flows[[Flow_ID]:[CC_DM_source]],MATCH(Tab_Data_Flows[[#This Row],[Name(EN)]],Tab_Def_Flows[Name(EN)],0),17)</f>
        <v>0</v>
      </c>
      <c r="AJ163" s="10" t="str">
        <f>IF(L163="Yes",AI163*Tab_Data_Flows[[#This Row],[Flow_Py]]*Tab_Data_Flows[[#This Row],[DM_'[%']]],"N.A.")</f>
        <v>N.A.</v>
      </c>
      <c r="AK163" s="10" t="str">
        <f>Tab_Data_Flows[[#This Row],[UoM_Flow_Py]]</f>
        <v>Mg</v>
      </c>
    </row>
    <row r="164" spans="1:37" x14ac:dyDescent="0.25">
      <c r="A164" s="17">
        <f t="shared" si="4"/>
        <v>163</v>
      </c>
      <c r="B164" s="10" t="str">
        <f>_xlfn.XLOOKUP(C164,Tab_Def_Flows[Name(EN)],Tab_Def_Flows[Flow_ID],,0,)</f>
        <v>N.A.</v>
      </c>
      <c r="C164" s="12" t="s">
        <v>35</v>
      </c>
      <c r="D164" s="10">
        <f>_xlfn.XLOOKUP(C164,Tab_Def_Flows[Name(EN)],Tab_Def_Flows[Type_Biomass],,0,)</f>
        <v>0</v>
      </c>
      <c r="E164" s="10">
        <f>_xlfn.XLOOKUP(C164,Tab_Def_Flows[Name(EN)],Tab_Def_Flows[Output_Process],,0,)</f>
        <v>0</v>
      </c>
      <c r="F164" s="10">
        <f>_xlfn.XLOOKUP(C164,Tab_Def_Flows[Name(EN)],Tab_Def_Flows[Process_ID_O],,0,)</f>
        <v>0</v>
      </c>
      <c r="G164" s="10">
        <f>_xlfn.XLOOKUP(C164,Tab_Def_Flows[Name(EN)],Tab_Def_Flows[Input_Process],,0,)</f>
        <v>0</v>
      </c>
      <c r="H164" s="18">
        <f>_xlfn.XLOOKUP(C164,Tab_Def_Flows[Name(EN)],Tab_Def_Flows[Process_ID_I],,0,)</f>
        <v>0</v>
      </c>
      <c r="I164" s="10" t="e">
        <f>_xlfn.XLOOKUP(C164,Tab_Def_Flows[Name(EN)],#REF!,,0,)</f>
        <v>#REF!</v>
      </c>
      <c r="J164" s="10">
        <f>_xlfn.XLOOKUP(C164,Tab_Def_Flows[Name(EN)],Tab_Def_Flows[WC?],,0,)</f>
        <v>0</v>
      </c>
      <c r="K164" s="10">
        <f>_xlfn.XLOOKUP(C164,Tab_Def_Flows[Name(EN)],Tab_Def_Flows[DM?],,0,)</f>
        <v>0</v>
      </c>
      <c r="L164" s="10">
        <f>_xlfn.XLOOKUP(C164,Tab_Def_Flows[Name(EN)],Tab_Def_Flows[CC?],,0,)</f>
        <v>0</v>
      </c>
      <c r="M164" s="12"/>
      <c r="N164" s="12"/>
      <c r="O164" s="50"/>
      <c r="P164" s="12"/>
      <c r="Q164" s="12"/>
      <c r="R164" s="12" t="e">
        <f>INDEX(#REF!,MATCH(Tab_Data_Flows[[#This Row],[Name(EN)]],#REF!,0),12)</f>
        <v>#REF!</v>
      </c>
      <c r="S164" s="12" t="e">
        <f>MATCH(Tab_Data_Flows[[#This Row],[Name(EN)]],#REF!,0)</f>
        <v>#REF!</v>
      </c>
      <c r="T164" s="12"/>
      <c r="U164" s="12"/>
      <c r="V164" s="12"/>
      <c r="W164" s="12"/>
      <c r="X164" s="12" t="s">
        <v>8</v>
      </c>
      <c r="Y164" s="12"/>
      <c r="Z164" s="12"/>
      <c r="AA164" s="36">
        <f t="shared" si="5"/>
        <v>0</v>
      </c>
      <c r="AB164" s="12" t="s">
        <v>283</v>
      </c>
      <c r="AC164" s="193">
        <f>INDEX(Tab_Def_Flows[[Flow_ID]:[CC_DM_source]],MATCH(Tab_Data_Flows[[#This Row],[Name(EN)]],Tab_Def_Flows[Name(EN)],0),13)</f>
        <v>0</v>
      </c>
      <c r="AD164" s="10" t="str">
        <f>IF(J164="Yes",AA164*Tab_Data_Flows[[#This Row],[WC_'[%']]],"N.A.")</f>
        <v>N.A.</v>
      </c>
      <c r="AE164" s="10" t="str">
        <f>Tab_Data_Flows[[#This Row],[UoM_Flow_Py]]</f>
        <v>Mg</v>
      </c>
      <c r="AF164" s="193">
        <f>INDEX(Tab_Def_Flows[[Flow_ID]:[CC_DM_source]],MATCH(Tab_Data_Flows[[#This Row],[Name(EN)]],Tab_Def_Flows[Name(EN)],0),15)</f>
        <v>0</v>
      </c>
      <c r="AG164" s="10" t="str">
        <f>IF(K164="Yes",AF164*Tab_Data_Flows[[#This Row],[Flow_Py]]-AJ280,"N.A.")</f>
        <v>N.A.</v>
      </c>
      <c r="AH164" s="10" t="str">
        <f>Tab_Data_Flows[[#This Row],[UoM_Flow_Py]]</f>
        <v>Mg</v>
      </c>
      <c r="AI164" s="193">
        <f>INDEX(Tab_Def_Flows[[Flow_ID]:[CC_DM_source]],MATCH(Tab_Data_Flows[[#This Row],[Name(EN)]],Tab_Def_Flows[Name(EN)],0),17)</f>
        <v>0</v>
      </c>
      <c r="AJ164" s="10" t="str">
        <f>IF(L164="Yes",AI164*Tab_Data_Flows[[#This Row],[Flow_Py]]*Tab_Data_Flows[[#This Row],[DM_'[%']]],"N.A.")</f>
        <v>N.A.</v>
      </c>
      <c r="AK164" s="10" t="str">
        <f>Tab_Data_Flows[[#This Row],[UoM_Flow_Py]]</f>
        <v>Mg</v>
      </c>
    </row>
    <row r="165" spans="1:37" x14ac:dyDescent="0.25">
      <c r="A165" s="17">
        <f t="shared" si="4"/>
        <v>164</v>
      </c>
      <c r="B165" s="10" t="str">
        <f>_xlfn.XLOOKUP(C165,Tab_Def_Flows[Name(EN)],Tab_Def_Flows[Flow_ID],,0,)</f>
        <v>N.A.</v>
      </c>
      <c r="C165" s="12" t="s">
        <v>35</v>
      </c>
      <c r="D165" s="10">
        <f>_xlfn.XLOOKUP(C165,Tab_Def_Flows[Name(EN)],Tab_Def_Flows[Type_Biomass],,0,)</f>
        <v>0</v>
      </c>
      <c r="E165" s="10">
        <f>_xlfn.XLOOKUP(C165,Tab_Def_Flows[Name(EN)],Tab_Def_Flows[Output_Process],,0,)</f>
        <v>0</v>
      </c>
      <c r="F165" s="10">
        <f>_xlfn.XLOOKUP(C165,Tab_Def_Flows[Name(EN)],Tab_Def_Flows[Process_ID_O],,0,)</f>
        <v>0</v>
      </c>
      <c r="G165" s="10">
        <f>_xlfn.XLOOKUP(C165,Tab_Def_Flows[Name(EN)],Tab_Def_Flows[Input_Process],,0,)</f>
        <v>0</v>
      </c>
      <c r="H165" s="18">
        <f>_xlfn.XLOOKUP(C165,Tab_Def_Flows[Name(EN)],Tab_Def_Flows[Process_ID_I],,0,)</f>
        <v>0</v>
      </c>
      <c r="I165" s="10" t="e">
        <f>_xlfn.XLOOKUP(C165,Tab_Def_Flows[Name(EN)],#REF!,,0,)</f>
        <v>#REF!</v>
      </c>
      <c r="J165" s="10">
        <f>_xlfn.XLOOKUP(C165,Tab_Def_Flows[Name(EN)],Tab_Def_Flows[WC?],,0,)</f>
        <v>0</v>
      </c>
      <c r="K165" s="10">
        <f>_xlfn.XLOOKUP(C165,Tab_Def_Flows[Name(EN)],Tab_Def_Flows[DM?],,0,)</f>
        <v>0</v>
      </c>
      <c r="L165" s="10">
        <f>_xlfn.XLOOKUP(C165,Tab_Def_Flows[Name(EN)],Tab_Def_Flows[CC?],,0,)</f>
        <v>0</v>
      </c>
      <c r="M165" s="12"/>
      <c r="N165" s="12"/>
      <c r="O165" s="50"/>
      <c r="P165" s="12"/>
      <c r="Q165" s="12"/>
      <c r="R165" s="12" t="e">
        <f>INDEX(#REF!,MATCH(Tab_Data_Flows[[#This Row],[Name(EN)]],#REF!,0),12)</f>
        <v>#REF!</v>
      </c>
      <c r="S165" s="12" t="e">
        <f>MATCH(Tab_Data_Flows[[#This Row],[Name(EN)]],#REF!,0)</f>
        <v>#REF!</v>
      </c>
      <c r="T165" s="12"/>
      <c r="U165" s="12"/>
      <c r="V165" s="12"/>
      <c r="W165" s="12"/>
      <c r="X165" s="12" t="s">
        <v>8</v>
      </c>
      <c r="Y165" s="12"/>
      <c r="Z165" s="12"/>
      <c r="AA165" s="36">
        <f t="shared" si="5"/>
        <v>0</v>
      </c>
      <c r="AB165" s="12" t="s">
        <v>283</v>
      </c>
      <c r="AC165" s="193">
        <f>INDEX(Tab_Def_Flows[[Flow_ID]:[CC_DM_source]],MATCH(Tab_Data_Flows[[#This Row],[Name(EN)]],Tab_Def_Flows[Name(EN)],0),13)</f>
        <v>0</v>
      </c>
      <c r="AD165" s="10" t="str">
        <f>IF(J165="Yes",AA165*Tab_Data_Flows[[#This Row],[WC_'[%']]],"N.A.")</f>
        <v>N.A.</v>
      </c>
      <c r="AE165" s="10" t="str">
        <f>Tab_Data_Flows[[#This Row],[UoM_Flow_Py]]</f>
        <v>Mg</v>
      </c>
      <c r="AF165" s="193">
        <f>INDEX(Tab_Def_Flows[[Flow_ID]:[CC_DM_source]],MATCH(Tab_Data_Flows[[#This Row],[Name(EN)]],Tab_Def_Flows[Name(EN)],0),15)</f>
        <v>0</v>
      </c>
      <c r="AG165" s="10" t="str">
        <f>IF(K165="Yes",AF165*Tab_Data_Flows[[#This Row],[Flow_Py]]-AJ281,"N.A.")</f>
        <v>N.A.</v>
      </c>
      <c r="AH165" s="10" t="str">
        <f>Tab_Data_Flows[[#This Row],[UoM_Flow_Py]]</f>
        <v>Mg</v>
      </c>
      <c r="AI165" s="193">
        <f>INDEX(Tab_Def_Flows[[Flow_ID]:[CC_DM_source]],MATCH(Tab_Data_Flows[[#This Row],[Name(EN)]],Tab_Def_Flows[Name(EN)],0),17)</f>
        <v>0</v>
      </c>
      <c r="AJ165" s="10" t="str">
        <f>IF(L165="Yes",AI165*Tab_Data_Flows[[#This Row],[Flow_Py]]*Tab_Data_Flows[[#This Row],[DM_'[%']]],"N.A.")</f>
        <v>N.A.</v>
      </c>
      <c r="AK165" s="10" t="str">
        <f>Tab_Data_Flows[[#This Row],[UoM_Flow_Py]]</f>
        <v>Mg</v>
      </c>
    </row>
    <row r="166" spans="1:37" x14ac:dyDescent="0.25">
      <c r="A166" s="17">
        <f t="shared" si="4"/>
        <v>165</v>
      </c>
      <c r="B166" s="10" t="str">
        <f>_xlfn.XLOOKUP(C166,Tab_Def_Flows[Name(EN)],Tab_Def_Flows[Flow_ID],,0,)</f>
        <v>N.A.</v>
      </c>
      <c r="C166" s="12" t="s">
        <v>35</v>
      </c>
      <c r="D166" s="10">
        <f>_xlfn.XLOOKUP(C166,Tab_Def_Flows[Name(EN)],Tab_Def_Flows[Type_Biomass],,0,)</f>
        <v>0</v>
      </c>
      <c r="E166" s="10">
        <f>_xlfn.XLOOKUP(C166,Tab_Def_Flows[Name(EN)],Tab_Def_Flows[Output_Process],,0,)</f>
        <v>0</v>
      </c>
      <c r="F166" s="10">
        <f>_xlfn.XLOOKUP(C166,Tab_Def_Flows[Name(EN)],Tab_Def_Flows[Process_ID_O],,0,)</f>
        <v>0</v>
      </c>
      <c r="G166" s="10">
        <f>_xlfn.XLOOKUP(C166,Tab_Def_Flows[Name(EN)],Tab_Def_Flows[Input_Process],,0,)</f>
        <v>0</v>
      </c>
      <c r="H166" s="18">
        <f>_xlfn.XLOOKUP(C166,Tab_Def_Flows[Name(EN)],Tab_Def_Flows[Process_ID_I],,0,)</f>
        <v>0</v>
      </c>
      <c r="I166" s="10" t="e">
        <f>_xlfn.XLOOKUP(C166,Tab_Def_Flows[Name(EN)],#REF!,,0,)</f>
        <v>#REF!</v>
      </c>
      <c r="J166" s="10">
        <f>_xlfn.XLOOKUP(C166,Tab_Def_Flows[Name(EN)],Tab_Def_Flows[WC?],,0,)</f>
        <v>0</v>
      </c>
      <c r="K166" s="10">
        <f>_xlfn.XLOOKUP(C166,Tab_Def_Flows[Name(EN)],Tab_Def_Flows[DM?],,0,)</f>
        <v>0</v>
      </c>
      <c r="L166" s="10">
        <f>_xlfn.XLOOKUP(C166,Tab_Def_Flows[Name(EN)],Tab_Def_Flows[CC?],,0,)</f>
        <v>0</v>
      </c>
      <c r="M166" s="12"/>
      <c r="N166" s="12"/>
      <c r="O166" s="50"/>
      <c r="P166" s="12"/>
      <c r="Q166" s="12"/>
      <c r="R166" s="12" t="e">
        <f>INDEX(#REF!,MATCH(Tab_Data_Flows[[#This Row],[Name(EN)]],#REF!,0),12)</f>
        <v>#REF!</v>
      </c>
      <c r="S166" s="12" t="e">
        <f>MATCH(Tab_Data_Flows[[#This Row],[Name(EN)]],#REF!,0)</f>
        <v>#REF!</v>
      </c>
      <c r="T166" s="12"/>
      <c r="U166" s="12"/>
      <c r="V166" s="12"/>
      <c r="W166" s="12"/>
      <c r="X166" s="12" t="s">
        <v>8</v>
      </c>
      <c r="Y166" s="12"/>
      <c r="Z166" s="12"/>
      <c r="AA166" s="36">
        <f t="shared" si="5"/>
        <v>0</v>
      </c>
      <c r="AB166" s="12" t="s">
        <v>283</v>
      </c>
      <c r="AC166" s="193">
        <f>INDEX(Tab_Def_Flows[[Flow_ID]:[CC_DM_source]],MATCH(Tab_Data_Flows[[#This Row],[Name(EN)]],Tab_Def_Flows[Name(EN)],0),13)</f>
        <v>0</v>
      </c>
      <c r="AD166" s="10" t="str">
        <f>IF(J166="Yes",AA166*Tab_Data_Flows[[#This Row],[WC_'[%']]],"N.A.")</f>
        <v>N.A.</v>
      </c>
      <c r="AE166" s="10" t="str">
        <f>Tab_Data_Flows[[#This Row],[UoM_Flow_Py]]</f>
        <v>Mg</v>
      </c>
      <c r="AF166" s="193">
        <f>INDEX(Tab_Def_Flows[[Flow_ID]:[CC_DM_source]],MATCH(Tab_Data_Flows[[#This Row],[Name(EN)]],Tab_Def_Flows[Name(EN)],0),15)</f>
        <v>0</v>
      </c>
      <c r="AG166" s="10" t="str">
        <f>IF(K166="Yes",AF166*Tab_Data_Flows[[#This Row],[Flow_Py]]-AJ282,"N.A.")</f>
        <v>N.A.</v>
      </c>
      <c r="AH166" s="10" t="str">
        <f>Tab_Data_Flows[[#This Row],[UoM_Flow_Py]]</f>
        <v>Mg</v>
      </c>
      <c r="AI166" s="193">
        <f>INDEX(Tab_Def_Flows[[Flow_ID]:[CC_DM_source]],MATCH(Tab_Data_Flows[[#This Row],[Name(EN)]],Tab_Def_Flows[Name(EN)],0),17)</f>
        <v>0</v>
      </c>
      <c r="AJ166" s="10" t="str">
        <f>IF(L166="Yes",AI166*Tab_Data_Flows[[#This Row],[Flow_Py]]*Tab_Data_Flows[[#This Row],[DM_'[%']]],"N.A.")</f>
        <v>N.A.</v>
      </c>
      <c r="AK166" s="10" t="str">
        <f>Tab_Data_Flows[[#This Row],[UoM_Flow_Py]]</f>
        <v>Mg</v>
      </c>
    </row>
    <row r="167" spans="1:37" x14ac:dyDescent="0.25">
      <c r="A167" s="17">
        <f t="shared" si="4"/>
        <v>166</v>
      </c>
      <c r="B167" s="10" t="str">
        <f>_xlfn.XLOOKUP(C167,Tab_Def_Flows[Name(EN)],Tab_Def_Flows[Flow_ID],,0,)</f>
        <v>N.A.</v>
      </c>
      <c r="C167" s="12" t="s">
        <v>35</v>
      </c>
      <c r="D167" s="10">
        <f>_xlfn.XLOOKUP(C167,Tab_Def_Flows[Name(EN)],Tab_Def_Flows[Type_Biomass],,0,)</f>
        <v>0</v>
      </c>
      <c r="E167" s="10">
        <f>_xlfn.XLOOKUP(C167,Tab_Def_Flows[Name(EN)],Tab_Def_Flows[Output_Process],,0,)</f>
        <v>0</v>
      </c>
      <c r="F167" s="10">
        <f>_xlfn.XLOOKUP(C167,Tab_Def_Flows[Name(EN)],Tab_Def_Flows[Process_ID_O],,0,)</f>
        <v>0</v>
      </c>
      <c r="G167" s="10">
        <f>_xlfn.XLOOKUP(C167,Tab_Def_Flows[Name(EN)],Tab_Def_Flows[Input_Process],,0,)</f>
        <v>0</v>
      </c>
      <c r="H167" s="18">
        <f>_xlfn.XLOOKUP(C167,Tab_Def_Flows[Name(EN)],Tab_Def_Flows[Process_ID_I],,0,)</f>
        <v>0</v>
      </c>
      <c r="I167" s="10" t="e">
        <f>_xlfn.XLOOKUP(C167,Tab_Def_Flows[Name(EN)],#REF!,,0,)</f>
        <v>#REF!</v>
      </c>
      <c r="J167" s="10">
        <f>_xlfn.XLOOKUP(C167,Tab_Def_Flows[Name(EN)],Tab_Def_Flows[WC?],,0,)</f>
        <v>0</v>
      </c>
      <c r="K167" s="10">
        <f>_xlfn.XLOOKUP(C167,Tab_Def_Flows[Name(EN)],Tab_Def_Flows[DM?],,0,)</f>
        <v>0</v>
      </c>
      <c r="L167" s="10">
        <f>_xlfn.XLOOKUP(C167,Tab_Def_Flows[Name(EN)],Tab_Def_Flows[CC?],,0,)</f>
        <v>0</v>
      </c>
      <c r="M167" s="12"/>
      <c r="N167" s="12"/>
      <c r="O167" s="50"/>
      <c r="P167" s="12"/>
      <c r="Q167" s="12"/>
      <c r="R167" s="12" t="e">
        <f>INDEX(#REF!,MATCH(Tab_Data_Flows[[#This Row],[Name(EN)]],#REF!,0),12)</f>
        <v>#REF!</v>
      </c>
      <c r="S167" s="12" t="e">
        <f>MATCH(Tab_Data_Flows[[#This Row],[Name(EN)]],#REF!,0)</f>
        <v>#REF!</v>
      </c>
      <c r="T167" s="12"/>
      <c r="U167" s="12"/>
      <c r="V167" s="12"/>
      <c r="W167" s="12"/>
      <c r="X167" s="12" t="s">
        <v>8</v>
      </c>
      <c r="Y167" s="12"/>
      <c r="Z167" s="12"/>
      <c r="AA167" s="36">
        <f t="shared" si="5"/>
        <v>0</v>
      </c>
      <c r="AB167" s="12" t="s">
        <v>283</v>
      </c>
      <c r="AC167" s="193">
        <f>INDEX(Tab_Def_Flows[[Flow_ID]:[CC_DM_source]],MATCH(Tab_Data_Flows[[#This Row],[Name(EN)]],Tab_Def_Flows[Name(EN)],0),13)</f>
        <v>0</v>
      </c>
      <c r="AD167" s="10" t="str">
        <f>IF(J167="Yes",AA167*Tab_Data_Flows[[#This Row],[WC_'[%']]],"N.A.")</f>
        <v>N.A.</v>
      </c>
      <c r="AE167" s="10" t="str">
        <f>Tab_Data_Flows[[#This Row],[UoM_Flow_Py]]</f>
        <v>Mg</v>
      </c>
      <c r="AF167" s="193">
        <f>INDEX(Tab_Def_Flows[[Flow_ID]:[CC_DM_source]],MATCH(Tab_Data_Flows[[#This Row],[Name(EN)]],Tab_Def_Flows[Name(EN)],0),15)</f>
        <v>0</v>
      </c>
      <c r="AG167" s="10" t="str">
        <f>IF(K167="Yes",AF167*Tab_Data_Flows[[#This Row],[Flow_Py]]-AJ283,"N.A.")</f>
        <v>N.A.</v>
      </c>
      <c r="AH167" s="10" t="str">
        <f>Tab_Data_Flows[[#This Row],[UoM_Flow_Py]]</f>
        <v>Mg</v>
      </c>
      <c r="AI167" s="193">
        <f>INDEX(Tab_Def_Flows[[Flow_ID]:[CC_DM_source]],MATCH(Tab_Data_Flows[[#This Row],[Name(EN)]],Tab_Def_Flows[Name(EN)],0),17)</f>
        <v>0</v>
      </c>
      <c r="AJ167" s="10" t="str">
        <f>IF(L167="Yes",AI167*Tab_Data_Flows[[#This Row],[Flow_Py]]*Tab_Data_Flows[[#This Row],[DM_'[%']]],"N.A.")</f>
        <v>N.A.</v>
      </c>
      <c r="AK167" s="10" t="str">
        <f>Tab_Data_Flows[[#This Row],[UoM_Flow_Py]]</f>
        <v>Mg</v>
      </c>
    </row>
    <row r="168" spans="1:37" x14ac:dyDescent="0.25">
      <c r="A168" s="17">
        <f t="shared" si="4"/>
        <v>167</v>
      </c>
      <c r="B168" s="10" t="str">
        <f>_xlfn.XLOOKUP(C168,Tab_Def_Flows[Name(EN)],Tab_Def_Flows[Flow_ID],,0,)</f>
        <v>N.A.</v>
      </c>
      <c r="C168" s="12" t="s">
        <v>35</v>
      </c>
      <c r="D168" s="10">
        <f>_xlfn.XLOOKUP(C168,Tab_Def_Flows[Name(EN)],Tab_Def_Flows[Type_Biomass],,0,)</f>
        <v>0</v>
      </c>
      <c r="E168" s="10">
        <f>_xlfn.XLOOKUP(C168,Tab_Def_Flows[Name(EN)],Tab_Def_Flows[Output_Process],,0,)</f>
        <v>0</v>
      </c>
      <c r="F168" s="10">
        <f>_xlfn.XLOOKUP(C168,Tab_Def_Flows[Name(EN)],Tab_Def_Flows[Process_ID_O],,0,)</f>
        <v>0</v>
      </c>
      <c r="G168" s="10">
        <f>_xlfn.XLOOKUP(C168,Tab_Def_Flows[Name(EN)],Tab_Def_Flows[Input_Process],,0,)</f>
        <v>0</v>
      </c>
      <c r="H168" s="18">
        <f>_xlfn.XLOOKUP(C168,Tab_Def_Flows[Name(EN)],Tab_Def_Flows[Process_ID_I],,0,)</f>
        <v>0</v>
      </c>
      <c r="I168" s="10" t="e">
        <f>_xlfn.XLOOKUP(C168,Tab_Def_Flows[Name(EN)],#REF!,,0,)</f>
        <v>#REF!</v>
      </c>
      <c r="J168" s="10">
        <f>_xlfn.XLOOKUP(C168,Tab_Def_Flows[Name(EN)],Tab_Def_Flows[WC?],,0,)</f>
        <v>0</v>
      </c>
      <c r="K168" s="10">
        <f>_xlfn.XLOOKUP(C168,Tab_Def_Flows[Name(EN)],Tab_Def_Flows[DM?],,0,)</f>
        <v>0</v>
      </c>
      <c r="L168" s="10">
        <f>_xlfn.XLOOKUP(C168,Tab_Def_Flows[Name(EN)],Tab_Def_Flows[CC?],,0,)</f>
        <v>0</v>
      </c>
      <c r="M168" s="12"/>
      <c r="N168" s="12"/>
      <c r="O168" s="50"/>
      <c r="P168" s="12"/>
      <c r="Q168" s="12"/>
      <c r="R168" s="12" t="e">
        <f>INDEX(#REF!,MATCH(Tab_Data_Flows[[#This Row],[Name(EN)]],#REF!,0),12)</f>
        <v>#REF!</v>
      </c>
      <c r="S168" s="12" t="e">
        <f>MATCH(Tab_Data_Flows[[#This Row],[Name(EN)]],#REF!,0)</f>
        <v>#REF!</v>
      </c>
      <c r="T168" s="12"/>
      <c r="U168" s="12"/>
      <c r="V168" s="12"/>
      <c r="W168" s="12"/>
      <c r="X168" s="12" t="s">
        <v>8</v>
      </c>
      <c r="Y168" s="12"/>
      <c r="Z168" s="12"/>
      <c r="AA168" s="36">
        <f t="shared" si="5"/>
        <v>0</v>
      </c>
      <c r="AB168" s="12" t="s">
        <v>283</v>
      </c>
      <c r="AC168" s="193">
        <f>INDEX(Tab_Def_Flows[[Flow_ID]:[CC_DM_source]],MATCH(Tab_Data_Flows[[#This Row],[Name(EN)]],Tab_Def_Flows[Name(EN)],0),13)</f>
        <v>0</v>
      </c>
      <c r="AD168" s="10" t="str">
        <f>IF(J168="Yes",AA168*Tab_Data_Flows[[#This Row],[WC_'[%']]],"N.A.")</f>
        <v>N.A.</v>
      </c>
      <c r="AE168" s="10" t="str">
        <f>Tab_Data_Flows[[#This Row],[UoM_Flow_Py]]</f>
        <v>Mg</v>
      </c>
      <c r="AF168" s="193">
        <f>INDEX(Tab_Def_Flows[[Flow_ID]:[CC_DM_source]],MATCH(Tab_Data_Flows[[#This Row],[Name(EN)]],Tab_Def_Flows[Name(EN)],0),15)</f>
        <v>0</v>
      </c>
      <c r="AG168" s="10" t="str">
        <f>IF(K168="Yes",AF168*Tab_Data_Flows[[#This Row],[Flow_Py]]-AJ284,"N.A.")</f>
        <v>N.A.</v>
      </c>
      <c r="AH168" s="10" t="str">
        <f>Tab_Data_Flows[[#This Row],[UoM_Flow_Py]]</f>
        <v>Mg</v>
      </c>
      <c r="AI168" s="193">
        <f>INDEX(Tab_Def_Flows[[Flow_ID]:[CC_DM_source]],MATCH(Tab_Data_Flows[[#This Row],[Name(EN)]],Tab_Def_Flows[Name(EN)],0),17)</f>
        <v>0</v>
      </c>
      <c r="AJ168" s="10" t="str">
        <f>IF(L168="Yes",AI168*Tab_Data_Flows[[#This Row],[Flow_Py]]*Tab_Data_Flows[[#This Row],[DM_'[%']]],"N.A.")</f>
        <v>N.A.</v>
      </c>
      <c r="AK168" s="10" t="str">
        <f>Tab_Data_Flows[[#This Row],[UoM_Flow_Py]]</f>
        <v>Mg</v>
      </c>
    </row>
    <row r="169" spans="1:37" x14ac:dyDescent="0.25">
      <c r="A169" s="17">
        <f t="shared" si="4"/>
        <v>168</v>
      </c>
      <c r="B169" s="10" t="str">
        <f>_xlfn.XLOOKUP(C169,Tab_Def_Flows[Name(EN)],Tab_Def_Flows[Flow_ID],,0,)</f>
        <v>N.A.</v>
      </c>
      <c r="C169" s="12" t="s">
        <v>35</v>
      </c>
      <c r="D169" s="10">
        <f>_xlfn.XLOOKUP(C169,Tab_Def_Flows[Name(EN)],Tab_Def_Flows[Type_Biomass],,0,)</f>
        <v>0</v>
      </c>
      <c r="E169" s="10">
        <f>_xlfn.XLOOKUP(C169,Tab_Def_Flows[Name(EN)],Tab_Def_Flows[Output_Process],,0,)</f>
        <v>0</v>
      </c>
      <c r="F169" s="10">
        <f>_xlfn.XLOOKUP(C169,Tab_Def_Flows[Name(EN)],Tab_Def_Flows[Process_ID_O],,0,)</f>
        <v>0</v>
      </c>
      <c r="G169" s="10">
        <f>_xlfn.XLOOKUP(C169,Tab_Def_Flows[Name(EN)],Tab_Def_Flows[Input_Process],,0,)</f>
        <v>0</v>
      </c>
      <c r="H169" s="18">
        <f>_xlfn.XLOOKUP(C169,Tab_Def_Flows[Name(EN)],Tab_Def_Flows[Process_ID_I],,0,)</f>
        <v>0</v>
      </c>
      <c r="I169" s="10" t="e">
        <f>_xlfn.XLOOKUP(C169,Tab_Def_Flows[Name(EN)],#REF!,,0,)</f>
        <v>#REF!</v>
      </c>
      <c r="J169" s="10">
        <f>_xlfn.XLOOKUP(C169,Tab_Def_Flows[Name(EN)],Tab_Def_Flows[WC?],,0,)</f>
        <v>0</v>
      </c>
      <c r="K169" s="10">
        <f>_xlfn.XLOOKUP(C169,Tab_Def_Flows[Name(EN)],Tab_Def_Flows[DM?],,0,)</f>
        <v>0</v>
      </c>
      <c r="L169" s="10">
        <f>_xlfn.XLOOKUP(C169,Tab_Def_Flows[Name(EN)],Tab_Def_Flows[CC?],,0,)</f>
        <v>0</v>
      </c>
      <c r="M169" s="12"/>
      <c r="N169" s="12"/>
      <c r="O169" s="50"/>
      <c r="P169" s="12"/>
      <c r="Q169" s="12"/>
      <c r="R169" s="12" t="e">
        <f>INDEX(#REF!,MATCH(Tab_Data_Flows[[#This Row],[Name(EN)]],#REF!,0),12)</f>
        <v>#REF!</v>
      </c>
      <c r="S169" s="12" t="e">
        <f>MATCH(Tab_Data_Flows[[#This Row],[Name(EN)]],#REF!,0)</f>
        <v>#REF!</v>
      </c>
      <c r="T169" s="12"/>
      <c r="U169" s="12"/>
      <c r="V169" s="12"/>
      <c r="W169" s="12"/>
      <c r="X169" s="12" t="s">
        <v>8</v>
      </c>
      <c r="Y169" s="12"/>
      <c r="Z169" s="12"/>
      <c r="AA169" s="36">
        <f t="shared" si="5"/>
        <v>0</v>
      </c>
      <c r="AB169" s="12" t="s">
        <v>283</v>
      </c>
      <c r="AC169" s="193">
        <f>INDEX(Tab_Def_Flows[[Flow_ID]:[CC_DM_source]],MATCH(Tab_Data_Flows[[#This Row],[Name(EN)]],Tab_Def_Flows[Name(EN)],0),13)</f>
        <v>0</v>
      </c>
      <c r="AD169" s="10" t="str">
        <f>IF(J169="Yes",AA169*Tab_Data_Flows[[#This Row],[WC_'[%']]],"N.A.")</f>
        <v>N.A.</v>
      </c>
      <c r="AE169" s="10" t="str">
        <f>Tab_Data_Flows[[#This Row],[UoM_Flow_Py]]</f>
        <v>Mg</v>
      </c>
      <c r="AF169" s="193">
        <f>INDEX(Tab_Def_Flows[[Flow_ID]:[CC_DM_source]],MATCH(Tab_Data_Flows[[#This Row],[Name(EN)]],Tab_Def_Flows[Name(EN)],0),15)</f>
        <v>0</v>
      </c>
      <c r="AG169" s="10" t="str">
        <f>IF(K169="Yes",AF169*Tab_Data_Flows[[#This Row],[Flow_Py]]-AJ285,"N.A.")</f>
        <v>N.A.</v>
      </c>
      <c r="AH169" s="10" t="str">
        <f>Tab_Data_Flows[[#This Row],[UoM_Flow_Py]]</f>
        <v>Mg</v>
      </c>
      <c r="AI169" s="193">
        <f>INDEX(Tab_Def_Flows[[Flow_ID]:[CC_DM_source]],MATCH(Tab_Data_Flows[[#This Row],[Name(EN)]],Tab_Def_Flows[Name(EN)],0),17)</f>
        <v>0</v>
      </c>
      <c r="AJ169" s="10" t="str">
        <f>IF(L169="Yes",AI169*Tab_Data_Flows[[#This Row],[Flow_Py]]*Tab_Data_Flows[[#This Row],[DM_'[%']]],"N.A.")</f>
        <v>N.A.</v>
      </c>
      <c r="AK169" s="10" t="str">
        <f>Tab_Data_Flows[[#This Row],[UoM_Flow_Py]]</f>
        <v>Mg</v>
      </c>
    </row>
    <row r="170" spans="1:37" x14ac:dyDescent="0.25">
      <c r="A170" s="17">
        <f t="shared" si="4"/>
        <v>169</v>
      </c>
      <c r="B170" s="10" t="str">
        <f>_xlfn.XLOOKUP(C170,Tab_Def_Flows[Name(EN)],Tab_Def_Flows[Flow_ID],,0,)</f>
        <v>N.A.</v>
      </c>
      <c r="C170" s="12" t="s">
        <v>35</v>
      </c>
      <c r="D170" s="10">
        <f>_xlfn.XLOOKUP(C170,Tab_Def_Flows[Name(EN)],Tab_Def_Flows[Type_Biomass],,0,)</f>
        <v>0</v>
      </c>
      <c r="E170" s="10">
        <f>_xlfn.XLOOKUP(C170,Tab_Def_Flows[Name(EN)],Tab_Def_Flows[Output_Process],,0,)</f>
        <v>0</v>
      </c>
      <c r="F170" s="10">
        <f>_xlfn.XLOOKUP(C170,Tab_Def_Flows[Name(EN)],Tab_Def_Flows[Process_ID_O],,0,)</f>
        <v>0</v>
      </c>
      <c r="G170" s="10">
        <f>_xlfn.XLOOKUP(C170,Tab_Def_Flows[Name(EN)],Tab_Def_Flows[Input_Process],,0,)</f>
        <v>0</v>
      </c>
      <c r="H170" s="18">
        <f>_xlfn.XLOOKUP(C170,Tab_Def_Flows[Name(EN)],Tab_Def_Flows[Process_ID_I],,0,)</f>
        <v>0</v>
      </c>
      <c r="I170" s="10" t="e">
        <f>_xlfn.XLOOKUP(C170,Tab_Def_Flows[Name(EN)],#REF!,,0,)</f>
        <v>#REF!</v>
      </c>
      <c r="J170" s="10">
        <f>_xlfn.XLOOKUP(C170,Tab_Def_Flows[Name(EN)],Tab_Def_Flows[WC?],,0,)</f>
        <v>0</v>
      </c>
      <c r="K170" s="10">
        <f>_xlfn.XLOOKUP(C170,Tab_Def_Flows[Name(EN)],Tab_Def_Flows[DM?],,0,)</f>
        <v>0</v>
      </c>
      <c r="L170" s="10">
        <f>_xlfn.XLOOKUP(C170,Tab_Def_Flows[Name(EN)],Tab_Def_Flows[CC?],,0,)</f>
        <v>0</v>
      </c>
      <c r="M170" s="12"/>
      <c r="N170" s="12"/>
      <c r="O170" s="50"/>
      <c r="P170" s="12"/>
      <c r="Q170" s="12"/>
      <c r="R170" s="12" t="e">
        <f>INDEX(#REF!,MATCH(Tab_Data_Flows[[#This Row],[Name(EN)]],#REF!,0),12)</f>
        <v>#REF!</v>
      </c>
      <c r="S170" s="12" t="e">
        <f>MATCH(Tab_Data_Flows[[#This Row],[Name(EN)]],#REF!,0)</f>
        <v>#REF!</v>
      </c>
      <c r="T170" s="12"/>
      <c r="U170" s="12"/>
      <c r="V170" s="12"/>
      <c r="W170" s="12"/>
      <c r="X170" s="12" t="s">
        <v>8</v>
      </c>
      <c r="Y170" s="12"/>
      <c r="Z170" s="12"/>
      <c r="AA170" s="36">
        <f t="shared" si="5"/>
        <v>0</v>
      </c>
      <c r="AB170" s="12" t="s">
        <v>283</v>
      </c>
      <c r="AC170" s="193">
        <f>INDEX(Tab_Def_Flows[[Flow_ID]:[CC_DM_source]],MATCH(Tab_Data_Flows[[#This Row],[Name(EN)]],Tab_Def_Flows[Name(EN)],0),13)</f>
        <v>0</v>
      </c>
      <c r="AD170" s="10" t="str">
        <f>IF(J170="Yes",AA170*Tab_Data_Flows[[#This Row],[WC_'[%']]],"N.A.")</f>
        <v>N.A.</v>
      </c>
      <c r="AE170" s="10" t="str">
        <f>Tab_Data_Flows[[#This Row],[UoM_Flow_Py]]</f>
        <v>Mg</v>
      </c>
      <c r="AF170" s="193">
        <f>INDEX(Tab_Def_Flows[[Flow_ID]:[CC_DM_source]],MATCH(Tab_Data_Flows[[#This Row],[Name(EN)]],Tab_Def_Flows[Name(EN)],0),15)</f>
        <v>0</v>
      </c>
      <c r="AG170" s="10" t="str">
        <f>IF(K170="Yes",AF170*Tab_Data_Flows[[#This Row],[Flow_Py]]-AJ286,"N.A.")</f>
        <v>N.A.</v>
      </c>
      <c r="AH170" s="10" t="str">
        <f>Tab_Data_Flows[[#This Row],[UoM_Flow_Py]]</f>
        <v>Mg</v>
      </c>
      <c r="AI170" s="193">
        <f>INDEX(Tab_Def_Flows[[Flow_ID]:[CC_DM_source]],MATCH(Tab_Data_Flows[[#This Row],[Name(EN)]],Tab_Def_Flows[Name(EN)],0),17)</f>
        <v>0</v>
      </c>
      <c r="AJ170" s="10" t="str">
        <f>IF(L170="Yes",AI170*Tab_Data_Flows[[#This Row],[Flow_Py]]*Tab_Data_Flows[[#This Row],[DM_'[%']]],"N.A.")</f>
        <v>N.A.</v>
      </c>
      <c r="AK170" s="10" t="str">
        <f>Tab_Data_Flows[[#This Row],[UoM_Flow_Py]]</f>
        <v>Mg</v>
      </c>
    </row>
    <row r="171" spans="1:37" x14ac:dyDescent="0.25">
      <c r="A171" s="17">
        <f t="shared" si="4"/>
        <v>170</v>
      </c>
      <c r="B171" s="10" t="str">
        <f>_xlfn.XLOOKUP(C171,Tab_Def_Flows[Name(EN)],Tab_Def_Flows[Flow_ID],,0,)</f>
        <v>N.A.</v>
      </c>
      <c r="C171" s="12" t="s">
        <v>35</v>
      </c>
      <c r="D171" s="10">
        <f>_xlfn.XLOOKUP(C171,Tab_Def_Flows[Name(EN)],Tab_Def_Flows[Type_Biomass],,0,)</f>
        <v>0</v>
      </c>
      <c r="E171" s="10">
        <f>_xlfn.XLOOKUP(C171,Tab_Def_Flows[Name(EN)],Tab_Def_Flows[Output_Process],,0,)</f>
        <v>0</v>
      </c>
      <c r="F171" s="10">
        <f>_xlfn.XLOOKUP(C171,Tab_Def_Flows[Name(EN)],Tab_Def_Flows[Process_ID_O],,0,)</f>
        <v>0</v>
      </c>
      <c r="G171" s="10">
        <f>_xlfn.XLOOKUP(C171,Tab_Def_Flows[Name(EN)],Tab_Def_Flows[Input_Process],,0,)</f>
        <v>0</v>
      </c>
      <c r="H171" s="18">
        <f>_xlfn.XLOOKUP(C171,Tab_Def_Flows[Name(EN)],Tab_Def_Flows[Process_ID_I],,0,)</f>
        <v>0</v>
      </c>
      <c r="I171" s="10" t="e">
        <f>_xlfn.XLOOKUP(C171,Tab_Def_Flows[Name(EN)],#REF!,,0,)</f>
        <v>#REF!</v>
      </c>
      <c r="J171" s="10">
        <f>_xlfn.XLOOKUP(C171,Tab_Def_Flows[Name(EN)],Tab_Def_Flows[WC?],,0,)</f>
        <v>0</v>
      </c>
      <c r="K171" s="10">
        <f>_xlfn.XLOOKUP(C171,Tab_Def_Flows[Name(EN)],Tab_Def_Flows[DM?],,0,)</f>
        <v>0</v>
      </c>
      <c r="L171" s="10">
        <f>_xlfn.XLOOKUP(C171,Tab_Def_Flows[Name(EN)],Tab_Def_Flows[CC?],,0,)</f>
        <v>0</v>
      </c>
      <c r="M171" s="12"/>
      <c r="N171" s="12"/>
      <c r="O171" s="50"/>
      <c r="P171" s="12"/>
      <c r="Q171" s="12"/>
      <c r="R171" s="12" t="e">
        <f>INDEX(#REF!,MATCH(Tab_Data_Flows[[#This Row],[Name(EN)]],#REF!,0),12)</f>
        <v>#REF!</v>
      </c>
      <c r="S171" s="12" t="e">
        <f>MATCH(Tab_Data_Flows[[#This Row],[Name(EN)]],#REF!,0)</f>
        <v>#REF!</v>
      </c>
      <c r="T171" s="12"/>
      <c r="U171" s="12"/>
      <c r="V171" s="12"/>
      <c r="W171" s="12"/>
      <c r="X171" s="12" t="s">
        <v>8</v>
      </c>
      <c r="Y171" s="12"/>
      <c r="Z171" s="12"/>
      <c r="AA171" s="36">
        <f t="shared" si="5"/>
        <v>0</v>
      </c>
      <c r="AB171" s="12" t="s">
        <v>283</v>
      </c>
      <c r="AC171" s="193">
        <f>INDEX(Tab_Def_Flows[[Flow_ID]:[CC_DM_source]],MATCH(Tab_Data_Flows[[#This Row],[Name(EN)]],Tab_Def_Flows[Name(EN)],0),13)</f>
        <v>0</v>
      </c>
      <c r="AD171" s="10" t="str">
        <f>IF(J171="Yes",AA171*Tab_Data_Flows[[#This Row],[WC_'[%']]],"N.A.")</f>
        <v>N.A.</v>
      </c>
      <c r="AE171" s="10" t="str">
        <f>Tab_Data_Flows[[#This Row],[UoM_Flow_Py]]</f>
        <v>Mg</v>
      </c>
      <c r="AF171" s="193">
        <f>INDEX(Tab_Def_Flows[[Flow_ID]:[CC_DM_source]],MATCH(Tab_Data_Flows[[#This Row],[Name(EN)]],Tab_Def_Flows[Name(EN)],0),15)</f>
        <v>0</v>
      </c>
      <c r="AG171" s="10" t="str">
        <f>IF(K171="Yes",AF171*Tab_Data_Flows[[#This Row],[Flow_Py]]-AJ287,"N.A.")</f>
        <v>N.A.</v>
      </c>
      <c r="AH171" s="10" t="str">
        <f>Tab_Data_Flows[[#This Row],[UoM_Flow_Py]]</f>
        <v>Mg</v>
      </c>
      <c r="AI171" s="193">
        <f>INDEX(Tab_Def_Flows[[Flow_ID]:[CC_DM_source]],MATCH(Tab_Data_Flows[[#This Row],[Name(EN)]],Tab_Def_Flows[Name(EN)],0),17)</f>
        <v>0</v>
      </c>
      <c r="AJ171" s="10" t="str">
        <f>IF(L171="Yes",AI171*Tab_Data_Flows[[#This Row],[Flow_Py]]*Tab_Data_Flows[[#This Row],[DM_'[%']]],"N.A.")</f>
        <v>N.A.</v>
      </c>
      <c r="AK171" s="10" t="str">
        <f>Tab_Data_Flows[[#This Row],[UoM_Flow_Py]]</f>
        <v>Mg</v>
      </c>
    </row>
    <row r="172" spans="1:37" x14ac:dyDescent="0.25">
      <c r="A172" s="17">
        <f t="shared" si="4"/>
        <v>171</v>
      </c>
      <c r="B172" s="10" t="str">
        <f>_xlfn.XLOOKUP(C172,Tab_Def_Flows[Name(EN)],Tab_Def_Flows[Flow_ID],,0,)</f>
        <v>N.A.</v>
      </c>
      <c r="C172" s="12" t="s">
        <v>35</v>
      </c>
      <c r="D172" s="10">
        <f>_xlfn.XLOOKUP(C172,Tab_Def_Flows[Name(EN)],Tab_Def_Flows[Type_Biomass],,0,)</f>
        <v>0</v>
      </c>
      <c r="E172" s="10">
        <f>_xlfn.XLOOKUP(C172,Tab_Def_Flows[Name(EN)],Tab_Def_Flows[Output_Process],,0,)</f>
        <v>0</v>
      </c>
      <c r="F172" s="10">
        <f>_xlfn.XLOOKUP(C172,Tab_Def_Flows[Name(EN)],Tab_Def_Flows[Process_ID_O],,0,)</f>
        <v>0</v>
      </c>
      <c r="G172" s="10">
        <f>_xlfn.XLOOKUP(C172,Tab_Def_Flows[Name(EN)],Tab_Def_Flows[Input_Process],,0,)</f>
        <v>0</v>
      </c>
      <c r="H172" s="18">
        <f>_xlfn.XLOOKUP(C172,Tab_Def_Flows[Name(EN)],Tab_Def_Flows[Process_ID_I],,0,)</f>
        <v>0</v>
      </c>
      <c r="I172" s="10" t="e">
        <f>_xlfn.XLOOKUP(C172,Tab_Def_Flows[Name(EN)],#REF!,,0,)</f>
        <v>#REF!</v>
      </c>
      <c r="J172" s="10">
        <f>_xlfn.XLOOKUP(C172,Tab_Def_Flows[Name(EN)],Tab_Def_Flows[WC?],,0,)</f>
        <v>0</v>
      </c>
      <c r="K172" s="10">
        <f>_xlfn.XLOOKUP(C172,Tab_Def_Flows[Name(EN)],Tab_Def_Flows[DM?],,0,)</f>
        <v>0</v>
      </c>
      <c r="L172" s="10">
        <f>_xlfn.XLOOKUP(C172,Tab_Def_Flows[Name(EN)],Tab_Def_Flows[CC?],,0,)</f>
        <v>0</v>
      </c>
      <c r="M172" s="12"/>
      <c r="N172" s="12"/>
      <c r="O172" s="50"/>
      <c r="P172" s="12"/>
      <c r="Q172" s="12"/>
      <c r="R172" s="12" t="e">
        <f>INDEX(#REF!,MATCH(Tab_Data_Flows[[#This Row],[Name(EN)]],#REF!,0),12)</f>
        <v>#REF!</v>
      </c>
      <c r="S172" s="12" t="e">
        <f>MATCH(Tab_Data_Flows[[#This Row],[Name(EN)]],#REF!,0)</f>
        <v>#REF!</v>
      </c>
      <c r="T172" s="12"/>
      <c r="U172" s="12"/>
      <c r="V172" s="12"/>
      <c r="W172" s="12"/>
      <c r="X172" s="12" t="s">
        <v>8</v>
      </c>
      <c r="Y172" s="12"/>
      <c r="Z172" s="12"/>
      <c r="AA172" s="36">
        <f t="shared" si="5"/>
        <v>0</v>
      </c>
      <c r="AB172" s="12" t="s">
        <v>283</v>
      </c>
      <c r="AC172" s="193">
        <f>INDEX(Tab_Def_Flows[[Flow_ID]:[CC_DM_source]],MATCH(Tab_Data_Flows[[#This Row],[Name(EN)]],Tab_Def_Flows[Name(EN)],0),13)</f>
        <v>0</v>
      </c>
      <c r="AD172" s="10" t="str">
        <f>IF(J172="Yes",AA172*Tab_Data_Flows[[#This Row],[WC_'[%']]],"N.A.")</f>
        <v>N.A.</v>
      </c>
      <c r="AE172" s="10" t="str">
        <f>Tab_Data_Flows[[#This Row],[UoM_Flow_Py]]</f>
        <v>Mg</v>
      </c>
      <c r="AF172" s="193">
        <f>INDEX(Tab_Def_Flows[[Flow_ID]:[CC_DM_source]],MATCH(Tab_Data_Flows[[#This Row],[Name(EN)]],Tab_Def_Flows[Name(EN)],0),15)</f>
        <v>0</v>
      </c>
      <c r="AG172" s="10" t="str">
        <f>IF(K172="Yes",AF172*Tab_Data_Flows[[#This Row],[Flow_Py]]-AJ288,"N.A.")</f>
        <v>N.A.</v>
      </c>
      <c r="AH172" s="10" t="str">
        <f>Tab_Data_Flows[[#This Row],[UoM_Flow_Py]]</f>
        <v>Mg</v>
      </c>
      <c r="AI172" s="193">
        <f>INDEX(Tab_Def_Flows[[Flow_ID]:[CC_DM_source]],MATCH(Tab_Data_Flows[[#This Row],[Name(EN)]],Tab_Def_Flows[Name(EN)],0),17)</f>
        <v>0</v>
      </c>
      <c r="AJ172" s="10" t="str">
        <f>IF(L172="Yes",AI172*Tab_Data_Flows[[#This Row],[Flow_Py]]*Tab_Data_Flows[[#This Row],[DM_'[%']]],"N.A.")</f>
        <v>N.A.</v>
      </c>
      <c r="AK172" s="10" t="str">
        <f>Tab_Data_Flows[[#This Row],[UoM_Flow_Py]]</f>
        <v>Mg</v>
      </c>
    </row>
    <row r="173" spans="1:37" x14ac:dyDescent="0.25">
      <c r="A173" s="17">
        <f t="shared" si="4"/>
        <v>172</v>
      </c>
      <c r="B173" s="10" t="str">
        <f>_xlfn.XLOOKUP(C173,Tab_Def_Flows[Name(EN)],Tab_Def_Flows[Flow_ID],,0,)</f>
        <v>N.A.</v>
      </c>
      <c r="C173" s="12" t="s">
        <v>35</v>
      </c>
      <c r="D173" s="10">
        <f>_xlfn.XLOOKUP(C173,Tab_Def_Flows[Name(EN)],Tab_Def_Flows[Type_Biomass],,0,)</f>
        <v>0</v>
      </c>
      <c r="E173" s="10">
        <f>_xlfn.XLOOKUP(C173,Tab_Def_Flows[Name(EN)],Tab_Def_Flows[Output_Process],,0,)</f>
        <v>0</v>
      </c>
      <c r="F173" s="10">
        <f>_xlfn.XLOOKUP(C173,Tab_Def_Flows[Name(EN)],Tab_Def_Flows[Process_ID_O],,0,)</f>
        <v>0</v>
      </c>
      <c r="G173" s="10">
        <f>_xlfn.XLOOKUP(C173,Tab_Def_Flows[Name(EN)],Tab_Def_Flows[Input_Process],,0,)</f>
        <v>0</v>
      </c>
      <c r="H173" s="18">
        <f>_xlfn.XLOOKUP(C173,Tab_Def_Flows[Name(EN)],Tab_Def_Flows[Process_ID_I],,0,)</f>
        <v>0</v>
      </c>
      <c r="I173" s="10" t="e">
        <f>_xlfn.XLOOKUP(C173,Tab_Def_Flows[Name(EN)],#REF!,,0,)</f>
        <v>#REF!</v>
      </c>
      <c r="J173" s="10">
        <f>_xlfn.XLOOKUP(C173,Tab_Def_Flows[Name(EN)],Tab_Def_Flows[WC?],,0,)</f>
        <v>0</v>
      </c>
      <c r="K173" s="10">
        <f>_xlfn.XLOOKUP(C173,Tab_Def_Flows[Name(EN)],Tab_Def_Flows[DM?],,0,)</f>
        <v>0</v>
      </c>
      <c r="L173" s="10">
        <f>_xlfn.XLOOKUP(C173,Tab_Def_Flows[Name(EN)],Tab_Def_Flows[CC?],,0,)</f>
        <v>0</v>
      </c>
      <c r="M173" s="12"/>
      <c r="N173" s="12"/>
      <c r="O173" s="50"/>
      <c r="P173" s="12"/>
      <c r="Q173" s="12"/>
      <c r="R173" s="12" t="e">
        <f>INDEX(#REF!,MATCH(Tab_Data_Flows[[#This Row],[Name(EN)]],#REF!,0),12)</f>
        <v>#REF!</v>
      </c>
      <c r="S173" s="12" t="e">
        <f>MATCH(Tab_Data_Flows[[#This Row],[Name(EN)]],#REF!,0)</f>
        <v>#REF!</v>
      </c>
      <c r="T173" s="12"/>
      <c r="U173" s="12"/>
      <c r="V173" s="12"/>
      <c r="W173" s="12"/>
      <c r="X173" s="12" t="s">
        <v>8</v>
      </c>
      <c r="Y173" s="12"/>
      <c r="Z173" s="12"/>
      <c r="AA173" s="36">
        <f t="shared" si="5"/>
        <v>0</v>
      </c>
      <c r="AB173" s="12" t="s">
        <v>283</v>
      </c>
      <c r="AC173" s="193">
        <f>INDEX(Tab_Def_Flows[[Flow_ID]:[CC_DM_source]],MATCH(Tab_Data_Flows[[#This Row],[Name(EN)]],Tab_Def_Flows[Name(EN)],0),13)</f>
        <v>0</v>
      </c>
      <c r="AD173" s="10" t="str">
        <f>IF(J173="Yes",AA173*Tab_Data_Flows[[#This Row],[WC_'[%']]],"N.A.")</f>
        <v>N.A.</v>
      </c>
      <c r="AE173" s="10" t="str">
        <f>Tab_Data_Flows[[#This Row],[UoM_Flow_Py]]</f>
        <v>Mg</v>
      </c>
      <c r="AF173" s="193">
        <f>INDEX(Tab_Def_Flows[[Flow_ID]:[CC_DM_source]],MATCH(Tab_Data_Flows[[#This Row],[Name(EN)]],Tab_Def_Flows[Name(EN)],0),15)</f>
        <v>0</v>
      </c>
      <c r="AG173" s="10" t="str">
        <f>IF(K173="Yes",AF173*Tab_Data_Flows[[#This Row],[Flow_Py]]-AJ289,"N.A.")</f>
        <v>N.A.</v>
      </c>
      <c r="AH173" s="10" t="str">
        <f>Tab_Data_Flows[[#This Row],[UoM_Flow_Py]]</f>
        <v>Mg</v>
      </c>
      <c r="AI173" s="193">
        <f>INDEX(Tab_Def_Flows[[Flow_ID]:[CC_DM_source]],MATCH(Tab_Data_Flows[[#This Row],[Name(EN)]],Tab_Def_Flows[Name(EN)],0),17)</f>
        <v>0</v>
      </c>
      <c r="AJ173" s="10" t="str">
        <f>IF(L173="Yes",AI173*Tab_Data_Flows[[#This Row],[Flow_Py]]*Tab_Data_Flows[[#This Row],[DM_'[%']]],"N.A.")</f>
        <v>N.A.</v>
      </c>
      <c r="AK173" s="10" t="str">
        <f>Tab_Data_Flows[[#This Row],[UoM_Flow_Py]]</f>
        <v>Mg</v>
      </c>
    </row>
    <row r="174" spans="1:37" x14ac:dyDescent="0.25">
      <c r="A174" s="17">
        <f t="shared" si="4"/>
        <v>173</v>
      </c>
      <c r="B174" s="10" t="str">
        <f>_xlfn.XLOOKUP(C174,Tab_Def_Flows[Name(EN)],Tab_Def_Flows[Flow_ID],,0,)</f>
        <v>N.A.</v>
      </c>
      <c r="C174" s="12" t="s">
        <v>35</v>
      </c>
      <c r="D174" s="10">
        <f>_xlfn.XLOOKUP(C174,Tab_Def_Flows[Name(EN)],Tab_Def_Flows[Type_Biomass],,0,)</f>
        <v>0</v>
      </c>
      <c r="E174" s="10">
        <f>_xlfn.XLOOKUP(C174,Tab_Def_Flows[Name(EN)],Tab_Def_Flows[Output_Process],,0,)</f>
        <v>0</v>
      </c>
      <c r="F174" s="10">
        <f>_xlfn.XLOOKUP(C174,Tab_Def_Flows[Name(EN)],Tab_Def_Flows[Process_ID_O],,0,)</f>
        <v>0</v>
      </c>
      <c r="G174" s="10">
        <f>_xlfn.XLOOKUP(C174,Tab_Def_Flows[Name(EN)],Tab_Def_Flows[Input_Process],,0,)</f>
        <v>0</v>
      </c>
      <c r="H174" s="18">
        <f>_xlfn.XLOOKUP(C174,Tab_Def_Flows[Name(EN)],Tab_Def_Flows[Process_ID_I],,0,)</f>
        <v>0</v>
      </c>
      <c r="I174" s="10" t="e">
        <f>_xlfn.XLOOKUP(C174,Tab_Def_Flows[Name(EN)],#REF!,,0,)</f>
        <v>#REF!</v>
      </c>
      <c r="J174" s="10">
        <f>_xlfn.XLOOKUP(C174,Tab_Def_Flows[Name(EN)],Tab_Def_Flows[WC?],,0,)</f>
        <v>0</v>
      </c>
      <c r="K174" s="10">
        <f>_xlfn.XLOOKUP(C174,Tab_Def_Flows[Name(EN)],Tab_Def_Flows[DM?],,0,)</f>
        <v>0</v>
      </c>
      <c r="L174" s="10">
        <f>_xlfn.XLOOKUP(C174,Tab_Def_Flows[Name(EN)],Tab_Def_Flows[CC?],,0,)</f>
        <v>0</v>
      </c>
      <c r="M174" s="12"/>
      <c r="N174" s="12"/>
      <c r="O174" s="50"/>
      <c r="P174" s="12"/>
      <c r="Q174" s="12"/>
      <c r="R174" s="12" t="e">
        <f>INDEX(#REF!,MATCH(Tab_Data_Flows[[#This Row],[Name(EN)]],#REF!,0),12)</f>
        <v>#REF!</v>
      </c>
      <c r="S174" s="12" t="e">
        <f>MATCH(Tab_Data_Flows[[#This Row],[Name(EN)]],#REF!,0)</f>
        <v>#REF!</v>
      </c>
      <c r="T174" s="12"/>
      <c r="U174" s="12"/>
      <c r="V174" s="12"/>
      <c r="W174" s="12"/>
      <c r="X174" s="12" t="s">
        <v>8</v>
      </c>
      <c r="Y174" s="12"/>
      <c r="Z174" s="12"/>
      <c r="AA174" s="36">
        <f t="shared" si="5"/>
        <v>0</v>
      </c>
      <c r="AB174" s="12" t="s">
        <v>283</v>
      </c>
      <c r="AC174" s="193">
        <f>INDEX(Tab_Def_Flows[[Flow_ID]:[CC_DM_source]],MATCH(Tab_Data_Flows[[#This Row],[Name(EN)]],Tab_Def_Flows[Name(EN)],0),13)</f>
        <v>0</v>
      </c>
      <c r="AD174" s="10" t="str">
        <f>IF(J174="Yes",AA174*Tab_Data_Flows[[#This Row],[WC_'[%']]],"N.A.")</f>
        <v>N.A.</v>
      </c>
      <c r="AE174" s="10" t="str">
        <f>Tab_Data_Flows[[#This Row],[UoM_Flow_Py]]</f>
        <v>Mg</v>
      </c>
      <c r="AF174" s="193">
        <f>INDEX(Tab_Def_Flows[[Flow_ID]:[CC_DM_source]],MATCH(Tab_Data_Flows[[#This Row],[Name(EN)]],Tab_Def_Flows[Name(EN)],0),15)</f>
        <v>0</v>
      </c>
      <c r="AG174" s="10" t="str">
        <f>IF(K174="Yes",AF174*Tab_Data_Flows[[#This Row],[Flow_Py]]-AJ290,"N.A.")</f>
        <v>N.A.</v>
      </c>
      <c r="AH174" s="10" t="str">
        <f>Tab_Data_Flows[[#This Row],[UoM_Flow_Py]]</f>
        <v>Mg</v>
      </c>
      <c r="AI174" s="193">
        <f>INDEX(Tab_Def_Flows[[Flow_ID]:[CC_DM_source]],MATCH(Tab_Data_Flows[[#This Row],[Name(EN)]],Tab_Def_Flows[Name(EN)],0),17)</f>
        <v>0</v>
      </c>
      <c r="AJ174" s="10" t="str">
        <f>IF(L174="Yes",AI174*Tab_Data_Flows[[#This Row],[Flow_Py]]*Tab_Data_Flows[[#This Row],[DM_'[%']]],"N.A.")</f>
        <v>N.A.</v>
      </c>
      <c r="AK174" s="10" t="str">
        <f>Tab_Data_Flows[[#This Row],[UoM_Flow_Py]]</f>
        <v>Mg</v>
      </c>
    </row>
    <row r="175" spans="1:37" x14ac:dyDescent="0.25">
      <c r="A175" s="17">
        <f t="shared" si="4"/>
        <v>174</v>
      </c>
      <c r="B175" s="10" t="str">
        <f>_xlfn.XLOOKUP(C175,Tab_Def_Flows[Name(EN)],Tab_Def_Flows[Flow_ID],,0,)</f>
        <v>N.A.</v>
      </c>
      <c r="C175" s="12" t="s">
        <v>35</v>
      </c>
      <c r="D175" s="10">
        <f>_xlfn.XLOOKUP(C175,Tab_Def_Flows[Name(EN)],Tab_Def_Flows[Type_Biomass],,0,)</f>
        <v>0</v>
      </c>
      <c r="E175" s="10">
        <f>_xlfn.XLOOKUP(C175,Tab_Def_Flows[Name(EN)],Tab_Def_Flows[Output_Process],,0,)</f>
        <v>0</v>
      </c>
      <c r="F175" s="10">
        <f>_xlfn.XLOOKUP(C175,Tab_Def_Flows[Name(EN)],Tab_Def_Flows[Process_ID_O],,0,)</f>
        <v>0</v>
      </c>
      <c r="G175" s="10">
        <f>_xlfn.XLOOKUP(C175,Tab_Def_Flows[Name(EN)],Tab_Def_Flows[Input_Process],,0,)</f>
        <v>0</v>
      </c>
      <c r="H175" s="18">
        <f>_xlfn.XLOOKUP(C175,Tab_Def_Flows[Name(EN)],Tab_Def_Flows[Process_ID_I],,0,)</f>
        <v>0</v>
      </c>
      <c r="I175" s="10" t="e">
        <f>_xlfn.XLOOKUP(C175,Tab_Def_Flows[Name(EN)],#REF!,,0,)</f>
        <v>#REF!</v>
      </c>
      <c r="J175" s="10">
        <f>_xlfn.XLOOKUP(C175,Tab_Def_Flows[Name(EN)],Tab_Def_Flows[WC?],,0,)</f>
        <v>0</v>
      </c>
      <c r="K175" s="10">
        <f>_xlfn.XLOOKUP(C175,Tab_Def_Flows[Name(EN)],Tab_Def_Flows[DM?],,0,)</f>
        <v>0</v>
      </c>
      <c r="L175" s="10">
        <f>_xlfn.XLOOKUP(C175,Tab_Def_Flows[Name(EN)],Tab_Def_Flows[CC?],,0,)</f>
        <v>0</v>
      </c>
      <c r="M175" s="12"/>
      <c r="N175" s="12"/>
      <c r="O175" s="50"/>
      <c r="P175" s="12"/>
      <c r="Q175" s="12"/>
      <c r="R175" s="12" t="e">
        <f>INDEX(#REF!,MATCH(Tab_Data_Flows[[#This Row],[Name(EN)]],#REF!,0),12)</f>
        <v>#REF!</v>
      </c>
      <c r="S175" s="12" t="e">
        <f>MATCH(Tab_Data_Flows[[#This Row],[Name(EN)]],#REF!,0)</f>
        <v>#REF!</v>
      </c>
      <c r="T175" s="12"/>
      <c r="U175" s="12"/>
      <c r="V175" s="12"/>
      <c r="W175" s="12"/>
      <c r="X175" s="12" t="s">
        <v>8</v>
      </c>
      <c r="Y175" s="12"/>
      <c r="Z175" s="12"/>
      <c r="AA175" s="36">
        <f t="shared" si="5"/>
        <v>0</v>
      </c>
      <c r="AB175" s="12" t="s">
        <v>283</v>
      </c>
      <c r="AC175" s="193">
        <f>INDEX(Tab_Def_Flows[[Flow_ID]:[CC_DM_source]],MATCH(Tab_Data_Flows[[#This Row],[Name(EN)]],Tab_Def_Flows[Name(EN)],0),13)</f>
        <v>0</v>
      </c>
      <c r="AD175" s="10" t="str">
        <f>IF(J175="Yes",AA175*Tab_Data_Flows[[#This Row],[WC_'[%']]],"N.A.")</f>
        <v>N.A.</v>
      </c>
      <c r="AE175" s="10" t="str">
        <f>Tab_Data_Flows[[#This Row],[UoM_Flow_Py]]</f>
        <v>Mg</v>
      </c>
      <c r="AF175" s="193">
        <f>INDEX(Tab_Def_Flows[[Flow_ID]:[CC_DM_source]],MATCH(Tab_Data_Flows[[#This Row],[Name(EN)]],Tab_Def_Flows[Name(EN)],0),15)</f>
        <v>0</v>
      </c>
      <c r="AG175" s="10" t="str">
        <f>IF(K175="Yes",AF175*Tab_Data_Flows[[#This Row],[Flow_Py]]-AJ291,"N.A.")</f>
        <v>N.A.</v>
      </c>
      <c r="AH175" s="10" t="str">
        <f>Tab_Data_Flows[[#This Row],[UoM_Flow_Py]]</f>
        <v>Mg</v>
      </c>
      <c r="AI175" s="193">
        <f>INDEX(Tab_Def_Flows[[Flow_ID]:[CC_DM_source]],MATCH(Tab_Data_Flows[[#This Row],[Name(EN)]],Tab_Def_Flows[Name(EN)],0),17)</f>
        <v>0</v>
      </c>
      <c r="AJ175" s="10" t="str">
        <f>IF(L175="Yes",AI175*Tab_Data_Flows[[#This Row],[Flow_Py]]*Tab_Data_Flows[[#This Row],[DM_'[%']]],"N.A.")</f>
        <v>N.A.</v>
      </c>
      <c r="AK175" s="10" t="str">
        <f>Tab_Data_Flows[[#This Row],[UoM_Flow_Py]]</f>
        <v>Mg</v>
      </c>
    </row>
    <row r="176" spans="1:37" x14ac:dyDescent="0.25">
      <c r="A176" s="17">
        <f t="shared" si="4"/>
        <v>175</v>
      </c>
      <c r="B176" s="10" t="str">
        <f>_xlfn.XLOOKUP(C176,Tab_Def_Flows[Name(EN)],Tab_Def_Flows[Flow_ID],,0,)</f>
        <v>N.A.</v>
      </c>
      <c r="C176" s="12" t="s">
        <v>35</v>
      </c>
      <c r="D176" s="10">
        <f>_xlfn.XLOOKUP(C176,Tab_Def_Flows[Name(EN)],Tab_Def_Flows[Type_Biomass],,0,)</f>
        <v>0</v>
      </c>
      <c r="E176" s="10">
        <f>_xlfn.XLOOKUP(C176,Tab_Def_Flows[Name(EN)],Tab_Def_Flows[Output_Process],,0,)</f>
        <v>0</v>
      </c>
      <c r="F176" s="10">
        <f>_xlfn.XLOOKUP(C176,Tab_Def_Flows[Name(EN)],Tab_Def_Flows[Process_ID_O],,0,)</f>
        <v>0</v>
      </c>
      <c r="G176" s="10">
        <f>_xlfn.XLOOKUP(C176,Tab_Def_Flows[Name(EN)],Tab_Def_Flows[Input_Process],,0,)</f>
        <v>0</v>
      </c>
      <c r="H176" s="18">
        <f>_xlfn.XLOOKUP(C176,Tab_Def_Flows[Name(EN)],Tab_Def_Flows[Process_ID_I],,0,)</f>
        <v>0</v>
      </c>
      <c r="I176" s="18" t="e">
        <f>_xlfn.XLOOKUP(C176,Tab_Def_Flows[Name(EN)],#REF!,,0,)</f>
        <v>#REF!</v>
      </c>
      <c r="J176" s="18">
        <f>_xlfn.XLOOKUP(C176,Tab_Def_Flows[Name(EN)],Tab_Def_Flows[WC?],,0,)</f>
        <v>0</v>
      </c>
      <c r="K176" s="18">
        <f>_xlfn.XLOOKUP(C176,Tab_Def_Flows[Name(EN)],Tab_Def_Flows[DM?],,0,)</f>
        <v>0</v>
      </c>
      <c r="L176" s="18">
        <f>_xlfn.XLOOKUP(C176,Tab_Def_Flows[Name(EN)],Tab_Def_Flows[CC?],,0,)</f>
        <v>0</v>
      </c>
      <c r="M176" s="12"/>
      <c r="N176" s="12" t="s">
        <v>105</v>
      </c>
      <c r="O176" s="50"/>
      <c r="P176" s="12"/>
      <c r="Q176" s="12"/>
      <c r="R176" s="12"/>
      <c r="S176" s="12"/>
      <c r="T176" s="12"/>
      <c r="U176" s="12"/>
      <c r="V176" s="12"/>
      <c r="W176" s="12"/>
      <c r="X176" s="12" t="s">
        <v>8</v>
      </c>
      <c r="Y176" s="43"/>
      <c r="Z176" s="12"/>
      <c r="AA176" s="36">
        <f t="shared" si="5"/>
        <v>0</v>
      </c>
      <c r="AB176" s="12" t="s">
        <v>283</v>
      </c>
      <c r="AC176" s="193">
        <f>INDEX(Tab_Def_Flows[[Flow_ID]:[CC_DM_source]],MATCH(Tab_Data_Flows[[#This Row],[Name(EN)]],Tab_Def_Flows[Name(EN)],0),13)</f>
        <v>0</v>
      </c>
      <c r="AD176" s="10" t="str">
        <f>IF(J176="Yes",AA176*Tab_Data_Flows[[#This Row],[WC_'[%']]],"N.A.")</f>
        <v>N.A.</v>
      </c>
      <c r="AE176" s="10" t="str">
        <f>Tab_Data_Flows[[#This Row],[UoM_Flow_Py]]</f>
        <v>Mg</v>
      </c>
      <c r="AF176" s="193">
        <f>INDEX(Tab_Def_Flows[[Flow_ID]:[CC_DM_source]],MATCH(Tab_Data_Flows[[#This Row],[Name(EN)]],Tab_Def_Flows[Name(EN)],0),15)</f>
        <v>0</v>
      </c>
      <c r="AG176" s="10" t="str">
        <f>IF(K176="Yes",AF176*Tab_Data_Flows[[#This Row],[Flow_Py]],"N.A.")</f>
        <v>N.A.</v>
      </c>
      <c r="AH176" s="10" t="str">
        <f>Tab_Data_Flows[[#This Row],[UoM_Flow_Py]]</f>
        <v>Mg</v>
      </c>
      <c r="AI176" s="193">
        <f>INDEX(Tab_Def_Flows[[Flow_ID]:[CC_DM_source]],MATCH(Tab_Data_Flows[[#This Row],[Name(EN)]],Tab_Def_Flows[Name(EN)],0),17)</f>
        <v>0</v>
      </c>
      <c r="AJ176" s="10" t="str">
        <f>IF(L176="Yes",AI176*Tab_Data_Flows[[#This Row],[Flow_Py]]*Tab_Data_Flows[[#This Row],[DM_'[%']]],"N.A.")</f>
        <v>N.A.</v>
      </c>
      <c r="AK176" s="10" t="str">
        <f>Tab_Data_Flows[[#This Row],[UoM_Flow_Py]]</f>
        <v>Mg</v>
      </c>
    </row>
    <row r="177" spans="1:37" x14ac:dyDescent="0.25">
      <c r="A177" s="17">
        <f t="shared" si="4"/>
        <v>176</v>
      </c>
      <c r="B177" s="10" t="str">
        <f>_xlfn.XLOOKUP(C177,Tab_Def_Flows[Name(EN)],Tab_Def_Flows[Flow_ID],,0,)</f>
        <v>N.A.</v>
      </c>
      <c r="C177" s="12" t="s">
        <v>35</v>
      </c>
      <c r="D177" s="10">
        <f>_xlfn.XLOOKUP(C177,Tab_Def_Flows[Name(EN)],Tab_Def_Flows[Type_Biomass],,0,)</f>
        <v>0</v>
      </c>
      <c r="E177" s="10">
        <f>_xlfn.XLOOKUP(C177,Tab_Def_Flows[Name(EN)],Tab_Def_Flows[Output_Process],,0,)</f>
        <v>0</v>
      </c>
      <c r="F177" s="10">
        <f>_xlfn.XLOOKUP(C177,Tab_Def_Flows[Name(EN)],Tab_Def_Flows[Process_ID_O],,0,)</f>
        <v>0</v>
      </c>
      <c r="G177" s="10">
        <f>_xlfn.XLOOKUP(C177,Tab_Def_Flows[Name(EN)],Tab_Def_Flows[Input_Process],,0,)</f>
        <v>0</v>
      </c>
      <c r="H177" s="18">
        <f>_xlfn.XLOOKUP(C177,Tab_Def_Flows[Name(EN)],Tab_Def_Flows[Process_ID_I],,0,)</f>
        <v>0</v>
      </c>
      <c r="I177" s="18" t="e">
        <f>_xlfn.XLOOKUP(C177,Tab_Def_Flows[Name(EN)],#REF!,,0,)</f>
        <v>#REF!</v>
      </c>
      <c r="J177" s="18">
        <f>_xlfn.XLOOKUP(C177,Tab_Def_Flows[Name(EN)],Tab_Def_Flows[WC?],,0,)</f>
        <v>0</v>
      </c>
      <c r="K177" s="18">
        <f>_xlfn.XLOOKUP(C177,Tab_Def_Flows[Name(EN)],Tab_Def_Flows[DM?],,0,)</f>
        <v>0</v>
      </c>
      <c r="L177" s="18">
        <f>_xlfn.XLOOKUP(C177,Tab_Def_Flows[Name(EN)],Tab_Def_Flows[CC?],,0,)</f>
        <v>0</v>
      </c>
      <c r="M177" s="12"/>
      <c r="N177" s="12" t="s">
        <v>105</v>
      </c>
      <c r="O177" s="50"/>
      <c r="P177" s="12"/>
      <c r="Q177" s="12"/>
      <c r="R177" s="12"/>
      <c r="S177" s="12"/>
      <c r="T177" s="12"/>
      <c r="U177" s="12"/>
      <c r="V177" s="12"/>
      <c r="W177" s="12"/>
      <c r="X177" s="12" t="s">
        <v>8</v>
      </c>
      <c r="Y177" s="43"/>
      <c r="Z177" s="12"/>
      <c r="AA177" s="36">
        <f t="shared" si="5"/>
        <v>0</v>
      </c>
      <c r="AB177" s="12" t="s">
        <v>283</v>
      </c>
      <c r="AC177" s="193">
        <f>INDEX(Tab_Def_Flows[[Flow_ID]:[CC_DM_source]],MATCH(Tab_Data_Flows[[#This Row],[Name(EN)]],Tab_Def_Flows[Name(EN)],0),13)</f>
        <v>0</v>
      </c>
      <c r="AD177" s="10" t="str">
        <f>IF(J177="Yes",AA177*Tab_Data_Flows[[#This Row],[WC_'[%']]],"N.A.")</f>
        <v>N.A.</v>
      </c>
      <c r="AE177" s="10" t="str">
        <f>Tab_Data_Flows[[#This Row],[UoM_Flow_Py]]</f>
        <v>Mg</v>
      </c>
      <c r="AF177" s="193">
        <f>INDEX(Tab_Def_Flows[[Flow_ID]:[CC_DM_source]],MATCH(Tab_Data_Flows[[#This Row],[Name(EN)]],Tab_Def_Flows[Name(EN)],0),15)</f>
        <v>0</v>
      </c>
      <c r="AG177" s="10" t="str">
        <f>IF(K177="Yes",AF177*Tab_Data_Flows[[#This Row],[Flow_Py]]-AJ293,"N.A.")</f>
        <v>N.A.</v>
      </c>
      <c r="AH177" s="10" t="str">
        <f>Tab_Data_Flows[[#This Row],[UoM_Flow_Py]]</f>
        <v>Mg</v>
      </c>
      <c r="AI177" s="193">
        <f>INDEX(Tab_Def_Flows[[Flow_ID]:[CC_DM_source]],MATCH(Tab_Data_Flows[[#This Row],[Name(EN)]],Tab_Def_Flows[Name(EN)],0),17)</f>
        <v>0</v>
      </c>
      <c r="AJ177" s="10" t="str">
        <f>IF(L177="Yes",AI177*Tab_Data_Flows[[#This Row],[Flow_Py]]*Tab_Data_Flows[[#This Row],[DM_'[%']]],"N.A.")</f>
        <v>N.A.</v>
      </c>
      <c r="AK177" s="10" t="str">
        <f>Tab_Data_Flows[[#This Row],[UoM_Flow_Py]]</f>
        <v>Mg</v>
      </c>
    </row>
    <row r="178" spans="1:37" x14ac:dyDescent="0.25">
      <c r="A178" s="17">
        <f t="shared" si="4"/>
        <v>177</v>
      </c>
      <c r="B178" s="10" t="str">
        <f>_xlfn.XLOOKUP(C178,Tab_Def_Flows[Name(EN)],Tab_Def_Flows[Flow_ID],,0,)</f>
        <v>N.A.</v>
      </c>
      <c r="C178" s="12" t="s">
        <v>35</v>
      </c>
      <c r="D178" s="10">
        <f>_xlfn.XLOOKUP(C178,Tab_Def_Flows[Name(EN)],Tab_Def_Flows[Type_Biomass],,0,)</f>
        <v>0</v>
      </c>
      <c r="E178" s="10">
        <f>_xlfn.XLOOKUP(C178,Tab_Def_Flows[Name(EN)],Tab_Def_Flows[Output_Process],,0,)</f>
        <v>0</v>
      </c>
      <c r="F178" s="10">
        <f>_xlfn.XLOOKUP(C178,Tab_Def_Flows[Name(EN)],Tab_Def_Flows[Process_ID_O],,0,)</f>
        <v>0</v>
      </c>
      <c r="G178" s="10">
        <f>_xlfn.XLOOKUP(C178,Tab_Def_Flows[Name(EN)],Tab_Def_Flows[Input_Process],,0,)</f>
        <v>0</v>
      </c>
      <c r="H178" s="18">
        <f>_xlfn.XLOOKUP(C178,Tab_Def_Flows[Name(EN)],Tab_Def_Flows[Process_ID_I],,0,)</f>
        <v>0</v>
      </c>
      <c r="I178" s="18" t="e">
        <f>_xlfn.XLOOKUP(C178,Tab_Def_Flows[Name(EN)],#REF!,,0,)</f>
        <v>#REF!</v>
      </c>
      <c r="J178" s="18">
        <f>_xlfn.XLOOKUP(C178,Tab_Def_Flows[Name(EN)],Tab_Def_Flows[WC?],,0,)</f>
        <v>0</v>
      </c>
      <c r="K178" s="18">
        <f>_xlfn.XLOOKUP(C178,Tab_Def_Flows[Name(EN)],Tab_Def_Flows[DM?],,0,)</f>
        <v>0</v>
      </c>
      <c r="L178" s="18">
        <f>_xlfn.XLOOKUP(C178,Tab_Def_Flows[Name(EN)],Tab_Def_Flows[CC?],,0,)</f>
        <v>0</v>
      </c>
      <c r="M178" s="12"/>
      <c r="N178" s="12" t="s">
        <v>105</v>
      </c>
      <c r="O178" s="50"/>
      <c r="P178" s="12"/>
      <c r="Q178" s="12"/>
      <c r="R178" s="12"/>
      <c r="S178" s="12"/>
      <c r="T178" s="12"/>
      <c r="U178" s="12"/>
      <c r="V178" s="12"/>
      <c r="W178" s="12"/>
      <c r="X178" s="12" t="s">
        <v>8</v>
      </c>
      <c r="Y178" s="43"/>
      <c r="Z178" s="12"/>
      <c r="AA178" s="36">
        <f t="shared" si="5"/>
        <v>0</v>
      </c>
      <c r="AB178" s="12" t="s">
        <v>283</v>
      </c>
      <c r="AC178" s="193">
        <f>INDEX(Tab_Def_Flows[[Flow_ID]:[CC_DM_source]],MATCH(Tab_Data_Flows[[#This Row],[Name(EN)]],Tab_Def_Flows[Name(EN)],0),13)</f>
        <v>0</v>
      </c>
      <c r="AD178" s="10" t="str">
        <f>IF(J178="Yes",AA178*Tab_Data_Flows[[#This Row],[WC_'[%']]],"N.A.")</f>
        <v>N.A.</v>
      </c>
      <c r="AE178" s="10" t="str">
        <f>Tab_Data_Flows[[#This Row],[UoM_Flow_Py]]</f>
        <v>Mg</v>
      </c>
      <c r="AF178" s="193">
        <f>INDEX(Tab_Def_Flows[[Flow_ID]:[CC_DM_source]],MATCH(Tab_Data_Flows[[#This Row],[Name(EN)]],Tab_Def_Flows[Name(EN)],0),15)</f>
        <v>0</v>
      </c>
      <c r="AG178" s="10" t="str">
        <f>IF(K178="Yes",AF178*Tab_Data_Flows[[#This Row],[Flow_Py]]-AJ294,"N.A.")</f>
        <v>N.A.</v>
      </c>
      <c r="AH178" s="10" t="str">
        <f>Tab_Data_Flows[[#This Row],[UoM_Flow_Py]]</f>
        <v>Mg</v>
      </c>
      <c r="AI178" s="193">
        <f>INDEX(Tab_Def_Flows[[Flow_ID]:[CC_DM_source]],MATCH(Tab_Data_Flows[[#This Row],[Name(EN)]],Tab_Def_Flows[Name(EN)],0),17)</f>
        <v>0</v>
      </c>
      <c r="AJ178" s="10" t="str">
        <f>IF(L178="Yes",AI178*Tab_Data_Flows[[#This Row],[Flow_Py]]*Tab_Data_Flows[[#This Row],[DM_'[%']]],"N.A.")</f>
        <v>N.A.</v>
      </c>
      <c r="AK178" s="10" t="str">
        <f>Tab_Data_Flows[[#This Row],[UoM_Flow_Py]]</f>
        <v>Mg</v>
      </c>
    </row>
    <row r="179" spans="1:37" x14ac:dyDescent="0.25">
      <c r="A179" s="17">
        <f t="shared" si="4"/>
        <v>178</v>
      </c>
      <c r="B179" s="10" t="str">
        <f>_xlfn.XLOOKUP(C179,Tab_Def_Flows[Name(EN)],Tab_Def_Flows[Flow_ID],,0,)</f>
        <v>N.A.</v>
      </c>
      <c r="C179" s="12" t="s">
        <v>35</v>
      </c>
      <c r="D179" s="10">
        <f>_xlfn.XLOOKUP(C179,Tab_Def_Flows[Name(EN)],Tab_Def_Flows[Type_Biomass],,0,)</f>
        <v>0</v>
      </c>
      <c r="E179" s="10">
        <f>_xlfn.XLOOKUP(C179,Tab_Def_Flows[Name(EN)],Tab_Def_Flows[Output_Process],,0,)</f>
        <v>0</v>
      </c>
      <c r="F179" s="10">
        <f>_xlfn.XLOOKUP(C179,Tab_Def_Flows[Name(EN)],Tab_Def_Flows[Process_ID_O],,0,)</f>
        <v>0</v>
      </c>
      <c r="G179" s="10">
        <f>_xlfn.XLOOKUP(C179,Tab_Def_Flows[Name(EN)],Tab_Def_Flows[Input_Process],,0,)</f>
        <v>0</v>
      </c>
      <c r="H179" s="18">
        <f>_xlfn.XLOOKUP(C179,Tab_Def_Flows[Name(EN)],Tab_Def_Flows[Process_ID_I],,0,)</f>
        <v>0</v>
      </c>
      <c r="I179" s="18" t="e">
        <f>_xlfn.XLOOKUP(C179,Tab_Def_Flows[Name(EN)],#REF!,,0,)</f>
        <v>#REF!</v>
      </c>
      <c r="J179" s="18">
        <f>_xlfn.XLOOKUP(C179,Tab_Def_Flows[Name(EN)],Tab_Def_Flows[WC?],,0,)</f>
        <v>0</v>
      </c>
      <c r="K179" s="18">
        <f>_xlfn.XLOOKUP(C179,Tab_Def_Flows[Name(EN)],Tab_Def_Flows[DM?],,0,)</f>
        <v>0</v>
      </c>
      <c r="L179" s="18">
        <f>_xlfn.XLOOKUP(C179,Tab_Def_Flows[Name(EN)],Tab_Def_Flows[CC?],,0,)</f>
        <v>0</v>
      </c>
      <c r="M179" s="12"/>
      <c r="N179" s="12" t="s">
        <v>105</v>
      </c>
      <c r="O179" s="50"/>
      <c r="P179" s="12"/>
      <c r="Q179" s="12"/>
      <c r="R179" s="12"/>
      <c r="S179" s="12"/>
      <c r="T179" s="12"/>
      <c r="U179" s="12"/>
      <c r="V179" s="12"/>
      <c r="W179" s="12"/>
      <c r="X179" s="12" t="s">
        <v>8</v>
      </c>
      <c r="Y179" s="43"/>
      <c r="Z179" s="12"/>
      <c r="AA179" s="36">
        <f t="shared" si="5"/>
        <v>0</v>
      </c>
      <c r="AB179" s="12" t="s">
        <v>283</v>
      </c>
      <c r="AC179" s="193">
        <f>INDEX(Tab_Def_Flows[[Flow_ID]:[CC_DM_source]],MATCH(Tab_Data_Flows[[#This Row],[Name(EN)]],Tab_Def_Flows[Name(EN)],0),13)</f>
        <v>0</v>
      </c>
      <c r="AD179" s="10" t="str">
        <f>IF(J179="Yes",AA179*Tab_Data_Flows[[#This Row],[WC_'[%']]],"N.A.")</f>
        <v>N.A.</v>
      </c>
      <c r="AE179" s="10" t="str">
        <f>Tab_Data_Flows[[#This Row],[UoM_Flow_Py]]</f>
        <v>Mg</v>
      </c>
      <c r="AF179" s="193">
        <f>INDEX(Tab_Def_Flows[[Flow_ID]:[CC_DM_source]],MATCH(Tab_Data_Flows[[#This Row],[Name(EN)]],Tab_Def_Flows[Name(EN)],0),15)</f>
        <v>0</v>
      </c>
      <c r="AG179" s="10" t="str">
        <f>IF(K179="Yes",AF179*Tab_Data_Flows[[#This Row],[Flow_Py]]-AJ295,"N.A.")</f>
        <v>N.A.</v>
      </c>
      <c r="AH179" s="10" t="str">
        <f>Tab_Data_Flows[[#This Row],[UoM_Flow_Py]]</f>
        <v>Mg</v>
      </c>
      <c r="AI179" s="193">
        <f>INDEX(Tab_Def_Flows[[Flow_ID]:[CC_DM_source]],MATCH(Tab_Data_Flows[[#This Row],[Name(EN)]],Tab_Def_Flows[Name(EN)],0),17)</f>
        <v>0</v>
      </c>
      <c r="AJ179" s="10" t="str">
        <f>IF(L179="Yes",AI179*Tab_Data_Flows[[#This Row],[Flow_Py]]*Tab_Data_Flows[[#This Row],[DM_'[%']]],"N.A.")</f>
        <v>N.A.</v>
      </c>
      <c r="AK179" s="10" t="str">
        <f>Tab_Data_Flows[[#This Row],[UoM_Flow_Py]]</f>
        <v>Mg</v>
      </c>
    </row>
    <row r="180" spans="1:37" x14ac:dyDescent="0.25">
      <c r="A180" s="17">
        <f t="shared" si="4"/>
        <v>179</v>
      </c>
      <c r="B180" s="10" t="str">
        <f>_xlfn.XLOOKUP(C180,Tab_Def_Flows[Name(EN)],Tab_Def_Flows[Flow_ID],,0,)</f>
        <v>N.A.</v>
      </c>
      <c r="C180" s="12" t="s">
        <v>35</v>
      </c>
      <c r="D180" s="10">
        <f>_xlfn.XLOOKUP(C180,Tab_Def_Flows[Name(EN)],Tab_Def_Flows[Type_Biomass],,0,)</f>
        <v>0</v>
      </c>
      <c r="E180" s="10">
        <f>_xlfn.XLOOKUP(C180,Tab_Def_Flows[Name(EN)],Tab_Def_Flows[Output_Process],,0,)</f>
        <v>0</v>
      </c>
      <c r="F180" s="10">
        <f>_xlfn.XLOOKUP(C180,Tab_Def_Flows[Name(EN)],Tab_Def_Flows[Process_ID_O],,0,)</f>
        <v>0</v>
      </c>
      <c r="G180" s="10">
        <f>_xlfn.XLOOKUP(C180,Tab_Def_Flows[Name(EN)],Tab_Def_Flows[Input_Process],,0,)</f>
        <v>0</v>
      </c>
      <c r="H180" s="18">
        <f>_xlfn.XLOOKUP(C180,Tab_Def_Flows[Name(EN)],Tab_Def_Flows[Process_ID_I],,0,)</f>
        <v>0</v>
      </c>
      <c r="I180" s="18" t="e">
        <f>_xlfn.XLOOKUP(C180,Tab_Def_Flows[Name(EN)],#REF!,,0,)</f>
        <v>#REF!</v>
      </c>
      <c r="J180" s="18">
        <f>_xlfn.XLOOKUP(C180,Tab_Def_Flows[Name(EN)],Tab_Def_Flows[WC?],,0,)</f>
        <v>0</v>
      </c>
      <c r="K180" s="18">
        <f>_xlfn.XLOOKUP(C180,Tab_Def_Flows[Name(EN)],Tab_Def_Flows[DM?],,0,)</f>
        <v>0</v>
      </c>
      <c r="L180" s="18">
        <f>_xlfn.XLOOKUP(C180,Tab_Def_Flows[Name(EN)],Tab_Def_Flows[CC?],,0,)</f>
        <v>0</v>
      </c>
      <c r="M180" s="12"/>
      <c r="N180" s="12" t="s">
        <v>105</v>
      </c>
      <c r="O180" s="50"/>
      <c r="P180" s="12"/>
      <c r="Q180" s="12"/>
      <c r="R180" s="12"/>
      <c r="S180" s="12"/>
      <c r="T180" s="12"/>
      <c r="U180" s="12"/>
      <c r="V180" s="12"/>
      <c r="W180" s="12"/>
      <c r="X180" s="12" t="s">
        <v>8</v>
      </c>
      <c r="Y180" s="43"/>
      <c r="Z180" s="12"/>
      <c r="AA180" s="36">
        <f t="shared" si="5"/>
        <v>0</v>
      </c>
      <c r="AB180" s="12" t="s">
        <v>283</v>
      </c>
      <c r="AC180" s="193">
        <f>INDEX(Tab_Def_Flows[[Flow_ID]:[CC_DM_source]],MATCH(Tab_Data_Flows[[#This Row],[Name(EN)]],Tab_Def_Flows[Name(EN)],0),13)</f>
        <v>0</v>
      </c>
      <c r="AD180" s="10" t="str">
        <f>IF(J180="Yes",AA180*Tab_Data_Flows[[#This Row],[WC_'[%']]],"N.A.")</f>
        <v>N.A.</v>
      </c>
      <c r="AE180" s="10" t="str">
        <f>Tab_Data_Flows[[#This Row],[UoM_Flow_Py]]</f>
        <v>Mg</v>
      </c>
      <c r="AF180" s="193">
        <f>INDEX(Tab_Def_Flows[[Flow_ID]:[CC_DM_source]],MATCH(Tab_Data_Flows[[#This Row],[Name(EN)]],Tab_Def_Flows[Name(EN)],0),15)</f>
        <v>0</v>
      </c>
      <c r="AG180" s="10" t="str">
        <f>IF(K180="Yes",AF180*Tab_Data_Flows[[#This Row],[Flow_Py]]-AJ296,"N.A.")</f>
        <v>N.A.</v>
      </c>
      <c r="AH180" s="10" t="str">
        <f>Tab_Data_Flows[[#This Row],[UoM_Flow_Py]]</f>
        <v>Mg</v>
      </c>
      <c r="AI180" s="193">
        <f>INDEX(Tab_Def_Flows[[Flow_ID]:[CC_DM_source]],MATCH(Tab_Data_Flows[[#This Row],[Name(EN)]],Tab_Def_Flows[Name(EN)],0),17)</f>
        <v>0</v>
      </c>
      <c r="AJ180" s="10" t="str">
        <f>IF(L180="Yes",AI180*Tab_Data_Flows[[#This Row],[Flow_Py]]*Tab_Data_Flows[[#This Row],[DM_'[%']]],"N.A.")</f>
        <v>N.A.</v>
      </c>
      <c r="AK180" s="10" t="str">
        <f>Tab_Data_Flows[[#This Row],[UoM_Flow_Py]]</f>
        <v>Mg</v>
      </c>
    </row>
    <row r="181" spans="1:37" x14ac:dyDescent="0.25">
      <c r="A181" s="17">
        <f t="shared" si="4"/>
        <v>180</v>
      </c>
      <c r="B181" s="10" t="str">
        <f>_xlfn.XLOOKUP(C181,Tab_Def_Flows[Name(EN)],Tab_Def_Flows[Flow_ID],,0,)</f>
        <v>N.A.</v>
      </c>
      <c r="C181" s="12" t="s">
        <v>35</v>
      </c>
      <c r="D181" s="10">
        <f>_xlfn.XLOOKUP(C181,Tab_Def_Flows[Name(EN)],Tab_Def_Flows[Type_Biomass],,0,)</f>
        <v>0</v>
      </c>
      <c r="E181" s="10">
        <f>_xlfn.XLOOKUP(C181,Tab_Def_Flows[Name(EN)],Tab_Def_Flows[Output_Process],,0,)</f>
        <v>0</v>
      </c>
      <c r="F181" s="10">
        <f>_xlfn.XLOOKUP(C181,Tab_Def_Flows[Name(EN)],Tab_Def_Flows[Process_ID_O],,0,)</f>
        <v>0</v>
      </c>
      <c r="G181" s="10">
        <f>_xlfn.XLOOKUP(C181,Tab_Def_Flows[Name(EN)],Tab_Def_Flows[Input_Process],,0,)</f>
        <v>0</v>
      </c>
      <c r="H181" s="18">
        <f>_xlfn.XLOOKUP(C181,Tab_Def_Flows[Name(EN)],Tab_Def_Flows[Process_ID_I],,0,)</f>
        <v>0</v>
      </c>
      <c r="I181" s="18" t="e">
        <f>_xlfn.XLOOKUP(C181,Tab_Def_Flows[Name(EN)],#REF!,,0,)</f>
        <v>#REF!</v>
      </c>
      <c r="J181" s="18">
        <f>_xlfn.XLOOKUP(C181,Tab_Def_Flows[Name(EN)],Tab_Def_Flows[WC?],,0,)</f>
        <v>0</v>
      </c>
      <c r="K181" s="18">
        <f>_xlfn.XLOOKUP(C181,Tab_Def_Flows[Name(EN)],Tab_Def_Flows[DM?],,0,)</f>
        <v>0</v>
      </c>
      <c r="L181" s="18">
        <f>_xlfn.XLOOKUP(C181,Tab_Def_Flows[Name(EN)],Tab_Def_Flows[CC?],,0,)</f>
        <v>0</v>
      </c>
      <c r="M181" s="12"/>
      <c r="N181" s="12" t="s">
        <v>105</v>
      </c>
      <c r="O181" s="50"/>
      <c r="P181" s="12"/>
      <c r="Q181" s="12"/>
      <c r="R181" s="12"/>
      <c r="S181" s="12"/>
      <c r="T181" s="12"/>
      <c r="U181" s="12"/>
      <c r="V181" s="12"/>
      <c r="W181" s="12"/>
      <c r="X181" s="12" t="s">
        <v>8</v>
      </c>
      <c r="Y181" s="43"/>
      <c r="Z181" s="12"/>
      <c r="AA181" s="36">
        <f t="shared" si="5"/>
        <v>0</v>
      </c>
      <c r="AB181" s="12" t="s">
        <v>283</v>
      </c>
      <c r="AC181" s="193">
        <f>INDEX(Tab_Def_Flows[[Flow_ID]:[CC_DM_source]],MATCH(Tab_Data_Flows[[#This Row],[Name(EN)]],Tab_Def_Flows[Name(EN)],0),13)</f>
        <v>0</v>
      </c>
      <c r="AD181" s="10" t="str">
        <f>IF(J181="Yes",AA181*Tab_Data_Flows[[#This Row],[WC_'[%']]],"N.A.")</f>
        <v>N.A.</v>
      </c>
      <c r="AE181" s="10" t="str">
        <f>Tab_Data_Flows[[#This Row],[UoM_Flow_Py]]</f>
        <v>Mg</v>
      </c>
      <c r="AF181" s="193">
        <f>INDEX(Tab_Def_Flows[[Flow_ID]:[CC_DM_source]],MATCH(Tab_Data_Flows[[#This Row],[Name(EN)]],Tab_Def_Flows[Name(EN)],0),15)</f>
        <v>0</v>
      </c>
      <c r="AG181" s="10" t="str">
        <f>IF(K181="Yes",AF181*Tab_Data_Flows[[#This Row],[Flow_Py]]-AJ297,"N.A.")</f>
        <v>N.A.</v>
      </c>
      <c r="AH181" s="10" t="str">
        <f>Tab_Data_Flows[[#This Row],[UoM_Flow_Py]]</f>
        <v>Mg</v>
      </c>
      <c r="AI181" s="193">
        <f>INDEX(Tab_Def_Flows[[Flow_ID]:[CC_DM_source]],MATCH(Tab_Data_Flows[[#This Row],[Name(EN)]],Tab_Def_Flows[Name(EN)],0),17)</f>
        <v>0</v>
      </c>
      <c r="AJ181" s="10" t="str">
        <f>IF(L181="Yes",AI181*Tab_Data_Flows[[#This Row],[Flow_Py]]*Tab_Data_Flows[[#This Row],[DM_'[%']]],"N.A.")</f>
        <v>N.A.</v>
      </c>
      <c r="AK181" s="10" t="str">
        <f>Tab_Data_Flows[[#This Row],[UoM_Flow_Py]]</f>
        <v>Mg</v>
      </c>
    </row>
    <row r="182" spans="1:37" x14ac:dyDescent="0.25">
      <c r="A182" s="17">
        <f t="shared" si="4"/>
        <v>181</v>
      </c>
      <c r="B182" s="10" t="str">
        <f>_xlfn.XLOOKUP(C182,Tab_Def_Flows[Name(EN)],Tab_Def_Flows[Flow_ID],,0,)</f>
        <v>N.A.</v>
      </c>
      <c r="C182" s="12" t="s">
        <v>35</v>
      </c>
      <c r="D182" s="10">
        <f>_xlfn.XLOOKUP(C182,Tab_Def_Flows[Name(EN)],Tab_Def_Flows[Type_Biomass],,0,)</f>
        <v>0</v>
      </c>
      <c r="E182" s="10">
        <f>_xlfn.XLOOKUP(C182,Tab_Def_Flows[Name(EN)],Tab_Def_Flows[Output_Process],,0,)</f>
        <v>0</v>
      </c>
      <c r="F182" s="10">
        <f>_xlfn.XLOOKUP(C182,Tab_Def_Flows[Name(EN)],Tab_Def_Flows[Process_ID_O],,0,)</f>
        <v>0</v>
      </c>
      <c r="G182" s="10">
        <f>_xlfn.XLOOKUP(C182,Tab_Def_Flows[Name(EN)],Tab_Def_Flows[Input_Process],,0,)</f>
        <v>0</v>
      </c>
      <c r="H182" s="18">
        <f>_xlfn.XLOOKUP(C182,Tab_Def_Flows[Name(EN)],Tab_Def_Flows[Process_ID_I],,0,)</f>
        <v>0</v>
      </c>
      <c r="I182" s="18" t="e">
        <f>_xlfn.XLOOKUP(C182,Tab_Def_Flows[Name(EN)],#REF!,,0,)</f>
        <v>#REF!</v>
      </c>
      <c r="J182" s="18">
        <f>_xlfn.XLOOKUP(C182,Tab_Def_Flows[Name(EN)],Tab_Def_Flows[WC?],,0,)</f>
        <v>0</v>
      </c>
      <c r="K182" s="18">
        <f>_xlfn.XLOOKUP(C182,Tab_Def_Flows[Name(EN)],Tab_Def_Flows[DM?],,0,)</f>
        <v>0</v>
      </c>
      <c r="L182" s="18">
        <f>_xlfn.XLOOKUP(C182,Tab_Def_Flows[Name(EN)],Tab_Def_Flows[CC?],,0,)</f>
        <v>0</v>
      </c>
      <c r="M182" s="12"/>
      <c r="N182" s="12" t="s">
        <v>105</v>
      </c>
      <c r="O182" s="50"/>
      <c r="P182" s="12"/>
      <c r="Q182" s="12" t="s">
        <v>123</v>
      </c>
      <c r="R182" s="12" t="s">
        <v>123</v>
      </c>
      <c r="S182" s="12" t="s">
        <v>123</v>
      </c>
      <c r="T182" s="12" t="s">
        <v>123</v>
      </c>
      <c r="U182" s="12" t="s">
        <v>123</v>
      </c>
      <c r="V182" s="12" t="s">
        <v>123</v>
      </c>
      <c r="W182" s="12" t="s">
        <v>123</v>
      </c>
      <c r="X182" s="12" t="s">
        <v>8</v>
      </c>
      <c r="Y182" s="43"/>
      <c r="Z182" s="12"/>
      <c r="AA182" s="36">
        <f t="shared" si="5"/>
        <v>0</v>
      </c>
      <c r="AB182" s="12" t="s">
        <v>283</v>
      </c>
      <c r="AC182" s="193">
        <f>INDEX(Tab_Def_Flows[[Flow_ID]:[CC_DM_source]],MATCH(Tab_Data_Flows[[#This Row],[Name(EN)]],Tab_Def_Flows[Name(EN)],0),13)</f>
        <v>0</v>
      </c>
      <c r="AD182" s="10" t="str">
        <f>IF(J182="Yes",AA182*Tab_Data_Flows[[#This Row],[WC_'[%']]],"N.A.")</f>
        <v>N.A.</v>
      </c>
      <c r="AE182" s="10" t="str">
        <f>Tab_Data_Flows[[#This Row],[UoM_Flow_Py]]</f>
        <v>Mg</v>
      </c>
      <c r="AF182" s="193">
        <f>INDEX(Tab_Def_Flows[[Flow_ID]:[CC_DM_source]],MATCH(Tab_Data_Flows[[#This Row],[Name(EN)]],Tab_Def_Flows[Name(EN)],0),15)</f>
        <v>0</v>
      </c>
      <c r="AG182" s="10" t="str">
        <f>IF(K182="Yes",AF182*Tab_Data_Flows[[#This Row],[Flow_Py]]-AJ298,"N.A.")</f>
        <v>N.A.</v>
      </c>
      <c r="AH182" s="10" t="str">
        <f>Tab_Data_Flows[[#This Row],[UoM_Flow_Py]]</f>
        <v>Mg</v>
      </c>
      <c r="AI182" s="193">
        <f>INDEX(Tab_Def_Flows[[Flow_ID]:[CC_DM_source]],MATCH(Tab_Data_Flows[[#This Row],[Name(EN)]],Tab_Def_Flows[Name(EN)],0),17)</f>
        <v>0</v>
      </c>
      <c r="AJ182" s="10" t="str">
        <f>IF(L182="Yes",AI182*Tab_Data_Flows[[#This Row],[Flow_Py]]*Tab_Data_Flows[[#This Row],[DM_'[%']]],"N.A.")</f>
        <v>N.A.</v>
      </c>
      <c r="AK182" s="10" t="str">
        <f>Tab_Data_Flows[[#This Row],[UoM_Flow_Py]]</f>
        <v>Mg</v>
      </c>
    </row>
    <row r="183" spans="1:37" x14ac:dyDescent="0.25">
      <c r="A183" s="17">
        <f t="shared" si="4"/>
        <v>182</v>
      </c>
      <c r="B183" s="10" t="str">
        <f>_xlfn.XLOOKUP(C183,Tab_Def_Flows[Name(EN)],Tab_Def_Flows[Flow_ID],,0,)</f>
        <v>N.A.</v>
      </c>
      <c r="C183" s="12" t="s">
        <v>35</v>
      </c>
      <c r="D183" s="10"/>
      <c r="E183" s="10">
        <f>_xlfn.XLOOKUP(C183,Tab_Def_Flows[Name(EN)],Tab_Def_Flows[Output_Process],,0,)</f>
        <v>0</v>
      </c>
      <c r="F183" s="10">
        <f>_xlfn.XLOOKUP(C183,Tab_Def_Flows[Name(EN)],Tab_Def_Flows[Process_ID_O],,0,)</f>
        <v>0</v>
      </c>
      <c r="G183" s="10">
        <f>_xlfn.XLOOKUP(C183,Tab_Def_Flows[Name(EN)],Tab_Def_Flows[Input_Process],,0,)</f>
        <v>0</v>
      </c>
      <c r="H183" s="18">
        <f>_xlfn.XLOOKUP(C183,Tab_Def_Flows[Name(EN)],Tab_Def_Flows[Process_ID_I],,0,)</f>
        <v>0</v>
      </c>
      <c r="I183" s="10" t="e">
        <f>_xlfn.XLOOKUP(C183,Tab_Def_Flows[Name(EN)],#REF!,,0,)</f>
        <v>#REF!</v>
      </c>
      <c r="J183" s="10">
        <f>_xlfn.XLOOKUP(C183,Tab_Def_Flows[Name(EN)],Tab_Def_Flows[WC?],,0,)</f>
        <v>0</v>
      </c>
      <c r="K183" s="10">
        <f>_xlfn.XLOOKUP(C183,Tab_Def_Flows[Name(EN)],Tab_Def_Flows[DM?],,0,)</f>
        <v>0</v>
      </c>
      <c r="L183" s="10">
        <f>_xlfn.XLOOKUP(C183,Tab_Def_Flows[Name(EN)],Tab_Def_Flows[CC?],,0,)</f>
        <v>0</v>
      </c>
      <c r="M183" s="12"/>
      <c r="N183" s="12"/>
      <c r="O183" s="50"/>
      <c r="P183" s="12"/>
      <c r="Q183" s="12"/>
      <c r="R183" s="12" t="e">
        <f>INDEX(#REF!,MATCH(Tab_Data_Flows[[#This Row],[Name(EN)]],#REF!,0),12)</f>
        <v>#REF!</v>
      </c>
      <c r="S183" s="12" t="e">
        <f>MATCH(Tab_Data_Flows[[#This Row],[Name(EN)]],#REF!,0)</f>
        <v>#REF!</v>
      </c>
      <c r="T183" s="12"/>
      <c r="U183" s="12"/>
      <c r="V183" s="12"/>
      <c r="W183" s="12"/>
      <c r="X183" s="12" t="s">
        <v>8</v>
      </c>
      <c r="Y183" s="12"/>
      <c r="Z183" s="12"/>
      <c r="AA183" s="36">
        <f t="shared" si="5"/>
        <v>0</v>
      </c>
      <c r="AB183" s="12" t="s">
        <v>283</v>
      </c>
      <c r="AC183" s="193">
        <f>INDEX(Tab_Def_Flows[[Flow_ID]:[CC_DM_source]],MATCH(Tab_Data_Flows[[#This Row],[Name(EN)]],Tab_Def_Flows[Name(EN)],0),13)</f>
        <v>0</v>
      </c>
      <c r="AD183" s="10" t="str">
        <f>IF(J183="Yes",AA183*Tab_Data_Flows[[#This Row],[WC_'[%']]],"N.A.")</f>
        <v>N.A.</v>
      </c>
      <c r="AE183" s="10" t="str">
        <f>Tab_Data_Flows[[#This Row],[UoM_Flow_Py]]</f>
        <v>Mg</v>
      </c>
      <c r="AF183" s="193">
        <f>INDEX(Tab_Def_Flows[[Flow_ID]:[CC_DM_source]],MATCH(Tab_Data_Flows[[#This Row],[Name(EN)]],Tab_Def_Flows[Name(EN)],0),15)</f>
        <v>0</v>
      </c>
      <c r="AG183" s="10" t="str">
        <f>IF(K183="Yes",AF183*Tab_Data_Flows[[#This Row],[Flow_Py]]-AJ299,"N.A.")</f>
        <v>N.A.</v>
      </c>
      <c r="AH183" s="10" t="str">
        <f>Tab_Data_Flows[[#This Row],[UoM_Flow_Py]]</f>
        <v>Mg</v>
      </c>
      <c r="AI183" s="193">
        <f>INDEX(Tab_Def_Flows[[Flow_ID]:[CC_DM_source]],MATCH(Tab_Data_Flows[[#This Row],[Name(EN)]],Tab_Def_Flows[Name(EN)],0),17)</f>
        <v>0</v>
      </c>
      <c r="AJ183" s="10" t="str">
        <f>IF(L183="Yes",AI183*Tab_Data_Flows[[#This Row],[Flow_Py]]*Tab_Data_Flows[[#This Row],[DM_'[%']]],"N.A.")</f>
        <v>N.A.</v>
      </c>
      <c r="AK183" s="10" t="str">
        <f>Tab_Data_Flows[[#This Row],[UoM_Flow_Py]]</f>
        <v>Mg</v>
      </c>
    </row>
    <row r="184" spans="1:37" x14ac:dyDescent="0.25">
      <c r="A184" s="17">
        <f t="shared" si="4"/>
        <v>183</v>
      </c>
      <c r="B184" s="10" t="str">
        <f>_xlfn.XLOOKUP(C184,Tab_Def_Flows[Name(EN)],Tab_Def_Flows[Flow_ID],,0,)</f>
        <v>N.A.</v>
      </c>
      <c r="C184" s="12" t="s">
        <v>35</v>
      </c>
      <c r="D184" s="10"/>
      <c r="E184" s="10">
        <f>_xlfn.XLOOKUP(C184,Tab_Def_Flows[Name(EN)],Tab_Def_Flows[Output_Process],,0,)</f>
        <v>0</v>
      </c>
      <c r="F184" s="10">
        <f>_xlfn.XLOOKUP(C184,Tab_Def_Flows[Name(EN)],Tab_Def_Flows[Process_ID_O],,0,)</f>
        <v>0</v>
      </c>
      <c r="G184" s="10">
        <f>_xlfn.XLOOKUP(C184,Tab_Def_Flows[Name(EN)],Tab_Def_Flows[Input_Process],,0,)</f>
        <v>0</v>
      </c>
      <c r="H184" s="18">
        <f>_xlfn.XLOOKUP(C184,Tab_Def_Flows[Name(EN)],Tab_Def_Flows[Process_ID_I],,0,)</f>
        <v>0</v>
      </c>
      <c r="I184" s="10" t="e">
        <f>_xlfn.XLOOKUP(C184,Tab_Def_Flows[Name(EN)],#REF!,,0,)</f>
        <v>#REF!</v>
      </c>
      <c r="J184" s="10">
        <f>_xlfn.XLOOKUP(C184,Tab_Def_Flows[Name(EN)],Tab_Def_Flows[WC?],,0,)</f>
        <v>0</v>
      </c>
      <c r="K184" s="10">
        <f>_xlfn.XLOOKUP(C184,Tab_Def_Flows[Name(EN)],Tab_Def_Flows[DM?],,0,)</f>
        <v>0</v>
      </c>
      <c r="L184" s="10">
        <f>_xlfn.XLOOKUP(C184,Tab_Def_Flows[Name(EN)],Tab_Def_Flows[CC?],,0,)</f>
        <v>0</v>
      </c>
      <c r="M184" s="12"/>
      <c r="N184" s="12"/>
      <c r="O184" s="50"/>
      <c r="P184" s="12"/>
      <c r="Q184" s="12"/>
      <c r="R184" s="12" t="e">
        <f>INDEX(#REF!,MATCH(Tab_Data_Flows[[#This Row],[Name(EN)]],#REF!,0),12)</f>
        <v>#REF!</v>
      </c>
      <c r="S184" s="12" t="e">
        <f>MATCH(Tab_Data_Flows[[#This Row],[Name(EN)]],#REF!,0)</f>
        <v>#REF!</v>
      </c>
      <c r="T184" s="12"/>
      <c r="U184" s="12"/>
      <c r="V184" s="12"/>
      <c r="W184" s="12"/>
      <c r="X184" s="12" t="s">
        <v>8</v>
      </c>
      <c r="Y184" s="12"/>
      <c r="Z184" s="12"/>
      <c r="AA184" s="36">
        <f t="shared" si="5"/>
        <v>0</v>
      </c>
      <c r="AB184" s="12" t="s">
        <v>283</v>
      </c>
      <c r="AC184" s="193">
        <f>INDEX(Tab_Def_Flows[[Flow_ID]:[CC_DM_source]],MATCH(Tab_Data_Flows[[#This Row],[Name(EN)]],Tab_Def_Flows[Name(EN)],0),13)</f>
        <v>0</v>
      </c>
      <c r="AD184" s="10" t="str">
        <f>IF(J184="Yes",AA184*Tab_Data_Flows[[#This Row],[WC_'[%']]],"N.A.")</f>
        <v>N.A.</v>
      </c>
      <c r="AE184" s="10" t="str">
        <f>Tab_Data_Flows[[#This Row],[UoM_Flow_Py]]</f>
        <v>Mg</v>
      </c>
      <c r="AF184" s="193">
        <f>INDEX(Tab_Def_Flows[[Flow_ID]:[CC_DM_source]],MATCH(Tab_Data_Flows[[#This Row],[Name(EN)]],Tab_Def_Flows[Name(EN)],0),15)</f>
        <v>0</v>
      </c>
      <c r="AG184" s="10" t="str">
        <f>IF(K184="Yes",AF184*Tab_Data_Flows[[#This Row],[Flow_Py]]-AJ300,"N.A.")</f>
        <v>N.A.</v>
      </c>
      <c r="AH184" s="10" t="str">
        <f>Tab_Data_Flows[[#This Row],[UoM_Flow_Py]]</f>
        <v>Mg</v>
      </c>
      <c r="AI184" s="193">
        <f>INDEX(Tab_Def_Flows[[Flow_ID]:[CC_DM_source]],MATCH(Tab_Data_Flows[[#This Row],[Name(EN)]],Tab_Def_Flows[Name(EN)],0),17)</f>
        <v>0</v>
      </c>
      <c r="AJ184" s="10" t="str">
        <f>IF(L184="Yes",AI184*Tab_Data_Flows[[#This Row],[Flow_Py]]*Tab_Data_Flows[[#This Row],[DM_'[%']]],"N.A.")</f>
        <v>N.A.</v>
      </c>
      <c r="AK184" s="10" t="str">
        <f>Tab_Data_Flows[[#This Row],[UoM_Flow_Py]]</f>
        <v>Mg</v>
      </c>
    </row>
    <row r="185" spans="1:37" x14ac:dyDescent="0.25">
      <c r="A185" s="17">
        <f t="shared" si="4"/>
        <v>184</v>
      </c>
      <c r="B185" s="10" t="str">
        <f>_xlfn.XLOOKUP(C185,Tab_Def_Flows[Name(EN)],Tab_Def_Flows[Flow_ID],,0,)</f>
        <v>N.A.</v>
      </c>
      <c r="C185" s="12" t="s">
        <v>35</v>
      </c>
      <c r="D185" s="10"/>
      <c r="E185" s="10">
        <f>_xlfn.XLOOKUP(C185,Tab_Def_Flows[Name(EN)],Tab_Def_Flows[Output_Process],,0,)</f>
        <v>0</v>
      </c>
      <c r="F185" s="10">
        <f>_xlfn.XLOOKUP(C185,Tab_Def_Flows[Name(EN)],Tab_Def_Flows[Process_ID_O],,0,)</f>
        <v>0</v>
      </c>
      <c r="G185" s="10">
        <f>_xlfn.XLOOKUP(C185,Tab_Def_Flows[Name(EN)],Tab_Def_Flows[Input_Process],,0,)</f>
        <v>0</v>
      </c>
      <c r="H185" s="18">
        <f>_xlfn.XLOOKUP(C185,Tab_Def_Flows[Name(EN)],Tab_Def_Flows[Process_ID_I],,0,)</f>
        <v>0</v>
      </c>
      <c r="I185" s="10" t="e">
        <f>_xlfn.XLOOKUP(C185,Tab_Def_Flows[Name(EN)],#REF!,,0,)</f>
        <v>#REF!</v>
      </c>
      <c r="J185" s="10">
        <f>_xlfn.XLOOKUP(C185,Tab_Def_Flows[Name(EN)],Tab_Def_Flows[WC?],,0,)</f>
        <v>0</v>
      </c>
      <c r="K185" s="10">
        <f>_xlfn.XLOOKUP(C185,Tab_Def_Flows[Name(EN)],Tab_Def_Flows[DM?],,0,)</f>
        <v>0</v>
      </c>
      <c r="L185" s="10">
        <f>_xlfn.XLOOKUP(C185,Tab_Def_Flows[Name(EN)],Tab_Def_Flows[CC?],,0,)</f>
        <v>0</v>
      </c>
      <c r="M185" s="12"/>
      <c r="N185" s="12"/>
      <c r="O185" s="50"/>
      <c r="P185" s="12"/>
      <c r="Q185" s="12"/>
      <c r="R185" s="12" t="e">
        <f>INDEX(#REF!,MATCH(Tab_Data_Flows[[#This Row],[Name(EN)]],#REF!,0),12)</f>
        <v>#REF!</v>
      </c>
      <c r="S185" s="12" t="e">
        <f>MATCH(Tab_Data_Flows[[#This Row],[Name(EN)]],#REF!,0)</f>
        <v>#REF!</v>
      </c>
      <c r="T185" s="12"/>
      <c r="U185" s="12"/>
      <c r="V185" s="12"/>
      <c r="W185" s="12"/>
      <c r="X185" s="12" t="s">
        <v>8</v>
      </c>
      <c r="Y185" s="12"/>
      <c r="Z185" s="12"/>
      <c r="AA185" s="36">
        <f t="shared" si="5"/>
        <v>0</v>
      </c>
      <c r="AB185" s="12" t="s">
        <v>283</v>
      </c>
      <c r="AC185" s="193">
        <f>INDEX(Tab_Def_Flows[[Flow_ID]:[CC_DM_source]],MATCH(Tab_Data_Flows[[#This Row],[Name(EN)]],Tab_Def_Flows[Name(EN)],0),13)</f>
        <v>0</v>
      </c>
      <c r="AD185" s="10" t="str">
        <f>IF(J185="Yes",AA185*Tab_Data_Flows[[#This Row],[WC_'[%']]],"N.A.")</f>
        <v>N.A.</v>
      </c>
      <c r="AE185" s="10" t="str">
        <f>Tab_Data_Flows[[#This Row],[UoM_Flow_Py]]</f>
        <v>Mg</v>
      </c>
      <c r="AF185" s="193">
        <f>INDEX(Tab_Def_Flows[[Flow_ID]:[CC_DM_source]],MATCH(Tab_Data_Flows[[#This Row],[Name(EN)]],Tab_Def_Flows[Name(EN)],0),15)</f>
        <v>0</v>
      </c>
      <c r="AG185" s="10" t="str">
        <f>IF(K185="Yes",AF185*Tab_Data_Flows[[#This Row],[Flow_Py]]-AJ301,"N.A.")</f>
        <v>N.A.</v>
      </c>
      <c r="AH185" s="10" t="str">
        <f>Tab_Data_Flows[[#This Row],[UoM_Flow_Py]]</f>
        <v>Mg</v>
      </c>
      <c r="AI185" s="193">
        <f>INDEX(Tab_Def_Flows[[Flow_ID]:[CC_DM_source]],MATCH(Tab_Data_Flows[[#This Row],[Name(EN)]],Tab_Def_Flows[Name(EN)],0),17)</f>
        <v>0</v>
      </c>
      <c r="AJ185" s="10" t="str">
        <f>IF(L185="Yes",AI185*Tab_Data_Flows[[#This Row],[Flow_Py]]*Tab_Data_Flows[[#This Row],[DM_'[%']]],"N.A.")</f>
        <v>N.A.</v>
      </c>
      <c r="AK185" s="10" t="str">
        <f>Tab_Data_Flows[[#This Row],[UoM_Flow_Py]]</f>
        <v>Mg</v>
      </c>
    </row>
    <row r="186" spans="1:37" x14ac:dyDescent="0.25">
      <c r="A186" s="17">
        <f t="shared" si="4"/>
        <v>185</v>
      </c>
      <c r="B186" s="10" t="str">
        <f>_xlfn.XLOOKUP(C186,Tab_Def_Flows[Name(EN)],Tab_Def_Flows[Flow_ID],,0,)</f>
        <v>N.A.</v>
      </c>
      <c r="C186" s="12" t="s">
        <v>35</v>
      </c>
      <c r="D186" s="10"/>
      <c r="E186" s="10">
        <f>_xlfn.XLOOKUP(C186,Tab_Def_Flows[Name(EN)],Tab_Def_Flows[Output_Process],,0,)</f>
        <v>0</v>
      </c>
      <c r="F186" s="10">
        <f>_xlfn.XLOOKUP(C186,Tab_Def_Flows[Name(EN)],Tab_Def_Flows[Process_ID_O],,0,)</f>
        <v>0</v>
      </c>
      <c r="G186" s="10">
        <f>_xlfn.XLOOKUP(C186,Tab_Def_Flows[Name(EN)],Tab_Def_Flows[Input_Process],,0,)</f>
        <v>0</v>
      </c>
      <c r="H186" s="18">
        <f>_xlfn.XLOOKUP(C186,Tab_Def_Flows[Name(EN)],Tab_Def_Flows[Process_ID_I],,0,)</f>
        <v>0</v>
      </c>
      <c r="I186" s="10" t="e">
        <f>_xlfn.XLOOKUP(C186,Tab_Def_Flows[Name(EN)],#REF!,,0,)</f>
        <v>#REF!</v>
      </c>
      <c r="J186" s="10">
        <f>_xlfn.XLOOKUP(C186,Tab_Def_Flows[Name(EN)],Tab_Def_Flows[WC?],,0,)</f>
        <v>0</v>
      </c>
      <c r="K186" s="10">
        <f>_xlfn.XLOOKUP(C186,Tab_Def_Flows[Name(EN)],Tab_Def_Flows[DM?],,0,)</f>
        <v>0</v>
      </c>
      <c r="L186" s="10">
        <f>_xlfn.XLOOKUP(C186,Tab_Def_Flows[Name(EN)],Tab_Def_Flows[CC?],,0,)</f>
        <v>0</v>
      </c>
      <c r="M186" s="12"/>
      <c r="N186" s="12"/>
      <c r="O186" s="50"/>
      <c r="P186" s="12"/>
      <c r="Q186" s="12"/>
      <c r="R186" s="12" t="e">
        <f>INDEX(#REF!,MATCH(Tab_Data_Flows[[#This Row],[Name(EN)]],#REF!,0),12)</f>
        <v>#REF!</v>
      </c>
      <c r="S186" s="12" t="e">
        <f>MATCH(Tab_Data_Flows[[#This Row],[Name(EN)]],#REF!,0)</f>
        <v>#REF!</v>
      </c>
      <c r="T186" s="12"/>
      <c r="U186" s="12"/>
      <c r="V186" s="12"/>
      <c r="W186" s="12"/>
      <c r="X186" s="12" t="s">
        <v>8</v>
      </c>
      <c r="Y186" s="12"/>
      <c r="Z186" s="12"/>
      <c r="AA186" s="36">
        <f t="shared" si="5"/>
        <v>0</v>
      </c>
      <c r="AB186" s="12" t="s">
        <v>283</v>
      </c>
      <c r="AC186" s="193">
        <f>INDEX(Tab_Def_Flows[[Flow_ID]:[CC_DM_source]],MATCH(Tab_Data_Flows[[#This Row],[Name(EN)]],Tab_Def_Flows[Name(EN)],0),13)</f>
        <v>0</v>
      </c>
      <c r="AD186" s="10" t="str">
        <f>IF(J186="Yes",AA186*Tab_Data_Flows[[#This Row],[WC_'[%']]],"N.A.")</f>
        <v>N.A.</v>
      </c>
      <c r="AE186" s="10" t="str">
        <f>Tab_Data_Flows[[#This Row],[UoM_Flow_Py]]</f>
        <v>Mg</v>
      </c>
      <c r="AF186" s="193">
        <f>INDEX(Tab_Def_Flows[[Flow_ID]:[CC_DM_source]],MATCH(Tab_Data_Flows[[#This Row],[Name(EN)]],Tab_Def_Flows[Name(EN)],0),15)</f>
        <v>0</v>
      </c>
      <c r="AG186" s="10" t="str">
        <f>IF(K186="Yes",AF186*Tab_Data_Flows[[#This Row],[Flow_Py]]-AJ302,"N.A.")</f>
        <v>N.A.</v>
      </c>
      <c r="AH186" s="10" t="str">
        <f>Tab_Data_Flows[[#This Row],[UoM_Flow_Py]]</f>
        <v>Mg</v>
      </c>
      <c r="AI186" s="193">
        <f>INDEX(Tab_Def_Flows[[Flow_ID]:[CC_DM_source]],MATCH(Tab_Data_Flows[[#This Row],[Name(EN)]],Tab_Def_Flows[Name(EN)],0),17)</f>
        <v>0</v>
      </c>
      <c r="AJ186" s="10" t="str">
        <f>IF(L186="Yes",AI186*Tab_Data_Flows[[#This Row],[Flow_Py]]*Tab_Data_Flows[[#This Row],[DM_'[%']]],"N.A.")</f>
        <v>N.A.</v>
      </c>
      <c r="AK186" s="10" t="str">
        <f>Tab_Data_Flows[[#This Row],[UoM_Flow_Py]]</f>
        <v>Mg</v>
      </c>
    </row>
    <row r="187" spans="1:37" x14ac:dyDescent="0.25">
      <c r="A187" s="17">
        <f t="shared" si="4"/>
        <v>186</v>
      </c>
      <c r="B187" s="10" t="str">
        <f>_xlfn.XLOOKUP(C187,Tab_Def_Flows[Name(EN)],Tab_Def_Flows[Flow_ID],,0,)</f>
        <v>N.A.</v>
      </c>
      <c r="C187" s="12" t="s">
        <v>35</v>
      </c>
      <c r="D187" s="10"/>
      <c r="E187" s="10">
        <f>_xlfn.XLOOKUP(C187,Tab_Def_Flows[Name(EN)],Tab_Def_Flows[Output_Process],,0,)</f>
        <v>0</v>
      </c>
      <c r="F187" s="10">
        <f>_xlfn.XLOOKUP(C187,Tab_Def_Flows[Name(EN)],Tab_Def_Flows[Process_ID_O],,0,)</f>
        <v>0</v>
      </c>
      <c r="G187" s="10">
        <f>_xlfn.XLOOKUP(C187,Tab_Def_Flows[Name(EN)],Tab_Def_Flows[Input_Process],,0,)</f>
        <v>0</v>
      </c>
      <c r="H187" s="18">
        <f>_xlfn.XLOOKUP(C187,Tab_Def_Flows[Name(EN)],Tab_Def_Flows[Process_ID_I],,0,)</f>
        <v>0</v>
      </c>
      <c r="I187" s="10" t="e">
        <f>_xlfn.XLOOKUP(C187,Tab_Def_Flows[Name(EN)],#REF!,,0,)</f>
        <v>#REF!</v>
      </c>
      <c r="J187" s="10">
        <f>_xlfn.XLOOKUP(C187,Tab_Def_Flows[Name(EN)],Tab_Def_Flows[WC?],,0,)</f>
        <v>0</v>
      </c>
      <c r="K187" s="10">
        <f>_xlfn.XLOOKUP(C187,Tab_Def_Flows[Name(EN)],Tab_Def_Flows[DM?],,0,)</f>
        <v>0</v>
      </c>
      <c r="L187" s="10">
        <f>_xlfn.XLOOKUP(C187,Tab_Def_Flows[Name(EN)],Tab_Def_Flows[CC?],,0,)</f>
        <v>0</v>
      </c>
      <c r="M187" s="12"/>
      <c r="N187" s="12"/>
      <c r="O187" s="50"/>
      <c r="P187" s="12"/>
      <c r="Q187" s="12"/>
      <c r="R187" s="12" t="e">
        <f>INDEX(#REF!,MATCH(Tab_Data_Flows[[#This Row],[Name(EN)]],#REF!,0),12)</f>
        <v>#REF!</v>
      </c>
      <c r="S187" s="12" t="e">
        <f>MATCH(Tab_Data_Flows[[#This Row],[Name(EN)]],#REF!,0)</f>
        <v>#REF!</v>
      </c>
      <c r="T187" s="12"/>
      <c r="U187" s="12"/>
      <c r="V187" s="12"/>
      <c r="W187" s="12"/>
      <c r="X187" s="12" t="s">
        <v>8</v>
      </c>
      <c r="Y187" s="12"/>
      <c r="Z187" s="12"/>
      <c r="AA187" s="36">
        <f t="shared" si="5"/>
        <v>0</v>
      </c>
      <c r="AB187" s="12" t="s">
        <v>283</v>
      </c>
      <c r="AC187" s="193">
        <f>INDEX(Tab_Def_Flows[[Flow_ID]:[CC_DM_source]],MATCH(Tab_Data_Flows[[#This Row],[Name(EN)]],Tab_Def_Flows[Name(EN)],0),13)</f>
        <v>0</v>
      </c>
      <c r="AD187" s="10" t="str">
        <f>IF(J187="Yes",AA187*Tab_Data_Flows[[#This Row],[WC_'[%']]],"N.A.")</f>
        <v>N.A.</v>
      </c>
      <c r="AE187" s="10" t="str">
        <f>Tab_Data_Flows[[#This Row],[UoM_Flow_Py]]</f>
        <v>Mg</v>
      </c>
      <c r="AF187" s="193">
        <f>INDEX(Tab_Def_Flows[[Flow_ID]:[CC_DM_source]],MATCH(Tab_Data_Flows[[#This Row],[Name(EN)]],Tab_Def_Flows[Name(EN)],0),15)</f>
        <v>0</v>
      </c>
      <c r="AG187" s="10" t="str">
        <f>IF(K187="Yes",AF187*Tab_Data_Flows[[#This Row],[Flow_Py]]-AJ303,"N.A.")</f>
        <v>N.A.</v>
      </c>
      <c r="AH187" s="10" t="str">
        <f>Tab_Data_Flows[[#This Row],[UoM_Flow_Py]]</f>
        <v>Mg</v>
      </c>
      <c r="AI187" s="193">
        <f>INDEX(Tab_Def_Flows[[Flow_ID]:[CC_DM_source]],MATCH(Tab_Data_Flows[[#This Row],[Name(EN)]],Tab_Def_Flows[Name(EN)],0),17)</f>
        <v>0</v>
      </c>
      <c r="AJ187" s="10" t="str">
        <f>IF(L187="Yes",AI187*Tab_Data_Flows[[#This Row],[Flow_Py]]*Tab_Data_Flows[[#This Row],[DM_'[%']]],"N.A.")</f>
        <v>N.A.</v>
      </c>
      <c r="AK187" s="10" t="str">
        <f>Tab_Data_Flows[[#This Row],[UoM_Flow_Py]]</f>
        <v>Mg</v>
      </c>
    </row>
    <row r="188" spans="1:37" x14ac:dyDescent="0.25">
      <c r="A188" s="17">
        <f t="shared" si="4"/>
        <v>187</v>
      </c>
      <c r="B188" s="10" t="str">
        <f>_xlfn.XLOOKUP(C188,Tab_Def_Flows[Name(EN)],Tab_Def_Flows[Flow_ID],,0,)</f>
        <v>N.A.</v>
      </c>
      <c r="C188" s="12" t="s">
        <v>35</v>
      </c>
      <c r="D188" s="10"/>
      <c r="E188" s="10">
        <f>_xlfn.XLOOKUP(C188,Tab_Def_Flows[Name(EN)],Tab_Def_Flows[Output_Process],,0,)</f>
        <v>0</v>
      </c>
      <c r="F188" s="10">
        <f>_xlfn.XLOOKUP(C188,Tab_Def_Flows[Name(EN)],Tab_Def_Flows[Process_ID_O],,0,)</f>
        <v>0</v>
      </c>
      <c r="G188" s="10">
        <f>_xlfn.XLOOKUP(C188,Tab_Def_Flows[Name(EN)],Tab_Def_Flows[Input_Process],,0,)</f>
        <v>0</v>
      </c>
      <c r="H188" s="18">
        <f>_xlfn.XLOOKUP(C188,Tab_Def_Flows[Name(EN)],Tab_Def_Flows[Process_ID_I],,0,)</f>
        <v>0</v>
      </c>
      <c r="I188" s="10" t="e">
        <f>_xlfn.XLOOKUP(C188,Tab_Def_Flows[Name(EN)],#REF!,,0,)</f>
        <v>#REF!</v>
      </c>
      <c r="J188" s="10">
        <f>_xlfn.XLOOKUP(C188,Tab_Def_Flows[Name(EN)],Tab_Def_Flows[WC?],,0,)</f>
        <v>0</v>
      </c>
      <c r="K188" s="10">
        <f>_xlfn.XLOOKUP(C188,Tab_Def_Flows[Name(EN)],Tab_Def_Flows[DM?],,0,)</f>
        <v>0</v>
      </c>
      <c r="L188" s="10">
        <f>_xlfn.XLOOKUP(C188,Tab_Def_Flows[Name(EN)],Tab_Def_Flows[CC?],,0,)</f>
        <v>0</v>
      </c>
      <c r="M188" s="12"/>
      <c r="N188" s="12"/>
      <c r="O188" s="50"/>
      <c r="P188" s="12"/>
      <c r="Q188" s="12"/>
      <c r="R188" s="12" t="e">
        <f>INDEX(#REF!,MATCH(Tab_Data_Flows[[#This Row],[Name(EN)]],#REF!,0),12)</f>
        <v>#REF!</v>
      </c>
      <c r="S188" s="12" t="e">
        <f>MATCH(Tab_Data_Flows[[#This Row],[Name(EN)]],#REF!,0)</f>
        <v>#REF!</v>
      </c>
      <c r="T188" s="12"/>
      <c r="U188" s="12"/>
      <c r="V188" s="12"/>
      <c r="W188" s="12"/>
      <c r="X188" s="12" t="s">
        <v>8</v>
      </c>
      <c r="Y188" s="12"/>
      <c r="Z188" s="12"/>
      <c r="AA188" s="36">
        <f t="shared" si="5"/>
        <v>0</v>
      </c>
      <c r="AB188" s="12" t="s">
        <v>283</v>
      </c>
      <c r="AC188" s="193">
        <f>INDEX(Tab_Def_Flows[[Flow_ID]:[CC_DM_source]],MATCH(Tab_Data_Flows[[#This Row],[Name(EN)]],Tab_Def_Flows[Name(EN)],0),13)</f>
        <v>0</v>
      </c>
      <c r="AD188" s="10" t="str">
        <f>IF(J188="Yes",AA188*Tab_Data_Flows[[#This Row],[WC_'[%']]],"N.A.")</f>
        <v>N.A.</v>
      </c>
      <c r="AE188" s="10" t="str">
        <f>Tab_Data_Flows[[#This Row],[UoM_Flow_Py]]</f>
        <v>Mg</v>
      </c>
      <c r="AF188" s="193">
        <f>INDEX(Tab_Def_Flows[[Flow_ID]:[CC_DM_source]],MATCH(Tab_Data_Flows[[#This Row],[Name(EN)]],Tab_Def_Flows[Name(EN)],0),15)</f>
        <v>0</v>
      </c>
      <c r="AG188" s="10" t="str">
        <f>IF(K188="Yes",AF188*Tab_Data_Flows[[#This Row],[Flow_Py]]-AJ304,"N.A.")</f>
        <v>N.A.</v>
      </c>
      <c r="AH188" s="10" t="str">
        <f>Tab_Data_Flows[[#This Row],[UoM_Flow_Py]]</f>
        <v>Mg</v>
      </c>
      <c r="AI188" s="193">
        <f>INDEX(Tab_Def_Flows[[Flow_ID]:[CC_DM_source]],MATCH(Tab_Data_Flows[[#This Row],[Name(EN)]],Tab_Def_Flows[Name(EN)],0),17)</f>
        <v>0</v>
      </c>
      <c r="AJ188" s="10" t="str">
        <f>IF(L188="Yes",AI188*Tab_Data_Flows[[#This Row],[Flow_Py]]*Tab_Data_Flows[[#This Row],[DM_'[%']]],"N.A.")</f>
        <v>N.A.</v>
      </c>
      <c r="AK188" s="10" t="str">
        <f>Tab_Data_Flows[[#This Row],[UoM_Flow_Py]]</f>
        <v>Mg</v>
      </c>
    </row>
    <row r="189" spans="1:37" x14ac:dyDescent="0.25">
      <c r="A189" s="17">
        <f t="shared" si="4"/>
        <v>188</v>
      </c>
      <c r="B189" s="10" t="str">
        <f>_xlfn.XLOOKUP(C189,Tab_Def_Flows[Name(EN)],Tab_Def_Flows[Flow_ID],,0,)</f>
        <v>N.A.</v>
      </c>
      <c r="C189" s="12" t="s">
        <v>35</v>
      </c>
      <c r="D189" s="10"/>
      <c r="E189" s="10">
        <f>_xlfn.XLOOKUP(C189,Tab_Def_Flows[Name(EN)],Tab_Def_Flows[Output_Process],,0,)</f>
        <v>0</v>
      </c>
      <c r="F189" s="10">
        <f>_xlfn.XLOOKUP(C189,Tab_Def_Flows[Name(EN)],Tab_Def_Flows[Process_ID_O],,0,)</f>
        <v>0</v>
      </c>
      <c r="G189" s="10">
        <f>_xlfn.XLOOKUP(C189,Tab_Def_Flows[Name(EN)],Tab_Def_Flows[Input_Process],,0,)</f>
        <v>0</v>
      </c>
      <c r="H189" s="18">
        <f>_xlfn.XLOOKUP(C189,Tab_Def_Flows[Name(EN)],Tab_Def_Flows[Process_ID_I],,0,)</f>
        <v>0</v>
      </c>
      <c r="I189" s="10" t="e">
        <f>_xlfn.XLOOKUP(C189,Tab_Def_Flows[Name(EN)],#REF!,,0,)</f>
        <v>#REF!</v>
      </c>
      <c r="J189" s="10">
        <f>_xlfn.XLOOKUP(C189,Tab_Def_Flows[Name(EN)],Tab_Def_Flows[WC?],,0,)</f>
        <v>0</v>
      </c>
      <c r="K189" s="10">
        <f>_xlfn.XLOOKUP(C189,Tab_Def_Flows[Name(EN)],Tab_Def_Flows[DM?],,0,)</f>
        <v>0</v>
      </c>
      <c r="L189" s="10">
        <f>_xlfn.XLOOKUP(C189,Tab_Def_Flows[Name(EN)],Tab_Def_Flows[CC?],,0,)</f>
        <v>0</v>
      </c>
      <c r="M189" s="12"/>
      <c r="N189" s="12"/>
      <c r="O189" s="50"/>
      <c r="P189" s="12"/>
      <c r="Q189" s="12"/>
      <c r="R189" s="12" t="e">
        <f>INDEX(#REF!,MATCH(Tab_Data_Flows[[#This Row],[Name(EN)]],#REF!,0),12)</f>
        <v>#REF!</v>
      </c>
      <c r="S189" s="12" t="e">
        <f>MATCH(Tab_Data_Flows[[#This Row],[Name(EN)]],#REF!,0)</f>
        <v>#REF!</v>
      </c>
      <c r="T189" s="12"/>
      <c r="U189" s="12"/>
      <c r="V189" s="12"/>
      <c r="W189" s="12"/>
      <c r="X189" s="12" t="s">
        <v>8</v>
      </c>
      <c r="Y189" s="12"/>
      <c r="Z189" s="12"/>
      <c r="AA189" s="36">
        <f t="shared" si="5"/>
        <v>0</v>
      </c>
      <c r="AB189" s="12" t="s">
        <v>283</v>
      </c>
      <c r="AC189" s="193">
        <f>INDEX(Tab_Def_Flows[[Flow_ID]:[CC_DM_source]],MATCH(Tab_Data_Flows[[#This Row],[Name(EN)]],Tab_Def_Flows[Name(EN)],0),13)</f>
        <v>0</v>
      </c>
      <c r="AD189" s="10" t="str">
        <f>IF(J189="Yes",AA189*Tab_Data_Flows[[#This Row],[WC_'[%']]],"N.A.")</f>
        <v>N.A.</v>
      </c>
      <c r="AE189" s="10" t="str">
        <f>Tab_Data_Flows[[#This Row],[UoM_Flow_Py]]</f>
        <v>Mg</v>
      </c>
      <c r="AF189" s="193">
        <f>INDEX(Tab_Def_Flows[[Flow_ID]:[CC_DM_source]],MATCH(Tab_Data_Flows[[#This Row],[Name(EN)]],Tab_Def_Flows[Name(EN)],0),15)</f>
        <v>0</v>
      </c>
      <c r="AG189" s="10" t="str">
        <f>IF(K189="Yes",AF189*Tab_Data_Flows[[#This Row],[Flow_Py]]-AJ305,"N.A.")</f>
        <v>N.A.</v>
      </c>
      <c r="AH189" s="10" t="str">
        <f>Tab_Data_Flows[[#This Row],[UoM_Flow_Py]]</f>
        <v>Mg</v>
      </c>
      <c r="AI189" s="193">
        <f>INDEX(Tab_Def_Flows[[Flow_ID]:[CC_DM_source]],MATCH(Tab_Data_Flows[[#This Row],[Name(EN)]],Tab_Def_Flows[Name(EN)],0),17)</f>
        <v>0</v>
      </c>
      <c r="AJ189" s="10" t="str">
        <f>IF(L189="Yes",AI189*Tab_Data_Flows[[#This Row],[Flow_Py]]*Tab_Data_Flows[[#This Row],[DM_'[%']]],"N.A.")</f>
        <v>N.A.</v>
      </c>
      <c r="AK189" s="10" t="str">
        <f>Tab_Data_Flows[[#This Row],[UoM_Flow_Py]]</f>
        <v>Mg</v>
      </c>
    </row>
    <row r="190" spans="1:37" x14ac:dyDescent="0.25">
      <c r="A190" s="17">
        <f t="shared" si="4"/>
        <v>189</v>
      </c>
      <c r="B190" s="10" t="str">
        <f>_xlfn.XLOOKUP(C190,Tab_Def_Flows[Name(EN)],Tab_Def_Flows[Flow_ID],,0,)</f>
        <v>N.A.</v>
      </c>
      <c r="C190" s="12" t="s">
        <v>35</v>
      </c>
      <c r="D190" s="10"/>
      <c r="E190" s="10">
        <f>_xlfn.XLOOKUP(C190,Tab_Def_Flows[Name(EN)],Tab_Def_Flows[Output_Process],,0,)</f>
        <v>0</v>
      </c>
      <c r="F190" s="10">
        <f>_xlfn.XLOOKUP(C190,Tab_Def_Flows[Name(EN)],Tab_Def_Flows[Process_ID_O],,0,)</f>
        <v>0</v>
      </c>
      <c r="G190" s="10">
        <f>_xlfn.XLOOKUP(C190,Tab_Def_Flows[Name(EN)],Tab_Def_Flows[Input_Process],,0,)</f>
        <v>0</v>
      </c>
      <c r="H190" s="18">
        <f>_xlfn.XLOOKUP(C190,Tab_Def_Flows[Name(EN)],Tab_Def_Flows[Process_ID_I],,0,)</f>
        <v>0</v>
      </c>
      <c r="I190" s="10" t="e">
        <f>_xlfn.XLOOKUP(C190,Tab_Def_Flows[Name(EN)],#REF!,,0,)</f>
        <v>#REF!</v>
      </c>
      <c r="J190" s="10">
        <f>_xlfn.XLOOKUP(C190,Tab_Def_Flows[Name(EN)],Tab_Def_Flows[WC?],,0,)</f>
        <v>0</v>
      </c>
      <c r="K190" s="10">
        <f>_xlfn.XLOOKUP(C190,Tab_Def_Flows[Name(EN)],Tab_Def_Flows[DM?],,0,)</f>
        <v>0</v>
      </c>
      <c r="L190" s="10">
        <f>_xlfn.XLOOKUP(C190,Tab_Def_Flows[Name(EN)],Tab_Def_Flows[CC?],,0,)</f>
        <v>0</v>
      </c>
      <c r="M190" s="12"/>
      <c r="N190" s="12"/>
      <c r="O190" s="50"/>
      <c r="P190" s="12"/>
      <c r="Q190" s="12"/>
      <c r="R190" s="12" t="e">
        <f>INDEX(#REF!,MATCH(Tab_Data_Flows[[#This Row],[Name(EN)]],#REF!,0),12)</f>
        <v>#REF!</v>
      </c>
      <c r="S190" s="12" t="e">
        <f>MATCH(Tab_Data_Flows[[#This Row],[Name(EN)]],#REF!,0)</f>
        <v>#REF!</v>
      </c>
      <c r="T190" s="12"/>
      <c r="U190" s="12"/>
      <c r="V190" s="12"/>
      <c r="W190" s="12"/>
      <c r="X190" s="12" t="s">
        <v>8</v>
      </c>
      <c r="Y190" s="12"/>
      <c r="Z190" s="12"/>
      <c r="AA190" s="36">
        <f t="shared" si="5"/>
        <v>0</v>
      </c>
      <c r="AB190" s="12" t="s">
        <v>283</v>
      </c>
      <c r="AC190" s="193">
        <f>INDEX(Tab_Def_Flows[[Flow_ID]:[CC_DM_source]],MATCH(Tab_Data_Flows[[#This Row],[Name(EN)]],Tab_Def_Flows[Name(EN)],0),13)</f>
        <v>0</v>
      </c>
      <c r="AD190" s="10" t="str">
        <f>IF(J190="Yes",AA190*Tab_Data_Flows[[#This Row],[WC_'[%']]],"N.A.")</f>
        <v>N.A.</v>
      </c>
      <c r="AE190" s="10" t="str">
        <f>Tab_Data_Flows[[#This Row],[UoM_Flow_Py]]</f>
        <v>Mg</v>
      </c>
      <c r="AF190" s="193">
        <f>INDEX(Tab_Def_Flows[[Flow_ID]:[CC_DM_source]],MATCH(Tab_Data_Flows[[#This Row],[Name(EN)]],Tab_Def_Flows[Name(EN)],0),15)</f>
        <v>0</v>
      </c>
      <c r="AG190" s="10" t="str">
        <f>IF(K190="Yes",AF190*Tab_Data_Flows[[#This Row],[Flow_Py]]-AJ306,"N.A.")</f>
        <v>N.A.</v>
      </c>
      <c r="AH190" s="10" t="str">
        <f>Tab_Data_Flows[[#This Row],[UoM_Flow_Py]]</f>
        <v>Mg</v>
      </c>
      <c r="AI190" s="193">
        <f>INDEX(Tab_Def_Flows[[Flow_ID]:[CC_DM_source]],MATCH(Tab_Data_Flows[[#This Row],[Name(EN)]],Tab_Def_Flows[Name(EN)],0),17)</f>
        <v>0</v>
      </c>
      <c r="AJ190" s="10" t="str">
        <f>IF(L190="Yes",AI190*Tab_Data_Flows[[#This Row],[Flow_Py]]*Tab_Data_Flows[[#This Row],[DM_'[%']]],"N.A.")</f>
        <v>N.A.</v>
      </c>
      <c r="AK190" s="10" t="str">
        <f>Tab_Data_Flows[[#This Row],[UoM_Flow_Py]]</f>
        <v>Mg</v>
      </c>
    </row>
    <row r="191" spans="1:37" x14ac:dyDescent="0.25">
      <c r="A191" s="17">
        <f t="shared" si="4"/>
        <v>190</v>
      </c>
      <c r="B191" s="10" t="str">
        <f>_xlfn.XLOOKUP(C191,Tab_Def_Flows[Name(EN)],Tab_Def_Flows[Flow_ID],,0,)</f>
        <v>N.A.</v>
      </c>
      <c r="C191" s="12" t="s">
        <v>35</v>
      </c>
      <c r="D191" s="10"/>
      <c r="E191" s="10">
        <f>_xlfn.XLOOKUP(C191,Tab_Def_Flows[Name(EN)],Tab_Def_Flows[Output_Process],,0,)</f>
        <v>0</v>
      </c>
      <c r="F191" s="10">
        <f>_xlfn.XLOOKUP(C191,Tab_Def_Flows[Name(EN)],Tab_Def_Flows[Process_ID_O],,0,)</f>
        <v>0</v>
      </c>
      <c r="G191" s="10">
        <f>_xlfn.XLOOKUP(C191,Tab_Def_Flows[Name(EN)],Tab_Def_Flows[Input_Process],,0,)</f>
        <v>0</v>
      </c>
      <c r="H191" s="18">
        <f>_xlfn.XLOOKUP(C191,Tab_Def_Flows[Name(EN)],Tab_Def_Flows[Process_ID_I],,0,)</f>
        <v>0</v>
      </c>
      <c r="I191" s="10" t="e">
        <f>_xlfn.XLOOKUP(C191,Tab_Def_Flows[Name(EN)],#REF!,,0,)</f>
        <v>#REF!</v>
      </c>
      <c r="J191" s="10">
        <f>_xlfn.XLOOKUP(C191,Tab_Def_Flows[Name(EN)],Tab_Def_Flows[WC?],,0,)</f>
        <v>0</v>
      </c>
      <c r="K191" s="10">
        <f>_xlfn.XLOOKUP(C191,Tab_Def_Flows[Name(EN)],Tab_Def_Flows[DM?],,0,)</f>
        <v>0</v>
      </c>
      <c r="L191" s="10">
        <f>_xlfn.XLOOKUP(C191,Tab_Def_Flows[Name(EN)],Tab_Def_Flows[CC?],,0,)</f>
        <v>0</v>
      </c>
      <c r="M191" s="12"/>
      <c r="N191" s="12"/>
      <c r="O191" s="50"/>
      <c r="P191" s="12"/>
      <c r="Q191" s="12"/>
      <c r="R191" s="12" t="e">
        <f>INDEX(#REF!,MATCH(Tab_Data_Flows[[#This Row],[Name(EN)]],#REF!,0),12)</f>
        <v>#REF!</v>
      </c>
      <c r="S191" s="12" t="e">
        <f>MATCH(Tab_Data_Flows[[#This Row],[Name(EN)]],#REF!,0)</f>
        <v>#REF!</v>
      </c>
      <c r="T191" s="12"/>
      <c r="U191" s="12"/>
      <c r="V191" s="12"/>
      <c r="W191" s="12"/>
      <c r="X191" s="12" t="s">
        <v>8</v>
      </c>
      <c r="Y191" s="12"/>
      <c r="Z191" s="12"/>
      <c r="AA191" s="36">
        <f t="shared" si="5"/>
        <v>0</v>
      </c>
      <c r="AB191" s="12" t="s">
        <v>283</v>
      </c>
      <c r="AC191" s="193">
        <f>INDEX(Tab_Def_Flows[[Flow_ID]:[CC_DM_source]],MATCH(Tab_Data_Flows[[#This Row],[Name(EN)]],Tab_Def_Flows[Name(EN)],0),13)</f>
        <v>0</v>
      </c>
      <c r="AD191" s="10" t="str">
        <f>IF(J191="Yes",AA191*Tab_Data_Flows[[#This Row],[WC_'[%']]],"N.A.")</f>
        <v>N.A.</v>
      </c>
      <c r="AE191" s="10" t="str">
        <f>Tab_Data_Flows[[#This Row],[UoM_Flow_Py]]</f>
        <v>Mg</v>
      </c>
      <c r="AF191" s="193">
        <f>INDEX(Tab_Def_Flows[[Flow_ID]:[CC_DM_source]],MATCH(Tab_Data_Flows[[#This Row],[Name(EN)]],Tab_Def_Flows[Name(EN)],0),15)</f>
        <v>0</v>
      </c>
      <c r="AG191" s="10" t="str">
        <f>IF(K191="Yes",AF191*Tab_Data_Flows[[#This Row],[Flow_Py]]-AJ307,"N.A.")</f>
        <v>N.A.</v>
      </c>
      <c r="AH191" s="10" t="str">
        <f>Tab_Data_Flows[[#This Row],[UoM_Flow_Py]]</f>
        <v>Mg</v>
      </c>
      <c r="AI191" s="193">
        <f>INDEX(Tab_Def_Flows[[Flow_ID]:[CC_DM_source]],MATCH(Tab_Data_Flows[[#This Row],[Name(EN)]],Tab_Def_Flows[Name(EN)],0),17)</f>
        <v>0</v>
      </c>
      <c r="AJ191" s="10" t="str">
        <f>IF(L191="Yes",AI191*Tab_Data_Flows[[#This Row],[Flow_Py]]*Tab_Data_Flows[[#This Row],[DM_'[%']]],"N.A.")</f>
        <v>N.A.</v>
      </c>
      <c r="AK191" s="10" t="str">
        <f>Tab_Data_Flows[[#This Row],[UoM_Flow_Py]]</f>
        <v>Mg</v>
      </c>
    </row>
    <row r="192" spans="1:37" x14ac:dyDescent="0.25">
      <c r="A192" s="17">
        <f t="shared" si="4"/>
        <v>191</v>
      </c>
      <c r="B192" s="10" t="str">
        <f>_xlfn.XLOOKUP(C192,Tab_Def_Flows[Name(EN)],Tab_Def_Flows[Flow_ID],,0,)</f>
        <v>N.A.</v>
      </c>
      <c r="C192" s="12" t="s">
        <v>35</v>
      </c>
      <c r="D192" s="10"/>
      <c r="E192" s="10">
        <f>_xlfn.XLOOKUP(C192,Tab_Def_Flows[Name(EN)],Tab_Def_Flows[Output_Process],,0,)</f>
        <v>0</v>
      </c>
      <c r="F192" s="10">
        <f>_xlfn.XLOOKUP(C192,Tab_Def_Flows[Name(EN)],Tab_Def_Flows[Process_ID_O],,0,)</f>
        <v>0</v>
      </c>
      <c r="G192" s="10">
        <f>_xlfn.XLOOKUP(C192,Tab_Def_Flows[Name(EN)],Tab_Def_Flows[Input_Process],,0,)</f>
        <v>0</v>
      </c>
      <c r="H192" s="18">
        <f>_xlfn.XLOOKUP(C192,Tab_Def_Flows[Name(EN)],Tab_Def_Flows[Process_ID_I],,0,)</f>
        <v>0</v>
      </c>
      <c r="I192" s="10" t="e">
        <f>_xlfn.XLOOKUP(C192,Tab_Def_Flows[Name(EN)],#REF!,,0,)</f>
        <v>#REF!</v>
      </c>
      <c r="J192" s="10">
        <f>_xlfn.XLOOKUP(C192,Tab_Def_Flows[Name(EN)],Tab_Def_Flows[WC?],,0,)</f>
        <v>0</v>
      </c>
      <c r="K192" s="10">
        <f>_xlfn.XLOOKUP(C192,Tab_Def_Flows[Name(EN)],Tab_Def_Flows[DM?],,0,)</f>
        <v>0</v>
      </c>
      <c r="L192" s="10">
        <f>_xlfn.XLOOKUP(C192,Tab_Def_Flows[Name(EN)],Tab_Def_Flows[CC?],,0,)</f>
        <v>0</v>
      </c>
      <c r="M192" s="12"/>
      <c r="N192" s="12"/>
      <c r="O192" s="50"/>
      <c r="P192" s="12"/>
      <c r="Q192" s="12"/>
      <c r="R192" s="12" t="e">
        <f>INDEX(#REF!,MATCH(Tab_Data_Flows[[#This Row],[Name(EN)]],#REF!,0),12)</f>
        <v>#REF!</v>
      </c>
      <c r="S192" s="12" t="e">
        <f>MATCH(Tab_Data_Flows[[#This Row],[Name(EN)]],#REF!,0)</f>
        <v>#REF!</v>
      </c>
      <c r="T192" s="12"/>
      <c r="U192" s="12"/>
      <c r="V192" s="12"/>
      <c r="W192" s="12"/>
      <c r="X192" s="12" t="s">
        <v>8</v>
      </c>
      <c r="Y192" s="12"/>
      <c r="Z192" s="12"/>
      <c r="AA192" s="36">
        <f t="shared" si="5"/>
        <v>0</v>
      </c>
      <c r="AB192" s="12" t="s">
        <v>283</v>
      </c>
      <c r="AC192" s="193">
        <f>INDEX(Tab_Def_Flows[[Flow_ID]:[CC_DM_source]],MATCH(Tab_Data_Flows[[#This Row],[Name(EN)]],Tab_Def_Flows[Name(EN)],0),13)</f>
        <v>0</v>
      </c>
      <c r="AD192" s="10" t="str">
        <f>IF(J192="Yes",AA192*Tab_Data_Flows[[#This Row],[WC_'[%']]],"N.A.")</f>
        <v>N.A.</v>
      </c>
      <c r="AE192" s="10" t="str">
        <f>Tab_Data_Flows[[#This Row],[UoM_Flow_Py]]</f>
        <v>Mg</v>
      </c>
      <c r="AF192" s="193">
        <f>INDEX(Tab_Def_Flows[[Flow_ID]:[CC_DM_source]],MATCH(Tab_Data_Flows[[#This Row],[Name(EN)]],Tab_Def_Flows[Name(EN)],0),15)</f>
        <v>0</v>
      </c>
      <c r="AG192" s="10" t="str">
        <f>IF(K192="Yes",AF192*Tab_Data_Flows[[#This Row],[Flow_Py]]-AJ308,"N.A.")</f>
        <v>N.A.</v>
      </c>
      <c r="AH192" s="10" t="str">
        <f>Tab_Data_Flows[[#This Row],[UoM_Flow_Py]]</f>
        <v>Mg</v>
      </c>
      <c r="AI192" s="193">
        <f>INDEX(Tab_Def_Flows[[Flow_ID]:[CC_DM_source]],MATCH(Tab_Data_Flows[[#This Row],[Name(EN)]],Tab_Def_Flows[Name(EN)],0),17)</f>
        <v>0</v>
      </c>
      <c r="AJ192" s="10" t="str">
        <f>IF(L192="Yes",AI192*Tab_Data_Flows[[#This Row],[Flow_Py]]*Tab_Data_Flows[[#This Row],[DM_'[%']]],"N.A.")</f>
        <v>N.A.</v>
      </c>
      <c r="AK192" s="10" t="str">
        <f>Tab_Data_Flows[[#This Row],[UoM_Flow_Py]]</f>
        <v>Mg</v>
      </c>
    </row>
    <row r="193" spans="1:37" x14ac:dyDescent="0.25">
      <c r="A193" s="17">
        <f t="shared" si="4"/>
        <v>192</v>
      </c>
      <c r="B193" s="10" t="str">
        <f>_xlfn.XLOOKUP(C193,Tab_Def_Flows[Name(EN)],Tab_Def_Flows[Flow_ID],,0,)</f>
        <v>N.A.</v>
      </c>
      <c r="C193" s="12" t="s">
        <v>35</v>
      </c>
      <c r="D193" s="10"/>
      <c r="E193" s="10">
        <f>_xlfn.XLOOKUP(C193,Tab_Def_Flows[Name(EN)],Tab_Def_Flows[Output_Process],,0,)</f>
        <v>0</v>
      </c>
      <c r="F193" s="10">
        <f>_xlfn.XLOOKUP(C193,Tab_Def_Flows[Name(EN)],Tab_Def_Flows[Process_ID_O],,0,)</f>
        <v>0</v>
      </c>
      <c r="G193" s="10">
        <f>_xlfn.XLOOKUP(C193,Tab_Def_Flows[Name(EN)],Tab_Def_Flows[Input_Process],,0,)</f>
        <v>0</v>
      </c>
      <c r="H193" s="18">
        <f>_xlfn.XLOOKUP(C193,Tab_Def_Flows[Name(EN)],Tab_Def_Flows[Process_ID_I],,0,)</f>
        <v>0</v>
      </c>
      <c r="I193" s="10" t="e">
        <f>_xlfn.XLOOKUP(C193,Tab_Def_Flows[Name(EN)],#REF!,,0,)</f>
        <v>#REF!</v>
      </c>
      <c r="J193" s="10">
        <f>_xlfn.XLOOKUP(C193,Tab_Def_Flows[Name(EN)],Tab_Def_Flows[WC?],,0,)</f>
        <v>0</v>
      </c>
      <c r="K193" s="10">
        <f>_xlfn.XLOOKUP(C193,Tab_Def_Flows[Name(EN)],Tab_Def_Flows[DM?],,0,)</f>
        <v>0</v>
      </c>
      <c r="L193" s="10">
        <f>_xlfn.XLOOKUP(C193,Tab_Def_Flows[Name(EN)],Tab_Def_Flows[CC?],,0,)</f>
        <v>0</v>
      </c>
      <c r="M193" s="12"/>
      <c r="N193" s="12"/>
      <c r="O193" s="50"/>
      <c r="P193" s="12"/>
      <c r="Q193" s="12"/>
      <c r="R193" s="12" t="e">
        <f>INDEX(#REF!,MATCH(Tab_Data_Flows[[#This Row],[Name(EN)]],#REF!,0),12)</f>
        <v>#REF!</v>
      </c>
      <c r="S193" s="12" t="e">
        <f>MATCH(Tab_Data_Flows[[#This Row],[Name(EN)]],#REF!,0)</f>
        <v>#REF!</v>
      </c>
      <c r="T193" s="12"/>
      <c r="U193" s="12"/>
      <c r="V193" s="12"/>
      <c r="W193" s="12"/>
      <c r="X193" s="12" t="s">
        <v>8</v>
      </c>
      <c r="Y193" s="12"/>
      <c r="Z193" s="12"/>
      <c r="AA193" s="36">
        <f t="shared" si="5"/>
        <v>0</v>
      </c>
      <c r="AB193" s="12" t="s">
        <v>283</v>
      </c>
      <c r="AC193" s="193">
        <f>INDEX(Tab_Def_Flows[[Flow_ID]:[CC_DM_source]],MATCH(Tab_Data_Flows[[#This Row],[Name(EN)]],Tab_Def_Flows[Name(EN)],0),13)</f>
        <v>0</v>
      </c>
      <c r="AD193" s="10" t="str">
        <f>IF(J193="Yes",AA193*Tab_Data_Flows[[#This Row],[WC_'[%']]],"N.A.")</f>
        <v>N.A.</v>
      </c>
      <c r="AE193" s="10" t="str">
        <f>Tab_Data_Flows[[#This Row],[UoM_Flow_Py]]</f>
        <v>Mg</v>
      </c>
      <c r="AF193" s="193">
        <f>INDEX(Tab_Def_Flows[[Flow_ID]:[CC_DM_source]],MATCH(Tab_Data_Flows[[#This Row],[Name(EN)]],Tab_Def_Flows[Name(EN)],0),15)</f>
        <v>0</v>
      </c>
      <c r="AG193" s="10" t="str">
        <f>IF(K193="Yes",AF193*Tab_Data_Flows[[#This Row],[Flow_Py]]-AJ309,"N.A.")</f>
        <v>N.A.</v>
      </c>
      <c r="AH193" s="10" t="str">
        <f>Tab_Data_Flows[[#This Row],[UoM_Flow_Py]]</f>
        <v>Mg</v>
      </c>
      <c r="AI193" s="193">
        <f>INDEX(Tab_Def_Flows[[Flow_ID]:[CC_DM_source]],MATCH(Tab_Data_Flows[[#This Row],[Name(EN)]],Tab_Def_Flows[Name(EN)],0),17)</f>
        <v>0</v>
      </c>
      <c r="AJ193" s="10" t="str">
        <f>IF(L193="Yes",AI193*Tab_Data_Flows[[#This Row],[Flow_Py]]*Tab_Data_Flows[[#This Row],[DM_'[%']]],"N.A.")</f>
        <v>N.A.</v>
      </c>
      <c r="AK193" s="10" t="str">
        <f>Tab_Data_Flows[[#This Row],[UoM_Flow_Py]]</f>
        <v>Mg</v>
      </c>
    </row>
    <row r="194" spans="1:37" x14ac:dyDescent="0.25">
      <c r="A194" s="17">
        <f t="shared" si="4"/>
        <v>193</v>
      </c>
      <c r="B194" s="10" t="str">
        <f>_xlfn.XLOOKUP(C194,Tab_Def_Flows[Name(EN)],Tab_Def_Flows[Flow_ID],,0,)</f>
        <v>N.A.</v>
      </c>
      <c r="C194" s="12" t="s">
        <v>35</v>
      </c>
      <c r="D194" s="10"/>
      <c r="E194" s="10">
        <f>_xlfn.XLOOKUP(C194,Tab_Def_Flows[Name(EN)],Tab_Def_Flows[Output_Process],,0,)</f>
        <v>0</v>
      </c>
      <c r="F194" s="10">
        <f>_xlfn.XLOOKUP(C194,Tab_Def_Flows[Name(EN)],Tab_Def_Flows[Process_ID_O],,0,)</f>
        <v>0</v>
      </c>
      <c r="G194" s="10">
        <f>_xlfn.XLOOKUP(C194,Tab_Def_Flows[Name(EN)],Tab_Def_Flows[Input_Process],,0,)</f>
        <v>0</v>
      </c>
      <c r="H194" s="18">
        <f>_xlfn.XLOOKUP(C194,Tab_Def_Flows[Name(EN)],Tab_Def_Flows[Process_ID_I],,0,)</f>
        <v>0</v>
      </c>
      <c r="I194" s="10" t="e">
        <f>_xlfn.XLOOKUP(C194,Tab_Def_Flows[Name(EN)],#REF!,,0,)</f>
        <v>#REF!</v>
      </c>
      <c r="J194" s="10">
        <f>_xlfn.XLOOKUP(C194,Tab_Def_Flows[Name(EN)],Tab_Def_Flows[WC?],,0,)</f>
        <v>0</v>
      </c>
      <c r="K194" s="10">
        <f>_xlfn.XLOOKUP(C194,Tab_Def_Flows[Name(EN)],Tab_Def_Flows[DM?],,0,)</f>
        <v>0</v>
      </c>
      <c r="L194" s="10">
        <f>_xlfn.XLOOKUP(C194,Tab_Def_Flows[Name(EN)],Tab_Def_Flows[CC?],,0,)</f>
        <v>0</v>
      </c>
      <c r="M194" s="12"/>
      <c r="N194" s="12"/>
      <c r="O194" s="50"/>
      <c r="P194" s="12"/>
      <c r="Q194" s="12"/>
      <c r="R194" s="12" t="e">
        <f>INDEX(#REF!,MATCH(Tab_Data_Flows[[#This Row],[Name(EN)]],#REF!,0),12)</f>
        <v>#REF!</v>
      </c>
      <c r="S194" s="12" t="e">
        <f>MATCH(Tab_Data_Flows[[#This Row],[Name(EN)]],#REF!,0)</f>
        <v>#REF!</v>
      </c>
      <c r="T194" s="12"/>
      <c r="U194" s="12"/>
      <c r="V194" s="12"/>
      <c r="W194" s="12"/>
      <c r="X194" s="12" t="s">
        <v>8</v>
      </c>
      <c r="Y194" s="12"/>
      <c r="Z194" s="12"/>
      <c r="AA194" s="36">
        <f t="shared" si="5"/>
        <v>0</v>
      </c>
      <c r="AB194" s="12" t="s">
        <v>283</v>
      </c>
      <c r="AC194" s="193">
        <f>INDEX(Tab_Def_Flows[[Flow_ID]:[CC_DM_source]],MATCH(Tab_Data_Flows[[#This Row],[Name(EN)]],Tab_Def_Flows[Name(EN)],0),13)</f>
        <v>0</v>
      </c>
      <c r="AD194" s="10" t="str">
        <f>IF(J194="Yes",AA194*Tab_Data_Flows[[#This Row],[WC_'[%']]],"N.A.")</f>
        <v>N.A.</v>
      </c>
      <c r="AE194" s="10" t="str">
        <f>Tab_Data_Flows[[#This Row],[UoM_Flow_Py]]</f>
        <v>Mg</v>
      </c>
      <c r="AF194" s="193">
        <f>INDEX(Tab_Def_Flows[[Flow_ID]:[CC_DM_source]],MATCH(Tab_Data_Flows[[#This Row],[Name(EN)]],Tab_Def_Flows[Name(EN)],0),15)</f>
        <v>0</v>
      </c>
      <c r="AG194" s="10" t="str">
        <f>IF(K194="Yes",AF194*Tab_Data_Flows[[#This Row],[Flow_Py]]-AJ310,"N.A.")</f>
        <v>N.A.</v>
      </c>
      <c r="AH194" s="10" t="str">
        <f>Tab_Data_Flows[[#This Row],[UoM_Flow_Py]]</f>
        <v>Mg</v>
      </c>
      <c r="AI194" s="193">
        <f>INDEX(Tab_Def_Flows[[Flow_ID]:[CC_DM_source]],MATCH(Tab_Data_Flows[[#This Row],[Name(EN)]],Tab_Def_Flows[Name(EN)],0),17)</f>
        <v>0</v>
      </c>
      <c r="AJ194" s="10" t="str">
        <f>IF(L194="Yes",AI194*Tab_Data_Flows[[#This Row],[Flow_Py]]*Tab_Data_Flows[[#This Row],[DM_'[%']]],"N.A.")</f>
        <v>N.A.</v>
      </c>
      <c r="AK194" s="10" t="str">
        <f>Tab_Data_Flows[[#This Row],[UoM_Flow_Py]]</f>
        <v>Mg</v>
      </c>
    </row>
    <row r="195" spans="1:37" x14ac:dyDescent="0.25">
      <c r="A195" s="17">
        <f t="shared" ref="A195:A258" si="6">ROW()-1</f>
        <v>194</v>
      </c>
      <c r="B195" s="10" t="str">
        <f>_xlfn.XLOOKUP(C195,Tab_Def_Flows[Name(EN)],Tab_Def_Flows[Flow_ID],,0,)</f>
        <v>N.A.</v>
      </c>
      <c r="C195" s="12" t="s">
        <v>35</v>
      </c>
      <c r="D195" s="10"/>
      <c r="E195" s="10">
        <f>_xlfn.XLOOKUP(C195,Tab_Def_Flows[Name(EN)],Tab_Def_Flows[Output_Process],,0,)</f>
        <v>0</v>
      </c>
      <c r="F195" s="10">
        <f>_xlfn.XLOOKUP(C195,Tab_Def_Flows[Name(EN)],Tab_Def_Flows[Process_ID_O],,0,)</f>
        <v>0</v>
      </c>
      <c r="G195" s="10">
        <f>_xlfn.XLOOKUP(C195,Tab_Def_Flows[Name(EN)],Tab_Def_Flows[Input_Process],,0,)</f>
        <v>0</v>
      </c>
      <c r="H195" s="18">
        <f>_xlfn.XLOOKUP(C195,Tab_Def_Flows[Name(EN)],Tab_Def_Flows[Process_ID_I],,0,)</f>
        <v>0</v>
      </c>
      <c r="I195" s="10" t="e">
        <f>_xlfn.XLOOKUP(C195,Tab_Def_Flows[Name(EN)],#REF!,,0,)</f>
        <v>#REF!</v>
      </c>
      <c r="J195" s="10">
        <f>_xlfn.XLOOKUP(C195,Tab_Def_Flows[Name(EN)],Tab_Def_Flows[WC?],,0,)</f>
        <v>0</v>
      </c>
      <c r="K195" s="10">
        <f>_xlfn.XLOOKUP(C195,Tab_Def_Flows[Name(EN)],Tab_Def_Flows[DM?],,0,)</f>
        <v>0</v>
      </c>
      <c r="L195" s="10">
        <f>_xlfn.XLOOKUP(C195,Tab_Def_Flows[Name(EN)],Tab_Def_Flows[CC?],,0,)</f>
        <v>0</v>
      </c>
      <c r="M195" s="12"/>
      <c r="N195" s="12"/>
      <c r="O195" s="50"/>
      <c r="P195" s="12"/>
      <c r="Q195" s="12"/>
      <c r="R195" s="12" t="e">
        <f>INDEX(#REF!,MATCH(Tab_Data_Flows[[#This Row],[Name(EN)]],#REF!,0),12)</f>
        <v>#REF!</v>
      </c>
      <c r="S195" s="12" t="e">
        <f>MATCH(Tab_Data_Flows[[#This Row],[Name(EN)]],#REF!,0)</f>
        <v>#REF!</v>
      </c>
      <c r="T195" s="12"/>
      <c r="U195" s="12"/>
      <c r="V195" s="12"/>
      <c r="W195" s="12"/>
      <c r="X195" s="12" t="s">
        <v>8</v>
      </c>
      <c r="Y195" s="12"/>
      <c r="Z195" s="12"/>
      <c r="AA195" s="36">
        <f t="shared" ref="AA195:AA258" si="7">IF(X195="no",O195,O195*Y195)</f>
        <v>0</v>
      </c>
      <c r="AB195" s="12" t="s">
        <v>283</v>
      </c>
      <c r="AC195" s="193">
        <f>INDEX(Tab_Def_Flows[[Flow_ID]:[CC_DM_source]],MATCH(Tab_Data_Flows[[#This Row],[Name(EN)]],Tab_Def_Flows[Name(EN)],0),13)</f>
        <v>0</v>
      </c>
      <c r="AD195" s="10" t="str">
        <f>IF(J195="Yes",AA195*Tab_Data_Flows[[#This Row],[WC_'[%']]],"N.A.")</f>
        <v>N.A.</v>
      </c>
      <c r="AE195" s="10" t="str">
        <f>Tab_Data_Flows[[#This Row],[UoM_Flow_Py]]</f>
        <v>Mg</v>
      </c>
      <c r="AF195" s="193">
        <f>INDEX(Tab_Def_Flows[[Flow_ID]:[CC_DM_source]],MATCH(Tab_Data_Flows[[#This Row],[Name(EN)]],Tab_Def_Flows[Name(EN)],0),15)</f>
        <v>0</v>
      </c>
      <c r="AG195" s="10" t="str">
        <f>IF(K195="Yes",AF195*Tab_Data_Flows[[#This Row],[Flow_Py]]-AJ311,"N.A.")</f>
        <v>N.A.</v>
      </c>
      <c r="AH195" s="10" t="str">
        <f>Tab_Data_Flows[[#This Row],[UoM_Flow_Py]]</f>
        <v>Mg</v>
      </c>
      <c r="AI195" s="193">
        <f>INDEX(Tab_Def_Flows[[Flow_ID]:[CC_DM_source]],MATCH(Tab_Data_Flows[[#This Row],[Name(EN)]],Tab_Def_Flows[Name(EN)],0),17)</f>
        <v>0</v>
      </c>
      <c r="AJ195" s="10" t="str">
        <f>IF(L195="Yes",AI195*Tab_Data_Flows[[#This Row],[Flow_Py]]*Tab_Data_Flows[[#This Row],[DM_'[%']]],"N.A.")</f>
        <v>N.A.</v>
      </c>
      <c r="AK195" s="10" t="str">
        <f>Tab_Data_Flows[[#This Row],[UoM_Flow_Py]]</f>
        <v>Mg</v>
      </c>
    </row>
    <row r="196" spans="1:37" x14ac:dyDescent="0.25">
      <c r="A196" s="17">
        <f t="shared" si="6"/>
        <v>195</v>
      </c>
      <c r="B196" s="10" t="str">
        <f>_xlfn.XLOOKUP(C196,Tab_Def_Flows[Name(EN)],Tab_Def_Flows[Flow_ID],,0,)</f>
        <v>N.A.</v>
      </c>
      <c r="C196" s="12" t="s">
        <v>35</v>
      </c>
      <c r="D196" s="10"/>
      <c r="E196" s="10">
        <f>_xlfn.XLOOKUP(C196,Tab_Def_Flows[Name(EN)],Tab_Def_Flows[Output_Process],,0,)</f>
        <v>0</v>
      </c>
      <c r="F196" s="10">
        <f>_xlfn.XLOOKUP(C196,Tab_Def_Flows[Name(EN)],Tab_Def_Flows[Process_ID_O],,0,)</f>
        <v>0</v>
      </c>
      <c r="G196" s="10">
        <f>_xlfn.XLOOKUP(C196,Tab_Def_Flows[Name(EN)],Tab_Def_Flows[Input_Process],,0,)</f>
        <v>0</v>
      </c>
      <c r="H196" s="18">
        <f>_xlfn.XLOOKUP(C196,Tab_Def_Flows[Name(EN)],Tab_Def_Flows[Process_ID_I],,0,)</f>
        <v>0</v>
      </c>
      <c r="I196" s="10" t="e">
        <f>_xlfn.XLOOKUP(C196,Tab_Def_Flows[Name(EN)],#REF!,,0,)</f>
        <v>#REF!</v>
      </c>
      <c r="J196" s="10">
        <f>_xlfn.XLOOKUP(C196,Tab_Def_Flows[Name(EN)],Tab_Def_Flows[WC?],,0,)</f>
        <v>0</v>
      </c>
      <c r="K196" s="10">
        <f>_xlfn.XLOOKUP(C196,Tab_Def_Flows[Name(EN)],Tab_Def_Flows[DM?],,0,)</f>
        <v>0</v>
      </c>
      <c r="L196" s="10">
        <f>_xlfn.XLOOKUP(C196,Tab_Def_Flows[Name(EN)],Tab_Def_Flows[CC?],,0,)</f>
        <v>0</v>
      </c>
      <c r="M196" s="12"/>
      <c r="N196" s="12"/>
      <c r="O196" s="50"/>
      <c r="P196" s="12"/>
      <c r="Q196" s="12"/>
      <c r="R196" s="12" t="e">
        <f>INDEX(#REF!,MATCH(Tab_Data_Flows[[#This Row],[Name(EN)]],#REF!,0),12)</f>
        <v>#REF!</v>
      </c>
      <c r="S196" s="12" t="e">
        <f>MATCH(Tab_Data_Flows[[#This Row],[Name(EN)]],#REF!,0)</f>
        <v>#REF!</v>
      </c>
      <c r="T196" s="12"/>
      <c r="U196" s="12"/>
      <c r="V196" s="12"/>
      <c r="W196" s="12"/>
      <c r="X196" s="12" t="s">
        <v>8</v>
      </c>
      <c r="Y196" s="12"/>
      <c r="Z196" s="12"/>
      <c r="AA196" s="36">
        <f t="shared" si="7"/>
        <v>0</v>
      </c>
      <c r="AB196" s="12" t="s">
        <v>283</v>
      </c>
      <c r="AC196" s="193">
        <f>INDEX(Tab_Def_Flows[[Flow_ID]:[CC_DM_source]],MATCH(Tab_Data_Flows[[#This Row],[Name(EN)]],Tab_Def_Flows[Name(EN)],0),13)</f>
        <v>0</v>
      </c>
      <c r="AD196" s="10" t="str">
        <f>IF(J196="Yes",AA196*Tab_Data_Flows[[#This Row],[WC_'[%']]],"N.A.")</f>
        <v>N.A.</v>
      </c>
      <c r="AE196" s="10" t="str">
        <f>Tab_Data_Flows[[#This Row],[UoM_Flow_Py]]</f>
        <v>Mg</v>
      </c>
      <c r="AF196" s="193">
        <f>INDEX(Tab_Def_Flows[[Flow_ID]:[CC_DM_source]],MATCH(Tab_Data_Flows[[#This Row],[Name(EN)]],Tab_Def_Flows[Name(EN)],0),15)</f>
        <v>0</v>
      </c>
      <c r="AG196" s="10" t="str">
        <f>IF(K196="Yes",AF196*Tab_Data_Flows[[#This Row],[Flow_Py]]-AJ312,"N.A.")</f>
        <v>N.A.</v>
      </c>
      <c r="AH196" s="10" t="str">
        <f>Tab_Data_Flows[[#This Row],[UoM_Flow_Py]]</f>
        <v>Mg</v>
      </c>
      <c r="AI196" s="193">
        <f>INDEX(Tab_Def_Flows[[Flow_ID]:[CC_DM_source]],MATCH(Tab_Data_Flows[[#This Row],[Name(EN)]],Tab_Def_Flows[Name(EN)],0),17)</f>
        <v>0</v>
      </c>
      <c r="AJ196" s="10" t="str">
        <f>IF(L196="Yes",AI196*Tab_Data_Flows[[#This Row],[Flow_Py]]*Tab_Data_Flows[[#This Row],[DM_'[%']]],"N.A.")</f>
        <v>N.A.</v>
      </c>
      <c r="AK196" s="10" t="str">
        <f>Tab_Data_Flows[[#This Row],[UoM_Flow_Py]]</f>
        <v>Mg</v>
      </c>
    </row>
    <row r="197" spans="1:37" x14ac:dyDescent="0.25">
      <c r="A197" s="17">
        <f t="shared" si="6"/>
        <v>196</v>
      </c>
      <c r="B197" s="10" t="str">
        <f>_xlfn.XLOOKUP(C197,Tab_Def_Flows[Name(EN)],Tab_Def_Flows[Flow_ID],,0,)</f>
        <v>N.A.</v>
      </c>
      <c r="C197" s="12" t="s">
        <v>35</v>
      </c>
      <c r="D197" s="10"/>
      <c r="E197" s="10">
        <f>_xlfn.XLOOKUP(C197,Tab_Def_Flows[Name(EN)],Tab_Def_Flows[Output_Process],,0,)</f>
        <v>0</v>
      </c>
      <c r="F197" s="10">
        <f>_xlfn.XLOOKUP(C197,Tab_Def_Flows[Name(EN)],Tab_Def_Flows[Process_ID_O],,0,)</f>
        <v>0</v>
      </c>
      <c r="G197" s="10">
        <f>_xlfn.XLOOKUP(C197,Tab_Def_Flows[Name(EN)],Tab_Def_Flows[Input_Process],,0,)</f>
        <v>0</v>
      </c>
      <c r="H197" s="18">
        <f>_xlfn.XLOOKUP(C197,Tab_Def_Flows[Name(EN)],Tab_Def_Flows[Process_ID_I],,0,)</f>
        <v>0</v>
      </c>
      <c r="I197" s="10" t="e">
        <f>_xlfn.XLOOKUP(C197,Tab_Def_Flows[Name(EN)],#REF!,,0,)</f>
        <v>#REF!</v>
      </c>
      <c r="J197" s="10">
        <f>_xlfn.XLOOKUP(C197,Tab_Def_Flows[Name(EN)],Tab_Def_Flows[WC?],,0,)</f>
        <v>0</v>
      </c>
      <c r="K197" s="10">
        <f>_xlfn.XLOOKUP(C197,Tab_Def_Flows[Name(EN)],Tab_Def_Flows[DM?],,0,)</f>
        <v>0</v>
      </c>
      <c r="L197" s="10">
        <f>_xlfn.XLOOKUP(C197,Tab_Def_Flows[Name(EN)],Tab_Def_Flows[CC?],,0,)</f>
        <v>0</v>
      </c>
      <c r="M197" s="12"/>
      <c r="N197" s="12"/>
      <c r="O197" s="50"/>
      <c r="P197" s="12"/>
      <c r="Q197" s="12"/>
      <c r="R197" s="12" t="e">
        <f>INDEX(#REF!,MATCH(Tab_Data_Flows[[#This Row],[Name(EN)]],#REF!,0),12)</f>
        <v>#REF!</v>
      </c>
      <c r="S197" s="12" t="e">
        <f>MATCH(Tab_Data_Flows[[#This Row],[Name(EN)]],#REF!,0)</f>
        <v>#REF!</v>
      </c>
      <c r="T197" s="12"/>
      <c r="U197" s="12"/>
      <c r="V197" s="12"/>
      <c r="W197" s="12"/>
      <c r="X197" s="12" t="s">
        <v>8</v>
      </c>
      <c r="Y197" s="12"/>
      <c r="Z197" s="12"/>
      <c r="AA197" s="36">
        <f t="shared" si="7"/>
        <v>0</v>
      </c>
      <c r="AB197" s="12" t="s">
        <v>283</v>
      </c>
      <c r="AC197" s="193">
        <f>INDEX(Tab_Def_Flows[[Flow_ID]:[CC_DM_source]],MATCH(Tab_Data_Flows[[#This Row],[Name(EN)]],Tab_Def_Flows[Name(EN)],0),13)</f>
        <v>0</v>
      </c>
      <c r="AD197" s="10" t="str">
        <f>IF(J197="Yes",AA197*Tab_Data_Flows[[#This Row],[WC_'[%']]],"N.A.")</f>
        <v>N.A.</v>
      </c>
      <c r="AE197" s="10" t="str">
        <f>Tab_Data_Flows[[#This Row],[UoM_Flow_Py]]</f>
        <v>Mg</v>
      </c>
      <c r="AF197" s="193">
        <f>INDEX(Tab_Def_Flows[[Flow_ID]:[CC_DM_source]],MATCH(Tab_Data_Flows[[#This Row],[Name(EN)]],Tab_Def_Flows[Name(EN)],0),15)</f>
        <v>0</v>
      </c>
      <c r="AG197" s="10" t="str">
        <f>IF(K197="Yes",AF197*Tab_Data_Flows[[#This Row],[Flow_Py]]-AJ313,"N.A.")</f>
        <v>N.A.</v>
      </c>
      <c r="AH197" s="10" t="str">
        <f>Tab_Data_Flows[[#This Row],[UoM_Flow_Py]]</f>
        <v>Mg</v>
      </c>
      <c r="AI197" s="193">
        <f>INDEX(Tab_Def_Flows[[Flow_ID]:[CC_DM_source]],MATCH(Tab_Data_Flows[[#This Row],[Name(EN)]],Tab_Def_Flows[Name(EN)],0),17)</f>
        <v>0</v>
      </c>
      <c r="AJ197" s="10" t="str">
        <f>IF(L197="Yes",AI197*Tab_Data_Flows[[#This Row],[Flow_Py]]*Tab_Data_Flows[[#This Row],[DM_'[%']]],"N.A.")</f>
        <v>N.A.</v>
      </c>
      <c r="AK197" s="10" t="str">
        <f>Tab_Data_Flows[[#This Row],[UoM_Flow_Py]]</f>
        <v>Mg</v>
      </c>
    </row>
    <row r="198" spans="1:37" x14ac:dyDescent="0.25">
      <c r="A198" s="17">
        <f t="shared" si="6"/>
        <v>197</v>
      </c>
      <c r="B198" s="10" t="str">
        <f>_xlfn.XLOOKUP(C198,Tab_Def_Flows[Name(EN)],Tab_Def_Flows[Flow_ID],,0,)</f>
        <v>N.A.</v>
      </c>
      <c r="C198" s="12" t="s">
        <v>35</v>
      </c>
      <c r="D198" s="10"/>
      <c r="E198" s="10">
        <f>_xlfn.XLOOKUP(C198,Tab_Def_Flows[Name(EN)],Tab_Def_Flows[Output_Process],,0,)</f>
        <v>0</v>
      </c>
      <c r="F198" s="10">
        <f>_xlfn.XLOOKUP(C198,Tab_Def_Flows[Name(EN)],Tab_Def_Flows[Process_ID_O],,0,)</f>
        <v>0</v>
      </c>
      <c r="G198" s="10">
        <f>_xlfn.XLOOKUP(C198,Tab_Def_Flows[Name(EN)],Tab_Def_Flows[Input_Process],,0,)</f>
        <v>0</v>
      </c>
      <c r="H198" s="18">
        <f>_xlfn.XLOOKUP(C198,Tab_Def_Flows[Name(EN)],Tab_Def_Flows[Process_ID_I],,0,)</f>
        <v>0</v>
      </c>
      <c r="I198" s="10" t="e">
        <f>_xlfn.XLOOKUP(C198,Tab_Def_Flows[Name(EN)],#REF!,,0,)</f>
        <v>#REF!</v>
      </c>
      <c r="J198" s="10">
        <f>_xlfn.XLOOKUP(C198,Tab_Def_Flows[Name(EN)],Tab_Def_Flows[WC?],,0,)</f>
        <v>0</v>
      </c>
      <c r="K198" s="10">
        <f>_xlfn.XLOOKUP(C198,Tab_Def_Flows[Name(EN)],Tab_Def_Flows[DM?],,0,)</f>
        <v>0</v>
      </c>
      <c r="L198" s="10">
        <f>_xlfn.XLOOKUP(C198,Tab_Def_Flows[Name(EN)],Tab_Def_Flows[CC?],,0,)</f>
        <v>0</v>
      </c>
      <c r="M198" s="12"/>
      <c r="N198" s="12"/>
      <c r="O198" s="50"/>
      <c r="P198" s="12"/>
      <c r="Q198" s="12"/>
      <c r="R198" s="12" t="e">
        <f>INDEX(#REF!,MATCH(Tab_Data_Flows[[#This Row],[Name(EN)]],#REF!,0),12)</f>
        <v>#REF!</v>
      </c>
      <c r="S198" s="12" t="e">
        <f>MATCH(Tab_Data_Flows[[#This Row],[Name(EN)]],#REF!,0)</f>
        <v>#REF!</v>
      </c>
      <c r="T198" s="12"/>
      <c r="U198" s="12"/>
      <c r="V198" s="12"/>
      <c r="W198" s="12"/>
      <c r="X198" s="12" t="s">
        <v>8</v>
      </c>
      <c r="Y198" s="12"/>
      <c r="Z198" s="12"/>
      <c r="AA198" s="36">
        <f t="shared" si="7"/>
        <v>0</v>
      </c>
      <c r="AB198" s="12" t="s">
        <v>283</v>
      </c>
      <c r="AC198" s="193">
        <f>INDEX(Tab_Def_Flows[[Flow_ID]:[CC_DM_source]],MATCH(Tab_Data_Flows[[#This Row],[Name(EN)]],Tab_Def_Flows[Name(EN)],0),13)</f>
        <v>0</v>
      </c>
      <c r="AD198" s="10" t="str">
        <f>IF(J198="Yes",AA198*Tab_Data_Flows[[#This Row],[WC_'[%']]],"N.A.")</f>
        <v>N.A.</v>
      </c>
      <c r="AE198" s="10" t="str">
        <f>Tab_Data_Flows[[#This Row],[UoM_Flow_Py]]</f>
        <v>Mg</v>
      </c>
      <c r="AF198" s="193">
        <f>INDEX(Tab_Def_Flows[[Flow_ID]:[CC_DM_source]],MATCH(Tab_Data_Flows[[#This Row],[Name(EN)]],Tab_Def_Flows[Name(EN)],0),15)</f>
        <v>0</v>
      </c>
      <c r="AG198" s="10" t="str">
        <f>IF(K198="Yes",AF198*Tab_Data_Flows[[#This Row],[Flow_Py]]-AJ314,"N.A.")</f>
        <v>N.A.</v>
      </c>
      <c r="AH198" s="10" t="str">
        <f>Tab_Data_Flows[[#This Row],[UoM_Flow_Py]]</f>
        <v>Mg</v>
      </c>
      <c r="AI198" s="193">
        <f>INDEX(Tab_Def_Flows[[Flow_ID]:[CC_DM_source]],MATCH(Tab_Data_Flows[[#This Row],[Name(EN)]],Tab_Def_Flows[Name(EN)],0),17)</f>
        <v>0</v>
      </c>
      <c r="AJ198" s="10" t="str">
        <f>IF(L198="Yes",AI198*Tab_Data_Flows[[#This Row],[Flow_Py]]*Tab_Data_Flows[[#This Row],[DM_'[%']]],"N.A.")</f>
        <v>N.A.</v>
      </c>
      <c r="AK198" s="10" t="str">
        <f>Tab_Data_Flows[[#This Row],[UoM_Flow_Py]]</f>
        <v>Mg</v>
      </c>
    </row>
    <row r="199" spans="1:37" x14ac:dyDescent="0.25">
      <c r="A199" s="17">
        <f t="shared" si="6"/>
        <v>198</v>
      </c>
      <c r="B199" s="10" t="str">
        <f>_xlfn.XLOOKUP(C199,Tab_Def_Flows[Name(EN)],Tab_Def_Flows[Flow_ID],,0,)</f>
        <v>N.A.</v>
      </c>
      <c r="C199" s="12" t="s">
        <v>35</v>
      </c>
      <c r="D199" s="10"/>
      <c r="E199" s="10">
        <f>_xlfn.XLOOKUP(C199,Tab_Def_Flows[Name(EN)],Tab_Def_Flows[Output_Process],,0,)</f>
        <v>0</v>
      </c>
      <c r="F199" s="10">
        <f>_xlfn.XLOOKUP(C199,Tab_Def_Flows[Name(EN)],Tab_Def_Flows[Process_ID_O],,0,)</f>
        <v>0</v>
      </c>
      <c r="G199" s="10">
        <f>_xlfn.XLOOKUP(C199,Tab_Def_Flows[Name(EN)],Tab_Def_Flows[Input_Process],,0,)</f>
        <v>0</v>
      </c>
      <c r="H199" s="18">
        <f>_xlfn.XLOOKUP(C199,Tab_Def_Flows[Name(EN)],Tab_Def_Flows[Process_ID_I],,0,)</f>
        <v>0</v>
      </c>
      <c r="I199" s="10" t="e">
        <f>_xlfn.XLOOKUP(C199,Tab_Def_Flows[Name(EN)],#REF!,,0,)</f>
        <v>#REF!</v>
      </c>
      <c r="J199" s="10">
        <f>_xlfn.XLOOKUP(C199,Tab_Def_Flows[Name(EN)],Tab_Def_Flows[WC?],,0,)</f>
        <v>0</v>
      </c>
      <c r="K199" s="10">
        <f>_xlfn.XLOOKUP(C199,Tab_Def_Flows[Name(EN)],Tab_Def_Flows[DM?],,0,)</f>
        <v>0</v>
      </c>
      <c r="L199" s="10">
        <f>_xlfn.XLOOKUP(C199,Tab_Def_Flows[Name(EN)],Tab_Def_Flows[CC?],,0,)</f>
        <v>0</v>
      </c>
      <c r="M199" s="12"/>
      <c r="N199" s="12"/>
      <c r="O199" s="50"/>
      <c r="P199" s="12"/>
      <c r="Q199" s="12"/>
      <c r="R199" s="12" t="e">
        <f>INDEX(#REF!,MATCH(Tab_Data_Flows[[#This Row],[Name(EN)]],#REF!,0),12)</f>
        <v>#REF!</v>
      </c>
      <c r="S199" s="12" t="e">
        <f>MATCH(Tab_Data_Flows[[#This Row],[Name(EN)]],#REF!,0)</f>
        <v>#REF!</v>
      </c>
      <c r="T199" s="12"/>
      <c r="U199" s="12"/>
      <c r="V199" s="12"/>
      <c r="W199" s="12"/>
      <c r="X199" s="12" t="s">
        <v>8</v>
      </c>
      <c r="Y199" s="12"/>
      <c r="Z199" s="12"/>
      <c r="AA199" s="36">
        <f t="shared" si="7"/>
        <v>0</v>
      </c>
      <c r="AB199" s="12" t="s">
        <v>283</v>
      </c>
      <c r="AC199" s="193">
        <f>INDEX(Tab_Def_Flows[[Flow_ID]:[CC_DM_source]],MATCH(Tab_Data_Flows[[#This Row],[Name(EN)]],Tab_Def_Flows[Name(EN)],0),13)</f>
        <v>0</v>
      </c>
      <c r="AD199" s="10" t="str">
        <f>IF(J199="Yes",AA199*Tab_Data_Flows[[#This Row],[WC_'[%']]],"N.A.")</f>
        <v>N.A.</v>
      </c>
      <c r="AE199" s="10" t="str">
        <f>Tab_Data_Flows[[#This Row],[UoM_Flow_Py]]</f>
        <v>Mg</v>
      </c>
      <c r="AF199" s="193">
        <f>INDEX(Tab_Def_Flows[[Flow_ID]:[CC_DM_source]],MATCH(Tab_Data_Flows[[#This Row],[Name(EN)]],Tab_Def_Flows[Name(EN)],0),15)</f>
        <v>0</v>
      </c>
      <c r="AG199" s="10" t="str">
        <f>IF(K199="Yes",AF199*Tab_Data_Flows[[#This Row],[Flow_Py]]-AJ315,"N.A.")</f>
        <v>N.A.</v>
      </c>
      <c r="AH199" s="10" t="str">
        <f>Tab_Data_Flows[[#This Row],[UoM_Flow_Py]]</f>
        <v>Mg</v>
      </c>
      <c r="AI199" s="193">
        <f>INDEX(Tab_Def_Flows[[Flow_ID]:[CC_DM_source]],MATCH(Tab_Data_Flows[[#This Row],[Name(EN)]],Tab_Def_Flows[Name(EN)],0),17)</f>
        <v>0</v>
      </c>
      <c r="AJ199" s="10" t="str">
        <f>IF(L199="Yes",AI199*Tab_Data_Flows[[#This Row],[Flow_Py]]*Tab_Data_Flows[[#This Row],[DM_'[%']]],"N.A.")</f>
        <v>N.A.</v>
      </c>
      <c r="AK199" s="10" t="str">
        <f>Tab_Data_Flows[[#This Row],[UoM_Flow_Py]]</f>
        <v>Mg</v>
      </c>
    </row>
    <row r="200" spans="1:37" x14ac:dyDescent="0.25">
      <c r="A200" s="17">
        <f t="shared" si="6"/>
        <v>199</v>
      </c>
      <c r="B200" s="10" t="str">
        <f>_xlfn.XLOOKUP(C200,Tab_Def_Flows[Name(EN)],Tab_Def_Flows[Flow_ID],,0,)</f>
        <v>N.A.</v>
      </c>
      <c r="C200" s="12" t="s">
        <v>35</v>
      </c>
      <c r="D200" s="10"/>
      <c r="E200" s="10">
        <f>_xlfn.XLOOKUP(C200,Tab_Def_Flows[Name(EN)],Tab_Def_Flows[Output_Process],,0,)</f>
        <v>0</v>
      </c>
      <c r="F200" s="10">
        <f>_xlfn.XLOOKUP(C200,Tab_Def_Flows[Name(EN)],Tab_Def_Flows[Process_ID_O],,0,)</f>
        <v>0</v>
      </c>
      <c r="G200" s="10">
        <f>_xlfn.XLOOKUP(C200,Tab_Def_Flows[Name(EN)],Tab_Def_Flows[Input_Process],,0,)</f>
        <v>0</v>
      </c>
      <c r="H200" s="18">
        <f>_xlfn.XLOOKUP(C200,Tab_Def_Flows[Name(EN)],Tab_Def_Flows[Process_ID_I],,0,)</f>
        <v>0</v>
      </c>
      <c r="I200" s="10" t="e">
        <f>_xlfn.XLOOKUP(C200,Tab_Def_Flows[Name(EN)],#REF!,,0,)</f>
        <v>#REF!</v>
      </c>
      <c r="J200" s="10">
        <f>_xlfn.XLOOKUP(C200,Tab_Def_Flows[Name(EN)],Tab_Def_Flows[WC?],,0,)</f>
        <v>0</v>
      </c>
      <c r="K200" s="10">
        <f>_xlfn.XLOOKUP(C200,Tab_Def_Flows[Name(EN)],Tab_Def_Flows[DM?],,0,)</f>
        <v>0</v>
      </c>
      <c r="L200" s="10">
        <f>_xlfn.XLOOKUP(C200,Tab_Def_Flows[Name(EN)],Tab_Def_Flows[CC?],,0,)</f>
        <v>0</v>
      </c>
      <c r="M200" s="12"/>
      <c r="N200" s="12"/>
      <c r="O200" s="50"/>
      <c r="P200" s="12"/>
      <c r="Q200" s="12"/>
      <c r="R200" s="12" t="e">
        <f>INDEX(#REF!,MATCH(Tab_Data_Flows[[#This Row],[Name(EN)]],#REF!,0),12)</f>
        <v>#REF!</v>
      </c>
      <c r="S200" s="12" t="e">
        <f>MATCH(Tab_Data_Flows[[#This Row],[Name(EN)]],#REF!,0)</f>
        <v>#REF!</v>
      </c>
      <c r="T200" s="12"/>
      <c r="U200" s="12"/>
      <c r="V200" s="12"/>
      <c r="W200" s="12"/>
      <c r="X200" s="12" t="s">
        <v>8</v>
      </c>
      <c r="Y200" s="12"/>
      <c r="Z200" s="12"/>
      <c r="AA200" s="36">
        <f t="shared" si="7"/>
        <v>0</v>
      </c>
      <c r="AB200" s="12" t="s">
        <v>283</v>
      </c>
      <c r="AC200" s="193">
        <f>INDEX(Tab_Def_Flows[[Flow_ID]:[CC_DM_source]],MATCH(Tab_Data_Flows[[#This Row],[Name(EN)]],Tab_Def_Flows[Name(EN)],0),13)</f>
        <v>0</v>
      </c>
      <c r="AD200" s="10" t="str">
        <f>IF(J200="Yes",AA200*Tab_Data_Flows[[#This Row],[WC_'[%']]],"N.A.")</f>
        <v>N.A.</v>
      </c>
      <c r="AE200" s="10" t="str">
        <f>Tab_Data_Flows[[#This Row],[UoM_Flow_Py]]</f>
        <v>Mg</v>
      </c>
      <c r="AF200" s="193">
        <f>INDEX(Tab_Def_Flows[[Flow_ID]:[CC_DM_source]],MATCH(Tab_Data_Flows[[#This Row],[Name(EN)]],Tab_Def_Flows[Name(EN)],0),15)</f>
        <v>0</v>
      </c>
      <c r="AG200" s="10" t="str">
        <f>IF(K200="Yes",AF200*Tab_Data_Flows[[#This Row],[Flow_Py]]-AJ316,"N.A.")</f>
        <v>N.A.</v>
      </c>
      <c r="AH200" s="10" t="str">
        <f>Tab_Data_Flows[[#This Row],[UoM_Flow_Py]]</f>
        <v>Mg</v>
      </c>
      <c r="AI200" s="193">
        <f>INDEX(Tab_Def_Flows[[Flow_ID]:[CC_DM_source]],MATCH(Tab_Data_Flows[[#This Row],[Name(EN)]],Tab_Def_Flows[Name(EN)],0),17)</f>
        <v>0</v>
      </c>
      <c r="AJ200" s="10" t="str">
        <f>IF(L200="Yes",AI200*Tab_Data_Flows[[#This Row],[Flow_Py]]*Tab_Data_Flows[[#This Row],[DM_'[%']]],"N.A.")</f>
        <v>N.A.</v>
      </c>
      <c r="AK200" s="10" t="str">
        <f>Tab_Data_Flows[[#This Row],[UoM_Flow_Py]]</f>
        <v>Mg</v>
      </c>
    </row>
    <row r="201" spans="1:37" x14ac:dyDescent="0.25">
      <c r="A201" s="17">
        <f t="shared" si="6"/>
        <v>200</v>
      </c>
      <c r="B201" s="10" t="str">
        <f>_xlfn.XLOOKUP(C201,Tab_Def_Flows[Name(EN)],Tab_Def_Flows[Flow_ID],,0,)</f>
        <v>N.A.</v>
      </c>
      <c r="C201" s="12" t="s">
        <v>35</v>
      </c>
      <c r="D201" s="10"/>
      <c r="E201" s="10">
        <f>_xlfn.XLOOKUP(C201,Tab_Def_Flows[Name(EN)],Tab_Def_Flows[Output_Process],,0,)</f>
        <v>0</v>
      </c>
      <c r="F201" s="10">
        <f>_xlfn.XLOOKUP(C201,Tab_Def_Flows[Name(EN)],Tab_Def_Flows[Process_ID_O],,0,)</f>
        <v>0</v>
      </c>
      <c r="G201" s="10">
        <f>_xlfn.XLOOKUP(C201,Tab_Def_Flows[Name(EN)],Tab_Def_Flows[Input_Process],,0,)</f>
        <v>0</v>
      </c>
      <c r="H201" s="18">
        <f>_xlfn.XLOOKUP(C201,Tab_Def_Flows[Name(EN)],Tab_Def_Flows[Process_ID_I],,0,)</f>
        <v>0</v>
      </c>
      <c r="I201" s="10" t="e">
        <f>_xlfn.XLOOKUP(C201,Tab_Def_Flows[Name(EN)],#REF!,,0,)</f>
        <v>#REF!</v>
      </c>
      <c r="J201" s="10">
        <f>_xlfn.XLOOKUP(C201,Tab_Def_Flows[Name(EN)],Tab_Def_Flows[WC?],,0,)</f>
        <v>0</v>
      </c>
      <c r="K201" s="10">
        <f>_xlfn.XLOOKUP(C201,Tab_Def_Flows[Name(EN)],Tab_Def_Flows[DM?],,0,)</f>
        <v>0</v>
      </c>
      <c r="L201" s="10">
        <f>_xlfn.XLOOKUP(C201,Tab_Def_Flows[Name(EN)],Tab_Def_Flows[CC?],,0,)</f>
        <v>0</v>
      </c>
      <c r="M201" s="12"/>
      <c r="N201" s="12"/>
      <c r="O201" s="50"/>
      <c r="P201" s="12"/>
      <c r="Q201" s="12"/>
      <c r="R201" s="12" t="e">
        <f>INDEX(#REF!,MATCH(Tab_Data_Flows[[#This Row],[Name(EN)]],#REF!,0),12)</f>
        <v>#REF!</v>
      </c>
      <c r="S201" s="12" t="e">
        <f>MATCH(Tab_Data_Flows[[#This Row],[Name(EN)]],#REF!,0)</f>
        <v>#REF!</v>
      </c>
      <c r="T201" s="12"/>
      <c r="U201" s="12"/>
      <c r="V201" s="12"/>
      <c r="W201" s="12"/>
      <c r="X201" s="12" t="s">
        <v>8</v>
      </c>
      <c r="Y201" s="12"/>
      <c r="Z201" s="12"/>
      <c r="AA201" s="36">
        <f t="shared" si="7"/>
        <v>0</v>
      </c>
      <c r="AB201" s="12" t="s">
        <v>283</v>
      </c>
      <c r="AC201" s="193">
        <f>INDEX(Tab_Def_Flows[[Flow_ID]:[CC_DM_source]],MATCH(Tab_Data_Flows[[#This Row],[Name(EN)]],Tab_Def_Flows[Name(EN)],0),13)</f>
        <v>0</v>
      </c>
      <c r="AD201" s="10" t="str">
        <f>IF(J201="Yes",AA201*Tab_Data_Flows[[#This Row],[WC_'[%']]],"N.A.")</f>
        <v>N.A.</v>
      </c>
      <c r="AE201" s="10" t="str">
        <f>Tab_Data_Flows[[#This Row],[UoM_Flow_Py]]</f>
        <v>Mg</v>
      </c>
      <c r="AF201" s="193">
        <f>INDEX(Tab_Def_Flows[[Flow_ID]:[CC_DM_source]],MATCH(Tab_Data_Flows[[#This Row],[Name(EN)]],Tab_Def_Flows[Name(EN)],0),15)</f>
        <v>0</v>
      </c>
      <c r="AG201" s="10" t="str">
        <f>IF(K201="Yes",AF201*Tab_Data_Flows[[#This Row],[Flow_Py]]-AJ317,"N.A.")</f>
        <v>N.A.</v>
      </c>
      <c r="AH201" s="10" t="str">
        <f>Tab_Data_Flows[[#This Row],[UoM_Flow_Py]]</f>
        <v>Mg</v>
      </c>
      <c r="AI201" s="193">
        <f>INDEX(Tab_Def_Flows[[Flow_ID]:[CC_DM_source]],MATCH(Tab_Data_Flows[[#This Row],[Name(EN)]],Tab_Def_Flows[Name(EN)],0),17)</f>
        <v>0</v>
      </c>
      <c r="AJ201" s="10" t="str">
        <f>IF(L201="Yes",AI201*Tab_Data_Flows[[#This Row],[Flow_Py]]*Tab_Data_Flows[[#This Row],[DM_'[%']]],"N.A.")</f>
        <v>N.A.</v>
      </c>
      <c r="AK201" s="10" t="str">
        <f>Tab_Data_Flows[[#This Row],[UoM_Flow_Py]]</f>
        <v>Mg</v>
      </c>
    </row>
    <row r="202" spans="1:37" x14ac:dyDescent="0.25">
      <c r="A202" s="17">
        <f t="shared" si="6"/>
        <v>201</v>
      </c>
      <c r="B202" s="10" t="str">
        <f>_xlfn.XLOOKUP(C202,Tab_Def_Flows[Name(EN)],Tab_Def_Flows[Flow_ID],,0,)</f>
        <v>N.A.</v>
      </c>
      <c r="C202" s="12" t="s">
        <v>35</v>
      </c>
      <c r="D202" s="10"/>
      <c r="E202" s="10">
        <f>_xlfn.XLOOKUP(C202,Tab_Def_Flows[Name(EN)],Tab_Def_Flows[Output_Process],,0,)</f>
        <v>0</v>
      </c>
      <c r="F202" s="10">
        <f>_xlfn.XLOOKUP(C202,Tab_Def_Flows[Name(EN)],Tab_Def_Flows[Process_ID_O],,0,)</f>
        <v>0</v>
      </c>
      <c r="G202" s="10">
        <f>_xlfn.XLOOKUP(C202,Tab_Def_Flows[Name(EN)],Tab_Def_Flows[Input_Process],,0,)</f>
        <v>0</v>
      </c>
      <c r="H202" s="18">
        <f>_xlfn.XLOOKUP(C202,Tab_Def_Flows[Name(EN)],Tab_Def_Flows[Process_ID_I],,0,)</f>
        <v>0</v>
      </c>
      <c r="I202" s="10" t="e">
        <f>_xlfn.XLOOKUP(C202,Tab_Def_Flows[Name(EN)],#REF!,,0,)</f>
        <v>#REF!</v>
      </c>
      <c r="J202" s="10">
        <f>_xlfn.XLOOKUP(C202,Tab_Def_Flows[Name(EN)],Tab_Def_Flows[WC?],,0,)</f>
        <v>0</v>
      </c>
      <c r="K202" s="10">
        <f>_xlfn.XLOOKUP(C202,Tab_Def_Flows[Name(EN)],Tab_Def_Flows[DM?],,0,)</f>
        <v>0</v>
      </c>
      <c r="L202" s="10">
        <f>_xlfn.XLOOKUP(C202,Tab_Def_Flows[Name(EN)],Tab_Def_Flows[CC?],,0,)</f>
        <v>0</v>
      </c>
      <c r="M202" s="12"/>
      <c r="N202" s="12"/>
      <c r="O202" s="50"/>
      <c r="P202" s="12"/>
      <c r="Q202" s="12"/>
      <c r="R202" s="12" t="e">
        <f>INDEX(#REF!,MATCH(Tab_Data_Flows[[#This Row],[Name(EN)]],#REF!,0),12)</f>
        <v>#REF!</v>
      </c>
      <c r="S202" s="12" t="e">
        <f>MATCH(Tab_Data_Flows[[#This Row],[Name(EN)]],#REF!,0)</f>
        <v>#REF!</v>
      </c>
      <c r="T202" s="12"/>
      <c r="U202" s="12"/>
      <c r="V202" s="12"/>
      <c r="W202" s="12"/>
      <c r="X202" s="12" t="s">
        <v>8</v>
      </c>
      <c r="Y202" s="12"/>
      <c r="Z202" s="12"/>
      <c r="AA202" s="36">
        <f t="shared" si="7"/>
        <v>0</v>
      </c>
      <c r="AB202" s="12" t="s">
        <v>283</v>
      </c>
      <c r="AC202" s="193">
        <f>INDEX(Tab_Def_Flows[[Flow_ID]:[CC_DM_source]],MATCH(Tab_Data_Flows[[#This Row],[Name(EN)]],Tab_Def_Flows[Name(EN)],0),13)</f>
        <v>0</v>
      </c>
      <c r="AD202" s="10" t="str">
        <f>IF(J202="Yes",AA202*Tab_Data_Flows[[#This Row],[WC_'[%']]],"N.A.")</f>
        <v>N.A.</v>
      </c>
      <c r="AE202" s="10" t="str">
        <f>Tab_Data_Flows[[#This Row],[UoM_Flow_Py]]</f>
        <v>Mg</v>
      </c>
      <c r="AF202" s="193">
        <f>INDEX(Tab_Def_Flows[[Flow_ID]:[CC_DM_source]],MATCH(Tab_Data_Flows[[#This Row],[Name(EN)]],Tab_Def_Flows[Name(EN)],0),15)</f>
        <v>0</v>
      </c>
      <c r="AG202" s="10" t="str">
        <f>IF(K202="Yes",AF202*Tab_Data_Flows[[#This Row],[Flow_Py]]-AJ318,"N.A.")</f>
        <v>N.A.</v>
      </c>
      <c r="AH202" s="10" t="str">
        <f>Tab_Data_Flows[[#This Row],[UoM_Flow_Py]]</f>
        <v>Mg</v>
      </c>
      <c r="AI202" s="193">
        <f>INDEX(Tab_Def_Flows[[Flow_ID]:[CC_DM_source]],MATCH(Tab_Data_Flows[[#This Row],[Name(EN)]],Tab_Def_Flows[Name(EN)],0),17)</f>
        <v>0</v>
      </c>
      <c r="AJ202" s="10" t="str">
        <f>IF(L202="Yes",AI202*Tab_Data_Flows[[#This Row],[Flow_Py]]*Tab_Data_Flows[[#This Row],[DM_'[%']]],"N.A.")</f>
        <v>N.A.</v>
      </c>
      <c r="AK202" s="10" t="str">
        <f>Tab_Data_Flows[[#This Row],[UoM_Flow_Py]]</f>
        <v>Mg</v>
      </c>
    </row>
    <row r="203" spans="1:37" x14ac:dyDescent="0.25">
      <c r="A203" s="17">
        <f t="shared" si="6"/>
        <v>202</v>
      </c>
      <c r="B203" s="10" t="str">
        <f>_xlfn.XLOOKUP(C203,Tab_Def_Flows[Name(EN)],Tab_Def_Flows[Flow_ID],,0,)</f>
        <v>N.A.</v>
      </c>
      <c r="C203" s="12" t="s">
        <v>35</v>
      </c>
      <c r="D203" s="10"/>
      <c r="E203" s="10">
        <f>_xlfn.XLOOKUP(C203,Tab_Def_Flows[Name(EN)],Tab_Def_Flows[Output_Process],,0,)</f>
        <v>0</v>
      </c>
      <c r="F203" s="10">
        <f>_xlfn.XLOOKUP(C203,Tab_Def_Flows[Name(EN)],Tab_Def_Flows[Process_ID_O],,0,)</f>
        <v>0</v>
      </c>
      <c r="G203" s="10">
        <f>_xlfn.XLOOKUP(C203,Tab_Def_Flows[Name(EN)],Tab_Def_Flows[Input_Process],,0,)</f>
        <v>0</v>
      </c>
      <c r="H203" s="18">
        <f>_xlfn.XLOOKUP(C203,Tab_Def_Flows[Name(EN)],Tab_Def_Flows[Process_ID_I],,0,)</f>
        <v>0</v>
      </c>
      <c r="I203" s="10" t="e">
        <f>_xlfn.XLOOKUP(C203,Tab_Def_Flows[Name(EN)],#REF!,,0,)</f>
        <v>#REF!</v>
      </c>
      <c r="J203" s="10">
        <f>_xlfn.XLOOKUP(C203,Tab_Def_Flows[Name(EN)],Tab_Def_Flows[WC?],,0,)</f>
        <v>0</v>
      </c>
      <c r="K203" s="10">
        <f>_xlfn.XLOOKUP(C203,Tab_Def_Flows[Name(EN)],Tab_Def_Flows[DM?],,0,)</f>
        <v>0</v>
      </c>
      <c r="L203" s="10">
        <f>_xlfn.XLOOKUP(C203,Tab_Def_Flows[Name(EN)],Tab_Def_Flows[CC?],,0,)</f>
        <v>0</v>
      </c>
      <c r="M203" s="12"/>
      <c r="N203" s="12"/>
      <c r="O203" s="50"/>
      <c r="P203" s="12"/>
      <c r="Q203" s="12"/>
      <c r="R203" s="12" t="e">
        <f>INDEX(#REF!,MATCH(Tab_Data_Flows[[#This Row],[Name(EN)]],#REF!,0),12)</f>
        <v>#REF!</v>
      </c>
      <c r="S203" s="12" t="e">
        <f>MATCH(Tab_Data_Flows[[#This Row],[Name(EN)]],#REF!,0)</f>
        <v>#REF!</v>
      </c>
      <c r="T203" s="12"/>
      <c r="U203" s="12"/>
      <c r="V203" s="12"/>
      <c r="W203" s="12"/>
      <c r="X203" s="12" t="s">
        <v>8</v>
      </c>
      <c r="Y203" s="12"/>
      <c r="Z203" s="12"/>
      <c r="AA203" s="36">
        <f t="shared" si="7"/>
        <v>0</v>
      </c>
      <c r="AB203" s="12" t="s">
        <v>283</v>
      </c>
      <c r="AC203" s="193">
        <f>INDEX(Tab_Def_Flows[[Flow_ID]:[CC_DM_source]],MATCH(Tab_Data_Flows[[#This Row],[Name(EN)]],Tab_Def_Flows[Name(EN)],0),13)</f>
        <v>0</v>
      </c>
      <c r="AD203" s="10" t="str">
        <f>IF(J203="Yes",AA203*Tab_Data_Flows[[#This Row],[WC_'[%']]],"N.A.")</f>
        <v>N.A.</v>
      </c>
      <c r="AE203" s="10" t="str">
        <f>Tab_Data_Flows[[#This Row],[UoM_Flow_Py]]</f>
        <v>Mg</v>
      </c>
      <c r="AF203" s="193">
        <f>INDEX(Tab_Def_Flows[[Flow_ID]:[CC_DM_source]],MATCH(Tab_Data_Flows[[#This Row],[Name(EN)]],Tab_Def_Flows[Name(EN)],0),15)</f>
        <v>0</v>
      </c>
      <c r="AG203" s="10" t="str">
        <f>IF(K203="Yes",AF203*Tab_Data_Flows[[#This Row],[Flow_Py]]-AJ319,"N.A.")</f>
        <v>N.A.</v>
      </c>
      <c r="AH203" s="10" t="str">
        <f>Tab_Data_Flows[[#This Row],[UoM_Flow_Py]]</f>
        <v>Mg</v>
      </c>
      <c r="AI203" s="193">
        <f>INDEX(Tab_Def_Flows[[Flow_ID]:[CC_DM_source]],MATCH(Tab_Data_Flows[[#This Row],[Name(EN)]],Tab_Def_Flows[Name(EN)],0),17)</f>
        <v>0</v>
      </c>
      <c r="AJ203" s="10" t="str">
        <f>IF(L203="Yes",AI203*Tab_Data_Flows[[#This Row],[Flow_Py]]*Tab_Data_Flows[[#This Row],[DM_'[%']]],"N.A.")</f>
        <v>N.A.</v>
      </c>
      <c r="AK203" s="10" t="str">
        <f>Tab_Data_Flows[[#This Row],[UoM_Flow_Py]]</f>
        <v>Mg</v>
      </c>
    </row>
    <row r="204" spans="1:37" x14ac:dyDescent="0.25">
      <c r="A204" s="17">
        <f t="shared" si="6"/>
        <v>203</v>
      </c>
      <c r="B204" s="10" t="str">
        <f>_xlfn.XLOOKUP(C204,Tab_Def_Flows[Name(EN)],Tab_Def_Flows[Flow_ID],,0,)</f>
        <v>N.A.</v>
      </c>
      <c r="C204" s="12" t="s">
        <v>35</v>
      </c>
      <c r="D204" s="10"/>
      <c r="E204" s="10">
        <f>_xlfn.XLOOKUP(C204,Tab_Def_Flows[Name(EN)],Tab_Def_Flows[Output_Process],,0,)</f>
        <v>0</v>
      </c>
      <c r="F204" s="10">
        <f>_xlfn.XLOOKUP(C204,Tab_Def_Flows[Name(EN)],Tab_Def_Flows[Process_ID_O],,0,)</f>
        <v>0</v>
      </c>
      <c r="G204" s="10">
        <f>_xlfn.XLOOKUP(C204,Tab_Def_Flows[Name(EN)],Tab_Def_Flows[Input_Process],,0,)</f>
        <v>0</v>
      </c>
      <c r="H204" s="18">
        <f>_xlfn.XLOOKUP(C204,Tab_Def_Flows[Name(EN)],Tab_Def_Flows[Process_ID_I],,0,)</f>
        <v>0</v>
      </c>
      <c r="I204" s="10" t="e">
        <f>_xlfn.XLOOKUP(C204,Tab_Def_Flows[Name(EN)],#REF!,,0,)</f>
        <v>#REF!</v>
      </c>
      <c r="J204" s="10">
        <f>_xlfn.XLOOKUP(C204,Tab_Def_Flows[Name(EN)],Tab_Def_Flows[WC?],,0,)</f>
        <v>0</v>
      </c>
      <c r="K204" s="10">
        <f>_xlfn.XLOOKUP(C204,Tab_Def_Flows[Name(EN)],Tab_Def_Flows[DM?],,0,)</f>
        <v>0</v>
      </c>
      <c r="L204" s="10">
        <f>_xlfn.XLOOKUP(C204,Tab_Def_Flows[Name(EN)],Tab_Def_Flows[CC?],,0,)</f>
        <v>0</v>
      </c>
      <c r="M204" s="12"/>
      <c r="N204" s="12"/>
      <c r="O204" s="50"/>
      <c r="P204" s="12"/>
      <c r="Q204" s="12"/>
      <c r="R204" s="12" t="e">
        <f>INDEX(#REF!,MATCH(Tab_Data_Flows[[#This Row],[Name(EN)]],#REF!,0),12)</f>
        <v>#REF!</v>
      </c>
      <c r="S204" s="12" t="e">
        <f>MATCH(Tab_Data_Flows[[#This Row],[Name(EN)]],#REF!,0)</f>
        <v>#REF!</v>
      </c>
      <c r="T204" s="12"/>
      <c r="U204" s="12"/>
      <c r="V204" s="12"/>
      <c r="W204" s="12"/>
      <c r="X204" s="12" t="s">
        <v>8</v>
      </c>
      <c r="Y204" s="12"/>
      <c r="Z204" s="12"/>
      <c r="AA204" s="36">
        <f t="shared" si="7"/>
        <v>0</v>
      </c>
      <c r="AB204" s="12" t="s">
        <v>283</v>
      </c>
      <c r="AC204" s="193">
        <f>INDEX(Tab_Def_Flows[[Flow_ID]:[CC_DM_source]],MATCH(Tab_Data_Flows[[#This Row],[Name(EN)]],Tab_Def_Flows[Name(EN)],0),13)</f>
        <v>0</v>
      </c>
      <c r="AD204" s="10" t="str">
        <f>IF(J204="Yes",AA204*Tab_Data_Flows[[#This Row],[WC_'[%']]],"N.A.")</f>
        <v>N.A.</v>
      </c>
      <c r="AE204" s="10" t="str">
        <f>Tab_Data_Flows[[#This Row],[UoM_Flow_Py]]</f>
        <v>Mg</v>
      </c>
      <c r="AF204" s="193">
        <f>INDEX(Tab_Def_Flows[[Flow_ID]:[CC_DM_source]],MATCH(Tab_Data_Flows[[#This Row],[Name(EN)]],Tab_Def_Flows[Name(EN)],0),15)</f>
        <v>0</v>
      </c>
      <c r="AG204" s="10" t="str">
        <f>IF(K204="Yes",AF204*Tab_Data_Flows[[#This Row],[Flow_Py]]-AJ320,"N.A.")</f>
        <v>N.A.</v>
      </c>
      <c r="AH204" s="10" t="str">
        <f>Tab_Data_Flows[[#This Row],[UoM_Flow_Py]]</f>
        <v>Mg</v>
      </c>
      <c r="AI204" s="193">
        <f>INDEX(Tab_Def_Flows[[Flow_ID]:[CC_DM_source]],MATCH(Tab_Data_Flows[[#This Row],[Name(EN)]],Tab_Def_Flows[Name(EN)],0),17)</f>
        <v>0</v>
      </c>
      <c r="AJ204" s="10" t="str">
        <f>IF(L204="Yes",AI204*Tab_Data_Flows[[#This Row],[Flow_Py]]*Tab_Data_Flows[[#This Row],[DM_'[%']]],"N.A.")</f>
        <v>N.A.</v>
      </c>
      <c r="AK204" s="10" t="str">
        <f>Tab_Data_Flows[[#This Row],[UoM_Flow_Py]]</f>
        <v>Mg</v>
      </c>
    </row>
    <row r="205" spans="1:37" x14ac:dyDescent="0.25">
      <c r="A205" s="17">
        <f t="shared" si="6"/>
        <v>204</v>
      </c>
      <c r="B205" s="10" t="str">
        <f>_xlfn.XLOOKUP(C205,Tab_Def_Flows[Name(EN)],Tab_Def_Flows[Flow_ID],,0,)</f>
        <v>N.A.</v>
      </c>
      <c r="C205" s="12" t="s">
        <v>35</v>
      </c>
      <c r="D205" s="10">
        <f>_xlfn.XLOOKUP(C205,Tab_Def_Flows[Name(EN)],Tab_Def_Flows[Type_Biomass],,0,)</f>
        <v>0</v>
      </c>
      <c r="E205" s="10">
        <f>_xlfn.XLOOKUP(C205,Tab_Def_Flows[Name(EN)],Tab_Def_Flows[Output_Process],,0,)</f>
        <v>0</v>
      </c>
      <c r="F205" s="10">
        <f>_xlfn.XLOOKUP(C205,Tab_Def_Flows[Name(EN)],Tab_Def_Flows[Process_ID_O],,0,)</f>
        <v>0</v>
      </c>
      <c r="G205" s="10">
        <f>_xlfn.XLOOKUP(C205,Tab_Def_Flows[Name(EN)],Tab_Def_Flows[Input_Process],,0,)</f>
        <v>0</v>
      </c>
      <c r="H205" s="18">
        <f>_xlfn.XLOOKUP(C205,Tab_Def_Flows[Name(EN)],Tab_Def_Flows[Process_ID_I],,0,)</f>
        <v>0</v>
      </c>
      <c r="I205" s="18" t="e">
        <f>_xlfn.XLOOKUP(C205,Tab_Def_Flows[Name(EN)],#REF!,,0,)</f>
        <v>#REF!</v>
      </c>
      <c r="J205" s="18">
        <f>_xlfn.XLOOKUP(C205,Tab_Def_Flows[Name(EN)],Tab_Def_Flows[WC?],,0,)</f>
        <v>0</v>
      </c>
      <c r="K205" s="18">
        <f>_xlfn.XLOOKUP(C205,Tab_Def_Flows[Name(EN)],Tab_Def_Flows[DM?],,0,)</f>
        <v>0</v>
      </c>
      <c r="L205" s="18">
        <f>_xlfn.XLOOKUP(C205,Tab_Def_Flows[Name(EN)],Tab_Def_Flows[CC?],,0,)</f>
        <v>0</v>
      </c>
      <c r="M205" s="12"/>
      <c r="N205" s="12" t="s">
        <v>105</v>
      </c>
      <c r="O205" s="50"/>
      <c r="P205" s="12"/>
      <c r="Q205" s="12"/>
      <c r="R205" s="12"/>
      <c r="S205" s="12"/>
      <c r="T205" s="12"/>
      <c r="U205" s="12"/>
      <c r="V205" s="12"/>
      <c r="W205" s="12"/>
      <c r="X205" s="12" t="s">
        <v>8</v>
      </c>
      <c r="Y205" s="43"/>
      <c r="Z205" s="12"/>
      <c r="AA205" s="36">
        <f t="shared" si="7"/>
        <v>0</v>
      </c>
      <c r="AB205" s="12" t="s">
        <v>283</v>
      </c>
      <c r="AC205" s="193">
        <f>INDEX(Tab_Def_Flows[[Flow_ID]:[CC_DM_source]],MATCH(Tab_Data_Flows[[#This Row],[Name(EN)]],Tab_Def_Flows[Name(EN)],0),13)</f>
        <v>0</v>
      </c>
      <c r="AD205" s="10" t="str">
        <f>IF(J205="Yes",AA205*Tab_Data_Flows[[#This Row],[WC_'[%']]],"N.A.")</f>
        <v>N.A.</v>
      </c>
      <c r="AE205" s="10" t="str">
        <f>Tab_Data_Flows[[#This Row],[UoM_Flow_Py]]</f>
        <v>Mg</v>
      </c>
      <c r="AF205" s="193">
        <f>INDEX(Tab_Def_Flows[[Flow_ID]:[CC_DM_source]],MATCH(Tab_Data_Flows[[#This Row],[Name(EN)]],Tab_Def_Flows[Name(EN)],0),15)</f>
        <v>0</v>
      </c>
      <c r="AG205" s="10" t="str">
        <f>IF(K205="Yes",AF205*Tab_Data_Flows[[#This Row],[Flow_Py]],"N.A.")</f>
        <v>N.A.</v>
      </c>
      <c r="AH205" s="10" t="str">
        <f>Tab_Data_Flows[[#This Row],[UoM_Flow_Py]]</f>
        <v>Mg</v>
      </c>
      <c r="AI205" s="193">
        <f>INDEX(Tab_Def_Flows[[Flow_ID]:[CC_DM_source]],MATCH(Tab_Data_Flows[[#This Row],[Name(EN)]],Tab_Def_Flows[Name(EN)],0),17)</f>
        <v>0</v>
      </c>
      <c r="AJ205" s="10" t="str">
        <f>IF(L205="Yes",AI205*Tab_Data_Flows[[#This Row],[Flow_Py]]*Tab_Data_Flows[[#This Row],[DM_'[%']]],"N.A.")</f>
        <v>N.A.</v>
      </c>
      <c r="AK205" s="10" t="str">
        <f>Tab_Data_Flows[[#This Row],[UoM_Flow_Py]]</f>
        <v>Mg</v>
      </c>
    </row>
    <row r="206" spans="1:37" x14ac:dyDescent="0.25">
      <c r="A206" s="17">
        <f t="shared" si="6"/>
        <v>205</v>
      </c>
      <c r="B206" s="10" t="str">
        <f>_xlfn.XLOOKUP(C206,Tab_Def_Flows[Name(EN)],Tab_Def_Flows[Flow_ID],,0,)</f>
        <v>N.A.</v>
      </c>
      <c r="C206" s="12" t="s">
        <v>35</v>
      </c>
      <c r="D206" s="10">
        <f>_xlfn.XLOOKUP(C206,Tab_Def_Flows[Name(EN)],Tab_Def_Flows[Type_Biomass],,0,)</f>
        <v>0</v>
      </c>
      <c r="E206" s="10">
        <f>_xlfn.XLOOKUP(C206,Tab_Def_Flows[Name(EN)],Tab_Def_Flows[Output_Process],,0,)</f>
        <v>0</v>
      </c>
      <c r="F206" s="10">
        <f>_xlfn.XLOOKUP(C206,Tab_Def_Flows[Name(EN)],Tab_Def_Flows[Process_ID_O],,0,)</f>
        <v>0</v>
      </c>
      <c r="G206" s="10">
        <f>_xlfn.XLOOKUP(C206,Tab_Def_Flows[Name(EN)],Tab_Def_Flows[Input_Process],,0,)</f>
        <v>0</v>
      </c>
      <c r="H206" s="18">
        <f>_xlfn.XLOOKUP(C206,Tab_Def_Flows[Name(EN)],Tab_Def_Flows[Process_ID_I],,0,)</f>
        <v>0</v>
      </c>
      <c r="I206" s="18" t="e">
        <f>_xlfn.XLOOKUP(C206,Tab_Def_Flows[Name(EN)],#REF!,,0,)</f>
        <v>#REF!</v>
      </c>
      <c r="J206" s="18">
        <f>_xlfn.XLOOKUP(C206,Tab_Def_Flows[Name(EN)],Tab_Def_Flows[WC?],,0,)</f>
        <v>0</v>
      </c>
      <c r="K206" s="18">
        <f>_xlfn.XLOOKUP(C206,Tab_Def_Flows[Name(EN)],Tab_Def_Flows[DM?],,0,)</f>
        <v>0</v>
      </c>
      <c r="L206" s="18">
        <f>_xlfn.XLOOKUP(C206,Tab_Def_Flows[Name(EN)],Tab_Def_Flows[CC?],,0,)</f>
        <v>0</v>
      </c>
      <c r="M206" s="12"/>
      <c r="N206" s="12" t="s">
        <v>105</v>
      </c>
      <c r="O206" s="50"/>
      <c r="P206" s="12"/>
      <c r="Q206" s="12"/>
      <c r="R206" s="12"/>
      <c r="S206" s="12"/>
      <c r="T206" s="12"/>
      <c r="U206" s="12"/>
      <c r="V206" s="12"/>
      <c r="W206" s="12"/>
      <c r="X206" s="12" t="s">
        <v>8</v>
      </c>
      <c r="Y206" s="43"/>
      <c r="Z206" s="12"/>
      <c r="AA206" s="36">
        <f t="shared" si="7"/>
        <v>0</v>
      </c>
      <c r="AB206" s="12" t="s">
        <v>283</v>
      </c>
      <c r="AC206" s="193">
        <f>INDEX(Tab_Def_Flows[[Flow_ID]:[CC_DM_source]],MATCH(Tab_Data_Flows[[#This Row],[Name(EN)]],Tab_Def_Flows[Name(EN)],0),13)</f>
        <v>0</v>
      </c>
      <c r="AD206" s="10" t="str">
        <f>IF(J206="Yes",AA206*Tab_Data_Flows[[#This Row],[WC_'[%']]],"N.A.")</f>
        <v>N.A.</v>
      </c>
      <c r="AE206" s="10" t="str">
        <f>Tab_Data_Flows[[#This Row],[UoM_Flow_Py]]</f>
        <v>Mg</v>
      </c>
      <c r="AF206" s="193">
        <f>INDEX(Tab_Def_Flows[[Flow_ID]:[CC_DM_source]],MATCH(Tab_Data_Flows[[#This Row],[Name(EN)]],Tab_Def_Flows[Name(EN)],0),15)</f>
        <v>0</v>
      </c>
      <c r="AG206" s="10" t="str">
        <f>IF(K206="Yes",AF206*Tab_Data_Flows[[#This Row],[Flow_Py]],"N.A.")</f>
        <v>N.A.</v>
      </c>
      <c r="AH206" s="10" t="str">
        <f>Tab_Data_Flows[[#This Row],[UoM_Flow_Py]]</f>
        <v>Mg</v>
      </c>
      <c r="AI206" s="193">
        <f>INDEX(Tab_Def_Flows[[Flow_ID]:[CC_DM_source]],MATCH(Tab_Data_Flows[[#This Row],[Name(EN)]],Tab_Def_Flows[Name(EN)],0),17)</f>
        <v>0</v>
      </c>
      <c r="AJ206" s="10" t="str">
        <f>IF(L206="Yes",AI206*Tab_Data_Flows[[#This Row],[Flow_Py]]*Tab_Data_Flows[[#This Row],[DM_'[%']]],"N.A.")</f>
        <v>N.A.</v>
      </c>
      <c r="AK206" s="10" t="str">
        <f>Tab_Data_Flows[[#This Row],[UoM_Flow_Py]]</f>
        <v>Mg</v>
      </c>
    </row>
    <row r="207" spans="1:37" x14ac:dyDescent="0.25">
      <c r="A207" s="17">
        <f t="shared" si="6"/>
        <v>206</v>
      </c>
      <c r="B207" s="10" t="str">
        <f>_xlfn.XLOOKUP(C207,Tab_Def_Flows[Name(EN)],Tab_Def_Flows[Flow_ID],,0,)</f>
        <v>N.A.</v>
      </c>
      <c r="C207" s="12" t="s">
        <v>35</v>
      </c>
      <c r="D207" s="10">
        <f>_xlfn.XLOOKUP(C207,Tab_Def_Flows[Name(EN)],Tab_Def_Flows[Type_Biomass],,0,)</f>
        <v>0</v>
      </c>
      <c r="E207" s="10">
        <f>_xlfn.XLOOKUP(C207,Tab_Def_Flows[Name(EN)],Tab_Def_Flows[Output_Process],,0,)</f>
        <v>0</v>
      </c>
      <c r="F207" s="10">
        <f>_xlfn.XLOOKUP(C207,Tab_Def_Flows[Name(EN)],Tab_Def_Flows[Process_ID_O],,0,)</f>
        <v>0</v>
      </c>
      <c r="G207" s="10">
        <f>_xlfn.XLOOKUP(C207,Tab_Def_Flows[Name(EN)],Tab_Def_Flows[Input_Process],,0,)</f>
        <v>0</v>
      </c>
      <c r="H207" s="18">
        <f>_xlfn.XLOOKUP(C207,Tab_Def_Flows[Name(EN)],Tab_Def_Flows[Process_ID_I],,0,)</f>
        <v>0</v>
      </c>
      <c r="I207" s="18" t="e">
        <f>_xlfn.XLOOKUP(C207,Tab_Def_Flows[Name(EN)],#REF!,,0,)</f>
        <v>#REF!</v>
      </c>
      <c r="J207" s="18">
        <f>_xlfn.XLOOKUP(C207,Tab_Def_Flows[Name(EN)],Tab_Def_Flows[WC?],,0,)</f>
        <v>0</v>
      </c>
      <c r="K207" s="18">
        <f>_xlfn.XLOOKUP(C207,Tab_Def_Flows[Name(EN)],Tab_Def_Flows[DM?],,0,)</f>
        <v>0</v>
      </c>
      <c r="L207" s="18">
        <f>_xlfn.XLOOKUP(C207,Tab_Def_Flows[Name(EN)],Tab_Def_Flows[CC?],,0,)</f>
        <v>0</v>
      </c>
      <c r="M207" s="12"/>
      <c r="N207" s="12" t="s">
        <v>105</v>
      </c>
      <c r="O207" s="50"/>
      <c r="P207" s="12"/>
      <c r="Q207" s="12"/>
      <c r="R207" s="12"/>
      <c r="S207" s="12"/>
      <c r="T207" s="12"/>
      <c r="U207" s="12"/>
      <c r="V207" s="12"/>
      <c r="W207" s="12"/>
      <c r="X207" s="12" t="s">
        <v>8</v>
      </c>
      <c r="Y207" s="43"/>
      <c r="Z207" s="12"/>
      <c r="AA207" s="36">
        <f t="shared" si="7"/>
        <v>0</v>
      </c>
      <c r="AB207" s="12" t="s">
        <v>283</v>
      </c>
      <c r="AC207" s="193">
        <f>INDEX(Tab_Def_Flows[[Flow_ID]:[CC_DM_source]],MATCH(Tab_Data_Flows[[#This Row],[Name(EN)]],Tab_Def_Flows[Name(EN)],0),13)</f>
        <v>0</v>
      </c>
      <c r="AD207" s="10" t="str">
        <f>IF(J207="Yes",AA207*Tab_Data_Flows[[#This Row],[WC_'[%']]],"N.A.")</f>
        <v>N.A.</v>
      </c>
      <c r="AE207" s="10" t="str">
        <f>Tab_Data_Flows[[#This Row],[UoM_Flow_Py]]</f>
        <v>Mg</v>
      </c>
      <c r="AF207" s="193">
        <f>INDEX(Tab_Def_Flows[[Flow_ID]:[CC_DM_source]],MATCH(Tab_Data_Flows[[#This Row],[Name(EN)]],Tab_Def_Flows[Name(EN)],0),15)</f>
        <v>0</v>
      </c>
      <c r="AG207" s="10" t="str">
        <f>IF(K207="Yes",AF207*Tab_Data_Flows[[#This Row],[Flow_Py]],"N.A.")</f>
        <v>N.A.</v>
      </c>
      <c r="AH207" s="10" t="str">
        <f>Tab_Data_Flows[[#This Row],[UoM_Flow_Py]]</f>
        <v>Mg</v>
      </c>
      <c r="AI207" s="193">
        <f>INDEX(Tab_Def_Flows[[Flow_ID]:[CC_DM_source]],MATCH(Tab_Data_Flows[[#This Row],[Name(EN)]],Tab_Def_Flows[Name(EN)],0),17)</f>
        <v>0</v>
      </c>
      <c r="AJ207" s="10" t="str">
        <f>IF(L207="Yes",AI207*Tab_Data_Flows[[#This Row],[Flow_Py]]*Tab_Data_Flows[[#This Row],[DM_'[%']]],"N.A.")</f>
        <v>N.A.</v>
      </c>
      <c r="AK207" s="10" t="str">
        <f>Tab_Data_Flows[[#This Row],[UoM_Flow_Py]]</f>
        <v>Mg</v>
      </c>
    </row>
    <row r="208" spans="1:37" x14ac:dyDescent="0.25">
      <c r="A208" s="17">
        <f t="shared" si="6"/>
        <v>207</v>
      </c>
      <c r="B208" s="10" t="str">
        <f>_xlfn.XLOOKUP(C208,Tab_Def_Flows[Name(EN)],Tab_Def_Flows[Flow_ID],,0,)</f>
        <v>N.A.</v>
      </c>
      <c r="C208" s="12" t="s">
        <v>35</v>
      </c>
      <c r="D208" s="10">
        <f>_xlfn.XLOOKUP(C208,Tab_Def_Flows[Name(EN)],Tab_Def_Flows[Type_Biomass],,0,)</f>
        <v>0</v>
      </c>
      <c r="E208" s="10">
        <f>_xlfn.XLOOKUP(C208,Tab_Def_Flows[Name(EN)],Tab_Def_Flows[Output_Process],,0,)</f>
        <v>0</v>
      </c>
      <c r="F208" s="10">
        <f>_xlfn.XLOOKUP(C208,Tab_Def_Flows[Name(EN)],Tab_Def_Flows[Process_ID_O],,0,)</f>
        <v>0</v>
      </c>
      <c r="G208" s="10">
        <f>_xlfn.XLOOKUP(C208,Tab_Def_Flows[Name(EN)],Tab_Def_Flows[Input_Process],,0,)</f>
        <v>0</v>
      </c>
      <c r="H208" s="18">
        <f>_xlfn.XLOOKUP(C208,Tab_Def_Flows[Name(EN)],Tab_Def_Flows[Process_ID_I],,0,)</f>
        <v>0</v>
      </c>
      <c r="I208" s="18" t="e">
        <f>_xlfn.XLOOKUP(C208,Tab_Def_Flows[Name(EN)],#REF!,,0,)</f>
        <v>#REF!</v>
      </c>
      <c r="J208" s="18">
        <f>_xlfn.XLOOKUP(C208,Tab_Def_Flows[Name(EN)],Tab_Def_Flows[WC?],,0,)</f>
        <v>0</v>
      </c>
      <c r="K208" s="18">
        <f>_xlfn.XLOOKUP(C208,Tab_Def_Flows[Name(EN)],Tab_Def_Flows[DM?],,0,)</f>
        <v>0</v>
      </c>
      <c r="L208" s="18">
        <f>_xlfn.XLOOKUP(C208,Tab_Def_Flows[Name(EN)],Tab_Def_Flows[CC?],,0,)</f>
        <v>0</v>
      </c>
      <c r="M208" s="12"/>
      <c r="N208" s="12" t="s">
        <v>105</v>
      </c>
      <c r="O208" s="50"/>
      <c r="P208" s="12"/>
      <c r="Q208" s="12"/>
      <c r="R208" s="12"/>
      <c r="S208" s="12"/>
      <c r="T208" s="12"/>
      <c r="U208" s="12"/>
      <c r="V208" s="12"/>
      <c r="W208" s="12"/>
      <c r="X208" s="12" t="s">
        <v>8</v>
      </c>
      <c r="Y208" s="43"/>
      <c r="Z208" s="12"/>
      <c r="AA208" s="36">
        <f t="shared" si="7"/>
        <v>0</v>
      </c>
      <c r="AB208" s="12" t="s">
        <v>283</v>
      </c>
      <c r="AC208" s="193">
        <f>INDEX(Tab_Def_Flows[[Flow_ID]:[CC_DM_source]],MATCH(Tab_Data_Flows[[#This Row],[Name(EN)]],Tab_Def_Flows[Name(EN)],0),13)</f>
        <v>0</v>
      </c>
      <c r="AD208" s="10" t="str">
        <f>IF(J208="Yes",AA208*Tab_Data_Flows[[#This Row],[WC_'[%']]],"N.A.")</f>
        <v>N.A.</v>
      </c>
      <c r="AE208" s="10" t="str">
        <f>Tab_Data_Flows[[#This Row],[UoM_Flow_Py]]</f>
        <v>Mg</v>
      </c>
      <c r="AF208" s="193">
        <f>INDEX(Tab_Def_Flows[[Flow_ID]:[CC_DM_source]],MATCH(Tab_Data_Flows[[#This Row],[Name(EN)]],Tab_Def_Flows[Name(EN)],0),15)</f>
        <v>0</v>
      </c>
      <c r="AG208" s="10" t="str">
        <f>IF(K208="Yes",AF208*Tab_Data_Flows[[#This Row],[Flow_Py]],"N.A.")</f>
        <v>N.A.</v>
      </c>
      <c r="AH208" s="10" t="str">
        <f>Tab_Data_Flows[[#This Row],[UoM_Flow_Py]]</f>
        <v>Mg</v>
      </c>
      <c r="AI208" s="193">
        <f>INDEX(Tab_Def_Flows[[Flow_ID]:[CC_DM_source]],MATCH(Tab_Data_Flows[[#This Row],[Name(EN)]],Tab_Def_Flows[Name(EN)],0),17)</f>
        <v>0</v>
      </c>
      <c r="AJ208" s="10" t="str">
        <f>IF(L208="Yes",AI208*Tab_Data_Flows[[#This Row],[Flow_Py]]*Tab_Data_Flows[[#This Row],[DM_'[%']]],"N.A.")</f>
        <v>N.A.</v>
      </c>
      <c r="AK208" s="10" t="str">
        <f>Tab_Data_Flows[[#This Row],[UoM_Flow_Py]]</f>
        <v>Mg</v>
      </c>
    </row>
    <row r="209" spans="1:37" x14ac:dyDescent="0.25">
      <c r="A209" s="17">
        <f t="shared" si="6"/>
        <v>208</v>
      </c>
      <c r="B209" s="10" t="str">
        <f>_xlfn.XLOOKUP(C209,Tab_Def_Flows[Name(EN)],Tab_Def_Flows[Flow_ID],,0,)</f>
        <v>N.A.</v>
      </c>
      <c r="C209" s="12" t="s">
        <v>35</v>
      </c>
      <c r="D209" s="10">
        <f>_xlfn.XLOOKUP(C209,Tab_Def_Flows[Name(EN)],Tab_Def_Flows[Type_Biomass],,0,)</f>
        <v>0</v>
      </c>
      <c r="E209" s="10">
        <f>_xlfn.XLOOKUP(C209,Tab_Def_Flows[Name(EN)],Tab_Def_Flows[Output_Process],,0,)</f>
        <v>0</v>
      </c>
      <c r="F209" s="10">
        <f>_xlfn.XLOOKUP(C209,Tab_Def_Flows[Name(EN)],Tab_Def_Flows[Process_ID_O],,0,)</f>
        <v>0</v>
      </c>
      <c r="G209" s="10">
        <f>_xlfn.XLOOKUP(C209,Tab_Def_Flows[Name(EN)],Tab_Def_Flows[Input_Process],,0,)</f>
        <v>0</v>
      </c>
      <c r="H209" s="18">
        <f>_xlfn.XLOOKUP(C209,Tab_Def_Flows[Name(EN)],Tab_Def_Flows[Process_ID_I],,0,)</f>
        <v>0</v>
      </c>
      <c r="I209" s="18" t="e">
        <f>_xlfn.XLOOKUP(C209,Tab_Def_Flows[Name(EN)],#REF!,,0,)</f>
        <v>#REF!</v>
      </c>
      <c r="J209" s="18">
        <f>_xlfn.XLOOKUP(C209,Tab_Def_Flows[Name(EN)],Tab_Def_Flows[WC?],,0,)</f>
        <v>0</v>
      </c>
      <c r="K209" s="18">
        <f>_xlfn.XLOOKUP(C209,Tab_Def_Flows[Name(EN)],Tab_Def_Flows[DM?],,0,)</f>
        <v>0</v>
      </c>
      <c r="L209" s="18">
        <f>_xlfn.XLOOKUP(C209,Tab_Def_Flows[Name(EN)],Tab_Def_Flows[CC?],,0,)</f>
        <v>0</v>
      </c>
      <c r="M209" s="12"/>
      <c r="N209" s="12" t="s">
        <v>105</v>
      </c>
      <c r="O209" s="50"/>
      <c r="P209" s="12"/>
      <c r="Q209" s="12"/>
      <c r="R209" s="12"/>
      <c r="S209" s="12"/>
      <c r="T209" s="12"/>
      <c r="U209" s="12"/>
      <c r="V209" s="12"/>
      <c r="W209" s="12"/>
      <c r="X209" s="12" t="s">
        <v>8</v>
      </c>
      <c r="Y209" s="43"/>
      <c r="Z209" s="12"/>
      <c r="AA209" s="36">
        <f t="shared" si="7"/>
        <v>0</v>
      </c>
      <c r="AB209" s="12" t="s">
        <v>283</v>
      </c>
      <c r="AC209" s="193">
        <f>INDEX(Tab_Def_Flows[[Flow_ID]:[CC_DM_source]],MATCH(Tab_Data_Flows[[#This Row],[Name(EN)]],Tab_Def_Flows[Name(EN)],0),13)</f>
        <v>0</v>
      </c>
      <c r="AD209" s="10" t="str">
        <f>IF(J209="Yes",AA209*Tab_Data_Flows[[#This Row],[WC_'[%']]],"N.A.")</f>
        <v>N.A.</v>
      </c>
      <c r="AE209" s="10" t="str">
        <f>Tab_Data_Flows[[#This Row],[UoM_Flow_Py]]</f>
        <v>Mg</v>
      </c>
      <c r="AF209" s="193">
        <f>INDEX(Tab_Def_Flows[[Flow_ID]:[CC_DM_source]],MATCH(Tab_Data_Flows[[#This Row],[Name(EN)]],Tab_Def_Flows[Name(EN)],0),15)</f>
        <v>0</v>
      </c>
      <c r="AG209" s="10" t="str">
        <f>IF(K209="Yes",AF209*Tab_Data_Flows[[#This Row],[Flow_Py]],"N.A.")</f>
        <v>N.A.</v>
      </c>
      <c r="AH209" s="10" t="str">
        <f>Tab_Data_Flows[[#This Row],[UoM_Flow_Py]]</f>
        <v>Mg</v>
      </c>
      <c r="AI209" s="193">
        <f>INDEX(Tab_Def_Flows[[Flow_ID]:[CC_DM_source]],MATCH(Tab_Data_Flows[[#This Row],[Name(EN)]],Tab_Def_Flows[Name(EN)],0),17)</f>
        <v>0</v>
      </c>
      <c r="AJ209" s="10" t="str">
        <f>IF(L209="Yes",AI209*Tab_Data_Flows[[#This Row],[Flow_Py]]*Tab_Data_Flows[[#This Row],[DM_'[%']]],"N.A.")</f>
        <v>N.A.</v>
      </c>
      <c r="AK209" s="10" t="str">
        <f>Tab_Data_Flows[[#This Row],[UoM_Flow_Py]]</f>
        <v>Mg</v>
      </c>
    </row>
    <row r="210" spans="1:37" x14ac:dyDescent="0.25">
      <c r="A210" s="17">
        <f t="shared" si="6"/>
        <v>209</v>
      </c>
      <c r="B210" s="10" t="str">
        <f>_xlfn.XLOOKUP(C210,Tab_Def_Flows[Name(EN)],Tab_Def_Flows[Flow_ID],,0,)</f>
        <v>N.A.</v>
      </c>
      <c r="C210" s="12" t="s">
        <v>35</v>
      </c>
      <c r="D210" s="10">
        <f>_xlfn.XLOOKUP(C210,Tab_Def_Flows[Name(EN)],Tab_Def_Flows[Type_Biomass],,0,)</f>
        <v>0</v>
      </c>
      <c r="E210" s="10">
        <f>_xlfn.XLOOKUP(C210,Tab_Def_Flows[Name(EN)],Tab_Def_Flows[Output_Process],,0,)</f>
        <v>0</v>
      </c>
      <c r="F210" s="10">
        <f>_xlfn.XLOOKUP(C210,Tab_Def_Flows[Name(EN)],Tab_Def_Flows[Process_ID_O],,0,)</f>
        <v>0</v>
      </c>
      <c r="G210" s="10">
        <f>_xlfn.XLOOKUP(C210,Tab_Def_Flows[Name(EN)],Tab_Def_Flows[Input_Process],,0,)</f>
        <v>0</v>
      </c>
      <c r="H210" s="18">
        <f>_xlfn.XLOOKUP(C210,Tab_Def_Flows[Name(EN)],Tab_Def_Flows[Process_ID_I],,0,)</f>
        <v>0</v>
      </c>
      <c r="I210" s="18" t="e">
        <f>_xlfn.XLOOKUP(C210,Tab_Def_Flows[Name(EN)],#REF!,,0,)</f>
        <v>#REF!</v>
      </c>
      <c r="J210" s="18">
        <f>_xlfn.XLOOKUP(C210,Tab_Def_Flows[Name(EN)],Tab_Def_Flows[WC?],,0,)</f>
        <v>0</v>
      </c>
      <c r="K210" s="18">
        <f>_xlfn.XLOOKUP(C210,Tab_Def_Flows[Name(EN)],Tab_Def_Flows[DM?],,0,)</f>
        <v>0</v>
      </c>
      <c r="L210" s="18">
        <f>_xlfn.XLOOKUP(C210,Tab_Def_Flows[Name(EN)],Tab_Def_Flows[CC?],,0,)</f>
        <v>0</v>
      </c>
      <c r="M210" s="12"/>
      <c r="N210" s="12" t="s">
        <v>105</v>
      </c>
      <c r="O210" s="50"/>
      <c r="P210" s="12"/>
      <c r="Q210" s="12"/>
      <c r="R210" s="12"/>
      <c r="S210" s="12"/>
      <c r="T210" s="12"/>
      <c r="U210" s="12"/>
      <c r="V210" s="12"/>
      <c r="W210" s="12"/>
      <c r="X210" s="12" t="s">
        <v>8</v>
      </c>
      <c r="Y210" s="43"/>
      <c r="Z210" s="12"/>
      <c r="AA210" s="36">
        <f t="shared" si="7"/>
        <v>0</v>
      </c>
      <c r="AB210" s="12" t="s">
        <v>283</v>
      </c>
      <c r="AC210" s="193">
        <f>INDEX(Tab_Def_Flows[[Flow_ID]:[CC_DM_source]],MATCH(Tab_Data_Flows[[#This Row],[Name(EN)]],Tab_Def_Flows[Name(EN)],0),13)</f>
        <v>0</v>
      </c>
      <c r="AD210" s="10" t="str">
        <f>IF(J210="Yes",AA210*Tab_Data_Flows[[#This Row],[WC_'[%']]],"N.A.")</f>
        <v>N.A.</v>
      </c>
      <c r="AE210" s="10" t="str">
        <f>Tab_Data_Flows[[#This Row],[UoM_Flow_Py]]</f>
        <v>Mg</v>
      </c>
      <c r="AF210" s="193">
        <f>INDEX(Tab_Def_Flows[[Flow_ID]:[CC_DM_source]],MATCH(Tab_Data_Flows[[#This Row],[Name(EN)]],Tab_Def_Flows[Name(EN)],0),15)</f>
        <v>0</v>
      </c>
      <c r="AG210" s="10" t="str">
        <f>IF(K210="Yes",AF210*Tab_Data_Flows[[#This Row],[Flow_Py]],"N.A.")</f>
        <v>N.A.</v>
      </c>
      <c r="AH210" s="10" t="str">
        <f>Tab_Data_Flows[[#This Row],[UoM_Flow_Py]]</f>
        <v>Mg</v>
      </c>
      <c r="AI210" s="193">
        <f>INDEX(Tab_Def_Flows[[Flow_ID]:[CC_DM_source]],MATCH(Tab_Data_Flows[[#This Row],[Name(EN)]],Tab_Def_Flows[Name(EN)],0),17)</f>
        <v>0</v>
      </c>
      <c r="AJ210" s="10" t="str">
        <f>IF(L210="Yes",AI210*Tab_Data_Flows[[#This Row],[Flow_Py]]*Tab_Data_Flows[[#This Row],[DM_'[%']]],"N.A.")</f>
        <v>N.A.</v>
      </c>
      <c r="AK210" s="10" t="str">
        <f>Tab_Data_Flows[[#This Row],[UoM_Flow_Py]]</f>
        <v>Mg</v>
      </c>
    </row>
    <row r="211" spans="1:37" x14ac:dyDescent="0.25">
      <c r="A211" s="17">
        <f t="shared" si="6"/>
        <v>210</v>
      </c>
      <c r="B211" s="10" t="str">
        <f>_xlfn.XLOOKUP(C211,Tab_Def_Flows[Name(EN)],Tab_Def_Flows[Flow_ID],,0,)</f>
        <v>N.A.</v>
      </c>
      <c r="C211" s="12" t="s">
        <v>35</v>
      </c>
      <c r="D211" s="10">
        <f>_xlfn.XLOOKUP(C211,Tab_Def_Flows[Name(EN)],Tab_Def_Flows[Type_Biomass],,0,)</f>
        <v>0</v>
      </c>
      <c r="E211" s="10">
        <f>_xlfn.XLOOKUP(C211,Tab_Def_Flows[Name(EN)],Tab_Def_Flows[Output_Process],,0,)</f>
        <v>0</v>
      </c>
      <c r="F211" s="10">
        <f>_xlfn.XLOOKUP(C211,Tab_Def_Flows[Name(EN)],Tab_Def_Flows[Process_ID_O],,0,)</f>
        <v>0</v>
      </c>
      <c r="G211" s="10">
        <f>_xlfn.XLOOKUP(C211,Tab_Def_Flows[Name(EN)],Tab_Def_Flows[Input_Process],,0,)</f>
        <v>0</v>
      </c>
      <c r="H211" s="18">
        <f>_xlfn.XLOOKUP(C211,Tab_Def_Flows[Name(EN)],Tab_Def_Flows[Process_ID_I],,0,)</f>
        <v>0</v>
      </c>
      <c r="I211" s="18" t="e">
        <f>_xlfn.XLOOKUP(C211,Tab_Def_Flows[Name(EN)],#REF!,,0,)</f>
        <v>#REF!</v>
      </c>
      <c r="J211" s="18">
        <f>_xlfn.XLOOKUP(C211,Tab_Def_Flows[Name(EN)],Tab_Def_Flows[WC?],,0,)</f>
        <v>0</v>
      </c>
      <c r="K211" s="18">
        <f>_xlfn.XLOOKUP(C211,Tab_Def_Flows[Name(EN)],Tab_Def_Flows[DM?],,0,)</f>
        <v>0</v>
      </c>
      <c r="L211" s="18">
        <f>_xlfn.XLOOKUP(C211,Tab_Def_Flows[Name(EN)],Tab_Def_Flows[CC?],,0,)</f>
        <v>0</v>
      </c>
      <c r="M211" s="12"/>
      <c r="N211" s="12" t="s">
        <v>105</v>
      </c>
      <c r="O211" s="50"/>
      <c r="P211" s="12"/>
      <c r="Q211" s="12"/>
      <c r="R211" s="12"/>
      <c r="S211" s="12"/>
      <c r="T211" s="12"/>
      <c r="U211" s="12"/>
      <c r="V211" s="12"/>
      <c r="W211" s="12"/>
      <c r="X211" s="12" t="s">
        <v>8</v>
      </c>
      <c r="Y211" s="43"/>
      <c r="Z211" s="12"/>
      <c r="AA211" s="36">
        <f t="shared" si="7"/>
        <v>0</v>
      </c>
      <c r="AB211" s="12" t="s">
        <v>283</v>
      </c>
      <c r="AC211" s="193">
        <f>INDEX(Tab_Def_Flows[[Flow_ID]:[CC_DM_source]],MATCH(Tab_Data_Flows[[#This Row],[Name(EN)]],Tab_Def_Flows[Name(EN)],0),13)</f>
        <v>0</v>
      </c>
      <c r="AD211" s="10" t="str">
        <f>IF(J211="Yes",AA211*Tab_Data_Flows[[#This Row],[WC_'[%']]],"N.A.")</f>
        <v>N.A.</v>
      </c>
      <c r="AE211" s="10" t="str">
        <f>Tab_Data_Flows[[#This Row],[UoM_Flow_Py]]</f>
        <v>Mg</v>
      </c>
      <c r="AF211" s="193">
        <f>INDEX(Tab_Def_Flows[[Flow_ID]:[CC_DM_source]],MATCH(Tab_Data_Flows[[#This Row],[Name(EN)]],Tab_Def_Flows[Name(EN)],0),15)</f>
        <v>0</v>
      </c>
      <c r="AG211" s="10" t="str">
        <f>IF(K211="Yes",AF211*Tab_Data_Flows[[#This Row],[Flow_Py]],"N.A.")</f>
        <v>N.A.</v>
      </c>
      <c r="AH211" s="10" t="str">
        <f>Tab_Data_Flows[[#This Row],[UoM_Flow_Py]]</f>
        <v>Mg</v>
      </c>
      <c r="AI211" s="193">
        <f>INDEX(Tab_Def_Flows[[Flow_ID]:[CC_DM_source]],MATCH(Tab_Data_Flows[[#This Row],[Name(EN)]],Tab_Def_Flows[Name(EN)],0),17)</f>
        <v>0</v>
      </c>
      <c r="AJ211" s="10" t="str">
        <f>IF(L211="Yes",AI211*Tab_Data_Flows[[#This Row],[Flow_Py]]*Tab_Data_Flows[[#This Row],[DM_'[%']]],"N.A.")</f>
        <v>N.A.</v>
      </c>
      <c r="AK211" s="10" t="str">
        <f>Tab_Data_Flows[[#This Row],[UoM_Flow_Py]]</f>
        <v>Mg</v>
      </c>
    </row>
    <row r="212" spans="1:37" x14ac:dyDescent="0.25">
      <c r="A212" s="17">
        <f t="shared" si="6"/>
        <v>211</v>
      </c>
      <c r="B212" s="10" t="str">
        <f>_xlfn.XLOOKUP(C212,Tab_Def_Flows[Name(EN)],Tab_Def_Flows[Flow_ID],,0,)</f>
        <v>N.A.</v>
      </c>
      <c r="C212" s="12" t="s">
        <v>35</v>
      </c>
      <c r="D212" s="10">
        <f>_xlfn.XLOOKUP(C212,Tab_Def_Flows[Name(EN)],Tab_Def_Flows[Type_Biomass],,0,)</f>
        <v>0</v>
      </c>
      <c r="E212" s="10">
        <f>_xlfn.XLOOKUP(C212,Tab_Def_Flows[Name(EN)],Tab_Def_Flows[Output_Process],,0,)</f>
        <v>0</v>
      </c>
      <c r="F212" s="10">
        <f>_xlfn.XLOOKUP(C212,Tab_Def_Flows[Name(EN)],Tab_Def_Flows[Process_ID_O],,0,)</f>
        <v>0</v>
      </c>
      <c r="G212" s="10">
        <f>_xlfn.XLOOKUP(C212,Tab_Def_Flows[Name(EN)],Tab_Def_Flows[Input_Process],,0,)</f>
        <v>0</v>
      </c>
      <c r="H212" s="18">
        <f>_xlfn.XLOOKUP(C212,Tab_Def_Flows[Name(EN)],Tab_Def_Flows[Process_ID_I],,0,)</f>
        <v>0</v>
      </c>
      <c r="I212" s="18" t="e">
        <f>_xlfn.XLOOKUP(C212,Tab_Def_Flows[Name(EN)],#REF!,,0,)</f>
        <v>#REF!</v>
      </c>
      <c r="J212" s="18">
        <f>_xlfn.XLOOKUP(C212,Tab_Def_Flows[Name(EN)],Tab_Def_Flows[WC?],,0,)</f>
        <v>0</v>
      </c>
      <c r="K212" s="18">
        <f>_xlfn.XLOOKUP(C212,Tab_Def_Flows[Name(EN)],Tab_Def_Flows[DM?],,0,)</f>
        <v>0</v>
      </c>
      <c r="L212" s="18">
        <f>_xlfn.XLOOKUP(C212,Tab_Def_Flows[Name(EN)],Tab_Def_Flows[CC?],,0,)</f>
        <v>0</v>
      </c>
      <c r="M212" s="12"/>
      <c r="N212" s="12"/>
      <c r="O212" s="50"/>
      <c r="P212" s="12"/>
      <c r="Q212" s="12"/>
      <c r="R212" s="12"/>
      <c r="S212" s="12"/>
      <c r="T212" s="12"/>
      <c r="U212" s="12"/>
      <c r="V212" s="12"/>
      <c r="W212" s="12"/>
      <c r="X212" s="12" t="s">
        <v>8</v>
      </c>
      <c r="Y212" s="43"/>
      <c r="Z212" s="12"/>
      <c r="AA212" s="36">
        <f t="shared" si="7"/>
        <v>0</v>
      </c>
      <c r="AB212" s="12" t="s">
        <v>283</v>
      </c>
      <c r="AC212" s="193">
        <f>INDEX(Tab_Def_Flows[[Flow_ID]:[CC_DM_source]],MATCH(Tab_Data_Flows[[#This Row],[Name(EN)]],Tab_Def_Flows[Name(EN)],0),13)</f>
        <v>0</v>
      </c>
      <c r="AD212" s="10" t="str">
        <f>IF(J212="Yes",AA212*Tab_Data_Flows[[#This Row],[WC_'[%']]],"N.A.")</f>
        <v>N.A.</v>
      </c>
      <c r="AE212" s="10" t="str">
        <f>Tab_Data_Flows[[#This Row],[UoM_Flow_Py]]</f>
        <v>Mg</v>
      </c>
      <c r="AF212" s="193">
        <f>INDEX(Tab_Def_Flows[[Flow_ID]:[CC_DM_source]],MATCH(Tab_Data_Flows[[#This Row],[Name(EN)]],Tab_Def_Flows[Name(EN)],0),15)</f>
        <v>0</v>
      </c>
      <c r="AG212" s="10" t="str">
        <f>IF(K212="Yes",AF212*Tab_Data_Flows[[#This Row],[Flow_Py]],"N.A.")</f>
        <v>N.A.</v>
      </c>
      <c r="AH212" s="10" t="str">
        <f>Tab_Data_Flows[[#This Row],[UoM_Flow_Py]]</f>
        <v>Mg</v>
      </c>
      <c r="AI212" s="193">
        <f>INDEX(Tab_Def_Flows[[Flow_ID]:[CC_DM_source]],MATCH(Tab_Data_Flows[[#This Row],[Name(EN)]],Tab_Def_Flows[Name(EN)],0),17)</f>
        <v>0</v>
      </c>
      <c r="AJ212" s="10" t="str">
        <f>IF(L212="Yes",AI212*Tab_Data_Flows[[#This Row],[Flow_Py]]*Tab_Data_Flows[[#This Row],[DM_'[%']]],"N.A.")</f>
        <v>N.A.</v>
      </c>
      <c r="AK212" s="10" t="str">
        <f>Tab_Data_Flows[[#This Row],[UoM_Flow_Py]]</f>
        <v>Mg</v>
      </c>
    </row>
    <row r="213" spans="1:37" x14ac:dyDescent="0.25">
      <c r="A213" s="17">
        <f t="shared" si="6"/>
        <v>212</v>
      </c>
      <c r="B213" s="10" t="str">
        <f>_xlfn.XLOOKUP(C213,Tab_Def_Flows[Name(EN)],Tab_Def_Flows[Flow_ID],,0,)</f>
        <v>N.A.</v>
      </c>
      <c r="C213" s="12" t="s">
        <v>35</v>
      </c>
      <c r="D213" s="10">
        <f>_xlfn.XLOOKUP(C213,Tab_Def_Flows[Name(EN)],Tab_Def_Flows[Type_Biomass],,0,)</f>
        <v>0</v>
      </c>
      <c r="E213" s="10">
        <f>_xlfn.XLOOKUP(C213,Tab_Def_Flows[Name(EN)],Tab_Def_Flows[Output_Process],,0,)</f>
        <v>0</v>
      </c>
      <c r="F213" s="10">
        <f>_xlfn.XLOOKUP(C213,Tab_Def_Flows[Name(EN)],Tab_Def_Flows[Process_ID_O],,0,)</f>
        <v>0</v>
      </c>
      <c r="G213" s="10">
        <f>_xlfn.XLOOKUP(C213,Tab_Def_Flows[Name(EN)],Tab_Def_Flows[Input_Process],,0,)</f>
        <v>0</v>
      </c>
      <c r="H213" s="18">
        <f>_xlfn.XLOOKUP(C213,Tab_Def_Flows[Name(EN)],Tab_Def_Flows[Process_ID_I],,0,)</f>
        <v>0</v>
      </c>
      <c r="I213" s="18" t="e">
        <f>_xlfn.XLOOKUP(C213,Tab_Def_Flows[Name(EN)],#REF!,,0,)</f>
        <v>#REF!</v>
      </c>
      <c r="J213" s="18">
        <f>_xlfn.XLOOKUP(C213,Tab_Def_Flows[Name(EN)],Tab_Def_Flows[WC?],,0,)</f>
        <v>0</v>
      </c>
      <c r="K213" s="18">
        <f>_xlfn.XLOOKUP(C213,Tab_Def_Flows[Name(EN)],Tab_Def_Flows[DM?],,0,)</f>
        <v>0</v>
      </c>
      <c r="L213" s="18">
        <f>_xlfn.XLOOKUP(C213,Tab_Def_Flows[Name(EN)],Tab_Def_Flows[CC?],,0,)</f>
        <v>0</v>
      </c>
      <c r="M213" s="12"/>
      <c r="N213" s="12"/>
      <c r="O213" s="50"/>
      <c r="P213" s="12"/>
      <c r="Q213" s="12"/>
      <c r="R213" s="12"/>
      <c r="S213" s="12"/>
      <c r="T213" s="12"/>
      <c r="U213" s="12"/>
      <c r="V213" s="12"/>
      <c r="W213" s="12"/>
      <c r="X213" s="12" t="s">
        <v>8</v>
      </c>
      <c r="Y213" s="43"/>
      <c r="Z213" s="12"/>
      <c r="AA213" s="36">
        <f t="shared" si="7"/>
        <v>0</v>
      </c>
      <c r="AB213" s="12" t="s">
        <v>283</v>
      </c>
      <c r="AC213" s="193">
        <f>INDEX(Tab_Def_Flows[[Flow_ID]:[CC_DM_source]],MATCH(Tab_Data_Flows[[#This Row],[Name(EN)]],Tab_Def_Flows[Name(EN)],0),13)</f>
        <v>0</v>
      </c>
      <c r="AD213" s="10" t="str">
        <f>IF(J213="Yes",AA213*Tab_Data_Flows[[#This Row],[WC_'[%']]],"N.A.")</f>
        <v>N.A.</v>
      </c>
      <c r="AE213" s="10" t="str">
        <f>Tab_Data_Flows[[#This Row],[UoM_Flow_Py]]</f>
        <v>Mg</v>
      </c>
      <c r="AF213" s="193">
        <f>INDEX(Tab_Def_Flows[[Flow_ID]:[CC_DM_source]],MATCH(Tab_Data_Flows[[#This Row],[Name(EN)]],Tab_Def_Flows[Name(EN)],0),15)</f>
        <v>0</v>
      </c>
      <c r="AG213" s="10" t="str">
        <f>IF(K213="Yes",AF213*Tab_Data_Flows[[#This Row],[Flow_Py]],"N.A.")</f>
        <v>N.A.</v>
      </c>
      <c r="AH213" s="10" t="str">
        <f>Tab_Data_Flows[[#This Row],[UoM_Flow_Py]]</f>
        <v>Mg</v>
      </c>
      <c r="AI213" s="193">
        <f>INDEX(Tab_Def_Flows[[Flow_ID]:[CC_DM_source]],MATCH(Tab_Data_Flows[[#This Row],[Name(EN)]],Tab_Def_Flows[Name(EN)],0),17)</f>
        <v>0</v>
      </c>
      <c r="AJ213" s="10" t="str">
        <f>IF(L213="Yes",AI213*Tab_Data_Flows[[#This Row],[Flow_Py]]*Tab_Data_Flows[[#This Row],[DM_'[%']]],"N.A.")</f>
        <v>N.A.</v>
      </c>
      <c r="AK213" s="10" t="str">
        <f>Tab_Data_Flows[[#This Row],[UoM_Flow_Py]]</f>
        <v>Mg</v>
      </c>
    </row>
    <row r="214" spans="1:37" x14ac:dyDescent="0.25">
      <c r="A214" s="17">
        <f t="shared" si="6"/>
        <v>213</v>
      </c>
      <c r="B214" s="10" t="str">
        <f>_xlfn.XLOOKUP(C214,Tab_Def_Flows[Name(EN)],Tab_Def_Flows[Flow_ID],,0,)</f>
        <v>N.A.</v>
      </c>
      <c r="C214" s="12" t="s">
        <v>35</v>
      </c>
      <c r="D214" s="10">
        <f>_xlfn.XLOOKUP(C214,Tab_Def_Flows[Name(EN)],Tab_Def_Flows[Type_Biomass],,0,)</f>
        <v>0</v>
      </c>
      <c r="E214" s="10">
        <f>_xlfn.XLOOKUP(C214,Tab_Def_Flows[Name(EN)],Tab_Def_Flows[Output_Process],,0,)</f>
        <v>0</v>
      </c>
      <c r="F214" s="10">
        <f>_xlfn.XLOOKUP(C214,Tab_Def_Flows[Name(EN)],Tab_Def_Flows[Process_ID_O],,0,)</f>
        <v>0</v>
      </c>
      <c r="G214" s="10">
        <f>_xlfn.XLOOKUP(C214,Tab_Def_Flows[Name(EN)],Tab_Def_Flows[Input_Process],,0,)</f>
        <v>0</v>
      </c>
      <c r="H214" s="18">
        <f>_xlfn.XLOOKUP(C214,Tab_Def_Flows[Name(EN)],Tab_Def_Flows[Process_ID_I],,0,)</f>
        <v>0</v>
      </c>
      <c r="I214" s="18" t="e">
        <f>_xlfn.XLOOKUP(C214,Tab_Def_Flows[Name(EN)],#REF!,,0,)</f>
        <v>#REF!</v>
      </c>
      <c r="J214" s="18">
        <f>_xlfn.XLOOKUP(C214,Tab_Def_Flows[Name(EN)],Tab_Def_Flows[WC?],,0,)</f>
        <v>0</v>
      </c>
      <c r="K214" s="18">
        <f>_xlfn.XLOOKUP(C214,Tab_Def_Flows[Name(EN)],Tab_Def_Flows[DM?],,0,)</f>
        <v>0</v>
      </c>
      <c r="L214" s="18">
        <f>_xlfn.XLOOKUP(C214,Tab_Def_Flows[Name(EN)],Tab_Def_Flows[CC?],,0,)</f>
        <v>0</v>
      </c>
      <c r="M214" s="12"/>
      <c r="N214" s="12"/>
      <c r="O214" s="50"/>
      <c r="P214" s="12"/>
      <c r="Q214" s="12"/>
      <c r="R214" s="12"/>
      <c r="S214" s="12"/>
      <c r="T214" s="12"/>
      <c r="U214" s="12"/>
      <c r="V214" s="12"/>
      <c r="W214" s="12"/>
      <c r="X214" s="12" t="s">
        <v>8</v>
      </c>
      <c r="Y214" s="43"/>
      <c r="Z214" s="12"/>
      <c r="AA214" s="36">
        <f t="shared" si="7"/>
        <v>0</v>
      </c>
      <c r="AB214" s="12" t="s">
        <v>283</v>
      </c>
      <c r="AC214" s="193">
        <f>INDEX(Tab_Def_Flows[[Flow_ID]:[CC_DM_source]],MATCH(Tab_Data_Flows[[#This Row],[Name(EN)]],Tab_Def_Flows[Name(EN)],0),13)</f>
        <v>0</v>
      </c>
      <c r="AD214" s="10" t="str">
        <f>IF(J214="Yes",AA214*Tab_Data_Flows[[#This Row],[WC_'[%']]],"N.A.")</f>
        <v>N.A.</v>
      </c>
      <c r="AE214" s="10" t="str">
        <f>Tab_Data_Flows[[#This Row],[UoM_Flow_Py]]</f>
        <v>Mg</v>
      </c>
      <c r="AF214" s="193">
        <f>INDEX(Tab_Def_Flows[[Flow_ID]:[CC_DM_source]],MATCH(Tab_Data_Flows[[#This Row],[Name(EN)]],Tab_Def_Flows[Name(EN)],0),15)</f>
        <v>0</v>
      </c>
      <c r="AG214" s="10" t="str">
        <f>IF(K214="Yes",AF214*Tab_Data_Flows[[#This Row],[Flow_Py]],"N.A.")</f>
        <v>N.A.</v>
      </c>
      <c r="AH214" s="10" t="str">
        <f>Tab_Data_Flows[[#This Row],[UoM_Flow_Py]]</f>
        <v>Mg</v>
      </c>
      <c r="AI214" s="193">
        <f>INDEX(Tab_Def_Flows[[Flow_ID]:[CC_DM_source]],MATCH(Tab_Data_Flows[[#This Row],[Name(EN)]],Tab_Def_Flows[Name(EN)],0),17)</f>
        <v>0</v>
      </c>
      <c r="AJ214" s="10" t="str">
        <f>IF(L214="Yes",AI214*Tab_Data_Flows[[#This Row],[Flow_Py]]*Tab_Data_Flows[[#This Row],[DM_'[%']]],"N.A.")</f>
        <v>N.A.</v>
      </c>
      <c r="AK214" s="10" t="str">
        <f>Tab_Data_Flows[[#This Row],[UoM_Flow_Py]]</f>
        <v>Mg</v>
      </c>
    </row>
    <row r="215" spans="1:37" x14ac:dyDescent="0.25">
      <c r="A215" s="17">
        <f t="shared" si="6"/>
        <v>214</v>
      </c>
      <c r="B215" s="10" t="str">
        <f>_xlfn.XLOOKUP(C215,Tab_Def_Flows[Name(EN)],Tab_Def_Flows[Flow_ID],,0,)</f>
        <v>N.A.</v>
      </c>
      <c r="C215" s="12" t="s">
        <v>35</v>
      </c>
      <c r="D215" s="10">
        <f>_xlfn.XLOOKUP(C215,Tab_Def_Flows[Name(EN)],Tab_Def_Flows[Type_Biomass],,0,)</f>
        <v>0</v>
      </c>
      <c r="E215" s="10">
        <f>_xlfn.XLOOKUP(C215,Tab_Def_Flows[Name(EN)],Tab_Def_Flows[Output_Process],,0,)</f>
        <v>0</v>
      </c>
      <c r="F215" s="10">
        <f>_xlfn.XLOOKUP(C215,Tab_Def_Flows[Name(EN)],Tab_Def_Flows[Process_ID_O],,0,)</f>
        <v>0</v>
      </c>
      <c r="G215" s="10">
        <f>_xlfn.XLOOKUP(C215,Tab_Def_Flows[Name(EN)],Tab_Def_Flows[Input_Process],,0,)</f>
        <v>0</v>
      </c>
      <c r="H215" s="18">
        <f>_xlfn.XLOOKUP(C215,Tab_Def_Flows[Name(EN)],Tab_Def_Flows[Process_ID_I],,0,)</f>
        <v>0</v>
      </c>
      <c r="I215" s="18" t="e">
        <f>_xlfn.XLOOKUP(C215,Tab_Def_Flows[Name(EN)],#REF!,,0,)</f>
        <v>#REF!</v>
      </c>
      <c r="J215" s="18">
        <f>_xlfn.XLOOKUP(C215,Tab_Def_Flows[Name(EN)],Tab_Def_Flows[WC?],,0,)</f>
        <v>0</v>
      </c>
      <c r="K215" s="18">
        <f>_xlfn.XLOOKUP(C215,Tab_Def_Flows[Name(EN)],Tab_Def_Flows[DM?],,0,)</f>
        <v>0</v>
      </c>
      <c r="L215" s="18">
        <f>_xlfn.XLOOKUP(C215,Tab_Def_Flows[Name(EN)],Tab_Def_Flows[CC?],,0,)</f>
        <v>0</v>
      </c>
      <c r="M215" s="12"/>
      <c r="N215" s="12"/>
      <c r="O215" s="50"/>
      <c r="P215" s="12"/>
      <c r="Q215" s="12"/>
      <c r="R215" s="12"/>
      <c r="S215" s="12"/>
      <c r="T215" s="12"/>
      <c r="U215" s="12"/>
      <c r="V215" s="12"/>
      <c r="W215" s="12"/>
      <c r="X215" s="12" t="s">
        <v>8</v>
      </c>
      <c r="Y215" s="43"/>
      <c r="Z215" s="12"/>
      <c r="AA215" s="36">
        <f t="shared" si="7"/>
        <v>0</v>
      </c>
      <c r="AB215" s="12" t="s">
        <v>283</v>
      </c>
      <c r="AC215" s="193">
        <f>INDEX(Tab_Def_Flows[[Flow_ID]:[CC_DM_source]],MATCH(Tab_Data_Flows[[#This Row],[Name(EN)]],Tab_Def_Flows[Name(EN)],0),13)</f>
        <v>0</v>
      </c>
      <c r="AD215" s="10" t="str">
        <f>IF(J215="Yes",AA215*Tab_Data_Flows[[#This Row],[WC_'[%']]],"N.A.")</f>
        <v>N.A.</v>
      </c>
      <c r="AE215" s="10" t="str">
        <f>Tab_Data_Flows[[#This Row],[UoM_Flow_Py]]</f>
        <v>Mg</v>
      </c>
      <c r="AF215" s="193">
        <f>INDEX(Tab_Def_Flows[[Flow_ID]:[CC_DM_source]],MATCH(Tab_Data_Flows[[#This Row],[Name(EN)]],Tab_Def_Flows[Name(EN)],0),15)</f>
        <v>0</v>
      </c>
      <c r="AG215" s="10" t="str">
        <f>IF(K215="Yes",AF215*Tab_Data_Flows[[#This Row],[Flow_Py]],"N.A.")</f>
        <v>N.A.</v>
      </c>
      <c r="AH215" s="10" t="str">
        <f>Tab_Data_Flows[[#This Row],[UoM_Flow_Py]]</f>
        <v>Mg</v>
      </c>
      <c r="AI215" s="193">
        <f>INDEX(Tab_Def_Flows[[Flow_ID]:[CC_DM_source]],MATCH(Tab_Data_Flows[[#This Row],[Name(EN)]],Tab_Def_Flows[Name(EN)],0),17)</f>
        <v>0</v>
      </c>
      <c r="AJ215" s="10" t="str">
        <f>IF(L215="Yes",AI215*Tab_Data_Flows[[#This Row],[Flow_Py]]*Tab_Data_Flows[[#This Row],[DM_'[%']]],"N.A.")</f>
        <v>N.A.</v>
      </c>
      <c r="AK215" s="10" t="str">
        <f>Tab_Data_Flows[[#This Row],[UoM_Flow_Py]]</f>
        <v>Mg</v>
      </c>
    </row>
    <row r="216" spans="1:37" x14ac:dyDescent="0.25">
      <c r="A216" s="17">
        <f t="shared" si="6"/>
        <v>215</v>
      </c>
      <c r="B216" s="10" t="str">
        <f>_xlfn.XLOOKUP(C216,Tab_Def_Flows[Name(EN)],Tab_Def_Flows[Flow_ID],,0,)</f>
        <v>N.A.</v>
      </c>
      <c r="C216" s="12" t="s">
        <v>35</v>
      </c>
      <c r="D216" s="10">
        <f>_xlfn.XLOOKUP(C216,Tab_Def_Flows[Name(EN)],Tab_Def_Flows[Type_Biomass],,0,)</f>
        <v>0</v>
      </c>
      <c r="E216" s="10">
        <f>_xlfn.XLOOKUP(C216,Tab_Def_Flows[Name(EN)],Tab_Def_Flows[Output_Process],,0,)</f>
        <v>0</v>
      </c>
      <c r="F216" s="10">
        <f>_xlfn.XLOOKUP(C216,Tab_Def_Flows[Name(EN)],Tab_Def_Flows[Process_ID_O],,0,)</f>
        <v>0</v>
      </c>
      <c r="G216" s="10">
        <f>_xlfn.XLOOKUP(C216,Tab_Def_Flows[Name(EN)],Tab_Def_Flows[Input_Process],,0,)</f>
        <v>0</v>
      </c>
      <c r="H216" s="18">
        <f>_xlfn.XLOOKUP(C216,Tab_Def_Flows[Name(EN)],Tab_Def_Flows[Process_ID_I],,0,)</f>
        <v>0</v>
      </c>
      <c r="I216" s="18" t="e">
        <f>_xlfn.XLOOKUP(C216,Tab_Def_Flows[Name(EN)],#REF!,,0,)</f>
        <v>#REF!</v>
      </c>
      <c r="J216" s="18">
        <f>_xlfn.XLOOKUP(C216,Tab_Def_Flows[Name(EN)],Tab_Def_Flows[WC?],,0,)</f>
        <v>0</v>
      </c>
      <c r="K216" s="18">
        <f>_xlfn.XLOOKUP(C216,Tab_Def_Flows[Name(EN)],Tab_Def_Flows[DM?],,0,)</f>
        <v>0</v>
      </c>
      <c r="L216" s="18">
        <f>_xlfn.XLOOKUP(C216,Tab_Def_Flows[Name(EN)],Tab_Def_Flows[CC?],,0,)</f>
        <v>0</v>
      </c>
      <c r="M216" s="12"/>
      <c r="N216" s="12"/>
      <c r="O216" s="50"/>
      <c r="P216" s="12"/>
      <c r="Q216" s="12"/>
      <c r="R216" s="12"/>
      <c r="S216" s="12"/>
      <c r="T216" s="12"/>
      <c r="U216" s="12"/>
      <c r="V216" s="12"/>
      <c r="W216" s="12"/>
      <c r="X216" s="12" t="s">
        <v>8</v>
      </c>
      <c r="Y216" s="43"/>
      <c r="Z216" s="12"/>
      <c r="AA216" s="36">
        <f t="shared" si="7"/>
        <v>0</v>
      </c>
      <c r="AB216" s="12" t="s">
        <v>283</v>
      </c>
      <c r="AC216" s="193">
        <f>INDEX(Tab_Def_Flows[[Flow_ID]:[CC_DM_source]],MATCH(Tab_Data_Flows[[#This Row],[Name(EN)]],Tab_Def_Flows[Name(EN)],0),13)</f>
        <v>0</v>
      </c>
      <c r="AD216" s="10" t="str">
        <f>IF(J216="Yes",AA216*Tab_Data_Flows[[#This Row],[WC_'[%']]],"N.A.")</f>
        <v>N.A.</v>
      </c>
      <c r="AE216" s="10" t="str">
        <f>Tab_Data_Flows[[#This Row],[UoM_Flow_Py]]</f>
        <v>Mg</v>
      </c>
      <c r="AF216" s="193">
        <f>INDEX(Tab_Def_Flows[[Flow_ID]:[CC_DM_source]],MATCH(Tab_Data_Flows[[#This Row],[Name(EN)]],Tab_Def_Flows[Name(EN)],0),15)</f>
        <v>0</v>
      </c>
      <c r="AG216" s="10" t="str">
        <f>IF(K216="Yes",AF216*Tab_Data_Flows[[#This Row],[Flow_Py]],"N.A.")</f>
        <v>N.A.</v>
      </c>
      <c r="AH216" s="10" t="str">
        <f>Tab_Data_Flows[[#This Row],[UoM_Flow_Py]]</f>
        <v>Mg</v>
      </c>
      <c r="AI216" s="193">
        <f>INDEX(Tab_Def_Flows[[Flow_ID]:[CC_DM_source]],MATCH(Tab_Data_Flows[[#This Row],[Name(EN)]],Tab_Def_Flows[Name(EN)],0),17)</f>
        <v>0</v>
      </c>
      <c r="AJ216" s="10" t="str">
        <f>IF(L216="Yes",AI216*Tab_Data_Flows[[#This Row],[Flow_Py]]*Tab_Data_Flows[[#This Row],[DM_'[%']]],"N.A.")</f>
        <v>N.A.</v>
      </c>
      <c r="AK216" s="10" t="str">
        <f>Tab_Data_Flows[[#This Row],[UoM_Flow_Py]]</f>
        <v>Mg</v>
      </c>
    </row>
    <row r="217" spans="1:37" x14ac:dyDescent="0.25">
      <c r="A217" s="17">
        <f t="shared" si="6"/>
        <v>216</v>
      </c>
      <c r="B217" s="10" t="str">
        <f>_xlfn.XLOOKUP(C217,Tab_Def_Flows[Name(EN)],Tab_Def_Flows[Flow_ID],,0,)</f>
        <v>N.A.</v>
      </c>
      <c r="C217" s="12" t="s">
        <v>35</v>
      </c>
      <c r="D217" s="10">
        <f>_xlfn.XLOOKUP(C217,Tab_Def_Flows[Name(EN)],Tab_Def_Flows[Type_Biomass],,0,)</f>
        <v>0</v>
      </c>
      <c r="E217" s="10">
        <f>_xlfn.XLOOKUP(C217,Tab_Def_Flows[Name(EN)],Tab_Def_Flows[Output_Process],,0,)</f>
        <v>0</v>
      </c>
      <c r="F217" s="10">
        <f>_xlfn.XLOOKUP(C217,Tab_Def_Flows[Name(EN)],Tab_Def_Flows[Process_ID_O],,0,)</f>
        <v>0</v>
      </c>
      <c r="G217" s="10">
        <f>_xlfn.XLOOKUP(C217,Tab_Def_Flows[Name(EN)],Tab_Def_Flows[Input_Process],,0,)</f>
        <v>0</v>
      </c>
      <c r="H217" s="18">
        <f>_xlfn.XLOOKUP(C217,Tab_Def_Flows[Name(EN)],Tab_Def_Flows[Process_ID_I],,0,)</f>
        <v>0</v>
      </c>
      <c r="I217" s="18" t="e">
        <f>_xlfn.XLOOKUP(C217,Tab_Def_Flows[Name(EN)],#REF!,,0,)</f>
        <v>#REF!</v>
      </c>
      <c r="J217" s="18">
        <f>_xlfn.XLOOKUP(C217,Tab_Def_Flows[Name(EN)],Tab_Def_Flows[WC?],,0,)</f>
        <v>0</v>
      </c>
      <c r="K217" s="18">
        <f>_xlfn.XLOOKUP(C217,Tab_Def_Flows[Name(EN)],Tab_Def_Flows[DM?],,0,)</f>
        <v>0</v>
      </c>
      <c r="L217" s="18">
        <f>_xlfn.XLOOKUP(C217,Tab_Def_Flows[Name(EN)],Tab_Def_Flows[CC?],,0,)</f>
        <v>0</v>
      </c>
      <c r="M217" s="12"/>
      <c r="N217" s="12"/>
      <c r="O217" s="50"/>
      <c r="P217" s="12"/>
      <c r="Q217" s="12"/>
      <c r="R217" s="12"/>
      <c r="S217" s="12"/>
      <c r="T217" s="12"/>
      <c r="U217" s="12"/>
      <c r="V217" s="12"/>
      <c r="W217" s="12"/>
      <c r="X217" s="12" t="s">
        <v>8</v>
      </c>
      <c r="Y217" s="43"/>
      <c r="Z217" s="12"/>
      <c r="AA217" s="36">
        <f t="shared" si="7"/>
        <v>0</v>
      </c>
      <c r="AB217" s="12" t="s">
        <v>283</v>
      </c>
      <c r="AC217" s="193">
        <f>INDEX(Tab_Def_Flows[[Flow_ID]:[CC_DM_source]],MATCH(Tab_Data_Flows[[#This Row],[Name(EN)]],Tab_Def_Flows[Name(EN)],0),13)</f>
        <v>0</v>
      </c>
      <c r="AD217" s="10" t="str">
        <f>IF(J217="Yes",AA217*Tab_Data_Flows[[#This Row],[WC_'[%']]],"N.A.")</f>
        <v>N.A.</v>
      </c>
      <c r="AE217" s="10" t="str">
        <f>Tab_Data_Flows[[#This Row],[UoM_Flow_Py]]</f>
        <v>Mg</v>
      </c>
      <c r="AF217" s="193">
        <f>INDEX(Tab_Def_Flows[[Flow_ID]:[CC_DM_source]],MATCH(Tab_Data_Flows[[#This Row],[Name(EN)]],Tab_Def_Flows[Name(EN)],0),15)</f>
        <v>0</v>
      </c>
      <c r="AG217" s="10" t="str">
        <f>IF(K217="Yes",AF217*Tab_Data_Flows[[#This Row],[Flow_Py]],"N.A.")</f>
        <v>N.A.</v>
      </c>
      <c r="AH217" s="10" t="str">
        <f>Tab_Data_Flows[[#This Row],[UoM_Flow_Py]]</f>
        <v>Mg</v>
      </c>
      <c r="AI217" s="193">
        <f>INDEX(Tab_Def_Flows[[Flow_ID]:[CC_DM_source]],MATCH(Tab_Data_Flows[[#This Row],[Name(EN)]],Tab_Def_Flows[Name(EN)],0),17)</f>
        <v>0</v>
      </c>
      <c r="AJ217" s="10" t="str">
        <f>IF(L217="Yes",AI217*Tab_Data_Flows[[#This Row],[Flow_Py]]*Tab_Data_Flows[[#This Row],[DM_'[%']]],"N.A.")</f>
        <v>N.A.</v>
      </c>
      <c r="AK217" s="10" t="str">
        <f>Tab_Data_Flows[[#This Row],[UoM_Flow_Py]]</f>
        <v>Mg</v>
      </c>
    </row>
    <row r="218" spans="1:37" x14ac:dyDescent="0.25">
      <c r="A218" s="17">
        <f t="shared" si="6"/>
        <v>217</v>
      </c>
      <c r="B218" s="10" t="str">
        <f>_xlfn.XLOOKUP(C218,Tab_Def_Flows[Name(EN)],Tab_Def_Flows[Flow_ID],,0,)</f>
        <v>N.A.</v>
      </c>
      <c r="C218" s="12" t="s">
        <v>35</v>
      </c>
      <c r="D218" s="10">
        <f>_xlfn.XLOOKUP(C218,Tab_Def_Flows[Name(EN)],Tab_Def_Flows[Type_Biomass],,0,)</f>
        <v>0</v>
      </c>
      <c r="E218" s="10">
        <f>_xlfn.XLOOKUP(C218,Tab_Def_Flows[Name(EN)],Tab_Def_Flows[Output_Process],,0,)</f>
        <v>0</v>
      </c>
      <c r="F218" s="10">
        <f>_xlfn.XLOOKUP(C218,Tab_Def_Flows[Name(EN)],Tab_Def_Flows[Process_ID_O],,0,)</f>
        <v>0</v>
      </c>
      <c r="G218" s="10">
        <f>_xlfn.XLOOKUP(C218,Tab_Def_Flows[Name(EN)],Tab_Def_Flows[Input_Process],,0,)</f>
        <v>0</v>
      </c>
      <c r="H218" s="18">
        <f>_xlfn.XLOOKUP(C218,Tab_Def_Flows[Name(EN)],Tab_Def_Flows[Process_ID_I],,0,)</f>
        <v>0</v>
      </c>
      <c r="I218" s="18" t="e">
        <f>_xlfn.XLOOKUP(C218,Tab_Def_Flows[Name(EN)],#REF!,,0,)</f>
        <v>#REF!</v>
      </c>
      <c r="J218" s="18">
        <f>_xlfn.XLOOKUP(C218,Tab_Def_Flows[Name(EN)],Tab_Def_Flows[WC?],,0,)</f>
        <v>0</v>
      </c>
      <c r="K218" s="18">
        <f>_xlfn.XLOOKUP(C218,Tab_Def_Flows[Name(EN)],Tab_Def_Flows[DM?],,0,)</f>
        <v>0</v>
      </c>
      <c r="L218" s="18">
        <f>_xlfn.XLOOKUP(C218,Tab_Def_Flows[Name(EN)],Tab_Def_Flows[CC?],,0,)</f>
        <v>0</v>
      </c>
      <c r="M218" s="12"/>
      <c r="N218" s="12"/>
      <c r="O218" s="50"/>
      <c r="P218" s="12"/>
      <c r="Q218" s="12"/>
      <c r="R218" s="12"/>
      <c r="S218" s="12"/>
      <c r="T218" s="12"/>
      <c r="U218" s="12"/>
      <c r="V218" s="12"/>
      <c r="W218" s="12"/>
      <c r="X218" s="12" t="s">
        <v>8</v>
      </c>
      <c r="Y218" s="43"/>
      <c r="Z218" s="12"/>
      <c r="AA218" s="36">
        <f t="shared" si="7"/>
        <v>0</v>
      </c>
      <c r="AB218" s="12" t="s">
        <v>283</v>
      </c>
      <c r="AC218" s="193">
        <f>INDEX(Tab_Def_Flows[[Flow_ID]:[CC_DM_source]],MATCH(Tab_Data_Flows[[#This Row],[Name(EN)]],Tab_Def_Flows[Name(EN)],0),13)</f>
        <v>0</v>
      </c>
      <c r="AD218" s="10" t="str">
        <f>IF(J218="Yes",AA218*Tab_Data_Flows[[#This Row],[WC_'[%']]],"N.A.")</f>
        <v>N.A.</v>
      </c>
      <c r="AE218" s="10" t="str">
        <f>Tab_Data_Flows[[#This Row],[UoM_Flow_Py]]</f>
        <v>Mg</v>
      </c>
      <c r="AF218" s="193">
        <f>INDEX(Tab_Def_Flows[[Flow_ID]:[CC_DM_source]],MATCH(Tab_Data_Flows[[#This Row],[Name(EN)]],Tab_Def_Flows[Name(EN)],0),15)</f>
        <v>0</v>
      </c>
      <c r="AG218" s="10" t="str">
        <f>IF(K218="Yes",AF218*Tab_Data_Flows[[#This Row],[Flow_Py]],"N.A.")</f>
        <v>N.A.</v>
      </c>
      <c r="AH218" s="10" t="str">
        <f>Tab_Data_Flows[[#This Row],[UoM_Flow_Py]]</f>
        <v>Mg</v>
      </c>
      <c r="AI218" s="193">
        <f>INDEX(Tab_Def_Flows[[Flow_ID]:[CC_DM_source]],MATCH(Tab_Data_Flows[[#This Row],[Name(EN)]],Tab_Def_Flows[Name(EN)],0),17)</f>
        <v>0</v>
      </c>
      <c r="AJ218" s="10" t="str">
        <f>IF(L218="Yes",AI218*Tab_Data_Flows[[#This Row],[Flow_Py]]*Tab_Data_Flows[[#This Row],[DM_'[%']]],"N.A.")</f>
        <v>N.A.</v>
      </c>
      <c r="AK218" s="10" t="str">
        <f>Tab_Data_Flows[[#This Row],[UoM_Flow_Py]]</f>
        <v>Mg</v>
      </c>
    </row>
    <row r="219" spans="1:37" x14ac:dyDescent="0.25">
      <c r="A219" s="17">
        <f t="shared" si="6"/>
        <v>218</v>
      </c>
      <c r="B219" s="10" t="str">
        <f>_xlfn.XLOOKUP(C219,Tab_Def_Flows[Name(EN)],Tab_Def_Flows[Flow_ID],,0,)</f>
        <v>N.A.</v>
      </c>
      <c r="C219" s="12" t="s">
        <v>35</v>
      </c>
      <c r="D219" s="10">
        <f>_xlfn.XLOOKUP(C219,Tab_Def_Flows[Name(EN)],Tab_Def_Flows[Type_Biomass],,0,)</f>
        <v>0</v>
      </c>
      <c r="E219" s="10">
        <f>_xlfn.XLOOKUP(C219,Tab_Def_Flows[Name(EN)],Tab_Def_Flows[Output_Process],,0,)</f>
        <v>0</v>
      </c>
      <c r="F219" s="10">
        <f>_xlfn.XLOOKUP(C219,Tab_Def_Flows[Name(EN)],Tab_Def_Flows[Process_ID_O],,0,)</f>
        <v>0</v>
      </c>
      <c r="G219" s="10">
        <f>_xlfn.XLOOKUP(C219,Tab_Def_Flows[Name(EN)],Tab_Def_Flows[Input_Process],,0,)</f>
        <v>0</v>
      </c>
      <c r="H219" s="18">
        <f>_xlfn.XLOOKUP(C219,Tab_Def_Flows[Name(EN)],Tab_Def_Flows[Process_ID_I],,0,)</f>
        <v>0</v>
      </c>
      <c r="I219" s="18" t="e">
        <f>_xlfn.XLOOKUP(C219,Tab_Def_Flows[Name(EN)],#REF!,,0,)</f>
        <v>#REF!</v>
      </c>
      <c r="J219" s="18">
        <f>_xlfn.XLOOKUP(C219,Tab_Def_Flows[Name(EN)],Tab_Def_Flows[WC?],,0,)</f>
        <v>0</v>
      </c>
      <c r="K219" s="18">
        <f>_xlfn.XLOOKUP(C219,Tab_Def_Flows[Name(EN)],Tab_Def_Flows[DM?],,0,)</f>
        <v>0</v>
      </c>
      <c r="L219" s="18">
        <f>_xlfn.XLOOKUP(C219,Tab_Def_Flows[Name(EN)],Tab_Def_Flows[CC?],,0,)</f>
        <v>0</v>
      </c>
      <c r="M219" s="12"/>
      <c r="N219" s="12"/>
      <c r="O219" s="50"/>
      <c r="P219" s="12"/>
      <c r="Q219" s="12"/>
      <c r="R219" s="12"/>
      <c r="S219" s="12"/>
      <c r="T219" s="12"/>
      <c r="U219" s="12"/>
      <c r="V219" s="12"/>
      <c r="W219" s="12"/>
      <c r="X219" s="12" t="s">
        <v>8</v>
      </c>
      <c r="Y219" s="43"/>
      <c r="Z219" s="12"/>
      <c r="AA219" s="36">
        <f t="shared" si="7"/>
        <v>0</v>
      </c>
      <c r="AB219" s="12" t="s">
        <v>283</v>
      </c>
      <c r="AC219" s="193">
        <f>INDEX(Tab_Def_Flows[[Flow_ID]:[CC_DM_source]],MATCH(Tab_Data_Flows[[#This Row],[Name(EN)]],Tab_Def_Flows[Name(EN)],0),13)</f>
        <v>0</v>
      </c>
      <c r="AD219" s="10" t="str">
        <f>IF(J219="Yes",AA219*Tab_Data_Flows[[#This Row],[WC_'[%']]],"N.A.")</f>
        <v>N.A.</v>
      </c>
      <c r="AE219" s="10" t="str">
        <f>Tab_Data_Flows[[#This Row],[UoM_Flow_Py]]</f>
        <v>Mg</v>
      </c>
      <c r="AF219" s="193">
        <f>INDEX(Tab_Def_Flows[[Flow_ID]:[CC_DM_source]],MATCH(Tab_Data_Flows[[#This Row],[Name(EN)]],Tab_Def_Flows[Name(EN)],0),15)</f>
        <v>0</v>
      </c>
      <c r="AG219" s="10" t="str">
        <f>IF(K219="Yes",AF219*Tab_Data_Flows[[#This Row],[Flow_Py]],"N.A.")</f>
        <v>N.A.</v>
      </c>
      <c r="AH219" s="10" t="str">
        <f>Tab_Data_Flows[[#This Row],[UoM_Flow_Py]]</f>
        <v>Mg</v>
      </c>
      <c r="AI219" s="193">
        <f>INDEX(Tab_Def_Flows[[Flow_ID]:[CC_DM_source]],MATCH(Tab_Data_Flows[[#This Row],[Name(EN)]],Tab_Def_Flows[Name(EN)],0),17)</f>
        <v>0</v>
      </c>
      <c r="AJ219" s="10" t="str">
        <f>IF(L219="Yes",AI219*Tab_Data_Flows[[#This Row],[Flow_Py]]*Tab_Data_Flows[[#This Row],[DM_'[%']]],"N.A.")</f>
        <v>N.A.</v>
      </c>
      <c r="AK219" s="10" t="str">
        <f>Tab_Data_Flows[[#This Row],[UoM_Flow_Py]]</f>
        <v>Mg</v>
      </c>
    </row>
    <row r="220" spans="1:37" x14ac:dyDescent="0.25">
      <c r="A220" s="17">
        <f t="shared" si="6"/>
        <v>219</v>
      </c>
      <c r="B220" s="10" t="str">
        <f>_xlfn.XLOOKUP(C220,Tab_Def_Flows[Name(EN)],Tab_Def_Flows[Flow_ID],,0,)</f>
        <v>N.A.</v>
      </c>
      <c r="C220" s="12" t="s">
        <v>35</v>
      </c>
      <c r="D220" s="10">
        <f>_xlfn.XLOOKUP(C220,Tab_Def_Flows[Name(EN)],Tab_Def_Flows[Type_Biomass],,0,)</f>
        <v>0</v>
      </c>
      <c r="E220" s="10">
        <f>_xlfn.XLOOKUP(C220,Tab_Def_Flows[Name(EN)],Tab_Def_Flows[Output_Process],,0,)</f>
        <v>0</v>
      </c>
      <c r="F220" s="10">
        <f>_xlfn.XLOOKUP(C220,Tab_Def_Flows[Name(EN)],Tab_Def_Flows[Process_ID_O],,0,)</f>
        <v>0</v>
      </c>
      <c r="G220" s="10">
        <f>_xlfn.XLOOKUP(C220,Tab_Def_Flows[Name(EN)],Tab_Def_Flows[Input_Process],,0,)</f>
        <v>0</v>
      </c>
      <c r="H220" s="18">
        <f>_xlfn.XLOOKUP(C220,Tab_Def_Flows[Name(EN)],Tab_Def_Flows[Process_ID_I],,0,)</f>
        <v>0</v>
      </c>
      <c r="I220" s="18" t="e">
        <f>_xlfn.XLOOKUP(C220,Tab_Def_Flows[Name(EN)],#REF!,,0,)</f>
        <v>#REF!</v>
      </c>
      <c r="J220" s="18">
        <f>_xlfn.XLOOKUP(C220,Tab_Def_Flows[Name(EN)],Tab_Def_Flows[WC?],,0,)</f>
        <v>0</v>
      </c>
      <c r="K220" s="18">
        <f>_xlfn.XLOOKUP(C220,Tab_Def_Flows[Name(EN)],Tab_Def_Flows[DM?],,0,)</f>
        <v>0</v>
      </c>
      <c r="L220" s="18">
        <f>_xlfn.XLOOKUP(C220,Tab_Def_Flows[Name(EN)],Tab_Def_Flows[CC?],,0,)</f>
        <v>0</v>
      </c>
      <c r="M220" s="12"/>
      <c r="N220" s="12"/>
      <c r="O220" s="50"/>
      <c r="P220" s="12"/>
      <c r="Q220" s="12"/>
      <c r="R220" s="12"/>
      <c r="S220" s="12"/>
      <c r="T220" s="12"/>
      <c r="U220" s="12"/>
      <c r="V220" s="12"/>
      <c r="W220" s="12"/>
      <c r="X220" s="12" t="s">
        <v>8</v>
      </c>
      <c r="Y220" s="43"/>
      <c r="Z220" s="12"/>
      <c r="AA220" s="36">
        <f t="shared" si="7"/>
        <v>0</v>
      </c>
      <c r="AB220" s="12" t="s">
        <v>283</v>
      </c>
      <c r="AC220" s="193">
        <f>INDEX(Tab_Def_Flows[[Flow_ID]:[CC_DM_source]],MATCH(Tab_Data_Flows[[#This Row],[Name(EN)]],Tab_Def_Flows[Name(EN)],0),13)</f>
        <v>0</v>
      </c>
      <c r="AD220" s="10" t="str">
        <f>IF(J220="Yes",AA220*Tab_Data_Flows[[#This Row],[WC_'[%']]],"N.A.")</f>
        <v>N.A.</v>
      </c>
      <c r="AE220" s="10" t="str">
        <f>Tab_Data_Flows[[#This Row],[UoM_Flow_Py]]</f>
        <v>Mg</v>
      </c>
      <c r="AF220" s="193">
        <f>INDEX(Tab_Def_Flows[[Flow_ID]:[CC_DM_source]],MATCH(Tab_Data_Flows[[#This Row],[Name(EN)]],Tab_Def_Flows[Name(EN)],0),15)</f>
        <v>0</v>
      </c>
      <c r="AG220" s="10" t="str">
        <f>IF(K220="Yes",AF220*Tab_Data_Flows[[#This Row],[Flow_Py]],"N.A.")</f>
        <v>N.A.</v>
      </c>
      <c r="AH220" s="10" t="str">
        <f>Tab_Data_Flows[[#This Row],[UoM_Flow_Py]]</f>
        <v>Mg</v>
      </c>
      <c r="AI220" s="193">
        <f>INDEX(Tab_Def_Flows[[Flow_ID]:[CC_DM_source]],MATCH(Tab_Data_Flows[[#This Row],[Name(EN)]],Tab_Def_Flows[Name(EN)],0),17)</f>
        <v>0</v>
      </c>
      <c r="AJ220" s="10" t="str">
        <f>IF(L220="Yes",AI220*Tab_Data_Flows[[#This Row],[Flow_Py]]*Tab_Data_Flows[[#This Row],[DM_'[%']]],"N.A.")</f>
        <v>N.A.</v>
      </c>
      <c r="AK220" s="10" t="str">
        <f>Tab_Data_Flows[[#This Row],[UoM_Flow_Py]]</f>
        <v>Mg</v>
      </c>
    </row>
    <row r="221" spans="1:37" x14ac:dyDescent="0.25">
      <c r="A221" s="17">
        <f t="shared" si="6"/>
        <v>220</v>
      </c>
      <c r="B221" s="10" t="str">
        <f>_xlfn.XLOOKUP(C221,Tab_Def_Flows[Name(EN)],Tab_Def_Flows[Flow_ID],,0,)</f>
        <v>N.A.</v>
      </c>
      <c r="C221" s="12" t="s">
        <v>35</v>
      </c>
      <c r="D221" s="10">
        <f>_xlfn.XLOOKUP(C221,Tab_Def_Flows[Name(EN)],Tab_Def_Flows[Type_Biomass],,0,)</f>
        <v>0</v>
      </c>
      <c r="E221" s="10">
        <f>_xlfn.XLOOKUP(C221,Tab_Def_Flows[Name(EN)],Tab_Def_Flows[Output_Process],,0,)</f>
        <v>0</v>
      </c>
      <c r="F221" s="10">
        <f>_xlfn.XLOOKUP(C221,Tab_Def_Flows[Name(EN)],Tab_Def_Flows[Process_ID_O],,0,)</f>
        <v>0</v>
      </c>
      <c r="G221" s="10">
        <f>_xlfn.XLOOKUP(C221,Tab_Def_Flows[Name(EN)],Tab_Def_Flows[Input_Process],,0,)</f>
        <v>0</v>
      </c>
      <c r="H221" s="18">
        <f>_xlfn.XLOOKUP(C221,Tab_Def_Flows[Name(EN)],Tab_Def_Flows[Process_ID_I],,0,)</f>
        <v>0</v>
      </c>
      <c r="I221" s="18" t="e">
        <f>_xlfn.XLOOKUP(C221,Tab_Def_Flows[Name(EN)],#REF!,,0,)</f>
        <v>#REF!</v>
      </c>
      <c r="J221" s="18">
        <f>_xlfn.XLOOKUP(C221,Tab_Def_Flows[Name(EN)],Tab_Def_Flows[WC?],,0,)</f>
        <v>0</v>
      </c>
      <c r="K221" s="18">
        <f>_xlfn.XLOOKUP(C221,Tab_Def_Flows[Name(EN)],Tab_Def_Flows[DM?],,0,)</f>
        <v>0</v>
      </c>
      <c r="L221" s="18">
        <f>_xlfn.XLOOKUP(C221,Tab_Def_Flows[Name(EN)],Tab_Def_Flows[CC?],,0,)</f>
        <v>0</v>
      </c>
      <c r="M221" s="12"/>
      <c r="N221" s="12"/>
      <c r="O221" s="50"/>
      <c r="P221" s="12"/>
      <c r="Q221" s="12"/>
      <c r="R221" s="12"/>
      <c r="S221" s="12"/>
      <c r="T221" s="12"/>
      <c r="U221" s="12"/>
      <c r="V221" s="12"/>
      <c r="W221" s="12"/>
      <c r="X221" s="12" t="s">
        <v>8</v>
      </c>
      <c r="Y221" s="43"/>
      <c r="Z221" s="12"/>
      <c r="AA221" s="36">
        <f t="shared" si="7"/>
        <v>0</v>
      </c>
      <c r="AB221" s="12" t="s">
        <v>283</v>
      </c>
      <c r="AC221" s="193">
        <f>INDEX(Tab_Def_Flows[[Flow_ID]:[CC_DM_source]],MATCH(Tab_Data_Flows[[#This Row],[Name(EN)]],Tab_Def_Flows[Name(EN)],0),13)</f>
        <v>0</v>
      </c>
      <c r="AD221" s="10" t="str">
        <f>IF(J221="Yes",AA221*Tab_Data_Flows[[#This Row],[WC_'[%']]],"N.A.")</f>
        <v>N.A.</v>
      </c>
      <c r="AE221" s="10" t="str">
        <f>Tab_Data_Flows[[#This Row],[UoM_Flow_Py]]</f>
        <v>Mg</v>
      </c>
      <c r="AF221" s="193">
        <f>INDEX(Tab_Def_Flows[[Flow_ID]:[CC_DM_source]],MATCH(Tab_Data_Flows[[#This Row],[Name(EN)]],Tab_Def_Flows[Name(EN)],0),15)</f>
        <v>0</v>
      </c>
      <c r="AG221" s="10" t="str">
        <f>IF(K221="Yes",AF221*Tab_Data_Flows[[#This Row],[Flow_Py]],"N.A.")</f>
        <v>N.A.</v>
      </c>
      <c r="AH221" s="10" t="str">
        <f>Tab_Data_Flows[[#This Row],[UoM_Flow_Py]]</f>
        <v>Mg</v>
      </c>
      <c r="AI221" s="193">
        <f>INDEX(Tab_Def_Flows[[Flow_ID]:[CC_DM_source]],MATCH(Tab_Data_Flows[[#This Row],[Name(EN)]],Tab_Def_Flows[Name(EN)],0),17)</f>
        <v>0</v>
      </c>
      <c r="AJ221" s="10" t="str">
        <f>IF(L221="Yes",AI221*Tab_Data_Flows[[#This Row],[Flow_Py]]*Tab_Data_Flows[[#This Row],[DM_'[%']]],"N.A.")</f>
        <v>N.A.</v>
      </c>
      <c r="AK221" s="10" t="str">
        <f>Tab_Data_Flows[[#This Row],[UoM_Flow_Py]]</f>
        <v>Mg</v>
      </c>
    </row>
    <row r="222" spans="1:37" x14ac:dyDescent="0.25">
      <c r="A222" s="17">
        <f t="shared" si="6"/>
        <v>221</v>
      </c>
      <c r="B222" s="10" t="str">
        <f>_xlfn.XLOOKUP(C222,Tab_Def_Flows[Name(EN)],Tab_Def_Flows[Flow_ID],,0,)</f>
        <v>N.A.</v>
      </c>
      <c r="C222" s="12" t="s">
        <v>35</v>
      </c>
      <c r="D222" s="10">
        <f>_xlfn.XLOOKUP(C222,Tab_Def_Flows[Name(EN)],Tab_Def_Flows[Type_Biomass],,0,)</f>
        <v>0</v>
      </c>
      <c r="E222" s="10">
        <f>_xlfn.XLOOKUP(C222,Tab_Def_Flows[Name(EN)],Tab_Def_Flows[Output_Process],,0,)</f>
        <v>0</v>
      </c>
      <c r="F222" s="10">
        <f>_xlfn.XLOOKUP(C222,Tab_Def_Flows[Name(EN)],Tab_Def_Flows[Process_ID_O],,0,)</f>
        <v>0</v>
      </c>
      <c r="G222" s="10">
        <f>_xlfn.XLOOKUP(C222,Tab_Def_Flows[Name(EN)],Tab_Def_Flows[Input_Process],,0,)</f>
        <v>0</v>
      </c>
      <c r="H222" s="18">
        <f>_xlfn.XLOOKUP(C222,Tab_Def_Flows[Name(EN)],Tab_Def_Flows[Process_ID_I],,0,)</f>
        <v>0</v>
      </c>
      <c r="I222" s="18" t="e">
        <f>_xlfn.XLOOKUP(C222,Tab_Def_Flows[Name(EN)],#REF!,,0,)</f>
        <v>#REF!</v>
      </c>
      <c r="J222" s="18">
        <f>_xlfn.XLOOKUP(C222,Tab_Def_Flows[Name(EN)],Tab_Def_Flows[WC?],,0,)</f>
        <v>0</v>
      </c>
      <c r="K222" s="18">
        <f>_xlfn.XLOOKUP(C222,Tab_Def_Flows[Name(EN)],Tab_Def_Flows[DM?],,0,)</f>
        <v>0</v>
      </c>
      <c r="L222" s="18">
        <f>_xlfn.XLOOKUP(C222,Tab_Def_Flows[Name(EN)],Tab_Def_Flows[CC?],,0,)</f>
        <v>0</v>
      </c>
      <c r="M222" s="12"/>
      <c r="N222" s="12"/>
      <c r="O222" s="50"/>
      <c r="P222" s="12"/>
      <c r="Q222" s="12"/>
      <c r="R222" s="12"/>
      <c r="S222" s="12"/>
      <c r="T222" s="12"/>
      <c r="U222" s="12"/>
      <c r="V222" s="12"/>
      <c r="W222" s="12"/>
      <c r="X222" s="12" t="s">
        <v>8</v>
      </c>
      <c r="Y222" s="43"/>
      <c r="Z222" s="12"/>
      <c r="AA222" s="36">
        <f t="shared" si="7"/>
        <v>0</v>
      </c>
      <c r="AB222" s="12" t="s">
        <v>283</v>
      </c>
      <c r="AC222" s="193">
        <f>INDEX(Tab_Def_Flows[[Flow_ID]:[CC_DM_source]],MATCH(Tab_Data_Flows[[#This Row],[Name(EN)]],Tab_Def_Flows[Name(EN)],0),13)</f>
        <v>0</v>
      </c>
      <c r="AD222" s="10" t="str">
        <f>IF(J222="Yes",AA222*Tab_Data_Flows[[#This Row],[WC_'[%']]],"N.A.")</f>
        <v>N.A.</v>
      </c>
      <c r="AE222" s="10" t="str">
        <f>Tab_Data_Flows[[#This Row],[UoM_Flow_Py]]</f>
        <v>Mg</v>
      </c>
      <c r="AF222" s="193">
        <f>INDEX(Tab_Def_Flows[[Flow_ID]:[CC_DM_source]],MATCH(Tab_Data_Flows[[#This Row],[Name(EN)]],Tab_Def_Flows[Name(EN)],0),15)</f>
        <v>0</v>
      </c>
      <c r="AG222" s="10" t="str">
        <f>IF(K222="Yes",AF222*Tab_Data_Flows[[#This Row],[Flow_Py]],"N.A.")</f>
        <v>N.A.</v>
      </c>
      <c r="AH222" s="10" t="str">
        <f>Tab_Data_Flows[[#This Row],[UoM_Flow_Py]]</f>
        <v>Mg</v>
      </c>
      <c r="AI222" s="193">
        <f>INDEX(Tab_Def_Flows[[Flow_ID]:[CC_DM_source]],MATCH(Tab_Data_Flows[[#This Row],[Name(EN)]],Tab_Def_Flows[Name(EN)],0),17)</f>
        <v>0</v>
      </c>
      <c r="AJ222" s="10" t="str">
        <f>IF(L222="Yes",AI222*Tab_Data_Flows[[#This Row],[Flow_Py]]*Tab_Data_Flows[[#This Row],[DM_'[%']]],"N.A.")</f>
        <v>N.A.</v>
      </c>
      <c r="AK222" s="10" t="str">
        <f>Tab_Data_Flows[[#This Row],[UoM_Flow_Py]]</f>
        <v>Mg</v>
      </c>
    </row>
    <row r="223" spans="1:37" x14ac:dyDescent="0.25">
      <c r="A223" s="17">
        <f t="shared" si="6"/>
        <v>222</v>
      </c>
      <c r="B223" s="10" t="str">
        <f>_xlfn.XLOOKUP(C223,Tab_Def_Flows[Name(EN)],Tab_Def_Flows[Flow_ID],,0,)</f>
        <v>N.A.</v>
      </c>
      <c r="C223" s="12" t="s">
        <v>35</v>
      </c>
      <c r="D223" s="10">
        <f>_xlfn.XLOOKUP(C223,Tab_Def_Flows[Name(EN)],Tab_Def_Flows[Type_Biomass],,0,)</f>
        <v>0</v>
      </c>
      <c r="E223" s="10">
        <f>_xlfn.XLOOKUP(C223,Tab_Def_Flows[Name(EN)],Tab_Def_Flows[Output_Process],,0,)</f>
        <v>0</v>
      </c>
      <c r="F223" s="10">
        <f>_xlfn.XLOOKUP(C223,Tab_Def_Flows[Name(EN)],Tab_Def_Flows[Process_ID_O],,0,)</f>
        <v>0</v>
      </c>
      <c r="G223" s="10">
        <f>_xlfn.XLOOKUP(C223,Tab_Def_Flows[Name(EN)],Tab_Def_Flows[Input_Process],,0,)</f>
        <v>0</v>
      </c>
      <c r="H223" s="18">
        <f>_xlfn.XLOOKUP(C223,Tab_Def_Flows[Name(EN)],Tab_Def_Flows[Process_ID_I],,0,)</f>
        <v>0</v>
      </c>
      <c r="I223" s="18" t="e">
        <f>_xlfn.XLOOKUP(C223,Tab_Def_Flows[Name(EN)],#REF!,,0,)</f>
        <v>#REF!</v>
      </c>
      <c r="J223" s="18">
        <f>_xlfn.XLOOKUP(C223,Tab_Def_Flows[Name(EN)],Tab_Def_Flows[WC?],,0,)</f>
        <v>0</v>
      </c>
      <c r="K223" s="18">
        <f>_xlfn.XLOOKUP(C223,Tab_Def_Flows[Name(EN)],Tab_Def_Flows[DM?],,0,)</f>
        <v>0</v>
      </c>
      <c r="L223" s="18">
        <f>_xlfn.XLOOKUP(C223,Tab_Def_Flows[Name(EN)],Tab_Def_Flows[CC?],,0,)</f>
        <v>0</v>
      </c>
      <c r="M223" s="12"/>
      <c r="N223" s="12"/>
      <c r="O223" s="50"/>
      <c r="P223" s="12"/>
      <c r="Q223" s="12"/>
      <c r="R223" s="12"/>
      <c r="S223" s="12"/>
      <c r="T223" s="12"/>
      <c r="U223" s="12"/>
      <c r="V223" s="12"/>
      <c r="W223" s="12"/>
      <c r="X223" s="12" t="s">
        <v>8</v>
      </c>
      <c r="Y223" s="43"/>
      <c r="Z223" s="12"/>
      <c r="AA223" s="36">
        <f t="shared" si="7"/>
        <v>0</v>
      </c>
      <c r="AB223" s="12" t="s">
        <v>283</v>
      </c>
      <c r="AC223" s="193">
        <f>INDEX(Tab_Def_Flows[[Flow_ID]:[CC_DM_source]],MATCH(Tab_Data_Flows[[#This Row],[Name(EN)]],Tab_Def_Flows[Name(EN)],0),13)</f>
        <v>0</v>
      </c>
      <c r="AD223" s="10" t="str">
        <f>IF(J223="Yes",AA223*Tab_Data_Flows[[#This Row],[WC_'[%']]],"N.A.")</f>
        <v>N.A.</v>
      </c>
      <c r="AE223" s="10" t="str">
        <f>Tab_Data_Flows[[#This Row],[UoM_Flow_Py]]</f>
        <v>Mg</v>
      </c>
      <c r="AF223" s="193">
        <f>INDEX(Tab_Def_Flows[[Flow_ID]:[CC_DM_source]],MATCH(Tab_Data_Flows[[#This Row],[Name(EN)]],Tab_Def_Flows[Name(EN)],0),15)</f>
        <v>0</v>
      </c>
      <c r="AG223" s="10" t="str">
        <f>IF(K223="Yes",AF223*Tab_Data_Flows[[#This Row],[Flow_Py]],"N.A.")</f>
        <v>N.A.</v>
      </c>
      <c r="AH223" s="10" t="str">
        <f>Tab_Data_Flows[[#This Row],[UoM_Flow_Py]]</f>
        <v>Mg</v>
      </c>
      <c r="AI223" s="193">
        <f>INDEX(Tab_Def_Flows[[Flow_ID]:[CC_DM_source]],MATCH(Tab_Data_Flows[[#This Row],[Name(EN)]],Tab_Def_Flows[Name(EN)],0),17)</f>
        <v>0</v>
      </c>
      <c r="AJ223" s="10" t="str">
        <f>IF(L223="Yes",AI223*Tab_Data_Flows[[#This Row],[Flow_Py]]*Tab_Data_Flows[[#This Row],[DM_'[%']]],"N.A.")</f>
        <v>N.A.</v>
      </c>
      <c r="AK223" s="10" t="str">
        <f>Tab_Data_Flows[[#This Row],[UoM_Flow_Py]]</f>
        <v>Mg</v>
      </c>
    </row>
    <row r="224" spans="1:37" x14ac:dyDescent="0.25">
      <c r="A224" s="17">
        <f t="shared" si="6"/>
        <v>223</v>
      </c>
      <c r="B224" s="10" t="str">
        <f>_xlfn.XLOOKUP(C224,Tab_Def_Flows[Name(EN)],Tab_Def_Flows[Flow_ID],,0,)</f>
        <v>N.A.</v>
      </c>
      <c r="C224" s="12" t="s">
        <v>35</v>
      </c>
      <c r="D224" s="10">
        <f>_xlfn.XLOOKUP(C224,Tab_Def_Flows[Name(EN)],Tab_Def_Flows[Type_Biomass],,0,)</f>
        <v>0</v>
      </c>
      <c r="E224" s="10">
        <f>_xlfn.XLOOKUP(C224,Tab_Def_Flows[Name(EN)],Tab_Def_Flows[Output_Process],,0,)</f>
        <v>0</v>
      </c>
      <c r="F224" s="10">
        <f>_xlfn.XLOOKUP(C224,Tab_Def_Flows[Name(EN)],Tab_Def_Flows[Process_ID_O],,0,)</f>
        <v>0</v>
      </c>
      <c r="G224" s="10">
        <f>_xlfn.XLOOKUP(C224,Tab_Def_Flows[Name(EN)],Tab_Def_Flows[Input_Process],,0,)</f>
        <v>0</v>
      </c>
      <c r="H224" s="18">
        <f>_xlfn.XLOOKUP(C224,Tab_Def_Flows[Name(EN)],Tab_Def_Flows[Process_ID_I],,0,)</f>
        <v>0</v>
      </c>
      <c r="I224" s="18" t="e">
        <f>_xlfn.XLOOKUP(C224,Tab_Def_Flows[Name(EN)],#REF!,,0,)</f>
        <v>#REF!</v>
      </c>
      <c r="J224" s="18">
        <f>_xlfn.XLOOKUP(C224,Tab_Def_Flows[Name(EN)],Tab_Def_Flows[WC?],,0,)</f>
        <v>0</v>
      </c>
      <c r="K224" s="18">
        <f>_xlfn.XLOOKUP(C224,Tab_Def_Flows[Name(EN)],Tab_Def_Flows[DM?],,0,)</f>
        <v>0</v>
      </c>
      <c r="L224" s="18">
        <f>_xlfn.XLOOKUP(C224,Tab_Def_Flows[Name(EN)],Tab_Def_Flows[CC?],,0,)</f>
        <v>0</v>
      </c>
      <c r="M224" s="12"/>
      <c r="N224" s="12"/>
      <c r="O224" s="50"/>
      <c r="P224" s="12"/>
      <c r="Q224" s="12"/>
      <c r="R224" s="12"/>
      <c r="S224" s="12"/>
      <c r="T224" s="12"/>
      <c r="U224" s="12"/>
      <c r="V224" s="12"/>
      <c r="W224" s="12"/>
      <c r="X224" s="12" t="s">
        <v>8</v>
      </c>
      <c r="Y224" s="43"/>
      <c r="Z224" s="12"/>
      <c r="AA224" s="36">
        <f t="shared" si="7"/>
        <v>0</v>
      </c>
      <c r="AB224" s="12" t="s">
        <v>283</v>
      </c>
      <c r="AC224" s="193">
        <f>INDEX(Tab_Def_Flows[[Flow_ID]:[CC_DM_source]],MATCH(Tab_Data_Flows[[#This Row],[Name(EN)]],Tab_Def_Flows[Name(EN)],0),13)</f>
        <v>0</v>
      </c>
      <c r="AD224" s="10" t="str">
        <f>IF(J224="Yes",AA224*Tab_Data_Flows[[#This Row],[WC_'[%']]],"N.A.")</f>
        <v>N.A.</v>
      </c>
      <c r="AE224" s="10" t="str">
        <f>Tab_Data_Flows[[#This Row],[UoM_Flow_Py]]</f>
        <v>Mg</v>
      </c>
      <c r="AF224" s="193">
        <f>INDEX(Tab_Def_Flows[[Flow_ID]:[CC_DM_source]],MATCH(Tab_Data_Flows[[#This Row],[Name(EN)]],Tab_Def_Flows[Name(EN)],0),15)</f>
        <v>0</v>
      </c>
      <c r="AG224" s="10" t="str">
        <f>IF(K224="Yes",AF224*Tab_Data_Flows[[#This Row],[Flow_Py]],"N.A.")</f>
        <v>N.A.</v>
      </c>
      <c r="AH224" s="10" t="str">
        <f>Tab_Data_Flows[[#This Row],[UoM_Flow_Py]]</f>
        <v>Mg</v>
      </c>
      <c r="AI224" s="193">
        <f>INDEX(Tab_Def_Flows[[Flow_ID]:[CC_DM_source]],MATCH(Tab_Data_Flows[[#This Row],[Name(EN)]],Tab_Def_Flows[Name(EN)],0),17)</f>
        <v>0</v>
      </c>
      <c r="AJ224" s="10" t="str">
        <f>IF(L224="Yes",AI224*Tab_Data_Flows[[#This Row],[Flow_Py]]*Tab_Data_Flows[[#This Row],[DM_'[%']]],"N.A.")</f>
        <v>N.A.</v>
      </c>
      <c r="AK224" s="10" t="str">
        <f>Tab_Data_Flows[[#This Row],[UoM_Flow_Py]]</f>
        <v>Mg</v>
      </c>
    </row>
    <row r="225" spans="1:37" x14ac:dyDescent="0.25">
      <c r="A225" s="17">
        <f t="shared" si="6"/>
        <v>224</v>
      </c>
      <c r="B225" s="10" t="str">
        <f>_xlfn.XLOOKUP(C225,Tab_Def_Flows[Name(EN)],Tab_Def_Flows[Flow_ID],,0,)</f>
        <v>N.A.</v>
      </c>
      <c r="C225" s="12" t="s">
        <v>35</v>
      </c>
      <c r="D225" s="10">
        <f>_xlfn.XLOOKUP(C225,Tab_Def_Flows[Name(EN)],Tab_Def_Flows[Type_Biomass],,0,)</f>
        <v>0</v>
      </c>
      <c r="E225" s="10">
        <f>_xlfn.XLOOKUP(C225,Tab_Def_Flows[Name(EN)],Tab_Def_Flows[Output_Process],,0,)</f>
        <v>0</v>
      </c>
      <c r="F225" s="10">
        <f>_xlfn.XLOOKUP(C225,Tab_Def_Flows[Name(EN)],Tab_Def_Flows[Process_ID_O],,0,)</f>
        <v>0</v>
      </c>
      <c r="G225" s="10">
        <f>_xlfn.XLOOKUP(C225,Tab_Def_Flows[Name(EN)],Tab_Def_Flows[Input_Process],,0,)</f>
        <v>0</v>
      </c>
      <c r="H225" s="18">
        <f>_xlfn.XLOOKUP(C225,Tab_Def_Flows[Name(EN)],Tab_Def_Flows[Process_ID_I],,0,)</f>
        <v>0</v>
      </c>
      <c r="I225" s="18" t="e">
        <f>_xlfn.XLOOKUP(C225,Tab_Def_Flows[Name(EN)],#REF!,,0,)</f>
        <v>#REF!</v>
      </c>
      <c r="J225" s="18">
        <f>_xlfn.XLOOKUP(C225,Tab_Def_Flows[Name(EN)],Tab_Def_Flows[WC?],,0,)</f>
        <v>0</v>
      </c>
      <c r="K225" s="18">
        <f>_xlfn.XLOOKUP(C225,Tab_Def_Flows[Name(EN)],Tab_Def_Flows[DM?],,0,)</f>
        <v>0</v>
      </c>
      <c r="L225" s="18">
        <f>_xlfn.XLOOKUP(C225,Tab_Def_Flows[Name(EN)],Tab_Def_Flows[CC?],,0,)</f>
        <v>0</v>
      </c>
      <c r="M225" s="12"/>
      <c r="N225" s="12"/>
      <c r="O225" s="50"/>
      <c r="P225" s="12"/>
      <c r="Q225" s="12"/>
      <c r="R225" s="12"/>
      <c r="S225" s="12"/>
      <c r="T225" s="12"/>
      <c r="U225" s="12"/>
      <c r="V225" s="12"/>
      <c r="W225" s="12"/>
      <c r="X225" s="12" t="s">
        <v>8</v>
      </c>
      <c r="Y225" s="43"/>
      <c r="Z225" s="12"/>
      <c r="AA225" s="36">
        <f t="shared" si="7"/>
        <v>0</v>
      </c>
      <c r="AB225" s="12" t="s">
        <v>283</v>
      </c>
      <c r="AC225" s="193">
        <f>INDEX(Tab_Def_Flows[[Flow_ID]:[CC_DM_source]],MATCH(Tab_Data_Flows[[#This Row],[Name(EN)]],Tab_Def_Flows[Name(EN)],0),13)</f>
        <v>0</v>
      </c>
      <c r="AD225" s="10" t="str">
        <f>IF(J225="Yes",AA225*Tab_Data_Flows[[#This Row],[WC_'[%']]],"N.A.")</f>
        <v>N.A.</v>
      </c>
      <c r="AE225" s="10" t="str">
        <f>Tab_Data_Flows[[#This Row],[UoM_Flow_Py]]</f>
        <v>Mg</v>
      </c>
      <c r="AF225" s="193">
        <f>INDEX(Tab_Def_Flows[[Flow_ID]:[CC_DM_source]],MATCH(Tab_Data_Flows[[#This Row],[Name(EN)]],Tab_Def_Flows[Name(EN)],0),15)</f>
        <v>0</v>
      </c>
      <c r="AG225" s="10" t="str">
        <f>IF(K225="Yes",AF225*Tab_Data_Flows[[#This Row],[Flow_Py]],"N.A.")</f>
        <v>N.A.</v>
      </c>
      <c r="AH225" s="10" t="str">
        <f>Tab_Data_Flows[[#This Row],[UoM_Flow_Py]]</f>
        <v>Mg</v>
      </c>
      <c r="AI225" s="193">
        <f>INDEX(Tab_Def_Flows[[Flow_ID]:[CC_DM_source]],MATCH(Tab_Data_Flows[[#This Row],[Name(EN)]],Tab_Def_Flows[Name(EN)],0),17)</f>
        <v>0</v>
      </c>
      <c r="AJ225" s="10" t="str">
        <f>IF(L225="Yes",AI225*Tab_Data_Flows[[#This Row],[Flow_Py]]*Tab_Data_Flows[[#This Row],[DM_'[%']]],"N.A.")</f>
        <v>N.A.</v>
      </c>
      <c r="AK225" s="10" t="str">
        <f>Tab_Data_Flows[[#This Row],[UoM_Flow_Py]]</f>
        <v>Mg</v>
      </c>
    </row>
    <row r="226" spans="1:37" x14ac:dyDescent="0.25">
      <c r="A226" s="17">
        <f t="shared" si="6"/>
        <v>225</v>
      </c>
      <c r="B226" s="10" t="str">
        <f>_xlfn.XLOOKUP(C226,Tab_Def_Flows[Name(EN)],Tab_Def_Flows[Flow_ID],,0,)</f>
        <v>N.A.</v>
      </c>
      <c r="C226" s="12" t="s">
        <v>35</v>
      </c>
      <c r="D226" s="10">
        <f>_xlfn.XLOOKUP(C226,Tab_Def_Flows[Name(EN)],Tab_Def_Flows[Type_Biomass],,0,)</f>
        <v>0</v>
      </c>
      <c r="E226" s="10">
        <f>_xlfn.XLOOKUP(C226,Tab_Def_Flows[Name(EN)],Tab_Def_Flows[Output_Process],,0,)</f>
        <v>0</v>
      </c>
      <c r="F226" s="10">
        <f>_xlfn.XLOOKUP(C226,Tab_Def_Flows[Name(EN)],Tab_Def_Flows[Process_ID_O],,0,)</f>
        <v>0</v>
      </c>
      <c r="G226" s="10">
        <f>_xlfn.XLOOKUP(C226,Tab_Def_Flows[Name(EN)],Tab_Def_Flows[Input_Process],,0,)</f>
        <v>0</v>
      </c>
      <c r="H226" s="18">
        <f>_xlfn.XLOOKUP(C226,Tab_Def_Flows[Name(EN)],Tab_Def_Flows[Process_ID_I],,0,)</f>
        <v>0</v>
      </c>
      <c r="I226" s="18" t="e">
        <f>_xlfn.XLOOKUP(C226,Tab_Def_Flows[Name(EN)],#REF!,,0,)</f>
        <v>#REF!</v>
      </c>
      <c r="J226" s="18">
        <f>_xlfn.XLOOKUP(C226,Tab_Def_Flows[Name(EN)],Tab_Def_Flows[WC?],,0,)</f>
        <v>0</v>
      </c>
      <c r="K226" s="18">
        <f>_xlfn.XLOOKUP(C226,Tab_Def_Flows[Name(EN)],Tab_Def_Flows[DM?],,0,)</f>
        <v>0</v>
      </c>
      <c r="L226" s="18">
        <f>_xlfn.XLOOKUP(C226,Tab_Def_Flows[Name(EN)],Tab_Def_Flows[CC?],,0,)</f>
        <v>0</v>
      </c>
      <c r="M226" s="12"/>
      <c r="N226" s="12"/>
      <c r="O226" s="50"/>
      <c r="P226" s="12"/>
      <c r="Q226" s="12"/>
      <c r="R226" s="12"/>
      <c r="S226" s="12"/>
      <c r="T226" s="12"/>
      <c r="U226" s="12"/>
      <c r="V226" s="12"/>
      <c r="W226" s="12"/>
      <c r="X226" s="12" t="s">
        <v>8</v>
      </c>
      <c r="Y226" s="43"/>
      <c r="Z226" s="12"/>
      <c r="AA226" s="36">
        <f t="shared" si="7"/>
        <v>0</v>
      </c>
      <c r="AB226" s="12" t="s">
        <v>283</v>
      </c>
      <c r="AC226" s="193">
        <f>INDEX(Tab_Def_Flows[[Flow_ID]:[CC_DM_source]],MATCH(Tab_Data_Flows[[#This Row],[Name(EN)]],Tab_Def_Flows[Name(EN)],0),13)</f>
        <v>0</v>
      </c>
      <c r="AD226" s="10" t="str">
        <f>IF(J226="Yes",AA226*Tab_Data_Flows[[#This Row],[WC_'[%']]],"N.A.")</f>
        <v>N.A.</v>
      </c>
      <c r="AE226" s="10" t="str">
        <f>Tab_Data_Flows[[#This Row],[UoM_Flow_Py]]</f>
        <v>Mg</v>
      </c>
      <c r="AF226" s="193">
        <f>INDEX(Tab_Def_Flows[[Flow_ID]:[CC_DM_source]],MATCH(Tab_Data_Flows[[#This Row],[Name(EN)]],Tab_Def_Flows[Name(EN)],0),15)</f>
        <v>0</v>
      </c>
      <c r="AG226" s="10" t="str">
        <f>IF(K226="Yes",AF226*Tab_Data_Flows[[#This Row],[Flow_Py]],"N.A.")</f>
        <v>N.A.</v>
      </c>
      <c r="AH226" s="10" t="str">
        <f>Tab_Data_Flows[[#This Row],[UoM_Flow_Py]]</f>
        <v>Mg</v>
      </c>
      <c r="AI226" s="193">
        <f>INDEX(Tab_Def_Flows[[Flow_ID]:[CC_DM_source]],MATCH(Tab_Data_Flows[[#This Row],[Name(EN)]],Tab_Def_Flows[Name(EN)],0),17)</f>
        <v>0</v>
      </c>
      <c r="AJ226" s="10" t="str">
        <f>IF(L226="Yes",AI226*Tab_Data_Flows[[#This Row],[Flow_Py]]*Tab_Data_Flows[[#This Row],[DM_'[%']]],"N.A.")</f>
        <v>N.A.</v>
      </c>
      <c r="AK226" s="10" t="str">
        <f>Tab_Data_Flows[[#This Row],[UoM_Flow_Py]]</f>
        <v>Mg</v>
      </c>
    </row>
    <row r="227" spans="1:37" x14ac:dyDescent="0.25">
      <c r="A227" s="17">
        <f t="shared" si="6"/>
        <v>226</v>
      </c>
      <c r="B227" s="10" t="str">
        <f>_xlfn.XLOOKUP(C227,Tab_Def_Flows[Name(EN)],Tab_Def_Flows[Flow_ID],,0,)</f>
        <v>N.A.</v>
      </c>
      <c r="C227" s="12" t="s">
        <v>35</v>
      </c>
      <c r="D227" s="10">
        <f>_xlfn.XLOOKUP(C227,Tab_Def_Flows[Name(EN)],Tab_Def_Flows[Type_Biomass],,0,)</f>
        <v>0</v>
      </c>
      <c r="E227" s="10">
        <f>_xlfn.XLOOKUP(C227,Tab_Def_Flows[Name(EN)],Tab_Def_Flows[Output_Process],,0,)</f>
        <v>0</v>
      </c>
      <c r="F227" s="10">
        <f>_xlfn.XLOOKUP(C227,Tab_Def_Flows[Name(EN)],Tab_Def_Flows[Process_ID_O],,0,)</f>
        <v>0</v>
      </c>
      <c r="G227" s="10">
        <f>_xlfn.XLOOKUP(C227,Tab_Def_Flows[Name(EN)],Tab_Def_Flows[Input_Process],,0,)</f>
        <v>0</v>
      </c>
      <c r="H227" s="18">
        <f>_xlfn.XLOOKUP(C227,Tab_Def_Flows[Name(EN)],Tab_Def_Flows[Process_ID_I],,0,)</f>
        <v>0</v>
      </c>
      <c r="I227" s="18" t="e">
        <f>_xlfn.XLOOKUP(C227,Tab_Def_Flows[Name(EN)],#REF!,,0,)</f>
        <v>#REF!</v>
      </c>
      <c r="J227" s="18">
        <f>_xlfn.XLOOKUP(C227,Tab_Def_Flows[Name(EN)],Tab_Def_Flows[WC?],,0,)</f>
        <v>0</v>
      </c>
      <c r="K227" s="18">
        <f>_xlfn.XLOOKUP(C227,Tab_Def_Flows[Name(EN)],Tab_Def_Flows[DM?],,0,)</f>
        <v>0</v>
      </c>
      <c r="L227" s="18">
        <f>_xlfn.XLOOKUP(C227,Tab_Def_Flows[Name(EN)],Tab_Def_Flows[CC?],,0,)</f>
        <v>0</v>
      </c>
      <c r="M227" s="12"/>
      <c r="N227" s="12"/>
      <c r="O227" s="50"/>
      <c r="P227" s="12"/>
      <c r="Q227" s="12"/>
      <c r="R227" s="12"/>
      <c r="S227" s="12"/>
      <c r="T227" s="12"/>
      <c r="U227" s="12"/>
      <c r="V227" s="12"/>
      <c r="W227" s="12"/>
      <c r="X227" s="12" t="s">
        <v>8</v>
      </c>
      <c r="Y227" s="43"/>
      <c r="Z227" s="12"/>
      <c r="AA227" s="36">
        <f t="shared" si="7"/>
        <v>0</v>
      </c>
      <c r="AB227" s="12" t="s">
        <v>283</v>
      </c>
      <c r="AC227" s="193">
        <f>INDEX(Tab_Def_Flows[[Flow_ID]:[CC_DM_source]],MATCH(Tab_Data_Flows[[#This Row],[Name(EN)]],Tab_Def_Flows[Name(EN)],0),13)</f>
        <v>0</v>
      </c>
      <c r="AD227" s="10" t="str">
        <f>IF(J227="Yes",AA227*Tab_Data_Flows[[#This Row],[WC_'[%']]],"N.A.")</f>
        <v>N.A.</v>
      </c>
      <c r="AE227" s="10" t="str">
        <f>Tab_Data_Flows[[#This Row],[UoM_Flow_Py]]</f>
        <v>Mg</v>
      </c>
      <c r="AF227" s="193">
        <f>INDEX(Tab_Def_Flows[[Flow_ID]:[CC_DM_source]],MATCH(Tab_Data_Flows[[#This Row],[Name(EN)]],Tab_Def_Flows[Name(EN)],0),15)</f>
        <v>0</v>
      </c>
      <c r="AG227" s="10" t="str">
        <f>IF(K227="Yes",AF227*Tab_Data_Flows[[#This Row],[Flow_Py]],"N.A.")</f>
        <v>N.A.</v>
      </c>
      <c r="AH227" s="10" t="str">
        <f>Tab_Data_Flows[[#This Row],[UoM_Flow_Py]]</f>
        <v>Mg</v>
      </c>
      <c r="AI227" s="193">
        <f>INDEX(Tab_Def_Flows[[Flow_ID]:[CC_DM_source]],MATCH(Tab_Data_Flows[[#This Row],[Name(EN)]],Tab_Def_Flows[Name(EN)],0),17)</f>
        <v>0</v>
      </c>
      <c r="AJ227" s="10" t="str">
        <f>IF(L227="Yes",AI227*Tab_Data_Flows[[#This Row],[Flow_Py]]*Tab_Data_Flows[[#This Row],[DM_'[%']]],"N.A.")</f>
        <v>N.A.</v>
      </c>
      <c r="AK227" s="10" t="str">
        <f>Tab_Data_Flows[[#This Row],[UoM_Flow_Py]]</f>
        <v>Mg</v>
      </c>
    </row>
    <row r="228" spans="1:37" x14ac:dyDescent="0.25">
      <c r="A228" s="17">
        <f t="shared" si="6"/>
        <v>227</v>
      </c>
      <c r="B228" s="10" t="str">
        <f>_xlfn.XLOOKUP(C228,Tab_Def_Flows[Name(EN)],Tab_Def_Flows[Flow_ID],,0,)</f>
        <v>N.A.</v>
      </c>
      <c r="C228" s="12" t="s">
        <v>35</v>
      </c>
      <c r="D228" s="10">
        <f>_xlfn.XLOOKUP(C228,Tab_Def_Flows[Name(EN)],Tab_Def_Flows[Type_Biomass],,0,)</f>
        <v>0</v>
      </c>
      <c r="E228" s="10">
        <f>_xlfn.XLOOKUP(C228,Tab_Def_Flows[Name(EN)],Tab_Def_Flows[Output_Process],,0,)</f>
        <v>0</v>
      </c>
      <c r="F228" s="10">
        <f>_xlfn.XLOOKUP(C228,Tab_Def_Flows[Name(EN)],Tab_Def_Flows[Process_ID_O],,0,)</f>
        <v>0</v>
      </c>
      <c r="G228" s="10">
        <f>_xlfn.XLOOKUP(C228,Tab_Def_Flows[Name(EN)],Tab_Def_Flows[Input_Process],,0,)</f>
        <v>0</v>
      </c>
      <c r="H228" s="18">
        <f>_xlfn.XLOOKUP(C228,Tab_Def_Flows[Name(EN)],Tab_Def_Flows[Process_ID_I],,0,)</f>
        <v>0</v>
      </c>
      <c r="I228" s="18" t="e">
        <f>_xlfn.XLOOKUP(C228,Tab_Def_Flows[Name(EN)],#REF!,,0,)</f>
        <v>#REF!</v>
      </c>
      <c r="J228" s="18">
        <f>_xlfn.XLOOKUP(C228,Tab_Def_Flows[Name(EN)],Tab_Def_Flows[WC?],,0,)</f>
        <v>0</v>
      </c>
      <c r="K228" s="18">
        <f>_xlfn.XLOOKUP(C228,Tab_Def_Flows[Name(EN)],Tab_Def_Flows[DM?],,0,)</f>
        <v>0</v>
      </c>
      <c r="L228" s="18">
        <f>_xlfn.XLOOKUP(C228,Tab_Def_Flows[Name(EN)],Tab_Def_Flows[CC?],,0,)</f>
        <v>0</v>
      </c>
      <c r="M228" s="12"/>
      <c r="N228" s="12"/>
      <c r="O228" s="50"/>
      <c r="P228" s="12"/>
      <c r="Q228" s="12"/>
      <c r="R228" s="12"/>
      <c r="S228" s="12"/>
      <c r="T228" s="12"/>
      <c r="U228" s="12"/>
      <c r="V228" s="12"/>
      <c r="W228" s="12"/>
      <c r="X228" s="12" t="s">
        <v>8</v>
      </c>
      <c r="Y228" s="43"/>
      <c r="Z228" s="12"/>
      <c r="AA228" s="36">
        <f t="shared" si="7"/>
        <v>0</v>
      </c>
      <c r="AB228" s="12" t="s">
        <v>283</v>
      </c>
      <c r="AC228" s="193">
        <f>INDEX(Tab_Def_Flows[[Flow_ID]:[CC_DM_source]],MATCH(Tab_Data_Flows[[#This Row],[Name(EN)]],Tab_Def_Flows[Name(EN)],0),13)</f>
        <v>0</v>
      </c>
      <c r="AD228" s="10" t="str">
        <f>IF(J228="Yes",AA228*Tab_Data_Flows[[#This Row],[WC_'[%']]],"N.A.")</f>
        <v>N.A.</v>
      </c>
      <c r="AE228" s="10" t="str">
        <f>Tab_Data_Flows[[#This Row],[UoM_Flow_Py]]</f>
        <v>Mg</v>
      </c>
      <c r="AF228" s="193">
        <f>INDEX(Tab_Def_Flows[[Flow_ID]:[CC_DM_source]],MATCH(Tab_Data_Flows[[#This Row],[Name(EN)]],Tab_Def_Flows[Name(EN)],0),15)</f>
        <v>0</v>
      </c>
      <c r="AG228" s="10" t="str">
        <f>IF(K228="Yes",AF228*Tab_Data_Flows[[#This Row],[Flow_Py]],"N.A.")</f>
        <v>N.A.</v>
      </c>
      <c r="AH228" s="10" t="str">
        <f>Tab_Data_Flows[[#This Row],[UoM_Flow_Py]]</f>
        <v>Mg</v>
      </c>
      <c r="AI228" s="193">
        <f>INDEX(Tab_Def_Flows[[Flow_ID]:[CC_DM_source]],MATCH(Tab_Data_Flows[[#This Row],[Name(EN)]],Tab_Def_Flows[Name(EN)],0),17)</f>
        <v>0</v>
      </c>
      <c r="AJ228" s="10" t="str">
        <f>IF(L228="Yes",AI228*Tab_Data_Flows[[#This Row],[Flow_Py]]*Tab_Data_Flows[[#This Row],[DM_'[%']]],"N.A.")</f>
        <v>N.A.</v>
      </c>
      <c r="AK228" s="10" t="str">
        <f>Tab_Data_Flows[[#This Row],[UoM_Flow_Py]]</f>
        <v>Mg</v>
      </c>
    </row>
    <row r="229" spans="1:37" x14ac:dyDescent="0.25">
      <c r="A229" s="17">
        <f t="shared" si="6"/>
        <v>228</v>
      </c>
      <c r="B229" s="10" t="str">
        <f>_xlfn.XLOOKUP(C229,Tab_Def_Flows[Name(EN)],Tab_Def_Flows[Flow_ID],,0,)</f>
        <v>N.A.</v>
      </c>
      <c r="C229" s="12" t="s">
        <v>35</v>
      </c>
      <c r="D229" s="10">
        <f>_xlfn.XLOOKUP(C229,Tab_Def_Flows[Name(EN)],Tab_Def_Flows[Type_Biomass],,0,)</f>
        <v>0</v>
      </c>
      <c r="E229" s="10">
        <f>_xlfn.XLOOKUP(C229,Tab_Def_Flows[Name(EN)],Tab_Def_Flows[Output_Process],,0,)</f>
        <v>0</v>
      </c>
      <c r="F229" s="10">
        <f>_xlfn.XLOOKUP(C229,Tab_Def_Flows[Name(EN)],Tab_Def_Flows[Process_ID_O],,0,)</f>
        <v>0</v>
      </c>
      <c r="G229" s="10">
        <f>_xlfn.XLOOKUP(C229,Tab_Def_Flows[Name(EN)],Tab_Def_Flows[Input_Process],,0,)</f>
        <v>0</v>
      </c>
      <c r="H229" s="18">
        <f>_xlfn.XLOOKUP(C229,Tab_Def_Flows[Name(EN)],Tab_Def_Flows[Process_ID_I],,0,)</f>
        <v>0</v>
      </c>
      <c r="I229" s="18" t="e">
        <f>_xlfn.XLOOKUP(C229,Tab_Def_Flows[Name(EN)],#REF!,,0,)</f>
        <v>#REF!</v>
      </c>
      <c r="J229" s="18">
        <f>_xlfn.XLOOKUP(C229,Tab_Def_Flows[Name(EN)],Tab_Def_Flows[WC?],,0,)</f>
        <v>0</v>
      </c>
      <c r="K229" s="18">
        <f>_xlfn.XLOOKUP(C229,Tab_Def_Flows[Name(EN)],Tab_Def_Flows[DM?],,0,)</f>
        <v>0</v>
      </c>
      <c r="L229" s="18">
        <f>_xlfn.XLOOKUP(C229,Tab_Def_Flows[Name(EN)],Tab_Def_Flows[CC?],,0,)</f>
        <v>0</v>
      </c>
      <c r="M229" s="12"/>
      <c r="N229" s="12"/>
      <c r="O229" s="50"/>
      <c r="P229" s="12"/>
      <c r="Q229" s="12"/>
      <c r="R229" s="12"/>
      <c r="S229" s="12"/>
      <c r="T229" s="12"/>
      <c r="U229" s="12"/>
      <c r="V229" s="12"/>
      <c r="W229" s="12"/>
      <c r="X229" s="12" t="s">
        <v>8</v>
      </c>
      <c r="Y229" s="43"/>
      <c r="Z229" s="12"/>
      <c r="AA229" s="36">
        <f t="shared" si="7"/>
        <v>0</v>
      </c>
      <c r="AB229" s="12" t="s">
        <v>283</v>
      </c>
      <c r="AC229" s="193">
        <f>INDEX(Tab_Def_Flows[[Flow_ID]:[CC_DM_source]],MATCH(Tab_Data_Flows[[#This Row],[Name(EN)]],Tab_Def_Flows[Name(EN)],0),13)</f>
        <v>0</v>
      </c>
      <c r="AD229" s="10" t="str">
        <f>IF(J229="Yes",AA229*Tab_Data_Flows[[#This Row],[WC_'[%']]],"N.A.")</f>
        <v>N.A.</v>
      </c>
      <c r="AE229" s="10" t="str">
        <f>Tab_Data_Flows[[#This Row],[UoM_Flow_Py]]</f>
        <v>Mg</v>
      </c>
      <c r="AF229" s="193">
        <f>INDEX(Tab_Def_Flows[[Flow_ID]:[CC_DM_source]],MATCH(Tab_Data_Flows[[#This Row],[Name(EN)]],Tab_Def_Flows[Name(EN)],0),15)</f>
        <v>0</v>
      </c>
      <c r="AG229" s="10" t="str">
        <f>IF(K229="Yes",AF229*Tab_Data_Flows[[#This Row],[Flow_Py]],"N.A.")</f>
        <v>N.A.</v>
      </c>
      <c r="AH229" s="10" t="str">
        <f>Tab_Data_Flows[[#This Row],[UoM_Flow_Py]]</f>
        <v>Mg</v>
      </c>
      <c r="AI229" s="193">
        <f>INDEX(Tab_Def_Flows[[Flow_ID]:[CC_DM_source]],MATCH(Tab_Data_Flows[[#This Row],[Name(EN)]],Tab_Def_Flows[Name(EN)],0),17)</f>
        <v>0</v>
      </c>
      <c r="AJ229" s="10" t="str">
        <f>IF(L229="Yes",AI229*Tab_Data_Flows[[#This Row],[Flow_Py]]*Tab_Data_Flows[[#This Row],[DM_'[%']]],"N.A.")</f>
        <v>N.A.</v>
      </c>
      <c r="AK229" s="10" t="str">
        <f>Tab_Data_Flows[[#This Row],[UoM_Flow_Py]]</f>
        <v>Mg</v>
      </c>
    </row>
    <row r="230" spans="1:37" x14ac:dyDescent="0.25">
      <c r="A230" s="17">
        <f t="shared" si="6"/>
        <v>229</v>
      </c>
      <c r="B230" s="10" t="str">
        <f>_xlfn.XLOOKUP(C230,Tab_Def_Flows[Name(EN)],Tab_Def_Flows[Flow_ID],,0,)</f>
        <v>N.A.</v>
      </c>
      <c r="C230" s="12" t="s">
        <v>35</v>
      </c>
      <c r="D230" s="10">
        <f>_xlfn.XLOOKUP(C230,Tab_Def_Flows[Name(EN)],Tab_Def_Flows[Type_Biomass],,0,)</f>
        <v>0</v>
      </c>
      <c r="E230" s="10">
        <f>_xlfn.XLOOKUP(C230,Tab_Def_Flows[Name(EN)],Tab_Def_Flows[Output_Process],,0,)</f>
        <v>0</v>
      </c>
      <c r="F230" s="10">
        <f>_xlfn.XLOOKUP(C230,Tab_Def_Flows[Name(EN)],Tab_Def_Flows[Process_ID_O],,0,)</f>
        <v>0</v>
      </c>
      <c r="G230" s="10">
        <f>_xlfn.XLOOKUP(C230,Tab_Def_Flows[Name(EN)],Tab_Def_Flows[Input_Process],,0,)</f>
        <v>0</v>
      </c>
      <c r="H230" s="18">
        <f>_xlfn.XLOOKUP(C230,Tab_Def_Flows[Name(EN)],Tab_Def_Flows[Process_ID_I],,0,)</f>
        <v>0</v>
      </c>
      <c r="I230" s="18" t="e">
        <f>_xlfn.XLOOKUP(C230,Tab_Def_Flows[Name(EN)],#REF!,,0,)</f>
        <v>#REF!</v>
      </c>
      <c r="J230" s="18">
        <f>_xlfn.XLOOKUP(C230,Tab_Def_Flows[Name(EN)],Tab_Def_Flows[WC?],,0,)</f>
        <v>0</v>
      </c>
      <c r="K230" s="18">
        <f>_xlfn.XLOOKUP(C230,Tab_Def_Flows[Name(EN)],Tab_Def_Flows[DM?],,0,)</f>
        <v>0</v>
      </c>
      <c r="L230" s="18">
        <f>_xlfn.XLOOKUP(C230,Tab_Def_Flows[Name(EN)],Tab_Def_Flows[CC?],,0,)</f>
        <v>0</v>
      </c>
      <c r="M230" s="12"/>
      <c r="N230" s="12"/>
      <c r="O230" s="50"/>
      <c r="P230" s="12"/>
      <c r="Q230" s="12"/>
      <c r="R230" s="12"/>
      <c r="S230" s="12"/>
      <c r="T230" s="12"/>
      <c r="U230" s="12"/>
      <c r="V230" s="12"/>
      <c r="W230" s="12"/>
      <c r="X230" s="12" t="s">
        <v>8</v>
      </c>
      <c r="Y230" s="43"/>
      <c r="Z230" s="12"/>
      <c r="AA230" s="36">
        <f t="shared" si="7"/>
        <v>0</v>
      </c>
      <c r="AB230" s="12" t="s">
        <v>283</v>
      </c>
      <c r="AC230" s="193">
        <f>INDEX(Tab_Def_Flows[[Flow_ID]:[CC_DM_source]],MATCH(Tab_Data_Flows[[#This Row],[Name(EN)]],Tab_Def_Flows[Name(EN)],0),13)</f>
        <v>0</v>
      </c>
      <c r="AD230" s="10" t="str">
        <f>IF(J230="Yes",AA230*Tab_Data_Flows[[#This Row],[WC_'[%']]],"N.A.")</f>
        <v>N.A.</v>
      </c>
      <c r="AE230" s="10" t="str">
        <f>Tab_Data_Flows[[#This Row],[UoM_Flow_Py]]</f>
        <v>Mg</v>
      </c>
      <c r="AF230" s="193">
        <f>INDEX(Tab_Def_Flows[[Flow_ID]:[CC_DM_source]],MATCH(Tab_Data_Flows[[#This Row],[Name(EN)]],Tab_Def_Flows[Name(EN)],0),15)</f>
        <v>0</v>
      </c>
      <c r="AG230" s="10" t="str">
        <f>IF(K230="Yes",AF230*Tab_Data_Flows[[#This Row],[Flow_Py]],"N.A.")</f>
        <v>N.A.</v>
      </c>
      <c r="AH230" s="10" t="str">
        <f>Tab_Data_Flows[[#This Row],[UoM_Flow_Py]]</f>
        <v>Mg</v>
      </c>
      <c r="AI230" s="193">
        <f>INDEX(Tab_Def_Flows[[Flow_ID]:[CC_DM_source]],MATCH(Tab_Data_Flows[[#This Row],[Name(EN)]],Tab_Def_Flows[Name(EN)],0),17)</f>
        <v>0</v>
      </c>
      <c r="AJ230" s="10" t="str">
        <f>IF(L230="Yes",AI230*Tab_Data_Flows[[#This Row],[Flow_Py]]*Tab_Data_Flows[[#This Row],[DM_'[%']]],"N.A.")</f>
        <v>N.A.</v>
      </c>
      <c r="AK230" s="10" t="str">
        <f>Tab_Data_Flows[[#This Row],[UoM_Flow_Py]]</f>
        <v>Mg</v>
      </c>
    </row>
    <row r="231" spans="1:37" x14ac:dyDescent="0.25">
      <c r="A231" s="17">
        <f t="shared" si="6"/>
        <v>230</v>
      </c>
      <c r="B231" s="10" t="str">
        <f>_xlfn.XLOOKUP(C231,Tab_Def_Flows[Name(EN)],Tab_Def_Flows[Flow_ID],,0,)</f>
        <v>N.A.</v>
      </c>
      <c r="C231" s="12" t="s">
        <v>35</v>
      </c>
      <c r="D231" s="10">
        <f>_xlfn.XLOOKUP(C231,Tab_Def_Flows[Name(EN)],Tab_Def_Flows[Type_Biomass],,0,)</f>
        <v>0</v>
      </c>
      <c r="E231" s="10">
        <f>_xlfn.XLOOKUP(C231,Tab_Def_Flows[Name(EN)],Tab_Def_Flows[Output_Process],,0,)</f>
        <v>0</v>
      </c>
      <c r="F231" s="10">
        <f>_xlfn.XLOOKUP(C231,Tab_Def_Flows[Name(EN)],Tab_Def_Flows[Process_ID_O],,0,)</f>
        <v>0</v>
      </c>
      <c r="G231" s="10">
        <f>_xlfn.XLOOKUP(C231,Tab_Def_Flows[Name(EN)],Tab_Def_Flows[Input_Process],,0,)</f>
        <v>0</v>
      </c>
      <c r="H231" s="18">
        <f>_xlfn.XLOOKUP(C231,Tab_Def_Flows[Name(EN)],Tab_Def_Flows[Process_ID_I],,0,)</f>
        <v>0</v>
      </c>
      <c r="I231" s="18" t="e">
        <f>_xlfn.XLOOKUP(C231,Tab_Def_Flows[Name(EN)],#REF!,,0,)</f>
        <v>#REF!</v>
      </c>
      <c r="J231" s="18">
        <f>_xlfn.XLOOKUP(C231,Tab_Def_Flows[Name(EN)],Tab_Def_Flows[WC?],,0,)</f>
        <v>0</v>
      </c>
      <c r="K231" s="18">
        <f>_xlfn.XLOOKUP(C231,Tab_Def_Flows[Name(EN)],Tab_Def_Flows[DM?],,0,)</f>
        <v>0</v>
      </c>
      <c r="L231" s="18">
        <f>_xlfn.XLOOKUP(C231,Tab_Def_Flows[Name(EN)],Tab_Def_Flows[CC?],,0,)</f>
        <v>0</v>
      </c>
      <c r="M231" s="12"/>
      <c r="N231" s="12"/>
      <c r="O231" s="50"/>
      <c r="P231" s="12"/>
      <c r="Q231" s="12"/>
      <c r="R231" s="12"/>
      <c r="S231" s="12"/>
      <c r="T231" s="12"/>
      <c r="U231" s="12"/>
      <c r="V231" s="12"/>
      <c r="W231" s="12"/>
      <c r="X231" s="12" t="s">
        <v>8</v>
      </c>
      <c r="Y231" s="43"/>
      <c r="Z231" s="12"/>
      <c r="AA231" s="36">
        <f t="shared" si="7"/>
        <v>0</v>
      </c>
      <c r="AB231" s="12" t="s">
        <v>283</v>
      </c>
      <c r="AC231" s="193">
        <f>INDEX(Tab_Def_Flows[[Flow_ID]:[CC_DM_source]],MATCH(Tab_Data_Flows[[#This Row],[Name(EN)]],Tab_Def_Flows[Name(EN)],0),13)</f>
        <v>0</v>
      </c>
      <c r="AD231" s="10" t="str">
        <f>IF(J231="Yes",AA231*Tab_Data_Flows[[#This Row],[WC_'[%']]],"N.A.")</f>
        <v>N.A.</v>
      </c>
      <c r="AE231" s="10" t="str">
        <f>Tab_Data_Flows[[#This Row],[UoM_Flow_Py]]</f>
        <v>Mg</v>
      </c>
      <c r="AF231" s="193">
        <f>INDEX(Tab_Def_Flows[[Flow_ID]:[CC_DM_source]],MATCH(Tab_Data_Flows[[#This Row],[Name(EN)]],Tab_Def_Flows[Name(EN)],0),15)</f>
        <v>0</v>
      </c>
      <c r="AG231" s="10" t="str">
        <f>IF(K231="Yes",AF231*Tab_Data_Flows[[#This Row],[Flow_Py]],"N.A.")</f>
        <v>N.A.</v>
      </c>
      <c r="AH231" s="10" t="str">
        <f>Tab_Data_Flows[[#This Row],[UoM_Flow_Py]]</f>
        <v>Mg</v>
      </c>
      <c r="AI231" s="193">
        <f>INDEX(Tab_Def_Flows[[Flow_ID]:[CC_DM_source]],MATCH(Tab_Data_Flows[[#This Row],[Name(EN)]],Tab_Def_Flows[Name(EN)],0),17)</f>
        <v>0</v>
      </c>
      <c r="AJ231" s="10" t="str">
        <f>IF(L231="Yes",AI231*Tab_Data_Flows[[#This Row],[Flow_Py]]*Tab_Data_Flows[[#This Row],[DM_'[%']]],"N.A.")</f>
        <v>N.A.</v>
      </c>
      <c r="AK231" s="10" t="str">
        <f>Tab_Data_Flows[[#This Row],[UoM_Flow_Py]]</f>
        <v>Mg</v>
      </c>
    </row>
    <row r="232" spans="1:37" x14ac:dyDescent="0.25">
      <c r="A232" s="17">
        <f t="shared" si="6"/>
        <v>231</v>
      </c>
      <c r="B232" s="10" t="str">
        <f>_xlfn.XLOOKUP(C232,Tab_Def_Flows[Name(EN)],Tab_Def_Flows[Flow_ID],,0,)</f>
        <v>N.A.</v>
      </c>
      <c r="C232" s="12" t="s">
        <v>35</v>
      </c>
      <c r="D232" s="10">
        <f>_xlfn.XLOOKUP(C232,Tab_Def_Flows[Name(EN)],Tab_Def_Flows[Type_Biomass],,0,)</f>
        <v>0</v>
      </c>
      <c r="E232" s="10">
        <f>_xlfn.XLOOKUP(C232,Tab_Def_Flows[Name(EN)],Tab_Def_Flows[Output_Process],,0,)</f>
        <v>0</v>
      </c>
      <c r="F232" s="10">
        <f>_xlfn.XLOOKUP(C232,Tab_Def_Flows[Name(EN)],Tab_Def_Flows[Process_ID_O],,0,)</f>
        <v>0</v>
      </c>
      <c r="G232" s="10">
        <f>_xlfn.XLOOKUP(C232,Tab_Def_Flows[Name(EN)],Tab_Def_Flows[Input_Process],,0,)</f>
        <v>0</v>
      </c>
      <c r="H232" s="18">
        <f>_xlfn.XLOOKUP(C232,Tab_Def_Flows[Name(EN)],Tab_Def_Flows[Process_ID_I],,0,)</f>
        <v>0</v>
      </c>
      <c r="I232" s="18" t="e">
        <f>_xlfn.XLOOKUP(C232,Tab_Def_Flows[Name(EN)],#REF!,,0,)</f>
        <v>#REF!</v>
      </c>
      <c r="J232" s="18">
        <f>_xlfn.XLOOKUP(C232,Tab_Def_Flows[Name(EN)],Tab_Def_Flows[WC?],,0,)</f>
        <v>0</v>
      </c>
      <c r="K232" s="18">
        <f>_xlfn.XLOOKUP(C232,Tab_Def_Flows[Name(EN)],Tab_Def_Flows[DM?],,0,)</f>
        <v>0</v>
      </c>
      <c r="L232" s="18">
        <f>_xlfn.XLOOKUP(C232,Tab_Def_Flows[Name(EN)],Tab_Def_Flows[CC?],,0,)</f>
        <v>0</v>
      </c>
      <c r="M232" s="12"/>
      <c r="N232" s="12"/>
      <c r="O232" s="50"/>
      <c r="P232" s="12"/>
      <c r="Q232" s="12"/>
      <c r="R232" s="12"/>
      <c r="S232" s="12"/>
      <c r="T232" s="12"/>
      <c r="U232" s="12"/>
      <c r="V232" s="12"/>
      <c r="W232" s="12"/>
      <c r="X232" s="12" t="s">
        <v>8</v>
      </c>
      <c r="Y232" s="43"/>
      <c r="Z232" s="12"/>
      <c r="AA232" s="36">
        <f t="shared" si="7"/>
        <v>0</v>
      </c>
      <c r="AB232" s="12" t="s">
        <v>283</v>
      </c>
      <c r="AC232" s="193">
        <f>INDEX(Tab_Def_Flows[[Flow_ID]:[CC_DM_source]],MATCH(Tab_Data_Flows[[#This Row],[Name(EN)]],Tab_Def_Flows[Name(EN)],0),13)</f>
        <v>0</v>
      </c>
      <c r="AD232" s="10" t="str">
        <f>IF(J232="Yes",AA232*Tab_Data_Flows[[#This Row],[WC_'[%']]],"N.A.")</f>
        <v>N.A.</v>
      </c>
      <c r="AE232" s="10" t="str">
        <f>Tab_Data_Flows[[#This Row],[UoM_Flow_Py]]</f>
        <v>Mg</v>
      </c>
      <c r="AF232" s="193">
        <f>INDEX(Tab_Def_Flows[[Flow_ID]:[CC_DM_source]],MATCH(Tab_Data_Flows[[#This Row],[Name(EN)]],Tab_Def_Flows[Name(EN)],0),15)</f>
        <v>0</v>
      </c>
      <c r="AG232" s="10" t="str">
        <f>IF(K232="Yes",AF232*Tab_Data_Flows[[#This Row],[Flow_Py]],"N.A.")</f>
        <v>N.A.</v>
      </c>
      <c r="AH232" s="10" t="str">
        <f>Tab_Data_Flows[[#This Row],[UoM_Flow_Py]]</f>
        <v>Mg</v>
      </c>
      <c r="AI232" s="193">
        <f>INDEX(Tab_Def_Flows[[Flow_ID]:[CC_DM_source]],MATCH(Tab_Data_Flows[[#This Row],[Name(EN)]],Tab_Def_Flows[Name(EN)],0),17)</f>
        <v>0</v>
      </c>
      <c r="AJ232" s="10" t="str">
        <f>IF(L232="Yes",AI232*Tab_Data_Flows[[#This Row],[Flow_Py]]*Tab_Data_Flows[[#This Row],[DM_'[%']]],"N.A.")</f>
        <v>N.A.</v>
      </c>
      <c r="AK232" s="10" t="str">
        <f>Tab_Data_Flows[[#This Row],[UoM_Flow_Py]]</f>
        <v>Mg</v>
      </c>
    </row>
    <row r="233" spans="1:37" x14ac:dyDescent="0.25">
      <c r="A233" s="17">
        <f t="shared" si="6"/>
        <v>232</v>
      </c>
      <c r="B233" s="10" t="str">
        <f>_xlfn.XLOOKUP(C233,Tab_Def_Flows[Name(EN)],Tab_Def_Flows[Flow_ID],,0,)</f>
        <v>N.A.</v>
      </c>
      <c r="C233" s="12" t="s">
        <v>35</v>
      </c>
      <c r="D233" s="10">
        <f>_xlfn.XLOOKUP(C233,Tab_Def_Flows[Name(EN)],Tab_Def_Flows[Type_Biomass],,0,)</f>
        <v>0</v>
      </c>
      <c r="E233" s="10">
        <f>_xlfn.XLOOKUP(C233,Tab_Def_Flows[Name(EN)],Tab_Def_Flows[Output_Process],,0,)</f>
        <v>0</v>
      </c>
      <c r="F233" s="10">
        <f>_xlfn.XLOOKUP(C233,Tab_Def_Flows[Name(EN)],Tab_Def_Flows[Process_ID_O],,0,)</f>
        <v>0</v>
      </c>
      <c r="G233" s="10">
        <f>_xlfn.XLOOKUP(C233,Tab_Def_Flows[Name(EN)],Tab_Def_Flows[Input_Process],,0,)</f>
        <v>0</v>
      </c>
      <c r="H233" s="18">
        <f>_xlfn.XLOOKUP(C233,Tab_Def_Flows[Name(EN)],Tab_Def_Flows[Process_ID_I],,0,)</f>
        <v>0</v>
      </c>
      <c r="I233" s="10" t="e">
        <f>_xlfn.XLOOKUP(C233,Tab_Def_Flows[Name(EN)],#REF!,,0,)</f>
        <v>#REF!</v>
      </c>
      <c r="J233" s="18">
        <f>_xlfn.XLOOKUP(C233,Tab_Def_Flows[Name(EN)],Tab_Def_Flows[WC?],,0,)</f>
        <v>0</v>
      </c>
      <c r="K233" s="18">
        <f>_xlfn.XLOOKUP(C233,Tab_Def_Flows[Name(EN)],Tab_Def_Flows[DM?],,0,)</f>
        <v>0</v>
      </c>
      <c r="L233" s="18">
        <f>_xlfn.XLOOKUP(C233,Tab_Def_Flows[Name(EN)],Tab_Def_Flows[CC?],,0,)</f>
        <v>0</v>
      </c>
      <c r="M233" s="12"/>
      <c r="N233" s="12"/>
      <c r="O233" s="50"/>
      <c r="P233" s="12"/>
      <c r="Q233" s="12"/>
      <c r="R233" s="12"/>
      <c r="S233" s="12"/>
      <c r="T233" s="12"/>
      <c r="U233" s="12"/>
      <c r="V233" s="12"/>
      <c r="W233" s="12"/>
      <c r="X233" s="12" t="s">
        <v>8</v>
      </c>
      <c r="Y233" s="43"/>
      <c r="Z233" s="12"/>
      <c r="AA233" s="36">
        <f t="shared" si="7"/>
        <v>0</v>
      </c>
      <c r="AB233" s="12" t="s">
        <v>283</v>
      </c>
      <c r="AC233" s="193">
        <f>INDEX(Tab_Def_Flows[[Flow_ID]:[CC_DM_source]],MATCH(Tab_Data_Flows[[#This Row],[Name(EN)]],Tab_Def_Flows[Name(EN)],0),13)</f>
        <v>0</v>
      </c>
      <c r="AD233" s="10" t="str">
        <f>IF(J233="Yes",AA233*Tab_Data_Flows[[#This Row],[WC_'[%']]],"N.A.")</f>
        <v>N.A.</v>
      </c>
      <c r="AE233" s="10" t="str">
        <f>Tab_Data_Flows[[#This Row],[UoM_Flow_Py]]</f>
        <v>Mg</v>
      </c>
      <c r="AF233" s="193">
        <f>INDEX(Tab_Def_Flows[[Flow_ID]:[CC_DM_source]],MATCH(Tab_Data_Flows[[#This Row],[Name(EN)]],Tab_Def_Flows[Name(EN)],0),15)</f>
        <v>0</v>
      </c>
      <c r="AG233" s="10" t="str">
        <f>IF(K233="Yes",AF233*Tab_Data_Flows[[#This Row],[Flow_Py]],"N.A.")</f>
        <v>N.A.</v>
      </c>
      <c r="AH233" s="10" t="str">
        <f>Tab_Data_Flows[[#This Row],[UoM_Flow_Py]]</f>
        <v>Mg</v>
      </c>
      <c r="AI233" s="193">
        <f>INDEX(Tab_Def_Flows[[Flow_ID]:[CC_DM_source]],MATCH(Tab_Data_Flows[[#This Row],[Name(EN)]],Tab_Def_Flows[Name(EN)],0),17)</f>
        <v>0</v>
      </c>
      <c r="AJ233" s="10" t="str">
        <f>IF(L233="Yes",AI233*Tab_Data_Flows[[#This Row],[Flow_Py]]*Tab_Data_Flows[[#This Row],[DM_'[%']]],"N.A.")</f>
        <v>N.A.</v>
      </c>
      <c r="AK233" s="10" t="str">
        <f>Tab_Data_Flows[[#This Row],[UoM_Flow_Py]]</f>
        <v>Mg</v>
      </c>
    </row>
    <row r="234" spans="1:37" x14ac:dyDescent="0.25">
      <c r="A234" s="17">
        <f t="shared" si="6"/>
        <v>233</v>
      </c>
      <c r="B234" s="10" t="str">
        <f>_xlfn.XLOOKUP(C234,Tab_Def_Flows[Name(EN)],Tab_Def_Flows[Flow_ID],,0,)</f>
        <v>N.A.</v>
      </c>
      <c r="C234" s="12" t="s">
        <v>35</v>
      </c>
      <c r="D234" s="10">
        <f>_xlfn.XLOOKUP(C234,Tab_Def_Flows[Name(EN)],Tab_Def_Flows[Type_Biomass],,0,)</f>
        <v>0</v>
      </c>
      <c r="E234" s="10">
        <f>_xlfn.XLOOKUP(C234,Tab_Def_Flows[Name(EN)],Tab_Def_Flows[Output_Process],,0,)</f>
        <v>0</v>
      </c>
      <c r="F234" s="10">
        <f>_xlfn.XLOOKUP(C234,Tab_Def_Flows[Name(EN)],Tab_Def_Flows[Process_ID_O],,0,)</f>
        <v>0</v>
      </c>
      <c r="G234" s="10">
        <f>_xlfn.XLOOKUP(C234,Tab_Def_Flows[Name(EN)],Tab_Def_Flows[Input_Process],,0,)</f>
        <v>0</v>
      </c>
      <c r="H234" s="18">
        <f>_xlfn.XLOOKUP(C234,Tab_Def_Flows[Name(EN)],Tab_Def_Flows[Process_ID_I],,0,)</f>
        <v>0</v>
      </c>
      <c r="I234" s="10" t="e">
        <f>_xlfn.XLOOKUP(C234,Tab_Def_Flows[Name(EN)],#REF!,,0,)</f>
        <v>#REF!</v>
      </c>
      <c r="J234" s="18">
        <f>_xlfn.XLOOKUP(C234,Tab_Def_Flows[Name(EN)],Tab_Def_Flows[WC?],,0,)</f>
        <v>0</v>
      </c>
      <c r="K234" s="18">
        <f>_xlfn.XLOOKUP(C234,Tab_Def_Flows[Name(EN)],Tab_Def_Flows[DM?],,0,)</f>
        <v>0</v>
      </c>
      <c r="L234" s="18">
        <f>_xlfn.XLOOKUP(C234,Tab_Def_Flows[Name(EN)],Tab_Def_Flows[CC?],,0,)</f>
        <v>0</v>
      </c>
      <c r="M234" s="12"/>
      <c r="N234" s="12"/>
      <c r="O234" s="50"/>
      <c r="P234" s="12"/>
      <c r="Q234" s="12"/>
      <c r="R234" s="12"/>
      <c r="S234" s="12"/>
      <c r="T234" s="12"/>
      <c r="U234" s="12"/>
      <c r="V234" s="12"/>
      <c r="W234" s="12"/>
      <c r="X234" s="12" t="s">
        <v>8</v>
      </c>
      <c r="Y234" s="43"/>
      <c r="Z234" s="12"/>
      <c r="AA234" s="36">
        <f t="shared" si="7"/>
        <v>0</v>
      </c>
      <c r="AB234" s="12" t="s">
        <v>283</v>
      </c>
      <c r="AC234" s="193">
        <f>INDEX(Tab_Def_Flows[[Flow_ID]:[CC_DM_source]],MATCH(Tab_Data_Flows[[#This Row],[Name(EN)]],Tab_Def_Flows[Name(EN)],0),13)</f>
        <v>0</v>
      </c>
      <c r="AD234" s="10" t="str">
        <f>IF(J234="Yes",AA234*Tab_Data_Flows[[#This Row],[WC_'[%']]],"N.A.")</f>
        <v>N.A.</v>
      </c>
      <c r="AE234" s="10" t="str">
        <f>Tab_Data_Flows[[#This Row],[UoM_Flow_Py]]</f>
        <v>Mg</v>
      </c>
      <c r="AF234" s="193">
        <f>INDEX(Tab_Def_Flows[[Flow_ID]:[CC_DM_source]],MATCH(Tab_Data_Flows[[#This Row],[Name(EN)]],Tab_Def_Flows[Name(EN)],0),15)</f>
        <v>0</v>
      </c>
      <c r="AG234" s="10" t="str">
        <f>IF(K234="Yes",AF234*Tab_Data_Flows[[#This Row],[Flow_Py]],"N.A.")</f>
        <v>N.A.</v>
      </c>
      <c r="AH234" s="10" t="str">
        <f>Tab_Data_Flows[[#This Row],[UoM_Flow_Py]]</f>
        <v>Mg</v>
      </c>
      <c r="AI234" s="193">
        <f>INDEX(Tab_Def_Flows[[Flow_ID]:[CC_DM_source]],MATCH(Tab_Data_Flows[[#This Row],[Name(EN)]],Tab_Def_Flows[Name(EN)],0),17)</f>
        <v>0</v>
      </c>
      <c r="AJ234" s="10" t="str">
        <f>IF(L234="Yes",AI234*Tab_Data_Flows[[#This Row],[Flow_Py]]*Tab_Data_Flows[[#This Row],[DM_'[%']]],"N.A.")</f>
        <v>N.A.</v>
      </c>
      <c r="AK234" s="10" t="str">
        <f>Tab_Data_Flows[[#This Row],[UoM_Flow_Py]]</f>
        <v>Mg</v>
      </c>
    </row>
    <row r="235" spans="1:37" x14ac:dyDescent="0.25">
      <c r="A235" s="17">
        <f t="shared" si="6"/>
        <v>234</v>
      </c>
      <c r="B235" s="10" t="str">
        <f>_xlfn.XLOOKUP(C235,Tab_Def_Flows[Name(EN)],Tab_Def_Flows[Flow_ID],,0,)</f>
        <v>N.A.</v>
      </c>
      <c r="C235" s="12" t="s">
        <v>35</v>
      </c>
      <c r="D235" s="10">
        <f>_xlfn.XLOOKUP(C235,Tab_Def_Flows[Name(EN)],Tab_Def_Flows[Type_Biomass],,0,)</f>
        <v>0</v>
      </c>
      <c r="E235" s="10">
        <f>_xlfn.XLOOKUP(C235,Tab_Def_Flows[Name(EN)],Tab_Def_Flows[Output_Process],,0,)</f>
        <v>0</v>
      </c>
      <c r="F235" s="10">
        <f>_xlfn.XLOOKUP(C235,Tab_Def_Flows[Name(EN)],Tab_Def_Flows[Process_ID_O],,0,)</f>
        <v>0</v>
      </c>
      <c r="G235" s="10">
        <f>_xlfn.XLOOKUP(C235,Tab_Def_Flows[Name(EN)],Tab_Def_Flows[Input_Process],,0,)</f>
        <v>0</v>
      </c>
      <c r="H235" s="18">
        <f>_xlfn.XLOOKUP(C235,Tab_Def_Flows[Name(EN)],Tab_Def_Flows[Process_ID_I],,0,)</f>
        <v>0</v>
      </c>
      <c r="I235" s="10" t="e">
        <f>_xlfn.XLOOKUP(C235,Tab_Def_Flows[Name(EN)],#REF!,,0,)</f>
        <v>#REF!</v>
      </c>
      <c r="J235" s="18">
        <f>_xlfn.XLOOKUP(C235,Tab_Def_Flows[Name(EN)],Tab_Def_Flows[WC?],,0,)</f>
        <v>0</v>
      </c>
      <c r="K235" s="18">
        <f>_xlfn.XLOOKUP(C235,Tab_Def_Flows[Name(EN)],Tab_Def_Flows[DM?],,0,)</f>
        <v>0</v>
      </c>
      <c r="L235" s="18">
        <f>_xlfn.XLOOKUP(C235,Tab_Def_Flows[Name(EN)],Tab_Def_Flows[CC?],,0,)</f>
        <v>0</v>
      </c>
      <c r="M235" s="12"/>
      <c r="N235" s="12"/>
      <c r="O235" s="50"/>
      <c r="P235" s="12"/>
      <c r="Q235" s="12"/>
      <c r="R235" s="12"/>
      <c r="S235" s="12"/>
      <c r="T235" s="12"/>
      <c r="U235" s="12"/>
      <c r="V235" s="12"/>
      <c r="W235" s="12"/>
      <c r="X235" s="12" t="s">
        <v>8</v>
      </c>
      <c r="Y235" s="43"/>
      <c r="Z235" s="12"/>
      <c r="AA235" s="36">
        <f t="shared" si="7"/>
        <v>0</v>
      </c>
      <c r="AB235" s="12" t="s">
        <v>283</v>
      </c>
      <c r="AC235" s="193">
        <f>INDEX(Tab_Def_Flows[[Flow_ID]:[CC_DM_source]],MATCH(Tab_Data_Flows[[#This Row],[Name(EN)]],Tab_Def_Flows[Name(EN)],0),13)</f>
        <v>0</v>
      </c>
      <c r="AD235" s="10" t="str">
        <f>IF(J235="Yes",AA235*Tab_Data_Flows[[#This Row],[WC_'[%']]],"N.A.")</f>
        <v>N.A.</v>
      </c>
      <c r="AE235" s="10" t="str">
        <f>Tab_Data_Flows[[#This Row],[UoM_Flow_Py]]</f>
        <v>Mg</v>
      </c>
      <c r="AF235" s="193">
        <f>INDEX(Tab_Def_Flows[[Flow_ID]:[CC_DM_source]],MATCH(Tab_Data_Flows[[#This Row],[Name(EN)]],Tab_Def_Flows[Name(EN)],0),15)</f>
        <v>0</v>
      </c>
      <c r="AG235" s="10" t="str">
        <f>IF(K235="Yes",AF235*Tab_Data_Flows[[#This Row],[Flow_Py]],"N.A.")</f>
        <v>N.A.</v>
      </c>
      <c r="AH235" s="10" t="str">
        <f>Tab_Data_Flows[[#This Row],[UoM_Flow_Py]]</f>
        <v>Mg</v>
      </c>
      <c r="AI235" s="193">
        <f>INDEX(Tab_Def_Flows[[Flow_ID]:[CC_DM_source]],MATCH(Tab_Data_Flows[[#This Row],[Name(EN)]],Tab_Def_Flows[Name(EN)],0),17)</f>
        <v>0</v>
      </c>
      <c r="AJ235" s="10" t="str">
        <f>IF(L235="Yes",AI235*Tab_Data_Flows[[#This Row],[Flow_Py]]*Tab_Data_Flows[[#This Row],[DM_'[%']]],"N.A.")</f>
        <v>N.A.</v>
      </c>
      <c r="AK235" s="10" t="str">
        <f>Tab_Data_Flows[[#This Row],[UoM_Flow_Py]]</f>
        <v>Mg</v>
      </c>
    </row>
    <row r="236" spans="1:37" x14ac:dyDescent="0.25">
      <c r="A236" s="17">
        <f t="shared" si="6"/>
        <v>235</v>
      </c>
      <c r="B236" s="10" t="str">
        <f>_xlfn.XLOOKUP(C236,Tab_Def_Flows[Name(EN)],Tab_Def_Flows[Flow_ID],,0,)</f>
        <v>N.A.</v>
      </c>
      <c r="C236" s="12" t="s">
        <v>35</v>
      </c>
      <c r="D236" s="10">
        <f>_xlfn.XLOOKUP(C236,Tab_Def_Flows[Name(EN)],Tab_Def_Flows[Type_Biomass],,0,)</f>
        <v>0</v>
      </c>
      <c r="E236" s="10">
        <f>_xlfn.XLOOKUP(C236,Tab_Def_Flows[Name(EN)],Tab_Def_Flows[Output_Process],,0,)</f>
        <v>0</v>
      </c>
      <c r="F236" s="10">
        <f>_xlfn.XLOOKUP(C236,Tab_Def_Flows[Name(EN)],Tab_Def_Flows[Process_ID_O],,0,)</f>
        <v>0</v>
      </c>
      <c r="G236" s="10">
        <f>_xlfn.XLOOKUP(C236,Tab_Def_Flows[Name(EN)],Tab_Def_Flows[Input_Process],,0,)</f>
        <v>0</v>
      </c>
      <c r="H236" s="18">
        <f>_xlfn.XLOOKUP(C236,Tab_Def_Flows[Name(EN)],Tab_Def_Flows[Process_ID_I],,0,)</f>
        <v>0</v>
      </c>
      <c r="I236" s="10" t="e">
        <f>_xlfn.XLOOKUP(C236,Tab_Def_Flows[Name(EN)],#REF!,,0,)</f>
        <v>#REF!</v>
      </c>
      <c r="J236" s="18">
        <f>_xlfn.XLOOKUP(C236,Tab_Def_Flows[Name(EN)],Tab_Def_Flows[WC?],,0,)</f>
        <v>0</v>
      </c>
      <c r="K236" s="18">
        <f>_xlfn.XLOOKUP(C236,Tab_Def_Flows[Name(EN)],Tab_Def_Flows[DM?],,0,)</f>
        <v>0</v>
      </c>
      <c r="L236" s="18">
        <f>_xlfn.XLOOKUP(C236,Tab_Def_Flows[Name(EN)],Tab_Def_Flows[CC?],,0,)</f>
        <v>0</v>
      </c>
      <c r="M236" s="12"/>
      <c r="N236" s="12"/>
      <c r="O236" s="50"/>
      <c r="P236" s="12"/>
      <c r="Q236" s="12"/>
      <c r="R236" s="12"/>
      <c r="S236" s="12"/>
      <c r="T236" s="12"/>
      <c r="U236" s="12"/>
      <c r="V236" s="12"/>
      <c r="W236" s="12"/>
      <c r="X236" s="12" t="s">
        <v>8</v>
      </c>
      <c r="Y236" s="43"/>
      <c r="Z236" s="12"/>
      <c r="AA236" s="36">
        <f t="shared" si="7"/>
        <v>0</v>
      </c>
      <c r="AB236" s="12" t="s">
        <v>283</v>
      </c>
      <c r="AC236" s="193">
        <f>INDEX(Tab_Def_Flows[[Flow_ID]:[CC_DM_source]],MATCH(Tab_Data_Flows[[#This Row],[Name(EN)]],Tab_Def_Flows[Name(EN)],0),13)</f>
        <v>0</v>
      </c>
      <c r="AD236" s="10" t="str">
        <f>IF(J236="Yes",AA236*Tab_Data_Flows[[#This Row],[WC_'[%']]],"N.A.")</f>
        <v>N.A.</v>
      </c>
      <c r="AE236" s="10" t="str">
        <f>Tab_Data_Flows[[#This Row],[UoM_Flow_Py]]</f>
        <v>Mg</v>
      </c>
      <c r="AF236" s="193">
        <f>INDEX(Tab_Def_Flows[[Flow_ID]:[CC_DM_source]],MATCH(Tab_Data_Flows[[#This Row],[Name(EN)]],Tab_Def_Flows[Name(EN)],0),15)</f>
        <v>0</v>
      </c>
      <c r="AG236" s="10" t="str">
        <f>IF(K236="Yes",AF236*Tab_Data_Flows[[#This Row],[Flow_Py]],"N.A.")</f>
        <v>N.A.</v>
      </c>
      <c r="AH236" s="10" t="str">
        <f>Tab_Data_Flows[[#This Row],[UoM_Flow_Py]]</f>
        <v>Mg</v>
      </c>
      <c r="AI236" s="193">
        <f>INDEX(Tab_Def_Flows[[Flow_ID]:[CC_DM_source]],MATCH(Tab_Data_Flows[[#This Row],[Name(EN)]],Tab_Def_Flows[Name(EN)],0),17)</f>
        <v>0</v>
      </c>
      <c r="AJ236" s="10" t="str">
        <f>IF(L236="Yes",AI236*Tab_Data_Flows[[#This Row],[Flow_Py]]*Tab_Data_Flows[[#This Row],[DM_'[%']]],"N.A.")</f>
        <v>N.A.</v>
      </c>
      <c r="AK236" s="10" t="str">
        <f>Tab_Data_Flows[[#This Row],[UoM_Flow_Py]]</f>
        <v>Mg</v>
      </c>
    </row>
    <row r="237" spans="1:37" x14ac:dyDescent="0.25">
      <c r="A237" s="17">
        <f t="shared" si="6"/>
        <v>236</v>
      </c>
      <c r="B237" s="10" t="str">
        <f>_xlfn.XLOOKUP(C237,Tab_Def_Flows[Name(EN)],Tab_Def_Flows[Flow_ID],,0,)</f>
        <v>N.A.</v>
      </c>
      <c r="C237" s="12" t="s">
        <v>35</v>
      </c>
      <c r="D237" s="10">
        <f>_xlfn.XLOOKUP(C237,Tab_Def_Flows[Name(EN)],Tab_Def_Flows[Type_Biomass],,0,)</f>
        <v>0</v>
      </c>
      <c r="E237" s="10">
        <f>_xlfn.XLOOKUP(C237,Tab_Def_Flows[Name(EN)],Tab_Def_Flows[Output_Process],,0,)</f>
        <v>0</v>
      </c>
      <c r="F237" s="10">
        <f>_xlfn.XLOOKUP(C237,Tab_Def_Flows[Name(EN)],Tab_Def_Flows[Process_ID_O],,0,)</f>
        <v>0</v>
      </c>
      <c r="G237" s="10">
        <f>_xlfn.XLOOKUP(C237,Tab_Def_Flows[Name(EN)],Tab_Def_Flows[Input_Process],,0,)</f>
        <v>0</v>
      </c>
      <c r="H237" s="18">
        <f>_xlfn.XLOOKUP(C237,Tab_Def_Flows[Name(EN)],Tab_Def_Flows[Process_ID_I],,0,)</f>
        <v>0</v>
      </c>
      <c r="I237" s="10" t="e">
        <f>_xlfn.XLOOKUP(C237,Tab_Def_Flows[Name(EN)],#REF!,,0,)</f>
        <v>#REF!</v>
      </c>
      <c r="J237" s="18">
        <f>_xlfn.XLOOKUP(C237,Tab_Def_Flows[Name(EN)],Tab_Def_Flows[WC?],,0,)</f>
        <v>0</v>
      </c>
      <c r="K237" s="18">
        <f>_xlfn.XLOOKUP(C237,Tab_Def_Flows[Name(EN)],Tab_Def_Flows[DM?],,0,)</f>
        <v>0</v>
      </c>
      <c r="L237" s="18">
        <f>_xlfn.XLOOKUP(C237,Tab_Def_Flows[Name(EN)],Tab_Def_Flows[CC?],,0,)</f>
        <v>0</v>
      </c>
      <c r="M237" s="12"/>
      <c r="N237" s="12"/>
      <c r="O237" s="50"/>
      <c r="P237" s="12"/>
      <c r="Q237" s="12"/>
      <c r="R237" s="12"/>
      <c r="S237" s="12"/>
      <c r="T237" s="12"/>
      <c r="U237" s="12"/>
      <c r="V237" s="12"/>
      <c r="W237" s="12"/>
      <c r="X237" s="12" t="s">
        <v>8</v>
      </c>
      <c r="Y237" s="43"/>
      <c r="Z237" s="12"/>
      <c r="AA237" s="36">
        <f t="shared" si="7"/>
        <v>0</v>
      </c>
      <c r="AB237" s="12" t="s">
        <v>283</v>
      </c>
      <c r="AC237" s="193">
        <f>INDEX(Tab_Def_Flows[[Flow_ID]:[CC_DM_source]],MATCH(Tab_Data_Flows[[#This Row],[Name(EN)]],Tab_Def_Flows[Name(EN)],0),13)</f>
        <v>0</v>
      </c>
      <c r="AD237" s="10" t="str">
        <f>IF(J237="Yes",AA237*Tab_Data_Flows[[#This Row],[WC_'[%']]],"N.A.")</f>
        <v>N.A.</v>
      </c>
      <c r="AE237" s="10" t="str">
        <f>Tab_Data_Flows[[#This Row],[UoM_Flow_Py]]</f>
        <v>Mg</v>
      </c>
      <c r="AF237" s="193">
        <f>INDEX(Tab_Def_Flows[[Flow_ID]:[CC_DM_source]],MATCH(Tab_Data_Flows[[#This Row],[Name(EN)]],Tab_Def_Flows[Name(EN)],0),15)</f>
        <v>0</v>
      </c>
      <c r="AG237" s="10" t="str">
        <f>IF(K237="Yes",AF237*Tab_Data_Flows[[#This Row],[Flow_Py]],"N.A.")</f>
        <v>N.A.</v>
      </c>
      <c r="AH237" s="10" t="str">
        <f>Tab_Data_Flows[[#This Row],[UoM_Flow_Py]]</f>
        <v>Mg</v>
      </c>
      <c r="AI237" s="193">
        <f>INDEX(Tab_Def_Flows[[Flow_ID]:[CC_DM_source]],MATCH(Tab_Data_Flows[[#This Row],[Name(EN)]],Tab_Def_Flows[Name(EN)],0),17)</f>
        <v>0</v>
      </c>
      <c r="AJ237" s="10" t="str">
        <f>IF(L237="Yes",AI237*Tab_Data_Flows[[#This Row],[Flow_Py]]*Tab_Data_Flows[[#This Row],[DM_'[%']]],"N.A.")</f>
        <v>N.A.</v>
      </c>
      <c r="AK237" s="10" t="str">
        <f>Tab_Data_Flows[[#This Row],[UoM_Flow_Py]]</f>
        <v>Mg</v>
      </c>
    </row>
    <row r="238" spans="1:37" x14ac:dyDescent="0.25">
      <c r="A238" s="17">
        <f t="shared" si="6"/>
        <v>237</v>
      </c>
      <c r="B238" s="10" t="str">
        <f>_xlfn.XLOOKUP(C238,Tab_Def_Flows[Name(EN)],Tab_Def_Flows[Flow_ID],,0,)</f>
        <v>N.A.</v>
      </c>
      <c r="C238" s="12" t="s">
        <v>35</v>
      </c>
      <c r="D238" s="10">
        <f>_xlfn.XLOOKUP(C238,Tab_Def_Flows[Name(EN)],Tab_Def_Flows[Type_Biomass],,0,)</f>
        <v>0</v>
      </c>
      <c r="E238" s="10">
        <f>_xlfn.XLOOKUP(C238,Tab_Def_Flows[Name(EN)],Tab_Def_Flows[Output_Process],,0,)</f>
        <v>0</v>
      </c>
      <c r="F238" s="10">
        <f>_xlfn.XLOOKUP(C238,Tab_Def_Flows[Name(EN)],Tab_Def_Flows[Process_ID_O],,0,)</f>
        <v>0</v>
      </c>
      <c r="G238" s="10">
        <f>_xlfn.XLOOKUP(C238,Tab_Def_Flows[Name(EN)],Tab_Def_Flows[Input_Process],,0,)</f>
        <v>0</v>
      </c>
      <c r="H238" s="18">
        <f>_xlfn.XLOOKUP(C238,Tab_Def_Flows[Name(EN)],Tab_Def_Flows[Process_ID_I],,0,)</f>
        <v>0</v>
      </c>
      <c r="I238" s="10" t="e">
        <f>_xlfn.XLOOKUP(C238,Tab_Def_Flows[Name(EN)],#REF!,,0,)</f>
        <v>#REF!</v>
      </c>
      <c r="J238" s="18">
        <f>_xlfn.XLOOKUP(C238,Tab_Def_Flows[Name(EN)],Tab_Def_Flows[WC?],,0,)</f>
        <v>0</v>
      </c>
      <c r="K238" s="18">
        <f>_xlfn.XLOOKUP(C238,Tab_Def_Flows[Name(EN)],Tab_Def_Flows[DM?],,0,)</f>
        <v>0</v>
      </c>
      <c r="L238" s="18">
        <f>_xlfn.XLOOKUP(C238,Tab_Def_Flows[Name(EN)],Tab_Def_Flows[CC?],,0,)</f>
        <v>0</v>
      </c>
      <c r="M238" s="12"/>
      <c r="N238" s="12"/>
      <c r="O238" s="50"/>
      <c r="P238" s="12"/>
      <c r="Q238" s="12"/>
      <c r="R238" s="12"/>
      <c r="S238" s="12"/>
      <c r="T238" s="12"/>
      <c r="U238" s="12"/>
      <c r="V238" s="12"/>
      <c r="W238" s="12"/>
      <c r="X238" s="12" t="s">
        <v>8</v>
      </c>
      <c r="Y238" s="43"/>
      <c r="Z238" s="12"/>
      <c r="AA238" s="36">
        <f t="shared" si="7"/>
        <v>0</v>
      </c>
      <c r="AB238" s="12" t="s">
        <v>283</v>
      </c>
      <c r="AC238" s="193">
        <f>INDEX(Tab_Def_Flows[[Flow_ID]:[CC_DM_source]],MATCH(Tab_Data_Flows[[#This Row],[Name(EN)]],Tab_Def_Flows[Name(EN)],0),13)</f>
        <v>0</v>
      </c>
      <c r="AD238" s="10" t="str">
        <f>IF(J238="Yes",AA238*Tab_Data_Flows[[#This Row],[WC_'[%']]],"N.A.")</f>
        <v>N.A.</v>
      </c>
      <c r="AE238" s="10" t="str">
        <f>Tab_Data_Flows[[#This Row],[UoM_Flow_Py]]</f>
        <v>Mg</v>
      </c>
      <c r="AF238" s="193">
        <f>INDEX(Tab_Def_Flows[[Flow_ID]:[CC_DM_source]],MATCH(Tab_Data_Flows[[#This Row],[Name(EN)]],Tab_Def_Flows[Name(EN)],0),15)</f>
        <v>0</v>
      </c>
      <c r="AG238" s="10" t="str">
        <f>IF(K238="Yes",AF238*Tab_Data_Flows[[#This Row],[Flow_Py]],"N.A.")</f>
        <v>N.A.</v>
      </c>
      <c r="AH238" s="10" t="str">
        <f>Tab_Data_Flows[[#This Row],[UoM_Flow_Py]]</f>
        <v>Mg</v>
      </c>
      <c r="AI238" s="193">
        <f>INDEX(Tab_Def_Flows[[Flow_ID]:[CC_DM_source]],MATCH(Tab_Data_Flows[[#This Row],[Name(EN)]],Tab_Def_Flows[Name(EN)],0),17)</f>
        <v>0</v>
      </c>
      <c r="AJ238" s="10" t="str">
        <f>IF(L238="Yes",AI238*Tab_Data_Flows[[#This Row],[Flow_Py]]*Tab_Data_Flows[[#This Row],[DM_'[%']]],"N.A.")</f>
        <v>N.A.</v>
      </c>
      <c r="AK238" s="10" t="str">
        <f>Tab_Data_Flows[[#This Row],[UoM_Flow_Py]]</f>
        <v>Mg</v>
      </c>
    </row>
    <row r="239" spans="1:37" x14ac:dyDescent="0.25">
      <c r="A239" s="17">
        <f t="shared" si="6"/>
        <v>238</v>
      </c>
      <c r="B239" s="10" t="str">
        <f>_xlfn.XLOOKUP(C239,Tab_Def_Flows[Name(EN)],Tab_Def_Flows[Flow_ID],,0,)</f>
        <v>N.A.</v>
      </c>
      <c r="C239" s="12" t="s">
        <v>35</v>
      </c>
      <c r="D239" s="10">
        <f>_xlfn.XLOOKUP(C239,Tab_Def_Flows[Name(EN)],Tab_Def_Flows[Type_Biomass],,0,)</f>
        <v>0</v>
      </c>
      <c r="E239" s="10">
        <f>_xlfn.XLOOKUP(C239,Tab_Def_Flows[Name(EN)],Tab_Def_Flows[Output_Process],,0,)</f>
        <v>0</v>
      </c>
      <c r="F239" s="10">
        <f>_xlfn.XLOOKUP(C239,Tab_Def_Flows[Name(EN)],Tab_Def_Flows[Process_ID_O],,0,)</f>
        <v>0</v>
      </c>
      <c r="G239" s="10">
        <f>_xlfn.XLOOKUP(C239,Tab_Def_Flows[Name(EN)],Tab_Def_Flows[Input_Process],,0,)</f>
        <v>0</v>
      </c>
      <c r="H239" s="18">
        <f>_xlfn.XLOOKUP(C239,Tab_Def_Flows[Name(EN)],Tab_Def_Flows[Process_ID_I],,0,)</f>
        <v>0</v>
      </c>
      <c r="I239" s="10" t="e">
        <f>_xlfn.XLOOKUP(C239,Tab_Def_Flows[Name(EN)],#REF!,,0,)</f>
        <v>#REF!</v>
      </c>
      <c r="J239" s="18">
        <f>_xlfn.XLOOKUP(C239,Tab_Def_Flows[Name(EN)],Tab_Def_Flows[WC?],,0,)</f>
        <v>0</v>
      </c>
      <c r="K239" s="18">
        <f>_xlfn.XLOOKUP(C239,Tab_Def_Flows[Name(EN)],Tab_Def_Flows[DM?],,0,)</f>
        <v>0</v>
      </c>
      <c r="L239" s="18">
        <f>_xlfn.XLOOKUP(C239,Tab_Def_Flows[Name(EN)],Tab_Def_Flows[CC?],,0,)</f>
        <v>0</v>
      </c>
      <c r="M239" s="12"/>
      <c r="N239" s="12"/>
      <c r="O239" s="50"/>
      <c r="P239" s="12"/>
      <c r="Q239" s="12"/>
      <c r="R239" s="12"/>
      <c r="S239" s="12"/>
      <c r="T239" s="12"/>
      <c r="U239" s="12"/>
      <c r="V239" s="12"/>
      <c r="W239" s="12"/>
      <c r="X239" s="12" t="s">
        <v>8</v>
      </c>
      <c r="Y239" s="43"/>
      <c r="Z239" s="12"/>
      <c r="AA239" s="36">
        <f t="shared" si="7"/>
        <v>0</v>
      </c>
      <c r="AB239" s="12" t="s">
        <v>283</v>
      </c>
      <c r="AC239" s="193">
        <f>INDEX(Tab_Def_Flows[[Flow_ID]:[CC_DM_source]],MATCH(Tab_Data_Flows[[#This Row],[Name(EN)]],Tab_Def_Flows[Name(EN)],0),13)</f>
        <v>0</v>
      </c>
      <c r="AD239" s="10" t="str">
        <f>IF(J239="Yes",AA239*Tab_Data_Flows[[#This Row],[WC_'[%']]],"N.A.")</f>
        <v>N.A.</v>
      </c>
      <c r="AE239" s="10" t="str">
        <f>Tab_Data_Flows[[#This Row],[UoM_Flow_Py]]</f>
        <v>Mg</v>
      </c>
      <c r="AF239" s="193">
        <f>INDEX(Tab_Def_Flows[[Flow_ID]:[CC_DM_source]],MATCH(Tab_Data_Flows[[#This Row],[Name(EN)]],Tab_Def_Flows[Name(EN)],0),15)</f>
        <v>0</v>
      </c>
      <c r="AG239" s="10" t="str">
        <f>IF(K239="Yes",AF239*Tab_Data_Flows[[#This Row],[Flow_Py]],"N.A.")</f>
        <v>N.A.</v>
      </c>
      <c r="AH239" s="10" t="str">
        <f>Tab_Data_Flows[[#This Row],[UoM_Flow_Py]]</f>
        <v>Mg</v>
      </c>
      <c r="AI239" s="193">
        <f>INDEX(Tab_Def_Flows[[Flow_ID]:[CC_DM_source]],MATCH(Tab_Data_Flows[[#This Row],[Name(EN)]],Tab_Def_Flows[Name(EN)],0),17)</f>
        <v>0</v>
      </c>
      <c r="AJ239" s="10" t="str">
        <f>IF(L239="Yes",AI239*Tab_Data_Flows[[#This Row],[Flow_Py]]*Tab_Data_Flows[[#This Row],[DM_'[%']]],"N.A.")</f>
        <v>N.A.</v>
      </c>
      <c r="AK239" s="10" t="str">
        <f>Tab_Data_Flows[[#This Row],[UoM_Flow_Py]]</f>
        <v>Mg</v>
      </c>
    </row>
    <row r="240" spans="1:37" x14ac:dyDescent="0.25">
      <c r="A240" s="17">
        <f t="shared" si="6"/>
        <v>239</v>
      </c>
      <c r="B240" s="10" t="str">
        <f>_xlfn.XLOOKUP(C240,Tab_Def_Flows[Name(EN)],Tab_Def_Flows[Flow_ID],,0,)</f>
        <v>N.A.</v>
      </c>
      <c r="C240" s="12" t="s">
        <v>35</v>
      </c>
      <c r="D240" s="10">
        <f>_xlfn.XLOOKUP(C240,Tab_Def_Flows[Name(EN)],Tab_Def_Flows[Type_Biomass],,0,)</f>
        <v>0</v>
      </c>
      <c r="E240" s="10">
        <f>_xlfn.XLOOKUP(C240,Tab_Def_Flows[Name(EN)],Tab_Def_Flows[Output_Process],,0,)</f>
        <v>0</v>
      </c>
      <c r="F240" s="10">
        <f>_xlfn.XLOOKUP(C240,Tab_Def_Flows[Name(EN)],Tab_Def_Flows[Process_ID_O],,0,)</f>
        <v>0</v>
      </c>
      <c r="G240" s="10">
        <f>_xlfn.XLOOKUP(C240,Tab_Def_Flows[Name(EN)],Tab_Def_Flows[Input_Process],,0,)</f>
        <v>0</v>
      </c>
      <c r="H240" s="18">
        <f>_xlfn.XLOOKUP(C240,Tab_Def_Flows[Name(EN)],Tab_Def_Flows[Process_ID_I],,0,)</f>
        <v>0</v>
      </c>
      <c r="I240" s="10" t="e">
        <f>_xlfn.XLOOKUP(C240,Tab_Def_Flows[Name(EN)],#REF!,,0,)</f>
        <v>#REF!</v>
      </c>
      <c r="J240" s="18">
        <f>_xlfn.XLOOKUP(C240,Tab_Def_Flows[Name(EN)],Tab_Def_Flows[WC?],,0,)</f>
        <v>0</v>
      </c>
      <c r="K240" s="18">
        <f>_xlfn.XLOOKUP(C240,Tab_Def_Flows[Name(EN)],Tab_Def_Flows[DM?],,0,)</f>
        <v>0</v>
      </c>
      <c r="L240" s="18">
        <f>_xlfn.XLOOKUP(C240,Tab_Def_Flows[Name(EN)],Tab_Def_Flows[CC?],,0,)</f>
        <v>0</v>
      </c>
      <c r="M240" s="12"/>
      <c r="N240" s="12"/>
      <c r="O240" s="50"/>
      <c r="P240" s="12"/>
      <c r="Q240" s="12"/>
      <c r="R240" s="12"/>
      <c r="S240" s="12"/>
      <c r="T240" s="12"/>
      <c r="U240" s="12"/>
      <c r="V240" s="12"/>
      <c r="W240" s="12"/>
      <c r="X240" s="12" t="s">
        <v>8</v>
      </c>
      <c r="Y240" s="43"/>
      <c r="Z240" s="12"/>
      <c r="AA240" s="36">
        <f t="shared" si="7"/>
        <v>0</v>
      </c>
      <c r="AB240" s="12" t="s">
        <v>283</v>
      </c>
      <c r="AC240" s="193">
        <f>INDEX(Tab_Def_Flows[[Flow_ID]:[CC_DM_source]],MATCH(Tab_Data_Flows[[#This Row],[Name(EN)]],Tab_Def_Flows[Name(EN)],0),13)</f>
        <v>0</v>
      </c>
      <c r="AD240" s="10" t="str">
        <f>IF(J240="Yes",AA240*Tab_Data_Flows[[#This Row],[WC_'[%']]],"N.A.")</f>
        <v>N.A.</v>
      </c>
      <c r="AE240" s="10" t="str">
        <f>Tab_Data_Flows[[#This Row],[UoM_Flow_Py]]</f>
        <v>Mg</v>
      </c>
      <c r="AF240" s="193">
        <f>INDEX(Tab_Def_Flows[[Flow_ID]:[CC_DM_source]],MATCH(Tab_Data_Flows[[#This Row],[Name(EN)]],Tab_Def_Flows[Name(EN)],0),15)</f>
        <v>0</v>
      </c>
      <c r="AG240" s="10" t="str">
        <f>IF(K240="Yes",AF240*Tab_Data_Flows[[#This Row],[Flow_Py]],"N.A.")</f>
        <v>N.A.</v>
      </c>
      <c r="AH240" s="10" t="str">
        <f>Tab_Data_Flows[[#This Row],[UoM_Flow_Py]]</f>
        <v>Mg</v>
      </c>
      <c r="AI240" s="193">
        <f>INDEX(Tab_Def_Flows[[Flow_ID]:[CC_DM_source]],MATCH(Tab_Data_Flows[[#This Row],[Name(EN)]],Tab_Def_Flows[Name(EN)],0),17)</f>
        <v>0</v>
      </c>
      <c r="AJ240" s="10" t="str">
        <f>IF(L240="Yes",AI240*Tab_Data_Flows[[#This Row],[Flow_Py]]*Tab_Data_Flows[[#This Row],[DM_'[%']]],"N.A.")</f>
        <v>N.A.</v>
      </c>
      <c r="AK240" s="10" t="str">
        <f>Tab_Data_Flows[[#This Row],[UoM_Flow_Py]]</f>
        <v>Mg</v>
      </c>
    </row>
    <row r="241" spans="1:37" x14ac:dyDescent="0.25">
      <c r="A241" s="17">
        <f t="shared" si="6"/>
        <v>240</v>
      </c>
      <c r="B241" s="10" t="str">
        <f>_xlfn.XLOOKUP(C241,Tab_Def_Flows[Name(EN)],Tab_Def_Flows[Flow_ID],,0,)</f>
        <v>N.A.</v>
      </c>
      <c r="C241" s="12" t="s">
        <v>35</v>
      </c>
      <c r="D241" s="10">
        <f>_xlfn.XLOOKUP(C241,Tab_Def_Flows[Name(EN)],Tab_Def_Flows[Type_Biomass],,0,)</f>
        <v>0</v>
      </c>
      <c r="E241" s="10">
        <f>_xlfn.XLOOKUP(C241,Tab_Def_Flows[Name(EN)],Tab_Def_Flows[Output_Process],,0,)</f>
        <v>0</v>
      </c>
      <c r="F241" s="10">
        <f>_xlfn.XLOOKUP(C241,Tab_Def_Flows[Name(EN)],Tab_Def_Flows[Process_ID_O],,0,)</f>
        <v>0</v>
      </c>
      <c r="G241" s="10">
        <f>_xlfn.XLOOKUP(C241,Tab_Def_Flows[Name(EN)],Tab_Def_Flows[Input_Process],,0,)</f>
        <v>0</v>
      </c>
      <c r="H241" s="18">
        <f>_xlfn.XLOOKUP(C241,Tab_Def_Flows[Name(EN)],Tab_Def_Flows[Process_ID_I],,0,)</f>
        <v>0</v>
      </c>
      <c r="I241" s="10" t="e">
        <f>_xlfn.XLOOKUP(C241,Tab_Def_Flows[Name(EN)],#REF!,,0,)</f>
        <v>#REF!</v>
      </c>
      <c r="J241" s="18">
        <f>_xlfn.XLOOKUP(C241,Tab_Def_Flows[Name(EN)],Tab_Def_Flows[WC?],,0,)</f>
        <v>0</v>
      </c>
      <c r="K241" s="18">
        <f>_xlfn.XLOOKUP(C241,Tab_Def_Flows[Name(EN)],Tab_Def_Flows[DM?],,0,)</f>
        <v>0</v>
      </c>
      <c r="L241" s="18">
        <f>_xlfn.XLOOKUP(C241,Tab_Def_Flows[Name(EN)],Tab_Def_Flows[CC?],,0,)</f>
        <v>0</v>
      </c>
      <c r="M241" s="12"/>
      <c r="N241" s="12"/>
      <c r="O241" s="50"/>
      <c r="P241" s="12"/>
      <c r="Q241" s="12"/>
      <c r="R241" s="12"/>
      <c r="S241" s="12"/>
      <c r="T241" s="12"/>
      <c r="U241" s="12"/>
      <c r="V241" s="12"/>
      <c r="W241" s="12"/>
      <c r="X241" s="12" t="s">
        <v>8</v>
      </c>
      <c r="Y241" s="43"/>
      <c r="Z241" s="12"/>
      <c r="AA241" s="36">
        <f t="shared" si="7"/>
        <v>0</v>
      </c>
      <c r="AB241" s="12" t="s">
        <v>283</v>
      </c>
      <c r="AC241" s="193">
        <f>INDEX(Tab_Def_Flows[[Flow_ID]:[CC_DM_source]],MATCH(Tab_Data_Flows[[#This Row],[Name(EN)]],Tab_Def_Flows[Name(EN)],0),13)</f>
        <v>0</v>
      </c>
      <c r="AD241" s="10" t="str">
        <f>IF(J241="Yes",AA241*Tab_Data_Flows[[#This Row],[WC_'[%']]],"N.A.")</f>
        <v>N.A.</v>
      </c>
      <c r="AE241" s="10" t="str">
        <f>Tab_Data_Flows[[#This Row],[UoM_Flow_Py]]</f>
        <v>Mg</v>
      </c>
      <c r="AF241" s="193">
        <f>INDEX(Tab_Def_Flows[[Flow_ID]:[CC_DM_source]],MATCH(Tab_Data_Flows[[#This Row],[Name(EN)]],Tab_Def_Flows[Name(EN)],0),15)</f>
        <v>0</v>
      </c>
      <c r="AG241" s="10" t="str">
        <f>IF(K241="Yes",AF241*Tab_Data_Flows[[#This Row],[Flow_Py]],"N.A.")</f>
        <v>N.A.</v>
      </c>
      <c r="AH241" s="10" t="str">
        <f>Tab_Data_Flows[[#This Row],[UoM_Flow_Py]]</f>
        <v>Mg</v>
      </c>
      <c r="AI241" s="193">
        <f>INDEX(Tab_Def_Flows[[Flow_ID]:[CC_DM_source]],MATCH(Tab_Data_Flows[[#This Row],[Name(EN)]],Tab_Def_Flows[Name(EN)],0),17)</f>
        <v>0</v>
      </c>
      <c r="AJ241" s="10" t="str">
        <f>IF(L241="Yes",AI241*Tab_Data_Flows[[#This Row],[Flow_Py]]*Tab_Data_Flows[[#This Row],[DM_'[%']]],"N.A.")</f>
        <v>N.A.</v>
      </c>
      <c r="AK241" s="10" t="str">
        <f>Tab_Data_Flows[[#This Row],[UoM_Flow_Py]]</f>
        <v>Mg</v>
      </c>
    </row>
    <row r="242" spans="1:37" x14ac:dyDescent="0.25">
      <c r="A242" s="17">
        <f t="shared" si="6"/>
        <v>241</v>
      </c>
      <c r="B242" s="10" t="str">
        <f>_xlfn.XLOOKUP(C242,Tab_Def_Flows[Name(EN)],Tab_Def_Flows[Flow_ID],,0,)</f>
        <v>N.A.</v>
      </c>
      <c r="C242" s="12" t="s">
        <v>35</v>
      </c>
      <c r="D242" s="10">
        <f>_xlfn.XLOOKUP(C242,Tab_Def_Flows[Name(EN)],Tab_Def_Flows[Type_Biomass],,0,)</f>
        <v>0</v>
      </c>
      <c r="E242" s="10">
        <f>_xlfn.XLOOKUP(C242,Tab_Def_Flows[Name(EN)],Tab_Def_Flows[Output_Process],,0,)</f>
        <v>0</v>
      </c>
      <c r="F242" s="10">
        <f>_xlfn.XLOOKUP(C242,Tab_Def_Flows[Name(EN)],Tab_Def_Flows[Process_ID_O],,0,)</f>
        <v>0</v>
      </c>
      <c r="G242" s="10">
        <f>_xlfn.XLOOKUP(C242,Tab_Def_Flows[Name(EN)],Tab_Def_Flows[Input_Process],,0,)</f>
        <v>0</v>
      </c>
      <c r="H242" s="18">
        <f>_xlfn.XLOOKUP(C242,Tab_Def_Flows[Name(EN)],Tab_Def_Flows[Process_ID_I],,0,)</f>
        <v>0</v>
      </c>
      <c r="I242" s="10" t="e">
        <f>_xlfn.XLOOKUP(C242,Tab_Def_Flows[Name(EN)],#REF!,,0,)</f>
        <v>#REF!</v>
      </c>
      <c r="J242" s="18">
        <f>_xlfn.XLOOKUP(C242,Tab_Def_Flows[Name(EN)],Tab_Def_Flows[WC?],,0,)</f>
        <v>0</v>
      </c>
      <c r="K242" s="18">
        <f>_xlfn.XLOOKUP(C242,Tab_Def_Flows[Name(EN)],Tab_Def_Flows[DM?],,0,)</f>
        <v>0</v>
      </c>
      <c r="L242" s="18">
        <f>_xlfn.XLOOKUP(C242,Tab_Def_Flows[Name(EN)],Tab_Def_Flows[CC?],,0,)</f>
        <v>0</v>
      </c>
      <c r="M242" s="12"/>
      <c r="N242" s="12"/>
      <c r="O242" s="50"/>
      <c r="P242" s="12"/>
      <c r="Q242" s="12"/>
      <c r="R242" s="12"/>
      <c r="S242" s="12"/>
      <c r="T242" s="12"/>
      <c r="U242" s="12"/>
      <c r="V242" s="12"/>
      <c r="W242" s="12"/>
      <c r="X242" s="12" t="s">
        <v>8</v>
      </c>
      <c r="Y242" s="43"/>
      <c r="Z242" s="12"/>
      <c r="AA242" s="36">
        <f t="shared" si="7"/>
        <v>0</v>
      </c>
      <c r="AB242" s="12" t="s">
        <v>283</v>
      </c>
      <c r="AC242" s="193">
        <f>INDEX(Tab_Def_Flows[[Flow_ID]:[CC_DM_source]],MATCH(Tab_Data_Flows[[#This Row],[Name(EN)]],Tab_Def_Flows[Name(EN)],0),13)</f>
        <v>0</v>
      </c>
      <c r="AD242" s="10" t="str">
        <f>IF(J242="Yes",AA242*Tab_Data_Flows[[#This Row],[WC_'[%']]],"N.A.")</f>
        <v>N.A.</v>
      </c>
      <c r="AE242" s="10" t="str">
        <f>Tab_Data_Flows[[#This Row],[UoM_Flow_Py]]</f>
        <v>Mg</v>
      </c>
      <c r="AF242" s="193">
        <f>INDEX(Tab_Def_Flows[[Flow_ID]:[CC_DM_source]],MATCH(Tab_Data_Flows[[#This Row],[Name(EN)]],Tab_Def_Flows[Name(EN)],0),15)</f>
        <v>0</v>
      </c>
      <c r="AG242" s="10" t="str">
        <f>IF(K242="Yes",AF242*Tab_Data_Flows[[#This Row],[Flow_Py]],"N.A.")</f>
        <v>N.A.</v>
      </c>
      <c r="AH242" s="10" t="str">
        <f>Tab_Data_Flows[[#This Row],[UoM_Flow_Py]]</f>
        <v>Mg</v>
      </c>
      <c r="AI242" s="193">
        <f>INDEX(Tab_Def_Flows[[Flow_ID]:[CC_DM_source]],MATCH(Tab_Data_Flows[[#This Row],[Name(EN)]],Tab_Def_Flows[Name(EN)],0),17)</f>
        <v>0</v>
      </c>
      <c r="AJ242" s="10" t="str">
        <f>IF(L242="Yes",AI242*Tab_Data_Flows[[#This Row],[Flow_Py]]*Tab_Data_Flows[[#This Row],[DM_'[%']]],"N.A.")</f>
        <v>N.A.</v>
      </c>
      <c r="AK242" s="10" t="str">
        <f>Tab_Data_Flows[[#This Row],[UoM_Flow_Py]]</f>
        <v>Mg</v>
      </c>
    </row>
    <row r="243" spans="1:37" x14ac:dyDescent="0.25">
      <c r="A243" s="17">
        <f t="shared" si="6"/>
        <v>242</v>
      </c>
      <c r="B243" s="10" t="str">
        <f>_xlfn.XLOOKUP(C243,Tab_Def_Flows[Name(EN)],Tab_Def_Flows[Flow_ID],,0,)</f>
        <v>N.A.</v>
      </c>
      <c r="C243" s="12" t="s">
        <v>35</v>
      </c>
      <c r="D243" s="10">
        <f>_xlfn.XLOOKUP(C243,Tab_Def_Flows[Name(EN)],Tab_Def_Flows[Type_Biomass],,0,)</f>
        <v>0</v>
      </c>
      <c r="E243" s="10">
        <f>_xlfn.XLOOKUP(C243,Tab_Def_Flows[Name(EN)],Tab_Def_Flows[Output_Process],,0,)</f>
        <v>0</v>
      </c>
      <c r="F243" s="10">
        <f>_xlfn.XLOOKUP(C243,Tab_Def_Flows[Name(EN)],Tab_Def_Flows[Process_ID_O],,0,)</f>
        <v>0</v>
      </c>
      <c r="G243" s="10">
        <f>_xlfn.XLOOKUP(C243,Tab_Def_Flows[Name(EN)],Tab_Def_Flows[Input_Process],,0,)</f>
        <v>0</v>
      </c>
      <c r="H243" s="18">
        <f>_xlfn.XLOOKUP(C243,Tab_Def_Flows[Name(EN)],Tab_Def_Flows[Process_ID_I],,0,)</f>
        <v>0</v>
      </c>
      <c r="I243" s="10" t="e">
        <f>_xlfn.XLOOKUP(C243,Tab_Def_Flows[Name(EN)],#REF!,,0,)</f>
        <v>#REF!</v>
      </c>
      <c r="J243" s="18">
        <f>_xlfn.XLOOKUP(C243,Tab_Def_Flows[Name(EN)],Tab_Def_Flows[WC?],,0,)</f>
        <v>0</v>
      </c>
      <c r="K243" s="18">
        <f>_xlfn.XLOOKUP(C243,Tab_Def_Flows[Name(EN)],Tab_Def_Flows[DM?],,0,)</f>
        <v>0</v>
      </c>
      <c r="L243" s="18">
        <f>_xlfn.XLOOKUP(C243,Tab_Def_Flows[Name(EN)],Tab_Def_Flows[CC?],,0,)</f>
        <v>0</v>
      </c>
      <c r="M243" s="12"/>
      <c r="N243" s="12"/>
      <c r="O243" s="50"/>
      <c r="P243" s="12"/>
      <c r="Q243" s="12"/>
      <c r="R243" s="12"/>
      <c r="S243" s="12"/>
      <c r="T243" s="12"/>
      <c r="U243" s="12"/>
      <c r="V243" s="12"/>
      <c r="W243" s="12"/>
      <c r="X243" s="12" t="s">
        <v>8</v>
      </c>
      <c r="Y243" s="43"/>
      <c r="Z243" s="12"/>
      <c r="AA243" s="36">
        <f t="shared" si="7"/>
        <v>0</v>
      </c>
      <c r="AB243" s="12" t="s">
        <v>283</v>
      </c>
      <c r="AC243" s="193">
        <f>INDEX(Tab_Def_Flows[[Flow_ID]:[CC_DM_source]],MATCH(Tab_Data_Flows[[#This Row],[Name(EN)]],Tab_Def_Flows[Name(EN)],0),13)</f>
        <v>0</v>
      </c>
      <c r="AD243" s="10" t="str">
        <f>IF(J243="Yes",AA243*Tab_Data_Flows[[#This Row],[WC_'[%']]],"N.A.")</f>
        <v>N.A.</v>
      </c>
      <c r="AE243" s="10" t="str">
        <f>Tab_Data_Flows[[#This Row],[UoM_Flow_Py]]</f>
        <v>Mg</v>
      </c>
      <c r="AF243" s="193">
        <f>INDEX(Tab_Def_Flows[[Flow_ID]:[CC_DM_source]],MATCH(Tab_Data_Flows[[#This Row],[Name(EN)]],Tab_Def_Flows[Name(EN)],0),15)</f>
        <v>0</v>
      </c>
      <c r="AG243" s="10" t="str">
        <f>IF(K243="Yes",AF243*Tab_Data_Flows[[#This Row],[Flow_Py]],"N.A.")</f>
        <v>N.A.</v>
      </c>
      <c r="AH243" s="10" t="str">
        <f>Tab_Data_Flows[[#This Row],[UoM_Flow_Py]]</f>
        <v>Mg</v>
      </c>
      <c r="AI243" s="193">
        <f>INDEX(Tab_Def_Flows[[Flow_ID]:[CC_DM_source]],MATCH(Tab_Data_Flows[[#This Row],[Name(EN)]],Tab_Def_Flows[Name(EN)],0),17)</f>
        <v>0</v>
      </c>
      <c r="AJ243" s="10" t="str">
        <f>IF(L243="Yes",AI243*Tab_Data_Flows[[#This Row],[Flow_Py]]*Tab_Data_Flows[[#This Row],[DM_'[%']]],"N.A.")</f>
        <v>N.A.</v>
      </c>
      <c r="AK243" s="10" t="str">
        <f>Tab_Data_Flows[[#This Row],[UoM_Flow_Py]]</f>
        <v>Mg</v>
      </c>
    </row>
    <row r="244" spans="1:37" x14ac:dyDescent="0.25">
      <c r="A244" s="17">
        <f t="shared" si="6"/>
        <v>243</v>
      </c>
      <c r="B244" s="10" t="str">
        <f>_xlfn.XLOOKUP(C244,Tab_Def_Flows[Name(EN)],Tab_Def_Flows[Flow_ID],,0,)</f>
        <v>N.A.</v>
      </c>
      <c r="C244" s="12" t="s">
        <v>35</v>
      </c>
      <c r="D244" s="10">
        <f>_xlfn.XLOOKUP(C244,Tab_Def_Flows[Name(EN)],Tab_Def_Flows[Type_Biomass],,0,)</f>
        <v>0</v>
      </c>
      <c r="E244" s="10">
        <f>_xlfn.XLOOKUP(C244,Tab_Def_Flows[Name(EN)],Tab_Def_Flows[Output_Process],,0,)</f>
        <v>0</v>
      </c>
      <c r="F244" s="10">
        <f>_xlfn.XLOOKUP(C244,Tab_Def_Flows[Name(EN)],Tab_Def_Flows[Process_ID_O],,0,)</f>
        <v>0</v>
      </c>
      <c r="G244" s="10">
        <f>_xlfn.XLOOKUP(C244,Tab_Def_Flows[Name(EN)],Tab_Def_Flows[Input_Process],,0,)</f>
        <v>0</v>
      </c>
      <c r="H244" s="18">
        <f>_xlfn.XLOOKUP(C244,Tab_Def_Flows[Name(EN)],Tab_Def_Flows[Process_ID_I],,0,)</f>
        <v>0</v>
      </c>
      <c r="I244" s="10" t="e">
        <f>_xlfn.XLOOKUP(C244,Tab_Def_Flows[Name(EN)],#REF!,,0,)</f>
        <v>#REF!</v>
      </c>
      <c r="J244" s="18">
        <f>_xlfn.XLOOKUP(C244,Tab_Def_Flows[Name(EN)],Tab_Def_Flows[WC?],,0,)</f>
        <v>0</v>
      </c>
      <c r="K244" s="18">
        <f>_xlfn.XLOOKUP(C244,Tab_Def_Flows[Name(EN)],Tab_Def_Flows[DM?],,0,)</f>
        <v>0</v>
      </c>
      <c r="L244" s="18">
        <f>_xlfn.XLOOKUP(C244,Tab_Def_Flows[Name(EN)],Tab_Def_Flows[CC?],,0,)</f>
        <v>0</v>
      </c>
      <c r="M244" s="12"/>
      <c r="N244" s="12"/>
      <c r="O244" s="50"/>
      <c r="P244" s="12"/>
      <c r="Q244" s="12"/>
      <c r="R244" s="12"/>
      <c r="S244" s="12"/>
      <c r="T244" s="12"/>
      <c r="U244" s="12"/>
      <c r="V244" s="12"/>
      <c r="W244" s="12"/>
      <c r="X244" s="12" t="s">
        <v>8</v>
      </c>
      <c r="Y244" s="43"/>
      <c r="Z244" s="12"/>
      <c r="AA244" s="36">
        <f t="shared" si="7"/>
        <v>0</v>
      </c>
      <c r="AB244" s="12" t="s">
        <v>283</v>
      </c>
      <c r="AC244" s="193">
        <f>INDEX(Tab_Def_Flows[[Flow_ID]:[CC_DM_source]],MATCH(Tab_Data_Flows[[#This Row],[Name(EN)]],Tab_Def_Flows[Name(EN)],0),13)</f>
        <v>0</v>
      </c>
      <c r="AD244" s="10" t="str">
        <f>IF(J244="Yes",AA244*Tab_Data_Flows[[#This Row],[WC_'[%']]],"N.A.")</f>
        <v>N.A.</v>
      </c>
      <c r="AE244" s="10" t="str">
        <f>Tab_Data_Flows[[#This Row],[UoM_Flow_Py]]</f>
        <v>Mg</v>
      </c>
      <c r="AF244" s="193">
        <f>INDEX(Tab_Def_Flows[[Flow_ID]:[CC_DM_source]],MATCH(Tab_Data_Flows[[#This Row],[Name(EN)]],Tab_Def_Flows[Name(EN)],0),15)</f>
        <v>0</v>
      </c>
      <c r="AG244" s="10" t="str">
        <f>IF(K244="Yes",AF244*Tab_Data_Flows[[#This Row],[Flow_Py]],"N.A.")</f>
        <v>N.A.</v>
      </c>
      <c r="AH244" s="10" t="str">
        <f>Tab_Data_Flows[[#This Row],[UoM_Flow_Py]]</f>
        <v>Mg</v>
      </c>
      <c r="AI244" s="193">
        <f>INDEX(Tab_Def_Flows[[Flow_ID]:[CC_DM_source]],MATCH(Tab_Data_Flows[[#This Row],[Name(EN)]],Tab_Def_Flows[Name(EN)],0),17)</f>
        <v>0</v>
      </c>
      <c r="AJ244" s="10" t="str">
        <f>IF(L244="Yes",AI244*Tab_Data_Flows[[#This Row],[Flow_Py]]*Tab_Data_Flows[[#This Row],[DM_'[%']]],"N.A.")</f>
        <v>N.A.</v>
      </c>
      <c r="AK244" s="10" t="str">
        <f>Tab_Data_Flows[[#This Row],[UoM_Flow_Py]]</f>
        <v>Mg</v>
      </c>
    </row>
    <row r="245" spans="1:37" x14ac:dyDescent="0.25">
      <c r="A245" s="17">
        <f t="shared" si="6"/>
        <v>244</v>
      </c>
      <c r="B245" s="10" t="str">
        <f>_xlfn.XLOOKUP(C245,Tab_Def_Flows[Name(EN)],Tab_Def_Flows[Flow_ID],,0,)</f>
        <v>N.A.</v>
      </c>
      <c r="C245" s="12" t="s">
        <v>35</v>
      </c>
      <c r="D245" s="10">
        <f>_xlfn.XLOOKUP(C245,Tab_Def_Flows[Name(EN)],Tab_Def_Flows[Type_Biomass],,0,)</f>
        <v>0</v>
      </c>
      <c r="E245" s="10">
        <f>_xlfn.XLOOKUP(C245,Tab_Def_Flows[Name(EN)],Tab_Def_Flows[Output_Process],,0,)</f>
        <v>0</v>
      </c>
      <c r="F245" s="10">
        <f>_xlfn.XLOOKUP(C245,Tab_Def_Flows[Name(EN)],Tab_Def_Flows[Process_ID_O],,0,)</f>
        <v>0</v>
      </c>
      <c r="G245" s="10">
        <f>_xlfn.XLOOKUP(C245,Tab_Def_Flows[Name(EN)],Tab_Def_Flows[Input_Process],,0,)</f>
        <v>0</v>
      </c>
      <c r="H245" s="18">
        <f>_xlfn.XLOOKUP(C245,Tab_Def_Flows[Name(EN)],Tab_Def_Flows[Process_ID_I],,0,)</f>
        <v>0</v>
      </c>
      <c r="I245" s="10" t="e">
        <f>_xlfn.XLOOKUP(C245,Tab_Def_Flows[Name(EN)],#REF!,,0,)</f>
        <v>#REF!</v>
      </c>
      <c r="J245" s="18">
        <f>_xlfn.XLOOKUP(C245,Tab_Def_Flows[Name(EN)],Tab_Def_Flows[WC?],,0,)</f>
        <v>0</v>
      </c>
      <c r="K245" s="18">
        <f>_xlfn.XLOOKUP(C245,Tab_Def_Flows[Name(EN)],Tab_Def_Flows[DM?],,0,)</f>
        <v>0</v>
      </c>
      <c r="L245" s="18">
        <f>_xlfn.XLOOKUP(C245,Tab_Def_Flows[Name(EN)],Tab_Def_Flows[CC?],,0,)</f>
        <v>0</v>
      </c>
      <c r="M245" s="12"/>
      <c r="N245" s="12"/>
      <c r="O245" s="50"/>
      <c r="P245" s="12"/>
      <c r="Q245" s="12"/>
      <c r="R245" s="12"/>
      <c r="S245" s="12"/>
      <c r="T245" s="12"/>
      <c r="U245" s="12"/>
      <c r="V245" s="12"/>
      <c r="W245" s="12"/>
      <c r="X245" s="12" t="s">
        <v>8</v>
      </c>
      <c r="Y245" s="43"/>
      <c r="Z245" s="12"/>
      <c r="AA245" s="36">
        <f t="shared" si="7"/>
        <v>0</v>
      </c>
      <c r="AB245" s="12" t="s">
        <v>283</v>
      </c>
      <c r="AC245" s="193">
        <f>INDEX(Tab_Def_Flows[[Flow_ID]:[CC_DM_source]],MATCH(Tab_Data_Flows[[#This Row],[Name(EN)]],Tab_Def_Flows[Name(EN)],0),13)</f>
        <v>0</v>
      </c>
      <c r="AD245" s="10" t="str">
        <f>IF(J245="Yes",AA245*Tab_Data_Flows[[#This Row],[WC_'[%']]],"N.A.")</f>
        <v>N.A.</v>
      </c>
      <c r="AE245" s="10" t="str">
        <f>Tab_Data_Flows[[#This Row],[UoM_Flow_Py]]</f>
        <v>Mg</v>
      </c>
      <c r="AF245" s="193">
        <f>INDEX(Tab_Def_Flows[[Flow_ID]:[CC_DM_source]],MATCH(Tab_Data_Flows[[#This Row],[Name(EN)]],Tab_Def_Flows[Name(EN)],0),15)</f>
        <v>0</v>
      </c>
      <c r="AG245" s="10" t="str">
        <f>IF(K245="Yes",AF245*Tab_Data_Flows[[#This Row],[Flow_Py]],"N.A.")</f>
        <v>N.A.</v>
      </c>
      <c r="AH245" s="10" t="str">
        <f>Tab_Data_Flows[[#This Row],[UoM_Flow_Py]]</f>
        <v>Mg</v>
      </c>
      <c r="AI245" s="193">
        <f>INDEX(Tab_Def_Flows[[Flow_ID]:[CC_DM_source]],MATCH(Tab_Data_Flows[[#This Row],[Name(EN)]],Tab_Def_Flows[Name(EN)],0),17)</f>
        <v>0</v>
      </c>
      <c r="AJ245" s="10" t="str">
        <f>IF(L245="Yes",AI245*Tab_Data_Flows[[#This Row],[Flow_Py]]*Tab_Data_Flows[[#This Row],[DM_'[%']]],"N.A.")</f>
        <v>N.A.</v>
      </c>
      <c r="AK245" s="10" t="str">
        <f>Tab_Data_Flows[[#This Row],[UoM_Flow_Py]]</f>
        <v>Mg</v>
      </c>
    </row>
    <row r="246" spans="1:37" x14ac:dyDescent="0.25">
      <c r="A246" s="17">
        <f t="shared" si="6"/>
        <v>245</v>
      </c>
      <c r="B246" s="10" t="str">
        <f>_xlfn.XLOOKUP(C246,Tab_Def_Flows[Name(EN)],Tab_Def_Flows[Flow_ID],,0,)</f>
        <v>N.A.</v>
      </c>
      <c r="C246" s="12" t="s">
        <v>35</v>
      </c>
      <c r="D246" s="10">
        <f>_xlfn.XLOOKUP(C246,Tab_Def_Flows[Name(EN)],Tab_Def_Flows[Type_Biomass],,0,)</f>
        <v>0</v>
      </c>
      <c r="E246" s="10">
        <f>_xlfn.XLOOKUP(C246,Tab_Def_Flows[Name(EN)],Tab_Def_Flows[Output_Process],,0,)</f>
        <v>0</v>
      </c>
      <c r="F246" s="10">
        <f>_xlfn.XLOOKUP(C246,Tab_Def_Flows[Name(EN)],Tab_Def_Flows[Process_ID_O],,0,)</f>
        <v>0</v>
      </c>
      <c r="G246" s="10">
        <f>_xlfn.XLOOKUP(C246,Tab_Def_Flows[Name(EN)],Tab_Def_Flows[Input_Process],,0,)</f>
        <v>0</v>
      </c>
      <c r="H246" s="18">
        <f>_xlfn.XLOOKUP(C246,Tab_Def_Flows[Name(EN)],Tab_Def_Flows[Process_ID_I],,0,)</f>
        <v>0</v>
      </c>
      <c r="I246" s="10" t="e">
        <f>_xlfn.XLOOKUP(C246,Tab_Def_Flows[Name(EN)],#REF!,,0,)</f>
        <v>#REF!</v>
      </c>
      <c r="J246" s="18">
        <f>_xlfn.XLOOKUP(C246,Tab_Def_Flows[Name(EN)],Tab_Def_Flows[WC?],,0,)</f>
        <v>0</v>
      </c>
      <c r="K246" s="18">
        <f>_xlfn.XLOOKUP(C246,Tab_Def_Flows[Name(EN)],Tab_Def_Flows[DM?],,0,)</f>
        <v>0</v>
      </c>
      <c r="L246" s="18">
        <f>_xlfn.XLOOKUP(C246,Tab_Def_Flows[Name(EN)],Tab_Def_Flows[CC?],,0,)</f>
        <v>0</v>
      </c>
      <c r="M246" s="12"/>
      <c r="N246" s="12"/>
      <c r="O246" s="50"/>
      <c r="P246" s="12"/>
      <c r="Q246" s="12"/>
      <c r="R246" s="12"/>
      <c r="S246" s="12"/>
      <c r="T246" s="12"/>
      <c r="U246" s="12"/>
      <c r="V246" s="12"/>
      <c r="W246" s="12"/>
      <c r="X246" s="12" t="s">
        <v>8</v>
      </c>
      <c r="Y246" s="43"/>
      <c r="Z246" s="12"/>
      <c r="AA246" s="36">
        <f t="shared" si="7"/>
        <v>0</v>
      </c>
      <c r="AB246" s="12" t="s">
        <v>283</v>
      </c>
      <c r="AC246" s="193">
        <f>INDEX(Tab_Def_Flows[[Flow_ID]:[CC_DM_source]],MATCH(Tab_Data_Flows[[#This Row],[Name(EN)]],Tab_Def_Flows[Name(EN)],0),13)</f>
        <v>0</v>
      </c>
      <c r="AD246" s="10" t="str">
        <f>IF(J246="Yes",AA246*Tab_Data_Flows[[#This Row],[WC_'[%']]],"N.A.")</f>
        <v>N.A.</v>
      </c>
      <c r="AE246" s="10" t="str">
        <f>Tab_Data_Flows[[#This Row],[UoM_Flow_Py]]</f>
        <v>Mg</v>
      </c>
      <c r="AF246" s="193">
        <f>INDEX(Tab_Def_Flows[[Flow_ID]:[CC_DM_source]],MATCH(Tab_Data_Flows[[#This Row],[Name(EN)]],Tab_Def_Flows[Name(EN)],0),15)</f>
        <v>0</v>
      </c>
      <c r="AG246" s="10" t="str">
        <f>IF(K246="Yes",AF246*Tab_Data_Flows[[#This Row],[Flow_Py]],"N.A.")</f>
        <v>N.A.</v>
      </c>
      <c r="AH246" s="10" t="str">
        <f>Tab_Data_Flows[[#This Row],[UoM_Flow_Py]]</f>
        <v>Mg</v>
      </c>
      <c r="AI246" s="193">
        <f>INDEX(Tab_Def_Flows[[Flow_ID]:[CC_DM_source]],MATCH(Tab_Data_Flows[[#This Row],[Name(EN)]],Tab_Def_Flows[Name(EN)],0),17)</f>
        <v>0</v>
      </c>
      <c r="AJ246" s="10" t="str">
        <f>IF(L246="Yes",AI246*Tab_Data_Flows[[#This Row],[Flow_Py]]*Tab_Data_Flows[[#This Row],[DM_'[%']]],"N.A.")</f>
        <v>N.A.</v>
      </c>
      <c r="AK246" s="10" t="str">
        <f>Tab_Data_Flows[[#This Row],[UoM_Flow_Py]]</f>
        <v>Mg</v>
      </c>
    </row>
    <row r="247" spans="1:37" x14ac:dyDescent="0.25">
      <c r="A247" s="17">
        <f t="shared" si="6"/>
        <v>246</v>
      </c>
      <c r="B247" s="10" t="str">
        <f>_xlfn.XLOOKUP(C247,Tab_Def_Flows[Name(EN)],Tab_Def_Flows[Flow_ID],,0,)</f>
        <v>N.A.</v>
      </c>
      <c r="C247" s="12" t="s">
        <v>35</v>
      </c>
      <c r="D247" s="10">
        <f>_xlfn.XLOOKUP(C247,Tab_Def_Flows[Name(EN)],Tab_Def_Flows[Type_Biomass],,0,)</f>
        <v>0</v>
      </c>
      <c r="E247" s="10">
        <f>_xlfn.XLOOKUP(C247,Tab_Def_Flows[Name(EN)],Tab_Def_Flows[Output_Process],,0,)</f>
        <v>0</v>
      </c>
      <c r="F247" s="10">
        <f>_xlfn.XLOOKUP(C247,Tab_Def_Flows[Name(EN)],Tab_Def_Flows[Process_ID_O],,0,)</f>
        <v>0</v>
      </c>
      <c r="G247" s="10">
        <f>_xlfn.XLOOKUP(C247,Tab_Def_Flows[Name(EN)],Tab_Def_Flows[Input_Process],,0,)</f>
        <v>0</v>
      </c>
      <c r="H247" s="18">
        <f>_xlfn.XLOOKUP(C247,Tab_Def_Flows[Name(EN)],Tab_Def_Flows[Process_ID_I],,0,)</f>
        <v>0</v>
      </c>
      <c r="I247" s="10" t="e">
        <f>_xlfn.XLOOKUP(C247,Tab_Def_Flows[Name(EN)],#REF!,,0,)</f>
        <v>#REF!</v>
      </c>
      <c r="J247" s="18">
        <f>_xlfn.XLOOKUP(C247,Tab_Def_Flows[Name(EN)],Tab_Def_Flows[WC?],,0,)</f>
        <v>0</v>
      </c>
      <c r="K247" s="18">
        <f>_xlfn.XLOOKUP(C247,Tab_Def_Flows[Name(EN)],Tab_Def_Flows[DM?],,0,)</f>
        <v>0</v>
      </c>
      <c r="L247" s="18">
        <f>_xlfn.XLOOKUP(C247,Tab_Def_Flows[Name(EN)],Tab_Def_Flows[CC?],,0,)</f>
        <v>0</v>
      </c>
      <c r="M247" s="12"/>
      <c r="N247" s="12"/>
      <c r="O247" s="50"/>
      <c r="P247" s="12"/>
      <c r="Q247" s="12"/>
      <c r="R247" s="12"/>
      <c r="S247" s="12"/>
      <c r="T247" s="12"/>
      <c r="U247" s="12"/>
      <c r="V247" s="12"/>
      <c r="W247" s="12"/>
      <c r="X247" s="12" t="s">
        <v>8</v>
      </c>
      <c r="Y247" s="43"/>
      <c r="Z247" s="12"/>
      <c r="AA247" s="36">
        <f t="shared" si="7"/>
        <v>0</v>
      </c>
      <c r="AB247" s="12" t="s">
        <v>283</v>
      </c>
      <c r="AC247" s="193">
        <f>INDEX(Tab_Def_Flows[[Flow_ID]:[CC_DM_source]],MATCH(Tab_Data_Flows[[#This Row],[Name(EN)]],Tab_Def_Flows[Name(EN)],0),13)</f>
        <v>0</v>
      </c>
      <c r="AD247" s="10" t="str">
        <f>IF(J247="Yes",AA247*Tab_Data_Flows[[#This Row],[WC_'[%']]],"N.A.")</f>
        <v>N.A.</v>
      </c>
      <c r="AE247" s="10" t="str">
        <f>Tab_Data_Flows[[#This Row],[UoM_Flow_Py]]</f>
        <v>Mg</v>
      </c>
      <c r="AF247" s="193">
        <f>INDEX(Tab_Def_Flows[[Flow_ID]:[CC_DM_source]],MATCH(Tab_Data_Flows[[#This Row],[Name(EN)]],Tab_Def_Flows[Name(EN)],0),15)</f>
        <v>0</v>
      </c>
      <c r="AG247" s="10" t="str">
        <f>IF(K247="Yes",AF247*Tab_Data_Flows[[#This Row],[Flow_Py]],"N.A.")</f>
        <v>N.A.</v>
      </c>
      <c r="AH247" s="10" t="str">
        <f>Tab_Data_Flows[[#This Row],[UoM_Flow_Py]]</f>
        <v>Mg</v>
      </c>
      <c r="AI247" s="193">
        <f>INDEX(Tab_Def_Flows[[Flow_ID]:[CC_DM_source]],MATCH(Tab_Data_Flows[[#This Row],[Name(EN)]],Tab_Def_Flows[Name(EN)],0),17)</f>
        <v>0</v>
      </c>
      <c r="AJ247" s="10" t="str">
        <f>IF(L247="Yes",AI247*Tab_Data_Flows[[#This Row],[Flow_Py]]*Tab_Data_Flows[[#This Row],[DM_'[%']]],"N.A.")</f>
        <v>N.A.</v>
      </c>
      <c r="AK247" s="10" t="str">
        <f>Tab_Data_Flows[[#This Row],[UoM_Flow_Py]]</f>
        <v>Mg</v>
      </c>
    </row>
    <row r="248" spans="1:37" x14ac:dyDescent="0.25">
      <c r="A248" s="17">
        <f t="shared" si="6"/>
        <v>247</v>
      </c>
      <c r="B248" s="10" t="str">
        <f>_xlfn.XLOOKUP(C248,Tab_Def_Flows[Name(EN)],Tab_Def_Flows[Flow_ID],,0,)</f>
        <v>N.A.</v>
      </c>
      <c r="C248" s="12" t="s">
        <v>35</v>
      </c>
      <c r="D248" s="10">
        <f>_xlfn.XLOOKUP(C248,Tab_Def_Flows[Name(EN)],Tab_Def_Flows[Type_Biomass],,0,)</f>
        <v>0</v>
      </c>
      <c r="E248" s="10">
        <f>_xlfn.XLOOKUP(C248,Tab_Def_Flows[Name(EN)],Tab_Def_Flows[Output_Process],,0,)</f>
        <v>0</v>
      </c>
      <c r="F248" s="10">
        <f>_xlfn.XLOOKUP(C248,Tab_Def_Flows[Name(EN)],Tab_Def_Flows[Process_ID_O],,0,)</f>
        <v>0</v>
      </c>
      <c r="G248" s="10">
        <f>_xlfn.XLOOKUP(C248,Tab_Def_Flows[Name(EN)],Tab_Def_Flows[Input_Process],,0,)</f>
        <v>0</v>
      </c>
      <c r="H248" s="18">
        <f>_xlfn.XLOOKUP(C248,Tab_Def_Flows[Name(EN)],Tab_Def_Flows[Process_ID_I],,0,)</f>
        <v>0</v>
      </c>
      <c r="I248" s="10" t="e">
        <f>_xlfn.XLOOKUP(C248,Tab_Def_Flows[Name(EN)],#REF!,,0,)</f>
        <v>#REF!</v>
      </c>
      <c r="J248" s="18">
        <f>_xlfn.XLOOKUP(C248,Tab_Def_Flows[Name(EN)],Tab_Def_Flows[WC?],,0,)</f>
        <v>0</v>
      </c>
      <c r="K248" s="18">
        <f>_xlfn.XLOOKUP(C248,Tab_Def_Flows[Name(EN)],Tab_Def_Flows[DM?],,0,)</f>
        <v>0</v>
      </c>
      <c r="L248" s="18">
        <f>_xlfn.XLOOKUP(C248,Tab_Def_Flows[Name(EN)],Tab_Def_Flows[CC?],,0,)</f>
        <v>0</v>
      </c>
      <c r="M248" s="12"/>
      <c r="N248" s="12"/>
      <c r="O248" s="50"/>
      <c r="P248" s="12"/>
      <c r="Q248" s="12"/>
      <c r="R248" s="12"/>
      <c r="S248" s="12"/>
      <c r="T248" s="12"/>
      <c r="U248" s="12"/>
      <c r="V248" s="12"/>
      <c r="W248" s="12"/>
      <c r="X248" s="12" t="s">
        <v>8</v>
      </c>
      <c r="Y248" s="43"/>
      <c r="Z248" s="12"/>
      <c r="AA248" s="36">
        <f t="shared" si="7"/>
        <v>0</v>
      </c>
      <c r="AB248" s="12" t="s">
        <v>283</v>
      </c>
      <c r="AC248" s="193">
        <f>INDEX(Tab_Def_Flows[[Flow_ID]:[CC_DM_source]],MATCH(Tab_Data_Flows[[#This Row],[Name(EN)]],Tab_Def_Flows[Name(EN)],0),13)</f>
        <v>0</v>
      </c>
      <c r="AD248" s="10" t="str">
        <f>IF(J248="Yes",AA248*Tab_Data_Flows[[#This Row],[WC_'[%']]],"N.A.")</f>
        <v>N.A.</v>
      </c>
      <c r="AE248" s="10" t="str">
        <f>Tab_Data_Flows[[#This Row],[UoM_Flow_Py]]</f>
        <v>Mg</v>
      </c>
      <c r="AF248" s="193">
        <f>INDEX(Tab_Def_Flows[[Flow_ID]:[CC_DM_source]],MATCH(Tab_Data_Flows[[#This Row],[Name(EN)]],Tab_Def_Flows[Name(EN)],0),15)</f>
        <v>0</v>
      </c>
      <c r="AG248" s="10" t="str">
        <f>IF(K248="Yes",AF248*Tab_Data_Flows[[#This Row],[Flow_Py]],"N.A.")</f>
        <v>N.A.</v>
      </c>
      <c r="AH248" s="10" t="str">
        <f>Tab_Data_Flows[[#This Row],[UoM_Flow_Py]]</f>
        <v>Mg</v>
      </c>
      <c r="AI248" s="193">
        <f>INDEX(Tab_Def_Flows[[Flow_ID]:[CC_DM_source]],MATCH(Tab_Data_Flows[[#This Row],[Name(EN)]],Tab_Def_Flows[Name(EN)],0),17)</f>
        <v>0</v>
      </c>
      <c r="AJ248" s="10" t="str">
        <f>IF(L248="Yes",AI248*Tab_Data_Flows[[#This Row],[Flow_Py]]*Tab_Data_Flows[[#This Row],[DM_'[%']]],"N.A.")</f>
        <v>N.A.</v>
      </c>
      <c r="AK248" s="10" t="str">
        <f>Tab_Data_Flows[[#This Row],[UoM_Flow_Py]]</f>
        <v>Mg</v>
      </c>
    </row>
    <row r="249" spans="1:37" x14ac:dyDescent="0.25">
      <c r="A249" s="17">
        <f t="shared" si="6"/>
        <v>248</v>
      </c>
      <c r="B249" s="10" t="str">
        <f>_xlfn.XLOOKUP(C249,Tab_Def_Flows[Name(EN)],Tab_Def_Flows[Flow_ID],,0,)</f>
        <v>N.A.</v>
      </c>
      <c r="C249" s="12" t="s">
        <v>35</v>
      </c>
      <c r="D249" s="10">
        <f>_xlfn.XLOOKUP(C249,Tab_Def_Flows[Name(EN)],Tab_Def_Flows[Type_Biomass],,0,)</f>
        <v>0</v>
      </c>
      <c r="E249" s="10">
        <f>_xlfn.XLOOKUP(C249,Tab_Def_Flows[Name(EN)],Tab_Def_Flows[Output_Process],,0,)</f>
        <v>0</v>
      </c>
      <c r="F249" s="10">
        <f>_xlfn.XLOOKUP(C249,Tab_Def_Flows[Name(EN)],Tab_Def_Flows[Process_ID_O],,0,)</f>
        <v>0</v>
      </c>
      <c r="G249" s="10">
        <f>_xlfn.XLOOKUP(C249,Tab_Def_Flows[Name(EN)],Tab_Def_Flows[Input_Process],,0,)</f>
        <v>0</v>
      </c>
      <c r="H249" s="18">
        <f>_xlfn.XLOOKUP(C249,Tab_Def_Flows[Name(EN)],Tab_Def_Flows[Process_ID_I],,0,)</f>
        <v>0</v>
      </c>
      <c r="I249" s="10" t="e">
        <f>_xlfn.XLOOKUP(C249,Tab_Def_Flows[Name(EN)],#REF!,,0,)</f>
        <v>#REF!</v>
      </c>
      <c r="J249" s="18">
        <f>_xlfn.XLOOKUP(C249,Tab_Def_Flows[Name(EN)],Tab_Def_Flows[WC?],,0,)</f>
        <v>0</v>
      </c>
      <c r="K249" s="18">
        <f>_xlfn.XLOOKUP(C249,Tab_Def_Flows[Name(EN)],Tab_Def_Flows[DM?],,0,)</f>
        <v>0</v>
      </c>
      <c r="L249" s="18">
        <f>_xlfn.XLOOKUP(C249,Tab_Def_Flows[Name(EN)],Tab_Def_Flows[CC?],,0,)</f>
        <v>0</v>
      </c>
      <c r="M249" s="12"/>
      <c r="N249" s="12"/>
      <c r="O249" s="50"/>
      <c r="P249" s="12"/>
      <c r="Q249" s="12"/>
      <c r="R249" s="12"/>
      <c r="S249" s="12"/>
      <c r="T249" s="12"/>
      <c r="U249" s="12"/>
      <c r="V249" s="12"/>
      <c r="W249" s="12"/>
      <c r="X249" s="12" t="s">
        <v>8</v>
      </c>
      <c r="Y249" s="43"/>
      <c r="Z249" s="12"/>
      <c r="AA249" s="36">
        <f t="shared" si="7"/>
        <v>0</v>
      </c>
      <c r="AB249" s="12" t="s">
        <v>283</v>
      </c>
      <c r="AC249" s="193">
        <f>INDEX(Tab_Def_Flows[[Flow_ID]:[CC_DM_source]],MATCH(Tab_Data_Flows[[#This Row],[Name(EN)]],Tab_Def_Flows[Name(EN)],0),13)</f>
        <v>0</v>
      </c>
      <c r="AD249" s="10" t="str">
        <f>IF(J249="Yes",AA249*Tab_Data_Flows[[#This Row],[WC_'[%']]],"N.A.")</f>
        <v>N.A.</v>
      </c>
      <c r="AE249" s="10" t="str">
        <f>Tab_Data_Flows[[#This Row],[UoM_Flow_Py]]</f>
        <v>Mg</v>
      </c>
      <c r="AF249" s="193">
        <f>INDEX(Tab_Def_Flows[[Flow_ID]:[CC_DM_source]],MATCH(Tab_Data_Flows[[#This Row],[Name(EN)]],Tab_Def_Flows[Name(EN)],0),15)</f>
        <v>0</v>
      </c>
      <c r="AG249" s="10" t="str">
        <f>IF(K249="Yes",AF249*Tab_Data_Flows[[#This Row],[Flow_Py]],"N.A.")</f>
        <v>N.A.</v>
      </c>
      <c r="AH249" s="10" t="str">
        <f>Tab_Data_Flows[[#This Row],[UoM_Flow_Py]]</f>
        <v>Mg</v>
      </c>
      <c r="AI249" s="193">
        <f>INDEX(Tab_Def_Flows[[Flow_ID]:[CC_DM_source]],MATCH(Tab_Data_Flows[[#This Row],[Name(EN)]],Tab_Def_Flows[Name(EN)],0),17)</f>
        <v>0</v>
      </c>
      <c r="AJ249" s="10" t="str">
        <f>IF(L249="Yes",AI249*Tab_Data_Flows[[#This Row],[Flow_Py]]*Tab_Data_Flows[[#This Row],[DM_'[%']]],"N.A.")</f>
        <v>N.A.</v>
      </c>
      <c r="AK249" s="10" t="str">
        <f>Tab_Data_Flows[[#This Row],[UoM_Flow_Py]]</f>
        <v>Mg</v>
      </c>
    </row>
    <row r="250" spans="1:37" x14ac:dyDescent="0.25">
      <c r="A250" s="17">
        <f t="shared" si="6"/>
        <v>249</v>
      </c>
      <c r="B250" s="10" t="str">
        <f>_xlfn.XLOOKUP(C250,Tab_Def_Flows[Name(EN)],Tab_Def_Flows[Flow_ID],,0,)</f>
        <v>N.A.</v>
      </c>
      <c r="C250" s="12" t="s">
        <v>35</v>
      </c>
      <c r="D250" s="10">
        <f>_xlfn.XLOOKUP(C250,Tab_Def_Flows[Name(EN)],Tab_Def_Flows[Type_Biomass],,0,)</f>
        <v>0</v>
      </c>
      <c r="E250" s="10">
        <f>_xlfn.XLOOKUP(C250,Tab_Def_Flows[Name(EN)],Tab_Def_Flows[Output_Process],,0,)</f>
        <v>0</v>
      </c>
      <c r="F250" s="10">
        <f>_xlfn.XLOOKUP(C250,Tab_Def_Flows[Name(EN)],Tab_Def_Flows[Process_ID_O],,0,)</f>
        <v>0</v>
      </c>
      <c r="G250" s="10">
        <f>_xlfn.XLOOKUP(C250,Tab_Def_Flows[Name(EN)],Tab_Def_Flows[Input_Process],,0,)</f>
        <v>0</v>
      </c>
      <c r="H250" s="18">
        <f>_xlfn.XLOOKUP(C250,Tab_Def_Flows[Name(EN)],Tab_Def_Flows[Process_ID_I],,0,)</f>
        <v>0</v>
      </c>
      <c r="I250" s="10" t="e">
        <f>_xlfn.XLOOKUP(C250,Tab_Def_Flows[Name(EN)],#REF!,,0,)</f>
        <v>#REF!</v>
      </c>
      <c r="J250" s="18">
        <f>_xlfn.XLOOKUP(C250,Tab_Def_Flows[Name(EN)],Tab_Def_Flows[WC?],,0,)</f>
        <v>0</v>
      </c>
      <c r="K250" s="18">
        <f>_xlfn.XLOOKUP(C250,Tab_Def_Flows[Name(EN)],Tab_Def_Flows[DM?],,0,)</f>
        <v>0</v>
      </c>
      <c r="L250" s="18">
        <f>_xlfn.XLOOKUP(C250,Tab_Def_Flows[Name(EN)],Tab_Def_Flows[CC?],,0,)</f>
        <v>0</v>
      </c>
      <c r="M250" s="12"/>
      <c r="N250" s="12"/>
      <c r="O250" s="50"/>
      <c r="P250" s="12"/>
      <c r="Q250" s="12"/>
      <c r="R250" s="12"/>
      <c r="S250" s="12"/>
      <c r="T250" s="12"/>
      <c r="U250" s="12"/>
      <c r="V250" s="12"/>
      <c r="W250" s="12"/>
      <c r="X250" s="12" t="s">
        <v>8</v>
      </c>
      <c r="Y250" s="43"/>
      <c r="Z250" s="12"/>
      <c r="AA250" s="36">
        <f t="shared" si="7"/>
        <v>0</v>
      </c>
      <c r="AB250" s="12" t="s">
        <v>283</v>
      </c>
      <c r="AC250" s="193">
        <f>INDEX(Tab_Def_Flows[[Flow_ID]:[CC_DM_source]],MATCH(Tab_Data_Flows[[#This Row],[Name(EN)]],Tab_Def_Flows[Name(EN)],0),13)</f>
        <v>0</v>
      </c>
      <c r="AD250" s="10" t="str">
        <f>IF(J250="Yes",AA250*Tab_Data_Flows[[#This Row],[WC_'[%']]],"N.A.")</f>
        <v>N.A.</v>
      </c>
      <c r="AE250" s="10" t="str">
        <f>Tab_Data_Flows[[#This Row],[UoM_Flow_Py]]</f>
        <v>Mg</v>
      </c>
      <c r="AF250" s="193">
        <f>INDEX(Tab_Def_Flows[[Flow_ID]:[CC_DM_source]],MATCH(Tab_Data_Flows[[#This Row],[Name(EN)]],Tab_Def_Flows[Name(EN)],0),15)</f>
        <v>0</v>
      </c>
      <c r="AG250" s="10" t="str">
        <f>IF(K250="Yes",AF250*Tab_Data_Flows[[#This Row],[Flow_Py]],"N.A.")</f>
        <v>N.A.</v>
      </c>
      <c r="AH250" s="10" t="str">
        <f>Tab_Data_Flows[[#This Row],[UoM_Flow_Py]]</f>
        <v>Mg</v>
      </c>
      <c r="AI250" s="193">
        <f>INDEX(Tab_Def_Flows[[Flow_ID]:[CC_DM_source]],MATCH(Tab_Data_Flows[[#This Row],[Name(EN)]],Tab_Def_Flows[Name(EN)],0),17)</f>
        <v>0</v>
      </c>
      <c r="AJ250" s="10" t="str">
        <f>IF(L250="Yes",AI250*Tab_Data_Flows[[#This Row],[Flow_Py]]*Tab_Data_Flows[[#This Row],[DM_'[%']]],"N.A.")</f>
        <v>N.A.</v>
      </c>
      <c r="AK250" s="10" t="str">
        <f>Tab_Data_Flows[[#This Row],[UoM_Flow_Py]]</f>
        <v>Mg</v>
      </c>
    </row>
    <row r="251" spans="1:37" x14ac:dyDescent="0.25">
      <c r="A251" s="17">
        <f t="shared" si="6"/>
        <v>250</v>
      </c>
      <c r="B251" s="10" t="str">
        <f>_xlfn.XLOOKUP(C251,Tab_Def_Flows[Name(EN)],Tab_Def_Flows[Flow_ID],,0,)</f>
        <v>N.A.</v>
      </c>
      <c r="C251" s="12" t="s">
        <v>35</v>
      </c>
      <c r="D251" s="10">
        <f>_xlfn.XLOOKUP(C251,Tab_Def_Flows[Name(EN)],Tab_Def_Flows[Type_Biomass],,0,)</f>
        <v>0</v>
      </c>
      <c r="E251" s="10">
        <f>_xlfn.XLOOKUP(C251,Tab_Def_Flows[Name(EN)],Tab_Def_Flows[Output_Process],,0,)</f>
        <v>0</v>
      </c>
      <c r="F251" s="10">
        <f>_xlfn.XLOOKUP(C251,Tab_Def_Flows[Name(EN)],Tab_Def_Flows[Process_ID_O],,0,)</f>
        <v>0</v>
      </c>
      <c r="G251" s="10">
        <f>_xlfn.XLOOKUP(C251,Tab_Def_Flows[Name(EN)],Tab_Def_Flows[Input_Process],,0,)</f>
        <v>0</v>
      </c>
      <c r="H251" s="18">
        <f>_xlfn.XLOOKUP(C251,Tab_Def_Flows[Name(EN)],Tab_Def_Flows[Process_ID_I],,0,)</f>
        <v>0</v>
      </c>
      <c r="I251" s="10" t="e">
        <f>_xlfn.XLOOKUP(C251,Tab_Def_Flows[Name(EN)],#REF!,,0,)</f>
        <v>#REF!</v>
      </c>
      <c r="J251" s="18">
        <f>_xlfn.XLOOKUP(C251,Tab_Def_Flows[Name(EN)],Tab_Def_Flows[WC?],,0,)</f>
        <v>0</v>
      </c>
      <c r="K251" s="18">
        <f>_xlfn.XLOOKUP(C251,Tab_Def_Flows[Name(EN)],Tab_Def_Flows[DM?],,0,)</f>
        <v>0</v>
      </c>
      <c r="L251" s="18">
        <f>_xlfn.XLOOKUP(C251,Tab_Def_Flows[Name(EN)],Tab_Def_Flows[CC?],,0,)</f>
        <v>0</v>
      </c>
      <c r="M251" s="12"/>
      <c r="N251" s="12"/>
      <c r="O251" s="50"/>
      <c r="P251" s="12"/>
      <c r="Q251" s="12"/>
      <c r="R251" s="12"/>
      <c r="S251" s="12"/>
      <c r="T251" s="12"/>
      <c r="U251" s="12"/>
      <c r="V251" s="12"/>
      <c r="W251" s="12"/>
      <c r="X251" s="12" t="s">
        <v>8</v>
      </c>
      <c r="Y251" s="43"/>
      <c r="Z251" s="12"/>
      <c r="AA251" s="36">
        <f t="shared" si="7"/>
        <v>0</v>
      </c>
      <c r="AB251" s="12" t="s">
        <v>283</v>
      </c>
      <c r="AC251" s="193">
        <f>INDEX(Tab_Def_Flows[[Flow_ID]:[CC_DM_source]],MATCH(Tab_Data_Flows[[#This Row],[Name(EN)]],Tab_Def_Flows[Name(EN)],0),13)</f>
        <v>0</v>
      </c>
      <c r="AD251" s="10" t="str">
        <f>IF(J251="Yes",AA251*Tab_Data_Flows[[#This Row],[WC_'[%']]],"N.A.")</f>
        <v>N.A.</v>
      </c>
      <c r="AE251" s="10" t="str">
        <f>Tab_Data_Flows[[#This Row],[UoM_Flow_Py]]</f>
        <v>Mg</v>
      </c>
      <c r="AF251" s="193">
        <f>INDEX(Tab_Def_Flows[[Flow_ID]:[CC_DM_source]],MATCH(Tab_Data_Flows[[#This Row],[Name(EN)]],Tab_Def_Flows[Name(EN)],0),15)</f>
        <v>0</v>
      </c>
      <c r="AG251" s="10" t="str">
        <f>IF(K251="Yes",AF251*Tab_Data_Flows[[#This Row],[Flow_Py]],"N.A.")</f>
        <v>N.A.</v>
      </c>
      <c r="AH251" s="10" t="str">
        <f>Tab_Data_Flows[[#This Row],[UoM_Flow_Py]]</f>
        <v>Mg</v>
      </c>
      <c r="AI251" s="193">
        <f>INDEX(Tab_Def_Flows[[Flow_ID]:[CC_DM_source]],MATCH(Tab_Data_Flows[[#This Row],[Name(EN)]],Tab_Def_Flows[Name(EN)],0),17)</f>
        <v>0</v>
      </c>
      <c r="AJ251" s="10" t="str">
        <f>IF(L251="Yes",AI251*Tab_Data_Flows[[#This Row],[Flow_Py]]*Tab_Data_Flows[[#This Row],[DM_'[%']]],"N.A.")</f>
        <v>N.A.</v>
      </c>
      <c r="AK251" s="10" t="str">
        <f>Tab_Data_Flows[[#This Row],[UoM_Flow_Py]]</f>
        <v>Mg</v>
      </c>
    </row>
    <row r="252" spans="1:37" x14ac:dyDescent="0.25">
      <c r="A252" s="17">
        <f t="shared" si="6"/>
        <v>251</v>
      </c>
      <c r="B252" s="10" t="str">
        <f>_xlfn.XLOOKUP(C252,Tab_Def_Flows[Name(EN)],Tab_Def_Flows[Flow_ID],,0,)</f>
        <v>N.A.</v>
      </c>
      <c r="C252" s="12" t="s">
        <v>35</v>
      </c>
      <c r="D252" s="10">
        <f>_xlfn.XLOOKUP(C252,Tab_Def_Flows[Name(EN)],Tab_Def_Flows[Type_Biomass],,0,)</f>
        <v>0</v>
      </c>
      <c r="E252" s="10">
        <f>_xlfn.XLOOKUP(C252,Tab_Def_Flows[Name(EN)],Tab_Def_Flows[Output_Process],,0,)</f>
        <v>0</v>
      </c>
      <c r="F252" s="10">
        <f>_xlfn.XLOOKUP(C252,Tab_Def_Flows[Name(EN)],Tab_Def_Flows[Process_ID_O],,0,)</f>
        <v>0</v>
      </c>
      <c r="G252" s="10">
        <f>_xlfn.XLOOKUP(C252,Tab_Def_Flows[Name(EN)],Tab_Def_Flows[Input_Process],,0,)</f>
        <v>0</v>
      </c>
      <c r="H252" s="18">
        <f>_xlfn.XLOOKUP(C252,Tab_Def_Flows[Name(EN)],Tab_Def_Flows[Process_ID_I],,0,)</f>
        <v>0</v>
      </c>
      <c r="I252" s="10" t="e">
        <f>_xlfn.XLOOKUP(C252,Tab_Def_Flows[Name(EN)],#REF!,,0,)</f>
        <v>#REF!</v>
      </c>
      <c r="J252" s="18">
        <f>_xlfn.XLOOKUP(C252,Tab_Def_Flows[Name(EN)],Tab_Def_Flows[WC?],,0,)</f>
        <v>0</v>
      </c>
      <c r="K252" s="18">
        <f>_xlfn.XLOOKUP(C252,Tab_Def_Flows[Name(EN)],Tab_Def_Flows[DM?],,0,)</f>
        <v>0</v>
      </c>
      <c r="L252" s="18">
        <f>_xlfn.XLOOKUP(C252,Tab_Def_Flows[Name(EN)],Tab_Def_Flows[CC?],,0,)</f>
        <v>0</v>
      </c>
      <c r="M252" s="12"/>
      <c r="N252" s="12"/>
      <c r="O252" s="50"/>
      <c r="P252" s="12"/>
      <c r="Q252" s="12"/>
      <c r="R252" s="12"/>
      <c r="S252" s="12"/>
      <c r="T252" s="12"/>
      <c r="U252" s="12"/>
      <c r="V252" s="12"/>
      <c r="W252" s="12"/>
      <c r="X252" s="12" t="s">
        <v>8</v>
      </c>
      <c r="Y252" s="43"/>
      <c r="Z252" s="12"/>
      <c r="AA252" s="36">
        <f t="shared" si="7"/>
        <v>0</v>
      </c>
      <c r="AB252" s="12" t="s">
        <v>283</v>
      </c>
      <c r="AC252" s="193">
        <f>INDEX(Tab_Def_Flows[[Flow_ID]:[CC_DM_source]],MATCH(Tab_Data_Flows[[#This Row],[Name(EN)]],Tab_Def_Flows[Name(EN)],0),13)</f>
        <v>0</v>
      </c>
      <c r="AD252" s="10" t="str">
        <f>IF(J252="Yes",AA252*Tab_Data_Flows[[#This Row],[WC_'[%']]],"N.A.")</f>
        <v>N.A.</v>
      </c>
      <c r="AE252" s="10" t="str">
        <f>Tab_Data_Flows[[#This Row],[UoM_Flow_Py]]</f>
        <v>Mg</v>
      </c>
      <c r="AF252" s="193">
        <f>INDEX(Tab_Def_Flows[[Flow_ID]:[CC_DM_source]],MATCH(Tab_Data_Flows[[#This Row],[Name(EN)]],Tab_Def_Flows[Name(EN)],0),15)</f>
        <v>0</v>
      </c>
      <c r="AG252" s="10" t="str">
        <f>IF(K252="Yes",AF252*Tab_Data_Flows[[#This Row],[Flow_Py]],"N.A.")</f>
        <v>N.A.</v>
      </c>
      <c r="AH252" s="10" t="str">
        <f>Tab_Data_Flows[[#This Row],[UoM_Flow_Py]]</f>
        <v>Mg</v>
      </c>
      <c r="AI252" s="193">
        <f>INDEX(Tab_Def_Flows[[Flow_ID]:[CC_DM_source]],MATCH(Tab_Data_Flows[[#This Row],[Name(EN)]],Tab_Def_Flows[Name(EN)],0),17)</f>
        <v>0</v>
      </c>
      <c r="AJ252" s="10" t="str">
        <f>IF(L252="Yes",AI252*Tab_Data_Flows[[#This Row],[Flow_Py]]*Tab_Data_Flows[[#This Row],[DM_'[%']]],"N.A.")</f>
        <v>N.A.</v>
      </c>
      <c r="AK252" s="10" t="str">
        <f>Tab_Data_Flows[[#This Row],[UoM_Flow_Py]]</f>
        <v>Mg</v>
      </c>
    </row>
    <row r="253" spans="1:37" x14ac:dyDescent="0.25">
      <c r="A253" s="17">
        <f t="shared" si="6"/>
        <v>252</v>
      </c>
      <c r="B253" s="10" t="str">
        <f>_xlfn.XLOOKUP(C253,Tab_Def_Flows[Name(EN)],Tab_Def_Flows[Flow_ID],,0,)</f>
        <v>N.A.</v>
      </c>
      <c r="C253" s="12" t="s">
        <v>35</v>
      </c>
      <c r="D253" s="10">
        <f>_xlfn.XLOOKUP(C253,Tab_Def_Flows[Name(EN)],Tab_Def_Flows[Type_Biomass],,0,)</f>
        <v>0</v>
      </c>
      <c r="E253" s="10">
        <f>_xlfn.XLOOKUP(C253,Tab_Def_Flows[Name(EN)],Tab_Def_Flows[Output_Process],,0,)</f>
        <v>0</v>
      </c>
      <c r="F253" s="10">
        <f>_xlfn.XLOOKUP(C253,Tab_Def_Flows[Name(EN)],Tab_Def_Flows[Process_ID_O],,0,)</f>
        <v>0</v>
      </c>
      <c r="G253" s="10">
        <f>_xlfn.XLOOKUP(C253,Tab_Def_Flows[Name(EN)],Tab_Def_Flows[Input_Process],,0,)</f>
        <v>0</v>
      </c>
      <c r="H253" s="18">
        <f>_xlfn.XLOOKUP(C253,Tab_Def_Flows[Name(EN)],Tab_Def_Flows[Process_ID_I],,0,)</f>
        <v>0</v>
      </c>
      <c r="I253" s="10" t="e">
        <f>_xlfn.XLOOKUP(C253,Tab_Def_Flows[Name(EN)],#REF!,,0,)</f>
        <v>#REF!</v>
      </c>
      <c r="J253" s="18">
        <f>_xlfn.XLOOKUP(C253,Tab_Def_Flows[Name(EN)],Tab_Def_Flows[WC?],,0,)</f>
        <v>0</v>
      </c>
      <c r="K253" s="18">
        <f>_xlfn.XLOOKUP(C253,Tab_Def_Flows[Name(EN)],Tab_Def_Flows[DM?],,0,)</f>
        <v>0</v>
      </c>
      <c r="L253" s="18">
        <f>_xlfn.XLOOKUP(C253,Tab_Def_Flows[Name(EN)],Tab_Def_Flows[CC?],,0,)</f>
        <v>0</v>
      </c>
      <c r="M253" s="12"/>
      <c r="N253" s="12"/>
      <c r="O253" s="50"/>
      <c r="P253" s="12"/>
      <c r="Q253" s="12"/>
      <c r="R253" s="12"/>
      <c r="S253" s="12"/>
      <c r="T253" s="12"/>
      <c r="U253" s="12"/>
      <c r="V253" s="12"/>
      <c r="W253" s="12"/>
      <c r="X253" s="12" t="s">
        <v>8</v>
      </c>
      <c r="Y253" s="43"/>
      <c r="Z253" s="12"/>
      <c r="AA253" s="36">
        <f t="shared" si="7"/>
        <v>0</v>
      </c>
      <c r="AB253" s="12" t="s">
        <v>283</v>
      </c>
      <c r="AC253" s="193">
        <f>INDEX(Tab_Def_Flows[[Flow_ID]:[CC_DM_source]],MATCH(Tab_Data_Flows[[#This Row],[Name(EN)]],Tab_Def_Flows[Name(EN)],0),13)</f>
        <v>0</v>
      </c>
      <c r="AD253" s="10" t="str">
        <f>IF(J253="Yes",AA253*Tab_Data_Flows[[#This Row],[WC_'[%']]],"N.A.")</f>
        <v>N.A.</v>
      </c>
      <c r="AE253" s="10" t="str">
        <f>Tab_Data_Flows[[#This Row],[UoM_Flow_Py]]</f>
        <v>Mg</v>
      </c>
      <c r="AF253" s="193">
        <f>INDEX(Tab_Def_Flows[[Flow_ID]:[CC_DM_source]],MATCH(Tab_Data_Flows[[#This Row],[Name(EN)]],Tab_Def_Flows[Name(EN)],0),15)</f>
        <v>0</v>
      </c>
      <c r="AG253" s="10" t="str">
        <f>IF(K253="Yes",AF253*Tab_Data_Flows[[#This Row],[Flow_Py]],"N.A.")</f>
        <v>N.A.</v>
      </c>
      <c r="AH253" s="10" t="str">
        <f>Tab_Data_Flows[[#This Row],[UoM_Flow_Py]]</f>
        <v>Mg</v>
      </c>
      <c r="AI253" s="193">
        <f>INDEX(Tab_Def_Flows[[Flow_ID]:[CC_DM_source]],MATCH(Tab_Data_Flows[[#This Row],[Name(EN)]],Tab_Def_Flows[Name(EN)],0),17)</f>
        <v>0</v>
      </c>
      <c r="AJ253" s="10" t="str">
        <f>IF(L253="Yes",AI253*Tab_Data_Flows[[#This Row],[Flow_Py]]*Tab_Data_Flows[[#This Row],[DM_'[%']]],"N.A.")</f>
        <v>N.A.</v>
      </c>
      <c r="AK253" s="10" t="str">
        <f>Tab_Data_Flows[[#This Row],[UoM_Flow_Py]]</f>
        <v>Mg</v>
      </c>
    </row>
    <row r="254" spans="1:37" x14ac:dyDescent="0.25">
      <c r="A254" s="17">
        <f t="shared" si="6"/>
        <v>253</v>
      </c>
      <c r="B254" s="10" t="str">
        <f>_xlfn.XLOOKUP(C254,Tab_Def_Flows[Name(EN)],Tab_Def_Flows[Flow_ID],,0,)</f>
        <v>N.A.</v>
      </c>
      <c r="C254" s="12" t="s">
        <v>35</v>
      </c>
      <c r="D254" s="10">
        <f>_xlfn.XLOOKUP(C254,Tab_Def_Flows[Name(EN)],Tab_Def_Flows[Type_Biomass],,0,)</f>
        <v>0</v>
      </c>
      <c r="E254" s="10">
        <f>_xlfn.XLOOKUP(C254,Tab_Def_Flows[Name(EN)],Tab_Def_Flows[Output_Process],,0,)</f>
        <v>0</v>
      </c>
      <c r="F254" s="10">
        <f>_xlfn.XLOOKUP(C254,Tab_Def_Flows[Name(EN)],Tab_Def_Flows[Process_ID_O],,0,)</f>
        <v>0</v>
      </c>
      <c r="G254" s="10">
        <f>_xlfn.XLOOKUP(C254,Tab_Def_Flows[Name(EN)],Tab_Def_Flows[Input_Process],,0,)</f>
        <v>0</v>
      </c>
      <c r="H254" s="18">
        <f>_xlfn.XLOOKUP(C254,Tab_Def_Flows[Name(EN)],Tab_Def_Flows[Process_ID_I],,0,)</f>
        <v>0</v>
      </c>
      <c r="I254" s="10" t="e">
        <f>_xlfn.XLOOKUP(C254,Tab_Def_Flows[Name(EN)],#REF!,,0,)</f>
        <v>#REF!</v>
      </c>
      <c r="J254" s="18">
        <f>_xlfn.XLOOKUP(C254,Tab_Def_Flows[Name(EN)],Tab_Def_Flows[WC?],,0,)</f>
        <v>0</v>
      </c>
      <c r="K254" s="18">
        <f>_xlfn.XLOOKUP(C254,Tab_Def_Flows[Name(EN)],Tab_Def_Flows[DM?],,0,)</f>
        <v>0</v>
      </c>
      <c r="L254" s="18">
        <f>_xlfn.XLOOKUP(C254,Tab_Def_Flows[Name(EN)],Tab_Def_Flows[CC?],,0,)</f>
        <v>0</v>
      </c>
      <c r="M254" s="12"/>
      <c r="N254" s="12"/>
      <c r="O254" s="50"/>
      <c r="P254" s="12"/>
      <c r="Q254" s="12"/>
      <c r="R254" s="12"/>
      <c r="S254" s="12"/>
      <c r="T254" s="12"/>
      <c r="U254" s="12"/>
      <c r="V254" s="12"/>
      <c r="W254" s="12"/>
      <c r="X254" s="12" t="s">
        <v>8</v>
      </c>
      <c r="Y254" s="43"/>
      <c r="Z254" s="12"/>
      <c r="AA254" s="36">
        <f t="shared" si="7"/>
        <v>0</v>
      </c>
      <c r="AB254" s="12" t="s">
        <v>283</v>
      </c>
      <c r="AC254" s="193">
        <f>INDEX(Tab_Def_Flows[[Flow_ID]:[CC_DM_source]],MATCH(Tab_Data_Flows[[#This Row],[Name(EN)]],Tab_Def_Flows[Name(EN)],0),13)</f>
        <v>0</v>
      </c>
      <c r="AD254" s="10" t="str">
        <f>IF(J254="Yes",AA254*Tab_Data_Flows[[#This Row],[WC_'[%']]],"N.A.")</f>
        <v>N.A.</v>
      </c>
      <c r="AE254" s="10" t="str">
        <f>Tab_Data_Flows[[#This Row],[UoM_Flow_Py]]</f>
        <v>Mg</v>
      </c>
      <c r="AF254" s="193">
        <f>INDEX(Tab_Def_Flows[[Flow_ID]:[CC_DM_source]],MATCH(Tab_Data_Flows[[#This Row],[Name(EN)]],Tab_Def_Flows[Name(EN)],0),15)</f>
        <v>0</v>
      </c>
      <c r="AG254" s="10" t="str">
        <f>IF(K254="Yes",AF254*Tab_Data_Flows[[#This Row],[Flow_Py]],"N.A.")</f>
        <v>N.A.</v>
      </c>
      <c r="AH254" s="10" t="str">
        <f>Tab_Data_Flows[[#This Row],[UoM_Flow_Py]]</f>
        <v>Mg</v>
      </c>
      <c r="AI254" s="193">
        <f>INDEX(Tab_Def_Flows[[Flow_ID]:[CC_DM_source]],MATCH(Tab_Data_Flows[[#This Row],[Name(EN)]],Tab_Def_Flows[Name(EN)],0),17)</f>
        <v>0</v>
      </c>
      <c r="AJ254" s="10" t="str">
        <f>IF(L254="Yes",AI254*Tab_Data_Flows[[#This Row],[Flow_Py]]*Tab_Data_Flows[[#This Row],[DM_'[%']]],"N.A.")</f>
        <v>N.A.</v>
      </c>
      <c r="AK254" s="10" t="str">
        <f>Tab_Data_Flows[[#This Row],[UoM_Flow_Py]]</f>
        <v>Mg</v>
      </c>
    </row>
    <row r="255" spans="1:37" x14ac:dyDescent="0.25">
      <c r="A255" s="17">
        <f t="shared" si="6"/>
        <v>254</v>
      </c>
      <c r="B255" s="10" t="str">
        <f>_xlfn.XLOOKUP(C255,Tab_Def_Flows[Name(EN)],Tab_Def_Flows[Flow_ID],,0,)</f>
        <v>N.A.</v>
      </c>
      <c r="C255" s="12" t="s">
        <v>35</v>
      </c>
      <c r="D255" s="10">
        <f>_xlfn.XLOOKUP(C255,Tab_Def_Flows[Name(EN)],Tab_Def_Flows[Type_Biomass],,0,)</f>
        <v>0</v>
      </c>
      <c r="E255" s="10">
        <f>_xlfn.XLOOKUP(C255,Tab_Def_Flows[Name(EN)],Tab_Def_Flows[Output_Process],,0,)</f>
        <v>0</v>
      </c>
      <c r="F255" s="10">
        <f>_xlfn.XLOOKUP(C255,Tab_Def_Flows[Name(EN)],Tab_Def_Flows[Process_ID_O],,0,)</f>
        <v>0</v>
      </c>
      <c r="G255" s="10">
        <f>_xlfn.XLOOKUP(C255,Tab_Def_Flows[Name(EN)],Tab_Def_Flows[Input_Process],,0,)</f>
        <v>0</v>
      </c>
      <c r="H255" s="18">
        <f>_xlfn.XLOOKUP(C255,Tab_Def_Flows[Name(EN)],Tab_Def_Flows[Process_ID_I],,0,)</f>
        <v>0</v>
      </c>
      <c r="I255" s="10" t="e">
        <f>_xlfn.XLOOKUP(C255,Tab_Def_Flows[Name(EN)],#REF!,,0,)</f>
        <v>#REF!</v>
      </c>
      <c r="J255" s="18">
        <f>_xlfn.XLOOKUP(C255,Tab_Def_Flows[Name(EN)],Tab_Def_Flows[WC?],,0,)</f>
        <v>0</v>
      </c>
      <c r="K255" s="18">
        <f>_xlfn.XLOOKUP(C255,Tab_Def_Flows[Name(EN)],Tab_Def_Flows[DM?],,0,)</f>
        <v>0</v>
      </c>
      <c r="L255" s="18">
        <f>_xlfn.XLOOKUP(C255,Tab_Def_Flows[Name(EN)],Tab_Def_Flows[CC?],,0,)</f>
        <v>0</v>
      </c>
      <c r="M255" s="12"/>
      <c r="N255" s="12"/>
      <c r="O255" s="50"/>
      <c r="P255" s="12"/>
      <c r="Q255" s="12"/>
      <c r="R255" s="12"/>
      <c r="S255" s="12"/>
      <c r="T255" s="12"/>
      <c r="U255" s="12"/>
      <c r="V255" s="12"/>
      <c r="W255" s="12"/>
      <c r="X255" s="12" t="s">
        <v>8</v>
      </c>
      <c r="Y255" s="43"/>
      <c r="Z255" s="12"/>
      <c r="AA255" s="36">
        <f t="shared" si="7"/>
        <v>0</v>
      </c>
      <c r="AB255" s="12" t="s">
        <v>283</v>
      </c>
      <c r="AC255" s="193">
        <f>INDEX(Tab_Def_Flows[[Flow_ID]:[CC_DM_source]],MATCH(Tab_Data_Flows[[#This Row],[Name(EN)]],Tab_Def_Flows[Name(EN)],0),13)</f>
        <v>0</v>
      </c>
      <c r="AD255" s="10" t="str">
        <f>IF(J255="Yes",AA255*Tab_Data_Flows[[#This Row],[WC_'[%']]],"N.A.")</f>
        <v>N.A.</v>
      </c>
      <c r="AE255" s="10" t="str">
        <f>Tab_Data_Flows[[#This Row],[UoM_Flow_Py]]</f>
        <v>Mg</v>
      </c>
      <c r="AF255" s="193">
        <f>INDEX(Tab_Def_Flows[[Flow_ID]:[CC_DM_source]],MATCH(Tab_Data_Flows[[#This Row],[Name(EN)]],Tab_Def_Flows[Name(EN)],0),15)</f>
        <v>0</v>
      </c>
      <c r="AG255" s="10" t="str">
        <f>IF(K255="Yes",AF255*Tab_Data_Flows[[#This Row],[Flow_Py]],"N.A.")</f>
        <v>N.A.</v>
      </c>
      <c r="AH255" s="10" t="str">
        <f>Tab_Data_Flows[[#This Row],[UoM_Flow_Py]]</f>
        <v>Mg</v>
      </c>
      <c r="AI255" s="193">
        <f>INDEX(Tab_Def_Flows[[Flow_ID]:[CC_DM_source]],MATCH(Tab_Data_Flows[[#This Row],[Name(EN)]],Tab_Def_Flows[Name(EN)],0),17)</f>
        <v>0</v>
      </c>
      <c r="AJ255" s="10" t="str">
        <f>IF(L255="Yes",AI255*Tab_Data_Flows[[#This Row],[Flow_Py]]*Tab_Data_Flows[[#This Row],[DM_'[%']]],"N.A.")</f>
        <v>N.A.</v>
      </c>
      <c r="AK255" s="10" t="str">
        <f>Tab_Data_Flows[[#This Row],[UoM_Flow_Py]]</f>
        <v>Mg</v>
      </c>
    </row>
    <row r="256" spans="1:37" x14ac:dyDescent="0.25">
      <c r="A256" s="17">
        <f t="shared" si="6"/>
        <v>255</v>
      </c>
      <c r="B256" s="10" t="str">
        <f>_xlfn.XLOOKUP(C256,Tab_Def_Flows[Name(EN)],Tab_Def_Flows[Flow_ID],,0,)</f>
        <v>N.A.</v>
      </c>
      <c r="C256" s="12" t="s">
        <v>35</v>
      </c>
      <c r="D256" s="10">
        <f>_xlfn.XLOOKUP(C256,Tab_Def_Flows[Name(EN)],Tab_Def_Flows[Type_Biomass],,0,)</f>
        <v>0</v>
      </c>
      <c r="E256" s="10">
        <f>_xlfn.XLOOKUP(C256,Tab_Def_Flows[Name(EN)],Tab_Def_Flows[Output_Process],,0,)</f>
        <v>0</v>
      </c>
      <c r="F256" s="10">
        <f>_xlfn.XLOOKUP(C256,Tab_Def_Flows[Name(EN)],Tab_Def_Flows[Process_ID_O],,0,)</f>
        <v>0</v>
      </c>
      <c r="G256" s="10">
        <f>_xlfn.XLOOKUP(C256,Tab_Def_Flows[Name(EN)],Tab_Def_Flows[Input_Process],,0,)</f>
        <v>0</v>
      </c>
      <c r="H256" s="18">
        <f>_xlfn.XLOOKUP(C256,Tab_Def_Flows[Name(EN)],Tab_Def_Flows[Process_ID_I],,0,)</f>
        <v>0</v>
      </c>
      <c r="I256" s="10" t="e">
        <f>_xlfn.XLOOKUP(C256,Tab_Def_Flows[Name(EN)],#REF!,,0,)</f>
        <v>#REF!</v>
      </c>
      <c r="J256" s="18">
        <f>_xlfn.XLOOKUP(C256,Tab_Def_Flows[Name(EN)],Tab_Def_Flows[WC?],,0,)</f>
        <v>0</v>
      </c>
      <c r="K256" s="18">
        <f>_xlfn.XLOOKUP(C256,Tab_Def_Flows[Name(EN)],Tab_Def_Flows[DM?],,0,)</f>
        <v>0</v>
      </c>
      <c r="L256" s="18">
        <f>_xlfn.XLOOKUP(C256,Tab_Def_Flows[Name(EN)],Tab_Def_Flows[CC?],,0,)</f>
        <v>0</v>
      </c>
      <c r="M256" s="12"/>
      <c r="N256" s="12"/>
      <c r="O256" s="50"/>
      <c r="P256" s="12"/>
      <c r="Q256" s="12"/>
      <c r="R256" s="12"/>
      <c r="S256" s="12"/>
      <c r="T256" s="12"/>
      <c r="U256" s="12"/>
      <c r="V256" s="12"/>
      <c r="W256" s="12"/>
      <c r="X256" s="12" t="s">
        <v>8</v>
      </c>
      <c r="Y256" s="43"/>
      <c r="Z256" s="12"/>
      <c r="AA256" s="36">
        <f t="shared" si="7"/>
        <v>0</v>
      </c>
      <c r="AB256" s="12" t="s">
        <v>283</v>
      </c>
      <c r="AC256" s="193">
        <f>INDEX(Tab_Def_Flows[[Flow_ID]:[CC_DM_source]],MATCH(Tab_Data_Flows[[#This Row],[Name(EN)]],Tab_Def_Flows[Name(EN)],0),13)</f>
        <v>0</v>
      </c>
      <c r="AD256" s="10" t="str">
        <f>IF(J256="Yes",AA256*Tab_Data_Flows[[#This Row],[WC_'[%']]],"N.A.")</f>
        <v>N.A.</v>
      </c>
      <c r="AE256" s="10" t="str">
        <f>Tab_Data_Flows[[#This Row],[UoM_Flow_Py]]</f>
        <v>Mg</v>
      </c>
      <c r="AF256" s="193">
        <f>INDEX(Tab_Def_Flows[[Flow_ID]:[CC_DM_source]],MATCH(Tab_Data_Flows[[#This Row],[Name(EN)]],Tab_Def_Flows[Name(EN)],0),15)</f>
        <v>0</v>
      </c>
      <c r="AG256" s="10" t="str">
        <f>IF(K256="Yes",AF256*Tab_Data_Flows[[#This Row],[Flow_Py]],"N.A.")</f>
        <v>N.A.</v>
      </c>
      <c r="AH256" s="10" t="str">
        <f>Tab_Data_Flows[[#This Row],[UoM_Flow_Py]]</f>
        <v>Mg</v>
      </c>
      <c r="AI256" s="193">
        <f>INDEX(Tab_Def_Flows[[Flow_ID]:[CC_DM_source]],MATCH(Tab_Data_Flows[[#This Row],[Name(EN)]],Tab_Def_Flows[Name(EN)],0),17)</f>
        <v>0</v>
      </c>
      <c r="AJ256" s="10" t="str">
        <f>IF(L256="Yes",AI256*Tab_Data_Flows[[#This Row],[Flow_Py]]*Tab_Data_Flows[[#This Row],[DM_'[%']]],"N.A.")</f>
        <v>N.A.</v>
      </c>
      <c r="AK256" s="10" t="str">
        <f>Tab_Data_Flows[[#This Row],[UoM_Flow_Py]]</f>
        <v>Mg</v>
      </c>
    </row>
    <row r="257" spans="1:37" x14ac:dyDescent="0.25">
      <c r="A257" s="17">
        <f t="shared" si="6"/>
        <v>256</v>
      </c>
      <c r="B257" s="10" t="str">
        <f>_xlfn.XLOOKUP(C257,Tab_Def_Flows[Name(EN)],Tab_Def_Flows[Flow_ID],,0,)</f>
        <v>N.A.</v>
      </c>
      <c r="C257" s="12" t="s">
        <v>35</v>
      </c>
      <c r="D257" s="10">
        <f>_xlfn.XLOOKUP(C257,Tab_Def_Flows[Name(EN)],Tab_Def_Flows[Type_Biomass],,0,)</f>
        <v>0</v>
      </c>
      <c r="E257" s="10">
        <f>_xlfn.XLOOKUP(C257,Tab_Def_Flows[Name(EN)],Tab_Def_Flows[Output_Process],,0,)</f>
        <v>0</v>
      </c>
      <c r="F257" s="10">
        <f>_xlfn.XLOOKUP(C257,Tab_Def_Flows[Name(EN)],Tab_Def_Flows[Process_ID_O],,0,)</f>
        <v>0</v>
      </c>
      <c r="G257" s="10">
        <f>_xlfn.XLOOKUP(C257,Tab_Def_Flows[Name(EN)],Tab_Def_Flows[Input_Process],,0,)</f>
        <v>0</v>
      </c>
      <c r="H257" s="18">
        <f>_xlfn.XLOOKUP(C257,Tab_Def_Flows[Name(EN)],Tab_Def_Flows[Process_ID_I],,0,)</f>
        <v>0</v>
      </c>
      <c r="I257" s="10" t="e">
        <f>_xlfn.XLOOKUP(C257,Tab_Def_Flows[Name(EN)],#REF!,,0,)</f>
        <v>#REF!</v>
      </c>
      <c r="J257" s="18">
        <f>_xlfn.XLOOKUP(C257,Tab_Def_Flows[Name(EN)],Tab_Def_Flows[WC?],,0,)</f>
        <v>0</v>
      </c>
      <c r="K257" s="18">
        <f>_xlfn.XLOOKUP(C257,Tab_Def_Flows[Name(EN)],Tab_Def_Flows[DM?],,0,)</f>
        <v>0</v>
      </c>
      <c r="L257" s="18">
        <f>_xlfn.XLOOKUP(C257,Tab_Def_Flows[Name(EN)],Tab_Def_Flows[CC?],,0,)</f>
        <v>0</v>
      </c>
      <c r="M257" s="12"/>
      <c r="N257" s="12"/>
      <c r="O257" s="50"/>
      <c r="P257" s="12"/>
      <c r="Q257" s="12"/>
      <c r="R257" s="12"/>
      <c r="S257" s="12"/>
      <c r="T257" s="12"/>
      <c r="U257" s="12"/>
      <c r="V257" s="12"/>
      <c r="W257" s="12"/>
      <c r="X257" s="12" t="s">
        <v>8</v>
      </c>
      <c r="Y257" s="43"/>
      <c r="Z257" s="12"/>
      <c r="AA257" s="36">
        <f t="shared" si="7"/>
        <v>0</v>
      </c>
      <c r="AB257" s="12" t="s">
        <v>283</v>
      </c>
      <c r="AC257" s="193">
        <f>INDEX(Tab_Def_Flows[[Flow_ID]:[CC_DM_source]],MATCH(Tab_Data_Flows[[#This Row],[Name(EN)]],Tab_Def_Flows[Name(EN)],0),13)</f>
        <v>0</v>
      </c>
      <c r="AD257" s="10" t="str">
        <f>IF(J257="Yes",AA257*Tab_Data_Flows[[#This Row],[WC_'[%']]],"N.A.")</f>
        <v>N.A.</v>
      </c>
      <c r="AE257" s="10" t="str">
        <f>Tab_Data_Flows[[#This Row],[UoM_Flow_Py]]</f>
        <v>Mg</v>
      </c>
      <c r="AF257" s="193">
        <f>INDEX(Tab_Def_Flows[[Flow_ID]:[CC_DM_source]],MATCH(Tab_Data_Flows[[#This Row],[Name(EN)]],Tab_Def_Flows[Name(EN)],0),15)</f>
        <v>0</v>
      </c>
      <c r="AG257" s="10" t="str">
        <f>IF(K257="Yes",AF257*Tab_Data_Flows[[#This Row],[Flow_Py]],"N.A.")</f>
        <v>N.A.</v>
      </c>
      <c r="AH257" s="10" t="str">
        <f>Tab_Data_Flows[[#This Row],[UoM_Flow_Py]]</f>
        <v>Mg</v>
      </c>
      <c r="AI257" s="193">
        <f>INDEX(Tab_Def_Flows[[Flow_ID]:[CC_DM_source]],MATCH(Tab_Data_Flows[[#This Row],[Name(EN)]],Tab_Def_Flows[Name(EN)],0),17)</f>
        <v>0</v>
      </c>
      <c r="AJ257" s="10" t="str">
        <f>IF(L257="Yes",AI257*Tab_Data_Flows[[#This Row],[Flow_Py]]*Tab_Data_Flows[[#This Row],[DM_'[%']]],"N.A.")</f>
        <v>N.A.</v>
      </c>
      <c r="AK257" s="10" t="str">
        <f>Tab_Data_Flows[[#This Row],[UoM_Flow_Py]]</f>
        <v>Mg</v>
      </c>
    </row>
    <row r="258" spans="1:37" x14ac:dyDescent="0.25">
      <c r="A258" s="17">
        <f t="shared" si="6"/>
        <v>257</v>
      </c>
      <c r="B258" s="10" t="str">
        <f>_xlfn.XLOOKUP(C258,Tab_Def_Flows[Name(EN)],Tab_Def_Flows[Flow_ID],,0,)</f>
        <v>N.A.</v>
      </c>
      <c r="C258" s="12" t="s">
        <v>35</v>
      </c>
      <c r="D258" s="10">
        <f>_xlfn.XLOOKUP(C258,Tab_Def_Flows[Name(EN)],Tab_Def_Flows[Type_Biomass],,0,)</f>
        <v>0</v>
      </c>
      <c r="E258" s="10">
        <f>_xlfn.XLOOKUP(C258,Tab_Def_Flows[Name(EN)],Tab_Def_Flows[Output_Process],,0,)</f>
        <v>0</v>
      </c>
      <c r="F258" s="10">
        <f>_xlfn.XLOOKUP(C258,Tab_Def_Flows[Name(EN)],Tab_Def_Flows[Process_ID_O],,0,)</f>
        <v>0</v>
      </c>
      <c r="G258" s="10">
        <f>_xlfn.XLOOKUP(C258,Tab_Def_Flows[Name(EN)],Tab_Def_Flows[Input_Process],,0,)</f>
        <v>0</v>
      </c>
      <c r="H258" s="18">
        <f>_xlfn.XLOOKUP(C258,Tab_Def_Flows[Name(EN)],Tab_Def_Flows[Process_ID_I],,0,)</f>
        <v>0</v>
      </c>
      <c r="I258" s="10" t="e">
        <f>_xlfn.XLOOKUP(C258,Tab_Def_Flows[Name(EN)],#REF!,,0,)</f>
        <v>#REF!</v>
      </c>
      <c r="J258" s="18">
        <f>_xlfn.XLOOKUP(C258,Tab_Def_Flows[Name(EN)],Tab_Def_Flows[WC?],,0,)</f>
        <v>0</v>
      </c>
      <c r="K258" s="18">
        <f>_xlfn.XLOOKUP(C258,Tab_Def_Flows[Name(EN)],Tab_Def_Flows[DM?],,0,)</f>
        <v>0</v>
      </c>
      <c r="L258" s="18">
        <f>_xlfn.XLOOKUP(C258,Tab_Def_Flows[Name(EN)],Tab_Def_Flows[CC?],,0,)</f>
        <v>0</v>
      </c>
      <c r="M258" s="12"/>
      <c r="N258" s="12"/>
      <c r="O258" s="50"/>
      <c r="P258" s="12"/>
      <c r="Q258" s="12"/>
      <c r="R258" s="12"/>
      <c r="S258" s="12"/>
      <c r="T258" s="12"/>
      <c r="U258" s="12"/>
      <c r="V258" s="12"/>
      <c r="W258" s="12"/>
      <c r="X258" s="12" t="s">
        <v>8</v>
      </c>
      <c r="Y258" s="43"/>
      <c r="Z258" s="12"/>
      <c r="AA258" s="36">
        <f t="shared" si="7"/>
        <v>0</v>
      </c>
      <c r="AB258" s="12" t="s">
        <v>283</v>
      </c>
      <c r="AC258" s="193">
        <f>INDEX(Tab_Def_Flows[[Flow_ID]:[CC_DM_source]],MATCH(Tab_Data_Flows[[#This Row],[Name(EN)]],Tab_Def_Flows[Name(EN)],0),13)</f>
        <v>0</v>
      </c>
      <c r="AD258" s="10" t="str">
        <f>IF(J258="Yes",AA258*Tab_Data_Flows[[#This Row],[WC_'[%']]],"N.A.")</f>
        <v>N.A.</v>
      </c>
      <c r="AE258" s="10" t="str">
        <f>Tab_Data_Flows[[#This Row],[UoM_Flow_Py]]</f>
        <v>Mg</v>
      </c>
      <c r="AF258" s="193">
        <f>INDEX(Tab_Def_Flows[[Flow_ID]:[CC_DM_source]],MATCH(Tab_Data_Flows[[#This Row],[Name(EN)]],Tab_Def_Flows[Name(EN)],0),15)</f>
        <v>0</v>
      </c>
      <c r="AG258" s="10" t="str">
        <f>IF(K258="Yes",AF258*Tab_Data_Flows[[#This Row],[Flow_Py]],"N.A.")</f>
        <v>N.A.</v>
      </c>
      <c r="AH258" s="10" t="str">
        <f>Tab_Data_Flows[[#This Row],[UoM_Flow_Py]]</f>
        <v>Mg</v>
      </c>
      <c r="AI258" s="193">
        <f>INDEX(Tab_Def_Flows[[Flow_ID]:[CC_DM_source]],MATCH(Tab_Data_Flows[[#This Row],[Name(EN)]],Tab_Def_Flows[Name(EN)],0),17)</f>
        <v>0</v>
      </c>
      <c r="AJ258" s="10" t="str">
        <f>IF(L258="Yes",AI258*Tab_Data_Flows[[#This Row],[Flow_Py]]*Tab_Data_Flows[[#This Row],[DM_'[%']]],"N.A.")</f>
        <v>N.A.</v>
      </c>
      <c r="AK258" s="10" t="str">
        <f>Tab_Data_Flows[[#This Row],[UoM_Flow_Py]]</f>
        <v>Mg</v>
      </c>
    </row>
    <row r="259" spans="1:37" x14ac:dyDescent="0.25">
      <c r="A259" s="17">
        <f t="shared" ref="A259:A322" si="8">ROW()-1</f>
        <v>258</v>
      </c>
      <c r="B259" s="10" t="str">
        <f>_xlfn.XLOOKUP(C259,Tab_Def_Flows[Name(EN)],Tab_Def_Flows[Flow_ID],,0,)</f>
        <v>N.A.</v>
      </c>
      <c r="C259" s="12" t="s">
        <v>35</v>
      </c>
      <c r="D259" s="10">
        <f>_xlfn.XLOOKUP(C259,Tab_Def_Flows[Name(EN)],Tab_Def_Flows[Type_Biomass],,0,)</f>
        <v>0</v>
      </c>
      <c r="E259" s="10">
        <f>_xlfn.XLOOKUP(C259,Tab_Def_Flows[Name(EN)],Tab_Def_Flows[Output_Process],,0,)</f>
        <v>0</v>
      </c>
      <c r="F259" s="10">
        <f>_xlfn.XLOOKUP(C259,Tab_Def_Flows[Name(EN)],Tab_Def_Flows[Process_ID_O],,0,)</f>
        <v>0</v>
      </c>
      <c r="G259" s="10">
        <f>_xlfn.XLOOKUP(C259,Tab_Def_Flows[Name(EN)],Tab_Def_Flows[Input_Process],,0,)</f>
        <v>0</v>
      </c>
      <c r="H259" s="18">
        <f>_xlfn.XLOOKUP(C259,Tab_Def_Flows[Name(EN)],Tab_Def_Flows[Process_ID_I],,0,)</f>
        <v>0</v>
      </c>
      <c r="I259" s="10" t="e">
        <f>_xlfn.XLOOKUP(C259,Tab_Def_Flows[Name(EN)],#REF!,,0,)</f>
        <v>#REF!</v>
      </c>
      <c r="J259" s="18">
        <f>_xlfn.XLOOKUP(C259,Tab_Def_Flows[Name(EN)],Tab_Def_Flows[WC?],,0,)</f>
        <v>0</v>
      </c>
      <c r="K259" s="18">
        <f>_xlfn.XLOOKUP(C259,Tab_Def_Flows[Name(EN)],Tab_Def_Flows[DM?],,0,)</f>
        <v>0</v>
      </c>
      <c r="L259" s="18">
        <f>_xlfn.XLOOKUP(C259,Tab_Def_Flows[Name(EN)],Tab_Def_Flows[CC?],,0,)</f>
        <v>0</v>
      </c>
      <c r="M259" s="12"/>
      <c r="N259" s="12"/>
      <c r="O259" s="50"/>
      <c r="P259" s="12"/>
      <c r="Q259" s="12"/>
      <c r="R259" s="12"/>
      <c r="S259" s="12"/>
      <c r="T259" s="12"/>
      <c r="U259" s="12"/>
      <c r="V259" s="12"/>
      <c r="W259" s="12"/>
      <c r="X259" s="12" t="s">
        <v>8</v>
      </c>
      <c r="Y259" s="43"/>
      <c r="Z259" s="12"/>
      <c r="AA259" s="36">
        <f t="shared" ref="AA259:AA280" si="9">IF(X259="no",O259,O259*Y259)</f>
        <v>0</v>
      </c>
      <c r="AB259" s="12" t="s">
        <v>283</v>
      </c>
      <c r="AC259" s="193">
        <f>INDEX(Tab_Def_Flows[[Flow_ID]:[CC_DM_source]],MATCH(Tab_Data_Flows[[#This Row],[Name(EN)]],Tab_Def_Flows[Name(EN)],0),13)</f>
        <v>0</v>
      </c>
      <c r="AD259" s="10" t="str">
        <f>IF(J259="Yes",AA259*Tab_Data_Flows[[#This Row],[WC_'[%']]],"N.A.")</f>
        <v>N.A.</v>
      </c>
      <c r="AE259" s="10" t="str">
        <f>Tab_Data_Flows[[#This Row],[UoM_Flow_Py]]</f>
        <v>Mg</v>
      </c>
      <c r="AF259" s="193">
        <f>INDEX(Tab_Def_Flows[[Flow_ID]:[CC_DM_source]],MATCH(Tab_Data_Flows[[#This Row],[Name(EN)]],Tab_Def_Flows[Name(EN)],0),15)</f>
        <v>0</v>
      </c>
      <c r="AG259" s="10" t="str">
        <f>IF(K259="Yes",AF259*Tab_Data_Flows[[#This Row],[Flow_Py]],"N.A.")</f>
        <v>N.A.</v>
      </c>
      <c r="AH259" s="10" t="str">
        <f>Tab_Data_Flows[[#This Row],[UoM_Flow_Py]]</f>
        <v>Mg</v>
      </c>
      <c r="AI259" s="193">
        <f>INDEX(Tab_Def_Flows[[Flow_ID]:[CC_DM_source]],MATCH(Tab_Data_Flows[[#This Row],[Name(EN)]],Tab_Def_Flows[Name(EN)],0),17)</f>
        <v>0</v>
      </c>
      <c r="AJ259" s="10" t="str">
        <f>IF(L259="Yes",AI259*Tab_Data_Flows[[#This Row],[Flow_Py]]*Tab_Data_Flows[[#This Row],[DM_'[%']]],"N.A.")</f>
        <v>N.A.</v>
      </c>
      <c r="AK259" s="10" t="str">
        <f>Tab_Data_Flows[[#This Row],[UoM_Flow_Py]]</f>
        <v>Mg</v>
      </c>
    </row>
    <row r="260" spans="1:37" x14ac:dyDescent="0.25">
      <c r="A260" s="17">
        <f t="shared" si="8"/>
        <v>259</v>
      </c>
      <c r="B260" s="10" t="str">
        <f>_xlfn.XLOOKUP(C260,Tab_Def_Flows[Name(EN)],Tab_Def_Flows[Flow_ID],,0,)</f>
        <v>N.A.</v>
      </c>
      <c r="C260" s="12" t="s">
        <v>35</v>
      </c>
      <c r="D260" s="10">
        <f>_xlfn.XLOOKUP(C260,Tab_Def_Flows[Name(EN)],Tab_Def_Flows[Type_Biomass],,0,)</f>
        <v>0</v>
      </c>
      <c r="E260" s="10">
        <f>_xlfn.XLOOKUP(C260,Tab_Def_Flows[Name(EN)],Tab_Def_Flows[Output_Process],,0,)</f>
        <v>0</v>
      </c>
      <c r="F260" s="10">
        <f>_xlfn.XLOOKUP(C260,Tab_Def_Flows[Name(EN)],Tab_Def_Flows[Process_ID_O],,0,)</f>
        <v>0</v>
      </c>
      <c r="G260" s="10">
        <f>_xlfn.XLOOKUP(C260,Tab_Def_Flows[Name(EN)],Tab_Def_Flows[Input_Process],,0,)</f>
        <v>0</v>
      </c>
      <c r="H260" s="18">
        <f>_xlfn.XLOOKUP(C260,Tab_Def_Flows[Name(EN)],Tab_Def_Flows[Process_ID_I],,0,)</f>
        <v>0</v>
      </c>
      <c r="I260" s="10" t="e">
        <f>_xlfn.XLOOKUP(C260,Tab_Def_Flows[Name(EN)],#REF!,,0,)</f>
        <v>#REF!</v>
      </c>
      <c r="J260" s="18">
        <f>_xlfn.XLOOKUP(C260,Tab_Def_Flows[Name(EN)],Tab_Def_Flows[WC?],,0,)</f>
        <v>0</v>
      </c>
      <c r="K260" s="18">
        <f>_xlfn.XLOOKUP(C260,Tab_Def_Flows[Name(EN)],Tab_Def_Flows[DM?],,0,)</f>
        <v>0</v>
      </c>
      <c r="L260" s="18">
        <f>_xlfn.XLOOKUP(C260,Tab_Def_Flows[Name(EN)],Tab_Def_Flows[CC?],,0,)</f>
        <v>0</v>
      </c>
      <c r="M260" s="12"/>
      <c r="N260" s="12"/>
      <c r="O260" s="50"/>
      <c r="P260" s="12"/>
      <c r="Q260" s="12"/>
      <c r="R260" s="12"/>
      <c r="S260" s="12"/>
      <c r="T260" s="12"/>
      <c r="U260" s="12"/>
      <c r="V260" s="12"/>
      <c r="W260" s="12"/>
      <c r="X260" s="12" t="s">
        <v>8</v>
      </c>
      <c r="Y260" s="43"/>
      <c r="Z260" s="12"/>
      <c r="AA260" s="36">
        <f t="shared" si="9"/>
        <v>0</v>
      </c>
      <c r="AB260" s="12" t="s">
        <v>283</v>
      </c>
      <c r="AC260" s="193">
        <f>INDEX(Tab_Def_Flows[[Flow_ID]:[CC_DM_source]],MATCH(Tab_Data_Flows[[#This Row],[Name(EN)]],Tab_Def_Flows[Name(EN)],0),13)</f>
        <v>0</v>
      </c>
      <c r="AD260" s="10" t="str">
        <f>IF(J260="Yes",AA260*Tab_Data_Flows[[#This Row],[WC_'[%']]],"N.A.")</f>
        <v>N.A.</v>
      </c>
      <c r="AE260" s="10" t="str">
        <f>Tab_Data_Flows[[#This Row],[UoM_Flow_Py]]</f>
        <v>Mg</v>
      </c>
      <c r="AF260" s="193">
        <f>INDEX(Tab_Def_Flows[[Flow_ID]:[CC_DM_source]],MATCH(Tab_Data_Flows[[#This Row],[Name(EN)]],Tab_Def_Flows[Name(EN)],0),15)</f>
        <v>0</v>
      </c>
      <c r="AG260" s="10" t="str">
        <f>IF(K260="Yes",AF260*Tab_Data_Flows[[#This Row],[Flow_Py]],"N.A.")</f>
        <v>N.A.</v>
      </c>
      <c r="AH260" s="10" t="str">
        <f>Tab_Data_Flows[[#This Row],[UoM_Flow_Py]]</f>
        <v>Mg</v>
      </c>
      <c r="AI260" s="193">
        <f>INDEX(Tab_Def_Flows[[Flow_ID]:[CC_DM_source]],MATCH(Tab_Data_Flows[[#This Row],[Name(EN)]],Tab_Def_Flows[Name(EN)],0),17)</f>
        <v>0</v>
      </c>
      <c r="AJ260" s="10" t="str">
        <f>IF(L260="Yes",AI260*Tab_Data_Flows[[#This Row],[Flow_Py]]*Tab_Data_Flows[[#This Row],[DM_'[%']]],"N.A.")</f>
        <v>N.A.</v>
      </c>
      <c r="AK260" s="10" t="str">
        <f>Tab_Data_Flows[[#This Row],[UoM_Flow_Py]]</f>
        <v>Mg</v>
      </c>
    </row>
    <row r="261" spans="1:37" x14ac:dyDescent="0.25">
      <c r="A261" s="17">
        <f t="shared" si="8"/>
        <v>260</v>
      </c>
      <c r="B261" s="10" t="str">
        <f>_xlfn.XLOOKUP(C261,Tab_Def_Flows[Name(EN)],Tab_Def_Flows[Flow_ID],,0,)</f>
        <v>N.A.</v>
      </c>
      <c r="C261" s="12" t="s">
        <v>35</v>
      </c>
      <c r="D261" s="10">
        <f>_xlfn.XLOOKUP(C261,Tab_Def_Flows[Name(EN)],Tab_Def_Flows[Type_Biomass],,0,)</f>
        <v>0</v>
      </c>
      <c r="E261" s="10">
        <f>_xlfn.XLOOKUP(C261,Tab_Def_Flows[Name(EN)],Tab_Def_Flows[Output_Process],,0,)</f>
        <v>0</v>
      </c>
      <c r="F261" s="10">
        <f>_xlfn.XLOOKUP(C261,Tab_Def_Flows[Name(EN)],Tab_Def_Flows[Process_ID_O],,0,)</f>
        <v>0</v>
      </c>
      <c r="G261" s="10">
        <f>_xlfn.XLOOKUP(C261,Tab_Def_Flows[Name(EN)],Tab_Def_Flows[Input_Process],,0,)</f>
        <v>0</v>
      </c>
      <c r="H261" s="18">
        <f>_xlfn.XLOOKUP(C261,Tab_Def_Flows[Name(EN)],Tab_Def_Flows[Process_ID_I],,0,)</f>
        <v>0</v>
      </c>
      <c r="I261" s="10" t="e">
        <f>_xlfn.XLOOKUP(C261,Tab_Def_Flows[Name(EN)],#REF!,,0,)</f>
        <v>#REF!</v>
      </c>
      <c r="J261" s="18">
        <f>_xlfn.XLOOKUP(C261,Tab_Def_Flows[Name(EN)],Tab_Def_Flows[WC?],,0,)</f>
        <v>0</v>
      </c>
      <c r="K261" s="18">
        <f>_xlfn.XLOOKUP(C261,Tab_Def_Flows[Name(EN)],Tab_Def_Flows[DM?],,0,)</f>
        <v>0</v>
      </c>
      <c r="L261" s="18">
        <f>_xlfn.XLOOKUP(C261,Tab_Def_Flows[Name(EN)],Tab_Def_Flows[CC?],,0,)</f>
        <v>0</v>
      </c>
      <c r="M261" s="12"/>
      <c r="N261" s="12"/>
      <c r="O261" s="50"/>
      <c r="P261" s="12"/>
      <c r="Q261" s="12"/>
      <c r="R261" s="12"/>
      <c r="S261" s="12"/>
      <c r="T261" s="12"/>
      <c r="U261" s="12"/>
      <c r="V261" s="12"/>
      <c r="W261" s="12"/>
      <c r="X261" s="12" t="s">
        <v>8</v>
      </c>
      <c r="Y261" s="43"/>
      <c r="Z261" s="12"/>
      <c r="AA261" s="36">
        <f t="shared" si="9"/>
        <v>0</v>
      </c>
      <c r="AB261" s="12" t="s">
        <v>283</v>
      </c>
      <c r="AC261" s="193">
        <f>INDEX(Tab_Def_Flows[[Flow_ID]:[CC_DM_source]],MATCH(Tab_Data_Flows[[#This Row],[Name(EN)]],Tab_Def_Flows[Name(EN)],0),13)</f>
        <v>0</v>
      </c>
      <c r="AD261" s="10" t="str">
        <f>IF(J261="Yes",AA261*Tab_Data_Flows[[#This Row],[WC_'[%']]],"N.A.")</f>
        <v>N.A.</v>
      </c>
      <c r="AE261" s="10" t="str">
        <f>Tab_Data_Flows[[#This Row],[UoM_Flow_Py]]</f>
        <v>Mg</v>
      </c>
      <c r="AF261" s="193">
        <f>INDEX(Tab_Def_Flows[[Flow_ID]:[CC_DM_source]],MATCH(Tab_Data_Flows[[#This Row],[Name(EN)]],Tab_Def_Flows[Name(EN)],0),15)</f>
        <v>0</v>
      </c>
      <c r="AG261" s="10" t="str">
        <f>IF(K261="Yes",AF261*Tab_Data_Flows[[#This Row],[Flow_Py]],"N.A.")</f>
        <v>N.A.</v>
      </c>
      <c r="AH261" s="10" t="str">
        <f>Tab_Data_Flows[[#This Row],[UoM_Flow_Py]]</f>
        <v>Mg</v>
      </c>
      <c r="AI261" s="193">
        <f>INDEX(Tab_Def_Flows[[Flow_ID]:[CC_DM_source]],MATCH(Tab_Data_Flows[[#This Row],[Name(EN)]],Tab_Def_Flows[Name(EN)],0),17)</f>
        <v>0</v>
      </c>
      <c r="AJ261" s="10" t="str">
        <f>IF(L261="Yes",AI261*Tab_Data_Flows[[#This Row],[Flow_Py]]*Tab_Data_Flows[[#This Row],[DM_'[%']]],"N.A.")</f>
        <v>N.A.</v>
      </c>
      <c r="AK261" s="10" t="str">
        <f>Tab_Data_Flows[[#This Row],[UoM_Flow_Py]]</f>
        <v>Mg</v>
      </c>
    </row>
    <row r="262" spans="1:37" x14ac:dyDescent="0.25">
      <c r="A262" s="17">
        <f t="shared" si="8"/>
        <v>261</v>
      </c>
      <c r="B262" s="10" t="str">
        <f>_xlfn.XLOOKUP(C262,Tab_Def_Flows[Name(EN)],Tab_Def_Flows[Flow_ID],,0,)</f>
        <v>N.A.</v>
      </c>
      <c r="C262" s="12" t="s">
        <v>35</v>
      </c>
      <c r="D262" s="10">
        <f>_xlfn.XLOOKUP(C262,Tab_Def_Flows[Name(EN)],Tab_Def_Flows[Type_Biomass],,0,)</f>
        <v>0</v>
      </c>
      <c r="E262" s="10">
        <f>_xlfn.XLOOKUP(C262,Tab_Def_Flows[Name(EN)],Tab_Def_Flows[Output_Process],,0,)</f>
        <v>0</v>
      </c>
      <c r="F262" s="10">
        <f>_xlfn.XLOOKUP(C262,Tab_Def_Flows[Name(EN)],Tab_Def_Flows[Process_ID_O],,0,)</f>
        <v>0</v>
      </c>
      <c r="G262" s="10">
        <f>_xlfn.XLOOKUP(C262,Tab_Def_Flows[Name(EN)],Tab_Def_Flows[Input_Process],,0,)</f>
        <v>0</v>
      </c>
      <c r="H262" s="18">
        <f>_xlfn.XLOOKUP(C262,Tab_Def_Flows[Name(EN)],Tab_Def_Flows[Process_ID_I],,0,)</f>
        <v>0</v>
      </c>
      <c r="I262" s="10" t="e">
        <f>_xlfn.XLOOKUP(C262,Tab_Def_Flows[Name(EN)],#REF!,,0,)</f>
        <v>#REF!</v>
      </c>
      <c r="J262" s="18">
        <f>_xlfn.XLOOKUP(C262,Tab_Def_Flows[Name(EN)],Tab_Def_Flows[WC?],,0,)</f>
        <v>0</v>
      </c>
      <c r="K262" s="18">
        <f>_xlfn.XLOOKUP(C262,Tab_Def_Flows[Name(EN)],Tab_Def_Flows[DM?],,0,)</f>
        <v>0</v>
      </c>
      <c r="L262" s="18">
        <f>_xlfn.XLOOKUP(C262,Tab_Def_Flows[Name(EN)],Tab_Def_Flows[CC?],,0,)</f>
        <v>0</v>
      </c>
      <c r="M262" s="12"/>
      <c r="N262" s="12"/>
      <c r="O262" s="50"/>
      <c r="P262" s="12"/>
      <c r="Q262" s="12"/>
      <c r="R262" s="12"/>
      <c r="S262" s="12"/>
      <c r="T262" s="12"/>
      <c r="U262" s="12"/>
      <c r="V262" s="12"/>
      <c r="W262" s="12"/>
      <c r="X262" s="12" t="s">
        <v>8</v>
      </c>
      <c r="Y262" s="43"/>
      <c r="Z262" s="12"/>
      <c r="AA262" s="36">
        <f t="shared" si="9"/>
        <v>0</v>
      </c>
      <c r="AB262" s="12" t="s">
        <v>283</v>
      </c>
      <c r="AC262" s="193">
        <f>INDEX(Tab_Def_Flows[[Flow_ID]:[CC_DM_source]],MATCH(Tab_Data_Flows[[#This Row],[Name(EN)]],Tab_Def_Flows[Name(EN)],0),13)</f>
        <v>0</v>
      </c>
      <c r="AD262" s="10" t="str">
        <f>IF(J262="Yes",AA262*Tab_Data_Flows[[#This Row],[WC_'[%']]],"N.A.")</f>
        <v>N.A.</v>
      </c>
      <c r="AE262" s="10" t="str">
        <f>Tab_Data_Flows[[#This Row],[UoM_Flow_Py]]</f>
        <v>Mg</v>
      </c>
      <c r="AF262" s="193">
        <f>INDEX(Tab_Def_Flows[[Flow_ID]:[CC_DM_source]],MATCH(Tab_Data_Flows[[#This Row],[Name(EN)]],Tab_Def_Flows[Name(EN)],0),15)</f>
        <v>0</v>
      </c>
      <c r="AG262" s="10" t="str">
        <f>IF(K262="Yes",AF262*Tab_Data_Flows[[#This Row],[Flow_Py]],"N.A.")</f>
        <v>N.A.</v>
      </c>
      <c r="AH262" s="10" t="str">
        <f>Tab_Data_Flows[[#This Row],[UoM_Flow_Py]]</f>
        <v>Mg</v>
      </c>
      <c r="AI262" s="193">
        <f>INDEX(Tab_Def_Flows[[Flow_ID]:[CC_DM_source]],MATCH(Tab_Data_Flows[[#This Row],[Name(EN)]],Tab_Def_Flows[Name(EN)],0),17)</f>
        <v>0</v>
      </c>
      <c r="AJ262" s="10" t="str">
        <f>IF(L262="Yes",AI262*Tab_Data_Flows[[#This Row],[Flow_Py]]*Tab_Data_Flows[[#This Row],[DM_'[%']]],"N.A.")</f>
        <v>N.A.</v>
      </c>
      <c r="AK262" s="10" t="str">
        <f>Tab_Data_Flows[[#This Row],[UoM_Flow_Py]]</f>
        <v>Mg</v>
      </c>
    </row>
    <row r="263" spans="1:37" x14ac:dyDescent="0.25">
      <c r="A263" s="17">
        <f t="shared" si="8"/>
        <v>262</v>
      </c>
      <c r="B263" s="10" t="str">
        <f>_xlfn.XLOOKUP(C263,Tab_Def_Flows[Name(EN)],Tab_Def_Flows[Flow_ID],,0,)</f>
        <v>N.A.</v>
      </c>
      <c r="C263" s="12" t="s">
        <v>35</v>
      </c>
      <c r="D263" s="10">
        <f>_xlfn.XLOOKUP(C263,Tab_Def_Flows[Name(EN)],Tab_Def_Flows[Type_Biomass],,0,)</f>
        <v>0</v>
      </c>
      <c r="E263" s="10">
        <f>_xlfn.XLOOKUP(C263,Tab_Def_Flows[Name(EN)],Tab_Def_Flows[Output_Process],,0,)</f>
        <v>0</v>
      </c>
      <c r="F263" s="10">
        <f>_xlfn.XLOOKUP(C263,Tab_Def_Flows[Name(EN)],Tab_Def_Flows[Process_ID_O],,0,)</f>
        <v>0</v>
      </c>
      <c r="G263" s="10">
        <f>_xlfn.XLOOKUP(C263,Tab_Def_Flows[Name(EN)],Tab_Def_Flows[Input_Process],,0,)</f>
        <v>0</v>
      </c>
      <c r="H263" s="18">
        <f>_xlfn.XLOOKUP(C263,Tab_Def_Flows[Name(EN)],Tab_Def_Flows[Process_ID_I],,0,)</f>
        <v>0</v>
      </c>
      <c r="I263" s="10" t="e">
        <f>_xlfn.XLOOKUP(C263,Tab_Def_Flows[Name(EN)],#REF!,,0,)</f>
        <v>#REF!</v>
      </c>
      <c r="J263" s="18">
        <f>_xlfn.XLOOKUP(C263,Tab_Def_Flows[Name(EN)],Tab_Def_Flows[WC?],,0,)</f>
        <v>0</v>
      </c>
      <c r="K263" s="18">
        <f>_xlfn.XLOOKUP(C263,Tab_Def_Flows[Name(EN)],Tab_Def_Flows[DM?],,0,)</f>
        <v>0</v>
      </c>
      <c r="L263" s="18">
        <f>_xlfn.XLOOKUP(C263,Tab_Def_Flows[Name(EN)],Tab_Def_Flows[CC?],,0,)</f>
        <v>0</v>
      </c>
      <c r="M263" s="12"/>
      <c r="N263" s="12"/>
      <c r="O263" s="50"/>
      <c r="P263" s="12"/>
      <c r="Q263" s="12"/>
      <c r="R263" s="12"/>
      <c r="S263" s="12"/>
      <c r="T263" s="12"/>
      <c r="U263" s="12"/>
      <c r="V263" s="12"/>
      <c r="W263" s="12"/>
      <c r="X263" s="12" t="s">
        <v>8</v>
      </c>
      <c r="Y263" s="43"/>
      <c r="Z263" s="12"/>
      <c r="AA263" s="36">
        <f t="shared" si="9"/>
        <v>0</v>
      </c>
      <c r="AB263" s="12" t="s">
        <v>283</v>
      </c>
      <c r="AC263" s="193">
        <f>INDEX(Tab_Def_Flows[[Flow_ID]:[CC_DM_source]],MATCH(Tab_Data_Flows[[#This Row],[Name(EN)]],Tab_Def_Flows[Name(EN)],0),13)</f>
        <v>0</v>
      </c>
      <c r="AD263" s="10" t="str">
        <f>IF(J263="Yes",AA263*Tab_Data_Flows[[#This Row],[WC_'[%']]],"N.A.")</f>
        <v>N.A.</v>
      </c>
      <c r="AE263" s="10" t="str">
        <f>Tab_Data_Flows[[#This Row],[UoM_Flow_Py]]</f>
        <v>Mg</v>
      </c>
      <c r="AF263" s="193">
        <f>INDEX(Tab_Def_Flows[[Flow_ID]:[CC_DM_source]],MATCH(Tab_Data_Flows[[#This Row],[Name(EN)]],Tab_Def_Flows[Name(EN)],0),15)</f>
        <v>0</v>
      </c>
      <c r="AG263" s="10" t="str">
        <f>IF(K263="Yes",AF263*Tab_Data_Flows[[#This Row],[Flow_Py]],"N.A.")</f>
        <v>N.A.</v>
      </c>
      <c r="AH263" s="10" t="str">
        <f>Tab_Data_Flows[[#This Row],[UoM_Flow_Py]]</f>
        <v>Mg</v>
      </c>
      <c r="AI263" s="193">
        <f>INDEX(Tab_Def_Flows[[Flow_ID]:[CC_DM_source]],MATCH(Tab_Data_Flows[[#This Row],[Name(EN)]],Tab_Def_Flows[Name(EN)],0),17)</f>
        <v>0</v>
      </c>
      <c r="AJ263" s="10" t="str">
        <f>IF(L263="Yes",AI263*Tab_Data_Flows[[#This Row],[Flow_Py]]*Tab_Data_Flows[[#This Row],[DM_'[%']]],"N.A.")</f>
        <v>N.A.</v>
      </c>
      <c r="AK263" s="10" t="str">
        <f>Tab_Data_Flows[[#This Row],[UoM_Flow_Py]]</f>
        <v>Mg</v>
      </c>
    </row>
    <row r="264" spans="1:37" x14ac:dyDescent="0.25">
      <c r="A264" s="17">
        <f t="shared" si="8"/>
        <v>263</v>
      </c>
      <c r="B264" s="10" t="str">
        <f>_xlfn.XLOOKUP(C264,Tab_Def_Flows[Name(EN)],Tab_Def_Flows[Flow_ID],,0,)</f>
        <v>N.A.</v>
      </c>
      <c r="C264" s="12" t="s">
        <v>35</v>
      </c>
      <c r="D264" s="10">
        <f>_xlfn.XLOOKUP(C264,Tab_Def_Flows[Name(EN)],Tab_Def_Flows[Type_Biomass],,0,)</f>
        <v>0</v>
      </c>
      <c r="E264" s="10">
        <f>_xlfn.XLOOKUP(C264,Tab_Def_Flows[Name(EN)],Tab_Def_Flows[Output_Process],,0,)</f>
        <v>0</v>
      </c>
      <c r="F264" s="10">
        <f>_xlfn.XLOOKUP(C264,Tab_Def_Flows[Name(EN)],Tab_Def_Flows[Process_ID_O],,0,)</f>
        <v>0</v>
      </c>
      <c r="G264" s="10">
        <f>_xlfn.XLOOKUP(C264,Tab_Def_Flows[Name(EN)],Tab_Def_Flows[Input_Process],,0,)</f>
        <v>0</v>
      </c>
      <c r="H264" s="18">
        <f>_xlfn.XLOOKUP(C264,Tab_Def_Flows[Name(EN)],Tab_Def_Flows[Process_ID_I],,0,)</f>
        <v>0</v>
      </c>
      <c r="I264" s="10" t="e">
        <f>_xlfn.XLOOKUP(C264,Tab_Def_Flows[Name(EN)],#REF!,,0,)</f>
        <v>#REF!</v>
      </c>
      <c r="J264" s="18">
        <f>_xlfn.XLOOKUP(C264,Tab_Def_Flows[Name(EN)],Tab_Def_Flows[WC?],,0,)</f>
        <v>0</v>
      </c>
      <c r="K264" s="18">
        <f>_xlfn.XLOOKUP(C264,Tab_Def_Flows[Name(EN)],Tab_Def_Flows[DM?],,0,)</f>
        <v>0</v>
      </c>
      <c r="L264" s="18">
        <f>_xlfn.XLOOKUP(C264,Tab_Def_Flows[Name(EN)],Tab_Def_Flows[CC?],,0,)</f>
        <v>0</v>
      </c>
      <c r="M264" s="12"/>
      <c r="N264" s="12"/>
      <c r="O264" s="50"/>
      <c r="P264" s="12"/>
      <c r="Q264" s="12"/>
      <c r="R264" s="12"/>
      <c r="S264" s="24"/>
      <c r="T264" s="12"/>
      <c r="U264" s="12"/>
      <c r="V264" s="12"/>
      <c r="W264" s="12"/>
      <c r="X264" s="12" t="s">
        <v>8</v>
      </c>
      <c r="Y264" s="43"/>
      <c r="Z264" s="12"/>
      <c r="AA264" s="36">
        <f t="shared" si="9"/>
        <v>0</v>
      </c>
      <c r="AB264" s="12" t="s">
        <v>283</v>
      </c>
      <c r="AC264" s="193">
        <f>INDEX(Tab_Def_Flows[[Flow_ID]:[CC_DM_source]],MATCH(Tab_Data_Flows[[#This Row],[Name(EN)]],Tab_Def_Flows[Name(EN)],0),13)</f>
        <v>0</v>
      </c>
      <c r="AD264" s="10" t="str">
        <f>IF(J264="Yes",AA264*Tab_Data_Flows[[#This Row],[WC_'[%']]],"N.A.")</f>
        <v>N.A.</v>
      </c>
      <c r="AE264" s="10" t="str">
        <f>Tab_Data_Flows[[#This Row],[UoM_Flow_Py]]</f>
        <v>Mg</v>
      </c>
      <c r="AF264" s="193">
        <f>INDEX(Tab_Def_Flows[[Flow_ID]:[CC_DM_source]],MATCH(Tab_Data_Flows[[#This Row],[Name(EN)]],Tab_Def_Flows[Name(EN)],0),15)</f>
        <v>0</v>
      </c>
      <c r="AG264" s="10" t="str">
        <f>IF(K264="Yes",AF264*Tab_Data_Flows[[#This Row],[Flow_Py]],"N.A.")</f>
        <v>N.A.</v>
      </c>
      <c r="AH264" s="10" t="str">
        <f>Tab_Data_Flows[[#This Row],[UoM_Flow_Py]]</f>
        <v>Mg</v>
      </c>
      <c r="AI264" s="193">
        <f>INDEX(Tab_Def_Flows[[Flow_ID]:[CC_DM_source]],MATCH(Tab_Data_Flows[[#This Row],[Name(EN)]],Tab_Def_Flows[Name(EN)],0),17)</f>
        <v>0</v>
      </c>
      <c r="AJ264" s="10" t="str">
        <f>IF(L264="Yes",AI264*Tab_Data_Flows[[#This Row],[Flow_Py]]*Tab_Data_Flows[[#This Row],[DM_'[%']]],"N.A.")</f>
        <v>N.A.</v>
      </c>
      <c r="AK264" s="10" t="str">
        <f>Tab_Data_Flows[[#This Row],[UoM_Flow_Py]]</f>
        <v>Mg</v>
      </c>
    </row>
    <row r="265" spans="1:37" x14ac:dyDescent="0.25">
      <c r="A265" s="17">
        <f t="shared" si="8"/>
        <v>264</v>
      </c>
      <c r="B265" s="10" t="str">
        <f>_xlfn.XLOOKUP(C265,Tab_Def_Flows[Name(EN)],Tab_Def_Flows[Flow_ID],,0,)</f>
        <v>N.A.</v>
      </c>
      <c r="C265" s="12" t="s">
        <v>35</v>
      </c>
      <c r="D265" s="10">
        <f>_xlfn.XLOOKUP(C265,Tab_Def_Flows[Name(EN)],Tab_Def_Flows[Type_Biomass],,0,)</f>
        <v>0</v>
      </c>
      <c r="E265" s="10">
        <f>_xlfn.XLOOKUP(C265,Tab_Def_Flows[Name(EN)],Tab_Def_Flows[Output_Process],,0,)</f>
        <v>0</v>
      </c>
      <c r="F265" s="10">
        <f>_xlfn.XLOOKUP(C265,Tab_Def_Flows[Name(EN)],Tab_Def_Flows[Process_ID_O],,0,)</f>
        <v>0</v>
      </c>
      <c r="G265" s="10">
        <f>_xlfn.XLOOKUP(C265,Tab_Def_Flows[Name(EN)],Tab_Def_Flows[Input_Process],,0,)</f>
        <v>0</v>
      </c>
      <c r="H265" s="18">
        <f>_xlfn.XLOOKUP(C265,Tab_Def_Flows[Name(EN)],Tab_Def_Flows[Process_ID_I],,0,)</f>
        <v>0</v>
      </c>
      <c r="I265" s="10" t="e">
        <f>_xlfn.XLOOKUP(C265,Tab_Def_Flows[Name(EN)],#REF!,,0,)</f>
        <v>#REF!</v>
      </c>
      <c r="J265" s="18">
        <f>_xlfn.XLOOKUP(C265,Tab_Def_Flows[Name(EN)],Tab_Def_Flows[WC?],,0,)</f>
        <v>0</v>
      </c>
      <c r="K265" s="18">
        <f>_xlfn.XLOOKUP(C265,Tab_Def_Flows[Name(EN)],Tab_Def_Flows[DM?],,0,)</f>
        <v>0</v>
      </c>
      <c r="L265" s="18">
        <f>_xlfn.XLOOKUP(C265,Tab_Def_Flows[Name(EN)],Tab_Def_Flows[CC?],,0,)</f>
        <v>0</v>
      </c>
      <c r="M265" s="12"/>
      <c r="N265" s="12"/>
      <c r="O265" s="50"/>
      <c r="P265" s="12"/>
      <c r="Q265" s="12"/>
      <c r="R265" s="12"/>
      <c r="S265" s="24"/>
      <c r="T265" s="12"/>
      <c r="U265" s="12"/>
      <c r="V265" s="12"/>
      <c r="W265" s="12"/>
      <c r="X265" s="12" t="s">
        <v>8</v>
      </c>
      <c r="Y265" s="43"/>
      <c r="Z265" s="12"/>
      <c r="AA265" s="36">
        <f t="shared" si="9"/>
        <v>0</v>
      </c>
      <c r="AB265" s="12" t="s">
        <v>283</v>
      </c>
      <c r="AC265" s="193">
        <f>INDEX(Tab_Def_Flows[[Flow_ID]:[CC_DM_source]],MATCH(Tab_Data_Flows[[#This Row],[Name(EN)]],Tab_Def_Flows[Name(EN)],0),13)</f>
        <v>0</v>
      </c>
      <c r="AD265" s="10" t="str">
        <f>IF(J265="Yes",AA265*Tab_Data_Flows[[#This Row],[WC_'[%']]],"N.A.")</f>
        <v>N.A.</v>
      </c>
      <c r="AE265" s="10" t="str">
        <f>Tab_Data_Flows[[#This Row],[UoM_Flow_Py]]</f>
        <v>Mg</v>
      </c>
      <c r="AF265" s="193">
        <f>INDEX(Tab_Def_Flows[[Flow_ID]:[CC_DM_source]],MATCH(Tab_Data_Flows[[#This Row],[Name(EN)]],Tab_Def_Flows[Name(EN)],0),15)</f>
        <v>0</v>
      </c>
      <c r="AG265" s="10" t="str">
        <f>IF(K265="Yes",AF265*Tab_Data_Flows[[#This Row],[Flow_Py]],"N.A.")</f>
        <v>N.A.</v>
      </c>
      <c r="AH265" s="10" t="str">
        <f>Tab_Data_Flows[[#This Row],[UoM_Flow_Py]]</f>
        <v>Mg</v>
      </c>
      <c r="AI265" s="193">
        <f>INDEX(Tab_Def_Flows[[Flow_ID]:[CC_DM_source]],MATCH(Tab_Data_Flows[[#This Row],[Name(EN)]],Tab_Def_Flows[Name(EN)],0),17)</f>
        <v>0</v>
      </c>
      <c r="AJ265" s="10" t="str">
        <f>IF(L265="Yes",AI265*Tab_Data_Flows[[#This Row],[Flow_Py]]*Tab_Data_Flows[[#This Row],[DM_'[%']]],"N.A.")</f>
        <v>N.A.</v>
      </c>
      <c r="AK265" s="10" t="str">
        <f>Tab_Data_Flows[[#This Row],[UoM_Flow_Py]]</f>
        <v>Mg</v>
      </c>
    </row>
    <row r="266" spans="1:37" x14ac:dyDescent="0.25">
      <c r="A266" s="17">
        <f t="shared" si="8"/>
        <v>265</v>
      </c>
      <c r="B266" s="10" t="str">
        <f>_xlfn.XLOOKUP(C266,Tab_Def_Flows[Name(EN)],Tab_Def_Flows[Flow_ID],,0,)</f>
        <v>N.A.</v>
      </c>
      <c r="C266" s="12" t="s">
        <v>35</v>
      </c>
      <c r="D266" s="10">
        <f>_xlfn.XLOOKUP(C266,Tab_Def_Flows[Name(EN)],Tab_Def_Flows[Type_Biomass],,0,)</f>
        <v>0</v>
      </c>
      <c r="E266" s="10">
        <f>_xlfn.XLOOKUP(C266,Tab_Def_Flows[Name(EN)],Tab_Def_Flows[Output_Process],,0,)</f>
        <v>0</v>
      </c>
      <c r="F266" s="10">
        <f>_xlfn.XLOOKUP(C266,Tab_Def_Flows[Name(EN)],Tab_Def_Flows[Process_ID_O],,0,)</f>
        <v>0</v>
      </c>
      <c r="G266" s="10">
        <f>_xlfn.XLOOKUP(C266,Tab_Def_Flows[Name(EN)],Tab_Def_Flows[Input_Process],,0,)</f>
        <v>0</v>
      </c>
      <c r="H266" s="18">
        <f>_xlfn.XLOOKUP(C266,Tab_Def_Flows[Name(EN)],Tab_Def_Flows[Process_ID_I],,0,)</f>
        <v>0</v>
      </c>
      <c r="I266" s="10" t="e">
        <f>_xlfn.XLOOKUP(C266,Tab_Def_Flows[Name(EN)],#REF!,,0,)</f>
        <v>#REF!</v>
      </c>
      <c r="J266" s="18">
        <f>_xlfn.XLOOKUP(C266,Tab_Def_Flows[Name(EN)],Tab_Def_Flows[WC?],,0,)</f>
        <v>0</v>
      </c>
      <c r="K266" s="18">
        <f>_xlfn.XLOOKUP(C266,Tab_Def_Flows[Name(EN)],Tab_Def_Flows[DM?],,0,)</f>
        <v>0</v>
      </c>
      <c r="L266" s="18">
        <f>_xlfn.XLOOKUP(C266,Tab_Def_Flows[Name(EN)],Tab_Def_Flows[CC?],,0,)</f>
        <v>0</v>
      </c>
      <c r="M266" s="12"/>
      <c r="N266" s="12"/>
      <c r="O266" s="50"/>
      <c r="P266" s="12"/>
      <c r="Q266" s="12"/>
      <c r="R266" s="12"/>
      <c r="S266" s="24"/>
      <c r="T266" s="12"/>
      <c r="U266" s="12"/>
      <c r="V266" s="12"/>
      <c r="W266" s="12"/>
      <c r="X266" s="12" t="s">
        <v>8</v>
      </c>
      <c r="Y266" s="43"/>
      <c r="Z266" s="12"/>
      <c r="AA266" s="36">
        <f t="shared" si="9"/>
        <v>0</v>
      </c>
      <c r="AB266" s="12" t="s">
        <v>283</v>
      </c>
      <c r="AC266" s="193">
        <f>INDEX(Tab_Def_Flows[[Flow_ID]:[CC_DM_source]],MATCH(Tab_Data_Flows[[#This Row],[Name(EN)]],Tab_Def_Flows[Name(EN)],0),13)</f>
        <v>0</v>
      </c>
      <c r="AD266" s="10" t="str">
        <f>IF(J266="Yes",AA266*Tab_Data_Flows[[#This Row],[WC_'[%']]],"N.A.")</f>
        <v>N.A.</v>
      </c>
      <c r="AE266" s="10" t="str">
        <f>Tab_Data_Flows[[#This Row],[UoM_Flow_Py]]</f>
        <v>Mg</v>
      </c>
      <c r="AF266" s="193">
        <f>INDEX(Tab_Def_Flows[[Flow_ID]:[CC_DM_source]],MATCH(Tab_Data_Flows[[#This Row],[Name(EN)]],Tab_Def_Flows[Name(EN)],0),15)</f>
        <v>0</v>
      </c>
      <c r="AG266" s="10" t="str">
        <f>IF(K266="Yes",AF266*Tab_Data_Flows[[#This Row],[Flow_Py]],"N.A.")</f>
        <v>N.A.</v>
      </c>
      <c r="AH266" s="10" t="str">
        <f>Tab_Data_Flows[[#This Row],[UoM_Flow_Py]]</f>
        <v>Mg</v>
      </c>
      <c r="AI266" s="193">
        <f>INDEX(Tab_Def_Flows[[Flow_ID]:[CC_DM_source]],MATCH(Tab_Data_Flows[[#This Row],[Name(EN)]],Tab_Def_Flows[Name(EN)],0),17)</f>
        <v>0</v>
      </c>
      <c r="AJ266" s="10" t="str">
        <f>IF(L266="Yes",AI266*Tab_Data_Flows[[#This Row],[Flow_Py]]*Tab_Data_Flows[[#This Row],[DM_'[%']]],"N.A.")</f>
        <v>N.A.</v>
      </c>
      <c r="AK266" s="10" t="str">
        <f>Tab_Data_Flows[[#This Row],[UoM_Flow_Py]]</f>
        <v>Mg</v>
      </c>
    </row>
    <row r="267" spans="1:37" x14ac:dyDescent="0.25">
      <c r="A267" s="17">
        <f t="shared" si="8"/>
        <v>266</v>
      </c>
      <c r="B267" s="10" t="str">
        <f>_xlfn.XLOOKUP(C267,Tab_Def_Flows[Name(EN)],Tab_Def_Flows[Flow_ID],,0,)</f>
        <v>N.A.</v>
      </c>
      <c r="C267" s="12" t="s">
        <v>35</v>
      </c>
      <c r="D267" s="10">
        <f>_xlfn.XLOOKUP(C267,Tab_Def_Flows[Name(EN)],Tab_Def_Flows[Type_Biomass],,0,)</f>
        <v>0</v>
      </c>
      <c r="E267" s="10">
        <f>_xlfn.XLOOKUP(C267,Tab_Def_Flows[Name(EN)],Tab_Def_Flows[Output_Process],,0,)</f>
        <v>0</v>
      </c>
      <c r="F267" s="10">
        <f>_xlfn.XLOOKUP(C267,Tab_Def_Flows[Name(EN)],Tab_Def_Flows[Process_ID_O],,0,)</f>
        <v>0</v>
      </c>
      <c r="G267" s="10">
        <f>_xlfn.XLOOKUP(C267,Tab_Def_Flows[Name(EN)],Tab_Def_Flows[Input_Process],,0,)</f>
        <v>0</v>
      </c>
      <c r="H267" s="18">
        <f>_xlfn.XLOOKUP(C267,Tab_Def_Flows[Name(EN)],Tab_Def_Flows[Process_ID_I],,0,)</f>
        <v>0</v>
      </c>
      <c r="I267" s="10" t="e">
        <f>_xlfn.XLOOKUP(C267,Tab_Def_Flows[Name(EN)],#REF!,,0,)</f>
        <v>#REF!</v>
      </c>
      <c r="J267" s="18">
        <f>_xlfn.XLOOKUP(C267,Tab_Def_Flows[Name(EN)],Tab_Def_Flows[WC?],,0,)</f>
        <v>0</v>
      </c>
      <c r="K267" s="18">
        <f>_xlfn.XLOOKUP(C267,Tab_Def_Flows[Name(EN)],Tab_Def_Flows[DM?],,0,)</f>
        <v>0</v>
      </c>
      <c r="L267" s="18">
        <f>_xlfn.XLOOKUP(C267,Tab_Def_Flows[Name(EN)],Tab_Def_Flows[CC?],,0,)</f>
        <v>0</v>
      </c>
      <c r="M267" s="12"/>
      <c r="N267" s="12"/>
      <c r="O267" s="50"/>
      <c r="P267" s="12"/>
      <c r="Q267" s="12"/>
      <c r="R267" s="12"/>
      <c r="S267" s="24"/>
      <c r="T267" s="12"/>
      <c r="U267" s="12"/>
      <c r="V267" s="12"/>
      <c r="W267" s="12"/>
      <c r="X267" s="12" t="s">
        <v>8</v>
      </c>
      <c r="Y267" s="43"/>
      <c r="Z267" s="12"/>
      <c r="AA267" s="36">
        <f t="shared" si="9"/>
        <v>0</v>
      </c>
      <c r="AB267" s="12" t="s">
        <v>283</v>
      </c>
      <c r="AC267" s="193">
        <f>INDEX(Tab_Def_Flows[[Flow_ID]:[CC_DM_source]],MATCH(Tab_Data_Flows[[#This Row],[Name(EN)]],Tab_Def_Flows[Name(EN)],0),13)</f>
        <v>0</v>
      </c>
      <c r="AD267" s="10" t="str">
        <f>IF(J267="Yes",AA267*Tab_Data_Flows[[#This Row],[WC_'[%']]],"N.A.")</f>
        <v>N.A.</v>
      </c>
      <c r="AE267" s="10" t="str">
        <f>Tab_Data_Flows[[#This Row],[UoM_Flow_Py]]</f>
        <v>Mg</v>
      </c>
      <c r="AF267" s="193">
        <f>INDEX(Tab_Def_Flows[[Flow_ID]:[CC_DM_source]],MATCH(Tab_Data_Flows[[#This Row],[Name(EN)]],Tab_Def_Flows[Name(EN)],0),15)</f>
        <v>0</v>
      </c>
      <c r="AG267" s="10" t="str">
        <f>IF(K267="Yes",AF267*Tab_Data_Flows[[#This Row],[Flow_Py]],"N.A.")</f>
        <v>N.A.</v>
      </c>
      <c r="AH267" s="10" t="str">
        <f>Tab_Data_Flows[[#This Row],[UoM_Flow_Py]]</f>
        <v>Mg</v>
      </c>
      <c r="AI267" s="193">
        <f>INDEX(Tab_Def_Flows[[Flow_ID]:[CC_DM_source]],MATCH(Tab_Data_Flows[[#This Row],[Name(EN)]],Tab_Def_Flows[Name(EN)],0),17)</f>
        <v>0</v>
      </c>
      <c r="AJ267" s="10" t="str">
        <f>IF(L267="Yes",AI267*Tab_Data_Flows[[#This Row],[Flow_Py]]*Tab_Data_Flows[[#This Row],[DM_'[%']]],"N.A.")</f>
        <v>N.A.</v>
      </c>
      <c r="AK267" s="10" t="str">
        <f>Tab_Data_Flows[[#This Row],[UoM_Flow_Py]]</f>
        <v>Mg</v>
      </c>
    </row>
    <row r="268" spans="1:37" x14ac:dyDescent="0.25">
      <c r="A268" s="17">
        <f t="shared" si="8"/>
        <v>267</v>
      </c>
      <c r="B268" s="10" t="str">
        <f>_xlfn.XLOOKUP(C268,Tab_Def_Flows[Name(EN)],Tab_Def_Flows[Flow_ID],,0,)</f>
        <v>N.A.</v>
      </c>
      <c r="C268" s="12" t="s">
        <v>35</v>
      </c>
      <c r="D268" s="10">
        <f>_xlfn.XLOOKUP(C268,Tab_Def_Flows[Name(EN)],Tab_Def_Flows[Type_Biomass],,0,)</f>
        <v>0</v>
      </c>
      <c r="E268" s="10">
        <f>_xlfn.XLOOKUP(C268,Tab_Def_Flows[Name(EN)],Tab_Def_Flows[Output_Process],,0,)</f>
        <v>0</v>
      </c>
      <c r="F268" s="10">
        <f>_xlfn.XLOOKUP(C268,Tab_Def_Flows[Name(EN)],Tab_Def_Flows[Process_ID_O],,0,)</f>
        <v>0</v>
      </c>
      <c r="G268" s="10">
        <f>_xlfn.XLOOKUP(C268,Tab_Def_Flows[Name(EN)],Tab_Def_Flows[Input_Process],,0,)</f>
        <v>0</v>
      </c>
      <c r="H268" s="18">
        <f>_xlfn.XLOOKUP(C268,Tab_Def_Flows[Name(EN)],Tab_Def_Flows[Process_ID_I],,0,)</f>
        <v>0</v>
      </c>
      <c r="I268" s="10" t="e">
        <f>_xlfn.XLOOKUP(C268,Tab_Def_Flows[Name(EN)],#REF!,,0,)</f>
        <v>#REF!</v>
      </c>
      <c r="J268" s="18">
        <f>_xlfn.XLOOKUP(C268,Tab_Def_Flows[Name(EN)],Tab_Def_Flows[WC?],,0,)</f>
        <v>0</v>
      </c>
      <c r="K268" s="18">
        <f>_xlfn.XLOOKUP(C268,Tab_Def_Flows[Name(EN)],Tab_Def_Flows[DM?],,0,)</f>
        <v>0</v>
      </c>
      <c r="L268" s="18">
        <f>_xlfn.XLOOKUP(C268,Tab_Def_Flows[Name(EN)],Tab_Def_Flows[CC?],,0,)</f>
        <v>0</v>
      </c>
      <c r="M268" s="12"/>
      <c r="N268" s="12"/>
      <c r="O268" s="50"/>
      <c r="P268" s="12"/>
      <c r="Q268" s="12"/>
      <c r="R268" s="12"/>
      <c r="S268" s="24"/>
      <c r="T268" s="12"/>
      <c r="U268" s="12"/>
      <c r="V268" s="12"/>
      <c r="W268" s="12"/>
      <c r="X268" s="12" t="s">
        <v>8</v>
      </c>
      <c r="Y268" s="43"/>
      <c r="Z268" s="12"/>
      <c r="AA268" s="36">
        <f t="shared" si="9"/>
        <v>0</v>
      </c>
      <c r="AB268" s="12" t="s">
        <v>283</v>
      </c>
      <c r="AC268" s="193">
        <f>INDEX(Tab_Def_Flows[[Flow_ID]:[CC_DM_source]],MATCH(Tab_Data_Flows[[#This Row],[Name(EN)]],Tab_Def_Flows[Name(EN)],0),13)</f>
        <v>0</v>
      </c>
      <c r="AD268" s="10" t="str">
        <f>IF(J268="Yes",AA268*Tab_Data_Flows[[#This Row],[WC_'[%']]],"N.A.")</f>
        <v>N.A.</v>
      </c>
      <c r="AE268" s="10" t="str">
        <f>Tab_Data_Flows[[#This Row],[UoM_Flow_Py]]</f>
        <v>Mg</v>
      </c>
      <c r="AF268" s="193">
        <f>INDEX(Tab_Def_Flows[[Flow_ID]:[CC_DM_source]],MATCH(Tab_Data_Flows[[#This Row],[Name(EN)]],Tab_Def_Flows[Name(EN)],0),15)</f>
        <v>0</v>
      </c>
      <c r="AG268" s="10" t="str">
        <f>IF(K268="Yes",AF268*Tab_Data_Flows[[#This Row],[Flow_Py]],"N.A.")</f>
        <v>N.A.</v>
      </c>
      <c r="AH268" s="10" t="str">
        <f>Tab_Data_Flows[[#This Row],[UoM_Flow_Py]]</f>
        <v>Mg</v>
      </c>
      <c r="AI268" s="193">
        <f>INDEX(Tab_Def_Flows[[Flow_ID]:[CC_DM_source]],MATCH(Tab_Data_Flows[[#This Row],[Name(EN)]],Tab_Def_Flows[Name(EN)],0),17)</f>
        <v>0</v>
      </c>
      <c r="AJ268" s="10" t="str">
        <f>IF(L268="Yes",AI268*Tab_Data_Flows[[#This Row],[Flow_Py]]*Tab_Data_Flows[[#This Row],[DM_'[%']]],"N.A.")</f>
        <v>N.A.</v>
      </c>
      <c r="AK268" s="10" t="str">
        <f>Tab_Data_Flows[[#This Row],[UoM_Flow_Py]]</f>
        <v>Mg</v>
      </c>
    </row>
    <row r="269" spans="1:37" x14ac:dyDescent="0.25">
      <c r="A269" s="17">
        <f t="shared" si="8"/>
        <v>268</v>
      </c>
      <c r="B269" s="10" t="str">
        <f>_xlfn.XLOOKUP(C269,Tab_Def_Flows[Name(EN)],Tab_Def_Flows[Flow_ID],,0,)</f>
        <v>N.A.</v>
      </c>
      <c r="C269" s="12" t="s">
        <v>35</v>
      </c>
      <c r="D269" s="10">
        <f>_xlfn.XLOOKUP(C269,Tab_Def_Flows[Name(EN)],Tab_Def_Flows[Type_Biomass],,0,)</f>
        <v>0</v>
      </c>
      <c r="E269" s="10">
        <f>_xlfn.XLOOKUP(C269,Tab_Def_Flows[Name(EN)],Tab_Def_Flows[Output_Process],,0,)</f>
        <v>0</v>
      </c>
      <c r="F269" s="10">
        <f>_xlfn.XLOOKUP(C269,Tab_Def_Flows[Name(EN)],Tab_Def_Flows[Process_ID_O],,0,)</f>
        <v>0</v>
      </c>
      <c r="G269" s="10">
        <f>_xlfn.XLOOKUP(C269,Tab_Def_Flows[Name(EN)],Tab_Def_Flows[Input_Process],,0,)</f>
        <v>0</v>
      </c>
      <c r="H269" s="18">
        <f>_xlfn.XLOOKUP(C269,Tab_Def_Flows[Name(EN)],Tab_Def_Flows[Process_ID_I],,0,)</f>
        <v>0</v>
      </c>
      <c r="I269" s="10" t="e">
        <f>_xlfn.XLOOKUP(C269,Tab_Def_Flows[Name(EN)],#REF!,,0,)</f>
        <v>#REF!</v>
      </c>
      <c r="J269" s="18">
        <f>_xlfn.XLOOKUP(C269,Tab_Def_Flows[Name(EN)],Tab_Def_Flows[WC?],,0,)</f>
        <v>0</v>
      </c>
      <c r="K269" s="18">
        <f>_xlfn.XLOOKUP(C269,Tab_Def_Flows[Name(EN)],Tab_Def_Flows[DM?],,0,)</f>
        <v>0</v>
      </c>
      <c r="L269" s="18">
        <f>_xlfn.XLOOKUP(C269,Tab_Def_Flows[Name(EN)],Tab_Def_Flows[CC?],,0,)</f>
        <v>0</v>
      </c>
      <c r="M269" s="12"/>
      <c r="N269" s="12"/>
      <c r="O269" s="50"/>
      <c r="P269" s="12"/>
      <c r="Q269" s="12"/>
      <c r="R269" s="12"/>
      <c r="S269" s="24"/>
      <c r="T269" s="12"/>
      <c r="U269" s="12"/>
      <c r="V269" s="12"/>
      <c r="W269" s="12"/>
      <c r="X269" s="12" t="s">
        <v>8</v>
      </c>
      <c r="Y269" s="43"/>
      <c r="Z269" s="12"/>
      <c r="AA269" s="36">
        <f t="shared" si="9"/>
        <v>0</v>
      </c>
      <c r="AB269" s="12" t="s">
        <v>283</v>
      </c>
      <c r="AC269" s="193">
        <f>INDEX(Tab_Def_Flows[[Flow_ID]:[CC_DM_source]],MATCH(Tab_Data_Flows[[#This Row],[Name(EN)]],Tab_Def_Flows[Name(EN)],0),13)</f>
        <v>0</v>
      </c>
      <c r="AD269" s="10" t="str">
        <f>IF(J269="Yes",AA269*Tab_Data_Flows[[#This Row],[WC_'[%']]],"N.A.")</f>
        <v>N.A.</v>
      </c>
      <c r="AE269" s="10" t="str">
        <f>Tab_Data_Flows[[#This Row],[UoM_Flow_Py]]</f>
        <v>Mg</v>
      </c>
      <c r="AF269" s="193">
        <f>INDEX(Tab_Def_Flows[[Flow_ID]:[CC_DM_source]],MATCH(Tab_Data_Flows[[#This Row],[Name(EN)]],Tab_Def_Flows[Name(EN)],0),15)</f>
        <v>0</v>
      </c>
      <c r="AG269" s="10" t="str">
        <f>IF(K269="Yes",AF269*Tab_Data_Flows[[#This Row],[Flow_Py]],"N.A.")</f>
        <v>N.A.</v>
      </c>
      <c r="AH269" s="10" t="str">
        <f>Tab_Data_Flows[[#This Row],[UoM_Flow_Py]]</f>
        <v>Mg</v>
      </c>
      <c r="AI269" s="193">
        <f>INDEX(Tab_Def_Flows[[Flow_ID]:[CC_DM_source]],MATCH(Tab_Data_Flows[[#This Row],[Name(EN)]],Tab_Def_Flows[Name(EN)],0),17)</f>
        <v>0</v>
      </c>
      <c r="AJ269" s="10" t="str">
        <f>IF(L269="Yes",AI269*Tab_Data_Flows[[#This Row],[Flow_Py]]*Tab_Data_Flows[[#This Row],[DM_'[%']]],"N.A.")</f>
        <v>N.A.</v>
      </c>
      <c r="AK269" s="10" t="str">
        <f>Tab_Data_Flows[[#This Row],[UoM_Flow_Py]]</f>
        <v>Mg</v>
      </c>
    </row>
    <row r="270" spans="1:37" x14ac:dyDescent="0.25">
      <c r="A270" s="17">
        <f t="shared" si="8"/>
        <v>269</v>
      </c>
      <c r="B270" s="10" t="str">
        <f>_xlfn.XLOOKUP(C270,Tab_Def_Flows[Name(EN)],Tab_Def_Flows[Flow_ID],,0,)</f>
        <v>N.A.</v>
      </c>
      <c r="C270" s="12" t="s">
        <v>35</v>
      </c>
      <c r="D270" s="10">
        <f>_xlfn.XLOOKUP(C270,Tab_Def_Flows[Name(EN)],Tab_Def_Flows[Type_Biomass],,0,)</f>
        <v>0</v>
      </c>
      <c r="E270" s="10">
        <f>_xlfn.XLOOKUP(C270,Tab_Def_Flows[Name(EN)],Tab_Def_Flows[Output_Process],,0,)</f>
        <v>0</v>
      </c>
      <c r="F270" s="10">
        <f>_xlfn.XLOOKUP(C270,Tab_Def_Flows[Name(EN)],Tab_Def_Flows[Process_ID_O],,0,)</f>
        <v>0</v>
      </c>
      <c r="G270" s="10">
        <f>_xlfn.XLOOKUP(C270,Tab_Def_Flows[Name(EN)],Tab_Def_Flows[Input_Process],,0,)</f>
        <v>0</v>
      </c>
      <c r="H270" s="18">
        <f>_xlfn.XLOOKUP(C270,Tab_Def_Flows[Name(EN)],Tab_Def_Flows[Process_ID_I],,0,)</f>
        <v>0</v>
      </c>
      <c r="I270" s="10" t="e">
        <f>_xlfn.XLOOKUP(C270,Tab_Def_Flows[Name(EN)],#REF!,,0,)</f>
        <v>#REF!</v>
      </c>
      <c r="J270" s="18">
        <f>_xlfn.XLOOKUP(C270,Tab_Def_Flows[Name(EN)],Tab_Def_Flows[WC?],,0,)</f>
        <v>0</v>
      </c>
      <c r="K270" s="18">
        <f>_xlfn.XLOOKUP(C270,Tab_Def_Flows[Name(EN)],Tab_Def_Flows[DM?],,0,)</f>
        <v>0</v>
      </c>
      <c r="L270" s="18">
        <f>_xlfn.XLOOKUP(C270,Tab_Def_Flows[Name(EN)],Tab_Def_Flows[CC?],,0,)</f>
        <v>0</v>
      </c>
      <c r="M270" s="12"/>
      <c r="N270" s="12"/>
      <c r="O270" s="50"/>
      <c r="P270" s="12"/>
      <c r="Q270" s="12"/>
      <c r="R270" s="12"/>
      <c r="S270" s="24"/>
      <c r="T270" s="12"/>
      <c r="U270" s="12"/>
      <c r="V270" s="12"/>
      <c r="W270" s="12"/>
      <c r="X270" s="12" t="s">
        <v>8</v>
      </c>
      <c r="Y270" s="43"/>
      <c r="Z270" s="12"/>
      <c r="AA270" s="36">
        <f t="shared" si="9"/>
        <v>0</v>
      </c>
      <c r="AB270" s="12" t="s">
        <v>283</v>
      </c>
      <c r="AC270" s="193">
        <f>INDEX(Tab_Def_Flows[[Flow_ID]:[CC_DM_source]],MATCH(Tab_Data_Flows[[#This Row],[Name(EN)]],Tab_Def_Flows[Name(EN)],0),13)</f>
        <v>0</v>
      </c>
      <c r="AD270" s="10" t="str">
        <f>IF(J270="Yes",AA270*Tab_Data_Flows[[#This Row],[WC_'[%']]],"N.A.")</f>
        <v>N.A.</v>
      </c>
      <c r="AE270" s="10" t="str">
        <f>Tab_Data_Flows[[#This Row],[UoM_Flow_Py]]</f>
        <v>Mg</v>
      </c>
      <c r="AF270" s="193">
        <f>INDEX(Tab_Def_Flows[[Flow_ID]:[CC_DM_source]],MATCH(Tab_Data_Flows[[#This Row],[Name(EN)]],Tab_Def_Flows[Name(EN)],0),15)</f>
        <v>0</v>
      </c>
      <c r="AG270" s="10" t="str">
        <f>IF(K270="Yes",AF270*Tab_Data_Flows[[#This Row],[Flow_Py]],"N.A.")</f>
        <v>N.A.</v>
      </c>
      <c r="AH270" s="10" t="str">
        <f>Tab_Data_Flows[[#This Row],[UoM_Flow_Py]]</f>
        <v>Mg</v>
      </c>
      <c r="AI270" s="193">
        <f>INDEX(Tab_Def_Flows[[Flow_ID]:[CC_DM_source]],MATCH(Tab_Data_Flows[[#This Row],[Name(EN)]],Tab_Def_Flows[Name(EN)],0),17)</f>
        <v>0</v>
      </c>
      <c r="AJ270" s="10" t="str">
        <f>IF(L270="Yes",AI270*Tab_Data_Flows[[#This Row],[Flow_Py]]*Tab_Data_Flows[[#This Row],[DM_'[%']]],"N.A.")</f>
        <v>N.A.</v>
      </c>
      <c r="AK270" s="10" t="str">
        <f>Tab_Data_Flows[[#This Row],[UoM_Flow_Py]]</f>
        <v>Mg</v>
      </c>
    </row>
    <row r="271" spans="1:37" x14ac:dyDescent="0.25">
      <c r="A271" s="17">
        <f t="shared" si="8"/>
        <v>270</v>
      </c>
      <c r="B271" s="10" t="str">
        <f>_xlfn.XLOOKUP(C271,Tab_Def_Flows[Name(EN)],Tab_Def_Flows[Flow_ID],,0,)</f>
        <v>N.A.</v>
      </c>
      <c r="C271" s="12" t="s">
        <v>35</v>
      </c>
      <c r="D271" s="10">
        <f>_xlfn.XLOOKUP(C271,Tab_Def_Flows[Name(EN)],Tab_Def_Flows[Type_Biomass],,0,)</f>
        <v>0</v>
      </c>
      <c r="E271" s="10">
        <f>_xlfn.XLOOKUP(C271,Tab_Def_Flows[Name(EN)],Tab_Def_Flows[Output_Process],,0,)</f>
        <v>0</v>
      </c>
      <c r="F271" s="10">
        <f>_xlfn.XLOOKUP(C271,Tab_Def_Flows[Name(EN)],Tab_Def_Flows[Process_ID_O],,0,)</f>
        <v>0</v>
      </c>
      <c r="G271" s="10">
        <f>_xlfn.XLOOKUP(C271,Tab_Def_Flows[Name(EN)],Tab_Def_Flows[Input_Process],,0,)</f>
        <v>0</v>
      </c>
      <c r="H271" s="18">
        <f>_xlfn.XLOOKUP(C271,Tab_Def_Flows[Name(EN)],Tab_Def_Flows[Process_ID_I],,0,)</f>
        <v>0</v>
      </c>
      <c r="I271" s="10" t="e">
        <f>_xlfn.XLOOKUP(C271,Tab_Def_Flows[Name(EN)],#REF!,,0,)</f>
        <v>#REF!</v>
      </c>
      <c r="J271" s="18">
        <f>_xlfn.XLOOKUP(C271,Tab_Def_Flows[Name(EN)],Tab_Def_Flows[WC?],,0,)</f>
        <v>0</v>
      </c>
      <c r="K271" s="18">
        <f>_xlfn.XLOOKUP(C271,Tab_Def_Flows[Name(EN)],Tab_Def_Flows[DM?],,0,)</f>
        <v>0</v>
      </c>
      <c r="L271" s="18">
        <f>_xlfn.XLOOKUP(C271,Tab_Def_Flows[Name(EN)],Tab_Def_Flows[CC?],,0,)</f>
        <v>0</v>
      </c>
      <c r="M271" s="12"/>
      <c r="N271" s="12"/>
      <c r="O271" s="50"/>
      <c r="P271" s="12"/>
      <c r="Q271" s="12"/>
      <c r="R271" s="12"/>
      <c r="S271" s="24"/>
      <c r="T271" s="12"/>
      <c r="U271" s="12"/>
      <c r="V271" s="12"/>
      <c r="W271" s="12"/>
      <c r="X271" s="12" t="s">
        <v>8</v>
      </c>
      <c r="Y271" s="43"/>
      <c r="Z271" s="12"/>
      <c r="AA271" s="36">
        <f t="shared" si="9"/>
        <v>0</v>
      </c>
      <c r="AB271" s="12" t="s">
        <v>283</v>
      </c>
      <c r="AC271" s="193">
        <f>INDEX(Tab_Def_Flows[[Flow_ID]:[CC_DM_source]],MATCH(Tab_Data_Flows[[#This Row],[Name(EN)]],Tab_Def_Flows[Name(EN)],0),13)</f>
        <v>0</v>
      </c>
      <c r="AD271" s="10" t="str">
        <f>IF(J271="Yes",AA271*Tab_Data_Flows[[#This Row],[WC_'[%']]],"N.A.")</f>
        <v>N.A.</v>
      </c>
      <c r="AE271" s="10" t="str">
        <f>Tab_Data_Flows[[#This Row],[UoM_Flow_Py]]</f>
        <v>Mg</v>
      </c>
      <c r="AF271" s="193">
        <f>INDEX(Tab_Def_Flows[[Flow_ID]:[CC_DM_source]],MATCH(Tab_Data_Flows[[#This Row],[Name(EN)]],Tab_Def_Flows[Name(EN)],0),15)</f>
        <v>0</v>
      </c>
      <c r="AG271" s="10" t="str">
        <f>IF(K271="Yes",AF271*Tab_Data_Flows[[#This Row],[Flow_Py]],"N.A.")</f>
        <v>N.A.</v>
      </c>
      <c r="AH271" s="10" t="str">
        <f>Tab_Data_Flows[[#This Row],[UoM_Flow_Py]]</f>
        <v>Mg</v>
      </c>
      <c r="AI271" s="193">
        <f>INDEX(Tab_Def_Flows[[Flow_ID]:[CC_DM_source]],MATCH(Tab_Data_Flows[[#This Row],[Name(EN)]],Tab_Def_Flows[Name(EN)],0),17)</f>
        <v>0</v>
      </c>
      <c r="AJ271" s="10" t="str">
        <f>IF(L271="Yes",AI271*Tab_Data_Flows[[#This Row],[Flow_Py]]*Tab_Data_Flows[[#This Row],[DM_'[%']]],"N.A.")</f>
        <v>N.A.</v>
      </c>
      <c r="AK271" s="10" t="str">
        <f>Tab_Data_Flows[[#This Row],[UoM_Flow_Py]]</f>
        <v>Mg</v>
      </c>
    </row>
    <row r="272" spans="1:37" x14ac:dyDescent="0.25">
      <c r="A272" s="17">
        <f t="shared" si="8"/>
        <v>271</v>
      </c>
      <c r="B272" s="10" t="str">
        <f>_xlfn.XLOOKUP(C272,Tab_Def_Flows[Name(EN)],Tab_Def_Flows[Flow_ID],,0,)</f>
        <v>N.A.</v>
      </c>
      <c r="C272" s="12" t="s">
        <v>35</v>
      </c>
      <c r="D272" s="10">
        <f>_xlfn.XLOOKUP(C272,Tab_Def_Flows[Name(EN)],Tab_Def_Flows[Type_Biomass],,0,)</f>
        <v>0</v>
      </c>
      <c r="E272" s="10">
        <f>_xlfn.XLOOKUP(C272,Tab_Def_Flows[Name(EN)],Tab_Def_Flows[Output_Process],,0,)</f>
        <v>0</v>
      </c>
      <c r="F272" s="10">
        <f>_xlfn.XLOOKUP(C272,Tab_Def_Flows[Name(EN)],Tab_Def_Flows[Process_ID_O],,0,)</f>
        <v>0</v>
      </c>
      <c r="G272" s="10">
        <f>_xlfn.XLOOKUP(C272,Tab_Def_Flows[Name(EN)],Tab_Def_Flows[Input_Process],,0,)</f>
        <v>0</v>
      </c>
      <c r="H272" s="18">
        <f>_xlfn.XLOOKUP(C272,Tab_Def_Flows[Name(EN)],Tab_Def_Flows[Process_ID_I],,0,)</f>
        <v>0</v>
      </c>
      <c r="I272" s="10" t="e">
        <f>_xlfn.XLOOKUP(C272,Tab_Def_Flows[Name(EN)],#REF!,,0,)</f>
        <v>#REF!</v>
      </c>
      <c r="J272" s="18">
        <f>_xlfn.XLOOKUP(C272,Tab_Def_Flows[Name(EN)],Tab_Def_Flows[WC?],,0,)</f>
        <v>0</v>
      </c>
      <c r="K272" s="18">
        <f>_xlfn.XLOOKUP(C272,Tab_Def_Flows[Name(EN)],Tab_Def_Flows[DM?],,0,)</f>
        <v>0</v>
      </c>
      <c r="L272" s="18">
        <f>_xlfn.XLOOKUP(C272,Tab_Def_Flows[Name(EN)],Tab_Def_Flows[CC?],,0,)</f>
        <v>0</v>
      </c>
      <c r="M272" s="12"/>
      <c r="N272" s="12"/>
      <c r="O272" s="50"/>
      <c r="P272" s="12"/>
      <c r="Q272" s="12"/>
      <c r="R272" s="12"/>
      <c r="S272" s="24"/>
      <c r="T272" s="12"/>
      <c r="U272" s="12"/>
      <c r="V272" s="12"/>
      <c r="W272" s="12"/>
      <c r="X272" s="12" t="s">
        <v>8</v>
      </c>
      <c r="Y272" s="43"/>
      <c r="Z272" s="12"/>
      <c r="AA272" s="36">
        <f t="shared" si="9"/>
        <v>0</v>
      </c>
      <c r="AB272" s="12" t="s">
        <v>283</v>
      </c>
      <c r="AC272" s="193">
        <f>INDEX(Tab_Def_Flows[[Flow_ID]:[CC_DM_source]],MATCH(Tab_Data_Flows[[#This Row],[Name(EN)]],Tab_Def_Flows[Name(EN)],0),13)</f>
        <v>0</v>
      </c>
      <c r="AD272" s="10" t="str">
        <f>IF(J272="Yes",AA272*Tab_Data_Flows[[#This Row],[WC_'[%']]],"N.A.")</f>
        <v>N.A.</v>
      </c>
      <c r="AE272" s="10" t="str">
        <f>Tab_Data_Flows[[#This Row],[UoM_Flow_Py]]</f>
        <v>Mg</v>
      </c>
      <c r="AF272" s="193">
        <f>INDEX(Tab_Def_Flows[[Flow_ID]:[CC_DM_source]],MATCH(Tab_Data_Flows[[#This Row],[Name(EN)]],Tab_Def_Flows[Name(EN)],0),15)</f>
        <v>0</v>
      </c>
      <c r="AG272" s="10" t="str">
        <f>IF(K272="Yes",AF272*Tab_Data_Flows[[#This Row],[Flow_Py]],"N.A.")</f>
        <v>N.A.</v>
      </c>
      <c r="AH272" s="10" t="str">
        <f>Tab_Data_Flows[[#This Row],[UoM_Flow_Py]]</f>
        <v>Mg</v>
      </c>
      <c r="AI272" s="193">
        <f>INDEX(Tab_Def_Flows[[Flow_ID]:[CC_DM_source]],MATCH(Tab_Data_Flows[[#This Row],[Name(EN)]],Tab_Def_Flows[Name(EN)],0),17)</f>
        <v>0</v>
      </c>
      <c r="AJ272" s="10" t="str">
        <f>IF(L272="Yes",AI272*Tab_Data_Flows[[#This Row],[Flow_Py]]*Tab_Data_Flows[[#This Row],[DM_'[%']]],"N.A.")</f>
        <v>N.A.</v>
      </c>
      <c r="AK272" s="10" t="str">
        <f>Tab_Data_Flows[[#This Row],[UoM_Flow_Py]]</f>
        <v>Mg</v>
      </c>
    </row>
    <row r="273" spans="1:37" x14ac:dyDescent="0.25">
      <c r="A273" s="17">
        <f t="shared" si="8"/>
        <v>272</v>
      </c>
      <c r="B273" s="10" t="str">
        <f>_xlfn.XLOOKUP(C273,Tab_Def_Flows[Name(EN)],Tab_Def_Flows[Flow_ID],,0,)</f>
        <v>N.A.</v>
      </c>
      <c r="C273" s="12" t="s">
        <v>35</v>
      </c>
      <c r="D273" s="10">
        <f>_xlfn.XLOOKUP(C273,Tab_Def_Flows[Name(EN)],Tab_Def_Flows[Type_Biomass],,0,)</f>
        <v>0</v>
      </c>
      <c r="E273" s="10">
        <f>_xlfn.XLOOKUP(C273,Tab_Def_Flows[Name(EN)],Tab_Def_Flows[Output_Process],,0,)</f>
        <v>0</v>
      </c>
      <c r="F273" s="10">
        <f>_xlfn.XLOOKUP(C273,Tab_Def_Flows[Name(EN)],Tab_Def_Flows[Process_ID_O],,0,)</f>
        <v>0</v>
      </c>
      <c r="G273" s="10">
        <f>_xlfn.XLOOKUP(C273,Tab_Def_Flows[Name(EN)],Tab_Def_Flows[Input_Process],,0,)</f>
        <v>0</v>
      </c>
      <c r="H273" s="18">
        <f>_xlfn.XLOOKUP(C273,Tab_Def_Flows[Name(EN)],Tab_Def_Flows[Process_ID_I],,0,)</f>
        <v>0</v>
      </c>
      <c r="I273" s="10" t="e">
        <f>_xlfn.XLOOKUP(C273,Tab_Def_Flows[Name(EN)],#REF!,,0,)</f>
        <v>#REF!</v>
      </c>
      <c r="J273" s="18">
        <f>_xlfn.XLOOKUP(C273,Tab_Def_Flows[Name(EN)],Tab_Def_Flows[WC?],,0,)</f>
        <v>0</v>
      </c>
      <c r="K273" s="18">
        <f>_xlfn.XLOOKUP(C273,Tab_Def_Flows[Name(EN)],Tab_Def_Flows[DM?],,0,)</f>
        <v>0</v>
      </c>
      <c r="L273" s="18">
        <f>_xlfn.XLOOKUP(C273,Tab_Def_Flows[Name(EN)],Tab_Def_Flows[CC?],,0,)</f>
        <v>0</v>
      </c>
      <c r="M273" s="12"/>
      <c r="N273" s="12"/>
      <c r="O273" s="50"/>
      <c r="P273" s="12"/>
      <c r="Q273" s="12"/>
      <c r="R273" s="12"/>
      <c r="S273" s="24"/>
      <c r="T273" s="12"/>
      <c r="U273" s="12"/>
      <c r="V273" s="12"/>
      <c r="W273" s="12"/>
      <c r="X273" s="12" t="s">
        <v>8</v>
      </c>
      <c r="Y273" s="43"/>
      <c r="Z273" s="12"/>
      <c r="AA273" s="36">
        <f t="shared" si="9"/>
        <v>0</v>
      </c>
      <c r="AB273" s="12" t="s">
        <v>283</v>
      </c>
      <c r="AC273" s="193">
        <f>INDEX(Tab_Def_Flows[[Flow_ID]:[CC_DM_source]],MATCH(Tab_Data_Flows[[#This Row],[Name(EN)]],Tab_Def_Flows[Name(EN)],0),13)</f>
        <v>0</v>
      </c>
      <c r="AD273" s="10" t="str">
        <f>IF(J273="Yes",AA273*Tab_Data_Flows[[#This Row],[WC_'[%']]],"N.A.")</f>
        <v>N.A.</v>
      </c>
      <c r="AE273" s="10" t="str">
        <f>Tab_Data_Flows[[#This Row],[UoM_Flow_Py]]</f>
        <v>Mg</v>
      </c>
      <c r="AF273" s="193">
        <f>INDEX(Tab_Def_Flows[[Flow_ID]:[CC_DM_source]],MATCH(Tab_Data_Flows[[#This Row],[Name(EN)]],Tab_Def_Flows[Name(EN)],0),15)</f>
        <v>0</v>
      </c>
      <c r="AG273" s="10" t="str">
        <f>IF(K273="Yes",AF273*Tab_Data_Flows[[#This Row],[Flow_Py]],"N.A.")</f>
        <v>N.A.</v>
      </c>
      <c r="AH273" s="10" t="str">
        <f>Tab_Data_Flows[[#This Row],[UoM_Flow_Py]]</f>
        <v>Mg</v>
      </c>
      <c r="AI273" s="193">
        <f>INDEX(Tab_Def_Flows[[Flow_ID]:[CC_DM_source]],MATCH(Tab_Data_Flows[[#This Row],[Name(EN)]],Tab_Def_Flows[Name(EN)],0),17)</f>
        <v>0</v>
      </c>
      <c r="AJ273" s="10" t="str">
        <f>IF(L273="Yes",AI273*Tab_Data_Flows[[#This Row],[Flow_Py]]*Tab_Data_Flows[[#This Row],[DM_'[%']]],"N.A.")</f>
        <v>N.A.</v>
      </c>
      <c r="AK273" s="10" t="str">
        <f>Tab_Data_Flows[[#This Row],[UoM_Flow_Py]]</f>
        <v>Mg</v>
      </c>
    </row>
    <row r="274" spans="1:37" x14ac:dyDescent="0.25">
      <c r="A274" s="17">
        <f t="shared" si="8"/>
        <v>273</v>
      </c>
      <c r="B274" s="10" t="str">
        <f>_xlfn.XLOOKUP(C274,Tab_Def_Flows[Name(EN)],Tab_Def_Flows[Flow_ID],,0,)</f>
        <v>N.A.</v>
      </c>
      <c r="C274" s="12" t="s">
        <v>35</v>
      </c>
      <c r="D274" s="10">
        <f>_xlfn.XLOOKUP(C274,Tab_Def_Flows[Name(EN)],Tab_Def_Flows[Type_Biomass],,0,)</f>
        <v>0</v>
      </c>
      <c r="E274" s="10">
        <f>_xlfn.XLOOKUP(C274,Tab_Def_Flows[Name(EN)],Tab_Def_Flows[Output_Process],,0,)</f>
        <v>0</v>
      </c>
      <c r="F274" s="10">
        <f>_xlfn.XLOOKUP(C274,Tab_Def_Flows[Name(EN)],Tab_Def_Flows[Process_ID_O],,0,)</f>
        <v>0</v>
      </c>
      <c r="G274" s="10">
        <f>_xlfn.XLOOKUP(C274,Tab_Def_Flows[Name(EN)],Tab_Def_Flows[Input_Process],,0,)</f>
        <v>0</v>
      </c>
      <c r="H274" s="18">
        <f>_xlfn.XLOOKUP(C274,Tab_Def_Flows[Name(EN)],Tab_Def_Flows[Process_ID_I],,0,)</f>
        <v>0</v>
      </c>
      <c r="I274" s="10" t="e">
        <f>_xlfn.XLOOKUP(C274,Tab_Def_Flows[Name(EN)],#REF!,,0,)</f>
        <v>#REF!</v>
      </c>
      <c r="J274" s="18">
        <f>_xlfn.XLOOKUP(C274,Tab_Def_Flows[Name(EN)],Tab_Def_Flows[WC?],,0,)</f>
        <v>0</v>
      </c>
      <c r="K274" s="18">
        <f>_xlfn.XLOOKUP(C274,Tab_Def_Flows[Name(EN)],Tab_Def_Flows[DM?],,0,)</f>
        <v>0</v>
      </c>
      <c r="L274" s="18">
        <f>_xlfn.XLOOKUP(C274,Tab_Def_Flows[Name(EN)],Tab_Def_Flows[CC?],,0,)</f>
        <v>0</v>
      </c>
      <c r="M274" s="12"/>
      <c r="N274" s="12"/>
      <c r="O274" s="50"/>
      <c r="P274" s="12"/>
      <c r="Q274" s="12"/>
      <c r="R274" s="12"/>
      <c r="S274" s="24"/>
      <c r="T274" s="12"/>
      <c r="U274" s="12"/>
      <c r="V274" s="12"/>
      <c r="W274" s="12"/>
      <c r="X274" s="12" t="s">
        <v>8</v>
      </c>
      <c r="Y274" s="43"/>
      <c r="Z274" s="12"/>
      <c r="AA274" s="36">
        <f t="shared" si="9"/>
        <v>0</v>
      </c>
      <c r="AB274" s="12" t="s">
        <v>283</v>
      </c>
      <c r="AC274" s="193">
        <f>INDEX(Tab_Def_Flows[[Flow_ID]:[CC_DM_source]],MATCH(Tab_Data_Flows[[#This Row],[Name(EN)]],Tab_Def_Flows[Name(EN)],0),13)</f>
        <v>0</v>
      </c>
      <c r="AD274" s="10" t="str">
        <f>IF(J274="Yes",AA274*Tab_Data_Flows[[#This Row],[WC_'[%']]],"N.A.")</f>
        <v>N.A.</v>
      </c>
      <c r="AE274" s="10" t="str">
        <f>Tab_Data_Flows[[#This Row],[UoM_Flow_Py]]</f>
        <v>Mg</v>
      </c>
      <c r="AF274" s="193">
        <f>INDEX(Tab_Def_Flows[[Flow_ID]:[CC_DM_source]],MATCH(Tab_Data_Flows[[#This Row],[Name(EN)]],Tab_Def_Flows[Name(EN)],0),15)</f>
        <v>0</v>
      </c>
      <c r="AG274" s="10" t="str">
        <f>IF(K274="Yes",AF274*Tab_Data_Flows[[#This Row],[Flow_Py]],"N.A.")</f>
        <v>N.A.</v>
      </c>
      <c r="AH274" s="10" t="str">
        <f>Tab_Data_Flows[[#This Row],[UoM_Flow_Py]]</f>
        <v>Mg</v>
      </c>
      <c r="AI274" s="193">
        <f>INDEX(Tab_Def_Flows[[Flow_ID]:[CC_DM_source]],MATCH(Tab_Data_Flows[[#This Row],[Name(EN)]],Tab_Def_Flows[Name(EN)],0),17)</f>
        <v>0</v>
      </c>
      <c r="AJ274" s="10" t="str">
        <f>IF(L274="Yes",AI274*Tab_Data_Flows[[#This Row],[Flow_Py]]*Tab_Data_Flows[[#This Row],[DM_'[%']]],"N.A.")</f>
        <v>N.A.</v>
      </c>
      <c r="AK274" s="10" t="str">
        <f>Tab_Data_Flows[[#This Row],[UoM_Flow_Py]]</f>
        <v>Mg</v>
      </c>
    </row>
    <row r="275" spans="1:37" x14ac:dyDescent="0.25">
      <c r="A275" s="17">
        <f t="shared" si="8"/>
        <v>274</v>
      </c>
      <c r="B275" s="10" t="str">
        <f>_xlfn.XLOOKUP(C275,Tab_Def_Flows[Name(EN)],Tab_Def_Flows[Flow_ID],,0,)</f>
        <v>N.A.</v>
      </c>
      <c r="C275" s="12" t="s">
        <v>35</v>
      </c>
      <c r="D275" s="10">
        <f>_xlfn.XLOOKUP(C275,Tab_Def_Flows[Name(EN)],Tab_Def_Flows[Type_Biomass],,0,)</f>
        <v>0</v>
      </c>
      <c r="E275" s="10">
        <f>_xlfn.XLOOKUP(C275,Tab_Def_Flows[Name(EN)],Tab_Def_Flows[Output_Process],,0,)</f>
        <v>0</v>
      </c>
      <c r="F275" s="10">
        <f>_xlfn.XLOOKUP(C275,Tab_Def_Flows[Name(EN)],Tab_Def_Flows[Process_ID_O],,0,)</f>
        <v>0</v>
      </c>
      <c r="G275" s="10">
        <f>_xlfn.XLOOKUP(C275,Tab_Def_Flows[Name(EN)],Tab_Def_Flows[Input_Process],,0,)</f>
        <v>0</v>
      </c>
      <c r="H275" s="18">
        <f>_xlfn.XLOOKUP(C275,Tab_Def_Flows[Name(EN)],Tab_Def_Flows[Process_ID_I],,0,)</f>
        <v>0</v>
      </c>
      <c r="I275" s="10" t="e">
        <f>_xlfn.XLOOKUP(C275,Tab_Def_Flows[Name(EN)],#REF!,,0,)</f>
        <v>#REF!</v>
      </c>
      <c r="J275" s="18">
        <f>_xlfn.XLOOKUP(C275,Tab_Def_Flows[Name(EN)],Tab_Def_Flows[WC?],,0,)</f>
        <v>0</v>
      </c>
      <c r="K275" s="18">
        <f>_xlfn.XLOOKUP(C275,Tab_Def_Flows[Name(EN)],Tab_Def_Flows[DM?],,0,)</f>
        <v>0</v>
      </c>
      <c r="L275" s="18">
        <f>_xlfn.XLOOKUP(C275,Tab_Def_Flows[Name(EN)],Tab_Def_Flows[CC?],,0,)</f>
        <v>0</v>
      </c>
      <c r="M275" s="12"/>
      <c r="N275" s="12"/>
      <c r="O275" s="50"/>
      <c r="P275" s="12"/>
      <c r="Q275" s="12"/>
      <c r="R275" s="12"/>
      <c r="S275" s="24"/>
      <c r="T275" s="12"/>
      <c r="U275" s="12"/>
      <c r="V275" s="12"/>
      <c r="W275" s="12"/>
      <c r="X275" s="12" t="s">
        <v>8</v>
      </c>
      <c r="Y275" s="43"/>
      <c r="Z275" s="12"/>
      <c r="AA275" s="36">
        <f t="shared" si="9"/>
        <v>0</v>
      </c>
      <c r="AB275" s="12" t="s">
        <v>283</v>
      </c>
      <c r="AC275" s="193">
        <f>INDEX(Tab_Def_Flows[[Flow_ID]:[CC_DM_source]],MATCH(Tab_Data_Flows[[#This Row],[Name(EN)]],Tab_Def_Flows[Name(EN)],0),13)</f>
        <v>0</v>
      </c>
      <c r="AD275" s="10" t="str">
        <f>IF(J275="Yes",AA275*Tab_Data_Flows[[#This Row],[WC_'[%']]],"N.A.")</f>
        <v>N.A.</v>
      </c>
      <c r="AE275" s="10" t="str">
        <f>Tab_Data_Flows[[#This Row],[UoM_Flow_Py]]</f>
        <v>Mg</v>
      </c>
      <c r="AF275" s="193">
        <f>INDEX(Tab_Def_Flows[[Flow_ID]:[CC_DM_source]],MATCH(Tab_Data_Flows[[#This Row],[Name(EN)]],Tab_Def_Flows[Name(EN)],0),15)</f>
        <v>0</v>
      </c>
      <c r="AG275" s="10" t="str">
        <f>IF(K275="Yes",AF275*Tab_Data_Flows[[#This Row],[Flow_Py]],"N.A.")</f>
        <v>N.A.</v>
      </c>
      <c r="AH275" s="10" t="str">
        <f>Tab_Data_Flows[[#This Row],[UoM_Flow_Py]]</f>
        <v>Mg</v>
      </c>
      <c r="AI275" s="193">
        <f>INDEX(Tab_Def_Flows[[Flow_ID]:[CC_DM_source]],MATCH(Tab_Data_Flows[[#This Row],[Name(EN)]],Tab_Def_Flows[Name(EN)],0),17)</f>
        <v>0</v>
      </c>
      <c r="AJ275" s="10" t="str">
        <f>IF(L275="Yes",AI275*Tab_Data_Flows[[#This Row],[Flow_Py]]*Tab_Data_Flows[[#This Row],[DM_'[%']]],"N.A.")</f>
        <v>N.A.</v>
      </c>
      <c r="AK275" s="10" t="str">
        <f>Tab_Data_Flows[[#This Row],[UoM_Flow_Py]]</f>
        <v>Mg</v>
      </c>
    </row>
    <row r="276" spans="1:37" x14ac:dyDescent="0.25">
      <c r="A276" s="17">
        <f t="shared" si="8"/>
        <v>275</v>
      </c>
      <c r="B276" s="10" t="str">
        <f>_xlfn.XLOOKUP(C276,Tab_Def_Flows[Name(EN)],Tab_Def_Flows[Flow_ID],,0,)</f>
        <v>N.A.</v>
      </c>
      <c r="C276" s="12" t="s">
        <v>35</v>
      </c>
      <c r="D276" s="10">
        <f>_xlfn.XLOOKUP(C276,Tab_Def_Flows[Name(EN)],Tab_Def_Flows[Type_Biomass],,0,)</f>
        <v>0</v>
      </c>
      <c r="E276" s="10">
        <f>_xlfn.XLOOKUP(C276,Tab_Def_Flows[Name(EN)],Tab_Def_Flows[Output_Process],,0,)</f>
        <v>0</v>
      </c>
      <c r="F276" s="10">
        <f>_xlfn.XLOOKUP(C276,Tab_Def_Flows[Name(EN)],Tab_Def_Flows[Process_ID_O],,0,)</f>
        <v>0</v>
      </c>
      <c r="G276" s="10">
        <f>_xlfn.XLOOKUP(C276,Tab_Def_Flows[Name(EN)],Tab_Def_Flows[Input_Process],,0,)</f>
        <v>0</v>
      </c>
      <c r="H276" s="18">
        <f>_xlfn.XLOOKUP(C276,Tab_Def_Flows[Name(EN)],Tab_Def_Flows[Process_ID_I],,0,)</f>
        <v>0</v>
      </c>
      <c r="I276" s="10" t="e">
        <f>_xlfn.XLOOKUP(C276,Tab_Def_Flows[Name(EN)],#REF!,,0,)</f>
        <v>#REF!</v>
      </c>
      <c r="J276" s="18">
        <f>_xlfn.XLOOKUP(C276,Tab_Def_Flows[Name(EN)],Tab_Def_Flows[WC?],,0,)</f>
        <v>0</v>
      </c>
      <c r="K276" s="18">
        <f>_xlfn.XLOOKUP(C276,Tab_Def_Flows[Name(EN)],Tab_Def_Flows[DM?],,0,)</f>
        <v>0</v>
      </c>
      <c r="L276" s="18">
        <f>_xlfn.XLOOKUP(C276,Tab_Def_Flows[Name(EN)],Tab_Def_Flows[CC?],,0,)</f>
        <v>0</v>
      </c>
      <c r="M276" s="12"/>
      <c r="N276" s="12"/>
      <c r="O276" s="50"/>
      <c r="P276" s="12"/>
      <c r="Q276" s="12"/>
      <c r="R276" s="12"/>
      <c r="S276" s="24"/>
      <c r="T276" s="12"/>
      <c r="U276" s="12"/>
      <c r="V276" s="12"/>
      <c r="W276" s="12"/>
      <c r="X276" s="12" t="s">
        <v>8</v>
      </c>
      <c r="Y276" s="43"/>
      <c r="Z276" s="12"/>
      <c r="AA276" s="36">
        <f t="shared" si="9"/>
        <v>0</v>
      </c>
      <c r="AB276" s="12" t="s">
        <v>283</v>
      </c>
      <c r="AC276" s="193">
        <f>INDEX(Tab_Def_Flows[[Flow_ID]:[CC_DM_source]],MATCH(Tab_Data_Flows[[#This Row],[Name(EN)]],Tab_Def_Flows[Name(EN)],0),13)</f>
        <v>0</v>
      </c>
      <c r="AD276" s="10" t="str">
        <f>IF(J276="Yes",AA276*Tab_Data_Flows[[#This Row],[WC_'[%']]],"N.A.")</f>
        <v>N.A.</v>
      </c>
      <c r="AE276" s="10" t="str">
        <f>Tab_Data_Flows[[#This Row],[UoM_Flow_Py]]</f>
        <v>Mg</v>
      </c>
      <c r="AF276" s="193">
        <f>INDEX(Tab_Def_Flows[[Flow_ID]:[CC_DM_source]],MATCH(Tab_Data_Flows[[#This Row],[Name(EN)]],Tab_Def_Flows[Name(EN)],0),15)</f>
        <v>0</v>
      </c>
      <c r="AG276" s="10" t="str">
        <f>IF(K276="Yes",AF276*Tab_Data_Flows[[#This Row],[Flow_Py]],"N.A.")</f>
        <v>N.A.</v>
      </c>
      <c r="AH276" s="10" t="str">
        <f>Tab_Data_Flows[[#This Row],[UoM_Flow_Py]]</f>
        <v>Mg</v>
      </c>
      <c r="AI276" s="193">
        <f>INDEX(Tab_Def_Flows[[Flow_ID]:[CC_DM_source]],MATCH(Tab_Data_Flows[[#This Row],[Name(EN)]],Tab_Def_Flows[Name(EN)],0),17)</f>
        <v>0</v>
      </c>
      <c r="AJ276" s="10" t="str">
        <f>IF(L276="Yes",AI276*Tab_Data_Flows[[#This Row],[Flow_Py]]*Tab_Data_Flows[[#This Row],[DM_'[%']]],"N.A.")</f>
        <v>N.A.</v>
      </c>
      <c r="AK276" s="10" t="str">
        <f>Tab_Data_Flows[[#This Row],[UoM_Flow_Py]]</f>
        <v>Mg</v>
      </c>
    </row>
    <row r="277" spans="1:37" x14ac:dyDescent="0.25">
      <c r="A277" s="17">
        <f t="shared" si="8"/>
        <v>276</v>
      </c>
      <c r="B277" s="10" t="str">
        <f>_xlfn.XLOOKUP(C277,Tab_Def_Flows[Name(EN)],Tab_Def_Flows[Flow_ID],,0,)</f>
        <v>N.A.</v>
      </c>
      <c r="C277" s="12" t="s">
        <v>35</v>
      </c>
      <c r="D277" s="10">
        <f>_xlfn.XLOOKUP(C277,Tab_Def_Flows[Name(EN)],Tab_Def_Flows[Type_Biomass],,0,)</f>
        <v>0</v>
      </c>
      <c r="E277" s="10">
        <f>_xlfn.XLOOKUP(C277,Tab_Def_Flows[Name(EN)],Tab_Def_Flows[Output_Process],,0,)</f>
        <v>0</v>
      </c>
      <c r="F277" s="10">
        <f>_xlfn.XLOOKUP(C277,Tab_Def_Flows[Name(EN)],Tab_Def_Flows[Process_ID_O],,0,)</f>
        <v>0</v>
      </c>
      <c r="G277" s="10">
        <f>_xlfn.XLOOKUP(C277,Tab_Def_Flows[Name(EN)],Tab_Def_Flows[Input_Process],,0,)</f>
        <v>0</v>
      </c>
      <c r="H277" s="18">
        <f>_xlfn.XLOOKUP(C277,Tab_Def_Flows[Name(EN)],Tab_Def_Flows[Process_ID_I],,0,)</f>
        <v>0</v>
      </c>
      <c r="I277" s="10" t="e">
        <f>_xlfn.XLOOKUP(C277,Tab_Def_Flows[Name(EN)],#REF!,,0,)</f>
        <v>#REF!</v>
      </c>
      <c r="J277" s="18">
        <f>_xlfn.XLOOKUP(C277,Tab_Def_Flows[Name(EN)],Tab_Def_Flows[WC?],,0,)</f>
        <v>0</v>
      </c>
      <c r="K277" s="18">
        <f>_xlfn.XLOOKUP(C277,Tab_Def_Flows[Name(EN)],Tab_Def_Flows[DM?],,0,)</f>
        <v>0</v>
      </c>
      <c r="L277" s="18">
        <f>_xlfn.XLOOKUP(C277,Tab_Def_Flows[Name(EN)],Tab_Def_Flows[CC?],,0,)</f>
        <v>0</v>
      </c>
      <c r="M277" s="12"/>
      <c r="N277" s="12"/>
      <c r="O277" s="50"/>
      <c r="P277" s="12"/>
      <c r="Q277" s="12"/>
      <c r="R277" s="12"/>
      <c r="S277" s="24"/>
      <c r="T277" s="12"/>
      <c r="U277" s="12"/>
      <c r="V277" s="12"/>
      <c r="W277" s="12"/>
      <c r="X277" s="12" t="s">
        <v>8</v>
      </c>
      <c r="Y277" s="43"/>
      <c r="Z277" s="12"/>
      <c r="AA277" s="36">
        <f t="shared" si="9"/>
        <v>0</v>
      </c>
      <c r="AB277" s="12" t="s">
        <v>283</v>
      </c>
      <c r="AC277" s="193">
        <f>INDEX(Tab_Def_Flows[[Flow_ID]:[CC_DM_source]],MATCH(Tab_Data_Flows[[#This Row],[Name(EN)]],Tab_Def_Flows[Name(EN)],0),13)</f>
        <v>0</v>
      </c>
      <c r="AD277" s="10" t="str">
        <f>IF(J277="Yes",AA277*Tab_Data_Flows[[#This Row],[WC_'[%']]],"N.A.")</f>
        <v>N.A.</v>
      </c>
      <c r="AE277" s="10" t="str">
        <f>Tab_Data_Flows[[#This Row],[UoM_Flow_Py]]</f>
        <v>Mg</v>
      </c>
      <c r="AF277" s="193">
        <f>INDEX(Tab_Def_Flows[[Flow_ID]:[CC_DM_source]],MATCH(Tab_Data_Flows[[#This Row],[Name(EN)]],Tab_Def_Flows[Name(EN)],0),15)</f>
        <v>0</v>
      </c>
      <c r="AG277" s="10" t="str">
        <f>IF(K277="Yes",AF277*Tab_Data_Flows[[#This Row],[Flow_Py]],"N.A.")</f>
        <v>N.A.</v>
      </c>
      <c r="AH277" s="10" t="str">
        <f>Tab_Data_Flows[[#This Row],[UoM_Flow_Py]]</f>
        <v>Mg</v>
      </c>
      <c r="AI277" s="193">
        <f>INDEX(Tab_Def_Flows[[Flow_ID]:[CC_DM_source]],MATCH(Tab_Data_Flows[[#This Row],[Name(EN)]],Tab_Def_Flows[Name(EN)],0),17)</f>
        <v>0</v>
      </c>
      <c r="AJ277" s="10" t="str">
        <f>IF(L277="Yes",AI277*Tab_Data_Flows[[#This Row],[Flow_Py]]*Tab_Data_Flows[[#This Row],[DM_'[%']]],"N.A.")</f>
        <v>N.A.</v>
      </c>
      <c r="AK277" s="10" t="str">
        <f>Tab_Data_Flows[[#This Row],[UoM_Flow_Py]]</f>
        <v>Mg</v>
      </c>
    </row>
    <row r="278" spans="1:37" x14ac:dyDescent="0.25">
      <c r="A278" s="17">
        <f t="shared" si="8"/>
        <v>277</v>
      </c>
      <c r="B278" s="10" t="str">
        <f>_xlfn.XLOOKUP(C278,Tab_Def_Flows[Name(EN)],Tab_Def_Flows[Flow_ID],,0,)</f>
        <v>N.A.</v>
      </c>
      <c r="C278" s="12" t="s">
        <v>35</v>
      </c>
      <c r="D278" s="10">
        <f>_xlfn.XLOOKUP(C278,Tab_Def_Flows[Name(EN)],Tab_Def_Flows[Type_Biomass],,0,)</f>
        <v>0</v>
      </c>
      <c r="E278" s="10">
        <f>_xlfn.XLOOKUP(C278,Tab_Def_Flows[Name(EN)],Tab_Def_Flows[Output_Process],,0,)</f>
        <v>0</v>
      </c>
      <c r="F278" s="10">
        <f>_xlfn.XLOOKUP(C278,Tab_Def_Flows[Name(EN)],Tab_Def_Flows[Process_ID_O],,0,)</f>
        <v>0</v>
      </c>
      <c r="G278" s="10">
        <f>_xlfn.XLOOKUP(C278,Tab_Def_Flows[Name(EN)],Tab_Def_Flows[Input_Process],,0,)</f>
        <v>0</v>
      </c>
      <c r="H278" s="18">
        <f>_xlfn.XLOOKUP(C278,Tab_Def_Flows[Name(EN)],Tab_Def_Flows[Process_ID_I],,0,)</f>
        <v>0</v>
      </c>
      <c r="I278" s="10" t="e">
        <f>_xlfn.XLOOKUP(C278,Tab_Def_Flows[Name(EN)],#REF!,,0,)</f>
        <v>#REF!</v>
      </c>
      <c r="J278" s="18">
        <f>_xlfn.XLOOKUP(C278,Tab_Def_Flows[Name(EN)],Tab_Def_Flows[WC?],,0,)</f>
        <v>0</v>
      </c>
      <c r="K278" s="18">
        <f>_xlfn.XLOOKUP(C278,Tab_Def_Flows[Name(EN)],Tab_Def_Flows[DM?],,0,)</f>
        <v>0</v>
      </c>
      <c r="L278" s="18">
        <f>_xlfn.XLOOKUP(C278,Tab_Def_Flows[Name(EN)],Tab_Def_Flows[CC?],,0,)</f>
        <v>0</v>
      </c>
      <c r="M278" s="12"/>
      <c r="N278" s="12"/>
      <c r="O278" s="50"/>
      <c r="P278" s="12"/>
      <c r="Q278" s="12"/>
      <c r="R278" s="12"/>
      <c r="S278" s="24"/>
      <c r="T278" s="12"/>
      <c r="U278" s="12"/>
      <c r="V278" s="12"/>
      <c r="W278" s="12"/>
      <c r="X278" s="12" t="s">
        <v>8</v>
      </c>
      <c r="Y278" s="43"/>
      <c r="Z278" s="12"/>
      <c r="AA278" s="36">
        <f t="shared" si="9"/>
        <v>0</v>
      </c>
      <c r="AB278" s="12" t="s">
        <v>283</v>
      </c>
      <c r="AC278" s="193">
        <f>INDEX(Tab_Def_Flows[[Flow_ID]:[CC_DM_source]],MATCH(Tab_Data_Flows[[#This Row],[Name(EN)]],Tab_Def_Flows[Name(EN)],0),13)</f>
        <v>0</v>
      </c>
      <c r="AD278" s="10" t="str">
        <f>IF(J278="Yes",AA278*Tab_Data_Flows[[#This Row],[WC_'[%']]],"N.A.")</f>
        <v>N.A.</v>
      </c>
      <c r="AE278" s="10" t="str">
        <f>Tab_Data_Flows[[#This Row],[UoM_Flow_Py]]</f>
        <v>Mg</v>
      </c>
      <c r="AF278" s="193">
        <f>INDEX(Tab_Def_Flows[[Flow_ID]:[CC_DM_source]],MATCH(Tab_Data_Flows[[#This Row],[Name(EN)]],Tab_Def_Flows[Name(EN)],0),15)</f>
        <v>0</v>
      </c>
      <c r="AG278" s="10" t="str">
        <f>IF(K278="Yes",AF278*Tab_Data_Flows[[#This Row],[Flow_Py]],"N.A.")</f>
        <v>N.A.</v>
      </c>
      <c r="AH278" s="10" t="str">
        <f>Tab_Data_Flows[[#This Row],[UoM_Flow_Py]]</f>
        <v>Mg</v>
      </c>
      <c r="AI278" s="193">
        <f>INDEX(Tab_Def_Flows[[Flow_ID]:[CC_DM_source]],MATCH(Tab_Data_Flows[[#This Row],[Name(EN)]],Tab_Def_Flows[Name(EN)],0),17)</f>
        <v>0</v>
      </c>
      <c r="AJ278" s="10" t="str">
        <f>IF(L278="Yes",AI278*Tab_Data_Flows[[#This Row],[Flow_Py]]*Tab_Data_Flows[[#This Row],[DM_'[%']]],"N.A.")</f>
        <v>N.A.</v>
      </c>
      <c r="AK278" s="10" t="str">
        <f>Tab_Data_Flows[[#This Row],[UoM_Flow_Py]]</f>
        <v>Mg</v>
      </c>
    </row>
    <row r="279" spans="1:37" x14ac:dyDescent="0.25">
      <c r="A279" s="17">
        <f t="shared" si="8"/>
        <v>278</v>
      </c>
      <c r="B279" s="10" t="str">
        <f>_xlfn.XLOOKUP(C279,Tab_Def_Flows[Name(EN)],Tab_Def_Flows[Flow_ID],,0,)</f>
        <v>N.A.</v>
      </c>
      <c r="C279" s="12" t="s">
        <v>35</v>
      </c>
      <c r="D279" s="10">
        <f>_xlfn.XLOOKUP(C279,Tab_Def_Flows[Name(EN)],Tab_Def_Flows[Type_Biomass],,0,)</f>
        <v>0</v>
      </c>
      <c r="E279" s="10">
        <f>_xlfn.XLOOKUP(C279,Tab_Def_Flows[Name(EN)],Tab_Def_Flows[Output_Process],,0,)</f>
        <v>0</v>
      </c>
      <c r="F279" s="10">
        <f>_xlfn.XLOOKUP(C279,Tab_Def_Flows[Name(EN)],Tab_Def_Flows[Process_ID_O],,0,)</f>
        <v>0</v>
      </c>
      <c r="G279" s="10">
        <f>_xlfn.XLOOKUP(C279,Tab_Def_Flows[Name(EN)],Tab_Def_Flows[Input_Process],,0,)</f>
        <v>0</v>
      </c>
      <c r="H279" s="18">
        <f>_xlfn.XLOOKUP(C279,Tab_Def_Flows[Name(EN)],Tab_Def_Flows[Process_ID_I],,0,)</f>
        <v>0</v>
      </c>
      <c r="I279" s="10" t="e">
        <f>_xlfn.XLOOKUP(C279,Tab_Def_Flows[Name(EN)],#REF!,,0,)</f>
        <v>#REF!</v>
      </c>
      <c r="J279" s="18">
        <f>_xlfn.XLOOKUP(C279,Tab_Def_Flows[Name(EN)],Tab_Def_Flows[WC?],,0,)</f>
        <v>0</v>
      </c>
      <c r="K279" s="18">
        <f>_xlfn.XLOOKUP(C279,Tab_Def_Flows[Name(EN)],Tab_Def_Flows[DM?],,0,)</f>
        <v>0</v>
      </c>
      <c r="L279" s="18">
        <f>_xlfn.XLOOKUP(C279,Tab_Def_Flows[Name(EN)],Tab_Def_Flows[CC?],,0,)</f>
        <v>0</v>
      </c>
      <c r="M279" s="12"/>
      <c r="N279" s="12"/>
      <c r="O279" s="50"/>
      <c r="P279" s="12"/>
      <c r="Q279" s="12"/>
      <c r="R279" s="12"/>
      <c r="S279" s="24"/>
      <c r="T279" s="12"/>
      <c r="U279" s="12"/>
      <c r="V279" s="12"/>
      <c r="W279" s="12"/>
      <c r="X279" s="12" t="s">
        <v>8</v>
      </c>
      <c r="Y279" s="43"/>
      <c r="Z279" s="12"/>
      <c r="AA279" s="36">
        <f t="shared" si="9"/>
        <v>0</v>
      </c>
      <c r="AB279" s="12" t="s">
        <v>283</v>
      </c>
      <c r="AC279" s="193">
        <f>INDEX(Tab_Def_Flows[[Flow_ID]:[CC_DM_source]],MATCH(Tab_Data_Flows[[#This Row],[Name(EN)]],Tab_Def_Flows[Name(EN)],0),13)</f>
        <v>0</v>
      </c>
      <c r="AD279" s="10" t="str">
        <f>IF(J279="Yes",AA279*Tab_Data_Flows[[#This Row],[WC_'[%']]],"N.A.")</f>
        <v>N.A.</v>
      </c>
      <c r="AE279" s="10" t="str">
        <f>Tab_Data_Flows[[#This Row],[UoM_Flow_Py]]</f>
        <v>Mg</v>
      </c>
      <c r="AF279" s="193">
        <f>INDEX(Tab_Def_Flows[[Flow_ID]:[CC_DM_source]],MATCH(Tab_Data_Flows[[#This Row],[Name(EN)]],Tab_Def_Flows[Name(EN)],0),15)</f>
        <v>0</v>
      </c>
      <c r="AG279" s="10" t="str">
        <f>IF(K279="Yes",AF279*Tab_Data_Flows[[#This Row],[Flow_Py]],"N.A.")</f>
        <v>N.A.</v>
      </c>
      <c r="AH279" s="10" t="str">
        <f>Tab_Data_Flows[[#This Row],[UoM_Flow_Py]]</f>
        <v>Mg</v>
      </c>
      <c r="AI279" s="193">
        <f>INDEX(Tab_Def_Flows[[Flow_ID]:[CC_DM_source]],MATCH(Tab_Data_Flows[[#This Row],[Name(EN)]],Tab_Def_Flows[Name(EN)],0),17)</f>
        <v>0</v>
      </c>
      <c r="AJ279" s="10" t="str">
        <f>IF(L279="Yes",AI279*Tab_Data_Flows[[#This Row],[Flow_Py]]*Tab_Data_Flows[[#This Row],[DM_'[%']]],"N.A.")</f>
        <v>N.A.</v>
      </c>
      <c r="AK279" s="10" t="str">
        <f>Tab_Data_Flows[[#This Row],[UoM_Flow_Py]]</f>
        <v>Mg</v>
      </c>
    </row>
    <row r="280" spans="1:37" x14ac:dyDescent="0.25">
      <c r="A280" s="17">
        <f t="shared" si="8"/>
        <v>279</v>
      </c>
      <c r="B280" s="10" t="str">
        <f>_xlfn.XLOOKUP(C280,Tab_Def_Flows[Name(EN)],Tab_Def_Flows[Flow_ID],,0,)</f>
        <v>N.A.</v>
      </c>
      <c r="C280" s="12" t="s">
        <v>35</v>
      </c>
      <c r="D280" s="10">
        <f>_xlfn.XLOOKUP(C280,Tab_Def_Flows[Name(EN)],Tab_Def_Flows[Type_Biomass],,0,)</f>
        <v>0</v>
      </c>
      <c r="E280" s="10">
        <f>_xlfn.XLOOKUP(C280,Tab_Def_Flows[Name(EN)],Tab_Def_Flows[Output_Process],,0,)</f>
        <v>0</v>
      </c>
      <c r="F280" s="10">
        <f>_xlfn.XLOOKUP(C280,Tab_Def_Flows[Name(EN)],Tab_Def_Flows[Process_ID_O],,0,)</f>
        <v>0</v>
      </c>
      <c r="G280" s="10">
        <f>_xlfn.XLOOKUP(C280,Tab_Def_Flows[Name(EN)],Tab_Def_Flows[Input_Process],,0,)</f>
        <v>0</v>
      </c>
      <c r="H280" s="18">
        <f>_xlfn.XLOOKUP(C280,Tab_Def_Flows[Name(EN)],Tab_Def_Flows[Process_ID_I],,0,)</f>
        <v>0</v>
      </c>
      <c r="I280" s="10" t="e">
        <f>_xlfn.XLOOKUP(C280,Tab_Def_Flows[Name(EN)],#REF!,,0,)</f>
        <v>#REF!</v>
      </c>
      <c r="J280" s="18">
        <f>_xlfn.XLOOKUP(C280,Tab_Def_Flows[Name(EN)],Tab_Def_Flows[WC?],,0,)</f>
        <v>0</v>
      </c>
      <c r="K280" s="18">
        <f>_xlfn.XLOOKUP(C280,Tab_Def_Flows[Name(EN)],Tab_Def_Flows[DM?],,0,)</f>
        <v>0</v>
      </c>
      <c r="L280" s="18">
        <f>_xlfn.XLOOKUP(C280,Tab_Def_Flows[Name(EN)],Tab_Def_Flows[CC?],,0,)</f>
        <v>0</v>
      </c>
      <c r="M280" s="12"/>
      <c r="N280" s="12"/>
      <c r="O280" s="50"/>
      <c r="P280" s="12"/>
      <c r="Q280" s="12"/>
      <c r="R280" s="12"/>
      <c r="S280" s="24"/>
      <c r="T280" s="12"/>
      <c r="U280" s="12"/>
      <c r="V280" s="12"/>
      <c r="W280" s="12"/>
      <c r="X280" s="12" t="s">
        <v>8</v>
      </c>
      <c r="Y280" s="43"/>
      <c r="Z280" s="12"/>
      <c r="AA280" s="36">
        <f t="shared" si="9"/>
        <v>0</v>
      </c>
      <c r="AB280" s="12" t="s">
        <v>283</v>
      </c>
      <c r="AC280" s="193">
        <f>INDEX(Tab_Def_Flows[[Flow_ID]:[CC_DM_source]],MATCH(Tab_Data_Flows[[#This Row],[Name(EN)]],Tab_Def_Flows[Name(EN)],0),13)</f>
        <v>0</v>
      </c>
      <c r="AD280" s="10" t="str">
        <f>IF(J280="Yes",AA280*Tab_Data_Flows[[#This Row],[WC_'[%']]],"N.A.")</f>
        <v>N.A.</v>
      </c>
      <c r="AE280" s="10" t="str">
        <f>Tab_Data_Flows[[#This Row],[UoM_Flow_Py]]</f>
        <v>Mg</v>
      </c>
      <c r="AF280" s="193">
        <f>INDEX(Tab_Def_Flows[[Flow_ID]:[CC_DM_source]],MATCH(Tab_Data_Flows[[#This Row],[Name(EN)]],Tab_Def_Flows[Name(EN)],0),15)</f>
        <v>0</v>
      </c>
      <c r="AG280" s="10" t="str">
        <f>IF(K280="Yes",AF280*Tab_Data_Flows[[#This Row],[Flow_Py]],"N.A.")</f>
        <v>N.A.</v>
      </c>
      <c r="AH280" s="10" t="str">
        <f>Tab_Data_Flows[[#This Row],[UoM_Flow_Py]]</f>
        <v>Mg</v>
      </c>
      <c r="AI280" s="193">
        <f>INDEX(Tab_Def_Flows[[Flow_ID]:[CC_DM_source]],MATCH(Tab_Data_Flows[[#This Row],[Name(EN)]],Tab_Def_Flows[Name(EN)],0),17)</f>
        <v>0</v>
      </c>
      <c r="AJ280" s="10" t="str">
        <f>IF(L280="Yes",AI280*Tab_Data_Flows[[#This Row],[Flow_Py]]*Tab_Data_Flows[[#This Row],[DM_'[%']]],"N.A.")</f>
        <v>N.A.</v>
      </c>
      <c r="AK280" s="10" t="str">
        <f>Tab_Data_Flows[[#This Row],[UoM_Flow_Py]]</f>
        <v>Mg</v>
      </c>
    </row>
    <row r="281" spans="1:37" x14ac:dyDescent="0.25">
      <c r="A281" s="17">
        <f t="shared" si="8"/>
        <v>280</v>
      </c>
      <c r="B281" s="10" t="str">
        <f>_xlfn.XLOOKUP(C281,Tab_Def_Flows[Name(EN)],Tab_Def_Flows[Flow_ID],,0,)</f>
        <v>N.A.</v>
      </c>
      <c r="C281" s="12" t="s">
        <v>35</v>
      </c>
      <c r="D281" s="10">
        <f>_xlfn.XLOOKUP(C281,Tab_Def_Flows[Name(EN)],Tab_Def_Flows[Type_Biomass],,0,)</f>
        <v>0</v>
      </c>
      <c r="E281" s="10">
        <f>_xlfn.XLOOKUP(C281,Tab_Def_Flows[Name(EN)],Tab_Def_Flows[Output_Process],,0,)</f>
        <v>0</v>
      </c>
      <c r="F281" s="10">
        <f>_xlfn.XLOOKUP(C281,Tab_Def_Flows[Name(EN)],Tab_Def_Flows[Process_ID_O],,0,)</f>
        <v>0</v>
      </c>
      <c r="G281" s="10">
        <f>_xlfn.XLOOKUP(C281,Tab_Def_Flows[Name(EN)],Tab_Def_Flows[Input_Process],,0,)</f>
        <v>0</v>
      </c>
      <c r="H281" s="18">
        <f>_xlfn.XLOOKUP(C281,Tab_Def_Flows[Name(EN)],Tab_Def_Flows[Process_ID_I],,0,)</f>
        <v>0</v>
      </c>
      <c r="I281" s="10" t="e">
        <f>_xlfn.XLOOKUP(C281,Tab_Def_Flows[Name(EN)],#REF!,,0,)</f>
        <v>#REF!</v>
      </c>
      <c r="J281" s="18">
        <f>_xlfn.XLOOKUP(C281,Tab_Def_Flows[Name(EN)],Tab_Def_Flows[WC?],,0,)</f>
        <v>0</v>
      </c>
      <c r="K281" s="18">
        <f>_xlfn.XLOOKUP(C281,Tab_Def_Flows[Name(EN)],Tab_Def_Flows[DM?],,0,)</f>
        <v>0</v>
      </c>
      <c r="L281" s="18">
        <f>_xlfn.XLOOKUP(C281,Tab_Def_Flows[Name(EN)],Tab_Def_Flows[CC?],,0,)</f>
        <v>0</v>
      </c>
      <c r="M281" s="12"/>
      <c r="N281" s="12"/>
      <c r="O281" s="50"/>
      <c r="P281" s="12"/>
      <c r="Q281" s="12"/>
      <c r="R281" s="12"/>
      <c r="S281" s="24"/>
      <c r="T281" s="12"/>
      <c r="U281" s="12"/>
      <c r="V281" s="12"/>
      <c r="W281" s="12"/>
      <c r="X281" s="12" t="s">
        <v>8</v>
      </c>
      <c r="Y281" s="43"/>
      <c r="Z281" s="12"/>
      <c r="AA281" s="36">
        <f t="shared" ref="AA281:AA322" si="10">IF(X281="no",O281,O281*Y281)</f>
        <v>0</v>
      </c>
      <c r="AB281" s="12" t="s">
        <v>283</v>
      </c>
      <c r="AC281" s="193">
        <f>INDEX(Tab_Def_Flows[[Flow_ID]:[CC_DM_source]],MATCH(Tab_Data_Flows[[#This Row],[Name(EN)]],Tab_Def_Flows[Name(EN)],0),13)</f>
        <v>0</v>
      </c>
      <c r="AD281" s="10" t="str">
        <f>IF(J281="Yes",AA281*Tab_Data_Flows[[#This Row],[WC_'[%']]],"N.A.")</f>
        <v>N.A.</v>
      </c>
      <c r="AE281" s="10" t="str">
        <f>Tab_Data_Flows[[#This Row],[UoM_Flow_Py]]</f>
        <v>Mg</v>
      </c>
      <c r="AF281" s="193">
        <f>INDEX(Tab_Def_Flows[[Flow_ID]:[CC_DM_source]],MATCH(Tab_Data_Flows[[#This Row],[Name(EN)]],Tab_Def_Flows[Name(EN)],0),15)</f>
        <v>0</v>
      </c>
      <c r="AG281" s="10" t="str">
        <f>IF(K281="Yes",AF281*Tab_Data_Flows[[#This Row],[Flow_Py]],"N.A.")</f>
        <v>N.A.</v>
      </c>
      <c r="AH281" s="10" t="str">
        <f>Tab_Data_Flows[[#This Row],[UoM_Flow_Py]]</f>
        <v>Mg</v>
      </c>
      <c r="AI281" s="193">
        <f>INDEX(Tab_Def_Flows[[Flow_ID]:[CC_DM_source]],MATCH(Tab_Data_Flows[[#This Row],[Name(EN)]],Tab_Def_Flows[Name(EN)],0),17)</f>
        <v>0</v>
      </c>
      <c r="AJ281" s="10" t="str">
        <f>IF(L281="Yes",AI281*Tab_Data_Flows[[#This Row],[Flow_Py]]*Tab_Data_Flows[[#This Row],[DM_'[%']]],"N.A.")</f>
        <v>N.A.</v>
      </c>
      <c r="AK281" s="10" t="str">
        <f>Tab_Data_Flows[[#This Row],[UoM_Flow_Py]]</f>
        <v>Mg</v>
      </c>
    </row>
    <row r="282" spans="1:37" x14ac:dyDescent="0.25">
      <c r="A282" s="17">
        <f t="shared" si="8"/>
        <v>281</v>
      </c>
      <c r="B282" s="10" t="str">
        <f>_xlfn.XLOOKUP(C282,Tab_Def_Flows[Name(EN)],Tab_Def_Flows[Flow_ID],,0,)</f>
        <v>N.A.</v>
      </c>
      <c r="C282" s="12" t="s">
        <v>35</v>
      </c>
      <c r="D282" s="10">
        <f>_xlfn.XLOOKUP(C282,Tab_Def_Flows[Name(EN)],Tab_Def_Flows[Type_Biomass],,0,)</f>
        <v>0</v>
      </c>
      <c r="E282" s="10">
        <f>_xlfn.XLOOKUP(C282,Tab_Def_Flows[Name(EN)],Tab_Def_Flows[Output_Process],,0,)</f>
        <v>0</v>
      </c>
      <c r="F282" s="10">
        <f>_xlfn.XLOOKUP(C282,Tab_Def_Flows[Name(EN)],Tab_Def_Flows[Process_ID_O],,0,)</f>
        <v>0</v>
      </c>
      <c r="G282" s="10">
        <f>_xlfn.XLOOKUP(C282,Tab_Def_Flows[Name(EN)],Tab_Def_Flows[Input_Process],,0,)</f>
        <v>0</v>
      </c>
      <c r="H282" s="18">
        <f>_xlfn.XLOOKUP(C282,Tab_Def_Flows[Name(EN)],Tab_Def_Flows[Process_ID_I],,0,)</f>
        <v>0</v>
      </c>
      <c r="I282" s="10" t="e">
        <f>_xlfn.XLOOKUP(C282,Tab_Def_Flows[Name(EN)],#REF!,,0,)</f>
        <v>#REF!</v>
      </c>
      <c r="J282" s="18">
        <f>_xlfn.XLOOKUP(C282,Tab_Def_Flows[Name(EN)],Tab_Def_Flows[WC?],,0,)</f>
        <v>0</v>
      </c>
      <c r="K282" s="18">
        <f>_xlfn.XLOOKUP(C282,Tab_Def_Flows[Name(EN)],Tab_Def_Flows[DM?],,0,)</f>
        <v>0</v>
      </c>
      <c r="L282" s="18">
        <f>_xlfn.XLOOKUP(C282,Tab_Def_Flows[Name(EN)],Tab_Def_Flows[CC?],,0,)</f>
        <v>0</v>
      </c>
      <c r="M282" s="12"/>
      <c r="N282" s="12"/>
      <c r="O282" s="50"/>
      <c r="P282" s="12"/>
      <c r="Q282" s="12"/>
      <c r="R282" s="12"/>
      <c r="S282" s="24"/>
      <c r="T282" s="12"/>
      <c r="U282" s="12"/>
      <c r="V282" s="12"/>
      <c r="W282" s="12"/>
      <c r="X282" s="12" t="s">
        <v>8</v>
      </c>
      <c r="Y282" s="43"/>
      <c r="Z282" s="12"/>
      <c r="AA282" s="36">
        <f t="shared" si="10"/>
        <v>0</v>
      </c>
      <c r="AB282" s="12" t="s">
        <v>283</v>
      </c>
      <c r="AC282" s="193">
        <f>INDEX(Tab_Def_Flows[[Flow_ID]:[CC_DM_source]],MATCH(Tab_Data_Flows[[#This Row],[Name(EN)]],Tab_Def_Flows[Name(EN)],0),13)</f>
        <v>0</v>
      </c>
      <c r="AD282" s="10" t="str">
        <f>IF(J282="Yes",AA282*Tab_Data_Flows[[#This Row],[WC_'[%']]],"N.A.")</f>
        <v>N.A.</v>
      </c>
      <c r="AE282" s="10" t="str">
        <f>Tab_Data_Flows[[#This Row],[UoM_Flow_Py]]</f>
        <v>Mg</v>
      </c>
      <c r="AF282" s="193">
        <f>INDEX(Tab_Def_Flows[[Flow_ID]:[CC_DM_source]],MATCH(Tab_Data_Flows[[#This Row],[Name(EN)]],Tab_Def_Flows[Name(EN)],0),15)</f>
        <v>0</v>
      </c>
      <c r="AG282" s="10" t="str">
        <f>IF(K282="Yes",AF282*Tab_Data_Flows[[#This Row],[Flow_Py]],"N.A.")</f>
        <v>N.A.</v>
      </c>
      <c r="AH282" s="10" t="str">
        <f>Tab_Data_Flows[[#This Row],[UoM_Flow_Py]]</f>
        <v>Mg</v>
      </c>
      <c r="AI282" s="193">
        <f>INDEX(Tab_Def_Flows[[Flow_ID]:[CC_DM_source]],MATCH(Tab_Data_Flows[[#This Row],[Name(EN)]],Tab_Def_Flows[Name(EN)],0),17)</f>
        <v>0</v>
      </c>
      <c r="AJ282" s="10" t="str">
        <f>IF(L282="Yes",AI282*Tab_Data_Flows[[#This Row],[Flow_Py]]*Tab_Data_Flows[[#This Row],[DM_'[%']]],"N.A.")</f>
        <v>N.A.</v>
      </c>
      <c r="AK282" s="10" t="str">
        <f>Tab_Data_Flows[[#This Row],[UoM_Flow_Py]]</f>
        <v>Mg</v>
      </c>
    </row>
    <row r="283" spans="1:37" x14ac:dyDescent="0.25">
      <c r="A283" s="17">
        <f t="shared" si="8"/>
        <v>282</v>
      </c>
      <c r="B283" s="10" t="str">
        <f>_xlfn.XLOOKUP(C283,Tab_Def_Flows[Name(EN)],Tab_Def_Flows[Flow_ID],,0,)</f>
        <v>N.A.</v>
      </c>
      <c r="C283" s="12" t="s">
        <v>35</v>
      </c>
      <c r="D283" s="10">
        <f>_xlfn.XLOOKUP(C283,Tab_Def_Flows[Name(EN)],Tab_Def_Flows[Type_Biomass],,0,)</f>
        <v>0</v>
      </c>
      <c r="E283" s="10">
        <f>_xlfn.XLOOKUP(C283,Tab_Def_Flows[Name(EN)],Tab_Def_Flows[Output_Process],,0,)</f>
        <v>0</v>
      </c>
      <c r="F283" s="10">
        <f>_xlfn.XLOOKUP(C283,Tab_Def_Flows[Name(EN)],Tab_Def_Flows[Process_ID_O],,0,)</f>
        <v>0</v>
      </c>
      <c r="G283" s="10">
        <f>_xlfn.XLOOKUP(C283,Tab_Def_Flows[Name(EN)],Tab_Def_Flows[Input_Process],,0,)</f>
        <v>0</v>
      </c>
      <c r="H283" s="18">
        <f>_xlfn.XLOOKUP(C283,Tab_Def_Flows[Name(EN)],Tab_Def_Flows[Process_ID_I],,0,)</f>
        <v>0</v>
      </c>
      <c r="I283" s="10" t="e">
        <f>_xlfn.XLOOKUP(C283,Tab_Def_Flows[Name(EN)],#REF!,,0,)</f>
        <v>#REF!</v>
      </c>
      <c r="J283" s="18">
        <f>_xlfn.XLOOKUP(C283,Tab_Def_Flows[Name(EN)],Tab_Def_Flows[WC?],,0,)</f>
        <v>0</v>
      </c>
      <c r="K283" s="18">
        <f>_xlfn.XLOOKUP(C283,Tab_Def_Flows[Name(EN)],Tab_Def_Flows[DM?],,0,)</f>
        <v>0</v>
      </c>
      <c r="L283" s="18">
        <f>_xlfn.XLOOKUP(C283,Tab_Def_Flows[Name(EN)],Tab_Def_Flows[CC?],,0,)</f>
        <v>0</v>
      </c>
      <c r="M283" s="12"/>
      <c r="N283" s="12"/>
      <c r="O283" s="50"/>
      <c r="P283" s="12"/>
      <c r="Q283" s="12"/>
      <c r="R283" s="12"/>
      <c r="S283" s="24"/>
      <c r="T283" s="12"/>
      <c r="U283" s="12"/>
      <c r="V283" s="12"/>
      <c r="W283" s="12"/>
      <c r="X283" s="12" t="s">
        <v>8</v>
      </c>
      <c r="Y283" s="43"/>
      <c r="Z283" s="12"/>
      <c r="AA283" s="36">
        <f t="shared" si="10"/>
        <v>0</v>
      </c>
      <c r="AB283" s="12" t="s">
        <v>283</v>
      </c>
      <c r="AC283" s="193">
        <f>INDEX(Tab_Def_Flows[[Flow_ID]:[CC_DM_source]],MATCH(Tab_Data_Flows[[#This Row],[Name(EN)]],Tab_Def_Flows[Name(EN)],0),13)</f>
        <v>0</v>
      </c>
      <c r="AD283" s="10" t="str">
        <f>IF(J283="Yes",AA283*Tab_Data_Flows[[#This Row],[WC_'[%']]],"N.A.")</f>
        <v>N.A.</v>
      </c>
      <c r="AE283" s="10" t="str">
        <f>Tab_Data_Flows[[#This Row],[UoM_Flow_Py]]</f>
        <v>Mg</v>
      </c>
      <c r="AF283" s="193">
        <f>INDEX(Tab_Def_Flows[[Flow_ID]:[CC_DM_source]],MATCH(Tab_Data_Flows[[#This Row],[Name(EN)]],Tab_Def_Flows[Name(EN)],0),15)</f>
        <v>0</v>
      </c>
      <c r="AG283" s="10" t="str">
        <f>IF(K283="Yes",AF283*Tab_Data_Flows[[#This Row],[Flow_Py]],"N.A.")</f>
        <v>N.A.</v>
      </c>
      <c r="AH283" s="10" t="str">
        <f>Tab_Data_Flows[[#This Row],[UoM_Flow_Py]]</f>
        <v>Mg</v>
      </c>
      <c r="AI283" s="193">
        <f>INDEX(Tab_Def_Flows[[Flow_ID]:[CC_DM_source]],MATCH(Tab_Data_Flows[[#This Row],[Name(EN)]],Tab_Def_Flows[Name(EN)],0),17)</f>
        <v>0</v>
      </c>
      <c r="AJ283" s="10" t="str">
        <f>IF(L283="Yes",AI283*Tab_Data_Flows[[#This Row],[Flow_Py]]*Tab_Data_Flows[[#This Row],[DM_'[%']]],"N.A.")</f>
        <v>N.A.</v>
      </c>
      <c r="AK283" s="10" t="str">
        <f>Tab_Data_Flows[[#This Row],[UoM_Flow_Py]]</f>
        <v>Mg</v>
      </c>
    </row>
    <row r="284" spans="1:37" x14ac:dyDescent="0.25">
      <c r="A284" s="17">
        <f t="shared" si="8"/>
        <v>283</v>
      </c>
      <c r="B284" s="10" t="str">
        <f>_xlfn.XLOOKUP(C284,Tab_Def_Flows[Name(EN)],Tab_Def_Flows[Flow_ID],,0,)</f>
        <v>N.A.</v>
      </c>
      <c r="C284" s="12" t="s">
        <v>35</v>
      </c>
      <c r="D284" s="10">
        <f>_xlfn.XLOOKUP(C284,Tab_Def_Flows[Name(EN)],Tab_Def_Flows[Type_Biomass],,0,)</f>
        <v>0</v>
      </c>
      <c r="E284" s="10">
        <f>_xlfn.XLOOKUP(C284,Tab_Def_Flows[Name(EN)],Tab_Def_Flows[Output_Process],,0,)</f>
        <v>0</v>
      </c>
      <c r="F284" s="10">
        <f>_xlfn.XLOOKUP(C284,Tab_Def_Flows[Name(EN)],Tab_Def_Flows[Process_ID_O],,0,)</f>
        <v>0</v>
      </c>
      <c r="G284" s="10">
        <f>_xlfn.XLOOKUP(C284,Tab_Def_Flows[Name(EN)],Tab_Def_Flows[Input_Process],,0,)</f>
        <v>0</v>
      </c>
      <c r="H284" s="18">
        <f>_xlfn.XLOOKUP(C284,Tab_Def_Flows[Name(EN)],Tab_Def_Flows[Process_ID_I],,0,)</f>
        <v>0</v>
      </c>
      <c r="I284" s="10" t="e">
        <f>_xlfn.XLOOKUP(C284,Tab_Def_Flows[Name(EN)],#REF!,,0,)</f>
        <v>#REF!</v>
      </c>
      <c r="J284" s="18">
        <f>_xlfn.XLOOKUP(C284,Tab_Def_Flows[Name(EN)],Tab_Def_Flows[WC?],,0,)</f>
        <v>0</v>
      </c>
      <c r="K284" s="18">
        <f>_xlfn.XLOOKUP(C284,Tab_Def_Flows[Name(EN)],Tab_Def_Flows[DM?],,0,)</f>
        <v>0</v>
      </c>
      <c r="L284" s="18">
        <f>_xlfn.XLOOKUP(C284,Tab_Def_Flows[Name(EN)],Tab_Def_Flows[CC?],,0,)</f>
        <v>0</v>
      </c>
      <c r="M284" s="12"/>
      <c r="N284" s="12"/>
      <c r="O284" s="50"/>
      <c r="P284" s="12"/>
      <c r="Q284" s="12"/>
      <c r="R284" s="12"/>
      <c r="S284" s="24"/>
      <c r="T284" s="12"/>
      <c r="U284" s="12"/>
      <c r="V284" s="12"/>
      <c r="W284" s="12"/>
      <c r="X284" s="12" t="s">
        <v>8</v>
      </c>
      <c r="Y284" s="43"/>
      <c r="Z284" s="12"/>
      <c r="AA284" s="36">
        <f t="shared" si="10"/>
        <v>0</v>
      </c>
      <c r="AB284" s="12" t="s">
        <v>283</v>
      </c>
      <c r="AC284" s="193">
        <f>INDEX(Tab_Def_Flows[[Flow_ID]:[CC_DM_source]],MATCH(Tab_Data_Flows[[#This Row],[Name(EN)]],Tab_Def_Flows[Name(EN)],0),13)</f>
        <v>0</v>
      </c>
      <c r="AD284" s="10" t="str">
        <f>IF(J284="Yes",AA284*Tab_Data_Flows[[#This Row],[WC_'[%']]],"N.A.")</f>
        <v>N.A.</v>
      </c>
      <c r="AE284" s="10" t="str">
        <f>Tab_Data_Flows[[#This Row],[UoM_Flow_Py]]</f>
        <v>Mg</v>
      </c>
      <c r="AF284" s="193">
        <f>INDEX(Tab_Def_Flows[[Flow_ID]:[CC_DM_source]],MATCH(Tab_Data_Flows[[#This Row],[Name(EN)]],Tab_Def_Flows[Name(EN)],0),15)</f>
        <v>0</v>
      </c>
      <c r="AG284" s="10" t="str">
        <f>IF(K284="Yes",AF284*Tab_Data_Flows[[#This Row],[Flow_Py]],"N.A.")</f>
        <v>N.A.</v>
      </c>
      <c r="AH284" s="10" t="str">
        <f>Tab_Data_Flows[[#This Row],[UoM_Flow_Py]]</f>
        <v>Mg</v>
      </c>
      <c r="AI284" s="193">
        <f>INDEX(Tab_Def_Flows[[Flow_ID]:[CC_DM_source]],MATCH(Tab_Data_Flows[[#This Row],[Name(EN)]],Tab_Def_Flows[Name(EN)],0),17)</f>
        <v>0</v>
      </c>
      <c r="AJ284" s="10" t="str">
        <f>IF(L284="Yes",AI284*Tab_Data_Flows[[#This Row],[Flow_Py]]*Tab_Data_Flows[[#This Row],[DM_'[%']]],"N.A.")</f>
        <v>N.A.</v>
      </c>
      <c r="AK284" s="10" t="str">
        <f>Tab_Data_Flows[[#This Row],[UoM_Flow_Py]]</f>
        <v>Mg</v>
      </c>
    </row>
    <row r="285" spans="1:37" x14ac:dyDescent="0.25">
      <c r="A285" s="17">
        <f t="shared" si="8"/>
        <v>284</v>
      </c>
      <c r="B285" s="10" t="str">
        <f>_xlfn.XLOOKUP(C285,Tab_Def_Flows[Name(EN)],Tab_Def_Flows[Flow_ID],,0,)</f>
        <v>N.A.</v>
      </c>
      <c r="C285" s="12" t="s">
        <v>35</v>
      </c>
      <c r="D285" s="10">
        <f>_xlfn.XLOOKUP(C285,Tab_Def_Flows[Name(EN)],Tab_Def_Flows[Type_Biomass],,0,)</f>
        <v>0</v>
      </c>
      <c r="E285" s="10">
        <f>_xlfn.XLOOKUP(C285,Tab_Def_Flows[Name(EN)],Tab_Def_Flows[Output_Process],,0,)</f>
        <v>0</v>
      </c>
      <c r="F285" s="10">
        <f>_xlfn.XLOOKUP(C285,Tab_Def_Flows[Name(EN)],Tab_Def_Flows[Process_ID_O],,0,)</f>
        <v>0</v>
      </c>
      <c r="G285" s="10">
        <f>_xlfn.XLOOKUP(C285,Tab_Def_Flows[Name(EN)],Tab_Def_Flows[Input_Process],,0,)</f>
        <v>0</v>
      </c>
      <c r="H285" s="18">
        <f>_xlfn.XLOOKUP(C285,Tab_Def_Flows[Name(EN)],Tab_Def_Flows[Process_ID_I],,0,)</f>
        <v>0</v>
      </c>
      <c r="I285" s="10" t="e">
        <f>_xlfn.XLOOKUP(C285,Tab_Def_Flows[Name(EN)],#REF!,,0,)</f>
        <v>#REF!</v>
      </c>
      <c r="J285" s="18">
        <f>_xlfn.XLOOKUP(C285,Tab_Def_Flows[Name(EN)],Tab_Def_Flows[WC?],,0,)</f>
        <v>0</v>
      </c>
      <c r="K285" s="18">
        <f>_xlfn.XLOOKUP(C285,Tab_Def_Flows[Name(EN)],Tab_Def_Flows[DM?],,0,)</f>
        <v>0</v>
      </c>
      <c r="L285" s="18">
        <f>_xlfn.XLOOKUP(C285,Tab_Def_Flows[Name(EN)],Tab_Def_Flows[CC?],,0,)</f>
        <v>0</v>
      </c>
      <c r="M285" s="12"/>
      <c r="N285" s="12"/>
      <c r="O285" s="50"/>
      <c r="P285" s="12"/>
      <c r="Q285" s="12"/>
      <c r="R285" s="12"/>
      <c r="S285" s="24"/>
      <c r="T285" s="12"/>
      <c r="U285" s="12"/>
      <c r="V285" s="12"/>
      <c r="W285" s="12"/>
      <c r="X285" s="12" t="s">
        <v>8</v>
      </c>
      <c r="Y285" s="43"/>
      <c r="Z285" s="12"/>
      <c r="AA285" s="36">
        <f t="shared" si="10"/>
        <v>0</v>
      </c>
      <c r="AB285" s="12" t="s">
        <v>283</v>
      </c>
      <c r="AC285" s="193">
        <f>INDEX(Tab_Def_Flows[[Flow_ID]:[CC_DM_source]],MATCH(Tab_Data_Flows[[#This Row],[Name(EN)]],Tab_Def_Flows[Name(EN)],0),13)</f>
        <v>0</v>
      </c>
      <c r="AD285" s="10" t="str">
        <f>IF(J285="Yes",AA285*Tab_Data_Flows[[#This Row],[WC_'[%']]],"N.A.")</f>
        <v>N.A.</v>
      </c>
      <c r="AE285" s="10" t="str">
        <f>Tab_Data_Flows[[#This Row],[UoM_Flow_Py]]</f>
        <v>Mg</v>
      </c>
      <c r="AF285" s="193">
        <f>INDEX(Tab_Def_Flows[[Flow_ID]:[CC_DM_source]],MATCH(Tab_Data_Flows[[#This Row],[Name(EN)]],Tab_Def_Flows[Name(EN)],0),15)</f>
        <v>0</v>
      </c>
      <c r="AG285" s="10" t="str">
        <f>IF(K285="Yes",AF285*Tab_Data_Flows[[#This Row],[Flow_Py]],"N.A.")</f>
        <v>N.A.</v>
      </c>
      <c r="AH285" s="10" t="str">
        <f>Tab_Data_Flows[[#This Row],[UoM_Flow_Py]]</f>
        <v>Mg</v>
      </c>
      <c r="AI285" s="193">
        <f>INDEX(Tab_Def_Flows[[Flow_ID]:[CC_DM_source]],MATCH(Tab_Data_Flows[[#This Row],[Name(EN)]],Tab_Def_Flows[Name(EN)],0),17)</f>
        <v>0</v>
      </c>
      <c r="AJ285" s="10" t="str">
        <f>IF(L285="Yes",AI285*Tab_Data_Flows[[#This Row],[Flow_Py]]*Tab_Data_Flows[[#This Row],[DM_'[%']]],"N.A.")</f>
        <v>N.A.</v>
      </c>
      <c r="AK285" s="10" t="str">
        <f>Tab_Data_Flows[[#This Row],[UoM_Flow_Py]]</f>
        <v>Mg</v>
      </c>
    </row>
    <row r="286" spans="1:37" x14ac:dyDescent="0.25">
      <c r="A286" s="17">
        <f t="shared" si="8"/>
        <v>285</v>
      </c>
      <c r="B286" s="10" t="str">
        <f>_xlfn.XLOOKUP(C286,Tab_Def_Flows[Name(EN)],Tab_Def_Flows[Flow_ID],,0,)</f>
        <v>N.A.</v>
      </c>
      <c r="C286" s="12" t="s">
        <v>35</v>
      </c>
      <c r="D286" s="10">
        <f>_xlfn.XLOOKUP(C286,Tab_Def_Flows[Name(EN)],Tab_Def_Flows[Type_Biomass],,0,)</f>
        <v>0</v>
      </c>
      <c r="E286" s="10">
        <f>_xlfn.XLOOKUP(C286,Tab_Def_Flows[Name(EN)],Tab_Def_Flows[Output_Process],,0,)</f>
        <v>0</v>
      </c>
      <c r="F286" s="10">
        <f>_xlfn.XLOOKUP(C286,Tab_Def_Flows[Name(EN)],Tab_Def_Flows[Process_ID_O],,0,)</f>
        <v>0</v>
      </c>
      <c r="G286" s="10">
        <f>_xlfn.XLOOKUP(C286,Tab_Def_Flows[Name(EN)],Tab_Def_Flows[Input_Process],,0,)</f>
        <v>0</v>
      </c>
      <c r="H286" s="18">
        <f>_xlfn.XLOOKUP(C286,Tab_Def_Flows[Name(EN)],Tab_Def_Flows[Process_ID_I],,0,)</f>
        <v>0</v>
      </c>
      <c r="I286" s="10" t="e">
        <f>_xlfn.XLOOKUP(C286,Tab_Def_Flows[Name(EN)],#REF!,,0,)</f>
        <v>#REF!</v>
      </c>
      <c r="J286" s="18">
        <f>_xlfn.XLOOKUP(C286,Tab_Def_Flows[Name(EN)],Tab_Def_Flows[WC?],,0,)</f>
        <v>0</v>
      </c>
      <c r="K286" s="18">
        <f>_xlfn.XLOOKUP(C286,Tab_Def_Flows[Name(EN)],Tab_Def_Flows[DM?],,0,)</f>
        <v>0</v>
      </c>
      <c r="L286" s="18">
        <f>_xlfn.XLOOKUP(C286,Tab_Def_Flows[Name(EN)],Tab_Def_Flows[CC?],,0,)</f>
        <v>0</v>
      </c>
      <c r="M286" s="12"/>
      <c r="N286" s="12"/>
      <c r="O286" s="50"/>
      <c r="P286" s="12"/>
      <c r="Q286" s="12"/>
      <c r="R286" s="12"/>
      <c r="S286" s="24"/>
      <c r="T286" s="12"/>
      <c r="U286" s="12"/>
      <c r="V286" s="12"/>
      <c r="W286" s="12"/>
      <c r="X286" s="12" t="s">
        <v>8</v>
      </c>
      <c r="Y286" s="43"/>
      <c r="Z286" s="12"/>
      <c r="AA286" s="36">
        <f t="shared" si="10"/>
        <v>0</v>
      </c>
      <c r="AB286" s="12" t="s">
        <v>283</v>
      </c>
      <c r="AC286" s="193">
        <f>INDEX(Tab_Def_Flows[[Flow_ID]:[CC_DM_source]],MATCH(Tab_Data_Flows[[#This Row],[Name(EN)]],Tab_Def_Flows[Name(EN)],0),13)</f>
        <v>0</v>
      </c>
      <c r="AD286" s="10" t="str">
        <f>IF(J286="Yes",AA286*Tab_Data_Flows[[#This Row],[WC_'[%']]],"N.A.")</f>
        <v>N.A.</v>
      </c>
      <c r="AE286" s="10" t="str">
        <f>Tab_Data_Flows[[#This Row],[UoM_Flow_Py]]</f>
        <v>Mg</v>
      </c>
      <c r="AF286" s="193">
        <f>INDEX(Tab_Def_Flows[[Flow_ID]:[CC_DM_source]],MATCH(Tab_Data_Flows[[#This Row],[Name(EN)]],Tab_Def_Flows[Name(EN)],0),15)</f>
        <v>0</v>
      </c>
      <c r="AG286" s="10" t="str">
        <f>IF(K286="Yes",AF286*Tab_Data_Flows[[#This Row],[Flow_Py]],"N.A.")</f>
        <v>N.A.</v>
      </c>
      <c r="AH286" s="10" t="str">
        <f>Tab_Data_Flows[[#This Row],[UoM_Flow_Py]]</f>
        <v>Mg</v>
      </c>
      <c r="AI286" s="193">
        <f>INDEX(Tab_Def_Flows[[Flow_ID]:[CC_DM_source]],MATCH(Tab_Data_Flows[[#This Row],[Name(EN)]],Tab_Def_Flows[Name(EN)],0),17)</f>
        <v>0</v>
      </c>
      <c r="AJ286" s="10" t="str">
        <f>IF(L286="Yes",AI286*Tab_Data_Flows[[#This Row],[Flow_Py]]*Tab_Data_Flows[[#This Row],[DM_'[%']]],"N.A.")</f>
        <v>N.A.</v>
      </c>
      <c r="AK286" s="10" t="str">
        <f>Tab_Data_Flows[[#This Row],[UoM_Flow_Py]]</f>
        <v>Mg</v>
      </c>
    </row>
    <row r="287" spans="1:37" x14ac:dyDescent="0.25">
      <c r="A287" s="17">
        <f t="shared" si="8"/>
        <v>286</v>
      </c>
      <c r="B287" s="10" t="str">
        <f>_xlfn.XLOOKUP(C287,Tab_Def_Flows[Name(EN)],Tab_Def_Flows[Flow_ID],,0,)</f>
        <v>N.A.</v>
      </c>
      <c r="C287" s="12" t="s">
        <v>35</v>
      </c>
      <c r="D287" s="10">
        <f>_xlfn.XLOOKUP(C287,Tab_Def_Flows[Name(EN)],Tab_Def_Flows[Type_Biomass],,0,)</f>
        <v>0</v>
      </c>
      <c r="E287" s="10">
        <f>_xlfn.XLOOKUP(C287,Tab_Def_Flows[Name(EN)],Tab_Def_Flows[Output_Process],,0,)</f>
        <v>0</v>
      </c>
      <c r="F287" s="10">
        <f>_xlfn.XLOOKUP(C287,Tab_Def_Flows[Name(EN)],Tab_Def_Flows[Process_ID_O],,0,)</f>
        <v>0</v>
      </c>
      <c r="G287" s="10">
        <f>_xlfn.XLOOKUP(C287,Tab_Def_Flows[Name(EN)],Tab_Def_Flows[Input_Process],,0,)</f>
        <v>0</v>
      </c>
      <c r="H287" s="18">
        <f>_xlfn.XLOOKUP(C287,Tab_Def_Flows[Name(EN)],Tab_Def_Flows[Process_ID_I],,0,)</f>
        <v>0</v>
      </c>
      <c r="I287" s="10" t="e">
        <f>_xlfn.XLOOKUP(C287,Tab_Def_Flows[Name(EN)],#REF!,,0,)</f>
        <v>#REF!</v>
      </c>
      <c r="J287" s="18">
        <f>_xlfn.XLOOKUP(C287,Tab_Def_Flows[Name(EN)],Tab_Def_Flows[WC?],,0,)</f>
        <v>0</v>
      </c>
      <c r="K287" s="18">
        <f>_xlfn.XLOOKUP(C287,Tab_Def_Flows[Name(EN)],Tab_Def_Flows[DM?],,0,)</f>
        <v>0</v>
      </c>
      <c r="L287" s="18">
        <f>_xlfn.XLOOKUP(C287,Tab_Def_Flows[Name(EN)],Tab_Def_Flows[CC?],,0,)</f>
        <v>0</v>
      </c>
      <c r="M287" s="12"/>
      <c r="N287" s="12"/>
      <c r="O287" s="50"/>
      <c r="P287" s="12"/>
      <c r="Q287" s="12"/>
      <c r="R287" s="12"/>
      <c r="S287" s="24"/>
      <c r="T287" s="12"/>
      <c r="U287" s="12"/>
      <c r="V287" s="12"/>
      <c r="W287" s="12"/>
      <c r="X287" s="12" t="s">
        <v>8</v>
      </c>
      <c r="Y287" s="43"/>
      <c r="Z287" s="12"/>
      <c r="AA287" s="36">
        <f t="shared" si="10"/>
        <v>0</v>
      </c>
      <c r="AB287" s="12" t="s">
        <v>283</v>
      </c>
      <c r="AC287" s="193">
        <f>INDEX(Tab_Def_Flows[[Flow_ID]:[CC_DM_source]],MATCH(Tab_Data_Flows[[#This Row],[Name(EN)]],Tab_Def_Flows[Name(EN)],0),13)</f>
        <v>0</v>
      </c>
      <c r="AD287" s="10" t="str">
        <f>IF(J287="Yes",AA287*Tab_Data_Flows[[#This Row],[WC_'[%']]],"N.A.")</f>
        <v>N.A.</v>
      </c>
      <c r="AE287" s="10" t="str">
        <f>Tab_Data_Flows[[#This Row],[UoM_Flow_Py]]</f>
        <v>Mg</v>
      </c>
      <c r="AF287" s="193">
        <f>INDEX(Tab_Def_Flows[[Flow_ID]:[CC_DM_source]],MATCH(Tab_Data_Flows[[#This Row],[Name(EN)]],Tab_Def_Flows[Name(EN)],0),15)</f>
        <v>0</v>
      </c>
      <c r="AG287" s="10" t="str">
        <f>IF(K287="Yes",AF287*Tab_Data_Flows[[#This Row],[Flow_Py]],"N.A.")</f>
        <v>N.A.</v>
      </c>
      <c r="AH287" s="10" t="str">
        <f>Tab_Data_Flows[[#This Row],[UoM_Flow_Py]]</f>
        <v>Mg</v>
      </c>
      <c r="AI287" s="193">
        <f>INDEX(Tab_Def_Flows[[Flow_ID]:[CC_DM_source]],MATCH(Tab_Data_Flows[[#This Row],[Name(EN)]],Tab_Def_Flows[Name(EN)],0),17)</f>
        <v>0</v>
      </c>
      <c r="AJ287" s="10" t="str">
        <f>IF(L287="Yes",AI287*Tab_Data_Flows[[#This Row],[Flow_Py]]*Tab_Data_Flows[[#This Row],[DM_'[%']]],"N.A.")</f>
        <v>N.A.</v>
      </c>
      <c r="AK287" s="10" t="str">
        <f>Tab_Data_Flows[[#This Row],[UoM_Flow_Py]]</f>
        <v>Mg</v>
      </c>
    </row>
    <row r="288" spans="1:37" x14ac:dyDescent="0.25">
      <c r="A288" s="17">
        <f t="shared" si="8"/>
        <v>287</v>
      </c>
      <c r="B288" s="10" t="str">
        <f>_xlfn.XLOOKUP(C288,Tab_Def_Flows[Name(EN)],Tab_Def_Flows[Flow_ID],,0,)</f>
        <v>N.A.</v>
      </c>
      <c r="C288" s="12" t="s">
        <v>35</v>
      </c>
      <c r="D288" s="10">
        <f>_xlfn.XLOOKUP(C288,Tab_Def_Flows[Name(EN)],Tab_Def_Flows[Type_Biomass],,0,)</f>
        <v>0</v>
      </c>
      <c r="E288" s="10">
        <f>_xlfn.XLOOKUP(C288,Tab_Def_Flows[Name(EN)],Tab_Def_Flows[Output_Process],,0,)</f>
        <v>0</v>
      </c>
      <c r="F288" s="10">
        <f>_xlfn.XLOOKUP(C288,Tab_Def_Flows[Name(EN)],Tab_Def_Flows[Process_ID_O],,0,)</f>
        <v>0</v>
      </c>
      <c r="G288" s="10">
        <f>_xlfn.XLOOKUP(C288,Tab_Def_Flows[Name(EN)],Tab_Def_Flows[Input_Process],,0,)</f>
        <v>0</v>
      </c>
      <c r="H288" s="18">
        <f>_xlfn.XLOOKUP(C288,Tab_Def_Flows[Name(EN)],Tab_Def_Flows[Process_ID_I],,0,)</f>
        <v>0</v>
      </c>
      <c r="I288" s="10" t="e">
        <f>_xlfn.XLOOKUP(C288,Tab_Def_Flows[Name(EN)],#REF!,,0,)</f>
        <v>#REF!</v>
      </c>
      <c r="J288" s="18">
        <f>_xlfn.XLOOKUP(C288,Tab_Def_Flows[Name(EN)],Tab_Def_Flows[WC?],,0,)</f>
        <v>0</v>
      </c>
      <c r="K288" s="18">
        <f>_xlfn.XLOOKUP(C288,Tab_Def_Flows[Name(EN)],Tab_Def_Flows[DM?],,0,)</f>
        <v>0</v>
      </c>
      <c r="L288" s="18">
        <f>_xlfn.XLOOKUP(C288,Tab_Def_Flows[Name(EN)],Tab_Def_Flows[CC?],,0,)</f>
        <v>0</v>
      </c>
      <c r="M288" s="12"/>
      <c r="N288" s="12"/>
      <c r="O288" s="50"/>
      <c r="P288" s="12"/>
      <c r="Q288" s="12"/>
      <c r="R288" s="12"/>
      <c r="S288" s="24"/>
      <c r="T288" s="12"/>
      <c r="U288" s="12"/>
      <c r="V288" s="12"/>
      <c r="W288" s="12"/>
      <c r="X288" s="12" t="s">
        <v>8</v>
      </c>
      <c r="Y288" s="43"/>
      <c r="Z288" s="12"/>
      <c r="AA288" s="36">
        <f t="shared" si="10"/>
        <v>0</v>
      </c>
      <c r="AB288" s="12" t="s">
        <v>283</v>
      </c>
      <c r="AC288" s="193">
        <f>INDEX(Tab_Def_Flows[[Flow_ID]:[CC_DM_source]],MATCH(Tab_Data_Flows[[#This Row],[Name(EN)]],Tab_Def_Flows[Name(EN)],0),13)</f>
        <v>0</v>
      </c>
      <c r="AD288" s="10" t="str">
        <f>IF(J288="Yes",AA288*Tab_Data_Flows[[#This Row],[WC_'[%']]],"N.A.")</f>
        <v>N.A.</v>
      </c>
      <c r="AE288" s="10" t="str">
        <f>Tab_Data_Flows[[#This Row],[UoM_Flow_Py]]</f>
        <v>Mg</v>
      </c>
      <c r="AF288" s="193">
        <f>INDEX(Tab_Def_Flows[[Flow_ID]:[CC_DM_source]],MATCH(Tab_Data_Flows[[#This Row],[Name(EN)]],Tab_Def_Flows[Name(EN)],0),15)</f>
        <v>0</v>
      </c>
      <c r="AG288" s="10" t="str">
        <f>IF(K288="Yes",AF288*Tab_Data_Flows[[#This Row],[Flow_Py]],"N.A.")</f>
        <v>N.A.</v>
      </c>
      <c r="AH288" s="10" t="str">
        <f>Tab_Data_Flows[[#This Row],[UoM_Flow_Py]]</f>
        <v>Mg</v>
      </c>
      <c r="AI288" s="193">
        <f>INDEX(Tab_Def_Flows[[Flow_ID]:[CC_DM_source]],MATCH(Tab_Data_Flows[[#This Row],[Name(EN)]],Tab_Def_Flows[Name(EN)],0),17)</f>
        <v>0</v>
      </c>
      <c r="AJ288" s="10" t="str">
        <f>IF(L288="Yes",AI288*Tab_Data_Flows[[#This Row],[Flow_Py]]*Tab_Data_Flows[[#This Row],[DM_'[%']]],"N.A.")</f>
        <v>N.A.</v>
      </c>
      <c r="AK288" s="10" t="str">
        <f>Tab_Data_Flows[[#This Row],[UoM_Flow_Py]]</f>
        <v>Mg</v>
      </c>
    </row>
    <row r="289" spans="1:37" x14ac:dyDescent="0.25">
      <c r="A289" s="17">
        <f t="shared" si="8"/>
        <v>288</v>
      </c>
      <c r="B289" s="10" t="str">
        <f>_xlfn.XLOOKUP(C289,Tab_Def_Flows[Name(EN)],Tab_Def_Flows[Flow_ID],,0,)</f>
        <v>N.A.</v>
      </c>
      <c r="C289" s="12" t="s">
        <v>35</v>
      </c>
      <c r="D289" s="10">
        <f>_xlfn.XLOOKUP(C289,Tab_Def_Flows[Name(EN)],Tab_Def_Flows[Type_Biomass],,0,)</f>
        <v>0</v>
      </c>
      <c r="E289" s="10">
        <f>_xlfn.XLOOKUP(C289,Tab_Def_Flows[Name(EN)],Tab_Def_Flows[Output_Process],,0,)</f>
        <v>0</v>
      </c>
      <c r="F289" s="10">
        <f>_xlfn.XLOOKUP(C289,Tab_Def_Flows[Name(EN)],Tab_Def_Flows[Process_ID_O],,0,)</f>
        <v>0</v>
      </c>
      <c r="G289" s="10">
        <f>_xlfn.XLOOKUP(C289,Tab_Def_Flows[Name(EN)],Tab_Def_Flows[Input_Process],,0,)</f>
        <v>0</v>
      </c>
      <c r="H289" s="18">
        <f>_xlfn.XLOOKUP(C289,Tab_Def_Flows[Name(EN)],Tab_Def_Flows[Process_ID_I],,0,)</f>
        <v>0</v>
      </c>
      <c r="I289" s="10" t="e">
        <f>_xlfn.XLOOKUP(C289,Tab_Def_Flows[Name(EN)],#REF!,,0,)</f>
        <v>#REF!</v>
      </c>
      <c r="J289" s="18">
        <f>_xlfn.XLOOKUP(C289,Tab_Def_Flows[Name(EN)],Tab_Def_Flows[WC?],,0,)</f>
        <v>0</v>
      </c>
      <c r="K289" s="18">
        <f>_xlfn.XLOOKUP(C289,Tab_Def_Flows[Name(EN)],Tab_Def_Flows[DM?],,0,)</f>
        <v>0</v>
      </c>
      <c r="L289" s="18">
        <f>_xlfn.XLOOKUP(C289,Tab_Def_Flows[Name(EN)],Tab_Def_Flows[CC?],,0,)</f>
        <v>0</v>
      </c>
      <c r="M289" s="12"/>
      <c r="N289" s="12"/>
      <c r="O289" s="50"/>
      <c r="P289" s="12"/>
      <c r="Q289" s="12"/>
      <c r="R289" s="12"/>
      <c r="S289" s="24"/>
      <c r="T289" s="12"/>
      <c r="U289" s="12"/>
      <c r="V289" s="12"/>
      <c r="W289" s="12"/>
      <c r="X289" s="12" t="s">
        <v>8</v>
      </c>
      <c r="Y289" s="43"/>
      <c r="Z289" s="12"/>
      <c r="AA289" s="36">
        <f t="shared" si="10"/>
        <v>0</v>
      </c>
      <c r="AB289" s="12" t="s">
        <v>283</v>
      </c>
      <c r="AC289" s="193">
        <f>INDEX(Tab_Def_Flows[[Flow_ID]:[CC_DM_source]],MATCH(Tab_Data_Flows[[#This Row],[Name(EN)]],Tab_Def_Flows[Name(EN)],0),13)</f>
        <v>0</v>
      </c>
      <c r="AD289" s="10" t="str">
        <f>IF(J289="Yes",AA289*Tab_Data_Flows[[#This Row],[WC_'[%']]],"N.A.")</f>
        <v>N.A.</v>
      </c>
      <c r="AE289" s="10" t="str">
        <f>Tab_Data_Flows[[#This Row],[UoM_Flow_Py]]</f>
        <v>Mg</v>
      </c>
      <c r="AF289" s="193">
        <f>INDEX(Tab_Def_Flows[[Flow_ID]:[CC_DM_source]],MATCH(Tab_Data_Flows[[#This Row],[Name(EN)]],Tab_Def_Flows[Name(EN)],0),15)</f>
        <v>0</v>
      </c>
      <c r="AG289" s="10" t="str">
        <f>IF(K289="Yes",AF289*Tab_Data_Flows[[#This Row],[Flow_Py]],"N.A.")</f>
        <v>N.A.</v>
      </c>
      <c r="AH289" s="10" t="str">
        <f>Tab_Data_Flows[[#This Row],[UoM_Flow_Py]]</f>
        <v>Mg</v>
      </c>
      <c r="AI289" s="193">
        <f>INDEX(Tab_Def_Flows[[Flow_ID]:[CC_DM_source]],MATCH(Tab_Data_Flows[[#This Row],[Name(EN)]],Tab_Def_Flows[Name(EN)],0),17)</f>
        <v>0</v>
      </c>
      <c r="AJ289" s="10" t="str">
        <f>IF(L289="Yes",AI289*Tab_Data_Flows[[#This Row],[Flow_Py]]*Tab_Data_Flows[[#This Row],[DM_'[%']]],"N.A.")</f>
        <v>N.A.</v>
      </c>
      <c r="AK289" s="10" t="str">
        <f>Tab_Data_Flows[[#This Row],[UoM_Flow_Py]]</f>
        <v>Mg</v>
      </c>
    </row>
    <row r="290" spans="1:37" x14ac:dyDescent="0.25">
      <c r="A290" s="17">
        <f t="shared" si="8"/>
        <v>289</v>
      </c>
      <c r="B290" s="10" t="str">
        <f>_xlfn.XLOOKUP(C290,Tab_Def_Flows[Name(EN)],Tab_Def_Flows[Flow_ID],,0,)</f>
        <v>N.A.</v>
      </c>
      <c r="C290" s="12" t="s">
        <v>35</v>
      </c>
      <c r="D290" s="10">
        <f>_xlfn.XLOOKUP(C290,Tab_Def_Flows[Name(EN)],Tab_Def_Flows[Type_Biomass],,0,)</f>
        <v>0</v>
      </c>
      <c r="E290" s="10">
        <f>_xlfn.XLOOKUP(C290,Tab_Def_Flows[Name(EN)],Tab_Def_Flows[Output_Process],,0,)</f>
        <v>0</v>
      </c>
      <c r="F290" s="10">
        <f>_xlfn.XLOOKUP(C290,Tab_Def_Flows[Name(EN)],Tab_Def_Flows[Process_ID_O],,0,)</f>
        <v>0</v>
      </c>
      <c r="G290" s="10">
        <f>_xlfn.XLOOKUP(C290,Tab_Def_Flows[Name(EN)],Tab_Def_Flows[Input_Process],,0,)</f>
        <v>0</v>
      </c>
      <c r="H290" s="18">
        <f>_xlfn.XLOOKUP(C290,Tab_Def_Flows[Name(EN)],Tab_Def_Flows[Process_ID_I],,0,)</f>
        <v>0</v>
      </c>
      <c r="I290" s="10" t="e">
        <f>_xlfn.XLOOKUP(C290,Tab_Def_Flows[Name(EN)],#REF!,,0,)</f>
        <v>#REF!</v>
      </c>
      <c r="J290" s="18">
        <f>_xlfn.XLOOKUP(C290,Tab_Def_Flows[Name(EN)],Tab_Def_Flows[WC?],,0,)</f>
        <v>0</v>
      </c>
      <c r="K290" s="18">
        <f>_xlfn.XLOOKUP(C290,Tab_Def_Flows[Name(EN)],Tab_Def_Flows[DM?],,0,)</f>
        <v>0</v>
      </c>
      <c r="L290" s="18">
        <f>_xlfn.XLOOKUP(C290,Tab_Def_Flows[Name(EN)],Tab_Def_Flows[CC?],,0,)</f>
        <v>0</v>
      </c>
      <c r="M290" s="12"/>
      <c r="N290" s="12"/>
      <c r="O290" s="50"/>
      <c r="P290" s="12"/>
      <c r="Q290" s="12"/>
      <c r="R290" s="12"/>
      <c r="S290" s="24"/>
      <c r="T290" s="12"/>
      <c r="U290" s="12"/>
      <c r="V290" s="12"/>
      <c r="W290" s="12"/>
      <c r="X290" s="12" t="s">
        <v>8</v>
      </c>
      <c r="Y290" s="43"/>
      <c r="Z290" s="12"/>
      <c r="AA290" s="36">
        <f t="shared" si="10"/>
        <v>0</v>
      </c>
      <c r="AB290" s="12" t="s">
        <v>283</v>
      </c>
      <c r="AC290" s="193">
        <f>INDEX(Tab_Def_Flows[[Flow_ID]:[CC_DM_source]],MATCH(Tab_Data_Flows[[#This Row],[Name(EN)]],Tab_Def_Flows[Name(EN)],0),13)</f>
        <v>0</v>
      </c>
      <c r="AD290" s="10" t="str">
        <f>IF(J290="Yes",AA290*Tab_Data_Flows[[#This Row],[WC_'[%']]],"N.A.")</f>
        <v>N.A.</v>
      </c>
      <c r="AE290" s="10" t="str">
        <f>Tab_Data_Flows[[#This Row],[UoM_Flow_Py]]</f>
        <v>Mg</v>
      </c>
      <c r="AF290" s="193">
        <f>INDEX(Tab_Def_Flows[[Flow_ID]:[CC_DM_source]],MATCH(Tab_Data_Flows[[#This Row],[Name(EN)]],Tab_Def_Flows[Name(EN)],0),15)</f>
        <v>0</v>
      </c>
      <c r="AG290" s="10" t="str">
        <f>IF(K290="Yes",AF290*Tab_Data_Flows[[#This Row],[Flow_Py]],"N.A.")</f>
        <v>N.A.</v>
      </c>
      <c r="AH290" s="10" t="str">
        <f>Tab_Data_Flows[[#This Row],[UoM_Flow_Py]]</f>
        <v>Mg</v>
      </c>
      <c r="AI290" s="193">
        <f>INDEX(Tab_Def_Flows[[Flow_ID]:[CC_DM_source]],MATCH(Tab_Data_Flows[[#This Row],[Name(EN)]],Tab_Def_Flows[Name(EN)],0),17)</f>
        <v>0</v>
      </c>
      <c r="AJ290" s="10" t="str">
        <f>IF(L290="Yes",AI290*Tab_Data_Flows[[#This Row],[Flow_Py]]*Tab_Data_Flows[[#This Row],[DM_'[%']]],"N.A.")</f>
        <v>N.A.</v>
      </c>
      <c r="AK290" s="10" t="str">
        <f>Tab_Data_Flows[[#This Row],[UoM_Flow_Py]]</f>
        <v>Mg</v>
      </c>
    </row>
    <row r="291" spans="1:37" x14ac:dyDescent="0.25">
      <c r="A291" s="17">
        <f t="shared" si="8"/>
        <v>290</v>
      </c>
      <c r="B291" s="10" t="str">
        <f>_xlfn.XLOOKUP(C291,Tab_Def_Flows[Name(EN)],Tab_Def_Flows[Flow_ID],,0,)</f>
        <v>N.A.</v>
      </c>
      <c r="C291" s="12" t="s">
        <v>35</v>
      </c>
      <c r="D291" s="10">
        <f>_xlfn.XLOOKUP(C291,Tab_Def_Flows[Name(EN)],Tab_Def_Flows[Type_Biomass],,0,)</f>
        <v>0</v>
      </c>
      <c r="E291" s="10">
        <f>_xlfn.XLOOKUP(C291,Tab_Def_Flows[Name(EN)],Tab_Def_Flows[Output_Process],,0,)</f>
        <v>0</v>
      </c>
      <c r="F291" s="10">
        <f>_xlfn.XLOOKUP(C291,Tab_Def_Flows[Name(EN)],Tab_Def_Flows[Process_ID_O],,0,)</f>
        <v>0</v>
      </c>
      <c r="G291" s="10">
        <f>_xlfn.XLOOKUP(C291,Tab_Def_Flows[Name(EN)],Tab_Def_Flows[Input_Process],,0,)</f>
        <v>0</v>
      </c>
      <c r="H291" s="18">
        <f>_xlfn.XLOOKUP(C291,Tab_Def_Flows[Name(EN)],Tab_Def_Flows[Process_ID_I],,0,)</f>
        <v>0</v>
      </c>
      <c r="I291" s="10" t="e">
        <f>_xlfn.XLOOKUP(C291,Tab_Def_Flows[Name(EN)],#REF!,,0,)</f>
        <v>#REF!</v>
      </c>
      <c r="J291" s="18">
        <f>_xlfn.XLOOKUP(C291,Tab_Def_Flows[Name(EN)],Tab_Def_Flows[WC?],,0,)</f>
        <v>0</v>
      </c>
      <c r="K291" s="18">
        <f>_xlfn.XLOOKUP(C291,Tab_Def_Flows[Name(EN)],Tab_Def_Flows[DM?],,0,)</f>
        <v>0</v>
      </c>
      <c r="L291" s="18">
        <f>_xlfn.XLOOKUP(C291,Tab_Def_Flows[Name(EN)],Tab_Def_Flows[CC?],,0,)</f>
        <v>0</v>
      </c>
      <c r="M291" s="12"/>
      <c r="N291" s="12"/>
      <c r="O291" s="50"/>
      <c r="P291" s="12"/>
      <c r="Q291" s="12"/>
      <c r="R291" s="12"/>
      <c r="S291" s="24"/>
      <c r="T291" s="12"/>
      <c r="U291" s="12"/>
      <c r="V291" s="12"/>
      <c r="W291" s="12"/>
      <c r="X291" s="12" t="s">
        <v>8</v>
      </c>
      <c r="Y291" s="43"/>
      <c r="Z291" s="12"/>
      <c r="AA291" s="36">
        <f t="shared" si="10"/>
        <v>0</v>
      </c>
      <c r="AB291" s="12" t="s">
        <v>283</v>
      </c>
      <c r="AC291" s="193">
        <f>INDEX(Tab_Def_Flows[[Flow_ID]:[CC_DM_source]],MATCH(Tab_Data_Flows[[#This Row],[Name(EN)]],Tab_Def_Flows[Name(EN)],0),13)</f>
        <v>0</v>
      </c>
      <c r="AD291" s="10" t="str">
        <f>IF(J291="Yes",AA291*Tab_Data_Flows[[#This Row],[WC_'[%']]],"N.A.")</f>
        <v>N.A.</v>
      </c>
      <c r="AE291" s="10" t="str">
        <f>Tab_Data_Flows[[#This Row],[UoM_Flow_Py]]</f>
        <v>Mg</v>
      </c>
      <c r="AF291" s="193">
        <f>INDEX(Tab_Def_Flows[[Flow_ID]:[CC_DM_source]],MATCH(Tab_Data_Flows[[#This Row],[Name(EN)]],Tab_Def_Flows[Name(EN)],0),15)</f>
        <v>0</v>
      </c>
      <c r="AG291" s="10" t="str">
        <f>IF(K291="Yes",AF291*Tab_Data_Flows[[#This Row],[Flow_Py]],"N.A.")</f>
        <v>N.A.</v>
      </c>
      <c r="AH291" s="10" t="str">
        <f>Tab_Data_Flows[[#This Row],[UoM_Flow_Py]]</f>
        <v>Mg</v>
      </c>
      <c r="AI291" s="193">
        <f>INDEX(Tab_Def_Flows[[Flow_ID]:[CC_DM_source]],MATCH(Tab_Data_Flows[[#This Row],[Name(EN)]],Tab_Def_Flows[Name(EN)],0),17)</f>
        <v>0</v>
      </c>
      <c r="AJ291" s="10" t="str">
        <f>IF(L291="Yes",AI291*Tab_Data_Flows[[#This Row],[Flow_Py]]*Tab_Data_Flows[[#This Row],[DM_'[%']]],"N.A.")</f>
        <v>N.A.</v>
      </c>
      <c r="AK291" s="10" t="str">
        <f>Tab_Data_Flows[[#This Row],[UoM_Flow_Py]]</f>
        <v>Mg</v>
      </c>
    </row>
    <row r="292" spans="1:37" x14ac:dyDescent="0.25">
      <c r="A292" s="17">
        <f t="shared" si="8"/>
        <v>291</v>
      </c>
      <c r="B292" s="10" t="str">
        <f>_xlfn.XLOOKUP(C292,Tab_Def_Flows[Name(EN)],Tab_Def_Flows[Flow_ID],,0,)</f>
        <v>N.A.</v>
      </c>
      <c r="C292" s="12" t="s">
        <v>35</v>
      </c>
      <c r="D292" s="10">
        <f>_xlfn.XLOOKUP(C292,Tab_Def_Flows[Name(EN)],Tab_Def_Flows[Type_Biomass],,0,)</f>
        <v>0</v>
      </c>
      <c r="E292" s="10">
        <f>_xlfn.XLOOKUP(C292,Tab_Def_Flows[Name(EN)],Tab_Def_Flows[Output_Process],,0,)</f>
        <v>0</v>
      </c>
      <c r="F292" s="10">
        <f>_xlfn.XLOOKUP(C292,Tab_Def_Flows[Name(EN)],Tab_Def_Flows[Process_ID_O],,0,)</f>
        <v>0</v>
      </c>
      <c r="G292" s="10">
        <f>_xlfn.XLOOKUP(C292,Tab_Def_Flows[Name(EN)],Tab_Def_Flows[Input_Process],,0,)</f>
        <v>0</v>
      </c>
      <c r="H292" s="18">
        <f>_xlfn.XLOOKUP(C292,Tab_Def_Flows[Name(EN)],Tab_Def_Flows[Process_ID_I],,0,)</f>
        <v>0</v>
      </c>
      <c r="I292" s="10" t="e">
        <f>_xlfn.XLOOKUP(C292,Tab_Def_Flows[Name(EN)],#REF!,,0,)</f>
        <v>#REF!</v>
      </c>
      <c r="J292" s="18">
        <f>_xlfn.XLOOKUP(C292,Tab_Def_Flows[Name(EN)],Tab_Def_Flows[WC?],,0,)</f>
        <v>0</v>
      </c>
      <c r="K292" s="18">
        <f>_xlfn.XLOOKUP(C292,Tab_Def_Flows[Name(EN)],Tab_Def_Flows[DM?],,0,)</f>
        <v>0</v>
      </c>
      <c r="L292" s="18">
        <f>_xlfn.XLOOKUP(C292,Tab_Def_Flows[Name(EN)],Tab_Def_Flows[CC?],,0,)</f>
        <v>0</v>
      </c>
      <c r="M292" s="12"/>
      <c r="N292" s="12"/>
      <c r="O292" s="50"/>
      <c r="P292" s="12"/>
      <c r="Q292" s="12"/>
      <c r="R292" s="12"/>
      <c r="S292" s="24"/>
      <c r="T292" s="12"/>
      <c r="U292" s="12"/>
      <c r="V292" s="12"/>
      <c r="W292" s="12"/>
      <c r="X292" s="12" t="s">
        <v>8</v>
      </c>
      <c r="Y292" s="43"/>
      <c r="Z292" s="12"/>
      <c r="AA292" s="36">
        <f t="shared" si="10"/>
        <v>0</v>
      </c>
      <c r="AB292" s="12" t="s">
        <v>283</v>
      </c>
      <c r="AC292" s="193">
        <f>INDEX(Tab_Def_Flows[[Flow_ID]:[CC_DM_source]],MATCH(Tab_Data_Flows[[#This Row],[Name(EN)]],Tab_Def_Flows[Name(EN)],0),13)</f>
        <v>0</v>
      </c>
      <c r="AD292" s="10" t="str">
        <f>IF(J292="Yes",AA292*Tab_Data_Flows[[#This Row],[WC_'[%']]],"N.A.")</f>
        <v>N.A.</v>
      </c>
      <c r="AE292" s="10" t="str">
        <f>Tab_Data_Flows[[#This Row],[UoM_Flow_Py]]</f>
        <v>Mg</v>
      </c>
      <c r="AF292" s="193">
        <f>INDEX(Tab_Def_Flows[[Flow_ID]:[CC_DM_source]],MATCH(Tab_Data_Flows[[#This Row],[Name(EN)]],Tab_Def_Flows[Name(EN)],0),15)</f>
        <v>0</v>
      </c>
      <c r="AG292" s="10" t="str">
        <f>IF(K292="Yes",AF292*Tab_Data_Flows[[#This Row],[Flow_Py]],"N.A.")</f>
        <v>N.A.</v>
      </c>
      <c r="AH292" s="10" t="str">
        <f>Tab_Data_Flows[[#This Row],[UoM_Flow_Py]]</f>
        <v>Mg</v>
      </c>
      <c r="AI292" s="193">
        <f>INDEX(Tab_Def_Flows[[Flow_ID]:[CC_DM_source]],MATCH(Tab_Data_Flows[[#This Row],[Name(EN)]],Tab_Def_Flows[Name(EN)],0),17)</f>
        <v>0</v>
      </c>
      <c r="AJ292" s="10" t="str">
        <f>IF(L292="Yes",AI292*Tab_Data_Flows[[#This Row],[Flow_Py]]*Tab_Data_Flows[[#This Row],[DM_'[%']]],"N.A.")</f>
        <v>N.A.</v>
      </c>
      <c r="AK292" s="10" t="str">
        <f>Tab_Data_Flows[[#This Row],[UoM_Flow_Py]]</f>
        <v>Mg</v>
      </c>
    </row>
    <row r="293" spans="1:37" x14ac:dyDescent="0.25">
      <c r="A293" s="17">
        <f t="shared" si="8"/>
        <v>292</v>
      </c>
      <c r="B293" s="10" t="str">
        <f>_xlfn.XLOOKUP(C293,Tab_Def_Flows[Name(EN)],Tab_Def_Flows[Flow_ID],,0,)</f>
        <v>N.A.</v>
      </c>
      <c r="C293" s="12" t="s">
        <v>35</v>
      </c>
      <c r="D293" s="10">
        <f>_xlfn.XLOOKUP(C293,Tab_Def_Flows[Name(EN)],Tab_Def_Flows[Type_Biomass],,0,)</f>
        <v>0</v>
      </c>
      <c r="E293" s="10">
        <f>_xlfn.XLOOKUP(C293,Tab_Def_Flows[Name(EN)],Tab_Def_Flows[Output_Process],,0,)</f>
        <v>0</v>
      </c>
      <c r="F293" s="10">
        <f>_xlfn.XLOOKUP(C293,Tab_Def_Flows[Name(EN)],Tab_Def_Flows[Process_ID_O],,0,)</f>
        <v>0</v>
      </c>
      <c r="G293" s="10">
        <f>_xlfn.XLOOKUP(C293,Tab_Def_Flows[Name(EN)],Tab_Def_Flows[Input_Process],,0,)</f>
        <v>0</v>
      </c>
      <c r="H293" s="18">
        <f>_xlfn.XLOOKUP(C293,Tab_Def_Flows[Name(EN)],Tab_Def_Flows[Process_ID_I],,0,)</f>
        <v>0</v>
      </c>
      <c r="I293" s="10" t="e">
        <f>_xlfn.XLOOKUP(C293,Tab_Def_Flows[Name(EN)],#REF!,,0,)</f>
        <v>#REF!</v>
      </c>
      <c r="J293" s="18">
        <f>_xlfn.XLOOKUP(C293,Tab_Def_Flows[Name(EN)],Tab_Def_Flows[WC?],,0,)</f>
        <v>0</v>
      </c>
      <c r="K293" s="18">
        <f>_xlfn.XLOOKUP(C293,Tab_Def_Flows[Name(EN)],Tab_Def_Flows[DM?],,0,)</f>
        <v>0</v>
      </c>
      <c r="L293" s="18">
        <f>_xlfn.XLOOKUP(C293,Tab_Def_Flows[Name(EN)],Tab_Def_Flows[CC?],,0,)</f>
        <v>0</v>
      </c>
      <c r="M293" s="12"/>
      <c r="N293" s="12"/>
      <c r="O293" s="50"/>
      <c r="P293" s="12"/>
      <c r="Q293" s="12"/>
      <c r="R293" s="12"/>
      <c r="S293" s="24"/>
      <c r="T293" s="12"/>
      <c r="U293" s="12"/>
      <c r="V293" s="12"/>
      <c r="W293" s="12"/>
      <c r="X293" s="12" t="s">
        <v>8</v>
      </c>
      <c r="Y293" s="43"/>
      <c r="Z293" s="12"/>
      <c r="AA293" s="36">
        <f t="shared" si="10"/>
        <v>0</v>
      </c>
      <c r="AB293" s="12" t="s">
        <v>283</v>
      </c>
      <c r="AC293" s="193">
        <f>INDEX(Tab_Def_Flows[[Flow_ID]:[CC_DM_source]],MATCH(Tab_Data_Flows[[#This Row],[Name(EN)]],Tab_Def_Flows[Name(EN)],0),13)</f>
        <v>0</v>
      </c>
      <c r="AD293" s="10" t="str">
        <f>IF(J293="Yes",AA293*Tab_Data_Flows[[#This Row],[WC_'[%']]],"N.A.")</f>
        <v>N.A.</v>
      </c>
      <c r="AE293" s="10" t="str">
        <f>Tab_Data_Flows[[#This Row],[UoM_Flow_Py]]</f>
        <v>Mg</v>
      </c>
      <c r="AF293" s="193">
        <f>INDEX(Tab_Def_Flows[[Flow_ID]:[CC_DM_source]],MATCH(Tab_Data_Flows[[#This Row],[Name(EN)]],Tab_Def_Flows[Name(EN)],0),15)</f>
        <v>0</v>
      </c>
      <c r="AG293" s="10" t="str">
        <f>IF(K293="Yes",AF293*Tab_Data_Flows[[#This Row],[Flow_Py]],"N.A.")</f>
        <v>N.A.</v>
      </c>
      <c r="AH293" s="10" t="str">
        <f>Tab_Data_Flows[[#This Row],[UoM_Flow_Py]]</f>
        <v>Mg</v>
      </c>
      <c r="AI293" s="193">
        <f>INDEX(Tab_Def_Flows[[Flow_ID]:[CC_DM_source]],MATCH(Tab_Data_Flows[[#This Row],[Name(EN)]],Tab_Def_Flows[Name(EN)],0),17)</f>
        <v>0</v>
      </c>
      <c r="AJ293" s="10" t="str">
        <f>IF(L293="Yes",AI293*Tab_Data_Flows[[#This Row],[Flow_Py]]*Tab_Data_Flows[[#This Row],[DM_'[%']]],"N.A.")</f>
        <v>N.A.</v>
      </c>
      <c r="AK293" s="10" t="str">
        <f>Tab_Data_Flows[[#This Row],[UoM_Flow_Py]]</f>
        <v>Mg</v>
      </c>
    </row>
    <row r="294" spans="1:37" x14ac:dyDescent="0.25">
      <c r="A294" s="17">
        <f t="shared" si="8"/>
        <v>293</v>
      </c>
      <c r="B294" s="10" t="str">
        <f>_xlfn.XLOOKUP(C294,Tab_Def_Flows[Name(EN)],Tab_Def_Flows[Flow_ID],,0,)</f>
        <v>N.A.</v>
      </c>
      <c r="C294" s="12" t="s">
        <v>35</v>
      </c>
      <c r="D294" s="10">
        <f>_xlfn.XLOOKUP(C294,Tab_Def_Flows[Name(EN)],Tab_Def_Flows[Type_Biomass],,0,)</f>
        <v>0</v>
      </c>
      <c r="E294" s="10">
        <f>_xlfn.XLOOKUP(C294,Tab_Def_Flows[Name(EN)],Tab_Def_Flows[Output_Process],,0,)</f>
        <v>0</v>
      </c>
      <c r="F294" s="10">
        <f>_xlfn.XLOOKUP(C294,Tab_Def_Flows[Name(EN)],Tab_Def_Flows[Process_ID_O],,0,)</f>
        <v>0</v>
      </c>
      <c r="G294" s="10">
        <f>_xlfn.XLOOKUP(C294,Tab_Def_Flows[Name(EN)],Tab_Def_Flows[Input_Process],,0,)</f>
        <v>0</v>
      </c>
      <c r="H294" s="18">
        <f>_xlfn.XLOOKUP(C294,Tab_Def_Flows[Name(EN)],Tab_Def_Flows[Process_ID_I],,0,)</f>
        <v>0</v>
      </c>
      <c r="I294" s="10" t="e">
        <f>_xlfn.XLOOKUP(C294,Tab_Def_Flows[Name(EN)],#REF!,,0,)</f>
        <v>#REF!</v>
      </c>
      <c r="J294" s="18">
        <f>_xlfn.XLOOKUP(C294,Tab_Def_Flows[Name(EN)],Tab_Def_Flows[WC?],,0,)</f>
        <v>0</v>
      </c>
      <c r="K294" s="18">
        <f>_xlfn.XLOOKUP(C294,Tab_Def_Flows[Name(EN)],Tab_Def_Flows[DM?],,0,)</f>
        <v>0</v>
      </c>
      <c r="L294" s="18">
        <f>_xlfn.XLOOKUP(C294,Tab_Def_Flows[Name(EN)],Tab_Def_Flows[CC?],,0,)</f>
        <v>0</v>
      </c>
      <c r="M294" s="12"/>
      <c r="N294" s="12"/>
      <c r="O294" s="50"/>
      <c r="P294" s="12"/>
      <c r="Q294" s="12"/>
      <c r="R294" s="12"/>
      <c r="S294" s="24"/>
      <c r="T294" s="12"/>
      <c r="U294" s="12"/>
      <c r="V294" s="12"/>
      <c r="W294" s="12"/>
      <c r="X294" s="12" t="s">
        <v>8</v>
      </c>
      <c r="Y294" s="43"/>
      <c r="Z294" s="12"/>
      <c r="AA294" s="36">
        <f t="shared" si="10"/>
        <v>0</v>
      </c>
      <c r="AB294" s="12" t="s">
        <v>283</v>
      </c>
      <c r="AC294" s="193">
        <f>INDEX(Tab_Def_Flows[[Flow_ID]:[CC_DM_source]],MATCH(Tab_Data_Flows[[#This Row],[Name(EN)]],Tab_Def_Flows[Name(EN)],0),13)</f>
        <v>0</v>
      </c>
      <c r="AD294" s="10" t="str">
        <f>IF(J294="Yes",AA294*Tab_Data_Flows[[#This Row],[WC_'[%']]],"N.A.")</f>
        <v>N.A.</v>
      </c>
      <c r="AE294" s="10" t="str">
        <f>Tab_Data_Flows[[#This Row],[UoM_Flow_Py]]</f>
        <v>Mg</v>
      </c>
      <c r="AF294" s="193">
        <f>INDEX(Tab_Def_Flows[[Flow_ID]:[CC_DM_source]],MATCH(Tab_Data_Flows[[#This Row],[Name(EN)]],Tab_Def_Flows[Name(EN)],0),15)</f>
        <v>0</v>
      </c>
      <c r="AG294" s="10" t="str">
        <f>IF(K294="Yes",AF294*Tab_Data_Flows[[#This Row],[Flow_Py]],"N.A.")</f>
        <v>N.A.</v>
      </c>
      <c r="AH294" s="10" t="str">
        <f>Tab_Data_Flows[[#This Row],[UoM_Flow_Py]]</f>
        <v>Mg</v>
      </c>
      <c r="AI294" s="193">
        <f>INDEX(Tab_Def_Flows[[Flow_ID]:[CC_DM_source]],MATCH(Tab_Data_Flows[[#This Row],[Name(EN)]],Tab_Def_Flows[Name(EN)],0),17)</f>
        <v>0</v>
      </c>
      <c r="AJ294" s="10" t="str">
        <f>IF(L294="Yes",AI294*Tab_Data_Flows[[#This Row],[Flow_Py]]*Tab_Data_Flows[[#This Row],[DM_'[%']]],"N.A.")</f>
        <v>N.A.</v>
      </c>
      <c r="AK294" s="10" t="str">
        <f>Tab_Data_Flows[[#This Row],[UoM_Flow_Py]]</f>
        <v>Mg</v>
      </c>
    </row>
    <row r="295" spans="1:37" x14ac:dyDescent="0.25">
      <c r="A295" s="17">
        <f t="shared" si="8"/>
        <v>294</v>
      </c>
      <c r="B295" s="10" t="str">
        <f>_xlfn.XLOOKUP(C295,Tab_Def_Flows[Name(EN)],Tab_Def_Flows[Flow_ID],,0,)</f>
        <v>N.A.</v>
      </c>
      <c r="C295" s="12" t="s">
        <v>35</v>
      </c>
      <c r="D295" s="10">
        <f>_xlfn.XLOOKUP(C295,Tab_Def_Flows[Name(EN)],Tab_Def_Flows[Type_Biomass],,0,)</f>
        <v>0</v>
      </c>
      <c r="E295" s="10">
        <f>_xlfn.XLOOKUP(C295,Tab_Def_Flows[Name(EN)],Tab_Def_Flows[Output_Process],,0,)</f>
        <v>0</v>
      </c>
      <c r="F295" s="10">
        <f>_xlfn.XLOOKUP(C295,Tab_Def_Flows[Name(EN)],Tab_Def_Flows[Process_ID_O],,0,)</f>
        <v>0</v>
      </c>
      <c r="G295" s="10">
        <f>_xlfn.XLOOKUP(C295,Tab_Def_Flows[Name(EN)],Tab_Def_Flows[Input_Process],,0,)</f>
        <v>0</v>
      </c>
      <c r="H295" s="18">
        <f>_xlfn.XLOOKUP(C295,Tab_Def_Flows[Name(EN)],Tab_Def_Flows[Process_ID_I],,0,)</f>
        <v>0</v>
      </c>
      <c r="I295" s="10" t="e">
        <f>_xlfn.XLOOKUP(C295,Tab_Def_Flows[Name(EN)],#REF!,,0,)</f>
        <v>#REF!</v>
      </c>
      <c r="J295" s="18">
        <f>_xlfn.XLOOKUP(C295,Tab_Def_Flows[Name(EN)],Tab_Def_Flows[WC?],,0,)</f>
        <v>0</v>
      </c>
      <c r="K295" s="18">
        <f>_xlfn.XLOOKUP(C295,Tab_Def_Flows[Name(EN)],Tab_Def_Flows[DM?],,0,)</f>
        <v>0</v>
      </c>
      <c r="L295" s="18">
        <f>_xlfn.XLOOKUP(C295,Tab_Def_Flows[Name(EN)],Tab_Def_Flows[CC?],,0,)</f>
        <v>0</v>
      </c>
      <c r="M295" s="12"/>
      <c r="N295" s="12"/>
      <c r="O295" s="50"/>
      <c r="P295" s="12"/>
      <c r="Q295" s="12"/>
      <c r="R295" s="12"/>
      <c r="S295" s="24"/>
      <c r="T295" s="12"/>
      <c r="U295" s="12"/>
      <c r="V295" s="12"/>
      <c r="W295" s="12"/>
      <c r="X295" s="12" t="s">
        <v>8</v>
      </c>
      <c r="Y295" s="43"/>
      <c r="Z295" s="12"/>
      <c r="AA295" s="36">
        <f t="shared" si="10"/>
        <v>0</v>
      </c>
      <c r="AB295" s="12" t="s">
        <v>283</v>
      </c>
      <c r="AC295" s="193">
        <f>INDEX(Tab_Def_Flows[[Flow_ID]:[CC_DM_source]],MATCH(Tab_Data_Flows[[#This Row],[Name(EN)]],Tab_Def_Flows[Name(EN)],0),13)</f>
        <v>0</v>
      </c>
      <c r="AD295" s="10" t="str">
        <f>IF(J295="Yes",AA295*Tab_Data_Flows[[#This Row],[WC_'[%']]],"N.A.")</f>
        <v>N.A.</v>
      </c>
      <c r="AE295" s="10" t="str">
        <f>Tab_Data_Flows[[#This Row],[UoM_Flow_Py]]</f>
        <v>Mg</v>
      </c>
      <c r="AF295" s="193">
        <f>INDEX(Tab_Def_Flows[[Flow_ID]:[CC_DM_source]],MATCH(Tab_Data_Flows[[#This Row],[Name(EN)]],Tab_Def_Flows[Name(EN)],0),15)</f>
        <v>0</v>
      </c>
      <c r="AG295" s="10" t="str">
        <f>IF(K295="Yes",AF295*Tab_Data_Flows[[#This Row],[Flow_Py]],"N.A.")</f>
        <v>N.A.</v>
      </c>
      <c r="AH295" s="10" t="str">
        <f>Tab_Data_Flows[[#This Row],[UoM_Flow_Py]]</f>
        <v>Mg</v>
      </c>
      <c r="AI295" s="193">
        <f>INDEX(Tab_Def_Flows[[Flow_ID]:[CC_DM_source]],MATCH(Tab_Data_Flows[[#This Row],[Name(EN)]],Tab_Def_Flows[Name(EN)],0),17)</f>
        <v>0</v>
      </c>
      <c r="AJ295" s="10" t="str">
        <f>IF(L295="Yes",AI295*Tab_Data_Flows[[#This Row],[Flow_Py]]*Tab_Data_Flows[[#This Row],[DM_'[%']]],"N.A.")</f>
        <v>N.A.</v>
      </c>
      <c r="AK295" s="10" t="str">
        <f>Tab_Data_Flows[[#This Row],[UoM_Flow_Py]]</f>
        <v>Mg</v>
      </c>
    </row>
    <row r="296" spans="1:37" x14ac:dyDescent="0.25">
      <c r="A296" s="17">
        <f t="shared" si="8"/>
        <v>295</v>
      </c>
      <c r="B296" s="10" t="str">
        <f>_xlfn.XLOOKUP(C296,Tab_Def_Flows[Name(EN)],Tab_Def_Flows[Flow_ID],,0,)</f>
        <v>N.A.</v>
      </c>
      <c r="C296" s="12" t="s">
        <v>35</v>
      </c>
      <c r="D296" s="10">
        <f>_xlfn.XLOOKUP(C296,Tab_Def_Flows[Name(EN)],Tab_Def_Flows[Type_Biomass],,0,)</f>
        <v>0</v>
      </c>
      <c r="E296" s="10">
        <f>_xlfn.XLOOKUP(C296,Tab_Def_Flows[Name(EN)],Tab_Def_Flows[Output_Process],,0,)</f>
        <v>0</v>
      </c>
      <c r="F296" s="10">
        <f>_xlfn.XLOOKUP(C296,Tab_Def_Flows[Name(EN)],Tab_Def_Flows[Process_ID_O],,0,)</f>
        <v>0</v>
      </c>
      <c r="G296" s="10">
        <f>_xlfn.XLOOKUP(C296,Tab_Def_Flows[Name(EN)],Tab_Def_Flows[Input_Process],,0,)</f>
        <v>0</v>
      </c>
      <c r="H296" s="18">
        <f>_xlfn.XLOOKUP(C296,Tab_Def_Flows[Name(EN)],Tab_Def_Flows[Process_ID_I],,0,)</f>
        <v>0</v>
      </c>
      <c r="I296" s="10" t="e">
        <f>_xlfn.XLOOKUP(C296,Tab_Def_Flows[Name(EN)],#REF!,,0,)</f>
        <v>#REF!</v>
      </c>
      <c r="J296" s="18">
        <f>_xlfn.XLOOKUP(C296,Tab_Def_Flows[Name(EN)],Tab_Def_Flows[WC?],,0,)</f>
        <v>0</v>
      </c>
      <c r="K296" s="18">
        <f>_xlfn.XLOOKUP(C296,Tab_Def_Flows[Name(EN)],Tab_Def_Flows[DM?],,0,)</f>
        <v>0</v>
      </c>
      <c r="L296" s="18">
        <f>_xlfn.XLOOKUP(C296,Tab_Def_Flows[Name(EN)],Tab_Def_Flows[CC?],,0,)</f>
        <v>0</v>
      </c>
      <c r="M296" s="12"/>
      <c r="N296" s="12"/>
      <c r="O296" s="50"/>
      <c r="P296" s="12"/>
      <c r="Q296" s="12"/>
      <c r="R296" s="12"/>
      <c r="S296" s="24"/>
      <c r="T296" s="12"/>
      <c r="U296" s="12"/>
      <c r="V296" s="12"/>
      <c r="W296" s="12"/>
      <c r="X296" s="12" t="s">
        <v>8</v>
      </c>
      <c r="Y296" s="43"/>
      <c r="Z296" s="12"/>
      <c r="AA296" s="36">
        <f t="shared" si="10"/>
        <v>0</v>
      </c>
      <c r="AB296" s="12" t="s">
        <v>283</v>
      </c>
      <c r="AC296" s="193">
        <f>INDEX(Tab_Def_Flows[[Flow_ID]:[CC_DM_source]],MATCH(Tab_Data_Flows[[#This Row],[Name(EN)]],Tab_Def_Flows[Name(EN)],0),13)</f>
        <v>0</v>
      </c>
      <c r="AD296" s="10" t="str">
        <f>IF(J296="Yes",AA296*Tab_Data_Flows[[#This Row],[WC_'[%']]],"N.A.")</f>
        <v>N.A.</v>
      </c>
      <c r="AE296" s="10" t="str">
        <f>Tab_Data_Flows[[#This Row],[UoM_Flow_Py]]</f>
        <v>Mg</v>
      </c>
      <c r="AF296" s="193">
        <f>INDEX(Tab_Def_Flows[[Flow_ID]:[CC_DM_source]],MATCH(Tab_Data_Flows[[#This Row],[Name(EN)]],Tab_Def_Flows[Name(EN)],0),15)</f>
        <v>0</v>
      </c>
      <c r="AG296" s="10" t="str">
        <f>IF(K296="Yes",AF296*Tab_Data_Flows[[#This Row],[Flow_Py]],"N.A.")</f>
        <v>N.A.</v>
      </c>
      <c r="AH296" s="10" t="str">
        <f>Tab_Data_Flows[[#This Row],[UoM_Flow_Py]]</f>
        <v>Mg</v>
      </c>
      <c r="AI296" s="193">
        <f>INDEX(Tab_Def_Flows[[Flow_ID]:[CC_DM_source]],MATCH(Tab_Data_Flows[[#This Row],[Name(EN)]],Tab_Def_Flows[Name(EN)],0),17)</f>
        <v>0</v>
      </c>
      <c r="AJ296" s="10" t="str">
        <f>IF(L296="Yes",AI296*Tab_Data_Flows[[#This Row],[Flow_Py]]*Tab_Data_Flows[[#This Row],[DM_'[%']]],"N.A.")</f>
        <v>N.A.</v>
      </c>
      <c r="AK296" s="10" t="str">
        <f>Tab_Data_Flows[[#This Row],[UoM_Flow_Py]]</f>
        <v>Mg</v>
      </c>
    </row>
    <row r="297" spans="1:37" x14ac:dyDescent="0.25">
      <c r="A297" s="17">
        <f t="shared" si="8"/>
        <v>296</v>
      </c>
      <c r="B297" s="10" t="str">
        <f>_xlfn.XLOOKUP(C297,Tab_Def_Flows[Name(EN)],Tab_Def_Flows[Flow_ID],,0,)</f>
        <v>N.A.</v>
      </c>
      <c r="C297" s="12" t="s">
        <v>35</v>
      </c>
      <c r="D297" s="10">
        <f>_xlfn.XLOOKUP(C297,Tab_Def_Flows[Name(EN)],Tab_Def_Flows[Type_Biomass],,0,)</f>
        <v>0</v>
      </c>
      <c r="E297" s="10">
        <f>_xlfn.XLOOKUP(C297,Tab_Def_Flows[Name(EN)],Tab_Def_Flows[Output_Process],,0,)</f>
        <v>0</v>
      </c>
      <c r="F297" s="10">
        <f>_xlfn.XLOOKUP(C297,Tab_Def_Flows[Name(EN)],Tab_Def_Flows[Process_ID_O],,0,)</f>
        <v>0</v>
      </c>
      <c r="G297" s="10">
        <f>_xlfn.XLOOKUP(C297,Tab_Def_Flows[Name(EN)],Tab_Def_Flows[Input_Process],,0,)</f>
        <v>0</v>
      </c>
      <c r="H297" s="18">
        <f>_xlfn.XLOOKUP(C297,Tab_Def_Flows[Name(EN)],Tab_Def_Flows[Process_ID_I],,0,)</f>
        <v>0</v>
      </c>
      <c r="I297" s="10" t="e">
        <f>_xlfn.XLOOKUP(C297,Tab_Def_Flows[Name(EN)],#REF!,,0,)</f>
        <v>#REF!</v>
      </c>
      <c r="J297" s="18">
        <f>_xlfn.XLOOKUP(C297,Tab_Def_Flows[Name(EN)],Tab_Def_Flows[WC?],,0,)</f>
        <v>0</v>
      </c>
      <c r="K297" s="18">
        <f>_xlfn.XLOOKUP(C297,Tab_Def_Flows[Name(EN)],Tab_Def_Flows[DM?],,0,)</f>
        <v>0</v>
      </c>
      <c r="L297" s="18">
        <f>_xlfn.XLOOKUP(C297,Tab_Def_Flows[Name(EN)],Tab_Def_Flows[CC?],,0,)</f>
        <v>0</v>
      </c>
      <c r="M297" s="12"/>
      <c r="N297" s="12"/>
      <c r="O297" s="50"/>
      <c r="P297" s="12"/>
      <c r="Q297" s="12"/>
      <c r="R297" s="12"/>
      <c r="S297" s="24"/>
      <c r="T297" s="12"/>
      <c r="U297" s="12"/>
      <c r="V297" s="12"/>
      <c r="W297" s="12"/>
      <c r="X297" s="12" t="s">
        <v>8</v>
      </c>
      <c r="Y297" s="43"/>
      <c r="Z297" s="12"/>
      <c r="AA297" s="36">
        <f t="shared" si="10"/>
        <v>0</v>
      </c>
      <c r="AB297" s="12" t="s">
        <v>283</v>
      </c>
      <c r="AC297" s="193">
        <f>INDEX(Tab_Def_Flows[[Flow_ID]:[CC_DM_source]],MATCH(Tab_Data_Flows[[#This Row],[Name(EN)]],Tab_Def_Flows[Name(EN)],0),13)</f>
        <v>0</v>
      </c>
      <c r="AD297" s="10" t="str">
        <f>IF(J297="Yes",AA297*Tab_Data_Flows[[#This Row],[WC_'[%']]],"N.A.")</f>
        <v>N.A.</v>
      </c>
      <c r="AE297" s="10" t="str">
        <f>Tab_Data_Flows[[#This Row],[UoM_Flow_Py]]</f>
        <v>Mg</v>
      </c>
      <c r="AF297" s="193">
        <f>INDEX(Tab_Def_Flows[[Flow_ID]:[CC_DM_source]],MATCH(Tab_Data_Flows[[#This Row],[Name(EN)]],Tab_Def_Flows[Name(EN)],0),15)</f>
        <v>0</v>
      </c>
      <c r="AG297" s="10" t="str">
        <f>IF(K297="Yes",AF297*Tab_Data_Flows[[#This Row],[Flow_Py]],"N.A.")</f>
        <v>N.A.</v>
      </c>
      <c r="AH297" s="10" t="str">
        <f>Tab_Data_Flows[[#This Row],[UoM_Flow_Py]]</f>
        <v>Mg</v>
      </c>
      <c r="AI297" s="193">
        <f>INDEX(Tab_Def_Flows[[Flow_ID]:[CC_DM_source]],MATCH(Tab_Data_Flows[[#This Row],[Name(EN)]],Tab_Def_Flows[Name(EN)],0),17)</f>
        <v>0</v>
      </c>
      <c r="AJ297" s="10" t="str">
        <f>IF(L297="Yes",AI297*Tab_Data_Flows[[#This Row],[Flow_Py]]*Tab_Data_Flows[[#This Row],[DM_'[%']]],"N.A.")</f>
        <v>N.A.</v>
      </c>
      <c r="AK297" s="10" t="str">
        <f>Tab_Data_Flows[[#This Row],[UoM_Flow_Py]]</f>
        <v>Mg</v>
      </c>
    </row>
    <row r="298" spans="1:37" x14ac:dyDescent="0.25">
      <c r="A298" s="17">
        <f t="shared" si="8"/>
        <v>297</v>
      </c>
      <c r="B298" s="10" t="str">
        <f>_xlfn.XLOOKUP(C298,Tab_Def_Flows[Name(EN)],Tab_Def_Flows[Flow_ID],,0,)</f>
        <v>N.A.</v>
      </c>
      <c r="C298" s="12" t="s">
        <v>35</v>
      </c>
      <c r="D298" s="10">
        <f>_xlfn.XLOOKUP(C298,Tab_Def_Flows[Name(EN)],Tab_Def_Flows[Type_Biomass],,0,)</f>
        <v>0</v>
      </c>
      <c r="E298" s="10">
        <f>_xlfn.XLOOKUP(C298,Tab_Def_Flows[Name(EN)],Tab_Def_Flows[Output_Process],,0,)</f>
        <v>0</v>
      </c>
      <c r="F298" s="10">
        <f>_xlfn.XLOOKUP(C298,Tab_Def_Flows[Name(EN)],Tab_Def_Flows[Process_ID_O],,0,)</f>
        <v>0</v>
      </c>
      <c r="G298" s="10">
        <f>_xlfn.XLOOKUP(C298,Tab_Def_Flows[Name(EN)],Tab_Def_Flows[Input_Process],,0,)</f>
        <v>0</v>
      </c>
      <c r="H298" s="18">
        <f>_xlfn.XLOOKUP(C298,Tab_Def_Flows[Name(EN)],Tab_Def_Flows[Process_ID_I],,0,)</f>
        <v>0</v>
      </c>
      <c r="I298" s="10" t="e">
        <f>_xlfn.XLOOKUP(C298,Tab_Def_Flows[Name(EN)],#REF!,,0,)</f>
        <v>#REF!</v>
      </c>
      <c r="J298" s="18">
        <f>_xlfn.XLOOKUP(C298,Tab_Def_Flows[Name(EN)],Tab_Def_Flows[WC?],,0,)</f>
        <v>0</v>
      </c>
      <c r="K298" s="18">
        <f>_xlfn.XLOOKUP(C298,Tab_Def_Flows[Name(EN)],Tab_Def_Flows[DM?],,0,)</f>
        <v>0</v>
      </c>
      <c r="L298" s="18">
        <f>_xlfn.XLOOKUP(C298,Tab_Def_Flows[Name(EN)],Tab_Def_Flows[CC?],,0,)</f>
        <v>0</v>
      </c>
      <c r="M298" s="12"/>
      <c r="N298" s="12"/>
      <c r="O298" s="50"/>
      <c r="P298" s="12"/>
      <c r="Q298" s="12"/>
      <c r="R298" s="12"/>
      <c r="S298" s="24"/>
      <c r="T298" s="12"/>
      <c r="U298" s="12"/>
      <c r="V298" s="12"/>
      <c r="W298" s="12"/>
      <c r="X298" s="12" t="s">
        <v>8</v>
      </c>
      <c r="Y298" s="43"/>
      <c r="Z298" s="12"/>
      <c r="AA298" s="36">
        <f t="shared" si="10"/>
        <v>0</v>
      </c>
      <c r="AB298" s="12" t="s">
        <v>283</v>
      </c>
      <c r="AC298" s="193">
        <f>INDEX(Tab_Def_Flows[[Flow_ID]:[CC_DM_source]],MATCH(Tab_Data_Flows[[#This Row],[Name(EN)]],Tab_Def_Flows[Name(EN)],0),13)</f>
        <v>0</v>
      </c>
      <c r="AD298" s="10" t="str">
        <f>IF(J298="Yes",AA298*Tab_Data_Flows[[#This Row],[WC_'[%']]],"N.A.")</f>
        <v>N.A.</v>
      </c>
      <c r="AE298" s="10" t="str">
        <f>Tab_Data_Flows[[#This Row],[UoM_Flow_Py]]</f>
        <v>Mg</v>
      </c>
      <c r="AF298" s="193">
        <f>INDEX(Tab_Def_Flows[[Flow_ID]:[CC_DM_source]],MATCH(Tab_Data_Flows[[#This Row],[Name(EN)]],Tab_Def_Flows[Name(EN)],0),15)</f>
        <v>0</v>
      </c>
      <c r="AG298" s="10" t="str">
        <f>IF(K298="Yes",AF298*Tab_Data_Flows[[#This Row],[Flow_Py]],"N.A.")</f>
        <v>N.A.</v>
      </c>
      <c r="AH298" s="10" t="str">
        <f>Tab_Data_Flows[[#This Row],[UoM_Flow_Py]]</f>
        <v>Mg</v>
      </c>
      <c r="AI298" s="193">
        <f>INDEX(Tab_Def_Flows[[Flow_ID]:[CC_DM_source]],MATCH(Tab_Data_Flows[[#This Row],[Name(EN)]],Tab_Def_Flows[Name(EN)],0),17)</f>
        <v>0</v>
      </c>
      <c r="AJ298" s="10" t="str">
        <f>IF(L298="Yes",AI298*Tab_Data_Flows[[#This Row],[Flow_Py]]*Tab_Data_Flows[[#This Row],[DM_'[%']]],"N.A.")</f>
        <v>N.A.</v>
      </c>
      <c r="AK298" s="10" t="str">
        <f>Tab_Data_Flows[[#This Row],[UoM_Flow_Py]]</f>
        <v>Mg</v>
      </c>
    </row>
    <row r="299" spans="1:37" x14ac:dyDescent="0.25">
      <c r="A299" s="17">
        <f t="shared" si="8"/>
        <v>298</v>
      </c>
      <c r="B299" s="10" t="str">
        <f>_xlfn.XLOOKUP(C299,Tab_Def_Flows[Name(EN)],Tab_Def_Flows[Flow_ID],,0,)</f>
        <v>N.A.</v>
      </c>
      <c r="C299" s="12" t="s">
        <v>35</v>
      </c>
      <c r="D299" s="10">
        <f>_xlfn.XLOOKUP(C299,Tab_Def_Flows[Name(EN)],Tab_Def_Flows[Type_Biomass],,0,)</f>
        <v>0</v>
      </c>
      <c r="E299" s="10">
        <f>_xlfn.XLOOKUP(C299,Tab_Def_Flows[Name(EN)],Tab_Def_Flows[Output_Process],,0,)</f>
        <v>0</v>
      </c>
      <c r="F299" s="10">
        <f>_xlfn.XLOOKUP(C299,Tab_Def_Flows[Name(EN)],Tab_Def_Flows[Process_ID_O],,0,)</f>
        <v>0</v>
      </c>
      <c r="G299" s="10">
        <f>_xlfn.XLOOKUP(C299,Tab_Def_Flows[Name(EN)],Tab_Def_Flows[Input_Process],,0,)</f>
        <v>0</v>
      </c>
      <c r="H299" s="18">
        <f>_xlfn.XLOOKUP(C299,Tab_Def_Flows[Name(EN)],Tab_Def_Flows[Process_ID_I],,0,)</f>
        <v>0</v>
      </c>
      <c r="I299" s="10" t="e">
        <f>_xlfn.XLOOKUP(C299,Tab_Def_Flows[Name(EN)],#REF!,,0,)</f>
        <v>#REF!</v>
      </c>
      <c r="J299" s="18">
        <f>_xlfn.XLOOKUP(C299,Tab_Def_Flows[Name(EN)],Tab_Def_Flows[WC?],,0,)</f>
        <v>0</v>
      </c>
      <c r="K299" s="18">
        <f>_xlfn.XLOOKUP(C299,Tab_Def_Flows[Name(EN)],Tab_Def_Flows[DM?],,0,)</f>
        <v>0</v>
      </c>
      <c r="L299" s="18">
        <f>_xlfn.XLOOKUP(C299,Tab_Def_Flows[Name(EN)],Tab_Def_Flows[CC?],,0,)</f>
        <v>0</v>
      </c>
      <c r="M299" s="12"/>
      <c r="N299" s="12"/>
      <c r="O299" s="50"/>
      <c r="P299" s="12"/>
      <c r="Q299" s="12"/>
      <c r="R299" s="12"/>
      <c r="S299" s="24"/>
      <c r="T299" s="12"/>
      <c r="U299" s="12"/>
      <c r="V299" s="12"/>
      <c r="W299" s="12"/>
      <c r="X299" s="12" t="s">
        <v>8</v>
      </c>
      <c r="Y299" s="43"/>
      <c r="Z299" s="12"/>
      <c r="AA299" s="36">
        <f t="shared" si="10"/>
        <v>0</v>
      </c>
      <c r="AB299" s="12" t="s">
        <v>283</v>
      </c>
      <c r="AC299" s="193">
        <f>INDEX(Tab_Def_Flows[[Flow_ID]:[CC_DM_source]],MATCH(Tab_Data_Flows[[#This Row],[Name(EN)]],Tab_Def_Flows[Name(EN)],0),13)</f>
        <v>0</v>
      </c>
      <c r="AD299" s="10" t="str">
        <f>IF(J299="Yes",AA299*Tab_Data_Flows[[#This Row],[WC_'[%']]],"N.A.")</f>
        <v>N.A.</v>
      </c>
      <c r="AE299" s="10" t="str">
        <f>Tab_Data_Flows[[#This Row],[UoM_Flow_Py]]</f>
        <v>Mg</v>
      </c>
      <c r="AF299" s="193">
        <f>INDEX(Tab_Def_Flows[[Flow_ID]:[CC_DM_source]],MATCH(Tab_Data_Flows[[#This Row],[Name(EN)]],Tab_Def_Flows[Name(EN)],0),15)</f>
        <v>0</v>
      </c>
      <c r="AG299" s="10" t="str">
        <f>IF(K299="Yes",AF299*Tab_Data_Flows[[#This Row],[Flow_Py]],"N.A.")</f>
        <v>N.A.</v>
      </c>
      <c r="AH299" s="10" t="str">
        <f>Tab_Data_Flows[[#This Row],[UoM_Flow_Py]]</f>
        <v>Mg</v>
      </c>
      <c r="AI299" s="193">
        <f>INDEX(Tab_Def_Flows[[Flow_ID]:[CC_DM_source]],MATCH(Tab_Data_Flows[[#This Row],[Name(EN)]],Tab_Def_Flows[Name(EN)],0),17)</f>
        <v>0</v>
      </c>
      <c r="AJ299" s="10" t="str">
        <f>IF(L299="Yes",AI299*Tab_Data_Flows[[#This Row],[Flow_Py]]*Tab_Data_Flows[[#This Row],[DM_'[%']]],"N.A.")</f>
        <v>N.A.</v>
      </c>
      <c r="AK299" s="10" t="str">
        <f>Tab_Data_Flows[[#This Row],[UoM_Flow_Py]]</f>
        <v>Mg</v>
      </c>
    </row>
    <row r="300" spans="1:37" x14ac:dyDescent="0.25">
      <c r="A300" s="17">
        <f t="shared" si="8"/>
        <v>299</v>
      </c>
      <c r="B300" s="10" t="str">
        <f>_xlfn.XLOOKUP(C300,Tab_Def_Flows[Name(EN)],Tab_Def_Flows[Flow_ID],,0,)</f>
        <v>N.A.</v>
      </c>
      <c r="C300" s="12" t="s">
        <v>35</v>
      </c>
      <c r="D300" s="10">
        <f>_xlfn.XLOOKUP(C300,Tab_Def_Flows[Name(EN)],Tab_Def_Flows[Type_Biomass],,0,)</f>
        <v>0</v>
      </c>
      <c r="E300" s="10">
        <f>_xlfn.XLOOKUP(C300,Tab_Def_Flows[Name(EN)],Tab_Def_Flows[Output_Process],,0,)</f>
        <v>0</v>
      </c>
      <c r="F300" s="10">
        <f>_xlfn.XLOOKUP(C300,Tab_Def_Flows[Name(EN)],Tab_Def_Flows[Process_ID_O],,0,)</f>
        <v>0</v>
      </c>
      <c r="G300" s="10">
        <f>_xlfn.XLOOKUP(C300,Tab_Def_Flows[Name(EN)],Tab_Def_Flows[Input_Process],,0,)</f>
        <v>0</v>
      </c>
      <c r="H300" s="18">
        <f>_xlfn.XLOOKUP(C300,Tab_Def_Flows[Name(EN)],Tab_Def_Flows[Process_ID_I],,0,)</f>
        <v>0</v>
      </c>
      <c r="I300" s="10" t="e">
        <f>_xlfn.XLOOKUP(C300,Tab_Def_Flows[Name(EN)],#REF!,,0,)</f>
        <v>#REF!</v>
      </c>
      <c r="J300" s="18">
        <f>_xlfn.XLOOKUP(C300,Tab_Def_Flows[Name(EN)],Tab_Def_Flows[WC?],,0,)</f>
        <v>0</v>
      </c>
      <c r="K300" s="18">
        <f>_xlfn.XLOOKUP(C300,Tab_Def_Flows[Name(EN)],Tab_Def_Flows[DM?],,0,)</f>
        <v>0</v>
      </c>
      <c r="L300" s="18">
        <f>_xlfn.XLOOKUP(C300,Tab_Def_Flows[Name(EN)],Tab_Def_Flows[CC?],,0,)</f>
        <v>0</v>
      </c>
      <c r="M300" s="12"/>
      <c r="N300" s="12"/>
      <c r="O300" s="50"/>
      <c r="P300" s="12"/>
      <c r="Q300" s="12"/>
      <c r="R300" s="12"/>
      <c r="S300" s="24"/>
      <c r="T300" s="12"/>
      <c r="U300" s="12"/>
      <c r="V300" s="12"/>
      <c r="W300" s="12"/>
      <c r="X300" s="12" t="s">
        <v>8</v>
      </c>
      <c r="Y300" s="43"/>
      <c r="Z300" s="12"/>
      <c r="AA300" s="36">
        <f t="shared" si="10"/>
        <v>0</v>
      </c>
      <c r="AB300" s="12" t="s">
        <v>283</v>
      </c>
      <c r="AC300" s="193">
        <f>INDEX(Tab_Def_Flows[[Flow_ID]:[CC_DM_source]],MATCH(Tab_Data_Flows[[#This Row],[Name(EN)]],Tab_Def_Flows[Name(EN)],0),13)</f>
        <v>0</v>
      </c>
      <c r="AD300" s="10" t="str">
        <f>IF(J300="Yes",AA300*Tab_Data_Flows[[#This Row],[WC_'[%']]],"N.A.")</f>
        <v>N.A.</v>
      </c>
      <c r="AE300" s="10" t="str">
        <f>Tab_Data_Flows[[#This Row],[UoM_Flow_Py]]</f>
        <v>Mg</v>
      </c>
      <c r="AF300" s="193">
        <f>INDEX(Tab_Def_Flows[[Flow_ID]:[CC_DM_source]],MATCH(Tab_Data_Flows[[#This Row],[Name(EN)]],Tab_Def_Flows[Name(EN)],0),15)</f>
        <v>0</v>
      </c>
      <c r="AG300" s="10" t="str">
        <f>IF(K300="Yes",AF300*Tab_Data_Flows[[#This Row],[Flow_Py]],"N.A.")</f>
        <v>N.A.</v>
      </c>
      <c r="AH300" s="10" t="str">
        <f>Tab_Data_Flows[[#This Row],[UoM_Flow_Py]]</f>
        <v>Mg</v>
      </c>
      <c r="AI300" s="193">
        <f>INDEX(Tab_Def_Flows[[Flow_ID]:[CC_DM_source]],MATCH(Tab_Data_Flows[[#This Row],[Name(EN)]],Tab_Def_Flows[Name(EN)],0),17)</f>
        <v>0</v>
      </c>
      <c r="AJ300" s="10" t="str">
        <f>IF(L300="Yes",AI300*Tab_Data_Flows[[#This Row],[Flow_Py]]*Tab_Data_Flows[[#This Row],[DM_'[%']]],"N.A.")</f>
        <v>N.A.</v>
      </c>
      <c r="AK300" s="10" t="str">
        <f>Tab_Data_Flows[[#This Row],[UoM_Flow_Py]]</f>
        <v>Mg</v>
      </c>
    </row>
    <row r="301" spans="1:37" x14ac:dyDescent="0.25">
      <c r="A301" s="17">
        <f t="shared" si="8"/>
        <v>300</v>
      </c>
      <c r="B301" s="10" t="str">
        <f>_xlfn.XLOOKUP(C301,Tab_Def_Flows[Name(EN)],Tab_Def_Flows[Flow_ID],,0,)</f>
        <v>N.A.</v>
      </c>
      <c r="C301" s="12" t="s">
        <v>35</v>
      </c>
      <c r="D301" s="10">
        <f>_xlfn.XLOOKUP(C301,Tab_Def_Flows[Name(EN)],Tab_Def_Flows[Type_Biomass],,0,)</f>
        <v>0</v>
      </c>
      <c r="E301" s="10">
        <f>_xlfn.XLOOKUP(C301,Tab_Def_Flows[Name(EN)],Tab_Def_Flows[Output_Process],,0,)</f>
        <v>0</v>
      </c>
      <c r="F301" s="10">
        <f>_xlfn.XLOOKUP(C301,Tab_Def_Flows[Name(EN)],Tab_Def_Flows[Process_ID_O],,0,)</f>
        <v>0</v>
      </c>
      <c r="G301" s="10">
        <f>_xlfn.XLOOKUP(C301,Tab_Def_Flows[Name(EN)],Tab_Def_Flows[Input_Process],,0,)</f>
        <v>0</v>
      </c>
      <c r="H301" s="18">
        <f>_xlfn.XLOOKUP(C301,Tab_Def_Flows[Name(EN)],Tab_Def_Flows[Process_ID_I],,0,)</f>
        <v>0</v>
      </c>
      <c r="I301" s="10" t="e">
        <f>_xlfn.XLOOKUP(C301,Tab_Def_Flows[Name(EN)],#REF!,,0,)</f>
        <v>#REF!</v>
      </c>
      <c r="J301" s="18">
        <f>_xlfn.XLOOKUP(C301,Tab_Def_Flows[Name(EN)],Tab_Def_Flows[WC?],,0,)</f>
        <v>0</v>
      </c>
      <c r="K301" s="18">
        <f>_xlfn.XLOOKUP(C301,Tab_Def_Flows[Name(EN)],Tab_Def_Flows[DM?],,0,)</f>
        <v>0</v>
      </c>
      <c r="L301" s="18">
        <f>_xlfn.XLOOKUP(C301,Tab_Def_Flows[Name(EN)],Tab_Def_Flows[CC?],,0,)</f>
        <v>0</v>
      </c>
      <c r="M301" s="12"/>
      <c r="N301" s="12"/>
      <c r="O301" s="50"/>
      <c r="P301" s="12"/>
      <c r="Q301" s="12"/>
      <c r="R301" s="12"/>
      <c r="S301" s="24"/>
      <c r="T301" s="12"/>
      <c r="U301" s="12"/>
      <c r="V301" s="12"/>
      <c r="W301" s="12"/>
      <c r="X301" s="12" t="s">
        <v>8</v>
      </c>
      <c r="Y301" s="43"/>
      <c r="Z301" s="12"/>
      <c r="AA301" s="36">
        <f t="shared" si="10"/>
        <v>0</v>
      </c>
      <c r="AB301" s="12" t="s">
        <v>283</v>
      </c>
      <c r="AC301" s="193">
        <f>INDEX(Tab_Def_Flows[[Flow_ID]:[CC_DM_source]],MATCH(Tab_Data_Flows[[#This Row],[Name(EN)]],Tab_Def_Flows[Name(EN)],0),13)</f>
        <v>0</v>
      </c>
      <c r="AD301" s="10" t="str">
        <f>IF(J301="Yes",AA301*Tab_Data_Flows[[#This Row],[WC_'[%']]],"N.A.")</f>
        <v>N.A.</v>
      </c>
      <c r="AE301" s="10" t="str">
        <f>Tab_Data_Flows[[#This Row],[UoM_Flow_Py]]</f>
        <v>Mg</v>
      </c>
      <c r="AF301" s="193">
        <f>INDEX(Tab_Def_Flows[[Flow_ID]:[CC_DM_source]],MATCH(Tab_Data_Flows[[#This Row],[Name(EN)]],Tab_Def_Flows[Name(EN)],0),15)</f>
        <v>0</v>
      </c>
      <c r="AG301" s="10" t="str">
        <f>IF(K301="Yes",AF301*Tab_Data_Flows[[#This Row],[Flow_Py]],"N.A.")</f>
        <v>N.A.</v>
      </c>
      <c r="AH301" s="10" t="str">
        <f>Tab_Data_Flows[[#This Row],[UoM_Flow_Py]]</f>
        <v>Mg</v>
      </c>
      <c r="AI301" s="193">
        <f>INDEX(Tab_Def_Flows[[Flow_ID]:[CC_DM_source]],MATCH(Tab_Data_Flows[[#This Row],[Name(EN)]],Tab_Def_Flows[Name(EN)],0),17)</f>
        <v>0</v>
      </c>
      <c r="AJ301" s="10" t="str">
        <f>IF(L301="Yes",AI301*Tab_Data_Flows[[#This Row],[Flow_Py]]*Tab_Data_Flows[[#This Row],[DM_'[%']]],"N.A.")</f>
        <v>N.A.</v>
      </c>
      <c r="AK301" s="10" t="str">
        <f>Tab_Data_Flows[[#This Row],[UoM_Flow_Py]]</f>
        <v>Mg</v>
      </c>
    </row>
    <row r="302" spans="1:37" x14ac:dyDescent="0.25">
      <c r="A302" s="17">
        <f t="shared" si="8"/>
        <v>301</v>
      </c>
      <c r="B302" s="10" t="str">
        <f>_xlfn.XLOOKUP(C302,Tab_Def_Flows[Name(EN)],Tab_Def_Flows[Flow_ID],,0,)</f>
        <v>N.A.</v>
      </c>
      <c r="C302" s="12" t="s">
        <v>35</v>
      </c>
      <c r="D302" s="10">
        <f>_xlfn.XLOOKUP(C302,Tab_Def_Flows[Name(EN)],Tab_Def_Flows[Type_Biomass],,0,)</f>
        <v>0</v>
      </c>
      <c r="E302" s="10">
        <f>_xlfn.XLOOKUP(C302,Tab_Def_Flows[Name(EN)],Tab_Def_Flows[Output_Process],,0,)</f>
        <v>0</v>
      </c>
      <c r="F302" s="10">
        <f>_xlfn.XLOOKUP(C302,Tab_Def_Flows[Name(EN)],Tab_Def_Flows[Process_ID_O],,0,)</f>
        <v>0</v>
      </c>
      <c r="G302" s="10">
        <f>_xlfn.XLOOKUP(C302,Tab_Def_Flows[Name(EN)],Tab_Def_Flows[Input_Process],,0,)</f>
        <v>0</v>
      </c>
      <c r="H302" s="18">
        <f>_xlfn.XLOOKUP(C302,Tab_Def_Flows[Name(EN)],Tab_Def_Flows[Process_ID_I],,0,)</f>
        <v>0</v>
      </c>
      <c r="I302" s="10" t="e">
        <f>_xlfn.XLOOKUP(C302,Tab_Def_Flows[Name(EN)],#REF!,,0,)</f>
        <v>#REF!</v>
      </c>
      <c r="J302" s="18">
        <f>_xlfn.XLOOKUP(C302,Tab_Def_Flows[Name(EN)],Tab_Def_Flows[WC?],,0,)</f>
        <v>0</v>
      </c>
      <c r="K302" s="18">
        <f>_xlfn.XLOOKUP(C302,Tab_Def_Flows[Name(EN)],Tab_Def_Flows[DM?],,0,)</f>
        <v>0</v>
      </c>
      <c r="L302" s="18">
        <f>_xlfn.XLOOKUP(C302,Tab_Def_Flows[Name(EN)],Tab_Def_Flows[CC?],,0,)</f>
        <v>0</v>
      </c>
      <c r="M302" s="12"/>
      <c r="N302" s="12"/>
      <c r="O302" s="50"/>
      <c r="P302" s="12"/>
      <c r="Q302" s="12"/>
      <c r="R302" s="12"/>
      <c r="S302" s="24"/>
      <c r="T302" s="12"/>
      <c r="U302" s="12"/>
      <c r="V302" s="12"/>
      <c r="W302" s="12"/>
      <c r="X302" s="12" t="s">
        <v>8</v>
      </c>
      <c r="Y302" s="43"/>
      <c r="Z302" s="12"/>
      <c r="AA302" s="36">
        <f t="shared" si="10"/>
        <v>0</v>
      </c>
      <c r="AB302" s="12" t="s">
        <v>283</v>
      </c>
      <c r="AC302" s="193">
        <f>INDEX(Tab_Def_Flows[[Flow_ID]:[CC_DM_source]],MATCH(Tab_Data_Flows[[#This Row],[Name(EN)]],Tab_Def_Flows[Name(EN)],0),13)</f>
        <v>0</v>
      </c>
      <c r="AD302" s="10" t="str">
        <f>IF(J302="Yes",AA302*Tab_Data_Flows[[#This Row],[WC_'[%']]],"N.A.")</f>
        <v>N.A.</v>
      </c>
      <c r="AE302" s="10" t="str">
        <f>Tab_Data_Flows[[#This Row],[UoM_Flow_Py]]</f>
        <v>Mg</v>
      </c>
      <c r="AF302" s="193">
        <f>INDEX(Tab_Def_Flows[[Flow_ID]:[CC_DM_source]],MATCH(Tab_Data_Flows[[#This Row],[Name(EN)]],Tab_Def_Flows[Name(EN)],0),15)</f>
        <v>0</v>
      </c>
      <c r="AG302" s="10" t="str">
        <f>IF(K302="Yes",AF302*Tab_Data_Flows[[#This Row],[Flow_Py]],"N.A.")</f>
        <v>N.A.</v>
      </c>
      <c r="AH302" s="10" t="str">
        <f>Tab_Data_Flows[[#This Row],[UoM_Flow_Py]]</f>
        <v>Mg</v>
      </c>
      <c r="AI302" s="193">
        <f>INDEX(Tab_Def_Flows[[Flow_ID]:[CC_DM_source]],MATCH(Tab_Data_Flows[[#This Row],[Name(EN)]],Tab_Def_Flows[Name(EN)],0),17)</f>
        <v>0</v>
      </c>
      <c r="AJ302" s="10" t="str">
        <f>IF(L302="Yes",AI302*Tab_Data_Flows[[#This Row],[Flow_Py]]*Tab_Data_Flows[[#This Row],[DM_'[%']]],"N.A.")</f>
        <v>N.A.</v>
      </c>
      <c r="AK302" s="10" t="str">
        <f>Tab_Data_Flows[[#This Row],[UoM_Flow_Py]]</f>
        <v>Mg</v>
      </c>
    </row>
    <row r="303" spans="1:37" x14ac:dyDescent="0.25">
      <c r="A303" s="17">
        <f t="shared" si="8"/>
        <v>302</v>
      </c>
      <c r="B303" s="10" t="str">
        <f>_xlfn.XLOOKUP(C303,Tab_Def_Flows[Name(EN)],Tab_Def_Flows[Flow_ID],,0,)</f>
        <v>N.A.</v>
      </c>
      <c r="C303" s="12" t="s">
        <v>35</v>
      </c>
      <c r="D303" s="10">
        <f>_xlfn.XLOOKUP(C303,Tab_Def_Flows[Name(EN)],Tab_Def_Flows[Type_Biomass],,0,)</f>
        <v>0</v>
      </c>
      <c r="E303" s="10">
        <f>_xlfn.XLOOKUP(C303,Tab_Def_Flows[Name(EN)],Tab_Def_Flows[Output_Process],,0,)</f>
        <v>0</v>
      </c>
      <c r="F303" s="10">
        <f>_xlfn.XLOOKUP(C303,Tab_Def_Flows[Name(EN)],Tab_Def_Flows[Process_ID_O],,0,)</f>
        <v>0</v>
      </c>
      <c r="G303" s="10">
        <f>_xlfn.XLOOKUP(C303,Tab_Def_Flows[Name(EN)],Tab_Def_Flows[Input_Process],,0,)</f>
        <v>0</v>
      </c>
      <c r="H303" s="18">
        <f>_xlfn.XLOOKUP(C303,Tab_Def_Flows[Name(EN)],Tab_Def_Flows[Process_ID_I],,0,)</f>
        <v>0</v>
      </c>
      <c r="I303" s="10" t="e">
        <f>_xlfn.XLOOKUP(C303,Tab_Def_Flows[Name(EN)],#REF!,,0,)</f>
        <v>#REF!</v>
      </c>
      <c r="J303" s="18">
        <f>_xlfn.XLOOKUP(C303,Tab_Def_Flows[Name(EN)],Tab_Def_Flows[WC?],,0,)</f>
        <v>0</v>
      </c>
      <c r="K303" s="18">
        <f>_xlfn.XLOOKUP(C303,Tab_Def_Flows[Name(EN)],Tab_Def_Flows[DM?],,0,)</f>
        <v>0</v>
      </c>
      <c r="L303" s="18">
        <f>_xlfn.XLOOKUP(C303,Tab_Def_Flows[Name(EN)],Tab_Def_Flows[CC?],,0,)</f>
        <v>0</v>
      </c>
      <c r="M303" s="12"/>
      <c r="N303" s="12"/>
      <c r="O303" s="50"/>
      <c r="P303" s="12"/>
      <c r="Q303" s="12"/>
      <c r="R303" s="12"/>
      <c r="S303" s="24"/>
      <c r="T303" s="12"/>
      <c r="U303" s="12"/>
      <c r="V303" s="12"/>
      <c r="W303" s="12"/>
      <c r="X303" s="12" t="s">
        <v>8</v>
      </c>
      <c r="Y303" s="43"/>
      <c r="Z303" s="12"/>
      <c r="AA303" s="36">
        <f t="shared" si="10"/>
        <v>0</v>
      </c>
      <c r="AB303" s="12" t="s">
        <v>283</v>
      </c>
      <c r="AC303" s="193">
        <f>INDEX(Tab_Def_Flows[[Flow_ID]:[CC_DM_source]],MATCH(Tab_Data_Flows[[#This Row],[Name(EN)]],Tab_Def_Flows[Name(EN)],0),13)</f>
        <v>0</v>
      </c>
      <c r="AD303" s="10" t="str">
        <f>IF(J303="Yes",AA303*Tab_Data_Flows[[#This Row],[WC_'[%']]],"N.A.")</f>
        <v>N.A.</v>
      </c>
      <c r="AE303" s="10" t="str">
        <f>Tab_Data_Flows[[#This Row],[UoM_Flow_Py]]</f>
        <v>Mg</v>
      </c>
      <c r="AF303" s="193">
        <f>INDEX(Tab_Def_Flows[[Flow_ID]:[CC_DM_source]],MATCH(Tab_Data_Flows[[#This Row],[Name(EN)]],Tab_Def_Flows[Name(EN)],0),15)</f>
        <v>0</v>
      </c>
      <c r="AG303" s="10" t="str">
        <f>IF(K303="Yes",AF303*Tab_Data_Flows[[#This Row],[Flow_Py]],"N.A.")</f>
        <v>N.A.</v>
      </c>
      <c r="AH303" s="10" t="str">
        <f>Tab_Data_Flows[[#This Row],[UoM_Flow_Py]]</f>
        <v>Mg</v>
      </c>
      <c r="AI303" s="193">
        <f>INDEX(Tab_Def_Flows[[Flow_ID]:[CC_DM_source]],MATCH(Tab_Data_Flows[[#This Row],[Name(EN)]],Tab_Def_Flows[Name(EN)],0),17)</f>
        <v>0</v>
      </c>
      <c r="AJ303" s="10" t="str">
        <f>IF(L303="Yes",AI303*Tab_Data_Flows[[#This Row],[Flow_Py]]*Tab_Data_Flows[[#This Row],[DM_'[%']]],"N.A.")</f>
        <v>N.A.</v>
      </c>
      <c r="AK303" s="10" t="str">
        <f>Tab_Data_Flows[[#This Row],[UoM_Flow_Py]]</f>
        <v>Mg</v>
      </c>
    </row>
    <row r="304" spans="1:37" x14ac:dyDescent="0.25">
      <c r="A304" s="17">
        <f t="shared" si="8"/>
        <v>303</v>
      </c>
      <c r="B304" s="10" t="str">
        <f>_xlfn.XLOOKUP(C304,Tab_Def_Flows[Name(EN)],Tab_Def_Flows[Flow_ID],,0,)</f>
        <v>N.A.</v>
      </c>
      <c r="C304" s="12" t="s">
        <v>35</v>
      </c>
      <c r="D304" s="10">
        <f>_xlfn.XLOOKUP(C304,Tab_Def_Flows[Name(EN)],Tab_Def_Flows[Type_Biomass],,0,)</f>
        <v>0</v>
      </c>
      <c r="E304" s="10">
        <f>_xlfn.XLOOKUP(C304,Tab_Def_Flows[Name(EN)],Tab_Def_Flows[Output_Process],,0,)</f>
        <v>0</v>
      </c>
      <c r="F304" s="10">
        <f>_xlfn.XLOOKUP(C304,Tab_Def_Flows[Name(EN)],Tab_Def_Flows[Process_ID_O],,0,)</f>
        <v>0</v>
      </c>
      <c r="G304" s="10">
        <f>_xlfn.XLOOKUP(C304,Tab_Def_Flows[Name(EN)],Tab_Def_Flows[Input_Process],,0,)</f>
        <v>0</v>
      </c>
      <c r="H304" s="18">
        <f>_xlfn.XLOOKUP(C304,Tab_Def_Flows[Name(EN)],Tab_Def_Flows[Process_ID_I],,0,)</f>
        <v>0</v>
      </c>
      <c r="I304" s="10" t="e">
        <f>_xlfn.XLOOKUP(C304,Tab_Def_Flows[Name(EN)],#REF!,,0,)</f>
        <v>#REF!</v>
      </c>
      <c r="J304" s="18">
        <f>_xlfn.XLOOKUP(C304,Tab_Def_Flows[Name(EN)],Tab_Def_Flows[WC?],,0,)</f>
        <v>0</v>
      </c>
      <c r="K304" s="18">
        <f>_xlfn.XLOOKUP(C304,Tab_Def_Flows[Name(EN)],Tab_Def_Flows[DM?],,0,)</f>
        <v>0</v>
      </c>
      <c r="L304" s="18">
        <f>_xlfn.XLOOKUP(C304,Tab_Def_Flows[Name(EN)],Tab_Def_Flows[CC?],,0,)</f>
        <v>0</v>
      </c>
      <c r="M304" s="12"/>
      <c r="N304" s="12"/>
      <c r="O304" s="50"/>
      <c r="P304" s="12"/>
      <c r="Q304" s="12"/>
      <c r="R304" s="12"/>
      <c r="S304" s="24"/>
      <c r="T304" s="12"/>
      <c r="U304" s="12"/>
      <c r="V304" s="12"/>
      <c r="W304" s="12"/>
      <c r="X304" s="12" t="s">
        <v>8</v>
      </c>
      <c r="Y304" s="43"/>
      <c r="Z304" s="12"/>
      <c r="AA304" s="36">
        <f t="shared" si="10"/>
        <v>0</v>
      </c>
      <c r="AB304" s="12" t="s">
        <v>283</v>
      </c>
      <c r="AC304" s="193">
        <f>INDEX(Tab_Def_Flows[[Flow_ID]:[CC_DM_source]],MATCH(Tab_Data_Flows[[#This Row],[Name(EN)]],Tab_Def_Flows[Name(EN)],0),13)</f>
        <v>0</v>
      </c>
      <c r="AD304" s="10" t="str">
        <f>IF(J304="Yes",AA304*Tab_Data_Flows[[#This Row],[WC_'[%']]],"N.A.")</f>
        <v>N.A.</v>
      </c>
      <c r="AE304" s="10" t="str">
        <f>Tab_Data_Flows[[#This Row],[UoM_Flow_Py]]</f>
        <v>Mg</v>
      </c>
      <c r="AF304" s="193">
        <f>INDEX(Tab_Def_Flows[[Flow_ID]:[CC_DM_source]],MATCH(Tab_Data_Flows[[#This Row],[Name(EN)]],Tab_Def_Flows[Name(EN)],0),15)</f>
        <v>0</v>
      </c>
      <c r="AG304" s="10" t="str">
        <f>IF(K304="Yes",AF304*Tab_Data_Flows[[#This Row],[Flow_Py]],"N.A.")</f>
        <v>N.A.</v>
      </c>
      <c r="AH304" s="10" t="str">
        <f>Tab_Data_Flows[[#This Row],[UoM_Flow_Py]]</f>
        <v>Mg</v>
      </c>
      <c r="AI304" s="193">
        <f>INDEX(Tab_Def_Flows[[Flow_ID]:[CC_DM_source]],MATCH(Tab_Data_Flows[[#This Row],[Name(EN)]],Tab_Def_Flows[Name(EN)],0),17)</f>
        <v>0</v>
      </c>
      <c r="AJ304" s="10" t="str">
        <f>IF(L304="Yes",AI304*Tab_Data_Flows[[#This Row],[Flow_Py]]*Tab_Data_Flows[[#This Row],[DM_'[%']]],"N.A.")</f>
        <v>N.A.</v>
      </c>
      <c r="AK304" s="10" t="str">
        <f>Tab_Data_Flows[[#This Row],[UoM_Flow_Py]]</f>
        <v>Mg</v>
      </c>
    </row>
    <row r="305" spans="1:37" x14ac:dyDescent="0.25">
      <c r="A305" s="17">
        <f t="shared" si="8"/>
        <v>304</v>
      </c>
      <c r="B305" s="10" t="str">
        <f>_xlfn.XLOOKUP(C305,Tab_Def_Flows[Name(EN)],Tab_Def_Flows[Flow_ID],,0,)</f>
        <v>N.A.</v>
      </c>
      <c r="C305" s="12" t="s">
        <v>35</v>
      </c>
      <c r="D305" s="10">
        <f>_xlfn.XLOOKUP(C305,Tab_Def_Flows[Name(EN)],Tab_Def_Flows[Type_Biomass],,0,)</f>
        <v>0</v>
      </c>
      <c r="E305" s="10">
        <f>_xlfn.XLOOKUP(C305,Tab_Def_Flows[Name(EN)],Tab_Def_Flows[Output_Process],,0,)</f>
        <v>0</v>
      </c>
      <c r="F305" s="10">
        <f>_xlfn.XLOOKUP(C305,Tab_Def_Flows[Name(EN)],Tab_Def_Flows[Process_ID_O],,0,)</f>
        <v>0</v>
      </c>
      <c r="G305" s="10">
        <f>_xlfn.XLOOKUP(C305,Tab_Def_Flows[Name(EN)],Tab_Def_Flows[Input_Process],,0,)</f>
        <v>0</v>
      </c>
      <c r="H305" s="18">
        <f>_xlfn.XLOOKUP(C305,Tab_Def_Flows[Name(EN)],Tab_Def_Flows[Process_ID_I],,0,)</f>
        <v>0</v>
      </c>
      <c r="I305" s="10" t="e">
        <f>_xlfn.XLOOKUP(C305,Tab_Def_Flows[Name(EN)],#REF!,,0,)</f>
        <v>#REF!</v>
      </c>
      <c r="J305" s="18">
        <f>_xlfn.XLOOKUP(C305,Tab_Def_Flows[Name(EN)],Tab_Def_Flows[WC?],,0,)</f>
        <v>0</v>
      </c>
      <c r="K305" s="18">
        <f>_xlfn.XLOOKUP(C305,Tab_Def_Flows[Name(EN)],Tab_Def_Flows[DM?],,0,)</f>
        <v>0</v>
      </c>
      <c r="L305" s="18">
        <f>_xlfn.XLOOKUP(C305,Tab_Def_Flows[Name(EN)],Tab_Def_Flows[CC?],,0,)</f>
        <v>0</v>
      </c>
      <c r="M305" s="12"/>
      <c r="N305" s="12"/>
      <c r="O305" s="50"/>
      <c r="P305" s="12"/>
      <c r="Q305" s="12"/>
      <c r="R305" s="12"/>
      <c r="S305" s="24"/>
      <c r="T305" s="12"/>
      <c r="U305" s="12"/>
      <c r="V305" s="12"/>
      <c r="W305" s="12"/>
      <c r="X305" s="12" t="s">
        <v>8</v>
      </c>
      <c r="Y305" s="43"/>
      <c r="Z305" s="12"/>
      <c r="AA305" s="36">
        <f t="shared" si="10"/>
        <v>0</v>
      </c>
      <c r="AB305" s="12" t="s">
        <v>283</v>
      </c>
      <c r="AC305" s="193">
        <f>INDEX(Tab_Def_Flows[[Flow_ID]:[CC_DM_source]],MATCH(Tab_Data_Flows[[#This Row],[Name(EN)]],Tab_Def_Flows[Name(EN)],0),13)</f>
        <v>0</v>
      </c>
      <c r="AD305" s="10" t="str">
        <f>IF(J305="Yes",AA305*Tab_Data_Flows[[#This Row],[WC_'[%']]],"N.A.")</f>
        <v>N.A.</v>
      </c>
      <c r="AE305" s="10" t="str">
        <f>Tab_Data_Flows[[#This Row],[UoM_Flow_Py]]</f>
        <v>Mg</v>
      </c>
      <c r="AF305" s="193">
        <f>INDEX(Tab_Def_Flows[[Flow_ID]:[CC_DM_source]],MATCH(Tab_Data_Flows[[#This Row],[Name(EN)]],Tab_Def_Flows[Name(EN)],0),15)</f>
        <v>0</v>
      </c>
      <c r="AG305" s="10" t="str">
        <f>IF(K305="Yes",AF305*Tab_Data_Flows[[#This Row],[Flow_Py]],"N.A.")</f>
        <v>N.A.</v>
      </c>
      <c r="AH305" s="10" t="str">
        <f>Tab_Data_Flows[[#This Row],[UoM_Flow_Py]]</f>
        <v>Mg</v>
      </c>
      <c r="AI305" s="193">
        <f>INDEX(Tab_Def_Flows[[Flow_ID]:[CC_DM_source]],MATCH(Tab_Data_Flows[[#This Row],[Name(EN)]],Tab_Def_Flows[Name(EN)],0),17)</f>
        <v>0</v>
      </c>
      <c r="AJ305" s="10" t="str">
        <f>IF(L305="Yes",AI305*Tab_Data_Flows[[#This Row],[Flow_Py]]*Tab_Data_Flows[[#This Row],[DM_'[%']]],"N.A.")</f>
        <v>N.A.</v>
      </c>
      <c r="AK305" s="10" t="str">
        <f>Tab_Data_Flows[[#This Row],[UoM_Flow_Py]]</f>
        <v>Mg</v>
      </c>
    </row>
    <row r="306" spans="1:37" x14ac:dyDescent="0.25">
      <c r="A306" s="17">
        <f t="shared" si="8"/>
        <v>305</v>
      </c>
      <c r="B306" s="10" t="str">
        <f>_xlfn.XLOOKUP(C306,Tab_Def_Flows[Name(EN)],Tab_Def_Flows[Flow_ID],,0,)</f>
        <v>N.A.</v>
      </c>
      <c r="C306" s="12" t="s">
        <v>35</v>
      </c>
      <c r="D306" s="10">
        <f>_xlfn.XLOOKUP(C306,Tab_Def_Flows[Name(EN)],Tab_Def_Flows[Type_Biomass],,0,)</f>
        <v>0</v>
      </c>
      <c r="E306" s="10">
        <f>_xlfn.XLOOKUP(C306,Tab_Def_Flows[Name(EN)],Tab_Def_Flows[Output_Process],,0,)</f>
        <v>0</v>
      </c>
      <c r="F306" s="10">
        <f>_xlfn.XLOOKUP(C306,Tab_Def_Flows[Name(EN)],Tab_Def_Flows[Process_ID_O],,0,)</f>
        <v>0</v>
      </c>
      <c r="G306" s="10">
        <f>_xlfn.XLOOKUP(C306,Tab_Def_Flows[Name(EN)],Tab_Def_Flows[Input_Process],,0,)</f>
        <v>0</v>
      </c>
      <c r="H306" s="18">
        <f>_xlfn.XLOOKUP(C306,Tab_Def_Flows[Name(EN)],Tab_Def_Flows[Process_ID_I],,0,)</f>
        <v>0</v>
      </c>
      <c r="I306" s="10" t="e">
        <f>_xlfn.XLOOKUP(C306,Tab_Def_Flows[Name(EN)],#REF!,,0,)</f>
        <v>#REF!</v>
      </c>
      <c r="J306" s="18">
        <f>_xlfn.XLOOKUP(C306,Tab_Def_Flows[Name(EN)],Tab_Def_Flows[WC?],,0,)</f>
        <v>0</v>
      </c>
      <c r="K306" s="18">
        <f>_xlfn.XLOOKUP(C306,Tab_Def_Flows[Name(EN)],Tab_Def_Flows[DM?],,0,)</f>
        <v>0</v>
      </c>
      <c r="L306" s="18">
        <f>_xlfn.XLOOKUP(C306,Tab_Def_Flows[Name(EN)],Tab_Def_Flows[CC?],,0,)</f>
        <v>0</v>
      </c>
      <c r="M306" s="12"/>
      <c r="N306" s="12"/>
      <c r="O306" s="50"/>
      <c r="P306" s="12"/>
      <c r="Q306" s="12"/>
      <c r="R306" s="12"/>
      <c r="S306" s="24"/>
      <c r="T306" s="12"/>
      <c r="U306" s="12"/>
      <c r="V306" s="12"/>
      <c r="W306" s="12"/>
      <c r="X306" s="12" t="s">
        <v>8</v>
      </c>
      <c r="Y306" s="43"/>
      <c r="Z306" s="12"/>
      <c r="AA306" s="36">
        <f t="shared" si="10"/>
        <v>0</v>
      </c>
      <c r="AB306" s="12" t="s">
        <v>283</v>
      </c>
      <c r="AC306" s="193">
        <f>INDEX(Tab_Def_Flows[[Flow_ID]:[CC_DM_source]],MATCH(Tab_Data_Flows[[#This Row],[Name(EN)]],Tab_Def_Flows[Name(EN)],0),13)</f>
        <v>0</v>
      </c>
      <c r="AD306" s="10" t="str">
        <f>IF(J306="Yes",AA306*Tab_Data_Flows[[#This Row],[WC_'[%']]],"N.A.")</f>
        <v>N.A.</v>
      </c>
      <c r="AE306" s="10" t="str">
        <f>Tab_Data_Flows[[#This Row],[UoM_Flow_Py]]</f>
        <v>Mg</v>
      </c>
      <c r="AF306" s="193">
        <f>INDEX(Tab_Def_Flows[[Flow_ID]:[CC_DM_source]],MATCH(Tab_Data_Flows[[#This Row],[Name(EN)]],Tab_Def_Flows[Name(EN)],0),15)</f>
        <v>0</v>
      </c>
      <c r="AG306" s="10" t="str">
        <f>IF(K306="Yes",AF306*Tab_Data_Flows[[#This Row],[Flow_Py]],"N.A.")</f>
        <v>N.A.</v>
      </c>
      <c r="AH306" s="10" t="str">
        <f>Tab_Data_Flows[[#This Row],[UoM_Flow_Py]]</f>
        <v>Mg</v>
      </c>
      <c r="AI306" s="193">
        <f>INDEX(Tab_Def_Flows[[Flow_ID]:[CC_DM_source]],MATCH(Tab_Data_Flows[[#This Row],[Name(EN)]],Tab_Def_Flows[Name(EN)],0),17)</f>
        <v>0</v>
      </c>
      <c r="AJ306" s="10" t="str">
        <f>IF(L306="Yes",AI306*Tab_Data_Flows[[#This Row],[Flow_Py]]*Tab_Data_Flows[[#This Row],[DM_'[%']]],"N.A.")</f>
        <v>N.A.</v>
      </c>
      <c r="AK306" s="10" t="str">
        <f>Tab_Data_Flows[[#This Row],[UoM_Flow_Py]]</f>
        <v>Mg</v>
      </c>
    </row>
    <row r="307" spans="1:37" x14ac:dyDescent="0.25">
      <c r="A307" s="17">
        <f t="shared" si="8"/>
        <v>306</v>
      </c>
      <c r="B307" s="10" t="str">
        <f>_xlfn.XLOOKUP(C307,Tab_Def_Flows[Name(EN)],Tab_Def_Flows[Flow_ID],,0,)</f>
        <v>N.A.</v>
      </c>
      <c r="C307" s="12" t="s">
        <v>35</v>
      </c>
      <c r="D307" s="10">
        <f>_xlfn.XLOOKUP(C307,Tab_Def_Flows[Name(EN)],Tab_Def_Flows[Type_Biomass],,0,)</f>
        <v>0</v>
      </c>
      <c r="E307" s="10">
        <f>_xlfn.XLOOKUP(C307,Tab_Def_Flows[Name(EN)],Tab_Def_Flows[Output_Process],,0,)</f>
        <v>0</v>
      </c>
      <c r="F307" s="10">
        <f>_xlfn.XLOOKUP(C307,Tab_Def_Flows[Name(EN)],Tab_Def_Flows[Process_ID_O],,0,)</f>
        <v>0</v>
      </c>
      <c r="G307" s="10">
        <f>_xlfn.XLOOKUP(C307,Tab_Def_Flows[Name(EN)],Tab_Def_Flows[Input_Process],,0,)</f>
        <v>0</v>
      </c>
      <c r="H307" s="18">
        <f>_xlfn.XLOOKUP(C307,Tab_Def_Flows[Name(EN)],Tab_Def_Flows[Process_ID_I],,0,)</f>
        <v>0</v>
      </c>
      <c r="I307" s="10" t="e">
        <f>_xlfn.XLOOKUP(C307,Tab_Def_Flows[Name(EN)],#REF!,,0,)</f>
        <v>#REF!</v>
      </c>
      <c r="J307" s="18">
        <f>_xlfn.XLOOKUP(C307,Tab_Def_Flows[Name(EN)],Tab_Def_Flows[WC?],,0,)</f>
        <v>0</v>
      </c>
      <c r="K307" s="18">
        <f>_xlfn.XLOOKUP(C307,Tab_Def_Flows[Name(EN)],Tab_Def_Flows[DM?],,0,)</f>
        <v>0</v>
      </c>
      <c r="L307" s="18">
        <f>_xlfn.XLOOKUP(C307,Tab_Def_Flows[Name(EN)],Tab_Def_Flows[CC?],,0,)</f>
        <v>0</v>
      </c>
      <c r="M307" s="12"/>
      <c r="N307" s="12"/>
      <c r="O307" s="50"/>
      <c r="P307" s="12"/>
      <c r="Q307" s="12"/>
      <c r="R307" s="12"/>
      <c r="S307" s="24"/>
      <c r="T307" s="12"/>
      <c r="U307" s="12"/>
      <c r="V307" s="12"/>
      <c r="W307" s="12"/>
      <c r="X307" s="12" t="s">
        <v>8</v>
      </c>
      <c r="Y307" s="43"/>
      <c r="Z307" s="12"/>
      <c r="AA307" s="36">
        <f t="shared" si="10"/>
        <v>0</v>
      </c>
      <c r="AB307" s="12" t="s">
        <v>283</v>
      </c>
      <c r="AC307" s="193">
        <f>INDEX(Tab_Def_Flows[[Flow_ID]:[CC_DM_source]],MATCH(Tab_Data_Flows[[#This Row],[Name(EN)]],Tab_Def_Flows[Name(EN)],0),13)</f>
        <v>0</v>
      </c>
      <c r="AD307" s="10" t="str">
        <f>IF(J307="Yes",AA307*Tab_Data_Flows[[#This Row],[WC_'[%']]],"N.A.")</f>
        <v>N.A.</v>
      </c>
      <c r="AE307" s="10" t="str">
        <f>Tab_Data_Flows[[#This Row],[UoM_Flow_Py]]</f>
        <v>Mg</v>
      </c>
      <c r="AF307" s="193">
        <f>INDEX(Tab_Def_Flows[[Flow_ID]:[CC_DM_source]],MATCH(Tab_Data_Flows[[#This Row],[Name(EN)]],Tab_Def_Flows[Name(EN)],0),15)</f>
        <v>0</v>
      </c>
      <c r="AG307" s="10" t="str">
        <f>IF(K307="Yes",AF307*Tab_Data_Flows[[#This Row],[Flow_Py]],"N.A.")</f>
        <v>N.A.</v>
      </c>
      <c r="AH307" s="10" t="str">
        <f>Tab_Data_Flows[[#This Row],[UoM_Flow_Py]]</f>
        <v>Mg</v>
      </c>
      <c r="AI307" s="193">
        <f>INDEX(Tab_Def_Flows[[Flow_ID]:[CC_DM_source]],MATCH(Tab_Data_Flows[[#This Row],[Name(EN)]],Tab_Def_Flows[Name(EN)],0),17)</f>
        <v>0</v>
      </c>
      <c r="AJ307" s="10" t="str">
        <f>IF(L307="Yes",AI307*Tab_Data_Flows[[#This Row],[Flow_Py]]*Tab_Data_Flows[[#This Row],[DM_'[%']]],"N.A.")</f>
        <v>N.A.</v>
      </c>
      <c r="AK307" s="10" t="str">
        <f>Tab_Data_Flows[[#This Row],[UoM_Flow_Py]]</f>
        <v>Mg</v>
      </c>
    </row>
    <row r="308" spans="1:37" x14ac:dyDescent="0.25">
      <c r="A308" s="17">
        <f t="shared" si="8"/>
        <v>307</v>
      </c>
      <c r="B308" s="10" t="str">
        <f>_xlfn.XLOOKUP(C308,Tab_Def_Flows[Name(EN)],Tab_Def_Flows[Flow_ID],,0,)</f>
        <v>N.A.</v>
      </c>
      <c r="C308" s="12" t="s">
        <v>35</v>
      </c>
      <c r="D308" s="10">
        <f>_xlfn.XLOOKUP(C308,Tab_Def_Flows[Name(EN)],Tab_Def_Flows[Type_Biomass],,0,)</f>
        <v>0</v>
      </c>
      <c r="E308" s="10">
        <f>_xlfn.XLOOKUP(C308,Tab_Def_Flows[Name(EN)],Tab_Def_Flows[Output_Process],,0,)</f>
        <v>0</v>
      </c>
      <c r="F308" s="10">
        <f>_xlfn.XLOOKUP(C308,Tab_Def_Flows[Name(EN)],Tab_Def_Flows[Process_ID_O],,0,)</f>
        <v>0</v>
      </c>
      <c r="G308" s="10">
        <f>_xlfn.XLOOKUP(C308,Tab_Def_Flows[Name(EN)],Tab_Def_Flows[Input_Process],,0,)</f>
        <v>0</v>
      </c>
      <c r="H308" s="18">
        <f>_xlfn.XLOOKUP(C308,Tab_Def_Flows[Name(EN)],Tab_Def_Flows[Process_ID_I],,0,)</f>
        <v>0</v>
      </c>
      <c r="I308" s="10" t="e">
        <f>_xlfn.XLOOKUP(C308,Tab_Def_Flows[Name(EN)],#REF!,,0,)</f>
        <v>#REF!</v>
      </c>
      <c r="J308" s="18">
        <f>_xlfn.XLOOKUP(C308,Tab_Def_Flows[Name(EN)],Tab_Def_Flows[WC?],,0,)</f>
        <v>0</v>
      </c>
      <c r="K308" s="18">
        <f>_xlfn.XLOOKUP(C308,Tab_Def_Flows[Name(EN)],Tab_Def_Flows[DM?],,0,)</f>
        <v>0</v>
      </c>
      <c r="L308" s="18">
        <f>_xlfn.XLOOKUP(C308,Tab_Def_Flows[Name(EN)],Tab_Def_Flows[CC?],,0,)</f>
        <v>0</v>
      </c>
      <c r="M308" s="12"/>
      <c r="N308" s="12"/>
      <c r="O308" s="50"/>
      <c r="P308" s="12"/>
      <c r="Q308" s="12"/>
      <c r="R308" s="12"/>
      <c r="S308" s="24"/>
      <c r="T308" s="12"/>
      <c r="U308" s="12"/>
      <c r="V308" s="12"/>
      <c r="W308" s="12"/>
      <c r="X308" s="12" t="s">
        <v>8</v>
      </c>
      <c r="Y308" s="43"/>
      <c r="Z308" s="12"/>
      <c r="AA308" s="36">
        <f t="shared" si="10"/>
        <v>0</v>
      </c>
      <c r="AB308" s="12" t="s">
        <v>283</v>
      </c>
      <c r="AC308" s="193">
        <f>INDEX(Tab_Def_Flows[[Flow_ID]:[CC_DM_source]],MATCH(Tab_Data_Flows[[#This Row],[Name(EN)]],Tab_Def_Flows[Name(EN)],0),13)</f>
        <v>0</v>
      </c>
      <c r="AD308" s="10" t="str">
        <f>IF(J308="Yes",AA308*Tab_Data_Flows[[#This Row],[WC_'[%']]],"N.A.")</f>
        <v>N.A.</v>
      </c>
      <c r="AE308" s="10" t="str">
        <f>Tab_Data_Flows[[#This Row],[UoM_Flow_Py]]</f>
        <v>Mg</v>
      </c>
      <c r="AF308" s="193">
        <f>INDEX(Tab_Def_Flows[[Flow_ID]:[CC_DM_source]],MATCH(Tab_Data_Flows[[#This Row],[Name(EN)]],Tab_Def_Flows[Name(EN)],0),15)</f>
        <v>0</v>
      </c>
      <c r="AG308" s="10" t="str">
        <f>IF(K308="Yes",AF308*Tab_Data_Flows[[#This Row],[Flow_Py]],"N.A.")</f>
        <v>N.A.</v>
      </c>
      <c r="AH308" s="10" t="str">
        <f>Tab_Data_Flows[[#This Row],[UoM_Flow_Py]]</f>
        <v>Mg</v>
      </c>
      <c r="AI308" s="193">
        <f>INDEX(Tab_Def_Flows[[Flow_ID]:[CC_DM_source]],MATCH(Tab_Data_Flows[[#This Row],[Name(EN)]],Tab_Def_Flows[Name(EN)],0),17)</f>
        <v>0</v>
      </c>
      <c r="AJ308" s="10" t="str">
        <f>IF(L308="Yes",AI308*Tab_Data_Flows[[#This Row],[Flow_Py]]*Tab_Data_Flows[[#This Row],[DM_'[%']]],"N.A.")</f>
        <v>N.A.</v>
      </c>
      <c r="AK308" s="10" t="str">
        <f>Tab_Data_Flows[[#This Row],[UoM_Flow_Py]]</f>
        <v>Mg</v>
      </c>
    </row>
    <row r="309" spans="1:37" x14ac:dyDescent="0.25">
      <c r="A309" s="17">
        <f t="shared" si="8"/>
        <v>308</v>
      </c>
      <c r="B309" s="10" t="str">
        <f>_xlfn.XLOOKUP(C309,Tab_Def_Flows[Name(EN)],Tab_Def_Flows[Flow_ID],,0,)</f>
        <v>N.A.</v>
      </c>
      <c r="C309" s="12" t="s">
        <v>35</v>
      </c>
      <c r="D309" s="10">
        <f>_xlfn.XLOOKUP(C309,Tab_Def_Flows[Name(EN)],Tab_Def_Flows[Type_Biomass],,0,)</f>
        <v>0</v>
      </c>
      <c r="E309" s="10">
        <f>_xlfn.XLOOKUP(C309,Tab_Def_Flows[Name(EN)],Tab_Def_Flows[Output_Process],,0,)</f>
        <v>0</v>
      </c>
      <c r="F309" s="10">
        <f>_xlfn.XLOOKUP(C309,Tab_Def_Flows[Name(EN)],Tab_Def_Flows[Process_ID_O],,0,)</f>
        <v>0</v>
      </c>
      <c r="G309" s="10">
        <f>_xlfn.XLOOKUP(C309,Tab_Def_Flows[Name(EN)],Tab_Def_Flows[Input_Process],,0,)</f>
        <v>0</v>
      </c>
      <c r="H309" s="18">
        <f>_xlfn.XLOOKUP(C309,Tab_Def_Flows[Name(EN)],Tab_Def_Flows[Process_ID_I],,0,)</f>
        <v>0</v>
      </c>
      <c r="I309" s="10" t="e">
        <f>_xlfn.XLOOKUP(C309,Tab_Def_Flows[Name(EN)],#REF!,,0,)</f>
        <v>#REF!</v>
      </c>
      <c r="J309" s="18">
        <f>_xlfn.XLOOKUP(C309,Tab_Def_Flows[Name(EN)],Tab_Def_Flows[WC?],,0,)</f>
        <v>0</v>
      </c>
      <c r="K309" s="18">
        <f>_xlfn.XLOOKUP(C309,Tab_Def_Flows[Name(EN)],Tab_Def_Flows[DM?],,0,)</f>
        <v>0</v>
      </c>
      <c r="L309" s="18">
        <f>_xlfn.XLOOKUP(C309,Tab_Def_Flows[Name(EN)],Tab_Def_Flows[CC?],,0,)</f>
        <v>0</v>
      </c>
      <c r="M309" s="12"/>
      <c r="N309" s="12"/>
      <c r="O309" s="50"/>
      <c r="P309" s="12"/>
      <c r="Q309" s="12"/>
      <c r="R309" s="12"/>
      <c r="S309" s="24"/>
      <c r="T309" s="12"/>
      <c r="U309" s="12"/>
      <c r="V309" s="12"/>
      <c r="W309" s="12"/>
      <c r="X309" s="12" t="s">
        <v>8</v>
      </c>
      <c r="Y309" s="43"/>
      <c r="Z309" s="12"/>
      <c r="AA309" s="36">
        <f t="shared" si="10"/>
        <v>0</v>
      </c>
      <c r="AB309" s="12" t="s">
        <v>283</v>
      </c>
      <c r="AC309" s="193">
        <f>INDEX(Tab_Def_Flows[[Flow_ID]:[CC_DM_source]],MATCH(Tab_Data_Flows[[#This Row],[Name(EN)]],Tab_Def_Flows[Name(EN)],0),13)</f>
        <v>0</v>
      </c>
      <c r="AD309" s="10" t="str">
        <f>IF(J309="Yes",AA309*Tab_Data_Flows[[#This Row],[WC_'[%']]],"N.A.")</f>
        <v>N.A.</v>
      </c>
      <c r="AE309" s="10" t="str">
        <f>Tab_Data_Flows[[#This Row],[UoM_Flow_Py]]</f>
        <v>Mg</v>
      </c>
      <c r="AF309" s="193">
        <f>INDEX(Tab_Def_Flows[[Flow_ID]:[CC_DM_source]],MATCH(Tab_Data_Flows[[#This Row],[Name(EN)]],Tab_Def_Flows[Name(EN)],0),15)</f>
        <v>0</v>
      </c>
      <c r="AG309" s="10" t="str">
        <f>IF(K309="Yes",AF309*Tab_Data_Flows[[#This Row],[Flow_Py]],"N.A.")</f>
        <v>N.A.</v>
      </c>
      <c r="AH309" s="10" t="str">
        <f>Tab_Data_Flows[[#This Row],[UoM_Flow_Py]]</f>
        <v>Mg</v>
      </c>
      <c r="AI309" s="193">
        <f>INDEX(Tab_Def_Flows[[Flow_ID]:[CC_DM_source]],MATCH(Tab_Data_Flows[[#This Row],[Name(EN)]],Tab_Def_Flows[Name(EN)],0),17)</f>
        <v>0</v>
      </c>
      <c r="AJ309" s="10" t="str">
        <f>IF(L309="Yes",AI309*Tab_Data_Flows[[#This Row],[Flow_Py]]*Tab_Data_Flows[[#This Row],[DM_'[%']]],"N.A.")</f>
        <v>N.A.</v>
      </c>
      <c r="AK309" s="10" t="str">
        <f>Tab_Data_Flows[[#This Row],[UoM_Flow_Py]]</f>
        <v>Mg</v>
      </c>
    </row>
    <row r="310" spans="1:37" x14ac:dyDescent="0.25">
      <c r="A310" s="17">
        <f t="shared" si="8"/>
        <v>309</v>
      </c>
      <c r="B310" s="10" t="str">
        <f>_xlfn.XLOOKUP(C310,Tab_Def_Flows[Name(EN)],Tab_Def_Flows[Flow_ID],,0,)</f>
        <v>N.A.</v>
      </c>
      <c r="C310" s="12" t="s">
        <v>35</v>
      </c>
      <c r="D310" s="10">
        <f>_xlfn.XLOOKUP(C310,Tab_Def_Flows[Name(EN)],Tab_Def_Flows[Type_Biomass],,0,)</f>
        <v>0</v>
      </c>
      <c r="E310" s="10">
        <f>_xlfn.XLOOKUP(C310,Tab_Def_Flows[Name(EN)],Tab_Def_Flows[Output_Process],,0,)</f>
        <v>0</v>
      </c>
      <c r="F310" s="10">
        <f>_xlfn.XLOOKUP(C310,Tab_Def_Flows[Name(EN)],Tab_Def_Flows[Process_ID_O],,0,)</f>
        <v>0</v>
      </c>
      <c r="G310" s="10">
        <f>_xlfn.XLOOKUP(C310,Tab_Def_Flows[Name(EN)],Tab_Def_Flows[Input_Process],,0,)</f>
        <v>0</v>
      </c>
      <c r="H310" s="18">
        <f>_xlfn.XLOOKUP(C310,Tab_Def_Flows[Name(EN)],Tab_Def_Flows[Process_ID_I],,0,)</f>
        <v>0</v>
      </c>
      <c r="I310" s="10" t="e">
        <f>_xlfn.XLOOKUP(C310,Tab_Def_Flows[Name(EN)],#REF!,,0,)</f>
        <v>#REF!</v>
      </c>
      <c r="J310" s="18">
        <f>_xlfn.XLOOKUP(C310,Tab_Def_Flows[Name(EN)],Tab_Def_Flows[WC?],,0,)</f>
        <v>0</v>
      </c>
      <c r="K310" s="18">
        <f>_xlfn.XLOOKUP(C310,Tab_Def_Flows[Name(EN)],Tab_Def_Flows[DM?],,0,)</f>
        <v>0</v>
      </c>
      <c r="L310" s="18">
        <f>_xlfn.XLOOKUP(C310,Tab_Def_Flows[Name(EN)],Tab_Def_Flows[CC?],,0,)</f>
        <v>0</v>
      </c>
      <c r="M310" s="12"/>
      <c r="N310" s="12"/>
      <c r="O310" s="50"/>
      <c r="P310" s="12"/>
      <c r="Q310" s="12"/>
      <c r="R310" s="12"/>
      <c r="S310" s="24"/>
      <c r="T310" s="12"/>
      <c r="U310" s="12"/>
      <c r="V310" s="12"/>
      <c r="W310" s="12"/>
      <c r="X310" s="12" t="s">
        <v>8</v>
      </c>
      <c r="Y310" s="43"/>
      <c r="Z310" s="12"/>
      <c r="AA310" s="36">
        <f t="shared" si="10"/>
        <v>0</v>
      </c>
      <c r="AB310" s="12" t="s">
        <v>283</v>
      </c>
      <c r="AC310" s="193">
        <f>INDEX(Tab_Def_Flows[[Flow_ID]:[CC_DM_source]],MATCH(Tab_Data_Flows[[#This Row],[Name(EN)]],Tab_Def_Flows[Name(EN)],0),13)</f>
        <v>0</v>
      </c>
      <c r="AD310" s="10" t="str">
        <f>IF(J310="Yes",AA310*Tab_Data_Flows[[#This Row],[WC_'[%']]],"N.A.")</f>
        <v>N.A.</v>
      </c>
      <c r="AE310" s="10" t="str">
        <f>Tab_Data_Flows[[#This Row],[UoM_Flow_Py]]</f>
        <v>Mg</v>
      </c>
      <c r="AF310" s="193">
        <f>INDEX(Tab_Def_Flows[[Flow_ID]:[CC_DM_source]],MATCH(Tab_Data_Flows[[#This Row],[Name(EN)]],Tab_Def_Flows[Name(EN)],0),15)</f>
        <v>0</v>
      </c>
      <c r="AG310" s="10" t="str">
        <f>IF(K310="Yes",AF310*Tab_Data_Flows[[#This Row],[Flow_Py]],"N.A.")</f>
        <v>N.A.</v>
      </c>
      <c r="AH310" s="10" t="str">
        <f>Tab_Data_Flows[[#This Row],[UoM_Flow_Py]]</f>
        <v>Mg</v>
      </c>
      <c r="AI310" s="193">
        <f>INDEX(Tab_Def_Flows[[Flow_ID]:[CC_DM_source]],MATCH(Tab_Data_Flows[[#This Row],[Name(EN)]],Tab_Def_Flows[Name(EN)],0),17)</f>
        <v>0</v>
      </c>
      <c r="AJ310" s="10" t="str">
        <f>IF(L310="Yes",AI310*Tab_Data_Flows[[#This Row],[Flow_Py]]*Tab_Data_Flows[[#This Row],[DM_'[%']]],"N.A.")</f>
        <v>N.A.</v>
      </c>
      <c r="AK310" s="10" t="str">
        <f>Tab_Data_Flows[[#This Row],[UoM_Flow_Py]]</f>
        <v>Mg</v>
      </c>
    </row>
    <row r="311" spans="1:37" x14ac:dyDescent="0.25">
      <c r="A311" s="17">
        <f t="shared" si="8"/>
        <v>310</v>
      </c>
      <c r="B311" s="10" t="str">
        <f>_xlfn.XLOOKUP(C311,Tab_Def_Flows[Name(EN)],Tab_Def_Flows[Flow_ID],,0,)</f>
        <v>N.A.</v>
      </c>
      <c r="C311" s="12" t="s">
        <v>35</v>
      </c>
      <c r="D311" s="10">
        <f>_xlfn.XLOOKUP(C311,Tab_Def_Flows[Name(EN)],Tab_Def_Flows[Type_Biomass],,0,)</f>
        <v>0</v>
      </c>
      <c r="E311" s="10">
        <f>_xlfn.XLOOKUP(C311,Tab_Def_Flows[Name(EN)],Tab_Def_Flows[Output_Process],,0,)</f>
        <v>0</v>
      </c>
      <c r="F311" s="10">
        <f>_xlfn.XLOOKUP(C311,Tab_Def_Flows[Name(EN)],Tab_Def_Flows[Process_ID_O],,0,)</f>
        <v>0</v>
      </c>
      <c r="G311" s="10">
        <f>_xlfn.XLOOKUP(C311,Tab_Def_Flows[Name(EN)],Tab_Def_Flows[Input_Process],,0,)</f>
        <v>0</v>
      </c>
      <c r="H311" s="18">
        <f>_xlfn.XLOOKUP(C311,Tab_Def_Flows[Name(EN)],Tab_Def_Flows[Process_ID_I],,0,)</f>
        <v>0</v>
      </c>
      <c r="I311" s="10" t="e">
        <f>_xlfn.XLOOKUP(C311,Tab_Def_Flows[Name(EN)],#REF!,,0,)</f>
        <v>#REF!</v>
      </c>
      <c r="J311" s="18">
        <f>_xlfn.XLOOKUP(C311,Tab_Def_Flows[Name(EN)],Tab_Def_Flows[WC?],,0,)</f>
        <v>0</v>
      </c>
      <c r="K311" s="18">
        <f>_xlfn.XLOOKUP(C311,Tab_Def_Flows[Name(EN)],Tab_Def_Flows[DM?],,0,)</f>
        <v>0</v>
      </c>
      <c r="L311" s="18">
        <f>_xlfn.XLOOKUP(C311,Tab_Def_Flows[Name(EN)],Tab_Def_Flows[CC?],,0,)</f>
        <v>0</v>
      </c>
      <c r="M311" s="12"/>
      <c r="N311" s="12"/>
      <c r="O311" s="50"/>
      <c r="P311" s="12"/>
      <c r="Q311" s="12"/>
      <c r="R311" s="12"/>
      <c r="S311" s="24"/>
      <c r="T311" s="12"/>
      <c r="U311" s="12"/>
      <c r="V311" s="12"/>
      <c r="W311" s="12"/>
      <c r="X311" s="12" t="s">
        <v>8</v>
      </c>
      <c r="Y311" s="43"/>
      <c r="Z311" s="12"/>
      <c r="AA311" s="36">
        <f t="shared" si="10"/>
        <v>0</v>
      </c>
      <c r="AB311" s="12" t="s">
        <v>283</v>
      </c>
      <c r="AC311" s="193">
        <f>INDEX(Tab_Def_Flows[[Flow_ID]:[CC_DM_source]],MATCH(Tab_Data_Flows[[#This Row],[Name(EN)]],Tab_Def_Flows[Name(EN)],0),13)</f>
        <v>0</v>
      </c>
      <c r="AD311" s="10" t="str">
        <f>IF(J311="Yes",AA311*Tab_Data_Flows[[#This Row],[WC_'[%']]],"N.A.")</f>
        <v>N.A.</v>
      </c>
      <c r="AE311" s="10" t="str">
        <f>Tab_Data_Flows[[#This Row],[UoM_Flow_Py]]</f>
        <v>Mg</v>
      </c>
      <c r="AF311" s="193">
        <f>INDEX(Tab_Def_Flows[[Flow_ID]:[CC_DM_source]],MATCH(Tab_Data_Flows[[#This Row],[Name(EN)]],Tab_Def_Flows[Name(EN)],0),15)</f>
        <v>0</v>
      </c>
      <c r="AG311" s="10" t="str">
        <f>IF(K311="Yes",AF311*Tab_Data_Flows[[#This Row],[Flow_Py]],"N.A.")</f>
        <v>N.A.</v>
      </c>
      <c r="AH311" s="10" t="str">
        <f>Tab_Data_Flows[[#This Row],[UoM_Flow_Py]]</f>
        <v>Mg</v>
      </c>
      <c r="AI311" s="193">
        <f>INDEX(Tab_Def_Flows[[Flow_ID]:[CC_DM_source]],MATCH(Tab_Data_Flows[[#This Row],[Name(EN)]],Tab_Def_Flows[Name(EN)],0),17)</f>
        <v>0</v>
      </c>
      <c r="AJ311" s="10" t="str">
        <f>IF(L311="Yes",AI311*Tab_Data_Flows[[#This Row],[Flow_Py]]*Tab_Data_Flows[[#This Row],[DM_'[%']]],"N.A.")</f>
        <v>N.A.</v>
      </c>
      <c r="AK311" s="10" t="str">
        <f>Tab_Data_Flows[[#This Row],[UoM_Flow_Py]]</f>
        <v>Mg</v>
      </c>
    </row>
    <row r="312" spans="1:37" x14ac:dyDescent="0.25">
      <c r="A312" s="17">
        <f t="shared" si="8"/>
        <v>311</v>
      </c>
      <c r="B312" s="10" t="str">
        <f>_xlfn.XLOOKUP(C312,Tab_Def_Flows[Name(EN)],Tab_Def_Flows[Flow_ID],,0,)</f>
        <v>N.A.</v>
      </c>
      <c r="C312" s="12" t="s">
        <v>35</v>
      </c>
      <c r="D312" s="10">
        <f>_xlfn.XLOOKUP(C312,Tab_Def_Flows[Name(EN)],Tab_Def_Flows[Type_Biomass],,0,)</f>
        <v>0</v>
      </c>
      <c r="E312" s="10">
        <f>_xlfn.XLOOKUP(C312,Tab_Def_Flows[Name(EN)],Tab_Def_Flows[Output_Process],,0,)</f>
        <v>0</v>
      </c>
      <c r="F312" s="10">
        <f>_xlfn.XLOOKUP(C312,Tab_Def_Flows[Name(EN)],Tab_Def_Flows[Process_ID_O],,0,)</f>
        <v>0</v>
      </c>
      <c r="G312" s="10">
        <f>_xlfn.XLOOKUP(C312,Tab_Def_Flows[Name(EN)],Tab_Def_Flows[Input_Process],,0,)</f>
        <v>0</v>
      </c>
      <c r="H312" s="18">
        <f>_xlfn.XLOOKUP(C312,Tab_Def_Flows[Name(EN)],Tab_Def_Flows[Process_ID_I],,0,)</f>
        <v>0</v>
      </c>
      <c r="I312" s="10" t="e">
        <f>_xlfn.XLOOKUP(C312,Tab_Def_Flows[Name(EN)],#REF!,,0,)</f>
        <v>#REF!</v>
      </c>
      <c r="J312" s="18">
        <f>_xlfn.XLOOKUP(C312,Tab_Def_Flows[Name(EN)],Tab_Def_Flows[WC?],,0,)</f>
        <v>0</v>
      </c>
      <c r="K312" s="18">
        <f>_xlfn.XLOOKUP(C312,Tab_Def_Flows[Name(EN)],Tab_Def_Flows[DM?],,0,)</f>
        <v>0</v>
      </c>
      <c r="L312" s="18">
        <f>_xlfn.XLOOKUP(C312,Tab_Def_Flows[Name(EN)],Tab_Def_Flows[CC?],,0,)</f>
        <v>0</v>
      </c>
      <c r="M312" s="12"/>
      <c r="N312" s="12"/>
      <c r="O312" s="50"/>
      <c r="P312" s="12"/>
      <c r="Q312" s="12"/>
      <c r="R312" s="12"/>
      <c r="S312" s="24"/>
      <c r="T312" s="12"/>
      <c r="U312" s="12"/>
      <c r="V312" s="12"/>
      <c r="W312" s="12"/>
      <c r="X312" s="12" t="s">
        <v>8</v>
      </c>
      <c r="Y312" s="43"/>
      <c r="Z312" s="12"/>
      <c r="AA312" s="36">
        <f t="shared" si="10"/>
        <v>0</v>
      </c>
      <c r="AB312" s="12" t="s">
        <v>283</v>
      </c>
      <c r="AC312" s="193">
        <f>INDEX(Tab_Def_Flows[[Flow_ID]:[CC_DM_source]],MATCH(Tab_Data_Flows[[#This Row],[Name(EN)]],Tab_Def_Flows[Name(EN)],0),13)</f>
        <v>0</v>
      </c>
      <c r="AD312" s="10" t="str">
        <f>IF(J312="Yes",AA312*Tab_Data_Flows[[#This Row],[WC_'[%']]],"N.A.")</f>
        <v>N.A.</v>
      </c>
      <c r="AE312" s="10" t="str">
        <f>Tab_Data_Flows[[#This Row],[UoM_Flow_Py]]</f>
        <v>Mg</v>
      </c>
      <c r="AF312" s="193">
        <f>INDEX(Tab_Def_Flows[[Flow_ID]:[CC_DM_source]],MATCH(Tab_Data_Flows[[#This Row],[Name(EN)]],Tab_Def_Flows[Name(EN)],0),15)</f>
        <v>0</v>
      </c>
      <c r="AG312" s="10" t="str">
        <f>IF(K312="Yes",AF312*Tab_Data_Flows[[#This Row],[Flow_Py]],"N.A.")</f>
        <v>N.A.</v>
      </c>
      <c r="AH312" s="10" t="str">
        <f>Tab_Data_Flows[[#This Row],[UoM_Flow_Py]]</f>
        <v>Mg</v>
      </c>
      <c r="AI312" s="193">
        <f>INDEX(Tab_Def_Flows[[Flow_ID]:[CC_DM_source]],MATCH(Tab_Data_Flows[[#This Row],[Name(EN)]],Tab_Def_Flows[Name(EN)],0),17)</f>
        <v>0</v>
      </c>
      <c r="AJ312" s="10" t="str">
        <f>IF(L312="Yes",AI312*Tab_Data_Flows[[#This Row],[Flow_Py]]*Tab_Data_Flows[[#This Row],[DM_'[%']]],"N.A.")</f>
        <v>N.A.</v>
      </c>
      <c r="AK312" s="10" t="str">
        <f>Tab_Data_Flows[[#This Row],[UoM_Flow_Py]]</f>
        <v>Mg</v>
      </c>
    </row>
    <row r="313" spans="1:37" x14ac:dyDescent="0.25">
      <c r="A313" s="17">
        <f t="shared" si="8"/>
        <v>312</v>
      </c>
      <c r="B313" s="10" t="str">
        <f>_xlfn.XLOOKUP(C313,Tab_Def_Flows[Name(EN)],Tab_Def_Flows[Flow_ID],,0,)</f>
        <v>N.A.</v>
      </c>
      <c r="C313" s="12" t="s">
        <v>35</v>
      </c>
      <c r="D313" s="10">
        <f>_xlfn.XLOOKUP(C313,Tab_Def_Flows[Name(EN)],Tab_Def_Flows[Type_Biomass],,0,)</f>
        <v>0</v>
      </c>
      <c r="E313" s="10">
        <f>_xlfn.XLOOKUP(C313,Tab_Def_Flows[Name(EN)],Tab_Def_Flows[Output_Process],,0,)</f>
        <v>0</v>
      </c>
      <c r="F313" s="10">
        <f>_xlfn.XLOOKUP(C313,Tab_Def_Flows[Name(EN)],Tab_Def_Flows[Process_ID_O],,0,)</f>
        <v>0</v>
      </c>
      <c r="G313" s="10">
        <f>_xlfn.XLOOKUP(C313,Tab_Def_Flows[Name(EN)],Tab_Def_Flows[Input_Process],,0,)</f>
        <v>0</v>
      </c>
      <c r="H313" s="18">
        <f>_xlfn.XLOOKUP(C313,Tab_Def_Flows[Name(EN)],Tab_Def_Flows[Process_ID_I],,0,)</f>
        <v>0</v>
      </c>
      <c r="I313" s="10" t="e">
        <f>_xlfn.XLOOKUP(C313,Tab_Def_Flows[Name(EN)],#REF!,,0,)</f>
        <v>#REF!</v>
      </c>
      <c r="J313" s="18">
        <f>_xlfn.XLOOKUP(C313,Tab_Def_Flows[Name(EN)],Tab_Def_Flows[WC?],,0,)</f>
        <v>0</v>
      </c>
      <c r="K313" s="18">
        <f>_xlfn.XLOOKUP(C313,Tab_Def_Flows[Name(EN)],Tab_Def_Flows[DM?],,0,)</f>
        <v>0</v>
      </c>
      <c r="L313" s="18">
        <f>_xlfn.XLOOKUP(C313,Tab_Def_Flows[Name(EN)],Tab_Def_Flows[CC?],,0,)</f>
        <v>0</v>
      </c>
      <c r="M313" s="12"/>
      <c r="N313" s="12"/>
      <c r="O313" s="50"/>
      <c r="P313" s="12"/>
      <c r="Q313" s="12"/>
      <c r="R313" s="12"/>
      <c r="S313" s="24"/>
      <c r="T313" s="12"/>
      <c r="U313" s="12"/>
      <c r="V313" s="12"/>
      <c r="W313" s="12"/>
      <c r="X313" s="12" t="s">
        <v>8</v>
      </c>
      <c r="Y313" s="43"/>
      <c r="Z313" s="12"/>
      <c r="AA313" s="36">
        <f t="shared" si="10"/>
        <v>0</v>
      </c>
      <c r="AB313" s="12" t="s">
        <v>283</v>
      </c>
      <c r="AC313" s="193">
        <f>INDEX(Tab_Def_Flows[[Flow_ID]:[CC_DM_source]],MATCH(Tab_Data_Flows[[#This Row],[Name(EN)]],Tab_Def_Flows[Name(EN)],0),13)</f>
        <v>0</v>
      </c>
      <c r="AD313" s="10" t="str">
        <f>IF(J313="Yes",AA313*Tab_Data_Flows[[#This Row],[WC_'[%']]],"N.A.")</f>
        <v>N.A.</v>
      </c>
      <c r="AE313" s="10" t="str">
        <f>Tab_Data_Flows[[#This Row],[UoM_Flow_Py]]</f>
        <v>Mg</v>
      </c>
      <c r="AF313" s="193">
        <f>INDEX(Tab_Def_Flows[[Flow_ID]:[CC_DM_source]],MATCH(Tab_Data_Flows[[#This Row],[Name(EN)]],Tab_Def_Flows[Name(EN)],0),15)</f>
        <v>0</v>
      </c>
      <c r="AG313" s="10" t="str">
        <f>IF(K313="Yes",AF313*Tab_Data_Flows[[#This Row],[Flow_Py]],"N.A.")</f>
        <v>N.A.</v>
      </c>
      <c r="AH313" s="10" t="str">
        <f>Tab_Data_Flows[[#This Row],[UoM_Flow_Py]]</f>
        <v>Mg</v>
      </c>
      <c r="AI313" s="193">
        <f>INDEX(Tab_Def_Flows[[Flow_ID]:[CC_DM_source]],MATCH(Tab_Data_Flows[[#This Row],[Name(EN)]],Tab_Def_Flows[Name(EN)],0),17)</f>
        <v>0</v>
      </c>
      <c r="AJ313" s="10" t="str">
        <f>IF(L313="Yes",AI313*Tab_Data_Flows[[#This Row],[Flow_Py]]*Tab_Data_Flows[[#This Row],[DM_'[%']]],"N.A.")</f>
        <v>N.A.</v>
      </c>
      <c r="AK313" s="10" t="str">
        <f>Tab_Data_Flows[[#This Row],[UoM_Flow_Py]]</f>
        <v>Mg</v>
      </c>
    </row>
    <row r="314" spans="1:37" x14ac:dyDescent="0.25">
      <c r="A314" s="17">
        <f t="shared" si="8"/>
        <v>313</v>
      </c>
      <c r="B314" s="10" t="str">
        <f>_xlfn.XLOOKUP(C314,Tab_Def_Flows[Name(EN)],Tab_Def_Flows[Flow_ID],,0,)</f>
        <v>N.A.</v>
      </c>
      <c r="C314" s="12" t="s">
        <v>35</v>
      </c>
      <c r="D314" s="10">
        <f>_xlfn.XLOOKUP(C314,Tab_Def_Flows[Name(EN)],Tab_Def_Flows[Type_Biomass],,0,)</f>
        <v>0</v>
      </c>
      <c r="E314" s="10">
        <f>_xlfn.XLOOKUP(C314,Tab_Def_Flows[Name(EN)],Tab_Def_Flows[Output_Process],,0,)</f>
        <v>0</v>
      </c>
      <c r="F314" s="10">
        <f>_xlfn.XLOOKUP(C314,Tab_Def_Flows[Name(EN)],Tab_Def_Flows[Process_ID_O],,0,)</f>
        <v>0</v>
      </c>
      <c r="G314" s="10">
        <f>_xlfn.XLOOKUP(C314,Tab_Def_Flows[Name(EN)],Tab_Def_Flows[Input_Process],,0,)</f>
        <v>0</v>
      </c>
      <c r="H314" s="18">
        <f>_xlfn.XLOOKUP(C314,Tab_Def_Flows[Name(EN)],Tab_Def_Flows[Process_ID_I],,0,)</f>
        <v>0</v>
      </c>
      <c r="I314" s="10" t="e">
        <f>_xlfn.XLOOKUP(C314,Tab_Def_Flows[Name(EN)],#REF!,,0,)</f>
        <v>#REF!</v>
      </c>
      <c r="J314" s="18">
        <f>_xlfn.XLOOKUP(C314,Tab_Def_Flows[Name(EN)],Tab_Def_Flows[WC?],,0,)</f>
        <v>0</v>
      </c>
      <c r="K314" s="18">
        <f>_xlfn.XLOOKUP(C314,Tab_Def_Flows[Name(EN)],Tab_Def_Flows[DM?],,0,)</f>
        <v>0</v>
      </c>
      <c r="L314" s="18">
        <f>_xlfn.XLOOKUP(C314,Tab_Def_Flows[Name(EN)],Tab_Def_Flows[CC?],,0,)</f>
        <v>0</v>
      </c>
      <c r="M314" s="12"/>
      <c r="N314" s="12"/>
      <c r="O314" s="50"/>
      <c r="P314" s="12"/>
      <c r="Q314" s="12"/>
      <c r="R314" s="12"/>
      <c r="S314" s="24"/>
      <c r="T314" s="12"/>
      <c r="U314" s="12"/>
      <c r="V314" s="12"/>
      <c r="W314" s="12"/>
      <c r="X314" s="12" t="s">
        <v>8</v>
      </c>
      <c r="Y314" s="43"/>
      <c r="Z314" s="12"/>
      <c r="AA314" s="36">
        <f t="shared" si="10"/>
        <v>0</v>
      </c>
      <c r="AB314" s="12" t="s">
        <v>283</v>
      </c>
      <c r="AC314" s="193">
        <f>INDEX(Tab_Def_Flows[[Flow_ID]:[CC_DM_source]],MATCH(Tab_Data_Flows[[#This Row],[Name(EN)]],Tab_Def_Flows[Name(EN)],0),13)</f>
        <v>0</v>
      </c>
      <c r="AD314" s="10" t="str">
        <f>IF(J314="Yes",AA314*Tab_Data_Flows[[#This Row],[WC_'[%']]],"N.A.")</f>
        <v>N.A.</v>
      </c>
      <c r="AE314" s="10" t="str">
        <f>Tab_Data_Flows[[#This Row],[UoM_Flow_Py]]</f>
        <v>Mg</v>
      </c>
      <c r="AF314" s="193">
        <f>INDEX(Tab_Def_Flows[[Flow_ID]:[CC_DM_source]],MATCH(Tab_Data_Flows[[#This Row],[Name(EN)]],Tab_Def_Flows[Name(EN)],0),15)</f>
        <v>0</v>
      </c>
      <c r="AG314" s="10" t="str">
        <f>IF(K314="Yes",AF314*Tab_Data_Flows[[#This Row],[Flow_Py]],"N.A.")</f>
        <v>N.A.</v>
      </c>
      <c r="AH314" s="10" t="str">
        <f>Tab_Data_Flows[[#This Row],[UoM_Flow_Py]]</f>
        <v>Mg</v>
      </c>
      <c r="AI314" s="193">
        <f>INDEX(Tab_Def_Flows[[Flow_ID]:[CC_DM_source]],MATCH(Tab_Data_Flows[[#This Row],[Name(EN)]],Tab_Def_Flows[Name(EN)],0),17)</f>
        <v>0</v>
      </c>
      <c r="AJ314" s="10" t="str">
        <f>IF(L314="Yes",AI314*Tab_Data_Flows[[#This Row],[Flow_Py]]*Tab_Data_Flows[[#This Row],[DM_'[%']]],"N.A.")</f>
        <v>N.A.</v>
      </c>
      <c r="AK314" s="10" t="str">
        <f>Tab_Data_Flows[[#This Row],[UoM_Flow_Py]]</f>
        <v>Mg</v>
      </c>
    </row>
    <row r="315" spans="1:37" x14ac:dyDescent="0.25">
      <c r="A315" s="17">
        <f t="shared" si="8"/>
        <v>314</v>
      </c>
      <c r="B315" s="10" t="str">
        <f>_xlfn.XLOOKUP(C315,Tab_Def_Flows[Name(EN)],Tab_Def_Flows[Flow_ID],,0,)</f>
        <v>N.A.</v>
      </c>
      <c r="C315" s="12" t="s">
        <v>35</v>
      </c>
      <c r="D315" s="10">
        <f>_xlfn.XLOOKUP(C315,Tab_Def_Flows[Name(EN)],Tab_Def_Flows[Type_Biomass],,0,)</f>
        <v>0</v>
      </c>
      <c r="E315" s="10">
        <f>_xlfn.XLOOKUP(C315,Tab_Def_Flows[Name(EN)],Tab_Def_Flows[Output_Process],,0,)</f>
        <v>0</v>
      </c>
      <c r="F315" s="10">
        <f>_xlfn.XLOOKUP(C315,Tab_Def_Flows[Name(EN)],Tab_Def_Flows[Process_ID_O],,0,)</f>
        <v>0</v>
      </c>
      <c r="G315" s="10">
        <f>_xlfn.XLOOKUP(C315,Tab_Def_Flows[Name(EN)],Tab_Def_Flows[Input_Process],,0,)</f>
        <v>0</v>
      </c>
      <c r="H315" s="18">
        <f>_xlfn.XLOOKUP(C315,Tab_Def_Flows[Name(EN)],Tab_Def_Flows[Process_ID_I],,0,)</f>
        <v>0</v>
      </c>
      <c r="I315" s="10" t="e">
        <f>_xlfn.XLOOKUP(C315,Tab_Def_Flows[Name(EN)],#REF!,,0,)</f>
        <v>#REF!</v>
      </c>
      <c r="J315" s="18">
        <f>_xlfn.XLOOKUP(C315,Tab_Def_Flows[Name(EN)],Tab_Def_Flows[WC?],,0,)</f>
        <v>0</v>
      </c>
      <c r="K315" s="18">
        <f>_xlfn.XLOOKUP(C315,Tab_Def_Flows[Name(EN)],Tab_Def_Flows[DM?],,0,)</f>
        <v>0</v>
      </c>
      <c r="L315" s="18">
        <f>_xlfn.XLOOKUP(C315,Tab_Def_Flows[Name(EN)],Tab_Def_Flows[CC?],,0,)</f>
        <v>0</v>
      </c>
      <c r="M315" s="12"/>
      <c r="N315" s="12"/>
      <c r="O315" s="50"/>
      <c r="P315" s="12"/>
      <c r="Q315" s="12"/>
      <c r="R315" s="12"/>
      <c r="S315" s="24"/>
      <c r="T315" s="12"/>
      <c r="U315" s="12"/>
      <c r="V315" s="12"/>
      <c r="W315" s="12"/>
      <c r="X315" s="12" t="s">
        <v>8</v>
      </c>
      <c r="Y315" s="43"/>
      <c r="Z315" s="12"/>
      <c r="AA315" s="36">
        <f t="shared" si="10"/>
        <v>0</v>
      </c>
      <c r="AB315" s="12" t="s">
        <v>283</v>
      </c>
      <c r="AC315" s="193">
        <f>INDEX(Tab_Def_Flows[[Flow_ID]:[CC_DM_source]],MATCH(Tab_Data_Flows[[#This Row],[Name(EN)]],Tab_Def_Flows[Name(EN)],0),13)</f>
        <v>0</v>
      </c>
      <c r="AD315" s="10" t="str">
        <f>IF(J315="Yes",AA315*Tab_Data_Flows[[#This Row],[WC_'[%']]],"N.A.")</f>
        <v>N.A.</v>
      </c>
      <c r="AE315" s="10" t="str">
        <f>Tab_Data_Flows[[#This Row],[UoM_Flow_Py]]</f>
        <v>Mg</v>
      </c>
      <c r="AF315" s="193">
        <f>INDEX(Tab_Def_Flows[[Flow_ID]:[CC_DM_source]],MATCH(Tab_Data_Flows[[#This Row],[Name(EN)]],Tab_Def_Flows[Name(EN)],0),15)</f>
        <v>0</v>
      </c>
      <c r="AG315" s="10" t="str">
        <f>IF(K315="Yes",AF315*Tab_Data_Flows[[#This Row],[Flow_Py]],"N.A.")</f>
        <v>N.A.</v>
      </c>
      <c r="AH315" s="10" t="str">
        <f>Tab_Data_Flows[[#This Row],[UoM_Flow_Py]]</f>
        <v>Mg</v>
      </c>
      <c r="AI315" s="193">
        <f>INDEX(Tab_Def_Flows[[Flow_ID]:[CC_DM_source]],MATCH(Tab_Data_Flows[[#This Row],[Name(EN)]],Tab_Def_Flows[Name(EN)],0),17)</f>
        <v>0</v>
      </c>
      <c r="AJ315" s="10" t="str">
        <f>IF(L315="Yes",AI315*Tab_Data_Flows[[#This Row],[Flow_Py]]*Tab_Data_Flows[[#This Row],[DM_'[%']]],"N.A.")</f>
        <v>N.A.</v>
      </c>
      <c r="AK315" s="10" t="str">
        <f>Tab_Data_Flows[[#This Row],[UoM_Flow_Py]]</f>
        <v>Mg</v>
      </c>
    </row>
    <row r="316" spans="1:37" x14ac:dyDescent="0.25">
      <c r="A316" s="17">
        <f t="shared" si="8"/>
        <v>315</v>
      </c>
      <c r="B316" s="10" t="str">
        <f>_xlfn.XLOOKUP(C316,Tab_Def_Flows[Name(EN)],Tab_Def_Flows[Flow_ID],,0,)</f>
        <v>N.A.</v>
      </c>
      <c r="C316" s="12" t="s">
        <v>35</v>
      </c>
      <c r="D316" s="10">
        <f>_xlfn.XLOOKUP(C316,Tab_Def_Flows[Name(EN)],Tab_Def_Flows[Type_Biomass],,0,)</f>
        <v>0</v>
      </c>
      <c r="E316" s="10">
        <f>_xlfn.XLOOKUP(C316,Tab_Def_Flows[Name(EN)],Tab_Def_Flows[Output_Process],,0,)</f>
        <v>0</v>
      </c>
      <c r="F316" s="10">
        <f>_xlfn.XLOOKUP(C316,Tab_Def_Flows[Name(EN)],Tab_Def_Flows[Process_ID_O],,0,)</f>
        <v>0</v>
      </c>
      <c r="G316" s="10">
        <f>_xlfn.XLOOKUP(C316,Tab_Def_Flows[Name(EN)],Tab_Def_Flows[Input_Process],,0,)</f>
        <v>0</v>
      </c>
      <c r="H316" s="18">
        <f>_xlfn.XLOOKUP(C316,Tab_Def_Flows[Name(EN)],Tab_Def_Flows[Process_ID_I],,0,)</f>
        <v>0</v>
      </c>
      <c r="I316" s="10" t="e">
        <f>_xlfn.XLOOKUP(C316,Tab_Def_Flows[Name(EN)],#REF!,,0,)</f>
        <v>#REF!</v>
      </c>
      <c r="J316" s="18">
        <f>_xlfn.XLOOKUP(C316,Tab_Def_Flows[Name(EN)],Tab_Def_Flows[WC?],,0,)</f>
        <v>0</v>
      </c>
      <c r="K316" s="18">
        <f>_xlfn.XLOOKUP(C316,Tab_Def_Flows[Name(EN)],Tab_Def_Flows[DM?],,0,)</f>
        <v>0</v>
      </c>
      <c r="L316" s="18">
        <f>_xlfn.XLOOKUP(C316,Tab_Def_Flows[Name(EN)],Tab_Def_Flows[CC?],,0,)</f>
        <v>0</v>
      </c>
      <c r="M316" s="12"/>
      <c r="N316" s="12"/>
      <c r="O316" s="50"/>
      <c r="P316" s="12"/>
      <c r="Q316" s="12"/>
      <c r="R316" s="12"/>
      <c r="S316" s="24"/>
      <c r="T316" s="12"/>
      <c r="U316" s="12"/>
      <c r="V316" s="12"/>
      <c r="W316" s="12"/>
      <c r="X316" s="12" t="s">
        <v>8</v>
      </c>
      <c r="Y316" s="43"/>
      <c r="Z316" s="12"/>
      <c r="AA316" s="36">
        <f t="shared" si="10"/>
        <v>0</v>
      </c>
      <c r="AB316" s="12" t="s">
        <v>283</v>
      </c>
      <c r="AC316" s="193">
        <f>INDEX(Tab_Def_Flows[[Flow_ID]:[CC_DM_source]],MATCH(Tab_Data_Flows[[#This Row],[Name(EN)]],Tab_Def_Flows[Name(EN)],0),13)</f>
        <v>0</v>
      </c>
      <c r="AD316" s="10" t="str">
        <f>IF(J316="Yes",AA316*Tab_Data_Flows[[#This Row],[WC_'[%']]],"N.A.")</f>
        <v>N.A.</v>
      </c>
      <c r="AE316" s="10" t="str">
        <f>Tab_Data_Flows[[#This Row],[UoM_Flow_Py]]</f>
        <v>Mg</v>
      </c>
      <c r="AF316" s="193">
        <f>INDEX(Tab_Def_Flows[[Flow_ID]:[CC_DM_source]],MATCH(Tab_Data_Flows[[#This Row],[Name(EN)]],Tab_Def_Flows[Name(EN)],0),15)</f>
        <v>0</v>
      </c>
      <c r="AG316" s="10" t="str">
        <f>IF(K316="Yes",AF316*Tab_Data_Flows[[#This Row],[Flow_Py]],"N.A.")</f>
        <v>N.A.</v>
      </c>
      <c r="AH316" s="10" t="str">
        <f>Tab_Data_Flows[[#This Row],[UoM_Flow_Py]]</f>
        <v>Mg</v>
      </c>
      <c r="AI316" s="193">
        <f>INDEX(Tab_Def_Flows[[Flow_ID]:[CC_DM_source]],MATCH(Tab_Data_Flows[[#This Row],[Name(EN)]],Tab_Def_Flows[Name(EN)],0),17)</f>
        <v>0</v>
      </c>
      <c r="AJ316" s="10" t="str">
        <f>IF(L316="Yes",AI316*Tab_Data_Flows[[#This Row],[Flow_Py]]*Tab_Data_Flows[[#This Row],[DM_'[%']]],"N.A.")</f>
        <v>N.A.</v>
      </c>
      <c r="AK316" s="10" t="str">
        <f>Tab_Data_Flows[[#This Row],[UoM_Flow_Py]]</f>
        <v>Mg</v>
      </c>
    </row>
    <row r="317" spans="1:37" x14ac:dyDescent="0.25">
      <c r="A317" s="17">
        <f t="shared" si="8"/>
        <v>316</v>
      </c>
      <c r="B317" s="10" t="str">
        <f>_xlfn.XLOOKUP(C317,Tab_Def_Flows[Name(EN)],Tab_Def_Flows[Flow_ID],,0,)</f>
        <v>N.A.</v>
      </c>
      <c r="C317" s="12" t="s">
        <v>35</v>
      </c>
      <c r="D317" s="10">
        <f>_xlfn.XLOOKUP(C317,Tab_Def_Flows[Name(EN)],Tab_Def_Flows[Type_Biomass],,0,)</f>
        <v>0</v>
      </c>
      <c r="E317" s="10">
        <f>_xlfn.XLOOKUP(C317,Tab_Def_Flows[Name(EN)],Tab_Def_Flows[Output_Process],,0,)</f>
        <v>0</v>
      </c>
      <c r="F317" s="10">
        <f>_xlfn.XLOOKUP(C317,Tab_Def_Flows[Name(EN)],Tab_Def_Flows[Process_ID_O],,0,)</f>
        <v>0</v>
      </c>
      <c r="G317" s="10">
        <f>_xlfn.XLOOKUP(C317,Tab_Def_Flows[Name(EN)],Tab_Def_Flows[Input_Process],,0,)</f>
        <v>0</v>
      </c>
      <c r="H317" s="18">
        <f>_xlfn.XLOOKUP(C317,Tab_Def_Flows[Name(EN)],Tab_Def_Flows[Process_ID_I],,0,)</f>
        <v>0</v>
      </c>
      <c r="I317" s="10" t="e">
        <f>_xlfn.XLOOKUP(C317,Tab_Def_Flows[Name(EN)],#REF!,,0,)</f>
        <v>#REF!</v>
      </c>
      <c r="J317" s="18">
        <f>_xlfn.XLOOKUP(C317,Tab_Def_Flows[Name(EN)],Tab_Def_Flows[WC?],,0,)</f>
        <v>0</v>
      </c>
      <c r="K317" s="18">
        <f>_xlfn.XLOOKUP(C317,Tab_Def_Flows[Name(EN)],Tab_Def_Flows[DM?],,0,)</f>
        <v>0</v>
      </c>
      <c r="L317" s="18">
        <f>_xlfn.XLOOKUP(C317,Tab_Def_Flows[Name(EN)],Tab_Def_Flows[CC?],,0,)</f>
        <v>0</v>
      </c>
      <c r="M317" s="12"/>
      <c r="N317" s="12"/>
      <c r="O317" s="50"/>
      <c r="P317" s="12"/>
      <c r="Q317" s="12"/>
      <c r="R317" s="12"/>
      <c r="S317" s="24"/>
      <c r="T317" s="12"/>
      <c r="U317" s="12"/>
      <c r="V317" s="12"/>
      <c r="W317" s="12"/>
      <c r="X317" s="12" t="s">
        <v>8</v>
      </c>
      <c r="Y317" s="43"/>
      <c r="Z317" s="12"/>
      <c r="AA317" s="36">
        <f t="shared" si="10"/>
        <v>0</v>
      </c>
      <c r="AB317" s="12" t="s">
        <v>283</v>
      </c>
      <c r="AC317" s="193">
        <f>INDEX(Tab_Def_Flows[[Flow_ID]:[CC_DM_source]],MATCH(Tab_Data_Flows[[#This Row],[Name(EN)]],Tab_Def_Flows[Name(EN)],0),13)</f>
        <v>0</v>
      </c>
      <c r="AD317" s="10" t="str">
        <f>IF(J317="Yes",AA317*Tab_Data_Flows[[#This Row],[WC_'[%']]],"N.A.")</f>
        <v>N.A.</v>
      </c>
      <c r="AE317" s="10" t="str">
        <f>Tab_Data_Flows[[#This Row],[UoM_Flow_Py]]</f>
        <v>Mg</v>
      </c>
      <c r="AF317" s="193">
        <f>INDEX(Tab_Def_Flows[[Flow_ID]:[CC_DM_source]],MATCH(Tab_Data_Flows[[#This Row],[Name(EN)]],Tab_Def_Flows[Name(EN)],0),15)</f>
        <v>0</v>
      </c>
      <c r="AG317" s="10" t="str">
        <f>IF(K317="Yes",AF317*Tab_Data_Flows[[#This Row],[Flow_Py]],"N.A.")</f>
        <v>N.A.</v>
      </c>
      <c r="AH317" s="10" t="str">
        <f>Tab_Data_Flows[[#This Row],[UoM_Flow_Py]]</f>
        <v>Mg</v>
      </c>
      <c r="AI317" s="193">
        <f>INDEX(Tab_Def_Flows[[Flow_ID]:[CC_DM_source]],MATCH(Tab_Data_Flows[[#This Row],[Name(EN)]],Tab_Def_Flows[Name(EN)],0),17)</f>
        <v>0</v>
      </c>
      <c r="AJ317" s="10" t="str">
        <f>IF(L317="Yes",AI317*Tab_Data_Flows[[#This Row],[Flow_Py]]*Tab_Data_Flows[[#This Row],[DM_'[%']]],"N.A.")</f>
        <v>N.A.</v>
      </c>
      <c r="AK317" s="10" t="str">
        <f>Tab_Data_Flows[[#This Row],[UoM_Flow_Py]]</f>
        <v>Mg</v>
      </c>
    </row>
    <row r="318" spans="1:37" x14ac:dyDescent="0.25">
      <c r="A318" s="17">
        <f t="shared" si="8"/>
        <v>317</v>
      </c>
      <c r="B318" s="10" t="str">
        <f>_xlfn.XLOOKUP(C318,Tab_Def_Flows[Name(EN)],Tab_Def_Flows[Flow_ID],,0,)</f>
        <v>N.A.</v>
      </c>
      <c r="C318" s="12" t="s">
        <v>35</v>
      </c>
      <c r="D318" s="10">
        <f>_xlfn.XLOOKUP(C318,Tab_Def_Flows[Name(EN)],Tab_Def_Flows[Type_Biomass],,0,)</f>
        <v>0</v>
      </c>
      <c r="E318" s="10">
        <f>_xlfn.XLOOKUP(C318,Tab_Def_Flows[Name(EN)],Tab_Def_Flows[Output_Process],,0,)</f>
        <v>0</v>
      </c>
      <c r="F318" s="10">
        <f>_xlfn.XLOOKUP(C318,Tab_Def_Flows[Name(EN)],Tab_Def_Flows[Process_ID_O],,0,)</f>
        <v>0</v>
      </c>
      <c r="G318" s="10">
        <f>_xlfn.XLOOKUP(C318,Tab_Def_Flows[Name(EN)],Tab_Def_Flows[Input_Process],,0,)</f>
        <v>0</v>
      </c>
      <c r="H318" s="18">
        <f>_xlfn.XLOOKUP(C318,Tab_Def_Flows[Name(EN)],Tab_Def_Flows[Process_ID_I],,0,)</f>
        <v>0</v>
      </c>
      <c r="I318" s="10" t="e">
        <f>_xlfn.XLOOKUP(C318,Tab_Def_Flows[Name(EN)],#REF!,,0,)</f>
        <v>#REF!</v>
      </c>
      <c r="J318" s="18">
        <f>_xlfn.XLOOKUP(C318,Tab_Def_Flows[Name(EN)],Tab_Def_Flows[WC?],,0,)</f>
        <v>0</v>
      </c>
      <c r="K318" s="18">
        <f>_xlfn.XLOOKUP(C318,Tab_Def_Flows[Name(EN)],Tab_Def_Flows[DM?],,0,)</f>
        <v>0</v>
      </c>
      <c r="L318" s="18">
        <f>_xlfn.XLOOKUP(C318,Tab_Def_Flows[Name(EN)],Tab_Def_Flows[CC?],,0,)</f>
        <v>0</v>
      </c>
      <c r="M318" s="12"/>
      <c r="N318" s="12"/>
      <c r="O318" s="50"/>
      <c r="P318" s="12"/>
      <c r="Q318" s="12"/>
      <c r="R318" s="12"/>
      <c r="S318" s="24"/>
      <c r="T318" s="12"/>
      <c r="U318" s="12"/>
      <c r="V318" s="12"/>
      <c r="W318" s="12"/>
      <c r="X318" s="12" t="s">
        <v>8</v>
      </c>
      <c r="Y318" s="43"/>
      <c r="Z318" s="12"/>
      <c r="AA318" s="36">
        <f t="shared" si="10"/>
        <v>0</v>
      </c>
      <c r="AB318" s="12" t="s">
        <v>283</v>
      </c>
      <c r="AC318" s="193">
        <f>INDEX(Tab_Def_Flows[[Flow_ID]:[CC_DM_source]],MATCH(Tab_Data_Flows[[#This Row],[Name(EN)]],Tab_Def_Flows[Name(EN)],0),13)</f>
        <v>0</v>
      </c>
      <c r="AD318" s="10" t="str">
        <f>IF(J318="Yes",AA318*Tab_Data_Flows[[#This Row],[WC_'[%']]],"N.A.")</f>
        <v>N.A.</v>
      </c>
      <c r="AE318" s="10" t="str">
        <f>Tab_Data_Flows[[#This Row],[UoM_Flow_Py]]</f>
        <v>Mg</v>
      </c>
      <c r="AF318" s="193">
        <f>INDEX(Tab_Def_Flows[[Flow_ID]:[CC_DM_source]],MATCH(Tab_Data_Flows[[#This Row],[Name(EN)]],Tab_Def_Flows[Name(EN)],0),15)</f>
        <v>0</v>
      </c>
      <c r="AG318" s="10" t="str">
        <f>IF(K318="Yes",AF318*Tab_Data_Flows[[#This Row],[Flow_Py]],"N.A.")</f>
        <v>N.A.</v>
      </c>
      <c r="AH318" s="10" t="str">
        <f>Tab_Data_Flows[[#This Row],[UoM_Flow_Py]]</f>
        <v>Mg</v>
      </c>
      <c r="AI318" s="193">
        <f>INDEX(Tab_Def_Flows[[Flow_ID]:[CC_DM_source]],MATCH(Tab_Data_Flows[[#This Row],[Name(EN)]],Tab_Def_Flows[Name(EN)],0),17)</f>
        <v>0</v>
      </c>
      <c r="AJ318" s="10" t="str">
        <f>IF(L318="Yes",AI318*Tab_Data_Flows[[#This Row],[Flow_Py]]*Tab_Data_Flows[[#This Row],[DM_'[%']]],"N.A.")</f>
        <v>N.A.</v>
      </c>
      <c r="AK318" s="10" t="str">
        <f>Tab_Data_Flows[[#This Row],[UoM_Flow_Py]]</f>
        <v>Mg</v>
      </c>
    </row>
    <row r="319" spans="1:37" x14ac:dyDescent="0.25">
      <c r="A319" s="17">
        <f t="shared" si="8"/>
        <v>318</v>
      </c>
      <c r="B319" s="10" t="str">
        <f>_xlfn.XLOOKUP(C319,Tab_Def_Flows[Name(EN)],Tab_Def_Flows[Flow_ID],,0,)</f>
        <v>N.A.</v>
      </c>
      <c r="C319" s="12" t="s">
        <v>35</v>
      </c>
      <c r="D319" s="10">
        <f>_xlfn.XLOOKUP(C319,Tab_Def_Flows[Name(EN)],Tab_Def_Flows[Type_Biomass],,0,)</f>
        <v>0</v>
      </c>
      <c r="E319" s="10">
        <f>_xlfn.XLOOKUP(C319,Tab_Def_Flows[Name(EN)],Tab_Def_Flows[Output_Process],,0,)</f>
        <v>0</v>
      </c>
      <c r="F319" s="10">
        <f>_xlfn.XLOOKUP(C319,Tab_Def_Flows[Name(EN)],Tab_Def_Flows[Process_ID_O],,0,)</f>
        <v>0</v>
      </c>
      <c r="G319" s="10">
        <f>_xlfn.XLOOKUP(C319,Tab_Def_Flows[Name(EN)],Tab_Def_Flows[Input_Process],,0,)</f>
        <v>0</v>
      </c>
      <c r="H319" s="18">
        <f>_xlfn.XLOOKUP(C319,Tab_Def_Flows[Name(EN)],Tab_Def_Flows[Process_ID_I],,0,)</f>
        <v>0</v>
      </c>
      <c r="I319" s="10" t="e">
        <f>_xlfn.XLOOKUP(C319,Tab_Def_Flows[Name(EN)],#REF!,,0,)</f>
        <v>#REF!</v>
      </c>
      <c r="J319" s="18">
        <f>_xlfn.XLOOKUP(C319,Tab_Def_Flows[Name(EN)],Tab_Def_Flows[WC?],,0,)</f>
        <v>0</v>
      </c>
      <c r="K319" s="18">
        <f>_xlfn.XLOOKUP(C319,Tab_Def_Flows[Name(EN)],Tab_Def_Flows[DM?],,0,)</f>
        <v>0</v>
      </c>
      <c r="L319" s="18">
        <f>_xlfn.XLOOKUP(C319,Tab_Def_Flows[Name(EN)],Tab_Def_Flows[CC?],,0,)</f>
        <v>0</v>
      </c>
      <c r="M319" s="12"/>
      <c r="N319" s="12"/>
      <c r="O319" s="50"/>
      <c r="P319" s="12"/>
      <c r="Q319" s="12"/>
      <c r="R319" s="12"/>
      <c r="S319" s="24"/>
      <c r="T319" s="12"/>
      <c r="U319" s="12"/>
      <c r="V319" s="12"/>
      <c r="W319" s="12"/>
      <c r="X319" s="12" t="s">
        <v>8</v>
      </c>
      <c r="Y319" s="43"/>
      <c r="Z319" s="12"/>
      <c r="AA319" s="36">
        <f t="shared" si="10"/>
        <v>0</v>
      </c>
      <c r="AB319" s="12" t="s">
        <v>283</v>
      </c>
      <c r="AC319" s="193">
        <f>INDEX(Tab_Def_Flows[[Flow_ID]:[CC_DM_source]],MATCH(Tab_Data_Flows[[#This Row],[Name(EN)]],Tab_Def_Flows[Name(EN)],0),13)</f>
        <v>0</v>
      </c>
      <c r="AD319" s="10" t="str">
        <f>IF(J319="Yes",AA319*Tab_Data_Flows[[#This Row],[WC_'[%']]],"N.A.")</f>
        <v>N.A.</v>
      </c>
      <c r="AE319" s="10" t="str">
        <f>Tab_Data_Flows[[#This Row],[UoM_Flow_Py]]</f>
        <v>Mg</v>
      </c>
      <c r="AF319" s="193">
        <f>INDEX(Tab_Def_Flows[[Flow_ID]:[CC_DM_source]],MATCH(Tab_Data_Flows[[#This Row],[Name(EN)]],Tab_Def_Flows[Name(EN)],0),15)</f>
        <v>0</v>
      </c>
      <c r="AG319" s="10" t="str">
        <f>IF(K319="Yes",AF319*Tab_Data_Flows[[#This Row],[Flow_Py]],"N.A.")</f>
        <v>N.A.</v>
      </c>
      <c r="AH319" s="10" t="str">
        <f>Tab_Data_Flows[[#This Row],[UoM_Flow_Py]]</f>
        <v>Mg</v>
      </c>
      <c r="AI319" s="193">
        <f>INDEX(Tab_Def_Flows[[Flow_ID]:[CC_DM_source]],MATCH(Tab_Data_Flows[[#This Row],[Name(EN)]],Tab_Def_Flows[Name(EN)],0),17)</f>
        <v>0</v>
      </c>
      <c r="AJ319" s="10" t="str">
        <f>IF(L319="Yes",AI319*Tab_Data_Flows[[#This Row],[Flow_Py]]*Tab_Data_Flows[[#This Row],[DM_'[%']]],"N.A.")</f>
        <v>N.A.</v>
      </c>
      <c r="AK319" s="10" t="str">
        <f>Tab_Data_Flows[[#This Row],[UoM_Flow_Py]]</f>
        <v>Mg</v>
      </c>
    </row>
    <row r="320" spans="1:37" x14ac:dyDescent="0.25">
      <c r="A320" s="17">
        <f t="shared" si="8"/>
        <v>319</v>
      </c>
      <c r="B320" s="10" t="str">
        <f>_xlfn.XLOOKUP(C320,Tab_Def_Flows[Name(EN)],Tab_Def_Flows[Flow_ID],,0,)</f>
        <v>N.A.</v>
      </c>
      <c r="C320" s="12" t="s">
        <v>35</v>
      </c>
      <c r="D320" s="10">
        <f>_xlfn.XLOOKUP(C320,Tab_Def_Flows[Name(EN)],Tab_Def_Flows[Type_Biomass],,0,)</f>
        <v>0</v>
      </c>
      <c r="E320" s="10">
        <f>_xlfn.XLOOKUP(C320,Tab_Def_Flows[Name(EN)],Tab_Def_Flows[Output_Process],,0,)</f>
        <v>0</v>
      </c>
      <c r="F320" s="10">
        <f>_xlfn.XLOOKUP(C320,Tab_Def_Flows[Name(EN)],Tab_Def_Flows[Process_ID_O],,0,)</f>
        <v>0</v>
      </c>
      <c r="G320" s="10">
        <f>_xlfn.XLOOKUP(C320,Tab_Def_Flows[Name(EN)],Tab_Def_Flows[Input_Process],,0,)</f>
        <v>0</v>
      </c>
      <c r="H320" s="18">
        <f>_xlfn.XLOOKUP(C320,Tab_Def_Flows[Name(EN)],Tab_Def_Flows[Process_ID_I],,0,)</f>
        <v>0</v>
      </c>
      <c r="I320" s="10" t="e">
        <f>_xlfn.XLOOKUP(C320,Tab_Def_Flows[Name(EN)],#REF!,,0,)</f>
        <v>#REF!</v>
      </c>
      <c r="J320" s="18">
        <f>_xlfn.XLOOKUP(C320,Tab_Def_Flows[Name(EN)],Tab_Def_Flows[WC?],,0,)</f>
        <v>0</v>
      </c>
      <c r="K320" s="18">
        <f>_xlfn.XLOOKUP(C320,Tab_Def_Flows[Name(EN)],Tab_Def_Flows[DM?],,0,)</f>
        <v>0</v>
      </c>
      <c r="L320" s="18">
        <f>_xlfn.XLOOKUP(C320,Tab_Def_Flows[Name(EN)],Tab_Def_Flows[CC?],,0,)</f>
        <v>0</v>
      </c>
      <c r="M320" s="12"/>
      <c r="N320" s="12"/>
      <c r="O320" s="50"/>
      <c r="P320" s="12"/>
      <c r="Q320" s="12"/>
      <c r="R320" s="12"/>
      <c r="S320" s="24"/>
      <c r="T320" s="12"/>
      <c r="U320" s="12"/>
      <c r="V320" s="12"/>
      <c r="W320" s="12"/>
      <c r="X320" s="12" t="s">
        <v>8</v>
      </c>
      <c r="Y320" s="43"/>
      <c r="Z320" s="12"/>
      <c r="AA320" s="36">
        <f t="shared" si="10"/>
        <v>0</v>
      </c>
      <c r="AB320" s="12" t="s">
        <v>283</v>
      </c>
      <c r="AC320" s="193">
        <f>INDEX(Tab_Def_Flows[[Flow_ID]:[CC_DM_source]],MATCH(Tab_Data_Flows[[#This Row],[Name(EN)]],Tab_Def_Flows[Name(EN)],0),13)</f>
        <v>0</v>
      </c>
      <c r="AD320" s="10" t="str">
        <f>IF(J320="Yes",AA320*Tab_Data_Flows[[#This Row],[WC_'[%']]],"N.A.")</f>
        <v>N.A.</v>
      </c>
      <c r="AE320" s="10" t="str">
        <f>Tab_Data_Flows[[#This Row],[UoM_Flow_Py]]</f>
        <v>Mg</v>
      </c>
      <c r="AF320" s="193">
        <f>INDEX(Tab_Def_Flows[[Flow_ID]:[CC_DM_source]],MATCH(Tab_Data_Flows[[#This Row],[Name(EN)]],Tab_Def_Flows[Name(EN)],0),15)</f>
        <v>0</v>
      </c>
      <c r="AG320" s="10" t="str">
        <f>IF(K320="Yes",AF320*Tab_Data_Flows[[#This Row],[Flow_Py]],"N.A.")</f>
        <v>N.A.</v>
      </c>
      <c r="AH320" s="10" t="str">
        <f>Tab_Data_Flows[[#This Row],[UoM_Flow_Py]]</f>
        <v>Mg</v>
      </c>
      <c r="AI320" s="193">
        <f>INDEX(Tab_Def_Flows[[Flow_ID]:[CC_DM_source]],MATCH(Tab_Data_Flows[[#This Row],[Name(EN)]],Tab_Def_Flows[Name(EN)],0),17)</f>
        <v>0</v>
      </c>
      <c r="AJ320" s="10" t="str">
        <f>IF(L320="Yes",AI320*Tab_Data_Flows[[#This Row],[Flow_Py]]*Tab_Data_Flows[[#This Row],[DM_'[%']]],"N.A.")</f>
        <v>N.A.</v>
      </c>
      <c r="AK320" s="10" t="str">
        <f>Tab_Data_Flows[[#This Row],[UoM_Flow_Py]]</f>
        <v>Mg</v>
      </c>
    </row>
    <row r="321" spans="1:37" x14ac:dyDescent="0.25">
      <c r="A321" s="17">
        <f t="shared" si="8"/>
        <v>320</v>
      </c>
      <c r="B321" s="10" t="str">
        <f>_xlfn.XLOOKUP(C321,Tab_Def_Flows[Name(EN)],Tab_Def_Flows[Flow_ID],,0,)</f>
        <v>N.A.</v>
      </c>
      <c r="C321" s="12" t="s">
        <v>35</v>
      </c>
      <c r="D321" s="10">
        <f>_xlfn.XLOOKUP(C321,Tab_Def_Flows[Name(EN)],Tab_Def_Flows[Type_Biomass],,0,)</f>
        <v>0</v>
      </c>
      <c r="E321" s="10">
        <f>_xlfn.XLOOKUP(C321,Tab_Def_Flows[Name(EN)],Tab_Def_Flows[Output_Process],,0,)</f>
        <v>0</v>
      </c>
      <c r="F321" s="10">
        <f>_xlfn.XLOOKUP(C321,Tab_Def_Flows[Name(EN)],Tab_Def_Flows[Process_ID_O],,0,)</f>
        <v>0</v>
      </c>
      <c r="G321" s="10">
        <f>_xlfn.XLOOKUP(C321,Tab_Def_Flows[Name(EN)],Tab_Def_Flows[Input_Process],,0,)</f>
        <v>0</v>
      </c>
      <c r="H321" s="18">
        <f>_xlfn.XLOOKUP(C321,Tab_Def_Flows[Name(EN)],Tab_Def_Flows[Process_ID_I],,0,)</f>
        <v>0</v>
      </c>
      <c r="I321" s="10" t="e">
        <f>_xlfn.XLOOKUP(C321,Tab_Def_Flows[Name(EN)],#REF!,,0,)</f>
        <v>#REF!</v>
      </c>
      <c r="J321" s="18">
        <f>_xlfn.XLOOKUP(C321,Tab_Def_Flows[Name(EN)],Tab_Def_Flows[WC?],,0,)</f>
        <v>0</v>
      </c>
      <c r="K321" s="18">
        <f>_xlfn.XLOOKUP(C321,Tab_Def_Flows[Name(EN)],Tab_Def_Flows[DM?],,0,)</f>
        <v>0</v>
      </c>
      <c r="L321" s="18">
        <f>_xlfn.XLOOKUP(C321,Tab_Def_Flows[Name(EN)],Tab_Def_Flows[CC?],,0,)</f>
        <v>0</v>
      </c>
      <c r="M321" s="12"/>
      <c r="N321" s="12"/>
      <c r="O321" s="50"/>
      <c r="P321" s="12"/>
      <c r="Q321" s="12"/>
      <c r="R321" s="12"/>
      <c r="S321" s="24"/>
      <c r="T321" s="12"/>
      <c r="U321" s="12"/>
      <c r="V321" s="12"/>
      <c r="W321" s="12"/>
      <c r="X321" s="12" t="s">
        <v>8</v>
      </c>
      <c r="Y321" s="43"/>
      <c r="Z321" s="12"/>
      <c r="AA321" s="36">
        <f t="shared" si="10"/>
        <v>0</v>
      </c>
      <c r="AB321" s="12" t="s">
        <v>283</v>
      </c>
      <c r="AC321" s="193">
        <f>INDEX(Tab_Def_Flows[[Flow_ID]:[CC_DM_source]],MATCH(Tab_Data_Flows[[#This Row],[Name(EN)]],Tab_Def_Flows[Name(EN)],0),13)</f>
        <v>0</v>
      </c>
      <c r="AD321" s="10" t="str">
        <f>IF(J321="Yes",AA321*Tab_Data_Flows[[#This Row],[WC_'[%']]],"N.A.")</f>
        <v>N.A.</v>
      </c>
      <c r="AE321" s="10" t="str">
        <f>Tab_Data_Flows[[#This Row],[UoM_Flow_Py]]</f>
        <v>Mg</v>
      </c>
      <c r="AF321" s="193">
        <f>INDEX(Tab_Def_Flows[[Flow_ID]:[CC_DM_source]],MATCH(Tab_Data_Flows[[#This Row],[Name(EN)]],Tab_Def_Flows[Name(EN)],0),15)</f>
        <v>0</v>
      </c>
      <c r="AG321" s="10" t="str">
        <f>IF(K321="Yes",AF321*Tab_Data_Flows[[#This Row],[Flow_Py]],"N.A.")</f>
        <v>N.A.</v>
      </c>
      <c r="AH321" s="10" t="str">
        <f>Tab_Data_Flows[[#This Row],[UoM_Flow_Py]]</f>
        <v>Mg</v>
      </c>
      <c r="AI321" s="193">
        <f>INDEX(Tab_Def_Flows[[Flow_ID]:[CC_DM_source]],MATCH(Tab_Data_Flows[[#This Row],[Name(EN)]],Tab_Def_Flows[Name(EN)],0),17)</f>
        <v>0</v>
      </c>
      <c r="AJ321" s="10" t="str">
        <f>IF(L321="Yes",AI321*Tab_Data_Flows[[#This Row],[Flow_Py]]*Tab_Data_Flows[[#This Row],[DM_'[%']]],"N.A.")</f>
        <v>N.A.</v>
      </c>
      <c r="AK321" s="10" t="str">
        <f>Tab_Data_Flows[[#This Row],[UoM_Flow_Py]]</f>
        <v>Mg</v>
      </c>
    </row>
    <row r="322" spans="1:37" x14ac:dyDescent="0.25">
      <c r="A322" s="17">
        <f t="shared" si="8"/>
        <v>321</v>
      </c>
      <c r="B322" s="10" t="str">
        <f>_xlfn.XLOOKUP(C322,Tab_Def_Flows[Name(EN)],Tab_Def_Flows[Flow_ID],,0,)</f>
        <v>N.A.</v>
      </c>
      <c r="C322" s="12" t="s">
        <v>35</v>
      </c>
      <c r="D322" s="10">
        <f>_xlfn.XLOOKUP(C322,Tab_Def_Flows[Name(EN)],Tab_Def_Flows[Type_Biomass],,0,)</f>
        <v>0</v>
      </c>
      <c r="E322" s="10">
        <f>_xlfn.XLOOKUP(C322,Tab_Def_Flows[Name(EN)],Tab_Def_Flows[Output_Process],,0,)</f>
        <v>0</v>
      </c>
      <c r="F322" s="10">
        <f>_xlfn.XLOOKUP(C322,Tab_Def_Flows[Name(EN)],Tab_Def_Flows[Process_ID_O],,0,)</f>
        <v>0</v>
      </c>
      <c r="G322" s="10">
        <f>_xlfn.XLOOKUP(C322,Tab_Def_Flows[Name(EN)],Tab_Def_Flows[Input_Process],,0,)</f>
        <v>0</v>
      </c>
      <c r="H322" s="18">
        <f>_xlfn.XLOOKUP(C322,Tab_Def_Flows[Name(EN)],Tab_Def_Flows[Process_ID_I],,0,)</f>
        <v>0</v>
      </c>
      <c r="I322" s="10" t="e">
        <f>_xlfn.XLOOKUP(C322,Tab_Def_Flows[Name(EN)],#REF!,,0,)</f>
        <v>#REF!</v>
      </c>
      <c r="J322" s="18">
        <f>_xlfn.XLOOKUP(C322,Tab_Def_Flows[Name(EN)],Tab_Def_Flows[WC?],,0,)</f>
        <v>0</v>
      </c>
      <c r="K322" s="18">
        <f>_xlfn.XLOOKUP(C322,Tab_Def_Flows[Name(EN)],Tab_Def_Flows[DM?],,0,)</f>
        <v>0</v>
      </c>
      <c r="L322" s="18">
        <f>_xlfn.XLOOKUP(C322,Tab_Def_Flows[Name(EN)],Tab_Def_Flows[CC?],,0,)</f>
        <v>0</v>
      </c>
      <c r="M322" s="12"/>
      <c r="N322" s="12"/>
      <c r="O322" s="50"/>
      <c r="P322" s="12"/>
      <c r="Q322" s="12"/>
      <c r="R322" s="12"/>
      <c r="S322" s="24"/>
      <c r="T322" s="12"/>
      <c r="U322" s="12"/>
      <c r="V322" s="12"/>
      <c r="W322" s="12"/>
      <c r="X322" s="12" t="s">
        <v>8</v>
      </c>
      <c r="Y322" s="43"/>
      <c r="Z322" s="12"/>
      <c r="AA322" s="36">
        <f t="shared" si="10"/>
        <v>0</v>
      </c>
      <c r="AB322" s="12" t="s">
        <v>283</v>
      </c>
      <c r="AC322" s="193">
        <f>INDEX(Tab_Def_Flows[[Flow_ID]:[CC_DM_source]],MATCH(Tab_Data_Flows[[#This Row],[Name(EN)]],Tab_Def_Flows[Name(EN)],0),13)</f>
        <v>0</v>
      </c>
      <c r="AD322" s="10" t="str">
        <f>IF(J322="Yes",AA322*Tab_Data_Flows[[#This Row],[WC_'[%']]],"N.A.")</f>
        <v>N.A.</v>
      </c>
      <c r="AE322" s="10" t="str">
        <f>Tab_Data_Flows[[#This Row],[UoM_Flow_Py]]</f>
        <v>Mg</v>
      </c>
      <c r="AF322" s="193">
        <f>INDEX(Tab_Def_Flows[[Flow_ID]:[CC_DM_source]],MATCH(Tab_Data_Flows[[#This Row],[Name(EN)]],Tab_Def_Flows[Name(EN)],0),15)</f>
        <v>0</v>
      </c>
      <c r="AG322" s="10" t="str">
        <f>IF(K322="Yes",AF322*Tab_Data_Flows[[#This Row],[Flow_Py]],"N.A.")</f>
        <v>N.A.</v>
      </c>
      <c r="AH322" s="10" t="str">
        <f>Tab_Data_Flows[[#This Row],[UoM_Flow_Py]]</f>
        <v>Mg</v>
      </c>
      <c r="AI322" s="193">
        <f>INDEX(Tab_Def_Flows[[Flow_ID]:[CC_DM_source]],MATCH(Tab_Data_Flows[[#This Row],[Name(EN)]],Tab_Def_Flows[Name(EN)],0),17)</f>
        <v>0</v>
      </c>
      <c r="AJ322" s="10" t="str">
        <f>IF(L322="Yes",AI322*Tab_Data_Flows[[#This Row],[Flow_Py]]*Tab_Data_Flows[[#This Row],[DM_'[%']]],"N.A.")</f>
        <v>N.A.</v>
      </c>
      <c r="AK322" s="10" t="str">
        <f>Tab_Data_Flows[[#This Row],[UoM_Flow_Py]]</f>
        <v>Mg</v>
      </c>
    </row>
    <row r="323" spans="1:37" x14ac:dyDescent="0.25">
      <c r="A323" s="17">
        <f t="shared" ref="A323:A346" si="11">ROW()-1</f>
        <v>322</v>
      </c>
      <c r="B323" s="10" t="str">
        <f>_xlfn.XLOOKUP(C323,Tab_Def_Flows[Name(EN)],Tab_Def_Flows[Flow_ID],,0,)</f>
        <v>N.A.</v>
      </c>
      <c r="C323" s="12" t="s">
        <v>35</v>
      </c>
      <c r="D323" s="10">
        <f>_xlfn.XLOOKUP(C323,Tab_Def_Flows[Name(EN)],Tab_Def_Flows[Type_Biomass],,0,)</f>
        <v>0</v>
      </c>
      <c r="E323" s="10">
        <f>_xlfn.XLOOKUP(C323,Tab_Def_Flows[Name(EN)],Tab_Def_Flows[Output_Process],,0,)</f>
        <v>0</v>
      </c>
      <c r="F323" s="10">
        <f>_xlfn.XLOOKUP(C323,Tab_Def_Flows[Name(EN)],Tab_Def_Flows[Process_ID_O],,0,)</f>
        <v>0</v>
      </c>
      <c r="G323" s="10">
        <f>_xlfn.XLOOKUP(C323,Tab_Def_Flows[Name(EN)],Tab_Def_Flows[Input_Process],,0,)</f>
        <v>0</v>
      </c>
      <c r="H323" s="18">
        <f>_xlfn.XLOOKUP(C323,Tab_Def_Flows[Name(EN)],Tab_Def_Flows[Process_ID_I],,0,)</f>
        <v>0</v>
      </c>
      <c r="I323" s="10" t="e">
        <f>_xlfn.XLOOKUP(C323,Tab_Def_Flows[Name(EN)],#REF!,,0,)</f>
        <v>#REF!</v>
      </c>
      <c r="J323" s="18">
        <f>_xlfn.XLOOKUP(C323,Tab_Def_Flows[Name(EN)],Tab_Def_Flows[WC?],,0,)</f>
        <v>0</v>
      </c>
      <c r="K323" s="18">
        <f>_xlfn.XLOOKUP(C323,Tab_Def_Flows[Name(EN)],Tab_Def_Flows[DM?],,0,)</f>
        <v>0</v>
      </c>
      <c r="L323" s="18">
        <f>_xlfn.XLOOKUP(C323,Tab_Def_Flows[Name(EN)],Tab_Def_Flows[CC?],,0,)</f>
        <v>0</v>
      </c>
      <c r="M323" s="12"/>
      <c r="N323" s="12"/>
      <c r="O323" s="50"/>
      <c r="P323" s="12"/>
      <c r="Q323" s="12"/>
      <c r="R323" s="12"/>
      <c r="S323" s="24"/>
      <c r="T323" s="12"/>
      <c r="U323" s="12"/>
      <c r="V323" s="12"/>
      <c r="W323" s="12"/>
      <c r="X323" s="12" t="s">
        <v>8</v>
      </c>
      <c r="Y323" s="43"/>
      <c r="Z323" s="12"/>
      <c r="AA323" s="36">
        <f t="shared" ref="AA323:AA350" si="12">IF(X323="no",O323,O323*Y323)</f>
        <v>0</v>
      </c>
      <c r="AB323" s="12" t="s">
        <v>283</v>
      </c>
      <c r="AC323" s="193">
        <f>INDEX(Tab_Def_Flows[[Flow_ID]:[CC_DM_source]],MATCH(Tab_Data_Flows[[#This Row],[Name(EN)]],Tab_Def_Flows[Name(EN)],0),13)</f>
        <v>0</v>
      </c>
      <c r="AD323" s="10" t="str">
        <f>IF(J323="Yes",AA323*Tab_Data_Flows[[#This Row],[WC_'[%']]],"N.A.")</f>
        <v>N.A.</v>
      </c>
      <c r="AE323" s="10" t="str">
        <f>Tab_Data_Flows[[#This Row],[UoM_Flow_Py]]</f>
        <v>Mg</v>
      </c>
      <c r="AF323" s="193">
        <f>INDEX(Tab_Def_Flows[[Flow_ID]:[CC_DM_source]],MATCH(Tab_Data_Flows[[#This Row],[Name(EN)]],Tab_Def_Flows[Name(EN)],0),15)</f>
        <v>0</v>
      </c>
      <c r="AG323" s="10" t="str">
        <f>IF(K323="Yes",AF323*Tab_Data_Flows[[#This Row],[Flow_Py]],"N.A.")</f>
        <v>N.A.</v>
      </c>
      <c r="AH323" s="10" t="str">
        <f>Tab_Data_Flows[[#This Row],[UoM_Flow_Py]]</f>
        <v>Mg</v>
      </c>
      <c r="AI323" s="193">
        <f>INDEX(Tab_Def_Flows[[Flow_ID]:[CC_DM_source]],MATCH(Tab_Data_Flows[[#This Row],[Name(EN)]],Tab_Def_Flows[Name(EN)],0),17)</f>
        <v>0</v>
      </c>
      <c r="AJ323" s="10" t="str">
        <f>IF(L323="Yes",AI323*Tab_Data_Flows[[#This Row],[Flow_Py]]*Tab_Data_Flows[[#This Row],[DM_'[%']]],"N.A.")</f>
        <v>N.A.</v>
      </c>
      <c r="AK323" s="10" t="str">
        <f>Tab_Data_Flows[[#This Row],[UoM_Flow_Py]]</f>
        <v>Mg</v>
      </c>
    </row>
    <row r="324" spans="1:37" x14ac:dyDescent="0.25">
      <c r="A324" s="17">
        <f t="shared" si="11"/>
        <v>323</v>
      </c>
      <c r="B324" s="10" t="str">
        <f>_xlfn.XLOOKUP(C324,Tab_Def_Flows[Name(EN)],Tab_Def_Flows[Flow_ID],,0,)</f>
        <v>N.A.</v>
      </c>
      <c r="C324" s="12" t="s">
        <v>35</v>
      </c>
      <c r="D324" s="10">
        <f>_xlfn.XLOOKUP(C324,Tab_Def_Flows[Name(EN)],Tab_Def_Flows[Type_Biomass],,0,)</f>
        <v>0</v>
      </c>
      <c r="E324" s="10">
        <f>_xlfn.XLOOKUP(C324,Tab_Def_Flows[Name(EN)],Tab_Def_Flows[Output_Process],,0,)</f>
        <v>0</v>
      </c>
      <c r="F324" s="10">
        <f>_xlfn.XLOOKUP(C324,Tab_Def_Flows[Name(EN)],Tab_Def_Flows[Process_ID_O],,0,)</f>
        <v>0</v>
      </c>
      <c r="G324" s="10">
        <f>_xlfn.XLOOKUP(C324,Tab_Def_Flows[Name(EN)],Tab_Def_Flows[Input_Process],,0,)</f>
        <v>0</v>
      </c>
      <c r="H324" s="18">
        <f>_xlfn.XLOOKUP(C324,Tab_Def_Flows[Name(EN)],Tab_Def_Flows[Process_ID_I],,0,)</f>
        <v>0</v>
      </c>
      <c r="I324" s="10" t="e">
        <f>_xlfn.XLOOKUP(C324,Tab_Def_Flows[Name(EN)],#REF!,,0,)</f>
        <v>#REF!</v>
      </c>
      <c r="J324" s="18">
        <f>_xlfn.XLOOKUP(C324,Tab_Def_Flows[Name(EN)],Tab_Def_Flows[WC?],,0,)</f>
        <v>0</v>
      </c>
      <c r="K324" s="18">
        <f>_xlfn.XLOOKUP(C324,Tab_Def_Flows[Name(EN)],Tab_Def_Flows[DM?],,0,)</f>
        <v>0</v>
      </c>
      <c r="L324" s="18">
        <f>_xlfn.XLOOKUP(C324,Tab_Def_Flows[Name(EN)],Tab_Def_Flows[CC?],,0,)</f>
        <v>0</v>
      </c>
      <c r="M324" s="12"/>
      <c r="N324" s="12"/>
      <c r="O324" s="50"/>
      <c r="P324" s="12"/>
      <c r="Q324" s="12"/>
      <c r="R324" s="12"/>
      <c r="S324" s="24"/>
      <c r="T324" s="12"/>
      <c r="U324" s="12"/>
      <c r="V324" s="12"/>
      <c r="W324" s="12"/>
      <c r="X324" s="12" t="s">
        <v>8</v>
      </c>
      <c r="Y324" s="43"/>
      <c r="Z324" s="12"/>
      <c r="AA324" s="36">
        <f t="shared" si="12"/>
        <v>0</v>
      </c>
      <c r="AB324" s="12" t="s">
        <v>283</v>
      </c>
      <c r="AC324" s="193">
        <f>INDEX(Tab_Def_Flows[[Flow_ID]:[CC_DM_source]],MATCH(Tab_Data_Flows[[#This Row],[Name(EN)]],Tab_Def_Flows[Name(EN)],0),13)</f>
        <v>0</v>
      </c>
      <c r="AD324" s="10" t="str">
        <f>IF(J324="Yes",AA324*Tab_Data_Flows[[#This Row],[WC_'[%']]],"N.A.")</f>
        <v>N.A.</v>
      </c>
      <c r="AE324" s="10" t="str">
        <f>Tab_Data_Flows[[#This Row],[UoM_Flow_Py]]</f>
        <v>Mg</v>
      </c>
      <c r="AF324" s="193">
        <f>INDEX(Tab_Def_Flows[[Flow_ID]:[CC_DM_source]],MATCH(Tab_Data_Flows[[#This Row],[Name(EN)]],Tab_Def_Flows[Name(EN)],0),15)</f>
        <v>0</v>
      </c>
      <c r="AG324" s="10" t="str">
        <f>IF(K324="Yes",AF324*Tab_Data_Flows[[#This Row],[Flow_Py]],"N.A.")</f>
        <v>N.A.</v>
      </c>
      <c r="AH324" s="10" t="str">
        <f>Tab_Data_Flows[[#This Row],[UoM_Flow_Py]]</f>
        <v>Mg</v>
      </c>
      <c r="AI324" s="193">
        <f>INDEX(Tab_Def_Flows[[Flow_ID]:[CC_DM_source]],MATCH(Tab_Data_Flows[[#This Row],[Name(EN)]],Tab_Def_Flows[Name(EN)],0),17)</f>
        <v>0</v>
      </c>
      <c r="AJ324" s="10" t="str">
        <f>IF(L324="Yes",AI324*Tab_Data_Flows[[#This Row],[Flow_Py]]*Tab_Data_Flows[[#This Row],[DM_'[%']]],"N.A.")</f>
        <v>N.A.</v>
      </c>
      <c r="AK324" s="10" t="str">
        <f>Tab_Data_Flows[[#This Row],[UoM_Flow_Py]]</f>
        <v>Mg</v>
      </c>
    </row>
    <row r="325" spans="1:37" x14ac:dyDescent="0.25">
      <c r="A325" s="17">
        <f t="shared" si="11"/>
        <v>324</v>
      </c>
      <c r="B325" s="10" t="str">
        <f>_xlfn.XLOOKUP(C325,Tab_Def_Flows[Name(EN)],Tab_Def_Flows[Flow_ID],,0,)</f>
        <v>N.A.</v>
      </c>
      <c r="C325" s="12" t="s">
        <v>35</v>
      </c>
      <c r="D325" s="10">
        <f>_xlfn.XLOOKUP(C325,Tab_Def_Flows[Name(EN)],Tab_Def_Flows[Type_Biomass],,0,)</f>
        <v>0</v>
      </c>
      <c r="E325" s="10">
        <f>_xlfn.XLOOKUP(C325,Tab_Def_Flows[Name(EN)],Tab_Def_Flows[Output_Process],,0,)</f>
        <v>0</v>
      </c>
      <c r="F325" s="10">
        <f>_xlfn.XLOOKUP(C325,Tab_Def_Flows[Name(EN)],Tab_Def_Flows[Process_ID_O],,0,)</f>
        <v>0</v>
      </c>
      <c r="G325" s="10">
        <f>_xlfn.XLOOKUP(C325,Tab_Def_Flows[Name(EN)],Tab_Def_Flows[Input_Process],,0,)</f>
        <v>0</v>
      </c>
      <c r="H325" s="18">
        <f>_xlfn.XLOOKUP(C325,Tab_Def_Flows[Name(EN)],Tab_Def_Flows[Process_ID_I],,0,)</f>
        <v>0</v>
      </c>
      <c r="I325" s="10" t="e">
        <f>_xlfn.XLOOKUP(C325,Tab_Def_Flows[Name(EN)],#REF!,,0,)</f>
        <v>#REF!</v>
      </c>
      <c r="J325" s="18">
        <f>_xlfn.XLOOKUP(C325,Tab_Def_Flows[Name(EN)],Tab_Def_Flows[WC?],,0,)</f>
        <v>0</v>
      </c>
      <c r="K325" s="18">
        <f>_xlfn.XLOOKUP(C325,Tab_Def_Flows[Name(EN)],Tab_Def_Flows[DM?],,0,)</f>
        <v>0</v>
      </c>
      <c r="L325" s="18">
        <f>_xlfn.XLOOKUP(C325,Tab_Def_Flows[Name(EN)],Tab_Def_Flows[CC?],,0,)</f>
        <v>0</v>
      </c>
      <c r="M325" s="12"/>
      <c r="N325" s="12"/>
      <c r="O325" s="50"/>
      <c r="P325" s="12"/>
      <c r="Q325" s="12"/>
      <c r="R325" s="12"/>
      <c r="S325" s="24"/>
      <c r="T325" s="12"/>
      <c r="U325" s="12"/>
      <c r="V325" s="12"/>
      <c r="W325" s="12"/>
      <c r="X325" s="12" t="s">
        <v>8</v>
      </c>
      <c r="Y325" s="43"/>
      <c r="Z325" s="12"/>
      <c r="AA325" s="36">
        <f t="shared" si="12"/>
        <v>0</v>
      </c>
      <c r="AB325" s="12" t="s">
        <v>283</v>
      </c>
      <c r="AC325" s="193">
        <f>INDEX(Tab_Def_Flows[[Flow_ID]:[CC_DM_source]],MATCH(Tab_Data_Flows[[#This Row],[Name(EN)]],Tab_Def_Flows[Name(EN)],0),13)</f>
        <v>0</v>
      </c>
      <c r="AD325" s="10" t="str">
        <f>IF(J325="Yes",AA325*Tab_Data_Flows[[#This Row],[WC_'[%']]],"N.A.")</f>
        <v>N.A.</v>
      </c>
      <c r="AE325" s="10" t="str">
        <f>Tab_Data_Flows[[#This Row],[UoM_Flow_Py]]</f>
        <v>Mg</v>
      </c>
      <c r="AF325" s="193">
        <f>INDEX(Tab_Def_Flows[[Flow_ID]:[CC_DM_source]],MATCH(Tab_Data_Flows[[#This Row],[Name(EN)]],Tab_Def_Flows[Name(EN)],0),15)</f>
        <v>0</v>
      </c>
      <c r="AG325" s="10" t="str">
        <f>IF(K325="Yes",AF325*Tab_Data_Flows[[#This Row],[Flow_Py]],"N.A.")</f>
        <v>N.A.</v>
      </c>
      <c r="AH325" s="10" t="str">
        <f>Tab_Data_Flows[[#This Row],[UoM_Flow_Py]]</f>
        <v>Mg</v>
      </c>
      <c r="AI325" s="193">
        <f>INDEX(Tab_Def_Flows[[Flow_ID]:[CC_DM_source]],MATCH(Tab_Data_Flows[[#This Row],[Name(EN)]],Tab_Def_Flows[Name(EN)],0),17)</f>
        <v>0</v>
      </c>
      <c r="AJ325" s="10" t="str">
        <f>IF(L325="Yes",AI325*Tab_Data_Flows[[#This Row],[Flow_Py]]*Tab_Data_Flows[[#This Row],[DM_'[%']]],"N.A.")</f>
        <v>N.A.</v>
      </c>
      <c r="AK325" s="10" t="str">
        <f>Tab_Data_Flows[[#This Row],[UoM_Flow_Py]]</f>
        <v>Mg</v>
      </c>
    </row>
    <row r="326" spans="1:37" x14ac:dyDescent="0.25">
      <c r="A326" s="17">
        <f t="shared" si="11"/>
        <v>325</v>
      </c>
      <c r="B326" s="10" t="str">
        <f>_xlfn.XLOOKUP(C326,Tab_Def_Flows[Name(EN)],Tab_Def_Flows[Flow_ID],,0,)</f>
        <v>N.A.</v>
      </c>
      <c r="C326" s="12" t="s">
        <v>35</v>
      </c>
      <c r="D326" s="10">
        <f>_xlfn.XLOOKUP(C326,Tab_Def_Flows[Name(EN)],Tab_Def_Flows[Type_Biomass],,0,)</f>
        <v>0</v>
      </c>
      <c r="E326" s="10">
        <f>_xlfn.XLOOKUP(C326,Tab_Def_Flows[Name(EN)],Tab_Def_Flows[Output_Process],,0,)</f>
        <v>0</v>
      </c>
      <c r="F326" s="10">
        <f>_xlfn.XLOOKUP(C326,Tab_Def_Flows[Name(EN)],Tab_Def_Flows[Process_ID_O],,0,)</f>
        <v>0</v>
      </c>
      <c r="G326" s="10">
        <f>_xlfn.XLOOKUP(C326,Tab_Def_Flows[Name(EN)],Tab_Def_Flows[Input_Process],,0,)</f>
        <v>0</v>
      </c>
      <c r="H326" s="18">
        <f>_xlfn.XLOOKUP(C326,Tab_Def_Flows[Name(EN)],Tab_Def_Flows[Process_ID_I],,0,)</f>
        <v>0</v>
      </c>
      <c r="I326" s="10" t="e">
        <f>_xlfn.XLOOKUP(C326,Tab_Def_Flows[Name(EN)],#REF!,,0,)</f>
        <v>#REF!</v>
      </c>
      <c r="J326" s="18">
        <f>_xlfn.XLOOKUP(C326,Tab_Def_Flows[Name(EN)],Tab_Def_Flows[WC?],,0,)</f>
        <v>0</v>
      </c>
      <c r="K326" s="18">
        <f>_xlfn.XLOOKUP(C326,Tab_Def_Flows[Name(EN)],Tab_Def_Flows[DM?],,0,)</f>
        <v>0</v>
      </c>
      <c r="L326" s="18">
        <f>_xlfn.XLOOKUP(C326,Tab_Def_Flows[Name(EN)],Tab_Def_Flows[CC?],,0,)</f>
        <v>0</v>
      </c>
      <c r="M326" s="12"/>
      <c r="N326" s="12"/>
      <c r="O326" s="50"/>
      <c r="P326" s="12"/>
      <c r="Q326" s="12"/>
      <c r="R326" s="12"/>
      <c r="S326" s="24"/>
      <c r="T326" s="12"/>
      <c r="U326" s="12"/>
      <c r="V326" s="12"/>
      <c r="W326" s="12"/>
      <c r="X326" s="12" t="s">
        <v>8</v>
      </c>
      <c r="Y326" s="43"/>
      <c r="Z326" s="12"/>
      <c r="AA326" s="36">
        <f t="shared" si="12"/>
        <v>0</v>
      </c>
      <c r="AB326" s="12" t="s">
        <v>283</v>
      </c>
      <c r="AC326" s="193">
        <f>INDEX(Tab_Def_Flows[[Flow_ID]:[CC_DM_source]],MATCH(Tab_Data_Flows[[#This Row],[Name(EN)]],Tab_Def_Flows[Name(EN)],0),13)</f>
        <v>0</v>
      </c>
      <c r="AD326" s="10" t="str">
        <f>IF(J326="Yes",AA326*Tab_Data_Flows[[#This Row],[WC_'[%']]],"N.A.")</f>
        <v>N.A.</v>
      </c>
      <c r="AE326" s="10" t="str">
        <f>Tab_Data_Flows[[#This Row],[UoM_Flow_Py]]</f>
        <v>Mg</v>
      </c>
      <c r="AF326" s="193">
        <f>INDEX(Tab_Def_Flows[[Flow_ID]:[CC_DM_source]],MATCH(Tab_Data_Flows[[#This Row],[Name(EN)]],Tab_Def_Flows[Name(EN)],0),15)</f>
        <v>0</v>
      </c>
      <c r="AG326" s="10" t="str">
        <f>IF(K326="Yes",AF326*Tab_Data_Flows[[#This Row],[Flow_Py]],"N.A.")</f>
        <v>N.A.</v>
      </c>
      <c r="AH326" s="10" t="str">
        <f>Tab_Data_Flows[[#This Row],[UoM_Flow_Py]]</f>
        <v>Mg</v>
      </c>
      <c r="AI326" s="193">
        <f>INDEX(Tab_Def_Flows[[Flow_ID]:[CC_DM_source]],MATCH(Tab_Data_Flows[[#This Row],[Name(EN)]],Tab_Def_Flows[Name(EN)],0),17)</f>
        <v>0</v>
      </c>
      <c r="AJ326" s="10" t="str">
        <f>IF(L326="Yes",AI326*Tab_Data_Flows[[#This Row],[Flow_Py]]*Tab_Data_Flows[[#This Row],[DM_'[%']]],"N.A.")</f>
        <v>N.A.</v>
      </c>
      <c r="AK326" s="10" t="str">
        <f>Tab_Data_Flows[[#This Row],[UoM_Flow_Py]]</f>
        <v>Mg</v>
      </c>
    </row>
    <row r="327" spans="1:37" x14ac:dyDescent="0.25">
      <c r="A327" s="17">
        <f t="shared" si="11"/>
        <v>326</v>
      </c>
      <c r="B327" s="10" t="str">
        <f>_xlfn.XLOOKUP(C327,Tab_Def_Flows[Name(EN)],Tab_Def_Flows[Flow_ID],,0,)</f>
        <v>N.A.</v>
      </c>
      <c r="C327" s="12" t="s">
        <v>35</v>
      </c>
      <c r="D327" s="10">
        <f>_xlfn.XLOOKUP(C327,Tab_Def_Flows[Name(EN)],Tab_Def_Flows[Type_Biomass],,0,)</f>
        <v>0</v>
      </c>
      <c r="E327" s="10">
        <f>_xlfn.XLOOKUP(C327,Tab_Def_Flows[Name(EN)],Tab_Def_Flows[Output_Process],,0,)</f>
        <v>0</v>
      </c>
      <c r="F327" s="10">
        <f>_xlfn.XLOOKUP(C327,Tab_Def_Flows[Name(EN)],Tab_Def_Flows[Process_ID_O],,0,)</f>
        <v>0</v>
      </c>
      <c r="G327" s="10">
        <f>_xlfn.XLOOKUP(C327,Tab_Def_Flows[Name(EN)],Tab_Def_Flows[Input_Process],,0,)</f>
        <v>0</v>
      </c>
      <c r="H327" s="18">
        <f>_xlfn.XLOOKUP(C327,Tab_Def_Flows[Name(EN)],Tab_Def_Flows[Process_ID_I],,0,)</f>
        <v>0</v>
      </c>
      <c r="I327" s="10" t="e">
        <f>_xlfn.XLOOKUP(C327,Tab_Def_Flows[Name(EN)],#REF!,,0,)</f>
        <v>#REF!</v>
      </c>
      <c r="J327" s="18">
        <f>_xlfn.XLOOKUP(C327,Tab_Def_Flows[Name(EN)],Tab_Def_Flows[WC?],,0,)</f>
        <v>0</v>
      </c>
      <c r="K327" s="18">
        <f>_xlfn.XLOOKUP(C327,Tab_Def_Flows[Name(EN)],Tab_Def_Flows[DM?],,0,)</f>
        <v>0</v>
      </c>
      <c r="L327" s="18">
        <f>_xlfn.XLOOKUP(C327,Tab_Def_Flows[Name(EN)],Tab_Def_Flows[CC?],,0,)</f>
        <v>0</v>
      </c>
      <c r="M327" s="12"/>
      <c r="N327" s="12"/>
      <c r="O327" s="50"/>
      <c r="P327" s="12"/>
      <c r="Q327" s="12"/>
      <c r="R327" s="12"/>
      <c r="S327" s="24"/>
      <c r="T327" s="12"/>
      <c r="U327" s="12"/>
      <c r="V327" s="12"/>
      <c r="W327" s="12"/>
      <c r="X327" s="12" t="s">
        <v>8</v>
      </c>
      <c r="Y327" s="43"/>
      <c r="Z327" s="12"/>
      <c r="AA327" s="36">
        <f t="shared" si="12"/>
        <v>0</v>
      </c>
      <c r="AB327" s="12" t="s">
        <v>283</v>
      </c>
      <c r="AC327" s="193">
        <f>INDEX(Tab_Def_Flows[[Flow_ID]:[CC_DM_source]],MATCH(Tab_Data_Flows[[#This Row],[Name(EN)]],Tab_Def_Flows[Name(EN)],0),13)</f>
        <v>0</v>
      </c>
      <c r="AD327" s="10" t="str">
        <f>IF(J327="Yes",AA327*Tab_Data_Flows[[#This Row],[WC_'[%']]],"N.A.")</f>
        <v>N.A.</v>
      </c>
      <c r="AE327" s="10" t="str">
        <f>Tab_Data_Flows[[#This Row],[UoM_Flow_Py]]</f>
        <v>Mg</v>
      </c>
      <c r="AF327" s="193">
        <f>INDEX(Tab_Def_Flows[[Flow_ID]:[CC_DM_source]],MATCH(Tab_Data_Flows[[#This Row],[Name(EN)]],Tab_Def_Flows[Name(EN)],0),15)</f>
        <v>0</v>
      </c>
      <c r="AG327" s="10" t="str">
        <f>IF(K327="Yes",AF327*Tab_Data_Flows[[#This Row],[Flow_Py]],"N.A.")</f>
        <v>N.A.</v>
      </c>
      <c r="AH327" s="10" t="str">
        <f>Tab_Data_Flows[[#This Row],[UoM_Flow_Py]]</f>
        <v>Mg</v>
      </c>
      <c r="AI327" s="193">
        <f>INDEX(Tab_Def_Flows[[Flow_ID]:[CC_DM_source]],MATCH(Tab_Data_Flows[[#This Row],[Name(EN)]],Tab_Def_Flows[Name(EN)],0),17)</f>
        <v>0</v>
      </c>
      <c r="AJ327" s="10" t="str">
        <f>IF(L327="Yes",AI327*Tab_Data_Flows[[#This Row],[Flow_Py]]*Tab_Data_Flows[[#This Row],[DM_'[%']]],"N.A.")</f>
        <v>N.A.</v>
      </c>
      <c r="AK327" s="10" t="str">
        <f>Tab_Data_Flows[[#This Row],[UoM_Flow_Py]]</f>
        <v>Mg</v>
      </c>
    </row>
    <row r="328" spans="1:37" x14ac:dyDescent="0.25">
      <c r="A328" s="17">
        <f t="shared" si="11"/>
        <v>327</v>
      </c>
      <c r="B328" s="10" t="str">
        <f>_xlfn.XLOOKUP(C328,Tab_Def_Flows[Name(EN)],Tab_Def_Flows[Flow_ID],,0,)</f>
        <v>N.A.</v>
      </c>
      <c r="C328" s="12" t="s">
        <v>35</v>
      </c>
      <c r="D328" s="10">
        <f>_xlfn.XLOOKUP(C328,Tab_Def_Flows[Name(EN)],Tab_Def_Flows[Type_Biomass],,0,)</f>
        <v>0</v>
      </c>
      <c r="E328" s="10">
        <f>_xlfn.XLOOKUP(C328,Tab_Def_Flows[Name(EN)],Tab_Def_Flows[Output_Process],,0,)</f>
        <v>0</v>
      </c>
      <c r="F328" s="10">
        <f>_xlfn.XLOOKUP(C328,Tab_Def_Flows[Name(EN)],Tab_Def_Flows[Process_ID_O],,0,)</f>
        <v>0</v>
      </c>
      <c r="G328" s="10">
        <f>_xlfn.XLOOKUP(C328,Tab_Def_Flows[Name(EN)],Tab_Def_Flows[Input_Process],,0,)</f>
        <v>0</v>
      </c>
      <c r="H328" s="18">
        <f>_xlfn.XLOOKUP(C328,Tab_Def_Flows[Name(EN)],Tab_Def_Flows[Process_ID_I],,0,)</f>
        <v>0</v>
      </c>
      <c r="I328" s="10" t="e">
        <f>_xlfn.XLOOKUP(C328,Tab_Def_Flows[Name(EN)],#REF!,,0,)</f>
        <v>#REF!</v>
      </c>
      <c r="J328" s="18">
        <f>_xlfn.XLOOKUP(C328,Tab_Def_Flows[Name(EN)],Tab_Def_Flows[WC?],,0,)</f>
        <v>0</v>
      </c>
      <c r="K328" s="18">
        <f>_xlfn.XLOOKUP(C328,Tab_Def_Flows[Name(EN)],Tab_Def_Flows[DM?],,0,)</f>
        <v>0</v>
      </c>
      <c r="L328" s="18">
        <f>_xlfn.XLOOKUP(C328,Tab_Def_Flows[Name(EN)],Tab_Def_Flows[CC?],,0,)</f>
        <v>0</v>
      </c>
      <c r="M328" s="12"/>
      <c r="N328" s="12"/>
      <c r="O328" s="50"/>
      <c r="P328" s="12"/>
      <c r="Q328" s="12"/>
      <c r="R328" s="12"/>
      <c r="S328" s="24"/>
      <c r="T328" s="12"/>
      <c r="U328" s="12"/>
      <c r="V328" s="12"/>
      <c r="W328" s="12"/>
      <c r="X328" s="12" t="s">
        <v>8</v>
      </c>
      <c r="Y328" s="43"/>
      <c r="Z328" s="12"/>
      <c r="AA328" s="36">
        <f t="shared" si="12"/>
        <v>0</v>
      </c>
      <c r="AB328" s="12" t="s">
        <v>283</v>
      </c>
      <c r="AC328" s="193">
        <f>INDEX(Tab_Def_Flows[[Flow_ID]:[CC_DM_source]],MATCH(Tab_Data_Flows[[#This Row],[Name(EN)]],Tab_Def_Flows[Name(EN)],0),13)</f>
        <v>0</v>
      </c>
      <c r="AD328" s="10" t="str">
        <f>IF(J328="Yes",AA328*Tab_Data_Flows[[#This Row],[WC_'[%']]],"N.A.")</f>
        <v>N.A.</v>
      </c>
      <c r="AE328" s="10" t="str">
        <f>Tab_Data_Flows[[#This Row],[UoM_Flow_Py]]</f>
        <v>Mg</v>
      </c>
      <c r="AF328" s="193">
        <f>INDEX(Tab_Def_Flows[[Flow_ID]:[CC_DM_source]],MATCH(Tab_Data_Flows[[#This Row],[Name(EN)]],Tab_Def_Flows[Name(EN)],0),15)</f>
        <v>0</v>
      </c>
      <c r="AG328" s="10" t="str">
        <f>IF(K328="Yes",AF328*Tab_Data_Flows[[#This Row],[Flow_Py]],"N.A.")</f>
        <v>N.A.</v>
      </c>
      <c r="AH328" s="10" t="str">
        <f>Tab_Data_Flows[[#This Row],[UoM_Flow_Py]]</f>
        <v>Mg</v>
      </c>
      <c r="AI328" s="193">
        <f>INDEX(Tab_Def_Flows[[Flow_ID]:[CC_DM_source]],MATCH(Tab_Data_Flows[[#This Row],[Name(EN)]],Tab_Def_Flows[Name(EN)],0),17)</f>
        <v>0</v>
      </c>
      <c r="AJ328" s="10" t="str">
        <f>IF(L328="Yes",AI328*Tab_Data_Flows[[#This Row],[Flow_Py]]*Tab_Data_Flows[[#This Row],[DM_'[%']]],"N.A.")</f>
        <v>N.A.</v>
      </c>
      <c r="AK328" s="10" t="str">
        <f>Tab_Data_Flows[[#This Row],[UoM_Flow_Py]]</f>
        <v>Mg</v>
      </c>
    </row>
    <row r="329" spans="1:37" x14ac:dyDescent="0.25">
      <c r="A329" s="17">
        <f t="shared" si="11"/>
        <v>328</v>
      </c>
      <c r="B329" s="10" t="str">
        <f>_xlfn.XLOOKUP(C329,Tab_Def_Flows[Name(EN)],Tab_Def_Flows[Flow_ID],,0,)</f>
        <v>N.A.</v>
      </c>
      <c r="C329" s="12" t="s">
        <v>35</v>
      </c>
      <c r="D329" s="10">
        <f>_xlfn.XLOOKUP(C329,Tab_Def_Flows[Name(EN)],Tab_Def_Flows[Type_Biomass],,0,)</f>
        <v>0</v>
      </c>
      <c r="E329" s="10">
        <f>_xlfn.XLOOKUP(C329,Tab_Def_Flows[Name(EN)],Tab_Def_Flows[Output_Process],,0,)</f>
        <v>0</v>
      </c>
      <c r="F329" s="10">
        <f>_xlfn.XLOOKUP(C329,Tab_Def_Flows[Name(EN)],Tab_Def_Flows[Process_ID_O],,0,)</f>
        <v>0</v>
      </c>
      <c r="G329" s="10">
        <f>_xlfn.XLOOKUP(C329,Tab_Def_Flows[Name(EN)],Tab_Def_Flows[Input_Process],,0,)</f>
        <v>0</v>
      </c>
      <c r="H329" s="18">
        <f>_xlfn.XLOOKUP(C329,Tab_Def_Flows[Name(EN)],Tab_Def_Flows[Process_ID_I],,0,)</f>
        <v>0</v>
      </c>
      <c r="I329" s="10" t="e">
        <f>_xlfn.XLOOKUP(C329,Tab_Def_Flows[Name(EN)],#REF!,,0,)</f>
        <v>#REF!</v>
      </c>
      <c r="J329" s="18">
        <f>_xlfn.XLOOKUP(C329,Tab_Def_Flows[Name(EN)],Tab_Def_Flows[WC?],,0,)</f>
        <v>0</v>
      </c>
      <c r="K329" s="18">
        <f>_xlfn.XLOOKUP(C329,Tab_Def_Flows[Name(EN)],Tab_Def_Flows[DM?],,0,)</f>
        <v>0</v>
      </c>
      <c r="L329" s="18">
        <f>_xlfn.XLOOKUP(C329,Tab_Def_Flows[Name(EN)],Tab_Def_Flows[CC?],,0,)</f>
        <v>0</v>
      </c>
      <c r="M329" s="12"/>
      <c r="N329" s="12"/>
      <c r="O329" s="50"/>
      <c r="P329" s="12"/>
      <c r="Q329" s="12"/>
      <c r="R329" s="12"/>
      <c r="S329" s="24"/>
      <c r="T329" s="12"/>
      <c r="U329" s="12"/>
      <c r="V329" s="12"/>
      <c r="W329" s="12"/>
      <c r="X329" s="12" t="s">
        <v>8</v>
      </c>
      <c r="Y329" s="43"/>
      <c r="Z329" s="12"/>
      <c r="AA329" s="36">
        <f t="shared" si="12"/>
        <v>0</v>
      </c>
      <c r="AB329" s="12" t="s">
        <v>283</v>
      </c>
      <c r="AC329" s="193">
        <f>INDEX(Tab_Def_Flows[[Flow_ID]:[CC_DM_source]],MATCH(Tab_Data_Flows[[#This Row],[Name(EN)]],Tab_Def_Flows[Name(EN)],0),13)</f>
        <v>0</v>
      </c>
      <c r="AD329" s="10" t="str">
        <f>IF(J329="Yes",AA329*Tab_Data_Flows[[#This Row],[WC_'[%']]],"N.A.")</f>
        <v>N.A.</v>
      </c>
      <c r="AE329" s="10" t="str">
        <f>Tab_Data_Flows[[#This Row],[UoM_Flow_Py]]</f>
        <v>Mg</v>
      </c>
      <c r="AF329" s="193">
        <f>INDEX(Tab_Def_Flows[[Flow_ID]:[CC_DM_source]],MATCH(Tab_Data_Flows[[#This Row],[Name(EN)]],Tab_Def_Flows[Name(EN)],0),15)</f>
        <v>0</v>
      </c>
      <c r="AG329" s="10" t="str">
        <f>IF(K329="Yes",AF329*Tab_Data_Flows[[#This Row],[Flow_Py]],"N.A.")</f>
        <v>N.A.</v>
      </c>
      <c r="AH329" s="10" t="str">
        <f>Tab_Data_Flows[[#This Row],[UoM_Flow_Py]]</f>
        <v>Mg</v>
      </c>
      <c r="AI329" s="193">
        <f>INDEX(Tab_Def_Flows[[Flow_ID]:[CC_DM_source]],MATCH(Tab_Data_Flows[[#This Row],[Name(EN)]],Tab_Def_Flows[Name(EN)],0),17)</f>
        <v>0</v>
      </c>
      <c r="AJ329" s="10" t="str">
        <f>IF(L329="Yes",AI329*Tab_Data_Flows[[#This Row],[Flow_Py]]*Tab_Data_Flows[[#This Row],[DM_'[%']]],"N.A.")</f>
        <v>N.A.</v>
      </c>
      <c r="AK329" s="10" t="str">
        <f>Tab_Data_Flows[[#This Row],[UoM_Flow_Py]]</f>
        <v>Mg</v>
      </c>
    </row>
    <row r="330" spans="1:37" x14ac:dyDescent="0.25">
      <c r="A330" s="17">
        <f t="shared" si="11"/>
        <v>329</v>
      </c>
      <c r="B330" s="10" t="str">
        <f>_xlfn.XLOOKUP(C330,Tab_Def_Flows[Name(EN)],Tab_Def_Flows[Flow_ID],,0,)</f>
        <v>N.A.</v>
      </c>
      <c r="C330" s="12" t="s">
        <v>35</v>
      </c>
      <c r="D330" s="10">
        <f>_xlfn.XLOOKUP(C330,Tab_Def_Flows[Name(EN)],Tab_Def_Flows[Type_Biomass],,0,)</f>
        <v>0</v>
      </c>
      <c r="E330" s="10">
        <f>_xlfn.XLOOKUP(C330,Tab_Def_Flows[Name(EN)],Tab_Def_Flows[Output_Process],,0,)</f>
        <v>0</v>
      </c>
      <c r="F330" s="10">
        <f>_xlfn.XLOOKUP(C330,Tab_Def_Flows[Name(EN)],Tab_Def_Flows[Process_ID_O],,0,)</f>
        <v>0</v>
      </c>
      <c r="G330" s="10">
        <f>_xlfn.XLOOKUP(C330,Tab_Def_Flows[Name(EN)],Tab_Def_Flows[Input_Process],,0,)</f>
        <v>0</v>
      </c>
      <c r="H330" s="18">
        <f>_xlfn.XLOOKUP(C330,Tab_Def_Flows[Name(EN)],Tab_Def_Flows[Process_ID_I],,0,)</f>
        <v>0</v>
      </c>
      <c r="I330" s="10" t="e">
        <f>_xlfn.XLOOKUP(C330,Tab_Def_Flows[Name(EN)],#REF!,,0,)</f>
        <v>#REF!</v>
      </c>
      <c r="J330" s="18">
        <f>_xlfn.XLOOKUP(C330,Tab_Def_Flows[Name(EN)],Tab_Def_Flows[WC?],,0,)</f>
        <v>0</v>
      </c>
      <c r="K330" s="18">
        <f>_xlfn.XLOOKUP(C330,Tab_Def_Flows[Name(EN)],Tab_Def_Flows[DM?],,0,)</f>
        <v>0</v>
      </c>
      <c r="L330" s="18">
        <f>_xlfn.XLOOKUP(C330,Tab_Def_Flows[Name(EN)],Tab_Def_Flows[CC?],,0,)</f>
        <v>0</v>
      </c>
      <c r="M330" s="12"/>
      <c r="N330" s="12"/>
      <c r="O330" s="50"/>
      <c r="P330" s="12"/>
      <c r="Q330" s="12"/>
      <c r="R330" s="12"/>
      <c r="S330" s="24"/>
      <c r="T330" s="12"/>
      <c r="U330" s="12"/>
      <c r="V330" s="12"/>
      <c r="W330" s="12"/>
      <c r="X330" s="12" t="s">
        <v>8</v>
      </c>
      <c r="Y330" s="43"/>
      <c r="Z330" s="12"/>
      <c r="AA330" s="36">
        <f t="shared" si="12"/>
        <v>0</v>
      </c>
      <c r="AB330" s="12" t="s">
        <v>283</v>
      </c>
      <c r="AC330" s="193">
        <f>INDEX(Tab_Def_Flows[[Flow_ID]:[CC_DM_source]],MATCH(Tab_Data_Flows[[#This Row],[Name(EN)]],Tab_Def_Flows[Name(EN)],0),13)</f>
        <v>0</v>
      </c>
      <c r="AD330" s="10" t="str">
        <f>IF(J330="Yes",AA330*Tab_Data_Flows[[#This Row],[WC_'[%']]],"N.A.")</f>
        <v>N.A.</v>
      </c>
      <c r="AE330" s="10" t="str">
        <f>Tab_Data_Flows[[#This Row],[UoM_Flow_Py]]</f>
        <v>Mg</v>
      </c>
      <c r="AF330" s="193">
        <f>INDEX(Tab_Def_Flows[[Flow_ID]:[CC_DM_source]],MATCH(Tab_Data_Flows[[#This Row],[Name(EN)]],Tab_Def_Flows[Name(EN)],0),15)</f>
        <v>0</v>
      </c>
      <c r="AG330" s="10" t="str">
        <f>IF(K330="Yes",AF330*Tab_Data_Flows[[#This Row],[Flow_Py]],"N.A.")</f>
        <v>N.A.</v>
      </c>
      <c r="AH330" s="10" t="str">
        <f>Tab_Data_Flows[[#This Row],[UoM_Flow_Py]]</f>
        <v>Mg</v>
      </c>
      <c r="AI330" s="193">
        <f>INDEX(Tab_Def_Flows[[Flow_ID]:[CC_DM_source]],MATCH(Tab_Data_Flows[[#This Row],[Name(EN)]],Tab_Def_Flows[Name(EN)],0),17)</f>
        <v>0</v>
      </c>
      <c r="AJ330" s="10" t="str">
        <f>IF(L330="Yes",AI330*Tab_Data_Flows[[#This Row],[Flow_Py]]*Tab_Data_Flows[[#This Row],[DM_'[%']]],"N.A.")</f>
        <v>N.A.</v>
      </c>
      <c r="AK330" s="10" t="str">
        <f>Tab_Data_Flows[[#This Row],[UoM_Flow_Py]]</f>
        <v>Mg</v>
      </c>
    </row>
    <row r="331" spans="1:37" x14ac:dyDescent="0.25">
      <c r="A331" s="17">
        <f t="shared" si="11"/>
        <v>330</v>
      </c>
      <c r="B331" s="10" t="str">
        <f>_xlfn.XLOOKUP(C331,Tab_Def_Flows[Name(EN)],Tab_Def_Flows[Flow_ID],,0,)</f>
        <v>N.A.</v>
      </c>
      <c r="C331" s="12" t="s">
        <v>35</v>
      </c>
      <c r="D331" s="10">
        <f>_xlfn.XLOOKUP(C331,Tab_Def_Flows[Name(EN)],Tab_Def_Flows[Type_Biomass],,0,)</f>
        <v>0</v>
      </c>
      <c r="E331" s="10">
        <f>_xlfn.XLOOKUP(C331,Tab_Def_Flows[Name(EN)],Tab_Def_Flows[Output_Process],,0,)</f>
        <v>0</v>
      </c>
      <c r="F331" s="10">
        <f>_xlfn.XLOOKUP(C331,Tab_Def_Flows[Name(EN)],Tab_Def_Flows[Process_ID_O],,0,)</f>
        <v>0</v>
      </c>
      <c r="G331" s="10">
        <f>_xlfn.XLOOKUP(C331,Tab_Def_Flows[Name(EN)],Tab_Def_Flows[Input_Process],,0,)</f>
        <v>0</v>
      </c>
      <c r="H331" s="18">
        <f>_xlfn.XLOOKUP(C331,Tab_Def_Flows[Name(EN)],Tab_Def_Flows[Process_ID_I],,0,)</f>
        <v>0</v>
      </c>
      <c r="I331" s="10" t="e">
        <f>_xlfn.XLOOKUP(C331,Tab_Def_Flows[Name(EN)],#REF!,,0,)</f>
        <v>#REF!</v>
      </c>
      <c r="J331" s="18">
        <f>_xlfn.XLOOKUP(C331,Tab_Def_Flows[Name(EN)],Tab_Def_Flows[WC?],,0,)</f>
        <v>0</v>
      </c>
      <c r="K331" s="18">
        <f>_xlfn.XLOOKUP(C331,Tab_Def_Flows[Name(EN)],Tab_Def_Flows[DM?],,0,)</f>
        <v>0</v>
      </c>
      <c r="L331" s="18">
        <f>_xlfn.XLOOKUP(C331,Tab_Def_Flows[Name(EN)],Tab_Def_Flows[CC?],,0,)</f>
        <v>0</v>
      </c>
      <c r="M331" s="12"/>
      <c r="N331" s="12"/>
      <c r="O331" s="50"/>
      <c r="P331" s="12"/>
      <c r="Q331" s="12"/>
      <c r="R331" s="12"/>
      <c r="S331" s="24"/>
      <c r="T331" s="12"/>
      <c r="U331" s="12"/>
      <c r="V331" s="12"/>
      <c r="W331" s="12"/>
      <c r="X331" s="12" t="s">
        <v>8</v>
      </c>
      <c r="Y331" s="43"/>
      <c r="Z331" s="12"/>
      <c r="AA331" s="36">
        <f t="shared" si="12"/>
        <v>0</v>
      </c>
      <c r="AB331" s="12" t="s">
        <v>283</v>
      </c>
      <c r="AC331" s="193">
        <f>INDEX(Tab_Def_Flows[[Flow_ID]:[CC_DM_source]],MATCH(Tab_Data_Flows[[#This Row],[Name(EN)]],Tab_Def_Flows[Name(EN)],0),13)</f>
        <v>0</v>
      </c>
      <c r="AD331" s="10" t="str">
        <f>IF(J331="Yes",AA331*Tab_Data_Flows[[#This Row],[WC_'[%']]],"N.A.")</f>
        <v>N.A.</v>
      </c>
      <c r="AE331" s="10" t="str">
        <f>Tab_Data_Flows[[#This Row],[UoM_Flow_Py]]</f>
        <v>Mg</v>
      </c>
      <c r="AF331" s="193">
        <f>INDEX(Tab_Def_Flows[[Flow_ID]:[CC_DM_source]],MATCH(Tab_Data_Flows[[#This Row],[Name(EN)]],Tab_Def_Flows[Name(EN)],0),15)</f>
        <v>0</v>
      </c>
      <c r="AG331" s="10" t="str">
        <f>IF(K331="Yes",AF331*Tab_Data_Flows[[#This Row],[Flow_Py]],"N.A.")</f>
        <v>N.A.</v>
      </c>
      <c r="AH331" s="10" t="str">
        <f>Tab_Data_Flows[[#This Row],[UoM_Flow_Py]]</f>
        <v>Mg</v>
      </c>
      <c r="AI331" s="193">
        <f>INDEX(Tab_Def_Flows[[Flow_ID]:[CC_DM_source]],MATCH(Tab_Data_Flows[[#This Row],[Name(EN)]],Tab_Def_Flows[Name(EN)],0),17)</f>
        <v>0</v>
      </c>
      <c r="AJ331" s="10" t="str">
        <f>IF(L331="Yes",AI331*Tab_Data_Flows[[#This Row],[Flow_Py]]*Tab_Data_Flows[[#This Row],[DM_'[%']]],"N.A.")</f>
        <v>N.A.</v>
      </c>
      <c r="AK331" s="10" t="str">
        <f>Tab_Data_Flows[[#This Row],[UoM_Flow_Py]]</f>
        <v>Mg</v>
      </c>
    </row>
    <row r="332" spans="1:37" x14ac:dyDescent="0.25">
      <c r="A332" s="17">
        <f t="shared" si="11"/>
        <v>331</v>
      </c>
      <c r="B332" s="10" t="str">
        <f>_xlfn.XLOOKUP(C332,Tab_Def_Flows[Name(EN)],Tab_Def_Flows[Flow_ID],,0,)</f>
        <v>N.A.</v>
      </c>
      <c r="C332" s="12" t="s">
        <v>35</v>
      </c>
      <c r="D332" s="10">
        <f>_xlfn.XLOOKUP(C332,Tab_Def_Flows[Name(EN)],Tab_Def_Flows[Type_Biomass],,0,)</f>
        <v>0</v>
      </c>
      <c r="E332" s="10">
        <f>_xlfn.XLOOKUP(C332,Tab_Def_Flows[Name(EN)],Tab_Def_Flows[Output_Process],,0,)</f>
        <v>0</v>
      </c>
      <c r="F332" s="10">
        <f>_xlfn.XLOOKUP(C332,Tab_Def_Flows[Name(EN)],Tab_Def_Flows[Process_ID_O],,0,)</f>
        <v>0</v>
      </c>
      <c r="G332" s="10">
        <f>_xlfn.XLOOKUP(C332,Tab_Def_Flows[Name(EN)],Tab_Def_Flows[Input_Process],,0,)</f>
        <v>0</v>
      </c>
      <c r="H332" s="18">
        <f>_xlfn.XLOOKUP(C332,Tab_Def_Flows[Name(EN)],Tab_Def_Flows[Process_ID_I],,0,)</f>
        <v>0</v>
      </c>
      <c r="I332" s="10" t="e">
        <f>_xlfn.XLOOKUP(C332,Tab_Def_Flows[Name(EN)],#REF!,,0,)</f>
        <v>#REF!</v>
      </c>
      <c r="J332" s="18">
        <f>_xlfn.XLOOKUP(C332,Tab_Def_Flows[Name(EN)],Tab_Def_Flows[WC?],,0,)</f>
        <v>0</v>
      </c>
      <c r="K332" s="18">
        <f>_xlfn.XLOOKUP(C332,Tab_Def_Flows[Name(EN)],Tab_Def_Flows[DM?],,0,)</f>
        <v>0</v>
      </c>
      <c r="L332" s="18">
        <f>_xlfn.XLOOKUP(C332,Tab_Def_Flows[Name(EN)],Tab_Def_Flows[CC?],,0,)</f>
        <v>0</v>
      </c>
      <c r="M332" s="12"/>
      <c r="N332" s="12"/>
      <c r="O332" s="50"/>
      <c r="P332" s="12"/>
      <c r="Q332" s="12"/>
      <c r="R332" s="12"/>
      <c r="S332" s="24"/>
      <c r="T332" s="12"/>
      <c r="U332" s="12"/>
      <c r="V332" s="12"/>
      <c r="W332" s="12"/>
      <c r="X332" s="12" t="s">
        <v>8</v>
      </c>
      <c r="Y332" s="43"/>
      <c r="Z332" s="12"/>
      <c r="AA332" s="36">
        <f t="shared" si="12"/>
        <v>0</v>
      </c>
      <c r="AB332" s="12" t="s">
        <v>283</v>
      </c>
      <c r="AC332" s="193">
        <f>INDEX(Tab_Def_Flows[[Flow_ID]:[CC_DM_source]],MATCH(Tab_Data_Flows[[#This Row],[Name(EN)]],Tab_Def_Flows[Name(EN)],0),13)</f>
        <v>0</v>
      </c>
      <c r="AD332" s="10" t="str">
        <f>IF(J332="Yes",AA332*Tab_Data_Flows[[#This Row],[WC_'[%']]],"N.A.")</f>
        <v>N.A.</v>
      </c>
      <c r="AE332" s="10" t="str">
        <f>Tab_Data_Flows[[#This Row],[UoM_Flow_Py]]</f>
        <v>Mg</v>
      </c>
      <c r="AF332" s="193">
        <f>INDEX(Tab_Def_Flows[[Flow_ID]:[CC_DM_source]],MATCH(Tab_Data_Flows[[#This Row],[Name(EN)]],Tab_Def_Flows[Name(EN)],0),15)</f>
        <v>0</v>
      </c>
      <c r="AG332" s="10" t="str">
        <f>IF(K332="Yes",AF332*Tab_Data_Flows[[#This Row],[Flow_Py]],"N.A.")</f>
        <v>N.A.</v>
      </c>
      <c r="AH332" s="10" t="str">
        <f>Tab_Data_Flows[[#This Row],[UoM_Flow_Py]]</f>
        <v>Mg</v>
      </c>
      <c r="AI332" s="193">
        <f>INDEX(Tab_Def_Flows[[Flow_ID]:[CC_DM_source]],MATCH(Tab_Data_Flows[[#This Row],[Name(EN)]],Tab_Def_Flows[Name(EN)],0),17)</f>
        <v>0</v>
      </c>
      <c r="AJ332" s="10" t="str">
        <f>IF(L332="Yes",AI332*Tab_Data_Flows[[#This Row],[Flow_Py]]*Tab_Data_Flows[[#This Row],[DM_'[%']]],"N.A.")</f>
        <v>N.A.</v>
      </c>
      <c r="AK332" s="10" t="str">
        <f>Tab_Data_Flows[[#This Row],[UoM_Flow_Py]]</f>
        <v>Mg</v>
      </c>
    </row>
    <row r="333" spans="1:37" x14ac:dyDescent="0.25">
      <c r="A333" s="17">
        <f t="shared" si="11"/>
        <v>332</v>
      </c>
      <c r="B333" s="10" t="str">
        <f>_xlfn.XLOOKUP(C333,Tab_Def_Flows[Name(EN)],Tab_Def_Flows[Flow_ID],,0,)</f>
        <v>N.A.</v>
      </c>
      <c r="C333" s="12" t="s">
        <v>35</v>
      </c>
      <c r="D333" s="10">
        <f>_xlfn.XLOOKUP(C333,Tab_Def_Flows[Name(EN)],Tab_Def_Flows[Type_Biomass],,0,)</f>
        <v>0</v>
      </c>
      <c r="E333" s="10">
        <f>_xlfn.XLOOKUP(C333,Tab_Def_Flows[Name(EN)],Tab_Def_Flows[Output_Process],,0,)</f>
        <v>0</v>
      </c>
      <c r="F333" s="10">
        <f>_xlfn.XLOOKUP(C333,Tab_Def_Flows[Name(EN)],Tab_Def_Flows[Process_ID_O],,0,)</f>
        <v>0</v>
      </c>
      <c r="G333" s="10">
        <f>_xlfn.XLOOKUP(C333,Tab_Def_Flows[Name(EN)],Tab_Def_Flows[Input_Process],,0,)</f>
        <v>0</v>
      </c>
      <c r="H333" s="18">
        <f>_xlfn.XLOOKUP(C333,Tab_Def_Flows[Name(EN)],Tab_Def_Flows[Process_ID_I],,0,)</f>
        <v>0</v>
      </c>
      <c r="I333" s="10" t="e">
        <f>_xlfn.XLOOKUP(C333,Tab_Def_Flows[Name(EN)],#REF!,,0,)</f>
        <v>#REF!</v>
      </c>
      <c r="J333" s="18">
        <f>_xlfn.XLOOKUP(C333,Tab_Def_Flows[Name(EN)],Tab_Def_Flows[WC?],,0,)</f>
        <v>0</v>
      </c>
      <c r="K333" s="18">
        <f>_xlfn.XLOOKUP(C333,Tab_Def_Flows[Name(EN)],Tab_Def_Flows[DM?],,0,)</f>
        <v>0</v>
      </c>
      <c r="L333" s="18">
        <f>_xlfn.XLOOKUP(C333,Tab_Def_Flows[Name(EN)],Tab_Def_Flows[CC?],,0,)</f>
        <v>0</v>
      </c>
      <c r="M333" s="12"/>
      <c r="N333" s="12"/>
      <c r="O333" s="50"/>
      <c r="P333" s="12"/>
      <c r="Q333" s="12"/>
      <c r="R333" s="12"/>
      <c r="S333" s="24"/>
      <c r="T333" s="12"/>
      <c r="U333" s="12"/>
      <c r="V333" s="12"/>
      <c r="W333" s="12"/>
      <c r="X333" s="12" t="s">
        <v>8</v>
      </c>
      <c r="Y333" s="43"/>
      <c r="Z333" s="12"/>
      <c r="AA333" s="36">
        <f t="shared" si="12"/>
        <v>0</v>
      </c>
      <c r="AB333" s="12" t="s">
        <v>283</v>
      </c>
      <c r="AC333" s="193">
        <f>INDEX(Tab_Def_Flows[[Flow_ID]:[CC_DM_source]],MATCH(Tab_Data_Flows[[#This Row],[Name(EN)]],Tab_Def_Flows[Name(EN)],0),13)</f>
        <v>0</v>
      </c>
      <c r="AD333" s="10" t="str">
        <f>IF(J333="Yes",AA333*Tab_Data_Flows[[#This Row],[WC_'[%']]],"N.A.")</f>
        <v>N.A.</v>
      </c>
      <c r="AE333" s="10" t="str">
        <f>Tab_Data_Flows[[#This Row],[UoM_Flow_Py]]</f>
        <v>Mg</v>
      </c>
      <c r="AF333" s="193">
        <f>INDEX(Tab_Def_Flows[[Flow_ID]:[CC_DM_source]],MATCH(Tab_Data_Flows[[#This Row],[Name(EN)]],Tab_Def_Flows[Name(EN)],0),15)</f>
        <v>0</v>
      </c>
      <c r="AG333" s="10" t="str">
        <f>IF(K333="Yes",AF333*Tab_Data_Flows[[#This Row],[Flow_Py]],"N.A.")</f>
        <v>N.A.</v>
      </c>
      <c r="AH333" s="10" t="str">
        <f>Tab_Data_Flows[[#This Row],[UoM_Flow_Py]]</f>
        <v>Mg</v>
      </c>
      <c r="AI333" s="193">
        <f>INDEX(Tab_Def_Flows[[Flow_ID]:[CC_DM_source]],MATCH(Tab_Data_Flows[[#This Row],[Name(EN)]],Tab_Def_Flows[Name(EN)],0),17)</f>
        <v>0</v>
      </c>
      <c r="AJ333" s="10" t="str">
        <f>IF(L333="Yes",AI333*Tab_Data_Flows[[#This Row],[Flow_Py]]*Tab_Data_Flows[[#This Row],[DM_'[%']]],"N.A.")</f>
        <v>N.A.</v>
      </c>
      <c r="AK333" s="10" t="str">
        <f>Tab_Data_Flows[[#This Row],[UoM_Flow_Py]]</f>
        <v>Mg</v>
      </c>
    </row>
    <row r="334" spans="1:37" x14ac:dyDescent="0.25">
      <c r="A334" s="17">
        <f t="shared" si="11"/>
        <v>333</v>
      </c>
      <c r="B334" s="10" t="str">
        <f>_xlfn.XLOOKUP(C334,Tab_Def_Flows[Name(EN)],Tab_Def_Flows[Flow_ID],,0,)</f>
        <v>N.A.</v>
      </c>
      <c r="C334" s="12" t="s">
        <v>35</v>
      </c>
      <c r="D334" s="10">
        <f>_xlfn.XLOOKUP(C334,Tab_Def_Flows[Name(EN)],Tab_Def_Flows[Type_Biomass],,0,)</f>
        <v>0</v>
      </c>
      <c r="E334" s="10">
        <f>_xlfn.XLOOKUP(C334,Tab_Def_Flows[Name(EN)],Tab_Def_Flows[Output_Process],,0,)</f>
        <v>0</v>
      </c>
      <c r="F334" s="10">
        <f>_xlfn.XLOOKUP(C334,Tab_Def_Flows[Name(EN)],Tab_Def_Flows[Process_ID_O],,0,)</f>
        <v>0</v>
      </c>
      <c r="G334" s="10">
        <f>_xlfn.XLOOKUP(C334,Tab_Def_Flows[Name(EN)],Tab_Def_Flows[Input_Process],,0,)</f>
        <v>0</v>
      </c>
      <c r="H334" s="18">
        <f>_xlfn.XLOOKUP(C334,Tab_Def_Flows[Name(EN)],Tab_Def_Flows[Process_ID_I],,0,)</f>
        <v>0</v>
      </c>
      <c r="I334" s="10" t="e">
        <f>_xlfn.XLOOKUP(C334,Tab_Def_Flows[Name(EN)],#REF!,,0,)</f>
        <v>#REF!</v>
      </c>
      <c r="J334" s="18">
        <f>_xlfn.XLOOKUP(C334,Tab_Def_Flows[Name(EN)],Tab_Def_Flows[WC?],,0,)</f>
        <v>0</v>
      </c>
      <c r="K334" s="18">
        <f>_xlfn.XLOOKUP(C334,Tab_Def_Flows[Name(EN)],Tab_Def_Flows[DM?],,0,)</f>
        <v>0</v>
      </c>
      <c r="L334" s="18">
        <f>_xlfn.XLOOKUP(C334,Tab_Def_Flows[Name(EN)],Tab_Def_Flows[CC?],,0,)</f>
        <v>0</v>
      </c>
      <c r="M334" s="12"/>
      <c r="N334" s="12"/>
      <c r="O334" s="50"/>
      <c r="P334" s="12"/>
      <c r="Q334" s="12"/>
      <c r="R334" s="12"/>
      <c r="S334" s="12"/>
      <c r="T334" s="12"/>
      <c r="U334" s="12"/>
      <c r="V334" s="12"/>
      <c r="W334" s="12"/>
      <c r="X334" s="12" t="s">
        <v>8</v>
      </c>
      <c r="Y334" s="12"/>
      <c r="Z334" s="12"/>
      <c r="AA334" s="36">
        <f t="shared" si="12"/>
        <v>0</v>
      </c>
      <c r="AB334" s="12" t="s">
        <v>283</v>
      </c>
      <c r="AC334" s="193">
        <f>INDEX(Tab_Def_Flows[[Flow_ID]:[CC_DM_source]],MATCH(Tab_Data_Flows[[#This Row],[Name(EN)]],Tab_Def_Flows[Name(EN)],0),13)</f>
        <v>0</v>
      </c>
      <c r="AD334" s="10" t="str">
        <f>IF(J334="Yes",AA334*Tab_Data_Flows[[#This Row],[WC_'[%']]],"N.A.")</f>
        <v>N.A.</v>
      </c>
      <c r="AE334" s="10" t="str">
        <f>Tab_Data_Flows[[#This Row],[UoM_Flow_Py]]</f>
        <v>Mg</v>
      </c>
      <c r="AF334" s="193">
        <f>INDEX(Tab_Def_Flows[[Flow_ID]:[CC_DM_source]],MATCH(Tab_Data_Flows[[#This Row],[Name(EN)]],Tab_Def_Flows[Name(EN)],0),15)</f>
        <v>0</v>
      </c>
      <c r="AG334" s="10" t="str">
        <f>IF(K334="Yes",AF334*Tab_Data_Flows[[#This Row],[Flow_Py]],"N.A.")</f>
        <v>N.A.</v>
      </c>
      <c r="AH334" s="10" t="str">
        <f>Tab_Data_Flows[[#This Row],[UoM_Flow_Py]]</f>
        <v>Mg</v>
      </c>
      <c r="AI334" s="193">
        <f>INDEX(Tab_Def_Flows[[Flow_ID]:[CC_DM_source]],MATCH(Tab_Data_Flows[[#This Row],[Name(EN)]],Tab_Def_Flows[Name(EN)],0),17)</f>
        <v>0</v>
      </c>
      <c r="AJ334" s="10" t="str">
        <f>IF(L334="Yes",AI334*Tab_Data_Flows[[#This Row],[Flow_Py]]*Tab_Data_Flows[[#This Row],[DM_'[%']]],"N.A.")</f>
        <v>N.A.</v>
      </c>
      <c r="AK334" s="10" t="str">
        <f>Tab_Data_Flows[[#This Row],[UoM_Flow_Py]]</f>
        <v>Mg</v>
      </c>
    </row>
    <row r="335" spans="1:37" x14ac:dyDescent="0.25">
      <c r="A335" s="17">
        <f t="shared" si="11"/>
        <v>334</v>
      </c>
      <c r="B335" s="10" t="str">
        <f>_xlfn.XLOOKUP(C335,Tab_Def_Flows[Name(EN)],Tab_Def_Flows[Flow_ID],,0,)</f>
        <v>N.A.</v>
      </c>
      <c r="C335" s="12" t="s">
        <v>35</v>
      </c>
      <c r="D335" s="10">
        <f>_xlfn.XLOOKUP(C335,Tab_Def_Flows[Name(EN)],Tab_Def_Flows[Type_Biomass],,0,)</f>
        <v>0</v>
      </c>
      <c r="E335" s="10">
        <f>_xlfn.XLOOKUP(C335,Tab_Def_Flows[Name(EN)],Tab_Def_Flows[Output_Process],,0,)</f>
        <v>0</v>
      </c>
      <c r="F335" s="10">
        <f>_xlfn.XLOOKUP(C335,Tab_Def_Flows[Name(EN)],Tab_Def_Flows[Process_ID_O],,0,)</f>
        <v>0</v>
      </c>
      <c r="G335" s="10">
        <f>_xlfn.XLOOKUP(C335,Tab_Def_Flows[Name(EN)],Tab_Def_Flows[Input_Process],,0,)</f>
        <v>0</v>
      </c>
      <c r="H335" s="18">
        <f>_xlfn.XLOOKUP(C335,Tab_Def_Flows[Name(EN)],Tab_Def_Flows[Process_ID_I],,0,)</f>
        <v>0</v>
      </c>
      <c r="I335" s="10" t="e">
        <f>_xlfn.XLOOKUP(C335,Tab_Def_Flows[Name(EN)],#REF!,,0,)</f>
        <v>#REF!</v>
      </c>
      <c r="J335" s="18">
        <f>_xlfn.XLOOKUP(C335,Tab_Def_Flows[Name(EN)],Tab_Def_Flows[WC?],,0,)</f>
        <v>0</v>
      </c>
      <c r="K335" s="18">
        <f>_xlfn.XLOOKUP(C335,Tab_Def_Flows[Name(EN)],Tab_Def_Flows[DM?],,0,)</f>
        <v>0</v>
      </c>
      <c r="L335" s="18">
        <f>_xlfn.XLOOKUP(C335,Tab_Def_Flows[Name(EN)],Tab_Def_Flows[CC?],,0,)</f>
        <v>0</v>
      </c>
      <c r="M335" s="12"/>
      <c r="N335" s="12"/>
      <c r="O335" s="50"/>
      <c r="P335" s="12"/>
      <c r="Q335" s="12"/>
      <c r="R335" s="12"/>
      <c r="S335" s="12"/>
      <c r="T335" s="12"/>
      <c r="U335" s="12"/>
      <c r="V335" s="12"/>
      <c r="W335" s="12"/>
      <c r="X335" s="12" t="s">
        <v>8</v>
      </c>
      <c r="Y335" s="12"/>
      <c r="Z335" s="12"/>
      <c r="AA335" s="36">
        <f t="shared" si="12"/>
        <v>0</v>
      </c>
      <c r="AB335" s="12" t="s">
        <v>283</v>
      </c>
      <c r="AC335" s="193">
        <f>INDEX(Tab_Def_Flows[[Flow_ID]:[CC_DM_source]],MATCH(Tab_Data_Flows[[#This Row],[Name(EN)]],Tab_Def_Flows[Name(EN)],0),13)</f>
        <v>0</v>
      </c>
      <c r="AD335" s="10" t="str">
        <f>IF(J335="Yes",AA335*Tab_Data_Flows[[#This Row],[WC_'[%']]],"N.A.")</f>
        <v>N.A.</v>
      </c>
      <c r="AE335" s="10" t="str">
        <f>Tab_Data_Flows[[#This Row],[UoM_Flow_Py]]</f>
        <v>Mg</v>
      </c>
      <c r="AF335" s="193">
        <f>INDEX(Tab_Def_Flows[[Flow_ID]:[CC_DM_source]],MATCH(Tab_Data_Flows[[#This Row],[Name(EN)]],Tab_Def_Flows[Name(EN)],0),15)</f>
        <v>0</v>
      </c>
      <c r="AG335" s="10" t="str">
        <f>IF(K335="Yes",AF335*Tab_Data_Flows[[#This Row],[Flow_Py]],"N.A.")</f>
        <v>N.A.</v>
      </c>
      <c r="AH335" s="10" t="str">
        <f>Tab_Data_Flows[[#This Row],[UoM_Flow_Py]]</f>
        <v>Mg</v>
      </c>
      <c r="AI335" s="193">
        <f>INDEX(Tab_Def_Flows[[Flow_ID]:[CC_DM_source]],MATCH(Tab_Data_Flows[[#This Row],[Name(EN)]],Tab_Def_Flows[Name(EN)],0),17)</f>
        <v>0</v>
      </c>
      <c r="AJ335" s="10" t="str">
        <f>IF(L335="Yes",AI335*Tab_Data_Flows[[#This Row],[Flow_Py]]*Tab_Data_Flows[[#This Row],[DM_'[%']]],"N.A.")</f>
        <v>N.A.</v>
      </c>
      <c r="AK335" s="10" t="str">
        <f>Tab_Data_Flows[[#This Row],[UoM_Flow_Py]]</f>
        <v>Mg</v>
      </c>
    </row>
    <row r="336" spans="1:37" x14ac:dyDescent="0.25">
      <c r="A336" s="17">
        <f t="shared" si="11"/>
        <v>335</v>
      </c>
      <c r="B336" s="10" t="str">
        <f>_xlfn.XLOOKUP(C336,Tab_Def_Flows[Name(EN)],Tab_Def_Flows[Flow_ID],,0,)</f>
        <v>N.A.</v>
      </c>
      <c r="C336" s="12" t="s">
        <v>35</v>
      </c>
      <c r="D336" s="10">
        <f>_xlfn.XLOOKUP(C336,Tab_Def_Flows[Name(EN)],Tab_Def_Flows[Type_Biomass],,0,)</f>
        <v>0</v>
      </c>
      <c r="E336" s="10">
        <f>_xlfn.XLOOKUP(C336,Tab_Def_Flows[Name(EN)],Tab_Def_Flows[Output_Process],,0,)</f>
        <v>0</v>
      </c>
      <c r="F336" s="10">
        <f>_xlfn.XLOOKUP(C336,Tab_Def_Flows[Name(EN)],Tab_Def_Flows[Process_ID_O],,0,)</f>
        <v>0</v>
      </c>
      <c r="G336" s="10">
        <f>_xlfn.XLOOKUP(C336,Tab_Def_Flows[Name(EN)],Tab_Def_Flows[Input_Process],,0,)</f>
        <v>0</v>
      </c>
      <c r="H336" s="18">
        <f>_xlfn.XLOOKUP(C336,Tab_Def_Flows[Name(EN)],Tab_Def_Flows[Process_ID_I],,0,)</f>
        <v>0</v>
      </c>
      <c r="I336" s="10" t="e">
        <f>_xlfn.XLOOKUP(C336,Tab_Def_Flows[Name(EN)],#REF!,,0,)</f>
        <v>#REF!</v>
      </c>
      <c r="J336" s="18">
        <f>_xlfn.XLOOKUP(C336,Tab_Def_Flows[Name(EN)],Tab_Def_Flows[WC?],,0,)</f>
        <v>0</v>
      </c>
      <c r="K336" s="18">
        <f>_xlfn.XLOOKUP(C336,Tab_Def_Flows[Name(EN)],Tab_Def_Flows[DM?],,0,)</f>
        <v>0</v>
      </c>
      <c r="L336" s="18">
        <f>_xlfn.XLOOKUP(C336,Tab_Def_Flows[Name(EN)],Tab_Def_Flows[CC?],,0,)</f>
        <v>0</v>
      </c>
      <c r="M336" s="12"/>
      <c r="N336" s="12"/>
      <c r="O336" s="50"/>
      <c r="P336" s="12"/>
      <c r="Q336" s="12"/>
      <c r="R336" s="12"/>
      <c r="S336" s="12"/>
      <c r="T336" s="12"/>
      <c r="U336" s="12"/>
      <c r="V336" s="12"/>
      <c r="W336" s="12"/>
      <c r="X336" s="12" t="s">
        <v>8</v>
      </c>
      <c r="Y336" s="12"/>
      <c r="Z336" s="12"/>
      <c r="AA336" s="36">
        <f t="shared" si="12"/>
        <v>0</v>
      </c>
      <c r="AB336" s="12" t="s">
        <v>283</v>
      </c>
      <c r="AC336" s="193">
        <f>INDEX(Tab_Def_Flows[[Flow_ID]:[CC_DM_source]],MATCH(Tab_Data_Flows[[#This Row],[Name(EN)]],Tab_Def_Flows[Name(EN)],0),13)</f>
        <v>0</v>
      </c>
      <c r="AD336" s="10" t="str">
        <f>IF(J336="Yes",AA336*Tab_Data_Flows[[#This Row],[WC_'[%']]],"N.A.")</f>
        <v>N.A.</v>
      </c>
      <c r="AE336" s="10" t="str">
        <f>Tab_Data_Flows[[#This Row],[UoM_Flow_Py]]</f>
        <v>Mg</v>
      </c>
      <c r="AF336" s="193">
        <f>INDEX(Tab_Def_Flows[[Flow_ID]:[CC_DM_source]],MATCH(Tab_Data_Flows[[#This Row],[Name(EN)]],Tab_Def_Flows[Name(EN)],0),15)</f>
        <v>0</v>
      </c>
      <c r="AG336" s="10" t="str">
        <f>IF(K336="Yes",AF336*Tab_Data_Flows[[#This Row],[Flow_Py]],"N.A.")</f>
        <v>N.A.</v>
      </c>
      <c r="AH336" s="10" t="str">
        <f>Tab_Data_Flows[[#This Row],[UoM_Flow_Py]]</f>
        <v>Mg</v>
      </c>
      <c r="AI336" s="193">
        <f>INDEX(Tab_Def_Flows[[Flow_ID]:[CC_DM_source]],MATCH(Tab_Data_Flows[[#This Row],[Name(EN)]],Tab_Def_Flows[Name(EN)],0),17)</f>
        <v>0</v>
      </c>
      <c r="AJ336" s="10" t="str">
        <f>IF(L336="Yes",AI336*Tab_Data_Flows[[#This Row],[Flow_Py]]*Tab_Data_Flows[[#This Row],[DM_'[%']]],"N.A.")</f>
        <v>N.A.</v>
      </c>
      <c r="AK336" s="10" t="str">
        <f>Tab_Data_Flows[[#This Row],[UoM_Flow_Py]]</f>
        <v>Mg</v>
      </c>
    </row>
    <row r="337" spans="1:37" x14ac:dyDescent="0.25">
      <c r="A337" s="17">
        <f t="shared" si="11"/>
        <v>336</v>
      </c>
      <c r="B337" s="10" t="str">
        <f>_xlfn.XLOOKUP(C337,Tab_Def_Flows[Name(EN)],Tab_Def_Flows[Flow_ID],,0,)</f>
        <v>N.A.</v>
      </c>
      <c r="C337" s="12" t="s">
        <v>35</v>
      </c>
      <c r="D337" s="10">
        <f>_xlfn.XLOOKUP(C337,Tab_Def_Flows[Name(EN)],Tab_Def_Flows[Type_Biomass],,0,)</f>
        <v>0</v>
      </c>
      <c r="E337" s="10">
        <f>_xlfn.XLOOKUP(C337,Tab_Def_Flows[Name(EN)],Tab_Def_Flows[Output_Process],,0,)</f>
        <v>0</v>
      </c>
      <c r="F337" s="10">
        <f>_xlfn.XLOOKUP(C337,Tab_Def_Flows[Name(EN)],Tab_Def_Flows[Process_ID_O],,0,)</f>
        <v>0</v>
      </c>
      <c r="G337" s="10">
        <f>_xlfn.XLOOKUP(C337,Tab_Def_Flows[Name(EN)],Tab_Def_Flows[Input_Process],,0,)</f>
        <v>0</v>
      </c>
      <c r="H337" s="18">
        <f>_xlfn.XLOOKUP(C337,Tab_Def_Flows[Name(EN)],Tab_Def_Flows[Process_ID_I],,0,)</f>
        <v>0</v>
      </c>
      <c r="I337" s="10" t="e">
        <f>_xlfn.XLOOKUP(C337,Tab_Def_Flows[Name(EN)],#REF!,,0,)</f>
        <v>#REF!</v>
      </c>
      <c r="J337" s="18">
        <f>_xlfn.XLOOKUP(C337,Tab_Def_Flows[Name(EN)],Tab_Def_Flows[WC?],,0,)</f>
        <v>0</v>
      </c>
      <c r="K337" s="18">
        <f>_xlfn.XLOOKUP(C337,Tab_Def_Flows[Name(EN)],Tab_Def_Flows[DM?],,0,)</f>
        <v>0</v>
      </c>
      <c r="L337" s="18">
        <f>_xlfn.XLOOKUP(C337,Tab_Def_Flows[Name(EN)],Tab_Def_Flows[CC?],,0,)</f>
        <v>0</v>
      </c>
      <c r="M337" s="12"/>
      <c r="N337" s="12"/>
      <c r="O337" s="50"/>
      <c r="P337" s="12"/>
      <c r="Q337" s="12"/>
      <c r="R337" s="12"/>
      <c r="S337" s="12"/>
      <c r="T337" s="12"/>
      <c r="U337" s="12"/>
      <c r="V337" s="12"/>
      <c r="W337" s="12"/>
      <c r="X337" s="12" t="s">
        <v>8</v>
      </c>
      <c r="Y337" s="12"/>
      <c r="Z337" s="12"/>
      <c r="AA337" s="36">
        <f t="shared" si="12"/>
        <v>0</v>
      </c>
      <c r="AB337" s="12" t="s">
        <v>283</v>
      </c>
      <c r="AC337" s="193">
        <f>INDEX(Tab_Def_Flows[[Flow_ID]:[CC_DM_source]],MATCH(Tab_Data_Flows[[#This Row],[Name(EN)]],Tab_Def_Flows[Name(EN)],0),13)</f>
        <v>0</v>
      </c>
      <c r="AD337" s="10" t="str">
        <f>IF(J337="Yes",AA337*Tab_Data_Flows[[#This Row],[WC_'[%']]],"N.A.")</f>
        <v>N.A.</v>
      </c>
      <c r="AE337" s="10" t="str">
        <f>Tab_Data_Flows[[#This Row],[UoM_Flow_Py]]</f>
        <v>Mg</v>
      </c>
      <c r="AF337" s="193">
        <f>INDEX(Tab_Def_Flows[[Flow_ID]:[CC_DM_source]],MATCH(Tab_Data_Flows[[#This Row],[Name(EN)]],Tab_Def_Flows[Name(EN)],0),15)</f>
        <v>0</v>
      </c>
      <c r="AG337" s="10" t="str">
        <f>IF(K337="Yes",AF337*Tab_Data_Flows[[#This Row],[Flow_Py]],"N.A.")</f>
        <v>N.A.</v>
      </c>
      <c r="AH337" s="10" t="str">
        <f>Tab_Data_Flows[[#This Row],[UoM_Flow_Py]]</f>
        <v>Mg</v>
      </c>
      <c r="AI337" s="193">
        <f>INDEX(Tab_Def_Flows[[Flow_ID]:[CC_DM_source]],MATCH(Tab_Data_Flows[[#This Row],[Name(EN)]],Tab_Def_Flows[Name(EN)],0),17)</f>
        <v>0</v>
      </c>
      <c r="AJ337" s="10" t="str">
        <f>IF(L337="Yes",AI337*Tab_Data_Flows[[#This Row],[Flow_Py]]*Tab_Data_Flows[[#This Row],[DM_'[%']]],"N.A.")</f>
        <v>N.A.</v>
      </c>
      <c r="AK337" s="10" t="str">
        <f>Tab_Data_Flows[[#This Row],[UoM_Flow_Py]]</f>
        <v>Mg</v>
      </c>
    </row>
    <row r="338" spans="1:37" x14ac:dyDescent="0.25">
      <c r="A338" s="17">
        <f t="shared" si="11"/>
        <v>337</v>
      </c>
      <c r="B338" s="10" t="str">
        <f>_xlfn.XLOOKUP(C338,Tab_Def_Flows[Name(EN)],Tab_Def_Flows[Flow_ID],,0,)</f>
        <v>N.A.</v>
      </c>
      <c r="C338" s="12" t="s">
        <v>35</v>
      </c>
      <c r="D338" s="10">
        <f>_xlfn.XLOOKUP(C338,Tab_Def_Flows[Name(EN)],Tab_Def_Flows[Type_Biomass],,0,)</f>
        <v>0</v>
      </c>
      <c r="E338" s="10">
        <f>_xlfn.XLOOKUP(C338,Tab_Def_Flows[Name(EN)],Tab_Def_Flows[Output_Process],,0,)</f>
        <v>0</v>
      </c>
      <c r="F338" s="10">
        <f>_xlfn.XLOOKUP(C338,Tab_Def_Flows[Name(EN)],Tab_Def_Flows[Process_ID_O],,0,)</f>
        <v>0</v>
      </c>
      <c r="G338" s="10">
        <f>_xlfn.XLOOKUP(C338,Tab_Def_Flows[Name(EN)],Tab_Def_Flows[Input_Process],,0,)</f>
        <v>0</v>
      </c>
      <c r="H338" s="18">
        <f>_xlfn.XLOOKUP(C338,Tab_Def_Flows[Name(EN)],Tab_Def_Flows[Process_ID_I],,0,)</f>
        <v>0</v>
      </c>
      <c r="I338" s="10" t="e">
        <f>_xlfn.XLOOKUP(C338,Tab_Def_Flows[Name(EN)],#REF!,,0,)</f>
        <v>#REF!</v>
      </c>
      <c r="J338" s="18">
        <f>_xlfn.XLOOKUP(C338,Tab_Def_Flows[Name(EN)],Tab_Def_Flows[WC?],,0,)</f>
        <v>0</v>
      </c>
      <c r="K338" s="18">
        <f>_xlfn.XLOOKUP(C338,Tab_Def_Flows[Name(EN)],Tab_Def_Flows[DM?],,0,)</f>
        <v>0</v>
      </c>
      <c r="L338" s="18">
        <f>_xlfn.XLOOKUP(C338,Tab_Def_Flows[Name(EN)],Tab_Def_Flows[CC?],,0,)</f>
        <v>0</v>
      </c>
      <c r="M338" s="12"/>
      <c r="N338" s="12"/>
      <c r="O338" s="50"/>
      <c r="P338" s="12"/>
      <c r="Q338" s="12"/>
      <c r="R338" s="12"/>
      <c r="S338" s="12"/>
      <c r="T338" s="12"/>
      <c r="U338" s="12"/>
      <c r="V338" s="12"/>
      <c r="W338" s="12"/>
      <c r="X338" s="12" t="s">
        <v>8</v>
      </c>
      <c r="Y338" s="12"/>
      <c r="Z338" s="12"/>
      <c r="AA338" s="36">
        <f t="shared" si="12"/>
        <v>0</v>
      </c>
      <c r="AB338" s="12" t="s">
        <v>283</v>
      </c>
      <c r="AC338" s="193">
        <f>INDEX(Tab_Def_Flows[[Flow_ID]:[CC_DM_source]],MATCH(Tab_Data_Flows[[#This Row],[Name(EN)]],Tab_Def_Flows[Name(EN)],0),13)</f>
        <v>0</v>
      </c>
      <c r="AD338" s="10" t="str">
        <f>IF(J338="Yes",AA338*Tab_Data_Flows[[#This Row],[WC_'[%']]],"N.A.")</f>
        <v>N.A.</v>
      </c>
      <c r="AE338" s="10" t="str">
        <f>Tab_Data_Flows[[#This Row],[UoM_Flow_Py]]</f>
        <v>Mg</v>
      </c>
      <c r="AF338" s="193">
        <f>INDEX(Tab_Def_Flows[[Flow_ID]:[CC_DM_source]],MATCH(Tab_Data_Flows[[#This Row],[Name(EN)]],Tab_Def_Flows[Name(EN)],0),15)</f>
        <v>0</v>
      </c>
      <c r="AG338" s="10" t="str">
        <f>IF(K338="Yes",AF338*Tab_Data_Flows[[#This Row],[Flow_Py]],"N.A.")</f>
        <v>N.A.</v>
      </c>
      <c r="AH338" s="10" t="str">
        <f>Tab_Data_Flows[[#This Row],[UoM_Flow_Py]]</f>
        <v>Mg</v>
      </c>
      <c r="AI338" s="193">
        <f>INDEX(Tab_Def_Flows[[Flow_ID]:[CC_DM_source]],MATCH(Tab_Data_Flows[[#This Row],[Name(EN)]],Tab_Def_Flows[Name(EN)],0),17)</f>
        <v>0</v>
      </c>
      <c r="AJ338" s="10" t="str">
        <f>IF(L338="Yes",AI338*Tab_Data_Flows[[#This Row],[Flow_Py]]*Tab_Data_Flows[[#This Row],[DM_'[%']]],"N.A.")</f>
        <v>N.A.</v>
      </c>
      <c r="AK338" s="10" t="str">
        <f>Tab_Data_Flows[[#This Row],[UoM_Flow_Py]]</f>
        <v>Mg</v>
      </c>
    </row>
    <row r="339" spans="1:37" x14ac:dyDescent="0.25">
      <c r="A339" s="17">
        <f t="shared" si="11"/>
        <v>338</v>
      </c>
      <c r="B339" s="10" t="str">
        <f>_xlfn.XLOOKUP(C339,Tab_Def_Flows[Name(EN)],Tab_Def_Flows[Flow_ID],,0,)</f>
        <v>N.A.</v>
      </c>
      <c r="C339" s="12" t="s">
        <v>35</v>
      </c>
      <c r="D339" s="10">
        <f>_xlfn.XLOOKUP(C339,Tab_Def_Flows[Name(EN)],Tab_Def_Flows[Type_Biomass],,0,)</f>
        <v>0</v>
      </c>
      <c r="E339" s="10">
        <f>_xlfn.XLOOKUP(C339,Tab_Def_Flows[Name(EN)],Tab_Def_Flows[Output_Process],,0,)</f>
        <v>0</v>
      </c>
      <c r="F339" s="10">
        <f>_xlfn.XLOOKUP(C339,Tab_Def_Flows[Name(EN)],Tab_Def_Flows[Process_ID_O],,0,)</f>
        <v>0</v>
      </c>
      <c r="G339" s="10">
        <f>_xlfn.XLOOKUP(C339,Tab_Def_Flows[Name(EN)],Tab_Def_Flows[Input_Process],,0,)</f>
        <v>0</v>
      </c>
      <c r="H339" s="18">
        <f>_xlfn.XLOOKUP(C339,Tab_Def_Flows[Name(EN)],Tab_Def_Flows[Process_ID_I],,0,)</f>
        <v>0</v>
      </c>
      <c r="I339" s="10" t="e">
        <f>_xlfn.XLOOKUP(C339,Tab_Def_Flows[Name(EN)],#REF!,,0,)</f>
        <v>#REF!</v>
      </c>
      <c r="J339" s="18">
        <f>_xlfn.XLOOKUP(C339,Tab_Def_Flows[Name(EN)],Tab_Def_Flows[WC?],,0,)</f>
        <v>0</v>
      </c>
      <c r="K339" s="18">
        <f>_xlfn.XLOOKUP(C339,Tab_Def_Flows[Name(EN)],Tab_Def_Flows[DM?],,0,)</f>
        <v>0</v>
      </c>
      <c r="L339" s="18">
        <f>_xlfn.XLOOKUP(C339,Tab_Def_Flows[Name(EN)],Tab_Def_Flows[CC?],,0,)</f>
        <v>0</v>
      </c>
      <c r="M339" s="12"/>
      <c r="N339" s="12"/>
      <c r="O339" s="50"/>
      <c r="P339" s="12"/>
      <c r="Q339" s="12"/>
      <c r="R339" s="12"/>
      <c r="S339" s="12"/>
      <c r="T339" s="12"/>
      <c r="U339" s="12"/>
      <c r="V339" s="12"/>
      <c r="W339" s="12"/>
      <c r="X339" s="12" t="s">
        <v>8</v>
      </c>
      <c r="Y339" s="12"/>
      <c r="Z339" s="12"/>
      <c r="AA339" s="36">
        <f t="shared" si="12"/>
        <v>0</v>
      </c>
      <c r="AB339" s="12" t="s">
        <v>283</v>
      </c>
      <c r="AC339" s="193">
        <f>INDEX(Tab_Def_Flows[[Flow_ID]:[CC_DM_source]],MATCH(Tab_Data_Flows[[#This Row],[Name(EN)]],Tab_Def_Flows[Name(EN)],0),13)</f>
        <v>0</v>
      </c>
      <c r="AD339" s="10" t="str">
        <f>IF(J339="Yes",AA339*Tab_Data_Flows[[#This Row],[WC_'[%']]],"N.A.")</f>
        <v>N.A.</v>
      </c>
      <c r="AE339" s="10" t="str">
        <f>Tab_Data_Flows[[#This Row],[UoM_Flow_Py]]</f>
        <v>Mg</v>
      </c>
      <c r="AF339" s="193">
        <f>INDEX(Tab_Def_Flows[[Flow_ID]:[CC_DM_source]],MATCH(Tab_Data_Flows[[#This Row],[Name(EN)]],Tab_Def_Flows[Name(EN)],0),15)</f>
        <v>0</v>
      </c>
      <c r="AG339" s="10" t="str">
        <f>IF(K339="Yes",AF339*Tab_Data_Flows[[#This Row],[Flow_Py]],"N.A.")</f>
        <v>N.A.</v>
      </c>
      <c r="AH339" s="10" t="str">
        <f>Tab_Data_Flows[[#This Row],[UoM_Flow_Py]]</f>
        <v>Mg</v>
      </c>
      <c r="AI339" s="193">
        <f>INDEX(Tab_Def_Flows[[Flow_ID]:[CC_DM_source]],MATCH(Tab_Data_Flows[[#This Row],[Name(EN)]],Tab_Def_Flows[Name(EN)],0),17)</f>
        <v>0</v>
      </c>
      <c r="AJ339" s="10" t="str">
        <f>IF(L339="Yes",AI339*Tab_Data_Flows[[#This Row],[Flow_Py]]*Tab_Data_Flows[[#This Row],[DM_'[%']]],"N.A.")</f>
        <v>N.A.</v>
      </c>
      <c r="AK339" s="10" t="str">
        <f>Tab_Data_Flows[[#This Row],[UoM_Flow_Py]]</f>
        <v>Mg</v>
      </c>
    </row>
    <row r="340" spans="1:37" x14ac:dyDescent="0.25">
      <c r="A340" s="17">
        <f t="shared" si="11"/>
        <v>339</v>
      </c>
      <c r="B340" s="10" t="str">
        <f>_xlfn.XLOOKUP(C340,Tab_Def_Flows[Name(EN)],Tab_Def_Flows[Flow_ID],,0,)</f>
        <v>N.A.</v>
      </c>
      <c r="C340" s="12" t="s">
        <v>35</v>
      </c>
      <c r="D340" s="10">
        <f>_xlfn.XLOOKUP(C340,Tab_Def_Flows[Name(EN)],Tab_Def_Flows[Type_Biomass],,0,)</f>
        <v>0</v>
      </c>
      <c r="E340" s="10">
        <f>_xlfn.XLOOKUP(C340,Tab_Def_Flows[Name(EN)],Tab_Def_Flows[Output_Process],,0,)</f>
        <v>0</v>
      </c>
      <c r="F340" s="10">
        <f>_xlfn.XLOOKUP(C340,Tab_Def_Flows[Name(EN)],Tab_Def_Flows[Process_ID_O],,0,)</f>
        <v>0</v>
      </c>
      <c r="G340" s="10">
        <f>_xlfn.XLOOKUP(C340,Tab_Def_Flows[Name(EN)],Tab_Def_Flows[Input_Process],,0,)</f>
        <v>0</v>
      </c>
      <c r="H340" s="18">
        <f>_xlfn.XLOOKUP(C340,Tab_Def_Flows[Name(EN)],Tab_Def_Flows[Process_ID_I],,0,)</f>
        <v>0</v>
      </c>
      <c r="I340" s="10" t="e">
        <f>_xlfn.XLOOKUP(C340,Tab_Def_Flows[Name(EN)],#REF!,,0,)</f>
        <v>#REF!</v>
      </c>
      <c r="J340" s="18">
        <f>_xlfn.XLOOKUP(C340,Tab_Def_Flows[Name(EN)],Tab_Def_Flows[WC?],,0,)</f>
        <v>0</v>
      </c>
      <c r="K340" s="18">
        <f>_xlfn.XLOOKUP(C340,Tab_Def_Flows[Name(EN)],Tab_Def_Flows[DM?],,0,)</f>
        <v>0</v>
      </c>
      <c r="L340" s="18">
        <f>_xlfn.XLOOKUP(C340,Tab_Def_Flows[Name(EN)],Tab_Def_Flows[CC?],,0,)</f>
        <v>0</v>
      </c>
      <c r="M340" s="12"/>
      <c r="N340" s="12"/>
      <c r="O340" s="50"/>
      <c r="P340" s="12"/>
      <c r="Q340" s="12"/>
      <c r="R340" s="12"/>
      <c r="S340" s="12"/>
      <c r="T340" s="12"/>
      <c r="U340" s="12"/>
      <c r="V340" s="12"/>
      <c r="W340" s="12"/>
      <c r="X340" s="12" t="s">
        <v>8</v>
      </c>
      <c r="Y340" s="12"/>
      <c r="Z340" s="12"/>
      <c r="AA340" s="36">
        <f t="shared" si="12"/>
        <v>0</v>
      </c>
      <c r="AB340" s="12" t="s">
        <v>283</v>
      </c>
      <c r="AC340" s="193">
        <f>INDEX(Tab_Def_Flows[[Flow_ID]:[CC_DM_source]],MATCH(Tab_Data_Flows[[#This Row],[Name(EN)]],Tab_Def_Flows[Name(EN)],0),13)</f>
        <v>0</v>
      </c>
      <c r="AD340" s="10" t="str">
        <f>IF(J340="Yes",AA340*Tab_Data_Flows[[#This Row],[WC_'[%']]],"N.A.")</f>
        <v>N.A.</v>
      </c>
      <c r="AE340" s="10" t="str">
        <f>Tab_Data_Flows[[#This Row],[UoM_Flow_Py]]</f>
        <v>Mg</v>
      </c>
      <c r="AF340" s="193">
        <f>INDEX(Tab_Def_Flows[[Flow_ID]:[CC_DM_source]],MATCH(Tab_Data_Flows[[#This Row],[Name(EN)]],Tab_Def_Flows[Name(EN)],0),15)</f>
        <v>0</v>
      </c>
      <c r="AG340" s="10" t="str">
        <f>IF(K340="Yes",AF340*Tab_Data_Flows[[#This Row],[Flow_Py]],"N.A.")</f>
        <v>N.A.</v>
      </c>
      <c r="AH340" s="10" t="str">
        <f>Tab_Data_Flows[[#This Row],[UoM_Flow_Py]]</f>
        <v>Mg</v>
      </c>
      <c r="AI340" s="193">
        <f>INDEX(Tab_Def_Flows[[Flow_ID]:[CC_DM_source]],MATCH(Tab_Data_Flows[[#This Row],[Name(EN)]],Tab_Def_Flows[Name(EN)],0),17)</f>
        <v>0</v>
      </c>
      <c r="AJ340" s="10" t="str">
        <f>IF(L340="Yes",AI340*Tab_Data_Flows[[#This Row],[Flow_Py]]*Tab_Data_Flows[[#This Row],[DM_'[%']]],"N.A.")</f>
        <v>N.A.</v>
      </c>
      <c r="AK340" s="10" t="str">
        <f>Tab_Data_Flows[[#This Row],[UoM_Flow_Py]]</f>
        <v>Mg</v>
      </c>
    </row>
    <row r="341" spans="1:37" x14ac:dyDescent="0.25">
      <c r="A341" s="17">
        <f t="shared" si="11"/>
        <v>340</v>
      </c>
      <c r="B341" s="10" t="str">
        <f>_xlfn.XLOOKUP(C341,Tab_Def_Flows[Name(EN)],Tab_Def_Flows[Flow_ID],,0,)</f>
        <v>N.A.</v>
      </c>
      <c r="C341" s="12" t="s">
        <v>35</v>
      </c>
      <c r="D341" s="10">
        <f>_xlfn.XLOOKUP(C341,Tab_Def_Flows[Name(EN)],Tab_Def_Flows[Type_Biomass],,0,)</f>
        <v>0</v>
      </c>
      <c r="E341" s="10">
        <f>_xlfn.XLOOKUP(C341,Tab_Def_Flows[Name(EN)],Tab_Def_Flows[Output_Process],,0,)</f>
        <v>0</v>
      </c>
      <c r="F341" s="10">
        <f>_xlfn.XLOOKUP(C341,Tab_Def_Flows[Name(EN)],Tab_Def_Flows[Process_ID_O],,0,)</f>
        <v>0</v>
      </c>
      <c r="G341" s="10">
        <f>_xlfn.XLOOKUP(C341,Tab_Def_Flows[Name(EN)],Tab_Def_Flows[Input_Process],,0,)</f>
        <v>0</v>
      </c>
      <c r="H341" s="18">
        <f>_xlfn.XLOOKUP(C341,Tab_Def_Flows[Name(EN)],Tab_Def_Flows[Process_ID_I],,0,)</f>
        <v>0</v>
      </c>
      <c r="I341" s="10" t="e">
        <f>_xlfn.XLOOKUP(C341,Tab_Def_Flows[Name(EN)],#REF!,,0,)</f>
        <v>#REF!</v>
      </c>
      <c r="J341" s="18">
        <f>_xlfn.XLOOKUP(C341,Tab_Def_Flows[Name(EN)],Tab_Def_Flows[WC?],,0,)</f>
        <v>0</v>
      </c>
      <c r="K341" s="18">
        <f>_xlfn.XLOOKUP(C341,Tab_Def_Flows[Name(EN)],Tab_Def_Flows[DM?],,0,)</f>
        <v>0</v>
      </c>
      <c r="L341" s="18">
        <f>_xlfn.XLOOKUP(C341,Tab_Def_Flows[Name(EN)],Tab_Def_Flows[CC?],,0,)</f>
        <v>0</v>
      </c>
      <c r="M341" s="12"/>
      <c r="N341" s="12"/>
      <c r="O341" s="50"/>
      <c r="P341" s="12"/>
      <c r="Q341" s="12"/>
      <c r="R341" s="12"/>
      <c r="S341" s="12"/>
      <c r="T341" s="12"/>
      <c r="U341" s="12"/>
      <c r="V341" s="12"/>
      <c r="W341" s="12"/>
      <c r="X341" s="12" t="s">
        <v>8</v>
      </c>
      <c r="Y341" s="12"/>
      <c r="Z341" s="12"/>
      <c r="AA341" s="36">
        <f t="shared" si="12"/>
        <v>0</v>
      </c>
      <c r="AB341" s="12" t="s">
        <v>283</v>
      </c>
      <c r="AC341" s="193">
        <f>INDEX(Tab_Def_Flows[[Flow_ID]:[CC_DM_source]],MATCH(Tab_Data_Flows[[#This Row],[Name(EN)]],Tab_Def_Flows[Name(EN)],0),13)</f>
        <v>0</v>
      </c>
      <c r="AD341" s="10" t="str">
        <f>IF(J341="Yes",AA341*Tab_Data_Flows[[#This Row],[WC_'[%']]],"N.A.")</f>
        <v>N.A.</v>
      </c>
      <c r="AE341" s="10" t="str">
        <f>Tab_Data_Flows[[#This Row],[UoM_Flow_Py]]</f>
        <v>Mg</v>
      </c>
      <c r="AF341" s="193">
        <f>INDEX(Tab_Def_Flows[[Flow_ID]:[CC_DM_source]],MATCH(Tab_Data_Flows[[#This Row],[Name(EN)]],Tab_Def_Flows[Name(EN)],0),15)</f>
        <v>0</v>
      </c>
      <c r="AG341" s="10" t="str">
        <f>IF(K341="Yes",AF341*Tab_Data_Flows[[#This Row],[Flow_Py]],"N.A.")</f>
        <v>N.A.</v>
      </c>
      <c r="AH341" s="10" t="str">
        <f>Tab_Data_Flows[[#This Row],[UoM_Flow_Py]]</f>
        <v>Mg</v>
      </c>
      <c r="AI341" s="193">
        <f>INDEX(Tab_Def_Flows[[Flow_ID]:[CC_DM_source]],MATCH(Tab_Data_Flows[[#This Row],[Name(EN)]],Tab_Def_Flows[Name(EN)],0),17)</f>
        <v>0</v>
      </c>
      <c r="AJ341" s="10" t="str">
        <f>IF(L341="Yes",AI341*Tab_Data_Flows[[#This Row],[Flow_Py]]*Tab_Data_Flows[[#This Row],[DM_'[%']]],"N.A.")</f>
        <v>N.A.</v>
      </c>
      <c r="AK341" s="10" t="str">
        <f>Tab_Data_Flows[[#This Row],[UoM_Flow_Py]]</f>
        <v>Mg</v>
      </c>
    </row>
    <row r="342" spans="1:37" x14ac:dyDescent="0.25">
      <c r="A342" s="17">
        <f t="shared" si="11"/>
        <v>341</v>
      </c>
      <c r="B342" s="10" t="str">
        <f>_xlfn.XLOOKUP(C342,Tab_Def_Flows[Name(EN)],Tab_Def_Flows[Flow_ID],,0,)</f>
        <v>N.A.</v>
      </c>
      <c r="C342" s="12" t="s">
        <v>35</v>
      </c>
      <c r="D342" s="10">
        <f>_xlfn.XLOOKUP(C342,Tab_Def_Flows[Name(EN)],Tab_Def_Flows[Type_Biomass],,0,)</f>
        <v>0</v>
      </c>
      <c r="E342" s="10">
        <f>_xlfn.XLOOKUP(C342,Tab_Def_Flows[Name(EN)],Tab_Def_Flows[Output_Process],,0,)</f>
        <v>0</v>
      </c>
      <c r="F342" s="10">
        <f>_xlfn.XLOOKUP(C342,Tab_Def_Flows[Name(EN)],Tab_Def_Flows[Process_ID_O],,0,)</f>
        <v>0</v>
      </c>
      <c r="G342" s="10">
        <f>_xlfn.XLOOKUP(C342,Tab_Def_Flows[Name(EN)],Tab_Def_Flows[Input_Process],,0,)</f>
        <v>0</v>
      </c>
      <c r="H342" s="18">
        <f>_xlfn.XLOOKUP(C342,Tab_Def_Flows[Name(EN)],Tab_Def_Flows[Process_ID_I],,0,)</f>
        <v>0</v>
      </c>
      <c r="I342" s="10" t="e">
        <f>_xlfn.XLOOKUP(C342,Tab_Def_Flows[Name(EN)],#REF!,,0,)</f>
        <v>#REF!</v>
      </c>
      <c r="J342" s="18">
        <f>_xlfn.XLOOKUP(C342,Tab_Def_Flows[Name(EN)],Tab_Def_Flows[WC?],,0,)</f>
        <v>0</v>
      </c>
      <c r="K342" s="18">
        <f>_xlfn.XLOOKUP(C342,Tab_Def_Flows[Name(EN)],Tab_Def_Flows[DM?],,0,)</f>
        <v>0</v>
      </c>
      <c r="L342" s="18">
        <f>_xlfn.XLOOKUP(C342,Tab_Def_Flows[Name(EN)],Tab_Def_Flows[CC?],,0,)</f>
        <v>0</v>
      </c>
      <c r="M342" s="12"/>
      <c r="N342" s="12"/>
      <c r="O342" s="50"/>
      <c r="P342" s="12"/>
      <c r="Q342" s="12"/>
      <c r="R342" s="12"/>
      <c r="S342" s="12"/>
      <c r="T342" s="12"/>
      <c r="U342" s="12"/>
      <c r="V342" s="12"/>
      <c r="W342" s="12"/>
      <c r="X342" s="12" t="s">
        <v>8</v>
      </c>
      <c r="Y342" s="12"/>
      <c r="Z342" s="12"/>
      <c r="AA342" s="36">
        <f t="shared" si="12"/>
        <v>0</v>
      </c>
      <c r="AB342" s="12" t="s">
        <v>283</v>
      </c>
      <c r="AC342" s="193">
        <f>INDEX(Tab_Def_Flows[[Flow_ID]:[CC_DM_source]],MATCH(Tab_Data_Flows[[#This Row],[Name(EN)]],Tab_Def_Flows[Name(EN)],0),13)</f>
        <v>0</v>
      </c>
      <c r="AD342" s="10" t="str">
        <f>IF(J342="Yes",AA342*Tab_Data_Flows[[#This Row],[WC_'[%']]],"N.A.")</f>
        <v>N.A.</v>
      </c>
      <c r="AE342" s="10" t="str">
        <f>Tab_Data_Flows[[#This Row],[UoM_Flow_Py]]</f>
        <v>Mg</v>
      </c>
      <c r="AF342" s="193">
        <f>INDEX(Tab_Def_Flows[[Flow_ID]:[CC_DM_source]],MATCH(Tab_Data_Flows[[#This Row],[Name(EN)]],Tab_Def_Flows[Name(EN)],0),15)</f>
        <v>0</v>
      </c>
      <c r="AG342" s="10" t="str">
        <f>IF(K342="Yes",AF342*Tab_Data_Flows[[#This Row],[Flow_Py]],"N.A.")</f>
        <v>N.A.</v>
      </c>
      <c r="AH342" s="10" t="str">
        <f>Tab_Data_Flows[[#This Row],[UoM_Flow_Py]]</f>
        <v>Mg</v>
      </c>
      <c r="AI342" s="193">
        <f>INDEX(Tab_Def_Flows[[Flow_ID]:[CC_DM_source]],MATCH(Tab_Data_Flows[[#This Row],[Name(EN)]],Tab_Def_Flows[Name(EN)],0),17)</f>
        <v>0</v>
      </c>
      <c r="AJ342" s="10" t="str">
        <f>IF(L342="Yes",AI342*Tab_Data_Flows[[#This Row],[Flow_Py]]*Tab_Data_Flows[[#This Row],[DM_'[%']]],"N.A.")</f>
        <v>N.A.</v>
      </c>
      <c r="AK342" s="10" t="str">
        <f>Tab_Data_Flows[[#This Row],[UoM_Flow_Py]]</f>
        <v>Mg</v>
      </c>
    </row>
    <row r="343" spans="1:37" x14ac:dyDescent="0.25">
      <c r="A343" s="17">
        <f t="shared" si="11"/>
        <v>342</v>
      </c>
      <c r="B343" s="10" t="str">
        <f>_xlfn.XLOOKUP(C343,Tab_Def_Flows[Name(EN)],Tab_Def_Flows[Flow_ID],,0,)</f>
        <v>N.A.</v>
      </c>
      <c r="C343" s="12" t="s">
        <v>35</v>
      </c>
      <c r="D343" s="10">
        <f>_xlfn.XLOOKUP(C343,Tab_Def_Flows[Name(EN)],Tab_Def_Flows[Type_Biomass],,0,)</f>
        <v>0</v>
      </c>
      <c r="E343" s="10">
        <f>_xlfn.XLOOKUP(C343,Tab_Def_Flows[Name(EN)],Tab_Def_Flows[Output_Process],,0,)</f>
        <v>0</v>
      </c>
      <c r="F343" s="10">
        <f>_xlfn.XLOOKUP(C343,Tab_Def_Flows[Name(EN)],Tab_Def_Flows[Process_ID_O],,0,)</f>
        <v>0</v>
      </c>
      <c r="G343" s="10">
        <f>_xlfn.XLOOKUP(C343,Tab_Def_Flows[Name(EN)],Tab_Def_Flows[Input_Process],,0,)</f>
        <v>0</v>
      </c>
      <c r="H343" s="18">
        <f>_xlfn.XLOOKUP(C343,Tab_Def_Flows[Name(EN)],Tab_Def_Flows[Process_ID_I],,0,)</f>
        <v>0</v>
      </c>
      <c r="I343" s="10" t="e">
        <f>_xlfn.XLOOKUP(C343,Tab_Def_Flows[Name(EN)],#REF!,,0,)</f>
        <v>#REF!</v>
      </c>
      <c r="J343" s="18">
        <f>_xlfn.XLOOKUP(C343,Tab_Def_Flows[Name(EN)],Tab_Def_Flows[WC?],,0,)</f>
        <v>0</v>
      </c>
      <c r="K343" s="18">
        <f>_xlfn.XLOOKUP(C343,Tab_Def_Flows[Name(EN)],Tab_Def_Flows[DM?],,0,)</f>
        <v>0</v>
      </c>
      <c r="L343" s="18">
        <f>_xlfn.XLOOKUP(C343,Tab_Def_Flows[Name(EN)],Tab_Def_Flows[CC?],,0,)</f>
        <v>0</v>
      </c>
      <c r="M343" s="12"/>
      <c r="N343" s="12"/>
      <c r="O343" s="50"/>
      <c r="P343" s="12"/>
      <c r="Q343" s="12"/>
      <c r="R343" s="12"/>
      <c r="S343" s="12"/>
      <c r="T343" s="12"/>
      <c r="U343" s="12"/>
      <c r="V343" s="12"/>
      <c r="W343" s="12"/>
      <c r="X343" s="12" t="s">
        <v>8</v>
      </c>
      <c r="Y343" s="12"/>
      <c r="Z343" s="12"/>
      <c r="AA343" s="36">
        <f t="shared" si="12"/>
        <v>0</v>
      </c>
      <c r="AB343" s="12" t="s">
        <v>283</v>
      </c>
      <c r="AC343" s="193">
        <f>INDEX(Tab_Def_Flows[[Flow_ID]:[CC_DM_source]],MATCH(Tab_Data_Flows[[#This Row],[Name(EN)]],Tab_Def_Flows[Name(EN)],0),13)</f>
        <v>0</v>
      </c>
      <c r="AD343" s="10" t="str">
        <f>IF(J343="Yes",AA343*Tab_Data_Flows[[#This Row],[WC_'[%']]],"N.A.")</f>
        <v>N.A.</v>
      </c>
      <c r="AE343" s="10" t="str">
        <f>Tab_Data_Flows[[#This Row],[UoM_Flow_Py]]</f>
        <v>Mg</v>
      </c>
      <c r="AF343" s="193">
        <f>INDEX(Tab_Def_Flows[[Flow_ID]:[CC_DM_source]],MATCH(Tab_Data_Flows[[#This Row],[Name(EN)]],Tab_Def_Flows[Name(EN)],0),15)</f>
        <v>0</v>
      </c>
      <c r="AG343" s="10" t="str">
        <f>IF(K343="Yes",AF343*Tab_Data_Flows[[#This Row],[Flow_Py]],"N.A.")</f>
        <v>N.A.</v>
      </c>
      <c r="AH343" s="10" t="str">
        <f>Tab_Data_Flows[[#This Row],[UoM_Flow_Py]]</f>
        <v>Mg</v>
      </c>
      <c r="AI343" s="193">
        <f>INDEX(Tab_Def_Flows[[Flow_ID]:[CC_DM_source]],MATCH(Tab_Data_Flows[[#This Row],[Name(EN)]],Tab_Def_Flows[Name(EN)],0),17)</f>
        <v>0</v>
      </c>
      <c r="AJ343" s="10" t="str">
        <f>IF(L343="Yes",AI343*Tab_Data_Flows[[#This Row],[Flow_Py]]*Tab_Data_Flows[[#This Row],[DM_'[%']]],"N.A.")</f>
        <v>N.A.</v>
      </c>
      <c r="AK343" s="10" t="str">
        <f>Tab_Data_Flows[[#This Row],[UoM_Flow_Py]]</f>
        <v>Mg</v>
      </c>
    </row>
    <row r="344" spans="1:37" x14ac:dyDescent="0.25">
      <c r="A344" s="17">
        <f t="shared" si="11"/>
        <v>343</v>
      </c>
      <c r="B344" s="10" t="str">
        <f>_xlfn.XLOOKUP(C344,Tab_Def_Flows[Name(EN)],Tab_Def_Flows[Flow_ID],,0,)</f>
        <v>N.A.</v>
      </c>
      <c r="C344" s="12" t="s">
        <v>35</v>
      </c>
      <c r="D344" s="10">
        <f>_xlfn.XLOOKUP(C344,Tab_Def_Flows[Name(EN)],Tab_Def_Flows[Type_Biomass],,0,)</f>
        <v>0</v>
      </c>
      <c r="E344" s="10">
        <f>_xlfn.XLOOKUP(C344,Tab_Def_Flows[Name(EN)],Tab_Def_Flows[Output_Process],,0,)</f>
        <v>0</v>
      </c>
      <c r="F344" s="10">
        <f>_xlfn.XLOOKUP(C344,Tab_Def_Flows[Name(EN)],Tab_Def_Flows[Process_ID_O],,0,)</f>
        <v>0</v>
      </c>
      <c r="G344" s="10">
        <f>_xlfn.XLOOKUP(C344,Tab_Def_Flows[Name(EN)],Tab_Def_Flows[Input_Process],,0,)</f>
        <v>0</v>
      </c>
      <c r="H344" s="18">
        <f>_xlfn.XLOOKUP(C344,Tab_Def_Flows[Name(EN)],Tab_Def_Flows[Process_ID_I],,0,)</f>
        <v>0</v>
      </c>
      <c r="I344" s="10" t="e">
        <f>_xlfn.XLOOKUP(C344,Tab_Def_Flows[Name(EN)],#REF!,,0,)</f>
        <v>#REF!</v>
      </c>
      <c r="J344" s="18">
        <f>_xlfn.XLOOKUP(C344,Tab_Def_Flows[Name(EN)],Tab_Def_Flows[WC?],,0,)</f>
        <v>0</v>
      </c>
      <c r="K344" s="18">
        <f>_xlfn.XLOOKUP(C344,Tab_Def_Flows[Name(EN)],Tab_Def_Flows[DM?],,0,)</f>
        <v>0</v>
      </c>
      <c r="L344" s="18">
        <f>_xlfn.XLOOKUP(C344,Tab_Def_Flows[Name(EN)],Tab_Def_Flows[CC?],,0,)</f>
        <v>0</v>
      </c>
      <c r="M344" s="12"/>
      <c r="N344" s="12"/>
      <c r="O344" s="50"/>
      <c r="P344" s="12"/>
      <c r="Q344" s="12"/>
      <c r="R344" s="12"/>
      <c r="S344" s="12"/>
      <c r="T344" s="12"/>
      <c r="U344" s="12"/>
      <c r="V344" s="12"/>
      <c r="W344" s="12"/>
      <c r="X344" s="12" t="s">
        <v>8</v>
      </c>
      <c r="Y344" s="12"/>
      <c r="Z344" s="12"/>
      <c r="AA344" s="36">
        <f t="shared" si="12"/>
        <v>0</v>
      </c>
      <c r="AB344" s="12" t="s">
        <v>283</v>
      </c>
      <c r="AC344" s="193">
        <f>INDEX(Tab_Def_Flows[[Flow_ID]:[CC_DM_source]],MATCH(Tab_Data_Flows[[#This Row],[Name(EN)]],Tab_Def_Flows[Name(EN)],0),13)</f>
        <v>0</v>
      </c>
      <c r="AD344" s="10" t="str">
        <f>IF(J344="Yes",AA344*Tab_Data_Flows[[#This Row],[WC_'[%']]],"N.A.")</f>
        <v>N.A.</v>
      </c>
      <c r="AE344" s="10" t="str">
        <f>Tab_Data_Flows[[#This Row],[UoM_Flow_Py]]</f>
        <v>Mg</v>
      </c>
      <c r="AF344" s="193">
        <f>INDEX(Tab_Def_Flows[[Flow_ID]:[CC_DM_source]],MATCH(Tab_Data_Flows[[#This Row],[Name(EN)]],Tab_Def_Flows[Name(EN)],0),15)</f>
        <v>0</v>
      </c>
      <c r="AG344" s="10" t="str">
        <f>IF(K344="Yes",AF344*Tab_Data_Flows[[#This Row],[Flow_Py]],"N.A.")</f>
        <v>N.A.</v>
      </c>
      <c r="AH344" s="10" t="str">
        <f>Tab_Data_Flows[[#This Row],[UoM_Flow_Py]]</f>
        <v>Mg</v>
      </c>
      <c r="AI344" s="193">
        <f>INDEX(Tab_Def_Flows[[Flow_ID]:[CC_DM_source]],MATCH(Tab_Data_Flows[[#This Row],[Name(EN)]],Tab_Def_Flows[Name(EN)],0),17)</f>
        <v>0</v>
      </c>
      <c r="AJ344" s="10" t="str">
        <f>IF(L344="Yes",AI344*Tab_Data_Flows[[#This Row],[Flow_Py]]*Tab_Data_Flows[[#This Row],[DM_'[%']]],"N.A.")</f>
        <v>N.A.</v>
      </c>
      <c r="AK344" s="10" t="str">
        <f>Tab_Data_Flows[[#This Row],[UoM_Flow_Py]]</f>
        <v>Mg</v>
      </c>
    </row>
    <row r="345" spans="1:37" x14ac:dyDescent="0.25">
      <c r="A345" s="17">
        <f t="shared" si="11"/>
        <v>344</v>
      </c>
      <c r="B345" s="10" t="str">
        <f>_xlfn.XLOOKUP(C345,Tab_Def_Flows[Name(EN)],Tab_Def_Flows[Flow_ID],,0,)</f>
        <v>N.A.</v>
      </c>
      <c r="C345" s="12" t="s">
        <v>35</v>
      </c>
      <c r="D345" s="10">
        <f>_xlfn.XLOOKUP(C345,Tab_Def_Flows[Name(EN)],Tab_Def_Flows[Type_Biomass],,0,)</f>
        <v>0</v>
      </c>
      <c r="E345" s="10">
        <f>_xlfn.XLOOKUP(C345,Tab_Def_Flows[Name(EN)],Tab_Def_Flows[Output_Process],,0,)</f>
        <v>0</v>
      </c>
      <c r="F345" s="10">
        <f>_xlfn.XLOOKUP(C345,Tab_Def_Flows[Name(EN)],Tab_Def_Flows[Process_ID_O],,0,)</f>
        <v>0</v>
      </c>
      <c r="G345" s="10">
        <f>_xlfn.XLOOKUP(C345,Tab_Def_Flows[Name(EN)],Tab_Def_Flows[Input_Process],,0,)</f>
        <v>0</v>
      </c>
      <c r="H345" s="18">
        <f>_xlfn.XLOOKUP(C345,Tab_Def_Flows[Name(EN)],Tab_Def_Flows[Process_ID_I],,0,)</f>
        <v>0</v>
      </c>
      <c r="I345" s="10" t="e">
        <f>_xlfn.XLOOKUP(C345,Tab_Def_Flows[Name(EN)],#REF!,,0,)</f>
        <v>#REF!</v>
      </c>
      <c r="J345" s="18">
        <f>_xlfn.XLOOKUP(C345,Tab_Def_Flows[Name(EN)],Tab_Def_Flows[WC?],,0,)</f>
        <v>0</v>
      </c>
      <c r="K345" s="18">
        <f>_xlfn.XLOOKUP(C345,Tab_Def_Flows[Name(EN)],Tab_Def_Flows[DM?],,0,)</f>
        <v>0</v>
      </c>
      <c r="L345" s="18">
        <f>_xlfn.XLOOKUP(C345,Tab_Def_Flows[Name(EN)],Tab_Def_Flows[CC?],,0,)</f>
        <v>0</v>
      </c>
      <c r="M345" s="12"/>
      <c r="N345" s="12"/>
      <c r="O345" s="50"/>
      <c r="P345" s="12"/>
      <c r="Q345" s="12"/>
      <c r="R345" s="12"/>
      <c r="S345" s="12"/>
      <c r="T345" s="12"/>
      <c r="U345" s="12"/>
      <c r="V345" s="12"/>
      <c r="W345" s="12"/>
      <c r="X345" s="12" t="s">
        <v>8</v>
      </c>
      <c r="Y345" s="12"/>
      <c r="Z345" s="12"/>
      <c r="AA345" s="36">
        <f t="shared" si="12"/>
        <v>0</v>
      </c>
      <c r="AB345" s="12" t="s">
        <v>283</v>
      </c>
      <c r="AC345" s="193">
        <f>INDEX(Tab_Def_Flows[[Flow_ID]:[CC_DM_source]],MATCH(Tab_Data_Flows[[#This Row],[Name(EN)]],Tab_Def_Flows[Name(EN)],0),13)</f>
        <v>0</v>
      </c>
      <c r="AD345" s="10" t="str">
        <f>IF(J345="Yes",AA345*Tab_Data_Flows[[#This Row],[WC_'[%']]],"N.A.")</f>
        <v>N.A.</v>
      </c>
      <c r="AE345" s="10" t="str">
        <f>Tab_Data_Flows[[#This Row],[UoM_Flow_Py]]</f>
        <v>Mg</v>
      </c>
      <c r="AF345" s="193">
        <f>INDEX(Tab_Def_Flows[[Flow_ID]:[CC_DM_source]],MATCH(Tab_Data_Flows[[#This Row],[Name(EN)]],Tab_Def_Flows[Name(EN)],0),15)</f>
        <v>0</v>
      </c>
      <c r="AG345" s="10" t="str">
        <f>IF(K345="Yes",AF345*Tab_Data_Flows[[#This Row],[Flow_Py]],"N.A.")</f>
        <v>N.A.</v>
      </c>
      <c r="AH345" s="10" t="str">
        <f>Tab_Data_Flows[[#This Row],[UoM_Flow_Py]]</f>
        <v>Mg</v>
      </c>
      <c r="AI345" s="193">
        <f>INDEX(Tab_Def_Flows[[Flow_ID]:[CC_DM_source]],MATCH(Tab_Data_Flows[[#This Row],[Name(EN)]],Tab_Def_Flows[Name(EN)],0),17)</f>
        <v>0</v>
      </c>
      <c r="AJ345" s="10" t="str">
        <f>IF(L345="Yes",AI345*Tab_Data_Flows[[#This Row],[Flow_Py]]*Tab_Data_Flows[[#This Row],[DM_'[%']]],"N.A.")</f>
        <v>N.A.</v>
      </c>
      <c r="AK345" s="10" t="str">
        <f>Tab_Data_Flows[[#This Row],[UoM_Flow_Py]]</f>
        <v>Mg</v>
      </c>
    </row>
    <row r="346" spans="1:37" x14ac:dyDescent="0.25">
      <c r="A346" s="17">
        <f t="shared" si="11"/>
        <v>345</v>
      </c>
      <c r="B346" s="10" t="str">
        <f>_xlfn.XLOOKUP(C346,Tab_Def_Flows[Name(EN)],Tab_Def_Flows[Flow_ID],,0,)</f>
        <v>N.A.</v>
      </c>
      <c r="C346" s="12" t="s">
        <v>35</v>
      </c>
      <c r="D346" s="10">
        <f>_xlfn.XLOOKUP(C346,Tab_Def_Flows[Name(EN)],Tab_Def_Flows[Type_Biomass],,0,)</f>
        <v>0</v>
      </c>
      <c r="E346" s="10">
        <f>_xlfn.XLOOKUP(C346,Tab_Def_Flows[Name(EN)],Tab_Def_Flows[Output_Process],,0,)</f>
        <v>0</v>
      </c>
      <c r="F346" s="10">
        <f>_xlfn.XLOOKUP(C346,Tab_Def_Flows[Name(EN)],Tab_Def_Flows[Process_ID_O],,0,)</f>
        <v>0</v>
      </c>
      <c r="G346" s="10">
        <f>_xlfn.XLOOKUP(C346,Tab_Def_Flows[Name(EN)],Tab_Def_Flows[Input_Process],,0,)</f>
        <v>0</v>
      </c>
      <c r="H346" s="18">
        <f>_xlfn.XLOOKUP(C346,Tab_Def_Flows[Name(EN)],Tab_Def_Flows[Process_ID_I],,0,)</f>
        <v>0</v>
      </c>
      <c r="I346" s="10" t="e">
        <f>_xlfn.XLOOKUP(C346,Tab_Def_Flows[Name(EN)],#REF!,,0,)</f>
        <v>#REF!</v>
      </c>
      <c r="J346" s="18">
        <f>_xlfn.XLOOKUP(C346,Tab_Def_Flows[Name(EN)],Tab_Def_Flows[WC?],,0,)</f>
        <v>0</v>
      </c>
      <c r="K346" s="18">
        <f>_xlfn.XLOOKUP(C346,Tab_Def_Flows[Name(EN)],Tab_Def_Flows[DM?],,0,)</f>
        <v>0</v>
      </c>
      <c r="L346" s="18">
        <f>_xlfn.XLOOKUP(C346,Tab_Def_Flows[Name(EN)],Tab_Def_Flows[CC?],,0,)</f>
        <v>0</v>
      </c>
      <c r="M346" s="12"/>
      <c r="N346" s="12"/>
      <c r="O346" s="50"/>
      <c r="P346" s="12"/>
      <c r="Q346" s="12"/>
      <c r="R346" s="12"/>
      <c r="S346" s="12"/>
      <c r="T346" s="12"/>
      <c r="U346" s="12"/>
      <c r="V346" s="12"/>
      <c r="W346" s="12"/>
      <c r="X346" s="12" t="s">
        <v>8</v>
      </c>
      <c r="Y346" s="12"/>
      <c r="Z346" s="12"/>
      <c r="AA346" s="36">
        <f t="shared" si="12"/>
        <v>0</v>
      </c>
      <c r="AB346" s="12" t="s">
        <v>283</v>
      </c>
      <c r="AC346" s="193">
        <f>INDEX(Tab_Def_Flows[[Flow_ID]:[CC_DM_source]],MATCH(Tab_Data_Flows[[#This Row],[Name(EN)]],Tab_Def_Flows[Name(EN)],0),13)</f>
        <v>0</v>
      </c>
      <c r="AD346" s="10" t="str">
        <f>IF(J346="Yes",AA346*Tab_Data_Flows[[#This Row],[WC_'[%']]],"N.A.")</f>
        <v>N.A.</v>
      </c>
      <c r="AE346" s="10" t="str">
        <f>Tab_Data_Flows[[#This Row],[UoM_Flow_Py]]</f>
        <v>Mg</v>
      </c>
      <c r="AF346" s="193">
        <f>INDEX(Tab_Def_Flows[[Flow_ID]:[CC_DM_source]],MATCH(Tab_Data_Flows[[#This Row],[Name(EN)]],Tab_Def_Flows[Name(EN)],0),15)</f>
        <v>0</v>
      </c>
      <c r="AG346" s="10" t="str">
        <f>IF(K346="Yes",AF346*Tab_Data_Flows[[#This Row],[Flow_Py]],"N.A.")</f>
        <v>N.A.</v>
      </c>
      <c r="AH346" s="10" t="str">
        <f>Tab_Data_Flows[[#This Row],[UoM_Flow_Py]]</f>
        <v>Mg</v>
      </c>
      <c r="AI346" s="193">
        <f>INDEX(Tab_Def_Flows[[Flow_ID]:[CC_DM_source]],MATCH(Tab_Data_Flows[[#This Row],[Name(EN)]],Tab_Def_Flows[Name(EN)],0),17)</f>
        <v>0</v>
      </c>
      <c r="AJ346" s="10" t="str">
        <f>IF(L346="Yes",AI346*Tab_Data_Flows[[#This Row],[Flow_Py]]*Tab_Data_Flows[[#This Row],[DM_'[%']]],"N.A.")</f>
        <v>N.A.</v>
      </c>
      <c r="AK346" s="10" t="str">
        <f>Tab_Data_Flows[[#This Row],[UoM_Flow_Py]]</f>
        <v>Mg</v>
      </c>
    </row>
    <row r="347" spans="1:37" x14ac:dyDescent="0.25">
      <c r="A347" s="17">
        <f t="shared" ref="A347:A350" si="13">ROW()-1</f>
        <v>346</v>
      </c>
      <c r="B347" s="10" t="str">
        <f>_xlfn.XLOOKUP(C347,Tab_Def_Flows[Name(EN)],Tab_Def_Flows[Flow_ID],,0,)</f>
        <v>N.A.</v>
      </c>
      <c r="C347" s="12" t="s">
        <v>35</v>
      </c>
      <c r="D347" s="10">
        <f>_xlfn.XLOOKUP(C347,Tab_Def_Flows[Name(EN)],Tab_Def_Flows[Type_Biomass],,0,)</f>
        <v>0</v>
      </c>
      <c r="E347" s="10">
        <f>_xlfn.XLOOKUP(C347,Tab_Def_Flows[Name(EN)],Tab_Def_Flows[Output_Process],,0,)</f>
        <v>0</v>
      </c>
      <c r="F347" s="10">
        <f>_xlfn.XLOOKUP(C347,Tab_Def_Flows[Name(EN)],Tab_Def_Flows[Process_ID_O],,0,)</f>
        <v>0</v>
      </c>
      <c r="G347" s="10">
        <f>_xlfn.XLOOKUP(C347,Tab_Def_Flows[Name(EN)],Tab_Def_Flows[Input_Process],,0,)</f>
        <v>0</v>
      </c>
      <c r="H347" s="18">
        <f>_xlfn.XLOOKUP(C347,Tab_Def_Flows[Name(EN)],Tab_Def_Flows[Process_ID_I],,0,)</f>
        <v>0</v>
      </c>
      <c r="I347" s="10" t="e">
        <f>_xlfn.XLOOKUP(C347,Tab_Def_Flows[Name(EN)],#REF!,,0,)</f>
        <v>#REF!</v>
      </c>
      <c r="J347" s="18">
        <f>_xlfn.XLOOKUP(C347,Tab_Def_Flows[Name(EN)],Tab_Def_Flows[WC?],,0,)</f>
        <v>0</v>
      </c>
      <c r="K347" s="18">
        <f>_xlfn.XLOOKUP(C347,Tab_Def_Flows[Name(EN)],Tab_Def_Flows[DM?],,0,)</f>
        <v>0</v>
      </c>
      <c r="L347" s="18">
        <f>_xlfn.XLOOKUP(C347,Tab_Def_Flows[Name(EN)],Tab_Def_Flows[CC?],,0,)</f>
        <v>0</v>
      </c>
      <c r="M347" s="12"/>
      <c r="N347" s="12"/>
      <c r="O347" s="50"/>
      <c r="P347" s="12"/>
      <c r="Q347" s="12"/>
      <c r="R347" s="12"/>
      <c r="S347" s="12"/>
      <c r="T347" s="12"/>
      <c r="U347" s="12"/>
      <c r="V347" s="12"/>
      <c r="W347" s="12"/>
      <c r="X347" s="12" t="s">
        <v>8</v>
      </c>
      <c r="Y347" s="12"/>
      <c r="Z347" s="12"/>
      <c r="AA347" s="36">
        <f t="shared" si="12"/>
        <v>0</v>
      </c>
      <c r="AB347" s="12" t="s">
        <v>283</v>
      </c>
      <c r="AC347" s="193">
        <f>INDEX(Tab_Def_Flows[[Flow_ID]:[CC_DM_source]],MATCH(Tab_Data_Flows[[#This Row],[Name(EN)]],Tab_Def_Flows[Name(EN)],0),13)</f>
        <v>0</v>
      </c>
      <c r="AD347" s="10" t="str">
        <f>IF(J347="Yes",AA347*Tab_Data_Flows[[#This Row],[WC_'[%']]],"N.A.")</f>
        <v>N.A.</v>
      </c>
      <c r="AE347" s="10" t="str">
        <f>Tab_Data_Flows[[#This Row],[UoM_Flow_Py]]</f>
        <v>Mg</v>
      </c>
      <c r="AF347" s="193">
        <f>INDEX(Tab_Def_Flows[[Flow_ID]:[CC_DM_source]],MATCH(Tab_Data_Flows[[#This Row],[Name(EN)]],Tab_Def_Flows[Name(EN)],0),15)</f>
        <v>0</v>
      </c>
      <c r="AG347" s="10" t="str">
        <f>IF(K347="Yes",AF347*Tab_Data_Flows[[#This Row],[Flow_Py]],"N.A.")</f>
        <v>N.A.</v>
      </c>
      <c r="AH347" s="10" t="str">
        <f>Tab_Data_Flows[[#This Row],[UoM_Flow_Py]]</f>
        <v>Mg</v>
      </c>
      <c r="AI347" s="193">
        <f>INDEX(Tab_Def_Flows[[Flow_ID]:[CC_DM_source]],MATCH(Tab_Data_Flows[[#This Row],[Name(EN)]],Tab_Def_Flows[Name(EN)],0),17)</f>
        <v>0</v>
      </c>
      <c r="AJ347" s="10" t="str">
        <f>IF(L347="Yes",AI347*Tab_Data_Flows[[#This Row],[Flow_Py]]*Tab_Data_Flows[[#This Row],[DM_'[%']]],"N.A.")</f>
        <v>N.A.</v>
      </c>
      <c r="AK347" s="10" t="str">
        <f>Tab_Data_Flows[[#This Row],[UoM_Flow_Py]]</f>
        <v>Mg</v>
      </c>
    </row>
    <row r="348" spans="1:37" x14ac:dyDescent="0.25">
      <c r="A348" s="17">
        <f t="shared" si="13"/>
        <v>347</v>
      </c>
      <c r="B348" s="10" t="str">
        <f>_xlfn.XLOOKUP(C348,Tab_Def_Flows[Name(EN)],Tab_Def_Flows[Flow_ID],,0,)</f>
        <v>N.A.</v>
      </c>
      <c r="C348" s="12" t="s">
        <v>35</v>
      </c>
      <c r="D348" s="10">
        <f>_xlfn.XLOOKUP(C348,Tab_Def_Flows[Name(EN)],Tab_Def_Flows[Type_Biomass],,0,)</f>
        <v>0</v>
      </c>
      <c r="E348" s="10">
        <f>_xlfn.XLOOKUP(C348,Tab_Def_Flows[Name(EN)],Tab_Def_Flows[Output_Process],,0,)</f>
        <v>0</v>
      </c>
      <c r="F348" s="10">
        <f>_xlfn.XLOOKUP(C348,Tab_Def_Flows[Name(EN)],Tab_Def_Flows[Process_ID_O],,0,)</f>
        <v>0</v>
      </c>
      <c r="G348" s="10">
        <f>_xlfn.XLOOKUP(C348,Tab_Def_Flows[Name(EN)],Tab_Def_Flows[Input_Process],,0,)</f>
        <v>0</v>
      </c>
      <c r="H348" s="18">
        <f>_xlfn.XLOOKUP(C348,Tab_Def_Flows[Name(EN)],Tab_Def_Flows[Process_ID_I],,0,)</f>
        <v>0</v>
      </c>
      <c r="I348" s="10" t="e">
        <f>_xlfn.XLOOKUP(C348,Tab_Def_Flows[Name(EN)],#REF!,,0,)</f>
        <v>#REF!</v>
      </c>
      <c r="J348" s="18">
        <f>_xlfn.XLOOKUP(C348,Tab_Def_Flows[Name(EN)],Tab_Def_Flows[WC?],,0,)</f>
        <v>0</v>
      </c>
      <c r="K348" s="18">
        <f>_xlfn.XLOOKUP(C348,Tab_Def_Flows[Name(EN)],Tab_Def_Flows[DM?],,0,)</f>
        <v>0</v>
      </c>
      <c r="L348" s="18">
        <f>_xlfn.XLOOKUP(C348,Tab_Def_Flows[Name(EN)],Tab_Def_Flows[CC?],,0,)</f>
        <v>0</v>
      </c>
      <c r="M348" s="12"/>
      <c r="N348" s="12"/>
      <c r="O348" s="50"/>
      <c r="P348" s="12"/>
      <c r="Q348" s="12"/>
      <c r="R348" s="12"/>
      <c r="S348" s="12"/>
      <c r="T348" s="12"/>
      <c r="U348" s="12"/>
      <c r="V348" s="12"/>
      <c r="W348" s="12"/>
      <c r="X348" s="12" t="s">
        <v>8</v>
      </c>
      <c r="Y348" s="12"/>
      <c r="Z348" s="12"/>
      <c r="AA348" s="36">
        <f t="shared" si="12"/>
        <v>0</v>
      </c>
      <c r="AB348" s="12" t="s">
        <v>283</v>
      </c>
      <c r="AC348" s="193">
        <f>INDEX(Tab_Def_Flows[[Flow_ID]:[CC_DM_source]],MATCH(Tab_Data_Flows[[#This Row],[Name(EN)]],Tab_Def_Flows[Name(EN)],0),13)</f>
        <v>0</v>
      </c>
      <c r="AD348" s="10" t="str">
        <f>IF(J348="Yes",AA348*Tab_Data_Flows[[#This Row],[WC_'[%']]],"N.A.")</f>
        <v>N.A.</v>
      </c>
      <c r="AE348" s="10" t="str">
        <f>Tab_Data_Flows[[#This Row],[UoM_Flow_Py]]</f>
        <v>Mg</v>
      </c>
      <c r="AF348" s="193">
        <f>INDEX(Tab_Def_Flows[[Flow_ID]:[CC_DM_source]],MATCH(Tab_Data_Flows[[#This Row],[Name(EN)]],Tab_Def_Flows[Name(EN)],0),15)</f>
        <v>0</v>
      </c>
      <c r="AG348" s="10" t="str">
        <f>IF(K348="Yes",AF348*Tab_Data_Flows[[#This Row],[Flow_Py]],"N.A.")</f>
        <v>N.A.</v>
      </c>
      <c r="AH348" s="10" t="str">
        <f>Tab_Data_Flows[[#This Row],[UoM_Flow_Py]]</f>
        <v>Mg</v>
      </c>
      <c r="AI348" s="193">
        <f>INDEX(Tab_Def_Flows[[Flow_ID]:[CC_DM_source]],MATCH(Tab_Data_Flows[[#This Row],[Name(EN)]],Tab_Def_Flows[Name(EN)],0),17)</f>
        <v>0</v>
      </c>
      <c r="AJ348" s="10" t="str">
        <f>IF(L348="Yes",AI348*Tab_Data_Flows[[#This Row],[Flow_Py]]*Tab_Data_Flows[[#This Row],[DM_'[%']]],"N.A.")</f>
        <v>N.A.</v>
      </c>
      <c r="AK348" s="10" t="str">
        <f>Tab_Data_Flows[[#This Row],[UoM_Flow_Py]]</f>
        <v>Mg</v>
      </c>
    </row>
    <row r="349" spans="1:37" x14ac:dyDescent="0.25">
      <c r="A349" s="17">
        <f t="shared" si="13"/>
        <v>348</v>
      </c>
      <c r="B349" s="10" t="str">
        <f>_xlfn.XLOOKUP(C349,Tab_Def_Flows[Name(EN)],Tab_Def_Flows[Flow_ID],,0,)</f>
        <v>N.A.</v>
      </c>
      <c r="C349" s="12" t="s">
        <v>35</v>
      </c>
      <c r="D349" s="10">
        <f>_xlfn.XLOOKUP(C349,Tab_Def_Flows[Name(EN)],Tab_Def_Flows[Type_Biomass],,0,)</f>
        <v>0</v>
      </c>
      <c r="E349" s="10">
        <f>_xlfn.XLOOKUP(C349,Tab_Def_Flows[Name(EN)],Tab_Def_Flows[Output_Process],,0,)</f>
        <v>0</v>
      </c>
      <c r="F349" s="10">
        <f>_xlfn.XLOOKUP(C349,Tab_Def_Flows[Name(EN)],Tab_Def_Flows[Process_ID_O],,0,)</f>
        <v>0</v>
      </c>
      <c r="G349" s="10">
        <f>_xlfn.XLOOKUP(C349,Tab_Def_Flows[Name(EN)],Tab_Def_Flows[Input_Process],,0,)</f>
        <v>0</v>
      </c>
      <c r="H349" s="18">
        <f>_xlfn.XLOOKUP(C349,Tab_Def_Flows[Name(EN)],Tab_Def_Flows[Process_ID_I],,0,)</f>
        <v>0</v>
      </c>
      <c r="I349" s="10" t="e">
        <f>_xlfn.XLOOKUP(C349,Tab_Def_Flows[Name(EN)],#REF!,,0,)</f>
        <v>#REF!</v>
      </c>
      <c r="J349" s="18">
        <f>_xlfn.XLOOKUP(C349,Tab_Def_Flows[Name(EN)],Tab_Def_Flows[WC?],,0,)</f>
        <v>0</v>
      </c>
      <c r="K349" s="18">
        <f>_xlfn.XLOOKUP(C349,Tab_Def_Flows[Name(EN)],Tab_Def_Flows[DM?],,0,)</f>
        <v>0</v>
      </c>
      <c r="L349" s="18">
        <f>_xlfn.XLOOKUP(C349,Tab_Def_Flows[Name(EN)],Tab_Def_Flows[CC?],,0,)</f>
        <v>0</v>
      </c>
      <c r="M349" s="12"/>
      <c r="N349" s="12"/>
      <c r="O349" s="50"/>
      <c r="P349" s="12"/>
      <c r="Q349" s="12"/>
      <c r="R349" s="12"/>
      <c r="S349" s="12"/>
      <c r="T349" s="12"/>
      <c r="U349" s="12"/>
      <c r="V349" s="12"/>
      <c r="W349" s="12"/>
      <c r="X349" s="12" t="s">
        <v>8</v>
      </c>
      <c r="Y349" s="12"/>
      <c r="Z349" s="12"/>
      <c r="AA349" s="36">
        <f t="shared" si="12"/>
        <v>0</v>
      </c>
      <c r="AB349" s="12" t="s">
        <v>283</v>
      </c>
      <c r="AC349" s="193">
        <f>INDEX(Tab_Def_Flows[[Flow_ID]:[CC_DM_source]],MATCH(Tab_Data_Flows[[#This Row],[Name(EN)]],Tab_Def_Flows[Name(EN)],0),13)</f>
        <v>0</v>
      </c>
      <c r="AD349" s="10" t="str">
        <f>IF(J349="Yes",AA349*Tab_Data_Flows[[#This Row],[WC_'[%']]],"N.A.")</f>
        <v>N.A.</v>
      </c>
      <c r="AE349" s="10" t="str">
        <f>Tab_Data_Flows[[#This Row],[UoM_Flow_Py]]</f>
        <v>Mg</v>
      </c>
      <c r="AF349" s="193">
        <f>INDEX(Tab_Def_Flows[[Flow_ID]:[CC_DM_source]],MATCH(Tab_Data_Flows[[#This Row],[Name(EN)]],Tab_Def_Flows[Name(EN)],0),15)</f>
        <v>0</v>
      </c>
      <c r="AG349" s="10" t="str">
        <f>IF(K349="Yes",AF349*Tab_Data_Flows[[#This Row],[Flow_Py]],"N.A.")</f>
        <v>N.A.</v>
      </c>
      <c r="AH349" s="10" t="str">
        <f>Tab_Data_Flows[[#This Row],[UoM_Flow_Py]]</f>
        <v>Mg</v>
      </c>
      <c r="AI349" s="193">
        <f>INDEX(Tab_Def_Flows[[Flow_ID]:[CC_DM_source]],MATCH(Tab_Data_Flows[[#This Row],[Name(EN)]],Tab_Def_Flows[Name(EN)],0),17)</f>
        <v>0</v>
      </c>
      <c r="AJ349" s="10" t="str">
        <f>IF(L349="Yes",AI349*Tab_Data_Flows[[#This Row],[Flow_Py]]*Tab_Data_Flows[[#This Row],[DM_'[%']]],"N.A.")</f>
        <v>N.A.</v>
      </c>
      <c r="AK349" s="10" t="str">
        <f>Tab_Data_Flows[[#This Row],[UoM_Flow_Py]]</f>
        <v>Mg</v>
      </c>
    </row>
    <row r="350" spans="1:37" x14ac:dyDescent="0.25">
      <c r="A350" s="17">
        <f t="shared" si="13"/>
        <v>349</v>
      </c>
      <c r="B350" s="10" t="str">
        <f>_xlfn.XLOOKUP(C350,Tab_Def_Flows[Name(EN)],Tab_Def_Flows[Flow_ID],,0,)</f>
        <v>N.A.</v>
      </c>
      <c r="C350" s="12" t="s">
        <v>35</v>
      </c>
      <c r="D350" s="10">
        <f>_xlfn.XLOOKUP(C350,Tab_Def_Flows[Name(EN)],Tab_Def_Flows[Type_Biomass],,0,)</f>
        <v>0</v>
      </c>
      <c r="E350" s="10">
        <f>_xlfn.XLOOKUP(C350,Tab_Def_Flows[Name(EN)],Tab_Def_Flows[Output_Process],,0,)</f>
        <v>0</v>
      </c>
      <c r="F350" s="10">
        <f>_xlfn.XLOOKUP(C350,Tab_Def_Flows[Name(EN)],Tab_Def_Flows[Process_ID_O],,0,)</f>
        <v>0</v>
      </c>
      <c r="G350" s="10">
        <f>_xlfn.XLOOKUP(C350,Tab_Def_Flows[Name(EN)],Tab_Def_Flows[Input_Process],,0,)</f>
        <v>0</v>
      </c>
      <c r="H350" s="18">
        <f>_xlfn.XLOOKUP(C350,Tab_Def_Flows[Name(EN)],Tab_Def_Flows[Process_ID_I],,0,)</f>
        <v>0</v>
      </c>
      <c r="I350" s="10" t="e">
        <f>_xlfn.XLOOKUP(C350,Tab_Def_Flows[Name(EN)],#REF!,,0,)</f>
        <v>#REF!</v>
      </c>
      <c r="J350" s="18">
        <f>_xlfn.XLOOKUP(C350,Tab_Def_Flows[Name(EN)],Tab_Def_Flows[WC?],,0,)</f>
        <v>0</v>
      </c>
      <c r="K350" s="18">
        <f>_xlfn.XLOOKUP(C350,Tab_Def_Flows[Name(EN)],Tab_Def_Flows[DM?],,0,)</f>
        <v>0</v>
      </c>
      <c r="L350" s="18">
        <f>_xlfn.XLOOKUP(C350,Tab_Def_Flows[Name(EN)],Tab_Def_Flows[CC?],,0,)</f>
        <v>0</v>
      </c>
      <c r="M350" s="12"/>
      <c r="N350" s="12"/>
      <c r="O350" s="50"/>
      <c r="P350" s="12"/>
      <c r="Q350" s="12"/>
      <c r="R350" s="12"/>
      <c r="S350" s="12"/>
      <c r="T350" s="12"/>
      <c r="U350" s="12"/>
      <c r="V350" s="12"/>
      <c r="W350" s="12"/>
      <c r="X350" s="12" t="s">
        <v>8</v>
      </c>
      <c r="Y350" s="12"/>
      <c r="Z350" s="12"/>
      <c r="AA350" s="36">
        <f t="shared" si="12"/>
        <v>0</v>
      </c>
      <c r="AB350" s="12" t="s">
        <v>283</v>
      </c>
      <c r="AC350" s="193">
        <f>INDEX(Tab_Def_Flows[[Flow_ID]:[CC_DM_source]],MATCH(Tab_Data_Flows[[#This Row],[Name(EN)]],Tab_Def_Flows[Name(EN)],0),13)</f>
        <v>0</v>
      </c>
      <c r="AD350" s="10" t="str">
        <f>IF(J350="Yes",AA350*Tab_Data_Flows[[#This Row],[WC_'[%']]],"N.A.")</f>
        <v>N.A.</v>
      </c>
      <c r="AE350" s="10" t="str">
        <f>Tab_Data_Flows[[#This Row],[UoM_Flow_Py]]</f>
        <v>Mg</v>
      </c>
      <c r="AF350" s="193">
        <f>INDEX(Tab_Def_Flows[[Flow_ID]:[CC_DM_source]],MATCH(Tab_Data_Flows[[#This Row],[Name(EN)]],Tab_Def_Flows[Name(EN)],0),15)</f>
        <v>0</v>
      </c>
      <c r="AG350" s="10" t="str">
        <f>IF(K350="Yes",AF350*Tab_Data_Flows[[#This Row],[Flow_Py]],"N.A.")</f>
        <v>N.A.</v>
      </c>
      <c r="AH350" s="10" t="str">
        <f>Tab_Data_Flows[[#This Row],[UoM_Flow_Py]]</f>
        <v>Mg</v>
      </c>
      <c r="AI350" s="193">
        <f>INDEX(Tab_Def_Flows[[Flow_ID]:[CC_DM_source]],MATCH(Tab_Data_Flows[[#This Row],[Name(EN)]],Tab_Def_Flows[Name(EN)],0),17)</f>
        <v>0</v>
      </c>
      <c r="AJ350" s="10" t="str">
        <f>IF(L350="Yes",AI350*Tab_Data_Flows[[#This Row],[Flow_Py]]*Tab_Data_Flows[[#This Row],[DM_'[%']]],"N.A.")</f>
        <v>N.A.</v>
      </c>
      <c r="AK350" s="10" t="str">
        <f>Tab_Data_Flows[[#This Row],[UoM_Flow_Py]]</f>
        <v>Mg</v>
      </c>
    </row>
    <row r="351" spans="1:37" x14ac:dyDescent="0.25">
      <c r="AF351" s="46"/>
      <c r="AK351" s="44"/>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030A264-E9C5-4840-932B-125C397F8D0A}">
          <x14:formula1>
            <xm:f>'1_1_Definition_Flows'!$D$2:$D$83</xm:f>
          </x14:formula1>
          <xm:sqref>C2:C350</xm:sqref>
        </x14:dataValidation>
        <x14:dataValidation type="list" allowBlank="1" showInputMessage="1" showErrorMessage="1" xr:uid="{A78C46AA-F9B2-4008-BF0C-36E66D4CFDDD}">
          <x14:formula1>
            <xm:f>'4_1 Codelists'!$B$38:$B$39</xm:f>
          </x14:formula1>
          <xm:sqref>X2:X350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8"/>
  <sheetViews>
    <sheetView topLeftCell="A5" zoomScale="164" zoomScaleNormal="115" workbookViewId="0">
      <pane xSplit="4" topLeftCell="P1" activePane="topRight" state="frozen"/>
      <selection pane="topRight" activeCell="P13" sqref="P13"/>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customWidth="1"/>
    <col min="28" max="28" width="15.5703125" customWidth="1"/>
    <col min="29" max="29" width="26.5703125" customWidth="1"/>
    <col min="30" max="30" width="15.5703125" customWidth="1"/>
    <col min="31" max="31" width="31.42578125" customWidth="1"/>
    <col min="33" max="33" width="18" customWidth="1"/>
    <col min="35" max="35" width="17.140625" customWidth="1"/>
    <col min="36" max="36" width="14" customWidth="1"/>
    <col min="37" max="37" width="17" customWidth="1"/>
  </cols>
  <sheetData>
    <row r="1" spans="1:38" ht="15.75" thickBot="1" x14ac:dyDescent="0.3">
      <c r="A1" s="196" t="s">
        <v>88</v>
      </c>
      <c r="B1" s="196" t="s">
        <v>32</v>
      </c>
      <c r="C1" s="196" t="s">
        <v>62</v>
      </c>
      <c r="D1" s="196" t="s">
        <v>90</v>
      </c>
      <c r="E1" s="196" t="s">
        <v>37</v>
      </c>
      <c r="F1" s="196" t="s">
        <v>63</v>
      </c>
      <c r="G1" s="196" t="s">
        <v>64</v>
      </c>
      <c r="H1" s="196" t="s">
        <v>6</v>
      </c>
      <c r="I1" s="196" t="s">
        <v>121</v>
      </c>
      <c r="J1" s="196" t="s">
        <v>65</v>
      </c>
      <c r="K1" s="196" t="s">
        <v>284</v>
      </c>
      <c r="L1" s="196" t="s">
        <v>92</v>
      </c>
      <c r="M1" s="196" t="s">
        <v>311</v>
      </c>
      <c r="N1" s="196" t="s">
        <v>316</v>
      </c>
      <c r="O1" s="196" t="s">
        <v>317</v>
      </c>
      <c r="P1" s="196" t="s">
        <v>352</v>
      </c>
      <c r="Q1" s="196" t="s">
        <v>66</v>
      </c>
      <c r="R1" s="196" t="s">
        <v>67</v>
      </c>
      <c r="S1" s="196" t="s">
        <v>68</v>
      </c>
      <c r="T1" s="196" t="s">
        <v>72</v>
      </c>
      <c r="U1" s="196" t="s">
        <v>69</v>
      </c>
      <c r="V1" s="196" t="s">
        <v>73</v>
      </c>
      <c r="W1" s="196" t="s">
        <v>70</v>
      </c>
      <c r="X1" s="196" t="s">
        <v>74</v>
      </c>
      <c r="Y1" s="196" t="s">
        <v>71</v>
      </c>
      <c r="Z1" s="196" t="s">
        <v>75</v>
      </c>
      <c r="AA1" s="196" t="s">
        <v>76</v>
      </c>
      <c r="AB1" s="196" t="s">
        <v>82</v>
      </c>
      <c r="AC1" s="196" t="s">
        <v>77</v>
      </c>
      <c r="AD1" s="196" t="s">
        <v>83</v>
      </c>
      <c r="AE1" s="196" t="s">
        <v>78</v>
      </c>
      <c r="AF1" s="196" t="s">
        <v>84</v>
      </c>
      <c r="AG1" s="196" t="s">
        <v>79</v>
      </c>
      <c r="AH1" s="196" t="s">
        <v>85</v>
      </c>
      <c r="AI1" s="196" t="s">
        <v>80</v>
      </c>
      <c r="AJ1" s="196" t="s">
        <v>86</v>
      </c>
      <c r="AK1" s="196" t="s">
        <v>81</v>
      </c>
      <c r="AL1" s="196" t="s">
        <v>87</v>
      </c>
    </row>
    <row r="2" spans="1:38" x14ac:dyDescent="0.25">
      <c r="A2" s="197" t="b">
        <v>1</v>
      </c>
      <c r="B2" s="45" t="s">
        <v>144</v>
      </c>
      <c r="C2" s="10" t="str">
        <f>LEFT(B2,2)</f>
        <v>00</v>
      </c>
      <c r="D2" s="12" t="s">
        <v>196</v>
      </c>
      <c r="E2" s="12"/>
      <c r="F2" s="12"/>
      <c r="G2" s="12"/>
      <c r="H2" s="38"/>
      <c r="I2" s="192" t="s">
        <v>122</v>
      </c>
      <c r="J2" s="192" t="s">
        <v>8</v>
      </c>
      <c r="K2" s="192" t="s">
        <v>8</v>
      </c>
      <c r="L2" s="192" t="s">
        <v>7</v>
      </c>
      <c r="M2" s="192" t="s">
        <v>8</v>
      </c>
      <c r="N2" s="192" t="s">
        <v>8</v>
      </c>
      <c r="O2" s="192" t="s">
        <v>8</v>
      </c>
      <c r="P2" s="187">
        <v>1</v>
      </c>
      <c r="Q2" s="12" t="s">
        <v>309</v>
      </c>
      <c r="R2" s="11" t="str">
        <f>_xlfn.XLOOKUP(Q2,Tab_Def_Flows[Name(EN)],Tab_Def_Flows[Flow_ID],,0,)</f>
        <v>F_07_00</v>
      </c>
      <c r="S2" s="12" t="s">
        <v>35</v>
      </c>
      <c r="T2" s="11" t="str">
        <f>_xlfn.XLOOKUP(S2,Tab_Def_Flows[Name(EN)],Tab_Def_Flows[Flow_ID],,0,)</f>
        <v>N.A.</v>
      </c>
      <c r="U2" s="12" t="s">
        <v>35</v>
      </c>
      <c r="V2" s="11" t="str">
        <f>_xlfn.XLOOKUP(U2,Tab_Def_Flows[Name(EN)],Tab_Def_Flows[Flow_ID],,0,)</f>
        <v>N.A.</v>
      </c>
      <c r="W2" s="12" t="s">
        <v>35</v>
      </c>
      <c r="X2" s="11" t="str">
        <f>_xlfn.XLOOKUP(W2,Tab_Def_Flows[Name(EN)],Tab_Def_Flows[Flow_ID],,0,)</f>
        <v>N.A.</v>
      </c>
      <c r="Y2" s="12" t="s">
        <v>35</v>
      </c>
      <c r="Z2" s="16" t="str">
        <f>_xlfn.XLOOKUP(Y2,Tab_Def_Flows[Name(EN)],Tab_Def_Flows[Flow_ID],,0,)</f>
        <v>N.A.</v>
      </c>
      <c r="AA2" s="192" t="s">
        <v>285</v>
      </c>
      <c r="AB2" s="13" t="str">
        <f>_xlfn.XLOOKUP(AA2,Tab_Def_Flows[Name(EN)],Tab_Def_Flows[Flow_ID],,0,)</f>
        <v>F_00_02</v>
      </c>
      <c r="AC2" s="192" t="s">
        <v>35</v>
      </c>
      <c r="AD2" s="13" t="str">
        <f>_xlfn.XLOOKUP(AC2,Tab_Def_Flows[Name(EN)],Tab_Def_Flows[Flow_ID],,0,)</f>
        <v>N.A.</v>
      </c>
      <c r="AE2" s="192" t="s">
        <v>35</v>
      </c>
      <c r="AF2" s="13" t="str">
        <f>_xlfn.XLOOKUP(AE2,Tab_Def_Flows[Name(EN)],Tab_Def_Flows[Flow_ID],,0,)</f>
        <v>N.A.</v>
      </c>
      <c r="AG2" s="192" t="s">
        <v>35</v>
      </c>
      <c r="AH2" s="13" t="str">
        <f>_xlfn.XLOOKUP(AG2,Tab_Def_Flows[Name(EN)],Tab_Def_Flows[Flow_ID],,0,)</f>
        <v>N.A.</v>
      </c>
      <c r="AI2" s="192" t="s">
        <v>35</v>
      </c>
      <c r="AJ2" s="13" t="str">
        <f>_xlfn.XLOOKUP(AI2,Tab_Def_Flows[Name(EN)],Tab_Def_Flows[Flow_ID],,0,)</f>
        <v>N.A.</v>
      </c>
      <c r="AK2" s="192" t="s">
        <v>35</v>
      </c>
      <c r="AL2" s="14" t="str">
        <f>_xlfn.XLOOKUP(AK2,Tab_Def_Flows[Name(EN)],Tab_Def_Flows[Flow_ID],,0,)</f>
        <v>N.A.</v>
      </c>
    </row>
    <row r="3" spans="1:38" x14ac:dyDescent="0.25">
      <c r="A3" s="197" t="b">
        <v>1</v>
      </c>
      <c r="B3" s="45" t="s">
        <v>132</v>
      </c>
      <c r="C3" s="10" t="str">
        <f t="shared" ref="C3:C58" si="0">LEFT(B3,2)</f>
        <v>01</v>
      </c>
      <c r="D3" s="12" t="s">
        <v>277</v>
      </c>
      <c r="E3" s="12"/>
      <c r="F3" s="12"/>
      <c r="G3" s="12"/>
      <c r="H3" s="38"/>
      <c r="I3" s="192" t="s">
        <v>122</v>
      </c>
      <c r="J3" s="192" t="s">
        <v>8</v>
      </c>
      <c r="K3" s="192" t="s">
        <v>8</v>
      </c>
      <c r="L3" s="192" t="s">
        <v>7</v>
      </c>
      <c r="M3" s="192" t="s">
        <v>8</v>
      </c>
      <c r="N3" s="192" t="s">
        <v>8</v>
      </c>
      <c r="O3" s="192" t="s">
        <v>8</v>
      </c>
      <c r="P3" s="187">
        <v>1</v>
      </c>
      <c r="Q3" s="12" t="s">
        <v>35</v>
      </c>
      <c r="R3" s="10" t="str">
        <f>_xlfn.XLOOKUP(Q3,Tab_Def_Flows[Name(EN)],Tab_Def_Flows[Flow_ID],,0,)</f>
        <v>N.A.</v>
      </c>
      <c r="S3" s="12" t="s">
        <v>35</v>
      </c>
      <c r="T3" s="10" t="str">
        <f>_xlfn.XLOOKUP(S3,Tab_Def_Flows[Name(EN)],Tab_Def_Flows[Flow_ID],,0,)</f>
        <v>N.A.</v>
      </c>
      <c r="U3" s="12" t="s">
        <v>35</v>
      </c>
      <c r="V3" s="10" t="str">
        <f>_xlfn.XLOOKUP(U3,Tab_Def_Flows[Name(EN)],Tab_Def_Flows[Flow_ID],,0,)</f>
        <v>N.A.</v>
      </c>
      <c r="W3" s="12" t="s">
        <v>35</v>
      </c>
      <c r="X3" s="10" t="str">
        <f>_xlfn.XLOOKUP(W3,Tab_Def_Flows[Name(EN)],Tab_Def_Flows[Flow_ID],,0,)</f>
        <v>N.A.</v>
      </c>
      <c r="Y3" s="12" t="s">
        <v>35</v>
      </c>
      <c r="Z3" s="14" t="str">
        <f>_xlfn.XLOOKUP(Y3,Tab_Def_Flows[Name(EN)],Tab_Def_Flows[Flow_ID],,0,)</f>
        <v>N.A.</v>
      </c>
      <c r="AA3" s="192" t="s">
        <v>286</v>
      </c>
      <c r="AB3" s="10" t="str">
        <f>_xlfn.XLOOKUP(AA3,Tab_Def_Flows[Name(EN)],Tab_Def_Flows[Flow_ID],,0,)</f>
        <v>F_01_02</v>
      </c>
      <c r="AC3" s="192" t="s">
        <v>35</v>
      </c>
      <c r="AD3" s="10" t="str">
        <f>_xlfn.XLOOKUP(AC3,Tab_Def_Flows[Name(EN)],Tab_Def_Flows[Flow_ID],,0,)</f>
        <v>N.A.</v>
      </c>
      <c r="AE3" s="192" t="s">
        <v>35</v>
      </c>
      <c r="AF3" s="10" t="str">
        <f>_xlfn.XLOOKUP(AE3,Tab_Def_Flows[Name(EN)],Tab_Def_Flows[Flow_ID],,0,)</f>
        <v>N.A.</v>
      </c>
      <c r="AG3" s="192" t="s">
        <v>35</v>
      </c>
      <c r="AH3" s="10" t="str">
        <f>_xlfn.XLOOKUP(AG3,Tab_Def_Flows[Name(EN)],Tab_Def_Flows[Flow_ID],,0,)</f>
        <v>N.A.</v>
      </c>
      <c r="AI3" s="192" t="s">
        <v>35</v>
      </c>
      <c r="AJ3" s="10" t="str">
        <f>_xlfn.XLOOKUP(AI3,Tab_Def_Flows[Name(EN)],Tab_Def_Flows[Flow_ID],,0,)</f>
        <v>N.A.</v>
      </c>
      <c r="AK3" s="192" t="s">
        <v>35</v>
      </c>
      <c r="AL3" s="14" t="str">
        <f>_xlfn.XLOOKUP(AK3,Tab_Def_Flows[Name(EN)],Tab_Def_Flows[Flow_ID],,0,)</f>
        <v>N.A.</v>
      </c>
    </row>
    <row r="4" spans="1:38" x14ac:dyDescent="0.25">
      <c r="A4" s="197" t="b">
        <v>1</v>
      </c>
      <c r="B4" s="45" t="s">
        <v>133</v>
      </c>
      <c r="C4" s="10" t="str">
        <f t="shared" si="0"/>
        <v>02</v>
      </c>
      <c r="D4" s="12" t="s">
        <v>195</v>
      </c>
      <c r="E4" s="12"/>
      <c r="F4" s="12"/>
      <c r="G4" s="12"/>
      <c r="H4" s="38"/>
      <c r="I4" s="192" t="s">
        <v>122</v>
      </c>
      <c r="J4" s="192" t="s">
        <v>8</v>
      </c>
      <c r="K4" s="192" t="s">
        <v>8</v>
      </c>
      <c r="L4" s="192" t="s">
        <v>8</v>
      </c>
      <c r="M4" s="192" t="s">
        <v>8</v>
      </c>
      <c r="N4" s="192" t="s">
        <v>8</v>
      </c>
      <c r="O4" s="192" t="s">
        <v>8</v>
      </c>
      <c r="P4" s="187">
        <v>1</v>
      </c>
      <c r="Q4" s="12" t="s">
        <v>35</v>
      </c>
      <c r="R4" s="10" t="str">
        <f>_xlfn.XLOOKUP(Q4,Tab_Def_Flows[Name(EN)],Tab_Def_Flows[Flow_ID],,0,)</f>
        <v>N.A.</v>
      </c>
      <c r="S4" s="12" t="s">
        <v>35</v>
      </c>
      <c r="T4" s="10" t="str">
        <f>_xlfn.XLOOKUP(S4,Tab_Def_Flows[Name(EN)],Tab_Def_Flows[Flow_ID],,0,)</f>
        <v>N.A.</v>
      </c>
      <c r="U4" s="12" t="s">
        <v>35</v>
      </c>
      <c r="V4" s="10" t="str">
        <f>_xlfn.XLOOKUP(U4,Tab_Def_Flows[Name(EN)],Tab_Def_Flows[Flow_ID],,0,)</f>
        <v>N.A.</v>
      </c>
      <c r="W4" s="12" t="s">
        <v>35</v>
      </c>
      <c r="X4" s="10" t="str">
        <f>_xlfn.XLOOKUP(W4,Tab_Def_Flows[Name(EN)],Tab_Def_Flows[Flow_ID],,0,)</f>
        <v>N.A.</v>
      </c>
      <c r="Y4" s="12" t="s">
        <v>35</v>
      </c>
      <c r="Z4" s="14" t="str">
        <f>_xlfn.XLOOKUP(Y4,Tab_Def_Flows[Name(EN)],Tab_Def_Flows[Flow_ID],,0,)</f>
        <v>N.A.</v>
      </c>
      <c r="AA4" s="192" t="s">
        <v>278</v>
      </c>
      <c r="AB4" s="10" t="str">
        <f>_xlfn.XLOOKUP(AA4,Tab_Def_Flows[Name(EN)],Tab_Def_Flows[Flow_ID],,0,)</f>
        <v>F_02_03</v>
      </c>
      <c r="AC4" s="192" t="s">
        <v>35</v>
      </c>
      <c r="AD4" s="10" t="str">
        <f>_xlfn.XLOOKUP(AC4,Tab_Def_Flows[Name(EN)],Tab_Def_Flows[Flow_ID],,0,)</f>
        <v>N.A.</v>
      </c>
      <c r="AE4" s="192" t="s">
        <v>35</v>
      </c>
      <c r="AF4" s="10" t="str">
        <f>_xlfn.XLOOKUP(AE4,Tab_Def_Flows[Name(EN)],Tab_Def_Flows[Flow_ID],,0,)</f>
        <v>N.A.</v>
      </c>
      <c r="AG4" s="192" t="s">
        <v>35</v>
      </c>
      <c r="AH4" s="10" t="str">
        <f>_xlfn.XLOOKUP(AG4,Tab_Def_Flows[Name(EN)],Tab_Def_Flows[Flow_ID],,0,)</f>
        <v>N.A.</v>
      </c>
      <c r="AI4" s="192" t="s">
        <v>35</v>
      </c>
      <c r="AJ4" s="10" t="str">
        <f>_xlfn.XLOOKUP(AI4,Tab_Def_Flows[Name(EN)],Tab_Def_Flows[Flow_ID],,0,)</f>
        <v>N.A.</v>
      </c>
      <c r="AK4" s="192" t="s">
        <v>35</v>
      </c>
      <c r="AL4" s="14" t="str">
        <f>_xlfn.XLOOKUP(AK4,Tab_Def_Flows[Name(EN)],Tab_Def_Flows[Flow_ID],,0,)</f>
        <v>N.A.</v>
      </c>
    </row>
    <row r="5" spans="1:38" x14ac:dyDescent="0.25">
      <c r="A5" s="197" t="b">
        <v>1</v>
      </c>
      <c r="B5" s="45" t="s">
        <v>134</v>
      </c>
      <c r="C5" s="10" t="str">
        <f t="shared" si="0"/>
        <v>03</v>
      </c>
      <c r="D5" s="12" t="s">
        <v>305</v>
      </c>
      <c r="E5" s="12"/>
      <c r="F5" s="12"/>
      <c r="G5" s="12"/>
      <c r="H5" s="38"/>
      <c r="I5" s="192" t="s">
        <v>122</v>
      </c>
      <c r="J5" s="192" t="s">
        <v>7</v>
      </c>
      <c r="K5" s="192" t="s">
        <v>7</v>
      </c>
      <c r="L5" s="192" t="s">
        <v>8</v>
      </c>
      <c r="M5" s="192" t="s">
        <v>8</v>
      </c>
      <c r="N5" s="192" t="s">
        <v>8</v>
      </c>
      <c r="O5" s="192" t="s">
        <v>8</v>
      </c>
      <c r="P5" s="187">
        <v>2</v>
      </c>
      <c r="Q5" s="12" t="s">
        <v>35</v>
      </c>
      <c r="R5" s="13" t="str">
        <f>_xlfn.XLOOKUP(Q5,Tab_Def_Flows[Name(EN)],Tab_Def_Flows[Flow_ID],,0,)</f>
        <v>N.A.</v>
      </c>
      <c r="S5" s="12" t="s">
        <v>35</v>
      </c>
      <c r="T5" s="13" t="str">
        <f>_xlfn.XLOOKUP(S5,Tab_Def_Flows[Name(EN)],Tab_Def_Flows[Flow_ID],,0,)</f>
        <v>N.A.</v>
      </c>
      <c r="U5" s="12" t="s">
        <v>35</v>
      </c>
      <c r="V5" s="13" t="str">
        <f>_xlfn.XLOOKUP(U5,Tab_Def_Flows[Name(EN)],Tab_Def_Flows[Flow_ID],,0,)</f>
        <v>N.A.</v>
      </c>
      <c r="W5" s="12" t="s">
        <v>35</v>
      </c>
      <c r="X5" s="13" t="str">
        <f>_xlfn.XLOOKUP(W5,Tab_Def_Flows[Name(EN)],Tab_Def_Flows[Flow_ID],,0,)</f>
        <v>N.A.</v>
      </c>
      <c r="Y5" s="12" t="s">
        <v>35</v>
      </c>
      <c r="Z5" s="14" t="str">
        <f>_xlfn.XLOOKUP(Y5,Tab_Def_Flows[Name(EN)],Tab_Def_Flows[Flow_ID],,0,)</f>
        <v>N.A.</v>
      </c>
      <c r="AA5" s="192" t="s">
        <v>279</v>
      </c>
      <c r="AB5" s="13" t="str">
        <f>_xlfn.XLOOKUP(AA5,Tab_Def_Flows[Name(EN)],Tab_Def_Flows[Flow_ID],,0,)</f>
        <v>F_03_04</v>
      </c>
      <c r="AC5" s="192" t="s">
        <v>280</v>
      </c>
      <c r="AD5" s="13" t="str">
        <f>_xlfn.XLOOKUP(AC5,Tab_Def_Flows[Name(EN)],Tab_Def_Flows[Flow_ID],,0,)</f>
        <v>F_03_05</v>
      </c>
      <c r="AE5" s="192" t="s">
        <v>35</v>
      </c>
      <c r="AF5" s="13" t="str">
        <f>_xlfn.XLOOKUP(AE5,Tab_Def_Flows[Name(EN)],Tab_Def_Flows[Flow_ID],,0,)</f>
        <v>N.A.</v>
      </c>
      <c r="AG5" s="192" t="s">
        <v>35</v>
      </c>
      <c r="AH5" s="13" t="str">
        <f>_xlfn.XLOOKUP(AG5,Tab_Def_Flows[Name(EN)],Tab_Def_Flows[Flow_ID],,0,)</f>
        <v>N.A.</v>
      </c>
      <c r="AI5" s="192" t="s">
        <v>35</v>
      </c>
      <c r="AJ5" s="13" t="str">
        <f>_xlfn.XLOOKUP(AI5,Tab_Def_Flows[Name(EN)],Tab_Def_Flows[Flow_ID],,0,)</f>
        <v>N.A.</v>
      </c>
      <c r="AK5" s="192" t="s">
        <v>35</v>
      </c>
      <c r="AL5" s="14" t="str">
        <f>_xlfn.XLOOKUP(AK5,Tab_Def_Flows[Name(EN)],Tab_Def_Flows[Flow_ID],,0,)</f>
        <v>N.A.</v>
      </c>
    </row>
    <row r="6" spans="1:38" x14ac:dyDescent="0.25">
      <c r="A6" s="197" t="b">
        <v>1</v>
      </c>
      <c r="B6" s="45" t="s">
        <v>135</v>
      </c>
      <c r="C6" s="10" t="str">
        <f t="shared" si="0"/>
        <v>04</v>
      </c>
      <c r="D6" s="12" t="s">
        <v>399</v>
      </c>
      <c r="E6" s="12"/>
      <c r="F6" s="12"/>
      <c r="G6" s="12"/>
      <c r="H6" s="38"/>
      <c r="I6" s="192" t="s">
        <v>122</v>
      </c>
      <c r="J6" s="192" t="s">
        <v>7</v>
      </c>
      <c r="K6" s="192" t="s">
        <v>8</v>
      </c>
      <c r="L6" s="192" t="s">
        <v>8</v>
      </c>
      <c r="M6" s="192" t="s">
        <v>8</v>
      </c>
      <c r="N6" s="192" t="s">
        <v>8</v>
      </c>
      <c r="O6" s="192" t="s">
        <v>8</v>
      </c>
      <c r="P6" s="187">
        <v>2</v>
      </c>
      <c r="Q6" s="12" t="s">
        <v>35</v>
      </c>
      <c r="R6" s="13" t="str">
        <f>_xlfn.XLOOKUP(Q6,Tab_Def_Flows[Name(EN)],Tab_Def_Flows[Flow_ID],,0,)</f>
        <v>N.A.</v>
      </c>
      <c r="S6" s="12" t="s">
        <v>35</v>
      </c>
      <c r="T6" s="13" t="str">
        <f>_xlfn.XLOOKUP(S6,Tab_Def_Flows[Name(EN)],Tab_Def_Flows[Flow_ID],,0,)</f>
        <v>N.A.</v>
      </c>
      <c r="U6" s="12" t="s">
        <v>35</v>
      </c>
      <c r="V6" s="13" t="str">
        <f>_xlfn.XLOOKUP(U6,Tab_Def_Flows[Name(EN)],Tab_Def_Flows[Flow_ID],,0,)</f>
        <v>N.A.</v>
      </c>
      <c r="W6" s="12" t="s">
        <v>35</v>
      </c>
      <c r="X6" s="13" t="str">
        <f>_xlfn.XLOOKUP(W6,Tab_Def_Flows[Name(EN)],Tab_Def_Flows[Flow_ID],,0,)</f>
        <v>N.A.</v>
      </c>
      <c r="Y6" s="12" t="s">
        <v>35</v>
      </c>
      <c r="Z6" s="14" t="str">
        <f>_xlfn.XLOOKUP(Y6,Tab_Def_Flows[Name(EN)],Tab_Def_Flows[Flow_ID],,0,)</f>
        <v>N.A.</v>
      </c>
      <c r="AA6" s="192" t="s">
        <v>281</v>
      </c>
      <c r="AB6" s="13" t="str">
        <f>_xlfn.XLOOKUP(AA6,Tab_Def_Flows[Name(EN)],Tab_Def_Flows[Flow_ID],,0,)</f>
        <v>F_04_00</v>
      </c>
      <c r="AC6" s="192" t="s">
        <v>282</v>
      </c>
      <c r="AD6" s="13" t="str">
        <f>_xlfn.XLOOKUP(AC6,Tab_Def_Flows[Name(EN)],Tab_Def_Flows[Flow_ID],,0,)</f>
        <v>F_04_01</v>
      </c>
      <c r="AE6" s="192" t="s">
        <v>35</v>
      </c>
      <c r="AF6" s="13" t="str">
        <f>_xlfn.XLOOKUP(AE6,Tab_Def_Flows[Name(EN)],Tab_Def_Flows[Flow_ID],,0,)</f>
        <v>N.A.</v>
      </c>
      <c r="AG6" s="192" t="s">
        <v>35</v>
      </c>
      <c r="AH6" s="13" t="str">
        <f>_xlfn.XLOOKUP(AG6,Tab_Def_Flows[Name(EN)],Tab_Def_Flows[Flow_ID],,0,)</f>
        <v>N.A.</v>
      </c>
      <c r="AI6" s="192" t="s">
        <v>35</v>
      </c>
      <c r="AJ6" s="13" t="str">
        <f>_xlfn.XLOOKUP(AI6,Tab_Def_Flows[Name(EN)],Tab_Def_Flows[Flow_ID],,0,)</f>
        <v>N.A.</v>
      </c>
      <c r="AK6" s="192" t="s">
        <v>35</v>
      </c>
      <c r="AL6" s="14" t="str">
        <f>_xlfn.XLOOKUP(AK6,Tab_Def_Flows[Name(EN)],Tab_Def_Flows[Flow_ID],,0,)</f>
        <v>N.A.</v>
      </c>
    </row>
    <row r="7" spans="1:38" x14ac:dyDescent="0.25">
      <c r="A7" s="197" t="b">
        <v>1</v>
      </c>
      <c r="B7" s="45" t="s">
        <v>136</v>
      </c>
      <c r="C7" s="10" t="str">
        <f t="shared" si="0"/>
        <v>05</v>
      </c>
      <c r="D7" s="12" t="s">
        <v>306</v>
      </c>
      <c r="E7" s="12"/>
      <c r="F7" s="12"/>
      <c r="G7" s="12"/>
      <c r="H7" s="38"/>
      <c r="I7" s="192" t="s">
        <v>122</v>
      </c>
      <c r="J7" s="192" t="s">
        <v>7</v>
      </c>
      <c r="K7" s="192" t="s">
        <v>7</v>
      </c>
      <c r="L7" s="192" t="s">
        <v>8</v>
      </c>
      <c r="M7" s="192" t="s">
        <v>8</v>
      </c>
      <c r="N7" s="192" t="s">
        <v>8</v>
      </c>
      <c r="O7" s="192" t="s">
        <v>8</v>
      </c>
      <c r="P7" s="187">
        <v>3</v>
      </c>
      <c r="Q7" s="12" t="s">
        <v>35</v>
      </c>
      <c r="R7" s="10" t="str">
        <f>_xlfn.XLOOKUP(Q7,Tab_Def_Flows[Name(EN)],Tab_Def_Flows[Flow_ID],,0,)</f>
        <v>N.A.</v>
      </c>
      <c r="S7" s="12" t="s">
        <v>35</v>
      </c>
      <c r="T7" s="10" t="str">
        <f>_xlfn.XLOOKUP(S7,Tab_Def_Flows[Name(EN)],Tab_Def_Flows[Flow_ID],,0,)</f>
        <v>N.A.</v>
      </c>
      <c r="U7" s="12" t="s">
        <v>35</v>
      </c>
      <c r="V7" s="10" t="str">
        <f>_xlfn.XLOOKUP(U7,Tab_Def_Flows[Name(EN)],Tab_Def_Flows[Flow_ID],,0,)</f>
        <v>N.A.</v>
      </c>
      <c r="W7" s="12" t="s">
        <v>35</v>
      </c>
      <c r="X7" s="10" t="str">
        <f>_xlfn.XLOOKUP(W7,Tab_Def_Flows[Name(EN)],Tab_Def_Flows[Flow_ID],,0,)</f>
        <v>N.A.</v>
      </c>
      <c r="Y7" s="12" t="s">
        <v>35</v>
      </c>
      <c r="Z7" s="21" t="str">
        <f>_xlfn.XLOOKUP(Y7,Tab_Def_Flows[Name(EN)],Tab_Def_Flows[Flow_ID],,0,)</f>
        <v>N.A.</v>
      </c>
      <c r="AA7" s="192" t="s">
        <v>307</v>
      </c>
      <c r="AB7" s="10" t="str">
        <f>_xlfn.XLOOKUP(AA7,Tab_Def_Flows[Name(EN)],Tab_Def_Flows[Flow_ID],,0,)</f>
        <v>F_05_06</v>
      </c>
      <c r="AC7" s="192" t="s">
        <v>404</v>
      </c>
      <c r="AD7" s="10" t="str">
        <f>_xlfn.XLOOKUP(AC7,Tab_Def_Flows[Name(EN)],Tab_Def_Flows[Flow_ID],,0,)</f>
        <v>F_05_09</v>
      </c>
      <c r="AE7" s="192" t="s">
        <v>406</v>
      </c>
      <c r="AF7" s="10" t="str">
        <f>_xlfn.XLOOKUP(AE7,Tab_Def_Flows[Name(EN)],Tab_Def_Flows[Flow_ID],,0,)</f>
        <v>F_05_08</v>
      </c>
      <c r="AG7" s="192" t="s">
        <v>35</v>
      </c>
      <c r="AH7" s="10" t="str">
        <f>_xlfn.XLOOKUP(AG7,Tab_Def_Flows[Name(EN)],Tab_Def_Flows[Flow_ID],,0,)</f>
        <v>N.A.</v>
      </c>
      <c r="AI7" s="192" t="s">
        <v>35</v>
      </c>
      <c r="AJ7" s="10" t="str">
        <f>_xlfn.XLOOKUP(AI7,Tab_Def_Flows[Name(EN)],Tab_Def_Flows[Flow_ID],,0,)</f>
        <v>N.A.</v>
      </c>
      <c r="AK7" s="192" t="s">
        <v>35</v>
      </c>
      <c r="AL7" s="14" t="str">
        <f>_xlfn.XLOOKUP(AK7,Tab_Def_Flows[Name(EN)],Tab_Def_Flows[Flow_ID],,0,)</f>
        <v>N.A.</v>
      </c>
    </row>
    <row r="8" spans="1:38" x14ac:dyDescent="0.25">
      <c r="A8" s="197" t="b">
        <v>1</v>
      </c>
      <c r="B8" s="45" t="s">
        <v>137</v>
      </c>
      <c r="C8" s="10" t="str">
        <f t="shared" si="0"/>
        <v>06</v>
      </c>
      <c r="D8" s="12" t="s">
        <v>396</v>
      </c>
      <c r="E8" s="12"/>
      <c r="F8" s="12"/>
      <c r="G8" s="12"/>
      <c r="H8" s="38"/>
      <c r="I8" s="192" t="s">
        <v>122</v>
      </c>
      <c r="J8" s="192" t="s">
        <v>7</v>
      </c>
      <c r="K8" s="192" t="s">
        <v>8</v>
      </c>
      <c r="L8" s="192" t="s">
        <v>7</v>
      </c>
      <c r="M8" s="192" t="s">
        <v>8</v>
      </c>
      <c r="N8" s="192" t="s">
        <v>7</v>
      </c>
      <c r="O8" s="192" t="s">
        <v>8</v>
      </c>
      <c r="P8" s="187">
        <v>1</v>
      </c>
      <c r="Q8" s="12" t="s">
        <v>35</v>
      </c>
      <c r="R8" s="10" t="str">
        <f>_xlfn.XLOOKUP(Q8,Tab_Def_Flows[Name(EN)],Tab_Def_Flows[Flow_ID],,0,)</f>
        <v>N.A.</v>
      </c>
      <c r="S8" s="12" t="s">
        <v>35</v>
      </c>
      <c r="T8" s="10" t="str">
        <f>_xlfn.XLOOKUP(S8,Tab_Def_Flows[Name(EN)],Tab_Def_Flows[Flow_ID],,0,)</f>
        <v>N.A.</v>
      </c>
      <c r="U8" s="12" t="s">
        <v>35</v>
      </c>
      <c r="V8" s="10" t="str">
        <f>_xlfn.XLOOKUP(U8,Tab_Def_Flows[Name(EN)],Tab_Def_Flows[Flow_ID],,0,)</f>
        <v>N.A.</v>
      </c>
      <c r="W8" s="12" t="s">
        <v>35</v>
      </c>
      <c r="X8" s="10" t="str">
        <f>_xlfn.XLOOKUP(W8,Tab_Def_Flows[Name(EN)],Tab_Def_Flows[Flow_ID],,0,)</f>
        <v>N.A.</v>
      </c>
      <c r="Y8" s="12" t="s">
        <v>35</v>
      </c>
      <c r="Z8" s="14" t="str">
        <f>_xlfn.XLOOKUP(Y8,Tab_Def_Flows[Name(EN)],Tab_Def_Flows[Flow_ID],,0,)</f>
        <v>N.A.</v>
      </c>
      <c r="AA8" s="192" t="s">
        <v>308</v>
      </c>
      <c r="AB8" s="10" t="str">
        <f>_xlfn.XLOOKUP(AA8,Tab_Def_Flows[Name(EN)],Tab_Def_Flows[Flow_ID],,0,)</f>
        <v>F_06_07</v>
      </c>
      <c r="AC8" s="192" t="s">
        <v>35</v>
      </c>
      <c r="AD8" s="10" t="str">
        <f>_xlfn.XLOOKUP(AC8,Tab_Def_Flows[Name(EN)],Tab_Def_Flows[Flow_ID],,0,)</f>
        <v>N.A.</v>
      </c>
      <c r="AE8" s="192" t="s">
        <v>35</v>
      </c>
      <c r="AF8" s="10" t="str">
        <f>_xlfn.XLOOKUP(AE8,Tab_Def_Flows[Name(EN)],Tab_Def_Flows[Flow_ID],,0,)</f>
        <v>N.A.</v>
      </c>
      <c r="AG8" s="192" t="s">
        <v>35</v>
      </c>
      <c r="AH8" s="10" t="str">
        <f>_xlfn.XLOOKUP(AG8,Tab_Def_Flows[Name(EN)],Tab_Def_Flows[Flow_ID],,0,)</f>
        <v>N.A.</v>
      </c>
      <c r="AI8" s="192" t="s">
        <v>35</v>
      </c>
      <c r="AJ8" s="10" t="str">
        <f>_xlfn.XLOOKUP(AI8,Tab_Def_Flows[Name(EN)],Tab_Def_Flows[Flow_ID],,0,)</f>
        <v>N.A.</v>
      </c>
      <c r="AK8" s="192" t="s">
        <v>35</v>
      </c>
      <c r="AL8" s="14" t="str">
        <f>_xlfn.XLOOKUP(AK8,Tab_Def_Flows[Name(EN)],Tab_Def_Flows[Flow_ID],,0,)</f>
        <v>N.A.</v>
      </c>
    </row>
    <row r="9" spans="1:38" x14ac:dyDescent="0.25">
      <c r="A9" s="197" t="b">
        <v>0</v>
      </c>
      <c r="B9" s="45" t="s">
        <v>138</v>
      </c>
      <c r="C9" s="10" t="str">
        <f t="shared" si="0"/>
        <v>07</v>
      </c>
      <c r="D9" s="12" t="s">
        <v>397</v>
      </c>
      <c r="E9" s="12"/>
      <c r="F9" s="12"/>
      <c r="G9" s="12"/>
      <c r="H9" s="38"/>
      <c r="I9" s="192" t="s">
        <v>122</v>
      </c>
      <c r="J9" s="192" t="s">
        <v>7</v>
      </c>
      <c r="K9" s="192" t="s">
        <v>8</v>
      </c>
      <c r="L9" s="192" t="s">
        <v>8</v>
      </c>
      <c r="M9" s="192" t="s">
        <v>8</v>
      </c>
      <c r="N9" s="192" t="s">
        <v>8</v>
      </c>
      <c r="O9" s="192" t="s">
        <v>8</v>
      </c>
      <c r="P9" s="187">
        <v>2</v>
      </c>
      <c r="Q9" s="12" t="s">
        <v>35</v>
      </c>
      <c r="R9" s="10" t="str">
        <f>_xlfn.XLOOKUP(Q9,Tab_Def_Flows[Name(EN)],Tab_Def_Flows[Flow_ID],,0,)</f>
        <v>N.A.</v>
      </c>
      <c r="S9" s="12" t="s">
        <v>35</v>
      </c>
      <c r="T9" s="10" t="str">
        <f>_xlfn.XLOOKUP(S9,Tab_Def_Flows[Name(EN)],Tab_Def_Flows[Flow_ID],,0,)</f>
        <v>N.A.</v>
      </c>
      <c r="U9" s="12" t="s">
        <v>35</v>
      </c>
      <c r="V9" s="10" t="str">
        <f>_xlfn.XLOOKUP(U9,Tab_Def_Flows[Name(EN)],Tab_Def_Flows[Flow_ID],,0,)</f>
        <v>N.A.</v>
      </c>
      <c r="W9" s="12" t="s">
        <v>35</v>
      </c>
      <c r="X9" s="10" t="str">
        <f>_xlfn.XLOOKUP(W9,Tab_Def_Flows[Name(EN)],Tab_Def_Flows[Flow_ID],,0,)</f>
        <v>N.A.</v>
      </c>
      <c r="Y9" s="12" t="s">
        <v>35</v>
      </c>
      <c r="Z9" s="14" t="str">
        <f>_xlfn.XLOOKUP(Y9,Tab_Def_Flows[Name(EN)],Tab_Def_Flows[Flow_ID],,0,)</f>
        <v>N.A.</v>
      </c>
      <c r="AA9" s="192" t="s">
        <v>309</v>
      </c>
      <c r="AB9" s="10" t="str">
        <f>_xlfn.XLOOKUP(AA9,Tab_Def_Flows[Name(EN)],Tab_Def_Flows[Flow_ID],,0,)</f>
        <v>F_07_00</v>
      </c>
      <c r="AC9" s="192" t="s">
        <v>310</v>
      </c>
      <c r="AD9" s="10" t="str">
        <f>_xlfn.XLOOKUP(AC9,Tab_Def_Flows[Name(EN)],Tab_Def_Flows[Flow_ID],,0,)</f>
        <v>F_07_01</v>
      </c>
      <c r="AE9" s="192" t="s">
        <v>35</v>
      </c>
      <c r="AF9" s="10" t="str">
        <f>_xlfn.XLOOKUP(AE9,Tab_Def_Flows[Name(EN)],Tab_Def_Flows[Flow_ID],,0,)</f>
        <v>N.A.</v>
      </c>
      <c r="AG9" s="192" t="s">
        <v>35</v>
      </c>
      <c r="AH9" s="10" t="str">
        <f>_xlfn.XLOOKUP(AG9,Tab_Def_Flows[Name(EN)],Tab_Def_Flows[Flow_ID],,0,)</f>
        <v>N.A.</v>
      </c>
      <c r="AI9" s="192" t="s">
        <v>35</v>
      </c>
      <c r="AJ9" s="10" t="str">
        <f>_xlfn.XLOOKUP(AI9,Tab_Def_Flows[Name(EN)],Tab_Def_Flows[Flow_ID],,0,)</f>
        <v>N.A.</v>
      </c>
      <c r="AK9" s="192" t="s">
        <v>35</v>
      </c>
      <c r="AL9" s="14" t="str">
        <f>_xlfn.XLOOKUP(AK9,Tab_Def_Flows[Name(EN)],Tab_Def_Flows[Flow_ID],,0,)</f>
        <v>N.A.</v>
      </c>
    </row>
    <row r="10" spans="1:38" x14ac:dyDescent="0.25">
      <c r="A10" s="197" t="b">
        <v>0</v>
      </c>
      <c r="B10" s="45" t="s">
        <v>139</v>
      </c>
      <c r="C10" s="10" t="str">
        <f t="shared" si="0"/>
        <v>08</v>
      </c>
      <c r="D10" s="12" t="s">
        <v>398</v>
      </c>
      <c r="E10" s="12"/>
      <c r="F10" s="12"/>
      <c r="G10" s="12"/>
      <c r="H10" s="38"/>
      <c r="I10" s="192" t="s">
        <v>122</v>
      </c>
      <c r="J10" s="192" t="s">
        <v>7</v>
      </c>
      <c r="K10" s="192" t="s">
        <v>8</v>
      </c>
      <c r="L10" s="192" t="s">
        <v>8</v>
      </c>
      <c r="M10" s="192" t="s">
        <v>8</v>
      </c>
      <c r="N10" s="192" t="s">
        <v>8</v>
      </c>
      <c r="O10" s="192" t="s">
        <v>8</v>
      </c>
      <c r="P10" s="187">
        <v>1</v>
      </c>
      <c r="Q10" s="12" t="s">
        <v>35</v>
      </c>
      <c r="R10" s="10" t="str">
        <f>_xlfn.XLOOKUP(Q10,Tab_Def_Flows[Name(EN)],Tab_Def_Flows[Flow_ID],,0,)</f>
        <v>N.A.</v>
      </c>
      <c r="S10" s="12" t="s">
        <v>35</v>
      </c>
      <c r="T10" s="10" t="str">
        <f>_xlfn.XLOOKUP(S10,Tab_Def_Flows[Name(EN)],Tab_Def_Flows[Flow_ID],,0,)</f>
        <v>N.A.</v>
      </c>
      <c r="U10" s="12" t="s">
        <v>35</v>
      </c>
      <c r="V10" s="10" t="str">
        <f>_xlfn.XLOOKUP(U10,Tab_Def_Flows[Name(EN)],Tab_Def_Flows[Flow_ID],,0,)</f>
        <v>N.A.</v>
      </c>
      <c r="W10" s="12" t="s">
        <v>35</v>
      </c>
      <c r="X10" s="10" t="str">
        <f>_xlfn.XLOOKUP(W10,Tab_Def_Flows[Name(EN)],Tab_Def_Flows[Flow_ID],,0,)</f>
        <v>N.A.</v>
      </c>
      <c r="Y10" s="12" t="s">
        <v>35</v>
      </c>
      <c r="Z10" s="18" t="str">
        <f>_xlfn.XLOOKUP(Y10,Tab_Def_Flows[Name(EN)],Tab_Def_Flows[Flow_ID],,0,)</f>
        <v>N.A.</v>
      </c>
      <c r="AA10" s="192" t="s">
        <v>405</v>
      </c>
      <c r="AB10" s="10" t="str">
        <f>_xlfn.XLOOKUP(AA10,Tab_Def_Flows[Name(EN)],Tab_Def_Flows[Flow_ID],,0,)</f>
        <v>F_08_10</v>
      </c>
      <c r="AC10" s="192" t="s">
        <v>35</v>
      </c>
      <c r="AD10" s="10" t="str">
        <f>_xlfn.XLOOKUP(AC10,Tab_Def_Flows[Name(EN)],Tab_Def_Flows[Flow_ID],,0,)</f>
        <v>N.A.</v>
      </c>
      <c r="AE10" s="192" t="s">
        <v>35</v>
      </c>
      <c r="AF10" s="10" t="str">
        <f>_xlfn.XLOOKUP(AE10,Tab_Def_Flows[Name(EN)],Tab_Def_Flows[Flow_ID],,0,)</f>
        <v>N.A.</v>
      </c>
      <c r="AG10" s="192" t="s">
        <v>35</v>
      </c>
      <c r="AH10" s="10" t="str">
        <f>_xlfn.XLOOKUP(AG10,Tab_Def_Flows[Name(EN)],Tab_Def_Flows[Flow_ID],,0,)</f>
        <v>N.A.</v>
      </c>
      <c r="AI10" s="192" t="s">
        <v>35</v>
      </c>
      <c r="AJ10" s="10" t="str">
        <f>_xlfn.XLOOKUP(AI10,Tab_Def_Flows[Name(EN)],Tab_Def_Flows[Flow_ID],,0,)</f>
        <v>N.A.</v>
      </c>
      <c r="AK10" s="192" t="s">
        <v>35</v>
      </c>
      <c r="AL10" s="14" t="str">
        <f>_xlfn.XLOOKUP(AK10,Tab_Def_Flows[Name(EN)],Tab_Def_Flows[Flow_ID],,0,)</f>
        <v>N.A.</v>
      </c>
    </row>
    <row r="11" spans="1:38" x14ac:dyDescent="0.25">
      <c r="A11" s="197" t="b">
        <v>0</v>
      </c>
      <c r="B11" s="45" t="s">
        <v>140</v>
      </c>
      <c r="C11" s="10" t="str">
        <f t="shared" si="0"/>
        <v>09</v>
      </c>
      <c r="D11" s="12" t="s">
        <v>395</v>
      </c>
      <c r="E11" s="12"/>
      <c r="F11" s="12"/>
      <c r="G11" s="12"/>
      <c r="H11" s="38"/>
      <c r="I11" s="192" t="s">
        <v>122</v>
      </c>
      <c r="J11" s="192" t="s">
        <v>7</v>
      </c>
      <c r="K11" s="192" t="s">
        <v>8</v>
      </c>
      <c r="L11" s="192" t="s">
        <v>7</v>
      </c>
      <c r="M11" s="192" t="s">
        <v>7</v>
      </c>
      <c r="N11" s="192" t="s">
        <v>8</v>
      </c>
      <c r="O11" s="192" t="s">
        <v>8</v>
      </c>
      <c r="P11" s="187">
        <v>2</v>
      </c>
      <c r="Q11" s="12" t="s">
        <v>35</v>
      </c>
      <c r="R11" s="10" t="str">
        <f>_xlfn.XLOOKUP(Q11,Tab_Def_Flows[Name(EN)],Tab_Def_Flows[Flow_ID],,0,)</f>
        <v>N.A.</v>
      </c>
      <c r="S11" s="12" t="s">
        <v>35</v>
      </c>
      <c r="T11" s="10" t="str">
        <f>_xlfn.XLOOKUP(S11,Tab_Def_Flows[Name(EN)],Tab_Def_Flows[Flow_ID],,0,)</f>
        <v>N.A.</v>
      </c>
      <c r="U11" s="12" t="s">
        <v>35</v>
      </c>
      <c r="V11" s="10" t="str">
        <f>_xlfn.XLOOKUP(U11,Tab_Def_Flows[Name(EN)],Tab_Def_Flows[Flow_ID],,0,)</f>
        <v>N.A.</v>
      </c>
      <c r="W11" s="12" t="s">
        <v>35</v>
      </c>
      <c r="X11" s="10" t="str">
        <f>_xlfn.XLOOKUP(W11,Tab_Def_Flows[Name(EN)],Tab_Def_Flows[Flow_ID],,0,)</f>
        <v>N.A.</v>
      </c>
      <c r="Y11" s="12" t="s">
        <v>35</v>
      </c>
      <c r="Z11" s="18" t="str">
        <f>_xlfn.XLOOKUP(Y11,Tab_Def_Flows[Name(EN)],Tab_Def_Flows[Flow_ID],,0,)</f>
        <v>N.A.</v>
      </c>
      <c r="AA11" s="192" t="s">
        <v>400</v>
      </c>
      <c r="AB11" s="10" t="str">
        <f>_xlfn.XLOOKUP(AA11,Tab_Def_Flows[Name(EN)],Tab_Def_Flows[Flow_ID],,0,)</f>
        <v>F_09_00</v>
      </c>
      <c r="AC11" s="192" t="s">
        <v>400</v>
      </c>
      <c r="AD11" s="10" t="str">
        <f>_xlfn.XLOOKUP(AC11,Tab_Def_Flows[Name(EN)],Tab_Def_Flows[Flow_ID],,0,)</f>
        <v>F_09_00</v>
      </c>
      <c r="AE11" s="192" t="s">
        <v>35</v>
      </c>
      <c r="AF11" s="10" t="str">
        <f>_xlfn.XLOOKUP(AE11,Tab_Def_Flows[Name(EN)],Tab_Def_Flows[Flow_ID],,0,)</f>
        <v>N.A.</v>
      </c>
      <c r="AG11" s="192" t="s">
        <v>35</v>
      </c>
      <c r="AH11" s="10" t="str">
        <f>_xlfn.XLOOKUP(AG11,Tab_Def_Flows[Name(EN)],Tab_Def_Flows[Flow_ID],,0,)</f>
        <v>N.A.</v>
      </c>
      <c r="AI11" s="192" t="s">
        <v>35</v>
      </c>
      <c r="AJ11" s="10" t="str">
        <f>_xlfn.XLOOKUP(AI11,Tab_Def_Flows[Name(EN)],Tab_Def_Flows[Flow_ID],,0,)</f>
        <v>N.A.</v>
      </c>
      <c r="AK11" s="192" t="s">
        <v>35</v>
      </c>
      <c r="AL11" s="14" t="str">
        <f>_xlfn.XLOOKUP(AK11,Tab_Def_Flows[Name(EN)],Tab_Def_Flows[Flow_ID],,0,)</f>
        <v>N.A.</v>
      </c>
    </row>
    <row r="12" spans="1:38" x14ac:dyDescent="0.25">
      <c r="A12" s="197" t="b">
        <v>0</v>
      </c>
      <c r="B12" s="45" t="s">
        <v>145</v>
      </c>
      <c r="C12" s="10" t="str">
        <f t="shared" si="0"/>
        <v>10</v>
      </c>
      <c r="D12" s="12" t="s">
        <v>101</v>
      </c>
      <c r="E12" s="12"/>
      <c r="F12" s="12"/>
      <c r="G12" s="12"/>
      <c r="H12" s="38"/>
      <c r="I12" s="192" t="s">
        <v>122</v>
      </c>
      <c r="J12" s="192" t="s">
        <v>7</v>
      </c>
      <c r="K12" s="192" t="s">
        <v>8</v>
      </c>
      <c r="L12" s="192" t="s">
        <v>7</v>
      </c>
      <c r="M12" s="192" t="s">
        <v>8</v>
      </c>
      <c r="N12" s="192" t="s">
        <v>8</v>
      </c>
      <c r="O12" s="192" t="s">
        <v>7</v>
      </c>
      <c r="P12" s="12">
        <v>2</v>
      </c>
      <c r="Q12" s="12" t="s">
        <v>35</v>
      </c>
      <c r="R12" s="10" t="str">
        <f>_xlfn.XLOOKUP(Q12,Tab_Def_Flows[Name(EN)],Tab_Def_Flows[Flow_ID],,0,)</f>
        <v>N.A.</v>
      </c>
      <c r="S12" s="12" t="s">
        <v>35</v>
      </c>
      <c r="T12" s="10" t="str">
        <f>_xlfn.XLOOKUP(S12,Tab_Def_Flows[Name(EN)],Tab_Def_Flows[Flow_ID],,0,)</f>
        <v>N.A.</v>
      </c>
      <c r="U12" s="12" t="s">
        <v>35</v>
      </c>
      <c r="V12" s="10" t="str">
        <f>_xlfn.XLOOKUP(U12,Tab_Def_Flows[Name(EN)],Tab_Def_Flows[Flow_ID],,0,)</f>
        <v>N.A.</v>
      </c>
      <c r="W12" s="12" t="s">
        <v>35</v>
      </c>
      <c r="X12" s="10" t="str">
        <f>_xlfn.XLOOKUP(W12,Tab_Def_Flows[Name(EN)],Tab_Def_Flows[Flow_ID],,0,)</f>
        <v>N.A.</v>
      </c>
      <c r="Y12" s="12" t="s">
        <v>35</v>
      </c>
      <c r="Z12" s="18" t="str">
        <f>_xlfn.XLOOKUP(Y12,Tab_Def_Flows[Name(EN)],Tab_Def_Flows[Flow_ID],,0,)</f>
        <v>N.A.</v>
      </c>
      <c r="AA12" s="192" t="s">
        <v>402</v>
      </c>
      <c r="AB12" s="10" t="str">
        <f>_xlfn.XLOOKUP(AA12,Tab_Def_Flows[Name(EN)],Tab_Def_Flows[Flow_ID],,0,)</f>
        <v>F_10_00</v>
      </c>
      <c r="AC12" s="192" t="s">
        <v>403</v>
      </c>
      <c r="AD12" s="10" t="str">
        <f>_xlfn.XLOOKUP(AC12,Tab_Def_Flows[Name(EN)],Tab_Def_Flows[Flow_ID],,0,)</f>
        <v>F_10_01</v>
      </c>
      <c r="AE12" s="192" t="s">
        <v>35</v>
      </c>
      <c r="AF12" s="10" t="str">
        <f>_xlfn.XLOOKUP(AE12,Tab_Def_Flows[Name(EN)],Tab_Def_Flows[Flow_ID],,0,)</f>
        <v>N.A.</v>
      </c>
      <c r="AG12" s="192" t="s">
        <v>35</v>
      </c>
      <c r="AH12" s="10" t="str">
        <f>_xlfn.XLOOKUP(AG12,Tab_Def_Flows[Name(EN)],Tab_Def_Flows[Flow_ID],,0,)</f>
        <v>N.A.</v>
      </c>
      <c r="AI12" s="192" t="s">
        <v>35</v>
      </c>
      <c r="AJ12" s="10" t="str">
        <f>_xlfn.XLOOKUP(AI12,Tab_Def_Flows[Name(EN)],Tab_Def_Flows[Flow_ID],,0,)</f>
        <v>N.A.</v>
      </c>
      <c r="AK12" s="192" t="s">
        <v>35</v>
      </c>
      <c r="AL12" s="14" t="str">
        <f>_xlfn.XLOOKUP(AK12,Tab_Def_Flows[Name(EN)],Tab_Def_Flows[Flow_ID],,0,)</f>
        <v>N.A.</v>
      </c>
    </row>
    <row r="13" spans="1:38" x14ac:dyDescent="0.25">
      <c r="A13" s="197" t="b">
        <v>0</v>
      </c>
      <c r="B13" s="45" t="s">
        <v>146</v>
      </c>
      <c r="C13" s="10" t="str">
        <f t="shared" si="0"/>
        <v>11</v>
      </c>
      <c r="D13" s="12" t="s">
        <v>495</v>
      </c>
      <c r="E13" s="12"/>
      <c r="F13" s="12"/>
      <c r="G13" s="12"/>
      <c r="H13" s="38"/>
      <c r="I13" s="192" t="s">
        <v>122</v>
      </c>
      <c r="J13" s="192" t="s">
        <v>7</v>
      </c>
      <c r="K13" s="192" t="s">
        <v>8</v>
      </c>
      <c r="L13" s="192" t="s">
        <v>7</v>
      </c>
      <c r="M13" s="192" t="s">
        <v>8</v>
      </c>
      <c r="N13" s="192" t="s">
        <v>8</v>
      </c>
      <c r="O13" s="192" t="s">
        <v>8</v>
      </c>
      <c r="P13" s="12">
        <v>2</v>
      </c>
      <c r="Q13" s="12" t="s">
        <v>35</v>
      </c>
      <c r="R13" s="10" t="str">
        <f>_xlfn.XLOOKUP(Q13,Tab_Def_Flows[Name(EN)],Tab_Def_Flows[Flow_ID],,0,)</f>
        <v>N.A.</v>
      </c>
      <c r="S13" s="12" t="s">
        <v>35</v>
      </c>
      <c r="T13" s="10" t="str">
        <f>_xlfn.XLOOKUP(S13,Tab_Def_Flows[Name(EN)],Tab_Def_Flows[Flow_ID],,0,)</f>
        <v>N.A.</v>
      </c>
      <c r="U13" s="12" t="s">
        <v>35</v>
      </c>
      <c r="V13" s="10" t="str">
        <f>_xlfn.XLOOKUP(U13,Tab_Def_Flows[Name(EN)],Tab_Def_Flows[Flow_ID],,0,)</f>
        <v>N.A.</v>
      </c>
      <c r="W13" s="12" t="s">
        <v>35</v>
      </c>
      <c r="X13" s="10" t="str">
        <f>_xlfn.XLOOKUP(W13,Tab_Def_Flows[Name(EN)],Tab_Def_Flows[Flow_ID],,0,)</f>
        <v>N.A.</v>
      </c>
      <c r="Y13" s="12" t="s">
        <v>35</v>
      </c>
      <c r="Z13" s="18" t="str">
        <f>_xlfn.XLOOKUP(Y13,Tab_Def_Flows[Name(EN)],Tab_Def_Flows[Flow_ID],,0,)</f>
        <v>N.A.</v>
      </c>
      <c r="AA13" s="192" t="s">
        <v>35</v>
      </c>
      <c r="AB13" s="10" t="str">
        <f>_xlfn.XLOOKUP(AA13,Tab_Def_Flows[Name(EN)],Tab_Def_Flows[Flow_ID],,0,)</f>
        <v>N.A.</v>
      </c>
      <c r="AC13" s="192" t="s">
        <v>35</v>
      </c>
      <c r="AD13" s="10" t="str">
        <f>_xlfn.XLOOKUP(AC13,Tab_Def_Flows[Name(EN)],Tab_Def_Flows[Flow_ID],,0,)</f>
        <v>N.A.</v>
      </c>
      <c r="AE13" s="192" t="s">
        <v>35</v>
      </c>
      <c r="AF13" s="10" t="str">
        <f>_xlfn.XLOOKUP(AE13,Tab_Def_Flows[Name(EN)],Tab_Def_Flows[Flow_ID],,0,)</f>
        <v>N.A.</v>
      </c>
      <c r="AG13" s="192" t="s">
        <v>35</v>
      </c>
      <c r="AH13" s="10" t="str">
        <f>_xlfn.XLOOKUP(AG13,Tab_Def_Flows[Name(EN)],Tab_Def_Flows[Flow_ID],,0,)</f>
        <v>N.A.</v>
      </c>
      <c r="AI13" s="192" t="s">
        <v>35</v>
      </c>
      <c r="AJ13" s="10" t="str">
        <f>_xlfn.XLOOKUP(AI13,Tab_Def_Flows[Name(EN)],Tab_Def_Flows[Flow_ID],,0,)</f>
        <v>N.A.</v>
      </c>
      <c r="AK13" s="192" t="s">
        <v>35</v>
      </c>
      <c r="AL13" s="14" t="str">
        <f>_xlfn.XLOOKUP(AK13,Tab_Def_Flows[Name(EN)],Tab_Def_Flows[Flow_ID],,0,)</f>
        <v>N.A.</v>
      </c>
    </row>
    <row r="14" spans="1:38" x14ac:dyDescent="0.25">
      <c r="A14" s="197" t="b">
        <v>0</v>
      </c>
      <c r="B14" s="45" t="s">
        <v>147</v>
      </c>
      <c r="C14" s="10" t="str">
        <f t="shared" si="0"/>
        <v>12</v>
      </c>
      <c r="D14" s="12"/>
      <c r="E14" s="12"/>
      <c r="F14" s="12"/>
      <c r="G14" s="12"/>
      <c r="H14" s="38"/>
      <c r="I14" s="192"/>
      <c r="J14" s="192"/>
      <c r="K14" s="192"/>
      <c r="L14" s="192"/>
      <c r="M14" s="192"/>
      <c r="N14" s="192"/>
      <c r="O14" s="192"/>
      <c r="P14" s="12"/>
      <c r="Q14" s="12" t="s">
        <v>35</v>
      </c>
      <c r="R14" s="10" t="str">
        <f>_xlfn.XLOOKUP(Q14,Tab_Def_Flows[Name(EN)],Tab_Def_Flows[Flow_ID],,0,)</f>
        <v>N.A.</v>
      </c>
      <c r="S14" s="12" t="s">
        <v>35</v>
      </c>
      <c r="T14" s="10" t="str">
        <f>_xlfn.XLOOKUP(S14,Tab_Def_Flows[Name(EN)],Tab_Def_Flows[Flow_ID],,0,)</f>
        <v>N.A.</v>
      </c>
      <c r="U14" s="12" t="s">
        <v>35</v>
      </c>
      <c r="V14" s="10" t="str">
        <f>_xlfn.XLOOKUP(U14,Tab_Def_Flows[Name(EN)],Tab_Def_Flows[Flow_ID],,0,)</f>
        <v>N.A.</v>
      </c>
      <c r="W14" s="12" t="s">
        <v>35</v>
      </c>
      <c r="X14" s="10" t="str">
        <f>_xlfn.XLOOKUP(W14,Tab_Def_Flows[Name(EN)],Tab_Def_Flows[Flow_ID],,0,)</f>
        <v>N.A.</v>
      </c>
      <c r="Y14" s="12" t="s">
        <v>35</v>
      </c>
      <c r="Z14" s="18" t="str">
        <f>_xlfn.XLOOKUP(Y14,Tab_Def_Flows[Name(EN)],Tab_Def_Flows[Flow_ID],,0,)</f>
        <v>N.A.</v>
      </c>
      <c r="AA14" s="192" t="s">
        <v>35</v>
      </c>
      <c r="AB14" s="10" t="str">
        <f>_xlfn.XLOOKUP(AA14,Tab_Def_Flows[Name(EN)],Tab_Def_Flows[Flow_ID],,0,)</f>
        <v>N.A.</v>
      </c>
      <c r="AC14" s="192" t="s">
        <v>35</v>
      </c>
      <c r="AD14" s="10" t="str">
        <f>_xlfn.XLOOKUP(AC14,Tab_Def_Flows[Name(EN)],Tab_Def_Flows[Flow_ID],,0,)</f>
        <v>N.A.</v>
      </c>
      <c r="AE14" s="192" t="s">
        <v>35</v>
      </c>
      <c r="AF14" s="10" t="str">
        <f>_xlfn.XLOOKUP(AE14,Tab_Def_Flows[Name(EN)],Tab_Def_Flows[Flow_ID],,0,)</f>
        <v>N.A.</v>
      </c>
      <c r="AG14" s="192" t="s">
        <v>35</v>
      </c>
      <c r="AH14" s="10" t="str">
        <f>_xlfn.XLOOKUP(AG14,Tab_Def_Flows[Name(EN)],Tab_Def_Flows[Flow_ID],,0,)</f>
        <v>N.A.</v>
      </c>
      <c r="AI14" s="192" t="s">
        <v>35</v>
      </c>
      <c r="AJ14" s="10" t="str">
        <f>_xlfn.XLOOKUP(AI14,Tab_Def_Flows[Name(EN)],Tab_Def_Flows[Flow_ID],,0,)</f>
        <v>N.A.</v>
      </c>
      <c r="AK14" s="192" t="s">
        <v>35</v>
      </c>
      <c r="AL14" s="14" t="str">
        <f>_xlfn.XLOOKUP(AK14,Tab_Def_Flows[Name(EN)],Tab_Def_Flows[Flow_ID],,0,)</f>
        <v>N.A.</v>
      </c>
    </row>
    <row r="15" spans="1:38" x14ac:dyDescent="0.25">
      <c r="A15" s="197" t="b">
        <v>0</v>
      </c>
      <c r="B15" s="45" t="s">
        <v>148</v>
      </c>
      <c r="C15" s="10" t="str">
        <f t="shared" si="0"/>
        <v>13</v>
      </c>
      <c r="D15" s="12"/>
      <c r="E15" s="12"/>
      <c r="F15" s="12"/>
      <c r="G15" s="12"/>
      <c r="H15" s="38"/>
      <c r="I15" s="192"/>
      <c r="J15" s="192"/>
      <c r="K15" s="192"/>
      <c r="L15" s="192"/>
      <c r="M15" s="192"/>
      <c r="N15" s="192"/>
      <c r="O15" s="192"/>
      <c r="P15" s="12"/>
      <c r="Q15" s="12" t="s">
        <v>35</v>
      </c>
      <c r="R15" s="10" t="str">
        <f>_xlfn.XLOOKUP(Q15,Tab_Def_Flows[Name(EN)],Tab_Def_Flows[Flow_ID],,0,)</f>
        <v>N.A.</v>
      </c>
      <c r="S15" s="12" t="s">
        <v>35</v>
      </c>
      <c r="T15" s="10" t="str">
        <f>_xlfn.XLOOKUP(S15,Tab_Def_Flows[Name(EN)],Tab_Def_Flows[Flow_ID],,0,)</f>
        <v>N.A.</v>
      </c>
      <c r="U15" s="12" t="s">
        <v>35</v>
      </c>
      <c r="V15" s="10" t="str">
        <f>_xlfn.XLOOKUP(U15,Tab_Def_Flows[Name(EN)],Tab_Def_Flows[Flow_ID],,0,)</f>
        <v>N.A.</v>
      </c>
      <c r="W15" s="12" t="s">
        <v>35</v>
      </c>
      <c r="X15" s="10" t="str">
        <f>_xlfn.XLOOKUP(W15,Tab_Def_Flows[Name(EN)],Tab_Def_Flows[Flow_ID],,0,)</f>
        <v>N.A.</v>
      </c>
      <c r="Y15" s="12" t="s">
        <v>35</v>
      </c>
      <c r="Z15" s="22" t="str">
        <f>_xlfn.XLOOKUP(Y15,Tab_Def_Flows[Name(EN)],Tab_Def_Flows[Flow_ID],,0,)</f>
        <v>N.A.</v>
      </c>
      <c r="AA15" s="192" t="s">
        <v>35</v>
      </c>
      <c r="AB15" s="10" t="str">
        <f>_xlfn.XLOOKUP(AA15,Tab_Def_Flows[Name(EN)],Tab_Def_Flows[Flow_ID],,0,)</f>
        <v>N.A.</v>
      </c>
      <c r="AC15" s="192" t="s">
        <v>35</v>
      </c>
      <c r="AD15" s="10" t="str">
        <f>_xlfn.XLOOKUP(AC15,Tab_Def_Flows[Name(EN)],Tab_Def_Flows[Flow_ID],,0,)</f>
        <v>N.A.</v>
      </c>
      <c r="AE15" s="192" t="s">
        <v>35</v>
      </c>
      <c r="AF15" s="10" t="str">
        <f>_xlfn.XLOOKUP(AE15,Tab_Def_Flows[Name(EN)],Tab_Def_Flows[Flow_ID],,0,)</f>
        <v>N.A.</v>
      </c>
      <c r="AG15" s="192" t="s">
        <v>35</v>
      </c>
      <c r="AH15" s="10" t="str">
        <f>_xlfn.XLOOKUP(AG15,Tab_Def_Flows[Name(EN)],Tab_Def_Flows[Flow_ID],,0,)</f>
        <v>N.A.</v>
      </c>
      <c r="AI15" s="192" t="s">
        <v>35</v>
      </c>
      <c r="AJ15" s="10" t="str">
        <f>_xlfn.XLOOKUP(AI15,Tab_Def_Flows[Name(EN)],Tab_Def_Flows[Flow_ID],,0,)</f>
        <v>N.A.</v>
      </c>
      <c r="AK15" s="192" t="s">
        <v>35</v>
      </c>
      <c r="AL15" s="14" t="str">
        <f>_xlfn.XLOOKUP(AK15,Tab_Def_Flows[Name(EN)],Tab_Def_Flows[Flow_ID],,0,)</f>
        <v>N.A.</v>
      </c>
    </row>
    <row r="16" spans="1:38" x14ac:dyDescent="0.25">
      <c r="A16" s="197" t="b">
        <v>0</v>
      </c>
      <c r="B16" s="45" t="s">
        <v>149</v>
      </c>
      <c r="C16" s="10" t="str">
        <f t="shared" si="0"/>
        <v>14</v>
      </c>
      <c r="D16" s="12"/>
      <c r="E16" s="12"/>
      <c r="F16" s="12"/>
      <c r="G16" s="12"/>
      <c r="H16" s="38"/>
      <c r="I16" s="192"/>
      <c r="J16" s="192"/>
      <c r="K16" s="192"/>
      <c r="L16" s="192"/>
      <c r="M16" s="192"/>
      <c r="N16" s="192"/>
      <c r="O16" s="192"/>
      <c r="P16" s="12"/>
      <c r="Q16" s="12" t="s">
        <v>35</v>
      </c>
      <c r="R16" s="13" t="str">
        <f>_xlfn.XLOOKUP(Q16,Tab_Def_Flows[Name(EN)],Tab_Def_Flows[Flow_ID],,0,)</f>
        <v>N.A.</v>
      </c>
      <c r="S16" s="12" t="s">
        <v>35</v>
      </c>
      <c r="T16" s="13" t="str">
        <f>_xlfn.XLOOKUP(S16,Tab_Def_Flows[Name(EN)],Tab_Def_Flows[Flow_ID],,0,)</f>
        <v>N.A.</v>
      </c>
      <c r="U16" s="12" t="s">
        <v>35</v>
      </c>
      <c r="V16" s="13" t="str">
        <f>_xlfn.XLOOKUP(U16,Tab_Def_Flows[Name(EN)],Tab_Def_Flows[Flow_ID],,0,)</f>
        <v>N.A.</v>
      </c>
      <c r="W16" s="12" t="s">
        <v>35</v>
      </c>
      <c r="X16" s="13" t="str">
        <f>_xlfn.XLOOKUP(W16,Tab_Def_Flows[Name(EN)],Tab_Def_Flows[Flow_ID],,0,)</f>
        <v>N.A.</v>
      </c>
      <c r="Y16" s="12" t="s">
        <v>35</v>
      </c>
      <c r="Z16" s="14" t="str">
        <f>_xlfn.XLOOKUP(Y16,Tab_Def_Flows[Name(EN)],Tab_Def_Flows[Flow_ID],,0,)</f>
        <v>N.A.</v>
      </c>
      <c r="AA16" s="192" t="s">
        <v>35</v>
      </c>
      <c r="AB16" s="13" t="str">
        <f>_xlfn.XLOOKUP(AA16,Tab_Def_Flows[Name(EN)],Tab_Def_Flows[Flow_ID],,0,)</f>
        <v>N.A.</v>
      </c>
      <c r="AC16" s="192" t="s">
        <v>35</v>
      </c>
      <c r="AD16" s="13" t="str">
        <f>_xlfn.XLOOKUP(AC16,Tab_Def_Flows[Name(EN)],Tab_Def_Flows[Flow_ID],,0,)</f>
        <v>N.A.</v>
      </c>
      <c r="AE16" s="192" t="s">
        <v>35</v>
      </c>
      <c r="AF16" s="13" t="str">
        <f>_xlfn.XLOOKUP(AE16,Tab_Def_Flows[Name(EN)],Tab_Def_Flows[Flow_ID],,0,)</f>
        <v>N.A.</v>
      </c>
      <c r="AG16" s="192" t="s">
        <v>35</v>
      </c>
      <c r="AH16" s="13" t="str">
        <f>_xlfn.XLOOKUP(AG16,Tab_Def_Flows[Name(EN)],Tab_Def_Flows[Flow_ID],,0,)</f>
        <v>N.A.</v>
      </c>
      <c r="AI16" s="192" t="s">
        <v>35</v>
      </c>
      <c r="AJ16" s="13" t="str">
        <f>_xlfn.XLOOKUP(AI16,Tab_Def_Flows[Name(EN)],Tab_Def_Flows[Flow_ID],,0,)</f>
        <v>N.A.</v>
      </c>
      <c r="AK16" s="192" t="s">
        <v>35</v>
      </c>
      <c r="AL16" s="14" t="str">
        <f>_xlfn.XLOOKUP(AK16,Tab_Def_Flows[Name(EN)],Tab_Def_Flows[Flow_ID],,0,)</f>
        <v>N.A.</v>
      </c>
    </row>
    <row r="17" spans="1:38" x14ac:dyDescent="0.25">
      <c r="A17" s="197" t="b">
        <v>0</v>
      </c>
      <c r="B17" s="45" t="s">
        <v>150</v>
      </c>
      <c r="C17" s="10" t="str">
        <f t="shared" si="0"/>
        <v>15</v>
      </c>
      <c r="D17" s="12"/>
      <c r="E17" s="12"/>
      <c r="F17" s="12"/>
      <c r="G17" s="12"/>
      <c r="H17" s="38"/>
      <c r="I17" s="192"/>
      <c r="J17" s="192"/>
      <c r="K17" s="192"/>
      <c r="L17" s="192"/>
      <c r="M17" s="192"/>
      <c r="N17" s="192"/>
      <c r="O17" s="192"/>
      <c r="P17" s="12"/>
      <c r="Q17" s="12" t="s">
        <v>35</v>
      </c>
      <c r="R17" s="13" t="str">
        <f>_xlfn.XLOOKUP(Q17,Tab_Def_Flows[Name(EN)],Tab_Def_Flows[Flow_ID],,0,)</f>
        <v>N.A.</v>
      </c>
      <c r="S17" s="12" t="s">
        <v>35</v>
      </c>
      <c r="T17" s="13" t="str">
        <f>_xlfn.XLOOKUP(S17,Tab_Def_Flows[Name(EN)],Tab_Def_Flows[Flow_ID],,0,)</f>
        <v>N.A.</v>
      </c>
      <c r="U17" s="12" t="s">
        <v>35</v>
      </c>
      <c r="V17" s="13" t="str">
        <f>_xlfn.XLOOKUP(U17,Tab_Def_Flows[Name(EN)],Tab_Def_Flows[Flow_ID],,0,)</f>
        <v>N.A.</v>
      </c>
      <c r="W17" s="12" t="s">
        <v>35</v>
      </c>
      <c r="X17" s="13" t="str">
        <f>_xlfn.XLOOKUP(W17,Tab_Def_Flows[Name(EN)],Tab_Def_Flows[Flow_ID],,0,)</f>
        <v>N.A.</v>
      </c>
      <c r="Y17" s="12" t="s">
        <v>35</v>
      </c>
      <c r="Z17" s="14" t="str">
        <f>_xlfn.XLOOKUP(Y17,Tab_Def_Flows[Name(EN)],Tab_Def_Flows[Flow_ID],,0,)</f>
        <v>N.A.</v>
      </c>
      <c r="AA17" s="192" t="s">
        <v>35</v>
      </c>
      <c r="AB17" s="13" t="str">
        <f>_xlfn.XLOOKUP(AA17,Tab_Def_Flows[Name(EN)],Tab_Def_Flows[Flow_ID],,0,)</f>
        <v>N.A.</v>
      </c>
      <c r="AC17" s="192" t="s">
        <v>35</v>
      </c>
      <c r="AD17" s="13" t="str">
        <f>_xlfn.XLOOKUP(AC17,Tab_Def_Flows[Name(EN)],Tab_Def_Flows[Flow_ID],,0,)</f>
        <v>N.A.</v>
      </c>
      <c r="AE17" s="192" t="s">
        <v>35</v>
      </c>
      <c r="AF17" s="13" t="str">
        <f>_xlfn.XLOOKUP(AE17,Tab_Def_Flows[Name(EN)],Tab_Def_Flows[Flow_ID],,0,)</f>
        <v>N.A.</v>
      </c>
      <c r="AG17" s="192" t="s">
        <v>35</v>
      </c>
      <c r="AH17" s="13" t="str">
        <f>_xlfn.XLOOKUP(AG17,Tab_Def_Flows[Name(EN)],Tab_Def_Flows[Flow_ID],,0,)</f>
        <v>N.A.</v>
      </c>
      <c r="AI17" s="192" t="s">
        <v>35</v>
      </c>
      <c r="AJ17" s="13" t="str">
        <f>_xlfn.XLOOKUP(AI17,Tab_Def_Flows[Name(EN)],Tab_Def_Flows[Flow_ID],,0,)</f>
        <v>N.A.</v>
      </c>
      <c r="AK17" s="192" t="s">
        <v>35</v>
      </c>
      <c r="AL17" s="14" t="str">
        <f>_xlfn.XLOOKUP(AK17,Tab_Def_Flows[Name(EN)],Tab_Def_Flows[Flow_ID],,0,)</f>
        <v>N.A.</v>
      </c>
    </row>
    <row r="18" spans="1:38" x14ac:dyDescent="0.25">
      <c r="A18" s="197" t="b">
        <v>0</v>
      </c>
      <c r="B18" s="45" t="s">
        <v>151</v>
      </c>
      <c r="C18" s="10" t="str">
        <f t="shared" si="0"/>
        <v>16</v>
      </c>
      <c r="D18" s="12"/>
      <c r="E18" s="12"/>
      <c r="F18" s="12"/>
      <c r="G18" s="12"/>
      <c r="H18" s="38"/>
      <c r="I18" s="192"/>
      <c r="J18" s="192"/>
      <c r="K18" s="192"/>
      <c r="L18" s="192"/>
      <c r="M18" s="192"/>
      <c r="N18" s="192"/>
      <c r="O18" s="192"/>
      <c r="P18" s="12"/>
      <c r="Q18" s="12" t="s">
        <v>35</v>
      </c>
      <c r="R18" s="13" t="str">
        <f>_xlfn.XLOOKUP(Q18,Tab_Def_Flows[Name(EN)],Tab_Def_Flows[Flow_ID],,0,)</f>
        <v>N.A.</v>
      </c>
      <c r="S18" s="12" t="s">
        <v>35</v>
      </c>
      <c r="T18" s="13" t="str">
        <f>_xlfn.XLOOKUP(S18,Tab_Def_Flows[Name(EN)],Tab_Def_Flows[Flow_ID],,0,)</f>
        <v>N.A.</v>
      </c>
      <c r="U18" s="12" t="s">
        <v>35</v>
      </c>
      <c r="V18" s="13" t="str">
        <f>_xlfn.XLOOKUP(U18,Tab_Def_Flows[Name(EN)],Tab_Def_Flows[Flow_ID],,0,)</f>
        <v>N.A.</v>
      </c>
      <c r="W18" s="12" t="s">
        <v>35</v>
      </c>
      <c r="X18" s="13" t="str">
        <f>_xlfn.XLOOKUP(W18,Tab_Def_Flows[Name(EN)],Tab_Def_Flows[Flow_ID],,0,)</f>
        <v>N.A.</v>
      </c>
      <c r="Y18" s="12" t="s">
        <v>35</v>
      </c>
      <c r="Z18" s="14" t="str">
        <f>_xlfn.XLOOKUP(Y18,Tab_Def_Flows[Name(EN)],Tab_Def_Flows[Flow_ID],,0,)</f>
        <v>N.A.</v>
      </c>
      <c r="AA18" s="192" t="s">
        <v>35</v>
      </c>
      <c r="AB18" s="13" t="str">
        <f>_xlfn.XLOOKUP(AA18,Tab_Def_Flows[Name(EN)],Tab_Def_Flows[Flow_ID],,0,)</f>
        <v>N.A.</v>
      </c>
      <c r="AC18" s="192" t="s">
        <v>35</v>
      </c>
      <c r="AD18" s="13" t="str">
        <f>_xlfn.XLOOKUP(AC18,Tab_Def_Flows[Name(EN)],Tab_Def_Flows[Flow_ID],,0,)</f>
        <v>N.A.</v>
      </c>
      <c r="AE18" s="192" t="s">
        <v>35</v>
      </c>
      <c r="AF18" s="13" t="str">
        <f>_xlfn.XLOOKUP(AE18,Tab_Def_Flows[Name(EN)],Tab_Def_Flows[Flow_ID],,0,)</f>
        <v>N.A.</v>
      </c>
      <c r="AG18" s="192" t="s">
        <v>35</v>
      </c>
      <c r="AH18" s="13" t="str">
        <f>_xlfn.XLOOKUP(AG18,Tab_Def_Flows[Name(EN)],Tab_Def_Flows[Flow_ID],,0,)</f>
        <v>N.A.</v>
      </c>
      <c r="AI18" s="192" t="s">
        <v>35</v>
      </c>
      <c r="AJ18" s="13" t="str">
        <f>_xlfn.XLOOKUP(AI18,Tab_Def_Flows[Name(EN)],Tab_Def_Flows[Flow_ID],,0,)</f>
        <v>N.A.</v>
      </c>
      <c r="AK18" s="192" t="s">
        <v>35</v>
      </c>
      <c r="AL18" s="14" t="str">
        <f>_xlfn.XLOOKUP(AK18,Tab_Def_Flows[Name(EN)],Tab_Def_Flows[Flow_ID],,0,)</f>
        <v>N.A.</v>
      </c>
    </row>
    <row r="19" spans="1:38" x14ac:dyDescent="0.25">
      <c r="A19" s="197" t="b">
        <v>0</v>
      </c>
      <c r="B19" s="45" t="s">
        <v>152</v>
      </c>
      <c r="C19" s="10" t="str">
        <f t="shared" si="0"/>
        <v>17</v>
      </c>
      <c r="D19" s="12"/>
      <c r="E19" s="12"/>
      <c r="F19" s="12"/>
      <c r="G19" s="12"/>
      <c r="H19" s="38"/>
      <c r="I19" s="192"/>
      <c r="J19" s="192"/>
      <c r="K19" s="192"/>
      <c r="L19" s="192"/>
      <c r="M19" s="192"/>
      <c r="N19" s="192"/>
      <c r="O19" s="192"/>
      <c r="P19" s="12"/>
      <c r="Q19" s="12" t="s">
        <v>35</v>
      </c>
      <c r="R19" s="13" t="str">
        <f>_xlfn.XLOOKUP(Q19,Tab_Def_Flows[Name(EN)],Tab_Def_Flows[Flow_ID],,0,)</f>
        <v>N.A.</v>
      </c>
      <c r="S19" s="12" t="s">
        <v>35</v>
      </c>
      <c r="T19" s="13" t="str">
        <f>_xlfn.XLOOKUP(S19,Tab_Def_Flows[Name(EN)],Tab_Def_Flows[Flow_ID],,0,)</f>
        <v>N.A.</v>
      </c>
      <c r="U19" s="12" t="s">
        <v>35</v>
      </c>
      <c r="V19" s="13" t="str">
        <f>_xlfn.XLOOKUP(U19,Tab_Def_Flows[Name(EN)],Tab_Def_Flows[Flow_ID],,0,)</f>
        <v>N.A.</v>
      </c>
      <c r="W19" s="12" t="s">
        <v>35</v>
      </c>
      <c r="X19" s="13" t="str">
        <f>_xlfn.XLOOKUP(W19,Tab_Def_Flows[Name(EN)],Tab_Def_Flows[Flow_ID],,0,)</f>
        <v>N.A.</v>
      </c>
      <c r="Y19" s="12" t="s">
        <v>35</v>
      </c>
      <c r="Z19" s="14" t="str">
        <f>_xlfn.XLOOKUP(Y19,Tab_Def_Flows[Name(EN)],Tab_Def_Flows[Flow_ID],,0,)</f>
        <v>N.A.</v>
      </c>
      <c r="AA19" s="192" t="s">
        <v>35</v>
      </c>
      <c r="AB19" s="13" t="str">
        <f>_xlfn.XLOOKUP(AA19,Tab_Def_Flows[Name(EN)],Tab_Def_Flows[Flow_ID],,0,)</f>
        <v>N.A.</v>
      </c>
      <c r="AC19" s="192" t="s">
        <v>35</v>
      </c>
      <c r="AD19" s="13" t="str">
        <f>_xlfn.XLOOKUP(AC19,Tab_Def_Flows[Name(EN)],Tab_Def_Flows[Flow_ID],,0,)</f>
        <v>N.A.</v>
      </c>
      <c r="AE19" s="192" t="s">
        <v>35</v>
      </c>
      <c r="AF19" s="13" t="str">
        <f>_xlfn.XLOOKUP(AE19,Tab_Def_Flows[Name(EN)],Tab_Def_Flows[Flow_ID],,0,)</f>
        <v>N.A.</v>
      </c>
      <c r="AG19" s="192" t="s">
        <v>35</v>
      </c>
      <c r="AH19" s="13" t="str">
        <f>_xlfn.XLOOKUP(AG19,Tab_Def_Flows[Name(EN)],Tab_Def_Flows[Flow_ID],,0,)</f>
        <v>N.A.</v>
      </c>
      <c r="AI19" s="192" t="s">
        <v>35</v>
      </c>
      <c r="AJ19" s="13" t="str">
        <f>_xlfn.XLOOKUP(AI19,Tab_Def_Flows[Name(EN)],Tab_Def_Flows[Flow_ID],,0,)</f>
        <v>N.A.</v>
      </c>
      <c r="AK19" s="192" t="s">
        <v>35</v>
      </c>
      <c r="AL19" s="14" t="str">
        <f>_xlfn.XLOOKUP(AK19,Tab_Def_Flows[Name(EN)],Tab_Def_Flows[Flow_ID],,0,)</f>
        <v>N.A.</v>
      </c>
    </row>
    <row r="20" spans="1:38" x14ac:dyDescent="0.25">
      <c r="A20" s="197" t="b">
        <v>0</v>
      </c>
      <c r="B20" s="45" t="s">
        <v>153</v>
      </c>
      <c r="C20" s="10" t="str">
        <f t="shared" si="0"/>
        <v>18</v>
      </c>
      <c r="D20" s="12"/>
      <c r="E20" s="12"/>
      <c r="F20" s="12"/>
      <c r="G20" s="12"/>
      <c r="H20" s="38"/>
      <c r="I20" s="192"/>
      <c r="J20" s="192"/>
      <c r="K20" s="192"/>
      <c r="L20" s="192"/>
      <c r="M20" s="192"/>
      <c r="N20" s="192"/>
      <c r="O20" s="192"/>
      <c r="P20" s="12"/>
      <c r="Q20" s="12" t="s">
        <v>35</v>
      </c>
      <c r="R20" s="13" t="str">
        <f>_xlfn.XLOOKUP(Q20,Tab_Def_Flows[Name(EN)],Tab_Def_Flows[Flow_ID],,0,)</f>
        <v>N.A.</v>
      </c>
      <c r="S20" s="12" t="s">
        <v>35</v>
      </c>
      <c r="T20" s="13" t="str">
        <f>_xlfn.XLOOKUP(S20,Tab_Def_Flows[Name(EN)],Tab_Def_Flows[Flow_ID],,0,)</f>
        <v>N.A.</v>
      </c>
      <c r="U20" s="12" t="s">
        <v>35</v>
      </c>
      <c r="V20" s="13" t="str">
        <f>_xlfn.XLOOKUP(U20,Tab_Def_Flows[Name(EN)],Tab_Def_Flows[Flow_ID],,0,)</f>
        <v>N.A.</v>
      </c>
      <c r="W20" s="12" t="s">
        <v>35</v>
      </c>
      <c r="X20" s="13" t="str">
        <f>_xlfn.XLOOKUP(W20,Tab_Def_Flows[Name(EN)],Tab_Def_Flows[Flow_ID],,0,)</f>
        <v>N.A.</v>
      </c>
      <c r="Y20" s="12" t="s">
        <v>35</v>
      </c>
      <c r="Z20" s="14" t="str">
        <f>_xlfn.XLOOKUP(Y20,Tab_Def_Flows[Name(EN)],Tab_Def_Flows[Flow_ID],,0,)</f>
        <v>N.A.</v>
      </c>
      <c r="AA20" s="192" t="s">
        <v>35</v>
      </c>
      <c r="AB20" s="13" t="str">
        <f>_xlfn.XLOOKUP(AA20,Tab_Def_Flows[Name(EN)],Tab_Def_Flows[Flow_ID],,0,)</f>
        <v>N.A.</v>
      </c>
      <c r="AC20" s="192" t="s">
        <v>35</v>
      </c>
      <c r="AD20" s="13" t="str">
        <f>_xlfn.XLOOKUP(AC20,Tab_Def_Flows[Name(EN)],Tab_Def_Flows[Flow_ID],,0,)</f>
        <v>N.A.</v>
      </c>
      <c r="AE20" s="192" t="s">
        <v>35</v>
      </c>
      <c r="AF20" s="13" t="str">
        <f>_xlfn.XLOOKUP(AE20,Tab_Def_Flows[Name(EN)],Tab_Def_Flows[Flow_ID],,0,)</f>
        <v>N.A.</v>
      </c>
      <c r="AG20" s="192" t="s">
        <v>35</v>
      </c>
      <c r="AH20" s="13" t="str">
        <f>_xlfn.XLOOKUP(AG20,Tab_Def_Flows[Name(EN)],Tab_Def_Flows[Flow_ID],,0,)</f>
        <v>N.A.</v>
      </c>
      <c r="AI20" s="192" t="s">
        <v>35</v>
      </c>
      <c r="AJ20" s="13" t="str">
        <f>_xlfn.XLOOKUP(AI20,Tab_Def_Flows[Name(EN)],Tab_Def_Flows[Flow_ID],,0,)</f>
        <v>N.A.</v>
      </c>
      <c r="AK20" s="192" t="s">
        <v>35</v>
      </c>
      <c r="AL20" s="14" t="str">
        <f>_xlfn.XLOOKUP(AK20,Tab_Def_Flows[Name(EN)],Tab_Def_Flows[Flow_ID],,0,)</f>
        <v>N.A.</v>
      </c>
    </row>
    <row r="21" spans="1:38" ht="15.75" thickBot="1" x14ac:dyDescent="0.3">
      <c r="A21" s="197" t="b">
        <v>0</v>
      </c>
      <c r="B21" s="45" t="s">
        <v>154</v>
      </c>
      <c r="C21" s="10" t="str">
        <f t="shared" si="0"/>
        <v>19</v>
      </c>
      <c r="D21" s="12"/>
      <c r="E21" s="12"/>
      <c r="F21" s="12"/>
      <c r="G21" s="12"/>
      <c r="H21" s="38"/>
      <c r="I21" s="192"/>
      <c r="J21" s="192"/>
      <c r="K21" s="192"/>
      <c r="L21" s="192"/>
      <c r="M21" s="192"/>
      <c r="N21" s="192"/>
      <c r="O21" s="192"/>
      <c r="P21" s="12"/>
      <c r="Q21" s="12" t="s">
        <v>35</v>
      </c>
      <c r="R21" s="13" t="str">
        <f>_xlfn.XLOOKUP(Q21,Tab_Def_Flows[Name(EN)],Tab_Def_Flows[Flow_ID],,0,)</f>
        <v>N.A.</v>
      </c>
      <c r="S21" s="12" t="s">
        <v>35</v>
      </c>
      <c r="T21" s="13" t="str">
        <f>_xlfn.XLOOKUP(S21,Tab_Def_Flows[Name(EN)],Tab_Def_Flows[Flow_ID],,0,)</f>
        <v>N.A.</v>
      </c>
      <c r="U21" s="12" t="s">
        <v>35</v>
      </c>
      <c r="V21" s="13" t="str">
        <f>_xlfn.XLOOKUP(U21,Tab_Def_Flows[Name(EN)],Tab_Def_Flows[Flow_ID],,0,)</f>
        <v>N.A.</v>
      </c>
      <c r="W21" s="12" t="s">
        <v>35</v>
      </c>
      <c r="X21" s="13" t="str">
        <f>_xlfn.XLOOKUP(W21,Tab_Def_Flows[Name(EN)],Tab_Def_Flows[Flow_ID],,0,)</f>
        <v>N.A.</v>
      </c>
      <c r="Y21" s="12" t="s">
        <v>35</v>
      </c>
      <c r="Z21" s="14" t="str">
        <f>_xlfn.XLOOKUP(Y21,Tab_Def_Flows[Name(EN)],Tab_Def_Flows[Flow_ID],,0,)</f>
        <v>N.A.</v>
      </c>
      <c r="AA21" s="192" t="s">
        <v>35</v>
      </c>
      <c r="AB21" s="13" t="str">
        <f>_xlfn.XLOOKUP(AA21,Tab_Def_Flows[Name(EN)],Tab_Def_Flows[Flow_ID],,0,)</f>
        <v>N.A.</v>
      </c>
      <c r="AC21" s="192" t="s">
        <v>35</v>
      </c>
      <c r="AD21" s="13" t="str">
        <f>_xlfn.XLOOKUP(AC21,Tab_Def_Flows[Name(EN)],Tab_Def_Flows[Flow_ID],,0,)</f>
        <v>N.A.</v>
      </c>
      <c r="AE21" s="192" t="s">
        <v>35</v>
      </c>
      <c r="AF21" s="13" t="str">
        <f>_xlfn.XLOOKUP(AE21,Tab_Def_Flows[Name(EN)],Tab_Def_Flows[Flow_ID],,0,)</f>
        <v>N.A.</v>
      </c>
      <c r="AG21" s="192" t="s">
        <v>35</v>
      </c>
      <c r="AH21" s="13" t="str">
        <f>_xlfn.XLOOKUP(AG21,Tab_Def_Flows[Name(EN)],Tab_Def_Flows[Flow_ID],,0,)</f>
        <v>N.A.</v>
      </c>
      <c r="AI21" s="192" t="s">
        <v>35</v>
      </c>
      <c r="AJ21" s="13" t="str">
        <f>_xlfn.XLOOKUP(AI21,Tab_Def_Flows[Name(EN)],Tab_Def_Flows[Flow_ID],,0,)</f>
        <v>N.A.</v>
      </c>
      <c r="AK21" s="192" t="s">
        <v>35</v>
      </c>
      <c r="AL21" s="14" t="str">
        <f>_xlfn.XLOOKUP(AK21,Tab_Def_Flows[Name(EN)],Tab_Def_Flows[Flow_ID],,0,)</f>
        <v>N.A.</v>
      </c>
    </row>
    <row r="22" spans="1:38" x14ac:dyDescent="0.25">
      <c r="A22" s="197" t="b">
        <v>0</v>
      </c>
      <c r="B22" s="45" t="s">
        <v>155</v>
      </c>
      <c r="C22" s="10" t="str">
        <f t="shared" si="0"/>
        <v>20</v>
      </c>
      <c r="D22" s="12"/>
      <c r="E22" s="12"/>
      <c r="F22" s="12"/>
      <c r="G22" s="12"/>
      <c r="H22" s="38"/>
      <c r="I22" s="192"/>
      <c r="J22" s="192"/>
      <c r="K22" s="192"/>
      <c r="L22" s="192"/>
      <c r="M22" s="192"/>
      <c r="N22" s="192"/>
      <c r="O22" s="192"/>
      <c r="P22" s="12"/>
      <c r="Q22" s="12" t="s">
        <v>35</v>
      </c>
      <c r="R22" s="11" t="str">
        <f>_xlfn.XLOOKUP(Q22,Tab_Def_Flows[Name(EN)],Tab_Def_Flows[Flow_ID],,0,)</f>
        <v>N.A.</v>
      </c>
      <c r="S22" s="12" t="s">
        <v>35</v>
      </c>
      <c r="T22" s="11" t="str">
        <f>_xlfn.XLOOKUP(S22,Tab_Def_Flows[Name(EN)],Tab_Def_Flows[Flow_ID],,0,)</f>
        <v>N.A.</v>
      </c>
      <c r="U22" s="12" t="s">
        <v>35</v>
      </c>
      <c r="V22" s="11" t="str">
        <f>_xlfn.XLOOKUP(U22,Tab_Def_Flows[Name(EN)],Tab_Def_Flows[Flow_ID],,0,)</f>
        <v>N.A.</v>
      </c>
      <c r="W22" s="12" t="s">
        <v>35</v>
      </c>
      <c r="X22" s="11" t="str">
        <f>_xlfn.XLOOKUP(W22,Tab_Def_Flows[Name(EN)],Tab_Def_Flows[Flow_ID],,0,)</f>
        <v>N.A.</v>
      </c>
      <c r="Y22" s="12" t="s">
        <v>35</v>
      </c>
      <c r="Z22" s="16" t="str">
        <f>_xlfn.XLOOKUP(Y22,Tab_Def_Flows[Name(EN)],Tab_Def_Flows[Flow_ID],,0,)</f>
        <v>N.A.</v>
      </c>
      <c r="AA22" s="192" t="s">
        <v>35</v>
      </c>
      <c r="AB22" s="13" t="str">
        <f>_xlfn.XLOOKUP(AA22,Tab_Def_Flows[Name(EN)],Tab_Def_Flows[Flow_ID],,0,)</f>
        <v>N.A.</v>
      </c>
      <c r="AC22" s="192" t="s">
        <v>35</v>
      </c>
      <c r="AD22" s="13" t="str">
        <f>_xlfn.XLOOKUP(AC22,Tab_Def_Flows[Name(EN)],Tab_Def_Flows[Flow_ID],,0,)</f>
        <v>N.A.</v>
      </c>
      <c r="AE22" s="192" t="s">
        <v>35</v>
      </c>
      <c r="AF22" s="13" t="str">
        <f>_xlfn.XLOOKUP(AE22,Tab_Def_Flows[Name(EN)],Tab_Def_Flows[Flow_ID],,0,)</f>
        <v>N.A.</v>
      </c>
      <c r="AG22" s="192" t="s">
        <v>35</v>
      </c>
      <c r="AH22" s="13" t="str">
        <f>_xlfn.XLOOKUP(AG22,Tab_Def_Flows[Name(EN)],Tab_Def_Flows[Flow_ID],,0,)</f>
        <v>N.A.</v>
      </c>
      <c r="AI22" s="192" t="s">
        <v>35</v>
      </c>
      <c r="AJ22" s="13" t="str">
        <f>_xlfn.XLOOKUP(AI22,Tab_Def_Flows[Name(EN)],Tab_Def_Flows[Flow_ID],,0,)</f>
        <v>N.A.</v>
      </c>
      <c r="AK22" s="192" t="s">
        <v>35</v>
      </c>
      <c r="AL22" s="14" t="str">
        <f>_xlfn.XLOOKUP(AK22,Tab_Def_Flows[Name(EN)],Tab_Def_Flows[Flow_ID],,0,)</f>
        <v>N.A.</v>
      </c>
    </row>
    <row r="23" spans="1:38" x14ac:dyDescent="0.25">
      <c r="A23" s="197" t="b">
        <v>0</v>
      </c>
      <c r="B23" s="45" t="s">
        <v>156</v>
      </c>
      <c r="C23" s="10" t="str">
        <f t="shared" si="0"/>
        <v>21</v>
      </c>
      <c r="D23" s="12"/>
      <c r="E23" s="12"/>
      <c r="F23" s="12"/>
      <c r="G23" s="12"/>
      <c r="H23" s="38"/>
      <c r="I23" s="192"/>
      <c r="J23" s="192"/>
      <c r="K23" s="192"/>
      <c r="L23" s="192"/>
      <c r="M23" s="192"/>
      <c r="N23" s="192"/>
      <c r="O23" s="192"/>
      <c r="P23" s="12"/>
      <c r="Q23" s="12" t="s">
        <v>35</v>
      </c>
      <c r="R23" s="13" t="str">
        <f>_xlfn.XLOOKUP(Q23,Tab_Def_Flows[Name(EN)],Tab_Def_Flows[Flow_ID],,0,)</f>
        <v>N.A.</v>
      </c>
      <c r="S23" s="12" t="s">
        <v>35</v>
      </c>
      <c r="T23" s="13" t="str">
        <f>_xlfn.XLOOKUP(S23,Tab_Def_Flows[Name(EN)],Tab_Def_Flows[Flow_ID],,0,)</f>
        <v>N.A.</v>
      </c>
      <c r="U23" s="12" t="s">
        <v>35</v>
      </c>
      <c r="V23" s="13" t="str">
        <f>_xlfn.XLOOKUP(U23,Tab_Def_Flows[Name(EN)],Tab_Def_Flows[Flow_ID],,0,)</f>
        <v>N.A.</v>
      </c>
      <c r="W23" s="12" t="s">
        <v>35</v>
      </c>
      <c r="X23" s="13" t="str">
        <f>_xlfn.XLOOKUP(W23,Tab_Def_Flows[Name(EN)],Tab_Def_Flows[Flow_ID],,0,)</f>
        <v>N.A.</v>
      </c>
      <c r="Y23" s="12" t="s">
        <v>35</v>
      </c>
      <c r="Z23" s="14" t="str">
        <f>_xlfn.XLOOKUP(Y23,Tab_Def_Flows[Name(EN)],Tab_Def_Flows[Flow_ID],,0,)</f>
        <v>N.A.</v>
      </c>
      <c r="AA23" s="192" t="s">
        <v>35</v>
      </c>
      <c r="AB23" s="13" t="str">
        <f>_xlfn.XLOOKUP(AA23,Tab_Def_Flows[Name(EN)],Tab_Def_Flows[Flow_ID],,0,)</f>
        <v>N.A.</v>
      </c>
      <c r="AC23" s="192" t="s">
        <v>35</v>
      </c>
      <c r="AD23" s="13" t="str">
        <f>_xlfn.XLOOKUP(AC23,Tab_Def_Flows[Name(EN)],Tab_Def_Flows[Flow_ID],,0,)</f>
        <v>N.A.</v>
      </c>
      <c r="AE23" s="192" t="s">
        <v>35</v>
      </c>
      <c r="AF23" s="13" t="str">
        <f>_xlfn.XLOOKUP(AE23,Tab_Def_Flows[Name(EN)],Tab_Def_Flows[Flow_ID],,0,)</f>
        <v>N.A.</v>
      </c>
      <c r="AG23" s="192" t="s">
        <v>35</v>
      </c>
      <c r="AH23" s="13" t="str">
        <f>_xlfn.XLOOKUP(AG23,Tab_Def_Flows[Name(EN)],Tab_Def_Flows[Flow_ID],,0,)</f>
        <v>N.A.</v>
      </c>
      <c r="AI23" s="192" t="s">
        <v>35</v>
      </c>
      <c r="AJ23" s="13" t="str">
        <f>_xlfn.XLOOKUP(AI23,Tab_Def_Flows[Name(EN)],Tab_Def_Flows[Flow_ID],,0,)</f>
        <v>N.A.</v>
      </c>
      <c r="AK23" s="192" t="s">
        <v>35</v>
      </c>
      <c r="AL23" s="14" t="str">
        <f>_xlfn.XLOOKUP(AK23,Tab_Def_Flows[Name(EN)],Tab_Def_Flows[Flow_ID],,0,)</f>
        <v>N.A.</v>
      </c>
    </row>
    <row r="24" spans="1:38" x14ac:dyDescent="0.25">
      <c r="A24" s="197" t="b">
        <v>0</v>
      </c>
      <c r="B24" s="45" t="s">
        <v>157</v>
      </c>
      <c r="C24" s="10" t="str">
        <f t="shared" si="0"/>
        <v>22</v>
      </c>
      <c r="D24" s="12"/>
      <c r="E24" s="12"/>
      <c r="F24" s="12"/>
      <c r="G24" s="12"/>
      <c r="H24" s="38"/>
      <c r="I24" s="192"/>
      <c r="J24" s="192"/>
      <c r="K24" s="192"/>
      <c r="L24" s="192"/>
      <c r="M24" s="192"/>
      <c r="N24" s="192"/>
      <c r="O24" s="192"/>
      <c r="P24" s="12"/>
      <c r="Q24" s="12" t="s">
        <v>35</v>
      </c>
      <c r="R24" s="13" t="str">
        <f>_xlfn.XLOOKUP(Q24,Tab_Def_Flows[Name(EN)],Tab_Def_Flows[Flow_ID],,0,)</f>
        <v>N.A.</v>
      </c>
      <c r="S24" s="12" t="s">
        <v>35</v>
      </c>
      <c r="T24" s="13" t="str">
        <f>_xlfn.XLOOKUP(S24,Tab_Def_Flows[Name(EN)],Tab_Def_Flows[Flow_ID],,0,)</f>
        <v>N.A.</v>
      </c>
      <c r="U24" s="12" t="s">
        <v>35</v>
      </c>
      <c r="V24" s="13" t="str">
        <f>_xlfn.XLOOKUP(U24,Tab_Def_Flows[Name(EN)],Tab_Def_Flows[Flow_ID],,0,)</f>
        <v>N.A.</v>
      </c>
      <c r="W24" s="12" t="s">
        <v>35</v>
      </c>
      <c r="X24" s="13" t="str">
        <f>_xlfn.XLOOKUP(W24,Tab_Def_Flows[Name(EN)],Tab_Def_Flows[Flow_ID],,0,)</f>
        <v>N.A.</v>
      </c>
      <c r="Y24" s="12" t="s">
        <v>35</v>
      </c>
      <c r="Z24" s="14" t="str">
        <f>_xlfn.XLOOKUP(Y24,Tab_Def_Flows[Name(EN)],Tab_Def_Flows[Flow_ID],,0,)</f>
        <v>N.A.</v>
      </c>
      <c r="AA24" s="192" t="s">
        <v>35</v>
      </c>
      <c r="AB24" s="13" t="str">
        <f>_xlfn.XLOOKUP(AA24,Tab_Def_Flows[Name(EN)],Tab_Def_Flows[Flow_ID],,0,)</f>
        <v>N.A.</v>
      </c>
      <c r="AC24" s="192" t="s">
        <v>35</v>
      </c>
      <c r="AD24" s="13" t="str">
        <f>_xlfn.XLOOKUP(AC24,Tab_Def_Flows[Name(EN)],Tab_Def_Flows[Flow_ID],,0,)</f>
        <v>N.A.</v>
      </c>
      <c r="AE24" s="192" t="s">
        <v>35</v>
      </c>
      <c r="AF24" s="13" t="str">
        <f>_xlfn.XLOOKUP(AE24,Tab_Def_Flows[Name(EN)],Tab_Def_Flows[Flow_ID],,0,)</f>
        <v>N.A.</v>
      </c>
      <c r="AG24" s="192" t="s">
        <v>35</v>
      </c>
      <c r="AH24" s="13" t="str">
        <f>_xlfn.XLOOKUP(AG24,Tab_Def_Flows[Name(EN)],Tab_Def_Flows[Flow_ID],,0,)</f>
        <v>N.A.</v>
      </c>
      <c r="AI24" s="192" t="s">
        <v>35</v>
      </c>
      <c r="AJ24" s="13" t="str">
        <f>_xlfn.XLOOKUP(AI24,Tab_Def_Flows[Name(EN)],Tab_Def_Flows[Flow_ID],,0,)</f>
        <v>N.A.</v>
      </c>
      <c r="AK24" s="192" t="s">
        <v>35</v>
      </c>
      <c r="AL24" s="14" t="str">
        <f>_xlfn.XLOOKUP(AK24,Tab_Def_Flows[Name(EN)],Tab_Def_Flows[Flow_ID],,0,)</f>
        <v>N.A.</v>
      </c>
    </row>
    <row r="25" spans="1:38" x14ac:dyDescent="0.25">
      <c r="A25" s="197" t="b">
        <v>0</v>
      </c>
      <c r="B25" s="45" t="s">
        <v>158</v>
      </c>
      <c r="C25" s="10" t="str">
        <f t="shared" si="0"/>
        <v>23</v>
      </c>
      <c r="D25" s="12"/>
      <c r="E25" s="12"/>
      <c r="F25" s="12"/>
      <c r="G25" s="12"/>
      <c r="H25" s="38"/>
      <c r="I25" s="192"/>
      <c r="J25" s="192"/>
      <c r="K25" s="192"/>
      <c r="L25" s="192"/>
      <c r="M25" s="192"/>
      <c r="N25" s="192"/>
      <c r="O25" s="192"/>
      <c r="P25" s="12"/>
      <c r="Q25" s="12" t="s">
        <v>35</v>
      </c>
      <c r="R25" s="13" t="str">
        <f>_xlfn.XLOOKUP(Q25,Tab_Def_Flows[Name(EN)],Tab_Def_Flows[Flow_ID],,0,)</f>
        <v>N.A.</v>
      </c>
      <c r="S25" s="12" t="s">
        <v>35</v>
      </c>
      <c r="T25" s="13" t="str">
        <f>_xlfn.XLOOKUP(S25,Tab_Def_Flows[Name(EN)],Tab_Def_Flows[Flow_ID],,0,)</f>
        <v>N.A.</v>
      </c>
      <c r="U25" s="12" t="s">
        <v>35</v>
      </c>
      <c r="V25" s="13" t="str">
        <f>_xlfn.XLOOKUP(U25,Tab_Def_Flows[Name(EN)],Tab_Def_Flows[Flow_ID],,0,)</f>
        <v>N.A.</v>
      </c>
      <c r="W25" s="12" t="s">
        <v>35</v>
      </c>
      <c r="X25" s="13" t="str">
        <f>_xlfn.XLOOKUP(W25,Tab_Def_Flows[Name(EN)],Tab_Def_Flows[Flow_ID],,0,)</f>
        <v>N.A.</v>
      </c>
      <c r="Y25" s="12" t="s">
        <v>35</v>
      </c>
      <c r="Z25" s="14" t="str">
        <f>_xlfn.XLOOKUP(Y25,Tab_Def_Flows[Name(EN)],Tab_Def_Flows[Flow_ID],,0,)</f>
        <v>N.A.</v>
      </c>
      <c r="AA25" s="192" t="s">
        <v>35</v>
      </c>
      <c r="AB25" s="13" t="str">
        <f>_xlfn.XLOOKUP(AA25,Tab_Def_Flows[Name(EN)],Tab_Def_Flows[Flow_ID],,0,)</f>
        <v>N.A.</v>
      </c>
      <c r="AC25" s="192" t="s">
        <v>35</v>
      </c>
      <c r="AD25" s="13" t="str">
        <f>_xlfn.XLOOKUP(AC25,Tab_Def_Flows[Name(EN)],Tab_Def_Flows[Flow_ID],,0,)</f>
        <v>N.A.</v>
      </c>
      <c r="AE25" s="192" t="s">
        <v>35</v>
      </c>
      <c r="AF25" s="13" t="str">
        <f>_xlfn.XLOOKUP(AE25,Tab_Def_Flows[Name(EN)],Tab_Def_Flows[Flow_ID],,0,)</f>
        <v>N.A.</v>
      </c>
      <c r="AG25" s="192" t="s">
        <v>35</v>
      </c>
      <c r="AH25" s="13" t="str">
        <f>_xlfn.XLOOKUP(AG25,Tab_Def_Flows[Name(EN)],Tab_Def_Flows[Flow_ID],,0,)</f>
        <v>N.A.</v>
      </c>
      <c r="AI25" s="192" t="s">
        <v>35</v>
      </c>
      <c r="AJ25" s="13" t="str">
        <f>_xlfn.XLOOKUP(AI25,Tab_Def_Flows[Name(EN)],Tab_Def_Flows[Flow_ID],,0,)</f>
        <v>N.A.</v>
      </c>
      <c r="AK25" s="192" t="s">
        <v>35</v>
      </c>
      <c r="AL25" s="14" t="str">
        <f>_xlfn.XLOOKUP(AK25,Tab_Def_Flows[Name(EN)],Tab_Def_Flows[Flow_ID],,0,)</f>
        <v>N.A.</v>
      </c>
    </row>
    <row r="26" spans="1:38" x14ac:dyDescent="0.25">
      <c r="A26" s="197" t="b">
        <v>0</v>
      </c>
      <c r="B26" s="45" t="s">
        <v>159</v>
      </c>
      <c r="C26" s="10" t="str">
        <f t="shared" si="0"/>
        <v>24</v>
      </c>
      <c r="D26" s="12"/>
      <c r="E26" s="12"/>
      <c r="F26" s="12"/>
      <c r="G26" s="12"/>
      <c r="H26" s="38"/>
      <c r="I26" s="192"/>
      <c r="J26" s="192"/>
      <c r="K26" s="192"/>
      <c r="L26" s="192"/>
      <c r="M26" s="192"/>
      <c r="N26" s="192"/>
      <c r="O26" s="192"/>
      <c r="P26" s="12"/>
      <c r="Q26" s="12" t="s">
        <v>35</v>
      </c>
      <c r="R26" s="13" t="str">
        <f>_xlfn.XLOOKUP(Q26,Tab_Def_Flows[Name(EN)],Tab_Def_Flows[Flow_ID],,0,)</f>
        <v>N.A.</v>
      </c>
      <c r="S26" s="12" t="s">
        <v>35</v>
      </c>
      <c r="T26" s="13" t="str">
        <f>_xlfn.XLOOKUP(S26,Tab_Def_Flows[Name(EN)],Tab_Def_Flows[Flow_ID],,0,)</f>
        <v>N.A.</v>
      </c>
      <c r="U26" s="12" t="s">
        <v>35</v>
      </c>
      <c r="V26" s="13" t="str">
        <f>_xlfn.XLOOKUP(U26,Tab_Def_Flows[Name(EN)],Tab_Def_Flows[Flow_ID],,0,)</f>
        <v>N.A.</v>
      </c>
      <c r="W26" s="12" t="s">
        <v>35</v>
      </c>
      <c r="X26" s="13" t="str">
        <f>_xlfn.XLOOKUP(W26,Tab_Def_Flows[Name(EN)],Tab_Def_Flows[Flow_ID],,0,)</f>
        <v>N.A.</v>
      </c>
      <c r="Y26" s="12" t="s">
        <v>35</v>
      </c>
      <c r="Z26" s="14" t="str">
        <f>_xlfn.XLOOKUP(Y26,Tab_Def_Flows[Name(EN)],Tab_Def_Flows[Flow_ID],,0,)</f>
        <v>N.A.</v>
      </c>
      <c r="AA26" s="192" t="s">
        <v>35</v>
      </c>
      <c r="AB26" s="13" t="str">
        <f>_xlfn.XLOOKUP(AA26,Tab_Def_Flows[Name(EN)],Tab_Def_Flows[Flow_ID],,0,)</f>
        <v>N.A.</v>
      </c>
      <c r="AC26" s="192" t="s">
        <v>35</v>
      </c>
      <c r="AD26" s="13" t="str">
        <f>_xlfn.XLOOKUP(AC26,Tab_Def_Flows[Name(EN)],Tab_Def_Flows[Flow_ID],,0,)</f>
        <v>N.A.</v>
      </c>
      <c r="AE26" s="192" t="s">
        <v>35</v>
      </c>
      <c r="AF26" s="13" t="str">
        <f>_xlfn.XLOOKUP(AE26,Tab_Def_Flows[Name(EN)],Tab_Def_Flows[Flow_ID],,0,)</f>
        <v>N.A.</v>
      </c>
      <c r="AG26" s="192" t="s">
        <v>35</v>
      </c>
      <c r="AH26" s="13" t="str">
        <f>_xlfn.XLOOKUP(AG26,Tab_Def_Flows[Name(EN)],Tab_Def_Flows[Flow_ID],,0,)</f>
        <v>N.A.</v>
      </c>
      <c r="AI26" s="192" t="s">
        <v>35</v>
      </c>
      <c r="AJ26" s="13" t="str">
        <f>_xlfn.XLOOKUP(AI26,Tab_Def_Flows[Name(EN)],Tab_Def_Flows[Flow_ID],,0,)</f>
        <v>N.A.</v>
      </c>
      <c r="AK26" s="192" t="s">
        <v>35</v>
      </c>
      <c r="AL26" s="14" t="str">
        <f>_xlfn.XLOOKUP(AK26,Tab_Def_Flows[Name(EN)],Tab_Def_Flows[Flow_ID],,0,)</f>
        <v>N.A.</v>
      </c>
    </row>
    <row r="27" spans="1:38" x14ac:dyDescent="0.25">
      <c r="A27" s="197" t="b">
        <v>0</v>
      </c>
      <c r="B27" s="45" t="s">
        <v>160</v>
      </c>
      <c r="C27" s="10" t="str">
        <f t="shared" si="0"/>
        <v>25</v>
      </c>
      <c r="D27" s="12"/>
      <c r="E27" s="12"/>
      <c r="F27" s="12"/>
      <c r="G27" s="12"/>
      <c r="H27" s="38"/>
      <c r="I27" s="192"/>
      <c r="J27" s="192"/>
      <c r="K27" s="192"/>
      <c r="L27" s="192"/>
      <c r="M27" s="192"/>
      <c r="N27" s="192"/>
      <c r="O27" s="192"/>
      <c r="P27" s="12"/>
      <c r="Q27" s="12" t="s">
        <v>35</v>
      </c>
      <c r="R27" s="13" t="str">
        <f>_xlfn.XLOOKUP(Q27,Tab_Def_Flows[Name(EN)],Tab_Def_Flows[Flow_ID],,0,)</f>
        <v>N.A.</v>
      </c>
      <c r="S27" s="12" t="s">
        <v>35</v>
      </c>
      <c r="T27" s="13" t="str">
        <f>_xlfn.XLOOKUP(S27,Tab_Def_Flows[Name(EN)],Tab_Def_Flows[Flow_ID],,0,)</f>
        <v>N.A.</v>
      </c>
      <c r="U27" s="12" t="s">
        <v>35</v>
      </c>
      <c r="V27" s="13" t="str">
        <f>_xlfn.XLOOKUP(U27,Tab_Def_Flows[Name(EN)],Tab_Def_Flows[Flow_ID],,0,)</f>
        <v>N.A.</v>
      </c>
      <c r="W27" s="12" t="s">
        <v>35</v>
      </c>
      <c r="X27" s="13" t="str">
        <f>_xlfn.XLOOKUP(W27,Tab_Def_Flows[Name(EN)],Tab_Def_Flows[Flow_ID],,0,)</f>
        <v>N.A.</v>
      </c>
      <c r="Y27" s="12" t="s">
        <v>35</v>
      </c>
      <c r="Z27" s="14" t="str">
        <f>_xlfn.XLOOKUP(Y27,Tab_Def_Flows[Name(EN)],Tab_Def_Flows[Flow_ID],,0,)</f>
        <v>N.A.</v>
      </c>
      <c r="AA27" s="192" t="s">
        <v>35</v>
      </c>
      <c r="AB27" s="13" t="str">
        <f>_xlfn.XLOOKUP(AA27,Tab_Def_Flows[Name(EN)],Tab_Def_Flows[Flow_ID],,0,)</f>
        <v>N.A.</v>
      </c>
      <c r="AC27" s="192" t="s">
        <v>35</v>
      </c>
      <c r="AD27" s="13" t="str">
        <f>_xlfn.XLOOKUP(AC27,Tab_Def_Flows[Name(EN)],Tab_Def_Flows[Flow_ID],,0,)</f>
        <v>N.A.</v>
      </c>
      <c r="AE27" s="192" t="s">
        <v>35</v>
      </c>
      <c r="AF27" s="13" t="str">
        <f>_xlfn.XLOOKUP(AE27,Tab_Def_Flows[Name(EN)],Tab_Def_Flows[Flow_ID],,0,)</f>
        <v>N.A.</v>
      </c>
      <c r="AG27" s="192" t="s">
        <v>35</v>
      </c>
      <c r="AH27" s="13" t="str">
        <f>_xlfn.XLOOKUP(AG27,Tab_Def_Flows[Name(EN)],Tab_Def_Flows[Flow_ID],,0,)</f>
        <v>N.A.</v>
      </c>
      <c r="AI27" s="192" t="s">
        <v>35</v>
      </c>
      <c r="AJ27" s="13" t="str">
        <f>_xlfn.XLOOKUP(AI27,Tab_Def_Flows[Name(EN)],Tab_Def_Flows[Flow_ID],,0,)</f>
        <v>N.A.</v>
      </c>
      <c r="AK27" s="192" t="s">
        <v>35</v>
      </c>
      <c r="AL27" s="14" t="str">
        <f>_xlfn.XLOOKUP(AK27,Tab_Def_Flows[Name(EN)],Tab_Def_Flows[Flow_ID],,0,)</f>
        <v>N.A.</v>
      </c>
    </row>
    <row r="28" spans="1:38" x14ac:dyDescent="0.25">
      <c r="A28" s="197" t="b">
        <v>0</v>
      </c>
      <c r="B28" s="45" t="s">
        <v>161</v>
      </c>
      <c r="C28" s="10" t="str">
        <f t="shared" si="0"/>
        <v>26</v>
      </c>
      <c r="D28" s="12"/>
      <c r="E28" s="12"/>
      <c r="F28" s="12"/>
      <c r="G28" s="12"/>
      <c r="H28" s="38"/>
      <c r="I28" s="192"/>
      <c r="J28" s="192"/>
      <c r="K28" s="192"/>
      <c r="L28" s="192"/>
      <c r="M28" s="192"/>
      <c r="N28" s="192"/>
      <c r="O28" s="192"/>
      <c r="P28" s="12"/>
      <c r="Q28" s="12" t="s">
        <v>35</v>
      </c>
      <c r="R28" s="13" t="str">
        <f>_xlfn.XLOOKUP(Q28,Tab_Def_Flows[Name(EN)],Tab_Def_Flows[Flow_ID],,0,)</f>
        <v>N.A.</v>
      </c>
      <c r="S28" s="12" t="s">
        <v>35</v>
      </c>
      <c r="T28" s="13" t="str">
        <f>_xlfn.XLOOKUP(S28,Tab_Def_Flows[Name(EN)],Tab_Def_Flows[Flow_ID],,0,)</f>
        <v>N.A.</v>
      </c>
      <c r="U28" s="12" t="s">
        <v>35</v>
      </c>
      <c r="V28" s="13" t="str">
        <f>_xlfn.XLOOKUP(U28,Tab_Def_Flows[Name(EN)],Tab_Def_Flows[Flow_ID],,0,)</f>
        <v>N.A.</v>
      </c>
      <c r="W28" s="12" t="s">
        <v>35</v>
      </c>
      <c r="X28" s="13" t="str">
        <f>_xlfn.XLOOKUP(W28,Tab_Def_Flows[Name(EN)],Tab_Def_Flows[Flow_ID],,0,)</f>
        <v>N.A.</v>
      </c>
      <c r="Y28" s="12" t="s">
        <v>35</v>
      </c>
      <c r="Z28" s="14" t="str">
        <f>_xlfn.XLOOKUP(Y28,Tab_Def_Flows[Name(EN)],Tab_Def_Flows[Flow_ID],,0,)</f>
        <v>N.A.</v>
      </c>
      <c r="AA28" s="192" t="s">
        <v>35</v>
      </c>
      <c r="AB28" s="13" t="str">
        <f>_xlfn.XLOOKUP(AA28,Tab_Def_Flows[Name(EN)],Tab_Def_Flows[Flow_ID],,0,)</f>
        <v>N.A.</v>
      </c>
      <c r="AC28" s="192" t="s">
        <v>35</v>
      </c>
      <c r="AD28" s="13" t="str">
        <f>_xlfn.XLOOKUP(AC28,Tab_Def_Flows[Name(EN)],Tab_Def_Flows[Flow_ID],,0,)</f>
        <v>N.A.</v>
      </c>
      <c r="AE28" s="192" t="s">
        <v>35</v>
      </c>
      <c r="AF28" s="13" t="str">
        <f>_xlfn.XLOOKUP(AE28,Tab_Def_Flows[Name(EN)],Tab_Def_Flows[Flow_ID],,0,)</f>
        <v>N.A.</v>
      </c>
      <c r="AG28" s="192" t="s">
        <v>35</v>
      </c>
      <c r="AH28" s="13" t="str">
        <f>_xlfn.XLOOKUP(AG28,Tab_Def_Flows[Name(EN)],Tab_Def_Flows[Flow_ID],,0,)</f>
        <v>N.A.</v>
      </c>
      <c r="AI28" s="192" t="s">
        <v>35</v>
      </c>
      <c r="AJ28" s="13" t="str">
        <f>_xlfn.XLOOKUP(AI28,Tab_Def_Flows[Name(EN)],Tab_Def_Flows[Flow_ID],,0,)</f>
        <v>N.A.</v>
      </c>
      <c r="AK28" s="192" t="s">
        <v>35</v>
      </c>
      <c r="AL28" s="14" t="str">
        <f>_xlfn.XLOOKUP(AK28,Tab_Def_Flows[Name(EN)],Tab_Def_Flows[Flow_ID],,0,)</f>
        <v>N.A.</v>
      </c>
    </row>
    <row r="29" spans="1:38" x14ac:dyDescent="0.25">
      <c r="A29" s="197" t="b">
        <v>0</v>
      </c>
      <c r="B29" s="45" t="s">
        <v>162</v>
      </c>
      <c r="C29" s="10" t="str">
        <f t="shared" si="0"/>
        <v>27</v>
      </c>
      <c r="D29" s="12"/>
      <c r="E29" s="12"/>
      <c r="F29" s="12"/>
      <c r="G29" s="12"/>
      <c r="H29" s="38"/>
      <c r="I29" s="192"/>
      <c r="J29" s="192"/>
      <c r="K29" s="192"/>
      <c r="L29" s="192"/>
      <c r="M29" s="192"/>
      <c r="N29" s="192"/>
      <c r="O29" s="192"/>
      <c r="P29" s="12"/>
      <c r="Q29" s="12" t="s">
        <v>35</v>
      </c>
      <c r="R29" s="13" t="str">
        <f>_xlfn.XLOOKUP(Q29,Tab_Def_Flows[Name(EN)],Tab_Def_Flows[Flow_ID],,0,)</f>
        <v>N.A.</v>
      </c>
      <c r="S29" s="12" t="s">
        <v>35</v>
      </c>
      <c r="T29" s="13" t="str">
        <f>_xlfn.XLOOKUP(S29,Tab_Def_Flows[Name(EN)],Tab_Def_Flows[Flow_ID],,0,)</f>
        <v>N.A.</v>
      </c>
      <c r="U29" s="12" t="s">
        <v>35</v>
      </c>
      <c r="V29" s="13" t="str">
        <f>_xlfn.XLOOKUP(U29,Tab_Def_Flows[Name(EN)],Tab_Def_Flows[Flow_ID],,0,)</f>
        <v>N.A.</v>
      </c>
      <c r="W29" s="12" t="s">
        <v>35</v>
      </c>
      <c r="X29" s="13" t="str">
        <f>_xlfn.XLOOKUP(W29,Tab_Def_Flows[Name(EN)],Tab_Def_Flows[Flow_ID],,0,)</f>
        <v>N.A.</v>
      </c>
      <c r="Y29" s="12" t="s">
        <v>35</v>
      </c>
      <c r="Z29" s="14" t="str">
        <f>_xlfn.XLOOKUP(Y29,Tab_Def_Flows[Name(EN)],Tab_Def_Flows[Flow_ID],,0,)</f>
        <v>N.A.</v>
      </c>
      <c r="AA29" s="192" t="s">
        <v>35</v>
      </c>
      <c r="AB29" s="13" t="str">
        <f>_xlfn.XLOOKUP(AA29,Tab_Def_Flows[Name(EN)],Tab_Def_Flows[Flow_ID],,0,)</f>
        <v>N.A.</v>
      </c>
      <c r="AC29" s="192" t="s">
        <v>35</v>
      </c>
      <c r="AD29" s="13" t="str">
        <f>_xlfn.XLOOKUP(AC29,Tab_Def_Flows[Name(EN)],Tab_Def_Flows[Flow_ID],,0,)</f>
        <v>N.A.</v>
      </c>
      <c r="AE29" s="192" t="s">
        <v>35</v>
      </c>
      <c r="AF29" s="13" t="str">
        <f>_xlfn.XLOOKUP(AE29,Tab_Def_Flows[Name(EN)],Tab_Def_Flows[Flow_ID],,0,)</f>
        <v>N.A.</v>
      </c>
      <c r="AG29" s="192" t="s">
        <v>35</v>
      </c>
      <c r="AH29" s="13" t="str">
        <f>_xlfn.XLOOKUP(AG29,Tab_Def_Flows[Name(EN)],Tab_Def_Flows[Flow_ID],,0,)</f>
        <v>N.A.</v>
      </c>
      <c r="AI29" s="192" t="s">
        <v>35</v>
      </c>
      <c r="AJ29" s="13" t="str">
        <f>_xlfn.XLOOKUP(AI29,Tab_Def_Flows[Name(EN)],Tab_Def_Flows[Flow_ID],,0,)</f>
        <v>N.A.</v>
      </c>
      <c r="AK29" s="192" t="s">
        <v>35</v>
      </c>
      <c r="AL29" s="14" t="str">
        <f>_xlfn.XLOOKUP(AK29,Tab_Def_Flows[Name(EN)],Tab_Def_Flows[Flow_ID],,0,)</f>
        <v>N.A.</v>
      </c>
    </row>
    <row r="30" spans="1:38" x14ac:dyDescent="0.25">
      <c r="A30" s="197" t="b">
        <v>0</v>
      </c>
      <c r="B30" s="45" t="s">
        <v>163</v>
      </c>
      <c r="C30" s="10" t="str">
        <f t="shared" si="0"/>
        <v>28</v>
      </c>
      <c r="D30" s="12"/>
      <c r="E30" s="12"/>
      <c r="F30" s="12"/>
      <c r="G30" s="12"/>
      <c r="H30" s="38"/>
      <c r="I30" s="192"/>
      <c r="J30" s="192"/>
      <c r="K30" s="192"/>
      <c r="L30" s="192"/>
      <c r="M30" s="192"/>
      <c r="N30" s="192"/>
      <c r="O30" s="192"/>
      <c r="P30" s="12"/>
      <c r="Q30" s="12" t="s">
        <v>35</v>
      </c>
      <c r="R30" s="13" t="str">
        <f>_xlfn.XLOOKUP(Q30,Tab_Def_Flows[Name(EN)],Tab_Def_Flows[Flow_ID],,0,)</f>
        <v>N.A.</v>
      </c>
      <c r="S30" s="12" t="s">
        <v>35</v>
      </c>
      <c r="T30" s="13" t="str">
        <f>_xlfn.XLOOKUP(S30,Tab_Def_Flows[Name(EN)],Tab_Def_Flows[Flow_ID],,0,)</f>
        <v>N.A.</v>
      </c>
      <c r="U30" s="12" t="s">
        <v>35</v>
      </c>
      <c r="V30" s="13" t="str">
        <f>_xlfn.XLOOKUP(U30,Tab_Def_Flows[Name(EN)],Tab_Def_Flows[Flow_ID],,0,)</f>
        <v>N.A.</v>
      </c>
      <c r="W30" s="12" t="s">
        <v>35</v>
      </c>
      <c r="X30" s="13" t="str">
        <f>_xlfn.XLOOKUP(W30,Tab_Def_Flows[Name(EN)],Tab_Def_Flows[Flow_ID],,0,)</f>
        <v>N.A.</v>
      </c>
      <c r="Y30" s="12" t="s">
        <v>35</v>
      </c>
      <c r="Z30" s="14" t="str">
        <f>_xlfn.XLOOKUP(Y30,Tab_Def_Flows[Name(EN)],Tab_Def_Flows[Flow_ID],,0,)</f>
        <v>N.A.</v>
      </c>
      <c r="AA30" s="192" t="s">
        <v>35</v>
      </c>
      <c r="AB30" s="13" t="str">
        <f>_xlfn.XLOOKUP(AA30,Tab_Def_Flows[Name(EN)],Tab_Def_Flows[Flow_ID],,0,)</f>
        <v>N.A.</v>
      </c>
      <c r="AC30" s="192" t="s">
        <v>35</v>
      </c>
      <c r="AD30" s="13" t="str">
        <f>_xlfn.XLOOKUP(AC30,Tab_Def_Flows[Name(EN)],Tab_Def_Flows[Flow_ID],,0,)</f>
        <v>N.A.</v>
      </c>
      <c r="AE30" s="192" t="s">
        <v>35</v>
      </c>
      <c r="AF30" s="13" t="str">
        <f>_xlfn.XLOOKUP(AE30,Tab_Def_Flows[Name(EN)],Tab_Def_Flows[Flow_ID],,0,)</f>
        <v>N.A.</v>
      </c>
      <c r="AG30" s="192" t="s">
        <v>35</v>
      </c>
      <c r="AH30" s="13" t="str">
        <f>_xlfn.XLOOKUP(AG30,Tab_Def_Flows[Name(EN)],Tab_Def_Flows[Flow_ID],,0,)</f>
        <v>N.A.</v>
      </c>
      <c r="AI30" s="192" t="s">
        <v>35</v>
      </c>
      <c r="AJ30" s="13" t="str">
        <f>_xlfn.XLOOKUP(AI30,Tab_Def_Flows[Name(EN)],Tab_Def_Flows[Flow_ID],,0,)</f>
        <v>N.A.</v>
      </c>
      <c r="AK30" s="192" t="s">
        <v>35</v>
      </c>
      <c r="AL30" s="14" t="str">
        <f>_xlfn.XLOOKUP(AK30,Tab_Def_Flows[Name(EN)],Tab_Def_Flows[Flow_ID],,0,)</f>
        <v>N.A.</v>
      </c>
    </row>
    <row r="31" spans="1:38" x14ac:dyDescent="0.25">
      <c r="A31" s="197" t="b">
        <v>0</v>
      </c>
      <c r="B31" s="45" t="s">
        <v>164</v>
      </c>
      <c r="C31" s="10" t="str">
        <f t="shared" si="0"/>
        <v>29</v>
      </c>
      <c r="D31" s="12"/>
      <c r="E31" s="12"/>
      <c r="F31" s="12"/>
      <c r="G31" s="12"/>
      <c r="H31" s="38"/>
      <c r="I31" s="192"/>
      <c r="J31" s="192"/>
      <c r="K31" s="192"/>
      <c r="L31" s="192"/>
      <c r="M31" s="192"/>
      <c r="N31" s="192"/>
      <c r="O31" s="192"/>
      <c r="P31" s="12"/>
      <c r="Q31" s="12" t="s">
        <v>35</v>
      </c>
      <c r="R31" s="13" t="str">
        <f>_xlfn.XLOOKUP(Q31,Tab_Def_Flows[Name(EN)],Tab_Def_Flows[Flow_ID],,0,)</f>
        <v>N.A.</v>
      </c>
      <c r="S31" s="12" t="s">
        <v>35</v>
      </c>
      <c r="T31" s="13" t="str">
        <f>_xlfn.XLOOKUP(S31,Tab_Def_Flows[Name(EN)],Tab_Def_Flows[Flow_ID],,0,)</f>
        <v>N.A.</v>
      </c>
      <c r="U31" s="12" t="s">
        <v>35</v>
      </c>
      <c r="V31" s="13" t="str">
        <f>_xlfn.XLOOKUP(U31,Tab_Def_Flows[Name(EN)],Tab_Def_Flows[Flow_ID],,0,)</f>
        <v>N.A.</v>
      </c>
      <c r="W31" s="12" t="s">
        <v>35</v>
      </c>
      <c r="X31" s="13" t="str">
        <f>_xlfn.XLOOKUP(W31,Tab_Def_Flows[Name(EN)],Tab_Def_Flows[Flow_ID],,0,)</f>
        <v>N.A.</v>
      </c>
      <c r="Y31" s="12" t="s">
        <v>35</v>
      </c>
      <c r="Z31" s="14" t="str">
        <f>_xlfn.XLOOKUP(Y31,Tab_Def_Flows[Name(EN)],Tab_Def_Flows[Flow_ID],,0,)</f>
        <v>N.A.</v>
      </c>
      <c r="AA31" s="192" t="s">
        <v>35</v>
      </c>
      <c r="AB31" s="13" t="str">
        <f>_xlfn.XLOOKUP(AA31,Tab_Def_Flows[Name(EN)],Tab_Def_Flows[Flow_ID],,0,)</f>
        <v>N.A.</v>
      </c>
      <c r="AC31" s="192" t="s">
        <v>35</v>
      </c>
      <c r="AD31" s="13" t="str">
        <f>_xlfn.XLOOKUP(AC31,Tab_Def_Flows[Name(EN)],Tab_Def_Flows[Flow_ID],,0,)</f>
        <v>N.A.</v>
      </c>
      <c r="AE31" s="192" t="s">
        <v>35</v>
      </c>
      <c r="AF31" s="13" t="str">
        <f>_xlfn.XLOOKUP(AE31,Tab_Def_Flows[Name(EN)],Tab_Def_Flows[Flow_ID],,0,)</f>
        <v>N.A.</v>
      </c>
      <c r="AG31" s="192" t="s">
        <v>35</v>
      </c>
      <c r="AH31" s="13" t="str">
        <f>_xlfn.XLOOKUP(AG31,Tab_Def_Flows[Name(EN)],Tab_Def_Flows[Flow_ID],,0,)</f>
        <v>N.A.</v>
      </c>
      <c r="AI31" s="192" t="s">
        <v>35</v>
      </c>
      <c r="AJ31" s="13" t="str">
        <f>_xlfn.XLOOKUP(AI31,Tab_Def_Flows[Name(EN)],Tab_Def_Flows[Flow_ID],,0,)</f>
        <v>N.A.</v>
      </c>
      <c r="AK31" s="192" t="s">
        <v>35</v>
      </c>
      <c r="AL31" s="14" t="str">
        <f>_xlfn.XLOOKUP(AK31,Tab_Def_Flows[Name(EN)],Tab_Def_Flows[Flow_ID],,0,)</f>
        <v>N.A.</v>
      </c>
    </row>
    <row r="32" spans="1:38" x14ac:dyDescent="0.25">
      <c r="A32" s="197" t="b">
        <v>0</v>
      </c>
      <c r="B32" s="45" t="s">
        <v>165</v>
      </c>
      <c r="C32" s="10" t="str">
        <f t="shared" si="0"/>
        <v>30</v>
      </c>
      <c r="D32" s="12"/>
      <c r="E32" s="12"/>
      <c r="F32" s="12"/>
      <c r="G32" s="12"/>
      <c r="H32" s="38"/>
      <c r="I32" s="192"/>
      <c r="J32" s="192"/>
      <c r="K32" s="192"/>
      <c r="L32" s="192"/>
      <c r="M32" s="192"/>
      <c r="N32" s="192"/>
      <c r="O32" s="192"/>
      <c r="P32" s="12"/>
      <c r="Q32" s="12" t="s">
        <v>35</v>
      </c>
      <c r="R32" s="13" t="str">
        <f>_xlfn.XLOOKUP(Q32,Tab_Def_Flows[Name(EN)],Tab_Def_Flows[Flow_ID],,0,)</f>
        <v>N.A.</v>
      </c>
      <c r="S32" s="12" t="s">
        <v>35</v>
      </c>
      <c r="T32" s="13" t="str">
        <f>_xlfn.XLOOKUP(S32,Tab_Def_Flows[Name(EN)],Tab_Def_Flows[Flow_ID],,0,)</f>
        <v>N.A.</v>
      </c>
      <c r="U32" s="12" t="s">
        <v>35</v>
      </c>
      <c r="V32" s="13" t="str">
        <f>_xlfn.XLOOKUP(U32,Tab_Def_Flows[Name(EN)],Tab_Def_Flows[Flow_ID],,0,)</f>
        <v>N.A.</v>
      </c>
      <c r="W32" s="12" t="s">
        <v>35</v>
      </c>
      <c r="X32" s="13" t="str">
        <f>_xlfn.XLOOKUP(W32,Tab_Def_Flows[Name(EN)],Tab_Def_Flows[Flow_ID],,0,)</f>
        <v>N.A.</v>
      </c>
      <c r="Y32" s="12" t="s">
        <v>35</v>
      </c>
      <c r="Z32" s="14" t="str">
        <f>_xlfn.XLOOKUP(Y32,Tab_Def_Flows[Name(EN)],Tab_Def_Flows[Flow_ID],,0,)</f>
        <v>N.A.</v>
      </c>
      <c r="AA32" s="192" t="s">
        <v>35</v>
      </c>
      <c r="AB32" s="13" t="str">
        <f>_xlfn.XLOOKUP(AA32,Tab_Def_Flows[Name(EN)],Tab_Def_Flows[Flow_ID],,0,)</f>
        <v>N.A.</v>
      </c>
      <c r="AC32" s="192" t="s">
        <v>35</v>
      </c>
      <c r="AD32" s="13" t="str">
        <f>_xlfn.XLOOKUP(AC32,Tab_Def_Flows[Name(EN)],Tab_Def_Flows[Flow_ID],,0,)</f>
        <v>N.A.</v>
      </c>
      <c r="AE32" s="192" t="s">
        <v>35</v>
      </c>
      <c r="AF32" s="13" t="str">
        <f>_xlfn.XLOOKUP(AE32,Tab_Def_Flows[Name(EN)],Tab_Def_Flows[Flow_ID],,0,)</f>
        <v>N.A.</v>
      </c>
      <c r="AG32" s="192" t="s">
        <v>35</v>
      </c>
      <c r="AH32" s="13" t="str">
        <f>_xlfn.XLOOKUP(AG32,Tab_Def_Flows[Name(EN)],Tab_Def_Flows[Flow_ID],,0,)</f>
        <v>N.A.</v>
      </c>
      <c r="AI32" s="192" t="s">
        <v>35</v>
      </c>
      <c r="AJ32" s="13" t="str">
        <f>_xlfn.XLOOKUP(AI32,Tab_Def_Flows[Name(EN)],Tab_Def_Flows[Flow_ID],,0,)</f>
        <v>N.A.</v>
      </c>
      <c r="AK32" s="192" t="s">
        <v>35</v>
      </c>
      <c r="AL32" s="14" t="str">
        <f>_xlfn.XLOOKUP(AK32,Tab_Def_Flows[Name(EN)],Tab_Def_Flows[Flow_ID],,0,)</f>
        <v>N.A.</v>
      </c>
    </row>
    <row r="33" spans="1:38" x14ac:dyDescent="0.25">
      <c r="A33" s="197" t="b">
        <v>0</v>
      </c>
      <c r="B33" s="45" t="s">
        <v>166</v>
      </c>
      <c r="C33" s="10" t="str">
        <f t="shared" si="0"/>
        <v>31</v>
      </c>
      <c r="D33" s="12"/>
      <c r="E33" s="12"/>
      <c r="F33" s="12"/>
      <c r="G33" s="12"/>
      <c r="H33" s="38"/>
      <c r="I33" s="192"/>
      <c r="J33" s="192"/>
      <c r="K33" s="192"/>
      <c r="L33" s="192"/>
      <c r="M33" s="192"/>
      <c r="N33" s="192"/>
      <c r="O33" s="192"/>
      <c r="P33" s="12"/>
      <c r="Q33" s="12" t="s">
        <v>35</v>
      </c>
      <c r="R33" s="13" t="str">
        <f>_xlfn.XLOOKUP(Q33,Tab_Def_Flows[Name(EN)],Tab_Def_Flows[Flow_ID],,0,)</f>
        <v>N.A.</v>
      </c>
      <c r="S33" s="12" t="s">
        <v>35</v>
      </c>
      <c r="T33" s="13" t="str">
        <f>_xlfn.XLOOKUP(S33,Tab_Def_Flows[Name(EN)],Tab_Def_Flows[Flow_ID],,0,)</f>
        <v>N.A.</v>
      </c>
      <c r="U33" s="12" t="s">
        <v>35</v>
      </c>
      <c r="V33" s="13" t="str">
        <f>_xlfn.XLOOKUP(U33,Tab_Def_Flows[Name(EN)],Tab_Def_Flows[Flow_ID],,0,)</f>
        <v>N.A.</v>
      </c>
      <c r="W33" s="12" t="s">
        <v>35</v>
      </c>
      <c r="X33" s="13" t="str">
        <f>_xlfn.XLOOKUP(W33,Tab_Def_Flows[Name(EN)],Tab_Def_Flows[Flow_ID],,0,)</f>
        <v>N.A.</v>
      </c>
      <c r="Y33" s="12" t="s">
        <v>35</v>
      </c>
      <c r="Z33" s="14" t="str">
        <f>_xlfn.XLOOKUP(Y33,Tab_Def_Flows[Name(EN)],Tab_Def_Flows[Flow_ID],,0,)</f>
        <v>N.A.</v>
      </c>
      <c r="AA33" s="192" t="s">
        <v>35</v>
      </c>
      <c r="AB33" s="13" t="str">
        <f>_xlfn.XLOOKUP(AA33,Tab_Def_Flows[Name(EN)],Tab_Def_Flows[Flow_ID],,0,)</f>
        <v>N.A.</v>
      </c>
      <c r="AC33" s="192" t="s">
        <v>35</v>
      </c>
      <c r="AD33" s="13" t="str">
        <f>_xlfn.XLOOKUP(AC33,Tab_Def_Flows[Name(EN)],Tab_Def_Flows[Flow_ID],,0,)</f>
        <v>N.A.</v>
      </c>
      <c r="AE33" s="192" t="s">
        <v>35</v>
      </c>
      <c r="AF33" s="13" t="str">
        <f>_xlfn.XLOOKUP(AE33,Tab_Def_Flows[Name(EN)],Tab_Def_Flows[Flow_ID],,0,)</f>
        <v>N.A.</v>
      </c>
      <c r="AG33" s="192" t="s">
        <v>35</v>
      </c>
      <c r="AH33" s="13" t="str">
        <f>_xlfn.XLOOKUP(AG33,Tab_Def_Flows[Name(EN)],Tab_Def_Flows[Flow_ID],,0,)</f>
        <v>N.A.</v>
      </c>
      <c r="AI33" s="192" t="s">
        <v>35</v>
      </c>
      <c r="AJ33" s="13" t="str">
        <f>_xlfn.XLOOKUP(AI33,Tab_Def_Flows[Name(EN)],Tab_Def_Flows[Flow_ID],,0,)</f>
        <v>N.A.</v>
      </c>
      <c r="AK33" s="192" t="s">
        <v>35</v>
      </c>
      <c r="AL33" s="14" t="str">
        <f>_xlfn.XLOOKUP(AK33,Tab_Def_Flows[Name(EN)],Tab_Def_Flows[Flow_ID],,0,)</f>
        <v>N.A.</v>
      </c>
    </row>
    <row r="34" spans="1:38" x14ac:dyDescent="0.25">
      <c r="A34" s="197" t="b">
        <v>0</v>
      </c>
      <c r="B34" s="45" t="s">
        <v>167</v>
      </c>
      <c r="C34" s="10" t="str">
        <f t="shared" si="0"/>
        <v>32</v>
      </c>
      <c r="D34" s="12"/>
      <c r="E34" s="12"/>
      <c r="F34" s="12"/>
      <c r="G34" s="12"/>
      <c r="H34" s="38"/>
      <c r="I34" s="192"/>
      <c r="J34" s="192"/>
      <c r="K34" s="192"/>
      <c r="L34" s="192"/>
      <c r="M34" s="192"/>
      <c r="N34" s="192"/>
      <c r="O34" s="192"/>
      <c r="P34" s="12"/>
      <c r="Q34" s="12" t="s">
        <v>35</v>
      </c>
      <c r="R34" s="13" t="str">
        <f>_xlfn.XLOOKUP(Q34,Tab_Def_Flows[Name(EN)],Tab_Def_Flows[Flow_ID],,0,)</f>
        <v>N.A.</v>
      </c>
      <c r="S34" s="12" t="s">
        <v>35</v>
      </c>
      <c r="T34" s="13" t="str">
        <f>_xlfn.XLOOKUP(S34,Tab_Def_Flows[Name(EN)],Tab_Def_Flows[Flow_ID],,0,)</f>
        <v>N.A.</v>
      </c>
      <c r="U34" s="12" t="s">
        <v>35</v>
      </c>
      <c r="V34" s="13" t="str">
        <f>_xlfn.XLOOKUP(U34,Tab_Def_Flows[Name(EN)],Tab_Def_Flows[Flow_ID],,0,)</f>
        <v>N.A.</v>
      </c>
      <c r="W34" s="12" t="s">
        <v>35</v>
      </c>
      <c r="X34" s="13" t="str">
        <f>_xlfn.XLOOKUP(W34,Tab_Def_Flows[Name(EN)],Tab_Def_Flows[Flow_ID],,0,)</f>
        <v>N.A.</v>
      </c>
      <c r="Y34" s="12" t="s">
        <v>35</v>
      </c>
      <c r="Z34" s="14" t="str">
        <f>_xlfn.XLOOKUP(Y34,Tab_Def_Flows[Name(EN)],Tab_Def_Flows[Flow_ID],,0,)</f>
        <v>N.A.</v>
      </c>
      <c r="AA34" s="192" t="s">
        <v>35</v>
      </c>
      <c r="AB34" s="13" t="str">
        <f>_xlfn.XLOOKUP(AA34,Tab_Def_Flows[Name(EN)],Tab_Def_Flows[Flow_ID],,0,)</f>
        <v>N.A.</v>
      </c>
      <c r="AC34" s="192" t="s">
        <v>35</v>
      </c>
      <c r="AD34" s="13" t="str">
        <f>_xlfn.XLOOKUP(AC34,Tab_Def_Flows[Name(EN)],Tab_Def_Flows[Flow_ID],,0,)</f>
        <v>N.A.</v>
      </c>
      <c r="AE34" s="192" t="s">
        <v>35</v>
      </c>
      <c r="AF34" s="13" t="str">
        <f>_xlfn.XLOOKUP(AE34,Tab_Def_Flows[Name(EN)],Tab_Def_Flows[Flow_ID],,0,)</f>
        <v>N.A.</v>
      </c>
      <c r="AG34" s="192" t="s">
        <v>35</v>
      </c>
      <c r="AH34" s="13" t="str">
        <f>_xlfn.XLOOKUP(AG34,Tab_Def_Flows[Name(EN)],Tab_Def_Flows[Flow_ID],,0,)</f>
        <v>N.A.</v>
      </c>
      <c r="AI34" s="192" t="s">
        <v>35</v>
      </c>
      <c r="AJ34" s="13" t="str">
        <f>_xlfn.XLOOKUP(AI34,Tab_Def_Flows[Name(EN)],Tab_Def_Flows[Flow_ID],,0,)</f>
        <v>N.A.</v>
      </c>
      <c r="AK34" s="192" t="s">
        <v>35</v>
      </c>
      <c r="AL34" s="14" t="str">
        <f>_xlfn.XLOOKUP(AK34,Tab_Def_Flows[Name(EN)],Tab_Def_Flows[Flow_ID],,0,)</f>
        <v>N.A.</v>
      </c>
    </row>
    <row r="35" spans="1:38" x14ac:dyDescent="0.25">
      <c r="A35" s="197" t="b">
        <v>0</v>
      </c>
      <c r="B35" s="45" t="s">
        <v>168</v>
      </c>
      <c r="C35" s="10" t="str">
        <f t="shared" si="0"/>
        <v>33</v>
      </c>
      <c r="D35" s="12"/>
      <c r="E35" s="12"/>
      <c r="F35" s="12"/>
      <c r="G35" s="12"/>
      <c r="H35" s="38"/>
      <c r="I35" s="192"/>
      <c r="J35" s="192"/>
      <c r="K35" s="192"/>
      <c r="L35" s="192"/>
      <c r="M35" s="192"/>
      <c r="N35" s="192"/>
      <c r="O35" s="192"/>
      <c r="P35" s="12"/>
      <c r="Q35" s="12" t="s">
        <v>35</v>
      </c>
      <c r="R35" s="13" t="str">
        <f>_xlfn.XLOOKUP(Q35,Tab_Def_Flows[Name(EN)],Tab_Def_Flows[Flow_ID],,0,)</f>
        <v>N.A.</v>
      </c>
      <c r="S35" s="12" t="s">
        <v>35</v>
      </c>
      <c r="T35" s="13" t="str">
        <f>_xlfn.XLOOKUP(S35,Tab_Def_Flows[Name(EN)],Tab_Def_Flows[Flow_ID],,0,)</f>
        <v>N.A.</v>
      </c>
      <c r="U35" s="12" t="s">
        <v>35</v>
      </c>
      <c r="V35" s="13" t="str">
        <f>_xlfn.XLOOKUP(U35,Tab_Def_Flows[Name(EN)],Tab_Def_Flows[Flow_ID],,0,)</f>
        <v>N.A.</v>
      </c>
      <c r="W35" s="12" t="s">
        <v>35</v>
      </c>
      <c r="X35" s="13" t="str">
        <f>_xlfn.XLOOKUP(W35,Tab_Def_Flows[Name(EN)],Tab_Def_Flows[Flow_ID],,0,)</f>
        <v>N.A.</v>
      </c>
      <c r="Y35" s="12" t="s">
        <v>35</v>
      </c>
      <c r="Z35" s="14" t="str">
        <f>_xlfn.XLOOKUP(Y35,Tab_Def_Flows[Name(EN)],Tab_Def_Flows[Flow_ID],,0,)</f>
        <v>N.A.</v>
      </c>
      <c r="AA35" s="192" t="s">
        <v>35</v>
      </c>
      <c r="AB35" s="13" t="str">
        <f>_xlfn.XLOOKUP(AA35,Tab_Def_Flows[Name(EN)],Tab_Def_Flows[Flow_ID],,0,)</f>
        <v>N.A.</v>
      </c>
      <c r="AC35" s="192" t="s">
        <v>35</v>
      </c>
      <c r="AD35" s="13" t="str">
        <f>_xlfn.XLOOKUP(AC35,Tab_Def_Flows[Name(EN)],Tab_Def_Flows[Flow_ID],,0,)</f>
        <v>N.A.</v>
      </c>
      <c r="AE35" s="192" t="s">
        <v>35</v>
      </c>
      <c r="AF35" s="13" t="str">
        <f>_xlfn.XLOOKUP(AE35,Tab_Def_Flows[Name(EN)],Tab_Def_Flows[Flow_ID],,0,)</f>
        <v>N.A.</v>
      </c>
      <c r="AG35" s="192" t="s">
        <v>35</v>
      </c>
      <c r="AH35" s="13" t="str">
        <f>_xlfn.XLOOKUP(AG35,Tab_Def_Flows[Name(EN)],Tab_Def_Flows[Flow_ID],,0,)</f>
        <v>N.A.</v>
      </c>
      <c r="AI35" s="192" t="s">
        <v>35</v>
      </c>
      <c r="AJ35" s="13" t="str">
        <f>_xlfn.XLOOKUP(AI35,Tab_Def_Flows[Name(EN)],Tab_Def_Flows[Flow_ID],,0,)</f>
        <v>N.A.</v>
      </c>
      <c r="AK35" s="192" t="s">
        <v>35</v>
      </c>
      <c r="AL35" s="14" t="str">
        <f>_xlfn.XLOOKUP(AK35,Tab_Def_Flows[Name(EN)],Tab_Def_Flows[Flow_ID],,0,)</f>
        <v>N.A.</v>
      </c>
    </row>
    <row r="36" spans="1:38" x14ac:dyDescent="0.25">
      <c r="A36" s="197" t="b">
        <v>0</v>
      </c>
      <c r="B36" s="45" t="s">
        <v>169</v>
      </c>
      <c r="C36" s="10" t="str">
        <f t="shared" si="0"/>
        <v>34</v>
      </c>
      <c r="D36" s="12"/>
      <c r="E36" s="12"/>
      <c r="F36" s="12"/>
      <c r="G36" s="12"/>
      <c r="H36" s="38"/>
      <c r="I36" s="192"/>
      <c r="J36" s="192"/>
      <c r="K36" s="192"/>
      <c r="L36" s="192"/>
      <c r="M36" s="192"/>
      <c r="N36" s="192"/>
      <c r="O36" s="192"/>
      <c r="P36" s="12"/>
      <c r="Q36" s="12" t="s">
        <v>35</v>
      </c>
      <c r="R36" s="13" t="str">
        <f>_xlfn.XLOOKUP(Q36,Tab_Def_Flows[Name(EN)],Tab_Def_Flows[Flow_ID],,0,)</f>
        <v>N.A.</v>
      </c>
      <c r="S36" s="12" t="s">
        <v>35</v>
      </c>
      <c r="T36" s="13" t="str">
        <f>_xlfn.XLOOKUP(S36,Tab_Def_Flows[Name(EN)],Tab_Def_Flows[Flow_ID],,0,)</f>
        <v>N.A.</v>
      </c>
      <c r="U36" s="12" t="s">
        <v>35</v>
      </c>
      <c r="V36" s="13" t="str">
        <f>_xlfn.XLOOKUP(U36,Tab_Def_Flows[Name(EN)],Tab_Def_Flows[Flow_ID],,0,)</f>
        <v>N.A.</v>
      </c>
      <c r="W36" s="12" t="s">
        <v>35</v>
      </c>
      <c r="X36" s="13" t="str">
        <f>_xlfn.XLOOKUP(W36,Tab_Def_Flows[Name(EN)],Tab_Def_Flows[Flow_ID],,0,)</f>
        <v>N.A.</v>
      </c>
      <c r="Y36" s="12" t="s">
        <v>35</v>
      </c>
      <c r="Z36" s="14" t="str">
        <f>_xlfn.XLOOKUP(Y36,Tab_Def_Flows[Name(EN)],Tab_Def_Flows[Flow_ID],,0,)</f>
        <v>N.A.</v>
      </c>
      <c r="AA36" s="192" t="s">
        <v>35</v>
      </c>
      <c r="AB36" s="13" t="str">
        <f>_xlfn.XLOOKUP(AA36,Tab_Def_Flows[Name(EN)],Tab_Def_Flows[Flow_ID],,0,)</f>
        <v>N.A.</v>
      </c>
      <c r="AC36" s="192" t="s">
        <v>35</v>
      </c>
      <c r="AD36" s="13" t="str">
        <f>_xlfn.XLOOKUP(AC36,Tab_Def_Flows[Name(EN)],Tab_Def_Flows[Flow_ID],,0,)</f>
        <v>N.A.</v>
      </c>
      <c r="AE36" s="192" t="s">
        <v>35</v>
      </c>
      <c r="AF36" s="13" t="str">
        <f>_xlfn.XLOOKUP(AE36,Tab_Def_Flows[Name(EN)],Tab_Def_Flows[Flow_ID],,0,)</f>
        <v>N.A.</v>
      </c>
      <c r="AG36" s="192" t="s">
        <v>35</v>
      </c>
      <c r="AH36" s="13" t="str">
        <f>_xlfn.XLOOKUP(AG36,Tab_Def_Flows[Name(EN)],Tab_Def_Flows[Flow_ID],,0,)</f>
        <v>N.A.</v>
      </c>
      <c r="AI36" s="192" t="s">
        <v>35</v>
      </c>
      <c r="AJ36" s="13" t="str">
        <f>_xlfn.XLOOKUP(AI36,Tab_Def_Flows[Name(EN)],Tab_Def_Flows[Flow_ID],,0,)</f>
        <v>N.A.</v>
      </c>
      <c r="AK36" s="192" t="s">
        <v>35</v>
      </c>
      <c r="AL36" s="14" t="str">
        <f>_xlfn.XLOOKUP(AK36,Tab_Def_Flows[Name(EN)],Tab_Def_Flows[Flow_ID],,0,)</f>
        <v>N.A.</v>
      </c>
    </row>
    <row r="37" spans="1:38" x14ac:dyDescent="0.25">
      <c r="A37" s="197" t="b">
        <v>0</v>
      </c>
      <c r="B37" s="45" t="s">
        <v>170</v>
      </c>
      <c r="C37" s="10" t="str">
        <f t="shared" si="0"/>
        <v>35</v>
      </c>
      <c r="D37" s="12"/>
      <c r="E37" s="12"/>
      <c r="F37" s="12"/>
      <c r="G37" s="12"/>
      <c r="H37" s="38"/>
      <c r="I37" s="192"/>
      <c r="J37" s="192"/>
      <c r="K37" s="192"/>
      <c r="L37" s="192"/>
      <c r="M37" s="192"/>
      <c r="N37" s="192"/>
      <c r="O37" s="192"/>
      <c r="P37" s="12"/>
      <c r="Q37" s="12" t="s">
        <v>35</v>
      </c>
      <c r="R37" s="13" t="str">
        <f>_xlfn.XLOOKUP(Q37,Tab_Def_Flows[Name(EN)],Tab_Def_Flows[Flow_ID],,0,)</f>
        <v>N.A.</v>
      </c>
      <c r="S37" s="12" t="s">
        <v>35</v>
      </c>
      <c r="T37" s="13" t="str">
        <f>_xlfn.XLOOKUP(S37,Tab_Def_Flows[Name(EN)],Tab_Def_Flows[Flow_ID],,0,)</f>
        <v>N.A.</v>
      </c>
      <c r="U37" s="12" t="s">
        <v>35</v>
      </c>
      <c r="V37" s="13" t="str">
        <f>_xlfn.XLOOKUP(U37,Tab_Def_Flows[Name(EN)],Tab_Def_Flows[Flow_ID],,0,)</f>
        <v>N.A.</v>
      </c>
      <c r="W37" s="12" t="s">
        <v>35</v>
      </c>
      <c r="X37" s="13" t="str">
        <f>_xlfn.XLOOKUP(W37,Tab_Def_Flows[Name(EN)],Tab_Def_Flows[Flow_ID],,0,)</f>
        <v>N.A.</v>
      </c>
      <c r="Y37" s="12" t="s">
        <v>35</v>
      </c>
      <c r="Z37" s="14" t="str">
        <f>_xlfn.XLOOKUP(Y37,Tab_Def_Flows[Name(EN)],Tab_Def_Flows[Flow_ID],,0,)</f>
        <v>N.A.</v>
      </c>
      <c r="AA37" s="192" t="s">
        <v>35</v>
      </c>
      <c r="AB37" s="13" t="str">
        <f>_xlfn.XLOOKUP(AA37,Tab_Def_Flows[Name(EN)],Tab_Def_Flows[Flow_ID],,0,)</f>
        <v>N.A.</v>
      </c>
      <c r="AC37" s="192" t="s">
        <v>35</v>
      </c>
      <c r="AD37" s="13" t="str">
        <f>_xlfn.XLOOKUP(AC37,Tab_Def_Flows[Name(EN)],Tab_Def_Flows[Flow_ID],,0,)</f>
        <v>N.A.</v>
      </c>
      <c r="AE37" s="192" t="s">
        <v>35</v>
      </c>
      <c r="AF37" s="13" t="str">
        <f>_xlfn.XLOOKUP(AE37,Tab_Def_Flows[Name(EN)],Tab_Def_Flows[Flow_ID],,0,)</f>
        <v>N.A.</v>
      </c>
      <c r="AG37" s="192" t="s">
        <v>35</v>
      </c>
      <c r="AH37" s="13" t="str">
        <f>_xlfn.XLOOKUP(AG37,Tab_Def_Flows[Name(EN)],Tab_Def_Flows[Flow_ID],,0,)</f>
        <v>N.A.</v>
      </c>
      <c r="AI37" s="192" t="s">
        <v>35</v>
      </c>
      <c r="AJ37" s="13" t="str">
        <f>_xlfn.XLOOKUP(AI37,Tab_Def_Flows[Name(EN)],Tab_Def_Flows[Flow_ID],,0,)</f>
        <v>N.A.</v>
      </c>
      <c r="AK37" s="192" t="s">
        <v>35</v>
      </c>
      <c r="AL37" s="14" t="str">
        <f>_xlfn.XLOOKUP(AK37,Tab_Def_Flows[Name(EN)],Tab_Def_Flows[Flow_ID],,0,)</f>
        <v>N.A.</v>
      </c>
    </row>
    <row r="38" spans="1:38" x14ac:dyDescent="0.25">
      <c r="A38" s="197" t="b">
        <v>0</v>
      </c>
      <c r="B38" s="45" t="s">
        <v>171</v>
      </c>
      <c r="C38" s="10" t="str">
        <f t="shared" si="0"/>
        <v>36</v>
      </c>
      <c r="D38" s="12"/>
      <c r="E38" s="12"/>
      <c r="F38" s="12"/>
      <c r="G38" s="12"/>
      <c r="H38" s="38"/>
      <c r="I38" s="192"/>
      <c r="J38" s="192"/>
      <c r="K38" s="192"/>
      <c r="L38" s="192"/>
      <c r="M38" s="192"/>
      <c r="N38" s="192"/>
      <c r="O38" s="192"/>
      <c r="P38" s="12"/>
      <c r="Q38" s="12" t="s">
        <v>35</v>
      </c>
      <c r="R38" s="13" t="str">
        <f>_xlfn.XLOOKUP(Q38,Tab_Def_Flows[Name(EN)],Tab_Def_Flows[Flow_ID],,0,)</f>
        <v>N.A.</v>
      </c>
      <c r="S38" s="12" t="s">
        <v>35</v>
      </c>
      <c r="T38" s="13" t="str">
        <f>_xlfn.XLOOKUP(S38,Tab_Def_Flows[Name(EN)],Tab_Def_Flows[Flow_ID],,0,)</f>
        <v>N.A.</v>
      </c>
      <c r="U38" s="12" t="s">
        <v>35</v>
      </c>
      <c r="V38" s="13" t="str">
        <f>_xlfn.XLOOKUP(U38,Tab_Def_Flows[Name(EN)],Tab_Def_Flows[Flow_ID],,0,)</f>
        <v>N.A.</v>
      </c>
      <c r="W38" s="12" t="s">
        <v>35</v>
      </c>
      <c r="X38" s="13" t="str">
        <f>_xlfn.XLOOKUP(W38,Tab_Def_Flows[Name(EN)],Tab_Def_Flows[Flow_ID],,0,)</f>
        <v>N.A.</v>
      </c>
      <c r="Y38" s="12" t="s">
        <v>35</v>
      </c>
      <c r="Z38" s="14" t="str">
        <f>_xlfn.XLOOKUP(Y38,Tab_Def_Flows[Name(EN)],Tab_Def_Flows[Flow_ID],,0,)</f>
        <v>N.A.</v>
      </c>
      <c r="AA38" s="192" t="s">
        <v>35</v>
      </c>
      <c r="AB38" s="13" t="str">
        <f>_xlfn.XLOOKUP(AA38,Tab_Def_Flows[Name(EN)],Tab_Def_Flows[Flow_ID],,0,)</f>
        <v>N.A.</v>
      </c>
      <c r="AC38" s="192" t="s">
        <v>35</v>
      </c>
      <c r="AD38" s="13" t="str">
        <f>_xlfn.XLOOKUP(AC38,Tab_Def_Flows[Name(EN)],Tab_Def_Flows[Flow_ID],,0,)</f>
        <v>N.A.</v>
      </c>
      <c r="AE38" s="192" t="s">
        <v>35</v>
      </c>
      <c r="AF38" s="13" t="str">
        <f>_xlfn.XLOOKUP(AE38,Tab_Def_Flows[Name(EN)],Tab_Def_Flows[Flow_ID],,0,)</f>
        <v>N.A.</v>
      </c>
      <c r="AG38" s="192" t="s">
        <v>35</v>
      </c>
      <c r="AH38" s="13" t="str">
        <f>_xlfn.XLOOKUP(AG38,Tab_Def_Flows[Name(EN)],Tab_Def_Flows[Flow_ID],,0,)</f>
        <v>N.A.</v>
      </c>
      <c r="AI38" s="192" t="s">
        <v>35</v>
      </c>
      <c r="AJ38" s="13" t="str">
        <f>_xlfn.XLOOKUP(AI38,Tab_Def_Flows[Name(EN)],Tab_Def_Flows[Flow_ID],,0,)</f>
        <v>N.A.</v>
      </c>
      <c r="AK38" s="192" t="s">
        <v>35</v>
      </c>
      <c r="AL38" s="14" t="str">
        <f>_xlfn.XLOOKUP(AK38,Tab_Def_Flows[Name(EN)],Tab_Def_Flows[Flow_ID],,0,)</f>
        <v>N.A.</v>
      </c>
    </row>
    <row r="39" spans="1:38" x14ac:dyDescent="0.25">
      <c r="A39" s="197" t="b">
        <v>0</v>
      </c>
      <c r="B39" s="45" t="s">
        <v>172</v>
      </c>
      <c r="C39" s="10" t="str">
        <f t="shared" si="0"/>
        <v>37</v>
      </c>
      <c r="D39" s="12"/>
      <c r="E39" s="12"/>
      <c r="F39" s="12"/>
      <c r="G39" s="12"/>
      <c r="H39" s="38"/>
      <c r="I39" s="192"/>
      <c r="J39" s="192"/>
      <c r="K39" s="192"/>
      <c r="L39" s="192"/>
      <c r="M39" s="192"/>
      <c r="N39" s="192"/>
      <c r="O39" s="192"/>
      <c r="P39" s="12"/>
      <c r="Q39" s="12" t="s">
        <v>35</v>
      </c>
      <c r="R39" s="13" t="str">
        <f>_xlfn.XLOOKUP(Q39,Tab_Def_Flows[Name(EN)],Tab_Def_Flows[Flow_ID],,0,)</f>
        <v>N.A.</v>
      </c>
      <c r="S39" s="12" t="s">
        <v>35</v>
      </c>
      <c r="T39" s="13" t="str">
        <f>_xlfn.XLOOKUP(S39,Tab_Def_Flows[Name(EN)],Tab_Def_Flows[Flow_ID],,0,)</f>
        <v>N.A.</v>
      </c>
      <c r="U39" s="12" t="s">
        <v>35</v>
      </c>
      <c r="V39" s="13" t="str">
        <f>_xlfn.XLOOKUP(U39,Tab_Def_Flows[Name(EN)],Tab_Def_Flows[Flow_ID],,0,)</f>
        <v>N.A.</v>
      </c>
      <c r="W39" s="12" t="s">
        <v>35</v>
      </c>
      <c r="X39" s="13" t="str">
        <f>_xlfn.XLOOKUP(W39,Tab_Def_Flows[Name(EN)],Tab_Def_Flows[Flow_ID],,0,)</f>
        <v>N.A.</v>
      </c>
      <c r="Y39" s="12" t="s">
        <v>35</v>
      </c>
      <c r="Z39" s="14" t="str">
        <f>_xlfn.XLOOKUP(Y39,Tab_Def_Flows[Name(EN)],Tab_Def_Flows[Flow_ID],,0,)</f>
        <v>N.A.</v>
      </c>
      <c r="AA39" s="192" t="s">
        <v>35</v>
      </c>
      <c r="AB39" s="13" t="str">
        <f>_xlfn.XLOOKUP(AA39,Tab_Def_Flows[Name(EN)],Tab_Def_Flows[Flow_ID],,0,)</f>
        <v>N.A.</v>
      </c>
      <c r="AC39" s="192" t="s">
        <v>35</v>
      </c>
      <c r="AD39" s="13" t="str">
        <f>_xlfn.XLOOKUP(AC39,Tab_Def_Flows[Name(EN)],Tab_Def_Flows[Flow_ID],,0,)</f>
        <v>N.A.</v>
      </c>
      <c r="AE39" s="192" t="s">
        <v>35</v>
      </c>
      <c r="AF39" s="13" t="str">
        <f>_xlfn.XLOOKUP(AE39,Tab_Def_Flows[Name(EN)],Tab_Def_Flows[Flow_ID],,0,)</f>
        <v>N.A.</v>
      </c>
      <c r="AG39" s="192" t="s">
        <v>35</v>
      </c>
      <c r="AH39" s="13" t="str">
        <f>_xlfn.XLOOKUP(AG39,Tab_Def_Flows[Name(EN)],Tab_Def_Flows[Flow_ID],,0,)</f>
        <v>N.A.</v>
      </c>
      <c r="AI39" s="192" t="s">
        <v>35</v>
      </c>
      <c r="AJ39" s="13" t="str">
        <f>_xlfn.XLOOKUP(AI39,Tab_Def_Flows[Name(EN)],Tab_Def_Flows[Flow_ID],,0,)</f>
        <v>N.A.</v>
      </c>
      <c r="AK39" s="192" t="s">
        <v>35</v>
      </c>
      <c r="AL39" s="14" t="str">
        <f>_xlfn.XLOOKUP(AK39,Tab_Def_Flows[Name(EN)],Tab_Def_Flows[Flow_ID],,0,)</f>
        <v>N.A.</v>
      </c>
    </row>
    <row r="40" spans="1:38" x14ac:dyDescent="0.25">
      <c r="A40" s="197" t="b">
        <v>0</v>
      </c>
      <c r="B40" s="45" t="s">
        <v>173</v>
      </c>
      <c r="C40" s="10" t="str">
        <f t="shared" si="0"/>
        <v>38</v>
      </c>
      <c r="D40" s="12"/>
      <c r="E40" s="12"/>
      <c r="F40" s="12"/>
      <c r="G40" s="12"/>
      <c r="H40" s="38"/>
      <c r="I40" s="192"/>
      <c r="J40" s="192"/>
      <c r="K40" s="192"/>
      <c r="L40" s="192"/>
      <c r="M40" s="192"/>
      <c r="N40" s="192"/>
      <c r="O40" s="192"/>
      <c r="P40" s="12"/>
      <c r="Q40" s="12" t="s">
        <v>35</v>
      </c>
      <c r="R40" s="13" t="str">
        <f>_xlfn.XLOOKUP(Q40,Tab_Def_Flows[Name(EN)],Tab_Def_Flows[Flow_ID],,0,)</f>
        <v>N.A.</v>
      </c>
      <c r="S40" s="12" t="s">
        <v>35</v>
      </c>
      <c r="T40" s="13" t="str">
        <f>_xlfn.XLOOKUP(S40,Tab_Def_Flows[Name(EN)],Tab_Def_Flows[Flow_ID],,0,)</f>
        <v>N.A.</v>
      </c>
      <c r="U40" s="12" t="s">
        <v>35</v>
      </c>
      <c r="V40" s="13" t="str">
        <f>_xlfn.XLOOKUP(U40,Tab_Def_Flows[Name(EN)],Tab_Def_Flows[Flow_ID],,0,)</f>
        <v>N.A.</v>
      </c>
      <c r="W40" s="12" t="s">
        <v>35</v>
      </c>
      <c r="X40" s="13" t="str">
        <f>_xlfn.XLOOKUP(W40,Tab_Def_Flows[Name(EN)],Tab_Def_Flows[Flow_ID],,0,)</f>
        <v>N.A.</v>
      </c>
      <c r="Y40" s="12" t="s">
        <v>35</v>
      </c>
      <c r="Z40" s="14" t="str">
        <f>_xlfn.XLOOKUP(Y40,Tab_Def_Flows[Name(EN)],Tab_Def_Flows[Flow_ID],,0,)</f>
        <v>N.A.</v>
      </c>
      <c r="AA40" s="192" t="s">
        <v>35</v>
      </c>
      <c r="AB40" s="13" t="str">
        <f>_xlfn.XLOOKUP(AA40,Tab_Def_Flows[Name(EN)],Tab_Def_Flows[Flow_ID],,0,)</f>
        <v>N.A.</v>
      </c>
      <c r="AC40" s="192" t="s">
        <v>35</v>
      </c>
      <c r="AD40" s="13" t="str">
        <f>_xlfn.XLOOKUP(AC40,Tab_Def_Flows[Name(EN)],Tab_Def_Flows[Flow_ID],,0,)</f>
        <v>N.A.</v>
      </c>
      <c r="AE40" s="192" t="s">
        <v>35</v>
      </c>
      <c r="AF40" s="13" t="str">
        <f>_xlfn.XLOOKUP(AE40,Tab_Def_Flows[Name(EN)],Tab_Def_Flows[Flow_ID],,0,)</f>
        <v>N.A.</v>
      </c>
      <c r="AG40" s="192" t="s">
        <v>35</v>
      </c>
      <c r="AH40" s="13" t="str">
        <f>_xlfn.XLOOKUP(AG40,Tab_Def_Flows[Name(EN)],Tab_Def_Flows[Flow_ID],,0,)</f>
        <v>N.A.</v>
      </c>
      <c r="AI40" s="192" t="s">
        <v>35</v>
      </c>
      <c r="AJ40" s="13" t="str">
        <f>_xlfn.XLOOKUP(AI40,Tab_Def_Flows[Name(EN)],Tab_Def_Flows[Flow_ID],,0,)</f>
        <v>N.A.</v>
      </c>
      <c r="AK40" s="192" t="s">
        <v>35</v>
      </c>
      <c r="AL40" s="14" t="str">
        <f>_xlfn.XLOOKUP(AK40,Tab_Def_Flows[Name(EN)],Tab_Def_Flows[Flow_ID],,0,)</f>
        <v>N.A.</v>
      </c>
    </row>
    <row r="41" spans="1:38" x14ac:dyDescent="0.25">
      <c r="A41" s="197" t="b">
        <v>0</v>
      </c>
      <c r="B41" s="45" t="s">
        <v>174</v>
      </c>
      <c r="C41" s="10" t="str">
        <f t="shared" si="0"/>
        <v>39</v>
      </c>
      <c r="D41" s="12"/>
      <c r="E41" s="12"/>
      <c r="F41" s="12"/>
      <c r="G41" s="12"/>
      <c r="H41" s="38"/>
      <c r="I41" s="192"/>
      <c r="J41" s="192"/>
      <c r="K41" s="192"/>
      <c r="L41" s="192"/>
      <c r="M41" s="192"/>
      <c r="N41" s="192"/>
      <c r="O41" s="192"/>
      <c r="P41" s="12"/>
      <c r="Q41" s="12" t="s">
        <v>35</v>
      </c>
      <c r="R41" s="13" t="str">
        <f>_xlfn.XLOOKUP(Q41,Tab_Def_Flows[Name(EN)],Tab_Def_Flows[Flow_ID],,0,)</f>
        <v>N.A.</v>
      </c>
      <c r="S41" s="12" t="s">
        <v>35</v>
      </c>
      <c r="T41" s="13" t="str">
        <f>_xlfn.XLOOKUP(S41,Tab_Def_Flows[Name(EN)],Tab_Def_Flows[Flow_ID],,0,)</f>
        <v>N.A.</v>
      </c>
      <c r="U41" s="12" t="s">
        <v>35</v>
      </c>
      <c r="V41" s="13" t="str">
        <f>_xlfn.XLOOKUP(U41,Tab_Def_Flows[Name(EN)],Tab_Def_Flows[Flow_ID],,0,)</f>
        <v>N.A.</v>
      </c>
      <c r="W41" s="12" t="s">
        <v>35</v>
      </c>
      <c r="X41" s="13" t="str">
        <f>_xlfn.XLOOKUP(W41,Tab_Def_Flows[Name(EN)],Tab_Def_Flows[Flow_ID],,0,)</f>
        <v>N.A.</v>
      </c>
      <c r="Y41" s="12" t="s">
        <v>35</v>
      </c>
      <c r="Z41" s="14" t="str">
        <f>_xlfn.XLOOKUP(Y41,Tab_Def_Flows[Name(EN)],Tab_Def_Flows[Flow_ID],,0,)</f>
        <v>N.A.</v>
      </c>
      <c r="AA41" s="192" t="s">
        <v>35</v>
      </c>
      <c r="AB41" s="13" t="str">
        <f>_xlfn.XLOOKUP(AA41,Tab_Def_Flows[Name(EN)],Tab_Def_Flows[Flow_ID],,0,)</f>
        <v>N.A.</v>
      </c>
      <c r="AC41" s="192" t="s">
        <v>35</v>
      </c>
      <c r="AD41" s="13" t="str">
        <f>_xlfn.XLOOKUP(AC41,Tab_Def_Flows[Name(EN)],Tab_Def_Flows[Flow_ID],,0,)</f>
        <v>N.A.</v>
      </c>
      <c r="AE41" s="192" t="s">
        <v>35</v>
      </c>
      <c r="AF41" s="13" t="str">
        <f>_xlfn.XLOOKUP(AE41,Tab_Def_Flows[Name(EN)],Tab_Def_Flows[Flow_ID],,0,)</f>
        <v>N.A.</v>
      </c>
      <c r="AG41" s="192" t="s">
        <v>35</v>
      </c>
      <c r="AH41" s="13" t="str">
        <f>_xlfn.XLOOKUP(AG41,Tab_Def_Flows[Name(EN)],Tab_Def_Flows[Flow_ID],,0,)</f>
        <v>N.A.</v>
      </c>
      <c r="AI41" s="192" t="s">
        <v>35</v>
      </c>
      <c r="AJ41" s="13" t="str">
        <f>_xlfn.XLOOKUP(AI41,Tab_Def_Flows[Name(EN)],Tab_Def_Flows[Flow_ID],,0,)</f>
        <v>N.A.</v>
      </c>
      <c r="AK41" s="192" t="s">
        <v>35</v>
      </c>
      <c r="AL41" s="14" t="str">
        <f>_xlfn.XLOOKUP(AK41,Tab_Def_Flows[Name(EN)],Tab_Def_Flows[Flow_ID],,0,)</f>
        <v>N.A.</v>
      </c>
    </row>
    <row r="42" spans="1:38" x14ac:dyDescent="0.25">
      <c r="A42" s="197" t="b">
        <v>0</v>
      </c>
      <c r="B42" s="45" t="s">
        <v>175</v>
      </c>
      <c r="C42" s="10" t="str">
        <f t="shared" si="0"/>
        <v>40</v>
      </c>
      <c r="D42" s="12"/>
      <c r="E42" s="12"/>
      <c r="F42" s="12"/>
      <c r="G42" s="12"/>
      <c r="H42" s="38"/>
      <c r="I42" s="192"/>
      <c r="J42" s="192"/>
      <c r="K42" s="192"/>
      <c r="L42" s="192"/>
      <c r="M42" s="192"/>
      <c r="N42" s="192"/>
      <c r="O42" s="192"/>
      <c r="P42" s="12"/>
      <c r="Q42" s="12" t="s">
        <v>35</v>
      </c>
      <c r="R42" s="13" t="str">
        <f>_xlfn.XLOOKUP(Q42,Tab_Def_Flows[Name(EN)],Tab_Def_Flows[Flow_ID],,0,)</f>
        <v>N.A.</v>
      </c>
      <c r="S42" s="12" t="s">
        <v>35</v>
      </c>
      <c r="T42" s="13" t="str">
        <f>_xlfn.XLOOKUP(S42,Tab_Def_Flows[Name(EN)],Tab_Def_Flows[Flow_ID],,0,)</f>
        <v>N.A.</v>
      </c>
      <c r="U42" s="12" t="s">
        <v>35</v>
      </c>
      <c r="V42" s="13" t="str">
        <f>_xlfn.XLOOKUP(U42,Tab_Def_Flows[Name(EN)],Tab_Def_Flows[Flow_ID],,0,)</f>
        <v>N.A.</v>
      </c>
      <c r="W42" s="12" t="s">
        <v>35</v>
      </c>
      <c r="X42" s="13" t="str">
        <f>_xlfn.XLOOKUP(W42,Tab_Def_Flows[Name(EN)],Tab_Def_Flows[Flow_ID],,0,)</f>
        <v>N.A.</v>
      </c>
      <c r="Y42" s="12" t="s">
        <v>35</v>
      </c>
      <c r="Z42" s="14" t="str">
        <f>_xlfn.XLOOKUP(Y42,Tab_Def_Flows[Name(EN)],Tab_Def_Flows[Flow_ID],,0,)</f>
        <v>N.A.</v>
      </c>
      <c r="AA42" s="192" t="s">
        <v>35</v>
      </c>
      <c r="AB42" s="13" t="str">
        <f>_xlfn.XLOOKUP(AA42,Tab_Def_Flows[Name(EN)],Tab_Def_Flows[Flow_ID],,0,)</f>
        <v>N.A.</v>
      </c>
      <c r="AC42" s="192" t="s">
        <v>35</v>
      </c>
      <c r="AD42" s="13" t="str">
        <f>_xlfn.XLOOKUP(AC42,Tab_Def_Flows[Name(EN)],Tab_Def_Flows[Flow_ID],,0,)</f>
        <v>N.A.</v>
      </c>
      <c r="AE42" s="192" t="s">
        <v>35</v>
      </c>
      <c r="AF42" s="13" t="str">
        <f>_xlfn.XLOOKUP(AE42,Tab_Def_Flows[Name(EN)],Tab_Def_Flows[Flow_ID],,0,)</f>
        <v>N.A.</v>
      </c>
      <c r="AG42" s="192" t="s">
        <v>35</v>
      </c>
      <c r="AH42" s="13" t="str">
        <f>_xlfn.XLOOKUP(AG42,Tab_Def_Flows[Name(EN)],Tab_Def_Flows[Flow_ID],,0,)</f>
        <v>N.A.</v>
      </c>
      <c r="AI42" s="192" t="s">
        <v>35</v>
      </c>
      <c r="AJ42" s="13" t="str">
        <f>_xlfn.XLOOKUP(AI42,Tab_Def_Flows[Name(EN)],Tab_Def_Flows[Flow_ID],,0,)</f>
        <v>N.A.</v>
      </c>
      <c r="AK42" s="192" t="s">
        <v>35</v>
      </c>
      <c r="AL42" s="14" t="str">
        <f>_xlfn.XLOOKUP(AK42,Tab_Def_Flows[Name(EN)],Tab_Def_Flows[Flow_ID],,0,)</f>
        <v>N.A.</v>
      </c>
    </row>
    <row r="43" spans="1:38" x14ac:dyDescent="0.25">
      <c r="A43" s="197" t="b">
        <v>0</v>
      </c>
      <c r="B43" s="45" t="s">
        <v>176</v>
      </c>
      <c r="C43" s="10" t="str">
        <f t="shared" si="0"/>
        <v>41</v>
      </c>
      <c r="D43" s="12"/>
      <c r="E43" s="12"/>
      <c r="F43" s="12"/>
      <c r="G43" s="12"/>
      <c r="H43" s="38"/>
      <c r="I43" s="192"/>
      <c r="J43" s="192"/>
      <c r="K43" s="192"/>
      <c r="L43" s="192"/>
      <c r="M43" s="192"/>
      <c r="N43" s="192"/>
      <c r="O43" s="192"/>
      <c r="P43" s="12"/>
      <c r="Q43" s="12" t="s">
        <v>35</v>
      </c>
      <c r="R43" s="13" t="str">
        <f>_xlfn.XLOOKUP(Q43,Tab_Def_Flows[Name(EN)],Tab_Def_Flows[Flow_ID],,0,)</f>
        <v>N.A.</v>
      </c>
      <c r="S43" s="12" t="s">
        <v>35</v>
      </c>
      <c r="T43" s="13" t="str">
        <f>_xlfn.XLOOKUP(S43,Tab_Def_Flows[Name(EN)],Tab_Def_Flows[Flow_ID],,0,)</f>
        <v>N.A.</v>
      </c>
      <c r="U43" s="12" t="s">
        <v>35</v>
      </c>
      <c r="V43" s="13" t="str">
        <f>_xlfn.XLOOKUP(U43,Tab_Def_Flows[Name(EN)],Tab_Def_Flows[Flow_ID],,0,)</f>
        <v>N.A.</v>
      </c>
      <c r="W43" s="12" t="s">
        <v>35</v>
      </c>
      <c r="X43" s="13" t="str">
        <f>_xlfn.XLOOKUP(W43,Tab_Def_Flows[Name(EN)],Tab_Def_Flows[Flow_ID],,0,)</f>
        <v>N.A.</v>
      </c>
      <c r="Y43" s="12" t="s">
        <v>35</v>
      </c>
      <c r="Z43" s="14" t="str">
        <f>_xlfn.XLOOKUP(Y43,Tab_Def_Flows[Name(EN)],Tab_Def_Flows[Flow_ID],,0,)</f>
        <v>N.A.</v>
      </c>
      <c r="AA43" s="192" t="s">
        <v>35</v>
      </c>
      <c r="AB43" s="13" t="str">
        <f>_xlfn.XLOOKUP(AA43,Tab_Def_Flows[Name(EN)],Tab_Def_Flows[Flow_ID],,0,)</f>
        <v>N.A.</v>
      </c>
      <c r="AC43" s="192" t="s">
        <v>35</v>
      </c>
      <c r="AD43" s="13" t="str">
        <f>_xlfn.XLOOKUP(AC43,Tab_Def_Flows[Name(EN)],Tab_Def_Flows[Flow_ID],,0,)</f>
        <v>N.A.</v>
      </c>
      <c r="AE43" s="192" t="s">
        <v>35</v>
      </c>
      <c r="AF43" s="13" t="str">
        <f>_xlfn.XLOOKUP(AE43,Tab_Def_Flows[Name(EN)],Tab_Def_Flows[Flow_ID],,0,)</f>
        <v>N.A.</v>
      </c>
      <c r="AG43" s="192" t="s">
        <v>35</v>
      </c>
      <c r="AH43" s="13" t="str">
        <f>_xlfn.XLOOKUP(AG43,Tab_Def_Flows[Name(EN)],Tab_Def_Flows[Flow_ID],,0,)</f>
        <v>N.A.</v>
      </c>
      <c r="AI43" s="192" t="s">
        <v>35</v>
      </c>
      <c r="AJ43" s="13" t="str">
        <f>_xlfn.XLOOKUP(AI43,Tab_Def_Flows[Name(EN)],Tab_Def_Flows[Flow_ID],,0,)</f>
        <v>N.A.</v>
      </c>
      <c r="AK43" s="192" t="s">
        <v>35</v>
      </c>
      <c r="AL43" s="14" t="str">
        <f>_xlfn.XLOOKUP(AK43,Tab_Def_Flows[Name(EN)],Tab_Def_Flows[Flow_ID],,0,)</f>
        <v>N.A.</v>
      </c>
    </row>
    <row r="44" spans="1:38" x14ac:dyDescent="0.25">
      <c r="A44" s="197" t="b">
        <v>0</v>
      </c>
      <c r="B44" s="45" t="s">
        <v>177</v>
      </c>
      <c r="C44" s="10" t="str">
        <f t="shared" si="0"/>
        <v>42</v>
      </c>
      <c r="D44" s="12"/>
      <c r="E44" s="12"/>
      <c r="F44" s="12"/>
      <c r="G44" s="12"/>
      <c r="H44" s="38"/>
      <c r="I44" s="192"/>
      <c r="J44" s="192"/>
      <c r="K44" s="192"/>
      <c r="L44" s="192"/>
      <c r="M44" s="192"/>
      <c r="N44" s="192"/>
      <c r="O44" s="192"/>
      <c r="P44" s="12"/>
      <c r="Q44" s="12" t="s">
        <v>35</v>
      </c>
      <c r="R44" s="13" t="str">
        <f>_xlfn.XLOOKUP(Q44,Tab_Def_Flows[Name(EN)],Tab_Def_Flows[Flow_ID],,0,)</f>
        <v>N.A.</v>
      </c>
      <c r="S44" s="12" t="s">
        <v>35</v>
      </c>
      <c r="T44" s="13" t="str">
        <f>_xlfn.XLOOKUP(S44,Tab_Def_Flows[Name(EN)],Tab_Def_Flows[Flow_ID],,0,)</f>
        <v>N.A.</v>
      </c>
      <c r="U44" s="12" t="s">
        <v>35</v>
      </c>
      <c r="V44" s="13" t="str">
        <f>_xlfn.XLOOKUP(U44,Tab_Def_Flows[Name(EN)],Tab_Def_Flows[Flow_ID],,0,)</f>
        <v>N.A.</v>
      </c>
      <c r="W44" s="12" t="s">
        <v>35</v>
      </c>
      <c r="X44" s="13" t="str">
        <f>_xlfn.XLOOKUP(W44,Tab_Def_Flows[Name(EN)],Tab_Def_Flows[Flow_ID],,0,)</f>
        <v>N.A.</v>
      </c>
      <c r="Y44" s="12" t="s">
        <v>35</v>
      </c>
      <c r="Z44" s="14" t="str">
        <f>_xlfn.XLOOKUP(Y44,Tab_Def_Flows[Name(EN)],Tab_Def_Flows[Flow_ID],,0,)</f>
        <v>N.A.</v>
      </c>
      <c r="AA44" s="192" t="s">
        <v>35</v>
      </c>
      <c r="AB44" s="13" t="str">
        <f>_xlfn.XLOOKUP(AA44,Tab_Def_Flows[Name(EN)],Tab_Def_Flows[Flow_ID],,0,)</f>
        <v>N.A.</v>
      </c>
      <c r="AC44" s="192" t="s">
        <v>35</v>
      </c>
      <c r="AD44" s="13" t="str">
        <f>_xlfn.XLOOKUP(AC44,Tab_Def_Flows[Name(EN)],Tab_Def_Flows[Flow_ID],,0,)</f>
        <v>N.A.</v>
      </c>
      <c r="AE44" s="192" t="s">
        <v>35</v>
      </c>
      <c r="AF44" s="13" t="str">
        <f>_xlfn.XLOOKUP(AE44,Tab_Def_Flows[Name(EN)],Tab_Def_Flows[Flow_ID],,0,)</f>
        <v>N.A.</v>
      </c>
      <c r="AG44" s="192" t="s">
        <v>35</v>
      </c>
      <c r="AH44" s="13" t="str">
        <f>_xlfn.XLOOKUP(AG44,Tab_Def_Flows[Name(EN)],Tab_Def_Flows[Flow_ID],,0,)</f>
        <v>N.A.</v>
      </c>
      <c r="AI44" s="192" t="s">
        <v>35</v>
      </c>
      <c r="AJ44" s="13" t="str">
        <f>_xlfn.XLOOKUP(AI44,Tab_Def_Flows[Name(EN)],Tab_Def_Flows[Flow_ID],,0,)</f>
        <v>N.A.</v>
      </c>
      <c r="AK44" s="192" t="s">
        <v>35</v>
      </c>
      <c r="AL44" s="14" t="str">
        <f>_xlfn.XLOOKUP(AK44,Tab_Def_Flows[Name(EN)],Tab_Def_Flows[Flow_ID],,0,)</f>
        <v>N.A.</v>
      </c>
    </row>
    <row r="45" spans="1:38" x14ac:dyDescent="0.25">
      <c r="A45" s="197" t="b">
        <v>0</v>
      </c>
      <c r="B45" s="45" t="s">
        <v>178</v>
      </c>
      <c r="C45" s="10" t="str">
        <f t="shared" si="0"/>
        <v>43</v>
      </c>
      <c r="D45" s="12"/>
      <c r="E45" s="12"/>
      <c r="F45" s="12"/>
      <c r="G45" s="12"/>
      <c r="H45" s="38"/>
      <c r="I45" s="192"/>
      <c r="J45" s="192"/>
      <c r="K45" s="192"/>
      <c r="L45" s="192"/>
      <c r="M45" s="192"/>
      <c r="N45" s="192"/>
      <c r="O45" s="192"/>
      <c r="P45" s="12"/>
      <c r="Q45" s="12" t="s">
        <v>35</v>
      </c>
      <c r="R45" s="13" t="str">
        <f>_xlfn.XLOOKUP(Q45,Tab_Def_Flows[Name(EN)],Tab_Def_Flows[Flow_ID],,0,)</f>
        <v>N.A.</v>
      </c>
      <c r="S45" s="12" t="s">
        <v>35</v>
      </c>
      <c r="T45" s="13" t="str">
        <f>_xlfn.XLOOKUP(S45,Tab_Def_Flows[Name(EN)],Tab_Def_Flows[Flow_ID],,0,)</f>
        <v>N.A.</v>
      </c>
      <c r="U45" s="12" t="s">
        <v>35</v>
      </c>
      <c r="V45" s="13" t="str">
        <f>_xlfn.XLOOKUP(U45,Tab_Def_Flows[Name(EN)],Tab_Def_Flows[Flow_ID],,0,)</f>
        <v>N.A.</v>
      </c>
      <c r="W45" s="12" t="s">
        <v>35</v>
      </c>
      <c r="X45" s="13" t="str">
        <f>_xlfn.XLOOKUP(W45,Tab_Def_Flows[Name(EN)],Tab_Def_Flows[Flow_ID],,0,)</f>
        <v>N.A.</v>
      </c>
      <c r="Y45" s="12" t="s">
        <v>35</v>
      </c>
      <c r="Z45" s="14" t="str">
        <f>_xlfn.XLOOKUP(Y45,Tab_Def_Flows[Name(EN)],Tab_Def_Flows[Flow_ID],,0,)</f>
        <v>N.A.</v>
      </c>
      <c r="AA45" s="192" t="s">
        <v>35</v>
      </c>
      <c r="AB45" s="13" t="str">
        <f>_xlfn.XLOOKUP(AA45,Tab_Def_Flows[Name(EN)],Tab_Def_Flows[Flow_ID],,0,)</f>
        <v>N.A.</v>
      </c>
      <c r="AC45" s="192" t="s">
        <v>35</v>
      </c>
      <c r="AD45" s="13" t="str">
        <f>_xlfn.XLOOKUP(AC45,Tab_Def_Flows[Name(EN)],Tab_Def_Flows[Flow_ID],,0,)</f>
        <v>N.A.</v>
      </c>
      <c r="AE45" s="192" t="s">
        <v>35</v>
      </c>
      <c r="AF45" s="13" t="str">
        <f>_xlfn.XLOOKUP(AE45,Tab_Def_Flows[Name(EN)],Tab_Def_Flows[Flow_ID],,0,)</f>
        <v>N.A.</v>
      </c>
      <c r="AG45" s="192" t="s">
        <v>35</v>
      </c>
      <c r="AH45" s="13" t="str">
        <f>_xlfn.XLOOKUP(AG45,Tab_Def_Flows[Name(EN)],Tab_Def_Flows[Flow_ID],,0,)</f>
        <v>N.A.</v>
      </c>
      <c r="AI45" s="192" t="s">
        <v>35</v>
      </c>
      <c r="AJ45" s="13" t="str">
        <f>_xlfn.XLOOKUP(AI45,Tab_Def_Flows[Name(EN)],Tab_Def_Flows[Flow_ID],,0,)</f>
        <v>N.A.</v>
      </c>
      <c r="AK45" s="192" t="s">
        <v>35</v>
      </c>
      <c r="AL45" s="14" t="str">
        <f>_xlfn.XLOOKUP(AK45,Tab_Def_Flows[Name(EN)],Tab_Def_Flows[Flow_ID],,0,)</f>
        <v>N.A.</v>
      </c>
    </row>
    <row r="46" spans="1:38" x14ac:dyDescent="0.25">
      <c r="A46" s="197" t="b">
        <v>0</v>
      </c>
      <c r="B46" s="45" t="s">
        <v>179</v>
      </c>
      <c r="C46" s="10" t="str">
        <f t="shared" si="0"/>
        <v>44</v>
      </c>
      <c r="D46" s="12"/>
      <c r="E46" s="12"/>
      <c r="F46" s="12"/>
      <c r="G46" s="12"/>
      <c r="H46" s="38"/>
      <c r="I46" s="192"/>
      <c r="J46" s="192"/>
      <c r="K46" s="192"/>
      <c r="L46" s="192"/>
      <c r="M46" s="192"/>
      <c r="N46" s="192"/>
      <c r="O46" s="192"/>
      <c r="P46" s="12"/>
      <c r="Q46" s="12" t="s">
        <v>35</v>
      </c>
      <c r="R46" s="13" t="str">
        <f>_xlfn.XLOOKUP(Q46,Tab_Def_Flows[Name(EN)],Tab_Def_Flows[Flow_ID],,0,)</f>
        <v>N.A.</v>
      </c>
      <c r="S46" s="12" t="s">
        <v>35</v>
      </c>
      <c r="T46" s="13" t="str">
        <f>_xlfn.XLOOKUP(S46,Tab_Def_Flows[Name(EN)],Tab_Def_Flows[Flow_ID],,0,)</f>
        <v>N.A.</v>
      </c>
      <c r="U46" s="12" t="s">
        <v>35</v>
      </c>
      <c r="V46" s="13" t="str">
        <f>_xlfn.XLOOKUP(U46,Tab_Def_Flows[Name(EN)],Tab_Def_Flows[Flow_ID],,0,)</f>
        <v>N.A.</v>
      </c>
      <c r="W46" s="12" t="s">
        <v>35</v>
      </c>
      <c r="X46" s="13" t="str">
        <f>_xlfn.XLOOKUP(W46,Tab_Def_Flows[Name(EN)],Tab_Def_Flows[Flow_ID],,0,)</f>
        <v>N.A.</v>
      </c>
      <c r="Y46" s="12" t="s">
        <v>35</v>
      </c>
      <c r="Z46" s="14" t="str">
        <f>_xlfn.XLOOKUP(Y46,Tab_Def_Flows[Name(EN)],Tab_Def_Flows[Flow_ID],,0,)</f>
        <v>N.A.</v>
      </c>
      <c r="AA46" s="192" t="s">
        <v>35</v>
      </c>
      <c r="AB46" s="13" t="str">
        <f>_xlfn.XLOOKUP(AA46,Tab_Def_Flows[Name(EN)],Tab_Def_Flows[Flow_ID],,0,)</f>
        <v>N.A.</v>
      </c>
      <c r="AC46" s="192" t="s">
        <v>35</v>
      </c>
      <c r="AD46" s="13" t="str">
        <f>_xlfn.XLOOKUP(AC46,Tab_Def_Flows[Name(EN)],Tab_Def_Flows[Flow_ID],,0,)</f>
        <v>N.A.</v>
      </c>
      <c r="AE46" s="192" t="s">
        <v>35</v>
      </c>
      <c r="AF46" s="13" t="str">
        <f>_xlfn.XLOOKUP(AE46,Tab_Def_Flows[Name(EN)],Tab_Def_Flows[Flow_ID],,0,)</f>
        <v>N.A.</v>
      </c>
      <c r="AG46" s="192" t="s">
        <v>35</v>
      </c>
      <c r="AH46" s="13" t="str">
        <f>_xlfn.XLOOKUP(AG46,Tab_Def_Flows[Name(EN)],Tab_Def_Flows[Flow_ID],,0,)</f>
        <v>N.A.</v>
      </c>
      <c r="AI46" s="192" t="s">
        <v>35</v>
      </c>
      <c r="AJ46" s="13" t="str">
        <f>_xlfn.XLOOKUP(AI46,Tab_Def_Flows[Name(EN)],Tab_Def_Flows[Flow_ID],,0,)</f>
        <v>N.A.</v>
      </c>
      <c r="AK46" s="192" t="s">
        <v>35</v>
      </c>
      <c r="AL46" s="14" t="str">
        <f>_xlfn.XLOOKUP(AK46,Tab_Def_Flows[Name(EN)],Tab_Def_Flows[Flow_ID],,0,)</f>
        <v>N.A.</v>
      </c>
    </row>
    <row r="47" spans="1:38" x14ac:dyDescent="0.25">
      <c r="A47" s="197" t="b">
        <v>0</v>
      </c>
      <c r="B47" s="45" t="s">
        <v>180</v>
      </c>
      <c r="C47" s="10" t="str">
        <f t="shared" si="0"/>
        <v>45</v>
      </c>
      <c r="D47" s="12"/>
      <c r="E47" s="12"/>
      <c r="F47" s="12"/>
      <c r="G47" s="12"/>
      <c r="H47" s="38"/>
      <c r="I47" s="192"/>
      <c r="J47" s="192"/>
      <c r="K47" s="192"/>
      <c r="L47" s="192"/>
      <c r="M47" s="192"/>
      <c r="N47" s="192"/>
      <c r="O47" s="192"/>
      <c r="P47" s="12"/>
      <c r="Q47" s="12" t="s">
        <v>35</v>
      </c>
      <c r="R47" s="13" t="str">
        <f>_xlfn.XLOOKUP(Q47,Tab_Def_Flows[Name(EN)],Tab_Def_Flows[Flow_ID],,0,)</f>
        <v>N.A.</v>
      </c>
      <c r="S47" s="12" t="s">
        <v>35</v>
      </c>
      <c r="T47" s="13" t="str">
        <f>_xlfn.XLOOKUP(S47,Tab_Def_Flows[Name(EN)],Tab_Def_Flows[Flow_ID],,0,)</f>
        <v>N.A.</v>
      </c>
      <c r="U47" s="12" t="s">
        <v>35</v>
      </c>
      <c r="V47" s="13" t="str">
        <f>_xlfn.XLOOKUP(U47,Tab_Def_Flows[Name(EN)],Tab_Def_Flows[Flow_ID],,0,)</f>
        <v>N.A.</v>
      </c>
      <c r="W47" s="12" t="s">
        <v>35</v>
      </c>
      <c r="X47" s="13" t="str">
        <f>_xlfn.XLOOKUP(W47,Tab_Def_Flows[Name(EN)],Tab_Def_Flows[Flow_ID],,0,)</f>
        <v>N.A.</v>
      </c>
      <c r="Y47" s="12" t="s">
        <v>35</v>
      </c>
      <c r="Z47" s="14" t="str">
        <f>_xlfn.XLOOKUP(Y47,Tab_Def_Flows[Name(EN)],Tab_Def_Flows[Flow_ID],,0,)</f>
        <v>N.A.</v>
      </c>
      <c r="AA47" s="192" t="s">
        <v>35</v>
      </c>
      <c r="AB47" s="13" t="str">
        <f>_xlfn.XLOOKUP(AA47,Tab_Def_Flows[Name(EN)],Tab_Def_Flows[Flow_ID],,0,)</f>
        <v>N.A.</v>
      </c>
      <c r="AC47" s="192" t="s">
        <v>35</v>
      </c>
      <c r="AD47" s="13" t="str">
        <f>_xlfn.XLOOKUP(AC47,Tab_Def_Flows[Name(EN)],Tab_Def_Flows[Flow_ID],,0,)</f>
        <v>N.A.</v>
      </c>
      <c r="AE47" s="192" t="s">
        <v>35</v>
      </c>
      <c r="AF47" s="13" t="str">
        <f>_xlfn.XLOOKUP(AE47,Tab_Def_Flows[Name(EN)],Tab_Def_Flows[Flow_ID],,0,)</f>
        <v>N.A.</v>
      </c>
      <c r="AG47" s="192" t="s">
        <v>35</v>
      </c>
      <c r="AH47" s="13" t="str">
        <f>_xlfn.XLOOKUP(AG47,Tab_Def_Flows[Name(EN)],Tab_Def_Flows[Flow_ID],,0,)</f>
        <v>N.A.</v>
      </c>
      <c r="AI47" s="192" t="s">
        <v>35</v>
      </c>
      <c r="AJ47" s="13" t="str">
        <f>_xlfn.XLOOKUP(AI47,Tab_Def_Flows[Name(EN)],Tab_Def_Flows[Flow_ID],,0,)</f>
        <v>N.A.</v>
      </c>
      <c r="AK47" s="192" t="s">
        <v>35</v>
      </c>
      <c r="AL47" s="14" t="str">
        <f>_xlfn.XLOOKUP(AK47,Tab_Def_Flows[Name(EN)],Tab_Def_Flows[Flow_ID],,0,)</f>
        <v>N.A.</v>
      </c>
    </row>
    <row r="48" spans="1:38" x14ac:dyDescent="0.25">
      <c r="A48" s="197" t="b">
        <v>0</v>
      </c>
      <c r="B48" s="45" t="s">
        <v>181</v>
      </c>
      <c r="C48" s="10" t="str">
        <f t="shared" si="0"/>
        <v>46</v>
      </c>
      <c r="D48" s="12"/>
      <c r="E48" s="12"/>
      <c r="F48" s="12"/>
      <c r="G48" s="12"/>
      <c r="H48" s="38"/>
      <c r="I48" s="192"/>
      <c r="J48" s="192"/>
      <c r="K48" s="192"/>
      <c r="L48" s="192"/>
      <c r="M48" s="192"/>
      <c r="N48" s="192"/>
      <c r="O48" s="192"/>
      <c r="P48" s="12"/>
      <c r="Q48" s="12" t="s">
        <v>35</v>
      </c>
      <c r="R48" s="13" t="str">
        <f>_xlfn.XLOOKUP(Q48,Tab_Def_Flows[Name(EN)],Tab_Def_Flows[Flow_ID],,0,)</f>
        <v>N.A.</v>
      </c>
      <c r="S48" s="12" t="s">
        <v>35</v>
      </c>
      <c r="T48" s="13" t="str">
        <f>_xlfn.XLOOKUP(S48,Tab_Def_Flows[Name(EN)],Tab_Def_Flows[Flow_ID],,0,)</f>
        <v>N.A.</v>
      </c>
      <c r="U48" s="12" t="s">
        <v>35</v>
      </c>
      <c r="V48" s="13" t="str">
        <f>_xlfn.XLOOKUP(U48,Tab_Def_Flows[Name(EN)],Tab_Def_Flows[Flow_ID],,0,)</f>
        <v>N.A.</v>
      </c>
      <c r="W48" s="12" t="s">
        <v>35</v>
      </c>
      <c r="X48" s="13" t="str">
        <f>_xlfn.XLOOKUP(W48,Tab_Def_Flows[Name(EN)],Tab_Def_Flows[Flow_ID],,0,)</f>
        <v>N.A.</v>
      </c>
      <c r="Y48" s="12" t="s">
        <v>35</v>
      </c>
      <c r="Z48" s="14" t="str">
        <f>_xlfn.XLOOKUP(Y48,Tab_Def_Flows[Name(EN)],Tab_Def_Flows[Flow_ID],,0,)</f>
        <v>N.A.</v>
      </c>
      <c r="AA48" s="192" t="s">
        <v>35</v>
      </c>
      <c r="AB48" s="13" t="str">
        <f>_xlfn.XLOOKUP(AA48,Tab_Def_Flows[Name(EN)],Tab_Def_Flows[Flow_ID],,0,)</f>
        <v>N.A.</v>
      </c>
      <c r="AC48" s="192" t="s">
        <v>35</v>
      </c>
      <c r="AD48" s="13" t="str">
        <f>_xlfn.XLOOKUP(AC48,Tab_Def_Flows[Name(EN)],Tab_Def_Flows[Flow_ID],,0,)</f>
        <v>N.A.</v>
      </c>
      <c r="AE48" s="192" t="s">
        <v>35</v>
      </c>
      <c r="AF48" s="13" t="str">
        <f>_xlfn.XLOOKUP(AE48,Tab_Def_Flows[Name(EN)],Tab_Def_Flows[Flow_ID],,0,)</f>
        <v>N.A.</v>
      </c>
      <c r="AG48" s="192" t="s">
        <v>35</v>
      </c>
      <c r="AH48" s="13" t="str">
        <f>_xlfn.XLOOKUP(AG48,Tab_Def_Flows[Name(EN)],Tab_Def_Flows[Flow_ID],,0,)</f>
        <v>N.A.</v>
      </c>
      <c r="AI48" s="192" t="s">
        <v>35</v>
      </c>
      <c r="AJ48" s="13" t="str">
        <f>_xlfn.XLOOKUP(AI48,Tab_Def_Flows[Name(EN)],Tab_Def_Flows[Flow_ID],,0,)</f>
        <v>N.A.</v>
      </c>
      <c r="AK48" s="192" t="s">
        <v>35</v>
      </c>
      <c r="AL48" s="14" t="str">
        <f>_xlfn.XLOOKUP(AK48,Tab_Def_Flows[Name(EN)],Tab_Def_Flows[Flow_ID],,0,)</f>
        <v>N.A.</v>
      </c>
    </row>
    <row r="49" spans="1:38" x14ac:dyDescent="0.25">
      <c r="A49" s="197" t="b">
        <v>0</v>
      </c>
      <c r="B49" s="45" t="s">
        <v>182</v>
      </c>
      <c r="C49" s="10" t="str">
        <f t="shared" si="0"/>
        <v>47</v>
      </c>
      <c r="D49" s="12"/>
      <c r="E49" s="12"/>
      <c r="F49" s="12"/>
      <c r="G49" s="12"/>
      <c r="H49" s="38"/>
      <c r="I49" s="192"/>
      <c r="J49" s="192"/>
      <c r="K49" s="192"/>
      <c r="L49" s="192"/>
      <c r="M49" s="192"/>
      <c r="N49" s="192"/>
      <c r="O49" s="192"/>
      <c r="P49" s="12"/>
      <c r="Q49" s="12" t="s">
        <v>35</v>
      </c>
      <c r="R49" s="13" t="str">
        <f>_xlfn.XLOOKUP(Q49,Tab_Def_Flows[Name(EN)],Tab_Def_Flows[Flow_ID],,0,)</f>
        <v>N.A.</v>
      </c>
      <c r="S49" s="12" t="s">
        <v>35</v>
      </c>
      <c r="T49" s="13" t="str">
        <f>_xlfn.XLOOKUP(S49,Tab_Def_Flows[Name(EN)],Tab_Def_Flows[Flow_ID],,0,)</f>
        <v>N.A.</v>
      </c>
      <c r="U49" s="12" t="s">
        <v>35</v>
      </c>
      <c r="V49" s="13" t="str">
        <f>_xlfn.XLOOKUP(U49,Tab_Def_Flows[Name(EN)],Tab_Def_Flows[Flow_ID],,0,)</f>
        <v>N.A.</v>
      </c>
      <c r="W49" s="12" t="s">
        <v>35</v>
      </c>
      <c r="X49" s="13" t="str">
        <f>_xlfn.XLOOKUP(W49,Tab_Def_Flows[Name(EN)],Tab_Def_Flows[Flow_ID],,0,)</f>
        <v>N.A.</v>
      </c>
      <c r="Y49" s="12" t="s">
        <v>35</v>
      </c>
      <c r="Z49" s="14" t="str">
        <f>_xlfn.XLOOKUP(Y49,Tab_Def_Flows[Name(EN)],Tab_Def_Flows[Flow_ID],,0,)</f>
        <v>N.A.</v>
      </c>
      <c r="AA49" s="192" t="s">
        <v>35</v>
      </c>
      <c r="AB49" s="13" t="str">
        <f>_xlfn.XLOOKUP(AA49,Tab_Def_Flows[Name(EN)],Tab_Def_Flows[Flow_ID],,0,)</f>
        <v>N.A.</v>
      </c>
      <c r="AC49" s="192" t="s">
        <v>35</v>
      </c>
      <c r="AD49" s="13" t="str">
        <f>_xlfn.XLOOKUP(AC49,Tab_Def_Flows[Name(EN)],Tab_Def_Flows[Flow_ID],,0,)</f>
        <v>N.A.</v>
      </c>
      <c r="AE49" s="192" t="s">
        <v>35</v>
      </c>
      <c r="AF49" s="13" t="str">
        <f>_xlfn.XLOOKUP(AE49,Tab_Def_Flows[Name(EN)],Tab_Def_Flows[Flow_ID],,0,)</f>
        <v>N.A.</v>
      </c>
      <c r="AG49" s="192" t="s">
        <v>35</v>
      </c>
      <c r="AH49" s="13" t="str">
        <f>_xlfn.XLOOKUP(AG49,Tab_Def_Flows[Name(EN)],Tab_Def_Flows[Flow_ID],,0,)</f>
        <v>N.A.</v>
      </c>
      <c r="AI49" s="192" t="s">
        <v>35</v>
      </c>
      <c r="AJ49" s="13" t="str">
        <f>_xlfn.XLOOKUP(AI49,Tab_Def_Flows[Name(EN)],Tab_Def_Flows[Flow_ID],,0,)</f>
        <v>N.A.</v>
      </c>
      <c r="AK49" s="192" t="s">
        <v>35</v>
      </c>
      <c r="AL49" s="14" t="str">
        <f>_xlfn.XLOOKUP(AK49,Tab_Def_Flows[Name(EN)],Tab_Def_Flows[Flow_ID],,0,)</f>
        <v>N.A.</v>
      </c>
    </row>
    <row r="50" spans="1:38" x14ac:dyDescent="0.25">
      <c r="A50" s="197" t="b">
        <v>0</v>
      </c>
      <c r="B50" s="45" t="s">
        <v>183</v>
      </c>
      <c r="C50" s="10" t="str">
        <f t="shared" si="0"/>
        <v>48</v>
      </c>
      <c r="D50" s="12"/>
      <c r="E50" s="12"/>
      <c r="F50" s="12"/>
      <c r="G50" s="12"/>
      <c r="H50" s="38"/>
      <c r="I50" s="192"/>
      <c r="J50" s="192"/>
      <c r="K50" s="192"/>
      <c r="L50" s="192"/>
      <c r="M50" s="192"/>
      <c r="N50" s="192"/>
      <c r="O50" s="192"/>
      <c r="P50" s="12"/>
      <c r="Q50" s="12" t="s">
        <v>35</v>
      </c>
      <c r="R50" s="13" t="str">
        <f>_xlfn.XLOOKUP(Q50,Tab_Def_Flows[Name(EN)],Tab_Def_Flows[Flow_ID],,0,)</f>
        <v>N.A.</v>
      </c>
      <c r="S50" s="12" t="s">
        <v>35</v>
      </c>
      <c r="T50" s="13" t="str">
        <f>_xlfn.XLOOKUP(S50,Tab_Def_Flows[Name(EN)],Tab_Def_Flows[Flow_ID],,0,)</f>
        <v>N.A.</v>
      </c>
      <c r="U50" s="12" t="s">
        <v>35</v>
      </c>
      <c r="V50" s="13" t="str">
        <f>_xlfn.XLOOKUP(U50,Tab_Def_Flows[Name(EN)],Tab_Def_Flows[Flow_ID],,0,)</f>
        <v>N.A.</v>
      </c>
      <c r="W50" s="12" t="s">
        <v>35</v>
      </c>
      <c r="X50" s="13" t="str">
        <f>_xlfn.XLOOKUP(W50,Tab_Def_Flows[Name(EN)],Tab_Def_Flows[Flow_ID],,0,)</f>
        <v>N.A.</v>
      </c>
      <c r="Y50" s="12" t="s">
        <v>35</v>
      </c>
      <c r="Z50" s="14" t="str">
        <f>_xlfn.XLOOKUP(Y50,Tab_Def_Flows[Name(EN)],Tab_Def_Flows[Flow_ID],,0,)</f>
        <v>N.A.</v>
      </c>
      <c r="AA50" s="192" t="s">
        <v>35</v>
      </c>
      <c r="AB50" s="13" t="str">
        <f>_xlfn.XLOOKUP(AA50,Tab_Def_Flows[Name(EN)],Tab_Def_Flows[Flow_ID],,0,)</f>
        <v>N.A.</v>
      </c>
      <c r="AC50" s="192" t="s">
        <v>35</v>
      </c>
      <c r="AD50" s="13" t="str">
        <f>_xlfn.XLOOKUP(AC50,Tab_Def_Flows[Name(EN)],Tab_Def_Flows[Flow_ID],,0,)</f>
        <v>N.A.</v>
      </c>
      <c r="AE50" s="192" t="s">
        <v>35</v>
      </c>
      <c r="AF50" s="13" t="str">
        <f>_xlfn.XLOOKUP(AE50,Tab_Def_Flows[Name(EN)],Tab_Def_Flows[Flow_ID],,0,)</f>
        <v>N.A.</v>
      </c>
      <c r="AG50" s="192" t="s">
        <v>35</v>
      </c>
      <c r="AH50" s="13" t="str">
        <f>_xlfn.XLOOKUP(AG50,Tab_Def_Flows[Name(EN)],Tab_Def_Flows[Flow_ID],,0,)</f>
        <v>N.A.</v>
      </c>
      <c r="AI50" s="192" t="s">
        <v>35</v>
      </c>
      <c r="AJ50" s="13" t="str">
        <f>_xlfn.XLOOKUP(AI50,Tab_Def_Flows[Name(EN)],Tab_Def_Flows[Flow_ID],,0,)</f>
        <v>N.A.</v>
      </c>
      <c r="AK50" s="192" t="s">
        <v>35</v>
      </c>
      <c r="AL50" s="14" t="str">
        <f>_xlfn.XLOOKUP(AK50,Tab_Def_Flows[Name(EN)],Tab_Def_Flows[Flow_ID],,0,)</f>
        <v>N.A.</v>
      </c>
    </row>
    <row r="51" spans="1:38" x14ac:dyDescent="0.25">
      <c r="A51" s="197" t="b">
        <v>0</v>
      </c>
      <c r="B51" s="45" t="s">
        <v>184</v>
      </c>
      <c r="C51" s="10" t="str">
        <f t="shared" si="0"/>
        <v>49</v>
      </c>
      <c r="D51" s="12"/>
      <c r="E51" s="12"/>
      <c r="F51" s="12"/>
      <c r="G51" s="12"/>
      <c r="H51" s="38"/>
      <c r="I51" s="192"/>
      <c r="J51" s="192"/>
      <c r="K51" s="192"/>
      <c r="L51" s="192"/>
      <c r="M51" s="192"/>
      <c r="N51" s="192"/>
      <c r="O51" s="192"/>
      <c r="P51" s="12"/>
      <c r="Q51" s="12" t="s">
        <v>35</v>
      </c>
      <c r="R51" s="13" t="str">
        <f>_xlfn.XLOOKUP(Q51,Tab_Def_Flows[Name(EN)],Tab_Def_Flows[Flow_ID],,0,)</f>
        <v>N.A.</v>
      </c>
      <c r="S51" s="12" t="s">
        <v>35</v>
      </c>
      <c r="T51" s="13" t="str">
        <f>_xlfn.XLOOKUP(S51,Tab_Def_Flows[Name(EN)],Tab_Def_Flows[Flow_ID],,0,)</f>
        <v>N.A.</v>
      </c>
      <c r="U51" s="12" t="s">
        <v>35</v>
      </c>
      <c r="V51" s="13" t="str">
        <f>_xlfn.XLOOKUP(U51,Tab_Def_Flows[Name(EN)],Tab_Def_Flows[Flow_ID],,0,)</f>
        <v>N.A.</v>
      </c>
      <c r="W51" s="12" t="s">
        <v>35</v>
      </c>
      <c r="X51" s="13" t="str">
        <f>_xlfn.XLOOKUP(W51,Tab_Def_Flows[Name(EN)],Tab_Def_Flows[Flow_ID],,0,)</f>
        <v>N.A.</v>
      </c>
      <c r="Y51" s="12" t="s">
        <v>35</v>
      </c>
      <c r="Z51" s="14" t="str">
        <f>_xlfn.XLOOKUP(Y51,Tab_Def_Flows[Name(EN)],Tab_Def_Flows[Flow_ID],,0,)</f>
        <v>N.A.</v>
      </c>
      <c r="AA51" s="192" t="s">
        <v>35</v>
      </c>
      <c r="AB51" s="13" t="str">
        <f>_xlfn.XLOOKUP(AA51,Tab_Def_Flows[Name(EN)],Tab_Def_Flows[Flow_ID],,0,)</f>
        <v>N.A.</v>
      </c>
      <c r="AC51" s="192" t="s">
        <v>35</v>
      </c>
      <c r="AD51" s="13" t="str">
        <f>_xlfn.XLOOKUP(AC51,Tab_Def_Flows[Name(EN)],Tab_Def_Flows[Flow_ID],,0,)</f>
        <v>N.A.</v>
      </c>
      <c r="AE51" s="192" t="s">
        <v>35</v>
      </c>
      <c r="AF51" s="13" t="str">
        <f>_xlfn.XLOOKUP(AE51,Tab_Def_Flows[Name(EN)],Tab_Def_Flows[Flow_ID],,0,)</f>
        <v>N.A.</v>
      </c>
      <c r="AG51" s="192" t="s">
        <v>35</v>
      </c>
      <c r="AH51" s="13" t="str">
        <f>_xlfn.XLOOKUP(AG51,Tab_Def_Flows[Name(EN)],Tab_Def_Flows[Flow_ID],,0,)</f>
        <v>N.A.</v>
      </c>
      <c r="AI51" s="192" t="s">
        <v>35</v>
      </c>
      <c r="AJ51" s="13" t="str">
        <f>_xlfn.XLOOKUP(AI51,Tab_Def_Flows[Name(EN)],Tab_Def_Flows[Flow_ID],,0,)</f>
        <v>N.A.</v>
      </c>
      <c r="AK51" s="192" t="s">
        <v>35</v>
      </c>
      <c r="AL51" s="14" t="str">
        <f>_xlfn.XLOOKUP(AK51,Tab_Def_Flows[Name(EN)],Tab_Def_Flows[Flow_ID],,0,)</f>
        <v>N.A.</v>
      </c>
    </row>
    <row r="52" spans="1:38" x14ac:dyDescent="0.25">
      <c r="A52" s="197" t="b">
        <v>0</v>
      </c>
      <c r="B52" s="45" t="s">
        <v>185</v>
      </c>
      <c r="C52" s="10" t="str">
        <f t="shared" si="0"/>
        <v>50</v>
      </c>
      <c r="D52" s="12"/>
      <c r="E52" s="12"/>
      <c r="F52" s="12"/>
      <c r="G52" s="12"/>
      <c r="H52" s="38"/>
      <c r="I52" s="192"/>
      <c r="J52" s="192"/>
      <c r="K52" s="192"/>
      <c r="L52" s="192"/>
      <c r="M52" s="192"/>
      <c r="N52" s="192"/>
      <c r="O52" s="192"/>
      <c r="P52" s="12"/>
      <c r="Q52" s="12" t="s">
        <v>35</v>
      </c>
      <c r="R52" s="13" t="str">
        <f>_xlfn.XLOOKUP(Q52,Tab_Def_Flows[Name(EN)],Tab_Def_Flows[Flow_ID],,0,)</f>
        <v>N.A.</v>
      </c>
      <c r="S52" s="12" t="s">
        <v>35</v>
      </c>
      <c r="T52" s="13" t="str">
        <f>_xlfn.XLOOKUP(S52,Tab_Def_Flows[Name(EN)],Tab_Def_Flows[Flow_ID],,0,)</f>
        <v>N.A.</v>
      </c>
      <c r="U52" s="12" t="s">
        <v>35</v>
      </c>
      <c r="V52" s="13" t="str">
        <f>_xlfn.XLOOKUP(U52,Tab_Def_Flows[Name(EN)],Tab_Def_Flows[Flow_ID],,0,)</f>
        <v>N.A.</v>
      </c>
      <c r="W52" s="12" t="s">
        <v>35</v>
      </c>
      <c r="X52" s="13" t="str">
        <f>_xlfn.XLOOKUP(W52,Tab_Def_Flows[Name(EN)],Tab_Def_Flows[Flow_ID],,0,)</f>
        <v>N.A.</v>
      </c>
      <c r="Y52" s="12" t="s">
        <v>35</v>
      </c>
      <c r="Z52" s="14" t="str">
        <f>_xlfn.XLOOKUP(Y52,Tab_Def_Flows[Name(EN)],Tab_Def_Flows[Flow_ID],,0,)</f>
        <v>N.A.</v>
      </c>
      <c r="AA52" s="192" t="s">
        <v>35</v>
      </c>
      <c r="AB52" s="13" t="str">
        <f>_xlfn.XLOOKUP(AA52,Tab_Def_Flows[Name(EN)],Tab_Def_Flows[Flow_ID],,0,)</f>
        <v>N.A.</v>
      </c>
      <c r="AC52" s="192" t="s">
        <v>35</v>
      </c>
      <c r="AD52" s="13" t="str">
        <f>_xlfn.XLOOKUP(AC52,Tab_Def_Flows[Name(EN)],Tab_Def_Flows[Flow_ID],,0,)</f>
        <v>N.A.</v>
      </c>
      <c r="AE52" s="192" t="s">
        <v>35</v>
      </c>
      <c r="AF52" s="13" t="str">
        <f>_xlfn.XLOOKUP(AE52,Tab_Def_Flows[Name(EN)],Tab_Def_Flows[Flow_ID],,0,)</f>
        <v>N.A.</v>
      </c>
      <c r="AG52" s="192" t="s">
        <v>35</v>
      </c>
      <c r="AH52" s="13" t="str">
        <f>_xlfn.XLOOKUP(AG52,Tab_Def_Flows[Name(EN)],Tab_Def_Flows[Flow_ID],,0,)</f>
        <v>N.A.</v>
      </c>
      <c r="AI52" s="192" t="s">
        <v>35</v>
      </c>
      <c r="AJ52" s="13" t="str">
        <f>_xlfn.XLOOKUP(AI52,Tab_Def_Flows[Name(EN)],Tab_Def_Flows[Flow_ID],,0,)</f>
        <v>N.A.</v>
      </c>
      <c r="AK52" s="192" t="s">
        <v>35</v>
      </c>
      <c r="AL52" s="14" t="str">
        <f>_xlfn.XLOOKUP(AK52,Tab_Def_Flows[Name(EN)],Tab_Def_Flows[Flow_ID],,0,)</f>
        <v>N.A.</v>
      </c>
    </row>
    <row r="53" spans="1:38" x14ac:dyDescent="0.25">
      <c r="A53" s="197" t="b">
        <v>0</v>
      </c>
      <c r="B53" s="45" t="s">
        <v>186</v>
      </c>
      <c r="C53" s="10" t="str">
        <f t="shared" si="0"/>
        <v>51</v>
      </c>
      <c r="D53" s="12"/>
      <c r="E53" s="12"/>
      <c r="F53" s="12"/>
      <c r="G53" s="12"/>
      <c r="H53" s="38"/>
      <c r="I53" s="192"/>
      <c r="J53" s="192"/>
      <c r="K53" s="192"/>
      <c r="L53" s="192"/>
      <c r="M53" s="192"/>
      <c r="N53" s="192"/>
      <c r="O53" s="192"/>
      <c r="P53" s="12"/>
      <c r="Q53" s="12" t="s">
        <v>35</v>
      </c>
      <c r="R53" s="13" t="str">
        <f>_xlfn.XLOOKUP(Q53,Tab_Def_Flows[Name(EN)],Tab_Def_Flows[Flow_ID],,0,)</f>
        <v>N.A.</v>
      </c>
      <c r="S53" s="12" t="s">
        <v>35</v>
      </c>
      <c r="T53" s="13" t="str">
        <f>_xlfn.XLOOKUP(S53,Tab_Def_Flows[Name(EN)],Tab_Def_Flows[Flow_ID],,0,)</f>
        <v>N.A.</v>
      </c>
      <c r="U53" s="12" t="s">
        <v>35</v>
      </c>
      <c r="V53" s="13" t="str">
        <f>_xlfn.XLOOKUP(U53,Tab_Def_Flows[Name(EN)],Tab_Def_Flows[Flow_ID],,0,)</f>
        <v>N.A.</v>
      </c>
      <c r="W53" s="12" t="s">
        <v>35</v>
      </c>
      <c r="X53" s="13" t="str">
        <f>_xlfn.XLOOKUP(W53,Tab_Def_Flows[Name(EN)],Tab_Def_Flows[Flow_ID],,0,)</f>
        <v>N.A.</v>
      </c>
      <c r="Y53" s="12" t="s">
        <v>35</v>
      </c>
      <c r="Z53" s="14" t="str">
        <f>_xlfn.XLOOKUP(Y53,Tab_Def_Flows[Name(EN)],Tab_Def_Flows[Flow_ID],,0,)</f>
        <v>N.A.</v>
      </c>
      <c r="AA53" s="192" t="s">
        <v>35</v>
      </c>
      <c r="AB53" s="13" t="str">
        <f>_xlfn.XLOOKUP(AA53,Tab_Def_Flows[Name(EN)],Tab_Def_Flows[Flow_ID],,0,)</f>
        <v>N.A.</v>
      </c>
      <c r="AC53" s="192" t="s">
        <v>35</v>
      </c>
      <c r="AD53" s="13" t="str">
        <f>_xlfn.XLOOKUP(AC53,Tab_Def_Flows[Name(EN)],Tab_Def_Flows[Flow_ID],,0,)</f>
        <v>N.A.</v>
      </c>
      <c r="AE53" s="192" t="s">
        <v>35</v>
      </c>
      <c r="AF53" s="13" t="str">
        <f>_xlfn.XLOOKUP(AE53,Tab_Def_Flows[Name(EN)],Tab_Def_Flows[Flow_ID],,0,)</f>
        <v>N.A.</v>
      </c>
      <c r="AG53" s="192" t="s">
        <v>35</v>
      </c>
      <c r="AH53" s="13" t="str">
        <f>_xlfn.XLOOKUP(AG53,Tab_Def_Flows[Name(EN)],Tab_Def_Flows[Flow_ID],,0,)</f>
        <v>N.A.</v>
      </c>
      <c r="AI53" s="192" t="s">
        <v>35</v>
      </c>
      <c r="AJ53" s="13" t="str">
        <f>_xlfn.XLOOKUP(AI53,Tab_Def_Flows[Name(EN)],Tab_Def_Flows[Flow_ID],,0,)</f>
        <v>N.A.</v>
      </c>
      <c r="AK53" s="192" t="s">
        <v>35</v>
      </c>
      <c r="AL53" s="14" t="str">
        <f>_xlfn.XLOOKUP(AK53,Tab_Def_Flows[Name(EN)],Tab_Def_Flows[Flow_ID],,0,)</f>
        <v>N.A.</v>
      </c>
    </row>
    <row r="54" spans="1:38" x14ac:dyDescent="0.25">
      <c r="A54" s="197" t="b">
        <v>0</v>
      </c>
      <c r="B54" s="45" t="s">
        <v>187</v>
      </c>
      <c r="C54" s="10" t="str">
        <f t="shared" si="0"/>
        <v>52</v>
      </c>
      <c r="D54" s="12"/>
      <c r="E54" s="12"/>
      <c r="F54" s="12"/>
      <c r="G54" s="12"/>
      <c r="H54" s="38"/>
      <c r="I54" s="192"/>
      <c r="J54" s="192"/>
      <c r="K54" s="192"/>
      <c r="L54" s="192"/>
      <c r="M54" s="192"/>
      <c r="N54" s="192"/>
      <c r="O54" s="192"/>
      <c r="P54" s="12"/>
      <c r="Q54" s="12" t="s">
        <v>35</v>
      </c>
      <c r="R54" s="13" t="str">
        <f>_xlfn.XLOOKUP(Q54,Tab_Def_Flows[Name(EN)],Tab_Def_Flows[Flow_ID],,0,)</f>
        <v>N.A.</v>
      </c>
      <c r="S54" s="12" t="s">
        <v>35</v>
      </c>
      <c r="T54" s="13" t="str">
        <f>_xlfn.XLOOKUP(S54,Tab_Def_Flows[Name(EN)],Tab_Def_Flows[Flow_ID],,0,)</f>
        <v>N.A.</v>
      </c>
      <c r="U54" s="12" t="s">
        <v>35</v>
      </c>
      <c r="V54" s="13" t="str">
        <f>_xlfn.XLOOKUP(U54,Tab_Def_Flows[Name(EN)],Tab_Def_Flows[Flow_ID],,0,)</f>
        <v>N.A.</v>
      </c>
      <c r="W54" s="12" t="s">
        <v>35</v>
      </c>
      <c r="X54" s="13" t="str">
        <f>_xlfn.XLOOKUP(W54,Tab_Def_Flows[Name(EN)],Tab_Def_Flows[Flow_ID],,0,)</f>
        <v>N.A.</v>
      </c>
      <c r="Y54" s="12" t="s">
        <v>35</v>
      </c>
      <c r="Z54" s="14" t="str">
        <f>_xlfn.XLOOKUP(Y54,Tab_Def_Flows[Name(EN)],Tab_Def_Flows[Flow_ID],,0,)</f>
        <v>N.A.</v>
      </c>
      <c r="AA54" s="192" t="s">
        <v>35</v>
      </c>
      <c r="AB54" s="13" t="str">
        <f>_xlfn.XLOOKUP(AA54,Tab_Def_Flows[Name(EN)],Tab_Def_Flows[Flow_ID],,0,)</f>
        <v>N.A.</v>
      </c>
      <c r="AC54" s="192" t="s">
        <v>35</v>
      </c>
      <c r="AD54" s="13" t="str">
        <f>_xlfn.XLOOKUP(AC54,Tab_Def_Flows[Name(EN)],Tab_Def_Flows[Flow_ID],,0,)</f>
        <v>N.A.</v>
      </c>
      <c r="AE54" s="192" t="s">
        <v>35</v>
      </c>
      <c r="AF54" s="13" t="str">
        <f>_xlfn.XLOOKUP(AE54,Tab_Def_Flows[Name(EN)],Tab_Def_Flows[Flow_ID],,0,)</f>
        <v>N.A.</v>
      </c>
      <c r="AG54" s="192" t="s">
        <v>35</v>
      </c>
      <c r="AH54" s="13" t="str">
        <f>_xlfn.XLOOKUP(AG54,Tab_Def_Flows[Name(EN)],Tab_Def_Flows[Flow_ID],,0,)</f>
        <v>N.A.</v>
      </c>
      <c r="AI54" s="192" t="s">
        <v>35</v>
      </c>
      <c r="AJ54" s="13" t="str">
        <f>_xlfn.XLOOKUP(AI54,Tab_Def_Flows[Name(EN)],Tab_Def_Flows[Flow_ID],,0,)</f>
        <v>N.A.</v>
      </c>
      <c r="AK54" s="192" t="s">
        <v>35</v>
      </c>
      <c r="AL54" s="14" t="str">
        <f>_xlfn.XLOOKUP(AK54,Tab_Def_Flows[Name(EN)],Tab_Def_Flows[Flow_ID],,0,)</f>
        <v>N.A.</v>
      </c>
    </row>
    <row r="55" spans="1:38" x14ac:dyDescent="0.25">
      <c r="A55" s="197" t="b">
        <v>0</v>
      </c>
      <c r="B55" s="45" t="s">
        <v>188</v>
      </c>
      <c r="C55" s="10" t="str">
        <f t="shared" si="0"/>
        <v>53</v>
      </c>
      <c r="D55" s="12"/>
      <c r="E55" s="12"/>
      <c r="F55" s="12"/>
      <c r="G55" s="12"/>
      <c r="H55" s="38"/>
      <c r="I55" s="192"/>
      <c r="J55" s="192"/>
      <c r="K55" s="192"/>
      <c r="L55" s="192"/>
      <c r="M55" s="192"/>
      <c r="N55" s="192"/>
      <c r="O55" s="192"/>
      <c r="P55" s="12"/>
      <c r="Q55" s="12" t="s">
        <v>35</v>
      </c>
      <c r="R55" s="13" t="str">
        <f>_xlfn.XLOOKUP(Q55,Tab_Def_Flows[Name(EN)],Tab_Def_Flows[Flow_ID],,0,)</f>
        <v>N.A.</v>
      </c>
      <c r="S55" s="12" t="s">
        <v>35</v>
      </c>
      <c r="T55" s="13" t="str">
        <f>_xlfn.XLOOKUP(S55,Tab_Def_Flows[Name(EN)],Tab_Def_Flows[Flow_ID],,0,)</f>
        <v>N.A.</v>
      </c>
      <c r="U55" s="12" t="s">
        <v>35</v>
      </c>
      <c r="V55" s="13" t="str">
        <f>_xlfn.XLOOKUP(U55,Tab_Def_Flows[Name(EN)],Tab_Def_Flows[Flow_ID],,0,)</f>
        <v>N.A.</v>
      </c>
      <c r="W55" s="12" t="s">
        <v>35</v>
      </c>
      <c r="X55" s="13" t="str">
        <f>_xlfn.XLOOKUP(W55,Tab_Def_Flows[Name(EN)],Tab_Def_Flows[Flow_ID],,0,)</f>
        <v>N.A.</v>
      </c>
      <c r="Y55" s="12" t="s">
        <v>35</v>
      </c>
      <c r="Z55" s="14" t="str">
        <f>_xlfn.XLOOKUP(Y55,Tab_Def_Flows[Name(EN)],Tab_Def_Flows[Flow_ID],,0,)</f>
        <v>N.A.</v>
      </c>
      <c r="AA55" s="192" t="s">
        <v>35</v>
      </c>
      <c r="AB55" s="13" t="str">
        <f>_xlfn.XLOOKUP(AA55,Tab_Def_Flows[Name(EN)],Tab_Def_Flows[Flow_ID],,0,)</f>
        <v>N.A.</v>
      </c>
      <c r="AC55" s="192" t="s">
        <v>35</v>
      </c>
      <c r="AD55" s="13" t="str">
        <f>_xlfn.XLOOKUP(AC55,Tab_Def_Flows[Name(EN)],Tab_Def_Flows[Flow_ID],,0,)</f>
        <v>N.A.</v>
      </c>
      <c r="AE55" s="192" t="s">
        <v>35</v>
      </c>
      <c r="AF55" s="13" t="str">
        <f>_xlfn.XLOOKUP(AE55,Tab_Def_Flows[Name(EN)],Tab_Def_Flows[Flow_ID],,0,)</f>
        <v>N.A.</v>
      </c>
      <c r="AG55" s="192" t="s">
        <v>35</v>
      </c>
      <c r="AH55" s="13" t="str">
        <f>_xlfn.XLOOKUP(AG55,Tab_Def_Flows[Name(EN)],Tab_Def_Flows[Flow_ID],,0,)</f>
        <v>N.A.</v>
      </c>
      <c r="AI55" s="192" t="s">
        <v>35</v>
      </c>
      <c r="AJ55" s="13" t="str">
        <f>_xlfn.XLOOKUP(AI55,Tab_Def_Flows[Name(EN)],Tab_Def_Flows[Flow_ID],,0,)</f>
        <v>N.A.</v>
      </c>
      <c r="AK55" s="192" t="s">
        <v>35</v>
      </c>
      <c r="AL55" s="14" t="str">
        <f>_xlfn.XLOOKUP(AK55,Tab_Def_Flows[Name(EN)],Tab_Def_Flows[Flow_ID],,0,)</f>
        <v>N.A.</v>
      </c>
    </row>
    <row r="56" spans="1:38" x14ac:dyDescent="0.25">
      <c r="A56" s="197" t="b">
        <v>0</v>
      </c>
      <c r="B56" s="45" t="s">
        <v>189</v>
      </c>
      <c r="C56" s="10" t="str">
        <f t="shared" si="0"/>
        <v>54</v>
      </c>
      <c r="D56" s="12"/>
      <c r="E56" s="12"/>
      <c r="F56" s="12"/>
      <c r="G56" s="12"/>
      <c r="H56" s="38"/>
      <c r="I56" s="192"/>
      <c r="J56" s="192"/>
      <c r="K56" s="192"/>
      <c r="L56" s="192"/>
      <c r="M56" s="192"/>
      <c r="N56" s="192"/>
      <c r="O56" s="192"/>
      <c r="P56" s="12"/>
      <c r="Q56" s="12"/>
      <c r="R56" s="10" t="str">
        <f>_xlfn.XLOOKUP(Q56,Tab_Def_Flows[Name(EN)],Tab_Def_Flows[Flow_ID],,0,)</f>
        <v>F_12_12</v>
      </c>
      <c r="S56" s="12"/>
      <c r="T56" s="10" t="str">
        <f>_xlfn.XLOOKUP(S56,Tab_Def_Flows[Name(EN)],Tab_Def_Flows[Flow_ID],,0,)</f>
        <v>F_12_12</v>
      </c>
      <c r="U56" s="12"/>
      <c r="V56" s="10" t="str">
        <f>_xlfn.XLOOKUP(U56,Tab_Def_Flows[Name(EN)],Tab_Def_Flows[Flow_ID],,0,)</f>
        <v>F_12_12</v>
      </c>
      <c r="W56" s="12"/>
      <c r="X56" s="10" t="str">
        <f>_xlfn.XLOOKUP(W56,Tab_Def_Flows[Name(EN)],Tab_Def_Flows[Flow_ID],,0,)</f>
        <v>F_12_12</v>
      </c>
      <c r="Y56" s="12"/>
      <c r="Z56" s="21" t="str">
        <f>_xlfn.XLOOKUP(Y56,Tab_Def_Flows[Name(EN)],Tab_Def_Flows[Flow_ID],,0,)</f>
        <v>F_12_12</v>
      </c>
      <c r="AA56" s="192"/>
      <c r="AB56" s="10" t="str">
        <f>_xlfn.XLOOKUP(AA56,Tab_Def_Flows[Name(EN)],Tab_Def_Flows[Flow_ID],,0,)</f>
        <v>F_12_12</v>
      </c>
      <c r="AC56" s="192"/>
      <c r="AD56" s="10" t="str">
        <f>_xlfn.XLOOKUP(AC56,Tab_Def_Flows[Name(EN)],Tab_Def_Flows[Flow_ID],,0,)</f>
        <v>F_12_12</v>
      </c>
      <c r="AE56" s="192" t="s">
        <v>35</v>
      </c>
      <c r="AF56" s="10" t="str">
        <f>_xlfn.XLOOKUP(AE56,Tab_Def_Flows[Name(EN)],Tab_Def_Flows[Flow_ID],,0,)</f>
        <v>N.A.</v>
      </c>
      <c r="AG56" s="192"/>
      <c r="AH56" s="10" t="str">
        <f>_xlfn.XLOOKUP(AG56,Tab_Def_Flows[Name(EN)],Tab_Def_Flows[Flow_ID],,0,)</f>
        <v>F_12_12</v>
      </c>
      <c r="AI56" s="192"/>
      <c r="AJ56" s="10" t="str">
        <f>_xlfn.XLOOKUP(AI56,Tab_Def_Flows[Name(EN)],Tab_Def_Flows[Flow_ID],,0,)</f>
        <v>F_12_12</v>
      </c>
      <c r="AK56" s="192"/>
      <c r="AL56" s="14" t="str">
        <f>_xlfn.XLOOKUP(AK56,Tab_Def_Flows[Name(EN)],Tab_Def_Flows[Flow_ID],,0,)</f>
        <v>F_12_12</v>
      </c>
    </row>
    <row r="57" spans="1:38" x14ac:dyDescent="0.25">
      <c r="A57" s="197" t="b">
        <v>0</v>
      </c>
      <c r="B57" s="45" t="s">
        <v>190</v>
      </c>
      <c r="C57" s="10" t="str">
        <f t="shared" si="0"/>
        <v>55</v>
      </c>
      <c r="D57" s="12"/>
      <c r="E57" s="12"/>
      <c r="F57" s="12"/>
      <c r="G57" s="12"/>
      <c r="H57" s="38"/>
      <c r="I57" s="192"/>
      <c r="J57" s="192"/>
      <c r="K57" s="192"/>
      <c r="L57" s="192"/>
      <c r="M57" s="192"/>
      <c r="N57" s="192"/>
      <c r="O57" s="192"/>
      <c r="P57" s="12"/>
      <c r="Q57" s="12"/>
      <c r="R57" s="10" t="str">
        <f>_xlfn.XLOOKUP(Q57,Tab_Def_Flows[Name(EN)],Tab_Def_Flows[Flow_ID],,0,)</f>
        <v>F_12_12</v>
      </c>
      <c r="S57" s="12"/>
      <c r="T57" s="10" t="str">
        <f>_xlfn.XLOOKUP(S57,Tab_Def_Flows[Name(EN)],Tab_Def_Flows[Flow_ID],,0,)</f>
        <v>F_12_12</v>
      </c>
      <c r="U57" s="12"/>
      <c r="V57" s="10" t="str">
        <f>_xlfn.XLOOKUP(U57,Tab_Def_Flows[Name(EN)],Tab_Def_Flows[Flow_ID],,0,)</f>
        <v>F_12_12</v>
      </c>
      <c r="W57" s="12"/>
      <c r="X57" s="10" t="str">
        <f>_xlfn.XLOOKUP(W57,Tab_Def_Flows[Name(EN)],Tab_Def_Flows[Flow_ID],,0,)</f>
        <v>F_12_12</v>
      </c>
      <c r="Y57" s="12"/>
      <c r="Z57" s="22" t="str">
        <f>_xlfn.XLOOKUP(Y57,Tab_Def_Flows[Name(EN)],Tab_Def_Flows[Flow_ID],,0,)</f>
        <v>F_12_12</v>
      </c>
      <c r="AA57" s="192"/>
      <c r="AB57" s="10" t="str">
        <f>_xlfn.XLOOKUP(AA57,Tab_Def_Flows[Name(EN)],Tab_Def_Flows[Flow_ID],,0,)</f>
        <v>F_12_12</v>
      </c>
      <c r="AC57" s="192"/>
      <c r="AD57" s="10" t="str">
        <f>_xlfn.XLOOKUP(AC57,Tab_Def_Flows[Name(EN)],Tab_Def_Flows[Flow_ID],,0,)</f>
        <v>F_12_12</v>
      </c>
      <c r="AE57" s="192" t="s">
        <v>35</v>
      </c>
      <c r="AF57" s="10" t="str">
        <f>_xlfn.XLOOKUP(AE57,Tab_Def_Flows[Name(EN)],Tab_Def_Flows[Flow_ID],,0,)</f>
        <v>N.A.</v>
      </c>
      <c r="AG57" s="192"/>
      <c r="AH57" s="10" t="str">
        <f>_xlfn.XLOOKUP(AG57,Tab_Def_Flows[Name(EN)],Tab_Def_Flows[Flow_ID],,0,)</f>
        <v>F_12_12</v>
      </c>
      <c r="AI57" s="192"/>
      <c r="AJ57" s="10" t="str">
        <f>_xlfn.XLOOKUP(AI57,Tab_Def_Flows[Name(EN)],Tab_Def_Flows[Flow_ID],,0,)</f>
        <v>F_12_12</v>
      </c>
      <c r="AK57" s="192"/>
      <c r="AL57" s="14" t="str">
        <f>_xlfn.XLOOKUP(AK57,Tab_Def_Flows[Name(EN)],Tab_Def_Flows[Flow_ID],,0,)</f>
        <v>F_12_12</v>
      </c>
    </row>
    <row r="58" spans="1:38" x14ac:dyDescent="0.25">
      <c r="A58" s="197" t="b">
        <v>0</v>
      </c>
      <c r="B58" s="45" t="s">
        <v>191</v>
      </c>
      <c r="C58" s="10" t="str">
        <f t="shared" si="0"/>
        <v>56</v>
      </c>
      <c r="D58" s="12"/>
      <c r="E58" s="12"/>
      <c r="F58" s="12"/>
      <c r="G58" s="12"/>
      <c r="H58" s="38"/>
      <c r="I58" s="192"/>
      <c r="J58" s="192"/>
      <c r="K58" s="192"/>
      <c r="L58" s="192"/>
      <c r="M58" s="192"/>
      <c r="N58" s="192"/>
      <c r="O58" s="192"/>
      <c r="P58" s="189"/>
      <c r="Q58" s="12" t="s">
        <v>35</v>
      </c>
      <c r="R58" s="13" t="str">
        <f>_xlfn.XLOOKUP(Q58,Tab_Def_Flows[Name(EN)],Tab_Def_Flows[Flow_ID],,0,)</f>
        <v>N.A.</v>
      </c>
      <c r="S58" s="12" t="s">
        <v>35</v>
      </c>
      <c r="T58" s="13" t="str">
        <f>_xlfn.XLOOKUP(S58,Tab_Def_Flows[Name(EN)],Tab_Def_Flows[Flow_ID],,0,)</f>
        <v>N.A.</v>
      </c>
      <c r="U58" s="12" t="s">
        <v>35</v>
      </c>
      <c r="V58" s="13" t="str">
        <f>_xlfn.XLOOKUP(U58,Tab_Def_Flows[Name(EN)],Tab_Def_Flows[Flow_ID],,0,)</f>
        <v>N.A.</v>
      </c>
      <c r="W58" s="12" t="s">
        <v>35</v>
      </c>
      <c r="X58" s="13" t="str">
        <f>_xlfn.XLOOKUP(W58,Tab_Def_Flows[Name(EN)],Tab_Def_Flows[Flow_ID],,0,)</f>
        <v>N.A.</v>
      </c>
      <c r="Y58" s="12" t="s">
        <v>35</v>
      </c>
      <c r="Z58" s="14" t="str">
        <f>_xlfn.XLOOKUP(Y58,Tab_Def_Flows[Name(EN)],Tab_Def_Flows[Flow_ID],,0,)</f>
        <v>N.A.</v>
      </c>
      <c r="AA58" s="192" t="s">
        <v>35</v>
      </c>
      <c r="AB58" s="13" t="str">
        <f>_xlfn.XLOOKUP(AA58,Tab_Def_Flows[Name(EN)],Tab_Def_Flows[Flow_ID],,0,)</f>
        <v>N.A.</v>
      </c>
      <c r="AC58" s="192" t="s">
        <v>35</v>
      </c>
      <c r="AD58" s="13" t="str">
        <f>_xlfn.XLOOKUP(AC58,Tab_Def_Flows[Name(EN)],Tab_Def_Flows[Flow_ID],,0,)</f>
        <v>N.A.</v>
      </c>
      <c r="AE58" s="192" t="s">
        <v>35</v>
      </c>
      <c r="AF58" s="13" t="str">
        <f>_xlfn.XLOOKUP(AE58,Tab_Def_Flows[Name(EN)],Tab_Def_Flows[Flow_ID],,0,)</f>
        <v>N.A.</v>
      </c>
      <c r="AG58" s="192" t="s">
        <v>35</v>
      </c>
      <c r="AH58" s="13" t="str">
        <f>_xlfn.XLOOKUP(AG58,Tab_Def_Flows[Name(EN)],Tab_Def_Flows[Flow_ID],,0,)</f>
        <v>N.A.</v>
      </c>
      <c r="AI58" s="192" t="s">
        <v>35</v>
      </c>
      <c r="AJ58" s="13" t="str">
        <f>_xlfn.XLOOKUP(AI58,Tab_Def_Flows[Name(EN)],Tab_Def_Flows[Flow_ID],,0,)</f>
        <v>N.A.</v>
      </c>
      <c r="AK58" s="192" t="s">
        <v>35</v>
      </c>
      <c r="AL58" s="14" t="str">
        <f>_xlfn.XLOOKUP(AK58,Tab_Def_Flows[Name(EN)],Tab_Def_Flows[Flow_ID],,0,)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F2:F58</xm:sqref>
        </x14:dataValidation>
        <x14:dataValidation type="list" allowBlank="1" showInputMessage="1" showErrorMessage="1" xr:uid="{291A32E8-7F61-4A8B-A05D-9A0A09455503}">
          <x14:formula1>
            <xm:f>'1_1_Definition_Flows'!$D$11:$D$83</xm:f>
          </x14:formula1>
          <xm:sqref>W1:W1048576 Y1:Y1048576 U1:U1048576 AK2:AK58 Q2:Q58 AI2:AI58 AA56:AA58 AG2:AG58 AC56:AC58 S1:S1048576 AC1 AE56:AE58</xm:sqref>
        </x14:dataValidation>
        <x14:dataValidation type="list" allowBlank="1" showInputMessage="1" showErrorMessage="1" xr:uid="{8DF3ECE9-D30E-4FE2-972E-2E3AB2A320AE}">
          <x14:formula1>
            <xm:f>'1_1_Definition_Flows'!$D$2:$D$83</xm:f>
          </x14:formula1>
          <xm:sqref>AA2:AA55 AE2:AE55 AC2:AC55</xm:sqref>
        </x14:dataValidation>
        <x14:dataValidation type="list" allowBlank="1" showInputMessage="1" showErrorMessage="1" xr:uid="{352DC256-B5CA-4775-B41E-D06A6C1541F5}">
          <x14:formula1>
            <xm:f>'4_1 Codelists'!$B$3:$B$5</xm:f>
          </x14:formula1>
          <xm:sqref>I2:I58</xm:sqref>
        </x14:dataValidation>
        <x14:dataValidation type="list" allowBlank="1" showInputMessage="1" showErrorMessage="1" xr:uid="{0B6559FC-6BA5-474A-9290-C66996DA9F0D}">
          <x14:formula1>
            <xm:f>'4_1 Codelists'!$G$27:$G$31</xm:f>
          </x14:formula1>
          <xm:sqref>G2:G58</xm:sqref>
        </x14:dataValidation>
        <x14:dataValidation type="list" allowBlank="1" showInputMessage="1" showErrorMessage="1" xr:uid="{2C5B0F1E-89DB-490F-A576-ABEBF4D98051}">
          <x14:formula1>
            <xm:f>'4_1 Codelists'!$B$38:$B$39</xm:f>
          </x14:formula1>
          <xm:sqref>J2:O58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D64"/>
  <sheetViews>
    <sheetView zoomScale="109" zoomScaleNormal="160" workbookViewId="0">
      <pane xSplit="4" topLeftCell="K1" activePane="topRight" state="frozen"/>
      <selection pane="topRight" activeCell="M6" sqref="M6"/>
    </sheetView>
  </sheetViews>
  <sheetFormatPr defaultColWidth="10.85546875" defaultRowHeight="15" x14ac:dyDescent="0.25"/>
  <cols>
    <col min="2" max="2" width="4.7109375" customWidth="1"/>
    <col min="3" max="3" width="12.7109375" style="48"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30" x14ac:dyDescent="0.25">
      <c r="A1" s="196" t="s">
        <v>88</v>
      </c>
      <c r="B1" s="196" t="s">
        <v>32</v>
      </c>
      <c r="C1" s="196" t="s">
        <v>62</v>
      </c>
      <c r="D1" s="196" t="s">
        <v>90</v>
      </c>
      <c r="E1" s="196" t="s">
        <v>121</v>
      </c>
      <c r="F1" s="196" t="s">
        <v>65</v>
      </c>
      <c r="G1" s="196" t="s">
        <v>284</v>
      </c>
      <c r="H1" s="196" t="s">
        <v>92</v>
      </c>
      <c r="I1" s="196" t="s">
        <v>311</v>
      </c>
      <c r="J1" s="196" t="s">
        <v>316</v>
      </c>
      <c r="K1" s="196" t="s">
        <v>317</v>
      </c>
      <c r="L1" s="196" t="s">
        <v>353</v>
      </c>
      <c r="M1" s="196" t="s">
        <v>303</v>
      </c>
      <c r="N1" s="196" t="s">
        <v>41</v>
      </c>
      <c r="O1" s="196" t="s">
        <v>91</v>
      </c>
      <c r="P1" s="196" t="s">
        <v>354</v>
      </c>
      <c r="Q1" s="196" t="s">
        <v>39</v>
      </c>
      <c r="R1" s="196" t="s">
        <v>40</v>
      </c>
      <c r="S1" s="196" t="s">
        <v>4</v>
      </c>
      <c r="T1" s="196" t="s">
        <v>3</v>
      </c>
      <c r="U1" s="196" t="s">
        <v>5</v>
      </c>
    </row>
    <row r="2" spans="1:30" x14ac:dyDescent="0.25">
      <c r="A2" s="197" t="b">
        <v>0</v>
      </c>
      <c r="B2" s="10">
        <f>ROW()-1</f>
        <v>1</v>
      </c>
      <c r="C2" s="49" t="str">
        <f>_xlfn.XLOOKUP($D2,Tab_Def_Processes[Name(EN)],Tab_Def_Processes[ID],,0,)</f>
        <v>02</v>
      </c>
      <c r="D2" s="192" t="s">
        <v>195</v>
      </c>
      <c r="E2" s="10" t="str">
        <f>_xlfn.XLOOKUP($D2,Tab_Def_Processes[Name(EN)],Tab_Def_Processes[Process_Type],,0,)</f>
        <v>Process</v>
      </c>
      <c r="F2" s="10" t="str">
        <f>_xlfn.XLOOKUP($D2,Tab_Def_Processes[Name(EN)],Tab_Def_Processes[TC?],,0,)</f>
        <v>No</v>
      </c>
      <c r="G2" s="10" t="str">
        <f>_xlfn.XLOOKUP($D2,Tab_Def_Processes[Name(EN)],Tab_Def_Processes[Dyn_TC?],,0,)</f>
        <v>No</v>
      </c>
      <c r="H2" s="10" t="str">
        <f>_xlfn.XLOOKUP($D2,Tab_Def_Processes[Name(EN)],Tab_Def_Processes[Stock?],,0,)</f>
        <v>No</v>
      </c>
      <c r="I2" s="10" t="str">
        <f>_xlfn.XLOOKUP($D2,Tab_Def_Processes[Name(EN)],Tab_Def_Processes[Initial_Stock?],,0,)</f>
        <v>No</v>
      </c>
      <c r="J2" s="10" t="str">
        <f>_xlfn.XLOOKUP($D2,Tab_Def_Processes[Name(EN)],Tab_Def_Processes[DSM?],,0,)</f>
        <v>No</v>
      </c>
      <c r="K2" s="10" t="str">
        <f>_xlfn.XLOOKUP($D2,Tab_Def_Processes[Name(EN)],Tab_Def_Processes[FOMP?],,0,)</f>
        <v>No</v>
      </c>
      <c r="L2" s="10">
        <f>_xlfn.XLOOKUP($D2,Tab_Def_Processes[Name(EN)],Tab_Def_Processes[Nr. Outflows],,0,)</f>
        <v>1</v>
      </c>
      <c r="M2" s="192" t="s">
        <v>278</v>
      </c>
      <c r="N2" s="177" t="str">
        <f>_xlfn.XLOOKUP($M2,Tab_Def_Flows[Name(EN)],Tab_Def_Flows[Flow_ID],,0,)</f>
        <v>F_02_03</v>
      </c>
      <c r="O2" s="44" t="str">
        <f>"TC"&amp;"_"&amp;RIGHT(N2,5)</f>
        <v>TC_02_03</v>
      </c>
      <c r="P2" s="195">
        <v>1</v>
      </c>
      <c r="Q2" s="38"/>
      <c r="R2" s="38"/>
      <c r="S2" s="38"/>
      <c r="T2" s="38"/>
      <c r="U2" s="38"/>
    </row>
    <row r="3" spans="1:30" x14ac:dyDescent="0.25">
      <c r="A3" s="197" t="b">
        <v>0</v>
      </c>
      <c r="B3" s="10">
        <f t="shared" ref="B3:B64" si="0">ROW()-1</f>
        <v>2</v>
      </c>
      <c r="C3" s="49" t="str">
        <f>_xlfn.XLOOKUP($D3,Tab_Def_Processes[Name(EN)],Tab_Def_Processes[ID],,0,)</f>
        <v>03</v>
      </c>
      <c r="D3" s="192" t="s">
        <v>305</v>
      </c>
      <c r="E3" s="10" t="str">
        <f>_xlfn.XLOOKUP($D3,Tab_Def_Processes[Name(EN)],Tab_Def_Processes[Process_Type],,0,)</f>
        <v>Process</v>
      </c>
      <c r="F3" s="10" t="str">
        <f>_xlfn.XLOOKUP($D3,Tab_Def_Processes[Name(EN)],Tab_Def_Processes[TC?],,0,)</f>
        <v>Yes</v>
      </c>
      <c r="G3" s="10" t="str">
        <f>_xlfn.XLOOKUP($D3,Tab_Def_Processes[Name(EN)],Tab_Def_Processes[Dyn_TC?],,0,)</f>
        <v>Yes</v>
      </c>
      <c r="H3" s="10" t="str">
        <f>_xlfn.XLOOKUP($D3,Tab_Def_Processes[Name(EN)],Tab_Def_Processes[Stock?],,0,)</f>
        <v>No</v>
      </c>
      <c r="I3" s="10" t="str">
        <f>_xlfn.XLOOKUP($D3,Tab_Def_Processes[Name(EN)],Tab_Def_Processes[Initial_Stock?],,0,)</f>
        <v>No</v>
      </c>
      <c r="J3" s="10" t="str">
        <f>_xlfn.XLOOKUP($D3,Tab_Def_Processes[Name(EN)],Tab_Def_Processes[DSM?],,0,)</f>
        <v>No</v>
      </c>
      <c r="K3" s="10" t="str">
        <f>_xlfn.XLOOKUP($D3,Tab_Def_Processes[Name(EN)],Tab_Def_Processes[FOMP?],,0,)</f>
        <v>No</v>
      </c>
      <c r="L3" s="10">
        <f>_xlfn.XLOOKUP($D3,Tab_Def_Processes[Name(EN)],Tab_Def_Processes[Nr. Outflows],,0,)</f>
        <v>2</v>
      </c>
      <c r="M3" s="192" t="s">
        <v>280</v>
      </c>
      <c r="N3" s="177" t="str">
        <f>_xlfn.XLOOKUP($M3,Tab_Def_Flows[Name(EN)],Tab_Def_Flows[Flow_ID],,0,)</f>
        <v>F_03_05</v>
      </c>
      <c r="O3" s="44" t="str">
        <f>"TC"&amp;"_"&amp;RIGHT(N3,5)</f>
        <v>TC_03_05</v>
      </c>
      <c r="P3" s="195">
        <v>0.5</v>
      </c>
      <c r="Q3" s="38"/>
      <c r="R3" s="38"/>
      <c r="S3" s="38"/>
      <c r="T3" s="38"/>
      <c r="U3" s="38"/>
    </row>
    <row r="4" spans="1:30" x14ac:dyDescent="0.25">
      <c r="A4" s="197" t="b">
        <v>0</v>
      </c>
      <c r="B4" s="10">
        <f t="shared" si="0"/>
        <v>3</v>
      </c>
      <c r="C4" s="49" t="str">
        <f>_xlfn.XLOOKUP($D4,Tab_Def_Processes[Name(EN)],Tab_Def_Processes[ID],,0,)</f>
        <v>03</v>
      </c>
      <c r="D4" s="192" t="s">
        <v>305</v>
      </c>
      <c r="E4" s="10" t="str">
        <f>_xlfn.XLOOKUP($D4,Tab_Def_Processes[Name(EN)],Tab_Def_Processes[Process_Type],,0,)</f>
        <v>Process</v>
      </c>
      <c r="F4" s="10" t="str">
        <f>_xlfn.XLOOKUP($D4,Tab_Def_Processes[Name(EN)],Tab_Def_Processes[TC?],,0,)</f>
        <v>Yes</v>
      </c>
      <c r="G4" s="10" t="str">
        <f>_xlfn.XLOOKUP($D4,Tab_Def_Processes[Name(EN)],Tab_Def_Processes[Dyn_TC?],,0,)</f>
        <v>Yes</v>
      </c>
      <c r="H4" s="10" t="str">
        <f>_xlfn.XLOOKUP($D4,Tab_Def_Processes[Name(EN)],Tab_Def_Processes[Stock?],,0,)</f>
        <v>No</v>
      </c>
      <c r="I4" s="10" t="str">
        <f>_xlfn.XLOOKUP($D4,Tab_Def_Processes[Name(EN)],Tab_Def_Processes[Initial_Stock?],,0,)</f>
        <v>No</v>
      </c>
      <c r="J4" s="10" t="str">
        <f>_xlfn.XLOOKUP($D4,Tab_Def_Processes[Name(EN)],Tab_Def_Processes[DSM?],,0,)</f>
        <v>No</v>
      </c>
      <c r="K4" s="10" t="str">
        <f>_xlfn.XLOOKUP($D4,Tab_Def_Processes[Name(EN)],Tab_Def_Processes[FOMP?],,0,)</f>
        <v>No</v>
      </c>
      <c r="L4" s="10">
        <f>_xlfn.XLOOKUP($D4,Tab_Def_Processes[Name(EN)],Tab_Def_Processes[Nr. Outflows],,0,)</f>
        <v>2</v>
      </c>
      <c r="M4" s="192" t="s">
        <v>279</v>
      </c>
      <c r="N4" s="177" t="str">
        <f>_xlfn.XLOOKUP($M4,Tab_Def_Flows[Name(EN)],Tab_Def_Flows[Flow_ID],,0,)</f>
        <v>F_03_04</v>
      </c>
      <c r="O4" s="44" t="str">
        <f t="shared" ref="O4:O64" si="1">"TC"&amp;"_"&amp;RIGHT(N4,5)</f>
        <v>TC_03_04</v>
      </c>
      <c r="P4" s="195">
        <v>0.5</v>
      </c>
      <c r="Q4" s="38"/>
      <c r="R4" s="38"/>
      <c r="S4" s="38"/>
      <c r="T4" s="38"/>
      <c r="U4" s="38"/>
    </row>
    <row r="5" spans="1:30" x14ac:dyDescent="0.25">
      <c r="A5" s="197" t="b">
        <v>0</v>
      </c>
      <c r="B5" s="10">
        <f t="shared" si="0"/>
        <v>4</v>
      </c>
      <c r="C5" s="49" t="str">
        <f>_xlfn.XLOOKUP($D5,Tab_Def_Processes[Name(EN)],Tab_Def_Processes[ID],,0,)</f>
        <v>05</v>
      </c>
      <c r="D5" s="192" t="s">
        <v>306</v>
      </c>
      <c r="E5" s="10" t="str">
        <f>_xlfn.XLOOKUP($D5,Tab_Def_Processes[Name(EN)],Tab_Def_Processes[Process_Type],,0,)</f>
        <v>Process</v>
      </c>
      <c r="F5" s="10" t="str">
        <f>_xlfn.XLOOKUP($D5,Tab_Def_Processes[Name(EN)],Tab_Def_Processes[TC?],,0,)</f>
        <v>Yes</v>
      </c>
      <c r="G5" s="10" t="str">
        <f>_xlfn.XLOOKUP($D5,Tab_Def_Processes[Name(EN)],Tab_Def_Processes[Dyn_TC?],,0,)</f>
        <v>Yes</v>
      </c>
      <c r="H5" s="10" t="str">
        <f>_xlfn.XLOOKUP($D5,Tab_Def_Processes[Name(EN)],Tab_Def_Processes[Stock?],,0,)</f>
        <v>No</v>
      </c>
      <c r="I5" s="10" t="str">
        <f>_xlfn.XLOOKUP($D5,Tab_Def_Processes[Name(EN)],Tab_Def_Processes[Initial_Stock?],,0,)</f>
        <v>No</v>
      </c>
      <c r="J5" s="10" t="str">
        <f>_xlfn.XLOOKUP($D5,Tab_Def_Processes[Name(EN)],Tab_Def_Processes[DSM?],,0,)</f>
        <v>No</v>
      </c>
      <c r="K5" s="10" t="str">
        <f>_xlfn.XLOOKUP($D5,Tab_Def_Processes[Name(EN)],Tab_Def_Processes[FOMP?],,0,)</f>
        <v>No</v>
      </c>
      <c r="L5" s="10">
        <f>_xlfn.XLOOKUP($D5,Tab_Def_Processes[Name(EN)],Tab_Def_Processes[Nr. Outflows],,0,)</f>
        <v>3</v>
      </c>
      <c r="M5" s="192" t="s">
        <v>307</v>
      </c>
      <c r="N5" s="177" t="str">
        <f>_xlfn.XLOOKUP($M5,Tab_Def_Flows[Name(EN)],Tab_Def_Flows[Flow_ID],,0,)</f>
        <v>F_05_06</v>
      </c>
      <c r="O5" s="44" t="str">
        <f t="shared" si="1"/>
        <v>TC_05_06</v>
      </c>
      <c r="P5" s="195">
        <v>0.4</v>
      </c>
      <c r="Q5" s="38"/>
      <c r="R5" s="38"/>
      <c r="S5" s="38"/>
      <c r="T5" s="38"/>
      <c r="U5" s="38"/>
      <c r="AB5" s="12"/>
      <c r="AC5" s="12"/>
      <c r="AD5" s="12"/>
    </row>
    <row r="6" spans="1:30" x14ac:dyDescent="0.25">
      <c r="A6" s="197" t="b">
        <v>0</v>
      </c>
      <c r="B6" s="10">
        <f t="shared" si="0"/>
        <v>5</v>
      </c>
      <c r="C6" s="49" t="str">
        <f>_xlfn.XLOOKUP($D6,Tab_Def_Processes[Name(EN)],Tab_Def_Processes[ID],,0,)</f>
        <v>05</v>
      </c>
      <c r="D6" s="192" t="s">
        <v>394</v>
      </c>
      <c r="E6" s="10" t="str">
        <f>_xlfn.XLOOKUP($D6,Tab_Def_Processes[Name(EN)],Tab_Def_Processes[Process_Type],,0,)</f>
        <v>Process</v>
      </c>
      <c r="F6" s="10" t="str">
        <f>_xlfn.XLOOKUP($D6,Tab_Def_Processes[Name(EN)],Tab_Def_Processes[TC?],,0,)</f>
        <v>Yes</v>
      </c>
      <c r="G6" s="10" t="str">
        <f>_xlfn.XLOOKUP($D6,Tab_Def_Processes[Name(EN)],Tab_Def_Processes[Dyn_TC?],,0,)</f>
        <v>Yes</v>
      </c>
      <c r="H6" s="10" t="str">
        <f>_xlfn.XLOOKUP($D6,Tab_Def_Processes[Name(EN)],Tab_Def_Processes[Stock?],,0,)</f>
        <v>No</v>
      </c>
      <c r="I6" s="10" t="str">
        <f>_xlfn.XLOOKUP($D6,Tab_Def_Processes[Name(EN)],Tab_Def_Processes[Initial_Stock?],,0,)</f>
        <v>No</v>
      </c>
      <c r="J6" s="10" t="str">
        <f>_xlfn.XLOOKUP($D6,Tab_Def_Processes[Name(EN)],Tab_Def_Processes[DSM?],,0,)</f>
        <v>No</v>
      </c>
      <c r="K6" s="10" t="str">
        <f>_xlfn.XLOOKUP($D6,Tab_Def_Processes[Name(EN)],Tab_Def_Processes[FOMP?],,0,)</f>
        <v>No</v>
      </c>
      <c r="L6" s="10">
        <f>_xlfn.XLOOKUP($D6,Tab_Def_Processes[Name(EN)],Tab_Def_Processes[Nr. Outflows],,0,)</f>
        <v>3</v>
      </c>
      <c r="M6" s="192" t="s">
        <v>406</v>
      </c>
      <c r="N6" s="177" t="str">
        <f>_xlfn.XLOOKUP($M6,Tab_Def_Flows[Name(EN)],Tab_Def_Flows[Flow_ID],,0,)</f>
        <v>F_05_08</v>
      </c>
      <c r="O6" s="44" t="str">
        <f t="shared" si="1"/>
        <v>TC_05_08</v>
      </c>
      <c r="P6" s="195">
        <v>0.3</v>
      </c>
      <c r="Q6" s="38"/>
      <c r="R6" s="38"/>
      <c r="S6" s="38"/>
      <c r="T6" s="38"/>
      <c r="U6" s="38"/>
    </row>
    <row r="7" spans="1:30" x14ac:dyDescent="0.25">
      <c r="A7" s="197" t="b">
        <v>0</v>
      </c>
      <c r="B7" s="10">
        <f t="shared" si="0"/>
        <v>6</v>
      </c>
      <c r="C7" s="49" t="str">
        <f>_xlfn.XLOOKUP($D7,Tab_Def_Processes[Name(EN)],Tab_Def_Processes[ID],,0,)</f>
        <v>05</v>
      </c>
      <c r="D7" s="192" t="s">
        <v>306</v>
      </c>
      <c r="E7" s="10" t="str">
        <f>_xlfn.XLOOKUP($D7,Tab_Def_Processes[Name(EN)],Tab_Def_Processes[Process_Type],,0,)</f>
        <v>Process</v>
      </c>
      <c r="F7" s="10" t="str">
        <f>_xlfn.XLOOKUP($D7,Tab_Def_Processes[Name(EN)],Tab_Def_Processes[TC?],,0,)</f>
        <v>Yes</v>
      </c>
      <c r="G7" s="10" t="str">
        <f>_xlfn.XLOOKUP($D7,Tab_Def_Processes[Name(EN)],Tab_Def_Processes[Dyn_TC?],,0,)</f>
        <v>Yes</v>
      </c>
      <c r="H7" s="10" t="str">
        <f>_xlfn.XLOOKUP($D7,Tab_Def_Processes[Name(EN)],Tab_Def_Processes[Stock?],,0,)</f>
        <v>No</v>
      </c>
      <c r="I7" s="10" t="str">
        <f>_xlfn.XLOOKUP($D7,Tab_Def_Processes[Name(EN)],Tab_Def_Processes[Initial_Stock?],,0,)</f>
        <v>No</v>
      </c>
      <c r="J7" s="10" t="str">
        <f>_xlfn.XLOOKUP($D7,Tab_Def_Processes[Name(EN)],Tab_Def_Processes[DSM?],,0,)</f>
        <v>No</v>
      </c>
      <c r="K7" s="10" t="str">
        <f>_xlfn.XLOOKUP($D7,Tab_Def_Processes[Name(EN)],Tab_Def_Processes[FOMP?],,0,)</f>
        <v>No</v>
      </c>
      <c r="L7" s="10">
        <f>_xlfn.XLOOKUP($D7,Tab_Def_Processes[Name(EN)],Tab_Def_Processes[Nr. Outflows],,0,)</f>
        <v>3</v>
      </c>
      <c r="M7" s="192" t="s">
        <v>404</v>
      </c>
      <c r="N7" s="177" t="str">
        <f>_xlfn.XLOOKUP($M7,Tab_Def_Flows[Name(EN)],Tab_Def_Flows[Flow_ID],,0,)</f>
        <v>F_05_09</v>
      </c>
      <c r="O7" s="44" t="str">
        <f t="shared" si="1"/>
        <v>TC_05_09</v>
      </c>
      <c r="P7" s="195">
        <v>0.3</v>
      </c>
      <c r="Q7" s="38"/>
      <c r="R7" s="38"/>
      <c r="S7" s="38"/>
      <c r="T7" s="38"/>
      <c r="U7" s="38"/>
    </row>
    <row r="8" spans="1:30" x14ac:dyDescent="0.25">
      <c r="A8" s="197" t="b">
        <v>0</v>
      </c>
      <c r="B8" s="10">
        <f t="shared" si="0"/>
        <v>7</v>
      </c>
      <c r="C8" s="49" t="str">
        <f>_xlfn.XLOOKUP($D8,Tab_Def_Processes[Name(EN)],Tab_Def_Processes[ID],,0,)</f>
        <v>00</v>
      </c>
      <c r="D8" s="192" t="s">
        <v>196</v>
      </c>
      <c r="E8" s="10" t="str">
        <f>_xlfn.XLOOKUP($D8,Tab_Def_Processes[Name(EN)],Tab_Def_Processes[Process_Type],,0,)</f>
        <v>Process</v>
      </c>
      <c r="F8" s="10" t="str">
        <f>_xlfn.XLOOKUP($D8,Tab_Def_Processes[Name(EN)],Tab_Def_Processes[TC?],,0,)</f>
        <v>No</v>
      </c>
      <c r="G8" s="10" t="str">
        <f>_xlfn.XLOOKUP($D8,Tab_Def_Processes[Name(EN)],Tab_Def_Processes[Dyn_TC?],,0,)</f>
        <v>No</v>
      </c>
      <c r="H8" s="10" t="str">
        <f>_xlfn.XLOOKUP($D8,Tab_Def_Processes[Name(EN)],Tab_Def_Processes[Stock?],,0,)</f>
        <v>Yes</v>
      </c>
      <c r="I8" s="10" t="str">
        <f>_xlfn.XLOOKUP($D8,Tab_Def_Processes[Name(EN)],Tab_Def_Processes[Initial_Stock?],,0,)</f>
        <v>No</v>
      </c>
      <c r="J8" s="10" t="str">
        <f>_xlfn.XLOOKUP($D8,Tab_Def_Processes[Name(EN)],Tab_Def_Processes[DSM?],,0,)</f>
        <v>No</v>
      </c>
      <c r="K8" s="10" t="str">
        <f>_xlfn.XLOOKUP($D8,Tab_Def_Processes[Name(EN)],Tab_Def_Processes[FOMP?],,0,)</f>
        <v>No</v>
      </c>
      <c r="L8" s="10">
        <f>_xlfn.XLOOKUP($D8,Tab_Def_Processes[Name(EN)],Tab_Def_Processes[Nr. Outflows],,0,)</f>
        <v>1</v>
      </c>
      <c r="M8" s="192" t="s">
        <v>285</v>
      </c>
      <c r="N8" s="177" t="str">
        <f>_xlfn.XLOOKUP($M8,Tab_Def_Flows[Name(EN)],Tab_Def_Flows[Flow_ID],,0,)</f>
        <v>F_00_02</v>
      </c>
      <c r="O8" s="44" t="str">
        <f t="shared" si="1"/>
        <v>TC_00_02</v>
      </c>
      <c r="P8" s="195">
        <v>1</v>
      </c>
      <c r="Q8" s="38"/>
      <c r="R8" s="38"/>
      <c r="S8" s="38"/>
      <c r="T8" s="38"/>
      <c r="U8" s="38"/>
    </row>
    <row r="9" spans="1:30" x14ac:dyDescent="0.25">
      <c r="A9" s="197" t="b">
        <v>0</v>
      </c>
      <c r="B9" s="10">
        <f t="shared" si="0"/>
        <v>8</v>
      </c>
      <c r="C9" s="49" t="str">
        <f>_xlfn.XLOOKUP($D9,Tab_Def_Processes[Name(EN)],Tab_Def_Processes[ID],,0,)</f>
        <v>01</v>
      </c>
      <c r="D9" s="192" t="s">
        <v>277</v>
      </c>
      <c r="E9" s="10" t="str">
        <f>_xlfn.XLOOKUP($D9,Tab_Def_Processes[Name(EN)],Tab_Def_Processes[Process_Type],,0,)</f>
        <v>Process</v>
      </c>
      <c r="F9" s="10" t="str">
        <f>_xlfn.XLOOKUP($D9,Tab_Def_Processes[Name(EN)],Tab_Def_Processes[TC?],,0,)</f>
        <v>No</v>
      </c>
      <c r="G9" s="10" t="str">
        <f>_xlfn.XLOOKUP($D9,Tab_Def_Processes[Name(EN)],Tab_Def_Processes[Dyn_TC?],,0,)</f>
        <v>No</v>
      </c>
      <c r="H9" s="10" t="str">
        <f>_xlfn.XLOOKUP($D9,Tab_Def_Processes[Name(EN)],Tab_Def_Processes[Stock?],,0,)</f>
        <v>Yes</v>
      </c>
      <c r="I9" s="10" t="str">
        <f>_xlfn.XLOOKUP($D9,Tab_Def_Processes[Name(EN)],Tab_Def_Processes[Initial_Stock?],,0,)</f>
        <v>No</v>
      </c>
      <c r="J9" s="10" t="str">
        <f>_xlfn.XLOOKUP($D9,Tab_Def_Processes[Name(EN)],Tab_Def_Processes[DSM?],,0,)</f>
        <v>No</v>
      </c>
      <c r="K9" s="10" t="str">
        <f>_xlfn.XLOOKUP($D9,Tab_Def_Processes[Name(EN)],Tab_Def_Processes[FOMP?],,0,)</f>
        <v>No</v>
      </c>
      <c r="L9" s="10">
        <f>_xlfn.XLOOKUP($D9,Tab_Def_Processes[Name(EN)],Tab_Def_Processes[Nr. Outflows],,0,)</f>
        <v>1</v>
      </c>
      <c r="M9" s="192" t="s">
        <v>286</v>
      </c>
      <c r="N9" s="177" t="str">
        <f>_xlfn.XLOOKUP($M9,Tab_Def_Flows[Name(EN)],Tab_Def_Flows[Flow_ID],,0,)</f>
        <v>F_01_02</v>
      </c>
      <c r="O9" s="44" t="str">
        <f t="shared" si="1"/>
        <v>TC_01_02</v>
      </c>
      <c r="P9" s="195">
        <v>1</v>
      </c>
      <c r="Q9" s="38"/>
      <c r="R9" s="38"/>
      <c r="S9" s="38"/>
      <c r="T9" s="38"/>
      <c r="U9" s="38"/>
    </row>
    <row r="10" spans="1:30" x14ac:dyDescent="0.25">
      <c r="A10" s="197" t="b">
        <v>0</v>
      </c>
      <c r="B10" s="10">
        <f t="shared" si="0"/>
        <v>9</v>
      </c>
      <c r="C10" s="49" t="str">
        <f>_xlfn.XLOOKUP($D10,Tab_Def_Processes[Name(EN)],Tab_Def_Processes[ID],,0,)</f>
        <v>04</v>
      </c>
      <c r="D10" s="192" t="s">
        <v>399</v>
      </c>
      <c r="E10" s="10" t="str">
        <f>_xlfn.XLOOKUP($D10,Tab_Def_Processes[Name(EN)],Tab_Def_Processes[Process_Type],,0,)</f>
        <v>Process</v>
      </c>
      <c r="F10" s="10" t="str">
        <f>_xlfn.XLOOKUP($D10,Tab_Def_Processes[Name(EN)],Tab_Def_Processes[TC?],,0,)</f>
        <v>Yes</v>
      </c>
      <c r="G10" s="10" t="str">
        <f>_xlfn.XLOOKUP($D10,Tab_Def_Processes[Name(EN)],Tab_Def_Processes[Dyn_TC?],,0,)</f>
        <v>No</v>
      </c>
      <c r="H10" s="10" t="str">
        <f>_xlfn.XLOOKUP($D10,Tab_Def_Processes[Name(EN)],Tab_Def_Processes[Stock?],,0,)</f>
        <v>No</v>
      </c>
      <c r="I10" s="10" t="str">
        <f>_xlfn.XLOOKUP($D10,Tab_Def_Processes[Name(EN)],Tab_Def_Processes[Initial_Stock?],,0,)</f>
        <v>No</v>
      </c>
      <c r="J10" s="10" t="str">
        <f>_xlfn.XLOOKUP($D10,Tab_Def_Processes[Name(EN)],Tab_Def_Processes[DSM?],,0,)</f>
        <v>No</v>
      </c>
      <c r="K10" s="10" t="str">
        <f>_xlfn.XLOOKUP($D10,Tab_Def_Processes[Name(EN)],Tab_Def_Processes[FOMP?],,0,)</f>
        <v>No</v>
      </c>
      <c r="L10" s="10">
        <f>_xlfn.XLOOKUP($D10,Tab_Def_Processes[Name(EN)],Tab_Def_Processes[Nr. Outflows],,0,)</f>
        <v>2</v>
      </c>
      <c r="M10" s="192" t="s">
        <v>281</v>
      </c>
      <c r="N10" s="177" t="str">
        <f>_xlfn.XLOOKUP($M10,Tab_Def_Flows[Name(EN)],Tab_Def_Flows[Flow_ID],,0,)</f>
        <v>F_04_00</v>
      </c>
      <c r="O10" s="44" t="str">
        <f t="shared" si="1"/>
        <v>TC_04_00</v>
      </c>
      <c r="P10" s="195">
        <v>0.5</v>
      </c>
      <c r="Q10" s="38"/>
      <c r="R10" s="38"/>
      <c r="S10" s="38"/>
      <c r="T10" s="38"/>
      <c r="U10" s="38"/>
    </row>
    <row r="11" spans="1:30" x14ac:dyDescent="0.25">
      <c r="A11" s="197" t="b">
        <v>0</v>
      </c>
      <c r="B11" s="10">
        <f t="shared" si="0"/>
        <v>10</v>
      </c>
      <c r="C11" s="49" t="str">
        <f>_xlfn.XLOOKUP($D11,Tab_Def_Processes[Name(EN)],Tab_Def_Processes[ID],,0,)</f>
        <v>04</v>
      </c>
      <c r="D11" s="192" t="s">
        <v>399</v>
      </c>
      <c r="E11" s="10" t="str">
        <f>_xlfn.XLOOKUP($D11,Tab_Def_Processes[Name(EN)],Tab_Def_Processes[Process_Type],,0,)</f>
        <v>Process</v>
      </c>
      <c r="F11" s="10" t="str">
        <f>_xlfn.XLOOKUP($D11,Tab_Def_Processes[Name(EN)],Tab_Def_Processes[TC?],,0,)</f>
        <v>Yes</v>
      </c>
      <c r="G11" s="10" t="str">
        <f>_xlfn.XLOOKUP($D11,Tab_Def_Processes[Name(EN)],Tab_Def_Processes[Dyn_TC?],,0,)</f>
        <v>No</v>
      </c>
      <c r="H11" s="10" t="str">
        <f>_xlfn.XLOOKUP($D11,Tab_Def_Processes[Name(EN)],Tab_Def_Processes[Stock?],,0,)</f>
        <v>No</v>
      </c>
      <c r="I11" s="10" t="str">
        <f>_xlfn.XLOOKUP($D11,Tab_Def_Processes[Name(EN)],Tab_Def_Processes[Initial_Stock?],,0,)</f>
        <v>No</v>
      </c>
      <c r="J11" s="10" t="str">
        <f>_xlfn.XLOOKUP($D11,Tab_Def_Processes[Name(EN)],Tab_Def_Processes[DSM?],,0,)</f>
        <v>No</v>
      </c>
      <c r="K11" s="10" t="str">
        <f>_xlfn.XLOOKUP($D11,Tab_Def_Processes[Name(EN)],Tab_Def_Processes[FOMP?],,0,)</f>
        <v>No</v>
      </c>
      <c r="L11" s="10">
        <f>_xlfn.XLOOKUP($D11,Tab_Def_Processes[Name(EN)],Tab_Def_Processes[Nr. Outflows],,0,)</f>
        <v>2</v>
      </c>
      <c r="M11" s="192" t="s">
        <v>282</v>
      </c>
      <c r="N11" s="177" t="str">
        <f>_xlfn.XLOOKUP($M11,Tab_Def_Flows[Name(EN)],Tab_Def_Flows[Flow_ID],,0,)</f>
        <v>F_04_01</v>
      </c>
      <c r="O11" s="44" t="str">
        <f t="shared" si="1"/>
        <v>TC_04_01</v>
      </c>
      <c r="P11" s="195">
        <v>0.5</v>
      </c>
      <c r="Q11" s="38"/>
      <c r="R11" s="38"/>
      <c r="S11" s="38"/>
      <c r="T11" s="38"/>
      <c r="U11" s="38"/>
    </row>
    <row r="12" spans="1:30" x14ac:dyDescent="0.25">
      <c r="A12" s="197" t="b">
        <v>0</v>
      </c>
      <c r="B12" s="10">
        <f t="shared" si="0"/>
        <v>11</v>
      </c>
      <c r="C12" s="49" t="str">
        <f>_xlfn.XLOOKUP($D12,Tab_Def_Processes[Name(EN)],Tab_Def_Processes[ID],,0,)</f>
        <v>09</v>
      </c>
      <c r="D12" s="192" t="s">
        <v>395</v>
      </c>
      <c r="E12" s="10" t="str">
        <f>_xlfn.XLOOKUP($D12,Tab_Def_Processes[Name(EN)],Tab_Def_Processes[Process_Type],,0,)</f>
        <v>Process</v>
      </c>
      <c r="F12" s="10" t="str">
        <f>_xlfn.XLOOKUP($D12,Tab_Def_Processes[Name(EN)],Tab_Def_Processes[TC?],,0,)</f>
        <v>Yes</v>
      </c>
      <c r="G12" s="10" t="str">
        <f>_xlfn.XLOOKUP($D12,Tab_Def_Processes[Name(EN)],Tab_Def_Processes[Dyn_TC?],,0,)</f>
        <v>No</v>
      </c>
      <c r="H12" s="10" t="str">
        <f>_xlfn.XLOOKUP($D12,Tab_Def_Processes[Name(EN)],Tab_Def_Processes[Stock?],,0,)</f>
        <v>Yes</v>
      </c>
      <c r="I12" s="10" t="str">
        <f>_xlfn.XLOOKUP($D12,Tab_Def_Processes[Name(EN)],Tab_Def_Processes[Initial_Stock?],,0,)</f>
        <v>Yes</v>
      </c>
      <c r="J12" s="10" t="str">
        <f>_xlfn.XLOOKUP($D12,Tab_Def_Processes[Name(EN)],Tab_Def_Processes[DSM?],,0,)</f>
        <v>No</v>
      </c>
      <c r="K12" s="10" t="str">
        <f>_xlfn.XLOOKUP($D12,Tab_Def_Processes[Name(EN)],Tab_Def_Processes[FOMP?],,0,)</f>
        <v>No</v>
      </c>
      <c r="L12" s="10">
        <f>_xlfn.XLOOKUP($D12,Tab_Def_Processes[Name(EN)],Tab_Def_Processes[Nr. Outflows],,0,)</f>
        <v>2</v>
      </c>
      <c r="M12" s="192" t="s">
        <v>400</v>
      </c>
      <c r="N12" s="177" t="str">
        <f>_xlfn.XLOOKUP($M12,Tab_Def_Flows[Name(EN)],Tab_Def_Flows[Flow_ID],,0,)</f>
        <v>F_09_00</v>
      </c>
      <c r="O12" s="44" t="str">
        <f t="shared" si="1"/>
        <v>TC_09_00</v>
      </c>
      <c r="P12" s="195">
        <v>0.5</v>
      </c>
      <c r="Q12" s="38"/>
      <c r="R12" s="38"/>
      <c r="S12" s="38"/>
      <c r="T12" s="38"/>
      <c r="U12" s="38"/>
    </row>
    <row r="13" spans="1:30" x14ac:dyDescent="0.25">
      <c r="A13" s="197" t="b">
        <v>0</v>
      </c>
      <c r="B13" s="10">
        <f t="shared" si="0"/>
        <v>12</v>
      </c>
      <c r="C13" s="49" t="str">
        <f>_xlfn.XLOOKUP($D13,Tab_Def_Processes[Name(EN)],Tab_Def_Processes[ID],,0,)</f>
        <v>09</v>
      </c>
      <c r="D13" s="192" t="s">
        <v>395</v>
      </c>
      <c r="E13" s="10" t="str">
        <f>_xlfn.XLOOKUP($D13,Tab_Def_Processes[Name(EN)],Tab_Def_Processes[Process_Type],,0,)</f>
        <v>Process</v>
      </c>
      <c r="F13" s="10" t="str">
        <f>_xlfn.XLOOKUP($D13,Tab_Def_Processes[Name(EN)],Tab_Def_Processes[TC?],,0,)</f>
        <v>Yes</v>
      </c>
      <c r="G13" s="10" t="str">
        <f>_xlfn.XLOOKUP($D13,Tab_Def_Processes[Name(EN)],Tab_Def_Processes[Dyn_TC?],,0,)</f>
        <v>No</v>
      </c>
      <c r="H13" s="10" t="str">
        <f>_xlfn.XLOOKUP($D13,Tab_Def_Processes[Name(EN)],Tab_Def_Processes[Stock?],,0,)</f>
        <v>Yes</v>
      </c>
      <c r="I13" s="10" t="str">
        <f>_xlfn.XLOOKUP($D13,Tab_Def_Processes[Name(EN)],Tab_Def_Processes[Initial_Stock?],,0,)</f>
        <v>Yes</v>
      </c>
      <c r="J13" s="10" t="str">
        <f>_xlfn.XLOOKUP($D13,Tab_Def_Processes[Name(EN)],Tab_Def_Processes[DSM?],,0,)</f>
        <v>No</v>
      </c>
      <c r="K13" s="10" t="str">
        <f>_xlfn.XLOOKUP($D13,Tab_Def_Processes[Name(EN)],Tab_Def_Processes[FOMP?],,0,)</f>
        <v>No</v>
      </c>
      <c r="L13" s="10">
        <f>_xlfn.XLOOKUP($D13,Tab_Def_Processes[Name(EN)],Tab_Def_Processes[Nr. Outflows],,0,)</f>
        <v>2</v>
      </c>
      <c r="M13" s="192" t="s">
        <v>401</v>
      </c>
      <c r="N13" s="177" t="str">
        <f>_xlfn.XLOOKUP($M13,Tab_Def_Flows[Name(EN)],Tab_Def_Flows[Flow_ID],,0,)</f>
        <v>F_09_01</v>
      </c>
      <c r="O13" s="44" t="str">
        <f t="shared" si="1"/>
        <v>TC_09_01</v>
      </c>
      <c r="P13" s="195">
        <v>0.5</v>
      </c>
      <c r="Q13" s="38"/>
      <c r="R13" s="38"/>
      <c r="S13" s="38"/>
      <c r="T13" s="38"/>
      <c r="U13" s="38"/>
    </row>
    <row r="14" spans="1:30" x14ac:dyDescent="0.25">
      <c r="A14" s="197" t="b">
        <v>0</v>
      </c>
      <c r="B14" s="10">
        <f t="shared" si="0"/>
        <v>13</v>
      </c>
      <c r="C14" s="49" t="str">
        <f>_xlfn.XLOOKUP($D14,Tab_Def_Processes[Name(EN)],Tab_Def_Processes[ID],,0,)</f>
        <v>06</v>
      </c>
      <c r="D14" s="192" t="s">
        <v>396</v>
      </c>
      <c r="E14" s="10" t="str">
        <f>_xlfn.XLOOKUP($D14,Tab_Def_Processes[Name(EN)],Tab_Def_Processes[Process_Type],,0,)</f>
        <v>Process</v>
      </c>
      <c r="F14" s="10" t="str">
        <f>_xlfn.XLOOKUP($D14,Tab_Def_Processes[Name(EN)],Tab_Def_Processes[TC?],,0,)</f>
        <v>Yes</v>
      </c>
      <c r="G14" s="10" t="str">
        <f>_xlfn.XLOOKUP($D14,Tab_Def_Processes[Name(EN)],Tab_Def_Processes[Dyn_TC?],,0,)</f>
        <v>No</v>
      </c>
      <c r="H14" s="10" t="str">
        <f>_xlfn.XLOOKUP($D14,Tab_Def_Processes[Name(EN)],Tab_Def_Processes[Stock?],,0,)</f>
        <v>Yes</v>
      </c>
      <c r="I14" s="10" t="str">
        <f>_xlfn.XLOOKUP($D14,Tab_Def_Processes[Name(EN)],Tab_Def_Processes[Initial_Stock?],,0,)</f>
        <v>No</v>
      </c>
      <c r="J14" s="10" t="str">
        <f>_xlfn.XLOOKUP($D14,Tab_Def_Processes[Name(EN)],Tab_Def_Processes[DSM?],,0,)</f>
        <v>Yes</v>
      </c>
      <c r="K14" s="10" t="str">
        <f>_xlfn.XLOOKUP($D14,Tab_Def_Processes[Name(EN)],Tab_Def_Processes[FOMP?],,0,)</f>
        <v>No</v>
      </c>
      <c r="L14" s="10">
        <f>_xlfn.XLOOKUP($D14,Tab_Def_Processes[Name(EN)],Tab_Def_Processes[Nr. Outflows],,0,)</f>
        <v>1</v>
      </c>
      <c r="M14" s="192" t="s">
        <v>308</v>
      </c>
      <c r="N14" s="177" t="str">
        <f>_xlfn.XLOOKUP($M14,Tab_Def_Flows[Name(EN)],Tab_Def_Flows[Flow_ID],,0,)</f>
        <v>F_06_07</v>
      </c>
      <c r="O14" s="44" t="str">
        <f t="shared" si="1"/>
        <v>TC_06_07</v>
      </c>
      <c r="P14" s="195">
        <v>1</v>
      </c>
      <c r="Q14" s="38"/>
      <c r="R14" s="38"/>
      <c r="S14" s="38"/>
      <c r="T14" s="38"/>
      <c r="U14" s="38"/>
    </row>
    <row r="15" spans="1:30" x14ac:dyDescent="0.25">
      <c r="A15" s="197" t="b">
        <v>0</v>
      </c>
      <c r="B15" s="10">
        <f t="shared" si="0"/>
        <v>14</v>
      </c>
      <c r="C15" s="49" t="str">
        <f>_xlfn.XLOOKUP($D15,Tab_Def_Processes[Name(EN)],Tab_Def_Processes[ID],,0,)</f>
        <v>07</v>
      </c>
      <c r="D15" s="192" t="s">
        <v>397</v>
      </c>
      <c r="E15" s="10" t="str">
        <f>_xlfn.XLOOKUP($D15,Tab_Def_Processes[Name(EN)],Tab_Def_Processes[Process_Type],,0,)</f>
        <v>Process</v>
      </c>
      <c r="F15" s="10" t="str">
        <f>_xlfn.XLOOKUP($D15,Tab_Def_Processes[Name(EN)],Tab_Def_Processes[TC?],,0,)</f>
        <v>Yes</v>
      </c>
      <c r="G15" s="10" t="str">
        <f>_xlfn.XLOOKUP($D15,Tab_Def_Processes[Name(EN)],Tab_Def_Processes[Dyn_TC?],,0,)</f>
        <v>No</v>
      </c>
      <c r="H15" s="10" t="str">
        <f>_xlfn.XLOOKUP($D15,Tab_Def_Processes[Name(EN)],Tab_Def_Processes[Stock?],,0,)</f>
        <v>No</v>
      </c>
      <c r="I15" s="10" t="str">
        <f>_xlfn.XLOOKUP($D15,Tab_Def_Processes[Name(EN)],Tab_Def_Processes[Initial_Stock?],,0,)</f>
        <v>No</v>
      </c>
      <c r="J15" s="10" t="str">
        <f>_xlfn.XLOOKUP($D15,Tab_Def_Processes[Name(EN)],Tab_Def_Processes[DSM?],,0,)</f>
        <v>No</v>
      </c>
      <c r="K15" s="10" t="str">
        <f>_xlfn.XLOOKUP($D15,Tab_Def_Processes[Name(EN)],Tab_Def_Processes[FOMP?],,0,)</f>
        <v>No</v>
      </c>
      <c r="L15" s="10">
        <f>_xlfn.XLOOKUP($D15,Tab_Def_Processes[Name(EN)],Tab_Def_Processes[Nr. Outflows],,0,)</f>
        <v>2</v>
      </c>
      <c r="M15" s="192" t="s">
        <v>309</v>
      </c>
      <c r="N15" s="177" t="str">
        <f>_xlfn.XLOOKUP($M15,Tab_Def_Flows[Name(EN)],Tab_Def_Flows[Flow_ID],,0,)</f>
        <v>F_07_00</v>
      </c>
      <c r="O15" s="44" t="str">
        <f t="shared" si="1"/>
        <v>TC_07_00</v>
      </c>
      <c r="P15" s="195">
        <v>0.5</v>
      </c>
      <c r="Q15" s="38"/>
      <c r="R15" s="38"/>
      <c r="S15" s="38"/>
      <c r="T15" s="38"/>
      <c r="U15" s="38"/>
    </row>
    <row r="16" spans="1:30" x14ac:dyDescent="0.25">
      <c r="A16" s="197" t="b">
        <v>0</v>
      </c>
      <c r="B16" s="10">
        <f t="shared" si="0"/>
        <v>15</v>
      </c>
      <c r="C16" s="49" t="str">
        <f>_xlfn.XLOOKUP($D16,Tab_Def_Processes[Name(EN)],Tab_Def_Processes[ID],,0,)</f>
        <v>07</v>
      </c>
      <c r="D16" s="192" t="s">
        <v>397</v>
      </c>
      <c r="E16" s="10" t="str">
        <f>_xlfn.XLOOKUP($D16,Tab_Def_Processes[Name(EN)],Tab_Def_Processes[Process_Type],,0,)</f>
        <v>Process</v>
      </c>
      <c r="F16" s="10" t="str">
        <f>_xlfn.XLOOKUP($D16,Tab_Def_Processes[Name(EN)],Tab_Def_Processes[TC?],,0,)</f>
        <v>Yes</v>
      </c>
      <c r="G16" s="10" t="str">
        <f>_xlfn.XLOOKUP($D16,Tab_Def_Processes[Name(EN)],Tab_Def_Processes[Dyn_TC?],,0,)</f>
        <v>No</v>
      </c>
      <c r="H16" s="10" t="str">
        <f>_xlfn.XLOOKUP($D16,Tab_Def_Processes[Name(EN)],Tab_Def_Processes[Stock?],,0,)</f>
        <v>No</v>
      </c>
      <c r="I16" s="10" t="str">
        <f>_xlfn.XLOOKUP($D16,Tab_Def_Processes[Name(EN)],Tab_Def_Processes[Initial_Stock?],,0,)</f>
        <v>No</v>
      </c>
      <c r="J16" s="10" t="str">
        <f>_xlfn.XLOOKUP($D16,Tab_Def_Processes[Name(EN)],Tab_Def_Processes[DSM?],,0,)</f>
        <v>No</v>
      </c>
      <c r="K16" s="10" t="str">
        <f>_xlfn.XLOOKUP($D16,Tab_Def_Processes[Name(EN)],Tab_Def_Processes[FOMP?],,0,)</f>
        <v>No</v>
      </c>
      <c r="L16" s="10">
        <f>_xlfn.XLOOKUP($D16,Tab_Def_Processes[Name(EN)],Tab_Def_Processes[Nr. Outflows],,0,)</f>
        <v>2</v>
      </c>
      <c r="M16" s="192" t="s">
        <v>310</v>
      </c>
      <c r="N16" s="177" t="str">
        <f>_xlfn.XLOOKUP($M16,Tab_Def_Flows[Name(EN)],Tab_Def_Flows[Flow_ID],,0,)</f>
        <v>F_07_01</v>
      </c>
      <c r="O16" s="44" t="str">
        <f t="shared" si="1"/>
        <v>TC_07_01</v>
      </c>
      <c r="P16" s="195">
        <v>0.5</v>
      </c>
      <c r="Q16" s="38"/>
      <c r="R16" s="38"/>
      <c r="S16" s="38"/>
      <c r="T16" s="38"/>
      <c r="U16" s="38"/>
    </row>
    <row r="17" spans="1:21" x14ac:dyDescent="0.25">
      <c r="A17" s="197" t="b">
        <v>0</v>
      </c>
      <c r="B17" s="10">
        <f t="shared" si="0"/>
        <v>16</v>
      </c>
      <c r="C17" s="49" t="str">
        <f>_xlfn.XLOOKUP($D17,Tab_Def_Processes[Name(EN)],Tab_Def_Processes[ID],,0,)</f>
        <v>08</v>
      </c>
      <c r="D17" s="192" t="s">
        <v>398</v>
      </c>
      <c r="E17" s="10" t="str">
        <f>_xlfn.XLOOKUP($D17,Tab_Def_Processes[Name(EN)],Tab_Def_Processes[Process_Type],,0,)</f>
        <v>Process</v>
      </c>
      <c r="F17" s="10" t="str">
        <f>_xlfn.XLOOKUP($D17,Tab_Def_Processes[Name(EN)],Tab_Def_Processes[TC?],,0,)</f>
        <v>Yes</v>
      </c>
      <c r="G17" s="10" t="str">
        <f>_xlfn.XLOOKUP($D17,Tab_Def_Processes[Name(EN)],Tab_Def_Processes[Dyn_TC?],,0,)</f>
        <v>No</v>
      </c>
      <c r="H17" s="10" t="str">
        <f>_xlfn.XLOOKUP($D17,Tab_Def_Processes[Name(EN)],Tab_Def_Processes[Stock?],,0,)</f>
        <v>No</v>
      </c>
      <c r="I17" s="10" t="str">
        <f>_xlfn.XLOOKUP($D17,Tab_Def_Processes[Name(EN)],Tab_Def_Processes[Initial_Stock?],,0,)</f>
        <v>No</v>
      </c>
      <c r="J17" s="10" t="str">
        <f>_xlfn.XLOOKUP($D17,Tab_Def_Processes[Name(EN)],Tab_Def_Processes[DSM?],,0,)</f>
        <v>No</v>
      </c>
      <c r="K17" s="10" t="str">
        <f>_xlfn.XLOOKUP($D17,Tab_Def_Processes[Name(EN)],Tab_Def_Processes[FOMP?],,0,)</f>
        <v>No</v>
      </c>
      <c r="L17" s="10">
        <f>_xlfn.XLOOKUP($D17,Tab_Def_Processes[Name(EN)],Tab_Def_Processes[Nr. Outflows],,0,)</f>
        <v>1</v>
      </c>
      <c r="M17" s="192" t="s">
        <v>405</v>
      </c>
      <c r="N17" s="177" t="str">
        <f>_xlfn.XLOOKUP($M17,Tab_Def_Flows[Name(EN)],Tab_Def_Flows[Flow_ID],,0,)</f>
        <v>F_08_10</v>
      </c>
      <c r="O17" s="44" t="str">
        <f t="shared" si="1"/>
        <v>TC_08_10</v>
      </c>
      <c r="P17" s="195">
        <v>1</v>
      </c>
      <c r="Q17" s="38"/>
      <c r="R17" s="38"/>
      <c r="S17" s="38"/>
      <c r="T17" s="38"/>
      <c r="U17" s="38"/>
    </row>
    <row r="18" spans="1:21" x14ac:dyDescent="0.25">
      <c r="A18" s="197" t="b">
        <v>0</v>
      </c>
      <c r="B18" s="10">
        <f t="shared" si="0"/>
        <v>17</v>
      </c>
      <c r="C18" s="49" t="str">
        <f>_xlfn.XLOOKUP($D18,Tab_Def_Processes[Name(EN)],Tab_Def_Processes[ID],,0,)</f>
        <v>10</v>
      </c>
      <c r="D18" s="192" t="s">
        <v>101</v>
      </c>
      <c r="E18" s="10" t="str">
        <f>_xlfn.XLOOKUP($D18,Tab_Def_Processes[Name(EN)],Tab_Def_Processes[Process_Type],,0,)</f>
        <v>Process</v>
      </c>
      <c r="F18" s="10" t="str">
        <f>_xlfn.XLOOKUP($D18,Tab_Def_Processes[Name(EN)],Tab_Def_Processes[TC?],,0,)</f>
        <v>Yes</v>
      </c>
      <c r="G18" s="10" t="str">
        <f>_xlfn.XLOOKUP($D18,Tab_Def_Processes[Name(EN)],Tab_Def_Processes[Dyn_TC?],,0,)</f>
        <v>No</v>
      </c>
      <c r="H18" s="10" t="str">
        <f>_xlfn.XLOOKUP($D18,Tab_Def_Processes[Name(EN)],Tab_Def_Processes[Stock?],,0,)</f>
        <v>Yes</v>
      </c>
      <c r="I18" s="10" t="str">
        <f>_xlfn.XLOOKUP($D18,Tab_Def_Processes[Name(EN)],Tab_Def_Processes[Initial_Stock?],,0,)</f>
        <v>No</v>
      </c>
      <c r="J18" s="10" t="str">
        <f>_xlfn.XLOOKUP($D18,Tab_Def_Processes[Name(EN)],Tab_Def_Processes[DSM?],,0,)</f>
        <v>No</v>
      </c>
      <c r="K18" s="10" t="str">
        <f>_xlfn.XLOOKUP($D18,Tab_Def_Processes[Name(EN)],Tab_Def_Processes[FOMP?],,0,)</f>
        <v>Yes</v>
      </c>
      <c r="L18" s="10">
        <f>_xlfn.XLOOKUP($D18,Tab_Def_Processes[Name(EN)],Tab_Def_Processes[Nr. Outflows],,0,)</f>
        <v>2</v>
      </c>
      <c r="M18" s="192" t="s">
        <v>402</v>
      </c>
      <c r="N18" s="177" t="str">
        <f>_xlfn.XLOOKUP($M18,Tab_Def_Flows[Name(EN)],Tab_Def_Flows[Flow_ID],,0,)</f>
        <v>F_10_00</v>
      </c>
      <c r="O18" s="44" t="str">
        <f t="shared" si="1"/>
        <v>TC_10_00</v>
      </c>
      <c r="P18" s="195">
        <v>0.5</v>
      </c>
      <c r="Q18" s="38"/>
      <c r="R18" s="38"/>
      <c r="S18" s="38"/>
      <c r="T18" s="38"/>
      <c r="U18" s="38"/>
    </row>
    <row r="19" spans="1:21" x14ac:dyDescent="0.25">
      <c r="A19" s="197" t="b">
        <v>0</v>
      </c>
      <c r="B19" s="10">
        <f t="shared" si="0"/>
        <v>18</v>
      </c>
      <c r="C19" s="49" t="str">
        <f>_xlfn.XLOOKUP($D19,Tab_Def_Processes[Name(EN)],Tab_Def_Processes[ID],,0,)</f>
        <v>10</v>
      </c>
      <c r="D19" s="192" t="s">
        <v>101</v>
      </c>
      <c r="E19" s="10" t="str">
        <f>_xlfn.XLOOKUP($D19,Tab_Def_Processes[Name(EN)],Tab_Def_Processes[Process_Type],,0,)</f>
        <v>Process</v>
      </c>
      <c r="F19" s="10" t="str">
        <f>_xlfn.XLOOKUP($D19,Tab_Def_Processes[Name(EN)],Tab_Def_Processes[TC?],,0,)</f>
        <v>Yes</v>
      </c>
      <c r="G19" s="10" t="str">
        <f>_xlfn.XLOOKUP($D19,Tab_Def_Processes[Name(EN)],Tab_Def_Processes[Dyn_TC?],,0,)</f>
        <v>No</v>
      </c>
      <c r="H19" s="10" t="str">
        <f>_xlfn.XLOOKUP($D19,Tab_Def_Processes[Name(EN)],Tab_Def_Processes[Stock?],,0,)</f>
        <v>Yes</v>
      </c>
      <c r="I19" s="10" t="str">
        <f>_xlfn.XLOOKUP($D19,Tab_Def_Processes[Name(EN)],Tab_Def_Processes[Initial_Stock?],,0,)</f>
        <v>No</v>
      </c>
      <c r="J19" s="10" t="str">
        <f>_xlfn.XLOOKUP($D19,Tab_Def_Processes[Name(EN)],Tab_Def_Processes[DSM?],,0,)</f>
        <v>No</v>
      </c>
      <c r="K19" s="10" t="str">
        <f>_xlfn.XLOOKUP($D19,Tab_Def_Processes[Name(EN)],Tab_Def_Processes[FOMP?],,0,)</f>
        <v>Yes</v>
      </c>
      <c r="L19" s="10">
        <f>_xlfn.XLOOKUP($D19,Tab_Def_Processes[Name(EN)],Tab_Def_Processes[Nr. Outflows],,0,)</f>
        <v>2</v>
      </c>
      <c r="M19" s="192" t="s">
        <v>403</v>
      </c>
      <c r="N19" s="177" t="str">
        <f>_xlfn.XLOOKUP($M19,Tab_Def_Flows[Name(EN)],Tab_Def_Flows[Flow_ID],,0,)</f>
        <v>F_10_01</v>
      </c>
      <c r="O19" s="44" t="str">
        <f t="shared" si="1"/>
        <v>TC_10_01</v>
      </c>
      <c r="P19" s="195">
        <v>0.5</v>
      </c>
      <c r="Q19" s="38"/>
      <c r="R19" s="38"/>
      <c r="S19" s="38"/>
      <c r="T19" s="38"/>
      <c r="U19" s="38"/>
    </row>
    <row r="20" spans="1:21" x14ac:dyDescent="0.25">
      <c r="A20" s="197" t="b">
        <v>0</v>
      </c>
      <c r="B20" s="10">
        <f t="shared" si="0"/>
        <v>19</v>
      </c>
      <c r="C20" s="49" t="e">
        <f>_xlfn.XLOOKUP($D20,Tab_Def_Processes[Name(EN)],Tab_Def_Processes[ID],,0,)</f>
        <v>#N/A</v>
      </c>
      <c r="D20" s="192" t="s">
        <v>35</v>
      </c>
      <c r="E20" s="10" t="e">
        <f>_xlfn.XLOOKUP($D20,Tab_Def_Processes[Name(EN)],Tab_Def_Processes[Process_Type],,0,)</f>
        <v>#N/A</v>
      </c>
      <c r="F20" s="10" t="e">
        <f>_xlfn.XLOOKUP($D20,Tab_Def_Processes[Name(EN)],Tab_Def_Processes[TC?],,0,)</f>
        <v>#N/A</v>
      </c>
      <c r="G20" s="10" t="e">
        <f>_xlfn.XLOOKUP($D20,Tab_Def_Processes[Name(EN)],Tab_Def_Processes[Dyn_TC?],,0,)</f>
        <v>#N/A</v>
      </c>
      <c r="H20" s="10" t="e">
        <f>_xlfn.XLOOKUP($D20,Tab_Def_Processes[Name(EN)],Tab_Def_Processes[Stock?],,0,)</f>
        <v>#N/A</v>
      </c>
      <c r="I20" s="10" t="e">
        <f>_xlfn.XLOOKUP($D20,Tab_Def_Processes[Name(EN)],Tab_Def_Processes[Initial_Stock?],,0,)</f>
        <v>#N/A</v>
      </c>
      <c r="J20" s="10" t="e">
        <f>_xlfn.XLOOKUP($D20,Tab_Def_Processes[Name(EN)],Tab_Def_Processes[DSM?],,0,)</f>
        <v>#N/A</v>
      </c>
      <c r="K20" s="10" t="e">
        <f>_xlfn.XLOOKUP($D20,Tab_Def_Processes[Name(EN)],Tab_Def_Processes[FOMP?],,0,)</f>
        <v>#N/A</v>
      </c>
      <c r="L20" s="10" t="e">
        <f>_xlfn.XLOOKUP($D20,Tab_Def_Processes[Name(EN)],Tab_Def_Processes[Nr. Outflows],,0,)</f>
        <v>#N/A</v>
      </c>
      <c r="M20" s="192"/>
      <c r="N20" s="177" t="str">
        <f>_xlfn.XLOOKUP($M20,Tab_Def_Flows[Name(EN)],Tab_Def_Flows[Flow_ID],,0,)</f>
        <v>F_12_12</v>
      </c>
      <c r="O20" s="44" t="str">
        <f t="shared" si="1"/>
        <v>TC_12_12</v>
      </c>
      <c r="P20" s="195"/>
      <c r="Q20" s="38"/>
      <c r="R20" s="38"/>
      <c r="S20" s="38"/>
      <c r="T20" s="38"/>
      <c r="U20" s="38"/>
    </row>
    <row r="21" spans="1:21" x14ac:dyDescent="0.25">
      <c r="A21" s="197" t="b">
        <v>0</v>
      </c>
      <c r="B21" s="10">
        <f t="shared" si="0"/>
        <v>20</v>
      </c>
      <c r="C21" s="49" t="e">
        <f>_xlfn.XLOOKUP($D21,Tab_Def_Processes[Name(EN)],Tab_Def_Processes[ID],,0,)</f>
        <v>#N/A</v>
      </c>
      <c r="D21" s="192" t="s">
        <v>35</v>
      </c>
      <c r="E21" s="10" t="e">
        <f>_xlfn.XLOOKUP($D21,Tab_Def_Processes[Name(EN)],Tab_Def_Processes[Process_Type],,0,)</f>
        <v>#N/A</v>
      </c>
      <c r="F21" s="10" t="e">
        <f>_xlfn.XLOOKUP($D21,Tab_Def_Processes[Name(EN)],Tab_Def_Processes[TC?],,0,)</f>
        <v>#N/A</v>
      </c>
      <c r="G21" s="10" t="e">
        <f>_xlfn.XLOOKUP($D21,Tab_Def_Processes[Name(EN)],Tab_Def_Processes[Dyn_TC?],,0,)</f>
        <v>#N/A</v>
      </c>
      <c r="H21" s="10" t="e">
        <f>_xlfn.XLOOKUP($D21,Tab_Def_Processes[Name(EN)],Tab_Def_Processes[Stock?],,0,)</f>
        <v>#N/A</v>
      </c>
      <c r="I21" s="10" t="e">
        <f>_xlfn.XLOOKUP($D21,Tab_Def_Processes[Name(EN)],Tab_Def_Processes[Initial_Stock?],,0,)</f>
        <v>#N/A</v>
      </c>
      <c r="J21" s="10" t="e">
        <f>_xlfn.XLOOKUP($D21,Tab_Def_Processes[Name(EN)],Tab_Def_Processes[DSM?],,0,)</f>
        <v>#N/A</v>
      </c>
      <c r="K21" s="10" t="e">
        <f>_xlfn.XLOOKUP($D21,Tab_Def_Processes[Name(EN)],Tab_Def_Processes[FOMP?],,0,)</f>
        <v>#N/A</v>
      </c>
      <c r="L21" s="10" t="e">
        <f>_xlfn.XLOOKUP($D21,Tab_Def_Processes[Name(EN)],Tab_Def_Processes[Nr. Outflows],,0,)</f>
        <v>#N/A</v>
      </c>
      <c r="M21" s="192"/>
      <c r="N21" s="177" t="str">
        <f>_xlfn.XLOOKUP($M21,Tab_Def_Flows[Name(EN)],Tab_Def_Flows[Flow_ID],,0,)</f>
        <v>F_12_12</v>
      </c>
      <c r="O21" s="44" t="str">
        <f t="shared" si="1"/>
        <v>TC_12_12</v>
      </c>
      <c r="P21" s="195"/>
      <c r="Q21" s="38"/>
      <c r="R21" s="38"/>
      <c r="S21" s="38"/>
      <c r="T21" s="38"/>
      <c r="U21" s="38"/>
    </row>
    <row r="22" spans="1:21" x14ac:dyDescent="0.25">
      <c r="A22" s="197" t="b">
        <v>0</v>
      </c>
      <c r="B22" s="10">
        <f t="shared" si="0"/>
        <v>21</v>
      </c>
      <c r="C22" s="49" t="e">
        <f>_xlfn.XLOOKUP($D22,Tab_Def_Processes[Name(EN)],Tab_Def_Processes[ID],,0,)</f>
        <v>#N/A</v>
      </c>
      <c r="D22" s="192" t="s">
        <v>35</v>
      </c>
      <c r="E22" s="10" t="e">
        <f>_xlfn.XLOOKUP($D22,Tab_Def_Processes[Name(EN)],Tab_Def_Processes[Process_Type],,0,)</f>
        <v>#N/A</v>
      </c>
      <c r="F22" s="10" t="e">
        <f>_xlfn.XLOOKUP($D22,Tab_Def_Processes[Name(EN)],Tab_Def_Processes[TC?],,0,)</f>
        <v>#N/A</v>
      </c>
      <c r="G22" s="10" t="e">
        <f>_xlfn.XLOOKUP($D22,Tab_Def_Processes[Name(EN)],Tab_Def_Processes[Dyn_TC?],,0,)</f>
        <v>#N/A</v>
      </c>
      <c r="H22" s="10" t="e">
        <f>_xlfn.XLOOKUP($D22,Tab_Def_Processes[Name(EN)],Tab_Def_Processes[Stock?],,0,)</f>
        <v>#N/A</v>
      </c>
      <c r="I22" s="10" t="e">
        <f>_xlfn.XLOOKUP($D22,Tab_Def_Processes[Name(EN)],Tab_Def_Processes[Initial_Stock?],,0,)</f>
        <v>#N/A</v>
      </c>
      <c r="J22" s="10" t="e">
        <f>_xlfn.XLOOKUP($D22,Tab_Def_Processes[Name(EN)],Tab_Def_Processes[DSM?],,0,)</f>
        <v>#N/A</v>
      </c>
      <c r="K22" s="10" t="e">
        <f>_xlfn.XLOOKUP($D22,Tab_Def_Processes[Name(EN)],Tab_Def_Processes[FOMP?],,0,)</f>
        <v>#N/A</v>
      </c>
      <c r="L22" s="10" t="e">
        <f>_xlfn.XLOOKUP($D22,Tab_Def_Processes[Name(EN)],Tab_Def_Processes[Nr. Outflows],,0,)</f>
        <v>#N/A</v>
      </c>
      <c r="M22" s="192"/>
      <c r="N22" s="177" t="str">
        <f>_xlfn.XLOOKUP($M22,Tab_Def_Flows[Name(EN)],Tab_Def_Flows[Flow_ID],,0,)</f>
        <v>F_12_12</v>
      </c>
      <c r="O22" s="44" t="str">
        <f t="shared" si="1"/>
        <v>TC_12_12</v>
      </c>
      <c r="P22" s="195"/>
      <c r="Q22" s="38"/>
      <c r="R22" s="38"/>
      <c r="S22" s="38"/>
      <c r="T22" s="38"/>
      <c r="U22" s="38"/>
    </row>
    <row r="23" spans="1:21" x14ac:dyDescent="0.25">
      <c r="A23" s="197" t="b">
        <v>0</v>
      </c>
      <c r="B23" s="10">
        <f t="shared" si="0"/>
        <v>22</v>
      </c>
      <c r="C23" s="49" t="e">
        <f>_xlfn.XLOOKUP($D23,Tab_Def_Processes[Name(EN)],Tab_Def_Processes[ID],,0,)</f>
        <v>#N/A</v>
      </c>
      <c r="D23" s="192" t="s">
        <v>35</v>
      </c>
      <c r="E23" s="10" t="e">
        <f>_xlfn.XLOOKUP($D23,Tab_Def_Processes[Name(EN)],Tab_Def_Processes[Process_Type],,0,)</f>
        <v>#N/A</v>
      </c>
      <c r="F23" s="10" t="e">
        <f>_xlfn.XLOOKUP($D23,Tab_Def_Processes[Name(EN)],Tab_Def_Processes[TC?],,0,)</f>
        <v>#N/A</v>
      </c>
      <c r="G23" s="10" t="e">
        <f>_xlfn.XLOOKUP($D23,Tab_Def_Processes[Name(EN)],Tab_Def_Processes[Dyn_TC?],,0,)</f>
        <v>#N/A</v>
      </c>
      <c r="H23" s="10" t="e">
        <f>_xlfn.XLOOKUP($D23,Tab_Def_Processes[Name(EN)],Tab_Def_Processes[Stock?],,0,)</f>
        <v>#N/A</v>
      </c>
      <c r="I23" s="10" t="e">
        <f>_xlfn.XLOOKUP($D23,Tab_Def_Processes[Name(EN)],Tab_Def_Processes[Initial_Stock?],,0,)</f>
        <v>#N/A</v>
      </c>
      <c r="J23" s="10" t="e">
        <f>_xlfn.XLOOKUP($D23,Tab_Def_Processes[Name(EN)],Tab_Def_Processes[DSM?],,0,)</f>
        <v>#N/A</v>
      </c>
      <c r="K23" s="10" t="e">
        <f>_xlfn.XLOOKUP($D23,Tab_Def_Processes[Name(EN)],Tab_Def_Processes[FOMP?],,0,)</f>
        <v>#N/A</v>
      </c>
      <c r="L23" s="10" t="e">
        <f>_xlfn.XLOOKUP($D23,Tab_Def_Processes[Name(EN)],Tab_Def_Processes[Nr. Outflows],,0,)</f>
        <v>#N/A</v>
      </c>
      <c r="M23" s="192"/>
      <c r="N23" s="177" t="str">
        <f>_xlfn.XLOOKUP($M23,Tab_Def_Flows[Name(EN)],Tab_Def_Flows[Flow_ID],,0,)</f>
        <v>F_12_12</v>
      </c>
      <c r="O23" s="44" t="str">
        <f t="shared" si="1"/>
        <v>TC_12_12</v>
      </c>
      <c r="P23" s="195"/>
      <c r="Q23" s="38"/>
      <c r="R23" s="38"/>
      <c r="S23" s="38"/>
      <c r="T23" s="38"/>
      <c r="U23" s="38"/>
    </row>
    <row r="24" spans="1:21" x14ac:dyDescent="0.25">
      <c r="A24" s="197" t="b">
        <v>0</v>
      </c>
      <c r="B24" s="10">
        <f t="shared" si="0"/>
        <v>23</v>
      </c>
      <c r="C24" s="49" t="e">
        <f>_xlfn.XLOOKUP($D24,Tab_Def_Processes[Name(EN)],Tab_Def_Processes[ID],,0,)</f>
        <v>#N/A</v>
      </c>
      <c r="D24" s="192" t="s">
        <v>35</v>
      </c>
      <c r="E24" s="10" t="e">
        <f>_xlfn.XLOOKUP($D24,Tab_Def_Processes[Name(EN)],Tab_Def_Processes[Process_Type],,0,)</f>
        <v>#N/A</v>
      </c>
      <c r="F24" s="10" t="e">
        <f>_xlfn.XLOOKUP($D24,Tab_Def_Processes[Name(EN)],Tab_Def_Processes[TC?],,0,)</f>
        <v>#N/A</v>
      </c>
      <c r="G24" s="10" t="e">
        <f>_xlfn.XLOOKUP($D24,Tab_Def_Processes[Name(EN)],Tab_Def_Processes[Dyn_TC?],,0,)</f>
        <v>#N/A</v>
      </c>
      <c r="H24" s="10" t="e">
        <f>_xlfn.XLOOKUP($D24,Tab_Def_Processes[Name(EN)],Tab_Def_Processes[Stock?],,0,)</f>
        <v>#N/A</v>
      </c>
      <c r="I24" s="10" t="e">
        <f>_xlfn.XLOOKUP($D24,Tab_Def_Processes[Name(EN)],Tab_Def_Processes[Initial_Stock?],,0,)</f>
        <v>#N/A</v>
      </c>
      <c r="J24" s="10" t="e">
        <f>_xlfn.XLOOKUP($D24,Tab_Def_Processes[Name(EN)],Tab_Def_Processes[DSM?],,0,)</f>
        <v>#N/A</v>
      </c>
      <c r="K24" s="10" t="e">
        <f>_xlfn.XLOOKUP($D24,Tab_Def_Processes[Name(EN)],Tab_Def_Processes[FOMP?],,0,)</f>
        <v>#N/A</v>
      </c>
      <c r="L24" s="10" t="e">
        <f>_xlfn.XLOOKUP($D24,Tab_Def_Processes[Name(EN)],Tab_Def_Processes[Nr. Outflows],,0,)</f>
        <v>#N/A</v>
      </c>
      <c r="M24" s="192"/>
      <c r="N24" s="177" t="str">
        <f>_xlfn.XLOOKUP($M24,Tab_Def_Flows[Name(EN)],Tab_Def_Flows[Flow_ID],,0,)</f>
        <v>F_12_12</v>
      </c>
      <c r="O24" s="44" t="str">
        <f t="shared" si="1"/>
        <v>TC_12_12</v>
      </c>
      <c r="P24" s="195"/>
      <c r="Q24" s="38"/>
      <c r="R24" s="38"/>
      <c r="S24" s="38"/>
      <c r="T24" s="38"/>
      <c r="U24" s="38"/>
    </row>
    <row r="25" spans="1:21" x14ac:dyDescent="0.25">
      <c r="A25" s="197" t="b">
        <v>0</v>
      </c>
      <c r="B25" s="10">
        <f t="shared" si="0"/>
        <v>24</v>
      </c>
      <c r="C25" s="49" t="e">
        <f>_xlfn.XLOOKUP($D25,Tab_Def_Processes[Name(EN)],Tab_Def_Processes[ID],,0,)</f>
        <v>#N/A</v>
      </c>
      <c r="D25" s="192" t="s">
        <v>35</v>
      </c>
      <c r="E25" s="10" t="e">
        <f>_xlfn.XLOOKUP($D25,Tab_Def_Processes[Name(EN)],Tab_Def_Processes[Process_Type],,0,)</f>
        <v>#N/A</v>
      </c>
      <c r="F25" s="10" t="e">
        <f>_xlfn.XLOOKUP($D25,Tab_Def_Processes[Name(EN)],Tab_Def_Processes[TC?],,0,)</f>
        <v>#N/A</v>
      </c>
      <c r="G25" s="10" t="e">
        <f>_xlfn.XLOOKUP($D25,Tab_Def_Processes[Name(EN)],Tab_Def_Processes[Dyn_TC?],,0,)</f>
        <v>#N/A</v>
      </c>
      <c r="H25" s="10" t="e">
        <f>_xlfn.XLOOKUP($D25,Tab_Def_Processes[Name(EN)],Tab_Def_Processes[Stock?],,0,)</f>
        <v>#N/A</v>
      </c>
      <c r="I25" s="10" t="e">
        <f>_xlfn.XLOOKUP($D25,Tab_Def_Processes[Name(EN)],Tab_Def_Processes[Initial_Stock?],,0,)</f>
        <v>#N/A</v>
      </c>
      <c r="J25" s="10" t="e">
        <f>_xlfn.XLOOKUP($D25,Tab_Def_Processes[Name(EN)],Tab_Def_Processes[DSM?],,0,)</f>
        <v>#N/A</v>
      </c>
      <c r="K25" s="10" t="e">
        <f>_xlfn.XLOOKUP($D25,Tab_Def_Processes[Name(EN)],Tab_Def_Processes[FOMP?],,0,)</f>
        <v>#N/A</v>
      </c>
      <c r="L25" s="10" t="e">
        <f>_xlfn.XLOOKUP($D25,Tab_Def_Processes[Name(EN)],Tab_Def_Processes[Nr. Outflows],,0,)</f>
        <v>#N/A</v>
      </c>
      <c r="M25" s="192"/>
      <c r="N25" s="177" t="str">
        <f>_xlfn.XLOOKUP($M25,Tab_Def_Flows[Name(EN)],Tab_Def_Flows[Flow_ID],,0,)</f>
        <v>F_12_12</v>
      </c>
      <c r="O25" s="44" t="str">
        <f t="shared" si="1"/>
        <v>TC_12_12</v>
      </c>
      <c r="P25" s="195"/>
      <c r="Q25" s="38"/>
      <c r="R25" s="38"/>
      <c r="S25" s="38"/>
      <c r="T25" s="38"/>
      <c r="U25" s="38"/>
    </row>
    <row r="26" spans="1:21" x14ac:dyDescent="0.25">
      <c r="A26" s="197" t="b">
        <v>0</v>
      </c>
      <c r="B26" s="10">
        <f t="shared" si="0"/>
        <v>25</v>
      </c>
      <c r="C26" s="49" t="e">
        <f>_xlfn.XLOOKUP($D26,Tab_Def_Processes[Name(EN)],Tab_Def_Processes[ID],,0,)</f>
        <v>#N/A</v>
      </c>
      <c r="D26" s="192" t="s">
        <v>35</v>
      </c>
      <c r="E26" s="10" t="e">
        <f>_xlfn.XLOOKUP($D26,Tab_Def_Processes[Name(EN)],Tab_Def_Processes[Process_Type],,0,)</f>
        <v>#N/A</v>
      </c>
      <c r="F26" s="10" t="e">
        <f>_xlfn.XLOOKUP($D26,Tab_Def_Processes[Name(EN)],Tab_Def_Processes[TC?],,0,)</f>
        <v>#N/A</v>
      </c>
      <c r="G26" s="10" t="e">
        <f>_xlfn.XLOOKUP($D26,Tab_Def_Processes[Name(EN)],Tab_Def_Processes[Dyn_TC?],,0,)</f>
        <v>#N/A</v>
      </c>
      <c r="H26" s="10" t="e">
        <f>_xlfn.XLOOKUP($D26,Tab_Def_Processes[Name(EN)],Tab_Def_Processes[Stock?],,0,)</f>
        <v>#N/A</v>
      </c>
      <c r="I26" s="10" t="e">
        <f>_xlfn.XLOOKUP($D26,Tab_Def_Processes[Name(EN)],Tab_Def_Processes[Initial_Stock?],,0,)</f>
        <v>#N/A</v>
      </c>
      <c r="J26" s="10" t="e">
        <f>_xlfn.XLOOKUP($D26,Tab_Def_Processes[Name(EN)],Tab_Def_Processes[DSM?],,0,)</f>
        <v>#N/A</v>
      </c>
      <c r="K26" s="10" t="e">
        <f>_xlfn.XLOOKUP($D26,Tab_Def_Processes[Name(EN)],Tab_Def_Processes[FOMP?],,0,)</f>
        <v>#N/A</v>
      </c>
      <c r="L26" s="10" t="e">
        <f>_xlfn.XLOOKUP($D26,Tab_Def_Processes[Name(EN)],Tab_Def_Processes[Nr. Outflows],,0,)</f>
        <v>#N/A</v>
      </c>
      <c r="M26" s="192"/>
      <c r="N26" s="177" t="str">
        <f>_xlfn.XLOOKUP($M26,Tab_Def_Flows[Name(EN)],Tab_Def_Flows[Flow_ID],,0,)</f>
        <v>F_12_12</v>
      </c>
      <c r="O26" s="44" t="str">
        <f t="shared" si="1"/>
        <v>TC_12_12</v>
      </c>
      <c r="P26" s="195"/>
      <c r="Q26" s="38"/>
      <c r="R26" s="38"/>
      <c r="S26" s="38"/>
      <c r="T26" s="38"/>
      <c r="U26" s="38"/>
    </row>
    <row r="27" spans="1:21" x14ac:dyDescent="0.25">
      <c r="A27" s="197" t="b">
        <v>0</v>
      </c>
      <c r="B27" s="10">
        <f t="shared" si="0"/>
        <v>26</v>
      </c>
      <c r="C27" s="49" t="e">
        <f>_xlfn.XLOOKUP($D27,Tab_Def_Processes[Name(EN)],Tab_Def_Processes[ID],,0,)</f>
        <v>#N/A</v>
      </c>
      <c r="D27" s="192" t="s">
        <v>35</v>
      </c>
      <c r="E27" s="10" t="e">
        <f>_xlfn.XLOOKUP($D27,Tab_Def_Processes[Name(EN)],Tab_Def_Processes[Process_Type],,0,)</f>
        <v>#N/A</v>
      </c>
      <c r="F27" s="10" t="e">
        <f>_xlfn.XLOOKUP($D27,Tab_Def_Processes[Name(EN)],Tab_Def_Processes[TC?],,0,)</f>
        <v>#N/A</v>
      </c>
      <c r="G27" s="10" t="e">
        <f>_xlfn.XLOOKUP($D27,Tab_Def_Processes[Name(EN)],Tab_Def_Processes[Dyn_TC?],,0,)</f>
        <v>#N/A</v>
      </c>
      <c r="H27" s="10" t="e">
        <f>_xlfn.XLOOKUP($D27,Tab_Def_Processes[Name(EN)],Tab_Def_Processes[Stock?],,0,)</f>
        <v>#N/A</v>
      </c>
      <c r="I27" s="10" t="e">
        <f>_xlfn.XLOOKUP($D27,Tab_Def_Processes[Name(EN)],Tab_Def_Processes[Initial_Stock?],,0,)</f>
        <v>#N/A</v>
      </c>
      <c r="J27" s="10" t="e">
        <f>_xlfn.XLOOKUP($D27,Tab_Def_Processes[Name(EN)],Tab_Def_Processes[DSM?],,0,)</f>
        <v>#N/A</v>
      </c>
      <c r="K27" s="10" t="e">
        <f>_xlfn.XLOOKUP($D27,Tab_Def_Processes[Name(EN)],Tab_Def_Processes[FOMP?],,0,)</f>
        <v>#N/A</v>
      </c>
      <c r="L27" s="10" t="e">
        <f>_xlfn.XLOOKUP($D27,Tab_Def_Processes[Name(EN)],Tab_Def_Processes[Nr. Outflows],,0,)</f>
        <v>#N/A</v>
      </c>
      <c r="M27" s="192"/>
      <c r="N27" s="177" t="str">
        <f>_xlfn.XLOOKUP($M27,Tab_Def_Flows[Name(EN)],Tab_Def_Flows[Flow_ID],,0,)</f>
        <v>F_12_12</v>
      </c>
      <c r="O27" s="44" t="str">
        <f t="shared" si="1"/>
        <v>TC_12_12</v>
      </c>
      <c r="P27" s="195"/>
      <c r="Q27" s="38"/>
      <c r="R27" s="38"/>
      <c r="S27" s="38"/>
      <c r="T27" s="38"/>
      <c r="U27" s="38"/>
    </row>
    <row r="28" spans="1:21" x14ac:dyDescent="0.25">
      <c r="A28" s="197" t="b">
        <v>0</v>
      </c>
      <c r="B28" s="10">
        <f t="shared" si="0"/>
        <v>27</v>
      </c>
      <c r="C28" s="49" t="e">
        <f>_xlfn.XLOOKUP($D28,Tab_Def_Processes[Name(EN)],Tab_Def_Processes[ID],,0,)</f>
        <v>#N/A</v>
      </c>
      <c r="D28" s="192" t="s">
        <v>35</v>
      </c>
      <c r="E28" s="10" t="e">
        <f>_xlfn.XLOOKUP($D28,Tab_Def_Processes[Name(EN)],Tab_Def_Processes[Process_Type],,0,)</f>
        <v>#N/A</v>
      </c>
      <c r="F28" s="10" t="e">
        <f>_xlfn.XLOOKUP($D28,Tab_Def_Processes[Name(EN)],Tab_Def_Processes[TC?],,0,)</f>
        <v>#N/A</v>
      </c>
      <c r="G28" s="10" t="e">
        <f>_xlfn.XLOOKUP($D28,Tab_Def_Processes[Name(EN)],Tab_Def_Processes[Dyn_TC?],,0,)</f>
        <v>#N/A</v>
      </c>
      <c r="H28" s="10" t="e">
        <f>_xlfn.XLOOKUP($D28,Tab_Def_Processes[Name(EN)],Tab_Def_Processes[Stock?],,0,)</f>
        <v>#N/A</v>
      </c>
      <c r="I28" s="10" t="e">
        <f>_xlfn.XLOOKUP($D28,Tab_Def_Processes[Name(EN)],Tab_Def_Processes[Initial_Stock?],,0,)</f>
        <v>#N/A</v>
      </c>
      <c r="J28" s="10" t="e">
        <f>_xlfn.XLOOKUP($D28,Tab_Def_Processes[Name(EN)],Tab_Def_Processes[DSM?],,0,)</f>
        <v>#N/A</v>
      </c>
      <c r="K28" s="10" t="e">
        <f>_xlfn.XLOOKUP($D28,Tab_Def_Processes[Name(EN)],Tab_Def_Processes[FOMP?],,0,)</f>
        <v>#N/A</v>
      </c>
      <c r="L28" s="10" t="e">
        <f>_xlfn.XLOOKUP($D28,Tab_Def_Processes[Name(EN)],Tab_Def_Processes[Nr. Outflows],,0,)</f>
        <v>#N/A</v>
      </c>
      <c r="M28" s="192"/>
      <c r="N28" s="177" t="str">
        <f>_xlfn.XLOOKUP($M28,Tab_Def_Flows[Name(EN)],Tab_Def_Flows[Flow_ID],,0,)</f>
        <v>F_12_12</v>
      </c>
      <c r="O28" s="44" t="str">
        <f t="shared" si="1"/>
        <v>TC_12_12</v>
      </c>
      <c r="P28" s="195"/>
      <c r="Q28" s="38"/>
      <c r="R28" s="38"/>
      <c r="S28" s="38"/>
      <c r="T28" s="38"/>
      <c r="U28" s="38"/>
    </row>
    <row r="29" spans="1:21" x14ac:dyDescent="0.25">
      <c r="A29" s="197" t="b">
        <v>0</v>
      </c>
      <c r="B29" s="10">
        <f t="shared" si="0"/>
        <v>28</v>
      </c>
      <c r="C29" s="49" t="e">
        <f>_xlfn.XLOOKUP($D29,Tab_Def_Processes[Name(EN)],Tab_Def_Processes[ID],,0,)</f>
        <v>#N/A</v>
      </c>
      <c r="D29" s="192" t="s">
        <v>35</v>
      </c>
      <c r="E29" s="10" t="e">
        <f>_xlfn.XLOOKUP($D29,Tab_Def_Processes[Name(EN)],Tab_Def_Processes[Process_Type],,0,)</f>
        <v>#N/A</v>
      </c>
      <c r="F29" s="10" t="e">
        <f>_xlfn.XLOOKUP($D29,Tab_Def_Processes[Name(EN)],Tab_Def_Processes[TC?],,0,)</f>
        <v>#N/A</v>
      </c>
      <c r="G29" s="10" t="e">
        <f>_xlfn.XLOOKUP($D29,Tab_Def_Processes[Name(EN)],Tab_Def_Processes[Dyn_TC?],,0,)</f>
        <v>#N/A</v>
      </c>
      <c r="H29" s="10" t="e">
        <f>_xlfn.XLOOKUP($D29,Tab_Def_Processes[Name(EN)],Tab_Def_Processes[Stock?],,0,)</f>
        <v>#N/A</v>
      </c>
      <c r="I29" s="10" t="e">
        <f>_xlfn.XLOOKUP($D29,Tab_Def_Processes[Name(EN)],Tab_Def_Processes[Initial_Stock?],,0,)</f>
        <v>#N/A</v>
      </c>
      <c r="J29" s="10" t="e">
        <f>_xlfn.XLOOKUP($D29,Tab_Def_Processes[Name(EN)],Tab_Def_Processes[DSM?],,0,)</f>
        <v>#N/A</v>
      </c>
      <c r="K29" s="10" t="e">
        <f>_xlfn.XLOOKUP($D29,Tab_Def_Processes[Name(EN)],Tab_Def_Processes[FOMP?],,0,)</f>
        <v>#N/A</v>
      </c>
      <c r="L29" s="10" t="e">
        <f>_xlfn.XLOOKUP($D29,Tab_Def_Processes[Name(EN)],Tab_Def_Processes[Nr. Outflows],,0,)</f>
        <v>#N/A</v>
      </c>
      <c r="M29" s="192"/>
      <c r="N29" s="177" t="str">
        <f>_xlfn.XLOOKUP($M29,Tab_Def_Flows[Name(EN)],Tab_Def_Flows[Flow_ID],,0,)</f>
        <v>F_12_12</v>
      </c>
      <c r="O29" s="44" t="str">
        <f t="shared" si="1"/>
        <v>TC_12_12</v>
      </c>
      <c r="P29" s="195"/>
      <c r="Q29" s="38"/>
      <c r="R29" s="38"/>
      <c r="S29" s="38"/>
      <c r="T29" s="38"/>
      <c r="U29" s="38"/>
    </row>
    <row r="30" spans="1:21" x14ac:dyDescent="0.25">
      <c r="A30" s="197" t="b">
        <v>0</v>
      </c>
      <c r="B30" s="10">
        <f t="shared" si="0"/>
        <v>29</v>
      </c>
      <c r="C30" s="49" t="e">
        <f>_xlfn.XLOOKUP($D30,Tab_Def_Processes[Name(EN)],Tab_Def_Processes[ID],,0,)</f>
        <v>#N/A</v>
      </c>
      <c r="D30" s="192" t="s">
        <v>35</v>
      </c>
      <c r="E30" s="10" t="e">
        <f>_xlfn.XLOOKUP($D30,Tab_Def_Processes[Name(EN)],Tab_Def_Processes[Process_Type],,0,)</f>
        <v>#N/A</v>
      </c>
      <c r="F30" s="10" t="e">
        <f>_xlfn.XLOOKUP($D30,Tab_Def_Processes[Name(EN)],Tab_Def_Processes[TC?],,0,)</f>
        <v>#N/A</v>
      </c>
      <c r="G30" s="10" t="e">
        <f>_xlfn.XLOOKUP($D30,Tab_Def_Processes[Name(EN)],Tab_Def_Processes[Dyn_TC?],,0,)</f>
        <v>#N/A</v>
      </c>
      <c r="H30" s="10" t="e">
        <f>_xlfn.XLOOKUP($D30,Tab_Def_Processes[Name(EN)],Tab_Def_Processes[Stock?],,0,)</f>
        <v>#N/A</v>
      </c>
      <c r="I30" s="10" t="e">
        <f>_xlfn.XLOOKUP($D30,Tab_Def_Processes[Name(EN)],Tab_Def_Processes[Initial_Stock?],,0,)</f>
        <v>#N/A</v>
      </c>
      <c r="J30" s="10" t="e">
        <f>_xlfn.XLOOKUP($D30,Tab_Def_Processes[Name(EN)],Tab_Def_Processes[DSM?],,0,)</f>
        <v>#N/A</v>
      </c>
      <c r="K30" s="10" t="e">
        <f>_xlfn.XLOOKUP($D30,Tab_Def_Processes[Name(EN)],Tab_Def_Processes[FOMP?],,0,)</f>
        <v>#N/A</v>
      </c>
      <c r="L30" s="10" t="e">
        <f>_xlfn.XLOOKUP($D30,Tab_Def_Processes[Name(EN)],Tab_Def_Processes[Nr. Outflows],,0,)</f>
        <v>#N/A</v>
      </c>
      <c r="M30" s="192"/>
      <c r="N30" s="177" t="str">
        <f>_xlfn.XLOOKUP($M30,Tab_Def_Flows[Name(EN)],Tab_Def_Flows[Flow_ID],,0,)</f>
        <v>F_12_12</v>
      </c>
      <c r="O30" s="44" t="str">
        <f t="shared" si="1"/>
        <v>TC_12_12</v>
      </c>
      <c r="P30" s="195"/>
      <c r="Q30" s="38"/>
      <c r="R30" s="38"/>
      <c r="S30" s="38"/>
      <c r="T30" s="38"/>
      <c r="U30" s="38"/>
    </row>
    <row r="31" spans="1:21" x14ac:dyDescent="0.25">
      <c r="A31" s="197" t="b">
        <v>0</v>
      </c>
      <c r="B31" s="10">
        <f t="shared" si="0"/>
        <v>30</v>
      </c>
      <c r="C31" s="49" t="e">
        <f>_xlfn.XLOOKUP($D31,Tab_Def_Processes[Name(EN)],Tab_Def_Processes[ID],,0,)</f>
        <v>#N/A</v>
      </c>
      <c r="D31" s="192" t="s">
        <v>35</v>
      </c>
      <c r="E31" s="10" t="e">
        <f>_xlfn.XLOOKUP($D31,Tab_Def_Processes[Name(EN)],Tab_Def_Processes[Process_Type],,0,)</f>
        <v>#N/A</v>
      </c>
      <c r="F31" s="10" t="e">
        <f>_xlfn.XLOOKUP($D31,Tab_Def_Processes[Name(EN)],Tab_Def_Processes[TC?],,0,)</f>
        <v>#N/A</v>
      </c>
      <c r="G31" s="10" t="e">
        <f>_xlfn.XLOOKUP($D31,Tab_Def_Processes[Name(EN)],Tab_Def_Processes[Dyn_TC?],,0,)</f>
        <v>#N/A</v>
      </c>
      <c r="H31" s="10" t="e">
        <f>_xlfn.XLOOKUP($D31,Tab_Def_Processes[Name(EN)],Tab_Def_Processes[Stock?],,0,)</f>
        <v>#N/A</v>
      </c>
      <c r="I31" s="10" t="e">
        <f>_xlfn.XLOOKUP($D31,Tab_Def_Processes[Name(EN)],Tab_Def_Processes[Initial_Stock?],,0,)</f>
        <v>#N/A</v>
      </c>
      <c r="J31" s="10" t="e">
        <f>_xlfn.XLOOKUP($D31,Tab_Def_Processes[Name(EN)],Tab_Def_Processes[DSM?],,0,)</f>
        <v>#N/A</v>
      </c>
      <c r="K31" s="10" t="e">
        <f>_xlfn.XLOOKUP($D31,Tab_Def_Processes[Name(EN)],Tab_Def_Processes[FOMP?],,0,)</f>
        <v>#N/A</v>
      </c>
      <c r="L31" s="10" t="e">
        <f>_xlfn.XLOOKUP($D31,Tab_Def_Processes[Name(EN)],Tab_Def_Processes[Nr. Outflows],,0,)</f>
        <v>#N/A</v>
      </c>
      <c r="M31" s="192"/>
      <c r="N31" s="177" t="str">
        <f>_xlfn.XLOOKUP($M31,Tab_Def_Flows[Name(EN)],Tab_Def_Flows[Flow_ID],,0,)</f>
        <v>F_12_12</v>
      </c>
      <c r="O31" s="44" t="str">
        <f t="shared" si="1"/>
        <v>TC_12_12</v>
      </c>
      <c r="P31" s="195"/>
      <c r="Q31" s="38"/>
      <c r="R31" s="38"/>
      <c r="S31" s="38"/>
      <c r="T31" s="38"/>
      <c r="U31" s="38"/>
    </row>
    <row r="32" spans="1:21" x14ac:dyDescent="0.25">
      <c r="A32" s="197" t="b">
        <v>0</v>
      </c>
      <c r="B32" s="10">
        <f t="shared" si="0"/>
        <v>31</v>
      </c>
      <c r="C32" s="49" t="e">
        <f>_xlfn.XLOOKUP($D32,Tab_Def_Processes[Name(EN)],Tab_Def_Processes[ID],,0,)</f>
        <v>#N/A</v>
      </c>
      <c r="D32" s="192" t="s">
        <v>35</v>
      </c>
      <c r="E32" s="10" t="e">
        <f>_xlfn.XLOOKUP($D32,Tab_Def_Processes[Name(EN)],Tab_Def_Processes[Process_Type],,0,)</f>
        <v>#N/A</v>
      </c>
      <c r="F32" s="10" t="e">
        <f>_xlfn.XLOOKUP($D32,Tab_Def_Processes[Name(EN)],Tab_Def_Processes[TC?],,0,)</f>
        <v>#N/A</v>
      </c>
      <c r="G32" s="10" t="e">
        <f>_xlfn.XLOOKUP($D32,Tab_Def_Processes[Name(EN)],Tab_Def_Processes[Dyn_TC?],,0,)</f>
        <v>#N/A</v>
      </c>
      <c r="H32" s="10" t="e">
        <f>_xlfn.XLOOKUP($D32,Tab_Def_Processes[Name(EN)],Tab_Def_Processes[Stock?],,0,)</f>
        <v>#N/A</v>
      </c>
      <c r="I32" s="10" t="e">
        <f>_xlfn.XLOOKUP($D32,Tab_Def_Processes[Name(EN)],Tab_Def_Processes[Initial_Stock?],,0,)</f>
        <v>#N/A</v>
      </c>
      <c r="J32" s="10" t="e">
        <f>_xlfn.XLOOKUP($D32,Tab_Def_Processes[Name(EN)],Tab_Def_Processes[DSM?],,0,)</f>
        <v>#N/A</v>
      </c>
      <c r="K32" s="10" t="e">
        <f>_xlfn.XLOOKUP($D32,Tab_Def_Processes[Name(EN)],Tab_Def_Processes[FOMP?],,0,)</f>
        <v>#N/A</v>
      </c>
      <c r="L32" s="10" t="e">
        <f>_xlfn.XLOOKUP($D32,Tab_Def_Processes[Name(EN)],Tab_Def_Processes[Nr. Outflows],,0,)</f>
        <v>#N/A</v>
      </c>
      <c r="M32" s="192"/>
      <c r="N32" s="177" t="str">
        <f>_xlfn.XLOOKUP($M32,Tab_Def_Flows[Name(EN)],Tab_Def_Flows[Flow_ID],,0,)</f>
        <v>F_12_12</v>
      </c>
      <c r="O32" s="44" t="str">
        <f t="shared" si="1"/>
        <v>TC_12_12</v>
      </c>
      <c r="P32" s="195"/>
      <c r="Q32" s="38"/>
      <c r="R32" s="38"/>
      <c r="S32" s="38"/>
      <c r="T32" s="38"/>
      <c r="U32" s="38"/>
    </row>
    <row r="33" spans="1:21" x14ac:dyDescent="0.25">
      <c r="A33" s="197" t="b">
        <v>0</v>
      </c>
      <c r="B33" s="10">
        <f t="shared" si="0"/>
        <v>32</v>
      </c>
      <c r="C33" s="49" t="e">
        <f>_xlfn.XLOOKUP($D33,Tab_Def_Processes[Name(EN)],Tab_Def_Processes[ID],,0,)</f>
        <v>#N/A</v>
      </c>
      <c r="D33" s="192" t="s">
        <v>35</v>
      </c>
      <c r="E33" s="10" t="e">
        <f>_xlfn.XLOOKUP($D33,Tab_Def_Processes[Name(EN)],Tab_Def_Processes[Process_Type],,0,)</f>
        <v>#N/A</v>
      </c>
      <c r="F33" s="10" t="e">
        <f>_xlfn.XLOOKUP($D33,Tab_Def_Processes[Name(EN)],Tab_Def_Processes[TC?],,0,)</f>
        <v>#N/A</v>
      </c>
      <c r="G33" s="10" t="e">
        <f>_xlfn.XLOOKUP($D33,Tab_Def_Processes[Name(EN)],Tab_Def_Processes[Dyn_TC?],,0,)</f>
        <v>#N/A</v>
      </c>
      <c r="H33" s="10" t="e">
        <f>_xlfn.XLOOKUP($D33,Tab_Def_Processes[Name(EN)],Tab_Def_Processes[Stock?],,0,)</f>
        <v>#N/A</v>
      </c>
      <c r="I33" s="10" t="e">
        <f>_xlfn.XLOOKUP($D33,Tab_Def_Processes[Name(EN)],Tab_Def_Processes[Initial_Stock?],,0,)</f>
        <v>#N/A</v>
      </c>
      <c r="J33" s="10" t="e">
        <f>_xlfn.XLOOKUP($D33,Tab_Def_Processes[Name(EN)],Tab_Def_Processes[DSM?],,0,)</f>
        <v>#N/A</v>
      </c>
      <c r="K33" s="10" t="e">
        <f>_xlfn.XLOOKUP($D33,Tab_Def_Processes[Name(EN)],Tab_Def_Processes[FOMP?],,0,)</f>
        <v>#N/A</v>
      </c>
      <c r="L33" s="10" t="e">
        <f>_xlfn.XLOOKUP($D33,Tab_Def_Processes[Name(EN)],Tab_Def_Processes[Nr. Outflows],,0,)</f>
        <v>#N/A</v>
      </c>
      <c r="M33" s="192"/>
      <c r="N33" s="177" t="str">
        <f>_xlfn.XLOOKUP($M33,Tab_Def_Flows[Name(EN)],Tab_Def_Flows[Flow_ID],,0,)</f>
        <v>F_12_12</v>
      </c>
      <c r="O33" s="44" t="str">
        <f t="shared" si="1"/>
        <v>TC_12_12</v>
      </c>
      <c r="P33" s="195"/>
      <c r="Q33" s="38"/>
      <c r="R33" s="38"/>
      <c r="S33" s="38"/>
      <c r="T33" s="38"/>
      <c r="U33" s="38"/>
    </row>
    <row r="34" spans="1:21" x14ac:dyDescent="0.25">
      <c r="A34" s="197" t="b">
        <v>0</v>
      </c>
      <c r="B34" s="10">
        <f t="shared" si="0"/>
        <v>33</v>
      </c>
      <c r="C34" s="49" t="e">
        <f>_xlfn.XLOOKUP($D34,Tab_Def_Processes[Name(EN)],Tab_Def_Processes[ID],,0,)</f>
        <v>#N/A</v>
      </c>
      <c r="D34" s="192" t="s">
        <v>35</v>
      </c>
      <c r="E34" s="10" t="e">
        <f>_xlfn.XLOOKUP($D34,Tab_Def_Processes[Name(EN)],Tab_Def_Processes[Process_Type],,0,)</f>
        <v>#N/A</v>
      </c>
      <c r="F34" s="10" t="e">
        <f>_xlfn.XLOOKUP($D34,Tab_Def_Processes[Name(EN)],Tab_Def_Processes[TC?],,0,)</f>
        <v>#N/A</v>
      </c>
      <c r="G34" s="10" t="e">
        <f>_xlfn.XLOOKUP($D34,Tab_Def_Processes[Name(EN)],Tab_Def_Processes[Dyn_TC?],,0,)</f>
        <v>#N/A</v>
      </c>
      <c r="H34" s="10" t="e">
        <f>_xlfn.XLOOKUP($D34,Tab_Def_Processes[Name(EN)],Tab_Def_Processes[Stock?],,0,)</f>
        <v>#N/A</v>
      </c>
      <c r="I34" s="10" t="e">
        <f>_xlfn.XLOOKUP($D34,Tab_Def_Processes[Name(EN)],Tab_Def_Processes[Initial_Stock?],,0,)</f>
        <v>#N/A</v>
      </c>
      <c r="J34" s="10" t="e">
        <f>_xlfn.XLOOKUP($D34,Tab_Def_Processes[Name(EN)],Tab_Def_Processes[DSM?],,0,)</f>
        <v>#N/A</v>
      </c>
      <c r="K34" s="10" t="e">
        <f>_xlfn.XLOOKUP($D34,Tab_Def_Processes[Name(EN)],Tab_Def_Processes[FOMP?],,0,)</f>
        <v>#N/A</v>
      </c>
      <c r="L34" s="10" t="e">
        <f>_xlfn.XLOOKUP($D34,Tab_Def_Processes[Name(EN)],Tab_Def_Processes[Nr. Outflows],,0,)</f>
        <v>#N/A</v>
      </c>
      <c r="M34" s="192"/>
      <c r="N34" s="177" t="str">
        <f>_xlfn.XLOOKUP($M34,Tab_Def_Flows[Name(EN)],Tab_Def_Flows[Flow_ID],,0,)</f>
        <v>F_12_12</v>
      </c>
      <c r="O34" s="44" t="str">
        <f t="shared" si="1"/>
        <v>TC_12_12</v>
      </c>
      <c r="P34" s="195"/>
      <c r="Q34" s="38"/>
      <c r="R34" s="38"/>
      <c r="S34" s="38"/>
      <c r="T34" s="38"/>
      <c r="U34" s="38"/>
    </row>
    <row r="35" spans="1:21" x14ac:dyDescent="0.25">
      <c r="A35" s="197" t="b">
        <v>0</v>
      </c>
      <c r="B35" s="10">
        <f t="shared" si="0"/>
        <v>34</v>
      </c>
      <c r="C35" s="49" t="e">
        <f>_xlfn.XLOOKUP($D35,Tab_Def_Processes[Name(EN)],Tab_Def_Processes[ID],,0,)</f>
        <v>#N/A</v>
      </c>
      <c r="D35" s="192" t="s">
        <v>35</v>
      </c>
      <c r="E35" s="10" t="e">
        <f>_xlfn.XLOOKUP($D35,Tab_Def_Processes[Name(EN)],Tab_Def_Processes[Process_Type],,0,)</f>
        <v>#N/A</v>
      </c>
      <c r="F35" s="10" t="e">
        <f>_xlfn.XLOOKUP($D35,Tab_Def_Processes[Name(EN)],Tab_Def_Processes[TC?],,0,)</f>
        <v>#N/A</v>
      </c>
      <c r="G35" s="10" t="e">
        <f>_xlfn.XLOOKUP($D35,Tab_Def_Processes[Name(EN)],Tab_Def_Processes[Dyn_TC?],,0,)</f>
        <v>#N/A</v>
      </c>
      <c r="H35" s="10" t="e">
        <f>_xlfn.XLOOKUP($D35,Tab_Def_Processes[Name(EN)],Tab_Def_Processes[Stock?],,0,)</f>
        <v>#N/A</v>
      </c>
      <c r="I35" s="10" t="e">
        <f>_xlfn.XLOOKUP($D35,Tab_Def_Processes[Name(EN)],Tab_Def_Processes[Initial_Stock?],,0,)</f>
        <v>#N/A</v>
      </c>
      <c r="J35" s="10" t="e">
        <f>_xlfn.XLOOKUP($D35,Tab_Def_Processes[Name(EN)],Tab_Def_Processes[DSM?],,0,)</f>
        <v>#N/A</v>
      </c>
      <c r="K35" s="10" t="e">
        <f>_xlfn.XLOOKUP($D35,Tab_Def_Processes[Name(EN)],Tab_Def_Processes[FOMP?],,0,)</f>
        <v>#N/A</v>
      </c>
      <c r="L35" s="10" t="e">
        <f>_xlfn.XLOOKUP($D35,Tab_Def_Processes[Name(EN)],Tab_Def_Processes[Nr. Outflows],,0,)</f>
        <v>#N/A</v>
      </c>
      <c r="M35" s="192"/>
      <c r="N35" s="177" t="str">
        <f>_xlfn.XLOOKUP($M35,Tab_Def_Flows[Name(EN)],Tab_Def_Flows[Flow_ID],,0,)</f>
        <v>F_12_12</v>
      </c>
      <c r="O35" s="44" t="str">
        <f t="shared" si="1"/>
        <v>TC_12_12</v>
      </c>
      <c r="P35" s="195"/>
      <c r="Q35" s="38"/>
      <c r="R35" s="38"/>
      <c r="S35" s="38"/>
      <c r="T35" s="38"/>
      <c r="U35" s="38"/>
    </row>
    <row r="36" spans="1:21" x14ac:dyDescent="0.25">
      <c r="A36" s="197" t="b">
        <v>0</v>
      </c>
      <c r="B36" s="10">
        <f t="shared" si="0"/>
        <v>35</v>
      </c>
      <c r="C36" s="49" t="e">
        <f>_xlfn.XLOOKUP($D36,Tab_Def_Processes[Name(EN)],Tab_Def_Processes[ID],,0,)</f>
        <v>#N/A</v>
      </c>
      <c r="D36" s="192" t="s">
        <v>35</v>
      </c>
      <c r="E36" s="10" t="e">
        <f>_xlfn.XLOOKUP($D36,Tab_Def_Processes[Name(EN)],Tab_Def_Processes[Process_Type],,0,)</f>
        <v>#N/A</v>
      </c>
      <c r="F36" s="10" t="e">
        <f>_xlfn.XLOOKUP($D36,Tab_Def_Processes[Name(EN)],Tab_Def_Processes[TC?],,0,)</f>
        <v>#N/A</v>
      </c>
      <c r="G36" s="10" t="e">
        <f>_xlfn.XLOOKUP($D36,Tab_Def_Processes[Name(EN)],Tab_Def_Processes[Dyn_TC?],,0,)</f>
        <v>#N/A</v>
      </c>
      <c r="H36" s="10" t="e">
        <f>_xlfn.XLOOKUP($D36,Tab_Def_Processes[Name(EN)],Tab_Def_Processes[Stock?],,0,)</f>
        <v>#N/A</v>
      </c>
      <c r="I36" s="10" t="e">
        <f>_xlfn.XLOOKUP($D36,Tab_Def_Processes[Name(EN)],Tab_Def_Processes[Initial_Stock?],,0,)</f>
        <v>#N/A</v>
      </c>
      <c r="J36" s="10" t="e">
        <f>_xlfn.XLOOKUP($D36,Tab_Def_Processes[Name(EN)],Tab_Def_Processes[DSM?],,0,)</f>
        <v>#N/A</v>
      </c>
      <c r="K36" s="10" t="e">
        <f>_xlfn.XLOOKUP($D36,Tab_Def_Processes[Name(EN)],Tab_Def_Processes[FOMP?],,0,)</f>
        <v>#N/A</v>
      </c>
      <c r="L36" s="10" t="e">
        <f>_xlfn.XLOOKUP($D36,Tab_Def_Processes[Name(EN)],Tab_Def_Processes[Nr. Outflows],,0,)</f>
        <v>#N/A</v>
      </c>
      <c r="M36" s="192"/>
      <c r="N36" s="177" t="str">
        <f>_xlfn.XLOOKUP($M36,Tab_Def_Flows[Name(EN)],Tab_Def_Flows[Flow_ID],,0,)</f>
        <v>F_12_12</v>
      </c>
      <c r="O36" s="44" t="str">
        <f t="shared" si="1"/>
        <v>TC_12_12</v>
      </c>
      <c r="P36" s="195"/>
      <c r="Q36" s="38"/>
      <c r="R36" s="38"/>
      <c r="S36" s="38"/>
      <c r="T36" s="38"/>
      <c r="U36" s="38"/>
    </row>
    <row r="37" spans="1:21" x14ac:dyDescent="0.25">
      <c r="A37" s="197" t="b">
        <v>0</v>
      </c>
      <c r="B37" s="10">
        <f t="shared" si="0"/>
        <v>36</v>
      </c>
      <c r="C37" s="49" t="e">
        <f>_xlfn.XLOOKUP($D37,Tab_Def_Processes[Name(EN)],Tab_Def_Processes[ID],,0,)</f>
        <v>#N/A</v>
      </c>
      <c r="D37" s="192" t="s">
        <v>35</v>
      </c>
      <c r="E37" s="10" t="e">
        <f>_xlfn.XLOOKUP($D37,Tab_Def_Processes[Name(EN)],Tab_Def_Processes[Process_Type],,0,)</f>
        <v>#N/A</v>
      </c>
      <c r="F37" s="10" t="e">
        <f>_xlfn.XLOOKUP($D37,Tab_Def_Processes[Name(EN)],Tab_Def_Processes[TC?],,0,)</f>
        <v>#N/A</v>
      </c>
      <c r="G37" s="10" t="e">
        <f>_xlfn.XLOOKUP($D37,Tab_Def_Processes[Name(EN)],Tab_Def_Processes[Dyn_TC?],,0,)</f>
        <v>#N/A</v>
      </c>
      <c r="H37" s="10" t="e">
        <f>_xlfn.XLOOKUP($D37,Tab_Def_Processes[Name(EN)],Tab_Def_Processes[Stock?],,0,)</f>
        <v>#N/A</v>
      </c>
      <c r="I37" s="10" t="e">
        <f>_xlfn.XLOOKUP($D37,Tab_Def_Processes[Name(EN)],Tab_Def_Processes[Initial_Stock?],,0,)</f>
        <v>#N/A</v>
      </c>
      <c r="J37" s="10" t="e">
        <f>_xlfn.XLOOKUP($D37,Tab_Def_Processes[Name(EN)],Tab_Def_Processes[DSM?],,0,)</f>
        <v>#N/A</v>
      </c>
      <c r="K37" s="10" t="e">
        <f>_xlfn.XLOOKUP($D37,Tab_Def_Processes[Name(EN)],Tab_Def_Processes[FOMP?],,0,)</f>
        <v>#N/A</v>
      </c>
      <c r="L37" s="10" t="e">
        <f>_xlfn.XLOOKUP($D37,Tab_Def_Processes[Name(EN)],Tab_Def_Processes[Nr. Outflows],,0,)</f>
        <v>#N/A</v>
      </c>
      <c r="M37" s="192"/>
      <c r="N37" s="177" t="str">
        <f>_xlfn.XLOOKUP($M37,Tab_Def_Flows[Name(EN)],Tab_Def_Flows[Flow_ID],,0,)</f>
        <v>F_12_12</v>
      </c>
      <c r="O37" s="44" t="str">
        <f t="shared" si="1"/>
        <v>TC_12_12</v>
      </c>
      <c r="P37" s="195"/>
      <c r="Q37" s="38"/>
      <c r="R37" s="38"/>
      <c r="S37" s="38"/>
      <c r="T37" s="38"/>
      <c r="U37" s="38"/>
    </row>
    <row r="38" spans="1:21" x14ac:dyDescent="0.25">
      <c r="A38" s="197" t="b">
        <v>0</v>
      </c>
      <c r="B38" s="10">
        <f t="shared" si="0"/>
        <v>37</v>
      </c>
      <c r="C38" s="49" t="e">
        <f>_xlfn.XLOOKUP($D38,Tab_Def_Processes[Name(EN)],Tab_Def_Processes[ID],,0,)</f>
        <v>#N/A</v>
      </c>
      <c r="D38" s="192" t="s">
        <v>35</v>
      </c>
      <c r="E38" s="10" t="e">
        <f>_xlfn.XLOOKUP($D38,Tab_Def_Processes[Name(EN)],Tab_Def_Processes[Process_Type],,0,)</f>
        <v>#N/A</v>
      </c>
      <c r="F38" s="10" t="e">
        <f>_xlfn.XLOOKUP($D38,Tab_Def_Processes[Name(EN)],Tab_Def_Processes[TC?],,0,)</f>
        <v>#N/A</v>
      </c>
      <c r="G38" s="10" t="e">
        <f>_xlfn.XLOOKUP($D38,Tab_Def_Processes[Name(EN)],Tab_Def_Processes[Dyn_TC?],,0,)</f>
        <v>#N/A</v>
      </c>
      <c r="H38" s="10" t="e">
        <f>_xlfn.XLOOKUP($D38,Tab_Def_Processes[Name(EN)],Tab_Def_Processes[Stock?],,0,)</f>
        <v>#N/A</v>
      </c>
      <c r="I38" s="10" t="e">
        <f>_xlfn.XLOOKUP($D38,Tab_Def_Processes[Name(EN)],Tab_Def_Processes[Initial_Stock?],,0,)</f>
        <v>#N/A</v>
      </c>
      <c r="J38" s="10" t="e">
        <f>_xlfn.XLOOKUP($D38,Tab_Def_Processes[Name(EN)],Tab_Def_Processes[DSM?],,0,)</f>
        <v>#N/A</v>
      </c>
      <c r="K38" s="10" t="e">
        <f>_xlfn.XLOOKUP($D38,Tab_Def_Processes[Name(EN)],Tab_Def_Processes[FOMP?],,0,)</f>
        <v>#N/A</v>
      </c>
      <c r="L38" s="10" t="e">
        <f>_xlfn.XLOOKUP($D38,Tab_Def_Processes[Name(EN)],Tab_Def_Processes[Nr. Outflows],,0,)</f>
        <v>#N/A</v>
      </c>
      <c r="M38" s="192"/>
      <c r="N38" s="177" t="str">
        <f>_xlfn.XLOOKUP($M38,Tab_Def_Flows[Name(EN)],Tab_Def_Flows[Flow_ID],,0,)</f>
        <v>F_12_12</v>
      </c>
      <c r="O38" s="44" t="str">
        <f t="shared" si="1"/>
        <v>TC_12_12</v>
      </c>
      <c r="P38" s="195"/>
      <c r="Q38" s="38"/>
      <c r="R38" s="38"/>
      <c r="S38" s="38"/>
      <c r="T38" s="38"/>
      <c r="U38" s="38"/>
    </row>
    <row r="39" spans="1:21" x14ac:dyDescent="0.25">
      <c r="A39" s="197" t="b">
        <v>0</v>
      </c>
      <c r="B39" s="10">
        <f t="shared" si="0"/>
        <v>38</v>
      </c>
      <c r="C39" s="49" t="e">
        <f>_xlfn.XLOOKUP($D39,Tab_Def_Processes[Name(EN)],Tab_Def_Processes[ID],,0,)</f>
        <v>#N/A</v>
      </c>
      <c r="D39" s="192" t="s">
        <v>35</v>
      </c>
      <c r="E39" s="10" t="e">
        <f>_xlfn.XLOOKUP($D39,Tab_Def_Processes[Name(EN)],Tab_Def_Processes[Process_Type],,0,)</f>
        <v>#N/A</v>
      </c>
      <c r="F39" s="10" t="e">
        <f>_xlfn.XLOOKUP($D39,Tab_Def_Processes[Name(EN)],Tab_Def_Processes[TC?],,0,)</f>
        <v>#N/A</v>
      </c>
      <c r="G39" s="10" t="e">
        <f>_xlfn.XLOOKUP($D39,Tab_Def_Processes[Name(EN)],Tab_Def_Processes[Dyn_TC?],,0,)</f>
        <v>#N/A</v>
      </c>
      <c r="H39" s="10" t="e">
        <f>_xlfn.XLOOKUP($D39,Tab_Def_Processes[Name(EN)],Tab_Def_Processes[Stock?],,0,)</f>
        <v>#N/A</v>
      </c>
      <c r="I39" s="10" t="e">
        <f>_xlfn.XLOOKUP($D39,Tab_Def_Processes[Name(EN)],Tab_Def_Processes[Initial_Stock?],,0,)</f>
        <v>#N/A</v>
      </c>
      <c r="J39" s="10" t="e">
        <f>_xlfn.XLOOKUP($D39,Tab_Def_Processes[Name(EN)],Tab_Def_Processes[DSM?],,0,)</f>
        <v>#N/A</v>
      </c>
      <c r="K39" s="10" t="e">
        <f>_xlfn.XLOOKUP($D39,Tab_Def_Processes[Name(EN)],Tab_Def_Processes[FOMP?],,0,)</f>
        <v>#N/A</v>
      </c>
      <c r="L39" s="10" t="e">
        <f>_xlfn.XLOOKUP($D39,Tab_Def_Processes[Name(EN)],Tab_Def_Processes[Nr. Outflows],,0,)</f>
        <v>#N/A</v>
      </c>
      <c r="M39" s="192"/>
      <c r="N39" s="177" t="str">
        <f>_xlfn.XLOOKUP($M39,Tab_Def_Flows[Name(EN)],Tab_Def_Flows[Flow_ID],,0,)</f>
        <v>F_12_12</v>
      </c>
      <c r="O39" s="44" t="str">
        <f t="shared" si="1"/>
        <v>TC_12_12</v>
      </c>
      <c r="P39" s="195"/>
      <c r="Q39" s="38"/>
      <c r="R39" s="38"/>
      <c r="S39" s="38"/>
      <c r="T39" s="38"/>
      <c r="U39" s="38"/>
    </row>
    <row r="40" spans="1:21" x14ac:dyDescent="0.25">
      <c r="A40" s="197" t="b">
        <v>0</v>
      </c>
      <c r="B40" s="10">
        <f t="shared" si="0"/>
        <v>39</v>
      </c>
      <c r="C40" s="49" t="e">
        <f>_xlfn.XLOOKUP($D40,Tab_Def_Processes[Name(EN)],Tab_Def_Processes[ID],,0,)</f>
        <v>#N/A</v>
      </c>
      <c r="D40" s="192" t="s">
        <v>35</v>
      </c>
      <c r="E40" s="10" t="e">
        <f>_xlfn.XLOOKUP($D40,Tab_Def_Processes[Name(EN)],Tab_Def_Processes[Process_Type],,0,)</f>
        <v>#N/A</v>
      </c>
      <c r="F40" s="10" t="e">
        <f>_xlfn.XLOOKUP($D40,Tab_Def_Processes[Name(EN)],Tab_Def_Processes[TC?],,0,)</f>
        <v>#N/A</v>
      </c>
      <c r="G40" s="10" t="e">
        <f>_xlfn.XLOOKUP($D40,Tab_Def_Processes[Name(EN)],Tab_Def_Processes[Dyn_TC?],,0,)</f>
        <v>#N/A</v>
      </c>
      <c r="H40" s="10" t="e">
        <f>_xlfn.XLOOKUP($D40,Tab_Def_Processes[Name(EN)],Tab_Def_Processes[Stock?],,0,)</f>
        <v>#N/A</v>
      </c>
      <c r="I40" s="10" t="e">
        <f>_xlfn.XLOOKUP($D40,Tab_Def_Processes[Name(EN)],Tab_Def_Processes[Initial_Stock?],,0,)</f>
        <v>#N/A</v>
      </c>
      <c r="J40" s="10" t="e">
        <f>_xlfn.XLOOKUP($D40,Tab_Def_Processes[Name(EN)],Tab_Def_Processes[DSM?],,0,)</f>
        <v>#N/A</v>
      </c>
      <c r="K40" s="10" t="e">
        <f>_xlfn.XLOOKUP($D40,Tab_Def_Processes[Name(EN)],Tab_Def_Processes[FOMP?],,0,)</f>
        <v>#N/A</v>
      </c>
      <c r="L40" s="10" t="e">
        <f>_xlfn.XLOOKUP($D40,Tab_Def_Processes[Name(EN)],Tab_Def_Processes[Nr. Outflows],,0,)</f>
        <v>#N/A</v>
      </c>
      <c r="M40" s="192"/>
      <c r="N40" s="177" t="str">
        <f>_xlfn.XLOOKUP($M40,Tab_Def_Flows[Name(EN)],Tab_Def_Flows[Flow_ID],,0,)</f>
        <v>F_12_12</v>
      </c>
      <c r="O40" s="44" t="str">
        <f t="shared" si="1"/>
        <v>TC_12_12</v>
      </c>
      <c r="P40" s="195"/>
      <c r="Q40" s="38"/>
      <c r="R40" s="38"/>
      <c r="S40" s="38"/>
      <c r="T40" s="38"/>
      <c r="U40" s="38"/>
    </row>
    <row r="41" spans="1:21" x14ac:dyDescent="0.25">
      <c r="A41" s="197" t="b">
        <v>0</v>
      </c>
      <c r="B41" s="10">
        <f t="shared" si="0"/>
        <v>40</v>
      </c>
      <c r="C41" s="49" t="e">
        <f>_xlfn.XLOOKUP($D41,Tab_Def_Processes[Name(EN)],Tab_Def_Processes[ID],,0,)</f>
        <v>#N/A</v>
      </c>
      <c r="D41" s="192" t="s">
        <v>35</v>
      </c>
      <c r="E41" s="10" t="e">
        <f>_xlfn.XLOOKUP($D41,Tab_Def_Processes[Name(EN)],Tab_Def_Processes[Process_Type],,0,)</f>
        <v>#N/A</v>
      </c>
      <c r="F41" s="10" t="e">
        <f>_xlfn.XLOOKUP($D41,Tab_Def_Processes[Name(EN)],Tab_Def_Processes[TC?],,0,)</f>
        <v>#N/A</v>
      </c>
      <c r="G41" s="10" t="e">
        <f>_xlfn.XLOOKUP($D41,Tab_Def_Processes[Name(EN)],Tab_Def_Processes[Dyn_TC?],,0,)</f>
        <v>#N/A</v>
      </c>
      <c r="H41" s="10" t="e">
        <f>_xlfn.XLOOKUP($D41,Tab_Def_Processes[Name(EN)],Tab_Def_Processes[Stock?],,0,)</f>
        <v>#N/A</v>
      </c>
      <c r="I41" s="10" t="e">
        <f>_xlfn.XLOOKUP($D41,Tab_Def_Processes[Name(EN)],Tab_Def_Processes[Initial_Stock?],,0,)</f>
        <v>#N/A</v>
      </c>
      <c r="J41" s="10" t="e">
        <f>_xlfn.XLOOKUP($D41,Tab_Def_Processes[Name(EN)],Tab_Def_Processes[DSM?],,0,)</f>
        <v>#N/A</v>
      </c>
      <c r="K41" s="10" t="e">
        <f>_xlfn.XLOOKUP($D41,Tab_Def_Processes[Name(EN)],Tab_Def_Processes[FOMP?],,0,)</f>
        <v>#N/A</v>
      </c>
      <c r="L41" s="10" t="e">
        <f>_xlfn.XLOOKUP($D41,Tab_Def_Processes[Name(EN)],Tab_Def_Processes[Nr. Outflows],,0,)</f>
        <v>#N/A</v>
      </c>
      <c r="M41" s="192"/>
      <c r="N41" s="177" t="str">
        <f>_xlfn.XLOOKUP($M41,Tab_Def_Flows[Name(EN)],Tab_Def_Flows[Flow_ID],,0,)</f>
        <v>F_12_12</v>
      </c>
      <c r="O41" s="44" t="str">
        <f t="shared" si="1"/>
        <v>TC_12_12</v>
      </c>
      <c r="P41" s="195"/>
      <c r="Q41" s="38"/>
      <c r="R41" s="38"/>
      <c r="S41" s="38"/>
      <c r="T41" s="38"/>
      <c r="U41" s="38"/>
    </row>
    <row r="42" spans="1:21" x14ac:dyDescent="0.25">
      <c r="A42" s="197" t="b">
        <v>0</v>
      </c>
      <c r="B42" s="10">
        <f t="shared" si="0"/>
        <v>41</v>
      </c>
      <c r="C42" s="49" t="e">
        <f>_xlfn.XLOOKUP($D42,Tab_Def_Processes[Name(EN)],Tab_Def_Processes[ID],,0,)</f>
        <v>#N/A</v>
      </c>
      <c r="D42" s="192" t="s">
        <v>35</v>
      </c>
      <c r="E42" s="10" t="e">
        <f>_xlfn.XLOOKUP($D42,Tab_Def_Processes[Name(EN)],Tab_Def_Processes[Process_Type],,0,)</f>
        <v>#N/A</v>
      </c>
      <c r="F42" s="10" t="e">
        <f>_xlfn.XLOOKUP($D42,Tab_Def_Processes[Name(EN)],Tab_Def_Processes[TC?],,0,)</f>
        <v>#N/A</v>
      </c>
      <c r="G42" s="10" t="e">
        <f>_xlfn.XLOOKUP($D42,Tab_Def_Processes[Name(EN)],Tab_Def_Processes[Dyn_TC?],,0,)</f>
        <v>#N/A</v>
      </c>
      <c r="H42" s="10" t="e">
        <f>_xlfn.XLOOKUP($D42,Tab_Def_Processes[Name(EN)],Tab_Def_Processes[Stock?],,0,)</f>
        <v>#N/A</v>
      </c>
      <c r="I42" s="10" t="e">
        <f>_xlfn.XLOOKUP($D42,Tab_Def_Processes[Name(EN)],Tab_Def_Processes[Initial_Stock?],,0,)</f>
        <v>#N/A</v>
      </c>
      <c r="J42" s="10" t="e">
        <f>_xlfn.XLOOKUP($D42,Tab_Def_Processes[Name(EN)],Tab_Def_Processes[DSM?],,0,)</f>
        <v>#N/A</v>
      </c>
      <c r="K42" s="10" t="e">
        <f>_xlfn.XLOOKUP($D42,Tab_Def_Processes[Name(EN)],Tab_Def_Processes[FOMP?],,0,)</f>
        <v>#N/A</v>
      </c>
      <c r="L42" s="10" t="e">
        <f>_xlfn.XLOOKUP($D42,Tab_Def_Processes[Name(EN)],Tab_Def_Processes[Nr. Outflows],,0,)</f>
        <v>#N/A</v>
      </c>
      <c r="M42" s="192"/>
      <c r="N42" s="177" t="str">
        <f>_xlfn.XLOOKUP($M42,Tab_Def_Flows[Name(EN)],Tab_Def_Flows[Flow_ID],,0,)</f>
        <v>F_12_12</v>
      </c>
      <c r="O42" s="44" t="str">
        <f t="shared" si="1"/>
        <v>TC_12_12</v>
      </c>
      <c r="P42" s="195"/>
      <c r="Q42" s="38"/>
      <c r="R42" s="38"/>
      <c r="S42" s="38"/>
      <c r="T42" s="38"/>
      <c r="U42" s="38"/>
    </row>
    <row r="43" spans="1:21" x14ac:dyDescent="0.25">
      <c r="A43" s="197" t="b">
        <v>0</v>
      </c>
      <c r="B43" s="10">
        <f t="shared" si="0"/>
        <v>42</v>
      </c>
      <c r="C43" s="49" t="e">
        <f>_xlfn.XLOOKUP($D43,Tab_Def_Processes[Name(EN)],Tab_Def_Processes[ID],,0,)</f>
        <v>#N/A</v>
      </c>
      <c r="D43" s="192" t="s">
        <v>35</v>
      </c>
      <c r="E43" s="10" t="e">
        <f>_xlfn.XLOOKUP($D43,Tab_Def_Processes[Name(EN)],Tab_Def_Processes[Process_Type],,0,)</f>
        <v>#N/A</v>
      </c>
      <c r="F43" s="10" t="e">
        <f>_xlfn.XLOOKUP($D43,Tab_Def_Processes[Name(EN)],Tab_Def_Processes[TC?],,0,)</f>
        <v>#N/A</v>
      </c>
      <c r="G43" s="10" t="e">
        <f>_xlfn.XLOOKUP($D43,Tab_Def_Processes[Name(EN)],Tab_Def_Processes[Dyn_TC?],,0,)</f>
        <v>#N/A</v>
      </c>
      <c r="H43" s="10" t="e">
        <f>_xlfn.XLOOKUP($D43,Tab_Def_Processes[Name(EN)],Tab_Def_Processes[Stock?],,0,)</f>
        <v>#N/A</v>
      </c>
      <c r="I43" s="10" t="e">
        <f>_xlfn.XLOOKUP($D43,Tab_Def_Processes[Name(EN)],Tab_Def_Processes[Initial_Stock?],,0,)</f>
        <v>#N/A</v>
      </c>
      <c r="J43" s="10" t="e">
        <f>_xlfn.XLOOKUP($D43,Tab_Def_Processes[Name(EN)],Tab_Def_Processes[DSM?],,0,)</f>
        <v>#N/A</v>
      </c>
      <c r="K43" s="10" t="e">
        <f>_xlfn.XLOOKUP($D43,Tab_Def_Processes[Name(EN)],Tab_Def_Processes[FOMP?],,0,)</f>
        <v>#N/A</v>
      </c>
      <c r="L43" s="10" t="e">
        <f>_xlfn.XLOOKUP($D43,Tab_Def_Processes[Name(EN)],Tab_Def_Processes[Nr. Outflows],,0,)</f>
        <v>#N/A</v>
      </c>
      <c r="M43" s="192"/>
      <c r="N43" s="177" t="str">
        <f>_xlfn.XLOOKUP($M43,Tab_Def_Flows[Name(EN)],Tab_Def_Flows[Flow_ID],,0,)</f>
        <v>F_12_12</v>
      </c>
      <c r="O43" s="44" t="str">
        <f t="shared" si="1"/>
        <v>TC_12_12</v>
      </c>
      <c r="P43" s="195"/>
      <c r="Q43" s="38"/>
      <c r="R43" s="38"/>
      <c r="S43" s="38"/>
      <c r="T43" s="38"/>
      <c r="U43" s="38"/>
    </row>
    <row r="44" spans="1:21" x14ac:dyDescent="0.25">
      <c r="A44" s="197" t="b">
        <v>0</v>
      </c>
      <c r="B44" s="10">
        <f t="shared" si="0"/>
        <v>43</v>
      </c>
      <c r="C44" s="49" t="e">
        <f>_xlfn.XLOOKUP($D44,Tab_Def_Processes[Name(EN)],Tab_Def_Processes[ID],,0,)</f>
        <v>#N/A</v>
      </c>
      <c r="D44" s="192" t="s">
        <v>35</v>
      </c>
      <c r="E44" s="10" t="e">
        <f>_xlfn.XLOOKUP($D44,Tab_Def_Processes[Name(EN)],Tab_Def_Processes[Process_Type],,0,)</f>
        <v>#N/A</v>
      </c>
      <c r="F44" s="10" t="e">
        <f>_xlfn.XLOOKUP($D44,Tab_Def_Processes[Name(EN)],Tab_Def_Processes[TC?],,0,)</f>
        <v>#N/A</v>
      </c>
      <c r="G44" s="10" t="e">
        <f>_xlfn.XLOOKUP($D44,Tab_Def_Processes[Name(EN)],Tab_Def_Processes[Dyn_TC?],,0,)</f>
        <v>#N/A</v>
      </c>
      <c r="H44" s="10" t="e">
        <f>_xlfn.XLOOKUP($D44,Tab_Def_Processes[Name(EN)],Tab_Def_Processes[Stock?],,0,)</f>
        <v>#N/A</v>
      </c>
      <c r="I44" s="10" t="e">
        <f>_xlfn.XLOOKUP($D44,Tab_Def_Processes[Name(EN)],Tab_Def_Processes[Initial_Stock?],,0,)</f>
        <v>#N/A</v>
      </c>
      <c r="J44" s="10" t="e">
        <f>_xlfn.XLOOKUP($D44,Tab_Def_Processes[Name(EN)],Tab_Def_Processes[DSM?],,0,)</f>
        <v>#N/A</v>
      </c>
      <c r="K44" s="10" t="e">
        <f>_xlfn.XLOOKUP($D44,Tab_Def_Processes[Name(EN)],Tab_Def_Processes[FOMP?],,0,)</f>
        <v>#N/A</v>
      </c>
      <c r="L44" s="10" t="e">
        <f>_xlfn.XLOOKUP($D44,Tab_Def_Processes[Name(EN)],Tab_Def_Processes[Nr. Outflows],,0,)</f>
        <v>#N/A</v>
      </c>
      <c r="M44" s="192"/>
      <c r="N44" s="177" t="str">
        <f>_xlfn.XLOOKUP($M44,Tab_Def_Flows[Name(EN)],Tab_Def_Flows[Flow_ID],,0,)</f>
        <v>F_12_12</v>
      </c>
      <c r="O44" s="44" t="str">
        <f t="shared" si="1"/>
        <v>TC_12_12</v>
      </c>
      <c r="P44" s="195"/>
      <c r="Q44" s="38"/>
      <c r="R44" s="38"/>
      <c r="S44" s="38"/>
      <c r="T44" s="38"/>
      <c r="U44" s="38"/>
    </row>
    <row r="45" spans="1:21" x14ac:dyDescent="0.25">
      <c r="A45" s="197" t="b">
        <v>0</v>
      </c>
      <c r="B45" s="10">
        <f t="shared" si="0"/>
        <v>44</v>
      </c>
      <c r="C45" s="49" t="e">
        <f>_xlfn.XLOOKUP($D45,Tab_Def_Processes[Name(EN)],Tab_Def_Processes[ID],,0,)</f>
        <v>#N/A</v>
      </c>
      <c r="D45" s="192" t="s">
        <v>35</v>
      </c>
      <c r="E45" s="10" t="e">
        <f>_xlfn.XLOOKUP($D45,Tab_Def_Processes[Name(EN)],Tab_Def_Processes[Process_Type],,0,)</f>
        <v>#N/A</v>
      </c>
      <c r="F45" s="10" t="e">
        <f>_xlfn.XLOOKUP($D45,Tab_Def_Processes[Name(EN)],Tab_Def_Processes[TC?],,0,)</f>
        <v>#N/A</v>
      </c>
      <c r="G45" s="10" t="e">
        <f>_xlfn.XLOOKUP($D45,Tab_Def_Processes[Name(EN)],Tab_Def_Processes[Dyn_TC?],,0,)</f>
        <v>#N/A</v>
      </c>
      <c r="H45" s="10" t="e">
        <f>_xlfn.XLOOKUP($D45,Tab_Def_Processes[Name(EN)],Tab_Def_Processes[Stock?],,0,)</f>
        <v>#N/A</v>
      </c>
      <c r="I45" s="10" t="e">
        <f>_xlfn.XLOOKUP($D45,Tab_Def_Processes[Name(EN)],Tab_Def_Processes[Initial_Stock?],,0,)</f>
        <v>#N/A</v>
      </c>
      <c r="J45" s="10" t="e">
        <f>_xlfn.XLOOKUP($D45,Tab_Def_Processes[Name(EN)],Tab_Def_Processes[DSM?],,0,)</f>
        <v>#N/A</v>
      </c>
      <c r="K45" s="10" t="e">
        <f>_xlfn.XLOOKUP($D45,Tab_Def_Processes[Name(EN)],Tab_Def_Processes[FOMP?],,0,)</f>
        <v>#N/A</v>
      </c>
      <c r="L45" s="10" t="e">
        <f>_xlfn.XLOOKUP($D45,Tab_Def_Processes[Name(EN)],Tab_Def_Processes[Nr. Outflows],,0,)</f>
        <v>#N/A</v>
      </c>
      <c r="M45" s="192"/>
      <c r="N45" s="177" t="str">
        <f>_xlfn.XLOOKUP($M45,Tab_Def_Flows[Name(EN)],Tab_Def_Flows[Flow_ID],,0,)</f>
        <v>F_12_12</v>
      </c>
      <c r="O45" s="44" t="str">
        <f t="shared" si="1"/>
        <v>TC_12_12</v>
      </c>
      <c r="P45" s="195"/>
      <c r="Q45" s="38"/>
      <c r="R45" s="38"/>
      <c r="S45" s="38"/>
      <c r="T45" s="38"/>
      <c r="U45" s="38"/>
    </row>
    <row r="46" spans="1:21" x14ac:dyDescent="0.25">
      <c r="A46" s="197" t="b">
        <v>0</v>
      </c>
      <c r="B46" s="10">
        <f t="shared" si="0"/>
        <v>45</v>
      </c>
      <c r="C46" s="49" t="e">
        <f>_xlfn.XLOOKUP($D46,Tab_Def_Processes[Name(EN)],Tab_Def_Processes[ID],,0,)</f>
        <v>#N/A</v>
      </c>
      <c r="D46" s="192" t="s">
        <v>35</v>
      </c>
      <c r="E46" s="10" t="e">
        <f>_xlfn.XLOOKUP($D46,Tab_Def_Processes[Name(EN)],Tab_Def_Processes[Process_Type],,0,)</f>
        <v>#N/A</v>
      </c>
      <c r="F46" s="10" t="e">
        <f>_xlfn.XLOOKUP($D46,Tab_Def_Processes[Name(EN)],Tab_Def_Processes[TC?],,0,)</f>
        <v>#N/A</v>
      </c>
      <c r="G46" s="10" t="e">
        <f>_xlfn.XLOOKUP($D46,Tab_Def_Processes[Name(EN)],Tab_Def_Processes[Dyn_TC?],,0,)</f>
        <v>#N/A</v>
      </c>
      <c r="H46" s="10" t="e">
        <f>_xlfn.XLOOKUP($D46,Tab_Def_Processes[Name(EN)],Tab_Def_Processes[Stock?],,0,)</f>
        <v>#N/A</v>
      </c>
      <c r="I46" s="10" t="e">
        <f>_xlfn.XLOOKUP($D46,Tab_Def_Processes[Name(EN)],Tab_Def_Processes[Initial_Stock?],,0,)</f>
        <v>#N/A</v>
      </c>
      <c r="J46" s="10" t="e">
        <f>_xlfn.XLOOKUP($D46,Tab_Def_Processes[Name(EN)],Tab_Def_Processes[DSM?],,0,)</f>
        <v>#N/A</v>
      </c>
      <c r="K46" s="10" t="e">
        <f>_xlfn.XLOOKUP($D46,Tab_Def_Processes[Name(EN)],Tab_Def_Processes[FOMP?],,0,)</f>
        <v>#N/A</v>
      </c>
      <c r="L46" s="10" t="e">
        <f>_xlfn.XLOOKUP($D46,Tab_Def_Processes[Name(EN)],Tab_Def_Processes[Nr. Outflows],,0,)</f>
        <v>#N/A</v>
      </c>
      <c r="M46" s="192"/>
      <c r="N46" s="177" t="str">
        <f>_xlfn.XLOOKUP($M46,Tab_Def_Flows[Name(EN)],Tab_Def_Flows[Flow_ID],,0,)</f>
        <v>F_12_12</v>
      </c>
      <c r="O46" s="44" t="str">
        <f t="shared" si="1"/>
        <v>TC_12_12</v>
      </c>
      <c r="P46" s="195"/>
      <c r="Q46" s="38"/>
      <c r="R46" s="38"/>
      <c r="S46" s="38"/>
      <c r="T46" s="38"/>
      <c r="U46" s="38"/>
    </row>
    <row r="47" spans="1:21" x14ac:dyDescent="0.25">
      <c r="A47" s="197" t="b">
        <v>0</v>
      </c>
      <c r="B47" s="10">
        <f t="shared" si="0"/>
        <v>46</v>
      </c>
      <c r="C47" s="49" t="e">
        <f>_xlfn.XLOOKUP($D47,Tab_Def_Processes[Name(EN)],Tab_Def_Processes[ID],,0,)</f>
        <v>#N/A</v>
      </c>
      <c r="D47" s="192" t="s">
        <v>35</v>
      </c>
      <c r="E47" s="10" t="e">
        <f>_xlfn.XLOOKUP($D47,Tab_Def_Processes[Name(EN)],Tab_Def_Processes[Process_Type],,0,)</f>
        <v>#N/A</v>
      </c>
      <c r="F47" s="10" t="e">
        <f>_xlfn.XLOOKUP($D47,Tab_Def_Processes[Name(EN)],Tab_Def_Processes[TC?],,0,)</f>
        <v>#N/A</v>
      </c>
      <c r="G47" s="10" t="e">
        <f>_xlfn.XLOOKUP($D47,Tab_Def_Processes[Name(EN)],Tab_Def_Processes[Dyn_TC?],,0,)</f>
        <v>#N/A</v>
      </c>
      <c r="H47" s="10" t="e">
        <f>_xlfn.XLOOKUP($D47,Tab_Def_Processes[Name(EN)],Tab_Def_Processes[Stock?],,0,)</f>
        <v>#N/A</v>
      </c>
      <c r="I47" s="10" t="e">
        <f>_xlfn.XLOOKUP($D47,Tab_Def_Processes[Name(EN)],Tab_Def_Processes[Initial_Stock?],,0,)</f>
        <v>#N/A</v>
      </c>
      <c r="J47" s="10" t="e">
        <f>_xlfn.XLOOKUP($D47,Tab_Def_Processes[Name(EN)],Tab_Def_Processes[DSM?],,0,)</f>
        <v>#N/A</v>
      </c>
      <c r="K47" s="10" t="e">
        <f>_xlfn.XLOOKUP($D47,Tab_Def_Processes[Name(EN)],Tab_Def_Processes[FOMP?],,0,)</f>
        <v>#N/A</v>
      </c>
      <c r="L47" s="10" t="e">
        <f>_xlfn.XLOOKUP($D47,Tab_Def_Processes[Name(EN)],Tab_Def_Processes[Nr. Outflows],,0,)</f>
        <v>#N/A</v>
      </c>
      <c r="M47" s="192"/>
      <c r="N47" s="177" t="str">
        <f>_xlfn.XLOOKUP($M47,Tab_Def_Flows[Name(EN)],Tab_Def_Flows[Flow_ID],,0,)</f>
        <v>F_12_12</v>
      </c>
      <c r="O47" s="44" t="str">
        <f t="shared" si="1"/>
        <v>TC_12_12</v>
      </c>
      <c r="P47" s="195"/>
      <c r="Q47" s="38"/>
      <c r="R47" s="38"/>
      <c r="S47" s="38"/>
      <c r="T47" s="38"/>
      <c r="U47" s="38"/>
    </row>
    <row r="48" spans="1:21" x14ac:dyDescent="0.25">
      <c r="A48" s="197" t="b">
        <v>0</v>
      </c>
      <c r="B48" s="10">
        <f t="shared" si="0"/>
        <v>47</v>
      </c>
      <c r="C48" s="49" t="e">
        <f>_xlfn.XLOOKUP($D48,Tab_Def_Processes[Name(EN)],Tab_Def_Processes[ID],,0,)</f>
        <v>#N/A</v>
      </c>
      <c r="D48" s="192" t="s">
        <v>35</v>
      </c>
      <c r="E48" s="10" t="e">
        <f>_xlfn.XLOOKUP($D48,Tab_Def_Processes[Name(EN)],Tab_Def_Processes[Process_Type],,0,)</f>
        <v>#N/A</v>
      </c>
      <c r="F48" s="10" t="e">
        <f>_xlfn.XLOOKUP($D48,Tab_Def_Processes[Name(EN)],Tab_Def_Processes[TC?],,0,)</f>
        <v>#N/A</v>
      </c>
      <c r="G48" s="10" t="e">
        <f>_xlfn.XLOOKUP($D48,Tab_Def_Processes[Name(EN)],Tab_Def_Processes[Dyn_TC?],,0,)</f>
        <v>#N/A</v>
      </c>
      <c r="H48" s="10" t="e">
        <f>_xlfn.XLOOKUP($D48,Tab_Def_Processes[Name(EN)],Tab_Def_Processes[Stock?],,0,)</f>
        <v>#N/A</v>
      </c>
      <c r="I48" s="10" t="e">
        <f>_xlfn.XLOOKUP($D48,Tab_Def_Processes[Name(EN)],Tab_Def_Processes[Initial_Stock?],,0,)</f>
        <v>#N/A</v>
      </c>
      <c r="J48" s="10" t="e">
        <f>_xlfn.XLOOKUP($D48,Tab_Def_Processes[Name(EN)],Tab_Def_Processes[DSM?],,0,)</f>
        <v>#N/A</v>
      </c>
      <c r="K48" s="10" t="e">
        <f>_xlfn.XLOOKUP($D48,Tab_Def_Processes[Name(EN)],Tab_Def_Processes[FOMP?],,0,)</f>
        <v>#N/A</v>
      </c>
      <c r="L48" s="10" t="e">
        <f>_xlfn.XLOOKUP($D48,Tab_Def_Processes[Name(EN)],Tab_Def_Processes[Nr. Outflows],,0,)</f>
        <v>#N/A</v>
      </c>
      <c r="M48" s="192"/>
      <c r="N48" s="177" t="str">
        <f>_xlfn.XLOOKUP($M48,Tab_Def_Flows[Name(EN)],Tab_Def_Flows[Flow_ID],,0,)</f>
        <v>F_12_12</v>
      </c>
      <c r="O48" s="44" t="str">
        <f t="shared" si="1"/>
        <v>TC_12_12</v>
      </c>
      <c r="P48" s="195"/>
      <c r="Q48" s="38"/>
      <c r="R48" s="38"/>
      <c r="S48" s="38"/>
      <c r="T48" s="38"/>
      <c r="U48" s="38"/>
    </row>
    <row r="49" spans="1:21" x14ac:dyDescent="0.25">
      <c r="A49" s="197" t="b">
        <v>0</v>
      </c>
      <c r="B49" s="10">
        <f t="shared" si="0"/>
        <v>48</v>
      </c>
      <c r="C49" s="49" t="e">
        <f>_xlfn.XLOOKUP($D49,Tab_Def_Processes[Name(EN)],Tab_Def_Processes[ID],,0,)</f>
        <v>#N/A</v>
      </c>
      <c r="D49" s="192" t="s">
        <v>35</v>
      </c>
      <c r="E49" s="10" t="e">
        <f>_xlfn.XLOOKUP($D49,Tab_Def_Processes[Name(EN)],Tab_Def_Processes[Process_Type],,0,)</f>
        <v>#N/A</v>
      </c>
      <c r="F49" s="10" t="e">
        <f>_xlfn.XLOOKUP($D49,Tab_Def_Processes[Name(EN)],Tab_Def_Processes[TC?],,0,)</f>
        <v>#N/A</v>
      </c>
      <c r="G49" s="10" t="e">
        <f>_xlfn.XLOOKUP($D49,Tab_Def_Processes[Name(EN)],Tab_Def_Processes[Dyn_TC?],,0,)</f>
        <v>#N/A</v>
      </c>
      <c r="H49" s="10" t="e">
        <f>_xlfn.XLOOKUP($D49,Tab_Def_Processes[Name(EN)],Tab_Def_Processes[Stock?],,0,)</f>
        <v>#N/A</v>
      </c>
      <c r="I49" s="10" t="e">
        <f>_xlfn.XLOOKUP($D49,Tab_Def_Processes[Name(EN)],Tab_Def_Processes[Initial_Stock?],,0,)</f>
        <v>#N/A</v>
      </c>
      <c r="J49" s="10" t="e">
        <f>_xlfn.XLOOKUP($D49,Tab_Def_Processes[Name(EN)],Tab_Def_Processes[DSM?],,0,)</f>
        <v>#N/A</v>
      </c>
      <c r="K49" s="10" t="e">
        <f>_xlfn.XLOOKUP($D49,Tab_Def_Processes[Name(EN)],Tab_Def_Processes[FOMP?],,0,)</f>
        <v>#N/A</v>
      </c>
      <c r="L49" s="10" t="e">
        <f>_xlfn.XLOOKUP($D49,Tab_Def_Processes[Name(EN)],Tab_Def_Processes[Nr. Outflows],,0,)</f>
        <v>#N/A</v>
      </c>
      <c r="M49" s="192"/>
      <c r="N49" s="177" t="str">
        <f>_xlfn.XLOOKUP($M49,Tab_Def_Flows[Name(EN)],Tab_Def_Flows[Flow_ID],,0,)</f>
        <v>F_12_12</v>
      </c>
      <c r="O49" s="44" t="str">
        <f t="shared" si="1"/>
        <v>TC_12_12</v>
      </c>
      <c r="P49" s="195"/>
      <c r="Q49" s="38"/>
      <c r="R49" s="38"/>
      <c r="S49" s="38"/>
      <c r="T49" s="38"/>
      <c r="U49" s="38"/>
    </row>
    <row r="50" spans="1:21" x14ac:dyDescent="0.25">
      <c r="A50" s="197" t="b">
        <v>0</v>
      </c>
      <c r="B50" s="10">
        <f t="shared" si="0"/>
        <v>49</v>
      </c>
      <c r="C50" s="49" t="e">
        <f>_xlfn.XLOOKUP($D50,Tab_Def_Processes[Name(EN)],Tab_Def_Processes[ID],,0,)</f>
        <v>#N/A</v>
      </c>
      <c r="D50" s="192" t="s">
        <v>35</v>
      </c>
      <c r="E50" s="10" t="e">
        <f>_xlfn.XLOOKUP($D50,Tab_Def_Processes[Name(EN)],Tab_Def_Processes[Process_Type],,0,)</f>
        <v>#N/A</v>
      </c>
      <c r="F50" s="10" t="e">
        <f>_xlfn.XLOOKUP($D50,Tab_Def_Processes[Name(EN)],Tab_Def_Processes[TC?],,0,)</f>
        <v>#N/A</v>
      </c>
      <c r="G50" s="10" t="e">
        <f>_xlfn.XLOOKUP($D50,Tab_Def_Processes[Name(EN)],Tab_Def_Processes[Dyn_TC?],,0,)</f>
        <v>#N/A</v>
      </c>
      <c r="H50" s="10" t="e">
        <f>_xlfn.XLOOKUP($D50,Tab_Def_Processes[Name(EN)],Tab_Def_Processes[Stock?],,0,)</f>
        <v>#N/A</v>
      </c>
      <c r="I50" s="10" t="e">
        <f>_xlfn.XLOOKUP($D50,Tab_Def_Processes[Name(EN)],Tab_Def_Processes[Initial_Stock?],,0,)</f>
        <v>#N/A</v>
      </c>
      <c r="J50" s="10" t="e">
        <f>_xlfn.XLOOKUP($D50,Tab_Def_Processes[Name(EN)],Tab_Def_Processes[DSM?],,0,)</f>
        <v>#N/A</v>
      </c>
      <c r="K50" s="10" t="e">
        <f>_xlfn.XLOOKUP($D50,Tab_Def_Processes[Name(EN)],Tab_Def_Processes[FOMP?],,0,)</f>
        <v>#N/A</v>
      </c>
      <c r="L50" s="10" t="e">
        <f>_xlfn.XLOOKUP($D50,Tab_Def_Processes[Name(EN)],Tab_Def_Processes[Nr. Outflows],,0,)</f>
        <v>#N/A</v>
      </c>
      <c r="M50" s="192"/>
      <c r="N50" s="177" t="str">
        <f>_xlfn.XLOOKUP($M50,Tab_Def_Flows[Name(EN)],Tab_Def_Flows[Flow_ID],,0,)</f>
        <v>F_12_12</v>
      </c>
      <c r="O50" s="44" t="str">
        <f t="shared" si="1"/>
        <v>TC_12_12</v>
      </c>
      <c r="P50" s="195"/>
      <c r="Q50" s="38"/>
      <c r="R50" s="38"/>
      <c r="S50" s="38"/>
      <c r="T50" s="38"/>
      <c r="U50" s="38"/>
    </row>
    <row r="51" spans="1:21" x14ac:dyDescent="0.25">
      <c r="A51" s="197" t="b">
        <v>0</v>
      </c>
      <c r="B51" s="10">
        <f t="shared" si="0"/>
        <v>50</v>
      </c>
      <c r="C51" s="49" t="e">
        <f>_xlfn.XLOOKUP($D51,Tab_Def_Processes[Name(EN)],Tab_Def_Processes[ID],,0,)</f>
        <v>#N/A</v>
      </c>
      <c r="D51" s="192" t="s">
        <v>35</v>
      </c>
      <c r="E51" s="10" t="e">
        <f>_xlfn.XLOOKUP($D51,Tab_Def_Processes[Name(EN)],Tab_Def_Processes[Process_Type],,0,)</f>
        <v>#N/A</v>
      </c>
      <c r="F51" s="10" t="e">
        <f>_xlfn.XLOOKUP($D51,Tab_Def_Processes[Name(EN)],Tab_Def_Processes[TC?],,0,)</f>
        <v>#N/A</v>
      </c>
      <c r="G51" s="10" t="e">
        <f>_xlfn.XLOOKUP($D51,Tab_Def_Processes[Name(EN)],Tab_Def_Processes[Dyn_TC?],,0,)</f>
        <v>#N/A</v>
      </c>
      <c r="H51" s="10" t="e">
        <f>_xlfn.XLOOKUP($D51,Tab_Def_Processes[Name(EN)],Tab_Def_Processes[Stock?],,0,)</f>
        <v>#N/A</v>
      </c>
      <c r="I51" s="10" t="e">
        <f>_xlfn.XLOOKUP($D51,Tab_Def_Processes[Name(EN)],Tab_Def_Processes[Initial_Stock?],,0,)</f>
        <v>#N/A</v>
      </c>
      <c r="J51" s="10" t="e">
        <f>_xlfn.XLOOKUP($D51,Tab_Def_Processes[Name(EN)],Tab_Def_Processes[DSM?],,0,)</f>
        <v>#N/A</v>
      </c>
      <c r="K51" s="10" t="e">
        <f>_xlfn.XLOOKUP($D51,Tab_Def_Processes[Name(EN)],Tab_Def_Processes[FOMP?],,0,)</f>
        <v>#N/A</v>
      </c>
      <c r="L51" s="10" t="e">
        <f>_xlfn.XLOOKUP($D51,Tab_Def_Processes[Name(EN)],Tab_Def_Processes[Nr. Outflows],,0,)</f>
        <v>#N/A</v>
      </c>
      <c r="M51" s="192"/>
      <c r="N51" s="177" t="str">
        <f>_xlfn.XLOOKUP($M51,Tab_Def_Flows[Name(EN)],Tab_Def_Flows[Flow_ID],,0,)</f>
        <v>F_12_12</v>
      </c>
      <c r="O51" s="44" t="str">
        <f t="shared" si="1"/>
        <v>TC_12_12</v>
      </c>
      <c r="P51" s="195"/>
      <c r="Q51" s="38"/>
      <c r="R51" s="38"/>
      <c r="S51" s="38"/>
      <c r="T51" s="38"/>
      <c r="U51" s="38"/>
    </row>
    <row r="52" spans="1:21" x14ac:dyDescent="0.25">
      <c r="A52" s="197" t="b">
        <v>0</v>
      </c>
      <c r="B52" s="10">
        <f t="shared" si="0"/>
        <v>51</v>
      </c>
      <c r="C52" s="49" t="e">
        <f>_xlfn.XLOOKUP($D52,Tab_Def_Processes[Name(EN)],Tab_Def_Processes[ID],,0,)</f>
        <v>#N/A</v>
      </c>
      <c r="D52" s="192" t="s">
        <v>35</v>
      </c>
      <c r="E52" s="10" t="e">
        <f>_xlfn.XLOOKUP($D52,Tab_Def_Processes[Name(EN)],Tab_Def_Processes[Process_Type],,0,)</f>
        <v>#N/A</v>
      </c>
      <c r="F52" s="10" t="e">
        <f>_xlfn.XLOOKUP($D52,Tab_Def_Processes[Name(EN)],Tab_Def_Processes[TC?],,0,)</f>
        <v>#N/A</v>
      </c>
      <c r="G52" s="10" t="e">
        <f>_xlfn.XLOOKUP($D52,Tab_Def_Processes[Name(EN)],Tab_Def_Processes[Dyn_TC?],,0,)</f>
        <v>#N/A</v>
      </c>
      <c r="H52" s="10" t="e">
        <f>_xlfn.XLOOKUP($D52,Tab_Def_Processes[Name(EN)],Tab_Def_Processes[Stock?],,0,)</f>
        <v>#N/A</v>
      </c>
      <c r="I52" s="10" t="e">
        <f>_xlfn.XLOOKUP($D52,Tab_Def_Processes[Name(EN)],Tab_Def_Processes[Initial_Stock?],,0,)</f>
        <v>#N/A</v>
      </c>
      <c r="J52" s="10" t="e">
        <f>_xlfn.XLOOKUP($D52,Tab_Def_Processes[Name(EN)],Tab_Def_Processes[DSM?],,0,)</f>
        <v>#N/A</v>
      </c>
      <c r="K52" s="10" t="e">
        <f>_xlfn.XLOOKUP($D52,Tab_Def_Processes[Name(EN)],Tab_Def_Processes[FOMP?],,0,)</f>
        <v>#N/A</v>
      </c>
      <c r="L52" s="10" t="e">
        <f>_xlfn.XLOOKUP($D52,Tab_Def_Processes[Name(EN)],Tab_Def_Processes[Nr. Outflows],,0,)</f>
        <v>#N/A</v>
      </c>
      <c r="M52" s="192"/>
      <c r="N52" s="177" t="str">
        <f>_xlfn.XLOOKUP($M52,Tab_Def_Flows[Name(EN)],Tab_Def_Flows[Flow_ID],,0,)</f>
        <v>F_12_12</v>
      </c>
      <c r="O52" s="44" t="str">
        <f t="shared" si="1"/>
        <v>TC_12_12</v>
      </c>
      <c r="P52" s="195"/>
      <c r="Q52" s="38"/>
      <c r="R52" s="38"/>
      <c r="S52" s="38"/>
      <c r="T52" s="38"/>
      <c r="U52" s="38"/>
    </row>
    <row r="53" spans="1:21" x14ac:dyDescent="0.25">
      <c r="A53" s="197" t="b">
        <v>0</v>
      </c>
      <c r="B53" s="10">
        <f t="shared" si="0"/>
        <v>52</v>
      </c>
      <c r="C53" s="49" t="str">
        <f>_xlfn.XLOOKUP($D53,Tab_Def_Processes[Name(EN)],Tab_Def_Processes[ID],,0,)</f>
        <v>12</v>
      </c>
      <c r="D53" s="192"/>
      <c r="E53" s="10">
        <f>_xlfn.XLOOKUP($D53,Tab_Def_Processes[Name(EN)],Tab_Def_Processes[Process_Type],,0,)</f>
        <v>0</v>
      </c>
      <c r="F53" s="10">
        <f>_xlfn.XLOOKUP($D53,Tab_Def_Processes[Name(EN)],Tab_Def_Processes[TC?],,0,)</f>
        <v>0</v>
      </c>
      <c r="G53" s="10">
        <f>_xlfn.XLOOKUP($D53,Tab_Def_Processes[Name(EN)],Tab_Def_Processes[Dyn_TC?],,0,)</f>
        <v>0</v>
      </c>
      <c r="H53" s="10">
        <f>_xlfn.XLOOKUP($D53,Tab_Def_Processes[Name(EN)],Tab_Def_Processes[Stock?],,0,)</f>
        <v>0</v>
      </c>
      <c r="I53" s="10">
        <f>_xlfn.XLOOKUP($D53,Tab_Def_Processes[Name(EN)],Tab_Def_Processes[Initial_Stock?],,0,)</f>
        <v>0</v>
      </c>
      <c r="J53" s="10">
        <f>_xlfn.XLOOKUP($D53,Tab_Def_Processes[Name(EN)],Tab_Def_Processes[DSM?],,0,)</f>
        <v>0</v>
      </c>
      <c r="K53" s="10">
        <f>_xlfn.XLOOKUP($D53,Tab_Def_Processes[Name(EN)],Tab_Def_Processes[FOMP?],,0,)</f>
        <v>0</v>
      </c>
      <c r="L53" s="10">
        <f>_xlfn.XLOOKUP($D53,Tab_Def_Processes[Name(EN)],Tab_Def_Processes[Nr. Outflows],,0,)</f>
        <v>0</v>
      </c>
      <c r="M53" s="192"/>
      <c r="N53" s="177" t="str">
        <f>_xlfn.XLOOKUP($M53,Tab_Def_Flows[Name(EN)],Tab_Def_Flows[Flow_ID],,0,)</f>
        <v>F_12_12</v>
      </c>
      <c r="O53" s="44" t="str">
        <f t="shared" si="1"/>
        <v>TC_12_12</v>
      </c>
      <c r="P53" s="195"/>
      <c r="Q53" s="38"/>
      <c r="R53" s="38"/>
      <c r="S53" s="38"/>
      <c r="T53" s="38"/>
      <c r="U53" s="38"/>
    </row>
    <row r="54" spans="1:21" x14ac:dyDescent="0.25">
      <c r="A54" s="197" t="b">
        <v>0</v>
      </c>
      <c r="B54" s="10">
        <f t="shared" si="0"/>
        <v>53</v>
      </c>
      <c r="C54" s="49" t="str">
        <f>_xlfn.XLOOKUP($D54,Tab_Def_Processes[Name(EN)],Tab_Def_Processes[ID],,0,)</f>
        <v>12</v>
      </c>
      <c r="D54" s="192"/>
      <c r="E54" s="10">
        <f>_xlfn.XLOOKUP($D54,Tab_Def_Processes[Name(EN)],Tab_Def_Processes[Process_Type],,0,)</f>
        <v>0</v>
      </c>
      <c r="F54" s="10">
        <f>_xlfn.XLOOKUP($D54,Tab_Def_Processes[Name(EN)],Tab_Def_Processes[TC?],,0,)</f>
        <v>0</v>
      </c>
      <c r="G54" s="10">
        <f>_xlfn.XLOOKUP($D54,Tab_Def_Processes[Name(EN)],Tab_Def_Processes[Dyn_TC?],,0,)</f>
        <v>0</v>
      </c>
      <c r="H54" s="10">
        <f>_xlfn.XLOOKUP($D54,Tab_Def_Processes[Name(EN)],Tab_Def_Processes[Stock?],,0,)</f>
        <v>0</v>
      </c>
      <c r="I54" s="10">
        <f>_xlfn.XLOOKUP($D54,Tab_Def_Processes[Name(EN)],Tab_Def_Processes[Initial_Stock?],,0,)</f>
        <v>0</v>
      </c>
      <c r="J54" s="10">
        <f>_xlfn.XLOOKUP($D54,Tab_Def_Processes[Name(EN)],Tab_Def_Processes[DSM?],,0,)</f>
        <v>0</v>
      </c>
      <c r="K54" s="10">
        <f>_xlfn.XLOOKUP($D54,Tab_Def_Processes[Name(EN)],Tab_Def_Processes[FOMP?],,0,)</f>
        <v>0</v>
      </c>
      <c r="L54" s="10">
        <f>_xlfn.XLOOKUP($D54,Tab_Def_Processes[Name(EN)],Tab_Def_Processes[Nr. Outflows],,0,)</f>
        <v>0</v>
      </c>
      <c r="M54" s="192"/>
      <c r="N54" s="177" t="str">
        <f>_xlfn.XLOOKUP($M54,Tab_Def_Flows[Name(EN)],Tab_Def_Flows[Flow_ID],,0,)</f>
        <v>F_12_12</v>
      </c>
      <c r="O54" s="44" t="str">
        <f t="shared" si="1"/>
        <v>TC_12_12</v>
      </c>
      <c r="P54" s="195"/>
      <c r="Q54" s="38"/>
      <c r="R54" s="38"/>
      <c r="S54" s="38"/>
      <c r="T54" s="38"/>
      <c r="U54" s="38"/>
    </row>
    <row r="55" spans="1:21" x14ac:dyDescent="0.25">
      <c r="A55" s="197" t="b">
        <v>0</v>
      </c>
      <c r="B55" s="10">
        <f t="shared" si="0"/>
        <v>54</v>
      </c>
      <c r="C55" s="49" t="str">
        <f>_xlfn.XLOOKUP($D55,Tab_Def_Processes[Name(EN)],Tab_Def_Processes[ID],,0,)</f>
        <v>12</v>
      </c>
      <c r="D55" s="192"/>
      <c r="E55" s="10">
        <f>_xlfn.XLOOKUP($D55,Tab_Def_Processes[Name(EN)],Tab_Def_Processes[Process_Type],,0,)</f>
        <v>0</v>
      </c>
      <c r="F55" s="10">
        <f>_xlfn.XLOOKUP($D55,Tab_Def_Processes[Name(EN)],Tab_Def_Processes[TC?],,0,)</f>
        <v>0</v>
      </c>
      <c r="G55" s="10">
        <f>_xlfn.XLOOKUP($D55,Tab_Def_Processes[Name(EN)],Tab_Def_Processes[Dyn_TC?],,0,)</f>
        <v>0</v>
      </c>
      <c r="H55" s="10">
        <f>_xlfn.XLOOKUP($D55,Tab_Def_Processes[Name(EN)],Tab_Def_Processes[Stock?],,0,)</f>
        <v>0</v>
      </c>
      <c r="I55" s="10">
        <f>_xlfn.XLOOKUP($D55,Tab_Def_Processes[Name(EN)],Tab_Def_Processes[Initial_Stock?],,0,)</f>
        <v>0</v>
      </c>
      <c r="J55" s="10">
        <f>_xlfn.XLOOKUP($D55,Tab_Def_Processes[Name(EN)],Tab_Def_Processes[DSM?],,0,)</f>
        <v>0</v>
      </c>
      <c r="K55" s="10">
        <f>_xlfn.XLOOKUP($D55,Tab_Def_Processes[Name(EN)],Tab_Def_Processes[FOMP?],,0,)</f>
        <v>0</v>
      </c>
      <c r="L55" s="10">
        <f>_xlfn.XLOOKUP($D55,Tab_Def_Processes[Name(EN)],Tab_Def_Processes[Nr. Outflows],,0,)</f>
        <v>0</v>
      </c>
      <c r="M55" s="192"/>
      <c r="N55" s="177" t="str">
        <f>_xlfn.XLOOKUP($M55,Tab_Def_Flows[Name(EN)],Tab_Def_Flows[Flow_ID],,0,)</f>
        <v>F_12_12</v>
      </c>
      <c r="O55" s="44" t="str">
        <f t="shared" si="1"/>
        <v>TC_12_12</v>
      </c>
      <c r="P55" s="195"/>
      <c r="Q55" s="38"/>
      <c r="R55" s="38"/>
      <c r="S55" s="38"/>
      <c r="T55" s="38"/>
      <c r="U55" s="38"/>
    </row>
    <row r="56" spans="1:21" x14ac:dyDescent="0.25">
      <c r="A56" s="197" t="b">
        <v>0</v>
      </c>
      <c r="B56" s="10">
        <f t="shared" si="0"/>
        <v>55</v>
      </c>
      <c r="C56" s="49" t="str">
        <f>_xlfn.XLOOKUP($D56,Tab_Def_Processes[Name(EN)],Tab_Def_Processes[ID],,0,)</f>
        <v>12</v>
      </c>
      <c r="D56" s="192"/>
      <c r="E56" s="10">
        <f>_xlfn.XLOOKUP($D56,Tab_Def_Processes[Name(EN)],Tab_Def_Processes[Process_Type],,0,)</f>
        <v>0</v>
      </c>
      <c r="F56" s="10">
        <f>_xlfn.XLOOKUP($D56,Tab_Def_Processes[Name(EN)],Tab_Def_Processes[TC?],,0,)</f>
        <v>0</v>
      </c>
      <c r="G56" s="10">
        <f>_xlfn.XLOOKUP($D56,Tab_Def_Processes[Name(EN)],Tab_Def_Processes[Dyn_TC?],,0,)</f>
        <v>0</v>
      </c>
      <c r="H56" s="10">
        <f>_xlfn.XLOOKUP($D56,Tab_Def_Processes[Name(EN)],Tab_Def_Processes[Stock?],,0,)</f>
        <v>0</v>
      </c>
      <c r="I56" s="10">
        <f>_xlfn.XLOOKUP($D56,Tab_Def_Processes[Name(EN)],Tab_Def_Processes[Initial_Stock?],,0,)</f>
        <v>0</v>
      </c>
      <c r="J56" s="10">
        <f>_xlfn.XLOOKUP($D56,Tab_Def_Processes[Name(EN)],Tab_Def_Processes[DSM?],,0,)</f>
        <v>0</v>
      </c>
      <c r="K56" s="10">
        <f>_xlfn.XLOOKUP($D56,Tab_Def_Processes[Name(EN)],Tab_Def_Processes[FOMP?],,0,)</f>
        <v>0</v>
      </c>
      <c r="L56" s="10">
        <f>_xlfn.XLOOKUP($D56,Tab_Def_Processes[Name(EN)],Tab_Def_Processes[Nr. Outflows],,0,)</f>
        <v>0</v>
      </c>
      <c r="M56" s="192"/>
      <c r="N56" s="177" t="str">
        <f>_xlfn.XLOOKUP($M56,Tab_Def_Flows[Name(EN)],Tab_Def_Flows[Flow_ID],,0,)</f>
        <v>F_12_12</v>
      </c>
      <c r="O56" s="44" t="str">
        <f t="shared" si="1"/>
        <v>TC_12_12</v>
      </c>
      <c r="P56" s="195"/>
      <c r="Q56" s="38"/>
      <c r="R56" s="38"/>
      <c r="S56" s="38"/>
      <c r="T56" s="38"/>
      <c r="U56" s="38"/>
    </row>
    <row r="57" spans="1:21" x14ac:dyDescent="0.25">
      <c r="A57" s="197" t="b">
        <v>0</v>
      </c>
      <c r="B57" s="10">
        <f t="shared" si="0"/>
        <v>56</v>
      </c>
      <c r="C57" s="49" t="str">
        <f>_xlfn.XLOOKUP($D57,Tab_Def_Processes[Name(EN)],Tab_Def_Processes[ID],,0,)</f>
        <v>12</v>
      </c>
      <c r="D57" s="192"/>
      <c r="E57" s="10">
        <f>_xlfn.XLOOKUP($D57,Tab_Def_Processes[Name(EN)],Tab_Def_Processes[Process_Type],,0,)</f>
        <v>0</v>
      </c>
      <c r="F57" s="10">
        <f>_xlfn.XLOOKUP($D57,Tab_Def_Processes[Name(EN)],Tab_Def_Processes[TC?],,0,)</f>
        <v>0</v>
      </c>
      <c r="G57" s="10">
        <f>_xlfn.XLOOKUP($D57,Tab_Def_Processes[Name(EN)],Tab_Def_Processes[Dyn_TC?],,0,)</f>
        <v>0</v>
      </c>
      <c r="H57" s="10">
        <f>_xlfn.XLOOKUP($D57,Tab_Def_Processes[Name(EN)],Tab_Def_Processes[Stock?],,0,)</f>
        <v>0</v>
      </c>
      <c r="I57" s="10">
        <f>_xlfn.XLOOKUP($D57,Tab_Def_Processes[Name(EN)],Tab_Def_Processes[Initial_Stock?],,0,)</f>
        <v>0</v>
      </c>
      <c r="J57" s="10">
        <f>_xlfn.XLOOKUP($D57,Tab_Def_Processes[Name(EN)],Tab_Def_Processes[DSM?],,0,)</f>
        <v>0</v>
      </c>
      <c r="K57" s="10">
        <f>_xlfn.XLOOKUP($D57,Tab_Def_Processes[Name(EN)],Tab_Def_Processes[FOMP?],,0,)</f>
        <v>0</v>
      </c>
      <c r="L57" s="10">
        <f>_xlfn.XLOOKUP($D57,Tab_Def_Processes[Name(EN)],Tab_Def_Processes[Nr. Outflows],,0,)</f>
        <v>0</v>
      </c>
      <c r="M57" s="192"/>
      <c r="N57" s="177" t="str">
        <f>_xlfn.XLOOKUP($M57,Tab_Def_Flows[Name(EN)],Tab_Def_Flows[Flow_ID],,0,)</f>
        <v>F_12_12</v>
      </c>
      <c r="O57" s="44" t="str">
        <f t="shared" si="1"/>
        <v>TC_12_12</v>
      </c>
      <c r="P57" s="195"/>
      <c r="Q57" s="38"/>
      <c r="R57" s="38"/>
      <c r="S57" s="38"/>
      <c r="T57" s="38"/>
      <c r="U57" s="38"/>
    </row>
    <row r="58" spans="1:21" x14ac:dyDescent="0.25">
      <c r="A58" s="197" t="b">
        <v>0</v>
      </c>
      <c r="B58" s="10">
        <f t="shared" si="0"/>
        <v>57</v>
      </c>
      <c r="C58" s="49" t="str">
        <f>_xlfn.XLOOKUP($D58,Tab_Def_Processes[Name(EN)],Tab_Def_Processes[ID],,0,)</f>
        <v>12</v>
      </c>
      <c r="D58" s="192"/>
      <c r="E58" s="10">
        <f>_xlfn.XLOOKUP($D58,Tab_Def_Processes[Name(EN)],Tab_Def_Processes[Process_Type],,0,)</f>
        <v>0</v>
      </c>
      <c r="F58" s="10">
        <f>_xlfn.XLOOKUP($D58,Tab_Def_Processes[Name(EN)],Tab_Def_Processes[TC?],,0,)</f>
        <v>0</v>
      </c>
      <c r="G58" s="10">
        <f>_xlfn.XLOOKUP($D58,Tab_Def_Processes[Name(EN)],Tab_Def_Processes[Dyn_TC?],,0,)</f>
        <v>0</v>
      </c>
      <c r="H58" s="10">
        <f>_xlfn.XLOOKUP($D58,Tab_Def_Processes[Name(EN)],Tab_Def_Processes[Stock?],,0,)</f>
        <v>0</v>
      </c>
      <c r="I58" s="10">
        <f>_xlfn.XLOOKUP($D58,Tab_Def_Processes[Name(EN)],Tab_Def_Processes[Initial_Stock?],,0,)</f>
        <v>0</v>
      </c>
      <c r="J58" s="10">
        <f>_xlfn.XLOOKUP($D58,Tab_Def_Processes[Name(EN)],Tab_Def_Processes[DSM?],,0,)</f>
        <v>0</v>
      </c>
      <c r="K58" s="10">
        <f>_xlfn.XLOOKUP($D58,Tab_Def_Processes[Name(EN)],Tab_Def_Processes[FOMP?],,0,)</f>
        <v>0</v>
      </c>
      <c r="L58" s="10">
        <f>_xlfn.XLOOKUP($D58,Tab_Def_Processes[Name(EN)],Tab_Def_Processes[Nr. Outflows],,0,)</f>
        <v>0</v>
      </c>
      <c r="M58" s="192"/>
      <c r="N58" s="177" t="str">
        <f>_xlfn.XLOOKUP($M58,Tab_Def_Flows[Name(EN)],Tab_Def_Flows[Flow_ID],,0,)</f>
        <v>F_12_12</v>
      </c>
      <c r="O58" s="44" t="str">
        <f t="shared" si="1"/>
        <v>TC_12_12</v>
      </c>
      <c r="P58" s="195"/>
      <c r="Q58" s="38"/>
      <c r="R58" s="38"/>
      <c r="S58" s="38"/>
      <c r="T58" s="38"/>
      <c r="U58" s="38"/>
    </row>
    <row r="59" spans="1:21" x14ac:dyDescent="0.25">
      <c r="A59" s="197" t="b">
        <v>0</v>
      </c>
      <c r="B59" s="10">
        <f t="shared" si="0"/>
        <v>58</v>
      </c>
      <c r="C59" s="49" t="str">
        <f>_xlfn.XLOOKUP($D59,Tab_Def_Processes[Name(EN)],Tab_Def_Processes[ID],,0,)</f>
        <v>12</v>
      </c>
      <c r="D59" s="192"/>
      <c r="E59" s="10">
        <f>_xlfn.XLOOKUP($D59,Tab_Def_Processes[Name(EN)],Tab_Def_Processes[Process_Type],,0,)</f>
        <v>0</v>
      </c>
      <c r="F59" s="10">
        <f>_xlfn.XLOOKUP($D59,Tab_Def_Processes[Name(EN)],Tab_Def_Processes[TC?],,0,)</f>
        <v>0</v>
      </c>
      <c r="G59" s="10">
        <f>_xlfn.XLOOKUP($D59,Tab_Def_Processes[Name(EN)],Tab_Def_Processes[Dyn_TC?],,0,)</f>
        <v>0</v>
      </c>
      <c r="H59" s="10">
        <f>_xlfn.XLOOKUP($D59,Tab_Def_Processes[Name(EN)],Tab_Def_Processes[Stock?],,0,)</f>
        <v>0</v>
      </c>
      <c r="I59" s="10">
        <f>_xlfn.XLOOKUP($D59,Tab_Def_Processes[Name(EN)],Tab_Def_Processes[Initial_Stock?],,0,)</f>
        <v>0</v>
      </c>
      <c r="J59" s="10">
        <f>_xlfn.XLOOKUP($D59,Tab_Def_Processes[Name(EN)],Tab_Def_Processes[DSM?],,0,)</f>
        <v>0</v>
      </c>
      <c r="K59" s="10">
        <f>_xlfn.XLOOKUP($D59,Tab_Def_Processes[Name(EN)],Tab_Def_Processes[FOMP?],,0,)</f>
        <v>0</v>
      </c>
      <c r="L59" s="10">
        <f>_xlfn.XLOOKUP($D59,Tab_Def_Processes[Name(EN)],Tab_Def_Processes[Nr. Outflows],,0,)</f>
        <v>0</v>
      </c>
      <c r="M59" s="192"/>
      <c r="N59" s="177" t="str">
        <f>_xlfn.XLOOKUP($M59,Tab_Def_Flows[Name(EN)],Tab_Def_Flows[Flow_ID],,0,)</f>
        <v>F_12_12</v>
      </c>
      <c r="O59" s="44" t="str">
        <f t="shared" si="1"/>
        <v>TC_12_12</v>
      </c>
      <c r="P59" s="195"/>
      <c r="Q59" s="38"/>
      <c r="R59" s="38"/>
      <c r="S59" s="38"/>
      <c r="T59" s="38"/>
      <c r="U59" s="38"/>
    </row>
    <row r="60" spans="1:21" x14ac:dyDescent="0.25">
      <c r="A60" s="197" t="b">
        <v>0</v>
      </c>
      <c r="B60" s="10">
        <f t="shared" si="0"/>
        <v>59</v>
      </c>
      <c r="C60" s="49" t="str">
        <f>_xlfn.XLOOKUP($D60,Tab_Def_Processes[Name(EN)],Tab_Def_Processes[ID],,0,)</f>
        <v>12</v>
      </c>
      <c r="D60" s="192"/>
      <c r="E60" s="10">
        <f>_xlfn.XLOOKUP($D60,Tab_Def_Processes[Name(EN)],Tab_Def_Processes[Process_Type],,0,)</f>
        <v>0</v>
      </c>
      <c r="F60" s="10">
        <f>_xlfn.XLOOKUP($D60,Tab_Def_Processes[Name(EN)],Tab_Def_Processes[TC?],,0,)</f>
        <v>0</v>
      </c>
      <c r="G60" s="10">
        <f>_xlfn.XLOOKUP($D60,Tab_Def_Processes[Name(EN)],Tab_Def_Processes[Dyn_TC?],,0,)</f>
        <v>0</v>
      </c>
      <c r="H60" s="10">
        <f>_xlfn.XLOOKUP($D60,Tab_Def_Processes[Name(EN)],Tab_Def_Processes[Stock?],,0,)</f>
        <v>0</v>
      </c>
      <c r="I60" s="10">
        <f>_xlfn.XLOOKUP($D60,Tab_Def_Processes[Name(EN)],Tab_Def_Processes[Initial_Stock?],,0,)</f>
        <v>0</v>
      </c>
      <c r="J60" s="10">
        <f>_xlfn.XLOOKUP($D60,Tab_Def_Processes[Name(EN)],Tab_Def_Processes[DSM?],,0,)</f>
        <v>0</v>
      </c>
      <c r="K60" s="10">
        <f>_xlfn.XLOOKUP($D60,Tab_Def_Processes[Name(EN)],Tab_Def_Processes[FOMP?],,0,)</f>
        <v>0</v>
      </c>
      <c r="L60" s="10">
        <f>_xlfn.XLOOKUP($D60,Tab_Def_Processes[Name(EN)],Tab_Def_Processes[Nr. Outflows],,0,)</f>
        <v>0</v>
      </c>
      <c r="M60" s="192"/>
      <c r="N60" s="177" t="str">
        <f>_xlfn.XLOOKUP($M60,Tab_Def_Flows[Name(EN)],Tab_Def_Flows[Flow_ID],,0,)</f>
        <v>F_12_12</v>
      </c>
      <c r="O60" s="44" t="str">
        <f t="shared" si="1"/>
        <v>TC_12_12</v>
      </c>
      <c r="P60" s="195"/>
      <c r="Q60" s="38"/>
      <c r="R60" s="38"/>
      <c r="S60" s="38"/>
      <c r="T60" s="38"/>
      <c r="U60" s="38"/>
    </row>
    <row r="61" spans="1:21" x14ac:dyDescent="0.25">
      <c r="A61" s="197" t="b">
        <v>0</v>
      </c>
      <c r="B61" s="10">
        <f t="shared" si="0"/>
        <v>60</v>
      </c>
      <c r="C61" s="49" t="str">
        <f>_xlfn.XLOOKUP($D61,Tab_Def_Processes[Name(EN)],Tab_Def_Processes[ID],,0,)</f>
        <v>12</v>
      </c>
      <c r="D61" s="192"/>
      <c r="E61" s="10">
        <f>_xlfn.XLOOKUP($D61,Tab_Def_Processes[Name(EN)],Tab_Def_Processes[Process_Type],,0,)</f>
        <v>0</v>
      </c>
      <c r="F61" s="10">
        <f>_xlfn.XLOOKUP($D61,Tab_Def_Processes[Name(EN)],Tab_Def_Processes[TC?],,0,)</f>
        <v>0</v>
      </c>
      <c r="G61" s="10">
        <f>_xlfn.XLOOKUP($D61,Tab_Def_Processes[Name(EN)],Tab_Def_Processes[Dyn_TC?],,0,)</f>
        <v>0</v>
      </c>
      <c r="H61" s="10">
        <f>_xlfn.XLOOKUP($D61,Tab_Def_Processes[Name(EN)],Tab_Def_Processes[Stock?],,0,)</f>
        <v>0</v>
      </c>
      <c r="I61" s="10">
        <f>_xlfn.XLOOKUP($D61,Tab_Def_Processes[Name(EN)],Tab_Def_Processes[Initial_Stock?],,0,)</f>
        <v>0</v>
      </c>
      <c r="J61" s="10">
        <f>_xlfn.XLOOKUP($D61,Tab_Def_Processes[Name(EN)],Tab_Def_Processes[DSM?],,0,)</f>
        <v>0</v>
      </c>
      <c r="K61" s="10">
        <f>_xlfn.XLOOKUP($D61,Tab_Def_Processes[Name(EN)],Tab_Def_Processes[FOMP?],,0,)</f>
        <v>0</v>
      </c>
      <c r="L61" s="10">
        <f>_xlfn.XLOOKUP($D61,Tab_Def_Processes[Name(EN)],Tab_Def_Processes[Nr. Outflows],,0,)</f>
        <v>0</v>
      </c>
      <c r="M61" s="192"/>
      <c r="N61" s="177" t="str">
        <f>_xlfn.XLOOKUP($M61,Tab_Def_Flows[Name(EN)],Tab_Def_Flows[Flow_ID],,0,)</f>
        <v>F_12_12</v>
      </c>
      <c r="O61" s="44" t="str">
        <f t="shared" si="1"/>
        <v>TC_12_12</v>
      </c>
      <c r="P61" s="195"/>
      <c r="Q61" s="38"/>
      <c r="R61" s="38"/>
      <c r="S61" s="38"/>
      <c r="T61" s="38"/>
      <c r="U61" s="38"/>
    </row>
    <row r="62" spans="1:21" x14ac:dyDescent="0.25">
      <c r="A62" s="197" t="b">
        <v>0</v>
      </c>
      <c r="B62" s="10">
        <f t="shared" si="0"/>
        <v>61</v>
      </c>
      <c r="C62" s="49" t="str">
        <f>_xlfn.XLOOKUP($D62,Tab_Def_Processes[Name(EN)],Tab_Def_Processes[ID],,0,)</f>
        <v>12</v>
      </c>
      <c r="D62" s="192"/>
      <c r="E62" s="10">
        <f>_xlfn.XLOOKUP($D62,Tab_Def_Processes[Name(EN)],Tab_Def_Processes[Process_Type],,0,)</f>
        <v>0</v>
      </c>
      <c r="F62" s="10">
        <f>_xlfn.XLOOKUP($D62,Tab_Def_Processes[Name(EN)],Tab_Def_Processes[TC?],,0,)</f>
        <v>0</v>
      </c>
      <c r="G62" s="10">
        <f>_xlfn.XLOOKUP($D62,Tab_Def_Processes[Name(EN)],Tab_Def_Processes[Dyn_TC?],,0,)</f>
        <v>0</v>
      </c>
      <c r="H62" s="10">
        <f>_xlfn.XLOOKUP($D62,Tab_Def_Processes[Name(EN)],Tab_Def_Processes[Stock?],,0,)</f>
        <v>0</v>
      </c>
      <c r="I62" s="10">
        <f>_xlfn.XLOOKUP($D62,Tab_Def_Processes[Name(EN)],Tab_Def_Processes[Initial_Stock?],,0,)</f>
        <v>0</v>
      </c>
      <c r="J62" s="10">
        <f>_xlfn.XLOOKUP($D62,Tab_Def_Processes[Name(EN)],Tab_Def_Processes[DSM?],,0,)</f>
        <v>0</v>
      </c>
      <c r="K62" s="10">
        <f>_xlfn.XLOOKUP($D62,Tab_Def_Processes[Name(EN)],Tab_Def_Processes[FOMP?],,0,)</f>
        <v>0</v>
      </c>
      <c r="L62" s="10">
        <f>_xlfn.XLOOKUP($D62,Tab_Def_Processes[Name(EN)],Tab_Def_Processes[Nr. Outflows],,0,)</f>
        <v>0</v>
      </c>
      <c r="M62" s="192"/>
      <c r="N62" s="177" t="str">
        <f>_xlfn.XLOOKUP($M62,Tab_Def_Flows[Name(EN)],Tab_Def_Flows[Flow_ID],,0,)</f>
        <v>F_12_12</v>
      </c>
      <c r="O62" s="44" t="str">
        <f t="shared" si="1"/>
        <v>TC_12_12</v>
      </c>
      <c r="P62" s="195"/>
      <c r="Q62" s="38"/>
      <c r="R62" s="38"/>
      <c r="S62" s="38"/>
      <c r="T62" s="38"/>
      <c r="U62" s="38"/>
    </row>
    <row r="63" spans="1:21" x14ac:dyDescent="0.25">
      <c r="A63" s="197" t="b">
        <v>0</v>
      </c>
      <c r="B63" s="10">
        <f t="shared" si="0"/>
        <v>62</v>
      </c>
      <c r="C63" s="49" t="str">
        <f>_xlfn.XLOOKUP($D63,Tab_Def_Processes[Name(EN)],Tab_Def_Processes[ID],,0,)</f>
        <v>12</v>
      </c>
      <c r="D63" s="192"/>
      <c r="E63" s="10">
        <f>_xlfn.XLOOKUP($D63,Tab_Def_Processes[Name(EN)],Tab_Def_Processes[Process_Type],,0,)</f>
        <v>0</v>
      </c>
      <c r="F63" s="10">
        <f>_xlfn.XLOOKUP($D63,Tab_Def_Processes[Name(EN)],Tab_Def_Processes[TC?],,0,)</f>
        <v>0</v>
      </c>
      <c r="G63" s="10">
        <f>_xlfn.XLOOKUP($D63,Tab_Def_Processes[Name(EN)],Tab_Def_Processes[Dyn_TC?],,0,)</f>
        <v>0</v>
      </c>
      <c r="H63" s="10">
        <f>_xlfn.XLOOKUP($D63,Tab_Def_Processes[Name(EN)],Tab_Def_Processes[Stock?],,0,)</f>
        <v>0</v>
      </c>
      <c r="I63" s="10">
        <f>_xlfn.XLOOKUP($D63,Tab_Def_Processes[Name(EN)],Tab_Def_Processes[Initial_Stock?],,0,)</f>
        <v>0</v>
      </c>
      <c r="J63" s="10">
        <f>_xlfn.XLOOKUP($D63,Tab_Def_Processes[Name(EN)],Tab_Def_Processes[DSM?],,0,)</f>
        <v>0</v>
      </c>
      <c r="K63" s="10">
        <f>_xlfn.XLOOKUP($D63,Tab_Def_Processes[Name(EN)],Tab_Def_Processes[FOMP?],,0,)</f>
        <v>0</v>
      </c>
      <c r="L63" s="10">
        <f>_xlfn.XLOOKUP($D63,Tab_Def_Processes[Name(EN)],Tab_Def_Processes[Nr. Outflows],,0,)</f>
        <v>0</v>
      </c>
      <c r="M63" s="192"/>
      <c r="N63" s="177" t="str">
        <f>_xlfn.XLOOKUP($M63,Tab_Def_Flows[Name(EN)],Tab_Def_Flows[Flow_ID],,0,)</f>
        <v>F_12_12</v>
      </c>
      <c r="O63" s="44" t="str">
        <f t="shared" si="1"/>
        <v>TC_12_12</v>
      </c>
      <c r="P63" s="195"/>
      <c r="Q63" s="38"/>
      <c r="R63" s="38"/>
      <c r="S63" s="38"/>
      <c r="T63" s="38"/>
      <c r="U63" s="38"/>
    </row>
    <row r="64" spans="1:21" x14ac:dyDescent="0.25">
      <c r="A64" s="197" t="b">
        <v>0</v>
      </c>
      <c r="B64" s="10">
        <f t="shared" si="0"/>
        <v>63</v>
      </c>
      <c r="C64" s="49" t="str">
        <f>_xlfn.XLOOKUP($D64,Tab_Def_Processes[Name(EN)],Tab_Def_Processes[ID],,0,)</f>
        <v>12</v>
      </c>
      <c r="D64" s="192"/>
      <c r="E64" s="10">
        <f>_xlfn.XLOOKUP($D64,Tab_Def_Processes[Name(EN)],Tab_Def_Processes[Process_Type],,0,)</f>
        <v>0</v>
      </c>
      <c r="F64" s="10">
        <f>_xlfn.XLOOKUP($D64,Tab_Def_Processes[Name(EN)],Tab_Def_Processes[TC?],,0,)</f>
        <v>0</v>
      </c>
      <c r="G64" s="10">
        <f>_xlfn.XLOOKUP($D64,Tab_Def_Processes[Name(EN)],Tab_Def_Processes[Dyn_TC?],,0,)</f>
        <v>0</v>
      </c>
      <c r="H64" s="10">
        <f>_xlfn.XLOOKUP($D64,Tab_Def_Processes[Name(EN)],Tab_Def_Processes[Stock?],,0,)</f>
        <v>0</v>
      </c>
      <c r="I64" s="10">
        <f>_xlfn.XLOOKUP($D64,Tab_Def_Processes[Name(EN)],Tab_Def_Processes[Initial_Stock?],,0,)</f>
        <v>0</v>
      </c>
      <c r="J64" s="10">
        <f>_xlfn.XLOOKUP($D64,Tab_Def_Processes[Name(EN)],Tab_Def_Processes[DSM?],,0,)</f>
        <v>0</v>
      </c>
      <c r="K64" s="10">
        <f>_xlfn.XLOOKUP($D64,Tab_Def_Processes[Name(EN)],Tab_Def_Processes[FOMP?],,0,)</f>
        <v>0</v>
      </c>
      <c r="L64" s="10">
        <f>_xlfn.XLOOKUP($D64,Tab_Def_Processes[Name(EN)],Tab_Def_Processes[Nr. Outflows],,0,)</f>
        <v>0</v>
      </c>
      <c r="M64" s="192"/>
      <c r="N64" s="177" t="str">
        <f>_xlfn.XLOOKUP($M64,Tab_Def_Flows[Name(EN)],Tab_Def_Flows[Flow_ID],,0,)</f>
        <v>F_12_12</v>
      </c>
      <c r="O64" s="44" t="str">
        <f t="shared" si="1"/>
        <v>TC_12_12</v>
      </c>
      <c r="P64" s="195"/>
      <c r="Q64" s="38"/>
      <c r="R64" s="38"/>
      <c r="S64" s="38"/>
      <c r="T64" s="38"/>
      <c r="U64" s="3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BE80A41C-CEEB-4E1A-8D1E-9D878728057C}">
          <x14:formula1>
            <xm:f>'2_1_Definition_Processes'!$D$2:$D$58</xm:f>
          </x14:formula1>
          <xm:sqref>D1:D1048576</xm:sqref>
        </x14:dataValidation>
        <x14:dataValidation type="list" allowBlank="1" showInputMessage="1" showErrorMessage="1" xr:uid="{8FE3D734-1C10-4EB8-BA5A-47B1ACC2BB98}">
          <x14:formula1>
            <xm:f>'1_1_Definition_Flows'!$D$2:$D$83</xm:f>
          </x14:formula1>
          <xm:sqref>M2:M64</xm:sqref>
        </x14:dataValidation>
        <x14:dataValidation type="list" allowBlank="1" showInputMessage="1" showErrorMessage="1" xr:uid="{B0A3515F-0316-46F1-B367-DD356BD65A59}">
          <x14:formula1>
            <xm:f>'4_1 Codelists'!$B$38:$B$39</xm:f>
          </x14:formula1>
          <xm:sqref>AB5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51"/>
  <sheetViews>
    <sheetView zoomScale="125" zoomScaleNormal="115" workbookViewId="0">
      <pane xSplit="5" topLeftCell="I1" activePane="topRight" state="frozen"/>
      <selection pane="topRight" activeCell="K3" sqref="K3"/>
    </sheetView>
  </sheetViews>
  <sheetFormatPr defaultColWidth="10.85546875" defaultRowHeight="15" x14ac:dyDescent="0.25"/>
  <cols>
    <col min="2" max="2" width="16.5703125" customWidth="1"/>
    <col min="4" max="4" width="16.5703125" style="48"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6" hidden="1" customWidth="1"/>
    <col min="35" max="35" width="42" style="56" hidden="1" customWidth="1"/>
    <col min="36" max="39" width="17.85546875" style="56" hidden="1" customWidth="1"/>
    <col min="40" max="40" width="26.28515625" style="56" hidden="1" customWidth="1"/>
    <col min="41" max="55" width="17.85546875" style="56" hidden="1" customWidth="1"/>
    <col min="56" max="59" width="17.85546875" hidden="1" customWidth="1"/>
    <col min="60" max="65" width="0" hidden="1" customWidth="1"/>
  </cols>
  <sheetData>
    <row r="1" spans="1:64" x14ac:dyDescent="0.25">
      <c r="A1" s="196" t="s">
        <v>88</v>
      </c>
      <c r="B1" s="196" t="s">
        <v>32</v>
      </c>
      <c r="C1" s="196" t="s">
        <v>62</v>
      </c>
      <c r="D1" s="196" t="s">
        <v>90</v>
      </c>
      <c r="E1" s="196" t="s">
        <v>303</v>
      </c>
      <c r="F1" s="196" t="s">
        <v>65</v>
      </c>
      <c r="G1" s="196" t="s">
        <v>273</v>
      </c>
      <c r="H1" s="196" t="s">
        <v>41</v>
      </c>
      <c r="I1" s="196" t="s">
        <v>91</v>
      </c>
      <c r="J1" s="196" t="s">
        <v>1</v>
      </c>
      <c r="K1" s="196" t="s">
        <v>304</v>
      </c>
      <c r="L1" s="8" t="s">
        <v>272</v>
      </c>
      <c r="M1" s="15" t="s">
        <v>66</v>
      </c>
      <c r="N1" s="15" t="s">
        <v>67</v>
      </c>
      <c r="O1" s="28" t="s">
        <v>93</v>
      </c>
      <c r="P1" s="15" t="s">
        <v>68</v>
      </c>
      <c r="Q1" s="15" t="s">
        <v>73</v>
      </c>
      <c r="R1" s="28" t="s">
        <v>97</v>
      </c>
      <c r="S1" s="29" t="s">
        <v>69</v>
      </c>
      <c r="T1" s="26" t="s">
        <v>11</v>
      </c>
      <c r="U1" s="32" t="s">
        <v>96</v>
      </c>
      <c r="V1" s="29" t="s">
        <v>70</v>
      </c>
      <c r="W1" s="25" t="s">
        <v>12</v>
      </c>
      <c r="X1" s="28" t="s">
        <v>95</v>
      </c>
      <c r="Y1" s="29" t="s">
        <v>71</v>
      </c>
      <c r="Z1" s="25" t="s">
        <v>13</v>
      </c>
      <c r="AA1" s="28" t="s">
        <v>94</v>
      </c>
      <c r="AB1" s="25" t="s">
        <v>98</v>
      </c>
      <c r="AC1" s="180" t="s">
        <v>76</v>
      </c>
      <c r="AD1" s="180" t="s">
        <v>82</v>
      </c>
      <c r="AE1" s="180" t="s">
        <v>291</v>
      </c>
      <c r="AF1" s="180" t="s">
        <v>270</v>
      </c>
      <c r="AG1" s="181" t="s">
        <v>297</v>
      </c>
      <c r="AH1" s="182" t="s">
        <v>77</v>
      </c>
      <c r="AI1" s="182" t="s">
        <v>83</v>
      </c>
      <c r="AJ1" s="182" t="s">
        <v>292</v>
      </c>
      <c r="AK1" s="180" t="s">
        <v>271</v>
      </c>
      <c r="AL1" s="181" t="s">
        <v>298</v>
      </c>
      <c r="AM1" s="182" t="s">
        <v>78</v>
      </c>
      <c r="AN1" s="182" t="s">
        <v>84</v>
      </c>
      <c r="AO1" s="182" t="s">
        <v>293</v>
      </c>
      <c r="AP1" s="180" t="s">
        <v>287</v>
      </c>
      <c r="AQ1" s="182" t="s">
        <v>299</v>
      </c>
      <c r="AR1" s="182" t="s">
        <v>79</v>
      </c>
      <c r="AS1" s="182" t="s">
        <v>85</v>
      </c>
      <c r="AT1" s="182" t="s">
        <v>294</v>
      </c>
      <c r="AU1" s="180" t="s">
        <v>288</v>
      </c>
      <c r="AV1" s="182" t="s">
        <v>300</v>
      </c>
      <c r="AW1" s="182" t="s">
        <v>80</v>
      </c>
      <c r="AX1" s="182" t="s">
        <v>86</v>
      </c>
      <c r="AY1" s="182" t="s">
        <v>295</v>
      </c>
      <c r="AZ1" s="180" t="s">
        <v>289</v>
      </c>
      <c r="BA1" s="182" t="s">
        <v>301</v>
      </c>
      <c r="BB1" s="52" t="s">
        <v>81</v>
      </c>
      <c r="BC1" s="52" t="s">
        <v>87</v>
      </c>
      <c r="BD1" s="52" t="s">
        <v>296</v>
      </c>
      <c r="BE1" s="27" t="s">
        <v>290</v>
      </c>
      <c r="BF1" s="52" t="s">
        <v>302</v>
      </c>
      <c r="BG1" s="53" t="s">
        <v>99</v>
      </c>
      <c r="BH1" s="37" t="s">
        <v>39</v>
      </c>
      <c r="BI1" s="173" t="s">
        <v>40</v>
      </c>
      <c r="BJ1" s="173" t="s">
        <v>4</v>
      </c>
      <c r="BK1" s="173" t="s">
        <v>3</v>
      </c>
      <c r="BL1" s="174" t="s">
        <v>5</v>
      </c>
    </row>
    <row r="2" spans="1:64" x14ac:dyDescent="0.25">
      <c r="A2" s="197" t="b">
        <v>0</v>
      </c>
      <c r="B2" s="10">
        <f t="shared" ref="B2:B33" si="0">ROW()-1</f>
        <v>1</v>
      </c>
      <c r="C2" s="49" t="str">
        <f>_xlfn.XLOOKUP($D2,Tab_Process_TCs[Name(EN)],Tab_Process_TCs[Process_ID],,0,)</f>
        <v>05</v>
      </c>
      <c r="D2" s="192" t="s">
        <v>306</v>
      </c>
      <c r="E2" s="192" t="s">
        <v>307</v>
      </c>
      <c r="F2" s="49" t="str">
        <f>_xlfn.XLOOKUP($D2,Tab_Process_TCs[Name(EN)],Tab_Process_TCs[TC?],,0,)</f>
        <v>Yes</v>
      </c>
      <c r="G2" s="49" t="str">
        <f>_xlfn.XLOOKUP($D2,Tab_Process_TCs[Name(EN)],Tab_Process_TCs[Dyn_TC?],,0,)</f>
        <v>Yes</v>
      </c>
      <c r="H2" s="10" t="str">
        <f>_xlfn.XLOOKUP($E2,Tab_Def_Flows[Name(EN)],Tab_Def_Flows[Flow_ID],,0,1)</f>
        <v>F_05_06</v>
      </c>
      <c r="I2" s="10" t="str">
        <f>IF(Tab_Process_TCs2527[[#This Row],[Name(EN)]]="N.A.","N.A.","TC"&amp;"_"&amp;RIGHT(H2,5))</f>
        <v>TC_05_06</v>
      </c>
      <c r="J2" s="12">
        <v>2030</v>
      </c>
      <c r="K2" s="58">
        <v>0.4</v>
      </c>
      <c r="L2" s="10"/>
      <c r="M2" s="17" t="str">
        <f>_xlfn.XLOOKUP($D2,Tab_Def_Processes[Name(EN)],Tab_Def_Processes[Input_Flow_I_1],,0,)</f>
        <v>N.A.</v>
      </c>
      <c r="N2" s="10" t="str">
        <f>_xlfn.XLOOKUP($D2,Tab_Def_Processes[Name(EN)],Tab_Def_Processes[Flow_ID_I_1],,0,)</f>
        <v>N.A.</v>
      </c>
      <c r="O2" s="34"/>
      <c r="P2" s="30" t="str">
        <f>_xlfn.XLOOKUP($D2,Tab_Def_Processes[Name(EN)],Tab_Def_Processes[Input_Flow_I_2],,0,)</f>
        <v>N.A.</v>
      </c>
      <c r="Q2" s="10" t="str">
        <f>_xlfn.XLOOKUP($D2,Tab_Def_Processes[Name(EN)],Tab_Def_Processes[Flow_ID_I_2],,0,)</f>
        <v>N.A.</v>
      </c>
      <c r="R2" s="34"/>
      <c r="S2" s="30" t="str">
        <f>_xlfn.XLOOKUP($D2,Tab_Def_Processes[Name(EN)],Tab_Def_Processes[Input_Flow_I_3],,0,)</f>
        <v>N.A.</v>
      </c>
      <c r="T2" s="10" t="str">
        <f>_xlfn.XLOOKUP($D2,Tab_Def_Processes[Name(EN)],Tab_Def_Processes[Flow_ID_I_3],,0,)</f>
        <v>N.A.</v>
      </c>
      <c r="U2" s="34"/>
      <c r="V2" s="30" t="str">
        <f>_xlfn.XLOOKUP($D2,Tab_Def_Processes[Name(EN)],Tab_Def_Processes[Input_Flow_I_4],,0,)</f>
        <v>N.A.</v>
      </c>
      <c r="W2" s="10" t="str">
        <f>_xlfn.XLOOKUP($D2,Tab_Def_Processes[Name(EN)],Tab_Def_Processes[Flow_ID_I_4],,0,)</f>
        <v>N.A.</v>
      </c>
      <c r="X2" s="34"/>
      <c r="Y2" s="30" t="str">
        <f>_xlfn.XLOOKUP($D2,Tab_Def_Processes[Name(EN)],Tab_Def_Processes[Input_Flow_I_5],,0,)</f>
        <v>N.A.</v>
      </c>
      <c r="Z2" s="10" t="str">
        <f>_xlfn.XLOOKUP($D2,Tab_Def_Processes[Name(EN)],Tab_Def_Processes[Flow_ID_I_5],,0,)</f>
        <v>N.A.</v>
      </c>
      <c r="AA2" s="34"/>
      <c r="AB2" s="33">
        <f>Tab_Process_TCs2527[[#This Row],[Flow_TC_I_1_'[%']]]+Tab_Process_TCs2527[[#This Row],[Flow_TC_I_2_'[%']]]+Tab_Process_TCs2527[[#This Row],[Flow_TC_I_3_'[%']]]+Tab_Process_TCs2527[[#This Row],[Flow_TC_I_4_'[%']]]+Tab_Process_TCs2527[[#This Row],[Flow_TC_I_5_'[%']]]</f>
        <v>0</v>
      </c>
      <c r="AC2" s="177" t="e">
        <f>_xlfn.XLOOKUP($D2,#REF!,#REF!,,0,)</f>
        <v>#REF!</v>
      </c>
      <c r="AD2" s="44" t="e">
        <f>_xlfn.XLOOKUP($D2,#REF!,#REF!,,0,)</f>
        <v>#REF!</v>
      </c>
      <c r="AE2" s="44" t="str">
        <f>Tab_Process_TCs2527[[#This Row],[Flow_ID]]</f>
        <v>F_05_06</v>
      </c>
      <c r="AF2" s="44" t="e">
        <f t="shared" ref="AF2:AF33" si="1">"TC"&amp;"_"&amp;RIGHT(AD2,5)</f>
        <v>#REF!</v>
      </c>
      <c r="AG2" s="178">
        <v>0.2</v>
      </c>
      <c r="AH2" s="177" t="e">
        <f>_xlfn.XLOOKUP($D2,#REF!,#REF!,,0,)</f>
        <v>#REF!</v>
      </c>
      <c r="AI2" s="44" t="e">
        <f>_xlfn.XLOOKUP($D2,#REF!,#REF!,,0,)</f>
        <v>#REF!</v>
      </c>
      <c r="AJ2" s="44" t="str">
        <f>Tab_Process_TCs2527[[#This Row],[Flow_ID]]</f>
        <v>F_05_06</v>
      </c>
      <c r="AK2" s="44" t="e">
        <f t="shared" ref="AK2:AK33" si="2">"TC"&amp;"_"&amp;RIGHT(AI2,5)</f>
        <v>#REF!</v>
      </c>
      <c r="AL2" s="179">
        <v>0.8</v>
      </c>
      <c r="AM2" s="177" t="e">
        <f>_xlfn.XLOOKUP($D2,#REF!,#REF!,,0,)</f>
        <v>#REF!</v>
      </c>
      <c r="AN2" s="44" t="e">
        <f>_xlfn.XLOOKUP($D2,#REF!,#REF!,,0,)</f>
        <v>#REF!</v>
      </c>
      <c r="AO2" s="44" t="str">
        <f>Tab_Process_TCs2527[[#This Row],[Flow_ID]]</f>
        <v>F_05_06</v>
      </c>
      <c r="AP2" s="44" t="e">
        <f t="shared" ref="AP2:AP33" si="3">"TC"&amp;"_"&amp;RIGHT(AN2,5)</f>
        <v>#REF!</v>
      </c>
      <c r="AQ2" s="179"/>
      <c r="AR2" s="177" t="e">
        <f>_xlfn.XLOOKUP($D2,#REF!,#REF!,,0,)</f>
        <v>#REF!</v>
      </c>
      <c r="AS2" s="44" t="e">
        <f>_xlfn.XLOOKUP($D2,#REF!,#REF!,,0,)</f>
        <v>#REF!</v>
      </c>
      <c r="AT2" s="44" t="str">
        <f>Tab_Process_TCs2527[[#This Row],[Flow_ID]]</f>
        <v>F_05_06</v>
      </c>
      <c r="AU2" s="44" t="e">
        <f t="shared" ref="AU2:AU33" si="4">"TC"&amp;"_"&amp;RIGHT(AN2,5)</f>
        <v>#REF!</v>
      </c>
      <c r="AV2" s="179"/>
      <c r="AW2" s="177" t="e">
        <f>_xlfn.XLOOKUP($D2,#REF!,#REF!,,0,)</f>
        <v>#REF!</v>
      </c>
      <c r="AX2" s="44" t="e">
        <f>_xlfn.XLOOKUP($D2,#REF!,#REF!,,0,)</f>
        <v>#REF!</v>
      </c>
      <c r="AY2" s="44" t="str">
        <f>Tab_Process_TCs2527[[#This Row],[Flow_ID]]</f>
        <v>F_05_06</v>
      </c>
      <c r="AZ2" s="44" t="e">
        <f t="shared" ref="AZ2:AZ33" si="5">"TC"&amp;"_"&amp;RIGHT(AX2,5)</f>
        <v>#REF!</v>
      </c>
      <c r="BA2" s="179"/>
      <c r="BB2" s="10" t="e">
        <f>_xlfn.XLOOKUP($D2,#REF!,#REF!,,0,)</f>
        <v>#REF!</v>
      </c>
      <c r="BC2" s="10" t="e">
        <f>_xlfn.XLOOKUP($D2,#REF!,#REF!,,0,)</f>
        <v>#REF!</v>
      </c>
      <c r="BD2" s="44" t="str">
        <f>Tab_Process_TCs2527[[#This Row],[Flow_ID]]</f>
        <v>F_05_06</v>
      </c>
      <c r="BE2" s="44" t="e">
        <f t="shared" ref="BE2:BE33" si="6">"TC"&amp;"_"&amp;RIGHT(BC2,5)</f>
        <v>#REF!</v>
      </c>
      <c r="BF2" s="51"/>
      <c r="BG2" s="54">
        <f>Tab_Process_TCs2527[[#This Row],[TC O_6_'[%']]]+Tab_Process_TCs2527[[#This Row],[TC O_5_'[%']]]+Tab_Process_TCs2527[[#This Row],[TC_O_4_'[%']]]+Tab_Process_TCs2527[[#This Row],[TC_O_3_'[%']]]+Tab_Process_TCs2527[[#This Row],[TC_O_2_'[%']]]+Tab_Process_TCs2527[[#This Row],[TC_O_1_'[%']]]</f>
        <v>1</v>
      </c>
      <c r="BH2" s="12"/>
      <c r="BI2" s="12"/>
      <c r="BJ2" s="12"/>
      <c r="BK2" s="12"/>
      <c r="BL2" s="12"/>
    </row>
    <row r="3" spans="1:64" x14ac:dyDescent="0.25">
      <c r="A3" s="197" t="b">
        <v>0</v>
      </c>
      <c r="B3" s="10">
        <f t="shared" si="0"/>
        <v>2</v>
      </c>
      <c r="C3" s="49" t="str">
        <f>_xlfn.XLOOKUP($D3,Tab_Process_TCs[Name(EN)],Tab_Process_TCs[Process_ID],,0,)</f>
        <v>05</v>
      </c>
      <c r="D3" s="192" t="s">
        <v>306</v>
      </c>
      <c r="E3" s="192" t="s">
        <v>307</v>
      </c>
      <c r="F3" s="49" t="str">
        <f>_xlfn.XLOOKUP($D3,Tab_Process_TCs[Name(EN)],Tab_Process_TCs[TC?],,0,)</f>
        <v>Yes</v>
      </c>
      <c r="G3" s="49" t="str">
        <f>_xlfn.XLOOKUP($D3,Tab_Process_TCs[Name(EN)],Tab_Process_TCs[Dyn_TC?],,0,)</f>
        <v>Yes</v>
      </c>
      <c r="H3" s="10" t="str">
        <f>_xlfn.XLOOKUP($E3,Tab_Def_Flows[Name(EN)],Tab_Def_Flows[Flow_ID],,0,1)</f>
        <v>F_05_06</v>
      </c>
      <c r="I3" s="10" t="str">
        <f>IF(Tab_Process_TCs2527[[#This Row],[Name(EN)]]="N.A.","N.A.","TC"&amp;"_"&amp;RIGHT(H3,5))</f>
        <v>TC_05_06</v>
      </c>
      <c r="J3" s="12">
        <v>2040</v>
      </c>
      <c r="K3" s="58">
        <v>0.1</v>
      </c>
      <c r="L3" s="10"/>
      <c r="M3" s="17" t="str">
        <f>_xlfn.XLOOKUP($D3,Tab_Def_Processes[Name(EN)],Tab_Def_Processes[Input_Flow_I_1],,0,)</f>
        <v>N.A.</v>
      </c>
      <c r="N3" s="10" t="str">
        <f>_xlfn.XLOOKUP($D3,Tab_Def_Processes[Name(EN)],Tab_Def_Processes[Flow_ID_I_1],,0,)</f>
        <v>N.A.</v>
      </c>
      <c r="O3" s="34"/>
      <c r="P3" s="30" t="str">
        <f>_xlfn.XLOOKUP($D3,Tab_Def_Processes[Name(EN)],Tab_Def_Processes[Input_Flow_I_2],,0,)</f>
        <v>N.A.</v>
      </c>
      <c r="Q3" s="10" t="str">
        <f>_xlfn.XLOOKUP($D3,Tab_Def_Processes[Name(EN)],Tab_Def_Processes[Flow_ID_I_2],,0,)</f>
        <v>N.A.</v>
      </c>
      <c r="R3" s="34"/>
      <c r="S3" s="30" t="str">
        <f>_xlfn.XLOOKUP($D3,Tab_Def_Processes[Name(EN)],Tab_Def_Processes[Input_Flow_I_3],,0,)</f>
        <v>N.A.</v>
      </c>
      <c r="T3" s="10" t="str">
        <f>_xlfn.XLOOKUP($D3,Tab_Def_Processes[Name(EN)],Tab_Def_Processes[Flow_ID_I_3],,0,)</f>
        <v>N.A.</v>
      </c>
      <c r="U3" s="34"/>
      <c r="V3" s="30" t="str">
        <f>_xlfn.XLOOKUP($D3,Tab_Def_Processes[Name(EN)],Tab_Def_Processes[Input_Flow_I_4],,0,)</f>
        <v>N.A.</v>
      </c>
      <c r="W3" s="10" t="str">
        <f>_xlfn.XLOOKUP($D3,Tab_Def_Processes[Name(EN)],Tab_Def_Processes[Flow_ID_I_4],,0,)</f>
        <v>N.A.</v>
      </c>
      <c r="X3" s="34"/>
      <c r="Y3" s="30" t="str">
        <f>_xlfn.XLOOKUP($D3,Tab_Def_Processes[Name(EN)],Tab_Def_Processes[Input_Flow_I_5],,0,)</f>
        <v>N.A.</v>
      </c>
      <c r="Z3" s="10" t="str">
        <f>_xlfn.XLOOKUP($D3,Tab_Def_Processes[Name(EN)],Tab_Def_Processes[Flow_ID_I_5],,0,)</f>
        <v>N.A.</v>
      </c>
      <c r="AA3" s="34"/>
      <c r="AB3" s="33">
        <f>Tab_Process_TCs2527[[#This Row],[Flow_TC_I_1_'[%']]]+Tab_Process_TCs2527[[#This Row],[Flow_TC_I_2_'[%']]]+Tab_Process_TCs2527[[#This Row],[Flow_TC_I_3_'[%']]]+Tab_Process_TCs2527[[#This Row],[Flow_TC_I_4_'[%']]]+Tab_Process_TCs2527[[#This Row],[Flow_TC_I_5_'[%']]]</f>
        <v>0</v>
      </c>
      <c r="AC3" s="17" t="e">
        <f>_xlfn.XLOOKUP($D3,#REF!,#REF!,,0,)</f>
        <v>#REF!</v>
      </c>
      <c r="AD3" s="10" t="e">
        <f>_xlfn.XLOOKUP($D3,#REF!,#REF!,,0,)</f>
        <v>#REF!</v>
      </c>
      <c r="AE3" s="44" t="str">
        <f>Tab_Process_TCs2527[[#This Row],[Flow_ID]]</f>
        <v>F_05_06</v>
      </c>
      <c r="AF3" s="10" t="e">
        <f t="shared" si="1"/>
        <v>#REF!</v>
      </c>
      <c r="AG3" s="51">
        <v>0.2</v>
      </c>
      <c r="AH3" s="17" t="e">
        <f>_xlfn.XLOOKUP($D3,#REF!,#REF!,,0,)</f>
        <v>#REF!</v>
      </c>
      <c r="AI3" s="10" t="e">
        <f>_xlfn.XLOOKUP($D3,#REF!,#REF!,,0,)</f>
        <v>#REF!</v>
      </c>
      <c r="AJ3" s="44" t="str">
        <f>Tab_Process_TCs2527[[#This Row],[Flow_ID]]</f>
        <v>F_05_06</v>
      </c>
      <c r="AK3" s="10" t="e">
        <f t="shared" si="2"/>
        <v>#REF!</v>
      </c>
      <c r="AL3" s="179">
        <v>0.8</v>
      </c>
      <c r="AM3" s="17" t="e">
        <f>_xlfn.XLOOKUP($D3,#REF!,#REF!,,0,)</f>
        <v>#REF!</v>
      </c>
      <c r="AN3" s="10" t="e">
        <f>_xlfn.XLOOKUP($D3,#REF!,#REF!,,0,)</f>
        <v>#REF!</v>
      </c>
      <c r="AO3" s="44" t="str">
        <f>Tab_Process_TCs2527[[#This Row],[Flow_ID]]</f>
        <v>F_05_06</v>
      </c>
      <c r="AP3" s="10" t="e">
        <f t="shared" si="3"/>
        <v>#REF!</v>
      </c>
      <c r="AQ3" s="170"/>
      <c r="AR3" s="17" t="e">
        <f>_xlfn.XLOOKUP($D3,#REF!,#REF!,,0,)</f>
        <v>#REF!</v>
      </c>
      <c r="AS3" s="10" t="e">
        <f>_xlfn.XLOOKUP($D3,#REF!,#REF!,,0,)</f>
        <v>#REF!</v>
      </c>
      <c r="AT3" s="44" t="str">
        <f>Tab_Process_TCs2527[[#This Row],[Flow_ID]]</f>
        <v>F_05_06</v>
      </c>
      <c r="AU3" s="44" t="e">
        <f t="shared" si="4"/>
        <v>#REF!</v>
      </c>
      <c r="AV3" s="170"/>
      <c r="AW3" s="17" t="e">
        <f>_xlfn.XLOOKUP($D3,#REF!,#REF!,,0,)</f>
        <v>#REF!</v>
      </c>
      <c r="AX3" s="10" t="e">
        <f>_xlfn.XLOOKUP($D3,#REF!,#REF!,,0,)</f>
        <v>#REF!</v>
      </c>
      <c r="AY3" s="44" t="str">
        <f>Tab_Process_TCs2527[[#This Row],[Flow_ID]]</f>
        <v>F_05_06</v>
      </c>
      <c r="AZ3" s="44" t="e">
        <f t="shared" si="5"/>
        <v>#REF!</v>
      </c>
      <c r="BA3" s="170"/>
      <c r="BB3" s="10" t="e">
        <f>_xlfn.XLOOKUP($D3,#REF!,#REF!,,0,)</f>
        <v>#REF!</v>
      </c>
      <c r="BC3" s="10" t="e">
        <f>_xlfn.XLOOKUP($D3,#REF!,#REF!,,0,)</f>
        <v>#REF!</v>
      </c>
      <c r="BD3" s="44" t="str">
        <f>Tab_Process_TCs2527[[#This Row],[Flow_ID]]</f>
        <v>F_05_06</v>
      </c>
      <c r="BE3" s="44" t="e">
        <f t="shared" si="6"/>
        <v>#REF!</v>
      </c>
      <c r="BF3" s="51"/>
      <c r="BG3" s="54">
        <f>Tab_Process_TCs2527[[#This Row],[TC O_6_'[%']]]+Tab_Process_TCs2527[[#This Row],[TC O_5_'[%']]]+Tab_Process_TCs2527[[#This Row],[TC_O_4_'[%']]]+Tab_Process_TCs2527[[#This Row],[TC_O_3_'[%']]]+Tab_Process_TCs2527[[#This Row],[TC_O_2_'[%']]]+Tab_Process_TCs2527[[#This Row],[TC_O_1_'[%']]]</f>
        <v>1</v>
      </c>
      <c r="BH3" s="12"/>
      <c r="BI3" s="12"/>
      <c r="BJ3" s="12"/>
      <c r="BK3" s="12"/>
      <c r="BL3" s="12"/>
    </row>
    <row r="4" spans="1:64" x14ac:dyDescent="0.25">
      <c r="A4" s="197" t="b">
        <v>0</v>
      </c>
      <c r="B4" s="10">
        <f t="shared" si="0"/>
        <v>3</v>
      </c>
      <c r="C4" s="49" t="str">
        <f>_xlfn.XLOOKUP($D4,Tab_Process_TCs[Name(EN)],Tab_Process_TCs[Process_ID],,0,)</f>
        <v>05</v>
      </c>
      <c r="D4" s="192" t="s">
        <v>306</v>
      </c>
      <c r="E4" s="192" t="s">
        <v>406</v>
      </c>
      <c r="F4" s="49" t="str">
        <f>_xlfn.XLOOKUP($D4,Tab_Process_TCs[Name(EN)],Tab_Process_TCs[TC?],,0,)</f>
        <v>Yes</v>
      </c>
      <c r="G4" s="49" t="str">
        <f>_xlfn.XLOOKUP($D4,Tab_Process_TCs[Name(EN)],Tab_Process_TCs[Dyn_TC?],,0,)</f>
        <v>Yes</v>
      </c>
      <c r="H4" s="10" t="str">
        <f>_xlfn.XLOOKUP($E4,Tab_Def_Flows[Name(EN)],Tab_Def_Flows[Flow_ID],,0,1)</f>
        <v>F_05_08</v>
      </c>
      <c r="I4" s="10" t="str">
        <f>IF(Tab_Process_TCs2527[[#This Row],[Name(EN)]]="N.A.","N.A.","TC"&amp;"_"&amp;RIGHT(H4,5))</f>
        <v>TC_05_08</v>
      </c>
      <c r="J4" s="12">
        <v>2030</v>
      </c>
      <c r="K4" s="58">
        <v>0.3</v>
      </c>
      <c r="L4" s="10"/>
      <c r="M4" s="17" t="str">
        <f>_xlfn.XLOOKUP($D4,Tab_Def_Processes[Name(EN)],Tab_Def_Processes[Input_Flow_I_1],,0,)</f>
        <v>N.A.</v>
      </c>
      <c r="N4" s="10" t="str">
        <f>_xlfn.XLOOKUP($D4,Tab_Def_Processes[Name(EN)],Tab_Def_Processes[Flow_ID_I_1],,0,)</f>
        <v>N.A.</v>
      </c>
      <c r="O4" s="34"/>
      <c r="P4" s="30" t="str">
        <f>_xlfn.XLOOKUP($D4,Tab_Def_Processes[Name(EN)],Tab_Def_Processes[Input_Flow_I_2],,0,)</f>
        <v>N.A.</v>
      </c>
      <c r="Q4" s="10" t="str">
        <f>_xlfn.XLOOKUP($D4,Tab_Def_Processes[Name(EN)],Tab_Def_Processes[Flow_ID_I_2],,0,)</f>
        <v>N.A.</v>
      </c>
      <c r="R4" s="34"/>
      <c r="S4" s="30" t="str">
        <f>_xlfn.XLOOKUP($D4,Tab_Def_Processes[Name(EN)],Tab_Def_Processes[Input_Flow_I_3],,0,)</f>
        <v>N.A.</v>
      </c>
      <c r="T4" s="10" t="str">
        <f>_xlfn.XLOOKUP($D4,Tab_Def_Processes[Name(EN)],Tab_Def_Processes[Flow_ID_I_3],,0,)</f>
        <v>N.A.</v>
      </c>
      <c r="U4" s="34"/>
      <c r="V4" s="30" t="str">
        <f>_xlfn.XLOOKUP($D4,Tab_Def_Processes[Name(EN)],Tab_Def_Processes[Input_Flow_I_4],,0,)</f>
        <v>N.A.</v>
      </c>
      <c r="W4" s="10" t="str">
        <f>_xlfn.XLOOKUP($D4,Tab_Def_Processes[Name(EN)],Tab_Def_Processes[Flow_ID_I_4],,0,)</f>
        <v>N.A.</v>
      </c>
      <c r="X4" s="34"/>
      <c r="Y4" s="30" t="str">
        <f>_xlfn.XLOOKUP($D4,Tab_Def_Processes[Name(EN)],Tab_Def_Processes[Input_Flow_I_5],,0,)</f>
        <v>N.A.</v>
      </c>
      <c r="Z4" s="10" t="str">
        <f>_xlfn.XLOOKUP($D4,Tab_Def_Processes[Name(EN)],Tab_Def_Processes[Flow_ID_I_5],,0,)</f>
        <v>N.A.</v>
      </c>
      <c r="AA4" s="34"/>
      <c r="AB4" s="33">
        <f>Tab_Process_TCs2527[[#This Row],[Flow_TC_I_1_'[%']]]+Tab_Process_TCs2527[[#This Row],[Flow_TC_I_2_'[%']]]+Tab_Process_TCs2527[[#This Row],[Flow_TC_I_3_'[%']]]+Tab_Process_TCs2527[[#This Row],[Flow_TC_I_4_'[%']]]+Tab_Process_TCs2527[[#This Row],[Flow_TC_I_5_'[%']]]</f>
        <v>0</v>
      </c>
      <c r="AC4" s="17" t="e">
        <f>_xlfn.XLOOKUP($D4,#REF!,#REF!,,0,)</f>
        <v>#REF!</v>
      </c>
      <c r="AD4" s="10" t="e">
        <f>_xlfn.XLOOKUP($D4,#REF!,#REF!,,0,)</f>
        <v>#REF!</v>
      </c>
      <c r="AE4" s="44" t="str">
        <f>Tab_Process_TCs2527[[#This Row],[Flow_ID]]</f>
        <v>F_05_08</v>
      </c>
      <c r="AF4" s="10" t="e">
        <f t="shared" si="1"/>
        <v>#REF!</v>
      </c>
      <c r="AG4" s="51">
        <v>0.2</v>
      </c>
      <c r="AH4" s="17" t="e">
        <f>_xlfn.XLOOKUP($D4,#REF!,#REF!,,0,)</f>
        <v>#REF!</v>
      </c>
      <c r="AI4" s="10" t="e">
        <f>_xlfn.XLOOKUP($D4,#REF!,#REF!,,0,)</f>
        <v>#REF!</v>
      </c>
      <c r="AJ4" s="44" t="str">
        <f>Tab_Process_TCs2527[[#This Row],[Flow_ID]]</f>
        <v>F_05_08</v>
      </c>
      <c r="AK4" s="10" t="e">
        <f t="shared" si="2"/>
        <v>#REF!</v>
      </c>
      <c r="AL4" s="179">
        <v>0.8</v>
      </c>
      <c r="AM4" s="17" t="e">
        <f>_xlfn.XLOOKUP($D4,#REF!,#REF!,,0,)</f>
        <v>#REF!</v>
      </c>
      <c r="AN4" s="10" t="e">
        <f>_xlfn.XLOOKUP($D4,#REF!,#REF!,,0,)</f>
        <v>#REF!</v>
      </c>
      <c r="AO4" s="44" t="str">
        <f>Tab_Process_TCs2527[[#This Row],[Flow_ID]]</f>
        <v>F_05_08</v>
      </c>
      <c r="AP4" s="10" t="e">
        <f t="shared" si="3"/>
        <v>#REF!</v>
      </c>
      <c r="AQ4" s="170"/>
      <c r="AR4" s="17" t="e">
        <f>_xlfn.XLOOKUP($D4,#REF!,#REF!,,0,)</f>
        <v>#REF!</v>
      </c>
      <c r="AS4" s="10" t="e">
        <f>_xlfn.XLOOKUP($D4,#REF!,#REF!,,0,)</f>
        <v>#REF!</v>
      </c>
      <c r="AT4" s="44" t="str">
        <f>Tab_Process_TCs2527[[#This Row],[Flow_ID]]</f>
        <v>F_05_08</v>
      </c>
      <c r="AU4" s="44" t="e">
        <f t="shared" si="4"/>
        <v>#REF!</v>
      </c>
      <c r="AV4" s="170"/>
      <c r="AW4" s="17" t="e">
        <f>_xlfn.XLOOKUP($D4,#REF!,#REF!,,0,)</f>
        <v>#REF!</v>
      </c>
      <c r="AX4" s="10" t="e">
        <f>_xlfn.XLOOKUP($D4,#REF!,#REF!,,0,)</f>
        <v>#REF!</v>
      </c>
      <c r="AY4" s="44" t="str">
        <f>Tab_Process_TCs2527[[#This Row],[Flow_ID]]</f>
        <v>F_05_08</v>
      </c>
      <c r="AZ4" s="44" t="e">
        <f t="shared" si="5"/>
        <v>#REF!</v>
      </c>
      <c r="BA4" s="170"/>
      <c r="BB4" s="10" t="e">
        <f>_xlfn.XLOOKUP($D4,#REF!,#REF!,,0,)</f>
        <v>#REF!</v>
      </c>
      <c r="BC4" s="10" t="e">
        <f>_xlfn.XLOOKUP($D4,#REF!,#REF!,,0,)</f>
        <v>#REF!</v>
      </c>
      <c r="BD4" s="44" t="str">
        <f>Tab_Process_TCs2527[[#This Row],[Flow_ID]]</f>
        <v>F_05_08</v>
      </c>
      <c r="BE4" s="44" t="e">
        <f t="shared" si="6"/>
        <v>#REF!</v>
      </c>
      <c r="BF4" s="51"/>
      <c r="BG4" s="54">
        <f>Tab_Process_TCs2527[[#This Row],[TC O_6_'[%']]]+Tab_Process_TCs2527[[#This Row],[TC O_5_'[%']]]+Tab_Process_TCs2527[[#This Row],[TC_O_4_'[%']]]+Tab_Process_TCs2527[[#This Row],[TC_O_3_'[%']]]+Tab_Process_TCs2527[[#This Row],[TC_O_2_'[%']]]+Tab_Process_TCs2527[[#This Row],[TC_O_1_'[%']]]</f>
        <v>1</v>
      </c>
      <c r="BH4" s="12"/>
      <c r="BI4" s="12"/>
      <c r="BJ4" s="12"/>
      <c r="BK4" s="12"/>
      <c r="BL4" s="12"/>
    </row>
    <row r="5" spans="1:64" x14ac:dyDescent="0.25">
      <c r="A5" s="197" t="b">
        <v>0</v>
      </c>
      <c r="B5" s="10">
        <f t="shared" si="0"/>
        <v>4</v>
      </c>
      <c r="C5" s="49" t="str">
        <f>_xlfn.XLOOKUP($D5,Tab_Process_TCs[Name(EN)],Tab_Process_TCs[Process_ID],,0,)</f>
        <v>05</v>
      </c>
      <c r="D5" s="192" t="s">
        <v>306</v>
      </c>
      <c r="E5" s="192" t="s">
        <v>406</v>
      </c>
      <c r="F5" s="49" t="str">
        <f>_xlfn.XLOOKUP($D5,Tab_Process_TCs[Name(EN)],Tab_Process_TCs[TC?],,0,)</f>
        <v>Yes</v>
      </c>
      <c r="G5" s="49" t="str">
        <f>_xlfn.XLOOKUP($D5,Tab_Process_TCs[Name(EN)],Tab_Process_TCs[Dyn_TC?],,0,)</f>
        <v>Yes</v>
      </c>
      <c r="H5" s="10" t="str">
        <f>_xlfn.XLOOKUP($E5,Tab_Def_Flows[Name(EN)],Tab_Def_Flows[Flow_ID],,0,1)</f>
        <v>F_05_08</v>
      </c>
      <c r="I5" s="10" t="str">
        <f>IF(Tab_Process_TCs2527[[#This Row],[Name(EN)]]="N.A.","N.A.","TC"&amp;"_"&amp;RIGHT(H5,5))</f>
        <v>TC_05_08</v>
      </c>
      <c r="J5" s="12">
        <v>2040</v>
      </c>
      <c r="K5" s="58">
        <v>0.8</v>
      </c>
      <c r="L5" s="10"/>
      <c r="M5" s="17" t="str">
        <f>_xlfn.XLOOKUP($D5,Tab_Def_Processes[Name(EN)],Tab_Def_Processes[Input_Flow_I_1],,0,)</f>
        <v>N.A.</v>
      </c>
      <c r="N5" s="10" t="str">
        <f>_xlfn.XLOOKUP($D5,Tab_Def_Processes[Name(EN)],Tab_Def_Processes[Flow_ID_I_1],,0,)</f>
        <v>N.A.</v>
      </c>
      <c r="O5" s="34"/>
      <c r="P5" s="30" t="str">
        <f>_xlfn.XLOOKUP($D5,Tab_Def_Processes[Name(EN)],Tab_Def_Processes[Input_Flow_I_2],,0,)</f>
        <v>N.A.</v>
      </c>
      <c r="Q5" s="10" t="str">
        <f>_xlfn.XLOOKUP($D5,Tab_Def_Processes[Name(EN)],Tab_Def_Processes[Flow_ID_I_2],,0,)</f>
        <v>N.A.</v>
      </c>
      <c r="R5" s="34"/>
      <c r="S5" s="30" t="str">
        <f>_xlfn.XLOOKUP($D5,Tab_Def_Processes[Name(EN)],Tab_Def_Processes[Input_Flow_I_3],,0,)</f>
        <v>N.A.</v>
      </c>
      <c r="T5" s="10" t="str">
        <f>_xlfn.XLOOKUP($D5,Tab_Def_Processes[Name(EN)],Tab_Def_Processes[Flow_ID_I_3],,0,)</f>
        <v>N.A.</v>
      </c>
      <c r="U5" s="34"/>
      <c r="V5" s="30" t="str">
        <f>_xlfn.XLOOKUP($D5,Tab_Def_Processes[Name(EN)],Tab_Def_Processes[Input_Flow_I_4],,0,)</f>
        <v>N.A.</v>
      </c>
      <c r="W5" s="10" t="str">
        <f>_xlfn.XLOOKUP($D5,Tab_Def_Processes[Name(EN)],Tab_Def_Processes[Flow_ID_I_4],,0,)</f>
        <v>N.A.</v>
      </c>
      <c r="X5" s="34"/>
      <c r="Y5" s="30" t="str">
        <f>_xlfn.XLOOKUP($D5,Tab_Def_Processes[Name(EN)],Tab_Def_Processes[Input_Flow_I_5],,0,)</f>
        <v>N.A.</v>
      </c>
      <c r="Z5" s="10" t="str">
        <f>_xlfn.XLOOKUP($D5,Tab_Def_Processes[Name(EN)],Tab_Def_Processes[Flow_ID_I_5],,0,)</f>
        <v>N.A.</v>
      </c>
      <c r="AA5" s="34"/>
      <c r="AB5" s="33">
        <f>Tab_Process_TCs2527[[#This Row],[Flow_TC_I_1_'[%']]]+Tab_Process_TCs2527[[#This Row],[Flow_TC_I_2_'[%']]]+Tab_Process_TCs2527[[#This Row],[Flow_TC_I_3_'[%']]]+Tab_Process_TCs2527[[#This Row],[Flow_TC_I_4_'[%']]]+Tab_Process_TCs2527[[#This Row],[Flow_TC_I_5_'[%']]]</f>
        <v>0</v>
      </c>
      <c r="AC5" s="17" t="e">
        <f>_xlfn.XLOOKUP($D5,#REF!,#REF!,,0,)</f>
        <v>#REF!</v>
      </c>
      <c r="AD5" s="10" t="e">
        <f>_xlfn.XLOOKUP($D5,#REF!,#REF!,,0,)</f>
        <v>#REF!</v>
      </c>
      <c r="AE5" s="44" t="str">
        <f>Tab_Process_TCs2527[[#This Row],[Flow_ID]]</f>
        <v>F_05_08</v>
      </c>
      <c r="AF5" s="10" t="e">
        <f t="shared" si="1"/>
        <v>#REF!</v>
      </c>
      <c r="AG5" s="51">
        <v>0.2</v>
      </c>
      <c r="AH5" s="17" t="e">
        <f>_xlfn.XLOOKUP($D5,#REF!,#REF!,,0,)</f>
        <v>#REF!</v>
      </c>
      <c r="AI5" s="10" t="e">
        <f>_xlfn.XLOOKUP($D5,#REF!,#REF!,,0,)</f>
        <v>#REF!</v>
      </c>
      <c r="AJ5" s="44" t="str">
        <f>Tab_Process_TCs2527[[#This Row],[Flow_ID]]</f>
        <v>F_05_08</v>
      </c>
      <c r="AK5" s="10" t="e">
        <f t="shared" si="2"/>
        <v>#REF!</v>
      </c>
      <c r="AL5" s="179">
        <v>0.8</v>
      </c>
      <c r="AM5" s="17" t="e">
        <f>_xlfn.XLOOKUP($D5,#REF!,#REF!,,0,)</f>
        <v>#REF!</v>
      </c>
      <c r="AN5" s="10" t="e">
        <f>_xlfn.XLOOKUP($D5,#REF!,#REF!,,0,)</f>
        <v>#REF!</v>
      </c>
      <c r="AO5" s="44" t="str">
        <f>Tab_Process_TCs2527[[#This Row],[Flow_ID]]</f>
        <v>F_05_08</v>
      </c>
      <c r="AP5" s="10" t="e">
        <f t="shared" si="3"/>
        <v>#REF!</v>
      </c>
      <c r="AQ5" s="170"/>
      <c r="AR5" s="17" t="e">
        <f>_xlfn.XLOOKUP($D5,#REF!,#REF!,,0,)</f>
        <v>#REF!</v>
      </c>
      <c r="AS5" s="10" t="e">
        <f>_xlfn.XLOOKUP($D5,#REF!,#REF!,,0,)</f>
        <v>#REF!</v>
      </c>
      <c r="AT5" s="44" t="str">
        <f>Tab_Process_TCs2527[[#This Row],[Flow_ID]]</f>
        <v>F_05_08</v>
      </c>
      <c r="AU5" s="44" t="e">
        <f t="shared" si="4"/>
        <v>#REF!</v>
      </c>
      <c r="AV5" s="170"/>
      <c r="AW5" s="17" t="e">
        <f>_xlfn.XLOOKUP($D5,#REF!,#REF!,,0,)</f>
        <v>#REF!</v>
      </c>
      <c r="AX5" s="10" t="e">
        <f>_xlfn.XLOOKUP($D5,#REF!,#REF!,,0,)</f>
        <v>#REF!</v>
      </c>
      <c r="AY5" s="44" t="str">
        <f>Tab_Process_TCs2527[[#This Row],[Flow_ID]]</f>
        <v>F_05_08</v>
      </c>
      <c r="AZ5" s="44" t="e">
        <f t="shared" si="5"/>
        <v>#REF!</v>
      </c>
      <c r="BA5" s="170"/>
      <c r="BB5" s="10" t="e">
        <f>_xlfn.XLOOKUP($D5,#REF!,#REF!,,0,)</f>
        <v>#REF!</v>
      </c>
      <c r="BC5" s="10" t="e">
        <f>_xlfn.XLOOKUP($D5,#REF!,#REF!,,0,)</f>
        <v>#REF!</v>
      </c>
      <c r="BD5" s="44" t="str">
        <f>Tab_Process_TCs2527[[#This Row],[Flow_ID]]</f>
        <v>F_05_08</v>
      </c>
      <c r="BE5" s="44" t="e">
        <f t="shared" si="6"/>
        <v>#REF!</v>
      </c>
      <c r="BF5" s="51"/>
      <c r="BG5" s="54">
        <f>Tab_Process_TCs2527[[#This Row],[TC O_6_'[%']]]+Tab_Process_TCs2527[[#This Row],[TC O_5_'[%']]]+Tab_Process_TCs2527[[#This Row],[TC_O_4_'[%']]]+Tab_Process_TCs2527[[#This Row],[TC_O_3_'[%']]]+Tab_Process_TCs2527[[#This Row],[TC_O_2_'[%']]]+Tab_Process_TCs2527[[#This Row],[TC_O_1_'[%']]]</f>
        <v>1</v>
      </c>
      <c r="BH5" s="12"/>
      <c r="BI5" s="12"/>
      <c r="BJ5" s="12"/>
      <c r="BK5" s="12"/>
      <c r="BL5" s="12"/>
    </row>
    <row r="6" spans="1:64" x14ac:dyDescent="0.25">
      <c r="A6" s="197" t="b">
        <v>0</v>
      </c>
      <c r="B6" s="10">
        <f t="shared" si="0"/>
        <v>5</v>
      </c>
      <c r="C6" s="49" t="str">
        <f>_xlfn.XLOOKUP($D6,Tab_Process_TCs[Name(EN)],Tab_Process_TCs[Process_ID],,0,)</f>
        <v>05</v>
      </c>
      <c r="D6" s="192" t="s">
        <v>306</v>
      </c>
      <c r="E6" s="192" t="s">
        <v>404</v>
      </c>
      <c r="F6" s="49" t="str">
        <f>_xlfn.XLOOKUP($D6,Tab_Process_TCs[Name(EN)],Tab_Process_TCs[TC?],,0,)</f>
        <v>Yes</v>
      </c>
      <c r="G6" s="49" t="str">
        <f>_xlfn.XLOOKUP($D6,Tab_Process_TCs[Name(EN)],Tab_Process_TCs[Dyn_TC?],,0,)</f>
        <v>Yes</v>
      </c>
      <c r="H6" s="10" t="str">
        <f>_xlfn.XLOOKUP($E6,Tab_Def_Flows[Name(EN)],Tab_Def_Flows[Flow_ID],,0,1)</f>
        <v>F_05_09</v>
      </c>
      <c r="I6" s="10" t="str">
        <f>IF(Tab_Process_TCs2527[[#This Row],[Name(EN)]]="N.A.","N.A.","TC"&amp;"_"&amp;RIGHT(H6,5))</f>
        <v>TC_05_09</v>
      </c>
      <c r="J6" s="12">
        <v>2030</v>
      </c>
      <c r="K6" s="58">
        <v>0.3</v>
      </c>
      <c r="L6" s="10"/>
      <c r="M6" s="17" t="str">
        <f>_xlfn.XLOOKUP($D6,Tab_Def_Processes[Name(EN)],Tab_Def_Processes[Input_Flow_I_1],,0,)</f>
        <v>N.A.</v>
      </c>
      <c r="N6" s="10" t="str">
        <f>_xlfn.XLOOKUP($D6,Tab_Def_Processes[Name(EN)],Tab_Def_Processes[Flow_ID_I_1],,0,)</f>
        <v>N.A.</v>
      </c>
      <c r="O6" s="34"/>
      <c r="P6" s="30" t="str">
        <f>_xlfn.XLOOKUP($D6,Tab_Def_Processes[Name(EN)],Tab_Def_Processes[Input_Flow_I_2],,0,)</f>
        <v>N.A.</v>
      </c>
      <c r="Q6" s="10" t="str">
        <f>_xlfn.XLOOKUP($D6,Tab_Def_Processes[Name(EN)],Tab_Def_Processes[Flow_ID_I_2],,0,)</f>
        <v>N.A.</v>
      </c>
      <c r="R6" s="34"/>
      <c r="S6" s="30" t="str">
        <f>_xlfn.XLOOKUP($D6,Tab_Def_Processes[Name(EN)],Tab_Def_Processes[Input_Flow_I_3],,0,)</f>
        <v>N.A.</v>
      </c>
      <c r="T6" s="10" t="str">
        <f>_xlfn.XLOOKUP($D6,Tab_Def_Processes[Name(EN)],Tab_Def_Processes[Flow_ID_I_3],,0,)</f>
        <v>N.A.</v>
      </c>
      <c r="U6" s="34"/>
      <c r="V6" s="30" t="str">
        <f>_xlfn.XLOOKUP($D6,Tab_Def_Processes[Name(EN)],Tab_Def_Processes[Input_Flow_I_4],,0,)</f>
        <v>N.A.</v>
      </c>
      <c r="W6" s="10" t="str">
        <f>_xlfn.XLOOKUP($D6,Tab_Def_Processes[Name(EN)],Tab_Def_Processes[Flow_ID_I_4],,0,)</f>
        <v>N.A.</v>
      </c>
      <c r="X6" s="34"/>
      <c r="Y6" s="30" t="str">
        <f>_xlfn.XLOOKUP($D6,Tab_Def_Processes[Name(EN)],Tab_Def_Processes[Input_Flow_I_5],,0,)</f>
        <v>N.A.</v>
      </c>
      <c r="Z6" s="10" t="str">
        <f>_xlfn.XLOOKUP($D6,Tab_Def_Processes[Name(EN)],Tab_Def_Processes[Flow_ID_I_5],,0,)</f>
        <v>N.A.</v>
      </c>
      <c r="AA6" s="34"/>
      <c r="AB6" s="33">
        <f>Tab_Process_TCs2527[[#This Row],[Flow_TC_I_1_'[%']]]+Tab_Process_TCs2527[[#This Row],[Flow_TC_I_2_'[%']]]+Tab_Process_TCs2527[[#This Row],[Flow_TC_I_3_'[%']]]+Tab_Process_TCs2527[[#This Row],[Flow_TC_I_4_'[%']]]+Tab_Process_TCs2527[[#This Row],[Flow_TC_I_5_'[%']]]</f>
        <v>0</v>
      </c>
      <c r="AC6" s="17" t="e">
        <f>_xlfn.XLOOKUP($D6,#REF!,#REF!,,0,)</f>
        <v>#REF!</v>
      </c>
      <c r="AD6" s="10" t="e">
        <f>_xlfn.XLOOKUP($D6,#REF!,#REF!,,0,)</f>
        <v>#REF!</v>
      </c>
      <c r="AE6" s="44" t="str">
        <f>Tab_Process_TCs2527[[#This Row],[Flow_ID]]</f>
        <v>F_05_09</v>
      </c>
      <c r="AF6" s="10" t="e">
        <f t="shared" si="1"/>
        <v>#REF!</v>
      </c>
      <c r="AG6" s="51">
        <v>0.2</v>
      </c>
      <c r="AH6" s="17" t="e">
        <f>_xlfn.XLOOKUP($D6,#REF!,#REF!,,0,)</f>
        <v>#REF!</v>
      </c>
      <c r="AI6" s="10" t="e">
        <f>_xlfn.XLOOKUP($D6,#REF!,#REF!,,0,)</f>
        <v>#REF!</v>
      </c>
      <c r="AJ6" s="44" t="str">
        <f>Tab_Process_TCs2527[[#This Row],[Flow_ID]]</f>
        <v>F_05_09</v>
      </c>
      <c r="AK6" s="10" t="e">
        <f t="shared" si="2"/>
        <v>#REF!</v>
      </c>
      <c r="AL6" s="179">
        <v>0.8</v>
      </c>
      <c r="AM6" s="17" t="e">
        <f>_xlfn.XLOOKUP($D6,#REF!,#REF!,,0,)</f>
        <v>#REF!</v>
      </c>
      <c r="AN6" s="10" t="e">
        <f>_xlfn.XLOOKUP($D6,#REF!,#REF!,,0,)</f>
        <v>#REF!</v>
      </c>
      <c r="AO6" s="44" t="str">
        <f>Tab_Process_TCs2527[[#This Row],[Flow_ID]]</f>
        <v>F_05_09</v>
      </c>
      <c r="AP6" s="10" t="e">
        <f t="shared" si="3"/>
        <v>#REF!</v>
      </c>
      <c r="AQ6" s="170"/>
      <c r="AR6" s="17" t="e">
        <f>_xlfn.XLOOKUP($D6,#REF!,#REF!,,0,)</f>
        <v>#REF!</v>
      </c>
      <c r="AS6" s="10" t="e">
        <f>_xlfn.XLOOKUP($D6,#REF!,#REF!,,0,)</f>
        <v>#REF!</v>
      </c>
      <c r="AT6" s="44" t="str">
        <f>Tab_Process_TCs2527[[#This Row],[Flow_ID]]</f>
        <v>F_05_09</v>
      </c>
      <c r="AU6" s="44" t="e">
        <f t="shared" si="4"/>
        <v>#REF!</v>
      </c>
      <c r="AV6" s="170"/>
      <c r="AW6" s="17" t="e">
        <f>_xlfn.XLOOKUP($D6,#REF!,#REF!,,0,)</f>
        <v>#REF!</v>
      </c>
      <c r="AX6" s="10" t="e">
        <f>_xlfn.XLOOKUP($D6,#REF!,#REF!,,0,)</f>
        <v>#REF!</v>
      </c>
      <c r="AY6" s="44" t="str">
        <f>Tab_Process_TCs2527[[#This Row],[Flow_ID]]</f>
        <v>F_05_09</v>
      </c>
      <c r="AZ6" s="44" t="e">
        <f t="shared" si="5"/>
        <v>#REF!</v>
      </c>
      <c r="BA6" s="170"/>
      <c r="BB6" s="10" t="e">
        <f>_xlfn.XLOOKUP($D6,#REF!,#REF!,,0,)</f>
        <v>#REF!</v>
      </c>
      <c r="BC6" s="10" t="e">
        <f>_xlfn.XLOOKUP($D6,#REF!,#REF!,,0,)</f>
        <v>#REF!</v>
      </c>
      <c r="BD6" s="44" t="str">
        <f>Tab_Process_TCs2527[[#This Row],[Flow_ID]]</f>
        <v>F_05_09</v>
      </c>
      <c r="BE6" s="44" t="e">
        <f t="shared" si="6"/>
        <v>#REF!</v>
      </c>
      <c r="BF6" s="51"/>
      <c r="BG6" s="54">
        <f>Tab_Process_TCs2527[[#This Row],[TC O_6_'[%']]]+Tab_Process_TCs2527[[#This Row],[TC O_5_'[%']]]+Tab_Process_TCs2527[[#This Row],[TC_O_4_'[%']]]+Tab_Process_TCs2527[[#This Row],[TC_O_3_'[%']]]+Tab_Process_TCs2527[[#This Row],[TC_O_2_'[%']]]+Tab_Process_TCs2527[[#This Row],[TC_O_1_'[%']]]</f>
        <v>1</v>
      </c>
      <c r="BH6" s="12"/>
      <c r="BI6" s="12"/>
      <c r="BJ6" s="12"/>
      <c r="BK6" s="12"/>
      <c r="BL6" s="12"/>
    </row>
    <row r="7" spans="1:64" x14ac:dyDescent="0.25">
      <c r="A7" s="197" t="b">
        <v>0</v>
      </c>
      <c r="B7" s="10">
        <f t="shared" si="0"/>
        <v>6</v>
      </c>
      <c r="C7" s="49" t="str">
        <f>_xlfn.XLOOKUP($D7,Tab_Process_TCs[Name(EN)],Tab_Process_TCs[Process_ID],,0,)</f>
        <v>05</v>
      </c>
      <c r="D7" s="192" t="s">
        <v>306</v>
      </c>
      <c r="E7" s="192" t="s">
        <v>404</v>
      </c>
      <c r="F7" s="49" t="str">
        <f>_xlfn.XLOOKUP($D7,Tab_Process_TCs[Name(EN)],Tab_Process_TCs[TC?],,0,)</f>
        <v>Yes</v>
      </c>
      <c r="G7" s="49" t="str">
        <f>_xlfn.XLOOKUP($D7,Tab_Process_TCs[Name(EN)],Tab_Process_TCs[Dyn_TC?],,0,)</f>
        <v>Yes</v>
      </c>
      <c r="H7" s="10" t="str">
        <f>_xlfn.XLOOKUP($E7,Tab_Def_Flows[Name(EN)],Tab_Def_Flows[Flow_ID],,0,1)</f>
        <v>F_05_09</v>
      </c>
      <c r="I7" s="10" t="str">
        <f>IF(Tab_Process_TCs2527[[#This Row],[Name(EN)]]="N.A.","N.A.","TC"&amp;"_"&amp;RIGHT(H7,5))</f>
        <v>TC_05_09</v>
      </c>
      <c r="J7" s="12">
        <v>2040</v>
      </c>
      <c r="K7" s="58">
        <v>0.1</v>
      </c>
      <c r="L7" s="10"/>
      <c r="M7" s="17" t="str">
        <f>_xlfn.XLOOKUP($D7,Tab_Def_Processes[Name(EN)],Tab_Def_Processes[Input_Flow_I_1],,0,)</f>
        <v>N.A.</v>
      </c>
      <c r="N7" s="10" t="str">
        <f>_xlfn.XLOOKUP($D7,Tab_Def_Processes[Name(EN)],Tab_Def_Processes[Flow_ID_I_1],,0,)</f>
        <v>N.A.</v>
      </c>
      <c r="O7" s="34"/>
      <c r="P7" s="30" t="str">
        <f>_xlfn.XLOOKUP($D7,Tab_Def_Processes[Name(EN)],Tab_Def_Processes[Input_Flow_I_2],,0,)</f>
        <v>N.A.</v>
      </c>
      <c r="Q7" s="10" t="str">
        <f>_xlfn.XLOOKUP($D7,Tab_Def_Processes[Name(EN)],Tab_Def_Processes[Flow_ID_I_2],,0,)</f>
        <v>N.A.</v>
      </c>
      <c r="R7" s="34"/>
      <c r="S7" s="30" t="str">
        <f>_xlfn.XLOOKUP($D7,Tab_Def_Processes[Name(EN)],Tab_Def_Processes[Input_Flow_I_3],,0,)</f>
        <v>N.A.</v>
      </c>
      <c r="T7" s="10" t="str">
        <f>_xlfn.XLOOKUP($D7,Tab_Def_Processes[Name(EN)],Tab_Def_Processes[Flow_ID_I_3],,0,)</f>
        <v>N.A.</v>
      </c>
      <c r="U7" s="34"/>
      <c r="V7" s="30" t="str">
        <f>_xlfn.XLOOKUP($D7,Tab_Def_Processes[Name(EN)],Tab_Def_Processes[Input_Flow_I_4],,0,)</f>
        <v>N.A.</v>
      </c>
      <c r="W7" s="10" t="str">
        <f>_xlfn.XLOOKUP($D7,Tab_Def_Processes[Name(EN)],Tab_Def_Processes[Flow_ID_I_4],,0,)</f>
        <v>N.A.</v>
      </c>
      <c r="X7" s="34"/>
      <c r="Y7" s="30" t="str">
        <f>_xlfn.XLOOKUP($D7,Tab_Def_Processes[Name(EN)],Tab_Def_Processes[Input_Flow_I_5],,0,)</f>
        <v>N.A.</v>
      </c>
      <c r="Z7" s="10" t="str">
        <f>_xlfn.XLOOKUP($D7,Tab_Def_Processes[Name(EN)],Tab_Def_Processes[Flow_ID_I_5],,0,)</f>
        <v>N.A.</v>
      </c>
      <c r="AA7" s="34"/>
      <c r="AB7" s="33">
        <f>Tab_Process_TCs2527[[#This Row],[Flow_TC_I_1_'[%']]]+Tab_Process_TCs2527[[#This Row],[Flow_TC_I_2_'[%']]]+Tab_Process_TCs2527[[#This Row],[Flow_TC_I_3_'[%']]]+Tab_Process_TCs2527[[#This Row],[Flow_TC_I_4_'[%']]]+Tab_Process_TCs2527[[#This Row],[Flow_TC_I_5_'[%']]]</f>
        <v>0</v>
      </c>
      <c r="AC7" s="17" t="e">
        <f>_xlfn.XLOOKUP($D7,#REF!,#REF!,,0,)</f>
        <v>#REF!</v>
      </c>
      <c r="AD7" s="10" t="e">
        <f>_xlfn.XLOOKUP($D7,#REF!,#REF!,,0,)</f>
        <v>#REF!</v>
      </c>
      <c r="AE7" s="44" t="str">
        <f>Tab_Process_TCs2527[[#This Row],[Flow_ID]]</f>
        <v>F_05_09</v>
      </c>
      <c r="AF7" s="10" t="e">
        <f t="shared" si="1"/>
        <v>#REF!</v>
      </c>
      <c r="AG7" s="51">
        <v>0.5</v>
      </c>
      <c r="AH7" s="17" t="e">
        <f>_xlfn.XLOOKUP($D7,#REF!,#REF!,,0,)</f>
        <v>#REF!</v>
      </c>
      <c r="AI7" s="10" t="e">
        <f>_xlfn.XLOOKUP($D7,#REF!,#REF!,,0,)</f>
        <v>#REF!</v>
      </c>
      <c r="AJ7" s="44" t="str">
        <f>Tab_Process_TCs2527[[#This Row],[Flow_ID]]</f>
        <v>F_05_09</v>
      </c>
      <c r="AK7" s="10" t="e">
        <f t="shared" si="2"/>
        <v>#REF!</v>
      </c>
      <c r="AL7" s="179">
        <v>0.2</v>
      </c>
      <c r="AM7" s="17" t="e">
        <f>_xlfn.XLOOKUP($D7,#REF!,#REF!,,0,)</f>
        <v>#REF!</v>
      </c>
      <c r="AN7" s="10" t="e">
        <f>_xlfn.XLOOKUP($D7,#REF!,#REF!,,0,)</f>
        <v>#REF!</v>
      </c>
      <c r="AO7" s="44" t="str">
        <f>Tab_Process_TCs2527[[#This Row],[Flow_ID]]</f>
        <v>F_05_09</v>
      </c>
      <c r="AP7" s="10" t="e">
        <f t="shared" si="3"/>
        <v>#REF!</v>
      </c>
      <c r="AQ7" s="170">
        <v>0.3</v>
      </c>
      <c r="AR7" s="17" t="e">
        <f>_xlfn.XLOOKUP($D7,#REF!,#REF!,,0,)</f>
        <v>#REF!</v>
      </c>
      <c r="AS7" s="10" t="e">
        <f>_xlfn.XLOOKUP($D7,#REF!,#REF!,,0,)</f>
        <v>#REF!</v>
      </c>
      <c r="AT7" s="44" t="str">
        <f>Tab_Process_TCs2527[[#This Row],[Flow_ID]]</f>
        <v>F_05_09</v>
      </c>
      <c r="AU7" s="44" t="e">
        <f t="shared" si="4"/>
        <v>#REF!</v>
      </c>
      <c r="AV7" s="170"/>
      <c r="AW7" s="17" t="e">
        <f>_xlfn.XLOOKUP($D7,#REF!,#REF!,,0,)</f>
        <v>#REF!</v>
      </c>
      <c r="AX7" s="10" t="e">
        <f>_xlfn.XLOOKUP($D7,#REF!,#REF!,,0,)</f>
        <v>#REF!</v>
      </c>
      <c r="AY7" s="44" t="str">
        <f>Tab_Process_TCs2527[[#This Row],[Flow_ID]]</f>
        <v>F_05_09</v>
      </c>
      <c r="AZ7" s="44" t="e">
        <f t="shared" si="5"/>
        <v>#REF!</v>
      </c>
      <c r="BA7" s="170"/>
      <c r="BB7" s="10" t="e">
        <f>_xlfn.XLOOKUP($D7,#REF!,#REF!,,0,)</f>
        <v>#REF!</v>
      </c>
      <c r="BC7" s="10" t="e">
        <f>_xlfn.XLOOKUP($D7,#REF!,#REF!,,0,)</f>
        <v>#REF!</v>
      </c>
      <c r="BD7" s="44" t="str">
        <f>Tab_Process_TCs2527[[#This Row],[Flow_ID]]</f>
        <v>F_05_09</v>
      </c>
      <c r="BE7" s="44" t="e">
        <f t="shared" si="6"/>
        <v>#REF!</v>
      </c>
      <c r="BF7" s="51"/>
      <c r="BG7" s="54">
        <f>Tab_Process_TCs2527[[#This Row],[TC O_6_'[%']]]+Tab_Process_TCs2527[[#This Row],[TC O_5_'[%']]]+Tab_Process_TCs2527[[#This Row],[TC_O_4_'[%']]]+Tab_Process_TCs2527[[#This Row],[TC_O_3_'[%']]]+Tab_Process_TCs2527[[#This Row],[TC_O_2_'[%']]]+Tab_Process_TCs2527[[#This Row],[TC_O_1_'[%']]]</f>
        <v>1</v>
      </c>
      <c r="BH7" s="12"/>
      <c r="BI7" s="12"/>
      <c r="BJ7" s="12"/>
      <c r="BK7" s="12"/>
      <c r="BL7" s="12"/>
    </row>
    <row r="8" spans="1:64" x14ac:dyDescent="0.25">
      <c r="A8" s="197" t="b">
        <v>0</v>
      </c>
      <c r="B8" s="10">
        <f t="shared" si="0"/>
        <v>7</v>
      </c>
      <c r="C8" s="49" t="e">
        <f>_xlfn.XLOOKUP($D8,Tab_Process_TCs[Name(EN)],Tab_Process_TCs[Process_ID],,0,)</f>
        <v>#N/A</v>
      </c>
      <c r="D8" s="192" t="s">
        <v>35</v>
      </c>
      <c r="E8" s="192" t="s">
        <v>35</v>
      </c>
      <c r="F8" s="49" t="e">
        <f>_xlfn.XLOOKUP($D8,Tab_Process_TCs[Name(EN)],Tab_Process_TCs[TC?],,0,)</f>
        <v>#N/A</v>
      </c>
      <c r="G8" s="49" t="e">
        <f>_xlfn.XLOOKUP($D8,Tab_Process_TCs[Name(EN)],Tab_Process_TCs[Dyn_TC?],,0,)</f>
        <v>#N/A</v>
      </c>
      <c r="H8" s="10" t="str">
        <f>_xlfn.XLOOKUP($E8,Tab_Def_Flows[Name(EN)],Tab_Def_Flows[Flow_ID],,0,1)</f>
        <v>N.A.</v>
      </c>
      <c r="I8" s="10" t="str">
        <f>IF(Tab_Process_TCs2527[[#This Row],[Name(EN)]]="N.A.","N.A.","TC"&amp;"_"&amp;RIGHT(H8,5))</f>
        <v>N.A.</v>
      </c>
      <c r="J8" s="12"/>
      <c r="K8" s="58"/>
      <c r="L8" s="10"/>
      <c r="M8" s="17" t="e">
        <f>_xlfn.XLOOKUP($D8,Tab_Def_Processes[Name(EN)],Tab_Def_Processes[Input_Flow_I_1],,0,)</f>
        <v>#N/A</v>
      </c>
      <c r="N8" s="10" t="e">
        <f>_xlfn.XLOOKUP($D8,Tab_Def_Processes[Name(EN)],Tab_Def_Processes[Flow_ID_I_1],,0,)</f>
        <v>#N/A</v>
      </c>
      <c r="O8" s="34"/>
      <c r="P8" s="30" t="e">
        <f>_xlfn.XLOOKUP($D8,Tab_Def_Processes[Name(EN)],Tab_Def_Processes[Input_Flow_I_2],,0,)</f>
        <v>#N/A</v>
      </c>
      <c r="Q8" s="10" t="e">
        <f>_xlfn.XLOOKUP($D8,Tab_Def_Processes[Name(EN)],Tab_Def_Processes[Flow_ID_I_2],,0,)</f>
        <v>#N/A</v>
      </c>
      <c r="R8" s="34"/>
      <c r="S8" s="30" t="e">
        <f>_xlfn.XLOOKUP($D8,Tab_Def_Processes[Name(EN)],Tab_Def_Processes[Input_Flow_I_3],,0,)</f>
        <v>#N/A</v>
      </c>
      <c r="T8" s="10" t="e">
        <f>_xlfn.XLOOKUP($D8,Tab_Def_Processes[Name(EN)],Tab_Def_Processes[Flow_ID_I_3],,0,)</f>
        <v>#N/A</v>
      </c>
      <c r="U8" s="34"/>
      <c r="V8" s="30" t="e">
        <f>_xlfn.XLOOKUP($D8,Tab_Def_Processes[Name(EN)],Tab_Def_Processes[Input_Flow_I_4],,0,)</f>
        <v>#N/A</v>
      </c>
      <c r="W8" s="10" t="e">
        <f>_xlfn.XLOOKUP($D8,Tab_Def_Processes[Name(EN)],Tab_Def_Processes[Flow_ID_I_4],,0,)</f>
        <v>#N/A</v>
      </c>
      <c r="X8" s="34"/>
      <c r="Y8" s="30" t="e">
        <f>_xlfn.XLOOKUP($D8,Tab_Def_Processes[Name(EN)],Tab_Def_Processes[Input_Flow_I_5],,0,)</f>
        <v>#N/A</v>
      </c>
      <c r="Z8" s="10" t="e">
        <f>_xlfn.XLOOKUP($D8,Tab_Def_Processes[Name(EN)],Tab_Def_Processes[Flow_ID_I_5],,0,)</f>
        <v>#N/A</v>
      </c>
      <c r="AA8" s="34"/>
      <c r="AB8" s="33">
        <f>Tab_Process_TCs2527[[#This Row],[Flow_TC_I_1_'[%']]]+Tab_Process_TCs2527[[#This Row],[Flow_TC_I_2_'[%']]]+Tab_Process_TCs2527[[#This Row],[Flow_TC_I_3_'[%']]]+Tab_Process_TCs2527[[#This Row],[Flow_TC_I_4_'[%']]]+Tab_Process_TCs2527[[#This Row],[Flow_TC_I_5_'[%']]]</f>
        <v>0</v>
      </c>
      <c r="AC8" s="17" t="e">
        <f>_xlfn.XLOOKUP($D8,#REF!,#REF!,,0,)</f>
        <v>#REF!</v>
      </c>
      <c r="AD8" s="10" t="e">
        <f>_xlfn.XLOOKUP($D8,#REF!,#REF!,,0,)</f>
        <v>#REF!</v>
      </c>
      <c r="AE8" s="44" t="str">
        <f>Tab_Process_TCs2527[[#This Row],[Flow_ID]]</f>
        <v>N.A.</v>
      </c>
      <c r="AF8" s="10" t="e">
        <f t="shared" si="1"/>
        <v>#REF!</v>
      </c>
      <c r="AG8" s="51">
        <v>0.2</v>
      </c>
      <c r="AH8" s="17" t="e">
        <f>_xlfn.XLOOKUP($D8,#REF!,#REF!,,0,)</f>
        <v>#REF!</v>
      </c>
      <c r="AI8" s="10" t="e">
        <f>_xlfn.XLOOKUP($D8,#REF!,#REF!,,0,)</f>
        <v>#REF!</v>
      </c>
      <c r="AJ8" s="44" t="str">
        <f>Tab_Process_TCs2527[[#This Row],[Flow_ID]]</f>
        <v>N.A.</v>
      </c>
      <c r="AK8" s="10" t="e">
        <f t="shared" si="2"/>
        <v>#REF!</v>
      </c>
      <c r="AL8" s="179">
        <v>0.8</v>
      </c>
      <c r="AM8" s="17" t="e">
        <f>_xlfn.XLOOKUP($D8,#REF!,#REF!,,0,)</f>
        <v>#REF!</v>
      </c>
      <c r="AN8" s="10" t="e">
        <f>_xlfn.XLOOKUP($D8,#REF!,#REF!,,0,)</f>
        <v>#REF!</v>
      </c>
      <c r="AO8" s="44" t="str">
        <f>Tab_Process_TCs2527[[#This Row],[Flow_ID]]</f>
        <v>N.A.</v>
      </c>
      <c r="AP8" s="10" t="e">
        <f t="shared" si="3"/>
        <v>#REF!</v>
      </c>
      <c r="AQ8" s="170"/>
      <c r="AR8" s="17" t="e">
        <f>_xlfn.XLOOKUP($D8,#REF!,#REF!,,0,)</f>
        <v>#REF!</v>
      </c>
      <c r="AS8" s="10" t="e">
        <f>_xlfn.XLOOKUP($D8,#REF!,#REF!,,0,)</f>
        <v>#REF!</v>
      </c>
      <c r="AT8" s="44" t="str">
        <f>Tab_Process_TCs2527[[#This Row],[Flow_ID]]</f>
        <v>N.A.</v>
      </c>
      <c r="AU8" s="44" t="e">
        <f t="shared" si="4"/>
        <v>#REF!</v>
      </c>
      <c r="AV8" s="170"/>
      <c r="AW8" s="17" t="e">
        <f>_xlfn.XLOOKUP($D8,#REF!,#REF!,,0,)</f>
        <v>#REF!</v>
      </c>
      <c r="AX8" s="10" t="e">
        <f>_xlfn.XLOOKUP($D8,#REF!,#REF!,,0,)</f>
        <v>#REF!</v>
      </c>
      <c r="AY8" s="44" t="str">
        <f>Tab_Process_TCs2527[[#This Row],[Flow_ID]]</f>
        <v>N.A.</v>
      </c>
      <c r="AZ8" s="44" t="e">
        <f t="shared" si="5"/>
        <v>#REF!</v>
      </c>
      <c r="BA8" s="170"/>
      <c r="BB8" s="10" t="e">
        <f>_xlfn.XLOOKUP($D8,#REF!,#REF!,,0,)</f>
        <v>#REF!</v>
      </c>
      <c r="BC8" s="10" t="e">
        <f>_xlfn.XLOOKUP($D8,#REF!,#REF!,,0,)</f>
        <v>#REF!</v>
      </c>
      <c r="BD8" s="44" t="str">
        <f>Tab_Process_TCs2527[[#This Row],[Flow_ID]]</f>
        <v>N.A.</v>
      </c>
      <c r="BE8" s="44" t="e">
        <f t="shared" si="6"/>
        <v>#REF!</v>
      </c>
      <c r="BF8" s="51"/>
      <c r="BG8" s="54">
        <f>Tab_Process_TCs2527[[#This Row],[TC O_6_'[%']]]+Tab_Process_TCs2527[[#This Row],[TC O_5_'[%']]]+Tab_Process_TCs2527[[#This Row],[TC_O_4_'[%']]]+Tab_Process_TCs2527[[#This Row],[TC_O_3_'[%']]]+Tab_Process_TCs2527[[#This Row],[TC_O_2_'[%']]]+Tab_Process_TCs2527[[#This Row],[TC_O_1_'[%']]]</f>
        <v>1</v>
      </c>
      <c r="BH8" s="12"/>
      <c r="BI8" s="12"/>
      <c r="BJ8" s="12"/>
      <c r="BK8" s="12"/>
      <c r="BL8" s="12"/>
    </row>
    <row r="9" spans="1:64" x14ac:dyDescent="0.25">
      <c r="A9" s="197" t="b">
        <v>0</v>
      </c>
      <c r="B9" s="10">
        <f t="shared" si="0"/>
        <v>8</v>
      </c>
      <c r="C9" s="49" t="e">
        <f>_xlfn.XLOOKUP($D9,Tab_Process_TCs[Name(EN)],Tab_Process_TCs[Process_ID],,0,)</f>
        <v>#N/A</v>
      </c>
      <c r="D9" s="192" t="s">
        <v>35</v>
      </c>
      <c r="E9" s="192" t="s">
        <v>35</v>
      </c>
      <c r="F9" s="49" t="e">
        <f>_xlfn.XLOOKUP($D9,Tab_Process_TCs[Name(EN)],Tab_Process_TCs[TC?],,0,)</f>
        <v>#N/A</v>
      </c>
      <c r="G9" s="49" t="e">
        <f>_xlfn.XLOOKUP($D9,Tab_Process_TCs[Name(EN)],Tab_Process_TCs[Dyn_TC?],,0,)</f>
        <v>#N/A</v>
      </c>
      <c r="H9" s="10" t="str">
        <f>_xlfn.XLOOKUP($E9,Tab_Def_Flows[Name(EN)],Tab_Def_Flows[Flow_ID],,0,1)</f>
        <v>N.A.</v>
      </c>
      <c r="I9" s="10" t="str">
        <f>IF(Tab_Process_TCs2527[[#This Row],[Name(EN)]]="N.A.","N.A.","TC"&amp;"_"&amp;RIGHT(H9,5))</f>
        <v>N.A.</v>
      </c>
      <c r="J9" s="12"/>
      <c r="K9" s="58"/>
      <c r="L9" s="10"/>
      <c r="M9" s="17" t="e">
        <f>_xlfn.XLOOKUP($D9,Tab_Def_Processes[Name(EN)],Tab_Def_Processes[Input_Flow_I_1],,0,)</f>
        <v>#N/A</v>
      </c>
      <c r="N9" s="10" t="e">
        <f>_xlfn.XLOOKUP($D9,Tab_Def_Processes[Name(EN)],Tab_Def_Processes[Flow_ID_I_1],,0,)</f>
        <v>#N/A</v>
      </c>
      <c r="O9" s="34"/>
      <c r="P9" s="30" t="e">
        <f>_xlfn.XLOOKUP($D9,Tab_Def_Processes[Name(EN)],Tab_Def_Processes[Input_Flow_I_2],,0,)</f>
        <v>#N/A</v>
      </c>
      <c r="Q9" s="10" t="e">
        <f>_xlfn.XLOOKUP($D9,Tab_Def_Processes[Name(EN)],Tab_Def_Processes[Flow_ID_I_2],,0,)</f>
        <v>#N/A</v>
      </c>
      <c r="R9" s="34"/>
      <c r="S9" s="30" t="e">
        <f>_xlfn.XLOOKUP($D9,Tab_Def_Processes[Name(EN)],Tab_Def_Processes[Input_Flow_I_3],,0,)</f>
        <v>#N/A</v>
      </c>
      <c r="T9" s="10" t="e">
        <f>_xlfn.XLOOKUP($D9,Tab_Def_Processes[Name(EN)],Tab_Def_Processes[Flow_ID_I_3],,0,)</f>
        <v>#N/A</v>
      </c>
      <c r="U9" s="34"/>
      <c r="V9" s="30" t="e">
        <f>_xlfn.XLOOKUP($D9,Tab_Def_Processes[Name(EN)],Tab_Def_Processes[Input_Flow_I_4],,0,)</f>
        <v>#N/A</v>
      </c>
      <c r="W9" s="10" t="e">
        <f>_xlfn.XLOOKUP($D9,Tab_Def_Processes[Name(EN)],Tab_Def_Processes[Flow_ID_I_4],,0,)</f>
        <v>#N/A</v>
      </c>
      <c r="X9" s="34"/>
      <c r="Y9" s="30" t="e">
        <f>_xlfn.XLOOKUP($D9,Tab_Def_Processes[Name(EN)],Tab_Def_Processes[Input_Flow_I_5],,0,)</f>
        <v>#N/A</v>
      </c>
      <c r="Z9" s="10" t="e">
        <f>_xlfn.XLOOKUP($D9,Tab_Def_Processes[Name(EN)],Tab_Def_Processes[Flow_ID_I_5],,0,)</f>
        <v>#N/A</v>
      </c>
      <c r="AA9" s="34"/>
      <c r="AB9" s="33">
        <f>Tab_Process_TCs2527[[#This Row],[Flow_TC_I_1_'[%']]]+Tab_Process_TCs2527[[#This Row],[Flow_TC_I_2_'[%']]]+Tab_Process_TCs2527[[#This Row],[Flow_TC_I_3_'[%']]]+Tab_Process_TCs2527[[#This Row],[Flow_TC_I_4_'[%']]]+Tab_Process_TCs2527[[#This Row],[Flow_TC_I_5_'[%']]]</f>
        <v>0</v>
      </c>
      <c r="AC9" s="17" t="e">
        <f>_xlfn.XLOOKUP($D9,#REF!,#REF!,,0,)</f>
        <v>#REF!</v>
      </c>
      <c r="AD9" s="10" t="e">
        <f>_xlfn.XLOOKUP($D9,#REF!,#REF!,,0,)</f>
        <v>#REF!</v>
      </c>
      <c r="AE9" s="44" t="str">
        <f>Tab_Process_TCs2527[[#This Row],[Flow_ID]]</f>
        <v>N.A.</v>
      </c>
      <c r="AF9" s="10" t="e">
        <f t="shared" si="1"/>
        <v>#REF!</v>
      </c>
      <c r="AG9" s="51">
        <v>0.2</v>
      </c>
      <c r="AH9" s="17" t="e">
        <f>_xlfn.XLOOKUP($D9,#REF!,#REF!,,0,)</f>
        <v>#REF!</v>
      </c>
      <c r="AI9" s="10" t="e">
        <f>_xlfn.XLOOKUP($D9,#REF!,#REF!,,0,)</f>
        <v>#REF!</v>
      </c>
      <c r="AJ9" s="44" t="str">
        <f>Tab_Process_TCs2527[[#This Row],[Flow_ID]]</f>
        <v>N.A.</v>
      </c>
      <c r="AK9" s="10" t="e">
        <f t="shared" si="2"/>
        <v>#REF!</v>
      </c>
      <c r="AL9" s="179">
        <v>0.8</v>
      </c>
      <c r="AM9" s="17" t="e">
        <f>_xlfn.XLOOKUP($D9,#REF!,#REF!,,0,)</f>
        <v>#REF!</v>
      </c>
      <c r="AN9" s="10" t="e">
        <f>_xlfn.XLOOKUP($D9,#REF!,#REF!,,0,)</f>
        <v>#REF!</v>
      </c>
      <c r="AO9" s="44" t="str">
        <f>Tab_Process_TCs2527[[#This Row],[Flow_ID]]</f>
        <v>N.A.</v>
      </c>
      <c r="AP9" s="10" t="e">
        <f t="shared" si="3"/>
        <v>#REF!</v>
      </c>
      <c r="AQ9" s="170"/>
      <c r="AR9" s="17" t="e">
        <f>_xlfn.XLOOKUP($D9,#REF!,#REF!,,0,)</f>
        <v>#REF!</v>
      </c>
      <c r="AS9" s="10" t="e">
        <f>_xlfn.XLOOKUP($D9,#REF!,#REF!,,0,)</f>
        <v>#REF!</v>
      </c>
      <c r="AT9" s="44" t="str">
        <f>Tab_Process_TCs2527[[#This Row],[Flow_ID]]</f>
        <v>N.A.</v>
      </c>
      <c r="AU9" s="44" t="e">
        <f t="shared" si="4"/>
        <v>#REF!</v>
      </c>
      <c r="AV9" s="170"/>
      <c r="AW9" s="17" t="e">
        <f>_xlfn.XLOOKUP($D9,#REF!,#REF!,,0,)</f>
        <v>#REF!</v>
      </c>
      <c r="AX9" s="10" t="e">
        <f>_xlfn.XLOOKUP($D9,#REF!,#REF!,,0,)</f>
        <v>#REF!</v>
      </c>
      <c r="AY9" s="44" t="str">
        <f>Tab_Process_TCs2527[[#This Row],[Flow_ID]]</f>
        <v>N.A.</v>
      </c>
      <c r="AZ9" s="44" t="e">
        <f t="shared" si="5"/>
        <v>#REF!</v>
      </c>
      <c r="BA9" s="170"/>
      <c r="BB9" s="10" t="e">
        <f>_xlfn.XLOOKUP($D9,#REF!,#REF!,,0,)</f>
        <v>#REF!</v>
      </c>
      <c r="BC9" s="10" t="e">
        <f>_xlfn.XLOOKUP($D9,#REF!,#REF!,,0,)</f>
        <v>#REF!</v>
      </c>
      <c r="BD9" s="44" t="str">
        <f>Tab_Process_TCs2527[[#This Row],[Flow_ID]]</f>
        <v>N.A.</v>
      </c>
      <c r="BE9" s="44" t="e">
        <f t="shared" si="6"/>
        <v>#REF!</v>
      </c>
      <c r="BF9" s="51"/>
      <c r="BG9" s="54">
        <f>Tab_Process_TCs2527[[#This Row],[TC O_6_'[%']]]+Tab_Process_TCs2527[[#This Row],[TC O_5_'[%']]]+Tab_Process_TCs2527[[#This Row],[TC_O_4_'[%']]]+Tab_Process_TCs2527[[#This Row],[TC_O_3_'[%']]]+Tab_Process_TCs2527[[#This Row],[TC_O_2_'[%']]]+Tab_Process_TCs2527[[#This Row],[TC_O_1_'[%']]]</f>
        <v>1</v>
      </c>
      <c r="BH9" s="12"/>
      <c r="BI9" s="12"/>
      <c r="BJ9" s="12"/>
      <c r="BK9" s="12"/>
      <c r="BL9" s="12"/>
    </row>
    <row r="10" spans="1:64" x14ac:dyDescent="0.25">
      <c r="A10" s="197" t="b">
        <v>0</v>
      </c>
      <c r="B10" s="10">
        <f t="shared" si="0"/>
        <v>9</v>
      </c>
      <c r="C10" s="49" t="e">
        <f>_xlfn.XLOOKUP($D10,Tab_Process_TCs[Name(EN)],Tab_Process_TCs[Process_ID],,0,)</f>
        <v>#N/A</v>
      </c>
      <c r="D10" s="192" t="s">
        <v>35</v>
      </c>
      <c r="E10" s="192" t="s">
        <v>35</v>
      </c>
      <c r="F10" s="49" t="e">
        <f>_xlfn.XLOOKUP($D10,Tab_Process_TCs[Name(EN)],Tab_Process_TCs[TC?],,0,)</f>
        <v>#N/A</v>
      </c>
      <c r="G10" s="49" t="e">
        <f>_xlfn.XLOOKUP($D10,Tab_Process_TCs[Name(EN)],Tab_Process_TCs[Dyn_TC?],,0,)</f>
        <v>#N/A</v>
      </c>
      <c r="H10" s="10" t="str">
        <f>_xlfn.XLOOKUP($E10,Tab_Def_Flows[Name(EN)],Tab_Def_Flows[Flow_ID],,0,1)</f>
        <v>N.A.</v>
      </c>
      <c r="I10" s="10" t="str">
        <f>IF(Tab_Process_TCs2527[[#This Row],[Name(EN)]]="N.A.","N.A.","TC"&amp;"_"&amp;RIGHT(H10,5))</f>
        <v>N.A.</v>
      </c>
      <c r="J10" s="12"/>
      <c r="K10" s="58"/>
      <c r="L10" s="10"/>
      <c r="M10" s="17" t="e">
        <f>_xlfn.XLOOKUP($D10,Tab_Def_Processes[Name(EN)],Tab_Def_Processes[Input_Flow_I_1],,0,)</f>
        <v>#N/A</v>
      </c>
      <c r="N10" s="10" t="e">
        <f>_xlfn.XLOOKUP($D10,Tab_Def_Processes[Name(EN)],Tab_Def_Processes[Flow_ID_I_1],,0,)</f>
        <v>#N/A</v>
      </c>
      <c r="O10" s="34"/>
      <c r="P10" s="30" t="e">
        <f>_xlfn.XLOOKUP($D10,Tab_Def_Processes[Name(EN)],Tab_Def_Processes[Input_Flow_I_2],,0,)</f>
        <v>#N/A</v>
      </c>
      <c r="Q10" s="10" t="e">
        <f>_xlfn.XLOOKUP($D10,Tab_Def_Processes[Name(EN)],Tab_Def_Processes[Flow_ID_I_2],,0,)</f>
        <v>#N/A</v>
      </c>
      <c r="R10" s="34"/>
      <c r="S10" s="30" t="e">
        <f>_xlfn.XLOOKUP($D10,Tab_Def_Processes[Name(EN)],Tab_Def_Processes[Input_Flow_I_3],,0,)</f>
        <v>#N/A</v>
      </c>
      <c r="T10" s="10" t="e">
        <f>_xlfn.XLOOKUP($D10,Tab_Def_Processes[Name(EN)],Tab_Def_Processes[Flow_ID_I_3],,0,)</f>
        <v>#N/A</v>
      </c>
      <c r="U10" s="34"/>
      <c r="V10" s="30" t="e">
        <f>_xlfn.XLOOKUP($D10,Tab_Def_Processes[Name(EN)],Tab_Def_Processes[Input_Flow_I_4],,0,)</f>
        <v>#N/A</v>
      </c>
      <c r="W10" s="10" t="e">
        <f>_xlfn.XLOOKUP($D10,Tab_Def_Processes[Name(EN)],Tab_Def_Processes[Flow_ID_I_4],,0,)</f>
        <v>#N/A</v>
      </c>
      <c r="X10" s="34"/>
      <c r="Y10" s="30" t="e">
        <f>_xlfn.XLOOKUP($D10,Tab_Def_Processes[Name(EN)],Tab_Def_Processes[Input_Flow_I_5],,0,)</f>
        <v>#N/A</v>
      </c>
      <c r="Z10" s="10" t="e">
        <f>_xlfn.XLOOKUP($D10,Tab_Def_Processes[Name(EN)],Tab_Def_Processes[Flow_ID_I_5],,0,)</f>
        <v>#N/A</v>
      </c>
      <c r="AA10" s="34"/>
      <c r="AB10" s="33">
        <f>Tab_Process_TCs2527[[#This Row],[Flow_TC_I_1_'[%']]]+Tab_Process_TCs2527[[#This Row],[Flow_TC_I_2_'[%']]]+Tab_Process_TCs2527[[#This Row],[Flow_TC_I_3_'[%']]]+Tab_Process_TCs2527[[#This Row],[Flow_TC_I_4_'[%']]]+Tab_Process_TCs2527[[#This Row],[Flow_TC_I_5_'[%']]]</f>
        <v>0</v>
      </c>
      <c r="AC10" s="17" t="e">
        <f>_xlfn.XLOOKUP($D10,#REF!,#REF!,,0,)</f>
        <v>#REF!</v>
      </c>
      <c r="AD10" s="10" t="e">
        <f>_xlfn.XLOOKUP($D10,#REF!,#REF!,,0,)</f>
        <v>#REF!</v>
      </c>
      <c r="AE10" s="44" t="str">
        <f>Tab_Process_TCs2527[[#This Row],[Flow_ID]]</f>
        <v>N.A.</v>
      </c>
      <c r="AF10" s="10" t="e">
        <f t="shared" si="1"/>
        <v>#REF!</v>
      </c>
      <c r="AG10" s="51">
        <v>0.2</v>
      </c>
      <c r="AH10" s="17" t="e">
        <f>_xlfn.XLOOKUP($D10,#REF!,#REF!,,0,)</f>
        <v>#REF!</v>
      </c>
      <c r="AI10" s="10" t="e">
        <f>_xlfn.XLOOKUP($D10,#REF!,#REF!,,0,)</f>
        <v>#REF!</v>
      </c>
      <c r="AJ10" s="44" t="str">
        <f>Tab_Process_TCs2527[[#This Row],[Flow_ID]]</f>
        <v>N.A.</v>
      </c>
      <c r="AK10" s="10" t="e">
        <f t="shared" si="2"/>
        <v>#REF!</v>
      </c>
      <c r="AL10" s="179">
        <v>0.8</v>
      </c>
      <c r="AM10" s="17" t="e">
        <f>_xlfn.XLOOKUP($D10,#REF!,#REF!,,0,)</f>
        <v>#REF!</v>
      </c>
      <c r="AN10" s="10" t="e">
        <f>_xlfn.XLOOKUP($D10,#REF!,#REF!,,0,)</f>
        <v>#REF!</v>
      </c>
      <c r="AO10" s="44" t="str">
        <f>Tab_Process_TCs2527[[#This Row],[Flow_ID]]</f>
        <v>N.A.</v>
      </c>
      <c r="AP10" s="10" t="e">
        <f t="shared" si="3"/>
        <v>#REF!</v>
      </c>
      <c r="AQ10" s="170"/>
      <c r="AR10" s="17" t="e">
        <f>_xlfn.XLOOKUP($D10,#REF!,#REF!,,0,)</f>
        <v>#REF!</v>
      </c>
      <c r="AS10" s="10" t="e">
        <f>_xlfn.XLOOKUP($D10,#REF!,#REF!,,0,)</f>
        <v>#REF!</v>
      </c>
      <c r="AT10" s="44" t="str">
        <f>Tab_Process_TCs2527[[#This Row],[Flow_ID]]</f>
        <v>N.A.</v>
      </c>
      <c r="AU10" s="44" t="e">
        <f t="shared" si="4"/>
        <v>#REF!</v>
      </c>
      <c r="AV10" s="170"/>
      <c r="AW10" s="17" t="e">
        <f>_xlfn.XLOOKUP($D10,#REF!,#REF!,,0,)</f>
        <v>#REF!</v>
      </c>
      <c r="AX10" s="10" t="e">
        <f>_xlfn.XLOOKUP($D10,#REF!,#REF!,,0,)</f>
        <v>#REF!</v>
      </c>
      <c r="AY10" s="44" t="str">
        <f>Tab_Process_TCs2527[[#This Row],[Flow_ID]]</f>
        <v>N.A.</v>
      </c>
      <c r="AZ10" s="44" t="e">
        <f t="shared" si="5"/>
        <v>#REF!</v>
      </c>
      <c r="BA10" s="170"/>
      <c r="BB10" s="10" t="e">
        <f>_xlfn.XLOOKUP($D10,#REF!,#REF!,,0,)</f>
        <v>#REF!</v>
      </c>
      <c r="BC10" s="10" t="e">
        <f>_xlfn.XLOOKUP($D10,#REF!,#REF!,,0,)</f>
        <v>#REF!</v>
      </c>
      <c r="BD10" s="44" t="str">
        <f>Tab_Process_TCs2527[[#This Row],[Flow_ID]]</f>
        <v>N.A.</v>
      </c>
      <c r="BE10" s="44" t="e">
        <f t="shared" si="6"/>
        <v>#REF!</v>
      </c>
      <c r="BF10" s="51"/>
      <c r="BG10" s="54">
        <f>Tab_Process_TCs2527[[#This Row],[TC O_6_'[%']]]+Tab_Process_TCs2527[[#This Row],[TC O_5_'[%']]]+Tab_Process_TCs2527[[#This Row],[TC_O_4_'[%']]]+Tab_Process_TCs2527[[#This Row],[TC_O_3_'[%']]]+Tab_Process_TCs2527[[#This Row],[TC_O_2_'[%']]]+Tab_Process_TCs2527[[#This Row],[TC_O_1_'[%']]]</f>
        <v>1</v>
      </c>
      <c r="BH10" s="12"/>
      <c r="BI10" s="12"/>
      <c r="BJ10" s="12"/>
      <c r="BK10" s="12"/>
      <c r="BL10" s="12"/>
    </row>
    <row r="11" spans="1:64" x14ac:dyDescent="0.25">
      <c r="A11" s="197" t="b">
        <v>0</v>
      </c>
      <c r="B11" s="10">
        <f t="shared" si="0"/>
        <v>10</v>
      </c>
      <c r="C11" s="49" t="e">
        <f>_xlfn.XLOOKUP($D11,Tab_Process_TCs[Name(EN)],Tab_Process_TCs[Process_ID],,0,)</f>
        <v>#N/A</v>
      </c>
      <c r="D11" s="192" t="s">
        <v>35</v>
      </c>
      <c r="E11" s="192" t="s">
        <v>35</v>
      </c>
      <c r="F11" s="49" t="e">
        <f>_xlfn.XLOOKUP($D11,Tab_Process_TCs[Name(EN)],Tab_Process_TCs[TC?],,0,)</f>
        <v>#N/A</v>
      </c>
      <c r="G11" s="49" t="e">
        <f>_xlfn.XLOOKUP($D11,Tab_Process_TCs[Name(EN)],Tab_Process_TCs[Dyn_TC?],,0,)</f>
        <v>#N/A</v>
      </c>
      <c r="H11" s="10" t="str">
        <f>_xlfn.XLOOKUP($E11,Tab_Def_Flows[Name(EN)],Tab_Def_Flows[Flow_ID],,0,1)</f>
        <v>N.A.</v>
      </c>
      <c r="I11" s="10" t="str">
        <f>IF(Tab_Process_TCs2527[[#This Row],[Name(EN)]]="N.A.","N.A.","TC"&amp;"_"&amp;RIGHT(H11,5))</f>
        <v>N.A.</v>
      </c>
      <c r="J11" s="12"/>
      <c r="K11" s="186"/>
      <c r="L11" s="10"/>
      <c r="M11" s="17" t="e">
        <f>_xlfn.XLOOKUP($D11,Tab_Def_Processes[Name(EN)],Tab_Def_Processes[Input_Flow_I_1],,0,)</f>
        <v>#N/A</v>
      </c>
      <c r="N11" s="10" t="e">
        <f>_xlfn.XLOOKUP($D11,Tab_Def_Processes[Name(EN)],Tab_Def_Processes[Flow_ID_I_1],,0,)</f>
        <v>#N/A</v>
      </c>
      <c r="O11" s="34"/>
      <c r="P11" s="30" t="e">
        <f>_xlfn.XLOOKUP($D11,Tab_Def_Processes[Name(EN)],Tab_Def_Processes[Input_Flow_I_2],,0,)</f>
        <v>#N/A</v>
      </c>
      <c r="Q11" s="10" t="e">
        <f>_xlfn.XLOOKUP($D11,Tab_Def_Processes[Name(EN)],Tab_Def_Processes[Flow_ID_I_2],,0,)</f>
        <v>#N/A</v>
      </c>
      <c r="R11" s="34"/>
      <c r="S11" s="30" t="e">
        <f>_xlfn.XLOOKUP($D11,Tab_Def_Processes[Name(EN)],Tab_Def_Processes[Input_Flow_I_3],,0,)</f>
        <v>#N/A</v>
      </c>
      <c r="T11" s="10" t="e">
        <f>_xlfn.XLOOKUP($D11,Tab_Def_Processes[Name(EN)],Tab_Def_Processes[Flow_ID_I_3],,0,)</f>
        <v>#N/A</v>
      </c>
      <c r="U11" s="34"/>
      <c r="V11" s="30" t="e">
        <f>_xlfn.XLOOKUP($D11,Tab_Def_Processes[Name(EN)],Tab_Def_Processes[Input_Flow_I_4],,0,)</f>
        <v>#N/A</v>
      </c>
      <c r="W11" s="10" t="e">
        <f>_xlfn.XLOOKUP($D11,Tab_Def_Processes[Name(EN)],Tab_Def_Processes[Flow_ID_I_4],,0,)</f>
        <v>#N/A</v>
      </c>
      <c r="X11" s="34"/>
      <c r="Y11" s="30" t="e">
        <f>_xlfn.XLOOKUP($D11,Tab_Def_Processes[Name(EN)],Tab_Def_Processes[Input_Flow_I_5],,0,)</f>
        <v>#N/A</v>
      </c>
      <c r="Z11" s="10" t="e">
        <f>_xlfn.XLOOKUP($D11,Tab_Def_Processes[Name(EN)],Tab_Def_Processes[Flow_ID_I_5],,0,)</f>
        <v>#N/A</v>
      </c>
      <c r="AA11" s="34"/>
      <c r="AB11" s="33">
        <f>Tab_Process_TCs2527[[#This Row],[Flow_TC_I_1_'[%']]]+Tab_Process_TCs2527[[#This Row],[Flow_TC_I_2_'[%']]]+Tab_Process_TCs2527[[#This Row],[Flow_TC_I_3_'[%']]]+Tab_Process_TCs2527[[#This Row],[Flow_TC_I_4_'[%']]]+Tab_Process_TCs2527[[#This Row],[Flow_TC_I_5_'[%']]]</f>
        <v>0</v>
      </c>
      <c r="AC11" s="17" t="e">
        <f>_xlfn.XLOOKUP($D11,#REF!,#REF!,,0,)</f>
        <v>#REF!</v>
      </c>
      <c r="AD11" s="10" t="e">
        <f>_xlfn.XLOOKUP($D11,#REF!,#REF!,,0,)</f>
        <v>#REF!</v>
      </c>
      <c r="AE11" s="44" t="str">
        <f>Tab_Process_TCs2527[[#This Row],[Flow_ID]]</f>
        <v>N.A.</v>
      </c>
      <c r="AF11" s="10" t="e">
        <f t="shared" si="1"/>
        <v>#REF!</v>
      </c>
      <c r="AG11" s="51">
        <v>0.5</v>
      </c>
      <c r="AH11" s="17" t="e">
        <f>_xlfn.XLOOKUP($D11,#REF!,#REF!,,0,)</f>
        <v>#REF!</v>
      </c>
      <c r="AI11" s="10" t="e">
        <f>_xlfn.XLOOKUP($D11,#REF!,#REF!,,0,)</f>
        <v>#REF!</v>
      </c>
      <c r="AJ11" s="44" t="str">
        <f>Tab_Process_TCs2527[[#This Row],[Flow_ID]]</f>
        <v>N.A.</v>
      </c>
      <c r="AK11" s="10" t="e">
        <f t="shared" si="2"/>
        <v>#REF!</v>
      </c>
      <c r="AL11" s="179">
        <v>0.2</v>
      </c>
      <c r="AM11" s="17" t="e">
        <f>_xlfn.XLOOKUP($D11,#REF!,#REF!,,0,)</f>
        <v>#REF!</v>
      </c>
      <c r="AN11" s="10" t="e">
        <f>_xlfn.XLOOKUP($D11,#REF!,#REF!,,0,)</f>
        <v>#REF!</v>
      </c>
      <c r="AO11" s="44" t="str">
        <f>Tab_Process_TCs2527[[#This Row],[Flow_ID]]</f>
        <v>N.A.</v>
      </c>
      <c r="AP11" s="10" t="e">
        <f t="shared" si="3"/>
        <v>#REF!</v>
      </c>
      <c r="AQ11" s="170">
        <v>0.3</v>
      </c>
      <c r="AR11" s="17" t="e">
        <f>_xlfn.XLOOKUP($D11,#REF!,#REF!,,0,)</f>
        <v>#REF!</v>
      </c>
      <c r="AS11" s="10" t="e">
        <f>_xlfn.XLOOKUP($D11,#REF!,#REF!,,0,)</f>
        <v>#REF!</v>
      </c>
      <c r="AT11" s="44" t="str">
        <f>Tab_Process_TCs2527[[#This Row],[Flow_ID]]</f>
        <v>N.A.</v>
      </c>
      <c r="AU11" s="44" t="e">
        <f t="shared" si="4"/>
        <v>#REF!</v>
      </c>
      <c r="AV11" s="170"/>
      <c r="AW11" s="17" t="e">
        <f>_xlfn.XLOOKUP($D11,#REF!,#REF!,,0,)</f>
        <v>#REF!</v>
      </c>
      <c r="AX11" s="10" t="e">
        <f>_xlfn.XLOOKUP($D11,#REF!,#REF!,,0,)</f>
        <v>#REF!</v>
      </c>
      <c r="AY11" s="44" t="str">
        <f>Tab_Process_TCs2527[[#This Row],[Flow_ID]]</f>
        <v>N.A.</v>
      </c>
      <c r="AZ11" s="44" t="e">
        <f t="shared" si="5"/>
        <v>#REF!</v>
      </c>
      <c r="BA11" s="170"/>
      <c r="BB11" s="10" t="e">
        <f>_xlfn.XLOOKUP($D11,#REF!,#REF!,,0,)</f>
        <v>#REF!</v>
      </c>
      <c r="BC11" s="10" t="e">
        <f>_xlfn.XLOOKUP($D11,#REF!,#REF!,,0,)</f>
        <v>#REF!</v>
      </c>
      <c r="BD11" s="44" t="str">
        <f>Tab_Process_TCs2527[[#This Row],[Flow_ID]]</f>
        <v>N.A.</v>
      </c>
      <c r="BE11" s="44" t="e">
        <f t="shared" si="6"/>
        <v>#REF!</v>
      </c>
      <c r="BF11" s="51"/>
      <c r="BG11" s="54">
        <f>Tab_Process_TCs2527[[#This Row],[TC O_6_'[%']]]+Tab_Process_TCs2527[[#This Row],[TC O_5_'[%']]]+Tab_Process_TCs2527[[#This Row],[TC_O_4_'[%']]]+Tab_Process_TCs2527[[#This Row],[TC_O_3_'[%']]]+Tab_Process_TCs2527[[#This Row],[TC_O_2_'[%']]]+Tab_Process_TCs2527[[#This Row],[TC_O_1_'[%']]]</f>
        <v>1</v>
      </c>
      <c r="BH11" s="12"/>
      <c r="BI11" s="12"/>
      <c r="BJ11" s="12"/>
      <c r="BK11" s="12"/>
      <c r="BL11" s="12"/>
    </row>
    <row r="12" spans="1:64" x14ac:dyDescent="0.25">
      <c r="A12" s="197" t="b">
        <v>0</v>
      </c>
      <c r="B12" s="10">
        <f t="shared" si="0"/>
        <v>11</v>
      </c>
      <c r="C12" s="49" t="e">
        <f>_xlfn.XLOOKUP($D12,Tab_Process_TCs[Name(EN)],Tab_Process_TCs[Process_ID],,0,)</f>
        <v>#N/A</v>
      </c>
      <c r="D12" s="192" t="s">
        <v>35</v>
      </c>
      <c r="E12" s="192" t="s">
        <v>35</v>
      </c>
      <c r="F12" s="49" t="e">
        <f>_xlfn.XLOOKUP($D12,Tab_Process_TCs[Name(EN)],Tab_Process_TCs[TC?],,0,)</f>
        <v>#N/A</v>
      </c>
      <c r="G12" s="49" t="e">
        <f>_xlfn.XLOOKUP($D12,Tab_Process_TCs[Name(EN)],Tab_Process_TCs[Dyn_TC?],,0,)</f>
        <v>#N/A</v>
      </c>
      <c r="H12" s="10" t="str">
        <f>_xlfn.XLOOKUP($E12,Tab_Def_Flows[Name(EN)],Tab_Def_Flows[Flow_ID],,0,1)</f>
        <v>N.A.</v>
      </c>
      <c r="I12" s="10" t="str">
        <f>IF(Tab_Process_TCs2527[[#This Row],[Name(EN)]]="N.A.","N.A.","TC"&amp;"_"&amp;RIGHT(H12,5))</f>
        <v>N.A.</v>
      </c>
      <c r="J12" s="12"/>
      <c r="K12" s="186"/>
      <c r="L12" s="10"/>
      <c r="M12" s="17" t="e">
        <f>_xlfn.XLOOKUP($D12,Tab_Def_Processes[Name(EN)],Tab_Def_Processes[Input_Flow_I_1],,0,)</f>
        <v>#N/A</v>
      </c>
      <c r="N12" s="10" t="e">
        <f>_xlfn.XLOOKUP($D12,Tab_Def_Processes[Name(EN)],Tab_Def_Processes[Flow_ID_I_1],,0,)</f>
        <v>#N/A</v>
      </c>
      <c r="O12" s="34"/>
      <c r="P12" s="30" t="e">
        <f>_xlfn.XLOOKUP($D12,Tab_Def_Processes[Name(EN)],Tab_Def_Processes[Input_Flow_I_2],,0,)</f>
        <v>#N/A</v>
      </c>
      <c r="Q12" s="10" t="e">
        <f>_xlfn.XLOOKUP($D12,Tab_Def_Processes[Name(EN)],Tab_Def_Processes[Flow_ID_I_2],,0,)</f>
        <v>#N/A</v>
      </c>
      <c r="R12" s="34"/>
      <c r="S12" s="30" t="e">
        <f>_xlfn.XLOOKUP($D12,Tab_Def_Processes[Name(EN)],Tab_Def_Processes[Input_Flow_I_3],,0,)</f>
        <v>#N/A</v>
      </c>
      <c r="T12" s="10" t="e">
        <f>_xlfn.XLOOKUP($D12,Tab_Def_Processes[Name(EN)],Tab_Def_Processes[Flow_ID_I_3],,0,)</f>
        <v>#N/A</v>
      </c>
      <c r="U12" s="34"/>
      <c r="V12" s="30" t="e">
        <f>_xlfn.XLOOKUP($D12,Tab_Def_Processes[Name(EN)],Tab_Def_Processes[Input_Flow_I_4],,0,)</f>
        <v>#N/A</v>
      </c>
      <c r="W12" s="10" t="e">
        <f>_xlfn.XLOOKUP($D12,Tab_Def_Processes[Name(EN)],Tab_Def_Processes[Flow_ID_I_4],,0,)</f>
        <v>#N/A</v>
      </c>
      <c r="X12" s="34"/>
      <c r="Y12" s="30" t="e">
        <f>_xlfn.XLOOKUP($D12,Tab_Def_Processes[Name(EN)],Tab_Def_Processes[Input_Flow_I_5],,0,)</f>
        <v>#N/A</v>
      </c>
      <c r="Z12" s="10" t="e">
        <f>_xlfn.XLOOKUP($D12,Tab_Def_Processes[Name(EN)],Tab_Def_Processes[Flow_ID_I_5],,0,)</f>
        <v>#N/A</v>
      </c>
      <c r="AA12" s="34"/>
      <c r="AB12" s="33">
        <f>Tab_Process_TCs2527[[#This Row],[Flow_TC_I_1_'[%']]]+Tab_Process_TCs2527[[#This Row],[Flow_TC_I_2_'[%']]]+Tab_Process_TCs2527[[#This Row],[Flow_TC_I_3_'[%']]]+Tab_Process_TCs2527[[#This Row],[Flow_TC_I_4_'[%']]]+Tab_Process_TCs2527[[#This Row],[Flow_TC_I_5_'[%']]]</f>
        <v>0</v>
      </c>
      <c r="AC12" s="17" t="e">
        <f>_xlfn.XLOOKUP($D12,#REF!,#REF!,,0,)</f>
        <v>#REF!</v>
      </c>
      <c r="AD12" s="10" t="e">
        <f>_xlfn.XLOOKUP($D12,#REF!,#REF!,,0,)</f>
        <v>#REF!</v>
      </c>
      <c r="AE12" s="44" t="str">
        <f>Tab_Process_TCs2527[[#This Row],[Flow_ID]]</f>
        <v>N.A.</v>
      </c>
      <c r="AF12" s="10" t="e">
        <f t="shared" si="1"/>
        <v>#REF!</v>
      </c>
      <c r="AG12" s="51">
        <v>0.5</v>
      </c>
      <c r="AH12" s="17" t="e">
        <f>_xlfn.XLOOKUP($D12,#REF!,#REF!,,0,)</f>
        <v>#REF!</v>
      </c>
      <c r="AI12" s="10" t="e">
        <f>_xlfn.XLOOKUP($D12,#REF!,#REF!,,0,)</f>
        <v>#REF!</v>
      </c>
      <c r="AJ12" s="44" t="str">
        <f>Tab_Process_TCs2527[[#This Row],[Flow_ID]]</f>
        <v>N.A.</v>
      </c>
      <c r="AK12" s="10" t="e">
        <f t="shared" si="2"/>
        <v>#REF!</v>
      </c>
      <c r="AL12" s="179">
        <v>0.2</v>
      </c>
      <c r="AM12" s="17" t="e">
        <f>_xlfn.XLOOKUP($D12,#REF!,#REF!,,0,)</f>
        <v>#REF!</v>
      </c>
      <c r="AN12" s="10" t="e">
        <f>_xlfn.XLOOKUP($D12,#REF!,#REF!,,0,)</f>
        <v>#REF!</v>
      </c>
      <c r="AO12" s="44" t="str">
        <f>Tab_Process_TCs2527[[#This Row],[Flow_ID]]</f>
        <v>N.A.</v>
      </c>
      <c r="AP12" s="10" t="e">
        <f t="shared" si="3"/>
        <v>#REF!</v>
      </c>
      <c r="AQ12" s="170">
        <v>0.3</v>
      </c>
      <c r="AR12" s="17" t="e">
        <f>_xlfn.XLOOKUP($D12,#REF!,#REF!,,0,)</f>
        <v>#REF!</v>
      </c>
      <c r="AS12" s="10" t="e">
        <f>_xlfn.XLOOKUP($D12,#REF!,#REF!,,0,)</f>
        <v>#REF!</v>
      </c>
      <c r="AT12" s="44" t="str">
        <f>Tab_Process_TCs2527[[#This Row],[Flow_ID]]</f>
        <v>N.A.</v>
      </c>
      <c r="AU12" s="44" t="e">
        <f t="shared" si="4"/>
        <v>#REF!</v>
      </c>
      <c r="AV12" s="170"/>
      <c r="AW12" s="17" t="e">
        <f>_xlfn.XLOOKUP($D12,#REF!,#REF!,,0,)</f>
        <v>#REF!</v>
      </c>
      <c r="AX12" s="10" t="e">
        <f>_xlfn.XLOOKUP($D12,#REF!,#REF!,,0,)</f>
        <v>#REF!</v>
      </c>
      <c r="AY12" s="44" t="str">
        <f>Tab_Process_TCs2527[[#This Row],[Flow_ID]]</f>
        <v>N.A.</v>
      </c>
      <c r="AZ12" s="44" t="e">
        <f t="shared" si="5"/>
        <v>#REF!</v>
      </c>
      <c r="BA12" s="170"/>
      <c r="BB12" s="10" t="e">
        <f>_xlfn.XLOOKUP($D12,#REF!,#REF!,,0,)</f>
        <v>#REF!</v>
      </c>
      <c r="BC12" s="10" t="e">
        <f>_xlfn.XLOOKUP($D12,#REF!,#REF!,,0,)</f>
        <v>#REF!</v>
      </c>
      <c r="BD12" s="44" t="str">
        <f>Tab_Process_TCs2527[[#This Row],[Flow_ID]]</f>
        <v>N.A.</v>
      </c>
      <c r="BE12" s="44" t="e">
        <f t="shared" si="6"/>
        <v>#REF!</v>
      </c>
      <c r="BF12" s="51"/>
      <c r="BG12" s="54">
        <f>Tab_Process_TCs2527[[#This Row],[TC O_6_'[%']]]+Tab_Process_TCs2527[[#This Row],[TC O_5_'[%']]]+Tab_Process_TCs2527[[#This Row],[TC_O_4_'[%']]]+Tab_Process_TCs2527[[#This Row],[TC_O_3_'[%']]]+Tab_Process_TCs2527[[#This Row],[TC_O_2_'[%']]]+Tab_Process_TCs2527[[#This Row],[TC_O_1_'[%']]]</f>
        <v>1</v>
      </c>
      <c r="BH12" s="12"/>
      <c r="BI12" s="12"/>
      <c r="BJ12" s="12"/>
      <c r="BK12" s="12"/>
      <c r="BL12" s="12"/>
    </row>
    <row r="13" spans="1:64" x14ac:dyDescent="0.25">
      <c r="A13" s="197" t="b">
        <v>0</v>
      </c>
      <c r="B13" s="10">
        <f t="shared" si="0"/>
        <v>12</v>
      </c>
      <c r="C13" s="49" t="e">
        <f>_xlfn.XLOOKUP($D13,Tab_Process_TCs[Name(EN)],Tab_Process_TCs[Process_ID],,0,)</f>
        <v>#N/A</v>
      </c>
      <c r="D13" s="192" t="s">
        <v>35</v>
      </c>
      <c r="E13" s="192" t="s">
        <v>35</v>
      </c>
      <c r="F13" s="49" t="e">
        <f>_xlfn.XLOOKUP($D13,Tab_Process_TCs[Name(EN)],Tab_Process_TCs[TC?],,0,)</f>
        <v>#N/A</v>
      </c>
      <c r="G13" s="49" t="e">
        <f>_xlfn.XLOOKUP($D13,Tab_Process_TCs[Name(EN)],Tab_Process_TCs[Dyn_TC?],,0,)</f>
        <v>#N/A</v>
      </c>
      <c r="H13" s="10" t="str">
        <f>_xlfn.XLOOKUP($E13,Tab_Def_Flows[Name(EN)],Tab_Def_Flows[Flow_ID],,0,1)</f>
        <v>N.A.</v>
      </c>
      <c r="I13" s="10" t="str">
        <f>IF(Tab_Process_TCs2527[[#This Row],[Name(EN)]]="N.A.","N.A.","TC"&amp;"_"&amp;RIGHT(H13,5))</f>
        <v>N.A.</v>
      </c>
      <c r="J13" s="12"/>
      <c r="K13" s="186"/>
      <c r="L13" s="10"/>
      <c r="M13" s="17" t="e">
        <f>_xlfn.XLOOKUP($D13,Tab_Def_Processes[Name(EN)],Tab_Def_Processes[Input_Flow_I_1],,0,)</f>
        <v>#N/A</v>
      </c>
      <c r="N13" s="10" t="e">
        <f>_xlfn.XLOOKUP($D13,Tab_Def_Processes[Name(EN)],Tab_Def_Processes[Flow_ID_I_1],,0,)</f>
        <v>#N/A</v>
      </c>
      <c r="O13" s="34"/>
      <c r="P13" s="30" t="e">
        <f>_xlfn.XLOOKUP($D13,Tab_Def_Processes[Name(EN)],Tab_Def_Processes[Input_Flow_I_2],,0,)</f>
        <v>#N/A</v>
      </c>
      <c r="Q13" s="10" t="e">
        <f>_xlfn.XLOOKUP($D13,Tab_Def_Processes[Name(EN)],Tab_Def_Processes[Flow_ID_I_2],,0,)</f>
        <v>#N/A</v>
      </c>
      <c r="R13" s="34"/>
      <c r="S13" s="30" t="e">
        <f>_xlfn.XLOOKUP($D13,Tab_Def_Processes[Name(EN)],Tab_Def_Processes[Input_Flow_I_3],,0,)</f>
        <v>#N/A</v>
      </c>
      <c r="T13" s="10" t="e">
        <f>_xlfn.XLOOKUP($D13,Tab_Def_Processes[Name(EN)],Tab_Def_Processes[Flow_ID_I_3],,0,)</f>
        <v>#N/A</v>
      </c>
      <c r="U13" s="34"/>
      <c r="V13" s="30" t="e">
        <f>_xlfn.XLOOKUP($D13,Tab_Def_Processes[Name(EN)],Tab_Def_Processes[Input_Flow_I_4],,0,)</f>
        <v>#N/A</v>
      </c>
      <c r="W13" s="10" t="e">
        <f>_xlfn.XLOOKUP($D13,Tab_Def_Processes[Name(EN)],Tab_Def_Processes[Flow_ID_I_4],,0,)</f>
        <v>#N/A</v>
      </c>
      <c r="X13" s="34"/>
      <c r="Y13" s="30" t="e">
        <f>_xlfn.XLOOKUP($D13,Tab_Def_Processes[Name(EN)],Tab_Def_Processes[Input_Flow_I_5],,0,)</f>
        <v>#N/A</v>
      </c>
      <c r="Z13" s="10" t="e">
        <f>_xlfn.XLOOKUP($D13,Tab_Def_Processes[Name(EN)],Tab_Def_Processes[Flow_ID_I_5],,0,)</f>
        <v>#N/A</v>
      </c>
      <c r="AA13" s="34"/>
      <c r="AB13" s="33">
        <f>Tab_Process_TCs2527[[#This Row],[Flow_TC_I_1_'[%']]]+Tab_Process_TCs2527[[#This Row],[Flow_TC_I_2_'[%']]]+Tab_Process_TCs2527[[#This Row],[Flow_TC_I_3_'[%']]]+Tab_Process_TCs2527[[#This Row],[Flow_TC_I_4_'[%']]]+Tab_Process_TCs2527[[#This Row],[Flow_TC_I_5_'[%']]]</f>
        <v>0</v>
      </c>
      <c r="AC13" s="17" t="e">
        <f>_xlfn.XLOOKUP($D13,#REF!,#REF!,,0,)</f>
        <v>#REF!</v>
      </c>
      <c r="AD13" s="10" t="e">
        <f>_xlfn.XLOOKUP($D13,#REF!,#REF!,,0,)</f>
        <v>#REF!</v>
      </c>
      <c r="AE13" s="44" t="str">
        <f>Tab_Process_TCs2527[[#This Row],[Flow_ID]]</f>
        <v>N.A.</v>
      </c>
      <c r="AF13" s="10" t="e">
        <f t="shared" si="1"/>
        <v>#REF!</v>
      </c>
      <c r="AG13" s="51">
        <v>0.5</v>
      </c>
      <c r="AH13" s="17" t="e">
        <f>_xlfn.XLOOKUP($D13,#REF!,#REF!,,0,)</f>
        <v>#REF!</v>
      </c>
      <c r="AI13" s="10" t="e">
        <f>_xlfn.XLOOKUP($D13,#REF!,#REF!,,0,)</f>
        <v>#REF!</v>
      </c>
      <c r="AJ13" s="44" t="str">
        <f>Tab_Process_TCs2527[[#This Row],[Flow_ID]]</f>
        <v>N.A.</v>
      </c>
      <c r="AK13" s="10" t="e">
        <f t="shared" si="2"/>
        <v>#REF!</v>
      </c>
      <c r="AL13" s="179">
        <v>0.2</v>
      </c>
      <c r="AM13" s="17" t="e">
        <f>_xlfn.XLOOKUP($D13,#REF!,#REF!,,0,)</f>
        <v>#REF!</v>
      </c>
      <c r="AN13" s="10" t="e">
        <f>_xlfn.XLOOKUP($D13,#REF!,#REF!,,0,)</f>
        <v>#REF!</v>
      </c>
      <c r="AO13" s="44" t="str">
        <f>Tab_Process_TCs2527[[#This Row],[Flow_ID]]</f>
        <v>N.A.</v>
      </c>
      <c r="AP13" s="10" t="e">
        <f t="shared" si="3"/>
        <v>#REF!</v>
      </c>
      <c r="AQ13" s="170">
        <v>0.3</v>
      </c>
      <c r="AR13" s="17" t="e">
        <f>_xlfn.XLOOKUP($D13,#REF!,#REF!,,0,)</f>
        <v>#REF!</v>
      </c>
      <c r="AS13" s="10" t="e">
        <f>_xlfn.XLOOKUP($D13,#REF!,#REF!,,0,)</f>
        <v>#REF!</v>
      </c>
      <c r="AT13" s="44" t="str">
        <f>Tab_Process_TCs2527[[#This Row],[Flow_ID]]</f>
        <v>N.A.</v>
      </c>
      <c r="AU13" s="44" t="e">
        <f t="shared" si="4"/>
        <v>#REF!</v>
      </c>
      <c r="AV13" s="170"/>
      <c r="AW13" s="17" t="e">
        <f>_xlfn.XLOOKUP($D13,#REF!,#REF!,,0,)</f>
        <v>#REF!</v>
      </c>
      <c r="AX13" s="10" t="e">
        <f>_xlfn.XLOOKUP($D13,#REF!,#REF!,,0,)</f>
        <v>#REF!</v>
      </c>
      <c r="AY13" s="44" t="str">
        <f>Tab_Process_TCs2527[[#This Row],[Flow_ID]]</f>
        <v>N.A.</v>
      </c>
      <c r="AZ13" s="44" t="e">
        <f t="shared" si="5"/>
        <v>#REF!</v>
      </c>
      <c r="BA13" s="170"/>
      <c r="BB13" s="10" t="e">
        <f>_xlfn.XLOOKUP($D13,#REF!,#REF!,,0,)</f>
        <v>#REF!</v>
      </c>
      <c r="BC13" s="10" t="e">
        <f>_xlfn.XLOOKUP($D13,#REF!,#REF!,,0,)</f>
        <v>#REF!</v>
      </c>
      <c r="BD13" s="44" t="str">
        <f>Tab_Process_TCs2527[[#This Row],[Flow_ID]]</f>
        <v>N.A.</v>
      </c>
      <c r="BE13" s="44" t="e">
        <f t="shared" si="6"/>
        <v>#REF!</v>
      </c>
      <c r="BF13" s="51"/>
      <c r="BG13" s="54">
        <f>Tab_Process_TCs2527[[#This Row],[TC O_6_'[%']]]+Tab_Process_TCs2527[[#This Row],[TC O_5_'[%']]]+Tab_Process_TCs2527[[#This Row],[TC_O_4_'[%']]]+Tab_Process_TCs2527[[#This Row],[TC_O_3_'[%']]]+Tab_Process_TCs2527[[#This Row],[TC_O_2_'[%']]]+Tab_Process_TCs2527[[#This Row],[TC_O_1_'[%']]]</f>
        <v>1</v>
      </c>
      <c r="BH13" s="12"/>
      <c r="BI13" s="12"/>
      <c r="BJ13" s="12"/>
      <c r="BK13" s="12"/>
      <c r="BL13" s="12"/>
    </row>
    <row r="14" spans="1:64" x14ac:dyDescent="0.25">
      <c r="A14" s="197" t="b">
        <v>0</v>
      </c>
      <c r="B14" s="10">
        <f t="shared" si="0"/>
        <v>13</v>
      </c>
      <c r="C14" s="49" t="e">
        <f>_xlfn.XLOOKUP($D14,Tab_Process_TCs[Name(EN)],Tab_Process_TCs[Process_ID],,0,)</f>
        <v>#N/A</v>
      </c>
      <c r="D14" s="192" t="s">
        <v>35</v>
      </c>
      <c r="E14" s="192" t="s">
        <v>35</v>
      </c>
      <c r="F14" s="49" t="e">
        <f>_xlfn.XLOOKUP($D14,Tab_Process_TCs[Name(EN)],Tab_Process_TCs[TC?],,0,)</f>
        <v>#N/A</v>
      </c>
      <c r="G14" s="49" t="e">
        <f>_xlfn.XLOOKUP($D14,Tab_Process_TCs[Name(EN)],Tab_Process_TCs[Dyn_TC?],,0,)</f>
        <v>#N/A</v>
      </c>
      <c r="H14" s="10" t="str">
        <f>_xlfn.XLOOKUP($E14,Tab_Def_Flows[Name(EN)],Tab_Def_Flows[Flow_ID],,0,1)</f>
        <v>N.A.</v>
      </c>
      <c r="I14" s="10" t="str">
        <f>IF(Tab_Process_TCs2527[[#This Row],[Name(EN)]]="N.A.","N.A.","TC"&amp;"_"&amp;RIGHT(H14,5))</f>
        <v>N.A.</v>
      </c>
      <c r="J14" s="12"/>
      <c r="K14" s="186"/>
      <c r="L14" s="10"/>
      <c r="M14" s="17" t="e">
        <f>_xlfn.XLOOKUP($D14,Tab_Def_Processes[Name(EN)],Tab_Def_Processes[Input_Flow_I_1],,0,)</f>
        <v>#N/A</v>
      </c>
      <c r="N14" s="10" t="e">
        <f>_xlfn.XLOOKUP($D14,Tab_Def_Processes[Name(EN)],Tab_Def_Processes[Flow_ID_I_1],,0,)</f>
        <v>#N/A</v>
      </c>
      <c r="O14" s="34"/>
      <c r="P14" s="30" t="e">
        <f>_xlfn.XLOOKUP($D14,Tab_Def_Processes[Name(EN)],Tab_Def_Processes[Input_Flow_I_2],,0,)</f>
        <v>#N/A</v>
      </c>
      <c r="Q14" s="10" t="e">
        <f>_xlfn.XLOOKUP($D14,Tab_Def_Processes[Name(EN)],Tab_Def_Processes[Flow_ID_I_2],,0,)</f>
        <v>#N/A</v>
      </c>
      <c r="R14" s="34"/>
      <c r="S14" s="30" t="e">
        <f>_xlfn.XLOOKUP($D14,Tab_Def_Processes[Name(EN)],Tab_Def_Processes[Input_Flow_I_3],,0,)</f>
        <v>#N/A</v>
      </c>
      <c r="T14" s="10" t="e">
        <f>_xlfn.XLOOKUP($D14,Tab_Def_Processes[Name(EN)],Tab_Def_Processes[Flow_ID_I_3],,0,)</f>
        <v>#N/A</v>
      </c>
      <c r="U14" s="34"/>
      <c r="V14" s="30" t="e">
        <f>_xlfn.XLOOKUP($D14,Tab_Def_Processes[Name(EN)],Tab_Def_Processes[Input_Flow_I_4],,0,)</f>
        <v>#N/A</v>
      </c>
      <c r="W14" s="10" t="e">
        <f>_xlfn.XLOOKUP($D14,Tab_Def_Processes[Name(EN)],Tab_Def_Processes[Flow_ID_I_4],,0,)</f>
        <v>#N/A</v>
      </c>
      <c r="X14" s="34"/>
      <c r="Y14" s="30" t="e">
        <f>_xlfn.XLOOKUP($D14,Tab_Def_Processes[Name(EN)],Tab_Def_Processes[Input_Flow_I_5],,0,)</f>
        <v>#N/A</v>
      </c>
      <c r="Z14" s="10" t="e">
        <f>_xlfn.XLOOKUP($D14,Tab_Def_Processes[Name(EN)],Tab_Def_Processes[Flow_ID_I_5],,0,)</f>
        <v>#N/A</v>
      </c>
      <c r="AA14" s="34"/>
      <c r="AB14" s="33">
        <f>Tab_Process_TCs2527[[#This Row],[Flow_TC_I_1_'[%']]]+Tab_Process_TCs2527[[#This Row],[Flow_TC_I_2_'[%']]]+Tab_Process_TCs2527[[#This Row],[Flow_TC_I_3_'[%']]]+Tab_Process_TCs2527[[#This Row],[Flow_TC_I_4_'[%']]]+Tab_Process_TCs2527[[#This Row],[Flow_TC_I_5_'[%']]]</f>
        <v>0</v>
      </c>
      <c r="AC14" s="17" t="e">
        <f>_xlfn.XLOOKUP($D14,#REF!,#REF!,,0,)</f>
        <v>#REF!</v>
      </c>
      <c r="AD14" s="10" t="e">
        <f>_xlfn.XLOOKUP($D14,#REF!,#REF!,,0,)</f>
        <v>#REF!</v>
      </c>
      <c r="AE14" s="44" t="str">
        <f>Tab_Process_TCs2527[[#This Row],[Flow_ID]]</f>
        <v>N.A.</v>
      </c>
      <c r="AF14" s="10" t="e">
        <f t="shared" si="1"/>
        <v>#REF!</v>
      </c>
      <c r="AG14" s="51">
        <v>0.5</v>
      </c>
      <c r="AH14" s="171" t="e">
        <f>_xlfn.XLOOKUP($D14,#REF!,#REF!,,0,)</f>
        <v>#REF!</v>
      </c>
      <c r="AI14" s="55" t="e">
        <f>_xlfn.XLOOKUP($D14,#REF!,#REF!,,0,)</f>
        <v>#REF!</v>
      </c>
      <c r="AJ14" s="44" t="str">
        <f>Tab_Process_TCs2527[[#This Row],[Flow_ID]]</f>
        <v>N.A.</v>
      </c>
      <c r="AK14" s="10" t="e">
        <f t="shared" si="2"/>
        <v>#REF!</v>
      </c>
      <c r="AL14" s="179">
        <v>0.2</v>
      </c>
      <c r="AM14" s="17" t="e">
        <f>_xlfn.XLOOKUP($D14,#REF!,#REF!,,0,)</f>
        <v>#REF!</v>
      </c>
      <c r="AN14" s="10" t="e">
        <f>_xlfn.XLOOKUP($D14,#REF!,#REF!,,0,)</f>
        <v>#REF!</v>
      </c>
      <c r="AO14" s="44" t="str">
        <f>Tab_Process_TCs2527[[#This Row],[Flow_ID]]</f>
        <v>N.A.</v>
      </c>
      <c r="AP14" s="10" t="e">
        <f t="shared" si="3"/>
        <v>#REF!</v>
      </c>
      <c r="AQ14" s="170">
        <v>0.3</v>
      </c>
      <c r="AR14" s="17" t="e">
        <f>_xlfn.XLOOKUP($D14,#REF!,#REF!,,0,)</f>
        <v>#REF!</v>
      </c>
      <c r="AS14" s="10" t="e">
        <f>_xlfn.XLOOKUP($D14,#REF!,#REF!,,0,)</f>
        <v>#REF!</v>
      </c>
      <c r="AT14" s="44" t="str">
        <f>Tab_Process_TCs2527[[#This Row],[Flow_ID]]</f>
        <v>N.A.</v>
      </c>
      <c r="AU14" s="44" t="e">
        <f t="shared" si="4"/>
        <v>#REF!</v>
      </c>
      <c r="AV14" s="170"/>
      <c r="AW14" s="17" t="e">
        <f>_xlfn.XLOOKUP($D14,#REF!,#REF!,,0,)</f>
        <v>#REF!</v>
      </c>
      <c r="AX14" s="10" t="e">
        <f>_xlfn.XLOOKUP($D14,#REF!,#REF!,,0,)</f>
        <v>#REF!</v>
      </c>
      <c r="AY14" s="44" t="str">
        <f>Tab_Process_TCs2527[[#This Row],[Flow_ID]]</f>
        <v>N.A.</v>
      </c>
      <c r="AZ14" s="44" t="e">
        <f t="shared" si="5"/>
        <v>#REF!</v>
      </c>
      <c r="BA14" s="170"/>
      <c r="BB14" s="10" t="e">
        <f>_xlfn.XLOOKUP($D14,#REF!,#REF!,,0,)</f>
        <v>#REF!</v>
      </c>
      <c r="BC14" s="10" t="e">
        <f>_xlfn.XLOOKUP($D14,#REF!,#REF!,,0,)</f>
        <v>#REF!</v>
      </c>
      <c r="BD14" s="44" t="str">
        <f>Tab_Process_TCs2527[[#This Row],[Flow_ID]]</f>
        <v>N.A.</v>
      </c>
      <c r="BE14" s="44" t="e">
        <f t="shared" si="6"/>
        <v>#REF!</v>
      </c>
      <c r="BF14" s="51"/>
      <c r="BG14" s="54">
        <f>Tab_Process_TCs2527[[#This Row],[TC O_6_'[%']]]+Tab_Process_TCs2527[[#This Row],[TC O_5_'[%']]]+Tab_Process_TCs2527[[#This Row],[TC_O_4_'[%']]]+Tab_Process_TCs2527[[#This Row],[TC_O_3_'[%']]]+Tab_Process_TCs2527[[#This Row],[TC_O_2_'[%']]]+Tab_Process_TCs2527[[#This Row],[TC_O_1_'[%']]]</f>
        <v>1</v>
      </c>
      <c r="BH14" s="12"/>
      <c r="BI14" s="12"/>
      <c r="BJ14" s="12"/>
      <c r="BK14" s="12"/>
      <c r="BL14" s="12"/>
    </row>
    <row r="15" spans="1:64" x14ac:dyDescent="0.25">
      <c r="A15" s="197" t="b">
        <v>0</v>
      </c>
      <c r="B15" s="10">
        <f t="shared" si="0"/>
        <v>14</v>
      </c>
      <c r="C15" s="49" t="e">
        <f>_xlfn.XLOOKUP($D15,Tab_Process_TCs[Name(EN)],Tab_Process_TCs[Process_ID],,0,)</f>
        <v>#N/A</v>
      </c>
      <c r="D15" s="192" t="s">
        <v>35</v>
      </c>
      <c r="E15" s="192" t="s">
        <v>35</v>
      </c>
      <c r="F15" s="49" t="e">
        <f>_xlfn.XLOOKUP($D15,Tab_Process_TCs[Name(EN)],Tab_Process_TCs[TC?],,0,)</f>
        <v>#N/A</v>
      </c>
      <c r="G15" s="49" t="e">
        <f>_xlfn.XLOOKUP($D15,Tab_Process_TCs[Name(EN)],Tab_Process_TCs[Dyn_TC?],,0,)</f>
        <v>#N/A</v>
      </c>
      <c r="H15" s="10" t="str">
        <f>_xlfn.XLOOKUP($E15,Tab_Def_Flows[Name(EN)],Tab_Def_Flows[Flow_ID],,0,1)</f>
        <v>N.A.</v>
      </c>
      <c r="I15" s="10" t="str">
        <f>IF(Tab_Process_TCs2527[[#This Row],[Name(EN)]]="N.A.","N.A.","TC"&amp;"_"&amp;RIGHT(H15,5))</f>
        <v>N.A.</v>
      </c>
      <c r="J15" s="12"/>
      <c r="K15" s="186"/>
      <c r="L15" s="10"/>
      <c r="M15" s="17" t="e">
        <f>_xlfn.XLOOKUP($D15,Tab_Def_Processes[Name(EN)],Tab_Def_Processes[Input_Flow_I_1],,0,)</f>
        <v>#N/A</v>
      </c>
      <c r="N15" s="10" t="e">
        <f>_xlfn.XLOOKUP($D15,Tab_Def_Processes[Name(EN)],Tab_Def_Processes[Flow_ID_I_1],,0,)</f>
        <v>#N/A</v>
      </c>
      <c r="O15" s="34"/>
      <c r="P15" s="30" t="e">
        <f>_xlfn.XLOOKUP($D15,Tab_Def_Processes[Name(EN)],Tab_Def_Processes[Input_Flow_I_2],,0,)</f>
        <v>#N/A</v>
      </c>
      <c r="Q15" s="10" t="e">
        <f>_xlfn.XLOOKUP($D15,Tab_Def_Processes[Name(EN)],Tab_Def_Processes[Flow_ID_I_2],,0,)</f>
        <v>#N/A</v>
      </c>
      <c r="R15" s="34"/>
      <c r="S15" s="30" t="e">
        <f>_xlfn.XLOOKUP($D15,Tab_Def_Processes[Name(EN)],Tab_Def_Processes[Input_Flow_I_3],,0,)</f>
        <v>#N/A</v>
      </c>
      <c r="T15" s="10" t="e">
        <f>_xlfn.XLOOKUP($D15,Tab_Def_Processes[Name(EN)],Tab_Def_Processes[Flow_ID_I_3],,0,)</f>
        <v>#N/A</v>
      </c>
      <c r="U15" s="34"/>
      <c r="V15" s="30" t="e">
        <f>_xlfn.XLOOKUP($D15,Tab_Def_Processes[Name(EN)],Tab_Def_Processes[Input_Flow_I_4],,0,)</f>
        <v>#N/A</v>
      </c>
      <c r="W15" s="10" t="e">
        <f>_xlfn.XLOOKUP($D15,Tab_Def_Processes[Name(EN)],Tab_Def_Processes[Flow_ID_I_4],,0,)</f>
        <v>#N/A</v>
      </c>
      <c r="X15" s="34"/>
      <c r="Y15" s="30" t="e">
        <f>_xlfn.XLOOKUP($D15,Tab_Def_Processes[Name(EN)],Tab_Def_Processes[Input_Flow_I_5],,0,)</f>
        <v>#N/A</v>
      </c>
      <c r="Z15" s="10" t="e">
        <f>_xlfn.XLOOKUP($D15,Tab_Def_Processes[Name(EN)],Tab_Def_Processes[Flow_ID_I_5],,0,)</f>
        <v>#N/A</v>
      </c>
      <c r="AA15" s="34"/>
      <c r="AB15" s="33">
        <f>Tab_Process_TCs2527[[#This Row],[Flow_TC_I_1_'[%']]]+Tab_Process_TCs2527[[#This Row],[Flow_TC_I_2_'[%']]]+Tab_Process_TCs2527[[#This Row],[Flow_TC_I_3_'[%']]]+Tab_Process_TCs2527[[#This Row],[Flow_TC_I_4_'[%']]]+Tab_Process_TCs2527[[#This Row],[Flow_TC_I_5_'[%']]]</f>
        <v>0</v>
      </c>
      <c r="AC15" s="17" t="e">
        <f>_xlfn.XLOOKUP($D15,#REF!,#REF!,,0,)</f>
        <v>#REF!</v>
      </c>
      <c r="AD15" s="10" t="e">
        <f>_xlfn.XLOOKUP($D15,#REF!,#REF!,,0,)</f>
        <v>#REF!</v>
      </c>
      <c r="AE15" s="44" t="str">
        <f>Tab_Process_TCs2527[[#This Row],[Flow_ID]]</f>
        <v>N.A.</v>
      </c>
      <c r="AF15" s="10" t="e">
        <f t="shared" si="1"/>
        <v>#REF!</v>
      </c>
      <c r="AG15" s="51">
        <v>0.5</v>
      </c>
      <c r="AH15" s="171" t="e">
        <f>_xlfn.XLOOKUP($D15,#REF!,#REF!,,0,)</f>
        <v>#REF!</v>
      </c>
      <c r="AI15" s="55" t="e">
        <f>_xlfn.XLOOKUP($D15,#REF!,#REF!,,0,)</f>
        <v>#REF!</v>
      </c>
      <c r="AJ15" s="44" t="str">
        <f>Tab_Process_TCs2527[[#This Row],[Flow_ID]]</f>
        <v>N.A.</v>
      </c>
      <c r="AK15" s="10" t="e">
        <f t="shared" si="2"/>
        <v>#REF!</v>
      </c>
      <c r="AL15" s="179">
        <v>0.2</v>
      </c>
      <c r="AM15" s="17" t="e">
        <f>_xlfn.XLOOKUP($D15,#REF!,#REF!,,0,)</f>
        <v>#REF!</v>
      </c>
      <c r="AN15" s="10" t="e">
        <f>_xlfn.XLOOKUP($D15,#REF!,#REF!,,0,)</f>
        <v>#REF!</v>
      </c>
      <c r="AO15" s="44" t="str">
        <f>Tab_Process_TCs2527[[#This Row],[Flow_ID]]</f>
        <v>N.A.</v>
      </c>
      <c r="AP15" s="10" t="e">
        <f t="shared" si="3"/>
        <v>#REF!</v>
      </c>
      <c r="AQ15" s="170">
        <v>0.3</v>
      </c>
      <c r="AR15" s="17" t="e">
        <f>_xlfn.XLOOKUP($D15,#REF!,#REF!,,0,)</f>
        <v>#REF!</v>
      </c>
      <c r="AS15" s="10" t="e">
        <f>_xlfn.XLOOKUP($D15,#REF!,#REF!,,0,)</f>
        <v>#REF!</v>
      </c>
      <c r="AT15" s="44" t="str">
        <f>Tab_Process_TCs2527[[#This Row],[Flow_ID]]</f>
        <v>N.A.</v>
      </c>
      <c r="AU15" s="44" t="e">
        <f t="shared" si="4"/>
        <v>#REF!</v>
      </c>
      <c r="AV15" s="170"/>
      <c r="AW15" s="17" t="e">
        <f>_xlfn.XLOOKUP($D15,#REF!,#REF!,,0,)</f>
        <v>#REF!</v>
      </c>
      <c r="AX15" s="10" t="e">
        <f>_xlfn.XLOOKUP($D15,#REF!,#REF!,,0,)</f>
        <v>#REF!</v>
      </c>
      <c r="AY15" s="44" t="str">
        <f>Tab_Process_TCs2527[[#This Row],[Flow_ID]]</f>
        <v>N.A.</v>
      </c>
      <c r="AZ15" s="44" t="e">
        <f t="shared" si="5"/>
        <v>#REF!</v>
      </c>
      <c r="BA15" s="170"/>
      <c r="BB15" s="10" t="e">
        <f>_xlfn.XLOOKUP($D15,#REF!,#REF!,,0,)</f>
        <v>#REF!</v>
      </c>
      <c r="BC15" s="10" t="e">
        <f>_xlfn.XLOOKUP($D15,#REF!,#REF!,,0,)</f>
        <v>#REF!</v>
      </c>
      <c r="BD15" s="44" t="str">
        <f>Tab_Process_TCs2527[[#This Row],[Flow_ID]]</f>
        <v>N.A.</v>
      </c>
      <c r="BE15" s="44" t="e">
        <f t="shared" si="6"/>
        <v>#REF!</v>
      </c>
      <c r="BF15" s="51"/>
      <c r="BG15" s="54">
        <f>Tab_Process_TCs2527[[#This Row],[TC O_6_'[%']]]+Tab_Process_TCs2527[[#This Row],[TC O_5_'[%']]]+Tab_Process_TCs2527[[#This Row],[TC_O_4_'[%']]]+Tab_Process_TCs2527[[#This Row],[TC_O_3_'[%']]]+Tab_Process_TCs2527[[#This Row],[TC_O_2_'[%']]]+Tab_Process_TCs2527[[#This Row],[TC_O_1_'[%']]]</f>
        <v>1</v>
      </c>
      <c r="BH15" s="12"/>
      <c r="BI15" s="12"/>
      <c r="BJ15" s="12"/>
      <c r="BK15" s="12"/>
      <c r="BL15" s="12"/>
    </row>
    <row r="16" spans="1:64" x14ac:dyDescent="0.25">
      <c r="A16" s="197" t="b">
        <v>0</v>
      </c>
      <c r="B16" s="10">
        <f t="shared" si="0"/>
        <v>15</v>
      </c>
      <c r="C16" s="49" t="e">
        <f>_xlfn.XLOOKUP($D16,Tab_Process_TCs[Name(EN)],Tab_Process_TCs[Process_ID],,0,)</f>
        <v>#N/A</v>
      </c>
      <c r="D16" s="192" t="s">
        <v>35</v>
      </c>
      <c r="E16" s="192" t="s">
        <v>35</v>
      </c>
      <c r="F16" s="49" t="e">
        <f>_xlfn.XLOOKUP($D16,Tab_Process_TCs[Name(EN)],Tab_Process_TCs[TC?],,0,)</f>
        <v>#N/A</v>
      </c>
      <c r="G16" s="49" t="e">
        <f>_xlfn.XLOOKUP($D16,Tab_Process_TCs[Name(EN)],Tab_Process_TCs[Dyn_TC?],,0,)</f>
        <v>#N/A</v>
      </c>
      <c r="H16" s="10" t="str">
        <f>_xlfn.XLOOKUP($E16,Tab_Def_Flows[Name(EN)],Tab_Def_Flows[Flow_ID],,0,1)</f>
        <v>N.A.</v>
      </c>
      <c r="I16" s="10" t="str">
        <f>IF(Tab_Process_TCs2527[[#This Row],[Name(EN)]]="N.A.","N.A.","TC"&amp;"_"&amp;RIGHT(H16,5))</f>
        <v>N.A.</v>
      </c>
      <c r="J16" s="12"/>
      <c r="K16" s="186"/>
      <c r="L16" s="10"/>
      <c r="M16" s="17" t="e">
        <f>_xlfn.XLOOKUP($D16,Tab_Def_Processes[Name(EN)],Tab_Def_Processes[Input_Flow_I_1],,0,)</f>
        <v>#N/A</v>
      </c>
      <c r="N16" s="10" t="e">
        <f>_xlfn.XLOOKUP($D16,Tab_Def_Processes[Name(EN)],Tab_Def_Processes[Flow_ID_I_1],,0,)</f>
        <v>#N/A</v>
      </c>
      <c r="O16" s="34"/>
      <c r="P16" s="30" t="e">
        <f>_xlfn.XLOOKUP($D16,Tab_Def_Processes[Name(EN)],Tab_Def_Processes[Input_Flow_I_2],,0,)</f>
        <v>#N/A</v>
      </c>
      <c r="Q16" s="10" t="e">
        <f>_xlfn.XLOOKUP($D16,Tab_Def_Processes[Name(EN)],Tab_Def_Processes[Flow_ID_I_2],,0,)</f>
        <v>#N/A</v>
      </c>
      <c r="R16" s="34"/>
      <c r="S16" s="30" t="e">
        <f>_xlfn.XLOOKUP($D16,Tab_Def_Processes[Name(EN)],Tab_Def_Processes[Input_Flow_I_3],,0,)</f>
        <v>#N/A</v>
      </c>
      <c r="T16" s="10" t="e">
        <f>_xlfn.XLOOKUP($D16,Tab_Def_Processes[Name(EN)],Tab_Def_Processes[Flow_ID_I_3],,0,)</f>
        <v>#N/A</v>
      </c>
      <c r="U16" s="34"/>
      <c r="V16" s="30" t="e">
        <f>_xlfn.XLOOKUP($D16,Tab_Def_Processes[Name(EN)],Tab_Def_Processes[Input_Flow_I_4],,0,)</f>
        <v>#N/A</v>
      </c>
      <c r="W16" s="10" t="e">
        <f>_xlfn.XLOOKUP($D16,Tab_Def_Processes[Name(EN)],Tab_Def_Processes[Flow_ID_I_4],,0,)</f>
        <v>#N/A</v>
      </c>
      <c r="X16" s="34"/>
      <c r="Y16" s="30" t="e">
        <f>_xlfn.XLOOKUP($D16,Tab_Def_Processes[Name(EN)],Tab_Def_Processes[Input_Flow_I_5],,0,)</f>
        <v>#N/A</v>
      </c>
      <c r="Z16" s="10" t="e">
        <f>_xlfn.XLOOKUP($D16,Tab_Def_Processes[Name(EN)],Tab_Def_Processes[Flow_ID_I_5],,0,)</f>
        <v>#N/A</v>
      </c>
      <c r="AA16" s="34"/>
      <c r="AB16" s="33">
        <f>Tab_Process_TCs2527[[#This Row],[Flow_TC_I_1_'[%']]]+Tab_Process_TCs2527[[#This Row],[Flow_TC_I_2_'[%']]]+Tab_Process_TCs2527[[#This Row],[Flow_TC_I_3_'[%']]]+Tab_Process_TCs2527[[#This Row],[Flow_TC_I_4_'[%']]]+Tab_Process_TCs2527[[#This Row],[Flow_TC_I_5_'[%']]]</f>
        <v>0</v>
      </c>
      <c r="AC16" s="17" t="e">
        <f>_xlfn.XLOOKUP($D16,#REF!,#REF!,,0,)</f>
        <v>#REF!</v>
      </c>
      <c r="AD16" s="10" t="e">
        <f>_xlfn.XLOOKUP($D16,#REF!,#REF!,,0,)</f>
        <v>#REF!</v>
      </c>
      <c r="AE16" s="44" t="str">
        <f>Tab_Process_TCs2527[[#This Row],[Flow_ID]]</f>
        <v>N.A.</v>
      </c>
      <c r="AF16" s="10" t="e">
        <f t="shared" si="1"/>
        <v>#REF!</v>
      </c>
      <c r="AG16" s="51">
        <v>0.5</v>
      </c>
      <c r="AH16" s="171" t="e">
        <f>_xlfn.XLOOKUP($D16,#REF!,#REF!,,0,)</f>
        <v>#REF!</v>
      </c>
      <c r="AI16" s="55" t="e">
        <f>_xlfn.XLOOKUP($D16,#REF!,#REF!,,0,)</f>
        <v>#REF!</v>
      </c>
      <c r="AJ16" s="44" t="str">
        <f>Tab_Process_TCs2527[[#This Row],[Flow_ID]]</f>
        <v>N.A.</v>
      </c>
      <c r="AK16" s="10" t="e">
        <f t="shared" si="2"/>
        <v>#REF!</v>
      </c>
      <c r="AL16" s="179">
        <v>0.2</v>
      </c>
      <c r="AM16" s="17" t="e">
        <f>_xlfn.XLOOKUP($D16,#REF!,#REF!,,0,)</f>
        <v>#REF!</v>
      </c>
      <c r="AN16" s="10" t="e">
        <f>_xlfn.XLOOKUP($D16,#REF!,#REF!,,0,)</f>
        <v>#REF!</v>
      </c>
      <c r="AO16" s="44" t="str">
        <f>Tab_Process_TCs2527[[#This Row],[Flow_ID]]</f>
        <v>N.A.</v>
      </c>
      <c r="AP16" s="10" t="e">
        <f t="shared" si="3"/>
        <v>#REF!</v>
      </c>
      <c r="AQ16" s="170">
        <v>0.3</v>
      </c>
      <c r="AR16" s="17" t="e">
        <f>_xlfn.XLOOKUP($D16,#REF!,#REF!,,0,)</f>
        <v>#REF!</v>
      </c>
      <c r="AS16" s="10" t="e">
        <f>_xlfn.XLOOKUP($D16,#REF!,#REF!,,0,)</f>
        <v>#REF!</v>
      </c>
      <c r="AT16" s="44" t="str">
        <f>Tab_Process_TCs2527[[#This Row],[Flow_ID]]</f>
        <v>N.A.</v>
      </c>
      <c r="AU16" s="44" t="e">
        <f t="shared" si="4"/>
        <v>#REF!</v>
      </c>
      <c r="AV16" s="170"/>
      <c r="AW16" s="17" t="e">
        <f>_xlfn.XLOOKUP($D16,#REF!,#REF!,,0,)</f>
        <v>#REF!</v>
      </c>
      <c r="AX16" s="10" t="e">
        <f>_xlfn.XLOOKUP($D16,#REF!,#REF!,,0,)</f>
        <v>#REF!</v>
      </c>
      <c r="AY16" s="44" t="str">
        <f>Tab_Process_TCs2527[[#This Row],[Flow_ID]]</f>
        <v>N.A.</v>
      </c>
      <c r="AZ16" s="44" t="e">
        <f t="shared" si="5"/>
        <v>#REF!</v>
      </c>
      <c r="BA16" s="170"/>
      <c r="BB16" s="10" t="e">
        <f>_xlfn.XLOOKUP($D16,#REF!,#REF!,,0,)</f>
        <v>#REF!</v>
      </c>
      <c r="BC16" s="10" t="e">
        <f>_xlfn.XLOOKUP($D16,#REF!,#REF!,,0,)</f>
        <v>#REF!</v>
      </c>
      <c r="BD16" s="44" t="str">
        <f>Tab_Process_TCs2527[[#This Row],[Flow_ID]]</f>
        <v>N.A.</v>
      </c>
      <c r="BE16" s="44" t="e">
        <f t="shared" si="6"/>
        <v>#REF!</v>
      </c>
      <c r="BF16" s="51"/>
      <c r="BG16" s="54">
        <f>Tab_Process_TCs2527[[#This Row],[TC O_6_'[%']]]+Tab_Process_TCs2527[[#This Row],[TC O_5_'[%']]]+Tab_Process_TCs2527[[#This Row],[TC_O_4_'[%']]]+Tab_Process_TCs2527[[#This Row],[TC_O_3_'[%']]]+Tab_Process_TCs2527[[#This Row],[TC_O_2_'[%']]]+Tab_Process_TCs2527[[#This Row],[TC_O_1_'[%']]]</f>
        <v>1</v>
      </c>
      <c r="BH16" s="12"/>
      <c r="BI16" s="12"/>
      <c r="BJ16" s="12"/>
      <c r="BK16" s="12"/>
      <c r="BL16" s="12"/>
    </row>
    <row r="17" spans="1:64" x14ac:dyDescent="0.25">
      <c r="A17" s="197" t="b">
        <v>0</v>
      </c>
      <c r="B17" s="10">
        <f t="shared" si="0"/>
        <v>16</v>
      </c>
      <c r="C17" s="49" t="e">
        <f>_xlfn.XLOOKUP($D17,Tab_Process_TCs[Name(EN)],Tab_Process_TCs[Process_ID],,0,)</f>
        <v>#N/A</v>
      </c>
      <c r="D17" s="192" t="s">
        <v>35</v>
      </c>
      <c r="E17" s="192" t="s">
        <v>35</v>
      </c>
      <c r="F17" s="49" t="e">
        <f>_xlfn.XLOOKUP($D17,Tab_Process_TCs[Name(EN)],Tab_Process_TCs[TC?],,0,)</f>
        <v>#N/A</v>
      </c>
      <c r="G17" s="49" t="e">
        <f>_xlfn.XLOOKUP($D17,Tab_Process_TCs[Name(EN)],Tab_Process_TCs[Dyn_TC?],,0,)</f>
        <v>#N/A</v>
      </c>
      <c r="H17" s="10" t="str">
        <f>_xlfn.XLOOKUP($E17,Tab_Def_Flows[Name(EN)],Tab_Def_Flows[Flow_ID],,0,1)</f>
        <v>N.A.</v>
      </c>
      <c r="I17" s="10" t="str">
        <f>IF(Tab_Process_TCs2527[[#This Row],[Name(EN)]]="N.A.","N.A.","TC"&amp;"_"&amp;RIGHT(H17,5))</f>
        <v>N.A.</v>
      </c>
      <c r="J17" s="12"/>
      <c r="K17" s="186"/>
      <c r="L17" s="10"/>
      <c r="M17" s="17" t="e">
        <f>_xlfn.XLOOKUP($D17,Tab_Def_Processes[Name(EN)],Tab_Def_Processes[Input_Flow_I_1],,0,)</f>
        <v>#N/A</v>
      </c>
      <c r="N17" s="10" t="e">
        <f>_xlfn.XLOOKUP($D17,Tab_Def_Processes[Name(EN)],Tab_Def_Processes[Flow_ID_I_1],,0,)</f>
        <v>#N/A</v>
      </c>
      <c r="O17" s="34"/>
      <c r="P17" s="30" t="e">
        <f>_xlfn.XLOOKUP($D17,Tab_Def_Processes[Name(EN)],Tab_Def_Processes[Input_Flow_I_2],,0,)</f>
        <v>#N/A</v>
      </c>
      <c r="Q17" s="10" t="e">
        <f>_xlfn.XLOOKUP($D17,Tab_Def_Processes[Name(EN)],Tab_Def_Processes[Flow_ID_I_2],,0,)</f>
        <v>#N/A</v>
      </c>
      <c r="R17" s="34"/>
      <c r="S17" s="30" t="e">
        <f>_xlfn.XLOOKUP($D17,Tab_Def_Processes[Name(EN)],Tab_Def_Processes[Input_Flow_I_3],,0,)</f>
        <v>#N/A</v>
      </c>
      <c r="T17" s="10" t="e">
        <f>_xlfn.XLOOKUP($D17,Tab_Def_Processes[Name(EN)],Tab_Def_Processes[Flow_ID_I_3],,0,)</f>
        <v>#N/A</v>
      </c>
      <c r="U17" s="34"/>
      <c r="V17" s="30" t="e">
        <f>_xlfn.XLOOKUP($D17,Tab_Def_Processes[Name(EN)],Tab_Def_Processes[Input_Flow_I_4],,0,)</f>
        <v>#N/A</v>
      </c>
      <c r="W17" s="10" t="e">
        <f>_xlfn.XLOOKUP($D17,Tab_Def_Processes[Name(EN)],Tab_Def_Processes[Flow_ID_I_4],,0,)</f>
        <v>#N/A</v>
      </c>
      <c r="X17" s="34"/>
      <c r="Y17" s="30" t="e">
        <f>_xlfn.XLOOKUP($D17,Tab_Def_Processes[Name(EN)],Tab_Def_Processes[Input_Flow_I_5],,0,)</f>
        <v>#N/A</v>
      </c>
      <c r="Z17" s="10" t="e">
        <f>_xlfn.XLOOKUP($D17,Tab_Def_Processes[Name(EN)],Tab_Def_Processes[Flow_ID_I_5],,0,)</f>
        <v>#N/A</v>
      </c>
      <c r="AA17" s="34"/>
      <c r="AB17" s="33">
        <f>Tab_Process_TCs2527[[#This Row],[Flow_TC_I_1_'[%']]]+Tab_Process_TCs2527[[#This Row],[Flow_TC_I_2_'[%']]]+Tab_Process_TCs2527[[#This Row],[Flow_TC_I_3_'[%']]]+Tab_Process_TCs2527[[#This Row],[Flow_TC_I_4_'[%']]]+Tab_Process_TCs2527[[#This Row],[Flow_TC_I_5_'[%']]]</f>
        <v>0</v>
      </c>
      <c r="AC17" s="17" t="e">
        <f>_xlfn.XLOOKUP($D17,#REF!,#REF!,,0,)</f>
        <v>#REF!</v>
      </c>
      <c r="AD17" s="10" t="e">
        <f>_xlfn.XLOOKUP($D17,#REF!,#REF!,,0,)</f>
        <v>#REF!</v>
      </c>
      <c r="AE17" s="44" t="str">
        <f>Tab_Process_TCs2527[[#This Row],[Flow_ID]]</f>
        <v>N.A.</v>
      </c>
      <c r="AF17" s="10" t="e">
        <f t="shared" si="1"/>
        <v>#REF!</v>
      </c>
      <c r="AG17" s="51">
        <v>0.5</v>
      </c>
      <c r="AH17" s="171" t="e">
        <f>_xlfn.XLOOKUP($D17,#REF!,#REF!,,0,)</f>
        <v>#REF!</v>
      </c>
      <c r="AI17" s="55" t="e">
        <f>_xlfn.XLOOKUP($D17,#REF!,#REF!,,0,)</f>
        <v>#REF!</v>
      </c>
      <c r="AJ17" s="44" t="str">
        <f>Tab_Process_TCs2527[[#This Row],[Flow_ID]]</f>
        <v>N.A.</v>
      </c>
      <c r="AK17" s="10" t="e">
        <f t="shared" si="2"/>
        <v>#REF!</v>
      </c>
      <c r="AL17" s="179">
        <v>0.2</v>
      </c>
      <c r="AM17" s="17" t="e">
        <f>_xlfn.XLOOKUP($D17,#REF!,#REF!,,0,)</f>
        <v>#REF!</v>
      </c>
      <c r="AN17" s="10" t="e">
        <f>_xlfn.XLOOKUP($D17,#REF!,#REF!,,0,)</f>
        <v>#REF!</v>
      </c>
      <c r="AO17" s="44" t="str">
        <f>Tab_Process_TCs2527[[#This Row],[Flow_ID]]</f>
        <v>N.A.</v>
      </c>
      <c r="AP17" s="10" t="e">
        <f t="shared" si="3"/>
        <v>#REF!</v>
      </c>
      <c r="AQ17" s="170">
        <v>0.3</v>
      </c>
      <c r="AR17" s="17" t="e">
        <f>_xlfn.XLOOKUP($D17,#REF!,#REF!,,0,)</f>
        <v>#REF!</v>
      </c>
      <c r="AS17" s="10" t="e">
        <f>_xlfn.XLOOKUP($D17,#REF!,#REF!,,0,)</f>
        <v>#REF!</v>
      </c>
      <c r="AT17" s="44" t="str">
        <f>Tab_Process_TCs2527[[#This Row],[Flow_ID]]</f>
        <v>N.A.</v>
      </c>
      <c r="AU17" s="44" t="e">
        <f t="shared" si="4"/>
        <v>#REF!</v>
      </c>
      <c r="AV17" s="170"/>
      <c r="AW17" s="17" t="e">
        <f>_xlfn.XLOOKUP($D17,#REF!,#REF!,,0,)</f>
        <v>#REF!</v>
      </c>
      <c r="AX17" s="10" t="e">
        <f>_xlfn.XLOOKUP($D17,#REF!,#REF!,,0,)</f>
        <v>#REF!</v>
      </c>
      <c r="AY17" s="44" t="str">
        <f>Tab_Process_TCs2527[[#This Row],[Flow_ID]]</f>
        <v>N.A.</v>
      </c>
      <c r="AZ17" s="44" t="e">
        <f t="shared" si="5"/>
        <v>#REF!</v>
      </c>
      <c r="BA17" s="170"/>
      <c r="BB17" s="10" t="e">
        <f>_xlfn.XLOOKUP($D17,#REF!,#REF!,,0,)</f>
        <v>#REF!</v>
      </c>
      <c r="BC17" s="10" t="e">
        <f>_xlfn.XLOOKUP($D17,#REF!,#REF!,,0,)</f>
        <v>#REF!</v>
      </c>
      <c r="BD17" s="44" t="str">
        <f>Tab_Process_TCs2527[[#This Row],[Flow_ID]]</f>
        <v>N.A.</v>
      </c>
      <c r="BE17" s="44" t="e">
        <f t="shared" si="6"/>
        <v>#REF!</v>
      </c>
      <c r="BF17" s="51"/>
      <c r="BG17" s="54">
        <f>Tab_Process_TCs2527[[#This Row],[TC O_6_'[%']]]+Tab_Process_TCs2527[[#This Row],[TC O_5_'[%']]]+Tab_Process_TCs2527[[#This Row],[TC_O_4_'[%']]]+Tab_Process_TCs2527[[#This Row],[TC_O_3_'[%']]]+Tab_Process_TCs2527[[#This Row],[TC_O_2_'[%']]]+Tab_Process_TCs2527[[#This Row],[TC_O_1_'[%']]]</f>
        <v>1</v>
      </c>
      <c r="BH17" s="12"/>
      <c r="BI17" s="12"/>
      <c r="BJ17" s="12"/>
      <c r="BK17" s="12"/>
      <c r="BL17" s="12"/>
    </row>
    <row r="18" spans="1:64" x14ac:dyDescent="0.25">
      <c r="A18" s="197" t="b">
        <v>0</v>
      </c>
      <c r="B18" s="10">
        <f t="shared" si="0"/>
        <v>17</v>
      </c>
      <c r="C18" s="49" t="e">
        <f>_xlfn.XLOOKUP($D18,Tab_Process_TCs[Name(EN)],Tab_Process_TCs[Process_ID],,0,)</f>
        <v>#N/A</v>
      </c>
      <c r="D18" s="192" t="s">
        <v>35</v>
      </c>
      <c r="E18" s="192" t="s">
        <v>35</v>
      </c>
      <c r="F18" s="49" t="e">
        <f>_xlfn.XLOOKUP($D18,Tab_Process_TCs[Name(EN)],Tab_Process_TCs[TC?],,0,)</f>
        <v>#N/A</v>
      </c>
      <c r="G18" s="49" t="e">
        <f>_xlfn.XLOOKUP($D18,Tab_Process_TCs[Name(EN)],Tab_Process_TCs[Dyn_TC?],,0,)</f>
        <v>#N/A</v>
      </c>
      <c r="H18" s="10" t="str">
        <f>_xlfn.XLOOKUP($E18,Tab_Def_Flows[Name(EN)],Tab_Def_Flows[Flow_ID],,0,1)</f>
        <v>N.A.</v>
      </c>
      <c r="I18" s="10" t="str">
        <f>IF(Tab_Process_TCs2527[[#This Row],[Name(EN)]]="N.A.","N.A.","TC"&amp;"_"&amp;RIGHT(H18,5))</f>
        <v>N.A.</v>
      </c>
      <c r="J18" s="12"/>
      <c r="K18" s="186"/>
      <c r="L18" s="10"/>
      <c r="M18" s="17" t="e">
        <f>_xlfn.XLOOKUP($D18,Tab_Def_Processes[Name(EN)],Tab_Def_Processes[Input_Flow_I_1],,0,)</f>
        <v>#N/A</v>
      </c>
      <c r="N18" s="10" t="e">
        <f>_xlfn.XLOOKUP($D18,Tab_Def_Processes[Name(EN)],Tab_Def_Processes[Flow_ID_I_1],,0,)</f>
        <v>#N/A</v>
      </c>
      <c r="O18" s="34"/>
      <c r="P18" s="30" t="e">
        <f>_xlfn.XLOOKUP($D18,Tab_Def_Processes[Name(EN)],Tab_Def_Processes[Input_Flow_I_2],,0,)</f>
        <v>#N/A</v>
      </c>
      <c r="Q18" s="10" t="e">
        <f>_xlfn.XLOOKUP($D18,Tab_Def_Processes[Name(EN)],Tab_Def_Processes[Flow_ID_I_2],,0,)</f>
        <v>#N/A</v>
      </c>
      <c r="R18" s="34"/>
      <c r="S18" s="30" t="e">
        <f>_xlfn.XLOOKUP($D18,Tab_Def_Processes[Name(EN)],Tab_Def_Processes[Input_Flow_I_3],,0,)</f>
        <v>#N/A</v>
      </c>
      <c r="T18" s="10" t="e">
        <f>_xlfn.XLOOKUP($D18,Tab_Def_Processes[Name(EN)],Tab_Def_Processes[Flow_ID_I_3],,0,)</f>
        <v>#N/A</v>
      </c>
      <c r="U18" s="34"/>
      <c r="V18" s="30" t="e">
        <f>_xlfn.XLOOKUP($D18,Tab_Def_Processes[Name(EN)],Tab_Def_Processes[Input_Flow_I_4],,0,)</f>
        <v>#N/A</v>
      </c>
      <c r="W18" s="10" t="e">
        <f>_xlfn.XLOOKUP($D18,Tab_Def_Processes[Name(EN)],Tab_Def_Processes[Flow_ID_I_4],,0,)</f>
        <v>#N/A</v>
      </c>
      <c r="X18" s="34"/>
      <c r="Y18" s="30" t="e">
        <f>_xlfn.XLOOKUP($D18,Tab_Def_Processes[Name(EN)],Tab_Def_Processes[Input_Flow_I_5],,0,)</f>
        <v>#N/A</v>
      </c>
      <c r="Z18" s="10" t="e">
        <f>_xlfn.XLOOKUP($D18,Tab_Def_Processes[Name(EN)],Tab_Def_Processes[Flow_ID_I_5],,0,)</f>
        <v>#N/A</v>
      </c>
      <c r="AA18" s="34"/>
      <c r="AB18" s="33">
        <f>Tab_Process_TCs2527[[#This Row],[Flow_TC_I_1_'[%']]]+Tab_Process_TCs2527[[#This Row],[Flow_TC_I_2_'[%']]]+Tab_Process_TCs2527[[#This Row],[Flow_TC_I_3_'[%']]]+Tab_Process_TCs2527[[#This Row],[Flow_TC_I_4_'[%']]]+Tab_Process_TCs2527[[#This Row],[Flow_TC_I_5_'[%']]]</f>
        <v>0</v>
      </c>
      <c r="AC18" s="17" t="e">
        <f>_xlfn.XLOOKUP($D18,#REF!,#REF!,,0,)</f>
        <v>#REF!</v>
      </c>
      <c r="AD18" s="10" t="e">
        <f>_xlfn.XLOOKUP($D18,#REF!,#REF!,,0,)</f>
        <v>#REF!</v>
      </c>
      <c r="AE18" s="44" t="str">
        <f>Tab_Process_TCs2527[[#This Row],[Flow_ID]]</f>
        <v>N.A.</v>
      </c>
      <c r="AF18" s="10" t="e">
        <f t="shared" si="1"/>
        <v>#REF!</v>
      </c>
      <c r="AG18" s="51">
        <v>0.5</v>
      </c>
      <c r="AH18" s="171" t="e">
        <f>_xlfn.XLOOKUP($D18,#REF!,#REF!,,0,)</f>
        <v>#REF!</v>
      </c>
      <c r="AI18" s="55" t="e">
        <f>_xlfn.XLOOKUP($D18,#REF!,#REF!,,0,)</f>
        <v>#REF!</v>
      </c>
      <c r="AJ18" s="44" t="str">
        <f>Tab_Process_TCs2527[[#This Row],[Flow_ID]]</f>
        <v>N.A.</v>
      </c>
      <c r="AK18" s="10" t="e">
        <f t="shared" si="2"/>
        <v>#REF!</v>
      </c>
      <c r="AL18" s="179">
        <v>0.2</v>
      </c>
      <c r="AM18" s="17" t="e">
        <f>_xlfn.XLOOKUP($D18,#REF!,#REF!,,0,)</f>
        <v>#REF!</v>
      </c>
      <c r="AN18" s="10" t="e">
        <f>_xlfn.XLOOKUP($D18,#REF!,#REF!,,0,)</f>
        <v>#REF!</v>
      </c>
      <c r="AO18" s="44" t="str">
        <f>Tab_Process_TCs2527[[#This Row],[Flow_ID]]</f>
        <v>N.A.</v>
      </c>
      <c r="AP18" s="10" t="e">
        <f t="shared" si="3"/>
        <v>#REF!</v>
      </c>
      <c r="AQ18" s="170">
        <v>0.3</v>
      </c>
      <c r="AR18" s="17" t="e">
        <f>_xlfn.XLOOKUP($D18,#REF!,#REF!,,0,)</f>
        <v>#REF!</v>
      </c>
      <c r="AS18" s="10" t="e">
        <f>_xlfn.XLOOKUP($D18,#REF!,#REF!,,0,)</f>
        <v>#REF!</v>
      </c>
      <c r="AT18" s="44" t="str">
        <f>Tab_Process_TCs2527[[#This Row],[Flow_ID]]</f>
        <v>N.A.</v>
      </c>
      <c r="AU18" s="44" t="e">
        <f t="shared" si="4"/>
        <v>#REF!</v>
      </c>
      <c r="AV18" s="170"/>
      <c r="AW18" s="17" t="e">
        <f>_xlfn.XLOOKUP($D18,#REF!,#REF!,,0,)</f>
        <v>#REF!</v>
      </c>
      <c r="AX18" s="10" t="e">
        <f>_xlfn.XLOOKUP($D18,#REF!,#REF!,,0,)</f>
        <v>#REF!</v>
      </c>
      <c r="AY18" s="44" t="str">
        <f>Tab_Process_TCs2527[[#This Row],[Flow_ID]]</f>
        <v>N.A.</v>
      </c>
      <c r="AZ18" s="44" t="e">
        <f t="shared" si="5"/>
        <v>#REF!</v>
      </c>
      <c r="BA18" s="170"/>
      <c r="BB18" s="10" t="e">
        <f>_xlfn.XLOOKUP($D18,#REF!,#REF!,,0,)</f>
        <v>#REF!</v>
      </c>
      <c r="BC18" s="10" t="e">
        <f>_xlfn.XLOOKUP($D18,#REF!,#REF!,,0,)</f>
        <v>#REF!</v>
      </c>
      <c r="BD18" s="44" t="str">
        <f>Tab_Process_TCs2527[[#This Row],[Flow_ID]]</f>
        <v>N.A.</v>
      </c>
      <c r="BE18" s="44" t="e">
        <f t="shared" si="6"/>
        <v>#REF!</v>
      </c>
      <c r="BF18" s="51"/>
      <c r="BG18" s="54">
        <f>Tab_Process_TCs2527[[#This Row],[TC O_6_'[%']]]+Tab_Process_TCs2527[[#This Row],[TC O_5_'[%']]]+Tab_Process_TCs2527[[#This Row],[TC_O_4_'[%']]]+Tab_Process_TCs2527[[#This Row],[TC_O_3_'[%']]]+Tab_Process_TCs2527[[#This Row],[TC_O_2_'[%']]]+Tab_Process_TCs2527[[#This Row],[TC_O_1_'[%']]]</f>
        <v>1</v>
      </c>
      <c r="BH18" s="12"/>
      <c r="BI18" s="12"/>
      <c r="BJ18" s="12"/>
      <c r="BK18" s="12"/>
      <c r="BL18" s="12"/>
    </row>
    <row r="19" spans="1:64" x14ac:dyDescent="0.25">
      <c r="A19" s="197" t="b">
        <v>0</v>
      </c>
      <c r="B19" s="10">
        <f t="shared" si="0"/>
        <v>18</v>
      </c>
      <c r="C19" s="49" t="e">
        <f>_xlfn.XLOOKUP($D19,Tab_Process_TCs[Name(EN)],Tab_Process_TCs[Process_ID],,0,)</f>
        <v>#N/A</v>
      </c>
      <c r="D19" s="192" t="s">
        <v>35</v>
      </c>
      <c r="E19" s="192" t="s">
        <v>35</v>
      </c>
      <c r="F19" s="49" t="e">
        <f>_xlfn.XLOOKUP($D19,Tab_Process_TCs[Name(EN)],Tab_Process_TCs[TC?],,0,)</f>
        <v>#N/A</v>
      </c>
      <c r="G19" s="49" t="e">
        <f>_xlfn.XLOOKUP($D19,Tab_Process_TCs[Name(EN)],Tab_Process_TCs[Dyn_TC?],,0,)</f>
        <v>#N/A</v>
      </c>
      <c r="H19" s="10" t="str">
        <f>_xlfn.XLOOKUP($E19,Tab_Def_Flows[Name(EN)],Tab_Def_Flows[Flow_ID],,0,1)</f>
        <v>N.A.</v>
      </c>
      <c r="I19" s="10" t="str">
        <f>IF(Tab_Process_TCs2527[[#This Row],[Name(EN)]]="N.A.","N.A.","TC"&amp;"_"&amp;RIGHT(H19,5))</f>
        <v>N.A.</v>
      </c>
      <c r="J19" s="12"/>
      <c r="K19" s="186"/>
      <c r="L19" s="10"/>
      <c r="M19" s="17" t="e">
        <f>_xlfn.XLOOKUP($D19,Tab_Def_Processes[Name(EN)],Tab_Def_Processes[Input_Flow_I_1],,0,)</f>
        <v>#N/A</v>
      </c>
      <c r="N19" s="10" t="e">
        <f>_xlfn.XLOOKUP($D19,Tab_Def_Processes[Name(EN)],Tab_Def_Processes[Flow_ID_I_1],,0,)</f>
        <v>#N/A</v>
      </c>
      <c r="O19" s="34"/>
      <c r="P19" s="30" t="e">
        <f>_xlfn.XLOOKUP($D19,Tab_Def_Processes[Name(EN)],Tab_Def_Processes[Input_Flow_I_2],,0,)</f>
        <v>#N/A</v>
      </c>
      <c r="Q19" s="10" t="e">
        <f>_xlfn.XLOOKUP($D19,Tab_Def_Processes[Name(EN)],Tab_Def_Processes[Flow_ID_I_2],,0,)</f>
        <v>#N/A</v>
      </c>
      <c r="R19" s="34"/>
      <c r="S19" s="30" t="e">
        <f>_xlfn.XLOOKUP($D19,Tab_Def_Processes[Name(EN)],Tab_Def_Processes[Input_Flow_I_3],,0,)</f>
        <v>#N/A</v>
      </c>
      <c r="T19" s="10" t="e">
        <f>_xlfn.XLOOKUP($D19,Tab_Def_Processes[Name(EN)],Tab_Def_Processes[Flow_ID_I_3],,0,)</f>
        <v>#N/A</v>
      </c>
      <c r="U19" s="34"/>
      <c r="V19" s="30" t="e">
        <f>_xlfn.XLOOKUP($D19,Tab_Def_Processes[Name(EN)],Tab_Def_Processes[Input_Flow_I_4],,0,)</f>
        <v>#N/A</v>
      </c>
      <c r="W19" s="10" t="e">
        <f>_xlfn.XLOOKUP($D19,Tab_Def_Processes[Name(EN)],Tab_Def_Processes[Flow_ID_I_4],,0,)</f>
        <v>#N/A</v>
      </c>
      <c r="X19" s="34"/>
      <c r="Y19" s="30" t="e">
        <f>_xlfn.XLOOKUP($D19,Tab_Def_Processes[Name(EN)],Tab_Def_Processes[Input_Flow_I_5],,0,)</f>
        <v>#N/A</v>
      </c>
      <c r="Z19" s="10" t="e">
        <f>_xlfn.XLOOKUP($D19,Tab_Def_Processes[Name(EN)],Tab_Def_Processes[Flow_ID_I_5],,0,)</f>
        <v>#N/A</v>
      </c>
      <c r="AA19" s="34"/>
      <c r="AB19" s="33">
        <f>Tab_Process_TCs2527[[#This Row],[Flow_TC_I_1_'[%']]]+Tab_Process_TCs2527[[#This Row],[Flow_TC_I_2_'[%']]]+Tab_Process_TCs2527[[#This Row],[Flow_TC_I_3_'[%']]]+Tab_Process_TCs2527[[#This Row],[Flow_TC_I_4_'[%']]]+Tab_Process_TCs2527[[#This Row],[Flow_TC_I_5_'[%']]]</f>
        <v>0</v>
      </c>
      <c r="AC19" s="17" t="e">
        <f>_xlfn.XLOOKUP($D19,#REF!,#REF!,,0,)</f>
        <v>#REF!</v>
      </c>
      <c r="AD19" s="10" t="e">
        <f>_xlfn.XLOOKUP($D19,#REF!,#REF!,,0,)</f>
        <v>#REF!</v>
      </c>
      <c r="AE19" s="44" t="str">
        <f>Tab_Process_TCs2527[[#This Row],[Flow_ID]]</f>
        <v>N.A.</v>
      </c>
      <c r="AF19" s="10" t="e">
        <f t="shared" si="1"/>
        <v>#REF!</v>
      </c>
      <c r="AG19" s="51">
        <v>0.5</v>
      </c>
      <c r="AH19" s="171" t="e">
        <f>_xlfn.XLOOKUP($D19,#REF!,#REF!,,0,)</f>
        <v>#REF!</v>
      </c>
      <c r="AI19" s="55" t="e">
        <f>_xlfn.XLOOKUP($D19,#REF!,#REF!,,0,)</f>
        <v>#REF!</v>
      </c>
      <c r="AJ19" s="44" t="str">
        <f>Tab_Process_TCs2527[[#This Row],[Flow_ID]]</f>
        <v>N.A.</v>
      </c>
      <c r="AK19" s="10" t="e">
        <f t="shared" si="2"/>
        <v>#REF!</v>
      </c>
      <c r="AL19" s="179">
        <v>0.2</v>
      </c>
      <c r="AM19" s="17" t="e">
        <f>_xlfn.XLOOKUP($D19,#REF!,#REF!,,0,)</f>
        <v>#REF!</v>
      </c>
      <c r="AN19" s="10" t="e">
        <f>_xlfn.XLOOKUP($D19,#REF!,#REF!,,0,)</f>
        <v>#REF!</v>
      </c>
      <c r="AO19" s="44" t="str">
        <f>Tab_Process_TCs2527[[#This Row],[Flow_ID]]</f>
        <v>N.A.</v>
      </c>
      <c r="AP19" s="10" t="e">
        <f t="shared" si="3"/>
        <v>#REF!</v>
      </c>
      <c r="AQ19" s="170">
        <v>0.3</v>
      </c>
      <c r="AR19" s="17" t="e">
        <f>_xlfn.XLOOKUP($D19,#REF!,#REF!,,0,)</f>
        <v>#REF!</v>
      </c>
      <c r="AS19" s="10" t="e">
        <f>_xlfn.XLOOKUP($D19,#REF!,#REF!,,0,)</f>
        <v>#REF!</v>
      </c>
      <c r="AT19" s="44" t="str">
        <f>Tab_Process_TCs2527[[#This Row],[Flow_ID]]</f>
        <v>N.A.</v>
      </c>
      <c r="AU19" s="44" t="e">
        <f t="shared" si="4"/>
        <v>#REF!</v>
      </c>
      <c r="AV19" s="170"/>
      <c r="AW19" s="17" t="e">
        <f>_xlfn.XLOOKUP($D19,#REF!,#REF!,,0,)</f>
        <v>#REF!</v>
      </c>
      <c r="AX19" s="10" t="e">
        <f>_xlfn.XLOOKUP($D19,#REF!,#REF!,,0,)</f>
        <v>#REF!</v>
      </c>
      <c r="AY19" s="44" t="str">
        <f>Tab_Process_TCs2527[[#This Row],[Flow_ID]]</f>
        <v>N.A.</v>
      </c>
      <c r="AZ19" s="44" t="e">
        <f t="shared" si="5"/>
        <v>#REF!</v>
      </c>
      <c r="BA19" s="170"/>
      <c r="BB19" s="10" t="e">
        <f>_xlfn.XLOOKUP($D19,#REF!,#REF!,,0,)</f>
        <v>#REF!</v>
      </c>
      <c r="BC19" s="10" t="e">
        <f>_xlfn.XLOOKUP($D19,#REF!,#REF!,,0,)</f>
        <v>#REF!</v>
      </c>
      <c r="BD19" s="44" t="str">
        <f>Tab_Process_TCs2527[[#This Row],[Flow_ID]]</f>
        <v>N.A.</v>
      </c>
      <c r="BE19" s="44" t="e">
        <f t="shared" si="6"/>
        <v>#REF!</v>
      </c>
      <c r="BF19" s="51"/>
      <c r="BG19" s="54">
        <f>Tab_Process_TCs2527[[#This Row],[TC O_6_'[%']]]+Tab_Process_TCs2527[[#This Row],[TC O_5_'[%']]]+Tab_Process_TCs2527[[#This Row],[TC_O_4_'[%']]]+Tab_Process_TCs2527[[#This Row],[TC_O_3_'[%']]]+Tab_Process_TCs2527[[#This Row],[TC_O_2_'[%']]]+Tab_Process_TCs2527[[#This Row],[TC_O_1_'[%']]]</f>
        <v>1</v>
      </c>
      <c r="BH19" s="12"/>
      <c r="BI19" s="12"/>
      <c r="BJ19" s="12"/>
      <c r="BK19" s="12"/>
      <c r="BL19" s="12"/>
    </row>
    <row r="20" spans="1:64" x14ac:dyDescent="0.25">
      <c r="A20" s="197" t="b">
        <v>0</v>
      </c>
      <c r="B20" s="10">
        <f t="shared" si="0"/>
        <v>19</v>
      </c>
      <c r="C20" s="49" t="e">
        <f>_xlfn.XLOOKUP($D20,Tab_Process_TCs[Name(EN)],Tab_Process_TCs[Process_ID],,0,)</f>
        <v>#N/A</v>
      </c>
      <c r="D20" s="192" t="s">
        <v>35</v>
      </c>
      <c r="E20" s="192" t="s">
        <v>35</v>
      </c>
      <c r="F20" s="49" t="e">
        <f>_xlfn.XLOOKUP($D20,Tab_Process_TCs[Name(EN)],Tab_Process_TCs[TC?],,0,)</f>
        <v>#N/A</v>
      </c>
      <c r="G20" s="49" t="e">
        <f>_xlfn.XLOOKUP($D20,Tab_Process_TCs[Name(EN)],Tab_Process_TCs[Dyn_TC?],,0,)</f>
        <v>#N/A</v>
      </c>
      <c r="H20" s="10" t="str">
        <f>_xlfn.XLOOKUP($E20,Tab_Def_Flows[Name(EN)],Tab_Def_Flows[Flow_ID],,0,1)</f>
        <v>N.A.</v>
      </c>
      <c r="I20" s="10" t="str">
        <f>IF(Tab_Process_TCs2527[[#This Row],[Name(EN)]]="N.A.","N.A.","TC"&amp;"_"&amp;RIGHT(H20,5))</f>
        <v>N.A.</v>
      </c>
      <c r="J20" s="12"/>
      <c r="K20" s="186"/>
      <c r="L20" s="10"/>
      <c r="M20" s="17" t="e">
        <f>_xlfn.XLOOKUP($D20,Tab_Def_Processes[Name(EN)],Tab_Def_Processes[Input_Flow_I_1],,0,)</f>
        <v>#N/A</v>
      </c>
      <c r="N20" s="10" t="e">
        <f>_xlfn.XLOOKUP($D20,Tab_Def_Processes[Name(EN)],Tab_Def_Processes[Flow_ID_I_1],,0,)</f>
        <v>#N/A</v>
      </c>
      <c r="O20" s="34"/>
      <c r="P20" s="30" t="e">
        <f>_xlfn.XLOOKUP($D20,Tab_Def_Processes[Name(EN)],Tab_Def_Processes[Input_Flow_I_2],,0,)</f>
        <v>#N/A</v>
      </c>
      <c r="Q20" s="10" t="e">
        <f>_xlfn.XLOOKUP($D20,Tab_Def_Processes[Name(EN)],Tab_Def_Processes[Flow_ID_I_2],,0,)</f>
        <v>#N/A</v>
      </c>
      <c r="R20" s="34"/>
      <c r="S20" s="30" t="e">
        <f>_xlfn.XLOOKUP($D20,Tab_Def_Processes[Name(EN)],Tab_Def_Processes[Input_Flow_I_3],,0,)</f>
        <v>#N/A</v>
      </c>
      <c r="T20" s="10" t="e">
        <f>_xlfn.XLOOKUP($D20,Tab_Def_Processes[Name(EN)],Tab_Def_Processes[Flow_ID_I_3],,0,)</f>
        <v>#N/A</v>
      </c>
      <c r="U20" s="34"/>
      <c r="V20" s="30" t="e">
        <f>_xlfn.XLOOKUP($D20,Tab_Def_Processes[Name(EN)],Tab_Def_Processes[Input_Flow_I_4],,0,)</f>
        <v>#N/A</v>
      </c>
      <c r="W20" s="10" t="e">
        <f>_xlfn.XLOOKUP($D20,Tab_Def_Processes[Name(EN)],Tab_Def_Processes[Flow_ID_I_4],,0,)</f>
        <v>#N/A</v>
      </c>
      <c r="X20" s="34"/>
      <c r="Y20" s="30" t="e">
        <f>_xlfn.XLOOKUP($D20,Tab_Def_Processes[Name(EN)],Tab_Def_Processes[Input_Flow_I_5],,0,)</f>
        <v>#N/A</v>
      </c>
      <c r="Z20" s="10" t="e">
        <f>_xlfn.XLOOKUP($D20,Tab_Def_Processes[Name(EN)],Tab_Def_Processes[Flow_ID_I_5],,0,)</f>
        <v>#N/A</v>
      </c>
      <c r="AA20" s="34"/>
      <c r="AB20" s="33">
        <f>Tab_Process_TCs2527[[#This Row],[Flow_TC_I_1_'[%']]]+Tab_Process_TCs2527[[#This Row],[Flow_TC_I_2_'[%']]]+Tab_Process_TCs2527[[#This Row],[Flow_TC_I_3_'[%']]]+Tab_Process_TCs2527[[#This Row],[Flow_TC_I_4_'[%']]]+Tab_Process_TCs2527[[#This Row],[Flow_TC_I_5_'[%']]]</f>
        <v>0</v>
      </c>
      <c r="AC20" s="17" t="e">
        <f>_xlfn.XLOOKUP($D20,#REF!,#REF!,,0,)</f>
        <v>#REF!</v>
      </c>
      <c r="AD20" s="10" t="e">
        <f>_xlfn.XLOOKUP($D20,#REF!,#REF!,,0,)</f>
        <v>#REF!</v>
      </c>
      <c r="AE20" s="44" t="str">
        <f>Tab_Process_TCs2527[[#This Row],[Flow_ID]]</f>
        <v>N.A.</v>
      </c>
      <c r="AF20" s="10" t="e">
        <f t="shared" si="1"/>
        <v>#REF!</v>
      </c>
      <c r="AG20" s="51">
        <v>0.5</v>
      </c>
      <c r="AH20" s="171" t="e">
        <f>_xlfn.XLOOKUP($D20,#REF!,#REF!,,0,)</f>
        <v>#REF!</v>
      </c>
      <c r="AI20" s="55" t="e">
        <f>_xlfn.XLOOKUP($D20,#REF!,#REF!,,0,)</f>
        <v>#REF!</v>
      </c>
      <c r="AJ20" s="44" t="str">
        <f>Tab_Process_TCs2527[[#This Row],[Flow_ID]]</f>
        <v>N.A.</v>
      </c>
      <c r="AK20" s="10" t="e">
        <f t="shared" si="2"/>
        <v>#REF!</v>
      </c>
      <c r="AL20" s="179">
        <v>0.2</v>
      </c>
      <c r="AM20" s="17" t="e">
        <f>_xlfn.XLOOKUP($D20,#REF!,#REF!,,0,)</f>
        <v>#REF!</v>
      </c>
      <c r="AN20" s="10" t="e">
        <f>_xlfn.XLOOKUP($D20,#REF!,#REF!,,0,)</f>
        <v>#REF!</v>
      </c>
      <c r="AO20" s="44" t="str">
        <f>Tab_Process_TCs2527[[#This Row],[Flow_ID]]</f>
        <v>N.A.</v>
      </c>
      <c r="AP20" s="10" t="e">
        <f t="shared" si="3"/>
        <v>#REF!</v>
      </c>
      <c r="AQ20" s="170">
        <v>0.3</v>
      </c>
      <c r="AR20" s="17" t="e">
        <f>_xlfn.XLOOKUP($D20,#REF!,#REF!,,0,)</f>
        <v>#REF!</v>
      </c>
      <c r="AS20" s="10" t="e">
        <f>_xlfn.XLOOKUP($D20,#REF!,#REF!,,0,)</f>
        <v>#REF!</v>
      </c>
      <c r="AT20" s="44" t="str">
        <f>Tab_Process_TCs2527[[#This Row],[Flow_ID]]</f>
        <v>N.A.</v>
      </c>
      <c r="AU20" s="44" t="e">
        <f t="shared" si="4"/>
        <v>#REF!</v>
      </c>
      <c r="AV20" s="170"/>
      <c r="AW20" s="17" t="e">
        <f>_xlfn.XLOOKUP($D20,#REF!,#REF!,,0,)</f>
        <v>#REF!</v>
      </c>
      <c r="AX20" s="10" t="e">
        <f>_xlfn.XLOOKUP($D20,#REF!,#REF!,,0,)</f>
        <v>#REF!</v>
      </c>
      <c r="AY20" s="44" t="str">
        <f>Tab_Process_TCs2527[[#This Row],[Flow_ID]]</f>
        <v>N.A.</v>
      </c>
      <c r="AZ20" s="44" t="e">
        <f t="shared" si="5"/>
        <v>#REF!</v>
      </c>
      <c r="BA20" s="170"/>
      <c r="BB20" s="10" t="e">
        <f>_xlfn.XLOOKUP($D20,#REF!,#REF!,,0,)</f>
        <v>#REF!</v>
      </c>
      <c r="BC20" s="10" t="e">
        <f>_xlfn.XLOOKUP($D20,#REF!,#REF!,,0,)</f>
        <v>#REF!</v>
      </c>
      <c r="BD20" s="44" t="str">
        <f>Tab_Process_TCs2527[[#This Row],[Flow_ID]]</f>
        <v>N.A.</v>
      </c>
      <c r="BE20" s="44" t="e">
        <f t="shared" si="6"/>
        <v>#REF!</v>
      </c>
      <c r="BF20" s="51"/>
      <c r="BG20" s="54">
        <f>Tab_Process_TCs2527[[#This Row],[TC O_6_'[%']]]+Tab_Process_TCs2527[[#This Row],[TC O_5_'[%']]]+Tab_Process_TCs2527[[#This Row],[TC_O_4_'[%']]]+Tab_Process_TCs2527[[#This Row],[TC_O_3_'[%']]]+Tab_Process_TCs2527[[#This Row],[TC_O_2_'[%']]]+Tab_Process_TCs2527[[#This Row],[TC_O_1_'[%']]]</f>
        <v>1</v>
      </c>
      <c r="BH20" s="12"/>
      <c r="BI20" s="12"/>
      <c r="BJ20" s="12"/>
      <c r="BK20" s="12"/>
      <c r="BL20" s="12"/>
    </row>
    <row r="21" spans="1:64" x14ac:dyDescent="0.25">
      <c r="A21" s="197" t="b">
        <v>0</v>
      </c>
      <c r="B21" s="10">
        <f t="shared" si="0"/>
        <v>20</v>
      </c>
      <c r="C21" s="49" t="e">
        <f>_xlfn.XLOOKUP($D21,Tab_Process_TCs[Name(EN)],Tab_Process_TCs[Process_ID],,0,)</f>
        <v>#N/A</v>
      </c>
      <c r="D21" s="192" t="s">
        <v>35</v>
      </c>
      <c r="E21" s="192" t="s">
        <v>35</v>
      </c>
      <c r="F21" s="49" t="e">
        <f>_xlfn.XLOOKUP($D21,Tab_Process_TCs[Name(EN)],Tab_Process_TCs[TC?],,0,)</f>
        <v>#N/A</v>
      </c>
      <c r="G21" s="49" t="e">
        <f>_xlfn.XLOOKUP($D21,Tab_Process_TCs[Name(EN)],Tab_Process_TCs[Dyn_TC?],,0,)</f>
        <v>#N/A</v>
      </c>
      <c r="H21" s="10" t="str">
        <f>_xlfn.XLOOKUP($E21,Tab_Def_Flows[Name(EN)],Tab_Def_Flows[Flow_ID],,0,1)</f>
        <v>N.A.</v>
      </c>
      <c r="I21" s="10" t="str">
        <f>IF(Tab_Process_TCs2527[[#This Row],[Name(EN)]]="N.A.","N.A.","TC"&amp;"_"&amp;RIGHT(H21,5))</f>
        <v>N.A.</v>
      </c>
      <c r="J21" s="12"/>
      <c r="K21" s="186"/>
      <c r="L21" s="10"/>
      <c r="M21" s="17" t="e">
        <f>_xlfn.XLOOKUP($D21,Tab_Def_Processes[Name(EN)],Tab_Def_Processes[Input_Flow_I_1],,0,)</f>
        <v>#N/A</v>
      </c>
      <c r="N21" s="10" t="e">
        <f>_xlfn.XLOOKUP($D21,Tab_Def_Processes[Name(EN)],Tab_Def_Processes[Flow_ID_I_1],,0,)</f>
        <v>#N/A</v>
      </c>
      <c r="O21" s="34"/>
      <c r="P21" s="30" t="e">
        <f>_xlfn.XLOOKUP($D21,Tab_Def_Processes[Name(EN)],Tab_Def_Processes[Input_Flow_I_2],,0,)</f>
        <v>#N/A</v>
      </c>
      <c r="Q21" s="10" t="e">
        <f>_xlfn.XLOOKUP($D21,Tab_Def_Processes[Name(EN)],Tab_Def_Processes[Flow_ID_I_2],,0,)</f>
        <v>#N/A</v>
      </c>
      <c r="R21" s="34"/>
      <c r="S21" s="30" t="e">
        <f>_xlfn.XLOOKUP($D21,Tab_Def_Processes[Name(EN)],Tab_Def_Processes[Input_Flow_I_3],,0,)</f>
        <v>#N/A</v>
      </c>
      <c r="T21" s="10" t="e">
        <f>_xlfn.XLOOKUP($D21,Tab_Def_Processes[Name(EN)],Tab_Def_Processes[Flow_ID_I_3],,0,)</f>
        <v>#N/A</v>
      </c>
      <c r="U21" s="34"/>
      <c r="V21" s="30" t="e">
        <f>_xlfn.XLOOKUP($D21,Tab_Def_Processes[Name(EN)],Tab_Def_Processes[Input_Flow_I_4],,0,)</f>
        <v>#N/A</v>
      </c>
      <c r="W21" s="10" t="e">
        <f>_xlfn.XLOOKUP($D21,Tab_Def_Processes[Name(EN)],Tab_Def_Processes[Flow_ID_I_4],,0,)</f>
        <v>#N/A</v>
      </c>
      <c r="X21" s="34"/>
      <c r="Y21" s="30" t="e">
        <f>_xlfn.XLOOKUP($D21,Tab_Def_Processes[Name(EN)],Tab_Def_Processes[Input_Flow_I_5],,0,)</f>
        <v>#N/A</v>
      </c>
      <c r="Z21" s="10" t="e">
        <f>_xlfn.XLOOKUP($D21,Tab_Def_Processes[Name(EN)],Tab_Def_Processes[Flow_ID_I_5],,0,)</f>
        <v>#N/A</v>
      </c>
      <c r="AA21" s="34"/>
      <c r="AB21" s="33">
        <f>Tab_Process_TCs2527[[#This Row],[Flow_TC_I_1_'[%']]]+Tab_Process_TCs2527[[#This Row],[Flow_TC_I_2_'[%']]]+Tab_Process_TCs2527[[#This Row],[Flow_TC_I_3_'[%']]]+Tab_Process_TCs2527[[#This Row],[Flow_TC_I_4_'[%']]]+Tab_Process_TCs2527[[#This Row],[Flow_TC_I_5_'[%']]]</f>
        <v>0</v>
      </c>
      <c r="AC21" s="17" t="e">
        <f>_xlfn.XLOOKUP($D21,#REF!,#REF!,,0,)</f>
        <v>#REF!</v>
      </c>
      <c r="AD21" s="10" t="e">
        <f>_xlfn.XLOOKUP($D21,#REF!,#REF!,,0,)</f>
        <v>#REF!</v>
      </c>
      <c r="AE21" s="44" t="str">
        <f>Tab_Process_TCs2527[[#This Row],[Flow_ID]]</f>
        <v>N.A.</v>
      </c>
      <c r="AF21" s="10" t="e">
        <f t="shared" si="1"/>
        <v>#REF!</v>
      </c>
      <c r="AG21" s="51">
        <v>0.5</v>
      </c>
      <c r="AH21" s="171" t="e">
        <f>_xlfn.XLOOKUP($D21,#REF!,#REF!,,0,)</f>
        <v>#REF!</v>
      </c>
      <c r="AI21" s="55" t="e">
        <f>_xlfn.XLOOKUP($D21,#REF!,#REF!,,0,)</f>
        <v>#REF!</v>
      </c>
      <c r="AJ21" s="44" t="str">
        <f>Tab_Process_TCs2527[[#This Row],[Flow_ID]]</f>
        <v>N.A.</v>
      </c>
      <c r="AK21" s="10" t="e">
        <f t="shared" si="2"/>
        <v>#REF!</v>
      </c>
      <c r="AL21" s="179">
        <v>0.2</v>
      </c>
      <c r="AM21" s="17" t="e">
        <f>_xlfn.XLOOKUP($D21,#REF!,#REF!,,0,)</f>
        <v>#REF!</v>
      </c>
      <c r="AN21" s="10" t="e">
        <f>_xlfn.XLOOKUP($D21,#REF!,#REF!,,0,)</f>
        <v>#REF!</v>
      </c>
      <c r="AO21" s="44" t="str">
        <f>Tab_Process_TCs2527[[#This Row],[Flow_ID]]</f>
        <v>N.A.</v>
      </c>
      <c r="AP21" s="10" t="e">
        <f t="shared" si="3"/>
        <v>#REF!</v>
      </c>
      <c r="AQ21" s="170">
        <v>0.3</v>
      </c>
      <c r="AR21" s="17" t="e">
        <f>_xlfn.XLOOKUP($D21,#REF!,#REF!,,0,)</f>
        <v>#REF!</v>
      </c>
      <c r="AS21" s="10" t="e">
        <f>_xlfn.XLOOKUP($D21,#REF!,#REF!,,0,)</f>
        <v>#REF!</v>
      </c>
      <c r="AT21" s="44" t="str">
        <f>Tab_Process_TCs2527[[#This Row],[Flow_ID]]</f>
        <v>N.A.</v>
      </c>
      <c r="AU21" s="44" t="e">
        <f t="shared" si="4"/>
        <v>#REF!</v>
      </c>
      <c r="AV21" s="170"/>
      <c r="AW21" s="17" t="e">
        <f>_xlfn.XLOOKUP($D21,#REF!,#REF!,,0,)</f>
        <v>#REF!</v>
      </c>
      <c r="AX21" s="10" t="e">
        <f>_xlfn.XLOOKUP($D21,#REF!,#REF!,,0,)</f>
        <v>#REF!</v>
      </c>
      <c r="AY21" s="44" t="str">
        <f>Tab_Process_TCs2527[[#This Row],[Flow_ID]]</f>
        <v>N.A.</v>
      </c>
      <c r="AZ21" s="44" t="e">
        <f t="shared" si="5"/>
        <v>#REF!</v>
      </c>
      <c r="BA21" s="170"/>
      <c r="BB21" s="10" t="e">
        <f>_xlfn.XLOOKUP($D21,#REF!,#REF!,,0,)</f>
        <v>#REF!</v>
      </c>
      <c r="BC21" s="10" t="e">
        <f>_xlfn.XLOOKUP($D21,#REF!,#REF!,,0,)</f>
        <v>#REF!</v>
      </c>
      <c r="BD21" s="44" t="str">
        <f>Tab_Process_TCs2527[[#This Row],[Flow_ID]]</f>
        <v>N.A.</v>
      </c>
      <c r="BE21" s="44" t="e">
        <f t="shared" si="6"/>
        <v>#REF!</v>
      </c>
      <c r="BF21" s="51"/>
      <c r="BG21" s="54">
        <f>Tab_Process_TCs2527[[#This Row],[TC O_6_'[%']]]+Tab_Process_TCs2527[[#This Row],[TC O_5_'[%']]]+Tab_Process_TCs2527[[#This Row],[TC_O_4_'[%']]]+Tab_Process_TCs2527[[#This Row],[TC_O_3_'[%']]]+Tab_Process_TCs2527[[#This Row],[TC_O_2_'[%']]]+Tab_Process_TCs2527[[#This Row],[TC_O_1_'[%']]]</f>
        <v>1</v>
      </c>
      <c r="BH21" s="12"/>
      <c r="BI21" s="12"/>
      <c r="BJ21" s="12"/>
      <c r="BK21" s="12"/>
      <c r="BL21" s="12"/>
    </row>
    <row r="22" spans="1:64" x14ac:dyDescent="0.25">
      <c r="A22" s="197" t="b">
        <v>0</v>
      </c>
      <c r="B22" s="10">
        <f t="shared" si="0"/>
        <v>21</v>
      </c>
      <c r="C22" s="49" t="e">
        <f>_xlfn.XLOOKUP($D22,Tab_Process_TCs[Name(EN)],Tab_Process_TCs[Process_ID],,0,)</f>
        <v>#N/A</v>
      </c>
      <c r="D22" s="192" t="s">
        <v>35</v>
      </c>
      <c r="E22" s="192" t="s">
        <v>35</v>
      </c>
      <c r="F22" s="49" t="e">
        <f>_xlfn.XLOOKUP($D22,Tab_Process_TCs[Name(EN)],Tab_Process_TCs[TC?],,0,)</f>
        <v>#N/A</v>
      </c>
      <c r="G22" s="49" t="e">
        <f>_xlfn.XLOOKUP($D22,Tab_Process_TCs[Name(EN)],Tab_Process_TCs[Dyn_TC?],,0,)</f>
        <v>#N/A</v>
      </c>
      <c r="H22" s="10" t="str">
        <f>_xlfn.XLOOKUP($E22,Tab_Def_Flows[Name(EN)],Tab_Def_Flows[Flow_ID],,0,1)</f>
        <v>N.A.</v>
      </c>
      <c r="I22" s="10" t="str">
        <f>IF(Tab_Process_TCs2527[[#This Row],[Name(EN)]]="N.A.","N.A.","TC"&amp;"_"&amp;RIGHT(H22,5))</f>
        <v>N.A.</v>
      </c>
      <c r="J22" s="12"/>
      <c r="K22" s="186"/>
      <c r="L22" s="10"/>
      <c r="M22" s="17" t="e">
        <f>_xlfn.XLOOKUP($D22,Tab_Def_Processes[Name(EN)],Tab_Def_Processes[Input_Flow_I_1],,0,)</f>
        <v>#N/A</v>
      </c>
      <c r="N22" s="10" t="e">
        <f>_xlfn.XLOOKUP($D22,Tab_Def_Processes[Name(EN)],Tab_Def_Processes[Flow_ID_I_1],,0,)</f>
        <v>#N/A</v>
      </c>
      <c r="O22" s="34"/>
      <c r="P22" s="30" t="e">
        <f>_xlfn.XLOOKUP($D22,Tab_Def_Processes[Name(EN)],Tab_Def_Processes[Input_Flow_I_2],,0,)</f>
        <v>#N/A</v>
      </c>
      <c r="Q22" s="10" t="e">
        <f>_xlfn.XLOOKUP($D22,Tab_Def_Processes[Name(EN)],Tab_Def_Processes[Flow_ID_I_2],,0,)</f>
        <v>#N/A</v>
      </c>
      <c r="R22" s="34"/>
      <c r="S22" s="30" t="e">
        <f>_xlfn.XLOOKUP($D22,Tab_Def_Processes[Name(EN)],Tab_Def_Processes[Input_Flow_I_3],,0,)</f>
        <v>#N/A</v>
      </c>
      <c r="T22" s="10" t="e">
        <f>_xlfn.XLOOKUP($D22,Tab_Def_Processes[Name(EN)],Tab_Def_Processes[Flow_ID_I_3],,0,)</f>
        <v>#N/A</v>
      </c>
      <c r="U22" s="34"/>
      <c r="V22" s="30" t="e">
        <f>_xlfn.XLOOKUP($D22,Tab_Def_Processes[Name(EN)],Tab_Def_Processes[Input_Flow_I_4],,0,)</f>
        <v>#N/A</v>
      </c>
      <c r="W22" s="10" t="e">
        <f>_xlfn.XLOOKUP($D22,Tab_Def_Processes[Name(EN)],Tab_Def_Processes[Flow_ID_I_4],,0,)</f>
        <v>#N/A</v>
      </c>
      <c r="X22" s="34"/>
      <c r="Y22" s="30" t="e">
        <f>_xlfn.XLOOKUP($D22,Tab_Def_Processes[Name(EN)],Tab_Def_Processes[Input_Flow_I_5],,0,)</f>
        <v>#N/A</v>
      </c>
      <c r="Z22" s="10" t="e">
        <f>_xlfn.XLOOKUP($D22,Tab_Def_Processes[Name(EN)],Tab_Def_Processes[Flow_ID_I_5],,0,)</f>
        <v>#N/A</v>
      </c>
      <c r="AA22" s="34"/>
      <c r="AB22" s="33">
        <f>Tab_Process_TCs2527[[#This Row],[Flow_TC_I_1_'[%']]]+Tab_Process_TCs2527[[#This Row],[Flow_TC_I_2_'[%']]]+Tab_Process_TCs2527[[#This Row],[Flow_TC_I_3_'[%']]]+Tab_Process_TCs2527[[#This Row],[Flow_TC_I_4_'[%']]]+Tab_Process_TCs2527[[#This Row],[Flow_TC_I_5_'[%']]]</f>
        <v>0</v>
      </c>
      <c r="AC22" s="17" t="e">
        <f>_xlfn.XLOOKUP($D22,#REF!,#REF!,,0,)</f>
        <v>#REF!</v>
      </c>
      <c r="AD22" s="10" t="e">
        <f>_xlfn.XLOOKUP($D22,#REF!,#REF!,,0,)</f>
        <v>#REF!</v>
      </c>
      <c r="AE22" s="44" t="str">
        <f>Tab_Process_TCs2527[[#This Row],[Flow_ID]]</f>
        <v>N.A.</v>
      </c>
      <c r="AF22" s="10" t="e">
        <f t="shared" si="1"/>
        <v>#REF!</v>
      </c>
      <c r="AG22" s="51">
        <v>0.5</v>
      </c>
      <c r="AH22" s="171" t="e">
        <f>_xlfn.XLOOKUP($D22,#REF!,#REF!,,0,)</f>
        <v>#REF!</v>
      </c>
      <c r="AI22" s="55" t="e">
        <f>_xlfn.XLOOKUP($D22,#REF!,#REF!,,0,)</f>
        <v>#REF!</v>
      </c>
      <c r="AJ22" s="44" t="str">
        <f>Tab_Process_TCs2527[[#This Row],[Flow_ID]]</f>
        <v>N.A.</v>
      </c>
      <c r="AK22" s="10" t="e">
        <f t="shared" si="2"/>
        <v>#REF!</v>
      </c>
      <c r="AL22" s="170">
        <v>0.2</v>
      </c>
      <c r="AM22" s="17" t="e">
        <f>_xlfn.XLOOKUP($D22,#REF!,#REF!,,0,)</f>
        <v>#REF!</v>
      </c>
      <c r="AN22" s="10" t="e">
        <f>_xlfn.XLOOKUP($D22,#REF!,#REF!,,0,)</f>
        <v>#REF!</v>
      </c>
      <c r="AO22" s="44" t="str">
        <f>Tab_Process_TCs2527[[#This Row],[Flow_ID]]</f>
        <v>N.A.</v>
      </c>
      <c r="AP22" s="10" t="e">
        <f t="shared" si="3"/>
        <v>#REF!</v>
      </c>
      <c r="AQ22" s="170">
        <v>0.3</v>
      </c>
      <c r="AR22" s="17" t="e">
        <f>_xlfn.XLOOKUP($D22,#REF!,#REF!,,0,)</f>
        <v>#REF!</v>
      </c>
      <c r="AS22" s="10" t="e">
        <f>_xlfn.XLOOKUP($D22,#REF!,#REF!,,0,)</f>
        <v>#REF!</v>
      </c>
      <c r="AT22" s="44" t="str">
        <f>Tab_Process_TCs2527[[#This Row],[Flow_ID]]</f>
        <v>N.A.</v>
      </c>
      <c r="AU22" s="44" t="e">
        <f t="shared" si="4"/>
        <v>#REF!</v>
      </c>
      <c r="AV22" s="170"/>
      <c r="AW22" s="17" t="e">
        <f>_xlfn.XLOOKUP($D22,#REF!,#REF!,,0,)</f>
        <v>#REF!</v>
      </c>
      <c r="AX22" s="10" t="e">
        <f>_xlfn.XLOOKUP($D22,#REF!,#REF!,,0,)</f>
        <v>#REF!</v>
      </c>
      <c r="AY22" s="44" t="str">
        <f>Tab_Process_TCs2527[[#This Row],[Flow_ID]]</f>
        <v>N.A.</v>
      </c>
      <c r="AZ22" s="44" t="e">
        <f t="shared" si="5"/>
        <v>#REF!</v>
      </c>
      <c r="BA22" s="170"/>
      <c r="BB22" s="10" t="e">
        <f>_xlfn.XLOOKUP($D22,#REF!,#REF!,,0,)</f>
        <v>#REF!</v>
      </c>
      <c r="BC22" s="10" t="e">
        <f>_xlfn.XLOOKUP($D22,#REF!,#REF!,,0,)</f>
        <v>#REF!</v>
      </c>
      <c r="BD22" s="44" t="str">
        <f>Tab_Process_TCs2527[[#This Row],[Flow_ID]]</f>
        <v>N.A.</v>
      </c>
      <c r="BE22" s="44" t="e">
        <f t="shared" si="6"/>
        <v>#REF!</v>
      </c>
      <c r="BF22" s="51"/>
      <c r="BG22" s="54">
        <f>Tab_Process_TCs2527[[#This Row],[TC O_6_'[%']]]+Tab_Process_TCs2527[[#This Row],[TC O_5_'[%']]]+Tab_Process_TCs2527[[#This Row],[TC_O_4_'[%']]]+Tab_Process_TCs2527[[#This Row],[TC_O_3_'[%']]]+Tab_Process_TCs2527[[#This Row],[TC_O_2_'[%']]]+Tab_Process_TCs2527[[#This Row],[TC_O_1_'[%']]]</f>
        <v>1</v>
      </c>
      <c r="BH22" s="12"/>
      <c r="BI22" s="12"/>
      <c r="BJ22" s="12"/>
      <c r="BK22" s="12"/>
      <c r="BL22" s="12"/>
    </row>
    <row r="23" spans="1:64" x14ac:dyDescent="0.25">
      <c r="A23" s="197" t="b">
        <v>0</v>
      </c>
      <c r="B23" s="10">
        <f t="shared" si="0"/>
        <v>22</v>
      </c>
      <c r="C23" s="49" t="e">
        <f>_xlfn.XLOOKUP($D23,Tab_Process_TCs[Name(EN)],Tab_Process_TCs[Process_ID],,0,)</f>
        <v>#N/A</v>
      </c>
      <c r="D23" s="192" t="s">
        <v>35</v>
      </c>
      <c r="E23" s="192" t="s">
        <v>35</v>
      </c>
      <c r="F23" s="49" t="e">
        <f>_xlfn.XLOOKUP($D23,Tab_Process_TCs[Name(EN)],Tab_Process_TCs[TC?],,0,)</f>
        <v>#N/A</v>
      </c>
      <c r="G23" s="49" t="e">
        <f>_xlfn.XLOOKUP($D23,Tab_Process_TCs[Name(EN)],Tab_Process_TCs[Dyn_TC?],,0,)</f>
        <v>#N/A</v>
      </c>
      <c r="H23" s="10" t="str">
        <f>_xlfn.XLOOKUP($E23,Tab_Def_Flows[Name(EN)],Tab_Def_Flows[Flow_ID],,0,1)</f>
        <v>N.A.</v>
      </c>
      <c r="I23" s="10" t="str">
        <f>IF(Tab_Process_TCs2527[[#This Row],[Name(EN)]]="N.A.","N.A.","TC"&amp;"_"&amp;RIGHT(H23,5))</f>
        <v>N.A.</v>
      </c>
      <c r="J23" s="12"/>
      <c r="K23" s="186"/>
      <c r="L23" s="10"/>
      <c r="M23" s="17" t="e">
        <f>_xlfn.XLOOKUP($D23,Tab_Def_Processes[Name(EN)],Tab_Def_Processes[Input_Flow_I_1],,0,)</f>
        <v>#N/A</v>
      </c>
      <c r="N23" s="10" t="e">
        <f>_xlfn.XLOOKUP($D23,Tab_Def_Processes[Name(EN)],Tab_Def_Processes[Flow_ID_I_1],,0,)</f>
        <v>#N/A</v>
      </c>
      <c r="O23" s="34"/>
      <c r="P23" s="30" t="e">
        <f>_xlfn.XLOOKUP($D23,Tab_Def_Processes[Name(EN)],Tab_Def_Processes[Input_Flow_I_2],,0,)</f>
        <v>#N/A</v>
      </c>
      <c r="Q23" s="10" t="e">
        <f>_xlfn.XLOOKUP($D23,Tab_Def_Processes[Name(EN)],Tab_Def_Processes[Flow_ID_I_2],,0,)</f>
        <v>#N/A</v>
      </c>
      <c r="R23" s="34"/>
      <c r="S23" s="30" t="e">
        <f>_xlfn.XLOOKUP($D23,Tab_Def_Processes[Name(EN)],Tab_Def_Processes[Input_Flow_I_3],,0,)</f>
        <v>#N/A</v>
      </c>
      <c r="T23" s="10" t="e">
        <f>_xlfn.XLOOKUP($D23,Tab_Def_Processes[Name(EN)],Tab_Def_Processes[Flow_ID_I_3],,0,)</f>
        <v>#N/A</v>
      </c>
      <c r="U23" s="34"/>
      <c r="V23" s="30" t="e">
        <f>_xlfn.XLOOKUP($D23,Tab_Def_Processes[Name(EN)],Tab_Def_Processes[Input_Flow_I_4],,0,)</f>
        <v>#N/A</v>
      </c>
      <c r="W23" s="10" t="e">
        <f>_xlfn.XLOOKUP($D23,Tab_Def_Processes[Name(EN)],Tab_Def_Processes[Flow_ID_I_4],,0,)</f>
        <v>#N/A</v>
      </c>
      <c r="X23" s="34"/>
      <c r="Y23" s="30" t="e">
        <f>_xlfn.XLOOKUP($D23,Tab_Def_Processes[Name(EN)],Tab_Def_Processes[Input_Flow_I_5],,0,)</f>
        <v>#N/A</v>
      </c>
      <c r="Z23" s="10" t="e">
        <f>_xlfn.XLOOKUP($D23,Tab_Def_Processes[Name(EN)],Tab_Def_Processes[Flow_ID_I_5],,0,)</f>
        <v>#N/A</v>
      </c>
      <c r="AA23" s="34"/>
      <c r="AB23" s="33">
        <f>Tab_Process_TCs2527[[#This Row],[Flow_TC_I_1_'[%']]]+Tab_Process_TCs2527[[#This Row],[Flow_TC_I_2_'[%']]]+Tab_Process_TCs2527[[#This Row],[Flow_TC_I_3_'[%']]]+Tab_Process_TCs2527[[#This Row],[Flow_TC_I_4_'[%']]]+Tab_Process_TCs2527[[#This Row],[Flow_TC_I_5_'[%']]]</f>
        <v>0</v>
      </c>
      <c r="AC23" s="17" t="e">
        <f>_xlfn.XLOOKUP($D23,#REF!,#REF!,,0,)</f>
        <v>#REF!</v>
      </c>
      <c r="AD23" s="10" t="e">
        <f>_xlfn.XLOOKUP($D23,#REF!,#REF!,,0,)</f>
        <v>#REF!</v>
      </c>
      <c r="AE23" s="44" t="str">
        <f>Tab_Process_TCs2527[[#This Row],[Flow_ID]]</f>
        <v>N.A.</v>
      </c>
      <c r="AF23" s="10" t="e">
        <f t="shared" si="1"/>
        <v>#REF!</v>
      </c>
      <c r="AG23" s="51">
        <v>0.5</v>
      </c>
      <c r="AH23" s="171" t="e">
        <f>_xlfn.XLOOKUP($D23,#REF!,#REF!,,0,)</f>
        <v>#REF!</v>
      </c>
      <c r="AI23" s="55" t="e">
        <f>_xlfn.XLOOKUP($D23,#REF!,#REF!,,0,)</f>
        <v>#REF!</v>
      </c>
      <c r="AJ23" s="44" t="str">
        <f>Tab_Process_TCs2527[[#This Row],[Flow_ID]]</f>
        <v>N.A.</v>
      </c>
      <c r="AK23" s="10" t="e">
        <f t="shared" si="2"/>
        <v>#REF!</v>
      </c>
      <c r="AL23" s="170">
        <v>0.2</v>
      </c>
      <c r="AM23" s="17" t="e">
        <f>_xlfn.XLOOKUP($D23,#REF!,#REF!,,0,)</f>
        <v>#REF!</v>
      </c>
      <c r="AN23" s="10" t="e">
        <f>_xlfn.XLOOKUP($D23,#REF!,#REF!,,0,)</f>
        <v>#REF!</v>
      </c>
      <c r="AO23" s="44" t="str">
        <f>Tab_Process_TCs2527[[#This Row],[Flow_ID]]</f>
        <v>N.A.</v>
      </c>
      <c r="AP23" s="10" t="e">
        <f t="shared" si="3"/>
        <v>#REF!</v>
      </c>
      <c r="AQ23" s="170">
        <v>0.3</v>
      </c>
      <c r="AR23" s="17" t="e">
        <f>_xlfn.XLOOKUP($D23,#REF!,#REF!,,0,)</f>
        <v>#REF!</v>
      </c>
      <c r="AS23" s="10" t="e">
        <f>_xlfn.XLOOKUP($D23,#REF!,#REF!,,0,)</f>
        <v>#REF!</v>
      </c>
      <c r="AT23" s="44" t="str">
        <f>Tab_Process_TCs2527[[#This Row],[Flow_ID]]</f>
        <v>N.A.</v>
      </c>
      <c r="AU23" s="44" t="e">
        <f t="shared" si="4"/>
        <v>#REF!</v>
      </c>
      <c r="AV23" s="170"/>
      <c r="AW23" s="17" t="e">
        <f>_xlfn.XLOOKUP($D23,#REF!,#REF!,,0,)</f>
        <v>#REF!</v>
      </c>
      <c r="AX23" s="10" t="e">
        <f>_xlfn.XLOOKUP($D23,#REF!,#REF!,,0,)</f>
        <v>#REF!</v>
      </c>
      <c r="AY23" s="44" t="str">
        <f>Tab_Process_TCs2527[[#This Row],[Flow_ID]]</f>
        <v>N.A.</v>
      </c>
      <c r="AZ23" s="44" t="e">
        <f t="shared" si="5"/>
        <v>#REF!</v>
      </c>
      <c r="BA23" s="170"/>
      <c r="BB23" s="10" t="e">
        <f>_xlfn.XLOOKUP($D23,#REF!,#REF!,,0,)</f>
        <v>#REF!</v>
      </c>
      <c r="BC23" s="10" t="e">
        <f>_xlfn.XLOOKUP($D23,#REF!,#REF!,,0,)</f>
        <v>#REF!</v>
      </c>
      <c r="BD23" s="44" t="str">
        <f>Tab_Process_TCs2527[[#This Row],[Flow_ID]]</f>
        <v>N.A.</v>
      </c>
      <c r="BE23" s="44" t="e">
        <f t="shared" si="6"/>
        <v>#REF!</v>
      </c>
      <c r="BF23" s="51"/>
      <c r="BG23" s="54">
        <f>Tab_Process_TCs2527[[#This Row],[TC O_6_'[%']]]+Tab_Process_TCs2527[[#This Row],[TC O_5_'[%']]]+Tab_Process_TCs2527[[#This Row],[TC_O_4_'[%']]]+Tab_Process_TCs2527[[#This Row],[TC_O_3_'[%']]]+Tab_Process_TCs2527[[#This Row],[TC_O_2_'[%']]]+Tab_Process_TCs2527[[#This Row],[TC_O_1_'[%']]]</f>
        <v>1</v>
      </c>
      <c r="BH23" s="12"/>
      <c r="BI23" s="12"/>
      <c r="BJ23" s="12"/>
      <c r="BK23" s="12"/>
      <c r="BL23" s="12"/>
    </row>
    <row r="24" spans="1:64" x14ac:dyDescent="0.25">
      <c r="A24" s="197" t="b">
        <v>0</v>
      </c>
      <c r="B24" s="10">
        <f t="shared" si="0"/>
        <v>23</v>
      </c>
      <c r="C24" s="49" t="e">
        <f>_xlfn.XLOOKUP($D24,Tab_Process_TCs[Name(EN)],Tab_Process_TCs[Process_ID],,0,)</f>
        <v>#N/A</v>
      </c>
      <c r="D24" s="192" t="s">
        <v>35</v>
      </c>
      <c r="E24" s="192" t="s">
        <v>35</v>
      </c>
      <c r="F24" s="49" t="e">
        <f>_xlfn.XLOOKUP($D24,Tab_Process_TCs[Name(EN)],Tab_Process_TCs[TC?],,0,)</f>
        <v>#N/A</v>
      </c>
      <c r="G24" s="49" t="e">
        <f>_xlfn.XLOOKUP($D24,Tab_Process_TCs[Name(EN)],Tab_Process_TCs[Dyn_TC?],,0,)</f>
        <v>#N/A</v>
      </c>
      <c r="H24" s="10" t="str">
        <f>_xlfn.XLOOKUP($E24,Tab_Def_Flows[Name(EN)],Tab_Def_Flows[Flow_ID],,0,1)</f>
        <v>N.A.</v>
      </c>
      <c r="I24" s="10" t="str">
        <f>IF(Tab_Process_TCs2527[[#This Row],[Name(EN)]]="N.A.","N.A.","TC"&amp;"_"&amp;RIGHT(H24,5))</f>
        <v>N.A.</v>
      </c>
      <c r="J24" s="12"/>
      <c r="K24" s="186"/>
      <c r="L24" s="10"/>
      <c r="M24" s="17" t="e">
        <f>_xlfn.XLOOKUP($D24,Tab_Def_Processes[Name(EN)],Tab_Def_Processes[Input_Flow_I_1],,0,)</f>
        <v>#N/A</v>
      </c>
      <c r="N24" s="10" t="e">
        <f>_xlfn.XLOOKUP($D24,Tab_Def_Processes[Name(EN)],Tab_Def_Processes[Flow_ID_I_1],,0,)</f>
        <v>#N/A</v>
      </c>
      <c r="O24" s="34"/>
      <c r="P24" s="30" t="e">
        <f>_xlfn.XLOOKUP($D24,Tab_Def_Processes[Name(EN)],Tab_Def_Processes[Input_Flow_I_2],,0,)</f>
        <v>#N/A</v>
      </c>
      <c r="Q24" s="10" t="e">
        <f>_xlfn.XLOOKUP($D24,Tab_Def_Processes[Name(EN)],Tab_Def_Processes[Flow_ID_I_2],,0,)</f>
        <v>#N/A</v>
      </c>
      <c r="R24" s="34"/>
      <c r="S24" s="30" t="e">
        <f>_xlfn.XLOOKUP($D24,Tab_Def_Processes[Name(EN)],Tab_Def_Processes[Input_Flow_I_3],,0,)</f>
        <v>#N/A</v>
      </c>
      <c r="T24" s="10" t="e">
        <f>_xlfn.XLOOKUP($D24,Tab_Def_Processes[Name(EN)],Tab_Def_Processes[Flow_ID_I_3],,0,)</f>
        <v>#N/A</v>
      </c>
      <c r="U24" s="34"/>
      <c r="V24" s="30" t="e">
        <f>_xlfn.XLOOKUP($D24,Tab_Def_Processes[Name(EN)],Tab_Def_Processes[Input_Flow_I_4],,0,)</f>
        <v>#N/A</v>
      </c>
      <c r="W24" s="10" t="e">
        <f>_xlfn.XLOOKUP($D24,Tab_Def_Processes[Name(EN)],Tab_Def_Processes[Flow_ID_I_4],,0,)</f>
        <v>#N/A</v>
      </c>
      <c r="X24" s="34"/>
      <c r="Y24" s="30" t="e">
        <f>_xlfn.XLOOKUP($D24,Tab_Def_Processes[Name(EN)],Tab_Def_Processes[Input_Flow_I_5],,0,)</f>
        <v>#N/A</v>
      </c>
      <c r="Z24" s="10" t="e">
        <f>_xlfn.XLOOKUP($D24,Tab_Def_Processes[Name(EN)],Tab_Def_Processes[Flow_ID_I_5],,0,)</f>
        <v>#N/A</v>
      </c>
      <c r="AA24" s="34"/>
      <c r="AB24" s="33">
        <f>Tab_Process_TCs2527[[#This Row],[Flow_TC_I_1_'[%']]]+Tab_Process_TCs2527[[#This Row],[Flow_TC_I_2_'[%']]]+Tab_Process_TCs2527[[#This Row],[Flow_TC_I_3_'[%']]]+Tab_Process_TCs2527[[#This Row],[Flow_TC_I_4_'[%']]]+Tab_Process_TCs2527[[#This Row],[Flow_TC_I_5_'[%']]]</f>
        <v>0</v>
      </c>
      <c r="AC24" s="17" t="e">
        <f>_xlfn.XLOOKUP($D24,#REF!,#REF!,,0,)</f>
        <v>#REF!</v>
      </c>
      <c r="AD24" s="10" t="e">
        <f>_xlfn.XLOOKUP($D24,#REF!,#REF!,,0,)</f>
        <v>#REF!</v>
      </c>
      <c r="AE24" s="44" t="str">
        <f>Tab_Process_TCs2527[[#This Row],[Flow_ID]]</f>
        <v>N.A.</v>
      </c>
      <c r="AF24" s="10" t="e">
        <f t="shared" si="1"/>
        <v>#REF!</v>
      </c>
      <c r="AG24" s="51">
        <v>0.5</v>
      </c>
      <c r="AH24" s="171" t="e">
        <f>_xlfn.XLOOKUP($D24,#REF!,#REF!,,0,)</f>
        <v>#REF!</v>
      </c>
      <c r="AI24" s="55" t="e">
        <f>_xlfn.XLOOKUP($D24,#REF!,#REF!,,0,)</f>
        <v>#REF!</v>
      </c>
      <c r="AJ24" s="44" t="str">
        <f>Tab_Process_TCs2527[[#This Row],[Flow_ID]]</f>
        <v>N.A.</v>
      </c>
      <c r="AK24" s="10" t="e">
        <f t="shared" si="2"/>
        <v>#REF!</v>
      </c>
      <c r="AL24" s="170">
        <v>0.2</v>
      </c>
      <c r="AM24" s="17" t="e">
        <f>_xlfn.XLOOKUP($D24,#REF!,#REF!,,0,)</f>
        <v>#REF!</v>
      </c>
      <c r="AN24" s="10" t="e">
        <f>_xlfn.XLOOKUP($D24,#REF!,#REF!,,0,)</f>
        <v>#REF!</v>
      </c>
      <c r="AO24" s="44" t="str">
        <f>Tab_Process_TCs2527[[#This Row],[Flow_ID]]</f>
        <v>N.A.</v>
      </c>
      <c r="AP24" s="10" t="e">
        <f t="shared" si="3"/>
        <v>#REF!</v>
      </c>
      <c r="AQ24" s="170">
        <v>0.3</v>
      </c>
      <c r="AR24" s="17" t="e">
        <f>_xlfn.XLOOKUP($D24,#REF!,#REF!,,0,)</f>
        <v>#REF!</v>
      </c>
      <c r="AS24" s="10" t="e">
        <f>_xlfn.XLOOKUP($D24,#REF!,#REF!,,0,)</f>
        <v>#REF!</v>
      </c>
      <c r="AT24" s="44" t="str">
        <f>Tab_Process_TCs2527[[#This Row],[Flow_ID]]</f>
        <v>N.A.</v>
      </c>
      <c r="AU24" s="44" t="e">
        <f t="shared" si="4"/>
        <v>#REF!</v>
      </c>
      <c r="AV24" s="170"/>
      <c r="AW24" s="17" t="e">
        <f>_xlfn.XLOOKUP($D24,#REF!,#REF!,,0,)</f>
        <v>#REF!</v>
      </c>
      <c r="AX24" s="10" t="e">
        <f>_xlfn.XLOOKUP($D24,#REF!,#REF!,,0,)</f>
        <v>#REF!</v>
      </c>
      <c r="AY24" s="44" t="str">
        <f>Tab_Process_TCs2527[[#This Row],[Flow_ID]]</f>
        <v>N.A.</v>
      </c>
      <c r="AZ24" s="44" t="e">
        <f t="shared" si="5"/>
        <v>#REF!</v>
      </c>
      <c r="BA24" s="170"/>
      <c r="BB24" s="10" t="e">
        <f>_xlfn.XLOOKUP($D24,#REF!,#REF!,,0,)</f>
        <v>#REF!</v>
      </c>
      <c r="BC24" s="10" t="e">
        <f>_xlfn.XLOOKUP($D24,#REF!,#REF!,,0,)</f>
        <v>#REF!</v>
      </c>
      <c r="BD24" s="44" t="str">
        <f>Tab_Process_TCs2527[[#This Row],[Flow_ID]]</f>
        <v>N.A.</v>
      </c>
      <c r="BE24" s="44" t="e">
        <f t="shared" si="6"/>
        <v>#REF!</v>
      </c>
      <c r="BF24" s="51"/>
      <c r="BG24" s="54">
        <f>Tab_Process_TCs2527[[#This Row],[TC O_6_'[%']]]+Tab_Process_TCs2527[[#This Row],[TC O_5_'[%']]]+Tab_Process_TCs2527[[#This Row],[TC_O_4_'[%']]]+Tab_Process_TCs2527[[#This Row],[TC_O_3_'[%']]]+Tab_Process_TCs2527[[#This Row],[TC_O_2_'[%']]]+Tab_Process_TCs2527[[#This Row],[TC_O_1_'[%']]]</f>
        <v>1</v>
      </c>
      <c r="BH24" s="12"/>
      <c r="BI24" s="12"/>
      <c r="BJ24" s="12"/>
      <c r="BK24" s="12"/>
      <c r="BL24" s="12"/>
    </row>
    <row r="25" spans="1:64" x14ac:dyDescent="0.25">
      <c r="A25" s="197" t="b">
        <v>0</v>
      </c>
      <c r="B25" s="10">
        <f t="shared" si="0"/>
        <v>24</v>
      </c>
      <c r="C25" s="49" t="e">
        <f>_xlfn.XLOOKUP($D25,Tab_Process_TCs[Name(EN)],Tab_Process_TCs[Process_ID],,0,)</f>
        <v>#N/A</v>
      </c>
      <c r="D25" s="192" t="s">
        <v>35</v>
      </c>
      <c r="E25" s="192" t="s">
        <v>35</v>
      </c>
      <c r="F25" s="49" t="e">
        <f>_xlfn.XLOOKUP($D25,Tab_Process_TCs[Name(EN)],Tab_Process_TCs[TC?],,0,)</f>
        <v>#N/A</v>
      </c>
      <c r="G25" s="49" t="e">
        <f>_xlfn.XLOOKUP($D25,Tab_Process_TCs[Name(EN)],Tab_Process_TCs[Dyn_TC?],,0,)</f>
        <v>#N/A</v>
      </c>
      <c r="H25" s="10" t="str">
        <f>_xlfn.XLOOKUP($E25,Tab_Def_Flows[Name(EN)],Tab_Def_Flows[Flow_ID],,0,1)</f>
        <v>N.A.</v>
      </c>
      <c r="I25" s="10" t="str">
        <f>IF(Tab_Process_TCs2527[[#This Row],[Name(EN)]]="N.A.","N.A.","TC"&amp;"_"&amp;RIGHT(H25,5))</f>
        <v>N.A.</v>
      </c>
      <c r="J25" s="12"/>
      <c r="K25" s="186"/>
      <c r="L25" s="10"/>
      <c r="M25" s="17" t="e">
        <f>_xlfn.XLOOKUP($D25,Tab_Def_Processes[Name(EN)],Tab_Def_Processes[Input_Flow_I_1],,0,)</f>
        <v>#N/A</v>
      </c>
      <c r="N25" s="10" t="e">
        <f>_xlfn.XLOOKUP($D25,Tab_Def_Processes[Name(EN)],Tab_Def_Processes[Flow_ID_I_1],,0,)</f>
        <v>#N/A</v>
      </c>
      <c r="O25" s="34"/>
      <c r="P25" s="30" t="e">
        <f>_xlfn.XLOOKUP($D25,Tab_Def_Processes[Name(EN)],Tab_Def_Processes[Input_Flow_I_2],,0,)</f>
        <v>#N/A</v>
      </c>
      <c r="Q25" s="10" t="e">
        <f>_xlfn.XLOOKUP($D25,Tab_Def_Processes[Name(EN)],Tab_Def_Processes[Flow_ID_I_2],,0,)</f>
        <v>#N/A</v>
      </c>
      <c r="R25" s="34"/>
      <c r="S25" s="30" t="e">
        <f>_xlfn.XLOOKUP($D25,Tab_Def_Processes[Name(EN)],Tab_Def_Processes[Input_Flow_I_3],,0,)</f>
        <v>#N/A</v>
      </c>
      <c r="T25" s="10" t="e">
        <f>_xlfn.XLOOKUP($D25,Tab_Def_Processes[Name(EN)],Tab_Def_Processes[Flow_ID_I_3],,0,)</f>
        <v>#N/A</v>
      </c>
      <c r="U25" s="34"/>
      <c r="V25" s="30" t="e">
        <f>_xlfn.XLOOKUP($D25,Tab_Def_Processes[Name(EN)],Tab_Def_Processes[Input_Flow_I_4],,0,)</f>
        <v>#N/A</v>
      </c>
      <c r="W25" s="10" t="e">
        <f>_xlfn.XLOOKUP($D25,Tab_Def_Processes[Name(EN)],Tab_Def_Processes[Flow_ID_I_4],,0,)</f>
        <v>#N/A</v>
      </c>
      <c r="X25" s="34"/>
      <c r="Y25" s="30" t="e">
        <f>_xlfn.XLOOKUP($D25,Tab_Def_Processes[Name(EN)],Tab_Def_Processes[Input_Flow_I_5],,0,)</f>
        <v>#N/A</v>
      </c>
      <c r="Z25" s="10" t="e">
        <f>_xlfn.XLOOKUP($D25,Tab_Def_Processes[Name(EN)],Tab_Def_Processes[Flow_ID_I_5],,0,)</f>
        <v>#N/A</v>
      </c>
      <c r="AA25" s="34"/>
      <c r="AB25" s="33">
        <f>Tab_Process_TCs2527[[#This Row],[Flow_TC_I_1_'[%']]]+Tab_Process_TCs2527[[#This Row],[Flow_TC_I_2_'[%']]]+Tab_Process_TCs2527[[#This Row],[Flow_TC_I_3_'[%']]]+Tab_Process_TCs2527[[#This Row],[Flow_TC_I_4_'[%']]]+Tab_Process_TCs2527[[#This Row],[Flow_TC_I_5_'[%']]]</f>
        <v>0</v>
      </c>
      <c r="AC25" s="17" t="e">
        <f>_xlfn.XLOOKUP($D25,#REF!,#REF!,,0,)</f>
        <v>#REF!</v>
      </c>
      <c r="AD25" s="10" t="e">
        <f>_xlfn.XLOOKUP($D25,#REF!,#REF!,,0,)</f>
        <v>#REF!</v>
      </c>
      <c r="AE25" s="44" t="str">
        <f>Tab_Process_TCs2527[[#This Row],[Flow_ID]]</f>
        <v>N.A.</v>
      </c>
      <c r="AF25" s="10" t="e">
        <f t="shared" si="1"/>
        <v>#REF!</v>
      </c>
      <c r="AG25" s="51">
        <v>0.5</v>
      </c>
      <c r="AH25" s="171" t="e">
        <f>_xlfn.XLOOKUP($D25,#REF!,#REF!,,0,)</f>
        <v>#REF!</v>
      </c>
      <c r="AI25" s="55" t="e">
        <f>_xlfn.XLOOKUP($D25,#REF!,#REF!,,0,)</f>
        <v>#REF!</v>
      </c>
      <c r="AJ25" s="44" t="str">
        <f>Tab_Process_TCs2527[[#This Row],[Flow_ID]]</f>
        <v>N.A.</v>
      </c>
      <c r="AK25" s="10" t="e">
        <f t="shared" si="2"/>
        <v>#REF!</v>
      </c>
      <c r="AL25" s="170">
        <v>0.2</v>
      </c>
      <c r="AM25" s="17" t="e">
        <f>_xlfn.XLOOKUP($D25,#REF!,#REF!,,0,)</f>
        <v>#REF!</v>
      </c>
      <c r="AN25" s="10" t="e">
        <f>_xlfn.XLOOKUP($D25,#REF!,#REF!,,0,)</f>
        <v>#REF!</v>
      </c>
      <c r="AO25" s="44" t="str">
        <f>Tab_Process_TCs2527[[#This Row],[Flow_ID]]</f>
        <v>N.A.</v>
      </c>
      <c r="AP25" s="10" t="e">
        <f t="shared" si="3"/>
        <v>#REF!</v>
      </c>
      <c r="AQ25" s="170">
        <v>0.3</v>
      </c>
      <c r="AR25" s="17" t="e">
        <f>_xlfn.XLOOKUP($D25,#REF!,#REF!,,0,)</f>
        <v>#REF!</v>
      </c>
      <c r="AS25" s="10" t="e">
        <f>_xlfn.XLOOKUP($D25,#REF!,#REF!,,0,)</f>
        <v>#REF!</v>
      </c>
      <c r="AT25" s="44" t="str">
        <f>Tab_Process_TCs2527[[#This Row],[Flow_ID]]</f>
        <v>N.A.</v>
      </c>
      <c r="AU25" s="44" t="e">
        <f t="shared" si="4"/>
        <v>#REF!</v>
      </c>
      <c r="AV25" s="170"/>
      <c r="AW25" s="17" t="e">
        <f>_xlfn.XLOOKUP($D25,#REF!,#REF!,,0,)</f>
        <v>#REF!</v>
      </c>
      <c r="AX25" s="10" t="e">
        <f>_xlfn.XLOOKUP($D25,#REF!,#REF!,,0,)</f>
        <v>#REF!</v>
      </c>
      <c r="AY25" s="44" t="str">
        <f>Tab_Process_TCs2527[[#This Row],[Flow_ID]]</f>
        <v>N.A.</v>
      </c>
      <c r="AZ25" s="44" t="e">
        <f t="shared" si="5"/>
        <v>#REF!</v>
      </c>
      <c r="BA25" s="170"/>
      <c r="BB25" s="10" t="e">
        <f>_xlfn.XLOOKUP($D25,#REF!,#REF!,,0,)</f>
        <v>#REF!</v>
      </c>
      <c r="BC25" s="10" t="e">
        <f>_xlfn.XLOOKUP($D25,#REF!,#REF!,,0,)</f>
        <v>#REF!</v>
      </c>
      <c r="BD25" s="44" t="str">
        <f>Tab_Process_TCs2527[[#This Row],[Flow_ID]]</f>
        <v>N.A.</v>
      </c>
      <c r="BE25" s="44" t="e">
        <f t="shared" si="6"/>
        <v>#REF!</v>
      </c>
      <c r="BF25" s="51"/>
      <c r="BG25" s="54">
        <f>Tab_Process_TCs2527[[#This Row],[TC O_6_'[%']]]+Tab_Process_TCs2527[[#This Row],[TC O_5_'[%']]]+Tab_Process_TCs2527[[#This Row],[TC_O_4_'[%']]]+Tab_Process_TCs2527[[#This Row],[TC_O_3_'[%']]]+Tab_Process_TCs2527[[#This Row],[TC_O_2_'[%']]]+Tab_Process_TCs2527[[#This Row],[TC_O_1_'[%']]]</f>
        <v>1</v>
      </c>
      <c r="BH25" s="12"/>
      <c r="BI25" s="12"/>
      <c r="BJ25" s="12"/>
      <c r="BK25" s="12"/>
      <c r="BL25" s="12"/>
    </row>
    <row r="26" spans="1:64" x14ac:dyDescent="0.25">
      <c r="A26" s="197" t="b">
        <v>0</v>
      </c>
      <c r="B26" s="10">
        <f t="shared" si="0"/>
        <v>25</v>
      </c>
      <c r="C26" s="49" t="e">
        <f>_xlfn.XLOOKUP($D26,Tab_Process_TCs[Name(EN)],Tab_Process_TCs[Process_ID],,0,)</f>
        <v>#N/A</v>
      </c>
      <c r="D26" s="192" t="s">
        <v>35</v>
      </c>
      <c r="E26" s="192" t="s">
        <v>35</v>
      </c>
      <c r="F26" s="49" t="e">
        <f>_xlfn.XLOOKUP($D26,Tab_Process_TCs[Name(EN)],Tab_Process_TCs[TC?],,0,)</f>
        <v>#N/A</v>
      </c>
      <c r="G26" s="49" t="e">
        <f>_xlfn.XLOOKUP($D26,Tab_Process_TCs[Name(EN)],Tab_Process_TCs[Dyn_TC?],,0,)</f>
        <v>#N/A</v>
      </c>
      <c r="H26" s="10" t="str">
        <f>_xlfn.XLOOKUP($E26,Tab_Def_Flows[Name(EN)],Tab_Def_Flows[Flow_ID],,0,1)</f>
        <v>N.A.</v>
      </c>
      <c r="I26" s="10" t="str">
        <f>IF(Tab_Process_TCs2527[[#This Row],[Name(EN)]]="N.A.","N.A.","TC"&amp;"_"&amp;RIGHT(H26,5))</f>
        <v>N.A.</v>
      </c>
      <c r="J26" s="12"/>
      <c r="K26" s="186"/>
      <c r="L26" s="10"/>
      <c r="M26" s="17" t="e">
        <f>_xlfn.XLOOKUP($D26,Tab_Def_Processes[Name(EN)],Tab_Def_Processes[Input_Flow_I_1],,0,)</f>
        <v>#N/A</v>
      </c>
      <c r="N26" s="10" t="e">
        <f>_xlfn.XLOOKUP($D26,Tab_Def_Processes[Name(EN)],Tab_Def_Processes[Flow_ID_I_1],,0,)</f>
        <v>#N/A</v>
      </c>
      <c r="O26" s="34"/>
      <c r="P26" s="30" t="e">
        <f>_xlfn.XLOOKUP($D26,Tab_Def_Processes[Name(EN)],Tab_Def_Processes[Input_Flow_I_2],,0,)</f>
        <v>#N/A</v>
      </c>
      <c r="Q26" s="10" t="e">
        <f>_xlfn.XLOOKUP($D26,Tab_Def_Processes[Name(EN)],Tab_Def_Processes[Flow_ID_I_2],,0,)</f>
        <v>#N/A</v>
      </c>
      <c r="R26" s="34"/>
      <c r="S26" s="30" t="e">
        <f>_xlfn.XLOOKUP($D26,Tab_Def_Processes[Name(EN)],Tab_Def_Processes[Input_Flow_I_3],,0,)</f>
        <v>#N/A</v>
      </c>
      <c r="T26" s="10" t="e">
        <f>_xlfn.XLOOKUP($D26,Tab_Def_Processes[Name(EN)],Tab_Def_Processes[Flow_ID_I_3],,0,)</f>
        <v>#N/A</v>
      </c>
      <c r="U26" s="34"/>
      <c r="V26" s="30" t="e">
        <f>_xlfn.XLOOKUP($D26,Tab_Def_Processes[Name(EN)],Tab_Def_Processes[Input_Flow_I_4],,0,)</f>
        <v>#N/A</v>
      </c>
      <c r="W26" s="10" t="e">
        <f>_xlfn.XLOOKUP($D26,Tab_Def_Processes[Name(EN)],Tab_Def_Processes[Flow_ID_I_4],,0,)</f>
        <v>#N/A</v>
      </c>
      <c r="X26" s="34"/>
      <c r="Y26" s="30" t="e">
        <f>_xlfn.XLOOKUP($D26,Tab_Def_Processes[Name(EN)],Tab_Def_Processes[Input_Flow_I_5],,0,)</f>
        <v>#N/A</v>
      </c>
      <c r="Z26" s="10" t="e">
        <f>_xlfn.XLOOKUP($D26,Tab_Def_Processes[Name(EN)],Tab_Def_Processes[Flow_ID_I_5],,0,)</f>
        <v>#N/A</v>
      </c>
      <c r="AA26" s="34"/>
      <c r="AB26" s="33">
        <f>Tab_Process_TCs2527[[#This Row],[Flow_TC_I_1_'[%']]]+Tab_Process_TCs2527[[#This Row],[Flow_TC_I_2_'[%']]]+Tab_Process_TCs2527[[#This Row],[Flow_TC_I_3_'[%']]]+Tab_Process_TCs2527[[#This Row],[Flow_TC_I_4_'[%']]]+Tab_Process_TCs2527[[#This Row],[Flow_TC_I_5_'[%']]]</f>
        <v>0</v>
      </c>
      <c r="AC26" s="17" t="e">
        <f>_xlfn.XLOOKUP($D26,#REF!,#REF!,,0,)</f>
        <v>#REF!</v>
      </c>
      <c r="AD26" s="10" t="e">
        <f>_xlfn.XLOOKUP($D26,#REF!,#REF!,,0,)</f>
        <v>#REF!</v>
      </c>
      <c r="AE26" s="44" t="str">
        <f>Tab_Process_TCs2527[[#This Row],[Flow_ID]]</f>
        <v>N.A.</v>
      </c>
      <c r="AF26" s="10" t="e">
        <f t="shared" si="1"/>
        <v>#REF!</v>
      </c>
      <c r="AG26" s="51">
        <v>0.5</v>
      </c>
      <c r="AH26" s="171" t="e">
        <f>_xlfn.XLOOKUP($D26,#REF!,#REF!,,0,)</f>
        <v>#REF!</v>
      </c>
      <c r="AI26" s="55" t="e">
        <f>_xlfn.XLOOKUP($D26,#REF!,#REF!,,0,)</f>
        <v>#REF!</v>
      </c>
      <c r="AJ26" s="44" t="str">
        <f>Tab_Process_TCs2527[[#This Row],[Flow_ID]]</f>
        <v>N.A.</v>
      </c>
      <c r="AK26" s="10" t="e">
        <f t="shared" si="2"/>
        <v>#REF!</v>
      </c>
      <c r="AL26" s="170">
        <v>0.2</v>
      </c>
      <c r="AM26" s="17" t="e">
        <f>_xlfn.XLOOKUP($D26,#REF!,#REF!,,0,)</f>
        <v>#REF!</v>
      </c>
      <c r="AN26" s="10" t="e">
        <f>_xlfn.XLOOKUP($D26,#REF!,#REF!,,0,)</f>
        <v>#REF!</v>
      </c>
      <c r="AO26" s="44" t="str">
        <f>Tab_Process_TCs2527[[#This Row],[Flow_ID]]</f>
        <v>N.A.</v>
      </c>
      <c r="AP26" s="10" t="e">
        <f t="shared" si="3"/>
        <v>#REF!</v>
      </c>
      <c r="AQ26" s="170">
        <v>0.3</v>
      </c>
      <c r="AR26" s="17" t="e">
        <f>_xlfn.XLOOKUP($D26,#REF!,#REF!,,0,)</f>
        <v>#REF!</v>
      </c>
      <c r="AS26" s="10" t="e">
        <f>_xlfn.XLOOKUP($D26,#REF!,#REF!,,0,)</f>
        <v>#REF!</v>
      </c>
      <c r="AT26" s="44" t="str">
        <f>Tab_Process_TCs2527[[#This Row],[Flow_ID]]</f>
        <v>N.A.</v>
      </c>
      <c r="AU26" s="44" t="e">
        <f t="shared" si="4"/>
        <v>#REF!</v>
      </c>
      <c r="AV26" s="170"/>
      <c r="AW26" s="17" t="e">
        <f>_xlfn.XLOOKUP($D26,#REF!,#REF!,,0,)</f>
        <v>#REF!</v>
      </c>
      <c r="AX26" s="10" t="e">
        <f>_xlfn.XLOOKUP($D26,#REF!,#REF!,,0,)</f>
        <v>#REF!</v>
      </c>
      <c r="AY26" s="44" t="str">
        <f>Tab_Process_TCs2527[[#This Row],[Flow_ID]]</f>
        <v>N.A.</v>
      </c>
      <c r="AZ26" s="44" t="e">
        <f t="shared" si="5"/>
        <v>#REF!</v>
      </c>
      <c r="BA26" s="170"/>
      <c r="BB26" s="10" t="e">
        <f>_xlfn.XLOOKUP($D26,#REF!,#REF!,,0,)</f>
        <v>#REF!</v>
      </c>
      <c r="BC26" s="10" t="e">
        <f>_xlfn.XLOOKUP($D26,#REF!,#REF!,,0,)</f>
        <v>#REF!</v>
      </c>
      <c r="BD26" s="44" t="str">
        <f>Tab_Process_TCs2527[[#This Row],[Flow_ID]]</f>
        <v>N.A.</v>
      </c>
      <c r="BE26" s="44" t="e">
        <f t="shared" si="6"/>
        <v>#REF!</v>
      </c>
      <c r="BF26" s="51"/>
      <c r="BG26" s="54">
        <f>Tab_Process_TCs2527[[#This Row],[TC O_6_'[%']]]+Tab_Process_TCs2527[[#This Row],[TC O_5_'[%']]]+Tab_Process_TCs2527[[#This Row],[TC_O_4_'[%']]]+Tab_Process_TCs2527[[#This Row],[TC_O_3_'[%']]]+Tab_Process_TCs2527[[#This Row],[TC_O_2_'[%']]]+Tab_Process_TCs2527[[#This Row],[TC_O_1_'[%']]]</f>
        <v>1</v>
      </c>
      <c r="BH26" s="12"/>
      <c r="BI26" s="12"/>
      <c r="BJ26" s="12"/>
      <c r="BK26" s="12"/>
      <c r="BL26" s="12"/>
    </row>
    <row r="27" spans="1:64" x14ac:dyDescent="0.25">
      <c r="A27" s="197" t="b">
        <v>0</v>
      </c>
      <c r="B27" s="10">
        <f t="shared" si="0"/>
        <v>26</v>
      </c>
      <c r="C27" s="49" t="e">
        <f>_xlfn.XLOOKUP($D27,Tab_Process_TCs[Name(EN)],Tab_Process_TCs[Process_ID],,0,)</f>
        <v>#N/A</v>
      </c>
      <c r="D27" s="192" t="s">
        <v>35</v>
      </c>
      <c r="E27" s="192" t="s">
        <v>35</v>
      </c>
      <c r="F27" s="49" t="e">
        <f>_xlfn.XLOOKUP($D27,Tab_Process_TCs[Name(EN)],Tab_Process_TCs[TC?],,0,)</f>
        <v>#N/A</v>
      </c>
      <c r="G27" s="49" t="e">
        <f>_xlfn.XLOOKUP($D27,Tab_Process_TCs[Name(EN)],Tab_Process_TCs[Dyn_TC?],,0,)</f>
        <v>#N/A</v>
      </c>
      <c r="H27" s="10" t="str">
        <f>_xlfn.XLOOKUP($E27,Tab_Def_Flows[Name(EN)],Tab_Def_Flows[Flow_ID],,0,1)</f>
        <v>N.A.</v>
      </c>
      <c r="I27" s="10" t="str">
        <f>IF(Tab_Process_TCs2527[[#This Row],[Name(EN)]]="N.A.","N.A.","TC"&amp;"_"&amp;RIGHT(H27,5))</f>
        <v>N.A.</v>
      </c>
      <c r="J27" s="12"/>
      <c r="K27" s="186"/>
      <c r="L27" s="10"/>
      <c r="M27" s="17" t="e">
        <f>_xlfn.XLOOKUP($D27,Tab_Def_Processes[Name(EN)],Tab_Def_Processes[Input_Flow_I_1],,0,)</f>
        <v>#N/A</v>
      </c>
      <c r="N27" s="10" t="e">
        <f>_xlfn.XLOOKUP($D27,Tab_Def_Processes[Name(EN)],Tab_Def_Processes[Flow_ID_I_1],,0,)</f>
        <v>#N/A</v>
      </c>
      <c r="O27" s="34"/>
      <c r="P27" s="30" t="e">
        <f>_xlfn.XLOOKUP($D27,Tab_Def_Processes[Name(EN)],Tab_Def_Processes[Input_Flow_I_2],,0,)</f>
        <v>#N/A</v>
      </c>
      <c r="Q27" s="10" t="e">
        <f>_xlfn.XLOOKUP($D27,Tab_Def_Processes[Name(EN)],Tab_Def_Processes[Flow_ID_I_2],,0,)</f>
        <v>#N/A</v>
      </c>
      <c r="R27" s="34"/>
      <c r="S27" s="30" t="e">
        <f>_xlfn.XLOOKUP($D27,Tab_Def_Processes[Name(EN)],Tab_Def_Processes[Input_Flow_I_3],,0,)</f>
        <v>#N/A</v>
      </c>
      <c r="T27" s="10" t="e">
        <f>_xlfn.XLOOKUP($D27,Tab_Def_Processes[Name(EN)],Tab_Def_Processes[Flow_ID_I_3],,0,)</f>
        <v>#N/A</v>
      </c>
      <c r="U27" s="34"/>
      <c r="V27" s="30" t="e">
        <f>_xlfn.XLOOKUP($D27,Tab_Def_Processes[Name(EN)],Tab_Def_Processes[Input_Flow_I_4],,0,)</f>
        <v>#N/A</v>
      </c>
      <c r="W27" s="10" t="e">
        <f>_xlfn.XLOOKUP($D27,Tab_Def_Processes[Name(EN)],Tab_Def_Processes[Flow_ID_I_4],,0,)</f>
        <v>#N/A</v>
      </c>
      <c r="X27" s="34"/>
      <c r="Y27" s="30" t="e">
        <f>_xlfn.XLOOKUP($D27,Tab_Def_Processes[Name(EN)],Tab_Def_Processes[Input_Flow_I_5],,0,)</f>
        <v>#N/A</v>
      </c>
      <c r="Z27" s="10" t="e">
        <f>_xlfn.XLOOKUP($D27,Tab_Def_Processes[Name(EN)],Tab_Def_Processes[Flow_ID_I_5],,0,)</f>
        <v>#N/A</v>
      </c>
      <c r="AA27" s="34"/>
      <c r="AB27" s="33">
        <f>Tab_Process_TCs2527[[#This Row],[Flow_TC_I_1_'[%']]]+Tab_Process_TCs2527[[#This Row],[Flow_TC_I_2_'[%']]]+Tab_Process_TCs2527[[#This Row],[Flow_TC_I_3_'[%']]]+Tab_Process_TCs2527[[#This Row],[Flow_TC_I_4_'[%']]]+Tab_Process_TCs2527[[#This Row],[Flow_TC_I_5_'[%']]]</f>
        <v>0</v>
      </c>
      <c r="AC27" s="17" t="e">
        <f>_xlfn.XLOOKUP($D27,#REF!,#REF!,,0,)</f>
        <v>#REF!</v>
      </c>
      <c r="AD27" s="10" t="e">
        <f>_xlfn.XLOOKUP($D27,#REF!,#REF!,,0,)</f>
        <v>#REF!</v>
      </c>
      <c r="AE27" s="44" t="str">
        <f>Tab_Process_TCs2527[[#This Row],[Flow_ID]]</f>
        <v>N.A.</v>
      </c>
      <c r="AF27" s="10" t="e">
        <f t="shared" si="1"/>
        <v>#REF!</v>
      </c>
      <c r="AG27" s="51">
        <v>0.5</v>
      </c>
      <c r="AH27" s="171" t="e">
        <f>_xlfn.XLOOKUP($D27,#REF!,#REF!,,0,)</f>
        <v>#REF!</v>
      </c>
      <c r="AI27" s="55" t="e">
        <f>_xlfn.XLOOKUP($D27,#REF!,#REF!,,0,)</f>
        <v>#REF!</v>
      </c>
      <c r="AJ27" s="44" t="str">
        <f>Tab_Process_TCs2527[[#This Row],[Flow_ID]]</f>
        <v>N.A.</v>
      </c>
      <c r="AK27" s="10" t="e">
        <f t="shared" si="2"/>
        <v>#REF!</v>
      </c>
      <c r="AL27" s="170">
        <v>0.2</v>
      </c>
      <c r="AM27" s="17" t="e">
        <f>_xlfn.XLOOKUP($D27,#REF!,#REF!,,0,)</f>
        <v>#REF!</v>
      </c>
      <c r="AN27" s="10" t="e">
        <f>_xlfn.XLOOKUP($D27,#REF!,#REF!,,0,)</f>
        <v>#REF!</v>
      </c>
      <c r="AO27" s="44" t="str">
        <f>Tab_Process_TCs2527[[#This Row],[Flow_ID]]</f>
        <v>N.A.</v>
      </c>
      <c r="AP27" s="10" t="e">
        <f t="shared" si="3"/>
        <v>#REF!</v>
      </c>
      <c r="AQ27" s="170">
        <v>0.3</v>
      </c>
      <c r="AR27" s="17" t="e">
        <f>_xlfn.XLOOKUP($D27,#REF!,#REF!,,0,)</f>
        <v>#REF!</v>
      </c>
      <c r="AS27" s="10" t="e">
        <f>_xlfn.XLOOKUP($D27,#REF!,#REF!,,0,)</f>
        <v>#REF!</v>
      </c>
      <c r="AT27" s="44" t="str">
        <f>Tab_Process_TCs2527[[#This Row],[Flow_ID]]</f>
        <v>N.A.</v>
      </c>
      <c r="AU27" s="44" t="e">
        <f t="shared" si="4"/>
        <v>#REF!</v>
      </c>
      <c r="AV27" s="170"/>
      <c r="AW27" s="17" t="e">
        <f>_xlfn.XLOOKUP($D27,#REF!,#REF!,,0,)</f>
        <v>#REF!</v>
      </c>
      <c r="AX27" s="10" t="e">
        <f>_xlfn.XLOOKUP($D27,#REF!,#REF!,,0,)</f>
        <v>#REF!</v>
      </c>
      <c r="AY27" s="44" t="str">
        <f>Tab_Process_TCs2527[[#This Row],[Flow_ID]]</f>
        <v>N.A.</v>
      </c>
      <c r="AZ27" s="44" t="e">
        <f t="shared" si="5"/>
        <v>#REF!</v>
      </c>
      <c r="BA27" s="170"/>
      <c r="BB27" s="10" t="e">
        <f>_xlfn.XLOOKUP($D27,#REF!,#REF!,,0,)</f>
        <v>#REF!</v>
      </c>
      <c r="BC27" s="10" t="e">
        <f>_xlfn.XLOOKUP($D27,#REF!,#REF!,,0,)</f>
        <v>#REF!</v>
      </c>
      <c r="BD27" s="44" t="str">
        <f>Tab_Process_TCs2527[[#This Row],[Flow_ID]]</f>
        <v>N.A.</v>
      </c>
      <c r="BE27" s="44" t="e">
        <f t="shared" si="6"/>
        <v>#REF!</v>
      </c>
      <c r="BF27" s="51"/>
      <c r="BG27" s="54">
        <f>Tab_Process_TCs2527[[#This Row],[TC O_6_'[%']]]+Tab_Process_TCs2527[[#This Row],[TC O_5_'[%']]]+Tab_Process_TCs2527[[#This Row],[TC_O_4_'[%']]]+Tab_Process_TCs2527[[#This Row],[TC_O_3_'[%']]]+Tab_Process_TCs2527[[#This Row],[TC_O_2_'[%']]]+Tab_Process_TCs2527[[#This Row],[TC_O_1_'[%']]]</f>
        <v>1</v>
      </c>
      <c r="BH27" s="12"/>
      <c r="BI27" s="12"/>
      <c r="BJ27" s="12"/>
      <c r="BK27" s="12"/>
      <c r="BL27" s="12"/>
    </row>
    <row r="28" spans="1:64" x14ac:dyDescent="0.25">
      <c r="A28" s="197" t="b">
        <v>0</v>
      </c>
      <c r="B28" s="10">
        <f t="shared" si="0"/>
        <v>27</v>
      </c>
      <c r="C28" s="49" t="e">
        <f>_xlfn.XLOOKUP($D28,Tab_Process_TCs[Name(EN)],Tab_Process_TCs[Process_ID],,0,)</f>
        <v>#N/A</v>
      </c>
      <c r="D28" s="192" t="s">
        <v>35</v>
      </c>
      <c r="E28" s="192" t="s">
        <v>35</v>
      </c>
      <c r="F28" s="49" t="e">
        <f>_xlfn.XLOOKUP($D28,Tab_Process_TCs[Name(EN)],Tab_Process_TCs[TC?],,0,)</f>
        <v>#N/A</v>
      </c>
      <c r="G28" s="49" t="e">
        <f>_xlfn.XLOOKUP($D28,Tab_Process_TCs[Name(EN)],Tab_Process_TCs[Dyn_TC?],,0,)</f>
        <v>#N/A</v>
      </c>
      <c r="H28" s="10" t="str">
        <f>_xlfn.XLOOKUP($E28,Tab_Def_Flows[Name(EN)],Tab_Def_Flows[Flow_ID],,0,1)</f>
        <v>N.A.</v>
      </c>
      <c r="I28" s="10" t="str">
        <f>IF(Tab_Process_TCs2527[[#This Row],[Name(EN)]]="N.A.","N.A.","TC"&amp;"_"&amp;RIGHT(H28,5))</f>
        <v>N.A.</v>
      </c>
      <c r="J28" s="12"/>
      <c r="K28" s="186"/>
      <c r="L28" s="10"/>
      <c r="M28" s="17" t="e">
        <f>_xlfn.XLOOKUP($D28,Tab_Def_Processes[Name(EN)],Tab_Def_Processes[Input_Flow_I_1],,0,)</f>
        <v>#N/A</v>
      </c>
      <c r="N28" s="10" t="e">
        <f>_xlfn.XLOOKUP($D28,Tab_Def_Processes[Name(EN)],Tab_Def_Processes[Flow_ID_I_1],,0,)</f>
        <v>#N/A</v>
      </c>
      <c r="O28" s="34"/>
      <c r="P28" s="30" t="e">
        <f>_xlfn.XLOOKUP($D28,Tab_Def_Processes[Name(EN)],Tab_Def_Processes[Input_Flow_I_2],,0,)</f>
        <v>#N/A</v>
      </c>
      <c r="Q28" s="10" t="e">
        <f>_xlfn.XLOOKUP($D28,Tab_Def_Processes[Name(EN)],Tab_Def_Processes[Flow_ID_I_2],,0,)</f>
        <v>#N/A</v>
      </c>
      <c r="R28" s="34"/>
      <c r="S28" s="30" t="e">
        <f>_xlfn.XLOOKUP($D28,Tab_Def_Processes[Name(EN)],Tab_Def_Processes[Input_Flow_I_3],,0,)</f>
        <v>#N/A</v>
      </c>
      <c r="T28" s="10" t="e">
        <f>_xlfn.XLOOKUP($D28,Tab_Def_Processes[Name(EN)],Tab_Def_Processes[Flow_ID_I_3],,0,)</f>
        <v>#N/A</v>
      </c>
      <c r="U28" s="34"/>
      <c r="V28" s="30" t="e">
        <f>_xlfn.XLOOKUP($D28,Tab_Def_Processes[Name(EN)],Tab_Def_Processes[Input_Flow_I_4],,0,)</f>
        <v>#N/A</v>
      </c>
      <c r="W28" s="10" t="e">
        <f>_xlfn.XLOOKUP($D28,Tab_Def_Processes[Name(EN)],Tab_Def_Processes[Flow_ID_I_4],,0,)</f>
        <v>#N/A</v>
      </c>
      <c r="X28" s="34"/>
      <c r="Y28" s="30" t="e">
        <f>_xlfn.XLOOKUP($D28,Tab_Def_Processes[Name(EN)],Tab_Def_Processes[Input_Flow_I_5],,0,)</f>
        <v>#N/A</v>
      </c>
      <c r="Z28" s="10" t="e">
        <f>_xlfn.XLOOKUP($D28,Tab_Def_Processes[Name(EN)],Tab_Def_Processes[Flow_ID_I_5],,0,)</f>
        <v>#N/A</v>
      </c>
      <c r="AA28" s="34"/>
      <c r="AB28" s="33">
        <f>Tab_Process_TCs2527[[#This Row],[Flow_TC_I_1_'[%']]]+Tab_Process_TCs2527[[#This Row],[Flow_TC_I_2_'[%']]]+Tab_Process_TCs2527[[#This Row],[Flow_TC_I_3_'[%']]]+Tab_Process_TCs2527[[#This Row],[Flow_TC_I_4_'[%']]]+Tab_Process_TCs2527[[#This Row],[Flow_TC_I_5_'[%']]]</f>
        <v>0</v>
      </c>
      <c r="AC28" s="17" t="e">
        <f>_xlfn.XLOOKUP($D28,#REF!,#REF!,,0,)</f>
        <v>#REF!</v>
      </c>
      <c r="AD28" s="10" t="e">
        <f>_xlfn.XLOOKUP($D28,#REF!,#REF!,,0,)</f>
        <v>#REF!</v>
      </c>
      <c r="AE28" s="44" t="str">
        <f>Tab_Process_TCs2527[[#This Row],[Flow_ID]]</f>
        <v>N.A.</v>
      </c>
      <c r="AF28" s="10" t="e">
        <f t="shared" si="1"/>
        <v>#REF!</v>
      </c>
      <c r="AG28" s="51">
        <v>0.5</v>
      </c>
      <c r="AH28" s="171" t="e">
        <f>_xlfn.XLOOKUP($D28,#REF!,#REF!,,0,)</f>
        <v>#REF!</v>
      </c>
      <c r="AI28" s="55" t="e">
        <f>_xlfn.XLOOKUP($D28,#REF!,#REF!,,0,)</f>
        <v>#REF!</v>
      </c>
      <c r="AJ28" s="44" t="str">
        <f>Tab_Process_TCs2527[[#This Row],[Flow_ID]]</f>
        <v>N.A.</v>
      </c>
      <c r="AK28" s="10" t="e">
        <f t="shared" si="2"/>
        <v>#REF!</v>
      </c>
      <c r="AL28" s="170">
        <v>0.2</v>
      </c>
      <c r="AM28" s="17" t="e">
        <f>_xlfn.XLOOKUP($D28,#REF!,#REF!,,0,)</f>
        <v>#REF!</v>
      </c>
      <c r="AN28" s="10" t="e">
        <f>_xlfn.XLOOKUP($D28,#REF!,#REF!,,0,)</f>
        <v>#REF!</v>
      </c>
      <c r="AO28" s="44" t="str">
        <f>Tab_Process_TCs2527[[#This Row],[Flow_ID]]</f>
        <v>N.A.</v>
      </c>
      <c r="AP28" s="10" t="e">
        <f t="shared" si="3"/>
        <v>#REF!</v>
      </c>
      <c r="AQ28" s="170">
        <v>0.3</v>
      </c>
      <c r="AR28" s="17" t="e">
        <f>_xlfn.XLOOKUP($D28,#REF!,#REF!,,0,)</f>
        <v>#REF!</v>
      </c>
      <c r="AS28" s="10" t="e">
        <f>_xlfn.XLOOKUP($D28,#REF!,#REF!,,0,)</f>
        <v>#REF!</v>
      </c>
      <c r="AT28" s="44" t="str">
        <f>Tab_Process_TCs2527[[#This Row],[Flow_ID]]</f>
        <v>N.A.</v>
      </c>
      <c r="AU28" s="44" t="e">
        <f t="shared" si="4"/>
        <v>#REF!</v>
      </c>
      <c r="AV28" s="170"/>
      <c r="AW28" s="17" t="e">
        <f>_xlfn.XLOOKUP($D28,#REF!,#REF!,,0,)</f>
        <v>#REF!</v>
      </c>
      <c r="AX28" s="10" t="e">
        <f>_xlfn.XLOOKUP($D28,#REF!,#REF!,,0,)</f>
        <v>#REF!</v>
      </c>
      <c r="AY28" s="44" t="str">
        <f>Tab_Process_TCs2527[[#This Row],[Flow_ID]]</f>
        <v>N.A.</v>
      </c>
      <c r="AZ28" s="44" t="e">
        <f t="shared" si="5"/>
        <v>#REF!</v>
      </c>
      <c r="BA28" s="170"/>
      <c r="BB28" s="10" t="e">
        <f>_xlfn.XLOOKUP($D28,#REF!,#REF!,,0,)</f>
        <v>#REF!</v>
      </c>
      <c r="BC28" s="10" t="e">
        <f>_xlfn.XLOOKUP($D28,#REF!,#REF!,,0,)</f>
        <v>#REF!</v>
      </c>
      <c r="BD28" s="44" t="str">
        <f>Tab_Process_TCs2527[[#This Row],[Flow_ID]]</f>
        <v>N.A.</v>
      </c>
      <c r="BE28" s="44" t="e">
        <f t="shared" si="6"/>
        <v>#REF!</v>
      </c>
      <c r="BF28" s="51"/>
      <c r="BG28" s="54">
        <f>Tab_Process_TCs2527[[#This Row],[TC O_6_'[%']]]+Tab_Process_TCs2527[[#This Row],[TC O_5_'[%']]]+Tab_Process_TCs2527[[#This Row],[TC_O_4_'[%']]]+Tab_Process_TCs2527[[#This Row],[TC_O_3_'[%']]]+Tab_Process_TCs2527[[#This Row],[TC_O_2_'[%']]]+Tab_Process_TCs2527[[#This Row],[TC_O_1_'[%']]]</f>
        <v>1</v>
      </c>
      <c r="BH28" s="12"/>
      <c r="BI28" s="12"/>
      <c r="BJ28" s="12"/>
      <c r="BK28" s="12"/>
      <c r="BL28" s="12"/>
    </row>
    <row r="29" spans="1:64" x14ac:dyDescent="0.25">
      <c r="A29" s="197" t="b">
        <v>0</v>
      </c>
      <c r="B29" s="10">
        <f t="shared" si="0"/>
        <v>28</v>
      </c>
      <c r="C29" s="49" t="e">
        <f>_xlfn.XLOOKUP($D29,Tab_Process_TCs[Name(EN)],Tab_Process_TCs[Process_ID],,0,)</f>
        <v>#N/A</v>
      </c>
      <c r="D29" s="192" t="s">
        <v>35</v>
      </c>
      <c r="E29" s="192" t="s">
        <v>35</v>
      </c>
      <c r="F29" s="49" t="e">
        <f>_xlfn.XLOOKUP($D29,Tab_Process_TCs[Name(EN)],Tab_Process_TCs[TC?],,0,)</f>
        <v>#N/A</v>
      </c>
      <c r="G29" s="49" t="e">
        <f>_xlfn.XLOOKUP($D29,Tab_Process_TCs[Name(EN)],Tab_Process_TCs[Dyn_TC?],,0,)</f>
        <v>#N/A</v>
      </c>
      <c r="H29" s="10" t="str">
        <f>_xlfn.XLOOKUP($E29,Tab_Def_Flows[Name(EN)],Tab_Def_Flows[Flow_ID],,0,1)</f>
        <v>N.A.</v>
      </c>
      <c r="I29" s="10" t="str">
        <f>IF(Tab_Process_TCs2527[[#This Row],[Name(EN)]]="N.A.","N.A.","TC"&amp;"_"&amp;RIGHT(H29,5))</f>
        <v>N.A.</v>
      </c>
      <c r="J29" s="12"/>
      <c r="K29" s="186"/>
      <c r="L29" s="10"/>
      <c r="M29" s="17" t="e">
        <f>_xlfn.XLOOKUP($D29,Tab_Def_Processes[Name(EN)],Tab_Def_Processes[Input_Flow_I_1],,0,)</f>
        <v>#N/A</v>
      </c>
      <c r="N29" s="10" t="e">
        <f>_xlfn.XLOOKUP($D29,Tab_Def_Processes[Name(EN)],Tab_Def_Processes[Flow_ID_I_1],,0,)</f>
        <v>#N/A</v>
      </c>
      <c r="O29" s="34"/>
      <c r="P29" s="30" t="e">
        <f>_xlfn.XLOOKUP($D29,Tab_Def_Processes[Name(EN)],Tab_Def_Processes[Input_Flow_I_2],,0,)</f>
        <v>#N/A</v>
      </c>
      <c r="Q29" s="10" t="e">
        <f>_xlfn.XLOOKUP($D29,Tab_Def_Processes[Name(EN)],Tab_Def_Processes[Flow_ID_I_2],,0,)</f>
        <v>#N/A</v>
      </c>
      <c r="R29" s="34"/>
      <c r="S29" s="30" t="e">
        <f>_xlfn.XLOOKUP($D29,Tab_Def_Processes[Name(EN)],Tab_Def_Processes[Input_Flow_I_3],,0,)</f>
        <v>#N/A</v>
      </c>
      <c r="T29" s="10" t="e">
        <f>_xlfn.XLOOKUP($D29,Tab_Def_Processes[Name(EN)],Tab_Def_Processes[Flow_ID_I_3],,0,)</f>
        <v>#N/A</v>
      </c>
      <c r="U29" s="34"/>
      <c r="V29" s="30" t="e">
        <f>_xlfn.XLOOKUP($D29,Tab_Def_Processes[Name(EN)],Tab_Def_Processes[Input_Flow_I_4],,0,)</f>
        <v>#N/A</v>
      </c>
      <c r="W29" s="10" t="e">
        <f>_xlfn.XLOOKUP($D29,Tab_Def_Processes[Name(EN)],Tab_Def_Processes[Flow_ID_I_4],,0,)</f>
        <v>#N/A</v>
      </c>
      <c r="X29" s="34"/>
      <c r="Y29" s="30" t="e">
        <f>_xlfn.XLOOKUP($D29,Tab_Def_Processes[Name(EN)],Tab_Def_Processes[Input_Flow_I_5],,0,)</f>
        <v>#N/A</v>
      </c>
      <c r="Z29" s="10" t="e">
        <f>_xlfn.XLOOKUP($D29,Tab_Def_Processes[Name(EN)],Tab_Def_Processes[Flow_ID_I_5],,0,)</f>
        <v>#N/A</v>
      </c>
      <c r="AA29" s="34"/>
      <c r="AB29" s="33">
        <f>Tab_Process_TCs2527[[#This Row],[Flow_TC_I_1_'[%']]]+Tab_Process_TCs2527[[#This Row],[Flow_TC_I_2_'[%']]]+Tab_Process_TCs2527[[#This Row],[Flow_TC_I_3_'[%']]]+Tab_Process_TCs2527[[#This Row],[Flow_TC_I_4_'[%']]]+Tab_Process_TCs2527[[#This Row],[Flow_TC_I_5_'[%']]]</f>
        <v>0</v>
      </c>
      <c r="AC29" s="17" t="e">
        <f>_xlfn.XLOOKUP($D29,#REF!,#REF!,,0,)</f>
        <v>#REF!</v>
      </c>
      <c r="AD29" s="10" t="e">
        <f>_xlfn.XLOOKUP($D29,#REF!,#REF!,,0,)</f>
        <v>#REF!</v>
      </c>
      <c r="AE29" s="44" t="str">
        <f>Tab_Process_TCs2527[[#This Row],[Flow_ID]]</f>
        <v>N.A.</v>
      </c>
      <c r="AF29" s="10" t="e">
        <f t="shared" si="1"/>
        <v>#REF!</v>
      </c>
      <c r="AG29" s="51">
        <v>0.5</v>
      </c>
      <c r="AH29" s="171" t="e">
        <f>_xlfn.XLOOKUP($D29,#REF!,#REF!,,0,)</f>
        <v>#REF!</v>
      </c>
      <c r="AI29" s="55" t="e">
        <f>_xlfn.XLOOKUP($D29,#REF!,#REF!,,0,)</f>
        <v>#REF!</v>
      </c>
      <c r="AJ29" s="44" t="str">
        <f>Tab_Process_TCs2527[[#This Row],[Flow_ID]]</f>
        <v>N.A.</v>
      </c>
      <c r="AK29" s="10" t="e">
        <f t="shared" si="2"/>
        <v>#REF!</v>
      </c>
      <c r="AL29" s="170">
        <v>0.2</v>
      </c>
      <c r="AM29" s="17" t="e">
        <f>_xlfn.XLOOKUP($D29,#REF!,#REF!,,0,)</f>
        <v>#REF!</v>
      </c>
      <c r="AN29" s="10" t="e">
        <f>_xlfn.XLOOKUP($D29,#REF!,#REF!,,0,)</f>
        <v>#REF!</v>
      </c>
      <c r="AO29" s="44" t="str">
        <f>Tab_Process_TCs2527[[#This Row],[Flow_ID]]</f>
        <v>N.A.</v>
      </c>
      <c r="AP29" s="10" t="e">
        <f t="shared" si="3"/>
        <v>#REF!</v>
      </c>
      <c r="AQ29" s="170">
        <v>0.3</v>
      </c>
      <c r="AR29" s="17" t="e">
        <f>_xlfn.XLOOKUP($D29,#REF!,#REF!,,0,)</f>
        <v>#REF!</v>
      </c>
      <c r="AS29" s="10" t="e">
        <f>_xlfn.XLOOKUP($D29,#REF!,#REF!,,0,)</f>
        <v>#REF!</v>
      </c>
      <c r="AT29" s="44" t="str">
        <f>Tab_Process_TCs2527[[#This Row],[Flow_ID]]</f>
        <v>N.A.</v>
      </c>
      <c r="AU29" s="44" t="e">
        <f t="shared" si="4"/>
        <v>#REF!</v>
      </c>
      <c r="AV29" s="170"/>
      <c r="AW29" s="17" t="e">
        <f>_xlfn.XLOOKUP($D29,#REF!,#REF!,,0,)</f>
        <v>#REF!</v>
      </c>
      <c r="AX29" s="10" t="e">
        <f>_xlfn.XLOOKUP($D29,#REF!,#REF!,,0,)</f>
        <v>#REF!</v>
      </c>
      <c r="AY29" s="44" t="str">
        <f>Tab_Process_TCs2527[[#This Row],[Flow_ID]]</f>
        <v>N.A.</v>
      </c>
      <c r="AZ29" s="44" t="e">
        <f t="shared" si="5"/>
        <v>#REF!</v>
      </c>
      <c r="BA29" s="170"/>
      <c r="BB29" s="10" t="e">
        <f>_xlfn.XLOOKUP($D29,#REF!,#REF!,,0,)</f>
        <v>#REF!</v>
      </c>
      <c r="BC29" s="10" t="e">
        <f>_xlfn.XLOOKUP($D29,#REF!,#REF!,,0,)</f>
        <v>#REF!</v>
      </c>
      <c r="BD29" s="44" t="str">
        <f>Tab_Process_TCs2527[[#This Row],[Flow_ID]]</f>
        <v>N.A.</v>
      </c>
      <c r="BE29" s="44" t="e">
        <f t="shared" si="6"/>
        <v>#REF!</v>
      </c>
      <c r="BF29" s="51"/>
      <c r="BG29" s="54">
        <f>Tab_Process_TCs2527[[#This Row],[TC O_6_'[%']]]+Tab_Process_TCs2527[[#This Row],[TC O_5_'[%']]]+Tab_Process_TCs2527[[#This Row],[TC_O_4_'[%']]]+Tab_Process_TCs2527[[#This Row],[TC_O_3_'[%']]]+Tab_Process_TCs2527[[#This Row],[TC_O_2_'[%']]]+Tab_Process_TCs2527[[#This Row],[TC_O_1_'[%']]]</f>
        <v>1</v>
      </c>
      <c r="BH29" s="12"/>
      <c r="BI29" s="12"/>
      <c r="BJ29" s="12"/>
      <c r="BK29" s="12"/>
      <c r="BL29" s="12"/>
    </row>
    <row r="30" spans="1:64" x14ac:dyDescent="0.25">
      <c r="A30" s="197" t="b">
        <v>0</v>
      </c>
      <c r="B30" s="10">
        <f t="shared" si="0"/>
        <v>29</v>
      </c>
      <c r="C30" s="49" t="e">
        <f>_xlfn.XLOOKUP($D30,Tab_Process_TCs[Name(EN)],Tab_Process_TCs[Process_ID],,0,)</f>
        <v>#N/A</v>
      </c>
      <c r="D30" s="192" t="s">
        <v>35</v>
      </c>
      <c r="E30" s="192" t="s">
        <v>35</v>
      </c>
      <c r="F30" s="49" t="e">
        <f>_xlfn.XLOOKUP($D30,Tab_Process_TCs[Name(EN)],Tab_Process_TCs[TC?],,0,)</f>
        <v>#N/A</v>
      </c>
      <c r="G30" s="49" t="e">
        <f>_xlfn.XLOOKUP($D30,Tab_Process_TCs[Name(EN)],Tab_Process_TCs[Dyn_TC?],,0,)</f>
        <v>#N/A</v>
      </c>
      <c r="H30" s="10" t="str">
        <f>_xlfn.XLOOKUP($E30,Tab_Def_Flows[Name(EN)],Tab_Def_Flows[Flow_ID],,0,1)</f>
        <v>N.A.</v>
      </c>
      <c r="I30" s="10" t="str">
        <f>IF(Tab_Process_TCs2527[[#This Row],[Name(EN)]]="N.A.","N.A.","TC"&amp;"_"&amp;RIGHT(H30,5))</f>
        <v>N.A.</v>
      </c>
      <c r="J30" s="12"/>
      <c r="K30" s="186"/>
      <c r="L30" s="10"/>
      <c r="M30" s="17" t="e">
        <f>_xlfn.XLOOKUP($D30,Tab_Def_Processes[Name(EN)],Tab_Def_Processes[Input_Flow_I_1],,0,)</f>
        <v>#N/A</v>
      </c>
      <c r="N30" s="10" t="e">
        <f>_xlfn.XLOOKUP($D30,Tab_Def_Processes[Name(EN)],Tab_Def_Processes[Flow_ID_I_1],,0,)</f>
        <v>#N/A</v>
      </c>
      <c r="O30" s="34"/>
      <c r="P30" s="30" t="e">
        <f>_xlfn.XLOOKUP($D30,Tab_Def_Processes[Name(EN)],Tab_Def_Processes[Input_Flow_I_2],,0,)</f>
        <v>#N/A</v>
      </c>
      <c r="Q30" s="10" t="e">
        <f>_xlfn.XLOOKUP($D30,Tab_Def_Processes[Name(EN)],Tab_Def_Processes[Flow_ID_I_2],,0,)</f>
        <v>#N/A</v>
      </c>
      <c r="R30" s="34"/>
      <c r="S30" s="30" t="e">
        <f>_xlfn.XLOOKUP($D30,Tab_Def_Processes[Name(EN)],Tab_Def_Processes[Input_Flow_I_3],,0,)</f>
        <v>#N/A</v>
      </c>
      <c r="T30" s="10" t="e">
        <f>_xlfn.XLOOKUP($D30,Tab_Def_Processes[Name(EN)],Tab_Def_Processes[Flow_ID_I_3],,0,)</f>
        <v>#N/A</v>
      </c>
      <c r="U30" s="34"/>
      <c r="V30" s="30" t="e">
        <f>_xlfn.XLOOKUP($D30,Tab_Def_Processes[Name(EN)],Tab_Def_Processes[Input_Flow_I_4],,0,)</f>
        <v>#N/A</v>
      </c>
      <c r="W30" s="10" t="e">
        <f>_xlfn.XLOOKUP($D30,Tab_Def_Processes[Name(EN)],Tab_Def_Processes[Flow_ID_I_4],,0,)</f>
        <v>#N/A</v>
      </c>
      <c r="X30" s="34"/>
      <c r="Y30" s="30" t="e">
        <f>_xlfn.XLOOKUP($D30,Tab_Def_Processes[Name(EN)],Tab_Def_Processes[Input_Flow_I_5],,0,)</f>
        <v>#N/A</v>
      </c>
      <c r="Z30" s="10" t="e">
        <f>_xlfn.XLOOKUP($D30,Tab_Def_Processes[Name(EN)],Tab_Def_Processes[Flow_ID_I_5],,0,)</f>
        <v>#N/A</v>
      </c>
      <c r="AA30" s="34"/>
      <c r="AB30" s="33">
        <f>Tab_Process_TCs2527[[#This Row],[Flow_TC_I_1_'[%']]]+Tab_Process_TCs2527[[#This Row],[Flow_TC_I_2_'[%']]]+Tab_Process_TCs2527[[#This Row],[Flow_TC_I_3_'[%']]]+Tab_Process_TCs2527[[#This Row],[Flow_TC_I_4_'[%']]]+Tab_Process_TCs2527[[#This Row],[Flow_TC_I_5_'[%']]]</f>
        <v>0</v>
      </c>
      <c r="AC30" s="17" t="e">
        <f>_xlfn.XLOOKUP($D30,#REF!,#REF!,,0,)</f>
        <v>#REF!</v>
      </c>
      <c r="AD30" s="10" t="e">
        <f>_xlfn.XLOOKUP($D30,#REF!,#REF!,,0,)</f>
        <v>#REF!</v>
      </c>
      <c r="AE30" s="44" t="str">
        <f>Tab_Process_TCs2527[[#This Row],[Flow_ID]]</f>
        <v>N.A.</v>
      </c>
      <c r="AF30" s="10" t="e">
        <f t="shared" si="1"/>
        <v>#REF!</v>
      </c>
      <c r="AG30" s="51">
        <v>0.5</v>
      </c>
      <c r="AH30" s="171" t="e">
        <f>_xlfn.XLOOKUP($D30,#REF!,#REF!,,0,)</f>
        <v>#REF!</v>
      </c>
      <c r="AI30" s="55" t="e">
        <f>_xlfn.XLOOKUP($D30,#REF!,#REF!,,0,)</f>
        <v>#REF!</v>
      </c>
      <c r="AJ30" s="44" t="str">
        <f>Tab_Process_TCs2527[[#This Row],[Flow_ID]]</f>
        <v>N.A.</v>
      </c>
      <c r="AK30" s="10" t="e">
        <f t="shared" si="2"/>
        <v>#REF!</v>
      </c>
      <c r="AL30" s="170">
        <v>0.2</v>
      </c>
      <c r="AM30" s="17" t="e">
        <f>_xlfn.XLOOKUP($D30,#REF!,#REF!,,0,)</f>
        <v>#REF!</v>
      </c>
      <c r="AN30" s="10" t="e">
        <f>_xlfn.XLOOKUP($D30,#REF!,#REF!,,0,)</f>
        <v>#REF!</v>
      </c>
      <c r="AO30" s="44" t="str">
        <f>Tab_Process_TCs2527[[#This Row],[Flow_ID]]</f>
        <v>N.A.</v>
      </c>
      <c r="AP30" s="10" t="e">
        <f t="shared" si="3"/>
        <v>#REF!</v>
      </c>
      <c r="AQ30" s="170">
        <v>0.3</v>
      </c>
      <c r="AR30" s="17" t="e">
        <f>_xlfn.XLOOKUP($D30,#REF!,#REF!,,0,)</f>
        <v>#REF!</v>
      </c>
      <c r="AS30" s="10" t="e">
        <f>_xlfn.XLOOKUP($D30,#REF!,#REF!,,0,)</f>
        <v>#REF!</v>
      </c>
      <c r="AT30" s="44" t="str">
        <f>Tab_Process_TCs2527[[#This Row],[Flow_ID]]</f>
        <v>N.A.</v>
      </c>
      <c r="AU30" s="44" t="e">
        <f t="shared" si="4"/>
        <v>#REF!</v>
      </c>
      <c r="AV30" s="170"/>
      <c r="AW30" s="17" t="e">
        <f>_xlfn.XLOOKUP($D30,#REF!,#REF!,,0,)</f>
        <v>#REF!</v>
      </c>
      <c r="AX30" s="10" t="e">
        <f>_xlfn.XLOOKUP($D30,#REF!,#REF!,,0,)</f>
        <v>#REF!</v>
      </c>
      <c r="AY30" s="44" t="str">
        <f>Tab_Process_TCs2527[[#This Row],[Flow_ID]]</f>
        <v>N.A.</v>
      </c>
      <c r="AZ30" s="44" t="e">
        <f t="shared" si="5"/>
        <v>#REF!</v>
      </c>
      <c r="BA30" s="170"/>
      <c r="BB30" s="10" t="e">
        <f>_xlfn.XLOOKUP($D30,#REF!,#REF!,,0,)</f>
        <v>#REF!</v>
      </c>
      <c r="BC30" s="10" t="e">
        <f>_xlfn.XLOOKUP($D30,#REF!,#REF!,,0,)</f>
        <v>#REF!</v>
      </c>
      <c r="BD30" s="44" t="str">
        <f>Tab_Process_TCs2527[[#This Row],[Flow_ID]]</f>
        <v>N.A.</v>
      </c>
      <c r="BE30" s="44" t="e">
        <f t="shared" si="6"/>
        <v>#REF!</v>
      </c>
      <c r="BF30" s="51"/>
      <c r="BG30" s="54">
        <f>Tab_Process_TCs2527[[#This Row],[TC O_6_'[%']]]+Tab_Process_TCs2527[[#This Row],[TC O_5_'[%']]]+Tab_Process_TCs2527[[#This Row],[TC_O_4_'[%']]]+Tab_Process_TCs2527[[#This Row],[TC_O_3_'[%']]]+Tab_Process_TCs2527[[#This Row],[TC_O_2_'[%']]]+Tab_Process_TCs2527[[#This Row],[TC_O_1_'[%']]]</f>
        <v>1</v>
      </c>
      <c r="BH30" s="12"/>
      <c r="BI30" s="12"/>
      <c r="BJ30" s="12"/>
      <c r="BK30" s="12"/>
      <c r="BL30" s="12"/>
    </row>
    <row r="31" spans="1:64" x14ac:dyDescent="0.25">
      <c r="A31" s="197" t="b">
        <v>0</v>
      </c>
      <c r="B31" s="10">
        <f t="shared" si="0"/>
        <v>30</v>
      </c>
      <c r="C31" s="49" t="e">
        <f>_xlfn.XLOOKUP($D31,Tab_Process_TCs[Name(EN)],Tab_Process_TCs[Process_ID],,0,)</f>
        <v>#N/A</v>
      </c>
      <c r="D31" s="192" t="s">
        <v>35</v>
      </c>
      <c r="E31" s="192" t="s">
        <v>35</v>
      </c>
      <c r="F31" s="49" t="e">
        <f>_xlfn.XLOOKUP($D31,Tab_Process_TCs[Name(EN)],Tab_Process_TCs[TC?],,0,)</f>
        <v>#N/A</v>
      </c>
      <c r="G31" s="49" t="e">
        <f>_xlfn.XLOOKUP($D31,Tab_Process_TCs[Name(EN)],Tab_Process_TCs[Dyn_TC?],,0,)</f>
        <v>#N/A</v>
      </c>
      <c r="H31" s="10" t="str">
        <f>_xlfn.XLOOKUP($E31,Tab_Def_Flows[Name(EN)],Tab_Def_Flows[Flow_ID],,0,1)</f>
        <v>N.A.</v>
      </c>
      <c r="I31" s="10" t="str">
        <f>IF(Tab_Process_TCs2527[[#This Row],[Name(EN)]]="N.A.","N.A.","TC"&amp;"_"&amp;RIGHT(H31,5))</f>
        <v>N.A.</v>
      </c>
      <c r="J31" s="12"/>
      <c r="K31" s="186"/>
      <c r="L31" s="10"/>
      <c r="M31" s="17" t="e">
        <f>_xlfn.XLOOKUP($D31,Tab_Def_Processes[Name(EN)],Tab_Def_Processes[Input_Flow_I_1],,0,)</f>
        <v>#N/A</v>
      </c>
      <c r="N31" s="10" t="e">
        <f>_xlfn.XLOOKUP($D31,Tab_Def_Processes[Name(EN)],Tab_Def_Processes[Flow_ID_I_1],,0,)</f>
        <v>#N/A</v>
      </c>
      <c r="O31" s="34"/>
      <c r="P31" s="30" t="e">
        <f>_xlfn.XLOOKUP($D31,Tab_Def_Processes[Name(EN)],Tab_Def_Processes[Input_Flow_I_2],,0,)</f>
        <v>#N/A</v>
      </c>
      <c r="Q31" s="10" t="e">
        <f>_xlfn.XLOOKUP($D31,Tab_Def_Processes[Name(EN)],Tab_Def_Processes[Flow_ID_I_2],,0,)</f>
        <v>#N/A</v>
      </c>
      <c r="R31" s="34"/>
      <c r="S31" s="30" t="e">
        <f>_xlfn.XLOOKUP($D31,Tab_Def_Processes[Name(EN)],Tab_Def_Processes[Input_Flow_I_3],,0,)</f>
        <v>#N/A</v>
      </c>
      <c r="T31" s="10" t="e">
        <f>_xlfn.XLOOKUP($D31,Tab_Def_Processes[Name(EN)],Tab_Def_Processes[Flow_ID_I_3],,0,)</f>
        <v>#N/A</v>
      </c>
      <c r="U31" s="34"/>
      <c r="V31" s="30" t="e">
        <f>_xlfn.XLOOKUP($D31,Tab_Def_Processes[Name(EN)],Tab_Def_Processes[Input_Flow_I_4],,0,)</f>
        <v>#N/A</v>
      </c>
      <c r="W31" s="10" t="e">
        <f>_xlfn.XLOOKUP($D31,Tab_Def_Processes[Name(EN)],Tab_Def_Processes[Flow_ID_I_4],,0,)</f>
        <v>#N/A</v>
      </c>
      <c r="X31" s="34"/>
      <c r="Y31" s="30" t="e">
        <f>_xlfn.XLOOKUP($D31,Tab_Def_Processes[Name(EN)],Tab_Def_Processes[Input_Flow_I_5],,0,)</f>
        <v>#N/A</v>
      </c>
      <c r="Z31" s="10" t="e">
        <f>_xlfn.XLOOKUP($D31,Tab_Def_Processes[Name(EN)],Tab_Def_Processes[Flow_ID_I_5],,0,)</f>
        <v>#N/A</v>
      </c>
      <c r="AA31" s="34"/>
      <c r="AB31" s="33">
        <f>Tab_Process_TCs2527[[#This Row],[Flow_TC_I_1_'[%']]]+Tab_Process_TCs2527[[#This Row],[Flow_TC_I_2_'[%']]]+Tab_Process_TCs2527[[#This Row],[Flow_TC_I_3_'[%']]]+Tab_Process_TCs2527[[#This Row],[Flow_TC_I_4_'[%']]]+Tab_Process_TCs2527[[#This Row],[Flow_TC_I_5_'[%']]]</f>
        <v>0</v>
      </c>
      <c r="AC31" s="17" t="e">
        <f>_xlfn.XLOOKUP($D31,#REF!,#REF!,,0,)</f>
        <v>#REF!</v>
      </c>
      <c r="AD31" s="10" t="e">
        <f>_xlfn.XLOOKUP($D31,#REF!,#REF!,,0,)</f>
        <v>#REF!</v>
      </c>
      <c r="AE31" s="44" t="str">
        <f>Tab_Process_TCs2527[[#This Row],[Flow_ID]]</f>
        <v>N.A.</v>
      </c>
      <c r="AF31" s="10" t="e">
        <f t="shared" si="1"/>
        <v>#REF!</v>
      </c>
      <c r="AG31" s="51">
        <v>0.5</v>
      </c>
      <c r="AH31" s="171" t="e">
        <f>_xlfn.XLOOKUP($D31,#REF!,#REF!,,0,)</f>
        <v>#REF!</v>
      </c>
      <c r="AI31" s="55" t="e">
        <f>_xlfn.XLOOKUP($D31,#REF!,#REF!,,0,)</f>
        <v>#REF!</v>
      </c>
      <c r="AJ31" s="44" t="str">
        <f>Tab_Process_TCs2527[[#This Row],[Flow_ID]]</f>
        <v>N.A.</v>
      </c>
      <c r="AK31" s="10" t="e">
        <f t="shared" si="2"/>
        <v>#REF!</v>
      </c>
      <c r="AL31" s="170">
        <v>0.2</v>
      </c>
      <c r="AM31" s="17" t="e">
        <f>_xlfn.XLOOKUP($D31,#REF!,#REF!,,0,)</f>
        <v>#REF!</v>
      </c>
      <c r="AN31" s="10" t="e">
        <f>_xlfn.XLOOKUP($D31,#REF!,#REF!,,0,)</f>
        <v>#REF!</v>
      </c>
      <c r="AO31" s="44" t="str">
        <f>Tab_Process_TCs2527[[#This Row],[Flow_ID]]</f>
        <v>N.A.</v>
      </c>
      <c r="AP31" s="10" t="e">
        <f t="shared" si="3"/>
        <v>#REF!</v>
      </c>
      <c r="AQ31" s="170">
        <v>0.3</v>
      </c>
      <c r="AR31" s="17" t="e">
        <f>_xlfn.XLOOKUP($D31,#REF!,#REF!,,0,)</f>
        <v>#REF!</v>
      </c>
      <c r="AS31" s="10" t="e">
        <f>_xlfn.XLOOKUP($D31,#REF!,#REF!,,0,)</f>
        <v>#REF!</v>
      </c>
      <c r="AT31" s="44" t="str">
        <f>Tab_Process_TCs2527[[#This Row],[Flow_ID]]</f>
        <v>N.A.</v>
      </c>
      <c r="AU31" s="44" t="e">
        <f t="shared" si="4"/>
        <v>#REF!</v>
      </c>
      <c r="AV31" s="170"/>
      <c r="AW31" s="17" t="e">
        <f>_xlfn.XLOOKUP($D31,#REF!,#REF!,,0,)</f>
        <v>#REF!</v>
      </c>
      <c r="AX31" s="10" t="e">
        <f>_xlfn.XLOOKUP($D31,#REF!,#REF!,,0,)</f>
        <v>#REF!</v>
      </c>
      <c r="AY31" s="44" t="str">
        <f>Tab_Process_TCs2527[[#This Row],[Flow_ID]]</f>
        <v>N.A.</v>
      </c>
      <c r="AZ31" s="44" t="e">
        <f t="shared" si="5"/>
        <v>#REF!</v>
      </c>
      <c r="BA31" s="170"/>
      <c r="BB31" s="10" t="e">
        <f>_xlfn.XLOOKUP($D31,#REF!,#REF!,,0,)</f>
        <v>#REF!</v>
      </c>
      <c r="BC31" s="10" t="e">
        <f>_xlfn.XLOOKUP($D31,#REF!,#REF!,,0,)</f>
        <v>#REF!</v>
      </c>
      <c r="BD31" s="44" t="str">
        <f>Tab_Process_TCs2527[[#This Row],[Flow_ID]]</f>
        <v>N.A.</v>
      </c>
      <c r="BE31" s="44" t="e">
        <f t="shared" si="6"/>
        <v>#REF!</v>
      </c>
      <c r="BF31" s="51"/>
      <c r="BG31" s="54">
        <f>Tab_Process_TCs2527[[#This Row],[TC O_6_'[%']]]+Tab_Process_TCs2527[[#This Row],[TC O_5_'[%']]]+Tab_Process_TCs2527[[#This Row],[TC_O_4_'[%']]]+Tab_Process_TCs2527[[#This Row],[TC_O_3_'[%']]]+Tab_Process_TCs2527[[#This Row],[TC_O_2_'[%']]]+Tab_Process_TCs2527[[#This Row],[TC_O_1_'[%']]]</f>
        <v>1</v>
      </c>
      <c r="BH31" s="12"/>
      <c r="BI31" s="12"/>
      <c r="BJ31" s="12"/>
      <c r="BK31" s="12"/>
      <c r="BL31" s="12"/>
    </row>
    <row r="32" spans="1:64" x14ac:dyDescent="0.25">
      <c r="A32" s="197" t="b">
        <v>0</v>
      </c>
      <c r="B32" s="10">
        <f t="shared" si="0"/>
        <v>31</v>
      </c>
      <c r="C32" s="49" t="e">
        <f>_xlfn.XLOOKUP($D32,Tab_Process_TCs[Name(EN)],Tab_Process_TCs[Process_ID],,0,)</f>
        <v>#N/A</v>
      </c>
      <c r="D32" s="192" t="s">
        <v>35</v>
      </c>
      <c r="E32" s="192" t="s">
        <v>35</v>
      </c>
      <c r="F32" s="49" t="e">
        <f>_xlfn.XLOOKUP($D32,Tab_Process_TCs[Name(EN)],Tab_Process_TCs[TC?],,0,)</f>
        <v>#N/A</v>
      </c>
      <c r="G32" s="49" t="e">
        <f>_xlfn.XLOOKUP($D32,Tab_Process_TCs[Name(EN)],Tab_Process_TCs[Dyn_TC?],,0,)</f>
        <v>#N/A</v>
      </c>
      <c r="H32" s="10" t="str">
        <f>_xlfn.XLOOKUP($E32,Tab_Def_Flows[Name(EN)],Tab_Def_Flows[Flow_ID],,0,1)</f>
        <v>N.A.</v>
      </c>
      <c r="I32" s="10" t="str">
        <f>IF(Tab_Process_TCs2527[[#This Row],[Name(EN)]]="N.A.","N.A.","TC"&amp;"_"&amp;RIGHT(H32,5))</f>
        <v>N.A.</v>
      </c>
      <c r="J32" s="12"/>
      <c r="K32" s="186"/>
      <c r="L32" s="10"/>
      <c r="M32" s="17" t="e">
        <f>_xlfn.XLOOKUP($D32,Tab_Def_Processes[Name(EN)],Tab_Def_Processes[Input_Flow_I_1],,0,)</f>
        <v>#N/A</v>
      </c>
      <c r="N32" s="10" t="e">
        <f>_xlfn.XLOOKUP($D32,Tab_Def_Processes[Name(EN)],Tab_Def_Processes[Flow_ID_I_1],,0,)</f>
        <v>#N/A</v>
      </c>
      <c r="O32" s="34"/>
      <c r="P32" s="30" t="e">
        <f>_xlfn.XLOOKUP($D32,Tab_Def_Processes[Name(EN)],Tab_Def_Processes[Input_Flow_I_2],,0,)</f>
        <v>#N/A</v>
      </c>
      <c r="Q32" s="10" t="e">
        <f>_xlfn.XLOOKUP($D32,Tab_Def_Processes[Name(EN)],Tab_Def_Processes[Flow_ID_I_2],,0,)</f>
        <v>#N/A</v>
      </c>
      <c r="R32" s="34"/>
      <c r="S32" s="30" t="e">
        <f>_xlfn.XLOOKUP($D32,Tab_Def_Processes[Name(EN)],Tab_Def_Processes[Input_Flow_I_3],,0,)</f>
        <v>#N/A</v>
      </c>
      <c r="T32" s="10" t="e">
        <f>_xlfn.XLOOKUP($D32,Tab_Def_Processes[Name(EN)],Tab_Def_Processes[Flow_ID_I_3],,0,)</f>
        <v>#N/A</v>
      </c>
      <c r="U32" s="34"/>
      <c r="V32" s="30" t="e">
        <f>_xlfn.XLOOKUP($D32,Tab_Def_Processes[Name(EN)],Tab_Def_Processes[Input_Flow_I_4],,0,)</f>
        <v>#N/A</v>
      </c>
      <c r="W32" s="10" t="e">
        <f>_xlfn.XLOOKUP($D32,Tab_Def_Processes[Name(EN)],Tab_Def_Processes[Flow_ID_I_4],,0,)</f>
        <v>#N/A</v>
      </c>
      <c r="X32" s="34"/>
      <c r="Y32" s="30" t="e">
        <f>_xlfn.XLOOKUP($D32,Tab_Def_Processes[Name(EN)],Tab_Def_Processes[Input_Flow_I_5],,0,)</f>
        <v>#N/A</v>
      </c>
      <c r="Z32" s="10" t="e">
        <f>_xlfn.XLOOKUP($D32,Tab_Def_Processes[Name(EN)],Tab_Def_Processes[Flow_ID_I_5],,0,)</f>
        <v>#N/A</v>
      </c>
      <c r="AA32" s="34"/>
      <c r="AB32" s="33">
        <f>Tab_Process_TCs2527[[#This Row],[Flow_TC_I_1_'[%']]]+Tab_Process_TCs2527[[#This Row],[Flow_TC_I_2_'[%']]]+Tab_Process_TCs2527[[#This Row],[Flow_TC_I_3_'[%']]]+Tab_Process_TCs2527[[#This Row],[Flow_TC_I_4_'[%']]]+Tab_Process_TCs2527[[#This Row],[Flow_TC_I_5_'[%']]]</f>
        <v>0</v>
      </c>
      <c r="AC32" s="17" t="e">
        <f>_xlfn.XLOOKUP($D32,#REF!,#REF!,,0,)</f>
        <v>#REF!</v>
      </c>
      <c r="AD32" s="10" t="e">
        <f>_xlfn.XLOOKUP($D32,#REF!,#REF!,,0,)</f>
        <v>#REF!</v>
      </c>
      <c r="AE32" s="44" t="str">
        <f>Tab_Process_TCs2527[[#This Row],[Flow_ID]]</f>
        <v>N.A.</v>
      </c>
      <c r="AF32" s="10" t="e">
        <f t="shared" si="1"/>
        <v>#REF!</v>
      </c>
      <c r="AG32" s="51">
        <v>0.5</v>
      </c>
      <c r="AH32" s="171" t="e">
        <f>_xlfn.XLOOKUP($D32,#REF!,#REF!,,0,)</f>
        <v>#REF!</v>
      </c>
      <c r="AI32" s="55" t="e">
        <f>_xlfn.XLOOKUP($D32,#REF!,#REF!,,0,)</f>
        <v>#REF!</v>
      </c>
      <c r="AJ32" s="44" t="str">
        <f>Tab_Process_TCs2527[[#This Row],[Flow_ID]]</f>
        <v>N.A.</v>
      </c>
      <c r="AK32" s="10" t="e">
        <f t="shared" si="2"/>
        <v>#REF!</v>
      </c>
      <c r="AL32" s="170">
        <v>0.2</v>
      </c>
      <c r="AM32" s="17" t="e">
        <f>_xlfn.XLOOKUP($D32,#REF!,#REF!,,0,)</f>
        <v>#REF!</v>
      </c>
      <c r="AN32" s="10" t="e">
        <f>_xlfn.XLOOKUP($D32,#REF!,#REF!,,0,)</f>
        <v>#REF!</v>
      </c>
      <c r="AO32" s="44" t="str">
        <f>Tab_Process_TCs2527[[#This Row],[Flow_ID]]</f>
        <v>N.A.</v>
      </c>
      <c r="AP32" s="10" t="e">
        <f t="shared" si="3"/>
        <v>#REF!</v>
      </c>
      <c r="AQ32" s="170">
        <v>0.3</v>
      </c>
      <c r="AR32" s="17" t="e">
        <f>_xlfn.XLOOKUP($D32,#REF!,#REF!,,0,)</f>
        <v>#REF!</v>
      </c>
      <c r="AS32" s="10" t="e">
        <f>_xlfn.XLOOKUP($D32,#REF!,#REF!,,0,)</f>
        <v>#REF!</v>
      </c>
      <c r="AT32" s="44" t="str">
        <f>Tab_Process_TCs2527[[#This Row],[Flow_ID]]</f>
        <v>N.A.</v>
      </c>
      <c r="AU32" s="44" t="e">
        <f t="shared" si="4"/>
        <v>#REF!</v>
      </c>
      <c r="AV32" s="170"/>
      <c r="AW32" s="17" t="e">
        <f>_xlfn.XLOOKUP($D32,#REF!,#REF!,,0,)</f>
        <v>#REF!</v>
      </c>
      <c r="AX32" s="10" t="e">
        <f>_xlfn.XLOOKUP($D32,#REF!,#REF!,,0,)</f>
        <v>#REF!</v>
      </c>
      <c r="AY32" s="44" t="str">
        <f>Tab_Process_TCs2527[[#This Row],[Flow_ID]]</f>
        <v>N.A.</v>
      </c>
      <c r="AZ32" s="44" t="e">
        <f t="shared" si="5"/>
        <v>#REF!</v>
      </c>
      <c r="BA32" s="170"/>
      <c r="BB32" s="10" t="e">
        <f>_xlfn.XLOOKUP($D32,#REF!,#REF!,,0,)</f>
        <v>#REF!</v>
      </c>
      <c r="BC32" s="10" t="e">
        <f>_xlfn.XLOOKUP($D32,#REF!,#REF!,,0,)</f>
        <v>#REF!</v>
      </c>
      <c r="BD32" s="44" t="str">
        <f>Tab_Process_TCs2527[[#This Row],[Flow_ID]]</f>
        <v>N.A.</v>
      </c>
      <c r="BE32" s="44" t="e">
        <f t="shared" si="6"/>
        <v>#REF!</v>
      </c>
      <c r="BF32" s="51"/>
      <c r="BG32" s="54">
        <f>Tab_Process_TCs2527[[#This Row],[TC O_6_'[%']]]+Tab_Process_TCs2527[[#This Row],[TC O_5_'[%']]]+Tab_Process_TCs2527[[#This Row],[TC_O_4_'[%']]]+Tab_Process_TCs2527[[#This Row],[TC_O_3_'[%']]]+Tab_Process_TCs2527[[#This Row],[TC_O_2_'[%']]]+Tab_Process_TCs2527[[#This Row],[TC_O_1_'[%']]]</f>
        <v>1</v>
      </c>
      <c r="BH32" s="12"/>
      <c r="BI32" s="12"/>
      <c r="BJ32" s="12"/>
      <c r="BK32" s="12"/>
      <c r="BL32" s="12"/>
    </row>
    <row r="33" spans="1:64" x14ac:dyDescent="0.25">
      <c r="A33" s="197" t="b">
        <v>0</v>
      </c>
      <c r="B33" s="10">
        <f t="shared" si="0"/>
        <v>32</v>
      </c>
      <c r="C33" s="49" t="e">
        <f>_xlfn.XLOOKUP($D33,Tab_Process_TCs[Name(EN)],Tab_Process_TCs[Process_ID],,0,)</f>
        <v>#N/A</v>
      </c>
      <c r="D33" s="192" t="s">
        <v>35</v>
      </c>
      <c r="E33" s="192" t="s">
        <v>35</v>
      </c>
      <c r="F33" s="49" t="e">
        <f>_xlfn.XLOOKUP($D33,Tab_Process_TCs[Name(EN)],Tab_Process_TCs[TC?],,0,)</f>
        <v>#N/A</v>
      </c>
      <c r="G33" s="49" t="e">
        <f>_xlfn.XLOOKUP($D33,Tab_Process_TCs[Name(EN)],Tab_Process_TCs[Dyn_TC?],,0,)</f>
        <v>#N/A</v>
      </c>
      <c r="H33" s="10" t="str">
        <f>_xlfn.XLOOKUP($E33,Tab_Def_Flows[Name(EN)],Tab_Def_Flows[Flow_ID],,0,1)</f>
        <v>N.A.</v>
      </c>
      <c r="I33" s="10" t="str">
        <f>IF(Tab_Process_TCs2527[[#This Row],[Name(EN)]]="N.A.","N.A.","TC"&amp;"_"&amp;RIGHT(H33,5))</f>
        <v>N.A.</v>
      </c>
      <c r="J33" s="12"/>
      <c r="K33" s="186"/>
      <c r="L33" s="10"/>
      <c r="M33" s="17" t="e">
        <f>_xlfn.XLOOKUP($D33,Tab_Def_Processes[Name(EN)],Tab_Def_Processes[Input_Flow_I_1],,0,)</f>
        <v>#N/A</v>
      </c>
      <c r="N33" s="10" t="e">
        <f>_xlfn.XLOOKUP($D33,Tab_Def_Processes[Name(EN)],Tab_Def_Processes[Flow_ID_I_1],,0,)</f>
        <v>#N/A</v>
      </c>
      <c r="O33" s="34"/>
      <c r="P33" s="30" t="e">
        <f>_xlfn.XLOOKUP($D33,Tab_Def_Processes[Name(EN)],Tab_Def_Processes[Input_Flow_I_2],,0,)</f>
        <v>#N/A</v>
      </c>
      <c r="Q33" s="10" t="e">
        <f>_xlfn.XLOOKUP($D33,Tab_Def_Processes[Name(EN)],Tab_Def_Processes[Flow_ID_I_2],,0,)</f>
        <v>#N/A</v>
      </c>
      <c r="R33" s="34"/>
      <c r="S33" s="30" t="e">
        <f>_xlfn.XLOOKUP($D33,Tab_Def_Processes[Name(EN)],Tab_Def_Processes[Input_Flow_I_3],,0,)</f>
        <v>#N/A</v>
      </c>
      <c r="T33" s="10" t="e">
        <f>_xlfn.XLOOKUP($D33,Tab_Def_Processes[Name(EN)],Tab_Def_Processes[Flow_ID_I_3],,0,)</f>
        <v>#N/A</v>
      </c>
      <c r="U33" s="34"/>
      <c r="V33" s="30" t="e">
        <f>_xlfn.XLOOKUP($D33,Tab_Def_Processes[Name(EN)],Tab_Def_Processes[Input_Flow_I_4],,0,)</f>
        <v>#N/A</v>
      </c>
      <c r="W33" s="10" t="e">
        <f>_xlfn.XLOOKUP($D33,Tab_Def_Processes[Name(EN)],Tab_Def_Processes[Flow_ID_I_4],,0,)</f>
        <v>#N/A</v>
      </c>
      <c r="X33" s="34"/>
      <c r="Y33" s="30" t="e">
        <f>_xlfn.XLOOKUP($D33,Tab_Def_Processes[Name(EN)],Tab_Def_Processes[Input_Flow_I_5],,0,)</f>
        <v>#N/A</v>
      </c>
      <c r="Z33" s="10" t="e">
        <f>_xlfn.XLOOKUP($D33,Tab_Def_Processes[Name(EN)],Tab_Def_Processes[Flow_ID_I_5],,0,)</f>
        <v>#N/A</v>
      </c>
      <c r="AA33" s="34"/>
      <c r="AB33" s="33">
        <f>Tab_Process_TCs2527[[#This Row],[Flow_TC_I_1_'[%']]]+Tab_Process_TCs2527[[#This Row],[Flow_TC_I_2_'[%']]]+Tab_Process_TCs2527[[#This Row],[Flow_TC_I_3_'[%']]]+Tab_Process_TCs2527[[#This Row],[Flow_TC_I_4_'[%']]]+Tab_Process_TCs2527[[#This Row],[Flow_TC_I_5_'[%']]]</f>
        <v>0</v>
      </c>
      <c r="AC33" s="17" t="e">
        <f>_xlfn.XLOOKUP($D33,#REF!,#REF!,,0,)</f>
        <v>#REF!</v>
      </c>
      <c r="AD33" s="10" t="e">
        <f>_xlfn.XLOOKUP($D33,#REF!,#REF!,,0,)</f>
        <v>#REF!</v>
      </c>
      <c r="AE33" s="44" t="str">
        <f>Tab_Process_TCs2527[[#This Row],[Flow_ID]]</f>
        <v>N.A.</v>
      </c>
      <c r="AF33" s="10" t="e">
        <f t="shared" si="1"/>
        <v>#REF!</v>
      </c>
      <c r="AG33" s="51">
        <v>0.5</v>
      </c>
      <c r="AH33" s="171" t="e">
        <f>_xlfn.XLOOKUP($D33,#REF!,#REF!,,0,)</f>
        <v>#REF!</v>
      </c>
      <c r="AI33" s="55" t="e">
        <f>_xlfn.XLOOKUP($D33,#REF!,#REF!,,0,)</f>
        <v>#REF!</v>
      </c>
      <c r="AJ33" s="44" t="str">
        <f>Tab_Process_TCs2527[[#This Row],[Flow_ID]]</f>
        <v>N.A.</v>
      </c>
      <c r="AK33" s="10" t="e">
        <f t="shared" si="2"/>
        <v>#REF!</v>
      </c>
      <c r="AL33" s="170">
        <v>0.2</v>
      </c>
      <c r="AM33" s="17" t="e">
        <f>_xlfn.XLOOKUP($D33,#REF!,#REF!,,0,)</f>
        <v>#REF!</v>
      </c>
      <c r="AN33" s="10" t="e">
        <f>_xlfn.XLOOKUP($D33,#REF!,#REF!,,0,)</f>
        <v>#REF!</v>
      </c>
      <c r="AO33" s="44" t="str">
        <f>Tab_Process_TCs2527[[#This Row],[Flow_ID]]</f>
        <v>N.A.</v>
      </c>
      <c r="AP33" s="10" t="e">
        <f t="shared" si="3"/>
        <v>#REF!</v>
      </c>
      <c r="AQ33" s="170">
        <v>0.3</v>
      </c>
      <c r="AR33" s="17" t="e">
        <f>_xlfn.XLOOKUP($D33,#REF!,#REF!,,0,)</f>
        <v>#REF!</v>
      </c>
      <c r="AS33" s="10" t="e">
        <f>_xlfn.XLOOKUP($D33,#REF!,#REF!,,0,)</f>
        <v>#REF!</v>
      </c>
      <c r="AT33" s="44" t="str">
        <f>Tab_Process_TCs2527[[#This Row],[Flow_ID]]</f>
        <v>N.A.</v>
      </c>
      <c r="AU33" s="44" t="e">
        <f t="shared" si="4"/>
        <v>#REF!</v>
      </c>
      <c r="AV33" s="170"/>
      <c r="AW33" s="17" t="e">
        <f>_xlfn.XLOOKUP($D33,#REF!,#REF!,,0,)</f>
        <v>#REF!</v>
      </c>
      <c r="AX33" s="10" t="e">
        <f>_xlfn.XLOOKUP($D33,#REF!,#REF!,,0,)</f>
        <v>#REF!</v>
      </c>
      <c r="AY33" s="44" t="str">
        <f>Tab_Process_TCs2527[[#This Row],[Flow_ID]]</f>
        <v>N.A.</v>
      </c>
      <c r="AZ33" s="44" t="e">
        <f t="shared" si="5"/>
        <v>#REF!</v>
      </c>
      <c r="BA33" s="170"/>
      <c r="BB33" s="10" t="e">
        <f>_xlfn.XLOOKUP($D33,#REF!,#REF!,,0,)</f>
        <v>#REF!</v>
      </c>
      <c r="BC33" s="10" t="e">
        <f>_xlfn.XLOOKUP($D33,#REF!,#REF!,,0,)</f>
        <v>#REF!</v>
      </c>
      <c r="BD33" s="44" t="str">
        <f>Tab_Process_TCs2527[[#This Row],[Flow_ID]]</f>
        <v>N.A.</v>
      </c>
      <c r="BE33" s="44" t="e">
        <f t="shared" si="6"/>
        <v>#REF!</v>
      </c>
      <c r="BF33" s="51"/>
      <c r="BG33" s="54">
        <f>Tab_Process_TCs2527[[#This Row],[TC O_6_'[%']]]+Tab_Process_TCs2527[[#This Row],[TC O_5_'[%']]]+Tab_Process_TCs2527[[#This Row],[TC_O_4_'[%']]]+Tab_Process_TCs2527[[#This Row],[TC_O_3_'[%']]]+Tab_Process_TCs2527[[#This Row],[TC_O_2_'[%']]]+Tab_Process_TCs2527[[#This Row],[TC_O_1_'[%']]]</f>
        <v>1</v>
      </c>
      <c r="BH33" s="12"/>
      <c r="BI33" s="12"/>
      <c r="BJ33" s="12"/>
      <c r="BK33" s="12"/>
      <c r="BL33" s="12"/>
    </row>
    <row r="34" spans="1:64" x14ac:dyDescent="0.25">
      <c r="A34" s="197" t="b">
        <v>0</v>
      </c>
      <c r="B34" s="10">
        <f t="shared" ref="B34:B65" si="7">ROW()-1</f>
        <v>33</v>
      </c>
      <c r="C34" s="49" t="e">
        <f>_xlfn.XLOOKUP($D34,Tab_Process_TCs[Name(EN)],Tab_Process_TCs[Process_ID],,0,)</f>
        <v>#N/A</v>
      </c>
      <c r="D34" s="192" t="s">
        <v>35</v>
      </c>
      <c r="E34" s="192" t="s">
        <v>35</v>
      </c>
      <c r="F34" s="49" t="e">
        <f>_xlfn.XLOOKUP($D34,Tab_Process_TCs[Name(EN)],Tab_Process_TCs[TC?],,0,)</f>
        <v>#N/A</v>
      </c>
      <c r="G34" s="49" t="e">
        <f>_xlfn.XLOOKUP($D34,Tab_Process_TCs[Name(EN)],Tab_Process_TCs[Dyn_TC?],,0,)</f>
        <v>#N/A</v>
      </c>
      <c r="H34" s="10" t="str">
        <f>_xlfn.XLOOKUP($E34,Tab_Def_Flows[Name(EN)],Tab_Def_Flows[Flow_ID],,0,1)</f>
        <v>N.A.</v>
      </c>
      <c r="I34" s="10" t="str">
        <f>IF(Tab_Process_TCs2527[[#This Row],[Name(EN)]]="N.A.","N.A.","TC"&amp;"_"&amp;RIGHT(H34,5))</f>
        <v>N.A.</v>
      </c>
      <c r="J34" s="12"/>
      <c r="K34" s="186"/>
      <c r="L34" s="10"/>
      <c r="M34" s="17" t="e">
        <f>_xlfn.XLOOKUP($D34,Tab_Def_Processes[Name(EN)],Tab_Def_Processes[Input_Flow_I_1],,0,)</f>
        <v>#N/A</v>
      </c>
      <c r="N34" s="10" t="e">
        <f>_xlfn.XLOOKUP($D34,Tab_Def_Processes[Name(EN)],Tab_Def_Processes[Flow_ID_I_1],,0,)</f>
        <v>#N/A</v>
      </c>
      <c r="O34" s="34"/>
      <c r="P34" s="30" t="e">
        <f>_xlfn.XLOOKUP($D34,Tab_Def_Processes[Name(EN)],Tab_Def_Processes[Input_Flow_I_2],,0,)</f>
        <v>#N/A</v>
      </c>
      <c r="Q34" s="10" t="e">
        <f>_xlfn.XLOOKUP($D34,Tab_Def_Processes[Name(EN)],Tab_Def_Processes[Flow_ID_I_2],,0,)</f>
        <v>#N/A</v>
      </c>
      <c r="R34" s="34"/>
      <c r="S34" s="30" t="e">
        <f>_xlfn.XLOOKUP($D34,Tab_Def_Processes[Name(EN)],Tab_Def_Processes[Input_Flow_I_3],,0,)</f>
        <v>#N/A</v>
      </c>
      <c r="T34" s="10" t="e">
        <f>_xlfn.XLOOKUP($D34,Tab_Def_Processes[Name(EN)],Tab_Def_Processes[Flow_ID_I_3],,0,)</f>
        <v>#N/A</v>
      </c>
      <c r="U34" s="34"/>
      <c r="V34" s="30" t="e">
        <f>_xlfn.XLOOKUP($D34,Tab_Def_Processes[Name(EN)],Tab_Def_Processes[Input_Flow_I_4],,0,)</f>
        <v>#N/A</v>
      </c>
      <c r="W34" s="10" t="e">
        <f>_xlfn.XLOOKUP($D34,Tab_Def_Processes[Name(EN)],Tab_Def_Processes[Flow_ID_I_4],,0,)</f>
        <v>#N/A</v>
      </c>
      <c r="X34" s="34"/>
      <c r="Y34" s="30" t="e">
        <f>_xlfn.XLOOKUP($D34,Tab_Def_Processes[Name(EN)],Tab_Def_Processes[Input_Flow_I_5],,0,)</f>
        <v>#N/A</v>
      </c>
      <c r="Z34" s="10" t="e">
        <f>_xlfn.XLOOKUP($D34,Tab_Def_Processes[Name(EN)],Tab_Def_Processes[Flow_ID_I_5],,0,)</f>
        <v>#N/A</v>
      </c>
      <c r="AA34" s="34"/>
      <c r="AB34" s="33">
        <f>Tab_Process_TCs2527[[#This Row],[Flow_TC_I_1_'[%']]]+Tab_Process_TCs2527[[#This Row],[Flow_TC_I_2_'[%']]]+Tab_Process_TCs2527[[#This Row],[Flow_TC_I_3_'[%']]]+Tab_Process_TCs2527[[#This Row],[Flow_TC_I_4_'[%']]]+Tab_Process_TCs2527[[#This Row],[Flow_TC_I_5_'[%']]]</f>
        <v>0</v>
      </c>
      <c r="AC34" s="17" t="e">
        <f>_xlfn.XLOOKUP($D34,#REF!,#REF!,,0,)</f>
        <v>#REF!</v>
      </c>
      <c r="AD34" s="10" t="e">
        <f>_xlfn.XLOOKUP($D34,#REF!,#REF!,,0,)</f>
        <v>#REF!</v>
      </c>
      <c r="AE34" s="44" t="str">
        <f>Tab_Process_TCs2527[[#This Row],[Flow_ID]]</f>
        <v>N.A.</v>
      </c>
      <c r="AF34" s="10" t="e">
        <f t="shared" ref="AF34:AF65" si="8">"TC"&amp;"_"&amp;RIGHT(AD34,5)</f>
        <v>#REF!</v>
      </c>
      <c r="AG34" s="51">
        <v>0.5</v>
      </c>
      <c r="AH34" s="171" t="e">
        <f>_xlfn.XLOOKUP($D34,#REF!,#REF!,,0,)</f>
        <v>#REF!</v>
      </c>
      <c r="AI34" s="55" t="e">
        <f>_xlfn.XLOOKUP($D34,#REF!,#REF!,,0,)</f>
        <v>#REF!</v>
      </c>
      <c r="AJ34" s="44" t="str">
        <f>Tab_Process_TCs2527[[#This Row],[Flow_ID]]</f>
        <v>N.A.</v>
      </c>
      <c r="AK34" s="10" t="e">
        <f t="shared" ref="AK34:AK65" si="9">"TC"&amp;"_"&amp;RIGHT(AI34,5)</f>
        <v>#REF!</v>
      </c>
      <c r="AL34" s="170">
        <v>0.2</v>
      </c>
      <c r="AM34" s="17" t="e">
        <f>_xlfn.XLOOKUP($D34,#REF!,#REF!,,0,)</f>
        <v>#REF!</v>
      </c>
      <c r="AN34" s="10" t="e">
        <f>_xlfn.XLOOKUP($D34,#REF!,#REF!,,0,)</f>
        <v>#REF!</v>
      </c>
      <c r="AO34" s="44" t="str">
        <f>Tab_Process_TCs2527[[#This Row],[Flow_ID]]</f>
        <v>N.A.</v>
      </c>
      <c r="AP34" s="10" t="e">
        <f t="shared" ref="AP34:AP65" si="10">"TC"&amp;"_"&amp;RIGHT(AN34,5)</f>
        <v>#REF!</v>
      </c>
      <c r="AQ34" s="170">
        <v>0.3</v>
      </c>
      <c r="AR34" s="17" t="e">
        <f>_xlfn.XLOOKUP($D34,#REF!,#REF!,,0,)</f>
        <v>#REF!</v>
      </c>
      <c r="AS34" s="10" t="e">
        <f>_xlfn.XLOOKUP($D34,#REF!,#REF!,,0,)</f>
        <v>#REF!</v>
      </c>
      <c r="AT34" s="44" t="str">
        <f>Tab_Process_TCs2527[[#This Row],[Flow_ID]]</f>
        <v>N.A.</v>
      </c>
      <c r="AU34" s="44" t="e">
        <f t="shared" ref="AU34:AU65" si="11">"TC"&amp;"_"&amp;RIGHT(AN34,5)</f>
        <v>#REF!</v>
      </c>
      <c r="AV34" s="170"/>
      <c r="AW34" s="17" t="e">
        <f>_xlfn.XLOOKUP($D34,#REF!,#REF!,,0,)</f>
        <v>#REF!</v>
      </c>
      <c r="AX34" s="10" t="e">
        <f>_xlfn.XLOOKUP($D34,#REF!,#REF!,,0,)</f>
        <v>#REF!</v>
      </c>
      <c r="AY34" s="44" t="str">
        <f>Tab_Process_TCs2527[[#This Row],[Flow_ID]]</f>
        <v>N.A.</v>
      </c>
      <c r="AZ34" s="44" t="e">
        <f t="shared" ref="AZ34:AZ65" si="12">"TC"&amp;"_"&amp;RIGHT(AX34,5)</f>
        <v>#REF!</v>
      </c>
      <c r="BA34" s="170"/>
      <c r="BB34" s="10" t="e">
        <f>_xlfn.XLOOKUP($D34,#REF!,#REF!,,0,)</f>
        <v>#REF!</v>
      </c>
      <c r="BC34" s="10" t="e">
        <f>_xlfn.XLOOKUP($D34,#REF!,#REF!,,0,)</f>
        <v>#REF!</v>
      </c>
      <c r="BD34" s="44" t="str">
        <f>Tab_Process_TCs2527[[#This Row],[Flow_ID]]</f>
        <v>N.A.</v>
      </c>
      <c r="BE34" s="44" t="e">
        <f t="shared" ref="BE34:BE65" si="13">"TC"&amp;"_"&amp;RIGHT(BC34,5)</f>
        <v>#REF!</v>
      </c>
      <c r="BF34" s="51"/>
      <c r="BG34" s="54">
        <f>Tab_Process_TCs2527[[#This Row],[TC O_6_'[%']]]+Tab_Process_TCs2527[[#This Row],[TC O_5_'[%']]]+Tab_Process_TCs2527[[#This Row],[TC_O_4_'[%']]]+Tab_Process_TCs2527[[#This Row],[TC_O_3_'[%']]]+Tab_Process_TCs2527[[#This Row],[TC_O_2_'[%']]]+Tab_Process_TCs2527[[#This Row],[TC_O_1_'[%']]]</f>
        <v>1</v>
      </c>
      <c r="BH34" s="12"/>
      <c r="BI34" s="12"/>
      <c r="BJ34" s="12"/>
      <c r="BK34" s="12"/>
      <c r="BL34" s="12"/>
    </row>
    <row r="35" spans="1:64" x14ac:dyDescent="0.25">
      <c r="A35" s="197" t="b">
        <v>0</v>
      </c>
      <c r="B35" s="10">
        <f t="shared" si="7"/>
        <v>34</v>
      </c>
      <c r="C35" s="49" t="e">
        <f>_xlfn.XLOOKUP($D35,Tab_Process_TCs[Name(EN)],Tab_Process_TCs[Process_ID],,0,)</f>
        <v>#N/A</v>
      </c>
      <c r="D35" s="192" t="s">
        <v>35</v>
      </c>
      <c r="E35" s="192" t="s">
        <v>35</v>
      </c>
      <c r="F35" s="49" t="e">
        <f>_xlfn.XLOOKUP($D35,Tab_Process_TCs[Name(EN)],Tab_Process_TCs[TC?],,0,)</f>
        <v>#N/A</v>
      </c>
      <c r="G35" s="49" t="e">
        <f>_xlfn.XLOOKUP($D35,Tab_Process_TCs[Name(EN)],Tab_Process_TCs[Dyn_TC?],,0,)</f>
        <v>#N/A</v>
      </c>
      <c r="H35" s="10" t="str">
        <f>_xlfn.XLOOKUP($E35,Tab_Def_Flows[Name(EN)],Tab_Def_Flows[Flow_ID],,0,1)</f>
        <v>N.A.</v>
      </c>
      <c r="I35" s="10" t="str">
        <f>IF(Tab_Process_TCs2527[[#This Row],[Name(EN)]]="N.A.","N.A.","TC"&amp;"_"&amp;RIGHT(H35,5))</f>
        <v>N.A.</v>
      </c>
      <c r="J35" s="12"/>
      <c r="K35" s="186"/>
      <c r="L35" s="10"/>
      <c r="M35" s="17" t="e">
        <f>_xlfn.XLOOKUP($D35,Tab_Def_Processes[Name(EN)],Tab_Def_Processes[Input_Flow_I_1],,0,)</f>
        <v>#N/A</v>
      </c>
      <c r="N35" s="10" t="e">
        <f>_xlfn.XLOOKUP($D35,Tab_Def_Processes[Name(EN)],Tab_Def_Processes[Flow_ID_I_1],,0,)</f>
        <v>#N/A</v>
      </c>
      <c r="O35" s="34"/>
      <c r="P35" s="30" t="e">
        <f>_xlfn.XLOOKUP($D35,Tab_Def_Processes[Name(EN)],Tab_Def_Processes[Input_Flow_I_2],,0,)</f>
        <v>#N/A</v>
      </c>
      <c r="Q35" s="10" t="e">
        <f>_xlfn.XLOOKUP($D35,Tab_Def_Processes[Name(EN)],Tab_Def_Processes[Flow_ID_I_2],,0,)</f>
        <v>#N/A</v>
      </c>
      <c r="R35" s="34"/>
      <c r="S35" s="30" t="e">
        <f>_xlfn.XLOOKUP($D35,Tab_Def_Processes[Name(EN)],Tab_Def_Processes[Input_Flow_I_3],,0,)</f>
        <v>#N/A</v>
      </c>
      <c r="T35" s="10" t="e">
        <f>_xlfn.XLOOKUP($D35,Tab_Def_Processes[Name(EN)],Tab_Def_Processes[Flow_ID_I_3],,0,)</f>
        <v>#N/A</v>
      </c>
      <c r="U35" s="34"/>
      <c r="V35" s="30" t="e">
        <f>_xlfn.XLOOKUP($D35,Tab_Def_Processes[Name(EN)],Tab_Def_Processes[Input_Flow_I_4],,0,)</f>
        <v>#N/A</v>
      </c>
      <c r="W35" s="10" t="e">
        <f>_xlfn.XLOOKUP($D35,Tab_Def_Processes[Name(EN)],Tab_Def_Processes[Flow_ID_I_4],,0,)</f>
        <v>#N/A</v>
      </c>
      <c r="X35" s="34"/>
      <c r="Y35" s="30" t="e">
        <f>_xlfn.XLOOKUP($D35,Tab_Def_Processes[Name(EN)],Tab_Def_Processes[Input_Flow_I_5],,0,)</f>
        <v>#N/A</v>
      </c>
      <c r="Z35" s="10" t="e">
        <f>_xlfn.XLOOKUP($D35,Tab_Def_Processes[Name(EN)],Tab_Def_Processes[Flow_ID_I_5],,0,)</f>
        <v>#N/A</v>
      </c>
      <c r="AA35" s="34"/>
      <c r="AB35" s="33">
        <f>Tab_Process_TCs2527[[#This Row],[Flow_TC_I_1_'[%']]]+Tab_Process_TCs2527[[#This Row],[Flow_TC_I_2_'[%']]]+Tab_Process_TCs2527[[#This Row],[Flow_TC_I_3_'[%']]]+Tab_Process_TCs2527[[#This Row],[Flow_TC_I_4_'[%']]]+Tab_Process_TCs2527[[#This Row],[Flow_TC_I_5_'[%']]]</f>
        <v>0</v>
      </c>
      <c r="AC35" s="17" t="e">
        <f>_xlfn.XLOOKUP($D35,#REF!,#REF!,,0,)</f>
        <v>#REF!</v>
      </c>
      <c r="AD35" s="10" t="e">
        <f>_xlfn.XLOOKUP($D35,#REF!,#REF!,,0,)</f>
        <v>#REF!</v>
      </c>
      <c r="AE35" s="44" t="str">
        <f>Tab_Process_TCs2527[[#This Row],[Flow_ID]]</f>
        <v>N.A.</v>
      </c>
      <c r="AF35" s="10" t="e">
        <f t="shared" si="8"/>
        <v>#REF!</v>
      </c>
      <c r="AG35" s="51">
        <v>0.5</v>
      </c>
      <c r="AH35" s="171" t="e">
        <f>_xlfn.XLOOKUP($D35,#REF!,#REF!,,0,)</f>
        <v>#REF!</v>
      </c>
      <c r="AI35" s="55" t="e">
        <f>_xlfn.XLOOKUP($D35,#REF!,#REF!,,0,)</f>
        <v>#REF!</v>
      </c>
      <c r="AJ35" s="44" t="str">
        <f>Tab_Process_TCs2527[[#This Row],[Flow_ID]]</f>
        <v>N.A.</v>
      </c>
      <c r="AK35" s="10" t="e">
        <f t="shared" si="9"/>
        <v>#REF!</v>
      </c>
      <c r="AL35" s="170">
        <v>0.2</v>
      </c>
      <c r="AM35" s="17" t="e">
        <f>_xlfn.XLOOKUP($D35,#REF!,#REF!,,0,)</f>
        <v>#REF!</v>
      </c>
      <c r="AN35" s="10" t="e">
        <f>_xlfn.XLOOKUP($D35,#REF!,#REF!,,0,)</f>
        <v>#REF!</v>
      </c>
      <c r="AO35" s="44" t="str">
        <f>Tab_Process_TCs2527[[#This Row],[Flow_ID]]</f>
        <v>N.A.</v>
      </c>
      <c r="AP35" s="10" t="e">
        <f t="shared" si="10"/>
        <v>#REF!</v>
      </c>
      <c r="AQ35" s="170">
        <v>0.3</v>
      </c>
      <c r="AR35" s="17" t="e">
        <f>_xlfn.XLOOKUP($D35,#REF!,#REF!,,0,)</f>
        <v>#REF!</v>
      </c>
      <c r="AS35" s="10" t="e">
        <f>_xlfn.XLOOKUP($D35,#REF!,#REF!,,0,)</f>
        <v>#REF!</v>
      </c>
      <c r="AT35" s="44" t="str">
        <f>Tab_Process_TCs2527[[#This Row],[Flow_ID]]</f>
        <v>N.A.</v>
      </c>
      <c r="AU35" s="44" t="e">
        <f t="shared" si="11"/>
        <v>#REF!</v>
      </c>
      <c r="AV35" s="170"/>
      <c r="AW35" s="17" t="e">
        <f>_xlfn.XLOOKUP($D35,#REF!,#REF!,,0,)</f>
        <v>#REF!</v>
      </c>
      <c r="AX35" s="10" t="e">
        <f>_xlfn.XLOOKUP($D35,#REF!,#REF!,,0,)</f>
        <v>#REF!</v>
      </c>
      <c r="AY35" s="44" t="str">
        <f>Tab_Process_TCs2527[[#This Row],[Flow_ID]]</f>
        <v>N.A.</v>
      </c>
      <c r="AZ35" s="44" t="e">
        <f t="shared" si="12"/>
        <v>#REF!</v>
      </c>
      <c r="BA35" s="170"/>
      <c r="BB35" s="10" t="e">
        <f>_xlfn.XLOOKUP($D35,#REF!,#REF!,,0,)</f>
        <v>#REF!</v>
      </c>
      <c r="BC35" s="10" t="e">
        <f>_xlfn.XLOOKUP($D35,#REF!,#REF!,,0,)</f>
        <v>#REF!</v>
      </c>
      <c r="BD35" s="44" t="str">
        <f>Tab_Process_TCs2527[[#This Row],[Flow_ID]]</f>
        <v>N.A.</v>
      </c>
      <c r="BE35" s="44" t="e">
        <f t="shared" si="13"/>
        <v>#REF!</v>
      </c>
      <c r="BF35" s="51"/>
      <c r="BG35" s="54">
        <f>Tab_Process_TCs2527[[#This Row],[TC O_6_'[%']]]+Tab_Process_TCs2527[[#This Row],[TC O_5_'[%']]]+Tab_Process_TCs2527[[#This Row],[TC_O_4_'[%']]]+Tab_Process_TCs2527[[#This Row],[TC_O_3_'[%']]]+Tab_Process_TCs2527[[#This Row],[TC_O_2_'[%']]]+Tab_Process_TCs2527[[#This Row],[TC_O_1_'[%']]]</f>
        <v>1</v>
      </c>
      <c r="BH35" s="12"/>
      <c r="BI35" s="12"/>
      <c r="BJ35" s="12"/>
      <c r="BK35" s="12"/>
      <c r="BL35" s="12"/>
    </row>
    <row r="36" spans="1:64" x14ac:dyDescent="0.25">
      <c r="A36" s="197" t="b">
        <v>0</v>
      </c>
      <c r="B36" s="10">
        <f t="shared" si="7"/>
        <v>35</v>
      </c>
      <c r="C36" s="49" t="e">
        <f>_xlfn.XLOOKUP($D36,Tab_Process_TCs[Name(EN)],Tab_Process_TCs[Process_ID],,0,)</f>
        <v>#N/A</v>
      </c>
      <c r="D36" s="192" t="s">
        <v>35</v>
      </c>
      <c r="E36" s="192" t="s">
        <v>35</v>
      </c>
      <c r="F36" s="49" t="e">
        <f>_xlfn.XLOOKUP($D36,Tab_Process_TCs[Name(EN)],Tab_Process_TCs[TC?],,0,)</f>
        <v>#N/A</v>
      </c>
      <c r="G36" s="49" t="e">
        <f>_xlfn.XLOOKUP($D36,Tab_Process_TCs[Name(EN)],Tab_Process_TCs[Dyn_TC?],,0,)</f>
        <v>#N/A</v>
      </c>
      <c r="H36" s="10" t="str">
        <f>_xlfn.XLOOKUP($E36,Tab_Def_Flows[Name(EN)],Tab_Def_Flows[Flow_ID],,0,1)</f>
        <v>N.A.</v>
      </c>
      <c r="I36" s="10" t="str">
        <f>IF(Tab_Process_TCs2527[[#This Row],[Name(EN)]]="N.A.","N.A.","TC"&amp;"_"&amp;RIGHT(H36,5))</f>
        <v>N.A.</v>
      </c>
      <c r="J36" s="12"/>
      <c r="K36" s="186"/>
      <c r="L36" s="10"/>
      <c r="M36" s="17" t="e">
        <f>_xlfn.XLOOKUP($D36,Tab_Def_Processes[Name(EN)],Tab_Def_Processes[Input_Flow_I_1],,0,)</f>
        <v>#N/A</v>
      </c>
      <c r="N36" s="10" t="e">
        <f>_xlfn.XLOOKUP($D36,Tab_Def_Processes[Name(EN)],Tab_Def_Processes[Flow_ID_I_1],,0,)</f>
        <v>#N/A</v>
      </c>
      <c r="O36" s="34"/>
      <c r="P36" s="30" t="e">
        <f>_xlfn.XLOOKUP($D36,Tab_Def_Processes[Name(EN)],Tab_Def_Processes[Input_Flow_I_2],,0,)</f>
        <v>#N/A</v>
      </c>
      <c r="Q36" s="10" t="e">
        <f>_xlfn.XLOOKUP($D36,Tab_Def_Processes[Name(EN)],Tab_Def_Processes[Flow_ID_I_2],,0,)</f>
        <v>#N/A</v>
      </c>
      <c r="R36" s="34"/>
      <c r="S36" s="30" t="e">
        <f>_xlfn.XLOOKUP($D36,Tab_Def_Processes[Name(EN)],Tab_Def_Processes[Input_Flow_I_3],,0,)</f>
        <v>#N/A</v>
      </c>
      <c r="T36" s="10" t="e">
        <f>_xlfn.XLOOKUP($D36,Tab_Def_Processes[Name(EN)],Tab_Def_Processes[Flow_ID_I_3],,0,)</f>
        <v>#N/A</v>
      </c>
      <c r="U36" s="34"/>
      <c r="V36" s="30" t="e">
        <f>_xlfn.XLOOKUP($D36,Tab_Def_Processes[Name(EN)],Tab_Def_Processes[Input_Flow_I_4],,0,)</f>
        <v>#N/A</v>
      </c>
      <c r="W36" s="10" t="e">
        <f>_xlfn.XLOOKUP($D36,Tab_Def_Processes[Name(EN)],Tab_Def_Processes[Flow_ID_I_4],,0,)</f>
        <v>#N/A</v>
      </c>
      <c r="X36" s="34"/>
      <c r="Y36" s="30" t="e">
        <f>_xlfn.XLOOKUP($D36,Tab_Def_Processes[Name(EN)],Tab_Def_Processes[Input_Flow_I_5],,0,)</f>
        <v>#N/A</v>
      </c>
      <c r="Z36" s="10" t="e">
        <f>_xlfn.XLOOKUP($D36,Tab_Def_Processes[Name(EN)],Tab_Def_Processes[Flow_ID_I_5],,0,)</f>
        <v>#N/A</v>
      </c>
      <c r="AA36" s="34"/>
      <c r="AB36" s="33">
        <f>Tab_Process_TCs2527[[#This Row],[Flow_TC_I_1_'[%']]]+Tab_Process_TCs2527[[#This Row],[Flow_TC_I_2_'[%']]]+Tab_Process_TCs2527[[#This Row],[Flow_TC_I_3_'[%']]]+Tab_Process_TCs2527[[#This Row],[Flow_TC_I_4_'[%']]]+Tab_Process_TCs2527[[#This Row],[Flow_TC_I_5_'[%']]]</f>
        <v>0</v>
      </c>
      <c r="AC36" s="17" t="e">
        <f>_xlfn.XLOOKUP($D36,#REF!,#REF!,,0,)</f>
        <v>#REF!</v>
      </c>
      <c r="AD36" s="10" t="e">
        <f>_xlfn.XLOOKUP($D36,#REF!,#REF!,,0,)</f>
        <v>#REF!</v>
      </c>
      <c r="AE36" s="44" t="str">
        <f>Tab_Process_TCs2527[[#This Row],[Flow_ID]]</f>
        <v>N.A.</v>
      </c>
      <c r="AF36" s="10" t="e">
        <f t="shared" si="8"/>
        <v>#REF!</v>
      </c>
      <c r="AG36" s="51">
        <v>1</v>
      </c>
      <c r="AH36" s="171" t="e">
        <f>_xlfn.XLOOKUP($D36,#REF!,#REF!,,0,)</f>
        <v>#REF!</v>
      </c>
      <c r="AI36" s="55" t="e">
        <f>_xlfn.XLOOKUP($D36,#REF!,#REF!,,0,)</f>
        <v>#REF!</v>
      </c>
      <c r="AJ36" s="44" t="str">
        <f>Tab_Process_TCs2527[[#This Row],[Flow_ID]]</f>
        <v>N.A.</v>
      </c>
      <c r="AK36" s="10" t="e">
        <f t="shared" si="9"/>
        <v>#REF!</v>
      </c>
      <c r="AL36" s="170"/>
      <c r="AM36" s="17" t="e">
        <f>_xlfn.XLOOKUP($D36,#REF!,#REF!,,0,)</f>
        <v>#REF!</v>
      </c>
      <c r="AN36" s="10" t="e">
        <f>_xlfn.XLOOKUP($D36,#REF!,#REF!,,0,)</f>
        <v>#REF!</v>
      </c>
      <c r="AO36" s="44" t="str">
        <f>Tab_Process_TCs2527[[#This Row],[Flow_ID]]</f>
        <v>N.A.</v>
      </c>
      <c r="AP36" s="10" t="e">
        <f t="shared" si="10"/>
        <v>#REF!</v>
      </c>
      <c r="AQ36" s="170"/>
      <c r="AR36" s="17" t="e">
        <f>_xlfn.XLOOKUP($D36,#REF!,#REF!,,0,)</f>
        <v>#REF!</v>
      </c>
      <c r="AS36" s="10" t="e">
        <f>_xlfn.XLOOKUP($D36,#REF!,#REF!,,0,)</f>
        <v>#REF!</v>
      </c>
      <c r="AT36" s="44" t="str">
        <f>Tab_Process_TCs2527[[#This Row],[Flow_ID]]</f>
        <v>N.A.</v>
      </c>
      <c r="AU36" s="44" t="e">
        <f t="shared" si="11"/>
        <v>#REF!</v>
      </c>
      <c r="AV36" s="170"/>
      <c r="AW36" s="17" t="e">
        <f>_xlfn.XLOOKUP($D36,#REF!,#REF!,,0,)</f>
        <v>#REF!</v>
      </c>
      <c r="AX36" s="10" t="e">
        <f>_xlfn.XLOOKUP($D36,#REF!,#REF!,,0,)</f>
        <v>#REF!</v>
      </c>
      <c r="AY36" s="44" t="str">
        <f>Tab_Process_TCs2527[[#This Row],[Flow_ID]]</f>
        <v>N.A.</v>
      </c>
      <c r="AZ36" s="44" t="e">
        <f t="shared" si="12"/>
        <v>#REF!</v>
      </c>
      <c r="BA36" s="170"/>
      <c r="BB36" s="10" t="e">
        <f>_xlfn.XLOOKUP($D36,#REF!,#REF!,,0,)</f>
        <v>#REF!</v>
      </c>
      <c r="BC36" s="10" t="e">
        <f>_xlfn.XLOOKUP($D36,#REF!,#REF!,,0,)</f>
        <v>#REF!</v>
      </c>
      <c r="BD36" s="44" t="str">
        <f>Tab_Process_TCs2527[[#This Row],[Flow_ID]]</f>
        <v>N.A.</v>
      </c>
      <c r="BE36" s="44" t="e">
        <f t="shared" si="13"/>
        <v>#REF!</v>
      </c>
      <c r="BF36" s="51"/>
      <c r="BG36" s="54">
        <f>Tab_Process_TCs2527[[#This Row],[TC O_6_'[%']]]+Tab_Process_TCs2527[[#This Row],[TC O_5_'[%']]]+Tab_Process_TCs2527[[#This Row],[TC_O_4_'[%']]]+Tab_Process_TCs2527[[#This Row],[TC_O_3_'[%']]]+Tab_Process_TCs2527[[#This Row],[TC_O_2_'[%']]]+Tab_Process_TCs2527[[#This Row],[TC_O_1_'[%']]]</f>
        <v>1</v>
      </c>
      <c r="BH36" s="12"/>
      <c r="BI36" s="12"/>
      <c r="BJ36" s="12"/>
      <c r="BK36" s="12"/>
      <c r="BL36" s="12"/>
    </row>
    <row r="37" spans="1:64" x14ac:dyDescent="0.25">
      <c r="A37" s="197" t="b">
        <v>0</v>
      </c>
      <c r="B37" s="10">
        <f t="shared" si="7"/>
        <v>36</v>
      </c>
      <c r="C37" s="49" t="e">
        <f>_xlfn.XLOOKUP($D37,Tab_Process_TCs[Name(EN)],Tab_Process_TCs[Process_ID],,0,)</f>
        <v>#N/A</v>
      </c>
      <c r="D37" s="192" t="s">
        <v>35</v>
      </c>
      <c r="E37" s="192" t="s">
        <v>35</v>
      </c>
      <c r="F37" s="49" t="e">
        <f>_xlfn.XLOOKUP($D37,Tab_Process_TCs[Name(EN)],Tab_Process_TCs[TC?],,0,)</f>
        <v>#N/A</v>
      </c>
      <c r="G37" s="49" t="e">
        <f>_xlfn.XLOOKUP($D37,Tab_Process_TCs[Name(EN)],Tab_Process_TCs[Dyn_TC?],,0,)</f>
        <v>#N/A</v>
      </c>
      <c r="H37" s="10" t="str">
        <f>_xlfn.XLOOKUP($E37,Tab_Def_Flows[Name(EN)],Tab_Def_Flows[Flow_ID],,0,1)</f>
        <v>N.A.</v>
      </c>
      <c r="I37" s="10" t="str">
        <f>IF(Tab_Process_TCs2527[[#This Row],[Name(EN)]]="N.A.","N.A.","TC"&amp;"_"&amp;RIGHT(H37,5))</f>
        <v>N.A.</v>
      </c>
      <c r="J37" s="12"/>
      <c r="K37" s="186"/>
      <c r="L37" s="10"/>
      <c r="M37" s="17" t="e">
        <f>_xlfn.XLOOKUP($D37,Tab_Def_Processes[Name(EN)],Tab_Def_Processes[Input_Flow_I_1],,0,)</f>
        <v>#N/A</v>
      </c>
      <c r="N37" s="10" t="e">
        <f>_xlfn.XLOOKUP($D37,Tab_Def_Processes[Name(EN)],Tab_Def_Processes[Flow_ID_I_1],,0,)</f>
        <v>#N/A</v>
      </c>
      <c r="O37" s="34"/>
      <c r="P37" s="30" t="e">
        <f>_xlfn.XLOOKUP($D37,Tab_Def_Processes[Name(EN)],Tab_Def_Processes[Input_Flow_I_2],,0,)</f>
        <v>#N/A</v>
      </c>
      <c r="Q37" s="10" t="e">
        <f>_xlfn.XLOOKUP($D37,Tab_Def_Processes[Name(EN)],Tab_Def_Processes[Flow_ID_I_2],,0,)</f>
        <v>#N/A</v>
      </c>
      <c r="R37" s="34"/>
      <c r="S37" s="30" t="e">
        <f>_xlfn.XLOOKUP($D37,Tab_Def_Processes[Name(EN)],Tab_Def_Processes[Input_Flow_I_3],,0,)</f>
        <v>#N/A</v>
      </c>
      <c r="T37" s="10" t="e">
        <f>_xlfn.XLOOKUP($D37,Tab_Def_Processes[Name(EN)],Tab_Def_Processes[Flow_ID_I_3],,0,)</f>
        <v>#N/A</v>
      </c>
      <c r="U37" s="34"/>
      <c r="V37" s="30" t="e">
        <f>_xlfn.XLOOKUP($D37,Tab_Def_Processes[Name(EN)],Tab_Def_Processes[Input_Flow_I_4],,0,)</f>
        <v>#N/A</v>
      </c>
      <c r="W37" s="10" t="e">
        <f>_xlfn.XLOOKUP($D37,Tab_Def_Processes[Name(EN)],Tab_Def_Processes[Flow_ID_I_4],,0,)</f>
        <v>#N/A</v>
      </c>
      <c r="X37" s="34"/>
      <c r="Y37" s="30" t="e">
        <f>_xlfn.XLOOKUP($D37,Tab_Def_Processes[Name(EN)],Tab_Def_Processes[Input_Flow_I_5],,0,)</f>
        <v>#N/A</v>
      </c>
      <c r="Z37" s="10" t="e">
        <f>_xlfn.XLOOKUP($D37,Tab_Def_Processes[Name(EN)],Tab_Def_Processes[Flow_ID_I_5],,0,)</f>
        <v>#N/A</v>
      </c>
      <c r="AA37" s="34"/>
      <c r="AB37" s="33">
        <f>Tab_Process_TCs2527[[#This Row],[Flow_TC_I_1_'[%']]]+Tab_Process_TCs2527[[#This Row],[Flow_TC_I_2_'[%']]]+Tab_Process_TCs2527[[#This Row],[Flow_TC_I_3_'[%']]]+Tab_Process_TCs2527[[#This Row],[Flow_TC_I_4_'[%']]]+Tab_Process_TCs2527[[#This Row],[Flow_TC_I_5_'[%']]]</f>
        <v>0</v>
      </c>
      <c r="AC37" s="17" t="e">
        <f>_xlfn.XLOOKUP($D37,#REF!,#REF!,,0,)</f>
        <v>#REF!</v>
      </c>
      <c r="AD37" s="10" t="e">
        <f>_xlfn.XLOOKUP($D37,#REF!,#REF!,,0,)</f>
        <v>#REF!</v>
      </c>
      <c r="AE37" s="44" t="str">
        <f>Tab_Process_TCs2527[[#This Row],[Flow_ID]]</f>
        <v>N.A.</v>
      </c>
      <c r="AF37" s="10" t="e">
        <f t="shared" si="8"/>
        <v>#REF!</v>
      </c>
      <c r="AG37" s="51">
        <v>1</v>
      </c>
      <c r="AH37" s="171" t="e">
        <f>_xlfn.XLOOKUP($D37,#REF!,#REF!,,0,)</f>
        <v>#REF!</v>
      </c>
      <c r="AI37" s="55" t="e">
        <f>_xlfn.XLOOKUP($D37,#REF!,#REF!,,0,)</f>
        <v>#REF!</v>
      </c>
      <c r="AJ37" s="44" t="str">
        <f>Tab_Process_TCs2527[[#This Row],[Flow_ID]]</f>
        <v>N.A.</v>
      </c>
      <c r="AK37" s="10" t="e">
        <f t="shared" si="9"/>
        <v>#REF!</v>
      </c>
      <c r="AL37" s="170"/>
      <c r="AM37" s="17" t="e">
        <f>_xlfn.XLOOKUP($D37,#REF!,#REF!,,0,)</f>
        <v>#REF!</v>
      </c>
      <c r="AN37" s="10" t="e">
        <f>_xlfn.XLOOKUP($D37,#REF!,#REF!,,0,)</f>
        <v>#REF!</v>
      </c>
      <c r="AO37" s="44" t="str">
        <f>Tab_Process_TCs2527[[#This Row],[Flow_ID]]</f>
        <v>N.A.</v>
      </c>
      <c r="AP37" s="10" t="e">
        <f t="shared" si="10"/>
        <v>#REF!</v>
      </c>
      <c r="AQ37" s="170"/>
      <c r="AR37" s="17" t="e">
        <f>_xlfn.XLOOKUP($D37,#REF!,#REF!,,0,)</f>
        <v>#REF!</v>
      </c>
      <c r="AS37" s="10" t="e">
        <f>_xlfn.XLOOKUP($D37,#REF!,#REF!,,0,)</f>
        <v>#REF!</v>
      </c>
      <c r="AT37" s="44" t="str">
        <f>Tab_Process_TCs2527[[#This Row],[Flow_ID]]</f>
        <v>N.A.</v>
      </c>
      <c r="AU37" s="44" t="e">
        <f t="shared" si="11"/>
        <v>#REF!</v>
      </c>
      <c r="AV37" s="170"/>
      <c r="AW37" s="17" t="e">
        <f>_xlfn.XLOOKUP($D37,#REF!,#REF!,,0,)</f>
        <v>#REF!</v>
      </c>
      <c r="AX37" s="10" t="e">
        <f>_xlfn.XLOOKUP($D37,#REF!,#REF!,,0,)</f>
        <v>#REF!</v>
      </c>
      <c r="AY37" s="44" t="str">
        <f>Tab_Process_TCs2527[[#This Row],[Flow_ID]]</f>
        <v>N.A.</v>
      </c>
      <c r="AZ37" s="44" t="e">
        <f t="shared" si="12"/>
        <v>#REF!</v>
      </c>
      <c r="BA37" s="170"/>
      <c r="BB37" s="10" t="e">
        <f>_xlfn.XLOOKUP($D37,#REF!,#REF!,,0,)</f>
        <v>#REF!</v>
      </c>
      <c r="BC37" s="10" t="e">
        <f>_xlfn.XLOOKUP($D37,#REF!,#REF!,,0,)</f>
        <v>#REF!</v>
      </c>
      <c r="BD37" s="44" t="str">
        <f>Tab_Process_TCs2527[[#This Row],[Flow_ID]]</f>
        <v>N.A.</v>
      </c>
      <c r="BE37" s="44" t="e">
        <f t="shared" si="13"/>
        <v>#REF!</v>
      </c>
      <c r="BF37" s="51"/>
      <c r="BG37" s="54">
        <f>Tab_Process_TCs2527[[#This Row],[TC O_6_'[%']]]+Tab_Process_TCs2527[[#This Row],[TC O_5_'[%']]]+Tab_Process_TCs2527[[#This Row],[TC_O_4_'[%']]]+Tab_Process_TCs2527[[#This Row],[TC_O_3_'[%']]]+Tab_Process_TCs2527[[#This Row],[TC_O_2_'[%']]]+Tab_Process_TCs2527[[#This Row],[TC_O_1_'[%']]]</f>
        <v>1</v>
      </c>
      <c r="BH37" s="12"/>
      <c r="BI37" s="12"/>
      <c r="BJ37" s="12"/>
      <c r="BK37" s="12"/>
      <c r="BL37" s="12"/>
    </row>
    <row r="38" spans="1:64" x14ac:dyDescent="0.25">
      <c r="A38" s="197" t="b">
        <v>0</v>
      </c>
      <c r="B38" s="10">
        <f t="shared" si="7"/>
        <v>37</v>
      </c>
      <c r="C38" s="49" t="e">
        <f>_xlfn.XLOOKUP($D38,Tab_Process_TCs[Name(EN)],Tab_Process_TCs[Process_ID],,0,)</f>
        <v>#N/A</v>
      </c>
      <c r="D38" s="192" t="s">
        <v>35</v>
      </c>
      <c r="E38" s="192" t="s">
        <v>35</v>
      </c>
      <c r="F38" s="49" t="e">
        <f>_xlfn.XLOOKUP($D38,Tab_Process_TCs[Name(EN)],Tab_Process_TCs[TC?],,0,)</f>
        <v>#N/A</v>
      </c>
      <c r="G38" s="49" t="e">
        <f>_xlfn.XLOOKUP($D38,Tab_Process_TCs[Name(EN)],Tab_Process_TCs[Dyn_TC?],,0,)</f>
        <v>#N/A</v>
      </c>
      <c r="H38" s="10" t="str">
        <f>_xlfn.XLOOKUP($E38,Tab_Def_Flows[Name(EN)],Tab_Def_Flows[Flow_ID],,0,1)</f>
        <v>N.A.</v>
      </c>
      <c r="I38" s="10" t="str">
        <f>IF(Tab_Process_TCs2527[[#This Row],[Name(EN)]]="N.A.","N.A.","TC"&amp;"_"&amp;RIGHT(H38,5))</f>
        <v>N.A.</v>
      </c>
      <c r="J38" s="12"/>
      <c r="K38" s="186"/>
      <c r="L38" s="10"/>
      <c r="M38" s="17" t="e">
        <f>_xlfn.XLOOKUP($D38,Tab_Def_Processes[Name(EN)],Tab_Def_Processes[Input_Flow_I_1],,0,)</f>
        <v>#N/A</v>
      </c>
      <c r="N38" s="10" t="e">
        <f>_xlfn.XLOOKUP($D38,Tab_Def_Processes[Name(EN)],Tab_Def_Processes[Flow_ID_I_1],,0,)</f>
        <v>#N/A</v>
      </c>
      <c r="O38" s="34"/>
      <c r="P38" s="30" t="e">
        <f>_xlfn.XLOOKUP($D38,Tab_Def_Processes[Name(EN)],Tab_Def_Processes[Input_Flow_I_2],,0,)</f>
        <v>#N/A</v>
      </c>
      <c r="Q38" s="10" t="e">
        <f>_xlfn.XLOOKUP($D38,Tab_Def_Processes[Name(EN)],Tab_Def_Processes[Flow_ID_I_2],,0,)</f>
        <v>#N/A</v>
      </c>
      <c r="R38" s="34"/>
      <c r="S38" s="30" t="e">
        <f>_xlfn.XLOOKUP($D38,Tab_Def_Processes[Name(EN)],Tab_Def_Processes[Input_Flow_I_3],,0,)</f>
        <v>#N/A</v>
      </c>
      <c r="T38" s="10" t="e">
        <f>_xlfn.XLOOKUP($D38,Tab_Def_Processes[Name(EN)],Tab_Def_Processes[Flow_ID_I_3],,0,)</f>
        <v>#N/A</v>
      </c>
      <c r="U38" s="34"/>
      <c r="V38" s="30" t="e">
        <f>_xlfn.XLOOKUP($D38,Tab_Def_Processes[Name(EN)],Tab_Def_Processes[Input_Flow_I_4],,0,)</f>
        <v>#N/A</v>
      </c>
      <c r="W38" s="10" t="e">
        <f>_xlfn.XLOOKUP($D38,Tab_Def_Processes[Name(EN)],Tab_Def_Processes[Flow_ID_I_4],,0,)</f>
        <v>#N/A</v>
      </c>
      <c r="X38" s="34"/>
      <c r="Y38" s="30" t="e">
        <f>_xlfn.XLOOKUP($D38,Tab_Def_Processes[Name(EN)],Tab_Def_Processes[Input_Flow_I_5],,0,)</f>
        <v>#N/A</v>
      </c>
      <c r="Z38" s="10" t="e">
        <f>_xlfn.XLOOKUP($D38,Tab_Def_Processes[Name(EN)],Tab_Def_Processes[Flow_ID_I_5],,0,)</f>
        <v>#N/A</v>
      </c>
      <c r="AA38" s="34"/>
      <c r="AB38" s="33">
        <f>Tab_Process_TCs2527[[#This Row],[Flow_TC_I_1_'[%']]]+Tab_Process_TCs2527[[#This Row],[Flow_TC_I_2_'[%']]]+Tab_Process_TCs2527[[#This Row],[Flow_TC_I_3_'[%']]]+Tab_Process_TCs2527[[#This Row],[Flow_TC_I_4_'[%']]]+Tab_Process_TCs2527[[#This Row],[Flow_TC_I_5_'[%']]]</f>
        <v>0</v>
      </c>
      <c r="AC38" s="17" t="e">
        <f>_xlfn.XLOOKUP($D38,#REF!,#REF!,,0,)</f>
        <v>#REF!</v>
      </c>
      <c r="AD38" s="10" t="e">
        <f>_xlfn.XLOOKUP($D38,#REF!,#REF!,,0,)</f>
        <v>#REF!</v>
      </c>
      <c r="AE38" s="44" t="str">
        <f>Tab_Process_TCs2527[[#This Row],[Flow_ID]]</f>
        <v>N.A.</v>
      </c>
      <c r="AF38" s="10" t="e">
        <f t="shared" si="8"/>
        <v>#REF!</v>
      </c>
      <c r="AG38" s="51">
        <v>1</v>
      </c>
      <c r="AH38" s="171" t="e">
        <f>_xlfn.XLOOKUP($D38,#REF!,#REF!,,0,)</f>
        <v>#REF!</v>
      </c>
      <c r="AI38" s="55" t="e">
        <f>_xlfn.XLOOKUP($D38,#REF!,#REF!,,0,)</f>
        <v>#REF!</v>
      </c>
      <c r="AJ38" s="44" t="str">
        <f>Tab_Process_TCs2527[[#This Row],[Flow_ID]]</f>
        <v>N.A.</v>
      </c>
      <c r="AK38" s="10" t="e">
        <f t="shared" si="9"/>
        <v>#REF!</v>
      </c>
      <c r="AL38" s="170"/>
      <c r="AM38" s="17" t="e">
        <f>_xlfn.XLOOKUP($D38,#REF!,#REF!,,0,)</f>
        <v>#REF!</v>
      </c>
      <c r="AN38" s="10" t="e">
        <f>_xlfn.XLOOKUP($D38,#REF!,#REF!,,0,)</f>
        <v>#REF!</v>
      </c>
      <c r="AO38" s="44" t="str">
        <f>Tab_Process_TCs2527[[#This Row],[Flow_ID]]</f>
        <v>N.A.</v>
      </c>
      <c r="AP38" s="10" t="e">
        <f t="shared" si="10"/>
        <v>#REF!</v>
      </c>
      <c r="AQ38" s="170"/>
      <c r="AR38" s="17" t="e">
        <f>_xlfn.XLOOKUP($D38,#REF!,#REF!,,0,)</f>
        <v>#REF!</v>
      </c>
      <c r="AS38" s="10" t="e">
        <f>_xlfn.XLOOKUP($D38,#REF!,#REF!,,0,)</f>
        <v>#REF!</v>
      </c>
      <c r="AT38" s="44" t="str">
        <f>Tab_Process_TCs2527[[#This Row],[Flow_ID]]</f>
        <v>N.A.</v>
      </c>
      <c r="AU38" s="44" t="e">
        <f t="shared" si="11"/>
        <v>#REF!</v>
      </c>
      <c r="AV38" s="170"/>
      <c r="AW38" s="17" t="e">
        <f>_xlfn.XLOOKUP($D38,#REF!,#REF!,,0,)</f>
        <v>#REF!</v>
      </c>
      <c r="AX38" s="10" t="e">
        <f>_xlfn.XLOOKUP($D38,#REF!,#REF!,,0,)</f>
        <v>#REF!</v>
      </c>
      <c r="AY38" s="44" t="str">
        <f>Tab_Process_TCs2527[[#This Row],[Flow_ID]]</f>
        <v>N.A.</v>
      </c>
      <c r="AZ38" s="44" t="e">
        <f t="shared" si="12"/>
        <v>#REF!</v>
      </c>
      <c r="BA38" s="170"/>
      <c r="BB38" s="10" t="e">
        <f>_xlfn.XLOOKUP($D38,#REF!,#REF!,,0,)</f>
        <v>#REF!</v>
      </c>
      <c r="BC38" s="10" t="e">
        <f>_xlfn.XLOOKUP($D38,#REF!,#REF!,,0,)</f>
        <v>#REF!</v>
      </c>
      <c r="BD38" s="44" t="str">
        <f>Tab_Process_TCs2527[[#This Row],[Flow_ID]]</f>
        <v>N.A.</v>
      </c>
      <c r="BE38" s="44" t="e">
        <f t="shared" si="13"/>
        <v>#REF!</v>
      </c>
      <c r="BF38" s="51"/>
      <c r="BG38" s="54">
        <f>Tab_Process_TCs2527[[#This Row],[TC O_6_'[%']]]+Tab_Process_TCs2527[[#This Row],[TC O_5_'[%']]]+Tab_Process_TCs2527[[#This Row],[TC_O_4_'[%']]]+Tab_Process_TCs2527[[#This Row],[TC_O_3_'[%']]]+Tab_Process_TCs2527[[#This Row],[TC_O_2_'[%']]]+Tab_Process_TCs2527[[#This Row],[TC_O_1_'[%']]]</f>
        <v>1</v>
      </c>
      <c r="BH38" s="12"/>
      <c r="BI38" s="12"/>
      <c r="BJ38" s="12"/>
      <c r="BK38" s="12"/>
      <c r="BL38" s="12"/>
    </row>
    <row r="39" spans="1:64" x14ac:dyDescent="0.25">
      <c r="A39" s="197" t="b">
        <v>0</v>
      </c>
      <c r="B39" s="10">
        <f t="shared" si="7"/>
        <v>38</v>
      </c>
      <c r="C39" s="49" t="e">
        <f>_xlfn.XLOOKUP($D39,Tab_Process_TCs[Name(EN)],Tab_Process_TCs[Process_ID],,0,)</f>
        <v>#N/A</v>
      </c>
      <c r="D39" s="192" t="s">
        <v>35</v>
      </c>
      <c r="E39" s="192" t="s">
        <v>35</v>
      </c>
      <c r="F39" s="49" t="e">
        <f>_xlfn.XLOOKUP($D39,Tab_Process_TCs[Name(EN)],Tab_Process_TCs[TC?],,0,)</f>
        <v>#N/A</v>
      </c>
      <c r="G39" s="49" t="e">
        <f>_xlfn.XLOOKUP($D39,Tab_Process_TCs[Name(EN)],Tab_Process_TCs[Dyn_TC?],,0,)</f>
        <v>#N/A</v>
      </c>
      <c r="H39" s="10" t="str">
        <f>_xlfn.XLOOKUP($E39,Tab_Def_Flows[Name(EN)],Tab_Def_Flows[Flow_ID],,0,1)</f>
        <v>N.A.</v>
      </c>
      <c r="I39" s="10" t="str">
        <f>IF(Tab_Process_TCs2527[[#This Row],[Name(EN)]]="N.A.","N.A.","TC"&amp;"_"&amp;RIGHT(H39,5))</f>
        <v>N.A.</v>
      </c>
      <c r="J39" s="12"/>
      <c r="K39" s="186"/>
      <c r="L39" s="10"/>
      <c r="M39" s="17" t="e">
        <f>_xlfn.XLOOKUP($D39,Tab_Def_Processes[Name(EN)],Tab_Def_Processes[Input_Flow_I_1],,0,)</f>
        <v>#N/A</v>
      </c>
      <c r="N39" s="10" t="e">
        <f>_xlfn.XLOOKUP($D39,Tab_Def_Processes[Name(EN)],Tab_Def_Processes[Flow_ID_I_1],,0,)</f>
        <v>#N/A</v>
      </c>
      <c r="O39" s="34"/>
      <c r="P39" s="30" t="e">
        <f>_xlfn.XLOOKUP($D39,Tab_Def_Processes[Name(EN)],Tab_Def_Processes[Input_Flow_I_2],,0,)</f>
        <v>#N/A</v>
      </c>
      <c r="Q39" s="10" t="e">
        <f>_xlfn.XLOOKUP($D39,Tab_Def_Processes[Name(EN)],Tab_Def_Processes[Flow_ID_I_2],,0,)</f>
        <v>#N/A</v>
      </c>
      <c r="R39" s="34"/>
      <c r="S39" s="30" t="e">
        <f>_xlfn.XLOOKUP($D39,Tab_Def_Processes[Name(EN)],Tab_Def_Processes[Input_Flow_I_3],,0,)</f>
        <v>#N/A</v>
      </c>
      <c r="T39" s="10" t="e">
        <f>_xlfn.XLOOKUP($D39,Tab_Def_Processes[Name(EN)],Tab_Def_Processes[Flow_ID_I_3],,0,)</f>
        <v>#N/A</v>
      </c>
      <c r="U39" s="34"/>
      <c r="V39" s="30" t="e">
        <f>_xlfn.XLOOKUP($D39,Tab_Def_Processes[Name(EN)],Tab_Def_Processes[Input_Flow_I_4],,0,)</f>
        <v>#N/A</v>
      </c>
      <c r="W39" s="10" t="e">
        <f>_xlfn.XLOOKUP($D39,Tab_Def_Processes[Name(EN)],Tab_Def_Processes[Flow_ID_I_4],,0,)</f>
        <v>#N/A</v>
      </c>
      <c r="X39" s="34"/>
      <c r="Y39" s="30" t="e">
        <f>_xlfn.XLOOKUP($D39,Tab_Def_Processes[Name(EN)],Tab_Def_Processes[Input_Flow_I_5],,0,)</f>
        <v>#N/A</v>
      </c>
      <c r="Z39" s="10" t="e">
        <f>_xlfn.XLOOKUP($D39,Tab_Def_Processes[Name(EN)],Tab_Def_Processes[Flow_ID_I_5],,0,)</f>
        <v>#N/A</v>
      </c>
      <c r="AA39" s="34"/>
      <c r="AB39" s="33">
        <f>Tab_Process_TCs2527[[#This Row],[Flow_TC_I_1_'[%']]]+Tab_Process_TCs2527[[#This Row],[Flow_TC_I_2_'[%']]]+Tab_Process_TCs2527[[#This Row],[Flow_TC_I_3_'[%']]]+Tab_Process_TCs2527[[#This Row],[Flow_TC_I_4_'[%']]]+Tab_Process_TCs2527[[#This Row],[Flow_TC_I_5_'[%']]]</f>
        <v>0</v>
      </c>
      <c r="AC39" s="17" t="e">
        <f>_xlfn.XLOOKUP($D39,#REF!,#REF!,,0,)</f>
        <v>#REF!</v>
      </c>
      <c r="AD39" s="10" t="e">
        <f>_xlfn.XLOOKUP($D39,#REF!,#REF!,,0,)</f>
        <v>#REF!</v>
      </c>
      <c r="AE39" s="44" t="str">
        <f>Tab_Process_TCs2527[[#This Row],[Flow_ID]]</f>
        <v>N.A.</v>
      </c>
      <c r="AF39" s="10" t="e">
        <f t="shared" si="8"/>
        <v>#REF!</v>
      </c>
      <c r="AG39" s="51">
        <v>1</v>
      </c>
      <c r="AH39" s="171" t="e">
        <f>_xlfn.XLOOKUP($D39,#REF!,#REF!,,0,)</f>
        <v>#REF!</v>
      </c>
      <c r="AI39" s="55" t="e">
        <f>_xlfn.XLOOKUP($D39,#REF!,#REF!,,0,)</f>
        <v>#REF!</v>
      </c>
      <c r="AJ39" s="44" t="str">
        <f>Tab_Process_TCs2527[[#This Row],[Flow_ID]]</f>
        <v>N.A.</v>
      </c>
      <c r="AK39" s="10" t="e">
        <f t="shared" si="9"/>
        <v>#REF!</v>
      </c>
      <c r="AL39" s="170"/>
      <c r="AM39" s="17" t="e">
        <f>_xlfn.XLOOKUP($D39,#REF!,#REF!,,0,)</f>
        <v>#REF!</v>
      </c>
      <c r="AN39" s="10" t="e">
        <f>_xlfn.XLOOKUP($D39,#REF!,#REF!,,0,)</f>
        <v>#REF!</v>
      </c>
      <c r="AO39" s="44" t="str">
        <f>Tab_Process_TCs2527[[#This Row],[Flow_ID]]</f>
        <v>N.A.</v>
      </c>
      <c r="AP39" s="10" t="e">
        <f t="shared" si="10"/>
        <v>#REF!</v>
      </c>
      <c r="AQ39" s="170"/>
      <c r="AR39" s="17" t="e">
        <f>_xlfn.XLOOKUP($D39,#REF!,#REF!,,0,)</f>
        <v>#REF!</v>
      </c>
      <c r="AS39" s="10" t="e">
        <f>_xlfn.XLOOKUP($D39,#REF!,#REF!,,0,)</f>
        <v>#REF!</v>
      </c>
      <c r="AT39" s="44" t="str">
        <f>Tab_Process_TCs2527[[#This Row],[Flow_ID]]</f>
        <v>N.A.</v>
      </c>
      <c r="AU39" s="44" t="e">
        <f t="shared" si="11"/>
        <v>#REF!</v>
      </c>
      <c r="AV39" s="170"/>
      <c r="AW39" s="17" t="e">
        <f>_xlfn.XLOOKUP($D39,#REF!,#REF!,,0,)</f>
        <v>#REF!</v>
      </c>
      <c r="AX39" s="10" t="e">
        <f>_xlfn.XLOOKUP($D39,#REF!,#REF!,,0,)</f>
        <v>#REF!</v>
      </c>
      <c r="AY39" s="44" t="str">
        <f>Tab_Process_TCs2527[[#This Row],[Flow_ID]]</f>
        <v>N.A.</v>
      </c>
      <c r="AZ39" s="44" t="e">
        <f t="shared" si="12"/>
        <v>#REF!</v>
      </c>
      <c r="BA39" s="170"/>
      <c r="BB39" s="10" t="e">
        <f>_xlfn.XLOOKUP($D39,#REF!,#REF!,,0,)</f>
        <v>#REF!</v>
      </c>
      <c r="BC39" s="10" t="e">
        <f>_xlfn.XLOOKUP($D39,#REF!,#REF!,,0,)</f>
        <v>#REF!</v>
      </c>
      <c r="BD39" s="44" t="str">
        <f>Tab_Process_TCs2527[[#This Row],[Flow_ID]]</f>
        <v>N.A.</v>
      </c>
      <c r="BE39" s="44" t="e">
        <f t="shared" si="13"/>
        <v>#REF!</v>
      </c>
      <c r="BF39" s="51"/>
      <c r="BG39" s="54">
        <f>Tab_Process_TCs2527[[#This Row],[TC O_6_'[%']]]+Tab_Process_TCs2527[[#This Row],[TC O_5_'[%']]]+Tab_Process_TCs2527[[#This Row],[TC_O_4_'[%']]]+Tab_Process_TCs2527[[#This Row],[TC_O_3_'[%']]]+Tab_Process_TCs2527[[#This Row],[TC_O_2_'[%']]]+Tab_Process_TCs2527[[#This Row],[TC_O_1_'[%']]]</f>
        <v>1</v>
      </c>
      <c r="BH39" s="12"/>
      <c r="BI39" s="12"/>
      <c r="BJ39" s="12"/>
      <c r="BK39" s="12"/>
      <c r="BL39" s="12"/>
    </row>
    <row r="40" spans="1:64" x14ac:dyDescent="0.25">
      <c r="A40" s="197" t="b">
        <v>0</v>
      </c>
      <c r="B40" s="10">
        <f t="shared" si="7"/>
        <v>39</v>
      </c>
      <c r="C40" s="49" t="e">
        <f>_xlfn.XLOOKUP($D40,Tab_Process_TCs[Name(EN)],Tab_Process_TCs[Process_ID],,0,)</f>
        <v>#N/A</v>
      </c>
      <c r="D40" s="192" t="s">
        <v>35</v>
      </c>
      <c r="E40" s="192" t="s">
        <v>35</v>
      </c>
      <c r="F40" s="49" t="e">
        <f>_xlfn.XLOOKUP($D40,Tab_Process_TCs[Name(EN)],Tab_Process_TCs[TC?],,0,)</f>
        <v>#N/A</v>
      </c>
      <c r="G40" s="49" t="e">
        <f>_xlfn.XLOOKUP($D40,Tab_Process_TCs[Name(EN)],Tab_Process_TCs[Dyn_TC?],,0,)</f>
        <v>#N/A</v>
      </c>
      <c r="H40" s="10" t="str">
        <f>_xlfn.XLOOKUP($E40,Tab_Def_Flows[Name(EN)],Tab_Def_Flows[Flow_ID],,0,1)</f>
        <v>N.A.</v>
      </c>
      <c r="I40" s="10" t="str">
        <f>IF(Tab_Process_TCs2527[[#This Row],[Name(EN)]]="N.A.","N.A.","TC"&amp;"_"&amp;RIGHT(H40,5))</f>
        <v>N.A.</v>
      </c>
      <c r="J40" s="12"/>
      <c r="K40" s="186"/>
      <c r="L40" s="10"/>
      <c r="M40" s="17" t="e">
        <f>_xlfn.XLOOKUP($D40,Tab_Def_Processes[Name(EN)],Tab_Def_Processes[Input_Flow_I_1],,0,)</f>
        <v>#N/A</v>
      </c>
      <c r="N40" s="10" t="e">
        <f>_xlfn.XLOOKUP($D40,Tab_Def_Processes[Name(EN)],Tab_Def_Processes[Flow_ID_I_1],,0,)</f>
        <v>#N/A</v>
      </c>
      <c r="O40" s="34"/>
      <c r="P40" s="30" t="e">
        <f>_xlfn.XLOOKUP($D40,Tab_Def_Processes[Name(EN)],Tab_Def_Processes[Input_Flow_I_2],,0,)</f>
        <v>#N/A</v>
      </c>
      <c r="Q40" s="10" t="e">
        <f>_xlfn.XLOOKUP($D40,Tab_Def_Processes[Name(EN)],Tab_Def_Processes[Flow_ID_I_2],,0,)</f>
        <v>#N/A</v>
      </c>
      <c r="R40" s="34"/>
      <c r="S40" s="30" t="e">
        <f>_xlfn.XLOOKUP($D40,Tab_Def_Processes[Name(EN)],Tab_Def_Processes[Input_Flow_I_3],,0,)</f>
        <v>#N/A</v>
      </c>
      <c r="T40" s="10" t="e">
        <f>_xlfn.XLOOKUP($D40,Tab_Def_Processes[Name(EN)],Tab_Def_Processes[Flow_ID_I_3],,0,)</f>
        <v>#N/A</v>
      </c>
      <c r="U40" s="34"/>
      <c r="V40" s="30" t="e">
        <f>_xlfn.XLOOKUP($D40,Tab_Def_Processes[Name(EN)],Tab_Def_Processes[Input_Flow_I_4],,0,)</f>
        <v>#N/A</v>
      </c>
      <c r="W40" s="10" t="e">
        <f>_xlfn.XLOOKUP($D40,Tab_Def_Processes[Name(EN)],Tab_Def_Processes[Flow_ID_I_4],,0,)</f>
        <v>#N/A</v>
      </c>
      <c r="X40" s="34"/>
      <c r="Y40" s="30" t="e">
        <f>_xlfn.XLOOKUP($D40,Tab_Def_Processes[Name(EN)],Tab_Def_Processes[Input_Flow_I_5],,0,)</f>
        <v>#N/A</v>
      </c>
      <c r="Z40" s="10" t="e">
        <f>_xlfn.XLOOKUP($D40,Tab_Def_Processes[Name(EN)],Tab_Def_Processes[Flow_ID_I_5],,0,)</f>
        <v>#N/A</v>
      </c>
      <c r="AA40" s="34"/>
      <c r="AB40" s="33">
        <f>Tab_Process_TCs2527[[#This Row],[Flow_TC_I_1_'[%']]]+Tab_Process_TCs2527[[#This Row],[Flow_TC_I_2_'[%']]]+Tab_Process_TCs2527[[#This Row],[Flow_TC_I_3_'[%']]]+Tab_Process_TCs2527[[#This Row],[Flow_TC_I_4_'[%']]]+Tab_Process_TCs2527[[#This Row],[Flow_TC_I_5_'[%']]]</f>
        <v>0</v>
      </c>
      <c r="AC40" s="17" t="e">
        <f>_xlfn.XLOOKUP($D40,#REF!,#REF!,,0,)</f>
        <v>#REF!</v>
      </c>
      <c r="AD40" s="10" t="e">
        <f>_xlfn.XLOOKUP($D40,#REF!,#REF!,,0,)</f>
        <v>#REF!</v>
      </c>
      <c r="AE40" s="44" t="str">
        <f>Tab_Process_TCs2527[[#This Row],[Flow_ID]]</f>
        <v>N.A.</v>
      </c>
      <c r="AF40" s="10" t="e">
        <f t="shared" si="8"/>
        <v>#REF!</v>
      </c>
      <c r="AG40" s="51">
        <v>1</v>
      </c>
      <c r="AH40" s="171" t="e">
        <f>_xlfn.XLOOKUP($D40,#REF!,#REF!,,0,)</f>
        <v>#REF!</v>
      </c>
      <c r="AI40" s="55" t="e">
        <f>_xlfn.XLOOKUP($D40,#REF!,#REF!,,0,)</f>
        <v>#REF!</v>
      </c>
      <c r="AJ40" s="44" t="str">
        <f>Tab_Process_TCs2527[[#This Row],[Flow_ID]]</f>
        <v>N.A.</v>
      </c>
      <c r="AK40" s="10" t="e">
        <f t="shared" si="9"/>
        <v>#REF!</v>
      </c>
      <c r="AL40" s="170"/>
      <c r="AM40" s="17" t="e">
        <f>_xlfn.XLOOKUP($D40,#REF!,#REF!,,0,)</f>
        <v>#REF!</v>
      </c>
      <c r="AN40" s="10" t="e">
        <f>_xlfn.XLOOKUP($D40,#REF!,#REF!,,0,)</f>
        <v>#REF!</v>
      </c>
      <c r="AO40" s="44" t="str">
        <f>Tab_Process_TCs2527[[#This Row],[Flow_ID]]</f>
        <v>N.A.</v>
      </c>
      <c r="AP40" s="10" t="e">
        <f t="shared" si="10"/>
        <v>#REF!</v>
      </c>
      <c r="AQ40" s="170"/>
      <c r="AR40" s="17" t="e">
        <f>_xlfn.XLOOKUP($D40,#REF!,#REF!,,0,)</f>
        <v>#REF!</v>
      </c>
      <c r="AS40" s="10" t="e">
        <f>_xlfn.XLOOKUP($D40,#REF!,#REF!,,0,)</f>
        <v>#REF!</v>
      </c>
      <c r="AT40" s="44" t="str">
        <f>Tab_Process_TCs2527[[#This Row],[Flow_ID]]</f>
        <v>N.A.</v>
      </c>
      <c r="AU40" s="44" t="e">
        <f t="shared" si="11"/>
        <v>#REF!</v>
      </c>
      <c r="AV40" s="170"/>
      <c r="AW40" s="17" t="e">
        <f>_xlfn.XLOOKUP($D40,#REF!,#REF!,,0,)</f>
        <v>#REF!</v>
      </c>
      <c r="AX40" s="10" t="e">
        <f>_xlfn.XLOOKUP($D40,#REF!,#REF!,,0,)</f>
        <v>#REF!</v>
      </c>
      <c r="AY40" s="44" t="str">
        <f>Tab_Process_TCs2527[[#This Row],[Flow_ID]]</f>
        <v>N.A.</v>
      </c>
      <c r="AZ40" s="44" t="e">
        <f t="shared" si="12"/>
        <v>#REF!</v>
      </c>
      <c r="BA40" s="170"/>
      <c r="BB40" s="10" t="e">
        <f>_xlfn.XLOOKUP($D40,#REF!,#REF!,,0,)</f>
        <v>#REF!</v>
      </c>
      <c r="BC40" s="10" t="e">
        <f>_xlfn.XLOOKUP($D40,#REF!,#REF!,,0,)</f>
        <v>#REF!</v>
      </c>
      <c r="BD40" s="44" t="str">
        <f>Tab_Process_TCs2527[[#This Row],[Flow_ID]]</f>
        <v>N.A.</v>
      </c>
      <c r="BE40" s="44" t="e">
        <f t="shared" si="13"/>
        <v>#REF!</v>
      </c>
      <c r="BF40" s="51"/>
      <c r="BG40" s="54">
        <f>Tab_Process_TCs2527[[#This Row],[TC O_6_'[%']]]+Tab_Process_TCs2527[[#This Row],[TC O_5_'[%']]]+Tab_Process_TCs2527[[#This Row],[TC_O_4_'[%']]]+Tab_Process_TCs2527[[#This Row],[TC_O_3_'[%']]]+Tab_Process_TCs2527[[#This Row],[TC_O_2_'[%']]]+Tab_Process_TCs2527[[#This Row],[TC_O_1_'[%']]]</f>
        <v>1</v>
      </c>
      <c r="BH40" s="12"/>
      <c r="BI40" s="12"/>
      <c r="BJ40" s="12"/>
      <c r="BK40" s="12"/>
      <c r="BL40" s="12"/>
    </row>
    <row r="41" spans="1:64" x14ac:dyDescent="0.25">
      <c r="A41" s="197" t="b">
        <v>0</v>
      </c>
      <c r="B41" s="10">
        <f t="shared" si="7"/>
        <v>40</v>
      </c>
      <c r="C41" s="49" t="e">
        <f>_xlfn.XLOOKUP($D41,Tab_Process_TCs[Name(EN)],Tab_Process_TCs[Process_ID],,0,)</f>
        <v>#N/A</v>
      </c>
      <c r="D41" s="192" t="s">
        <v>35</v>
      </c>
      <c r="E41" s="192" t="s">
        <v>35</v>
      </c>
      <c r="F41" s="49" t="e">
        <f>_xlfn.XLOOKUP($D41,Tab_Process_TCs[Name(EN)],Tab_Process_TCs[TC?],,0,)</f>
        <v>#N/A</v>
      </c>
      <c r="G41" s="49" t="e">
        <f>_xlfn.XLOOKUP($D41,Tab_Process_TCs[Name(EN)],Tab_Process_TCs[Dyn_TC?],,0,)</f>
        <v>#N/A</v>
      </c>
      <c r="H41" s="10" t="str">
        <f>_xlfn.XLOOKUP($E41,Tab_Def_Flows[Name(EN)],Tab_Def_Flows[Flow_ID],,0,1)</f>
        <v>N.A.</v>
      </c>
      <c r="I41" s="10" t="str">
        <f>IF(Tab_Process_TCs2527[[#This Row],[Name(EN)]]="N.A.","N.A.","TC"&amp;"_"&amp;RIGHT(H41,5))</f>
        <v>N.A.</v>
      </c>
      <c r="J41" s="12"/>
      <c r="K41" s="186"/>
      <c r="L41" s="10"/>
      <c r="M41" s="17" t="e">
        <f>_xlfn.XLOOKUP($D41,Tab_Def_Processes[Name(EN)],Tab_Def_Processes[Input_Flow_I_1],,0,)</f>
        <v>#N/A</v>
      </c>
      <c r="N41" s="10" t="e">
        <f>_xlfn.XLOOKUP($D41,Tab_Def_Processes[Name(EN)],Tab_Def_Processes[Flow_ID_I_1],,0,)</f>
        <v>#N/A</v>
      </c>
      <c r="O41" s="34"/>
      <c r="P41" s="30" t="e">
        <f>_xlfn.XLOOKUP($D41,Tab_Def_Processes[Name(EN)],Tab_Def_Processes[Input_Flow_I_2],,0,)</f>
        <v>#N/A</v>
      </c>
      <c r="Q41" s="10" t="e">
        <f>_xlfn.XLOOKUP($D41,Tab_Def_Processes[Name(EN)],Tab_Def_Processes[Flow_ID_I_2],,0,)</f>
        <v>#N/A</v>
      </c>
      <c r="R41" s="34"/>
      <c r="S41" s="30" t="e">
        <f>_xlfn.XLOOKUP($D41,Tab_Def_Processes[Name(EN)],Tab_Def_Processes[Input_Flow_I_3],,0,)</f>
        <v>#N/A</v>
      </c>
      <c r="T41" s="10" t="e">
        <f>_xlfn.XLOOKUP($D41,Tab_Def_Processes[Name(EN)],Tab_Def_Processes[Flow_ID_I_3],,0,)</f>
        <v>#N/A</v>
      </c>
      <c r="U41" s="34"/>
      <c r="V41" s="30" t="e">
        <f>_xlfn.XLOOKUP($D41,Tab_Def_Processes[Name(EN)],Tab_Def_Processes[Input_Flow_I_4],,0,)</f>
        <v>#N/A</v>
      </c>
      <c r="W41" s="10" t="e">
        <f>_xlfn.XLOOKUP($D41,Tab_Def_Processes[Name(EN)],Tab_Def_Processes[Flow_ID_I_4],,0,)</f>
        <v>#N/A</v>
      </c>
      <c r="X41" s="34"/>
      <c r="Y41" s="30" t="e">
        <f>_xlfn.XLOOKUP($D41,Tab_Def_Processes[Name(EN)],Tab_Def_Processes[Input_Flow_I_5],,0,)</f>
        <v>#N/A</v>
      </c>
      <c r="Z41" s="10" t="e">
        <f>_xlfn.XLOOKUP($D41,Tab_Def_Processes[Name(EN)],Tab_Def_Processes[Flow_ID_I_5],,0,)</f>
        <v>#N/A</v>
      </c>
      <c r="AA41" s="34"/>
      <c r="AB41" s="33">
        <f>Tab_Process_TCs2527[[#This Row],[Flow_TC_I_1_'[%']]]+Tab_Process_TCs2527[[#This Row],[Flow_TC_I_2_'[%']]]+Tab_Process_TCs2527[[#This Row],[Flow_TC_I_3_'[%']]]+Tab_Process_TCs2527[[#This Row],[Flow_TC_I_4_'[%']]]+Tab_Process_TCs2527[[#This Row],[Flow_TC_I_5_'[%']]]</f>
        <v>0</v>
      </c>
      <c r="AC41" s="17" t="e">
        <f>_xlfn.XLOOKUP($D41,#REF!,#REF!,,0,)</f>
        <v>#REF!</v>
      </c>
      <c r="AD41" s="10" t="e">
        <f>_xlfn.XLOOKUP($D41,#REF!,#REF!,,0,)</f>
        <v>#REF!</v>
      </c>
      <c r="AE41" s="44" t="str">
        <f>Tab_Process_TCs2527[[#This Row],[Flow_ID]]</f>
        <v>N.A.</v>
      </c>
      <c r="AF41" s="10" t="e">
        <f t="shared" si="8"/>
        <v>#REF!</v>
      </c>
      <c r="AG41" s="51">
        <v>1</v>
      </c>
      <c r="AH41" s="171" t="e">
        <f>_xlfn.XLOOKUP($D41,#REF!,#REF!,,0,)</f>
        <v>#REF!</v>
      </c>
      <c r="AI41" s="55" t="e">
        <f>_xlfn.XLOOKUP($D41,#REF!,#REF!,,0,)</f>
        <v>#REF!</v>
      </c>
      <c r="AJ41" s="44" t="str">
        <f>Tab_Process_TCs2527[[#This Row],[Flow_ID]]</f>
        <v>N.A.</v>
      </c>
      <c r="AK41" s="10" t="e">
        <f t="shared" si="9"/>
        <v>#REF!</v>
      </c>
      <c r="AL41" s="170"/>
      <c r="AM41" s="17" t="e">
        <f>_xlfn.XLOOKUP($D41,#REF!,#REF!,,0,)</f>
        <v>#REF!</v>
      </c>
      <c r="AN41" s="10" t="e">
        <f>_xlfn.XLOOKUP($D41,#REF!,#REF!,,0,)</f>
        <v>#REF!</v>
      </c>
      <c r="AO41" s="44" t="str">
        <f>Tab_Process_TCs2527[[#This Row],[Flow_ID]]</f>
        <v>N.A.</v>
      </c>
      <c r="AP41" s="10" t="e">
        <f t="shared" si="10"/>
        <v>#REF!</v>
      </c>
      <c r="AQ41" s="170"/>
      <c r="AR41" s="17" t="e">
        <f>_xlfn.XLOOKUP($D41,#REF!,#REF!,,0,)</f>
        <v>#REF!</v>
      </c>
      <c r="AS41" s="10" t="e">
        <f>_xlfn.XLOOKUP($D41,#REF!,#REF!,,0,)</f>
        <v>#REF!</v>
      </c>
      <c r="AT41" s="44" t="str">
        <f>Tab_Process_TCs2527[[#This Row],[Flow_ID]]</f>
        <v>N.A.</v>
      </c>
      <c r="AU41" s="44" t="e">
        <f t="shared" si="11"/>
        <v>#REF!</v>
      </c>
      <c r="AV41" s="170"/>
      <c r="AW41" s="17" t="e">
        <f>_xlfn.XLOOKUP($D41,#REF!,#REF!,,0,)</f>
        <v>#REF!</v>
      </c>
      <c r="AX41" s="10" t="e">
        <f>_xlfn.XLOOKUP($D41,#REF!,#REF!,,0,)</f>
        <v>#REF!</v>
      </c>
      <c r="AY41" s="44" t="str">
        <f>Tab_Process_TCs2527[[#This Row],[Flow_ID]]</f>
        <v>N.A.</v>
      </c>
      <c r="AZ41" s="44" t="e">
        <f t="shared" si="12"/>
        <v>#REF!</v>
      </c>
      <c r="BA41" s="170"/>
      <c r="BB41" s="10" t="e">
        <f>_xlfn.XLOOKUP($D41,#REF!,#REF!,,0,)</f>
        <v>#REF!</v>
      </c>
      <c r="BC41" s="10" t="e">
        <f>_xlfn.XLOOKUP($D41,#REF!,#REF!,,0,)</f>
        <v>#REF!</v>
      </c>
      <c r="BD41" s="44" t="str">
        <f>Tab_Process_TCs2527[[#This Row],[Flow_ID]]</f>
        <v>N.A.</v>
      </c>
      <c r="BE41" s="44" t="e">
        <f t="shared" si="13"/>
        <v>#REF!</v>
      </c>
      <c r="BF41" s="51"/>
      <c r="BG41" s="54">
        <f>Tab_Process_TCs2527[[#This Row],[TC O_6_'[%']]]+Tab_Process_TCs2527[[#This Row],[TC O_5_'[%']]]+Tab_Process_TCs2527[[#This Row],[TC_O_4_'[%']]]+Tab_Process_TCs2527[[#This Row],[TC_O_3_'[%']]]+Tab_Process_TCs2527[[#This Row],[TC_O_2_'[%']]]+Tab_Process_TCs2527[[#This Row],[TC_O_1_'[%']]]</f>
        <v>1</v>
      </c>
      <c r="BH41" s="12"/>
      <c r="BI41" s="12"/>
      <c r="BJ41" s="12"/>
      <c r="BK41" s="12"/>
      <c r="BL41" s="12"/>
    </row>
    <row r="42" spans="1:64" x14ac:dyDescent="0.25">
      <c r="A42" s="197" t="b">
        <v>0</v>
      </c>
      <c r="B42" s="10">
        <f t="shared" si="7"/>
        <v>41</v>
      </c>
      <c r="C42" s="49" t="e">
        <f>_xlfn.XLOOKUP($D42,Tab_Process_TCs[Name(EN)],Tab_Process_TCs[Process_ID],,0,)</f>
        <v>#N/A</v>
      </c>
      <c r="D42" s="192" t="s">
        <v>35</v>
      </c>
      <c r="E42" s="192" t="s">
        <v>35</v>
      </c>
      <c r="F42" s="49" t="e">
        <f>_xlfn.XLOOKUP($D42,Tab_Process_TCs[Name(EN)],Tab_Process_TCs[TC?],,0,)</f>
        <v>#N/A</v>
      </c>
      <c r="G42" s="49" t="e">
        <f>_xlfn.XLOOKUP($D42,Tab_Process_TCs[Name(EN)],Tab_Process_TCs[Dyn_TC?],,0,)</f>
        <v>#N/A</v>
      </c>
      <c r="H42" s="10" t="str">
        <f>_xlfn.XLOOKUP($E42,Tab_Def_Flows[Name(EN)],Tab_Def_Flows[Flow_ID],,0,1)</f>
        <v>N.A.</v>
      </c>
      <c r="I42" s="10" t="str">
        <f>IF(Tab_Process_TCs2527[[#This Row],[Name(EN)]]="N.A.","N.A.","TC"&amp;"_"&amp;RIGHT(H42,5))</f>
        <v>N.A.</v>
      </c>
      <c r="J42" s="12"/>
      <c r="K42" s="186"/>
      <c r="L42" s="10"/>
      <c r="M42" s="17" t="e">
        <f>_xlfn.XLOOKUP($D42,Tab_Def_Processes[Name(EN)],Tab_Def_Processes[Input_Flow_I_1],,0,)</f>
        <v>#N/A</v>
      </c>
      <c r="N42" s="10" t="e">
        <f>_xlfn.XLOOKUP($D42,Tab_Def_Processes[Name(EN)],Tab_Def_Processes[Flow_ID_I_1],,0,)</f>
        <v>#N/A</v>
      </c>
      <c r="O42" s="34"/>
      <c r="P42" s="30" t="e">
        <f>_xlfn.XLOOKUP($D42,Tab_Def_Processes[Name(EN)],Tab_Def_Processes[Input_Flow_I_2],,0,)</f>
        <v>#N/A</v>
      </c>
      <c r="Q42" s="10" t="e">
        <f>_xlfn.XLOOKUP($D42,Tab_Def_Processes[Name(EN)],Tab_Def_Processes[Flow_ID_I_2],,0,)</f>
        <v>#N/A</v>
      </c>
      <c r="R42" s="34"/>
      <c r="S42" s="30" t="e">
        <f>_xlfn.XLOOKUP($D42,Tab_Def_Processes[Name(EN)],Tab_Def_Processes[Input_Flow_I_3],,0,)</f>
        <v>#N/A</v>
      </c>
      <c r="T42" s="10" t="e">
        <f>_xlfn.XLOOKUP($D42,Tab_Def_Processes[Name(EN)],Tab_Def_Processes[Flow_ID_I_3],,0,)</f>
        <v>#N/A</v>
      </c>
      <c r="U42" s="34"/>
      <c r="V42" s="30" t="e">
        <f>_xlfn.XLOOKUP($D42,Tab_Def_Processes[Name(EN)],Tab_Def_Processes[Input_Flow_I_4],,0,)</f>
        <v>#N/A</v>
      </c>
      <c r="W42" s="10" t="e">
        <f>_xlfn.XLOOKUP($D42,Tab_Def_Processes[Name(EN)],Tab_Def_Processes[Flow_ID_I_4],,0,)</f>
        <v>#N/A</v>
      </c>
      <c r="X42" s="34"/>
      <c r="Y42" s="30" t="e">
        <f>_xlfn.XLOOKUP($D42,Tab_Def_Processes[Name(EN)],Tab_Def_Processes[Input_Flow_I_5],,0,)</f>
        <v>#N/A</v>
      </c>
      <c r="Z42" s="10" t="e">
        <f>_xlfn.XLOOKUP($D42,Tab_Def_Processes[Name(EN)],Tab_Def_Processes[Flow_ID_I_5],,0,)</f>
        <v>#N/A</v>
      </c>
      <c r="AA42" s="34"/>
      <c r="AB42" s="33">
        <f>Tab_Process_TCs2527[[#This Row],[Flow_TC_I_1_'[%']]]+Tab_Process_TCs2527[[#This Row],[Flow_TC_I_2_'[%']]]+Tab_Process_TCs2527[[#This Row],[Flow_TC_I_3_'[%']]]+Tab_Process_TCs2527[[#This Row],[Flow_TC_I_4_'[%']]]+Tab_Process_TCs2527[[#This Row],[Flow_TC_I_5_'[%']]]</f>
        <v>0</v>
      </c>
      <c r="AC42" s="17" t="e">
        <f>_xlfn.XLOOKUP($D42,#REF!,#REF!,,0,)</f>
        <v>#REF!</v>
      </c>
      <c r="AD42" s="10" t="e">
        <f>_xlfn.XLOOKUP($D42,#REF!,#REF!,,0,)</f>
        <v>#REF!</v>
      </c>
      <c r="AE42" s="44" t="str">
        <f>Tab_Process_TCs2527[[#This Row],[Flow_ID]]</f>
        <v>N.A.</v>
      </c>
      <c r="AF42" s="10" t="e">
        <f t="shared" si="8"/>
        <v>#REF!</v>
      </c>
      <c r="AG42" s="51">
        <v>1</v>
      </c>
      <c r="AH42" s="171" t="e">
        <f>_xlfn.XLOOKUP($D42,#REF!,#REF!,,0,)</f>
        <v>#REF!</v>
      </c>
      <c r="AI42" s="55" t="e">
        <f>_xlfn.XLOOKUP($D42,#REF!,#REF!,,0,)</f>
        <v>#REF!</v>
      </c>
      <c r="AJ42" s="44" t="str">
        <f>Tab_Process_TCs2527[[#This Row],[Flow_ID]]</f>
        <v>N.A.</v>
      </c>
      <c r="AK42" s="10" t="e">
        <f t="shared" si="9"/>
        <v>#REF!</v>
      </c>
      <c r="AL42" s="170"/>
      <c r="AM42" s="17" t="e">
        <f>_xlfn.XLOOKUP($D42,#REF!,#REF!,,0,)</f>
        <v>#REF!</v>
      </c>
      <c r="AN42" s="10" t="e">
        <f>_xlfn.XLOOKUP($D42,#REF!,#REF!,,0,)</f>
        <v>#REF!</v>
      </c>
      <c r="AO42" s="44" t="str">
        <f>Tab_Process_TCs2527[[#This Row],[Flow_ID]]</f>
        <v>N.A.</v>
      </c>
      <c r="AP42" s="10" t="e">
        <f t="shared" si="10"/>
        <v>#REF!</v>
      </c>
      <c r="AQ42" s="170"/>
      <c r="AR42" s="17" t="e">
        <f>_xlfn.XLOOKUP($D42,#REF!,#REF!,,0,)</f>
        <v>#REF!</v>
      </c>
      <c r="AS42" s="10" t="e">
        <f>_xlfn.XLOOKUP($D42,#REF!,#REF!,,0,)</f>
        <v>#REF!</v>
      </c>
      <c r="AT42" s="44" t="str">
        <f>Tab_Process_TCs2527[[#This Row],[Flow_ID]]</f>
        <v>N.A.</v>
      </c>
      <c r="AU42" s="44" t="e">
        <f t="shared" si="11"/>
        <v>#REF!</v>
      </c>
      <c r="AV42" s="170"/>
      <c r="AW42" s="17" t="e">
        <f>_xlfn.XLOOKUP($D42,#REF!,#REF!,,0,)</f>
        <v>#REF!</v>
      </c>
      <c r="AX42" s="10" t="e">
        <f>_xlfn.XLOOKUP($D42,#REF!,#REF!,,0,)</f>
        <v>#REF!</v>
      </c>
      <c r="AY42" s="44" t="str">
        <f>Tab_Process_TCs2527[[#This Row],[Flow_ID]]</f>
        <v>N.A.</v>
      </c>
      <c r="AZ42" s="44" t="e">
        <f t="shared" si="12"/>
        <v>#REF!</v>
      </c>
      <c r="BA42" s="170"/>
      <c r="BB42" s="10" t="e">
        <f>_xlfn.XLOOKUP($D42,#REF!,#REF!,,0,)</f>
        <v>#REF!</v>
      </c>
      <c r="BC42" s="10" t="e">
        <f>_xlfn.XLOOKUP($D42,#REF!,#REF!,,0,)</f>
        <v>#REF!</v>
      </c>
      <c r="BD42" s="44" t="str">
        <f>Tab_Process_TCs2527[[#This Row],[Flow_ID]]</f>
        <v>N.A.</v>
      </c>
      <c r="BE42" s="44" t="e">
        <f t="shared" si="13"/>
        <v>#REF!</v>
      </c>
      <c r="BF42" s="51"/>
      <c r="BG42" s="54">
        <f>Tab_Process_TCs2527[[#This Row],[TC O_6_'[%']]]+Tab_Process_TCs2527[[#This Row],[TC O_5_'[%']]]+Tab_Process_TCs2527[[#This Row],[TC_O_4_'[%']]]+Tab_Process_TCs2527[[#This Row],[TC_O_3_'[%']]]+Tab_Process_TCs2527[[#This Row],[TC_O_2_'[%']]]+Tab_Process_TCs2527[[#This Row],[TC_O_1_'[%']]]</f>
        <v>1</v>
      </c>
      <c r="BH42" s="12"/>
      <c r="BI42" s="12"/>
      <c r="BJ42" s="12"/>
      <c r="BK42" s="12"/>
      <c r="BL42" s="12"/>
    </row>
    <row r="43" spans="1:64" x14ac:dyDescent="0.25">
      <c r="A43" s="197" t="b">
        <v>0</v>
      </c>
      <c r="B43" s="10">
        <f t="shared" si="7"/>
        <v>42</v>
      </c>
      <c r="C43" s="49" t="e">
        <f>_xlfn.XLOOKUP($D43,Tab_Process_TCs[Name(EN)],Tab_Process_TCs[Process_ID],,0,)</f>
        <v>#N/A</v>
      </c>
      <c r="D43" s="192" t="s">
        <v>35</v>
      </c>
      <c r="E43" s="192" t="s">
        <v>35</v>
      </c>
      <c r="F43" s="49" t="e">
        <f>_xlfn.XLOOKUP($D43,Tab_Process_TCs[Name(EN)],Tab_Process_TCs[TC?],,0,)</f>
        <v>#N/A</v>
      </c>
      <c r="G43" s="49" t="e">
        <f>_xlfn.XLOOKUP($D43,Tab_Process_TCs[Name(EN)],Tab_Process_TCs[Dyn_TC?],,0,)</f>
        <v>#N/A</v>
      </c>
      <c r="H43" s="10" t="str">
        <f>_xlfn.XLOOKUP($E43,Tab_Def_Flows[Name(EN)],Tab_Def_Flows[Flow_ID],,0,1)</f>
        <v>N.A.</v>
      </c>
      <c r="I43" s="10" t="str">
        <f>IF(Tab_Process_TCs2527[[#This Row],[Name(EN)]]="N.A.","N.A.","TC"&amp;"_"&amp;RIGHT(H43,5))</f>
        <v>N.A.</v>
      </c>
      <c r="J43" s="12"/>
      <c r="K43" s="186"/>
      <c r="L43" s="10"/>
      <c r="M43" s="17" t="e">
        <f>_xlfn.XLOOKUP($D43,Tab_Def_Processes[Name(EN)],Tab_Def_Processes[Input_Flow_I_1],,0,)</f>
        <v>#N/A</v>
      </c>
      <c r="N43" s="10" t="e">
        <f>_xlfn.XLOOKUP($D43,Tab_Def_Processes[Name(EN)],Tab_Def_Processes[Flow_ID_I_1],,0,)</f>
        <v>#N/A</v>
      </c>
      <c r="O43" s="34"/>
      <c r="P43" s="30" t="e">
        <f>_xlfn.XLOOKUP($D43,Tab_Def_Processes[Name(EN)],Tab_Def_Processes[Input_Flow_I_2],,0,)</f>
        <v>#N/A</v>
      </c>
      <c r="Q43" s="10" t="e">
        <f>_xlfn.XLOOKUP($D43,Tab_Def_Processes[Name(EN)],Tab_Def_Processes[Flow_ID_I_2],,0,)</f>
        <v>#N/A</v>
      </c>
      <c r="R43" s="34"/>
      <c r="S43" s="30" t="e">
        <f>_xlfn.XLOOKUP($D43,Tab_Def_Processes[Name(EN)],Tab_Def_Processes[Input_Flow_I_3],,0,)</f>
        <v>#N/A</v>
      </c>
      <c r="T43" s="10" t="e">
        <f>_xlfn.XLOOKUP($D43,Tab_Def_Processes[Name(EN)],Tab_Def_Processes[Flow_ID_I_3],,0,)</f>
        <v>#N/A</v>
      </c>
      <c r="U43" s="34"/>
      <c r="V43" s="30" t="e">
        <f>_xlfn.XLOOKUP($D43,Tab_Def_Processes[Name(EN)],Tab_Def_Processes[Input_Flow_I_4],,0,)</f>
        <v>#N/A</v>
      </c>
      <c r="W43" s="10" t="e">
        <f>_xlfn.XLOOKUP($D43,Tab_Def_Processes[Name(EN)],Tab_Def_Processes[Flow_ID_I_4],,0,)</f>
        <v>#N/A</v>
      </c>
      <c r="X43" s="34"/>
      <c r="Y43" s="30" t="e">
        <f>_xlfn.XLOOKUP($D43,Tab_Def_Processes[Name(EN)],Tab_Def_Processes[Input_Flow_I_5],,0,)</f>
        <v>#N/A</v>
      </c>
      <c r="Z43" s="10" t="e">
        <f>_xlfn.XLOOKUP($D43,Tab_Def_Processes[Name(EN)],Tab_Def_Processes[Flow_ID_I_5],,0,)</f>
        <v>#N/A</v>
      </c>
      <c r="AA43" s="34"/>
      <c r="AB43" s="33">
        <f>Tab_Process_TCs2527[[#This Row],[Flow_TC_I_1_'[%']]]+Tab_Process_TCs2527[[#This Row],[Flow_TC_I_2_'[%']]]+Tab_Process_TCs2527[[#This Row],[Flow_TC_I_3_'[%']]]+Tab_Process_TCs2527[[#This Row],[Flow_TC_I_4_'[%']]]+Tab_Process_TCs2527[[#This Row],[Flow_TC_I_5_'[%']]]</f>
        <v>0</v>
      </c>
      <c r="AC43" s="17" t="e">
        <f>_xlfn.XLOOKUP($D43,#REF!,#REF!,,0,)</f>
        <v>#REF!</v>
      </c>
      <c r="AD43" s="10" t="e">
        <f>_xlfn.XLOOKUP($D43,#REF!,#REF!,,0,)</f>
        <v>#REF!</v>
      </c>
      <c r="AE43" s="44" t="str">
        <f>Tab_Process_TCs2527[[#This Row],[Flow_ID]]</f>
        <v>N.A.</v>
      </c>
      <c r="AF43" s="10" t="e">
        <f t="shared" si="8"/>
        <v>#REF!</v>
      </c>
      <c r="AG43" s="51">
        <v>1</v>
      </c>
      <c r="AH43" s="171" t="e">
        <f>_xlfn.XLOOKUP($D43,#REF!,#REF!,,0,)</f>
        <v>#REF!</v>
      </c>
      <c r="AI43" s="55" t="e">
        <f>_xlfn.XLOOKUP($D43,#REF!,#REF!,,0,)</f>
        <v>#REF!</v>
      </c>
      <c r="AJ43" s="44" t="str">
        <f>Tab_Process_TCs2527[[#This Row],[Flow_ID]]</f>
        <v>N.A.</v>
      </c>
      <c r="AK43" s="10" t="e">
        <f t="shared" si="9"/>
        <v>#REF!</v>
      </c>
      <c r="AL43" s="170"/>
      <c r="AM43" s="17" t="e">
        <f>_xlfn.XLOOKUP($D43,#REF!,#REF!,,0,)</f>
        <v>#REF!</v>
      </c>
      <c r="AN43" s="10" t="e">
        <f>_xlfn.XLOOKUP($D43,#REF!,#REF!,,0,)</f>
        <v>#REF!</v>
      </c>
      <c r="AO43" s="44" t="str">
        <f>Tab_Process_TCs2527[[#This Row],[Flow_ID]]</f>
        <v>N.A.</v>
      </c>
      <c r="AP43" s="10" t="e">
        <f t="shared" si="10"/>
        <v>#REF!</v>
      </c>
      <c r="AQ43" s="170"/>
      <c r="AR43" s="17" t="e">
        <f>_xlfn.XLOOKUP($D43,#REF!,#REF!,,0,)</f>
        <v>#REF!</v>
      </c>
      <c r="AS43" s="10" t="e">
        <f>_xlfn.XLOOKUP($D43,#REF!,#REF!,,0,)</f>
        <v>#REF!</v>
      </c>
      <c r="AT43" s="44" t="str">
        <f>Tab_Process_TCs2527[[#This Row],[Flow_ID]]</f>
        <v>N.A.</v>
      </c>
      <c r="AU43" s="44" t="e">
        <f t="shared" si="11"/>
        <v>#REF!</v>
      </c>
      <c r="AV43" s="170"/>
      <c r="AW43" s="17" t="e">
        <f>_xlfn.XLOOKUP($D43,#REF!,#REF!,,0,)</f>
        <v>#REF!</v>
      </c>
      <c r="AX43" s="10" t="e">
        <f>_xlfn.XLOOKUP($D43,#REF!,#REF!,,0,)</f>
        <v>#REF!</v>
      </c>
      <c r="AY43" s="44" t="str">
        <f>Tab_Process_TCs2527[[#This Row],[Flow_ID]]</f>
        <v>N.A.</v>
      </c>
      <c r="AZ43" s="44" t="e">
        <f t="shared" si="12"/>
        <v>#REF!</v>
      </c>
      <c r="BA43" s="170"/>
      <c r="BB43" s="10" t="e">
        <f>_xlfn.XLOOKUP($D43,#REF!,#REF!,,0,)</f>
        <v>#REF!</v>
      </c>
      <c r="BC43" s="10" t="e">
        <f>_xlfn.XLOOKUP($D43,#REF!,#REF!,,0,)</f>
        <v>#REF!</v>
      </c>
      <c r="BD43" s="44" t="str">
        <f>Tab_Process_TCs2527[[#This Row],[Flow_ID]]</f>
        <v>N.A.</v>
      </c>
      <c r="BE43" s="44" t="e">
        <f t="shared" si="13"/>
        <v>#REF!</v>
      </c>
      <c r="BF43" s="51"/>
      <c r="BG43" s="54">
        <f>Tab_Process_TCs2527[[#This Row],[TC O_6_'[%']]]+Tab_Process_TCs2527[[#This Row],[TC O_5_'[%']]]+Tab_Process_TCs2527[[#This Row],[TC_O_4_'[%']]]+Tab_Process_TCs2527[[#This Row],[TC_O_3_'[%']]]+Tab_Process_TCs2527[[#This Row],[TC_O_2_'[%']]]+Tab_Process_TCs2527[[#This Row],[TC_O_1_'[%']]]</f>
        <v>1</v>
      </c>
      <c r="BH43" s="12"/>
      <c r="BI43" s="12"/>
      <c r="BJ43" s="12"/>
      <c r="BK43" s="12"/>
      <c r="BL43" s="12"/>
    </row>
    <row r="44" spans="1:64" x14ac:dyDescent="0.25">
      <c r="A44" s="197" t="b">
        <v>0</v>
      </c>
      <c r="B44" s="10">
        <f t="shared" si="7"/>
        <v>43</v>
      </c>
      <c r="C44" s="49" t="e">
        <f>_xlfn.XLOOKUP($D44,Tab_Process_TCs[Name(EN)],Tab_Process_TCs[Process_ID],,0,)</f>
        <v>#N/A</v>
      </c>
      <c r="D44" s="192" t="s">
        <v>35</v>
      </c>
      <c r="E44" s="192" t="s">
        <v>35</v>
      </c>
      <c r="F44" s="49" t="e">
        <f>_xlfn.XLOOKUP($D44,Tab_Process_TCs[Name(EN)],Tab_Process_TCs[TC?],,0,)</f>
        <v>#N/A</v>
      </c>
      <c r="G44" s="49" t="e">
        <f>_xlfn.XLOOKUP($D44,Tab_Process_TCs[Name(EN)],Tab_Process_TCs[Dyn_TC?],,0,)</f>
        <v>#N/A</v>
      </c>
      <c r="H44" s="10" t="str">
        <f>_xlfn.XLOOKUP($E44,Tab_Def_Flows[Name(EN)],Tab_Def_Flows[Flow_ID],,0,1)</f>
        <v>N.A.</v>
      </c>
      <c r="I44" s="10" t="str">
        <f>IF(Tab_Process_TCs2527[[#This Row],[Name(EN)]]="N.A.","N.A.","TC"&amp;"_"&amp;RIGHT(H44,5))</f>
        <v>N.A.</v>
      </c>
      <c r="J44" s="12"/>
      <c r="K44" s="186"/>
      <c r="L44" s="10"/>
      <c r="M44" s="17" t="e">
        <f>_xlfn.XLOOKUP($D44,Tab_Def_Processes[Name(EN)],Tab_Def_Processes[Input_Flow_I_1],,0,)</f>
        <v>#N/A</v>
      </c>
      <c r="N44" s="10" t="e">
        <f>_xlfn.XLOOKUP($D44,Tab_Def_Processes[Name(EN)],Tab_Def_Processes[Flow_ID_I_1],,0,)</f>
        <v>#N/A</v>
      </c>
      <c r="O44" s="34"/>
      <c r="P44" s="30" t="e">
        <f>_xlfn.XLOOKUP($D44,Tab_Def_Processes[Name(EN)],Tab_Def_Processes[Input_Flow_I_2],,0,)</f>
        <v>#N/A</v>
      </c>
      <c r="Q44" s="10" t="e">
        <f>_xlfn.XLOOKUP($D44,Tab_Def_Processes[Name(EN)],Tab_Def_Processes[Flow_ID_I_2],,0,)</f>
        <v>#N/A</v>
      </c>
      <c r="R44" s="34"/>
      <c r="S44" s="30" t="e">
        <f>_xlfn.XLOOKUP($D44,Tab_Def_Processes[Name(EN)],Tab_Def_Processes[Input_Flow_I_3],,0,)</f>
        <v>#N/A</v>
      </c>
      <c r="T44" s="10" t="e">
        <f>_xlfn.XLOOKUP($D44,Tab_Def_Processes[Name(EN)],Tab_Def_Processes[Flow_ID_I_3],,0,)</f>
        <v>#N/A</v>
      </c>
      <c r="U44" s="34"/>
      <c r="V44" s="30" t="e">
        <f>_xlfn.XLOOKUP($D44,Tab_Def_Processes[Name(EN)],Tab_Def_Processes[Input_Flow_I_4],,0,)</f>
        <v>#N/A</v>
      </c>
      <c r="W44" s="10" t="e">
        <f>_xlfn.XLOOKUP($D44,Tab_Def_Processes[Name(EN)],Tab_Def_Processes[Flow_ID_I_4],,0,)</f>
        <v>#N/A</v>
      </c>
      <c r="X44" s="34"/>
      <c r="Y44" s="30" t="e">
        <f>_xlfn.XLOOKUP($D44,Tab_Def_Processes[Name(EN)],Tab_Def_Processes[Input_Flow_I_5],,0,)</f>
        <v>#N/A</v>
      </c>
      <c r="Z44" s="10" t="e">
        <f>_xlfn.XLOOKUP($D44,Tab_Def_Processes[Name(EN)],Tab_Def_Processes[Flow_ID_I_5],,0,)</f>
        <v>#N/A</v>
      </c>
      <c r="AA44" s="34"/>
      <c r="AB44" s="33">
        <f>Tab_Process_TCs2527[[#This Row],[Flow_TC_I_1_'[%']]]+Tab_Process_TCs2527[[#This Row],[Flow_TC_I_2_'[%']]]+Tab_Process_TCs2527[[#This Row],[Flow_TC_I_3_'[%']]]+Tab_Process_TCs2527[[#This Row],[Flow_TC_I_4_'[%']]]+Tab_Process_TCs2527[[#This Row],[Flow_TC_I_5_'[%']]]</f>
        <v>0</v>
      </c>
      <c r="AC44" s="17" t="e">
        <f>_xlfn.XLOOKUP($D44,#REF!,#REF!,,0,)</f>
        <v>#REF!</v>
      </c>
      <c r="AD44" s="10" t="e">
        <f>_xlfn.XLOOKUP($D44,#REF!,#REF!,,0,)</f>
        <v>#REF!</v>
      </c>
      <c r="AE44" s="44" t="str">
        <f>Tab_Process_TCs2527[[#This Row],[Flow_ID]]</f>
        <v>N.A.</v>
      </c>
      <c r="AF44" s="10" t="e">
        <f t="shared" si="8"/>
        <v>#REF!</v>
      </c>
      <c r="AG44" s="51">
        <v>1</v>
      </c>
      <c r="AH44" s="171" t="e">
        <f>_xlfn.XLOOKUP($D44,#REF!,#REF!,,0,)</f>
        <v>#REF!</v>
      </c>
      <c r="AI44" s="55" t="e">
        <f>_xlfn.XLOOKUP($D44,#REF!,#REF!,,0,)</f>
        <v>#REF!</v>
      </c>
      <c r="AJ44" s="44" t="str">
        <f>Tab_Process_TCs2527[[#This Row],[Flow_ID]]</f>
        <v>N.A.</v>
      </c>
      <c r="AK44" s="10" t="e">
        <f t="shared" si="9"/>
        <v>#REF!</v>
      </c>
      <c r="AL44" s="170"/>
      <c r="AM44" s="17" t="e">
        <f>_xlfn.XLOOKUP($D44,#REF!,#REF!,,0,)</f>
        <v>#REF!</v>
      </c>
      <c r="AN44" s="10" t="e">
        <f>_xlfn.XLOOKUP($D44,#REF!,#REF!,,0,)</f>
        <v>#REF!</v>
      </c>
      <c r="AO44" s="44" t="str">
        <f>Tab_Process_TCs2527[[#This Row],[Flow_ID]]</f>
        <v>N.A.</v>
      </c>
      <c r="AP44" s="10" t="e">
        <f t="shared" si="10"/>
        <v>#REF!</v>
      </c>
      <c r="AQ44" s="170"/>
      <c r="AR44" s="17" t="e">
        <f>_xlfn.XLOOKUP($D44,#REF!,#REF!,,0,)</f>
        <v>#REF!</v>
      </c>
      <c r="AS44" s="10" t="e">
        <f>_xlfn.XLOOKUP($D44,#REF!,#REF!,,0,)</f>
        <v>#REF!</v>
      </c>
      <c r="AT44" s="44" t="str">
        <f>Tab_Process_TCs2527[[#This Row],[Flow_ID]]</f>
        <v>N.A.</v>
      </c>
      <c r="AU44" s="44" t="e">
        <f t="shared" si="11"/>
        <v>#REF!</v>
      </c>
      <c r="AV44" s="170"/>
      <c r="AW44" s="17" t="e">
        <f>_xlfn.XLOOKUP($D44,#REF!,#REF!,,0,)</f>
        <v>#REF!</v>
      </c>
      <c r="AX44" s="10" t="e">
        <f>_xlfn.XLOOKUP($D44,#REF!,#REF!,,0,)</f>
        <v>#REF!</v>
      </c>
      <c r="AY44" s="44" t="str">
        <f>Tab_Process_TCs2527[[#This Row],[Flow_ID]]</f>
        <v>N.A.</v>
      </c>
      <c r="AZ44" s="44" t="e">
        <f t="shared" si="12"/>
        <v>#REF!</v>
      </c>
      <c r="BA44" s="170"/>
      <c r="BB44" s="10" t="e">
        <f>_xlfn.XLOOKUP($D44,#REF!,#REF!,,0,)</f>
        <v>#REF!</v>
      </c>
      <c r="BC44" s="10" t="e">
        <f>_xlfn.XLOOKUP($D44,#REF!,#REF!,,0,)</f>
        <v>#REF!</v>
      </c>
      <c r="BD44" s="44" t="str">
        <f>Tab_Process_TCs2527[[#This Row],[Flow_ID]]</f>
        <v>N.A.</v>
      </c>
      <c r="BE44" s="44" t="e">
        <f t="shared" si="13"/>
        <v>#REF!</v>
      </c>
      <c r="BF44" s="51"/>
      <c r="BG44" s="54">
        <f>Tab_Process_TCs2527[[#This Row],[TC O_6_'[%']]]+Tab_Process_TCs2527[[#This Row],[TC O_5_'[%']]]+Tab_Process_TCs2527[[#This Row],[TC_O_4_'[%']]]+Tab_Process_TCs2527[[#This Row],[TC_O_3_'[%']]]+Tab_Process_TCs2527[[#This Row],[TC_O_2_'[%']]]+Tab_Process_TCs2527[[#This Row],[TC_O_1_'[%']]]</f>
        <v>1</v>
      </c>
      <c r="BH44" s="12"/>
      <c r="BI44" s="12"/>
      <c r="BJ44" s="12"/>
      <c r="BK44" s="12"/>
      <c r="BL44" s="12"/>
    </row>
    <row r="45" spans="1:64" x14ac:dyDescent="0.25">
      <c r="A45" s="197" t="b">
        <v>0</v>
      </c>
      <c r="B45" s="10">
        <f t="shared" si="7"/>
        <v>44</v>
      </c>
      <c r="C45" s="49" t="e">
        <f>_xlfn.XLOOKUP($D45,Tab_Process_TCs[Name(EN)],Tab_Process_TCs[Process_ID],,0,)</f>
        <v>#N/A</v>
      </c>
      <c r="D45" s="192" t="s">
        <v>35</v>
      </c>
      <c r="E45" s="192" t="s">
        <v>35</v>
      </c>
      <c r="F45" s="49" t="e">
        <f>_xlfn.XLOOKUP($D45,Tab_Process_TCs[Name(EN)],Tab_Process_TCs[TC?],,0,)</f>
        <v>#N/A</v>
      </c>
      <c r="G45" s="49" t="e">
        <f>_xlfn.XLOOKUP($D45,Tab_Process_TCs[Name(EN)],Tab_Process_TCs[Dyn_TC?],,0,)</f>
        <v>#N/A</v>
      </c>
      <c r="H45" s="10" t="str">
        <f>_xlfn.XLOOKUP($E45,Tab_Def_Flows[Name(EN)],Tab_Def_Flows[Flow_ID],,0,1)</f>
        <v>N.A.</v>
      </c>
      <c r="I45" s="10" t="str">
        <f>IF(Tab_Process_TCs2527[[#This Row],[Name(EN)]]="N.A.","N.A.","TC"&amp;"_"&amp;RIGHT(H45,5))</f>
        <v>N.A.</v>
      </c>
      <c r="J45" s="12"/>
      <c r="K45" s="186"/>
      <c r="L45" s="10"/>
      <c r="M45" s="17" t="e">
        <f>_xlfn.XLOOKUP($D45,Tab_Def_Processes[Name(EN)],Tab_Def_Processes[Input_Flow_I_1],,0,)</f>
        <v>#N/A</v>
      </c>
      <c r="N45" s="10" t="e">
        <f>_xlfn.XLOOKUP($D45,Tab_Def_Processes[Name(EN)],Tab_Def_Processes[Flow_ID_I_1],,0,)</f>
        <v>#N/A</v>
      </c>
      <c r="O45" s="34"/>
      <c r="P45" s="30" t="e">
        <f>_xlfn.XLOOKUP($D45,Tab_Def_Processes[Name(EN)],Tab_Def_Processes[Input_Flow_I_2],,0,)</f>
        <v>#N/A</v>
      </c>
      <c r="Q45" s="10" t="e">
        <f>_xlfn.XLOOKUP($D45,Tab_Def_Processes[Name(EN)],Tab_Def_Processes[Flow_ID_I_2],,0,)</f>
        <v>#N/A</v>
      </c>
      <c r="R45" s="34"/>
      <c r="S45" s="30" t="e">
        <f>_xlfn.XLOOKUP($D45,Tab_Def_Processes[Name(EN)],Tab_Def_Processes[Input_Flow_I_3],,0,)</f>
        <v>#N/A</v>
      </c>
      <c r="T45" s="10" t="e">
        <f>_xlfn.XLOOKUP($D45,Tab_Def_Processes[Name(EN)],Tab_Def_Processes[Flow_ID_I_3],,0,)</f>
        <v>#N/A</v>
      </c>
      <c r="U45" s="34"/>
      <c r="V45" s="30" t="e">
        <f>_xlfn.XLOOKUP($D45,Tab_Def_Processes[Name(EN)],Tab_Def_Processes[Input_Flow_I_4],,0,)</f>
        <v>#N/A</v>
      </c>
      <c r="W45" s="10" t="e">
        <f>_xlfn.XLOOKUP($D45,Tab_Def_Processes[Name(EN)],Tab_Def_Processes[Flow_ID_I_4],,0,)</f>
        <v>#N/A</v>
      </c>
      <c r="X45" s="34"/>
      <c r="Y45" s="30" t="e">
        <f>_xlfn.XLOOKUP($D45,Tab_Def_Processes[Name(EN)],Tab_Def_Processes[Input_Flow_I_5],,0,)</f>
        <v>#N/A</v>
      </c>
      <c r="Z45" s="10" t="e">
        <f>_xlfn.XLOOKUP($D45,Tab_Def_Processes[Name(EN)],Tab_Def_Processes[Flow_ID_I_5],,0,)</f>
        <v>#N/A</v>
      </c>
      <c r="AA45" s="34"/>
      <c r="AB45" s="33">
        <f>Tab_Process_TCs2527[[#This Row],[Flow_TC_I_1_'[%']]]+Tab_Process_TCs2527[[#This Row],[Flow_TC_I_2_'[%']]]+Tab_Process_TCs2527[[#This Row],[Flow_TC_I_3_'[%']]]+Tab_Process_TCs2527[[#This Row],[Flow_TC_I_4_'[%']]]+Tab_Process_TCs2527[[#This Row],[Flow_TC_I_5_'[%']]]</f>
        <v>0</v>
      </c>
      <c r="AC45" s="17" t="e">
        <f>_xlfn.XLOOKUP($D45,#REF!,#REF!,,0,)</f>
        <v>#REF!</v>
      </c>
      <c r="AD45" s="10" t="e">
        <f>_xlfn.XLOOKUP($D45,#REF!,#REF!,,0,)</f>
        <v>#REF!</v>
      </c>
      <c r="AE45" s="44" t="str">
        <f>Tab_Process_TCs2527[[#This Row],[Flow_ID]]</f>
        <v>N.A.</v>
      </c>
      <c r="AF45" s="10" t="e">
        <f t="shared" si="8"/>
        <v>#REF!</v>
      </c>
      <c r="AG45" s="51">
        <v>1</v>
      </c>
      <c r="AH45" s="171" t="e">
        <f>_xlfn.XLOOKUP($D45,#REF!,#REF!,,0,)</f>
        <v>#REF!</v>
      </c>
      <c r="AI45" s="55" t="e">
        <f>_xlfn.XLOOKUP($D45,#REF!,#REF!,,0,)</f>
        <v>#REF!</v>
      </c>
      <c r="AJ45" s="44" t="str">
        <f>Tab_Process_TCs2527[[#This Row],[Flow_ID]]</f>
        <v>N.A.</v>
      </c>
      <c r="AK45" s="10" t="e">
        <f t="shared" si="9"/>
        <v>#REF!</v>
      </c>
      <c r="AL45" s="170"/>
      <c r="AM45" s="17" t="e">
        <f>_xlfn.XLOOKUP($D45,#REF!,#REF!,,0,)</f>
        <v>#REF!</v>
      </c>
      <c r="AN45" s="10" t="e">
        <f>_xlfn.XLOOKUP($D45,#REF!,#REF!,,0,)</f>
        <v>#REF!</v>
      </c>
      <c r="AO45" s="44" t="str">
        <f>Tab_Process_TCs2527[[#This Row],[Flow_ID]]</f>
        <v>N.A.</v>
      </c>
      <c r="AP45" s="10" t="e">
        <f t="shared" si="10"/>
        <v>#REF!</v>
      </c>
      <c r="AQ45" s="170"/>
      <c r="AR45" s="17" t="e">
        <f>_xlfn.XLOOKUP($D45,#REF!,#REF!,,0,)</f>
        <v>#REF!</v>
      </c>
      <c r="AS45" s="10" t="e">
        <f>_xlfn.XLOOKUP($D45,#REF!,#REF!,,0,)</f>
        <v>#REF!</v>
      </c>
      <c r="AT45" s="44" t="str">
        <f>Tab_Process_TCs2527[[#This Row],[Flow_ID]]</f>
        <v>N.A.</v>
      </c>
      <c r="AU45" s="44" t="e">
        <f t="shared" si="11"/>
        <v>#REF!</v>
      </c>
      <c r="AV45" s="170"/>
      <c r="AW45" s="17" t="e">
        <f>_xlfn.XLOOKUP($D45,#REF!,#REF!,,0,)</f>
        <v>#REF!</v>
      </c>
      <c r="AX45" s="10" t="e">
        <f>_xlfn.XLOOKUP($D45,#REF!,#REF!,,0,)</f>
        <v>#REF!</v>
      </c>
      <c r="AY45" s="44" t="str">
        <f>Tab_Process_TCs2527[[#This Row],[Flow_ID]]</f>
        <v>N.A.</v>
      </c>
      <c r="AZ45" s="44" t="e">
        <f t="shared" si="12"/>
        <v>#REF!</v>
      </c>
      <c r="BA45" s="170"/>
      <c r="BB45" s="10" t="e">
        <f>_xlfn.XLOOKUP($D45,#REF!,#REF!,,0,)</f>
        <v>#REF!</v>
      </c>
      <c r="BC45" s="10" t="e">
        <f>_xlfn.XLOOKUP($D45,#REF!,#REF!,,0,)</f>
        <v>#REF!</v>
      </c>
      <c r="BD45" s="44" t="str">
        <f>Tab_Process_TCs2527[[#This Row],[Flow_ID]]</f>
        <v>N.A.</v>
      </c>
      <c r="BE45" s="44" t="e">
        <f t="shared" si="13"/>
        <v>#REF!</v>
      </c>
      <c r="BF45" s="51"/>
      <c r="BG45" s="54">
        <f>Tab_Process_TCs2527[[#This Row],[TC O_6_'[%']]]+Tab_Process_TCs2527[[#This Row],[TC O_5_'[%']]]+Tab_Process_TCs2527[[#This Row],[TC_O_4_'[%']]]+Tab_Process_TCs2527[[#This Row],[TC_O_3_'[%']]]+Tab_Process_TCs2527[[#This Row],[TC_O_2_'[%']]]+Tab_Process_TCs2527[[#This Row],[TC_O_1_'[%']]]</f>
        <v>1</v>
      </c>
      <c r="BH45" s="12"/>
      <c r="BI45" s="12"/>
      <c r="BJ45" s="12"/>
      <c r="BK45" s="12"/>
      <c r="BL45" s="12"/>
    </row>
    <row r="46" spans="1:64" x14ac:dyDescent="0.25">
      <c r="A46" s="197" t="b">
        <v>0</v>
      </c>
      <c r="B46" s="10">
        <f t="shared" si="7"/>
        <v>45</v>
      </c>
      <c r="C46" s="49" t="e">
        <f>_xlfn.XLOOKUP($D46,Tab_Process_TCs[Name(EN)],Tab_Process_TCs[Process_ID],,0,)</f>
        <v>#N/A</v>
      </c>
      <c r="D46" s="192" t="s">
        <v>35</v>
      </c>
      <c r="E46" s="192" t="s">
        <v>35</v>
      </c>
      <c r="F46" s="49" t="e">
        <f>_xlfn.XLOOKUP($D46,Tab_Process_TCs[Name(EN)],Tab_Process_TCs[TC?],,0,)</f>
        <v>#N/A</v>
      </c>
      <c r="G46" s="49" t="e">
        <f>_xlfn.XLOOKUP($D46,Tab_Process_TCs[Name(EN)],Tab_Process_TCs[Dyn_TC?],,0,)</f>
        <v>#N/A</v>
      </c>
      <c r="H46" s="10" t="str">
        <f>_xlfn.XLOOKUP($E46,Tab_Def_Flows[Name(EN)],Tab_Def_Flows[Flow_ID],,0,1)</f>
        <v>N.A.</v>
      </c>
      <c r="I46" s="10" t="str">
        <f>IF(Tab_Process_TCs2527[[#This Row],[Name(EN)]]="N.A.","N.A.","TC"&amp;"_"&amp;RIGHT(H46,5))</f>
        <v>N.A.</v>
      </c>
      <c r="J46" s="12"/>
      <c r="K46" s="186"/>
      <c r="L46" s="10"/>
      <c r="M46" s="17" t="e">
        <f>_xlfn.XLOOKUP($D46,Tab_Def_Processes[Name(EN)],Tab_Def_Processes[Input_Flow_I_1],,0,)</f>
        <v>#N/A</v>
      </c>
      <c r="N46" s="10" t="e">
        <f>_xlfn.XLOOKUP($D46,Tab_Def_Processes[Name(EN)],Tab_Def_Processes[Flow_ID_I_1],,0,)</f>
        <v>#N/A</v>
      </c>
      <c r="O46" s="34"/>
      <c r="P46" s="30" t="e">
        <f>_xlfn.XLOOKUP($D46,Tab_Def_Processes[Name(EN)],Tab_Def_Processes[Input_Flow_I_2],,0,)</f>
        <v>#N/A</v>
      </c>
      <c r="Q46" s="10" t="e">
        <f>_xlfn.XLOOKUP($D46,Tab_Def_Processes[Name(EN)],Tab_Def_Processes[Flow_ID_I_2],,0,)</f>
        <v>#N/A</v>
      </c>
      <c r="R46" s="34"/>
      <c r="S46" s="30" t="e">
        <f>_xlfn.XLOOKUP($D46,Tab_Def_Processes[Name(EN)],Tab_Def_Processes[Input_Flow_I_3],,0,)</f>
        <v>#N/A</v>
      </c>
      <c r="T46" s="10" t="e">
        <f>_xlfn.XLOOKUP($D46,Tab_Def_Processes[Name(EN)],Tab_Def_Processes[Flow_ID_I_3],,0,)</f>
        <v>#N/A</v>
      </c>
      <c r="U46" s="34"/>
      <c r="V46" s="30" t="e">
        <f>_xlfn.XLOOKUP($D46,Tab_Def_Processes[Name(EN)],Tab_Def_Processes[Input_Flow_I_4],,0,)</f>
        <v>#N/A</v>
      </c>
      <c r="W46" s="10" t="e">
        <f>_xlfn.XLOOKUP($D46,Tab_Def_Processes[Name(EN)],Tab_Def_Processes[Flow_ID_I_4],,0,)</f>
        <v>#N/A</v>
      </c>
      <c r="X46" s="34"/>
      <c r="Y46" s="30" t="e">
        <f>_xlfn.XLOOKUP($D46,Tab_Def_Processes[Name(EN)],Tab_Def_Processes[Input_Flow_I_5],,0,)</f>
        <v>#N/A</v>
      </c>
      <c r="Z46" s="10" t="e">
        <f>_xlfn.XLOOKUP($D46,Tab_Def_Processes[Name(EN)],Tab_Def_Processes[Flow_ID_I_5],,0,)</f>
        <v>#N/A</v>
      </c>
      <c r="AA46" s="34"/>
      <c r="AB46" s="33">
        <f>Tab_Process_TCs2527[[#This Row],[Flow_TC_I_1_'[%']]]+Tab_Process_TCs2527[[#This Row],[Flow_TC_I_2_'[%']]]+Tab_Process_TCs2527[[#This Row],[Flow_TC_I_3_'[%']]]+Tab_Process_TCs2527[[#This Row],[Flow_TC_I_4_'[%']]]+Tab_Process_TCs2527[[#This Row],[Flow_TC_I_5_'[%']]]</f>
        <v>0</v>
      </c>
      <c r="AC46" s="17" t="e">
        <f>_xlfn.XLOOKUP($D46,#REF!,#REF!,,0,)</f>
        <v>#REF!</v>
      </c>
      <c r="AD46" s="10" t="e">
        <f>_xlfn.XLOOKUP($D46,#REF!,#REF!,,0,)</f>
        <v>#REF!</v>
      </c>
      <c r="AE46" s="44" t="str">
        <f>Tab_Process_TCs2527[[#This Row],[Flow_ID]]</f>
        <v>N.A.</v>
      </c>
      <c r="AF46" s="10" t="e">
        <f t="shared" si="8"/>
        <v>#REF!</v>
      </c>
      <c r="AG46" s="51">
        <v>1</v>
      </c>
      <c r="AH46" s="171" t="e">
        <f>_xlfn.XLOOKUP($D46,#REF!,#REF!,,0,)</f>
        <v>#REF!</v>
      </c>
      <c r="AI46" s="55" t="e">
        <f>_xlfn.XLOOKUP($D46,#REF!,#REF!,,0,)</f>
        <v>#REF!</v>
      </c>
      <c r="AJ46" s="44" t="str">
        <f>Tab_Process_TCs2527[[#This Row],[Flow_ID]]</f>
        <v>N.A.</v>
      </c>
      <c r="AK46" s="10" t="e">
        <f t="shared" si="9"/>
        <v>#REF!</v>
      </c>
      <c r="AL46" s="170"/>
      <c r="AM46" s="17" t="e">
        <f>_xlfn.XLOOKUP($D46,#REF!,#REF!,,0,)</f>
        <v>#REF!</v>
      </c>
      <c r="AN46" s="10" t="e">
        <f>_xlfn.XLOOKUP($D46,#REF!,#REF!,,0,)</f>
        <v>#REF!</v>
      </c>
      <c r="AO46" s="44" t="str">
        <f>Tab_Process_TCs2527[[#This Row],[Flow_ID]]</f>
        <v>N.A.</v>
      </c>
      <c r="AP46" s="10" t="e">
        <f t="shared" si="10"/>
        <v>#REF!</v>
      </c>
      <c r="AQ46" s="170"/>
      <c r="AR46" s="17" t="e">
        <f>_xlfn.XLOOKUP($D46,#REF!,#REF!,,0,)</f>
        <v>#REF!</v>
      </c>
      <c r="AS46" s="10" t="e">
        <f>_xlfn.XLOOKUP($D46,#REF!,#REF!,,0,)</f>
        <v>#REF!</v>
      </c>
      <c r="AT46" s="44" t="str">
        <f>Tab_Process_TCs2527[[#This Row],[Flow_ID]]</f>
        <v>N.A.</v>
      </c>
      <c r="AU46" s="44" t="e">
        <f t="shared" si="11"/>
        <v>#REF!</v>
      </c>
      <c r="AV46" s="170"/>
      <c r="AW46" s="17" t="e">
        <f>_xlfn.XLOOKUP($D46,#REF!,#REF!,,0,)</f>
        <v>#REF!</v>
      </c>
      <c r="AX46" s="10" t="e">
        <f>_xlfn.XLOOKUP($D46,#REF!,#REF!,,0,)</f>
        <v>#REF!</v>
      </c>
      <c r="AY46" s="44" t="str">
        <f>Tab_Process_TCs2527[[#This Row],[Flow_ID]]</f>
        <v>N.A.</v>
      </c>
      <c r="AZ46" s="44" t="e">
        <f t="shared" si="12"/>
        <v>#REF!</v>
      </c>
      <c r="BA46" s="170"/>
      <c r="BB46" s="10" t="e">
        <f>_xlfn.XLOOKUP($D46,#REF!,#REF!,,0,)</f>
        <v>#REF!</v>
      </c>
      <c r="BC46" s="10" t="e">
        <f>_xlfn.XLOOKUP($D46,#REF!,#REF!,,0,)</f>
        <v>#REF!</v>
      </c>
      <c r="BD46" s="44" t="str">
        <f>Tab_Process_TCs2527[[#This Row],[Flow_ID]]</f>
        <v>N.A.</v>
      </c>
      <c r="BE46" s="44" t="e">
        <f t="shared" si="13"/>
        <v>#REF!</v>
      </c>
      <c r="BF46" s="51"/>
      <c r="BG46" s="54">
        <f>Tab_Process_TCs2527[[#This Row],[TC O_6_'[%']]]+Tab_Process_TCs2527[[#This Row],[TC O_5_'[%']]]+Tab_Process_TCs2527[[#This Row],[TC_O_4_'[%']]]+Tab_Process_TCs2527[[#This Row],[TC_O_3_'[%']]]+Tab_Process_TCs2527[[#This Row],[TC_O_2_'[%']]]+Tab_Process_TCs2527[[#This Row],[TC_O_1_'[%']]]</f>
        <v>1</v>
      </c>
      <c r="BH46" s="12"/>
      <c r="BI46" s="12"/>
      <c r="BJ46" s="12"/>
      <c r="BK46" s="12"/>
      <c r="BL46" s="12"/>
    </row>
    <row r="47" spans="1:64" x14ac:dyDescent="0.25">
      <c r="A47" s="197" t="b">
        <v>0</v>
      </c>
      <c r="B47" s="10">
        <f t="shared" si="7"/>
        <v>46</v>
      </c>
      <c r="C47" s="49" t="e">
        <f>_xlfn.XLOOKUP($D47,Tab_Process_TCs[Name(EN)],Tab_Process_TCs[Process_ID],,0,)</f>
        <v>#N/A</v>
      </c>
      <c r="D47" s="192" t="s">
        <v>35</v>
      </c>
      <c r="E47" s="192" t="s">
        <v>35</v>
      </c>
      <c r="F47" s="49" t="e">
        <f>_xlfn.XLOOKUP($D47,Tab_Process_TCs[Name(EN)],Tab_Process_TCs[TC?],,0,)</f>
        <v>#N/A</v>
      </c>
      <c r="G47" s="49" t="e">
        <f>_xlfn.XLOOKUP($D47,Tab_Process_TCs[Name(EN)],Tab_Process_TCs[Dyn_TC?],,0,)</f>
        <v>#N/A</v>
      </c>
      <c r="H47" s="10" t="str">
        <f>_xlfn.XLOOKUP($E47,Tab_Def_Flows[Name(EN)],Tab_Def_Flows[Flow_ID],,0,1)</f>
        <v>N.A.</v>
      </c>
      <c r="I47" s="10" t="str">
        <f>IF(Tab_Process_TCs2527[[#This Row],[Name(EN)]]="N.A.","N.A.","TC"&amp;"_"&amp;RIGHT(H47,5))</f>
        <v>N.A.</v>
      </c>
      <c r="J47" s="12"/>
      <c r="K47" s="186"/>
      <c r="L47" s="10"/>
      <c r="M47" s="17" t="e">
        <f>_xlfn.XLOOKUP($D47,Tab_Def_Processes[Name(EN)],Tab_Def_Processes[Input_Flow_I_1],,0,)</f>
        <v>#N/A</v>
      </c>
      <c r="N47" s="10" t="e">
        <f>_xlfn.XLOOKUP($D47,Tab_Def_Processes[Name(EN)],Tab_Def_Processes[Flow_ID_I_1],,0,)</f>
        <v>#N/A</v>
      </c>
      <c r="O47" s="34"/>
      <c r="P47" s="30" t="e">
        <f>_xlfn.XLOOKUP($D47,Tab_Def_Processes[Name(EN)],Tab_Def_Processes[Input_Flow_I_2],,0,)</f>
        <v>#N/A</v>
      </c>
      <c r="Q47" s="10" t="e">
        <f>_xlfn.XLOOKUP($D47,Tab_Def_Processes[Name(EN)],Tab_Def_Processes[Flow_ID_I_2],,0,)</f>
        <v>#N/A</v>
      </c>
      <c r="R47" s="34"/>
      <c r="S47" s="30" t="e">
        <f>_xlfn.XLOOKUP($D47,Tab_Def_Processes[Name(EN)],Tab_Def_Processes[Input_Flow_I_3],,0,)</f>
        <v>#N/A</v>
      </c>
      <c r="T47" s="10" t="e">
        <f>_xlfn.XLOOKUP($D47,Tab_Def_Processes[Name(EN)],Tab_Def_Processes[Flow_ID_I_3],,0,)</f>
        <v>#N/A</v>
      </c>
      <c r="U47" s="34"/>
      <c r="V47" s="30" t="e">
        <f>_xlfn.XLOOKUP($D47,Tab_Def_Processes[Name(EN)],Tab_Def_Processes[Input_Flow_I_4],,0,)</f>
        <v>#N/A</v>
      </c>
      <c r="W47" s="10" t="e">
        <f>_xlfn.XLOOKUP($D47,Tab_Def_Processes[Name(EN)],Tab_Def_Processes[Flow_ID_I_4],,0,)</f>
        <v>#N/A</v>
      </c>
      <c r="X47" s="34"/>
      <c r="Y47" s="30" t="e">
        <f>_xlfn.XLOOKUP($D47,Tab_Def_Processes[Name(EN)],Tab_Def_Processes[Input_Flow_I_5],,0,)</f>
        <v>#N/A</v>
      </c>
      <c r="Z47" s="10" t="e">
        <f>_xlfn.XLOOKUP($D47,Tab_Def_Processes[Name(EN)],Tab_Def_Processes[Flow_ID_I_5],,0,)</f>
        <v>#N/A</v>
      </c>
      <c r="AA47" s="34"/>
      <c r="AB47" s="33">
        <f>Tab_Process_TCs2527[[#This Row],[Flow_TC_I_1_'[%']]]+Tab_Process_TCs2527[[#This Row],[Flow_TC_I_2_'[%']]]+Tab_Process_TCs2527[[#This Row],[Flow_TC_I_3_'[%']]]+Tab_Process_TCs2527[[#This Row],[Flow_TC_I_4_'[%']]]+Tab_Process_TCs2527[[#This Row],[Flow_TC_I_5_'[%']]]</f>
        <v>0</v>
      </c>
      <c r="AC47" s="17" t="e">
        <f>_xlfn.XLOOKUP($D47,#REF!,#REF!,,0,)</f>
        <v>#REF!</v>
      </c>
      <c r="AD47" s="10" t="e">
        <f>_xlfn.XLOOKUP($D47,#REF!,#REF!,,0,)</f>
        <v>#REF!</v>
      </c>
      <c r="AE47" s="44" t="str">
        <f>Tab_Process_TCs2527[[#This Row],[Flow_ID]]</f>
        <v>N.A.</v>
      </c>
      <c r="AF47" s="10" t="e">
        <f t="shared" si="8"/>
        <v>#REF!</v>
      </c>
      <c r="AG47" s="51">
        <v>1</v>
      </c>
      <c r="AH47" s="171" t="e">
        <f>_xlfn.XLOOKUP($D47,#REF!,#REF!,,0,)</f>
        <v>#REF!</v>
      </c>
      <c r="AI47" s="55" t="e">
        <f>_xlfn.XLOOKUP($D47,#REF!,#REF!,,0,)</f>
        <v>#REF!</v>
      </c>
      <c r="AJ47" s="44" t="str">
        <f>Tab_Process_TCs2527[[#This Row],[Flow_ID]]</f>
        <v>N.A.</v>
      </c>
      <c r="AK47" s="10" t="e">
        <f t="shared" si="9"/>
        <v>#REF!</v>
      </c>
      <c r="AL47" s="170"/>
      <c r="AM47" s="17" t="e">
        <f>_xlfn.XLOOKUP($D47,#REF!,#REF!,,0,)</f>
        <v>#REF!</v>
      </c>
      <c r="AN47" s="10" t="e">
        <f>_xlfn.XLOOKUP($D47,#REF!,#REF!,,0,)</f>
        <v>#REF!</v>
      </c>
      <c r="AO47" s="44" t="str">
        <f>Tab_Process_TCs2527[[#This Row],[Flow_ID]]</f>
        <v>N.A.</v>
      </c>
      <c r="AP47" s="10" t="e">
        <f t="shared" si="10"/>
        <v>#REF!</v>
      </c>
      <c r="AQ47" s="170"/>
      <c r="AR47" s="17" t="e">
        <f>_xlfn.XLOOKUP($D47,#REF!,#REF!,,0,)</f>
        <v>#REF!</v>
      </c>
      <c r="AS47" s="10" t="e">
        <f>_xlfn.XLOOKUP($D47,#REF!,#REF!,,0,)</f>
        <v>#REF!</v>
      </c>
      <c r="AT47" s="44" t="str">
        <f>Tab_Process_TCs2527[[#This Row],[Flow_ID]]</f>
        <v>N.A.</v>
      </c>
      <c r="AU47" s="44" t="e">
        <f t="shared" si="11"/>
        <v>#REF!</v>
      </c>
      <c r="AV47" s="170"/>
      <c r="AW47" s="17" t="e">
        <f>_xlfn.XLOOKUP($D47,#REF!,#REF!,,0,)</f>
        <v>#REF!</v>
      </c>
      <c r="AX47" s="10" t="e">
        <f>_xlfn.XLOOKUP($D47,#REF!,#REF!,,0,)</f>
        <v>#REF!</v>
      </c>
      <c r="AY47" s="44" t="str">
        <f>Tab_Process_TCs2527[[#This Row],[Flow_ID]]</f>
        <v>N.A.</v>
      </c>
      <c r="AZ47" s="44" t="e">
        <f t="shared" si="12"/>
        <v>#REF!</v>
      </c>
      <c r="BA47" s="170"/>
      <c r="BB47" s="10" t="e">
        <f>_xlfn.XLOOKUP($D47,#REF!,#REF!,,0,)</f>
        <v>#REF!</v>
      </c>
      <c r="BC47" s="10" t="e">
        <f>_xlfn.XLOOKUP($D47,#REF!,#REF!,,0,)</f>
        <v>#REF!</v>
      </c>
      <c r="BD47" s="44" t="str">
        <f>Tab_Process_TCs2527[[#This Row],[Flow_ID]]</f>
        <v>N.A.</v>
      </c>
      <c r="BE47" s="44" t="e">
        <f t="shared" si="13"/>
        <v>#REF!</v>
      </c>
      <c r="BF47" s="51"/>
      <c r="BG47" s="54">
        <f>Tab_Process_TCs2527[[#This Row],[TC O_6_'[%']]]+Tab_Process_TCs2527[[#This Row],[TC O_5_'[%']]]+Tab_Process_TCs2527[[#This Row],[TC_O_4_'[%']]]+Tab_Process_TCs2527[[#This Row],[TC_O_3_'[%']]]+Tab_Process_TCs2527[[#This Row],[TC_O_2_'[%']]]+Tab_Process_TCs2527[[#This Row],[TC_O_1_'[%']]]</f>
        <v>1</v>
      </c>
      <c r="BH47" s="12"/>
      <c r="BI47" s="12"/>
      <c r="BJ47" s="12"/>
      <c r="BK47" s="12"/>
      <c r="BL47" s="12"/>
    </row>
    <row r="48" spans="1:64" x14ac:dyDescent="0.25">
      <c r="A48" s="197" t="b">
        <v>0</v>
      </c>
      <c r="B48" s="10">
        <f t="shared" si="7"/>
        <v>47</v>
      </c>
      <c r="C48" s="49" t="e">
        <f>_xlfn.XLOOKUP($D48,Tab_Process_TCs[Name(EN)],Tab_Process_TCs[Process_ID],,0,)</f>
        <v>#N/A</v>
      </c>
      <c r="D48" s="192" t="s">
        <v>35</v>
      </c>
      <c r="E48" s="192" t="s">
        <v>35</v>
      </c>
      <c r="F48" s="49" t="e">
        <f>_xlfn.XLOOKUP($D48,Tab_Process_TCs[Name(EN)],Tab_Process_TCs[TC?],,0,)</f>
        <v>#N/A</v>
      </c>
      <c r="G48" s="49" t="e">
        <f>_xlfn.XLOOKUP($D48,Tab_Process_TCs[Name(EN)],Tab_Process_TCs[Dyn_TC?],,0,)</f>
        <v>#N/A</v>
      </c>
      <c r="H48" s="10" t="str">
        <f>_xlfn.XLOOKUP($E48,Tab_Def_Flows[Name(EN)],Tab_Def_Flows[Flow_ID],,0,1)</f>
        <v>N.A.</v>
      </c>
      <c r="I48" s="10" t="str">
        <f>IF(Tab_Process_TCs2527[[#This Row],[Name(EN)]]="N.A.","N.A.","TC"&amp;"_"&amp;RIGHT(H48,5))</f>
        <v>N.A.</v>
      </c>
      <c r="J48" s="12"/>
      <c r="K48" s="186"/>
      <c r="L48" s="10"/>
      <c r="M48" s="17" t="e">
        <f>_xlfn.XLOOKUP($D48,Tab_Def_Processes[Name(EN)],Tab_Def_Processes[Input_Flow_I_1],,0,)</f>
        <v>#N/A</v>
      </c>
      <c r="N48" s="10" t="e">
        <f>_xlfn.XLOOKUP($D48,Tab_Def_Processes[Name(EN)],Tab_Def_Processes[Flow_ID_I_1],,0,)</f>
        <v>#N/A</v>
      </c>
      <c r="O48" s="34"/>
      <c r="P48" s="30" t="e">
        <f>_xlfn.XLOOKUP($D48,Tab_Def_Processes[Name(EN)],Tab_Def_Processes[Input_Flow_I_2],,0,)</f>
        <v>#N/A</v>
      </c>
      <c r="Q48" s="10" t="e">
        <f>_xlfn.XLOOKUP($D48,Tab_Def_Processes[Name(EN)],Tab_Def_Processes[Flow_ID_I_2],,0,)</f>
        <v>#N/A</v>
      </c>
      <c r="R48" s="34"/>
      <c r="S48" s="30" t="e">
        <f>_xlfn.XLOOKUP($D48,Tab_Def_Processes[Name(EN)],Tab_Def_Processes[Input_Flow_I_3],,0,)</f>
        <v>#N/A</v>
      </c>
      <c r="T48" s="10" t="e">
        <f>_xlfn.XLOOKUP($D48,Tab_Def_Processes[Name(EN)],Tab_Def_Processes[Flow_ID_I_3],,0,)</f>
        <v>#N/A</v>
      </c>
      <c r="U48" s="34"/>
      <c r="V48" s="30" t="e">
        <f>_xlfn.XLOOKUP($D48,Tab_Def_Processes[Name(EN)],Tab_Def_Processes[Input_Flow_I_4],,0,)</f>
        <v>#N/A</v>
      </c>
      <c r="W48" s="10" t="e">
        <f>_xlfn.XLOOKUP($D48,Tab_Def_Processes[Name(EN)],Tab_Def_Processes[Flow_ID_I_4],,0,)</f>
        <v>#N/A</v>
      </c>
      <c r="X48" s="34"/>
      <c r="Y48" s="30" t="e">
        <f>_xlfn.XLOOKUP($D48,Tab_Def_Processes[Name(EN)],Tab_Def_Processes[Input_Flow_I_5],,0,)</f>
        <v>#N/A</v>
      </c>
      <c r="Z48" s="10" t="e">
        <f>_xlfn.XLOOKUP($D48,Tab_Def_Processes[Name(EN)],Tab_Def_Processes[Flow_ID_I_5],,0,)</f>
        <v>#N/A</v>
      </c>
      <c r="AA48" s="34"/>
      <c r="AB48" s="33">
        <f>Tab_Process_TCs2527[[#This Row],[Flow_TC_I_1_'[%']]]+Tab_Process_TCs2527[[#This Row],[Flow_TC_I_2_'[%']]]+Tab_Process_TCs2527[[#This Row],[Flow_TC_I_3_'[%']]]+Tab_Process_TCs2527[[#This Row],[Flow_TC_I_4_'[%']]]+Tab_Process_TCs2527[[#This Row],[Flow_TC_I_5_'[%']]]</f>
        <v>0</v>
      </c>
      <c r="AC48" s="17" t="e">
        <f>_xlfn.XLOOKUP($D48,#REF!,#REF!,,0,)</f>
        <v>#REF!</v>
      </c>
      <c r="AD48" s="10" t="e">
        <f>_xlfn.XLOOKUP($D48,#REF!,#REF!,,0,)</f>
        <v>#REF!</v>
      </c>
      <c r="AE48" s="44" t="str">
        <f>Tab_Process_TCs2527[[#This Row],[Flow_ID]]</f>
        <v>N.A.</v>
      </c>
      <c r="AF48" s="10" t="e">
        <f t="shared" si="8"/>
        <v>#REF!</v>
      </c>
      <c r="AG48" s="51">
        <v>1</v>
      </c>
      <c r="AH48" s="171" t="e">
        <f>_xlfn.XLOOKUP($D48,#REF!,#REF!,,0,)</f>
        <v>#REF!</v>
      </c>
      <c r="AI48" s="55" t="e">
        <f>_xlfn.XLOOKUP($D48,#REF!,#REF!,,0,)</f>
        <v>#REF!</v>
      </c>
      <c r="AJ48" s="44" t="str">
        <f>Tab_Process_TCs2527[[#This Row],[Flow_ID]]</f>
        <v>N.A.</v>
      </c>
      <c r="AK48" s="10" t="e">
        <f t="shared" si="9"/>
        <v>#REF!</v>
      </c>
      <c r="AL48" s="170"/>
      <c r="AM48" s="17" t="e">
        <f>_xlfn.XLOOKUP($D48,#REF!,#REF!,,0,)</f>
        <v>#REF!</v>
      </c>
      <c r="AN48" s="10" t="e">
        <f>_xlfn.XLOOKUP($D48,#REF!,#REF!,,0,)</f>
        <v>#REF!</v>
      </c>
      <c r="AO48" s="44" t="str">
        <f>Tab_Process_TCs2527[[#This Row],[Flow_ID]]</f>
        <v>N.A.</v>
      </c>
      <c r="AP48" s="10" t="e">
        <f t="shared" si="10"/>
        <v>#REF!</v>
      </c>
      <c r="AQ48" s="170"/>
      <c r="AR48" s="17" t="e">
        <f>_xlfn.XLOOKUP($D48,#REF!,#REF!,,0,)</f>
        <v>#REF!</v>
      </c>
      <c r="AS48" s="10" t="e">
        <f>_xlfn.XLOOKUP($D48,#REF!,#REF!,,0,)</f>
        <v>#REF!</v>
      </c>
      <c r="AT48" s="44" t="str">
        <f>Tab_Process_TCs2527[[#This Row],[Flow_ID]]</f>
        <v>N.A.</v>
      </c>
      <c r="AU48" s="44" t="e">
        <f t="shared" si="11"/>
        <v>#REF!</v>
      </c>
      <c r="AV48" s="170"/>
      <c r="AW48" s="17" t="e">
        <f>_xlfn.XLOOKUP($D48,#REF!,#REF!,,0,)</f>
        <v>#REF!</v>
      </c>
      <c r="AX48" s="10" t="e">
        <f>_xlfn.XLOOKUP($D48,#REF!,#REF!,,0,)</f>
        <v>#REF!</v>
      </c>
      <c r="AY48" s="44" t="str">
        <f>Tab_Process_TCs2527[[#This Row],[Flow_ID]]</f>
        <v>N.A.</v>
      </c>
      <c r="AZ48" s="44" t="e">
        <f t="shared" si="12"/>
        <v>#REF!</v>
      </c>
      <c r="BA48" s="170"/>
      <c r="BB48" s="10" t="e">
        <f>_xlfn.XLOOKUP($D48,#REF!,#REF!,,0,)</f>
        <v>#REF!</v>
      </c>
      <c r="BC48" s="10" t="e">
        <f>_xlfn.XLOOKUP($D48,#REF!,#REF!,,0,)</f>
        <v>#REF!</v>
      </c>
      <c r="BD48" s="44" t="str">
        <f>Tab_Process_TCs2527[[#This Row],[Flow_ID]]</f>
        <v>N.A.</v>
      </c>
      <c r="BE48" s="44" t="e">
        <f t="shared" si="13"/>
        <v>#REF!</v>
      </c>
      <c r="BF48" s="51"/>
      <c r="BG48" s="54">
        <f>Tab_Process_TCs2527[[#This Row],[TC O_6_'[%']]]+Tab_Process_TCs2527[[#This Row],[TC O_5_'[%']]]+Tab_Process_TCs2527[[#This Row],[TC_O_4_'[%']]]+Tab_Process_TCs2527[[#This Row],[TC_O_3_'[%']]]+Tab_Process_TCs2527[[#This Row],[TC_O_2_'[%']]]+Tab_Process_TCs2527[[#This Row],[TC_O_1_'[%']]]</f>
        <v>1</v>
      </c>
      <c r="BH48" s="12"/>
      <c r="BI48" s="12"/>
      <c r="BJ48" s="12"/>
      <c r="BK48" s="12"/>
      <c r="BL48" s="12"/>
    </row>
    <row r="49" spans="1:64" x14ac:dyDescent="0.25">
      <c r="A49" s="197" t="b">
        <v>0</v>
      </c>
      <c r="B49" s="10">
        <f t="shared" si="7"/>
        <v>48</v>
      </c>
      <c r="C49" s="49" t="e">
        <f>_xlfn.XLOOKUP($D49,Tab_Process_TCs[Name(EN)],Tab_Process_TCs[Process_ID],,0,)</f>
        <v>#N/A</v>
      </c>
      <c r="D49" s="192" t="s">
        <v>35</v>
      </c>
      <c r="E49" s="192" t="s">
        <v>35</v>
      </c>
      <c r="F49" s="49" t="e">
        <f>_xlfn.XLOOKUP($D49,Tab_Process_TCs[Name(EN)],Tab_Process_TCs[TC?],,0,)</f>
        <v>#N/A</v>
      </c>
      <c r="G49" s="49" t="e">
        <f>_xlfn.XLOOKUP($D49,Tab_Process_TCs[Name(EN)],Tab_Process_TCs[Dyn_TC?],,0,)</f>
        <v>#N/A</v>
      </c>
      <c r="H49" s="10" t="str">
        <f>_xlfn.XLOOKUP($E49,Tab_Def_Flows[Name(EN)],Tab_Def_Flows[Flow_ID],,0,1)</f>
        <v>N.A.</v>
      </c>
      <c r="I49" s="10" t="str">
        <f>IF(Tab_Process_TCs2527[[#This Row],[Name(EN)]]="N.A.","N.A.","TC"&amp;"_"&amp;RIGHT(H49,5))</f>
        <v>N.A.</v>
      </c>
      <c r="J49" s="12"/>
      <c r="K49" s="186"/>
      <c r="L49" s="10"/>
      <c r="M49" s="17" t="e">
        <f>_xlfn.XLOOKUP($D49,Tab_Def_Processes[Name(EN)],Tab_Def_Processes[Input_Flow_I_1],,0,)</f>
        <v>#N/A</v>
      </c>
      <c r="N49" s="10" t="e">
        <f>_xlfn.XLOOKUP($D49,Tab_Def_Processes[Name(EN)],Tab_Def_Processes[Flow_ID_I_1],,0,)</f>
        <v>#N/A</v>
      </c>
      <c r="O49" s="34"/>
      <c r="P49" s="30" t="e">
        <f>_xlfn.XLOOKUP($D49,Tab_Def_Processes[Name(EN)],Tab_Def_Processes[Input_Flow_I_2],,0,)</f>
        <v>#N/A</v>
      </c>
      <c r="Q49" s="10" t="e">
        <f>_xlfn.XLOOKUP($D49,Tab_Def_Processes[Name(EN)],Tab_Def_Processes[Flow_ID_I_2],,0,)</f>
        <v>#N/A</v>
      </c>
      <c r="R49" s="34"/>
      <c r="S49" s="30" t="e">
        <f>_xlfn.XLOOKUP($D49,Tab_Def_Processes[Name(EN)],Tab_Def_Processes[Input_Flow_I_3],,0,)</f>
        <v>#N/A</v>
      </c>
      <c r="T49" s="10" t="e">
        <f>_xlfn.XLOOKUP($D49,Tab_Def_Processes[Name(EN)],Tab_Def_Processes[Flow_ID_I_3],,0,)</f>
        <v>#N/A</v>
      </c>
      <c r="U49" s="34"/>
      <c r="V49" s="30" t="e">
        <f>_xlfn.XLOOKUP($D49,Tab_Def_Processes[Name(EN)],Tab_Def_Processes[Input_Flow_I_4],,0,)</f>
        <v>#N/A</v>
      </c>
      <c r="W49" s="10" t="e">
        <f>_xlfn.XLOOKUP($D49,Tab_Def_Processes[Name(EN)],Tab_Def_Processes[Flow_ID_I_4],,0,)</f>
        <v>#N/A</v>
      </c>
      <c r="X49" s="34"/>
      <c r="Y49" s="30" t="e">
        <f>_xlfn.XLOOKUP($D49,Tab_Def_Processes[Name(EN)],Tab_Def_Processes[Input_Flow_I_5],,0,)</f>
        <v>#N/A</v>
      </c>
      <c r="Z49" s="10" t="e">
        <f>_xlfn.XLOOKUP($D49,Tab_Def_Processes[Name(EN)],Tab_Def_Processes[Flow_ID_I_5],,0,)</f>
        <v>#N/A</v>
      </c>
      <c r="AA49" s="34"/>
      <c r="AB49" s="33">
        <f>Tab_Process_TCs2527[[#This Row],[Flow_TC_I_1_'[%']]]+Tab_Process_TCs2527[[#This Row],[Flow_TC_I_2_'[%']]]+Tab_Process_TCs2527[[#This Row],[Flow_TC_I_3_'[%']]]+Tab_Process_TCs2527[[#This Row],[Flow_TC_I_4_'[%']]]+Tab_Process_TCs2527[[#This Row],[Flow_TC_I_5_'[%']]]</f>
        <v>0</v>
      </c>
      <c r="AC49" s="17" t="e">
        <f>_xlfn.XLOOKUP($D49,#REF!,#REF!,,0,)</f>
        <v>#REF!</v>
      </c>
      <c r="AD49" s="10" t="e">
        <f>_xlfn.XLOOKUP($D49,#REF!,#REF!,,0,)</f>
        <v>#REF!</v>
      </c>
      <c r="AE49" s="44" t="str">
        <f>Tab_Process_TCs2527[[#This Row],[Flow_ID]]</f>
        <v>N.A.</v>
      </c>
      <c r="AF49" s="10" t="e">
        <f t="shared" si="8"/>
        <v>#REF!</v>
      </c>
      <c r="AG49" s="51">
        <v>1</v>
      </c>
      <c r="AH49" s="171" t="e">
        <f>_xlfn.XLOOKUP($D49,#REF!,#REF!,,0,)</f>
        <v>#REF!</v>
      </c>
      <c r="AI49" s="55" t="e">
        <f>_xlfn.XLOOKUP($D49,#REF!,#REF!,,0,)</f>
        <v>#REF!</v>
      </c>
      <c r="AJ49" s="44" t="str">
        <f>Tab_Process_TCs2527[[#This Row],[Flow_ID]]</f>
        <v>N.A.</v>
      </c>
      <c r="AK49" s="10" t="e">
        <f t="shared" si="9"/>
        <v>#REF!</v>
      </c>
      <c r="AL49" s="170"/>
      <c r="AM49" s="17" t="e">
        <f>_xlfn.XLOOKUP($D49,#REF!,#REF!,,0,)</f>
        <v>#REF!</v>
      </c>
      <c r="AN49" s="10" t="e">
        <f>_xlfn.XLOOKUP($D49,#REF!,#REF!,,0,)</f>
        <v>#REF!</v>
      </c>
      <c r="AO49" s="44" t="str">
        <f>Tab_Process_TCs2527[[#This Row],[Flow_ID]]</f>
        <v>N.A.</v>
      </c>
      <c r="AP49" s="10" t="e">
        <f t="shared" si="10"/>
        <v>#REF!</v>
      </c>
      <c r="AQ49" s="170"/>
      <c r="AR49" s="17" t="e">
        <f>_xlfn.XLOOKUP($D49,#REF!,#REF!,,0,)</f>
        <v>#REF!</v>
      </c>
      <c r="AS49" s="10" t="e">
        <f>_xlfn.XLOOKUP($D49,#REF!,#REF!,,0,)</f>
        <v>#REF!</v>
      </c>
      <c r="AT49" s="44" t="str">
        <f>Tab_Process_TCs2527[[#This Row],[Flow_ID]]</f>
        <v>N.A.</v>
      </c>
      <c r="AU49" s="44" t="e">
        <f t="shared" si="11"/>
        <v>#REF!</v>
      </c>
      <c r="AV49" s="170"/>
      <c r="AW49" s="17" t="e">
        <f>_xlfn.XLOOKUP($D49,#REF!,#REF!,,0,)</f>
        <v>#REF!</v>
      </c>
      <c r="AX49" s="10" t="e">
        <f>_xlfn.XLOOKUP($D49,#REF!,#REF!,,0,)</f>
        <v>#REF!</v>
      </c>
      <c r="AY49" s="44" t="str">
        <f>Tab_Process_TCs2527[[#This Row],[Flow_ID]]</f>
        <v>N.A.</v>
      </c>
      <c r="AZ49" s="44" t="e">
        <f t="shared" si="12"/>
        <v>#REF!</v>
      </c>
      <c r="BA49" s="170"/>
      <c r="BB49" s="10" t="e">
        <f>_xlfn.XLOOKUP($D49,#REF!,#REF!,,0,)</f>
        <v>#REF!</v>
      </c>
      <c r="BC49" s="10" t="e">
        <f>_xlfn.XLOOKUP($D49,#REF!,#REF!,,0,)</f>
        <v>#REF!</v>
      </c>
      <c r="BD49" s="44" t="str">
        <f>Tab_Process_TCs2527[[#This Row],[Flow_ID]]</f>
        <v>N.A.</v>
      </c>
      <c r="BE49" s="44" t="e">
        <f t="shared" si="13"/>
        <v>#REF!</v>
      </c>
      <c r="BF49" s="51"/>
      <c r="BG49" s="54">
        <f>Tab_Process_TCs2527[[#This Row],[TC O_6_'[%']]]+Tab_Process_TCs2527[[#This Row],[TC O_5_'[%']]]+Tab_Process_TCs2527[[#This Row],[TC_O_4_'[%']]]+Tab_Process_TCs2527[[#This Row],[TC_O_3_'[%']]]+Tab_Process_TCs2527[[#This Row],[TC_O_2_'[%']]]+Tab_Process_TCs2527[[#This Row],[TC_O_1_'[%']]]</f>
        <v>1</v>
      </c>
      <c r="BH49" s="12"/>
      <c r="BI49" s="12"/>
      <c r="BJ49" s="12"/>
      <c r="BK49" s="12"/>
      <c r="BL49" s="12"/>
    </row>
    <row r="50" spans="1:64" x14ac:dyDescent="0.25">
      <c r="A50" s="197" t="b">
        <v>0</v>
      </c>
      <c r="B50" s="10">
        <f t="shared" si="7"/>
        <v>49</v>
      </c>
      <c r="C50" s="49" t="e">
        <f>_xlfn.XLOOKUP($D50,Tab_Process_TCs[Name(EN)],Tab_Process_TCs[Process_ID],,0,)</f>
        <v>#N/A</v>
      </c>
      <c r="D50" s="192" t="s">
        <v>35</v>
      </c>
      <c r="E50" s="192" t="s">
        <v>35</v>
      </c>
      <c r="F50" s="49" t="e">
        <f>_xlfn.XLOOKUP($D50,Tab_Process_TCs[Name(EN)],Tab_Process_TCs[TC?],,0,)</f>
        <v>#N/A</v>
      </c>
      <c r="G50" s="49" t="e">
        <f>_xlfn.XLOOKUP($D50,Tab_Process_TCs[Name(EN)],Tab_Process_TCs[Dyn_TC?],,0,)</f>
        <v>#N/A</v>
      </c>
      <c r="H50" s="10" t="str">
        <f>_xlfn.XLOOKUP($E50,Tab_Def_Flows[Name(EN)],Tab_Def_Flows[Flow_ID],,0,1)</f>
        <v>N.A.</v>
      </c>
      <c r="I50" s="10" t="str">
        <f>IF(Tab_Process_TCs2527[[#This Row],[Name(EN)]]="N.A.","N.A.","TC"&amp;"_"&amp;RIGHT(H50,5))</f>
        <v>N.A.</v>
      </c>
      <c r="J50" s="12"/>
      <c r="K50" s="186"/>
      <c r="L50" s="10"/>
      <c r="M50" s="17" t="e">
        <f>_xlfn.XLOOKUP($D50,Tab_Def_Processes[Name(EN)],Tab_Def_Processes[Input_Flow_I_1],,0,)</f>
        <v>#N/A</v>
      </c>
      <c r="N50" s="10" t="e">
        <f>_xlfn.XLOOKUP($D50,Tab_Def_Processes[Name(EN)],Tab_Def_Processes[Flow_ID_I_1],,0,)</f>
        <v>#N/A</v>
      </c>
      <c r="O50" s="34"/>
      <c r="P50" s="30" t="e">
        <f>_xlfn.XLOOKUP($D50,Tab_Def_Processes[Name(EN)],Tab_Def_Processes[Input_Flow_I_2],,0,)</f>
        <v>#N/A</v>
      </c>
      <c r="Q50" s="10" t="e">
        <f>_xlfn.XLOOKUP($D50,Tab_Def_Processes[Name(EN)],Tab_Def_Processes[Flow_ID_I_2],,0,)</f>
        <v>#N/A</v>
      </c>
      <c r="R50" s="34"/>
      <c r="S50" s="30" t="e">
        <f>_xlfn.XLOOKUP($D50,Tab_Def_Processes[Name(EN)],Tab_Def_Processes[Input_Flow_I_3],,0,)</f>
        <v>#N/A</v>
      </c>
      <c r="T50" s="10" t="e">
        <f>_xlfn.XLOOKUP($D50,Tab_Def_Processes[Name(EN)],Tab_Def_Processes[Flow_ID_I_3],,0,)</f>
        <v>#N/A</v>
      </c>
      <c r="U50" s="34"/>
      <c r="V50" s="30" t="e">
        <f>_xlfn.XLOOKUP($D50,Tab_Def_Processes[Name(EN)],Tab_Def_Processes[Input_Flow_I_4],,0,)</f>
        <v>#N/A</v>
      </c>
      <c r="W50" s="10" t="e">
        <f>_xlfn.XLOOKUP($D50,Tab_Def_Processes[Name(EN)],Tab_Def_Processes[Flow_ID_I_4],,0,)</f>
        <v>#N/A</v>
      </c>
      <c r="X50" s="34"/>
      <c r="Y50" s="30" t="e">
        <f>_xlfn.XLOOKUP($D50,Tab_Def_Processes[Name(EN)],Tab_Def_Processes[Input_Flow_I_5],,0,)</f>
        <v>#N/A</v>
      </c>
      <c r="Z50" s="10" t="e">
        <f>_xlfn.XLOOKUP($D50,Tab_Def_Processes[Name(EN)],Tab_Def_Processes[Flow_ID_I_5],,0,)</f>
        <v>#N/A</v>
      </c>
      <c r="AA50" s="34"/>
      <c r="AB50" s="33">
        <f>Tab_Process_TCs2527[[#This Row],[Flow_TC_I_1_'[%']]]+Tab_Process_TCs2527[[#This Row],[Flow_TC_I_2_'[%']]]+Tab_Process_TCs2527[[#This Row],[Flow_TC_I_3_'[%']]]+Tab_Process_TCs2527[[#This Row],[Flow_TC_I_4_'[%']]]+Tab_Process_TCs2527[[#This Row],[Flow_TC_I_5_'[%']]]</f>
        <v>0</v>
      </c>
      <c r="AC50" s="17" t="e">
        <f>_xlfn.XLOOKUP($D50,#REF!,#REF!,,0,)</f>
        <v>#REF!</v>
      </c>
      <c r="AD50" s="10" t="e">
        <f>_xlfn.XLOOKUP($D50,#REF!,#REF!,,0,)</f>
        <v>#REF!</v>
      </c>
      <c r="AE50" s="44" t="str">
        <f>Tab_Process_TCs2527[[#This Row],[Flow_ID]]</f>
        <v>N.A.</v>
      </c>
      <c r="AF50" s="10" t="e">
        <f t="shared" si="8"/>
        <v>#REF!</v>
      </c>
      <c r="AG50" s="51">
        <v>1</v>
      </c>
      <c r="AH50" s="171" t="e">
        <f>_xlfn.XLOOKUP($D50,#REF!,#REF!,,0,)</f>
        <v>#REF!</v>
      </c>
      <c r="AI50" s="55" t="e">
        <f>_xlfn.XLOOKUP($D50,#REF!,#REF!,,0,)</f>
        <v>#REF!</v>
      </c>
      <c r="AJ50" s="44" t="str">
        <f>Tab_Process_TCs2527[[#This Row],[Flow_ID]]</f>
        <v>N.A.</v>
      </c>
      <c r="AK50" s="10" t="e">
        <f t="shared" si="9"/>
        <v>#REF!</v>
      </c>
      <c r="AL50" s="170"/>
      <c r="AM50" s="17" t="e">
        <f>_xlfn.XLOOKUP($D50,#REF!,#REF!,,0,)</f>
        <v>#REF!</v>
      </c>
      <c r="AN50" s="10" t="e">
        <f>_xlfn.XLOOKUP($D50,#REF!,#REF!,,0,)</f>
        <v>#REF!</v>
      </c>
      <c r="AO50" s="44" t="str">
        <f>Tab_Process_TCs2527[[#This Row],[Flow_ID]]</f>
        <v>N.A.</v>
      </c>
      <c r="AP50" s="10" t="e">
        <f t="shared" si="10"/>
        <v>#REF!</v>
      </c>
      <c r="AQ50" s="170"/>
      <c r="AR50" s="17" t="e">
        <f>_xlfn.XLOOKUP($D50,#REF!,#REF!,,0,)</f>
        <v>#REF!</v>
      </c>
      <c r="AS50" s="10" t="e">
        <f>_xlfn.XLOOKUP($D50,#REF!,#REF!,,0,)</f>
        <v>#REF!</v>
      </c>
      <c r="AT50" s="44" t="str">
        <f>Tab_Process_TCs2527[[#This Row],[Flow_ID]]</f>
        <v>N.A.</v>
      </c>
      <c r="AU50" s="44" t="e">
        <f t="shared" si="11"/>
        <v>#REF!</v>
      </c>
      <c r="AV50" s="170"/>
      <c r="AW50" s="17" t="e">
        <f>_xlfn.XLOOKUP($D50,#REF!,#REF!,,0,)</f>
        <v>#REF!</v>
      </c>
      <c r="AX50" s="10" t="e">
        <f>_xlfn.XLOOKUP($D50,#REF!,#REF!,,0,)</f>
        <v>#REF!</v>
      </c>
      <c r="AY50" s="44" t="str">
        <f>Tab_Process_TCs2527[[#This Row],[Flow_ID]]</f>
        <v>N.A.</v>
      </c>
      <c r="AZ50" s="44" t="e">
        <f t="shared" si="12"/>
        <v>#REF!</v>
      </c>
      <c r="BA50" s="170"/>
      <c r="BB50" s="10" t="e">
        <f>_xlfn.XLOOKUP($D50,#REF!,#REF!,,0,)</f>
        <v>#REF!</v>
      </c>
      <c r="BC50" s="10" t="e">
        <f>_xlfn.XLOOKUP($D50,#REF!,#REF!,,0,)</f>
        <v>#REF!</v>
      </c>
      <c r="BD50" s="44" t="str">
        <f>Tab_Process_TCs2527[[#This Row],[Flow_ID]]</f>
        <v>N.A.</v>
      </c>
      <c r="BE50" s="44" t="e">
        <f t="shared" si="13"/>
        <v>#REF!</v>
      </c>
      <c r="BF50" s="51"/>
      <c r="BG50" s="54">
        <f>Tab_Process_TCs2527[[#This Row],[TC O_6_'[%']]]+Tab_Process_TCs2527[[#This Row],[TC O_5_'[%']]]+Tab_Process_TCs2527[[#This Row],[TC_O_4_'[%']]]+Tab_Process_TCs2527[[#This Row],[TC_O_3_'[%']]]+Tab_Process_TCs2527[[#This Row],[TC_O_2_'[%']]]+Tab_Process_TCs2527[[#This Row],[TC_O_1_'[%']]]</f>
        <v>1</v>
      </c>
      <c r="BH50" s="12"/>
      <c r="BI50" s="12"/>
      <c r="BJ50" s="12"/>
      <c r="BK50" s="12"/>
      <c r="BL50" s="12"/>
    </row>
    <row r="51" spans="1:64" x14ac:dyDescent="0.25">
      <c r="A51" s="197" t="b">
        <v>0</v>
      </c>
      <c r="B51" s="10">
        <f t="shared" si="7"/>
        <v>50</v>
      </c>
      <c r="C51" s="49" t="e">
        <f>_xlfn.XLOOKUP($D51,Tab_Process_TCs[Name(EN)],Tab_Process_TCs[Process_ID],,0,)</f>
        <v>#N/A</v>
      </c>
      <c r="D51" s="192" t="s">
        <v>35</v>
      </c>
      <c r="E51" s="192" t="s">
        <v>35</v>
      </c>
      <c r="F51" s="49" t="e">
        <f>_xlfn.XLOOKUP($D51,Tab_Process_TCs[Name(EN)],Tab_Process_TCs[TC?],,0,)</f>
        <v>#N/A</v>
      </c>
      <c r="G51" s="49" t="e">
        <f>_xlfn.XLOOKUP($D51,Tab_Process_TCs[Name(EN)],Tab_Process_TCs[Dyn_TC?],,0,)</f>
        <v>#N/A</v>
      </c>
      <c r="H51" s="10" t="str">
        <f>_xlfn.XLOOKUP($E51,Tab_Def_Flows[Name(EN)],Tab_Def_Flows[Flow_ID],,0,1)</f>
        <v>N.A.</v>
      </c>
      <c r="I51" s="10" t="str">
        <f>IF(Tab_Process_TCs2527[[#This Row],[Name(EN)]]="N.A.","N.A.","TC"&amp;"_"&amp;RIGHT(H51,5))</f>
        <v>N.A.</v>
      </c>
      <c r="J51" s="12"/>
      <c r="K51" s="186"/>
      <c r="L51" s="10"/>
      <c r="M51" s="17" t="e">
        <f>_xlfn.XLOOKUP($D51,Tab_Def_Processes[Name(EN)],Tab_Def_Processes[Input_Flow_I_1],,0,)</f>
        <v>#N/A</v>
      </c>
      <c r="N51" s="10" t="e">
        <f>_xlfn.XLOOKUP($D51,Tab_Def_Processes[Name(EN)],Tab_Def_Processes[Flow_ID_I_1],,0,)</f>
        <v>#N/A</v>
      </c>
      <c r="O51" s="34"/>
      <c r="P51" s="30" t="e">
        <f>_xlfn.XLOOKUP($D51,Tab_Def_Processes[Name(EN)],Tab_Def_Processes[Input_Flow_I_2],,0,)</f>
        <v>#N/A</v>
      </c>
      <c r="Q51" s="10" t="e">
        <f>_xlfn.XLOOKUP($D51,Tab_Def_Processes[Name(EN)],Tab_Def_Processes[Flow_ID_I_2],,0,)</f>
        <v>#N/A</v>
      </c>
      <c r="R51" s="34"/>
      <c r="S51" s="30" t="e">
        <f>_xlfn.XLOOKUP($D51,Tab_Def_Processes[Name(EN)],Tab_Def_Processes[Input_Flow_I_3],,0,)</f>
        <v>#N/A</v>
      </c>
      <c r="T51" s="10" t="e">
        <f>_xlfn.XLOOKUP($D51,Tab_Def_Processes[Name(EN)],Tab_Def_Processes[Flow_ID_I_3],,0,)</f>
        <v>#N/A</v>
      </c>
      <c r="U51" s="34"/>
      <c r="V51" s="30" t="e">
        <f>_xlfn.XLOOKUP($D51,Tab_Def_Processes[Name(EN)],Tab_Def_Processes[Input_Flow_I_4],,0,)</f>
        <v>#N/A</v>
      </c>
      <c r="W51" s="10" t="e">
        <f>_xlfn.XLOOKUP($D51,Tab_Def_Processes[Name(EN)],Tab_Def_Processes[Flow_ID_I_4],,0,)</f>
        <v>#N/A</v>
      </c>
      <c r="X51" s="34"/>
      <c r="Y51" s="30" t="e">
        <f>_xlfn.XLOOKUP($D51,Tab_Def_Processes[Name(EN)],Tab_Def_Processes[Input_Flow_I_5],,0,)</f>
        <v>#N/A</v>
      </c>
      <c r="Z51" s="10" t="e">
        <f>_xlfn.XLOOKUP($D51,Tab_Def_Processes[Name(EN)],Tab_Def_Processes[Flow_ID_I_5],,0,)</f>
        <v>#N/A</v>
      </c>
      <c r="AA51" s="34"/>
      <c r="AB51" s="33">
        <f>Tab_Process_TCs2527[[#This Row],[Flow_TC_I_1_'[%']]]+Tab_Process_TCs2527[[#This Row],[Flow_TC_I_2_'[%']]]+Tab_Process_TCs2527[[#This Row],[Flow_TC_I_3_'[%']]]+Tab_Process_TCs2527[[#This Row],[Flow_TC_I_4_'[%']]]+Tab_Process_TCs2527[[#This Row],[Flow_TC_I_5_'[%']]]</f>
        <v>0</v>
      </c>
      <c r="AC51" s="17" t="e">
        <f>_xlfn.XLOOKUP($D51,#REF!,#REF!,,0,)</f>
        <v>#REF!</v>
      </c>
      <c r="AD51" s="10" t="e">
        <f>_xlfn.XLOOKUP($D51,#REF!,#REF!,,0,)</f>
        <v>#REF!</v>
      </c>
      <c r="AE51" s="44" t="str">
        <f>Tab_Process_TCs2527[[#This Row],[Flow_ID]]</f>
        <v>N.A.</v>
      </c>
      <c r="AF51" s="10" t="e">
        <f t="shared" si="8"/>
        <v>#REF!</v>
      </c>
      <c r="AG51" s="51">
        <v>1</v>
      </c>
      <c r="AH51" s="171" t="e">
        <f>_xlfn.XLOOKUP($D51,#REF!,#REF!,,0,)</f>
        <v>#REF!</v>
      </c>
      <c r="AI51" s="55" t="e">
        <f>_xlfn.XLOOKUP($D51,#REF!,#REF!,,0,)</f>
        <v>#REF!</v>
      </c>
      <c r="AJ51" s="44" t="str">
        <f>Tab_Process_TCs2527[[#This Row],[Flow_ID]]</f>
        <v>N.A.</v>
      </c>
      <c r="AK51" s="10" t="e">
        <f t="shared" si="9"/>
        <v>#REF!</v>
      </c>
      <c r="AL51" s="170"/>
      <c r="AM51" s="17" t="e">
        <f>_xlfn.XLOOKUP($D51,#REF!,#REF!,,0,)</f>
        <v>#REF!</v>
      </c>
      <c r="AN51" s="10" t="e">
        <f>_xlfn.XLOOKUP($D51,#REF!,#REF!,,0,)</f>
        <v>#REF!</v>
      </c>
      <c r="AO51" s="44" t="str">
        <f>Tab_Process_TCs2527[[#This Row],[Flow_ID]]</f>
        <v>N.A.</v>
      </c>
      <c r="AP51" s="10" t="e">
        <f t="shared" si="10"/>
        <v>#REF!</v>
      </c>
      <c r="AQ51" s="170"/>
      <c r="AR51" s="17" t="e">
        <f>_xlfn.XLOOKUP($D51,#REF!,#REF!,,0,)</f>
        <v>#REF!</v>
      </c>
      <c r="AS51" s="10" t="e">
        <f>_xlfn.XLOOKUP($D51,#REF!,#REF!,,0,)</f>
        <v>#REF!</v>
      </c>
      <c r="AT51" s="44" t="str">
        <f>Tab_Process_TCs2527[[#This Row],[Flow_ID]]</f>
        <v>N.A.</v>
      </c>
      <c r="AU51" s="44" t="e">
        <f t="shared" si="11"/>
        <v>#REF!</v>
      </c>
      <c r="AV51" s="170"/>
      <c r="AW51" s="17" t="e">
        <f>_xlfn.XLOOKUP($D51,#REF!,#REF!,,0,)</f>
        <v>#REF!</v>
      </c>
      <c r="AX51" s="10" t="e">
        <f>_xlfn.XLOOKUP($D51,#REF!,#REF!,,0,)</f>
        <v>#REF!</v>
      </c>
      <c r="AY51" s="44" t="str">
        <f>Tab_Process_TCs2527[[#This Row],[Flow_ID]]</f>
        <v>N.A.</v>
      </c>
      <c r="AZ51" s="44" t="e">
        <f t="shared" si="12"/>
        <v>#REF!</v>
      </c>
      <c r="BA51" s="170"/>
      <c r="BB51" s="10" t="e">
        <f>_xlfn.XLOOKUP($D51,#REF!,#REF!,,0,)</f>
        <v>#REF!</v>
      </c>
      <c r="BC51" s="10" t="e">
        <f>_xlfn.XLOOKUP($D51,#REF!,#REF!,,0,)</f>
        <v>#REF!</v>
      </c>
      <c r="BD51" s="44" t="str">
        <f>Tab_Process_TCs2527[[#This Row],[Flow_ID]]</f>
        <v>N.A.</v>
      </c>
      <c r="BE51" s="44" t="e">
        <f t="shared" si="13"/>
        <v>#REF!</v>
      </c>
      <c r="BF51" s="51"/>
      <c r="BG51" s="54">
        <f>Tab_Process_TCs2527[[#This Row],[TC O_6_'[%']]]+Tab_Process_TCs2527[[#This Row],[TC O_5_'[%']]]+Tab_Process_TCs2527[[#This Row],[TC_O_4_'[%']]]+Tab_Process_TCs2527[[#This Row],[TC_O_3_'[%']]]+Tab_Process_TCs2527[[#This Row],[TC_O_2_'[%']]]+Tab_Process_TCs2527[[#This Row],[TC_O_1_'[%']]]</f>
        <v>1</v>
      </c>
      <c r="BH51" s="12"/>
      <c r="BI51" s="12"/>
      <c r="BJ51" s="12"/>
      <c r="BK51" s="12"/>
      <c r="BL51" s="12"/>
    </row>
    <row r="52" spans="1:64" x14ac:dyDescent="0.25">
      <c r="A52" s="197" t="b">
        <v>0</v>
      </c>
      <c r="B52" s="10">
        <f t="shared" si="7"/>
        <v>51</v>
      </c>
      <c r="C52" s="49" t="e">
        <f>_xlfn.XLOOKUP($D52,Tab_Process_TCs[Name(EN)],Tab_Process_TCs[Process_ID],,0,)</f>
        <v>#N/A</v>
      </c>
      <c r="D52" s="192" t="s">
        <v>35</v>
      </c>
      <c r="E52" s="192" t="s">
        <v>35</v>
      </c>
      <c r="F52" s="49" t="e">
        <f>_xlfn.XLOOKUP($D52,Tab_Process_TCs[Name(EN)],Tab_Process_TCs[TC?],,0,)</f>
        <v>#N/A</v>
      </c>
      <c r="G52" s="49" t="e">
        <f>_xlfn.XLOOKUP($D52,Tab_Process_TCs[Name(EN)],Tab_Process_TCs[Dyn_TC?],,0,)</f>
        <v>#N/A</v>
      </c>
      <c r="H52" s="10" t="str">
        <f>_xlfn.XLOOKUP($E52,Tab_Def_Flows[Name(EN)],Tab_Def_Flows[Flow_ID],,0,1)</f>
        <v>N.A.</v>
      </c>
      <c r="I52" s="10" t="str">
        <f>IF(Tab_Process_TCs2527[[#This Row],[Name(EN)]]="N.A.","N.A.","TC"&amp;"_"&amp;RIGHT(H52,5))</f>
        <v>N.A.</v>
      </c>
      <c r="J52" s="12"/>
      <c r="K52" s="186"/>
      <c r="L52" s="10"/>
      <c r="M52" s="17" t="e">
        <f>_xlfn.XLOOKUP($D52,Tab_Def_Processes[Name(EN)],Tab_Def_Processes[Input_Flow_I_1],,0,)</f>
        <v>#N/A</v>
      </c>
      <c r="N52" s="10" t="e">
        <f>_xlfn.XLOOKUP($D52,Tab_Def_Processes[Name(EN)],Tab_Def_Processes[Flow_ID_I_1],,0,)</f>
        <v>#N/A</v>
      </c>
      <c r="O52" s="34"/>
      <c r="P52" s="30" t="e">
        <f>_xlfn.XLOOKUP($D52,Tab_Def_Processes[Name(EN)],Tab_Def_Processes[Input_Flow_I_2],,0,)</f>
        <v>#N/A</v>
      </c>
      <c r="Q52" s="10" t="e">
        <f>_xlfn.XLOOKUP($D52,Tab_Def_Processes[Name(EN)],Tab_Def_Processes[Flow_ID_I_2],,0,)</f>
        <v>#N/A</v>
      </c>
      <c r="R52" s="34"/>
      <c r="S52" s="30" t="e">
        <f>_xlfn.XLOOKUP($D52,Tab_Def_Processes[Name(EN)],Tab_Def_Processes[Input_Flow_I_3],,0,)</f>
        <v>#N/A</v>
      </c>
      <c r="T52" s="10" t="e">
        <f>_xlfn.XLOOKUP($D52,Tab_Def_Processes[Name(EN)],Tab_Def_Processes[Flow_ID_I_3],,0,)</f>
        <v>#N/A</v>
      </c>
      <c r="U52" s="34"/>
      <c r="V52" s="30" t="e">
        <f>_xlfn.XLOOKUP($D52,Tab_Def_Processes[Name(EN)],Tab_Def_Processes[Input_Flow_I_4],,0,)</f>
        <v>#N/A</v>
      </c>
      <c r="W52" s="10" t="e">
        <f>_xlfn.XLOOKUP($D52,Tab_Def_Processes[Name(EN)],Tab_Def_Processes[Flow_ID_I_4],,0,)</f>
        <v>#N/A</v>
      </c>
      <c r="X52" s="34"/>
      <c r="Y52" s="30" t="e">
        <f>_xlfn.XLOOKUP($D52,Tab_Def_Processes[Name(EN)],Tab_Def_Processes[Input_Flow_I_5],,0,)</f>
        <v>#N/A</v>
      </c>
      <c r="Z52" s="10" t="e">
        <f>_xlfn.XLOOKUP($D52,Tab_Def_Processes[Name(EN)],Tab_Def_Processes[Flow_ID_I_5],,0,)</f>
        <v>#N/A</v>
      </c>
      <c r="AA52" s="34"/>
      <c r="AB52" s="33">
        <f>Tab_Process_TCs2527[[#This Row],[Flow_TC_I_1_'[%']]]+Tab_Process_TCs2527[[#This Row],[Flow_TC_I_2_'[%']]]+Tab_Process_TCs2527[[#This Row],[Flow_TC_I_3_'[%']]]+Tab_Process_TCs2527[[#This Row],[Flow_TC_I_4_'[%']]]+Tab_Process_TCs2527[[#This Row],[Flow_TC_I_5_'[%']]]</f>
        <v>0</v>
      </c>
      <c r="AC52" s="17" t="e">
        <f>_xlfn.XLOOKUP($D52,#REF!,#REF!,,0,)</f>
        <v>#REF!</v>
      </c>
      <c r="AD52" s="10" t="e">
        <f>_xlfn.XLOOKUP($D52,#REF!,#REF!,,0,)</f>
        <v>#REF!</v>
      </c>
      <c r="AE52" s="44" t="str">
        <f>Tab_Process_TCs2527[[#This Row],[Flow_ID]]</f>
        <v>N.A.</v>
      </c>
      <c r="AF52" s="10" t="e">
        <f t="shared" si="8"/>
        <v>#REF!</v>
      </c>
      <c r="AG52" s="51">
        <v>1</v>
      </c>
      <c r="AH52" s="171" t="e">
        <f>_xlfn.XLOOKUP($D52,#REF!,#REF!,,0,)</f>
        <v>#REF!</v>
      </c>
      <c r="AI52" s="55" t="e">
        <f>_xlfn.XLOOKUP($D52,#REF!,#REF!,,0,)</f>
        <v>#REF!</v>
      </c>
      <c r="AJ52" s="44" t="str">
        <f>Tab_Process_TCs2527[[#This Row],[Flow_ID]]</f>
        <v>N.A.</v>
      </c>
      <c r="AK52" s="10" t="e">
        <f t="shared" si="9"/>
        <v>#REF!</v>
      </c>
      <c r="AL52" s="170"/>
      <c r="AM52" s="17" t="e">
        <f>_xlfn.XLOOKUP($D52,#REF!,#REF!,,0,)</f>
        <v>#REF!</v>
      </c>
      <c r="AN52" s="10" t="e">
        <f>_xlfn.XLOOKUP($D52,#REF!,#REF!,,0,)</f>
        <v>#REF!</v>
      </c>
      <c r="AO52" s="44" t="str">
        <f>Tab_Process_TCs2527[[#This Row],[Flow_ID]]</f>
        <v>N.A.</v>
      </c>
      <c r="AP52" s="10" t="e">
        <f t="shared" si="10"/>
        <v>#REF!</v>
      </c>
      <c r="AQ52" s="170"/>
      <c r="AR52" s="17" t="e">
        <f>_xlfn.XLOOKUP($D52,#REF!,#REF!,,0,)</f>
        <v>#REF!</v>
      </c>
      <c r="AS52" s="10" t="e">
        <f>_xlfn.XLOOKUP($D52,#REF!,#REF!,,0,)</f>
        <v>#REF!</v>
      </c>
      <c r="AT52" s="44" t="str">
        <f>Tab_Process_TCs2527[[#This Row],[Flow_ID]]</f>
        <v>N.A.</v>
      </c>
      <c r="AU52" s="44" t="e">
        <f t="shared" si="11"/>
        <v>#REF!</v>
      </c>
      <c r="AV52" s="170"/>
      <c r="AW52" s="17" t="e">
        <f>_xlfn.XLOOKUP($D52,#REF!,#REF!,,0,)</f>
        <v>#REF!</v>
      </c>
      <c r="AX52" s="10" t="e">
        <f>_xlfn.XLOOKUP($D52,#REF!,#REF!,,0,)</f>
        <v>#REF!</v>
      </c>
      <c r="AY52" s="44" t="str">
        <f>Tab_Process_TCs2527[[#This Row],[Flow_ID]]</f>
        <v>N.A.</v>
      </c>
      <c r="AZ52" s="44" t="e">
        <f t="shared" si="12"/>
        <v>#REF!</v>
      </c>
      <c r="BA52" s="170"/>
      <c r="BB52" s="10" t="e">
        <f>_xlfn.XLOOKUP($D52,#REF!,#REF!,,0,)</f>
        <v>#REF!</v>
      </c>
      <c r="BC52" s="10" t="e">
        <f>_xlfn.XLOOKUP($D52,#REF!,#REF!,,0,)</f>
        <v>#REF!</v>
      </c>
      <c r="BD52" s="44" t="str">
        <f>Tab_Process_TCs2527[[#This Row],[Flow_ID]]</f>
        <v>N.A.</v>
      </c>
      <c r="BE52" s="44" t="e">
        <f t="shared" si="13"/>
        <v>#REF!</v>
      </c>
      <c r="BF52" s="51"/>
      <c r="BG52" s="54">
        <f>Tab_Process_TCs2527[[#This Row],[TC O_6_'[%']]]+Tab_Process_TCs2527[[#This Row],[TC O_5_'[%']]]+Tab_Process_TCs2527[[#This Row],[TC_O_4_'[%']]]+Tab_Process_TCs2527[[#This Row],[TC_O_3_'[%']]]+Tab_Process_TCs2527[[#This Row],[TC_O_2_'[%']]]+Tab_Process_TCs2527[[#This Row],[TC_O_1_'[%']]]</f>
        <v>1</v>
      </c>
      <c r="BH52" s="12"/>
      <c r="BI52" s="12"/>
      <c r="BJ52" s="12"/>
      <c r="BK52" s="12"/>
      <c r="BL52" s="12"/>
    </row>
    <row r="53" spans="1:64" x14ac:dyDescent="0.25">
      <c r="A53" s="197" t="b">
        <v>0</v>
      </c>
      <c r="B53" s="10">
        <f t="shared" si="7"/>
        <v>52</v>
      </c>
      <c r="C53" s="49" t="e">
        <f>_xlfn.XLOOKUP($D53,Tab_Process_TCs[Name(EN)],Tab_Process_TCs[Process_ID],,0,)</f>
        <v>#N/A</v>
      </c>
      <c r="D53" s="192" t="s">
        <v>35</v>
      </c>
      <c r="E53" s="192" t="s">
        <v>35</v>
      </c>
      <c r="F53" s="49" t="e">
        <f>_xlfn.XLOOKUP($D53,Tab_Process_TCs[Name(EN)],Tab_Process_TCs[TC?],,0,)</f>
        <v>#N/A</v>
      </c>
      <c r="G53" s="49" t="e">
        <f>_xlfn.XLOOKUP($D53,Tab_Process_TCs[Name(EN)],Tab_Process_TCs[Dyn_TC?],,0,)</f>
        <v>#N/A</v>
      </c>
      <c r="H53" s="10" t="str">
        <f>_xlfn.XLOOKUP($E53,Tab_Def_Flows[Name(EN)],Tab_Def_Flows[Flow_ID],,0,1)</f>
        <v>N.A.</v>
      </c>
      <c r="I53" s="10" t="str">
        <f>IF(Tab_Process_TCs2527[[#This Row],[Name(EN)]]="N.A.","N.A.","TC"&amp;"_"&amp;RIGHT(H53,5))</f>
        <v>N.A.</v>
      </c>
      <c r="J53" s="12"/>
      <c r="K53" s="186"/>
      <c r="L53" s="10"/>
      <c r="M53" s="17" t="e">
        <f>_xlfn.XLOOKUP($D53,Tab_Def_Processes[Name(EN)],Tab_Def_Processes[Input_Flow_I_1],,0,)</f>
        <v>#N/A</v>
      </c>
      <c r="N53" s="10" t="e">
        <f>_xlfn.XLOOKUP($D53,Tab_Def_Processes[Name(EN)],Tab_Def_Processes[Flow_ID_I_1],,0,)</f>
        <v>#N/A</v>
      </c>
      <c r="O53" s="34"/>
      <c r="P53" s="30" t="e">
        <f>_xlfn.XLOOKUP($D53,Tab_Def_Processes[Name(EN)],Tab_Def_Processes[Input_Flow_I_2],,0,)</f>
        <v>#N/A</v>
      </c>
      <c r="Q53" s="10" t="e">
        <f>_xlfn.XLOOKUP($D53,Tab_Def_Processes[Name(EN)],Tab_Def_Processes[Flow_ID_I_2],,0,)</f>
        <v>#N/A</v>
      </c>
      <c r="R53" s="34"/>
      <c r="S53" s="30" t="e">
        <f>_xlfn.XLOOKUP($D53,Tab_Def_Processes[Name(EN)],Tab_Def_Processes[Input_Flow_I_3],,0,)</f>
        <v>#N/A</v>
      </c>
      <c r="T53" s="10" t="e">
        <f>_xlfn.XLOOKUP($D53,Tab_Def_Processes[Name(EN)],Tab_Def_Processes[Flow_ID_I_3],,0,)</f>
        <v>#N/A</v>
      </c>
      <c r="U53" s="34"/>
      <c r="V53" s="30" t="e">
        <f>_xlfn.XLOOKUP($D53,Tab_Def_Processes[Name(EN)],Tab_Def_Processes[Input_Flow_I_4],,0,)</f>
        <v>#N/A</v>
      </c>
      <c r="W53" s="10" t="e">
        <f>_xlfn.XLOOKUP($D53,Tab_Def_Processes[Name(EN)],Tab_Def_Processes[Flow_ID_I_4],,0,)</f>
        <v>#N/A</v>
      </c>
      <c r="X53" s="34"/>
      <c r="Y53" s="30" t="e">
        <f>_xlfn.XLOOKUP($D53,Tab_Def_Processes[Name(EN)],Tab_Def_Processes[Input_Flow_I_5],,0,)</f>
        <v>#N/A</v>
      </c>
      <c r="Z53" s="10" t="e">
        <f>_xlfn.XLOOKUP($D53,Tab_Def_Processes[Name(EN)],Tab_Def_Processes[Flow_ID_I_5],,0,)</f>
        <v>#N/A</v>
      </c>
      <c r="AA53" s="34"/>
      <c r="AB53" s="33">
        <f>Tab_Process_TCs2527[[#This Row],[Flow_TC_I_1_'[%']]]+Tab_Process_TCs2527[[#This Row],[Flow_TC_I_2_'[%']]]+Tab_Process_TCs2527[[#This Row],[Flow_TC_I_3_'[%']]]+Tab_Process_TCs2527[[#This Row],[Flow_TC_I_4_'[%']]]+Tab_Process_TCs2527[[#This Row],[Flow_TC_I_5_'[%']]]</f>
        <v>0</v>
      </c>
      <c r="AC53" s="17" t="e">
        <f>_xlfn.XLOOKUP($D53,#REF!,#REF!,,0,)</f>
        <v>#REF!</v>
      </c>
      <c r="AD53" s="10" t="e">
        <f>_xlfn.XLOOKUP($D53,#REF!,#REF!,,0,)</f>
        <v>#REF!</v>
      </c>
      <c r="AE53" s="44" t="str">
        <f>Tab_Process_TCs2527[[#This Row],[Flow_ID]]</f>
        <v>N.A.</v>
      </c>
      <c r="AF53" s="10" t="e">
        <f t="shared" si="8"/>
        <v>#REF!</v>
      </c>
      <c r="AG53" s="51">
        <v>1</v>
      </c>
      <c r="AH53" s="171" t="e">
        <f>_xlfn.XLOOKUP($D53,#REF!,#REF!,,0,)</f>
        <v>#REF!</v>
      </c>
      <c r="AI53" s="55" t="e">
        <f>_xlfn.XLOOKUP($D53,#REF!,#REF!,,0,)</f>
        <v>#REF!</v>
      </c>
      <c r="AJ53" s="44" t="str">
        <f>Tab_Process_TCs2527[[#This Row],[Flow_ID]]</f>
        <v>N.A.</v>
      </c>
      <c r="AK53" s="10" t="e">
        <f t="shared" si="9"/>
        <v>#REF!</v>
      </c>
      <c r="AL53" s="170"/>
      <c r="AM53" s="17" t="e">
        <f>_xlfn.XLOOKUP($D53,#REF!,#REF!,,0,)</f>
        <v>#REF!</v>
      </c>
      <c r="AN53" s="10" t="e">
        <f>_xlfn.XLOOKUP($D53,#REF!,#REF!,,0,)</f>
        <v>#REF!</v>
      </c>
      <c r="AO53" s="44" t="str">
        <f>Tab_Process_TCs2527[[#This Row],[Flow_ID]]</f>
        <v>N.A.</v>
      </c>
      <c r="AP53" s="10" t="e">
        <f t="shared" si="10"/>
        <v>#REF!</v>
      </c>
      <c r="AQ53" s="170"/>
      <c r="AR53" s="17" t="e">
        <f>_xlfn.XLOOKUP($D53,#REF!,#REF!,,0,)</f>
        <v>#REF!</v>
      </c>
      <c r="AS53" s="10" t="e">
        <f>_xlfn.XLOOKUP($D53,#REF!,#REF!,,0,)</f>
        <v>#REF!</v>
      </c>
      <c r="AT53" s="44" t="str">
        <f>Tab_Process_TCs2527[[#This Row],[Flow_ID]]</f>
        <v>N.A.</v>
      </c>
      <c r="AU53" s="44" t="e">
        <f t="shared" si="11"/>
        <v>#REF!</v>
      </c>
      <c r="AV53" s="170"/>
      <c r="AW53" s="17" t="e">
        <f>_xlfn.XLOOKUP($D53,#REF!,#REF!,,0,)</f>
        <v>#REF!</v>
      </c>
      <c r="AX53" s="10" t="e">
        <f>_xlfn.XLOOKUP($D53,#REF!,#REF!,,0,)</f>
        <v>#REF!</v>
      </c>
      <c r="AY53" s="44" t="str">
        <f>Tab_Process_TCs2527[[#This Row],[Flow_ID]]</f>
        <v>N.A.</v>
      </c>
      <c r="AZ53" s="44" t="e">
        <f t="shared" si="12"/>
        <v>#REF!</v>
      </c>
      <c r="BA53" s="170"/>
      <c r="BB53" s="10" t="e">
        <f>_xlfn.XLOOKUP($D53,#REF!,#REF!,,0,)</f>
        <v>#REF!</v>
      </c>
      <c r="BC53" s="10" t="e">
        <f>_xlfn.XLOOKUP($D53,#REF!,#REF!,,0,)</f>
        <v>#REF!</v>
      </c>
      <c r="BD53" s="44" t="str">
        <f>Tab_Process_TCs2527[[#This Row],[Flow_ID]]</f>
        <v>N.A.</v>
      </c>
      <c r="BE53" s="44" t="e">
        <f t="shared" si="13"/>
        <v>#REF!</v>
      </c>
      <c r="BF53" s="51"/>
      <c r="BG53" s="54">
        <f>Tab_Process_TCs2527[[#This Row],[TC O_6_'[%']]]+Tab_Process_TCs2527[[#This Row],[TC O_5_'[%']]]+Tab_Process_TCs2527[[#This Row],[TC_O_4_'[%']]]+Tab_Process_TCs2527[[#This Row],[TC_O_3_'[%']]]+Tab_Process_TCs2527[[#This Row],[TC_O_2_'[%']]]+Tab_Process_TCs2527[[#This Row],[TC_O_1_'[%']]]</f>
        <v>1</v>
      </c>
      <c r="BH53" s="12"/>
      <c r="BI53" s="12"/>
      <c r="BJ53" s="12"/>
      <c r="BK53" s="12"/>
      <c r="BL53" s="12"/>
    </row>
    <row r="54" spans="1:64" x14ac:dyDescent="0.25">
      <c r="A54" s="197" t="b">
        <v>0</v>
      </c>
      <c r="B54" s="10">
        <f t="shared" si="7"/>
        <v>53</v>
      </c>
      <c r="C54" s="49" t="e">
        <f>_xlfn.XLOOKUP($D54,Tab_Process_TCs[Name(EN)],Tab_Process_TCs[Process_ID],,0,)</f>
        <v>#N/A</v>
      </c>
      <c r="D54" s="192" t="s">
        <v>35</v>
      </c>
      <c r="E54" s="192" t="s">
        <v>35</v>
      </c>
      <c r="F54" s="49" t="e">
        <f>_xlfn.XLOOKUP($D54,Tab_Process_TCs[Name(EN)],Tab_Process_TCs[TC?],,0,)</f>
        <v>#N/A</v>
      </c>
      <c r="G54" s="49" t="e">
        <f>_xlfn.XLOOKUP($D54,Tab_Process_TCs[Name(EN)],Tab_Process_TCs[Dyn_TC?],,0,)</f>
        <v>#N/A</v>
      </c>
      <c r="H54" s="10" t="str">
        <f>_xlfn.XLOOKUP($E54,Tab_Def_Flows[Name(EN)],Tab_Def_Flows[Flow_ID],,0,1)</f>
        <v>N.A.</v>
      </c>
      <c r="I54" s="10" t="str">
        <f>IF(Tab_Process_TCs2527[[#This Row],[Name(EN)]]="N.A.","N.A.","TC"&amp;"_"&amp;RIGHT(H54,5))</f>
        <v>N.A.</v>
      </c>
      <c r="J54" s="12"/>
      <c r="K54" s="186"/>
      <c r="L54" s="10"/>
      <c r="M54" s="17" t="e">
        <f>_xlfn.XLOOKUP($D54,Tab_Def_Processes[Name(EN)],Tab_Def_Processes[Input_Flow_I_1],,0,)</f>
        <v>#N/A</v>
      </c>
      <c r="N54" s="10" t="e">
        <f>_xlfn.XLOOKUP($D54,Tab_Def_Processes[Name(EN)],Tab_Def_Processes[Flow_ID_I_1],,0,)</f>
        <v>#N/A</v>
      </c>
      <c r="O54" s="34"/>
      <c r="P54" s="30" t="e">
        <f>_xlfn.XLOOKUP($D54,Tab_Def_Processes[Name(EN)],Tab_Def_Processes[Input_Flow_I_2],,0,)</f>
        <v>#N/A</v>
      </c>
      <c r="Q54" s="10" t="e">
        <f>_xlfn.XLOOKUP($D54,Tab_Def_Processes[Name(EN)],Tab_Def_Processes[Flow_ID_I_2],,0,)</f>
        <v>#N/A</v>
      </c>
      <c r="R54" s="34"/>
      <c r="S54" s="30" t="e">
        <f>_xlfn.XLOOKUP($D54,Tab_Def_Processes[Name(EN)],Tab_Def_Processes[Input_Flow_I_3],,0,)</f>
        <v>#N/A</v>
      </c>
      <c r="T54" s="10" t="e">
        <f>_xlfn.XLOOKUP($D54,Tab_Def_Processes[Name(EN)],Tab_Def_Processes[Flow_ID_I_3],,0,)</f>
        <v>#N/A</v>
      </c>
      <c r="U54" s="34"/>
      <c r="V54" s="30" t="e">
        <f>_xlfn.XLOOKUP($D54,Tab_Def_Processes[Name(EN)],Tab_Def_Processes[Input_Flow_I_4],,0,)</f>
        <v>#N/A</v>
      </c>
      <c r="W54" s="10" t="e">
        <f>_xlfn.XLOOKUP($D54,Tab_Def_Processes[Name(EN)],Tab_Def_Processes[Flow_ID_I_4],,0,)</f>
        <v>#N/A</v>
      </c>
      <c r="X54" s="34"/>
      <c r="Y54" s="30" t="e">
        <f>_xlfn.XLOOKUP($D54,Tab_Def_Processes[Name(EN)],Tab_Def_Processes[Input_Flow_I_5],,0,)</f>
        <v>#N/A</v>
      </c>
      <c r="Z54" s="10" t="e">
        <f>_xlfn.XLOOKUP($D54,Tab_Def_Processes[Name(EN)],Tab_Def_Processes[Flow_ID_I_5],,0,)</f>
        <v>#N/A</v>
      </c>
      <c r="AA54" s="34"/>
      <c r="AB54" s="33">
        <f>Tab_Process_TCs2527[[#This Row],[Flow_TC_I_1_'[%']]]+Tab_Process_TCs2527[[#This Row],[Flow_TC_I_2_'[%']]]+Tab_Process_TCs2527[[#This Row],[Flow_TC_I_3_'[%']]]+Tab_Process_TCs2527[[#This Row],[Flow_TC_I_4_'[%']]]+Tab_Process_TCs2527[[#This Row],[Flow_TC_I_5_'[%']]]</f>
        <v>0</v>
      </c>
      <c r="AC54" s="17" t="e">
        <f>_xlfn.XLOOKUP($D54,#REF!,#REF!,,0,)</f>
        <v>#REF!</v>
      </c>
      <c r="AD54" s="10" t="e">
        <f>_xlfn.XLOOKUP($D54,#REF!,#REF!,,0,)</f>
        <v>#REF!</v>
      </c>
      <c r="AE54" s="44" t="str">
        <f>Tab_Process_TCs2527[[#This Row],[Flow_ID]]</f>
        <v>N.A.</v>
      </c>
      <c r="AF54" s="10" t="e">
        <f t="shared" si="8"/>
        <v>#REF!</v>
      </c>
      <c r="AG54" s="51">
        <v>1</v>
      </c>
      <c r="AH54" s="171" t="e">
        <f>_xlfn.XLOOKUP($D54,#REF!,#REF!,,0,)</f>
        <v>#REF!</v>
      </c>
      <c r="AI54" s="55" t="e">
        <f>_xlfn.XLOOKUP($D54,#REF!,#REF!,,0,)</f>
        <v>#REF!</v>
      </c>
      <c r="AJ54" s="44" t="str">
        <f>Tab_Process_TCs2527[[#This Row],[Flow_ID]]</f>
        <v>N.A.</v>
      </c>
      <c r="AK54" s="10" t="e">
        <f t="shared" si="9"/>
        <v>#REF!</v>
      </c>
      <c r="AL54" s="170"/>
      <c r="AM54" s="17" t="e">
        <f>_xlfn.XLOOKUP($D54,#REF!,#REF!,,0,)</f>
        <v>#REF!</v>
      </c>
      <c r="AN54" s="10" t="e">
        <f>_xlfn.XLOOKUP($D54,#REF!,#REF!,,0,)</f>
        <v>#REF!</v>
      </c>
      <c r="AO54" s="44" t="str">
        <f>Tab_Process_TCs2527[[#This Row],[Flow_ID]]</f>
        <v>N.A.</v>
      </c>
      <c r="AP54" s="10" t="e">
        <f t="shared" si="10"/>
        <v>#REF!</v>
      </c>
      <c r="AQ54" s="170"/>
      <c r="AR54" s="17" t="e">
        <f>_xlfn.XLOOKUP($D54,#REF!,#REF!,,0,)</f>
        <v>#REF!</v>
      </c>
      <c r="AS54" s="10" t="e">
        <f>_xlfn.XLOOKUP($D54,#REF!,#REF!,,0,)</f>
        <v>#REF!</v>
      </c>
      <c r="AT54" s="44" t="str">
        <f>Tab_Process_TCs2527[[#This Row],[Flow_ID]]</f>
        <v>N.A.</v>
      </c>
      <c r="AU54" s="44" t="e">
        <f t="shared" si="11"/>
        <v>#REF!</v>
      </c>
      <c r="AV54" s="170"/>
      <c r="AW54" s="17" t="e">
        <f>_xlfn.XLOOKUP($D54,#REF!,#REF!,,0,)</f>
        <v>#REF!</v>
      </c>
      <c r="AX54" s="10" t="e">
        <f>_xlfn.XLOOKUP($D54,#REF!,#REF!,,0,)</f>
        <v>#REF!</v>
      </c>
      <c r="AY54" s="44" t="str">
        <f>Tab_Process_TCs2527[[#This Row],[Flow_ID]]</f>
        <v>N.A.</v>
      </c>
      <c r="AZ54" s="44" t="e">
        <f t="shared" si="12"/>
        <v>#REF!</v>
      </c>
      <c r="BA54" s="170"/>
      <c r="BB54" s="10" t="e">
        <f>_xlfn.XLOOKUP($D54,#REF!,#REF!,,0,)</f>
        <v>#REF!</v>
      </c>
      <c r="BC54" s="10" t="e">
        <f>_xlfn.XLOOKUP($D54,#REF!,#REF!,,0,)</f>
        <v>#REF!</v>
      </c>
      <c r="BD54" s="44" t="str">
        <f>Tab_Process_TCs2527[[#This Row],[Flow_ID]]</f>
        <v>N.A.</v>
      </c>
      <c r="BE54" s="44" t="e">
        <f t="shared" si="13"/>
        <v>#REF!</v>
      </c>
      <c r="BF54" s="51"/>
      <c r="BG54" s="54">
        <f>Tab_Process_TCs2527[[#This Row],[TC O_6_'[%']]]+Tab_Process_TCs2527[[#This Row],[TC O_5_'[%']]]+Tab_Process_TCs2527[[#This Row],[TC_O_4_'[%']]]+Tab_Process_TCs2527[[#This Row],[TC_O_3_'[%']]]+Tab_Process_TCs2527[[#This Row],[TC_O_2_'[%']]]+Tab_Process_TCs2527[[#This Row],[TC_O_1_'[%']]]</f>
        <v>1</v>
      </c>
      <c r="BH54" s="12"/>
      <c r="BI54" s="12"/>
      <c r="BJ54" s="12"/>
      <c r="BK54" s="12"/>
      <c r="BL54" s="12"/>
    </row>
    <row r="55" spans="1:64" x14ac:dyDescent="0.25">
      <c r="A55" s="197" t="b">
        <v>0</v>
      </c>
      <c r="B55" s="10">
        <f t="shared" si="7"/>
        <v>54</v>
      </c>
      <c r="C55" s="49" t="e">
        <f>_xlfn.XLOOKUP($D55,Tab_Process_TCs[Name(EN)],Tab_Process_TCs[Process_ID],,0,)</f>
        <v>#N/A</v>
      </c>
      <c r="D55" s="192" t="s">
        <v>35</v>
      </c>
      <c r="E55" s="192" t="s">
        <v>35</v>
      </c>
      <c r="F55" s="49" t="e">
        <f>_xlfn.XLOOKUP($D55,Tab_Process_TCs[Name(EN)],Tab_Process_TCs[TC?],,0,)</f>
        <v>#N/A</v>
      </c>
      <c r="G55" s="49" t="e">
        <f>_xlfn.XLOOKUP($D55,Tab_Process_TCs[Name(EN)],Tab_Process_TCs[Dyn_TC?],,0,)</f>
        <v>#N/A</v>
      </c>
      <c r="H55" s="10" t="str">
        <f>_xlfn.XLOOKUP($E55,Tab_Def_Flows[Name(EN)],Tab_Def_Flows[Flow_ID],,0,1)</f>
        <v>N.A.</v>
      </c>
      <c r="I55" s="10" t="str">
        <f>IF(Tab_Process_TCs2527[[#This Row],[Name(EN)]]="N.A.","N.A.","TC"&amp;"_"&amp;RIGHT(H55,5))</f>
        <v>N.A.</v>
      </c>
      <c r="J55" s="12"/>
      <c r="K55" s="186"/>
      <c r="L55" s="10"/>
      <c r="M55" s="17" t="e">
        <f>_xlfn.XLOOKUP($D55,Tab_Def_Processes[Name(EN)],Tab_Def_Processes[Input_Flow_I_1],,0,)</f>
        <v>#N/A</v>
      </c>
      <c r="N55" s="10" t="e">
        <f>_xlfn.XLOOKUP($D55,Tab_Def_Processes[Name(EN)],Tab_Def_Processes[Flow_ID_I_1],,0,)</f>
        <v>#N/A</v>
      </c>
      <c r="O55" s="34"/>
      <c r="P55" s="30" t="e">
        <f>_xlfn.XLOOKUP($D55,Tab_Def_Processes[Name(EN)],Tab_Def_Processes[Input_Flow_I_2],,0,)</f>
        <v>#N/A</v>
      </c>
      <c r="Q55" s="10" t="e">
        <f>_xlfn.XLOOKUP($D55,Tab_Def_Processes[Name(EN)],Tab_Def_Processes[Flow_ID_I_2],,0,)</f>
        <v>#N/A</v>
      </c>
      <c r="R55" s="34"/>
      <c r="S55" s="30" t="e">
        <f>_xlfn.XLOOKUP($D55,Tab_Def_Processes[Name(EN)],Tab_Def_Processes[Input_Flow_I_3],,0,)</f>
        <v>#N/A</v>
      </c>
      <c r="T55" s="10" t="e">
        <f>_xlfn.XLOOKUP($D55,Tab_Def_Processes[Name(EN)],Tab_Def_Processes[Flow_ID_I_3],,0,)</f>
        <v>#N/A</v>
      </c>
      <c r="U55" s="34"/>
      <c r="V55" s="30" t="e">
        <f>_xlfn.XLOOKUP($D55,Tab_Def_Processes[Name(EN)],Tab_Def_Processes[Input_Flow_I_4],,0,)</f>
        <v>#N/A</v>
      </c>
      <c r="W55" s="10" t="e">
        <f>_xlfn.XLOOKUP($D55,Tab_Def_Processes[Name(EN)],Tab_Def_Processes[Flow_ID_I_4],,0,)</f>
        <v>#N/A</v>
      </c>
      <c r="X55" s="34"/>
      <c r="Y55" s="30" t="e">
        <f>_xlfn.XLOOKUP($D55,Tab_Def_Processes[Name(EN)],Tab_Def_Processes[Input_Flow_I_5],,0,)</f>
        <v>#N/A</v>
      </c>
      <c r="Z55" s="10" t="e">
        <f>_xlfn.XLOOKUP($D55,Tab_Def_Processes[Name(EN)],Tab_Def_Processes[Flow_ID_I_5],,0,)</f>
        <v>#N/A</v>
      </c>
      <c r="AA55" s="34"/>
      <c r="AB55" s="33">
        <f>Tab_Process_TCs2527[[#This Row],[Flow_TC_I_1_'[%']]]+Tab_Process_TCs2527[[#This Row],[Flow_TC_I_2_'[%']]]+Tab_Process_TCs2527[[#This Row],[Flow_TC_I_3_'[%']]]+Tab_Process_TCs2527[[#This Row],[Flow_TC_I_4_'[%']]]+Tab_Process_TCs2527[[#This Row],[Flow_TC_I_5_'[%']]]</f>
        <v>0</v>
      </c>
      <c r="AC55" s="17" t="e">
        <f>_xlfn.XLOOKUP($D55,#REF!,#REF!,,0,)</f>
        <v>#REF!</v>
      </c>
      <c r="AD55" s="10" t="e">
        <f>_xlfn.XLOOKUP($D55,#REF!,#REF!,,0,)</f>
        <v>#REF!</v>
      </c>
      <c r="AE55" s="44" t="str">
        <f>Tab_Process_TCs2527[[#This Row],[Flow_ID]]</f>
        <v>N.A.</v>
      </c>
      <c r="AF55" s="10" t="e">
        <f t="shared" si="8"/>
        <v>#REF!</v>
      </c>
      <c r="AG55" s="51">
        <v>1</v>
      </c>
      <c r="AH55" s="171" t="e">
        <f>_xlfn.XLOOKUP($D55,#REF!,#REF!,,0,)</f>
        <v>#REF!</v>
      </c>
      <c r="AI55" s="55" t="e">
        <f>_xlfn.XLOOKUP($D55,#REF!,#REF!,,0,)</f>
        <v>#REF!</v>
      </c>
      <c r="AJ55" s="44" t="str">
        <f>Tab_Process_TCs2527[[#This Row],[Flow_ID]]</f>
        <v>N.A.</v>
      </c>
      <c r="AK55" s="10" t="e">
        <f t="shared" si="9"/>
        <v>#REF!</v>
      </c>
      <c r="AL55" s="170"/>
      <c r="AM55" s="17" t="e">
        <f>_xlfn.XLOOKUP($D55,#REF!,#REF!,,0,)</f>
        <v>#REF!</v>
      </c>
      <c r="AN55" s="10" t="e">
        <f>_xlfn.XLOOKUP($D55,#REF!,#REF!,,0,)</f>
        <v>#REF!</v>
      </c>
      <c r="AO55" s="44" t="str">
        <f>Tab_Process_TCs2527[[#This Row],[Flow_ID]]</f>
        <v>N.A.</v>
      </c>
      <c r="AP55" s="10" t="e">
        <f t="shared" si="10"/>
        <v>#REF!</v>
      </c>
      <c r="AQ55" s="170"/>
      <c r="AR55" s="17" t="e">
        <f>_xlfn.XLOOKUP($D55,#REF!,#REF!,,0,)</f>
        <v>#REF!</v>
      </c>
      <c r="AS55" s="10" t="e">
        <f>_xlfn.XLOOKUP($D55,#REF!,#REF!,,0,)</f>
        <v>#REF!</v>
      </c>
      <c r="AT55" s="44" t="str">
        <f>Tab_Process_TCs2527[[#This Row],[Flow_ID]]</f>
        <v>N.A.</v>
      </c>
      <c r="AU55" s="44" t="e">
        <f t="shared" si="11"/>
        <v>#REF!</v>
      </c>
      <c r="AV55" s="170"/>
      <c r="AW55" s="17" t="e">
        <f>_xlfn.XLOOKUP($D55,#REF!,#REF!,,0,)</f>
        <v>#REF!</v>
      </c>
      <c r="AX55" s="10" t="e">
        <f>_xlfn.XLOOKUP($D55,#REF!,#REF!,,0,)</f>
        <v>#REF!</v>
      </c>
      <c r="AY55" s="44" t="str">
        <f>Tab_Process_TCs2527[[#This Row],[Flow_ID]]</f>
        <v>N.A.</v>
      </c>
      <c r="AZ55" s="44" t="e">
        <f t="shared" si="12"/>
        <v>#REF!</v>
      </c>
      <c r="BA55" s="170"/>
      <c r="BB55" s="10" t="e">
        <f>_xlfn.XLOOKUP($D55,#REF!,#REF!,,0,)</f>
        <v>#REF!</v>
      </c>
      <c r="BC55" s="10" t="e">
        <f>_xlfn.XLOOKUP($D55,#REF!,#REF!,,0,)</f>
        <v>#REF!</v>
      </c>
      <c r="BD55" s="44" t="str">
        <f>Tab_Process_TCs2527[[#This Row],[Flow_ID]]</f>
        <v>N.A.</v>
      </c>
      <c r="BE55" s="44" t="e">
        <f t="shared" si="13"/>
        <v>#REF!</v>
      </c>
      <c r="BF55" s="51"/>
      <c r="BG55" s="54">
        <f>Tab_Process_TCs2527[[#This Row],[TC O_6_'[%']]]+Tab_Process_TCs2527[[#This Row],[TC O_5_'[%']]]+Tab_Process_TCs2527[[#This Row],[TC_O_4_'[%']]]+Tab_Process_TCs2527[[#This Row],[TC_O_3_'[%']]]+Tab_Process_TCs2527[[#This Row],[TC_O_2_'[%']]]+Tab_Process_TCs2527[[#This Row],[TC_O_1_'[%']]]</f>
        <v>1</v>
      </c>
      <c r="BH55" s="12"/>
      <c r="BI55" s="12"/>
      <c r="BJ55" s="12"/>
      <c r="BK55" s="12"/>
      <c r="BL55" s="12"/>
    </row>
    <row r="56" spans="1:64" x14ac:dyDescent="0.25">
      <c r="A56" s="197" t="b">
        <v>0</v>
      </c>
      <c r="B56" s="10">
        <f t="shared" si="7"/>
        <v>55</v>
      </c>
      <c r="C56" s="49" t="e">
        <f>_xlfn.XLOOKUP($D56,Tab_Process_TCs[Name(EN)],Tab_Process_TCs[Process_ID],,0,)</f>
        <v>#N/A</v>
      </c>
      <c r="D56" s="192" t="s">
        <v>35</v>
      </c>
      <c r="E56" s="192" t="s">
        <v>35</v>
      </c>
      <c r="F56" s="49" t="e">
        <f>_xlfn.XLOOKUP($D56,Tab_Process_TCs[Name(EN)],Tab_Process_TCs[TC?],,0,)</f>
        <v>#N/A</v>
      </c>
      <c r="G56" s="49" t="e">
        <f>_xlfn.XLOOKUP($D56,Tab_Process_TCs[Name(EN)],Tab_Process_TCs[Dyn_TC?],,0,)</f>
        <v>#N/A</v>
      </c>
      <c r="H56" s="10" t="str">
        <f>_xlfn.XLOOKUP($E56,Tab_Def_Flows[Name(EN)],Tab_Def_Flows[Flow_ID],,0,1)</f>
        <v>N.A.</v>
      </c>
      <c r="I56" s="10" t="str">
        <f>IF(Tab_Process_TCs2527[[#This Row],[Name(EN)]]="N.A.","N.A.","TC"&amp;"_"&amp;RIGHT(H56,5))</f>
        <v>N.A.</v>
      </c>
      <c r="J56" s="12"/>
      <c r="K56" s="186"/>
      <c r="L56" s="10"/>
      <c r="M56" s="17" t="e">
        <f>_xlfn.XLOOKUP($D56,Tab_Def_Processes[Name(EN)],Tab_Def_Processes[Input_Flow_I_1],,0,)</f>
        <v>#N/A</v>
      </c>
      <c r="N56" s="10" t="e">
        <f>_xlfn.XLOOKUP($D56,Tab_Def_Processes[Name(EN)],Tab_Def_Processes[Flow_ID_I_1],,0,)</f>
        <v>#N/A</v>
      </c>
      <c r="O56" s="34"/>
      <c r="P56" s="30" t="e">
        <f>_xlfn.XLOOKUP($D56,Tab_Def_Processes[Name(EN)],Tab_Def_Processes[Input_Flow_I_2],,0,)</f>
        <v>#N/A</v>
      </c>
      <c r="Q56" s="10" t="e">
        <f>_xlfn.XLOOKUP($D56,Tab_Def_Processes[Name(EN)],Tab_Def_Processes[Flow_ID_I_2],,0,)</f>
        <v>#N/A</v>
      </c>
      <c r="R56" s="34"/>
      <c r="S56" s="30" t="e">
        <f>_xlfn.XLOOKUP($D56,Tab_Def_Processes[Name(EN)],Tab_Def_Processes[Input_Flow_I_3],,0,)</f>
        <v>#N/A</v>
      </c>
      <c r="T56" s="10" t="e">
        <f>_xlfn.XLOOKUP($D56,Tab_Def_Processes[Name(EN)],Tab_Def_Processes[Flow_ID_I_3],,0,)</f>
        <v>#N/A</v>
      </c>
      <c r="U56" s="34"/>
      <c r="V56" s="30" t="e">
        <f>_xlfn.XLOOKUP($D56,Tab_Def_Processes[Name(EN)],Tab_Def_Processes[Input_Flow_I_4],,0,)</f>
        <v>#N/A</v>
      </c>
      <c r="W56" s="10" t="e">
        <f>_xlfn.XLOOKUP($D56,Tab_Def_Processes[Name(EN)],Tab_Def_Processes[Flow_ID_I_4],,0,)</f>
        <v>#N/A</v>
      </c>
      <c r="X56" s="34"/>
      <c r="Y56" s="30" t="e">
        <f>_xlfn.XLOOKUP($D56,Tab_Def_Processes[Name(EN)],Tab_Def_Processes[Input_Flow_I_5],,0,)</f>
        <v>#N/A</v>
      </c>
      <c r="Z56" s="10" t="e">
        <f>_xlfn.XLOOKUP($D56,Tab_Def_Processes[Name(EN)],Tab_Def_Processes[Flow_ID_I_5],,0,)</f>
        <v>#N/A</v>
      </c>
      <c r="AA56" s="34"/>
      <c r="AB56" s="33">
        <f>Tab_Process_TCs2527[[#This Row],[Flow_TC_I_1_'[%']]]+Tab_Process_TCs2527[[#This Row],[Flow_TC_I_2_'[%']]]+Tab_Process_TCs2527[[#This Row],[Flow_TC_I_3_'[%']]]+Tab_Process_TCs2527[[#This Row],[Flow_TC_I_4_'[%']]]+Tab_Process_TCs2527[[#This Row],[Flow_TC_I_5_'[%']]]</f>
        <v>0</v>
      </c>
      <c r="AC56" s="17" t="e">
        <f>_xlfn.XLOOKUP($D56,#REF!,#REF!,,0,)</f>
        <v>#REF!</v>
      </c>
      <c r="AD56" s="10" t="e">
        <f>_xlfn.XLOOKUP($D56,#REF!,#REF!,,0,)</f>
        <v>#REF!</v>
      </c>
      <c r="AE56" s="44" t="str">
        <f>Tab_Process_TCs2527[[#This Row],[Flow_ID]]</f>
        <v>N.A.</v>
      </c>
      <c r="AF56" s="10" t="e">
        <f t="shared" si="8"/>
        <v>#REF!</v>
      </c>
      <c r="AG56" s="51">
        <v>1</v>
      </c>
      <c r="AH56" s="171" t="e">
        <f>_xlfn.XLOOKUP($D56,#REF!,#REF!,,0,)</f>
        <v>#REF!</v>
      </c>
      <c r="AI56" s="55" t="e">
        <f>_xlfn.XLOOKUP($D56,#REF!,#REF!,,0,)</f>
        <v>#REF!</v>
      </c>
      <c r="AJ56" s="44" t="str">
        <f>Tab_Process_TCs2527[[#This Row],[Flow_ID]]</f>
        <v>N.A.</v>
      </c>
      <c r="AK56" s="10" t="e">
        <f t="shared" si="9"/>
        <v>#REF!</v>
      </c>
      <c r="AL56" s="170"/>
      <c r="AM56" s="17" t="e">
        <f>_xlfn.XLOOKUP($D56,#REF!,#REF!,,0,)</f>
        <v>#REF!</v>
      </c>
      <c r="AN56" s="10" t="e">
        <f>_xlfn.XLOOKUP($D56,#REF!,#REF!,,0,)</f>
        <v>#REF!</v>
      </c>
      <c r="AO56" s="44" t="str">
        <f>Tab_Process_TCs2527[[#This Row],[Flow_ID]]</f>
        <v>N.A.</v>
      </c>
      <c r="AP56" s="10" t="e">
        <f t="shared" si="10"/>
        <v>#REF!</v>
      </c>
      <c r="AQ56" s="170"/>
      <c r="AR56" s="17" t="e">
        <f>_xlfn.XLOOKUP($D56,#REF!,#REF!,,0,)</f>
        <v>#REF!</v>
      </c>
      <c r="AS56" s="10" t="e">
        <f>_xlfn.XLOOKUP($D56,#REF!,#REF!,,0,)</f>
        <v>#REF!</v>
      </c>
      <c r="AT56" s="44" t="str">
        <f>Tab_Process_TCs2527[[#This Row],[Flow_ID]]</f>
        <v>N.A.</v>
      </c>
      <c r="AU56" s="44" t="e">
        <f t="shared" si="11"/>
        <v>#REF!</v>
      </c>
      <c r="AV56" s="170"/>
      <c r="AW56" s="17" t="e">
        <f>_xlfn.XLOOKUP($D56,#REF!,#REF!,,0,)</f>
        <v>#REF!</v>
      </c>
      <c r="AX56" s="10" t="e">
        <f>_xlfn.XLOOKUP($D56,#REF!,#REF!,,0,)</f>
        <v>#REF!</v>
      </c>
      <c r="AY56" s="44" t="str">
        <f>Tab_Process_TCs2527[[#This Row],[Flow_ID]]</f>
        <v>N.A.</v>
      </c>
      <c r="AZ56" s="44" t="e">
        <f t="shared" si="12"/>
        <v>#REF!</v>
      </c>
      <c r="BA56" s="170"/>
      <c r="BB56" s="10" t="e">
        <f>_xlfn.XLOOKUP($D56,#REF!,#REF!,,0,)</f>
        <v>#REF!</v>
      </c>
      <c r="BC56" s="10" t="e">
        <f>_xlfn.XLOOKUP($D56,#REF!,#REF!,,0,)</f>
        <v>#REF!</v>
      </c>
      <c r="BD56" s="44" t="str">
        <f>Tab_Process_TCs2527[[#This Row],[Flow_ID]]</f>
        <v>N.A.</v>
      </c>
      <c r="BE56" s="44" t="e">
        <f t="shared" si="13"/>
        <v>#REF!</v>
      </c>
      <c r="BF56" s="51"/>
      <c r="BG56" s="54">
        <f>Tab_Process_TCs2527[[#This Row],[TC O_6_'[%']]]+Tab_Process_TCs2527[[#This Row],[TC O_5_'[%']]]+Tab_Process_TCs2527[[#This Row],[TC_O_4_'[%']]]+Tab_Process_TCs2527[[#This Row],[TC_O_3_'[%']]]+Tab_Process_TCs2527[[#This Row],[TC_O_2_'[%']]]+Tab_Process_TCs2527[[#This Row],[TC_O_1_'[%']]]</f>
        <v>1</v>
      </c>
      <c r="BH56" s="12"/>
      <c r="BI56" s="12"/>
      <c r="BJ56" s="12"/>
      <c r="BK56" s="12"/>
      <c r="BL56" s="12"/>
    </row>
    <row r="57" spans="1:64" x14ac:dyDescent="0.25">
      <c r="A57" s="197" t="b">
        <v>0</v>
      </c>
      <c r="B57" s="10">
        <f t="shared" si="7"/>
        <v>56</v>
      </c>
      <c r="C57" s="49" t="e">
        <f>_xlfn.XLOOKUP($D57,Tab_Process_TCs[Name(EN)],Tab_Process_TCs[Process_ID],,0,)</f>
        <v>#N/A</v>
      </c>
      <c r="D57" s="192" t="s">
        <v>35</v>
      </c>
      <c r="E57" s="192" t="s">
        <v>35</v>
      </c>
      <c r="F57" s="49" t="e">
        <f>_xlfn.XLOOKUP($D57,Tab_Process_TCs[Name(EN)],Tab_Process_TCs[TC?],,0,)</f>
        <v>#N/A</v>
      </c>
      <c r="G57" s="49" t="e">
        <f>_xlfn.XLOOKUP($D57,Tab_Process_TCs[Name(EN)],Tab_Process_TCs[Dyn_TC?],,0,)</f>
        <v>#N/A</v>
      </c>
      <c r="H57" s="10" t="str">
        <f>_xlfn.XLOOKUP($E57,Tab_Def_Flows[Name(EN)],Tab_Def_Flows[Flow_ID],,0,1)</f>
        <v>N.A.</v>
      </c>
      <c r="I57" s="10" t="str">
        <f>IF(Tab_Process_TCs2527[[#This Row],[Name(EN)]]="N.A.","N.A.","TC"&amp;"_"&amp;RIGHT(H57,5))</f>
        <v>N.A.</v>
      </c>
      <c r="J57" s="12"/>
      <c r="K57" s="186"/>
      <c r="L57" s="10"/>
      <c r="M57" s="17" t="e">
        <f>_xlfn.XLOOKUP($D57,Tab_Def_Processes[Name(EN)],Tab_Def_Processes[Input_Flow_I_1],,0,)</f>
        <v>#N/A</v>
      </c>
      <c r="N57" s="10" t="e">
        <f>_xlfn.XLOOKUP($D57,Tab_Def_Processes[Name(EN)],Tab_Def_Processes[Flow_ID_I_1],,0,)</f>
        <v>#N/A</v>
      </c>
      <c r="O57" s="34"/>
      <c r="P57" s="30" t="e">
        <f>_xlfn.XLOOKUP($D57,Tab_Def_Processes[Name(EN)],Tab_Def_Processes[Input_Flow_I_2],,0,)</f>
        <v>#N/A</v>
      </c>
      <c r="Q57" s="10" t="e">
        <f>_xlfn.XLOOKUP($D57,Tab_Def_Processes[Name(EN)],Tab_Def_Processes[Flow_ID_I_2],,0,)</f>
        <v>#N/A</v>
      </c>
      <c r="R57" s="34"/>
      <c r="S57" s="30" t="e">
        <f>_xlfn.XLOOKUP($D57,Tab_Def_Processes[Name(EN)],Tab_Def_Processes[Input_Flow_I_3],,0,)</f>
        <v>#N/A</v>
      </c>
      <c r="T57" s="10" t="e">
        <f>_xlfn.XLOOKUP($D57,Tab_Def_Processes[Name(EN)],Tab_Def_Processes[Flow_ID_I_3],,0,)</f>
        <v>#N/A</v>
      </c>
      <c r="U57" s="34"/>
      <c r="V57" s="30" t="e">
        <f>_xlfn.XLOOKUP($D57,Tab_Def_Processes[Name(EN)],Tab_Def_Processes[Input_Flow_I_4],,0,)</f>
        <v>#N/A</v>
      </c>
      <c r="W57" s="10" t="e">
        <f>_xlfn.XLOOKUP($D57,Tab_Def_Processes[Name(EN)],Tab_Def_Processes[Flow_ID_I_4],,0,)</f>
        <v>#N/A</v>
      </c>
      <c r="X57" s="34"/>
      <c r="Y57" s="30" t="e">
        <f>_xlfn.XLOOKUP($D57,Tab_Def_Processes[Name(EN)],Tab_Def_Processes[Input_Flow_I_5],,0,)</f>
        <v>#N/A</v>
      </c>
      <c r="Z57" s="10" t="e">
        <f>_xlfn.XLOOKUP($D57,Tab_Def_Processes[Name(EN)],Tab_Def_Processes[Flow_ID_I_5],,0,)</f>
        <v>#N/A</v>
      </c>
      <c r="AA57" s="34"/>
      <c r="AB57" s="33">
        <f>Tab_Process_TCs2527[[#This Row],[Flow_TC_I_1_'[%']]]+Tab_Process_TCs2527[[#This Row],[Flow_TC_I_2_'[%']]]+Tab_Process_TCs2527[[#This Row],[Flow_TC_I_3_'[%']]]+Tab_Process_TCs2527[[#This Row],[Flow_TC_I_4_'[%']]]+Tab_Process_TCs2527[[#This Row],[Flow_TC_I_5_'[%']]]</f>
        <v>0</v>
      </c>
      <c r="AC57" s="17" t="e">
        <f>_xlfn.XLOOKUP($D57,#REF!,#REF!,,0,)</f>
        <v>#REF!</v>
      </c>
      <c r="AD57" s="10" t="e">
        <f>_xlfn.XLOOKUP($D57,#REF!,#REF!,,0,)</f>
        <v>#REF!</v>
      </c>
      <c r="AE57" s="44" t="str">
        <f>Tab_Process_TCs2527[[#This Row],[Flow_ID]]</f>
        <v>N.A.</v>
      </c>
      <c r="AF57" s="10" t="e">
        <f t="shared" si="8"/>
        <v>#REF!</v>
      </c>
      <c r="AG57" s="51">
        <v>1</v>
      </c>
      <c r="AH57" s="171" t="e">
        <f>_xlfn.XLOOKUP($D57,#REF!,#REF!,,0,)</f>
        <v>#REF!</v>
      </c>
      <c r="AI57" s="55" t="e">
        <f>_xlfn.XLOOKUP($D57,#REF!,#REF!,,0,)</f>
        <v>#REF!</v>
      </c>
      <c r="AJ57" s="44" t="str">
        <f>Tab_Process_TCs2527[[#This Row],[Flow_ID]]</f>
        <v>N.A.</v>
      </c>
      <c r="AK57" s="10" t="e">
        <f t="shared" si="9"/>
        <v>#REF!</v>
      </c>
      <c r="AL57" s="170"/>
      <c r="AM57" s="17" t="e">
        <f>_xlfn.XLOOKUP($D57,#REF!,#REF!,,0,)</f>
        <v>#REF!</v>
      </c>
      <c r="AN57" s="10" t="e">
        <f>_xlfn.XLOOKUP($D57,#REF!,#REF!,,0,)</f>
        <v>#REF!</v>
      </c>
      <c r="AO57" s="44" t="str">
        <f>Tab_Process_TCs2527[[#This Row],[Flow_ID]]</f>
        <v>N.A.</v>
      </c>
      <c r="AP57" s="10" t="e">
        <f t="shared" si="10"/>
        <v>#REF!</v>
      </c>
      <c r="AQ57" s="170"/>
      <c r="AR57" s="17" t="e">
        <f>_xlfn.XLOOKUP($D57,#REF!,#REF!,,0,)</f>
        <v>#REF!</v>
      </c>
      <c r="AS57" s="10" t="e">
        <f>_xlfn.XLOOKUP($D57,#REF!,#REF!,,0,)</f>
        <v>#REF!</v>
      </c>
      <c r="AT57" s="44" t="str">
        <f>Tab_Process_TCs2527[[#This Row],[Flow_ID]]</f>
        <v>N.A.</v>
      </c>
      <c r="AU57" s="44" t="e">
        <f t="shared" si="11"/>
        <v>#REF!</v>
      </c>
      <c r="AV57" s="170"/>
      <c r="AW57" s="17" t="e">
        <f>_xlfn.XLOOKUP($D57,#REF!,#REF!,,0,)</f>
        <v>#REF!</v>
      </c>
      <c r="AX57" s="10" t="e">
        <f>_xlfn.XLOOKUP($D57,#REF!,#REF!,,0,)</f>
        <v>#REF!</v>
      </c>
      <c r="AY57" s="44" t="str">
        <f>Tab_Process_TCs2527[[#This Row],[Flow_ID]]</f>
        <v>N.A.</v>
      </c>
      <c r="AZ57" s="44" t="e">
        <f t="shared" si="12"/>
        <v>#REF!</v>
      </c>
      <c r="BA57" s="170"/>
      <c r="BB57" s="10" t="e">
        <f>_xlfn.XLOOKUP($D57,#REF!,#REF!,,0,)</f>
        <v>#REF!</v>
      </c>
      <c r="BC57" s="10" t="e">
        <f>_xlfn.XLOOKUP($D57,#REF!,#REF!,,0,)</f>
        <v>#REF!</v>
      </c>
      <c r="BD57" s="44" t="str">
        <f>Tab_Process_TCs2527[[#This Row],[Flow_ID]]</f>
        <v>N.A.</v>
      </c>
      <c r="BE57" s="44" t="e">
        <f t="shared" si="13"/>
        <v>#REF!</v>
      </c>
      <c r="BF57" s="51"/>
      <c r="BG57" s="54">
        <f>Tab_Process_TCs2527[[#This Row],[TC O_6_'[%']]]+Tab_Process_TCs2527[[#This Row],[TC O_5_'[%']]]+Tab_Process_TCs2527[[#This Row],[TC_O_4_'[%']]]+Tab_Process_TCs2527[[#This Row],[TC_O_3_'[%']]]+Tab_Process_TCs2527[[#This Row],[TC_O_2_'[%']]]+Tab_Process_TCs2527[[#This Row],[TC_O_1_'[%']]]</f>
        <v>1</v>
      </c>
      <c r="BH57" s="12"/>
      <c r="BI57" s="12"/>
      <c r="BJ57" s="12"/>
      <c r="BK57" s="12"/>
      <c r="BL57" s="12"/>
    </row>
    <row r="58" spans="1:64" x14ac:dyDescent="0.25">
      <c r="A58" s="197" t="b">
        <v>0</v>
      </c>
      <c r="B58" s="10">
        <f t="shared" si="7"/>
        <v>57</v>
      </c>
      <c r="C58" s="49" t="e">
        <f>_xlfn.XLOOKUP($D58,Tab_Process_TCs[Name(EN)],Tab_Process_TCs[Process_ID],,0,)</f>
        <v>#N/A</v>
      </c>
      <c r="D58" s="192" t="s">
        <v>35</v>
      </c>
      <c r="E58" s="192" t="s">
        <v>35</v>
      </c>
      <c r="F58" s="49" t="e">
        <f>_xlfn.XLOOKUP($D58,Tab_Process_TCs[Name(EN)],Tab_Process_TCs[TC?],,0,)</f>
        <v>#N/A</v>
      </c>
      <c r="G58" s="49" t="e">
        <f>_xlfn.XLOOKUP($D58,Tab_Process_TCs[Name(EN)],Tab_Process_TCs[Dyn_TC?],,0,)</f>
        <v>#N/A</v>
      </c>
      <c r="H58" s="10" t="str">
        <f>_xlfn.XLOOKUP($E58,Tab_Def_Flows[Name(EN)],Tab_Def_Flows[Flow_ID],,0,1)</f>
        <v>N.A.</v>
      </c>
      <c r="I58" s="10" t="str">
        <f>IF(Tab_Process_TCs2527[[#This Row],[Name(EN)]]="N.A.","N.A.","TC"&amp;"_"&amp;RIGHT(H58,5))</f>
        <v>N.A.</v>
      </c>
      <c r="J58" s="12"/>
      <c r="K58" s="186"/>
      <c r="L58" s="10"/>
      <c r="M58" s="17" t="e">
        <f>_xlfn.XLOOKUP($D58,Tab_Def_Processes[Name(EN)],Tab_Def_Processes[Input_Flow_I_1],,0,)</f>
        <v>#N/A</v>
      </c>
      <c r="N58" s="10" t="e">
        <f>_xlfn.XLOOKUP($D58,Tab_Def_Processes[Name(EN)],Tab_Def_Processes[Flow_ID_I_1],,0,)</f>
        <v>#N/A</v>
      </c>
      <c r="O58" s="34"/>
      <c r="P58" s="30" t="e">
        <f>_xlfn.XLOOKUP($D58,Tab_Def_Processes[Name(EN)],Tab_Def_Processes[Input_Flow_I_2],,0,)</f>
        <v>#N/A</v>
      </c>
      <c r="Q58" s="10" t="e">
        <f>_xlfn.XLOOKUP($D58,Tab_Def_Processes[Name(EN)],Tab_Def_Processes[Flow_ID_I_2],,0,)</f>
        <v>#N/A</v>
      </c>
      <c r="R58" s="34"/>
      <c r="S58" s="30" t="e">
        <f>_xlfn.XLOOKUP($D58,Tab_Def_Processes[Name(EN)],Tab_Def_Processes[Input_Flow_I_3],,0,)</f>
        <v>#N/A</v>
      </c>
      <c r="T58" s="10" t="e">
        <f>_xlfn.XLOOKUP($D58,Tab_Def_Processes[Name(EN)],Tab_Def_Processes[Flow_ID_I_3],,0,)</f>
        <v>#N/A</v>
      </c>
      <c r="U58" s="34"/>
      <c r="V58" s="30" t="e">
        <f>_xlfn.XLOOKUP($D58,Tab_Def_Processes[Name(EN)],Tab_Def_Processes[Input_Flow_I_4],,0,)</f>
        <v>#N/A</v>
      </c>
      <c r="W58" s="10" t="e">
        <f>_xlfn.XLOOKUP($D58,Tab_Def_Processes[Name(EN)],Tab_Def_Processes[Flow_ID_I_4],,0,)</f>
        <v>#N/A</v>
      </c>
      <c r="X58" s="34"/>
      <c r="Y58" s="30" t="e">
        <f>_xlfn.XLOOKUP($D58,Tab_Def_Processes[Name(EN)],Tab_Def_Processes[Input_Flow_I_5],,0,)</f>
        <v>#N/A</v>
      </c>
      <c r="Z58" s="10" t="e">
        <f>_xlfn.XLOOKUP($D58,Tab_Def_Processes[Name(EN)],Tab_Def_Processes[Flow_ID_I_5],,0,)</f>
        <v>#N/A</v>
      </c>
      <c r="AA58" s="34"/>
      <c r="AB58" s="33">
        <f>Tab_Process_TCs2527[[#This Row],[Flow_TC_I_1_'[%']]]+Tab_Process_TCs2527[[#This Row],[Flow_TC_I_2_'[%']]]+Tab_Process_TCs2527[[#This Row],[Flow_TC_I_3_'[%']]]+Tab_Process_TCs2527[[#This Row],[Flow_TC_I_4_'[%']]]+Tab_Process_TCs2527[[#This Row],[Flow_TC_I_5_'[%']]]</f>
        <v>0</v>
      </c>
      <c r="AC58" s="17" t="e">
        <f>_xlfn.XLOOKUP($D58,#REF!,#REF!,,0,)</f>
        <v>#REF!</v>
      </c>
      <c r="AD58" s="10" t="e">
        <f>_xlfn.XLOOKUP($D58,#REF!,#REF!,,0,)</f>
        <v>#REF!</v>
      </c>
      <c r="AE58" s="44" t="str">
        <f>Tab_Process_TCs2527[[#This Row],[Flow_ID]]</f>
        <v>N.A.</v>
      </c>
      <c r="AF58" s="10" t="e">
        <f t="shared" si="8"/>
        <v>#REF!</v>
      </c>
      <c r="AG58" s="51">
        <v>1</v>
      </c>
      <c r="AH58" s="171" t="e">
        <f>_xlfn.XLOOKUP($D58,#REF!,#REF!,,0,)</f>
        <v>#REF!</v>
      </c>
      <c r="AI58" s="55" t="e">
        <f>_xlfn.XLOOKUP($D58,#REF!,#REF!,,0,)</f>
        <v>#REF!</v>
      </c>
      <c r="AJ58" s="44" t="str">
        <f>Tab_Process_TCs2527[[#This Row],[Flow_ID]]</f>
        <v>N.A.</v>
      </c>
      <c r="AK58" s="10" t="e">
        <f t="shared" si="9"/>
        <v>#REF!</v>
      </c>
      <c r="AL58" s="170"/>
      <c r="AM58" s="17" t="e">
        <f>_xlfn.XLOOKUP($D58,#REF!,#REF!,,0,)</f>
        <v>#REF!</v>
      </c>
      <c r="AN58" s="10" t="e">
        <f>_xlfn.XLOOKUP($D58,#REF!,#REF!,,0,)</f>
        <v>#REF!</v>
      </c>
      <c r="AO58" s="44" t="str">
        <f>Tab_Process_TCs2527[[#This Row],[Flow_ID]]</f>
        <v>N.A.</v>
      </c>
      <c r="AP58" s="10" t="e">
        <f t="shared" si="10"/>
        <v>#REF!</v>
      </c>
      <c r="AQ58" s="170"/>
      <c r="AR58" s="17" t="e">
        <f>_xlfn.XLOOKUP($D58,#REF!,#REF!,,0,)</f>
        <v>#REF!</v>
      </c>
      <c r="AS58" s="10" t="e">
        <f>_xlfn.XLOOKUP($D58,#REF!,#REF!,,0,)</f>
        <v>#REF!</v>
      </c>
      <c r="AT58" s="44" t="str">
        <f>Tab_Process_TCs2527[[#This Row],[Flow_ID]]</f>
        <v>N.A.</v>
      </c>
      <c r="AU58" s="44" t="e">
        <f t="shared" si="11"/>
        <v>#REF!</v>
      </c>
      <c r="AV58" s="170"/>
      <c r="AW58" s="17" t="e">
        <f>_xlfn.XLOOKUP($D58,#REF!,#REF!,,0,)</f>
        <v>#REF!</v>
      </c>
      <c r="AX58" s="10" t="e">
        <f>_xlfn.XLOOKUP($D58,#REF!,#REF!,,0,)</f>
        <v>#REF!</v>
      </c>
      <c r="AY58" s="44" t="str">
        <f>Tab_Process_TCs2527[[#This Row],[Flow_ID]]</f>
        <v>N.A.</v>
      </c>
      <c r="AZ58" s="44" t="e">
        <f t="shared" si="12"/>
        <v>#REF!</v>
      </c>
      <c r="BA58" s="170"/>
      <c r="BB58" s="10" t="e">
        <f>_xlfn.XLOOKUP($D58,#REF!,#REF!,,0,)</f>
        <v>#REF!</v>
      </c>
      <c r="BC58" s="10" t="e">
        <f>_xlfn.XLOOKUP($D58,#REF!,#REF!,,0,)</f>
        <v>#REF!</v>
      </c>
      <c r="BD58" s="44" t="str">
        <f>Tab_Process_TCs2527[[#This Row],[Flow_ID]]</f>
        <v>N.A.</v>
      </c>
      <c r="BE58" s="44" t="e">
        <f t="shared" si="13"/>
        <v>#REF!</v>
      </c>
      <c r="BF58" s="51"/>
      <c r="BG58" s="54">
        <f>Tab_Process_TCs2527[[#This Row],[TC O_6_'[%']]]+Tab_Process_TCs2527[[#This Row],[TC O_5_'[%']]]+Tab_Process_TCs2527[[#This Row],[TC_O_4_'[%']]]+Tab_Process_TCs2527[[#This Row],[TC_O_3_'[%']]]+Tab_Process_TCs2527[[#This Row],[TC_O_2_'[%']]]+Tab_Process_TCs2527[[#This Row],[TC_O_1_'[%']]]</f>
        <v>1</v>
      </c>
      <c r="BH58" s="12"/>
      <c r="BI58" s="12"/>
      <c r="BJ58" s="12"/>
      <c r="BK58" s="12"/>
      <c r="BL58" s="12"/>
    </row>
    <row r="59" spans="1:64" x14ac:dyDescent="0.25">
      <c r="A59" s="197" t="b">
        <v>0</v>
      </c>
      <c r="B59" s="10">
        <f t="shared" si="7"/>
        <v>58</v>
      </c>
      <c r="C59" s="49" t="e">
        <f>_xlfn.XLOOKUP($D59,Tab_Process_TCs[Name(EN)],Tab_Process_TCs[Process_ID],,0,)</f>
        <v>#N/A</v>
      </c>
      <c r="D59" s="192" t="s">
        <v>35</v>
      </c>
      <c r="E59" s="192" t="s">
        <v>35</v>
      </c>
      <c r="F59" s="49" t="e">
        <f>_xlfn.XLOOKUP($D59,Tab_Process_TCs[Name(EN)],Tab_Process_TCs[TC?],,0,)</f>
        <v>#N/A</v>
      </c>
      <c r="G59" s="49" t="e">
        <f>_xlfn.XLOOKUP($D59,Tab_Process_TCs[Name(EN)],Tab_Process_TCs[Dyn_TC?],,0,)</f>
        <v>#N/A</v>
      </c>
      <c r="H59" s="10" t="str">
        <f>_xlfn.XLOOKUP($E59,Tab_Def_Flows[Name(EN)],Tab_Def_Flows[Flow_ID],,0,1)</f>
        <v>N.A.</v>
      </c>
      <c r="I59" s="10" t="str">
        <f>IF(Tab_Process_TCs2527[[#This Row],[Name(EN)]]="N.A.","N.A.","TC"&amp;"_"&amp;RIGHT(H59,5))</f>
        <v>N.A.</v>
      </c>
      <c r="J59" s="12"/>
      <c r="K59" s="186"/>
      <c r="L59" s="10"/>
      <c r="M59" s="17" t="e">
        <f>_xlfn.XLOOKUP($D59,Tab_Def_Processes[Name(EN)],Tab_Def_Processes[Input_Flow_I_1],,0,)</f>
        <v>#N/A</v>
      </c>
      <c r="N59" s="10" t="e">
        <f>_xlfn.XLOOKUP($D59,Tab_Def_Processes[Name(EN)],Tab_Def_Processes[Flow_ID_I_1],,0,)</f>
        <v>#N/A</v>
      </c>
      <c r="O59" s="34"/>
      <c r="P59" s="30" t="e">
        <f>_xlfn.XLOOKUP($D59,Tab_Def_Processes[Name(EN)],Tab_Def_Processes[Input_Flow_I_2],,0,)</f>
        <v>#N/A</v>
      </c>
      <c r="Q59" s="10" t="e">
        <f>_xlfn.XLOOKUP($D59,Tab_Def_Processes[Name(EN)],Tab_Def_Processes[Flow_ID_I_2],,0,)</f>
        <v>#N/A</v>
      </c>
      <c r="R59" s="34"/>
      <c r="S59" s="30" t="e">
        <f>_xlfn.XLOOKUP($D59,Tab_Def_Processes[Name(EN)],Tab_Def_Processes[Input_Flow_I_3],,0,)</f>
        <v>#N/A</v>
      </c>
      <c r="T59" s="10" t="e">
        <f>_xlfn.XLOOKUP($D59,Tab_Def_Processes[Name(EN)],Tab_Def_Processes[Flow_ID_I_3],,0,)</f>
        <v>#N/A</v>
      </c>
      <c r="U59" s="34"/>
      <c r="V59" s="30" t="e">
        <f>_xlfn.XLOOKUP($D59,Tab_Def_Processes[Name(EN)],Tab_Def_Processes[Input_Flow_I_4],,0,)</f>
        <v>#N/A</v>
      </c>
      <c r="W59" s="10" t="e">
        <f>_xlfn.XLOOKUP($D59,Tab_Def_Processes[Name(EN)],Tab_Def_Processes[Flow_ID_I_4],,0,)</f>
        <v>#N/A</v>
      </c>
      <c r="X59" s="34"/>
      <c r="Y59" s="30" t="e">
        <f>_xlfn.XLOOKUP($D59,Tab_Def_Processes[Name(EN)],Tab_Def_Processes[Input_Flow_I_5],,0,)</f>
        <v>#N/A</v>
      </c>
      <c r="Z59" s="10" t="e">
        <f>_xlfn.XLOOKUP($D59,Tab_Def_Processes[Name(EN)],Tab_Def_Processes[Flow_ID_I_5],,0,)</f>
        <v>#N/A</v>
      </c>
      <c r="AA59" s="34"/>
      <c r="AB59" s="33">
        <f>Tab_Process_TCs2527[[#This Row],[Flow_TC_I_1_'[%']]]+Tab_Process_TCs2527[[#This Row],[Flow_TC_I_2_'[%']]]+Tab_Process_TCs2527[[#This Row],[Flow_TC_I_3_'[%']]]+Tab_Process_TCs2527[[#This Row],[Flow_TC_I_4_'[%']]]+Tab_Process_TCs2527[[#This Row],[Flow_TC_I_5_'[%']]]</f>
        <v>0</v>
      </c>
      <c r="AC59" s="17" t="e">
        <f>_xlfn.XLOOKUP($D59,#REF!,#REF!,,0,)</f>
        <v>#REF!</v>
      </c>
      <c r="AD59" s="10" t="e">
        <f>_xlfn.XLOOKUP($D59,#REF!,#REF!,,0,)</f>
        <v>#REF!</v>
      </c>
      <c r="AE59" s="44" t="str">
        <f>Tab_Process_TCs2527[[#This Row],[Flow_ID]]</f>
        <v>N.A.</v>
      </c>
      <c r="AF59" s="10" t="e">
        <f t="shared" si="8"/>
        <v>#REF!</v>
      </c>
      <c r="AG59" s="51">
        <v>1</v>
      </c>
      <c r="AH59" s="171" t="e">
        <f>_xlfn.XLOOKUP($D59,#REF!,#REF!,,0,)</f>
        <v>#REF!</v>
      </c>
      <c r="AI59" s="55" t="e">
        <f>_xlfn.XLOOKUP($D59,#REF!,#REF!,,0,)</f>
        <v>#REF!</v>
      </c>
      <c r="AJ59" s="44" t="str">
        <f>Tab_Process_TCs2527[[#This Row],[Flow_ID]]</f>
        <v>N.A.</v>
      </c>
      <c r="AK59" s="10" t="e">
        <f t="shared" si="9"/>
        <v>#REF!</v>
      </c>
      <c r="AL59" s="170"/>
      <c r="AM59" s="17" t="e">
        <f>_xlfn.XLOOKUP($D59,#REF!,#REF!,,0,)</f>
        <v>#REF!</v>
      </c>
      <c r="AN59" s="10" t="e">
        <f>_xlfn.XLOOKUP($D59,#REF!,#REF!,,0,)</f>
        <v>#REF!</v>
      </c>
      <c r="AO59" s="44" t="str">
        <f>Tab_Process_TCs2527[[#This Row],[Flow_ID]]</f>
        <v>N.A.</v>
      </c>
      <c r="AP59" s="10" t="e">
        <f t="shared" si="10"/>
        <v>#REF!</v>
      </c>
      <c r="AQ59" s="170"/>
      <c r="AR59" s="17" t="e">
        <f>_xlfn.XLOOKUP($D59,#REF!,#REF!,,0,)</f>
        <v>#REF!</v>
      </c>
      <c r="AS59" s="10" t="e">
        <f>_xlfn.XLOOKUP($D59,#REF!,#REF!,,0,)</f>
        <v>#REF!</v>
      </c>
      <c r="AT59" s="44" t="str">
        <f>Tab_Process_TCs2527[[#This Row],[Flow_ID]]</f>
        <v>N.A.</v>
      </c>
      <c r="AU59" s="44" t="e">
        <f t="shared" si="11"/>
        <v>#REF!</v>
      </c>
      <c r="AV59" s="170"/>
      <c r="AW59" s="17" t="e">
        <f>_xlfn.XLOOKUP($D59,#REF!,#REF!,,0,)</f>
        <v>#REF!</v>
      </c>
      <c r="AX59" s="10" t="e">
        <f>_xlfn.XLOOKUP($D59,#REF!,#REF!,,0,)</f>
        <v>#REF!</v>
      </c>
      <c r="AY59" s="44" t="str">
        <f>Tab_Process_TCs2527[[#This Row],[Flow_ID]]</f>
        <v>N.A.</v>
      </c>
      <c r="AZ59" s="44" t="e">
        <f t="shared" si="12"/>
        <v>#REF!</v>
      </c>
      <c r="BA59" s="170"/>
      <c r="BB59" s="10" t="e">
        <f>_xlfn.XLOOKUP($D59,#REF!,#REF!,,0,)</f>
        <v>#REF!</v>
      </c>
      <c r="BC59" s="10" t="e">
        <f>_xlfn.XLOOKUP($D59,#REF!,#REF!,,0,)</f>
        <v>#REF!</v>
      </c>
      <c r="BD59" s="44" t="str">
        <f>Tab_Process_TCs2527[[#This Row],[Flow_ID]]</f>
        <v>N.A.</v>
      </c>
      <c r="BE59" s="44" t="e">
        <f t="shared" si="13"/>
        <v>#REF!</v>
      </c>
      <c r="BF59" s="51"/>
      <c r="BG59" s="54">
        <f>Tab_Process_TCs2527[[#This Row],[TC O_6_'[%']]]+Tab_Process_TCs2527[[#This Row],[TC O_5_'[%']]]+Tab_Process_TCs2527[[#This Row],[TC_O_4_'[%']]]+Tab_Process_TCs2527[[#This Row],[TC_O_3_'[%']]]+Tab_Process_TCs2527[[#This Row],[TC_O_2_'[%']]]+Tab_Process_TCs2527[[#This Row],[TC_O_1_'[%']]]</f>
        <v>1</v>
      </c>
      <c r="BH59" s="12"/>
      <c r="BI59" s="12"/>
      <c r="BJ59" s="12"/>
      <c r="BK59" s="12"/>
      <c r="BL59" s="12"/>
    </row>
    <row r="60" spans="1:64" x14ac:dyDescent="0.25">
      <c r="A60" s="197" t="b">
        <v>0</v>
      </c>
      <c r="B60" s="10">
        <f t="shared" si="7"/>
        <v>59</v>
      </c>
      <c r="C60" s="49" t="e">
        <f>_xlfn.XLOOKUP($D60,Tab_Process_TCs[Name(EN)],Tab_Process_TCs[Process_ID],,0,)</f>
        <v>#N/A</v>
      </c>
      <c r="D60" s="192" t="s">
        <v>35</v>
      </c>
      <c r="E60" s="192" t="s">
        <v>35</v>
      </c>
      <c r="F60" s="49" t="e">
        <f>_xlfn.XLOOKUP($D60,Tab_Process_TCs[Name(EN)],Tab_Process_TCs[TC?],,0,)</f>
        <v>#N/A</v>
      </c>
      <c r="G60" s="49" t="e">
        <f>_xlfn.XLOOKUP($D60,Tab_Process_TCs[Name(EN)],Tab_Process_TCs[Dyn_TC?],,0,)</f>
        <v>#N/A</v>
      </c>
      <c r="H60" s="10" t="str">
        <f>_xlfn.XLOOKUP($E60,Tab_Def_Flows[Name(EN)],Tab_Def_Flows[Flow_ID],,0,1)</f>
        <v>N.A.</v>
      </c>
      <c r="I60" s="10" t="str">
        <f>IF(Tab_Process_TCs2527[[#This Row],[Name(EN)]]="N.A.","N.A.","TC"&amp;"_"&amp;RIGHT(H60,5))</f>
        <v>N.A.</v>
      </c>
      <c r="J60" s="12"/>
      <c r="K60" s="186"/>
      <c r="L60" s="10"/>
      <c r="M60" s="17" t="e">
        <f>_xlfn.XLOOKUP($D60,Tab_Def_Processes[Name(EN)],Tab_Def_Processes[Input_Flow_I_1],,0,)</f>
        <v>#N/A</v>
      </c>
      <c r="N60" s="10" t="e">
        <f>_xlfn.XLOOKUP($D60,Tab_Def_Processes[Name(EN)],Tab_Def_Processes[Flow_ID_I_1],,0,)</f>
        <v>#N/A</v>
      </c>
      <c r="O60" s="34"/>
      <c r="P60" s="30" t="e">
        <f>_xlfn.XLOOKUP($D60,Tab_Def_Processes[Name(EN)],Tab_Def_Processes[Input_Flow_I_2],,0,)</f>
        <v>#N/A</v>
      </c>
      <c r="Q60" s="10" t="e">
        <f>_xlfn.XLOOKUP($D60,Tab_Def_Processes[Name(EN)],Tab_Def_Processes[Flow_ID_I_2],,0,)</f>
        <v>#N/A</v>
      </c>
      <c r="R60" s="34"/>
      <c r="S60" s="30" t="e">
        <f>_xlfn.XLOOKUP($D60,Tab_Def_Processes[Name(EN)],Tab_Def_Processes[Input_Flow_I_3],,0,)</f>
        <v>#N/A</v>
      </c>
      <c r="T60" s="10" t="e">
        <f>_xlfn.XLOOKUP($D60,Tab_Def_Processes[Name(EN)],Tab_Def_Processes[Flow_ID_I_3],,0,)</f>
        <v>#N/A</v>
      </c>
      <c r="U60" s="34"/>
      <c r="V60" s="30" t="e">
        <f>_xlfn.XLOOKUP($D60,Tab_Def_Processes[Name(EN)],Tab_Def_Processes[Input_Flow_I_4],,0,)</f>
        <v>#N/A</v>
      </c>
      <c r="W60" s="10" t="e">
        <f>_xlfn.XLOOKUP($D60,Tab_Def_Processes[Name(EN)],Tab_Def_Processes[Flow_ID_I_4],,0,)</f>
        <v>#N/A</v>
      </c>
      <c r="X60" s="34"/>
      <c r="Y60" s="30" t="e">
        <f>_xlfn.XLOOKUP($D60,Tab_Def_Processes[Name(EN)],Tab_Def_Processes[Input_Flow_I_5],,0,)</f>
        <v>#N/A</v>
      </c>
      <c r="Z60" s="10" t="e">
        <f>_xlfn.XLOOKUP($D60,Tab_Def_Processes[Name(EN)],Tab_Def_Processes[Flow_ID_I_5],,0,)</f>
        <v>#N/A</v>
      </c>
      <c r="AA60" s="34"/>
      <c r="AB60" s="33">
        <f>Tab_Process_TCs2527[[#This Row],[Flow_TC_I_1_'[%']]]+Tab_Process_TCs2527[[#This Row],[Flow_TC_I_2_'[%']]]+Tab_Process_TCs2527[[#This Row],[Flow_TC_I_3_'[%']]]+Tab_Process_TCs2527[[#This Row],[Flow_TC_I_4_'[%']]]+Tab_Process_TCs2527[[#This Row],[Flow_TC_I_5_'[%']]]</f>
        <v>0</v>
      </c>
      <c r="AC60" s="17" t="e">
        <f>_xlfn.XLOOKUP($D60,#REF!,#REF!,,0,)</f>
        <v>#REF!</v>
      </c>
      <c r="AD60" s="10" t="e">
        <f>_xlfn.XLOOKUP($D60,#REF!,#REF!,,0,)</f>
        <v>#REF!</v>
      </c>
      <c r="AE60" s="44" t="str">
        <f>Tab_Process_TCs2527[[#This Row],[Flow_ID]]</f>
        <v>N.A.</v>
      </c>
      <c r="AF60" s="10" t="e">
        <f t="shared" si="8"/>
        <v>#REF!</v>
      </c>
      <c r="AG60" s="51">
        <v>1</v>
      </c>
      <c r="AH60" s="171" t="e">
        <f>_xlfn.XLOOKUP($D60,#REF!,#REF!,,0,)</f>
        <v>#REF!</v>
      </c>
      <c r="AI60" s="55" t="e">
        <f>_xlfn.XLOOKUP($D60,#REF!,#REF!,,0,)</f>
        <v>#REF!</v>
      </c>
      <c r="AJ60" s="44" t="str">
        <f>Tab_Process_TCs2527[[#This Row],[Flow_ID]]</f>
        <v>N.A.</v>
      </c>
      <c r="AK60" s="10" t="e">
        <f t="shared" si="9"/>
        <v>#REF!</v>
      </c>
      <c r="AL60" s="170"/>
      <c r="AM60" s="17" t="e">
        <f>_xlfn.XLOOKUP($D60,#REF!,#REF!,,0,)</f>
        <v>#REF!</v>
      </c>
      <c r="AN60" s="10" t="e">
        <f>_xlfn.XLOOKUP($D60,#REF!,#REF!,,0,)</f>
        <v>#REF!</v>
      </c>
      <c r="AO60" s="44" t="str">
        <f>Tab_Process_TCs2527[[#This Row],[Flow_ID]]</f>
        <v>N.A.</v>
      </c>
      <c r="AP60" s="10" t="e">
        <f t="shared" si="10"/>
        <v>#REF!</v>
      </c>
      <c r="AQ60" s="170"/>
      <c r="AR60" s="17" t="e">
        <f>_xlfn.XLOOKUP($D60,#REF!,#REF!,,0,)</f>
        <v>#REF!</v>
      </c>
      <c r="AS60" s="10" t="e">
        <f>_xlfn.XLOOKUP($D60,#REF!,#REF!,,0,)</f>
        <v>#REF!</v>
      </c>
      <c r="AT60" s="44" t="str">
        <f>Tab_Process_TCs2527[[#This Row],[Flow_ID]]</f>
        <v>N.A.</v>
      </c>
      <c r="AU60" s="44" t="e">
        <f t="shared" si="11"/>
        <v>#REF!</v>
      </c>
      <c r="AV60" s="170"/>
      <c r="AW60" s="17" t="e">
        <f>_xlfn.XLOOKUP($D60,#REF!,#REF!,,0,)</f>
        <v>#REF!</v>
      </c>
      <c r="AX60" s="10" t="e">
        <f>_xlfn.XLOOKUP($D60,#REF!,#REF!,,0,)</f>
        <v>#REF!</v>
      </c>
      <c r="AY60" s="44" t="str">
        <f>Tab_Process_TCs2527[[#This Row],[Flow_ID]]</f>
        <v>N.A.</v>
      </c>
      <c r="AZ60" s="44" t="e">
        <f t="shared" si="12"/>
        <v>#REF!</v>
      </c>
      <c r="BA60" s="170"/>
      <c r="BB60" s="10" t="e">
        <f>_xlfn.XLOOKUP($D60,#REF!,#REF!,,0,)</f>
        <v>#REF!</v>
      </c>
      <c r="BC60" s="10" t="e">
        <f>_xlfn.XLOOKUP($D60,#REF!,#REF!,,0,)</f>
        <v>#REF!</v>
      </c>
      <c r="BD60" s="44" t="str">
        <f>Tab_Process_TCs2527[[#This Row],[Flow_ID]]</f>
        <v>N.A.</v>
      </c>
      <c r="BE60" s="44" t="e">
        <f t="shared" si="13"/>
        <v>#REF!</v>
      </c>
      <c r="BF60" s="51"/>
      <c r="BG60" s="54">
        <f>Tab_Process_TCs2527[[#This Row],[TC O_6_'[%']]]+Tab_Process_TCs2527[[#This Row],[TC O_5_'[%']]]+Tab_Process_TCs2527[[#This Row],[TC_O_4_'[%']]]+Tab_Process_TCs2527[[#This Row],[TC_O_3_'[%']]]+Tab_Process_TCs2527[[#This Row],[TC_O_2_'[%']]]+Tab_Process_TCs2527[[#This Row],[TC_O_1_'[%']]]</f>
        <v>1</v>
      </c>
      <c r="BH60" s="12"/>
      <c r="BI60" s="12"/>
      <c r="BJ60" s="12"/>
      <c r="BK60" s="12"/>
      <c r="BL60" s="12"/>
    </row>
    <row r="61" spans="1:64" x14ac:dyDescent="0.25">
      <c r="A61" s="197" t="b">
        <v>0</v>
      </c>
      <c r="B61" s="10">
        <f t="shared" si="7"/>
        <v>60</v>
      </c>
      <c r="C61" s="49" t="e">
        <f>_xlfn.XLOOKUP($D61,Tab_Process_TCs[Name(EN)],Tab_Process_TCs[Process_ID],,0,)</f>
        <v>#N/A</v>
      </c>
      <c r="D61" s="192" t="s">
        <v>35</v>
      </c>
      <c r="E61" s="192" t="s">
        <v>35</v>
      </c>
      <c r="F61" s="49" t="e">
        <f>_xlfn.XLOOKUP($D61,Tab_Process_TCs[Name(EN)],Tab_Process_TCs[TC?],,0,)</f>
        <v>#N/A</v>
      </c>
      <c r="G61" s="49" t="e">
        <f>_xlfn.XLOOKUP($D61,Tab_Process_TCs[Name(EN)],Tab_Process_TCs[Dyn_TC?],,0,)</f>
        <v>#N/A</v>
      </c>
      <c r="H61" s="10" t="str">
        <f>_xlfn.XLOOKUP($E61,Tab_Def_Flows[Name(EN)],Tab_Def_Flows[Flow_ID],,0,1)</f>
        <v>N.A.</v>
      </c>
      <c r="I61" s="10" t="str">
        <f>IF(Tab_Process_TCs2527[[#This Row],[Name(EN)]]="N.A.","N.A.","TC"&amp;"_"&amp;RIGHT(H61,5))</f>
        <v>N.A.</v>
      </c>
      <c r="J61" s="12"/>
      <c r="K61" s="186"/>
      <c r="L61" s="10"/>
      <c r="M61" s="17" t="e">
        <f>_xlfn.XLOOKUP($D61,Tab_Def_Processes[Name(EN)],Tab_Def_Processes[Input_Flow_I_1],,0,)</f>
        <v>#N/A</v>
      </c>
      <c r="N61" s="10" t="e">
        <f>_xlfn.XLOOKUP($D61,Tab_Def_Processes[Name(EN)],Tab_Def_Processes[Flow_ID_I_1],,0,)</f>
        <v>#N/A</v>
      </c>
      <c r="O61" s="34"/>
      <c r="P61" s="30" t="e">
        <f>_xlfn.XLOOKUP($D61,Tab_Def_Processes[Name(EN)],Tab_Def_Processes[Input_Flow_I_2],,0,)</f>
        <v>#N/A</v>
      </c>
      <c r="Q61" s="10" t="e">
        <f>_xlfn.XLOOKUP($D61,Tab_Def_Processes[Name(EN)],Tab_Def_Processes[Flow_ID_I_2],,0,)</f>
        <v>#N/A</v>
      </c>
      <c r="R61" s="34"/>
      <c r="S61" s="30" t="e">
        <f>_xlfn.XLOOKUP($D61,Tab_Def_Processes[Name(EN)],Tab_Def_Processes[Input_Flow_I_3],,0,)</f>
        <v>#N/A</v>
      </c>
      <c r="T61" s="10" t="e">
        <f>_xlfn.XLOOKUP($D61,Tab_Def_Processes[Name(EN)],Tab_Def_Processes[Flow_ID_I_3],,0,)</f>
        <v>#N/A</v>
      </c>
      <c r="U61" s="34"/>
      <c r="V61" s="30" t="e">
        <f>_xlfn.XLOOKUP($D61,Tab_Def_Processes[Name(EN)],Tab_Def_Processes[Input_Flow_I_4],,0,)</f>
        <v>#N/A</v>
      </c>
      <c r="W61" s="10" t="e">
        <f>_xlfn.XLOOKUP($D61,Tab_Def_Processes[Name(EN)],Tab_Def_Processes[Flow_ID_I_4],,0,)</f>
        <v>#N/A</v>
      </c>
      <c r="X61" s="34"/>
      <c r="Y61" s="30" t="e">
        <f>_xlfn.XLOOKUP($D61,Tab_Def_Processes[Name(EN)],Tab_Def_Processes[Input_Flow_I_5],,0,)</f>
        <v>#N/A</v>
      </c>
      <c r="Z61" s="10" t="e">
        <f>_xlfn.XLOOKUP($D61,Tab_Def_Processes[Name(EN)],Tab_Def_Processes[Flow_ID_I_5],,0,)</f>
        <v>#N/A</v>
      </c>
      <c r="AA61" s="34"/>
      <c r="AB61" s="33">
        <f>Tab_Process_TCs2527[[#This Row],[Flow_TC_I_1_'[%']]]+Tab_Process_TCs2527[[#This Row],[Flow_TC_I_2_'[%']]]+Tab_Process_TCs2527[[#This Row],[Flow_TC_I_3_'[%']]]+Tab_Process_TCs2527[[#This Row],[Flow_TC_I_4_'[%']]]+Tab_Process_TCs2527[[#This Row],[Flow_TC_I_5_'[%']]]</f>
        <v>0</v>
      </c>
      <c r="AC61" s="17" t="e">
        <f>_xlfn.XLOOKUP($D61,#REF!,#REF!,,0,)</f>
        <v>#REF!</v>
      </c>
      <c r="AD61" s="10" t="e">
        <f>_xlfn.XLOOKUP($D61,#REF!,#REF!,,0,)</f>
        <v>#REF!</v>
      </c>
      <c r="AE61" s="44" t="str">
        <f>Tab_Process_TCs2527[[#This Row],[Flow_ID]]</f>
        <v>N.A.</v>
      </c>
      <c r="AF61" s="10" t="e">
        <f t="shared" si="8"/>
        <v>#REF!</v>
      </c>
      <c r="AG61" s="51">
        <v>1</v>
      </c>
      <c r="AH61" s="171" t="e">
        <f>_xlfn.XLOOKUP($D61,#REF!,#REF!,,0,)</f>
        <v>#REF!</v>
      </c>
      <c r="AI61" s="55" t="e">
        <f>_xlfn.XLOOKUP($D61,#REF!,#REF!,,0,)</f>
        <v>#REF!</v>
      </c>
      <c r="AJ61" s="44" t="str">
        <f>Tab_Process_TCs2527[[#This Row],[Flow_ID]]</f>
        <v>N.A.</v>
      </c>
      <c r="AK61" s="10" t="e">
        <f t="shared" si="9"/>
        <v>#REF!</v>
      </c>
      <c r="AL61" s="170"/>
      <c r="AM61" s="17" t="e">
        <f>_xlfn.XLOOKUP($D61,#REF!,#REF!,,0,)</f>
        <v>#REF!</v>
      </c>
      <c r="AN61" s="10" t="e">
        <f>_xlfn.XLOOKUP($D61,#REF!,#REF!,,0,)</f>
        <v>#REF!</v>
      </c>
      <c r="AO61" s="44" t="str">
        <f>Tab_Process_TCs2527[[#This Row],[Flow_ID]]</f>
        <v>N.A.</v>
      </c>
      <c r="AP61" s="10" t="e">
        <f t="shared" si="10"/>
        <v>#REF!</v>
      </c>
      <c r="AQ61" s="170"/>
      <c r="AR61" s="17" t="e">
        <f>_xlfn.XLOOKUP($D61,#REF!,#REF!,,0,)</f>
        <v>#REF!</v>
      </c>
      <c r="AS61" s="10" t="e">
        <f>_xlfn.XLOOKUP($D61,#REF!,#REF!,,0,)</f>
        <v>#REF!</v>
      </c>
      <c r="AT61" s="44" t="str">
        <f>Tab_Process_TCs2527[[#This Row],[Flow_ID]]</f>
        <v>N.A.</v>
      </c>
      <c r="AU61" s="44" t="e">
        <f t="shared" si="11"/>
        <v>#REF!</v>
      </c>
      <c r="AV61" s="170"/>
      <c r="AW61" s="17" t="e">
        <f>_xlfn.XLOOKUP($D61,#REF!,#REF!,,0,)</f>
        <v>#REF!</v>
      </c>
      <c r="AX61" s="10" t="e">
        <f>_xlfn.XLOOKUP($D61,#REF!,#REF!,,0,)</f>
        <v>#REF!</v>
      </c>
      <c r="AY61" s="44" t="str">
        <f>Tab_Process_TCs2527[[#This Row],[Flow_ID]]</f>
        <v>N.A.</v>
      </c>
      <c r="AZ61" s="44" t="e">
        <f t="shared" si="12"/>
        <v>#REF!</v>
      </c>
      <c r="BA61" s="170"/>
      <c r="BB61" s="10" t="e">
        <f>_xlfn.XLOOKUP($D61,#REF!,#REF!,,0,)</f>
        <v>#REF!</v>
      </c>
      <c r="BC61" s="10" t="e">
        <f>_xlfn.XLOOKUP($D61,#REF!,#REF!,,0,)</f>
        <v>#REF!</v>
      </c>
      <c r="BD61" s="44" t="str">
        <f>Tab_Process_TCs2527[[#This Row],[Flow_ID]]</f>
        <v>N.A.</v>
      </c>
      <c r="BE61" s="44" t="e">
        <f t="shared" si="13"/>
        <v>#REF!</v>
      </c>
      <c r="BF61" s="51"/>
      <c r="BG61" s="54">
        <f>Tab_Process_TCs2527[[#This Row],[TC O_6_'[%']]]+Tab_Process_TCs2527[[#This Row],[TC O_5_'[%']]]+Tab_Process_TCs2527[[#This Row],[TC_O_4_'[%']]]+Tab_Process_TCs2527[[#This Row],[TC_O_3_'[%']]]+Tab_Process_TCs2527[[#This Row],[TC_O_2_'[%']]]+Tab_Process_TCs2527[[#This Row],[TC_O_1_'[%']]]</f>
        <v>1</v>
      </c>
      <c r="BH61" s="12"/>
      <c r="BI61" s="12"/>
      <c r="BJ61" s="12"/>
      <c r="BK61" s="12"/>
      <c r="BL61" s="12"/>
    </row>
    <row r="62" spans="1:64" x14ac:dyDescent="0.25">
      <c r="A62" s="197" t="b">
        <v>0</v>
      </c>
      <c r="B62" s="10">
        <f t="shared" si="7"/>
        <v>61</v>
      </c>
      <c r="C62" s="49" t="e">
        <f>_xlfn.XLOOKUP($D62,Tab_Process_TCs[Name(EN)],Tab_Process_TCs[Process_ID],,0,)</f>
        <v>#N/A</v>
      </c>
      <c r="D62" s="192" t="s">
        <v>35</v>
      </c>
      <c r="E62" s="192" t="s">
        <v>35</v>
      </c>
      <c r="F62" s="49" t="e">
        <f>_xlfn.XLOOKUP($D62,Tab_Process_TCs[Name(EN)],Tab_Process_TCs[TC?],,0,)</f>
        <v>#N/A</v>
      </c>
      <c r="G62" s="49" t="e">
        <f>_xlfn.XLOOKUP($D62,Tab_Process_TCs[Name(EN)],Tab_Process_TCs[Dyn_TC?],,0,)</f>
        <v>#N/A</v>
      </c>
      <c r="H62" s="10" t="str">
        <f>_xlfn.XLOOKUP($E62,Tab_Def_Flows[Name(EN)],Tab_Def_Flows[Flow_ID],,0,1)</f>
        <v>N.A.</v>
      </c>
      <c r="I62" s="10" t="str">
        <f>IF(Tab_Process_TCs2527[[#This Row],[Name(EN)]]="N.A.","N.A.","TC"&amp;"_"&amp;RIGHT(H62,5))</f>
        <v>N.A.</v>
      </c>
      <c r="J62" s="12"/>
      <c r="K62" s="186"/>
      <c r="L62" s="10"/>
      <c r="M62" s="17" t="e">
        <f>_xlfn.XLOOKUP($D62,Tab_Def_Processes[Name(EN)],Tab_Def_Processes[Input_Flow_I_1],,0,)</f>
        <v>#N/A</v>
      </c>
      <c r="N62" s="10" t="e">
        <f>_xlfn.XLOOKUP($D62,Tab_Def_Processes[Name(EN)],Tab_Def_Processes[Flow_ID_I_1],,0,)</f>
        <v>#N/A</v>
      </c>
      <c r="O62" s="34"/>
      <c r="P62" s="30" t="e">
        <f>_xlfn.XLOOKUP($D62,Tab_Def_Processes[Name(EN)],Tab_Def_Processes[Input_Flow_I_2],,0,)</f>
        <v>#N/A</v>
      </c>
      <c r="Q62" s="10" t="e">
        <f>_xlfn.XLOOKUP($D62,Tab_Def_Processes[Name(EN)],Tab_Def_Processes[Flow_ID_I_2],,0,)</f>
        <v>#N/A</v>
      </c>
      <c r="R62" s="34"/>
      <c r="S62" s="30" t="e">
        <f>_xlfn.XLOOKUP($D62,Tab_Def_Processes[Name(EN)],Tab_Def_Processes[Input_Flow_I_3],,0,)</f>
        <v>#N/A</v>
      </c>
      <c r="T62" s="10" t="e">
        <f>_xlfn.XLOOKUP($D62,Tab_Def_Processes[Name(EN)],Tab_Def_Processes[Flow_ID_I_3],,0,)</f>
        <v>#N/A</v>
      </c>
      <c r="U62" s="34"/>
      <c r="V62" s="30" t="e">
        <f>_xlfn.XLOOKUP($D62,Tab_Def_Processes[Name(EN)],Tab_Def_Processes[Input_Flow_I_4],,0,)</f>
        <v>#N/A</v>
      </c>
      <c r="W62" s="10" t="e">
        <f>_xlfn.XLOOKUP($D62,Tab_Def_Processes[Name(EN)],Tab_Def_Processes[Flow_ID_I_4],,0,)</f>
        <v>#N/A</v>
      </c>
      <c r="X62" s="34"/>
      <c r="Y62" s="30" t="e">
        <f>_xlfn.XLOOKUP($D62,Tab_Def_Processes[Name(EN)],Tab_Def_Processes[Input_Flow_I_5],,0,)</f>
        <v>#N/A</v>
      </c>
      <c r="Z62" s="10" t="e">
        <f>_xlfn.XLOOKUP($D62,Tab_Def_Processes[Name(EN)],Tab_Def_Processes[Flow_ID_I_5],,0,)</f>
        <v>#N/A</v>
      </c>
      <c r="AA62" s="34"/>
      <c r="AB62" s="33">
        <f>Tab_Process_TCs2527[[#This Row],[Flow_TC_I_1_'[%']]]+Tab_Process_TCs2527[[#This Row],[Flow_TC_I_2_'[%']]]+Tab_Process_TCs2527[[#This Row],[Flow_TC_I_3_'[%']]]+Tab_Process_TCs2527[[#This Row],[Flow_TC_I_4_'[%']]]+Tab_Process_TCs2527[[#This Row],[Flow_TC_I_5_'[%']]]</f>
        <v>0</v>
      </c>
      <c r="AC62" s="17" t="e">
        <f>_xlfn.XLOOKUP($D62,#REF!,#REF!,,0,)</f>
        <v>#REF!</v>
      </c>
      <c r="AD62" s="10" t="e">
        <f>_xlfn.XLOOKUP($D62,#REF!,#REF!,,0,)</f>
        <v>#REF!</v>
      </c>
      <c r="AE62" s="44" t="str">
        <f>Tab_Process_TCs2527[[#This Row],[Flow_ID]]</f>
        <v>N.A.</v>
      </c>
      <c r="AF62" s="10" t="e">
        <f t="shared" si="8"/>
        <v>#REF!</v>
      </c>
      <c r="AG62" s="51">
        <v>0.3</v>
      </c>
      <c r="AH62" s="171" t="e">
        <f>_xlfn.XLOOKUP($D62,#REF!,#REF!,,0,)</f>
        <v>#REF!</v>
      </c>
      <c r="AI62" s="55" t="e">
        <f>_xlfn.XLOOKUP($D62,#REF!,#REF!,,0,)</f>
        <v>#REF!</v>
      </c>
      <c r="AJ62" s="44" t="str">
        <f>Tab_Process_TCs2527[[#This Row],[Flow_ID]]</f>
        <v>N.A.</v>
      </c>
      <c r="AK62" s="10" t="e">
        <f t="shared" si="9"/>
        <v>#REF!</v>
      </c>
      <c r="AL62" s="170">
        <v>0.45</v>
      </c>
      <c r="AM62" s="17" t="e">
        <f>_xlfn.XLOOKUP($D62,#REF!,#REF!,,0,)</f>
        <v>#REF!</v>
      </c>
      <c r="AN62" s="10" t="e">
        <f>_xlfn.XLOOKUP($D62,#REF!,#REF!,,0,)</f>
        <v>#REF!</v>
      </c>
      <c r="AO62" s="44" t="str">
        <f>Tab_Process_TCs2527[[#This Row],[Flow_ID]]</f>
        <v>N.A.</v>
      </c>
      <c r="AP62" s="10" t="e">
        <f t="shared" si="10"/>
        <v>#REF!</v>
      </c>
      <c r="AQ62" s="170">
        <v>0.25</v>
      </c>
      <c r="AR62" s="17" t="e">
        <f>_xlfn.XLOOKUP($D62,#REF!,#REF!,,0,)</f>
        <v>#REF!</v>
      </c>
      <c r="AS62" s="10" t="e">
        <f>_xlfn.XLOOKUP($D62,#REF!,#REF!,,0,)</f>
        <v>#REF!</v>
      </c>
      <c r="AT62" s="44" t="str">
        <f>Tab_Process_TCs2527[[#This Row],[Flow_ID]]</f>
        <v>N.A.</v>
      </c>
      <c r="AU62" s="44" t="e">
        <f t="shared" si="11"/>
        <v>#REF!</v>
      </c>
      <c r="AV62" s="170"/>
      <c r="AW62" s="17" t="e">
        <f>_xlfn.XLOOKUP($D62,#REF!,#REF!,,0,)</f>
        <v>#REF!</v>
      </c>
      <c r="AX62" s="10" t="e">
        <f>_xlfn.XLOOKUP($D62,#REF!,#REF!,,0,)</f>
        <v>#REF!</v>
      </c>
      <c r="AY62" s="44" t="str">
        <f>Tab_Process_TCs2527[[#This Row],[Flow_ID]]</f>
        <v>N.A.</v>
      </c>
      <c r="AZ62" s="44" t="e">
        <f t="shared" si="12"/>
        <v>#REF!</v>
      </c>
      <c r="BA62" s="170"/>
      <c r="BB62" s="10" t="e">
        <f>_xlfn.XLOOKUP($D62,#REF!,#REF!,,0,)</f>
        <v>#REF!</v>
      </c>
      <c r="BC62" s="10" t="e">
        <f>_xlfn.XLOOKUP($D62,#REF!,#REF!,,0,)</f>
        <v>#REF!</v>
      </c>
      <c r="BD62" s="44" t="str">
        <f>Tab_Process_TCs2527[[#This Row],[Flow_ID]]</f>
        <v>N.A.</v>
      </c>
      <c r="BE62" s="44" t="e">
        <f t="shared" si="13"/>
        <v>#REF!</v>
      </c>
      <c r="BF62" s="51"/>
      <c r="BG62" s="54">
        <f>Tab_Process_TCs2527[[#This Row],[TC O_6_'[%']]]+Tab_Process_TCs2527[[#This Row],[TC O_5_'[%']]]+Tab_Process_TCs2527[[#This Row],[TC_O_4_'[%']]]+Tab_Process_TCs2527[[#This Row],[TC_O_3_'[%']]]+Tab_Process_TCs2527[[#This Row],[TC_O_2_'[%']]]+Tab_Process_TCs2527[[#This Row],[TC_O_1_'[%']]]</f>
        <v>1</v>
      </c>
      <c r="BH62" s="12"/>
      <c r="BI62" s="12"/>
      <c r="BJ62" s="12"/>
      <c r="BK62" s="12"/>
      <c r="BL62" s="12"/>
    </row>
    <row r="63" spans="1:64" x14ac:dyDescent="0.25">
      <c r="A63" s="197" t="b">
        <v>0</v>
      </c>
      <c r="B63" s="10">
        <f t="shared" si="7"/>
        <v>62</v>
      </c>
      <c r="C63" s="49" t="e">
        <f>_xlfn.XLOOKUP($D63,Tab_Process_TCs[Name(EN)],Tab_Process_TCs[Process_ID],,0,)</f>
        <v>#N/A</v>
      </c>
      <c r="D63" s="192" t="s">
        <v>35</v>
      </c>
      <c r="E63" s="192" t="s">
        <v>35</v>
      </c>
      <c r="F63" s="49" t="e">
        <f>_xlfn.XLOOKUP($D63,Tab_Process_TCs[Name(EN)],Tab_Process_TCs[TC?],,0,)</f>
        <v>#N/A</v>
      </c>
      <c r="G63" s="49" t="e">
        <f>_xlfn.XLOOKUP($D63,Tab_Process_TCs[Name(EN)],Tab_Process_TCs[Dyn_TC?],,0,)</f>
        <v>#N/A</v>
      </c>
      <c r="H63" s="10" t="str">
        <f>_xlfn.XLOOKUP($E63,Tab_Def_Flows[Name(EN)],Tab_Def_Flows[Flow_ID],,0,1)</f>
        <v>N.A.</v>
      </c>
      <c r="I63" s="10" t="str">
        <f>IF(Tab_Process_TCs2527[[#This Row],[Name(EN)]]="N.A.","N.A.","TC"&amp;"_"&amp;RIGHT(H63,5))</f>
        <v>N.A.</v>
      </c>
      <c r="J63" s="12"/>
      <c r="K63" s="186"/>
      <c r="L63" s="10"/>
      <c r="M63" s="17" t="e">
        <f>_xlfn.XLOOKUP($D63,Tab_Def_Processes[Name(EN)],Tab_Def_Processes[Input_Flow_I_1],,0,)</f>
        <v>#N/A</v>
      </c>
      <c r="N63" s="10" t="e">
        <f>_xlfn.XLOOKUP($D63,Tab_Def_Processes[Name(EN)],Tab_Def_Processes[Flow_ID_I_1],,0,)</f>
        <v>#N/A</v>
      </c>
      <c r="O63" s="34"/>
      <c r="P63" s="30" t="e">
        <f>_xlfn.XLOOKUP($D63,Tab_Def_Processes[Name(EN)],Tab_Def_Processes[Input_Flow_I_2],,0,)</f>
        <v>#N/A</v>
      </c>
      <c r="Q63" s="10" t="e">
        <f>_xlfn.XLOOKUP($D63,Tab_Def_Processes[Name(EN)],Tab_Def_Processes[Flow_ID_I_2],,0,)</f>
        <v>#N/A</v>
      </c>
      <c r="R63" s="34"/>
      <c r="S63" s="30" t="e">
        <f>_xlfn.XLOOKUP($D63,Tab_Def_Processes[Name(EN)],Tab_Def_Processes[Input_Flow_I_3],,0,)</f>
        <v>#N/A</v>
      </c>
      <c r="T63" s="10" t="e">
        <f>_xlfn.XLOOKUP($D63,Tab_Def_Processes[Name(EN)],Tab_Def_Processes[Flow_ID_I_3],,0,)</f>
        <v>#N/A</v>
      </c>
      <c r="U63" s="34"/>
      <c r="V63" s="30" t="e">
        <f>_xlfn.XLOOKUP($D63,Tab_Def_Processes[Name(EN)],Tab_Def_Processes[Input_Flow_I_4],,0,)</f>
        <v>#N/A</v>
      </c>
      <c r="W63" s="10" t="e">
        <f>_xlfn.XLOOKUP($D63,Tab_Def_Processes[Name(EN)],Tab_Def_Processes[Flow_ID_I_4],,0,)</f>
        <v>#N/A</v>
      </c>
      <c r="X63" s="34"/>
      <c r="Y63" s="30" t="e">
        <f>_xlfn.XLOOKUP($D63,Tab_Def_Processes[Name(EN)],Tab_Def_Processes[Input_Flow_I_5],,0,)</f>
        <v>#N/A</v>
      </c>
      <c r="Z63" s="10" t="e">
        <f>_xlfn.XLOOKUP($D63,Tab_Def_Processes[Name(EN)],Tab_Def_Processes[Flow_ID_I_5],,0,)</f>
        <v>#N/A</v>
      </c>
      <c r="AA63" s="34"/>
      <c r="AB63" s="33">
        <f>Tab_Process_TCs2527[[#This Row],[Flow_TC_I_1_'[%']]]+Tab_Process_TCs2527[[#This Row],[Flow_TC_I_2_'[%']]]+Tab_Process_TCs2527[[#This Row],[Flow_TC_I_3_'[%']]]+Tab_Process_TCs2527[[#This Row],[Flow_TC_I_4_'[%']]]+Tab_Process_TCs2527[[#This Row],[Flow_TC_I_5_'[%']]]</f>
        <v>0</v>
      </c>
      <c r="AC63" s="17" t="e">
        <f>_xlfn.XLOOKUP($D63,#REF!,#REF!,,0,)</f>
        <v>#REF!</v>
      </c>
      <c r="AD63" s="10" t="e">
        <f>_xlfn.XLOOKUP($D63,#REF!,#REF!,,0,)</f>
        <v>#REF!</v>
      </c>
      <c r="AE63" s="44" t="str">
        <f>Tab_Process_TCs2527[[#This Row],[Flow_ID]]</f>
        <v>N.A.</v>
      </c>
      <c r="AF63" s="10" t="e">
        <f t="shared" si="8"/>
        <v>#REF!</v>
      </c>
      <c r="AG63" s="51">
        <f t="shared" ref="AG63:AG87" si="14">AG62+0.01</f>
        <v>0.31</v>
      </c>
      <c r="AH63" s="171" t="e">
        <f>_xlfn.XLOOKUP($D63,#REF!,#REF!,,0,)</f>
        <v>#REF!</v>
      </c>
      <c r="AI63" s="55" t="e">
        <f>_xlfn.XLOOKUP($D63,#REF!,#REF!,,0,)</f>
        <v>#REF!</v>
      </c>
      <c r="AJ63" s="44" t="str">
        <f>Tab_Process_TCs2527[[#This Row],[Flow_ID]]</f>
        <v>N.A.</v>
      </c>
      <c r="AK63" s="10" t="e">
        <f t="shared" si="9"/>
        <v>#REF!</v>
      </c>
      <c r="AL63" s="170">
        <f t="shared" ref="AL63:AL87" si="15">AL62-0.01</f>
        <v>0.44</v>
      </c>
      <c r="AM63" s="17" t="e">
        <f>_xlfn.XLOOKUP($D63,#REF!,#REF!,,0,)</f>
        <v>#REF!</v>
      </c>
      <c r="AN63" s="10" t="e">
        <f>_xlfn.XLOOKUP($D63,#REF!,#REF!,,0,)</f>
        <v>#REF!</v>
      </c>
      <c r="AO63" s="44" t="str">
        <f>Tab_Process_TCs2527[[#This Row],[Flow_ID]]</f>
        <v>N.A.</v>
      </c>
      <c r="AP63" s="10" t="e">
        <f t="shared" si="10"/>
        <v>#REF!</v>
      </c>
      <c r="AQ63" s="170">
        <v>0.25</v>
      </c>
      <c r="AR63" s="17" t="e">
        <f>_xlfn.XLOOKUP($D63,#REF!,#REF!,,0,)</f>
        <v>#REF!</v>
      </c>
      <c r="AS63" s="10" t="e">
        <f>_xlfn.XLOOKUP($D63,#REF!,#REF!,,0,)</f>
        <v>#REF!</v>
      </c>
      <c r="AT63" s="44" t="str">
        <f>Tab_Process_TCs2527[[#This Row],[Flow_ID]]</f>
        <v>N.A.</v>
      </c>
      <c r="AU63" s="44" t="e">
        <f t="shared" si="11"/>
        <v>#REF!</v>
      </c>
      <c r="AV63" s="170"/>
      <c r="AW63" s="17" t="e">
        <f>_xlfn.XLOOKUP($D63,#REF!,#REF!,,0,)</f>
        <v>#REF!</v>
      </c>
      <c r="AX63" s="10" t="e">
        <f>_xlfn.XLOOKUP($D63,#REF!,#REF!,,0,)</f>
        <v>#REF!</v>
      </c>
      <c r="AY63" s="44" t="str">
        <f>Tab_Process_TCs2527[[#This Row],[Flow_ID]]</f>
        <v>N.A.</v>
      </c>
      <c r="AZ63" s="44" t="e">
        <f t="shared" si="12"/>
        <v>#REF!</v>
      </c>
      <c r="BA63" s="170"/>
      <c r="BB63" s="10" t="e">
        <f>_xlfn.XLOOKUP($D63,#REF!,#REF!,,0,)</f>
        <v>#REF!</v>
      </c>
      <c r="BC63" s="10" t="e">
        <f>_xlfn.XLOOKUP($D63,#REF!,#REF!,,0,)</f>
        <v>#REF!</v>
      </c>
      <c r="BD63" s="44" t="str">
        <f>Tab_Process_TCs2527[[#This Row],[Flow_ID]]</f>
        <v>N.A.</v>
      </c>
      <c r="BE63" s="44" t="e">
        <f t="shared" si="13"/>
        <v>#REF!</v>
      </c>
      <c r="BF63" s="51"/>
      <c r="BG63" s="54">
        <f>Tab_Process_TCs2527[[#This Row],[TC O_6_'[%']]]+Tab_Process_TCs2527[[#This Row],[TC O_5_'[%']]]+Tab_Process_TCs2527[[#This Row],[TC_O_4_'[%']]]+Tab_Process_TCs2527[[#This Row],[TC_O_3_'[%']]]+Tab_Process_TCs2527[[#This Row],[TC_O_2_'[%']]]+Tab_Process_TCs2527[[#This Row],[TC_O_1_'[%']]]</f>
        <v>1</v>
      </c>
      <c r="BH63" s="12"/>
      <c r="BI63" s="12"/>
      <c r="BJ63" s="12"/>
      <c r="BK63" s="12"/>
      <c r="BL63" s="12"/>
    </row>
    <row r="64" spans="1:64" x14ac:dyDescent="0.25">
      <c r="A64" s="197" t="b">
        <v>0</v>
      </c>
      <c r="B64" s="10">
        <f t="shared" si="7"/>
        <v>63</v>
      </c>
      <c r="C64" s="49" t="e">
        <f>_xlfn.XLOOKUP($D64,Tab_Process_TCs[Name(EN)],Tab_Process_TCs[Process_ID],,0,)</f>
        <v>#N/A</v>
      </c>
      <c r="D64" s="192" t="s">
        <v>35</v>
      </c>
      <c r="E64" s="192" t="s">
        <v>35</v>
      </c>
      <c r="F64" s="49" t="e">
        <f>_xlfn.XLOOKUP($D64,Tab_Process_TCs[Name(EN)],Tab_Process_TCs[TC?],,0,)</f>
        <v>#N/A</v>
      </c>
      <c r="G64" s="49" t="e">
        <f>_xlfn.XLOOKUP($D64,Tab_Process_TCs[Name(EN)],Tab_Process_TCs[Dyn_TC?],,0,)</f>
        <v>#N/A</v>
      </c>
      <c r="H64" s="10" t="str">
        <f>_xlfn.XLOOKUP($E64,Tab_Def_Flows[Name(EN)],Tab_Def_Flows[Flow_ID],,0,1)</f>
        <v>N.A.</v>
      </c>
      <c r="I64" s="10" t="str">
        <f>IF(Tab_Process_TCs2527[[#This Row],[Name(EN)]]="N.A.","N.A.","TC"&amp;"_"&amp;RIGHT(H64,5))</f>
        <v>N.A.</v>
      </c>
      <c r="J64" s="12"/>
      <c r="K64" s="186"/>
      <c r="L64" s="10"/>
      <c r="M64" s="17" t="e">
        <f>_xlfn.XLOOKUP($D64,Tab_Def_Processes[Name(EN)],Tab_Def_Processes[Input_Flow_I_1],,0,)</f>
        <v>#N/A</v>
      </c>
      <c r="N64" s="10" t="e">
        <f>_xlfn.XLOOKUP($D64,Tab_Def_Processes[Name(EN)],Tab_Def_Processes[Flow_ID_I_1],,0,)</f>
        <v>#N/A</v>
      </c>
      <c r="O64" s="34"/>
      <c r="P64" s="30" t="e">
        <f>_xlfn.XLOOKUP($D64,Tab_Def_Processes[Name(EN)],Tab_Def_Processes[Input_Flow_I_2],,0,)</f>
        <v>#N/A</v>
      </c>
      <c r="Q64" s="10" t="e">
        <f>_xlfn.XLOOKUP($D64,Tab_Def_Processes[Name(EN)],Tab_Def_Processes[Flow_ID_I_2],,0,)</f>
        <v>#N/A</v>
      </c>
      <c r="R64" s="34"/>
      <c r="S64" s="30" t="e">
        <f>_xlfn.XLOOKUP($D64,Tab_Def_Processes[Name(EN)],Tab_Def_Processes[Input_Flow_I_3],,0,)</f>
        <v>#N/A</v>
      </c>
      <c r="T64" s="10" t="e">
        <f>_xlfn.XLOOKUP($D64,Tab_Def_Processes[Name(EN)],Tab_Def_Processes[Flow_ID_I_3],,0,)</f>
        <v>#N/A</v>
      </c>
      <c r="U64" s="34"/>
      <c r="V64" s="30" t="e">
        <f>_xlfn.XLOOKUP($D64,Tab_Def_Processes[Name(EN)],Tab_Def_Processes[Input_Flow_I_4],,0,)</f>
        <v>#N/A</v>
      </c>
      <c r="W64" s="10" t="e">
        <f>_xlfn.XLOOKUP($D64,Tab_Def_Processes[Name(EN)],Tab_Def_Processes[Flow_ID_I_4],,0,)</f>
        <v>#N/A</v>
      </c>
      <c r="X64" s="34"/>
      <c r="Y64" s="30" t="e">
        <f>_xlfn.XLOOKUP($D64,Tab_Def_Processes[Name(EN)],Tab_Def_Processes[Input_Flow_I_5],,0,)</f>
        <v>#N/A</v>
      </c>
      <c r="Z64" s="10" t="e">
        <f>_xlfn.XLOOKUP($D64,Tab_Def_Processes[Name(EN)],Tab_Def_Processes[Flow_ID_I_5],,0,)</f>
        <v>#N/A</v>
      </c>
      <c r="AA64" s="34"/>
      <c r="AB64" s="33">
        <f>Tab_Process_TCs2527[[#This Row],[Flow_TC_I_1_'[%']]]+Tab_Process_TCs2527[[#This Row],[Flow_TC_I_2_'[%']]]+Tab_Process_TCs2527[[#This Row],[Flow_TC_I_3_'[%']]]+Tab_Process_TCs2527[[#This Row],[Flow_TC_I_4_'[%']]]+Tab_Process_TCs2527[[#This Row],[Flow_TC_I_5_'[%']]]</f>
        <v>0</v>
      </c>
      <c r="AC64" s="17" t="e">
        <f>_xlfn.XLOOKUP($D64,#REF!,#REF!,,0,)</f>
        <v>#REF!</v>
      </c>
      <c r="AD64" s="10" t="e">
        <f>_xlfn.XLOOKUP($D64,#REF!,#REF!,,0,)</f>
        <v>#REF!</v>
      </c>
      <c r="AE64" s="44" t="str">
        <f>Tab_Process_TCs2527[[#This Row],[Flow_ID]]</f>
        <v>N.A.</v>
      </c>
      <c r="AF64" s="10" t="e">
        <f t="shared" si="8"/>
        <v>#REF!</v>
      </c>
      <c r="AG64" s="51">
        <f t="shared" si="14"/>
        <v>0.32</v>
      </c>
      <c r="AH64" s="171" t="e">
        <f>_xlfn.XLOOKUP($D64,#REF!,#REF!,,0,)</f>
        <v>#REF!</v>
      </c>
      <c r="AI64" s="55" t="e">
        <f>_xlfn.XLOOKUP($D64,#REF!,#REF!,,0,)</f>
        <v>#REF!</v>
      </c>
      <c r="AJ64" s="44" t="str">
        <f>Tab_Process_TCs2527[[#This Row],[Flow_ID]]</f>
        <v>N.A.</v>
      </c>
      <c r="AK64" s="10" t="e">
        <f t="shared" si="9"/>
        <v>#REF!</v>
      </c>
      <c r="AL64" s="170">
        <f t="shared" si="15"/>
        <v>0.43</v>
      </c>
      <c r="AM64" s="17" t="e">
        <f>_xlfn.XLOOKUP($D64,#REF!,#REF!,,0,)</f>
        <v>#REF!</v>
      </c>
      <c r="AN64" s="10" t="e">
        <f>_xlfn.XLOOKUP($D64,#REF!,#REF!,,0,)</f>
        <v>#REF!</v>
      </c>
      <c r="AO64" s="44" t="str">
        <f>Tab_Process_TCs2527[[#This Row],[Flow_ID]]</f>
        <v>N.A.</v>
      </c>
      <c r="AP64" s="10" t="e">
        <f t="shared" si="10"/>
        <v>#REF!</v>
      </c>
      <c r="AQ64" s="170">
        <v>0.25</v>
      </c>
      <c r="AR64" s="17" t="e">
        <f>_xlfn.XLOOKUP($D64,#REF!,#REF!,,0,)</f>
        <v>#REF!</v>
      </c>
      <c r="AS64" s="10" t="e">
        <f>_xlfn.XLOOKUP($D64,#REF!,#REF!,,0,)</f>
        <v>#REF!</v>
      </c>
      <c r="AT64" s="44" t="str">
        <f>Tab_Process_TCs2527[[#This Row],[Flow_ID]]</f>
        <v>N.A.</v>
      </c>
      <c r="AU64" s="44" t="e">
        <f t="shared" si="11"/>
        <v>#REF!</v>
      </c>
      <c r="AV64" s="170"/>
      <c r="AW64" s="17" t="e">
        <f>_xlfn.XLOOKUP($D64,#REF!,#REF!,,0,)</f>
        <v>#REF!</v>
      </c>
      <c r="AX64" s="10" t="e">
        <f>_xlfn.XLOOKUP($D64,#REF!,#REF!,,0,)</f>
        <v>#REF!</v>
      </c>
      <c r="AY64" s="44" t="str">
        <f>Tab_Process_TCs2527[[#This Row],[Flow_ID]]</f>
        <v>N.A.</v>
      </c>
      <c r="AZ64" s="44" t="e">
        <f t="shared" si="12"/>
        <v>#REF!</v>
      </c>
      <c r="BA64" s="170"/>
      <c r="BB64" s="10" t="e">
        <f>_xlfn.XLOOKUP($D64,#REF!,#REF!,,0,)</f>
        <v>#REF!</v>
      </c>
      <c r="BC64" s="10" t="e">
        <f>_xlfn.XLOOKUP($D64,#REF!,#REF!,,0,)</f>
        <v>#REF!</v>
      </c>
      <c r="BD64" s="44" t="str">
        <f>Tab_Process_TCs2527[[#This Row],[Flow_ID]]</f>
        <v>N.A.</v>
      </c>
      <c r="BE64" s="44" t="e">
        <f t="shared" si="13"/>
        <v>#REF!</v>
      </c>
      <c r="BF64" s="51"/>
      <c r="BG64" s="54">
        <f>Tab_Process_TCs2527[[#This Row],[TC O_6_'[%']]]+Tab_Process_TCs2527[[#This Row],[TC O_5_'[%']]]+Tab_Process_TCs2527[[#This Row],[TC_O_4_'[%']]]+Tab_Process_TCs2527[[#This Row],[TC_O_3_'[%']]]+Tab_Process_TCs2527[[#This Row],[TC_O_2_'[%']]]+Tab_Process_TCs2527[[#This Row],[TC_O_1_'[%']]]</f>
        <v>1</v>
      </c>
      <c r="BH64" s="12"/>
      <c r="BI64" s="12"/>
      <c r="BJ64" s="12"/>
      <c r="BK64" s="12"/>
      <c r="BL64" s="12"/>
    </row>
    <row r="65" spans="1:64" x14ac:dyDescent="0.25">
      <c r="A65" s="197" t="b">
        <v>0</v>
      </c>
      <c r="B65" s="10">
        <f t="shared" si="7"/>
        <v>64</v>
      </c>
      <c r="C65" s="49" t="e">
        <f>_xlfn.XLOOKUP($D65,Tab_Process_TCs[Name(EN)],Tab_Process_TCs[Process_ID],,0,)</f>
        <v>#N/A</v>
      </c>
      <c r="D65" s="192" t="s">
        <v>35</v>
      </c>
      <c r="E65" s="192" t="s">
        <v>35</v>
      </c>
      <c r="F65" s="49" t="e">
        <f>_xlfn.XLOOKUP($D65,Tab_Process_TCs[Name(EN)],Tab_Process_TCs[TC?],,0,)</f>
        <v>#N/A</v>
      </c>
      <c r="G65" s="49" t="e">
        <f>_xlfn.XLOOKUP($D65,Tab_Process_TCs[Name(EN)],Tab_Process_TCs[Dyn_TC?],,0,)</f>
        <v>#N/A</v>
      </c>
      <c r="H65" s="10" t="str">
        <f>_xlfn.XLOOKUP($E65,Tab_Def_Flows[Name(EN)],Tab_Def_Flows[Flow_ID],,0,1)</f>
        <v>N.A.</v>
      </c>
      <c r="I65" s="10" t="str">
        <f>IF(Tab_Process_TCs2527[[#This Row],[Name(EN)]]="N.A.","N.A.","TC"&amp;"_"&amp;RIGHT(H65,5))</f>
        <v>N.A.</v>
      </c>
      <c r="J65" s="12"/>
      <c r="K65" s="186"/>
      <c r="L65" s="10"/>
      <c r="M65" s="17" t="e">
        <f>_xlfn.XLOOKUP($D65,Tab_Def_Processes[Name(EN)],Tab_Def_Processes[Input_Flow_I_1],,0,)</f>
        <v>#N/A</v>
      </c>
      <c r="N65" s="10" t="e">
        <f>_xlfn.XLOOKUP($D65,Tab_Def_Processes[Name(EN)],Tab_Def_Processes[Flow_ID_I_1],,0,)</f>
        <v>#N/A</v>
      </c>
      <c r="O65" s="34"/>
      <c r="P65" s="30" t="e">
        <f>_xlfn.XLOOKUP($D65,Tab_Def_Processes[Name(EN)],Tab_Def_Processes[Input_Flow_I_2],,0,)</f>
        <v>#N/A</v>
      </c>
      <c r="Q65" s="10" t="e">
        <f>_xlfn.XLOOKUP($D65,Tab_Def_Processes[Name(EN)],Tab_Def_Processes[Flow_ID_I_2],,0,)</f>
        <v>#N/A</v>
      </c>
      <c r="R65" s="34"/>
      <c r="S65" s="30" t="e">
        <f>_xlfn.XLOOKUP($D65,Tab_Def_Processes[Name(EN)],Tab_Def_Processes[Input_Flow_I_3],,0,)</f>
        <v>#N/A</v>
      </c>
      <c r="T65" s="10" t="e">
        <f>_xlfn.XLOOKUP($D65,Tab_Def_Processes[Name(EN)],Tab_Def_Processes[Flow_ID_I_3],,0,)</f>
        <v>#N/A</v>
      </c>
      <c r="U65" s="34"/>
      <c r="V65" s="30" t="e">
        <f>_xlfn.XLOOKUP($D65,Tab_Def_Processes[Name(EN)],Tab_Def_Processes[Input_Flow_I_4],,0,)</f>
        <v>#N/A</v>
      </c>
      <c r="W65" s="10" t="e">
        <f>_xlfn.XLOOKUP($D65,Tab_Def_Processes[Name(EN)],Tab_Def_Processes[Flow_ID_I_4],,0,)</f>
        <v>#N/A</v>
      </c>
      <c r="X65" s="34"/>
      <c r="Y65" s="30" t="e">
        <f>_xlfn.XLOOKUP($D65,Tab_Def_Processes[Name(EN)],Tab_Def_Processes[Input_Flow_I_5],,0,)</f>
        <v>#N/A</v>
      </c>
      <c r="Z65" s="10" t="e">
        <f>_xlfn.XLOOKUP($D65,Tab_Def_Processes[Name(EN)],Tab_Def_Processes[Flow_ID_I_5],,0,)</f>
        <v>#N/A</v>
      </c>
      <c r="AA65" s="34"/>
      <c r="AB65" s="33">
        <f>Tab_Process_TCs2527[[#This Row],[Flow_TC_I_1_'[%']]]+Tab_Process_TCs2527[[#This Row],[Flow_TC_I_2_'[%']]]+Tab_Process_TCs2527[[#This Row],[Flow_TC_I_3_'[%']]]+Tab_Process_TCs2527[[#This Row],[Flow_TC_I_4_'[%']]]+Tab_Process_TCs2527[[#This Row],[Flow_TC_I_5_'[%']]]</f>
        <v>0</v>
      </c>
      <c r="AC65" s="17" t="e">
        <f>_xlfn.XLOOKUP($D65,#REF!,#REF!,,0,)</f>
        <v>#REF!</v>
      </c>
      <c r="AD65" s="10" t="e">
        <f>_xlfn.XLOOKUP($D65,#REF!,#REF!,,0,)</f>
        <v>#REF!</v>
      </c>
      <c r="AE65" s="44" t="str">
        <f>Tab_Process_TCs2527[[#This Row],[Flow_ID]]</f>
        <v>N.A.</v>
      </c>
      <c r="AF65" s="10" t="e">
        <f t="shared" si="8"/>
        <v>#REF!</v>
      </c>
      <c r="AG65" s="51">
        <f t="shared" si="14"/>
        <v>0.33</v>
      </c>
      <c r="AH65" s="171" t="e">
        <f>_xlfn.XLOOKUP($D65,#REF!,#REF!,,0,)</f>
        <v>#REF!</v>
      </c>
      <c r="AI65" s="55" t="e">
        <f>_xlfn.XLOOKUP($D65,#REF!,#REF!,,0,)</f>
        <v>#REF!</v>
      </c>
      <c r="AJ65" s="44" t="str">
        <f>Tab_Process_TCs2527[[#This Row],[Flow_ID]]</f>
        <v>N.A.</v>
      </c>
      <c r="AK65" s="10" t="e">
        <f t="shared" si="9"/>
        <v>#REF!</v>
      </c>
      <c r="AL65" s="170">
        <f t="shared" si="15"/>
        <v>0.42</v>
      </c>
      <c r="AM65" s="17" t="e">
        <f>_xlfn.XLOOKUP($D65,#REF!,#REF!,,0,)</f>
        <v>#REF!</v>
      </c>
      <c r="AN65" s="10" t="e">
        <f>_xlfn.XLOOKUP($D65,#REF!,#REF!,,0,)</f>
        <v>#REF!</v>
      </c>
      <c r="AO65" s="44" t="str">
        <f>Tab_Process_TCs2527[[#This Row],[Flow_ID]]</f>
        <v>N.A.</v>
      </c>
      <c r="AP65" s="10" t="e">
        <f t="shared" si="10"/>
        <v>#REF!</v>
      </c>
      <c r="AQ65" s="170">
        <v>0.25</v>
      </c>
      <c r="AR65" s="17" t="e">
        <f>_xlfn.XLOOKUP($D65,#REF!,#REF!,,0,)</f>
        <v>#REF!</v>
      </c>
      <c r="AS65" s="10" t="e">
        <f>_xlfn.XLOOKUP($D65,#REF!,#REF!,,0,)</f>
        <v>#REF!</v>
      </c>
      <c r="AT65" s="44" t="str">
        <f>Tab_Process_TCs2527[[#This Row],[Flow_ID]]</f>
        <v>N.A.</v>
      </c>
      <c r="AU65" s="44" t="e">
        <f t="shared" si="11"/>
        <v>#REF!</v>
      </c>
      <c r="AV65" s="170"/>
      <c r="AW65" s="17" t="e">
        <f>_xlfn.XLOOKUP($D65,#REF!,#REF!,,0,)</f>
        <v>#REF!</v>
      </c>
      <c r="AX65" s="10" t="e">
        <f>_xlfn.XLOOKUP($D65,#REF!,#REF!,,0,)</f>
        <v>#REF!</v>
      </c>
      <c r="AY65" s="44" t="str">
        <f>Tab_Process_TCs2527[[#This Row],[Flow_ID]]</f>
        <v>N.A.</v>
      </c>
      <c r="AZ65" s="44" t="e">
        <f t="shared" si="12"/>
        <v>#REF!</v>
      </c>
      <c r="BA65" s="170"/>
      <c r="BB65" s="10" t="e">
        <f>_xlfn.XLOOKUP($D65,#REF!,#REF!,,0,)</f>
        <v>#REF!</v>
      </c>
      <c r="BC65" s="10" t="e">
        <f>_xlfn.XLOOKUP($D65,#REF!,#REF!,,0,)</f>
        <v>#REF!</v>
      </c>
      <c r="BD65" s="44" t="str">
        <f>Tab_Process_TCs2527[[#This Row],[Flow_ID]]</f>
        <v>N.A.</v>
      </c>
      <c r="BE65" s="44" t="e">
        <f t="shared" si="13"/>
        <v>#REF!</v>
      </c>
      <c r="BF65" s="51"/>
      <c r="BG65" s="54">
        <f>Tab_Process_TCs2527[[#This Row],[TC O_6_'[%']]]+Tab_Process_TCs2527[[#This Row],[TC O_5_'[%']]]+Tab_Process_TCs2527[[#This Row],[TC_O_4_'[%']]]+Tab_Process_TCs2527[[#This Row],[TC_O_3_'[%']]]+Tab_Process_TCs2527[[#This Row],[TC_O_2_'[%']]]+Tab_Process_TCs2527[[#This Row],[TC_O_1_'[%']]]</f>
        <v>1</v>
      </c>
      <c r="BH65" s="12"/>
      <c r="BI65" s="12"/>
      <c r="BJ65" s="12"/>
      <c r="BK65" s="12"/>
      <c r="BL65" s="12"/>
    </row>
    <row r="66" spans="1:64" x14ac:dyDescent="0.25">
      <c r="A66" s="197" t="b">
        <v>0</v>
      </c>
      <c r="B66" s="10">
        <f t="shared" ref="B66:B97" si="16">ROW()-1</f>
        <v>65</v>
      </c>
      <c r="C66" s="49" t="e">
        <f>_xlfn.XLOOKUP($D66,Tab_Process_TCs[Name(EN)],Tab_Process_TCs[Process_ID],,0,)</f>
        <v>#N/A</v>
      </c>
      <c r="D66" s="192" t="s">
        <v>35</v>
      </c>
      <c r="E66" s="192" t="s">
        <v>35</v>
      </c>
      <c r="F66" s="49" t="e">
        <f>_xlfn.XLOOKUP($D66,Tab_Process_TCs[Name(EN)],Tab_Process_TCs[TC?],,0,)</f>
        <v>#N/A</v>
      </c>
      <c r="G66" s="49" t="e">
        <f>_xlfn.XLOOKUP($D66,Tab_Process_TCs[Name(EN)],Tab_Process_TCs[Dyn_TC?],,0,)</f>
        <v>#N/A</v>
      </c>
      <c r="H66" s="10" t="str">
        <f>_xlfn.XLOOKUP($E66,Tab_Def_Flows[Name(EN)],Tab_Def_Flows[Flow_ID],,0,1)</f>
        <v>N.A.</v>
      </c>
      <c r="I66" s="10" t="str">
        <f>IF(Tab_Process_TCs2527[[#This Row],[Name(EN)]]="N.A.","N.A.","TC"&amp;"_"&amp;RIGHT(H66,5))</f>
        <v>N.A.</v>
      </c>
      <c r="J66" s="12"/>
      <c r="K66" s="186"/>
      <c r="L66" s="10"/>
      <c r="M66" s="17" t="e">
        <f>_xlfn.XLOOKUP($D66,Tab_Def_Processes[Name(EN)],Tab_Def_Processes[Input_Flow_I_1],,0,)</f>
        <v>#N/A</v>
      </c>
      <c r="N66" s="10" t="e">
        <f>_xlfn.XLOOKUP($D66,Tab_Def_Processes[Name(EN)],Tab_Def_Processes[Flow_ID_I_1],,0,)</f>
        <v>#N/A</v>
      </c>
      <c r="O66" s="34"/>
      <c r="P66" s="30" t="e">
        <f>_xlfn.XLOOKUP($D66,Tab_Def_Processes[Name(EN)],Tab_Def_Processes[Input_Flow_I_2],,0,)</f>
        <v>#N/A</v>
      </c>
      <c r="Q66" s="10" t="e">
        <f>_xlfn.XLOOKUP($D66,Tab_Def_Processes[Name(EN)],Tab_Def_Processes[Flow_ID_I_2],,0,)</f>
        <v>#N/A</v>
      </c>
      <c r="R66" s="34"/>
      <c r="S66" s="30" t="e">
        <f>_xlfn.XLOOKUP($D66,Tab_Def_Processes[Name(EN)],Tab_Def_Processes[Input_Flow_I_3],,0,)</f>
        <v>#N/A</v>
      </c>
      <c r="T66" s="10" t="e">
        <f>_xlfn.XLOOKUP($D66,Tab_Def_Processes[Name(EN)],Tab_Def_Processes[Flow_ID_I_3],,0,)</f>
        <v>#N/A</v>
      </c>
      <c r="U66" s="34"/>
      <c r="V66" s="30" t="e">
        <f>_xlfn.XLOOKUP($D66,Tab_Def_Processes[Name(EN)],Tab_Def_Processes[Input_Flow_I_4],,0,)</f>
        <v>#N/A</v>
      </c>
      <c r="W66" s="10" t="e">
        <f>_xlfn.XLOOKUP($D66,Tab_Def_Processes[Name(EN)],Tab_Def_Processes[Flow_ID_I_4],,0,)</f>
        <v>#N/A</v>
      </c>
      <c r="X66" s="34"/>
      <c r="Y66" s="30" t="e">
        <f>_xlfn.XLOOKUP($D66,Tab_Def_Processes[Name(EN)],Tab_Def_Processes[Input_Flow_I_5],,0,)</f>
        <v>#N/A</v>
      </c>
      <c r="Z66" s="10" t="e">
        <f>_xlfn.XLOOKUP($D66,Tab_Def_Processes[Name(EN)],Tab_Def_Processes[Flow_ID_I_5],,0,)</f>
        <v>#N/A</v>
      </c>
      <c r="AA66" s="34"/>
      <c r="AB66" s="33">
        <f>Tab_Process_TCs2527[[#This Row],[Flow_TC_I_1_'[%']]]+Tab_Process_TCs2527[[#This Row],[Flow_TC_I_2_'[%']]]+Tab_Process_TCs2527[[#This Row],[Flow_TC_I_3_'[%']]]+Tab_Process_TCs2527[[#This Row],[Flow_TC_I_4_'[%']]]+Tab_Process_TCs2527[[#This Row],[Flow_TC_I_5_'[%']]]</f>
        <v>0</v>
      </c>
      <c r="AC66" s="17" t="e">
        <f>_xlfn.XLOOKUP($D66,#REF!,#REF!,,0,)</f>
        <v>#REF!</v>
      </c>
      <c r="AD66" s="10" t="e">
        <f>_xlfn.XLOOKUP($D66,#REF!,#REF!,,0,)</f>
        <v>#REF!</v>
      </c>
      <c r="AE66" s="44" t="str">
        <f>Tab_Process_TCs2527[[#This Row],[Flow_ID]]</f>
        <v>N.A.</v>
      </c>
      <c r="AF66" s="10" t="e">
        <f t="shared" ref="AF66:AF97" si="17">"TC"&amp;"_"&amp;RIGHT(AD66,5)</f>
        <v>#REF!</v>
      </c>
      <c r="AG66" s="51">
        <f t="shared" si="14"/>
        <v>0.34</v>
      </c>
      <c r="AH66" s="171" t="e">
        <f>_xlfn.XLOOKUP($D66,#REF!,#REF!,,0,)</f>
        <v>#REF!</v>
      </c>
      <c r="AI66" s="55" t="e">
        <f>_xlfn.XLOOKUP($D66,#REF!,#REF!,,0,)</f>
        <v>#REF!</v>
      </c>
      <c r="AJ66" s="44" t="str">
        <f>Tab_Process_TCs2527[[#This Row],[Flow_ID]]</f>
        <v>N.A.</v>
      </c>
      <c r="AK66" s="10" t="e">
        <f t="shared" ref="AK66:AK97" si="18">"TC"&amp;"_"&amp;RIGHT(AI66,5)</f>
        <v>#REF!</v>
      </c>
      <c r="AL66" s="170">
        <f t="shared" si="15"/>
        <v>0.41</v>
      </c>
      <c r="AM66" s="17" t="e">
        <f>_xlfn.XLOOKUP($D66,#REF!,#REF!,,0,)</f>
        <v>#REF!</v>
      </c>
      <c r="AN66" s="10" t="e">
        <f>_xlfn.XLOOKUP($D66,#REF!,#REF!,,0,)</f>
        <v>#REF!</v>
      </c>
      <c r="AO66" s="44" t="str">
        <f>Tab_Process_TCs2527[[#This Row],[Flow_ID]]</f>
        <v>N.A.</v>
      </c>
      <c r="AP66" s="10" t="e">
        <f t="shared" ref="AP66:AP97" si="19">"TC"&amp;"_"&amp;RIGHT(AN66,5)</f>
        <v>#REF!</v>
      </c>
      <c r="AQ66" s="170">
        <v>0.25</v>
      </c>
      <c r="AR66" s="17" t="e">
        <f>_xlfn.XLOOKUP($D66,#REF!,#REF!,,0,)</f>
        <v>#REF!</v>
      </c>
      <c r="AS66" s="10" t="e">
        <f>_xlfn.XLOOKUP($D66,#REF!,#REF!,,0,)</f>
        <v>#REF!</v>
      </c>
      <c r="AT66" s="44" t="str">
        <f>Tab_Process_TCs2527[[#This Row],[Flow_ID]]</f>
        <v>N.A.</v>
      </c>
      <c r="AU66" s="44" t="e">
        <f t="shared" ref="AU66:AU97" si="20">"TC"&amp;"_"&amp;RIGHT(AN66,5)</f>
        <v>#REF!</v>
      </c>
      <c r="AV66" s="170"/>
      <c r="AW66" s="17" t="e">
        <f>_xlfn.XLOOKUP($D66,#REF!,#REF!,,0,)</f>
        <v>#REF!</v>
      </c>
      <c r="AX66" s="10" t="e">
        <f>_xlfn.XLOOKUP($D66,#REF!,#REF!,,0,)</f>
        <v>#REF!</v>
      </c>
      <c r="AY66" s="44" t="str">
        <f>Tab_Process_TCs2527[[#This Row],[Flow_ID]]</f>
        <v>N.A.</v>
      </c>
      <c r="AZ66" s="44" t="e">
        <f t="shared" ref="AZ66:AZ97" si="21">"TC"&amp;"_"&amp;RIGHT(AX66,5)</f>
        <v>#REF!</v>
      </c>
      <c r="BA66" s="170"/>
      <c r="BB66" s="10" t="e">
        <f>_xlfn.XLOOKUP($D66,#REF!,#REF!,,0,)</f>
        <v>#REF!</v>
      </c>
      <c r="BC66" s="10" t="e">
        <f>_xlfn.XLOOKUP($D66,#REF!,#REF!,,0,)</f>
        <v>#REF!</v>
      </c>
      <c r="BD66" s="44" t="str">
        <f>Tab_Process_TCs2527[[#This Row],[Flow_ID]]</f>
        <v>N.A.</v>
      </c>
      <c r="BE66" s="44" t="e">
        <f t="shared" ref="BE66:BE97" si="22">"TC"&amp;"_"&amp;RIGHT(BC66,5)</f>
        <v>#REF!</v>
      </c>
      <c r="BF66" s="51"/>
      <c r="BG66" s="54">
        <f>Tab_Process_TCs2527[[#This Row],[TC O_6_'[%']]]+Tab_Process_TCs2527[[#This Row],[TC O_5_'[%']]]+Tab_Process_TCs2527[[#This Row],[TC_O_4_'[%']]]+Tab_Process_TCs2527[[#This Row],[TC_O_3_'[%']]]+Tab_Process_TCs2527[[#This Row],[TC_O_2_'[%']]]+Tab_Process_TCs2527[[#This Row],[TC_O_1_'[%']]]</f>
        <v>1</v>
      </c>
      <c r="BH66" s="12"/>
      <c r="BI66" s="12"/>
      <c r="BJ66" s="12"/>
      <c r="BK66" s="12"/>
      <c r="BL66" s="12"/>
    </row>
    <row r="67" spans="1:64" x14ac:dyDescent="0.25">
      <c r="A67" s="197" t="b">
        <v>0</v>
      </c>
      <c r="B67" s="10">
        <f t="shared" si="16"/>
        <v>66</v>
      </c>
      <c r="C67" s="49" t="e">
        <f>_xlfn.XLOOKUP($D67,Tab_Process_TCs[Name(EN)],Tab_Process_TCs[Process_ID],,0,)</f>
        <v>#N/A</v>
      </c>
      <c r="D67" s="192" t="s">
        <v>35</v>
      </c>
      <c r="E67" s="192" t="s">
        <v>35</v>
      </c>
      <c r="F67" s="49" t="e">
        <f>_xlfn.XLOOKUP($D67,Tab_Process_TCs[Name(EN)],Tab_Process_TCs[TC?],,0,)</f>
        <v>#N/A</v>
      </c>
      <c r="G67" s="49" t="e">
        <f>_xlfn.XLOOKUP($D67,Tab_Process_TCs[Name(EN)],Tab_Process_TCs[Dyn_TC?],,0,)</f>
        <v>#N/A</v>
      </c>
      <c r="H67" s="10" t="str">
        <f>_xlfn.XLOOKUP($E67,Tab_Def_Flows[Name(EN)],Tab_Def_Flows[Flow_ID],,0,1)</f>
        <v>N.A.</v>
      </c>
      <c r="I67" s="10" t="str">
        <f>IF(Tab_Process_TCs2527[[#This Row],[Name(EN)]]="N.A.","N.A.","TC"&amp;"_"&amp;RIGHT(H67,5))</f>
        <v>N.A.</v>
      </c>
      <c r="J67" s="12"/>
      <c r="K67" s="186"/>
      <c r="L67" s="10"/>
      <c r="M67" s="17" t="e">
        <f>_xlfn.XLOOKUP($D67,Tab_Def_Processes[Name(EN)],Tab_Def_Processes[Input_Flow_I_1],,0,)</f>
        <v>#N/A</v>
      </c>
      <c r="N67" s="10" t="e">
        <f>_xlfn.XLOOKUP($D67,Tab_Def_Processes[Name(EN)],Tab_Def_Processes[Flow_ID_I_1],,0,)</f>
        <v>#N/A</v>
      </c>
      <c r="O67" s="34"/>
      <c r="P67" s="30" t="e">
        <f>_xlfn.XLOOKUP($D67,Tab_Def_Processes[Name(EN)],Tab_Def_Processes[Input_Flow_I_2],,0,)</f>
        <v>#N/A</v>
      </c>
      <c r="Q67" s="10" t="e">
        <f>_xlfn.XLOOKUP($D67,Tab_Def_Processes[Name(EN)],Tab_Def_Processes[Flow_ID_I_2],,0,)</f>
        <v>#N/A</v>
      </c>
      <c r="R67" s="34"/>
      <c r="S67" s="30" t="e">
        <f>_xlfn.XLOOKUP($D67,Tab_Def_Processes[Name(EN)],Tab_Def_Processes[Input_Flow_I_3],,0,)</f>
        <v>#N/A</v>
      </c>
      <c r="T67" s="10" t="e">
        <f>_xlfn.XLOOKUP($D67,Tab_Def_Processes[Name(EN)],Tab_Def_Processes[Flow_ID_I_3],,0,)</f>
        <v>#N/A</v>
      </c>
      <c r="U67" s="34"/>
      <c r="V67" s="30" t="e">
        <f>_xlfn.XLOOKUP($D67,Tab_Def_Processes[Name(EN)],Tab_Def_Processes[Input_Flow_I_4],,0,)</f>
        <v>#N/A</v>
      </c>
      <c r="W67" s="10" t="e">
        <f>_xlfn.XLOOKUP($D67,Tab_Def_Processes[Name(EN)],Tab_Def_Processes[Flow_ID_I_4],,0,)</f>
        <v>#N/A</v>
      </c>
      <c r="X67" s="34"/>
      <c r="Y67" s="30" t="e">
        <f>_xlfn.XLOOKUP($D67,Tab_Def_Processes[Name(EN)],Tab_Def_Processes[Input_Flow_I_5],,0,)</f>
        <v>#N/A</v>
      </c>
      <c r="Z67" s="10" t="e">
        <f>_xlfn.XLOOKUP($D67,Tab_Def_Processes[Name(EN)],Tab_Def_Processes[Flow_ID_I_5],,0,)</f>
        <v>#N/A</v>
      </c>
      <c r="AA67" s="34"/>
      <c r="AB67" s="33">
        <f>Tab_Process_TCs2527[[#This Row],[Flow_TC_I_1_'[%']]]+Tab_Process_TCs2527[[#This Row],[Flow_TC_I_2_'[%']]]+Tab_Process_TCs2527[[#This Row],[Flow_TC_I_3_'[%']]]+Tab_Process_TCs2527[[#This Row],[Flow_TC_I_4_'[%']]]+Tab_Process_TCs2527[[#This Row],[Flow_TC_I_5_'[%']]]</f>
        <v>0</v>
      </c>
      <c r="AC67" s="17" t="e">
        <f>_xlfn.XLOOKUP($D67,#REF!,#REF!,,0,)</f>
        <v>#REF!</v>
      </c>
      <c r="AD67" s="10" t="e">
        <f>_xlfn.XLOOKUP($D67,#REF!,#REF!,,0,)</f>
        <v>#REF!</v>
      </c>
      <c r="AE67" s="44" t="str">
        <f>Tab_Process_TCs2527[[#This Row],[Flow_ID]]</f>
        <v>N.A.</v>
      </c>
      <c r="AF67" s="10" t="e">
        <f t="shared" si="17"/>
        <v>#REF!</v>
      </c>
      <c r="AG67" s="51">
        <f t="shared" si="14"/>
        <v>0.35000000000000003</v>
      </c>
      <c r="AH67" s="171" t="e">
        <f>_xlfn.XLOOKUP($D67,#REF!,#REF!,,0,)</f>
        <v>#REF!</v>
      </c>
      <c r="AI67" s="55" t="e">
        <f>_xlfn.XLOOKUP($D67,#REF!,#REF!,,0,)</f>
        <v>#REF!</v>
      </c>
      <c r="AJ67" s="44" t="str">
        <f>Tab_Process_TCs2527[[#This Row],[Flow_ID]]</f>
        <v>N.A.</v>
      </c>
      <c r="AK67" s="10" t="e">
        <f t="shared" si="18"/>
        <v>#REF!</v>
      </c>
      <c r="AL67" s="170">
        <f t="shared" si="15"/>
        <v>0.39999999999999997</v>
      </c>
      <c r="AM67" s="17" t="e">
        <f>_xlfn.XLOOKUP($D67,#REF!,#REF!,,0,)</f>
        <v>#REF!</v>
      </c>
      <c r="AN67" s="10" t="e">
        <f>_xlfn.XLOOKUP($D67,#REF!,#REF!,,0,)</f>
        <v>#REF!</v>
      </c>
      <c r="AO67" s="44" t="str">
        <f>Tab_Process_TCs2527[[#This Row],[Flow_ID]]</f>
        <v>N.A.</v>
      </c>
      <c r="AP67" s="10" t="e">
        <f t="shared" si="19"/>
        <v>#REF!</v>
      </c>
      <c r="AQ67" s="170">
        <v>0.25</v>
      </c>
      <c r="AR67" s="17" t="e">
        <f>_xlfn.XLOOKUP($D67,#REF!,#REF!,,0,)</f>
        <v>#REF!</v>
      </c>
      <c r="AS67" s="10" t="e">
        <f>_xlfn.XLOOKUP($D67,#REF!,#REF!,,0,)</f>
        <v>#REF!</v>
      </c>
      <c r="AT67" s="44" t="str">
        <f>Tab_Process_TCs2527[[#This Row],[Flow_ID]]</f>
        <v>N.A.</v>
      </c>
      <c r="AU67" s="44" t="e">
        <f t="shared" si="20"/>
        <v>#REF!</v>
      </c>
      <c r="AV67" s="170"/>
      <c r="AW67" s="17" t="e">
        <f>_xlfn.XLOOKUP($D67,#REF!,#REF!,,0,)</f>
        <v>#REF!</v>
      </c>
      <c r="AX67" s="10" t="e">
        <f>_xlfn.XLOOKUP($D67,#REF!,#REF!,,0,)</f>
        <v>#REF!</v>
      </c>
      <c r="AY67" s="44" t="str">
        <f>Tab_Process_TCs2527[[#This Row],[Flow_ID]]</f>
        <v>N.A.</v>
      </c>
      <c r="AZ67" s="44" t="e">
        <f t="shared" si="21"/>
        <v>#REF!</v>
      </c>
      <c r="BA67" s="170"/>
      <c r="BB67" s="10" t="e">
        <f>_xlfn.XLOOKUP($D67,#REF!,#REF!,,0,)</f>
        <v>#REF!</v>
      </c>
      <c r="BC67" s="10" t="e">
        <f>_xlfn.XLOOKUP($D67,#REF!,#REF!,,0,)</f>
        <v>#REF!</v>
      </c>
      <c r="BD67" s="44" t="str">
        <f>Tab_Process_TCs2527[[#This Row],[Flow_ID]]</f>
        <v>N.A.</v>
      </c>
      <c r="BE67" s="44" t="e">
        <f t="shared" si="22"/>
        <v>#REF!</v>
      </c>
      <c r="BF67" s="51"/>
      <c r="BG67" s="54">
        <f>Tab_Process_TCs2527[[#This Row],[TC O_6_'[%']]]+Tab_Process_TCs2527[[#This Row],[TC O_5_'[%']]]+Tab_Process_TCs2527[[#This Row],[TC_O_4_'[%']]]+Tab_Process_TCs2527[[#This Row],[TC_O_3_'[%']]]+Tab_Process_TCs2527[[#This Row],[TC_O_2_'[%']]]+Tab_Process_TCs2527[[#This Row],[TC_O_1_'[%']]]</f>
        <v>1</v>
      </c>
      <c r="BH67" s="12"/>
      <c r="BI67" s="12"/>
      <c r="BJ67" s="12"/>
      <c r="BK67" s="12"/>
      <c r="BL67" s="12"/>
    </row>
    <row r="68" spans="1:64" x14ac:dyDescent="0.25">
      <c r="A68" s="197" t="b">
        <v>0</v>
      </c>
      <c r="B68" s="10">
        <f t="shared" si="16"/>
        <v>67</v>
      </c>
      <c r="C68" s="49" t="e">
        <f>_xlfn.XLOOKUP($D68,Tab_Process_TCs[Name(EN)],Tab_Process_TCs[Process_ID],,0,)</f>
        <v>#N/A</v>
      </c>
      <c r="D68" s="192" t="s">
        <v>35</v>
      </c>
      <c r="E68" s="192" t="s">
        <v>35</v>
      </c>
      <c r="F68" s="49" t="e">
        <f>_xlfn.XLOOKUP($D68,Tab_Process_TCs[Name(EN)],Tab_Process_TCs[TC?],,0,)</f>
        <v>#N/A</v>
      </c>
      <c r="G68" s="49" t="e">
        <f>_xlfn.XLOOKUP($D68,Tab_Process_TCs[Name(EN)],Tab_Process_TCs[Dyn_TC?],,0,)</f>
        <v>#N/A</v>
      </c>
      <c r="H68" s="10" t="str">
        <f>_xlfn.XLOOKUP($E68,Tab_Def_Flows[Name(EN)],Tab_Def_Flows[Flow_ID],,0,1)</f>
        <v>N.A.</v>
      </c>
      <c r="I68" s="10" t="str">
        <f>IF(Tab_Process_TCs2527[[#This Row],[Name(EN)]]="N.A.","N.A.","TC"&amp;"_"&amp;RIGHT(H68,5))</f>
        <v>N.A.</v>
      </c>
      <c r="J68" s="12"/>
      <c r="K68" s="186"/>
      <c r="L68" s="10"/>
      <c r="M68" s="17" t="e">
        <f>_xlfn.XLOOKUP($D68,Tab_Def_Processes[Name(EN)],Tab_Def_Processes[Input_Flow_I_1],,0,)</f>
        <v>#N/A</v>
      </c>
      <c r="N68" s="10" t="e">
        <f>_xlfn.XLOOKUP($D68,Tab_Def_Processes[Name(EN)],Tab_Def_Processes[Flow_ID_I_1],,0,)</f>
        <v>#N/A</v>
      </c>
      <c r="O68" s="34"/>
      <c r="P68" s="30" t="e">
        <f>_xlfn.XLOOKUP($D68,Tab_Def_Processes[Name(EN)],Tab_Def_Processes[Input_Flow_I_2],,0,)</f>
        <v>#N/A</v>
      </c>
      <c r="Q68" s="10" t="e">
        <f>_xlfn.XLOOKUP($D68,Tab_Def_Processes[Name(EN)],Tab_Def_Processes[Flow_ID_I_2],,0,)</f>
        <v>#N/A</v>
      </c>
      <c r="R68" s="34"/>
      <c r="S68" s="30" t="e">
        <f>_xlfn.XLOOKUP($D68,Tab_Def_Processes[Name(EN)],Tab_Def_Processes[Input_Flow_I_3],,0,)</f>
        <v>#N/A</v>
      </c>
      <c r="T68" s="10" t="e">
        <f>_xlfn.XLOOKUP($D68,Tab_Def_Processes[Name(EN)],Tab_Def_Processes[Flow_ID_I_3],,0,)</f>
        <v>#N/A</v>
      </c>
      <c r="U68" s="34"/>
      <c r="V68" s="30" t="e">
        <f>_xlfn.XLOOKUP($D68,Tab_Def_Processes[Name(EN)],Tab_Def_Processes[Input_Flow_I_4],,0,)</f>
        <v>#N/A</v>
      </c>
      <c r="W68" s="10" t="e">
        <f>_xlfn.XLOOKUP($D68,Tab_Def_Processes[Name(EN)],Tab_Def_Processes[Flow_ID_I_4],,0,)</f>
        <v>#N/A</v>
      </c>
      <c r="X68" s="34"/>
      <c r="Y68" s="30" t="e">
        <f>_xlfn.XLOOKUP($D68,Tab_Def_Processes[Name(EN)],Tab_Def_Processes[Input_Flow_I_5],,0,)</f>
        <v>#N/A</v>
      </c>
      <c r="Z68" s="10" t="e">
        <f>_xlfn.XLOOKUP($D68,Tab_Def_Processes[Name(EN)],Tab_Def_Processes[Flow_ID_I_5],,0,)</f>
        <v>#N/A</v>
      </c>
      <c r="AA68" s="34"/>
      <c r="AB68" s="33">
        <f>Tab_Process_TCs2527[[#This Row],[Flow_TC_I_1_'[%']]]+Tab_Process_TCs2527[[#This Row],[Flow_TC_I_2_'[%']]]+Tab_Process_TCs2527[[#This Row],[Flow_TC_I_3_'[%']]]+Tab_Process_TCs2527[[#This Row],[Flow_TC_I_4_'[%']]]+Tab_Process_TCs2527[[#This Row],[Flow_TC_I_5_'[%']]]</f>
        <v>0</v>
      </c>
      <c r="AC68" s="17" t="e">
        <f>_xlfn.XLOOKUP($D68,#REF!,#REF!,,0,)</f>
        <v>#REF!</v>
      </c>
      <c r="AD68" s="10" t="e">
        <f>_xlfn.XLOOKUP($D68,#REF!,#REF!,,0,)</f>
        <v>#REF!</v>
      </c>
      <c r="AE68" s="44" t="str">
        <f>Tab_Process_TCs2527[[#This Row],[Flow_ID]]</f>
        <v>N.A.</v>
      </c>
      <c r="AF68" s="10" t="e">
        <f t="shared" si="17"/>
        <v>#REF!</v>
      </c>
      <c r="AG68" s="51">
        <f t="shared" si="14"/>
        <v>0.36000000000000004</v>
      </c>
      <c r="AH68" s="171" t="e">
        <f>_xlfn.XLOOKUP($D68,#REF!,#REF!,,0,)</f>
        <v>#REF!</v>
      </c>
      <c r="AI68" s="55" t="e">
        <f>_xlfn.XLOOKUP($D68,#REF!,#REF!,,0,)</f>
        <v>#REF!</v>
      </c>
      <c r="AJ68" s="44" t="str">
        <f>Tab_Process_TCs2527[[#This Row],[Flow_ID]]</f>
        <v>N.A.</v>
      </c>
      <c r="AK68" s="10" t="e">
        <f t="shared" si="18"/>
        <v>#REF!</v>
      </c>
      <c r="AL68" s="170">
        <f t="shared" si="15"/>
        <v>0.38999999999999996</v>
      </c>
      <c r="AM68" s="17" t="e">
        <f>_xlfn.XLOOKUP($D68,#REF!,#REF!,,0,)</f>
        <v>#REF!</v>
      </c>
      <c r="AN68" s="10" t="e">
        <f>_xlfn.XLOOKUP($D68,#REF!,#REF!,,0,)</f>
        <v>#REF!</v>
      </c>
      <c r="AO68" s="44" t="str">
        <f>Tab_Process_TCs2527[[#This Row],[Flow_ID]]</f>
        <v>N.A.</v>
      </c>
      <c r="AP68" s="10" t="e">
        <f t="shared" si="19"/>
        <v>#REF!</v>
      </c>
      <c r="AQ68" s="170">
        <v>0.25</v>
      </c>
      <c r="AR68" s="17" t="e">
        <f>_xlfn.XLOOKUP($D68,#REF!,#REF!,,0,)</f>
        <v>#REF!</v>
      </c>
      <c r="AS68" s="10" t="e">
        <f>_xlfn.XLOOKUP($D68,#REF!,#REF!,,0,)</f>
        <v>#REF!</v>
      </c>
      <c r="AT68" s="44" t="str">
        <f>Tab_Process_TCs2527[[#This Row],[Flow_ID]]</f>
        <v>N.A.</v>
      </c>
      <c r="AU68" s="44" t="e">
        <f t="shared" si="20"/>
        <v>#REF!</v>
      </c>
      <c r="AV68" s="170"/>
      <c r="AW68" s="17" t="e">
        <f>_xlfn.XLOOKUP($D68,#REF!,#REF!,,0,)</f>
        <v>#REF!</v>
      </c>
      <c r="AX68" s="10" t="e">
        <f>_xlfn.XLOOKUP($D68,#REF!,#REF!,,0,)</f>
        <v>#REF!</v>
      </c>
      <c r="AY68" s="44" t="str">
        <f>Tab_Process_TCs2527[[#This Row],[Flow_ID]]</f>
        <v>N.A.</v>
      </c>
      <c r="AZ68" s="44" t="e">
        <f t="shared" si="21"/>
        <v>#REF!</v>
      </c>
      <c r="BA68" s="170"/>
      <c r="BB68" s="10" t="e">
        <f>_xlfn.XLOOKUP($D68,#REF!,#REF!,,0,)</f>
        <v>#REF!</v>
      </c>
      <c r="BC68" s="10" t="e">
        <f>_xlfn.XLOOKUP($D68,#REF!,#REF!,,0,)</f>
        <v>#REF!</v>
      </c>
      <c r="BD68" s="44" t="str">
        <f>Tab_Process_TCs2527[[#This Row],[Flow_ID]]</f>
        <v>N.A.</v>
      </c>
      <c r="BE68" s="44" t="e">
        <f t="shared" si="22"/>
        <v>#REF!</v>
      </c>
      <c r="BF68" s="51"/>
      <c r="BG68" s="54">
        <f>Tab_Process_TCs2527[[#This Row],[TC O_6_'[%']]]+Tab_Process_TCs2527[[#This Row],[TC O_5_'[%']]]+Tab_Process_TCs2527[[#This Row],[TC_O_4_'[%']]]+Tab_Process_TCs2527[[#This Row],[TC_O_3_'[%']]]+Tab_Process_TCs2527[[#This Row],[TC_O_2_'[%']]]+Tab_Process_TCs2527[[#This Row],[TC_O_1_'[%']]]</f>
        <v>1</v>
      </c>
      <c r="BH68" s="12"/>
      <c r="BI68" s="12"/>
      <c r="BJ68" s="12"/>
      <c r="BK68" s="12"/>
      <c r="BL68" s="12"/>
    </row>
    <row r="69" spans="1:64" x14ac:dyDescent="0.25">
      <c r="A69" s="197" t="b">
        <v>0</v>
      </c>
      <c r="B69" s="10">
        <f t="shared" si="16"/>
        <v>68</v>
      </c>
      <c r="C69" s="49" t="e">
        <f>_xlfn.XLOOKUP($D69,Tab_Process_TCs[Name(EN)],Tab_Process_TCs[Process_ID],,0,)</f>
        <v>#N/A</v>
      </c>
      <c r="D69" s="192" t="s">
        <v>35</v>
      </c>
      <c r="E69" s="192" t="s">
        <v>35</v>
      </c>
      <c r="F69" s="49" t="e">
        <f>_xlfn.XLOOKUP($D69,Tab_Process_TCs[Name(EN)],Tab_Process_TCs[TC?],,0,)</f>
        <v>#N/A</v>
      </c>
      <c r="G69" s="49" t="e">
        <f>_xlfn.XLOOKUP($D69,Tab_Process_TCs[Name(EN)],Tab_Process_TCs[Dyn_TC?],,0,)</f>
        <v>#N/A</v>
      </c>
      <c r="H69" s="10" t="str">
        <f>_xlfn.XLOOKUP($E69,Tab_Def_Flows[Name(EN)],Tab_Def_Flows[Flow_ID],,0,1)</f>
        <v>N.A.</v>
      </c>
      <c r="I69" s="10" t="str">
        <f>IF(Tab_Process_TCs2527[[#This Row],[Name(EN)]]="N.A.","N.A.","TC"&amp;"_"&amp;RIGHT(H69,5))</f>
        <v>N.A.</v>
      </c>
      <c r="J69" s="12"/>
      <c r="K69" s="186"/>
      <c r="L69" s="10"/>
      <c r="M69" s="17" t="e">
        <f>_xlfn.XLOOKUP($D69,Tab_Def_Processes[Name(EN)],Tab_Def_Processes[Input_Flow_I_1],,0,)</f>
        <v>#N/A</v>
      </c>
      <c r="N69" s="10" t="e">
        <f>_xlfn.XLOOKUP($D69,Tab_Def_Processes[Name(EN)],Tab_Def_Processes[Flow_ID_I_1],,0,)</f>
        <v>#N/A</v>
      </c>
      <c r="O69" s="34"/>
      <c r="P69" s="30" t="e">
        <f>_xlfn.XLOOKUP($D69,Tab_Def_Processes[Name(EN)],Tab_Def_Processes[Input_Flow_I_2],,0,)</f>
        <v>#N/A</v>
      </c>
      <c r="Q69" s="10" t="e">
        <f>_xlfn.XLOOKUP($D69,Tab_Def_Processes[Name(EN)],Tab_Def_Processes[Flow_ID_I_2],,0,)</f>
        <v>#N/A</v>
      </c>
      <c r="R69" s="34"/>
      <c r="S69" s="30" t="e">
        <f>_xlfn.XLOOKUP($D69,Tab_Def_Processes[Name(EN)],Tab_Def_Processes[Input_Flow_I_3],,0,)</f>
        <v>#N/A</v>
      </c>
      <c r="T69" s="10" t="e">
        <f>_xlfn.XLOOKUP($D69,Tab_Def_Processes[Name(EN)],Tab_Def_Processes[Flow_ID_I_3],,0,)</f>
        <v>#N/A</v>
      </c>
      <c r="U69" s="34"/>
      <c r="V69" s="30" t="e">
        <f>_xlfn.XLOOKUP($D69,Tab_Def_Processes[Name(EN)],Tab_Def_Processes[Input_Flow_I_4],,0,)</f>
        <v>#N/A</v>
      </c>
      <c r="W69" s="10" t="e">
        <f>_xlfn.XLOOKUP($D69,Tab_Def_Processes[Name(EN)],Tab_Def_Processes[Flow_ID_I_4],,0,)</f>
        <v>#N/A</v>
      </c>
      <c r="X69" s="34"/>
      <c r="Y69" s="30" t="e">
        <f>_xlfn.XLOOKUP($D69,Tab_Def_Processes[Name(EN)],Tab_Def_Processes[Input_Flow_I_5],,0,)</f>
        <v>#N/A</v>
      </c>
      <c r="Z69" s="10" t="e">
        <f>_xlfn.XLOOKUP($D69,Tab_Def_Processes[Name(EN)],Tab_Def_Processes[Flow_ID_I_5],,0,)</f>
        <v>#N/A</v>
      </c>
      <c r="AA69" s="34"/>
      <c r="AB69" s="33">
        <f>Tab_Process_TCs2527[[#This Row],[Flow_TC_I_1_'[%']]]+Tab_Process_TCs2527[[#This Row],[Flow_TC_I_2_'[%']]]+Tab_Process_TCs2527[[#This Row],[Flow_TC_I_3_'[%']]]+Tab_Process_TCs2527[[#This Row],[Flow_TC_I_4_'[%']]]+Tab_Process_TCs2527[[#This Row],[Flow_TC_I_5_'[%']]]</f>
        <v>0</v>
      </c>
      <c r="AC69" s="17" t="e">
        <f>_xlfn.XLOOKUP($D69,#REF!,#REF!,,0,)</f>
        <v>#REF!</v>
      </c>
      <c r="AD69" s="10" t="e">
        <f>_xlfn.XLOOKUP($D69,#REF!,#REF!,,0,)</f>
        <v>#REF!</v>
      </c>
      <c r="AE69" s="44" t="str">
        <f>Tab_Process_TCs2527[[#This Row],[Flow_ID]]</f>
        <v>N.A.</v>
      </c>
      <c r="AF69" s="10" t="e">
        <f t="shared" si="17"/>
        <v>#REF!</v>
      </c>
      <c r="AG69" s="51">
        <f t="shared" si="14"/>
        <v>0.37000000000000005</v>
      </c>
      <c r="AH69" s="171" t="e">
        <f>_xlfn.XLOOKUP($D69,#REF!,#REF!,,0,)</f>
        <v>#REF!</v>
      </c>
      <c r="AI69" s="55" t="e">
        <f>_xlfn.XLOOKUP($D69,#REF!,#REF!,,0,)</f>
        <v>#REF!</v>
      </c>
      <c r="AJ69" s="44" t="str">
        <f>Tab_Process_TCs2527[[#This Row],[Flow_ID]]</f>
        <v>N.A.</v>
      </c>
      <c r="AK69" s="10" t="e">
        <f t="shared" si="18"/>
        <v>#REF!</v>
      </c>
      <c r="AL69" s="170">
        <f t="shared" si="15"/>
        <v>0.37999999999999995</v>
      </c>
      <c r="AM69" s="17" t="e">
        <f>_xlfn.XLOOKUP($D69,#REF!,#REF!,,0,)</f>
        <v>#REF!</v>
      </c>
      <c r="AN69" s="10" t="e">
        <f>_xlfn.XLOOKUP($D69,#REF!,#REF!,,0,)</f>
        <v>#REF!</v>
      </c>
      <c r="AO69" s="44" t="str">
        <f>Tab_Process_TCs2527[[#This Row],[Flow_ID]]</f>
        <v>N.A.</v>
      </c>
      <c r="AP69" s="10" t="e">
        <f t="shared" si="19"/>
        <v>#REF!</v>
      </c>
      <c r="AQ69" s="170">
        <v>0.25</v>
      </c>
      <c r="AR69" s="17" t="e">
        <f>_xlfn.XLOOKUP($D69,#REF!,#REF!,,0,)</f>
        <v>#REF!</v>
      </c>
      <c r="AS69" s="10" t="e">
        <f>_xlfn.XLOOKUP($D69,#REF!,#REF!,,0,)</f>
        <v>#REF!</v>
      </c>
      <c r="AT69" s="44" t="str">
        <f>Tab_Process_TCs2527[[#This Row],[Flow_ID]]</f>
        <v>N.A.</v>
      </c>
      <c r="AU69" s="44" t="e">
        <f t="shared" si="20"/>
        <v>#REF!</v>
      </c>
      <c r="AV69" s="170"/>
      <c r="AW69" s="17" t="e">
        <f>_xlfn.XLOOKUP($D69,#REF!,#REF!,,0,)</f>
        <v>#REF!</v>
      </c>
      <c r="AX69" s="10" t="e">
        <f>_xlfn.XLOOKUP($D69,#REF!,#REF!,,0,)</f>
        <v>#REF!</v>
      </c>
      <c r="AY69" s="44" t="str">
        <f>Tab_Process_TCs2527[[#This Row],[Flow_ID]]</f>
        <v>N.A.</v>
      </c>
      <c r="AZ69" s="44" t="e">
        <f t="shared" si="21"/>
        <v>#REF!</v>
      </c>
      <c r="BA69" s="170"/>
      <c r="BB69" s="10" t="e">
        <f>_xlfn.XLOOKUP($D69,#REF!,#REF!,,0,)</f>
        <v>#REF!</v>
      </c>
      <c r="BC69" s="10" t="e">
        <f>_xlfn.XLOOKUP($D69,#REF!,#REF!,,0,)</f>
        <v>#REF!</v>
      </c>
      <c r="BD69" s="44" t="str">
        <f>Tab_Process_TCs2527[[#This Row],[Flow_ID]]</f>
        <v>N.A.</v>
      </c>
      <c r="BE69" s="44" t="e">
        <f t="shared" si="22"/>
        <v>#REF!</v>
      </c>
      <c r="BF69" s="51"/>
      <c r="BG69" s="54">
        <f>Tab_Process_TCs2527[[#This Row],[TC O_6_'[%']]]+Tab_Process_TCs2527[[#This Row],[TC O_5_'[%']]]+Tab_Process_TCs2527[[#This Row],[TC_O_4_'[%']]]+Tab_Process_TCs2527[[#This Row],[TC_O_3_'[%']]]+Tab_Process_TCs2527[[#This Row],[TC_O_2_'[%']]]+Tab_Process_TCs2527[[#This Row],[TC_O_1_'[%']]]</f>
        <v>1</v>
      </c>
      <c r="BH69" s="12"/>
      <c r="BI69" s="12"/>
      <c r="BJ69" s="12"/>
      <c r="BK69" s="12"/>
      <c r="BL69" s="12"/>
    </row>
    <row r="70" spans="1:64" x14ac:dyDescent="0.25">
      <c r="A70" s="197" t="b">
        <v>0</v>
      </c>
      <c r="B70" s="10">
        <f t="shared" si="16"/>
        <v>69</v>
      </c>
      <c r="C70" s="49" t="e">
        <f>_xlfn.XLOOKUP($D70,Tab_Process_TCs[Name(EN)],Tab_Process_TCs[Process_ID],,0,)</f>
        <v>#N/A</v>
      </c>
      <c r="D70" s="192" t="s">
        <v>35</v>
      </c>
      <c r="E70" s="192" t="s">
        <v>35</v>
      </c>
      <c r="F70" s="49" t="e">
        <f>_xlfn.XLOOKUP($D70,Tab_Process_TCs[Name(EN)],Tab_Process_TCs[TC?],,0,)</f>
        <v>#N/A</v>
      </c>
      <c r="G70" s="49" t="e">
        <f>_xlfn.XLOOKUP($D70,Tab_Process_TCs[Name(EN)],Tab_Process_TCs[Dyn_TC?],,0,)</f>
        <v>#N/A</v>
      </c>
      <c r="H70" s="10" t="str">
        <f>_xlfn.XLOOKUP($E70,Tab_Def_Flows[Name(EN)],Tab_Def_Flows[Flow_ID],,0,1)</f>
        <v>N.A.</v>
      </c>
      <c r="I70" s="10" t="str">
        <f>IF(Tab_Process_TCs2527[[#This Row],[Name(EN)]]="N.A.","N.A.","TC"&amp;"_"&amp;RIGHT(H70,5))</f>
        <v>N.A.</v>
      </c>
      <c r="J70" s="12"/>
      <c r="K70" s="186"/>
      <c r="L70" s="10"/>
      <c r="M70" s="17" t="e">
        <f>_xlfn.XLOOKUP($D70,Tab_Def_Processes[Name(EN)],Tab_Def_Processes[Input_Flow_I_1],,0,)</f>
        <v>#N/A</v>
      </c>
      <c r="N70" s="10" t="e">
        <f>_xlfn.XLOOKUP($D70,Tab_Def_Processes[Name(EN)],Tab_Def_Processes[Flow_ID_I_1],,0,)</f>
        <v>#N/A</v>
      </c>
      <c r="O70" s="34"/>
      <c r="P70" s="30" t="e">
        <f>_xlfn.XLOOKUP($D70,Tab_Def_Processes[Name(EN)],Tab_Def_Processes[Input_Flow_I_2],,0,)</f>
        <v>#N/A</v>
      </c>
      <c r="Q70" s="10" t="e">
        <f>_xlfn.XLOOKUP($D70,Tab_Def_Processes[Name(EN)],Tab_Def_Processes[Flow_ID_I_2],,0,)</f>
        <v>#N/A</v>
      </c>
      <c r="R70" s="34"/>
      <c r="S70" s="30" t="e">
        <f>_xlfn.XLOOKUP($D70,Tab_Def_Processes[Name(EN)],Tab_Def_Processes[Input_Flow_I_3],,0,)</f>
        <v>#N/A</v>
      </c>
      <c r="T70" s="10" t="e">
        <f>_xlfn.XLOOKUP($D70,Tab_Def_Processes[Name(EN)],Tab_Def_Processes[Flow_ID_I_3],,0,)</f>
        <v>#N/A</v>
      </c>
      <c r="U70" s="34"/>
      <c r="V70" s="30" t="e">
        <f>_xlfn.XLOOKUP($D70,Tab_Def_Processes[Name(EN)],Tab_Def_Processes[Input_Flow_I_4],,0,)</f>
        <v>#N/A</v>
      </c>
      <c r="W70" s="10" t="e">
        <f>_xlfn.XLOOKUP($D70,Tab_Def_Processes[Name(EN)],Tab_Def_Processes[Flow_ID_I_4],,0,)</f>
        <v>#N/A</v>
      </c>
      <c r="X70" s="34"/>
      <c r="Y70" s="30" t="e">
        <f>_xlfn.XLOOKUP($D70,Tab_Def_Processes[Name(EN)],Tab_Def_Processes[Input_Flow_I_5],,0,)</f>
        <v>#N/A</v>
      </c>
      <c r="Z70" s="10" t="e">
        <f>_xlfn.XLOOKUP($D70,Tab_Def_Processes[Name(EN)],Tab_Def_Processes[Flow_ID_I_5],,0,)</f>
        <v>#N/A</v>
      </c>
      <c r="AA70" s="34"/>
      <c r="AB70" s="33">
        <f>Tab_Process_TCs2527[[#This Row],[Flow_TC_I_1_'[%']]]+Tab_Process_TCs2527[[#This Row],[Flow_TC_I_2_'[%']]]+Tab_Process_TCs2527[[#This Row],[Flow_TC_I_3_'[%']]]+Tab_Process_TCs2527[[#This Row],[Flow_TC_I_4_'[%']]]+Tab_Process_TCs2527[[#This Row],[Flow_TC_I_5_'[%']]]</f>
        <v>0</v>
      </c>
      <c r="AC70" s="17" t="e">
        <f>_xlfn.XLOOKUP($D70,#REF!,#REF!,,0,)</f>
        <v>#REF!</v>
      </c>
      <c r="AD70" s="10" t="e">
        <f>_xlfn.XLOOKUP($D70,#REF!,#REF!,,0,)</f>
        <v>#REF!</v>
      </c>
      <c r="AE70" s="44" t="str">
        <f>Tab_Process_TCs2527[[#This Row],[Flow_ID]]</f>
        <v>N.A.</v>
      </c>
      <c r="AF70" s="10" t="e">
        <f t="shared" si="17"/>
        <v>#REF!</v>
      </c>
      <c r="AG70" s="51">
        <f t="shared" si="14"/>
        <v>0.38000000000000006</v>
      </c>
      <c r="AH70" s="171" t="e">
        <f>_xlfn.XLOOKUP($D70,#REF!,#REF!,,0,)</f>
        <v>#REF!</v>
      </c>
      <c r="AI70" s="55" t="e">
        <f>_xlfn.XLOOKUP($D70,#REF!,#REF!,,0,)</f>
        <v>#REF!</v>
      </c>
      <c r="AJ70" s="44" t="str">
        <f>Tab_Process_TCs2527[[#This Row],[Flow_ID]]</f>
        <v>N.A.</v>
      </c>
      <c r="AK70" s="10" t="e">
        <f t="shared" si="18"/>
        <v>#REF!</v>
      </c>
      <c r="AL70" s="170">
        <f t="shared" si="15"/>
        <v>0.36999999999999994</v>
      </c>
      <c r="AM70" s="17" t="e">
        <f>_xlfn.XLOOKUP($D70,#REF!,#REF!,,0,)</f>
        <v>#REF!</v>
      </c>
      <c r="AN70" s="10" t="e">
        <f>_xlfn.XLOOKUP($D70,#REF!,#REF!,,0,)</f>
        <v>#REF!</v>
      </c>
      <c r="AO70" s="44" t="str">
        <f>Tab_Process_TCs2527[[#This Row],[Flow_ID]]</f>
        <v>N.A.</v>
      </c>
      <c r="AP70" s="10" t="e">
        <f t="shared" si="19"/>
        <v>#REF!</v>
      </c>
      <c r="AQ70" s="170">
        <v>0.25</v>
      </c>
      <c r="AR70" s="17" t="e">
        <f>_xlfn.XLOOKUP($D70,#REF!,#REF!,,0,)</f>
        <v>#REF!</v>
      </c>
      <c r="AS70" s="10" t="e">
        <f>_xlfn.XLOOKUP($D70,#REF!,#REF!,,0,)</f>
        <v>#REF!</v>
      </c>
      <c r="AT70" s="44" t="str">
        <f>Tab_Process_TCs2527[[#This Row],[Flow_ID]]</f>
        <v>N.A.</v>
      </c>
      <c r="AU70" s="44" t="e">
        <f t="shared" si="20"/>
        <v>#REF!</v>
      </c>
      <c r="AV70" s="170"/>
      <c r="AW70" s="17" t="e">
        <f>_xlfn.XLOOKUP($D70,#REF!,#REF!,,0,)</f>
        <v>#REF!</v>
      </c>
      <c r="AX70" s="10" t="e">
        <f>_xlfn.XLOOKUP($D70,#REF!,#REF!,,0,)</f>
        <v>#REF!</v>
      </c>
      <c r="AY70" s="44" t="str">
        <f>Tab_Process_TCs2527[[#This Row],[Flow_ID]]</f>
        <v>N.A.</v>
      </c>
      <c r="AZ70" s="44" t="e">
        <f t="shared" si="21"/>
        <v>#REF!</v>
      </c>
      <c r="BA70" s="170"/>
      <c r="BB70" s="10" t="e">
        <f>_xlfn.XLOOKUP($D70,#REF!,#REF!,,0,)</f>
        <v>#REF!</v>
      </c>
      <c r="BC70" s="10" t="e">
        <f>_xlfn.XLOOKUP($D70,#REF!,#REF!,,0,)</f>
        <v>#REF!</v>
      </c>
      <c r="BD70" s="44" t="str">
        <f>Tab_Process_TCs2527[[#This Row],[Flow_ID]]</f>
        <v>N.A.</v>
      </c>
      <c r="BE70" s="44" t="e">
        <f t="shared" si="22"/>
        <v>#REF!</v>
      </c>
      <c r="BF70" s="51"/>
      <c r="BG70" s="54">
        <f>Tab_Process_TCs2527[[#This Row],[TC O_6_'[%']]]+Tab_Process_TCs2527[[#This Row],[TC O_5_'[%']]]+Tab_Process_TCs2527[[#This Row],[TC_O_4_'[%']]]+Tab_Process_TCs2527[[#This Row],[TC_O_3_'[%']]]+Tab_Process_TCs2527[[#This Row],[TC_O_2_'[%']]]+Tab_Process_TCs2527[[#This Row],[TC_O_1_'[%']]]</f>
        <v>1</v>
      </c>
      <c r="BH70" s="12"/>
      <c r="BI70" s="12"/>
      <c r="BJ70" s="12"/>
      <c r="BK70" s="12"/>
      <c r="BL70" s="12"/>
    </row>
    <row r="71" spans="1:64" x14ac:dyDescent="0.25">
      <c r="A71" s="197" t="b">
        <v>0</v>
      </c>
      <c r="B71" s="10">
        <f t="shared" si="16"/>
        <v>70</v>
      </c>
      <c r="C71" s="49" t="e">
        <f>_xlfn.XLOOKUP($D71,Tab_Process_TCs[Name(EN)],Tab_Process_TCs[Process_ID],,0,)</f>
        <v>#N/A</v>
      </c>
      <c r="D71" s="192" t="s">
        <v>35</v>
      </c>
      <c r="E71" s="192" t="s">
        <v>35</v>
      </c>
      <c r="F71" s="49" t="e">
        <f>_xlfn.XLOOKUP($D71,Tab_Process_TCs[Name(EN)],Tab_Process_TCs[TC?],,0,)</f>
        <v>#N/A</v>
      </c>
      <c r="G71" s="49" t="e">
        <f>_xlfn.XLOOKUP($D71,Tab_Process_TCs[Name(EN)],Tab_Process_TCs[Dyn_TC?],,0,)</f>
        <v>#N/A</v>
      </c>
      <c r="H71" s="10" t="str">
        <f>_xlfn.XLOOKUP($E71,Tab_Def_Flows[Name(EN)],Tab_Def_Flows[Flow_ID],,0,1)</f>
        <v>N.A.</v>
      </c>
      <c r="I71" s="10" t="str">
        <f>IF(Tab_Process_TCs2527[[#This Row],[Name(EN)]]="N.A.","N.A.","TC"&amp;"_"&amp;RIGHT(H71,5))</f>
        <v>N.A.</v>
      </c>
      <c r="J71" s="12"/>
      <c r="K71" s="186"/>
      <c r="L71" s="10"/>
      <c r="M71" s="17" t="e">
        <f>_xlfn.XLOOKUP($D71,Tab_Def_Processes[Name(EN)],Tab_Def_Processes[Input_Flow_I_1],,0,)</f>
        <v>#N/A</v>
      </c>
      <c r="N71" s="10" t="e">
        <f>_xlfn.XLOOKUP($D71,Tab_Def_Processes[Name(EN)],Tab_Def_Processes[Flow_ID_I_1],,0,)</f>
        <v>#N/A</v>
      </c>
      <c r="O71" s="34"/>
      <c r="P71" s="30" t="e">
        <f>_xlfn.XLOOKUP($D71,Tab_Def_Processes[Name(EN)],Tab_Def_Processes[Input_Flow_I_2],,0,)</f>
        <v>#N/A</v>
      </c>
      <c r="Q71" s="10" t="e">
        <f>_xlfn.XLOOKUP($D71,Tab_Def_Processes[Name(EN)],Tab_Def_Processes[Flow_ID_I_2],,0,)</f>
        <v>#N/A</v>
      </c>
      <c r="R71" s="34"/>
      <c r="S71" s="30" t="e">
        <f>_xlfn.XLOOKUP($D71,Tab_Def_Processes[Name(EN)],Tab_Def_Processes[Input_Flow_I_3],,0,)</f>
        <v>#N/A</v>
      </c>
      <c r="T71" s="10" t="e">
        <f>_xlfn.XLOOKUP($D71,Tab_Def_Processes[Name(EN)],Tab_Def_Processes[Flow_ID_I_3],,0,)</f>
        <v>#N/A</v>
      </c>
      <c r="U71" s="34"/>
      <c r="V71" s="30" t="e">
        <f>_xlfn.XLOOKUP($D71,Tab_Def_Processes[Name(EN)],Tab_Def_Processes[Input_Flow_I_4],,0,)</f>
        <v>#N/A</v>
      </c>
      <c r="W71" s="10" t="e">
        <f>_xlfn.XLOOKUP($D71,Tab_Def_Processes[Name(EN)],Tab_Def_Processes[Flow_ID_I_4],,0,)</f>
        <v>#N/A</v>
      </c>
      <c r="X71" s="34"/>
      <c r="Y71" s="30" t="e">
        <f>_xlfn.XLOOKUP($D71,Tab_Def_Processes[Name(EN)],Tab_Def_Processes[Input_Flow_I_5],,0,)</f>
        <v>#N/A</v>
      </c>
      <c r="Z71" s="10" t="e">
        <f>_xlfn.XLOOKUP($D71,Tab_Def_Processes[Name(EN)],Tab_Def_Processes[Flow_ID_I_5],,0,)</f>
        <v>#N/A</v>
      </c>
      <c r="AA71" s="34"/>
      <c r="AB71" s="33">
        <f>Tab_Process_TCs2527[[#This Row],[Flow_TC_I_1_'[%']]]+Tab_Process_TCs2527[[#This Row],[Flow_TC_I_2_'[%']]]+Tab_Process_TCs2527[[#This Row],[Flow_TC_I_3_'[%']]]+Tab_Process_TCs2527[[#This Row],[Flow_TC_I_4_'[%']]]+Tab_Process_TCs2527[[#This Row],[Flow_TC_I_5_'[%']]]</f>
        <v>0</v>
      </c>
      <c r="AC71" s="17" t="e">
        <f>_xlfn.XLOOKUP($D71,#REF!,#REF!,,0,)</f>
        <v>#REF!</v>
      </c>
      <c r="AD71" s="10" t="e">
        <f>_xlfn.XLOOKUP($D71,#REF!,#REF!,,0,)</f>
        <v>#REF!</v>
      </c>
      <c r="AE71" s="44" t="str">
        <f>Tab_Process_TCs2527[[#This Row],[Flow_ID]]</f>
        <v>N.A.</v>
      </c>
      <c r="AF71" s="10" t="e">
        <f t="shared" si="17"/>
        <v>#REF!</v>
      </c>
      <c r="AG71" s="51">
        <f t="shared" si="14"/>
        <v>0.39000000000000007</v>
      </c>
      <c r="AH71" s="171" t="e">
        <f>_xlfn.XLOOKUP($D71,#REF!,#REF!,,0,)</f>
        <v>#REF!</v>
      </c>
      <c r="AI71" s="55" t="e">
        <f>_xlfn.XLOOKUP($D71,#REF!,#REF!,,0,)</f>
        <v>#REF!</v>
      </c>
      <c r="AJ71" s="44" t="str">
        <f>Tab_Process_TCs2527[[#This Row],[Flow_ID]]</f>
        <v>N.A.</v>
      </c>
      <c r="AK71" s="10" t="e">
        <f t="shared" si="18"/>
        <v>#REF!</v>
      </c>
      <c r="AL71" s="170">
        <f t="shared" si="15"/>
        <v>0.35999999999999993</v>
      </c>
      <c r="AM71" s="17" t="e">
        <f>_xlfn.XLOOKUP($D71,#REF!,#REF!,,0,)</f>
        <v>#REF!</v>
      </c>
      <c r="AN71" s="10" t="e">
        <f>_xlfn.XLOOKUP($D71,#REF!,#REF!,,0,)</f>
        <v>#REF!</v>
      </c>
      <c r="AO71" s="44" t="str">
        <f>Tab_Process_TCs2527[[#This Row],[Flow_ID]]</f>
        <v>N.A.</v>
      </c>
      <c r="AP71" s="10" t="e">
        <f t="shared" si="19"/>
        <v>#REF!</v>
      </c>
      <c r="AQ71" s="170">
        <v>0.25</v>
      </c>
      <c r="AR71" s="17" t="e">
        <f>_xlfn.XLOOKUP($D71,#REF!,#REF!,,0,)</f>
        <v>#REF!</v>
      </c>
      <c r="AS71" s="10" t="e">
        <f>_xlfn.XLOOKUP($D71,#REF!,#REF!,,0,)</f>
        <v>#REF!</v>
      </c>
      <c r="AT71" s="44" t="str">
        <f>Tab_Process_TCs2527[[#This Row],[Flow_ID]]</f>
        <v>N.A.</v>
      </c>
      <c r="AU71" s="44" t="e">
        <f t="shared" si="20"/>
        <v>#REF!</v>
      </c>
      <c r="AV71" s="170"/>
      <c r="AW71" s="17" t="e">
        <f>_xlfn.XLOOKUP($D71,#REF!,#REF!,,0,)</f>
        <v>#REF!</v>
      </c>
      <c r="AX71" s="10" t="e">
        <f>_xlfn.XLOOKUP($D71,#REF!,#REF!,,0,)</f>
        <v>#REF!</v>
      </c>
      <c r="AY71" s="44" t="str">
        <f>Tab_Process_TCs2527[[#This Row],[Flow_ID]]</f>
        <v>N.A.</v>
      </c>
      <c r="AZ71" s="44" t="e">
        <f t="shared" si="21"/>
        <v>#REF!</v>
      </c>
      <c r="BA71" s="170"/>
      <c r="BB71" s="10" t="e">
        <f>_xlfn.XLOOKUP($D71,#REF!,#REF!,,0,)</f>
        <v>#REF!</v>
      </c>
      <c r="BC71" s="10" t="e">
        <f>_xlfn.XLOOKUP($D71,#REF!,#REF!,,0,)</f>
        <v>#REF!</v>
      </c>
      <c r="BD71" s="44" t="str">
        <f>Tab_Process_TCs2527[[#This Row],[Flow_ID]]</f>
        <v>N.A.</v>
      </c>
      <c r="BE71" s="44" t="e">
        <f t="shared" si="22"/>
        <v>#REF!</v>
      </c>
      <c r="BF71" s="51"/>
      <c r="BG71" s="54">
        <f>Tab_Process_TCs2527[[#This Row],[TC O_6_'[%']]]+Tab_Process_TCs2527[[#This Row],[TC O_5_'[%']]]+Tab_Process_TCs2527[[#This Row],[TC_O_4_'[%']]]+Tab_Process_TCs2527[[#This Row],[TC_O_3_'[%']]]+Tab_Process_TCs2527[[#This Row],[TC_O_2_'[%']]]+Tab_Process_TCs2527[[#This Row],[TC_O_1_'[%']]]</f>
        <v>1</v>
      </c>
      <c r="BH71" s="12"/>
      <c r="BI71" s="12"/>
      <c r="BJ71" s="12"/>
      <c r="BK71" s="12"/>
      <c r="BL71" s="12"/>
    </row>
    <row r="72" spans="1:64" x14ac:dyDescent="0.25">
      <c r="A72" s="197" t="b">
        <v>0</v>
      </c>
      <c r="B72" s="10">
        <f t="shared" si="16"/>
        <v>71</v>
      </c>
      <c r="C72" s="49" t="e">
        <f>_xlfn.XLOOKUP($D72,Tab_Process_TCs[Name(EN)],Tab_Process_TCs[Process_ID],,0,)</f>
        <v>#N/A</v>
      </c>
      <c r="D72" s="192" t="s">
        <v>35</v>
      </c>
      <c r="E72" s="192" t="s">
        <v>35</v>
      </c>
      <c r="F72" s="49" t="e">
        <f>_xlfn.XLOOKUP($D72,Tab_Process_TCs[Name(EN)],Tab_Process_TCs[TC?],,0,)</f>
        <v>#N/A</v>
      </c>
      <c r="G72" s="49" t="e">
        <f>_xlfn.XLOOKUP($D72,Tab_Process_TCs[Name(EN)],Tab_Process_TCs[Dyn_TC?],,0,)</f>
        <v>#N/A</v>
      </c>
      <c r="H72" s="10" t="str">
        <f>_xlfn.XLOOKUP($E72,Tab_Def_Flows[Name(EN)],Tab_Def_Flows[Flow_ID],,0,1)</f>
        <v>N.A.</v>
      </c>
      <c r="I72" s="10" t="str">
        <f>IF(Tab_Process_TCs2527[[#This Row],[Name(EN)]]="N.A.","N.A.","TC"&amp;"_"&amp;RIGHT(H72,5))</f>
        <v>N.A.</v>
      </c>
      <c r="J72" s="12"/>
      <c r="K72" s="186"/>
      <c r="L72" s="10"/>
      <c r="M72" s="17" t="e">
        <f>_xlfn.XLOOKUP($D72,Tab_Def_Processes[Name(EN)],Tab_Def_Processes[Input_Flow_I_1],,0,)</f>
        <v>#N/A</v>
      </c>
      <c r="N72" s="10" t="e">
        <f>_xlfn.XLOOKUP($D72,Tab_Def_Processes[Name(EN)],Tab_Def_Processes[Flow_ID_I_1],,0,)</f>
        <v>#N/A</v>
      </c>
      <c r="O72" s="34"/>
      <c r="P72" s="30" t="e">
        <f>_xlfn.XLOOKUP($D72,Tab_Def_Processes[Name(EN)],Tab_Def_Processes[Input_Flow_I_2],,0,)</f>
        <v>#N/A</v>
      </c>
      <c r="Q72" s="10" t="e">
        <f>_xlfn.XLOOKUP($D72,Tab_Def_Processes[Name(EN)],Tab_Def_Processes[Flow_ID_I_2],,0,)</f>
        <v>#N/A</v>
      </c>
      <c r="R72" s="34"/>
      <c r="S72" s="30" t="e">
        <f>_xlfn.XLOOKUP($D72,Tab_Def_Processes[Name(EN)],Tab_Def_Processes[Input_Flow_I_3],,0,)</f>
        <v>#N/A</v>
      </c>
      <c r="T72" s="10" t="e">
        <f>_xlfn.XLOOKUP($D72,Tab_Def_Processes[Name(EN)],Tab_Def_Processes[Flow_ID_I_3],,0,)</f>
        <v>#N/A</v>
      </c>
      <c r="U72" s="34"/>
      <c r="V72" s="30" t="e">
        <f>_xlfn.XLOOKUP($D72,Tab_Def_Processes[Name(EN)],Tab_Def_Processes[Input_Flow_I_4],,0,)</f>
        <v>#N/A</v>
      </c>
      <c r="W72" s="10" t="e">
        <f>_xlfn.XLOOKUP($D72,Tab_Def_Processes[Name(EN)],Tab_Def_Processes[Flow_ID_I_4],,0,)</f>
        <v>#N/A</v>
      </c>
      <c r="X72" s="34"/>
      <c r="Y72" s="30" t="e">
        <f>_xlfn.XLOOKUP($D72,Tab_Def_Processes[Name(EN)],Tab_Def_Processes[Input_Flow_I_5],,0,)</f>
        <v>#N/A</v>
      </c>
      <c r="Z72" s="10" t="e">
        <f>_xlfn.XLOOKUP($D72,Tab_Def_Processes[Name(EN)],Tab_Def_Processes[Flow_ID_I_5],,0,)</f>
        <v>#N/A</v>
      </c>
      <c r="AA72" s="34"/>
      <c r="AB72" s="33">
        <f>Tab_Process_TCs2527[[#This Row],[Flow_TC_I_1_'[%']]]+Tab_Process_TCs2527[[#This Row],[Flow_TC_I_2_'[%']]]+Tab_Process_TCs2527[[#This Row],[Flow_TC_I_3_'[%']]]+Tab_Process_TCs2527[[#This Row],[Flow_TC_I_4_'[%']]]+Tab_Process_TCs2527[[#This Row],[Flow_TC_I_5_'[%']]]</f>
        <v>0</v>
      </c>
      <c r="AC72" s="17" t="e">
        <f>_xlfn.XLOOKUP($D72,#REF!,#REF!,,0,)</f>
        <v>#REF!</v>
      </c>
      <c r="AD72" s="10" t="e">
        <f>_xlfn.XLOOKUP($D72,#REF!,#REF!,,0,)</f>
        <v>#REF!</v>
      </c>
      <c r="AE72" s="44" t="str">
        <f>Tab_Process_TCs2527[[#This Row],[Flow_ID]]</f>
        <v>N.A.</v>
      </c>
      <c r="AF72" s="10" t="e">
        <f t="shared" si="17"/>
        <v>#REF!</v>
      </c>
      <c r="AG72" s="51">
        <f t="shared" si="14"/>
        <v>0.40000000000000008</v>
      </c>
      <c r="AH72" s="171" t="e">
        <f>_xlfn.XLOOKUP($D72,#REF!,#REF!,,0,)</f>
        <v>#REF!</v>
      </c>
      <c r="AI72" s="55" t="e">
        <f>_xlfn.XLOOKUP($D72,#REF!,#REF!,,0,)</f>
        <v>#REF!</v>
      </c>
      <c r="AJ72" s="44" t="str">
        <f>Tab_Process_TCs2527[[#This Row],[Flow_ID]]</f>
        <v>N.A.</v>
      </c>
      <c r="AK72" s="10" t="e">
        <f t="shared" si="18"/>
        <v>#REF!</v>
      </c>
      <c r="AL72" s="170">
        <f t="shared" si="15"/>
        <v>0.34999999999999992</v>
      </c>
      <c r="AM72" s="17" t="e">
        <f>_xlfn.XLOOKUP($D72,#REF!,#REF!,,0,)</f>
        <v>#REF!</v>
      </c>
      <c r="AN72" s="10" t="e">
        <f>_xlfn.XLOOKUP($D72,#REF!,#REF!,,0,)</f>
        <v>#REF!</v>
      </c>
      <c r="AO72" s="44" t="str">
        <f>Tab_Process_TCs2527[[#This Row],[Flow_ID]]</f>
        <v>N.A.</v>
      </c>
      <c r="AP72" s="10" t="e">
        <f t="shared" si="19"/>
        <v>#REF!</v>
      </c>
      <c r="AQ72" s="170">
        <v>0.25</v>
      </c>
      <c r="AR72" s="17" t="e">
        <f>_xlfn.XLOOKUP($D72,#REF!,#REF!,,0,)</f>
        <v>#REF!</v>
      </c>
      <c r="AS72" s="10" t="e">
        <f>_xlfn.XLOOKUP($D72,#REF!,#REF!,,0,)</f>
        <v>#REF!</v>
      </c>
      <c r="AT72" s="44" t="str">
        <f>Tab_Process_TCs2527[[#This Row],[Flow_ID]]</f>
        <v>N.A.</v>
      </c>
      <c r="AU72" s="44" t="e">
        <f t="shared" si="20"/>
        <v>#REF!</v>
      </c>
      <c r="AV72" s="170"/>
      <c r="AW72" s="17" t="e">
        <f>_xlfn.XLOOKUP($D72,#REF!,#REF!,,0,)</f>
        <v>#REF!</v>
      </c>
      <c r="AX72" s="10" t="e">
        <f>_xlfn.XLOOKUP($D72,#REF!,#REF!,,0,)</f>
        <v>#REF!</v>
      </c>
      <c r="AY72" s="44" t="str">
        <f>Tab_Process_TCs2527[[#This Row],[Flow_ID]]</f>
        <v>N.A.</v>
      </c>
      <c r="AZ72" s="44" t="e">
        <f t="shared" si="21"/>
        <v>#REF!</v>
      </c>
      <c r="BA72" s="170"/>
      <c r="BB72" s="10" t="e">
        <f>_xlfn.XLOOKUP($D72,#REF!,#REF!,,0,)</f>
        <v>#REF!</v>
      </c>
      <c r="BC72" s="10" t="e">
        <f>_xlfn.XLOOKUP($D72,#REF!,#REF!,,0,)</f>
        <v>#REF!</v>
      </c>
      <c r="BD72" s="44" t="str">
        <f>Tab_Process_TCs2527[[#This Row],[Flow_ID]]</f>
        <v>N.A.</v>
      </c>
      <c r="BE72" s="44" t="e">
        <f t="shared" si="22"/>
        <v>#REF!</v>
      </c>
      <c r="BF72" s="51"/>
      <c r="BG72" s="54">
        <f>Tab_Process_TCs2527[[#This Row],[TC O_6_'[%']]]+Tab_Process_TCs2527[[#This Row],[TC O_5_'[%']]]+Tab_Process_TCs2527[[#This Row],[TC_O_4_'[%']]]+Tab_Process_TCs2527[[#This Row],[TC_O_3_'[%']]]+Tab_Process_TCs2527[[#This Row],[TC_O_2_'[%']]]+Tab_Process_TCs2527[[#This Row],[TC_O_1_'[%']]]</f>
        <v>1</v>
      </c>
      <c r="BH72" s="12"/>
      <c r="BI72" s="12"/>
      <c r="BJ72" s="12"/>
      <c r="BK72" s="12"/>
      <c r="BL72" s="12"/>
    </row>
    <row r="73" spans="1:64" x14ac:dyDescent="0.25">
      <c r="A73" s="197" t="b">
        <v>0</v>
      </c>
      <c r="B73" s="10">
        <f t="shared" si="16"/>
        <v>72</v>
      </c>
      <c r="C73" s="49" t="e">
        <f>_xlfn.XLOOKUP($D73,Tab_Process_TCs[Name(EN)],Tab_Process_TCs[Process_ID],,0,)</f>
        <v>#N/A</v>
      </c>
      <c r="D73" s="192" t="s">
        <v>35</v>
      </c>
      <c r="E73" s="192" t="s">
        <v>35</v>
      </c>
      <c r="F73" s="49" t="e">
        <f>_xlfn.XLOOKUP($D73,Tab_Process_TCs[Name(EN)],Tab_Process_TCs[TC?],,0,)</f>
        <v>#N/A</v>
      </c>
      <c r="G73" s="49" t="e">
        <f>_xlfn.XLOOKUP($D73,Tab_Process_TCs[Name(EN)],Tab_Process_TCs[Dyn_TC?],,0,)</f>
        <v>#N/A</v>
      </c>
      <c r="H73" s="10" t="str">
        <f>_xlfn.XLOOKUP($E73,Tab_Def_Flows[Name(EN)],Tab_Def_Flows[Flow_ID],,0,1)</f>
        <v>N.A.</v>
      </c>
      <c r="I73" s="10" t="str">
        <f>IF(Tab_Process_TCs2527[[#This Row],[Name(EN)]]="N.A.","N.A.","TC"&amp;"_"&amp;RIGHT(H73,5))</f>
        <v>N.A.</v>
      </c>
      <c r="J73" s="12"/>
      <c r="K73" s="186"/>
      <c r="L73" s="10"/>
      <c r="M73" s="17" t="e">
        <f>_xlfn.XLOOKUP($D73,Tab_Def_Processes[Name(EN)],Tab_Def_Processes[Input_Flow_I_1],,0,)</f>
        <v>#N/A</v>
      </c>
      <c r="N73" s="10" t="e">
        <f>_xlfn.XLOOKUP($D73,Tab_Def_Processes[Name(EN)],Tab_Def_Processes[Flow_ID_I_1],,0,)</f>
        <v>#N/A</v>
      </c>
      <c r="O73" s="34"/>
      <c r="P73" s="30" t="e">
        <f>_xlfn.XLOOKUP($D73,Tab_Def_Processes[Name(EN)],Tab_Def_Processes[Input_Flow_I_2],,0,)</f>
        <v>#N/A</v>
      </c>
      <c r="Q73" s="10" t="e">
        <f>_xlfn.XLOOKUP($D73,Tab_Def_Processes[Name(EN)],Tab_Def_Processes[Flow_ID_I_2],,0,)</f>
        <v>#N/A</v>
      </c>
      <c r="R73" s="34"/>
      <c r="S73" s="30" t="e">
        <f>_xlfn.XLOOKUP($D73,Tab_Def_Processes[Name(EN)],Tab_Def_Processes[Input_Flow_I_3],,0,)</f>
        <v>#N/A</v>
      </c>
      <c r="T73" s="10" t="e">
        <f>_xlfn.XLOOKUP($D73,Tab_Def_Processes[Name(EN)],Tab_Def_Processes[Flow_ID_I_3],,0,)</f>
        <v>#N/A</v>
      </c>
      <c r="U73" s="34"/>
      <c r="V73" s="30" t="e">
        <f>_xlfn.XLOOKUP($D73,Tab_Def_Processes[Name(EN)],Tab_Def_Processes[Input_Flow_I_4],,0,)</f>
        <v>#N/A</v>
      </c>
      <c r="W73" s="10" t="e">
        <f>_xlfn.XLOOKUP($D73,Tab_Def_Processes[Name(EN)],Tab_Def_Processes[Flow_ID_I_4],,0,)</f>
        <v>#N/A</v>
      </c>
      <c r="X73" s="34"/>
      <c r="Y73" s="30" t="e">
        <f>_xlfn.XLOOKUP($D73,Tab_Def_Processes[Name(EN)],Tab_Def_Processes[Input_Flow_I_5],,0,)</f>
        <v>#N/A</v>
      </c>
      <c r="Z73" s="10" t="e">
        <f>_xlfn.XLOOKUP($D73,Tab_Def_Processes[Name(EN)],Tab_Def_Processes[Flow_ID_I_5],,0,)</f>
        <v>#N/A</v>
      </c>
      <c r="AA73" s="34"/>
      <c r="AB73" s="33">
        <f>Tab_Process_TCs2527[[#This Row],[Flow_TC_I_1_'[%']]]+Tab_Process_TCs2527[[#This Row],[Flow_TC_I_2_'[%']]]+Tab_Process_TCs2527[[#This Row],[Flow_TC_I_3_'[%']]]+Tab_Process_TCs2527[[#This Row],[Flow_TC_I_4_'[%']]]+Tab_Process_TCs2527[[#This Row],[Flow_TC_I_5_'[%']]]</f>
        <v>0</v>
      </c>
      <c r="AC73" s="17" t="e">
        <f>_xlfn.XLOOKUP($D73,#REF!,#REF!,,0,)</f>
        <v>#REF!</v>
      </c>
      <c r="AD73" s="10" t="e">
        <f>_xlfn.XLOOKUP($D73,#REF!,#REF!,,0,)</f>
        <v>#REF!</v>
      </c>
      <c r="AE73" s="44" t="str">
        <f>Tab_Process_TCs2527[[#This Row],[Flow_ID]]</f>
        <v>N.A.</v>
      </c>
      <c r="AF73" s="10" t="e">
        <f t="shared" si="17"/>
        <v>#REF!</v>
      </c>
      <c r="AG73" s="51">
        <f t="shared" si="14"/>
        <v>0.41000000000000009</v>
      </c>
      <c r="AH73" s="171" t="e">
        <f>_xlfn.XLOOKUP($D73,#REF!,#REF!,,0,)</f>
        <v>#REF!</v>
      </c>
      <c r="AI73" s="55" t="e">
        <f>_xlfn.XLOOKUP($D73,#REF!,#REF!,,0,)</f>
        <v>#REF!</v>
      </c>
      <c r="AJ73" s="44" t="str">
        <f>Tab_Process_TCs2527[[#This Row],[Flow_ID]]</f>
        <v>N.A.</v>
      </c>
      <c r="AK73" s="10" t="e">
        <f t="shared" si="18"/>
        <v>#REF!</v>
      </c>
      <c r="AL73" s="170">
        <f t="shared" si="15"/>
        <v>0.33999999999999991</v>
      </c>
      <c r="AM73" s="17" t="e">
        <f>_xlfn.XLOOKUP($D73,#REF!,#REF!,,0,)</f>
        <v>#REF!</v>
      </c>
      <c r="AN73" s="10" t="e">
        <f>_xlfn.XLOOKUP($D73,#REF!,#REF!,,0,)</f>
        <v>#REF!</v>
      </c>
      <c r="AO73" s="44" t="str">
        <f>Tab_Process_TCs2527[[#This Row],[Flow_ID]]</f>
        <v>N.A.</v>
      </c>
      <c r="AP73" s="10" t="e">
        <f t="shared" si="19"/>
        <v>#REF!</v>
      </c>
      <c r="AQ73" s="170">
        <v>0.25</v>
      </c>
      <c r="AR73" s="17" t="e">
        <f>_xlfn.XLOOKUP($D73,#REF!,#REF!,,0,)</f>
        <v>#REF!</v>
      </c>
      <c r="AS73" s="10" t="e">
        <f>_xlfn.XLOOKUP($D73,#REF!,#REF!,,0,)</f>
        <v>#REF!</v>
      </c>
      <c r="AT73" s="44" t="str">
        <f>Tab_Process_TCs2527[[#This Row],[Flow_ID]]</f>
        <v>N.A.</v>
      </c>
      <c r="AU73" s="44" t="e">
        <f t="shared" si="20"/>
        <v>#REF!</v>
      </c>
      <c r="AV73" s="170"/>
      <c r="AW73" s="17" t="e">
        <f>_xlfn.XLOOKUP($D73,#REF!,#REF!,,0,)</f>
        <v>#REF!</v>
      </c>
      <c r="AX73" s="10" t="e">
        <f>_xlfn.XLOOKUP($D73,#REF!,#REF!,,0,)</f>
        <v>#REF!</v>
      </c>
      <c r="AY73" s="44" t="str">
        <f>Tab_Process_TCs2527[[#This Row],[Flow_ID]]</f>
        <v>N.A.</v>
      </c>
      <c r="AZ73" s="44" t="e">
        <f t="shared" si="21"/>
        <v>#REF!</v>
      </c>
      <c r="BA73" s="170"/>
      <c r="BB73" s="10" t="e">
        <f>_xlfn.XLOOKUP($D73,#REF!,#REF!,,0,)</f>
        <v>#REF!</v>
      </c>
      <c r="BC73" s="10" t="e">
        <f>_xlfn.XLOOKUP($D73,#REF!,#REF!,,0,)</f>
        <v>#REF!</v>
      </c>
      <c r="BD73" s="44" t="str">
        <f>Tab_Process_TCs2527[[#This Row],[Flow_ID]]</f>
        <v>N.A.</v>
      </c>
      <c r="BE73" s="44" t="e">
        <f t="shared" si="22"/>
        <v>#REF!</v>
      </c>
      <c r="BF73" s="51"/>
      <c r="BG73" s="54">
        <f>Tab_Process_TCs2527[[#This Row],[TC O_6_'[%']]]+Tab_Process_TCs2527[[#This Row],[TC O_5_'[%']]]+Tab_Process_TCs2527[[#This Row],[TC_O_4_'[%']]]+Tab_Process_TCs2527[[#This Row],[TC_O_3_'[%']]]+Tab_Process_TCs2527[[#This Row],[TC_O_2_'[%']]]+Tab_Process_TCs2527[[#This Row],[TC_O_1_'[%']]]</f>
        <v>1</v>
      </c>
      <c r="BH73" s="12"/>
      <c r="BI73" s="12"/>
      <c r="BJ73" s="12"/>
      <c r="BK73" s="12"/>
      <c r="BL73" s="12"/>
    </row>
    <row r="74" spans="1:64" x14ac:dyDescent="0.25">
      <c r="A74" s="197" t="b">
        <v>0</v>
      </c>
      <c r="B74" s="10">
        <f t="shared" si="16"/>
        <v>73</v>
      </c>
      <c r="C74" s="49" t="e">
        <f>_xlfn.XLOOKUP($D74,Tab_Process_TCs[Name(EN)],Tab_Process_TCs[Process_ID],,0,)</f>
        <v>#N/A</v>
      </c>
      <c r="D74" s="192" t="s">
        <v>35</v>
      </c>
      <c r="E74" s="192" t="s">
        <v>35</v>
      </c>
      <c r="F74" s="49" t="e">
        <f>_xlfn.XLOOKUP($D74,Tab_Process_TCs[Name(EN)],Tab_Process_TCs[TC?],,0,)</f>
        <v>#N/A</v>
      </c>
      <c r="G74" s="49" t="e">
        <f>_xlfn.XLOOKUP($D74,Tab_Process_TCs[Name(EN)],Tab_Process_TCs[Dyn_TC?],,0,)</f>
        <v>#N/A</v>
      </c>
      <c r="H74" s="10" t="str">
        <f>_xlfn.XLOOKUP($E74,Tab_Def_Flows[Name(EN)],Tab_Def_Flows[Flow_ID],,0,1)</f>
        <v>N.A.</v>
      </c>
      <c r="I74" s="10" t="str">
        <f>IF(Tab_Process_TCs2527[[#This Row],[Name(EN)]]="N.A.","N.A.","TC"&amp;"_"&amp;RIGHT(H74,5))</f>
        <v>N.A.</v>
      </c>
      <c r="J74" s="12"/>
      <c r="K74" s="186"/>
      <c r="L74" s="10"/>
      <c r="M74" s="17" t="e">
        <f>_xlfn.XLOOKUP($D74,Tab_Def_Processes[Name(EN)],Tab_Def_Processes[Input_Flow_I_1],,0,)</f>
        <v>#N/A</v>
      </c>
      <c r="N74" s="10" t="e">
        <f>_xlfn.XLOOKUP($D74,Tab_Def_Processes[Name(EN)],Tab_Def_Processes[Flow_ID_I_1],,0,)</f>
        <v>#N/A</v>
      </c>
      <c r="O74" s="34"/>
      <c r="P74" s="30" t="e">
        <f>_xlfn.XLOOKUP($D74,Tab_Def_Processes[Name(EN)],Tab_Def_Processes[Input_Flow_I_2],,0,)</f>
        <v>#N/A</v>
      </c>
      <c r="Q74" s="10" t="e">
        <f>_xlfn.XLOOKUP($D74,Tab_Def_Processes[Name(EN)],Tab_Def_Processes[Flow_ID_I_2],,0,)</f>
        <v>#N/A</v>
      </c>
      <c r="R74" s="34"/>
      <c r="S74" s="30" t="e">
        <f>_xlfn.XLOOKUP($D74,Tab_Def_Processes[Name(EN)],Tab_Def_Processes[Input_Flow_I_3],,0,)</f>
        <v>#N/A</v>
      </c>
      <c r="T74" s="10" t="e">
        <f>_xlfn.XLOOKUP($D74,Tab_Def_Processes[Name(EN)],Tab_Def_Processes[Flow_ID_I_3],,0,)</f>
        <v>#N/A</v>
      </c>
      <c r="U74" s="34"/>
      <c r="V74" s="30" t="e">
        <f>_xlfn.XLOOKUP($D74,Tab_Def_Processes[Name(EN)],Tab_Def_Processes[Input_Flow_I_4],,0,)</f>
        <v>#N/A</v>
      </c>
      <c r="W74" s="10" t="e">
        <f>_xlfn.XLOOKUP($D74,Tab_Def_Processes[Name(EN)],Tab_Def_Processes[Flow_ID_I_4],,0,)</f>
        <v>#N/A</v>
      </c>
      <c r="X74" s="34"/>
      <c r="Y74" s="30" t="e">
        <f>_xlfn.XLOOKUP($D74,Tab_Def_Processes[Name(EN)],Tab_Def_Processes[Input_Flow_I_5],,0,)</f>
        <v>#N/A</v>
      </c>
      <c r="Z74" s="10" t="e">
        <f>_xlfn.XLOOKUP($D74,Tab_Def_Processes[Name(EN)],Tab_Def_Processes[Flow_ID_I_5],,0,)</f>
        <v>#N/A</v>
      </c>
      <c r="AA74" s="34"/>
      <c r="AB74" s="33">
        <f>Tab_Process_TCs2527[[#This Row],[Flow_TC_I_1_'[%']]]+Tab_Process_TCs2527[[#This Row],[Flow_TC_I_2_'[%']]]+Tab_Process_TCs2527[[#This Row],[Flow_TC_I_3_'[%']]]+Tab_Process_TCs2527[[#This Row],[Flow_TC_I_4_'[%']]]+Tab_Process_TCs2527[[#This Row],[Flow_TC_I_5_'[%']]]</f>
        <v>0</v>
      </c>
      <c r="AC74" s="17" t="e">
        <f>_xlfn.XLOOKUP($D74,#REF!,#REF!,,0,)</f>
        <v>#REF!</v>
      </c>
      <c r="AD74" s="10" t="e">
        <f>_xlfn.XLOOKUP($D74,#REF!,#REF!,,0,)</f>
        <v>#REF!</v>
      </c>
      <c r="AE74" s="44" t="str">
        <f>Tab_Process_TCs2527[[#This Row],[Flow_ID]]</f>
        <v>N.A.</v>
      </c>
      <c r="AF74" s="10" t="e">
        <f t="shared" si="17"/>
        <v>#REF!</v>
      </c>
      <c r="AG74" s="51">
        <f t="shared" si="14"/>
        <v>0.4200000000000001</v>
      </c>
      <c r="AH74" s="171" t="e">
        <f>_xlfn.XLOOKUP($D74,#REF!,#REF!,,0,)</f>
        <v>#REF!</v>
      </c>
      <c r="AI74" s="55" t="e">
        <f>_xlfn.XLOOKUP($D74,#REF!,#REF!,,0,)</f>
        <v>#REF!</v>
      </c>
      <c r="AJ74" s="44" t="str">
        <f>Tab_Process_TCs2527[[#This Row],[Flow_ID]]</f>
        <v>N.A.</v>
      </c>
      <c r="AK74" s="10" t="e">
        <f t="shared" si="18"/>
        <v>#REF!</v>
      </c>
      <c r="AL74" s="170">
        <f t="shared" si="15"/>
        <v>0.3299999999999999</v>
      </c>
      <c r="AM74" s="17" t="e">
        <f>_xlfn.XLOOKUP($D74,#REF!,#REF!,,0,)</f>
        <v>#REF!</v>
      </c>
      <c r="AN74" s="10" t="e">
        <f>_xlfn.XLOOKUP($D74,#REF!,#REF!,,0,)</f>
        <v>#REF!</v>
      </c>
      <c r="AO74" s="44" t="str">
        <f>Tab_Process_TCs2527[[#This Row],[Flow_ID]]</f>
        <v>N.A.</v>
      </c>
      <c r="AP74" s="10" t="e">
        <f t="shared" si="19"/>
        <v>#REF!</v>
      </c>
      <c r="AQ74" s="170">
        <v>0.25</v>
      </c>
      <c r="AR74" s="17" t="e">
        <f>_xlfn.XLOOKUP($D74,#REF!,#REF!,,0,)</f>
        <v>#REF!</v>
      </c>
      <c r="AS74" s="10" t="e">
        <f>_xlfn.XLOOKUP($D74,#REF!,#REF!,,0,)</f>
        <v>#REF!</v>
      </c>
      <c r="AT74" s="44" t="str">
        <f>Tab_Process_TCs2527[[#This Row],[Flow_ID]]</f>
        <v>N.A.</v>
      </c>
      <c r="AU74" s="44" t="e">
        <f t="shared" si="20"/>
        <v>#REF!</v>
      </c>
      <c r="AV74" s="170"/>
      <c r="AW74" s="17" t="e">
        <f>_xlfn.XLOOKUP($D74,#REF!,#REF!,,0,)</f>
        <v>#REF!</v>
      </c>
      <c r="AX74" s="10" t="e">
        <f>_xlfn.XLOOKUP($D74,#REF!,#REF!,,0,)</f>
        <v>#REF!</v>
      </c>
      <c r="AY74" s="44" t="str">
        <f>Tab_Process_TCs2527[[#This Row],[Flow_ID]]</f>
        <v>N.A.</v>
      </c>
      <c r="AZ74" s="44" t="e">
        <f t="shared" si="21"/>
        <v>#REF!</v>
      </c>
      <c r="BA74" s="170"/>
      <c r="BB74" s="10" t="e">
        <f>_xlfn.XLOOKUP($D74,#REF!,#REF!,,0,)</f>
        <v>#REF!</v>
      </c>
      <c r="BC74" s="10" t="e">
        <f>_xlfn.XLOOKUP($D74,#REF!,#REF!,,0,)</f>
        <v>#REF!</v>
      </c>
      <c r="BD74" s="44" t="str">
        <f>Tab_Process_TCs2527[[#This Row],[Flow_ID]]</f>
        <v>N.A.</v>
      </c>
      <c r="BE74" s="44" t="e">
        <f t="shared" si="22"/>
        <v>#REF!</v>
      </c>
      <c r="BF74" s="51"/>
      <c r="BG74" s="54">
        <f>Tab_Process_TCs2527[[#This Row],[TC O_6_'[%']]]+Tab_Process_TCs2527[[#This Row],[TC O_5_'[%']]]+Tab_Process_TCs2527[[#This Row],[TC_O_4_'[%']]]+Tab_Process_TCs2527[[#This Row],[TC_O_3_'[%']]]+Tab_Process_TCs2527[[#This Row],[TC_O_2_'[%']]]+Tab_Process_TCs2527[[#This Row],[TC_O_1_'[%']]]</f>
        <v>1</v>
      </c>
      <c r="BH74" s="12"/>
      <c r="BI74" s="12"/>
      <c r="BJ74" s="12"/>
      <c r="BK74" s="12"/>
      <c r="BL74" s="12"/>
    </row>
    <row r="75" spans="1:64" x14ac:dyDescent="0.25">
      <c r="A75" s="197" t="b">
        <v>0</v>
      </c>
      <c r="B75" s="10">
        <f t="shared" si="16"/>
        <v>74</v>
      </c>
      <c r="C75" s="49" t="e">
        <f>_xlfn.XLOOKUP($D75,Tab_Process_TCs[Name(EN)],Tab_Process_TCs[Process_ID],,0,)</f>
        <v>#N/A</v>
      </c>
      <c r="D75" s="192" t="s">
        <v>35</v>
      </c>
      <c r="E75" s="192" t="s">
        <v>35</v>
      </c>
      <c r="F75" s="49" t="e">
        <f>_xlfn.XLOOKUP($D75,Tab_Process_TCs[Name(EN)],Tab_Process_TCs[TC?],,0,)</f>
        <v>#N/A</v>
      </c>
      <c r="G75" s="49" t="e">
        <f>_xlfn.XLOOKUP($D75,Tab_Process_TCs[Name(EN)],Tab_Process_TCs[Dyn_TC?],,0,)</f>
        <v>#N/A</v>
      </c>
      <c r="H75" s="10" t="str">
        <f>_xlfn.XLOOKUP($E75,Tab_Def_Flows[Name(EN)],Tab_Def_Flows[Flow_ID],,0,1)</f>
        <v>N.A.</v>
      </c>
      <c r="I75" s="10" t="str">
        <f>IF(Tab_Process_TCs2527[[#This Row],[Name(EN)]]="N.A.","N.A.","TC"&amp;"_"&amp;RIGHT(H75,5))</f>
        <v>N.A.</v>
      </c>
      <c r="J75" s="12"/>
      <c r="K75" s="186"/>
      <c r="L75" s="10"/>
      <c r="M75" s="17" t="e">
        <f>_xlfn.XLOOKUP($D75,Tab_Def_Processes[Name(EN)],Tab_Def_Processes[Input_Flow_I_1],,0,)</f>
        <v>#N/A</v>
      </c>
      <c r="N75" s="10" t="e">
        <f>_xlfn.XLOOKUP($D75,Tab_Def_Processes[Name(EN)],Tab_Def_Processes[Flow_ID_I_1],,0,)</f>
        <v>#N/A</v>
      </c>
      <c r="O75" s="34"/>
      <c r="P75" s="30" t="e">
        <f>_xlfn.XLOOKUP($D75,Tab_Def_Processes[Name(EN)],Tab_Def_Processes[Input_Flow_I_2],,0,)</f>
        <v>#N/A</v>
      </c>
      <c r="Q75" s="10" t="e">
        <f>_xlfn.XLOOKUP($D75,Tab_Def_Processes[Name(EN)],Tab_Def_Processes[Flow_ID_I_2],,0,)</f>
        <v>#N/A</v>
      </c>
      <c r="R75" s="34"/>
      <c r="S75" s="30" t="e">
        <f>_xlfn.XLOOKUP($D75,Tab_Def_Processes[Name(EN)],Tab_Def_Processes[Input_Flow_I_3],,0,)</f>
        <v>#N/A</v>
      </c>
      <c r="T75" s="10" t="e">
        <f>_xlfn.XLOOKUP($D75,Tab_Def_Processes[Name(EN)],Tab_Def_Processes[Flow_ID_I_3],,0,)</f>
        <v>#N/A</v>
      </c>
      <c r="U75" s="34"/>
      <c r="V75" s="30" t="e">
        <f>_xlfn.XLOOKUP($D75,Tab_Def_Processes[Name(EN)],Tab_Def_Processes[Input_Flow_I_4],,0,)</f>
        <v>#N/A</v>
      </c>
      <c r="W75" s="10" t="e">
        <f>_xlfn.XLOOKUP($D75,Tab_Def_Processes[Name(EN)],Tab_Def_Processes[Flow_ID_I_4],,0,)</f>
        <v>#N/A</v>
      </c>
      <c r="X75" s="34"/>
      <c r="Y75" s="30" t="e">
        <f>_xlfn.XLOOKUP($D75,Tab_Def_Processes[Name(EN)],Tab_Def_Processes[Input_Flow_I_5],,0,)</f>
        <v>#N/A</v>
      </c>
      <c r="Z75" s="10" t="e">
        <f>_xlfn.XLOOKUP($D75,Tab_Def_Processes[Name(EN)],Tab_Def_Processes[Flow_ID_I_5],,0,)</f>
        <v>#N/A</v>
      </c>
      <c r="AA75" s="34"/>
      <c r="AB75" s="33">
        <f>Tab_Process_TCs2527[[#This Row],[Flow_TC_I_1_'[%']]]+Tab_Process_TCs2527[[#This Row],[Flow_TC_I_2_'[%']]]+Tab_Process_TCs2527[[#This Row],[Flow_TC_I_3_'[%']]]+Tab_Process_TCs2527[[#This Row],[Flow_TC_I_4_'[%']]]+Tab_Process_TCs2527[[#This Row],[Flow_TC_I_5_'[%']]]</f>
        <v>0</v>
      </c>
      <c r="AC75" s="17" t="e">
        <f>_xlfn.XLOOKUP($D75,#REF!,#REF!,,0,)</f>
        <v>#REF!</v>
      </c>
      <c r="AD75" s="10" t="e">
        <f>_xlfn.XLOOKUP($D75,#REF!,#REF!,,0,)</f>
        <v>#REF!</v>
      </c>
      <c r="AE75" s="44" t="str">
        <f>Tab_Process_TCs2527[[#This Row],[Flow_ID]]</f>
        <v>N.A.</v>
      </c>
      <c r="AF75" s="10" t="e">
        <f t="shared" si="17"/>
        <v>#REF!</v>
      </c>
      <c r="AG75" s="51">
        <f t="shared" si="14"/>
        <v>0.4300000000000001</v>
      </c>
      <c r="AH75" s="171" t="e">
        <f>_xlfn.XLOOKUP($D75,#REF!,#REF!,,0,)</f>
        <v>#REF!</v>
      </c>
      <c r="AI75" s="55" t="e">
        <f>_xlfn.XLOOKUP($D75,#REF!,#REF!,,0,)</f>
        <v>#REF!</v>
      </c>
      <c r="AJ75" s="44" t="str">
        <f>Tab_Process_TCs2527[[#This Row],[Flow_ID]]</f>
        <v>N.A.</v>
      </c>
      <c r="AK75" s="10" t="e">
        <f t="shared" si="18"/>
        <v>#REF!</v>
      </c>
      <c r="AL75" s="170">
        <f t="shared" si="15"/>
        <v>0.3199999999999999</v>
      </c>
      <c r="AM75" s="17" t="e">
        <f>_xlfn.XLOOKUP($D75,#REF!,#REF!,,0,)</f>
        <v>#REF!</v>
      </c>
      <c r="AN75" s="10" t="e">
        <f>_xlfn.XLOOKUP($D75,#REF!,#REF!,,0,)</f>
        <v>#REF!</v>
      </c>
      <c r="AO75" s="44" t="str">
        <f>Tab_Process_TCs2527[[#This Row],[Flow_ID]]</f>
        <v>N.A.</v>
      </c>
      <c r="AP75" s="10" t="e">
        <f t="shared" si="19"/>
        <v>#REF!</v>
      </c>
      <c r="AQ75" s="170">
        <v>0.25</v>
      </c>
      <c r="AR75" s="17" t="e">
        <f>_xlfn.XLOOKUP($D75,#REF!,#REF!,,0,)</f>
        <v>#REF!</v>
      </c>
      <c r="AS75" s="10" t="e">
        <f>_xlfn.XLOOKUP($D75,#REF!,#REF!,,0,)</f>
        <v>#REF!</v>
      </c>
      <c r="AT75" s="44" t="str">
        <f>Tab_Process_TCs2527[[#This Row],[Flow_ID]]</f>
        <v>N.A.</v>
      </c>
      <c r="AU75" s="44" t="e">
        <f t="shared" si="20"/>
        <v>#REF!</v>
      </c>
      <c r="AV75" s="170"/>
      <c r="AW75" s="17" t="e">
        <f>_xlfn.XLOOKUP($D75,#REF!,#REF!,,0,)</f>
        <v>#REF!</v>
      </c>
      <c r="AX75" s="10" t="e">
        <f>_xlfn.XLOOKUP($D75,#REF!,#REF!,,0,)</f>
        <v>#REF!</v>
      </c>
      <c r="AY75" s="44" t="str">
        <f>Tab_Process_TCs2527[[#This Row],[Flow_ID]]</f>
        <v>N.A.</v>
      </c>
      <c r="AZ75" s="44" t="e">
        <f t="shared" si="21"/>
        <v>#REF!</v>
      </c>
      <c r="BA75" s="170"/>
      <c r="BB75" s="10" t="e">
        <f>_xlfn.XLOOKUP($D75,#REF!,#REF!,,0,)</f>
        <v>#REF!</v>
      </c>
      <c r="BC75" s="10" t="e">
        <f>_xlfn.XLOOKUP($D75,#REF!,#REF!,,0,)</f>
        <v>#REF!</v>
      </c>
      <c r="BD75" s="44" t="str">
        <f>Tab_Process_TCs2527[[#This Row],[Flow_ID]]</f>
        <v>N.A.</v>
      </c>
      <c r="BE75" s="44" t="e">
        <f t="shared" si="22"/>
        <v>#REF!</v>
      </c>
      <c r="BF75" s="51"/>
      <c r="BG75" s="54">
        <f>Tab_Process_TCs2527[[#This Row],[TC O_6_'[%']]]+Tab_Process_TCs2527[[#This Row],[TC O_5_'[%']]]+Tab_Process_TCs2527[[#This Row],[TC_O_4_'[%']]]+Tab_Process_TCs2527[[#This Row],[TC_O_3_'[%']]]+Tab_Process_TCs2527[[#This Row],[TC_O_2_'[%']]]+Tab_Process_TCs2527[[#This Row],[TC_O_1_'[%']]]</f>
        <v>1</v>
      </c>
      <c r="BH75" s="12"/>
      <c r="BI75" s="12"/>
      <c r="BJ75" s="12"/>
      <c r="BK75" s="12"/>
      <c r="BL75" s="12"/>
    </row>
    <row r="76" spans="1:64" x14ac:dyDescent="0.25">
      <c r="A76" s="197" t="b">
        <v>0</v>
      </c>
      <c r="B76" s="10">
        <f t="shared" si="16"/>
        <v>75</v>
      </c>
      <c r="C76" s="49" t="e">
        <f>_xlfn.XLOOKUP($D76,Tab_Process_TCs[Name(EN)],Tab_Process_TCs[Process_ID],,0,)</f>
        <v>#N/A</v>
      </c>
      <c r="D76" s="192" t="s">
        <v>35</v>
      </c>
      <c r="E76" s="192" t="s">
        <v>35</v>
      </c>
      <c r="F76" s="49" t="e">
        <f>_xlfn.XLOOKUP($D76,Tab_Process_TCs[Name(EN)],Tab_Process_TCs[TC?],,0,)</f>
        <v>#N/A</v>
      </c>
      <c r="G76" s="49" t="e">
        <f>_xlfn.XLOOKUP($D76,Tab_Process_TCs[Name(EN)],Tab_Process_TCs[Dyn_TC?],,0,)</f>
        <v>#N/A</v>
      </c>
      <c r="H76" s="10" t="str">
        <f>_xlfn.XLOOKUP($E76,Tab_Def_Flows[Name(EN)],Tab_Def_Flows[Flow_ID],,0,1)</f>
        <v>N.A.</v>
      </c>
      <c r="I76" s="10" t="str">
        <f>IF(Tab_Process_TCs2527[[#This Row],[Name(EN)]]="N.A.","N.A.","TC"&amp;"_"&amp;RIGHT(H76,5))</f>
        <v>N.A.</v>
      </c>
      <c r="J76" s="12"/>
      <c r="K76" s="186"/>
      <c r="L76" s="10"/>
      <c r="M76" s="17" t="e">
        <f>_xlfn.XLOOKUP($D76,Tab_Def_Processes[Name(EN)],Tab_Def_Processes[Input_Flow_I_1],,0,)</f>
        <v>#N/A</v>
      </c>
      <c r="N76" s="10" t="e">
        <f>_xlfn.XLOOKUP($D76,Tab_Def_Processes[Name(EN)],Tab_Def_Processes[Flow_ID_I_1],,0,)</f>
        <v>#N/A</v>
      </c>
      <c r="O76" s="34"/>
      <c r="P76" s="30" t="e">
        <f>_xlfn.XLOOKUP($D76,Tab_Def_Processes[Name(EN)],Tab_Def_Processes[Input_Flow_I_2],,0,)</f>
        <v>#N/A</v>
      </c>
      <c r="Q76" s="10" t="e">
        <f>_xlfn.XLOOKUP($D76,Tab_Def_Processes[Name(EN)],Tab_Def_Processes[Flow_ID_I_2],,0,)</f>
        <v>#N/A</v>
      </c>
      <c r="R76" s="34"/>
      <c r="S76" s="30" t="e">
        <f>_xlfn.XLOOKUP($D76,Tab_Def_Processes[Name(EN)],Tab_Def_Processes[Input_Flow_I_3],,0,)</f>
        <v>#N/A</v>
      </c>
      <c r="T76" s="10" t="e">
        <f>_xlfn.XLOOKUP($D76,Tab_Def_Processes[Name(EN)],Tab_Def_Processes[Flow_ID_I_3],,0,)</f>
        <v>#N/A</v>
      </c>
      <c r="U76" s="34"/>
      <c r="V76" s="30" t="e">
        <f>_xlfn.XLOOKUP($D76,Tab_Def_Processes[Name(EN)],Tab_Def_Processes[Input_Flow_I_4],,0,)</f>
        <v>#N/A</v>
      </c>
      <c r="W76" s="10" t="e">
        <f>_xlfn.XLOOKUP($D76,Tab_Def_Processes[Name(EN)],Tab_Def_Processes[Flow_ID_I_4],,0,)</f>
        <v>#N/A</v>
      </c>
      <c r="X76" s="34"/>
      <c r="Y76" s="30" t="e">
        <f>_xlfn.XLOOKUP($D76,Tab_Def_Processes[Name(EN)],Tab_Def_Processes[Input_Flow_I_5],,0,)</f>
        <v>#N/A</v>
      </c>
      <c r="Z76" s="10" t="e">
        <f>_xlfn.XLOOKUP($D76,Tab_Def_Processes[Name(EN)],Tab_Def_Processes[Flow_ID_I_5],,0,)</f>
        <v>#N/A</v>
      </c>
      <c r="AA76" s="34"/>
      <c r="AB76" s="33">
        <f>Tab_Process_TCs2527[[#This Row],[Flow_TC_I_1_'[%']]]+Tab_Process_TCs2527[[#This Row],[Flow_TC_I_2_'[%']]]+Tab_Process_TCs2527[[#This Row],[Flow_TC_I_3_'[%']]]+Tab_Process_TCs2527[[#This Row],[Flow_TC_I_4_'[%']]]+Tab_Process_TCs2527[[#This Row],[Flow_TC_I_5_'[%']]]</f>
        <v>0</v>
      </c>
      <c r="AC76" s="17" t="e">
        <f>_xlfn.XLOOKUP($D76,#REF!,#REF!,,0,)</f>
        <v>#REF!</v>
      </c>
      <c r="AD76" s="10" t="e">
        <f>_xlfn.XLOOKUP($D76,#REF!,#REF!,,0,)</f>
        <v>#REF!</v>
      </c>
      <c r="AE76" s="44" t="str">
        <f>Tab_Process_TCs2527[[#This Row],[Flow_ID]]</f>
        <v>N.A.</v>
      </c>
      <c r="AF76" s="10" t="e">
        <f t="shared" si="17"/>
        <v>#REF!</v>
      </c>
      <c r="AG76" s="51">
        <f t="shared" si="14"/>
        <v>0.44000000000000011</v>
      </c>
      <c r="AH76" s="171" t="e">
        <f>_xlfn.XLOOKUP($D76,#REF!,#REF!,,0,)</f>
        <v>#REF!</v>
      </c>
      <c r="AI76" s="55" t="e">
        <f>_xlfn.XLOOKUP($D76,#REF!,#REF!,,0,)</f>
        <v>#REF!</v>
      </c>
      <c r="AJ76" s="44" t="str">
        <f>Tab_Process_TCs2527[[#This Row],[Flow_ID]]</f>
        <v>N.A.</v>
      </c>
      <c r="AK76" s="10" t="e">
        <f t="shared" si="18"/>
        <v>#REF!</v>
      </c>
      <c r="AL76" s="170">
        <f t="shared" si="15"/>
        <v>0.30999999999999989</v>
      </c>
      <c r="AM76" s="17" t="e">
        <f>_xlfn.XLOOKUP($D76,#REF!,#REF!,,0,)</f>
        <v>#REF!</v>
      </c>
      <c r="AN76" s="10" t="e">
        <f>_xlfn.XLOOKUP($D76,#REF!,#REF!,,0,)</f>
        <v>#REF!</v>
      </c>
      <c r="AO76" s="44" t="str">
        <f>Tab_Process_TCs2527[[#This Row],[Flow_ID]]</f>
        <v>N.A.</v>
      </c>
      <c r="AP76" s="10" t="e">
        <f t="shared" si="19"/>
        <v>#REF!</v>
      </c>
      <c r="AQ76" s="170">
        <v>0.25</v>
      </c>
      <c r="AR76" s="17" t="e">
        <f>_xlfn.XLOOKUP($D76,#REF!,#REF!,,0,)</f>
        <v>#REF!</v>
      </c>
      <c r="AS76" s="10" t="e">
        <f>_xlfn.XLOOKUP($D76,#REF!,#REF!,,0,)</f>
        <v>#REF!</v>
      </c>
      <c r="AT76" s="44" t="str">
        <f>Tab_Process_TCs2527[[#This Row],[Flow_ID]]</f>
        <v>N.A.</v>
      </c>
      <c r="AU76" s="44" t="e">
        <f t="shared" si="20"/>
        <v>#REF!</v>
      </c>
      <c r="AV76" s="170"/>
      <c r="AW76" s="17" t="e">
        <f>_xlfn.XLOOKUP($D76,#REF!,#REF!,,0,)</f>
        <v>#REF!</v>
      </c>
      <c r="AX76" s="10" t="e">
        <f>_xlfn.XLOOKUP($D76,#REF!,#REF!,,0,)</f>
        <v>#REF!</v>
      </c>
      <c r="AY76" s="44" t="str">
        <f>Tab_Process_TCs2527[[#This Row],[Flow_ID]]</f>
        <v>N.A.</v>
      </c>
      <c r="AZ76" s="44" t="e">
        <f t="shared" si="21"/>
        <v>#REF!</v>
      </c>
      <c r="BA76" s="170"/>
      <c r="BB76" s="10" t="e">
        <f>_xlfn.XLOOKUP($D76,#REF!,#REF!,,0,)</f>
        <v>#REF!</v>
      </c>
      <c r="BC76" s="10" t="e">
        <f>_xlfn.XLOOKUP($D76,#REF!,#REF!,,0,)</f>
        <v>#REF!</v>
      </c>
      <c r="BD76" s="44" t="str">
        <f>Tab_Process_TCs2527[[#This Row],[Flow_ID]]</f>
        <v>N.A.</v>
      </c>
      <c r="BE76" s="44" t="e">
        <f t="shared" si="22"/>
        <v>#REF!</v>
      </c>
      <c r="BF76" s="51"/>
      <c r="BG76" s="54">
        <f>Tab_Process_TCs2527[[#This Row],[TC O_6_'[%']]]+Tab_Process_TCs2527[[#This Row],[TC O_5_'[%']]]+Tab_Process_TCs2527[[#This Row],[TC_O_4_'[%']]]+Tab_Process_TCs2527[[#This Row],[TC_O_3_'[%']]]+Tab_Process_TCs2527[[#This Row],[TC_O_2_'[%']]]+Tab_Process_TCs2527[[#This Row],[TC_O_1_'[%']]]</f>
        <v>1</v>
      </c>
      <c r="BH76" s="12"/>
      <c r="BI76" s="12"/>
      <c r="BJ76" s="12"/>
      <c r="BK76" s="12"/>
      <c r="BL76" s="12"/>
    </row>
    <row r="77" spans="1:64" x14ac:dyDescent="0.25">
      <c r="A77" s="197" t="b">
        <v>0</v>
      </c>
      <c r="B77" s="10">
        <f t="shared" si="16"/>
        <v>76</v>
      </c>
      <c r="C77" s="49" t="e">
        <f>_xlfn.XLOOKUP($D77,Tab_Process_TCs[Name(EN)],Tab_Process_TCs[Process_ID],,0,)</f>
        <v>#N/A</v>
      </c>
      <c r="D77" s="192" t="s">
        <v>35</v>
      </c>
      <c r="E77" s="192" t="s">
        <v>35</v>
      </c>
      <c r="F77" s="49" t="e">
        <f>_xlfn.XLOOKUP($D77,Tab_Process_TCs[Name(EN)],Tab_Process_TCs[TC?],,0,)</f>
        <v>#N/A</v>
      </c>
      <c r="G77" s="49" t="e">
        <f>_xlfn.XLOOKUP($D77,Tab_Process_TCs[Name(EN)],Tab_Process_TCs[Dyn_TC?],,0,)</f>
        <v>#N/A</v>
      </c>
      <c r="H77" s="10" t="str">
        <f>_xlfn.XLOOKUP($E77,Tab_Def_Flows[Name(EN)],Tab_Def_Flows[Flow_ID],,0,1)</f>
        <v>N.A.</v>
      </c>
      <c r="I77" s="10" t="str">
        <f>IF(Tab_Process_TCs2527[[#This Row],[Name(EN)]]="N.A.","N.A.","TC"&amp;"_"&amp;RIGHT(H77,5))</f>
        <v>N.A.</v>
      </c>
      <c r="J77" s="12"/>
      <c r="K77" s="186"/>
      <c r="L77" s="10"/>
      <c r="M77" s="17" t="e">
        <f>_xlfn.XLOOKUP($D77,Tab_Def_Processes[Name(EN)],Tab_Def_Processes[Input_Flow_I_1],,0,)</f>
        <v>#N/A</v>
      </c>
      <c r="N77" s="10" t="e">
        <f>_xlfn.XLOOKUP($D77,Tab_Def_Processes[Name(EN)],Tab_Def_Processes[Flow_ID_I_1],,0,)</f>
        <v>#N/A</v>
      </c>
      <c r="O77" s="34"/>
      <c r="P77" s="30" t="e">
        <f>_xlfn.XLOOKUP($D77,Tab_Def_Processes[Name(EN)],Tab_Def_Processes[Input_Flow_I_2],,0,)</f>
        <v>#N/A</v>
      </c>
      <c r="Q77" s="10" t="e">
        <f>_xlfn.XLOOKUP($D77,Tab_Def_Processes[Name(EN)],Tab_Def_Processes[Flow_ID_I_2],,0,)</f>
        <v>#N/A</v>
      </c>
      <c r="R77" s="34"/>
      <c r="S77" s="30" t="e">
        <f>_xlfn.XLOOKUP($D77,Tab_Def_Processes[Name(EN)],Tab_Def_Processes[Input_Flow_I_3],,0,)</f>
        <v>#N/A</v>
      </c>
      <c r="T77" s="10" t="e">
        <f>_xlfn.XLOOKUP($D77,Tab_Def_Processes[Name(EN)],Tab_Def_Processes[Flow_ID_I_3],,0,)</f>
        <v>#N/A</v>
      </c>
      <c r="U77" s="34"/>
      <c r="V77" s="30" t="e">
        <f>_xlfn.XLOOKUP($D77,Tab_Def_Processes[Name(EN)],Tab_Def_Processes[Input_Flow_I_4],,0,)</f>
        <v>#N/A</v>
      </c>
      <c r="W77" s="10" t="e">
        <f>_xlfn.XLOOKUP($D77,Tab_Def_Processes[Name(EN)],Tab_Def_Processes[Flow_ID_I_4],,0,)</f>
        <v>#N/A</v>
      </c>
      <c r="X77" s="34"/>
      <c r="Y77" s="30" t="e">
        <f>_xlfn.XLOOKUP($D77,Tab_Def_Processes[Name(EN)],Tab_Def_Processes[Input_Flow_I_5],,0,)</f>
        <v>#N/A</v>
      </c>
      <c r="Z77" s="10" t="e">
        <f>_xlfn.XLOOKUP($D77,Tab_Def_Processes[Name(EN)],Tab_Def_Processes[Flow_ID_I_5],,0,)</f>
        <v>#N/A</v>
      </c>
      <c r="AA77" s="34"/>
      <c r="AB77" s="33">
        <f>Tab_Process_TCs2527[[#This Row],[Flow_TC_I_1_'[%']]]+Tab_Process_TCs2527[[#This Row],[Flow_TC_I_2_'[%']]]+Tab_Process_TCs2527[[#This Row],[Flow_TC_I_3_'[%']]]+Tab_Process_TCs2527[[#This Row],[Flow_TC_I_4_'[%']]]+Tab_Process_TCs2527[[#This Row],[Flow_TC_I_5_'[%']]]</f>
        <v>0</v>
      </c>
      <c r="AC77" s="17" t="e">
        <f>_xlfn.XLOOKUP($D77,#REF!,#REF!,,0,)</f>
        <v>#REF!</v>
      </c>
      <c r="AD77" s="10" t="e">
        <f>_xlfn.XLOOKUP($D77,#REF!,#REF!,,0,)</f>
        <v>#REF!</v>
      </c>
      <c r="AE77" s="44" t="str">
        <f>Tab_Process_TCs2527[[#This Row],[Flow_ID]]</f>
        <v>N.A.</v>
      </c>
      <c r="AF77" s="10" t="e">
        <f t="shared" si="17"/>
        <v>#REF!</v>
      </c>
      <c r="AG77" s="51">
        <f t="shared" si="14"/>
        <v>0.45000000000000012</v>
      </c>
      <c r="AH77" s="171" t="e">
        <f>_xlfn.XLOOKUP($D77,#REF!,#REF!,,0,)</f>
        <v>#REF!</v>
      </c>
      <c r="AI77" s="55" t="e">
        <f>_xlfn.XLOOKUP($D77,#REF!,#REF!,,0,)</f>
        <v>#REF!</v>
      </c>
      <c r="AJ77" s="44" t="str">
        <f>Tab_Process_TCs2527[[#This Row],[Flow_ID]]</f>
        <v>N.A.</v>
      </c>
      <c r="AK77" s="10" t="e">
        <f t="shared" si="18"/>
        <v>#REF!</v>
      </c>
      <c r="AL77" s="170">
        <f t="shared" si="15"/>
        <v>0.29999999999999988</v>
      </c>
      <c r="AM77" s="17" t="e">
        <f>_xlfn.XLOOKUP($D77,#REF!,#REF!,,0,)</f>
        <v>#REF!</v>
      </c>
      <c r="AN77" s="10" t="e">
        <f>_xlfn.XLOOKUP($D77,#REF!,#REF!,,0,)</f>
        <v>#REF!</v>
      </c>
      <c r="AO77" s="44" t="str">
        <f>Tab_Process_TCs2527[[#This Row],[Flow_ID]]</f>
        <v>N.A.</v>
      </c>
      <c r="AP77" s="10" t="e">
        <f t="shared" si="19"/>
        <v>#REF!</v>
      </c>
      <c r="AQ77" s="170">
        <v>0.25</v>
      </c>
      <c r="AR77" s="17" t="e">
        <f>_xlfn.XLOOKUP($D77,#REF!,#REF!,,0,)</f>
        <v>#REF!</v>
      </c>
      <c r="AS77" s="10" t="e">
        <f>_xlfn.XLOOKUP($D77,#REF!,#REF!,,0,)</f>
        <v>#REF!</v>
      </c>
      <c r="AT77" s="44" t="str">
        <f>Tab_Process_TCs2527[[#This Row],[Flow_ID]]</f>
        <v>N.A.</v>
      </c>
      <c r="AU77" s="44" t="e">
        <f t="shared" si="20"/>
        <v>#REF!</v>
      </c>
      <c r="AV77" s="170"/>
      <c r="AW77" s="17" t="e">
        <f>_xlfn.XLOOKUP($D77,#REF!,#REF!,,0,)</f>
        <v>#REF!</v>
      </c>
      <c r="AX77" s="10" t="e">
        <f>_xlfn.XLOOKUP($D77,#REF!,#REF!,,0,)</f>
        <v>#REF!</v>
      </c>
      <c r="AY77" s="44" t="str">
        <f>Tab_Process_TCs2527[[#This Row],[Flow_ID]]</f>
        <v>N.A.</v>
      </c>
      <c r="AZ77" s="44" t="e">
        <f t="shared" si="21"/>
        <v>#REF!</v>
      </c>
      <c r="BA77" s="170"/>
      <c r="BB77" s="10" t="e">
        <f>_xlfn.XLOOKUP($D77,#REF!,#REF!,,0,)</f>
        <v>#REF!</v>
      </c>
      <c r="BC77" s="10" t="e">
        <f>_xlfn.XLOOKUP($D77,#REF!,#REF!,,0,)</f>
        <v>#REF!</v>
      </c>
      <c r="BD77" s="44" t="str">
        <f>Tab_Process_TCs2527[[#This Row],[Flow_ID]]</f>
        <v>N.A.</v>
      </c>
      <c r="BE77" s="44" t="e">
        <f t="shared" si="22"/>
        <v>#REF!</v>
      </c>
      <c r="BF77" s="51"/>
      <c r="BG77" s="54">
        <f>Tab_Process_TCs2527[[#This Row],[TC O_6_'[%']]]+Tab_Process_TCs2527[[#This Row],[TC O_5_'[%']]]+Tab_Process_TCs2527[[#This Row],[TC_O_4_'[%']]]+Tab_Process_TCs2527[[#This Row],[TC_O_3_'[%']]]+Tab_Process_TCs2527[[#This Row],[TC_O_2_'[%']]]+Tab_Process_TCs2527[[#This Row],[TC_O_1_'[%']]]</f>
        <v>1</v>
      </c>
      <c r="BH77" s="12"/>
      <c r="BI77" s="12"/>
      <c r="BJ77" s="12"/>
      <c r="BK77" s="12"/>
      <c r="BL77" s="12"/>
    </row>
    <row r="78" spans="1:64" x14ac:dyDescent="0.25">
      <c r="A78" s="197" t="b">
        <v>0</v>
      </c>
      <c r="B78" s="10">
        <f t="shared" si="16"/>
        <v>77</v>
      </c>
      <c r="C78" s="49" t="e">
        <f>_xlfn.XLOOKUP($D78,Tab_Process_TCs[Name(EN)],Tab_Process_TCs[Process_ID],,0,)</f>
        <v>#N/A</v>
      </c>
      <c r="D78" s="192" t="s">
        <v>35</v>
      </c>
      <c r="E78" s="192" t="s">
        <v>35</v>
      </c>
      <c r="F78" s="49" t="e">
        <f>_xlfn.XLOOKUP($D78,Tab_Process_TCs[Name(EN)],Tab_Process_TCs[TC?],,0,)</f>
        <v>#N/A</v>
      </c>
      <c r="G78" s="49" t="e">
        <f>_xlfn.XLOOKUP($D78,Tab_Process_TCs[Name(EN)],Tab_Process_TCs[Dyn_TC?],,0,)</f>
        <v>#N/A</v>
      </c>
      <c r="H78" s="10" t="str">
        <f>_xlfn.XLOOKUP($E78,Tab_Def_Flows[Name(EN)],Tab_Def_Flows[Flow_ID],,0,1)</f>
        <v>N.A.</v>
      </c>
      <c r="I78" s="10" t="str">
        <f>IF(Tab_Process_TCs2527[[#This Row],[Name(EN)]]="N.A.","N.A.","TC"&amp;"_"&amp;RIGHT(H78,5))</f>
        <v>N.A.</v>
      </c>
      <c r="J78" s="12"/>
      <c r="K78" s="186"/>
      <c r="L78" s="10"/>
      <c r="M78" s="17" t="e">
        <f>_xlfn.XLOOKUP($D78,Tab_Def_Processes[Name(EN)],Tab_Def_Processes[Input_Flow_I_1],,0,)</f>
        <v>#N/A</v>
      </c>
      <c r="N78" s="10" t="e">
        <f>_xlfn.XLOOKUP($D78,Tab_Def_Processes[Name(EN)],Tab_Def_Processes[Flow_ID_I_1],,0,)</f>
        <v>#N/A</v>
      </c>
      <c r="O78" s="34"/>
      <c r="P78" s="30" t="e">
        <f>_xlfn.XLOOKUP($D78,Tab_Def_Processes[Name(EN)],Tab_Def_Processes[Input_Flow_I_2],,0,)</f>
        <v>#N/A</v>
      </c>
      <c r="Q78" s="10" t="e">
        <f>_xlfn.XLOOKUP($D78,Tab_Def_Processes[Name(EN)],Tab_Def_Processes[Flow_ID_I_2],,0,)</f>
        <v>#N/A</v>
      </c>
      <c r="R78" s="34"/>
      <c r="S78" s="30" t="e">
        <f>_xlfn.XLOOKUP($D78,Tab_Def_Processes[Name(EN)],Tab_Def_Processes[Input_Flow_I_3],,0,)</f>
        <v>#N/A</v>
      </c>
      <c r="T78" s="10" t="e">
        <f>_xlfn.XLOOKUP($D78,Tab_Def_Processes[Name(EN)],Tab_Def_Processes[Flow_ID_I_3],,0,)</f>
        <v>#N/A</v>
      </c>
      <c r="U78" s="34"/>
      <c r="V78" s="30" t="e">
        <f>_xlfn.XLOOKUP($D78,Tab_Def_Processes[Name(EN)],Tab_Def_Processes[Input_Flow_I_4],,0,)</f>
        <v>#N/A</v>
      </c>
      <c r="W78" s="10" t="e">
        <f>_xlfn.XLOOKUP($D78,Tab_Def_Processes[Name(EN)],Tab_Def_Processes[Flow_ID_I_4],,0,)</f>
        <v>#N/A</v>
      </c>
      <c r="X78" s="34"/>
      <c r="Y78" s="30" t="e">
        <f>_xlfn.XLOOKUP($D78,Tab_Def_Processes[Name(EN)],Tab_Def_Processes[Input_Flow_I_5],,0,)</f>
        <v>#N/A</v>
      </c>
      <c r="Z78" s="10" t="e">
        <f>_xlfn.XLOOKUP($D78,Tab_Def_Processes[Name(EN)],Tab_Def_Processes[Flow_ID_I_5],,0,)</f>
        <v>#N/A</v>
      </c>
      <c r="AA78" s="34"/>
      <c r="AB78" s="33">
        <f>Tab_Process_TCs2527[[#This Row],[Flow_TC_I_1_'[%']]]+Tab_Process_TCs2527[[#This Row],[Flow_TC_I_2_'[%']]]+Tab_Process_TCs2527[[#This Row],[Flow_TC_I_3_'[%']]]+Tab_Process_TCs2527[[#This Row],[Flow_TC_I_4_'[%']]]+Tab_Process_TCs2527[[#This Row],[Flow_TC_I_5_'[%']]]</f>
        <v>0</v>
      </c>
      <c r="AC78" s="17" t="e">
        <f>_xlfn.XLOOKUP($D78,#REF!,#REF!,,0,)</f>
        <v>#REF!</v>
      </c>
      <c r="AD78" s="10" t="e">
        <f>_xlfn.XLOOKUP($D78,#REF!,#REF!,,0,)</f>
        <v>#REF!</v>
      </c>
      <c r="AE78" s="44" t="str">
        <f>Tab_Process_TCs2527[[#This Row],[Flow_ID]]</f>
        <v>N.A.</v>
      </c>
      <c r="AF78" s="10" t="e">
        <f t="shared" si="17"/>
        <v>#REF!</v>
      </c>
      <c r="AG78" s="51">
        <f t="shared" si="14"/>
        <v>0.46000000000000013</v>
      </c>
      <c r="AH78" s="171" t="e">
        <f>_xlfn.XLOOKUP($D78,#REF!,#REF!,,0,)</f>
        <v>#REF!</v>
      </c>
      <c r="AI78" s="55" t="e">
        <f>_xlfn.XLOOKUP($D78,#REF!,#REF!,,0,)</f>
        <v>#REF!</v>
      </c>
      <c r="AJ78" s="44" t="str">
        <f>Tab_Process_TCs2527[[#This Row],[Flow_ID]]</f>
        <v>N.A.</v>
      </c>
      <c r="AK78" s="10" t="e">
        <f t="shared" si="18"/>
        <v>#REF!</v>
      </c>
      <c r="AL78" s="170">
        <f t="shared" si="15"/>
        <v>0.28999999999999987</v>
      </c>
      <c r="AM78" s="17" t="e">
        <f>_xlfn.XLOOKUP($D78,#REF!,#REF!,,0,)</f>
        <v>#REF!</v>
      </c>
      <c r="AN78" s="10" t="e">
        <f>_xlfn.XLOOKUP($D78,#REF!,#REF!,,0,)</f>
        <v>#REF!</v>
      </c>
      <c r="AO78" s="44" t="str">
        <f>Tab_Process_TCs2527[[#This Row],[Flow_ID]]</f>
        <v>N.A.</v>
      </c>
      <c r="AP78" s="10" t="e">
        <f t="shared" si="19"/>
        <v>#REF!</v>
      </c>
      <c r="AQ78" s="170">
        <v>0.25</v>
      </c>
      <c r="AR78" s="17" t="e">
        <f>_xlfn.XLOOKUP($D78,#REF!,#REF!,,0,)</f>
        <v>#REF!</v>
      </c>
      <c r="AS78" s="10" t="e">
        <f>_xlfn.XLOOKUP($D78,#REF!,#REF!,,0,)</f>
        <v>#REF!</v>
      </c>
      <c r="AT78" s="44" t="str">
        <f>Tab_Process_TCs2527[[#This Row],[Flow_ID]]</f>
        <v>N.A.</v>
      </c>
      <c r="AU78" s="44" t="e">
        <f t="shared" si="20"/>
        <v>#REF!</v>
      </c>
      <c r="AV78" s="170"/>
      <c r="AW78" s="17" t="e">
        <f>_xlfn.XLOOKUP($D78,#REF!,#REF!,,0,)</f>
        <v>#REF!</v>
      </c>
      <c r="AX78" s="10" t="e">
        <f>_xlfn.XLOOKUP($D78,#REF!,#REF!,,0,)</f>
        <v>#REF!</v>
      </c>
      <c r="AY78" s="44" t="str">
        <f>Tab_Process_TCs2527[[#This Row],[Flow_ID]]</f>
        <v>N.A.</v>
      </c>
      <c r="AZ78" s="44" t="e">
        <f t="shared" si="21"/>
        <v>#REF!</v>
      </c>
      <c r="BA78" s="170"/>
      <c r="BB78" s="10" t="e">
        <f>_xlfn.XLOOKUP($D78,#REF!,#REF!,,0,)</f>
        <v>#REF!</v>
      </c>
      <c r="BC78" s="10" t="e">
        <f>_xlfn.XLOOKUP($D78,#REF!,#REF!,,0,)</f>
        <v>#REF!</v>
      </c>
      <c r="BD78" s="44" t="str">
        <f>Tab_Process_TCs2527[[#This Row],[Flow_ID]]</f>
        <v>N.A.</v>
      </c>
      <c r="BE78" s="44" t="e">
        <f t="shared" si="22"/>
        <v>#REF!</v>
      </c>
      <c r="BF78" s="51"/>
      <c r="BG78" s="54">
        <f>Tab_Process_TCs2527[[#This Row],[TC O_6_'[%']]]+Tab_Process_TCs2527[[#This Row],[TC O_5_'[%']]]+Tab_Process_TCs2527[[#This Row],[TC_O_4_'[%']]]+Tab_Process_TCs2527[[#This Row],[TC_O_3_'[%']]]+Tab_Process_TCs2527[[#This Row],[TC_O_2_'[%']]]+Tab_Process_TCs2527[[#This Row],[TC_O_1_'[%']]]</f>
        <v>1</v>
      </c>
      <c r="BH78" s="12"/>
      <c r="BI78" s="12"/>
      <c r="BJ78" s="12"/>
      <c r="BK78" s="12"/>
      <c r="BL78" s="12"/>
    </row>
    <row r="79" spans="1:64" x14ac:dyDescent="0.25">
      <c r="A79" s="197" t="b">
        <v>0</v>
      </c>
      <c r="B79" s="10">
        <f t="shared" si="16"/>
        <v>78</v>
      </c>
      <c r="C79" s="49" t="e">
        <f>_xlfn.XLOOKUP($D79,Tab_Process_TCs[Name(EN)],Tab_Process_TCs[Process_ID],,0,)</f>
        <v>#N/A</v>
      </c>
      <c r="D79" s="192" t="s">
        <v>35</v>
      </c>
      <c r="E79" s="192" t="s">
        <v>35</v>
      </c>
      <c r="F79" s="49" t="e">
        <f>_xlfn.XLOOKUP($D79,Tab_Process_TCs[Name(EN)],Tab_Process_TCs[TC?],,0,)</f>
        <v>#N/A</v>
      </c>
      <c r="G79" s="49" t="e">
        <f>_xlfn.XLOOKUP($D79,Tab_Process_TCs[Name(EN)],Tab_Process_TCs[Dyn_TC?],,0,)</f>
        <v>#N/A</v>
      </c>
      <c r="H79" s="10" t="str">
        <f>_xlfn.XLOOKUP($E79,Tab_Def_Flows[Name(EN)],Tab_Def_Flows[Flow_ID],,0,1)</f>
        <v>N.A.</v>
      </c>
      <c r="I79" s="10" t="str">
        <f>IF(Tab_Process_TCs2527[[#This Row],[Name(EN)]]="N.A.","N.A.","TC"&amp;"_"&amp;RIGHT(H79,5))</f>
        <v>N.A.</v>
      </c>
      <c r="J79" s="12"/>
      <c r="K79" s="186"/>
      <c r="L79" s="10"/>
      <c r="M79" s="17" t="e">
        <f>_xlfn.XLOOKUP($D79,Tab_Def_Processes[Name(EN)],Tab_Def_Processes[Input_Flow_I_1],,0,)</f>
        <v>#N/A</v>
      </c>
      <c r="N79" s="10" t="e">
        <f>_xlfn.XLOOKUP($D79,Tab_Def_Processes[Name(EN)],Tab_Def_Processes[Flow_ID_I_1],,0,)</f>
        <v>#N/A</v>
      </c>
      <c r="O79" s="34"/>
      <c r="P79" s="30" t="e">
        <f>_xlfn.XLOOKUP($D79,Tab_Def_Processes[Name(EN)],Tab_Def_Processes[Input_Flow_I_2],,0,)</f>
        <v>#N/A</v>
      </c>
      <c r="Q79" s="10" t="e">
        <f>_xlfn.XLOOKUP($D79,Tab_Def_Processes[Name(EN)],Tab_Def_Processes[Flow_ID_I_2],,0,)</f>
        <v>#N/A</v>
      </c>
      <c r="R79" s="34"/>
      <c r="S79" s="30" t="e">
        <f>_xlfn.XLOOKUP($D79,Tab_Def_Processes[Name(EN)],Tab_Def_Processes[Input_Flow_I_3],,0,)</f>
        <v>#N/A</v>
      </c>
      <c r="T79" s="10" t="e">
        <f>_xlfn.XLOOKUP($D79,Tab_Def_Processes[Name(EN)],Tab_Def_Processes[Flow_ID_I_3],,0,)</f>
        <v>#N/A</v>
      </c>
      <c r="U79" s="34"/>
      <c r="V79" s="30" t="e">
        <f>_xlfn.XLOOKUP($D79,Tab_Def_Processes[Name(EN)],Tab_Def_Processes[Input_Flow_I_4],,0,)</f>
        <v>#N/A</v>
      </c>
      <c r="W79" s="10" t="e">
        <f>_xlfn.XLOOKUP($D79,Tab_Def_Processes[Name(EN)],Tab_Def_Processes[Flow_ID_I_4],,0,)</f>
        <v>#N/A</v>
      </c>
      <c r="X79" s="34"/>
      <c r="Y79" s="30" t="e">
        <f>_xlfn.XLOOKUP($D79,Tab_Def_Processes[Name(EN)],Tab_Def_Processes[Input_Flow_I_5],,0,)</f>
        <v>#N/A</v>
      </c>
      <c r="Z79" s="10" t="e">
        <f>_xlfn.XLOOKUP($D79,Tab_Def_Processes[Name(EN)],Tab_Def_Processes[Flow_ID_I_5],,0,)</f>
        <v>#N/A</v>
      </c>
      <c r="AA79" s="34"/>
      <c r="AB79" s="33">
        <f>Tab_Process_TCs2527[[#This Row],[Flow_TC_I_1_'[%']]]+Tab_Process_TCs2527[[#This Row],[Flow_TC_I_2_'[%']]]+Tab_Process_TCs2527[[#This Row],[Flow_TC_I_3_'[%']]]+Tab_Process_TCs2527[[#This Row],[Flow_TC_I_4_'[%']]]+Tab_Process_TCs2527[[#This Row],[Flow_TC_I_5_'[%']]]</f>
        <v>0</v>
      </c>
      <c r="AC79" s="17" t="e">
        <f>_xlfn.XLOOKUP($D79,#REF!,#REF!,,0,)</f>
        <v>#REF!</v>
      </c>
      <c r="AD79" s="10" t="e">
        <f>_xlfn.XLOOKUP($D79,#REF!,#REF!,,0,)</f>
        <v>#REF!</v>
      </c>
      <c r="AE79" s="44" t="str">
        <f>Tab_Process_TCs2527[[#This Row],[Flow_ID]]</f>
        <v>N.A.</v>
      </c>
      <c r="AF79" s="10" t="e">
        <f t="shared" si="17"/>
        <v>#REF!</v>
      </c>
      <c r="AG79" s="51">
        <f t="shared" si="14"/>
        <v>0.47000000000000014</v>
      </c>
      <c r="AH79" s="171" t="e">
        <f>_xlfn.XLOOKUP($D79,#REF!,#REF!,,0,)</f>
        <v>#REF!</v>
      </c>
      <c r="AI79" s="55" t="e">
        <f>_xlfn.XLOOKUP($D79,#REF!,#REF!,,0,)</f>
        <v>#REF!</v>
      </c>
      <c r="AJ79" s="44" t="str">
        <f>Tab_Process_TCs2527[[#This Row],[Flow_ID]]</f>
        <v>N.A.</v>
      </c>
      <c r="AK79" s="10" t="e">
        <f t="shared" si="18"/>
        <v>#REF!</v>
      </c>
      <c r="AL79" s="170">
        <f t="shared" si="15"/>
        <v>0.27999999999999986</v>
      </c>
      <c r="AM79" s="17" t="e">
        <f>_xlfn.XLOOKUP($D79,#REF!,#REF!,,0,)</f>
        <v>#REF!</v>
      </c>
      <c r="AN79" s="10" t="e">
        <f>_xlfn.XLOOKUP($D79,#REF!,#REF!,,0,)</f>
        <v>#REF!</v>
      </c>
      <c r="AO79" s="44" t="str">
        <f>Tab_Process_TCs2527[[#This Row],[Flow_ID]]</f>
        <v>N.A.</v>
      </c>
      <c r="AP79" s="10" t="e">
        <f t="shared" si="19"/>
        <v>#REF!</v>
      </c>
      <c r="AQ79" s="170">
        <v>0.25</v>
      </c>
      <c r="AR79" s="17" t="e">
        <f>_xlfn.XLOOKUP($D79,#REF!,#REF!,,0,)</f>
        <v>#REF!</v>
      </c>
      <c r="AS79" s="10" t="e">
        <f>_xlfn.XLOOKUP($D79,#REF!,#REF!,,0,)</f>
        <v>#REF!</v>
      </c>
      <c r="AT79" s="44" t="str">
        <f>Tab_Process_TCs2527[[#This Row],[Flow_ID]]</f>
        <v>N.A.</v>
      </c>
      <c r="AU79" s="44" t="e">
        <f t="shared" si="20"/>
        <v>#REF!</v>
      </c>
      <c r="AV79" s="170"/>
      <c r="AW79" s="17" t="e">
        <f>_xlfn.XLOOKUP($D79,#REF!,#REF!,,0,)</f>
        <v>#REF!</v>
      </c>
      <c r="AX79" s="10" t="e">
        <f>_xlfn.XLOOKUP($D79,#REF!,#REF!,,0,)</f>
        <v>#REF!</v>
      </c>
      <c r="AY79" s="44" t="str">
        <f>Tab_Process_TCs2527[[#This Row],[Flow_ID]]</f>
        <v>N.A.</v>
      </c>
      <c r="AZ79" s="44" t="e">
        <f t="shared" si="21"/>
        <v>#REF!</v>
      </c>
      <c r="BA79" s="170"/>
      <c r="BB79" s="10" t="e">
        <f>_xlfn.XLOOKUP($D79,#REF!,#REF!,,0,)</f>
        <v>#REF!</v>
      </c>
      <c r="BC79" s="10" t="e">
        <f>_xlfn.XLOOKUP($D79,#REF!,#REF!,,0,)</f>
        <v>#REF!</v>
      </c>
      <c r="BD79" s="44" t="str">
        <f>Tab_Process_TCs2527[[#This Row],[Flow_ID]]</f>
        <v>N.A.</v>
      </c>
      <c r="BE79" s="44" t="e">
        <f t="shared" si="22"/>
        <v>#REF!</v>
      </c>
      <c r="BF79" s="51"/>
      <c r="BG79" s="54">
        <f>Tab_Process_TCs2527[[#This Row],[TC O_6_'[%']]]+Tab_Process_TCs2527[[#This Row],[TC O_5_'[%']]]+Tab_Process_TCs2527[[#This Row],[TC_O_4_'[%']]]+Tab_Process_TCs2527[[#This Row],[TC_O_3_'[%']]]+Tab_Process_TCs2527[[#This Row],[TC_O_2_'[%']]]+Tab_Process_TCs2527[[#This Row],[TC_O_1_'[%']]]</f>
        <v>1</v>
      </c>
      <c r="BH79" s="12"/>
      <c r="BI79" s="12"/>
      <c r="BJ79" s="12"/>
      <c r="BK79" s="12"/>
      <c r="BL79" s="12"/>
    </row>
    <row r="80" spans="1:64" x14ac:dyDescent="0.25">
      <c r="A80" s="197" t="b">
        <v>0</v>
      </c>
      <c r="B80" s="10">
        <f t="shared" si="16"/>
        <v>79</v>
      </c>
      <c r="C80" s="49" t="e">
        <f>_xlfn.XLOOKUP($D80,Tab_Process_TCs[Name(EN)],Tab_Process_TCs[Process_ID],,0,)</f>
        <v>#N/A</v>
      </c>
      <c r="D80" s="192" t="s">
        <v>35</v>
      </c>
      <c r="E80" s="192" t="s">
        <v>35</v>
      </c>
      <c r="F80" s="49" t="e">
        <f>_xlfn.XLOOKUP($D80,Tab_Process_TCs[Name(EN)],Tab_Process_TCs[TC?],,0,)</f>
        <v>#N/A</v>
      </c>
      <c r="G80" s="49" t="e">
        <f>_xlfn.XLOOKUP($D80,Tab_Process_TCs[Name(EN)],Tab_Process_TCs[Dyn_TC?],,0,)</f>
        <v>#N/A</v>
      </c>
      <c r="H80" s="10" t="str">
        <f>_xlfn.XLOOKUP($E80,Tab_Def_Flows[Name(EN)],Tab_Def_Flows[Flow_ID],,0,1)</f>
        <v>N.A.</v>
      </c>
      <c r="I80" s="10" t="str">
        <f>IF(Tab_Process_TCs2527[[#This Row],[Name(EN)]]="N.A.","N.A.","TC"&amp;"_"&amp;RIGHT(H80,5))</f>
        <v>N.A.</v>
      </c>
      <c r="J80" s="12"/>
      <c r="K80" s="186"/>
      <c r="L80" s="10"/>
      <c r="M80" s="17" t="e">
        <f>_xlfn.XLOOKUP($D80,Tab_Def_Processes[Name(EN)],Tab_Def_Processes[Input_Flow_I_1],,0,)</f>
        <v>#N/A</v>
      </c>
      <c r="N80" s="10" t="e">
        <f>_xlfn.XLOOKUP($D80,Tab_Def_Processes[Name(EN)],Tab_Def_Processes[Flow_ID_I_1],,0,)</f>
        <v>#N/A</v>
      </c>
      <c r="O80" s="34"/>
      <c r="P80" s="30" t="e">
        <f>_xlfn.XLOOKUP($D80,Tab_Def_Processes[Name(EN)],Tab_Def_Processes[Input_Flow_I_2],,0,)</f>
        <v>#N/A</v>
      </c>
      <c r="Q80" s="10" t="e">
        <f>_xlfn.XLOOKUP($D80,Tab_Def_Processes[Name(EN)],Tab_Def_Processes[Flow_ID_I_2],,0,)</f>
        <v>#N/A</v>
      </c>
      <c r="R80" s="34"/>
      <c r="S80" s="30" t="e">
        <f>_xlfn.XLOOKUP($D80,Tab_Def_Processes[Name(EN)],Tab_Def_Processes[Input_Flow_I_3],,0,)</f>
        <v>#N/A</v>
      </c>
      <c r="T80" s="10" t="e">
        <f>_xlfn.XLOOKUP($D80,Tab_Def_Processes[Name(EN)],Tab_Def_Processes[Flow_ID_I_3],,0,)</f>
        <v>#N/A</v>
      </c>
      <c r="U80" s="34"/>
      <c r="V80" s="30" t="e">
        <f>_xlfn.XLOOKUP($D80,Tab_Def_Processes[Name(EN)],Tab_Def_Processes[Input_Flow_I_4],,0,)</f>
        <v>#N/A</v>
      </c>
      <c r="W80" s="10" t="e">
        <f>_xlfn.XLOOKUP($D80,Tab_Def_Processes[Name(EN)],Tab_Def_Processes[Flow_ID_I_4],,0,)</f>
        <v>#N/A</v>
      </c>
      <c r="X80" s="34"/>
      <c r="Y80" s="30" t="e">
        <f>_xlfn.XLOOKUP($D80,Tab_Def_Processes[Name(EN)],Tab_Def_Processes[Input_Flow_I_5],,0,)</f>
        <v>#N/A</v>
      </c>
      <c r="Z80" s="10" t="e">
        <f>_xlfn.XLOOKUP($D80,Tab_Def_Processes[Name(EN)],Tab_Def_Processes[Flow_ID_I_5],,0,)</f>
        <v>#N/A</v>
      </c>
      <c r="AA80" s="34"/>
      <c r="AB80" s="33">
        <f>Tab_Process_TCs2527[[#This Row],[Flow_TC_I_1_'[%']]]+Tab_Process_TCs2527[[#This Row],[Flow_TC_I_2_'[%']]]+Tab_Process_TCs2527[[#This Row],[Flow_TC_I_3_'[%']]]+Tab_Process_TCs2527[[#This Row],[Flow_TC_I_4_'[%']]]+Tab_Process_TCs2527[[#This Row],[Flow_TC_I_5_'[%']]]</f>
        <v>0</v>
      </c>
      <c r="AC80" s="17" t="e">
        <f>_xlfn.XLOOKUP($D80,#REF!,#REF!,,0,)</f>
        <v>#REF!</v>
      </c>
      <c r="AD80" s="10" t="e">
        <f>_xlfn.XLOOKUP($D80,#REF!,#REF!,,0,)</f>
        <v>#REF!</v>
      </c>
      <c r="AE80" s="44" t="str">
        <f>Tab_Process_TCs2527[[#This Row],[Flow_ID]]</f>
        <v>N.A.</v>
      </c>
      <c r="AF80" s="10" t="e">
        <f t="shared" si="17"/>
        <v>#REF!</v>
      </c>
      <c r="AG80" s="51">
        <f t="shared" si="14"/>
        <v>0.48000000000000015</v>
      </c>
      <c r="AH80" s="171" t="e">
        <f>_xlfn.XLOOKUP($D80,#REF!,#REF!,,0,)</f>
        <v>#REF!</v>
      </c>
      <c r="AI80" s="55" t="e">
        <f>_xlfn.XLOOKUP($D80,#REF!,#REF!,,0,)</f>
        <v>#REF!</v>
      </c>
      <c r="AJ80" s="44" t="str">
        <f>Tab_Process_TCs2527[[#This Row],[Flow_ID]]</f>
        <v>N.A.</v>
      </c>
      <c r="AK80" s="10" t="e">
        <f t="shared" si="18"/>
        <v>#REF!</v>
      </c>
      <c r="AL80" s="170">
        <f t="shared" si="15"/>
        <v>0.26999999999999985</v>
      </c>
      <c r="AM80" s="17" t="e">
        <f>_xlfn.XLOOKUP($D80,#REF!,#REF!,,0,)</f>
        <v>#REF!</v>
      </c>
      <c r="AN80" s="10" t="e">
        <f>_xlfn.XLOOKUP($D80,#REF!,#REF!,,0,)</f>
        <v>#REF!</v>
      </c>
      <c r="AO80" s="44" t="str">
        <f>Tab_Process_TCs2527[[#This Row],[Flow_ID]]</f>
        <v>N.A.</v>
      </c>
      <c r="AP80" s="10" t="e">
        <f t="shared" si="19"/>
        <v>#REF!</v>
      </c>
      <c r="AQ80" s="170">
        <v>0.25</v>
      </c>
      <c r="AR80" s="17" t="e">
        <f>_xlfn.XLOOKUP($D80,#REF!,#REF!,,0,)</f>
        <v>#REF!</v>
      </c>
      <c r="AS80" s="10" t="e">
        <f>_xlfn.XLOOKUP($D80,#REF!,#REF!,,0,)</f>
        <v>#REF!</v>
      </c>
      <c r="AT80" s="44" t="str">
        <f>Tab_Process_TCs2527[[#This Row],[Flow_ID]]</f>
        <v>N.A.</v>
      </c>
      <c r="AU80" s="44" t="e">
        <f t="shared" si="20"/>
        <v>#REF!</v>
      </c>
      <c r="AV80" s="170"/>
      <c r="AW80" s="17" t="e">
        <f>_xlfn.XLOOKUP($D80,#REF!,#REF!,,0,)</f>
        <v>#REF!</v>
      </c>
      <c r="AX80" s="10" t="e">
        <f>_xlfn.XLOOKUP($D80,#REF!,#REF!,,0,)</f>
        <v>#REF!</v>
      </c>
      <c r="AY80" s="44" t="str">
        <f>Tab_Process_TCs2527[[#This Row],[Flow_ID]]</f>
        <v>N.A.</v>
      </c>
      <c r="AZ80" s="44" t="e">
        <f t="shared" si="21"/>
        <v>#REF!</v>
      </c>
      <c r="BA80" s="170"/>
      <c r="BB80" s="10" t="e">
        <f>_xlfn.XLOOKUP($D80,#REF!,#REF!,,0,)</f>
        <v>#REF!</v>
      </c>
      <c r="BC80" s="10" t="e">
        <f>_xlfn.XLOOKUP($D80,#REF!,#REF!,,0,)</f>
        <v>#REF!</v>
      </c>
      <c r="BD80" s="44" t="str">
        <f>Tab_Process_TCs2527[[#This Row],[Flow_ID]]</f>
        <v>N.A.</v>
      </c>
      <c r="BE80" s="44" t="e">
        <f t="shared" si="22"/>
        <v>#REF!</v>
      </c>
      <c r="BF80" s="51"/>
      <c r="BG80" s="54">
        <f>Tab_Process_TCs2527[[#This Row],[TC O_6_'[%']]]+Tab_Process_TCs2527[[#This Row],[TC O_5_'[%']]]+Tab_Process_TCs2527[[#This Row],[TC_O_4_'[%']]]+Tab_Process_TCs2527[[#This Row],[TC_O_3_'[%']]]+Tab_Process_TCs2527[[#This Row],[TC_O_2_'[%']]]+Tab_Process_TCs2527[[#This Row],[TC_O_1_'[%']]]</f>
        <v>1</v>
      </c>
      <c r="BH80" s="12"/>
      <c r="BI80" s="12"/>
      <c r="BJ80" s="12"/>
      <c r="BK80" s="12"/>
      <c r="BL80" s="12"/>
    </row>
    <row r="81" spans="1:64" x14ac:dyDescent="0.25">
      <c r="A81" s="197" t="b">
        <v>0</v>
      </c>
      <c r="B81" s="10">
        <f t="shared" si="16"/>
        <v>80</v>
      </c>
      <c r="C81" s="49" t="e">
        <f>_xlfn.XLOOKUP($D81,Tab_Process_TCs[Name(EN)],Tab_Process_TCs[Process_ID],,0,)</f>
        <v>#N/A</v>
      </c>
      <c r="D81" s="192" t="s">
        <v>35</v>
      </c>
      <c r="E81" s="192" t="s">
        <v>35</v>
      </c>
      <c r="F81" s="49" t="e">
        <f>_xlfn.XLOOKUP($D81,Tab_Process_TCs[Name(EN)],Tab_Process_TCs[TC?],,0,)</f>
        <v>#N/A</v>
      </c>
      <c r="G81" s="49" t="e">
        <f>_xlfn.XLOOKUP($D81,Tab_Process_TCs[Name(EN)],Tab_Process_TCs[Dyn_TC?],,0,)</f>
        <v>#N/A</v>
      </c>
      <c r="H81" s="10" t="str">
        <f>_xlfn.XLOOKUP($E81,Tab_Def_Flows[Name(EN)],Tab_Def_Flows[Flow_ID],,0,1)</f>
        <v>N.A.</v>
      </c>
      <c r="I81" s="10" t="str">
        <f>IF(Tab_Process_TCs2527[[#This Row],[Name(EN)]]="N.A.","N.A.","TC"&amp;"_"&amp;RIGHT(H81,5))</f>
        <v>N.A.</v>
      </c>
      <c r="J81" s="12"/>
      <c r="K81" s="186"/>
      <c r="L81" s="10"/>
      <c r="M81" s="17" t="e">
        <f>_xlfn.XLOOKUP($D81,Tab_Def_Processes[Name(EN)],Tab_Def_Processes[Input_Flow_I_1],,0,)</f>
        <v>#N/A</v>
      </c>
      <c r="N81" s="10" t="e">
        <f>_xlfn.XLOOKUP($D81,Tab_Def_Processes[Name(EN)],Tab_Def_Processes[Flow_ID_I_1],,0,)</f>
        <v>#N/A</v>
      </c>
      <c r="O81" s="34"/>
      <c r="P81" s="30" t="e">
        <f>_xlfn.XLOOKUP($D81,Tab_Def_Processes[Name(EN)],Tab_Def_Processes[Input_Flow_I_2],,0,)</f>
        <v>#N/A</v>
      </c>
      <c r="Q81" s="10" t="e">
        <f>_xlfn.XLOOKUP($D81,Tab_Def_Processes[Name(EN)],Tab_Def_Processes[Flow_ID_I_2],,0,)</f>
        <v>#N/A</v>
      </c>
      <c r="R81" s="34"/>
      <c r="S81" s="30" t="e">
        <f>_xlfn.XLOOKUP($D81,Tab_Def_Processes[Name(EN)],Tab_Def_Processes[Input_Flow_I_3],,0,)</f>
        <v>#N/A</v>
      </c>
      <c r="T81" s="10" t="e">
        <f>_xlfn.XLOOKUP($D81,Tab_Def_Processes[Name(EN)],Tab_Def_Processes[Flow_ID_I_3],,0,)</f>
        <v>#N/A</v>
      </c>
      <c r="U81" s="34"/>
      <c r="V81" s="30" t="e">
        <f>_xlfn.XLOOKUP($D81,Tab_Def_Processes[Name(EN)],Tab_Def_Processes[Input_Flow_I_4],,0,)</f>
        <v>#N/A</v>
      </c>
      <c r="W81" s="10" t="e">
        <f>_xlfn.XLOOKUP($D81,Tab_Def_Processes[Name(EN)],Tab_Def_Processes[Flow_ID_I_4],,0,)</f>
        <v>#N/A</v>
      </c>
      <c r="X81" s="34"/>
      <c r="Y81" s="30" t="e">
        <f>_xlfn.XLOOKUP($D81,Tab_Def_Processes[Name(EN)],Tab_Def_Processes[Input_Flow_I_5],,0,)</f>
        <v>#N/A</v>
      </c>
      <c r="Z81" s="10" t="e">
        <f>_xlfn.XLOOKUP($D81,Tab_Def_Processes[Name(EN)],Tab_Def_Processes[Flow_ID_I_5],,0,)</f>
        <v>#N/A</v>
      </c>
      <c r="AA81" s="34"/>
      <c r="AB81" s="33">
        <f>Tab_Process_TCs2527[[#This Row],[Flow_TC_I_1_'[%']]]+Tab_Process_TCs2527[[#This Row],[Flow_TC_I_2_'[%']]]+Tab_Process_TCs2527[[#This Row],[Flow_TC_I_3_'[%']]]+Tab_Process_TCs2527[[#This Row],[Flow_TC_I_4_'[%']]]+Tab_Process_TCs2527[[#This Row],[Flow_TC_I_5_'[%']]]</f>
        <v>0</v>
      </c>
      <c r="AC81" s="17" t="e">
        <f>_xlfn.XLOOKUP($D81,#REF!,#REF!,,0,)</f>
        <v>#REF!</v>
      </c>
      <c r="AD81" s="10" t="e">
        <f>_xlfn.XLOOKUP($D81,#REF!,#REF!,,0,)</f>
        <v>#REF!</v>
      </c>
      <c r="AE81" s="44" t="str">
        <f>Tab_Process_TCs2527[[#This Row],[Flow_ID]]</f>
        <v>N.A.</v>
      </c>
      <c r="AF81" s="10" t="e">
        <f t="shared" si="17"/>
        <v>#REF!</v>
      </c>
      <c r="AG81" s="51">
        <f t="shared" si="14"/>
        <v>0.49000000000000016</v>
      </c>
      <c r="AH81" s="171" t="e">
        <f>_xlfn.XLOOKUP($D81,#REF!,#REF!,,0,)</f>
        <v>#REF!</v>
      </c>
      <c r="AI81" s="55" t="e">
        <f>_xlfn.XLOOKUP($D81,#REF!,#REF!,,0,)</f>
        <v>#REF!</v>
      </c>
      <c r="AJ81" s="44" t="str">
        <f>Tab_Process_TCs2527[[#This Row],[Flow_ID]]</f>
        <v>N.A.</v>
      </c>
      <c r="AK81" s="10" t="e">
        <f t="shared" si="18"/>
        <v>#REF!</v>
      </c>
      <c r="AL81" s="170">
        <f t="shared" si="15"/>
        <v>0.25999999999999984</v>
      </c>
      <c r="AM81" s="17" t="e">
        <f>_xlfn.XLOOKUP($D81,#REF!,#REF!,,0,)</f>
        <v>#REF!</v>
      </c>
      <c r="AN81" s="10" t="e">
        <f>_xlfn.XLOOKUP($D81,#REF!,#REF!,,0,)</f>
        <v>#REF!</v>
      </c>
      <c r="AO81" s="44" t="str">
        <f>Tab_Process_TCs2527[[#This Row],[Flow_ID]]</f>
        <v>N.A.</v>
      </c>
      <c r="AP81" s="10" t="e">
        <f t="shared" si="19"/>
        <v>#REF!</v>
      </c>
      <c r="AQ81" s="170">
        <v>0.25</v>
      </c>
      <c r="AR81" s="17" t="e">
        <f>_xlfn.XLOOKUP($D81,#REF!,#REF!,,0,)</f>
        <v>#REF!</v>
      </c>
      <c r="AS81" s="10" t="e">
        <f>_xlfn.XLOOKUP($D81,#REF!,#REF!,,0,)</f>
        <v>#REF!</v>
      </c>
      <c r="AT81" s="44" t="str">
        <f>Tab_Process_TCs2527[[#This Row],[Flow_ID]]</f>
        <v>N.A.</v>
      </c>
      <c r="AU81" s="44" t="e">
        <f t="shared" si="20"/>
        <v>#REF!</v>
      </c>
      <c r="AV81" s="170"/>
      <c r="AW81" s="17" t="e">
        <f>_xlfn.XLOOKUP($D81,#REF!,#REF!,,0,)</f>
        <v>#REF!</v>
      </c>
      <c r="AX81" s="10" t="e">
        <f>_xlfn.XLOOKUP($D81,#REF!,#REF!,,0,)</f>
        <v>#REF!</v>
      </c>
      <c r="AY81" s="44" t="str">
        <f>Tab_Process_TCs2527[[#This Row],[Flow_ID]]</f>
        <v>N.A.</v>
      </c>
      <c r="AZ81" s="44" t="e">
        <f t="shared" si="21"/>
        <v>#REF!</v>
      </c>
      <c r="BA81" s="170"/>
      <c r="BB81" s="10" t="e">
        <f>_xlfn.XLOOKUP($D81,#REF!,#REF!,,0,)</f>
        <v>#REF!</v>
      </c>
      <c r="BC81" s="10" t="e">
        <f>_xlfn.XLOOKUP($D81,#REF!,#REF!,,0,)</f>
        <v>#REF!</v>
      </c>
      <c r="BD81" s="44" t="str">
        <f>Tab_Process_TCs2527[[#This Row],[Flow_ID]]</f>
        <v>N.A.</v>
      </c>
      <c r="BE81" s="44" t="e">
        <f t="shared" si="22"/>
        <v>#REF!</v>
      </c>
      <c r="BF81" s="51"/>
      <c r="BG81" s="54">
        <f>Tab_Process_TCs2527[[#This Row],[TC O_6_'[%']]]+Tab_Process_TCs2527[[#This Row],[TC O_5_'[%']]]+Tab_Process_TCs2527[[#This Row],[TC_O_4_'[%']]]+Tab_Process_TCs2527[[#This Row],[TC_O_3_'[%']]]+Tab_Process_TCs2527[[#This Row],[TC_O_2_'[%']]]+Tab_Process_TCs2527[[#This Row],[TC_O_1_'[%']]]</f>
        <v>1</v>
      </c>
      <c r="BH81" s="12"/>
      <c r="BI81" s="12"/>
      <c r="BJ81" s="12"/>
      <c r="BK81" s="12"/>
      <c r="BL81" s="12"/>
    </row>
    <row r="82" spans="1:64" x14ac:dyDescent="0.25">
      <c r="A82" s="197" t="b">
        <v>0</v>
      </c>
      <c r="B82" s="10">
        <f t="shared" si="16"/>
        <v>81</v>
      </c>
      <c r="C82" s="49" t="e">
        <f>_xlfn.XLOOKUP($D82,Tab_Process_TCs[Name(EN)],Tab_Process_TCs[Process_ID],,0,)</f>
        <v>#N/A</v>
      </c>
      <c r="D82" s="192" t="s">
        <v>35</v>
      </c>
      <c r="E82" s="192" t="s">
        <v>35</v>
      </c>
      <c r="F82" s="49" t="e">
        <f>_xlfn.XLOOKUP($D82,Tab_Process_TCs[Name(EN)],Tab_Process_TCs[TC?],,0,)</f>
        <v>#N/A</v>
      </c>
      <c r="G82" s="49" t="e">
        <f>_xlfn.XLOOKUP($D82,Tab_Process_TCs[Name(EN)],Tab_Process_TCs[Dyn_TC?],,0,)</f>
        <v>#N/A</v>
      </c>
      <c r="H82" s="10" t="str">
        <f>_xlfn.XLOOKUP($E82,Tab_Def_Flows[Name(EN)],Tab_Def_Flows[Flow_ID],,0,1)</f>
        <v>N.A.</v>
      </c>
      <c r="I82" s="10" t="str">
        <f>IF(Tab_Process_TCs2527[[#This Row],[Name(EN)]]="N.A.","N.A.","TC"&amp;"_"&amp;RIGHT(H82,5))</f>
        <v>N.A.</v>
      </c>
      <c r="J82" s="12"/>
      <c r="K82" s="186"/>
      <c r="L82" s="10"/>
      <c r="M82" s="17" t="e">
        <f>_xlfn.XLOOKUP($D82,Tab_Def_Processes[Name(EN)],Tab_Def_Processes[Input_Flow_I_1],,0,)</f>
        <v>#N/A</v>
      </c>
      <c r="N82" s="10" t="e">
        <f>_xlfn.XLOOKUP($D82,Tab_Def_Processes[Name(EN)],Tab_Def_Processes[Flow_ID_I_1],,0,)</f>
        <v>#N/A</v>
      </c>
      <c r="O82" s="34"/>
      <c r="P82" s="30" t="e">
        <f>_xlfn.XLOOKUP($D82,Tab_Def_Processes[Name(EN)],Tab_Def_Processes[Input_Flow_I_2],,0,)</f>
        <v>#N/A</v>
      </c>
      <c r="Q82" s="10" t="e">
        <f>_xlfn.XLOOKUP($D82,Tab_Def_Processes[Name(EN)],Tab_Def_Processes[Flow_ID_I_2],,0,)</f>
        <v>#N/A</v>
      </c>
      <c r="R82" s="34"/>
      <c r="S82" s="30" t="e">
        <f>_xlfn.XLOOKUP($D82,Tab_Def_Processes[Name(EN)],Tab_Def_Processes[Input_Flow_I_3],,0,)</f>
        <v>#N/A</v>
      </c>
      <c r="T82" s="10" t="e">
        <f>_xlfn.XLOOKUP($D82,Tab_Def_Processes[Name(EN)],Tab_Def_Processes[Flow_ID_I_3],,0,)</f>
        <v>#N/A</v>
      </c>
      <c r="U82" s="34"/>
      <c r="V82" s="30" t="e">
        <f>_xlfn.XLOOKUP($D82,Tab_Def_Processes[Name(EN)],Tab_Def_Processes[Input_Flow_I_4],,0,)</f>
        <v>#N/A</v>
      </c>
      <c r="W82" s="10" t="e">
        <f>_xlfn.XLOOKUP($D82,Tab_Def_Processes[Name(EN)],Tab_Def_Processes[Flow_ID_I_4],,0,)</f>
        <v>#N/A</v>
      </c>
      <c r="X82" s="34"/>
      <c r="Y82" s="30" t="e">
        <f>_xlfn.XLOOKUP($D82,Tab_Def_Processes[Name(EN)],Tab_Def_Processes[Input_Flow_I_5],,0,)</f>
        <v>#N/A</v>
      </c>
      <c r="Z82" s="10" t="e">
        <f>_xlfn.XLOOKUP($D82,Tab_Def_Processes[Name(EN)],Tab_Def_Processes[Flow_ID_I_5],,0,)</f>
        <v>#N/A</v>
      </c>
      <c r="AA82" s="34"/>
      <c r="AB82" s="33">
        <f>Tab_Process_TCs2527[[#This Row],[Flow_TC_I_1_'[%']]]+Tab_Process_TCs2527[[#This Row],[Flow_TC_I_2_'[%']]]+Tab_Process_TCs2527[[#This Row],[Flow_TC_I_3_'[%']]]+Tab_Process_TCs2527[[#This Row],[Flow_TC_I_4_'[%']]]+Tab_Process_TCs2527[[#This Row],[Flow_TC_I_5_'[%']]]</f>
        <v>0</v>
      </c>
      <c r="AC82" s="17" t="e">
        <f>_xlfn.XLOOKUP($D82,#REF!,#REF!,,0,)</f>
        <v>#REF!</v>
      </c>
      <c r="AD82" s="10" t="e">
        <f>_xlfn.XLOOKUP($D82,#REF!,#REF!,,0,)</f>
        <v>#REF!</v>
      </c>
      <c r="AE82" s="44" t="str">
        <f>Tab_Process_TCs2527[[#This Row],[Flow_ID]]</f>
        <v>N.A.</v>
      </c>
      <c r="AF82" s="10" t="e">
        <f t="shared" si="17"/>
        <v>#REF!</v>
      </c>
      <c r="AG82" s="51">
        <f t="shared" si="14"/>
        <v>0.50000000000000011</v>
      </c>
      <c r="AH82" s="171" t="e">
        <f>_xlfn.XLOOKUP($D82,#REF!,#REF!,,0,)</f>
        <v>#REF!</v>
      </c>
      <c r="AI82" s="55" t="e">
        <f>_xlfn.XLOOKUP($D82,#REF!,#REF!,,0,)</f>
        <v>#REF!</v>
      </c>
      <c r="AJ82" s="44" t="str">
        <f>Tab_Process_TCs2527[[#This Row],[Flow_ID]]</f>
        <v>N.A.</v>
      </c>
      <c r="AK82" s="10" t="e">
        <f t="shared" si="18"/>
        <v>#REF!</v>
      </c>
      <c r="AL82" s="170">
        <f t="shared" si="15"/>
        <v>0.24999999999999983</v>
      </c>
      <c r="AM82" s="17" t="e">
        <f>_xlfn.XLOOKUP($D82,#REF!,#REF!,,0,)</f>
        <v>#REF!</v>
      </c>
      <c r="AN82" s="10" t="e">
        <f>_xlfn.XLOOKUP($D82,#REF!,#REF!,,0,)</f>
        <v>#REF!</v>
      </c>
      <c r="AO82" s="44" t="str">
        <f>Tab_Process_TCs2527[[#This Row],[Flow_ID]]</f>
        <v>N.A.</v>
      </c>
      <c r="AP82" s="10" t="e">
        <f t="shared" si="19"/>
        <v>#REF!</v>
      </c>
      <c r="AQ82" s="170">
        <v>0.25</v>
      </c>
      <c r="AR82" s="17" t="e">
        <f>_xlfn.XLOOKUP($D82,#REF!,#REF!,,0,)</f>
        <v>#REF!</v>
      </c>
      <c r="AS82" s="10" t="e">
        <f>_xlfn.XLOOKUP($D82,#REF!,#REF!,,0,)</f>
        <v>#REF!</v>
      </c>
      <c r="AT82" s="44" t="str">
        <f>Tab_Process_TCs2527[[#This Row],[Flow_ID]]</f>
        <v>N.A.</v>
      </c>
      <c r="AU82" s="44" t="e">
        <f t="shared" si="20"/>
        <v>#REF!</v>
      </c>
      <c r="AV82" s="170"/>
      <c r="AW82" s="17" t="e">
        <f>_xlfn.XLOOKUP($D82,#REF!,#REF!,,0,)</f>
        <v>#REF!</v>
      </c>
      <c r="AX82" s="10" t="e">
        <f>_xlfn.XLOOKUP($D82,#REF!,#REF!,,0,)</f>
        <v>#REF!</v>
      </c>
      <c r="AY82" s="44" t="str">
        <f>Tab_Process_TCs2527[[#This Row],[Flow_ID]]</f>
        <v>N.A.</v>
      </c>
      <c r="AZ82" s="44" t="e">
        <f t="shared" si="21"/>
        <v>#REF!</v>
      </c>
      <c r="BA82" s="170"/>
      <c r="BB82" s="10" t="e">
        <f>_xlfn.XLOOKUP($D82,#REF!,#REF!,,0,)</f>
        <v>#REF!</v>
      </c>
      <c r="BC82" s="10" t="e">
        <f>_xlfn.XLOOKUP($D82,#REF!,#REF!,,0,)</f>
        <v>#REF!</v>
      </c>
      <c r="BD82" s="44" t="str">
        <f>Tab_Process_TCs2527[[#This Row],[Flow_ID]]</f>
        <v>N.A.</v>
      </c>
      <c r="BE82" s="44" t="e">
        <f t="shared" si="22"/>
        <v>#REF!</v>
      </c>
      <c r="BF82" s="51"/>
      <c r="BG82" s="54">
        <f>Tab_Process_TCs2527[[#This Row],[TC O_6_'[%']]]+Tab_Process_TCs2527[[#This Row],[TC O_5_'[%']]]+Tab_Process_TCs2527[[#This Row],[TC_O_4_'[%']]]+Tab_Process_TCs2527[[#This Row],[TC_O_3_'[%']]]+Tab_Process_TCs2527[[#This Row],[TC_O_2_'[%']]]+Tab_Process_TCs2527[[#This Row],[TC_O_1_'[%']]]</f>
        <v>1</v>
      </c>
      <c r="BH82" s="12"/>
      <c r="BI82" s="12"/>
      <c r="BJ82" s="12"/>
      <c r="BK82" s="12"/>
      <c r="BL82" s="12"/>
    </row>
    <row r="83" spans="1:64" x14ac:dyDescent="0.25">
      <c r="A83" s="197" t="b">
        <v>0</v>
      </c>
      <c r="B83" s="10">
        <f t="shared" si="16"/>
        <v>82</v>
      </c>
      <c r="C83" s="49" t="e">
        <f>_xlfn.XLOOKUP($D83,Tab_Process_TCs[Name(EN)],Tab_Process_TCs[Process_ID],,0,)</f>
        <v>#N/A</v>
      </c>
      <c r="D83" s="192" t="s">
        <v>35</v>
      </c>
      <c r="E83" s="192" t="s">
        <v>35</v>
      </c>
      <c r="F83" s="49" t="e">
        <f>_xlfn.XLOOKUP($D83,Tab_Process_TCs[Name(EN)],Tab_Process_TCs[TC?],,0,)</f>
        <v>#N/A</v>
      </c>
      <c r="G83" s="49" t="e">
        <f>_xlfn.XLOOKUP($D83,Tab_Process_TCs[Name(EN)],Tab_Process_TCs[Dyn_TC?],,0,)</f>
        <v>#N/A</v>
      </c>
      <c r="H83" s="10" t="str">
        <f>_xlfn.XLOOKUP($E83,Tab_Def_Flows[Name(EN)],Tab_Def_Flows[Flow_ID],,0,1)</f>
        <v>N.A.</v>
      </c>
      <c r="I83" s="10" t="str">
        <f>IF(Tab_Process_TCs2527[[#This Row],[Name(EN)]]="N.A.","N.A.","TC"&amp;"_"&amp;RIGHT(H83,5))</f>
        <v>N.A.</v>
      </c>
      <c r="J83" s="12"/>
      <c r="K83" s="186"/>
      <c r="L83" s="10"/>
      <c r="M83" s="17" t="e">
        <f>_xlfn.XLOOKUP($D83,Tab_Def_Processes[Name(EN)],Tab_Def_Processes[Input_Flow_I_1],,0,)</f>
        <v>#N/A</v>
      </c>
      <c r="N83" s="10" t="e">
        <f>_xlfn.XLOOKUP($D83,Tab_Def_Processes[Name(EN)],Tab_Def_Processes[Flow_ID_I_1],,0,)</f>
        <v>#N/A</v>
      </c>
      <c r="O83" s="34"/>
      <c r="P83" s="30" t="e">
        <f>_xlfn.XLOOKUP($D83,Tab_Def_Processes[Name(EN)],Tab_Def_Processes[Input_Flow_I_2],,0,)</f>
        <v>#N/A</v>
      </c>
      <c r="Q83" s="10" t="e">
        <f>_xlfn.XLOOKUP($D83,Tab_Def_Processes[Name(EN)],Tab_Def_Processes[Flow_ID_I_2],,0,)</f>
        <v>#N/A</v>
      </c>
      <c r="R83" s="34"/>
      <c r="S83" s="30" t="e">
        <f>_xlfn.XLOOKUP($D83,Tab_Def_Processes[Name(EN)],Tab_Def_Processes[Input_Flow_I_3],,0,)</f>
        <v>#N/A</v>
      </c>
      <c r="T83" s="10" t="e">
        <f>_xlfn.XLOOKUP($D83,Tab_Def_Processes[Name(EN)],Tab_Def_Processes[Flow_ID_I_3],,0,)</f>
        <v>#N/A</v>
      </c>
      <c r="U83" s="34"/>
      <c r="V83" s="30" t="e">
        <f>_xlfn.XLOOKUP($D83,Tab_Def_Processes[Name(EN)],Tab_Def_Processes[Input_Flow_I_4],,0,)</f>
        <v>#N/A</v>
      </c>
      <c r="W83" s="10" t="e">
        <f>_xlfn.XLOOKUP($D83,Tab_Def_Processes[Name(EN)],Tab_Def_Processes[Flow_ID_I_4],,0,)</f>
        <v>#N/A</v>
      </c>
      <c r="X83" s="34"/>
      <c r="Y83" s="30" t="e">
        <f>_xlfn.XLOOKUP($D83,Tab_Def_Processes[Name(EN)],Tab_Def_Processes[Input_Flow_I_5],,0,)</f>
        <v>#N/A</v>
      </c>
      <c r="Z83" s="10" t="e">
        <f>_xlfn.XLOOKUP($D83,Tab_Def_Processes[Name(EN)],Tab_Def_Processes[Flow_ID_I_5],,0,)</f>
        <v>#N/A</v>
      </c>
      <c r="AA83" s="34"/>
      <c r="AB83" s="33">
        <f>Tab_Process_TCs2527[[#This Row],[Flow_TC_I_1_'[%']]]+Tab_Process_TCs2527[[#This Row],[Flow_TC_I_2_'[%']]]+Tab_Process_TCs2527[[#This Row],[Flow_TC_I_3_'[%']]]+Tab_Process_TCs2527[[#This Row],[Flow_TC_I_4_'[%']]]+Tab_Process_TCs2527[[#This Row],[Flow_TC_I_5_'[%']]]</f>
        <v>0</v>
      </c>
      <c r="AC83" s="17" t="e">
        <f>_xlfn.XLOOKUP($D83,#REF!,#REF!,,0,)</f>
        <v>#REF!</v>
      </c>
      <c r="AD83" s="10" t="e">
        <f>_xlfn.XLOOKUP($D83,#REF!,#REF!,,0,)</f>
        <v>#REF!</v>
      </c>
      <c r="AE83" s="44" t="str">
        <f>Tab_Process_TCs2527[[#This Row],[Flow_ID]]</f>
        <v>N.A.</v>
      </c>
      <c r="AF83" s="10" t="e">
        <f t="shared" si="17"/>
        <v>#REF!</v>
      </c>
      <c r="AG83" s="51">
        <f t="shared" si="14"/>
        <v>0.51000000000000012</v>
      </c>
      <c r="AH83" s="171" t="e">
        <f>_xlfn.XLOOKUP($D83,#REF!,#REF!,,0,)</f>
        <v>#REF!</v>
      </c>
      <c r="AI83" s="55" t="e">
        <f>_xlfn.XLOOKUP($D83,#REF!,#REF!,,0,)</f>
        <v>#REF!</v>
      </c>
      <c r="AJ83" s="44" t="str">
        <f>Tab_Process_TCs2527[[#This Row],[Flow_ID]]</f>
        <v>N.A.</v>
      </c>
      <c r="AK83" s="10" t="e">
        <f t="shared" si="18"/>
        <v>#REF!</v>
      </c>
      <c r="AL83" s="170">
        <f t="shared" si="15"/>
        <v>0.23999999999999982</v>
      </c>
      <c r="AM83" s="17" t="e">
        <f>_xlfn.XLOOKUP($D83,#REF!,#REF!,,0,)</f>
        <v>#REF!</v>
      </c>
      <c r="AN83" s="10" t="e">
        <f>_xlfn.XLOOKUP($D83,#REF!,#REF!,,0,)</f>
        <v>#REF!</v>
      </c>
      <c r="AO83" s="44" t="str">
        <f>Tab_Process_TCs2527[[#This Row],[Flow_ID]]</f>
        <v>N.A.</v>
      </c>
      <c r="AP83" s="10" t="e">
        <f t="shared" si="19"/>
        <v>#REF!</v>
      </c>
      <c r="AQ83" s="170">
        <v>0.25</v>
      </c>
      <c r="AR83" s="17" t="e">
        <f>_xlfn.XLOOKUP($D83,#REF!,#REF!,,0,)</f>
        <v>#REF!</v>
      </c>
      <c r="AS83" s="10" t="e">
        <f>_xlfn.XLOOKUP($D83,#REF!,#REF!,,0,)</f>
        <v>#REF!</v>
      </c>
      <c r="AT83" s="44" t="str">
        <f>Tab_Process_TCs2527[[#This Row],[Flow_ID]]</f>
        <v>N.A.</v>
      </c>
      <c r="AU83" s="44" t="e">
        <f t="shared" si="20"/>
        <v>#REF!</v>
      </c>
      <c r="AV83" s="170"/>
      <c r="AW83" s="17" t="e">
        <f>_xlfn.XLOOKUP($D83,#REF!,#REF!,,0,)</f>
        <v>#REF!</v>
      </c>
      <c r="AX83" s="10" t="e">
        <f>_xlfn.XLOOKUP($D83,#REF!,#REF!,,0,)</f>
        <v>#REF!</v>
      </c>
      <c r="AY83" s="44" t="str">
        <f>Tab_Process_TCs2527[[#This Row],[Flow_ID]]</f>
        <v>N.A.</v>
      </c>
      <c r="AZ83" s="44" t="e">
        <f t="shared" si="21"/>
        <v>#REF!</v>
      </c>
      <c r="BA83" s="170"/>
      <c r="BB83" s="10" t="e">
        <f>_xlfn.XLOOKUP($D83,#REF!,#REF!,,0,)</f>
        <v>#REF!</v>
      </c>
      <c r="BC83" s="10" t="e">
        <f>_xlfn.XLOOKUP($D83,#REF!,#REF!,,0,)</f>
        <v>#REF!</v>
      </c>
      <c r="BD83" s="44" t="str">
        <f>Tab_Process_TCs2527[[#This Row],[Flow_ID]]</f>
        <v>N.A.</v>
      </c>
      <c r="BE83" s="44" t="e">
        <f t="shared" si="22"/>
        <v>#REF!</v>
      </c>
      <c r="BF83" s="51"/>
      <c r="BG83" s="54">
        <f>Tab_Process_TCs2527[[#This Row],[TC O_6_'[%']]]+Tab_Process_TCs2527[[#This Row],[TC O_5_'[%']]]+Tab_Process_TCs2527[[#This Row],[TC_O_4_'[%']]]+Tab_Process_TCs2527[[#This Row],[TC_O_3_'[%']]]+Tab_Process_TCs2527[[#This Row],[TC_O_2_'[%']]]+Tab_Process_TCs2527[[#This Row],[TC_O_1_'[%']]]</f>
        <v>1</v>
      </c>
      <c r="BH83" s="12"/>
      <c r="BI83" s="12"/>
      <c r="BJ83" s="12"/>
      <c r="BK83" s="12"/>
      <c r="BL83" s="12"/>
    </row>
    <row r="84" spans="1:64" x14ac:dyDescent="0.25">
      <c r="A84" s="197" t="b">
        <v>0</v>
      </c>
      <c r="B84" s="10">
        <f t="shared" si="16"/>
        <v>83</v>
      </c>
      <c r="C84" s="49" t="e">
        <f>_xlfn.XLOOKUP($D84,Tab_Process_TCs[Name(EN)],Tab_Process_TCs[Process_ID],,0,)</f>
        <v>#N/A</v>
      </c>
      <c r="D84" s="192" t="s">
        <v>35</v>
      </c>
      <c r="E84" s="192" t="s">
        <v>35</v>
      </c>
      <c r="F84" s="49" t="e">
        <f>_xlfn.XLOOKUP($D84,Tab_Process_TCs[Name(EN)],Tab_Process_TCs[TC?],,0,)</f>
        <v>#N/A</v>
      </c>
      <c r="G84" s="49" t="e">
        <f>_xlfn.XLOOKUP($D84,Tab_Process_TCs[Name(EN)],Tab_Process_TCs[Dyn_TC?],,0,)</f>
        <v>#N/A</v>
      </c>
      <c r="H84" s="10" t="str">
        <f>_xlfn.XLOOKUP($E84,Tab_Def_Flows[Name(EN)],Tab_Def_Flows[Flow_ID],,0,1)</f>
        <v>N.A.</v>
      </c>
      <c r="I84" s="10" t="str">
        <f>IF(Tab_Process_TCs2527[[#This Row],[Name(EN)]]="N.A.","N.A.","TC"&amp;"_"&amp;RIGHT(H84,5))</f>
        <v>N.A.</v>
      </c>
      <c r="J84" s="12"/>
      <c r="K84" s="186"/>
      <c r="L84" s="10"/>
      <c r="M84" s="17" t="e">
        <f>_xlfn.XLOOKUP($D84,Tab_Def_Processes[Name(EN)],Tab_Def_Processes[Input_Flow_I_1],,0,)</f>
        <v>#N/A</v>
      </c>
      <c r="N84" s="10" t="e">
        <f>_xlfn.XLOOKUP($D84,Tab_Def_Processes[Name(EN)],Tab_Def_Processes[Flow_ID_I_1],,0,)</f>
        <v>#N/A</v>
      </c>
      <c r="O84" s="34"/>
      <c r="P84" s="30" t="e">
        <f>_xlfn.XLOOKUP($D84,Tab_Def_Processes[Name(EN)],Tab_Def_Processes[Input_Flow_I_2],,0,)</f>
        <v>#N/A</v>
      </c>
      <c r="Q84" s="10" t="e">
        <f>_xlfn.XLOOKUP($D84,Tab_Def_Processes[Name(EN)],Tab_Def_Processes[Flow_ID_I_2],,0,)</f>
        <v>#N/A</v>
      </c>
      <c r="R84" s="34"/>
      <c r="S84" s="30" t="e">
        <f>_xlfn.XLOOKUP($D84,Tab_Def_Processes[Name(EN)],Tab_Def_Processes[Input_Flow_I_3],,0,)</f>
        <v>#N/A</v>
      </c>
      <c r="T84" s="10" t="e">
        <f>_xlfn.XLOOKUP($D84,Tab_Def_Processes[Name(EN)],Tab_Def_Processes[Flow_ID_I_3],,0,)</f>
        <v>#N/A</v>
      </c>
      <c r="U84" s="34"/>
      <c r="V84" s="30" t="e">
        <f>_xlfn.XLOOKUP($D84,Tab_Def_Processes[Name(EN)],Tab_Def_Processes[Input_Flow_I_4],,0,)</f>
        <v>#N/A</v>
      </c>
      <c r="W84" s="10" t="e">
        <f>_xlfn.XLOOKUP($D84,Tab_Def_Processes[Name(EN)],Tab_Def_Processes[Flow_ID_I_4],,0,)</f>
        <v>#N/A</v>
      </c>
      <c r="X84" s="34"/>
      <c r="Y84" s="30" t="e">
        <f>_xlfn.XLOOKUP($D84,Tab_Def_Processes[Name(EN)],Tab_Def_Processes[Input_Flow_I_5],,0,)</f>
        <v>#N/A</v>
      </c>
      <c r="Z84" s="10" t="e">
        <f>_xlfn.XLOOKUP($D84,Tab_Def_Processes[Name(EN)],Tab_Def_Processes[Flow_ID_I_5],,0,)</f>
        <v>#N/A</v>
      </c>
      <c r="AA84" s="34"/>
      <c r="AB84" s="33">
        <f>Tab_Process_TCs2527[[#This Row],[Flow_TC_I_1_'[%']]]+Tab_Process_TCs2527[[#This Row],[Flow_TC_I_2_'[%']]]+Tab_Process_TCs2527[[#This Row],[Flow_TC_I_3_'[%']]]+Tab_Process_TCs2527[[#This Row],[Flow_TC_I_4_'[%']]]+Tab_Process_TCs2527[[#This Row],[Flow_TC_I_5_'[%']]]</f>
        <v>0</v>
      </c>
      <c r="AC84" s="17" t="e">
        <f>_xlfn.XLOOKUP($D84,#REF!,#REF!,,0,)</f>
        <v>#REF!</v>
      </c>
      <c r="AD84" s="10" t="e">
        <f>_xlfn.XLOOKUP($D84,#REF!,#REF!,,0,)</f>
        <v>#REF!</v>
      </c>
      <c r="AE84" s="44" t="str">
        <f>Tab_Process_TCs2527[[#This Row],[Flow_ID]]</f>
        <v>N.A.</v>
      </c>
      <c r="AF84" s="10" t="e">
        <f t="shared" si="17"/>
        <v>#REF!</v>
      </c>
      <c r="AG84" s="51">
        <f t="shared" si="14"/>
        <v>0.52000000000000013</v>
      </c>
      <c r="AH84" s="171" t="e">
        <f>_xlfn.XLOOKUP($D84,#REF!,#REF!,,0,)</f>
        <v>#REF!</v>
      </c>
      <c r="AI84" s="55" t="e">
        <f>_xlfn.XLOOKUP($D84,#REF!,#REF!,,0,)</f>
        <v>#REF!</v>
      </c>
      <c r="AJ84" s="44" t="str">
        <f>Tab_Process_TCs2527[[#This Row],[Flow_ID]]</f>
        <v>N.A.</v>
      </c>
      <c r="AK84" s="10" t="e">
        <f t="shared" si="18"/>
        <v>#REF!</v>
      </c>
      <c r="AL84" s="170">
        <f t="shared" si="15"/>
        <v>0.22999999999999982</v>
      </c>
      <c r="AM84" s="17" t="e">
        <f>_xlfn.XLOOKUP($D84,#REF!,#REF!,,0,)</f>
        <v>#REF!</v>
      </c>
      <c r="AN84" s="10" t="e">
        <f>_xlfn.XLOOKUP($D84,#REF!,#REF!,,0,)</f>
        <v>#REF!</v>
      </c>
      <c r="AO84" s="44" t="str">
        <f>Tab_Process_TCs2527[[#This Row],[Flow_ID]]</f>
        <v>N.A.</v>
      </c>
      <c r="AP84" s="10" t="e">
        <f t="shared" si="19"/>
        <v>#REF!</v>
      </c>
      <c r="AQ84" s="170">
        <v>0.25</v>
      </c>
      <c r="AR84" s="17" t="e">
        <f>_xlfn.XLOOKUP($D84,#REF!,#REF!,,0,)</f>
        <v>#REF!</v>
      </c>
      <c r="AS84" s="10" t="e">
        <f>_xlfn.XLOOKUP($D84,#REF!,#REF!,,0,)</f>
        <v>#REF!</v>
      </c>
      <c r="AT84" s="44" t="str">
        <f>Tab_Process_TCs2527[[#This Row],[Flow_ID]]</f>
        <v>N.A.</v>
      </c>
      <c r="AU84" s="44" t="e">
        <f t="shared" si="20"/>
        <v>#REF!</v>
      </c>
      <c r="AV84" s="170"/>
      <c r="AW84" s="17" t="e">
        <f>_xlfn.XLOOKUP($D84,#REF!,#REF!,,0,)</f>
        <v>#REF!</v>
      </c>
      <c r="AX84" s="10" t="e">
        <f>_xlfn.XLOOKUP($D84,#REF!,#REF!,,0,)</f>
        <v>#REF!</v>
      </c>
      <c r="AY84" s="44" t="str">
        <f>Tab_Process_TCs2527[[#This Row],[Flow_ID]]</f>
        <v>N.A.</v>
      </c>
      <c r="AZ84" s="44" t="e">
        <f t="shared" si="21"/>
        <v>#REF!</v>
      </c>
      <c r="BA84" s="170"/>
      <c r="BB84" s="10" t="e">
        <f>_xlfn.XLOOKUP($D84,#REF!,#REF!,,0,)</f>
        <v>#REF!</v>
      </c>
      <c r="BC84" s="10" t="e">
        <f>_xlfn.XLOOKUP($D84,#REF!,#REF!,,0,)</f>
        <v>#REF!</v>
      </c>
      <c r="BD84" s="44" t="str">
        <f>Tab_Process_TCs2527[[#This Row],[Flow_ID]]</f>
        <v>N.A.</v>
      </c>
      <c r="BE84" s="44" t="e">
        <f t="shared" si="22"/>
        <v>#REF!</v>
      </c>
      <c r="BF84" s="51"/>
      <c r="BG84" s="54">
        <f>Tab_Process_TCs2527[[#This Row],[TC O_6_'[%']]]+Tab_Process_TCs2527[[#This Row],[TC O_5_'[%']]]+Tab_Process_TCs2527[[#This Row],[TC_O_4_'[%']]]+Tab_Process_TCs2527[[#This Row],[TC_O_3_'[%']]]+Tab_Process_TCs2527[[#This Row],[TC_O_2_'[%']]]+Tab_Process_TCs2527[[#This Row],[TC_O_1_'[%']]]</f>
        <v>1</v>
      </c>
      <c r="BH84" s="12"/>
      <c r="BI84" s="12"/>
      <c r="BJ84" s="12"/>
      <c r="BK84" s="12"/>
      <c r="BL84" s="12"/>
    </row>
    <row r="85" spans="1:64" x14ac:dyDescent="0.25">
      <c r="A85" s="197" t="b">
        <v>0</v>
      </c>
      <c r="B85" s="10">
        <f t="shared" si="16"/>
        <v>84</v>
      </c>
      <c r="C85" s="49" t="e">
        <f>_xlfn.XLOOKUP($D85,Tab_Process_TCs[Name(EN)],Tab_Process_TCs[Process_ID],,0,)</f>
        <v>#N/A</v>
      </c>
      <c r="D85" s="192" t="s">
        <v>35</v>
      </c>
      <c r="E85" s="192" t="s">
        <v>35</v>
      </c>
      <c r="F85" s="49" t="e">
        <f>_xlfn.XLOOKUP($D85,Tab_Process_TCs[Name(EN)],Tab_Process_TCs[TC?],,0,)</f>
        <v>#N/A</v>
      </c>
      <c r="G85" s="49" t="e">
        <f>_xlfn.XLOOKUP($D85,Tab_Process_TCs[Name(EN)],Tab_Process_TCs[Dyn_TC?],,0,)</f>
        <v>#N/A</v>
      </c>
      <c r="H85" s="10" t="str">
        <f>_xlfn.XLOOKUP($E85,Tab_Def_Flows[Name(EN)],Tab_Def_Flows[Flow_ID],,0,1)</f>
        <v>N.A.</v>
      </c>
      <c r="I85" s="10" t="str">
        <f>IF(Tab_Process_TCs2527[[#This Row],[Name(EN)]]="N.A.","N.A.","TC"&amp;"_"&amp;RIGHT(H85,5))</f>
        <v>N.A.</v>
      </c>
      <c r="J85" s="12"/>
      <c r="K85" s="186"/>
      <c r="L85" s="10"/>
      <c r="M85" s="17" t="e">
        <f>_xlfn.XLOOKUP($D85,Tab_Def_Processes[Name(EN)],Tab_Def_Processes[Input_Flow_I_1],,0,)</f>
        <v>#N/A</v>
      </c>
      <c r="N85" s="10" t="e">
        <f>_xlfn.XLOOKUP($D85,Tab_Def_Processes[Name(EN)],Tab_Def_Processes[Flow_ID_I_1],,0,)</f>
        <v>#N/A</v>
      </c>
      <c r="O85" s="34"/>
      <c r="P85" s="30" t="e">
        <f>_xlfn.XLOOKUP($D85,Tab_Def_Processes[Name(EN)],Tab_Def_Processes[Input_Flow_I_2],,0,)</f>
        <v>#N/A</v>
      </c>
      <c r="Q85" s="10" t="e">
        <f>_xlfn.XLOOKUP($D85,Tab_Def_Processes[Name(EN)],Tab_Def_Processes[Flow_ID_I_2],,0,)</f>
        <v>#N/A</v>
      </c>
      <c r="R85" s="34"/>
      <c r="S85" s="30" t="e">
        <f>_xlfn.XLOOKUP($D85,Tab_Def_Processes[Name(EN)],Tab_Def_Processes[Input_Flow_I_3],,0,)</f>
        <v>#N/A</v>
      </c>
      <c r="T85" s="10" t="e">
        <f>_xlfn.XLOOKUP($D85,Tab_Def_Processes[Name(EN)],Tab_Def_Processes[Flow_ID_I_3],,0,)</f>
        <v>#N/A</v>
      </c>
      <c r="U85" s="34"/>
      <c r="V85" s="30" t="e">
        <f>_xlfn.XLOOKUP($D85,Tab_Def_Processes[Name(EN)],Tab_Def_Processes[Input_Flow_I_4],,0,)</f>
        <v>#N/A</v>
      </c>
      <c r="W85" s="10" t="e">
        <f>_xlfn.XLOOKUP($D85,Tab_Def_Processes[Name(EN)],Tab_Def_Processes[Flow_ID_I_4],,0,)</f>
        <v>#N/A</v>
      </c>
      <c r="X85" s="34"/>
      <c r="Y85" s="30" t="e">
        <f>_xlfn.XLOOKUP($D85,Tab_Def_Processes[Name(EN)],Tab_Def_Processes[Input_Flow_I_5],,0,)</f>
        <v>#N/A</v>
      </c>
      <c r="Z85" s="10" t="e">
        <f>_xlfn.XLOOKUP($D85,Tab_Def_Processes[Name(EN)],Tab_Def_Processes[Flow_ID_I_5],,0,)</f>
        <v>#N/A</v>
      </c>
      <c r="AA85" s="34"/>
      <c r="AB85" s="33">
        <f>Tab_Process_TCs2527[[#This Row],[Flow_TC_I_1_'[%']]]+Tab_Process_TCs2527[[#This Row],[Flow_TC_I_2_'[%']]]+Tab_Process_TCs2527[[#This Row],[Flow_TC_I_3_'[%']]]+Tab_Process_TCs2527[[#This Row],[Flow_TC_I_4_'[%']]]+Tab_Process_TCs2527[[#This Row],[Flow_TC_I_5_'[%']]]</f>
        <v>0</v>
      </c>
      <c r="AC85" s="17" t="e">
        <f>_xlfn.XLOOKUP($D85,#REF!,#REF!,,0,)</f>
        <v>#REF!</v>
      </c>
      <c r="AD85" s="10" t="e">
        <f>_xlfn.XLOOKUP($D85,#REF!,#REF!,,0,)</f>
        <v>#REF!</v>
      </c>
      <c r="AE85" s="44" t="str">
        <f>Tab_Process_TCs2527[[#This Row],[Flow_ID]]</f>
        <v>N.A.</v>
      </c>
      <c r="AF85" s="10" t="e">
        <f t="shared" si="17"/>
        <v>#REF!</v>
      </c>
      <c r="AG85" s="51">
        <f t="shared" si="14"/>
        <v>0.53000000000000014</v>
      </c>
      <c r="AH85" s="171" t="e">
        <f>_xlfn.XLOOKUP($D85,#REF!,#REF!,,0,)</f>
        <v>#REF!</v>
      </c>
      <c r="AI85" s="55" t="e">
        <f>_xlfn.XLOOKUP($D85,#REF!,#REF!,,0,)</f>
        <v>#REF!</v>
      </c>
      <c r="AJ85" s="44" t="str">
        <f>Tab_Process_TCs2527[[#This Row],[Flow_ID]]</f>
        <v>N.A.</v>
      </c>
      <c r="AK85" s="10" t="e">
        <f t="shared" si="18"/>
        <v>#REF!</v>
      </c>
      <c r="AL85" s="170">
        <f t="shared" si="15"/>
        <v>0.21999999999999981</v>
      </c>
      <c r="AM85" s="17" t="e">
        <f>_xlfn.XLOOKUP($D85,#REF!,#REF!,,0,)</f>
        <v>#REF!</v>
      </c>
      <c r="AN85" s="10" t="e">
        <f>_xlfn.XLOOKUP($D85,#REF!,#REF!,,0,)</f>
        <v>#REF!</v>
      </c>
      <c r="AO85" s="44" t="str">
        <f>Tab_Process_TCs2527[[#This Row],[Flow_ID]]</f>
        <v>N.A.</v>
      </c>
      <c r="AP85" s="10" t="e">
        <f t="shared" si="19"/>
        <v>#REF!</v>
      </c>
      <c r="AQ85" s="170">
        <v>0.25</v>
      </c>
      <c r="AR85" s="17" t="e">
        <f>_xlfn.XLOOKUP($D85,#REF!,#REF!,,0,)</f>
        <v>#REF!</v>
      </c>
      <c r="AS85" s="10" t="e">
        <f>_xlfn.XLOOKUP($D85,#REF!,#REF!,,0,)</f>
        <v>#REF!</v>
      </c>
      <c r="AT85" s="44" t="str">
        <f>Tab_Process_TCs2527[[#This Row],[Flow_ID]]</f>
        <v>N.A.</v>
      </c>
      <c r="AU85" s="44" t="e">
        <f t="shared" si="20"/>
        <v>#REF!</v>
      </c>
      <c r="AV85" s="170"/>
      <c r="AW85" s="17" t="e">
        <f>_xlfn.XLOOKUP($D85,#REF!,#REF!,,0,)</f>
        <v>#REF!</v>
      </c>
      <c r="AX85" s="10" t="e">
        <f>_xlfn.XLOOKUP($D85,#REF!,#REF!,,0,)</f>
        <v>#REF!</v>
      </c>
      <c r="AY85" s="44" t="str">
        <f>Tab_Process_TCs2527[[#This Row],[Flow_ID]]</f>
        <v>N.A.</v>
      </c>
      <c r="AZ85" s="44" t="e">
        <f t="shared" si="21"/>
        <v>#REF!</v>
      </c>
      <c r="BA85" s="170"/>
      <c r="BB85" s="10" t="e">
        <f>_xlfn.XLOOKUP($D85,#REF!,#REF!,,0,)</f>
        <v>#REF!</v>
      </c>
      <c r="BC85" s="10" t="e">
        <f>_xlfn.XLOOKUP($D85,#REF!,#REF!,,0,)</f>
        <v>#REF!</v>
      </c>
      <c r="BD85" s="44" t="str">
        <f>Tab_Process_TCs2527[[#This Row],[Flow_ID]]</f>
        <v>N.A.</v>
      </c>
      <c r="BE85" s="44" t="e">
        <f t="shared" si="22"/>
        <v>#REF!</v>
      </c>
      <c r="BF85" s="51"/>
      <c r="BG85" s="54">
        <f>Tab_Process_TCs2527[[#This Row],[TC O_6_'[%']]]+Tab_Process_TCs2527[[#This Row],[TC O_5_'[%']]]+Tab_Process_TCs2527[[#This Row],[TC_O_4_'[%']]]+Tab_Process_TCs2527[[#This Row],[TC_O_3_'[%']]]+Tab_Process_TCs2527[[#This Row],[TC_O_2_'[%']]]+Tab_Process_TCs2527[[#This Row],[TC_O_1_'[%']]]</f>
        <v>1</v>
      </c>
      <c r="BH85" s="12"/>
      <c r="BI85" s="12"/>
      <c r="BJ85" s="12"/>
      <c r="BK85" s="12"/>
      <c r="BL85" s="12"/>
    </row>
    <row r="86" spans="1:64" x14ac:dyDescent="0.25">
      <c r="A86" s="197" t="b">
        <v>0</v>
      </c>
      <c r="B86" s="10">
        <f t="shared" si="16"/>
        <v>85</v>
      </c>
      <c r="C86" s="49" t="e">
        <f>_xlfn.XLOOKUP($D86,Tab_Process_TCs[Name(EN)],Tab_Process_TCs[Process_ID],,0,)</f>
        <v>#N/A</v>
      </c>
      <c r="D86" s="192" t="s">
        <v>35</v>
      </c>
      <c r="E86" s="192" t="s">
        <v>35</v>
      </c>
      <c r="F86" s="49" t="e">
        <f>_xlfn.XLOOKUP($D86,Tab_Process_TCs[Name(EN)],Tab_Process_TCs[TC?],,0,)</f>
        <v>#N/A</v>
      </c>
      <c r="G86" s="49" t="e">
        <f>_xlfn.XLOOKUP($D86,Tab_Process_TCs[Name(EN)],Tab_Process_TCs[Dyn_TC?],,0,)</f>
        <v>#N/A</v>
      </c>
      <c r="H86" s="10" t="str">
        <f>_xlfn.XLOOKUP($E86,Tab_Def_Flows[Name(EN)],Tab_Def_Flows[Flow_ID],,0,1)</f>
        <v>N.A.</v>
      </c>
      <c r="I86" s="10" t="str">
        <f>IF(Tab_Process_TCs2527[[#This Row],[Name(EN)]]="N.A.","N.A.","TC"&amp;"_"&amp;RIGHT(H86,5))</f>
        <v>N.A.</v>
      </c>
      <c r="J86" s="12"/>
      <c r="K86" s="186"/>
      <c r="L86" s="10"/>
      <c r="M86" s="17" t="e">
        <f>_xlfn.XLOOKUP($D86,Tab_Def_Processes[Name(EN)],Tab_Def_Processes[Input_Flow_I_1],,0,)</f>
        <v>#N/A</v>
      </c>
      <c r="N86" s="10" t="e">
        <f>_xlfn.XLOOKUP($D86,Tab_Def_Processes[Name(EN)],Tab_Def_Processes[Flow_ID_I_1],,0,)</f>
        <v>#N/A</v>
      </c>
      <c r="O86" s="34"/>
      <c r="P86" s="30" t="e">
        <f>_xlfn.XLOOKUP($D86,Tab_Def_Processes[Name(EN)],Tab_Def_Processes[Input_Flow_I_2],,0,)</f>
        <v>#N/A</v>
      </c>
      <c r="Q86" s="10" t="e">
        <f>_xlfn.XLOOKUP($D86,Tab_Def_Processes[Name(EN)],Tab_Def_Processes[Flow_ID_I_2],,0,)</f>
        <v>#N/A</v>
      </c>
      <c r="R86" s="34"/>
      <c r="S86" s="30" t="e">
        <f>_xlfn.XLOOKUP($D86,Tab_Def_Processes[Name(EN)],Tab_Def_Processes[Input_Flow_I_3],,0,)</f>
        <v>#N/A</v>
      </c>
      <c r="T86" s="10" t="e">
        <f>_xlfn.XLOOKUP($D86,Tab_Def_Processes[Name(EN)],Tab_Def_Processes[Flow_ID_I_3],,0,)</f>
        <v>#N/A</v>
      </c>
      <c r="U86" s="34"/>
      <c r="V86" s="30" t="e">
        <f>_xlfn.XLOOKUP($D86,Tab_Def_Processes[Name(EN)],Tab_Def_Processes[Input_Flow_I_4],,0,)</f>
        <v>#N/A</v>
      </c>
      <c r="W86" s="10" t="e">
        <f>_xlfn.XLOOKUP($D86,Tab_Def_Processes[Name(EN)],Tab_Def_Processes[Flow_ID_I_4],,0,)</f>
        <v>#N/A</v>
      </c>
      <c r="X86" s="34"/>
      <c r="Y86" s="30" t="e">
        <f>_xlfn.XLOOKUP($D86,Tab_Def_Processes[Name(EN)],Tab_Def_Processes[Input_Flow_I_5],,0,)</f>
        <v>#N/A</v>
      </c>
      <c r="Z86" s="10" t="e">
        <f>_xlfn.XLOOKUP($D86,Tab_Def_Processes[Name(EN)],Tab_Def_Processes[Flow_ID_I_5],,0,)</f>
        <v>#N/A</v>
      </c>
      <c r="AA86" s="34"/>
      <c r="AB86" s="33">
        <f>Tab_Process_TCs2527[[#This Row],[Flow_TC_I_1_'[%']]]+Tab_Process_TCs2527[[#This Row],[Flow_TC_I_2_'[%']]]+Tab_Process_TCs2527[[#This Row],[Flow_TC_I_3_'[%']]]+Tab_Process_TCs2527[[#This Row],[Flow_TC_I_4_'[%']]]+Tab_Process_TCs2527[[#This Row],[Flow_TC_I_5_'[%']]]</f>
        <v>0</v>
      </c>
      <c r="AC86" s="17" t="e">
        <f>_xlfn.XLOOKUP($D86,#REF!,#REF!,,0,)</f>
        <v>#REF!</v>
      </c>
      <c r="AD86" s="10" t="e">
        <f>_xlfn.XLOOKUP($D86,#REF!,#REF!,,0,)</f>
        <v>#REF!</v>
      </c>
      <c r="AE86" s="44" t="str">
        <f>Tab_Process_TCs2527[[#This Row],[Flow_ID]]</f>
        <v>N.A.</v>
      </c>
      <c r="AF86" s="10" t="e">
        <f t="shared" si="17"/>
        <v>#REF!</v>
      </c>
      <c r="AG86" s="51">
        <f t="shared" si="14"/>
        <v>0.54000000000000015</v>
      </c>
      <c r="AH86" s="171" t="e">
        <f>_xlfn.XLOOKUP($D86,#REF!,#REF!,,0,)</f>
        <v>#REF!</v>
      </c>
      <c r="AI86" s="55" t="e">
        <f>_xlfn.XLOOKUP($D86,#REF!,#REF!,,0,)</f>
        <v>#REF!</v>
      </c>
      <c r="AJ86" s="44" t="str">
        <f>Tab_Process_TCs2527[[#This Row],[Flow_ID]]</f>
        <v>N.A.</v>
      </c>
      <c r="AK86" s="10" t="e">
        <f t="shared" si="18"/>
        <v>#REF!</v>
      </c>
      <c r="AL86" s="170">
        <f t="shared" si="15"/>
        <v>0.2099999999999998</v>
      </c>
      <c r="AM86" s="17" t="e">
        <f>_xlfn.XLOOKUP($D86,#REF!,#REF!,,0,)</f>
        <v>#REF!</v>
      </c>
      <c r="AN86" s="10" t="e">
        <f>_xlfn.XLOOKUP($D86,#REF!,#REF!,,0,)</f>
        <v>#REF!</v>
      </c>
      <c r="AO86" s="44" t="str">
        <f>Tab_Process_TCs2527[[#This Row],[Flow_ID]]</f>
        <v>N.A.</v>
      </c>
      <c r="AP86" s="10" t="e">
        <f t="shared" si="19"/>
        <v>#REF!</v>
      </c>
      <c r="AQ86" s="170">
        <v>0.25</v>
      </c>
      <c r="AR86" s="17" t="e">
        <f>_xlfn.XLOOKUP($D86,#REF!,#REF!,,0,)</f>
        <v>#REF!</v>
      </c>
      <c r="AS86" s="10" t="e">
        <f>_xlfn.XLOOKUP($D86,#REF!,#REF!,,0,)</f>
        <v>#REF!</v>
      </c>
      <c r="AT86" s="44" t="str">
        <f>Tab_Process_TCs2527[[#This Row],[Flow_ID]]</f>
        <v>N.A.</v>
      </c>
      <c r="AU86" s="44" t="e">
        <f t="shared" si="20"/>
        <v>#REF!</v>
      </c>
      <c r="AV86" s="170"/>
      <c r="AW86" s="17" t="e">
        <f>_xlfn.XLOOKUP($D86,#REF!,#REF!,,0,)</f>
        <v>#REF!</v>
      </c>
      <c r="AX86" s="10" t="e">
        <f>_xlfn.XLOOKUP($D86,#REF!,#REF!,,0,)</f>
        <v>#REF!</v>
      </c>
      <c r="AY86" s="44" t="str">
        <f>Tab_Process_TCs2527[[#This Row],[Flow_ID]]</f>
        <v>N.A.</v>
      </c>
      <c r="AZ86" s="44" t="e">
        <f t="shared" si="21"/>
        <v>#REF!</v>
      </c>
      <c r="BA86" s="170"/>
      <c r="BB86" s="10" t="e">
        <f>_xlfn.XLOOKUP($D86,#REF!,#REF!,,0,)</f>
        <v>#REF!</v>
      </c>
      <c r="BC86" s="10" t="e">
        <f>_xlfn.XLOOKUP($D86,#REF!,#REF!,,0,)</f>
        <v>#REF!</v>
      </c>
      <c r="BD86" s="44" t="str">
        <f>Tab_Process_TCs2527[[#This Row],[Flow_ID]]</f>
        <v>N.A.</v>
      </c>
      <c r="BE86" s="44" t="e">
        <f t="shared" si="22"/>
        <v>#REF!</v>
      </c>
      <c r="BF86" s="51"/>
      <c r="BG86" s="54">
        <f>Tab_Process_TCs2527[[#This Row],[TC O_6_'[%']]]+Tab_Process_TCs2527[[#This Row],[TC O_5_'[%']]]+Tab_Process_TCs2527[[#This Row],[TC_O_4_'[%']]]+Tab_Process_TCs2527[[#This Row],[TC_O_3_'[%']]]+Tab_Process_TCs2527[[#This Row],[TC_O_2_'[%']]]+Tab_Process_TCs2527[[#This Row],[TC_O_1_'[%']]]</f>
        <v>1</v>
      </c>
      <c r="BH86" s="12"/>
      <c r="BI86" s="12"/>
      <c r="BJ86" s="12"/>
      <c r="BK86" s="12"/>
      <c r="BL86" s="12"/>
    </row>
    <row r="87" spans="1:64" x14ac:dyDescent="0.25">
      <c r="A87" s="197" t="b">
        <v>0</v>
      </c>
      <c r="B87" s="10">
        <f t="shared" si="16"/>
        <v>86</v>
      </c>
      <c r="C87" s="49" t="e">
        <f>_xlfn.XLOOKUP($D87,Tab_Process_TCs[Name(EN)],Tab_Process_TCs[Process_ID],,0,)</f>
        <v>#N/A</v>
      </c>
      <c r="D87" s="192" t="s">
        <v>35</v>
      </c>
      <c r="E87" s="192" t="s">
        <v>35</v>
      </c>
      <c r="F87" s="49" t="e">
        <f>_xlfn.XLOOKUP($D87,Tab_Process_TCs[Name(EN)],Tab_Process_TCs[TC?],,0,)</f>
        <v>#N/A</v>
      </c>
      <c r="G87" s="49" t="e">
        <f>_xlfn.XLOOKUP($D87,Tab_Process_TCs[Name(EN)],Tab_Process_TCs[Dyn_TC?],,0,)</f>
        <v>#N/A</v>
      </c>
      <c r="H87" s="10" t="str">
        <f>_xlfn.XLOOKUP($E87,Tab_Def_Flows[Name(EN)],Tab_Def_Flows[Flow_ID],,0,1)</f>
        <v>N.A.</v>
      </c>
      <c r="I87" s="10" t="str">
        <f>IF(Tab_Process_TCs2527[[#This Row],[Name(EN)]]="N.A.","N.A.","TC"&amp;"_"&amp;RIGHT(H87,5))</f>
        <v>N.A.</v>
      </c>
      <c r="J87" s="12"/>
      <c r="K87" s="186"/>
      <c r="L87" s="10"/>
      <c r="M87" s="17" t="e">
        <f>_xlfn.XLOOKUP($D87,Tab_Def_Processes[Name(EN)],Tab_Def_Processes[Input_Flow_I_1],,0,)</f>
        <v>#N/A</v>
      </c>
      <c r="N87" s="10" t="e">
        <f>_xlfn.XLOOKUP($D87,Tab_Def_Processes[Name(EN)],Tab_Def_Processes[Flow_ID_I_1],,0,)</f>
        <v>#N/A</v>
      </c>
      <c r="O87" s="34"/>
      <c r="P87" s="30" t="e">
        <f>_xlfn.XLOOKUP($D87,Tab_Def_Processes[Name(EN)],Tab_Def_Processes[Input_Flow_I_2],,0,)</f>
        <v>#N/A</v>
      </c>
      <c r="Q87" s="10" t="e">
        <f>_xlfn.XLOOKUP($D87,Tab_Def_Processes[Name(EN)],Tab_Def_Processes[Flow_ID_I_2],,0,)</f>
        <v>#N/A</v>
      </c>
      <c r="R87" s="34"/>
      <c r="S87" s="30" t="e">
        <f>_xlfn.XLOOKUP($D87,Tab_Def_Processes[Name(EN)],Tab_Def_Processes[Input_Flow_I_3],,0,)</f>
        <v>#N/A</v>
      </c>
      <c r="T87" s="10" t="e">
        <f>_xlfn.XLOOKUP($D87,Tab_Def_Processes[Name(EN)],Tab_Def_Processes[Flow_ID_I_3],,0,)</f>
        <v>#N/A</v>
      </c>
      <c r="U87" s="34"/>
      <c r="V87" s="30" t="e">
        <f>_xlfn.XLOOKUP($D87,Tab_Def_Processes[Name(EN)],Tab_Def_Processes[Input_Flow_I_4],,0,)</f>
        <v>#N/A</v>
      </c>
      <c r="W87" s="10" t="e">
        <f>_xlfn.XLOOKUP($D87,Tab_Def_Processes[Name(EN)],Tab_Def_Processes[Flow_ID_I_4],,0,)</f>
        <v>#N/A</v>
      </c>
      <c r="X87" s="34"/>
      <c r="Y87" s="30" t="e">
        <f>_xlfn.XLOOKUP($D87,Tab_Def_Processes[Name(EN)],Tab_Def_Processes[Input_Flow_I_5],,0,)</f>
        <v>#N/A</v>
      </c>
      <c r="Z87" s="10" t="e">
        <f>_xlfn.XLOOKUP($D87,Tab_Def_Processes[Name(EN)],Tab_Def_Processes[Flow_ID_I_5],,0,)</f>
        <v>#N/A</v>
      </c>
      <c r="AA87" s="34"/>
      <c r="AB87" s="33">
        <f>Tab_Process_TCs2527[[#This Row],[Flow_TC_I_1_'[%']]]+Tab_Process_TCs2527[[#This Row],[Flow_TC_I_2_'[%']]]+Tab_Process_TCs2527[[#This Row],[Flow_TC_I_3_'[%']]]+Tab_Process_TCs2527[[#This Row],[Flow_TC_I_4_'[%']]]+Tab_Process_TCs2527[[#This Row],[Flow_TC_I_5_'[%']]]</f>
        <v>0</v>
      </c>
      <c r="AC87" s="17" t="e">
        <f>_xlfn.XLOOKUP($D87,#REF!,#REF!,,0,)</f>
        <v>#REF!</v>
      </c>
      <c r="AD87" s="10" t="e">
        <f>_xlfn.XLOOKUP($D87,#REF!,#REF!,,0,)</f>
        <v>#REF!</v>
      </c>
      <c r="AE87" s="44" t="str">
        <f>Tab_Process_TCs2527[[#This Row],[Flow_ID]]</f>
        <v>N.A.</v>
      </c>
      <c r="AF87" s="10" t="e">
        <f t="shared" si="17"/>
        <v>#REF!</v>
      </c>
      <c r="AG87" s="51">
        <f t="shared" si="14"/>
        <v>0.55000000000000016</v>
      </c>
      <c r="AH87" s="171" t="e">
        <f>_xlfn.XLOOKUP($D87,#REF!,#REF!,,0,)</f>
        <v>#REF!</v>
      </c>
      <c r="AI87" s="55" t="e">
        <f>_xlfn.XLOOKUP($D87,#REF!,#REF!,,0,)</f>
        <v>#REF!</v>
      </c>
      <c r="AJ87" s="44" t="str">
        <f>Tab_Process_TCs2527[[#This Row],[Flow_ID]]</f>
        <v>N.A.</v>
      </c>
      <c r="AK87" s="10" t="e">
        <f t="shared" si="18"/>
        <v>#REF!</v>
      </c>
      <c r="AL87" s="170">
        <f t="shared" si="15"/>
        <v>0.19999999999999979</v>
      </c>
      <c r="AM87" s="17" t="e">
        <f>_xlfn.XLOOKUP($D87,#REF!,#REF!,,0,)</f>
        <v>#REF!</v>
      </c>
      <c r="AN87" s="10" t="e">
        <f>_xlfn.XLOOKUP($D87,#REF!,#REF!,,0,)</f>
        <v>#REF!</v>
      </c>
      <c r="AO87" s="44" t="str">
        <f>Tab_Process_TCs2527[[#This Row],[Flow_ID]]</f>
        <v>N.A.</v>
      </c>
      <c r="AP87" s="10" t="e">
        <f t="shared" si="19"/>
        <v>#REF!</v>
      </c>
      <c r="AQ87" s="170">
        <v>0.25</v>
      </c>
      <c r="AR87" s="17" t="e">
        <f>_xlfn.XLOOKUP($D87,#REF!,#REF!,,0,)</f>
        <v>#REF!</v>
      </c>
      <c r="AS87" s="10" t="e">
        <f>_xlfn.XLOOKUP($D87,#REF!,#REF!,,0,)</f>
        <v>#REF!</v>
      </c>
      <c r="AT87" s="44" t="str">
        <f>Tab_Process_TCs2527[[#This Row],[Flow_ID]]</f>
        <v>N.A.</v>
      </c>
      <c r="AU87" s="44" t="e">
        <f t="shared" si="20"/>
        <v>#REF!</v>
      </c>
      <c r="AV87" s="170"/>
      <c r="AW87" s="17" t="e">
        <f>_xlfn.XLOOKUP($D87,#REF!,#REF!,,0,)</f>
        <v>#REF!</v>
      </c>
      <c r="AX87" s="10" t="e">
        <f>_xlfn.XLOOKUP($D87,#REF!,#REF!,,0,)</f>
        <v>#REF!</v>
      </c>
      <c r="AY87" s="44" t="str">
        <f>Tab_Process_TCs2527[[#This Row],[Flow_ID]]</f>
        <v>N.A.</v>
      </c>
      <c r="AZ87" s="44" t="e">
        <f t="shared" si="21"/>
        <v>#REF!</v>
      </c>
      <c r="BA87" s="170"/>
      <c r="BB87" s="10" t="e">
        <f>_xlfn.XLOOKUP($D87,#REF!,#REF!,,0,)</f>
        <v>#REF!</v>
      </c>
      <c r="BC87" s="10" t="e">
        <f>_xlfn.XLOOKUP($D87,#REF!,#REF!,,0,)</f>
        <v>#REF!</v>
      </c>
      <c r="BD87" s="44" t="str">
        <f>Tab_Process_TCs2527[[#This Row],[Flow_ID]]</f>
        <v>N.A.</v>
      </c>
      <c r="BE87" s="44" t="e">
        <f t="shared" si="22"/>
        <v>#REF!</v>
      </c>
      <c r="BF87" s="51"/>
      <c r="BG87" s="54">
        <f>Tab_Process_TCs2527[[#This Row],[TC O_6_'[%']]]+Tab_Process_TCs2527[[#This Row],[TC O_5_'[%']]]+Tab_Process_TCs2527[[#This Row],[TC_O_4_'[%']]]+Tab_Process_TCs2527[[#This Row],[TC_O_3_'[%']]]+Tab_Process_TCs2527[[#This Row],[TC_O_2_'[%']]]+Tab_Process_TCs2527[[#This Row],[TC_O_1_'[%']]]</f>
        <v>1</v>
      </c>
      <c r="BH87" s="12"/>
      <c r="BI87" s="12"/>
      <c r="BJ87" s="12"/>
      <c r="BK87" s="12"/>
      <c r="BL87" s="12"/>
    </row>
    <row r="88" spans="1:64" x14ac:dyDescent="0.25">
      <c r="A88" s="197" t="b">
        <v>0</v>
      </c>
      <c r="B88" s="10">
        <f t="shared" si="16"/>
        <v>87</v>
      </c>
      <c r="C88" s="49" t="e">
        <f>_xlfn.XLOOKUP($D88,Tab_Process_TCs[Name(EN)],Tab_Process_TCs[Process_ID],,0,)</f>
        <v>#N/A</v>
      </c>
      <c r="D88" s="192" t="s">
        <v>35</v>
      </c>
      <c r="E88" s="192" t="s">
        <v>35</v>
      </c>
      <c r="F88" s="49" t="e">
        <f>_xlfn.XLOOKUP($D88,Tab_Process_TCs[Name(EN)],Tab_Process_TCs[TC?],,0,)</f>
        <v>#N/A</v>
      </c>
      <c r="G88" s="49" t="e">
        <f>_xlfn.XLOOKUP($D88,Tab_Process_TCs[Name(EN)],Tab_Process_TCs[Dyn_TC?],,0,)</f>
        <v>#N/A</v>
      </c>
      <c r="H88" s="10" t="str">
        <f>_xlfn.XLOOKUP($E88,Tab_Def_Flows[Name(EN)],Tab_Def_Flows[Flow_ID],,0,1)</f>
        <v>N.A.</v>
      </c>
      <c r="I88" s="10" t="str">
        <f>IF(Tab_Process_TCs2527[[#This Row],[Name(EN)]]="N.A.","N.A.","TC"&amp;"_"&amp;RIGHT(H88,5))</f>
        <v>N.A.</v>
      </c>
      <c r="J88" s="12"/>
      <c r="K88" s="186"/>
      <c r="L88" s="10"/>
      <c r="M88" s="17" t="e">
        <f>_xlfn.XLOOKUP($D88,Tab_Def_Processes[Name(EN)],Tab_Def_Processes[Input_Flow_I_1],,0,)</f>
        <v>#N/A</v>
      </c>
      <c r="N88" s="10" t="e">
        <f>_xlfn.XLOOKUP($D88,Tab_Def_Processes[Name(EN)],Tab_Def_Processes[Flow_ID_I_1],,0,)</f>
        <v>#N/A</v>
      </c>
      <c r="O88" s="34"/>
      <c r="P88" s="30" t="e">
        <f>_xlfn.XLOOKUP($D88,Tab_Def_Processes[Name(EN)],Tab_Def_Processes[Input_Flow_I_2],,0,)</f>
        <v>#N/A</v>
      </c>
      <c r="Q88" s="10" t="e">
        <f>_xlfn.XLOOKUP($D88,Tab_Def_Processes[Name(EN)],Tab_Def_Processes[Flow_ID_I_2],,0,)</f>
        <v>#N/A</v>
      </c>
      <c r="R88" s="34"/>
      <c r="S88" s="30" t="e">
        <f>_xlfn.XLOOKUP($D88,Tab_Def_Processes[Name(EN)],Tab_Def_Processes[Input_Flow_I_3],,0,)</f>
        <v>#N/A</v>
      </c>
      <c r="T88" s="10" t="e">
        <f>_xlfn.XLOOKUP($D88,Tab_Def_Processes[Name(EN)],Tab_Def_Processes[Flow_ID_I_3],,0,)</f>
        <v>#N/A</v>
      </c>
      <c r="U88" s="34"/>
      <c r="V88" s="30" t="e">
        <f>_xlfn.XLOOKUP($D88,Tab_Def_Processes[Name(EN)],Tab_Def_Processes[Input_Flow_I_4],,0,)</f>
        <v>#N/A</v>
      </c>
      <c r="W88" s="10" t="e">
        <f>_xlfn.XLOOKUP($D88,Tab_Def_Processes[Name(EN)],Tab_Def_Processes[Flow_ID_I_4],,0,)</f>
        <v>#N/A</v>
      </c>
      <c r="X88" s="34"/>
      <c r="Y88" s="30" t="e">
        <f>_xlfn.XLOOKUP($D88,Tab_Def_Processes[Name(EN)],Tab_Def_Processes[Input_Flow_I_5],,0,)</f>
        <v>#N/A</v>
      </c>
      <c r="Z88" s="10" t="e">
        <f>_xlfn.XLOOKUP($D88,Tab_Def_Processes[Name(EN)],Tab_Def_Processes[Flow_ID_I_5],,0,)</f>
        <v>#N/A</v>
      </c>
      <c r="AA88" s="34"/>
      <c r="AB88" s="33">
        <f>Tab_Process_TCs2527[[#This Row],[Flow_TC_I_1_'[%']]]+Tab_Process_TCs2527[[#This Row],[Flow_TC_I_2_'[%']]]+Tab_Process_TCs2527[[#This Row],[Flow_TC_I_3_'[%']]]+Tab_Process_TCs2527[[#This Row],[Flow_TC_I_4_'[%']]]+Tab_Process_TCs2527[[#This Row],[Flow_TC_I_5_'[%']]]</f>
        <v>0</v>
      </c>
      <c r="AC88" s="17" t="e">
        <f>_xlfn.XLOOKUP($D88,#REF!,#REF!,,0,)</f>
        <v>#REF!</v>
      </c>
      <c r="AD88" s="10" t="e">
        <f>_xlfn.XLOOKUP($D88,#REF!,#REF!,,0,)</f>
        <v>#REF!</v>
      </c>
      <c r="AE88" s="44" t="str">
        <f>Tab_Process_TCs2527[[#This Row],[Flow_ID]]</f>
        <v>N.A.</v>
      </c>
      <c r="AF88" s="10" t="e">
        <f t="shared" si="17"/>
        <v>#REF!</v>
      </c>
      <c r="AG88" s="51">
        <v>0.4</v>
      </c>
      <c r="AH88" s="171" t="e">
        <f>_xlfn.XLOOKUP($D88,#REF!,#REF!,,0,)</f>
        <v>#REF!</v>
      </c>
      <c r="AI88" s="55" t="e">
        <f>_xlfn.XLOOKUP($D88,#REF!,#REF!,,0,)</f>
        <v>#REF!</v>
      </c>
      <c r="AJ88" s="44" t="str">
        <f>Tab_Process_TCs2527[[#This Row],[Flow_ID]]</f>
        <v>N.A.</v>
      </c>
      <c r="AK88" s="10" t="e">
        <f t="shared" si="18"/>
        <v>#REF!</v>
      </c>
      <c r="AL88" s="170">
        <v>0.6</v>
      </c>
      <c r="AM88" s="17" t="e">
        <f>_xlfn.XLOOKUP($D88,#REF!,#REF!,,0,)</f>
        <v>#REF!</v>
      </c>
      <c r="AN88" s="10" t="e">
        <f>_xlfn.XLOOKUP($D88,#REF!,#REF!,,0,)</f>
        <v>#REF!</v>
      </c>
      <c r="AO88" s="44" t="str">
        <f>Tab_Process_TCs2527[[#This Row],[Flow_ID]]</f>
        <v>N.A.</v>
      </c>
      <c r="AP88" s="10" t="e">
        <f t="shared" si="19"/>
        <v>#REF!</v>
      </c>
      <c r="AQ88" s="170"/>
      <c r="AR88" s="17" t="e">
        <f>_xlfn.XLOOKUP($D88,#REF!,#REF!,,0,)</f>
        <v>#REF!</v>
      </c>
      <c r="AS88" s="10" t="e">
        <f>_xlfn.XLOOKUP($D88,#REF!,#REF!,,0,)</f>
        <v>#REF!</v>
      </c>
      <c r="AT88" s="44" t="str">
        <f>Tab_Process_TCs2527[[#This Row],[Flow_ID]]</f>
        <v>N.A.</v>
      </c>
      <c r="AU88" s="44" t="e">
        <f t="shared" si="20"/>
        <v>#REF!</v>
      </c>
      <c r="AV88" s="170"/>
      <c r="AW88" s="17" t="e">
        <f>_xlfn.XLOOKUP($D88,#REF!,#REF!,,0,)</f>
        <v>#REF!</v>
      </c>
      <c r="AX88" s="10" t="e">
        <f>_xlfn.XLOOKUP($D88,#REF!,#REF!,,0,)</f>
        <v>#REF!</v>
      </c>
      <c r="AY88" s="44" t="str">
        <f>Tab_Process_TCs2527[[#This Row],[Flow_ID]]</f>
        <v>N.A.</v>
      </c>
      <c r="AZ88" s="44" t="e">
        <f t="shared" si="21"/>
        <v>#REF!</v>
      </c>
      <c r="BA88" s="170"/>
      <c r="BB88" s="10" t="e">
        <f>_xlfn.XLOOKUP($D88,#REF!,#REF!,,0,)</f>
        <v>#REF!</v>
      </c>
      <c r="BC88" s="10" t="e">
        <f>_xlfn.XLOOKUP($D88,#REF!,#REF!,,0,)</f>
        <v>#REF!</v>
      </c>
      <c r="BD88" s="44" t="str">
        <f>Tab_Process_TCs2527[[#This Row],[Flow_ID]]</f>
        <v>N.A.</v>
      </c>
      <c r="BE88" s="44" t="e">
        <f t="shared" si="22"/>
        <v>#REF!</v>
      </c>
      <c r="BF88" s="51"/>
      <c r="BG88" s="54">
        <f>Tab_Process_TCs2527[[#This Row],[TC O_6_'[%']]]+Tab_Process_TCs2527[[#This Row],[TC O_5_'[%']]]+Tab_Process_TCs2527[[#This Row],[TC_O_4_'[%']]]+Tab_Process_TCs2527[[#This Row],[TC_O_3_'[%']]]+Tab_Process_TCs2527[[#This Row],[TC_O_2_'[%']]]+Tab_Process_TCs2527[[#This Row],[TC_O_1_'[%']]]</f>
        <v>1</v>
      </c>
      <c r="BH88" s="12"/>
      <c r="BI88" s="12"/>
      <c r="BJ88" s="12"/>
      <c r="BK88" s="12"/>
      <c r="BL88" s="12"/>
    </row>
    <row r="89" spans="1:64" x14ac:dyDescent="0.25">
      <c r="A89" s="197" t="b">
        <v>0</v>
      </c>
      <c r="B89" s="10">
        <f t="shared" si="16"/>
        <v>88</v>
      </c>
      <c r="C89" s="49" t="e">
        <f>_xlfn.XLOOKUP($D89,Tab_Process_TCs[Name(EN)],Tab_Process_TCs[Process_ID],,0,)</f>
        <v>#N/A</v>
      </c>
      <c r="D89" s="192" t="s">
        <v>35</v>
      </c>
      <c r="E89" s="192" t="s">
        <v>35</v>
      </c>
      <c r="F89" s="49" t="e">
        <f>_xlfn.XLOOKUP($D89,Tab_Process_TCs[Name(EN)],Tab_Process_TCs[TC?],,0,)</f>
        <v>#N/A</v>
      </c>
      <c r="G89" s="49" t="e">
        <f>_xlfn.XLOOKUP($D89,Tab_Process_TCs[Name(EN)],Tab_Process_TCs[Dyn_TC?],,0,)</f>
        <v>#N/A</v>
      </c>
      <c r="H89" s="10" t="str">
        <f>_xlfn.XLOOKUP($E89,Tab_Def_Flows[Name(EN)],Tab_Def_Flows[Flow_ID],,0,1)</f>
        <v>N.A.</v>
      </c>
      <c r="I89" s="10" t="str">
        <f>IF(Tab_Process_TCs2527[[#This Row],[Name(EN)]]="N.A.","N.A.","TC"&amp;"_"&amp;RIGHT(H89,5))</f>
        <v>N.A.</v>
      </c>
      <c r="J89" s="12"/>
      <c r="K89" s="186"/>
      <c r="L89" s="10"/>
      <c r="M89" s="17" t="e">
        <f>_xlfn.XLOOKUP($D89,Tab_Def_Processes[Name(EN)],Tab_Def_Processes[Input_Flow_I_1],,0,)</f>
        <v>#N/A</v>
      </c>
      <c r="N89" s="10" t="e">
        <f>_xlfn.XLOOKUP($D89,Tab_Def_Processes[Name(EN)],Tab_Def_Processes[Flow_ID_I_1],,0,)</f>
        <v>#N/A</v>
      </c>
      <c r="O89" s="34"/>
      <c r="P89" s="30" t="e">
        <f>_xlfn.XLOOKUP($D89,Tab_Def_Processes[Name(EN)],Tab_Def_Processes[Input_Flow_I_2],,0,)</f>
        <v>#N/A</v>
      </c>
      <c r="Q89" s="10" t="e">
        <f>_xlfn.XLOOKUP($D89,Tab_Def_Processes[Name(EN)],Tab_Def_Processes[Flow_ID_I_2],,0,)</f>
        <v>#N/A</v>
      </c>
      <c r="R89" s="34"/>
      <c r="S89" s="30" t="e">
        <f>_xlfn.XLOOKUP($D89,Tab_Def_Processes[Name(EN)],Tab_Def_Processes[Input_Flow_I_3],,0,)</f>
        <v>#N/A</v>
      </c>
      <c r="T89" s="10" t="e">
        <f>_xlfn.XLOOKUP($D89,Tab_Def_Processes[Name(EN)],Tab_Def_Processes[Flow_ID_I_3],,0,)</f>
        <v>#N/A</v>
      </c>
      <c r="U89" s="34"/>
      <c r="V89" s="30" t="e">
        <f>_xlfn.XLOOKUP($D89,Tab_Def_Processes[Name(EN)],Tab_Def_Processes[Input_Flow_I_4],,0,)</f>
        <v>#N/A</v>
      </c>
      <c r="W89" s="10" t="e">
        <f>_xlfn.XLOOKUP($D89,Tab_Def_Processes[Name(EN)],Tab_Def_Processes[Flow_ID_I_4],,0,)</f>
        <v>#N/A</v>
      </c>
      <c r="X89" s="34"/>
      <c r="Y89" s="30" t="e">
        <f>_xlfn.XLOOKUP($D89,Tab_Def_Processes[Name(EN)],Tab_Def_Processes[Input_Flow_I_5],,0,)</f>
        <v>#N/A</v>
      </c>
      <c r="Z89" s="10" t="e">
        <f>_xlfn.XLOOKUP($D89,Tab_Def_Processes[Name(EN)],Tab_Def_Processes[Flow_ID_I_5],,0,)</f>
        <v>#N/A</v>
      </c>
      <c r="AA89" s="34"/>
      <c r="AB89" s="33">
        <f>Tab_Process_TCs2527[[#This Row],[Flow_TC_I_1_'[%']]]+Tab_Process_TCs2527[[#This Row],[Flow_TC_I_2_'[%']]]+Tab_Process_TCs2527[[#This Row],[Flow_TC_I_3_'[%']]]+Tab_Process_TCs2527[[#This Row],[Flow_TC_I_4_'[%']]]+Tab_Process_TCs2527[[#This Row],[Flow_TC_I_5_'[%']]]</f>
        <v>0</v>
      </c>
      <c r="AC89" s="17" t="e">
        <f>_xlfn.XLOOKUP($D89,#REF!,#REF!,,0,)</f>
        <v>#REF!</v>
      </c>
      <c r="AD89" s="10" t="e">
        <f>_xlfn.XLOOKUP($D89,#REF!,#REF!,,0,)</f>
        <v>#REF!</v>
      </c>
      <c r="AE89" s="44" t="str">
        <f>Tab_Process_TCs2527[[#This Row],[Flow_ID]]</f>
        <v>N.A.</v>
      </c>
      <c r="AF89" s="10" t="e">
        <f t="shared" si="17"/>
        <v>#REF!</v>
      </c>
      <c r="AG89" s="51">
        <v>0.4</v>
      </c>
      <c r="AH89" s="171" t="e">
        <f>_xlfn.XLOOKUP($D89,#REF!,#REF!,,0,)</f>
        <v>#REF!</v>
      </c>
      <c r="AI89" s="55" t="e">
        <f>_xlfn.XLOOKUP($D89,#REF!,#REF!,,0,)</f>
        <v>#REF!</v>
      </c>
      <c r="AJ89" s="44" t="str">
        <f>Tab_Process_TCs2527[[#This Row],[Flow_ID]]</f>
        <v>N.A.</v>
      </c>
      <c r="AK89" s="10" t="e">
        <f t="shared" si="18"/>
        <v>#REF!</v>
      </c>
      <c r="AL89" s="170">
        <v>0.6</v>
      </c>
      <c r="AM89" s="17" t="e">
        <f>_xlfn.XLOOKUP($D89,#REF!,#REF!,,0,)</f>
        <v>#REF!</v>
      </c>
      <c r="AN89" s="10" t="e">
        <f>_xlfn.XLOOKUP($D89,#REF!,#REF!,,0,)</f>
        <v>#REF!</v>
      </c>
      <c r="AO89" s="44" t="str">
        <f>Tab_Process_TCs2527[[#This Row],[Flow_ID]]</f>
        <v>N.A.</v>
      </c>
      <c r="AP89" s="10" t="e">
        <f t="shared" si="19"/>
        <v>#REF!</v>
      </c>
      <c r="AQ89" s="170"/>
      <c r="AR89" s="17" t="e">
        <f>_xlfn.XLOOKUP($D89,#REF!,#REF!,,0,)</f>
        <v>#REF!</v>
      </c>
      <c r="AS89" s="10" t="e">
        <f>_xlfn.XLOOKUP($D89,#REF!,#REF!,,0,)</f>
        <v>#REF!</v>
      </c>
      <c r="AT89" s="44" t="str">
        <f>Tab_Process_TCs2527[[#This Row],[Flow_ID]]</f>
        <v>N.A.</v>
      </c>
      <c r="AU89" s="44" t="e">
        <f t="shared" si="20"/>
        <v>#REF!</v>
      </c>
      <c r="AV89" s="170"/>
      <c r="AW89" s="17" t="e">
        <f>_xlfn.XLOOKUP($D89,#REF!,#REF!,,0,)</f>
        <v>#REF!</v>
      </c>
      <c r="AX89" s="10" t="e">
        <f>_xlfn.XLOOKUP($D89,#REF!,#REF!,,0,)</f>
        <v>#REF!</v>
      </c>
      <c r="AY89" s="44" t="str">
        <f>Tab_Process_TCs2527[[#This Row],[Flow_ID]]</f>
        <v>N.A.</v>
      </c>
      <c r="AZ89" s="44" t="e">
        <f t="shared" si="21"/>
        <v>#REF!</v>
      </c>
      <c r="BA89" s="170"/>
      <c r="BB89" s="10" t="e">
        <f>_xlfn.XLOOKUP($D89,#REF!,#REF!,,0,)</f>
        <v>#REF!</v>
      </c>
      <c r="BC89" s="10" t="e">
        <f>_xlfn.XLOOKUP($D89,#REF!,#REF!,,0,)</f>
        <v>#REF!</v>
      </c>
      <c r="BD89" s="44" t="str">
        <f>Tab_Process_TCs2527[[#This Row],[Flow_ID]]</f>
        <v>N.A.</v>
      </c>
      <c r="BE89" s="44" t="e">
        <f t="shared" si="22"/>
        <v>#REF!</v>
      </c>
      <c r="BF89" s="51"/>
      <c r="BG89" s="54">
        <f>Tab_Process_TCs2527[[#This Row],[TC O_6_'[%']]]+Tab_Process_TCs2527[[#This Row],[TC O_5_'[%']]]+Tab_Process_TCs2527[[#This Row],[TC_O_4_'[%']]]+Tab_Process_TCs2527[[#This Row],[TC_O_3_'[%']]]+Tab_Process_TCs2527[[#This Row],[TC_O_2_'[%']]]+Tab_Process_TCs2527[[#This Row],[TC_O_1_'[%']]]</f>
        <v>1</v>
      </c>
      <c r="BH89" s="12"/>
      <c r="BI89" s="12"/>
      <c r="BJ89" s="12"/>
      <c r="BK89" s="12"/>
      <c r="BL89" s="12"/>
    </row>
    <row r="90" spans="1:64" x14ac:dyDescent="0.25">
      <c r="A90" s="197" t="b">
        <v>0</v>
      </c>
      <c r="B90" s="10">
        <f t="shared" si="16"/>
        <v>89</v>
      </c>
      <c r="C90" s="49" t="e">
        <f>_xlfn.XLOOKUP($D90,Tab_Process_TCs[Name(EN)],Tab_Process_TCs[Process_ID],,0,)</f>
        <v>#N/A</v>
      </c>
      <c r="D90" s="192" t="s">
        <v>35</v>
      </c>
      <c r="E90" s="192" t="s">
        <v>35</v>
      </c>
      <c r="F90" s="49" t="e">
        <f>_xlfn.XLOOKUP($D90,Tab_Process_TCs[Name(EN)],Tab_Process_TCs[TC?],,0,)</f>
        <v>#N/A</v>
      </c>
      <c r="G90" s="49" t="e">
        <f>_xlfn.XLOOKUP($D90,Tab_Process_TCs[Name(EN)],Tab_Process_TCs[Dyn_TC?],,0,)</f>
        <v>#N/A</v>
      </c>
      <c r="H90" s="10" t="str">
        <f>_xlfn.XLOOKUP($E90,Tab_Def_Flows[Name(EN)],Tab_Def_Flows[Flow_ID],,0,1)</f>
        <v>N.A.</v>
      </c>
      <c r="I90" s="10" t="str">
        <f>IF(Tab_Process_TCs2527[[#This Row],[Name(EN)]]="N.A.","N.A.","TC"&amp;"_"&amp;RIGHT(H90,5))</f>
        <v>N.A.</v>
      </c>
      <c r="J90" s="12"/>
      <c r="K90" s="186"/>
      <c r="L90" s="10"/>
      <c r="M90" s="17" t="e">
        <f>_xlfn.XLOOKUP($D90,Tab_Def_Processes[Name(EN)],Tab_Def_Processes[Input_Flow_I_1],,0,)</f>
        <v>#N/A</v>
      </c>
      <c r="N90" s="10" t="e">
        <f>_xlfn.XLOOKUP($D90,Tab_Def_Processes[Name(EN)],Tab_Def_Processes[Flow_ID_I_1],,0,)</f>
        <v>#N/A</v>
      </c>
      <c r="O90" s="34"/>
      <c r="P90" s="30" t="e">
        <f>_xlfn.XLOOKUP($D90,Tab_Def_Processes[Name(EN)],Tab_Def_Processes[Input_Flow_I_2],,0,)</f>
        <v>#N/A</v>
      </c>
      <c r="Q90" s="10" t="e">
        <f>_xlfn.XLOOKUP($D90,Tab_Def_Processes[Name(EN)],Tab_Def_Processes[Flow_ID_I_2],,0,)</f>
        <v>#N/A</v>
      </c>
      <c r="R90" s="34"/>
      <c r="S90" s="30" t="e">
        <f>_xlfn.XLOOKUP($D90,Tab_Def_Processes[Name(EN)],Tab_Def_Processes[Input_Flow_I_3],,0,)</f>
        <v>#N/A</v>
      </c>
      <c r="T90" s="10" t="e">
        <f>_xlfn.XLOOKUP($D90,Tab_Def_Processes[Name(EN)],Tab_Def_Processes[Flow_ID_I_3],,0,)</f>
        <v>#N/A</v>
      </c>
      <c r="U90" s="34"/>
      <c r="V90" s="30" t="e">
        <f>_xlfn.XLOOKUP($D90,Tab_Def_Processes[Name(EN)],Tab_Def_Processes[Input_Flow_I_4],,0,)</f>
        <v>#N/A</v>
      </c>
      <c r="W90" s="10" t="e">
        <f>_xlfn.XLOOKUP($D90,Tab_Def_Processes[Name(EN)],Tab_Def_Processes[Flow_ID_I_4],,0,)</f>
        <v>#N/A</v>
      </c>
      <c r="X90" s="34"/>
      <c r="Y90" s="30" t="e">
        <f>_xlfn.XLOOKUP($D90,Tab_Def_Processes[Name(EN)],Tab_Def_Processes[Input_Flow_I_5],,0,)</f>
        <v>#N/A</v>
      </c>
      <c r="Z90" s="10" t="e">
        <f>_xlfn.XLOOKUP($D90,Tab_Def_Processes[Name(EN)],Tab_Def_Processes[Flow_ID_I_5],,0,)</f>
        <v>#N/A</v>
      </c>
      <c r="AA90" s="34"/>
      <c r="AB90" s="33">
        <f>Tab_Process_TCs2527[[#This Row],[Flow_TC_I_1_'[%']]]+Tab_Process_TCs2527[[#This Row],[Flow_TC_I_2_'[%']]]+Tab_Process_TCs2527[[#This Row],[Flow_TC_I_3_'[%']]]+Tab_Process_TCs2527[[#This Row],[Flow_TC_I_4_'[%']]]+Tab_Process_TCs2527[[#This Row],[Flow_TC_I_5_'[%']]]</f>
        <v>0</v>
      </c>
      <c r="AC90" s="17" t="e">
        <f>_xlfn.XLOOKUP($D90,#REF!,#REF!,,0,)</f>
        <v>#REF!</v>
      </c>
      <c r="AD90" s="10" t="e">
        <f>_xlfn.XLOOKUP($D90,#REF!,#REF!,,0,)</f>
        <v>#REF!</v>
      </c>
      <c r="AE90" s="44" t="str">
        <f>Tab_Process_TCs2527[[#This Row],[Flow_ID]]</f>
        <v>N.A.</v>
      </c>
      <c r="AF90" s="10" t="e">
        <f t="shared" si="17"/>
        <v>#REF!</v>
      </c>
      <c r="AG90" s="51">
        <v>0.4</v>
      </c>
      <c r="AH90" s="171" t="e">
        <f>_xlfn.XLOOKUP($D90,#REF!,#REF!,,0,)</f>
        <v>#REF!</v>
      </c>
      <c r="AI90" s="55" t="e">
        <f>_xlfn.XLOOKUP($D90,#REF!,#REF!,,0,)</f>
        <v>#REF!</v>
      </c>
      <c r="AJ90" s="44" t="str">
        <f>Tab_Process_TCs2527[[#This Row],[Flow_ID]]</f>
        <v>N.A.</v>
      </c>
      <c r="AK90" s="10" t="e">
        <f t="shared" si="18"/>
        <v>#REF!</v>
      </c>
      <c r="AL90" s="170">
        <v>0.6</v>
      </c>
      <c r="AM90" s="17" t="e">
        <f>_xlfn.XLOOKUP($D90,#REF!,#REF!,,0,)</f>
        <v>#REF!</v>
      </c>
      <c r="AN90" s="10" t="e">
        <f>_xlfn.XLOOKUP($D90,#REF!,#REF!,,0,)</f>
        <v>#REF!</v>
      </c>
      <c r="AO90" s="44" t="str">
        <f>Tab_Process_TCs2527[[#This Row],[Flow_ID]]</f>
        <v>N.A.</v>
      </c>
      <c r="AP90" s="10" t="e">
        <f t="shared" si="19"/>
        <v>#REF!</v>
      </c>
      <c r="AQ90" s="170"/>
      <c r="AR90" s="17" t="e">
        <f>_xlfn.XLOOKUP($D90,#REF!,#REF!,,0,)</f>
        <v>#REF!</v>
      </c>
      <c r="AS90" s="10" t="e">
        <f>_xlfn.XLOOKUP($D90,#REF!,#REF!,,0,)</f>
        <v>#REF!</v>
      </c>
      <c r="AT90" s="44" t="str">
        <f>Tab_Process_TCs2527[[#This Row],[Flow_ID]]</f>
        <v>N.A.</v>
      </c>
      <c r="AU90" s="44" t="e">
        <f t="shared" si="20"/>
        <v>#REF!</v>
      </c>
      <c r="AV90" s="170"/>
      <c r="AW90" s="17" t="e">
        <f>_xlfn.XLOOKUP($D90,#REF!,#REF!,,0,)</f>
        <v>#REF!</v>
      </c>
      <c r="AX90" s="10" t="e">
        <f>_xlfn.XLOOKUP($D90,#REF!,#REF!,,0,)</f>
        <v>#REF!</v>
      </c>
      <c r="AY90" s="44" t="str">
        <f>Tab_Process_TCs2527[[#This Row],[Flow_ID]]</f>
        <v>N.A.</v>
      </c>
      <c r="AZ90" s="44" t="e">
        <f t="shared" si="21"/>
        <v>#REF!</v>
      </c>
      <c r="BA90" s="170"/>
      <c r="BB90" s="10" t="e">
        <f>_xlfn.XLOOKUP($D90,#REF!,#REF!,,0,)</f>
        <v>#REF!</v>
      </c>
      <c r="BC90" s="10" t="e">
        <f>_xlfn.XLOOKUP($D90,#REF!,#REF!,,0,)</f>
        <v>#REF!</v>
      </c>
      <c r="BD90" s="44" t="str">
        <f>Tab_Process_TCs2527[[#This Row],[Flow_ID]]</f>
        <v>N.A.</v>
      </c>
      <c r="BE90" s="44" t="e">
        <f t="shared" si="22"/>
        <v>#REF!</v>
      </c>
      <c r="BF90" s="51"/>
      <c r="BG90" s="54">
        <f>Tab_Process_TCs2527[[#This Row],[TC O_6_'[%']]]+Tab_Process_TCs2527[[#This Row],[TC O_5_'[%']]]+Tab_Process_TCs2527[[#This Row],[TC_O_4_'[%']]]+Tab_Process_TCs2527[[#This Row],[TC_O_3_'[%']]]+Tab_Process_TCs2527[[#This Row],[TC_O_2_'[%']]]+Tab_Process_TCs2527[[#This Row],[TC_O_1_'[%']]]</f>
        <v>1</v>
      </c>
      <c r="BH90" s="12"/>
      <c r="BI90" s="12"/>
      <c r="BJ90" s="12"/>
      <c r="BK90" s="12"/>
      <c r="BL90" s="12"/>
    </row>
    <row r="91" spans="1:64" x14ac:dyDescent="0.25">
      <c r="A91" s="197" t="b">
        <v>0</v>
      </c>
      <c r="B91" s="10">
        <f t="shared" si="16"/>
        <v>90</v>
      </c>
      <c r="C91" s="49" t="e">
        <f>_xlfn.XLOOKUP($D91,Tab_Process_TCs[Name(EN)],Tab_Process_TCs[Process_ID],,0,)</f>
        <v>#N/A</v>
      </c>
      <c r="D91" s="192" t="s">
        <v>35</v>
      </c>
      <c r="E91" s="192" t="s">
        <v>35</v>
      </c>
      <c r="F91" s="49" t="e">
        <f>_xlfn.XLOOKUP($D91,Tab_Process_TCs[Name(EN)],Tab_Process_TCs[TC?],,0,)</f>
        <v>#N/A</v>
      </c>
      <c r="G91" s="49" t="e">
        <f>_xlfn.XLOOKUP($D91,Tab_Process_TCs[Name(EN)],Tab_Process_TCs[Dyn_TC?],,0,)</f>
        <v>#N/A</v>
      </c>
      <c r="H91" s="10" t="str">
        <f>_xlfn.XLOOKUP($E91,Tab_Def_Flows[Name(EN)],Tab_Def_Flows[Flow_ID],,0,1)</f>
        <v>N.A.</v>
      </c>
      <c r="I91" s="10" t="str">
        <f>IF(Tab_Process_TCs2527[[#This Row],[Name(EN)]]="N.A.","N.A.","TC"&amp;"_"&amp;RIGHT(H91,5))</f>
        <v>N.A.</v>
      </c>
      <c r="J91" s="12"/>
      <c r="K91" s="186"/>
      <c r="L91" s="10"/>
      <c r="M91" s="17" t="e">
        <f>_xlfn.XLOOKUP($D91,Tab_Def_Processes[Name(EN)],Tab_Def_Processes[Input_Flow_I_1],,0,)</f>
        <v>#N/A</v>
      </c>
      <c r="N91" s="10" t="e">
        <f>_xlfn.XLOOKUP($D91,Tab_Def_Processes[Name(EN)],Tab_Def_Processes[Flow_ID_I_1],,0,)</f>
        <v>#N/A</v>
      </c>
      <c r="O91" s="34"/>
      <c r="P91" s="30" t="e">
        <f>_xlfn.XLOOKUP($D91,Tab_Def_Processes[Name(EN)],Tab_Def_Processes[Input_Flow_I_2],,0,)</f>
        <v>#N/A</v>
      </c>
      <c r="Q91" s="10" t="e">
        <f>_xlfn.XLOOKUP($D91,Tab_Def_Processes[Name(EN)],Tab_Def_Processes[Flow_ID_I_2],,0,)</f>
        <v>#N/A</v>
      </c>
      <c r="R91" s="34"/>
      <c r="S91" s="30" t="e">
        <f>_xlfn.XLOOKUP($D91,Tab_Def_Processes[Name(EN)],Tab_Def_Processes[Input_Flow_I_3],,0,)</f>
        <v>#N/A</v>
      </c>
      <c r="T91" s="10" t="e">
        <f>_xlfn.XLOOKUP($D91,Tab_Def_Processes[Name(EN)],Tab_Def_Processes[Flow_ID_I_3],,0,)</f>
        <v>#N/A</v>
      </c>
      <c r="U91" s="34"/>
      <c r="V91" s="30" t="e">
        <f>_xlfn.XLOOKUP($D91,Tab_Def_Processes[Name(EN)],Tab_Def_Processes[Input_Flow_I_4],,0,)</f>
        <v>#N/A</v>
      </c>
      <c r="W91" s="10" t="e">
        <f>_xlfn.XLOOKUP($D91,Tab_Def_Processes[Name(EN)],Tab_Def_Processes[Flow_ID_I_4],,0,)</f>
        <v>#N/A</v>
      </c>
      <c r="X91" s="34"/>
      <c r="Y91" s="30" t="e">
        <f>_xlfn.XLOOKUP($D91,Tab_Def_Processes[Name(EN)],Tab_Def_Processes[Input_Flow_I_5],,0,)</f>
        <v>#N/A</v>
      </c>
      <c r="Z91" s="10" t="e">
        <f>_xlfn.XLOOKUP($D91,Tab_Def_Processes[Name(EN)],Tab_Def_Processes[Flow_ID_I_5],,0,)</f>
        <v>#N/A</v>
      </c>
      <c r="AA91" s="34"/>
      <c r="AB91" s="33">
        <f>Tab_Process_TCs2527[[#This Row],[Flow_TC_I_1_'[%']]]+Tab_Process_TCs2527[[#This Row],[Flow_TC_I_2_'[%']]]+Tab_Process_TCs2527[[#This Row],[Flow_TC_I_3_'[%']]]+Tab_Process_TCs2527[[#This Row],[Flow_TC_I_4_'[%']]]+Tab_Process_TCs2527[[#This Row],[Flow_TC_I_5_'[%']]]</f>
        <v>0</v>
      </c>
      <c r="AC91" s="17" t="e">
        <f>_xlfn.XLOOKUP($D91,#REF!,#REF!,,0,)</f>
        <v>#REF!</v>
      </c>
      <c r="AD91" s="10" t="e">
        <f>_xlfn.XLOOKUP($D91,#REF!,#REF!,,0,)</f>
        <v>#REF!</v>
      </c>
      <c r="AE91" s="44" t="str">
        <f>Tab_Process_TCs2527[[#This Row],[Flow_ID]]</f>
        <v>N.A.</v>
      </c>
      <c r="AF91" s="10" t="e">
        <f t="shared" si="17"/>
        <v>#REF!</v>
      </c>
      <c r="AG91" s="51">
        <v>0.4</v>
      </c>
      <c r="AH91" s="171" t="e">
        <f>_xlfn.XLOOKUP($D91,#REF!,#REF!,,0,)</f>
        <v>#REF!</v>
      </c>
      <c r="AI91" s="55" t="e">
        <f>_xlfn.XLOOKUP($D91,#REF!,#REF!,,0,)</f>
        <v>#REF!</v>
      </c>
      <c r="AJ91" s="44" t="str">
        <f>Tab_Process_TCs2527[[#This Row],[Flow_ID]]</f>
        <v>N.A.</v>
      </c>
      <c r="AK91" s="10" t="e">
        <f t="shared" si="18"/>
        <v>#REF!</v>
      </c>
      <c r="AL91" s="170">
        <v>0.6</v>
      </c>
      <c r="AM91" s="17" t="e">
        <f>_xlfn.XLOOKUP($D91,#REF!,#REF!,,0,)</f>
        <v>#REF!</v>
      </c>
      <c r="AN91" s="10" t="e">
        <f>_xlfn.XLOOKUP($D91,#REF!,#REF!,,0,)</f>
        <v>#REF!</v>
      </c>
      <c r="AO91" s="44" t="str">
        <f>Tab_Process_TCs2527[[#This Row],[Flow_ID]]</f>
        <v>N.A.</v>
      </c>
      <c r="AP91" s="10" t="e">
        <f t="shared" si="19"/>
        <v>#REF!</v>
      </c>
      <c r="AQ91" s="170"/>
      <c r="AR91" s="17" t="e">
        <f>_xlfn.XLOOKUP($D91,#REF!,#REF!,,0,)</f>
        <v>#REF!</v>
      </c>
      <c r="AS91" s="10" t="e">
        <f>_xlfn.XLOOKUP($D91,#REF!,#REF!,,0,)</f>
        <v>#REF!</v>
      </c>
      <c r="AT91" s="44" t="str">
        <f>Tab_Process_TCs2527[[#This Row],[Flow_ID]]</f>
        <v>N.A.</v>
      </c>
      <c r="AU91" s="44" t="e">
        <f t="shared" si="20"/>
        <v>#REF!</v>
      </c>
      <c r="AV91" s="170"/>
      <c r="AW91" s="17" t="e">
        <f>_xlfn.XLOOKUP($D91,#REF!,#REF!,,0,)</f>
        <v>#REF!</v>
      </c>
      <c r="AX91" s="10" t="e">
        <f>_xlfn.XLOOKUP($D91,#REF!,#REF!,,0,)</f>
        <v>#REF!</v>
      </c>
      <c r="AY91" s="44" t="str">
        <f>Tab_Process_TCs2527[[#This Row],[Flow_ID]]</f>
        <v>N.A.</v>
      </c>
      <c r="AZ91" s="44" t="e">
        <f t="shared" si="21"/>
        <v>#REF!</v>
      </c>
      <c r="BA91" s="170"/>
      <c r="BB91" s="10" t="e">
        <f>_xlfn.XLOOKUP($D91,#REF!,#REF!,,0,)</f>
        <v>#REF!</v>
      </c>
      <c r="BC91" s="10" t="e">
        <f>_xlfn.XLOOKUP($D91,#REF!,#REF!,,0,)</f>
        <v>#REF!</v>
      </c>
      <c r="BD91" s="44" t="str">
        <f>Tab_Process_TCs2527[[#This Row],[Flow_ID]]</f>
        <v>N.A.</v>
      </c>
      <c r="BE91" s="44" t="e">
        <f t="shared" si="22"/>
        <v>#REF!</v>
      </c>
      <c r="BF91" s="51"/>
      <c r="BG91" s="54">
        <f>Tab_Process_TCs2527[[#This Row],[TC O_6_'[%']]]+Tab_Process_TCs2527[[#This Row],[TC O_5_'[%']]]+Tab_Process_TCs2527[[#This Row],[TC_O_4_'[%']]]+Tab_Process_TCs2527[[#This Row],[TC_O_3_'[%']]]+Tab_Process_TCs2527[[#This Row],[TC_O_2_'[%']]]+Tab_Process_TCs2527[[#This Row],[TC_O_1_'[%']]]</f>
        <v>1</v>
      </c>
      <c r="BH91" s="12"/>
      <c r="BI91" s="12"/>
      <c r="BJ91" s="12"/>
      <c r="BK91" s="12"/>
      <c r="BL91" s="12"/>
    </row>
    <row r="92" spans="1:64" x14ac:dyDescent="0.25">
      <c r="A92" s="197" t="b">
        <v>0</v>
      </c>
      <c r="B92" s="10">
        <f t="shared" si="16"/>
        <v>91</v>
      </c>
      <c r="C92" s="49" t="e">
        <f>_xlfn.XLOOKUP($D92,Tab_Process_TCs[Name(EN)],Tab_Process_TCs[Process_ID],,0,)</f>
        <v>#N/A</v>
      </c>
      <c r="D92" s="192" t="s">
        <v>35</v>
      </c>
      <c r="E92" s="192" t="s">
        <v>35</v>
      </c>
      <c r="F92" s="49" t="e">
        <f>_xlfn.XLOOKUP($D92,Tab_Process_TCs[Name(EN)],Tab_Process_TCs[TC?],,0,)</f>
        <v>#N/A</v>
      </c>
      <c r="G92" s="49" t="e">
        <f>_xlfn.XLOOKUP($D92,Tab_Process_TCs[Name(EN)],Tab_Process_TCs[Dyn_TC?],,0,)</f>
        <v>#N/A</v>
      </c>
      <c r="H92" s="10" t="str">
        <f>_xlfn.XLOOKUP($E92,Tab_Def_Flows[Name(EN)],Tab_Def_Flows[Flow_ID],,0,1)</f>
        <v>N.A.</v>
      </c>
      <c r="I92" s="10" t="str">
        <f>IF(Tab_Process_TCs2527[[#This Row],[Name(EN)]]="N.A.","N.A.","TC"&amp;"_"&amp;RIGHT(H92,5))</f>
        <v>N.A.</v>
      </c>
      <c r="J92" s="12"/>
      <c r="K92" s="186"/>
      <c r="L92" s="10"/>
      <c r="M92" s="17" t="e">
        <f>_xlfn.XLOOKUP($D92,Tab_Def_Processes[Name(EN)],Tab_Def_Processes[Input_Flow_I_1],,0,)</f>
        <v>#N/A</v>
      </c>
      <c r="N92" s="10" t="e">
        <f>_xlfn.XLOOKUP($D92,Tab_Def_Processes[Name(EN)],Tab_Def_Processes[Flow_ID_I_1],,0,)</f>
        <v>#N/A</v>
      </c>
      <c r="O92" s="34"/>
      <c r="P92" s="30" t="e">
        <f>_xlfn.XLOOKUP($D92,Tab_Def_Processes[Name(EN)],Tab_Def_Processes[Input_Flow_I_2],,0,)</f>
        <v>#N/A</v>
      </c>
      <c r="Q92" s="10" t="e">
        <f>_xlfn.XLOOKUP($D92,Tab_Def_Processes[Name(EN)],Tab_Def_Processes[Flow_ID_I_2],,0,)</f>
        <v>#N/A</v>
      </c>
      <c r="R92" s="34"/>
      <c r="S92" s="30" t="e">
        <f>_xlfn.XLOOKUP($D92,Tab_Def_Processes[Name(EN)],Tab_Def_Processes[Input_Flow_I_3],,0,)</f>
        <v>#N/A</v>
      </c>
      <c r="T92" s="10" t="e">
        <f>_xlfn.XLOOKUP($D92,Tab_Def_Processes[Name(EN)],Tab_Def_Processes[Flow_ID_I_3],,0,)</f>
        <v>#N/A</v>
      </c>
      <c r="U92" s="34"/>
      <c r="V92" s="30" t="e">
        <f>_xlfn.XLOOKUP($D92,Tab_Def_Processes[Name(EN)],Tab_Def_Processes[Input_Flow_I_4],,0,)</f>
        <v>#N/A</v>
      </c>
      <c r="W92" s="10" t="e">
        <f>_xlfn.XLOOKUP($D92,Tab_Def_Processes[Name(EN)],Tab_Def_Processes[Flow_ID_I_4],,0,)</f>
        <v>#N/A</v>
      </c>
      <c r="X92" s="34"/>
      <c r="Y92" s="30" t="e">
        <f>_xlfn.XLOOKUP($D92,Tab_Def_Processes[Name(EN)],Tab_Def_Processes[Input_Flow_I_5],,0,)</f>
        <v>#N/A</v>
      </c>
      <c r="Z92" s="10" t="e">
        <f>_xlfn.XLOOKUP($D92,Tab_Def_Processes[Name(EN)],Tab_Def_Processes[Flow_ID_I_5],,0,)</f>
        <v>#N/A</v>
      </c>
      <c r="AA92" s="34"/>
      <c r="AB92" s="33">
        <f>Tab_Process_TCs2527[[#This Row],[Flow_TC_I_1_'[%']]]+Tab_Process_TCs2527[[#This Row],[Flow_TC_I_2_'[%']]]+Tab_Process_TCs2527[[#This Row],[Flow_TC_I_3_'[%']]]+Tab_Process_TCs2527[[#This Row],[Flow_TC_I_4_'[%']]]+Tab_Process_TCs2527[[#This Row],[Flow_TC_I_5_'[%']]]</f>
        <v>0</v>
      </c>
      <c r="AC92" s="17" t="e">
        <f>_xlfn.XLOOKUP($D92,#REF!,#REF!,,0,)</f>
        <v>#REF!</v>
      </c>
      <c r="AD92" s="10" t="e">
        <f>_xlfn.XLOOKUP($D92,#REF!,#REF!,,0,)</f>
        <v>#REF!</v>
      </c>
      <c r="AE92" s="44" t="str">
        <f>Tab_Process_TCs2527[[#This Row],[Flow_ID]]</f>
        <v>N.A.</v>
      </c>
      <c r="AF92" s="10" t="e">
        <f t="shared" si="17"/>
        <v>#REF!</v>
      </c>
      <c r="AG92" s="51">
        <v>0.4</v>
      </c>
      <c r="AH92" s="171" t="e">
        <f>_xlfn.XLOOKUP($D92,#REF!,#REF!,,0,)</f>
        <v>#REF!</v>
      </c>
      <c r="AI92" s="55" t="e">
        <f>_xlfn.XLOOKUP($D92,#REF!,#REF!,,0,)</f>
        <v>#REF!</v>
      </c>
      <c r="AJ92" s="44" t="str">
        <f>Tab_Process_TCs2527[[#This Row],[Flow_ID]]</f>
        <v>N.A.</v>
      </c>
      <c r="AK92" s="10" t="e">
        <f t="shared" si="18"/>
        <v>#REF!</v>
      </c>
      <c r="AL92" s="170">
        <v>0.6</v>
      </c>
      <c r="AM92" s="17" t="e">
        <f>_xlfn.XLOOKUP($D92,#REF!,#REF!,,0,)</f>
        <v>#REF!</v>
      </c>
      <c r="AN92" s="10" t="e">
        <f>_xlfn.XLOOKUP($D92,#REF!,#REF!,,0,)</f>
        <v>#REF!</v>
      </c>
      <c r="AO92" s="44" t="str">
        <f>Tab_Process_TCs2527[[#This Row],[Flow_ID]]</f>
        <v>N.A.</v>
      </c>
      <c r="AP92" s="10" t="e">
        <f t="shared" si="19"/>
        <v>#REF!</v>
      </c>
      <c r="AQ92" s="170"/>
      <c r="AR92" s="17" t="e">
        <f>_xlfn.XLOOKUP($D92,#REF!,#REF!,,0,)</f>
        <v>#REF!</v>
      </c>
      <c r="AS92" s="10" t="e">
        <f>_xlfn.XLOOKUP($D92,#REF!,#REF!,,0,)</f>
        <v>#REF!</v>
      </c>
      <c r="AT92" s="44" t="str">
        <f>Tab_Process_TCs2527[[#This Row],[Flow_ID]]</f>
        <v>N.A.</v>
      </c>
      <c r="AU92" s="44" t="e">
        <f t="shared" si="20"/>
        <v>#REF!</v>
      </c>
      <c r="AV92" s="170"/>
      <c r="AW92" s="17" t="e">
        <f>_xlfn.XLOOKUP($D92,#REF!,#REF!,,0,)</f>
        <v>#REF!</v>
      </c>
      <c r="AX92" s="10" t="e">
        <f>_xlfn.XLOOKUP($D92,#REF!,#REF!,,0,)</f>
        <v>#REF!</v>
      </c>
      <c r="AY92" s="44" t="str">
        <f>Tab_Process_TCs2527[[#This Row],[Flow_ID]]</f>
        <v>N.A.</v>
      </c>
      <c r="AZ92" s="44" t="e">
        <f t="shared" si="21"/>
        <v>#REF!</v>
      </c>
      <c r="BA92" s="170"/>
      <c r="BB92" s="10" t="e">
        <f>_xlfn.XLOOKUP($D92,#REF!,#REF!,,0,)</f>
        <v>#REF!</v>
      </c>
      <c r="BC92" s="10" t="e">
        <f>_xlfn.XLOOKUP($D92,#REF!,#REF!,,0,)</f>
        <v>#REF!</v>
      </c>
      <c r="BD92" s="44" t="str">
        <f>Tab_Process_TCs2527[[#This Row],[Flow_ID]]</f>
        <v>N.A.</v>
      </c>
      <c r="BE92" s="44" t="e">
        <f t="shared" si="22"/>
        <v>#REF!</v>
      </c>
      <c r="BF92" s="51"/>
      <c r="BG92" s="54">
        <f>Tab_Process_TCs2527[[#This Row],[TC O_6_'[%']]]+Tab_Process_TCs2527[[#This Row],[TC O_5_'[%']]]+Tab_Process_TCs2527[[#This Row],[TC_O_4_'[%']]]+Tab_Process_TCs2527[[#This Row],[TC_O_3_'[%']]]+Tab_Process_TCs2527[[#This Row],[TC_O_2_'[%']]]+Tab_Process_TCs2527[[#This Row],[TC_O_1_'[%']]]</f>
        <v>1</v>
      </c>
      <c r="BH92" s="12"/>
      <c r="BI92" s="12"/>
      <c r="BJ92" s="12"/>
      <c r="BK92" s="12"/>
      <c r="BL92" s="12"/>
    </row>
    <row r="93" spans="1:64" x14ac:dyDescent="0.25">
      <c r="A93" s="197" t="b">
        <v>0</v>
      </c>
      <c r="B93" s="10">
        <f t="shared" si="16"/>
        <v>92</v>
      </c>
      <c r="C93" s="49" t="e">
        <f>_xlfn.XLOOKUP($D93,Tab_Process_TCs[Name(EN)],Tab_Process_TCs[Process_ID],,0,)</f>
        <v>#N/A</v>
      </c>
      <c r="D93" s="192" t="s">
        <v>35</v>
      </c>
      <c r="E93" s="192" t="s">
        <v>35</v>
      </c>
      <c r="F93" s="49" t="e">
        <f>_xlfn.XLOOKUP($D93,Tab_Process_TCs[Name(EN)],Tab_Process_TCs[TC?],,0,)</f>
        <v>#N/A</v>
      </c>
      <c r="G93" s="49" t="e">
        <f>_xlfn.XLOOKUP($D93,Tab_Process_TCs[Name(EN)],Tab_Process_TCs[Dyn_TC?],,0,)</f>
        <v>#N/A</v>
      </c>
      <c r="H93" s="10" t="str">
        <f>_xlfn.XLOOKUP($E93,Tab_Def_Flows[Name(EN)],Tab_Def_Flows[Flow_ID],,0,1)</f>
        <v>N.A.</v>
      </c>
      <c r="I93" s="10" t="str">
        <f>IF(Tab_Process_TCs2527[[#This Row],[Name(EN)]]="N.A.","N.A.","TC"&amp;"_"&amp;RIGHT(H93,5))</f>
        <v>N.A.</v>
      </c>
      <c r="J93" s="12"/>
      <c r="K93" s="186"/>
      <c r="L93" s="10"/>
      <c r="M93" s="17" t="e">
        <f>_xlfn.XLOOKUP($D93,Tab_Def_Processes[Name(EN)],Tab_Def_Processes[Input_Flow_I_1],,0,)</f>
        <v>#N/A</v>
      </c>
      <c r="N93" s="10" t="e">
        <f>_xlfn.XLOOKUP($D93,Tab_Def_Processes[Name(EN)],Tab_Def_Processes[Flow_ID_I_1],,0,)</f>
        <v>#N/A</v>
      </c>
      <c r="O93" s="34"/>
      <c r="P93" s="30" t="e">
        <f>_xlfn.XLOOKUP($D93,Tab_Def_Processes[Name(EN)],Tab_Def_Processes[Input_Flow_I_2],,0,)</f>
        <v>#N/A</v>
      </c>
      <c r="Q93" s="10" t="e">
        <f>_xlfn.XLOOKUP($D93,Tab_Def_Processes[Name(EN)],Tab_Def_Processes[Flow_ID_I_2],,0,)</f>
        <v>#N/A</v>
      </c>
      <c r="R93" s="34"/>
      <c r="S93" s="30" t="e">
        <f>_xlfn.XLOOKUP($D93,Tab_Def_Processes[Name(EN)],Tab_Def_Processes[Input_Flow_I_3],,0,)</f>
        <v>#N/A</v>
      </c>
      <c r="T93" s="10" t="e">
        <f>_xlfn.XLOOKUP($D93,Tab_Def_Processes[Name(EN)],Tab_Def_Processes[Flow_ID_I_3],,0,)</f>
        <v>#N/A</v>
      </c>
      <c r="U93" s="34"/>
      <c r="V93" s="30" t="e">
        <f>_xlfn.XLOOKUP($D93,Tab_Def_Processes[Name(EN)],Tab_Def_Processes[Input_Flow_I_4],,0,)</f>
        <v>#N/A</v>
      </c>
      <c r="W93" s="10" t="e">
        <f>_xlfn.XLOOKUP($D93,Tab_Def_Processes[Name(EN)],Tab_Def_Processes[Flow_ID_I_4],,0,)</f>
        <v>#N/A</v>
      </c>
      <c r="X93" s="34"/>
      <c r="Y93" s="30" t="e">
        <f>_xlfn.XLOOKUP($D93,Tab_Def_Processes[Name(EN)],Tab_Def_Processes[Input_Flow_I_5],,0,)</f>
        <v>#N/A</v>
      </c>
      <c r="Z93" s="10" t="e">
        <f>_xlfn.XLOOKUP($D93,Tab_Def_Processes[Name(EN)],Tab_Def_Processes[Flow_ID_I_5],,0,)</f>
        <v>#N/A</v>
      </c>
      <c r="AA93" s="34"/>
      <c r="AB93" s="33">
        <f>Tab_Process_TCs2527[[#This Row],[Flow_TC_I_1_'[%']]]+Tab_Process_TCs2527[[#This Row],[Flow_TC_I_2_'[%']]]+Tab_Process_TCs2527[[#This Row],[Flow_TC_I_3_'[%']]]+Tab_Process_TCs2527[[#This Row],[Flow_TC_I_4_'[%']]]+Tab_Process_TCs2527[[#This Row],[Flow_TC_I_5_'[%']]]</f>
        <v>0</v>
      </c>
      <c r="AC93" s="17" t="e">
        <f>_xlfn.XLOOKUP($D93,#REF!,#REF!,,0,)</f>
        <v>#REF!</v>
      </c>
      <c r="AD93" s="10" t="e">
        <f>_xlfn.XLOOKUP($D93,#REF!,#REF!,,0,)</f>
        <v>#REF!</v>
      </c>
      <c r="AE93" s="44" t="str">
        <f>Tab_Process_TCs2527[[#This Row],[Flow_ID]]</f>
        <v>N.A.</v>
      </c>
      <c r="AF93" s="10" t="e">
        <f t="shared" si="17"/>
        <v>#REF!</v>
      </c>
      <c r="AG93" s="51">
        <v>0.4</v>
      </c>
      <c r="AH93" s="171" t="e">
        <f>_xlfn.XLOOKUP($D93,#REF!,#REF!,,0,)</f>
        <v>#REF!</v>
      </c>
      <c r="AI93" s="55" t="e">
        <f>_xlfn.XLOOKUP($D93,#REF!,#REF!,,0,)</f>
        <v>#REF!</v>
      </c>
      <c r="AJ93" s="44" t="str">
        <f>Tab_Process_TCs2527[[#This Row],[Flow_ID]]</f>
        <v>N.A.</v>
      </c>
      <c r="AK93" s="10" t="e">
        <f t="shared" si="18"/>
        <v>#REF!</v>
      </c>
      <c r="AL93" s="170">
        <v>0.6</v>
      </c>
      <c r="AM93" s="17" t="e">
        <f>_xlfn.XLOOKUP($D93,#REF!,#REF!,,0,)</f>
        <v>#REF!</v>
      </c>
      <c r="AN93" s="10" t="e">
        <f>_xlfn.XLOOKUP($D93,#REF!,#REF!,,0,)</f>
        <v>#REF!</v>
      </c>
      <c r="AO93" s="44" t="str">
        <f>Tab_Process_TCs2527[[#This Row],[Flow_ID]]</f>
        <v>N.A.</v>
      </c>
      <c r="AP93" s="10" t="e">
        <f t="shared" si="19"/>
        <v>#REF!</v>
      </c>
      <c r="AQ93" s="170"/>
      <c r="AR93" s="17" t="e">
        <f>_xlfn.XLOOKUP($D93,#REF!,#REF!,,0,)</f>
        <v>#REF!</v>
      </c>
      <c r="AS93" s="10" t="e">
        <f>_xlfn.XLOOKUP($D93,#REF!,#REF!,,0,)</f>
        <v>#REF!</v>
      </c>
      <c r="AT93" s="44" t="str">
        <f>Tab_Process_TCs2527[[#This Row],[Flow_ID]]</f>
        <v>N.A.</v>
      </c>
      <c r="AU93" s="44" t="e">
        <f t="shared" si="20"/>
        <v>#REF!</v>
      </c>
      <c r="AV93" s="170"/>
      <c r="AW93" s="17" t="e">
        <f>_xlfn.XLOOKUP($D93,#REF!,#REF!,,0,)</f>
        <v>#REF!</v>
      </c>
      <c r="AX93" s="10" t="e">
        <f>_xlfn.XLOOKUP($D93,#REF!,#REF!,,0,)</f>
        <v>#REF!</v>
      </c>
      <c r="AY93" s="44" t="str">
        <f>Tab_Process_TCs2527[[#This Row],[Flow_ID]]</f>
        <v>N.A.</v>
      </c>
      <c r="AZ93" s="44" t="e">
        <f t="shared" si="21"/>
        <v>#REF!</v>
      </c>
      <c r="BA93" s="170"/>
      <c r="BB93" s="10" t="e">
        <f>_xlfn.XLOOKUP($D93,#REF!,#REF!,,0,)</f>
        <v>#REF!</v>
      </c>
      <c r="BC93" s="10" t="e">
        <f>_xlfn.XLOOKUP($D93,#REF!,#REF!,,0,)</f>
        <v>#REF!</v>
      </c>
      <c r="BD93" s="44" t="str">
        <f>Tab_Process_TCs2527[[#This Row],[Flow_ID]]</f>
        <v>N.A.</v>
      </c>
      <c r="BE93" s="44" t="e">
        <f t="shared" si="22"/>
        <v>#REF!</v>
      </c>
      <c r="BF93" s="51"/>
      <c r="BG93" s="54">
        <f>Tab_Process_TCs2527[[#This Row],[TC O_6_'[%']]]+Tab_Process_TCs2527[[#This Row],[TC O_5_'[%']]]+Tab_Process_TCs2527[[#This Row],[TC_O_4_'[%']]]+Tab_Process_TCs2527[[#This Row],[TC_O_3_'[%']]]+Tab_Process_TCs2527[[#This Row],[TC_O_2_'[%']]]+Tab_Process_TCs2527[[#This Row],[TC_O_1_'[%']]]</f>
        <v>1</v>
      </c>
      <c r="BH93" s="12"/>
      <c r="BI93" s="12"/>
      <c r="BJ93" s="12"/>
      <c r="BK93" s="12"/>
      <c r="BL93" s="12"/>
    </row>
    <row r="94" spans="1:64" x14ac:dyDescent="0.25">
      <c r="A94" s="197" t="b">
        <v>0</v>
      </c>
      <c r="B94" s="10">
        <f t="shared" si="16"/>
        <v>93</v>
      </c>
      <c r="C94" s="49" t="e">
        <f>_xlfn.XLOOKUP($D94,Tab_Process_TCs[Name(EN)],Tab_Process_TCs[Process_ID],,0,)</f>
        <v>#N/A</v>
      </c>
      <c r="D94" s="192" t="s">
        <v>35</v>
      </c>
      <c r="E94" s="192" t="s">
        <v>35</v>
      </c>
      <c r="F94" s="49" t="e">
        <f>_xlfn.XLOOKUP($D94,Tab_Process_TCs[Name(EN)],Tab_Process_TCs[TC?],,0,)</f>
        <v>#N/A</v>
      </c>
      <c r="G94" s="49" t="e">
        <f>_xlfn.XLOOKUP($D94,Tab_Process_TCs[Name(EN)],Tab_Process_TCs[Dyn_TC?],,0,)</f>
        <v>#N/A</v>
      </c>
      <c r="H94" s="10" t="str">
        <f>_xlfn.XLOOKUP($E94,Tab_Def_Flows[Name(EN)],Tab_Def_Flows[Flow_ID],,0,1)</f>
        <v>N.A.</v>
      </c>
      <c r="I94" s="10" t="str">
        <f>IF(Tab_Process_TCs2527[[#This Row],[Name(EN)]]="N.A.","N.A.","TC"&amp;"_"&amp;RIGHT(H94,5))</f>
        <v>N.A.</v>
      </c>
      <c r="J94" s="12"/>
      <c r="K94" s="186"/>
      <c r="L94" s="10"/>
      <c r="M94" s="17" t="e">
        <f>_xlfn.XLOOKUP($D94,Tab_Def_Processes[Name(EN)],Tab_Def_Processes[Input_Flow_I_1],,0,)</f>
        <v>#N/A</v>
      </c>
      <c r="N94" s="10" t="e">
        <f>_xlfn.XLOOKUP($D94,Tab_Def_Processes[Name(EN)],Tab_Def_Processes[Flow_ID_I_1],,0,)</f>
        <v>#N/A</v>
      </c>
      <c r="O94" s="34"/>
      <c r="P94" s="30" t="e">
        <f>_xlfn.XLOOKUP($D94,Tab_Def_Processes[Name(EN)],Tab_Def_Processes[Input_Flow_I_2],,0,)</f>
        <v>#N/A</v>
      </c>
      <c r="Q94" s="10" t="e">
        <f>_xlfn.XLOOKUP($D94,Tab_Def_Processes[Name(EN)],Tab_Def_Processes[Flow_ID_I_2],,0,)</f>
        <v>#N/A</v>
      </c>
      <c r="R94" s="34"/>
      <c r="S94" s="30" t="e">
        <f>_xlfn.XLOOKUP($D94,Tab_Def_Processes[Name(EN)],Tab_Def_Processes[Input_Flow_I_3],,0,)</f>
        <v>#N/A</v>
      </c>
      <c r="T94" s="10" t="e">
        <f>_xlfn.XLOOKUP($D94,Tab_Def_Processes[Name(EN)],Tab_Def_Processes[Flow_ID_I_3],,0,)</f>
        <v>#N/A</v>
      </c>
      <c r="U94" s="34"/>
      <c r="V94" s="30" t="e">
        <f>_xlfn.XLOOKUP($D94,Tab_Def_Processes[Name(EN)],Tab_Def_Processes[Input_Flow_I_4],,0,)</f>
        <v>#N/A</v>
      </c>
      <c r="W94" s="10" t="e">
        <f>_xlfn.XLOOKUP($D94,Tab_Def_Processes[Name(EN)],Tab_Def_Processes[Flow_ID_I_4],,0,)</f>
        <v>#N/A</v>
      </c>
      <c r="X94" s="34"/>
      <c r="Y94" s="30" t="e">
        <f>_xlfn.XLOOKUP($D94,Tab_Def_Processes[Name(EN)],Tab_Def_Processes[Input_Flow_I_5],,0,)</f>
        <v>#N/A</v>
      </c>
      <c r="Z94" s="10" t="e">
        <f>_xlfn.XLOOKUP($D94,Tab_Def_Processes[Name(EN)],Tab_Def_Processes[Flow_ID_I_5],,0,)</f>
        <v>#N/A</v>
      </c>
      <c r="AA94" s="34"/>
      <c r="AB94" s="33">
        <f>Tab_Process_TCs2527[[#This Row],[Flow_TC_I_1_'[%']]]+Tab_Process_TCs2527[[#This Row],[Flow_TC_I_2_'[%']]]+Tab_Process_TCs2527[[#This Row],[Flow_TC_I_3_'[%']]]+Tab_Process_TCs2527[[#This Row],[Flow_TC_I_4_'[%']]]+Tab_Process_TCs2527[[#This Row],[Flow_TC_I_5_'[%']]]</f>
        <v>0</v>
      </c>
      <c r="AC94" s="17" t="e">
        <f>_xlfn.XLOOKUP($D94,#REF!,#REF!,,0,)</f>
        <v>#REF!</v>
      </c>
      <c r="AD94" s="10" t="e">
        <f>_xlfn.XLOOKUP($D94,#REF!,#REF!,,0,)</f>
        <v>#REF!</v>
      </c>
      <c r="AE94" s="44" t="str">
        <f>Tab_Process_TCs2527[[#This Row],[Flow_ID]]</f>
        <v>N.A.</v>
      </c>
      <c r="AF94" s="10" t="e">
        <f t="shared" si="17"/>
        <v>#REF!</v>
      </c>
      <c r="AG94" s="51">
        <v>0.4</v>
      </c>
      <c r="AH94" s="171" t="e">
        <f>_xlfn.XLOOKUP($D94,#REF!,#REF!,,0,)</f>
        <v>#REF!</v>
      </c>
      <c r="AI94" s="55" t="e">
        <f>_xlfn.XLOOKUP($D94,#REF!,#REF!,,0,)</f>
        <v>#REF!</v>
      </c>
      <c r="AJ94" s="44" t="str">
        <f>Tab_Process_TCs2527[[#This Row],[Flow_ID]]</f>
        <v>N.A.</v>
      </c>
      <c r="AK94" s="10" t="e">
        <f t="shared" si="18"/>
        <v>#REF!</v>
      </c>
      <c r="AL94" s="170">
        <v>0.6</v>
      </c>
      <c r="AM94" s="17" t="e">
        <f>_xlfn.XLOOKUP($D94,#REF!,#REF!,,0,)</f>
        <v>#REF!</v>
      </c>
      <c r="AN94" s="10" t="e">
        <f>_xlfn.XLOOKUP($D94,#REF!,#REF!,,0,)</f>
        <v>#REF!</v>
      </c>
      <c r="AO94" s="44" t="str">
        <f>Tab_Process_TCs2527[[#This Row],[Flow_ID]]</f>
        <v>N.A.</v>
      </c>
      <c r="AP94" s="10" t="e">
        <f t="shared" si="19"/>
        <v>#REF!</v>
      </c>
      <c r="AQ94" s="170"/>
      <c r="AR94" s="17" t="e">
        <f>_xlfn.XLOOKUP($D94,#REF!,#REF!,,0,)</f>
        <v>#REF!</v>
      </c>
      <c r="AS94" s="10" t="e">
        <f>_xlfn.XLOOKUP($D94,#REF!,#REF!,,0,)</f>
        <v>#REF!</v>
      </c>
      <c r="AT94" s="44" t="str">
        <f>Tab_Process_TCs2527[[#This Row],[Flow_ID]]</f>
        <v>N.A.</v>
      </c>
      <c r="AU94" s="44" t="e">
        <f t="shared" si="20"/>
        <v>#REF!</v>
      </c>
      <c r="AV94" s="170"/>
      <c r="AW94" s="17" t="e">
        <f>_xlfn.XLOOKUP($D94,#REF!,#REF!,,0,)</f>
        <v>#REF!</v>
      </c>
      <c r="AX94" s="10" t="e">
        <f>_xlfn.XLOOKUP($D94,#REF!,#REF!,,0,)</f>
        <v>#REF!</v>
      </c>
      <c r="AY94" s="44" t="str">
        <f>Tab_Process_TCs2527[[#This Row],[Flow_ID]]</f>
        <v>N.A.</v>
      </c>
      <c r="AZ94" s="44" t="e">
        <f t="shared" si="21"/>
        <v>#REF!</v>
      </c>
      <c r="BA94" s="170"/>
      <c r="BB94" s="10" t="e">
        <f>_xlfn.XLOOKUP($D94,#REF!,#REF!,,0,)</f>
        <v>#REF!</v>
      </c>
      <c r="BC94" s="10" t="e">
        <f>_xlfn.XLOOKUP($D94,#REF!,#REF!,,0,)</f>
        <v>#REF!</v>
      </c>
      <c r="BD94" s="44" t="str">
        <f>Tab_Process_TCs2527[[#This Row],[Flow_ID]]</f>
        <v>N.A.</v>
      </c>
      <c r="BE94" s="44" t="e">
        <f t="shared" si="22"/>
        <v>#REF!</v>
      </c>
      <c r="BF94" s="51"/>
      <c r="BG94" s="54">
        <f>Tab_Process_TCs2527[[#This Row],[TC O_6_'[%']]]+Tab_Process_TCs2527[[#This Row],[TC O_5_'[%']]]+Tab_Process_TCs2527[[#This Row],[TC_O_4_'[%']]]+Tab_Process_TCs2527[[#This Row],[TC_O_3_'[%']]]+Tab_Process_TCs2527[[#This Row],[TC_O_2_'[%']]]+Tab_Process_TCs2527[[#This Row],[TC_O_1_'[%']]]</f>
        <v>1</v>
      </c>
      <c r="BH94" s="12"/>
      <c r="BI94" s="12"/>
      <c r="BJ94" s="12"/>
      <c r="BK94" s="12"/>
      <c r="BL94" s="12"/>
    </row>
    <row r="95" spans="1:64" x14ac:dyDescent="0.25">
      <c r="A95" s="197" t="b">
        <v>0</v>
      </c>
      <c r="B95" s="10">
        <f t="shared" si="16"/>
        <v>94</v>
      </c>
      <c r="C95" s="49" t="e">
        <f>_xlfn.XLOOKUP($D95,Tab_Process_TCs[Name(EN)],Tab_Process_TCs[Process_ID],,0,)</f>
        <v>#N/A</v>
      </c>
      <c r="D95" s="192" t="s">
        <v>35</v>
      </c>
      <c r="E95" s="192" t="s">
        <v>35</v>
      </c>
      <c r="F95" s="49" t="e">
        <f>_xlfn.XLOOKUP($D95,Tab_Process_TCs[Name(EN)],Tab_Process_TCs[TC?],,0,)</f>
        <v>#N/A</v>
      </c>
      <c r="G95" s="49" t="e">
        <f>_xlfn.XLOOKUP($D95,Tab_Process_TCs[Name(EN)],Tab_Process_TCs[Dyn_TC?],,0,)</f>
        <v>#N/A</v>
      </c>
      <c r="H95" s="10" t="str">
        <f>_xlfn.XLOOKUP($E95,Tab_Def_Flows[Name(EN)],Tab_Def_Flows[Flow_ID],,0,1)</f>
        <v>N.A.</v>
      </c>
      <c r="I95" s="10" t="str">
        <f>IF(Tab_Process_TCs2527[[#This Row],[Name(EN)]]="N.A.","N.A.","TC"&amp;"_"&amp;RIGHT(H95,5))</f>
        <v>N.A.</v>
      </c>
      <c r="J95" s="12"/>
      <c r="K95" s="186"/>
      <c r="L95" s="10"/>
      <c r="M95" s="17" t="e">
        <f>_xlfn.XLOOKUP($D95,Tab_Def_Processes[Name(EN)],Tab_Def_Processes[Input_Flow_I_1],,0,)</f>
        <v>#N/A</v>
      </c>
      <c r="N95" s="10" t="e">
        <f>_xlfn.XLOOKUP($D95,Tab_Def_Processes[Name(EN)],Tab_Def_Processes[Flow_ID_I_1],,0,)</f>
        <v>#N/A</v>
      </c>
      <c r="O95" s="34"/>
      <c r="P95" s="30" t="e">
        <f>_xlfn.XLOOKUP($D95,Tab_Def_Processes[Name(EN)],Tab_Def_Processes[Input_Flow_I_2],,0,)</f>
        <v>#N/A</v>
      </c>
      <c r="Q95" s="10" t="e">
        <f>_xlfn.XLOOKUP($D95,Tab_Def_Processes[Name(EN)],Tab_Def_Processes[Flow_ID_I_2],,0,)</f>
        <v>#N/A</v>
      </c>
      <c r="R95" s="34"/>
      <c r="S95" s="30" t="e">
        <f>_xlfn.XLOOKUP($D95,Tab_Def_Processes[Name(EN)],Tab_Def_Processes[Input_Flow_I_3],,0,)</f>
        <v>#N/A</v>
      </c>
      <c r="T95" s="10" t="e">
        <f>_xlfn.XLOOKUP($D95,Tab_Def_Processes[Name(EN)],Tab_Def_Processes[Flow_ID_I_3],,0,)</f>
        <v>#N/A</v>
      </c>
      <c r="U95" s="34"/>
      <c r="V95" s="30" t="e">
        <f>_xlfn.XLOOKUP($D95,Tab_Def_Processes[Name(EN)],Tab_Def_Processes[Input_Flow_I_4],,0,)</f>
        <v>#N/A</v>
      </c>
      <c r="W95" s="10" t="e">
        <f>_xlfn.XLOOKUP($D95,Tab_Def_Processes[Name(EN)],Tab_Def_Processes[Flow_ID_I_4],,0,)</f>
        <v>#N/A</v>
      </c>
      <c r="X95" s="34"/>
      <c r="Y95" s="30" t="e">
        <f>_xlfn.XLOOKUP($D95,Tab_Def_Processes[Name(EN)],Tab_Def_Processes[Input_Flow_I_5],,0,)</f>
        <v>#N/A</v>
      </c>
      <c r="Z95" s="10" t="e">
        <f>_xlfn.XLOOKUP($D95,Tab_Def_Processes[Name(EN)],Tab_Def_Processes[Flow_ID_I_5],,0,)</f>
        <v>#N/A</v>
      </c>
      <c r="AA95" s="34"/>
      <c r="AB95" s="33">
        <f>Tab_Process_TCs2527[[#This Row],[Flow_TC_I_1_'[%']]]+Tab_Process_TCs2527[[#This Row],[Flow_TC_I_2_'[%']]]+Tab_Process_TCs2527[[#This Row],[Flow_TC_I_3_'[%']]]+Tab_Process_TCs2527[[#This Row],[Flow_TC_I_4_'[%']]]+Tab_Process_TCs2527[[#This Row],[Flow_TC_I_5_'[%']]]</f>
        <v>0</v>
      </c>
      <c r="AC95" s="17" t="e">
        <f>_xlfn.XLOOKUP($D95,#REF!,#REF!,,0,)</f>
        <v>#REF!</v>
      </c>
      <c r="AD95" s="10" t="e">
        <f>_xlfn.XLOOKUP($D95,#REF!,#REF!,,0,)</f>
        <v>#REF!</v>
      </c>
      <c r="AE95" s="44" t="str">
        <f>Tab_Process_TCs2527[[#This Row],[Flow_ID]]</f>
        <v>N.A.</v>
      </c>
      <c r="AF95" s="10" t="e">
        <f t="shared" si="17"/>
        <v>#REF!</v>
      </c>
      <c r="AG95" s="51">
        <v>0.4</v>
      </c>
      <c r="AH95" s="17" t="e">
        <f>_xlfn.XLOOKUP($D95,#REF!,#REF!,,0,)</f>
        <v>#REF!</v>
      </c>
      <c r="AI95" s="10" t="e">
        <f>_xlfn.XLOOKUP($D95,#REF!,#REF!,,0,)</f>
        <v>#REF!</v>
      </c>
      <c r="AJ95" s="44" t="str">
        <f>Tab_Process_TCs2527[[#This Row],[Flow_ID]]</f>
        <v>N.A.</v>
      </c>
      <c r="AK95" s="10" t="e">
        <f t="shared" si="18"/>
        <v>#REF!</v>
      </c>
      <c r="AL95" s="170">
        <v>0.6</v>
      </c>
      <c r="AM95" s="17" t="e">
        <f>_xlfn.XLOOKUP($D95,#REF!,#REF!,,0,)</f>
        <v>#REF!</v>
      </c>
      <c r="AN95" s="10" t="e">
        <f>_xlfn.XLOOKUP($D95,#REF!,#REF!,,0,)</f>
        <v>#REF!</v>
      </c>
      <c r="AO95" s="44" t="str">
        <f>Tab_Process_TCs2527[[#This Row],[Flow_ID]]</f>
        <v>N.A.</v>
      </c>
      <c r="AP95" s="10" t="e">
        <f t="shared" si="19"/>
        <v>#REF!</v>
      </c>
      <c r="AQ95" s="170"/>
      <c r="AR95" s="17" t="e">
        <f>_xlfn.XLOOKUP($D95,#REF!,#REF!,,0,)</f>
        <v>#REF!</v>
      </c>
      <c r="AS95" s="10" t="e">
        <f>_xlfn.XLOOKUP($D95,#REF!,#REF!,,0,)</f>
        <v>#REF!</v>
      </c>
      <c r="AT95" s="44" t="str">
        <f>Tab_Process_TCs2527[[#This Row],[Flow_ID]]</f>
        <v>N.A.</v>
      </c>
      <c r="AU95" s="44" t="e">
        <f t="shared" si="20"/>
        <v>#REF!</v>
      </c>
      <c r="AV95" s="170"/>
      <c r="AW95" s="17" t="e">
        <f>_xlfn.XLOOKUP($D95,#REF!,#REF!,,0,)</f>
        <v>#REF!</v>
      </c>
      <c r="AX95" s="10" t="e">
        <f>_xlfn.XLOOKUP($D95,#REF!,#REF!,,0,)</f>
        <v>#REF!</v>
      </c>
      <c r="AY95" s="44" t="str">
        <f>Tab_Process_TCs2527[[#This Row],[Flow_ID]]</f>
        <v>N.A.</v>
      </c>
      <c r="AZ95" s="44" t="e">
        <f t="shared" si="21"/>
        <v>#REF!</v>
      </c>
      <c r="BA95" s="170"/>
      <c r="BB95" s="10" t="e">
        <f>_xlfn.XLOOKUP($D95,#REF!,#REF!,,0,)</f>
        <v>#REF!</v>
      </c>
      <c r="BC95" s="10" t="e">
        <f>_xlfn.XLOOKUP($D95,#REF!,#REF!,,0,)</f>
        <v>#REF!</v>
      </c>
      <c r="BD95" s="44" t="str">
        <f>Tab_Process_TCs2527[[#This Row],[Flow_ID]]</f>
        <v>N.A.</v>
      </c>
      <c r="BE95" s="44" t="e">
        <f t="shared" si="22"/>
        <v>#REF!</v>
      </c>
      <c r="BF95" s="51"/>
      <c r="BG95" s="54">
        <f>Tab_Process_TCs2527[[#This Row],[TC O_6_'[%']]]+Tab_Process_TCs2527[[#This Row],[TC O_5_'[%']]]+Tab_Process_TCs2527[[#This Row],[TC_O_4_'[%']]]+Tab_Process_TCs2527[[#This Row],[TC_O_3_'[%']]]+Tab_Process_TCs2527[[#This Row],[TC_O_2_'[%']]]+Tab_Process_TCs2527[[#This Row],[TC_O_1_'[%']]]</f>
        <v>1</v>
      </c>
      <c r="BH95" s="12"/>
      <c r="BI95" s="12"/>
      <c r="BJ95" s="12"/>
      <c r="BK95" s="12"/>
      <c r="BL95" s="12"/>
    </row>
    <row r="96" spans="1:64" x14ac:dyDescent="0.25">
      <c r="A96" s="197" t="b">
        <v>0</v>
      </c>
      <c r="B96" s="10">
        <f t="shared" si="16"/>
        <v>95</v>
      </c>
      <c r="C96" s="49" t="e">
        <f>_xlfn.XLOOKUP($D96,Tab_Process_TCs[Name(EN)],Tab_Process_TCs[Process_ID],,0,)</f>
        <v>#N/A</v>
      </c>
      <c r="D96" s="192" t="s">
        <v>35</v>
      </c>
      <c r="E96" s="192" t="s">
        <v>35</v>
      </c>
      <c r="F96" s="49" t="e">
        <f>_xlfn.XLOOKUP($D96,Tab_Process_TCs[Name(EN)],Tab_Process_TCs[TC?],,0,)</f>
        <v>#N/A</v>
      </c>
      <c r="G96" s="49" t="e">
        <f>_xlfn.XLOOKUP($D96,Tab_Process_TCs[Name(EN)],Tab_Process_TCs[Dyn_TC?],,0,)</f>
        <v>#N/A</v>
      </c>
      <c r="H96" s="10" t="str">
        <f>_xlfn.XLOOKUP($E96,Tab_Def_Flows[Name(EN)],Tab_Def_Flows[Flow_ID],,0,1)</f>
        <v>N.A.</v>
      </c>
      <c r="I96" s="10" t="str">
        <f>IF(Tab_Process_TCs2527[[#This Row],[Name(EN)]]="N.A.","N.A.","TC"&amp;"_"&amp;RIGHT(H96,5))</f>
        <v>N.A.</v>
      </c>
      <c r="J96" s="12"/>
      <c r="K96" s="186"/>
      <c r="L96" s="10"/>
      <c r="M96" s="17" t="e">
        <f>_xlfn.XLOOKUP($D96,Tab_Def_Processes[Name(EN)],Tab_Def_Processes[Input_Flow_I_1],,0,)</f>
        <v>#N/A</v>
      </c>
      <c r="N96" s="10" t="e">
        <f>_xlfn.XLOOKUP($D96,Tab_Def_Processes[Name(EN)],Tab_Def_Processes[Flow_ID_I_1],,0,)</f>
        <v>#N/A</v>
      </c>
      <c r="O96" s="34"/>
      <c r="P96" s="30" t="e">
        <f>_xlfn.XLOOKUP($D96,Tab_Def_Processes[Name(EN)],Tab_Def_Processes[Input_Flow_I_2],,0,)</f>
        <v>#N/A</v>
      </c>
      <c r="Q96" s="10" t="e">
        <f>_xlfn.XLOOKUP($D96,Tab_Def_Processes[Name(EN)],Tab_Def_Processes[Flow_ID_I_2],,0,)</f>
        <v>#N/A</v>
      </c>
      <c r="R96" s="34"/>
      <c r="S96" s="30" t="e">
        <f>_xlfn.XLOOKUP($D96,Tab_Def_Processes[Name(EN)],Tab_Def_Processes[Input_Flow_I_3],,0,)</f>
        <v>#N/A</v>
      </c>
      <c r="T96" s="10" t="e">
        <f>_xlfn.XLOOKUP($D96,Tab_Def_Processes[Name(EN)],Tab_Def_Processes[Flow_ID_I_3],,0,)</f>
        <v>#N/A</v>
      </c>
      <c r="U96" s="34"/>
      <c r="V96" s="30" t="e">
        <f>_xlfn.XLOOKUP($D96,Tab_Def_Processes[Name(EN)],Tab_Def_Processes[Input_Flow_I_4],,0,)</f>
        <v>#N/A</v>
      </c>
      <c r="W96" s="10" t="e">
        <f>_xlfn.XLOOKUP($D96,Tab_Def_Processes[Name(EN)],Tab_Def_Processes[Flow_ID_I_4],,0,)</f>
        <v>#N/A</v>
      </c>
      <c r="X96" s="34"/>
      <c r="Y96" s="30" t="e">
        <f>_xlfn.XLOOKUP($D96,Tab_Def_Processes[Name(EN)],Tab_Def_Processes[Input_Flow_I_5],,0,)</f>
        <v>#N/A</v>
      </c>
      <c r="Z96" s="10" t="e">
        <f>_xlfn.XLOOKUP($D96,Tab_Def_Processes[Name(EN)],Tab_Def_Processes[Flow_ID_I_5],,0,)</f>
        <v>#N/A</v>
      </c>
      <c r="AA96" s="34"/>
      <c r="AB96" s="33">
        <f>Tab_Process_TCs2527[[#This Row],[Flow_TC_I_1_'[%']]]+Tab_Process_TCs2527[[#This Row],[Flow_TC_I_2_'[%']]]+Tab_Process_TCs2527[[#This Row],[Flow_TC_I_3_'[%']]]+Tab_Process_TCs2527[[#This Row],[Flow_TC_I_4_'[%']]]+Tab_Process_TCs2527[[#This Row],[Flow_TC_I_5_'[%']]]</f>
        <v>0</v>
      </c>
      <c r="AC96" s="17" t="e">
        <f>_xlfn.XLOOKUP($D96,#REF!,#REF!,,0,)</f>
        <v>#REF!</v>
      </c>
      <c r="AD96" s="10" t="e">
        <f>_xlfn.XLOOKUP($D96,#REF!,#REF!,,0,)</f>
        <v>#REF!</v>
      </c>
      <c r="AE96" s="44" t="str">
        <f>Tab_Process_TCs2527[[#This Row],[Flow_ID]]</f>
        <v>N.A.</v>
      </c>
      <c r="AF96" s="10" t="e">
        <f t="shared" si="17"/>
        <v>#REF!</v>
      </c>
      <c r="AG96" s="51">
        <v>0.4</v>
      </c>
      <c r="AH96" s="17" t="e">
        <f>_xlfn.XLOOKUP($D96,#REF!,#REF!,,0,)</f>
        <v>#REF!</v>
      </c>
      <c r="AI96" s="10" t="e">
        <f>_xlfn.XLOOKUP($D96,#REF!,#REF!,,0,)</f>
        <v>#REF!</v>
      </c>
      <c r="AJ96" s="44" t="str">
        <f>Tab_Process_TCs2527[[#This Row],[Flow_ID]]</f>
        <v>N.A.</v>
      </c>
      <c r="AK96" s="10" t="e">
        <f t="shared" si="18"/>
        <v>#REF!</v>
      </c>
      <c r="AL96" s="170">
        <v>0.6</v>
      </c>
      <c r="AM96" s="17" t="e">
        <f>_xlfn.XLOOKUP($D96,#REF!,#REF!,,0,)</f>
        <v>#REF!</v>
      </c>
      <c r="AN96" s="10" t="e">
        <f>_xlfn.XLOOKUP($D96,#REF!,#REF!,,0,)</f>
        <v>#REF!</v>
      </c>
      <c r="AO96" s="44" t="str">
        <f>Tab_Process_TCs2527[[#This Row],[Flow_ID]]</f>
        <v>N.A.</v>
      </c>
      <c r="AP96" s="10" t="e">
        <f t="shared" si="19"/>
        <v>#REF!</v>
      </c>
      <c r="AQ96" s="170"/>
      <c r="AR96" s="17" t="e">
        <f>_xlfn.XLOOKUP($D96,#REF!,#REF!,,0,)</f>
        <v>#REF!</v>
      </c>
      <c r="AS96" s="10" t="e">
        <f>_xlfn.XLOOKUP($D96,#REF!,#REF!,,0,)</f>
        <v>#REF!</v>
      </c>
      <c r="AT96" s="44" t="str">
        <f>Tab_Process_TCs2527[[#This Row],[Flow_ID]]</f>
        <v>N.A.</v>
      </c>
      <c r="AU96" s="44" t="e">
        <f t="shared" si="20"/>
        <v>#REF!</v>
      </c>
      <c r="AV96" s="170"/>
      <c r="AW96" s="17" t="e">
        <f>_xlfn.XLOOKUP($D96,#REF!,#REF!,,0,)</f>
        <v>#REF!</v>
      </c>
      <c r="AX96" s="10" t="e">
        <f>_xlfn.XLOOKUP($D96,#REF!,#REF!,,0,)</f>
        <v>#REF!</v>
      </c>
      <c r="AY96" s="44" t="str">
        <f>Tab_Process_TCs2527[[#This Row],[Flow_ID]]</f>
        <v>N.A.</v>
      </c>
      <c r="AZ96" s="44" t="e">
        <f t="shared" si="21"/>
        <v>#REF!</v>
      </c>
      <c r="BA96" s="170"/>
      <c r="BB96" s="10" t="e">
        <f>_xlfn.XLOOKUP($D96,#REF!,#REF!,,0,)</f>
        <v>#REF!</v>
      </c>
      <c r="BC96" s="10" t="e">
        <f>_xlfn.XLOOKUP($D96,#REF!,#REF!,,0,)</f>
        <v>#REF!</v>
      </c>
      <c r="BD96" s="44" t="str">
        <f>Tab_Process_TCs2527[[#This Row],[Flow_ID]]</f>
        <v>N.A.</v>
      </c>
      <c r="BE96" s="44" t="e">
        <f t="shared" si="22"/>
        <v>#REF!</v>
      </c>
      <c r="BF96" s="51"/>
      <c r="BG96" s="54">
        <f>Tab_Process_TCs2527[[#This Row],[TC O_6_'[%']]]+Tab_Process_TCs2527[[#This Row],[TC O_5_'[%']]]+Tab_Process_TCs2527[[#This Row],[TC_O_4_'[%']]]+Tab_Process_TCs2527[[#This Row],[TC_O_3_'[%']]]+Tab_Process_TCs2527[[#This Row],[TC_O_2_'[%']]]+Tab_Process_TCs2527[[#This Row],[TC_O_1_'[%']]]</f>
        <v>1</v>
      </c>
      <c r="BH96" s="12"/>
      <c r="BI96" s="12"/>
      <c r="BJ96" s="12"/>
      <c r="BK96" s="12"/>
      <c r="BL96" s="12"/>
    </row>
    <row r="97" spans="1:64" x14ac:dyDescent="0.25">
      <c r="A97" s="197" t="b">
        <v>0</v>
      </c>
      <c r="B97" s="10">
        <f t="shared" si="16"/>
        <v>96</v>
      </c>
      <c r="C97" s="49" t="e">
        <f>_xlfn.XLOOKUP($D97,Tab_Process_TCs[Name(EN)],Tab_Process_TCs[Process_ID],,0,)</f>
        <v>#N/A</v>
      </c>
      <c r="D97" s="192" t="s">
        <v>35</v>
      </c>
      <c r="E97" s="192" t="s">
        <v>35</v>
      </c>
      <c r="F97" s="49" t="e">
        <f>_xlfn.XLOOKUP($D97,Tab_Process_TCs[Name(EN)],Tab_Process_TCs[TC?],,0,)</f>
        <v>#N/A</v>
      </c>
      <c r="G97" s="49" t="e">
        <f>_xlfn.XLOOKUP($D97,Tab_Process_TCs[Name(EN)],Tab_Process_TCs[Dyn_TC?],,0,)</f>
        <v>#N/A</v>
      </c>
      <c r="H97" s="10" t="str">
        <f>_xlfn.XLOOKUP($E97,Tab_Def_Flows[Name(EN)],Tab_Def_Flows[Flow_ID],,0,1)</f>
        <v>N.A.</v>
      </c>
      <c r="I97" s="10" t="str">
        <f>IF(Tab_Process_TCs2527[[#This Row],[Name(EN)]]="N.A.","N.A.","TC"&amp;"_"&amp;RIGHT(H97,5))</f>
        <v>N.A.</v>
      </c>
      <c r="J97" s="12"/>
      <c r="K97" s="186"/>
      <c r="L97" s="10"/>
      <c r="M97" s="17" t="e">
        <f>_xlfn.XLOOKUP($D97,Tab_Def_Processes[Name(EN)],Tab_Def_Processes[Input_Flow_I_1],,0,)</f>
        <v>#N/A</v>
      </c>
      <c r="N97" s="10" t="e">
        <f>_xlfn.XLOOKUP($D97,Tab_Def_Processes[Name(EN)],Tab_Def_Processes[Flow_ID_I_1],,0,)</f>
        <v>#N/A</v>
      </c>
      <c r="O97" s="34"/>
      <c r="P97" s="30" t="e">
        <f>_xlfn.XLOOKUP($D97,Tab_Def_Processes[Name(EN)],Tab_Def_Processes[Input_Flow_I_2],,0,)</f>
        <v>#N/A</v>
      </c>
      <c r="Q97" s="10" t="e">
        <f>_xlfn.XLOOKUP($D97,Tab_Def_Processes[Name(EN)],Tab_Def_Processes[Flow_ID_I_2],,0,)</f>
        <v>#N/A</v>
      </c>
      <c r="R97" s="34"/>
      <c r="S97" s="30" t="e">
        <f>_xlfn.XLOOKUP($D97,Tab_Def_Processes[Name(EN)],Tab_Def_Processes[Input_Flow_I_3],,0,)</f>
        <v>#N/A</v>
      </c>
      <c r="T97" s="10" t="e">
        <f>_xlfn.XLOOKUP($D97,Tab_Def_Processes[Name(EN)],Tab_Def_Processes[Flow_ID_I_3],,0,)</f>
        <v>#N/A</v>
      </c>
      <c r="U97" s="34"/>
      <c r="V97" s="30" t="e">
        <f>_xlfn.XLOOKUP($D97,Tab_Def_Processes[Name(EN)],Tab_Def_Processes[Input_Flow_I_4],,0,)</f>
        <v>#N/A</v>
      </c>
      <c r="W97" s="10" t="e">
        <f>_xlfn.XLOOKUP($D97,Tab_Def_Processes[Name(EN)],Tab_Def_Processes[Flow_ID_I_4],,0,)</f>
        <v>#N/A</v>
      </c>
      <c r="X97" s="34"/>
      <c r="Y97" s="30" t="e">
        <f>_xlfn.XLOOKUP($D97,Tab_Def_Processes[Name(EN)],Tab_Def_Processes[Input_Flow_I_5],,0,)</f>
        <v>#N/A</v>
      </c>
      <c r="Z97" s="10" t="e">
        <f>_xlfn.XLOOKUP($D97,Tab_Def_Processes[Name(EN)],Tab_Def_Processes[Flow_ID_I_5],,0,)</f>
        <v>#N/A</v>
      </c>
      <c r="AA97" s="34"/>
      <c r="AB97" s="33">
        <f>Tab_Process_TCs2527[[#This Row],[Flow_TC_I_1_'[%']]]+Tab_Process_TCs2527[[#This Row],[Flow_TC_I_2_'[%']]]+Tab_Process_TCs2527[[#This Row],[Flow_TC_I_3_'[%']]]+Tab_Process_TCs2527[[#This Row],[Flow_TC_I_4_'[%']]]+Tab_Process_TCs2527[[#This Row],[Flow_TC_I_5_'[%']]]</f>
        <v>0</v>
      </c>
      <c r="AC97" s="17" t="e">
        <f>_xlfn.XLOOKUP($D97,#REF!,#REF!,,0,)</f>
        <v>#REF!</v>
      </c>
      <c r="AD97" s="10" t="e">
        <f>_xlfn.XLOOKUP($D97,#REF!,#REF!,,0,)</f>
        <v>#REF!</v>
      </c>
      <c r="AE97" s="44" t="str">
        <f>Tab_Process_TCs2527[[#This Row],[Flow_ID]]</f>
        <v>N.A.</v>
      </c>
      <c r="AF97" s="10" t="e">
        <f t="shared" si="17"/>
        <v>#REF!</v>
      </c>
      <c r="AG97" s="51">
        <v>0.4</v>
      </c>
      <c r="AH97" s="17" t="e">
        <f>_xlfn.XLOOKUP($D97,#REF!,#REF!,,0,)</f>
        <v>#REF!</v>
      </c>
      <c r="AI97" s="10" t="e">
        <f>_xlfn.XLOOKUP($D97,#REF!,#REF!,,0,)</f>
        <v>#REF!</v>
      </c>
      <c r="AJ97" s="44" t="str">
        <f>Tab_Process_TCs2527[[#This Row],[Flow_ID]]</f>
        <v>N.A.</v>
      </c>
      <c r="AK97" s="10" t="e">
        <f t="shared" si="18"/>
        <v>#REF!</v>
      </c>
      <c r="AL97" s="170">
        <v>0.6</v>
      </c>
      <c r="AM97" s="17" t="e">
        <f>_xlfn.XLOOKUP($D97,#REF!,#REF!,,0,)</f>
        <v>#REF!</v>
      </c>
      <c r="AN97" s="10" t="e">
        <f>_xlfn.XLOOKUP($D97,#REF!,#REF!,,0,)</f>
        <v>#REF!</v>
      </c>
      <c r="AO97" s="44" t="str">
        <f>Tab_Process_TCs2527[[#This Row],[Flow_ID]]</f>
        <v>N.A.</v>
      </c>
      <c r="AP97" s="10" t="e">
        <f t="shared" si="19"/>
        <v>#REF!</v>
      </c>
      <c r="AQ97" s="170"/>
      <c r="AR97" s="17" t="e">
        <f>_xlfn.XLOOKUP($D97,#REF!,#REF!,,0,)</f>
        <v>#REF!</v>
      </c>
      <c r="AS97" s="10" t="e">
        <f>_xlfn.XLOOKUP($D97,#REF!,#REF!,,0,)</f>
        <v>#REF!</v>
      </c>
      <c r="AT97" s="44" t="str">
        <f>Tab_Process_TCs2527[[#This Row],[Flow_ID]]</f>
        <v>N.A.</v>
      </c>
      <c r="AU97" s="44" t="e">
        <f t="shared" si="20"/>
        <v>#REF!</v>
      </c>
      <c r="AV97" s="170"/>
      <c r="AW97" s="17" t="e">
        <f>_xlfn.XLOOKUP($D97,#REF!,#REF!,,0,)</f>
        <v>#REF!</v>
      </c>
      <c r="AX97" s="10" t="e">
        <f>_xlfn.XLOOKUP($D97,#REF!,#REF!,,0,)</f>
        <v>#REF!</v>
      </c>
      <c r="AY97" s="44" t="str">
        <f>Tab_Process_TCs2527[[#This Row],[Flow_ID]]</f>
        <v>N.A.</v>
      </c>
      <c r="AZ97" s="44" t="e">
        <f t="shared" si="21"/>
        <v>#REF!</v>
      </c>
      <c r="BA97" s="170"/>
      <c r="BB97" s="10" t="e">
        <f>_xlfn.XLOOKUP($D97,#REF!,#REF!,,0,)</f>
        <v>#REF!</v>
      </c>
      <c r="BC97" s="10" t="e">
        <f>_xlfn.XLOOKUP($D97,#REF!,#REF!,,0,)</f>
        <v>#REF!</v>
      </c>
      <c r="BD97" s="44" t="str">
        <f>Tab_Process_TCs2527[[#This Row],[Flow_ID]]</f>
        <v>N.A.</v>
      </c>
      <c r="BE97" s="44" t="e">
        <f t="shared" si="22"/>
        <v>#REF!</v>
      </c>
      <c r="BF97" s="51"/>
      <c r="BG97" s="54">
        <f>Tab_Process_TCs2527[[#This Row],[TC O_6_'[%']]]+Tab_Process_TCs2527[[#This Row],[TC O_5_'[%']]]+Tab_Process_TCs2527[[#This Row],[TC_O_4_'[%']]]+Tab_Process_TCs2527[[#This Row],[TC_O_3_'[%']]]+Tab_Process_TCs2527[[#This Row],[TC_O_2_'[%']]]+Tab_Process_TCs2527[[#This Row],[TC_O_1_'[%']]]</f>
        <v>1</v>
      </c>
      <c r="BH97" s="12"/>
      <c r="BI97" s="12"/>
      <c r="BJ97" s="12"/>
      <c r="BK97" s="12"/>
      <c r="BL97" s="12"/>
    </row>
    <row r="98" spans="1:64" x14ac:dyDescent="0.25">
      <c r="A98" s="197" t="b">
        <v>0</v>
      </c>
      <c r="B98" s="10">
        <f t="shared" ref="B98:B129" si="23">ROW()-1</f>
        <v>97</v>
      </c>
      <c r="C98" s="49" t="e">
        <f>_xlfn.XLOOKUP($D98,Tab_Process_TCs[Name(EN)],Tab_Process_TCs[Process_ID],,0,)</f>
        <v>#N/A</v>
      </c>
      <c r="D98" s="192" t="s">
        <v>35</v>
      </c>
      <c r="E98" s="192" t="s">
        <v>35</v>
      </c>
      <c r="F98" s="49" t="e">
        <f>_xlfn.XLOOKUP($D98,Tab_Process_TCs[Name(EN)],Tab_Process_TCs[TC?],,0,)</f>
        <v>#N/A</v>
      </c>
      <c r="G98" s="49" t="e">
        <f>_xlfn.XLOOKUP($D98,Tab_Process_TCs[Name(EN)],Tab_Process_TCs[Dyn_TC?],,0,)</f>
        <v>#N/A</v>
      </c>
      <c r="H98" s="10" t="str">
        <f>_xlfn.XLOOKUP($E98,Tab_Def_Flows[Name(EN)],Tab_Def_Flows[Flow_ID],,0,1)</f>
        <v>N.A.</v>
      </c>
      <c r="I98" s="10" t="str">
        <f>IF(Tab_Process_TCs2527[[#This Row],[Name(EN)]]="N.A.","N.A.","TC"&amp;"_"&amp;RIGHT(H98,5))</f>
        <v>N.A.</v>
      </c>
      <c r="J98" s="12"/>
      <c r="K98" s="186"/>
      <c r="L98" s="10"/>
      <c r="M98" s="17" t="e">
        <f>_xlfn.XLOOKUP($D98,Tab_Def_Processes[Name(EN)],Tab_Def_Processes[Input_Flow_I_1],,0,)</f>
        <v>#N/A</v>
      </c>
      <c r="N98" s="10" t="e">
        <f>_xlfn.XLOOKUP($D98,Tab_Def_Processes[Name(EN)],Tab_Def_Processes[Flow_ID_I_1],,0,)</f>
        <v>#N/A</v>
      </c>
      <c r="O98" s="183"/>
      <c r="P98" s="30" t="e">
        <f>_xlfn.XLOOKUP($D98,Tab_Def_Processes[Name(EN)],Tab_Def_Processes[Input_Flow_I_2],,0,)</f>
        <v>#N/A</v>
      </c>
      <c r="Q98" s="10" t="e">
        <f>_xlfn.XLOOKUP($D98,Tab_Def_Processes[Name(EN)],Tab_Def_Processes[Flow_ID_I_2],,0,)</f>
        <v>#N/A</v>
      </c>
      <c r="R98" s="183"/>
      <c r="S98" s="30" t="e">
        <f>_xlfn.XLOOKUP($D98,Tab_Def_Processes[Name(EN)],Tab_Def_Processes[Input_Flow_I_3],,0,)</f>
        <v>#N/A</v>
      </c>
      <c r="T98" s="10" t="e">
        <f>_xlfn.XLOOKUP($D98,Tab_Def_Processes[Name(EN)],Tab_Def_Processes[Flow_ID_I_3],,0,)</f>
        <v>#N/A</v>
      </c>
      <c r="U98" s="183"/>
      <c r="V98" s="30" t="e">
        <f>_xlfn.XLOOKUP($D98,Tab_Def_Processes[Name(EN)],Tab_Def_Processes[Input_Flow_I_4],,0,)</f>
        <v>#N/A</v>
      </c>
      <c r="W98" s="10" t="e">
        <f>_xlfn.XLOOKUP($D98,Tab_Def_Processes[Name(EN)],Tab_Def_Processes[Flow_ID_I_4],,0,)</f>
        <v>#N/A</v>
      </c>
      <c r="X98" s="183"/>
      <c r="Y98" s="30" t="e">
        <f>_xlfn.XLOOKUP($D98,Tab_Def_Processes[Name(EN)],Tab_Def_Processes[Input_Flow_I_5],,0,)</f>
        <v>#N/A</v>
      </c>
      <c r="Z98" s="10" t="e">
        <f>_xlfn.XLOOKUP($D98,Tab_Def_Processes[Name(EN)],Tab_Def_Processes[Flow_ID_I_5],,0,)</f>
        <v>#N/A</v>
      </c>
      <c r="AA98" s="183"/>
      <c r="AB98" s="41">
        <f>Tab_Process_TCs2527[[#This Row],[Flow_TC_I_1_'[%']]]+Tab_Process_TCs2527[[#This Row],[Flow_TC_I_2_'[%']]]+Tab_Process_TCs2527[[#This Row],[Flow_TC_I_3_'[%']]]+Tab_Process_TCs2527[[#This Row],[Flow_TC_I_4_'[%']]]+Tab_Process_TCs2527[[#This Row],[Flow_TC_I_5_'[%']]]</f>
        <v>0</v>
      </c>
      <c r="AC98" s="17" t="e">
        <f>_xlfn.XLOOKUP($D98,#REF!,#REF!,,0,)</f>
        <v>#REF!</v>
      </c>
      <c r="AD98" s="10" t="e">
        <f>_xlfn.XLOOKUP($D98,#REF!,#REF!,,0,)</f>
        <v>#REF!</v>
      </c>
      <c r="AE98" s="44" t="str">
        <f>Tab_Process_TCs2527[[#This Row],[Flow_ID]]</f>
        <v>N.A.</v>
      </c>
      <c r="AF98" s="10" t="e">
        <f t="shared" ref="AF98:AF129" si="24">"TC"&amp;"_"&amp;RIGHT(AD98,5)</f>
        <v>#REF!</v>
      </c>
      <c r="AG98" s="51">
        <v>0.4</v>
      </c>
      <c r="AH98" s="17" t="e">
        <f>_xlfn.XLOOKUP($D98,#REF!,#REF!,,0,)</f>
        <v>#REF!</v>
      </c>
      <c r="AI98" s="10" t="e">
        <f>_xlfn.XLOOKUP($D98,#REF!,#REF!,,0,)</f>
        <v>#REF!</v>
      </c>
      <c r="AJ98" s="44" t="str">
        <f>Tab_Process_TCs2527[[#This Row],[Flow_ID]]</f>
        <v>N.A.</v>
      </c>
      <c r="AK98" s="10" t="e">
        <f t="shared" ref="AK98:AK129" si="25">"TC"&amp;"_"&amp;RIGHT(AI98,5)</f>
        <v>#REF!</v>
      </c>
      <c r="AL98" s="170">
        <v>0.6</v>
      </c>
      <c r="AM98" s="17" t="e">
        <f>_xlfn.XLOOKUP($D98,#REF!,#REF!,,0,)</f>
        <v>#REF!</v>
      </c>
      <c r="AN98" s="10" t="e">
        <f>_xlfn.XLOOKUP($D98,#REF!,#REF!,,0,)</f>
        <v>#REF!</v>
      </c>
      <c r="AO98" s="44" t="str">
        <f>Tab_Process_TCs2527[[#This Row],[Flow_ID]]</f>
        <v>N.A.</v>
      </c>
      <c r="AP98" s="10" t="e">
        <f t="shared" ref="AP98:AP129" si="26">"TC"&amp;"_"&amp;RIGHT(AN98,5)</f>
        <v>#REF!</v>
      </c>
      <c r="AQ98" s="170"/>
      <c r="AR98" s="17" t="e">
        <f>_xlfn.XLOOKUP($D98,#REF!,#REF!,,0,)</f>
        <v>#REF!</v>
      </c>
      <c r="AS98" s="10" t="e">
        <f>_xlfn.XLOOKUP($D98,#REF!,#REF!,,0,)</f>
        <v>#REF!</v>
      </c>
      <c r="AT98" s="44" t="str">
        <f>Tab_Process_TCs2527[[#This Row],[Flow_ID]]</f>
        <v>N.A.</v>
      </c>
      <c r="AU98" s="44" t="e">
        <f t="shared" ref="AU98:AU129" si="27">"TC"&amp;"_"&amp;RIGHT(AN98,5)</f>
        <v>#REF!</v>
      </c>
      <c r="AV98" s="170"/>
      <c r="AW98" s="17" t="e">
        <f>_xlfn.XLOOKUP($D98,#REF!,#REF!,,0,)</f>
        <v>#REF!</v>
      </c>
      <c r="AX98" s="10" t="e">
        <f>_xlfn.XLOOKUP($D98,#REF!,#REF!,,0,)</f>
        <v>#REF!</v>
      </c>
      <c r="AY98" s="44" t="str">
        <f>Tab_Process_TCs2527[[#This Row],[Flow_ID]]</f>
        <v>N.A.</v>
      </c>
      <c r="AZ98" s="44" t="e">
        <f t="shared" ref="AZ98:AZ129" si="28">"TC"&amp;"_"&amp;RIGHT(AX98,5)</f>
        <v>#REF!</v>
      </c>
      <c r="BA98" s="170"/>
      <c r="BB98" s="10" t="e">
        <f>_xlfn.XLOOKUP($D98,#REF!,#REF!,,0,)</f>
        <v>#REF!</v>
      </c>
      <c r="BC98" s="10" t="e">
        <f>_xlfn.XLOOKUP($D98,#REF!,#REF!,,0,)</f>
        <v>#REF!</v>
      </c>
      <c r="BD98" s="44" t="str">
        <f>Tab_Process_TCs2527[[#This Row],[Flow_ID]]</f>
        <v>N.A.</v>
      </c>
      <c r="BE98" s="44" t="e">
        <f t="shared" ref="BE98:BE129" si="29">"TC"&amp;"_"&amp;RIGHT(BC98,5)</f>
        <v>#REF!</v>
      </c>
      <c r="BF98" s="51"/>
      <c r="BG98" s="54">
        <f>Tab_Process_TCs2527[[#This Row],[TC O_6_'[%']]]+Tab_Process_TCs2527[[#This Row],[TC O_5_'[%']]]+Tab_Process_TCs2527[[#This Row],[TC_O_4_'[%']]]+Tab_Process_TCs2527[[#This Row],[TC_O_3_'[%']]]+Tab_Process_TCs2527[[#This Row],[TC_O_2_'[%']]]+Tab_Process_TCs2527[[#This Row],[TC_O_1_'[%']]]</f>
        <v>1</v>
      </c>
      <c r="BH98" s="12"/>
      <c r="BI98" s="12"/>
      <c r="BJ98" s="12"/>
      <c r="BK98" s="12"/>
      <c r="BL98" s="12"/>
    </row>
    <row r="99" spans="1:64" x14ac:dyDescent="0.25">
      <c r="A99" s="197" t="b">
        <v>0</v>
      </c>
      <c r="B99" s="10">
        <f t="shared" si="23"/>
        <v>98</v>
      </c>
      <c r="C99" s="49" t="e">
        <f>_xlfn.XLOOKUP($D99,Tab_Process_TCs[Name(EN)],Tab_Process_TCs[Process_ID],,0,)</f>
        <v>#N/A</v>
      </c>
      <c r="D99" s="192" t="s">
        <v>35</v>
      </c>
      <c r="E99" s="192" t="s">
        <v>35</v>
      </c>
      <c r="F99" s="49" t="e">
        <f>_xlfn.XLOOKUP($D99,Tab_Process_TCs[Name(EN)],Tab_Process_TCs[TC?],,0,)</f>
        <v>#N/A</v>
      </c>
      <c r="G99" s="49" t="e">
        <f>_xlfn.XLOOKUP($D99,Tab_Process_TCs[Name(EN)],Tab_Process_TCs[Dyn_TC?],,0,)</f>
        <v>#N/A</v>
      </c>
      <c r="H99" s="10" t="str">
        <f>_xlfn.XLOOKUP($E99,Tab_Def_Flows[Name(EN)],Tab_Def_Flows[Flow_ID],,0,1)</f>
        <v>N.A.</v>
      </c>
      <c r="I99" s="10" t="str">
        <f>IF(Tab_Process_TCs2527[[#This Row],[Name(EN)]]="N.A.","N.A.","TC"&amp;"_"&amp;RIGHT(H99,5))</f>
        <v>N.A.</v>
      </c>
      <c r="J99" s="12"/>
      <c r="K99" s="186"/>
      <c r="L99" s="10"/>
      <c r="M99" s="17" t="e">
        <f>_xlfn.XLOOKUP($D99,Tab_Def_Processes[Name(EN)],Tab_Def_Processes[Input_Flow_I_1],,0,)</f>
        <v>#N/A</v>
      </c>
      <c r="N99" s="10" t="e">
        <f>_xlfn.XLOOKUP($D99,Tab_Def_Processes[Name(EN)],Tab_Def_Processes[Flow_ID_I_1],,0,)</f>
        <v>#N/A</v>
      </c>
      <c r="O99" s="183"/>
      <c r="P99" s="30" t="e">
        <f>_xlfn.XLOOKUP($D99,Tab_Def_Processes[Name(EN)],Tab_Def_Processes[Input_Flow_I_2],,0,)</f>
        <v>#N/A</v>
      </c>
      <c r="Q99" s="10" t="e">
        <f>_xlfn.XLOOKUP($D99,Tab_Def_Processes[Name(EN)],Tab_Def_Processes[Flow_ID_I_2],,0,)</f>
        <v>#N/A</v>
      </c>
      <c r="R99" s="183"/>
      <c r="S99" s="30" t="e">
        <f>_xlfn.XLOOKUP($D99,Tab_Def_Processes[Name(EN)],Tab_Def_Processes[Input_Flow_I_3],,0,)</f>
        <v>#N/A</v>
      </c>
      <c r="T99" s="10" t="e">
        <f>_xlfn.XLOOKUP($D99,Tab_Def_Processes[Name(EN)],Tab_Def_Processes[Flow_ID_I_3],,0,)</f>
        <v>#N/A</v>
      </c>
      <c r="U99" s="183"/>
      <c r="V99" s="30" t="e">
        <f>_xlfn.XLOOKUP($D99,Tab_Def_Processes[Name(EN)],Tab_Def_Processes[Input_Flow_I_4],,0,)</f>
        <v>#N/A</v>
      </c>
      <c r="W99" s="10" t="e">
        <f>_xlfn.XLOOKUP($D99,Tab_Def_Processes[Name(EN)],Tab_Def_Processes[Flow_ID_I_4],,0,)</f>
        <v>#N/A</v>
      </c>
      <c r="X99" s="183"/>
      <c r="Y99" s="30" t="e">
        <f>_xlfn.XLOOKUP($D99,Tab_Def_Processes[Name(EN)],Tab_Def_Processes[Input_Flow_I_5],,0,)</f>
        <v>#N/A</v>
      </c>
      <c r="Z99" s="10" t="e">
        <f>_xlfn.XLOOKUP($D99,Tab_Def_Processes[Name(EN)],Tab_Def_Processes[Flow_ID_I_5],,0,)</f>
        <v>#N/A</v>
      </c>
      <c r="AA99" s="183"/>
      <c r="AB99" s="41">
        <f>Tab_Process_TCs2527[[#This Row],[Flow_TC_I_1_'[%']]]+Tab_Process_TCs2527[[#This Row],[Flow_TC_I_2_'[%']]]+Tab_Process_TCs2527[[#This Row],[Flow_TC_I_3_'[%']]]+Tab_Process_TCs2527[[#This Row],[Flow_TC_I_4_'[%']]]+Tab_Process_TCs2527[[#This Row],[Flow_TC_I_5_'[%']]]</f>
        <v>0</v>
      </c>
      <c r="AC99" s="17" t="e">
        <f>_xlfn.XLOOKUP($D99,#REF!,#REF!,,0,)</f>
        <v>#REF!</v>
      </c>
      <c r="AD99" s="10" t="e">
        <f>_xlfn.XLOOKUP($D99,#REF!,#REF!,,0,)</f>
        <v>#REF!</v>
      </c>
      <c r="AE99" s="44" t="str">
        <f>Tab_Process_TCs2527[[#This Row],[Flow_ID]]</f>
        <v>N.A.</v>
      </c>
      <c r="AF99" s="10" t="e">
        <f t="shared" si="24"/>
        <v>#REF!</v>
      </c>
      <c r="AG99" s="51">
        <v>0.4</v>
      </c>
      <c r="AH99" s="17" t="e">
        <f>_xlfn.XLOOKUP($D99,#REF!,#REF!,,0,)</f>
        <v>#REF!</v>
      </c>
      <c r="AI99" s="10" t="e">
        <f>_xlfn.XLOOKUP($D99,#REF!,#REF!,,0,)</f>
        <v>#REF!</v>
      </c>
      <c r="AJ99" s="44" t="str">
        <f>Tab_Process_TCs2527[[#This Row],[Flow_ID]]</f>
        <v>N.A.</v>
      </c>
      <c r="AK99" s="10" t="e">
        <f t="shared" si="25"/>
        <v>#REF!</v>
      </c>
      <c r="AL99" s="170">
        <v>0.6</v>
      </c>
      <c r="AM99" s="17" t="e">
        <f>_xlfn.XLOOKUP($D99,#REF!,#REF!,,0,)</f>
        <v>#REF!</v>
      </c>
      <c r="AN99" s="10" t="e">
        <f>_xlfn.XLOOKUP($D99,#REF!,#REF!,,0,)</f>
        <v>#REF!</v>
      </c>
      <c r="AO99" s="44" t="str">
        <f>Tab_Process_TCs2527[[#This Row],[Flow_ID]]</f>
        <v>N.A.</v>
      </c>
      <c r="AP99" s="10" t="e">
        <f t="shared" si="26"/>
        <v>#REF!</v>
      </c>
      <c r="AQ99" s="170"/>
      <c r="AR99" s="17" t="e">
        <f>_xlfn.XLOOKUP($D99,#REF!,#REF!,,0,)</f>
        <v>#REF!</v>
      </c>
      <c r="AS99" s="10" t="e">
        <f>_xlfn.XLOOKUP($D99,#REF!,#REF!,,0,)</f>
        <v>#REF!</v>
      </c>
      <c r="AT99" s="44" t="str">
        <f>Tab_Process_TCs2527[[#This Row],[Flow_ID]]</f>
        <v>N.A.</v>
      </c>
      <c r="AU99" s="44" t="e">
        <f t="shared" si="27"/>
        <v>#REF!</v>
      </c>
      <c r="AV99" s="170"/>
      <c r="AW99" s="17" t="e">
        <f>_xlfn.XLOOKUP($D99,#REF!,#REF!,,0,)</f>
        <v>#REF!</v>
      </c>
      <c r="AX99" s="10" t="e">
        <f>_xlfn.XLOOKUP($D99,#REF!,#REF!,,0,)</f>
        <v>#REF!</v>
      </c>
      <c r="AY99" s="44" t="str">
        <f>Tab_Process_TCs2527[[#This Row],[Flow_ID]]</f>
        <v>N.A.</v>
      </c>
      <c r="AZ99" s="44" t="e">
        <f t="shared" si="28"/>
        <v>#REF!</v>
      </c>
      <c r="BA99" s="170"/>
      <c r="BB99" s="10" t="e">
        <f>_xlfn.XLOOKUP($D99,#REF!,#REF!,,0,)</f>
        <v>#REF!</v>
      </c>
      <c r="BC99" s="10" t="e">
        <f>_xlfn.XLOOKUP($D99,#REF!,#REF!,,0,)</f>
        <v>#REF!</v>
      </c>
      <c r="BD99" s="44" t="str">
        <f>Tab_Process_TCs2527[[#This Row],[Flow_ID]]</f>
        <v>N.A.</v>
      </c>
      <c r="BE99" s="44" t="e">
        <f t="shared" si="29"/>
        <v>#REF!</v>
      </c>
      <c r="BF99" s="51"/>
      <c r="BG99" s="54">
        <f>Tab_Process_TCs2527[[#This Row],[TC O_6_'[%']]]+Tab_Process_TCs2527[[#This Row],[TC O_5_'[%']]]+Tab_Process_TCs2527[[#This Row],[TC_O_4_'[%']]]+Tab_Process_TCs2527[[#This Row],[TC_O_3_'[%']]]+Tab_Process_TCs2527[[#This Row],[TC_O_2_'[%']]]+Tab_Process_TCs2527[[#This Row],[TC_O_1_'[%']]]</f>
        <v>1</v>
      </c>
      <c r="BH99" s="12"/>
      <c r="BI99" s="12"/>
      <c r="BJ99" s="12"/>
      <c r="BK99" s="12"/>
      <c r="BL99" s="12"/>
    </row>
    <row r="100" spans="1:64" x14ac:dyDescent="0.25">
      <c r="A100" s="197" t="b">
        <v>0</v>
      </c>
      <c r="B100" s="10">
        <f t="shared" si="23"/>
        <v>99</v>
      </c>
      <c r="C100" s="49" t="e">
        <f>_xlfn.XLOOKUP($D100,Tab_Process_TCs[Name(EN)],Tab_Process_TCs[Process_ID],,0,)</f>
        <v>#N/A</v>
      </c>
      <c r="D100" s="192" t="s">
        <v>35</v>
      </c>
      <c r="E100" s="192" t="s">
        <v>35</v>
      </c>
      <c r="F100" s="49" t="e">
        <f>_xlfn.XLOOKUP($D100,Tab_Process_TCs[Name(EN)],Tab_Process_TCs[TC?],,0,)</f>
        <v>#N/A</v>
      </c>
      <c r="G100" s="49" t="e">
        <f>_xlfn.XLOOKUP($D100,Tab_Process_TCs[Name(EN)],Tab_Process_TCs[Dyn_TC?],,0,)</f>
        <v>#N/A</v>
      </c>
      <c r="H100" s="10" t="str">
        <f>_xlfn.XLOOKUP($E100,Tab_Def_Flows[Name(EN)],Tab_Def_Flows[Flow_ID],,0,1)</f>
        <v>N.A.</v>
      </c>
      <c r="I100" s="10" t="str">
        <f>IF(Tab_Process_TCs2527[[#This Row],[Name(EN)]]="N.A.","N.A.","TC"&amp;"_"&amp;RIGHT(H100,5))</f>
        <v>N.A.</v>
      </c>
      <c r="J100" s="12"/>
      <c r="K100" s="186"/>
      <c r="L100" s="10"/>
      <c r="M100" s="17" t="e">
        <f>_xlfn.XLOOKUP($D100,Tab_Def_Processes[Name(EN)],Tab_Def_Processes[Input_Flow_I_1],,0,)</f>
        <v>#N/A</v>
      </c>
      <c r="N100" s="10" t="e">
        <f>_xlfn.XLOOKUP($D100,Tab_Def_Processes[Name(EN)],Tab_Def_Processes[Flow_ID_I_1],,0,)</f>
        <v>#N/A</v>
      </c>
      <c r="O100" s="183"/>
      <c r="P100" s="30" t="e">
        <f>_xlfn.XLOOKUP($D100,Tab_Def_Processes[Name(EN)],Tab_Def_Processes[Input_Flow_I_2],,0,)</f>
        <v>#N/A</v>
      </c>
      <c r="Q100" s="10" t="e">
        <f>_xlfn.XLOOKUP($D100,Tab_Def_Processes[Name(EN)],Tab_Def_Processes[Flow_ID_I_2],,0,)</f>
        <v>#N/A</v>
      </c>
      <c r="R100" s="183"/>
      <c r="S100" s="30" t="e">
        <f>_xlfn.XLOOKUP($D100,Tab_Def_Processes[Name(EN)],Tab_Def_Processes[Input_Flow_I_3],,0,)</f>
        <v>#N/A</v>
      </c>
      <c r="T100" s="10" t="e">
        <f>_xlfn.XLOOKUP($D100,Tab_Def_Processes[Name(EN)],Tab_Def_Processes[Flow_ID_I_3],,0,)</f>
        <v>#N/A</v>
      </c>
      <c r="U100" s="183"/>
      <c r="V100" s="30" t="e">
        <f>_xlfn.XLOOKUP($D100,Tab_Def_Processes[Name(EN)],Tab_Def_Processes[Input_Flow_I_4],,0,)</f>
        <v>#N/A</v>
      </c>
      <c r="W100" s="10" t="e">
        <f>_xlfn.XLOOKUP($D100,Tab_Def_Processes[Name(EN)],Tab_Def_Processes[Flow_ID_I_4],,0,)</f>
        <v>#N/A</v>
      </c>
      <c r="X100" s="183"/>
      <c r="Y100" s="30" t="e">
        <f>_xlfn.XLOOKUP($D100,Tab_Def_Processes[Name(EN)],Tab_Def_Processes[Input_Flow_I_5],,0,)</f>
        <v>#N/A</v>
      </c>
      <c r="Z100" s="10" t="e">
        <f>_xlfn.XLOOKUP($D100,Tab_Def_Processes[Name(EN)],Tab_Def_Processes[Flow_ID_I_5],,0,)</f>
        <v>#N/A</v>
      </c>
      <c r="AA100" s="183"/>
      <c r="AB100" s="41">
        <f>Tab_Process_TCs2527[[#This Row],[Flow_TC_I_1_'[%']]]+Tab_Process_TCs2527[[#This Row],[Flow_TC_I_2_'[%']]]+Tab_Process_TCs2527[[#This Row],[Flow_TC_I_3_'[%']]]+Tab_Process_TCs2527[[#This Row],[Flow_TC_I_4_'[%']]]+Tab_Process_TCs2527[[#This Row],[Flow_TC_I_5_'[%']]]</f>
        <v>0</v>
      </c>
      <c r="AC100" s="17" t="e">
        <f>_xlfn.XLOOKUP($D100,#REF!,#REF!,,0,)</f>
        <v>#REF!</v>
      </c>
      <c r="AD100" s="10" t="e">
        <f>_xlfn.XLOOKUP($D100,#REF!,#REF!,,0,)</f>
        <v>#REF!</v>
      </c>
      <c r="AE100" s="44" t="str">
        <f>Tab_Process_TCs2527[[#This Row],[Flow_ID]]</f>
        <v>N.A.</v>
      </c>
      <c r="AF100" s="10" t="e">
        <f t="shared" si="24"/>
        <v>#REF!</v>
      </c>
      <c r="AG100" s="51">
        <v>0.4</v>
      </c>
      <c r="AH100" s="17" t="e">
        <f>_xlfn.XLOOKUP($D100,#REF!,#REF!,,0,)</f>
        <v>#REF!</v>
      </c>
      <c r="AI100" s="10" t="e">
        <f>_xlfn.XLOOKUP($D100,#REF!,#REF!,,0,)</f>
        <v>#REF!</v>
      </c>
      <c r="AJ100" s="44" t="str">
        <f>Tab_Process_TCs2527[[#This Row],[Flow_ID]]</f>
        <v>N.A.</v>
      </c>
      <c r="AK100" s="10" t="e">
        <f t="shared" si="25"/>
        <v>#REF!</v>
      </c>
      <c r="AL100" s="170">
        <v>0.6</v>
      </c>
      <c r="AM100" s="17" t="e">
        <f>_xlfn.XLOOKUP($D100,#REF!,#REF!,,0,)</f>
        <v>#REF!</v>
      </c>
      <c r="AN100" s="10" t="e">
        <f>_xlfn.XLOOKUP($D100,#REF!,#REF!,,0,)</f>
        <v>#REF!</v>
      </c>
      <c r="AO100" s="44" t="str">
        <f>Tab_Process_TCs2527[[#This Row],[Flow_ID]]</f>
        <v>N.A.</v>
      </c>
      <c r="AP100" s="10" t="e">
        <f t="shared" si="26"/>
        <v>#REF!</v>
      </c>
      <c r="AQ100" s="170"/>
      <c r="AR100" s="17" t="e">
        <f>_xlfn.XLOOKUP($D100,#REF!,#REF!,,0,)</f>
        <v>#REF!</v>
      </c>
      <c r="AS100" s="10" t="e">
        <f>_xlfn.XLOOKUP($D100,#REF!,#REF!,,0,)</f>
        <v>#REF!</v>
      </c>
      <c r="AT100" s="44" t="str">
        <f>Tab_Process_TCs2527[[#This Row],[Flow_ID]]</f>
        <v>N.A.</v>
      </c>
      <c r="AU100" s="44" t="e">
        <f t="shared" si="27"/>
        <v>#REF!</v>
      </c>
      <c r="AV100" s="170"/>
      <c r="AW100" s="17" t="e">
        <f>_xlfn.XLOOKUP($D100,#REF!,#REF!,,0,)</f>
        <v>#REF!</v>
      </c>
      <c r="AX100" s="10" t="e">
        <f>_xlfn.XLOOKUP($D100,#REF!,#REF!,,0,)</f>
        <v>#REF!</v>
      </c>
      <c r="AY100" s="44" t="str">
        <f>Tab_Process_TCs2527[[#This Row],[Flow_ID]]</f>
        <v>N.A.</v>
      </c>
      <c r="AZ100" s="44" t="e">
        <f t="shared" si="28"/>
        <v>#REF!</v>
      </c>
      <c r="BA100" s="170"/>
      <c r="BB100" s="10" t="e">
        <f>_xlfn.XLOOKUP($D100,#REF!,#REF!,,0,)</f>
        <v>#REF!</v>
      </c>
      <c r="BC100" s="10" t="e">
        <f>_xlfn.XLOOKUP($D100,#REF!,#REF!,,0,)</f>
        <v>#REF!</v>
      </c>
      <c r="BD100" s="44" t="str">
        <f>Tab_Process_TCs2527[[#This Row],[Flow_ID]]</f>
        <v>N.A.</v>
      </c>
      <c r="BE100" s="44" t="e">
        <f t="shared" si="29"/>
        <v>#REF!</v>
      </c>
      <c r="BF100" s="51"/>
      <c r="BG100" s="54">
        <f>Tab_Process_TCs2527[[#This Row],[TC O_6_'[%']]]+Tab_Process_TCs2527[[#This Row],[TC O_5_'[%']]]+Tab_Process_TCs2527[[#This Row],[TC_O_4_'[%']]]+Tab_Process_TCs2527[[#This Row],[TC_O_3_'[%']]]+Tab_Process_TCs2527[[#This Row],[TC_O_2_'[%']]]+Tab_Process_TCs2527[[#This Row],[TC_O_1_'[%']]]</f>
        <v>1</v>
      </c>
      <c r="BH100" s="12"/>
      <c r="BI100" s="12"/>
      <c r="BJ100" s="12"/>
      <c r="BK100" s="12"/>
      <c r="BL100" s="12"/>
    </row>
    <row r="101" spans="1:64" x14ac:dyDescent="0.25">
      <c r="A101" s="197" t="b">
        <v>0</v>
      </c>
      <c r="B101" s="10">
        <f t="shared" si="23"/>
        <v>100</v>
      </c>
      <c r="C101" s="49" t="e">
        <f>_xlfn.XLOOKUP($D101,Tab_Process_TCs[Name(EN)],Tab_Process_TCs[Process_ID],,0,)</f>
        <v>#N/A</v>
      </c>
      <c r="D101" s="192" t="s">
        <v>35</v>
      </c>
      <c r="E101" s="192" t="s">
        <v>35</v>
      </c>
      <c r="F101" s="49" t="e">
        <f>_xlfn.XLOOKUP($D101,Tab_Process_TCs[Name(EN)],Tab_Process_TCs[TC?],,0,)</f>
        <v>#N/A</v>
      </c>
      <c r="G101" s="49" t="e">
        <f>_xlfn.XLOOKUP($D101,Tab_Process_TCs[Name(EN)],Tab_Process_TCs[Dyn_TC?],,0,)</f>
        <v>#N/A</v>
      </c>
      <c r="H101" s="10" t="str">
        <f>_xlfn.XLOOKUP($E101,Tab_Def_Flows[Name(EN)],Tab_Def_Flows[Flow_ID],,0,1)</f>
        <v>N.A.</v>
      </c>
      <c r="I101" s="10" t="str">
        <f>IF(Tab_Process_TCs2527[[#This Row],[Name(EN)]]="N.A.","N.A.","TC"&amp;"_"&amp;RIGHT(H101,5))</f>
        <v>N.A.</v>
      </c>
      <c r="J101" s="12"/>
      <c r="K101" s="186"/>
      <c r="L101" s="10"/>
      <c r="M101" s="17" t="e">
        <f>_xlfn.XLOOKUP($D101,Tab_Def_Processes[Name(EN)],Tab_Def_Processes[Input_Flow_I_1],,0,)</f>
        <v>#N/A</v>
      </c>
      <c r="N101" s="10" t="e">
        <f>_xlfn.XLOOKUP($D101,Tab_Def_Processes[Name(EN)],Tab_Def_Processes[Flow_ID_I_1],,0,)</f>
        <v>#N/A</v>
      </c>
      <c r="O101" s="183"/>
      <c r="P101" s="30" t="e">
        <f>_xlfn.XLOOKUP($D101,Tab_Def_Processes[Name(EN)],Tab_Def_Processes[Input_Flow_I_2],,0,)</f>
        <v>#N/A</v>
      </c>
      <c r="Q101" s="10" t="e">
        <f>_xlfn.XLOOKUP($D101,Tab_Def_Processes[Name(EN)],Tab_Def_Processes[Flow_ID_I_2],,0,)</f>
        <v>#N/A</v>
      </c>
      <c r="R101" s="183"/>
      <c r="S101" s="30" t="e">
        <f>_xlfn.XLOOKUP($D101,Tab_Def_Processes[Name(EN)],Tab_Def_Processes[Input_Flow_I_3],,0,)</f>
        <v>#N/A</v>
      </c>
      <c r="T101" s="10" t="e">
        <f>_xlfn.XLOOKUP($D101,Tab_Def_Processes[Name(EN)],Tab_Def_Processes[Flow_ID_I_3],,0,)</f>
        <v>#N/A</v>
      </c>
      <c r="U101" s="183"/>
      <c r="V101" s="30" t="e">
        <f>_xlfn.XLOOKUP($D101,Tab_Def_Processes[Name(EN)],Tab_Def_Processes[Input_Flow_I_4],,0,)</f>
        <v>#N/A</v>
      </c>
      <c r="W101" s="10" t="e">
        <f>_xlfn.XLOOKUP($D101,Tab_Def_Processes[Name(EN)],Tab_Def_Processes[Flow_ID_I_4],,0,)</f>
        <v>#N/A</v>
      </c>
      <c r="X101" s="183"/>
      <c r="Y101" s="30" t="e">
        <f>_xlfn.XLOOKUP($D101,Tab_Def_Processes[Name(EN)],Tab_Def_Processes[Input_Flow_I_5],,0,)</f>
        <v>#N/A</v>
      </c>
      <c r="Z101" s="10" t="e">
        <f>_xlfn.XLOOKUP($D101,Tab_Def_Processes[Name(EN)],Tab_Def_Processes[Flow_ID_I_5],,0,)</f>
        <v>#N/A</v>
      </c>
      <c r="AA101" s="183"/>
      <c r="AB101" s="41">
        <f>Tab_Process_TCs2527[[#This Row],[Flow_TC_I_1_'[%']]]+Tab_Process_TCs2527[[#This Row],[Flow_TC_I_2_'[%']]]+Tab_Process_TCs2527[[#This Row],[Flow_TC_I_3_'[%']]]+Tab_Process_TCs2527[[#This Row],[Flow_TC_I_4_'[%']]]+Tab_Process_TCs2527[[#This Row],[Flow_TC_I_5_'[%']]]</f>
        <v>0</v>
      </c>
      <c r="AC101" s="17" t="e">
        <f>_xlfn.XLOOKUP($D101,#REF!,#REF!,,0,)</f>
        <v>#REF!</v>
      </c>
      <c r="AD101" s="10" t="e">
        <f>_xlfn.XLOOKUP($D101,#REF!,#REF!,,0,)</f>
        <v>#REF!</v>
      </c>
      <c r="AE101" s="44" t="str">
        <f>Tab_Process_TCs2527[[#This Row],[Flow_ID]]</f>
        <v>N.A.</v>
      </c>
      <c r="AF101" s="10" t="e">
        <f t="shared" si="24"/>
        <v>#REF!</v>
      </c>
      <c r="AG101" s="51">
        <v>0.4</v>
      </c>
      <c r="AH101" s="17" t="e">
        <f>_xlfn.XLOOKUP($D101,#REF!,#REF!,,0,)</f>
        <v>#REF!</v>
      </c>
      <c r="AI101" s="10" t="e">
        <f>_xlfn.XLOOKUP($D101,#REF!,#REF!,,0,)</f>
        <v>#REF!</v>
      </c>
      <c r="AJ101" s="44" t="str">
        <f>Tab_Process_TCs2527[[#This Row],[Flow_ID]]</f>
        <v>N.A.</v>
      </c>
      <c r="AK101" s="10" t="e">
        <f t="shared" si="25"/>
        <v>#REF!</v>
      </c>
      <c r="AL101" s="170">
        <v>0.6</v>
      </c>
      <c r="AM101" s="17" t="e">
        <f>_xlfn.XLOOKUP($D101,#REF!,#REF!,,0,)</f>
        <v>#REF!</v>
      </c>
      <c r="AN101" s="10" t="e">
        <f>_xlfn.XLOOKUP($D101,#REF!,#REF!,,0,)</f>
        <v>#REF!</v>
      </c>
      <c r="AO101" s="44" t="str">
        <f>Tab_Process_TCs2527[[#This Row],[Flow_ID]]</f>
        <v>N.A.</v>
      </c>
      <c r="AP101" s="10" t="e">
        <f t="shared" si="26"/>
        <v>#REF!</v>
      </c>
      <c r="AQ101" s="170"/>
      <c r="AR101" s="17" t="e">
        <f>_xlfn.XLOOKUP($D101,#REF!,#REF!,,0,)</f>
        <v>#REF!</v>
      </c>
      <c r="AS101" s="10" t="e">
        <f>_xlfn.XLOOKUP($D101,#REF!,#REF!,,0,)</f>
        <v>#REF!</v>
      </c>
      <c r="AT101" s="44" t="str">
        <f>Tab_Process_TCs2527[[#This Row],[Flow_ID]]</f>
        <v>N.A.</v>
      </c>
      <c r="AU101" s="44" t="e">
        <f t="shared" si="27"/>
        <v>#REF!</v>
      </c>
      <c r="AV101" s="170"/>
      <c r="AW101" s="17" t="e">
        <f>_xlfn.XLOOKUP($D101,#REF!,#REF!,,0,)</f>
        <v>#REF!</v>
      </c>
      <c r="AX101" s="10" t="e">
        <f>_xlfn.XLOOKUP($D101,#REF!,#REF!,,0,)</f>
        <v>#REF!</v>
      </c>
      <c r="AY101" s="44" t="str">
        <f>Tab_Process_TCs2527[[#This Row],[Flow_ID]]</f>
        <v>N.A.</v>
      </c>
      <c r="AZ101" s="44" t="e">
        <f t="shared" si="28"/>
        <v>#REF!</v>
      </c>
      <c r="BA101" s="170"/>
      <c r="BB101" s="10" t="e">
        <f>_xlfn.XLOOKUP($D101,#REF!,#REF!,,0,)</f>
        <v>#REF!</v>
      </c>
      <c r="BC101" s="10" t="e">
        <f>_xlfn.XLOOKUP($D101,#REF!,#REF!,,0,)</f>
        <v>#REF!</v>
      </c>
      <c r="BD101" s="44" t="str">
        <f>Tab_Process_TCs2527[[#This Row],[Flow_ID]]</f>
        <v>N.A.</v>
      </c>
      <c r="BE101" s="44" t="e">
        <f t="shared" si="29"/>
        <v>#REF!</v>
      </c>
      <c r="BF101" s="51"/>
      <c r="BG101" s="54">
        <f>Tab_Process_TCs2527[[#This Row],[TC O_6_'[%']]]+Tab_Process_TCs2527[[#This Row],[TC O_5_'[%']]]+Tab_Process_TCs2527[[#This Row],[TC_O_4_'[%']]]+Tab_Process_TCs2527[[#This Row],[TC_O_3_'[%']]]+Tab_Process_TCs2527[[#This Row],[TC_O_2_'[%']]]+Tab_Process_TCs2527[[#This Row],[TC_O_1_'[%']]]</f>
        <v>1</v>
      </c>
      <c r="BH101" s="12"/>
      <c r="BI101" s="12"/>
      <c r="BJ101" s="12"/>
      <c r="BK101" s="12"/>
      <c r="BL101" s="12"/>
    </row>
    <row r="102" spans="1:64" x14ac:dyDescent="0.25">
      <c r="A102" s="197" t="b">
        <v>0</v>
      </c>
      <c r="B102" s="10">
        <f t="shared" si="23"/>
        <v>101</v>
      </c>
      <c r="C102" s="49" t="e">
        <f>_xlfn.XLOOKUP($D102,Tab_Process_TCs[Name(EN)],Tab_Process_TCs[Process_ID],,0,)</f>
        <v>#N/A</v>
      </c>
      <c r="D102" s="192" t="s">
        <v>35</v>
      </c>
      <c r="E102" s="192" t="s">
        <v>35</v>
      </c>
      <c r="F102" s="49" t="e">
        <f>_xlfn.XLOOKUP($D102,Tab_Process_TCs[Name(EN)],Tab_Process_TCs[TC?],,0,)</f>
        <v>#N/A</v>
      </c>
      <c r="G102" s="49" t="e">
        <f>_xlfn.XLOOKUP($D102,Tab_Process_TCs[Name(EN)],Tab_Process_TCs[Dyn_TC?],,0,)</f>
        <v>#N/A</v>
      </c>
      <c r="H102" s="10" t="str">
        <f>_xlfn.XLOOKUP($E102,Tab_Def_Flows[Name(EN)],Tab_Def_Flows[Flow_ID],,0,1)</f>
        <v>N.A.</v>
      </c>
      <c r="I102" s="10" t="str">
        <f>IF(Tab_Process_TCs2527[[#This Row],[Name(EN)]]="N.A.","N.A.","TC"&amp;"_"&amp;RIGHT(H102,5))</f>
        <v>N.A.</v>
      </c>
      <c r="J102" s="12"/>
      <c r="K102" s="186"/>
      <c r="L102" s="10"/>
      <c r="M102" s="17" t="e">
        <f>_xlfn.XLOOKUP($D102,Tab_Def_Processes[Name(EN)],Tab_Def_Processes[Input_Flow_I_1],,0,)</f>
        <v>#N/A</v>
      </c>
      <c r="N102" s="10" t="e">
        <f>_xlfn.XLOOKUP($D102,Tab_Def_Processes[Name(EN)],Tab_Def_Processes[Flow_ID_I_1],,0,)</f>
        <v>#N/A</v>
      </c>
      <c r="O102" s="183"/>
      <c r="P102" s="30" t="e">
        <f>_xlfn.XLOOKUP($D102,Tab_Def_Processes[Name(EN)],Tab_Def_Processes[Input_Flow_I_2],,0,)</f>
        <v>#N/A</v>
      </c>
      <c r="Q102" s="10" t="e">
        <f>_xlfn.XLOOKUP($D102,Tab_Def_Processes[Name(EN)],Tab_Def_Processes[Flow_ID_I_2],,0,)</f>
        <v>#N/A</v>
      </c>
      <c r="R102" s="183"/>
      <c r="S102" s="30" t="e">
        <f>_xlfn.XLOOKUP($D102,Tab_Def_Processes[Name(EN)],Tab_Def_Processes[Input_Flow_I_3],,0,)</f>
        <v>#N/A</v>
      </c>
      <c r="T102" s="10" t="e">
        <f>_xlfn.XLOOKUP($D102,Tab_Def_Processes[Name(EN)],Tab_Def_Processes[Flow_ID_I_3],,0,)</f>
        <v>#N/A</v>
      </c>
      <c r="U102" s="183"/>
      <c r="V102" s="30" t="e">
        <f>_xlfn.XLOOKUP($D102,Tab_Def_Processes[Name(EN)],Tab_Def_Processes[Input_Flow_I_4],,0,)</f>
        <v>#N/A</v>
      </c>
      <c r="W102" s="10" t="e">
        <f>_xlfn.XLOOKUP($D102,Tab_Def_Processes[Name(EN)],Tab_Def_Processes[Flow_ID_I_4],,0,)</f>
        <v>#N/A</v>
      </c>
      <c r="X102" s="183"/>
      <c r="Y102" s="30" t="e">
        <f>_xlfn.XLOOKUP($D102,Tab_Def_Processes[Name(EN)],Tab_Def_Processes[Input_Flow_I_5],,0,)</f>
        <v>#N/A</v>
      </c>
      <c r="Z102" s="10" t="e">
        <f>_xlfn.XLOOKUP($D102,Tab_Def_Processes[Name(EN)],Tab_Def_Processes[Flow_ID_I_5],,0,)</f>
        <v>#N/A</v>
      </c>
      <c r="AA102" s="183"/>
      <c r="AB102" s="41">
        <f>Tab_Process_TCs2527[[#This Row],[Flow_TC_I_1_'[%']]]+Tab_Process_TCs2527[[#This Row],[Flow_TC_I_2_'[%']]]+Tab_Process_TCs2527[[#This Row],[Flow_TC_I_3_'[%']]]+Tab_Process_TCs2527[[#This Row],[Flow_TC_I_4_'[%']]]+Tab_Process_TCs2527[[#This Row],[Flow_TC_I_5_'[%']]]</f>
        <v>0</v>
      </c>
      <c r="AC102" s="17" t="e">
        <f>_xlfn.XLOOKUP($D102,#REF!,#REF!,,0,)</f>
        <v>#REF!</v>
      </c>
      <c r="AD102" s="10" t="e">
        <f>_xlfn.XLOOKUP($D102,#REF!,#REF!,,0,)</f>
        <v>#REF!</v>
      </c>
      <c r="AE102" s="44" t="str">
        <f>Tab_Process_TCs2527[[#This Row],[Flow_ID]]</f>
        <v>N.A.</v>
      </c>
      <c r="AF102" s="10" t="e">
        <f t="shared" si="24"/>
        <v>#REF!</v>
      </c>
      <c r="AG102" s="51">
        <v>0.4</v>
      </c>
      <c r="AH102" s="17" t="e">
        <f>_xlfn.XLOOKUP($D102,#REF!,#REF!,,0,)</f>
        <v>#REF!</v>
      </c>
      <c r="AI102" s="10" t="e">
        <f>_xlfn.XLOOKUP($D102,#REF!,#REF!,,0,)</f>
        <v>#REF!</v>
      </c>
      <c r="AJ102" s="44" t="str">
        <f>Tab_Process_TCs2527[[#This Row],[Flow_ID]]</f>
        <v>N.A.</v>
      </c>
      <c r="AK102" s="10" t="e">
        <f t="shared" si="25"/>
        <v>#REF!</v>
      </c>
      <c r="AL102" s="170">
        <v>0.6</v>
      </c>
      <c r="AM102" s="17" t="e">
        <f>_xlfn.XLOOKUP($D102,#REF!,#REF!,,0,)</f>
        <v>#REF!</v>
      </c>
      <c r="AN102" s="10" t="e">
        <f>_xlfn.XLOOKUP($D102,#REF!,#REF!,,0,)</f>
        <v>#REF!</v>
      </c>
      <c r="AO102" s="44" t="str">
        <f>Tab_Process_TCs2527[[#This Row],[Flow_ID]]</f>
        <v>N.A.</v>
      </c>
      <c r="AP102" s="10" t="e">
        <f t="shared" si="26"/>
        <v>#REF!</v>
      </c>
      <c r="AQ102" s="170"/>
      <c r="AR102" s="17" t="e">
        <f>_xlfn.XLOOKUP($D102,#REF!,#REF!,,0,)</f>
        <v>#REF!</v>
      </c>
      <c r="AS102" s="10" t="e">
        <f>_xlfn.XLOOKUP($D102,#REF!,#REF!,,0,)</f>
        <v>#REF!</v>
      </c>
      <c r="AT102" s="44" t="str">
        <f>Tab_Process_TCs2527[[#This Row],[Flow_ID]]</f>
        <v>N.A.</v>
      </c>
      <c r="AU102" s="44" t="e">
        <f t="shared" si="27"/>
        <v>#REF!</v>
      </c>
      <c r="AV102" s="170"/>
      <c r="AW102" s="17" t="e">
        <f>_xlfn.XLOOKUP($D102,#REF!,#REF!,,0,)</f>
        <v>#REF!</v>
      </c>
      <c r="AX102" s="10" t="e">
        <f>_xlfn.XLOOKUP($D102,#REF!,#REF!,,0,)</f>
        <v>#REF!</v>
      </c>
      <c r="AY102" s="44" t="str">
        <f>Tab_Process_TCs2527[[#This Row],[Flow_ID]]</f>
        <v>N.A.</v>
      </c>
      <c r="AZ102" s="44" t="e">
        <f t="shared" si="28"/>
        <v>#REF!</v>
      </c>
      <c r="BA102" s="170"/>
      <c r="BB102" s="10" t="e">
        <f>_xlfn.XLOOKUP($D102,#REF!,#REF!,,0,)</f>
        <v>#REF!</v>
      </c>
      <c r="BC102" s="10" t="e">
        <f>_xlfn.XLOOKUP($D102,#REF!,#REF!,,0,)</f>
        <v>#REF!</v>
      </c>
      <c r="BD102" s="44" t="str">
        <f>Tab_Process_TCs2527[[#This Row],[Flow_ID]]</f>
        <v>N.A.</v>
      </c>
      <c r="BE102" s="44" t="e">
        <f t="shared" si="29"/>
        <v>#REF!</v>
      </c>
      <c r="BF102" s="51"/>
      <c r="BG102" s="54">
        <f>Tab_Process_TCs2527[[#This Row],[TC O_6_'[%']]]+Tab_Process_TCs2527[[#This Row],[TC O_5_'[%']]]+Tab_Process_TCs2527[[#This Row],[TC_O_4_'[%']]]+Tab_Process_TCs2527[[#This Row],[TC_O_3_'[%']]]+Tab_Process_TCs2527[[#This Row],[TC_O_2_'[%']]]+Tab_Process_TCs2527[[#This Row],[TC_O_1_'[%']]]</f>
        <v>1</v>
      </c>
      <c r="BH102" s="12"/>
      <c r="BI102" s="12"/>
      <c r="BJ102" s="12"/>
      <c r="BK102" s="12"/>
      <c r="BL102" s="12"/>
    </row>
    <row r="103" spans="1:64" x14ac:dyDescent="0.25">
      <c r="A103" s="197" t="b">
        <v>0</v>
      </c>
      <c r="B103" s="10">
        <f t="shared" si="23"/>
        <v>102</v>
      </c>
      <c r="C103" s="49" t="e">
        <f>_xlfn.XLOOKUP($D103,Tab_Process_TCs[Name(EN)],Tab_Process_TCs[Process_ID],,0,)</f>
        <v>#N/A</v>
      </c>
      <c r="D103" s="192" t="s">
        <v>35</v>
      </c>
      <c r="E103" s="192" t="s">
        <v>35</v>
      </c>
      <c r="F103" s="49" t="e">
        <f>_xlfn.XLOOKUP($D103,Tab_Process_TCs[Name(EN)],Tab_Process_TCs[TC?],,0,)</f>
        <v>#N/A</v>
      </c>
      <c r="G103" s="49" t="e">
        <f>_xlfn.XLOOKUP($D103,Tab_Process_TCs[Name(EN)],Tab_Process_TCs[Dyn_TC?],,0,)</f>
        <v>#N/A</v>
      </c>
      <c r="H103" s="10" t="str">
        <f>_xlfn.XLOOKUP($E103,Tab_Def_Flows[Name(EN)],Tab_Def_Flows[Flow_ID],,0,1)</f>
        <v>N.A.</v>
      </c>
      <c r="I103" s="10" t="str">
        <f>IF(Tab_Process_TCs2527[[#This Row],[Name(EN)]]="N.A.","N.A.","TC"&amp;"_"&amp;RIGHT(H103,5))</f>
        <v>N.A.</v>
      </c>
      <c r="J103" s="12"/>
      <c r="K103" s="186"/>
      <c r="L103" s="10"/>
      <c r="M103" s="17" t="e">
        <f>_xlfn.XLOOKUP($D103,Tab_Def_Processes[Name(EN)],Tab_Def_Processes[Input_Flow_I_1],,0,)</f>
        <v>#N/A</v>
      </c>
      <c r="N103" s="10" t="e">
        <f>_xlfn.XLOOKUP($D103,Tab_Def_Processes[Name(EN)],Tab_Def_Processes[Flow_ID_I_1],,0,)</f>
        <v>#N/A</v>
      </c>
      <c r="O103" s="183"/>
      <c r="P103" s="30" t="e">
        <f>_xlfn.XLOOKUP($D103,Tab_Def_Processes[Name(EN)],Tab_Def_Processes[Input_Flow_I_2],,0,)</f>
        <v>#N/A</v>
      </c>
      <c r="Q103" s="10" t="e">
        <f>_xlfn.XLOOKUP($D103,Tab_Def_Processes[Name(EN)],Tab_Def_Processes[Flow_ID_I_2],,0,)</f>
        <v>#N/A</v>
      </c>
      <c r="R103" s="183"/>
      <c r="S103" s="30" t="e">
        <f>_xlfn.XLOOKUP($D103,Tab_Def_Processes[Name(EN)],Tab_Def_Processes[Input_Flow_I_3],,0,)</f>
        <v>#N/A</v>
      </c>
      <c r="T103" s="10" t="e">
        <f>_xlfn.XLOOKUP($D103,Tab_Def_Processes[Name(EN)],Tab_Def_Processes[Flow_ID_I_3],,0,)</f>
        <v>#N/A</v>
      </c>
      <c r="U103" s="183"/>
      <c r="V103" s="30" t="e">
        <f>_xlfn.XLOOKUP($D103,Tab_Def_Processes[Name(EN)],Tab_Def_Processes[Input_Flow_I_4],,0,)</f>
        <v>#N/A</v>
      </c>
      <c r="W103" s="10" t="e">
        <f>_xlfn.XLOOKUP($D103,Tab_Def_Processes[Name(EN)],Tab_Def_Processes[Flow_ID_I_4],,0,)</f>
        <v>#N/A</v>
      </c>
      <c r="X103" s="183"/>
      <c r="Y103" s="30" t="e">
        <f>_xlfn.XLOOKUP($D103,Tab_Def_Processes[Name(EN)],Tab_Def_Processes[Input_Flow_I_5],,0,)</f>
        <v>#N/A</v>
      </c>
      <c r="Z103" s="10" t="e">
        <f>_xlfn.XLOOKUP($D103,Tab_Def_Processes[Name(EN)],Tab_Def_Processes[Flow_ID_I_5],,0,)</f>
        <v>#N/A</v>
      </c>
      <c r="AA103" s="183"/>
      <c r="AB103" s="41">
        <f>Tab_Process_TCs2527[[#This Row],[Flow_TC_I_1_'[%']]]+Tab_Process_TCs2527[[#This Row],[Flow_TC_I_2_'[%']]]+Tab_Process_TCs2527[[#This Row],[Flow_TC_I_3_'[%']]]+Tab_Process_TCs2527[[#This Row],[Flow_TC_I_4_'[%']]]+Tab_Process_TCs2527[[#This Row],[Flow_TC_I_5_'[%']]]</f>
        <v>0</v>
      </c>
      <c r="AC103" s="17" t="e">
        <f>_xlfn.XLOOKUP($D103,#REF!,#REF!,,0,)</f>
        <v>#REF!</v>
      </c>
      <c r="AD103" s="10" t="e">
        <f>_xlfn.XLOOKUP($D103,#REF!,#REF!,,0,)</f>
        <v>#REF!</v>
      </c>
      <c r="AE103" s="44" t="str">
        <f>Tab_Process_TCs2527[[#This Row],[Flow_ID]]</f>
        <v>N.A.</v>
      </c>
      <c r="AF103" s="10" t="e">
        <f t="shared" si="24"/>
        <v>#REF!</v>
      </c>
      <c r="AG103" s="51">
        <v>0.4</v>
      </c>
      <c r="AH103" s="17" t="e">
        <f>_xlfn.XLOOKUP($D103,#REF!,#REF!,,0,)</f>
        <v>#REF!</v>
      </c>
      <c r="AI103" s="10" t="e">
        <f>_xlfn.XLOOKUP($D103,#REF!,#REF!,,0,)</f>
        <v>#REF!</v>
      </c>
      <c r="AJ103" s="44" t="str">
        <f>Tab_Process_TCs2527[[#This Row],[Flow_ID]]</f>
        <v>N.A.</v>
      </c>
      <c r="AK103" s="10" t="e">
        <f t="shared" si="25"/>
        <v>#REF!</v>
      </c>
      <c r="AL103" s="170">
        <v>0.6</v>
      </c>
      <c r="AM103" s="17" t="e">
        <f>_xlfn.XLOOKUP($D103,#REF!,#REF!,,0,)</f>
        <v>#REF!</v>
      </c>
      <c r="AN103" s="10" t="e">
        <f>_xlfn.XLOOKUP($D103,#REF!,#REF!,,0,)</f>
        <v>#REF!</v>
      </c>
      <c r="AO103" s="44" t="str">
        <f>Tab_Process_TCs2527[[#This Row],[Flow_ID]]</f>
        <v>N.A.</v>
      </c>
      <c r="AP103" s="10" t="e">
        <f t="shared" si="26"/>
        <v>#REF!</v>
      </c>
      <c r="AQ103" s="170"/>
      <c r="AR103" s="17" t="e">
        <f>_xlfn.XLOOKUP($D103,#REF!,#REF!,,0,)</f>
        <v>#REF!</v>
      </c>
      <c r="AS103" s="10" t="e">
        <f>_xlfn.XLOOKUP($D103,#REF!,#REF!,,0,)</f>
        <v>#REF!</v>
      </c>
      <c r="AT103" s="44" t="str">
        <f>Tab_Process_TCs2527[[#This Row],[Flow_ID]]</f>
        <v>N.A.</v>
      </c>
      <c r="AU103" s="44" t="e">
        <f t="shared" si="27"/>
        <v>#REF!</v>
      </c>
      <c r="AV103" s="170"/>
      <c r="AW103" s="17" t="e">
        <f>_xlfn.XLOOKUP($D103,#REF!,#REF!,,0,)</f>
        <v>#REF!</v>
      </c>
      <c r="AX103" s="10" t="e">
        <f>_xlfn.XLOOKUP($D103,#REF!,#REF!,,0,)</f>
        <v>#REF!</v>
      </c>
      <c r="AY103" s="44" t="str">
        <f>Tab_Process_TCs2527[[#This Row],[Flow_ID]]</f>
        <v>N.A.</v>
      </c>
      <c r="AZ103" s="44" t="e">
        <f t="shared" si="28"/>
        <v>#REF!</v>
      </c>
      <c r="BA103" s="170"/>
      <c r="BB103" s="10" t="e">
        <f>_xlfn.XLOOKUP($D103,#REF!,#REF!,,0,)</f>
        <v>#REF!</v>
      </c>
      <c r="BC103" s="10" t="e">
        <f>_xlfn.XLOOKUP($D103,#REF!,#REF!,,0,)</f>
        <v>#REF!</v>
      </c>
      <c r="BD103" s="44" t="str">
        <f>Tab_Process_TCs2527[[#This Row],[Flow_ID]]</f>
        <v>N.A.</v>
      </c>
      <c r="BE103" s="44" t="e">
        <f t="shared" si="29"/>
        <v>#REF!</v>
      </c>
      <c r="BF103" s="51"/>
      <c r="BG103" s="54">
        <f>Tab_Process_TCs2527[[#This Row],[TC O_6_'[%']]]+Tab_Process_TCs2527[[#This Row],[TC O_5_'[%']]]+Tab_Process_TCs2527[[#This Row],[TC_O_4_'[%']]]+Tab_Process_TCs2527[[#This Row],[TC_O_3_'[%']]]+Tab_Process_TCs2527[[#This Row],[TC_O_2_'[%']]]+Tab_Process_TCs2527[[#This Row],[TC_O_1_'[%']]]</f>
        <v>1</v>
      </c>
      <c r="BH103" s="12"/>
      <c r="BI103" s="12"/>
      <c r="BJ103" s="12"/>
      <c r="BK103" s="12"/>
      <c r="BL103" s="12"/>
    </row>
    <row r="104" spans="1:64" x14ac:dyDescent="0.25">
      <c r="A104" s="197" t="b">
        <v>0</v>
      </c>
      <c r="B104" s="10">
        <f t="shared" si="23"/>
        <v>103</v>
      </c>
      <c r="C104" s="49" t="e">
        <f>_xlfn.XLOOKUP($D104,Tab_Process_TCs[Name(EN)],Tab_Process_TCs[Process_ID],,0,)</f>
        <v>#N/A</v>
      </c>
      <c r="D104" s="192" t="s">
        <v>35</v>
      </c>
      <c r="E104" s="192" t="s">
        <v>35</v>
      </c>
      <c r="F104" s="49" t="e">
        <f>_xlfn.XLOOKUP($D104,Tab_Process_TCs[Name(EN)],Tab_Process_TCs[TC?],,0,)</f>
        <v>#N/A</v>
      </c>
      <c r="G104" s="49" t="e">
        <f>_xlfn.XLOOKUP($D104,Tab_Process_TCs[Name(EN)],Tab_Process_TCs[Dyn_TC?],,0,)</f>
        <v>#N/A</v>
      </c>
      <c r="H104" s="10" t="str">
        <f>_xlfn.XLOOKUP($E104,Tab_Def_Flows[Name(EN)],Tab_Def_Flows[Flow_ID],,0,1)</f>
        <v>N.A.</v>
      </c>
      <c r="I104" s="10" t="str">
        <f>IF(Tab_Process_TCs2527[[#This Row],[Name(EN)]]="N.A.","N.A.","TC"&amp;"_"&amp;RIGHT(H104,5))</f>
        <v>N.A.</v>
      </c>
      <c r="J104" s="12"/>
      <c r="K104" s="186"/>
      <c r="L104" s="10"/>
      <c r="M104" s="17" t="e">
        <f>_xlfn.XLOOKUP($D104,Tab_Def_Processes[Name(EN)],Tab_Def_Processes[Input_Flow_I_1],,0,)</f>
        <v>#N/A</v>
      </c>
      <c r="N104" s="10" t="e">
        <f>_xlfn.XLOOKUP($D104,Tab_Def_Processes[Name(EN)],Tab_Def_Processes[Flow_ID_I_1],,0,)</f>
        <v>#N/A</v>
      </c>
      <c r="O104" s="183"/>
      <c r="P104" s="30" t="e">
        <f>_xlfn.XLOOKUP($D104,Tab_Def_Processes[Name(EN)],Tab_Def_Processes[Input_Flow_I_2],,0,)</f>
        <v>#N/A</v>
      </c>
      <c r="Q104" s="10" t="e">
        <f>_xlfn.XLOOKUP($D104,Tab_Def_Processes[Name(EN)],Tab_Def_Processes[Flow_ID_I_2],,0,)</f>
        <v>#N/A</v>
      </c>
      <c r="R104" s="183"/>
      <c r="S104" s="30" t="e">
        <f>_xlfn.XLOOKUP($D104,Tab_Def_Processes[Name(EN)],Tab_Def_Processes[Input_Flow_I_3],,0,)</f>
        <v>#N/A</v>
      </c>
      <c r="T104" s="10" t="e">
        <f>_xlfn.XLOOKUP($D104,Tab_Def_Processes[Name(EN)],Tab_Def_Processes[Flow_ID_I_3],,0,)</f>
        <v>#N/A</v>
      </c>
      <c r="U104" s="183"/>
      <c r="V104" s="30" t="e">
        <f>_xlfn.XLOOKUP($D104,Tab_Def_Processes[Name(EN)],Tab_Def_Processes[Input_Flow_I_4],,0,)</f>
        <v>#N/A</v>
      </c>
      <c r="W104" s="10" t="e">
        <f>_xlfn.XLOOKUP($D104,Tab_Def_Processes[Name(EN)],Tab_Def_Processes[Flow_ID_I_4],,0,)</f>
        <v>#N/A</v>
      </c>
      <c r="X104" s="183"/>
      <c r="Y104" s="30" t="e">
        <f>_xlfn.XLOOKUP($D104,Tab_Def_Processes[Name(EN)],Tab_Def_Processes[Input_Flow_I_5],,0,)</f>
        <v>#N/A</v>
      </c>
      <c r="Z104" s="10" t="e">
        <f>_xlfn.XLOOKUP($D104,Tab_Def_Processes[Name(EN)],Tab_Def_Processes[Flow_ID_I_5],,0,)</f>
        <v>#N/A</v>
      </c>
      <c r="AA104" s="183"/>
      <c r="AB104" s="41">
        <f>Tab_Process_TCs2527[[#This Row],[Flow_TC_I_1_'[%']]]+Tab_Process_TCs2527[[#This Row],[Flow_TC_I_2_'[%']]]+Tab_Process_TCs2527[[#This Row],[Flow_TC_I_3_'[%']]]+Tab_Process_TCs2527[[#This Row],[Flow_TC_I_4_'[%']]]+Tab_Process_TCs2527[[#This Row],[Flow_TC_I_5_'[%']]]</f>
        <v>0</v>
      </c>
      <c r="AC104" s="17" t="e">
        <f>_xlfn.XLOOKUP($D104,#REF!,#REF!,,0,)</f>
        <v>#REF!</v>
      </c>
      <c r="AD104" s="10" t="e">
        <f>_xlfn.XLOOKUP($D104,#REF!,#REF!,,0,)</f>
        <v>#REF!</v>
      </c>
      <c r="AE104" s="44" t="str">
        <f>Tab_Process_TCs2527[[#This Row],[Flow_ID]]</f>
        <v>N.A.</v>
      </c>
      <c r="AF104" s="10" t="e">
        <f t="shared" si="24"/>
        <v>#REF!</v>
      </c>
      <c r="AG104" s="51">
        <v>0.4</v>
      </c>
      <c r="AH104" s="17" t="e">
        <f>_xlfn.XLOOKUP($D104,#REF!,#REF!,,0,)</f>
        <v>#REF!</v>
      </c>
      <c r="AI104" s="10" t="e">
        <f>_xlfn.XLOOKUP($D104,#REF!,#REF!,,0,)</f>
        <v>#REF!</v>
      </c>
      <c r="AJ104" s="44" t="str">
        <f>Tab_Process_TCs2527[[#This Row],[Flow_ID]]</f>
        <v>N.A.</v>
      </c>
      <c r="AK104" s="10" t="e">
        <f t="shared" si="25"/>
        <v>#REF!</v>
      </c>
      <c r="AL104" s="170">
        <v>0.6</v>
      </c>
      <c r="AM104" s="17" t="e">
        <f>_xlfn.XLOOKUP($D104,#REF!,#REF!,,0,)</f>
        <v>#REF!</v>
      </c>
      <c r="AN104" s="10" t="e">
        <f>_xlfn.XLOOKUP($D104,#REF!,#REF!,,0,)</f>
        <v>#REF!</v>
      </c>
      <c r="AO104" s="44" t="str">
        <f>Tab_Process_TCs2527[[#This Row],[Flow_ID]]</f>
        <v>N.A.</v>
      </c>
      <c r="AP104" s="10" t="e">
        <f t="shared" si="26"/>
        <v>#REF!</v>
      </c>
      <c r="AQ104" s="170"/>
      <c r="AR104" s="17" t="e">
        <f>_xlfn.XLOOKUP($D104,#REF!,#REF!,,0,)</f>
        <v>#REF!</v>
      </c>
      <c r="AS104" s="10" t="e">
        <f>_xlfn.XLOOKUP($D104,#REF!,#REF!,,0,)</f>
        <v>#REF!</v>
      </c>
      <c r="AT104" s="44" t="str">
        <f>Tab_Process_TCs2527[[#This Row],[Flow_ID]]</f>
        <v>N.A.</v>
      </c>
      <c r="AU104" s="44" t="e">
        <f t="shared" si="27"/>
        <v>#REF!</v>
      </c>
      <c r="AV104" s="170"/>
      <c r="AW104" s="17" t="e">
        <f>_xlfn.XLOOKUP($D104,#REF!,#REF!,,0,)</f>
        <v>#REF!</v>
      </c>
      <c r="AX104" s="10" t="e">
        <f>_xlfn.XLOOKUP($D104,#REF!,#REF!,,0,)</f>
        <v>#REF!</v>
      </c>
      <c r="AY104" s="44" t="str">
        <f>Tab_Process_TCs2527[[#This Row],[Flow_ID]]</f>
        <v>N.A.</v>
      </c>
      <c r="AZ104" s="44" t="e">
        <f t="shared" si="28"/>
        <v>#REF!</v>
      </c>
      <c r="BA104" s="170"/>
      <c r="BB104" s="10" t="e">
        <f>_xlfn.XLOOKUP($D104,#REF!,#REF!,,0,)</f>
        <v>#REF!</v>
      </c>
      <c r="BC104" s="10" t="e">
        <f>_xlfn.XLOOKUP($D104,#REF!,#REF!,,0,)</f>
        <v>#REF!</v>
      </c>
      <c r="BD104" s="44" t="str">
        <f>Tab_Process_TCs2527[[#This Row],[Flow_ID]]</f>
        <v>N.A.</v>
      </c>
      <c r="BE104" s="44" t="e">
        <f t="shared" si="29"/>
        <v>#REF!</v>
      </c>
      <c r="BF104" s="51"/>
      <c r="BG104" s="54">
        <f>Tab_Process_TCs2527[[#This Row],[TC O_6_'[%']]]+Tab_Process_TCs2527[[#This Row],[TC O_5_'[%']]]+Tab_Process_TCs2527[[#This Row],[TC_O_4_'[%']]]+Tab_Process_TCs2527[[#This Row],[TC_O_3_'[%']]]+Tab_Process_TCs2527[[#This Row],[TC_O_2_'[%']]]+Tab_Process_TCs2527[[#This Row],[TC_O_1_'[%']]]</f>
        <v>1</v>
      </c>
      <c r="BH104" s="12"/>
      <c r="BI104" s="12"/>
      <c r="BJ104" s="12"/>
      <c r="BK104" s="12"/>
      <c r="BL104" s="12"/>
    </row>
    <row r="105" spans="1:64" x14ac:dyDescent="0.25">
      <c r="A105" s="197" t="b">
        <v>0</v>
      </c>
      <c r="B105" s="10">
        <f t="shared" si="23"/>
        <v>104</v>
      </c>
      <c r="C105" s="49" t="e">
        <f>_xlfn.XLOOKUP($D105,Tab_Process_TCs[Name(EN)],Tab_Process_TCs[Process_ID],,0,)</f>
        <v>#N/A</v>
      </c>
      <c r="D105" s="192" t="s">
        <v>35</v>
      </c>
      <c r="E105" s="192" t="s">
        <v>35</v>
      </c>
      <c r="F105" s="49" t="e">
        <f>_xlfn.XLOOKUP($D105,Tab_Process_TCs[Name(EN)],Tab_Process_TCs[TC?],,0,)</f>
        <v>#N/A</v>
      </c>
      <c r="G105" s="49" t="e">
        <f>_xlfn.XLOOKUP($D105,Tab_Process_TCs[Name(EN)],Tab_Process_TCs[Dyn_TC?],,0,)</f>
        <v>#N/A</v>
      </c>
      <c r="H105" s="10" t="str">
        <f>_xlfn.XLOOKUP($E105,Tab_Def_Flows[Name(EN)],Tab_Def_Flows[Flow_ID],,0,1)</f>
        <v>N.A.</v>
      </c>
      <c r="I105" s="10" t="str">
        <f>IF(Tab_Process_TCs2527[[#This Row],[Name(EN)]]="N.A.","N.A.","TC"&amp;"_"&amp;RIGHT(H105,5))</f>
        <v>N.A.</v>
      </c>
      <c r="J105" s="12"/>
      <c r="K105" s="186"/>
      <c r="L105" s="10"/>
      <c r="M105" s="17" t="e">
        <f>_xlfn.XLOOKUP($D105,Tab_Def_Processes[Name(EN)],Tab_Def_Processes[Input_Flow_I_1],,0,)</f>
        <v>#N/A</v>
      </c>
      <c r="N105" s="10" t="e">
        <f>_xlfn.XLOOKUP($D105,Tab_Def_Processes[Name(EN)],Tab_Def_Processes[Flow_ID_I_1],,0,)</f>
        <v>#N/A</v>
      </c>
      <c r="O105" s="183"/>
      <c r="P105" s="30" t="e">
        <f>_xlfn.XLOOKUP($D105,Tab_Def_Processes[Name(EN)],Tab_Def_Processes[Input_Flow_I_2],,0,)</f>
        <v>#N/A</v>
      </c>
      <c r="Q105" s="10" t="e">
        <f>_xlfn.XLOOKUP($D105,Tab_Def_Processes[Name(EN)],Tab_Def_Processes[Flow_ID_I_2],,0,)</f>
        <v>#N/A</v>
      </c>
      <c r="R105" s="183"/>
      <c r="S105" s="30" t="e">
        <f>_xlfn.XLOOKUP($D105,Tab_Def_Processes[Name(EN)],Tab_Def_Processes[Input_Flow_I_3],,0,)</f>
        <v>#N/A</v>
      </c>
      <c r="T105" s="10" t="e">
        <f>_xlfn.XLOOKUP($D105,Tab_Def_Processes[Name(EN)],Tab_Def_Processes[Flow_ID_I_3],,0,)</f>
        <v>#N/A</v>
      </c>
      <c r="U105" s="183"/>
      <c r="V105" s="30" t="e">
        <f>_xlfn.XLOOKUP($D105,Tab_Def_Processes[Name(EN)],Tab_Def_Processes[Input_Flow_I_4],,0,)</f>
        <v>#N/A</v>
      </c>
      <c r="W105" s="10" t="e">
        <f>_xlfn.XLOOKUP($D105,Tab_Def_Processes[Name(EN)],Tab_Def_Processes[Flow_ID_I_4],,0,)</f>
        <v>#N/A</v>
      </c>
      <c r="X105" s="183"/>
      <c r="Y105" s="30" t="e">
        <f>_xlfn.XLOOKUP($D105,Tab_Def_Processes[Name(EN)],Tab_Def_Processes[Input_Flow_I_5],,0,)</f>
        <v>#N/A</v>
      </c>
      <c r="Z105" s="10" t="e">
        <f>_xlfn.XLOOKUP($D105,Tab_Def_Processes[Name(EN)],Tab_Def_Processes[Flow_ID_I_5],,0,)</f>
        <v>#N/A</v>
      </c>
      <c r="AA105" s="183"/>
      <c r="AB105" s="41">
        <f>Tab_Process_TCs2527[[#This Row],[Flow_TC_I_1_'[%']]]+Tab_Process_TCs2527[[#This Row],[Flow_TC_I_2_'[%']]]+Tab_Process_TCs2527[[#This Row],[Flow_TC_I_3_'[%']]]+Tab_Process_TCs2527[[#This Row],[Flow_TC_I_4_'[%']]]+Tab_Process_TCs2527[[#This Row],[Flow_TC_I_5_'[%']]]</f>
        <v>0</v>
      </c>
      <c r="AC105" s="17" t="e">
        <f>_xlfn.XLOOKUP($D105,#REF!,#REF!,,0,)</f>
        <v>#REF!</v>
      </c>
      <c r="AD105" s="10" t="e">
        <f>_xlfn.XLOOKUP($D105,#REF!,#REF!,,0,)</f>
        <v>#REF!</v>
      </c>
      <c r="AE105" s="44" t="str">
        <f>Tab_Process_TCs2527[[#This Row],[Flow_ID]]</f>
        <v>N.A.</v>
      </c>
      <c r="AF105" s="10" t="e">
        <f t="shared" si="24"/>
        <v>#REF!</v>
      </c>
      <c r="AG105" s="51">
        <v>0.4</v>
      </c>
      <c r="AH105" s="17" t="e">
        <f>_xlfn.XLOOKUP($D105,#REF!,#REF!,,0,)</f>
        <v>#REF!</v>
      </c>
      <c r="AI105" s="10" t="e">
        <f>_xlfn.XLOOKUP($D105,#REF!,#REF!,,0,)</f>
        <v>#REF!</v>
      </c>
      <c r="AJ105" s="44" t="str">
        <f>Tab_Process_TCs2527[[#This Row],[Flow_ID]]</f>
        <v>N.A.</v>
      </c>
      <c r="AK105" s="10" t="e">
        <f t="shared" si="25"/>
        <v>#REF!</v>
      </c>
      <c r="AL105" s="170">
        <v>0.6</v>
      </c>
      <c r="AM105" s="17" t="e">
        <f>_xlfn.XLOOKUP($D105,#REF!,#REF!,,0,)</f>
        <v>#REF!</v>
      </c>
      <c r="AN105" s="10" t="e">
        <f>_xlfn.XLOOKUP($D105,#REF!,#REF!,,0,)</f>
        <v>#REF!</v>
      </c>
      <c r="AO105" s="44" t="str">
        <f>Tab_Process_TCs2527[[#This Row],[Flow_ID]]</f>
        <v>N.A.</v>
      </c>
      <c r="AP105" s="10" t="e">
        <f t="shared" si="26"/>
        <v>#REF!</v>
      </c>
      <c r="AQ105" s="170"/>
      <c r="AR105" s="17" t="e">
        <f>_xlfn.XLOOKUP($D105,#REF!,#REF!,,0,)</f>
        <v>#REF!</v>
      </c>
      <c r="AS105" s="10" t="e">
        <f>_xlfn.XLOOKUP($D105,#REF!,#REF!,,0,)</f>
        <v>#REF!</v>
      </c>
      <c r="AT105" s="44" t="str">
        <f>Tab_Process_TCs2527[[#This Row],[Flow_ID]]</f>
        <v>N.A.</v>
      </c>
      <c r="AU105" s="44" t="e">
        <f t="shared" si="27"/>
        <v>#REF!</v>
      </c>
      <c r="AV105" s="170"/>
      <c r="AW105" s="17" t="e">
        <f>_xlfn.XLOOKUP($D105,#REF!,#REF!,,0,)</f>
        <v>#REF!</v>
      </c>
      <c r="AX105" s="10" t="e">
        <f>_xlfn.XLOOKUP($D105,#REF!,#REF!,,0,)</f>
        <v>#REF!</v>
      </c>
      <c r="AY105" s="44" t="str">
        <f>Tab_Process_TCs2527[[#This Row],[Flow_ID]]</f>
        <v>N.A.</v>
      </c>
      <c r="AZ105" s="44" t="e">
        <f t="shared" si="28"/>
        <v>#REF!</v>
      </c>
      <c r="BA105" s="170"/>
      <c r="BB105" s="10" t="e">
        <f>_xlfn.XLOOKUP($D105,#REF!,#REF!,,0,)</f>
        <v>#REF!</v>
      </c>
      <c r="BC105" s="10" t="e">
        <f>_xlfn.XLOOKUP($D105,#REF!,#REF!,,0,)</f>
        <v>#REF!</v>
      </c>
      <c r="BD105" s="44" t="str">
        <f>Tab_Process_TCs2527[[#This Row],[Flow_ID]]</f>
        <v>N.A.</v>
      </c>
      <c r="BE105" s="44" t="e">
        <f t="shared" si="29"/>
        <v>#REF!</v>
      </c>
      <c r="BF105" s="51"/>
      <c r="BG105" s="54">
        <f>Tab_Process_TCs2527[[#This Row],[TC O_6_'[%']]]+Tab_Process_TCs2527[[#This Row],[TC O_5_'[%']]]+Tab_Process_TCs2527[[#This Row],[TC_O_4_'[%']]]+Tab_Process_TCs2527[[#This Row],[TC_O_3_'[%']]]+Tab_Process_TCs2527[[#This Row],[TC_O_2_'[%']]]+Tab_Process_TCs2527[[#This Row],[TC_O_1_'[%']]]</f>
        <v>1</v>
      </c>
      <c r="BH105" s="12"/>
      <c r="BI105" s="12"/>
      <c r="BJ105" s="12"/>
      <c r="BK105" s="12"/>
      <c r="BL105" s="12"/>
    </row>
    <row r="106" spans="1:64" x14ac:dyDescent="0.25">
      <c r="A106" s="197" t="b">
        <v>0</v>
      </c>
      <c r="B106" s="10">
        <f t="shared" si="23"/>
        <v>105</v>
      </c>
      <c r="C106" s="49" t="e">
        <f>_xlfn.XLOOKUP($D106,Tab_Process_TCs[Name(EN)],Tab_Process_TCs[Process_ID],,0,)</f>
        <v>#N/A</v>
      </c>
      <c r="D106" s="192" t="s">
        <v>35</v>
      </c>
      <c r="E106" s="192" t="s">
        <v>35</v>
      </c>
      <c r="F106" s="49" t="e">
        <f>_xlfn.XLOOKUP($D106,Tab_Process_TCs[Name(EN)],Tab_Process_TCs[TC?],,0,)</f>
        <v>#N/A</v>
      </c>
      <c r="G106" s="49" t="e">
        <f>_xlfn.XLOOKUP($D106,Tab_Process_TCs[Name(EN)],Tab_Process_TCs[Dyn_TC?],,0,)</f>
        <v>#N/A</v>
      </c>
      <c r="H106" s="10" t="str">
        <f>_xlfn.XLOOKUP($E106,Tab_Def_Flows[Name(EN)],Tab_Def_Flows[Flow_ID],,0,1)</f>
        <v>N.A.</v>
      </c>
      <c r="I106" s="10" t="str">
        <f>IF(Tab_Process_TCs2527[[#This Row],[Name(EN)]]="N.A.","N.A.","TC"&amp;"_"&amp;RIGHT(H106,5))</f>
        <v>N.A.</v>
      </c>
      <c r="J106" s="12"/>
      <c r="K106" s="186"/>
      <c r="L106" s="10"/>
      <c r="M106" s="17" t="e">
        <f>_xlfn.XLOOKUP($D106,Tab_Def_Processes[Name(EN)],Tab_Def_Processes[Input_Flow_I_1],,0,)</f>
        <v>#N/A</v>
      </c>
      <c r="N106" s="10" t="e">
        <f>_xlfn.XLOOKUP($D106,Tab_Def_Processes[Name(EN)],Tab_Def_Processes[Flow_ID_I_1],,0,)</f>
        <v>#N/A</v>
      </c>
      <c r="O106" s="183"/>
      <c r="P106" s="30" t="e">
        <f>_xlfn.XLOOKUP($D106,Tab_Def_Processes[Name(EN)],Tab_Def_Processes[Input_Flow_I_2],,0,)</f>
        <v>#N/A</v>
      </c>
      <c r="Q106" s="10" t="e">
        <f>_xlfn.XLOOKUP($D106,Tab_Def_Processes[Name(EN)],Tab_Def_Processes[Flow_ID_I_2],,0,)</f>
        <v>#N/A</v>
      </c>
      <c r="R106" s="183"/>
      <c r="S106" s="30" t="e">
        <f>_xlfn.XLOOKUP($D106,Tab_Def_Processes[Name(EN)],Tab_Def_Processes[Input_Flow_I_3],,0,)</f>
        <v>#N/A</v>
      </c>
      <c r="T106" s="10" t="e">
        <f>_xlfn.XLOOKUP($D106,Tab_Def_Processes[Name(EN)],Tab_Def_Processes[Flow_ID_I_3],,0,)</f>
        <v>#N/A</v>
      </c>
      <c r="U106" s="183"/>
      <c r="V106" s="30" t="e">
        <f>_xlfn.XLOOKUP($D106,Tab_Def_Processes[Name(EN)],Tab_Def_Processes[Input_Flow_I_4],,0,)</f>
        <v>#N/A</v>
      </c>
      <c r="W106" s="10" t="e">
        <f>_xlfn.XLOOKUP($D106,Tab_Def_Processes[Name(EN)],Tab_Def_Processes[Flow_ID_I_4],,0,)</f>
        <v>#N/A</v>
      </c>
      <c r="X106" s="183"/>
      <c r="Y106" s="30" t="e">
        <f>_xlfn.XLOOKUP($D106,Tab_Def_Processes[Name(EN)],Tab_Def_Processes[Input_Flow_I_5],,0,)</f>
        <v>#N/A</v>
      </c>
      <c r="Z106" s="10" t="e">
        <f>_xlfn.XLOOKUP($D106,Tab_Def_Processes[Name(EN)],Tab_Def_Processes[Flow_ID_I_5],,0,)</f>
        <v>#N/A</v>
      </c>
      <c r="AA106" s="183"/>
      <c r="AB106" s="41">
        <f>Tab_Process_TCs2527[[#This Row],[Flow_TC_I_1_'[%']]]+Tab_Process_TCs2527[[#This Row],[Flow_TC_I_2_'[%']]]+Tab_Process_TCs2527[[#This Row],[Flow_TC_I_3_'[%']]]+Tab_Process_TCs2527[[#This Row],[Flow_TC_I_4_'[%']]]+Tab_Process_TCs2527[[#This Row],[Flow_TC_I_5_'[%']]]</f>
        <v>0</v>
      </c>
      <c r="AC106" s="17" t="e">
        <f>_xlfn.XLOOKUP($D106,#REF!,#REF!,,0,)</f>
        <v>#REF!</v>
      </c>
      <c r="AD106" s="10" t="e">
        <f>_xlfn.XLOOKUP($D106,#REF!,#REF!,,0,)</f>
        <v>#REF!</v>
      </c>
      <c r="AE106" s="44" t="str">
        <f>Tab_Process_TCs2527[[#This Row],[Flow_ID]]</f>
        <v>N.A.</v>
      </c>
      <c r="AF106" s="10" t="e">
        <f t="shared" si="24"/>
        <v>#REF!</v>
      </c>
      <c r="AG106" s="51">
        <v>0.4</v>
      </c>
      <c r="AH106" s="17" t="e">
        <f>_xlfn.XLOOKUP($D106,#REF!,#REF!,,0,)</f>
        <v>#REF!</v>
      </c>
      <c r="AI106" s="10" t="e">
        <f>_xlfn.XLOOKUP($D106,#REF!,#REF!,,0,)</f>
        <v>#REF!</v>
      </c>
      <c r="AJ106" s="44" t="str">
        <f>Tab_Process_TCs2527[[#This Row],[Flow_ID]]</f>
        <v>N.A.</v>
      </c>
      <c r="AK106" s="10" t="e">
        <f t="shared" si="25"/>
        <v>#REF!</v>
      </c>
      <c r="AL106" s="170">
        <v>0.6</v>
      </c>
      <c r="AM106" s="17" t="e">
        <f>_xlfn.XLOOKUP($D106,#REF!,#REF!,,0,)</f>
        <v>#REF!</v>
      </c>
      <c r="AN106" s="10" t="e">
        <f>_xlfn.XLOOKUP($D106,#REF!,#REF!,,0,)</f>
        <v>#REF!</v>
      </c>
      <c r="AO106" s="44" t="str">
        <f>Tab_Process_TCs2527[[#This Row],[Flow_ID]]</f>
        <v>N.A.</v>
      </c>
      <c r="AP106" s="10" t="e">
        <f t="shared" si="26"/>
        <v>#REF!</v>
      </c>
      <c r="AQ106" s="170"/>
      <c r="AR106" s="17" t="e">
        <f>_xlfn.XLOOKUP($D106,#REF!,#REF!,,0,)</f>
        <v>#REF!</v>
      </c>
      <c r="AS106" s="10" t="e">
        <f>_xlfn.XLOOKUP($D106,#REF!,#REF!,,0,)</f>
        <v>#REF!</v>
      </c>
      <c r="AT106" s="44" t="str">
        <f>Tab_Process_TCs2527[[#This Row],[Flow_ID]]</f>
        <v>N.A.</v>
      </c>
      <c r="AU106" s="44" t="e">
        <f t="shared" si="27"/>
        <v>#REF!</v>
      </c>
      <c r="AV106" s="170"/>
      <c r="AW106" s="17" t="e">
        <f>_xlfn.XLOOKUP($D106,#REF!,#REF!,,0,)</f>
        <v>#REF!</v>
      </c>
      <c r="AX106" s="10" t="e">
        <f>_xlfn.XLOOKUP($D106,#REF!,#REF!,,0,)</f>
        <v>#REF!</v>
      </c>
      <c r="AY106" s="44" t="str">
        <f>Tab_Process_TCs2527[[#This Row],[Flow_ID]]</f>
        <v>N.A.</v>
      </c>
      <c r="AZ106" s="44" t="e">
        <f t="shared" si="28"/>
        <v>#REF!</v>
      </c>
      <c r="BA106" s="170"/>
      <c r="BB106" s="10" t="e">
        <f>_xlfn.XLOOKUP($D106,#REF!,#REF!,,0,)</f>
        <v>#REF!</v>
      </c>
      <c r="BC106" s="10" t="e">
        <f>_xlfn.XLOOKUP($D106,#REF!,#REF!,,0,)</f>
        <v>#REF!</v>
      </c>
      <c r="BD106" s="44" t="str">
        <f>Tab_Process_TCs2527[[#This Row],[Flow_ID]]</f>
        <v>N.A.</v>
      </c>
      <c r="BE106" s="44" t="e">
        <f t="shared" si="29"/>
        <v>#REF!</v>
      </c>
      <c r="BF106" s="51"/>
      <c r="BG106" s="54">
        <f>Tab_Process_TCs2527[[#This Row],[TC O_6_'[%']]]+Tab_Process_TCs2527[[#This Row],[TC O_5_'[%']]]+Tab_Process_TCs2527[[#This Row],[TC_O_4_'[%']]]+Tab_Process_TCs2527[[#This Row],[TC_O_3_'[%']]]+Tab_Process_TCs2527[[#This Row],[TC_O_2_'[%']]]+Tab_Process_TCs2527[[#This Row],[TC_O_1_'[%']]]</f>
        <v>1</v>
      </c>
      <c r="BH106" s="12"/>
      <c r="BI106" s="12"/>
      <c r="BJ106" s="12"/>
      <c r="BK106" s="12"/>
      <c r="BL106" s="12"/>
    </row>
    <row r="107" spans="1:64" x14ac:dyDescent="0.25">
      <c r="A107" s="197" t="b">
        <v>0</v>
      </c>
      <c r="B107" s="10">
        <f t="shared" si="23"/>
        <v>106</v>
      </c>
      <c r="C107" s="49" t="e">
        <f>_xlfn.XLOOKUP($D107,Tab_Process_TCs[Name(EN)],Tab_Process_TCs[Process_ID],,0,)</f>
        <v>#N/A</v>
      </c>
      <c r="D107" s="192" t="s">
        <v>35</v>
      </c>
      <c r="E107" s="192" t="s">
        <v>35</v>
      </c>
      <c r="F107" s="49" t="e">
        <f>_xlfn.XLOOKUP($D107,Tab_Process_TCs[Name(EN)],Tab_Process_TCs[TC?],,0,)</f>
        <v>#N/A</v>
      </c>
      <c r="G107" s="49" t="e">
        <f>_xlfn.XLOOKUP($D107,Tab_Process_TCs[Name(EN)],Tab_Process_TCs[Dyn_TC?],,0,)</f>
        <v>#N/A</v>
      </c>
      <c r="H107" s="10" t="str">
        <f>_xlfn.XLOOKUP($E107,Tab_Def_Flows[Name(EN)],Tab_Def_Flows[Flow_ID],,0,1)</f>
        <v>N.A.</v>
      </c>
      <c r="I107" s="10" t="str">
        <f>IF(Tab_Process_TCs2527[[#This Row],[Name(EN)]]="N.A.","N.A.","TC"&amp;"_"&amp;RIGHT(H107,5))</f>
        <v>N.A.</v>
      </c>
      <c r="J107" s="12"/>
      <c r="K107" s="186"/>
      <c r="L107" s="10"/>
      <c r="M107" s="17" t="e">
        <f>_xlfn.XLOOKUP($D107,Tab_Def_Processes[Name(EN)],Tab_Def_Processes[Input_Flow_I_1],,0,)</f>
        <v>#N/A</v>
      </c>
      <c r="N107" s="10" t="e">
        <f>_xlfn.XLOOKUP($D107,Tab_Def_Processes[Name(EN)],Tab_Def_Processes[Flow_ID_I_1],,0,)</f>
        <v>#N/A</v>
      </c>
      <c r="O107" s="183"/>
      <c r="P107" s="30" t="e">
        <f>_xlfn.XLOOKUP($D107,Tab_Def_Processes[Name(EN)],Tab_Def_Processes[Input_Flow_I_2],,0,)</f>
        <v>#N/A</v>
      </c>
      <c r="Q107" s="10" t="e">
        <f>_xlfn.XLOOKUP($D107,Tab_Def_Processes[Name(EN)],Tab_Def_Processes[Flow_ID_I_2],,0,)</f>
        <v>#N/A</v>
      </c>
      <c r="R107" s="183"/>
      <c r="S107" s="30" t="e">
        <f>_xlfn.XLOOKUP($D107,Tab_Def_Processes[Name(EN)],Tab_Def_Processes[Input_Flow_I_3],,0,)</f>
        <v>#N/A</v>
      </c>
      <c r="T107" s="10" t="e">
        <f>_xlfn.XLOOKUP($D107,Tab_Def_Processes[Name(EN)],Tab_Def_Processes[Flow_ID_I_3],,0,)</f>
        <v>#N/A</v>
      </c>
      <c r="U107" s="183"/>
      <c r="V107" s="30" t="e">
        <f>_xlfn.XLOOKUP($D107,Tab_Def_Processes[Name(EN)],Tab_Def_Processes[Input_Flow_I_4],,0,)</f>
        <v>#N/A</v>
      </c>
      <c r="W107" s="10" t="e">
        <f>_xlfn.XLOOKUP($D107,Tab_Def_Processes[Name(EN)],Tab_Def_Processes[Flow_ID_I_4],,0,)</f>
        <v>#N/A</v>
      </c>
      <c r="X107" s="183"/>
      <c r="Y107" s="30" t="e">
        <f>_xlfn.XLOOKUP($D107,Tab_Def_Processes[Name(EN)],Tab_Def_Processes[Input_Flow_I_5],,0,)</f>
        <v>#N/A</v>
      </c>
      <c r="Z107" s="10" t="e">
        <f>_xlfn.XLOOKUP($D107,Tab_Def_Processes[Name(EN)],Tab_Def_Processes[Flow_ID_I_5],,0,)</f>
        <v>#N/A</v>
      </c>
      <c r="AA107" s="183"/>
      <c r="AB107" s="41">
        <f>Tab_Process_TCs2527[[#This Row],[Flow_TC_I_1_'[%']]]+Tab_Process_TCs2527[[#This Row],[Flow_TC_I_2_'[%']]]+Tab_Process_TCs2527[[#This Row],[Flow_TC_I_3_'[%']]]+Tab_Process_TCs2527[[#This Row],[Flow_TC_I_4_'[%']]]+Tab_Process_TCs2527[[#This Row],[Flow_TC_I_5_'[%']]]</f>
        <v>0</v>
      </c>
      <c r="AC107" s="17" t="e">
        <f>_xlfn.XLOOKUP($D107,#REF!,#REF!,,0,)</f>
        <v>#REF!</v>
      </c>
      <c r="AD107" s="10" t="e">
        <f>_xlfn.XLOOKUP($D107,#REF!,#REF!,,0,)</f>
        <v>#REF!</v>
      </c>
      <c r="AE107" s="44" t="str">
        <f>Tab_Process_TCs2527[[#This Row],[Flow_ID]]</f>
        <v>N.A.</v>
      </c>
      <c r="AF107" s="10" t="e">
        <f t="shared" si="24"/>
        <v>#REF!</v>
      </c>
      <c r="AG107" s="51">
        <v>0.4</v>
      </c>
      <c r="AH107" s="17" t="e">
        <f>_xlfn.XLOOKUP($D107,#REF!,#REF!,,0,)</f>
        <v>#REF!</v>
      </c>
      <c r="AI107" s="10" t="e">
        <f>_xlfn.XLOOKUP($D107,#REF!,#REF!,,0,)</f>
        <v>#REF!</v>
      </c>
      <c r="AJ107" s="44" t="str">
        <f>Tab_Process_TCs2527[[#This Row],[Flow_ID]]</f>
        <v>N.A.</v>
      </c>
      <c r="AK107" s="10" t="e">
        <f t="shared" si="25"/>
        <v>#REF!</v>
      </c>
      <c r="AL107" s="170">
        <v>0.6</v>
      </c>
      <c r="AM107" s="17" t="e">
        <f>_xlfn.XLOOKUP($D107,#REF!,#REF!,,0,)</f>
        <v>#REF!</v>
      </c>
      <c r="AN107" s="10" t="e">
        <f>_xlfn.XLOOKUP($D107,#REF!,#REF!,,0,)</f>
        <v>#REF!</v>
      </c>
      <c r="AO107" s="44" t="str">
        <f>Tab_Process_TCs2527[[#This Row],[Flow_ID]]</f>
        <v>N.A.</v>
      </c>
      <c r="AP107" s="10" t="e">
        <f t="shared" si="26"/>
        <v>#REF!</v>
      </c>
      <c r="AQ107" s="170"/>
      <c r="AR107" s="17" t="e">
        <f>_xlfn.XLOOKUP($D107,#REF!,#REF!,,0,)</f>
        <v>#REF!</v>
      </c>
      <c r="AS107" s="10" t="e">
        <f>_xlfn.XLOOKUP($D107,#REF!,#REF!,,0,)</f>
        <v>#REF!</v>
      </c>
      <c r="AT107" s="44" t="str">
        <f>Tab_Process_TCs2527[[#This Row],[Flow_ID]]</f>
        <v>N.A.</v>
      </c>
      <c r="AU107" s="44" t="e">
        <f t="shared" si="27"/>
        <v>#REF!</v>
      </c>
      <c r="AV107" s="170"/>
      <c r="AW107" s="17" t="e">
        <f>_xlfn.XLOOKUP($D107,#REF!,#REF!,,0,)</f>
        <v>#REF!</v>
      </c>
      <c r="AX107" s="10" t="e">
        <f>_xlfn.XLOOKUP($D107,#REF!,#REF!,,0,)</f>
        <v>#REF!</v>
      </c>
      <c r="AY107" s="44" t="str">
        <f>Tab_Process_TCs2527[[#This Row],[Flow_ID]]</f>
        <v>N.A.</v>
      </c>
      <c r="AZ107" s="44" t="e">
        <f t="shared" si="28"/>
        <v>#REF!</v>
      </c>
      <c r="BA107" s="170"/>
      <c r="BB107" s="10" t="e">
        <f>_xlfn.XLOOKUP($D107,#REF!,#REF!,,0,)</f>
        <v>#REF!</v>
      </c>
      <c r="BC107" s="10" t="e">
        <f>_xlfn.XLOOKUP($D107,#REF!,#REF!,,0,)</f>
        <v>#REF!</v>
      </c>
      <c r="BD107" s="44" t="str">
        <f>Tab_Process_TCs2527[[#This Row],[Flow_ID]]</f>
        <v>N.A.</v>
      </c>
      <c r="BE107" s="44" t="e">
        <f t="shared" si="29"/>
        <v>#REF!</v>
      </c>
      <c r="BF107" s="51"/>
      <c r="BG107" s="54">
        <f>Tab_Process_TCs2527[[#This Row],[TC O_6_'[%']]]+Tab_Process_TCs2527[[#This Row],[TC O_5_'[%']]]+Tab_Process_TCs2527[[#This Row],[TC_O_4_'[%']]]+Tab_Process_TCs2527[[#This Row],[TC_O_3_'[%']]]+Tab_Process_TCs2527[[#This Row],[TC_O_2_'[%']]]+Tab_Process_TCs2527[[#This Row],[TC_O_1_'[%']]]</f>
        <v>1</v>
      </c>
      <c r="BH107" s="12"/>
      <c r="BI107" s="12"/>
      <c r="BJ107" s="12"/>
      <c r="BK107" s="12"/>
      <c r="BL107" s="12"/>
    </row>
    <row r="108" spans="1:64" x14ac:dyDescent="0.25">
      <c r="A108" s="197" t="b">
        <v>0</v>
      </c>
      <c r="B108" s="10">
        <f t="shared" si="23"/>
        <v>107</v>
      </c>
      <c r="C108" s="49" t="e">
        <f>_xlfn.XLOOKUP($D108,Tab_Process_TCs[Name(EN)],Tab_Process_TCs[Process_ID],,0,)</f>
        <v>#N/A</v>
      </c>
      <c r="D108" s="192" t="s">
        <v>35</v>
      </c>
      <c r="E108" s="192" t="s">
        <v>35</v>
      </c>
      <c r="F108" s="49" t="e">
        <f>_xlfn.XLOOKUP($D108,Tab_Process_TCs[Name(EN)],Tab_Process_TCs[TC?],,0,)</f>
        <v>#N/A</v>
      </c>
      <c r="G108" s="49" t="e">
        <f>_xlfn.XLOOKUP($D108,Tab_Process_TCs[Name(EN)],Tab_Process_TCs[Dyn_TC?],,0,)</f>
        <v>#N/A</v>
      </c>
      <c r="H108" s="10" t="str">
        <f>_xlfn.XLOOKUP($E108,Tab_Def_Flows[Name(EN)],Tab_Def_Flows[Flow_ID],,0,1)</f>
        <v>N.A.</v>
      </c>
      <c r="I108" s="10" t="str">
        <f>IF(Tab_Process_TCs2527[[#This Row],[Name(EN)]]="N.A.","N.A.","TC"&amp;"_"&amp;RIGHT(H108,5))</f>
        <v>N.A.</v>
      </c>
      <c r="J108" s="12"/>
      <c r="K108" s="186"/>
      <c r="L108" s="10"/>
      <c r="M108" s="17" t="e">
        <f>_xlfn.XLOOKUP($D108,Tab_Def_Processes[Name(EN)],Tab_Def_Processes[Input_Flow_I_1],,0,)</f>
        <v>#N/A</v>
      </c>
      <c r="N108" s="10" t="e">
        <f>_xlfn.XLOOKUP($D108,Tab_Def_Processes[Name(EN)],Tab_Def_Processes[Flow_ID_I_1],,0,)</f>
        <v>#N/A</v>
      </c>
      <c r="O108" s="183"/>
      <c r="P108" s="30" t="e">
        <f>_xlfn.XLOOKUP($D108,Tab_Def_Processes[Name(EN)],Tab_Def_Processes[Input_Flow_I_2],,0,)</f>
        <v>#N/A</v>
      </c>
      <c r="Q108" s="10" t="e">
        <f>_xlfn.XLOOKUP($D108,Tab_Def_Processes[Name(EN)],Tab_Def_Processes[Flow_ID_I_2],,0,)</f>
        <v>#N/A</v>
      </c>
      <c r="R108" s="183"/>
      <c r="S108" s="30" t="e">
        <f>_xlfn.XLOOKUP($D108,Tab_Def_Processes[Name(EN)],Tab_Def_Processes[Input_Flow_I_3],,0,)</f>
        <v>#N/A</v>
      </c>
      <c r="T108" s="10" t="e">
        <f>_xlfn.XLOOKUP($D108,Tab_Def_Processes[Name(EN)],Tab_Def_Processes[Flow_ID_I_3],,0,)</f>
        <v>#N/A</v>
      </c>
      <c r="U108" s="183"/>
      <c r="V108" s="30" t="e">
        <f>_xlfn.XLOOKUP($D108,Tab_Def_Processes[Name(EN)],Tab_Def_Processes[Input_Flow_I_4],,0,)</f>
        <v>#N/A</v>
      </c>
      <c r="W108" s="10" t="e">
        <f>_xlfn.XLOOKUP($D108,Tab_Def_Processes[Name(EN)],Tab_Def_Processes[Flow_ID_I_4],,0,)</f>
        <v>#N/A</v>
      </c>
      <c r="X108" s="183"/>
      <c r="Y108" s="30" t="e">
        <f>_xlfn.XLOOKUP($D108,Tab_Def_Processes[Name(EN)],Tab_Def_Processes[Input_Flow_I_5],,0,)</f>
        <v>#N/A</v>
      </c>
      <c r="Z108" s="10" t="e">
        <f>_xlfn.XLOOKUP($D108,Tab_Def_Processes[Name(EN)],Tab_Def_Processes[Flow_ID_I_5],,0,)</f>
        <v>#N/A</v>
      </c>
      <c r="AA108" s="183"/>
      <c r="AB108" s="41">
        <f>Tab_Process_TCs2527[[#This Row],[Flow_TC_I_1_'[%']]]+Tab_Process_TCs2527[[#This Row],[Flow_TC_I_2_'[%']]]+Tab_Process_TCs2527[[#This Row],[Flow_TC_I_3_'[%']]]+Tab_Process_TCs2527[[#This Row],[Flow_TC_I_4_'[%']]]+Tab_Process_TCs2527[[#This Row],[Flow_TC_I_5_'[%']]]</f>
        <v>0</v>
      </c>
      <c r="AC108" s="17" t="e">
        <f>_xlfn.XLOOKUP($D108,#REF!,#REF!,,0,)</f>
        <v>#REF!</v>
      </c>
      <c r="AD108" s="10" t="e">
        <f>_xlfn.XLOOKUP($D108,#REF!,#REF!,,0,)</f>
        <v>#REF!</v>
      </c>
      <c r="AE108" s="44" t="str">
        <f>Tab_Process_TCs2527[[#This Row],[Flow_ID]]</f>
        <v>N.A.</v>
      </c>
      <c r="AF108" s="10" t="e">
        <f t="shared" si="24"/>
        <v>#REF!</v>
      </c>
      <c r="AG108" s="51">
        <v>0.4</v>
      </c>
      <c r="AH108" s="17" t="e">
        <f>_xlfn.XLOOKUP($D108,#REF!,#REF!,,0,)</f>
        <v>#REF!</v>
      </c>
      <c r="AI108" s="10" t="e">
        <f>_xlfn.XLOOKUP($D108,#REF!,#REF!,,0,)</f>
        <v>#REF!</v>
      </c>
      <c r="AJ108" s="44" t="str">
        <f>Tab_Process_TCs2527[[#This Row],[Flow_ID]]</f>
        <v>N.A.</v>
      </c>
      <c r="AK108" s="10" t="e">
        <f t="shared" si="25"/>
        <v>#REF!</v>
      </c>
      <c r="AL108" s="170">
        <v>0.6</v>
      </c>
      <c r="AM108" s="17" t="e">
        <f>_xlfn.XLOOKUP($D108,#REF!,#REF!,,0,)</f>
        <v>#REF!</v>
      </c>
      <c r="AN108" s="10" t="e">
        <f>_xlfn.XLOOKUP($D108,#REF!,#REF!,,0,)</f>
        <v>#REF!</v>
      </c>
      <c r="AO108" s="44" t="str">
        <f>Tab_Process_TCs2527[[#This Row],[Flow_ID]]</f>
        <v>N.A.</v>
      </c>
      <c r="AP108" s="10" t="e">
        <f t="shared" si="26"/>
        <v>#REF!</v>
      </c>
      <c r="AQ108" s="170"/>
      <c r="AR108" s="17" t="e">
        <f>_xlfn.XLOOKUP($D108,#REF!,#REF!,,0,)</f>
        <v>#REF!</v>
      </c>
      <c r="AS108" s="10" t="e">
        <f>_xlfn.XLOOKUP($D108,#REF!,#REF!,,0,)</f>
        <v>#REF!</v>
      </c>
      <c r="AT108" s="44" t="str">
        <f>Tab_Process_TCs2527[[#This Row],[Flow_ID]]</f>
        <v>N.A.</v>
      </c>
      <c r="AU108" s="44" t="e">
        <f t="shared" si="27"/>
        <v>#REF!</v>
      </c>
      <c r="AV108" s="170"/>
      <c r="AW108" s="17" t="e">
        <f>_xlfn.XLOOKUP($D108,#REF!,#REF!,,0,)</f>
        <v>#REF!</v>
      </c>
      <c r="AX108" s="10" t="e">
        <f>_xlfn.XLOOKUP($D108,#REF!,#REF!,,0,)</f>
        <v>#REF!</v>
      </c>
      <c r="AY108" s="44" t="str">
        <f>Tab_Process_TCs2527[[#This Row],[Flow_ID]]</f>
        <v>N.A.</v>
      </c>
      <c r="AZ108" s="44" t="e">
        <f t="shared" si="28"/>
        <v>#REF!</v>
      </c>
      <c r="BA108" s="170"/>
      <c r="BB108" s="10" t="e">
        <f>_xlfn.XLOOKUP($D108,#REF!,#REF!,,0,)</f>
        <v>#REF!</v>
      </c>
      <c r="BC108" s="10" t="e">
        <f>_xlfn.XLOOKUP($D108,#REF!,#REF!,,0,)</f>
        <v>#REF!</v>
      </c>
      <c r="BD108" s="44" t="str">
        <f>Tab_Process_TCs2527[[#This Row],[Flow_ID]]</f>
        <v>N.A.</v>
      </c>
      <c r="BE108" s="44" t="e">
        <f t="shared" si="29"/>
        <v>#REF!</v>
      </c>
      <c r="BF108" s="51"/>
      <c r="BG108" s="54">
        <f>Tab_Process_TCs2527[[#This Row],[TC O_6_'[%']]]+Tab_Process_TCs2527[[#This Row],[TC O_5_'[%']]]+Tab_Process_TCs2527[[#This Row],[TC_O_4_'[%']]]+Tab_Process_TCs2527[[#This Row],[TC_O_3_'[%']]]+Tab_Process_TCs2527[[#This Row],[TC_O_2_'[%']]]+Tab_Process_TCs2527[[#This Row],[TC_O_1_'[%']]]</f>
        <v>1</v>
      </c>
      <c r="BH108" s="12"/>
      <c r="BI108" s="12"/>
      <c r="BJ108" s="12"/>
      <c r="BK108" s="12"/>
      <c r="BL108" s="12"/>
    </row>
    <row r="109" spans="1:64" ht="15.75" thickBot="1" x14ac:dyDescent="0.3">
      <c r="A109" s="197" t="b">
        <v>0</v>
      </c>
      <c r="B109" s="10">
        <f t="shared" si="23"/>
        <v>108</v>
      </c>
      <c r="C109" s="49" t="e">
        <f>_xlfn.XLOOKUP($D109,Tab_Process_TCs[Name(EN)],Tab_Process_TCs[Process_ID],,0,)</f>
        <v>#N/A</v>
      </c>
      <c r="D109" s="192" t="s">
        <v>35</v>
      </c>
      <c r="E109" s="192" t="s">
        <v>35</v>
      </c>
      <c r="F109" s="49" t="e">
        <f>_xlfn.XLOOKUP($D109,Tab_Process_TCs[Name(EN)],Tab_Process_TCs[TC?],,0,)</f>
        <v>#N/A</v>
      </c>
      <c r="G109" s="49" t="e">
        <f>_xlfn.XLOOKUP($D109,Tab_Process_TCs[Name(EN)],Tab_Process_TCs[Dyn_TC?],,0,)</f>
        <v>#N/A</v>
      </c>
      <c r="H109" s="10" t="str">
        <f>_xlfn.XLOOKUP($E109,Tab_Def_Flows[Name(EN)],Tab_Def_Flows[Flow_ID],,0,1)</f>
        <v>N.A.</v>
      </c>
      <c r="I109" s="10" t="str">
        <f>IF(Tab_Process_TCs2527[[#This Row],[Name(EN)]]="N.A.","N.A.","TC"&amp;"_"&amp;RIGHT(H109,5))</f>
        <v>N.A.</v>
      </c>
      <c r="J109" s="12"/>
      <c r="K109" s="186"/>
      <c r="L109" s="10"/>
      <c r="M109" s="19" t="e">
        <f>_xlfn.XLOOKUP($D109,Tab_Def_Processes[Name(EN)],Tab_Def_Processes[Input_Flow_I_1],,0,)</f>
        <v>#N/A</v>
      </c>
      <c r="N109" s="20" t="e">
        <f>_xlfn.XLOOKUP($D109,Tab_Def_Processes[Name(EN)],Tab_Def_Processes[Flow_ID_I_1],,0,)</f>
        <v>#N/A</v>
      </c>
      <c r="O109" s="183"/>
      <c r="P109" s="31" t="e">
        <f>_xlfn.XLOOKUP($D109,Tab_Def_Processes[Name(EN)],Tab_Def_Processes[Input_Flow_I_2],,0,)</f>
        <v>#N/A</v>
      </c>
      <c r="Q109" s="20" t="e">
        <f>_xlfn.XLOOKUP($D109,Tab_Def_Processes[Name(EN)],Tab_Def_Processes[Flow_ID_I_2],,0,)</f>
        <v>#N/A</v>
      </c>
      <c r="R109" s="183"/>
      <c r="S109" s="31" t="e">
        <f>_xlfn.XLOOKUP($D109,Tab_Def_Processes[Name(EN)],Tab_Def_Processes[Input_Flow_I_3],,0,)</f>
        <v>#N/A</v>
      </c>
      <c r="T109" s="20" t="e">
        <f>_xlfn.XLOOKUP($D109,Tab_Def_Processes[Name(EN)],Tab_Def_Processes[Flow_ID_I_3],,0,)</f>
        <v>#N/A</v>
      </c>
      <c r="U109" s="183"/>
      <c r="V109" s="31" t="e">
        <f>_xlfn.XLOOKUP($D109,Tab_Def_Processes[Name(EN)],Tab_Def_Processes[Input_Flow_I_4],,0,)</f>
        <v>#N/A</v>
      </c>
      <c r="W109" s="20" t="e">
        <f>_xlfn.XLOOKUP($D109,Tab_Def_Processes[Name(EN)],Tab_Def_Processes[Flow_ID_I_4],,0,)</f>
        <v>#N/A</v>
      </c>
      <c r="X109" s="183"/>
      <c r="Y109" s="31" t="e">
        <f>_xlfn.XLOOKUP($D109,Tab_Def_Processes[Name(EN)],Tab_Def_Processes[Input_Flow_I_5],,0,)</f>
        <v>#N/A</v>
      </c>
      <c r="Z109" s="20" t="e">
        <f>_xlfn.XLOOKUP($D109,Tab_Def_Processes[Name(EN)],Tab_Def_Processes[Flow_ID_I_5],,0,)</f>
        <v>#N/A</v>
      </c>
      <c r="AA109" s="183"/>
      <c r="AB109" s="185">
        <f>Tab_Process_TCs2527[[#This Row],[Flow_TC_I_1_'[%']]]+Tab_Process_TCs2527[[#This Row],[Flow_TC_I_2_'[%']]]+Tab_Process_TCs2527[[#This Row],[Flow_TC_I_3_'[%']]]+Tab_Process_TCs2527[[#This Row],[Flow_TC_I_4_'[%']]]+Tab_Process_TCs2527[[#This Row],[Flow_TC_I_5_'[%']]]</f>
        <v>0</v>
      </c>
      <c r="AC109" s="17" t="e">
        <f>_xlfn.XLOOKUP($D109,#REF!,#REF!,,0,)</f>
        <v>#REF!</v>
      </c>
      <c r="AD109" s="10" t="e">
        <f>_xlfn.XLOOKUP($D109,#REF!,#REF!,,0,)</f>
        <v>#REF!</v>
      </c>
      <c r="AE109" s="44" t="str">
        <f>Tab_Process_TCs2527[[#This Row],[Flow_ID]]</f>
        <v>N.A.</v>
      </c>
      <c r="AF109" s="10" t="e">
        <f t="shared" si="24"/>
        <v>#REF!</v>
      </c>
      <c r="AG109" s="51">
        <v>0.4</v>
      </c>
      <c r="AH109" s="17" t="e">
        <f>_xlfn.XLOOKUP($D109,#REF!,#REF!,,0,)</f>
        <v>#REF!</v>
      </c>
      <c r="AI109" s="10" t="e">
        <f>_xlfn.XLOOKUP($D109,#REF!,#REF!,,0,)</f>
        <v>#REF!</v>
      </c>
      <c r="AJ109" s="44" t="str">
        <f>Tab_Process_TCs2527[[#This Row],[Flow_ID]]</f>
        <v>N.A.</v>
      </c>
      <c r="AK109" s="10" t="e">
        <f t="shared" si="25"/>
        <v>#REF!</v>
      </c>
      <c r="AL109" s="170">
        <v>0.6</v>
      </c>
      <c r="AM109" s="17" t="e">
        <f>_xlfn.XLOOKUP($D109,#REF!,#REF!,,0,)</f>
        <v>#REF!</v>
      </c>
      <c r="AN109" s="10" t="e">
        <f>_xlfn.XLOOKUP($D109,#REF!,#REF!,,0,)</f>
        <v>#REF!</v>
      </c>
      <c r="AO109" s="44" t="str">
        <f>Tab_Process_TCs2527[[#This Row],[Flow_ID]]</f>
        <v>N.A.</v>
      </c>
      <c r="AP109" s="10" t="e">
        <f t="shared" si="26"/>
        <v>#REF!</v>
      </c>
      <c r="AQ109" s="170"/>
      <c r="AR109" s="17" t="e">
        <f>_xlfn.XLOOKUP($D109,#REF!,#REF!,,0,)</f>
        <v>#REF!</v>
      </c>
      <c r="AS109" s="10" t="e">
        <f>_xlfn.XLOOKUP($D109,#REF!,#REF!,,0,)</f>
        <v>#REF!</v>
      </c>
      <c r="AT109" s="44" t="str">
        <f>Tab_Process_TCs2527[[#This Row],[Flow_ID]]</f>
        <v>N.A.</v>
      </c>
      <c r="AU109" s="44" t="e">
        <f t="shared" si="27"/>
        <v>#REF!</v>
      </c>
      <c r="AV109" s="170"/>
      <c r="AW109" s="17" t="e">
        <f>_xlfn.XLOOKUP($D109,#REF!,#REF!,,0,)</f>
        <v>#REF!</v>
      </c>
      <c r="AX109" s="10" t="e">
        <f>_xlfn.XLOOKUP($D109,#REF!,#REF!,,0,)</f>
        <v>#REF!</v>
      </c>
      <c r="AY109" s="44" t="str">
        <f>Tab_Process_TCs2527[[#This Row],[Flow_ID]]</f>
        <v>N.A.</v>
      </c>
      <c r="AZ109" s="44" t="e">
        <f t="shared" si="28"/>
        <v>#REF!</v>
      </c>
      <c r="BA109" s="170"/>
      <c r="BB109" s="10" t="e">
        <f>_xlfn.XLOOKUP($D109,#REF!,#REF!,,0,)</f>
        <v>#REF!</v>
      </c>
      <c r="BC109" s="10" t="e">
        <f>_xlfn.XLOOKUP($D109,#REF!,#REF!,,0,)</f>
        <v>#REF!</v>
      </c>
      <c r="BD109" s="44" t="str">
        <f>Tab_Process_TCs2527[[#This Row],[Flow_ID]]</f>
        <v>N.A.</v>
      </c>
      <c r="BE109" s="44" t="e">
        <f t="shared" si="29"/>
        <v>#REF!</v>
      </c>
      <c r="BF109" s="51"/>
      <c r="BG109" s="54">
        <f>Tab_Process_TCs2527[[#This Row],[TC O_6_'[%']]]+Tab_Process_TCs2527[[#This Row],[TC O_5_'[%']]]+Tab_Process_TCs2527[[#This Row],[TC_O_4_'[%']]]+Tab_Process_TCs2527[[#This Row],[TC_O_3_'[%']]]+Tab_Process_TCs2527[[#This Row],[TC_O_2_'[%']]]+Tab_Process_TCs2527[[#This Row],[TC_O_1_'[%']]]</f>
        <v>1</v>
      </c>
      <c r="BH109" s="12"/>
      <c r="BI109" s="12"/>
      <c r="BJ109" s="12"/>
      <c r="BK109" s="12"/>
      <c r="BL109" s="12"/>
    </row>
    <row r="110" spans="1:64" x14ac:dyDescent="0.25">
      <c r="A110" s="197" t="b">
        <v>0</v>
      </c>
      <c r="B110" s="10">
        <f t="shared" si="23"/>
        <v>109</v>
      </c>
      <c r="C110" s="49" t="e">
        <f>_xlfn.XLOOKUP($D110,Tab_Process_TCs[Name(EN)],Tab_Process_TCs[Process_ID],,0,)</f>
        <v>#N/A</v>
      </c>
      <c r="D110" s="192" t="s">
        <v>35</v>
      </c>
      <c r="E110" s="192" t="s">
        <v>35</v>
      </c>
      <c r="F110" s="49" t="e">
        <f>_xlfn.XLOOKUP($D110,Tab_Process_TCs[Name(EN)],Tab_Process_TCs[TC?],,0,)</f>
        <v>#N/A</v>
      </c>
      <c r="G110" s="49" t="e">
        <f>_xlfn.XLOOKUP($D110,Tab_Process_TCs[Name(EN)],Tab_Process_TCs[Dyn_TC?],,0,)</f>
        <v>#N/A</v>
      </c>
      <c r="H110" s="10" t="str">
        <f>_xlfn.XLOOKUP($E110,Tab_Def_Flows[Name(EN)],Tab_Def_Flows[Flow_ID],,0,1)</f>
        <v>N.A.</v>
      </c>
      <c r="I110" s="10" t="str">
        <f>IF(Tab_Process_TCs2527[[#This Row],[Name(EN)]]="N.A.","N.A.","TC"&amp;"_"&amp;RIGHT(H110,5))</f>
        <v>N.A.</v>
      </c>
      <c r="J110" s="12"/>
      <c r="K110" s="186"/>
      <c r="L110" s="10"/>
      <c r="M110" s="17" t="e">
        <f>_xlfn.XLOOKUP($D110,Tab_Def_Processes[Name(EN)],Tab_Def_Processes[Input_Flow_I_1],,0,)</f>
        <v>#N/A</v>
      </c>
      <c r="N110" s="10" t="e">
        <f>_xlfn.XLOOKUP($D110,Tab_Def_Processes[Name(EN)],Tab_Def_Processes[Flow_ID_I_1],,0,)</f>
        <v>#N/A</v>
      </c>
      <c r="O110" s="35"/>
      <c r="P110" s="30" t="e">
        <f>_xlfn.XLOOKUP($D110,Tab_Def_Processes[Name(EN)],Tab_Def_Processes[Input_Flow_I_2],,0,)</f>
        <v>#N/A</v>
      </c>
      <c r="Q110" s="10" t="e">
        <f>_xlfn.XLOOKUP($D110,Tab_Def_Processes[Name(EN)],Tab_Def_Processes[Flow_ID_I_2],,0,)</f>
        <v>#N/A</v>
      </c>
      <c r="R110" s="35"/>
      <c r="S110" s="30" t="e">
        <f>_xlfn.XLOOKUP($D110,Tab_Def_Processes[Name(EN)],Tab_Def_Processes[Input_Flow_I_3],,0,)</f>
        <v>#N/A</v>
      </c>
      <c r="T110" s="10" t="e">
        <f>_xlfn.XLOOKUP($D110,Tab_Def_Processes[Name(EN)],Tab_Def_Processes[Flow_ID_I_3],,0,)</f>
        <v>#N/A</v>
      </c>
      <c r="U110" s="35"/>
      <c r="V110" s="30" t="e">
        <f>_xlfn.XLOOKUP($D110,Tab_Def_Processes[Name(EN)],Tab_Def_Processes[Input_Flow_I_4],,0,)</f>
        <v>#N/A</v>
      </c>
      <c r="W110" s="10" t="e">
        <f>_xlfn.XLOOKUP($D110,Tab_Def_Processes[Name(EN)],Tab_Def_Processes[Flow_ID_I_4],,0,)</f>
        <v>#N/A</v>
      </c>
      <c r="X110" s="35"/>
      <c r="Y110" s="30" t="e">
        <f>_xlfn.XLOOKUP($D110,Tab_Def_Processes[Name(EN)],Tab_Def_Processes[Input_Flow_I_5],,0,)</f>
        <v>#N/A</v>
      </c>
      <c r="Z110" s="10" t="e">
        <f>_xlfn.XLOOKUP($D110,Tab_Def_Processes[Name(EN)],Tab_Def_Processes[Flow_ID_I_5],,0,)</f>
        <v>#N/A</v>
      </c>
      <c r="AA110" s="35"/>
      <c r="AB110" s="41">
        <f>Tab_Process_TCs2527[[#This Row],[Flow_TC_I_1_'[%']]]+Tab_Process_TCs2527[[#This Row],[Flow_TC_I_2_'[%']]]+Tab_Process_TCs2527[[#This Row],[Flow_TC_I_3_'[%']]]+Tab_Process_TCs2527[[#This Row],[Flow_TC_I_4_'[%']]]+Tab_Process_TCs2527[[#This Row],[Flow_TC_I_5_'[%']]]</f>
        <v>0</v>
      </c>
      <c r="AC110" s="17" t="e">
        <f>_xlfn.XLOOKUP($D110,#REF!,#REF!,,0,)</f>
        <v>#REF!</v>
      </c>
      <c r="AD110" s="10" t="e">
        <f>_xlfn.XLOOKUP($D110,#REF!,#REF!,,0,)</f>
        <v>#REF!</v>
      </c>
      <c r="AE110" s="44" t="str">
        <f>Tab_Process_TCs2527[[#This Row],[Flow_ID]]</f>
        <v>N.A.</v>
      </c>
      <c r="AF110" s="10" t="e">
        <f t="shared" si="24"/>
        <v>#REF!</v>
      </c>
      <c r="AG110" s="51">
        <v>0.4</v>
      </c>
      <c r="AH110" s="171" t="e">
        <f>_xlfn.XLOOKUP($D110,#REF!,#REF!,,0,)</f>
        <v>#REF!</v>
      </c>
      <c r="AI110" s="55" t="e">
        <f>_xlfn.XLOOKUP($D110,#REF!,#REF!,,0,)</f>
        <v>#REF!</v>
      </c>
      <c r="AJ110" s="44" t="str">
        <f>Tab_Process_TCs2527[[#This Row],[Flow_ID]]</f>
        <v>N.A.</v>
      </c>
      <c r="AK110" s="10" t="e">
        <f t="shared" si="25"/>
        <v>#REF!</v>
      </c>
      <c r="AL110" s="170">
        <v>0.6</v>
      </c>
      <c r="AM110" s="17" t="e">
        <f>_xlfn.XLOOKUP($D110,#REF!,#REF!,,0,)</f>
        <v>#REF!</v>
      </c>
      <c r="AN110" s="10" t="e">
        <f>_xlfn.XLOOKUP($D110,#REF!,#REF!,,0,)</f>
        <v>#REF!</v>
      </c>
      <c r="AO110" s="44" t="str">
        <f>Tab_Process_TCs2527[[#This Row],[Flow_ID]]</f>
        <v>N.A.</v>
      </c>
      <c r="AP110" s="10" t="e">
        <f t="shared" si="26"/>
        <v>#REF!</v>
      </c>
      <c r="AQ110" s="170"/>
      <c r="AR110" s="17" t="e">
        <f>_xlfn.XLOOKUP($D110,#REF!,#REF!,,0,)</f>
        <v>#REF!</v>
      </c>
      <c r="AS110" s="10" t="e">
        <f>_xlfn.XLOOKUP($D110,#REF!,#REF!,,0,)</f>
        <v>#REF!</v>
      </c>
      <c r="AT110" s="44" t="str">
        <f>Tab_Process_TCs2527[[#This Row],[Flow_ID]]</f>
        <v>N.A.</v>
      </c>
      <c r="AU110" s="44" t="e">
        <f t="shared" si="27"/>
        <v>#REF!</v>
      </c>
      <c r="AV110" s="170"/>
      <c r="AW110" s="17" t="e">
        <f>_xlfn.XLOOKUP($D110,#REF!,#REF!,,0,)</f>
        <v>#REF!</v>
      </c>
      <c r="AX110" s="10" t="e">
        <f>_xlfn.XLOOKUP($D110,#REF!,#REF!,,0,)</f>
        <v>#REF!</v>
      </c>
      <c r="AY110" s="44" t="str">
        <f>Tab_Process_TCs2527[[#This Row],[Flow_ID]]</f>
        <v>N.A.</v>
      </c>
      <c r="AZ110" s="44" t="e">
        <f t="shared" si="28"/>
        <v>#REF!</v>
      </c>
      <c r="BA110" s="170"/>
      <c r="BB110" s="10" t="e">
        <f>_xlfn.XLOOKUP($D110,#REF!,#REF!,,0,)</f>
        <v>#REF!</v>
      </c>
      <c r="BC110" s="10" t="e">
        <f>_xlfn.XLOOKUP($D110,#REF!,#REF!,,0,)</f>
        <v>#REF!</v>
      </c>
      <c r="BD110" s="44" t="str">
        <f>Tab_Process_TCs2527[[#This Row],[Flow_ID]]</f>
        <v>N.A.</v>
      </c>
      <c r="BE110" s="44" t="e">
        <f t="shared" si="29"/>
        <v>#REF!</v>
      </c>
      <c r="BF110" s="51"/>
      <c r="BG110" s="54">
        <f>Tab_Process_TCs2527[[#This Row],[TC O_6_'[%']]]+Tab_Process_TCs2527[[#This Row],[TC O_5_'[%']]]+Tab_Process_TCs2527[[#This Row],[TC_O_4_'[%']]]+Tab_Process_TCs2527[[#This Row],[TC_O_3_'[%']]]+Tab_Process_TCs2527[[#This Row],[TC_O_2_'[%']]]+Tab_Process_TCs2527[[#This Row],[TC_O_1_'[%']]]</f>
        <v>1</v>
      </c>
      <c r="BH110" s="12"/>
      <c r="BI110" s="12"/>
      <c r="BJ110" s="12"/>
      <c r="BK110" s="12"/>
      <c r="BL110" s="12"/>
    </row>
    <row r="111" spans="1:64" x14ac:dyDescent="0.25">
      <c r="A111" s="197" t="b">
        <v>0</v>
      </c>
      <c r="B111" s="10">
        <f t="shared" si="23"/>
        <v>110</v>
      </c>
      <c r="C111" s="49" t="e">
        <f>_xlfn.XLOOKUP($D111,Tab_Process_TCs[Name(EN)],Tab_Process_TCs[Process_ID],,0,)</f>
        <v>#N/A</v>
      </c>
      <c r="D111" s="192" t="s">
        <v>35</v>
      </c>
      <c r="E111" s="192" t="s">
        <v>35</v>
      </c>
      <c r="F111" s="49" t="e">
        <f>_xlfn.XLOOKUP($D111,Tab_Process_TCs[Name(EN)],Tab_Process_TCs[TC?],,0,)</f>
        <v>#N/A</v>
      </c>
      <c r="G111" s="49" t="e">
        <f>_xlfn.XLOOKUP($D111,Tab_Process_TCs[Name(EN)],Tab_Process_TCs[Dyn_TC?],,0,)</f>
        <v>#N/A</v>
      </c>
      <c r="H111" s="10" t="str">
        <f>_xlfn.XLOOKUP($E111,Tab_Def_Flows[Name(EN)],Tab_Def_Flows[Flow_ID],,0,1)</f>
        <v>N.A.</v>
      </c>
      <c r="I111" s="10" t="str">
        <f>IF(Tab_Process_TCs2527[[#This Row],[Name(EN)]]="N.A.","N.A.","TC"&amp;"_"&amp;RIGHT(H111,5))</f>
        <v>N.A.</v>
      </c>
      <c r="J111" s="12"/>
      <c r="K111" s="186"/>
      <c r="L111" s="10"/>
      <c r="M111" s="17" t="e">
        <f>_xlfn.XLOOKUP($D111,Tab_Def_Processes[Name(EN)],Tab_Def_Processes[Input_Flow_I_1],,0,)</f>
        <v>#N/A</v>
      </c>
      <c r="N111" s="10" t="e">
        <f>_xlfn.XLOOKUP($D111,Tab_Def_Processes[Name(EN)],Tab_Def_Processes[Flow_ID_I_1],,0,)</f>
        <v>#N/A</v>
      </c>
      <c r="O111" s="35"/>
      <c r="P111" s="30" t="e">
        <f>_xlfn.XLOOKUP($D111,Tab_Def_Processes[Name(EN)],Tab_Def_Processes[Input_Flow_I_2],,0,)</f>
        <v>#N/A</v>
      </c>
      <c r="Q111" s="10" t="e">
        <f>_xlfn.XLOOKUP($D111,Tab_Def_Processes[Name(EN)],Tab_Def_Processes[Flow_ID_I_2],,0,)</f>
        <v>#N/A</v>
      </c>
      <c r="R111" s="35"/>
      <c r="S111" s="30" t="e">
        <f>_xlfn.XLOOKUP($D111,Tab_Def_Processes[Name(EN)],Tab_Def_Processes[Input_Flow_I_3],,0,)</f>
        <v>#N/A</v>
      </c>
      <c r="T111" s="10" t="e">
        <f>_xlfn.XLOOKUP($D111,Tab_Def_Processes[Name(EN)],Tab_Def_Processes[Flow_ID_I_3],,0,)</f>
        <v>#N/A</v>
      </c>
      <c r="U111" s="35"/>
      <c r="V111" s="30" t="e">
        <f>_xlfn.XLOOKUP($D111,Tab_Def_Processes[Name(EN)],Tab_Def_Processes[Input_Flow_I_4],,0,)</f>
        <v>#N/A</v>
      </c>
      <c r="W111" s="10" t="e">
        <f>_xlfn.XLOOKUP($D111,Tab_Def_Processes[Name(EN)],Tab_Def_Processes[Flow_ID_I_4],,0,)</f>
        <v>#N/A</v>
      </c>
      <c r="X111" s="35"/>
      <c r="Y111" s="30" t="e">
        <f>_xlfn.XLOOKUP($D111,Tab_Def_Processes[Name(EN)],Tab_Def_Processes[Input_Flow_I_5],,0,)</f>
        <v>#N/A</v>
      </c>
      <c r="Z111" s="10" t="e">
        <f>_xlfn.XLOOKUP($D111,Tab_Def_Processes[Name(EN)],Tab_Def_Processes[Flow_ID_I_5],,0,)</f>
        <v>#N/A</v>
      </c>
      <c r="AA111" s="35"/>
      <c r="AB111" s="41">
        <f>Tab_Process_TCs2527[[#This Row],[Flow_TC_I_1_'[%']]]+Tab_Process_TCs2527[[#This Row],[Flow_TC_I_2_'[%']]]+Tab_Process_TCs2527[[#This Row],[Flow_TC_I_3_'[%']]]+Tab_Process_TCs2527[[#This Row],[Flow_TC_I_4_'[%']]]+Tab_Process_TCs2527[[#This Row],[Flow_TC_I_5_'[%']]]</f>
        <v>0</v>
      </c>
      <c r="AC111" s="17" t="e">
        <f>_xlfn.XLOOKUP($D111,#REF!,#REF!,,0,)</f>
        <v>#REF!</v>
      </c>
      <c r="AD111" s="10" t="e">
        <f>_xlfn.XLOOKUP($D111,#REF!,#REF!,,0,)</f>
        <v>#REF!</v>
      </c>
      <c r="AE111" s="44" t="str">
        <f>Tab_Process_TCs2527[[#This Row],[Flow_ID]]</f>
        <v>N.A.</v>
      </c>
      <c r="AF111" s="10" t="e">
        <f t="shared" si="24"/>
        <v>#REF!</v>
      </c>
      <c r="AG111" s="51">
        <v>0.4</v>
      </c>
      <c r="AH111" s="171" t="e">
        <f>_xlfn.XLOOKUP($D111,#REF!,#REF!,,0,)</f>
        <v>#REF!</v>
      </c>
      <c r="AI111" s="55" t="e">
        <f>_xlfn.XLOOKUP($D111,#REF!,#REF!,,0,)</f>
        <v>#REF!</v>
      </c>
      <c r="AJ111" s="44" t="str">
        <f>Tab_Process_TCs2527[[#This Row],[Flow_ID]]</f>
        <v>N.A.</v>
      </c>
      <c r="AK111" s="10" t="e">
        <f t="shared" si="25"/>
        <v>#REF!</v>
      </c>
      <c r="AL111" s="170">
        <v>0.6</v>
      </c>
      <c r="AM111" s="17" t="e">
        <f>_xlfn.XLOOKUP($D111,#REF!,#REF!,,0,)</f>
        <v>#REF!</v>
      </c>
      <c r="AN111" s="10" t="e">
        <f>_xlfn.XLOOKUP($D111,#REF!,#REF!,,0,)</f>
        <v>#REF!</v>
      </c>
      <c r="AO111" s="44" t="str">
        <f>Tab_Process_TCs2527[[#This Row],[Flow_ID]]</f>
        <v>N.A.</v>
      </c>
      <c r="AP111" s="10" t="e">
        <f t="shared" si="26"/>
        <v>#REF!</v>
      </c>
      <c r="AQ111" s="170"/>
      <c r="AR111" s="17" t="e">
        <f>_xlfn.XLOOKUP($D111,#REF!,#REF!,,0,)</f>
        <v>#REF!</v>
      </c>
      <c r="AS111" s="10" t="e">
        <f>_xlfn.XLOOKUP($D111,#REF!,#REF!,,0,)</f>
        <v>#REF!</v>
      </c>
      <c r="AT111" s="44" t="str">
        <f>Tab_Process_TCs2527[[#This Row],[Flow_ID]]</f>
        <v>N.A.</v>
      </c>
      <c r="AU111" s="44" t="e">
        <f t="shared" si="27"/>
        <v>#REF!</v>
      </c>
      <c r="AV111" s="170"/>
      <c r="AW111" s="17" t="e">
        <f>_xlfn.XLOOKUP($D111,#REF!,#REF!,,0,)</f>
        <v>#REF!</v>
      </c>
      <c r="AX111" s="10" t="e">
        <f>_xlfn.XLOOKUP($D111,#REF!,#REF!,,0,)</f>
        <v>#REF!</v>
      </c>
      <c r="AY111" s="44" t="str">
        <f>Tab_Process_TCs2527[[#This Row],[Flow_ID]]</f>
        <v>N.A.</v>
      </c>
      <c r="AZ111" s="44" t="e">
        <f t="shared" si="28"/>
        <v>#REF!</v>
      </c>
      <c r="BA111" s="170"/>
      <c r="BB111" s="10" t="e">
        <f>_xlfn.XLOOKUP($D111,#REF!,#REF!,,0,)</f>
        <v>#REF!</v>
      </c>
      <c r="BC111" s="10" t="e">
        <f>_xlfn.XLOOKUP($D111,#REF!,#REF!,,0,)</f>
        <v>#REF!</v>
      </c>
      <c r="BD111" s="44" t="str">
        <f>Tab_Process_TCs2527[[#This Row],[Flow_ID]]</f>
        <v>N.A.</v>
      </c>
      <c r="BE111" s="44" t="e">
        <f t="shared" si="29"/>
        <v>#REF!</v>
      </c>
      <c r="BF111" s="51"/>
      <c r="BG111" s="54">
        <f>Tab_Process_TCs2527[[#This Row],[TC O_6_'[%']]]+Tab_Process_TCs2527[[#This Row],[TC O_5_'[%']]]+Tab_Process_TCs2527[[#This Row],[TC_O_4_'[%']]]+Tab_Process_TCs2527[[#This Row],[TC_O_3_'[%']]]+Tab_Process_TCs2527[[#This Row],[TC_O_2_'[%']]]+Tab_Process_TCs2527[[#This Row],[TC_O_1_'[%']]]</f>
        <v>1</v>
      </c>
      <c r="BH111" s="12"/>
      <c r="BI111" s="12"/>
      <c r="BJ111" s="12"/>
      <c r="BK111" s="12"/>
      <c r="BL111" s="12"/>
    </row>
    <row r="112" spans="1:64" x14ac:dyDescent="0.25">
      <c r="A112" s="197" t="b">
        <v>0</v>
      </c>
      <c r="B112" s="10">
        <f t="shared" si="23"/>
        <v>111</v>
      </c>
      <c r="C112" s="49" t="e">
        <f>_xlfn.XLOOKUP($D112,Tab_Process_TCs[Name(EN)],Tab_Process_TCs[Process_ID],,0,)</f>
        <v>#N/A</v>
      </c>
      <c r="D112" s="192" t="s">
        <v>35</v>
      </c>
      <c r="E112" s="192" t="s">
        <v>35</v>
      </c>
      <c r="F112" s="49" t="e">
        <f>_xlfn.XLOOKUP($D112,Tab_Process_TCs[Name(EN)],Tab_Process_TCs[TC?],,0,)</f>
        <v>#N/A</v>
      </c>
      <c r="G112" s="49" t="e">
        <f>_xlfn.XLOOKUP($D112,Tab_Process_TCs[Name(EN)],Tab_Process_TCs[Dyn_TC?],,0,)</f>
        <v>#N/A</v>
      </c>
      <c r="H112" s="10" t="str">
        <f>_xlfn.XLOOKUP($E112,Tab_Def_Flows[Name(EN)],Tab_Def_Flows[Flow_ID],,0,1)</f>
        <v>N.A.</v>
      </c>
      <c r="I112" s="10" t="str">
        <f>IF(Tab_Process_TCs2527[[#This Row],[Name(EN)]]="N.A.","N.A.","TC"&amp;"_"&amp;RIGHT(H112,5))</f>
        <v>N.A.</v>
      </c>
      <c r="J112" s="12"/>
      <c r="K112" s="186"/>
      <c r="L112" s="10"/>
      <c r="M112" s="17" t="e">
        <f>_xlfn.XLOOKUP($D112,Tab_Def_Processes[Name(EN)],Tab_Def_Processes[Input_Flow_I_1],,0,)</f>
        <v>#N/A</v>
      </c>
      <c r="N112" s="10" t="e">
        <f>_xlfn.XLOOKUP($D112,Tab_Def_Processes[Name(EN)],Tab_Def_Processes[Flow_ID_I_1],,0,)</f>
        <v>#N/A</v>
      </c>
      <c r="O112" s="35"/>
      <c r="P112" s="30" t="e">
        <f>_xlfn.XLOOKUP($D112,Tab_Def_Processes[Name(EN)],Tab_Def_Processes[Input_Flow_I_2],,0,)</f>
        <v>#N/A</v>
      </c>
      <c r="Q112" s="10" t="e">
        <f>_xlfn.XLOOKUP($D112,Tab_Def_Processes[Name(EN)],Tab_Def_Processes[Flow_ID_I_2],,0,)</f>
        <v>#N/A</v>
      </c>
      <c r="R112" s="35"/>
      <c r="S112" s="30" t="e">
        <f>_xlfn.XLOOKUP($D112,Tab_Def_Processes[Name(EN)],Tab_Def_Processes[Input_Flow_I_3],,0,)</f>
        <v>#N/A</v>
      </c>
      <c r="T112" s="10" t="e">
        <f>_xlfn.XLOOKUP($D112,Tab_Def_Processes[Name(EN)],Tab_Def_Processes[Flow_ID_I_3],,0,)</f>
        <v>#N/A</v>
      </c>
      <c r="U112" s="35"/>
      <c r="V112" s="30" t="e">
        <f>_xlfn.XLOOKUP($D112,Tab_Def_Processes[Name(EN)],Tab_Def_Processes[Input_Flow_I_4],,0,)</f>
        <v>#N/A</v>
      </c>
      <c r="W112" s="10" t="e">
        <f>_xlfn.XLOOKUP($D112,Tab_Def_Processes[Name(EN)],Tab_Def_Processes[Flow_ID_I_4],,0,)</f>
        <v>#N/A</v>
      </c>
      <c r="X112" s="35"/>
      <c r="Y112" s="30" t="e">
        <f>_xlfn.XLOOKUP($D112,Tab_Def_Processes[Name(EN)],Tab_Def_Processes[Input_Flow_I_5],,0,)</f>
        <v>#N/A</v>
      </c>
      <c r="Z112" s="10" t="e">
        <f>_xlfn.XLOOKUP($D112,Tab_Def_Processes[Name(EN)],Tab_Def_Processes[Flow_ID_I_5],,0,)</f>
        <v>#N/A</v>
      </c>
      <c r="AA112" s="35"/>
      <c r="AB112" s="41">
        <f>Tab_Process_TCs2527[[#This Row],[Flow_TC_I_1_'[%']]]+Tab_Process_TCs2527[[#This Row],[Flow_TC_I_2_'[%']]]+Tab_Process_TCs2527[[#This Row],[Flow_TC_I_3_'[%']]]+Tab_Process_TCs2527[[#This Row],[Flow_TC_I_4_'[%']]]+Tab_Process_TCs2527[[#This Row],[Flow_TC_I_5_'[%']]]</f>
        <v>0</v>
      </c>
      <c r="AC112" s="17" t="e">
        <f>_xlfn.XLOOKUP($D112,#REF!,#REF!,,0,)</f>
        <v>#REF!</v>
      </c>
      <c r="AD112" s="10" t="e">
        <f>_xlfn.XLOOKUP($D112,#REF!,#REF!,,0,)</f>
        <v>#REF!</v>
      </c>
      <c r="AE112" s="44" t="str">
        <f>Tab_Process_TCs2527[[#This Row],[Flow_ID]]</f>
        <v>N.A.</v>
      </c>
      <c r="AF112" s="10" t="e">
        <f t="shared" si="24"/>
        <v>#REF!</v>
      </c>
      <c r="AG112" s="51">
        <v>0.4</v>
      </c>
      <c r="AH112" s="171" t="e">
        <f>_xlfn.XLOOKUP($D112,#REF!,#REF!,,0,)</f>
        <v>#REF!</v>
      </c>
      <c r="AI112" s="55" t="e">
        <f>_xlfn.XLOOKUP($D112,#REF!,#REF!,,0,)</f>
        <v>#REF!</v>
      </c>
      <c r="AJ112" s="44" t="str">
        <f>Tab_Process_TCs2527[[#This Row],[Flow_ID]]</f>
        <v>N.A.</v>
      </c>
      <c r="AK112" s="10" t="e">
        <f t="shared" si="25"/>
        <v>#REF!</v>
      </c>
      <c r="AL112" s="170">
        <v>0.6</v>
      </c>
      <c r="AM112" s="17" t="e">
        <f>_xlfn.XLOOKUP($D112,#REF!,#REF!,,0,)</f>
        <v>#REF!</v>
      </c>
      <c r="AN112" s="10" t="e">
        <f>_xlfn.XLOOKUP($D112,#REF!,#REF!,,0,)</f>
        <v>#REF!</v>
      </c>
      <c r="AO112" s="44" t="str">
        <f>Tab_Process_TCs2527[[#This Row],[Flow_ID]]</f>
        <v>N.A.</v>
      </c>
      <c r="AP112" s="10" t="e">
        <f t="shared" si="26"/>
        <v>#REF!</v>
      </c>
      <c r="AQ112" s="170"/>
      <c r="AR112" s="17" t="e">
        <f>_xlfn.XLOOKUP($D112,#REF!,#REF!,,0,)</f>
        <v>#REF!</v>
      </c>
      <c r="AS112" s="10" t="e">
        <f>_xlfn.XLOOKUP($D112,#REF!,#REF!,,0,)</f>
        <v>#REF!</v>
      </c>
      <c r="AT112" s="44" t="str">
        <f>Tab_Process_TCs2527[[#This Row],[Flow_ID]]</f>
        <v>N.A.</v>
      </c>
      <c r="AU112" s="44" t="e">
        <f t="shared" si="27"/>
        <v>#REF!</v>
      </c>
      <c r="AV112" s="170"/>
      <c r="AW112" s="17" t="e">
        <f>_xlfn.XLOOKUP($D112,#REF!,#REF!,,0,)</f>
        <v>#REF!</v>
      </c>
      <c r="AX112" s="10" t="e">
        <f>_xlfn.XLOOKUP($D112,#REF!,#REF!,,0,)</f>
        <v>#REF!</v>
      </c>
      <c r="AY112" s="44" t="str">
        <f>Tab_Process_TCs2527[[#This Row],[Flow_ID]]</f>
        <v>N.A.</v>
      </c>
      <c r="AZ112" s="44" t="e">
        <f t="shared" si="28"/>
        <v>#REF!</v>
      </c>
      <c r="BA112" s="170"/>
      <c r="BB112" s="10" t="e">
        <f>_xlfn.XLOOKUP($D112,#REF!,#REF!,,0,)</f>
        <v>#REF!</v>
      </c>
      <c r="BC112" s="10" t="e">
        <f>_xlfn.XLOOKUP($D112,#REF!,#REF!,,0,)</f>
        <v>#REF!</v>
      </c>
      <c r="BD112" s="44" t="str">
        <f>Tab_Process_TCs2527[[#This Row],[Flow_ID]]</f>
        <v>N.A.</v>
      </c>
      <c r="BE112" s="44" t="e">
        <f t="shared" si="29"/>
        <v>#REF!</v>
      </c>
      <c r="BF112" s="51"/>
      <c r="BG112" s="54">
        <f>Tab_Process_TCs2527[[#This Row],[TC O_6_'[%']]]+Tab_Process_TCs2527[[#This Row],[TC O_5_'[%']]]+Tab_Process_TCs2527[[#This Row],[TC_O_4_'[%']]]+Tab_Process_TCs2527[[#This Row],[TC_O_3_'[%']]]+Tab_Process_TCs2527[[#This Row],[TC_O_2_'[%']]]+Tab_Process_TCs2527[[#This Row],[TC_O_1_'[%']]]</f>
        <v>1</v>
      </c>
      <c r="BH112" s="12"/>
      <c r="BI112" s="12"/>
      <c r="BJ112" s="12"/>
      <c r="BK112" s="12"/>
      <c r="BL112" s="12"/>
    </row>
    <row r="113" spans="1:64" x14ac:dyDescent="0.25">
      <c r="A113" s="197" t="b">
        <v>0</v>
      </c>
      <c r="B113" s="10">
        <f t="shared" si="23"/>
        <v>112</v>
      </c>
      <c r="C113" s="49" t="e">
        <f>_xlfn.XLOOKUP($D113,Tab_Process_TCs[Name(EN)],Tab_Process_TCs[Process_ID],,0,)</f>
        <v>#N/A</v>
      </c>
      <c r="D113" s="192" t="s">
        <v>35</v>
      </c>
      <c r="E113" s="192" t="s">
        <v>35</v>
      </c>
      <c r="F113" s="49" t="e">
        <f>_xlfn.XLOOKUP($D113,Tab_Process_TCs[Name(EN)],Tab_Process_TCs[TC?],,0,)</f>
        <v>#N/A</v>
      </c>
      <c r="G113" s="49" t="e">
        <f>_xlfn.XLOOKUP($D113,Tab_Process_TCs[Name(EN)],Tab_Process_TCs[Dyn_TC?],,0,)</f>
        <v>#N/A</v>
      </c>
      <c r="H113" s="10" t="str">
        <f>_xlfn.XLOOKUP($E113,Tab_Def_Flows[Name(EN)],Tab_Def_Flows[Flow_ID],,0,1)</f>
        <v>N.A.</v>
      </c>
      <c r="I113" s="10" t="str">
        <f>IF(Tab_Process_TCs2527[[#This Row],[Name(EN)]]="N.A.","N.A.","TC"&amp;"_"&amp;RIGHT(H113,5))</f>
        <v>N.A.</v>
      </c>
      <c r="J113" s="12"/>
      <c r="K113" s="186"/>
      <c r="L113" s="10"/>
      <c r="M113" s="17" t="e">
        <f>_xlfn.XLOOKUP($D113,Tab_Def_Processes[Name(EN)],Tab_Def_Processes[Input_Flow_I_1],,0,)</f>
        <v>#N/A</v>
      </c>
      <c r="N113" s="10" t="e">
        <f>_xlfn.XLOOKUP($D113,Tab_Def_Processes[Name(EN)],Tab_Def_Processes[Flow_ID_I_1],,0,)</f>
        <v>#N/A</v>
      </c>
      <c r="O113" s="35"/>
      <c r="P113" s="30" t="e">
        <f>_xlfn.XLOOKUP($D113,Tab_Def_Processes[Name(EN)],Tab_Def_Processes[Input_Flow_I_2],,0,)</f>
        <v>#N/A</v>
      </c>
      <c r="Q113" s="10" t="e">
        <f>_xlfn.XLOOKUP($D113,Tab_Def_Processes[Name(EN)],Tab_Def_Processes[Flow_ID_I_2],,0,)</f>
        <v>#N/A</v>
      </c>
      <c r="R113" s="35"/>
      <c r="S113" s="30" t="e">
        <f>_xlfn.XLOOKUP($D113,Tab_Def_Processes[Name(EN)],Tab_Def_Processes[Input_Flow_I_3],,0,)</f>
        <v>#N/A</v>
      </c>
      <c r="T113" s="10" t="e">
        <f>_xlfn.XLOOKUP($D113,Tab_Def_Processes[Name(EN)],Tab_Def_Processes[Flow_ID_I_3],,0,)</f>
        <v>#N/A</v>
      </c>
      <c r="U113" s="35"/>
      <c r="V113" s="30" t="e">
        <f>_xlfn.XLOOKUP($D113,Tab_Def_Processes[Name(EN)],Tab_Def_Processes[Input_Flow_I_4],,0,)</f>
        <v>#N/A</v>
      </c>
      <c r="W113" s="10" t="e">
        <f>_xlfn.XLOOKUP($D113,Tab_Def_Processes[Name(EN)],Tab_Def_Processes[Flow_ID_I_4],,0,)</f>
        <v>#N/A</v>
      </c>
      <c r="X113" s="35"/>
      <c r="Y113" s="30" t="e">
        <f>_xlfn.XLOOKUP($D113,Tab_Def_Processes[Name(EN)],Tab_Def_Processes[Input_Flow_I_5],,0,)</f>
        <v>#N/A</v>
      </c>
      <c r="Z113" s="10" t="e">
        <f>_xlfn.XLOOKUP($D113,Tab_Def_Processes[Name(EN)],Tab_Def_Processes[Flow_ID_I_5],,0,)</f>
        <v>#N/A</v>
      </c>
      <c r="AA113" s="35"/>
      <c r="AB113" s="41">
        <f>Tab_Process_TCs2527[[#This Row],[Flow_TC_I_1_'[%']]]+Tab_Process_TCs2527[[#This Row],[Flow_TC_I_2_'[%']]]+Tab_Process_TCs2527[[#This Row],[Flow_TC_I_3_'[%']]]+Tab_Process_TCs2527[[#This Row],[Flow_TC_I_4_'[%']]]+Tab_Process_TCs2527[[#This Row],[Flow_TC_I_5_'[%']]]</f>
        <v>0</v>
      </c>
      <c r="AC113" s="17" t="e">
        <f>_xlfn.XLOOKUP($D113,#REF!,#REF!,,0,)</f>
        <v>#REF!</v>
      </c>
      <c r="AD113" s="10" t="e">
        <f>_xlfn.XLOOKUP($D113,#REF!,#REF!,,0,)</f>
        <v>#REF!</v>
      </c>
      <c r="AE113" s="44" t="str">
        <f>Tab_Process_TCs2527[[#This Row],[Flow_ID]]</f>
        <v>N.A.</v>
      </c>
      <c r="AF113" s="10" t="e">
        <f t="shared" si="24"/>
        <v>#REF!</v>
      </c>
      <c r="AG113" s="51">
        <v>0.4</v>
      </c>
      <c r="AH113" s="171" t="e">
        <f>_xlfn.XLOOKUP($D113,#REF!,#REF!,,0,)</f>
        <v>#REF!</v>
      </c>
      <c r="AI113" s="55" t="e">
        <f>_xlfn.XLOOKUP($D113,#REF!,#REF!,,0,)</f>
        <v>#REF!</v>
      </c>
      <c r="AJ113" s="44" t="str">
        <f>Tab_Process_TCs2527[[#This Row],[Flow_ID]]</f>
        <v>N.A.</v>
      </c>
      <c r="AK113" s="10" t="e">
        <f t="shared" si="25"/>
        <v>#REF!</v>
      </c>
      <c r="AL113" s="170">
        <v>0.6</v>
      </c>
      <c r="AM113" s="17" t="e">
        <f>_xlfn.XLOOKUP($D113,#REF!,#REF!,,0,)</f>
        <v>#REF!</v>
      </c>
      <c r="AN113" s="10" t="e">
        <f>_xlfn.XLOOKUP($D113,#REF!,#REF!,,0,)</f>
        <v>#REF!</v>
      </c>
      <c r="AO113" s="44" t="str">
        <f>Tab_Process_TCs2527[[#This Row],[Flow_ID]]</f>
        <v>N.A.</v>
      </c>
      <c r="AP113" s="10" t="e">
        <f t="shared" si="26"/>
        <v>#REF!</v>
      </c>
      <c r="AQ113" s="170"/>
      <c r="AR113" s="17" t="e">
        <f>_xlfn.XLOOKUP($D113,#REF!,#REF!,,0,)</f>
        <v>#REF!</v>
      </c>
      <c r="AS113" s="10" t="e">
        <f>_xlfn.XLOOKUP($D113,#REF!,#REF!,,0,)</f>
        <v>#REF!</v>
      </c>
      <c r="AT113" s="44" t="str">
        <f>Tab_Process_TCs2527[[#This Row],[Flow_ID]]</f>
        <v>N.A.</v>
      </c>
      <c r="AU113" s="44" t="e">
        <f t="shared" si="27"/>
        <v>#REF!</v>
      </c>
      <c r="AV113" s="170"/>
      <c r="AW113" s="17" t="e">
        <f>_xlfn.XLOOKUP($D113,#REF!,#REF!,,0,)</f>
        <v>#REF!</v>
      </c>
      <c r="AX113" s="10" t="e">
        <f>_xlfn.XLOOKUP($D113,#REF!,#REF!,,0,)</f>
        <v>#REF!</v>
      </c>
      <c r="AY113" s="44" t="str">
        <f>Tab_Process_TCs2527[[#This Row],[Flow_ID]]</f>
        <v>N.A.</v>
      </c>
      <c r="AZ113" s="44" t="e">
        <f t="shared" si="28"/>
        <v>#REF!</v>
      </c>
      <c r="BA113" s="170"/>
      <c r="BB113" s="10" t="e">
        <f>_xlfn.XLOOKUP($D113,#REF!,#REF!,,0,)</f>
        <v>#REF!</v>
      </c>
      <c r="BC113" s="10" t="e">
        <f>_xlfn.XLOOKUP($D113,#REF!,#REF!,,0,)</f>
        <v>#REF!</v>
      </c>
      <c r="BD113" s="44" t="str">
        <f>Tab_Process_TCs2527[[#This Row],[Flow_ID]]</f>
        <v>N.A.</v>
      </c>
      <c r="BE113" s="44" t="e">
        <f t="shared" si="29"/>
        <v>#REF!</v>
      </c>
      <c r="BF113" s="51"/>
      <c r="BG113" s="54">
        <f>Tab_Process_TCs2527[[#This Row],[TC O_6_'[%']]]+Tab_Process_TCs2527[[#This Row],[TC O_5_'[%']]]+Tab_Process_TCs2527[[#This Row],[TC_O_4_'[%']]]+Tab_Process_TCs2527[[#This Row],[TC_O_3_'[%']]]+Tab_Process_TCs2527[[#This Row],[TC_O_2_'[%']]]+Tab_Process_TCs2527[[#This Row],[TC_O_1_'[%']]]</f>
        <v>1</v>
      </c>
      <c r="BH113" s="12"/>
      <c r="BI113" s="12"/>
      <c r="BJ113" s="12"/>
      <c r="BK113" s="12"/>
      <c r="BL113" s="12"/>
    </row>
    <row r="114" spans="1:64" x14ac:dyDescent="0.25">
      <c r="A114" s="197" t="b">
        <v>0</v>
      </c>
      <c r="B114" s="10">
        <f t="shared" si="23"/>
        <v>113</v>
      </c>
      <c r="C114" s="49" t="e">
        <f>_xlfn.XLOOKUP($D114,Tab_Process_TCs[Name(EN)],Tab_Process_TCs[Process_ID],,0,)</f>
        <v>#N/A</v>
      </c>
      <c r="D114" s="192" t="s">
        <v>35</v>
      </c>
      <c r="E114" s="192" t="s">
        <v>35</v>
      </c>
      <c r="F114" s="49" t="e">
        <f>_xlfn.XLOOKUP($D114,Tab_Process_TCs[Name(EN)],Tab_Process_TCs[TC?],,0,)</f>
        <v>#N/A</v>
      </c>
      <c r="G114" s="49" t="e">
        <f>_xlfn.XLOOKUP($D114,Tab_Process_TCs[Name(EN)],Tab_Process_TCs[Dyn_TC?],,0,)</f>
        <v>#N/A</v>
      </c>
      <c r="H114" s="10" t="str">
        <f>_xlfn.XLOOKUP($E114,Tab_Def_Flows[Name(EN)],Tab_Def_Flows[Flow_ID],,0,1)</f>
        <v>N.A.</v>
      </c>
      <c r="I114" s="10" t="str">
        <f>IF(Tab_Process_TCs2527[[#This Row],[Name(EN)]]="N.A.","N.A.","TC"&amp;"_"&amp;RIGHT(H114,5))</f>
        <v>N.A.</v>
      </c>
      <c r="J114" s="12"/>
      <c r="K114" s="186"/>
      <c r="L114" s="10"/>
      <c r="M114" s="17" t="e">
        <f>_xlfn.XLOOKUP($D114,Tab_Def_Processes[Name(EN)],Tab_Def_Processes[Input_Flow_I_1],,0,)</f>
        <v>#N/A</v>
      </c>
      <c r="N114" s="10" t="e">
        <f>_xlfn.XLOOKUP($D114,Tab_Def_Processes[Name(EN)],Tab_Def_Processes[Flow_ID_I_1],,0,)</f>
        <v>#N/A</v>
      </c>
      <c r="O114" s="35"/>
      <c r="P114" s="30" t="e">
        <f>_xlfn.XLOOKUP($D114,Tab_Def_Processes[Name(EN)],Tab_Def_Processes[Input_Flow_I_2],,0,)</f>
        <v>#N/A</v>
      </c>
      <c r="Q114" s="10" t="e">
        <f>_xlfn.XLOOKUP($D114,Tab_Def_Processes[Name(EN)],Tab_Def_Processes[Flow_ID_I_2],,0,)</f>
        <v>#N/A</v>
      </c>
      <c r="R114" s="35"/>
      <c r="S114" s="30" t="e">
        <f>_xlfn.XLOOKUP($D114,Tab_Def_Processes[Name(EN)],Tab_Def_Processes[Input_Flow_I_3],,0,)</f>
        <v>#N/A</v>
      </c>
      <c r="T114" s="10" t="e">
        <f>_xlfn.XLOOKUP($D114,Tab_Def_Processes[Name(EN)],Tab_Def_Processes[Flow_ID_I_3],,0,)</f>
        <v>#N/A</v>
      </c>
      <c r="U114" s="35"/>
      <c r="V114" s="30" t="e">
        <f>_xlfn.XLOOKUP($D114,Tab_Def_Processes[Name(EN)],Tab_Def_Processes[Input_Flow_I_4],,0,)</f>
        <v>#N/A</v>
      </c>
      <c r="W114" s="10" t="e">
        <f>_xlfn.XLOOKUP($D114,Tab_Def_Processes[Name(EN)],Tab_Def_Processes[Flow_ID_I_4],,0,)</f>
        <v>#N/A</v>
      </c>
      <c r="X114" s="35"/>
      <c r="Y114" s="30" t="e">
        <f>_xlfn.XLOOKUP($D114,Tab_Def_Processes[Name(EN)],Tab_Def_Processes[Input_Flow_I_5],,0,)</f>
        <v>#N/A</v>
      </c>
      <c r="Z114" s="10" t="e">
        <f>_xlfn.XLOOKUP($D114,Tab_Def_Processes[Name(EN)],Tab_Def_Processes[Flow_ID_I_5],,0,)</f>
        <v>#N/A</v>
      </c>
      <c r="AA114" s="35"/>
      <c r="AB114" s="41">
        <f>Tab_Process_TCs2527[[#This Row],[Flow_TC_I_1_'[%']]]+Tab_Process_TCs2527[[#This Row],[Flow_TC_I_2_'[%']]]+Tab_Process_TCs2527[[#This Row],[Flow_TC_I_3_'[%']]]+Tab_Process_TCs2527[[#This Row],[Flow_TC_I_4_'[%']]]+Tab_Process_TCs2527[[#This Row],[Flow_TC_I_5_'[%']]]</f>
        <v>0</v>
      </c>
      <c r="AC114" s="17" t="e">
        <f>_xlfn.XLOOKUP($D114,#REF!,#REF!,,0,)</f>
        <v>#REF!</v>
      </c>
      <c r="AD114" s="10" t="e">
        <f>_xlfn.XLOOKUP($D114,#REF!,#REF!,,0,)</f>
        <v>#REF!</v>
      </c>
      <c r="AE114" s="44" t="str">
        <f>Tab_Process_TCs2527[[#This Row],[Flow_ID]]</f>
        <v>N.A.</v>
      </c>
      <c r="AF114" s="10" t="e">
        <f t="shared" si="24"/>
        <v>#REF!</v>
      </c>
      <c r="AG114" s="51"/>
      <c r="AH114" s="171" t="e">
        <f>_xlfn.XLOOKUP($D114,#REF!,#REF!,,0,)</f>
        <v>#REF!</v>
      </c>
      <c r="AI114" s="55" t="e">
        <f>_xlfn.XLOOKUP($D114,#REF!,#REF!,,0,)</f>
        <v>#REF!</v>
      </c>
      <c r="AJ114" s="44" t="str">
        <f>Tab_Process_TCs2527[[#This Row],[Flow_ID]]</f>
        <v>N.A.</v>
      </c>
      <c r="AK114" s="10" t="e">
        <f t="shared" si="25"/>
        <v>#REF!</v>
      </c>
      <c r="AL114" s="170"/>
      <c r="AM114" s="17" t="e">
        <f>_xlfn.XLOOKUP($D114,#REF!,#REF!,,0,)</f>
        <v>#REF!</v>
      </c>
      <c r="AN114" s="10" t="e">
        <f>_xlfn.XLOOKUP($D114,#REF!,#REF!,,0,)</f>
        <v>#REF!</v>
      </c>
      <c r="AO114" s="44" t="str">
        <f>Tab_Process_TCs2527[[#This Row],[Flow_ID]]</f>
        <v>N.A.</v>
      </c>
      <c r="AP114" s="10" t="e">
        <f t="shared" si="26"/>
        <v>#REF!</v>
      </c>
      <c r="AQ114" s="170"/>
      <c r="AR114" s="17" t="e">
        <f>_xlfn.XLOOKUP($D114,#REF!,#REF!,,0,)</f>
        <v>#REF!</v>
      </c>
      <c r="AS114" s="10" t="e">
        <f>_xlfn.XLOOKUP($D114,#REF!,#REF!,,0,)</f>
        <v>#REF!</v>
      </c>
      <c r="AT114" s="44" t="str">
        <f>Tab_Process_TCs2527[[#This Row],[Flow_ID]]</f>
        <v>N.A.</v>
      </c>
      <c r="AU114" s="44" t="e">
        <f t="shared" si="27"/>
        <v>#REF!</v>
      </c>
      <c r="AV114" s="170"/>
      <c r="AW114" s="17" t="e">
        <f>_xlfn.XLOOKUP($D114,#REF!,#REF!,,0,)</f>
        <v>#REF!</v>
      </c>
      <c r="AX114" s="10" t="e">
        <f>_xlfn.XLOOKUP($D114,#REF!,#REF!,,0,)</f>
        <v>#REF!</v>
      </c>
      <c r="AY114" s="44" t="str">
        <f>Tab_Process_TCs2527[[#This Row],[Flow_ID]]</f>
        <v>N.A.</v>
      </c>
      <c r="AZ114" s="44" t="e">
        <f t="shared" si="28"/>
        <v>#REF!</v>
      </c>
      <c r="BA114" s="170"/>
      <c r="BB114" s="10" t="e">
        <f>_xlfn.XLOOKUP($D114,#REF!,#REF!,,0,)</f>
        <v>#REF!</v>
      </c>
      <c r="BC114" s="10" t="e">
        <f>_xlfn.XLOOKUP($D114,#REF!,#REF!,,0,)</f>
        <v>#REF!</v>
      </c>
      <c r="BD114" s="44" t="str">
        <f>Tab_Process_TCs2527[[#This Row],[Flow_ID]]</f>
        <v>N.A.</v>
      </c>
      <c r="BE114" s="44" t="e">
        <f t="shared" si="29"/>
        <v>#REF!</v>
      </c>
      <c r="BF114" s="51"/>
      <c r="BG114" s="54">
        <f>Tab_Process_TCs2527[[#This Row],[TC O_6_'[%']]]+Tab_Process_TCs2527[[#This Row],[TC O_5_'[%']]]+Tab_Process_TCs2527[[#This Row],[TC_O_4_'[%']]]+Tab_Process_TCs2527[[#This Row],[TC_O_3_'[%']]]+Tab_Process_TCs2527[[#This Row],[TC_O_2_'[%']]]+Tab_Process_TCs2527[[#This Row],[TC_O_1_'[%']]]</f>
        <v>0</v>
      </c>
      <c r="BH114" s="12"/>
      <c r="BI114" s="12"/>
      <c r="BJ114" s="12"/>
      <c r="BK114" s="12"/>
      <c r="BL114" s="12"/>
    </row>
    <row r="115" spans="1:64" x14ac:dyDescent="0.25">
      <c r="A115" s="197" t="b">
        <v>0</v>
      </c>
      <c r="B115" s="10">
        <f t="shared" si="23"/>
        <v>114</v>
      </c>
      <c r="C115" s="49" t="e">
        <f>_xlfn.XLOOKUP($D115,Tab_Process_TCs[Name(EN)],Tab_Process_TCs[Process_ID],,0,)</f>
        <v>#N/A</v>
      </c>
      <c r="D115" s="192" t="s">
        <v>35</v>
      </c>
      <c r="E115" s="192" t="s">
        <v>35</v>
      </c>
      <c r="F115" s="49" t="e">
        <f>_xlfn.XLOOKUP($D115,Tab_Process_TCs[Name(EN)],Tab_Process_TCs[TC?],,0,)</f>
        <v>#N/A</v>
      </c>
      <c r="G115" s="49" t="e">
        <f>_xlfn.XLOOKUP($D115,Tab_Process_TCs[Name(EN)],Tab_Process_TCs[Dyn_TC?],,0,)</f>
        <v>#N/A</v>
      </c>
      <c r="H115" s="10" t="str">
        <f>_xlfn.XLOOKUP($E115,Tab_Def_Flows[Name(EN)],Tab_Def_Flows[Flow_ID],,0,1)</f>
        <v>N.A.</v>
      </c>
      <c r="I115" s="10" t="str">
        <f>IF(Tab_Process_TCs2527[[#This Row],[Name(EN)]]="N.A.","N.A.","TC"&amp;"_"&amp;RIGHT(H115,5))</f>
        <v>N.A.</v>
      </c>
      <c r="J115" s="12"/>
      <c r="K115" s="186"/>
      <c r="L115" s="10"/>
      <c r="M115" s="17" t="e">
        <f>_xlfn.XLOOKUP($D115,Tab_Def_Processes[Name(EN)],Tab_Def_Processes[Input_Flow_I_1],,0,)</f>
        <v>#N/A</v>
      </c>
      <c r="N115" s="10" t="e">
        <f>_xlfn.XLOOKUP($D115,Tab_Def_Processes[Name(EN)],Tab_Def_Processes[Flow_ID_I_1],,0,)</f>
        <v>#N/A</v>
      </c>
      <c r="O115" s="35"/>
      <c r="P115" s="30" t="e">
        <f>_xlfn.XLOOKUP($D115,Tab_Def_Processes[Name(EN)],Tab_Def_Processes[Input_Flow_I_2],,0,)</f>
        <v>#N/A</v>
      </c>
      <c r="Q115" s="10" t="e">
        <f>_xlfn.XLOOKUP($D115,Tab_Def_Processes[Name(EN)],Tab_Def_Processes[Flow_ID_I_2],,0,)</f>
        <v>#N/A</v>
      </c>
      <c r="R115" s="35"/>
      <c r="S115" s="30" t="e">
        <f>_xlfn.XLOOKUP($D115,Tab_Def_Processes[Name(EN)],Tab_Def_Processes[Input_Flow_I_3],,0,)</f>
        <v>#N/A</v>
      </c>
      <c r="T115" s="10" t="e">
        <f>_xlfn.XLOOKUP($D115,Tab_Def_Processes[Name(EN)],Tab_Def_Processes[Flow_ID_I_3],,0,)</f>
        <v>#N/A</v>
      </c>
      <c r="U115" s="35"/>
      <c r="V115" s="30" t="e">
        <f>_xlfn.XLOOKUP($D115,Tab_Def_Processes[Name(EN)],Tab_Def_Processes[Input_Flow_I_4],,0,)</f>
        <v>#N/A</v>
      </c>
      <c r="W115" s="10" t="e">
        <f>_xlfn.XLOOKUP($D115,Tab_Def_Processes[Name(EN)],Tab_Def_Processes[Flow_ID_I_4],,0,)</f>
        <v>#N/A</v>
      </c>
      <c r="X115" s="35"/>
      <c r="Y115" s="30" t="e">
        <f>_xlfn.XLOOKUP($D115,Tab_Def_Processes[Name(EN)],Tab_Def_Processes[Input_Flow_I_5],,0,)</f>
        <v>#N/A</v>
      </c>
      <c r="Z115" s="10" t="e">
        <f>_xlfn.XLOOKUP($D115,Tab_Def_Processes[Name(EN)],Tab_Def_Processes[Flow_ID_I_5],,0,)</f>
        <v>#N/A</v>
      </c>
      <c r="AA115" s="35"/>
      <c r="AB115" s="41">
        <f>Tab_Process_TCs2527[[#This Row],[Flow_TC_I_1_'[%']]]+Tab_Process_TCs2527[[#This Row],[Flow_TC_I_2_'[%']]]+Tab_Process_TCs2527[[#This Row],[Flow_TC_I_3_'[%']]]+Tab_Process_TCs2527[[#This Row],[Flow_TC_I_4_'[%']]]+Tab_Process_TCs2527[[#This Row],[Flow_TC_I_5_'[%']]]</f>
        <v>0</v>
      </c>
      <c r="AC115" s="17" t="e">
        <f>_xlfn.XLOOKUP($D115,#REF!,#REF!,,0,)</f>
        <v>#REF!</v>
      </c>
      <c r="AD115" s="10" t="e">
        <f>_xlfn.XLOOKUP($D115,#REF!,#REF!,,0,)</f>
        <v>#REF!</v>
      </c>
      <c r="AE115" s="44" t="str">
        <f>Tab_Process_TCs2527[[#This Row],[Flow_ID]]</f>
        <v>N.A.</v>
      </c>
      <c r="AF115" s="10" t="e">
        <f t="shared" si="24"/>
        <v>#REF!</v>
      </c>
      <c r="AG115" s="51"/>
      <c r="AH115" s="171" t="e">
        <f>_xlfn.XLOOKUP($D115,#REF!,#REF!,,0,)</f>
        <v>#REF!</v>
      </c>
      <c r="AI115" s="55" t="e">
        <f>_xlfn.XLOOKUP($D115,#REF!,#REF!,,0,)</f>
        <v>#REF!</v>
      </c>
      <c r="AJ115" s="44" t="str">
        <f>Tab_Process_TCs2527[[#This Row],[Flow_ID]]</f>
        <v>N.A.</v>
      </c>
      <c r="AK115" s="10" t="e">
        <f t="shared" si="25"/>
        <v>#REF!</v>
      </c>
      <c r="AL115" s="170"/>
      <c r="AM115" s="17" t="e">
        <f>_xlfn.XLOOKUP($D115,#REF!,#REF!,,0,)</f>
        <v>#REF!</v>
      </c>
      <c r="AN115" s="10" t="e">
        <f>_xlfn.XLOOKUP($D115,#REF!,#REF!,,0,)</f>
        <v>#REF!</v>
      </c>
      <c r="AO115" s="44" t="str">
        <f>Tab_Process_TCs2527[[#This Row],[Flow_ID]]</f>
        <v>N.A.</v>
      </c>
      <c r="AP115" s="10" t="e">
        <f t="shared" si="26"/>
        <v>#REF!</v>
      </c>
      <c r="AQ115" s="170"/>
      <c r="AR115" s="17" t="e">
        <f>_xlfn.XLOOKUP($D115,#REF!,#REF!,,0,)</f>
        <v>#REF!</v>
      </c>
      <c r="AS115" s="10" t="e">
        <f>_xlfn.XLOOKUP($D115,#REF!,#REF!,,0,)</f>
        <v>#REF!</v>
      </c>
      <c r="AT115" s="44" t="str">
        <f>Tab_Process_TCs2527[[#This Row],[Flow_ID]]</f>
        <v>N.A.</v>
      </c>
      <c r="AU115" s="44" t="e">
        <f t="shared" si="27"/>
        <v>#REF!</v>
      </c>
      <c r="AV115" s="170"/>
      <c r="AW115" s="17" t="e">
        <f>_xlfn.XLOOKUP($D115,#REF!,#REF!,,0,)</f>
        <v>#REF!</v>
      </c>
      <c r="AX115" s="10" t="e">
        <f>_xlfn.XLOOKUP($D115,#REF!,#REF!,,0,)</f>
        <v>#REF!</v>
      </c>
      <c r="AY115" s="44" t="str">
        <f>Tab_Process_TCs2527[[#This Row],[Flow_ID]]</f>
        <v>N.A.</v>
      </c>
      <c r="AZ115" s="44" t="e">
        <f t="shared" si="28"/>
        <v>#REF!</v>
      </c>
      <c r="BA115" s="170"/>
      <c r="BB115" s="10" t="e">
        <f>_xlfn.XLOOKUP($D115,#REF!,#REF!,,0,)</f>
        <v>#REF!</v>
      </c>
      <c r="BC115" s="10" t="e">
        <f>_xlfn.XLOOKUP($D115,#REF!,#REF!,,0,)</f>
        <v>#REF!</v>
      </c>
      <c r="BD115" s="44" t="str">
        <f>Tab_Process_TCs2527[[#This Row],[Flow_ID]]</f>
        <v>N.A.</v>
      </c>
      <c r="BE115" s="44" t="e">
        <f t="shared" si="29"/>
        <v>#REF!</v>
      </c>
      <c r="BF115" s="51"/>
      <c r="BG115" s="54">
        <f>Tab_Process_TCs2527[[#This Row],[TC O_6_'[%']]]+Tab_Process_TCs2527[[#This Row],[TC O_5_'[%']]]+Tab_Process_TCs2527[[#This Row],[TC_O_4_'[%']]]+Tab_Process_TCs2527[[#This Row],[TC_O_3_'[%']]]+Tab_Process_TCs2527[[#This Row],[TC_O_2_'[%']]]+Tab_Process_TCs2527[[#This Row],[TC_O_1_'[%']]]</f>
        <v>0</v>
      </c>
      <c r="BH115" s="12"/>
      <c r="BI115" s="12"/>
      <c r="BJ115" s="12"/>
      <c r="BK115" s="12"/>
      <c r="BL115" s="12"/>
    </row>
    <row r="116" spans="1:64" x14ac:dyDescent="0.25">
      <c r="A116" s="197" t="b">
        <v>0</v>
      </c>
      <c r="B116" s="10">
        <f t="shared" si="23"/>
        <v>115</v>
      </c>
      <c r="C116" s="49" t="e">
        <f>_xlfn.XLOOKUP($D116,Tab_Process_TCs[Name(EN)],Tab_Process_TCs[Process_ID],,0,)</f>
        <v>#N/A</v>
      </c>
      <c r="D116" s="192" t="s">
        <v>35</v>
      </c>
      <c r="E116" s="192" t="s">
        <v>35</v>
      </c>
      <c r="F116" s="49" t="e">
        <f>_xlfn.XLOOKUP($D116,Tab_Process_TCs[Name(EN)],Tab_Process_TCs[TC?],,0,)</f>
        <v>#N/A</v>
      </c>
      <c r="G116" s="49" t="e">
        <f>_xlfn.XLOOKUP($D116,Tab_Process_TCs[Name(EN)],Tab_Process_TCs[Dyn_TC?],,0,)</f>
        <v>#N/A</v>
      </c>
      <c r="H116" s="10" t="str">
        <f>_xlfn.XLOOKUP($E116,Tab_Def_Flows[Name(EN)],Tab_Def_Flows[Flow_ID],,0,1)</f>
        <v>N.A.</v>
      </c>
      <c r="I116" s="10" t="str">
        <f>IF(Tab_Process_TCs2527[[#This Row],[Name(EN)]]="N.A.","N.A.","TC"&amp;"_"&amp;RIGHT(H116,5))</f>
        <v>N.A.</v>
      </c>
      <c r="J116" s="12"/>
      <c r="K116" s="186"/>
      <c r="L116" s="10"/>
      <c r="M116" s="17" t="e">
        <f>_xlfn.XLOOKUP($D116,Tab_Def_Processes[Name(EN)],Tab_Def_Processes[Input_Flow_I_1],,0,)</f>
        <v>#N/A</v>
      </c>
      <c r="N116" s="10" t="e">
        <f>_xlfn.XLOOKUP($D116,Tab_Def_Processes[Name(EN)],Tab_Def_Processes[Flow_ID_I_1],,0,)</f>
        <v>#N/A</v>
      </c>
      <c r="O116" s="35"/>
      <c r="P116" s="30" t="e">
        <f>_xlfn.XLOOKUP($D116,Tab_Def_Processes[Name(EN)],Tab_Def_Processes[Input_Flow_I_2],,0,)</f>
        <v>#N/A</v>
      </c>
      <c r="Q116" s="10" t="e">
        <f>_xlfn.XLOOKUP($D116,Tab_Def_Processes[Name(EN)],Tab_Def_Processes[Flow_ID_I_2],,0,)</f>
        <v>#N/A</v>
      </c>
      <c r="R116" s="35"/>
      <c r="S116" s="30" t="e">
        <f>_xlfn.XLOOKUP($D116,Tab_Def_Processes[Name(EN)],Tab_Def_Processes[Input_Flow_I_3],,0,)</f>
        <v>#N/A</v>
      </c>
      <c r="T116" s="10" t="e">
        <f>_xlfn.XLOOKUP($D116,Tab_Def_Processes[Name(EN)],Tab_Def_Processes[Flow_ID_I_3],,0,)</f>
        <v>#N/A</v>
      </c>
      <c r="U116" s="35"/>
      <c r="V116" s="30" t="e">
        <f>_xlfn.XLOOKUP($D116,Tab_Def_Processes[Name(EN)],Tab_Def_Processes[Input_Flow_I_4],,0,)</f>
        <v>#N/A</v>
      </c>
      <c r="W116" s="10" t="e">
        <f>_xlfn.XLOOKUP($D116,Tab_Def_Processes[Name(EN)],Tab_Def_Processes[Flow_ID_I_4],,0,)</f>
        <v>#N/A</v>
      </c>
      <c r="X116" s="35"/>
      <c r="Y116" s="30" t="e">
        <f>_xlfn.XLOOKUP($D116,Tab_Def_Processes[Name(EN)],Tab_Def_Processes[Input_Flow_I_5],,0,)</f>
        <v>#N/A</v>
      </c>
      <c r="Z116" s="10" t="e">
        <f>_xlfn.XLOOKUP($D116,Tab_Def_Processes[Name(EN)],Tab_Def_Processes[Flow_ID_I_5],,0,)</f>
        <v>#N/A</v>
      </c>
      <c r="AA116" s="35"/>
      <c r="AB116" s="41">
        <f>Tab_Process_TCs2527[[#This Row],[Flow_TC_I_1_'[%']]]+Tab_Process_TCs2527[[#This Row],[Flow_TC_I_2_'[%']]]+Tab_Process_TCs2527[[#This Row],[Flow_TC_I_3_'[%']]]+Tab_Process_TCs2527[[#This Row],[Flow_TC_I_4_'[%']]]+Tab_Process_TCs2527[[#This Row],[Flow_TC_I_5_'[%']]]</f>
        <v>0</v>
      </c>
      <c r="AC116" s="17" t="e">
        <f>_xlfn.XLOOKUP($D116,#REF!,#REF!,,0,)</f>
        <v>#REF!</v>
      </c>
      <c r="AD116" s="10" t="e">
        <f>_xlfn.XLOOKUP($D116,#REF!,#REF!,,0,)</f>
        <v>#REF!</v>
      </c>
      <c r="AE116" s="44" t="str">
        <f>Tab_Process_TCs2527[[#This Row],[Flow_ID]]</f>
        <v>N.A.</v>
      </c>
      <c r="AF116" s="10" t="e">
        <f t="shared" si="24"/>
        <v>#REF!</v>
      </c>
      <c r="AG116" s="51"/>
      <c r="AH116" s="171" t="e">
        <f>_xlfn.XLOOKUP($D116,#REF!,#REF!,,0,)</f>
        <v>#REF!</v>
      </c>
      <c r="AI116" s="55" t="e">
        <f>_xlfn.XLOOKUP($D116,#REF!,#REF!,,0,)</f>
        <v>#REF!</v>
      </c>
      <c r="AJ116" s="44" t="str">
        <f>Tab_Process_TCs2527[[#This Row],[Flow_ID]]</f>
        <v>N.A.</v>
      </c>
      <c r="AK116" s="10" t="e">
        <f t="shared" si="25"/>
        <v>#REF!</v>
      </c>
      <c r="AL116" s="170"/>
      <c r="AM116" s="17" t="e">
        <f>_xlfn.XLOOKUP($D116,#REF!,#REF!,,0,)</f>
        <v>#REF!</v>
      </c>
      <c r="AN116" s="10" t="e">
        <f>_xlfn.XLOOKUP($D116,#REF!,#REF!,,0,)</f>
        <v>#REF!</v>
      </c>
      <c r="AO116" s="44" t="str">
        <f>Tab_Process_TCs2527[[#This Row],[Flow_ID]]</f>
        <v>N.A.</v>
      </c>
      <c r="AP116" s="10" t="e">
        <f t="shared" si="26"/>
        <v>#REF!</v>
      </c>
      <c r="AQ116" s="170"/>
      <c r="AR116" s="17" t="e">
        <f>_xlfn.XLOOKUP($D116,#REF!,#REF!,,0,)</f>
        <v>#REF!</v>
      </c>
      <c r="AS116" s="10" t="e">
        <f>_xlfn.XLOOKUP($D116,#REF!,#REF!,,0,)</f>
        <v>#REF!</v>
      </c>
      <c r="AT116" s="44" t="str">
        <f>Tab_Process_TCs2527[[#This Row],[Flow_ID]]</f>
        <v>N.A.</v>
      </c>
      <c r="AU116" s="44" t="e">
        <f t="shared" si="27"/>
        <v>#REF!</v>
      </c>
      <c r="AV116" s="170"/>
      <c r="AW116" s="17" t="e">
        <f>_xlfn.XLOOKUP($D116,#REF!,#REF!,,0,)</f>
        <v>#REF!</v>
      </c>
      <c r="AX116" s="10" t="e">
        <f>_xlfn.XLOOKUP($D116,#REF!,#REF!,,0,)</f>
        <v>#REF!</v>
      </c>
      <c r="AY116" s="44" t="str">
        <f>Tab_Process_TCs2527[[#This Row],[Flow_ID]]</f>
        <v>N.A.</v>
      </c>
      <c r="AZ116" s="44" t="e">
        <f t="shared" si="28"/>
        <v>#REF!</v>
      </c>
      <c r="BA116" s="170"/>
      <c r="BB116" s="10" t="e">
        <f>_xlfn.XLOOKUP($D116,#REF!,#REF!,,0,)</f>
        <v>#REF!</v>
      </c>
      <c r="BC116" s="10" t="e">
        <f>_xlfn.XLOOKUP($D116,#REF!,#REF!,,0,)</f>
        <v>#REF!</v>
      </c>
      <c r="BD116" s="44" t="str">
        <f>Tab_Process_TCs2527[[#This Row],[Flow_ID]]</f>
        <v>N.A.</v>
      </c>
      <c r="BE116" s="44" t="e">
        <f t="shared" si="29"/>
        <v>#REF!</v>
      </c>
      <c r="BF116" s="51"/>
      <c r="BG116" s="54">
        <f>Tab_Process_TCs2527[[#This Row],[TC O_6_'[%']]]+Tab_Process_TCs2527[[#This Row],[TC O_5_'[%']]]+Tab_Process_TCs2527[[#This Row],[TC_O_4_'[%']]]+Tab_Process_TCs2527[[#This Row],[TC_O_3_'[%']]]+Tab_Process_TCs2527[[#This Row],[TC_O_2_'[%']]]+Tab_Process_TCs2527[[#This Row],[TC_O_1_'[%']]]</f>
        <v>0</v>
      </c>
      <c r="BH116" s="12"/>
      <c r="BI116" s="12"/>
      <c r="BJ116" s="12"/>
      <c r="BK116" s="12"/>
      <c r="BL116" s="12"/>
    </row>
    <row r="117" spans="1:64" x14ac:dyDescent="0.25">
      <c r="A117" s="197" t="b">
        <v>0</v>
      </c>
      <c r="B117" s="10">
        <f t="shared" si="23"/>
        <v>116</v>
      </c>
      <c r="C117" s="49" t="e">
        <f>_xlfn.XLOOKUP($D117,Tab_Process_TCs[Name(EN)],Tab_Process_TCs[Process_ID],,0,)</f>
        <v>#N/A</v>
      </c>
      <c r="D117" s="192" t="s">
        <v>35</v>
      </c>
      <c r="E117" s="192" t="s">
        <v>35</v>
      </c>
      <c r="F117" s="49" t="e">
        <f>_xlfn.XLOOKUP($D117,Tab_Process_TCs[Name(EN)],Tab_Process_TCs[TC?],,0,)</f>
        <v>#N/A</v>
      </c>
      <c r="G117" s="49" t="e">
        <f>_xlfn.XLOOKUP($D117,Tab_Process_TCs[Name(EN)],Tab_Process_TCs[Dyn_TC?],,0,)</f>
        <v>#N/A</v>
      </c>
      <c r="H117" s="10" t="str">
        <f>_xlfn.XLOOKUP($E117,Tab_Def_Flows[Name(EN)],Tab_Def_Flows[Flow_ID],,0,1)</f>
        <v>N.A.</v>
      </c>
      <c r="I117" s="10" t="str">
        <f>IF(Tab_Process_TCs2527[[#This Row],[Name(EN)]]="N.A.","N.A.","TC"&amp;"_"&amp;RIGHT(H117,5))</f>
        <v>N.A.</v>
      </c>
      <c r="J117" s="12"/>
      <c r="K117" s="186"/>
      <c r="L117" s="10"/>
      <c r="M117" s="17" t="e">
        <f>_xlfn.XLOOKUP($D117,Tab_Def_Processes[Name(EN)],Tab_Def_Processes[Input_Flow_I_1],,0,)</f>
        <v>#N/A</v>
      </c>
      <c r="N117" s="10" t="e">
        <f>_xlfn.XLOOKUP($D117,Tab_Def_Processes[Name(EN)],Tab_Def_Processes[Flow_ID_I_1],,0,)</f>
        <v>#N/A</v>
      </c>
      <c r="O117" s="35"/>
      <c r="P117" s="30" t="e">
        <f>_xlfn.XLOOKUP($D117,Tab_Def_Processes[Name(EN)],Tab_Def_Processes[Input_Flow_I_2],,0,)</f>
        <v>#N/A</v>
      </c>
      <c r="Q117" s="10" t="e">
        <f>_xlfn.XLOOKUP($D117,Tab_Def_Processes[Name(EN)],Tab_Def_Processes[Flow_ID_I_2],,0,)</f>
        <v>#N/A</v>
      </c>
      <c r="R117" s="35"/>
      <c r="S117" s="30" t="e">
        <f>_xlfn.XLOOKUP($D117,Tab_Def_Processes[Name(EN)],Tab_Def_Processes[Input_Flow_I_3],,0,)</f>
        <v>#N/A</v>
      </c>
      <c r="T117" s="10" t="e">
        <f>_xlfn.XLOOKUP($D117,Tab_Def_Processes[Name(EN)],Tab_Def_Processes[Flow_ID_I_3],,0,)</f>
        <v>#N/A</v>
      </c>
      <c r="U117" s="35"/>
      <c r="V117" s="30" t="e">
        <f>_xlfn.XLOOKUP($D117,Tab_Def_Processes[Name(EN)],Tab_Def_Processes[Input_Flow_I_4],,0,)</f>
        <v>#N/A</v>
      </c>
      <c r="W117" s="10" t="e">
        <f>_xlfn.XLOOKUP($D117,Tab_Def_Processes[Name(EN)],Tab_Def_Processes[Flow_ID_I_4],,0,)</f>
        <v>#N/A</v>
      </c>
      <c r="X117" s="35"/>
      <c r="Y117" s="30" t="e">
        <f>_xlfn.XLOOKUP($D117,Tab_Def_Processes[Name(EN)],Tab_Def_Processes[Input_Flow_I_5],,0,)</f>
        <v>#N/A</v>
      </c>
      <c r="Z117" s="10" t="e">
        <f>_xlfn.XLOOKUP($D117,Tab_Def_Processes[Name(EN)],Tab_Def_Processes[Flow_ID_I_5],,0,)</f>
        <v>#N/A</v>
      </c>
      <c r="AA117" s="35"/>
      <c r="AB117" s="41">
        <f>Tab_Process_TCs2527[[#This Row],[Flow_TC_I_1_'[%']]]+Tab_Process_TCs2527[[#This Row],[Flow_TC_I_2_'[%']]]+Tab_Process_TCs2527[[#This Row],[Flow_TC_I_3_'[%']]]+Tab_Process_TCs2527[[#This Row],[Flow_TC_I_4_'[%']]]+Tab_Process_TCs2527[[#This Row],[Flow_TC_I_5_'[%']]]</f>
        <v>0</v>
      </c>
      <c r="AC117" s="17" t="e">
        <f>_xlfn.XLOOKUP($D117,#REF!,#REF!,,0,)</f>
        <v>#REF!</v>
      </c>
      <c r="AD117" s="10" t="e">
        <f>_xlfn.XLOOKUP($D117,#REF!,#REF!,,0,)</f>
        <v>#REF!</v>
      </c>
      <c r="AE117" s="44" t="str">
        <f>Tab_Process_TCs2527[[#This Row],[Flow_ID]]</f>
        <v>N.A.</v>
      </c>
      <c r="AF117" s="10" t="e">
        <f t="shared" si="24"/>
        <v>#REF!</v>
      </c>
      <c r="AG117" s="51"/>
      <c r="AH117" s="171" t="e">
        <f>_xlfn.XLOOKUP($D117,#REF!,#REF!,,0,)</f>
        <v>#REF!</v>
      </c>
      <c r="AI117" s="55" t="e">
        <f>_xlfn.XLOOKUP($D117,#REF!,#REF!,,0,)</f>
        <v>#REF!</v>
      </c>
      <c r="AJ117" s="44" t="str">
        <f>Tab_Process_TCs2527[[#This Row],[Flow_ID]]</f>
        <v>N.A.</v>
      </c>
      <c r="AK117" s="10" t="e">
        <f t="shared" si="25"/>
        <v>#REF!</v>
      </c>
      <c r="AL117" s="170"/>
      <c r="AM117" s="17" t="e">
        <f>_xlfn.XLOOKUP($D117,#REF!,#REF!,,0,)</f>
        <v>#REF!</v>
      </c>
      <c r="AN117" s="10" t="e">
        <f>_xlfn.XLOOKUP($D117,#REF!,#REF!,,0,)</f>
        <v>#REF!</v>
      </c>
      <c r="AO117" s="44" t="str">
        <f>Tab_Process_TCs2527[[#This Row],[Flow_ID]]</f>
        <v>N.A.</v>
      </c>
      <c r="AP117" s="10" t="e">
        <f t="shared" si="26"/>
        <v>#REF!</v>
      </c>
      <c r="AQ117" s="170"/>
      <c r="AR117" s="17" t="e">
        <f>_xlfn.XLOOKUP($D117,#REF!,#REF!,,0,)</f>
        <v>#REF!</v>
      </c>
      <c r="AS117" s="10" t="e">
        <f>_xlfn.XLOOKUP($D117,#REF!,#REF!,,0,)</f>
        <v>#REF!</v>
      </c>
      <c r="AT117" s="44" t="str">
        <f>Tab_Process_TCs2527[[#This Row],[Flow_ID]]</f>
        <v>N.A.</v>
      </c>
      <c r="AU117" s="44" t="e">
        <f t="shared" si="27"/>
        <v>#REF!</v>
      </c>
      <c r="AV117" s="170"/>
      <c r="AW117" s="17" t="e">
        <f>_xlfn.XLOOKUP($D117,#REF!,#REF!,,0,)</f>
        <v>#REF!</v>
      </c>
      <c r="AX117" s="10" t="e">
        <f>_xlfn.XLOOKUP($D117,#REF!,#REF!,,0,)</f>
        <v>#REF!</v>
      </c>
      <c r="AY117" s="44" t="str">
        <f>Tab_Process_TCs2527[[#This Row],[Flow_ID]]</f>
        <v>N.A.</v>
      </c>
      <c r="AZ117" s="44" t="e">
        <f t="shared" si="28"/>
        <v>#REF!</v>
      </c>
      <c r="BA117" s="170"/>
      <c r="BB117" s="10" t="e">
        <f>_xlfn.XLOOKUP($D117,#REF!,#REF!,,0,)</f>
        <v>#REF!</v>
      </c>
      <c r="BC117" s="10" t="e">
        <f>_xlfn.XLOOKUP($D117,#REF!,#REF!,,0,)</f>
        <v>#REF!</v>
      </c>
      <c r="BD117" s="44" t="str">
        <f>Tab_Process_TCs2527[[#This Row],[Flow_ID]]</f>
        <v>N.A.</v>
      </c>
      <c r="BE117" s="44" t="e">
        <f t="shared" si="29"/>
        <v>#REF!</v>
      </c>
      <c r="BF117" s="51"/>
      <c r="BG117" s="54">
        <f>Tab_Process_TCs2527[[#This Row],[TC O_6_'[%']]]+Tab_Process_TCs2527[[#This Row],[TC O_5_'[%']]]+Tab_Process_TCs2527[[#This Row],[TC_O_4_'[%']]]+Tab_Process_TCs2527[[#This Row],[TC_O_3_'[%']]]+Tab_Process_TCs2527[[#This Row],[TC_O_2_'[%']]]+Tab_Process_TCs2527[[#This Row],[TC_O_1_'[%']]]</f>
        <v>0</v>
      </c>
      <c r="BH117" s="12"/>
      <c r="BI117" s="12"/>
      <c r="BJ117" s="12"/>
      <c r="BK117" s="12"/>
      <c r="BL117" s="12"/>
    </row>
    <row r="118" spans="1:64" x14ac:dyDescent="0.25">
      <c r="A118" s="197" t="b">
        <v>0</v>
      </c>
      <c r="B118" s="10">
        <f t="shared" si="23"/>
        <v>117</v>
      </c>
      <c r="C118" s="49" t="e">
        <f>_xlfn.XLOOKUP($D118,Tab_Process_TCs[Name(EN)],Tab_Process_TCs[Process_ID],,0,)</f>
        <v>#N/A</v>
      </c>
      <c r="D118" s="192" t="s">
        <v>35</v>
      </c>
      <c r="E118" s="192" t="s">
        <v>35</v>
      </c>
      <c r="F118" s="49" t="e">
        <f>_xlfn.XLOOKUP($D118,Tab_Process_TCs[Name(EN)],Tab_Process_TCs[TC?],,0,)</f>
        <v>#N/A</v>
      </c>
      <c r="G118" s="49" t="e">
        <f>_xlfn.XLOOKUP($D118,Tab_Process_TCs[Name(EN)],Tab_Process_TCs[Dyn_TC?],,0,)</f>
        <v>#N/A</v>
      </c>
      <c r="H118" s="10" t="str">
        <f>_xlfn.XLOOKUP($E118,Tab_Def_Flows[Name(EN)],Tab_Def_Flows[Flow_ID],,0,1)</f>
        <v>N.A.</v>
      </c>
      <c r="I118" s="10" t="str">
        <f>IF(Tab_Process_TCs2527[[#This Row],[Name(EN)]]="N.A.","N.A.","TC"&amp;"_"&amp;RIGHT(H118,5))</f>
        <v>N.A.</v>
      </c>
      <c r="J118" s="12"/>
      <c r="K118" s="186"/>
      <c r="L118" s="10"/>
      <c r="M118" s="17" t="e">
        <f>_xlfn.XLOOKUP($D118,Tab_Def_Processes[Name(EN)],Tab_Def_Processes[Input_Flow_I_1],,0,)</f>
        <v>#N/A</v>
      </c>
      <c r="N118" s="10" t="e">
        <f>_xlfn.XLOOKUP($D118,Tab_Def_Processes[Name(EN)],Tab_Def_Processes[Flow_ID_I_1],,0,)</f>
        <v>#N/A</v>
      </c>
      <c r="O118" s="35"/>
      <c r="P118" s="30" t="e">
        <f>_xlfn.XLOOKUP($D118,Tab_Def_Processes[Name(EN)],Tab_Def_Processes[Input_Flow_I_2],,0,)</f>
        <v>#N/A</v>
      </c>
      <c r="Q118" s="10" t="e">
        <f>_xlfn.XLOOKUP($D118,Tab_Def_Processes[Name(EN)],Tab_Def_Processes[Flow_ID_I_2],,0,)</f>
        <v>#N/A</v>
      </c>
      <c r="R118" s="35"/>
      <c r="S118" s="30" t="e">
        <f>_xlfn.XLOOKUP($D118,Tab_Def_Processes[Name(EN)],Tab_Def_Processes[Input_Flow_I_3],,0,)</f>
        <v>#N/A</v>
      </c>
      <c r="T118" s="10" t="e">
        <f>_xlfn.XLOOKUP($D118,Tab_Def_Processes[Name(EN)],Tab_Def_Processes[Flow_ID_I_3],,0,)</f>
        <v>#N/A</v>
      </c>
      <c r="U118" s="35"/>
      <c r="V118" s="30" t="e">
        <f>_xlfn.XLOOKUP($D118,Tab_Def_Processes[Name(EN)],Tab_Def_Processes[Input_Flow_I_4],,0,)</f>
        <v>#N/A</v>
      </c>
      <c r="W118" s="10" t="e">
        <f>_xlfn.XLOOKUP($D118,Tab_Def_Processes[Name(EN)],Tab_Def_Processes[Flow_ID_I_4],,0,)</f>
        <v>#N/A</v>
      </c>
      <c r="X118" s="35"/>
      <c r="Y118" s="30" t="e">
        <f>_xlfn.XLOOKUP($D118,Tab_Def_Processes[Name(EN)],Tab_Def_Processes[Input_Flow_I_5],,0,)</f>
        <v>#N/A</v>
      </c>
      <c r="Z118" s="10" t="e">
        <f>_xlfn.XLOOKUP($D118,Tab_Def_Processes[Name(EN)],Tab_Def_Processes[Flow_ID_I_5],,0,)</f>
        <v>#N/A</v>
      </c>
      <c r="AA118" s="35"/>
      <c r="AB118" s="41">
        <f>Tab_Process_TCs2527[[#This Row],[Flow_TC_I_1_'[%']]]+Tab_Process_TCs2527[[#This Row],[Flow_TC_I_2_'[%']]]+Tab_Process_TCs2527[[#This Row],[Flow_TC_I_3_'[%']]]+Tab_Process_TCs2527[[#This Row],[Flow_TC_I_4_'[%']]]+Tab_Process_TCs2527[[#This Row],[Flow_TC_I_5_'[%']]]</f>
        <v>0</v>
      </c>
      <c r="AC118" s="17" t="e">
        <f>_xlfn.XLOOKUP($D118,#REF!,#REF!,,0,)</f>
        <v>#REF!</v>
      </c>
      <c r="AD118" s="10" t="e">
        <f>_xlfn.XLOOKUP($D118,#REF!,#REF!,,0,)</f>
        <v>#REF!</v>
      </c>
      <c r="AE118" s="44" t="str">
        <f>Tab_Process_TCs2527[[#This Row],[Flow_ID]]</f>
        <v>N.A.</v>
      </c>
      <c r="AF118" s="10" t="e">
        <f t="shared" si="24"/>
        <v>#REF!</v>
      </c>
      <c r="AG118" s="51"/>
      <c r="AH118" s="171" t="e">
        <f>_xlfn.XLOOKUP($D118,#REF!,#REF!,,0,)</f>
        <v>#REF!</v>
      </c>
      <c r="AI118" s="55" t="e">
        <f>_xlfn.XLOOKUP($D118,#REF!,#REF!,,0,)</f>
        <v>#REF!</v>
      </c>
      <c r="AJ118" s="44" t="str">
        <f>Tab_Process_TCs2527[[#This Row],[Flow_ID]]</f>
        <v>N.A.</v>
      </c>
      <c r="AK118" s="10" t="e">
        <f t="shared" si="25"/>
        <v>#REF!</v>
      </c>
      <c r="AL118" s="170"/>
      <c r="AM118" s="17" t="e">
        <f>_xlfn.XLOOKUP($D118,#REF!,#REF!,,0,)</f>
        <v>#REF!</v>
      </c>
      <c r="AN118" s="10" t="e">
        <f>_xlfn.XLOOKUP($D118,#REF!,#REF!,,0,)</f>
        <v>#REF!</v>
      </c>
      <c r="AO118" s="44" t="str">
        <f>Tab_Process_TCs2527[[#This Row],[Flow_ID]]</f>
        <v>N.A.</v>
      </c>
      <c r="AP118" s="10" t="e">
        <f t="shared" si="26"/>
        <v>#REF!</v>
      </c>
      <c r="AQ118" s="170"/>
      <c r="AR118" s="17" t="e">
        <f>_xlfn.XLOOKUP($D118,#REF!,#REF!,,0,)</f>
        <v>#REF!</v>
      </c>
      <c r="AS118" s="10" t="e">
        <f>_xlfn.XLOOKUP($D118,#REF!,#REF!,,0,)</f>
        <v>#REF!</v>
      </c>
      <c r="AT118" s="44" t="str">
        <f>Tab_Process_TCs2527[[#This Row],[Flow_ID]]</f>
        <v>N.A.</v>
      </c>
      <c r="AU118" s="44" t="e">
        <f t="shared" si="27"/>
        <v>#REF!</v>
      </c>
      <c r="AV118" s="170"/>
      <c r="AW118" s="17" t="e">
        <f>_xlfn.XLOOKUP($D118,#REF!,#REF!,,0,)</f>
        <v>#REF!</v>
      </c>
      <c r="AX118" s="10" t="e">
        <f>_xlfn.XLOOKUP($D118,#REF!,#REF!,,0,)</f>
        <v>#REF!</v>
      </c>
      <c r="AY118" s="44" t="str">
        <f>Tab_Process_TCs2527[[#This Row],[Flow_ID]]</f>
        <v>N.A.</v>
      </c>
      <c r="AZ118" s="44" t="e">
        <f t="shared" si="28"/>
        <v>#REF!</v>
      </c>
      <c r="BA118" s="170"/>
      <c r="BB118" s="10" t="e">
        <f>_xlfn.XLOOKUP($D118,#REF!,#REF!,,0,)</f>
        <v>#REF!</v>
      </c>
      <c r="BC118" s="10" t="e">
        <f>_xlfn.XLOOKUP($D118,#REF!,#REF!,,0,)</f>
        <v>#REF!</v>
      </c>
      <c r="BD118" s="44" t="str">
        <f>Tab_Process_TCs2527[[#This Row],[Flow_ID]]</f>
        <v>N.A.</v>
      </c>
      <c r="BE118" s="44" t="e">
        <f t="shared" si="29"/>
        <v>#REF!</v>
      </c>
      <c r="BF118" s="51"/>
      <c r="BG118" s="54">
        <f>Tab_Process_TCs2527[[#This Row],[TC O_6_'[%']]]+Tab_Process_TCs2527[[#This Row],[TC O_5_'[%']]]+Tab_Process_TCs2527[[#This Row],[TC_O_4_'[%']]]+Tab_Process_TCs2527[[#This Row],[TC_O_3_'[%']]]+Tab_Process_TCs2527[[#This Row],[TC_O_2_'[%']]]+Tab_Process_TCs2527[[#This Row],[TC_O_1_'[%']]]</f>
        <v>0</v>
      </c>
      <c r="BH118" s="12"/>
      <c r="BI118" s="12"/>
      <c r="BJ118" s="12"/>
      <c r="BK118" s="12"/>
      <c r="BL118" s="12"/>
    </row>
    <row r="119" spans="1:64" x14ac:dyDescent="0.25">
      <c r="A119" s="197" t="b">
        <v>0</v>
      </c>
      <c r="B119" s="10">
        <f t="shared" si="23"/>
        <v>118</v>
      </c>
      <c r="C119" s="49" t="e">
        <f>_xlfn.XLOOKUP($D119,Tab_Process_TCs[Name(EN)],Tab_Process_TCs[Process_ID],,0,)</f>
        <v>#N/A</v>
      </c>
      <c r="D119" s="192" t="s">
        <v>35</v>
      </c>
      <c r="E119" s="192" t="s">
        <v>35</v>
      </c>
      <c r="F119" s="49" t="e">
        <f>_xlfn.XLOOKUP($D119,Tab_Process_TCs[Name(EN)],Tab_Process_TCs[TC?],,0,)</f>
        <v>#N/A</v>
      </c>
      <c r="G119" s="49" t="e">
        <f>_xlfn.XLOOKUP($D119,Tab_Process_TCs[Name(EN)],Tab_Process_TCs[Dyn_TC?],,0,)</f>
        <v>#N/A</v>
      </c>
      <c r="H119" s="10" t="str">
        <f>_xlfn.XLOOKUP($E119,Tab_Def_Flows[Name(EN)],Tab_Def_Flows[Flow_ID],,0,1)</f>
        <v>N.A.</v>
      </c>
      <c r="I119" s="10" t="str">
        <f>IF(Tab_Process_TCs2527[[#This Row],[Name(EN)]]="N.A.","N.A.","TC"&amp;"_"&amp;RIGHT(H119,5))</f>
        <v>N.A.</v>
      </c>
      <c r="J119" s="12"/>
      <c r="K119" s="186"/>
      <c r="L119" s="10"/>
      <c r="M119" s="17" t="e">
        <f>_xlfn.XLOOKUP($D119,Tab_Def_Processes[Name(EN)],Tab_Def_Processes[Input_Flow_I_1],,0,)</f>
        <v>#N/A</v>
      </c>
      <c r="N119" s="10" t="e">
        <f>_xlfn.XLOOKUP($D119,Tab_Def_Processes[Name(EN)],Tab_Def_Processes[Flow_ID_I_1],,0,)</f>
        <v>#N/A</v>
      </c>
      <c r="O119" s="35"/>
      <c r="P119" s="30" t="e">
        <f>_xlfn.XLOOKUP($D119,Tab_Def_Processes[Name(EN)],Tab_Def_Processes[Input_Flow_I_2],,0,)</f>
        <v>#N/A</v>
      </c>
      <c r="Q119" s="10" t="e">
        <f>_xlfn.XLOOKUP($D119,Tab_Def_Processes[Name(EN)],Tab_Def_Processes[Flow_ID_I_2],,0,)</f>
        <v>#N/A</v>
      </c>
      <c r="R119" s="35"/>
      <c r="S119" s="30" t="e">
        <f>_xlfn.XLOOKUP($D119,Tab_Def_Processes[Name(EN)],Tab_Def_Processes[Input_Flow_I_3],,0,)</f>
        <v>#N/A</v>
      </c>
      <c r="T119" s="10" t="e">
        <f>_xlfn.XLOOKUP($D119,Tab_Def_Processes[Name(EN)],Tab_Def_Processes[Flow_ID_I_3],,0,)</f>
        <v>#N/A</v>
      </c>
      <c r="U119" s="35"/>
      <c r="V119" s="30" t="e">
        <f>_xlfn.XLOOKUP($D119,Tab_Def_Processes[Name(EN)],Tab_Def_Processes[Input_Flow_I_4],,0,)</f>
        <v>#N/A</v>
      </c>
      <c r="W119" s="10" t="e">
        <f>_xlfn.XLOOKUP($D119,Tab_Def_Processes[Name(EN)],Tab_Def_Processes[Flow_ID_I_4],,0,)</f>
        <v>#N/A</v>
      </c>
      <c r="X119" s="35"/>
      <c r="Y119" s="30" t="e">
        <f>_xlfn.XLOOKUP($D119,Tab_Def_Processes[Name(EN)],Tab_Def_Processes[Input_Flow_I_5],,0,)</f>
        <v>#N/A</v>
      </c>
      <c r="Z119" s="10" t="e">
        <f>_xlfn.XLOOKUP($D119,Tab_Def_Processes[Name(EN)],Tab_Def_Processes[Flow_ID_I_5],,0,)</f>
        <v>#N/A</v>
      </c>
      <c r="AA119" s="35"/>
      <c r="AB119" s="41">
        <f>Tab_Process_TCs2527[[#This Row],[Flow_TC_I_1_'[%']]]+Tab_Process_TCs2527[[#This Row],[Flow_TC_I_2_'[%']]]+Tab_Process_TCs2527[[#This Row],[Flow_TC_I_3_'[%']]]+Tab_Process_TCs2527[[#This Row],[Flow_TC_I_4_'[%']]]+Tab_Process_TCs2527[[#This Row],[Flow_TC_I_5_'[%']]]</f>
        <v>0</v>
      </c>
      <c r="AC119" s="17" t="e">
        <f>_xlfn.XLOOKUP($D119,#REF!,#REF!,,0,)</f>
        <v>#REF!</v>
      </c>
      <c r="AD119" s="10" t="e">
        <f>_xlfn.XLOOKUP($D119,#REF!,#REF!,,0,)</f>
        <v>#REF!</v>
      </c>
      <c r="AE119" s="44" t="str">
        <f>Tab_Process_TCs2527[[#This Row],[Flow_ID]]</f>
        <v>N.A.</v>
      </c>
      <c r="AF119" s="10" t="e">
        <f t="shared" si="24"/>
        <v>#REF!</v>
      </c>
      <c r="AG119" s="51"/>
      <c r="AH119" s="171" t="e">
        <f>_xlfn.XLOOKUP($D119,#REF!,#REF!,,0,)</f>
        <v>#REF!</v>
      </c>
      <c r="AI119" s="55" t="e">
        <f>_xlfn.XLOOKUP($D119,#REF!,#REF!,,0,)</f>
        <v>#REF!</v>
      </c>
      <c r="AJ119" s="44" t="str">
        <f>Tab_Process_TCs2527[[#This Row],[Flow_ID]]</f>
        <v>N.A.</v>
      </c>
      <c r="AK119" s="10" t="e">
        <f t="shared" si="25"/>
        <v>#REF!</v>
      </c>
      <c r="AL119" s="170"/>
      <c r="AM119" s="17" t="e">
        <f>_xlfn.XLOOKUP($D119,#REF!,#REF!,,0,)</f>
        <v>#REF!</v>
      </c>
      <c r="AN119" s="10" t="e">
        <f>_xlfn.XLOOKUP($D119,#REF!,#REF!,,0,)</f>
        <v>#REF!</v>
      </c>
      <c r="AO119" s="44" t="str">
        <f>Tab_Process_TCs2527[[#This Row],[Flow_ID]]</f>
        <v>N.A.</v>
      </c>
      <c r="AP119" s="10" t="e">
        <f t="shared" si="26"/>
        <v>#REF!</v>
      </c>
      <c r="AQ119" s="170"/>
      <c r="AR119" s="17" t="e">
        <f>_xlfn.XLOOKUP($D119,#REF!,#REF!,,0,)</f>
        <v>#REF!</v>
      </c>
      <c r="AS119" s="10" t="e">
        <f>_xlfn.XLOOKUP($D119,#REF!,#REF!,,0,)</f>
        <v>#REF!</v>
      </c>
      <c r="AT119" s="44" t="str">
        <f>Tab_Process_TCs2527[[#This Row],[Flow_ID]]</f>
        <v>N.A.</v>
      </c>
      <c r="AU119" s="44" t="e">
        <f t="shared" si="27"/>
        <v>#REF!</v>
      </c>
      <c r="AV119" s="170"/>
      <c r="AW119" s="17" t="e">
        <f>_xlfn.XLOOKUP($D119,#REF!,#REF!,,0,)</f>
        <v>#REF!</v>
      </c>
      <c r="AX119" s="10" t="e">
        <f>_xlfn.XLOOKUP($D119,#REF!,#REF!,,0,)</f>
        <v>#REF!</v>
      </c>
      <c r="AY119" s="44" t="str">
        <f>Tab_Process_TCs2527[[#This Row],[Flow_ID]]</f>
        <v>N.A.</v>
      </c>
      <c r="AZ119" s="44" t="e">
        <f t="shared" si="28"/>
        <v>#REF!</v>
      </c>
      <c r="BA119" s="170"/>
      <c r="BB119" s="10" t="e">
        <f>_xlfn.XLOOKUP($D119,#REF!,#REF!,,0,)</f>
        <v>#REF!</v>
      </c>
      <c r="BC119" s="10" t="e">
        <f>_xlfn.XLOOKUP($D119,#REF!,#REF!,,0,)</f>
        <v>#REF!</v>
      </c>
      <c r="BD119" s="44" t="str">
        <f>Tab_Process_TCs2527[[#This Row],[Flow_ID]]</f>
        <v>N.A.</v>
      </c>
      <c r="BE119" s="44" t="e">
        <f t="shared" si="29"/>
        <v>#REF!</v>
      </c>
      <c r="BF119" s="51"/>
      <c r="BG119" s="54">
        <f>Tab_Process_TCs2527[[#This Row],[TC O_6_'[%']]]+Tab_Process_TCs2527[[#This Row],[TC O_5_'[%']]]+Tab_Process_TCs2527[[#This Row],[TC_O_4_'[%']]]+Tab_Process_TCs2527[[#This Row],[TC_O_3_'[%']]]+Tab_Process_TCs2527[[#This Row],[TC_O_2_'[%']]]+Tab_Process_TCs2527[[#This Row],[TC_O_1_'[%']]]</f>
        <v>0</v>
      </c>
      <c r="BH119" s="12"/>
      <c r="BI119" s="12"/>
      <c r="BJ119" s="12"/>
      <c r="BK119" s="12"/>
      <c r="BL119" s="12"/>
    </row>
    <row r="120" spans="1:64" x14ac:dyDescent="0.25">
      <c r="A120" s="197" t="b">
        <v>0</v>
      </c>
      <c r="B120" s="10">
        <f t="shared" si="23"/>
        <v>119</v>
      </c>
      <c r="C120" s="49" t="e">
        <f>_xlfn.XLOOKUP($D120,Tab_Process_TCs[Name(EN)],Tab_Process_TCs[Process_ID],,0,)</f>
        <v>#N/A</v>
      </c>
      <c r="D120" s="192" t="s">
        <v>35</v>
      </c>
      <c r="E120" s="192" t="s">
        <v>35</v>
      </c>
      <c r="F120" s="49" t="e">
        <f>_xlfn.XLOOKUP($D120,Tab_Process_TCs[Name(EN)],Tab_Process_TCs[TC?],,0,)</f>
        <v>#N/A</v>
      </c>
      <c r="G120" s="49" t="e">
        <f>_xlfn.XLOOKUP($D120,Tab_Process_TCs[Name(EN)],Tab_Process_TCs[Dyn_TC?],,0,)</f>
        <v>#N/A</v>
      </c>
      <c r="H120" s="10" t="str">
        <f>_xlfn.XLOOKUP($E120,Tab_Def_Flows[Name(EN)],Tab_Def_Flows[Flow_ID],,0,1)</f>
        <v>N.A.</v>
      </c>
      <c r="I120" s="10" t="str">
        <f>IF(Tab_Process_TCs2527[[#This Row],[Name(EN)]]="N.A.","N.A.","TC"&amp;"_"&amp;RIGHT(H120,5))</f>
        <v>N.A.</v>
      </c>
      <c r="J120" s="12"/>
      <c r="K120" s="186"/>
      <c r="L120" s="10"/>
      <c r="M120" s="17" t="e">
        <f>_xlfn.XLOOKUP($D120,Tab_Def_Processes[Name(EN)],Tab_Def_Processes[Input_Flow_I_1],,0,)</f>
        <v>#N/A</v>
      </c>
      <c r="N120" s="10" t="e">
        <f>_xlfn.XLOOKUP($D120,Tab_Def_Processes[Name(EN)],Tab_Def_Processes[Flow_ID_I_1],,0,)</f>
        <v>#N/A</v>
      </c>
      <c r="O120" s="35"/>
      <c r="P120" s="30" t="e">
        <f>_xlfn.XLOOKUP($D120,Tab_Def_Processes[Name(EN)],Tab_Def_Processes[Input_Flow_I_2],,0,)</f>
        <v>#N/A</v>
      </c>
      <c r="Q120" s="10" t="e">
        <f>_xlfn.XLOOKUP($D120,Tab_Def_Processes[Name(EN)],Tab_Def_Processes[Flow_ID_I_2],,0,)</f>
        <v>#N/A</v>
      </c>
      <c r="R120" s="35"/>
      <c r="S120" s="30" t="e">
        <f>_xlfn.XLOOKUP($D120,Tab_Def_Processes[Name(EN)],Tab_Def_Processes[Input_Flow_I_3],,0,)</f>
        <v>#N/A</v>
      </c>
      <c r="T120" s="10" t="e">
        <f>_xlfn.XLOOKUP($D120,Tab_Def_Processes[Name(EN)],Tab_Def_Processes[Flow_ID_I_3],,0,)</f>
        <v>#N/A</v>
      </c>
      <c r="U120" s="35"/>
      <c r="V120" s="30" t="e">
        <f>_xlfn.XLOOKUP($D120,Tab_Def_Processes[Name(EN)],Tab_Def_Processes[Input_Flow_I_4],,0,)</f>
        <v>#N/A</v>
      </c>
      <c r="W120" s="10" t="e">
        <f>_xlfn.XLOOKUP($D120,Tab_Def_Processes[Name(EN)],Tab_Def_Processes[Flow_ID_I_4],,0,)</f>
        <v>#N/A</v>
      </c>
      <c r="X120" s="35"/>
      <c r="Y120" s="30" t="e">
        <f>_xlfn.XLOOKUP($D120,Tab_Def_Processes[Name(EN)],Tab_Def_Processes[Input_Flow_I_5],,0,)</f>
        <v>#N/A</v>
      </c>
      <c r="Z120" s="10" t="e">
        <f>_xlfn.XLOOKUP($D120,Tab_Def_Processes[Name(EN)],Tab_Def_Processes[Flow_ID_I_5],,0,)</f>
        <v>#N/A</v>
      </c>
      <c r="AA120" s="35"/>
      <c r="AB120" s="41">
        <f>Tab_Process_TCs2527[[#This Row],[Flow_TC_I_1_'[%']]]+Tab_Process_TCs2527[[#This Row],[Flow_TC_I_2_'[%']]]+Tab_Process_TCs2527[[#This Row],[Flow_TC_I_3_'[%']]]+Tab_Process_TCs2527[[#This Row],[Flow_TC_I_4_'[%']]]+Tab_Process_TCs2527[[#This Row],[Flow_TC_I_5_'[%']]]</f>
        <v>0</v>
      </c>
      <c r="AC120" s="17" t="e">
        <f>_xlfn.XLOOKUP($D120,#REF!,#REF!,,0,)</f>
        <v>#REF!</v>
      </c>
      <c r="AD120" s="10" t="e">
        <f>_xlfn.XLOOKUP($D120,#REF!,#REF!,,0,)</f>
        <v>#REF!</v>
      </c>
      <c r="AE120" s="44" t="str">
        <f>Tab_Process_TCs2527[[#This Row],[Flow_ID]]</f>
        <v>N.A.</v>
      </c>
      <c r="AF120" s="10" t="e">
        <f t="shared" si="24"/>
        <v>#REF!</v>
      </c>
      <c r="AG120" s="51"/>
      <c r="AH120" s="171" t="e">
        <f>_xlfn.XLOOKUP($D120,#REF!,#REF!,,0,)</f>
        <v>#REF!</v>
      </c>
      <c r="AI120" s="55" t="e">
        <f>_xlfn.XLOOKUP($D120,#REF!,#REF!,,0,)</f>
        <v>#REF!</v>
      </c>
      <c r="AJ120" s="44" t="str">
        <f>Tab_Process_TCs2527[[#This Row],[Flow_ID]]</f>
        <v>N.A.</v>
      </c>
      <c r="AK120" s="10" t="e">
        <f t="shared" si="25"/>
        <v>#REF!</v>
      </c>
      <c r="AL120" s="170"/>
      <c r="AM120" s="17" t="e">
        <f>_xlfn.XLOOKUP($D120,#REF!,#REF!,,0,)</f>
        <v>#REF!</v>
      </c>
      <c r="AN120" s="10" t="e">
        <f>_xlfn.XLOOKUP($D120,#REF!,#REF!,,0,)</f>
        <v>#REF!</v>
      </c>
      <c r="AO120" s="44" t="str">
        <f>Tab_Process_TCs2527[[#This Row],[Flow_ID]]</f>
        <v>N.A.</v>
      </c>
      <c r="AP120" s="10" t="e">
        <f t="shared" si="26"/>
        <v>#REF!</v>
      </c>
      <c r="AQ120" s="170"/>
      <c r="AR120" s="17" t="e">
        <f>_xlfn.XLOOKUP($D120,#REF!,#REF!,,0,)</f>
        <v>#REF!</v>
      </c>
      <c r="AS120" s="10" t="e">
        <f>_xlfn.XLOOKUP($D120,#REF!,#REF!,,0,)</f>
        <v>#REF!</v>
      </c>
      <c r="AT120" s="44" t="str">
        <f>Tab_Process_TCs2527[[#This Row],[Flow_ID]]</f>
        <v>N.A.</v>
      </c>
      <c r="AU120" s="44" t="e">
        <f t="shared" si="27"/>
        <v>#REF!</v>
      </c>
      <c r="AV120" s="170"/>
      <c r="AW120" s="17" t="e">
        <f>_xlfn.XLOOKUP($D120,#REF!,#REF!,,0,)</f>
        <v>#REF!</v>
      </c>
      <c r="AX120" s="10" t="e">
        <f>_xlfn.XLOOKUP($D120,#REF!,#REF!,,0,)</f>
        <v>#REF!</v>
      </c>
      <c r="AY120" s="44" t="str">
        <f>Tab_Process_TCs2527[[#This Row],[Flow_ID]]</f>
        <v>N.A.</v>
      </c>
      <c r="AZ120" s="44" t="e">
        <f t="shared" si="28"/>
        <v>#REF!</v>
      </c>
      <c r="BA120" s="170"/>
      <c r="BB120" s="10" t="e">
        <f>_xlfn.XLOOKUP($D120,#REF!,#REF!,,0,)</f>
        <v>#REF!</v>
      </c>
      <c r="BC120" s="10" t="e">
        <f>_xlfn.XLOOKUP($D120,#REF!,#REF!,,0,)</f>
        <v>#REF!</v>
      </c>
      <c r="BD120" s="44" t="str">
        <f>Tab_Process_TCs2527[[#This Row],[Flow_ID]]</f>
        <v>N.A.</v>
      </c>
      <c r="BE120" s="44" t="e">
        <f t="shared" si="29"/>
        <v>#REF!</v>
      </c>
      <c r="BF120" s="51"/>
      <c r="BG120" s="54">
        <f>Tab_Process_TCs2527[[#This Row],[TC O_6_'[%']]]+Tab_Process_TCs2527[[#This Row],[TC O_5_'[%']]]+Tab_Process_TCs2527[[#This Row],[TC_O_4_'[%']]]+Tab_Process_TCs2527[[#This Row],[TC_O_3_'[%']]]+Tab_Process_TCs2527[[#This Row],[TC_O_2_'[%']]]+Tab_Process_TCs2527[[#This Row],[TC_O_1_'[%']]]</f>
        <v>0</v>
      </c>
      <c r="BH120" s="12"/>
      <c r="BI120" s="12"/>
      <c r="BJ120" s="12"/>
      <c r="BK120" s="12"/>
      <c r="BL120" s="12"/>
    </row>
    <row r="121" spans="1:64" x14ac:dyDescent="0.25">
      <c r="A121" s="197" t="b">
        <v>0</v>
      </c>
      <c r="B121" s="10">
        <f t="shared" si="23"/>
        <v>120</v>
      </c>
      <c r="C121" s="49" t="e">
        <f>_xlfn.XLOOKUP($D121,Tab_Process_TCs[Name(EN)],Tab_Process_TCs[Process_ID],,0,)</f>
        <v>#N/A</v>
      </c>
      <c r="D121" s="192" t="s">
        <v>35</v>
      </c>
      <c r="E121" s="192" t="s">
        <v>35</v>
      </c>
      <c r="F121" s="49" t="e">
        <f>_xlfn.XLOOKUP($D121,Tab_Process_TCs[Name(EN)],Tab_Process_TCs[TC?],,0,)</f>
        <v>#N/A</v>
      </c>
      <c r="G121" s="49" t="e">
        <f>_xlfn.XLOOKUP($D121,Tab_Process_TCs[Name(EN)],Tab_Process_TCs[Dyn_TC?],,0,)</f>
        <v>#N/A</v>
      </c>
      <c r="H121" s="10" t="str">
        <f>_xlfn.XLOOKUP($E121,Tab_Def_Flows[Name(EN)],Tab_Def_Flows[Flow_ID],,0,1)</f>
        <v>N.A.</v>
      </c>
      <c r="I121" s="10" t="str">
        <f>IF(Tab_Process_TCs2527[[#This Row],[Name(EN)]]="N.A.","N.A.","TC"&amp;"_"&amp;RIGHT(H121,5))</f>
        <v>N.A.</v>
      </c>
      <c r="J121" s="12"/>
      <c r="K121" s="186"/>
      <c r="L121" s="10"/>
      <c r="M121" s="17" t="e">
        <f>_xlfn.XLOOKUP($D121,Tab_Def_Processes[Name(EN)],Tab_Def_Processes[Input_Flow_I_1],,0,)</f>
        <v>#N/A</v>
      </c>
      <c r="N121" s="10" t="e">
        <f>_xlfn.XLOOKUP($D121,Tab_Def_Processes[Name(EN)],Tab_Def_Processes[Flow_ID_I_1],,0,)</f>
        <v>#N/A</v>
      </c>
      <c r="O121" s="35"/>
      <c r="P121" s="30" t="e">
        <f>_xlfn.XLOOKUP($D121,Tab_Def_Processes[Name(EN)],Tab_Def_Processes[Input_Flow_I_2],,0,)</f>
        <v>#N/A</v>
      </c>
      <c r="Q121" s="10" t="e">
        <f>_xlfn.XLOOKUP($D121,Tab_Def_Processes[Name(EN)],Tab_Def_Processes[Flow_ID_I_2],,0,)</f>
        <v>#N/A</v>
      </c>
      <c r="R121" s="35"/>
      <c r="S121" s="30" t="e">
        <f>_xlfn.XLOOKUP($D121,Tab_Def_Processes[Name(EN)],Tab_Def_Processes[Input_Flow_I_3],,0,)</f>
        <v>#N/A</v>
      </c>
      <c r="T121" s="10" t="e">
        <f>_xlfn.XLOOKUP($D121,Tab_Def_Processes[Name(EN)],Tab_Def_Processes[Flow_ID_I_3],,0,)</f>
        <v>#N/A</v>
      </c>
      <c r="U121" s="35"/>
      <c r="V121" s="30" t="e">
        <f>_xlfn.XLOOKUP($D121,Tab_Def_Processes[Name(EN)],Tab_Def_Processes[Input_Flow_I_4],,0,)</f>
        <v>#N/A</v>
      </c>
      <c r="W121" s="10" t="e">
        <f>_xlfn.XLOOKUP($D121,Tab_Def_Processes[Name(EN)],Tab_Def_Processes[Flow_ID_I_4],,0,)</f>
        <v>#N/A</v>
      </c>
      <c r="X121" s="35"/>
      <c r="Y121" s="30" t="e">
        <f>_xlfn.XLOOKUP($D121,Tab_Def_Processes[Name(EN)],Tab_Def_Processes[Input_Flow_I_5],,0,)</f>
        <v>#N/A</v>
      </c>
      <c r="Z121" s="10" t="e">
        <f>_xlfn.XLOOKUP($D121,Tab_Def_Processes[Name(EN)],Tab_Def_Processes[Flow_ID_I_5],,0,)</f>
        <v>#N/A</v>
      </c>
      <c r="AA121" s="35"/>
      <c r="AB121" s="41">
        <f>Tab_Process_TCs2527[[#This Row],[Flow_TC_I_1_'[%']]]+Tab_Process_TCs2527[[#This Row],[Flow_TC_I_2_'[%']]]+Tab_Process_TCs2527[[#This Row],[Flow_TC_I_3_'[%']]]+Tab_Process_TCs2527[[#This Row],[Flow_TC_I_4_'[%']]]+Tab_Process_TCs2527[[#This Row],[Flow_TC_I_5_'[%']]]</f>
        <v>0</v>
      </c>
      <c r="AC121" s="17" t="e">
        <f>_xlfn.XLOOKUP($D121,#REF!,#REF!,,0,)</f>
        <v>#REF!</v>
      </c>
      <c r="AD121" s="10" t="e">
        <f>_xlfn.XLOOKUP($D121,#REF!,#REF!,,0,)</f>
        <v>#REF!</v>
      </c>
      <c r="AE121" s="44" t="str">
        <f>Tab_Process_TCs2527[[#This Row],[Flow_ID]]</f>
        <v>N.A.</v>
      </c>
      <c r="AF121" s="10" t="e">
        <f t="shared" si="24"/>
        <v>#REF!</v>
      </c>
      <c r="AG121" s="51"/>
      <c r="AH121" s="171" t="e">
        <f>_xlfn.XLOOKUP($D121,#REF!,#REF!,,0,)</f>
        <v>#REF!</v>
      </c>
      <c r="AI121" s="55" t="e">
        <f>_xlfn.XLOOKUP($D121,#REF!,#REF!,,0,)</f>
        <v>#REF!</v>
      </c>
      <c r="AJ121" s="44" t="str">
        <f>Tab_Process_TCs2527[[#This Row],[Flow_ID]]</f>
        <v>N.A.</v>
      </c>
      <c r="AK121" s="10" t="e">
        <f t="shared" si="25"/>
        <v>#REF!</v>
      </c>
      <c r="AL121" s="170"/>
      <c r="AM121" s="17" t="e">
        <f>_xlfn.XLOOKUP($D121,#REF!,#REF!,,0,)</f>
        <v>#REF!</v>
      </c>
      <c r="AN121" s="10" t="e">
        <f>_xlfn.XLOOKUP($D121,#REF!,#REF!,,0,)</f>
        <v>#REF!</v>
      </c>
      <c r="AO121" s="44" t="str">
        <f>Tab_Process_TCs2527[[#This Row],[Flow_ID]]</f>
        <v>N.A.</v>
      </c>
      <c r="AP121" s="10" t="e">
        <f t="shared" si="26"/>
        <v>#REF!</v>
      </c>
      <c r="AQ121" s="170"/>
      <c r="AR121" s="17" t="e">
        <f>_xlfn.XLOOKUP($D121,#REF!,#REF!,,0,)</f>
        <v>#REF!</v>
      </c>
      <c r="AS121" s="10" t="e">
        <f>_xlfn.XLOOKUP($D121,#REF!,#REF!,,0,)</f>
        <v>#REF!</v>
      </c>
      <c r="AT121" s="44" t="str">
        <f>Tab_Process_TCs2527[[#This Row],[Flow_ID]]</f>
        <v>N.A.</v>
      </c>
      <c r="AU121" s="44" t="e">
        <f t="shared" si="27"/>
        <v>#REF!</v>
      </c>
      <c r="AV121" s="170"/>
      <c r="AW121" s="17" t="e">
        <f>_xlfn.XLOOKUP($D121,#REF!,#REF!,,0,)</f>
        <v>#REF!</v>
      </c>
      <c r="AX121" s="10" t="e">
        <f>_xlfn.XLOOKUP($D121,#REF!,#REF!,,0,)</f>
        <v>#REF!</v>
      </c>
      <c r="AY121" s="44" t="str">
        <f>Tab_Process_TCs2527[[#This Row],[Flow_ID]]</f>
        <v>N.A.</v>
      </c>
      <c r="AZ121" s="44" t="e">
        <f t="shared" si="28"/>
        <v>#REF!</v>
      </c>
      <c r="BA121" s="170"/>
      <c r="BB121" s="10" t="e">
        <f>_xlfn.XLOOKUP($D121,#REF!,#REF!,,0,)</f>
        <v>#REF!</v>
      </c>
      <c r="BC121" s="10" t="e">
        <f>_xlfn.XLOOKUP($D121,#REF!,#REF!,,0,)</f>
        <v>#REF!</v>
      </c>
      <c r="BD121" s="44" t="str">
        <f>Tab_Process_TCs2527[[#This Row],[Flow_ID]]</f>
        <v>N.A.</v>
      </c>
      <c r="BE121" s="44" t="e">
        <f t="shared" si="29"/>
        <v>#REF!</v>
      </c>
      <c r="BF121" s="51"/>
      <c r="BG121" s="54">
        <f>Tab_Process_TCs2527[[#This Row],[TC O_6_'[%']]]+Tab_Process_TCs2527[[#This Row],[TC O_5_'[%']]]+Tab_Process_TCs2527[[#This Row],[TC_O_4_'[%']]]+Tab_Process_TCs2527[[#This Row],[TC_O_3_'[%']]]+Tab_Process_TCs2527[[#This Row],[TC_O_2_'[%']]]+Tab_Process_TCs2527[[#This Row],[TC_O_1_'[%']]]</f>
        <v>0</v>
      </c>
      <c r="BH121" s="12"/>
      <c r="BI121" s="12"/>
      <c r="BJ121" s="12"/>
      <c r="BK121" s="12"/>
      <c r="BL121" s="12"/>
    </row>
    <row r="122" spans="1:64" x14ac:dyDescent="0.25">
      <c r="A122" s="197" t="b">
        <v>0</v>
      </c>
      <c r="B122" s="10">
        <f t="shared" si="23"/>
        <v>121</v>
      </c>
      <c r="C122" s="49" t="e">
        <f>_xlfn.XLOOKUP($D122,Tab_Process_TCs[Name(EN)],Tab_Process_TCs[Process_ID],,0,)</f>
        <v>#N/A</v>
      </c>
      <c r="D122" s="192" t="s">
        <v>35</v>
      </c>
      <c r="E122" s="192" t="s">
        <v>35</v>
      </c>
      <c r="F122" s="49" t="e">
        <f>_xlfn.XLOOKUP($D122,Tab_Process_TCs[Name(EN)],Tab_Process_TCs[TC?],,0,)</f>
        <v>#N/A</v>
      </c>
      <c r="G122" s="49" t="e">
        <f>_xlfn.XLOOKUP($D122,Tab_Process_TCs[Name(EN)],Tab_Process_TCs[Dyn_TC?],,0,)</f>
        <v>#N/A</v>
      </c>
      <c r="H122" s="10" t="str">
        <f>_xlfn.XLOOKUP($E122,Tab_Def_Flows[Name(EN)],Tab_Def_Flows[Flow_ID],,0,1)</f>
        <v>N.A.</v>
      </c>
      <c r="I122" s="10" t="str">
        <f>IF(Tab_Process_TCs2527[[#This Row],[Name(EN)]]="N.A.","N.A.","TC"&amp;"_"&amp;RIGHT(H122,5))</f>
        <v>N.A.</v>
      </c>
      <c r="J122" s="12"/>
      <c r="K122" s="186"/>
      <c r="L122" s="10"/>
      <c r="M122" s="17" t="e">
        <f>_xlfn.XLOOKUP($D122,Tab_Def_Processes[Name(EN)],Tab_Def_Processes[Input_Flow_I_1],,0,)</f>
        <v>#N/A</v>
      </c>
      <c r="N122" s="10" t="e">
        <f>_xlfn.XLOOKUP($D122,Tab_Def_Processes[Name(EN)],Tab_Def_Processes[Flow_ID_I_1],,0,)</f>
        <v>#N/A</v>
      </c>
      <c r="O122" s="35"/>
      <c r="P122" s="30" t="e">
        <f>_xlfn.XLOOKUP($D122,Tab_Def_Processes[Name(EN)],Tab_Def_Processes[Input_Flow_I_2],,0,)</f>
        <v>#N/A</v>
      </c>
      <c r="Q122" s="10" t="e">
        <f>_xlfn.XLOOKUP($D122,Tab_Def_Processes[Name(EN)],Tab_Def_Processes[Flow_ID_I_2],,0,)</f>
        <v>#N/A</v>
      </c>
      <c r="R122" s="35"/>
      <c r="S122" s="30" t="e">
        <f>_xlfn.XLOOKUP($D122,Tab_Def_Processes[Name(EN)],Tab_Def_Processes[Input_Flow_I_3],,0,)</f>
        <v>#N/A</v>
      </c>
      <c r="T122" s="10" t="e">
        <f>_xlfn.XLOOKUP($D122,Tab_Def_Processes[Name(EN)],Tab_Def_Processes[Flow_ID_I_3],,0,)</f>
        <v>#N/A</v>
      </c>
      <c r="U122" s="35"/>
      <c r="V122" s="30" t="e">
        <f>_xlfn.XLOOKUP($D122,Tab_Def_Processes[Name(EN)],Tab_Def_Processes[Input_Flow_I_4],,0,)</f>
        <v>#N/A</v>
      </c>
      <c r="W122" s="10" t="e">
        <f>_xlfn.XLOOKUP($D122,Tab_Def_Processes[Name(EN)],Tab_Def_Processes[Flow_ID_I_4],,0,)</f>
        <v>#N/A</v>
      </c>
      <c r="X122" s="35"/>
      <c r="Y122" s="30" t="e">
        <f>_xlfn.XLOOKUP($D122,Tab_Def_Processes[Name(EN)],Tab_Def_Processes[Input_Flow_I_5],,0,)</f>
        <v>#N/A</v>
      </c>
      <c r="Z122" s="10" t="e">
        <f>_xlfn.XLOOKUP($D122,Tab_Def_Processes[Name(EN)],Tab_Def_Processes[Flow_ID_I_5],,0,)</f>
        <v>#N/A</v>
      </c>
      <c r="AA122" s="35"/>
      <c r="AB122" s="41">
        <f>Tab_Process_TCs2527[[#This Row],[Flow_TC_I_1_'[%']]]+Tab_Process_TCs2527[[#This Row],[Flow_TC_I_2_'[%']]]+Tab_Process_TCs2527[[#This Row],[Flow_TC_I_3_'[%']]]+Tab_Process_TCs2527[[#This Row],[Flow_TC_I_4_'[%']]]+Tab_Process_TCs2527[[#This Row],[Flow_TC_I_5_'[%']]]</f>
        <v>0</v>
      </c>
      <c r="AC122" s="17" t="e">
        <f>_xlfn.XLOOKUP($D122,#REF!,#REF!,,0,)</f>
        <v>#REF!</v>
      </c>
      <c r="AD122" s="10" t="e">
        <f>_xlfn.XLOOKUP($D122,#REF!,#REF!,,0,)</f>
        <v>#REF!</v>
      </c>
      <c r="AE122" s="44" t="str">
        <f>Tab_Process_TCs2527[[#This Row],[Flow_ID]]</f>
        <v>N.A.</v>
      </c>
      <c r="AF122" s="10" t="e">
        <f t="shared" si="24"/>
        <v>#REF!</v>
      </c>
      <c r="AG122" s="51"/>
      <c r="AH122" s="171" t="e">
        <f>_xlfn.XLOOKUP($D122,#REF!,#REF!,,0,)</f>
        <v>#REF!</v>
      </c>
      <c r="AI122" s="55" t="e">
        <f>_xlfn.XLOOKUP($D122,#REF!,#REF!,,0,)</f>
        <v>#REF!</v>
      </c>
      <c r="AJ122" s="44" t="str">
        <f>Tab_Process_TCs2527[[#This Row],[Flow_ID]]</f>
        <v>N.A.</v>
      </c>
      <c r="AK122" s="10" t="e">
        <f t="shared" si="25"/>
        <v>#REF!</v>
      </c>
      <c r="AL122" s="170"/>
      <c r="AM122" s="17" t="e">
        <f>_xlfn.XLOOKUP($D122,#REF!,#REF!,,0,)</f>
        <v>#REF!</v>
      </c>
      <c r="AN122" s="10" t="e">
        <f>_xlfn.XLOOKUP($D122,#REF!,#REF!,,0,)</f>
        <v>#REF!</v>
      </c>
      <c r="AO122" s="44" t="str">
        <f>Tab_Process_TCs2527[[#This Row],[Flow_ID]]</f>
        <v>N.A.</v>
      </c>
      <c r="AP122" s="10" t="e">
        <f t="shared" si="26"/>
        <v>#REF!</v>
      </c>
      <c r="AQ122" s="170"/>
      <c r="AR122" s="17" t="e">
        <f>_xlfn.XLOOKUP($D122,#REF!,#REF!,,0,)</f>
        <v>#REF!</v>
      </c>
      <c r="AS122" s="10" t="e">
        <f>_xlfn.XLOOKUP($D122,#REF!,#REF!,,0,)</f>
        <v>#REF!</v>
      </c>
      <c r="AT122" s="44" t="str">
        <f>Tab_Process_TCs2527[[#This Row],[Flow_ID]]</f>
        <v>N.A.</v>
      </c>
      <c r="AU122" s="44" t="e">
        <f t="shared" si="27"/>
        <v>#REF!</v>
      </c>
      <c r="AV122" s="170"/>
      <c r="AW122" s="17" t="e">
        <f>_xlfn.XLOOKUP($D122,#REF!,#REF!,,0,)</f>
        <v>#REF!</v>
      </c>
      <c r="AX122" s="10" t="e">
        <f>_xlfn.XLOOKUP($D122,#REF!,#REF!,,0,)</f>
        <v>#REF!</v>
      </c>
      <c r="AY122" s="44" t="str">
        <f>Tab_Process_TCs2527[[#This Row],[Flow_ID]]</f>
        <v>N.A.</v>
      </c>
      <c r="AZ122" s="44" t="e">
        <f t="shared" si="28"/>
        <v>#REF!</v>
      </c>
      <c r="BA122" s="170"/>
      <c r="BB122" s="10" t="e">
        <f>_xlfn.XLOOKUP($D122,#REF!,#REF!,,0,)</f>
        <v>#REF!</v>
      </c>
      <c r="BC122" s="10" t="e">
        <f>_xlfn.XLOOKUP($D122,#REF!,#REF!,,0,)</f>
        <v>#REF!</v>
      </c>
      <c r="BD122" s="44" t="str">
        <f>Tab_Process_TCs2527[[#This Row],[Flow_ID]]</f>
        <v>N.A.</v>
      </c>
      <c r="BE122" s="44" t="e">
        <f t="shared" si="29"/>
        <v>#REF!</v>
      </c>
      <c r="BF122" s="51"/>
      <c r="BG122" s="54">
        <f>Tab_Process_TCs2527[[#This Row],[TC O_6_'[%']]]+Tab_Process_TCs2527[[#This Row],[TC O_5_'[%']]]+Tab_Process_TCs2527[[#This Row],[TC_O_4_'[%']]]+Tab_Process_TCs2527[[#This Row],[TC_O_3_'[%']]]+Tab_Process_TCs2527[[#This Row],[TC_O_2_'[%']]]+Tab_Process_TCs2527[[#This Row],[TC_O_1_'[%']]]</f>
        <v>0</v>
      </c>
      <c r="BH122" s="12"/>
      <c r="BI122" s="12"/>
      <c r="BJ122" s="12"/>
      <c r="BK122" s="12"/>
      <c r="BL122" s="12"/>
    </row>
    <row r="123" spans="1:64" x14ac:dyDescent="0.25">
      <c r="A123" s="197" t="b">
        <v>0</v>
      </c>
      <c r="B123" s="10">
        <f t="shared" si="23"/>
        <v>122</v>
      </c>
      <c r="C123" s="49" t="e">
        <f>_xlfn.XLOOKUP($D123,Tab_Process_TCs[Name(EN)],Tab_Process_TCs[Process_ID],,0,)</f>
        <v>#N/A</v>
      </c>
      <c r="D123" s="192" t="s">
        <v>35</v>
      </c>
      <c r="E123" s="192" t="s">
        <v>35</v>
      </c>
      <c r="F123" s="49" t="e">
        <f>_xlfn.XLOOKUP($D123,Tab_Process_TCs[Name(EN)],Tab_Process_TCs[TC?],,0,)</f>
        <v>#N/A</v>
      </c>
      <c r="G123" s="49" t="e">
        <f>_xlfn.XLOOKUP($D123,Tab_Process_TCs[Name(EN)],Tab_Process_TCs[Dyn_TC?],,0,)</f>
        <v>#N/A</v>
      </c>
      <c r="H123" s="10" t="str">
        <f>_xlfn.XLOOKUP($E123,Tab_Def_Flows[Name(EN)],Tab_Def_Flows[Flow_ID],,0,1)</f>
        <v>N.A.</v>
      </c>
      <c r="I123" s="10" t="str">
        <f>IF(Tab_Process_TCs2527[[#This Row],[Name(EN)]]="N.A.","N.A.","TC"&amp;"_"&amp;RIGHT(H123,5))</f>
        <v>N.A.</v>
      </c>
      <c r="J123" s="12"/>
      <c r="K123" s="186"/>
      <c r="L123" s="10"/>
      <c r="M123" s="17" t="e">
        <f>_xlfn.XLOOKUP($D123,Tab_Def_Processes[Name(EN)],Tab_Def_Processes[Input_Flow_I_1],,0,)</f>
        <v>#N/A</v>
      </c>
      <c r="N123" s="10" t="e">
        <f>_xlfn.XLOOKUP($D123,Tab_Def_Processes[Name(EN)],Tab_Def_Processes[Flow_ID_I_1],,0,)</f>
        <v>#N/A</v>
      </c>
      <c r="O123" s="35"/>
      <c r="P123" s="30" t="e">
        <f>_xlfn.XLOOKUP($D123,Tab_Def_Processes[Name(EN)],Tab_Def_Processes[Input_Flow_I_2],,0,)</f>
        <v>#N/A</v>
      </c>
      <c r="Q123" s="10" t="e">
        <f>_xlfn.XLOOKUP($D123,Tab_Def_Processes[Name(EN)],Tab_Def_Processes[Flow_ID_I_2],,0,)</f>
        <v>#N/A</v>
      </c>
      <c r="R123" s="35"/>
      <c r="S123" s="30" t="e">
        <f>_xlfn.XLOOKUP($D123,Tab_Def_Processes[Name(EN)],Tab_Def_Processes[Input_Flow_I_3],,0,)</f>
        <v>#N/A</v>
      </c>
      <c r="T123" s="10" t="e">
        <f>_xlfn.XLOOKUP($D123,Tab_Def_Processes[Name(EN)],Tab_Def_Processes[Flow_ID_I_3],,0,)</f>
        <v>#N/A</v>
      </c>
      <c r="U123" s="35"/>
      <c r="V123" s="30" t="e">
        <f>_xlfn.XLOOKUP($D123,Tab_Def_Processes[Name(EN)],Tab_Def_Processes[Input_Flow_I_4],,0,)</f>
        <v>#N/A</v>
      </c>
      <c r="W123" s="10" t="e">
        <f>_xlfn.XLOOKUP($D123,Tab_Def_Processes[Name(EN)],Tab_Def_Processes[Flow_ID_I_4],,0,)</f>
        <v>#N/A</v>
      </c>
      <c r="X123" s="35"/>
      <c r="Y123" s="30" t="e">
        <f>_xlfn.XLOOKUP($D123,Tab_Def_Processes[Name(EN)],Tab_Def_Processes[Input_Flow_I_5],,0,)</f>
        <v>#N/A</v>
      </c>
      <c r="Z123" s="10" t="e">
        <f>_xlfn.XLOOKUP($D123,Tab_Def_Processes[Name(EN)],Tab_Def_Processes[Flow_ID_I_5],,0,)</f>
        <v>#N/A</v>
      </c>
      <c r="AA123" s="35"/>
      <c r="AB123" s="41">
        <f>Tab_Process_TCs2527[[#This Row],[Flow_TC_I_1_'[%']]]+Tab_Process_TCs2527[[#This Row],[Flow_TC_I_2_'[%']]]+Tab_Process_TCs2527[[#This Row],[Flow_TC_I_3_'[%']]]+Tab_Process_TCs2527[[#This Row],[Flow_TC_I_4_'[%']]]+Tab_Process_TCs2527[[#This Row],[Flow_TC_I_5_'[%']]]</f>
        <v>0</v>
      </c>
      <c r="AC123" s="17" t="e">
        <f>_xlfn.XLOOKUP($D123,#REF!,#REF!,,0,)</f>
        <v>#REF!</v>
      </c>
      <c r="AD123" s="10" t="e">
        <f>_xlfn.XLOOKUP($D123,#REF!,#REF!,,0,)</f>
        <v>#REF!</v>
      </c>
      <c r="AE123" s="44" t="str">
        <f>Tab_Process_TCs2527[[#This Row],[Flow_ID]]</f>
        <v>N.A.</v>
      </c>
      <c r="AF123" s="10" t="e">
        <f t="shared" si="24"/>
        <v>#REF!</v>
      </c>
      <c r="AG123" s="51"/>
      <c r="AH123" s="171" t="e">
        <f>_xlfn.XLOOKUP($D123,#REF!,#REF!,,0,)</f>
        <v>#REF!</v>
      </c>
      <c r="AI123" s="55" t="e">
        <f>_xlfn.XLOOKUP($D123,#REF!,#REF!,,0,)</f>
        <v>#REF!</v>
      </c>
      <c r="AJ123" s="44" t="str">
        <f>Tab_Process_TCs2527[[#This Row],[Flow_ID]]</f>
        <v>N.A.</v>
      </c>
      <c r="AK123" s="10" t="e">
        <f t="shared" si="25"/>
        <v>#REF!</v>
      </c>
      <c r="AL123" s="170"/>
      <c r="AM123" s="17" t="e">
        <f>_xlfn.XLOOKUP($D123,#REF!,#REF!,,0,)</f>
        <v>#REF!</v>
      </c>
      <c r="AN123" s="10" t="e">
        <f>_xlfn.XLOOKUP($D123,#REF!,#REF!,,0,)</f>
        <v>#REF!</v>
      </c>
      <c r="AO123" s="44" t="str">
        <f>Tab_Process_TCs2527[[#This Row],[Flow_ID]]</f>
        <v>N.A.</v>
      </c>
      <c r="AP123" s="10" t="e">
        <f t="shared" si="26"/>
        <v>#REF!</v>
      </c>
      <c r="AQ123" s="170"/>
      <c r="AR123" s="17" t="e">
        <f>_xlfn.XLOOKUP($D123,#REF!,#REF!,,0,)</f>
        <v>#REF!</v>
      </c>
      <c r="AS123" s="10" t="e">
        <f>_xlfn.XLOOKUP($D123,#REF!,#REF!,,0,)</f>
        <v>#REF!</v>
      </c>
      <c r="AT123" s="44" t="str">
        <f>Tab_Process_TCs2527[[#This Row],[Flow_ID]]</f>
        <v>N.A.</v>
      </c>
      <c r="AU123" s="44" t="e">
        <f t="shared" si="27"/>
        <v>#REF!</v>
      </c>
      <c r="AV123" s="170"/>
      <c r="AW123" s="17" t="e">
        <f>_xlfn.XLOOKUP($D123,#REF!,#REF!,,0,)</f>
        <v>#REF!</v>
      </c>
      <c r="AX123" s="10" t="e">
        <f>_xlfn.XLOOKUP($D123,#REF!,#REF!,,0,)</f>
        <v>#REF!</v>
      </c>
      <c r="AY123" s="44" t="str">
        <f>Tab_Process_TCs2527[[#This Row],[Flow_ID]]</f>
        <v>N.A.</v>
      </c>
      <c r="AZ123" s="44" t="e">
        <f t="shared" si="28"/>
        <v>#REF!</v>
      </c>
      <c r="BA123" s="170"/>
      <c r="BB123" s="10" t="e">
        <f>_xlfn.XLOOKUP($D123,#REF!,#REF!,,0,)</f>
        <v>#REF!</v>
      </c>
      <c r="BC123" s="10" t="e">
        <f>_xlfn.XLOOKUP($D123,#REF!,#REF!,,0,)</f>
        <v>#REF!</v>
      </c>
      <c r="BD123" s="44" t="str">
        <f>Tab_Process_TCs2527[[#This Row],[Flow_ID]]</f>
        <v>N.A.</v>
      </c>
      <c r="BE123" s="44" t="e">
        <f t="shared" si="29"/>
        <v>#REF!</v>
      </c>
      <c r="BF123" s="51"/>
      <c r="BG123" s="54">
        <f>Tab_Process_TCs2527[[#This Row],[TC O_6_'[%']]]+Tab_Process_TCs2527[[#This Row],[TC O_5_'[%']]]+Tab_Process_TCs2527[[#This Row],[TC_O_4_'[%']]]+Tab_Process_TCs2527[[#This Row],[TC_O_3_'[%']]]+Tab_Process_TCs2527[[#This Row],[TC_O_2_'[%']]]+Tab_Process_TCs2527[[#This Row],[TC_O_1_'[%']]]</f>
        <v>0</v>
      </c>
      <c r="BH123" s="12"/>
      <c r="BI123" s="12"/>
      <c r="BJ123" s="12"/>
      <c r="BK123" s="12"/>
      <c r="BL123" s="12"/>
    </row>
    <row r="124" spans="1:64" x14ac:dyDescent="0.25">
      <c r="A124" s="197" t="b">
        <v>0</v>
      </c>
      <c r="B124" s="10">
        <f t="shared" si="23"/>
        <v>123</v>
      </c>
      <c r="C124" s="49" t="e">
        <f>_xlfn.XLOOKUP($D124,Tab_Process_TCs[Name(EN)],Tab_Process_TCs[Process_ID],,0,)</f>
        <v>#N/A</v>
      </c>
      <c r="D124" s="192" t="s">
        <v>35</v>
      </c>
      <c r="E124" s="192" t="s">
        <v>35</v>
      </c>
      <c r="F124" s="49" t="e">
        <f>_xlfn.XLOOKUP($D124,Tab_Process_TCs[Name(EN)],Tab_Process_TCs[TC?],,0,)</f>
        <v>#N/A</v>
      </c>
      <c r="G124" s="49" t="e">
        <f>_xlfn.XLOOKUP($D124,Tab_Process_TCs[Name(EN)],Tab_Process_TCs[Dyn_TC?],,0,)</f>
        <v>#N/A</v>
      </c>
      <c r="H124" s="10" t="str">
        <f>_xlfn.XLOOKUP($E124,Tab_Def_Flows[Name(EN)],Tab_Def_Flows[Flow_ID],,0,1)</f>
        <v>N.A.</v>
      </c>
      <c r="I124" s="10" t="str">
        <f>IF(Tab_Process_TCs2527[[#This Row],[Name(EN)]]="N.A.","N.A.","TC"&amp;"_"&amp;RIGHT(H124,5))</f>
        <v>N.A.</v>
      </c>
      <c r="J124" s="12"/>
      <c r="K124" s="186"/>
      <c r="L124" s="10"/>
      <c r="M124" s="17" t="e">
        <f>_xlfn.XLOOKUP($D124,Tab_Def_Processes[Name(EN)],Tab_Def_Processes[Input_Flow_I_1],,0,)</f>
        <v>#N/A</v>
      </c>
      <c r="N124" s="10" t="e">
        <f>_xlfn.XLOOKUP($D124,Tab_Def_Processes[Name(EN)],Tab_Def_Processes[Flow_ID_I_1],,0,)</f>
        <v>#N/A</v>
      </c>
      <c r="O124" s="35"/>
      <c r="P124" s="30" t="e">
        <f>_xlfn.XLOOKUP($D124,Tab_Def_Processes[Name(EN)],Tab_Def_Processes[Input_Flow_I_2],,0,)</f>
        <v>#N/A</v>
      </c>
      <c r="Q124" s="10" t="e">
        <f>_xlfn.XLOOKUP($D124,Tab_Def_Processes[Name(EN)],Tab_Def_Processes[Flow_ID_I_2],,0,)</f>
        <v>#N/A</v>
      </c>
      <c r="R124" s="35"/>
      <c r="S124" s="30" t="e">
        <f>_xlfn.XLOOKUP($D124,Tab_Def_Processes[Name(EN)],Tab_Def_Processes[Input_Flow_I_3],,0,)</f>
        <v>#N/A</v>
      </c>
      <c r="T124" s="10" t="e">
        <f>_xlfn.XLOOKUP($D124,Tab_Def_Processes[Name(EN)],Tab_Def_Processes[Flow_ID_I_3],,0,)</f>
        <v>#N/A</v>
      </c>
      <c r="U124" s="35"/>
      <c r="V124" s="30" t="e">
        <f>_xlfn.XLOOKUP($D124,Tab_Def_Processes[Name(EN)],Tab_Def_Processes[Input_Flow_I_4],,0,)</f>
        <v>#N/A</v>
      </c>
      <c r="W124" s="10" t="e">
        <f>_xlfn.XLOOKUP($D124,Tab_Def_Processes[Name(EN)],Tab_Def_Processes[Flow_ID_I_4],,0,)</f>
        <v>#N/A</v>
      </c>
      <c r="X124" s="35"/>
      <c r="Y124" s="30" t="e">
        <f>_xlfn.XLOOKUP($D124,Tab_Def_Processes[Name(EN)],Tab_Def_Processes[Input_Flow_I_5],,0,)</f>
        <v>#N/A</v>
      </c>
      <c r="Z124" s="10" t="e">
        <f>_xlfn.XLOOKUP($D124,Tab_Def_Processes[Name(EN)],Tab_Def_Processes[Flow_ID_I_5],,0,)</f>
        <v>#N/A</v>
      </c>
      <c r="AA124" s="35"/>
      <c r="AB124" s="41">
        <f>Tab_Process_TCs2527[[#This Row],[Flow_TC_I_1_'[%']]]+Tab_Process_TCs2527[[#This Row],[Flow_TC_I_2_'[%']]]+Tab_Process_TCs2527[[#This Row],[Flow_TC_I_3_'[%']]]+Tab_Process_TCs2527[[#This Row],[Flow_TC_I_4_'[%']]]+Tab_Process_TCs2527[[#This Row],[Flow_TC_I_5_'[%']]]</f>
        <v>0</v>
      </c>
      <c r="AC124" s="17" t="e">
        <f>_xlfn.XLOOKUP($D124,#REF!,#REF!,,0,)</f>
        <v>#REF!</v>
      </c>
      <c r="AD124" s="10" t="e">
        <f>_xlfn.XLOOKUP($D124,#REF!,#REF!,,0,)</f>
        <v>#REF!</v>
      </c>
      <c r="AE124" s="44" t="str">
        <f>Tab_Process_TCs2527[[#This Row],[Flow_ID]]</f>
        <v>N.A.</v>
      </c>
      <c r="AF124" s="10" t="e">
        <f t="shared" si="24"/>
        <v>#REF!</v>
      </c>
      <c r="AG124" s="51"/>
      <c r="AH124" s="171" t="e">
        <f>_xlfn.XLOOKUP($D124,#REF!,#REF!,,0,)</f>
        <v>#REF!</v>
      </c>
      <c r="AI124" s="55" t="e">
        <f>_xlfn.XLOOKUP($D124,#REF!,#REF!,,0,)</f>
        <v>#REF!</v>
      </c>
      <c r="AJ124" s="44" t="str">
        <f>Tab_Process_TCs2527[[#This Row],[Flow_ID]]</f>
        <v>N.A.</v>
      </c>
      <c r="AK124" s="10" t="e">
        <f t="shared" si="25"/>
        <v>#REF!</v>
      </c>
      <c r="AL124" s="170"/>
      <c r="AM124" s="17" t="e">
        <f>_xlfn.XLOOKUP($D124,#REF!,#REF!,,0,)</f>
        <v>#REF!</v>
      </c>
      <c r="AN124" s="10" t="e">
        <f>_xlfn.XLOOKUP($D124,#REF!,#REF!,,0,)</f>
        <v>#REF!</v>
      </c>
      <c r="AO124" s="44" t="str">
        <f>Tab_Process_TCs2527[[#This Row],[Flow_ID]]</f>
        <v>N.A.</v>
      </c>
      <c r="AP124" s="10" t="e">
        <f t="shared" si="26"/>
        <v>#REF!</v>
      </c>
      <c r="AQ124" s="170"/>
      <c r="AR124" s="17" t="e">
        <f>_xlfn.XLOOKUP($D124,#REF!,#REF!,,0,)</f>
        <v>#REF!</v>
      </c>
      <c r="AS124" s="10" t="e">
        <f>_xlfn.XLOOKUP($D124,#REF!,#REF!,,0,)</f>
        <v>#REF!</v>
      </c>
      <c r="AT124" s="44" t="str">
        <f>Tab_Process_TCs2527[[#This Row],[Flow_ID]]</f>
        <v>N.A.</v>
      </c>
      <c r="AU124" s="44" t="e">
        <f t="shared" si="27"/>
        <v>#REF!</v>
      </c>
      <c r="AV124" s="170"/>
      <c r="AW124" s="17" t="e">
        <f>_xlfn.XLOOKUP($D124,#REF!,#REF!,,0,)</f>
        <v>#REF!</v>
      </c>
      <c r="AX124" s="10" t="e">
        <f>_xlfn.XLOOKUP($D124,#REF!,#REF!,,0,)</f>
        <v>#REF!</v>
      </c>
      <c r="AY124" s="44" t="str">
        <f>Tab_Process_TCs2527[[#This Row],[Flow_ID]]</f>
        <v>N.A.</v>
      </c>
      <c r="AZ124" s="44" t="e">
        <f t="shared" si="28"/>
        <v>#REF!</v>
      </c>
      <c r="BA124" s="170"/>
      <c r="BB124" s="10" t="e">
        <f>_xlfn.XLOOKUP($D124,#REF!,#REF!,,0,)</f>
        <v>#REF!</v>
      </c>
      <c r="BC124" s="10" t="e">
        <f>_xlfn.XLOOKUP($D124,#REF!,#REF!,,0,)</f>
        <v>#REF!</v>
      </c>
      <c r="BD124" s="44" t="str">
        <f>Tab_Process_TCs2527[[#This Row],[Flow_ID]]</f>
        <v>N.A.</v>
      </c>
      <c r="BE124" s="44" t="e">
        <f t="shared" si="29"/>
        <v>#REF!</v>
      </c>
      <c r="BF124" s="51"/>
      <c r="BG124" s="54">
        <f>Tab_Process_TCs2527[[#This Row],[TC O_6_'[%']]]+Tab_Process_TCs2527[[#This Row],[TC O_5_'[%']]]+Tab_Process_TCs2527[[#This Row],[TC_O_4_'[%']]]+Tab_Process_TCs2527[[#This Row],[TC_O_3_'[%']]]+Tab_Process_TCs2527[[#This Row],[TC_O_2_'[%']]]+Tab_Process_TCs2527[[#This Row],[TC_O_1_'[%']]]</f>
        <v>0</v>
      </c>
      <c r="BH124" s="12"/>
      <c r="BI124" s="12"/>
      <c r="BJ124" s="12"/>
      <c r="BK124" s="12"/>
      <c r="BL124" s="12"/>
    </row>
    <row r="125" spans="1:64" x14ac:dyDescent="0.25">
      <c r="A125" s="197" t="b">
        <v>0</v>
      </c>
      <c r="B125" s="10">
        <f t="shared" si="23"/>
        <v>124</v>
      </c>
      <c r="C125" s="49" t="e">
        <f>_xlfn.XLOOKUP($D125,Tab_Process_TCs[Name(EN)],Tab_Process_TCs[Process_ID],,0,)</f>
        <v>#N/A</v>
      </c>
      <c r="D125" s="192" t="s">
        <v>35</v>
      </c>
      <c r="E125" s="192" t="s">
        <v>35</v>
      </c>
      <c r="F125" s="49" t="e">
        <f>_xlfn.XLOOKUP($D125,Tab_Process_TCs[Name(EN)],Tab_Process_TCs[TC?],,0,)</f>
        <v>#N/A</v>
      </c>
      <c r="G125" s="49" t="e">
        <f>_xlfn.XLOOKUP($D125,Tab_Process_TCs[Name(EN)],Tab_Process_TCs[Dyn_TC?],,0,)</f>
        <v>#N/A</v>
      </c>
      <c r="H125" s="10" t="str">
        <f>_xlfn.XLOOKUP($E125,Tab_Def_Flows[Name(EN)],Tab_Def_Flows[Flow_ID],,0,1)</f>
        <v>N.A.</v>
      </c>
      <c r="I125" s="10" t="str">
        <f>IF(Tab_Process_TCs2527[[#This Row],[Name(EN)]]="N.A.","N.A.","TC"&amp;"_"&amp;RIGHT(H125,5))</f>
        <v>N.A.</v>
      </c>
      <c r="J125" s="12"/>
      <c r="K125" s="186"/>
      <c r="L125" s="10"/>
      <c r="M125" s="17" t="e">
        <f>_xlfn.XLOOKUP($D125,Tab_Def_Processes[Name(EN)],Tab_Def_Processes[Input_Flow_I_1],,0,)</f>
        <v>#N/A</v>
      </c>
      <c r="N125" s="10" t="e">
        <f>_xlfn.XLOOKUP($D125,Tab_Def_Processes[Name(EN)],Tab_Def_Processes[Flow_ID_I_1],,0,)</f>
        <v>#N/A</v>
      </c>
      <c r="O125" s="35"/>
      <c r="P125" s="30" t="e">
        <f>_xlfn.XLOOKUP($D125,Tab_Def_Processes[Name(EN)],Tab_Def_Processes[Input_Flow_I_2],,0,)</f>
        <v>#N/A</v>
      </c>
      <c r="Q125" s="10" t="e">
        <f>_xlfn.XLOOKUP($D125,Tab_Def_Processes[Name(EN)],Tab_Def_Processes[Flow_ID_I_2],,0,)</f>
        <v>#N/A</v>
      </c>
      <c r="R125" s="35"/>
      <c r="S125" s="30" t="e">
        <f>_xlfn.XLOOKUP($D125,Tab_Def_Processes[Name(EN)],Tab_Def_Processes[Input_Flow_I_3],,0,)</f>
        <v>#N/A</v>
      </c>
      <c r="T125" s="10" t="e">
        <f>_xlfn.XLOOKUP($D125,Tab_Def_Processes[Name(EN)],Tab_Def_Processes[Flow_ID_I_3],,0,)</f>
        <v>#N/A</v>
      </c>
      <c r="U125" s="35"/>
      <c r="V125" s="30" t="e">
        <f>_xlfn.XLOOKUP($D125,Tab_Def_Processes[Name(EN)],Tab_Def_Processes[Input_Flow_I_4],,0,)</f>
        <v>#N/A</v>
      </c>
      <c r="W125" s="10" t="e">
        <f>_xlfn.XLOOKUP($D125,Tab_Def_Processes[Name(EN)],Tab_Def_Processes[Flow_ID_I_4],,0,)</f>
        <v>#N/A</v>
      </c>
      <c r="X125" s="35"/>
      <c r="Y125" s="30" t="e">
        <f>_xlfn.XLOOKUP($D125,Tab_Def_Processes[Name(EN)],Tab_Def_Processes[Input_Flow_I_5],,0,)</f>
        <v>#N/A</v>
      </c>
      <c r="Z125" s="10" t="e">
        <f>_xlfn.XLOOKUP($D125,Tab_Def_Processes[Name(EN)],Tab_Def_Processes[Flow_ID_I_5],,0,)</f>
        <v>#N/A</v>
      </c>
      <c r="AA125" s="35"/>
      <c r="AB125" s="41">
        <f>Tab_Process_TCs2527[[#This Row],[Flow_TC_I_1_'[%']]]+Tab_Process_TCs2527[[#This Row],[Flow_TC_I_2_'[%']]]+Tab_Process_TCs2527[[#This Row],[Flow_TC_I_3_'[%']]]+Tab_Process_TCs2527[[#This Row],[Flow_TC_I_4_'[%']]]+Tab_Process_TCs2527[[#This Row],[Flow_TC_I_5_'[%']]]</f>
        <v>0</v>
      </c>
      <c r="AC125" s="17" t="e">
        <f>_xlfn.XLOOKUP($D125,#REF!,#REF!,,0,)</f>
        <v>#REF!</v>
      </c>
      <c r="AD125" s="10" t="e">
        <f>_xlfn.XLOOKUP($D125,#REF!,#REF!,,0,)</f>
        <v>#REF!</v>
      </c>
      <c r="AE125" s="44" t="str">
        <f>Tab_Process_TCs2527[[#This Row],[Flow_ID]]</f>
        <v>N.A.</v>
      </c>
      <c r="AF125" s="10" t="e">
        <f t="shared" si="24"/>
        <v>#REF!</v>
      </c>
      <c r="AG125" s="51"/>
      <c r="AH125" s="171" t="e">
        <f>_xlfn.XLOOKUP($D125,#REF!,#REF!,,0,)</f>
        <v>#REF!</v>
      </c>
      <c r="AI125" s="55" t="e">
        <f>_xlfn.XLOOKUP($D125,#REF!,#REF!,,0,)</f>
        <v>#REF!</v>
      </c>
      <c r="AJ125" s="44" t="str">
        <f>Tab_Process_TCs2527[[#This Row],[Flow_ID]]</f>
        <v>N.A.</v>
      </c>
      <c r="AK125" s="10" t="e">
        <f t="shared" si="25"/>
        <v>#REF!</v>
      </c>
      <c r="AL125" s="170"/>
      <c r="AM125" s="17" t="e">
        <f>_xlfn.XLOOKUP($D125,#REF!,#REF!,,0,)</f>
        <v>#REF!</v>
      </c>
      <c r="AN125" s="10" t="e">
        <f>_xlfn.XLOOKUP($D125,#REF!,#REF!,,0,)</f>
        <v>#REF!</v>
      </c>
      <c r="AO125" s="44" t="str">
        <f>Tab_Process_TCs2527[[#This Row],[Flow_ID]]</f>
        <v>N.A.</v>
      </c>
      <c r="AP125" s="10" t="e">
        <f t="shared" si="26"/>
        <v>#REF!</v>
      </c>
      <c r="AQ125" s="170"/>
      <c r="AR125" s="17" t="e">
        <f>_xlfn.XLOOKUP($D125,#REF!,#REF!,,0,)</f>
        <v>#REF!</v>
      </c>
      <c r="AS125" s="10" t="e">
        <f>_xlfn.XLOOKUP($D125,#REF!,#REF!,,0,)</f>
        <v>#REF!</v>
      </c>
      <c r="AT125" s="44" t="str">
        <f>Tab_Process_TCs2527[[#This Row],[Flow_ID]]</f>
        <v>N.A.</v>
      </c>
      <c r="AU125" s="44" t="e">
        <f t="shared" si="27"/>
        <v>#REF!</v>
      </c>
      <c r="AV125" s="170"/>
      <c r="AW125" s="17" t="e">
        <f>_xlfn.XLOOKUP($D125,#REF!,#REF!,,0,)</f>
        <v>#REF!</v>
      </c>
      <c r="AX125" s="10" t="e">
        <f>_xlfn.XLOOKUP($D125,#REF!,#REF!,,0,)</f>
        <v>#REF!</v>
      </c>
      <c r="AY125" s="44" t="str">
        <f>Tab_Process_TCs2527[[#This Row],[Flow_ID]]</f>
        <v>N.A.</v>
      </c>
      <c r="AZ125" s="44" t="e">
        <f t="shared" si="28"/>
        <v>#REF!</v>
      </c>
      <c r="BA125" s="170"/>
      <c r="BB125" s="10" t="e">
        <f>_xlfn.XLOOKUP($D125,#REF!,#REF!,,0,)</f>
        <v>#REF!</v>
      </c>
      <c r="BC125" s="10" t="e">
        <f>_xlfn.XLOOKUP($D125,#REF!,#REF!,,0,)</f>
        <v>#REF!</v>
      </c>
      <c r="BD125" s="44" t="str">
        <f>Tab_Process_TCs2527[[#This Row],[Flow_ID]]</f>
        <v>N.A.</v>
      </c>
      <c r="BE125" s="44" t="e">
        <f t="shared" si="29"/>
        <v>#REF!</v>
      </c>
      <c r="BF125" s="51"/>
      <c r="BG125" s="54">
        <f>Tab_Process_TCs2527[[#This Row],[TC O_6_'[%']]]+Tab_Process_TCs2527[[#This Row],[TC O_5_'[%']]]+Tab_Process_TCs2527[[#This Row],[TC_O_4_'[%']]]+Tab_Process_TCs2527[[#This Row],[TC_O_3_'[%']]]+Tab_Process_TCs2527[[#This Row],[TC_O_2_'[%']]]+Tab_Process_TCs2527[[#This Row],[TC_O_1_'[%']]]</f>
        <v>0</v>
      </c>
      <c r="BH125" s="12"/>
      <c r="BI125" s="12"/>
      <c r="BJ125" s="12"/>
      <c r="BK125" s="12"/>
      <c r="BL125" s="12"/>
    </row>
    <row r="126" spans="1:64" x14ac:dyDescent="0.25">
      <c r="A126" s="197" t="b">
        <v>0</v>
      </c>
      <c r="B126" s="10">
        <f t="shared" si="23"/>
        <v>125</v>
      </c>
      <c r="C126" s="49" t="e">
        <f>_xlfn.XLOOKUP($D126,Tab_Process_TCs[Name(EN)],Tab_Process_TCs[Process_ID],,0,)</f>
        <v>#N/A</v>
      </c>
      <c r="D126" s="192" t="s">
        <v>35</v>
      </c>
      <c r="E126" s="192" t="s">
        <v>35</v>
      </c>
      <c r="F126" s="49" t="e">
        <f>_xlfn.XLOOKUP($D126,Tab_Process_TCs[Name(EN)],Tab_Process_TCs[TC?],,0,)</f>
        <v>#N/A</v>
      </c>
      <c r="G126" s="49" t="e">
        <f>_xlfn.XLOOKUP($D126,Tab_Process_TCs[Name(EN)],Tab_Process_TCs[Dyn_TC?],,0,)</f>
        <v>#N/A</v>
      </c>
      <c r="H126" s="10" t="str">
        <f>_xlfn.XLOOKUP($E126,Tab_Def_Flows[Name(EN)],Tab_Def_Flows[Flow_ID],,0,1)</f>
        <v>N.A.</v>
      </c>
      <c r="I126" s="10" t="str">
        <f>IF(Tab_Process_TCs2527[[#This Row],[Name(EN)]]="N.A.","N.A.","TC"&amp;"_"&amp;RIGHT(H126,5))</f>
        <v>N.A.</v>
      </c>
      <c r="J126" s="12"/>
      <c r="K126" s="186"/>
      <c r="L126" s="10"/>
      <c r="M126" s="17" t="e">
        <f>_xlfn.XLOOKUP($D126,Tab_Def_Processes[Name(EN)],Tab_Def_Processes[Input_Flow_I_1],,0,)</f>
        <v>#N/A</v>
      </c>
      <c r="N126" s="10" t="e">
        <f>_xlfn.XLOOKUP($D126,Tab_Def_Processes[Name(EN)],Tab_Def_Processes[Flow_ID_I_1],,0,)</f>
        <v>#N/A</v>
      </c>
      <c r="O126" s="35"/>
      <c r="P126" s="30" t="e">
        <f>_xlfn.XLOOKUP($D126,Tab_Def_Processes[Name(EN)],Tab_Def_Processes[Input_Flow_I_2],,0,)</f>
        <v>#N/A</v>
      </c>
      <c r="Q126" s="10" t="e">
        <f>_xlfn.XLOOKUP($D126,Tab_Def_Processes[Name(EN)],Tab_Def_Processes[Flow_ID_I_2],,0,)</f>
        <v>#N/A</v>
      </c>
      <c r="R126" s="35"/>
      <c r="S126" s="30" t="e">
        <f>_xlfn.XLOOKUP($D126,Tab_Def_Processes[Name(EN)],Tab_Def_Processes[Input_Flow_I_3],,0,)</f>
        <v>#N/A</v>
      </c>
      <c r="T126" s="10" t="e">
        <f>_xlfn.XLOOKUP($D126,Tab_Def_Processes[Name(EN)],Tab_Def_Processes[Flow_ID_I_3],,0,)</f>
        <v>#N/A</v>
      </c>
      <c r="U126" s="35"/>
      <c r="V126" s="30" t="e">
        <f>_xlfn.XLOOKUP($D126,Tab_Def_Processes[Name(EN)],Tab_Def_Processes[Input_Flow_I_4],,0,)</f>
        <v>#N/A</v>
      </c>
      <c r="W126" s="10" t="e">
        <f>_xlfn.XLOOKUP($D126,Tab_Def_Processes[Name(EN)],Tab_Def_Processes[Flow_ID_I_4],,0,)</f>
        <v>#N/A</v>
      </c>
      <c r="X126" s="35"/>
      <c r="Y126" s="30" t="e">
        <f>_xlfn.XLOOKUP($D126,Tab_Def_Processes[Name(EN)],Tab_Def_Processes[Input_Flow_I_5],,0,)</f>
        <v>#N/A</v>
      </c>
      <c r="Z126" s="10" t="e">
        <f>_xlfn.XLOOKUP($D126,Tab_Def_Processes[Name(EN)],Tab_Def_Processes[Flow_ID_I_5],,0,)</f>
        <v>#N/A</v>
      </c>
      <c r="AA126" s="35"/>
      <c r="AB126" s="41">
        <f>Tab_Process_TCs2527[[#This Row],[Flow_TC_I_1_'[%']]]+Tab_Process_TCs2527[[#This Row],[Flow_TC_I_2_'[%']]]+Tab_Process_TCs2527[[#This Row],[Flow_TC_I_3_'[%']]]+Tab_Process_TCs2527[[#This Row],[Flow_TC_I_4_'[%']]]+Tab_Process_TCs2527[[#This Row],[Flow_TC_I_5_'[%']]]</f>
        <v>0</v>
      </c>
      <c r="AC126" s="17" t="e">
        <f>_xlfn.XLOOKUP($D126,#REF!,#REF!,,0,)</f>
        <v>#REF!</v>
      </c>
      <c r="AD126" s="10" t="e">
        <f>_xlfn.XLOOKUP($D126,#REF!,#REF!,,0,)</f>
        <v>#REF!</v>
      </c>
      <c r="AE126" s="44" t="str">
        <f>Tab_Process_TCs2527[[#This Row],[Flow_ID]]</f>
        <v>N.A.</v>
      </c>
      <c r="AF126" s="10" t="e">
        <f t="shared" si="24"/>
        <v>#REF!</v>
      </c>
      <c r="AG126" s="172"/>
      <c r="AH126" s="171" t="e">
        <f>_xlfn.XLOOKUP($D126,#REF!,#REF!,,0,)</f>
        <v>#REF!</v>
      </c>
      <c r="AI126" s="55" t="e">
        <f>_xlfn.XLOOKUP($D126,#REF!,#REF!,,0,)</f>
        <v>#REF!</v>
      </c>
      <c r="AJ126" s="44" t="str">
        <f>Tab_Process_TCs2527[[#This Row],[Flow_ID]]</f>
        <v>N.A.</v>
      </c>
      <c r="AK126" s="10" t="e">
        <f t="shared" si="25"/>
        <v>#REF!</v>
      </c>
      <c r="AL126" s="170"/>
      <c r="AM126" s="17" t="e">
        <f>_xlfn.XLOOKUP($D126,#REF!,#REF!,,0,)</f>
        <v>#REF!</v>
      </c>
      <c r="AN126" s="10" t="e">
        <f>_xlfn.XLOOKUP($D126,#REF!,#REF!,,0,)</f>
        <v>#REF!</v>
      </c>
      <c r="AO126" s="44" t="str">
        <f>Tab_Process_TCs2527[[#This Row],[Flow_ID]]</f>
        <v>N.A.</v>
      </c>
      <c r="AP126" s="10" t="e">
        <f t="shared" si="26"/>
        <v>#REF!</v>
      </c>
      <c r="AQ126" s="170"/>
      <c r="AR126" s="17" t="e">
        <f>_xlfn.XLOOKUP($D126,#REF!,#REF!,,0,)</f>
        <v>#REF!</v>
      </c>
      <c r="AS126" s="10" t="e">
        <f>_xlfn.XLOOKUP($D126,#REF!,#REF!,,0,)</f>
        <v>#REF!</v>
      </c>
      <c r="AT126" s="44" t="str">
        <f>Tab_Process_TCs2527[[#This Row],[Flow_ID]]</f>
        <v>N.A.</v>
      </c>
      <c r="AU126" s="44" t="e">
        <f t="shared" si="27"/>
        <v>#REF!</v>
      </c>
      <c r="AV126" s="170"/>
      <c r="AW126" s="17" t="e">
        <f>_xlfn.XLOOKUP($D126,#REF!,#REF!,,0,)</f>
        <v>#REF!</v>
      </c>
      <c r="AX126" s="10" t="e">
        <f>_xlfn.XLOOKUP($D126,#REF!,#REF!,,0,)</f>
        <v>#REF!</v>
      </c>
      <c r="AY126" s="44" t="str">
        <f>Tab_Process_TCs2527[[#This Row],[Flow_ID]]</f>
        <v>N.A.</v>
      </c>
      <c r="AZ126" s="44" t="e">
        <f t="shared" si="28"/>
        <v>#REF!</v>
      </c>
      <c r="BA126" s="170"/>
      <c r="BB126" s="10" t="e">
        <f>_xlfn.XLOOKUP($D126,#REF!,#REF!,,0,)</f>
        <v>#REF!</v>
      </c>
      <c r="BC126" s="10" t="e">
        <f>_xlfn.XLOOKUP($D126,#REF!,#REF!,,0,)</f>
        <v>#REF!</v>
      </c>
      <c r="BD126" s="44" t="str">
        <f>Tab_Process_TCs2527[[#This Row],[Flow_ID]]</f>
        <v>N.A.</v>
      </c>
      <c r="BE126" s="44" t="e">
        <f t="shared" si="29"/>
        <v>#REF!</v>
      </c>
      <c r="BF126" s="51"/>
      <c r="BG126" s="54">
        <f>Tab_Process_TCs2527[[#This Row],[TC O_6_'[%']]]+Tab_Process_TCs2527[[#This Row],[TC O_5_'[%']]]+Tab_Process_TCs2527[[#This Row],[TC_O_4_'[%']]]+Tab_Process_TCs2527[[#This Row],[TC_O_3_'[%']]]+Tab_Process_TCs2527[[#This Row],[TC_O_2_'[%']]]+Tab_Process_TCs2527[[#This Row],[TC_O_1_'[%']]]</f>
        <v>0</v>
      </c>
      <c r="BH126" s="12"/>
      <c r="BI126" s="12"/>
      <c r="BJ126" s="12"/>
      <c r="BK126" s="12"/>
      <c r="BL126" s="12"/>
    </row>
    <row r="127" spans="1:64" x14ac:dyDescent="0.25">
      <c r="A127" s="197" t="b">
        <v>0</v>
      </c>
      <c r="B127" s="10">
        <f t="shared" si="23"/>
        <v>126</v>
      </c>
      <c r="C127" s="49" t="e">
        <f>_xlfn.XLOOKUP($D127,Tab_Process_TCs[Name(EN)],Tab_Process_TCs[Process_ID],,0,)</f>
        <v>#N/A</v>
      </c>
      <c r="D127" s="192" t="s">
        <v>35</v>
      </c>
      <c r="E127" s="192" t="s">
        <v>35</v>
      </c>
      <c r="F127" s="49" t="e">
        <f>_xlfn.XLOOKUP($D127,Tab_Process_TCs[Name(EN)],Tab_Process_TCs[TC?],,0,)</f>
        <v>#N/A</v>
      </c>
      <c r="G127" s="49" t="e">
        <f>_xlfn.XLOOKUP($D127,Tab_Process_TCs[Name(EN)],Tab_Process_TCs[Dyn_TC?],,0,)</f>
        <v>#N/A</v>
      </c>
      <c r="H127" s="10" t="str">
        <f>_xlfn.XLOOKUP($E127,Tab_Def_Flows[Name(EN)],Tab_Def_Flows[Flow_ID],,0,1)</f>
        <v>N.A.</v>
      </c>
      <c r="I127" s="10" t="str">
        <f>IF(Tab_Process_TCs2527[[#This Row],[Name(EN)]]="N.A.","N.A.","TC"&amp;"_"&amp;RIGHT(H127,5))</f>
        <v>N.A.</v>
      </c>
      <c r="J127" s="12"/>
      <c r="K127" s="186"/>
      <c r="L127" s="10"/>
      <c r="M127" s="17" t="e">
        <f>_xlfn.XLOOKUP($D127,Tab_Def_Processes[Name(EN)],Tab_Def_Processes[Input_Flow_I_1],,0,)</f>
        <v>#N/A</v>
      </c>
      <c r="N127" s="10" t="e">
        <f>_xlfn.XLOOKUP($D127,Tab_Def_Processes[Name(EN)],Tab_Def_Processes[Flow_ID_I_1],,0,)</f>
        <v>#N/A</v>
      </c>
      <c r="O127" s="35"/>
      <c r="P127" s="30" t="e">
        <f>_xlfn.XLOOKUP($D127,Tab_Def_Processes[Name(EN)],Tab_Def_Processes[Input_Flow_I_2],,0,)</f>
        <v>#N/A</v>
      </c>
      <c r="Q127" s="10" t="e">
        <f>_xlfn.XLOOKUP($D127,Tab_Def_Processes[Name(EN)],Tab_Def_Processes[Flow_ID_I_2],,0,)</f>
        <v>#N/A</v>
      </c>
      <c r="R127" s="35"/>
      <c r="S127" s="30" t="e">
        <f>_xlfn.XLOOKUP($D127,Tab_Def_Processes[Name(EN)],Tab_Def_Processes[Input_Flow_I_3],,0,)</f>
        <v>#N/A</v>
      </c>
      <c r="T127" s="10" t="e">
        <f>_xlfn.XLOOKUP($D127,Tab_Def_Processes[Name(EN)],Tab_Def_Processes[Flow_ID_I_3],,0,)</f>
        <v>#N/A</v>
      </c>
      <c r="U127" s="35"/>
      <c r="V127" s="30" t="e">
        <f>_xlfn.XLOOKUP($D127,Tab_Def_Processes[Name(EN)],Tab_Def_Processes[Input_Flow_I_4],,0,)</f>
        <v>#N/A</v>
      </c>
      <c r="W127" s="10" t="e">
        <f>_xlfn.XLOOKUP($D127,Tab_Def_Processes[Name(EN)],Tab_Def_Processes[Flow_ID_I_4],,0,)</f>
        <v>#N/A</v>
      </c>
      <c r="X127" s="35"/>
      <c r="Y127" s="30" t="e">
        <f>_xlfn.XLOOKUP($D127,Tab_Def_Processes[Name(EN)],Tab_Def_Processes[Input_Flow_I_5],,0,)</f>
        <v>#N/A</v>
      </c>
      <c r="Z127" s="10" t="e">
        <f>_xlfn.XLOOKUP($D127,Tab_Def_Processes[Name(EN)],Tab_Def_Processes[Flow_ID_I_5],,0,)</f>
        <v>#N/A</v>
      </c>
      <c r="AA127" s="35"/>
      <c r="AB127" s="41">
        <f>Tab_Process_TCs2527[[#This Row],[Flow_TC_I_1_'[%']]]+Tab_Process_TCs2527[[#This Row],[Flow_TC_I_2_'[%']]]+Tab_Process_TCs2527[[#This Row],[Flow_TC_I_3_'[%']]]+Tab_Process_TCs2527[[#This Row],[Flow_TC_I_4_'[%']]]+Tab_Process_TCs2527[[#This Row],[Flow_TC_I_5_'[%']]]</f>
        <v>0</v>
      </c>
      <c r="AC127" s="17" t="e">
        <f>_xlfn.XLOOKUP($D127,#REF!,#REF!,,0,)</f>
        <v>#REF!</v>
      </c>
      <c r="AD127" s="10" t="e">
        <f>_xlfn.XLOOKUP($D127,#REF!,#REF!,,0,)</f>
        <v>#REF!</v>
      </c>
      <c r="AE127" s="44" t="str">
        <f>Tab_Process_TCs2527[[#This Row],[Flow_ID]]</f>
        <v>N.A.</v>
      </c>
      <c r="AF127" s="10" t="e">
        <f t="shared" si="24"/>
        <v>#REF!</v>
      </c>
      <c r="AG127" s="172"/>
      <c r="AH127" s="171" t="e">
        <f>_xlfn.XLOOKUP($D127,#REF!,#REF!,,0,)</f>
        <v>#REF!</v>
      </c>
      <c r="AI127" s="55" t="e">
        <f>_xlfn.XLOOKUP($D127,#REF!,#REF!,,0,)</f>
        <v>#REF!</v>
      </c>
      <c r="AJ127" s="44" t="str">
        <f>Tab_Process_TCs2527[[#This Row],[Flow_ID]]</f>
        <v>N.A.</v>
      </c>
      <c r="AK127" s="10" t="e">
        <f t="shared" si="25"/>
        <v>#REF!</v>
      </c>
      <c r="AL127" s="170"/>
      <c r="AM127" s="17" t="e">
        <f>_xlfn.XLOOKUP($D127,#REF!,#REF!,,0,)</f>
        <v>#REF!</v>
      </c>
      <c r="AN127" s="10" t="e">
        <f>_xlfn.XLOOKUP($D127,#REF!,#REF!,,0,)</f>
        <v>#REF!</v>
      </c>
      <c r="AO127" s="44" t="str">
        <f>Tab_Process_TCs2527[[#This Row],[Flow_ID]]</f>
        <v>N.A.</v>
      </c>
      <c r="AP127" s="10" t="e">
        <f t="shared" si="26"/>
        <v>#REF!</v>
      </c>
      <c r="AQ127" s="170"/>
      <c r="AR127" s="17" t="e">
        <f>_xlfn.XLOOKUP($D127,#REF!,#REF!,,0,)</f>
        <v>#REF!</v>
      </c>
      <c r="AS127" s="10" t="e">
        <f>_xlfn.XLOOKUP($D127,#REF!,#REF!,,0,)</f>
        <v>#REF!</v>
      </c>
      <c r="AT127" s="44" t="str">
        <f>Tab_Process_TCs2527[[#This Row],[Flow_ID]]</f>
        <v>N.A.</v>
      </c>
      <c r="AU127" s="44" t="e">
        <f t="shared" si="27"/>
        <v>#REF!</v>
      </c>
      <c r="AV127" s="170"/>
      <c r="AW127" s="17" t="e">
        <f>_xlfn.XLOOKUP($D127,#REF!,#REF!,,0,)</f>
        <v>#REF!</v>
      </c>
      <c r="AX127" s="10" t="e">
        <f>_xlfn.XLOOKUP($D127,#REF!,#REF!,,0,)</f>
        <v>#REF!</v>
      </c>
      <c r="AY127" s="44" t="str">
        <f>Tab_Process_TCs2527[[#This Row],[Flow_ID]]</f>
        <v>N.A.</v>
      </c>
      <c r="AZ127" s="44" t="e">
        <f t="shared" si="28"/>
        <v>#REF!</v>
      </c>
      <c r="BA127" s="170"/>
      <c r="BB127" s="10" t="e">
        <f>_xlfn.XLOOKUP($D127,#REF!,#REF!,,0,)</f>
        <v>#REF!</v>
      </c>
      <c r="BC127" s="10" t="e">
        <f>_xlfn.XLOOKUP($D127,#REF!,#REF!,,0,)</f>
        <v>#REF!</v>
      </c>
      <c r="BD127" s="44" t="str">
        <f>Tab_Process_TCs2527[[#This Row],[Flow_ID]]</f>
        <v>N.A.</v>
      </c>
      <c r="BE127" s="44" t="e">
        <f t="shared" si="29"/>
        <v>#REF!</v>
      </c>
      <c r="BF127" s="51"/>
      <c r="BG127" s="54">
        <f>Tab_Process_TCs2527[[#This Row],[TC O_6_'[%']]]+Tab_Process_TCs2527[[#This Row],[TC O_5_'[%']]]+Tab_Process_TCs2527[[#This Row],[TC_O_4_'[%']]]+Tab_Process_TCs2527[[#This Row],[TC_O_3_'[%']]]+Tab_Process_TCs2527[[#This Row],[TC_O_2_'[%']]]+Tab_Process_TCs2527[[#This Row],[TC_O_1_'[%']]]</f>
        <v>0</v>
      </c>
      <c r="BH127" s="12"/>
      <c r="BI127" s="12"/>
      <c r="BJ127" s="12"/>
      <c r="BK127" s="12"/>
      <c r="BL127" s="12"/>
    </row>
    <row r="128" spans="1:64" x14ac:dyDescent="0.25">
      <c r="A128" s="197" t="b">
        <v>0</v>
      </c>
      <c r="B128" s="10">
        <f t="shared" si="23"/>
        <v>127</v>
      </c>
      <c r="C128" s="49" t="e">
        <f>_xlfn.XLOOKUP($D128,Tab_Process_TCs[Name(EN)],Tab_Process_TCs[Process_ID],,0,)</f>
        <v>#N/A</v>
      </c>
      <c r="D128" s="192" t="s">
        <v>35</v>
      </c>
      <c r="E128" s="192" t="s">
        <v>35</v>
      </c>
      <c r="F128" s="49" t="e">
        <f>_xlfn.XLOOKUP($D128,Tab_Process_TCs[Name(EN)],Tab_Process_TCs[TC?],,0,)</f>
        <v>#N/A</v>
      </c>
      <c r="G128" s="49" t="e">
        <f>_xlfn.XLOOKUP($D128,Tab_Process_TCs[Name(EN)],Tab_Process_TCs[Dyn_TC?],,0,)</f>
        <v>#N/A</v>
      </c>
      <c r="H128" s="10" t="str">
        <f>_xlfn.XLOOKUP($E128,Tab_Def_Flows[Name(EN)],Tab_Def_Flows[Flow_ID],,0,1)</f>
        <v>N.A.</v>
      </c>
      <c r="I128" s="10" t="str">
        <f>IF(Tab_Process_TCs2527[[#This Row],[Name(EN)]]="N.A.","N.A.","TC"&amp;"_"&amp;RIGHT(H128,5))</f>
        <v>N.A.</v>
      </c>
      <c r="J128" s="12"/>
      <c r="K128" s="186"/>
      <c r="L128" s="10"/>
      <c r="M128" s="17" t="e">
        <f>_xlfn.XLOOKUP($D128,Tab_Def_Processes[Name(EN)],Tab_Def_Processes[Input_Flow_I_1],,0,)</f>
        <v>#N/A</v>
      </c>
      <c r="N128" s="10" t="e">
        <f>_xlfn.XLOOKUP($D128,Tab_Def_Processes[Name(EN)],Tab_Def_Processes[Flow_ID_I_1],,0,)</f>
        <v>#N/A</v>
      </c>
      <c r="O128" s="35"/>
      <c r="P128" s="30" t="e">
        <f>_xlfn.XLOOKUP($D128,Tab_Def_Processes[Name(EN)],Tab_Def_Processes[Input_Flow_I_2],,0,)</f>
        <v>#N/A</v>
      </c>
      <c r="Q128" s="10" t="e">
        <f>_xlfn.XLOOKUP($D128,Tab_Def_Processes[Name(EN)],Tab_Def_Processes[Flow_ID_I_2],,0,)</f>
        <v>#N/A</v>
      </c>
      <c r="R128" s="35"/>
      <c r="S128" s="30" t="e">
        <f>_xlfn.XLOOKUP($D128,Tab_Def_Processes[Name(EN)],Tab_Def_Processes[Input_Flow_I_3],,0,)</f>
        <v>#N/A</v>
      </c>
      <c r="T128" s="10" t="e">
        <f>_xlfn.XLOOKUP($D128,Tab_Def_Processes[Name(EN)],Tab_Def_Processes[Flow_ID_I_3],,0,)</f>
        <v>#N/A</v>
      </c>
      <c r="U128" s="35"/>
      <c r="V128" s="30" t="e">
        <f>_xlfn.XLOOKUP($D128,Tab_Def_Processes[Name(EN)],Tab_Def_Processes[Input_Flow_I_4],,0,)</f>
        <v>#N/A</v>
      </c>
      <c r="W128" s="10" t="e">
        <f>_xlfn.XLOOKUP($D128,Tab_Def_Processes[Name(EN)],Tab_Def_Processes[Flow_ID_I_4],,0,)</f>
        <v>#N/A</v>
      </c>
      <c r="X128" s="35"/>
      <c r="Y128" s="30" t="e">
        <f>_xlfn.XLOOKUP($D128,Tab_Def_Processes[Name(EN)],Tab_Def_Processes[Input_Flow_I_5],,0,)</f>
        <v>#N/A</v>
      </c>
      <c r="Z128" s="10" t="e">
        <f>_xlfn.XLOOKUP($D128,Tab_Def_Processes[Name(EN)],Tab_Def_Processes[Flow_ID_I_5],,0,)</f>
        <v>#N/A</v>
      </c>
      <c r="AA128" s="35"/>
      <c r="AB128" s="41">
        <f>Tab_Process_TCs2527[[#This Row],[Flow_TC_I_1_'[%']]]+Tab_Process_TCs2527[[#This Row],[Flow_TC_I_2_'[%']]]+Tab_Process_TCs2527[[#This Row],[Flow_TC_I_3_'[%']]]+Tab_Process_TCs2527[[#This Row],[Flow_TC_I_4_'[%']]]+Tab_Process_TCs2527[[#This Row],[Flow_TC_I_5_'[%']]]</f>
        <v>0</v>
      </c>
      <c r="AC128" s="17" t="e">
        <f>_xlfn.XLOOKUP($D128,#REF!,#REF!,,0,)</f>
        <v>#REF!</v>
      </c>
      <c r="AD128" s="10" t="e">
        <f>_xlfn.XLOOKUP($D128,#REF!,#REF!,,0,)</f>
        <v>#REF!</v>
      </c>
      <c r="AE128" s="44" t="str">
        <f>Tab_Process_TCs2527[[#This Row],[Flow_ID]]</f>
        <v>N.A.</v>
      </c>
      <c r="AF128" s="10" t="e">
        <f t="shared" si="24"/>
        <v>#REF!</v>
      </c>
      <c r="AG128" s="172"/>
      <c r="AH128" s="171" t="e">
        <f>_xlfn.XLOOKUP($D128,#REF!,#REF!,,0,)</f>
        <v>#REF!</v>
      </c>
      <c r="AI128" s="55" t="e">
        <f>_xlfn.XLOOKUP($D128,#REF!,#REF!,,0,)</f>
        <v>#REF!</v>
      </c>
      <c r="AJ128" s="44" t="str">
        <f>Tab_Process_TCs2527[[#This Row],[Flow_ID]]</f>
        <v>N.A.</v>
      </c>
      <c r="AK128" s="10" t="e">
        <f t="shared" si="25"/>
        <v>#REF!</v>
      </c>
      <c r="AL128" s="170"/>
      <c r="AM128" s="17" t="e">
        <f>_xlfn.XLOOKUP($D128,#REF!,#REF!,,0,)</f>
        <v>#REF!</v>
      </c>
      <c r="AN128" s="10" t="e">
        <f>_xlfn.XLOOKUP($D128,#REF!,#REF!,,0,)</f>
        <v>#REF!</v>
      </c>
      <c r="AO128" s="44" t="str">
        <f>Tab_Process_TCs2527[[#This Row],[Flow_ID]]</f>
        <v>N.A.</v>
      </c>
      <c r="AP128" s="10" t="e">
        <f t="shared" si="26"/>
        <v>#REF!</v>
      </c>
      <c r="AQ128" s="170"/>
      <c r="AR128" s="17" t="e">
        <f>_xlfn.XLOOKUP($D128,#REF!,#REF!,,0,)</f>
        <v>#REF!</v>
      </c>
      <c r="AS128" s="10" t="e">
        <f>_xlfn.XLOOKUP($D128,#REF!,#REF!,,0,)</f>
        <v>#REF!</v>
      </c>
      <c r="AT128" s="44" t="str">
        <f>Tab_Process_TCs2527[[#This Row],[Flow_ID]]</f>
        <v>N.A.</v>
      </c>
      <c r="AU128" s="44" t="e">
        <f t="shared" si="27"/>
        <v>#REF!</v>
      </c>
      <c r="AV128" s="170"/>
      <c r="AW128" s="17" t="e">
        <f>_xlfn.XLOOKUP($D128,#REF!,#REF!,,0,)</f>
        <v>#REF!</v>
      </c>
      <c r="AX128" s="10" t="e">
        <f>_xlfn.XLOOKUP($D128,#REF!,#REF!,,0,)</f>
        <v>#REF!</v>
      </c>
      <c r="AY128" s="44" t="str">
        <f>Tab_Process_TCs2527[[#This Row],[Flow_ID]]</f>
        <v>N.A.</v>
      </c>
      <c r="AZ128" s="44" t="e">
        <f t="shared" si="28"/>
        <v>#REF!</v>
      </c>
      <c r="BA128" s="170"/>
      <c r="BB128" s="10" t="e">
        <f>_xlfn.XLOOKUP($D128,#REF!,#REF!,,0,)</f>
        <v>#REF!</v>
      </c>
      <c r="BC128" s="10" t="e">
        <f>_xlfn.XLOOKUP($D128,#REF!,#REF!,,0,)</f>
        <v>#REF!</v>
      </c>
      <c r="BD128" s="44" t="str">
        <f>Tab_Process_TCs2527[[#This Row],[Flow_ID]]</f>
        <v>N.A.</v>
      </c>
      <c r="BE128" s="44" t="e">
        <f t="shared" si="29"/>
        <v>#REF!</v>
      </c>
      <c r="BF128" s="51"/>
      <c r="BG128" s="54">
        <f>Tab_Process_TCs2527[[#This Row],[TC O_6_'[%']]]+Tab_Process_TCs2527[[#This Row],[TC O_5_'[%']]]+Tab_Process_TCs2527[[#This Row],[TC_O_4_'[%']]]+Tab_Process_TCs2527[[#This Row],[TC_O_3_'[%']]]+Tab_Process_TCs2527[[#This Row],[TC_O_2_'[%']]]+Tab_Process_TCs2527[[#This Row],[TC_O_1_'[%']]]</f>
        <v>0</v>
      </c>
      <c r="BH128" s="12"/>
      <c r="BI128" s="12"/>
      <c r="BJ128" s="12"/>
      <c r="BK128" s="12"/>
      <c r="BL128" s="12"/>
    </row>
    <row r="129" spans="1:64" x14ac:dyDescent="0.25">
      <c r="A129" s="197" t="b">
        <v>0</v>
      </c>
      <c r="B129" s="10">
        <f t="shared" si="23"/>
        <v>128</v>
      </c>
      <c r="C129" s="49" t="e">
        <f>_xlfn.XLOOKUP($D129,Tab_Process_TCs[Name(EN)],Tab_Process_TCs[Process_ID],,0,)</f>
        <v>#N/A</v>
      </c>
      <c r="D129" s="192" t="s">
        <v>35</v>
      </c>
      <c r="E129" s="192" t="s">
        <v>35</v>
      </c>
      <c r="F129" s="49" t="e">
        <f>_xlfn.XLOOKUP($D129,Tab_Process_TCs[Name(EN)],Tab_Process_TCs[TC?],,0,)</f>
        <v>#N/A</v>
      </c>
      <c r="G129" s="49" t="e">
        <f>_xlfn.XLOOKUP($D129,Tab_Process_TCs[Name(EN)],Tab_Process_TCs[Dyn_TC?],,0,)</f>
        <v>#N/A</v>
      </c>
      <c r="H129" s="10" t="str">
        <f>_xlfn.XLOOKUP($E129,Tab_Def_Flows[Name(EN)],Tab_Def_Flows[Flow_ID],,0,1)</f>
        <v>N.A.</v>
      </c>
      <c r="I129" s="10" t="str">
        <f>IF(Tab_Process_TCs2527[[#This Row],[Name(EN)]]="N.A.","N.A.","TC"&amp;"_"&amp;RIGHT(H129,5))</f>
        <v>N.A.</v>
      </c>
      <c r="J129" s="12"/>
      <c r="K129" s="186"/>
      <c r="L129" s="10"/>
      <c r="M129" s="17" t="e">
        <f>_xlfn.XLOOKUP($D129,Tab_Def_Processes[Name(EN)],Tab_Def_Processes[Input_Flow_I_1],,0,)</f>
        <v>#N/A</v>
      </c>
      <c r="N129" s="10" t="e">
        <f>_xlfn.XLOOKUP($D129,Tab_Def_Processes[Name(EN)],Tab_Def_Processes[Flow_ID_I_1],,0,)</f>
        <v>#N/A</v>
      </c>
      <c r="O129" s="35"/>
      <c r="P129" s="30" t="e">
        <f>_xlfn.XLOOKUP($D129,Tab_Def_Processes[Name(EN)],Tab_Def_Processes[Input_Flow_I_2],,0,)</f>
        <v>#N/A</v>
      </c>
      <c r="Q129" s="10" t="e">
        <f>_xlfn.XLOOKUP($D129,Tab_Def_Processes[Name(EN)],Tab_Def_Processes[Flow_ID_I_2],,0,)</f>
        <v>#N/A</v>
      </c>
      <c r="R129" s="35"/>
      <c r="S129" s="30" t="e">
        <f>_xlfn.XLOOKUP($D129,Tab_Def_Processes[Name(EN)],Tab_Def_Processes[Input_Flow_I_3],,0,)</f>
        <v>#N/A</v>
      </c>
      <c r="T129" s="10" t="e">
        <f>_xlfn.XLOOKUP($D129,Tab_Def_Processes[Name(EN)],Tab_Def_Processes[Flow_ID_I_3],,0,)</f>
        <v>#N/A</v>
      </c>
      <c r="U129" s="35"/>
      <c r="V129" s="30" t="e">
        <f>_xlfn.XLOOKUP($D129,Tab_Def_Processes[Name(EN)],Tab_Def_Processes[Input_Flow_I_4],,0,)</f>
        <v>#N/A</v>
      </c>
      <c r="W129" s="10" t="e">
        <f>_xlfn.XLOOKUP($D129,Tab_Def_Processes[Name(EN)],Tab_Def_Processes[Flow_ID_I_4],,0,)</f>
        <v>#N/A</v>
      </c>
      <c r="X129" s="35"/>
      <c r="Y129" s="30" t="e">
        <f>_xlfn.XLOOKUP($D129,Tab_Def_Processes[Name(EN)],Tab_Def_Processes[Input_Flow_I_5],,0,)</f>
        <v>#N/A</v>
      </c>
      <c r="Z129" s="10" t="e">
        <f>_xlfn.XLOOKUP($D129,Tab_Def_Processes[Name(EN)],Tab_Def_Processes[Flow_ID_I_5],,0,)</f>
        <v>#N/A</v>
      </c>
      <c r="AA129" s="35"/>
      <c r="AB129" s="41">
        <f>Tab_Process_TCs2527[[#This Row],[Flow_TC_I_1_'[%']]]+Tab_Process_TCs2527[[#This Row],[Flow_TC_I_2_'[%']]]+Tab_Process_TCs2527[[#This Row],[Flow_TC_I_3_'[%']]]+Tab_Process_TCs2527[[#This Row],[Flow_TC_I_4_'[%']]]+Tab_Process_TCs2527[[#This Row],[Flow_TC_I_5_'[%']]]</f>
        <v>0</v>
      </c>
      <c r="AC129" s="17" t="e">
        <f>_xlfn.XLOOKUP($D129,#REF!,#REF!,,0,)</f>
        <v>#REF!</v>
      </c>
      <c r="AD129" s="10" t="e">
        <f>_xlfn.XLOOKUP($D129,#REF!,#REF!,,0,)</f>
        <v>#REF!</v>
      </c>
      <c r="AE129" s="44" t="str">
        <f>Tab_Process_TCs2527[[#This Row],[Flow_ID]]</f>
        <v>N.A.</v>
      </c>
      <c r="AF129" s="10" t="e">
        <f t="shared" si="24"/>
        <v>#REF!</v>
      </c>
      <c r="AG129" s="172"/>
      <c r="AH129" s="171" t="e">
        <f>_xlfn.XLOOKUP($D129,#REF!,#REF!,,0,)</f>
        <v>#REF!</v>
      </c>
      <c r="AI129" s="55" t="e">
        <f>_xlfn.XLOOKUP($D129,#REF!,#REF!,,0,)</f>
        <v>#REF!</v>
      </c>
      <c r="AJ129" s="44" t="str">
        <f>Tab_Process_TCs2527[[#This Row],[Flow_ID]]</f>
        <v>N.A.</v>
      </c>
      <c r="AK129" s="10" t="e">
        <f t="shared" si="25"/>
        <v>#REF!</v>
      </c>
      <c r="AL129" s="170"/>
      <c r="AM129" s="17" t="e">
        <f>_xlfn.XLOOKUP($D129,#REF!,#REF!,,0,)</f>
        <v>#REF!</v>
      </c>
      <c r="AN129" s="10" t="e">
        <f>_xlfn.XLOOKUP($D129,#REF!,#REF!,,0,)</f>
        <v>#REF!</v>
      </c>
      <c r="AO129" s="44" t="str">
        <f>Tab_Process_TCs2527[[#This Row],[Flow_ID]]</f>
        <v>N.A.</v>
      </c>
      <c r="AP129" s="10" t="e">
        <f t="shared" si="26"/>
        <v>#REF!</v>
      </c>
      <c r="AQ129" s="170"/>
      <c r="AR129" s="17" t="e">
        <f>_xlfn.XLOOKUP($D129,#REF!,#REF!,,0,)</f>
        <v>#REF!</v>
      </c>
      <c r="AS129" s="10" t="e">
        <f>_xlfn.XLOOKUP($D129,#REF!,#REF!,,0,)</f>
        <v>#REF!</v>
      </c>
      <c r="AT129" s="44" t="str">
        <f>Tab_Process_TCs2527[[#This Row],[Flow_ID]]</f>
        <v>N.A.</v>
      </c>
      <c r="AU129" s="44" t="e">
        <f t="shared" si="27"/>
        <v>#REF!</v>
      </c>
      <c r="AV129" s="170"/>
      <c r="AW129" s="17" t="e">
        <f>_xlfn.XLOOKUP($D129,#REF!,#REF!,,0,)</f>
        <v>#REF!</v>
      </c>
      <c r="AX129" s="10" t="e">
        <f>_xlfn.XLOOKUP($D129,#REF!,#REF!,,0,)</f>
        <v>#REF!</v>
      </c>
      <c r="AY129" s="44" t="str">
        <f>Tab_Process_TCs2527[[#This Row],[Flow_ID]]</f>
        <v>N.A.</v>
      </c>
      <c r="AZ129" s="44" t="e">
        <f t="shared" si="28"/>
        <v>#REF!</v>
      </c>
      <c r="BA129" s="170"/>
      <c r="BB129" s="10" t="e">
        <f>_xlfn.XLOOKUP($D129,#REF!,#REF!,,0,)</f>
        <v>#REF!</v>
      </c>
      <c r="BC129" s="10" t="e">
        <f>_xlfn.XLOOKUP($D129,#REF!,#REF!,,0,)</f>
        <v>#REF!</v>
      </c>
      <c r="BD129" s="44" t="str">
        <f>Tab_Process_TCs2527[[#This Row],[Flow_ID]]</f>
        <v>N.A.</v>
      </c>
      <c r="BE129" s="44" t="e">
        <f t="shared" si="29"/>
        <v>#REF!</v>
      </c>
      <c r="BF129" s="51"/>
      <c r="BG129" s="54">
        <f>Tab_Process_TCs2527[[#This Row],[TC O_6_'[%']]]+Tab_Process_TCs2527[[#This Row],[TC O_5_'[%']]]+Tab_Process_TCs2527[[#This Row],[TC_O_4_'[%']]]+Tab_Process_TCs2527[[#This Row],[TC_O_3_'[%']]]+Tab_Process_TCs2527[[#This Row],[TC_O_2_'[%']]]+Tab_Process_TCs2527[[#This Row],[TC_O_1_'[%']]]</f>
        <v>0</v>
      </c>
      <c r="BH129" s="12"/>
      <c r="BI129" s="12"/>
      <c r="BJ129" s="12"/>
      <c r="BK129" s="12"/>
      <c r="BL129" s="12"/>
    </row>
    <row r="130" spans="1:64" x14ac:dyDescent="0.25">
      <c r="A130" s="197" t="b">
        <v>0</v>
      </c>
      <c r="B130" s="10">
        <f t="shared" ref="B130:B151" si="30">ROW()-1</f>
        <v>129</v>
      </c>
      <c r="C130" s="49" t="e">
        <f>_xlfn.XLOOKUP($D130,Tab_Process_TCs[Name(EN)],Tab_Process_TCs[Process_ID],,0,)</f>
        <v>#N/A</v>
      </c>
      <c r="D130" s="192" t="s">
        <v>35</v>
      </c>
      <c r="E130" s="192" t="s">
        <v>35</v>
      </c>
      <c r="F130" s="49" t="e">
        <f>_xlfn.XLOOKUP($D130,Tab_Process_TCs[Name(EN)],Tab_Process_TCs[TC?],,0,)</f>
        <v>#N/A</v>
      </c>
      <c r="G130" s="49" t="e">
        <f>_xlfn.XLOOKUP($D130,Tab_Process_TCs[Name(EN)],Tab_Process_TCs[Dyn_TC?],,0,)</f>
        <v>#N/A</v>
      </c>
      <c r="H130" s="10" t="str">
        <f>_xlfn.XLOOKUP($E130,Tab_Def_Flows[Name(EN)],Tab_Def_Flows[Flow_ID],,0,1)</f>
        <v>N.A.</v>
      </c>
      <c r="I130" s="10" t="str">
        <f>IF(Tab_Process_TCs2527[[#This Row],[Name(EN)]]="N.A.","N.A.","TC"&amp;"_"&amp;RIGHT(H130,5))</f>
        <v>N.A.</v>
      </c>
      <c r="J130" s="12"/>
      <c r="K130" s="186"/>
      <c r="L130" s="10"/>
      <c r="M130" s="17" t="e">
        <f>_xlfn.XLOOKUP($D130,Tab_Def_Processes[Name(EN)],Tab_Def_Processes[Input_Flow_I_1],,0,)</f>
        <v>#N/A</v>
      </c>
      <c r="N130" s="10" t="e">
        <f>_xlfn.XLOOKUP($D130,Tab_Def_Processes[Name(EN)],Tab_Def_Processes[Flow_ID_I_1],,0,)</f>
        <v>#N/A</v>
      </c>
      <c r="O130" s="35"/>
      <c r="P130" s="30" t="e">
        <f>_xlfn.XLOOKUP($D130,Tab_Def_Processes[Name(EN)],Tab_Def_Processes[Input_Flow_I_2],,0,)</f>
        <v>#N/A</v>
      </c>
      <c r="Q130" s="10" t="e">
        <f>_xlfn.XLOOKUP($D130,Tab_Def_Processes[Name(EN)],Tab_Def_Processes[Flow_ID_I_2],,0,)</f>
        <v>#N/A</v>
      </c>
      <c r="R130" s="35"/>
      <c r="S130" s="30" t="e">
        <f>_xlfn.XLOOKUP($D130,Tab_Def_Processes[Name(EN)],Tab_Def_Processes[Input_Flow_I_3],,0,)</f>
        <v>#N/A</v>
      </c>
      <c r="T130" s="10" t="e">
        <f>_xlfn.XLOOKUP($D130,Tab_Def_Processes[Name(EN)],Tab_Def_Processes[Flow_ID_I_3],,0,)</f>
        <v>#N/A</v>
      </c>
      <c r="U130" s="35"/>
      <c r="V130" s="30" t="e">
        <f>_xlfn.XLOOKUP($D130,Tab_Def_Processes[Name(EN)],Tab_Def_Processes[Input_Flow_I_4],,0,)</f>
        <v>#N/A</v>
      </c>
      <c r="W130" s="10" t="e">
        <f>_xlfn.XLOOKUP($D130,Tab_Def_Processes[Name(EN)],Tab_Def_Processes[Flow_ID_I_4],,0,)</f>
        <v>#N/A</v>
      </c>
      <c r="X130" s="35"/>
      <c r="Y130" s="30" t="e">
        <f>_xlfn.XLOOKUP($D130,Tab_Def_Processes[Name(EN)],Tab_Def_Processes[Input_Flow_I_5],,0,)</f>
        <v>#N/A</v>
      </c>
      <c r="Z130" s="10" t="e">
        <f>_xlfn.XLOOKUP($D130,Tab_Def_Processes[Name(EN)],Tab_Def_Processes[Flow_ID_I_5],,0,)</f>
        <v>#N/A</v>
      </c>
      <c r="AA130" s="35"/>
      <c r="AB130" s="41">
        <f>Tab_Process_TCs2527[[#This Row],[Flow_TC_I_1_'[%']]]+Tab_Process_TCs2527[[#This Row],[Flow_TC_I_2_'[%']]]+Tab_Process_TCs2527[[#This Row],[Flow_TC_I_3_'[%']]]+Tab_Process_TCs2527[[#This Row],[Flow_TC_I_4_'[%']]]+Tab_Process_TCs2527[[#This Row],[Flow_TC_I_5_'[%']]]</f>
        <v>0</v>
      </c>
      <c r="AC130" s="17" t="e">
        <f>_xlfn.XLOOKUP($D130,#REF!,#REF!,,0,)</f>
        <v>#REF!</v>
      </c>
      <c r="AD130" s="10" t="e">
        <f>_xlfn.XLOOKUP($D130,#REF!,#REF!,,0,)</f>
        <v>#REF!</v>
      </c>
      <c r="AE130" s="44" t="str">
        <f>Tab_Process_TCs2527[[#This Row],[Flow_ID]]</f>
        <v>N.A.</v>
      </c>
      <c r="AF130" s="10" t="e">
        <f t="shared" ref="AF130:AF151" si="31">"TC"&amp;"_"&amp;RIGHT(AD130,5)</f>
        <v>#REF!</v>
      </c>
      <c r="AG130" s="172"/>
      <c r="AH130" s="171" t="e">
        <f>_xlfn.XLOOKUP($D130,#REF!,#REF!,,0,)</f>
        <v>#REF!</v>
      </c>
      <c r="AI130" s="55" t="e">
        <f>_xlfn.XLOOKUP($D130,#REF!,#REF!,,0,)</f>
        <v>#REF!</v>
      </c>
      <c r="AJ130" s="44" t="str">
        <f>Tab_Process_TCs2527[[#This Row],[Flow_ID]]</f>
        <v>N.A.</v>
      </c>
      <c r="AK130" s="10" t="e">
        <f t="shared" ref="AK130:AK151" si="32">"TC"&amp;"_"&amp;RIGHT(AI130,5)</f>
        <v>#REF!</v>
      </c>
      <c r="AL130" s="170"/>
      <c r="AM130" s="17" t="e">
        <f>_xlfn.XLOOKUP($D130,#REF!,#REF!,,0,)</f>
        <v>#REF!</v>
      </c>
      <c r="AN130" s="10" t="e">
        <f>_xlfn.XLOOKUP($D130,#REF!,#REF!,,0,)</f>
        <v>#REF!</v>
      </c>
      <c r="AO130" s="44" t="str">
        <f>Tab_Process_TCs2527[[#This Row],[Flow_ID]]</f>
        <v>N.A.</v>
      </c>
      <c r="AP130" s="10" t="e">
        <f t="shared" ref="AP130:AP151" si="33">"TC"&amp;"_"&amp;RIGHT(AN130,5)</f>
        <v>#REF!</v>
      </c>
      <c r="AQ130" s="170"/>
      <c r="AR130" s="17" t="e">
        <f>_xlfn.XLOOKUP($D130,#REF!,#REF!,,0,)</f>
        <v>#REF!</v>
      </c>
      <c r="AS130" s="10" t="e">
        <f>_xlfn.XLOOKUP($D130,#REF!,#REF!,,0,)</f>
        <v>#REF!</v>
      </c>
      <c r="AT130" s="44" t="str">
        <f>Tab_Process_TCs2527[[#This Row],[Flow_ID]]</f>
        <v>N.A.</v>
      </c>
      <c r="AU130" s="44" t="e">
        <f t="shared" ref="AU130:AU151" si="34">"TC"&amp;"_"&amp;RIGHT(AN130,5)</f>
        <v>#REF!</v>
      </c>
      <c r="AV130" s="170"/>
      <c r="AW130" s="17" t="e">
        <f>_xlfn.XLOOKUP($D130,#REF!,#REF!,,0,)</f>
        <v>#REF!</v>
      </c>
      <c r="AX130" s="10" t="e">
        <f>_xlfn.XLOOKUP($D130,#REF!,#REF!,,0,)</f>
        <v>#REF!</v>
      </c>
      <c r="AY130" s="44" t="str">
        <f>Tab_Process_TCs2527[[#This Row],[Flow_ID]]</f>
        <v>N.A.</v>
      </c>
      <c r="AZ130" s="44" t="e">
        <f t="shared" ref="AZ130:AZ151" si="35">"TC"&amp;"_"&amp;RIGHT(AX130,5)</f>
        <v>#REF!</v>
      </c>
      <c r="BA130" s="170"/>
      <c r="BB130" s="10" t="e">
        <f>_xlfn.XLOOKUP($D130,#REF!,#REF!,,0,)</f>
        <v>#REF!</v>
      </c>
      <c r="BC130" s="10" t="e">
        <f>_xlfn.XLOOKUP($D130,#REF!,#REF!,,0,)</f>
        <v>#REF!</v>
      </c>
      <c r="BD130" s="44" t="str">
        <f>Tab_Process_TCs2527[[#This Row],[Flow_ID]]</f>
        <v>N.A.</v>
      </c>
      <c r="BE130" s="44" t="e">
        <f t="shared" ref="BE130:BE151" si="36">"TC"&amp;"_"&amp;RIGHT(BC130,5)</f>
        <v>#REF!</v>
      </c>
      <c r="BF130" s="51"/>
      <c r="BG130" s="54">
        <f>Tab_Process_TCs2527[[#This Row],[TC O_6_'[%']]]+Tab_Process_TCs2527[[#This Row],[TC O_5_'[%']]]+Tab_Process_TCs2527[[#This Row],[TC_O_4_'[%']]]+Tab_Process_TCs2527[[#This Row],[TC_O_3_'[%']]]+Tab_Process_TCs2527[[#This Row],[TC_O_2_'[%']]]+Tab_Process_TCs2527[[#This Row],[TC_O_1_'[%']]]</f>
        <v>0</v>
      </c>
      <c r="BH130" s="12"/>
      <c r="BI130" s="12"/>
      <c r="BJ130" s="12"/>
      <c r="BK130" s="12"/>
      <c r="BL130" s="12"/>
    </row>
    <row r="131" spans="1:64" x14ac:dyDescent="0.25">
      <c r="A131" s="197" t="b">
        <v>0</v>
      </c>
      <c r="B131" s="10">
        <f t="shared" si="30"/>
        <v>130</v>
      </c>
      <c r="C131" s="49" t="e">
        <f>_xlfn.XLOOKUP($D131,Tab_Process_TCs[Name(EN)],Tab_Process_TCs[Process_ID],,0,)</f>
        <v>#N/A</v>
      </c>
      <c r="D131" s="192" t="s">
        <v>35</v>
      </c>
      <c r="E131" s="192" t="s">
        <v>35</v>
      </c>
      <c r="F131" s="49" t="e">
        <f>_xlfn.XLOOKUP($D131,Tab_Process_TCs[Name(EN)],Tab_Process_TCs[TC?],,0,)</f>
        <v>#N/A</v>
      </c>
      <c r="G131" s="49" t="e">
        <f>_xlfn.XLOOKUP($D131,Tab_Process_TCs[Name(EN)],Tab_Process_TCs[Dyn_TC?],,0,)</f>
        <v>#N/A</v>
      </c>
      <c r="H131" s="10" t="str">
        <f>_xlfn.XLOOKUP($E131,Tab_Def_Flows[Name(EN)],Tab_Def_Flows[Flow_ID],,0,1)</f>
        <v>N.A.</v>
      </c>
      <c r="I131" s="10" t="str">
        <f>IF(Tab_Process_TCs2527[[#This Row],[Name(EN)]]="N.A.","N.A.","TC"&amp;"_"&amp;RIGHT(H131,5))</f>
        <v>N.A.</v>
      </c>
      <c r="J131" s="12"/>
      <c r="K131" s="186"/>
      <c r="L131" s="10"/>
      <c r="M131" s="17" t="e">
        <f>_xlfn.XLOOKUP($D131,Tab_Def_Processes[Name(EN)],Tab_Def_Processes[Input_Flow_I_1],,0,)</f>
        <v>#N/A</v>
      </c>
      <c r="N131" s="10" t="e">
        <f>_xlfn.XLOOKUP($D131,Tab_Def_Processes[Name(EN)],Tab_Def_Processes[Flow_ID_I_1],,0,)</f>
        <v>#N/A</v>
      </c>
      <c r="O131" s="35"/>
      <c r="P131" s="30" t="e">
        <f>_xlfn.XLOOKUP($D131,Tab_Def_Processes[Name(EN)],Tab_Def_Processes[Input_Flow_I_2],,0,)</f>
        <v>#N/A</v>
      </c>
      <c r="Q131" s="10" t="e">
        <f>_xlfn.XLOOKUP($D131,Tab_Def_Processes[Name(EN)],Tab_Def_Processes[Flow_ID_I_2],,0,)</f>
        <v>#N/A</v>
      </c>
      <c r="R131" s="35"/>
      <c r="S131" s="30" t="e">
        <f>_xlfn.XLOOKUP($D131,Tab_Def_Processes[Name(EN)],Tab_Def_Processes[Input_Flow_I_3],,0,)</f>
        <v>#N/A</v>
      </c>
      <c r="T131" s="10" t="e">
        <f>_xlfn.XLOOKUP($D131,Tab_Def_Processes[Name(EN)],Tab_Def_Processes[Flow_ID_I_3],,0,)</f>
        <v>#N/A</v>
      </c>
      <c r="U131" s="35"/>
      <c r="V131" s="30" t="e">
        <f>_xlfn.XLOOKUP($D131,Tab_Def_Processes[Name(EN)],Tab_Def_Processes[Input_Flow_I_4],,0,)</f>
        <v>#N/A</v>
      </c>
      <c r="W131" s="10" t="e">
        <f>_xlfn.XLOOKUP($D131,Tab_Def_Processes[Name(EN)],Tab_Def_Processes[Flow_ID_I_4],,0,)</f>
        <v>#N/A</v>
      </c>
      <c r="X131" s="35"/>
      <c r="Y131" s="30" t="e">
        <f>_xlfn.XLOOKUP($D131,Tab_Def_Processes[Name(EN)],Tab_Def_Processes[Input_Flow_I_5],,0,)</f>
        <v>#N/A</v>
      </c>
      <c r="Z131" s="10" t="e">
        <f>_xlfn.XLOOKUP($D131,Tab_Def_Processes[Name(EN)],Tab_Def_Processes[Flow_ID_I_5],,0,)</f>
        <v>#N/A</v>
      </c>
      <c r="AA131" s="35"/>
      <c r="AB131" s="41">
        <f>Tab_Process_TCs2527[[#This Row],[Flow_TC_I_1_'[%']]]+Tab_Process_TCs2527[[#This Row],[Flow_TC_I_2_'[%']]]+Tab_Process_TCs2527[[#This Row],[Flow_TC_I_3_'[%']]]+Tab_Process_TCs2527[[#This Row],[Flow_TC_I_4_'[%']]]+Tab_Process_TCs2527[[#This Row],[Flow_TC_I_5_'[%']]]</f>
        <v>0</v>
      </c>
      <c r="AC131" s="17" t="e">
        <f>_xlfn.XLOOKUP($D131,#REF!,#REF!,,0,)</f>
        <v>#REF!</v>
      </c>
      <c r="AD131" s="10" t="e">
        <f>_xlfn.XLOOKUP($D131,#REF!,#REF!,,0,)</f>
        <v>#REF!</v>
      </c>
      <c r="AE131" s="44" t="str">
        <f>Tab_Process_TCs2527[[#This Row],[Flow_ID]]</f>
        <v>N.A.</v>
      </c>
      <c r="AF131" s="10" t="e">
        <f t="shared" si="31"/>
        <v>#REF!</v>
      </c>
      <c r="AG131" s="172"/>
      <c r="AH131" s="171" t="e">
        <f>_xlfn.XLOOKUP($D131,#REF!,#REF!,,0,)</f>
        <v>#REF!</v>
      </c>
      <c r="AI131" s="55" t="e">
        <f>_xlfn.XLOOKUP($D131,#REF!,#REF!,,0,)</f>
        <v>#REF!</v>
      </c>
      <c r="AJ131" s="44" t="str">
        <f>Tab_Process_TCs2527[[#This Row],[Flow_ID]]</f>
        <v>N.A.</v>
      </c>
      <c r="AK131" s="10" t="e">
        <f t="shared" si="32"/>
        <v>#REF!</v>
      </c>
      <c r="AL131" s="170"/>
      <c r="AM131" s="17" t="e">
        <f>_xlfn.XLOOKUP($D131,#REF!,#REF!,,0,)</f>
        <v>#REF!</v>
      </c>
      <c r="AN131" s="10" t="e">
        <f>_xlfn.XLOOKUP($D131,#REF!,#REF!,,0,)</f>
        <v>#REF!</v>
      </c>
      <c r="AO131" s="44" t="str">
        <f>Tab_Process_TCs2527[[#This Row],[Flow_ID]]</f>
        <v>N.A.</v>
      </c>
      <c r="AP131" s="10" t="e">
        <f t="shared" si="33"/>
        <v>#REF!</v>
      </c>
      <c r="AQ131" s="170"/>
      <c r="AR131" s="17" t="e">
        <f>_xlfn.XLOOKUP($D131,#REF!,#REF!,,0,)</f>
        <v>#REF!</v>
      </c>
      <c r="AS131" s="10" t="e">
        <f>_xlfn.XLOOKUP($D131,#REF!,#REF!,,0,)</f>
        <v>#REF!</v>
      </c>
      <c r="AT131" s="44" t="str">
        <f>Tab_Process_TCs2527[[#This Row],[Flow_ID]]</f>
        <v>N.A.</v>
      </c>
      <c r="AU131" s="44" t="e">
        <f t="shared" si="34"/>
        <v>#REF!</v>
      </c>
      <c r="AV131" s="170"/>
      <c r="AW131" s="17" t="e">
        <f>_xlfn.XLOOKUP($D131,#REF!,#REF!,,0,)</f>
        <v>#REF!</v>
      </c>
      <c r="AX131" s="10" t="e">
        <f>_xlfn.XLOOKUP($D131,#REF!,#REF!,,0,)</f>
        <v>#REF!</v>
      </c>
      <c r="AY131" s="44" t="str">
        <f>Tab_Process_TCs2527[[#This Row],[Flow_ID]]</f>
        <v>N.A.</v>
      </c>
      <c r="AZ131" s="44" t="e">
        <f t="shared" si="35"/>
        <v>#REF!</v>
      </c>
      <c r="BA131" s="170"/>
      <c r="BB131" s="10" t="e">
        <f>_xlfn.XLOOKUP($D131,#REF!,#REF!,,0,)</f>
        <v>#REF!</v>
      </c>
      <c r="BC131" s="10" t="e">
        <f>_xlfn.XLOOKUP($D131,#REF!,#REF!,,0,)</f>
        <v>#REF!</v>
      </c>
      <c r="BD131" s="44" t="str">
        <f>Tab_Process_TCs2527[[#This Row],[Flow_ID]]</f>
        <v>N.A.</v>
      </c>
      <c r="BE131" s="44" t="e">
        <f t="shared" si="36"/>
        <v>#REF!</v>
      </c>
      <c r="BF131" s="51"/>
      <c r="BG131" s="54">
        <f>Tab_Process_TCs2527[[#This Row],[TC O_6_'[%']]]+Tab_Process_TCs2527[[#This Row],[TC O_5_'[%']]]+Tab_Process_TCs2527[[#This Row],[TC_O_4_'[%']]]+Tab_Process_TCs2527[[#This Row],[TC_O_3_'[%']]]+Tab_Process_TCs2527[[#This Row],[TC_O_2_'[%']]]+Tab_Process_TCs2527[[#This Row],[TC_O_1_'[%']]]</f>
        <v>0</v>
      </c>
      <c r="BH131" s="12"/>
      <c r="BI131" s="12"/>
      <c r="BJ131" s="12"/>
      <c r="BK131" s="12"/>
      <c r="BL131" s="12"/>
    </row>
    <row r="132" spans="1:64" x14ac:dyDescent="0.25">
      <c r="A132" s="197" t="b">
        <v>0</v>
      </c>
      <c r="B132" s="10">
        <f t="shared" si="30"/>
        <v>131</v>
      </c>
      <c r="C132" s="49" t="e">
        <f>_xlfn.XLOOKUP($D132,Tab_Process_TCs[Name(EN)],Tab_Process_TCs[Process_ID],,0,)</f>
        <v>#N/A</v>
      </c>
      <c r="D132" s="192" t="s">
        <v>35</v>
      </c>
      <c r="E132" s="192" t="s">
        <v>35</v>
      </c>
      <c r="F132" s="49" t="e">
        <f>_xlfn.XLOOKUP($D132,Tab_Process_TCs[Name(EN)],Tab_Process_TCs[TC?],,0,)</f>
        <v>#N/A</v>
      </c>
      <c r="G132" s="49" t="e">
        <f>_xlfn.XLOOKUP($D132,Tab_Process_TCs[Name(EN)],Tab_Process_TCs[Dyn_TC?],,0,)</f>
        <v>#N/A</v>
      </c>
      <c r="H132" s="10" t="str">
        <f>_xlfn.XLOOKUP($E132,Tab_Def_Flows[Name(EN)],Tab_Def_Flows[Flow_ID],,0,1)</f>
        <v>N.A.</v>
      </c>
      <c r="I132" s="10" t="str">
        <f>IF(Tab_Process_TCs2527[[#This Row],[Name(EN)]]="N.A.","N.A.","TC"&amp;"_"&amp;RIGHT(H132,5))</f>
        <v>N.A.</v>
      </c>
      <c r="J132" s="12"/>
      <c r="K132" s="186"/>
      <c r="L132" s="10"/>
      <c r="M132" s="17" t="e">
        <f>_xlfn.XLOOKUP($D132,Tab_Def_Processes[Name(EN)],Tab_Def_Processes[Input_Flow_I_1],,0,)</f>
        <v>#N/A</v>
      </c>
      <c r="N132" s="10" t="e">
        <f>_xlfn.XLOOKUP($D132,Tab_Def_Processes[Name(EN)],Tab_Def_Processes[Flow_ID_I_1],,0,)</f>
        <v>#N/A</v>
      </c>
      <c r="O132" s="35"/>
      <c r="P132" s="30" t="e">
        <f>_xlfn.XLOOKUP($D132,Tab_Def_Processes[Name(EN)],Tab_Def_Processes[Input_Flow_I_2],,0,)</f>
        <v>#N/A</v>
      </c>
      <c r="Q132" s="10" t="e">
        <f>_xlfn.XLOOKUP($D132,Tab_Def_Processes[Name(EN)],Tab_Def_Processes[Flow_ID_I_2],,0,)</f>
        <v>#N/A</v>
      </c>
      <c r="R132" s="35"/>
      <c r="S132" s="30" t="e">
        <f>_xlfn.XLOOKUP($D132,Tab_Def_Processes[Name(EN)],Tab_Def_Processes[Input_Flow_I_3],,0,)</f>
        <v>#N/A</v>
      </c>
      <c r="T132" s="10" t="e">
        <f>_xlfn.XLOOKUP($D132,Tab_Def_Processes[Name(EN)],Tab_Def_Processes[Flow_ID_I_3],,0,)</f>
        <v>#N/A</v>
      </c>
      <c r="U132" s="35"/>
      <c r="V132" s="30" t="e">
        <f>_xlfn.XLOOKUP($D132,Tab_Def_Processes[Name(EN)],Tab_Def_Processes[Input_Flow_I_4],,0,)</f>
        <v>#N/A</v>
      </c>
      <c r="W132" s="10" t="e">
        <f>_xlfn.XLOOKUP($D132,Tab_Def_Processes[Name(EN)],Tab_Def_Processes[Flow_ID_I_4],,0,)</f>
        <v>#N/A</v>
      </c>
      <c r="X132" s="35"/>
      <c r="Y132" s="30" t="e">
        <f>_xlfn.XLOOKUP($D132,Tab_Def_Processes[Name(EN)],Tab_Def_Processes[Input_Flow_I_5],,0,)</f>
        <v>#N/A</v>
      </c>
      <c r="Z132" s="10" t="e">
        <f>_xlfn.XLOOKUP($D132,Tab_Def_Processes[Name(EN)],Tab_Def_Processes[Flow_ID_I_5],,0,)</f>
        <v>#N/A</v>
      </c>
      <c r="AA132" s="35"/>
      <c r="AB132" s="41">
        <f>Tab_Process_TCs2527[[#This Row],[Flow_TC_I_1_'[%']]]+Tab_Process_TCs2527[[#This Row],[Flow_TC_I_2_'[%']]]+Tab_Process_TCs2527[[#This Row],[Flow_TC_I_3_'[%']]]+Tab_Process_TCs2527[[#This Row],[Flow_TC_I_4_'[%']]]+Tab_Process_TCs2527[[#This Row],[Flow_TC_I_5_'[%']]]</f>
        <v>0</v>
      </c>
      <c r="AC132" s="17" t="e">
        <f>_xlfn.XLOOKUP($D132,#REF!,#REF!,,0,)</f>
        <v>#REF!</v>
      </c>
      <c r="AD132" s="10" t="e">
        <f>_xlfn.XLOOKUP($D132,#REF!,#REF!,,0,)</f>
        <v>#REF!</v>
      </c>
      <c r="AE132" s="44" t="str">
        <f>Tab_Process_TCs2527[[#This Row],[Flow_ID]]</f>
        <v>N.A.</v>
      </c>
      <c r="AF132" s="10" t="e">
        <f t="shared" si="31"/>
        <v>#REF!</v>
      </c>
      <c r="AG132" s="172"/>
      <c r="AH132" s="171" t="e">
        <f>_xlfn.XLOOKUP($D132,#REF!,#REF!,,0,)</f>
        <v>#REF!</v>
      </c>
      <c r="AI132" s="55" t="e">
        <f>_xlfn.XLOOKUP($D132,#REF!,#REF!,,0,)</f>
        <v>#REF!</v>
      </c>
      <c r="AJ132" s="44" t="str">
        <f>Tab_Process_TCs2527[[#This Row],[Flow_ID]]</f>
        <v>N.A.</v>
      </c>
      <c r="AK132" s="10" t="e">
        <f t="shared" si="32"/>
        <v>#REF!</v>
      </c>
      <c r="AL132" s="170"/>
      <c r="AM132" s="17" t="e">
        <f>_xlfn.XLOOKUP($D132,#REF!,#REF!,,0,)</f>
        <v>#REF!</v>
      </c>
      <c r="AN132" s="10" t="e">
        <f>_xlfn.XLOOKUP($D132,#REF!,#REF!,,0,)</f>
        <v>#REF!</v>
      </c>
      <c r="AO132" s="44" t="str">
        <f>Tab_Process_TCs2527[[#This Row],[Flow_ID]]</f>
        <v>N.A.</v>
      </c>
      <c r="AP132" s="10" t="e">
        <f t="shared" si="33"/>
        <v>#REF!</v>
      </c>
      <c r="AQ132" s="170"/>
      <c r="AR132" s="17" t="e">
        <f>_xlfn.XLOOKUP($D132,#REF!,#REF!,,0,)</f>
        <v>#REF!</v>
      </c>
      <c r="AS132" s="10" t="e">
        <f>_xlfn.XLOOKUP($D132,#REF!,#REF!,,0,)</f>
        <v>#REF!</v>
      </c>
      <c r="AT132" s="44" t="str">
        <f>Tab_Process_TCs2527[[#This Row],[Flow_ID]]</f>
        <v>N.A.</v>
      </c>
      <c r="AU132" s="44" t="e">
        <f t="shared" si="34"/>
        <v>#REF!</v>
      </c>
      <c r="AV132" s="170"/>
      <c r="AW132" s="17" t="e">
        <f>_xlfn.XLOOKUP($D132,#REF!,#REF!,,0,)</f>
        <v>#REF!</v>
      </c>
      <c r="AX132" s="10" t="e">
        <f>_xlfn.XLOOKUP($D132,#REF!,#REF!,,0,)</f>
        <v>#REF!</v>
      </c>
      <c r="AY132" s="44" t="str">
        <f>Tab_Process_TCs2527[[#This Row],[Flow_ID]]</f>
        <v>N.A.</v>
      </c>
      <c r="AZ132" s="44" t="e">
        <f t="shared" si="35"/>
        <v>#REF!</v>
      </c>
      <c r="BA132" s="170"/>
      <c r="BB132" s="10" t="e">
        <f>_xlfn.XLOOKUP($D132,#REF!,#REF!,,0,)</f>
        <v>#REF!</v>
      </c>
      <c r="BC132" s="10" t="e">
        <f>_xlfn.XLOOKUP($D132,#REF!,#REF!,,0,)</f>
        <v>#REF!</v>
      </c>
      <c r="BD132" s="44" t="str">
        <f>Tab_Process_TCs2527[[#This Row],[Flow_ID]]</f>
        <v>N.A.</v>
      </c>
      <c r="BE132" s="44" t="e">
        <f t="shared" si="36"/>
        <v>#REF!</v>
      </c>
      <c r="BF132" s="51"/>
      <c r="BG132" s="54">
        <f>Tab_Process_TCs2527[[#This Row],[TC O_6_'[%']]]+Tab_Process_TCs2527[[#This Row],[TC O_5_'[%']]]+Tab_Process_TCs2527[[#This Row],[TC_O_4_'[%']]]+Tab_Process_TCs2527[[#This Row],[TC_O_3_'[%']]]+Tab_Process_TCs2527[[#This Row],[TC_O_2_'[%']]]+Tab_Process_TCs2527[[#This Row],[TC_O_1_'[%']]]</f>
        <v>0</v>
      </c>
      <c r="BH132" s="12"/>
      <c r="BI132" s="12"/>
      <c r="BJ132" s="12"/>
      <c r="BK132" s="12"/>
      <c r="BL132" s="12"/>
    </row>
    <row r="133" spans="1:64" x14ac:dyDescent="0.25">
      <c r="A133" s="197" t="b">
        <v>0</v>
      </c>
      <c r="B133" s="10">
        <f t="shared" si="30"/>
        <v>132</v>
      </c>
      <c r="C133" s="49" t="e">
        <f>_xlfn.XLOOKUP($D133,Tab_Process_TCs[Name(EN)],Tab_Process_TCs[Process_ID],,0,)</f>
        <v>#N/A</v>
      </c>
      <c r="D133" s="192" t="s">
        <v>35</v>
      </c>
      <c r="E133" s="192" t="s">
        <v>35</v>
      </c>
      <c r="F133" s="49" t="e">
        <f>_xlfn.XLOOKUP($D133,Tab_Process_TCs[Name(EN)],Tab_Process_TCs[TC?],,0,)</f>
        <v>#N/A</v>
      </c>
      <c r="G133" s="49" t="e">
        <f>_xlfn.XLOOKUP($D133,Tab_Process_TCs[Name(EN)],Tab_Process_TCs[Dyn_TC?],,0,)</f>
        <v>#N/A</v>
      </c>
      <c r="H133" s="10" t="str">
        <f>_xlfn.XLOOKUP($E133,Tab_Def_Flows[Name(EN)],Tab_Def_Flows[Flow_ID],,0,1)</f>
        <v>N.A.</v>
      </c>
      <c r="I133" s="10" t="str">
        <f>IF(Tab_Process_TCs2527[[#This Row],[Name(EN)]]="N.A.","N.A.","TC"&amp;"_"&amp;RIGHT(H133,5))</f>
        <v>N.A.</v>
      </c>
      <c r="J133" s="12"/>
      <c r="K133" s="186"/>
      <c r="L133" s="10"/>
      <c r="M133" s="17" t="e">
        <f>_xlfn.XLOOKUP($D133,Tab_Def_Processes[Name(EN)],Tab_Def_Processes[Input_Flow_I_1],,0,)</f>
        <v>#N/A</v>
      </c>
      <c r="N133" s="10" t="e">
        <f>_xlfn.XLOOKUP($D133,Tab_Def_Processes[Name(EN)],Tab_Def_Processes[Flow_ID_I_1],,0,)</f>
        <v>#N/A</v>
      </c>
      <c r="O133" s="35"/>
      <c r="P133" s="30" t="e">
        <f>_xlfn.XLOOKUP($D133,Tab_Def_Processes[Name(EN)],Tab_Def_Processes[Input_Flow_I_2],,0,)</f>
        <v>#N/A</v>
      </c>
      <c r="Q133" s="10" t="e">
        <f>_xlfn.XLOOKUP($D133,Tab_Def_Processes[Name(EN)],Tab_Def_Processes[Flow_ID_I_2],,0,)</f>
        <v>#N/A</v>
      </c>
      <c r="R133" s="35"/>
      <c r="S133" s="30" t="e">
        <f>_xlfn.XLOOKUP($D133,Tab_Def_Processes[Name(EN)],Tab_Def_Processes[Input_Flow_I_3],,0,)</f>
        <v>#N/A</v>
      </c>
      <c r="T133" s="10" t="e">
        <f>_xlfn.XLOOKUP($D133,Tab_Def_Processes[Name(EN)],Tab_Def_Processes[Flow_ID_I_3],,0,)</f>
        <v>#N/A</v>
      </c>
      <c r="U133" s="35"/>
      <c r="V133" s="30" t="e">
        <f>_xlfn.XLOOKUP($D133,Tab_Def_Processes[Name(EN)],Tab_Def_Processes[Input_Flow_I_4],,0,)</f>
        <v>#N/A</v>
      </c>
      <c r="W133" s="10" t="e">
        <f>_xlfn.XLOOKUP($D133,Tab_Def_Processes[Name(EN)],Tab_Def_Processes[Flow_ID_I_4],,0,)</f>
        <v>#N/A</v>
      </c>
      <c r="X133" s="35"/>
      <c r="Y133" s="30" t="e">
        <f>_xlfn.XLOOKUP($D133,Tab_Def_Processes[Name(EN)],Tab_Def_Processes[Input_Flow_I_5],,0,)</f>
        <v>#N/A</v>
      </c>
      <c r="Z133" s="10" t="e">
        <f>_xlfn.XLOOKUP($D133,Tab_Def_Processes[Name(EN)],Tab_Def_Processes[Flow_ID_I_5],,0,)</f>
        <v>#N/A</v>
      </c>
      <c r="AA133" s="35"/>
      <c r="AB133" s="41">
        <f>Tab_Process_TCs2527[[#This Row],[Flow_TC_I_1_'[%']]]+Tab_Process_TCs2527[[#This Row],[Flow_TC_I_2_'[%']]]+Tab_Process_TCs2527[[#This Row],[Flow_TC_I_3_'[%']]]+Tab_Process_TCs2527[[#This Row],[Flow_TC_I_4_'[%']]]+Tab_Process_TCs2527[[#This Row],[Flow_TC_I_5_'[%']]]</f>
        <v>0</v>
      </c>
      <c r="AC133" s="17" t="e">
        <f>_xlfn.XLOOKUP($D133,#REF!,#REF!,,0,)</f>
        <v>#REF!</v>
      </c>
      <c r="AD133" s="10" t="e">
        <f>_xlfn.XLOOKUP($D133,#REF!,#REF!,,0,)</f>
        <v>#REF!</v>
      </c>
      <c r="AE133" s="44" t="str">
        <f>Tab_Process_TCs2527[[#This Row],[Flow_ID]]</f>
        <v>N.A.</v>
      </c>
      <c r="AF133" s="10" t="e">
        <f t="shared" si="31"/>
        <v>#REF!</v>
      </c>
      <c r="AG133" s="172"/>
      <c r="AH133" s="171" t="e">
        <f>_xlfn.XLOOKUP($D133,#REF!,#REF!,,0,)</f>
        <v>#REF!</v>
      </c>
      <c r="AI133" s="55" t="e">
        <f>_xlfn.XLOOKUP($D133,#REF!,#REF!,,0,)</f>
        <v>#REF!</v>
      </c>
      <c r="AJ133" s="44" t="str">
        <f>Tab_Process_TCs2527[[#This Row],[Flow_ID]]</f>
        <v>N.A.</v>
      </c>
      <c r="AK133" s="10" t="e">
        <f t="shared" si="32"/>
        <v>#REF!</v>
      </c>
      <c r="AL133" s="170"/>
      <c r="AM133" s="17" t="e">
        <f>_xlfn.XLOOKUP($D133,#REF!,#REF!,,0,)</f>
        <v>#REF!</v>
      </c>
      <c r="AN133" s="10" t="e">
        <f>_xlfn.XLOOKUP($D133,#REF!,#REF!,,0,)</f>
        <v>#REF!</v>
      </c>
      <c r="AO133" s="44" t="str">
        <f>Tab_Process_TCs2527[[#This Row],[Flow_ID]]</f>
        <v>N.A.</v>
      </c>
      <c r="AP133" s="10" t="e">
        <f t="shared" si="33"/>
        <v>#REF!</v>
      </c>
      <c r="AQ133" s="170"/>
      <c r="AR133" s="17" t="e">
        <f>_xlfn.XLOOKUP($D133,#REF!,#REF!,,0,)</f>
        <v>#REF!</v>
      </c>
      <c r="AS133" s="10" t="e">
        <f>_xlfn.XLOOKUP($D133,#REF!,#REF!,,0,)</f>
        <v>#REF!</v>
      </c>
      <c r="AT133" s="44" t="str">
        <f>Tab_Process_TCs2527[[#This Row],[Flow_ID]]</f>
        <v>N.A.</v>
      </c>
      <c r="AU133" s="44" t="e">
        <f t="shared" si="34"/>
        <v>#REF!</v>
      </c>
      <c r="AV133" s="170"/>
      <c r="AW133" s="17" t="e">
        <f>_xlfn.XLOOKUP($D133,#REF!,#REF!,,0,)</f>
        <v>#REF!</v>
      </c>
      <c r="AX133" s="10" t="e">
        <f>_xlfn.XLOOKUP($D133,#REF!,#REF!,,0,)</f>
        <v>#REF!</v>
      </c>
      <c r="AY133" s="44" t="str">
        <f>Tab_Process_TCs2527[[#This Row],[Flow_ID]]</f>
        <v>N.A.</v>
      </c>
      <c r="AZ133" s="44" t="e">
        <f t="shared" si="35"/>
        <v>#REF!</v>
      </c>
      <c r="BA133" s="170"/>
      <c r="BB133" s="10" t="e">
        <f>_xlfn.XLOOKUP($D133,#REF!,#REF!,,0,)</f>
        <v>#REF!</v>
      </c>
      <c r="BC133" s="10" t="e">
        <f>_xlfn.XLOOKUP($D133,#REF!,#REF!,,0,)</f>
        <v>#REF!</v>
      </c>
      <c r="BD133" s="44" t="str">
        <f>Tab_Process_TCs2527[[#This Row],[Flow_ID]]</f>
        <v>N.A.</v>
      </c>
      <c r="BE133" s="44" t="e">
        <f t="shared" si="36"/>
        <v>#REF!</v>
      </c>
      <c r="BF133" s="51"/>
      <c r="BG133" s="54">
        <f>Tab_Process_TCs2527[[#This Row],[TC O_6_'[%']]]+Tab_Process_TCs2527[[#This Row],[TC O_5_'[%']]]+Tab_Process_TCs2527[[#This Row],[TC_O_4_'[%']]]+Tab_Process_TCs2527[[#This Row],[TC_O_3_'[%']]]+Tab_Process_TCs2527[[#This Row],[TC_O_2_'[%']]]+Tab_Process_TCs2527[[#This Row],[TC_O_1_'[%']]]</f>
        <v>0</v>
      </c>
      <c r="BH133" s="12"/>
      <c r="BI133" s="12"/>
      <c r="BJ133" s="12"/>
      <c r="BK133" s="12"/>
      <c r="BL133" s="12"/>
    </row>
    <row r="134" spans="1:64" x14ac:dyDescent="0.25">
      <c r="A134" s="197" t="b">
        <v>0</v>
      </c>
      <c r="B134" s="10">
        <f t="shared" si="30"/>
        <v>133</v>
      </c>
      <c r="C134" s="49" t="e">
        <f>_xlfn.XLOOKUP($D134,Tab_Process_TCs[Name(EN)],Tab_Process_TCs[Process_ID],,0,)</f>
        <v>#N/A</v>
      </c>
      <c r="D134" s="192" t="s">
        <v>35</v>
      </c>
      <c r="E134" s="192" t="s">
        <v>35</v>
      </c>
      <c r="F134" s="49" t="e">
        <f>_xlfn.XLOOKUP($D134,Tab_Process_TCs[Name(EN)],Tab_Process_TCs[TC?],,0,)</f>
        <v>#N/A</v>
      </c>
      <c r="G134" s="49" t="e">
        <f>_xlfn.XLOOKUP($D134,Tab_Process_TCs[Name(EN)],Tab_Process_TCs[Dyn_TC?],,0,)</f>
        <v>#N/A</v>
      </c>
      <c r="H134" s="10" t="str">
        <f>_xlfn.XLOOKUP($E134,Tab_Def_Flows[Name(EN)],Tab_Def_Flows[Flow_ID],,0,1)</f>
        <v>N.A.</v>
      </c>
      <c r="I134" s="10" t="str">
        <f>IF(Tab_Process_TCs2527[[#This Row],[Name(EN)]]="N.A.","N.A.","TC"&amp;"_"&amp;RIGHT(H134,5))</f>
        <v>N.A.</v>
      </c>
      <c r="J134" s="12"/>
      <c r="K134" s="186"/>
      <c r="L134" s="10"/>
      <c r="M134" s="17" t="e">
        <f>_xlfn.XLOOKUP($D134,Tab_Def_Processes[Name(EN)],Tab_Def_Processes[Input_Flow_I_1],,0,)</f>
        <v>#N/A</v>
      </c>
      <c r="N134" s="10" t="e">
        <f>_xlfn.XLOOKUP($D134,Tab_Def_Processes[Name(EN)],Tab_Def_Processes[Flow_ID_I_1],,0,)</f>
        <v>#N/A</v>
      </c>
      <c r="O134" s="35"/>
      <c r="P134" s="30" t="e">
        <f>_xlfn.XLOOKUP($D134,Tab_Def_Processes[Name(EN)],Tab_Def_Processes[Input_Flow_I_2],,0,)</f>
        <v>#N/A</v>
      </c>
      <c r="Q134" s="10" t="e">
        <f>_xlfn.XLOOKUP($D134,Tab_Def_Processes[Name(EN)],Tab_Def_Processes[Flow_ID_I_2],,0,)</f>
        <v>#N/A</v>
      </c>
      <c r="R134" s="35"/>
      <c r="S134" s="30" t="e">
        <f>_xlfn.XLOOKUP($D134,Tab_Def_Processes[Name(EN)],Tab_Def_Processes[Input_Flow_I_3],,0,)</f>
        <v>#N/A</v>
      </c>
      <c r="T134" s="10" t="e">
        <f>_xlfn.XLOOKUP($D134,Tab_Def_Processes[Name(EN)],Tab_Def_Processes[Flow_ID_I_3],,0,)</f>
        <v>#N/A</v>
      </c>
      <c r="U134" s="35"/>
      <c r="V134" s="30" t="e">
        <f>_xlfn.XLOOKUP($D134,Tab_Def_Processes[Name(EN)],Tab_Def_Processes[Input_Flow_I_4],,0,)</f>
        <v>#N/A</v>
      </c>
      <c r="W134" s="10" t="e">
        <f>_xlfn.XLOOKUP($D134,Tab_Def_Processes[Name(EN)],Tab_Def_Processes[Flow_ID_I_4],,0,)</f>
        <v>#N/A</v>
      </c>
      <c r="X134" s="35"/>
      <c r="Y134" s="30" t="e">
        <f>_xlfn.XLOOKUP($D134,Tab_Def_Processes[Name(EN)],Tab_Def_Processes[Input_Flow_I_5],,0,)</f>
        <v>#N/A</v>
      </c>
      <c r="Z134" s="10" t="e">
        <f>_xlfn.XLOOKUP($D134,Tab_Def_Processes[Name(EN)],Tab_Def_Processes[Flow_ID_I_5],,0,)</f>
        <v>#N/A</v>
      </c>
      <c r="AA134" s="35"/>
      <c r="AB134" s="41">
        <f>Tab_Process_TCs2527[[#This Row],[Flow_TC_I_1_'[%']]]+Tab_Process_TCs2527[[#This Row],[Flow_TC_I_2_'[%']]]+Tab_Process_TCs2527[[#This Row],[Flow_TC_I_3_'[%']]]+Tab_Process_TCs2527[[#This Row],[Flow_TC_I_4_'[%']]]+Tab_Process_TCs2527[[#This Row],[Flow_TC_I_5_'[%']]]</f>
        <v>0</v>
      </c>
      <c r="AC134" s="17" t="e">
        <f>_xlfn.XLOOKUP($D134,#REF!,#REF!,,0,)</f>
        <v>#REF!</v>
      </c>
      <c r="AD134" s="10" t="e">
        <f>_xlfn.XLOOKUP($D134,#REF!,#REF!,,0,)</f>
        <v>#REF!</v>
      </c>
      <c r="AE134" s="44" t="str">
        <f>Tab_Process_TCs2527[[#This Row],[Flow_ID]]</f>
        <v>N.A.</v>
      </c>
      <c r="AF134" s="10" t="e">
        <f t="shared" si="31"/>
        <v>#REF!</v>
      </c>
      <c r="AG134" s="172"/>
      <c r="AH134" s="171" t="e">
        <f>_xlfn.XLOOKUP($D134,#REF!,#REF!,,0,)</f>
        <v>#REF!</v>
      </c>
      <c r="AI134" s="55" t="e">
        <f>_xlfn.XLOOKUP($D134,#REF!,#REF!,,0,)</f>
        <v>#REF!</v>
      </c>
      <c r="AJ134" s="44" t="str">
        <f>Tab_Process_TCs2527[[#This Row],[Flow_ID]]</f>
        <v>N.A.</v>
      </c>
      <c r="AK134" s="10" t="e">
        <f t="shared" si="32"/>
        <v>#REF!</v>
      </c>
      <c r="AL134" s="170"/>
      <c r="AM134" s="17" t="e">
        <f>_xlfn.XLOOKUP($D134,#REF!,#REF!,,0,)</f>
        <v>#REF!</v>
      </c>
      <c r="AN134" s="10" t="e">
        <f>_xlfn.XLOOKUP($D134,#REF!,#REF!,,0,)</f>
        <v>#REF!</v>
      </c>
      <c r="AO134" s="44" t="str">
        <f>Tab_Process_TCs2527[[#This Row],[Flow_ID]]</f>
        <v>N.A.</v>
      </c>
      <c r="AP134" s="10" t="e">
        <f t="shared" si="33"/>
        <v>#REF!</v>
      </c>
      <c r="AQ134" s="170"/>
      <c r="AR134" s="17" t="e">
        <f>_xlfn.XLOOKUP($D134,#REF!,#REF!,,0,)</f>
        <v>#REF!</v>
      </c>
      <c r="AS134" s="10" t="e">
        <f>_xlfn.XLOOKUP($D134,#REF!,#REF!,,0,)</f>
        <v>#REF!</v>
      </c>
      <c r="AT134" s="44" t="str">
        <f>Tab_Process_TCs2527[[#This Row],[Flow_ID]]</f>
        <v>N.A.</v>
      </c>
      <c r="AU134" s="44" t="e">
        <f t="shared" si="34"/>
        <v>#REF!</v>
      </c>
      <c r="AV134" s="170"/>
      <c r="AW134" s="17" t="e">
        <f>_xlfn.XLOOKUP($D134,#REF!,#REF!,,0,)</f>
        <v>#REF!</v>
      </c>
      <c r="AX134" s="10" t="e">
        <f>_xlfn.XLOOKUP($D134,#REF!,#REF!,,0,)</f>
        <v>#REF!</v>
      </c>
      <c r="AY134" s="44" t="str">
        <f>Tab_Process_TCs2527[[#This Row],[Flow_ID]]</f>
        <v>N.A.</v>
      </c>
      <c r="AZ134" s="44" t="e">
        <f t="shared" si="35"/>
        <v>#REF!</v>
      </c>
      <c r="BA134" s="170"/>
      <c r="BB134" s="10" t="e">
        <f>_xlfn.XLOOKUP($D134,#REF!,#REF!,,0,)</f>
        <v>#REF!</v>
      </c>
      <c r="BC134" s="10" t="e">
        <f>_xlfn.XLOOKUP($D134,#REF!,#REF!,,0,)</f>
        <v>#REF!</v>
      </c>
      <c r="BD134" s="44" t="str">
        <f>Tab_Process_TCs2527[[#This Row],[Flow_ID]]</f>
        <v>N.A.</v>
      </c>
      <c r="BE134" s="44" t="e">
        <f t="shared" si="36"/>
        <v>#REF!</v>
      </c>
      <c r="BF134" s="51"/>
      <c r="BG134" s="54">
        <f>Tab_Process_TCs2527[[#This Row],[TC O_6_'[%']]]+Tab_Process_TCs2527[[#This Row],[TC O_5_'[%']]]+Tab_Process_TCs2527[[#This Row],[TC_O_4_'[%']]]+Tab_Process_TCs2527[[#This Row],[TC_O_3_'[%']]]+Tab_Process_TCs2527[[#This Row],[TC_O_2_'[%']]]+Tab_Process_TCs2527[[#This Row],[TC_O_1_'[%']]]</f>
        <v>0</v>
      </c>
      <c r="BH134" s="12"/>
      <c r="BI134" s="12"/>
      <c r="BJ134" s="12"/>
      <c r="BK134" s="12"/>
      <c r="BL134" s="12"/>
    </row>
    <row r="135" spans="1:64" x14ac:dyDescent="0.25">
      <c r="A135" s="197" t="b">
        <v>0</v>
      </c>
      <c r="B135" s="10">
        <f t="shared" si="30"/>
        <v>134</v>
      </c>
      <c r="C135" s="49" t="e">
        <f>_xlfn.XLOOKUP($D135,Tab_Process_TCs[Name(EN)],Tab_Process_TCs[Process_ID],,0,)</f>
        <v>#N/A</v>
      </c>
      <c r="D135" s="192" t="s">
        <v>35</v>
      </c>
      <c r="E135" s="192" t="s">
        <v>35</v>
      </c>
      <c r="F135" s="49" t="e">
        <f>_xlfn.XLOOKUP($D135,Tab_Process_TCs[Name(EN)],Tab_Process_TCs[TC?],,0,)</f>
        <v>#N/A</v>
      </c>
      <c r="G135" s="49" t="e">
        <f>_xlfn.XLOOKUP($D135,Tab_Process_TCs[Name(EN)],Tab_Process_TCs[Dyn_TC?],,0,)</f>
        <v>#N/A</v>
      </c>
      <c r="H135" s="10" t="str">
        <f>_xlfn.XLOOKUP($E135,Tab_Def_Flows[Name(EN)],Tab_Def_Flows[Flow_ID],,0,1)</f>
        <v>N.A.</v>
      </c>
      <c r="I135" s="10" t="str">
        <f>IF(Tab_Process_TCs2527[[#This Row],[Name(EN)]]="N.A.","N.A.","TC"&amp;"_"&amp;RIGHT(H135,5))</f>
        <v>N.A.</v>
      </c>
      <c r="J135" s="12"/>
      <c r="K135" s="186"/>
      <c r="L135" s="10"/>
      <c r="M135" s="17" t="e">
        <f>_xlfn.XLOOKUP($D135,Tab_Def_Processes[Name(EN)],Tab_Def_Processes[Input_Flow_I_1],,0,)</f>
        <v>#N/A</v>
      </c>
      <c r="N135" s="10" t="e">
        <f>_xlfn.XLOOKUP($D135,Tab_Def_Processes[Name(EN)],Tab_Def_Processes[Flow_ID_I_1],,0,)</f>
        <v>#N/A</v>
      </c>
      <c r="O135" s="35"/>
      <c r="P135" s="30" t="e">
        <f>_xlfn.XLOOKUP($D135,Tab_Def_Processes[Name(EN)],Tab_Def_Processes[Input_Flow_I_2],,0,)</f>
        <v>#N/A</v>
      </c>
      <c r="Q135" s="10" t="e">
        <f>_xlfn.XLOOKUP($D135,Tab_Def_Processes[Name(EN)],Tab_Def_Processes[Flow_ID_I_2],,0,)</f>
        <v>#N/A</v>
      </c>
      <c r="R135" s="35"/>
      <c r="S135" s="30" t="e">
        <f>_xlfn.XLOOKUP($D135,Tab_Def_Processes[Name(EN)],Tab_Def_Processes[Input_Flow_I_3],,0,)</f>
        <v>#N/A</v>
      </c>
      <c r="T135" s="10" t="e">
        <f>_xlfn.XLOOKUP($D135,Tab_Def_Processes[Name(EN)],Tab_Def_Processes[Flow_ID_I_3],,0,)</f>
        <v>#N/A</v>
      </c>
      <c r="U135" s="35"/>
      <c r="V135" s="30" t="e">
        <f>_xlfn.XLOOKUP($D135,Tab_Def_Processes[Name(EN)],Tab_Def_Processes[Input_Flow_I_4],,0,)</f>
        <v>#N/A</v>
      </c>
      <c r="W135" s="10" t="e">
        <f>_xlfn.XLOOKUP($D135,Tab_Def_Processes[Name(EN)],Tab_Def_Processes[Flow_ID_I_4],,0,)</f>
        <v>#N/A</v>
      </c>
      <c r="X135" s="35"/>
      <c r="Y135" s="30" t="e">
        <f>_xlfn.XLOOKUP($D135,Tab_Def_Processes[Name(EN)],Tab_Def_Processes[Input_Flow_I_5],,0,)</f>
        <v>#N/A</v>
      </c>
      <c r="Z135" s="10" t="e">
        <f>_xlfn.XLOOKUP($D135,Tab_Def_Processes[Name(EN)],Tab_Def_Processes[Flow_ID_I_5],,0,)</f>
        <v>#N/A</v>
      </c>
      <c r="AA135" s="35"/>
      <c r="AB135" s="41">
        <f>Tab_Process_TCs2527[[#This Row],[Flow_TC_I_1_'[%']]]+Tab_Process_TCs2527[[#This Row],[Flow_TC_I_2_'[%']]]+Tab_Process_TCs2527[[#This Row],[Flow_TC_I_3_'[%']]]+Tab_Process_TCs2527[[#This Row],[Flow_TC_I_4_'[%']]]+Tab_Process_TCs2527[[#This Row],[Flow_TC_I_5_'[%']]]</f>
        <v>0</v>
      </c>
      <c r="AC135" s="17" t="e">
        <f>_xlfn.XLOOKUP($D135,#REF!,#REF!,,0,)</f>
        <v>#REF!</v>
      </c>
      <c r="AD135" s="10" t="e">
        <f>_xlfn.XLOOKUP($D135,#REF!,#REF!,,0,)</f>
        <v>#REF!</v>
      </c>
      <c r="AE135" s="44" t="str">
        <f>Tab_Process_TCs2527[[#This Row],[Flow_ID]]</f>
        <v>N.A.</v>
      </c>
      <c r="AF135" s="10" t="e">
        <f t="shared" si="31"/>
        <v>#REF!</v>
      </c>
      <c r="AG135" s="172"/>
      <c r="AH135" s="171" t="e">
        <f>_xlfn.XLOOKUP($D135,#REF!,#REF!,,0,)</f>
        <v>#REF!</v>
      </c>
      <c r="AI135" s="55" t="e">
        <f>_xlfn.XLOOKUP($D135,#REF!,#REF!,,0,)</f>
        <v>#REF!</v>
      </c>
      <c r="AJ135" s="44" t="str">
        <f>Tab_Process_TCs2527[[#This Row],[Flow_ID]]</f>
        <v>N.A.</v>
      </c>
      <c r="AK135" s="10" t="e">
        <f t="shared" si="32"/>
        <v>#REF!</v>
      </c>
      <c r="AL135" s="170"/>
      <c r="AM135" s="17" t="e">
        <f>_xlfn.XLOOKUP($D135,#REF!,#REF!,,0,)</f>
        <v>#REF!</v>
      </c>
      <c r="AN135" s="10" t="e">
        <f>_xlfn.XLOOKUP($D135,#REF!,#REF!,,0,)</f>
        <v>#REF!</v>
      </c>
      <c r="AO135" s="44" t="str">
        <f>Tab_Process_TCs2527[[#This Row],[Flow_ID]]</f>
        <v>N.A.</v>
      </c>
      <c r="AP135" s="10" t="e">
        <f t="shared" si="33"/>
        <v>#REF!</v>
      </c>
      <c r="AQ135" s="170"/>
      <c r="AR135" s="17" t="e">
        <f>_xlfn.XLOOKUP($D135,#REF!,#REF!,,0,)</f>
        <v>#REF!</v>
      </c>
      <c r="AS135" s="10" t="e">
        <f>_xlfn.XLOOKUP($D135,#REF!,#REF!,,0,)</f>
        <v>#REF!</v>
      </c>
      <c r="AT135" s="44" t="str">
        <f>Tab_Process_TCs2527[[#This Row],[Flow_ID]]</f>
        <v>N.A.</v>
      </c>
      <c r="AU135" s="44" t="e">
        <f t="shared" si="34"/>
        <v>#REF!</v>
      </c>
      <c r="AV135" s="170"/>
      <c r="AW135" s="17" t="e">
        <f>_xlfn.XLOOKUP($D135,#REF!,#REF!,,0,)</f>
        <v>#REF!</v>
      </c>
      <c r="AX135" s="10" t="e">
        <f>_xlfn.XLOOKUP($D135,#REF!,#REF!,,0,)</f>
        <v>#REF!</v>
      </c>
      <c r="AY135" s="44" t="str">
        <f>Tab_Process_TCs2527[[#This Row],[Flow_ID]]</f>
        <v>N.A.</v>
      </c>
      <c r="AZ135" s="44" t="e">
        <f t="shared" si="35"/>
        <v>#REF!</v>
      </c>
      <c r="BA135" s="170"/>
      <c r="BB135" s="10" t="e">
        <f>_xlfn.XLOOKUP($D135,#REF!,#REF!,,0,)</f>
        <v>#REF!</v>
      </c>
      <c r="BC135" s="10" t="e">
        <f>_xlfn.XLOOKUP($D135,#REF!,#REF!,,0,)</f>
        <v>#REF!</v>
      </c>
      <c r="BD135" s="44" t="str">
        <f>Tab_Process_TCs2527[[#This Row],[Flow_ID]]</f>
        <v>N.A.</v>
      </c>
      <c r="BE135" s="44" t="e">
        <f t="shared" si="36"/>
        <v>#REF!</v>
      </c>
      <c r="BF135" s="51"/>
      <c r="BG135" s="54">
        <f>Tab_Process_TCs2527[[#This Row],[TC O_6_'[%']]]+Tab_Process_TCs2527[[#This Row],[TC O_5_'[%']]]+Tab_Process_TCs2527[[#This Row],[TC_O_4_'[%']]]+Tab_Process_TCs2527[[#This Row],[TC_O_3_'[%']]]+Tab_Process_TCs2527[[#This Row],[TC_O_2_'[%']]]+Tab_Process_TCs2527[[#This Row],[TC_O_1_'[%']]]</f>
        <v>0</v>
      </c>
      <c r="BH135" s="12"/>
      <c r="BI135" s="12"/>
      <c r="BJ135" s="12"/>
      <c r="BK135" s="12"/>
      <c r="BL135" s="12"/>
    </row>
    <row r="136" spans="1:64" x14ac:dyDescent="0.25">
      <c r="A136" s="197" t="b">
        <v>0</v>
      </c>
      <c r="B136" s="10">
        <f t="shared" si="30"/>
        <v>135</v>
      </c>
      <c r="C136" s="49" t="e">
        <f>_xlfn.XLOOKUP($D136,Tab_Process_TCs[Name(EN)],Tab_Process_TCs[Process_ID],,0,)</f>
        <v>#N/A</v>
      </c>
      <c r="D136" s="192" t="s">
        <v>35</v>
      </c>
      <c r="E136" s="192" t="s">
        <v>35</v>
      </c>
      <c r="F136" s="49" t="e">
        <f>_xlfn.XLOOKUP($D136,Tab_Process_TCs[Name(EN)],Tab_Process_TCs[TC?],,0,)</f>
        <v>#N/A</v>
      </c>
      <c r="G136" s="49" t="e">
        <f>_xlfn.XLOOKUP($D136,Tab_Process_TCs[Name(EN)],Tab_Process_TCs[Dyn_TC?],,0,)</f>
        <v>#N/A</v>
      </c>
      <c r="H136" s="10" t="str">
        <f>_xlfn.XLOOKUP($E136,Tab_Def_Flows[Name(EN)],Tab_Def_Flows[Flow_ID],,0,1)</f>
        <v>N.A.</v>
      </c>
      <c r="I136" s="10" t="str">
        <f>IF(Tab_Process_TCs2527[[#This Row],[Name(EN)]]="N.A.","N.A.","TC"&amp;"_"&amp;RIGHT(H136,5))</f>
        <v>N.A.</v>
      </c>
      <c r="J136" s="12"/>
      <c r="K136" s="186"/>
      <c r="L136" s="10"/>
      <c r="M136" s="17" t="e">
        <f>_xlfn.XLOOKUP($D136,Tab_Def_Processes[Name(EN)],Tab_Def_Processes[Input_Flow_I_1],,0,)</f>
        <v>#N/A</v>
      </c>
      <c r="N136" s="10" t="e">
        <f>_xlfn.XLOOKUP($D136,Tab_Def_Processes[Name(EN)],Tab_Def_Processes[Flow_ID_I_1],,0,)</f>
        <v>#N/A</v>
      </c>
      <c r="O136" s="35"/>
      <c r="P136" s="30" t="e">
        <f>_xlfn.XLOOKUP($D136,Tab_Def_Processes[Name(EN)],Tab_Def_Processes[Input_Flow_I_2],,0,)</f>
        <v>#N/A</v>
      </c>
      <c r="Q136" s="10" t="e">
        <f>_xlfn.XLOOKUP($D136,Tab_Def_Processes[Name(EN)],Tab_Def_Processes[Flow_ID_I_2],,0,)</f>
        <v>#N/A</v>
      </c>
      <c r="R136" s="35"/>
      <c r="S136" s="30" t="e">
        <f>_xlfn.XLOOKUP($D136,Tab_Def_Processes[Name(EN)],Tab_Def_Processes[Input_Flow_I_3],,0,)</f>
        <v>#N/A</v>
      </c>
      <c r="T136" s="10" t="e">
        <f>_xlfn.XLOOKUP($D136,Tab_Def_Processes[Name(EN)],Tab_Def_Processes[Flow_ID_I_3],,0,)</f>
        <v>#N/A</v>
      </c>
      <c r="U136" s="35"/>
      <c r="V136" s="30" t="e">
        <f>_xlfn.XLOOKUP($D136,Tab_Def_Processes[Name(EN)],Tab_Def_Processes[Input_Flow_I_4],,0,)</f>
        <v>#N/A</v>
      </c>
      <c r="W136" s="10" t="e">
        <f>_xlfn.XLOOKUP($D136,Tab_Def_Processes[Name(EN)],Tab_Def_Processes[Flow_ID_I_4],,0,)</f>
        <v>#N/A</v>
      </c>
      <c r="X136" s="35"/>
      <c r="Y136" s="30" t="e">
        <f>_xlfn.XLOOKUP($D136,Tab_Def_Processes[Name(EN)],Tab_Def_Processes[Input_Flow_I_5],,0,)</f>
        <v>#N/A</v>
      </c>
      <c r="Z136" s="10" t="e">
        <f>_xlfn.XLOOKUP($D136,Tab_Def_Processes[Name(EN)],Tab_Def_Processes[Flow_ID_I_5],,0,)</f>
        <v>#N/A</v>
      </c>
      <c r="AA136" s="35"/>
      <c r="AB136" s="41">
        <f>Tab_Process_TCs2527[[#This Row],[Flow_TC_I_1_'[%']]]+Tab_Process_TCs2527[[#This Row],[Flow_TC_I_2_'[%']]]+Tab_Process_TCs2527[[#This Row],[Flow_TC_I_3_'[%']]]+Tab_Process_TCs2527[[#This Row],[Flow_TC_I_4_'[%']]]+Tab_Process_TCs2527[[#This Row],[Flow_TC_I_5_'[%']]]</f>
        <v>0</v>
      </c>
      <c r="AC136" s="17" t="e">
        <f>_xlfn.XLOOKUP($D136,#REF!,#REF!,,0,)</f>
        <v>#REF!</v>
      </c>
      <c r="AD136" s="10" t="e">
        <f>_xlfn.XLOOKUP($D136,#REF!,#REF!,,0,)</f>
        <v>#REF!</v>
      </c>
      <c r="AE136" s="44" t="str">
        <f>Tab_Process_TCs2527[[#This Row],[Flow_ID]]</f>
        <v>N.A.</v>
      </c>
      <c r="AF136" s="10" t="e">
        <f t="shared" si="31"/>
        <v>#REF!</v>
      </c>
      <c r="AG136" s="172"/>
      <c r="AH136" s="171" t="e">
        <f>_xlfn.XLOOKUP($D136,#REF!,#REF!,,0,)</f>
        <v>#REF!</v>
      </c>
      <c r="AI136" s="55" t="e">
        <f>_xlfn.XLOOKUP($D136,#REF!,#REF!,,0,)</f>
        <v>#REF!</v>
      </c>
      <c r="AJ136" s="44" t="str">
        <f>Tab_Process_TCs2527[[#This Row],[Flow_ID]]</f>
        <v>N.A.</v>
      </c>
      <c r="AK136" s="10" t="e">
        <f t="shared" si="32"/>
        <v>#REF!</v>
      </c>
      <c r="AL136" s="170"/>
      <c r="AM136" s="17" t="e">
        <f>_xlfn.XLOOKUP($D136,#REF!,#REF!,,0,)</f>
        <v>#REF!</v>
      </c>
      <c r="AN136" s="10" t="e">
        <f>_xlfn.XLOOKUP($D136,#REF!,#REF!,,0,)</f>
        <v>#REF!</v>
      </c>
      <c r="AO136" s="44" t="str">
        <f>Tab_Process_TCs2527[[#This Row],[Flow_ID]]</f>
        <v>N.A.</v>
      </c>
      <c r="AP136" s="10" t="e">
        <f t="shared" si="33"/>
        <v>#REF!</v>
      </c>
      <c r="AQ136" s="170"/>
      <c r="AR136" s="17" t="e">
        <f>_xlfn.XLOOKUP($D136,#REF!,#REF!,,0,)</f>
        <v>#REF!</v>
      </c>
      <c r="AS136" s="10" t="e">
        <f>_xlfn.XLOOKUP($D136,#REF!,#REF!,,0,)</f>
        <v>#REF!</v>
      </c>
      <c r="AT136" s="44" t="str">
        <f>Tab_Process_TCs2527[[#This Row],[Flow_ID]]</f>
        <v>N.A.</v>
      </c>
      <c r="AU136" s="44" t="e">
        <f t="shared" si="34"/>
        <v>#REF!</v>
      </c>
      <c r="AV136" s="170"/>
      <c r="AW136" s="17" t="e">
        <f>_xlfn.XLOOKUP($D136,#REF!,#REF!,,0,)</f>
        <v>#REF!</v>
      </c>
      <c r="AX136" s="10" t="e">
        <f>_xlfn.XLOOKUP($D136,#REF!,#REF!,,0,)</f>
        <v>#REF!</v>
      </c>
      <c r="AY136" s="44" t="str">
        <f>Tab_Process_TCs2527[[#This Row],[Flow_ID]]</f>
        <v>N.A.</v>
      </c>
      <c r="AZ136" s="44" t="e">
        <f t="shared" si="35"/>
        <v>#REF!</v>
      </c>
      <c r="BA136" s="170"/>
      <c r="BB136" s="10" t="e">
        <f>_xlfn.XLOOKUP($D136,#REF!,#REF!,,0,)</f>
        <v>#REF!</v>
      </c>
      <c r="BC136" s="10" t="e">
        <f>_xlfn.XLOOKUP($D136,#REF!,#REF!,,0,)</f>
        <v>#REF!</v>
      </c>
      <c r="BD136" s="44" t="str">
        <f>Tab_Process_TCs2527[[#This Row],[Flow_ID]]</f>
        <v>N.A.</v>
      </c>
      <c r="BE136" s="44" t="e">
        <f t="shared" si="36"/>
        <v>#REF!</v>
      </c>
      <c r="BF136" s="51"/>
      <c r="BG136" s="54">
        <f>Tab_Process_TCs2527[[#This Row],[TC O_6_'[%']]]+Tab_Process_TCs2527[[#This Row],[TC O_5_'[%']]]+Tab_Process_TCs2527[[#This Row],[TC_O_4_'[%']]]+Tab_Process_TCs2527[[#This Row],[TC_O_3_'[%']]]+Tab_Process_TCs2527[[#This Row],[TC_O_2_'[%']]]+Tab_Process_TCs2527[[#This Row],[TC_O_1_'[%']]]</f>
        <v>0</v>
      </c>
      <c r="BH136" s="12"/>
      <c r="BI136" s="12"/>
      <c r="BJ136" s="12"/>
      <c r="BK136" s="12"/>
      <c r="BL136" s="12"/>
    </row>
    <row r="137" spans="1:64" x14ac:dyDescent="0.25">
      <c r="A137" s="197" t="b">
        <v>0</v>
      </c>
      <c r="B137" s="10">
        <f t="shared" si="30"/>
        <v>136</v>
      </c>
      <c r="C137" s="49" t="e">
        <f>_xlfn.XLOOKUP($D137,Tab_Process_TCs[Name(EN)],Tab_Process_TCs[Process_ID],,0,)</f>
        <v>#N/A</v>
      </c>
      <c r="D137" s="192" t="s">
        <v>35</v>
      </c>
      <c r="E137" s="192" t="s">
        <v>35</v>
      </c>
      <c r="F137" s="49" t="e">
        <f>_xlfn.XLOOKUP($D137,Tab_Process_TCs[Name(EN)],Tab_Process_TCs[TC?],,0,)</f>
        <v>#N/A</v>
      </c>
      <c r="G137" s="49" t="e">
        <f>_xlfn.XLOOKUP($D137,Tab_Process_TCs[Name(EN)],Tab_Process_TCs[Dyn_TC?],,0,)</f>
        <v>#N/A</v>
      </c>
      <c r="H137" s="10" t="str">
        <f>_xlfn.XLOOKUP($E137,Tab_Def_Flows[Name(EN)],Tab_Def_Flows[Flow_ID],,0,1)</f>
        <v>N.A.</v>
      </c>
      <c r="I137" s="10" t="str">
        <f>IF(Tab_Process_TCs2527[[#This Row],[Name(EN)]]="N.A.","N.A.","TC"&amp;"_"&amp;RIGHT(H137,5))</f>
        <v>N.A.</v>
      </c>
      <c r="J137" s="12"/>
      <c r="K137" s="186"/>
      <c r="L137" s="10"/>
      <c r="M137" s="17" t="e">
        <f>_xlfn.XLOOKUP($D137,Tab_Def_Processes[Name(EN)],Tab_Def_Processes[Input_Flow_I_1],,0,)</f>
        <v>#N/A</v>
      </c>
      <c r="N137" s="10" t="e">
        <f>_xlfn.XLOOKUP($D137,Tab_Def_Processes[Name(EN)],Tab_Def_Processes[Flow_ID_I_1],,0,)</f>
        <v>#N/A</v>
      </c>
      <c r="O137" s="35"/>
      <c r="P137" s="30" t="e">
        <f>_xlfn.XLOOKUP($D137,Tab_Def_Processes[Name(EN)],Tab_Def_Processes[Input_Flow_I_2],,0,)</f>
        <v>#N/A</v>
      </c>
      <c r="Q137" s="10" t="e">
        <f>_xlfn.XLOOKUP($D137,Tab_Def_Processes[Name(EN)],Tab_Def_Processes[Flow_ID_I_2],,0,)</f>
        <v>#N/A</v>
      </c>
      <c r="R137" s="35"/>
      <c r="S137" s="30" t="e">
        <f>_xlfn.XLOOKUP($D137,Tab_Def_Processes[Name(EN)],Tab_Def_Processes[Input_Flow_I_3],,0,)</f>
        <v>#N/A</v>
      </c>
      <c r="T137" s="10" t="e">
        <f>_xlfn.XLOOKUP($D137,Tab_Def_Processes[Name(EN)],Tab_Def_Processes[Flow_ID_I_3],,0,)</f>
        <v>#N/A</v>
      </c>
      <c r="U137" s="35"/>
      <c r="V137" s="30" t="e">
        <f>_xlfn.XLOOKUP($D137,Tab_Def_Processes[Name(EN)],Tab_Def_Processes[Input_Flow_I_4],,0,)</f>
        <v>#N/A</v>
      </c>
      <c r="W137" s="10" t="e">
        <f>_xlfn.XLOOKUP($D137,Tab_Def_Processes[Name(EN)],Tab_Def_Processes[Flow_ID_I_4],,0,)</f>
        <v>#N/A</v>
      </c>
      <c r="X137" s="35"/>
      <c r="Y137" s="30" t="e">
        <f>_xlfn.XLOOKUP($D137,Tab_Def_Processes[Name(EN)],Tab_Def_Processes[Input_Flow_I_5],,0,)</f>
        <v>#N/A</v>
      </c>
      <c r="Z137" s="10" t="e">
        <f>_xlfn.XLOOKUP($D137,Tab_Def_Processes[Name(EN)],Tab_Def_Processes[Flow_ID_I_5],,0,)</f>
        <v>#N/A</v>
      </c>
      <c r="AA137" s="35"/>
      <c r="AB137" s="41">
        <f>Tab_Process_TCs2527[[#This Row],[Flow_TC_I_1_'[%']]]+Tab_Process_TCs2527[[#This Row],[Flow_TC_I_2_'[%']]]+Tab_Process_TCs2527[[#This Row],[Flow_TC_I_3_'[%']]]+Tab_Process_TCs2527[[#This Row],[Flow_TC_I_4_'[%']]]+Tab_Process_TCs2527[[#This Row],[Flow_TC_I_5_'[%']]]</f>
        <v>0</v>
      </c>
      <c r="AC137" s="17" t="e">
        <f>_xlfn.XLOOKUP($D137,#REF!,#REF!,,0,)</f>
        <v>#REF!</v>
      </c>
      <c r="AD137" s="10" t="e">
        <f>_xlfn.XLOOKUP($D137,#REF!,#REF!,,0,)</f>
        <v>#REF!</v>
      </c>
      <c r="AE137" s="44" t="str">
        <f>Tab_Process_TCs2527[[#This Row],[Flow_ID]]</f>
        <v>N.A.</v>
      </c>
      <c r="AF137" s="10" t="e">
        <f t="shared" si="31"/>
        <v>#REF!</v>
      </c>
      <c r="AG137" s="172"/>
      <c r="AH137" s="171" t="e">
        <f>_xlfn.XLOOKUP($D137,#REF!,#REF!,,0,)</f>
        <v>#REF!</v>
      </c>
      <c r="AI137" s="55" t="e">
        <f>_xlfn.XLOOKUP($D137,#REF!,#REF!,,0,)</f>
        <v>#REF!</v>
      </c>
      <c r="AJ137" s="44" t="str">
        <f>Tab_Process_TCs2527[[#This Row],[Flow_ID]]</f>
        <v>N.A.</v>
      </c>
      <c r="AK137" s="10" t="e">
        <f t="shared" si="32"/>
        <v>#REF!</v>
      </c>
      <c r="AL137" s="170"/>
      <c r="AM137" s="17" t="e">
        <f>_xlfn.XLOOKUP($D137,#REF!,#REF!,,0,)</f>
        <v>#REF!</v>
      </c>
      <c r="AN137" s="10" t="e">
        <f>_xlfn.XLOOKUP($D137,#REF!,#REF!,,0,)</f>
        <v>#REF!</v>
      </c>
      <c r="AO137" s="44" t="str">
        <f>Tab_Process_TCs2527[[#This Row],[Flow_ID]]</f>
        <v>N.A.</v>
      </c>
      <c r="AP137" s="10" t="e">
        <f t="shared" si="33"/>
        <v>#REF!</v>
      </c>
      <c r="AQ137" s="170"/>
      <c r="AR137" s="17" t="e">
        <f>_xlfn.XLOOKUP($D137,#REF!,#REF!,,0,)</f>
        <v>#REF!</v>
      </c>
      <c r="AS137" s="10" t="e">
        <f>_xlfn.XLOOKUP($D137,#REF!,#REF!,,0,)</f>
        <v>#REF!</v>
      </c>
      <c r="AT137" s="44" t="str">
        <f>Tab_Process_TCs2527[[#This Row],[Flow_ID]]</f>
        <v>N.A.</v>
      </c>
      <c r="AU137" s="44" t="e">
        <f t="shared" si="34"/>
        <v>#REF!</v>
      </c>
      <c r="AV137" s="170"/>
      <c r="AW137" s="17" t="e">
        <f>_xlfn.XLOOKUP($D137,#REF!,#REF!,,0,)</f>
        <v>#REF!</v>
      </c>
      <c r="AX137" s="10" t="e">
        <f>_xlfn.XLOOKUP($D137,#REF!,#REF!,,0,)</f>
        <v>#REF!</v>
      </c>
      <c r="AY137" s="44" t="str">
        <f>Tab_Process_TCs2527[[#This Row],[Flow_ID]]</f>
        <v>N.A.</v>
      </c>
      <c r="AZ137" s="44" t="e">
        <f t="shared" si="35"/>
        <v>#REF!</v>
      </c>
      <c r="BA137" s="170"/>
      <c r="BB137" s="10" t="e">
        <f>_xlfn.XLOOKUP($D137,#REF!,#REF!,,0,)</f>
        <v>#REF!</v>
      </c>
      <c r="BC137" s="10" t="e">
        <f>_xlfn.XLOOKUP($D137,#REF!,#REF!,,0,)</f>
        <v>#REF!</v>
      </c>
      <c r="BD137" s="44" t="str">
        <f>Tab_Process_TCs2527[[#This Row],[Flow_ID]]</f>
        <v>N.A.</v>
      </c>
      <c r="BE137" s="44" t="e">
        <f t="shared" si="36"/>
        <v>#REF!</v>
      </c>
      <c r="BF137" s="51"/>
      <c r="BG137" s="54">
        <f>Tab_Process_TCs2527[[#This Row],[TC O_6_'[%']]]+Tab_Process_TCs2527[[#This Row],[TC O_5_'[%']]]+Tab_Process_TCs2527[[#This Row],[TC_O_4_'[%']]]+Tab_Process_TCs2527[[#This Row],[TC_O_3_'[%']]]+Tab_Process_TCs2527[[#This Row],[TC_O_2_'[%']]]+Tab_Process_TCs2527[[#This Row],[TC_O_1_'[%']]]</f>
        <v>0</v>
      </c>
      <c r="BH137" s="12"/>
      <c r="BI137" s="12"/>
      <c r="BJ137" s="12"/>
      <c r="BK137" s="12"/>
      <c r="BL137" s="12"/>
    </row>
    <row r="138" spans="1:64" x14ac:dyDescent="0.25">
      <c r="A138" s="197" t="b">
        <v>0</v>
      </c>
      <c r="B138" s="10">
        <f t="shared" si="30"/>
        <v>137</v>
      </c>
      <c r="C138" s="49" t="e">
        <f>_xlfn.XLOOKUP($D138,Tab_Process_TCs[Name(EN)],Tab_Process_TCs[Process_ID],,0,)</f>
        <v>#N/A</v>
      </c>
      <c r="D138" s="192" t="s">
        <v>35</v>
      </c>
      <c r="E138" s="192" t="s">
        <v>35</v>
      </c>
      <c r="F138" s="49" t="e">
        <f>_xlfn.XLOOKUP($D138,Tab_Process_TCs[Name(EN)],Tab_Process_TCs[TC?],,0,)</f>
        <v>#N/A</v>
      </c>
      <c r="G138" s="49" t="e">
        <f>_xlfn.XLOOKUP($D138,Tab_Process_TCs[Name(EN)],Tab_Process_TCs[Dyn_TC?],,0,)</f>
        <v>#N/A</v>
      </c>
      <c r="H138" s="10" t="str">
        <f>_xlfn.XLOOKUP($E138,Tab_Def_Flows[Name(EN)],Tab_Def_Flows[Flow_ID],,0,1)</f>
        <v>N.A.</v>
      </c>
      <c r="I138" s="10" t="str">
        <f>IF(Tab_Process_TCs2527[[#This Row],[Name(EN)]]="N.A.","N.A.","TC"&amp;"_"&amp;RIGHT(H138,5))</f>
        <v>N.A.</v>
      </c>
      <c r="J138" s="12"/>
      <c r="K138" s="186"/>
      <c r="L138" s="10"/>
      <c r="M138" s="17" t="e">
        <f>_xlfn.XLOOKUP($D138,Tab_Def_Processes[Name(EN)],Tab_Def_Processes[Input_Flow_I_1],,0,)</f>
        <v>#N/A</v>
      </c>
      <c r="N138" s="10" t="e">
        <f>_xlfn.XLOOKUP($D138,Tab_Def_Processes[Name(EN)],Tab_Def_Processes[Flow_ID_I_1],,0,)</f>
        <v>#N/A</v>
      </c>
      <c r="O138" s="35"/>
      <c r="P138" s="30" t="e">
        <f>_xlfn.XLOOKUP($D138,Tab_Def_Processes[Name(EN)],Tab_Def_Processes[Input_Flow_I_2],,0,)</f>
        <v>#N/A</v>
      </c>
      <c r="Q138" s="10" t="e">
        <f>_xlfn.XLOOKUP($D138,Tab_Def_Processes[Name(EN)],Tab_Def_Processes[Flow_ID_I_2],,0,)</f>
        <v>#N/A</v>
      </c>
      <c r="R138" s="35"/>
      <c r="S138" s="30" t="e">
        <f>_xlfn.XLOOKUP($D138,Tab_Def_Processes[Name(EN)],Tab_Def_Processes[Input_Flow_I_3],,0,)</f>
        <v>#N/A</v>
      </c>
      <c r="T138" s="10" t="e">
        <f>_xlfn.XLOOKUP($D138,Tab_Def_Processes[Name(EN)],Tab_Def_Processes[Flow_ID_I_3],,0,)</f>
        <v>#N/A</v>
      </c>
      <c r="U138" s="35"/>
      <c r="V138" s="30" t="e">
        <f>_xlfn.XLOOKUP($D138,Tab_Def_Processes[Name(EN)],Tab_Def_Processes[Input_Flow_I_4],,0,)</f>
        <v>#N/A</v>
      </c>
      <c r="W138" s="10" t="e">
        <f>_xlfn.XLOOKUP($D138,Tab_Def_Processes[Name(EN)],Tab_Def_Processes[Flow_ID_I_4],,0,)</f>
        <v>#N/A</v>
      </c>
      <c r="X138" s="35"/>
      <c r="Y138" s="30" t="e">
        <f>_xlfn.XLOOKUP($D138,Tab_Def_Processes[Name(EN)],Tab_Def_Processes[Input_Flow_I_5],,0,)</f>
        <v>#N/A</v>
      </c>
      <c r="Z138" s="10" t="e">
        <f>_xlfn.XLOOKUP($D138,Tab_Def_Processes[Name(EN)],Tab_Def_Processes[Flow_ID_I_5],,0,)</f>
        <v>#N/A</v>
      </c>
      <c r="AA138" s="35"/>
      <c r="AB138" s="41">
        <f>Tab_Process_TCs2527[[#This Row],[Flow_TC_I_1_'[%']]]+Tab_Process_TCs2527[[#This Row],[Flow_TC_I_2_'[%']]]+Tab_Process_TCs2527[[#This Row],[Flow_TC_I_3_'[%']]]+Tab_Process_TCs2527[[#This Row],[Flow_TC_I_4_'[%']]]+Tab_Process_TCs2527[[#This Row],[Flow_TC_I_5_'[%']]]</f>
        <v>0</v>
      </c>
      <c r="AC138" s="17" t="e">
        <f>_xlfn.XLOOKUP($D138,#REF!,#REF!,,0,)</f>
        <v>#REF!</v>
      </c>
      <c r="AD138" s="10" t="e">
        <f>_xlfn.XLOOKUP($D138,#REF!,#REF!,,0,)</f>
        <v>#REF!</v>
      </c>
      <c r="AE138" s="44" t="str">
        <f>Tab_Process_TCs2527[[#This Row],[Flow_ID]]</f>
        <v>N.A.</v>
      </c>
      <c r="AF138" s="10" t="e">
        <f t="shared" si="31"/>
        <v>#REF!</v>
      </c>
      <c r="AG138" s="172"/>
      <c r="AH138" s="171" t="e">
        <f>_xlfn.XLOOKUP($D138,#REF!,#REF!,,0,)</f>
        <v>#REF!</v>
      </c>
      <c r="AI138" s="55" t="e">
        <f>_xlfn.XLOOKUP($D138,#REF!,#REF!,,0,)</f>
        <v>#REF!</v>
      </c>
      <c r="AJ138" s="44" t="str">
        <f>Tab_Process_TCs2527[[#This Row],[Flow_ID]]</f>
        <v>N.A.</v>
      </c>
      <c r="AK138" s="10" t="e">
        <f t="shared" si="32"/>
        <v>#REF!</v>
      </c>
      <c r="AL138" s="170"/>
      <c r="AM138" s="17" t="e">
        <f>_xlfn.XLOOKUP($D138,#REF!,#REF!,,0,)</f>
        <v>#REF!</v>
      </c>
      <c r="AN138" s="10" t="e">
        <f>_xlfn.XLOOKUP($D138,#REF!,#REF!,,0,)</f>
        <v>#REF!</v>
      </c>
      <c r="AO138" s="44" t="str">
        <f>Tab_Process_TCs2527[[#This Row],[Flow_ID]]</f>
        <v>N.A.</v>
      </c>
      <c r="AP138" s="10" t="e">
        <f t="shared" si="33"/>
        <v>#REF!</v>
      </c>
      <c r="AQ138" s="170"/>
      <c r="AR138" s="17" t="e">
        <f>_xlfn.XLOOKUP($D138,#REF!,#REF!,,0,)</f>
        <v>#REF!</v>
      </c>
      <c r="AS138" s="10" t="e">
        <f>_xlfn.XLOOKUP($D138,#REF!,#REF!,,0,)</f>
        <v>#REF!</v>
      </c>
      <c r="AT138" s="44" t="str">
        <f>Tab_Process_TCs2527[[#This Row],[Flow_ID]]</f>
        <v>N.A.</v>
      </c>
      <c r="AU138" s="44" t="e">
        <f t="shared" si="34"/>
        <v>#REF!</v>
      </c>
      <c r="AV138" s="170"/>
      <c r="AW138" s="17" t="e">
        <f>_xlfn.XLOOKUP($D138,#REF!,#REF!,,0,)</f>
        <v>#REF!</v>
      </c>
      <c r="AX138" s="10" t="e">
        <f>_xlfn.XLOOKUP($D138,#REF!,#REF!,,0,)</f>
        <v>#REF!</v>
      </c>
      <c r="AY138" s="44" t="str">
        <f>Tab_Process_TCs2527[[#This Row],[Flow_ID]]</f>
        <v>N.A.</v>
      </c>
      <c r="AZ138" s="44" t="e">
        <f t="shared" si="35"/>
        <v>#REF!</v>
      </c>
      <c r="BA138" s="170"/>
      <c r="BB138" s="10" t="e">
        <f>_xlfn.XLOOKUP($D138,#REF!,#REF!,,0,)</f>
        <v>#REF!</v>
      </c>
      <c r="BC138" s="10" t="e">
        <f>_xlfn.XLOOKUP($D138,#REF!,#REF!,,0,)</f>
        <v>#REF!</v>
      </c>
      <c r="BD138" s="44" t="str">
        <f>Tab_Process_TCs2527[[#This Row],[Flow_ID]]</f>
        <v>N.A.</v>
      </c>
      <c r="BE138" s="44" t="e">
        <f t="shared" si="36"/>
        <v>#REF!</v>
      </c>
      <c r="BF138" s="51"/>
      <c r="BG138" s="54">
        <f>Tab_Process_TCs2527[[#This Row],[TC O_6_'[%']]]+Tab_Process_TCs2527[[#This Row],[TC O_5_'[%']]]+Tab_Process_TCs2527[[#This Row],[TC_O_4_'[%']]]+Tab_Process_TCs2527[[#This Row],[TC_O_3_'[%']]]+Tab_Process_TCs2527[[#This Row],[TC_O_2_'[%']]]+Tab_Process_TCs2527[[#This Row],[TC_O_1_'[%']]]</f>
        <v>0</v>
      </c>
      <c r="BH138" s="12"/>
      <c r="BI138" s="12"/>
      <c r="BJ138" s="12"/>
      <c r="BK138" s="12"/>
      <c r="BL138" s="12"/>
    </row>
    <row r="139" spans="1:64" x14ac:dyDescent="0.25">
      <c r="A139" s="197" t="b">
        <v>0</v>
      </c>
      <c r="B139" s="10">
        <f t="shared" si="30"/>
        <v>138</v>
      </c>
      <c r="C139" s="49" t="e">
        <f>_xlfn.XLOOKUP($D139,Tab_Process_TCs[Name(EN)],Tab_Process_TCs[Process_ID],,0,)</f>
        <v>#N/A</v>
      </c>
      <c r="D139" s="192" t="s">
        <v>35</v>
      </c>
      <c r="E139" s="192" t="s">
        <v>35</v>
      </c>
      <c r="F139" s="49" t="e">
        <f>_xlfn.XLOOKUP($D139,Tab_Process_TCs[Name(EN)],Tab_Process_TCs[TC?],,0,)</f>
        <v>#N/A</v>
      </c>
      <c r="G139" s="49" t="e">
        <f>_xlfn.XLOOKUP($D139,Tab_Process_TCs[Name(EN)],Tab_Process_TCs[Dyn_TC?],,0,)</f>
        <v>#N/A</v>
      </c>
      <c r="H139" s="10" t="str">
        <f>_xlfn.XLOOKUP($E139,Tab_Def_Flows[Name(EN)],Tab_Def_Flows[Flow_ID],,0,1)</f>
        <v>N.A.</v>
      </c>
      <c r="I139" s="10" t="str">
        <f>IF(Tab_Process_TCs2527[[#This Row],[Name(EN)]]="N.A.","N.A.","TC"&amp;"_"&amp;RIGHT(H139,5))</f>
        <v>N.A.</v>
      </c>
      <c r="J139" s="12"/>
      <c r="K139" s="186"/>
      <c r="L139" s="10"/>
      <c r="M139" s="17" t="e">
        <f>_xlfn.XLOOKUP($D139,Tab_Def_Processes[Name(EN)],Tab_Def_Processes[Input_Flow_I_1],,0,)</f>
        <v>#N/A</v>
      </c>
      <c r="N139" s="10" t="e">
        <f>_xlfn.XLOOKUP($D139,Tab_Def_Processes[Name(EN)],Tab_Def_Processes[Flow_ID_I_1],,0,)</f>
        <v>#N/A</v>
      </c>
      <c r="O139" s="35"/>
      <c r="P139" s="30" t="e">
        <f>_xlfn.XLOOKUP($D139,Tab_Def_Processes[Name(EN)],Tab_Def_Processes[Input_Flow_I_2],,0,)</f>
        <v>#N/A</v>
      </c>
      <c r="Q139" s="10" t="e">
        <f>_xlfn.XLOOKUP($D139,Tab_Def_Processes[Name(EN)],Tab_Def_Processes[Flow_ID_I_2],,0,)</f>
        <v>#N/A</v>
      </c>
      <c r="R139" s="35"/>
      <c r="S139" s="30" t="e">
        <f>_xlfn.XLOOKUP($D139,Tab_Def_Processes[Name(EN)],Tab_Def_Processes[Input_Flow_I_3],,0,)</f>
        <v>#N/A</v>
      </c>
      <c r="T139" s="10" t="e">
        <f>_xlfn.XLOOKUP($D139,Tab_Def_Processes[Name(EN)],Tab_Def_Processes[Flow_ID_I_3],,0,)</f>
        <v>#N/A</v>
      </c>
      <c r="U139" s="35"/>
      <c r="V139" s="30" t="e">
        <f>_xlfn.XLOOKUP($D139,Tab_Def_Processes[Name(EN)],Tab_Def_Processes[Input_Flow_I_4],,0,)</f>
        <v>#N/A</v>
      </c>
      <c r="W139" s="10" t="e">
        <f>_xlfn.XLOOKUP($D139,Tab_Def_Processes[Name(EN)],Tab_Def_Processes[Flow_ID_I_4],,0,)</f>
        <v>#N/A</v>
      </c>
      <c r="X139" s="35"/>
      <c r="Y139" s="30" t="e">
        <f>_xlfn.XLOOKUP($D139,Tab_Def_Processes[Name(EN)],Tab_Def_Processes[Input_Flow_I_5],,0,)</f>
        <v>#N/A</v>
      </c>
      <c r="Z139" s="10" t="e">
        <f>_xlfn.XLOOKUP($D139,Tab_Def_Processes[Name(EN)],Tab_Def_Processes[Flow_ID_I_5],,0,)</f>
        <v>#N/A</v>
      </c>
      <c r="AA139" s="35"/>
      <c r="AB139" s="41">
        <f>Tab_Process_TCs2527[[#This Row],[Flow_TC_I_1_'[%']]]+Tab_Process_TCs2527[[#This Row],[Flow_TC_I_2_'[%']]]+Tab_Process_TCs2527[[#This Row],[Flow_TC_I_3_'[%']]]+Tab_Process_TCs2527[[#This Row],[Flow_TC_I_4_'[%']]]+Tab_Process_TCs2527[[#This Row],[Flow_TC_I_5_'[%']]]</f>
        <v>0</v>
      </c>
      <c r="AC139" s="17" t="e">
        <f>_xlfn.XLOOKUP($D139,#REF!,#REF!,,0,)</f>
        <v>#REF!</v>
      </c>
      <c r="AD139" s="10" t="e">
        <f>_xlfn.XLOOKUP($D139,#REF!,#REF!,,0,)</f>
        <v>#REF!</v>
      </c>
      <c r="AE139" s="44" t="str">
        <f>Tab_Process_TCs2527[[#This Row],[Flow_ID]]</f>
        <v>N.A.</v>
      </c>
      <c r="AF139" s="10" t="e">
        <f t="shared" si="31"/>
        <v>#REF!</v>
      </c>
      <c r="AG139" s="172"/>
      <c r="AH139" s="171" t="e">
        <f>_xlfn.XLOOKUP($D139,#REF!,#REF!,,0,)</f>
        <v>#REF!</v>
      </c>
      <c r="AI139" s="55" t="e">
        <f>_xlfn.XLOOKUP($D139,#REF!,#REF!,,0,)</f>
        <v>#REF!</v>
      </c>
      <c r="AJ139" s="44" t="str">
        <f>Tab_Process_TCs2527[[#This Row],[Flow_ID]]</f>
        <v>N.A.</v>
      </c>
      <c r="AK139" s="10" t="e">
        <f t="shared" si="32"/>
        <v>#REF!</v>
      </c>
      <c r="AL139" s="170"/>
      <c r="AM139" s="17" t="e">
        <f>_xlfn.XLOOKUP($D139,#REF!,#REF!,,0,)</f>
        <v>#REF!</v>
      </c>
      <c r="AN139" s="10" t="e">
        <f>_xlfn.XLOOKUP($D139,#REF!,#REF!,,0,)</f>
        <v>#REF!</v>
      </c>
      <c r="AO139" s="44" t="str">
        <f>Tab_Process_TCs2527[[#This Row],[Flow_ID]]</f>
        <v>N.A.</v>
      </c>
      <c r="AP139" s="10" t="e">
        <f t="shared" si="33"/>
        <v>#REF!</v>
      </c>
      <c r="AQ139" s="170"/>
      <c r="AR139" s="17" t="e">
        <f>_xlfn.XLOOKUP($D139,#REF!,#REF!,,0,)</f>
        <v>#REF!</v>
      </c>
      <c r="AS139" s="10" t="e">
        <f>_xlfn.XLOOKUP($D139,#REF!,#REF!,,0,)</f>
        <v>#REF!</v>
      </c>
      <c r="AT139" s="44" t="str">
        <f>Tab_Process_TCs2527[[#This Row],[Flow_ID]]</f>
        <v>N.A.</v>
      </c>
      <c r="AU139" s="44" t="e">
        <f t="shared" si="34"/>
        <v>#REF!</v>
      </c>
      <c r="AV139" s="170"/>
      <c r="AW139" s="17" t="e">
        <f>_xlfn.XLOOKUP($D139,#REF!,#REF!,,0,)</f>
        <v>#REF!</v>
      </c>
      <c r="AX139" s="10" t="e">
        <f>_xlfn.XLOOKUP($D139,#REF!,#REF!,,0,)</f>
        <v>#REF!</v>
      </c>
      <c r="AY139" s="44" t="str">
        <f>Tab_Process_TCs2527[[#This Row],[Flow_ID]]</f>
        <v>N.A.</v>
      </c>
      <c r="AZ139" s="44" t="e">
        <f t="shared" si="35"/>
        <v>#REF!</v>
      </c>
      <c r="BA139" s="170"/>
      <c r="BB139" s="10" t="e">
        <f>_xlfn.XLOOKUP($D139,#REF!,#REF!,,0,)</f>
        <v>#REF!</v>
      </c>
      <c r="BC139" s="10" t="e">
        <f>_xlfn.XLOOKUP($D139,#REF!,#REF!,,0,)</f>
        <v>#REF!</v>
      </c>
      <c r="BD139" s="44" t="str">
        <f>Tab_Process_TCs2527[[#This Row],[Flow_ID]]</f>
        <v>N.A.</v>
      </c>
      <c r="BE139" s="44" t="e">
        <f t="shared" si="36"/>
        <v>#REF!</v>
      </c>
      <c r="BF139" s="51"/>
      <c r="BG139" s="54">
        <f>Tab_Process_TCs2527[[#This Row],[TC O_6_'[%']]]+Tab_Process_TCs2527[[#This Row],[TC O_5_'[%']]]+Tab_Process_TCs2527[[#This Row],[TC_O_4_'[%']]]+Tab_Process_TCs2527[[#This Row],[TC_O_3_'[%']]]+Tab_Process_TCs2527[[#This Row],[TC_O_2_'[%']]]+Tab_Process_TCs2527[[#This Row],[TC_O_1_'[%']]]</f>
        <v>0</v>
      </c>
      <c r="BH139" s="12"/>
      <c r="BI139" s="12"/>
      <c r="BJ139" s="12"/>
      <c r="BK139" s="12"/>
      <c r="BL139" s="12"/>
    </row>
    <row r="140" spans="1:64" x14ac:dyDescent="0.25">
      <c r="A140" s="197" t="b">
        <v>0</v>
      </c>
      <c r="B140" s="10">
        <f t="shared" si="30"/>
        <v>139</v>
      </c>
      <c r="C140" s="49" t="e">
        <f>_xlfn.XLOOKUP($D140,Tab_Process_TCs[Name(EN)],Tab_Process_TCs[Process_ID],,0,)</f>
        <v>#N/A</v>
      </c>
      <c r="D140" s="192" t="s">
        <v>35</v>
      </c>
      <c r="E140" s="192" t="s">
        <v>35</v>
      </c>
      <c r="F140" s="49" t="e">
        <f>_xlfn.XLOOKUP($D140,Tab_Process_TCs[Name(EN)],Tab_Process_TCs[TC?],,0,)</f>
        <v>#N/A</v>
      </c>
      <c r="G140" s="49" t="e">
        <f>_xlfn.XLOOKUP($D140,Tab_Process_TCs[Name(EN)],Tab_Process_TCs[Dyn_TC?],,0,)</f>
        <v>#N/A</v>
      </c>
      <c r="H140" s="10" t="str">
        <f>_xlfn.XLOOKUP($E140,Tab_Def_Flows[Name(EN)],Tab_Def_Flows[Flow_ID],,0,1)</f>
        <v>N.A.</v>
      </c>
      <c r="I140" s="10" t="str">
        <f>IF(Tab_Process_TCs2527[[#This Row],[Name(EN)]]="N.A.","N.A.","TC"&amp;"_"&amp;RIGHT(H140,5))</f>
        <v>N.A.</v>
      </c>
      <c r="J140" s="12"/>
      <c r="K140" s="58"/>
      <c r="L140" s="10"/>
      <c r="M140" s="17" t="e">
        <f>_xlfn.XLOOKUP($D140,Tab_Def_Processes[Name(EN)],Tab_Def_Processes[Input_Flow_I_1],,0,)</f>
        <v>#N/A</v>
      </c>
      <c r="N140" s="10" t="e">
        <f>_xlfn.XLOOKUP($D140,Tab_Def_Processes[Name(EN)],Tab_Def_Processes[Flow_ID_I_1],,0,)</f>
        <v>#N/A</v>
      </c>
      <c r="O140" s="184"/>
      <c r="P140" s="30" t="e">
        <f>_xlfn.XLOOKUP($D140,Tab_Def_Processes[Name(EN)],Tab_Def_Processes[Input_Flow_I_2],,0,)</f>
        <v>#N/A</v>
      </c>
      <c r="Q140" s="10" t="e">
        <f>_xlfn.XLOOKUP($D140,Tab_Def_Processes[Name(EN)],Tab_Def_Processes[Flow_ID_I_2],,0,)</f>
        <v>#N/A</v>
      </c>
      <c r="R140" s="184"/>
      <c r="S140" s="30" t="e">
        <f>_xlfn.XLOOKUP($D140,Tab_Def_Processes[Name(EN)],Tab_Def_Processes[Input_Flow_I_3],,0,)</f>
        <v>#N/A</v>
      </c>
      <c r="T140" s="10" t="e">
        <f>_xlfn.XLOOKUP($D140,Tab_Def_Processes[Name(EN)],Tab_Def_Processes[Flow_ID_I_3],,0,)</f>
        <v>#N/A</v>
      </c>
      <c r="U140" s="184"/>
      <c r="V140" s="30" t="e">
        <f>_xlfn.XLOOKUP($D140,Tab_Def_Processes[Name(EN)],Tab_Def_Processes[Input_Flow_I_4],,0,)</f>
        <v>#N/A</v>
      </c>
      <c r="W140" s="10" t="e">
        <f>_xlfn.XLOOKUP($D140,Tab_Def_Processes[Name(EN)],Tab_Def_Processes[Flow_ID_I_4],,0,)</f>
        <v>#N/A</v>
      </c>
      <c r="X140" s="184"/>
      <c r="Y140" s="30" t="e">
        <f>_xlfn.XLOOKUP($D140,Tab_Def_Processes[Name(EN)],Tab_Def_Processes[Input_Flow_I_5],,0,)</f>
        <v>#N/A</v>
      </c>
      <c r="Z140" s="10" t="e">
        <f>_xlfn.XLOOKUP($D140,Tab_Def_Processes[Name(EN)],Tab_Def_Processes[Flow_ID_I_5],,0,)</f>
        <v>#N/A</v>
      </c>
      <c r="AA140" s="184"/>
      <c r="AB140" s="33">
        <f>Tab_Process_TCs2527[[#This Row],[Flow_TC_I_1_'[%']]]+Tab_Process_TCs2527[[#This Row],[Flow_TC_I_2_'[%']]]+Tab_Process_TCs2527[[#This Row],[Flow_TC_I_3_'[%']]]+Tab_Process_TCs2527[[#This Row],[Flow_TC_I_4_'[%']]]+Tab_Process_TCs2527[[#This Row],[Flow_TC_I_5_'[%']]]</f>
        <v>0</v>
      </c>
      <c r="AC140" s="17" t="e">
        <f>_xlfn.XLOOKUP($D140,#REF!,#REF!,,0,)</f>
        <v>#REF!</v>
      </c>
      <c r="AD140" s="10" t="e">
        <f>_xlfn.XLOOKUP($D140,#REF!,#REF!,,0,)</f>
        <v>#REF!</v>
      </c>
      <c r="AE140" s="44" t="str">
        <f>Tab_Process_TCs2527[[#This Row],[Flow_ID]]</f>
        <v>N.A.</v>
      </c>
      <c r="AF140" s="10" t="e">
        <f t="shared" si="31"/>
        <v>#REF!</v>
      </c>
      <c r="AG140" s="172">
        <v>0.2</v>
      </c>
      <c r="AH140" s="17" t="e">
        <f>_xlfn.XLOOKUP($D140,#REF!,#REF!,,0,)</f>
        <v>#REF!</v>
      </c>
      <c r="AI140" s="10" t="e">
        <f>_xlfn.XLOOKUP($D140,#REF!,#REF!,,0,)</f>
        <v>#REF!</v>
      </c>
      <c r="AJ140" s="44" t="str">
        <f>Tab_Process_TCs2527[[#This Row],[Flow_ID]]</f>
        <v>N.A.</v>
      </c>
      <c r="AK140" s="10" t="e">
        <f t="shared" si="32"/>
        <v>#REF!</v>
      </c>
      <c r="AL140" s="170">
        <v>0.8</v>
      </c>
      <c r="AM140" s="17" t="e">
        <f>_xlfn.XLOOKUP($D140,#REF!,#REF!,,0,)</f>
        <v>#REF!</v>
      </c>
      <c r="AN140" s="10" t="e">
        <f>_xlfn.XLOOKUP($D140,#REF!,#REF!,,0,)</f>
        <v>#REF!</v>
      </c>
      <c r="AO140" s="44" t="str">
        <f>Tab_Process_TCs2527[[#This Row],[Flow_ID]]</f>
        <v>N.A.</v>
      </c>
      <c r="AP140" s="10" t="e">
        <f t="shared" si="33"/>
        <v>#REF!</v>
      </c>
      <c r="AQ140" s="170"/>
      <c r="AR140" s="17" t="e">
        <f>_xlfn.XLOOKUP($D140,#REF!,#REF!,,0,)</f>
        <v>#REF!</v>
      </c>
      <c r="AS140" s="10" t="e">
        <f>_xlfn.XLOOKUP($D140,#REF!,#REF!,,0,)</f>
        <v>#REF!</v>
      </c>
      <c r="AT140" s="44" t="str">
        <f>Tab_Process_TCs2527[[#This Row],[Flow_ID]]</f>
        <v>N.A.</v>
      </c>
      <c r="AU140" s="44" t="e">
        <f t="shared" si="34"/>
        <v>#REF!</v>
      </c>
      <c r="AV140" s="170"/>
      <c r="AW140" s="17" t="e">
        <f>_xlfn.XLOOKUP($D140,#REF!,#REF!,,0,)</f>
        <v>#REF!</v>
      </c>
      <c r="AX140" s="10" t="e">
        <f>_xlfn.XLOOKUP($D140,#REF!,#REF!,,0,)</f>
        <v>#REF!</v>
      </c>
      <c r="AY140" s="44" t="str">
        <f>Tab_Process_TCs2527[[#This Row],[Flow_ID]]</f>
        <v>N.A.</v>
      </c>
      <c r="AZ140" s="44" t="e">
        <f t="shared" si="35"/>
        <v>#REF!</v>
      </c>
      <c r="BA140" s="170"/>
      <c r="BB140" s="10" t="e">
        <f>_xlfn.XLOOKUP($D140,#REF!,#REF!,,0,)</f>
        <v>#REF!</v>
      </c>
      <c r="BC140" s="10" t="e">
        <f>_xlfn.XLOOKUP($D140,#REF!,#REF!,,0,)</f>
        <v>#REF!</v>
      </c>
      <c r="BD140" s="44" t="str">
        <f>Tab_Process_TCs2527[[#This Row],[Flow_ID]]</f>
        <v>N.A.</v>
      </c>
      <c r="BE140" s="44" t="e">
        <f t="shared" si="36"/>
        <v>#REF!</v>
      </c>
      <c r="BF140" s="51"/>
      <c r="BG140" s="54">
        <f>Tab_Process_TCs2527[[#This Row],[TC O_6_'[%']]]+Tab_Process_TCs2527[[#This Row],[TC O_5_'[%']]]+Tab_Process_TCs2527[[#This Row],[TC_O_4_'[%']]]+Tab_Process_TCs2527[[#This Row],[TC_O_3_'[%']]]+Tab_Process_TCs2527[[#This Row],[TC_O_2_'[%']]]+Tab_Process_TCs2527[[#This Row],[TC_O_1_'[%']]]</f>
        <v>1</v>
      </c>
      <c r="BH140" s="12"/>
      <c r="BI140" s="12"/>
      <c r="BJ140" s="12"/>
      <c r="BK140" s="12"/>
      <c r="BL140" s="12"/>
    </row>
    <row r="141" spans="1:64" x14ac:dyDescent="0.25">
      <c r="A141" s="197" t="b">
        <v>0</v>
      </c>
      <c r="B141" s="10">
        <f t="shared" si="30"/>
        <v>140</v>
      </c>
      <c r="C141" s="49" t="e">
        <f>_xlfn.XLOOKUP($D141,Tab_Process_TCs[Name(EN)],Tab_Process_TCs[Process_ID],,0,)</f>
        <v>#N/A</v>
      </c>
      <c r="D141" s="192" t="s">
        <v>35</v>
      </c>
      <c r="E141" s="192" t="s">
        <v>35</v>
      </c>
      <c r="F141" s="49" t="e">
        <f>_xlfn.XLOOKUP($D141,Tab_Process_TCs[Name(EN)],Tab_Process_TCs[TC?],,0,)</f>
        <v>#N/A</v>
      </c>
      <c r="G141" s="49" t="e">
        <f>_xlfn.XLOOKUP($D141,Tab_Process_TCs[Name(EN)],Tab_Process_TCs[Dyn_TC?],,0,)</f>
        <v>#N/A</v>
      </c>
      <c r="H141" s="10" t="str">
        <f>_xlfn.XLOOKUP($E141,Tab_Def_Flows[Name(EN)],Tab_Def_Flows[Flow_ID],,0,1)</f>
        <v>N.A.</v>
      </c>
      <c r="I141" s="10" t="str">
        <f>IF(Tab_Process_TCs2527[[#This Row],[Name(EN)]]="N.A.","N.A.","TC"&amp;"_"&amp;RIGHT(H141,5))</f>
        <v>N.A.</v>
      </c>
      <c r="J141" s="12"/>
      <c r="K141" s="58"/>
      <c r="L141" s="10"/>
      <c r="M141" s="17" t="e">
        <f>_xlfn.XLOOKUP($D141,Tab_Def_Processes[Name(EN)],Tab_Def_Processes[Input_Flow_I_1],,0,)</f>
        <v>#N/A</v>
      </c>
      <c r="N141" s="10" t="e">
        <f>_xlfn.XLOOKUP($D141,Tab_Def_Processes[Name(EN)],Tab_Def_Processes[Flow_ID_I_1],,0,)</f>
        <v>#N/A</v>
      </c>
      <c r="O141" s="184"/>
      <c r="P141" s="30" t="e">
        <f>_xlfn.XLOOKUP($D141,Tab_Def_Processes[Name(EN)],Tab_Def_Processes[Input_Flow_I_2],,0,)</f>
        <v>#N/A</v>
      </c>
      <c r="Q141" s="10" t="e">
        <f>_xlfn.XLOOKUP($D141,Tab_Def_Processes[Name(EN)],Tab_Def_Processes[Flow_ID_I_2],,0,)</f>
        <v>#N/A</v>
      </c>
      <c r="R141" s="184"/>
      <c r="S141" s="30" t="e">
        <f>_xlfn.XLOOKUP($D141,Tab_Def_Processes[Name(EN)],Tab_Def_Processes[Input_Flow_I_3],,0,)</f>
        <v>#N/A</v>
      </c>
      <c r="T141" s="10" t="e">
        <f>_xlfn.XLOOKUP($D141,Tab_Def_Processes[Name(EN)],Tab_Def_Processes[Flow_ID_I_3],,0,)</f>
        <v>#N/A</v>
      </c>
      <c r="U141" s="184"/>
      <c r="V141" s="30" t="e">
        <f>_xlfn.XLOOKUP($D141,Tab_Def_Processes[Name(EN)],Tab_Def_Processes[Input_Flow_I_4],,0,)</f>
        <v>#N/A</v>
      </c>
      <c r="W141" s="10" t="e">
        <f>_xlfn.XLOOKUP($D141,Tab_Def_Processes[Name(EN)],Tab_Def_Processes[Flow_ID_I_4],,0,)</f>
        <v>#N/A</v>
      </c>
      <c r="X141" s="184"/>
      <c r="Y141" s="30" t="e">
        <f>_xlfn.XLOOKUP($D141,Tab_Def_Processes[Name(EN)],Tab_Def_Processes[Input_Flow_I_5],,0,)</f>
        <v>#N/A</v>
      </c>
      <c r="Z141" s="10" t="e">
        <f>_xlfn.XLOOKUP($D141,Tab_Def_Processes[Name(EN)],Tab_Def_Processes[Flow_ID_I_5],,0,)</f>
        <v>#N/A</v>
      </c>
      <c r="AA141" s="184"/>
      <c r="AB141" s="33">
        <f>Tab_Process_TCs2527[[#This Row],[Flow_TC_I_1_'[%']]]+Tab_Process_TCs2527[[#This Row],[Flow_TC_I_2_'[%']]]+Tab_Process_TCs2527[[#This Row],[Flow_TC_I_3_'[%']]]+Tab_Process_TCs2527[[#This Row],[Flow_TC_I_4_'[%']]]+Tab_Process_TCs2527[[#This Row],[Flow_TC_I_5_'[%']]]</f>
        <v>0</v>
      </c>
      <c r="AC141" s="17" t="e">
        <f>_xlfn.XLOOKUP($D141,#REF!,#REF!,,0,)</f>
        <v>#REF!</v>
      </c>
      <c r="AD141" s="10" t="e">
        <f>_xlfn.XLOOKUP($D141,#REF!,#REF!,,0,)</f>
        <v>#REF!</v>
      </c>
      <c r="AE141" s="44" t="str">
        <f>Tab_Process_TCs2527[[#This Row],[Flow_ID]]</f>
        <v>N.A.</v>
      </c>
      <c r="AF141" s="10" t="e">
        <f t="shared" si="31"/>
        <v>#REF!</v>
      </c>
      <c r="AG141" s="172">
        <v>0.2</v>
      </c>
      <c r="AH141" s="17" t="e">
        <f>_xlfn.XLOOKUP($D141,#REF!,#REF!,,0,)</f>
        <v>#REF!</v>
      </c>
      <c r="AI141" s="10" t="e">
        <f>_xlfn.XLOOKUP($D141,#REF!,#REF!,,0,)</f>
        <v>#REF!</v>
      </c>
      <c r="AJ141" s="44" t="str">
        <f>Tab_Process_TCs2527[[#This Row],[Flow_ID]]</f>
        <v>N.A.</v>
      </c>
      <c r="AK141" s="10" t="e">
        <f t="shared" si="32"/>
        <v>#REF!</v>
      </c>
      <c r="AL141" s="170">
        <v>0.8</v>
      </c>
      <c r="AM141" s="17" t="e">
        <f>_xlfn.XLOOKUP($D141,#REF!,#REF!,,0,)</f>
        <v>#REF!</v>
      </c>
      <c r="AN141" s="10" t="e">
        <f>_xlfn.XLOOKUP($D141,#REF!,#REF!,,0,)</f>
        <v>#REF!</v>
      </c>
      <c r="AO141" s="44" t="str">
        <f>Tab_Process_TCs2527[[#This Row],[Flow_ID]]</f>
        <v>N.A.</v>
      </c>
      <c r="AP141" s="10" t="e">
        <f t="shared" si="33"/>
        <v>#REF!</v>
      </c>
      <c r="AQ141" s="170"/>
      <c r="AR141" s="17" t="e">
        <f>_xlfn.XLOOKUP($D141,#REF!,#REF!,,0,)</f>
        <v>#REF!</v>
      </c>
      <c r="AS141" s="10" t="e">
        <f>_xlfn.XLOOKUP($D141,#REF!,#REF!,,0,)</f>
        <v>#REF!</v>
      </c>
      <c r="AT141" s="44" t="str">
        <f>Tab_Process_TCs2527[[#This Row],[Flow_ID]]</f>
        <v>N.A.</v>
      </c>
      <c r="AU141" s="44" t="e">
        <f t="shared" si="34"/>
        <v>#REF!</v>
      </c>
      <c r="AV141" s="170"/>
      <c r="AW141" s="17" t="e">
        <f>_xlfn.XLOOKUP($D141,#REF!,#REF!,,0,)</f>
        <v>#REF!</v>
      </c>
      <c r="AX141" s="10" t="e">
        <f>_xlfn.XLOOKUP($D141,#REF!,#REF!,,0,)</f>
        <v>#REF!</v>
      </c>
      <c r="AY141" s="44" t="str">
        <f>Tab_Process_TCs2527[[#This Row],[Flow_ID]]</f>
        <v>N.A.</v>
      </c>
      <c r="AZ141" s="44" t="e">
        <f t="shared" si="35"/>
        <v>#REF!</v>
      </c>
      <c r="BA141" s="170"/>
      <c r="BB141" s="10" t="e">
        <f>_xlfn.XLOOKUP($D141,#REF!,#REF!,,0,)</f>
        <v>#REF!</v>
      </c>
      <c r="BC141" s="10" t="e">
        <f>_xlfn.XLOOKUP($D141,#REF!,#REF!,,0,)</f>
        <v>#REF!</v>
      </c>
      <c r="BD141" s="44" t="str">
        <f>Tab_Process_TCs2527[[#This Row],[Flow_ID]]</f>
        <v>N.A.</v>
      </c>
      <c r="BE141" s="44" t="e">
        <f t="shared" si="36"/>
        <v>#REF!</v>
      </c>
      <c r="BF141" s="51"/>
      <c r="BG141" s="54">
        <f>Tab_Process_TCs2527[[#This Row],[TC O_6_'[%']]]+Tab_Process_TCs2527[[#This Row],[TC O_5_'[%']]]+Tab_Process_TCs2527[[#This Row],[TC_O_4_'[%']]]+Tab_Process_TCs2527[[#This Row],[TC_O_3_'[%']]]+Tab_Process_TCs2527[[#This Row],[TC_O_2_'[%']]]+Tab_Process_TCs2527[[#This Row],[TC_O_1_'[%']]]</f>
        <v>1</v>
      </c>
      <c r="BH141" s="12"/>
      <c r="BI141" s="12"/>
      <c r="BJ141" s="12"/>
      <c r="BK141" s="12"/>
      <c r="BL141" s="12"/>
    </row>
    <row r="142" spans="1:64" x14ac:dyDescent="0.25">
      <c r="A142" s="197" t="b">
        <v>0</v>
      </c>
      <c r="B142" s="10">
        <f t="shared" si="30"/>
        <v>141</v>
      </c>
      <c r="C142" s="49" t="e">
        <f>_xlfn.XLOOKUP($D142,Tab_Process_TCs[Name(EN)],Tab_Process_TCs[Process_ID],,0,)</f>
        <v>#N/A</v>
      </c>
      <c r="D142" s="192" t="s">
        <v>35</v>
      </c>
      <c r="E142" s="192" t="s">
        <v>35</v>
      </c>
      <c r="F142" s="49" t="e">
        <f>_xlfn.XLOOKUP($D142,Tab_Process_TCs[Name(EN)],Tab_Process_TCs[TC?],,0,)</f>
        <v>#N/A</v>
      </c>
      <c r="G142" s="49" t="e">
        <f>_xlfn.XLOOKUP($D142,Tab_Process_TCs[Name(EN)],Tab_Process_TCs[Dyn_TC?],,0,)</f>
        <v>#N/A</v>
      </c>
      <c r="H142" s="10" t="str">
        <f>_xlfn.XLOOKUP($E142,Tab_Def_Flows[Name(EN)],Tab_Def_Flows[Flow_ID],,0,1)</f>
        <v>N.A.</v>
      </c>
      <c r="I142" s="10" t="str">
        <f>IF(Tab_Process_TCs2527[[#This Row],[Name(EN)]]="N.A.","N.A.","TC"&amp;"_"&amp;RIGHT(H142,5))</f>
        <v>N.A.</v>
      </c>
      <c r="J142" s="12"/>
      <c r="K142" s="58"/>
      <c r="L142" s="10"/>
      <c r="M142" s="17" t="e">
        <f>_xlfn.XLOOKUP($D142,Tab_Def_Processes[Name(EN)],Tab_Def_Processes[Input_Flow_I_1],,0,)</f>
        <v>#N/A</v>
      </c>
      <c r="N142" s="10" t="e">
        <f>_xlfn.XLOOKUP($D142,Tab_Def_Processes[Name(EN)],Tab_Def_Processes[Flow_ID_I_1],,0,)</f>
        <v>#N/A</v>
      </c>
      <c r="O142" s="184"/>
      <c r="P142" s="30" t="e">
        <f>_xlfn.XLOOKUP($D142,Tab_Def_Processes[Name(EN)],Tab_Def_Processes[Input_Flow_I_2],,0,)</f>
        <v>#N/A</v>
      </c>
      <c r="Q142" s="10" t="e">
        <f>_xlfn.XLOOKUP($D142,Tab_Def_Processes[Name(EN)],Tab_Def_Processes[Flow_ID_I_2],,0,)</f>
        <v>#N/A</v>
      </c>
      <c r="R142" s="184"/>
      <c r="S142" s="30" t="e">
        <f>_xlfn.XLOOKUP($D142,Tab_Def_Processes[Name(EN)],Tab_Def_Processes[Input_Flow_I_3],,0,)</f>
        <v>#N/A</v>
      </c>
      <c r="T142" s="10" t="e">
        <f>_xlfn.XLOOKUP($D142,Tab_Def_Processes[Name(EN)],Tab_Def_Processes[Flow_ID_I_3],,0,)</f>
        <v>#N/A</v>
      </c>
      <c r="U142" s="184"/>
      <c r="V142" s="30" t="e">
        <f>_xlfn.XLOOKUP($D142,Tab_Def_Processes[Name(EN)],Tab_Def_Processes[Input_Flow_I_4],,0,)</f>
        <v>#N/A</v>
      </c>
      <c r="W142" s="10" t="e">
        <f>_xlfn.XLOOKUP($D142,Tab_Def_Processes[Name(EN)],Tab_Def_Processes[Flow_ID_I_4],,0,)</f>
        <v>#N/A</v>
      </c>
      <c r="X142" s="184"/>
      <c r="Y142" s="30" t="e">
        <f>_xlfn.XLOOKUP($D142,Tab_Def_Processes[Name(EN)],Tab_Def_Processes[Input_Flow_I_5],,0,)</f>
        <v>#N/A</v>
      </c>
      <c r="Z142" s="10" t="e">
        <f>_xlfn.XLOOKUP($D142,Tab_Def_Processes[Name(EN)],Tab_Def_Processes[Flow_ID_I_5],,0,)</f>
        <v>#N/A</v>
      </c>
      <c r="AA142" s="184"/>
      <c r="AB142" s="33">
        <f>Tab_Process_TCs2527[[#This Row],[Flow_TC_I_1_'[%']]]+Tab_Process_TCs2527[[#This Row],[Flow_TC_I_2_'[%']]]+Tab_Process_TCs2527[[#This Row],[Flow_TC_I_3_'[%']]]+Tab_Process_TCs2527[[#This Row],[Flow_TC_I_4_'[%']]]+Tab_Process_TCs2527[[#This Row],[Flow_TC_I_5_'[%']]]</f>
        <v>0</v>
      </c>
      <c r="AC142" s="17" t="e">
        <f>_xlfn.XLOOKUP($D142,#REF!,#REF!,,0,)</f>
        <v>#REF!</v>
      </c>
      <c r="AD142" s="10" t="e">
        <f>_xlfn.XLOOKUP($D142,#REF!,#REF!,,0,)</f>
        <v>#REF!</v>
      </c>
      <c r="AE142" s="44" t="str">
        <f>Tab_Process_TCs2527[[#This Row],[Flow_ID]]</f>
        <v>N.A.</v>
      </c>
      <c r="AF142" s="10" t="e">
        <f t="shared" si="31"/>
        <v>#REF!</v>
      </c>
      <c r="AG142" s="172">
        <v>0.2</v>
      </c>
      <c r="AH142" s="17" t="e">
        <f>_xlfn.XLOOKUP($D142,#REF!,#REF!,,0,)</f>
        <v>#REF!</v>
      </c>
      <c r="AI142" s="10" t="e">
        <f>_xlfn.XLOOKUP($D142,#REF!,#REF!,,0,)</f>
        <v>#REF!</v>
      </c>
      <c r="AJ142" s="44" t="str">
        <f>Tab_Process_TCs2527[[#This Row],[Flow_ID]]</f>
        <v>N.A.</v>
      </c>
      <c r="AK142" s="10" t="e">
        <f t="shared" si="32"/>
        <v>#REF!</v>
      </c>
      <c r="AL142" s="170">
        <v>0.8</v>
      </c>
      <c r="AM142" s="17" t="e">
        <f>_xlfn.XLOOKUP($D142,#REF!,#REF!,,0,)</f>
        <v>#REF!</v>
      </c>
      <c r="AN142" s="10" t="e">
        <f>_xlfn.XLOOKUP($D142,#REF!,#REF!,,0,)</f>
        <v>#REF!</v>
      </c>
      <c r="AO142" s="44" t="str">
        <f>Tab_Process_TCs2527[[#This Row],[Flow_ID]]</f>
        <v>N.A.</v>
      </c>
      <c r="AP142" s="10" t="e">
        <f t="shared" si="33"/>
        <v>#REF!</v>
      </c>
      <c r="AQ142" s="170"/>
      <c r="AR142" s="17" t="e">
        <f>_xlfn.XLOOKUP($D142,#REF!,#REF!,,0,)</f>
        <v>#REF!</v>
      </c>
      <c r="AS142" s="10" t="e">
        <f>_xlfn.XLOOKUP($D142,#REF!,#REF!,,0,)</f>
        <v>#REF!</v>
      </c>
      <c r="AT142" s="44" t="str">
        <f>Tab_Process_TCs2527[[#This Row],[Flow_ID]]</f>
        <v>N.A.</v>
      </c>
      <c r="AU142" s="44" t="e">
        <f t="shared" si="34"/>
        <v>#REF!</v>
      </c>
      <c r="AV142" s="170"/>
      <c r="AW142" s="17" t="e">
        <f>_xlfn.XLOOKUP($D142,#REF!,#REF!,,0,)</f>
        <v>#REF!</v>
      </c>
      <c r="AX142" s="10" t="e">
        <f>_xlfn.XLOOKUP($D142,#REF!,#REF!,,0,)</f>
        <v>#REF!</v>
      </c>
      <c r="AY142" s="44" t="str">
        <f>Tab_Process_TCs2527[[#This Row],[Flow_ID]]</f>
        <v>N.A.</v>
      </c>
      <c r="AZ142" s="44" t="e">
        <f t="shared" si="35"/>
        <v>#REF!</v>
      </c>
      <c r="BA142" s="170"/>
      <c r="BB142" s="10" t="e">
        <f>_xlfn.XLOOKUP($D142,#REF!,#REF!,,0,)</f>
        <v>#REF!</v>
      </c>
      <c r="BC142" s="10" t="e">
        <f>_xlfn.XLOOKUP($D142,#REF!,#REF!,,0,)</f>
        <v>#REF!</v>
      </c>
      <c r="BD142" s="44" t="str">
        <f>Tab_Process_TCs2527[[#This Row],[Flow_ID]]</f>
        <v>N.A.</v>
      </c>
      <c r="BE142" s="44" t="e">
        <f t="shared" si="36"/>
        <v>#REF!</v>
      </c>
      <c r="BF142" s="51"/>
      <c r="BG142" s="54">
        <f>Tab_Process_TCs2527[[#This Row],[TC O_6_'[%']]]+Tab_Process_TCs2527[[#This Row],[TC O_5_'[%']]]+Tab_Process_TCs2527[[#This Row],[TC_O_4_'[%']]]+Tab_Process_TCs2527[[#This Row],[TC_O_3_'[%']]]+Tab_Process_TCs2527[[#This Row],[TC_O_2_'[%']]]+Tab_Process_TCs2527[[#This Row],[TC_O_1_'[%']]]</f>
        <v>1</v>
      </c>
      <c r="BH142" s="12"/>
      <c r="BI142" s="12"/>
      <c r="BJ142" s="12"/>
      <c r="BK142" s="12"/>
      <c r="BL142" s="12"/>
    </row>
    <row r="143" spans="1:64" x14ac:dyDescent="0.25">
      <c r="A143" s="197" t="b">
        <v>0</v>
      </c>
      <c r="B143" s="10">
        <f t="shared" si="30"/>
        <v>142</v>
      </c>
      <c r="C143" s="49" t="e">
        <f>_xlfn.XLOOKUP($D143,Tab_Process_TCs[Name(EN)],Tab_Process_TCs[Process_ID],,0,)</f>
        <v>#N/A</v>
      </c>
      <c r="D143" s="192" t="s">
        <v>35</v>
      </c>
      <c r="E143" s="192" t="s">
        <v>35</v>
      </c>
      <c r="F143" s="49" t="e">
        <f>_xlfn.XLOOKUP($D143,Tab_Process_TCs[Name(EN)],Tab_Process_TCs[TC?],,0,)</f>
        <v>#N/A</v>
      </c>
      <c r="G143" s="49" t="e">
        <f>_xlfn.XLOOKUP($D143,Tab_Process_TCs[Name(EN)],Tab_Process_TCs[Dyn_TC?],,0,)</f>
        <v>#N/A</v>
      </c>
      <c r="H143" s="10" t="str">
        <f>_xlfn.XLOOKUP($E143,Tab_Def_Flows[Name(EN)],Tab_Def_Flows[Flow_ID],,0,1)</f>
        <v>N.A.</v>
      </c>
      <c r="I143" s="10" t="str">
        <f>IF(Tab_Process_TCs2527[[#This Row],[Name(EN)]]="N.A.","N.A.","TC"&amp;"_"&amp;RIGHT(H143,5))</f>
        <v>N.A.</v>
      </c>
      <c r="J143" s="12"/>
      <c r="K143" s="58"/>
      <c r="L143" s="10"/>
      <c r="M143" s="17" t="e">
        <f>_xlfn.XLOOKUP($D143,Tab_Def_Processes[Name(EN)],Tab_Def_Processes[Input_Flow_I_1],,0,)</f>
        <v>#N/A</v>
      </c>
      <c r="N143" s="10" t="e">
        <f>_xlfn.XLOOKUP($D143,Tab_Def_Processes[Name(EN)],Tab_Def_Processes[Flow_ID_I_1],,0,)</f>
        <v>#N/A</v>
      </c>
      <c r="O143" s="184"/>
      <c r="P143" s="30" t="e">
        <f>_xlfn.XLOOKUP($D143,Tab_Def_Processes[Name(EN)],Tab_Def_Processes[Input_Flow_I_2],,0,)</f>
        <v>#N/A</v>
      </c>
      <c r="Q143" s="10" t="e">
        <f>_xlfn.XLOOKUP($D143,Tab_Def_Processes[Name(EN)],Tab_Def_Processes[Flow_ID_I_2],,0,)</f>
        <v>#N/A</v>
      </c>
      <c r="R143" s="184"/>
      <c r="S143" s="30" t="e">
        <f>_xlfn.XLOOKUP($D143,Tab_Def_Processes[Name(EN)],Tab_Def_Processes[Input_Flow_I_3],,0,)</f>
        <v>#N/A</v>
      </c>
      <c r="T143" s="10" t="e">
        <f>_xlfn.XLOOKUP($D143,Tab_Def_Processes[Name(EN)],Tab_Def_Processes[Flow_ID_I_3],,0,)</f>
        <v>#N/A</v>
      </c>
      <c r="U143" s="184"/>
      <c r="V143" s="30" t="e">
        <f>_xlfn.XLOOKUP($D143,Tab_Def_Processes[Name(EN)],Tab_Def_Processes[Input_Flow_I_4],,0,)</f>
        <v>#N/A</v>
      </c>
      <c r="W143" s="10" t="e">
        <f>_xlfn.XLOOKUP($D143,Tab_Def_Processes[Name(EN)],Tab_Def_Processes[Flow_ID_I_4],,0,)</f>
        <v>#N/A</v>
      </c>
      <c r="X143" s="184"/>
      <c r="Y143" s="30" t="e">
        <f>_xlfn.XLOOKUP($D143,Tab_Def_Processes[Name(EN)],Tab_Def_Processes[Input_Flow_I_5],,0,)</f>
        <v>#N/A</v>
      </c>
      <c r="Z143" s="10" t="e">
        <f>_xlfn.XLOOKUP($D143,Tab_Def_Processes[Name(EN)],Tab_Def_Processes[Flow_ID_I_5],,0,)</f>
        <v>#N/A</v>
      </c>
      <c r="AA143" s="184"/>
      <c r="AB143" s="33">
        <f>Tab_Process_TCs2527[[#This Row],[Flow_TC_I_1_'[%']]]+Tab_Process_TCs2527[[#This Row],[Flow_TC_I_2_'[%']]]+Tab_Process_TCs2527[[#This Row],[Flow_TC_I_3_'[%']]]+Tab_Process_TCs2527[[#This Row],[Flow_TC_I_4_'[%']]]+Tab_Process_TCs2527[[#This Row],[Flow_TC_I_5_'[%']]]</f>
        <v>0</v>
      </c>
      <c r="AC143" s="17" t="e">
        <f>_xlfn.XLOOKUP($D143,#REF!,#REF!,,0,)</f>
        <v>#REF!</v>
      </c>
      <c r="AD143" s="10" t="e">
        <f>_xlfn.XLOOKUP($D143,#REF!,#REF!,,0,)</f>
        <v>#REF!</v>
      </c>
      <c r="AE143" s="44" t="str">
        <f>Tab_Process_TCs2527[[#This Row],[Flow_ID]]</f>
        <v>N.A.</v>
      </c>
      <c r="AF143" s="10" t="e">
        <f t="shared" si="31"/>
        <v>#REF!</v>
      </c>
      <c r="AG143" s="172">
        <v>0.2</v>
      </c>
      <c r="AH143" s="17" t="e">
        <f>_xlfn.XLOOKUP($D143,#REF!,#REF!,,0,)</f>
        <v>#REF!</v>
      </c>
      <c r="AI143" s="10" t="e">
        <f>_xlfn.XLOOKUP($D143,#REF!,#REF!,,0,)</f>
        <v>#REF!</v>
      </c>
      <c r="AJ143" s="44" t="str">
        <f>Tab_Process_TCs2527[[#This Row],[Flow_ID]]</f>
        <v>N.A.</v>
      </c>
      <c r="AK143" s="10" t="e">
        <f t="shared" si="32"/>
        <v>#REF!</v>
      </c>
      <c r="AL143" s="170">
        <v>0.8</v>
      </c>
      <c r="AM143" s="17" t="e">
        <f>_xlfn.XLOOKUP($D143,#REF!,#REF!,,0,)</f>
        <v>#REF!</v>
      </c>
      <c r="AN143" s="10" t="e">
        <f>_xlfn.XLOOKUP($D143,#REF!,#REF!,,0,)</f>
        <v>#REF!</v>
      </c>
      <c r="AO143" s="44" t="str">
        <f>Tab_Process_TCs2527[[#This Row],[Flow_ID]]</f>
        <v>N.A.</v>
      </c>
      <c r="AP143" s="10" t="e">
        <f t="shared" si="33"/>
        <v>#REF!</v>
      </c>
      <c r="AQ143" s="170"/>
      <c r="AR143" s="17" t="e">
        <f>_xlfn.XLOOKUP($D143,#REF!,#REF!,,0,)</f>
        <v>#REF!</v>
      </c>
      <c r="AS143" s="10" t="e">
        <f>_xlfn.XLOOKUP($D143,#REF!,#REF!,,0,)</f>
        <v>#REF!</v>
      </c>
      <c r="AT143" s="44" t="str">
        <f>Tab_Process_TCs2527[[#This Row],[Flow_ID]]</f>
        <v>N.A.</v>
      </c>
      <c r="AU143" s="44" t="e">
        <f t="shared" si="34"/>
        <v>#REF!</v>
      </c>
      <c r="AV143" s="170"/>
      <c r="AW143" s="17" t="e">
        <f>_xlfn.XLOOKUP($D143,#REF!,#REF!,,0,)</f>
        <v>#REF!</v>
      </c>
      <c r="AX143" s="10" t="e">
        <f>_xlfn.XLOOKUP($D143,#REF!,#REF!,,0,)</f>
        <v>#REF!</v>
      </c>
      <c r="AY143" s="44" t="str">
        <f>Tab_Process_TCs2527[[#This Row],[Flow_ID]]</f>
        <v>N.A.</v>
      </c>
      <c r="AZ143" s="44" t="e">
        <f t="shared" si="35"/>
        <v>#REF!</v>
      </c>
      <c r="BA143" s="170"/>
      <c r="BB143" s="10" t="e">
        <f>_xlfn.XLOOKUP($D143,#REF!,#REF!,,0,)</f>
        <v>#REF!</v>
      </c>
      <c r="BC143" s="10" t="e">
        <f>_xlfn.XLOOKUP($D143,#REF!,#REF!,,0,)</f>
        <v>#REF!</v>
      </c>
      <c r="BD143" s="44" t="str">
        <f>Tab_Process_TCs2527[[#This Row],[Flow_ID]]</f>
        <v>N.A.</v>
      </c>
      <c r="BE143" s="44" t="e">
        <f t="shared" si="36"/>
        <v>#REF!</v>
      </c>
      <c r="BF143" s="51"/>
      <c r="BG143" s="54">
        <f>Tab_Process_TCs2527[[#This Row],[TC O_6_'[%']]]+Tab_Process_TCs2527[[#This Row],[TC O_5_'[%']]]+Tab_Process_TCs2527[[#This Row],[TC_O_4_'[%']]]+Tab_Process_TCs2527[[#This Row],[TC_O_3_'[%']]]+Tab_Process_TCs2527[[#This Row],[TC_O_2_'[%']]]+Tab_Process_TCs2527[[#This Row],[TC_O_1_'[%']]]</f>
        <v>1</v>
      </c>
      <c r="BH143" s="12"/>
      <c r="BI143" s="12"/>
      <c r="BJ143" s="12"/>
      <c r="BK143" s="12"/>
      <c r="BL143" s="12"/>
    </row>
    <row r="144" spans="1:64" x14ac:dyDescent="0.25">
      <c r="A144" s="197" t="b">
        <v>0</v>
      </c>
      <c r="B144" s="10">
        <f t="shared" si="30"/>
        <v>143</v>
      </c>
      <c r="C144" s="49" t="e">
        <f>_xlfn.XLOOKUP($D144,Tab_Process_TCs[Name(EN)],Tab_Process_TCs[Process_ID],,0,)</f>
        <v>#N/A</v>
      </c>
      <c r="D144" s="192" t="s">
        <v>35</v>
      </c>
      <c r="E144" s="192" t="s">
        <v>35</v>
      </c>
      <c r="F144" s="49" t="e">
        <f>_xlfn.XLOOKUP($D144,Tab_Process_TCs[Name(EN)],Tab_Process_TCs[TC?],,0,)</f>
        <v>#N/A</v>
      </c>
      <c r="G144" s="49" t="e">
        <f>_xlfn.XLOOKUP($D144,Tab_Process_TCs[Name(EN)],Tab_Process_TCs[Dyn_TC?],,0,)</f>
        <v>#N/A</v>
      </c>
      <c r="H144" s="10" t="str">
        <f>_xlfn.XLOOKUP($E144,Tab_Def_Flows[Name(EN)],Tab_Def_Flows[Flow_ID],,0,1)</f>
        <v>N.A.</v>
      </c>
      <c r="I144" s="10" t="str">
        <f>IF(Tab_Process_TCs2527[[#This Row],[Name(EN)]]="N.A.","N.A.","TC"&amp;"_"&amp;RIGHT(H144,5))</f>
        <v>N.A.</v>
      </c>
      <c r="J144" s="12"/>
      <c r="K144" s="58"/>
      <c r="L144" s="10"/>
      <c r="M144" s="17" t="e">
        <f>_xlfn.XLOOKUP($D144,Tab_Def_Processes[Name(EN)],Tab_Def_Processes[Input_Flow_I_1],,0,)</f>
        <v>#N/A</v>
      </c>
      <c r="N144" s="10" t="e">
        <f>_xlfn.XLOOKUP($D144,Tab_Def_Processes[Name(EN)],Tab_Def_Processes[Flow_ID_I_1],,0,)</f>
        <v>#N/A</v>
      </c>
      <c r="O144" s="184"/>
      <c r="P144" s="30" t="e">
        <f>_xlfn.XLOOKUP($D144,Tab_Def_Processes[Name(EN)],Tab_Def_Processes[Input_Flow_I_2],,0,)</f>
        <v>#N/A</v>
      </c>
      <c r="Q144" s="10" t="e">
        <f>_xlfn.XLOOKUP($D144,Tab_Def_Processes[Name(EN)],Tab_Def_Processes[Flow_ID_I_2],,0,)</f>
        <v>#N/A</v>
      </c>
      <c r="R144" s="184"/>
      <c r="S144" s="30" t="e">
        <f>_xlfn.XLOOKUP($D144,Tab_Def_Processes[Name(EN)],Tab_Def_Processes[Input_Flow_I_3],,0,)</f>
        <v>#N/A</v>
      </c>
      <c r="T144" s="10" t="e">
        <f>_xlfn.XLOOKUP($D144,Tab_Def_Processes[Name(EN)],Tab_Def_Processes[Flow_ID_I_3],,0,)</f>
        <v>#N/A</v>
      </c>
      <c r="U144" s="184"/>
      <c r="V144" s="30" t="e">
        <f>_xlfn.XLOOKUP($D144,Tab_Def_Processes[Name(EN)],Tab_Def_Processes[Input_Flow_I_4],,0,)</f>
        <v>#N/A</v>
      </c>
      <c r="W144" s="10" t="e">
        <f>_xlfn.XLOOKUP($D144,Tab_Def_Processes[Name(EN)],Tab_Def_Processes[Flow_ID_I_4],,0,)</f>
        <v>#N/A</v>
      </c>
      <c r="X144" s="184"/>
      <c r="Y144" s="30" t="e">
        <f>_xlfn.XLOOKUP($D144,Tab_Def_Processes[Name(EN)],Tab_Def_Processes[Input_Flow_I_5],,0,)</f>
        <v>#N/A</v>
      </c>
      <c r="Z144" s="10" t="e">
        <f>_xlfn.XLOOKUP($D144,Tab_Def_Processes[Name(EN)],Tab_Def_Processes[Flow_ID_I_5],,0,)</f>
        <v>#N/A</v>
      </c>
      <c r="AA144" s="184"/>
      <c r="AB144" s="33">
        <f>Tab_Process_TCs2527[[#This Row],[Flow_TC_I_1_'[%']]]+Tab_Process_TCs2527[[#This Row],[Flow_TC_I_2_'[%']]]+Tab_Process_TCs2527[[#This Row],[Flow_TC_I_3_'[%']]]+Tab_Process_TCs2527[[#This Row],[Flow_TC_I_4_'[%']]]+Tab_Process_TCs2527[[#This Row],[Flow_TC_I_5_'[%']]]</f>
        <v>0</v>
      </c>
      <c r="AC144" s="17" t="e">
        <f>_xlfn.XLOOKUP($D144,#REF!,#REF!,,0,)</f>
        <v>#REF!</v>
      </c>
      <c r="AD144" s="10" t="e">
        <f>_xlfn.XLOOKUP($D144,#REF!,#REF!,,0,)</f>
        <v>#REF!</v>
      </c>
      <c r="AE144" s="44" t="str">
        <f>Tab_Process_TCs2527[[#This Row],[Flow_ID]]</f>
        <v>N.A.</v>
      </c>
      <c r="AF144" s="10" t="e">
        <f t="shared" si="31"/>
        <v>#REF!</v>
      </c>
      <c r="AG144" s="172">
        <v>0.2</v>
      </c>
      <c r="AH144" s="17" t="e">
        <f>_xlfn.XLOOKUP($D144,#REF!,#REF!,,0,)</f>
        <v>#REF!</v>
      </c>
      <c r="AI144" s="10" t="e">
        <f>_xlfn.XLOOKUP($D144,#REF!,#REF!,,0,)</f>
        <v>#REF!</v>
      </c>
      <c r="AJ144" s="44" t="str">
        <f>Tab_Process_TCs2527[[#This Row],[Flow_ID]]</f>
        <v>N.A.</v>
      </c>
      <c r="AK144" s="10" t="e">
        <f t="shared" si="32"/>
        <v>#REF!</v>
      </c>
      <c r="AL144" s="170">
        <v>0.8</v>
      </c>
      <c r="AM144" s="17" t="e">
        <f>_xlfn.XLOOKUP($D144,#REF!,#REF!,,0,)</f>
        <v>#REF!</v>
      </c>
      <c r="AN144" s="10" t="e">
        <f>_xlfn.XLOOKUP($D144,#REF!,#REF!,,0,)</f>
        <v>#REF!</v>
      </c>
      <c r="AO144" s="44" t="str">
        <f>Tab_Process_TCs2527[[#This Row],[Flow_ID]]</f>
        <v>N.A.</v>
      </c>
      <c r="AP144" s="10" t="e">
        <f t="shared" si="33"/>
        <v>#REF!</v>
      </c>
      <c r="AQ144" s="170"/>
      <c r="AR144" s="17" t="e">
        <f>_xlfn.XLOOKUP($D144,#REF!,#REF!,,0,)</f>
        <v>#REF!</v>
      </c>
      <c r="AS144" s="10" t="e">
        <f>_xlfn.XLOOKUP($D144,#REF!,#REF!,,0,)</f>
        <v>#REF!</v>
      </c>
      <c r="AT144" s="44" t="str">
        <f>Tab_Process_TCs2527[[#This Row],[Flow_ID]]</f>
        <v>N.A.</v>
      </c>
      <c r="AU144" s="44" t="e">
        <f t="shared" si="34"/>
        <v>#REF!</v>
      </c>
      <c r="AV144" s="170"/>
      <c r="AW144" s="17" t="e">
        <f>_xlfn.XLOOKUP($D144,#REF!,#REF!,,0,)</f>
        <v>#REF!</v>
      </c>
      <c r="AX144" s="10" t="e">
        <f>_xlfn.XLOOKUP($D144,#REF!,#REF!,,0,)</f>
        <v>#REF!</v>
      </c>
      <c r="AY144" s="44" t="str">
        <f>Tab_Process_TCs2527[[#This Row],[Flow_ID]]</f>
        <v>N.A.</v>
      </c>
      <c r="AZ144" s="44" t="e">
        <f t="shared" si="35"/>
        <v>#REF!</v>
      </c>
      <c r="BA144" s="170"/>
      <c r="BB144" s="10" t="e">
        <f>_xlfn.XLOOKUP($D144,#REF!,#REF!,,0,)</f>
        <v>#REF!</v>
      </c>
      <c r="BC144" s="10" t="e">
        <f>_xlfn.XLOOKUP($D144,#REF!,#REF!,,0,)</f>
        <v>#REF!</v>
      </c>
      <c r="BD144" s="44" t="str">
        <f>Tab_Process_TCs2527[[#This Row],[Flow_ID]]</f>
        <v>N.A.</v>
      </c>
      <c r="BE144" s="44" t="e">
        <f t="shared" si="36"/>
        <v>#REF!</v>
      </c>
      <c r="BF144" s="51"/>
      <c r="BG144" s="54">
        <f>Tab_Process_TCs2527[[#This Row],[TC O_6_'[%']]]+Tab_Process_TCs2527[[#This Row],[TC O_5_'[%']]]+Tab_Process_TCs2527[[#This Row],[TC_O_4_'[%']]]+Tab_Process_TCs2527[[#This Row],[TC_O_3_'[%']]]+Tab_Process_TCs2527[[#This Row],[TC_O_2_'[%']]]+Tab_Process_TCs2527[[#This Row],[TC_O_1_'[%']]]</f>
        <v>1</v>
      </c>
      <c r="BH144" s="12"/>
      <c r="BI144" s="12"/>
      <c r="BJ144" s="12"/>
      <c r="BK144" s="12"/>
      <c r="BL144" s="12"/>
    </row>
    <row r="145" spans="1:64" x14ac:dyDescent="0.25">
      <c r="A145" s="197" t="b">
        <v>0</v>
      </c>
      <c r="B145" s="10">
        <f t="shared" si="30"/>
        <v>144</v>
      </c>
      <c r="C145" s="49" t="e">
        <f>_xlfn.XLOOKUP($D145,Tab_Process_TCs[Name(EN)],Tab_Process_TCs[Process_ID],,0,)</f>
        <v>#N/A</v>
      </c>
      <c r="D145" s="192" t="s">
        <v>35</v>
      </c>
      <c r="E145" s="192" t="s">
        <v>35</v>
      </c>
      <c r="F145" s="49" t="e">
        <f>_xlfn.XLOOKUP($D145,Tab_Process_TCs[Name(EN)],Tab_Process_TCs[TC?],,0,)</f>
        <v>#N/A</v>
      </c>
      <c r="G145" s="49" t="e">
        <f>_xlfn.XLOOKUP($D145,Tab_Process_TCs[Name(EN)],Tab_Process_TCs[Dyn_TC?],,0,)</f>
        <v>#N/A</v>
      </c>
      <c r="H145" s="10" t="str">
        <f>_xlfn.XLOOKUP($E145,Tab_Def_Flows[Name(EN)],Tab_Def_Flows[Flow_ID],,0,1)</f>
        <v>N.A.</v>
      </c>
      <c r="I145" s="10" t="str">
        <f>IF(Tab_Process_TCs2527[[#This Row],[Name(EN)]]="N.A.","N.A.","TC"&amp;"_"&amp;RIGHT(H145,5))</f>
        <v>N.A.</v>
      </c>
      <c r="J145" s="12"/>
      <c r="K145" s="58"/>
      <c r="L145" s="10"/>
      <c r="M145" s="17" t="e">
        <f>_xlfn.XLOOKUP($D145,Tab_Def_Processes[Name(EN)],Tab_Def_Processes[Input_Flow_I_1],,0,)</f>
        <v>#N/A</v>
      </c>
      <c r="N145" s="10" t="e">
        <f>_xlfn.XLOOKUP($D145,Tab_Def_Processes[Name(EN)],Tab_Def_Processes[Flow_ID_I_1],,0,)</f>
        <v>#N/A</v>
      </c>
      <c r="O145" s="184"/>
      <c r="P145" s="30" t="e">
        <f>_xlfn.XLOOKUP($D145,Tab_Def_Processes[Name(EN)],Tab_Def_Processes[Input_Flow_I_2],,0,)</f>
        <v>#N/A</v>
      </c>
      <c r="Q145" s="10" t="e">
        <f>_xlfn.XLOOKUP($D145,Tab_Def_Processes[Name(EN)],Tab_Def_Processes[Flow_ID_I_2],,0,)</f>
        <v>#N/A</v>
      </c>
      <c r="R145" s="184"/>
      <c r="S145" s="30" t="e">
        <f>_xlfn.XLOOKUP($D145,Tab_Def_Processes[Name(EN)],Tab_Def_Processes[Input_Flow_I_3],,0,)</f>
        <v>#N/A</v>
      </c>
      <c r="T145" s="10" t="e">
        <f>_xlfn.XLOOKUP($D145,Tab_Def_Processes[Name(EN)],Tab_Def_Processes[Flow_ID_I_3],,0,)</f>
        <v>#N/A</v>
      </c>
      <c r="U145" s="184"/>
      <c r="V145" s="30" t="e">
        <f>_xlfn.XLOOKUP($D145,Tab_Def_Processes[Name(EN)],Tab_Def_Processes[Input_Flow_I_4],,0,)</f>
        <v>#N/A</v>
      </c>
      <c r="W145" s="10" t="e">
        <f>_xlfn.XLOOKUP($D145,Tab_Def_Processes[Name(EN)],Tab_Def_Processes[Flow_ID_I_4],,0,)</f>
        <v>#N/A</v>
      </c>
      <c r="X145" s="184"/>
      <c r="Y145" s="30" t="e">
        <f>_xlfn.XLOOKUP($D145,Tab_Def_Processes[Name(EN)],Tab_Def_Processes[Input_Flow_I_5],,0,)</f>
        <v>#N/A</v>
      </c>
      <c r="Z145" s="10" t="e">
        <f>_xlfn.XLOOKUP($D145,Tab_Def_Processes[Name(EN)],Tab_Def_Processes[Flow_ID_I_5],,0,)</f>
        <v>#N/A</v>
      </c>
      <c r="AA145" s="184"/>
      <c r="AB145" s="33">
        <f>Tab_Process_TCs2527[[#This Row],[Flow_TC_I_1_'[%']]]+Tab_Process_TCs2527[[#This Row],[Flow_TC_I_2_'[%']]]+Tab_Process_TCs2527[[#This Row],[Flow_TC_I_3_'[%']]]+Tab_Process_TCs2527[[#This Row],[Flow_TC_I_4_'[%']]]+Tab_Process_TCs2527[[#This Row],[Flow_TC_I_5_'[%']]]</f>
        <v>0</v>
      </c>
      <c r="AC145" s="17" t="e">
        <f>_xlfn.XLOOKUP($D145,#REF!,#REF!,,0,)</f>
        <v>#REF!</v>
      </c>
      <c r="AD145" s="10" t="e">
        <f>_xlfn.XLOOKUP($D145,#REF!,#REF!,,0,)</f>
        <v>#REF!</v>
      </c>
      <c r="AE145" s="44" t="str">
        <f>Tab_Process_TCs2527[[#This Row],[Flow_ID]]</f>
        <v>N.A.</v>
      </c>
      <c r="AF145" s="10" t="e">
        <f t="shared" si="31"/>
        <v>#REF!</v>
      </c>
      <c r="AG145" s="172">
        <v>0.2</v>
      </c>
      <c r="AH145" s="17" t="e">
        <f>_xlfn.XLOOKUP($D145,#REF!,#REF!,,0,)</f>
        <v>#REF!</v>
      </c>
      <c r="AI145" s="10" t="e">
        <f>_xlfn.XLOOKUP($D145,#REF!,#REF!,,0,)</f>
        <v>#REF!</v>
      </c>
      <c r="AJ145" s="44" t="str">
        <f>Tab_Process_TCs2527[[#This Row],[Flow_ID]]</f>
        <v>N.A.</v>
      </c>
      <c r="AK145" s="10" t="e">
        <f t="shared" si="32"/>
        <v>#REF!</v>
      </c>
      <c r="AL145" s="170">
        <v>0.8</v>
      </c>
      <c r="AM145" s="17" t="e">
        <f>_xlfn.XLOOKUP($D145,#REF!,#REF!,,0,)</f>
        <v>#REF!</v>
      </c>
      <c r="AN145" s="10" t="e">
        <f>_xlfn.XLOOKUP($D145,#REF!,#REF!,,0,)</f>
        <v>#REF!</v>
      </c>
      <c r="AO145" s="44" t="str">
        <f>Tab_Process_TCs2527[[#This Row],[Flow_ID]]</f>
        <v>N.A.</v>
      </c>
      <c r="AP145" s="10" t="e">
        <f t="shared" si="33"/>
        <v>#REF!</v>
      </c>
      <c r="AQ145" s="170"/>
      <c r="AR145" s="17" t="e">
        <f>_xlfn.XLOOKUP($D145,#REF!,#REF!,,0,)</f>
        <v>#REF!</v>
      </c>
      <c r="AS145" s="10" t="e">
        <f>_xlfn.XLOOKUP($D145,#REF!,#REF!,,0,)</f>
        <v>#REF!</v>
      </c>
      <c r="AT145" s="44" t="str">
        <f>Tab_Process_TCs2527[[#This Row],[Flow_ID]]</f>
        <v>N.A.</v>
      </c>
      <c r="AU145" s="44" t="e">
        <f t="shared" si="34"/>
        <v>#REF!</v>
      </c>
      <c r="AV145" s="170"/>
      <c r="AW145" s="17" t="e">
        <f>_xlfn.XLOOKUP($D145,#REF!,#REF!,,0,)</f>
        <v>#REF!</v>
      </c>
      <c r="AX145" s="10" t="e">
        <f>_xlfn.XLOOKUP($D145,#REF!,#REF!,,0,)</f>
        <v>#REF!</v>
      </c>
      <c r="AY145" s="44" t="str">
        <f>Tab_Process_TCs2527[[#This Row],[Flow_ID]]</f>
        <v>N.A.</v>
      </c>
      <c r="AZ145" s="44" t="e">
        <f t="shared" si="35"/>
        <v>#REF!</v>
      </c>
      <c r="BA145" s="170"/>
      <c r="BB145" s="10" t="e">
        <f>_xlfn.XLOOKUP($D145,#REF!,#REF!,,0,)</f>
        <v>#REF!</v>
      </c>
      <c r="BC145" s="10" t="e">
        <f>_xlfn.XLOOKUP($D145,#REF!,#REF!,,0,)</f>
        <v>#REF!</v>
      </c>
      <c r="BD145" s="44" t="str">
        <f>Tab_Process_TCs2527[[#This Row],[Flow_ID]]</f>
        <v>N.A.</v>
      </c>
      <c r="BE145" s="44" t="e">
        <f t="shared" si="36"/>
        <v>#REF!</v>
      </c>
      <c r="BF145" s="51"/>
      <c r="BG145" s="54">
        <f>Tab_Process_TCs2527[[#This Row],[TC O_6_'[%']]]+Tab_Process_TCs2527[[#This Row],[TC O_5_'[%']]]+Tab_Process_TCs2527[[#This Row],[TC_O_4_'[%']]]+Tab_Process_TCs2527[[#This Row],[TC_O_3_'[%']]]+Tab_Process_TCs2527[[#This Row],[TC_O_2_'[%']]]+Tab_Process_TCs2527[[#This Row],[TC_O_1_'[%']]]</f>
        <v>1</v>
      </c>
      <c r="BH145" s="12"/>
      <c r="BI145" s="12"/>
      <c r="BJ145" s="12"/>
      <c r="BK145" s="12"/>
      <c r="BL145" s="12"/>
    </row>
    <row r="146" spans="1:64" x14ac:dyDescent="0.25">
      <c r="A146" s="197" t="b">
        <v>0</v>
      </c>
      <c r="B146" s="10">
        <f t="shared" si="30"/>
        <v>145</v>
      </c>
      <c r="C146" s="49" t="e">
        <f>_xlfn.XLOOKUP($D146,Tab_Process_TCs[Name(EN)],Tab_Process_TCs[Process_ID],,0,)</f>
        <v>#N/A</v>
      </c>
      <c r="D146" s="192" t="s">
        <v>35</v>
      </c>
      <c r="E146" s="192" t="s">
        <v>35</v>
      </c>
      <c r="F146" s="49" t="e">
        <f>_xlfn.XLOOKUP($D146,Tab_Process_TCs[Name(EN)],Tab_Process_TCs[TC?],,0,)</f>
        <v>#N/A</v>
      </c>
      <c r="G146" s="49" t="e">
        <f>_xlfn.XLOOKUP($D146,Tab_Process_TCs[Name(EN)],Tab_Process_TCs[Dyn_TC?],,0,)</f>
        <v>#N/A</v>
      </c>
      <c r="H146" s="10" t="str">
        <f>_xlfn.XLOOKUP($E146,Tab_Def_Flows[Name(EN)],Tab_Def_Flows[Flow_ID],,0,1)</f>
        <v>N.A.</v>
      </c>
      <c r="I146" s="10" t="str">
        <f>IF(Tab_Process_TCs2527[[#This Row],[Name(EN)]]="N.A.","N.A.","TC"&amp;"_"&amp;RIGHT(H146,5))</f>
        <v>N.A.</v>
      </c>
      <c r="J146" s="12"/>
      <c r="K146" s="186"/>
      <c r="L146" s="10"/>
      <c r="M146" s="17" t="e">
        <f>_xlfn.XLOOKUP($D146,Tab_Def_Processes[Name(EN)],Tab_Def_Processes[Input_Flow_I_1],,0,)</f>
        <v>#N/A</v>
      </c>
      <c r="N146" s="10" t="e">
        <f>_xlfn.XLOOKUP($D146,Tab_Def_Processes[Name(EN)],Tab_Def_Processes[Flow_ID_I_1],,0,)</f>
        <v>#N/A</v>
      </c>
      <c r="O146" s="184"/>
      <c r="P146" s="30" t="e">
        <f>_xlfn.XLOOKUP($D146,Tab_Def_Processes[Name(EN)],Tab_Def_Processes[Input_Flow_I_2],,0,)</f>
        <v>#N/A</v>
      </c>
      <c r="Q146" s="10" t="e">
        <f>_xlfn.XLOOKUP($D146,Tab_Def_Processes[Name(EN)],Tab_Def_Processes[Flow_ID_I_2],,0,)</f>
        <v>#N/A</v>
      </c>
      <c r="R146" s="184"/>
      <c r="S146" s="30" t="e">
        <f>_xlfn.XLOOKUP($D146,Tab_Def_Processes[Name(EN)],Tab_Def_Processes[Input_Flow_I_3],,0,)</f>
        <v>#N/A</v>
      </c>
      <c r="T146" s="10" t="e">
        <f>_xlfn.XLOOKUP($D146,Tab_Def_Processes[Name(EN)],Tab_Def_Processes[Flow_ID_I_3],,0,)</f>
        <v>#N/A</v>
      </c>
      <c r="U146" s="184"/>
      <c r="V146" s="30" t="e">
        <f>_xlfn.XLOOKUP($D146,Tab_Def_Processes[Name(EN)],Tab_Def_Processes[Input_Flow_I_4],,0,)</f>
        <v>#N/A</v>
      </c>
      <c r="W146" s="10" t="e">
        <f>_xlfn.XLOOKUP($D146,Tab_Def_Processes[Name(EN)],Tab_Def_Processes[Flow_ID_I_4],,0,)</f>
        <v>#N/A</v>
      </c>
      <c r="X146" s="184"/>
      <c r="Y146" s="30" t="e">
        <f>_xlfn.XLOOKUP($D146,Tab_Def_Processes[Name(EN)],Tab_Def_Processes[Input_Flow_I_5],,0,)</f>
        <v>#N/A</v>
      </c>
      <c r="Z146" s="10" t="e">
        <f>_xlfn.XLOOKUP($D146,Tab_Def_Processes[Name(EN)],Tab_Def_Processes[Flow_ID_I_5],,0,)</f>
        <v>#N/A</v>
      </c>
      <c r="AA146" s="184"/>
      <c r="AB146" s="33">
        <f>Tab_Process_TCs2527[[#This Row],[Flow_TC_I_1_'[%']]]+Tab_Process_TCs2527[[#This Row],[Flow_TC_I_2_'[%']]]+Tab_Process_TCs2527[[#This Row],[Flow_TC_I_3_'[%']]]+Tab_Process_TCs2527[[#This Row],[Flow_TC_I_4_'[%']]]+Tab_Process_TCs2527[[#This Row],[Flow_TC_I_5_'[%']]]</f>
        <v>0</v>
      </c>
      <c r="AC146" s="17" t="e">
        <f>_xlfn.XLOOKUP($D146,#REF!,#REF!,,0,)</f>
        <v>#REF!</v>
      </c>
      <c r="AD146" s="10" t="e">
        <f>_xlfn.XLOOKUP($D146,#REF!,#REF!,,0,)</f>
        <v>#REF!</v>
      </c>
      <c r="AE146" s="44" t="str">
        <f>Tab_Process_TCs2527[[#This Row],[Flow_ID]]</f>
        <v>N.A.</v>
      </c>
      <c r="AF146" s="10" t="e">
        <f t="shared" si="31"/>
        <v>#REF!</v>
      </c>
      <c r="AG146" s="172">
        <v>0.2</v>
      </c>
      <c r="AH146" s="17" t="e">
        <f>_xlfn.XLOOKUP($D146,#REF!,#REF!,,0,)</f>
        <v>#REF!</v>
      </c>
      <c r="AI146" s="10" t="e">
        <f>_xlfn.XLOOKUP($D146,#REF!,#REF!,,0,)</f>
        <v>#REF!</v>
      </c>
      <c r="AJ146" s="44" t="str">
        <f>Tab_Process_TCs2527[[#This Row],[Flow_ID]]</f>
        <v>N.A.</v>
      </c>
      <c r="AK146" s="10" t="e">
        <f t="shared" si="32"/>
        <v>#REF!</v>
      </c>
      <c r="AL146" s="170">
        <v>0.8</v>
      </c>
      <c r="AM146" s="17" t="e">
        <f>_xlfn.XLOOKUP($D146,#REF!,#REF!,,0,)</f>
        <v>#REF!</v>
      </c>
      <c r="AN146" s="10" t="e">
        <f>_xlfn.XLOOKUP($D146,#REF!,#REF!,,0,)</f>
        <v>#REF!</v>
      </c>
      <c r="AO146" s="44" t="str">
        <f>Tab_Process_TCs2527[[#This Row],[Flow_ID]]</f>
        <v>N.A.</v>
      </c>
      <c r="AP146" s="10" t="e">
        <f t="shared" si="33"/>
        <v>#REF!</v>
      </c>
      <c r="AQ146" s="170"/>
      <c r="AR146" s="17" t="e">
        <f>_xlfn.XLOOKUP($D146,#REF!,#REF!,,0,)</f>
        <v>#REF!</v>
      </c>
      <c r="AS146" s="10" t="e">
        <f>_xlfn.XLOOKUP($D146,#REF!,#REF!,,0,)</f>
        <v>#REF!</v>
      </c>
      <c r="AT146" s="44" t="str">
        <f>Tab_Process_TCs2527[[#This Row],[Flow_ID]]</f>
        <v>N.A.</v>
      </c>
      <c r="AU146" s="44" t="e">
        <f t="shared" si="34"/>
        <v>#REF!</v>
      </c>
      <c r="AV146" s="170"/>
      <c r="AW146" s="17" t="e">
        <f>_xlfn.XLOOKUP($D146,#REF!,#REF!,,0,)</f>
        <v>#REF!</v>
      </c>
      <c r="AX146" s="10" t="e">
        <f>_xlfn.XLOOKUP($D146,#REF!,#REF!,,0,)</f>
        <v>#REF!</v>
      </c>
      <c r="AY146" s="44" t="str">
        <f>Tab_Process_TCs2527[[#This Row],[Flow_ID]]</f>
        <v>N.A.</v>
      </c>
      <c r="AZ146" s="44" t="e">
        <f t="shared" si="35"/>
        <v>#REF!</v>
      </c>
      <c r="BA146" s="170"/>
      <c r="BB146" s="10" t="e">
        <f>_xlfn.XLOOKUP($D146,#REF!,#REF!,,0,)</f>
        <v>#REF!</v>
      </c>
      <c r="BC146" s="10" t="e">
        <f>_xlfn.XLOOKUP($D146,#REF!,#REF!,,0,)</f>
        <v>#REF!</v>
      </c>
      <c r="BD146" s="44" t="str">
        <f>Tab_Process_TCs2527[[#This Row],[Flow_ID]]</f>
        <v>N.A.</v>
      </c>
      <c r="BE146" s="44" t="e">
        <f t="shared" si="36"/>
        <v>#REF!</v>
      </c>
      <c r="BF146" s="51"/>
      <c r="BG146" s="54">
        <f>Tab_Process_TCs2527[[#This Row],[TC O_6_'[%']]]+Tab_Process_TCs2527[[#This Row],[TC O_5_'[%']]]+Tab_Process_TCs2527[[#This Row],[TC_O_4_'[%']]]+Tab_Process_TCs2527[[#This Row],[TC_O_3_'[%']]]+Tab_Process_TCs2527[[#This Row],[TC_O_2_'[%']]]+Tab_Process_TCs2527[[#This Row],[TC_O_1_'[%']]]</f>
        <v>1</v>
      </c>
      <c r="BH146" s="12"/>
      <c r="BI146" s="12"/>
      <c r="BJ146" s="12"/>
      <c r="BK146" s="12"/>
      <c r="BL146" s="12"/>
    </row>
    <row r="147" spans="1:64" x14ac:dyDescent="0.25">
      <c r="A147" s="197" t="b">
        <v>0</v>
      </c>
      <c r="B147" s="10">
        <f t="shared" si="30"/>
        <v>146</v>
      </c>
      <c r="C147" s="49" t="e">
        <f>_xlfn.XLOOKUP($D147,Tab_Process_TCs[Name(EN)],Tab_Process_TCs[Process_ID],,0,)</f>
        <v>#N/A</v>
      </c>
      <c r="D147" s="192" t="s">
        <v>35</v>
      </c>
      <c r="E147" s="192" t="s">
        <v>35</v>
      </c>
      <c r="F147" s="49" t="e">
        <f>_xlfn.XLOOKUP($D147,Tab_Process_TCs[Name(EN)],Tab_Process_TCs[TC?],,0,)</f>
        <v>#N/A</v>
      </c>
      <c r="G147" s="49" t="e">
        <f>_xlfn.XLOOKUP($D147,Tab_Process_TCs[Name(EN)],Tab_Process_TCs[Dyn_TC?],,0,)</f>
        <v>#N/A</v>
      </c>
      <c r="H147" s="10" t="str">
        <f>_xlfn.XLOOKUP($E147,Tab_Def_Flows[Name(EN)],Tab_Def_Flows[Flow_ID],,0,1)</f>
        <v>N.A.</v>
      </c>
      <c r="I147" s="10" t="str">
        <f>IF(Tab_Process_TCs2527[[#This Row],[Name(EN)]]="N.A.","N.A.","TC"&amp;"_"&amp;RIGHT(H147,5))</f>
        <v>N.A.</v>
      </c>
      <c r="J147" s="12"/>
      <c r="K147" s="186"/>
      <c r="L147" s="10"/>
      <c r="M147" s="17" t="e">
        <f>_xlfn.XLOOKUP($D147,Tab_Def_Processes[Name(EN)],Tab_Def_Processes[Input_Flow_I_1],,0,)</f>
        <v>#N/A</v>
      </c>
      <c r="N147" s="10" t="e">
        <f>_xlfn.XLOOKUP($D147,Tab_Def_Processes[Name(EN)],Tab_Def_Processes[Flow_ID_I_1],,0,)</f>
        <v>#N/A</v>
      </c>
      <c r="O147" s="184"/>
      <c r="P147" s="30" t="e">
        <f>_xlfn.XLOOKUP($D147,Tab_Def_Processes[Name(EN)],Tab_Def_Processes[Input_Flow_I_2],,0,)</f>
        <v>#N/A</v>
      </c>
      <c r="Q147" s="10" t="e">
        <f>_xlfn.XLOOKUP($D147,Tab_Def_Processes[Name(EN)],Tab_Def_Processes[Flow_ID_I_2],,0,)</f>
        <v>#N/A</v>
      </c>
      <c r="R147" s="184"/>
      <c r="S147" s="30" t="e">
        <f>_xlfn.XLOOKUP($D147,Tab_Def_Processes[Name(EN)],Tab_Def_Processes[Input_Flow_I_3],,0,)</f>
        <v>#N/A</v>
      </c>
      <c r="T147" s="10" t="e">
        <f>_xlfn.XLOOKUP($D147,Tab_Def_Processes[Name(EN)],Tab_Def_Processes[Flow_ID_I_3],,0,)</f>
        <v>#N/A</v>
      </c>
      <c r="U147" s="184"/>
      <c r="V147" s="30" t="e">
        <f>_xlfn.XLOOKUP($D147,Tab_Def_Processes[Name(EN)],Tab_Def_Processes[Input_Flow_I_4],,0,)</f>
        <v>#N/A</v>
      </c>
      <c r="W147" s="10" t="e">
        <f>_xlfn.XLOOKUP($D147,Tab_Def_Processes[Name(EN)],Tab_Def_Processes[Flow_ID_I_4],,0,)</f>
        <v>#N/A</v>
      </c>
      <c r="X147" s="184"/>
      <c r="Y147" s="30" t="e">
        <f>_xlfn.XLOOKUP($D147,Tab_Def_Processes[Name(EN)],Tab_Def_Processes[Input_Flow_I_5],,0,)</f>
        <v>#N/A</v>
      </c>
      <c r="Z147" s="10" t="e">
        <f>_xlfn.XLOOKUP($D147,Tab_Def_Processes[Name(EN)],Tab_Def_Processes[Flow_ID_I_5],,0,)</f>
        <v>#N/A</v>
      </c>
      <c r="AA147" s="184"/>
      <c r="AB147" s="33">
        <f>Tab_Process_TCs2527[[#This Row],[Flow_TC_I_1_'[%']]]+Tab_Process_TCs2527[[#This Row],[Flow_TC_I_2_'[%']]]+Tab_Process_TCs2527[[#This Row],[Flow_TC_I_3_'[%']]]+Tab_Process_TCs2527[[#This Row],[Flow_TC_I_4_'[%']]]+Tab_Process_TCs2527[[#This Row],[Flow_TC_I_5_'[%']]]</f>
        <v>0</v>
      </c>
      <c r="AC147" s="17" t="e">
        <f>_xlfn.XLOOKUP($D147,#REF!,#REF!,,0,)</f>
        <v>#REF!</v>
      </c>
      <c r="AD147" s="10" t="e">
        <f>_xlfn.XLOOKUP($D147,#REF!,#REF!,,0,)</f>
        <v>#REF!</v>
      </c>
      <c r="AE147" s="44" t="str">
        <f>Tab_Process_TCs2527[[#This Row],[Flow_ID]]</f>
        <v>N.A.</v>
      </c>
      <c r="AF147" s="10" t="e">
        <f t="shared" si="31"/>
        <v>#REF!</v>
      </c>
      <c r="AG147" s="172">
        <v>0.2</v>
      </c>
      <c r="AH147" s="17" t="e">
        <f>_xlfn.XLOOKUP($D147,#REF!,#REF!,,0,)</f>
        <v>#REF!</v>
      </c>
      <c r="AI147" s="10" t="e">
        <f>_xlfn.XLOOKUP($D147,#REF!,#REF!,,0,)</f>
        <v>#REF!</v>
      </c>
      <c r="AJ147" s="44" t="str">
        <f>Tab_Process_TCs2527[[#This Row],[Flow_ID]]</f>
        <v>N.A.</v>
      </c>
      <c r="AK147" s="10" t="e">
        <f t="shared" si="32"/>
        <v>#REF!</v>
      </c>
      <c r="AL147" s="170">
        <v>0.8</v>
      </c>
      <c r="AM147" s="17" t="e">
        <f>_xlfn.XLOOKUP($D147,#REF!,#REF!,,0,)</f>
        <v>#REF!</v>
      </c>
      <c r="AN147" s="10" t="e">
        <f>_xlfn.XLOOKUP($D147,#REF!,#REF!,,0,)</f>
        <v>#REF!</v>
      </c>
      <c r="AO147" s="44" t="str">
        <f>Tab_Process_TCs2527[[#This Row],[Flow_ID]]</f>
        <v>N.A.</v>
      </c>
      <c r="AP147" s="10" t="e">
        <f t="shared" si="33"/>
        <v>#REF!</v>
      </c>
      <c r="AQ147" s="170"/>
      <c r="AR147" s="17" t="e">
        <f>_xlfn.XLOOKUP($D147,#REF!,#REF!,,0,)</f>
        <v>#REF!</v>
      </c>
      <c r="AS147" s="10" t="e">
        <f>_xlfn.XLOOKUP($D147,#REF!,#REF!,,0,)</f>
        <v>#REF!</v>
      </c>
      <c r="AT147" s="44" t="str">
        <f>Tab_Process_TCs2527[[#This Row],[Flow_ID]]</f>
        <v>N.A.</v>
      </c>
      <c r="AU147" s="44" t="e">
        <f t="shared" si="34"/>
        <v>#REF!</v>
      </c>
      <c r="AV147" s="170"/>
      <c r="AW147" s="17" t="e">
        <f>_xlfn.XLOOKUP($D147,#REF!,#REF!,,0,)</f>
        <v>#REF!</v>
      </c>
      <c r="AX147" s="10" t="e">
        <f>_xlfn.XLOOKUP($D147,#REF!,#REF!,,0,)</f>
        <v>#REF!</v>
      </c>
      <c r="AY147" s="44" t="str">
        <f>Tab_Process_TCs2527[[#This Row],[Flow_ID]]</f>
        <v>N.A.</v>
      </c>
      <c r="AZ147" s="44" t="e">
        <f t="shared" si="35"/>
        <v>#REF!</v>
      </c>
      <c r="BA147" s="170"/>
      <c r="BB147" s="10" t="e">
        <f>_xlfn.XLOOKUP($D147,#REF!,#REF!,,0,)</f>
        <v>#REF!</v>
      </c>
      <c r="BC147" s="10" t="e">
        <f>_xlfn.XLOOKUP($D147,#REF!,#REF!,,0,)</f>
        <v>#REF!</v>
      </c>
      <c r="BD147" s="44" t="str">
        <f>Tab_Process_TCs2527[[#This Row],[Flow_ID]]</f>
        <v>N.A.</v>
      </c>
      <c r="BE147" s="44" t="e">
        <f t="shared" si="36"/>
        <v>#REF!</v>
      </c>
      <c r="BF147" s="51"/>
      <c r="BG147" s="54">
        <f>Tab_Process_TCs2527[[#This Row],[TC O_6_'[%']]]+Tab_Process_TCs2527[[#This Row],[TC O_5_'[%']]]+Tab_Process_TCs2527[[#This Row],[TC_O_4_'[%']]]+Tab_Process_TCs2527[[#This Row],[TC_O_3_'[%']]]+Tab_Process_TCs2527[[#This Row],[TC_O_2_'[%']]]+Tab_Process_TCs2527[[#This Row],[TC_O_1_'[%']]]</f>
        <v>1</v>
      </c>
      <c r="BH147" s="12"/>
      <c r="BI147" s="12"/>
      <c r="BJ147" s="12"/>
      <c r="BK147" s="12"/>
      <c r="BL147" s="12"/>
    </row>
    <row r="148" spans="1:64" x14ac:dyDescent="0.25">
      <c r="A148" s="197" t="b">
        <v>0</v>
      </c>
      <c r="B148" s="10">
        <f t="shared" si="30"/>
        <v>147</v>
      </c>
      <c r="C148" s="49" t="e">
        <f>_xlfn.XLOOKUP($D148,Tab_Process_TCs[Name(EN)],Tab_Process_TCs[Process_ID],,0,)</f>
        <v>#N/A</v>
      </c>
      <c r="D148" s="192" t="s">
        <v>35</v>
      </c>
      <c r="E148" s="192" t="s">
        <v>35</v>
      </c>
      <c r="F148" s="49" t="e">
        <f>_xlfn.XLOOKUP($D148,Tab_Process_TCs[Name(EN)],Tab_Process_TCs[TC?],,0,)</f>
        <v>#N/A</v>
      </c>
      <c r="G148" s="49" t="e">
        <f>_xlfn.XLOOKUP($D148,Tab_Process_TCs[Name(EN)],Tab_Process_TCs[Dyn_TC?],,0,)</f>
        <v>#N/A</v>
      </c>
      <c r="H148" s="10" t="str">
        <f>_xlfn.XLOOKUP($E148,Tab_Def_Flows[Name(EN)],Tab_Def_Flows[Flow_ID],,0,1)</f>
        <v>N.A.</v>
      </c>
      <c r="I148" s="10" t="str">
        <f>IF(Tab_Process_TCs2527[[#This Row],[Name(EN)]]="N.A.","N.A.","TC"&amp;"_"&amp;RIGHT(H148,5))</f>
        <v>N.A.</v>
      </c>
      <c r="J148" s="12"/>
      <c r="K148" s="186"/>
      <c r="L148" s="10"/>
      <c r="M148" s="17" t="e">
        <f>_xlfn.XLOOKUP($D148,Tab_Def_Processes[Name(EN)],Tab_Def_Processes[Input_Flow_I_1],,0,)</f>
        <v>#N/A</v>
      </c>
      <c r="N148" s="10" t="e">
        <f>_xlfn.XLOOKUP($D148,Tab_Def_Processes[Name(EN)],Tab_Def_Processes[Flow_ID_I_1],,0,)</f>
        <v>#N/A</v>
      </c>
      <c r="O148" s="184"/>
      <c r="P148" s="30" t="e">
        <f>_xlfn.XLOOKUP($D148,Tab_Def_Processes[Name(EN)],Tab_Def_Processes[Input_Flow_I_2],,0,)</f>
        <v>#N/A</v>
      </c>
      <c r="Q148" s="10" t="e">
        <f>_xlfn.XLOOKUP($D148,Tab_Def_Processes[Name(EN)],Tab_Def_Processes[Flow_ID_I_2],,0,)</f>
        <v>#N/A</v>
      </c>
      <c r="R148" s="184"/>
      <c r="S148" s="30" t="e">
        <f>_xlfn.XLOOKUP($D148,Tab_Def_Processes[Name(EN)],Tab_Def_Processes[Input_Flow_I_3],,0,)</f>
        <v>#N/A</v>
      </c>
      <c r="T148" s="10" t="e">
        <f>_xlfn.XLOOKUP($D148,Tab_Def_Processes[Name(EN)],Tab_Def_Processes[Flow_ID_I_3],,0,)</f>
        <v>#N/A</v>
      </c>
      <c r="U148" s="184"/>
      <c r="V148" s="30" t="e">
        <f>_xlfn.XLOOKUP($D148,Tab_Def_Processes[Name(EN)],Tab_Def_Processes[Input_Flow_I_4],,0,)</f>
        <v>#N/A</v>
      </c>
      <c r="W148" s="10" t="e">
        <f>_xlfn.XLOOKUP($D148,Tab_Def_Processes[Name(EN)],Tab_Def_Processes[Flow_ID_I_4],,0,)</f>
        <v>#N/A</v>
      </c>
      <c r="X148" s="184"/>
      <c r="Y148" s="30" t="e">
        <f>_xlfn.XLOOKUP($D148,Tab_Def_Processes[Name(EN)],Tab_Def_Processes[Input_Flow_I_5],,0,)</f>
        <v>#N/A</v>
      </c>
      <c r="Z148" s="10" t="e">
        <f>_xlfn.XLOOKUP($D148,Tab_Def_Processes[Name(EN)],Tab_Def_Processes[Flow_ID_I_5],,0,)</f>
        <v>#N/A</v>
      </c>
      <c r="AA148" s="184"/>
      <c r="AB148" s="33">
        <f>Tab_Process_TCs2527[[#This Row],[Flow_TC_I_1_'[%']]]+Tab_Process_TCs2527[[#This Row],[Flow_TC_I_2_'[%']]]+Tab_Process_TCs2527[[#This Row],[Flow_TC_I_3_'[%']]]+Tab_Process_TCs2527[[#This Row],[Flow_TC_I_4_'[%']]]+Tab_Process_TCs2527[[#This Row],[Flow_TC_I_5_'[%']]]</f>
        <v>0</v>
      </c>
      <c r="AC148" s="17" t="e">
        <f>_xlfn.XLOOKUP($D148,#REF!,#REF!,,0,)</f>
        <v>#REF!</v>
      </c>
      <c r="AD148" s="10" t="e">
        <f>_xlfn.XLOOKUP($D148,#REF!,#REF!,,0,)</f>
        <v>#REF!</v>
      </c>
      <c r="AE148" s="44" t="str">
        <f>Tab_Process_TCs2527[[#This Row],[Flow_ID]]</f>
        <v>N.A.</v>
      </c>
      <c r="AF148" s="10" t="e">
        <f t="shared" si="31"/>
        <v>#REF!</v>
      </c>
      <c r="AG148" s="172">
        <v>0.2</v>
      </c>
      <c r="AH148" s="17" t="e">
        <f>_xlfn.XLOOKUP($D148,#REF!,#REF!,,0,)</f>
        <v>#REF!</v>
      </c>
      <c r="AI148" s="10" t="e">
        <f>_xlfn.XLOOKUP($D148,#REF!,#REF!,,0,)</f>
        <v>#REF!</v>
      </c>
      <c r="AJ148" s="44" t="str">
        <f>Tab_Process_TCs2527[[#This Row],[Flow_ID]]</f>
        <v>N.A.</v>
      </c>
      <c r="AK148" s="10" t="e">
        <f t="shared" si="32"/>
        <v>#REF!</v>
      </c>
      <c r="AL148" s="170">
        <v>0.8</v>
      </c>
      <c r="AM148" s="17" t="e">
        <f>_xlfn.XLOOKUP($D148,#REF!,#REF!,,0,)</f>
        <v>#REF!</v>
      </c>
      <c r="AN148" s="10" t="e">
        <f>_xlfn.XLOOKUP($D148,#REF!,#REF!,,0,)</f>
        <v>#REF!</v>
      </c>
      <c r="AO148" s="44" t="str">
        <f>Tab_Process_TCs2527[[#This Row],[Flow_ID]]</f>
        <v>N.A.</v>
      </c>
      <c r="AP148" s="10" t="e">
        <f t="shared" si="33"/>
        <v>#REF!</v>
      </c>
      <c r="AQ148" s="170"/>
      <c r="AR148" s="17" t="e">
        <f>_xlfn.XLOOKUP($D148,#REF!,#REF!,,0,)</f>
        <v>#REF!</v>
      </c>
      <c r="AS148" s="10" t="e">
        <f>_xlfn.XLOOKUP($D148,#REF!,#REF!,,0,)</f>
        <v>#REF!</v>
      </c>
      <c r="AT148" s="44" t="str">
        <f>Tab_Process_TCs2527[[#This Row],[Flow_ID]]</f>
        <v>N.A.</v>
      </c>
      <c r="AU148" s="44" t="e">
        <f t="shared" si="34"/>
        <v>#REF!</v>
      </c>
      <c r="AV148" s="170"/>
      <c r="AW148" s="17" t="e">
        <f>_xlfn.XLOOKUP($D148,#REF!,#REF!,,0,)</f>
        <v>#REF!</v>
      </c>
      <c r="AX148" s="10" t="e">
        <f>_xlfn.XLOOKUP($D148,#REF!,#REF!,,0,)</f>
        <v>#REF!</v>
      </c>
      <c r="AY148" s="44" t="str">
        <f>Tab_Process_TCs2527[[#This Row],[Flow_ID]]</f>
        <v>N.A.</v>
      </c>
      <c r="AZ148" s="44" t="e">
        <f t="shared" si="35"/>
        <v>#REF!</v>
      </c>
      <c r="BA148" s="170"/>
      <c r="BB148" s="10" t="e">
        <f>_xlfn.XLOOKUP($D148,#REF!,#REF!,,0,)</f>
        <v>#REF!</v>
      </c>
      <c r="BC148" s="10" t="e">
        <f>_xlfn.XLOOKUP($D148,#REF!,#REF!,,0,)</f>
        <v>#REF!</v>
      </c>
      <c r="BD148" s="44" t="str">
        <f>Tab_Process_TCs2527[[#This Row],[Flow_ID]]</f>
        <v>N.A.</v>
      </c>
      <c r="BE148" s="44" t="e">
        <f t="shared" si="36"/>
        <v>#REF!</v>
      </c>
      <c r="BF148" s="51"/>
      <c r="BG148" s="54">
        <f>Tab_Process_TCs2527[[#This Row],[TC O_6_'[%']]]+Tab_Process_TCs2527[[#This Row],[TC O_5_'[%']]]+Tab_Process_TCs2527[[#This Row],[TC_O_4_'[%']]]+Tab_Process_TCs2527[[#This Row],[TC_O_3_'[%']]]+Tab_Process_TCs2527[[#This Row],[TC_O_2_'[%']]]+Tab_Process_TCs2527[[#This Row],[TC_O_1_'[%']]]</f>
        <v>1</v>
      </c>
      <c r="BH148" s="12"/>
      <c r="BI148" s="12"/>
      <c r="BJ148" s="12"/>
      <c r="BK148" s="12"/>
      <c r="BL148" s="12"/>
    </row>
    <row r="149" spans="1:64" x14ac:dyDescent="0.25">
      <c r="A149" s="197" t="b">
        <v>0</v>
      </c>
      <c r="B149" s="10">
        <f t="shared" si="30"/>
        <v>148</v>
      </c>
      <c r="C149" s="49" t="e">
        <f>_xlfn.XLOOKUP($D149,Tab_Process_TCs[Name(EN)],Tab_Process_TCs[Process_ID],,0,)</f>
        <v>#N/A</v>
      </c>
      <c r="D149" s="192" t="s">
        <v>35</v>
      </c>
      <c r="E149" s="192" t="s">
        <v>35</v>
      </c>
      <c r="F149" s="49" t="e">
        <f>_xlfn.XLOOKUP($D149,Tab_Process_TCs[Name(EN)],Tab_Process_TCs[TC?],,0,)</f>
        <v>#N/A</v>
      </c>
      <c r="G149" s="49" t="e">
        <f>_xlfn.XLOOKUP($D149,Tab_Process_TCs[Name(EN)],Tab_Process_TCs[Dyn_TC?],,0,)</f>
        <v>#N/A</v>
      </c>
      <c r="H149" s="10" t="str">
        <f>_xlfn.XLOOKUP($E149,Tab_Def_Flows[Name(EN)],Tab_Def_Flows[Flow_ID],,0,1)</f>
        <v>N.A.</v>
      </c>
      <c r="I149" s="10" t="str">
        <f>IF(Tab_Process_TCs2527[[#This Row],[Name(EN)]]="N.A.","N.A.","TC"&amp;"_"&amp;RIGHT(H149,5))</f>
        <v>N.A.</v>
      </c>
      <c r="J149" s="12"/>
      <c r="K149" s="58"/>
      <c r="L149" s="10"/>
      <c r="M149" s="17" t="e">
        <f>_xlfn.XLOOKUP($D149,Tab_Def_Processes[Name(EN)],Tab_Def_Processes[Input_Flow_I_1],,0,)</f>
        <v>#N/A</v>
      </c>
      <c r="N149" s="10" t="e">
        <f>_xlfn.XLOOKUP($D149,Tab_Def_Processes[Name(EN)],Tab_Def_Processes[Flow_ID_I_1],,0,)</f>
        <v>#N/A</v>
      </c>
      <c r="O149" s="184"/>
      <c r="P149" s="30" t="e">
        <f>_xlfn.XLOOKUP($D149,Tab_Def_Processes[Name(EN)],Tab_Def_Processes[Input_Flow_I_2],,0,)</f>
        <v>#N/A</v>
      </c>
      <c r="Q149" s="10" t="e">
        <f>_xlfn.XLOOKUP($D149,Tab_Def_Processes[Name(EN)],Tab_Def_Processes[Flow_ID_I_2],,0,)</f>
        <v>#N/A</v>
      </c>
      <c r="R149" s="184"/>
      <c r="S149" s="30" t="e">
        <f>_xlfn.XLOOKUP($D149,Tab_Def_Processes[Name(EN)],Tab_Def_Processes[Input_Flow_I_3],,0,)</f>
        <v>#N/A</v>
      </c>
      <c r="T149" s="10" t="e">
        <f>_xlfn.XLOOKUP($D149,Tab_Def_Processes[Name(EN)],Tab_Def_Processes[Flow_ID_I_3],,0,)</f>
        <v>#N/A</v>
      </c>
      <c r="U149" s="184"/>
      <c r="V149" s="30" t="e">
        <f>_xlfn.XLOOKUP($D149,Tab_Def_Processes[Name(EN)],Tab_Def_Processes[Input_Flow_I_4],,0,)</f>
        <v>#N/A</v>
      </c>
      <c r="W149" s="10" t="e">
        <f>_xlfn.XLOOKUP($D149,Tab_Def_Processes[Name(EN)],Tab_Def_Processes[Flow_ID_I_4],,0,)</f>
        <v>#N/A</v>
      </c>
      <c r="X149" s="184"/>
      <c r="Y149" s="30" t="e">
        <f>_xlfn.XLOOKUP($D149,Tab_Def_Processes[Name(EN)],Tab_Def_Processes[Input_Flow_I_5],,0,)</f>
        <v>#N/A</v>
      </c>
      <c r="Z149" s="10" t="e">
        <f>_xlfn.XLOOKUP($D149,Tab_Def_Processes[Name(EN)],Tab_Def_Processes[Flow_ID_I_5],,0,)</f>
        <v>#N/A</v>
      </c>
      <c r="AA149" s="184"/>
      <c r="AB149" s="33">
        <f>Tab_Process_TCs2527[[#This Row],[Flow_TC_I_1_'[%']]]+Tab_Process_TCs2527[[#This Row],[Flow_TC_I_2_'[%']]]+Tab_Process_TCs2527[[#This Row],[Flow_TC_I_3_'[%']]]+Tab_Process_TCs2527[[#This Row],[Flow_TC_I_4_'[%']]]+Tab_Process_TCs2527[[#This Row],[Flow_TC_I_5_'[%']]]</f>
        <v>0</v>
      </c>
      <c r="AC149" s="17" t="e">
        <f>_xlfn.XLOOKUP($D149,#REF!,#REF!,,0,)</f>
        <v>#REF!</v>
      </c>
      <c r="AD149" s="10" t="e">
        <f>_xlfn.XLOOKUP($D149,#REF!,#REF!,,0,)</f>
        <v>#REF!</v>
      </c>
      <c r="AE149" s="44" t="str">
        <f>Tab_Process_TCs2527[[#This Row],[Flow_ID]]</f>
        <v>N.A.</v>
      </c>
      <c r="AF149" s="10" t="e">
        <f t="shared" si="31"/>
        <v>#REF!</v>
      </c>
      <c r="AG149" s="172">
        <v>0.2</v>
      </c>
      <c r="AH149" s="17" t="e">
        <f>_xlfn.XLOOKUP($D149,#REF!,#REF!,,0,)</f>
        <v>#REF!</v>
      </c>
      <c r="AI149" s="10" t="e">
        <f>_xlfn.XLOOKUP($D149,#REF!,#REF!,,0,)</f>
        <v>#REF!</v>
      </c>
      <c r="AJ149" s="44" t="str">
        <f>Tab_Process_TCs2527[[#This Row],[Flow_ID]]</f>
        <v>N.A.</v>
      </c>
      <c r="AK149" s="10" t="e">
        <f t="shared" si="32"/>
        <v>#REF!</v>
      </c>
      <c r="AL149" s="170">
        <v>0.8</v>
      </c>
      <c r="AM149" s="17" t="e">
        <f>_xlfn.XLOOKUP($D149,#REF!,#REF!,,0,)</f>
        <v>#REF!</v>
      </c>
      <c r="AN149" s="10" t="e">
        <f>_xlfn.XLOOKUP($D149,#REF!,#REF!,,0,)</f>
        <v>#REF!</v>
      </c>
      <c r="AO149" s="44" t="str">
        <f>Tab_Process_TCs2527[[#This Row],[Flow_ID]]</f>
        <v>N.A.</v>
      </c>
      <c r="AP149" s="10" t="e">
        <f t="shared" si="33"/>
        <v>#REF!</v>
      </c>
      <c r="AQ149" s="170"/>
      <c r="AR149" s="17" t="e">
        <f>_xlfn.XLOOKUP($D149,#REF!,#REF!,,0,)</f>
        <v>#REF!</v>
      </c>
      <c r="AS149" s="10" t="e">
        <f>_xlfn.XLOOKUP($D149,#REF!,#REF!,,0,)</f>
        <v>#REF!</v>
      </c>
      <c r="AT149" s="44" t="str">
        <f>Tab_Process_TCs2527[[#This Row],[Flow_ID]]</f>
        <v>N.A.</v>
      </c>
      <c r="AU149" s="44" t="e">
        <f t="shared" si="34"/>
        <v>#REF!</v>
      </c>
      <c r="AV149" s="170"/>
      <c r="AW149" s="17" t="e">
        <f>_xlfn.XLOOKUP($D149,#REF!,#REF!,,0,)</f>
        <v>#REF!</v>
      </c>
      <c r="AX149" s="10" t="e">
        <f>_xlfn.XLOOKUP($D149,#REF!,#REF!,,0,)</f>
        <v>#REF!</v>
      </c>
      <c r="AY149" s="44" t="str">
        <f>Tab_Process_TCs2527[[#This Row],[Flow_ID]]</f>
        <v>N.A.</v>
      </c>
      <c r="AZ149" s="44" t="e">
        <f t="shared" si="35"/>
        <v>#REF!</v>
      </c>
      <c r="BA149" s="170"/>
      <c r="BB149" s="10" t="e">
        <f>_xlfn.XLOOKUP($D149,#REF!,#REF!,,0,)</f>
        <v>#REF!</v>
      </c>
      <c r="BC149" s="10" t="e">
        <f>_xlfn.XLOOKUP($D149,#REF!,#REF!,,0,)</f>
        <v>#REF!</v>
      </c>
      <c r="BD149" s="44" t="str">
        <f>Tab_Process_TCs2527[[#This Row],[Flow_ID]]</f>
        <v>N.A.</v>
      </c>
      <c r="BE149" s="44" t="e">
        <f t="shared" si="36"/>
        <v>#REF!</v>
      </c>
      <c r="BF149" s="51"/>
      <c r="BG149" s="54">
        <f>Tab_Process_TCs2527[[#This Row],[TC O_6_'[%']]]+Tab_Process_TCs2527[[#This Row],[TC O_5_'[%']]]+Tab_Process_TCs2527[[#This Row],[TC_O_4_'[%']]]+Tab_Process_TCs2527[[#This Row],[TC_O_3_'[%']]]+Tab_Process_TCs2527[[#This Row],[TC_O_2_'[%']]]+Tab_Process_TCs2527[[#This Row],[TC_O_1_'[%']]]</f>
        <v>1</v>
      </c>
      <c r="BH149" s="12"/>
      <c r="BI149" s="12"/>
      <c r="BJ149" s="12"/>
      <c r="BK149" s="12"/>
      <c r="BL149" s="12"/>
    </row>
    <row r="150" spans="1:64" x14ac:dyDescent="0.25">
      <c r="A150" s="197" t="b">
        <v>0</v>
      </c>
      <c r="B150" s="10">
        <f t="shared" si="30"/>
        <v>149</v>
      </c>
      <c r="C150" s="49" t="e">
        <f>_xlfn.XLOOKUP($D150,Tab_Process_TCs[Name(EN)],Tab_Process_TCs[Process_ID],,0,)</f>
        <v>#N/A</v>
      </c>
      <c r="D150" s="192" t="s">
        <v>35</v>
      </c>
      <c r="E150" s="192" t="s">
        <v>35</v>
      </c>
      <c r="F150" s="49" t="e">
        <f>_xlfn.XLOOKUP($D150,Tab_Process_TCs[Name(EN)],Tab_Process_TCs[TC?],,0,)</f>
        <v>#N/A</v>
      </c>
      <c r="G150" s="49" t="e">
        <f>_xlfn.XLOOKUP($D150,Tab_Process_TCs[Name(EN)],Tab_Process_TCs[Dyn_TC?],,0,)</f>
        <v>#N/A</v>
      </c>
      <c r="H150" s="10" t="str">
        <f>_xlfn.XLOOKUP($E150,Tab_Def_Flows[Name(EN)],Tab_Def_Flows[Flow_ID],,0,1)</f>
        <v>N.A.</v>
      </c>
      <c r="I150" s="10" t="str">
        <f>IF(Tab_Process_TCs2527[[#This Row],[Name(EN)]]="N.A.","N.A.","TC"&amp;"_"&amp;RIGHT(H150,5))</f>
        <v>N.A.</v>
      </c>
      <c r="J150" s="12"/>
      <c r="K150" s="58"/>
      <c r="L150" s="10"/>
      <c r="M150" s="17" t="e">
        <f>_xlfn.XLOOKUP($D150,Tab_Def_Processes[Name(EN)],Tab_Def_Processes[Input_Flow_I_1],,0,)</f>
        <v>#N/A</v>
      </c>
      <c r="N150" s="10" t="e">
        <f>_xlfn.XLOOKUP($D150,Tab_Def_Processes[Name(EN)],Tab_Def_Processes[Flow_ID_I_1],,0,)</f>
        <v>#N/A</v>
      </c>
      <c r="O150" s="184"/>
      <c r="P150" s="30" t="e">
        <f>_xlfn.XLOOKUP($D150,Tab_Def_Processes[Name(EN)],Tab_Def_Processes[Input_Flow_I_2],,0,)</f>
        <v>#N/A</v>
      </c>
      <c r="Q150" s="10" t="e">
        <f>_xlfn.XLOOKUP($D150,Tab_Def_Processes[Name(EN)],Tab_Def_Processes[Flow_ID_I_2],,0,)</f>
        <v>#N/A</v>
      </c>
      <c r="R150" s="184"/>
      <c r="S150" s="30" t="e">
        <f>_xlfn.XLOOKUP($D150,Tab_Def_Processes[Name(EN)],Tab_Def_Processes[Input_Flow_I_3],,0,)</f>
        <v>#N/A</v>
      </c>
      <c r="T150" s="10" t="e">
        <f>_xlfn.XLOOKUP($D150,Tab_Def_Processes[Name(EN)],Tab_Def_Processes[Flow_ID_I_3],,0,)</f>
        <v>#N/A</v>
      </c>
      <c r="U150" s="184"/>
      <c r="V150" s="30" t="e">
        <f>_xlfn.XLOOKUP($D150,Tab_Def_Processes[Name(EN)],Tab_Def_Processes[Input_Flow_I_4],,0,)</f>
        <v>#N/A</v>
      </c>
      <c r="W150" s="10" t="e">
        <f>_xlfn.XLOOKUP($D150,Tab_Def_Processes[Name(EN)],Tab_Def_Processes[Flow_ID_I_4],,0,)</f>
        <v>#N/A</v>
      </c>
      <c r="X150" s="184"/>
      <c r="Y150" s="30" t="e">
        <f>_xlfn.XLOOKUP($D150,Tab_Def_Processes[Name(EN)],Tab_Def_Processes[Input_Flow_I_5],,0,)</f>
        <v>#N/A</v>
      </c>
      <c r="Z150" s="10" t="e">
        <f>_xlfn.XLOOKUP($D150,Tab_Def_Processes[Name(EN)],Tab_Def_Processes[Flow_ID_I_5],,0,)</f>
        <v>#N/A</v>
      </c>
      <c r="AA150" s="184"/>
      <c r="AB150" s="33">
        <f>Tab_Process_TCs2527[[#This Row],[Flow_TC_I_1_'[%']]]+Tab_Process_TCs2527[[#This Row],[Flow_TC_I_2_'[%']]]+Tab_Process_TCs2527[[#This Row],[Flow_TC_I_3_'[%']]]+Tab_Process_TCs2527[[#This Row],[Flow_TC_I_4_'[%']]]+Tab_Process_TCs2527[[#This Row],[Flow_TC_I_5_'[%']]]</f>
        <v>0</v>
      </c>
      <c r="AC150" s="17" t="e">
        <f>_xlfn.XLOOKUP($D150,#REF!,#REF!,,0,)</f>
        <v>#REF!</v>
      </c>
      <c r="AD150" s="10" t="e">
        <f>_xlfn.XLOOKUP($D150,#REF!,#REF!,,0,)</f>
        <v>#REF!</v>
      </c>
      <c r="AE150" s="44" t="str">
        <f>Tab_Process_TCs2527[[#This Row],[Flow_ID]]</f>
        <v>N.A.</v>
      </c>
      <c r="AF150" s="10" t="e">
        <f t="shared" si="31"/>
        <v>#REF!</v>
      </c>
      <c r="AG150" s="172">
        <v>0.2</v>
      </c>
      <c r="AH150" s="17" t="e">
        <f>_xlfn.XLOOKUP($D150,#REF!,#REF!,,0,)</f>
        <v>#REF!</v>
      </c>
      <c r="AI150" s="10" t="e">
        <f>_xlfn.XLOOKUP($D150,#REF!,#REF!,,0,)</f>
        <v>#REF!</v>
      </c>
      <c r="AJ150" s="44" t="str">
        <f>Tab_Process_TCs2527[[#This Row],[Flow_ID]]</f>
        <v>N.A.</v>
      </c>
      <c r="AK150" s="10" t="e">
        <f t="shared" si="32"/>
        <v>#REF!</v>
      </c>
      <c r="AL150" s="170">
        <v>0.8</v>
      </c>
      <c r="AM150" s="17" t="e">
        <f>_xlfn.XLOOKUP($D150,#REF!,#REF!,,0,)</f>
        <v>#REF!</v>
      </c>
      <c r="AN150" s="10" t="e">
        <f>_xlfn.XLOOKUP($D150,#REF!,#REF!,,0,)</f>
        <v>#REF!</v>
      </c>
      <c r="AO150" s="44" t="str">
        <f>Tab_Process_TCs2527[[#This Row],[Flow_ID]]</f>
        <v>N.A.</v>
      </c>
      <c r="AP150" s="10" t="e">
        <f t="shared" si="33"/>
        <v>#REF!</v>
      </c>
      <c r="AQ150" s="170"/>
      <c r="AR150" s="17" t="e">
        <f>_xlfn.XLOOKUP($D150,#REF!,#REF!,,0,)</f>
        <v>#REF!</v>
      </c>
      <c r="AS150" s="10" t="e">
        <f>_xlfn.XLOOKUP($D150,#REF!,#REF!,,0,)</f>
        <v>#REF!</v>
      </c>
      <c r="AT150" s="44" t="str">
        <f>Tab_Process_TCs2527[[#This Row],[Flow_ID]]</f>
        <v>N.A.</v>
      </c>
      <c r="AU150" s="44" t="e">
        <f t="shared" si="34"/>
        <v>#REF!</v>
      </c>
      <c r="AV150" s="170"/>
      <c r="AW150" s="17" t="e">
        <f>_xlfn.XLOOKUP($D150,#REF!,#REF!,,0,)</f>
        <v>#REF!</v>
      </c>
      <c r="AX150" s="10" t="e">
        <f>_xlfn.XLOOKUP($D150,#REF!,#REF!,,0,)</f>
        <v>#REF!</v>
      </c>
      <c r="AY150" s="44" t="str">
        <f>Tab_Process_TCs2527[[#This Row],[Flow_ID]]</f>
        <v>N.A.</v>
      </c>
      <c r="AZ150" s="44" t="e">
        <f t="shared" si="35"/>
        <v>#REF!</v>
      </c>
      <c r="BA150" s="170"/>
      <c r="BB150" s="10" t="e">
        <f>_xlfn.XLOOKUP($D150,#REF!,#REF!,,0,)</f>
        <v>#REF!</v>
      </c>
      <c r="BC150" s="10" t="e">
        <f>_xlfn.XLOOKUP($D150,#REF!,#REF!,,0,)</f>
        <v>#REF!</v>
      </c>
      <c r="BD150" s="44" t="str">
        <f>Tab_Process_TCs2527[[#This Row],[Flow_ID]]</f>
        <v>N.A.</v>
      </c>
      <c r="BE150" s="44" t="e">
        <f t="shared" si="36"/>
        <v>#REF!</v>
      </c>
      <c r="BF150" s="51"/>
      <c r="BG150" s="54">
        <f>Tab_Process_TCs2527[[#This Row],[TC O_6_'[%']]]+Tab_Process_TCs2527[[#This Row],[TC O_5_'[%']]]+Tab_Process_TCs2527[[#This Row],[TC_O_4_'[%']]]+Tab_Process_TCs2527[[#This Row],[TC_O_3_'[%']]]+Tab_Process_TCs2527[[#This Row],[TC_O_2_'[%']]]+Tab_Process_TCs2527[[#This Row],[TC_O_1_'[%']]]</f>
        <v>1</v>
      </c>
      <c r="BH150" s="12"/>
      <c r="BI150" s="12"/>
      <c r="BJ150" s="12"/>
      <c r="BK150" s="12"/>
      <c r="BL150" s="12"/>
    </row>
    <row r="151" spans="1:64" ht="15.75" thickBot="1" x14ac:dyDescent="0.3">
      <c r="A151" s="197" t="b">
        <v>0</v>
      </c>
      <c r="B151" s="10">
        <f t="shared" si="30"/>
        <v>150</v>
      </c>
      <c r="C151" s="49" t="e">
        <f>_xlfn.XLOOKUP($D151,Tab_Process_TCs[Name(EN)],Tab_Process_TCs[Process_ID],,0,)</f>
        <v>#N/A</v>
      </c>
      <c r="D151" s="192" t="s">
        <v>35</v>
      </c>
      <c r="E151" s="192" t="s">
        <v>35</v>
      </c>
      <c r="F151" s="49" t="e">
        <f>_xlfn.XLOOKUP($D151,Tab_Process_TCs[Name(EN)],Tab_Process_TCs[TC?],,0,)</f>
        <v>#N/A</v>
      </c>
      <c r="G151" s="49" t="e">
        <f>_xlfn.XLOOKUP($D151,Tab_Process_TCs[Name(EN)],Tab_Process_TCs[Dyn_TC?],,0,)</f>
        <v>#N/A</v>
      </c>
      <c r="H151" s="10" t="str">
        <f>_xlfn.XLOOKUP($E151,Tab_Def_Flows[Name(EN)],Tab_Def_Flows[Flow_ID],,0,1)</f>
        <v>N.A.</v>
      </c>
      <c r="I151" s="10" t="str">
        <f>IF(Tab_Process_TCs2527[[#This Row],[Name(EN)]]="N.A.","N.A.","TC"&amp;"_"&amp;RIGHT(H151,5))</f>
        <v>N.A.</v>
      </c>
      <c r="J151" s="12"/>
      <c r="K151" s="186"/>
      <c r="L151" s="10"/>
      <c r="M151" s="17" t="e">
        <f>_xlfn.XLOOKUP($D151,Tab_Def_Processes[Name(EN)],Tab_Def_Processes[Input_Flow_I_1],,0,)</f>
        <v>#N/A</v>
      </c>
      <c r="N151" s="10" t="e">
        <f>_xlfn.XLOOKUP($D151,Tab_Def_Processes[Name(EN)],Tab_Def_Processes[Flow_ID_I_1],,0,)</f>
        <v>#N/A</v>
      </c>
      <c r="O151" s="184"/>
      <c r="P151" s="30" t="e">
        <f>_xlfn.XLOOKUP($D151,Tab_Def_Processes[Name(EN)],Tab_Def_Processes[Input_Flow_I_2],,0,)</f>
        <v>#N/A</v>
      </c>
      <c r="Q151" s="10" t="e">
        <f>_xlfn.XLOOKUP($D151,Tab_Def_Processes[Name(EN)],Tab_Def_Processes[Flow_ID_I_2],,0,)</f>
        <v>#N/A</v>
      </c>
      <c r="R151" s="184"/>
      <c r="S151" s="30" t="e">
        <f>_xlfn.XLOOKUP($D151,Tab_Def_Processes[Name(EN)],Tab_Def_Processes[Input_Flow_I_3],,0,)</f>
        <v>#N/A</v>
      </c>
      <c r="T151" s="10" t="e">
        <f>_xlfn.XLOOKUP($D151,Tab_Def_Processes[Name(EN)],Tab_Def_Processes[Flow_ID_I_3],,0,)</f>
        <v>#N/A</v>
      </c>
      <c r="U151" s="184"/>
      <c r="V151" s="30" t="e">
        <f>_xlfn.XLOOKUP($D151,Tab_Def_Processes[Name(EN)],Tab_Def_Processes[Input_Flow_I_4],,0,)</f>
        <v>#N/A</v>
      </c>
      <c r="W151" s="10" t="e">
        <f>_xlfn.XLOOKUP($D151,Tab_Def_Processes[Name(EN)],Tab_Def_Processes[Flow_ID_I_4],,0,)</f>
        <v>#N/A</v>
      </c>
      <c r="X151" s="184"/>
      <c r="Y151" s="30" t="e">
        <f>_xlfn.XLOOKUP($D151,Tab_Def_Processes[Name(EN)],Tab_Def_Processes[Input_Flow_I_5],,0,)</f>
        <v>#N/A</v>
      </c>
      <c r="Z151" s="10" t="e">
        <f>_xlfn.XLOOKUP($D151,Tab_Def_Processes[Name(EN)],Tab_Def_Processes[Flow_ID_I_5],,0,)</f>
        <v>#N/A</v>
      </c>
      <c r="AA151" s="184"/>
      <c r="AB151" s="33">
        <f>Tab_Process_TCs2527[[#This Row],[Flow_TC_I_1_'[%']]]+Tab_Process_TCs2527[[#This Row],[Flow_TC_I_2_'[%']]]+Tab_Process_TCs2527[[#This Row],[Flow_TC_I_3_'[%']]]+Tab_Process_TCs2527[[#This Row],[Flow_TC_I_4_'[%']]]+Tab_Process_TCs2527[[#This Row],[Flow_TC_I_5_'[%']]]</f>
        <v>0</v>
      </c>
      <c r="AC151" s="19" t="e">
        <f>_xlfn.XLOOKUP($D151,#REF!,#REF!,,0,)</f>
        <v>#REF!</v>
      </c>
      <c r="AD151" s="20" t="e">
        <f>_xlfn.XLOOKUP($D151,#REF!,#REF!,,0,)</f>
        <v>#REF!</v>
      </c>
      <c r="AE151" s="44" t="str">
        <f>Tab_Process_TCs2527[[#This Row],[Flow_ID]]</f>
        <v>N.A.</v>
      </c>
      <c r="AF151" s="20" t="e">
        <f t="shared" si="31"/>
        <v>#REF!</v>
      </c>
      <c r="AG151" s="175">
        <v>0.2</v>
      </c>
      <c r="AH151" s="19" t="e">
        <f>_xlfn.XLOOKUP($D151,#REF!,#REF!,,0,)</f>
        <v>#REF!</v>
      </c>
      <c r="AI151" s="20" t="e">
        <f>_xlfn.XLOOKUP($D151,#REF!,#REF!,,0,)</f>
        <v>#REF!</v>
      </c>
      <c r="AJ151" s="44" t="str">
        <f>Tab_Process_TCs2527[[#This Row],[Flow_ID]]</f>
        <v>N.A.</v>
      </c>
      <c r="AK151" s="20" t="e">
        <f t="shared" si="32"/>
        <v>#REF!</v>
      </c>
      <c r="AL151" s="176">
        <v>0.8</v>
      </c>
      <c r="AM151" s="19" t="e">
        <f>_xlfn.XLOOKUP($D151,#REF!,#REF!,,0,)</f>
        <v>#REF!</v>
      </c>
      <c r="AN151" s="20" t="e">
        <f>_xlfn.XLOOKUP($D151,#REF!,#REF!,,0,)</f>
        <v>#REF!</v>
      </c>
      <c r="AO151" s="44" t="str">
        <f>Tab_Process_TCs2527[[#This Row],[Flow_ID]]</f>
        <v>N.A.</v>
      </c>
      <c r="AP151" s="20" t="e">
        <f t="shared" si="33"/>
        <v>#REF!</v>
      </c>
      <c r="AQ151" s="176"/>
      <c r="AR151" s="19" t="e">
        <f>_xlfn.XLOOKUP($D151,#REF!,#REF!,,0,)</f>
        <v>#REF!</v>
      </c>
      <c r="AS151" s="20" t="e">
        <f>_xlfn.XLOOKUP($D151,#REF!,#REF!,,0,)</f>
        <v>#REF!</v>
      </c>
      <c r="AT151" s="44" t="str">
        <f>Tab_Process_TCs2527[[#This Row],[Flow_ID]]</f>
        <v>N.A.</v>
      </c>
      <c r="AU151" s="44" t="e">
        <f t="shared" si="34"/>
        <v>#REF!</v>
      </c>
      <c r="AV151" s="176"/>
      <c r="AW151" s="19" t="e">
        <f>_xlfn.XLOOKUP($D151,#REF!,#REF!,,0,)</f>
        <v>#REF!</v>
      </c>
      <c r="AX151" s="20" t="e">
        <f>_xlfn.XLOOKUP($D151,#REF!,#REF!,,0,)</f>
        <v>#REF!</v>
      </c>
      <c r="AY151" s="44" t="str">
        <f>Tab_Process_TCs2527[[#This Row],[Flow_ID]]</f>
        <v>N.A.</v>
      </c>
      <c r="AZ151" s="44" t="e">
        <f t="shared" si="35"/>
        <v>#REF!</v>
      </c>
      <c r="BA151" s="176"/>
      <c r="BB151" s="10" t="e">
        <f>_xlfn.XLOOKUP($D151,#REF!,#REF!,,0,)</f>
        <v>#REF!</v>
      </c>
      <c r="BC151" s="10" t="e">
        <f>_xlfn.XLOOKUP($D151,#REF!,#REF!,,0,)</f>
        <v>#REF!</v>
      </c>
      <c r="BD151" s="44" t="str">
        <f>Tab_Process_TCs2527[[#This Row],[Flow_ID]]</f>
        <v>N.A.</v>
      </c>
      <c r="BE151" s="44" t="e">
        <f t="shared" si="36"/>
        <v>#REF!</v>
      </c>
      <c r="BF151" s="51"/>
      <c r="BG151" s="54">
        <f>Tab_Process_TCs2527[[#This Row],[TC O_6_'[%']]]+Tab_Process_TCs2527[[#This Row],[TC O_5_'[%']]]+Tab_Process_TCs2527[[#This Row],[TC_O_4_'[%']]]+Tab_Process_TCs2527[[#This Row],[TC_O_3_'[%']]]+Tab_Process_TCs2527[[#This Row],[TC_O_2_'[%']]]+Tab_Process_TCs2527[[#This Row],[TC_O_1_'[%']]]</f>
        <v>1</v>
      </c>
      <c r="BH151" s="12"/>
      <c r="BI151" s="12"/>
      <c r="BJ151" s="12"/>
      <c r="BK151" s="12"/>
      <c r="BL151" s="12"/>
    </row>
  </sheetData>
  <phoneticPr fontId="2" type="noConversion"/>
  <conditionalFormatting sqref="BG2:BG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conditionalFormatting sqref="BH152:BH1048576 BG1:BG151">
    <cfRule type="iconSet" priority="1">
      <iconSet>
        <cfvo type="percent" val="0"/>
        <cfvo type="percent" val="0.01"/>
        <cfvo type="percent" val="1"/>
      </iconSet>
    </cfRule>
  </conditionalFormatting>
  <dataValidations count="1">
    <dataValidation type="list" allowBlank="1" showInputMessage="1" showErrorMessage="1" sqref="D2:D151" xr:uid="{F4EFD03A-BDB8-4DE7-AC41-A9180EB54B38}">
      <formula1>#REF!</formula1>
    </dataValidation>
  </dataValidations>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'2_1_Definition_Processes'!$D$2:$D$58</xm:f>
          </x14:formula1>
          <xm:sqref>E152:I1048576</xm:sqref>
        </x14:dataValidation>
        <x14:dataValidation type="list" allowBlank="1" showInputMessage="1" showErrorMessage="1" xr:uid="{9CEE14C6-3DF5-4113-8F14-B3CFD1104D19}">
          <x14:formula1>
            <xm:f>'0_ReadMe'!$T$6:$T$46</xm:f>
          </x14:formula1>
          <xm:sqref>L2:L151</xm:sqref>
        </x14:dataValidation>
        <x14:dataValidation type="list" allowBlank="1" showInputMessage="1" showErrorMessage="1" xr:uid="{E70A1220-F6BB-4B6C-91C7-5FE358B027E5}">
          <x14:formula1>
            <xm:f>'1_1_Definition_Flows'!$D$2:$D$83</xm:f>
          </x14:formula1>
          <xm:sqref>E2:E151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dimension ref="A1:R51"/>
  <sheetViews>
    <sheetView zoomScaleNormal="100" workbookViewId="0">
      <selection activeCell="D19" sqref="D19"/>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6" t="s">
        <v>88</v>
      </c>
      <c r="B1" s="196" t="s">
        <v>32</v>
      </c>
      <c r="C1" s="196" t="s">
        <v>62</v>
      </c>
      <c r="D1" s="196" t="s">
        <v>90</v>
      </c>
      <c r="E1" s="196" t="s">
        <v>121</v>
      </c>
      <c r="F1" s="196" t="s">
        <v>65</v>
      </c>
      <c r="G1" s="196" t="s">
        <v>284</v>
      </c>
      <c r="H1" s="196" t="s">
        <v>92</v>
      </c>
      <c r="I1" s="196" t="s">
        <v>311</v>
      </c>
      <c r="J1" s="196" t="s">
        <v>316</v>
      </c>
      <c r="K1" s="196" t="s">
        <v>317</v>
      </c>
      <c r="L1" s="196" t="s">
        <v>318</v>
      </c>
      <c r="M1" s="196" t="s">
        <v>330</v>
      </c>
      <c r="N1" s="196" t="s">
        <v>344</v>
      </c>
      <c r="O1" s="196" t="s">
        <v>343</v>
      </c>
      <c r="P1" s="196" t="s">
        <v>319</v>
      </c>
      <c r="Q1" s="196" t="s">
        <v>320</v>
      </c>
      <c r="R1" s="196" t="s">
        <v>321</v>
      </c>
    </row>
    <row r="2" spans="1:18" x14ac:dyDescent="0.25">
      <c r="A2" s="197" t="b">
        <v>1</v>
      </c>
      <c r="B2" s="10">
        <f t="shared" ref="B2:B51" si="0">ROW()-1</f>
        <v>1</v>
      </c>
      <c r="C2" s="10" t="str">
        <f>_xlfn.XLOOKUP($D2,Tab_Def_Processes[Name(EN)],Tab_Def_Processes[Process_ID],,0,)</f>
        <v>06</v>
      </c>
      <c r="D2" s="12" t="s">
        <v>396</v>
      </c>
      <c r="E2" s="10" t="str">
        <f>_xlfn.XLOOKUP($D2,Tab_Def_Processes[Name(EN)],Tab_Def_Processes[Process_Type],,0,)</f>
        <v>Process</v>
      </c>
      <c r="F2" s="10" t="str">
        <f>_xlfn.XLOOKUP($D2,Tab_Def_Processes[Name(EN)],Tab_Def_Processes[TC?],,0,)</f>
        <v>Yes</v>
      </c>
      <c r="G2" s="10" t="str">
        <f>_xlfn.XLOOKUP($D2,Tab_Def_Processes[Name(EN)],Tab_Def_Processes[Dyn_TC?],,0,)</f>
        <v>No</v>
      </c>
      <c r="H2" s="10" t="str">
        <f>_xlfn.XLOOKUP($D2,Tab_Def_Processes[Name(EN)],Tab_Def_Processes[Stock?],,0,)</f>
        <v>Yes</v>
      </c>
      <c r="I2" s="10" t="str">
        <f>_xlfn.XLOOKUP($D2,Tab_Def_Processes[Name(EN)],Tab_Def_Processes[Initial_Stock?],,0,)</f>
        <v>No</v>
      </c>
      <c r="J2" s="10" t="str">
        <f>_xlfn.XLOOKUP($D2,Tab_Def_Processes[Name(EN)],Tab_Def_Processes[DSM?],,0,)</f>
        <v>Yes</v>
      </c>
      <c r="K2" s="10" t="str">
        <f>_xlfn.XLOOKUP($D2,Tab_Def_Processes[Name(EN)],Tab_Def_Processes[FOMP?],,0,)</f>
        <v>No</v>
      </c>
      <c r="L2" s="12">
        <v>1</v>
      </c>
      <c r="M2" s="10" t="str">
        <f>_xlfn.XLOOKUP($L2,Tab_DSM_Category_ID[Category ID],Tab_DSM_Category_ID[DSM Material],,0,)</f>
        <v>DSM Material 1</v>
      </c>
      <c r="N2" s="12" t="s">
        <v>334</v>
      </c>
      <c r="O2" s="34">
        <v>0.6</v>
      </c>
      <c r="P2" s="12" t="s">
        <v>331</v>
      </c>
      <c r="Q2" s="12">
        <v>30</v>
      </c>
      <c r="R2" s="12">
        <v>10</v>
      </c>
    </row>
    <row r="3" spans="1:18" x14ac:dyDescent="0.25">
      <c r="A3" s="197" t="b">
        <v>0</v>
      </c>
      <c r="B3" s="10">
        <f t="shared" si="0"/>
        <v>2</v>
      </c>
      <c r="C3" s="10" t="str">
        <f>_xlfn.XLOOKUP($D3,Tab_Def_Processes[Name(EN)],Tab_Def_Processes[Process_ID],,0,)</f>
        <v>06</v>
      </c>
      <c r="D3" s="12" t="s">
        <v>396</v>
      </c>
      <c r="E3" s="10" t="str">
        <f>_xlfn.XLOOKUP($D3,Tab_Def_Processes[Name(EN)],Tab_Def_Processes[Process_Type],,0,)</f>
        <v>Process</v>
      </c>
      <c r="F3" s="10" t="str">
        <f>_xlfn.XLOOKUP($D3,Tab_Def_Processes[Name(EN)],Tab_Def_Processes[TC?],,0,)</f>
        <v>Yes</v>
      </c>
      <c r="G3" s="10" t="str">
        <f>_xlfn.XLOOKUP($D3,Tab_Def_Processes[Name(EN)],Tab_Def_Processes[Dyn_TC?],,0,)</f>
        <v>No</v>
      </c>
      <c r="H3" s="10" t="str">
        <f>_xlfn.XLOOKUP($D3,Tab_Def_Processes[Name(EN)],Tab_Def_Processes[Stock?],,0,)</f>
        <v>Yes</v>
      </c>
      <c r="I3" s="10" t="str">
        <f>_xlfn.XLOOKUP($D3,Tab_Def_Processes[Name(EN)],Tab_Def_Processes[Initial_Stock?],,0,)</f>
        <v>No</v>
      </c>
      <c r="J3" s="10" t="str">
        <f>_xlfn.XLOOKUP($D3,Tab_Def_Processes[Name(EN)],Tab_Def_Processes[DSM?],,0,)</f>
        <v>Yes</v>
      </c>
      <c r="K3" s="10" t="str">
        <f>_xlfn.XLOOKUP($D3,Tab_Def_Processes[Name(EN)],Tab_Def_Processes[FOMP?],,0,)</f>
        <v>No</v>
      </c>
      <c r="L3" s="12">
        <v>2</v>
      </c>
      <c r="M3" s="10" t="str">
        <f>_xlfn.XLOOKUP($L3,Tab_DSM_Category_ID[Category ID],Tab_DSM_Category_ID[DSM Material],,0,)</f>
        <v>DSM Material 2</v>
      </c>
      <c r="N3" s="12" t="s">
        <v>335</v>
      </c>
      <c r="O3" s="34">
        <v>0.2</v>
      </c>
      <c r="P3" s="12" t="s">
        <v>331</v>
      </c>
      <c r="Q3" s="12">
        <v>20</v>
      </c>
      <c r="R3" s="12">
        <v>5</v>
      </c>
    </row>
    <row r="4" spans="1:18" x14ac:dyDescent="0.25">
      <c r="A4" s="197" t="b">
        <v>0</v>
      </c>
      <c r="B4" s="10">
        <f t="shared" si="0"/>
        <v>3</v>
      </c>
      <c r="C4" s="10" t="str">
        <f>_xlfn.XLOOKUP($D4,Tab_Def_Processes[Name(EN)],Tab_Def_Processes[Process_ID],,0,)</f>
        <v>06</v>
      </c>
      <c r="D4" s="12" t="s">
        <v>396</v>
      </c>
      <c r="E4" s="10" t="str">
        <f>_xlfn.XLOOKUP($D4,Tab_Def_Processes[Name(EN)],Tab_Def_Processes[Process_Type],,0,)</f>
        <v>Process</v>
      </c>
      <c r="F4" s="10" t="str">
        <f>_xlfn.XLOOKUP($D4,Tab_Def_Processes[Name(EN)],Tab_Def_Processes[TC?],,0,)</f>
        <v>Yes</v>
      </c>
      <c r="G4" s="10" t="str">
        <f>_xlfn.XLOOKUP($D4,Tab_Def_Processes[Name(EN)],Tab_Def_Processes[Dyn_TC?],,0,)</f>
        <v>No</v>
      </c>
      <c r="H4" s="10" t="str">
        <f>_xlfn.XLOOKUP($D4,Tab_Def_Processes[Name(EN)],Tab_Def_Processes[Stock?],,0,)</f>
        <v>Yes</v>
      </c>
      <c r="I4" s="10" t="str">
        <f>_xlfn.XLOOKUP($D4,Tab_Def_Processes[Name(EN)],Tab_Def_Processes[Initial_Stock?],,0,)</f>
        <v>No</v>
      </c>
      <c r="J4" s="10" t="str">
        <f>_xlfn.XLOOKUP($D4,Tab_Def_Processes[Name(EN)],Tab_Def_Processes[DSM?],,0,)</f>
        <v>Yes</v>
      </c>
      <c r="K4" s="10" t="str">
        <f>_xlfn.XLOOKUP($D4,Tab_Def_Processes[Name(EN)],Tab_Def_Processes[FOMP?],,0,)</f>
        <v>No</v>
      </c>
      <c r="L4" s="12">
        <v>3</v>
      </c>
      <c r="M4" s="10" t="str">
        <f>_xlfn.XLOOKUP($L4,Tab_DSM_Category_ID[Category ID],Tab_DSM_Category_ID[DSM Material],,0,)</f>
        <v>DSM Material 3</v>
      </c>
      <c r="N4" s="12" t="s">
        <v>336</v>
      </c>
      <c r="O4" s="34">
        <v>0.1</v>
      </c>
      <c r="P4" s="12" t="s">
        <v>331</v>
      </c>
      <c r="Q4" s="12">
        <v>15</v>
      </c>
      <c r="R4" s="12">
        <v>2</v>
      </c>
    </row>
    <row r="5" spans="1:18" x14ac:dyDescent="0.25">
      <c r="A5" s="197" t="b">
        <v>0</v>
      </c>
      <c r="B5" s="10">
        <f t="shared" si="0"/>
        <v>4</v>
      </c>
      <c r="C5" s="10" t="str">
        <f>_xlfn.XLOOKUP($D5,Tab_Def_Processes[Name(EN)],Tab_Def_Processes[Process_ID],,0,)</f>
        <v>06</v>
      </c>
      <c r="D5" s="12" t="s">
        <v>396</v>
      </c>
      <c r="E5" s="10" t="str">
        <f>_xlfn.XLOOKUP($D5,Tab_Def_Processes[Name(EN)],Tab_Def_Processes[Process_Type],,0,)</f>
        <v>Process</v>
      </c>
      <c r="F5" s="10" t="str">
        <f>_xlfn.XLOOKUP($D5,Tab_Def_Processes[Name(EN)],Tab_Def_Processes[TC?],,0,)</f>
        <v>Yes</v>
      </c>
      <c r="G5" s="10" t="str">
        <f>_xlfn.XLOOKUP($D5,Tab_Def_Processes[Name(EN)],Tab_Def_Processes[Dyn_TC?],,0,)</f>
        <v>No</v>
      </c>
      <c r="H5" s="10" t="str">
        <f>_xlfn.XLOOKUP($D5,Tab_Def_Processes[Name(EN)],Tab_Def_Processes[Stock?],,0,)</f>
        <v>Yes</v>
      </c>
      <c r="I5" s="10" t="str">
        <f>_xlfn.XLOOKUP($D5,Tab_Def_Processes[Name(EN)],Tab_Def_Processes[Initial_Stock?],,0,)</f>
        <v>No</v>
      </c>
      <c r="J5" s="10" t="str">
        <f>_xlfn.XLOOKUP($D5,Tab_Def_Processes[Name(EN)],Tab_Def_Processes[DSM?],,0,)</f>
        <v>Yes</v>
      </c>
      <c r="K5" s="10" t="str">
        <f>_xlfn.XLOOKUP($D5,Tab_Def_Processes[Name(EN)],Tab_Def_Processes[FOMP?],,0,)</f>
        <v>No</v>
      </c>
      <c r="L5" s="12">
        <v>4</v>
      </c>
      <c r="M5" s="10" t="str">
        <f>_xlfn.XLOOKUP($L5,Tab_DSM_Category_ID[Category ID],Tab_DSM_Category_ID[DSM Material],,0,)</f>
        <v>DSM Material 4</v>
      </c>
      <c r="N5" s="12" t="s">
        <v>337</v>
      </c>
      <c r="O5" s="34">
        <v>0.1</v>
      </c>
      <c r="P5" s="12" t="s">
        <v>331</v>
      </c>
      <c r="Q5" s="12">
        <v>10</v>
      </c>
      <c r="R5" s="12">
        <v>1</v>
      </c>
    </row>
    <row r="6" spans="1:18" x14ac:dyDescent="0.25">
      <c r="A6" s="197" t="b">
        <v>0</v>
      </c>
      <c r="B6" s="10">
        <f t="shared" si="0"/>
        <v>5</v>
      </c>
      <c r="C6" s="10" t="e">
        <f>_xlfn.XLOOKUP($D6,Tab_Def_Processes[Name(EN)],Tab_Def_Processes[Process_ID],,0,)</f>
        <v>#N/A</v>
      </c>
      <c r="D6" s="12" t="s">
        <v>35</v>
      </c>
      <c r="E6" s="10" t="e">
        <f>_xlfn.XLOOKUP($D6,Tab_Def_Processes[Name(EN)],Tab_Def_Processes[Process_Type],,0,)</f>
        <v>#N/A</v>
      </c>
      <c r="F6" s="10" t="e">
        <f>_xlfn.XLOOKUP($D6,Tab_Def_Processes[Name(EN)],Tab_Def_Processes[TC?],,0,)</f>
        <v>#N/A</v>
      </c>
      <c r="G6" s="10" t="e">
        <f>_xlfn.XLOOKUP($D6,Tab_Def_Processes[Name(EN)],Tab_Def_Processes[Dyn_TC?],,0,)</f>
        <v>#N/A</v>
      </c>
      <c r="H6" s="10" t="e">
        <f>_xlfn.XLOOKUP($D6,Tab_Def_Processes[Name(EN)],Tab_Def_Processes[Stock?],,0,)</f>
        <v>#N/A</v>
      </c>
      <c r="I6" s="10" t="e">
        <f>_xlfn.XLOOKUP($D6,Tab_Def_Processes[Name(EN)],Tab_Def_Processes[Initial_Stock?],,0,)</f>
        <v>#N/A</v>
      </c>
      <c r="J6" s="10" t="e">
        <f>_xlfn.XLOOKUP($D6,Tab_Def_Processes[Name(EN)],Tab_Def_Processes[DSM?],,0,)</f>
        <v>#N/A</v>
      </c>
      <c r="K6" s="10" t="e">
        <f>_xlfn.XLOOKUP($D6,Tab_Def_Processes[Name(EN)],Tab_Def_Processes[FOMP?],,0,)</f>
        <v>#N/A</v>
      </c>
      <c r="L6" s="12"/>
      <c r="M6" s="10" t="e">
        <f>_xlfn.XLOOKUP($L6,Tab_DSM_Category_ID[Category ID],Tab_DSM_Category_ID[DSM Material],,0,)</f>
        <v>#N/A</v>
      </c>
      <c r="N6" s="12"/>
      <c r="O6" s="34"/>
      <c r="P6" s="12"/>
      <c r="Q6" s="12"/>
      <c r="R6" s="12"/>
    </row>
    <row r="7" spans="1:18" x14ac:dyDescent="0.25">
      <c r="A7" s="197" t="b">
        <v>0</v>
      </c>
      <c r="B7" s="10">
        <f t="shared" si="0"/>
        <v>6</v>
      </c>
      <c r="C7" s="10" t="e">
        <f>_xlfn.XLOOKUP($D7,Tab_Def_Processes[Name(EN)],Tab_Def_Processes[Process_ID],,0,)</f>
        <v>#N/A</v>
      </c>
      <c r="D7" s="12" t="s">
        <v>35</v>
      </c>
      <c r="E7" s="10" t="e">
        <f>_xlfn.XLOOKUP($D7,Tab_Def_Processes[Name(EN)],Tab_Def_Processes[Process_Type],,0,)</f>
        <v>#N/A</v>
      </c>
      <c r="F7" s="10" t="e">
        <f>_xlfn.XLOOKUP($D7,Tab_Def_Processes[Name(EN)],Tab_Def_Processes[TC?],,0,)</f>
        <v>#N/A</v>
      </c>
      <c r="G7" s="10" t="e">
        <f>_xlfn.XLOOKUP($D7,Tab_Def_Processes[Name(EN)],Tab_Def_Processes[Dyn_TC?],,0,)</f>
        <v>#N/A</v>
      </c>
      <c r="H7" s="10" t="e">
        <f>_xlfn.XLOOKUP($D7,Tab_Def_Processes[Name(EN)],Tab_Def_Processes[Stock?],,0,)</f>
        <v>#N/A</v>
      </c>
      <c r="I7" s="10" t="e">
        <f>_xlfn.XLOOKUP($D7,Tab_Def_Processes[Name(EN)],Tab_Def_Processes[Initial_Stock?],,0,)</f>
        <v>#N/A</v>
      </c>
      <c r="J7" s="10" t="e">
        <f>_xlfn.XLOOKUP($D7,Tab_Def_Processes[Name(EN)],Tab_Def_Processes[DSM?],,0,)</f>
        <v>#N/A</v>
      </c>
      <c r="K7" s="10" t="e">
        <f>_xlfn.XLOOKUP($D7,Tab_Def_Processes[Name(EN)],Tab_Def_Processes[FOMP?],,0,)</f>
        <v>#N/A</v>
      </c>
      <c r="L7" s="12"/>
      <c r="M7" s="10" t="e">
        <f>_xlfn.XLOOKUP($L7,Tab_DSM_Category_ID[Category ID],Tab_DSM_Category_ID[DSM Material],,0,)</f>
        <v>#N/A</v>
      </c>
      <c r="N7" s="12"/>
      <c r="O7" s="34"/>
      <c r="P7" s="12"/>
      <c r="Q7" s="12"/>
      <c r="R7" s="12"/>
    </row>
    <row r="8" spans="1:18" x14ac:dyDescent="0.25">
      <c r="A8" s="197" t="b">
        <v>0</v>
      </c>
      <c r="B8" s="10">
        <f t="shared" si="0"/>
        <v>7</v>
      </c>
      <c r="C8" s="10" t="e">
        <f>_xlfn.XLOOKUP($D8,Tab_Def_Processes[Name(EN)],Tab_Def_Processes[Process_ID],,0,)</f>
        <v>#N/A</v>
      </c>
      <c r="D8" s="12" t="s">
        <v>35</v>
      </c>
      <c r="E8" s="10" t="e">
        <f>_xlfn.XLOOKUP($D8,Tab_Def_Processes[Name(EN)],Tab_Def_Processes[Process_Type],,0,)</f>
        <v>#N/A</v>
      </c>
      <c r="F8" s="10" t="e">
        <f>_xlfn.XLOOKUP($D8,Tab_Def_Processes[Name(EN)],Tab_Def_Processes[TC?],,0,)</f>
        <v>#N/A</v>
      </c>
      <c r="G8" s="10" t="e">
        <f>_xlfn.XLOOKUP($D8,Tab_Def_Processes[Name(EN)],Tab_Def_Processes[Dyn_TC?],,0,)</f>
        <v>#N/A</v>
      </c>
      <c r="H8" s="10" t="e">
        <f>_xlfn.XLOOKUP($D8,Tab_Def_Processes[Name(EN)],Tab_Def_Processes[Stock?],,0,)</f>
        <v>#N/A</v>
      </c>
      <c r="I8" s="10" t="e">
        <f>_xlfn.XLOOKUP($D8,Tab_Def_Processes[Name(EN)],Tab_Def_Processes[Initial_Stock?],,0,)</f>
        <v>#N/A</v>
      </c>
      <c r="J8" s="10" t="e">
        <f>_xlfn.XLOOKUP($D8,Tab_Def_Processes[Name(EN)],Tab_Def_Processes[DSM?],,0,)</f>
        <v>#N/A</v>
      </c>
      <c r="K8" s="10" t="e">
        <f>_xlfn.XLOOKUP($D8,Tab_Def_Processes[Name(EN)],Tab_Def_Processes[FOMP?],,0,)</f>
        <v>#N/A</v>
      </c>
      <c r="L8" s="12"/>
      <c r="M8" s="10" t="e">
        <f>_xlfn.XLOOKUP($L8,Tab_DSM_Category_ID[Category ID],Tab_DSM_Category_ID[DSM Material],,0,)</f>
        <v>#N/A</v>
      </c>
      <c r="N8" s="12"/>
      <c r="O8" s="34"/>
      <c r="P8" s="12"/>
      <c r="Q8" s="12"/>
      <c r="R8" s="12"/>
    </row>
    <row r="9" spans="1:18" x14ac:dyDescent="0.25">
      <c r="A9" s="197" t="b">
        <v>0</v>
      </c>
      <c r="B9" s="10">
        <f t="shared" si="0"/>
        <v>8</v>
      </c>
      <c r="C9" s="10" t="e">
        <f>_xlfn.XLOOKUP($D9,Tab_Def_Processes[Name(EN)],Tab_Def_Processes[Process_ID],,0,)</f>
        <v>#N/A</v>
      </c>
      <c r="D9" s="12" t="s">
        <v>35</v>
      </c>
      <c r="E9" s="10" t="e">
        <f>_xlfn.XLOOKUP($D9,Tab_Def_Processes[Name(EN)],Tab_Def_Processes[Process_Type],,0,)</f>
        <v>#N/A</v>
      </c>
      <c r="F9" s="10" t="e">
        <f>_xlfn.XLOOKUP($D9,Tab_Def_Processes[Name(EN)],Tab_Def_Processes[TC?],,0,)</f>
        <v>#N/A</v>
      </c>
      <c r="G9" s="10" t="e">
        <f>_xlfn.XLOOKUP($D9,Tab_Def_Processes[Name(EN)],Tab_Def_Processes[Dyn_TC?],,0,)</f>
        <v>#N/A</v>
      </c>
      <c r="H9" s="10" t="e">
        <f>_xlfn.XLOOKUP($D9,Tab_Def_Processes[Name(EN)],Tab_Def_Processes[Stock?],,0,)</f>
        <v>#N/A</v>
      </c>
      <c r="I9" s="10" t="e">
        <f>_xlfn.XLOOKUP($D9,Tab_Def_Processes[Name(EN)],Tab_Def_Processes[Initial_Stock?],,0,)</f>
        <v>#N/A</v>
      </c>
      <c r="J9" s="10" t="e">
        <f>_xlfn.XLOOKUP($D9,Tab_Def_Processes[Name(EN)],Tab_Def_Processes[DSM?],,0,)</f>
        <v>#N/A</v>
      </c>
      <c r="K9" s="10" t="e">
        <f>_xlfn.XLOOKUP($D9,Tab_Def_Processes[Name(EN)],Tab_Def_Processes[FOMP?],,0,)</f>
        <v>#N/A</v>
      </c>
      <c r="L9" s="12"/>
      <c r="M9" s="10" t="e">
        <f>_xlfn.XLOOKUP($L9,Tab_DSM_Category_ID[Category ID],Tab_DSM_Category_ID[DSM Material],,0,)</f>
        <v>#N/A</v>
      </c>
      <c r="N9" s="12"/>
      <c r="O9" s="34"/>
      <c r="P9" s="12"/>
      <c r="Q9" s="12"/>
      <c r="R9" s="12"/>
    </row>
    <row r="10" spans="1:18" x14ac:dyDescent="0.25">
      <c r="A10" s="197" t="b">
        <v>0</v>
      </c>
      <c r="B10" s="10">
        <f t="shared" si="0"/>
        <v>9</v>
      </c>
      <c r="C10" s="10" t="e">
        <f>_xlfn.XLOOKUP($D10,Tab_Def_Processes[Name(EN)],Tab_Def_Processes[Process_ID],,0,)</f>
        <v>#N/A</v>
      </c>
      <c r="D10" s="12" t="s">
        <v>35</v>
      </c>
      <c r="E10" s="10" t="e">
        <f>_xlfn.XLOOKUP($D10,Tab_Def_Processes[Name(EN)],Tab_Def_Processes[Process_Type],,0,)</f>
        <v>#N/A</v>
      </c>
      <c r="F10" s="10" t="e">
        <f>_xlfn.XLOOKUP($D10,Tab_Def_Processes[Name(EN)],Tab_Def_Processes[TC?],,0,)</f>
        <v>#N/A</v>
      </c>
      <c r="G10" s="10" t="e">
        <f>_xlfn.XLOOKUP($D10,Tab_Def_Processes[Name(EN)],Tab_Def_Processes[Dyn_TC?],,0,)</f>
        <v>#N/A</v>
      </c>
      <c r="H10" s="10" t="e">
        <f>_xlfn.XLOOKUP($D10,Tab_Def_Processes[Name(EN)],Tab_Def_Processes[Stock?],,0,)</f>
        <v>#N/A</v>
      </c>
      <c r="I10" s="10" t="e">
        <f>_xlfn.XLOOKUP($D10,Tab_Def_Processes[Name(EN)],Tab_Def_Processes[Initial_Stock?],,0,)</f>
        <v>#N/A</v>
      </c>
      <c r="J10" s="10" t="e">
        <f>_xlfn.XLOOKUP($D10,Tab_Def_Processes[Name(EN)],Tab_Def_Processes[DSM?],,0,)</f>
        <v>#N/A</v>
      </c>
      <c r="K10" s="10" t="e">
        <f>_xlfn.XLOOKUP($D10,Tab_Def_Processes[Name(EN)],Tab_Def_Processes[FOMP?],,0,)</f>
        <v>#N/A</v>
      </c>
      <c r="L10" s="12"/>
      <c r="M10" s="10" t="e">
        <f>_xlfn.XLOOKUP($L10,Tab_DSM_Category_ID[Category ID],Tab_DSM_Category_ID[DSM Material],,0,)</f>
        <v>#N/A</v>
      </c>
      <c r="N10" s="12"/>
      <c r="O10" s="34"/>
      <c r="P10" s="12"/>
      <c r="Q10" s="12"/>
      <c r="R10" s="12"/>
    </row>
    <row r="11" spans="1:18" x14ac:dyDescent="0.25">
      <c r="A11" s="197" t="b">
        <v>0</v>
      </c>
      <c r="B11" s="10">
        <f t="shared" si="0"/>
        <v>10</v>
      </c>
      <c r="C11" s="10" t="e">
        <f>_xlfn.XLOOKUP($D11,Tab_Def_Processes[Name(EN)],Tab_Def_Processes[Process_ID],,0,)</f>
        <v>#N/A</v>
      </c>
      <c r="D11" s="12" t="s">
        <v>35</v>
      </c>
      <c r="E11" s="10" t="e">
        <f>_xlfn.XLOOKUP($D11,Tab_Def_Processes[Name(EN)],Tab_Def_Processes[Process_Type],,0,)</f>
        <v>#N/A</v>
      </c>
      <c r="F11" s="10" t="e">
        <f>_xlfn.XLOOKUP($D11,Tab_Def_Processes[Name(EN)],Tab_Def_Processes[TC?],,0,)</f>
        <v>#N/A</v>
      </c>
      <c r="G11" s="10" t="e">
        <f>_xlfn.XLOOKUP($D11,Tab_Def_Processes[Name(EN)],Tab_Def_Processes[Dyn_TC?],,0,)</f>
        <v>#N/A</v>
      </c>
      <c r="H11" s="10" t="e">
        <f>_xlfn.XLOOKUP($D11,Tab_Def_Processes[Name(EN)],Tab_Def_Processes[Stock?],,0,)</f>
        <v>#N/A</v>
      </c>
      <c r="I11" s="10" t="e">
        <f>_xlfn.XLOOKUP($D11,Tab_Def_Processes[Name(EN)],Tab_Def_Processes[Initial_Stock?],,0,)</f>
        <v>#N/A</v>
      </c>
      <c r="J11" s="10" t="e">
        <f>_xlfn.XLOOKUP($D11,Tab_Def_Processes[Name(EN)],Tab_Def_Processes[DSM?],,0,)</f>
        <v>#N/A</v>
      </c>
      <c r="K11" s="10" t="e">
        <f>_xlfn.XLOOKUP($D11,Tab_Def_Processes[Name(EN)],Tab_Def_Processes[FOMP?],,0,)</f>
        <v>#N/A</v>
      </c>
      <c r="L11" s="12"/>
      <c r="M11" s="10" t="e">
        <f>_xlfn.XLOOKUP($L11,Tab_DSM_Category_ID[Category ID],Tab_DSM_Category_ID[DSM Material],,0,)</f>
        <v>#N/A</v>
      </c>
      <c r="N11" s="12"/>
      <c r="O11" s="34"/>
      <c r="P11" s="12"/>
      <c r="Q11" s="12"/>
      <c r="R11" s="12"/>
    </row>
    <row r="12" spans="1:18" x14ac:dyDescent="0.25">
      <c r="A12" s="197" t="b">
        <v>0</v>
      </c>
      <c r="B12" s="10">
        <f t="shared" si="0"/>
        <v>11</v>
      </c>
      <c r="C12" s="10" t="e">
        <f>_xlfn.XLOOKUP($D12,Tab_Def_Processes[Name(EN)],Tab_Def_Processes[Process_ID],,0,)</f>
        <v>#N/A</v>
      </c>
      <c r="D12" s="12" t="s">
        <v>35</v>
      </c>
      <c r="E12" s="10" t="e">
        <f>_xlfn.XLOOKUP($D12,Tab_Def_Processes[Name(EN)],Tab_Def_Processes[Process_Type],,0,)</f>
        <v>#N/A</v>
      </c>
      <c r="F12" s="10" t="e">
        <f>_xlfn.XLOOKUP($D12,Tab_Def_Processes[Name(EN)],Tab_Def_Processes[TC?],,0,)</f>
        <v>#N/A</v>
      </c>
      <c r="G12" s="10" t="e">
        <f>_xlfn.XLOOKUP($D12,Tab_Def_Processes[Name(EN)],Tab_Def_Processes[Dyn_TC?],,0,)</f>
        <v>#N/A</v>
      </c>
      <c r="H12" s="10" t="e">
        <f>_xlfn.XLOOKUP($D12,Tab_Def_Processes[Name(EN)],Tab_Def_Processes[Stock?],,0,)</f>
        <v>#N/A</v>
      </c>
      <c r="I12" s="10" t="e">
        <f>_xlfn.XLOOKUP($D12,Tab_Def_Processes[Name(EN)],Tab_Def_Processes[Initial_Stock?],,0,)</f>
        <v>#N/A</v>
      </c>
      <c r="J12" s="10" t="e">
        <f>_xlfn.XLOOKUP($D12,Tab_Def_Processes[Name(EN)],Tab_Def_Processes[DSM?],,0,)</f>
        <v>#N/A</v>
      </c>
      <c r="K12" s="10" t="e">
        <f>_xlfn.XLOOKUP($D12,Tab_Def_Processes[Name(EN)],Tab_Def_Processes[FOMP?],,0,)</f>
        <v>#N/A</v>
      </c>
      <c r="L12" s="12"/>
      <c r="M12" s="10" t="e">
        <f>_xlfn.XLOOKUP($L12,Tab_DSM_Category_ID[Category ID],Tab_DSM_Category_ID[DSM Material],,0,)</f>
        <v>#N/A</v>
      </c>
      <c r="N12" s="12"/>
      <c r="O12" s="34"/>
      <c r="P12" s="12"/>
      <c r="Q12" s="12"/>
      <c r="R12" s="12"/>
    </row>
    <row r="13" spans="1:18" x14ac:dyDescent="0.25">
      <c r="A13" s="197" t="b">
        <v>0</v>
      </c>
      <c r="B13" s="10">
        <f t="shared" si="0"/>
        <v>12</v>
      </c>
      <c r="C13" s="10" t="e">
        <f>_xlfn.XLOOKUP($D13,Tab_Def_Processes[Name(EN)],Tab_Def_Processes[Process_ID],,0,)</f>
        <v>#N/A</v>
      </c>
      <c r="D13" s="12" t="s">
        <v>35</v>
      </c>
      <c r="E13" s="10" t="e">
        <f>_xlfn.XLOOKUP($D13,Tab_Def_Processes[Name(EN)],Tab_Def_Processes[Process_Type],,0,)</f>
        <v>#N/A</v>
      </c>
      <c r="F13" s="10" t="e">
        <f>_xlfn.XLOOKUP($D13,Tab_Def_Processes[Name(EN)],Tab_Def_Processes[TC?],,0,)</f>
        <v>#N/A</v>
      </c>
      <c r="G13" s="10" t="e">
        <f>_xlfn.XLOOKUP($D13,Tab_Def_Processes[Name(EN)],Tab_Def_Processes[Dyn_TC?],,0,)</f>
        <v>#N/A</v>
      </c>
      <c r="H13" s="10" t="e">
        <f>_xlfn.XLOOKUP($D13,Tab_Def_Processes[Name(EN)],Tab_Def_Processes[Stock?],,0,)</f>
        <v>#N/A</v>
      </c>
      <c r="I13" s="10" t="e">
        <f>_xlfn.XLOOKUP($D13,Tab_Def_Processes[Name(EN)],Tab_Def_Processes[Initial_Stock?],,0,)</f>
        <v>#N/A</v>
      </c>
      <c r="J13" s="10" t="e">
        <f>_xlfn.XLOOKUP($D13,Tab_Def_Processes[Name(EN)],Tab_Def_Processes[DSM?],,0,)</f>
        <v>#N/A</v>
      </c>
      <c r="K13" s="10" t="e">
        <f>_xlfn.XLOOKUP($D13,Tab_Def_Processes[Name(EN)],Tab_Def_Processes[FOMP?],,0,)</f>
        <v>#N/A</v>
      </c>
      <c r="L13" s="12"/>
      <c r="M13" s="10" t="e">
        <f>_xlfn.XLOOKUP($L13,Tab_DSM_Category_ID[Category ID],Tab_DSM_Category_ID[DSM Material],,0,)</f>
        <v>#N/A</v>
      </c>
      <c r="N13" s="12"/>
      <c r="O13" s="34"/>
      <c r="P13" s="12"/>
      <c r="Q13" s="12"/>
      <c r="R13" s="12"/>
    </row>
    <row r="14" spans="1:18" x14ac:dyDescent="0.25">
      <c r="A14" s="197" t="b">
        <v>0</v>
      </c>
      <c r="B14" s="10">
        <f t="shared" si="0"/>
        <v>13</v>
      </c>
      <c r="C14" s="10" t="e">
        <f>_xlfn.XLOOKUP($D14,Tab_Def_Processes[Name(EN)],Tab_Def_Processes[Process_ID],,0,)</f>
        <v>#N/A</v>
      </c>
      <c r="D14" s="12" t="s">
        <v>35</v>
      </c>
      <c r="E14" s="10" t="e">
        <f>_xlfn.XLOOKUP($D14,Tab_Def_Processes[Name(EN)],Tab_Def_Processes[Process_Type],,0,)</f>
        <v>#N/A</v>
      </c>
      <c r="F14" s="10" t="e">
        <f>_xlfn.XLOOKUP($D14,Tab_Def_Processes[Name(EN)],Tab_Def_Processes[TC?],,0,)</f>
        <v>#N/A</v>
      </c>
      <c r="G14" s="10" t="e">
        <f>_xlfn.XLOOKUP($D14,Tab_Def_Processes[Name(EN)],Tab_Def_Processes[Dyn_TC?],,0,)</f>
        <v>#N/A</v>
      </c>
      <c r="H14" s="10" t="e">
        <f>_xlfn.XLOOKUP($D14,Tab_Def_Processes[Name(EN)],Tab_Def_Processes[Stock?],,0,)</f>
        <v>#N/A</v>
      </c>
      <c r="I14" s="10" t="e">
        <f>_xlfn.XLOOKUP($D14,Tab_Def_Processes[Name(EN)],Tab_Def_Processes[Initial_Stock?],,0,)</f>
        <v>#N/A</v>
      </c>
      <c r="J14" s="10" t="e">
        <f>_xlfn.XLOOKUP($D14,Tab_Def_Processes[Name(EN)],Tab_Def_Processes[DSM?],,0,)</f>
        <v>#N/A</v>
      </c>
      <c r="K14" s="10" t="e">
        <f>_xlfn.XLOOKUP($D14,Tab_Def_Processes[Name(EN)],Tab_Def_Processes[FOMP?],,0,)</f>
        <v>#N/A</v>
      </c>
      <c r="L14" s="12"/>
      <c r="M14" s="10" t="e">
        <f>_xlfn.XLOOKUP($L14,Tab_DSM_Category_ID[Category ID],Tab_DSM_Category_ID[DSM Material],,0,)</f>
        <v>#N/A</v>
      </c>
      <c r="N14" s="12"/>
      <c r="O14" s="34"/>
      <c r="P14" s="12"/>
      <c r="Q14" s="12"/>
      <c r="R14" s="12"/>
    </row>
    <row r="15" spans="1:18" x14ac:dyDescent="0.25">
      <c r="A15" s="197" t="b">
        <v>0</v>
      </c>
      <c r="B15" s="10">
        <f t="shared" si="0"/>
        <v>14</v>
      </c>
      <c r="C15" s="10" t="e">
        <f>_xlfn.XLOOKUP($D15,Tab_Def_Processes[Name(EN)],Tab_Def_Processes[Process_ID],,0,)</f>
        <v>#N/A</v>
      </c>
      <c r="D15" s="12" t="s">
        <v>35</v>
      </c>
      <c r="E15" s="10" t="e">
        <f>_xlfn.XLOOKUP($D15,Tab_Def_Processes[Name(EN)],Tab_Def_Processes[Process_Type],,0,)</f>
        <v>#N/A</v>
      </c>
      <c r="F15" s="10" t="e">
        <f>_xlfn.XLOOKUP($D15,Tab_Def_Processes[Name(EN)],Tab_Def_Processes[TC?],,0,)</f>
        <v>#N/A</v>
      </c>
      <c r="G15" s="10" t="e">
        <f>_xlfn.XLOOKUP($D15,Tab_Def_Processes[Name(EN)],Tab_Def_Processes[Dyn_TC?],,0,)</f>
        <v>#N/A</v>
      </c>
      <c r="H15" s="10" t="e">
        <f>_xlfn.XLOOKUP($D15,Tab_Def_Processes[Name(EN)],Tab_Def_Processes[Stock?],,0,)</f>
        <v>#N/A</v>
      </c>
      <c r="I15" s="10" t="e">
        <f>_xlfn.XLOOKUP($D15,Tab_Def_Processes[Name(EN)],Tab_Def_Processes[Initial_Stock?],,0,)</f>
        <v>#N/A</v>
      </c>
      <c r="J15" s="10" t="e">
        <f>_xlfn.XLOOKUP($D15,Tab_Def_Processes[Name(EN)],Tab_Def_Processes[DSM?],,0,)</f>
        <v>#N/A</v>
      </c>
      <c r="K15" s="10" t="e">
        <f>_xlfn.XLOOKUP($D15,Tab_Def_Processes[Name(EN)],Tab_Def_Processes[FOMP?],,0,)</f>
        <v>#N/A</v>
      </c>
      <c r="L15" s="12"/>
      <c r="M15" s="10" t="e">
        <f>_xlfn.XLOOKUP($L15,Tab_DSM_Category_ID[Category ID],Tab_DSM_Category_ID[DSM Material],,0,)</f>
        <v>#N/A</v>
      </c>
      <c r="N15" s="12"/>
      <c r="O15" s="34"/>
      <c r="P15" s="12"/>
      <c r="Q15" s="12"/>
      <c r="R15" s="12"/>
    </row>
    <row r="16" spans="1:18" x14ac:dyDescent="0.25">
      <c r="A16" s="197" t="b">
        <v>0</v>
      </c>
      <c r="B16" s="10">
        <f t="shared" si="0"/>
        <v>15</v>
      </c>
      <c r="C16" s="10" t="e">
        <f>_xlfn.XLOOKUP($D16,Tab_Def_Processes[Name(EN)],Tab_Def_Processes[Process_ID],,0,)</f>
        <v>#N/A</v>
      </c>
      <c r="D16" s="12" t="s">
        <v>35</v>
      </c>
      <c r="E16" s="10" t="e">
        <f>_xlfn.XLOOKUP($D16,Tab_Def_Processes[Name(EN)],Tab_Def_Processes[Process_Type],,0,)</f>
        <v>#N/A</v>
      </c>
      <c r="F16" s="10" t="e">
        <f>_xlfn.XLOOKUP($D16,Tab_Def_Processes[Name(EN)],Tab_Def_Processes[TC?],,0,)</f>
        <v>#N/A</v>
      </c>
      <c r="G16" s="10" t="e">
        <f>_xlfn.XLOOKUP($D16,Tab_Def_Processes[Name(EN)],Tab_Def_Processes[Dyn_TC?],,0,)</f>
        <v>#N/A</v>
      </c>
      <c r="H16" s="10" t="e">
        <f>_xlfn.XLOOKUP($D16,Tab_Def_Processes[Name(EN)],Tab_Def_Processes[Stock?],,0,)</f>
        <v>#N/A</v>
      </c>
      <c r="I16" s="10" t="e">
        <f>_xlfn.XLOOKUP($D16,Tab_Def_Processes[Name(EN)],Tab_Def_Processes[Initial_Stock?],,0,)</f>
        <v>#N/A</v>
      </c>
      <c r="J16" s="10" t="e">
        <f>_xlfn.XLOOKUP($D16,Tab_Def_Processes[Name(EN)],Tab_Def_Processes[DSM?],,0,)</f>
        <v>#N/A</v>
      </c>
      <c r="K16" s="10" t="e">
        <f>_xlfn.XLOOKUP($D16,Tab_Def_Processes[Name(EN)],Tab_Def_Processes[FOMP?],,0,)</f>
        <v>#N/A</v>
      </c>
      <c r="L16" s="12"/>
      <c r="M16" s="10" t="e">
        <f>_xlfn.XLOOKUP($L16,Tab_DSM_Category_ID[Category ID],Tab_DSM_Category_ID[DSM Material],,0,)</f>
        <v>#N/A</v>
      </c>
      <c r="N16" s="12"/>
      <c r="O16" s="34"/>
      <c r="P16" s="12"/>
      <c r="Q16" s="12"/>
      <c r="R16" s="12"/>
    </row>
    <row r="17" spans="1:18" x14ac:dyDescent="0.25">
      <c r="A17" s="197" t="b">
        <v>0</v>
      </c>
      <c r="B17" s="10">
        <f t="shared" si="0"/>
        <v>16</v>
      </c>
      <c r="C17" s="10" t="e">
        <f>_xlfn.XLOOKUP($D17,Tab_Def_Processes[Name(EN)],Tab_Def_Processes[Process_ID],,0,)</f>
        <v>#N/A</v>
      </c>
      <c r="D17" s="12" t="s">
        <v>35</v>
      </c>
      <c r="E17" s="10" t="e">
        <f>_xlfn.XLOOKUP($D17,Tab_Def_Processes[Name(EN)],Tab_Def_Processes[Process_Type],,0,)</f>
        <v>#N/A</v>
      </c>
      <c r="F17" s="10" t="e">
        <f>_xlfn.XLOOKUP($D17,Tab_Def_Processes[Name(EN)],Tab_Def_Processes[TC?],,0,)</f>
        <v>#N/A</v>
      </c>
      <c r="G17" s="10" t="e">
        <f>_xlfn.XLOOKUP($D17,Tab_Def_Processes[Name(EN)],Tab_Def_Processes[Dyn_TC?],,0,)</f>
        <v>#N/A</v>
      </c>
      <c r="H17" s="10" t="e">
        <f>_xlfn.XLOOKUP($D17,Tab_Def_Processes[Name(EN)],Tab_Def_Processes[Stock?],,0,)</f>
        <v>#N/A</v>
      </c>
      <c r="I17" s="10" t="e">
        <f>_xlfn.XLOOKUP($D17,Tab_Def_Processes[Name(EN)],Tab_Def_Processes[Initial_Stock?],,0,)</f>
        <v>#N/A</v>
      </c>
      <c r="J17" s="10" t="e">
        <f>_xlfn.XLOOKUP($D17,Tab_Def_Processes[Name(EN)],Tab_Def_Processes[DSM?],,0,)</f>
        <v>#N/A</v>
      </c>
      <c r="K17" s="10" t="e">
        <f>_xlfn.XLOOKUP($D17,Tab_Def_Processes[Name(EN)],Tab_Def_Processes[FOMP?],,0,)</f>
        <v>#N/A</v>
      </c>
      <c r="L17" s="12"/>
      <c r="M17" s="10" t="e">
        <f>_xlfn.XLOOKUP($L17,Tab_DSM_Category_ID[Category ID],Tab_DSM_Category_ID[DSM Material],,0,)</f>
        <v>#N/A</v>
      </c>
      <c r="N17" s="12"/>
      <c r="O17" s="34"/>
      <c r="P17" s="12"/>
      <c r="Q17" s="12"/>
      <c r="R17" s="12"/>
    </row>
    <row r="18" spans="1:18" x14ac:dyDescent="0.25">
      <c r="A18" s="197" t="b">
        <v>0</v>
      </c>
      <c r="B18" s="10">
        <f t="shared" si="0"/>
        <v>17</v>
      </c>
      <c r="C18" s="10" t="e">
        <f>_xlfn.XLOOKUP($D18,Tab_Def_Processes[Name(EN)],Tab_Def_Processes[Process_ID],,0,)</f>
        <v>#N/A</v>
      </c>
      <c r="D18" s="12" t="s">
        <v>35</v>
      </c>
      <c r="E18" s="10" t="e">
        <f>_xlfn.XLOOKUP($D18,Tab_Def_Processes[Name(EN)],Tab_Def_Processes[Process_Type],,0,)</f>
        <v>#N/A</v>
      </c>
      <c r="F18" s="10" t="e">
        <f>_xlfn.XLOOKUP($D18,Tab_Def_Processes[Name(EN)],Tab_Def_Processes[TC?],,0,)</f>
        <v>#N/A</v>
      </c>
      <c r="G18" s="10" t="e">
        <f>_xlfn.XLOOKUP($D18,Tab_Def_Processes[Name(EN)],Tab_Def_Processes[Dyn_TC?],,0,)</f>
        <v>#N/A</v>
      </c>
      <c r="H18" s="10" t="e">
        <f>_xlfn.XLOOKUP($D18,Tab_Def_Processes[Name(EN)],Tab_Def_Processes[Stock?],,0,)</f>
        <v>#N/A</v>
      </c>
      <c r="I18" s="10" t="e">
        <f>_xlfn.XLOOKUP($D18,Tab_Def_Processes[Name(EN)],Tab_Def_Processes[Initial_Stock?],,0,)</f>
        <v>#N/A</v>
      </c>
      <c r="J18" s="10" t="e">
        <f>_xlfn.XLOOKUP($D18,Tab_Def_Processes[Name(EN)],Tab_Def_Processes[DSM?],,0,)</f>
        <v>#N/A</v>
      </c>
      <c r="K18" s="10" t="e">
        <f>_xlfn.XLOOKUP($D18,Tab_Def_Processes[Name(EN)],Tab_Def_Processes[FOMP?],,0,)</f>
        <v>#N/A</v>
      </c>
      <c r="L18" s="12"/>
      <c r="M18" s="10" t="e">
        <f>_xlfn.XLOOKUP($L18,Tab_DSM_Category_ID[Category ID],Tab_DSM_Category_ID[DSM Material],,0,)</f>
        <v>#N/A</v>
      </c>
      <c r="N18" s="12"/>
      <c r="O18" s="34"/>
      <c r="P18" s="12"/>
      <c r="Q18" s="12"/>
      <c r="R18" s="12"/>
    </row>
    <row r="19" spans="1:18" x14ac:dyDescent="0.25">
      <c r="A19" s="197" t="b">
        <v>0</v>
      </c>
      <c r="B19" s="10">
        <f t="shared" si="0"/>
        <v>18</v>
      </c>
      <c r="C19" s="10" t="e">
        <f>_xlfn.XLOOKUP($D19,Tab_Def_Processes[Name(EN)],Tab_Def_Processes[Process_ID],,0,)</f>
        <v>#N/A</v>
      </c>
      <c r="D19" s="12" t="s">
        <v>35</v>
      </c>
      <c r="E19" s="10" t="e">
        <f>_xlfn.XLOOKUP($D19,Tab_Def_Processes[Name(EN)],Tab_Def_Processes[Process_Type],,0,)</f>
        <v>#N/A</v>
      </c>
      <c r="F19" s="10" t="e">
        <f>_xlfn.XLOOKUP($D19,Tab_Def_Processes[Name(EN)],Tab_Def_Processes[TC?],,0,)</f>
        <v>#N/A</v>
      </c>
      <c r="G19" s="10" t="e">
        <f>_xlfn.XLOOKUP($D19,Tab_Def_Processes[Name(EN)],Tab_Def_Processes[Dyn_TC?],,0,)</f>
        <v>#N/A</v>
      </c>
      <c r="H19" s="10" t="e">
        <f>_xlfn.XLOOKUP($D19,Tab_Def_Processes[Name(EN)],Tab_Def_Processes[Stock?],,0,)</f>
        <v>#N/A</v>
      </c>
      <c r="I19" s="10" t="e">
        <f>_xlfn.XLOOKUP($D19,Tab_Def_Processes[Name(EN)],Tab_Def_Processes[Initial_Stock?],,0,)</f>
        <v>#N/A</v>
      </c>
      <c r="J19" s="10" t="e">
        <f>_xlfn.XLOOKUP($D19,Tab_Def_Processes[Name(EN)],Tab_Def_Processes[DSM?],,0,)</f>
        <v>#N/A</v>
      </c>
      <c r="K19" s="10" t="e">
        <f>_xlfn.XLOOKUP($D19,Tab_Def_Processes[Name(EN)],Tab_Def_Processes[FOMP?],,0,)</f>
        <v>#N/A</v>
      </c>
      <c r="L19" s="12"/>
      <c r="M19" s="10" t="e">
        <f>_xlfn.XLOOKUP($L19,Tab_DSM_Category_ID[Category ID],Tab_DSM_Category_ID[DSM Material],,0,)</f>
        <v>#N/A</v>
      </c>
      <c r="N19" s="12"/>
      <c r="O19" s="34"/>
      <c r="P19" s="12"/>
      <c r="Q19" s="12"/>
      <c r="R19" s="12"/>
    </row>
    <row r="20" spans="1:18" x14ac:dyDescent="0.25">
      <c r="A20" s="197" t="b">
        <v>0</v>
      </c>
      <c r="B20" s="10">
        <f t="shared" si="0"/>
        <v>19</v>
      </c>
      <c r="C20" s="10" t="e">
        <f>_xlfn.XLOOKUP($D20,Tab_Def_Processes[Name(EN)],Tab_Def_Processes[Process_ID],,0,)</f>
        <v>#N/A</v>
      </c>
      <c r="D20" s="12" t="s">
        <v>35</v>
      </c>
      <c r="E20" s="10" t="e">
        <f>_xlfn.XLOOKUP($D20,Tab_Def_Processes[Name(EN)],Tab_Def_Processes[Process_Type],,0,)</f>
        <v>#N/A</v>
      </c>
      <c r="F20" s="10" t="e">
        <f>_xlfn.XLOOKUP($D20,Tab_Def_Processes[Name(EN)],Tab_Def_Processes[TC?],,0,)</f>
        <v>#N/A</v>
      </c>
      <c r="G20" s="10" t="e">
        <f>_xlfn.XLOOKUP($D20,Tab_Def_Processes[Name(EN)],Tab_Def_Processes[Dyn_TC?],,0,)</f>
        <v>#N/A</v>
      </c>
      <c r="H20" s="10" t="e">
        <f>_xlfn.XLOOKUP($D20,Tab_Def_Processes[Name(EN)],Tab_Def_Processes[Stock?],,0,)</f>
        <v>#N/A</v>
      </c>
      <c r="I20" s="10" t="e">
        <f>_xlfn.XLOOKUP($D20,Tab_Def_Processes[Name(EN)],Tab_Def_Processes[Initial_Stock?],,0,)</f>
        <v>#N/A</v>
      </c>
      <c r="J20" s="10" t="e">
        <f>_xlfn.XLOOKUP($D20,Tab_Def_Processes[Name(EN)],Tab_Def_Processes[DSM?],,0,)</f>
        <v>#N/A</v>
      </c>
      <c r="K20" s="10" t="e">
        <f>_xlfn.XLOOKUP($D20,Tab_Def_Processes[Name(EN)],Tab_Def_Processes[FOMP?],,0,)</f>
        <v>#N/A</v>
      </c>
      <c r="L20" s="12"/>
      <c r="M20" s="10" t="e">
        <f>_xlfn.XLOOKUP($L20,Tab_DSM_Category_ID[Category ID],Tab_DSM_Category_ID[DSM Material],,0,)</f>
        <v>#N/A</v>
      </c>
      <c r="N20" s="12"/>
      <c r="O20" s="34"/>
      <c r="P20" s="12"/>
      <c r="Q20" s="12"/>
      <c r="R20" s="12"/>
    </row>
    <row r="21" spans="1:18" x14ac:dyDescent="0.25">
      <c r="A21" s="197" t="b">
        <v>0</v>
      </c>
      <c r="B21" s="10">
        <f t="shared" si="0"/>
        <v>20</v>
      </c>
      <c r="C21" s="10" t="e">
        <f>_xlfn.XLOOKUP($D21,Tab_Def_Processes[Name(EN)],Tab_Def_Processes[Process_ID],,0,)</f>
        <v>#N/A</v>
      </c>
      <c r="D21" s="12" t="s">
        <v>35</v>
      </c>
      <c r="E21" s="10" t="e">
        <f>_xlfn.XLOOKUP($D21,Tab_Def_Processes[Name(EN)],Tab_Def_Processes[Process_Type],,0,)</f>
        <v>#N/A</v>
      </c>
      <c r="F21" s="10" t="e">
        <f>_xlfn.XLOOKUP($D21,Tab_Def_Processes[Name(EN)],Tab_Def_Processes[TC?],,0,)</f>
        <v>#N/A</v>
      </c>
      <c r="G21" s="10" t="e">
        <f>_xlfn.XLOOKUP($D21,Tab_Def_Processes[Name(EN)],Tab_Def_Processes[Dyn_TC?],,0,)</f>
        <v>#N/A</v>
      </c>
      <c r="H21" s="10" t="e">
        <f>_xlfn.XLOOKUP($D21,Tab_Def_Processes[Name(EN)],Tab_Def_Processes[Stock?],,0,)</f>
        <v>#N/A</v>
      </c>
      <c r="I21" s="10" t="e">
        <f>_xlfn.XLOOKUP($D21,Tab_Def_Processes[Name(EN)],Tab_Def_Processes[Initial_Stock?],,0,)</f>
        <v>#N/A</v>
      </c>
      <c r="J21" s="10" t="e">
        <f>_xlfn.XLOOKUP($D21,Tab_Def_Processes[Name(EN)],Tab_Def_Processes[DSM?],,0,)</f>
        <v>#N/A</v>
      </c>
      <c r="K21" s="10" t="e">
        <f>_xlfn.XLOOKUP($D21,Tab_Def_Processes[Name(EN)],Tab_Def_Processes[FOMP?],,0,)</f>
        <v>#N/A</v>
      </c>
      <c r="L21" s="12"/>
      <c r="M21" s="10" t="e">
        <f>_xlfn.XLOOKUP($L21,Tab_DSM_Category_ID[Category ID],Tab_DSM_Category_ID[DSM Material],,0,)</f>
        <v>#N/A</v>
      </c>
      <c r="N21" s="12"/>
      <c r="O21" s="34"/>
      <c r="P21" s="12"/>
      <c r="Q21" s="12"/>
      <c r="R21" s="12"/>
    </row>
    <row r="22" spans="1:18" x14ac:dyDescent="0.25">
      <c r="A22" s="197" t="b">
        <v>0</v>
      </c>
      <c r="B22" s="10">
        <f t="shared" si="0"/>
        <v>21</v>
      </c>
      <c r="C22" s="10" t="e">
        <f>_xlfn.XLOOKUP($D22,Tab_Def_Processes[Name(EN)],Tab_Def_Processes[Process_ID],,0,)</f>
        <v>#N/A</v>
      </c>
      <c r="D22" s="12" t="s">
        <v>35</v>
      </c>
      <c r="E22" s="10" t="e">
        <f>_xlfn.XLOOKUP($D22,Tab_Def_Processes[Name(EN)],Tab_Def_Processes[Process_Type],,0,)</f>
        <v>#N/A</v>
      </c>
      <c r="F22" s="10" t="e">
        <f>_xlfn.XLOOKUP($D22,Tab_Def_Processes[Name(EN)],Tab_Def_Processes[TC?],,0,)</f>
        <v>#N/A</v>
      </c>
      <c r="G22" s="10" t="e">
        <f>_xlfn.XLOOKUP($D22,Tab_Def_Processes[Name(EN)],Tab_Def_Processes[Dyn_TC?],,0,)</f>
        <v>#N/A</v>
      </c>
      <c r="H22" s="10" t="e">
        <f>_xlfn.XLOOKUP($D22,Tab_Def_Processes[Name(EN)],Tab_Def_Processes[Stock?],,0,)</f>
        <v>#N/A</v>
      </c>
      <c r="I22" s="10" t="e">
        <f>_xlfn.XLOOKUP($D22,Tab_Def_Processes[Name(EN)],Tab_Def_Processes[Initial_Stock?],,0,)</f>
        <v>#N/A</v>
      </c>
      <c r="J22" s="10" t="e">
        <f>_xlfn.XLOOKUP($D22,Tab_Def_Processes[Name(EN)],Tab_Def_Processes[DSM?],,0,)</f>
        <v>#N/A</v>
      </c>
      <c r="K22" s="10" t="e">
        <f>_xlfn.XLOOKUP($D22,Tab_Def_Processes[Name(EN)],Tab_Def_Processes[FOMP?],,0,)</f>
        <v>#N/A</v>
      </c>
      <c r="L22" s="12"/>
      <c r="M22" s="10" t="e">
        <f>_xlfn.XLOOKUP($L22,Tab_DSM_Category_ID[Category ID],Tab_DSM_Category_ID[DSM Material],,0,)</f>
        <v>#N/A</v>
      </c>
      <c r="N22" s="12"/>
      <c r="O22" s="34"/>
      <c r="P22" s="12"/>
      <c r="Q22" s="12"/>
      <c r="R22" s="12"/>
    </row>
    <row r="23" spans="1:18" x14ac:dyDescent="0.25">
      <c r="A23" s="197" t="b">
        <v>0</v>
      </c>
      <c r="B23" s="10">
        <f t="shared" si="0"/>
        <v>22</v>
      </c>
      <c r="C23" s="10" t="e">
        <f>_xlfn.XLOOKUP($D23,Tab_Def_Processes[Name(EN)],Tab_Def_Processes[Process_ID],,0,)</f>
        <v>#N/A</v>
      </c>
      <c r="D23" s="12" t="s">
        <v>35</v>
      </c>
      <c r="E23" s="10" t="e">
        <f>_xlfn.XLOOKUP($D23,Tab_Def_Processes[Name(EN)],Tab_Def_Processes[Process_Type],,0,)</f>
        <v>#N/A</v>
      </c>
      <c r="F23" s="10" t="e">
        <f>_xlfn.XLOOKUP($D23,Tab_Def_Processes[Name(EN)],Tab_Def_Processes[TC?],,0,)</f>
        <v>#N/A</v>
      </c>
      <c r="G23" s="10" t="e">
        <f>_xlfn.XLOOKUP($D23,Tab_Def_Processes[Name(EN)],Tab_Def_Processes[Dyn_TC?],,0,)</f>
        <v>#N/A</v>
      </c>
      <c r="H23" s="10" t="e">
        <f>_xlfn.XLOOKUP($D23,Tab_Def_Processes[Name(EN)],Tab_Def_Processes[Stock?],,0,)</f>
        <v>#N/A</v>
      </c>
      <c r="I23" s="10" t="e">
        <f>_xlfn.XLOOKUP($D23,Tab_Def_Processes[Name(EN)],Tab_Def_Processes[Initial_Stock?],,0,)</f>
        <v>#N/A</v>
      </c>
      <c r="J23" s="10" t="e">
        <f>_xlfn.XLOOKUP($D23,Tab_Def_Processes[Name(EN)],Tab_Def_Processes[DSM?],,0,)</f>
        <v>#N/A</v>
      </c>
      <c r="K23" s="10" t="e">
        <f>_xlfn.XLOOKUP($D23,Tab_Def_Processes[Name(EN)],Tab_Def_Processes[FOMP?],,0,)</f>
        <v>#N/A</v>
      </c>
      <c r="L23" s="12"/>
      <c r="M23" s="10" t="e">
        <f>_xlfn.XLOOKUP($L23,Tab_DSM_Category_ID[Category ID],Tab_DSM_Category_ID[DSM Material],,0,)</f>
        <v>#N/A</v>
      </c>
      <c r="N23" s="12"/>
      <c r="O23" s="34"/>
      <c r="P23" s="12"/>
      <c r="Q23" s="12"/>
      <c r="R23" s="12"/>
    </row>
    <row r="24" spans="1:18" x14ac:dyDescent="0.25">
      <c r="A24" s="197" t="b">
        <v>0</v>
      </c>
      <c r="B24" s="10">
        <f t="shared" si="0"/>
        <v>23</v>
      </c>
      <c r="C24" s="10" t="e">
        <f>_xlfn.XLOOKUP($D24,Tab_Def_Processes[Name(EN)],Tab_Def_Processes[Process_ID],,0,)</f>
        <v>#N/A</v>
      </c>
      <c r="D24" s="12" t="s">
        <v>35</v>
      </c>
      <c r="E24" s="10" t="e">
        <f>_xlfn.XLOOKUP($D24,Tab_Def_Processes[Name(EN)],Tab_Def_Processes[Process_Type],,0,)</f>
        <v>#N/A</v>
      </c>
      <c r="F24" s="10" t="e">
        <f>_xlfn.XLOOKUP($D24,Tab_Def_Processes[Name(EN)],Tab_Def_Processes[TC?],,0,)</f>
        <v>#N/A</v>
      </c>
      <c r="G24" s="10" t="e">
        <f>_xlfn.XLOOKUP($D24,Tab_Def_Processes[Name(EN)],Tab_Def_Processes[Dyn_TC?],,0,)</f>
        <v>#N/A</v>
      </c>
      <c r="H24" s="10" t="e">
        <f>_xlfn.XLOOKUP($D24,Tab_Def_Processes[Name(EN)],Tab_Def_Processes[Stock?],,0,)</f>
        <v>#N/A</v>
      </c>
      <c r="I24" s="10" t="e">
        <f>_xlfn.XLOOKUP($D24,Tab_Def_Processes[Name(EN)],Tab_Def_Processes[Initial_Stock?],,0,)</f>
        <v>#N/A</v>
      </c>
      <c r="J24" s="10" t="e">
        <f>_xlfn.XLOOKUP($D24,Tab_Def_Processes[Name(EN)],Tab_Def_Processes[DSM?],,0,)</f>
        <v>#N/A</v>
      </c>
      <c r="K24" s="10" t="e">
        <f>_xlfn.XLOOKUP($D24,Tab_Def_Processes[Name(EN)],Tab_Def_Processes[FOMP?],,0,)</f>
        <v>#N/A</v>
      </c>
      <c r="L24" s="12"/>
      <c r="M24" s="10" t="e">
        <f>_xlfn.XLOOKUP($L24,Tab_DSM_Category_ID[Category ID],Tab_DSM_Category_ID[DSM Material],,0,)</f>
        <v>#N/A</v>
      </c>
      <c r="N24" s="12"/>
      <c r="O24" s="34"/>
      <c r="P24" s="12"/>
      <c r="Q24" s="12"/>
      <c r="R24" s="12"/>
    </row>
    <row r="25" spans="1:18" x14ac:dyDescent="0.25">
      <c r="A25" s="197" t="b">
        <v>0</v>
      </c>
      <c r="B25" s="10">
        <f t="shared" si="0"/>
        <v>24</v>
      </c>
      <c r="C25" s="10" t="e">
        <f>_xlfn.XLOOKUP($D25,Tab_Def_Processes[Name(EN)],Tab_Def_Processes[Process_ID],,0,)</f>
        <v>#N/A</v>
      </c>
      <c r="D25" s="12" t="s">
        <v>35</v>
      </c>
      <c r="E25" s="10" t="e">
        <f>_xlfn.XLOOKUP($D25,Tab_Def_Processes[Name(EN)],Tab_Def_Processes[Process_Type],,0,)</f>
        <v>#N/A</v>
      </c>
      <c r="F25" s="10" t="e">
        <f>_xlfn.XLOOKUP($D25,Tab_Def_Processes[Name(EN)],Tab_Def_Processes[TC?],,0,)</f>
        <v>#N/A</v>
      </c>
      <c r="G25" s="10" t="e">
        <f>_xlfn.XLOOKUP($D25,Tab_Def_Processes[Name(EN)],Tab_Def_Processes[Dyn_TC?],,0,)</f>
        <v>#N/A</v>
      </c>
      <c r="H25" s="10" t="e">
        <f>_xlfn.XLOOKUP($D25,Tab_Def_Processes[Name(EN)],Tab_Def_Processes[Stock?],,0,)</f>
        <v>#N/A</v>
      </c>
      <c r="I25" s="10" t="e">
        <f>_xlfn.XLOOKUP($D25,Tab_Def_Processes[Name(EN)],Tab_Def_Processes[Initial_Stock?],,0,)</f>
        <v>#N/A</v>
      </c>
      <c r="J25" s="10" t="e">
        <f>_xlfn.XLOOKUP($D25,Tab_Def_Processes[Name(EN)],Tab_Def_Processes[DSM?],,0,)</f>
        <v>#N/A</v>
      </c>
      <c r="K25" s="10" t="e">
        <f>_xlfn.XLOOKUP($D25,Tab_Def_Processes[Name(EN)],Tab_Def_Processes[FOMP?],,0,)</f>
        <v>#N/A</v>
      </c>
      <c r="L25" s="12"/>
      <c r="M25" s="10" t="e">
        <f>_xlfn.XLOOKUP($L25,Tab_DSM_Category_ID[Category ID],Tab_DSM_Category_ID[DSM Material],,0,)</f>
        <v>#N/A</v>
      </c>
      <c r="N25" s="12"/>
      <c r="O25" s="34"/>
      <c r="P25" s="12"/>
      <c r="Q25" s="12"/>
      <c r="R25" s="12"/>
    </row>
    <row r="26" spans="1:18" x14ac:dyDescent="0.25">
      <c r="A26" s="197" t="b">
        <v>0</v>
      </c>
      <c r="B26" s="10">
        <f t="shared" si="0"/>
        <v>25</v>
      </c>
      <c r="C26" s="10" t="e">
        <f>_xlfn.XLOOKUP($D26,Tab_Def_Processes[Name(EN)],Tab_Def_Processes[Process_ID],,0,)</f>
        <v>#N/A</v>
      </c>
      <c r="D26" s="12" t="s">
        <v>35</v>
      </c>
      <c r="E26" s="10" t="e">
        <f>_xlfn.XLOOKUP($D26,Tab_Def_Processes[Name(EN)],Tab_Def_Processes[Process_Type],,0,)</f>
        <v>#N/A</v>
      </c>
      <c r="F26" s="10" t="e">
        <f>_xlfn.XLOOKUP($D26,Tab_Def_Processes[Name(EN)],Tab_Def_Processes[TC?],,0,)</f>
        <v>#N/A</v>
      </c>
      <c r="G26" s="10" t="e">
        <f>_xlfn.XLOOKUP($D26,Tab_Def_Processes[Name(EN)],Tab_Def_Processes[Dyn_TC?],,0,)</f>
        <v>#N/A</v>
      </c>
      <c r="H26" s="10" t="e">
        <f>_xlfn.XLOOKUP($D26,Tab_Def_Processes[Name(EN)],Tab_Def_Processes[Stock?],,0,)</f>
        <v>#N/A</v>
      </c>
      <c r="I26" s="10" t="e">
        <f>_xlfn.XLOOKUP($D26,Tab_Def_Processes[Name(EN)],Tab_Def_Processes[Initial_Stock?],,0,)</f>
        <v>#N/A</v>
      </c>
      <c r="J26" s="10" t="e">
        <f>_xlfn.XLOOKUP($D26,Tab_Def_Processes[Name(EN)],Tab_Def_Processes[DSM?],,0,)</f>
        <v>#N/A</v>
      </c>
      <c r="K26" s="10" t="e">
        <f>_xlfn.XLOOKUP($D26,Tab_Def_Processes[Name(EN)],Tab_Def_Processes[FOMP?],,0,)</f>
        <v>#N/A</v>
      </c>
      <c r="L26" s="12"/>
      <c r="M26" s="10" t="e">
        <f>_xlfn.XLOOKUP($L26,Tab_DSM_Category_ID[Category ID],Tab_DSM_Category_ID[DSM Material],,0,)</f>
        <v>#N/A</v>
      </c>
      <c r="N26" s="12"/>
      <c r="O26" s="34"/>
      <c r="P26" s="12"/>
      <c r="Q26" s="12"/>
      <c r="R26" s="12"/>
    </row>
    <row r="27" spans="1:18" x14ac:dyDescent="0.25">
      <c r="A27" s="197" t="b">
        <v>0</v>
      </c>
      <c r="B27" s="10">
        <f t="shared" si="0"/>
        <v>26</v>
      </c>
      <c r="C27" s="10" t="e">
        <f>_xlfn.XLOOKUP($D27,Tab_Def_Processes[Name(EN)],Tab_Def_Processes[Process_ID],,0,)</f>
        <v>#N/A</v>
      </c>
      <c r="D27" s="12" t="s">
        <v>35</v>
      </c>
      <c r="E27" s="10" t="e">
        <f>_xlfn.XLOOKUP($D27,Tab_Def_Processes[Name(EN)],Tab_Def_Processes[Process_Type],,0,)</f>
        <v>#N/A</v>
      </c>
      <c r="F27" s="10" t="e">
        <f>_xlfn.XLOOKUP($D27,Tab_Def_Processes[Name(EN)],Tab_Def_Processes[TC?],,0,)</f>
        <v>#N/A</v>
      </c>
      <c r="G27" s="10" t="e">
        <f>_xlfn.XLOOKUP($D27,Tab_Def_Processes[Name(EN)],Tab_Def_Processes[Dyn_TC?],,0,)</f>
        <v>#N/A</v>
      </c>
      <c r="H27" s="10" t="e">
        <f>_xlfn.XLOOKUP($D27,Tab_Def_Processes[Name(EN)],Tab_Def_Processes[Stock?],,0,)</f>
        <v>#N/A</v>
      </c>
      <c r="I27" s="10" t="e">
        <f>_xlfn.XLOOKUP($D27,Tab_Def_Processes[Name(EN)],Tab_Def_Processes[Initial_Stock?],,0,)</f>
        <v>#N/A</v>
      </c>
      <c r="J27" s="10" t="e">
        <f>_xlfn.XLOOKUP($D27,Tab_Def_Processes[Name(EN)],Tab_Def_Processes[DSM?],,0,)</f>
        <v>#N/A</v>
      </c>
      <c r="K27" s="10" t="e">
        <f>_xlfn.XLOOKUP($D27,Tab_Def_Processes[Name(EN)],Tab_Def_Processes[FOMP?],,0,)</f>
        <v>#N/A</v>
      </c>
      <c r="L27" s="12"/>
      <c r="M27" s="10" t="e">
        <f>_xlfn.XLOOKUP($L27,Tab_DSM_Category_ID[Category ID],Tab_DSM_Category_ID[DSM Material],,0,)</f>
        <v>#N/A</v>
      </c>
      <c r="N27" s="12"/>
      <c r="O27" s="34"/>
      <c r="P27" s="12"/>
      <c r="Q27" s="12"/>
      <c r="R27" s="12"/>
    </row>
    <row r="28" spans="1:18" x14ac:dyDescent="0.25">
      <c r="A28" s="197" t="b">
        <v>0</v>
      </c>
      <c r="B28" s="10">
        <f t="shared" si="0"/>
        <v>27</v>
      </c>
      <c r="C28" s="10" t="e">
        <f>_xlfn.XLOOKUP($D28,Tab_Def_Processes[Name(EN)],Tab_Def_Processes[Process_ID],,0,)</f>
        <v>#N/A</v>
      </c>
      <c r="D28" s="12" t="s">
        <v>35</v>
      </c>
      <c r="E28" s="10" t="e">
        <f>_xlfn.XLOOKUP($D28,Tab_Def_Processes[Name(EN)],Tab_Def_Processes[Process_Type],,0,)</f>
        <v>#N/A</v>
      </c>
      <c r="F28" s="10" t="e">
        <f>_xlfn.XLOOKUP($D28,Tab_Def_Processes[Name(EN)],Tab_Def_Processes[TC?],,0,)</f>
        <v>#N/A</v>
      </c>
      <c r="G28" s="10" t="e">
        <f>_xlfn.XLOOKUP($D28,Tab_Def_Processes[Name(EN)],Tab_Def_Processes[Dyn_TC?],,0,)</f>
        <v>#N/A</v>
      </c>
      <c r="H28" s="10" t="e">
        <f>_xlfn.XLOOKUP($D28,Tab_Def_Processes[Name(EN)],Tab_Def_Processes[Stock?],,0,)</f>
        <v>#N/A</v>
      </c>
      <c r="I28" s="10" t="e">
        <f>_xlfn.XLOOKUP($D28,Tab_Def_Processes[Name(EN)],Tab_Def_Processes[Initial_Stock?],,0,)</f>
        <v>#N/A</v>
      </c>
      <c r="J28" s="10" t="e">
        <f>_xlfn.XLOOKUP($D28,Tab_Def_Processes[Name(EN)],Tab_Def_Processes[DSM?],,0,)</f>
        <v>#N/A</v>
      </c>
      <c r="K28" s="10" t="e">
        <f>_xlfn.XLOOKUP($D28,Tab_Def_Processes[Name(EN)],Tab_Def_Processes[FOMP?],,0,)</f>
        <v>#N/A</v>
      </c>
      <c r="L28" s="12"/>
      <c r="M28" s="10" t="e">
        <f>_xlfn.XLOOKUP($L28,Tab_DSM_Category_ID[Category ID],Tab_DSM_Category_ID[DSM Material],,0,)</f>
        <v>#N/A</v>
      </c>
      <c r="N28" s="12"/>
      <c r="O28" s="34"/>
      <c r="P28" s="12"/>
      <c r="Q28" s="12"/>
      <c r="R28" s="12"/>
    </row>
    <row r="29" spans="1:18" x14ac:dyDescent="0.25">
      <c r="A29" s="197" t="b">
        <v>0</v>
      </c>
      <c r="B29" s="10">
        <f t="shared" si="0"/>
        <v>28</v>
      </c>
      <c r="C29" s="10" t="e">
        <f>_xlfn.XLOOKUP($D29,Tab_Def_Processes[Name(EN)],Tab_Def_Processes[Process_ID],,0,)</f>
        <v>#N/A</v>
      </c>
      <c r="D29" s="12" t="s">
        <v>35</v>
      </c>
      <c r="E29" s="10" t="e">
        <f>_xlfn.XLOOKUP($D29,Tab_Def_Processes[Name(EN)],Tab_Def_Processes[Process_Type],,0,)</f>
        <v>#N/A</v>
      </c>
      <c r="F29" s="10" t="e">
        <f>_xlfn.XLOOKUP($D29,Tab_Def_Processes[Name(EN)],Tab_Def_Processes[TC?],,0,)</f>
        <v>#N/A</v>
      </c>
      <c r="G29" s="10" t="e">
        <f>_xlfn.XLOOKUP($D29,Tab_Def_Processes[Name(EN)],Tab_Def_Processes[Dyn_TC?],,0,)</f>
        <v>#N/A</v>
      </c>
      <c r="H29" s="10" t="e">
        <f>_xlfn.XLOOKUP($D29,Tab_Def_Processes[Name(EN)],Tab_Def_Processes[Stock?],,0,)</f>
        <v>#N/A</v>
      </c>
      <c r="I29" s="10" t="e">
        <f>_xlfn.XLOOKUP($D29,Tab_Def_Processes[Name(EN)],Tab_Def_Processes[Initial_Stock?],,0,)</f>
        <v>#N/A</v>
      </c>
      <c r="J29" s="10" t="e">
        <f>_xlfn.XLOOKUP($D29,Tab_Def_Processes[Name(EN)],Tab_Def_Processes[DSM?],,0,)</f>
        <v>#N/A</v>
      </c>
      <c r="K29" s="10" t="e">
        <f>_xlfn.XLOOKUP($D29,Tab_Def_Processes[Name(EN)],Tab_Def_Processes[FOMP?],,0,)</f>
        <v>#N/A</v>
      </c>
      <c r="L29" s="12"/>
      <c r="M29" s="10" t="e">
        <f>_xlfn.XLOOKUP($L29,Tab_DSM_Category_ID[Category ID],Tab_DSM_Category_ID[DSM Material],,0,)</f>
        <v>#N/A</v>
      </c>
      <c r="N29" s="12"/>
      <c r="O29" s="34"/>
      <c r="P29" s="12"/>
      <c r="Q29" s="12"/>
      <c r="R29" s="12"/>
    </row>
    <row r="30" spans="1:18" x14ac:dyDescent="0.25">
      <c r="A30" s="197" t="b">
        <v>0</v>
      </c>
      <c r="B30" s="10">
        <f t="shared" si="0"/>
        <v>29</v>
      </c>
      <c r="C30" s="10" t="e">
        <f>_xlfn.XLOOKUP($D30,Tab_Def_Processes[Name(EN)],Tab_Def_Processes[Process_ID],,0,)</f>
        <v>#N/A</v>
      </c>
      <c r="D30" s="12" t="s">
        <v>35</v>
      </c>
      <c r="E30" s="10" t="e">
        <f>_xlfn.XLOOKUP($D30,Tab_Def_Processes[Name(EN)],Tab_Def_Processes[Process_Type],,0,)</f>
        <v>#N/A</v>
      </c>
      <c r="F30" s="10" t="e">
        <f>_xlfn.XLOOKUP($D30,Tab_Def_Processes[Name(EN)],Tab_Def_Processes[TC?],,0,)</f>
        <v>#N/A</v>
      </c>
      <c r="G30" s="10" t="e">
        <f>_xlfn.XLOOKUP($D30,Tab_Def_Processes[Name(EN)],Tab_Def_Processes[Dyn_TC?],,0,)</f>
        <v>#N/A</v>
      </c>
      <c r="H30" s="10" t="e">
        <f>_xlfn.XLOOKUP($D30,Tab_Def_Processes[Name(EN)],Tab_Def_Processes[Stock?],,0,)</f>
        <v>#N/A</v>
      </c>
      <c r="I30" s="10" t="e">
        <f>_xlfn.XLOOKUP($D30,Tab_Def_Processes[Name(EN)],Tab_Def_Processes[Initial_Stock?],,0,)</f>
        <v>#N/A</v>
      </c>
      <c r="J30" s="10" t="e">
        <f>_xlfn.XLOOKUP($D30,Tab_Def_Processes[Name(EN)],Tab_Def_Processes[DSM?],,0,)</f>
        <v>#N/A</v>
      </c>
      <c r="K30" s="10" t="e">
        <f>_xlfn.XLOOKUP($D30,Tab_Def_Processes[Name(EN)],Tab_Def_Processes[FOMP?],,0,)</f>
        <v>#N/A</v>
      </c>
      <c r="L30" s="12"/>
      <c r="M30" s="10" t="e">
        <f>_xlfn.XLOOKUP($L30,Tab_DSM_Category_ID[Category ID],Tab_DSM_Category_ID[DSM Material],,0,)</f>
        <v>#N/A</v>
      </c>
      <c r="N30" s="12"/>
      <c r="O30" s="34"/>
      <c r="P30" s="12"/>
      <c r="Q30" s="12"/>
      <c r="R30" s="12"/>
    </row>
    <row r="31" spans="1:18" x14ac:dyDescent="0.25">
      <c r="A31" s="197" t="b">
        <v>0</v>
      </c>
      <c r="B31" s="10">
        <f t="shared" si="0"/>
        <v>30</v>
      </c>
      <c r="C31" s="10" t="e">
        <f>_xlfn.XLOOKUP($D31,Tab_Def_Processes[Name(EN)],Tab_Def_Processes[Process_ID],,0,)</f>
        <v>#N/A</v>
      </c>
      <c r="D31" s="12" t="s">
        <v>35</v>
      </c>
      <c r="E31" s="10" t="e">
        <f>_xlfn.XLOOKUP($D31,Tab_Def_Processes[Name(EN)],Tab_Def_Processes[Process_Type],,0,)</f>
        <v>#N/A</v>
      </c>
      <c r="F31" s="10" t="e">
        <f>_xlfn.XLOOKUP($D31,Tab_Def_Processes[Name(EN)],Tab_Def_Processes[TC?],,0,)</f>
        <v>#N/A</v>
      </c>
      <c r="G31" s="10" t="e">
        <f>_xlfn.XLOOKUP($D31,Tab_Def_Processes[Name(EN)],Tab_Def_Processes[Dyn_TC?],,0,)</f>
        <v>#N/A</v>
      </c>
      <c r="H31" s="10" t="e">
        <f>_xlfn.XLOOKUP($D31,Tab_Def_Processes[Name(EN)],Tab_Def_Processes[Stock?],,0,)</f>
        <v>#N/A</v>
      </c>
      <c r="I31" s="10" t="e">
        <f>_xlfn.XLOOKUP($D31,Tab_Def_Processes[Name(EN)],Tab_Def_Processes[Initial_Stock?],,0,)</f>
        <v>#N/A</v>
      </c>
      <c r="J31" s="10" t="e">
        <f>_xlfn.XLOOKUP($D31,Tab_Def_Processes[Name(EN)],Tab_Def_Processes[DSM?],,0,)</f>
        <v>#N/A</v>
      </c>
      <c r="K31" s="10" t="e">
        <f>_xlfn.XLOOKUP($D31,Tab_Def_Processes[Name(EN)],Tab_Def_Processes[FOMP?],,0,)</f>
        <v>#N/A</v>
      </c>
      <c r="L31" s="12"/>
      <c r="M31" s="10" t="e">
        <f>_xlfn.XLOOKUP($L31,Tab_DSM_Category_ID[Category ID],Tab_DSM_Category_ID[DSM Material],,0,)</f>
        <v>#N/A</v>
      </c>
      <c r="N31" s="12"/>
      <c r="O31" s="34"/>
      <c r="P31" s="12"/>
      <c r="Q31" s="12"/>
      <c r="R31" s="12"/>
    </row>
    <row r="32" spans="1:18" x14ac:dyDescent="0.25">
      <c r="A32" s="197" t="b">
        <v>0</v>
      </c>
      <c r="B32" s="10">
        <f t="shared" si="0"/>
        <v>31</v>
      </c>
      <c r="C32" s="10" t="e">
        <f>_xlfn.XLOOKUP($D32,Tab_Def_Processes[Name(EN)],Tab_Def_Processes[Process_ID],,0,)</f>
        <v>#N/A</v>
      </c>
      <c r="D32" s="12" t="s">
        <v>35</v>
      </c>
      <c r="E32" s="10" t="e">
        <f>_xlfn.XLOOKUP($D32,Tab_Def_Processes[Name(EN)],Tab_Def_Processes[Process_Type],,0,)</f>
        <v>#N/A</v>
      </c>
      <c r="F32" s="10" t="e">
        <f>_xlfn.XLOOKUP($D32,Tab_Def_Processes[Name(EN)],Tab_Def_Processes[TC?],,0,)</f>
        <v>#N/A</v>
      </c>
      <c r="G32" s="10" t="e">
        <f>_xlfn.XLOOKUP($D32,Tab_Def_Processes[Name(EN)],Tab_Def_Processes[Dyn_TC?],,0,)</f>
        <v>#N/A</v>
      </c>
      <c r="H32" s="10" t="e">
        <f>_xlfn.XLOOKUP($D32,Tab_Def_Processes[Name(EN)],Tab_Def_Processes[Stock?],,0,)</f>
        <v>#N/A</v>
      </c>
      <c r="I32" s="10" t="e">
        <f>_xlfn.XLOOKUP($D32,Tab_Def_Processes[Name(EN)],Tab_Def_Processes[Initial_Stock?],,0,)</f>
        <v>#N/A</v>
      </c>
      <c r="J32" s="10" t="e">
        <f>_xlfn.XLOOKUP($D32,Tab_Def_Processes[Name(EN)],Tab_Def_Processes[DSM?],,0,)</f>
        <v>#N/A</v>
      </c>
      <c r="K32" s="10" t="e">
        <f>_xlfn.XLOOKUP($D32,Tab_Def_Processes[Name(EN)],Tab_Def_Processes[FOMP?],,0,)</f>
        <v>#N/A</v>
      </c>
      <c r="L32" s="12"/>
      <c r="M32" s="10" t="e">
        <f>_xlfn.XLOOKUP($L32,Tab_DSM_Category_ID[Category ID],Tab_DSM_Category_ID[DSM Material],,0,)</f>
        <v>#N/A</v>
      </c>
      <c r="N32" s="12"/>
      <c r="O32" s="34"/>
      <c r="P32" s="12"/>
      <c r="Q32" s="12"/>
      <c r="R32" s="12"/>
    </row>
    <row r="33" spans="1:18" x14ac:dyDescent="0.25">
      <c r="A33" s="197" t="b">
        <v>0</v>
      </c>
      <c r="B33" s="10">
        <f t="shared" si="0"/>
        <v>32</v>
      </c>
      <c r="C33" s="10" t="e">
        <f>_xlfn.XLOOKUP($D33,Tab_Def_Processes[Name(EN)],Tab_Def_Processes[Process_ID],,0,)</f>
        <v>#N/A</v>
      </c>
      <c r="D33" s="12" t="s">
        <v>35</v>
      </c>
      <c r="E33" s="10" t="e">
        <f>_xlfn.XLOOKUP($D33,Tab_Def_Processes[Name(EN)],Tab_Def_Processes[Process_Type],,0,)</f>
        <v>#N/A</v>
      </c>
      <c r="F33" s="10" t="e">
        <f>_xlfn.XLOOKUP($D33,Tab_Def_Processes[Name(EN)],Tab_Def_Processes[TC?],,0,)</f>
        <v>#N/A</v>
      </c>
      <c r="G33" s="10" t="e">
        <f>_xlfn.XLOOKUP($D33,Tab_Def_Processes[Name(EN)],Tab_Def_Processes[Dyn_TC?],,0,)</f>
        <v>#N/A</v>
      </c>
      <c r="H33" s="10" t="e">
        <f>_xlfn.XLOOKUP($D33,Tab_Def_Processes[Name(EN)],Tab_Def_Processes[Stock?],,0,)</f>
        <v>#N/A</v>
      </c>
      <c r="I33" s="10" t="e">
        <f>_xlfn.XLOOKUP($D33,Tab_Def_Processes[Name(EN)],Tab_Def_Processes[Initial_Stock?],,0,)</f>
        <v>#N/A</v>
      </c>
      <c r="J33" s="10" t="e">
        <f>_xlfn.XLOOKUP($D33,Tab_Def_Processes[Name(EN)],Tab_Def_Processes[DSM?],,0,)</f>
        <v>#N/A</v>
      </c>
      <c r="K33" s="10" t="e">
        <f>_xlfn.XLOOKUP($D33,Tab_Def_Processes[Name(EN)],Tab_Def_Processes[FOMP?],,0,)</f>
        <v>#N/A</v>
      </c>
      <c r="L33" s="12"/>
      <c r="M33" s="10" t="e">
        <f>_xlfn.XLOOKUP($L33,Tab_DSM_Category_ID[Category ID],Tab_DSM_Category_ID[DSM Material],,0,)</f>
        <v>#N/A</v>
      </c>
      <c r="N33" s="12"/>
      <c r="O33" s="34"/>
      <c r="P33" s="12"/>
      <c r="Q33" s="12"/>
      <c r="R33" s="12"/>
    </row>
    <row r="34" spans="1:18" x14ac:dyDescent="0.25">
      <c r="A34" s="197" t="b">
        <v>0</v>
      </c>
      <c r="B34" s="10">
        <f t="shared" si="0"/>
        <v>33</v>
      </c>
      <c r="C34" s="10" t="e">
        <f>_xlfn.XLOOKUP($D34,Tab_Def_Processes[Name(EN)],Tab_Def_Processes[Process_ID],,0,)</f>
        <v>#N/A</v>
      </c>
      <c r="D34" s="12" t="s">
        <v>35</v>
      </c>
      <c r="E34" s="10" t="e">
        <f>_xlfn.XLOOKUP($D34,Tab_Def_Processes[Name(EN)],Tab_Def_Processes[Process_Type],,0,)</f>
        <v>#N/A</v>
      </c>
      <c r="F34" s="10" t="e">
        <f>_xlfn.XLOOKUP($D34,Tab_Def_Processes[Name(EN)],Tab_Def_Processes[TC?],,0,)</f>
        <v>#N/A</v>
      </c>
      <c r="G34" s="10" t="e">
        <f>_xlfn.XLOOKUP($D34,Tab_Def_Processes[Name(EN)],Tab_Def_Processes[Dyn_TC?],,0,)</f>
        <v>#N/A</v>
      </c>
      <c r="H34" s="10" t="e">
        <f>_xlfn.XLOOKUP($D34,Tab_Def_Processes[Name(EN)],Tab_Def_Processes[Stock?],,0,)</f>
        <v>#N/A</v>
      </c>
      <c r="I34" s="10" t="e">
        <f>_xlfn.XLOOKUP($D34,Tab_Def_Processes[Name(EN)],Tab_Def_Processes[Initial_Stock?],,0,)</f>
        <v>#N/A</v>
      </c>
      <c r="J34" s="10" t="e">
        <f>_xlfn.XLOOKUP($D34,Tab_Def_Processes[Name(EN)],Tab_Def_Processes[DSM?],,0,)</f>
        <v>#N/A</v>
      </c>
      <c r="K34" s="10" t="e">
        <f>_xlfn.XLOOKUP($D34,Tab_Def_Processes[Name(EN)],Tab_Def_Processes[FOMP?],,0,)</f>
        <v>#N/A</v>
      </c>
      <c r="L34" s="12"/>
      <c r="M34" s="10" t="e">
        <f>_xlfn.XLOOKUP($L34,Tab_DSM_Category_ID[Category ID],Tab_DSM_Category_ID[DSM Material],,0,)</f>
        <v>#N/A</v>
      </c>
      <c r="N34" s="12"/>
      <c r="O34" s="34"/>
      <c r="P34" s="12"/>
      <c r="Q34" s="12"/>
      <c r="R34" s="12"/>
    </row>
    <row r="35" spans="1:18" x14ac:dyDescent="0.25">
      <c r="A35" s="197" t="b">
        <v>0</v>
      </c>
      <c r="B35" s="10">
        <f t="shared" si="0"/>
        <v>34</v>
      </c>
      <c r="C35" s="10" t="e">
        <f>_xlfn.XLOOKUP($D35,Tab_Def_Processes[Name(EN)],Tab_Def_Processes[Process_ID],,0,)</f>
        <v>#N/A</v>
      </c>
      <c r="D35" s="12" t="s">
        <v>35</v>
      </c>
      <c r="E35" s="10" t="e">
        <f>_xlfn.XLOOKUP($D35,Tab_Def_Processes[Name(EN)],Tab_Def_Processes[Process_Type],,0,)</f>
        <v>#N/A</v>
      </c>
      <c r="F35" s="10" t="e">
        <f>_xlfn.XLOOKUP($D35,Tab_Def_Processes[Name(EN)],Tab_Def_Processes[TC?],,0,)</f>
        <v>#N/A</v>
      </c>
      <c r="G35" s="10" t="e">
        <f>_xlfn.XLOOKUP($D35,Tab_Def_Processes[Name(EN)],Tab_Def_Processes[Dyn_TC?],,0,)</f>
        <v>#N/A</v>
      </c>
      <c r="H35" s="10" t="e">
        <f>_xlfn.XLOOKUP($D35,Tab_Def_Processes[Name(EN)],Tab_Def_Processes[Stock?],,0,)</f>
        <v>#N/A</v>
      </c>
      <c r="I35" s="10" t="e">
        <f>_xlfn.XLOOKUP($D35,Tab_Def_Processes[Name(EN)],Tab_Def_Processes[Initial_Stock?],,0,)</f>
        <v>#N/A</v>
      </c>
      <c r="J35" s="10" t="e">
        <f>_xlfn.XLOOKUP($D35,Tab_Def_Processes[Name(EN)],Tab_Def_Processes[DSM?],,0,)</f>
        <v>#N/A</v>
      </c>
      <c r="K35" s="10" t="e">
        <f>_xlfn.XLOOKUP($D35,Tab_Def_Processes[Name(EN)],Tab_Def_Processes[FOMP?],,0,)</f>
        <v>#N/A</v>
      </c>
      <c r="L35" s="12"/>
      <c r="M35" s="10" t="e">
        <f>_xlfn.XLOOKUP($L35,Tab_DSM_Category_ID[Category ID],Tab_DSM_Category_ID[DSM Material],,0,)</f>
        <v>#N/A</v>
      </c>
      <c r="N35" s="12"/>
      <c r="O35" s="34"/>
      <c r="P35" s="12"/>
      <c r="Q35" s="12"/>
      <c r="R35" s="12"/>
    </row>
    <row r="36" spans="1:18" x14ac:dyDescent="0.25">
      <c r="A36" s="197" t="b">
        <v>0</v>
      </c>
      <c r="B36" s="10">
        <f t="shared" si="0"/>
        <v>35</v>
      </c>
      <c r="C36" s="10" t="e">
        <f>_xlfn.XLOOKUP($D36,Tab_Def_Processes[Name(EN)],Tab_Def_Processes[Process_ID],,0,)</f>
        <v>#N/A</v>
      </c>
      <c r="D36" s="12" t="s">
        <v>35</v>
      </c>
      <c r="E36" s="10" t="e">
        <f>_xlfn.XLOOKUP($D36,Tab_Def_Processes[Name(EN)],Tab_Def_Processes[Process_Type],,0,)</f>
        <v>#N/A</v>
      </c>
      <c r="F36" s="10" t="e">
        <f>_xlfn.XLOOKUP($D36,Tab_Def_Processes[Name(EN)],Tab_Def_Processes[TC?],,0,)</f>
        <v>#N/A</v>
      </c>
      <c r="G36" s="10" t="e">
        <f>_xlfn.XLOOKUP($D36,Tab_Def_Processes[Name(EN)],Tab_Def_Processes[Dyn_TC?],,0,)</f>
        <v>#N/A</v>
      </c>
      <c r="H36" s="10" t="e">
        <f>_xlfn.XLOOKUP($D36,Tab_Def_Processes[Name(EN)],Tab_Def_Processes[Stock?],,0,)</f>
        <v>#N/A</v>
      </c>
      <c r="I36" s="10" t="e">
        <f>_xlfn.XLOOKUP($D36,Tab_Def_Processes[Name(EN)],Tab_Def_Processes[Initial_Stock?],,0,)</f>
        <v>#N/A</v>
      </c>
      <c r="J36" s="10" t="e">
        <f>_xlfn.XLOOKUP($D36,Tab_Def_Processes[Name(EN)],Tab_Def_Processes[DSM?],,0,)</f>
        <v>#N/A</v>
      </c>
      <c r="K36" s="10" t="e">
        <f>_xlfn.XLOOKUP($D36,Tab_Def_Processes[Name(EN)],Tab_Def_Processes[FOMP?],,0,)</f>
        <v>#N/A</v>
      </c>
      <c r="L36" s="12"/>
      <c r="M36" s="10" t="e">
        <f>_xlfn.XLOOKUP($L36,Tab_DSM_Category_ID[Category ID],Tab_DSM_Category_ID[DSM Material],,0,)</f>
        <v>#N/A</v>
      </c>
      <c r="N36" s="12"/>
      <c r="O36" s="34"/>
      <c r="P36" s="12"/>
      <c r="Q36" s="12"/>
      <c r="R36" s="12"/>
    </row>
    <row r="37" spans="1:18" x14ac:dyDescent="0.25">
      <c r="A37" s="197" t="b">
        <v>0</v>
      </c>
      <c r="B37" s="10">
        <f t="shared" si="0"/>
        <v>36</v>
      </c>
      <c r="C37" s="10" t="e">
        <f>_xlfn.XLOOKUP($D37,Tab_Def_Processes[Name(EN)],Tab_Def_Processes[Process_ID],,0,)</f>
        <v>#N/A</v>
      </c>
      <c r="D37" s="12" t="s">
        <v>35</v>
      </c>
      <c r="E37" s="10" t="e">
        <f>_xlfn.XLOOKUP($D37,Tab_Def_Processes[Name(EN)],Tab_Def_Processes[Process_Type],,0,)</f>
        <v>#N/A</v>
      </c>
      <c r="F37" s="10" t="e">
        <f>_xlfn.XLOOKUP($D37,Tab_Def_Processes[Name(EN)],Tab_Def_Processes[TC?],,0,)</f>
        <v>#N/A</v>
      </c>
      <c r="G37" s="10" t="e">
        <f>_xlfn.XLOOKUP($D37,Tab_Def_Processes[Name(EN)],Tab_Def_Processes[Dyn_TC?],,0,)</f>
        <v>#N/A</v>
      </c>
      <c r="H37" s="10" t="e">
        <f>_xlfn.XLOOKUP($D37,Tab_Def_Processes[Name(EN)],Tab_Def_Processes[Stock?],,0,)</f>
        <v>#N/A</v>
      </c>
      <c r="I37" s="10" t="e">
        <f>_xlfn.XLOOKUP($D37,Tab_Def_Processes[Name(EN)],Tab_Def_Processes[Initial_Stock?],,0,)</f>
        <v>#N/A</v>
      </c>
      <c r="J37" s="10" t="e">
        <f>_xlfn.XLOOKUP($D37,Tab_Def_Processes[Name(EN)],Tab_Def_Processes[DSM?],,0,)</f>
        <v>#N/A</v>
      </c>
      <c r="K37" s="10" t="e">
        <f>_xlfn.XLOOKUP($D37,Tab_Def_Processes[Name(EN)],Tab_Def_Processes[FOMP?],,0,)</f>
        <v>#N/A</v>
      </c>
      <c r="L37" s="12"/>
      <c r="M37" s="10" t="e">
        <f>_xlfn.XLOOKUP($L37,Tab_DSM_Category_ID[Category ID],Tab_DSM_Category_ID[DSM Material],,0,)</f>
        <v>#N/A</v>
      </c>
      <c r="N37" s="12"/>
      <c r="O37" s="34"/>
      <c r="P37" s="12"/>
      <c r="Q37" s="12"/>
      <c r="R37" s="12"/>
    </row>
    <row r="38" spans="1:18" x14ac:dyDescent="0.25">
      <c r="A38" s="197" t="b">
        <v>0</v>
      </c>
      <c r="B38" s="10">
        <f t="shared" si="0"/>
        <v>37</v>
      </c>
      <c r="C38" s="10" t="e">
        <f>_xlfn.XLOOKUP($D38,Tab_Def_Processes[Name(EN)],Tab_Def_Processes[Process_ID],,0,)</f>
        <v>#N/A</v>
      </c>
      <c r="D38" s="12" t="s">
        <v>35</v>
      </c>
      <c r="E38" s="10" t="e">
        <f>_xlfn.XLOOKUP($D38,Tab_Def_Processes[Name(EN)],Tab_Def_Processes[Process_Type],,0,)</f>
        <v>#N/A</v>
      </c>
      <c r="F38" s="10" t="e">
        <f>_xlfn.XLOOKUP($D38,Tab_Def_Processes[Name(EN)],Tab_Def_Processes[TC?],,0,)</f>
        <v>#N/A</v>
      </c>
      <c r="G38" s="10" t="e">
        <f>_xlfn.XLOOKUP($D38,Tab_Def_Processes[Name(EN)],Tab_Def_Processes[Dyn_TC?],,0,)</f>
        <v>#N/A</v>
      </c>
      <c r="H38" s="10" t="e">
        <f>_xlfn.XLOOKUP($D38,Tab_Def_Processes[Name(EN)],Tab_Def_Processes[Stock?],,0,)</f>
        <v>#N/A</v>
      </c>
      <c r="I38" s="10" t="e">
        <f>_xlfn.XLOOKUP($D38,Tab_Def_Processes[Name(EN)],Tab_Def_Processes[Initial_Stock?],,0,)</f>
        <v>#N/A</v>
      </c>
      <c r="J38" s="10" t="e">
        <f>_xlfn.XLOOKUP($D38,Tab_Def_Processes[Name(EN)],Tab_Def_Processes[DSM?],,0,)</f>
        <v>#N/A</v>
      </c>
      <c r="K38" s="10" t="e">
        <f>_xlfn.XLOOKUP($D38,Tab_Def_Processes[Name(EN)],Tab_Def_Processes[FOMP?],,0,)</f>
        <v>#N/A</v>
      </c>
      <c r="L38" s="12"/>
      <c r="M38" s="10" t="e">
        <f>_xlfn.XLOOKUP($L38,Tab_DSM_Category_ID[Category ID],Tab_DSM_Category_ID[DSM Material],,0,)</f>
        <v>#N/A</v>
      </c>
      <c r="N38" s="12"/>
      <c r="O38" s="34"/>
      <c r="P38" s="12"/>
      <c r="Q38" s="12"/>
      <c r="R38" s="12"/>
    </row>
    <row r="39" spans="1:18" x14ac:dyDescent="0.25">
      <c r="A39" s="197" t="b">
        <v>0</v>
      </c>
      <c r="B39" s="10">
        <f t="shared" si="0"/>
        <v>38</v>
      </c>
      <c r="C39" s="10" t="e">
        <f>_xlfn.XLOOKUP($D39,Tab_Def_Processes[Name(EN)],Tab_Def_Processes[Process_ID],,0,)</f>
        <v>#N/A</v>
      </c>
      <c r="D39" s="12" t="s">
        <v>35</v>
      </c>
      <c r="E39" s="10" t="e">
        <f>_xlfn.XLOOKUP($D39,Tab_Def_Processes[Name(EN)],Tab_Def_Processes[Process_Type],,0,)</f>
        <v>#N/A</v>
      </c>
      <c r="F39" s="10" t="e">
        <f>_xlfn.XLOOKUP($D39,Tab_Def_Processes[Name(EN)],Tab_Def_Processes[TC?],,0,)</f>
        <v>#N/A</v>
      </c>
      <c r="G39" s="10" t="e">
        <f>_xlfn.XLOOKUP($D39,Tab_Def_Processes[Name(EN)],Tab_Def_Processes[Dyn_TC?],,0,)</f>
        <v>#N/A</v>
      </c>
      <c r="H39" s="10" t="e">
        <f>_xlfn.XLOOKUP($D39,Tab_Def_Processes[Name(EN)],Tab_Def_Processes[Stock?],,0,)</f>
        <v>#N/A</v>
      </c>
      <c r="I39" s="10" t="e">
        <f>_xlfn.XLOOKUP($D39,Tab_Def_Processes[Name(EN)],Tab_Def_Processes[Initial_Stock?],,0,)</f>
        <v>#N/A</v>
      </c>
      <c r="J39" s="10" t="e">
        <f>_xlfn.XLOOKUP($D39,Tab_Def_Processes[Name(EN)],Tab_Def_Processes[DSM?],,0,)</f>
        <v>#N/A</v>
      </c>
      <c r="K39" s="10" t="e">
        <f>_xlfn.XLOOKUP($D39,Tab_Def_Processes[Name(EN)],Tab_Def_Processes[FOMP?],,0,)</f>
        <v>#N/A</v>
      </c>
      <c r="L39" s="12"/>
      <c r="M39" s="10" t="e">
        <f>_xlfn.XLOOKUP($L39,Tab_DSM_Category_ID[Category ID],Tab_DSM_Category_ID[DSM Material],,0,)</f>
        <v>#N/A</v>
      </c>
      <c r="N39" s="12"/>
      <c r="O39" s="34"/>
      <c r="P39" s="12"/>
      <c r="Q39" s="12"/>
      <c r="R39" s="12"/>
    </row>
    <row r="40" spans="1:18" x14ac:dyDescent="0.25">
      <c r="A40" s="197" t="b">
        <v>0</v>
      </c>
      <c r="B40" s="10">
        <f t="shared" si="0"/>
        <v>39</v>
      </c>
      <c r="C40" s="10" t="e">
        <f>_xlfn.XLOOKUP($D40,Tab_Def_Processes[Name(EN)],Tab_Def_Processes[Process_ID],,0,)</f>
        <v>#N/A</v>
      </c>
      <c r="D40" s="12" t="s">
        <v>35</v>
      </c>
      <c r="E40" s="10" t="e">
        <f>_xlfn.XLOOKUP($D40,Tab_Def_Processes[Name(EN)],Tab_Def_Processes[Process_Type],,0,)</f>
        <v>#N/A</v>
      </c>
      <c r="F40" s="10" t="e">
        <f>_xlfn.XLOOKUP($D40,Tab_Def_Processes[Name(EN)],Tab_Def_Processes[TC?],,0,)</f>
        <v>#N/A</v>
      </c>
      <c r="G40" s="10" t="e">
        <f>_xlfn.XLOOKUP($D40,Tab_Def_Processes[Name(EN)],Tab_Def_Processes[Dyn_TC?],,0,)</f>
        <v>#N/A</v>
      </c>
      <c r="H40" s="10" t="e">
        <f>_xlfn.XLOOKUP($D40,Tab_Def_Processes[Name(EN)],Tab_Def_Processes[Stock?],,0,)</f>
        <v>#N/A</v>
      </c>
      <c r="I40" s="10" t="e">
        <f>_xlfn.XLOOKUP($D40,Tab_Def_Processes[Name(EN)],Tab_Def_Processes[Initial_Stock?],,0,)</f>
        <v>#N/A</v>
      </c>
      <c r="J40" s="10" t="e">
        <f>_xlfn.XLOOKUP($D40,Tab_Def_Processes[Name(EN)],Tab_Def_Processes[DSM?],,0,)</f>
        <v>#N/A</v>
      </c>
      <c r="K40" s="10" t="e">
        <f>_xlfn.XLOOKUP($D40,Tab_Def_Processes[Name(EN)],Tab_Def_Processes[FOMP?],,0,)</f>
        <v>#N/A</v>
      </c>
      <c r="L40" s="12"/>
      <c r="M40" s="10" t="e">
        <f>_xlfn.XLOOKUP($L40,Tab_DSM_Category_ID[Category ID],Tab_DSM_Category_ID[DSM Material],,0,)</f>
        <v>#N/A</v>
      </c>
      <c r="N40" s="12"/>
      <c r="O40" s="34"/>
      <c r="P40" s="12"/>
      <c r="Q40" s="12"/>
      <c r="R40" s="12"/>
    </row>
    <row r="41" spans="1:18" x14ac:dyDescent="0.25">
      <c r="A41" s="197" t="b">
        <v>0</v>
      </c>
      <c r="B41" s="10">
        <f t="shared" si="0"/>
        <v>40</v>
      </c>
      <c r="C41" s="10" t="e">
        <f>_xlfn.XLOOKUP($D41,Tab_Def_Processes[Name(EN)],Tab_Def_Processes[Process_ID],,0,)</f>
        <v>#N/A</v>
      </c>
      <c r="D41" s="12" t="s">
        <v>35</v>
      </c>
      <c r="E41" s="10" t="e">
        <f>_xlfn.XLOOKUP($D41,Tab_Def_Processes[Name(EN)],Tab_Def_Processes[Process_Type],,0,)</f>
        <v>#N/A</v>
      </c>
      <c r="F41" s="10" t="e">
        <f>_xlfn.XLOOKUP($D41,Tab_Def_Processes[Name(EN)],Tab_Def_Processes[TC?],,0,)</f>
        <v>#N/A</v>
      </c>
      <c r="G41" s="10" t="e">
        <f>_xlfn.XLOOKUP($D41,Tab_Def_Processes[Name(EN)],Tab_Def_Processes[Dyn_TC?],,0,)</f>
        <v>#N/A</v>
      </c>
      <c r="H41" s="10" t="e">
        <f>_xlfn.XLOOKUP($D41,Tab_Def_Processes[Name(EN)],Tab_Def_Processes[Stock?],,0,)</f>
        <v>#N/A</v>
      </c>
      <c r="I41" s="10" t="e">
        <f>_xlfn.XLOOKUP($D41,Tab_Def_Processes[Name(EN)],Tab_Def_Processes[Initial_Stock?],,0,)</f>
        <v>#N/A</v>
      </c>
      <c r="J41" s="10" t="e">
        <f>_xlfn.XLOOKUP($D41,Tab_Def_Processes[Name(EN)],Tab_Def_Processes[DSM?],,0,)</f>
        <v>#N/A</v>
      </c>
      <c r="K41" s="10" t="e">
        <f>_xlfn.XLOOKUP($D41,Tab_Def_Processes[Name(EN)],Tab_Def_Processes[FOMP?],,0,)</f>
        <v>#N/A</v>
      </c>
      <c r="L41" s="12"/>
      <c r="M41" s="10" t="e">
        <f>_xlfn.XLOOKUP($L41,Tab_DSM_Category_ID[Category ID],Tab_DSM_Category_ID[DSM Material],,0,)</f>
        <v>#N/A</v>
      </c>
      <c r="N41" s="12"/>
      <c r="O41" s="34"/>
      <c r="P41" s="12"/>
      <c r="Q41" s="12"/>
      <c r="R41" s="12"/>
    </row>
    <row r="42" spans="1:18" x14ac:dyDescent="0.25">
      <c r="A42" s="197" t="b">
        <v>0</v>
      </c>
      <c r="B42" s="10">
        <f t="shared" si="0"/>
        <v>41</v>
      </c>
      <c r="C42" s="10" t="e">
        <f>_xlfn.XLOOKUP($D42,Tab_Def_Processes[Name(EN)],Tab_Def_Processes[Process_ID],,0,)</f>
        <v>#N/A</v>
      </c>
      <c r="D42" s="12" t="s">
        <v>35</v>
      </c>
      <c r="E42" s="10" t="e">
        <f>_xlfn.XLOOKUP($D42,Tab_Def_Processes[Name(EN)],Tab_Def_Processes[Process_Type],,0,)</f>
        <v>#N/A</v>
      </c>
      <c r="F42" s="10" t="e">
        <f>_xlfn.XLOOKUP($D42,Tab_Def_Processes[Name(EN)],Tab_Def_Processes[TC?],,0,)</f>
        <v>#N/A</v>
      </c>
      <c r="G42" s="10" t="e">
        <f>_xlfn.XLOOKUP($D42,Tab_Def_Processes[Name(EN)],Tab_Def_Processes[Dyn_TC?],,0,)</f>
        <v>#N/A</v>
      </c>
      <c r="H42" s="10" t="e">
        <f>_xlfn.XLOOKUP($D42,Tab_Def_Processes[Name(EN)],Tab_Def_Processes[Stock?],,0,)</f>
        <v>#N/A</v>
      </c>
      <c r="I42" s="10" t="e">
        <f>_xlfn.XLOOKUP($D42,Tab_Def_Processes[Name(EN)],Tab_Def_Processes[Initial_Stock?],,0,)</f>
        <v>#N/A</v>
      </c>
      <c r="J42" s="10" t="e">
        <f>_xlfn.XLOOKUP($D42,Tab_Def_Processes[Name(EN)],Tab_Def_Processes[DSM?],,0,)</f>
        <v>#N/A</v>
      </c>
      <c r="K42" s="10" t="e">
        <f>_xlfn.XLOOKUP($D42,Tab_Def_Processes[Name(EN)],Tab_Def_Processes[FOMP?],,0,)</f>
        <v>#N/A</v>
      </c>
      <c r="L42" s="12"/>
      <c r="M42" s="10" t="e">
        <f>_xlfn.XLOOKUP($L42,Tab_DSM_Category_ID[Category ID],Tab_DSM_Category_ID[DSM Material],,0,)</f>
        <v>#N/A</v>
      </c>
      <c r="N42" s="12"/>
      <c r="O42" s="34"/>
      <c r="P42" s="12"/>
      <c r="Q42" s="12"/>
      <c r="R42" s="12"/>
    </row>
    <row r="43" spans="1:18" x14ac:dyDescent="0.25">
      <c r="A43" s="197" t="b">
        <v>0</v>
      </c>
      <c r="B43" s="10">
        <f t="shared" si="0"/>
        <v>42</v>
      </c>
      <c r="C43" s="10" t="e">
        <f>_xlfn.XLOOKUP($D43,Tab_Def_Processes[Name(EN)],Tab_Def_Processes[Process_ID],,0,)</f>
        <v>#N/A</v>
      </c>
      <c r="D43" s="12" t="s">
        <v>35</v>
      </c>
      <c r="E43" s="10" t="e">
        <f>_xlfn.XLOOKUP($D43,Tab_Def_Processes[Name(EN)],Tab_Def_Processes[Process_Type],,0,)</f>
        <v>#N/A</v>
      </c>
      <c r="F43" s="10" t="e">
        <f>_xlfn.XLOOKUP($D43,Tab_Def_Processes[Name(EN)],Tab_Def_Processes[TC?],,0,)</f>
        <v>#N/A</v>
      </c>
      <c r="G43" s="10" t="e">
        <f>_xlfn.XLOOKUP($D43,Tab_Def_Processes[Name(EN)],Tab_Def_Processes[Dyn_TC?],,0,)</f>
        <v>#N/A</v>
      </c>
      <c r="H43" s="10" t="e">
        <f>_xlfn.XLOOKUP($D43,Tab_Def_Processes[Name(EN)],Tab_Def_Processes[Stock?],,0,)</f>
        <v>#N/A</v>
      </c>
      <c r="I43" s="10" t="e">
        <f>_xlfn.XLOOKUP($D43,Tab_Def_Processes[Name(EN)],Tab_Def_Processes[Initial_Stock?],,0,)</f>
        <v>#N/A</v>
      </c>
      <c r="J43" s="10" t="e">
        <f>_xlfn.XLOOKUP($D43,Tab_Def_Processes[Name(EN)],Tab_Def_Processes[DSM?],,0,)</f>
        <v>#N/A</v>
      </c>
      <c r="K43" s="10" t="e">
        <f>_xlfn.XLOOKUP($D43,Tab_Def_Processes[Name(EN)],Tab_Def_Processes[FOMP?],,0,)</f>
        <v>#N/A</v>
      </c>
      <c r="L43" s="12"/>
      <c r="M43" s="10" t="e">
        <f>_xlfn.XLOOKUP($L43,Tab_DSM_Category_ID[Category ID],Tab_DSM_Category_ID[DSM Material],,0,)</f>
        <v>#N/A</v>
      </c>
      <c r="N43" s="12"/>
      <c r="O43" s="34"/>
      <c r="P43" s="12"/>
      <c r="Q43" s="12"/>
      <c r="R43" s="12"/>
    </row>
    <row r="44" spans="1:18" x14ac:dyDescent="0.25">
      <c r="A44" s="197" t="b">
        <v>0</v>
      </c>
      <c r="B44" s="10">
        <f t="shared" si="0"/>
        <v>43</v>
      </c>
      <c r="C44" s="10" t="e">
        <f>_xlfn.XLOOKUP($D44,Tab_Def_Processes[Name(EN)],Tab_Def_Processes[Process_ID],,0,)</f>
        <v>#N/A</v>
      </c>
      <c r="D44" s="12" t="s">
        <v>35</v>
      </c>
      <c r="E44" s="10" t="e">
        <f>_xlfn.XLOOKUP($D44,Tab_Def_Processes[Name(EN)],Tab_Def_Processes[Process_Type],,0,)</f>
        <v>#N/A</v>
      </c>
      <c r="F44" s="10" t="e">
        <f>_xlfn.XLOOKUP($D44,Tab_Def_Processes[Name(EN)],Tab_Def_Processes[TC?],,0,)</f>
        <v>#N/A</v>
      </c>
      <c r="G44" s="10" t="e">
        <f>_xlfn.XLOOKUP($D44,Tab_Def_Processes[Name(EN)],Tab_Def_Processes[Dyn_TC?],,0,)</f>
        <v>#N/A</v>
      </c>
      <c r="H44" s="10" t="e">
        <f>_xlfn.XLOOKUP($D44,Tab_Def_Processes[Name(EN)],Tab_Def_Processes[Stock?],,0,)</f>
        <v>#N/A</v>
      </c>
      <c r="I44" s="10" t="e">
        <f>_xlfn.XLOOKUP($D44,Tab_Def_Processes[Name(EN)],Tab_Def_Processes[Initial_Stock?],,0,)</f>
        <v>#N/A</v>
      </c>
      <c r="J44" s="10" t="e">
        <f>_xlfn.XLOOKUP($D44,Tab_Def_Processes[Name(EN)],Tab_Def_Processes[DSM?],,0,)</f>
        <v>#N/A</v>
      </c>
      <c r="K44" s="10" t="e">
        <f>_xlfn.XLOOKUP($D44,Tab_Def_Processes[Name(EN)],Tab_Def_Processes[FOMP?],,0,)</f>
        <v>#N/A</v>
      </c>
      <c r="L44" s="12"/>
      <c r="M44" s="10" t="e">
        <f>_xlfn.XLOOKUP($L44,Tab_DSM_Category_ID[Category ID],Tab_DSM_Category_ID[DSM Material],,0,)</f>
        <v>#N/A</v>
      </c>
      <c r="N44" s="12"/>
      <c r="O44" s="34"/>
      <c r="P44" s="12"/>
      <c r="Q44" s="12"/>
      <c r="R44" s="12"/>
    </row>
    <row r="45" spans="1:18" x14ac:dyDescent="0.25">
      <c r="A45" s="197" t="b">
        <v>0</v>
      </c>
      <c r="B45" s="10">
        <f t="shared" si="0"/>
        <v>44</v>
      </c>
      <c r="C45" s="10" t="e">
        <f>_xlfn.XLOOKUP($D45,Tab_Def_Processes[Name(EN)],Tab_Def_Processes[Process_ID],,0,)</f>
        <v>#N/A</v>
      </c>
      <c r="D45" s="12" t="s">
        <v>35</v>
      </c>
      <c r="E45" s="10" t="e">
        <f>_xlfn.XLOOKUP($D45,Tab_Def_Processes[Name(EN)],Tab_Def_Processes[Process_Type],,0,)</f>
        <v>#N/A</v>
      </c>
      <c r="F45" s="10" t="e">
        <f>_xlfn.XLOOKUP($D45,Tab_Def_Processes[Name(EN)],Tab_Def_Processes[TC?],,0,)</f>
        <v>#N/A</v>
      </c>
      <c r="G45" s="10" t="e">
        <f>_xlfn.XLOOKUP($D45,Tab_Def_Processes[Name(EN)],Tab_Def_Processes[Dyn_TC?],,0,)</f>
        <v>#N/A</v>
      </c>
      <c r="H45" s="10" t="e">
        <f>_xlfn.XLOOKUP($D45,Tab_Def_Processes[Name(EN)],Tab_Def_Processes[Stock?],,0,)</f>
        <v>#N/A</v>
      </c>
      <c r="I45" s="10" t="e">
        <f>_xlfn.XLOOKUP($D45,Tab_Def_Processes[Name(EN)],Tab_Def_Processes[Initial_Stock?],,0,)</f>
        <v>#N/A</v>
      </c>
      <c r="J45" s="10" t="e">
        <f>_xlfn.XLOOKUP($D45,Tab_Def_Processes[Name(EN)],Tab_Def_Processes[DSM?],,0,)</f>
        <v>#N/A</v>
      </c>
      <c r="K45" s="10" t="e">
        <f>_xlfn.XLOOKUP($D45,Tab_Def_Processes[Name(EN)],Tab_Def_Processes[FOMP?],,0,)</f>
        <v>#N/A</v>
      </c>
      <c r="L45" s="12"/>
      <c r="M45" s="10" t="e">
        <f>_xlfn.XLOOKUP($L45,Tab_DSM_Category_ID[Category ID],Tab_DSM_Category_ID[DSM Material],,0,)</f>
        <v>#N/A</v>
      </c>
      <c r="N45" s="12"/>
      <c r="O45" s="34"/>
      <c r="P45" s="12"/>
      <c r="Q45" s="12"/>
      <c r="R45" s="12"/>
    </row>
    <row r="46" spans="1:18" x14ac:dyDescent="0.25">
      <c r="A46" s="197" t="b">
        <v>0</v>
      </c>
      <c r="B46" s="10">
        <f t="shared" si="0"/>
        <v>45</v>
      </c>
      <c r="C46" s="10" t="e">
        <f>_xlfn.XLOOKUP($D46,Tab_Def_Processes[Name(EN)],Tab_Def_Processes[Process_ID],,0,)</f>
        <v>#N/A</v>
      </c>
      <c r="D46" s="12" t="s">
        <v>35</v>
      </c>
      <c r="E46" s="10" t="e">
        <f>_xlfn.XLOOKUP($D46,Tab_Def_Processes[Name(EN)],Tab_Def_Processes[Process_Type],,0,)</f>
        <v>#N/A</v>
      </c>
      <c r="F46" s="10" t="e">
        <f>_xlfn.XLOOKUP($D46,Tab_Def_Processes[Name(EN)],Tab_Def_Processes[TC?],,0,)</f>
        <v>#N/A</v>
      </c>
      <c r="G46" s="10" t="e">
        <f>_xlfn.XLOOKUP($D46,Tab_Def_Processes[Name(EN)],Tab_Def_Processes[Dyn_TC?],,0,)</f>
        <v>#N/A</v>
      </c>
      <c r="H46" s="10" t="e">
        <f>_xlfn.XLOOKUP($D46,Tab_Def_Processes[Name(EN)],Tab_Def_Processes[Stock?],,0,)</f>
        <v>#N/A</v>
      </c>
      <c r="I46" s="10" t="e">
        <f>_xlfn.XLOOKUP($D46,Tab_Def_Processes[Name(EN)],Tab_Def_Processes[Initial_Stock?],,0,)</f>
        <v>#N/A</v>
      </c>
      <c r="J46" s="10" t="e">
        <f>_xlfn.XLOOKUP($D46,Tab_Def_Processes[Name(EN)],Tab_Def_Processes[DSM?],,0,)</f>
        <v>#N/A</v>
      </c>
      <c r="K46" s="10" t="e">
        <f>_xlfn.XLOOKUP($D46,Tab_Def_Processes[Name(EN)],Tab_Def_Processes[FOMP?],,0,)</f>
        <v>#N/A</v>
      </c>
      <c r="L46" s="12"/>
      <c r="M46" s="10" t="e">
        <f>_xlfn.XLOOKUP($L46,Tab_DSM_Category_ID[Category ID],Tab_DSM_Category_ID[DSM Material],,0,)</f>
        <v>#N/A</v>
      </c>
      <c r="N46" s="12"/>
      <c r="O46" s="34"/>
      <c r="P46" s="12"/>
      <c r="Q46" s="12"/>
      <c r="R46" s="12"/>
    </row>
    <row r="47" spans="1:18" x14ac:dyDescent="0.25">
      <c r="A47" s="197" t="b">
        <v>0</v>
      </c>
      <c r="B47" s="10">
        <f t="shared" si="0"/>
        <v>46</v>
      </c>
      <c r="C47" s="10" t="e">
        <f>_xlfn.XLOOKUP($D47,Tab_Def_Processes[Name(EN)],Tab_Def_Processes[Process_ID],,0,)</f>
        <v>#N/A</v>
      </c>
      <c r="D47" s="12" t="s">
        <v>35</v>
      </c>
      <c r="E47" s="10" t="e">
        <f>_xlfn.XLOOKUP($D47,Tab_Def_Processes[Name(EN)],Tab_Def_Processes[Process_Type],,0,)</f>
        <v>#N/A</v>
      </c>
      <c r="F47" s="10" t="e">
        <f>_xlfn.XLOOKUP($D47,Tab_Def_Processes[Name(EN)],Tab_Def_Processes[TC?],,0,)</f>
        <v>#N/A</v>
      </c>
      <c r="G47" s="10" t="e">
        <f>_xlfn.XLOOKUP($D47,Tab_Def_Processes[Name(EN)],Tab_Def_Processes[Dyn_TC?],,0,)</f>
        <v>#N/A</v>
      </c>
      <c r="H47" s="10" t="e">
        <f>_xlfn.XLOOKUP($D47,Tab_Def_Processes[Name(EN)],Tab_Def_Processes[Stock?],,0,)</f>
        <v>#N/A</v>
      </c>
      <c r="I47" s="10" t="e">
        <f>_xlfn.XLOOKUP($D47,Tab_Def_Processes[Name(EN)],Tab_Def_Processes[Initial_Stock?],,0,)</f>
        <v>#N/A</v>
      </c>
      <c r="J47" s="10" t="e">
        <f>_xlfn.XLOOKUP($D47,Tab_Def_Processes[Name(EN)],Tab_Def_Processes[DSM?],,0,)</f>
        <v>#N/A</v>
      </c>
      <c r="K47" s="10" t="e">
        <f>_xlfn.XLOOKUP($D47,Tab_Def_Processes[Name(EN)],Tab_Def_Processes[FOMP?],,0,)</f>
        <v>#N/A</v>
      </c>
      <c r="L47" s="12"/>
      <c r="M47" s="10" t="e">
        <f>_xlfn.XLOOKUP($L47,Tab_DSM_Category_ID[Category ID],Tab_DSM_Category_ID[DSM Material],,0,)</f>
        <v>#N/A</v>
      </c>
      <c r="N47" s="12"/>
      <c r="O47" s="34"/>
      <c r="P47" s="12"/>
      <c r="Q47" s="12"/>
      <c r="R47" s="12"/>
    </row>
    <row r="48" spans="1:18" x14ac:dyDescent="0.25">
      <c r="A48" s="197" t="b">
        <v>0</v>
      </c>
      <c r="B48" s="10">
        <f t="shared" si="0"/>
        <v>47</v>
      </c>
      <c r="C48" s="10" t="e">
        <f>_xlfn.XLOOKUP($D48,Tab_Def_Processes[Name(EN)],Tab_Def_Processes[Process_ID],,0,)</f>
        <v>#N/A</v>
      </c>
      <c r="D48" s="12" t="s">
        <v>35</v>
      </c>
      <c r="E48" s="10" t="e">
        <f>_xlfn.XLOOKUP($D48,Tab_Def_Processes[Name(EN)],Tab_Def_Processes[Process_Type],,0,)</f>
        <v>#N/A</v>
      </c>
      <c r="F48" s="10" t="e">
        <f>_xlfn.XLOOKUP($D48,Tab_Def_Processes[Name(EN)],Tab_Def_Processes[TC?],,0,)</f>
        <v>#N/A</v>
      </c>
      <c r="G48" s="10" t="e">
        <f>_xlfn.XLOOKUP($D48,Tab_Def_Processes[Name(EN)],Tab_Def_Processes[Dyn_TC?],,0,)</f>
        <v>#N/A</v>
      </c>
      <c r="H48" s="10" t="e">
        <f>_xlfn.XLOOKUP($D48,Tab_Def_Processes[Name(EN)],Tab_Def_Processes[Stock?],,0,)</f>
        <v>#N/A</v>
      </c>
      <c r="I48" s="10" t="e">
        <f>_xlfn.XLOOKUP($D48,Tab_Def_Processes[Name(EN)],Tab_Def_Processes[Initial_Stock?],,0,)</f>
        <v>#N/A</v>
      </c>
      <c r="J48" s="10" t="e">
        <f>_xlfn.XLOOKUP($D48,Tab_Def_Processes[Name(EN)],Tab_Def_Processes[DSM?],,0,)</f>
        <v>#N/A</v>
      </c>
      <c r="K48" s="10" t="e">
        <f>_xlfn.XLOOKUP($D48,Tab_Def_Processes[Name(EN)],Tab_Def_Processes[FOMP?],,0,)</f>
        <v>#N/A</v>
      </c>
      <c r="L48" s="12"/>
      <c r="M48" s="10" t="e">
        <f>_xlfn.XLOOKUP($L48,Tab_DSM_Category_ID[Category ID],Tab_DSM_Category_ID[DSM Material],,0,)</f>
        <v>#N/A</v>
      </c>
      <c r="N48" s="12"/>
      <c r="O48" s="34"/>
      <c r="P48" s="12"/>
      <c r="Q48" s="12"/>
      <c r="R48" s="12"/>
    </row>
    <row r="49" spans="1:18" x14ac:dyDescent="0.25">
      <c r="A49" s="197" t="b">
        <v>0</v>
      </c>
      <c r="B49" s="10">
        <f t="shared" si="0"/>
        <v>48</v>
      </c>
      <c r="C49" s="10" t="e">
        <f>_xlfn.XLOOKUP($D49,Tab_Def_Processes[Name(EN)],Tab_Def_Processes[Process_ID],,0,)</f>
        <v>#N/A</v>
      </c>
      <c r="D49" s="12" t="s">
        <v>35</v>
      </c>
      <c r="E49" s="10" t="e">
        <f>_xlfn.XLOOKUP($D49,Tab_Def_Processes[Name(EN)],Tab_Def_Processes[Process_Type],,0,)</f>
        <v>#N/A</v>
      </c>
      <c r="F49" s="10" t="e">
        <f>_xlfn.XLOOKUP($D49,Tab_Def_Processes[Name(EN)],Tab_Def_Processes[TC?],,0,)</f>
        <v>#N/A</v>
      </c>
      <c r="G49" s="10" t="e">
        <f>_xlfn.XLOOKUP($D49,Tab_Def_Processes[Name(EN)],Tab_Def_Processes[Dyn_TC?],,0,)</f>
        <v>#N/A</v>
      </c>
      <c r="H49" s="10" t="e">
        <f>_xlfn.XLOOKUP($D49,Tab_Def_Processes[Name(EN)],Tab_Def_Processes[Stock?],,0,)</f>
        <v>#N/A</v>
      </c>
      <c r="I49" s="10" t="e">
        <f>_xlfn.XLOOKUP($D49,Tab_Def_Processes[Name(EN)],Tab_Def_Processes[Initial_Stock?],,0,)</f>
        <v>#N/A</v>
      </c>
      <c r="J49" s="10" t="e">
        <f>_xlfn.XLOOKUP($D49,Tab_Def_Processes[Name(EN)],Tab_Def_Processes[DSM?],,0,)</f>
        <v>#N/A</v>
      </c>
      <c r="K49" s="10" t="e">
        <f>_xlfn.XLOOKUP($D49,Tab_Def_Processes[Name(EN)],Tab_Def_Processes[FOMP?],,0,)</f>
        <v>#N/A</v>
      </c>
      <c r="L49" s="12"/>
      <c r="M49" s="10" t="e">
        <f>_xlfn.XLOOKUP($L49,Tab_DSM_Category_ID[Category ID],Tab_DSM_Category_ID[DSM Material],,0,)</f>
        <v>#N/A</v>
      </c>
      <c r="N49" s="12"/>
      <c r="O49" s="34"/>
      <c r="P49" s="12"/>
      <c r="Q49" s="12"/>
      <c r="R49" s="12"/>
    </row>
    <row r="50" spans="1:18" x14ac:dyDescent="0.25">
      <c r="A50" s="197" t="b">
        <v>0</v>
      </c>
      <c r="B50" s="10">
        <f t="shared" si="0"/>
        <v>49</v>
      </c>
      <c r="C50" s="10" t="e">
        <f>_xlfn.XLOOKUP($D50,Tab_Def_Processes[Name(EN)],Tab_Def_Processes[Process_ID],,0,)</f>
        <v>#N/A</v>
      </c>
      <c r="D50" s="12" t="s">
        <v>35</v>
      </c>
      <c r="E50" s="10" t="e">
        <f>_xlfn.XLOOKUP($D50,Tab_Def_Processes[Name(EN)],Tab_Def_Processes[Process_Type],,0,)</f>
        <v>#N/A</v>
      </c>
      <c r="F50" s="10" t="e">
        <f>_xlfn.XLOOKUP($D50,Tab_Def_Processes[Name(EN)],Tab_Def_Processes[TC?],,0,)</f>
        <v>#N/A</v>
      </c>
      <c r="G50" s="10" t="e">
        <f>_xlfn.XLOOKUP($D50,Tab_Def_Processes[Name(EN)],Tab_Def_Processes[Dyn_TC?],,0,)</f>
        <v>#N/A</v>
      </c>
      <c r="H50" s="10" t="e">
        <f>_xlfn.XLOOKUP($D50,Tab_Def_Processes[Name(EN)],Tab_Def_Processes[Stock?],,0,)</f>
        <v>#N/A</v>
      </c>
      <c r="I50" s="10" t="e">
        <f>_xlfn.XLOOKUP($D50,Tab_Def_Processes[Name(EN)],Tab_Def_Processes[Initial_Stock?],,0,)</f>
        <v>#N/A</v>
      </c>
      <c r="J50" s="10" t="e">
        <f>_xlfn.XLOOKUP($D50,Tab_Def_Processes[Name(EN)],Tab_Def_Processes[DSM?],,0,)</f>
        <v>#N/A</v>
      </c>
      <c r="K50" s="10" t="e">
        <f>_xlfn.XLOOKUP($D50,Tab_Def_Processes[Name(EN)],Tab_Def_Processes[FOMP?],,0,)</f>
        <v>#N/A</v>
      </c>
      <c r="L50" s="12"/>
      <c r="M50" s="10" t="e">
        <f>_xlfn.XLOOKUP($L50,Tab_DSM_Category_ID[Category ID],Tab_DSM_Category_ID[DSM Material],,0,)</f>
        <v>#N/A</v>
      </c>
      <c r="N50" s="12"/>
      <c r="O50" s="34"/>
      <c r="P50" s="12"/>
      <c r="Q50" s="12"/>
      <c r="R50" s="12"/>
    </row>
    <row r="51" spans="1:18" x14ac:dyDescent="0.25">
      <c r="A51" s="197" t="b">
        <v>0</v>
      </c>
      <c r="B51" s="188">
        <f t="shared" si="0"/>
        <v>50</v>
      </c>
      <c r="C51" s="188" t="e">
        <f>_xlfn.XLOOKUP($D51,Tab_Def_Processes[Name(EN)],Tab_Def_Processes[Process_ID],,0,)</f>
        <v>#N/A</v>
      </c>
      <c r="D51" s="189" t="s">
        <v>35</v>
      </c>
      <c r="E51" s="188" t="e">
        <f>_xlfn.XLOOKUP($D51,Tab_Def_Processes[Name(EN)],Tab_Def_Processes[Process_Type],,0,)</f>
        <v>#N/A</v>
      </c>
      <c r="F51" s="188" t="e">
        <f>_xlfn.XLOOKUP($D51,Tab_Def_Processes[Name(EN)],Tab_Def_Processes[TC?],,0,)</f>
        <v>#N/A</v>
      </c>
      <c r="G51" s="188" t="e">
        <f>_xlfn.XLOOKUP($D51,Tab_Def_Processes[Name(EN)],Tab_Def_Processes[Dyn_TC?],,0,)</f>
        <v>#N/A</v>
      </c>
      <c r="H51" s="188" t="e">
        <f>_xlfn.XLOOKUP($D51,Tab_Def_Processes[Name(EN)],Tab_Def_Processes[Stock?],,0,)</f>
        <v>#N/A</v>
      </c>
      <c r="I51" s="188" t="e">
        <f>_xlfn.XLOOKUP($D51,Tab_Def_Processes[Name(EN)],Tab_Def_Processes[Initial_Stock?],,0,)</f>
        <v>#N/A</v>
      </c>
      <c r="J51" s="10" t="e">
        <f>_xlfn.XLOOKUP($D51,Tab_Def_Processes[Name(EN)],Tab_Def_Processes[DSM?],,0,)</f>
        <v>#N/A</v>
      </c>
      <c r="K51" s="10" t="e">
        <f>_xlfn.XLOOKUP($D51,Tab_Def_Processes[Name(EN)],Tab_Def_Processes[FOMP?],,0,)</f>
        <v>#N/A</v>
      </c>
      <c r="L51" s="12"/>
      <c r="M51" s="10" t="e">
        <f>_xlfn.XLOOKUP($L51,Tab_DSM_Category_ID[Category ID],Tab_DSM_Category_ID[DSM Material],,0,)</f>
        <v>#N/A</v>
      </c>
      <c r="N51" s="12"/>
      <c r="O51" s="34"/>
      <c r="P51" s="12"/>
      <c r="Q51" s="12"/>
      <c r="R51" s="12"/>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7C64758-9186-4877-A39E-CC127801CBC0}">
          <x14:formula1>
            <xm:f>'2_1_Definition_Processes'!$D$2:$D$58</xm:f>
          </x14:formula1>
          <xm:sqref>D2:D51</xm:sqref>
        </x14:dataValidation>
        <x14:dataValidation type="list" allowBlank="1" showInputMessage="1" showErrorMessage="1" xr:uid="{1653412F-0539-4D2D-8B3E-2984797C491B}">
          <x14:formula1>
            <xm:f>'4_1 Codelists'!$B$18:$B$21</xm:f>
          </x14:formula1>
          <xm:sqref>P2:P51</xm:sqref>
        </x14:dataValidation>
        <x14:dataValidation type="list" allowBlank="1" showInputMessage="1" showErrorMessage="1" xr:uid="{DB5C4C30-63C0-409A-8D78-A488D7F1055C}">
          <x14:formula1>
            <xm:f>'4_1 Codelists'!$A$25:$A$33</xm:f>
          </x14:formula1>
          <xm:sqref>L2:L51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U63"/>
  <sheetViews>
    <sheetView topLeftCell="J1" zoomScaleNormal="100" workbookViewId="0">
      <selection activeCell="L12" sqref="L1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17" customWidth="1"/>
    <col min="16" max="16" width="25.42578125" customWidth="1"/>
    <col min="17" max="19" width="22.28515625" customWidth="1"/>
    <col min="20" max="20" width="24.42578125" customWidth="1"/>
    <col min="21" max="21" width="30.85546875" customWidth="1"/>
  </cols>
  <sheetData>
    <row r="1" spans="1:21" x14ac:dyDescent="0.25">
      <c r="A1" s="196" t="s">
        <v>88</v>
      </c>
      <c r="B1" s="196" t="s">
        <v>32</v>
      </c>
      <c r="C1" s="196" t="s">
        <v>89</v>
      </c>
      <c r="D1" s="196" t="s">
        <v>62</v>
      </c>
      <c r="E1" s="196" t="s">
        <v>90</v>
      </c>
      <c r="F1" s="196" t="s">
        <v>121</v>
      </c>
      <c r="G1" s="196" t="s">
        <v>65</v>
      </c>
      <c r="H1" s="196" t="s">
        <v>284</v>
      </c>
      <c r="I1" s="196" t="s">
        <v>92</v>
      </c>
      <c r="J1" s="196" t="s">
        <v>311</v>
      </c>
      <c r="K1" s="196" t="s">
        <v>312</v>
      </c>
      <c r="L1" s="196" t="s">
        <v>2</v>
      </c>
      <c r="M1" s="196" t="s">
        <v>313</v>
      </c>
      <c r="N1" s="196" t="s">
        <v>314</v>
      </c>
      <c r="O1" s="196" t="s">
        <v>315</v>
      </c>
      <c r="P1" s="196" t="s">
        <v>473</v>
      </c>
      <c r="Q1" s="196" t="s">
        <v>472</v>
      </c>
      <c r="R1" s="196" t="s">
        <v>471</v>
      </c>
      <c r="S1" s="196" t="s">
        <v>41</v>
      </c>
      <c r="T1" s="196" t="s">
        <v>469</v>
      </c>
      <c r="U1" s="196" t="s">
        <v>470</v>
      </c>
    </row>
    <row r="2" spans="1:21" x14ac:dyDescent="0.25">
      <c r="A2" s="197" t="b">
        <v>1</v>
      </c>
      <c r="B2" s="10">
        <f t="shared" ref="B2:B33" si="0">ROW()-1</f>
        <v>1</v>
      </c>
      <c r="C2" s="10" t="str">
        <f>"S"&amp;"_"&amp;LEFT(D2,2)</f>
        <v>S_09</v>
      </c>
      <c r="D2" s="10" t="str">
        <f>_xlfn.XLOOKUP($E2,Tab_Def_Processes[Name(EN)],Tab_Def_Processes[Process_ID],,0,)</f>
        <v>09</v>
      </c>
      <c r="E2" s="12" t="s">
        <v>395</v>
      </c>
      <c r="F2" s="10" t="str">
        <f>_xlfn.XLOOKUP($E2,Tab_Def_Processes[Name(EN)],Tab_Def_Processes[Process_Type],,0,)</f>
        <v>Process</v>
      </c>
      <c r="G2" s="10" t="str">
        <f>_xlfn.XLOOKUP($E2,Tab_Def_Processes[Name(EN)],Tab_Def_Processes[TC?],,0,)</f>
        <v>Yes</v>
      </c>
      <c r="H2" s="10" t="str">
        <f>_xlfn.XLOOKUP($E2,Tab_Def_Processes[Name(EN)],Tab_Def_Processes[Dyn_TC?],,0,)</f>
        <v>No</v>
      </c>
      <c r="I2" s="10" t="str">
        <f>_xlfn.XLOOKUP($E2,Tab_Def_Processes[Name(EN)],Tab_Def_Processes[Stock?],,0,)</f>
        <v>Yes</v>
      </c>
      <c r="J2" s="10" t="str">
        <f>_xlfn.XLOOKUP($E2,Tab_Def_Processes[Name(EN)],Tab_Def_Processes[Initial_Stock?],,0,)</f>
        <v>Yes</v>
      </c>
      <c r="K2" s="190">
        <v>10</v>
      </c>
      <c r="L2" s="12" t="s">
        <v>283</v>
      </c>
      <c r="M2" s="34">
        <v>0</v>
      </c>
      <c r="N2" s="34">
        <v>1</v>
      </c>
      <c r="O2" s="34">
        <v>0.5</v>
      </c>
      <c r="P2" s="184" t="s">
        <v>196</v>
      </c>
      <c r="Q2" s="10" t="str">
        <f>_xlfn.XLOOKUP($P2,Tab_Def_Processes[Name(EN)],Tab_Def_Processes[Process_ID],,0,)</f>
        <v>00</v>
      </c>
      <c r="R2" s="12" t="s">
        <v>400</v>
      </c>
      <c r="S2" s="10" t="str">
        <f>_xlfn.XLOOKUP(R2,Tab_Def_Flows[Name(EN)],Tab_Def_Flows[Flow_ID],,0,)</f>
        <v>F_09_00</v>
      </c>
      <c r="T2" s="12" t="str">
        <f>"STC_"&amp;Tab_Process_Stock[[#This Row],[Process_ID]]&amp;"_"&amp;Tab_Process_Stock[[#This Row],[Destination_Process]]</f>
        <v>STC_09_00</v>
      </c>
      <c r="U2" s="209">
        <v>0.1</v>
      </c>
    </row>
    <row r="3" spans="1:21" x14ac:dyDescent="0.25">
      <c r="A3" s="197" t="b">
        <v>1</v>
      </c>
      <c r="B3" s="10">
        <f t="shared" si="0"/>
        <v>2</v>
      </c>
      <c r="C3" s="10" t="e">
        <f t="shared" ref="C3:C63" si="1">"S"&amp;"_"&amp;LEFT(D3,2)</f>
        <v>#N/A</v>
      </c>
      <c r="D3" s="10" t="e">
        <f>_xlfn.XLOOKUP($E3,Tab_Def_Processes[Name(EN)],Tab_Def_Processes[Process_ID],,0,)</f>
        <v>#N/A</v>
      </c>
      <c r="E3" s="12" t="s">
        <v>35</v>
      </c>
      <c r="F3" s="10" t="e">
        <f>_xlfn.XLOOKUP($E3,Tab_Def_Processes[Name(EN)],Tab_Def_Processes[Process_Type],,0,)</f>
        <v>#N/A</v>
      </c>
      <c r="G3" s="10" t="e">
        <f>_xlfn.XLOOKUP($E3,Tab_Def_Processes[Name(EN)],Tab_Def_Processes[TC?],,0,)</f>
        <v>#N/A</v>
      </c>
      <c r="H3" s="10" t="e">
        <f>_xlfn.XLOOKUP($E3,Tab_Def_Processes[Name(EN)],Tab_Def_Processes[Dyn_TC?],,0,)</f>
        <v>#N/A</v>
      </c>
      <c r="I3" s="10" t="e">
        <f>_xlfn.XLOOKUP($E3,Tab_Def_Processes[Name(EN)],Tab_Def_Processes[Stock?],,0,)</f>
        <v>#N/A</v>
      </c>
      <c r="J3" s="10" t="e">
        <f>_xlfn.XLOOKUP($E3,Tab_Def_Processes[Name(EN)],Tab_Def_Processes[Initial_Stock?],,0,)</f>
        <v>#N/A</v>
      </c>
      <c r="K3" s="190"/>
      <c r="L3" s="12"/>
      <c r="M3" s="34"/>
      <c r="N3" s="34"/>
      <c r="O3" s="34"/>
      <c r="P3" s="184"/>
      <c r="Q3" s="10"/>
      <c r="R3" s="12"/>
      <c r="S3" s="10"/>
      <c r="T3" s="12"/>
      <c r="U3" s="209"/>
    </row>
    <row r="4" spans="1:21" x14ac:dyDescent="0.25">
      <c r="A4" s="197" t="b">
        <v>0</v>
      </c>
      <c r="B4" s="10">
        <f t="shared" si="0"/>
        <v>3</v>
      </c>
      <c r="C4" s="10" t="e">
        <f t="shared" si="1"/>
        <v>#N/A</v>
      </c>
      <c r="D4" s="10" t="e">
        <f>_xlfn.XLOOKUP($E4,Tab_Def_Processes[Name(EN)],Tab_Def_Processes[Process_ID],,0,)</f>
        <v>#N/A</v>
      </c>
      <c r="E4" s="12" t="s">
        <v>35</v>
      </c>
      <c r="F4" s="10" t="e">
        <f>_xlfn.XLOOKUP($E4,Tab_Def_Processes[Name(EN)],Tab_Def_Processes[Process_Type],,0,)</f>
        <v>#N/A</v>
      </c>
      <c r="G4" s="10" t="e">
        <f>_xlfn.XLOOKUP($E4,Tab_Def_Processes[Name(EN)],Tab_Def_Processes[TC?],,0,)</f>
        <v>#N/A</v>
      </c>
      <c r="H4" s="10" t="e">
        <f>_xlfn.XLOOKUP($E4,Tab_Def_Processes[Name(EN)],Tab_Def_Processes[Dyn_TC?],,0,)</f>
        <v>#N/A</v>
      </c>
      <c r="I4" s="10" t="e">
        <f>_xlfn.XLOOKUP($E4,Tab_Def_Processes[Name(EN)],Tab_Def_Processes[Stock?],,0,)</f>
        <v>#N/A</v>
      </c>
      <c r="J4" s="10" t="e">
        <f>_xlfn.XLOOKUP($E4,Tab_Def_Processes[Name(EN)],Tab_Def_Processes[Initial_Stock?],,0,)</f>
        <v>#N/A</v>
      </c>
      <c r="K4" s="190"/>
      <c r="L4" s="12"/>
      <c r="M4" s="34"/>
      <c r="N4" s="34"/>
      <c r="O4" s="34"/>
      <c r="P4" s="184"/>
      <c r="Q4" s="10"/>
      <c r="R4" s="12"/>
      <c r="S4" s="10"/>
      <c r="T4" s="12"/>
      <c r="U4" s="209"/>
    </row>
    <row r="5" spans="1:21" x14ac:dyDescent="0.25">
      <c r="A5" s="197" t="b">
        <v>0</v>
      </c>
      <c r="B5" s="10">
        <f t="shared" si="0"/>
        <v>4</v>
      </c>
      <c r="C5" s="10" t="e">
        <f t="shared" si="1"/>
        <v>#N/A</v>
      </c>
      <c r="D5" s="10" t="e">
        <f>_xlfn.XLOOKUP($E5,Tab_Def_Processes[Name(EN)],Tab_Def_Processes[Process_ID],,0,)</f>
        <v>#N/A</v>
      </c>
      <c r="E5" s="12" t="s">
        <v>35</v>
      </c>
      <c r="F5" s="10" t="e">
        <f>_xlfn.XLOOKUP($E5,Tab_Def_Processes[Name(EN)],Tab_Def_Processes[Process_Type],,0,)</f>
        <v>#N/A</v>
      </c>
      <c r="G5" s="10" t="e">
        <f>_xlfn.XLOOKUP($E5,Tab_Def_Processes[Name(EN)],Tab_Def_Processes[TC?],,0,)</f>
        <v>#N/A</v>
      </c>
      <c r="H5" s="10" t="e">
        <f>_xlfn.XLOOKUP($E5,Tab_Def_Processes[Name(EN)],Tab_Def_Processes[Dyn_TC?],,0,)</f>
        <v>#N/A</v>
      </c>
      <c r="I5" s="10" t="e">
        <f>_xlfn.XLOOKUP($E5,Tab_Def_Processes[Name(EN)],Tab_Def_Processes[Stock?],,0,)</f>
        <v>#N/A</v>
      </c>
      <c r="J5" s="10" t="e">
        <f>_xlfn.XLOOKUP($E5,Tab_Def_Processes[Name(EN)],Tab_Def_Processes[Initial_Stock?],,0,)</f>
        <v>#N/A</v>
      </c>
      <c r="K5" s="191"/>
      <c r="L5" s="12"/>
      <c r="M5" s="34"/>
      <c r="N5" s="34"/>
      <c r="O5" s="34"/>
      <c r="P5" s="184"/>
      <c r="Q5" s="10"/>
      <c r="R5" s="12"/>
      <c r="S5" s="10"/>
      <c r="T5" s="12"/>
      <c r="U5" s="209"/>
    </row>
    <row r="6" spans="1:21" x14ac:dyDescent="0.25">
      <c r="A6" s="197" t="b">
        <v>0</v>
      </c>
      <c r="B6" s="10">
        <f t="shared" si="0"/>
        <v>5</v>
      </c>
      <c r="C6" s="10" t="e">
        <f t="shared" si="1"/>
        <v>#N/A</v>
      </c>
      <c r="D6" s="10" t="e">
        <f>_xlfn.XLOOKUP($E6,Tab_Def_Processes[Name(EN)],Tab_Def_Processes[Process_ID],,0,)</f>
        <v>#N/A</v>
      </c>
      <c r="E6" s="12" t="s">
        <v>35</v>
      </c>
      <c r="F6" s="10" t="e">
        <f>_xlfn.XLOOKUP($E6,Tab_Def_Processes[Name(EN)],Tab_Def_Processes[Process_Type],,0,)</f>
        <v>#N/A</v>
      </c>
      <c r="G6" s="10" t="e">
        <f>_xlfn.XLOOKUP($E6,Tab_Def_Processes[Name(EN)],Tab_Def_Processes[TC?],,0,)</f>
        <v>#N/A</v>
      </c>
      <c r="H6" s="10" t="e">
        <f>_xlfn.XLOOKUP($E6,Tab_Def_Processes[Name(EN)],Tab_Def_Processes[Dyn_TC?],,0,)</f>
        <v>#N/A</v>
      </c>
      <c r="I6" s="10" t="e">
        <f>_xlfn.XLOOKUP($E6,Tab_Def_Processes[Name(EN)],Tab_Def_Processes[Stock?],,0,)</f>
        <v>#N/A</v>
      </c>
      <c r="J6" s="10" t="e">
        <f>_xlfn.XLOOKUP($E6,Tab_Def_Processes[Name(EN)],Tab_Def_Processes[Initial_Stock?],,0,)</f>
        <v>#N/A</v>
      </c>
      <c r="K6" s="190"/>
      <c r="L6" s="12"/>
      <c r="M6" s="12"/>
      <c r="N6" s="12"/>
      <c r="O6" s="12"/>
      <c r="P6" s="12"/>
      <c r="Q6" s="10"/>
      <c r="R6" s="12"/>
      <c r="S6" s="10"/>
      <c r="T6" s="12"/>
      <c r="U6" s="209"/>
    </row>
    <row r="7" spans="1:21" x14ac:dyDescent="0.25">
      <c r="A7" s="197" t="b">
        <v>0</v>
      </c>
      <c r="B7" s="10">
        <f t="shared" si="0"/>
        <v>6</v>
      </c>
      <c r="C7" s="10" t="e">
        <f t="shared" si="1"/>
        <v>#N/A</v>
      </c>
      <c r="D7" s="10" t="e">
        <f>_xlfn.XLOOKUP($E7,Tab_Def_Processes[Name(EN)],Tab_Def_Processes[Process_ID],,0,)</f>
        <v>#N/A</v>
      </c>
      <c r="E7" s="12" t="s">
        <v>35</v>
      </c>
      <c r="F7" s="10" t="e">
        <f>_xlfn.XLOOKUP($E7,Tab_Def_Processes[Name(EN)],Tab_Def_Processes[Process_Type],,0,)</f>
        <v>#N/A</v>
      </c>
      <c r="G7" s="10" t="e">
        <f>_xlfn.XLOOKUP($E7,Tab_Def_Processes[Name(EN)],Tab_Def_Processes[TC?],,0,)</f>
        <v>#N/A</v>
      </c>
      <c r="H7" s="10" t="e">
        <f>_xlfn.XLOOKUP($E7,Tab_Def_Processes[Name(EN)],Tab_Def_Processes[Dyn_TC?],,0,)</f>
        <v>#N/A</v>
      </c>
      <c r="I7" s="10" t="e">
        <f>_xlfn.XLOOKUP($E7,Tab_Def_Processes[Name(EN)],Tab_Def_Processes[Stock?],,0,)</f>
        <v>#N/A</v>
      </c>
      <c r="J7" s="10" t="e">
        <f>_xlfn.XLOOKUP($E7,Tab_Def_Processes[Name(EN)],Tab_Def_Processes[Initial_Stock?],,0,)</f>
        <v>#N/A</v>
      </c>
      <c r="K7" s="190"/>
      <c r="L7" s="12"/>
      <c r="M7" s="12"/>
      <c r="N7" s="12"/>
      <c r="O7" s="12"/>
      <c r="P7" s="12"/>
      <c r="Q7" s="10"/>
      <c r="R7" s="12"/>
      <c r="S7" s="10"/>
      <c r="T7" s="12"/>
      <c r="U7" s="209"/>
    </row>
    <row r="8" spans="1:21" x14ac:dyDescent="0.25">
      <c r="A8" s="197" t="b">
        <v>0</v>
      </c>
      <c r="B8" s="10">
        <f t="shared" si="0"/>
        <v>7</v>
      </c>
      <c r="C8" s="10" t="e">
        <f t="shared" si="1"/>
        <v>#N/A</v>
      </c>
      <c r="D8" s="10" t="e">
        <f>_xlfn.XLOOKUP($E8,Tab_Def_Processes[Name(EN)],Tab_Def_Processes[Process_ID],,0,)</f>
        <v>#N/A</v>
      </c>
      <c r="E8" s="12" t="s">
        <v>35</v>
      </c>
      <c r="F8" s="10" t="e">
        <f>_xlfn.XLOOKUP($E8,Tab_Def_Processes[Name(EN)],Tab_Def_Processes[Process_Type],,0,)</f>
        <v>#N/A</v>
      </c>
      <c r="G8" s="10" t="e">
        <f>_xlfn.XLOOKUP($E8,Tab_Def_Processes[Name(EN)],Tab_Def_Processes[TC?],,0,)</f>
        <v>#N/A</v>
      </c>
      <c r="H8" s="10" t="e">
        <f>_xlfn.XLOOKUP($E8,Tab_Def_Processes[Name(EN)],Tab_Def_Processes[Dyn_TC?],,0,)</f>
        <v>#N/A</v>
      </c>
      <c r="I8" s="10" t="e">
        <f>_xlfn.XLOOKUP($E8,Tab_Def_Processes[Name(EN)],Tab_Def_Processes[Stock?],,0,)</f>
        <v>#N/A</v>
      </c>
      <c r="J8" s="10" t="e">
        <f>_xlfn.XLOOKUP($E8,Tab_Def_Processes[Name(EN)],Tab_Def_Processes[Initial_Stock?],,0,)</f>
        <v>#N/A</v>
      </c>
      <c r="K8" s="190"/>
      <c r="L8" s="12"/>
      <c r="M8" s="12"/>
      <c r="N8" s="12"/>
      <c r="O8" s="12"/>
      <c r="P8" s="12"/>
      <c r="Q8" s="10"/>
      <c r="R8" s="12"/>
      <c r="S8" s="10"/>
      <c r="T8" s="12"/>
      <c r="U8" s="209"/>
    </row>
    <row r="9" spans="1:21" x14ac:dyDescent="0.25">
      <c r="A9" s="197" t="b">
        <v>0</v>
      </c>
      <c r="B9" s="10">
        <f t="shared" si="0"/>
        <v>8</v>
      </c>
      <c r="C9" s="10" t="e">
        <f t="shared" si="1"/>
        <v>#N/A</v>
      </c>
      <c r="D9" s="10" t="e">
        <f>_xlfn.XLOOKUP($E9,Tab_Def_Processes[Name(EN)],Tab_Def_Processes[Process_ID],,0,)</f>
        <v>#N/A</v>
      </c>
      <c r="E9" s="12" t="s">
        <v>35</v>
      </c>
      <c r="F9" s="10" t="e">
        <f>_xlfn.XLOOKUP($E9,Tab_Def_Processes[Name(EN)],Tab_Def_Processes[Process_Type],,0,)</f>
        <v>#N/A</v>
      </c>
      <c r="G9" s="10" t="e">
        <f>_xlfn.XLOOKUP($E9,Tab_Def_Processes[Name(EN)],Tab_Def_Processes[TC?],,0,)</f>
        <v>#N/A</v>
      </c>
      <c r="H9" s="10" t="e">
        <f>_xlfn.XLOOKUP($E9,Tab_Def_Processes[Name(EN)],Tab_Def_Processes[Dyn_TC?],,0,)</f>
        <v>#N/A</v>
      </c>
      <c r="I9" s="10" t="e">
        <f>_xlfn.XLOOKUP($E9,Tab_Def_Processes[Name(EN)],Tab_Def_Processes[Stock?],,0,)</f>
        <v>#N/A</v>
      </c>
      <c r="J9" s="10" t="e">
        <f>_xlfn.XLOOKUP($E9,Tab_Def_Processes[Name(EN)],Tab_Def_Processes[Initial_Stock?],,0,)</f>
        <v>#N/A</v>
      </c>
      <c r="K9" s="190"/>
      <c r="L9" s="12"/>
      <c r="M9" s="12"/>
      <c r="N9" s="12"/>
      <c r="O9" s="12"/>
      <c r="P9" s="12"/>
      <c r="Q9" s="10"/>
      <c r="R9" s="12"/>
      <c r="S9" s="10"/>
      <c r="T9" s="12"/>
      <c r="U9" s="209"/>
    </row>
    <row r="10" spans="1:21" x14ac:dyDescent="0.25">
      <c r="A10" s="197" t="b">
        <v>0</v>
      </c>
      <c r="B10" s="10">
        <f t="shared" si="0"/>
        <v>9</v>
      </c>
      <c r="C10" s="10" t="e">
        <f t="shared" si="1"/>
        <v>#N/A</v>
      </c>
      <c r="D10" s="10" t="e">
        <f>_xlfn.XLOOKUP($E10,Tab_Def_Processes[Name(EN)],Tab_Def_Processes[Process_ID],,0,)</f>
        <v>#N/A</v>
      </c>
      <c r="E10" s="12" t="s">
        <v>35</v>
      </c>
      <c r="F10" s="10" t="e">
        <f>_xlfn.XLOOKUP($E10,Tab_Def_Processes[Name(EN)],Tab_Def_Processes[Process_Type],,0,)</f>
        <v>#N/A</v>
      </c>
      <c r="G10" s="10" t="e">
        <f>_xlfn.XLOOKUP($E10,Tab_Def_Processes[Name(EN)],Tab_Def_Processes[TC?],,0,)</f>
        <v>#N/A</v>
      </c>
      <c r="H10" s="10" t="e">
        <f>_xlfn.XLOOKUP($E10,Tab_Def_Processes[Name(EN)],Tab_Def_Processes[Dyn_TC?],,0,)</f>
        <v>#N/A</v>
      </c>
      <c r="I10" s="10" t="e">
        <f>_xlfn.XLOOKUP($E10,Tab_Def_Processes[Name(EN)],Tab_Def_Processes[Stock?],,0,)</f>
        <v>#N/A</v>
      </c>
      <c r="J10" s="10" t="e">
        <f>_xlfn.XLOOKUP($E10,Tab_Def_Processes[Name(EN)],Tab_Def_Processes[Initial_Stock?],,0,)</f>
        <v>#N/A</v>
      </c>
      <c r="K10" s="190"/>
      <c r="L10" s="12"/>
      <c r="M10" s="12"/>
      <c r="N10" s="12"/>
      <c r="O10" s="12"/>
      <c r="P10" s="12"/>
      <c r="Q10" s="10"/>
      <c r="R10" s="12"/>
      <c r="S10" s="10"/>
      <c r="T10" s="12"/>
      <c r="U10" s="209"/>
    </row>
    <row r="11" spans="1:21" x14ac:dyDescent="0.25">
      <c r="A11" s="197" t="b">
        <v>0</v>
      </c>
      <c r="B11" s="10">
        <f t="shared" si="0"/>
        <v>10</v>
      </c>
      <c r="C11" s="10" t="e">
        <f t="shared" si="1"/>
        <v>#N/A</v>
      </c>
      <c r="D11" s="10" t="e">
        <f>_xlfn.XLOOKUP($E11,Tab_Def_Processes[Name(EN)],Tab_Def_Processes[Process_ID],,0,)</f>
        <v>#N/A</v>
      </c>
      <c r="E11" s="12" t="s">
        <v>35</v>
      </c>
      <c r="F11" s="10" t="e">
        <f>_xlfn.XLOOKUP($E11,Tab_Def_Processes[Name(EN)],Tab_Def_Processes[Process_Type],,0,)</f>
        <v>#N/A</v>
      </c>
      <c r="G11" s="10" t="e">
        <f>_xlfn.XLOOKUP($E11,Tab_Def_Processes[Name(EN)],Tab_Def_Processes[TC?],,0,)</f>
        <v>#N/A</v>
      </c>
      <c r="H11" s="10" t="e">
        <f>_xlfn.XLOOKUP($E11,Tab_Def_Processes[Name(EN)],Tab_Def_Processes[Dyn_TC?],,0,)</f>
        <v>#N/A</v>
      </c>
      <c r="I11" s="10" t="e">
        <f>_xlfn.XLOOKUP($E11,Tab_Def_Processes[Name(EN)],Tab_Def_Processes[Stock?],,0,)</f>
        <v>#N/A</v>
      </c>
      <c r="J11" s="10" t="e">
        <f>_xlfn.XLOOKUP($E11,Tab_Def_Processes[Name(EN)],Tab_Def_Processes[Initial_Stock?],,0,)</f>
        <v>#N/A</v>
      </c>
      <c r="K11" s="190"/>
      <c r="L11" s="12"/>
      <c r="M11" s="12"/>
      <c r="N11" s="12"/>
      <c r="O11" s="12"/>
      <c r="P11" s="12"/>
      <c r="Q11" s="10"/>
      <c r="R11" s="12"/>
      <c r="S11" s="10"/>
      <c r="T11" s="12"/>
      <c r="U11" s="209"/>
    </row>
    <row r="12" spans="1:21" x14ac:dyDescent="0.25">
      <c r="A12" s="197" t="b">
        <v>0</v>
      </c>
      <c r="B12" s="10">
        <f t="shared" si="0"/>
        <v>11</v>
      </c>
      <c r="C12" s="10" t="e">
        <f t="shared" si="1"/>
        <v>#N/A</v>
      </c>
      <c r="D12" s="10" t="e">
        <f>_xlfn.XLOOKUP($E12,Tab_Def_Processes[Name(EN)],Tab_Def_Processes[Process_ID],,0,)</f>
        <v>#N/A</v>
      </c>
      <c r="E12" s="12" t="s">
        <v>35</v>
      </c>
      <c r="F12" s="10" t="e">
        <f>_xlfn.XLOOKUP($E12,Tab_Def_Processes[Name(EN)],Tab_Def_Processes[Process_Type],,0,)</f>
        <v>#N/A</v>
      </c>
      <c r="G12" s="10" t="e">
        <f>_xlfn.XLOOKUP($E12,Tab_Def_Processes[Name(EN)],Tab_Def_Processes[TC?],,0,)</f>
        <v>#N/A</v>
      </c>
      <c r="H12" s="10" t="e">
        <f>_xlfn.XLOOKUP($E12,Tab_Def_Processes[Name(EN)],Tab_Def_Processes[Dyn_TC?],,0,)</f>
        <v>#N/A</v>
      </c>
      <c r="I12" s="10" t="e">
        <f>_xlfn.XLOOKUP($E12,Tab_Def_Processes[Name(EN)],Tab_Def_Processes[Stock?],,0,)</f>
        <v>#N/A</v>
      </c>
      <c r="J12" s="10" t="e">
        <f>_xlfn.XLOOKUP($E12,Tab_Def_Processes[Name(EN)],Tab_Def_Processes[Initial_Stock?],,0,)</f>
        <v>#N/A</v>
      </c>
      <c r="K12" s="190"/>
      <c r="L12" s="12"/>
      <c r="M12" s="12"/>
      <c r="N12" s="12"/>
      <c r="O12" s="12"/>
      <c r="P12" s="12"/>
      <c r="Q12" s="10"/>
      <c r="R12" s="12"/>
      <c r="S12" s="10"/>
      <c r="T12" s="12"/>
      <c r="U12" s="209"/>
    </row>
    <row r="13" spans="1:21" x14ac:dyDescent="0.25">
      <c r="A13" s="197" t="b">
        <v>0</v>
      </c>
      <c r="B13" s="10">
        <f t="shared" si="0"/>
        <v>12</v>
      </c>
      <c r="C13" s="10" t="e">
        <f t="shared" si="1"/>
        <v>#N/A</v>
      </c>
      <c r="D13" s="10" t="e">
        <f>_xlfn.XLOOKUP($E13,Tab_Def_Processes[Name(EN)],Tab_Def_Processes[Process_ID],,0,)</f>
        <v>#N/A</v>
      </c>
      <c r="E13" s="12" t="s">
        <v>35</v>
      </c>
      <c r="F13" s="10" t="e">
        <f>_xlfn.XLOOKUP($E13,Tab_Def_Processes[Name(EN)],Tab_Def_Processes[Process_Type],,0,)</f>
        <v>#N/A</v>
      </c>
      <c r="G13" s="10" t="e">
        <f>_xlfn.XLOOKUP($E13,Tab_Def_Processes[Name(EN)],Tab_Def_Processes[TC?],,0,)</f>
        <v>#N/A</v>
      </c>
      <c r="H13" s="10" t="e">
        <f>_xlfn.XLOOKUP($E13,Tab_Def_Processes[Name(EN)],Tab_Def_Processes[Dyn_TC?],,0,)</f>
        <v>#N/A</v>
      </c>
      <c r="I13" s="10" t="e">
        <f>_xlfn.XLOOKUP($E13,Tab_Def_Processes[Name(EN)],Tab_Def_Processes[Stock?],,0,)</f>
        <v>#N/A</v>
      </c>
      <c r="J13" s="10" t="e">
        <f>_xlfn.XLOOKUP($E13,Tab_Def_Processes[Name(EN)],Tab_Def_Processes[Initial_Stock?],,0,)</f>
        <v>#N/A</v>
      </c>
      <c r="K13" s="190"/>
      <c r="L13" s="12"/>
      <c r="M13" s="12"/>
      <c r="N13" s="12"/>
      <c r="O13" s="12"/>
      <c r="P13" s="12"/>
      <c r="Q13" s="10"/>
      <c r="R13" s="12"/>
      <c r="S13" s="10"/>
      <c r="T13" s="12"/>
      <c r="U13" s="209"/>
    </row>
    <row r="14" spans="1:21" x14ac:dyDescent="0.25">
      <c r="A14" s="197" t="b">
        <v>0</v>
      </c>
      <c r="B14" s="10">
        <f t="shared" si="0"/>
        <v>13</v>
      </c>
      <c r="C14" s="10" t="e">
        <f t="shared" si="1"/>
        <v>#N/A</v>
      </c>
      <c r="D14" s="10" t="e">
        <f>_xlfn.XLOOKUP($E14,Tab_Def_Processes[Name(EN)],Tab_Def_Processes[Process_ID],,0,)</f>
        <v>#N/A</v>
      </c>
      <c r="E14" s="12" t="s">
        <v>35</v>
      </c>
      <c r="F14" s="10" t="e">
        <f>_xlfn.XLOOKUP($E14,Tab_Def_Processes[Name(EN)],Tab_Def_Processes[Process_Type],,0,)</f>
        <v>#N/A</v>
      </c>
      <c r="G14" s="10" t="e">
        <f>_xlfn.XLOOKUP($E14,Tab_Def_Processes[Name(EN)],Tab_Def_Processes[TC?],,0,)</f>
        <v>#N/A</v>
      </c>
      <c r="H14" s="10" t="e">
        <f>_xlfn.XLOOKUP($E14,Tab_Def_Processes[Name(EN)],Tab_Def_Processes[Dyn_TC?],,0,)</f>
        <v>#N/A</v>
      </c>
      <c r="I14" s="10" t="e">
        <f>_xlfn.XLOOKUP($E14,Tab_Def_Processes[Name(EN)],Tab_Def_Processes[Stock?],,0,)</f>
        <v>#N/A</v>
      </c>
      <c r="J14" s="10" t="e">
        <f>_xlfn.XLOOKUP($E14,Tab_Def_Processes[Name(EN)],Tab_Def_Processes[Initial_Stock?],,0,)</f>
        <v>#N/A</v>
      </c>
      <c r="K14" s="190"/>
      <c r="L14" s="12"/>
      <c r="M14" s="12"/>
      <c r="N14" s="12"/>
      <c r="O14" s="12"/>
      <c r="P14" s="12"/>
      <c r="Q14" s="10"/>
      <c r="R14" s="12"/>
      <c r="S14" s="10"/>
      <c r="T14" s="12"/>
      <c r="U14" s="209"/>
    </row>
    <row r="15" spans="1:21" x14ac:dyDescent="0.25">
      <c r="A15" s="197" t="b">
        <v>0</v>
      </c>
      <c r="B15" s="10">
        <f t="shared" si="0"/>
        <v>14</v>
      </c>
      <c r="C15" s="10" t="e">
        <f t="shared" si="1"/>
        <v>#N/A</v>
      </c>
      <c r="D15" s="10" t="e">
        <f>_xlfn.XLOOKUP($E15,Tab_Def_Processes[Name(EN)],Tab_Def_Processes[Process_ID],,0,)</f>
        <v>#N/A</v>
      </c>
      <c r="E15" s="12" t="s">
        <v>35</v>
      </c>
      <c r="F15" s="10" t="e">
        <f>_xlfn.XLOOKUP($E15,Tab_Def_Processes[Name(EN)],Tab_Def_Processes[Process_Type],,0,)</f>
        <v>#N/A</v>
      </c>
      <c r="G15" s="10" t="e">
        <f>_xlfn.XLOOKUP($E15,Tab_Def_Processes[Name(EN)],Tab_Def_Processes[TC?],,0,)</f>
        <v>#N/A</v>
      </c>
      <c r="H15" s="10" t="e">
        <f>_xlfn.XLOOKUP($E15,Tab_Def_Processes[Name(EN)],Tab_Def_Processes[Dyn_TC?],,0,)</f>
        <v>#N/A</v>
      </c>
      <c r="I15" s="10" t="e">
        <f>_xlfn.XLOOKUP($E15,Tab_Def_Processes[Name(EN)],Tab_Def_Processes[Stock?],,0,)</f>
        <v>#N/A</v>
      </c>
      <c r="J15" s="10" t="e">
        <f>_xlfn.XLOOKUP($E15,Tab_Def_Processes[Name(EN)],Tab_Def_Processes[Initial_Stock?],,0,)</f>
        <v>#N/A</v>
      </c>
      <c r="K15" s="190"/>
      <c r="L15" s="12"/>
      <c r="M15" s="12"/>
      <c r="N15" s="12"/>
      <c r="O15" s="12"/>
      <c r="P15" s="12"/>
      <c r="Q15" s="10"/>
      <c r="R15" s="12"/>
      <c r="S15" s="10"/>
      <c r="T15" s="12"/>
      <c r="U15" s="209"/>
    </row>
    <row r="16" spans="1:21" x14ac:dyDescent="0.25">
      <c r="A16" s="197" t="b">
        <v>0</v>
      </c>
      <c r="B16" s="10">
        <f t="shared" si="0"/>
        <v>15</v>
      </c>
      <c r="C16" s="10" t="e">
        <f t="shared" si="1"/>
        <v>#N/A</v>
      </c>
      <c r="D16" s="10" t="e">
        <f>_xlfn.XLOOKUP($E16,Tab_Def_Processes[Name(EN)],Tab_Def_Processes[Process_ID],,0,)</f>
        <v>#N/A</v>
      </c>
      <c r="E16" s="12" t="s">
        <v>35</v>
      </c>
      <c r="F16" s="10" t="e">
        <f>_xlfn.XLOOKUP($E16,Tab_Def_Processes[Name(EN)],Tab_Def_Processes[Process_Type],,0,)</f>
        <v>#N/A</v>
      </c>
      <c r="G16" s="10" t="e">
        <f>_xlfn.XLOOKUP($E16,Tab_Def_Processes[Name(EN)],Tab_Def_Processes[TC?],,0,)</f>
        <v>#N/A</v>
      </c>
      <c r="H16" s="10" t="e">
        <f>_xlfn.XLOOKUP($E16,Tab_Def_Processes[Name(EN)],Tab_Def_Processes[Dyn_TC?],,0,)</f>
        <v>#N/A</v>
      </c>
      <c r="I16" s="10" t="e">
        <f>_xlfn.XLOOKUP($E16,Tab_Def_Processes[Name(EN)],Tab_Def_Processes[Stock?],,0,)</f>
        <v>#N/A</v>
      </c>
      <c r="J16" s="10" t="e">
        <f>_xlfn.XLOOKUP($E16,Tab_Def_Processes[Name(EN)],Tab_Def_Processes[Initial_Stock?],,0,)</f>
        <v>#N/A</v>
      </c>
      <c r="K16" s="190"/>
      <c r="L16" s="12"/>
      <c r="M16" s="12"/>
      <c r="N16" s="12"/>
      <c r="O16" s="12"/>
      <c r="P16" s="12"/>
      <c r="Q16" s="10"/>
      <c r="R16" s="12"/>
      <c r="S16" s="10"/>
      <c r="T16" s="12"/>
      <c r="U16" s="209"/>
    </row>
    <row r="17" spans="1:21" x14ac:dyDescent="0.25">
      <c r="A17" s="197" t="b">
        <v>0</v>
      </c>
      <c r="B17" s="10">
        <f t="shared" si="0"/>
        <v>16</v>
      </c>
      <c r="C17" s="10" t="e">
        <f t="shared" si="1"/>
        <v>#N/A</v>
      </c>
      <c r="D17" s="10" t="e">
        <f>_xlfn.XLOOKUP($E17,Tab_Def_Processes[Name(EN)],Tab_Def_Processes[Process_ID],,0,)</f>
        <v>#N/A</v>
      </c>
      <c r="E17" s="12" t="s">
        <v>35</v>
      </c>
      <c r="F17" s="10" t="e">
        <f>_xlfn.XLOOKUP($E17,Tab_Def_Processes[Name(EN)],Tab_Def_Processes[Process_Type],,0,)</f>
        <v>#N/A</v>
      </c>
      <c r="G17" s="10" t="e">
        <f>_xlfn.XLOOKUP($E17,Tab_Def_Processes[Name(EN)],Tab_Def_Processes[TC?],,0,)</f>
        <v>#N/A</v>
      </c>
      <c r="H17" s="10" t="e">
        <f>_xlfn.XLOOKUP($E17,Tab_Def_Processes[Name(EN)],Tab_Def_Processes[Dyn_TC?],,0,)</f>
        <v>#N/A</v>
      </c>
      <c r="I17" s="10" t="e">
        <f>_xlfn.XLOOKUP($E17,Tab_Def_Processes[Name(EN)],Tab_Def_Processes[Stock?],,0,)</f>
        <v>#N/A</v>
      </c>
      <c r="J17" s="10" t="e">
        <f>_xlfn.XLOOKUP($E17,Tab_Def_Processes[Name(EN)],Tab_Def_Processes[Initial_Stock?],,0,)</f>
        <v>#N/A</v>
      </c>
      <c r="K17" s="190"/>
      <c r="L17" s="12"/>
      <c r="M17" s="12"/>
      <c r="N17" s="12"/>
      <c r="O17" s="12"/>
      <c r="P17" s="12"/>
      <c r="Q17" s="10"/>
      <c r="R17" s="12"/>
      <c r="S17" s="10"/>
      <c r="T17" s="12"/>
      <c r="U17" s="209"/>
    </row>
    <row r="18" spans="1:21" x14ac:dyDescent="0.25">
      <c r="A18" s="197" t="b">
        <v>0</v>
      </c>
      <c r="B18" s="10">
        <f t="shared" si="0"/>
        <v>17</v>
      </c>
      <c r="C18" s="10" t="e">
        <f t="shared" si="1"/>
        <v>#N/A</v>
      </c>
      <c r="D18" s="10" t="e">
        <f>_xlfn.XLOOKUP($E18,Tab_Def_Processes[Name(EN)],Tab_Def_Processes[Process_ID],,0,)</f>
        <v>#N/A</v>
      </c>
      <c r="E18" s="12" t="s">
        <v>35</v>
      </c>
      <c r="F18" s="10" t="e">
        <f>_xlfn.XLOOKUP($E18,Tab_Def_Processes[Name(EN)],Tab_Def_Processes[Process_Type],,0,)</f>
        <v>#N/A</v>
      </c>
      <c r="G18" s="10" t="e">
        <f>_xlfn.XLOOKUP($E18,Tab_Def_Processes[Name(EN)],Tab_Def_Processes[TC?],,0,)</f>
        <v>#N/A</v>
      </c>
      <c r="H18" s="10" t="e">
        <f>_xlfn.XLOOKUP($E18,Tab_Def_Processes[Name(EN)],Tab_Def_Processes[Dyn_TC?],,0,)</f>
        <v>#N/A</v>
      </c>
      <c r="I18" s="10" t="e">
        <f>_xlfn.XLOOKUP($E18,Tab_Def_Processes[Name(EN)],Tab_Def_Processes[Stock?],,0,)</f>
        <v>#N/A</v>
      </c>
      <c r="J18" s="10" t="e">
        <f>_xlfn.XLOOKUP($E18,Tab_Def_Processes[Name(EN)],Tab_Def_Processes[Initial_Stock?],,0,)</f>
        <v>#N/A</v>
      </c>
      <c r="K18" s="190"/>
      <c r="L18" s="12"/>
      <c r="M18" s="12"/>
      <c r="N18" s="12"/>
      <c r="O18" s="12"/>
      <c r="P18" s="12"/>
      <c r="Q18" s="10"/>
      <c r="R18" s="12"/>
      <c r="S18" s="10"/>
      <c r="T18" s="12"/>
      <c r="U18" s="209"/>
    </row>
    <row r="19" spans="1:21" x14ac:dyDescent="0.25">
      <c r="A19" s="197" t="b">
        <v>0</v>
      </c>
      <c r="B19" s="10">
        <f t="shared" si="0"/>
        <v>18</v>
      </c>
      <c r="C19" s="10" t="e">
        <f t="shared" si="1"/>
        <v>#N/A</v>
      </c>
      <c r="D19" s="10" t="e">
        <f>_xlfn.XLOOKUP($E19,Tab_Def_Processes[Name(EN)],Tab_Def_Processes[Process_ID],,0,)</f>
        <v>#N/A</v>
      </c>
      <c r="E19" s="12" t="s">
        <v>35</v>
      </c>
      <c r="F19" s="10" t="e">
        <f>_xlfn.XLOOKUP($E19,Tab_Def_Processes[Name(EN)],Tab_Def_Processes[Process_Type],,0,)</f>
        <v>#N/A</v>
      </c>
      <c r="G19" s="10" t="e">
        <f>_xlfn.XLOOKUP($E19,Tab_Def_Processes[Name(EN)],Tab_Def_Processes[TC?],,0,)</f>
        <v>#N/A</v>
      </c>
      <c r="H19" s="10" t="e">
        <f>_xlfn.XLOOKUP($E19,Tab_Def_Processes[Name(EN)],Tab_Def_Processes[Dyn_TC?],,0,)</f>
        <v>#N/A</v>
      </c>
      <c r="I19" s="10" t="e">
        <f>_xlfn.XLOOKUP($E19,Tab_Def_Processes[Name(EN)],Tab_Def_Processes[Stock?],,0,)</f>
        <v>#N/A</v>
      </c>
      <c r="J19" s="10" t="e">
        <f>_xlfn.XLOOKUP($E19,Tab_Def_Processes[Name(EN)],Tab_Def_Processes[Initial_Stock?],,0,)</f>
        <v>#N/A</v>
      </c>
      <c r="K19" s="190"/>
      <c r="L19" s="12"/>
      <c r="M19" s="12"/>
      <c r="N19" s="12"/>
      <c r="O19" s="12"/>
      <c r="P19" s="12"/>
      <c r="Q19" s="10"/>
      <c r="R19" s="12"/>
      <c r="S19" s="10"/>
      <c r="T19" s="12"/>
      <c r="U19" s="209"/>
    </row>
    <row r="20" spans="1:21" x14ac:dyDescent="0.25">
      <c r="A20" s="197" t="b">
        <v>0</v>
      </c>
      <c r="B20" s="10">
        <f t="shared" si="0"/>
        <v>19</v>
      </c>
      <c r="C20" s="10" t="e">
        <f t="shared" si="1"/>
        <v>#N/A</v>
      </c>
      <c r="D20" s="10" t="e">
        <f>_xlfn.XLOOKUP($E20,Tab_Def_Processes[Name(EN)],Tab_Def_Processes[Process_ID],,0,)</f>
        <v>#N/A</v>
      </c>
      <c r="E20" s="12" t="s">
        <v>35</v>
      </c>
      <c r="F20" s="10" t="e">
        <f>_xlfn.XLOOKUP($E20,Tab_Def_Processes[Name(EN)],Tab_Def_Processes[Process_Type],,0,)</f>
        <v>#N/A</v>
      </c>
      <c r="G20" s="10" t="e">
        <f>_xlfn.XLOOKUP($E20,Tab_Def_Processes[Name(EN)],Tab_Def_Processes[TC?],,0,)</f>
        <v>#N/A</v>
      </c>
      <c r="H20" s="10" t="e">
        <f>_xlfn.XLOOKUP($E20,Tab_Def_Processes[Name(EN)],Tab_Def_Processes[Dyn_TC?],,0,)</f>
        <v>#N/A</v>
      </c>
      <c r="I20" s="10" t="e">
        <f>_xlfn.XLOOKUP($E20,Tab_Def_Processes[Name(EN)],Tab_Def_Processes[Stock?],,0,)</f>
        <v>#N/A</v>
      </c>
      <c r="J20" s="10" t="e">
        <f>_xlfn.XLOOKUP($E20,Tab_Def_Processes[Name(EN)],Tab_Def_Processes[Initial_Stock?],,0,)</f>
        <v>#N/A</v>
      </c>
      <c r="K20" s="190"/>
      <c r="L20" s="12"/>
      <c r="M20" s="12"/>
      <c r="N20" s="12"/>
      <c r="O20" s="12"/>
      <c r="P20" s="12"/>
      <c r="Q20" s="10"/>
      <c r="R20" s="12"/>
      <c r="S20" s="10"/>
      <c r="T20" s="12"/>
      <c r="U20" s="209"/>
    </row>
    <row r="21" spans="1:21" x14ac:dyDescent="0.25">
      <c r="A21" s="197" t="b">
        <v>0</v>
      </c>
      <c r="B21" s="10">
        <f t="shared" si="0"/>
        <v>20</v>
      </c>
      <c r="C21" s="10" t="e">
        <f t="shared" si="1"/>
        <v>#N/A</v>
      </c>
      <c r="D21" s="10" t="e">
        <f>_xlfn.XLOOKUP($E21,Tab_Def_Processes[Name(EN)],Tab_Def_Processes[Process_ID],,0,)</f>
        <v>#N/A</v>
      </c>
      <c r="E21" s="12" t="s">
        <v>35</v>
      </c>
      <c r="F21" s="10" t="e">
        <f>_xlfn.XLOOKUP($E21,Tab_Def_Processes[Name(EN)],Tab_Def_Processes[Process_Type],,0,)</f>
        <v>#N/A</v>
      </c>
      <c r="G21" s="10" t="e">
        <f>_xlfn.XLOOKUP($E21,Tab_Def_Processes[Name(EN)],Tab_Def_Processes[TC?],,0,)</f>
        <v>#N/A</v>
      </c>
      <c r="H21" s="10" t="e">
        <f>_xlfn.XLOOKUP($E21,Tab_Def_Processes[Name(EN)],Tab_Def_Processes[Dyn_TC?],,0,)</f>
        <v>#N/A</v>
      </c>
      <c r="I21" s="10" t="e">
        <f>_xlfn.XLOOKUP($E21,Tab_Def_Processes[Name(EN)],Tab_Def_Processes[Stock?],,0,)</f>
        <v>#N/A</v>
      </c>
      <c r="J21" s="10" t="e">
        <f>_xlfn.XLOOKUP($E21,Tab_Def_Processes[Name(EN)],Tab_Def_Processes[Initial_Stock?],,0,)</f>
        <v>#N/A</v>
      </c>
      <c r="K21" s="190"/>
      <c r="L21" s="12"/>
      <c r="M21" s="12"/>
      <c r="N21" s="12"/>
      <c r="O21" s="12"/>
      <c r="P21" s="12"/>
      <c r="Q21" s="10"/>
      <c r="R21" s="12"/>
      <c r="S21" s="10"/>
      <c r="T21" s="12"/>
      <c r="U21" s="209"/>
    </row>
    <row r="22" spans="1:21" x14ac:dyDescent="0.25">
      <c r="A22" s="197" t="b">
        <v>0</v>
      </c>
      <c r="B22" s="10">
        <f t="shared" si="0"/>
        <v>21</v>
      </c>
      <c r="C22" s="10" t="e">
        <f t="shared" si="1"/>
        <v>#N/A</v>
      </c>
      <c r="D22" s="10" t="e">
        <f>_xlfn.XLOOKUP($E22,Tab_Def_Processes[Name(EN)],Tab_Def_Processes[Process_ID],,0,)</f>
        <v>#N/A</v>
      </c>
      <c r="E22" s="12" t="s">
        <v>35</v>
      </c>
      <c r="F22" s="10" t="e">
        <f>_xlfn.XLOOKUP($E22,Tab_Def_Processes[Name(EN)],Tab_Def_Processes[Process_Type],,0,)</f>
        <v>#N/A</v>
      </c>
      <c r="G22" s="10" t="e">
        <f>_xlfn.XLOOKUP($E22,Tab_Def_Processes[Name(EN)],Tab_Def_Processes[TC?],,0,)</f>
        <v>#N/A</v>
      </c>
      <c r="H22" s="10" t="e">
        <f>_xlfn.XLOOKUP($E22,Tab_Def_Processes[Name(EN)],Tab_Def_Processes[Dyn_TC?],,0,)</f>
        <v>#N/A</v>
      </c>
      <c r="I22" s="10" t="e">
        <f>_xlfn.XLOOKUP($E22,Tab_Def_Processes[Name(EN)],Tab_Def_Processes[Stock?],,0,)</f>
        <v>#N/A</v>
      </c>
      <c r="J22" s="10" t="e">
        <f>_xlfn.XLOOKUP($E22,Tab_Def_Processes[Name(EN)],Tab_Def_Processes[Initial_Stock?],,0,)</f>
        <v>#N/A</v>
      </c>
      <c r="K22" s="190"/>
      <c r="L22" s="12"/>
      <c r="M22" s="12"/>
      <c r="N22" s="12"/>
      <c r="O22" s="12"/>
      <c r="P22" s="12"/>
      <c r="Q22" s="10"/>
      <c r="R22" s="12"/>
      <c r="S22" s="10"/>
      <c r="T22" s="12"/>
      <c r="U22" s="209"/>
    </row>
    <row r="23" spans="1:21" x14ac:dyDescent="0.25">
      <c r="A23" s="197" t="b">
        <v>0</v>
      </c>
      <c r="B23" s="10">
        <f t="shared" si="0"/>
        <v>22</v>
      </c>
      <c r="C23" s="10" t="e">
        <f t="shared" si="1"/>
        <v>#N/A</v>
      </c>
      <c r="D23" s="10" t="e">
        <f>_xlfn.XLOOKUP($E23,Tab_Def_Processes[Name(EN)],Tab_Def_Processes[Process_ID],,0,)</f>
        <v>#N/A</v>
      </c>
      <c r="E23" s="12" t="s">
        <v>35</v>
      </c>
      <c r="F23" s="10" t="e">
        <f>_xlfn.XLOOKUP($E23,Tab_Def_Processes[Name(EN)],Tab_Def_Processes[Process_Type],,0,)</f>
        <v>#N/A</v>
      </c>
      <c r="G23" s="10" t="e">
        <f>_xlfn.XLOOKUP($E23,Tab_Def_Processes[Name(EN)],Tab_Def_Processes[TC?],,0,)</f>
        <v>#N/A</v>
      </c>
      <c r="H23" s="10" t="e">
        <f>_xlfn.XLOOKUP($E23,Tab_Def_Processes[Name(EN)],Tab_Def_Processes[Dyn_TC?],,0,)</f>
        <v>#N/A</v>
      </c>
      <c r="I23" s="10" t="e">
        <f>_xlfn.XLOOKUP($E23,Tab_Def_Processes[Name(EN)],Tab_Def_Processes[Stock?],,0,)</f>
        <v>#N/A</v>
      </c>
      <c r="J23" s="10" t="e">
        <f>_xlfn.XLOOKUP($E23,Tab_Def_Processes[Name(EN)],Tab_Def_Processes[Initial_Stock?],,0,)</f>
        <v>#N/A</v>
      </c>
      <c r="K23" s="190"/>
      <c r="L23" s="12"/>
      <c r="M23" s="12"/>
      <c r="N23" s="12"/>
      <c r="O23" s="12"/>
      <c r="P23" s="12"/>
      <c r="Q23" s="10"/>
      <c r="R23" s="12"/>
      <c r="S23" s="10"/>
      <c r="T23" s="12"/>
      <c r="U23" s="209"/>
    </row>
    <row r="24" spans="1:21" x14ac:dyDescent="0.25">
      <c r="A24" s="197" t="b">
        <v>0</v>
      </c>
      <c r="B24" s="10">
        <f t="shared" si="0"/>
        <v>23</v>
      </c>
      <c r="C24" s="10" t="e">
        <f t="shared" si="1"/>
        <v>#N/A</v>
      </c>
      <c r="D24" s="10" t="e">
        <f>_xlfn.XLOOKUP($E24,Tab_Def_Processes[Name(EN)],Tab_Def_Processes[Process_ID],,0,)</f>
        <v>#N/A</v>
      </c>
      <c r="E24" s="12" t="s">
        <v>35</v>
      </c>
      <c r="F24" s="10" t="e">
        <f>_xlfn.XLOOKUP($E24,Tab_Def_Processes[Name(EN)],Tab_Def_Processes[Process_Type],,0,)</f>
        <v>#N/A</v>
      </c>
      <c r="G24" s="10" t="e">
        <f>_xlfn.XLOOKUP($E24,Tab_Def_Processes[Name(EN)],Tab_Def_Processes[TC?],,0,)</f>
        <v>#N/A</v>
      </c>
      <c r="H24" s="10" t="e">
        <f>_xlfn.XLOOKUP($E24,Tab_Def_Processes[Name(EN)],Tab_Def_Processes[Dyn_TC?],,0,)</f>
        <v>#N/A</v>
      </c>
      <c r="I24" s="10" t="e">
        <f>_xlfn.XLOOKUP($E24,Tab_Def_Processes[Name(EN)],Tab_Def_Processes[Stock?],,0,)</f>
        <v>#N/A</v>
      </c>
      <c r="J24" s="10" t="e">
        <f>_xlfn.XLOOKUP($E24,Tab_Def_Processes[Name(EN)],Tab_Def_Processes[Initial_Stock?],,0,)</f>
        <v>#N/A</v>
      </c>
      <c r="K24" s="190"/>
      <c r="L24" s="12"/>
      <c r="M24" s="12"/>
      <c r="N24" s="12"/>
      <c r="O24" s="12"/>
      <c r="P24" s="12"/>
      <c r="Q24" s="10"/>
      <c r="R24" s="12"/>
      <c r="S24" s="10"/>
      <c r="T24" s="12"/>
      <c r="U24" s="209"/>
    </row>
    <row r="25" spans="1:21" x14ac:dyDescent="0.25">
      <c r="A25" s="197" t="b">
        <v>0</v>
      </c>
      <c r="B25" s="10">
        <f t="shared" si="0"/>
        <v>24</v>
      </c>
      <c r="C25" s="10" t="e">
        <f t="shared" si="1"/>
        <v>#N/A</v>
      </c>
      <c r="D25" s="10" t="e">
        <f>_xlfn.XLOOKUP($E25,Tab_Def_Processes[Name(EN)],Tab_Def_Processes[Process_ID],,0,)</f>
        <v>#N/A</v>
      </c>
      <c r="E25" s="12" t="s">
        <v>35</v>
      </c>
      <c r="F25" s="10" t="e">
        <f>_xlfn.XLOOKUP($E25,Tab_Def_Processes[Name(EN)],Tab_Def_Processes[Process_Type],,0,)</f>
        <v>#N/A</v>
      </c>
      <c r="G25" s="10" t="e">
        <f>_xlfn.XLOOKUP($E25,Tab_Def_Processes[Name(EN)],Tab_Def_Processes[TC?],,0,)</f>
        <v>#N/A</v>
      </c>
      <c r="H25" s="10" t="e">
        <f>_xlfn.XLOOKUP($E25,Tab_Def_Processes[Name(EN)],Tab_Def_Processes[Dyn_TC?],,0,)</f>
        <v>#N/A</v>
      </c>
      <c r="I25" s="10" t="e">
        <f>_xlfn.XLOOKUP($E25,Tab_Def_Processes[Name(EN)],Tab_Def_Processes[Stock?],,0,)</f>
        <v>#N/A</v>
      </c>
      <c r="J25" s="10" t="e">
        <f>_xlfn.XLOOKUP($E25,Tab_Def_Processes[Name(EN)],Tab_Def_Processes[Initial_Stock?],,0,)</f>
        <v>#N/A</v>
      </c>
      <c r="K25" s="190"/>
      <c r="L25" s="12"/>
      <c r="M25" s="12"/>
      <c r="N25" s="12"/>
      <c r="O25" s="12"/>
      <c r="P25" s="12"/>
      <c r="Q25" s="10"/>
      <c r="R25" s="12"/>
      <c r="S25" s="10"/>
      <c r="T25" s="12"/>
      <c r="U25" s="209"/>
    </row>
    <row r="26" spans="1:21" x14ac:dyDescent="0.25">
      <c r="A26" s="197" t="b">
        <v>0</v>
      </c>
      <c r="B26" s="10">
        <f t="shared" si="0"/>
        <v>25</v>
      </c>
      <c r="C26" s="10" t="e">
        <f t="shared" si="1"/>
        <v>#N/A</v>
      </c>
      <c r="D26" s="10" t="e">
        <f>_xlfn.XLOOKUP($E26,Tab_Def_Processes[Name(EN)],Tab_Def_Processes[Process_ID],,0,)</f>
        <v>#N/A</v>
      </c>
      <c r="E26" s="12" t="s">
        <v>35</v>
      </c>
      <c r="F26" s="10" t="e">
        <f>_xlfn.XLOOKUP($E26,Tab_Def_Processes[Name(EN)],Tab_Def_Processes[Process_Type],,0,)</f>
        <v>#N/A</v>
      </c>
      <c r="G26" s="10" t="e">
        <f>_xlfn.XLOOKUP($E26,Tab_Def_Processes[Name(EN)],Tab_Def_Processes[TC?],,0,)</f>
        <v>#N/A</v>
      </c>
      <c r="H26" s="10" t="e">
        <f>_xlfn.XLOOKUP($E26,Tab_Def_Processes[Name(EN)],Tab_Def_Processes[Dyn_TC?],,0,)</f>
        <v>#N/A</v>
      </c>
      <c r="I26" s="10" t="e">
        <f>_xlfn.XLOOKUP($E26,Tab_Def_Processes[Name(EN)],Tab_Def_Processes[Stock?],,0,)</f>
        <v>#N/A</v>
      </c>
      <c r="J26" s="10" t="e">
        <f>_xlfn.XLOOKUP($E26,Tab_Def_Processes[Name(EN)],Tab_Def_Processes[Initial_Stock?],,0,)</f>
        <v>#N/A</v>
      </c>
      <c r="K26" s="190"/>
      <c r="L26" s="12"/>
      <c r="M26" s="12"/>
      <c r="N26" s="12"/>
      <c r="O26" s="12"/>
      <c r="P26" s="12"/>
      <c r="Q26" s="10"/>
      <c r="R26" s="12"/>
      <c r="S26" s="10"/>
      <c r="T26" s="12"/>
      <c r="U26" s="209"/>
    </row>
    <row r="27" spans="1:21" x14ac:dyDescent="0.25">
      <c r="A27" s="197" t="b">
        <v>0</v>
      </c>
      <c r="B27" s="10">
        <f t="shared" si="0"/>
        <v>26</v>
      </c>
      <c r="C27" s="10" t="e">
        <f t="shared" si="1"/>
        <v>#N/A</v>
      </c>
      <c r="D27" s="10" t="e">
        <f>_xlfn.XLOOKUP($E27,Tab_Def_Processes[Name(EN)],Tab_Def_Processes[Process_ID],,0,)</f>
        <v>#N/A</v>
      </c>
      <c r="E27" s="12" t="s">
        <v>35</v>
      </c>
      <c r="F27" s="10" t="e">
        <f>_xlfn.XLOOKUP($E27,Tab_Def_Processes[Name(EN)],Tab_Def_Processes[Process_Type],,0,)</f>
        <v>#N/A</v>
      </c>
      <c r="G27" s="10" t="e">
        <f>_xlfn.XLOOKUP($E27,Tab_Def_Processes[Name(EN)],Tab_Def_Processes[TC?],,0,)</f>
        <v>#N/A</v>
      </c>
      <c r="H27" s="10" t="e">
        <f>_xlfn.XLOOKUP($E27,Tab_Def_Processes[Name(EN)],Tab_Def_Processes[Dyn_TC?],,0,)</f>
        <v>#N/A</v>
      </c>
      <c r="I27" s="10" t="e">
        <f>_xlfn.XLOOKUP($E27,Tab_Def_Processes[Name(EN)],Tab_Def_Processes[Stock?],,0,)</f>
        <v>#N/A</v>
      </c>
      <c r="J27" s="10" t="e">
        <f>_xlfn.XLOOKUP($E27,Tab_Def_Processes[Name(EN)],Tab_Def_Processes[Initial_Stock?],,0,)</f>
        <v>#N/A</v>
      </c>
      <c r="K27" s="190"/>
      <c r="L27" s="12"/>
      <c r="M27" s="12"/>
      <c r="N27" s="12"/>
      <c r="O27" s="12"/>
      <c r="P27" s="12"/>
      <c r="Q27" s="10"/>
      <c r="R27" s="12"/>
      <c r="S27" s="10"/>
      <c r="T27" s="12"/>
      <c r="U27" s="209"/>
    </row>
    <row r="28" spans="1:21" x14ac:dyDescent="0.25">
      <c r="A28" s="197" t="b">
        <v>0</v>
      </c>
      <c r="B28" s="10">
        <f t="shared" si="0"/>
        <v>27</v>
      </c>
      <c r="C28" s="10" t="e">
        <f t="shared" si="1"/>
        <v>#N/A</v>
      </c>
      <c r="D28" s="10" t="e">
        <f>_xlfn.XLOOKUP($E28,Tab_Def_Processes[Name(EN)],Tab_Def_Processes[Process_ID],,0,)</f>
        <v>#N/A</v>
      </c>
      <c r="E28" s="12" t="s">
        <v>35</v>
      </c>
      <c r="F28" s="10" t="e">
        <f>_xlfn.XLOOKUP($E28,Tab_Def_Processes[Name(EN)],Tab_Def_Processes[Process_Type],,0,)</f>
        <v>#N/A</v>
      </c>
      <c r="G28" s="10" t="e">
        <f>_xlfn.XLOOKUP($E28,Tab_Def_Processes[Name(EN)],Tab_Def_Processes[TC?],,0,)</f>
        <v>#N/A</v>
      </c>
      <c r="H28" s="10" t="e">
        <f>_xlfn.XLOOKUP($E28,Tab_Def_Processes[Name(EN)],Tab_Def_Processes[Dyn_TC?],,0,)</f>
        <v>#N/A</v>
      </c>
      <c r="I28" s="10" t="e">
        <f>_xlfn.XLOOKUP($E28,Tab_Def_Processes[Name(EN)],Tab_Def_Processes[Stock?],,0,)</f>
        <v>#N/A</v>
      </c>
      <c r="J28" s="10" t="e">
        <f>_xlfn.XLOOKUP($E28,Tab_Def_Processes[Name(EN)],Tab_Def_Processes[Initial_Stock?],,0,)</f>
        <v>#N/A</v>
      </c>
      <c r="K28" s="190"/>
      <c r="L28" s="12"/>
      <c r="M28" s="12"/>
      <c r="N28" s="12"/>
      <c r="O28" s="12"/>
      <c r="P28" s="12"/>
      <c r="Q28" s="10"/>
      <c r="R28" s="12"/>
      <c r="S28" s="10"/>
      <c r="T28" s="12"/>
      <c r="U28" s="209"/>
    </row>
    <row r="29" spans="1:21" x14ac:dyDescent="0.25">
      <c r="A29" s="197" t="b">
        <v>0</v>
      </c>
      <c r="B29" s="10">
        <f t="shared" si="0"/>
        <v>28</v>
      </c>
      <c r="C29" s="10" t="e">
        <f t="shared" si="1"/>
        <v>#N/A</v>
      </c>
      <c r="D29" s="10" t="e">
        <f>_xlfn.XLOOKUP($E29,Tab_Def_Processes[Name(EN)],Tab_Def_Processes[Process_ID],,0,)</f>
        <v>#N/A</v>
      </c>
      <c r="E29" s="12" t="s">
        <v>35</v>
      </c>
      <c r="F29" s="10" t="e">
        <f>_xlfn.XLOOKUP($E29,Tab_Def_Processes[Name(EN)],Tab_Def_Processes[Process_Type],,0,)</f>
        <v>#N/A</v>
      </c>
      <c r="G29" s="10" t="e">
        <f>_xlfn.XLOOKUP($E29,Tab_Def_Processes[Name(EN)],Tab_Def_Processes[TC?],,0,)</f>
        <v>#N/A</v>
      </c>
      <c r="H29" s="10" t="e">
        <f>_xlfn.XLOOKUP($E29,Tab_Def_Processes[Name(EN)],Tab_Def_Processes[Dyn_TC?],,0,)</f>
        <v>#N/A</v>
      </c>
      <c r="I29" s="10" t="e">
        <f>_xlfn.XLOOKUP($E29,Tab_Def_Processes[Name(EN)],Tab_Def_Processes[Stock?],,0,)</f>
        <v>#N/A</v>
      </c>
      <c r="J29" s="10" t="e">
        <f>_xlfn.XLOOKUP($E29,Tab_Def_Processes[Name(EN)],Tab_Def_Processes[Initial_Stock?],,0,)</f>
        <v>#N/A</v>
      </c>
      <c r="K29" s="190"/>
      <c r="L29" s="12"/>
      <c r="M29" s="12"/>
      <c r="N29" s="12"/>
      <c r="O29" s="12"/>
      <c r="P29" s="12"/>
      <c r="Q29" s="10"/>
      <c r="R29" s="12"/>
      <c r="S29" s="10"/>
      <c r="T29" s="12"/>
      <c r="U29" s="209"/>
    </row>
    <row r="30" spans="1:21" x14ac:dyDescent="0.25">
      <c r="A30" s="197" t="b">
        <v>0</v>
      </c>
      <c r="B30" s="10">
        <f t="shared" si="0"/>
        <v>29</v>
      </c>
      <c r="C30" s="10" t="e">
        <f t="shared" si="1"/>
        <v>#N/A</v>
      </c>
      <c r="D30" s="10" t="e">
        <f>_xlfn.XLOOKUP($E30,Tab_Def_Processes[Name(EN)],Tab_Def_Processes[Process_ID],,0,)</f>
        <v>#N/A</v>
      </c>
      <c r="E30" s="12" t="s">
        <v>35</v>
      </c>
      <c r="F30" s="10" t="e">
        <f>_xlfn.XLOOKUP($E30,Tab_Def_Processes[Name(EN)],Tab_Def_Processes[Process_Type],,0,)</f>
        <v>#N/A</v>
      </c>
      <c r="G30" s="10" t="e">
        <f>_xlfn.XLOOKUP($E30,Tab_Def_Processes[Name(EN)],Tab_Def_Processes[TC?],,0,)</f>
        <v>#N/A</v>
      </c>
      <c r="H30" s="10" t="e">
        <f>_xlfn.XLOOKUP($E30,Tab_Def_Processes[Name(EN)],Tab_Def_Processes[Dyn_TC?],,0,)</f>
        <v>#N/A</v>
      </c>
      <c r="I30" s="10" t="e">
        <f>_xlfn.XLOOKUP($E30,Tab_Def_Processes[Name(EN)],Tab_Def_Processes[Stock?],,0,)</f>
        <v>#N/A</v>
      </c>
      <c r="J30" s="10" t="e">
        <f>_xlfn.XLOOKUP($E30,Tab_Def_Processes[Name(EN)],Tab_Def_Processes[Initial_Stock?],,0,)</f>
        <v>#N/A</v>
      </c>
      <c r="K30" s="190"/>
      <c r="L30" s="12"/>
      <c r="M30" s="12"/>
      <c r="N30" s="12"/>
      <c r="O30" s="12"/>
      <c r="P30" s="12"/>
      <c r="Q30" s="10"/>
      <c r="R30" s="12"/>
      <c r="S30" s="10"/>
      <c r="T30" s="12"/>
      <c r="U30" s="209"/>
    </row>
    <row r="31" spans="1:21" x14ac:dyDescent="0.25">
      <c r="A31" s="197" t="b">
        <v>0</v>
      </c>
      <c r="B31" s="10">
        <f t="shared" si="0"/>
        <v>30</v>
      </c>
      <c r="C31" s="10" t="e">
        <f t="shared" si="1"/>
        <v>#N/A</v>
      </c>
      <c r="D31" s="10" t="e">
        <f>_xlfn.XLOOKUP($E31,Tab_Def_Processes[Name(EN)],Tab_Def_Processes[Process_ID],,0,)</f>
        <v>#N/A</v>
      </c>
      <c r="E31" s="12" t="s">
        <v>35</v>
      </c>
      <c r="F31" s="10" t="e">
        <f>_xlfn.XLOOKUP($E31,Tab_Def_Processes[Name(EN)],Tab_Def_Processes[Process_Type],,0,)</f>
        <v>#N/A</v>
      </c>
      <c r="G31" s="10" t="e">
        <f>_xlfn.XLOOKUP($E31,Tab_Def_Processes[Name(EN)],Tab_Def_Processes[TC?],,0,)</f>
        <v>#N/A</v>
      </c>
      <c r="H31" s="10" t="e">
        <f>_xlfn.XLOOKUP($E31,Tab_Def_Processes[Name(EN)],Tab_Def_Processes[Dyn_TC?],,0,)</f>
        <v>#N/A</v>
      </c>
      <c r="I31" s="10" t="e">
        <f>_xlfn.XLOOKUP($E31,Tab_Def_Processes[Name(EN)],Tab_Def_Processes[Stock?],,0,)</f>
        <v>#N/A</v>
      </c>
      <c r="J31" s="10" t="e">
        <f>_xlfn.XLOOKUP($E31,Tab_Def_Processes[Name(EN)],Tab_Def_Processes[Initial_Stock?],,0,)</f>
        <v>#N/A</v>
      </c>
      <c r="K31" s="190"/>
      <c r="L31" s="12"/>
      <c r="M31" s="12"/>
      <c r="N31" s="12"/>
      <c r="O31" s="12"/>
      <c r="P31" s="12"/>
      <c r="Q31" s="10"/>
      <c r="R31" s="12"/>
      <c r="S31" s="10"/>
      <c r="T31" s="12"/>
      <c r="U31" s="209"/>
    </row>
    <row r="32" spans="1:21" x14ac:dyDescent="0.25">
      <c r="A32" s="197" t="b">
        <v>0</v>
      </c>
      <c r="B32" s="10">
        <f t="shared" si="0"/>
        <v>31</v>
      </c>
      <c r="C32" s="10" t="e">
        <f t="shared" si="1"/>
        <v>#N/A</v>
      </c>
      <c r="D32" s="10" t="e">
        <f>_xlfn.XLOOKUP($E32,Tab_Def_Processes[Name(EN)],Tab_Def_Processes[Process_ID],,0,)</f>
        <v>#N/A</v>
      </c>
      <c r="E32" s="12" t="s">
        <v>35</v>
      </c>
      <c r="F32" s="10" t="e">
        <f>_xlfn.XLOOKUP($E32,Tab_Def_Processes[Name(EN)],Tab_Def_Processes[Process_Type],,0,)</f>
        <v>#N/A</v>
      </c>
      <c r="G32" s="10" t="e">
        <f>_xlfn.XLOOKUP($E32,Tab_Def_Processes[Name(EN)],Tab_Def_Processes[TC?],,0,)</f>
        <v>#N/A</v>
      </c>
      <c r="H32" s="10" t="e">
        <f>_xlfn.XLOOKUP($E32,Tab_Def_Processes[Name(EN)],Tab_Def_Processes[Dyn_TC?],,0,)</f>
        <v>#N/A</v>
      </c>
      <c r="I32" s="10" t="e">
        <f>_xlfn.XLOOKUP($E32,Tab_Def_Processes[Name(EN)],Tab_Def_Processes[Stock?],,0,)</f>
        <v>#N/A</v>
      </c>
      <c r="J32" s="10" t="e">
        <f>_xlfn.XLOOKUP($E32,Tab_Def_Processes[Name(EN)],Tab_Def_Processes[Initial_Stock?],,0,)</f>
        <v>#N/A</v>
      </c>
      <c r="K32" s="190"/>
      <c r="L32" s="12"/>
      <c r="M32" s="12"/>
      <c r="N32" s="12"/>
      <c r="O32" s="12"/>
      <c r="P32" s="12"/>
      <c r="Q32" s="10"/>
      <c r="R32" s="12"/>
      <c r="S32" s="10"/>
      <c r="T32" s="12"/>
      <c r="U32" s="209"/>
    </row>
    <row r="33" spans="1:21" x14ac:dyDescent="0.25">
      <c r="A33" s="197" t="b">
        <v>0</v>
      </c>
      <c r="B33" s="10">
        <f t="shared" si="0"/>
        <v>32</v>
      </c>
      <c r="C33" s="10" t="e">
        <f t="shared" si="1"/>
        <v>#N/A</v>
      </c>
      <c r="D33" s="10" t="e">
        <f>_xlfn.XLOOKUP($E33,Tab_Def_Processes[Name(EN)],Tab_Def_Processes[Process_ID],,0,)</f>
        <v>#N/A</v>
      </c>
      <c r="E33" s="12" t="s">
        <v>35</v>
      </c>
      <c r="F33" s="10" t="e">
        <f>_xlfn.XLOOKUP($E33,Tab_Def_Processes[Name(EN)],Tab_Def_Processes[Process_Type],,0,)</f>
        <v>#N/A</v>
      </c>
      <c r="G33" s="10" t="e">
        <f>_xlfn.XLOOKUP($E33,Tab_Def_Processes[Name(EN)],Tab_Def_Processes[TC?],,0,)</f>
        <v>#N/A</v>
      </c>
      <c r="H33" s="10" t="e">
        <f>_xlfn.XLOOKUP($E33,Tab_Def_Processes[Name(EN)],Tab_Def_Processes[Dyn_TC?],,0,)</f>
        <v>#N/A</v>
      </c>
      <c r="I33" s="10" t="e">
        <f>_xlfn.XLOOKUP($E33,Tab_Def_Processes[Name(EN)],Tab_Def_Processes[Stock?],,0,)</f>
        <v>#N/A</v>
      </c>
      <c r="J33" s="10" t="e">
        <f>_xlfn.XLOOKUP($E33,Tab_Def_Processes[Name(EN)],Tab_Def_Processes[Initial_Stock?],,0,)</f>
        <v>#N/A</v>
      </c>
      <c r="K33" s="190"/>
      <c r="L33" s="12"/>
      <c r="M33" s="12"/>
      <c r="N33" s="12"/>
      <c r="O33" s="12"/>
      <c r="P33" s="12"/>
      <c r="Q33" s="10"/>
      <c r="R33" s="12"/>
      <c r="S33" s="10"/>
      <c r="T33" s="12"/>
      <c r="U33" s="209"/>
    </row>
    <row r="34" spans="1:21" x14ac:dyDescent="0.25">
      <c r="A34" s="197" t="b">
        <v>0</v>
      </c>
      <c r="B34" s="10">
        <f t="shared" ref="B34:B51" si="2">ROW()-1</f>
        <v>33</v>
      </c>
      <c r="C34" s="10" t="e">
        <f t="shared" si="1"/>
        <v>#N/A</v>
      </c>
      <c r="D34" s="10" t="e">
        <f>_xlfn.XLOOKUP($E34,Tab_Def_Processes[Name(EN)],Tab_Def_Processes[Process_ID],,0,)</f>
        <v>#N/A</v>
      </c>
      <c r="E34" s="12" t="s">
        <v>35</v>
      </c>
      <c r="F34" s="10" t="e">
        <f>_xlfn.XLOOKUP($E34,Tab_Def_Processes[Name(EN)],Tab_Def_Processes[Process_Type],,0,)</f>
        <v>#N/A</v>
      </c>
      <c r="G34" s="10" t="e">
        <f>_xlfn.XLOOKUP($E34,Tab_Def_Processes[Name(EN)],Tab_Def_Processes[TC?],,0,)</f>
        <v>#N/A</v>
      </c>
      <c r="H34" s="10" t="e">
        <f>_xlfn.XLOOKUP($E34,Tab_Def_Processes[Name(EN)],Tab_Def_Processes[Dyn_TC?],,0,)</f>
        <v>#N/A</v>
      </c>
      <c r="I34" s="10" t="e">
        <f>_xlfn.XLOOKUP($E34,Tab_Def_Processes[Name(EN)],Tab_Def_Processes[Stock?],,0,)</f>
        <v>#N/A</v>
      </c>
      <c r="J34" s="10" t="e">
        <f>_xlfn.XLOOKUP($E34,Tab_Def_Processes[Name(EN)],Tab_Def_Processes[Initial_Stock?],,0,)</f>
        <v>#N/A</v>
      </c>
      <c r="K34" s="190"/>
      <c r="L34" s="12"/>
      <c r="M34" s="12"/>
      <c r="N34" s="12"/>
      <c r="O34" s="12"/>
      <c r="P34" s="12"/>
      <c r="Q34" s="10"/>
      <c r="R34" s="12"/>
      <c r="S34" s="10"/>
      <c r="T34" s="12"/>
      <c r="U34" s="209"/>
    </row>
    <row r="35" spans="1:21" x14ac:dyDescent="0.25">
      <c r="A35" s="197" t="b">
        <v>0</v>
      </c>
      <c r="B35" s="10">
        <f t="shared" si="2"/>
        <v>34</v>
      </c>
      <c r="C35" s="10" t="e">
        <f t="shared" si="1"/>
        <v>#N/A</v>
      </c>
      <c r="D35" s="10" t="e">
        <f>_xlfn.XLOOKUP($E35,Tab_Def_Processes[Name(EN)],Tab_Def_Processes[Process_ID],,0,)</f>
        <v>#N/A</v>
      </c>
      <c r="E35" s="12" t="s">
        <v>35</v>
      </c>
      <c r="F35" s="10" t="e">
        <f>_xlfn.XLOOKUP($E35,Tab_Def_Processes[Name(EN)],Tab_Def_Processes[Process_Type],,0,)</f>
        <v>#N/A</v>
      </c>
      <c r="G35" s="10" t="e">
        <f>_xlfn.XLOOKUP($E35,Tab_Def_Processes[Name(EN)],Tab_Def_Processes[TC?],,0,)</f>
        <v>#N/A</v>
      </c>
      <c r="H35" s="10" t="e">
        <f>_xlfn.XLOOKUP($E35,Tab_Def_Processes[Name(EN)],Tab_Def_Processes[Dyn_TC?],,0,)</f>
        <v>#N/A</v>
      </c>
      <c r="I35" s="10" t="e">
        <f>_xlfn.XLOOKUP($E35,Tab_Def_Processes[Name(EN)],Tab_Def_Processes[Stock?],,0,)</f>
        <v>#N/A</v>
      </c>
      <c r="J35" s="10" t="e">
        <f>_xlfn.XLOOKUP($E35,Tab_Def_Processes[Name(EN)],Tab_Def_Processes[Initial_Stock?],,0,)</f>
        <v>#N/A</v>
      </c>
      <c r="K35" s="190"/>
      <c r="L35" s="12"/>
      <c r="M35" s="12"/>
      <c r="N35" s="12"/>
      <c r="O35" s="12"/>
      <c r="P35" s="12"/>
      <c r="Q35" s="10"/>
      <c r="R35" s="12"/>
      <c r="S35" s="10"/>
      <c r="T35" s="12"/>
      <c r="U35" s="209"/>
    </row>
    <row r="36" spans="1:21" x14ac:dyDescent="0.25">
      <c r="A36" s="197" t="b">
        <v>0</v>
      </c>
      <c r="B36" s="10">
        <f t="shared" si="2"/>
        <v>35</v>
      </c>
      <c r="C36" s="10" t="e">
        <f t="shared" si="1"/>
        <v>#N/A</v>
      </c>
      <c r="D36" s="10" t="e">
        <f>_xlfn.XLOOKUP($E36,Tab_Def_Processes[Name(EN)],Tab_Def_Processes[Process_ID],,0,)</f>
        <v>#N/A</v>
      </c>
      <c r="E36" s="12" t="s">
        <v>35</v>
      </c>
      <c r="F36" s="10" t="e">
        <f>_xlfn.XLOOKUP($E36,Tab_Def_Processes[Name(EN)],Tab_Def_Processes[Process_Type],,0,)</f>
        <v>#N/A</v>
      </c>
      <c r="G36" s="10" t="e">
        <f>_xlfn.XLOOKUP($E36,Tab_Def_Processes[Name(EN)],Tab_Def_Processes[TC?],,0,)</f>
        <v>#N/A</v>
      </c>
      <c r="H36" s="10" t="e">
        <f>_xlfn.XLOOKUP($E36,Tab_Def_Processes[Name(EN)],Tab_Def_Processes[Dyn_TC?],,0,)</f>
        <v>#N/A</v>
      </c>
      <c r="I36" s="10" t="e">
        <f>_xlfn.XLOOKUP($E36,Tab_Def_Processes[Name(EN)],Tab_Def_Processes[Stock?],,0,)</f>
        <v>#N/A</v>
      </c>
      <c r="J36" s="10" t="e">
        <f>_xlfn.XLOOKUP($E36,Tab_Def_Processes[Name(EN)],Tab_Def_Processes[Initial_Stock?],,0,)</f>
        <v>#N/A</v>
      </c>
      <c r="K36" s="190"/>
      <c r="L36" s="12"/>
      <c r="M36" s="12"/>
      <c r="N36" s="12"/>
      <c r="O36" s="12"/>
      <c r="P36" s="12"/>
      <c r="Q36" s="10"/>
      <c r="R36" s="12"/>
      <c r="S36" s="10"/>
      <c r="T36" s="12"/>
      <c r="U36" s="209"/>
    </row>
    <row r="37" spans="1:21" x14ac:dyDescent="0.25">
      <c r="A37" s="197" t="b">
        <v>0</v>
      </c>
      <c r="B37" s="10">
        <f t="shared" si="2"/>
        <v>36</v>
      </c>
      <c r="C37" s="10" t="e">
        <f t="shared" si="1"/>
        <v>#N/A</v>
      </c>
      <c r="D37" s="10" t="e">
        <f>_xlfn.XLOOKUP($E37,Tab_Def_Processes[Name(EN)],Tab_Def_Processes[Process_ID],,0,)</f>
        <v>#N/A</v>
      </c>
      <c r="E37" s="12" t="s">
        <v>35</v>
      </c>
      <c r="F37" s="10" t="e">
        <f>_xlfn.XLOOKUP($E37,Tab_Def_Processes[Name(EN)],Tab_Def_Processes[Process_Type],,0,)</f>
        <v>#N/A</v>
      </c>
      <c r="G37" s="10" t="e">
        <f>_xlfn.XLOOKUP($E37,Tab_Def_Processes[Name(EN)],Tab_Def_Processes[TC?],,0,)</f>
        <v>#N/A</v>
      </c>
      <c r="H37" s="10" t="e">
        <f>_xlfn.XLOOKUP($E37,Tab_Def_Processes[Name(EN)],Tab_Def_Processes[Dyn_TC?],,0,)</f>
        <v>#N/A</v>
      </c>
      <c r="I37" s="10" t="e">
        <f>_xlfn.XLOOKUP($E37,Tab_Def_Processes[Name(EN)],Tab_Def_Processes[Stock?],,0,)</f>
        <v>#N/A</v>
      </c>
      <c r="J37" s="10" t="e">
        <f>_xlfn.XLOOKUP($E37,Tab_Def_Processes[Name(EN)],Tab_Def_Processes[Initial_Stock?],,0,)</f>
        <v>#N/A</v>
      </c>
      <c r="K37" s="190"/>
      <c r="L37" s="12"/>
      <c r="M37" s="12"/>
      <c r="N37" s="12"/>
      <c r="O37" s="12"/>
      <c r="P37" s="12"/>
      <c r="Q37" s="10"/>
      <c r="R37" s="12"/>
      <c r="S37" s="10"/>
      <c r="T37" s="12"/>
      <c r="U37" s="209"/>
    </row>
    <row r="38" spans="1:21" x14ac:dyDescent="0.25">
      <c r="A38" s="197" t="b">
        <v>0</v>
      </c>
      <c r="B38" s="10">
        <f t="shared" si="2"/>
        <v>37</v>
      </c>
      <c r="C38" s="10" t="e">
        <f t="shared" si="1"/>
        <v>#N/A</v>
      </c>
      <c r="D38" s="10" t="e">
        <f>_xlfn.XLOOKUP($E38,Tab_Def_Processes[Name(EN)],Tab_Def_Processes[Process_ID],,0,)</f>
        <v>#N/A</v>
      </c>
      <c r="E38" s="12" t="s">
        <v>35</v>
      </c>
      <c r="F38" s="10" t="e">
        <f>_xlfn.XLOOKUP($E38,Tab_Def_Processes[Name(EN)],Tab_Def_Processes[Process_Type],,0,)</f>
        <v>#N/A</v>
      </c>
      <c r="G38" s="10" t="e">
        <f>_xlfn.XLOOKUP($E38,Tab_Def_Processes[Name(EN)],Tab_Def_Processes[TC?],,0,)</f>
        <v>#N/A</v>
      </c>
      <c r="H38" s="10" t="e">
        <f>_xlfn.XLOOKUP($E38,Tab_Def_Processes[Name(EN)],Tab_Def_Processes[Dyn_TC?],,0,)</f>
        <v>#N/A</v>
      </c>
      <c r="I38" s="10" t="e">
        <f>_xlfn.XLOOKUP($E38,Tab_Def_Processes[Name(EN)],Tab_Def_Processes[Stock?],,0,)</f>
        <v>#N/A</v>
      </c>
      <c r="J38" s="10" t="e">
        <f>_xlfn.XLOOKUP($E38,Tab_Def_Processes[Name(EN)],Tab_Def_Processes[Initial_Stock?],,0,)</f>
        <v>#N/A</v>
      </c>
      <c r="K38" s="190"/>
      <c r="L38" s="12"/>
      <c r="M38" s="12"/>
      <c r="N38" s="12"/>
      <c r="O38" s="12"/>
      <c r="P38" s="12"/>
      <c r="Q38" s="10"/>
      <c r="R38" s="12"/>
      <c r="S38" s="10"/>
      <c r="T38" s="12"/>
      <c r="U38" s="209"/>
    </row>
    <row r="39" spans="1:21" x14ac:dyDescent="0.25">
      <c r="A39" s="197" t="b">
        <v>0</v>
      </c>
      <c r="B39" s="10">
        <f t="shared" si="2"/>
        <v>38</v>
      </c>
      <c r="C39" s="10" t="e">
        <f t="shared" si="1"/>
        <v>#N/A</v>
      </c>
      <c r="D39" s="10" t="e">
        <f>_xlfn.XLOOKUP($E39,Tab_Def_Processes[Name(EN)],Tab_Def_Processes[Process_ID],,0,)</f>
        <v>#N/A</v>
      </c>
      <c r="E39" s="12" t="s">
        <v>35</v>
      </c>
      <c r="F39" s="10" t="e">
        <f>_xlfn.XLOOKUP($E39,Tab_Def_Processes[Name(EN)],Tab_Def_Processes[Process_Type],,0,)</f>
        <v>#N/A</v>
      </c>
      <c r="G39" s="10" t="e">
        <f>_xlfn.XLOOKUP($E39,Tab_Def_Processes[Name(EN)],Tab_Def_Processes[TC?],,0,)</f>
        <v>#N/A</v>
      </c>
      <c r="H39" s="10" t="e">
        <f>_xlfn.XLOOKUP($E39,Tab_Def_Processes[Name(EN)],Tab_Def_Processes[Dyn_TC?],,0,)</f>
        <v>#N/A</v>
      </c>
      <c r="I39" s="10" t="e">
        <f>_xlfn.XLOOKUP($E39,Tab_Def_Processes[Name(EN)],Tab_Def_Processes[Stock?],,0,)</f>
        <v>#N/A</v>
      </c>
      <c r="J39" s="10" t="e">
        <f>_xlfn.XLOOKUP($E39,Tab_Def_Processes[Name(EN)],Tab_Def_Processes[Initial_Stock?],,0,)</f>
        <v>#N/A</v>
      </c>
      <c r="K39" s="190"/>
      <c r="L39" s="12"/>
      <c r="M39" s="12"/>
      <c r="N39" s="12"/>
      <c r="O39" s="12"/>
      <c r="P39" s="12"/>
      <c r="Q39" s="10"/>
      <c r="R39" s="12"/>
      <c r="S39" s="10"/>
      <c r="T39" s="12"/>
      <c r="U39" s="209"/>
    </row>
    <row r="40" spans="1:21" x14ac:dyDescent="0.25">
      <c r="A40" s="197" t="b">
        <v>0</v>
      </c>
      <c r="B40" s="10">
        <f t="shared" si="2"/>
        <v>39</v>
      </c>
      <c r="C40" s="10" t="e">
        <f t="shared" si="1"/>
        <v>#N/A</v>
      </c>
      <c r="D40" s="10" t="e">
        <f>_xlfn.XLOOKUP($E40,Tab_Def_Processes[Name(EN)],Tab_Def_Processes[Process_ID],,0,)</f>
        <v>#N/A</v>
      </c>
      <c r="E40" s="12" t="s">
        <v>35</v>
      </c>
      <c r="F40" s="10" t="e">
        <f>_xlfn.XLOOKUP($E40,Tab_Def_Processes[Name(EN)],Tab_Def_Processes[Process_Type],,0,)</f>
        <v>#N/A</v>
      </c>
      <c r="G40" s="10" t="e">
        <f>_xlfn.XLOOKUP($E40,Tab_Def_Processes[Name(EN)],Tab_Def_Processes[TC?],,0,)</f>
        <v>#N/A</v>
      </c>
      <c r="H40" s="10" t="e">
        <f>_xlfn.XLOOKUP($E40,Tab_Def_Processes[Name(EN)],Tab_Def_Processes[Dyn_TC?],,0,)</f>
        <v>#N/A</v>
      </c>
      <c r="I40" s="10" t="e">
        <f>_xlfn.XLOOKUP($E40,Tab_Def_Processes[Name(EN)],Tab_Def_Processes[Stock?],,0,)</f>
        <v>#N/A</v>
      </c>
      <c r="J40" s="10" t="e">
        <f>_xlfn.XLOOKUP($E40,Tab_Def_Processes[Name(EN)],Tab_Def_Processes[Initial_Stock?],,0,)</f>
        <v>#N/A</v>
      </c>
      <c r="K40" s="190"/>
      <c r="L40" s="12"/>
      <c r="M40" s="12"/>
      <c r="N40" s="12"/>
      <c r="O40" s="12"/>
      <c r="P40" s="12"/>
      <c r="Q40" s="10"/>
      <c r="R40" s="12"/>
      <c r="S40" s="10"/>
      <c r="T40" s="12"/>
      <c r="U40" s="209"/>
    </row>
    <row r="41" spans="1:21" x14ac:dyDescent="0.25">
      <c r="A41" s="197" t="b">
        <v>0</v>
      </c>
      <c r="B41" s="10">
        <f t="shared" si="2"/>
        <v>40</v>
      </c>
      <c r="C41" s="10" t="e">
        <f t="shared" si="1"/>
        <v>#N/A</v>
      </c>
      <c r="D41" s="10" t="e">
        <f>_xlfn.XLOOKUP($E41,Tab_Def_Processes[Name(EN)],Tab_Def_Processes[Process_ID],,0,)</f>
        <v>#N/A</v>
      </c>
      <c r="E41" s="12" t="s">
        <v>35</v>
      </c>
      <c r="F41" s="10" t="e">
        <f>_xlfn.XLOOKUP($E41,Tab_Def_Processes[Name(EN)],Tab_Def_Processes[Process_Type],,0,)</f>
        <v>#N/A</v>
      </c>
      <c r="G41" s="10" t="e">
        <f>_xlfn.XLOOKUP($E41,Tab_Def_Processes[Name(EN)],Tab_Def_Processes[TC?],,0,)</f>
        <v>#N/A</v>
      </c>
      <c r="H41" s="10" t="e">
        <f>_xlfn.XLOOKUP($E41,Tab_Def_Processes[Name(EN)],Tab_Def_Processes[Dyn_TC?],,0,)</f>
        <v>#N/A</v>
      </c>
      <c r="I41" s="10" t="e">
        <f>_xlfn.XLOOKUP($E41,Tab_Def_Processes[Name(EN)],Tab_Def_Processes[Stock?],,0,)</f>
        <v>#N/A</v>
      </c>
      <c r="J41" s="10" t="e">
        <f>_xlfn.XLOOKUP($E41,Tab_Def_Processes[Name(EN)],Tab_Def_Processes[Initial_Stock?],,0,)</f>
        <v>#N/A</v>
      </c>
      <c r="K41" s="190"/>
      <c r="L41" s="12"/>
      <c r="M41" s="12"/>
      <c r="N41" s="12"/>
      <c r="O41" s="12"/>
      <c r="P41" s="12"/>
      <c r="Q41" s="10"/>
      <c r="R41" s="12"/>
      <c r="S41" s="10"/>
      <c r="T41" s="12"/>
      <c r="U41" s="209"/>
    </row>
    <row r="42" spans="1:21" x14ac:dyDescent="0.25">
      <c r="A42" s="197" t="b">
        <v>0</v>
      </c>
      <c r="B42" s="10">
        <f t="shared" si="2"/>
        <v>41</v>
      </c>
      <c r="C42" s="10" t="e">
        <f t="shared" si="1"/>
        <v>#N/A</v>
      </c>
      <c r="D42" s="10" t="e">
        <f>_xlfn.XLOOKUP($E42,Tab_Def_Processes[Name(EN)],Tab_Def_Processes[Process_ID],,0,)</f>
        <v>#N/A</v>
      </c>
      <c r="E42" s="12" t="s">
        <v>35</v>
      </c>
      <c r="F42" s="10" t="e">
        <f>_xlfn.XLOOKUP($E42,Tab_Def_Processes[Name(EN)],Tab_Def_Processes[Process_Type],,0,)</f>
        <v>#N/A</v>
      </c>
      <c r="G42" s="10" t="e">
        <f>_xlfn.XLOOKUP($E42,Tab_Def_Processes[Name(EN)],Tab_Def_Processes[TC?],,0,)</f>
        <v>#N/A</v>
      </c>
      <c r="H42" s="10" t="e">
        <f>_xlfn.XLOOKUP($E42,Tab_Def_Processes[Name(EN)],Tab_Def_Processes[Dyn_TC?],,0,)</f>
        <v>#N/A</v>
      </c>
      <c r="I42" s="10" t="e">
        <f>_xlfn.XLOOKUP($E42,Tab_Def_Processes[Name(EN)],Tab_Def_Processes[Stock?],,0,)</f>
        <v>#N/A</v>
      </c>
      <c r="J42" s="10" t="e">
        <f>_xlfn.XLOOKUP($E42,Tab_Def_Processes[Name(EN)],Tab_Def_Processes[Initial_Stock?],,0,)</f>
        <v>#N/A</v>
      </c>
      <c r="K42" s="190"/>
      <c r="L42" s="12"/>
      <c r="M42" s="12"/>
      <c r="N42" s="12"/>
      <c r="O42" s="12"/>
      <c r="P42" s="12"/>
      <c r="Q42" s="10"/>
      <c r="R42" s="12"/>
      <c r="S42" s="10"/>
      <c r="T42" s="12"/>
      <c r="U42" s="209"/>
    </row>
    <row r="43" spans="1:21" x14ac:dyDescent="0.25">
      <c r="A43" s="197" t="b">
        <v>0</v>
      </c>
      <c r="B43" s="10">
        <f t="shared" si="2"/>
        <v>42</v>
      </c>
      <c r="C43" s="10" t="e">
        <f t="shared" si="1"/>
        <v>#N/A</v>
      </c>
      <c r="D43" s="10" t="e">
        <f>_xlfn.XLOOKUP($E43,Tab_Def_Processes[Name(EN)],Tab_Def_Processes[Process_ID],,0,)</f>
        <v>#N/A</v>
      </c>
      <c r="E43" s="12" t="s">
        <v>35</v>
      </c>
      <c r="F43" s="10" t="e">
        <f>_xlfn.XLOOKUP($E43,Tab_Def_Processes[Name(EN)],Tab_Def_Processes[Process_Type],,0,)</f>
        <v>#N/A</v>
      </c>
      <c r="G43" s="10" t="e">
        <f>_xlfn.XLOOKUP($E43,Tab_Def_Processes[Name(EN)],Tab_Def_Processes[TC?],,0,)</f>
        <v>#N/A</v>
      </c>
      <c r="H43" s="10" t="e">
        <f>_xlfn.XLOOKUP($E43,Tab_Def_Processes[Name(EN)],Tab_Def_Processes[Dyn_TC?],,0,)</f>
        <v>#N/A</v>
      </c>
      <c r="I43" s="10" t="e">
        <f>_xlfn.XLOOKUP($E43,Tab_Def_Processes[Name(EN)],Tab_Def_Processes[Stock?],,0,)</f>
        <v>#N/A</v>
      </c>
      <c r="J43" s="10" t="e">
        <f>_xlfn.XLOOKUP($E43,Tab_Def_Processes[Name(EN)],Tab_Def_Processes[Initial_Stock?],,0,)</f>
        <v>#N/A</v>
      </c>
      <c r="K43" s="190"/>
      <c r="L43" s="12"/>
      <c r="M43" s="12"/>
      <c r="N43" s="12"/>
      <c r="O43" s="12"/>
      <c r="P43" s="12"/>
      <c r="Q43" s="10"/>
      <c r="R43" s="12"/>
      <c r="S43" s="10"/>
      <c r="T43" s="12"/>
      <c r="U43" s="209"/>
    </row>
    <row r="44" spans="1:21" x14ac:dyDescent="0.25">
      <c r="A44" s="197" t="b">
        <v>0</v>
      </c>
      <c r="B44" s="10">
        <f t="shared" si="2"/>
        <v>43</v>
      </c>
      <c r="C44" s="10" t="e">
        <f t="shared" si="1"/>
        <v>#N/A</v>
      </c>
      <c r="D44" s="10" t="e">
        <f>_xlfn.XLOOKUP($E44,Tab_Def_Processes[Name(EN)],Tab_Def_Processes[Process_ID],,0,)</f>
        <v>#N/A</v>
      </c>
      <c r="E44" s="12" t="s">
        <v>35</v>
      </c>
      <c r="F44" s="10" t="e">
        <f>_xlfn.XLOOKUP($E44,Tab_Def_Processes[Name(EN)],Tab_Def_Processes[Process_Type],,0,)</f>
        <v>#N/A</v>
      </c>
      <c r="G44" s="10" t="e">
        <f>_xlfn.XLOOKUP($E44,Tab_Def_Processes[Name(EN)],Tab_Def_Processes[TC?],,0,)</f>
        <v>#N/A</v>
      </c>
      <c r="H44" s="10" t="e">
        <f>_xlfn.XLOOKUP($E44,Tab_Def_Processes[Name(EN)],Tab_Def_Processes[Dyn_TC?],,0,)</f>
        <v>#N/A</v>
      </c>
      <c r="I44" s="10" t="e">
        <f>_xlfn.XLOOKUP($E44,Tab_Def_Processes[Name(EN)],Tab_Def_Processes[Stock?],,0,)</f>
        <v>#N/A</v>
      </c>
      <c r="J44" s="10" t="e">
        <f>_xlfn.XLOOKUP($E44,Tab_Def_Processes[Name(EN)],Tab_Def_Processes[Initial_Stock?],,0,)</f>
        <v>#N/A</v>
      </c>
      <c r="K44" s="190"/>
      <c r="L44" s="12"/>
      <c r="M44" s="12"/>
      <c r="N44" s="12"/>
      <c r="O44" s="12"/>
      <c r="P44" s="12"/>
      <c r="Q44" s="10"/>
      <c r="R44" s="12"/>
      <c r="S44" s="10"/>
      <c r="T44" s="12"/>
      <c r="U44" s="209"/>
    </row>
    <row r="45" spans="1:21" x14ac:dyDescent="0.25">
      <c r="A45" s="197" t="b">
        <v>0</v>
      </c>
      <c r="B45" s="10">
        <f t="shared" si="2"/>
        <v>44</v>
      </c>
      <c r="C45" s="10" t="e">
        <f t="shared" si="1"/>
        <v>#N/A</v>
      </c>
      <c r="D45" s="10" t="e">
        <f>_xlfn.XLOOKUP($E45,Tab_Def_Processes[Name(EN)],Tab_Def_Processes[Process_ID],,0,)</f>
        <v>#N/A</v>
      </c>
      <c r="E45" s="12" t="s">
        <v>35</v>
      </c>
      <c r="F45" s="10" t="e">
        <f>_xlfn.XLOOKUP($E45,Tab_Def_Processes[Name(EN)],Tab_Def_Processes[Process_Type],,0,)</f>
        <v>#N/A</v>
      </c>
      <c r="G45" s="10" t="e">
        <f>_xlfn.XLOOKUP($E45,Tab_Def_Processes[Name(EN)],Tab_Def_Processes[TC?],,0,)</f>
        <v>#N/A</v>
      </c>
      <c r="H45" s="10" t="e">
        <f>_xlfn.XLOOKUP($E45,Tab_Def_Processes[Name(EN)],Tab_Def_Processes[Dyn_TC?],,0,)</f>
        <v>#N/A</v>
      </c>
      <c r="I45" s="10" t="e">
        <f>_xlfn.XLOOKUP($E45,Tab_Def_Processes[Name(EN)],Tab_Def_Processes[Stock?],,0,)</f>
        <v>#N/A</v>
      </c>
      <c r="J45" s="10" t="e">
        <f>_xlfn.XLOOKUP($E45,Tab_Def_Processes[Name(EN)],Tab_Def_Processes[Initial_Stock?],,0,)</f>
        <v>#N/A</v>
      </c>
      <c r="K45" s="190"/>
      <c r="L45" s="12"/>
      <c r="M45" s="12"/>
      <c r="N45" s="12"/>
      <c r="O45" s="12"/>
      <c r="P45" s="12"/>
      <c r="Q45" s="10"/>
      <c r="R45" s="12"/>
      <c r="S45" s="10"/>
      <c r="T45" s="12"/>
      <c r="U45" s="209"/>
    </row>
    <row r="46" spans="1:21" x14ac:dyDescent="0.25">
      <c r="A46" s="197" t="b">
        <v>0</v>
      </c>
      <c r="B46" s="10">
        <f t="shared" si="2"/>
        <v>45</v>
      </c>
      <c r="C46" s="10" t="e">
        <f t="shared" si="1"/>
        <v>#N/A</v>
      </c>
      <c r="D46" s="10" t="e">
        <f>_xlfn.XLOOKUP($E46,Tab_Def_Processes[Name(EN)],Tab_Def_Processes[Process_ID],,0,)</f>
        <v>#N/A</v>
      </c>
      <c r="E46" s="12" t="s">
        <v>35</v>
      </c>
      <c r="F46" s="10" t="e">
        <f>_xlfn.XLOOKUP($E46,Tab_Def_Processes[Name(EN)],Tab_Def_Processes[Process_Type],,0,)</f>
        <v>#N/A</v>
      </c>
      <c r="G46" s="10" t="e">
        <f>_xlfn.XLOOKUP($E46,Tab_Def_Processes[Name(EN)],Tab_Def_Processes[TC?],,0,)</f>
        <v>#N/A</v>
      </c>
      <c r="H46" s="10" t="e">
        <f>_xlfn.XLOOKUP($E46,Tab_Def_Processes[Name(EN)],Tab_Def_Processes[Dyn_TC?],,0,)</f>
        <v>#N/A</v>
      </c>
      <c r="I46" s="10" t="e">
        <f>_xlfn.XLOOKUP($E46,Tab_Def_Processes[Name(EN)],Tab_Def_Processes[Stock?],,0,)</f>
        <v>#N/A</v>
      </c>
      <c r="J46" s="10" t="e">
        <f>_xlfn.XLOOKUP($E46,Tab_Def_Processes[Name(EN)],Tab_Def_Processes[Initial_Stock?],,0,)</f>
        <v>#N/A</v>
      </c>
      <c r="K46" s="190"/>
      <c r="L46" s="12"/>
      <c r="M46" s="12"/>
      <c r="N46" s="12"/>
      <c r="O46" s="12"/>
      <c r="P46" s="12"/>
      <c r="Q46" s="10"/>
      <c r="R46" s="12"/>
      <c r="S46" s="10"/>
      <c r="T46" s="12"/>
      <c r="U46" s="209"/>
    </row>
    <row r="47" spans="1:21" x14ac:dyDescent="0.25">
      <c r="A47" s="197" t="b">
        <v>0</v>
      </c>
      <c r="B47" s="10">
        <f t="shared" si="2"/>
        <v>46</v>
      </c>
      <c r="C47" s="10" t="e">
        <f t="shared" si="1"/>
        <v>#N/A</v>
      </c>
      <c r="D47" s="10" t="e">
        <f>_xlfn.XLOOKUP($E47,Tab_Def_Processes[Name(EN)],Tab_Def_Processes[Process_ID],,0,)</f>
        <v>#N/A</v>
      </c>
      <c r="E47" s="12" t="s">
        <v>35</v>
      </c>
      <c r="F47" s="10" t="e">
        <f>_xlfn.XLOOKUP($E47,Tab_Def_Processes[Name(EN)],Tab_Def_Processes[Process_Type],,0,)</f>
        <v>#N/A</v>
      </c>
      <c r="G47" s="10" t="e">
        <f>_xlfn.XLOOKUP($E47,Tab_Def_Processes[Name(EN)],Tab_Def_Processes[TC?],,0,)</f>
        <v>#N/A</v>
      </c>
      <c r="H47" s="10" t="e">
        <f>_xlfn.XLOOKUP($E47,Tab_Def_Processes[Name(EN)],Tab_Def_Processes[Dyn_TC?],,0,)</f>
        <v>#N/A</v>
      </c>
      <c r="I47" s="10" t="e">
        <f>_xlfn.XLOOKUP($E47,Tab_Def_Processes[Name(EN)],Tab_Def_Processes[Stock?],,0,)</f>
        <v>#N/A</v>
      </c>
      <c r="J47" s="10" t="e">
        <f>_xlfn.XLOOKUP($E47,Tab_Def_Processes[Name(EN)],Tab_Def_Processes[Initial_Stock?],,0,)</f>
        <v>#N/A</v>
      </c>
      <c r="K47" s="190"/>
      <c r="L47" s="12"/>
      <c r="M47" s="12"/>
      <c r="N47" s="12"/>
      <c r="O47" s="12"/>
      <c r="P47" s="12"/>
      <c r="Q47" s="10"/>
      <c r="R47" s="12"/>
      <c r="S47" s="10"/>
      <c r="T47" s="12"/>
      <c r="U47" s="209"/>
    </row>
    <row r="48" spans="1:21" x14ac:dyDescent="0.25">
      <c r="A48" s="197" t="b">
        <v>0</v>
      </c>
      <c r="B48" s="10">
        <f t="shared" si="2"/>
        <v>47</v>
      </c>
      <c r="C48" s="10" t="e">
        <f t="shared" si="1"/>
        <v>#N/A</v>
      </c>
      <c r="D48" s="10" t="e">
        <f>_xlfn.XLOOKUP($E48,Tab_Def_Processes[Name(EN)],Tab_Def_Processes[Process_ID],,0,)</f>
        <v>#N/A</v>
      </c>
      <c r="E48" s="12" t="s">
        <v>35</v>
      </c>
      <c r="F48" s="10" t="e">
        <f>_xlfn.XLOOKUP($E48,Tab_Def_Processes[Name(EN)],Tab_Def_Processes[Process_Type],,0,)</f>
        <v>#N/A</v>
      </c>
      <c r="G48" s="10" t="e">
        <f>_xlfn.XLOOKUP($E48,Tab_Def_Processes[Name(EN)],Tab_Def_Processes[TC?],,0,)</f>
        <v>#N/A</v>
      </c>
      <c r="H48" s="10" t="e">
        <f>_xlfn.XLOOKUP($E48,Tab_Def_Processes[Name(EN)],Tab_Def_Processes[Dyn_TC?],,0,)</f>
        <v>#N/A</v>
      </c>
      <c r="I48" s="10" t="e">
        <f>_xlfn.XLOOKUP($E48,Tab_Def_Processes[Name(EN)],Tab_Def_Processes[Stock?],,0,)</f>
        <v>#N/A</v>
      </c>
      <c r="J48" s="10" t="e">
        <f>_xlfn.XLOOKUP($E48,Tab_Def_Processes[Name(EN)],Tab_Def_Processes[Initial_Stock?],,0,)</f>
        <v>#N/A</v>
      </c>
      <c r="K48" s="190"/>
      <c r="L48" s="12"/>
      <c r="M48" s="12"/>
      <c r="N48" s="12"/>
      <c r="O48" s="12"/>
      <c r="P48" s="12"/>
      <c r="Q48" s="10"/>
      <c r="R48" s="12"/>
      <c r="S48" s="10"/>
      <c r="T48" s="12"/>
      <c r="U48" s="209"/>
    </row>
    <row r="49" spans="1:21" x14ac:dyDescent="0.25">
      <c r="A49" s="197" t="b">
        <v>0</v>
      </c>
      <c r="B49" s="10">
        <f t="shared" si="2"/>
        <v>48</v>
      </c>
      <c r="C49" s="10" t="e">
        <f t="shared" si="1"/>
        <v>#N/A</v>
      </c>
      <c r="D49" s="10" t="e">
        <f>_xlfn.XLOOKUP($E49,Tab_Def_Processes[Name(EN)],Tab_Def_Processes[Process_ID],,0,)</f>
        <v>#N/A</v>
      </c>
      <c r="E49" s="12" t="s">
        <v>35</v>
      </c>
      <c r="F49" s="10" t="e">
        <f>_xlfn.XLOOKUP($E49,Tab_Def_Processes[Name(EN)],Tab_Def_Processes[Process_Type],,0,)</f>
        <v>#N/A</v>
      </c>
      <c r="G49" s="10" t="e">
        <f>_xlfn.XLOOKUP($E49,Tab_Def_Processes[Name(EN)],Tab_Def_Processes[TC?],,0,)</f>
        <v>#N/A</v>
      </c>
      <c r="H49" s="10" t="e">
        <f>_xlfn.XLOOKUP($E49,Tab_Def_Processes[Name(EN)],Tab_Def_Processes[Dyn_TC?],,0,)</f>
        <v>#N/A</v>
      </c>
      <c r="I49" s="10" t="e">
        <f>_xlfn.XLOOKUP($E49,Tab_Def_Processes[Name(EN)],Tab_Def_Processes[Stock?],,0,)</f>
        <v>#N/A</v>
      </c>
      <c r="J49" s="10" t="e">
        <f>_xlfn.XLOOKUP($E49,Tab_Def_Processes[Name(EN)],Tab_Def_Processes[Initial_Stock?],,0,)</f>
        <v>#N/A</v>
      </c>
      <c r="K49" s="190"/>
      <c r="L49" s="12"/>
      <c r="M49" s="12"/>
      <c r="N49" s="12"/>
      <c r="O49" s="12"/>
      <c r="P49" s="12"/>
      <c r="Q49" s="10"/>
      <c r="R49" s="12"/>
      <c r="S49" s="10"/>
      <c r="T49" s="12"/>
      <c r="U49" s="209"/>
    </row>
    <row r="50" spans="1:21" x14ac:dyDescent="0.25">
      <c r="A50" s="197" t="b">
        <v>0</v>
      </c>
      <c r="B50" s="10">
        <f t="shared" si="2"/>
        <v>49</v>
      </c>
      <c r="C50" s="10" t="e">
        <f t="shared" si="1"/>
        <v>#N/A</v>
      </c>
      <c r="D50" s="10" t="e">
        <f>_xlfn.XLOOKUP($E50,Tab_Def_Processes[Name(EN)],Tab_Def_Processes[Process_ID],,0,)</f>
        <v>#N/A</v>
      </c>
      <c r="E50" s="12" t="s">
        <v>35</v>
      </c>
      <c r="F50" s="10" t="e">
        <f>_xlfn.XLOOKUP($E50,Tab_Def_Processes[Name(EN)],Tab_Def_Processes[Process_Type],,0,)</f>
        <v>#N/A</v>
      </c>
      <c r="G50" s="10" t="e">
        <f>_xlfn.XLOOKUP($E50,Tab_Def_Processes[Name(EN)],Tab_Def_Processes[TC?],,0,)</f>
        <v>#N/A</v>
      </c>
      <c r="H50" s="10" t="e">
        <f>_xlfn.XLOOKUP($E50,Tab_Def_Processes[Name(EN)],Tab_Def_Processes[Dyn_TC?],,0,)</f>
        <v>#N/A</v>
      </c>
      <c r="I50" s="10" t="e">
        <f>_xlfn.XLOOKUP($E50,Tab_Def_Processes[Name(EN)],Tab_Def_Processes[Stock?],,0,)</f>
        <v>#N/A</v>
      </c>
      <c r="J50" s="10" t="e">
        <f>_xlfn.XLOOKUP($E50,Tab_Def_Processes[Name(EN)],Tab_Def_Processes[Initial_Stock?],,0,)</f>
        <v>#N/A</v>
      </c>
      <c r="K50" s="190"/>
      <c r="L50" s="12"/>
      <c r="M50" s="12"/>
      <c r="N50" s="12"/>
      <c r="O50" s="12"/>
      <c r="P50" s="12"/>
      <c r="Q50" s="10"/>
      <c r="R50" s="12"/>
      <c r="S50" s="10"/>
      <c r="T50" s="12"/>
      <c r="U50" s="209"/>
    </row>
    <row r="51" spans="1:21" x14ac:dyDescent="0.25">
      <c r="A51" s="197" t="b">
        <v>0</v>
      </c>
      <c r="B51" s="10">
        <f t="shared" si="2"/>
        <v>50</v>
      </c>
      <c r="C51" s="10" t="e">
        <f t="shared" si="1"/>
        <v>#N/A</v>
      </c>
      <c r="D51" s="10" t="e">
        <f>_xlfn.XLOOKUP($E51,Tab_Def_Processes[Name(EN)],Tab_Def_Processes[Process_ID],,0,)</f>
        <v>#N/A</v>
      </c>
      <c r="E51" s="12" t="s">
        <v>35</v>
      </c>
      <c r="F51" s="10" t="e">
        <f>_xlfn.XLOOKUP($E51,Tab_Def_Processes[Name(EN)],Tab_Def_Processes[Process_Type],,0,)</f>
        <v>#N/A</v>
      </c>
      <c r="G51" s="10" t="e">
        <f>_xlfn.XLOOKUP($E51,Tab_Def_Processes[Name(EN)],Tab_Def_Processes[TC?],,0,)</f>
        <v>#N/A</v>
      </c>
      <c r="H51" s="10" t="e">
        <f>_xlfn.XLOOKUP($E51,Tab_Def_Processes[Name(EN)],Tab_Def_Processes[Dyn_TC?],,0,)</f>
        <v>#N/A</v>
      </c>
      <c r="I51" s="10" t="e">
        <f>_xlfn.XLOOKUP($E51,Tab_Def_Processes[Name(EN)],Tab_Def_Processes[Stock?],,0,)</f>
        <v>#N/A</v>
      </c>
      <c r="J51" s="10" t="e">
        <f>_xlfn.XLOOKUP($E51,Tab_Def_Processes[Name(EN)],Tab_Def_Processes[Initial_Stock?],,0,)</f>
        <v>#N/A</v>
      </c>
      <c r="K51" s="190"/>
      <c r="L51" s="12"/>
      <c r="M51" s="12"/>
      <c r="N51" s="12"/>
      <c r="O51" s="12"/>
      <c r="P51" s="12"/>
      <c r="Q51" s="10"/>
      <c r="R51" s="12"/>
      <c r="S51" s="10"/>
      <c r="T51" s="12"/>
      <c r="U51" s="209"/>
    </row>
    <row r="52" spans="1:21" x14ac:dyDescent="0.25">
      <c r="A52" s="197" t="b">
        <v>0</v>
      </c>
      <c r="B52" s="10">
        <f t="shared" ref="B52:B63" si="3">ROW()-1</f>
        <v>51</v>
      </c>
      <c r="C52" s="10" t="str">
        <f t="shared" si="1"/>
        <v>S_12</v>
      </c>
      <c r="D52" s="10" t="str">
        <f>_xlfn.XLOOKUP($E52,Tab_Def_Processes[Name(EN)],Tab_Def_Processes[Process_ID],,0,)</f>
        <v>12</v>
      </c>
      <c r="E52" s="12"/>
      <c r="F52" s="10">
        <f>_xlfn.XLOOKUP($E52,Tab_Def_Processes[Name(EN)],Tab_Def_Processes[Process_Type],,0,)</f>
        <v>0</v>
      </c>
      <c r="G52" s="10">
        <f>_xlfn.XLOOKUP($E52,Tab_Def_Processes[Name(EN)],Tab_Def_Processes[TC?],,0,)</f>
        <v>0</v>
      </c>
      <c r="H52" s="10">
        <f>_xlfn.XLOOKUP($E52,Tab_Def_Processes[Name(EN)],Tab_Def_Processes[Dyn_TC?],,0,)</f>
        <v>0</v>
      </c>
      <c r="I52" s="10">
        <f>_xlfn.XLOOKUP($E52,Tab_Def_Processes[Name(EN)],Tab_Def_Processes[Stock?],,0,)</f>
        <v>0</v>
      </c>
      <c r="J52" s="10">
        <f>_xlfn.XLOOKUP($E52,Tab_Def_Processes[Name(EN)],Tab_Def_Processes[Initial_Stock?],,0,)</f>
        <v>0</v>
      </c>
      <c r="K52" s="190"/>
      <c r="L52" s="12"/>
      <c r="M52" s="12"/>
      <c r="N52" s="12"/>
      <c r="O52" s="12"/>
      <c r="P52" s="12"/>
      <c r="Q52" s="10"/>
      <c r="R52" s="12"/>
      <c r="S52" s="10"/>
      <c r="T52" s="12"/>
      <c r="U52" s="209"/>
    </row>
    <row r="53" spans="1:21" x14ac:dyDescent="0.25">
      <c r="A53" s="197" t="b">
        <v>0</v>
      </c>
      <c r="B53" s="10">
        <f t="shared" si="3"/>
        <v>52</v>
      </c>
      <c r="C53" s="10" t="str">
        <f t="shared" si="1"/>
        <v>S_12</v>
      </c>
      <c r="D53" s="10" t="str">
        <f>_xlfn.XLOOKUP($E53,Tab_Def_Processes[Name(EN)],Tab_Def_Processes[Process_ID],,0,)</f>
        <v>12</v>
      </c>
      <c r="E53" s="12"/>
      <c r="F53" s="10">
        <f>_xlfn.XLOOKUP($E53,Tab_Def_Processes[Name(EN)],Tab_Def_Processes[Process_Type],,0,)</f>
        <v>0</v>
      </c>
      <c r="G53" s="10">
        <f>_xlfn.XLOOKUP($E53,Tab_Def_Processes[Name(EN)],Tab_Def_Processes[TC?],,0,)</f>
        <v>0</v>
      </c>
      <c r="H53" s="10">
        <f>_xlfn.XLOOKUP($E53,Tab_Def_Processes[Name(EN)],Tab_Def_Processes[Dyn_TC?],,0,)</f>
        <v>0</v>
      </c>
      <c r="I53" s="10">
        <f>_xlfn.XLOOKUP($E53,Tab_Def_Processes[Name(EN)],Tab_Def_Processes[Stock?],,0,)</f>
        <v>0</v>
      </c>
      <c r="J53" s="10">
        <f>_xlfn.XLOOKUP($E53,Tab_Def_Processes[Name(EN)],Tab_Def_Processes[Initial_Stock?],,0,)</f>
        <v>0</v>
      </c>
      <c r="K53" s="190"/>
      <c r="L53" s="12"/>
      <c r="M53" s="12"/>
      <c r="N53" s="12"/>
      <c r="O53" s="12"/>
      <c r="P53" s="12"/>
      <c r="Q53" s="10"/>
      <c r="R53" s="12"/>
      <c r="S53" s="10"/>
      <c r="T53" s="12"/>
      <c r="U53" s="209"/>
    </row>
    <row r="54" spans="1:21" x14ac:dyDescent="0.25">
      <c r="A54" s="197" t="b">
        <v>0</v>
      </c>
      <c r="B54" s="10">
        <f t="shared" si="3"/>
        <v>53</v>
      </c>
      <c r="C54" s="10" t="str">
        <f t="shared" si="1"/>
        <v>S_12</v>
      </c>
      <c r="D54" s="10" t="str">
        <f>_xlfn.XLOOKUP($E54,Tab_Def_Processes[Name(EN)],Tab_Def_Processes[Process_ID],,0,)</f>
        <v>12</v>
      </c>
      <c r="E54" s="12"/>
      <c r="F54" s="10">
        <f>_xlfn.XLOOKUP($E54,Tab_Def_Processes[Name(EN)],Tab_Def_Processes[Process_Type],,0,)</f>
        <v>0</v>
      </c>
      <c r="G54" s="10">
        <f>_xlfn.XLOOKUP($E54,Tab_Def_Processes[Name(EN)],Tab_Def_Processes[TC?],,0,)</f>
        <v>0</v>
      </c>
      <c r="H54" s="10">
        <f>_xlfn.XLOOKUP($E54,Tab_Def_Processes[Name(EN)],Tab_Def_Processes[Dyn_TC?],,0,)</f>
        <v>0</v>
      </c>
      <c r="I54" s="10">
        <f>_xlfn.XLOOKUP($E54,Tab_Def_Processes[Name(EN)],Tab_Def_Processes[Stock?],,0,)</f>
        <v>0</v>
      </c>
      <c r="J54" s="10">
        <f>_xlfn.XLOOKUP($E54,Tab_Def_Processes[Name(EN)],Tab_Def_Processes[Initial_Stock?],,0,)</f>
        <v>0</v>
      </c>
      <c r="K54" s="190"/>
      <c r="L54" s="12"/>
      <c r="M54" s="12"/>
      <c r="N54" s="12"/>
      <c r="O54" s="12"/>
      <c r="P54" s="12"/>
      <c r="Q54" s="10"/>
      <c r="R54" s="12"/>
      <c r="S54" s="10"/>
      <c r="T54" s="12"/>
      <c r="U54" s="209"/>
    </row>
    <row r="55" spans="1:21" x14ac:dyDescent="0.25">
      <c r="A55" s="197" t="b">
        <v>0</v>
      </c>
      <c r="B55" s="10">
        <f t="shared" si="3"/>
        <v>54</v>
      </c>
      <c r="C55" s="10" t="str">
        <f t="shared" si="1"/>
        <v>S_12</v>
      </c>
      <c r="D55" s="10" t="str">
        <f>_xlfn.XLOOKUP($E55,Tab_Def_Processes[Name(EN)],Tab_Def_Processes[Process_ID],,0,)</f>
        <v>12</v>
      </c>
      <c r="E55" s="12"/>
      <c r="F55" s="10">
        <f>_xlfn.XLOOKUP($E55,Tab_Def_Processes[Name(EN)],Tab_Def_Processes[Process_Type],,0,)</f>
        <v>0</v>
      </c>
      <c r="G55" s="10">
        <f>_xlfn.XLOOKUP($E55,Tab_Def_Processes[Name(EN)],Tab_Def_Processes[TC?],,0,)</f>
        <v>0</v>
      </c>
      <c r="H55" s="10">
        <f>_xlfn.XLOOKUP($E55,Tab_Def_Processes[Name(EN)],Tab_Def_Processes[Dyn_TC?],,0,)</f>
        <v>0</v>
      </c>
      <c r="I55" s="10">
        <f>_xlfn.XLOOKUP($E55,Tab_Def_Processes[Name(EN)],Tab_Def_Processes[Stock?],,0,)</f>
        <v>0</v>
      </c>
      <c r="J55" s="10">
        <f>_xlfn.XLOOKUP($E55,Tab_Def_Processes[Name(EN)],Tab_Def_Processes[Initial_Stock?],,0,)</f>
        <v>0</v>
      </c>
      <c r="K55" s="190"/>
      <c r="L55" s="12"/>
      <c r="M55" s="12"/>
      <c r="N55" s="12"/>
      <c r="O55" s="12"/>
      <c r="P55" s="12"/>
      <c r="Q55" s="10"/>
      <c r="R55" s="12"/>
      <c r="S55" s="10"/>
      <c r="T55" s="12"/>
      <c r="U55" s="209"/>
    </row>
    <row r="56" spans="1:21" x14ac:dyDescent="0.25">
      <c r="A56" s="197" t="b">
        <v>0</v>
      </c>
      <c r="B56" s="10">
        <f t="shared" si="3"/>
        <v>55</v>
      </c>
      <c r="C56" s="10" t="str">
        <f t="shared" si="1"/>
        <v>S_12</v>
      </c>
      <c r="D56" s="10" t="str">
        <f>_xlfn.XLOOKUP($E56,Tab_Def_Processes[Name(EN)],Tab_Def_Processes[Process_ID],,0,)</f>
        <v>12</v>
      </c>
      <c r="E56" s="12"/>
      <c r="F56" s="10">
        <f>_xlfn.XLOOKUP($E56,Tab_Def_Processes[Name(EN)],Tab_Def_Processes[Process_Type],,0,)</f>
        <v>0</v>
      </c>
      <c r="G56" s="10">
        <f>_xlfn.XLOOKUP($E56,Tab_Def_Processes[Name(EN)],Tab_Def_Processes[TC?],,0,)</f>
        <v>0</v>
      </c>
      <c r="H56" s="10">
        <f>_xlfn.XLOOKUP($E56,Tab_Def_Processes[Name(EN)],Tab_Def_Processes[Dyn_TC?],,0,)</f>
        <v>0</v>
      </c>
      <c r="I56" s="10">
        <f>_xlfn.XLOOKUP($E56,Tab_Def_Processes[Name(EN)],Tab_Def_Processes[Stock?],,0,)</f>
        <v>0</v>
      </c>
      <c r="J56" s="10">
        <f>_xlfn.XLOOKUP($E56,Tab_Def_Processes[Name(EN)],Tab_Def_Processes[Initial_Stock?],,0,)</f>
        <v>0</v>
      </c>
      <c r="K56" s="190"/>
      <c r="L56" s="12"/>
      <c r="M56" s="12"/>
      <c r="N56" s="12"/>
      <c r="O56" s="12"/>
      <c r="P56" s="12"/>
      <c r="Q56" s="10"/>
      <c r="R56" s="12"/>
      <c r="S56" s="10"/>
      <c r="T56" s="12"/>
      <c r="U56" s="209"/>
    </row>
    <row r="57" spans="1:21" x14ac:dyDescent="0.25">
      <c r="A57" s="197" t="b">
        <v>0</v>
      </c>
      <c r="B57" s="10">
        <f t="shared" si="3"/>
        <v>56</v>
      </c>
      <c r="C57" s="10" t="str">
        <f t="shared" si="1"/>
        <v>S_12</v>
      </c>
      <c r="D57" s="10" t="str">
        <f>_xlfn.XLOOKUP($E57,Tab_Def_Processes[Name(EN)],Tab_Def_Processes[Process_ID],,0,)</f>
        <v>12</v>
      </c>
      <c r="E57" s="12"/>
      <c r="F57" s="10">
        <f>_xlfn.XLOOKUP($E57,Tab_Def_Processes[Name(EN)],Tab_Def_Processes[Process_Type],,0,)</f>
        <v>0</v>
      </c>
      <c r="G57" s="10">
        <f>_xlfn.XLOOKUP($E57,Tab_Def_Processes[Name(EN)],Tab_Def_Processes[TC?],,0,)</f>
        <v>0</v>
      </c>
      <c r="H57" s="10">
        <f>_xlfn.XLOOKUP($E57,Tab_Def_Processes[Name(EN)],Tab_Def_Processes[Dyn_TC?],,0,)</f>
        <v>0</v>
      </c>
      <c r="I57" s="10">
        <f>_xlfn.XLOOKUP($E57,Tab_Def_Processes[Name(EN)],Tab_Def_Processes[Stock?],,0,)</f>
        <v>0</v>
      </c>
      <c r="J57" s="10">
        <f>_xlfn.XLOOKUP($E57,Tab_Def_Processes[Name(EN)],Tab_Def_Processes[Initial_Stock?],,0,)</f>
        <v>0</v>
      </c>
      <c r="K57" s="190"/>
      <c r="L57" s="12"/>
      <c r="M57" s="12"/>
      <c r="N57" s="12"/>
      <c r="O57" s="12"/>
      <c r="P57" s="12"/>
      <c r="Q57" s="10"/>
      <c r="R57" s="12"/>
      <c r="S57" s="10"/>
      <c r="T57" s="12"/>
      <c r="U57" s="209"/>
    </row>
    <row r="58" spans="1:21" x14ac:dyDescent="0.25">
      <c r="A58" s="197" t="b">
        <v>0</v>
      </c>
      <c r="B58" s="10">
        <f t="shared" si="3"/>
        <v>57</v>
      </c>
      <c r="C58" s="10" t="str">
        <f t="shared" si="1"/>
        <v>S_12</v>
      </c>
      <c r="D58" s="10" t="str">
        <f>_xlfn.XLOOKUP($E58,Tab_Def_Processes[Name(EN)],Tab_Def_Processes[Process_ID],,0,)</f>
        <v>12</v>
      </c>
      <c r="E58" s="12"/>
      <c r="F58" s="10">
        <f>_xlfn.XLOOKUP($E58,Tab_Def_Processes[Name(EN)],Tab_Def_Processes[Process_Type],,0,)</f>
        <v>0</v>
      </c>
      <c r="G58" s="10">
        <f>_xlfn.XLOOKUP($E58,Tab_Def_Processes[Name(EN)],Tab_Def_Processes[TC?],,0,)</f>
        <v>0</v>
      </c>
      <c r="H58" s="10">
        <f>_xlfn.XLOOKUP($E58,Tab_Def_Processes[Name(EN)],Tab_Def_Processes[Dyn_TC?],,0,)</f>
        <v>0</v>
      </c>
      <c r="I58" s="10">
        <f>_xlfn.XLOOKUP($E58,Tab_Def_Processes[Name(EN)],Tab_Def_Processes[Stock?],,0,)</f>
        <v>0</v>
      </c>
      <c r="J58" s="10">
        <f>_xlfn.XLOOKUP($E58,Tab_Def_Processes[Name(EN)],Tab_Def_Processes[Initial_Stock?],,0,)</f>
        <v>0</v>
      </c>
      <c r="K58" s="190"/>
      <c r="L58" s="12"/>
      <c r="M58" s="12"/>
      <c r="N58" s="12"/>
      <c r="O58" s="12"/>
      <c r="P58" s="12"/>
      <c r="Q58" s="10"/>
      <c r="R58" s="12"/>
      <c r="S58" s="10"/>
      <c r="T58" s="12"/>
      <c r="U58" s="209"/>
    </row>
    <row r="59" spans="1:21" x14ac:dyDescent="0.25">
      <c r="A59" s="197" t="b">
        <v>0</v>
      </c>
      <c r="B59" s="10">
        <f t="shared" si="3"/>
        <v>58</v>
      </c>
      <c r="C59" s="10" t="str">
        <f t="shared" si="1"/>
        <v>S_12</v>
      </c>
      <c r="D59" s="10" t="str">
        <f>_xlfn.XLOOKUP($E59,Tab_Def_Processes[Name(EN)],Tab_Def_Processes[Process_ID],,0,)</f>
        <v>12</v>
      </c>
      <c r="E59" s="12"/>
      <c r="F59" s="10">
        <f>_xlfn.XLOOKUP($E59,Tab_Def_Processes[Name(EN)],Tab_Def_Processes[Process_Type],,0,)</f>
        <v>0</v>
      </c>
      <c r="G59" s="10">
        <f>_xlfn.XLOOKUP($E59,Tab_Def_Processes[Name(EN)],Tab_Def_Processes[TC?],,0,)</f>
        <v>0</v>
      </c>
      <c r="H59" s="10">
        <f>_xlfn.XLOOKUP($E59,Tab_Def_Processes[Name(EN)],Tab_Def_Processes[Dyn_TC?],,0,)</f>
        <v>0</v>
      </c>
      <c r="I59" s="10">
        <f>_xlfn.XLOOKUP($E59,Tab_Def_Processes[Name(EN)],Tab_Def_Processes[Stock?],,0,)</f>
        <v>0</v>
      </c>
      <c r="J59" s="10">
        <f>_xlfn.XLOOKUP($E59,Tab_Def_Processes[Name(EN)],Tab_Def_Processes[Initial_Stock?],,0,)</f>
        <v>0</v>
      </c>
      <c r="K59" s="190"/>
      <c r="L59" s="12"/>
      <c r="M59" s="12"/>
      <c r="N59" s="12"/>
      <c r="O59" s="12"/>
      <c r="P59" s="12"/>
      <c r="Q59" s="10"/>
      <c r="R59" s="12"/>
      <c r="S59" s="10"/>
      <c r="T59" s="12"/>
      <c r="U59" s="209"/>
    </row>
    <row r="60" spans="1:21" x14ac:dyDescent="0.25">
      <c r="A60" s="197" t="b">
        <v>0</v>
      </c>
      <c r="B60" s="10">
        <f t="shared" si="3"/>
        <v>59</v>
      </c>
      <c r="C60" s="10" t="str">
        <f t="shared" si="1"/>
        <v>S_12</v>
      </c>
      <c r="D60" s="10" t="str">
        <f>_xlfn.XLOOKUP($E60,Tab_Def_Processes[Name(EN)],Tab_Def_Processes[Process_ID],,0,)</f>
        <v>12</v>
      </c>
      <c r="E60" s="12"/>
      <c r="F60" s="10">
        <f>_xlfn.XLOOKUP($E60,Tab_Def_Processes[Name(EN)],Tab_Def_Processes[Process_Type],,0,)</f>
        <v>0</v>
      </c>
      <c r="G60" s="10">
        <f>_xlfn.XLOOKUP($E60,Tab_Def_Processes[Name(EN)],Tab_Def_Processes[TC?],,0,)</f>
        <v>0</v>
      </c>
      <c r="H60" s="10">
        <f>_xlfn.XLOOKUP($E60,Tab_Def_Processes[Name(EN)],Tab_Def_Processes[Dyn_TC?],,0,)</f>
        <v>0</v>
      </c>
      <c r="I60" s="10">
        <f>_xlfn.XLOOKUP($E60,Tab_Def_Processes[Name(EN)],Tab_Def_Processes[Stock?],,0,)</f>
        <v>0</v>
      </c>
      <c r="J60" s="10">
        <f>_xlfn.XLOOKUP($E60,Tab_Def_Processes[Name(EN)],Tab_Def_Processes[Initial_Stock?],,0,)</f>
        <v>0</v>
      </c>
      <c r="K60" s="190"/>
      <c r="L60" s="12"/>
      <c r="M60" s="12"/>
      <c r="N60" s="12"/>
      <c r="O60" s="12"/>
      <c r="P60" s="12"/>
      <c r="Q60" s="10"/>
      <c r="R60" s="12"/>
      <c r="S60" s="10"/>
      <c r="T60" s="12"/>
      <c r="U60" s="209"/>
    </row>
    <row r="61" spans="1:21" x14ac:dyDescent="0.25">
      <c r="A61" s="197" t="b">
        <v>0</v>
      </c>
      <c r="B61" s="10">
        <f t="shared" si="3"/>
        <v>60</v>
      </c>
      <c r="C61" s="10" t="str">
        <f t="shared" si="1"/>
        <v>S_12</v>
      </c>
      <c r="D61" s="10" t="str">
        <f>_xlfn.XLOOKUP($E61,Tab_Def_Processes[Name(EN)],Tab_Def_Processes[Process_ID],,0,)</f>
        <v>12</v>
      </c>
      <c r="E61" s="12"/>
      <c r="F61" s="10">
        <f>_xlfn.XLOOKUP($E61,Tab_Def_Processes[Name(EN)],Tab_Def_Processes[Process_Type],,0,)</f>
        <v>0</v>
      </c>
      <c r="G61" s="10">
        <f>_xlfn.XLOOKUP($E61,Tab_Def_Processes[Name(EN)],Tab_Def_Processes[TC?],,0,)</f>
        <v>0</v>
      </c>
      <c r="H61" s="10">
        <f>_xlfn.XLOOKUP($E61,Tab_Def_Processes[Name(EN)],Tab_Def_Processes[Dyn_TC?],,0,)</f>
        <v>0</v>
      </c>
      <c r="I61" s="10">
        <f>_xlfn.XLOOKUP($E61,Tab_Def_Processes[Name(EN)],Tab_Def_Processes[Stock?],,0,)</f>
        <v>0</v>
      </c>
      <c r="J61" s="10">
        <f>_xlfn.XLOOKUP($E61,Tab_Def_Processes[Name(EN)],Tab_Def_Processes[Initial_Stock?],,0,)</f>
        <v>0</v>
      </c>
      <c r="K61" s="190"/>
      <c r="L61" s="12"/>
      <c r="M61" s="12"/>
      <c r="N61" s="12"/>
      <c r="O61" s="12"/>
      <c r="P61" s="12"/>
      <c r="Q61" s="10"/>
      <c r="R61" s="12"/>
      <c r="S61" s="10"/>
      <c r="T61" s="12"/>
      <c r="U61" s="209"/>
    </row>
    <row r="62" spans="1:21" x14ac:dyDescent="0.25">
      <c r="A62" s="197" t="b">
        <v>0</v>
      </c>
      <c r="B62" s="10">
        <f t="shared" si="3"/>
        <v>61</v>
      </c>
      <c r="C62" s="10" t="str">
        <f t="shared" si="1"/>
        <v>S_12</v>
      </c>
      <c r="D62" s="10" t="str">
        <f>_xlfn.XLOOKUP($E62,Tab_Def_Processes[Name(EN)],Tab_Def_Processes[Process_ID],,0,)</f>
        <v>12</v>
      </c>
      <c r="E62" s="12"/>
      <c r="F62" s="10">
        <f>_xlfn.XLOOKUP($E62,Tab_Def_Processes[Name(EN)],Tab_Def_Processes[Process_Type],,0,)</f>
        <v>0</v>
      </c>
      <c r="G62" s="10">
        <f>_xlfn.XLOOKUP($E62,Tab_Def_Processes[Name(EN)],Tab_Def_Processes[TC?],,0,)</f>
        <v>0</v>
      </c>
      <c r="H62" s="10">
        <f>_xlfn.XLOOKUP($E62,Tab_Def_Processes[Name(EN)],Tab_Def_Processes[Dyn_TC?],,0,)</f>
        <v>0</v>
      </c>
      <c r="I62" s="10">
        <f>_xlfn.XLOOKUP($E62,Tab_Def_Processes[Name(EN)],Tab_Def_Processes[Stock?],,0,)</f>
        <v>0</v>
      </c>
      <c r="J62" s="10">
        <f>_xlfn.XLOOKUP($E62,Tab_Def_Processes[Name(EN)],Tab_Def_Processes[Initial_Stock?],,0,)</f>
        <v>0</v>
      </c>
      <c r="K62" s="190"/>
      <c r="L62" s="12"/>
      <c r="M62" s="12"/>
      <c r="N62" s="12"/>
      <c r="O62" s="12"/>
      <c r="P62" s="12"/>
      <c r="Q62" s="10"/>
      <c r="R62" s="12"/>
      <c r="S62" s="10"/>
      <c r="T62" s="12"/>
      <c r="U62" s="209"/>
    </row>
    <row r="63" spans="1:21" x14ac:dyDescent="0.25">
      <c r="A63" s="197" t="b">
        <v>0</v>
      </c>
      <c r="B63" s="10">
        <f t="shared" si="3"/>
        <v>62</v>
      </c>
      <c r="C63" s="10" t="str">
        <f t="shared" si="1"/>
        <v>S_12</v>
      </c>
      <c r="D63" s="10" t="str">
        <f>_xlfn.XLOOKUP($E63,Tab_Def_Processes[Name(EN)],Tab_Def_Processes[Process_ID],,0,)</f>
        <v>12</v>
      </c>
      <c r="E63" s="12"/>
      <c r="F63" s="10">
        <f>_xlfn.XLOOKUP($E63,Tab_Def_Processes[Name(EN)],Tab_Def_Processes[Process_Type],,0,)</f>
        <v>0</v>
      </c>
      <c r="G63" s="10">
        <f>_xlfn.XLOOKUP($E63,Tab_Def_Processes[Name(EN)],Tab_Def_Processes[TC?],,0,)</f>
        <v>0</v>
      </c>
      <c r="H63" s="10">
        <f>_xlfn.XLOOKUP($E63,Tab_Def_Processes[Name(EN)],Tab_Def_Processes[Dyn_TC?],,0,)</f>
        <v>0</v>
      </c>
      <c r="I63" s="10">
        <f>_xlfn.XLOOKUP($E63,Tab_Def_Processes[Name(EN)],Tab_Def_Processes[Stock?],,0,)</f>
        <v>0</v>
      </c>
      <c r="J63" s="10">
        <f>_xlfn.XLOOKUP($E63,Tab_Def_Processes[Name(EN)],Tab_Def_Processes[Initial_Stock?],,0,)</f>
        <v>0</v>
      </c>
      <c r="K63" s="190"/>
      <c r="L63" s="12"/>
      <c r="M63" s="12"/>
      <c r="N63" s="12"/>
      <c r="O63" s="12"/>
      <c r="P63" s="12"/>
      <c r="Q63" s="10"/>
      <c r="R63" s="12"/>
      <c r="S63" s="10"/>
      <c r="T63" s="12"/>
      <c r="U63" s="209"/>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'2_1_Definition_Processes'!$D$2:$D$58</xm:f>
          </x14:formula1>
          <xm:sqref>E2:E63 P2:P63</xm:sqref>
        </x14:dataValidation>
        <x14:dataValidation type="list" allowBlank="1" showInputMessage="1" showErrorMessage="1" xr:uid="{24E4AF9F-342A-4F59-A041-F0845D1625A8}">
          <x14:formula1>
            <xm:f>'1_1_Definition_Flows'!$D$2:$D$83</xm:f>
          </x14:formula1>
          <xm:sqref>R2:R63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D8FDE-37CD-484E-948A-2DCEC9379222}">
  <dimension ref="A1"/>
  <sheetViews>
    <sheetView workbookViewId="0">
      <selection activeCell="O103" sqref="O103"/>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dimension ref="A1:M47"/>
  <sheetViews>
    <sheetView zoomScaleNormal="100" workbookViewId="0">
      <selection activeCell="I26" sqref="I26"/>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9.85546875" customWidth="1"/>
    <col min="13" max="13" width="19.42578125" customWidth="1"/>
  </cols>
  <sheetData>
    <row r="1" spans="1:13" x14ac:dyDescent="0.25">
      <c r="A1" s="196" t="s">
        <v>88</v>
      </c>
      <c r="B1" s="196" t="s">
        <v>32</v>
      </c>
      <c r="C1" s="196" t="s">
        <v>62</v>
      </c>
      <c r="D1" s="196" t="s">
        <v>90</v>
      </c>
      <c r="E1" s="196" t="s">
        <v>121</v>
      </c>
      <c r="F1" s="196" t="s">
        <v>65</v>
      </c>
      <c r="G1" s="196" t="s">
        <v>284</v>
      </c>
      <c r="H1" s="196" t="s">
        <v>92</v>
      </c>
      <c r="I1" s="196" t="s">
        <v>311</v>
      </c>
      <c r="J1" s="196" t="s">
        <v>316</v>
      </c>
      <c r="K1" s="196" t="s">
        <v>317</v>
      </c>
      <c r="L1" s="196" t="s">
        <v>338</v>
      </c>
      <c r="M1" s="196" t="s">
        <v>304</v>
      </c>
    </row>
    <row r="2" spans="1:13" x14ac:dyDescent="0.25">
      <c r="A2" s="197" t="b">
        <v>1</v>
      </c>
      <c r="B2" s="10">
        <f t="shared" ref="B2:B47" si="0">ROW()-1</f>
        <v>1</v>
      </c>
      <c r="C2" s="10" t="str">
        <f>_xlfn.XLOOKUP($D2,Tab_Def_Processes[Name(EN)],Tab_Def_Processes[Process_ID],,0,)</f>
        <v>10</v>
      </c>
      <c r="D2" s="12" t="s">
        <v>101</v>
      </c>
      <c r="E2" s="10" t="str">
        <f>_xlfn.XLOOKUP($D2,Tab_Def_Processes[Name(EN)],Tab_Def_Processes[Process_Type],,0,)</f>
        <v>Process</v>
      </c>
      <c r="F2" s="10" t="str">
        <f>_xlfn.XLOOKUP($D2,Tab_Def_Processes[Name(EN)],Tab_Def_Processes[TC?],,0,)</f>
        <v>Yes</v>
      </c>
      <c r="G2" s="10" t="str">
        <f>_xlfn.XLOOKUP($D2,Tab_Def_Processes[Name(EN)],Tab_Def_Processes[Dyn_TC?],,0,)</f>
        <v>No</v>
      </c>
      <c r="H2" s="10" t="str">
        <f>_xlfn.XLOOKUP($D2,Tab_Def_Processes[Name(EN)],Tab_Def_Processes[Stock?],,0,)</f>
        <v>Yes</v>
      </c>
      <c r="I2" s="10" t="str">
        <f>_xlfn.XLOOKUP($D2,Tab_Def_Processes[Name(EN)],Tab_Def_Processes[Initial_Stock?],,0,)</f>
        <v>No</v>
      </c>
      <c r="J2" s="10" t="str">
        <f>_xlfn.XLOOKUP($D2,Tab_Def_Processes[Name(EN)],Tab_Def_Processes[DSM?],,0,)</f>
        <v>No</v>
      </c>
      <c r="K2" s="10" t="str">
        <f>_xlfn.XLOOKUP($D2,Tab_Def_Processes[Name(EN)],Tab_Def_Processes[FOMP?],,0,)</f>
        <v>Yes</v>
      </c>
      <c r="L2" s="12" t="s">
        <v>339</v>
      </c>
      <c r="M2" s="12" t="s">
        <v>468</v>
      </c>
    </row>
    <row r="3" spans="1:13" x14ac:dyDescent="0.25">
      <c r="A3" s="197" t="b">
        <v>0</v>
      </c>
      <c r="B3" s="10">
        <f t="shared" si="0"/>
        <v>2</v>
      </c>
      <c r="C3" s="10" t="str">
        <f>_xlfn.XLOOKUP($D3,Tab_Def_Processes[Name(EN)],Tab_Def_Processes[Process_ID],,0,)</f>
        <v>10</v>
      </c>
      <c r="D3" s="12" t="s">
        <v>101</v>
      </c>
      <c r="E3" s="10" t="str">
        <f>_xlfn.XLOOKUP($D3,Tab_Def_Processes[Name(EN)],Tab_Def_Processes[Process_Type],,0,)</f>
        <v>Process</v>
      </c>
      <c r="F3" s="10" t="str">
        <f>_xlfn.XLOOKUP($D3,Tab_Def_Processes[Name(EN)],Tab_Def_Processes[TC?],,0,)</f>
        <v>Yes</v>
      </c>
      <c r="G3" s="10" t="str">
        <f>_xlfn.XLOOKUP($D3,Tab_Def_Processes[Name(EN)],Tab_Def_Processes[Dyn_TC?],,0,)</f>
        <v>No</v>
      </c>
      <c r="H3" s="10" t="str">
        <f>_xlfn.XLOOKUP($D3,Tab_Def_Processes[Name(EN)],Tab_Def_Processes[Stock?],,0,)</f>
        <v>Yes</v>
      </c>
      <c r="I3" s="10" t="str">
        <f>_xlfn.XLOOKUP($D3,Tab_Def_Processes[Name(EN)],Tab_Def_Processes[Initial_Stock?],,0,)</f>
        <v>No</v>
      </c>
      <c r="J3" s="10" t="str">
        <f>_xlfn.XLOOKUP($D3,Tab_Def_Processes[Name(EN)],Tab_Def_Processes[DSM?],,0,)</f>
        <v>No</v>
      </c>
      <c r="K3" s="10" t="str">
        <f>_xlfn.XLOOKUP($D3,Tab_Def_Processes[Name(EN)],Tab_Def_Processes[FOMP?],,0,)</f>
        <v>Yes</v>
      </c>
      <c r="L3" s="12" t="s">
        <v>340</v>
      </c>
      <c r="M3" s="12">
        <v>0.23599999999999999</v>
      </c>
    </row>
    <row r="4" spans="1:13" x14ac:dyDescent="0.25">
      <c r="A4" s="197" t="b">
        <v>0</v>
      </c>
      <c r="B4" s="10">
        <f t="shared" si="0"/>
        <v>3</v>
      </c>
      <c r="C4" s="10" t="str">
        <f>_xlfn.XLOOKUP($D4,Tab_Def_Processes[Name(EN)],Tab_Def_Processes[Process_ID],,0,)</f>
        <v>10</v>
      </c>
      <c r="D4" s="12" t="s">
        <v>101</v>
      </c>
      <c r="E4" s="10" t="str">
        <f>_xlfn.XLOOKUP($D4,Tab_Def_Processes[Name(EN)],Tab_Def_Processes[Process_Type],,0,)</f>
        <v>Process</v>
      </c>
      <c r="F4" s="10" t="str">
        <f>_xlfn.XLOOKUP($D4,Tab_Def_Processes[Name(EN)],Tab_Def_Processes[TC?],,0,)</f>
        <v>Yes</v>
      </c>
      <c r="G4" s="10" t="str">
        <f>_xlfn.XLOOKUP($D4,Tab_Def_Processes[Name(EN)],Tab_Def_Processes[Dyn_TC?],,0,)</f>
        <v>No</v>
      </c>
      <c r="H4" s="10" t="str">
        <f>_xlfn.XLOOKUP($D4,Tab_Def_Processes[Name(EN)],Tab_Def_Processes[Stock?],,0,)</f>
        <v>Yes</v>
      </c>
      <c r="I4" s="10" t="str">
        <f>_xlfn.XLOOKUP($D4,Tab_Def_Processes[Name(EN)],Tab_Def_Processes[Initial_Stock?],,0,)</f>
        <v>No</v>
      </c>
      <c r="J4" s="10" t="str">
        <f>_xlfn.XLOOKUP($D4,Tab_Def_Processes[Name(EN)],Tab_Def_Processes[DSM?],,0,)</f>
        <v>No</v>
      </c>
      <c r="K4" s="10" t="str">
        <f>_xlfn.XLOOKUP($D4,Tab_Def_Processes[Name(EN)],Tab_Def_Processes[FOMP?],,0,)</f>
        <v>Yes</v>
      </c>
      <c r="L4" s="12" t="s">
        <v>341</v>
      </c>
      <c r="M4" s="12">
        <v>2.5000000000000001E-2</v>
      </c>
    </row>
    <row r="5" spans="1:13" x14ac:dyDescent="0.25">
      <c r="A5" s="197" t="b">
        <v>0</v>
      </c>
      <c r="B5" s="10">
        <f t="shared" si="0"/>
        <v>4</v>
      </c>
      <c r="C5" s="10" t="str">
        <f>_xlfn.XLOOKUP($D5,Tab_Def_Processes[Name(EN)],Tab_Def_Processes[Process_ID],,0,)</f>
        <v>10</v>
      </c>
      <c r="D5" s="12" t="s">
        <v>101</v>
      </c>
      <c r="E5" s="10" t="str">
        <f>_xlfn.XLOOKUP($D5,Tab_Def_Processes[Name(EN)],Tab_Def_Processes[Process_Type],,0,)</f>
        <v>Process</v>
      </c>
      <c r="F5" s="10" t="str">
        <f>_xlfn.XLOOKUP($D5,Tab_Def_Processes[Name(EN)],Tab_Def_Processes[TC?],,0,)</f>
        <v>Yes</v>
      </c>
      <c r="G5" s="10" t="str">
        <f>_xlfn.XLOOKUP($D5,Tab_Def_Processes[Name(EN)],Tab_Def_Processes[Dyn_TC?],,0,)</f>
        <v>No</v>
      </c>
      <c r="H5" s="10" t="str">
        <f>_xlfn.XLOOKUP($D5,Tab_Def_Processes[Name(EN)],Tab_Def_Processes[Stock?],,0,)</f>
        <v>Yes</v>
      </c>
      <c r="I5" s="10" t="str">
        <f>_xlfn.XLOOKUP($D5,Tab_Def_Processes[Name(EN)],Tab_Def_Processes[Initial_Stock?],,0,)</f>
        <v>No</v>
      </c>
      <c r="J5" s="10" t="str">
        <f>_xlfn.XLOOKUP($D5,Tab_Def_Processes[Name(EN)],Tab_Def_Processes[DSM?],,0,)</f>
        <v>No</v>
      </c>
      <c r="K5" s="10" t="str">
        <f>_xlfn.XLOOKUP($D5,Tab_Def_Processes[Name(EN)],Tab_Def_Processes[FOMP?],,0,)</f>
        <v>Yes</v>
      </c>
      <c r="L5" s="12" t="s">
        <v>342</v>
      </c>
      <c r="M5" s="12">
        <v>3.5099999999999999E-2</v>
      </c>
    </row>
    <row r="6" spans="1:13" x14ac:dyDescent="0.25">
      <c r="A6" s="197" t="b">
        <v>0</v>
      </c>
      <c r="B6" s="10">
        <f t="shared" si="0"/>
        <v>5</v>
      </c>
      <c r="C6" s="10" t="e">
        <f>_xlfn.XLOOKUP($D6,Tab_Def_Processes[Name(EN)],Tab_Def_Processes[Process_ID],,0,)</f>
        <v>#N/A</v>
      </c>
      <c r="D6" s="12" t="s">
        <v>35</v>
      </c>
      <c r="E6" s="10" t="e">
        <f>_xlfn.XLOOKUP($D6,Tab_Def_Processes[Name(EN)],Tab_Def_Processes[Process_Type],,0,)</f>
        <v>#N/A</v>
      </c>
      <c r="F6" s="10" t="e">
        <f>_xlfn.XLOOKUP($D6,Tab_Def_Processes[Name(EN)],Tab_Def_Processes[TC?],,0,)</f>
        <v>#N/A</v>
      </c>
      <c r="G6" s="10" t="e">
        <f>_xlfn.XLOOKUP($D6,Tab_Def_Processes[Name(EN)],Tab_Def_Processes[Dyn_TC?],,0,)</f>
        <v>#N/A</v>
      </c>
      <c r="H6" s="10" t="e">
        <f>_xlfn.XLOOKUP($D6,Tab_Def_Processes[Name(EN)],Tab_Def_Processes[Stock?],,0,)</f>
        <v>#N/A</v>
      </c>
      <c r="I6" s="10" t="e">
        <f>_xlfn.XLOOKUP($D6,Tab_Def_Processes[Name(EN)],Tab_Def_Processes[Initial_Stock?],,0,)</f>
        <v>#N/A</v>
      </c>
      <c r="J6" s="10" t="e">
        <f>_xlfn.XLOOKUP($D6,Tab_Def_Processes[Name(EN)],Tab_Def_Processes[DSM?],,0,)</f>
        <v>#N/A</v>
      </c>
      <c r="K6" s="10" t="e">
        <f>_xlfn.XLOOKUP($D6,Tab_Def_Processes[Name(EN)],Tab_Def_Processes[FOMP?],,0,)</f>
        <v>#N/A</v>
      </c>
      <c r="L6" s="12"/>
      <c r="M6" s="12"/>
    </row>
    <row r="7" spans="1:13" x14ac:dyDescent="0.25">
      <c r="A7" s="197" t="b">
        <v>0</v>
      </c>
      <c r="B7" s="10">
        <f t="shared" si="0"/>
        <v>6</v>
      </c>
      <c r="C7" s="10" t="e">
        <f>_xlfn.XLOOKUP($D7,Tab_Def_Processes[Name(EN)],Tab_Def_Processes[Process_ID],,0,)</f>
        <v>#N/A</v>
      </c>
      <c r="D7" s="12" t="s">
        <v>35</v>
      </c>
      <c r="E7" s="10" t="e">
        <f>_xlfn.XLOOKUP($D7,Tab_Def_Processes[Name(EN)],Tab_Def_Processes[Process_Type],,0,)</f>
        <v>#N/A</v>
      </c>
      <c r="F7" s="10" t="e">
        <f>_xlfn.XLOOKUP($D7,Tab_Def_Processes[Name(EN)],Tab_Def_Processes[TC?],,0,)</f>
        <v>#N/A</v>
      </c>
      <c r="G7" s="10" t="e">
        <f>_xlfn.XLOOKUP($D7,Tab_Def_Processes[Name(EN)],Tab_Def_Processes[Dyn_TC?],,0,)</f>
        <v>#N/A</v>
      </c>
      <c r="H7" s="10" t="e">
        <f>_xlfn.XLOOKUP($D7,Tab_Def_Processes[Name(EN)],Tab_Def_Processes[Stock?],,0,)</f>
        <v>#N/A</v>
      </c>
      <c r="I7" s="10" t="e">
        <f>_xlfn.XLOOKUP($D7,Tab_Def_Processes[Name(EN)],Tab_Def_Processes[Initial_Stock?],,0,)</f>
        <v>#N/A</v>
      </c>
      <c r="J7" s="10" t="e">
        <f>_xlfn.XLOOKUP($D7,Tab_Def_Processes[Name(EN)],Tab_Def_Processes[DSM?],,0,)</f>
        <v>#N/A</v>
      </c>
      <c r="K7" s="10" t="e">
        <f>_xlfn.XLOOKUP($D7,Tab_Def_Processes[Name(EN)],Tab_Def_Processes[FOMP?],,0,)</f>
        <v>#N/A</v>
      </c>
      <c r="L7" s="12"/>
      <c r="M7" s="12"/>
    </row>
    <row r="8" spans="1:13" x14ac:dyDescent="0.25">
      <c r="A8" s="197" t="b">
        <v>0</v>
      </c>
      <c r="B8" s="10">
        <f t="shared" si="0"/>
        <v>7</v>
      </c>
      <c r="C8" s="10" t="e">
        <f>_xlfn.XLOOKUP($D8,Tab_Def_Processes[Name(EN)],Tab_Def_Processes[Process_ID],,0,)</f>
        <v>#N/A</v>
      </c>
      <c r="D8" s="12" t="s">
        <v>35</v>
      </c>
      <c r="E8" s="10" t="e">
        <f>_xlfn.XLOOKUP($D8,Tab_Def_Processes[Name(EN)],Tab_Def_Processes[Process_Type],,0,)</f>
        <v>#N/A</v>
      </c>
      <c r="F8" s="10" t="e">
        <f>_xlfn.XLOOKUP($D8,Tab_Def_Processes[Name(EN)],Tab_Def_Processes[TC?],,0,)</f>
        <v>#N/A</v>
      </c>
      <c r="G8" s="10" t="e">
        <f>_xlfn.XLOOKUP($D8,Tab_Def_Processes[Name(EN)],Tab_Def_Processes[Dyn_TC?],,0,)</f>
        <v>#N/A</v>
      </c>
      <c r="H8" s="10" t="e">
        <f>_xlfn.XLOOKUP($D8,Tab_Def_Processes[Name(EN)],Tab_Def_Processes[Stock?],,0,)</f>
        <v>#N/A</v>
      </c>
      <c r="I8" s="10" t="e">
        <f>_xlfn.XLOOKUP($D8,Tab_Def_Processes[Name(EN)],Tab_Def_Processes[Initial_Stock?],,0,)</f>
        <v>#N/A</v>
      </c>
      <c r="J8" s="10" t="e">
        <f>_xlfn.XLOOKUP($D8,Tab_Def_Processes[Name(EN)],Tab_Def_Processes[DSM?],,0,)</f>
        <v>#N/A</v>
      </c>
      <c r="K8" s="10" t="e">
        <f>_xlfn.XLOOKUP($D8,Tab_Def_Processes[Name(EN)],Tab_Def_Processes[FOMP?],,0,)</f>
        <v>#N/A</v>
      </c>
      <c r="L8" s="12"/>
      <c r="M8" s="12"/>
    </row>
    <row r="9" spans="1:13" x14ac:dyDescent="0.25">
      <c r="A9" s="197" t="b">
        <v>0</v>
      </c>
      <c r="B9" s="10">
        <f t="shared" si="0"/>
        <v>8</v>
      </c>
      <c r="C9" s="10" t="e">
        <f>_xlfn.XLOOKUP($D9,Tab_Def_Processes[Name(EN)],Tab_Def_Processes[Process_ID],,0,)</f>
        <v>#N/A</v>
      </c>
      <c r="D9" s="12" t="s">
        <v>35</v>
      </c>
      <c r="E9" s="10" t="e">
        <f>_xlfn.XLOOKUP($D9,Tab_Def_Processes[Name(EN)],Tab_Def_Processes[Process_Type],,0,)</f>
        <v>#N/A</v>
      </c>
      <c r="F9" s="10" t="e">
        <f>_xlfn.XLOOKUP($D9,Tab_Def_Processes[Name(EN)],Tab_Def_Processes[TC?],,0,)</f>
        <v>#N/A</v>
      </c>
      <c r="G9" s="10" t="e">
        <f>_xlfn.XLOOKUP($D9,Tab_Def_Processes[Name(EN)],Tab_Def_Processes[Dyn_TC?],,0,)</f>
        <v>#N/A</v>
      </c>
      <c r="H9" s="10" t="e">
        <f>_xlfn.XLOOKUP($D9,Tab_Def_Processes[Name(EN)],Tab_Def_Processes[Stock?],,0,)</f>
        <v>#N/A</v>
      </c>
      <c r="I9" s="10" t="e">
        <f>_xlfn.XLOOKUP($D9,Tab_Def_Processes[Name(EN)],Tab_Def_Processes[Initial_Stock?],,0,)</f>
        <v>#N/A</v>
      </c>
      <c r="J9" s="10" t="e">
        <f>_xlfn.XLOOKUP($D9,Tab_Def_Processes[Name(EN)],Tab_Def_Processes[DSM?],,0,)</f>
        <v>#N/A</v>
      </c>
      <c r="K9" s="10" t="e">
        <f>_xlfn.XLOOKUP($D9,Tab_Def_Processes[Name(EN)],Tab_Def_Processes[FOMP?],,0,)</f>
        <v>#N/A</v>
      </c>
      <c r="L9" s="12"/>
      <c r="M9" s="12"/>
    </row>
    <row r="10" spans="1:13" x14ac:dyDescent="0.25">
      <c r="A10" s="197" t="b">
        <v>0</v>
      </c>
      <c r="B10" s="10">
        <f t="shared" si="0"/>
        <v>9</v>
      </c>
      <c r="C10" s="10" t="e">
        <f>_xlfn.XLOOKUP($D10,Tab_Def_Processes[Name(EN)],Tab_Def_Processes[Process_ID],,0,)</f>
        <v>#N/A</v>
      </c>
      <c r="D10" s="12" t="s">
        <v>35</v>
      </c>
      <c r="E10" s="10" t="e">
        <f>_xlfn.XLOOKUP($D10,Tab_Def_Processes[Name(EN)],Tab_Def_Processes[Process_Type],,0,)</f>
        <v>#N/A</v>
      </c>
      <c r="F10" s="10" t="e">
        <f>_xlfn.XLOOKUP($D10,Tab_Def_Processes[Name(EN)],Tab_Def_Processes[TC?],,0,)</f>
        <v>#N/A</v>
      </c>
      <c r="G10" s="10" t="e">
        <f>_xlfn.XLOOKUP($D10,Tab_Def_Processes[Name(EN)],Tab_Def_Processes[Dyn_TC?],,0,)</f>
        <v>#N/A</v>
      </c>
      <c r="H10" s="10" t="e">
        <f>_xlfn.XLOOKUP($D10,Tab_Def_Processes[Name(EN)],Tab_Def_Processes[Stock?],,0,)</f>
        <v>#N/A</v>
      </c>
      <c r="I10" s="10" t="e">
        <f>_xlfn.XLOOKUP($D10,Tab_Def_Processes[Name(EN)],Tab_Def_Processes[Initial_Stock?],,0,)</f>
        <v>#N/A</v>
      </c>
      <c r="J10" s="10" t="e">
        <f>_xlfn.XLOOKUP($D10,Tab_Def_Processes[Name(EN)],Tab_Def_Processes[DSM?],,0,)</f>
        <v>#N/A</v>
      </c>
      <c r="K10" s="10" t="e">
        <f>_xlfn.XLOOKUP($D10,Tab_Def_Processes[Name(EN)],Tab_Def_Processes[FOMP?],,0,)</f>
        <v>#N/A</v>
      </c>
      <c r="L10" s="12"/>
      <c r="M10" s="12"/>
    </row>
    <row r="11" spans="1:13" x14ac:dyDescent="0.25">
      <c r="A11" s="197" t="b">
        <v>0</v>
      </c>
      <c r="B11" s="10">
        <f t="shared" si="0"/>
        <v>10</v>
      </c>
      <c r="C11" s="10" t="e">
        <f>_xlfn.XLOOKUP($D11,Tab_Def_Processes[Name(EN)],Tab_Def_Processes[Process_ID],,0,)</f>
        <v>#N/A</v>
      </c>
      <c r="D11" s="12" t="s">
        <v>35</v>
      </c>
      <c r="E11" s="10" t="e">
        <f>_xlfn.XLOOKUP($D11,Tab_Def_Processes[Name(EN)],Tab_Def_Processes[Process_Type],,0,)</f>
        <v>#N/A</v>
      </c>
      <c r="F11" s="10" t="e">
        <f>_xlfn.XLOOKUP($D11,Tab_Def_Processes[Name(EN)],Tab_Def_Processes[TC?],,0,)</f>
        <v>#N/A</v>
      </c>
      <c r="G11" s="10" t="e">
        <f>_xlfn.XLOOKUP($D11,Tab_Def_Processes[Name(EN)],Tab_Def_Processes[Dyn_TC?],,0,)</f>
        <v>#N/A</v>
      </c>
      <c r="H11" s="10" t="e">
        <f>_xlfn.XLOOKUP($D11,Tab_Def_Processes[Name(EN)],Tab_Def_Processes[Stock?],,0,)</f>
        <v>#N/A</v>
      </c>
      <c r="I11" s="10" t="e">
        <f>_xlfn.XLOOKUP($D11,Tab_Def_Processes[Name(EN)],Tab_Def_Processes[Initial_Stock?],,0,)</f>
        <v>#N/A</v>
      </c>
      <c r="J11" s="10" t="e">
        <f>_xlfn.XLOOKUP($D11,Tab_Def_Processes[Name(EN)],Tab_Def_Processes[DSM?],,0,)</f>
        <v>#N/A</v>
      </c>
      <c r="K11" s="10" t="e">
        <f>_xlfn.XLOOKUP($D11,Tab_Def_Processes[Name(EN)],Tab_Def_Processes[FOMP?],,0,)</f>
        <v>#N/A</v>
      </c>
      <c r="L11" s="12"/>
      <c r="M11" s="12"/>
    </row>
    <row r="12" spans="1:13" x14ac:dyDescent="0.25">
      <c r="A12" s="197" t="b">
        <v>0</v>
      </c>
      <c r="B12" s="10">
        <f t="shared" si="0"/>
        <v>11</v>
      </c>
      <c r="C12" s="10" t="e">
        <f>_xlfn.XLOOKUP($D12,Tab_Def_Processes[Name(EN)],Tab_Def_Processes[Process_ID],,0,)</f>
        <v>#N/A</v>
      </c>
      <c r="D12" s="12" t="s">
        <v>35</v>
      </c>
      <c r="E12" s="10" t="e">
        <f>_xlfn.XLOOKUP($D12,Tab_Def_Processes[Name(EN)],Tab_Def_Processes[Process_Type],,0,)</f>
        <v>#N/A</v>
      </c>
      <c r="F12" s="10" t="e">
        <f>_xlfn.XLOOKUP($D12,Tab_Def_Processes[Name(EN)],Tab_Def_Processes[TC?],,0,)</f>
        <v>#N/A</v>
      </c>
      <c r="G12" s="10" t="e">
        <f>_xlfn.XLOOKUP($D12,Tab_Def_Processes[Name(EN)],Tab_Def_Processes[Dyn_TC?],,0,)</f>
        <v>#N/A</v>
      </c>
      <c r="H12" s="10" t="e">
        <f>_xlfn.XLOOKUP($D12,Tab_Def_Processes[Name(EN)],Tab_Def_Processes[Stock?],,0,)</f>
        <v>#N/A</v>
      </c>
      <c r="I12" s="10" t="e">
        <f>_xlfn.XLOOKUP($D12,Tab_Def_Processes[Name(EN)],Tab_Def_Processes[Initial_Stock?],,0,)</f>
        <v>#N/A</v>
      </c>
      <c r="J12" s="10" t="e">
        <f>_xlfn.XLOOKUP($D12,Tab_Def_Processes[Name(EN)],Tab_Def_Processes[DSM?],,0,)</f>
        <v>#N/A</v>
      </c>
      <c r="K12" s="10" t="e">
        <f>_xlfn.XLOOKUP($D12,Tab_Def_Processes[Name(EN)],Tab_Def_Processes[FOMP?],,0,)</f>
        <v>#N/A</v>
      </c>
      <c r="L12" s="12"/>
      <c r="M12" s="12"/>
    </row>
    <row r="13" spans="1:13" x14ac:dyDescent="0.25">
      <c r="A13" s="197" t="b">
        <v>0</v>
      </c>
      <c r="B13" s="10">
        <f t="shared" si="0"/>
        <v>12</v>
      </c>
      <c r="C13" s="10" t="e">
        <f>_xlfn.XLOOKUP($D13,Tab_Def_Processes[Name(EN)],Tab_Def_Processes[Process_ID],,0,)</f>
        <v>#N/A</v>
      </c>
      <c r="D13" s="12" t="s">
        <v>35</v>
      </c>
      <c r="E13" s="10" t="e">
        <f>_xlfn.XLOOKUP($D13,Tab_Def_Processes[Name(EN)],Tab_Def_Processes[Process_Type],,0,)</f>
        <v>#N/A</v>
      </c>
      <c r="F13" s="10" t="e">
        <f>_xlfn.XLOOKUP($D13,Tab_Def_Processes[Name(EN)],Tab_Def_Processes[TC?],,0,)</f>
        <v>#N/A</v>
      </c>
      <c r="G13" s="10" t="e">
        <f>_xlfn.XLOOKUP($D13,Tab_Def_Processes[Name(EN)],Tab_Def_Processes[Dyn_TC?],,0,)</f>
        <v>#N/A</v>
      </c>
      <c r="H13" s="10" t="e">
        <f>_xlfn.XLOOKUP($D13,Tab_Def_Processes[Name(EN)],Tab_Def_Processes[Stock?],,0,)</f>
        <v>#N/A</v>
      </c>
      <c r="I13" s="10" t="e">
        <f>_xlfn.XLOOKUP($D13,Tab_Def_Processes[Name(EN)],Tab_Def_Processes[Initial_Stock?],,0,)</f>
        <v>#N/A</v>
      </c>
      <c r="J13" s="10" t="e">
        <f>_xlfn.XLOOKUP($D13,Tab_Def_Processes[Name(EN)],Tab_Def_Processes[DSM?],,0,)</f>
        <v>#N/A</v>
      </c>
      <c r="K13" s="10" t="e">
        <f>_xlfn.XLOOKUP($D13,Tab_Def_Processes[Name(EN)],Tab_Def_Processes[FOMP?],,0,)</f>
        <v>#N/A</v>
      </c>
      <c r="L13" s="12"/>
      <c r="M13" s="12"/>
    </row>
    <row r="14" spans="1:13" x14ac:dyDescent="0.25">
      <c r="A14" s="197" t="b">
        <v>0</v>
      </c>
      <c r="B14" s="10">
        <f t="shared" si="0"/>
        <v>13</v>
      </c>
      <c r="C14" s="10" t="e">
        <f>_xlfn.XLOOKUP($D14,Tab_Def_Processes[Name(EN)],Tab_Def_Processes[Process_ID],,0,)</f>
        <v>#N/A</v>
      </c>
      <c r="D14" s="12" t="s">
        <v>35</v>
      </c>
      <c r="E14" s="10" t="e">
        <f>_xlfn.XLOOKUP($D14,Tab_Def_Processes[Name(EN)],Tab_Def_Processes[Process_Type],,0,)</f>
        <v>#N/A</v>
      </c>
      <c r="F14" s="10" t="e">
        <f>_xlfn.XLOOKUP($D14,Tab_Def_Processes[Name(EN)],Tab_Def_Processes[TC?],,0,)</f>
        <v>#N/A</v>
      </c>
      <c r="G14" s="10" t="e">
        <f>_xlfn.XLOOKUP($D14,Tab_Def_Processes[Name(EN)],Tab_Def_Processes[Dyn_TC?],,0,)</f>
        <v>#N/A</v>
      </c>
      <c r="H14" s="10" t="e">
        <f>_xlfn.XLOOKUP($D14,Tab_Def_Processes[Name(EN)],Tab_Def_Processes[Stock?],,0,)</f>
        <v>#N/A</v>
      </c>
      <c r="I14" s="10" t="e">
        <f>_xlfn.XLOOKUP($D14,Tab_Def_Processes[Name(EN)],Tab_Def_Processes[Initial_Stock?],,0,)</f>
        <v>#N/A</v>
      </c>
      <c r="J14" s="10" t="e">
        <f>_xlfn.XLOOKUP($D14,Tab_Def_Processes[Name(EN)],Tab_Def_Processes[DSM?],,0,)</f>
        <v>#N/A</v>
      </c>
      <c r="K14" s="10" t="e">
        <f>_xlfn.XLOOKUP($D14,Tab_Def_Processes[Name(EN)],Tab_Def_Processes[FOMP?],,0,)</f>
        <v>#N/A</v>
      </c>
      <c r="L14" s="12"/>
      <c r="M14" s="12"/>
    </row>
    <row r="15" spans="1:13" x14ac:dyDescent="0.25">
      <c r="A15" s="197" t="b">
        <v>0</v>
      </c>
      <c r="B15" s="10">
        <f t="shared" si="0"/>
        <v>14</v>
      </c>
      <c r="C15" s="10" t="e">
        <f>_xlfn.XLOOKUP($D15,Tab_Def_Processes[Name(EN)],Tab_Def_Processes[Process_ID],,0,)</f>
        <v>#N/A</v>
      </c>
      <c r="D15" s="12" t="s">
        <v>35</v>
      </c>
      <c r="E15" s="10" t="e">
        <f>_xlfn.XLOOKUP($D15,Tab_Def_Processes[Name(EN)],Tab_Def_Processes[Process_Type],,0,)</f>
        <v>#N/A</v>
      </c>
      <c r="F15" s="10" t="e">
        <f>_xlfn.XLOOKUP($D15,Tab_Def_Processes[Name(EN)],Tab_Def_Processes[TC?],,0,)</f>
        <v>#N/A</v>
      </c>
      <c r="G15" s="10" t="e">
        <f>_xlfn.XLOOKUP($D15,Tab_Def_Processes[Name(EN)],Tab_Def_Processes[Dyn_TC?],,0,)</f>
        <v>#N/A</v>
      </c>
      <c r="H15" s="10" t="e">
        <f>_xlfn.XLOOKUP($D15,Tab_Def_Processes[Name(EN)],Tab_Def_Processes[Stock?],,0,)</f>
        <v>#N/A</v>
      </c>
      <c r="I15" s="10" t="e">
        <f>_xlfn.XLOOKUP($D15,Tab_Def_Processes[Name(EN)],Tab_Def_Processes[Initial_Stock?],,0,)</f>
        <v>#N/A</v>
      </c>
      <c r="J15" s="10" t="e">
        <f>_xlfn.XLOOKUP($D15,Tab_Def_Processes[Name(EN)],Tab_Def_Processes[DSM?],,0,)</f>
        <v>#N/A</v>
      </c>
      <c r="K15" s="10" t="e">
        <f>_xlfn.XLOOKUP($D15,Tab_Def_Processes[Name(EN)],Tab_Def_Processes[FOMP?],,0,)</f>
        <v>#N/A</v>
      </c>
      <c r="L15" s="12"/>
      <c r="M15" s="12"/>
    </row>
    <row r="16" spans="1:13" x14ac:dyDescent="0.25">
      <c r="A16" s="197" t="b">
        <v>0</v>
      </c>
      <c r="B16" s="10">
        <f t="shared" si="0"/>
        <v>15</v>
      </c>
      <c r="C16" s="10" t="e">
        <f>_xlfn.XLOOKUP($D16,Tab_Def_Processes[Name(EN)],Tab_Def_Processes[Process_ID],,0,)</f>
        <v>#N/A</v>
      </c>
      <c r="D16" s="12" t="s">
        <v>35</v>
      </c>
      <c r="E16" s="10" t="e">
        <f>_xlfn.XLOOKUP($D16,Tab_Def_Processes[Name(EN)],Tab_Def_Processes[Process_Type],,0,)</f>
        <v>#N/A</v>
      </c>
      <c r="F16" s="10" t="e">
        <f>_xlfn.XLOOKUP($D16,Tab_Def_Processes[Name(EN)],Tab_Def_Processes[TC?],,0,)</f>
        <v>#N/A</v>
      </c>
      <c r="G16" s="10" t="e">
        <f>_xlfn.XLOOKUP($D16,Tab_Def_Processes[Name(EN)],Tab_Def_Processes[Dyn_TC?],,0,)</f>
        <v>#N/A</v>
      </c>
      <c r="H16" s="10" t="e">
        <f>_xlfn.XLOOKUP($D16,Tab_Def_Processes[Name(EN)],Tab_Def_Processes[Stock?],,0,)</f>
        <v>#N/A</v>
      </c>
      <c r="I16" s="10" t="e">
        <f>_xlfn.XLOOKUP($D16,Tab_Def_Processes[Name(EN)],Tab_Def_Processes[Initial_Stock?],,0,)</f>
        <v>#N/A</v>
      </c>
      <c r="J16" s="10" t="e">
        <f>_xlfn.XLOOKUP($D16,Tab_Def_Processes[Name(EN)],Tab_Def_Processes[DSM?],,0,)</f>
        <v>#N/A</v>
      </c>
      <c r="K16" s="10" t="e">
        <f>_xlfn.XLOOKUP($D16,Tab_Def_Processes[Name(EN)],Tab_Def_Processes[FOMP?],,0,)</f>
        <v>#N/A</v>
      </c>
      <c r="L16" s="12"/>
      <c r="M16" s="12"/>
    </row>
    <row r="17" spans="1:13" x14ac:dyDescent="0.25">
      <c r="A17" s="197" t="b">
        <v>0</v>
      </c>
      <c r="B17" s="10">
        <f t="shared" si="0"/>
        <v>16</v>
      </c>
      <c r="C17" s="10" t="e">
        <f>_xlfn.XLOOKUP($D17,Tab_Def_Processes[Name(EN)],Tab_Def_Processes[Process_ID],,0,)</f>
        <v>#N/A</v>
      </c>
      <c r="D17" s="12" t="s">
        <v>35</v>
      </c>
      <c r="E17" s="10" t="e">
        <f>_xlfn.XLOOKUP($D17,Tab_Def_Processes[Name(EN)],Tab_Def_Processes[Process_Type],,0,)</f>
        <v>#N/A</v>
      </c>
      <c r="F17" s="10" t="e">
        <f>_xlfn.XLOOKUP($D17,Tab_Def_Processes[Name(EN)],Tab_Def_Processes[TC?],,0,)</f>
        <v>#N/A</v>
      </c>
      <c r="G17" s="10" t="e">
        <f>_xlfn.XLOOKUP($D17,Tab_Def_Processes[Name(EN)],Tab_Def_Processes[Dyn_TC?],,0,)</f>
        <v>#N/A</v>
      </c>
      <c r="H17" s="10" t="e">
        <f>_xlfn.XLOOKUP($D17,Tab_Def_Processes[Name(EN)],Tab_Def_Processes[Stock?],,0,)</f>
        <v>#N/A</v>
      </c>
      <c r="I17" s="10" t="e">
        <f>_xlfn.XLOOKUP($D17,Tab_Def_Processes[Name(EN)],Tab_Def_Processes[Initial_Stock?],,0,)</f>
        <v>#N/A</v>
      </c>
      <c r="J17" s="10" t="e">
        <f>_xlfn.XLOOKUP($D17,Tab_Def_Processes[Name(EN)],Tab_Def_Processes[DSM?],,0,)</f>
        <v>#N/A</v>
      </c>
      <c r="K17" s="10" t="e">
        <f>_xlfn.XLOOKUP($D17,Tab_Def_Processes[Name(EN)],Tab_Def_Processes[FOMP?],,0,)</f>
        <v>#N/A</v>
      </c>
      <c r="L17" s="12"/>
      <c r="M17" s="12"/>
    </row>
    <row r="18" spans="1:13" x14ac:dyDescent="0.25">
      <c r="A18" s="197" t="b">
        <v>0</v>
      </c>
      <c r="B18" s="10">
        <f t="shared" si="0"/>
        <v>17</v>
      </c>
      <c r="C18" s="10" t="e">
        <f>_xlfn.XLOOKUP($D18,Tab_Def_Processes[Name(EN)],Tab_Def_Processes[Process_ID],,0,)</f>
        <v>#N/A</v>
      </c>
      <c r="D18" s="12" t="s">
        <v>35</v>
      </c>
      <c r="E18" s="10" t="e">
        <f>_xlfn.XLOOKUP($D18,Tab_Def_Processes[Name(EN)],Tab_Def_Processes[Process_Type],,0,)</f>
        <v>#N/A</v>
      </c>
      <c r="F18" s="10" t="e">
        <f>_xlfn.XLOOKUP($D18,Tab_Def_Processes[Name(EN)],Tab_Def_Processes[TC?],,0,)</f>
        <v>#N/A</v>
      </c>
      <c r="G18" s="10" t="e">
        <f>_xlfn.XLOOKUP($D18,Tab_Def_Processes[Name(EN)],Tab_Def_Processes[Dyn_TC?],,0,)</f>
        <v>#N/A</v>
      </c>
      <c r="H18" s="10" t="e">
        <f>_xlfn.XLOOKUP($D18,Tab_Def_Processes[Name(EN)],Tab_Def_Processes[Stock?],,0,)</f>
        <v>#N/A</v>
      </c>
      <c r="I18" s="10" t="e">
        <f>_xlfn.XLOOKUP($D18,Tab_Def_Processes[Name(EN)],Tab_Def_Processes[Initial_Stock?],,0,)</f>
        <v>#N/A</v>
      </c>
      <c r="J18" s="10" t="e">
        <f>_xlfn.XLOOKUP($D18,Tab_Def_Processes[Name(EN)],Tab_Def_Processes[DSM?],,0,)</f>
        <v>#N/A</v>
      </c>
      <c r="K18" s="10" t="e">
        <f>_xlfn.XLOOKUP($D18,Tab_Def_Processes[Name(EN)],Tab_Def_Processes[FOMP?],,0,)</f>
        <v>#N/A</v>
      </c>
      <c r="L18" s="12"/>
      <c r="M18" s="12"/>
    </row>
    <row r="19" spans="1:13" x14ac:dyDescent="0.25">
      <c r="A19" s="197" t="b">
        <v>0</v>
      </c>
      <c r="B19" s="10">
        <f t="shared" si="0"/>
        <v>18</v>
      </c>
      <c r="C19" s="10" t="e">
        <f>_xlfn.XLOOKUP($D19,Tab_Def_Processes[Name(EN)],Tab_Def_Processes[Process_ID],,0,)</f>
        <v>#N/A</v>
      </c>
      <c r="D19" s="12" t="s">
        <v>35</v>
      </c>
      <c r="E19" s="10" t="e">
        <f>_xlfn.XLOOKUP($D19,Tab_Def_Processes[Name(EN)],Tab_Def_Processes[Process_Type],,0,)</f>
        <v>#N/A</v>
      </c>
      <c r="F19" s="10" t="e">
        <f>_xlfn.XLOOKUP($D19,Tab_Def_Processes[Name(EN)],Tab_Def_Processes[TC?],,0,)</f>
        <v>#N/A</v>
      </c>
      <c r="G19" s="10" t="e">
        <f>_xlfn.XLOOKUP($D19,Tab_Def_Processes[Name(EN)],Tab_Def_Processes[Dyn_TC?],,0,)</f>
        <v>#N/A</v>
      </c>
      <c r="H19" s="10" t="e">
        <f>_xlfn.XLOOKUP($D19,Tab_Def_Processes[Name(EN)],Tab_Def_Processes[Stock?],,0,)</f>
        <v>#N/A</v>
      </c>
      <c r="I19" s="10" t="e">
        <f>_xlfn.XLOOKUP($D19,Tab_Def_Processes[Name(EN)],Tab_Def_Processes[Initial_Stock?],,0,)</f>
        <v>#N/A</v>
      </c>
      <c r="J19" s="10" t="e">
        <f>_xlfn.XLOOKUP($D19,Tab_Def_Processes[Name(EN)],Tab_Def_Processes[DSM?],,0,)</f>
        <v>#N/A</v>
      </c>
      <c r="K19" s="10" t="e">
        <f>_xlfn.XLOOKUP($D19,Tab_Def_Processes[Name(EN)],Tab_Def_Processes[FOMP?],,0,)</f>
        <v>#N/A</v>
      </c>
      <c r="L19" s="12"/>
      <c r="M19" s="12"/>
    </row>
    <row r="20" spans="1:13" x14ac:dyDescent="0.25">
      <c r="A20" s="197" t="b">
        <v>0</v>
      </c>
      <c r="B20" s="10">
        <f t="shared" si="0"/>
        <v>19</v>
      </c>
      <c r="C20" s="10" t="e">
        <f>_xlfn.XLOOKUP($D20,Tab_Def_Processes[Name(EN)],Tab_Def_Processes[Process_ID],,0,)</f>
        <v>#N/A</v>
      </c>
      <c r="D20" s="12" t="s">
        <v>35</v>
      </c>
      <c r="E20" s="10" t="e">
        <f>_xlfn.XLOOKUP($D20,Tab_Def_Processes[Name(EN)],Tab_Def_Processes[Process_Type],,0,)</f>
        <v>#N/A</v>
      </c>
      <c r="F20" s="10" t="e">
        <f>_xlfn.XLOOKUP($D20,Tab_Def_Processes[Name(EN)],Tab_Def_Processes[TC?],,0,)</f>
        <v>#N/A</v>
      </c>
      <c r="G20" s="10" t="e">
        <f>_xlfn.XLOOKUP($D20,Tab_Def_Processes[Name(EN)],Tab_Def_Processes[Dyn_TC?],,0,)</f>
        <v>#N/A</v>
      </c>
      <c r="H20" s="10" t="e">
        <f>_xlfn.XLOOKUP($D20,Tab_Def_Processes[Name(EN)],Tab_Def_Processes[Stock?],,0,)</f>
        <v>#N/A</v>
      </c>
      <c r="I20" s="10" t="e">
        <f>_xlfn.XLOOKUP($D20,Tab_Def_Processes[Name(EN)],Tab_Def_Processes[Initial_Stock?],,0,)</f>
        <v>#N/A</v>
      </c>
      <c r="J20" s="10" t="e">
        <f>_xlfn.XLOOKUP($D20,Tab_Def_Processes[Name(EN)],Tab_Def_Processes[DSM?],,0,)</f>
        <v>#N/A</v>
      </c>
      <c r="K20" s="10" t="e">
        <f>_xlfn.XLOOKUP($D20,Tab_Def_Processes[Name(EN)],Tab_Def_Processes[FOMP?],,0,)</f>
        <v>#N/A</v>
      </c>
      <c r="L20" s="12"/>
      <c r="M20" s="12"/>
    </row>
    <row r="21" spans="1:13" x14ac:dyDescent="0.25">
      <c r="A21" s="197" t="b">
        <v>0</v>
      </c>
      <c r="B21" s="10">
        <f t="shared" si="0"/>
        <v>20</v>
      </c>
      <c r="C21" s="10" t="e">
        <f>_xlfn.XLOOKUP($D21,Tab_Def_Processes[Name(EN)],Tab_Def_Processes[Process_ID],,0,)</f>
        <v>#N/A</v>
      </c>
      <c r="D21" s="12" t="s">
        <v>35</v>
      </c>
      <c r="E21" s="10" t="e">
        <f>_xlfn.XLOOKUP($D21,Tab_Def_Processes[Name(EN)],Tab_Def_Processes[Process_Type],,0,)</f>
        <v>#N/A</v>
      </c>
      <c r="F21" s="10" t="e">
        <f>_xlfn.XLOOKUP($D21,Tab_Def_Processes[Name(EN)],Tab_Def_Processes[TC?],,0,)</f>
        <v>#N/A</v>
      </c>
      <c r="G21" s="10" t="e">
        <f>_xlfn.XLOOKUP($D21,Tab_Def_Processes[Name(EN)],Tab_Def_Processes[Dyn_TC?],,0,)</f>
        <v>#N/A</v>
      </c>
      <c r="H21" s="10" t="e">
        <f>_xlfn.XLOOKUP($D21,Tab_Def_Processes[Name(EN)],Tab_Def_Processes[Stock?],,0,)</f>
        <v>#N/A</v>
      </c>
      <c r="I21" s="10" t="e">
        <f>_xlfn.XLOOKUP($D21,Tab_Def_Processes[Name(EN)],Tab_Def_Processes[Initial_Stock?],,0,)</f>
        <v>#N/A</v>
      </c>
      <c r="J21" s="10" t="e">
        <f>_xlfn.XLOOKUP($D21,Tab_Def_Processes[Name(EN)],Tab_Def_Processes[DSM?],,0,)</f>
        <v>#N/A</v>
      </c>
      <c r="K21" s="10" t="e">
        <f>_xlfn.XLOOKUP($D21,Tab_Def_Processes[Name(EN)],Tab_Def_Processes[FOMP?],,0,)</f>
        <v>#N/A</v>
      </c>
      <c r="L21" s="12"/>
      <c r="M21" s="12"/>
    </row>
    <row r="22" spans="1:13" x14ac:dyDescent="0.25">
      <c r="A22" s="197" t="b">
        <v>0</v>
      </c>
      <c r="B22" s="10">
        <f t="shared" si="0"/>
        <v>21</v>
      </c>
      <c r="C22" s="10" t="e">
        <f>_xlfn.XLOOKUP($D22,Tab_Def_Processes[Name(EN)],Tab_Def_Processes[Process_ID],,0,)</f>
        <v>#N/A</v>
      </c>
      <c r="D22" s="12" t="s">
        <v>35</v>
      </c>
      <c r="E22" s="10" t="e">
        <f>_xlfn.XLOOKUP($D22,Tab_Def_Processes[Name(EN)],Tab_Def_Processes[Process_Type],,0,)</f>
        <v>#N/A</v>
      </c>
      <c r="F22" s="10" t="e">
        <f>_xlfn.XLOOKUP($D22,Tab_Def_Processes[Name(EN)],Tab_Def_Processes[TC?],,0,)</f>
        <v>#N/A</v>
      </c>
      <c r="G22" s="10" t="e">
        <f>_xlfn.XLOOKUP($D22,Tab_Def_Processes[Name(EN)],Tab_Def_Processes[Dyn_TC?],,0,)</f>
        <v>#N/A</v>
      </c>
      <c r="H22" s="10" t="e">
        <f>_xlfn.XLOOKUP($D22,Tab_Def_Processes[Name(EN)],Tab_Def_Processes[Stock?],,0,)</f>
        <v>#N/A</v>
      </c>
      <c r="I22" s="10" t="e">
        <f>_xlfn.XLOOKUP($D22,Tab_Def_Processes[Name(EN)],Tab_Def_Processes[Initial_Stock?],,0,)</f>
        <v>#N/A</v>
      </c>
      <c r="J22" s="10" t="e">
        <f>_xlfn.XLOOKUP($D22,Tab_Def_Processes[Name(EN)],Tab_Def_Processes[DSM?],,0,)</f>
        <v>#N/A</v>
      </c>
      <c r="K22" s="10" t="e">
        <f>_xlfn.XLOOKUP($D22,Tab_Def_Processes[Name(EN)],Tab_Def_Processes[FOMP?],,0,)</f>
        <v>#N/A</v>
      </c>
      <c r="L22" s="12"/>
      <c r="M22" s="12"/>
    </row>
    <row r="23" spans="1:13" x14ac:dyDescent="0.25">
      <c r="A23" s="197" t="b">
        <v>0</v>
      </c>
      <c r="B23" s="10">
        <f t="shared" si="0"/>
        <v>22</v>
      </c>
      <c r="C23" s="10" t="e">
        <f>_xlfn.XLOOKUP($D23,Tab_Def_Processes[Name(EN)],Tab_Def_Processes[Process_ID],,0,)</f>
        <v>#N/A</v>
      </c>
      <c r="D23" s="12" t="s">
        <v>35</v>
      </c>
      <c r="E23" s="10" t="e">
        <f>_xlfn.XLOOKUP($D23,Tab_Def_Processes[Name(EN)],Tab_Def_Processes[Process_Type],,0,)</f>
        <v>#N/A</v>
      </c>
      <c r="F23" s="10" t="e">
        <f>_xlfn.XLOOKUP($D23,Tab_Def_Processes[Name(EN)],Tab_Def_Processes[TC?],,0,)</f>
        <v>#N/A</v>
      </c>
      <c r="G23" s="10" t="e">
        <f>_xlfn.XLOOKUP($D23,Tab_Def_Processes[Name(EN)],Tab_Def_Processes[Dyn_TC?],,0,)</f>
        <v>#N/A</v>
      </c>
      <c r="H23" s="10" t="e">
        <f>_xlfn.XLOOKUP($D23,Tab_Def_Processes[Name(EN)],Tab_Def_Processes[Stock?],,0,)</f>
        <v>#N/A</v>
      </c>
      <c r="I23" s="10" t="e">
        <f>_xlfn.XLOOKUP($D23,Tab_Def_Processes[Name(EN)],Tab_Def_Processes[Initial_Stock?],,0,)</f>
        <v>#N/A</v>
      </c>
      <c r="J23" s="10" t="e">
        <f>_xlfn.XLOOKUP($D23,Tab_Def_Processes[Name(EN)],Tab_Def_Processes[DSM?],,0,)</f>
        <v>#N/A</v>
      </c>
      <c r="K23" s="10" t="e">
        <f>_xlfn.XLOOKUP($D23,Tab_Def_Processes[Name(EN)],Tab_Def_Processes[FOMP?],,0,)</f>
        <v>#N/A</v>
      </c>
      <c r="L23" s="12"/>
      <c r="M23" s="12"/>
    </row>
    <row r="24" spans="1:13" x14ac:dyDescent="0.25">
      <c r="A24" s="197" t="b">
        <v>0</v>
      </c>
      <c r="B24" s="10">
        <f t="shared" si="0"/>
        <v>23</v>
      </c>
      <c r="C24" s="10" t="e">
        <f>_xlfn.XLOOKUP($D24,Tab_Def_Processes[Name(EN)],Tab_Def_Processes[Process_ID],,0,)</f>
        <v>#N/A</v>
      </c>
      <c r="D24" s="12" t="s">
        <v>35</v>
      </c>
      <c r="E24" s="10" t="e">
        <f>_xlfn.XLOOKUP($D24,Tab_Def_Processes[Name(EN)],Tab_Def_Processes[Process_Type],,0,)</f>
        <v>#N/A</v>
      </c>
      <c r="F24" s="10" t="e">
        <f>_xlfn.XLOOKUP($D24,Tab_Def_Processes[Name(EN)],Tab_Def_Processes[TC?],,0,)</f>
        <v>#N/A</v>
      </c>
      <c r="G24" s="10" t="e">
        <f>_xlfn.XLOOKUP($D24,Tab_Def_Processes[Name(EN)],Tab_Def_Processes[Dyn_TC?],,0,)</f>
        <v>#N/A</v>
      </c>
      <c r="H24" s="10" t="e">
        <f>_xlfn.XLOOKUP($D24,Tab_Def_Processes[Name(EN)],Tab_Def_Processes[Stock?],,0,)</f>
        <v>#N/A</v>
      </c>
      <c r="I24" s="10" t="e">
        <f>_xlfn.XLOOKUP($D24,Tab_Def_Processes[Name(EN)],Tab_Def_Processes[Initial_Stock?],,0,)</f>
        <v>#N/A</v>
      </c>
      <c r="J24" s="10" t="e">
        <f>_xlfn.XLOOKUP($D24,Tab_Def_Processes[Name(EN)],Tab_Def_Processes[DSM?],,0,)</f>
        <v>#N/A</v>
      </c>
      <c r="K24" s="10" t="e">
        <f>_xlfn.XLOOKUP($D24,Tab_Def_Processes[Name(EN)],Tab_Def_Processes[FOMP?],,0,)</f>
        <v>#N/A</v>
      </c>
      <c r="L24" s="12"/>
      <c r="M24" s="12"/>
    </row>
    <row r="25" spans="1:13" x14ac:dyDescent="0.25">
      <c r="A25" s="197" t="b">
        <v>0</v>
      </c>
      <c r="B25" s="10">
        <f t="shared" si="0"/>
        <v>24</v>
      </c>
      <c r="C25" s="10" t="e">
        <f>_xlfn.XLOOKUP($D25,Tab_Def_Processes[Name(EN)],Tab_Def_Processes[Process_ID],,0,)</f>
        <v>#N/A</v>
      </c>
      <c r="D25" s="12" t="s">
        <v>35</v>
      </c>
      <c r="E25" s="10" t="e">
        <f>_xlfn.XLOOKUP($D25,Tab_Def_Processes[Name(EN)],Tab_Def_Processes[Process_Type],,0,)</f>
        <v>#N/A</v>
      </c>
      <c r="F25" s="10" t="e">
        <f>_xlfn.XLOOKUP($D25,Tab_Def_Processes[Name(EN)],Tab_Def_Processes[TC?],,0,)</f>
        <v>#N/A</v>
      </c>
      <c r="G25" s="10" t="e">
        <f>_xlfn.XLOOKUP($D25,Tab_Def_Processes[Name(EN)],Tab_Def_Processes[Dyn_TC?],,0,)</f>
        <v>#N/A</v>
      </c>
      <c r="H25" s="10" t="e">
        <f>_xlfn.XLOOKUP($D25,Tab_Def_Processes[Name(EN)],Tab_Def_Processes[Stock?],,0,)</f>
        <v>#N/A</v>
      </c>
      <c r="I25" s="10" t="e">
        <f>_xlfn.XLOOKUP($D25,Tab_Def_Processes[Name(EN)],Tab_Def_Processes[Initial_Stock?],,0,)</f>
        <v>#N/A</v>
      </c>
      <c r="J25" s="10" t="e">
        <f>_xlfn.XLOOKUP($D25,Tab_Def_Processes[Name(EN)],Tab_Def_Processes[DSM?],,0,)</f>
        <v>#N/A</v>
      </c>
      <c r="K25" s="10" t="e">
        <f>_xlfn.XLOOKUP($D25,Tab_Def_Processes[Name(EN)],Tab_Def_Processes[FOMP?],,0,)</f>
        <v>#N/A</v>
      </c>
      <c r="L25" s="12"/>
      <c r="M25" s="12"/>
    </row>
    <row r="26" spans="1:13" x14ac:dyDescent="0.25">
      <c r="A26" s="197" t="b">
        <v>0</v>
      </c>
      <c r="B26" s="10">
        <f t="shared" si="0"/>
        <v>25</v>
      </c>
      <c r="C26" s="10" t="e">
        <f>_xlfn.XLOOKUP($D26,Tab_Def_Processes[Name(EN)],Tab_Def_Processes[Process_ID],,0,)</f>
        <v>#N/A</v>
      </c>
      <c r="D26" s="12" t="s">
        <v>35</v>
      </c>
      <c r="E26" s="10" t="e">
        <f>_xlfn.XLOOKUP($D26,Tab_Def_Processes[Name(EN)],Tab_Def_Processes[Process_Type],,0,)</f>
        <v>#N/A</v>
      </c>
      <c r="F26" s="10" t="e">
        <f>_xlfn.XLOOKUP($D26,Tab_Def_Processes[Name(EN)],Tab_Def_Processes[TC?],,0,)</f>
        <v>#N/A</v>
      </c>
      <c r="G26" s="10" t="e">
        <f>_xlfn.XLOOKUP($D26,Tab_Def_Processes[Name(EN)],Tab_Def_Processes[Dyn_TC?],,0,)</f>
        <v>#N/A</v>
      </c>
      <c r="H26" s="10" t="e">
        <f>_xlfn.XLOOKUP($D26,Tab_Def_Processes[Name(EN)],Tab_Def_Processes[Stock?],,0,)</f>
        <v>#N/A</v>
      </c>
      <c r="I26" s="10" t="e">
        <f>_xlfn.XLOOKUP($D26,Tab_Def_Processes[Name(EN)],Tab_Def_Processes[Initial_Stock?],,0,)</f>
        <v>#N/A</v>
      </c>
      <c r="J26" s="10" t="e">
        <f>_xlfn.XLOOKUP($D26,Tab_Def_Processes[Name(EN)],Tab_Def_Processes[DSM?],,0,)</f>
        <v>#N/A</v>
      </c>
      <c r="K26" s="10" t="e">
        <f>_xlfn.XLOOKUP($D26,Tab_Def_Processes[Name(EN)],Tab_Def_Processes[FOMP?],,0,)</f>
        <v>#N/A</v>
      </c>
      <c r="L26" s="12"/>
      <c r="M26" s="12"/>
    </row>
    <row r="27" spans="1:13" x14ac:dyDescent="0.25">
      <c r="A27" s="197" t="b">
        <v>0</v>
      </c>
      <c r="B27" s="10">
        <f t="shared" si="0"/>
        <v>26</v>
      </c>
      <c r="C27" s="10" t="e">
        <f>_xlfn.XLOOKUP($D27,Tab_Def_Processes[Name(EN)],Tab_Def_Processes[Process_ID],,0,)</f>
        <v>#N/A</v>
      </c>
      <c r="D27" s="12" t="s">
        <v>35</v>
      </c>
      <c r="E27" s="10" t="e">
        <f>_xlfn.XLOOKUP($D27,Tab_Def_Processes[Name(EN)],Tab_Def_Processes[Process_Type],,0,)</f>
        <v>#N/A</v>
      </c>
      <c r="F27" s="10" t="e">
        <f>_xlfn.XLOOKUP($D27,Tab_Def_Processes[Name(EN)],Tab_Def_Processes[TC?],,0,)</f>
        <v>#N/A</v>
      </c>
      <c r="G27" s="10" t="e">
        <f>_xlfn.XLOOKUP($D27,Tab_Def_Processes[Name(EN)],Tab_Def_Processes[Dyn_TC?],,0,)</f>
        <v>#N/A</v>
      </c>
      <c r="H27" s="10" t="e">
        <f>_xlfn.XLOOKUP($D27,Tab_Def_Processes[Name(EN)],Tab_Def_Processes[Stock?],,0,)</f>
        <v>#N/A</v>
      </c>
      <c r="I27" s="10" t="e">
        <f>_xlfn.XLOOKUP($D27,Tab_Def_Processes[Name(EN)],Tab_Def_Processes[Initial_Stock?],,0,)</f>
        <v>#N/A</v>
      </c>
      <c r="J27" s="10" t="e">
        <f>_xlfn.XLOOKUP($D27,Tab_Def_Processes[Name(EN)],Tab_Def_Processes[DSM?],,0,)</f>
        <v>#N/A</v>
      </c>
      <c r="K27" s="10" t="e">
        <f>_xlfn.XLOOKUP($D27,Tab_Def_Processes[Name(EN)],Tab_Def_Processes[FOMP?],,0,)</f>
        <v>#N/A</v>
      </c>
      <c r="L27" s="12"/>
      <c r="M27" s="12"/>
    </row>
    <row r="28" spans="1:13" x14ac:dyDescent="0.25">
      <c r="A28" s="197" t="b">
        <v>0</v>
      </c>
      <c r="B28" s="10">
        <f t="shared" si="0"/>
        <v>27</v>
      </c>
      <c r="C28" s="10" t="e">
        <f>_xlfn.XLOOKUP($D28,Tab_Def_Processes[Name(EN)],Tab_Def_Processes[Process_ID],,0,)</f>
        <v>#N/A</v>
      </c>
      <c r="D28" s="12" t="s">
        <v>35</v>
      </c>
      <c r="E28" s="10" t="e">
        <f>_xlfn.XLOOKUP($D28,Tab_Def_Processes[Name(EN)],Tab_Def_Processes[Process_Type],,0,)</f>
        <v>#N/A</v>
      </c>
      <c r="F28" s="10" t="e">
        <f>_xlfn.XLOOKUP($D28,Tab_Def_Processes[Name(EN)],Tab_Def_Processes[TC?],,0,)</f>
        <v>#N/A</v>
      </c>
      <c r="G28" s="10" t="e">
        <f>_xlfn.XLOOKUP($D28,Tab_Def_Processes[Name(EN)],Tab_Def_Processes[Dyn_TC?],,0,)</f>
        <v>#N/A</v>
      </c>
      <c r="H28" s="10" t="e">
        <f>_xlfn.XLOOKUP($D28,Tab_Def_Processes[Name(EN)],Tab_Def_Processes[Stock?],,0,)</f>
        <v>#N/A</v>
      </c>
      <c r="I28" s="10" t="e">
        <f>_xlfn.XLOOKUP($D28,Tab_Def_Processes[Name(EN)],Tab_Def_Processes[Initial_Stock?],,0,)</f>
        <v>#N/A</v>
      </c>
      <c r="J28" s="10" t="e">
        <f>_xlfn.XLOOKUP($D28,Tab_Def_Processes[Name(EN)],Tab_Def_Processes[DSM?],,0,)</f>
        <v>#N/A</v>
      </c>
      <c r="K28" s="10" t="e">
        <f>_xlfn.XLOOKUP($D28,Tab_Def_Processes[Name(EN)],Tab_Def_Processes[FOMP?],,0,)</f>
        <v>#N/A</v>
      </c>
      <c r="L28" s="12"/>
      <c r="M28" s="12"/>
    </row>
    <row r="29" spans="1:13" x14ac:dyDescent="0.25">
      <c r="A29" s="197" t="b">
        <v>0</v>
      </c>
      <c r="B29" s="10">
        <f t="shared" si="0"/>
        <v>28</v>
      </c>
      <c r="C29" s="10" t="e">
        <f>_xlfn.XLOOKUP($D29,Tab_Def_Processes[Name(EN)],Tab_Def_Processes[Process_ID],,0,)</f>
        <v>#N/A</v>
      </c>
      <c r="D29" s="12" t="s">
        <v>35</v>
      </c>
      <c r="E29" s="10" t="e">
        <f>_xlfn.XLOOKUP($D29,Tab_Def_Processes[Name(EN)],Tab_Def_Processes[Process_Type],,0,)</f>
        <v>#N/A</v>
      </c>
      <c r="F29" s="10" t="e">
        <f>_xlfn.XLOOKUP($D29,Tab_Def_Processes[Name(EN)],Tab_Def_Processes[TC?],,0,)</f>
        <v>#N/A</v>
      </c>
      <c r="G29" s="10" t="e">
        <f>_xlfn.XLOOKUP($D29,Tab_Def_Processes[Name(EN)],Tab_Def_Processes[Dyn_TC?],,0,)</f>
        <v>#N/A</v>
      </c>
      <c r="H29" s="10" t="e">
        <f>_xlfn.XLOOKUP($D29,Tab_Def_Processes[Name(EN)],Tab_Def_Processes[Stock?],,0,)</f>
        <v>#N/A</v>
      </c>
      <c r="I29" s="10" t="e">
        <f>_xlfn.XLOOKUP($D29,Tab_Def_Processes[Name(EN)],Tab_Def_Processes[Initial_Stock?],,0,)</f>
        <v>#N/A</v>
      </c>
      <c r="J29" s="10" t="e">
        <f>_xlfn.XLOOKUP($D29,Tab_Def_Processes[Name(EN)],Tab_Def_Processes[DSM?],,0,)</f>
        <v>#N/A</v>
      </c>
      <c r="K29" s="10" t="e">
        <f>_xlfn.XLOOKUP($D29,Tab_Def_Processes[Name(EN)],Tab_Def_Processes[FOMP?],,0,)</f>
        <v>#N/A</v>
      </c>
      <c r="L29" s="12"/>
      <c r="M29" s="12"/>
    </row>
    <row r="30" spans="1:13" x14ac:dyDescent="0.25">
      <c r="A30" s="197" t="b">
        <v>0</v>
      </c>
      <c r="B30" s="10">
        <f t="shared" si="0"/>
        <v>29</v>
      </c>
      <c r="C30" s="10" t="e">
        <f>_xlfn.XLOOKUP($D30,Tab_Def_Processes[Name(EN)],Tab_Def_Processes[Process_ID],,0,)</f>
        <v>#N/A</v>
      </c>
      <c r="D30" s="12" t="s">
        <v>35</v>
      </c>
      <c r="E30" s="10" t="e">
        <f>_xlfn.XLOOKUP($D30,Tab_Def_Processes[Name(EN)],Tab_Def_Processes[Process_Type],,0,)</f>
        <v>#N/A</v>
      </c>
      <c r="F30" s="10" t="e">
        <f>_xlfn.XLOOKUP($D30,Tab_Def_Processes[Name(EN)],Tab_Def_Processes[TC?],,0,)</f>
        <v>#N/A</v>
      </c>
      <c r="G30" s="10" t="e">
        <f>_xlfn.XLOOKUP($D30,Tab_Def_Processes[Name(EN)],Tab_Def_Processes[Dyn_TC?],,0,)</f>
        <v>#N/A</v>
      </c>
      <c r="H30" s="10" t="e">
        <f>_xlfn.XLOOKUP($D30,Tab_Def_Processes[Name(EN)],Tab_Def_Processes[Stock?],,0,)</f>
        <v>#N/A</v>
      </c>
      <c r="I30" s="10" t="e">
        <f>_xlfn.XLOOKUP($D30,Tab_Def_Processes[Name(EN)],Tab_Def_Processes[Initial_Stock?],,0,)</f>
        <v>#N/A</v>
      </c>
      <c r="J30" s="10" t="e">
        <f>_xlfn.XLOOKUP($D30,Tab_Def_Processes[Name(EN)],Tab_Def_Processes[DSM?],,0,)</f>
        <v>#N/A</v>
      </c>
      <c r="K30" s="10" t="e">
        <f>_xlfn.XLOOKUP($D30,Tab_Def_Processes[Name(EN)],Tab_Def_Processes[FOMP?],,0,)</f>
        <v>#N/A</v>
      </c>
      <c r="L30" s="12"/>
      <c r="M30" s="12"/>
    </row>
    <row r="31" spans="1:13" x14ac:dyDescent="0.25">
      <c r="A31" s="197" t="b">
        <v>0</v>
      </c>
      <c r="B31" s="10">
        <f t="shared" si="0"/>
        <v>30</v>
      </c>
      <c r="C31" s="10" t="e">
        <f>_xlfn.XLOOKUP($D31,Tab_Def_Processes[Name(EN)],Tab_Def_Processes[Process_ID],,0,)</f>
        <v>#N/A</v>
      </c>
      <c r="D31" s="12" t="s">
        <v>35</v>
      </c>
      <c r="E31" s="10" t="e">
        <f>_xlfn.XLOOKUP($D31,Tab_Def_Processes[Name(EN)],Tab_Def_Processes[Process_Type],,0,)</f>
        <v>#N/A</v>
      </c>
      <c r="F31" s="10" t="e">
        <f>_xlfn.XLOOKUP($D31,Tab_Def_Processes[Name(EN)],Tab_Def_Processes[TC?],,0,)</f>
        <v>#N/A</v>
      </c>
      <c r="G31" s="10" t="e">
        <f>_xlfn.XLOOKUP($D31,Tab_Def_Processes[Name(EN)],Tab_Def_Processes[Dyn_TC?],,0,)</f>
        <v>#N/A</v>
      </c>
      <c r="H31" s="10" t="e">
        <f>_xlfn.XLOOKUP($D31,Tab_Def_Processes[Name(EN)],Tab_Def_Processes[Stock?],,0,)</f>
        <v>#N/A</v>
      </c>
      <c r="I31" s="10" t="e">
        <f>_xlfn.XLOOKUP($D31,Tab_Def_Processes[Name(EN)],Tab_Def_Processes[Initial_Stock?],,0,)</f>
        <v>#N/A</v>
      </c>
      <c r="J31" s="10" t="e">
        <f>_xlfn.XLOOKUP($D31,Tab_Def_Processes[Name(EN)],Tab_Def_Processes[DSM?],,0,)</f>
        <v>#N/A</v>
      </c>
      <c r="K31" s="10" t="e">
        <f>_xlfn.XLOOKUP($D31,Tab_Def_Processes[Name(EN)],Tab_Def_Processes[FOMP?],,0,)</f>
        <v>#N/A</v>
      </c>
      <c r="L31" s="12"/>
      <c r="M31" s="12"/>
    </row>
    <row r="32" spans="1:13" x14ac:dyDescent="0.25">
      <c r="A32" s="197" t="b">
        <v>0</v>
      </c>
      <c r="B32" s="10">
        <f t="shared" si="0"/>
        <v>31</v>
      </c>
      <c r="C32" s="10" t="e">
        <f>_xlfn.XLOOKUP($D32,Tab_Def_Processes[Name(EN)],Tab_Def_Processes[Process_ID],,0,)</f>
        <v>#N/A</v>
      </c>
      <c r="D32" s="12" t="s">
        <v>35</v>
      </c>
      <c r="E32" s="10" t="e">
        <f>_xlfn.XLOOKUP($D32,Tab_Def_Processes[Name(EN)],Tab_Def_Processes[Process_Type],,0,)</f>
        <v>#N/A</v>
      </c>
      <c r="F32" s="10" t="e">
        <f>_xlfn.XLOOKUP($D32,Tab_Def_Processes[Name(EN)],Tab_Def_Processes[TC?],,0,)</f>
        <v>#N/A</v>
      </c>
      <c r="G32" s="10" t="e">
        <f>_xlfn.XLOOKUP($D32,Tab_Def_Processes[Name(EN)],Tab_Def_Processes[Dyn_TC?],,0,)</f>
        <v>#N/A</v>
      </c>
      <c r="H32" s="10" t="e">
        <f>_xlfn.XLOOKUP($D32,Tab_Def_Processes[Name(EN)],Tab_Def_Processes[Stock?],,0,)</f>
        <v>#N/A</v>
      </c>
      <c r="I32" s="10" t="e">
        <f>_xlfn.XLOOKUP($D32,Tab_Def_Processes[Name(EN)],Tab_Def_Processes[Initial_Stock?],,0,)</f>
        <v>#N/A</v>
      </c>
      <c r="J32" s="10" t="e">
        <f>_xlfn.XLOOKUP($D32,Tab_Def_Processes[Name(EN)],Tab_Def_Processes[DSM?],,0,)</f>
        <v>#N/A</v>
      </c>
      <c r="K32" s="10" t="e">
        <f>_xlfn.XLOOKUP($D32,Tab_Def_Processes[Name(EN)],Tab_Def_Processes[FOMP?],,0,)</f>
        <v>#N/A</v>
      </c>
      <c r="L32" s="12"/>
      <c r="M32" s="12"/>
    </row>
    <row r="33" spans="1:13" x14ac:dyDescent="0.25">
      <c r="A33" s="197" t="b">
        <v>0</v>
      </c>
      <c r="B33" s="10">
        <f t="shared" si="0"/>
        <v>32</v>
      </c>
      <c r="C33" s="10" t="e">
        <f>_xlfn.XLOOKUP($D33,Tab_Def_Processes[Name(EN)],Tab_Def_Processes[Process_ID],,0,)</f>
        <v>#N/A</v>
      </c>
      <c r="D33" s="12" t="s">
        <v>35</v>
      </c>
      <c r="E33" s="10" t="e">
        <f>_xlfn.XLOOKUP($D33,Tab_Def_Processes[Name(EN)],Tab_Def_Processes[Process_Type],,0,)</f>
        <v>#N/A</v>
      </c>
      <c r="F33" s="10" t="e">
        <f>_xlfn.XLOOKUP($D33,Tab_Def_Processes[Name(EN)],Tab_Def_Processes[TC?],,0,)</f>
        <v>#N/A</v>
      </c>
      <c r="G33" s="10" t="e">
        <f>_xlfn.XLOOKUP($D33,Tab_Def_Processes[Name(EN)],Tab_Def_Processes[Dyn_TC?],,0,)</f>
        <v>#N/A</v>
      </c>
      <c r="H33" s="10" t="e">
        <f>_xlfn.XLOOKUP($D33,Tab_Def_Processes[Name(EN)],Tab_Def_Processes[Stock?],,0,)</f>
        <v>#N/A</v>
      </c>
      <c r="I33" s="10" t="e">
        <f>_xlfn.XLOOKUP($D33,Tab_Def_Processes[Name(EN)],Tab_Def_Processes[Initial_Stock?],,0,)</f>
        <v>#N/A</v>
      </c>
      <c r="J33" s="10" t="e">
        <f>_xlfn.XLOOKUP($D33,Tab_Def_Processes[Name(EN)],Tab_Def_Processes[DSM?],,0,)</f>
        <v>#N/A</v>
      </c>
      <c r="K33" s="10" t="e">
        <f>_xlfn.XLOOKUP($D33,Tab_Def_Processes[Name(EN)],Tab_Def_Processes[FOMP?],,0,)</f>
        <v>#N/A</v>
      </c>
      <c r="L33" s="12"/>
      <c r="M33" s="12"/>
    </row>
    <row r="34" spans="1:13" x14ac:dyDescent="0.25">
      <c r="A34" s="197" t="b">
        <v>0</v>
      </c>
      <c r="B34" s="10">
        <f t="shared" si="0"/>
        <v>33</v>
      </c>
      <c r="C34" s="10" t="e">
        <f>_xlfn.XLOOKUP($D34,Tab_Def_Processes[Name(EN)],Tab_Def_Processes[Process_ID],,0,)</f>
        <v>#N/A</v>
      </c>
      <c r="D34" s="12" t="s">
        <v>35</v>
      </c>
      <c r="E34" s="10" t="e">
        <f>_xlfn.XLOOKUP($D34,Tab_Def_Processes[Name(EN)],Tab_Def_Processes[Process_Type],,0,)</f>
        <v>#N/A</v>
      </c>
      <c r="F34" s="10" t="e">
        <f>_xlfn.XLOOKUP($D34,Tab_Def_Processes[Name(EN)],Tab_Def_Processes[TC?],,0,)</f>
        <v>#N/A</v>
      </c>
      <c r="G34" s="10" t="e">
        <f>_xlfn.XLOOKUP($D34,Tab_Def_Processes[Name(EN)],Tab_Def_Processes[Dyn_TC?],,0,)</f>
        <v>#N/A</v>
      </c>
      <c r="H34" s="10" t="e">
        <f>_xlfn.XLOOKUP($D34,Tab_Def_Processes[Name(EN)],Tab_Def_Processes[Stock?],,0,)</f>
        <v>#N/A</v>
      </c>
      <c r="I34" s="10" t="e">
        <f>_xlfn.XLOOKUP($D34,Tab_Def_Processes[Name(EN)],Tab_Def_Processes[Initial_Stock?],,0,)</f>
        <v>#N/A</v>
      </c>
      <c r="J34" s="10" t="e">
        <f>_xlfn.XLOOKUP($D34,Tab_Def_Processes[Name(EN)],Tab_Def_Processes[DSM?],,0,)</f>
        <v>#N/A</v>
      </c>
      <c r="K34" s="10" t="e">
        <f>_xlfn.XLOOKUP($D34,Tab_Def_Processes[Name(EN)],Tab_Def_Processes[FOMP?],,0,)</f>
        <v>#N/A</v>
      </c>
      <c r="L34" s="12"/>
      <c r="M34" s="12"/>
    </row>
    <row r="35" spans="1:13" x14ac:dyDescent="0.25">
      <c r="A35" s="197" t="b">
        <v>0</v>
      </c>
      <c r="B35" s="10">
        <f t="shared" si="0"/>
        <v>34</v>
      </c>
      <c r="C35" s="10" t="e">
        <f>_xlfn.XLOOKUP($D35,Tab_Def_Processes[Name(EN)],Tab_Def_Processes[Process_ID],,0,)</f>
        <v>#N/A</v>
      </c>
      <c r="D35" s="12" t="s">
        <v>35</v>
      </c>
      <c r="E35" s="10" t="e">
        <f>_xlfn.XLOOKUP($D35,Tab_Def_Processes[Name(EN)],Tab_Def_Processes[Process_Type],,0,)</f>
        <v>#N/A</v>
      </c>
      <c r="F35" s="10" t="e">
        <f>_xlfn.XLOOKUP($D35,Tab_Def_Processes[Name(EN)],Tab_Def_Processes[TC?],,0,)</f>
        <v>#N/A</v>
      </c>
      <c r="G35" s="10" t="e">
        <f>_xlfn.XLOOKUP($D35,Tab_Def_Processes[Name(EN)],Tab_Def_Processes[Dyn_TC?],,0,)</f>
        <v>#N/A</v>
      </c>
      <c r="H35" s="10" t="e">
        <f>_xlfn.XLOOKUP($D35,Tab_Def_Processes[Name(EN)],Tab_Def_Processes[Stock?],,0,)</f>
        <v>#N/A</v>
      </c>
      <c r="I35" s="10" t="e">
        <f>_xlfn.XLOOKUP($D35,Tab_Def_Processes[Name(EN)],Tab_Def_Processes[Initial_Stock?],,0,)</f>
        <v>#N/A</v>
      </c>
      <c r="J35" s="10" t="e">
        <f>_xlfn.XLOOKUP($D35,Tab_Def_Processes[Name(EN)],Tab_Def_Processes[DSM?],,0,)</f>
        <v>#N/A</v>
      </c>
      <c r="K35" s="10" t="e">
        <f>_xlfn.XLOOKUP($D35,Tab_Def_Processes[Name(EN)],Tab_Def_Processes[FOMP?],,0,)</f>
        <v>#N/A</v>
      </c>
      <c r="L35" s="12"/>
      <c r="M35" s="12"/>
    </row>
    <row r="36" spans="1:13" x14ac:dyDescent="0.25">
      <c r="A36" s="197" t="b">
        <v>0</v>
      </c>
      <c r="B36" s="10">
        <f t="shared" si="0"/>
        <v>35</v>
      </c>
      <c r="C36" s="10" t="e">
        <f>_xlfn.XLOOKUP($D36,Tab_Def_Processes[Name(EN)],Tab_Def_Processes[Process_ID],,0,)</f>
        <v>#N/A</v>
      </c>
      <c r="D36" s="12" t="s">
        <v>35</v>
      </c>
      <c r="E36" s="10" t="e">
        <f>_xlfn.XLOOKUP($D36,Tab_Def_Processes[Name(EN)],Tab_Def_Processes[Process_Type],,0,)</f>
        <v>#N/A</v>
      </c>
      <c r="F36" s="10" t="e">
        <f>_xlfn.XLOOKUP($D36,Tab_Def_Processes[Name(EN)],Tab_Def_Processes[TC?],,0,)</f>
        <v>#N/A</v>
      </c>
      <c r="G36" s="10" t="e">
        <f>_xlfn.XLOOKUP($D36,Tab_Def_Processes[Name(EN)],Tab_Def_Processes[Dyn_TC?],,0,)</f>
        <v>#N/A</v>
      </c>
      <c r="H36" s="10" t="e">
        <f>_xlfn.XLOOKUP($D36,Tab_Def_Processes[Name(EN)],Tab_Def_Processes[Stock?],,0,)</f>
        <v>#N/A</v>
      </c>
      <c r="I36" s="10" t="e">
        <f>_xlfn.XLOOKUP($D36,Tab_Def_Processes[Name(EN)],Tab_Def_Processes[Initial_Stock?],,0,)</f>
        <v>#N/A</v>
      </c>
      <c r="J36" s="10" t="e">
        <f>_xlfn.XLOOKUP($D36,Tab_Def_Processes[Name(EN)],Tab_Def_Processes[DSM?],,0,)</f>
        <v>#N/A</v>
      </c>
      <c r="K36" s="10" t="e">
        <f>_xlfn.XLOOKUP($D36,Tab_Def_Processes[Name(EN)],Tab_Def_Processes[FOMP?],,0,)</f>
        <v>#N/A</v>
      </c>
      <c r="L36" s="12"/>
      <c r="M36" s="12"/>
    </row>
    <row r="37" spans="1:13" x14ac:dyDescent="0.25">
      <c r="A37" s="197" t="b">
        <v>0</v>
      </c>
      <c r="B37" s="10">
        <f t="shared" si="0"/>
        <v>36</v>
      </c>
      <c r="C37" s="10" t="e">
        <f>_xlfn.XLOOKUP($D37,Tab_Def_Processes[Name(EN)],Tab_Def_Processes[Process_ID],,0,)</f>
        <v>#N/A</v>
      </c>
      <c r="D37" s="12" t="s">
        <v>35</v>
      </c>
      <c r="E37" s="10" t="e">
        <f>_xlfn.XLOOKUP($D37,Tab_Def_Processes[Name(EN)],Tab_Def_Processes[Process_Type],,0,)</f>
        <v>#N/A</v>
      </c>
      <c r="F37" s="10" t="e">
        <f>_xlfn.XLOOKUP($D37,Tab_Def_Processes[Name(EN)],Tab_Def_Processes[TC?],,0,)</f>
        <v>#N/A</v>
      </c>
      <c r="G37" s="10" t="e">
        <f>_xlfn.XLOOKUP($D37,Tab_Def_Processes[Name(EN)],Tab_Def_Processes[Dyn_TC?],,0,)</f>
        <v>#N/A</v>
      </c>
      <c r="H37" s="10" t="e">
        <f>_xlfn.XLOOKUP($D37,Tab_Def_Processes[Name(EN)],Tab_Def_Processes[Stock?],,0,)</f>
        <v>#N/A</v>
      </c>
      <c r="I37" s="10" t="e">
        <f>_xlfn.XLOOKUP($D37,Tab_Def_Processes[Name(EN)],Tab_Def_Processes[Initial_Stock?],,0,)</f>
        <v>#N/A</v>
      </c>
      <c r="J37" s="10" t="e">
        <f>_xlfn.XLOOKUP($D37,Tab_Def_Processes[Name(EN)],Tab_Def_Processes[DSM?],,0,)</f>
        <v>#N/A</v>
      </c>
      <c r="K37" s="10" t="e">
        <f>_xlfn.XLOOKUP($D37,Tab_Def_Processes[Name(EN)],Tab_Def_Processes[FOMP?],,0,)</f>
        <v>#N/A</v>
      </c>
      <c r="L37" s="12"/>
      <c r="M37" s="12"/>
    </row>
    <row r="38" spans="1:13" x14ac:dyDescent="0.25">
      <c r="A38" s="197" t="b">
        <v>0</v>
      </c>
      <c r="B38" s="10">
        <f t="shared" si="0"/>
        <v>37</v>
      </c>
      <c r="C38" s="10" t="e">
        <f>_xlfn.XLOOKUP($D38,Tab_Def_Processes[Name(EN)],Tab_Def_Processes[Process_ID],,0,)</f>
        <v>#N/A</v>
      </c>
      <c r="D38" s="12" t="s">
        <v>35</v>
      </c>
      <c r="E38" s="10" t="e">
        <f>_xlfn.XLOOKUP($D38,Tab_Def_Processes[Name(EN)],Tab_Def_Processes[Process_Type],,0,)</f>
        <v>#N/A</v>
      </c>
      <c r="F38" s="10" t="e">
        <f>_xlfn.XLOOKUP($D38,Tab_Def_Processes[Name(EN)],Tab_Def_Processes[TC?],,0,)</f>
        <v>#N/A</v>
      </c>
      <c r="G38" s="10" t="e">
        <f>_xlfn.XLOOKUP($D38,Tab_Def_Processes[Name(EN)],Tab_Def_Processes[Dyn_TC?],,0,)</f>
        <v>#N/A</v>
      </c>
      <c r="H38" s="10" t="e">
        <f>_xlfn.XLOOKUP($D38,Tab_Def_Processes[Name(EN)],Tab_Def_Processes[Stock?],,0,)</f>
        <v>#N/A</v>
      </c>
      <c r="I38" s="10" t="e">
        <f>_xlfn.XLOOKUP($D38,Tab_Def_Processes[Name(EN)],Tab_Def_Processes[Initial_Stock?],,0,)</f>
        <v>#N/A</v>
      </c>
      <c r="J38" s="10" t="e">
        <f>_xlfn.XLOOKUP($D38,Tab_Def_Processes[Name(EN)],Tab_Def_Processes[DSM?],,0,)</f>
        <v>#N/A</v>
      </c>
      <c r="K38" s="10" t="e">
        <f>_xlfn.XLOOKUP($D38,Tab_Def_Processes[Name(EN)],Tab_Def_Processes[FOMP?],,0,)</f>
        <v>#N/A</v>
      </c>
      <c r="L38" s="12"/>
      <c r="M38" s="12"/>
    </row>
    <row r="39" spans="1:13" x14ac:dyDescent="0.25">
      <c r="A39" s="197" t="b">
        <v>0</v>
      </c>
      <c r="B39" s="10">
        <f t="shared" si="0"/>
        <v>38</v>
      </c>
      <c r="C39" s="10" t="e">
        <f>_xlfn.XLOOKUP($D39,Tab_Def_Processes[Name(EN)],Tab_Def_Processes[Process_ID],,0,)</f>
        <v>#N/A</v>
      </c>
      <c r="D39" s="12" t="s">
        <v>35</v>
      </c>
      <c r="E39" s="10" t="e">
        <f>_xlfn.XLOOKUP($D39,Tab_Def_Processes[Name(EN)],Tab_Def_Processes[Process_Type],,0,)</f>
        <v>#N/A</v>
      </c>
      <c r="F39" s="10" t="e">
        <f>_xlfn.XLOOKUP($D39,Tab_Def_Processes[Name(EN)],Tab_Def_Processes[TC?],,0,)</f>
        <v>#N/A</v>
      </c>
      <c r="G39" s="10" t="e">
        <f>_xlfn.XLOOKUP($D39,Tab_Def_Processes[Name(EN)],Tab_Def_Processes[Dyn_TC?],,0,)</f>
        <v>#N/A</v>
      </c>
      <c r="H39" s="10" t="e">
        <f>_xlfn.XLOOKUP($D39,Tab_Def_Processes[Name(EN)],Tab_Def_Processes[Stock?],,0,)</f>
        <v>#N/A</v>
      </c>
      <c r="I39" s="10" t="e">
        <f>_xlfn.XLOOKUP($D39,Tab_Def_Processes[Name(EN)],Tab_Def_Processes[Initial_Stock?],,0,)</f>
        <v>#N/A</v>
      </c>
      <c r="J39" s="10" t="e">
        <f>_xlfn.XLOOKUP($D39,Tab_Def_Processes[Name(EN)],Tab_Def_Processes[DSM?],,0,)</f>
        <v>#N/A</v>
      </c>
      <c r="K39" s="10" t="e">
        <f>_xlfn.XLOOKUP($D39,Tab_Def_Processes[Name(EN)],Tab_Def_Processes[FOMP?],,0,)</f>
        <v>#N/A</v>
      </c>
      <c r="L39" s="12"/>
      <c r="M39" s="12"/>
    </row>
    <row r="40" spans="1:13" x14ac:dyDescent="0.25">
      <c r="A40" s="197" t="b">
        <v>0</v>
      </c>
      <c r="B40" s="10">
        <f t="shared" si="0"/>
        <v>39</v>
      </c>
      <c r="C40" s="10" t="e">
        <f>_xlfn.XLOOKUP($D40,Tab_Def_Processes[Name(EN)],Tab_Def_Processes[Process_ID],,0,)</f>
        <v>#N/A</v>
      </c>
      <c r="D40" s="12" t="s">
        <v>35</v>
      </c>
      <c r="E40" s="10" t="e">
        <f>_xlfn.XLOOKUP($D40,Tab_Def_Processes[Name(EN)],Tab_Def_Processes[Process_Type],,0,)</f>
        <v>#N/A</v>
      </c>
      <c r="F40" s="10" t="e">
        <f>_xlfn.XLOOKUP($D40,Tab_Def_Processes[Name(EN)],Tab_Def_Processes[TC?],,0,)</f>
        <v>#N/A</v>
      </c>
      <c r="G40" s="10" t="e">
        <f>_xlfn.XLOOKUP($D40,Tab_Def_Processes[Name(EN)],Tab_Def_Processes[Dyn_TC?],,0,)</f>
        <v>#N/A</v>
      </c>
      <c r="H40" s="10" t="e">
        <f>_xlfn.XLOOKUP($D40,Tab_Def_Processes[Name(EN)],Tab_Def_Processes[Stock?],,0,)</f>
        <v>#N/A</v>
      </c>
      <c r="I40" s="10" t="e">
        <f>_xlfn.XLOOKUP($D40,Tab_Def_Processes[Name(EN)],Tab_Def_Processes[Initial_Stock?],,0,)</f>
        <v>#N/A</v>
      </c>
      <c r="J40" s="10" t="e">
        <f>_xlfn.XLOOKUP($D40,Tab_Def_Processes[Name(EN)],Tab_Def_Processes[DSM?],,0,)</f>
        <v>#N/A</v>
      </c>
      <c r="K40" s="10" t="e">
        <f>_xlfn.XLOOKUP($D40,Tab_Def_Processes[Name(EN)],Tab_Def_Processes[FOMP?],,0,)</f>
        <v>#N/A</v>
      </c>
      <c r="L40" s="12"/>
      <c r="M40" s="12"/>
    </row>
    <row r="41" spans="1:13" x14ac:dyDescent="0.25">
      <c r="A41" s="197" t="b">
        <v>0</v>
      </c>
      <c r="B41" s="10">
        <f t="shared" si="0"/>
        <v>40</v>
      </c>
      <c r="C41" s="10" t="e">
        <f>_xlfn.XLOOKUP($D41,Tab_Def_Processes[Name(EN)],Tab_Def_Processes[Process_ID],,0,)</f>
        <v>#N/A</v>
      </c>
      <c r="D41" s="12" t="s">
        <v>35</v>
      </c>
      <c r="E41" s="10" t="e">
        <f>_xlfn.XLOOKUP($D41,Tab_Def_Processes[Name(EN)],Tab_Def_Processes[Process_Type],,0,)</f>
        <v>#N/A</v>
      </c>
      <c r="F41" s="10" t="e">
        <f>_xlfn.XLOOKUP($D41,Tab_Def_Processes[Name(EN)],Tab_Def_Processes[TC?],,0,)</f>
        <v>#N/A</v>
      </c>
      <c r="G41" s="10" t="e">
        <f>_xlfn.XLOOKUP($D41,Tab_Def_Processes[Name(EN)],Tab_Def_Processes[Dyn_TC?],,0,)</f>
        <v>#N/A</v>
      </c>
      <c r="H41" s="10" t="e">
        <f>_xlfn.XLOOKUP($D41,Tab_Def_Processes[Name(EN)],Tab_Def_Processes[Stock?],,0,)</f>
        <v>#N/A</v>
      </c>
      <c r="I41" s="10" t="e">
        <f>_xlfn.XLOOKUP($D41,Tab_Def_Processes[Name(EN)],Tab_Def_Processes[Initial_Stock?],,0,)</f>
        <v>#N/A</v>
      </c>
      <c r="J41" s="10" t="e">
        <f>_xlfn.XLOOKUP($D41,Tab_Def_Processes[Name(EN)],Tab_Def_Processes[DSM?],,0,)</f>
        <v>#N/A</v>
      </c>
      <c r="K41" s="10" t="e">
        <f>_xlfn.XLOOKUP($D41,Tab_Def_Processes[Name(EN)],Tab_Def_Processes[FOMP?],,0,)</f>
        <v>#N/A</v>
      </c>
      <c r="L41" s="12"/>
      <c r="M41" s="12"/>
    </row>
    <row r="42" spans="1:13" x14ac:dyDescent="0.25">
      <c r="A42" s="197" t="b">
        <v>0</v>
      </c>
      <c r="B42" s="10">
        <f t="shared" si="0"/>
        <v>41</v>
      </c>
      <c r="C42" s="10" t="e">
        <f>_xlfn.XLOOKUP($D42,Tab_Def_Processes[Name(EN)],Tab_Def_Processes[Process_ID],,0,)</f>
        <v>#N/A</v>
      </c>
      <c r="D42" s="12" t="s">
        <v>35</v>
      </c>
      <c r="E42" s="10" t="e">
        <f>_xlfn.XLOOKUP($D42,Tab_Def_Processes[Name(EN)],Tab_Def_Processes[Process_Type],,0,)</f>
        <v>#N/A</v>
      </c>
      <c r="F42" s="10" t="e">
        <f>_xlfn.XLOOKUP($D42,Tab_Def_Processes[Name(EN)],Tab_Def_Processes[TC?],,0,)</f>
        <v>#N/A</v>
      </c>
      <c r="G42" s="10" t="e">
        <f>_xlfn.XLOOKUP($D42,Tab_Def_Processes[Name(EN)],Tab_Def_Processes[Dyn_TC?],,0,)</f>
        <v>#N/A</v>
      </c>
      <c r="H42" s="10" t="e">
        <f>_xlfn.XLOOKUP($D42,Tab_Def_Processes[Name(EN)],Tab_Def_Processes[Stock?],,0,)</f>
        <v>#N/A</v>
      </c>
      <c r="I42" s="10" t="e">
        <f>_xlfn.XLOOKUP($D42,Tab_Def_Processes[Name(EN)],Tab_Def_Processes[Initial_Stock?],,0,)</f>
        <v>#N/A</v>
      </c>
      <c r="J42" s="10" t="e">
        <f>_xlfn.XLOOKUP($D42,Tab_Def_Processes[Name(EN)],Tab_Def_Processes[DSM?],,0,)</f>
        <v>#N/A</v>
      </c>
      <c r="K42" s="10" t="e">
        <f>_xlfn.XLOOKUP($D42,Tab_Def_Processes[Name(EN)],Tab_Def_Processes[FOMP?],,0,)</f>
        <v>#N/A</v>
      </c>
      <c r="L42" s="12"/>
      <c r="M42" s="12"/>
    </row>
    <row r="43" spans="1:13" x14ac:dyDescent="0.25">
      <c r="A43" s="197" t="b">
        <v>0</v>
      </c>
      <c r="B43" s="10">
        <f t="shared" si="0"/>
        <v>42</v>
      </c>
      <c r="C43" s="10" t="e">
        <f>_xlfn.XLOOKUP($D43,Tab_Def_Processes[Name(EN)],Tab_Def_Processes[Process_ID],,0,)</f>
        <v>#N/A</v>
      </c>
      <c r="D43" s="12" t="s">
        <v>35</v>
      </c>
      <c r="E43" s="10" t="e">
        <f>_xlfn.XLOOKUP($D43,Tab_Def_Processes[Name(EN)],Tab_Def_Processes[Process_Type],,0,)</f>
        <v>#N/A</v>
      </c>
      <c r="F43" s="10" t="e">
        <f>_xlfn.XLOOKUP($D43,Tab_Def_Processes[Name(EN)],Tab_Def_Processes[TC?],,0,)</f>
        <v>#N/A</v>
      </c>
      <c r="G43" s="10" t="e">
        <f>_xlfn.XLOOKUP($D43,Tab_Def_Processes[Name(EN)],Tab_Def_Processes[Dyn_TC?],,0,)</f>
        <v>#N/A</v>
      </c>
      <c r="H43" s="10" t="e">
        <f>_xlfn.XLOOKUP($D43,Tab_Def_Processes[Name(EN)],Tab_Def_Processes[Stock?],,0,)</f>
        <v>#N/A</v>
      </c>
      <c r="I43" s="10" t="e">
        <f>_xlfn.XLOOKUP($D43,Tab_Def_Processes[Name(EN)],Tab_Def_Processes[Initial_Stock?],,0,)</f>
        <v>#N/A</v>
      </c>
      <c r="J43" s="10" t="e">
        <f>_xlfn.XLOOKUP($D43,Tab_Def_Processes[Name(EN)],Tab_Def_Processes[DSM?],,0,)</f>
        <v>#N/A</v>
      </c>
      <c r="K43" s="10" t="e">
        <f>_xlfn.XLOOKUP($D43,Tab_Def_Processes[Name(EN)],Tab_Def_Processes[FOMP?],,0,)</f>
        <v>#N/A</v>
      </c>
      <c r="L43" s="12"/>
      <c r="M43" s="12"/>
    </row>
    <row r="44" spans="1:13" x14ac:dyDescent="0.25">
      <c r="A44" s="197" t="b">
        <v>0</v>
      </c>
      <c r="B44" s="10">
        <f t="shared" si="0"/>
        <v>43</v>
      </c>
      <c r="C44" s="10" t="e">
        <f>_xlfn.XLOOKUP($D44,Tab_Def_Processes[Name(EN)],Tab_Def_Processes[Process_ID],,0,)</f>
        <v>#N/A</v>
      </c>
      <c r="D44" s="12" t="s">
        <v>35</v>
      </c>
      <c r="E44" s="10" t="e">
        <f>_xlfn.XLOOKUP($D44,Tab_Def_Processes[Name(EN)],Tab_Def_Processes[Process_Type],,0,)</f>
        <v>#N/A</v>
      </c>
      <c r="F44" s="10" t="e">
        <f>_xlfn.XLOOKUP($D44,Tab_Def_Processes[Name(EN)],Tab_Def_Processes[TC?],,0,)</f>
        <v>#N/A</v>
      </c>
      <c r="G44" s="10" t="e">
        <f>_xlfn.XLOOKUP($D44,Tab_Def_Processes[Name(EN)],Tab_Def_Processes[Dyn_TC?],,0,)</f>
        <v>#N/A</v>
      </c>
      <c r="H44" s="10" t="e">
        <f>_xlfn.XLOOKUP($D44,Tab_Def_Processes[Name(EN)],Tab_Def_Processes[Stock?],,0,)</f>
        <v>#N/A</v>
      </c>
      <c r="I44" s="10" t="e">
        <f>_xlfn.XLOOKUP($D44,Tab_Def_Processes[Name(EN)],Tab_Def_Processes[Initial_Stock?],,0,)</f>
        <v>#N/A</v>
      </c>
      <c r="J44" s="10" t="e">
        <f>_xlfn.XLOOKUP($D44,Tab_Def_Processes[Name(EN)],Tab_Def_Processes[DSM?],,0,)</f>
        <v>#N/A</v>
      </c>
      <c r="K44" s="10" t="e">
        <f>_xlfn.XLOOKUP($D44,Tab_Def_Processes[Name(EN)],Tab_Def_Processes[FOMP?],,0,)</f>
        <v>#N/A</v>
      </c>
      <c r="L44" s="12"/>
      <c r="M44" s="12"/>
    </row>
    <row r="45" spans="1:13" x14ac:dyDescent="0.25">
      <c r="A45" s="197" t="b">
        <v>0</v>
      </c>
      <c r="B45" s="10">
        <f t="shared" si="0"/>
        <v>44</v>
      </c>
      <c r="C45" s="10" t="e">
        <f>_xlfn.XLOOKUP($D45,Tab_Def_Processes[Name(EN)],Tab_Def_Processes[Process_ID],,0,)</f>
        <v>#N/A</v>
      </c>
      <c r="D45" s="12" t="s">
        <v>35</v>
      </c>
      <c r="E45" s="10" t="e">
        <f>_xlfn.XLOOKUP($D45,Tab_Def_Processes[Name(EN)],Tab_Def_Processes[Process_Type],,0,)</f>
        <v>#N/A</v>
      </c>
      <c r="F45" s="10" t="e">
        <f>_xlfn.XLOOKUP($D45,Tab_Def_Processes[Name(EN)],Tab_Def_Processes[TC?],,0,)</f>
        <v>#N/A</v>
      </c>
      <c r="G45" s="10" t="e">
        <f>_xlfn.XLOOKUP($D45,Tab_Def_Processes[Name(EN)],Tab_Def_Processes[Dyn_TC?],,0,)</f>
        <v>#N/A</v>
      </c>
      <c r="H45" s="10" t="e">
        <f>_xlfn.XLOOKUP($D45,Tab_Def_Processes[Name(EN)],Tab_Def_Processes[Stock?],,0,)</f>
        <v>#N/A</v>
      </c>
      <c r="I45" s="10" t="e">
        <f>_xlfn.XLOOKUP($D45,Tab_Def_Processes[Name(EN)],Tab_Def_Processes[Initial_Stock?],,0,)</f>
        <v>#N/A</v>
      </c>
      <c r="J45" s="10" t="e">
        <f>_xlfn.XLOOKUP($D45,Tab_Def_Processes[Name(EN)],Tab_Def_Processes[DSM?],,0,)</f>
        <v>#N/A</v>
      </c>
      <c r="K45" s="10" t="e">
        <f>_xlfn.XLOOKUP($D45,Tab_Def_Processes[Name(EN)],Tab_Def_Processes[FOMP?],,0,)</f>
        <v>#N/A</v>
      </c>
      <c r="L45" s="12"/>
      <c r="M45" s="12"/>
    </row>
    <row r="46" spans="1:13" x14ac:dyDescent="0.25">
      <c r="A46" s="197" t="b">
        <v>0</v>
      </c>
      <c r="B46" s="10">
        <f t="shared" si="0"/>
        <v>45</v>
      </c>
      <c r="C46" s="10" t="e">
        <f>_xlfn.XLOOKUP($D46,Tab_Def_Processes[Name(EN)],Tab_Def_Processes[Process_ID],,0,)</f>
        <v>#N/A</v>
      </c>
      <c r="D46" s="12" t="s">
        <v>35</v>
      </c>
      <c r="E46" s="10" t="e">
        <f>_xlfn.XLOOKUP($D46,Tab_Def_Processes[Name(EN)],Tab_Def_Processes[Process_Type],,0,)</f>
        <v>#N/A</v>
      </c>
      <c r="F46" s="10" t="e">
        <f>_xlfn.XLOOKUP($D46,Tab_Def_Processes[Name(EN)],Tab_Def_Processes[TC?],,0,)</f>
        <v>#N/A</v>
      </c>
      <c r="G46" s="10" t="e">
        <f>_xlfn.XLOOKUP($D46,Tab_Def_Processes[Name(EN)],Tab_Def_Processes[Dyn_TC?],,0,)</f>
        <v>#N/A</v>
      </c>
      <c r="H46" s="10" t="e">
        <f>_xlfn.XLOOKUP($D46,Tab_Def_Processes[Name(EN)],Tab_Def_Processes[Stock?],,0,)</f>
        <v>#N/A</v>
      </c>
      <c r="I46" s="10" t="e">
        <f>_xlfn.XLOOKUP($D46,Tab_Def_Processes[Name(EN)],Tab_Def_Processes[Initial_Stock?],,0,)</f>
        <v>#N/A</v>
      </c>
      <c r="J46" s="10" t="e">
        <f>_xlfn.XLOOKUP($D46,Tab_Def_Processes[Name(EN)],Tab_Def_Processes[DSM?],,0,)</f>
        <v>#N/A</v>
      </c>
      <c r="K46" s="10" t="e">
        <f>_xlfn.XLOOKUP($D46,Tab_Def_Processes[Name(EN)],Tab_Def_Processes[FOMP?],,0,)</f>
        <v>#N/A</v>
      </c>
      <c r="L46" s="12"/>
      <c r="M46" s="12"/>
    </row>
    <row r="47" spans="1:13" x14ac:dyDescent="0.25">
      <c r="A47" s="197" t="b">
        <v>0</v>
      </c>
      <c r="B47" s="188">
        <f t="shared" si="0"/>
        <v>46</v>
      </c>
      <c r="C47" s="188" t="e">
        <f>_xlfn.XLOOKUP($D47,Tab_Def_Processes[Name(EN)],Tab_Def_Processes[Process_ID],,0,)</f>
        <v>#N/A</v>
      </c>
      <c r="D47" s="189" t="s">
        <v>35</v>
      </c>
      <c r="E47" s="188" t="e">
        <f>_xlfn.XLOOKUP($D47,Tab_Def_Processes[Name(EN)],Tab_Def_Processes[Process_Type],,0,)</f>
        <v>#N/A</v>
      </c>
      <c r="F47" s="188" t="e">
        <f>_xlfn.XLOOKUP($D47,Tab_Def_Processes[Name(EN)],Tab_Def_Processes[TC?],,0,)</f>
        <v>#N/A</v>
      </c>
      <c r="G47" s="188" t="e">
        <f>_xlfn.XLOOKUP($D47,Tab_Def_Processes[Name(EN)],Tab_Def_Processes[Dyn_TC?],,0,)</f>
        <v>#N/A</v>
      </c>
      <c r="H47" s="188" t="e">
        <f>_xlfn.XLOOKUP($D47,Tab_Def_Processes[Name(EN)],Tab_Def_Processes[Stock?],,0,)</f>
        <v>#N/A</v>
      </c>
      <c r="I47" s="188" t="e">
        <f>_xlfn.XLOOKUP($D47,Tab_Def_Processes[Name(EN)],Tab_Def_Processes[Initial_Stock?],,0,)</f>
        <v>#N/A</v>
      </c>
      <c r="J47" s="10" t="e">
        <f>_xlfn.XLOOKUP($D47,Tab_Def_Processes[Name(EN)],Tab_Def_Processes[DSM?],,0,)</f>
        <v>#N/A</v>
      </c>
      <c r="K47" s="10" t="e">
        <f>_xlfn.XLOOKUP($D47,Tab_Def_Processes[Name(EN)],Tab_Def_Processes[FOMP?],,0,)</f>
        <v>#N/A</v>
      </c>
      <c r="L47" s="12"/>
      <c r="M47" s="1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F74E799-D021-40E5-9FC7-FFB2E7126E7C}">
          <x14:formula1>
            <xm:f>'2_1_Definition_Processes'!$D$2:$D$58</xm:f>
          </x14:formula1>
          <xm:sqref>D2:D47</xm:sqref>
        </x14:dataValidation>
        <x14:dataValidation type="list" allowBlank="1" showInputMessage="1" showErrorMessage="1" xr:uid="{EA6BAE58-1DBB-4C8E-A40C-0F6C011242AB}">
          <x14:formula1>
            <xm:f>'4_1 Codelists'!$B$11:$B$14</xm:f>
          </x14:formula1>
          <xm:sqref>L2:L47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tabSelected="1" workbookViewId="0">
      <selection activeCell="E24" sqref="E24"/>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6" t="s">
        <v>32</v>
      </c>
      <c r="B1" s="196" t="s">
        <v>223</v>
      </c>
      <c r="C1" s="196" t="s">
        <v>489</v>
      </c>
      <c r="D1" s="196" t="s">
        <v>338</v>
      </c>
      <c r="E1" s="196" t="s">
        <v>345</v>
      </c>
      <c r="F1" s="196" t="s">
        <v>346</v>
      </c>
      <c r="G1" s="196" t="s">
        <v>347</v>
      </c>
      <c r="H1" s="196" t="s">
        <v>348</v>
      </c>
      <c r="I1" s="196" t="s">
        <v>349</v>
      </c>
      <c r="J1" s="196" t="s">
        <v>350</v>
      </c>
    </row>
    <row r="2" spans="1:10" x14ac:dyDescent="0.25">
      <c r="A2">
        <f>ROW()-1</f>
        <v>1</v>
      </c>
      <c r="B2" t="s">
        <v>483</v>
      </c>
      <c r="C2" t="s">
        <v>474</v>
      </c>
      <c r="D2" t="s">
        <v>351</v>
      </c>
      <c r="E2" t="s">
        <v>332</v>
      </c>
      <c r="H2">
        <v>0.3</v>
      </c>
      <c r="I2">
        <v>0.5</v>
      </c>
    </row>
    <row r="3" spans="1:10" x14ac:dyDescent="0.25">
      <c r="A3">
        <f t="shared" ref="A3:A13" si="0">ROW()-1</f>
        <v>2</v>
      </c>
      <c r="B3" t="s">
        <v>483</v>
      </c>
      <c r="C3" t="s">
        <v>474</v>
      </c>
      <c r="D3" t="s">
        <v>490</v>
      </c>
      <c r="E3" t="s">
        <v>332</v>
      </c>
      <c r="H3">
        <v>0.4</v>
      </c>
      <c r="I3">
        <v>0.6</v>
      </c>
    </row>
    <row r="4" spans="1:10" x14ac:dyDescent="0.25">
      <c r="A4">
        <f t="shared" si="0"/>
        <v>3</v>
      </c>
      <c r="B4" t="s">
        <v>483</v>
      </c>
      <c r="C4" t="s">
        <v>474</v>
      </c>
      <c r="D4" t="s">
        <v>491</v>
      </c>
      <c r="E4" t="s">
        <v>332</v>
      </c>
      <c r="H4">
        <v>0.4</v>
      </c>
      <c r="I4">
        <v>0.6</v>
      </c>
    </row>
    <row r="5" spans="1:10" x14ac:dyDescent="0.25">
      <c r="A5">
        <f t="shared" si="0"/>
        <v>4</v>
      </c>
      <c r="B5" t="s">
        <v>483</v>
      </c>
      <c r="C5" t="s">
        <v>474</v>
      </c>
      <c r="D5" s="9" t="s">
        <v>492</v>
      </c>
      <c r="E5" t="s">
        <v>332</v>
      </c>
      <c r="H5">
        <v>0.15</v>
      </c>
      <c r="I5">
        <v>0.25</v>
      </c>
    </row>
    <row r="6" spans="1:10" x14ac:dyDescent="0.25">
      <c r="A6">
        <f t="shared" si="0"/>
        <v>5</v>
      </c>
      <c r="B6" t="s">
        <v>485</v>
      </c>
      <c r="C6" t="s">
        <v>478</v>
      </c>
      <c r="D6" t="s">
        <v>493</v>
      </c>
      <c r="E6" t="s">
        <v>331</v>
      </c>
      <c r="F6">
        <v>2.5000000000000001E-2</v>
      </c>
      <c r="G6">
        <v>5.0000000000000001E-3</v>
      </c>
    </row>
    <row r="7" spans="1:10" x14ac:dyDescent="0.25">
      <c r="A7">
        <f t="shared" si="0"/>
        <v>6</v>
      </c>
      <c r="B7" t="s">
        <v>485</v>
      </c>
      <c r="C7" t="s">
        <v>478</v>
      </c>
      <c r="D7" t="s">
        <v>494</v>
      </c>
      <c r="E7" t="s">
        <v>331</v>
      </c>
      <c r="F7">
        <v>3.5099999999999999E-2</v>
      </c>
      <c r="G7">
        <v>5.0000000000000001E-3</v>
      </c>
    </row>
    <row r="8" spans="1:10" x14ac:dyDescent="0.25">
      <c r="A8">
        <f t="shared" si="0"/>
        <v>7</v>
      </c>
    </row>
    <row r="9" spans="1:10" x14ac:dyDescent="0.25">
      <c r="A9">
        <f t="shared" si="0"/>
        <v>8</v>
      </c>
    </row>
    <row r="10" spans="1:10" x14ac:dyDescent="0.25">
      <c r="A10">
        <f>ROW()-1</f>
        <v>9</v>
      </c>
    </row>
    <row r="11" spans="1:10" x14ac:dyDescent="0.25">
      <c r="A11">
        <f t="shared" si="0"/>
        <v>10</v>
      </c>
    </row>
    <row r="12" spans="1:10" x14ac:dyDescent="0.25">
      <c r="A12">
        <f t="shared" si="0"/>
        <v>11</v>
      </c>
    </row>
    <row r="13" spans="1:10" x14ac:dyDescent="0.25">
      <c r="A13">
        <f t="shared" si="0"/>
        <v>12</v>
      </c>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5420FD32-E88F-4DD6-BA7F-C6D574D4F75A}">
          <x14:formula1>
            <xm:f>'4_1 Codelists'!$B$18:$B$21</xm:f>
          </x14:formula1>
          <xm:sqref>E2:E13</xm:sqref>
        </x14:dataValidation>
        <x14:dataValidation type="list" allowBlank="1" showInputMessage="1" showErrorMessage="1" xr:uid="{1317C0FC-62B0-4DF3-9BD8-0DB4FA69176D}">
          <x14:formula1>
            <xm:f>'4_1 Codelists'!$B$54:$B$69</xm:f>
          </x14:formula1>
          <xm:sqref>C2:C13</xm:sqref>
        </x14:dataValidation>
        <x14:dataValidation type="list" allowBlank="1" showInputMessage="1" showErrorMessage="1" xr:uid="{26894C49-B5A0-4883-8200-276B1DD8DFCC}">
          <x14:formula1>
            <xm:f>'4_1 Codelists'!$F$54:$F$69</xm:f>
          </x14:formula1>
          <xm:sqref>B2:B13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1" customWidth="1"/>
  </cols>
  <sheetData>
    <row r="1" spans="1:13" ht="48" thickBot="1" x14ac:dyDescent="0.3">
      <c r="A1" s="154" t="s">
        <v>267</v>
      </c>
      <c r="B1" s="212" t="str">
        <f>'2_1_Definition_Processes'!D2</f>
        <v>Atmosphere</v>
      </c>
      <c r="C1" s="212"/>
      <c r="D1" s="212"/>
      <c r="E1" s="212"/>
      <c r="F1" s="212"/>
      <c r="G1" s="212"/>
      <c r="H1" s="212"/>
      <c r="I1" s="154" t="s">
        <v>266</v>
      </c>
      <c r="J1" s="213" t="s">
        <v>268</v>
      </c>
      <c r="K1" s="213"/>
      <c r="L1" s="213"/>
      <c r="M1" s="213"/>
    </row>
    <row r="2" spans="1:13" ht="16.5" thickBot="1" x14ac:dyDescent="0.3">
      <c r="A2" s="214" t="s">
        <v>265</v>
      </c>
      <c r="B2" s="215"/>
      <c r="C2" s="215"/>
      <c r="D2" s="215"/>
      <c r="E2" s="215"/>
      <c r="F2" s="215"/>
      <c r="G2" s="215"/>
      <c r="H2" s="215"/>
      <c r="I2" s="215"/>
      <c r="J2" s="215"/>
      <c r="K2" s="215"/>
      <c r="L2" s="215"/>
      <c r="M2" s="216"/>
    </row>
    <row r="3" spans="1:13" ht="126.75" customHeight="1" thickBot="1" x14ac:dyDescent="0.3">
      <c r="A3" s="217"/>
      <c r="B3" s="218"/>
      <c r="C3" s="218"/>
      <c r="D3" s="218"/>
      <c r="E3" s="218"/>
      <c r="F3" s="218"/>
      <c r="G3" s="218"/>
      <c r="H3" s="218"/>
      <c r="I3" s="218"/>
      <c r="J3" s="218"/>
      <c r="K3" s="218"/>
      <c r="L3" s="218"/>
      <c r="M3" s="219"/>
    </row>
    <row r="4" spans="1:13" ht="31.5" customHeight="1" x14ac:dyDescent="0.25">
      <c r="A4" s="153" t="s">
        <v>264</v>
      </c>
      <c r="B4" s="220"/>
      <c r="C4" s="221"/>
      <c r="D4" s="222"/>
      <c r="E4" s="223" t="s">
        <v>263</v>
      </c>
      <c r="F4" s="224"/>
      <c r="G4" s="158"/>
      <c r="H4" s="158"/>
      <c r="I4" s="152"/>
      <c r="J4" s="152"/>
      <c r="K4" s="152"/>
      <c r="L4" s="152"/>
      <c r="M4" s="152"/>
    </row>
    <row r="5" spans="1:13" ht="16.5" customHeight="1" x14ac:dyDescent="0.25">
      <c r="A5" s="155" t="s">
        <v>262</v>
      </c>
      <c r="B5" s="228" t="str">
        <f>_xlfn.XLOOKUP(J1,Tab_Def_Processes[Process_ID],Tab_Def_Processes[Input_Flow_I_1],"No_flow.",0,1)</f>
        <v>No_flow.</v>
      </c>
      <c r="C5" s="228"/>
      <c r="D5" s="229"/>
      <c r="E5" s="155" t="s">
        <v>262</v>
      </c>
      <c r="F5" s="230" t="str">
        <f>_xlfn.XLOOKUP(J1,Tab_Def_Processes[Process_ID],Tab_Def_Processes[Output_Flow_O_1],"No_flow.",0,1)</f>
        <v>No_flow.</v>
      </c>
      <c r="G5" s="230"/>
      <c r="H5" s="231"/>
      <c r="I5" s="156"/>
      <c r="J5" s="151"/>
      <c r="K5" s="151"/>
      <c r="L5" s="151"/>
      <c r="M5" s="148"/>
    </row>
    <row r="6" spans="1:13" ht="16.5" customHeight="1" x14ac:dyDescent="0.25">
      <c r="A6" s="155" t="s">
        <v>261</v>
      </c>
      <c r="B6" s="230" t="str">
        <f>_xlfn.XLOOKUP(J1,Tab_Def_Processes[Process_ID],Tab_Def_Processes[Input_Flow_I_2],"No_flow.",0,1)</f>
        <v>No_flow.</v>
      </c>
      <c r="C6" s="230"/>
      <c r="D6" s="231"/>
      <c r="E6" s="155" t="s">
        <v>261</v>
      </c>
      <c r="F6" s="230" t="str">
        <f>_xlfn.XLOOKUP(J1,Tab_Def_Processes[Process_ID],Tab_Def_Processes[Output_Flow_O_2],"No_flow.",0,1)</f>
        <v>No_flow.</v>
      </c>
      <c r="G6" s="230"/>
      <c r="H6" s="231"/>
      <c r="I6" s="156"/>
      <c r="J6" s="151"/>
      <c r="K6" s="151"/>
      <c r="L6" s="151"/>
      <c r="M6" s="148"/>
    </row>
    <row r="7" spans="1:13" ht="16.5" customHeight="1" x14ac:dyDescent="0.25">
      <c r="A7" s="150" t="s">
        <v>260</v>
      </c>
      <c r="B7" s="230" t="str">
        <f>_xlfn.XLOOKUP(J1,Tab_Def_Processes[Process_ID],Tab_Def_Processes[Input_Flow_I_3],"No_flow.",0,1)</f>
        <v>No_flow.</v>
      </c>
      <c r="C7" s="230"/>
      <c r="D7" s="231"/>
      <c r="E7" s="150" t="s">
        <v>260</v>
      </c>
      <c r="F7" s="230" t="str">
        <f>_xlfn.XLOOKUP(J1,Tab_Def_Processes[Process_ID],Tab_Def_Processes[Output_Flow_O_3],"No_flow.",0,1)</f>
        <v>No_flow.</v>
      </c>
      <c r="G7" s="230"/>
      <c r="H7" s="231"/>
      <c r="I7" s="157"/>
      <c r="J7" s="149"/>
      <c r="K7" s="149"/>
      <c r="L7" s="149"/>
      <c r="M7" s="148"/>
    </row>
    <row r="8" spans="1:13" ht="16.5" customHeight="1" x14ac:dyDescent="0.25">
      <c r="A8" s="150" t="s">
        <v>259</v>
      </c>
      <c r="B8" s="230" t="str">
        <f>_xlfn.XLOOKUP(J1,Tab_Def_Processes[Process_ID],Tab_Def_Processes[Input_Flow_I_4],"No_flow.",0,1)</f>
        <v>No_flow.</v>
      </c>
      <c r="C8" s="230"/>
      <c r="D8" s="231"/>
      <c r="E8" s="150" t="s">
        <v>259</v>
      </c>
      <c r="F8" s="230" t="str">
        <f>_xlfn.XLOOKUP(J1,Tab_Def_Processes[Process_ID],Tab_Def_Processes[Output_Flow_O_4],"No_flow.",0,1)</f>
        <v>No_flow.</v>
      </c>
      <c r="G8" s="230"/>
      <c r="H8" s="231"/>
      <c r="I8" s="157"/>
      <c r="J8" s="149"/>
      <c r="K8" s="149"/>
      <c r="L8" s="149"/>
      <c r="M8" s="148"/>
    </row>
    <row r="9" spans="1:13" ht="16.5" customHeight="1" x14ac:dyDescent="0.25">
      <c r="A9" s="150" t="s">
        <v>258</v>
      </c>
      <c r="B9" s="230" t="str">
        <f>_xlfn.XLOOKUP(J1,Tab_Def_Processes[Process_ID],Tab_Def_Processes[Input_Flow_I_5],"No_flow.",0,1)</f>
        <v>No_flow.</v>
      </c>
      <c r="C9" s="230"/>
      <c r="D9" s="231"/>
      <c r="E9" s="150" t="s">
        <v>258</v>
      </c>
      <c r="F9" s="230" t="str">
        <f>_xlfn.XLOOKUP(J1,Tab_Def_Processes[Process_ID],Tab_Def_Processes[Output_Flow_O_5],"No_flow.",0,1)</f>
        <v>No_flow.</v>
      </c>
      <c r="G9" s="230"/>
      <c r="H9" s="231"/>
      <c r="I9" s="157"/>
      <c r="J9" s="149"/>
      <c r="K9" s="149"/>
      <c r="L9" s="149"/>
      <c r="M9" s="148"/>
    </row>
    <row r="10" spans="1:13" ht="16.5" customHeight="1" thickBot="1" x14ac:dyDescent="0.3">
      <c r="A10" s="159" t="s">
        <v>257</v>
      </c>
      <c r="B10" s="232"/>
      <c r="C10" s="232"/>
      <c r="D10" s="233"/>
      <c r="E10" s="159" t="s">
        <v>257</v>
      </c>
      <c r="F10" s="232"/>
      <c r="G10" s="232"/>
      <c r="H10" s="233"/>
      <c r="I10" s="157"/>
      <c r="J10" s="149"/>
      <c r="K10" s="149"/>
      <c r="L10" s="149"/>
      <c r="M10" s="148"/>
    </row>
    <row r="11" spans="1:13" ht="16.5" thickBot="1" x14ac:dyDescent="0.3">
      <c r="A11" s="214" t="s">
        <v>256</v>
      </c>
      <c r="B11" s="215"/>
      <c r="C11" s="215"/>
      <c r="D11" s="215"/>
      <c r="E11" s="215"/>
      <c r="F11" s="215"/>
      <c r="G11" s="215"/>
      <c r="H11" s="215"/>
      <c r="I11" s="215"/>
      <c r="J11" s="215"/>
      <c r="K11" s="215"/>
      <c r="L11" s="215"/>
      <c r="M11" s="216"/>
    </row>
    <row r="12" spans="1:13" ht="33" customHeight="1" thickBot="1" x14ac:dyDescent="0.3">
      <c r="A12" s="147">
        <v>1000</v>
      </c>
      <c r="B12" s="146" t="s">
        <v>255</v>
      </c>
      <c r="C12" s="145"/>
      <c r="D12" s="145"/>
      <c r="E12" s="145"/>
      <c r="F12" s="145"/>
      <c r="G12" s="145"/>
      <c r="H12" s="145"/>
      <c r="I12" s="145"/>
      <c r="J12" s="145"/>
      <c r="K12" s="145"/>
      <c r="L12" s="145"/>
      <c r="M12" s="144"/>
    </row>
    <row r="13" spans="1:13" ht="16.5" thickBot="1" x14ac:dyDescent="0.3">
      <c r="A13" s="225" t="s">
        <v>254</v>
      </c>
      <c r="B13" s="226"/>
      <c r="C13" s="226"/>
      <c r="D13" s="226"/>
      <c r="E13" s="226"/>
      <c r="F13" s="226"/>
      <c r="G13" s="226"/>
      <c r="H13" s="226"/>
      <c r="I13" s="226"/>
      <c r="J13" s="226"/>
      <c r="K13" s="226"/>
      <c r="L13" s="226"/>
      <c r="M13" s="227"/>
    </row>
    <row r="14" spans="1:13" ht="16.5" thickBot="1" x14ac:dyDescent="0.3">
      <c r="A14" s="105" t="s">
        <v>240</v>
      </c>
      <c r="B14" s="234" t="s">
        <v>252</v>
      </c>
      <c r="C14" s="235"/>
      <c r="D14" s="236"/>
      <c r="E14" s="237" t="s">
        <v>251</v>
      </c>
      <c r="F14" s="238"/>
      <c r="G14" s="238"/>
      <c r="H14" s="239"/>
      <c r="I14" s="240" t="s">
        <v>250</v>
      </c>
      <c r="J14" s="241"/>
      <c r="K14" s="241"/>
      <c r="L14" s="241"/>
      <c r="M14" s="242"/>
    </row>
    <row r="15" spans="1:13" ht="63.75" thickBot="1" x14ac:dyDescent="0.3">
      <c r="A15" s="66"/>
      <c r="B15" s="79" t="s">
        <v>249</v>
      </c>
      <c r="C15" s="132" t="s">
        <v>248</v>
      </c>
      <c r="D15" s="131" t="s">
        <v>241</v>
      </c>
      <c r="E15" s="130" t="s">
        <v>247</v>
      </c>
      <c r="F15" s="78" t="s">
        <v>246</v>
      </c>
      <c r="G15" s="78" t="s">
        <v>245</v>
      </c>
      <c r="H15" s="129" t="s">
        <v>241</v>
      </c>
      <c r="I15" s="128" t="s">
        <v>244</v>
      </c>
      <c r="J15" s="77" t="s">
        <v>243</v>
      </c>
      <c r="K15" s="77" t="s">
        <v>242</v>
      </c>
      <c r="L15" s="77" t="s">
        <v>241</v>
      </c>
      <c r="M15" s="127"/>
    </row>
    <row r="16" spans="1:13" ht="23.25" customHeight="1" x14ac:dyDescent="0.25">
      <c r="A16" s="99" t="str">
        <f t="shared" ref="A16:A21" si="0">B5</f>
        <v>No_flow.</v>
      </c>
      <c r="B16" s="75">
        <v>1000</v>
      </c>
      <c r="C16" s="126">
        <f t="shared" ref="C16:C21" si="1">B16/$B$22</f>
        <v>0.33333333333333331</v>
      </c>
      <c r="D16" s="125" t="s">
        <v>213</v>
      </c>
      <c r="E16" s="124">
        <v>0.5</v>
      </c>
      <c r="F16" s="74">
        <f t="shared" ref="F16:F21" si="2">E16*B16</f>
        <v>500</v>
      </c>
      <c r="G16" s="123">
        <f t="shared" ref="G16:G21" si="3">F16/$F$22</f>
        <v>0.33333333333333331</v>
      </c>
      <c r="H16" s="122" t="s">
        <v>213</v>
      </c>
      <c r="I16" s="121">
        <f>1-E16</f>
        <v>0.5</v>
      </c>
      <c r="J16" s="73">
        <f t="shared" ref="J16:J21" si="4">I16*B16</f>
        <v>500</v>
      </c>
      <c r="K16" s="141">
        <f t="shared" ref="K16:K21" si="5">J16/$J$22</f>
        <v>0.33333333333333331</v>
      </c>
      <c r="L16" s="118" t="s">
        <v>213</v>
      </c>
      <c r="M16" s="118"/>
    </row>
    <row r="17" spans="1:13" ht="23.25" customHeight="1" x14ac:dyDescent="0.25">
      <c r="A17" s="99" t="str">
        <f t="shared" si="0"/>
        <v>No_flow.</v>
      </c>
      <c r="B17" s="75">
        <v>1000</v>
      </c>
      <c r="C17" s="126">
        <f t="shared" si="1"/>
        <v>0.33333333333333331</v>
      </c>
      <c r="D17" s="125" t="s">
        <v>213</v>
      </c>
      <c r="E17" s="124">
        <v>0.5</v>
      </c>
      <c r="F17" s="74">
        <f t="shared" si="2"/>
        <v>500</v>
      </c>
      <c r="G17" s="123">
        <f t="shared" si="3"/>
        <v>0.33333333333333331</v>
      </c>
      <c r="H17" s="122" t="s">
        <v>213</v>
      </c>
      <c r="I17" s="121">
        <f>1-E17</f>
        <v>0.5</v>
      </c>
      <c r="J17" s="73">
        <f t="shared" si="4"/>
        <v>500</v>
      </c>
      <c r="K17" s="141">
        <f t="shared" si="5"/>
        <v>0.33333333333333331</v>
      </c>
      <c r="L17" s="118" t="s">
        <v>213</v>
      </c>
      <c r="M17" s="118"/>
    </row>
    <row r="18" spans="1:13" ht="23.25" customHeight="1" x14ac:dyDescent="0.25">
      <c r="A18" s="99" t="str">
        <f t="shared" si="0"/>
        <v>No_flow.</v>
      </c>
      <c r="B18" s="75">
        <v>1000</v>
      </c>
      <c r="C18" s="126">
        <f t="shared" si="1"/>
        <v>0.33333333333333331</v>
      </c>
      <c r="D18" s="125"/>
      <c r="E18" s="124">
        <v>0.5</v>
      </c>
      <c r="F18" s="74">
        <f t="shared" si="2"/>
        <v>500</v>
      </c>
      <c r="G18" s="123">
        <f t="shared" si="3"/>
        <v>0.33333333333333331</v>
      </c>
      <c r="H18" s="122"/>
      <c r="I18" s="121">
        <f>1-E18</f>
        <v>0.5</v>
      </c>
      <c r="J18" s="73">
        <f t="shared" si="4"/>
        <v>500</v>
      </c>
      <c r="K18" s="141">
        <f t="shared" si="5"/>
        <v>0.33333333333333331</v>
      </c>
      <c r="L18" s="119"/>
      <c r="M18" s="118"/>
    </row>
    <row r="19" spans="1:13" ht="23.25" customHeight="1" x14ac:dyDescent="0.25">
      <c r="A19" s="99" t="str">
        <f t="shared" si="0"/>
        <v>No_flow.</v>
      </c>
      <c r="B19" s="75"/>
      <c r="C19" s="126">
        <f t="shared" si="1"/>
        <v>0</v>
      </c>
      <c r="D19" s="125"/>
      <c r="E19" s="124"/>
      <c r="F19" s="74">
        <f t="shared" si="2"/>
        <v>0</v>
      </c>
      <c r="G19" s="123">
        <f t="shared" si="3"/>
        <v>0</v>
      </c>
      <c r="H19" s="143"/>
      <c r="I19" s="142"/>
      <c r="J19" s="73">
        <f t="shared" si="4"/>
        <v>0</v>
      </c>
      <c r="K19" s="141">
        <f t="shared" si="5"/>
        <v>0</v>
      </c>
      <c r="L19" s="119"/>
      <c r="M19" s="118"/>
    </row>
    <row r="20" spans="1:13" ht="23.25" customHeight="1" x14ac:dyDescent="0.25">
      <c r="A20" s="99" t="str">
        <f t="shared" si="0"/>
        <v>No_flow.</v>
      </c>
      <c r="B20" s="75"/>
      <c r="C20" s="126">
        <f t="shared" si="1"/>
        <v>0</v>
      </c>
      <c r="D20" s="125"/>
      <c r="E20" s="124"/>
      <c r="F20" s="74">
        <f t="shared" si="2"/>
        <v>0</v>
      </c>
      <c r="G20" s="123">
        <f t="shared" si="3"/>
        <v>0</v>
      </c>
      <c r="H20" s="143"/>
      <c r="I20" s="142"/>
      <c r="J20" s="73">
        <f t="shared" si="4"/>
        <v>0</v>
      </c>
      <c r="K20" s="141">
        <f t="shared" si="5"/>
        <v>0</v>
      </c>
      <c r="L20" s="119"/>
      <c r="M20" s="118"/>
    </row>
    <row r="21" spans="1:13" ht="23.25" customHeight="1" thickBot="1" x14ac:dyDescent="0.3">
      <c r="A21" s="99">
        <f t="shared" si="0"/>
        <v>0</v>
      </c>
      <c r="B21" s="75"/>
      <c r="C21" s="126">
        <f t="shared" si="1"/>
        <v>0</v>
      </c>
      <c r="D21" s="125"/>
      <c r="E21" s="124"/>
      <c r="F21" s="74">
        <f t="shared" si="2"/>
        <v>0</v>
      </c>
      <c r="G21" s="123">
        <f t="shared" si="3"/>
        <v>0</v>
      </c>
      <c r="H21" s="143"/>
      <c r="I21" s="142"/>
      <c r="J21" s="73">
        <f t="shared" si="4"/>
        <v>0</v>
      </c>
      <c r="K21" s="141">
        <f t="shared" si="5"/>
        <v>0</v>
      </c>
      <c r="L21" s="119"/>
      <c r="M21" s="118"/>
    </row>
    <row r="22" spans="1:13" ht="16.5" thickBot="1" x14ac:dyDescent="0.3">
      <c r="A22" s="89" t="s">
        <v>215</v>
      </c>
      <c r="B22" s="117">
        <f>SUM(B16:B19)</f>
        <v>3000</v>
      </c>
      <c r="C22" s="140">
        <f>C16+C17+C18</f>
        <v>1</v>
      </c>
      <c r="D22" s="115"/>
      <c r="E22" s="114">
        <f>F22/B22</f>
        <v>0.5</v>
      </c>
      <c r="F22" s="113">
        <f>SUM(F16:F19)</f>
        <v>1500</v>
      </c>
      <c r="G22" s="139">
        <f>SUM(G16:G19)</f>
        <v>1</v>
      </c>
      <c r="H22" s="111"/>
      <c r="I22" s="110">
        <f>J22/B22</f>
        <v>0.5</v>
      </c>
      <c r="J22" s="109">
        <f>J16+J17+J18</f>
        <v>1500</v>
      </c>
      <c r="K22" s="138">
        <f>SUM(K16:K19)</f>
        <v>1</v>
      </c>
      <c r="L22" s="107"/>
      <c r="M22" s="106"/>
    </row>
    <row r="23" spans="1:13" ht="16.5" customHeight="1" thickBot="1" x14ac:dyDescent="0.3">
      <c r="A23" s="169" t="s">
        <v>240</v>
      </c>
      <c r="B23" s="255" t="s">
        <v>239</v>
      </c>
      <c r="C23" s="256"/>
      <c r="D23" s="256"/>
      <c r="E23" s="256"/>
      <c r="F23" s="256"/>
      <c r="G23" s="256"/>
      <c r="H23" s="257"/>
      <c r="I23" s="258" t="s">
        <v>238</v>
      </c>
      <c r="J23" s="259"/>
      <c r="K23" s="259"/>
      <c r="L23" s="259"/>
      <c r="M23" s="260"/>
    </row>
    <row r="24" spans="1:13" ht="63.75" thickBot="1" x14ac:dyDescent="0.3">
      <c r="A24" s="7"/>
      <c r="B24" s="104" t="s">
        <v>237</v>
      </c>
      <c r="C24" s="103" t="s">
        <v>236</v>
      </c>
      <c r="D24" s="103" t="s">
        <v>235</v>
      </c>
      <c r="E24" s="103" t="s">
        <v>234</v>
      </c>
      <c r="F24" s="104" t="s">
        <v>233</v>
      </c>
      <c r="G24" s="103" t="s">
        <v>232</v>
      </c>
      <c r="H24" s="168" t="s">
        <v>231</v>
      </c>
      <c r="I24" s="102" t="s">
        <v>230</v>
      </c>
      <c r="J24" s="101" t="s">
        <v>229</v>
      </c>
      <c r="K24" s="101" t="s">
        <v>228</v>
      </c>
      <c r="L24" s="101" t="s">
        <v>227</v>
      </c>
      <c r="M24" s="100" t="s">
        <v>226</v>
      </c>
    </row>
    <row r="25" spans="1:13" ht="27" customHeight="1" x14ac:dyDescent="0.25">
      <c r="A25" s="99" t="str">
        <f t="shared" ref="A25:A30" si="6">B5</f>
        <v>No_flow.</v>
      </c>
      <c r="B25" s="98">
        <v>0.5</v>
      </c>
      <c r="C25" s="96">
        <f t="shared" ref="C25:C30" si="7">F16*B25</f>
        <v>250</v>
      </c>
      <c r="D25" s="97">
        <f t="shared" ref="D25:D30" si="8">C25/$C$31</f>
        <v>0.33333333333333331</v>
      </c>
      <c r="E25" s="96" t="s">
        <v>213</v>
      </c>
      <c r="F25" s="95">
        <f t="shared" ref="F25:F30" si="9">B25*E16</f>
        <v>0.25</v>
      </c>
      <c r="G25" s="94">
        <f t="shared" ref="G25:G30" si="10">B25*E16*B16</f>
        <v>250</v>
      </c>
      <c r="H25" s="93">
        <f t="shared" ref="H25:H30" si="11">G25/$G$31</f>
        <v>0.33333333333333331</v>
      </c>
      <c r="I25" s="137">
        <f t="shared" ref="I25:I30" si="12">$A$12*C16</f>
        <v>333.33333333333331</v>
      </c>
      <c r="J25" s="136">
        <f t="shared" ref="J25:J30" si="13">I25*E16</f>
        <v>166.66666666666666</v>
      </c>
      <c r="K25" s="136">
        <f t="shared" ref="K25:K30" si="14">I25*I16</f>
        <v>166.66666666666666</v>
      </c>
      <c r="L25" s="136">
        <f t="shared" ref="L25:L30" si="15">SUM(J25:K25)</f>
        <v>333.33333333333331</v>
      </c>
      <c r="M25" s="135">
        <f t="shared" ref="M25:M30" si="16">I25*F25</f>
        <v>83.333333333333329</v>
      </c>
    </row>
    <row r="26" spans="1:13" ht="15.75" x14ac:dyDescent="0.25">
      <c r="A26" s="99" t="str">
        <f t="shared" si="6"/>
        <v>No_flow.</v>
      </c>
      <c r="B26" s="98">
        <v>0.5</v>
      </c>
      <c r="C26" s="96">
        <f t="shared" si="7"/>
        <v>250</v>
      </c>
      <c r="D26" s="97">
        <f t="shared" si="8"/>
        <v>0.33333333333333331</v>
      </c>
      <c r="E26" s="96" t="s">
        <v>213</v>
      </c>
      <c r="F26" s="95">
        <f t="shared" si="9"/>
        <v>0.25</v>
      </c>
      <c r="G26" s="94">
        <f t="shared" si="10"/>
        <v>250</v>
      </c>
      <c r="H26" s="93">
        <f t="shared" si="11"/>
        <v>0.33333333333333331</v>
      </c>
      <c r="I26" s="137">
        <f t="shared" si="12"/>
        <v>333.33333333333331</v>
      </c>
      <c r="J26" s="136">
        <f t="shared" si="13"/>
        <v>166.66666666666666</v>
      </c>
      <c r="K26" s="136">
        <f t="shared" si="14"/>
        <v>166.66666666666666</v>
      </c>
      <c r="L26" s="136">
        <f t="shared" si="15"/>
        <v>333.33333333333331</v>
      </c>
      <c r="M26" s="135">
        <f t="shared" si="16"/>
        <v>83.333333333333329</v>
      </c>
    </row>
    <row r="27" spans="1:13" ht="15.75" x14ac:dyDescent="0.25">
      <c r="A27" s="99" t="str">
        <f t="shared" si="6"/>
        <v>No_flow.</v>
      </c>
      <c r="B27" s="98">
        <v>0.5</v>
      </c>
      <c r="C27" s="96">
        <f t="shared" si="7"/>
        <v>250</v>
      </c>
      <c r="D27" s="97">
        <f t="shared" si="8"/>
        <v>0.33333333333333331</v>
      </c>
      <c r="E27" s="96"/>
      <c r="F27" s="95">
        <f t="shared" si="9"/>
        <v>0.25</v>
      </c>
      <c r="G27" s="94">
        <f t="shared" si="10"/>
        <v>250</v>
      </c>
      <c r="H27" s="93">
        <f t="shared" si="11"/>
        <v>0.33333333333333331</v>
      </c>
      <c r="I27" s="137">
        <f t="shared" si="12"/>
        <v>333.33333333333331</v>
      </c>
      <c r="J27" s="136">
        <f t="shared" si="13"/>
        <v>166.66666666666666</v>
      </c>
      <c r="K27" s="136">
        <f t="shared" si="14"/>
        <v>166.66666666666666</v>
      </c>
      <c r="L27" s="136">
        <f t="shared" si="15"/>
        <v>333.33333333333331</v>
      </c>
      <c r="M27" s="135">
        <f t="shared" si="16"/>
        <v>83.333333333333329</v>
      </c>
    </row>
    <row r="28" spans="1:13" ht="15.75" x14ac:dyDescent="0.25">
      <c r="A28" s="99" t="str">
        <f t="shared" si="6"/>
        <v>No_flow.</v>
      </c>
      <c r="B28" s="98">
        <v>0</v>
      </c>
      <c r="C28" s="96">
        <f t="shared" si="7"/>
        <v>0</v>
      </c>
      <c r="D28" s="97">
        <f t="shared" si="8"/>
        <v>0</v>
      </c>
      <c r="E28" s="96"/>
      <c r="F28" s="95">
        <f t="shared" si="9"/>
        <v>0</v>
      </c>
      <c r="G28" s="94">
        <f t="shared" si="10"/>
        <v>0</v>
      </c>
      <c r="H28" s="93">
        <f t="shared" si="11"/>
        <v>0</v>
      </c>
      <c r="I28" s="137">
        <f t="shared" si="12"/>
        <v>0</v>
      </c>
      <c r="J28" s="136">
        <f t="shared" si="13"/>
        <v>0</v>
      </c>
      <c r="K28" s="136">
        <f t="shared" si="14"/>
        <v>0</v>
      </c>
      <c r="L28" s="136">
        <f t="shared" si="15"/>
        <v>0</v>
      </c>
      <c r="M28" s="135">
        <f t="shared" si="16"/>
        <v>0</v>
      </c>
    </row>
    <row r="29" spans="1:13" ht="15.75" x14ac:dyDescent="0.25">
      <c r="A29" s="99" t="str">
        <f t="shared" si="6"/>
        <v>No_flow.</v>
      </c>
      <c r="B29" s="98">
        <v>0</v>
      </c>
      <c r="C29" s="96">
        <f t="shared" si="7"/>
        <v>0</v>
      </c>
      <c r="D29" s="97">
        <f t="shared" si="8"/>
        <v>0</v>
      </c>
      <c r="E29" s="96"/>
      <c r="F29" s="95">
        <f t="shared" si="9"/>
        <v>0</v>
      </c>
      <c r="G29" s="94">
        <f t="shared" si="10"/>
        <v>0</v>
      </c>
      <c r="H29" s="93">
        <f t="shared" si="11"/>
        <v>0</v>
      </c>
      <c r="I29" s="137">
        <f t="shared" si="12"/>
        <v>0</v>
      </c>
      <c r="J29" s="136">
        <f t="shared" si="13"/>
        <v>0</v>
      </c>
      <c r="K29" s="136">
        <f t="shared" si="14"/>
        <v>0</v>
      </c>
      <c r="L29" s="136">
        <f t="shared" si="15"/>
        <v>0</v>
      </c>
      <c r="M29" s="135">
        <f t="shared" si="16"/>
        <v>0</v>
      </c>
    </row>
    <row r="30" spans="1:13" ht="16.5" thickBot="1" x14ac:dyDescent="0.3">
      <c r="A30" s="99">
        <f t="shared" si="6"/>
        <v>0</v>
      </c>
      <c r="B30" s="98">
        <v>0</v>
      </c>
      <c r="C30" s="96">
        <f t="shared" si="7"/>
        <v>0</v>
      </c>
      <c r="D30" s="97">
        <f t="shared" si="8"/>
        <v>0</v>
      </c>
      <c r="E30" s="96"/>
      <c r="F30" s="95">
        <f t="shared" si="9"/>
        <v>0</v>
      </c>
      <c r="G30" s="94">
        <f t="shared" si="10"/>
        <v>0</v>
      </c>
      <c r="H30" s="93">
        <f t="shared" si="11"/>
        <v>0</v>
      </c>
      <c r="I30" s="137">
        <f t="shared" si="12"/>
        <v>0</v>
      </c>
      <c r="J30" s="136">
        <f t="shared" si="13"/>
        <v>0</v>
      </c>
      <c r="K30" s="136">
        <f t="shared" si="14"/>
        <v>0</v>
      </c>
      <c r="L30" s="136">
        <f t="shared" si="15"/>
        <v>0</v>
      </c>
      <c r="M30" s="135">
        <f t="shared" si="16"/>
        <v>0</v>
      </c>
    </row>
    <row r="31" spans="1:13" ht="16.5" thickBot="1" x14ac:dyDescent="0.3">
      <c r="A31" s="89" t="s">
        <v>215</v>
      </c>
      <c r="B31" s="88">
        <f>C31/F22</f>
        <v>0.5</v>
      </c>
      <c r="C31" s="86">
        <f>SUM(C25:C30)</f>
        <v>750</v>
      </c>
      <c r="D31" s="134">
        <f>SUM(D24:D30)</f>
        <v>1</v>
      </c>
      <c r="E31" s="86"/>
      <c r="F31" s="133">
        <f>G31/B22</f>
        <v>0.25</v>
      </c>
      <c r="G31" s="84">
        <f t="shared" ref="G31:M31" si="17">SUM(G25:G30)</f>
        <v>750</v>
      </c>
      <c r="H31" s="83">
        <f t="shared" si="17"/>
        <v>1</v>
      </c>
      <c r="I31" s="82">
        <f t="shared" si="17"/>
        <v>1000</v>
      </c>
      <c r="J31" s="81">
        <f t="shared" si="17"/>
        <v>500</v>
      </c>
      <c r="K31" s="81">
        <f t="shared" si="17"/>
        <v>500</v>
      </c>
      <c r="L31" s="81">
        <f t="shared" si="17"/>
        <v>1000</v>
      </c>
      <c r="M31" s="80">
        <f t="shared" si="17"/>
        <v>250</v>
      </c>
    </row>
    <row r="32" spans="1:13" ht="16.5" thickBot="1" x14ac:dyDescent="0.3">
      <c r="A32" s="243" t="s">
        <v>253</v>
      </c>
      <c r="B32" s="244"/>
      <c r="C32" s="244"/>
      <c r="D32" s="244"/>
      <c r="E32" s="244"/>
      <c r="F32" s="244"/>
      <c r="G32" s="244"/>
      <c r="H32" s="244"/>
      <c r="I32" s="244"/>
      <c r="J32" s="244"/>
      <c r="K32" s="244"/>
      <c r="L32" s="244"/>
      <c r="M32" s="245"/>
    </row>
    <row r="33" spans="1:13" ht="16.5" customHeight="1" thickBot="1" x14ac:dyDescent="0.3">
      <c r="A33" s="105" t="s">
        <v>240</v>
      </c>
      <c r="B33" s="246" t="s">
        <v>252</v>
      </c>
      <c r="C33" s="247"/>
      <c r="D33" s="248"/>
      <c r="E33" s="249" t="s">
        <v>251</v>
      </c>
      <c r="F33" s="250"/>
      <c r="G33" s="250"/>
      <c r="H33" s="251"/>
      <c r="I33" s="252" t="s">
        <v>250</v>
      </c>
      <c r="J33" s="253"/>
      <c r="K33" s="253"/>
      <c r="L33" s="253"/>
      <c r="M33" s="254"/>
    </row>
    <row r="34" spans="1:13" ht="62.25" customHeight="1" thickBot="1" x14ac:dyDescent="0.3">
      <c r="A34" s="66"/>
      <c r="B34" s="79" t="s">
        <v>249</v>
      </c>
      <c r="C34" s="132" t="s">
        <v>248</v>
      </c>
      <c r="D34" s="131" t="s">
        <v>241</v>
      </c>
      <c r="E34" s="130" t="s">
        <v>247</v>
      </c>
      <c r="F34" s="78" t="s">
        <v>246</v>
      </c>
      <c r="G34" s="78" t="s">
        <v>245</v>
      </c>
      <c r="H34" s="129" t="s">
        <v>241</v>
      </c>
      <c r="I34" s="128" t="s">
        <v>244</v>
      </c>
      <c r="J34" s="77" t="s">
        <v>243</v>
      </c>
      <c r="K34" s="77" t="s">
        <v>242</v>
      </c>
      <c r="L34" s="77" t="s">
        <v>241</v>
      </c>
      <c r="M34" s="127"/>
    </row>
    <row r="35" spans="1:13" ht="15.75" x14ac:dyDescent="0.25">
      <c r="A35" s="99" t="str">
        <f t="shared" ref="A35:A40" si="18">F5</f>
        <v>No_flow.</v>
      </c>
      <c r="B35" s="75">
        <v>1000</v>
      </c>
      <c r="C35" s="126">
        <f t="shared" ref="C35:C40" si="19">B35/$B$41</f>
        <v>0.33333333333333331</v>
      </c>
      <c r="D35" s="125" t="s">
        <v>213</v>
      </c>
      <c r="E35" s="124">
        <v>0.72</v>
      </c>
      <c r="F35" s="74">
        <f t="shared" ref="F35:F40" si="20">E35*B35</f>
        <v>720</v>
      </c>
      <c r="G35" s="123">
        <f t="shared" ref="G35:G40" si="21">F35/$F$41</f>
        <v>0.52941176470588236</v>
      </c>
      <c r="H35" s="122" t="s">
        <v>213</v>
      </c>
      <c r="I35" s="121">
        <f>1-E35</f>
        <v>0.28000000000000003</v>
      </c>
      <c r="J35" s="73">
        <f t="shared" ref="J35:J40" si="22">I35*B35</f>
        <v>280</v>
      </c>
      <c r="K35" s="120">
        <f>J35/$J$41</f>
        <v>0.17073170731707318</v>
      </c>
      <c r="L35" s="119" t="s">
        <v>213</v>
      </c>
      <c r="M35" s="118"/>
    </row>
    <row r="36" spans="1:13" ht="15.75" x14ac:dyDescent="0.25">
      <c r="A36" s="99" t="str">
        <f t="shared" si="18"/>
        <v>No_flow.</v>
      </c>
      <c r="B36" s="75">
        <v>800</v>
      </c>
      <c r="C36" s="126">
        <f t="shared" si="19"/>
        <v>0.26666666666666666</v>
      </c>
      <c r="D36" s="125" t="s">
        <v>213</v>
      </c>
      <c r="E36" s="124">
        <v>0.2</v>
      </c>
      <c r="F36" s="74">
        <f t="shared" si="20"/>
        <v>160</v>
      </c>
      <c r="G36" s="123">
        <f t="shared" si="21"/>
        <v>0.11764705882352941</v>
      </c>
      <c r="H36" s="122" t="s">
        <v>213</v>
      </c>
      <c r="I36" s="121">
        <f>1-E36</f>
        <v>0.8</v>
      </c>
      <c r="J36" s="73">
        <f t="shared" si="22"/>
        <v>640</v>
      </c>
      <c r="K36" s="120">
        <f>J36/$J$41</f>
        <v>0.3902439024390244</v>
      </c>
      <c r="L36" s="119" t="s">
        <v>213</v>
      </c>
      <c r="M36" s="118"/>
    </row>
    <row r="37" spans="1:13" ht="15.75" x14ac:dyDescent="0.25">
      <c r="A37" s="99" t="str">
        <f t="shared" si="18"/>
        <v>No_flow.</v>
      </c>
      <c r="B37" s="75">
        <v>1200</v>
      </c>
      <c r="C37" s="126">
        <f t="shared" si="19"/>
        <v>0.4</v>
      </c>
      <c r="D37" s="125"/>
      <c r="E37" s="124">
        <v>0.4</v>
      </c>
      <c r="F37" s="74">
        <f t="shared" si="20"/>
        <v>480</v>
      </c>
      <c r="G37" s="123">
        <f t="shared" si="21"/>
        <v>0.35294117647058826</v>
      </c>
      <c r="H37" s="122"/>
      <c r="I37" s="121">
        <f>1-E37</f>
        <v>0.6</v>
      </c>
      <c r="J37" s="73">
        <f t="shared" si="22"/>
        <v>720</v>
      </c>
      <c r="K37" s="120">
        <f>J37/$J$41</f>
        <v>0.43902439024390244</v>
      </c>
      <c r="L37" s="119"/>
      <c r="M37" s="118"/>
    </row>
    <row r="38" spans="1:13" ht="15.75" x14ac:dyDescent="0.25">
      <c r="A38" s="99" t="str">
        <f t="shared" si="18"/>
        <v>No_flow.</v>
      </c>
      <c r="B38" s="75"/>
      <c r="C38" s="126">
        <f t="shared" si="19"/>
        <v>0</v>
      </c>
      <c r="D38" s="125"/>
      <c r="E38" s="124"/>
      <c r="F38" s="74">
        <f t="shared" si="20"/>
        <v>0</v>
      </c>
      <c r="G38" s="123">
        <f t="shared" si="21"/>
        <v>0</v>
      </c>
      <c r="H38" s="122"/>
      <c r="I38" s="121"/>
      <c r="J38" s="73">
        <f t="shared" si="22"/>
        <v>0</v>
      </c>
      <c r="K38" s="120">
        <f>J38/$J$41</f>
        <v>0</v>
      </c>
      <c r="L38" s="119"/>
      <c r="M38" s="118"/>
    </row>
    <row r="39" spans="1:13" ht="15.75" x14ac:dyDescent="0.25">
      <c r="A39" s="99" t="str">
        <f t="shared" si="18"/>
        <v>No_flow.</v>
      </c>
      <c r="B39" s="75"/>
      <c r="C39" s="126">
        <f t="shared" si="19"/>
        <v>0</v>
      </c>
      <c r="D39" s="125"/>
      <c r="E39" s="124"/>
      <c r="F39" s="74">
        <f t="shared" si="20"/>
        <v>0</v>
      </c>
      <c r="G39" s="123">
        <f t="shared" si="21"/>
        <v>0</v>
      </c>
      <c r="H39" s="122"/>
      <c r="I39" s="121"/>
      <c r="J39" s="73">
        <f t="shared" si="22"/>
        <v>0</v>
      </c>
      <c r="K39" s="120">
        <f>J39/$J$41</f>
        <v>0</v>
      </c>
      <c r="L39" s="119"/>
      <c r="M39" s="118"/>
    </row>
    <row r="40" spans="1:13" ht="16.5" thickBot="1" x14ac:dyDescent="0.3">
      <c r="A40" s="99">
        <f t="shared" si="18"/>
        <v>0</v>
      </c>
      <c r="B40" s="75"/>
      <c r="C40" s="126">
        <f t="shared" si="19"/>
        <v>0</v>
      </c>
      <c r="D40" s="125"/>
      <c r="E40" s="124"/>
      <c r="F40" s="74">
        <f t="shared" si="20"/>
        <v>0</v>
      </c>
      <c r="G40" s="123">
        <f t="shared" si="21"/>
        <v>0</v>
      </c>
      <c r="H40" s="122"/>
      <c r="I40" s="121"/>
      <c r="J40" s="73">
        <f t="shared" si="22"/>
        <v>0</v>
      </c>
      <c r="K40" s="120">
        <f>J40/$J$22</f>
        <v>0</v>
      </c>
      <c r="L40" s="119"/>
      <c r="M40" s="118"/>
    </row>
    <row r="41" spans="1:13" ht="16.5" thickBot="1" x14ac:dyDescent="0.3">
      <c r="A41" s="89" t="s">
        <v>215</v>
      </c>
      <c r="B41" s="117">
        <f>SUM(B35:B40)</f>
        <v>3000</v>
      </c>
      <c r="C41" s="116">
        <f>SUM(C35:C40)</f>
        <v>1</v>
      </c>
      <c r="D41" s="115"/>
      <c r="E41" s="114">
        <f>F41/B41</f>
        <v>0.45333333333333331</v>
      </c>
      <c r="F41" s="113">
        <f>SUM(F35:F40)</f>
        <v>1360</v>
      </c>
      <c r="G41" s="112">
        <f>SUM(G35:G40)</f>
        <v>1</v>
      </c>
      <c r="H41" s="111"/>
      <c r="I41" s="110">
        <f>J41/B41</f>
        <v>0.54666666666666663</v>
      </c>
      <c r="J41" s="109">
        <f>SUM(J35:J40)</f>
        <v>1640</v>
      </c>
      <c r="K41" s="108">
        <f>SUM(K35:K40)</f>
        <v>1</v>
      </c>
      <c r="L41" s="107"/>
      <c r="M41" s="106"/>
    </row>
    <row r="42" spans="1:13" ht="16.5" customHeight="1" thickBot="1" x14ac:dyDescent="0.3">
      <c r="A42" s="169" t="s">
        <v>240</v>
      </c>
      <c r="B42" s="255" t="s">
        <v>239</v>
      </c>
      <c r="C42" s="256"/>
      <c r="D42" s="256"/>
      <c r="E42" s="256"/>
      <c r="F42" s="256"/>
      <c r="G42" s="256"/>
      <c r="H42" s="257"/>
      <c r="I42" s="258" t="s">
        <v>238</v>
      </c>
      <c r="J42" s="259"/>
      <c r="K42" s="259"/>
      <c r="L42" s="259"/>
      <c r="M42" s="260"/>
    </row>
    <row r="43" spans="1:13" ht="63.75" thickBot="1" x14ac:dyDescent="0.3">
      <c r="A43" s="7"/>
      <c r="B43" s="104" t="s">
        <v>237</v>
      </c>
      <c r="C43" s="103" t="s">
        <v>236</v>
      </c>
      <c r="D43" s="103" t="s">
        <v>235</v>
      </c>
      <c r="E43" s="103" t="s">
        <v>234</v>
      </c>
      <c r="F43" s="104" t="s">
        <v>233</v>
      </c>
      <c r="G43" s="103" t="s">
        <v>232</v>
      </c>
      <c r="H43" s="168" t="s">
        <v>231</v>
      </c>
      <c r="I43" s="102" t="s">
        <v>230</v>
      </c>
      <c r="J43" s="101" t="s">
        <v>229</v>
      </c>
      <c r="K43" s="101" t="s">
        <v>228</v>
      </c>
      <c r="L43" s="101" t="s">
        <v>227</v>
      </c>
      <c r="M43" s="100" t="s">
        <v>226</v>
      </c>
    </row>
    <row r="44" spans="1:13" ht="15.75" x14ac:dyDescent="0.25">
      <c r="A44" s="99" t="str">
        <f t="shared" ref="A44:A49" si="23">A35</f>
        <v>No_flow.</v>
      </c>
      <c r="B44" s="98">
        <v>0.57999999999999996</v>
      </c>
      <c r="C44" s="96">
        <f t="shared" ref="C44:C49" si="24">F35*B44</f>
        <v>417.59999999999997</v>
      </c>
      <c r="D44" s="97">
        <f t="shared" ref="D44:D49" si="25">C44/$C$50</f>
        <v>0.57236842105263164</v>
      </c>
      <c r="E44" s="96" t="s">
        <v>213</v>
      </c>
      <c r="F44" s="95">
        <f t="shared" ref="F44:F49" si="26">B44*E35</f>
        <v>0.41759999999999997</v>
      </c>
      <c r="G44" s="94">
        <f t="shared" ref="G44:G49" si="27">B44*E35*B35</f>
        <v>417.59999999999997</v>
      </c>
      <c r="H44" s="93">
        <f t="shared" ref="H44:H49" si="28">G44/$G$50</f>
        <v>0.57236842105263153</v>
      </c>
      <c r="I44" s="92">
        <f t="shared" ref="I44:I49" si="29">$A$12*B58</f>
        <v>333.33333333333331</v>
      </c>
      <c r="J44" s="91">
        <f t="shared" ref="J44:J49" si="30">I44*E35</f>
        <v>239.99999999999997</v>
      </c>
      <c r="K44" s="91">
        <f t="shared" ref="K44:K49" si="31">I44*I35</f>
        <v>93.333333333333343</v>
      </c>
      <c r="L44" s="91">
        <f t="shared" ref="L44:L49" si="32">SUM(J44:K44)</f>
        <v>333.33333333333331</v>
      </c>
      <c r="M44" s="90">
        <f t="shared" ref="M44:M49" si="33">I44*F44</f>
        <v>139.19999999999999</v>
      </c>
    </row>
    <row r="45" spans="1:13" ht="15.75" x14ac:dyDescent="0.25">
      <c r="A45" s="99" t="str">
        <f t="shared" si="23"/>
        <v>No_flow.</v>
      </c>
      <c r="B45" s="98">
        <v>0.51</v>
      </c>
      <c r="C45" s="96">
        <f t="shared" si="24"/>
        <v>81.599999999999994</v>
      </c>
      <c r="D45" s="97">
        <f t="shared" si="25"/>
        <v>0.1118421052631579</v>
      </c>
      <c r="E45" s="96" t="s">
        <v>213</v>
      </c>
      <c r="F45" s="95">
        <f t="shared" si="26"/>
        <v>0.10200000000000001</v>
      </c>
      <c r="G45" s="94">
        <f t="shared" si="27"/>
        <v>81.600000000000009</v>
      </c>
      <c r="H45" s="93">
        <f t="shared" si="28"/>
        <v>0.11184210526315791</v>
      </c>
      <c r="I45" s="92">
        <f t="shared" si="29"/>
        <v>266.66666666666669</v>
      </c>
      <c r="J45" s="91">
        <f t="shared" si="30"/>
        <v>53.333333333333343</v>
      </c>
      <c r="K45" s="91">
        <f t="shared" si="31"/>
        <v>213.33333333333337</v>
      </c>
      <c r="L45" s="91">
        <f t="shared" si="32"/>
        <v>266.66666666666674</v>
      </c>
      <c r="M45" s="90">
        <f t="shared" si="33"/>
        <v>27.200000000000003</v>
      </c>
    </row>
    <row r="46" spans="1:13" ht="15.75" x14ac:dyDescent="0.25">
      <c r="A46" s="99" t="str">
        <f t="shared" si="23"/>
        <v>No_flow.</v>
      </c>
      <c r="B46" s="98">
        <v>0.48</v>
      </c>
      <c r="C46" s="96">
        <f t="shared" si="24"/>
        <v>230.39999999999998</v>
      </c>
      <c r="D46" s="97">
        <f t="shared" si="25"/>
        <v>0.31578947368421051</v>
      </c>
      <c r="E46" s="96" t="s">
        <v>213</v>
      </c>
      <c r="F46" s="95">
        <f t="shared" si="26"/>
        <v>0.192</v>
      </c>
      <c r="G46" s="94">
        <f t="shared" si="27"/>
        <v>230.4</v>
      </c>
      <c r="H46" s="93">
        <f t="shared" si="28"/>
        <v>0.31578947368421051</v>
      </c>
      <c r="I46" s="92">
        <f t="shared" si="29"/>
        <v>400</v>
      </c>
      <c r="J46" s="91">
        <f t="shared" si="30"/>
        <v>160</v>
      </c>
      <c r="K46" s="91">
        <f t="shared" si="31"/>
        <v>240</v>
      </c>
      <c r="L46" s="91">
        <f t="shared" si="32"/>
        <v>400</v>
      </c>
      <c r="M46" s="90">
        <f t="shared" si="33"/>
        <v>76.8</v>
      </c>
    </row>
    <row r="47" spans="1:13" ht="15.75" x14ac:dyDescent="0.25">
      <c r="A47" s="99" t="str">
        <f t="shared" si="23"/>
        <v>No_flow.</v>
      </c>
      <c r="B47" s="98"/>
      <c r="C47" s="96">
        <f t="shared" si="24"/>
        <v>0</v>
      </c>
      <c r="D47" s="97">
        <f t="shared" si="25"/>
        <v>0</v>
      </c>
      <c r="E47" s="96"/>
      <c r="F47" s="95">
        <f t="shared" si="26"/>
        <v>0</v>
      </c>
      <c r="G47" s="94">
        <f t="shared" si="27"/>
        <v>0</v>
      </c>
      <c r="H47" s="93">
        <f t="shared" si="28"/>
        <v>0</v>
      </c>
      <c r="I47" s="92">
        <f t="shared" si="29"/>
        <v>0</v>
      </c>
      <c r="J47" s="91">
        <f t="shared" si="30"/>
        <v>0</v>
      </c>
      <c r="K47" s="91">
        <f t="shared" si="31"/>
        <v>0</v>
      </c>
      <c r="L47" s="91">
        <f t="shared" si="32"/>
        <v>0</v>
      </c>
      <c r="M47" s="90">
        <f t="shared" si="33"/>
        <v>0</v>
      </c>
    </row>
    <row r="48" spans="1:13" ht="15.75" x14ac:dyDescent="0.25">
      <c r="A48" s="99" t="str">
        <f t="shared" si="23"/>
        <v>No_flow.</v>
      </c>
      <c r="B48" s="98"/>
      <c r="C48" s="96">
        <f t="shared" si="24"/>
        <v>0</v>
      </c>
      <c r="D48" s="97">
        <f t="shared" si="25"/>
        <v>0</v>
      </c>
      <c r="E48" s="96"/>
      <c r="F48" s="95">
        <f t="shared" si="26"/>
        <v>0</v>
      </c>
      <c r="G48" s="94">
        <f t="shared" si="27"/>
        <v>0</v>
      </c>
      <c r="H48" s="93">
        <f t="shared" si="28"/>
        <v>0</v>
      </c>
      <c r="I48" s="92">
        <f t="shared" si="29"/>
        <v>0</v>
      </c>
      <c r="J48" s="91">
        <f t="shared" si="30"/>
        <v>0</v>
      </c>
      <c r="K48" s="91">
        <f t="shared" si="31"/>
        <v>0</v>
      </c>
      <c r="L48" s="91">
        <f t="shared" si="32"/>
        <v>0</v>
      </c>
      <c r="M48" s="90">
        <f t="shared" si="33"/>
        <v>0</v>
      </c>
    </row>
    <row r="49" spans="1:13" ht="16.5" thickBot="1" x14ac:dyDescent="0.3">
      <c r="A49" s="99">
        <f t="shared" si="23"/>
        <v>0</v>
      </c>
      <c r="B49" s="98"/>
      <c r="C49" s="96">
        <f t="shared" si="24"/>
        <v>0</v>
      </c>
      <c r="D49" s="97">
        <f t="shared" si="25"/>
        <v>0</v>
      </c>
      <c r="E49" s="96"/>
      <c r="F49" s="95">
        <f t="shared" si="26"/>
        <v>0</v>
      </c>
      <c r="G49" s="94">
        <f t="shared" si="27"/>
        <v>0</v>
      </c>
      <c r="H49" s="93">
        <f t="shared" si="28"/>
        <v>0</v>
      </c>
      <c r="I49" s="92">
        <f t="shared" si="29"/>
        <v>0</v>
      </c>
      <c r="J49" s="91">
        <f t="shared" si="30"/>
        <v>0</v>
      </c>
      <c r="K49" s="91">
        <f t="shared" si="31"/>
        <v>0</v>
      </c>
      <c r="L49" s="91">
        <f t="shared" si="32"/>
        <v>0</v>
      </c>
      <c r="M49" s="90">
        <f t="shared" si="33"/>
        <v>0</v>
      </c>
    </row>
    <row r="50" spans="1:13" ht="16.5" thickBot="1" x14ac:dyDescent="0.3">
      <c r="A50" s="89" t="s">
        <v>215</v>
      </c>
      <c r="B50" s="88">
        <f>C50/F41</f>
        <v>0.53647058823529403</v>
      </c>
      <c r="C50" s="86">
        <f>SUM(C44:C49)</f>
        <v>729.59999999999991</v>
      </c>
      <c r="D50" s="87">
        <f>SUM(D44:D49)</f>
        <v>1</v>
      </c>
      <c r="E50" s="86"/>
      <c r="F50" s="85">
        <f>G50/B41</f>
        <v>0.2432</v>
      </c>
      <c r="G50" s="84">
        <f t="shared" ref="G50:M50" si="34">SUM(G44:G49)</f>
        <v>729.6</v>
      </c>
      <c r="H50" s="83">
        <f t="shared" si="34"/>
        <v>0.99999999999999989</v>
      </c>
      <c r="I50" s="82">
        <f t="shared" si="34"/>
        <v>1000</v>
      </c>
      <c r="J50" s="81">
        <f t="shared" si="34"/>
        <v>453.33333333333331</v>
      </c>
      <c r="K50" s="81">
        <f t="shared" si="34"/>
        <v>546.66666666666674</v>
      </c>
      <c r="L50" s="81">
        <f t="shared" si="34"/>
        <v>1000</v>
      </c>
      <c r="M50" s="80">
        <f t="shared" si="34"/>
        <v>243.2</v>
      </c>
    </row>
    <row r="51" spans="1:13" ht="15.75" thickBot="1" x14ac:dyDescent="0.3">
      <c r="A51" s="261" t="s">
        <v>225</v>
      </c>
      <c r="B51" s="262"/>
      <c r="C51" s="262"/>
      <c r="D51" s="262"/>
      <c r="E51" s="263"/>
      <c r="F51" s="264" t="s">
        <v>224</v>
      </c>
      <c r="G51" s="265"/>
      <c r="H51" s="265"/>
      <c r="I51" s="265"/>
      <c r="J51" s="265"/>
      <c r="K51" s="265"/>
      <c r="L51" s="265"/>
      <c r="M51" s="266"/>
    </row>
    <row r="52" spans="1:13" ht="16.5" thickBot="1" x14ac:dyDescent="0.3">
      <c r="A52" s="4" t="s">
        <v>223</v>
      </c>
      <c r="B52" s="79" t="s">
        <v>222</v>
      </c>
      <c r="C52" s="78" t="s">
        <v>193</v>
      </c>
      <c r="D52" s="77" t="s">
        <v>192</v>
      </c>
      <c r="E52" s="76" t="s">
        <v>221</v>
      </c>
      <c r="F52" s="211"/>
      <c r="G52" s="211"/>
      <c r="H52" s="211"/>
      <c r="I52" s="211"/>
      <c r="J52" s="211"/>
      <c r="K52" s="211"/>
      <c r="L52" s="211"/>
      <c r="M52" s="267"/>
    </row>
    <row r="53" spans="1:13" ht="15.75" x14ac:dyDescent="0.25">
      <c r="A53" s="5" t="s">
        <v>220</v>
      </c>
      <c r="B53" s="75">
        <f>B22</f>
        <v>3000</v>
      </c>
      <c r="C53" s="74">
        <f>F22</f>
        <v>1500</v>
      </c>
      <c r="D53" s="73">
        <f>J22</f>
        <v>1500</v>
      </c>
      <c r="E53" s="72">
        <f>C31</f>
        <v>750</v>
      </c>
      <c r="F53" s="211"/>
      <c r="G53" s="211"/>
      <c r="H53" s="211"/>
      <c r="I53" s="211"/>
      <c r="J53" s="211"/>
      <c r="K53" s="211"/>
      <c r="L53" s="211"/>
      <c r="M53" s="267"/>
    </row>
    <row r="54" spans="1:13" ht="16.5" thickBot="1" x14ac:dyDescent="0.3">
      <c r="A54" s="5" t="s">
        <v>219</v>
      </c>
      <c r="B54" s="75">
        <f>B41</f>
        <v>3000</v>
      </c>
      <c r="C54" s="74">
        <f>F41</f>
        <v>1360</v>
      </c>
      <c r="D54" s="73">
        <f>J41</f>
        <v>1640</v>
      </c>
      <c r="E54" s="72">
        <f>C50</f>
        <v>729.59999999999991</v>
      </c>
      <c r="F54" s="211"/>
      <c r="G54" s="211"/>
      <c r="H54" s="211"/>
      <c r="I54" s="211"/>
      <c r="J54" s="211"/>
      <c r="K54" s="211"/>
      <c r="L54" s="211"/>
      <c r="M54" s="267"/>
    </row>
    <row r="55" spans="1:13" ht="15.75" x14ac:dyDescent="0.25">
      <c r="A55" s="4" t="s">
        <v>218</v>
      </c>
      <c r="B55" s="164">
        <f>B53-B54</f>
        <v>0</v>
      </c>
      <c r="C55" s="165">
        <f>C53-C54</f>
        <v>140</v>
      </c>
      <c r="D55" s="166">
        <f>D53-D54</f>
        <v>-140</v>
      </c>
      <c r="E55" s="167">
        <f>E53-E54</f>
        <v>20.400000000000091</v>
      </c>
      <c r="F55" s="211"/>
      <c r="G55" s="211"/>
      <c r="H55" s="211"/>
      <c r="I55" s="211"/>
      <c r="J55" s="211"/>
      <c r="K55" s="211"/>
      <c r="L55" s="211"/>
      <c r="M55" s="267"/>
    </row>
    <row r="56" spans="1:13" ht="16.5" thickBot="1" x14ac:dyDescent="0.3">
      <c r="A56" s="7" t="s">
        <v>217</v>
      </c>
      <c r="B56" s="71">
        <f>B53/B54</f>
        <v>1</v>
      </c>
      <c r="C56" s="69">
        <f>C53/C54</f>
        <v>1.1029411764705883</v>
      </c>
      <c r="D56" s="68">
        <f>D53/D54</f>
        <v>0.91463414634146345</v>
      </c>
      <c r="E56" s="67">
        <f>E53/E54</f>
        <v>1.0279605263157896</v>
      </c>
      <c r="F56" s="211"/>
      <c r="G56" s="211"/>
      <c r="H56" s="211"/>
      <c r="I56" s="211"/>
      <c r="J56" s="211"/>
      <c r="K56" s="211"/>
      <c r="L56" s="211"/>
      <c r="M56" s="267"/>
    </row>
    <row r="57" spans="1:13" ht="15.75" thickBot="1" x14ac:dyDescent="0.3">
      <c r="A57" s="261" t="s">
        <v>216</v>
      </c>
      <c r="B57" s="262"/>
      <c r="C57" s="262"/>
      <c r="D57" s="262"/>
      <c r="E57" s="263"/>
      <c r="F57" s="211"/>
      <c r="G57" s="211"/>
      <c r="H57" s="211"/>
      <c r="I57" s="211"/>
      <c r="J57" s="211"/>
      <c r="K57" s="211"/>
      <c r="L57" s="211"/>
      <c r="M57" s="267"/>
    </row>
    <row r="58" spans="1:13" ht="16.5" thickBot="1" x14ac:dyDescent="0.3">
      <c r="A58" s="66" t="str">
        <f t="shared" ref="A58:A63" si="35">A44</f>
        <v>No_flow.</v>
      </c>
      <c r="B58" s="65">
        <f t="shared" ref="B58:B63" si="36">(B35*$C$41)/($B$22*$C$22)</f>
        <v>0.33333333333333331</v>
      </c>
      <c r="C58" s="64">
        <f>(E35*B35)/($B$22*$E$22)</f>
        <v>0.48</v>
      </c>
      <c r="D58" s="63">
        <f t="shared" ref="D58:D63" si="37">(I35*B35)/($B$22*$I$22)</f>
        <v>0.18666666666666668</v>
      </c>
      <c r="E58" s="62">
        <f t="shared" ref="E58:E63" si="38">(F44*B35)/($B$22*$F$31)</f>
        <v>0.55679999999999996</v>
      </c>
      <c r="F58" s="211"/>
      <c r="G58" s="211"/>
      <c r="H58" s="211"/>
      <c r="I58" s="211"/>
      <c r="J58" s="211"/>
      <c r="K58" s="211"/>
      <c r="L58" s="211"/>
      <c r="M58" s="267"/>
    </row>
    <row r="59" spans="1:13" ht="16.5" thickBot="1" x14ac:dyDescent="0.3">
      <c r="A59" s="7" t="str">
        <f t="shared" si="35"/>
        <v>No_flow.</v>
      </c>
      <c r="B59" s="70">
        <f t="shared" si="36"/>
        <v>0.26666666666666666</v>
      </c>
      <c r="C59" s="69">
        <f>(E36*B36)/($B$22*$E$22)</f>
        <v>0.10666666666666667</v>
      </c>
      <c r="D59" s="68">
        <f t="shared" si="37"/>
        <v>0.42666666666666669</v>
      </c>
      <c r="E59" s="67">
        <f t="shared" si="38"/>
        <v>0.10880000000000001</v>
      </c>
      <c r="F59" s="211"/>
      <c r="G59" s="211"/>
      <c r="H59" s="211"/>
      <c r="I59" s="211"/>
      <c r="J59" s="211"/>
      <c r="K59" s="211"/>
      <c r="L59" s="211"/>
      <c r="M59" s="267"/>
    </row>
    <row r="60" spans="1:13" ht="16.5" thickBot="1" x14ac:dyDescent="0.3">
      <c r="A60" s="7" t="str">
        <f t="shared" si="35"/>
        <v>No_flow.</v>
      </c>
      <c r="B60" s="70">
        <f t="shared" si="36"/>
        <v>0.4</v>
      </c>
      <c r="C60" s="69">
        <f>(E37*B37)/($B$22*$E$22)</f>
        <v>0.32</v>
      </c>
      <c r="D60" s="68">
        <f t="shared" si="37"/>
        <v>0.48</v>
      </c>
      <c r="E60" s="67">
        <f t="shared" si="38"/>
        <v>0.30720000000000003</v>
      </c>
      <c r="F60" s="211"/>
      <c r="G60" s="211"/>
      <c r="H60" s="211"/>
      <c r="I60" s="211"/>
      <c r="J60" s="211"/>
      <c r="K60" s="211"/>
      <c r="L60" s="211"/>
      <c r="M60" s="267"/>
    </row>
    <row r="61" spans="1:13" ht="16.5" thickBot="1" x14ac:dyDescent="0.3">
      <c r="A61" s="7" t="str">
        <f t="shared" si="35"/>
        <v>No_flow.</v>
      </c>
      <c r="B61" s="70">
        <f t="shared" si="36"/>
        <v>0</v>
      </c>
      <c r="C61" s="69">
        <f>($G$41*F38)/($B$22*$E$22)</f>
        <v>0</v>
      </c>
      <c r="D61" s="68">
        <f t="shared" si="37"/>
        <v>0</v>
      </c>
      <c r="E61" s="67">
        <f t="shared" si="38"/>
        <v>0</v>
      </c>
      <c r="F61" s="211"/>
      <c r="G61" s="211"/>
      <c r="H61" s="211"/>
      <c r="I61" s="211"/>
      <c r="J61" s="211"/>
      <c r="K61" s="211"/>
      <c r="L61" s="211"/>
      <c r="M61" s="267"/>
    </row>
    <row r="62" spans="1:13" ht="16.5" thickBot="1" x14ac:dyDescent="0.3">
      <c r="A62" s="7" t="str">
        <f t="shared" si="35"/>
        <v>No_flow.</v>
      </c>
      <c r="B62" s="70">
        <f t="shared" si="36"/>
        <v>0</v>
      </c>
      <c r="C62" s="69">
        <f>(B39*E39)/($B$22*$E$22)</f>
        <v>0</v>
      </c>
      <c r="D62" s="68">
        <f t="shared" si="37"/>
        <v>0</v>
      </c>
      <c r="E62" s="67">
        <f t="shared" si="38"/>
        <v>0</v>
      </c>
      <c r="F62" s="211"/>
      <c r="G62" s="211"/>
      <c r="H62" s="211"/>
      <c r="I62" s="211"/>
      <c r="J62" s="211"/>
      <c r="K62" s="211"/>
      <c r="L62" s="211"/>
      <c r="M62" s="267"/>
    </row>
    <row r="63" spans="1:13" ht="16.5" thickBot="1" x14ac:dyDescent="0.3">
      <c r="A63" s="7">
        <f t="shared" si="35"/>
        <v>0</v>
      </c>
      <c r="B63" s="70">
        <f t="shared" si="36"/>
        <v>0</v>
      </c>
      <c r="C63" s="69">
        <f>(B40*E40)/($B$22*$E$22)</f>
        <v>0</v>
      </c>
      <c r="D63" s="68">
        <f t="shared" si="37"/>
        <v>0</v>
      </c>
      <c r="E63" s="67">
        <f t="shared" si="38"/>
        <v>0</v>
      </c>
      <c r="F63" s="211"/>
      <c r="G63" s="211"/>
      <c r="H63" s="211"/>
      <c r="I63" s="211"/>
      <c r="J63" s="211"/>
      <c r="K63" s="211"/>
      <c r="L63" s="211"/>
      <c r="M63" s="267"/>
    </row>
    <row r="64" spans="1:13" ht="16.5" thickBot="1" x14ac:dyDescent="0.3">
      <c r="A64" s="4" t="s">
        <v>215</v>
      </c>
      <c r="B64" s="160">
        <f>SUM(B58:B63)</f>
        <v>1</v>
      </c>
      <c r="C64" s="161">
        <f>SUM(C58:C63)</f>
        <v>0.90666666666666673</v>
      </c>
      <c r="D64" s="162">
        <f>SUM(D58:D63)</f>
        <v>1.0933333333333333</v>
      </c>
      <c r="E64" s="163">
        <f>SUM(E58:E63)</f>
        <v>0.9728</v>
      </c>
      <c r="F64" s="211"/>
      <c r="G64" s="211"/>
      <c r="H64" s="211"/>
      <c r="I64" s="211"/>
      <c r="J64" s="211"/>
      <c r="K64" s="211"/>
      <c r="L64" s="211"/>
      <c r="M64" s="267"/>
    </row>
    <row r="65" spans="1:13" ht="16.5" thickBot="1" x14ac:dyDescent="0.3">
      <c r="A65" s="225" t="s">
        <v>214</v>
      </c>
      <c r="B65" s="226"/>
      <c r="C65" s="226"/>
      <c r="D65" s="226"/>
      <c r="E65" s="226"/>
      <c r="F65" s="226"/>
      <c r="G65" s="226"/>
      <c r="H65" s="226"/>
      <c r="I65" s="226"/>
      <c r="J65" s="226"/>
      <c r="K65" s="226"/>
      <c r="L65" s="226"/>
      <c r="M65" s="227"/>
    </row>
    <row r="66" spans="1:13" x14ac:dyDescent="0.25">
      <c r="A66" s="5" t="s">
        <v>213</v>
      </c>
      <c r="B66" s="268" t="s">
        <v>212</v>
      </c>
      <c r="C66" s="268"/>
      <c r="D66" s="268"/>
      <c r="E66" s="268"/>
      <c r="F66" s="268"/>
      <c r="G66" s="5" t="s">
        <v>211</v>
      </c>
      <c r="M66" s="61"/>
    </row>
    <row r="67" spans="1:13" ht="18.75" customHeight="1" x14ac:dyDescent="0.25">
      <c r="A67" s="5" t="s">
        <v>210</v>
      </c>
      <c r="B67" s="211" t="s">
        <v>197</v>
      </c>
      <c r="C67" s="211"/>
      <c r="D67" s="211"/>
      <c r="E67" s="211"/>
      <c r="F67" s="211"/>
      <c r="G67" s="5" t="s">
        <v>209</v>
      </c>
      <c r="M67" s="61"/>
    </row>
    <row r="68" spans="1:13" x14ac:dyDescent="0.25">
      <c r="A68" s="5" t="s">
        <v>208</v>
      </c>
      <c r="G68" s="5" t="s">
        <v>207</v>
      </c>
      <c r="M68" s="61"/>
    </row>
    <row r="69" spans="1:13" x14ac:dyDescent="0.25">
      <c r="A69" s="5" t="s">
        <v>206</v>
      </c>
      <c r="G69" s="5" t="s">
        <v>205</v>
      </c>
      <c r="M69" s="61"/>
    </row>
    <row r="70" spans="1:13" x14ac:dyDescent="0.25">
      <c r="A70" s="5" t="s">
        <v>204</v>
      </c>
      <c r="G70" s="5" t="s">
        <v>203</v>
      </c>
      <c r="M70" s="61"/>
    </row>
    <row r="71" spans="1:13" x14ac:dyDescent="0.25">
      <c r="A71" s="5" t="s">
        <v>202</v>
      </c>
      <c r="G71" s="5" t="s">
        <v>201</v>
      </c>
      <c r="M71" s="61"/>
    </row>
    <row r="72" spans="1:13" ht="15.75" thickBot="1" x14ac:dyDescent="0.3">
      <c r="A72" s="7" t="s">
        <v>200</v>
      </c>
      <c r="B72" s="60"/>
      <c r="C72" s="60"/>
      <c r="D72" s="60"/>
      <c r="E72" s="60"/>
      <c r="F72" s="60"/>
      <c r="G72" s="7" t="s">
        <v>199</v>
      </c>
      <c r="H72" s="60"/>
      <c r="I72" s="60"/>
      <c r="J72" s="60"/>
      <c r="K72" s="60"/>
      <c r="L72" s="60"/>
      <c r="M72" s="59"/>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L69"/>
  <sheetViews>
    <sheetView topLeftCell="A45" zoomScale="130" zoomScaleNormal="130" workbookViewId="0">
      <selection activeCell="F60" sqref="F60"/>
    </sheetView>
  </sheetViews>
  <sheetFormatPr defaultColWidth="10.85546875" defaultRowHeight="15" x14ac:dyDescent="0.25"/>
  <cols>
    <col min="1" max="2" width="15.28515625" customWidth="1"/>
    <col min="3" max="3" width="13.140625" customWidth="1"/>
    <col min="4" max="4" width="13.28515625" customWidth="1"/>
    <col min="6" max="6" width="35.140625" customWidth="1"/>
    <col min="7" max="7" width="37.7109375" customWidth="1"/>
    <col min="8" max="8" width="34.140625" customWidth="1"/>
    <col min="10" max="11" width="13.7109375" customWidth="1"/>
    <col min="12" max="12" width="33.42578125" customWidth="1"/>
  </cols>
  <sheetData>
    <row r="1" spans="1:12" x14ac:dyDescent="0.25">
      <c r="A1" s="269" t="s">
        <v>360</v>
      </c>
      <c r="B1" s="269"/>
      <c r="C1" s="269"/>
      <c r="E1" s="269" t="s">
        <v>361</v>
      </c>
      <c r="F1" s="269"/>
      <c r="G1" s="269"/>
    </row>
    <row r="2" spans="1:12" x14ac:dyDescent="0.25">
      <c r="A2" s="23" t="s">
        <v>32</v>
      </c>
      <c r="B2" s="23" t="s">
        <v>33</v>
      </c>
      <c r="C2" s="23" t="s">
        <v>6</v>
      </c>
      <c r="E2" s="23" t="s">
        <v>32</v>
      </c>
      <c r="F2" s="23" t="s">
        <v>33</v>
      </c>
      <c r="G2" s="23" t="s">
        <v>6</v>
      </c>
      <c r="J2" s="270" t="s">
        <v>63</v>
      </c>
      <c r="K2" s="270"/>
      <c r="L2" s="270"/>
    </row>
    <row r="3" spans="1:12" x14ac:dyDescent="0.25">
      <c r="A3" s="3">
        <v>1</v>
      </c>
      <c r="B3" s="3" t="s">
        <v>220</v>
      </c>
      <c r="C3" s="3"/>
      <c r="E3" s="3">
        <v>1</v>
      </c>
      <c r="F3" s="3" t="s">
        <v>125</v>
      </c>
      <c r="G3" s="3" t="s">
        <v>127</v>
      </c>
      <c r="J3" s="2" t="s">
        <v>32</v>
      </c>
      <c r="K3" s="2" t="s">
        <v>33</v>
      </c>
      <c r="L3" s="2" t="s">
        <v>6</v>
      </c>
    </row>
    <row r="4" spans="1:12" x14ac:dyDescent="0.25">
      <c r="A4" s="3">
        <v>2</v>
      </c>
      <c r="B4" s="3" t="s">
        <v>219</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69" t="s">
        <v>363</v>
      </c>
      <c r="B9" s="269"/>
      <c r="C9" s="269"/>
      <c r="J9">
        <v>6</v>
      </c>
    </row>
    <row r="10" spans="1:12" x14ac:dyDescent="0.25">
      <c r="A10" t="s">
        <v>32</v>
      </c>
      <c r="B10" t="s">
        <v>223</v>
      </c>
      <c r="C10" t="s">
        <v>6</v>
      </c>
    </row>
    <row r="11" spans="1:12" ht="60" x14ac:dyDescent="0.25">
      <c r="A11">
        <v>1</v>
      </c>
      <c r="B11" t="s">
        <v>339</v>
      </c>
      <c r="C11" s="1" t="s">
        <v>362</v>
      </c>
    </row>
    <row r="12" spans="1:12" x14ac:dyDescent="0.25">
      <c r="A12">
        <v>2</v>
      </c>
      <c r="B12" t="s">
        <v>340</v>
      </c>
    </row>
    <row r="13" spans="1:12" x14ac:dyDescent="0.25">
      <c r="A13">
        <v>3</v>
      </c>
      <c r="B13" t="s">
        <v>341</v>
      </c>
      <c r="J13" s="270" t="s">
        <v>63</v>
      </c>
      <c r="K13" s="270"/>
      <c r="L13" s="270"/>
    </row>
    <row r="14" spans="1:12" x14ac:dyDescent="0.25">
      <c r="A14">
        <v>4</v>
      </c>
      <c r="B14" t="s">
        <v>342</v>
      </c>
      <c r="J14" s="2" t="s">
        <v>32</v>
      </c>
      <c r="K14" s="2" t="s">
        <v>33</v>
      </c>
      <c r="L14" s="2" t="s">
        <v>6</v>
      </c>
    </row>
    <row r="15" spans="1:12" x14ac:dyDescent="0.25">
      <c r="J15" s="3">
        <v>1</v>
      </c>
      <c r="K15" s="3" t="s">
        <v>100</v>
      </c>
      <c r="L15" s="3" t="s">
        <v>100</v>
      </c>
    </row>
    <row r="16" spans="1:12" x14ac:dyDescent="0.25">
      <c r="A16" s="269" t="s">
        <v>364</v>
      </c>
      <c r="B16" s="269"/>
      <c r="C16" s="269"/>
      <c r="J16">
        <v>2</v>
      </c>
      <c r="K16" t="s">
        <v>16</v>
      </c>
      <c r="L16" t="s">
        <v>16</v>
      </c>
    </row>
    <row r="17" spans="1:12" x14ac:dyDescent="0.25">
      <c r="A17" t="s">
        <v>32</v>
      </c>
      <c r="B17" t="s">
        <v>365</v>
      </c>
      <c r="C17" t="s">
        <v>6</v>
      </c>
      <c r="J17" s="3">
        <v>3</v>
      </c>
      <c r="K17" s="3" t="s">
        <v>101</v>
      </c>
      <c r="L17" s="3" t="s">
        <v>101</v>
      </c>
    </row>
    <row r="18" spans="1:12" x14ac:dyDescent="0.25">
      <c r="A18">
        <v>1</v>
      </c>
      <c r="B18" t="s">
        <v>331</v>
      </c>
      <c r="C18" t="s">
        <v>366</v>
      </c>
      <c r="J18">
        <v>4</v>
      </c>
      <c r="K18" t="s">
        <v>102</v>
      </c>
      <c r="L18" t="s">
        <v>102</v>
      </c>
    </row>
    <row r="19" spans="1:12" x14ac:dyDescent="0.25">
      <c r="A19">
        <v>2</v>
      </c>
      <c r="B19" t="s">
        <v>332</v>
      </c>
      <c r="C19" t="s">
        <v>367</v>
      </c>
      <c r="J19" s="3">
        <v>5</v>
      </c>
      <c r="K19" s="3" t="s">
        <v>103</v>
      </c>
      <c r="L19" s="3" t="s">
        <v>103</v>
      </c>
    </row>
    <row r="20" spans="1:12" x14ac:dyDescent="0.25">
      <c r="A20">
        <v>3</v>
      </c>
      <c r="B20" t="s">
        <v>333</v>
      </c>
      <c r="C20" t="s">
        <v>368</v>
      </c>
    </row>
    <row r="21" spans="1:12" x14ac:dyDescent="0.25">
      <c r="A21">
        <v>4</v>
      </c>
    </row>
    <row r="23" spans="1:12" x14ac:dyDescent="0.25">
      <c r="A23" s="269" t="s">
        <v>369</v>
      </c>
      <c r="B23" s="269"/>
      <c r="C23" s="269"/>
    </row>
    <row r="24" spans="1:12" x14ac:dyDescent="0.25">
      <c r="A24" t="s">
        <v>322</v>
      </c>
      <c r="B24" t="s">
        <v>370</v>
      </c>
      <c r="C24" t="s">
        <v>6</v>
      </c>
    </row>
    <row r="25" spans="1:12" x14ac:dyDescent="0.25">
      <c r="A25">
        <v>1</v>
      </c>
      <c r="B25" t="s">
        <v>323</v>
      </c>
      <c r="F25" s="269" t="s">
        <v>64</v>
      </c>
      <c r="G25" s="269"/>
      <c r="H25" s="269"/>
    </row>
    <row r="26" spans="1:12" x14ac:dyDescent="0.25">
      <c r="A26">
        <v>2</v>
      </c>
      <c r="B26" t="s">
        <v>324</v>
      </c>
      <c r="F26" t="s">
        <v>32</v>
      </c>
      <c r="G26" t="s">
        <v>33</v>
      </c>
      <c r="H26" t="s">
        <v>6</v>
      </c>
    </row>
    <row r="27" spans="1:12" x14ac:dyDescent="0.25">
      <c r="A27">
        <v>3</v>
      </c>
      <c r="B27" t="s">
        <v>325</v>
      </c>
      <c r="F27">
        <v>1</v>
      </c>
      <c r="G27" t="s">
        <v>34</v>
      </c>
      <c r="H27" t="s">
        <v>34</v>
      </c>
    </row>
    <row r="28" spans="1:12" x14ac:dyDescent="0.25">
      <c r="A28">
        <v>4</v>
      </c>
      <c r="B28" t="s">
        <v>326</v>
      </c>
      <c r="F28">
        <v>2</v>
      </c>
      <c r="G28" t="s">
        <v>14</v>
      </c>
      <c r="H28" t="s">
        <v>14</v>
      </c>
    </row>
    <row r="29" spans="1:12" x14ac:dyDescent="0.25">
      <c r="A29">
        <v>5</v>
      </c>
      <c r="B29" t="s">
        <v>327</v>
      </c>
      <c r="F29">
        <v>3</v>
      </c>
      <c r="G29" t="s">
        <v>15</v>
      </c>
      <c r="H29" t="s">
        <v>15</v>
      </c>
    </row>
    <row r="30" spans="1:12" x14ac:dyDescent="0.25">
      <c r="A30">
        <v>6</v>
      </c>
      <c r="B30" t="s">
        <v>328</v>
      </c>
      <c r="F30">
        <v>4</v>
      </c>
      <c r="G30" t="s">
        <v>104</v>
      </c>
      <c r="H30" t="s">
        <v>104</v>
      </c>
    </row>
    <row r="31" spans="1:12" x14ac:dyDescent="0.25">
      <c r="A31">
        <v>7</v>
      </c>
      <c r="B31" t="s">
        <v>329</v>
      </c>
      <c r="F31">
        <v>5</v>
      </c>
    </row>
    <row r="32" spans="1:12" x14ac:dyDescent="0.25">
      <c r="A32">
        <v>8</v>
      </c>
      <c r="F32">
        <v>6</v>
      </c>
    </row>
    <row r="33" spans="1:6" x14ac:dyDescent="0.25">
      <c r="A33">
        <v>9</v>
      </c>
      <c r="F33">
        <v>7</v>
      </c>
    </row>
    <row r="34" spans="1:6" x14ac:dyDescent="0.25">
      <c r="F34">
        <v>8</v>
      </c>
    </row>
    <row r="36" spans="1:6" x14ac:dyDescent="0.25">
      <c r="A36" s="269" t="s">
        <v>371</v>
      </c>
      <c r="B36" s="269"/>
    </row>
    <row r="37" spans="1:6" x14ac:dyDescent="0.25">
      <c r="A37" t="s">
        <v>32</v>
      </c>
      <c r="B37" t="s">
        <v>36</v>
      </c>
    </row>
    <row r="38" spans="1:6" x14ac:dyDescent="0.25">
      <c r="A38">
        <v>1</v>
      </c>
      <c r="B38" t="s">
        <v>7</v>
      </c>
    </row>
    <row r="39" spans="1:6" x14ac:dyDescent="0.25">
      <c r="A39">
        <v>2</v>
      </c>
      <c r="B39" t="s">
        <v>8</v>
      </c>
    </row>
    <row r="41" spans="1:6" x14ac:dyDescent="0.25">
      <c r="A41" t="s">
        <v>322</v>
      </c>
      <c r="B41" t="s">
        <v>370</v>
      </c>
      <c r="C41" t="s">
        <v>6</v>
      </c>
    </row>
    <row r="42" spans="1:6" x14ac:dyDescent="0.25">
      <c r="A42">
        <v>1</v>
      </c>
    </row>
    <row r="43" spans="1:6" x14ac:dyDescent="0.25">
      <c r="A43">
        <v>2</v>
      </c>
    </row>
    <row r="44" spans="1:6" x14ac:dyDescent="0.25">
      <c r="A44">
        <v>3</v>
      </c>
    </row>
    <row r="45" spans="1:6" x14ac:dyDescent="0.25">
      <c r="A45">
        <v>4</v>
      </c>
    </row>
    <row r="46" spans="1:6" x14ac:dyDescent="0.25">
      <c r="A46">
        <v>5</v>
      </c>
    </row>
    <row r="47" spans="1:6" x14ac:dyDescent="0.25">
      <c r="A47">
        <v>6</v>
      </c>
    </row>
    <row r="48" spans="1:6" x14ac:dyDescent="0.25">
      <c r="A48">
        <v>7</v>
      </c>
    </row>
    <row r="49" spans="1:7" x14ac:dyDescent="0.25">
      <c r="A49">
        <v>8</v>
      </c>
    </row>
    <row r="50" spans="1:7" x14ac:dyDescent="0.25">
      <c r="A50">
        <v>9</v>
      </c>
    </row>
    <row r="53" spans="1:7" x14ac:dyDescent="0.25">
      <c r="A53" t="s">
        <v>322</v>
      </c>
      <c r="B53" t="s">
        <v>370</v>
      </c>
      <c r="C53" t="s">
        <v>6</v>
      </c>
      <c r="E53" t="s">
        <v>322</v>
      </c>
      <c r="F53" t="s">
        <v>370</v>
      </c>
      <c r="G53" t="s">
        <v>6</v>
      </c>
    </row>
    <row r="54" spans="1:7" x14ac:dyDescent="0.25">
      <c r="A54">
        <v>1</v>
      </c>
      <c r="B54" t="s">
        <v>474</v>
      </c>
      <c r="E54">
        <v>1</v>
      </c>
      <c r="F54" t="s">
        <v>483</v>
      </c>
    </row>
    <row r="55" spans="1:7" x14ac:dyDescent="0.25">
      <c r="A55">
        <v>2</v>
      </c>
      <c r="B55" t="s">
        <v>475</v>
      </c>
      <c r="E55">
        <v>2</v>
      </c>
      <c r="F55" t="s">
        <v>484</v>
      </c>
    </row>
    <row r="56" spans="1:7" x14ac:dyDescent="0.25">
      <c r="A56">
        <v>3</v>
      </c>
      <c r="B56" t="s">
        <v>476</v>
      </c>
      <c r="E56">
        <v>3</v>
      </c>
      <c r="F56" t="s">
        <v>485</v>
      </c>
    </row>
    <row r="57" spans="1:7" x14ac:dyDescent="0.25">
      <c r="A57">
        <v>4</v>
      </c>
      <c r="B57" t="s">
        <v>477</v>
      </c>
      <c r="E57">
        <v>4</v>
      </c>
      <c r="F57" t="s">
        <v>486</v>
      </c>
    </row>
    <row r="58" spans="1:7" x14ac:dyDescent="0.25">
      <c r="A58">
        <v>5</v>
      </c>
      <c r="B58" t="s">
        <v>478</v>
      </c>
      <c r="E58">
        <v>5</v>
      </c>
      <c r="F58" t="s">
        <v>487</v>
      </c>
    </row>
    <row r="59" spans="1:7" x14ac:dyDescent="0.25">
      <c r="A59">
        <v>6</v>
      </c>
      <c r="B59" t="s">
        <v>479</v>
      </c>
      <c r="E59">
        <v>6</v>
      </c>
      <c r="F59" t="s">
        <v>488</v>
      </c>
    </row>
    <row r="60" spans="1:7" x14ac:dyDescent="0.25">
      <c r="A60">
        <v>7</v>
      </c>
      <c r="B60" t="s">
        <v>480</v>
      </c>
      <c r="E60">
        <v>7</v>
      </c>
    </row>
    <row r="61" spans="1:7" x14ac:dyDescent="0.25">
      <c r="A61">
        <v>8</v>
      </c>
      <c r="B61" t="s">
        <v>481</v>
      </c>
      <c r="E61">
        <v>8</v>
      </c>
    </row>
    <row r="62" spans="1:7" x14ac:dyDescent="0.25">
      <c r="A62">
        <v>9</v>
      </c>
      <c r="B62" t="s">
        <v>482</v>
      </c>
      <c r="E62">
        <v>9</v>
      </c>
    </row>
    <row r="63" spans="1:7" x14ac:dyDescent="0.25">
      <c r="A63">
        <v>10</v>
      </c>
      <c r="E63">
        <v>10</v>
      </c>
    </row>
    <row r="64" spans="1:7" x14ac:dyDescent="0.25">
      <c r="A64">
        <v>11</v>
      </c>
      <c r="E64">
        <v>11</v>
      </c>
    </row>
    <row r="65" spans="1:5" x14ac:dyDescent="0.25">
      <c r="A65">
        <v>12</v>
      </c>
      <c r="E65">
        <v>12</v>
      </c>
    </row>
    <row r="66" spans="1:5" x14ac:dyDescent="0.25">
      <c r="A66">
        <v>13</v>
      </c>
      <c r="E66">
        <v>13</v>
      </c>
    </row>
    <row r="67" spans="1:5" x14ac:dyDescent="0.25">
      <c r="A67">
        <v>14</v>
      </c>
      <c r="E67">
        <v>14</v>
      </c>
    </row>
    <row r="68" spans="1:5" x14ac:dyDescent="0.25">
      <c r="A68">
        <v>15</v>
      </c>
      <c r="E68">
        <v>15</v>
      </c>
    </row>
    <row r="69" spans="1:5" x14ac:dyDescent="0.25">
      <c r="A69">
        <v>16</v>
      </c>
      <c r="E69">
        <v>16</v>
      </c>
    </row>
  </sheetData>
  <mergeCells count="9">
    <mergeCell ref="A36:B36"/>
    <mergeCell ref="E1:G1"/>
    <mergeCell ref="F25:H25"/>
    <mergeCell ref="J2:L2"/>
    <mergeCell ref="J13:L13"/>
    <mergeCell ref="A1:C1"/>
    <mergeCell ref="A23:C23"/>
    <mergeCell ref="A16:C16"/>
    <mergeCell ref="A9:C9"/>
  </mergeCells>
  <phoneticPr fontId="2" type="noConversion"/>
  <pageMargins left="0.7" right="0.7" top="0.78740157499999996" bottom="0.78740157499999996" header="0.3" footer="0.3"/>
  <pageSetup orientation="portrait" r:id="rId1"/>
  <tableParts count="10">
    <tablePart r:id="rId2"/>
    <tablePart r:id="rId3"/>
    <tablePart r:id="rId4"/>
    <tablePart r:id="rId5"/>
    <tablePart r:id="rId6"/>
    <tablePart r:id="rId7"/>
    <tablePart r:id="rId8"/>
    <tablePart r:id="rId9"/>
    <tablePart r:id="rId10"/>
    <tablePart r:id="rId1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Version_CS0_07.07.</vt:lpstr>
      <vt:lpstr>0_ReadMe</vt:lpstr>
      <vt:lpstr>Table of Content</vt:lpstr>
      <vt:lpstr>0_Configuration</vt:lpstr>
      <vt:lpstr>1_1_Definition_Flows</vt:lpstr>
      <vt:lpstr>1_2_Data_Flows</vt:lpstr>
      <vt:lpstr>2_1_Definition_Processes</vt:lpstr>
      <vt:lpstr>2_3_Process_TCs</vt:lpstr>
      <vt:lpstr>2_5_dynamic_tcs</vt:lpstr>
      <vt:lpstr>3_1_Definition_DSM</vt:lpstr>
      <vt:lpstr>2_4_Initial_Stock</vt:lpstr>
      <vt:lpstr>2_6_Stock_Outflow_TCs</vt:lpstr>
      <vt:lpstr>3_2_Definition_FOMP</vt:lpstr>
      <vt:lpstr>4_1_Uncertainty_Parameters</vt:lpstr>
      <vt:lpstr>3. TC_Data</vt:lpstr>
      <vt:lpstr>PX - Template</vt:lpstr>
      <vt:lpstr>4. Calculation_factors&gt;&gt;&gt;&gt;</vt:lpstr>
      <vt:lpstr>4. Codelists&gt;&gt;&gt;&gt;</vt:lpstr>
      <vt:lpstr>4_1 Codelists</vt:lpstr>
      <vt:lpstr>5. Wastefiles &gt;&gt;&gt;&gt;</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2025-07-14T11:20:08Z</dcterms:modified>
</cp:coreProperties>
</file>