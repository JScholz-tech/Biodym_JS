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13_ncr:1_{1FA9B3E5-E3F8-40A5-9CBE-F32C11213137}" xr6:coauthVersionLast="47" xr6:coauthVersionMax="47" xr10:uidLastSave="{00000000-0000-0000-0000-000000000000}"/>
  <bookViews>
    <workbookView xWindow="-110" yWindow="-110" windowWidth="19420" windowHeight="10560" firstSheet="4" activeTab="6" xr2:uid="{A7E6CD03-1586-5348-BEDA-FCDFDFBAF949}"/>
  </bookViews>
  <sheets>
    <sheet name="Flow_diagram" sheetId="2" r:id="rId1"/>
    <sheet name="Flow_data_Biomass" sheetId="1" r:id="rId2"/>
    <sheet name="TC_data_Biomass" sheetId="3" r:id="rId3"/>
    <sheet name="Flow_data_Carbon" sheetId="10" r:id="rId4"/>
    <sheet name="TC_data_Carbon" sheetId="11" r:id="rId5"/>
    <sheet name="Model_validation_Biomass" sheetId="5" r:id="rId6"/>
    <sheet name="Model_validation_Carbon" sheetId="12" r:id="rId7"/>
    <sheet name="Sequestration_proces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22" i="11" l="1"/>
  <c r="W22" i="11"/>
  <c r="V22" i="11"/>
  <c r="U22" i="11"/>
  <c r="S22" i="11"/>
  <c r="Q22" i="11"/>
  <c r="O22" i="11"/>
  <c r="N22" i="11"/>
  <c r="M22" i="11"/>
  <c r="K22" i="11"/>
  <c r="I22" i="11"/>
  <c r="G22" i="11"/>
  <c r="E22" i="11"/>
  <c r="C22" i="11"/>
  <c r="B22" i="11"/>
  <c r="Y21" i="11"/>
  <c r="W21" i="11"/>
  <c r="V21" i="11"/>
  <c r="U21" i="11"/>
  <c r="S21" i="11"/>
  <c r="Q21" i="11"/>
  <c r="O21" i="11"/>
  <c r="N21" i="11"/>
  <c r="M21" i="11"/>
  <c r="K21" i="11"/>
  <c r="I21" i="11"/>
  <c r="G21" i="11"/>
  <c r="E21" i="11"/>
  <c r="C21" i="11"/>
  <c r="B21" i="11"/>
  <c r="Y20" i="11"/>
  <c r="W20" i="11"/>
  <c r="V20" i="11"/>
  <c r="U20" i="11"/>
  <c r="S20" i="11"/>
  <c r="Q20" i="11"/>
  <c r="O20" i="11"/>
  <c r="N20" i="11"/>
  <c r="M20" i="11"/>
  <c r="K20" i="11"/>
  <c r="I20" i="11"/>
  <c r="G20" i="11"/>
  <c r="E20" i="11"/>
  <c r="C20" i="11"/>
  <c r="B20" i="11"/>
  <c r="Y19" i="11"/>
  <c r="W19" i="11"/>
  <c r="V19" i="11"/>
  <c r="U19" i="11"/>
  <c r="S19" i="11"/>
  <c r="Q19" i="11"/>
  <c r="O19" i="11"/>
  <c r="N19" i="11"/>
  <c r="M19" i="11"/>
  <c r="K19" i="11"/>
  <c r="I19" i="11"/>
  <c r="G19" i="11"/>
  <c r="E19" i="11"/>
  <c r="C19" i="11"/>
  <c r="B19" i="11"/>
  <c r="Y18" i="11"/>
  <c r="W18" i="11"/>
  <c r="V18" i="11"/>
  <c r="U18" i="11"/>
  <c r="S18" i="11"/>
  <c r="Q18" i="11"/>
  <c r="O18" i="11"/>
  <c r="N18" i="11"/>
  <c r="M18" i="11"/>
  <c r="K18" i="11"/>
  <c r="I18" i="11"/>
  <c r="G18" i="11"/>
  <c r="E18" i="11"/>
  <c r="C18" i="11"/>
  <c r="B18" i="11"/>
  <c r="Y17" i="11"/>
  <c r="W17" i="11"/>
  <c r="V17" i="11"/>
  <c r="U17" i="11"/>
  <c r="S17" i="11"/>
  <c r="Q17" i="11"/>
  <c r="O17" i="11"/>
  <c r="N17" i="11"/>
  <c r="M17" i="11"/>
  <c r="K17" i="11"/>
  <c r="I17" i="11"/>
  <c r="G17" i="11"/>
  <c r="E17" i="11"/>
  <c r="C17" i="11"/>
  <c r="B17" i="11"/>
  <c r="Y16" i="11"/>
  <c r="W16" i="11"/>
  <c r="V16" i="11"/>
  <c r="U16" i="11"/>
  <c r="S16" i="11"/>
  <c r="Q16" i="11"/>
  <c r="O16" i="11"/>
  <c r="N16" i="11"/>
  <c r="M16" i="11"/>
  <c r="K16" i="11"/>
  <c r="I16" i="11"/>
  <c r="G16" i="11"/>
  <c r="E16" i="11"/>
  <c r="C16" i="11"/>
  <c r="B16" i="11"/>
  <c r="Y15" i="11"/>
  <c r="W15" i="11"/>
  <c r="V15" i="11"/>
  <c r="U15" i="11"/>
  <c r="S15" i="11"/>
  <c r="Q15" i="11"/>
  <c r="O15" i="11"/>
  <c r="N15" i="11"/>
  <c r="M15" i="11"/>
  <c r="K15" i="11"/>
  <c r="I15" i="11"/>
  <c r="G15" i="11"/>
  <c r="E15" i="11"/>
  <c r="C15" i="11"/>
  <c r="B15" i="11"/>
  <c r="Y14" i="11"/>
  <c r="W14" i="11"/>
  <c r="V14" i="11"/>
  <c r="U14" i="11"/>
  <c r="S14" i="11"/>
  <c r="Q14" i="11"/>
  <c r="O14" i="11"/>
  <c r="N14" i="11"/>
  <c r="M14" i="11"/>
  <c r="K14" i="11"/>
  <c r="I14" i="11"/>
  <c r="G14" i="11"/>
  <c r="E14" i="11"/>
  <c r="C14" i="11"/>
  <c r="B14" i="11"/>
  <c r="Y13" i="11"/>
  <c r="W13" i="11"/>
  <c r="V13" i="11"/>
  <c r="U13" i="11"/>
  <c r="S13" i="11"/>
  <c r="Q13" i="11"/>
  <c r="O13" i="11"/>
  <c r="N13" i="11"/>
  <c r="M13" i="11"/>
  <c r="K13" i="11"/>
  <c r="I13" i="11"/>
  <c r="G13" i="11"/>
  <c r="E13" i="11"/>
  <c r="C13" i="11"/>
  <c r="B13" i="11"/>
  <c r="Y12" i="11"/>
  <c r="W12" i="11"/>
  <c r="V12" i="11"/>
  <c r="U12" i="11"/>
  <c r="S12" i="11"/>
  <c r="Q12" i="11"/>
  <c r="O12" i="11"/>
  <c r="N12" i="11"/>
  <c r="M12" i="11"/>
  <c r="K12" i="11"/>
  <c r="I12" i="11"/>
  <c r="G12" i="11"/>
  <c r="E12" i="11"/>
  <c r="C12" i="11"/>
  <c r="B12" i="11"/>
  <c r="Y11" i="11"/>
  <c r="W11" i="11"/>
  <c r="V11" i="11"/>
  <c r="U11" i="11"/>
  <c r="S11" i="11"/>
  <c r="Q11" i="11"/>
  <c r="O11" i="11"/>
  <c r="N11" i="11"/>
  <c r="M11" i="11"/>
  <c r="K11" i="11"/>
  <c r="I11" i="11"/>
  <c r="G11" i="11"/>
  <c r="E11" i="11"/>
  <c r="C11" i="11"/>
  <c r="B11" i="11"/>
  <c r="Y10" i="11"/>
  <c r="W10" i="11"/>
  <c r="V10" i="11"/>
  <c r="U10" i="11"/>
  <c r="S10" i="11"/>
  <c r="Q10" i="11"/>
  <c r="O10" i="11"/>
  <c r="N10" i="11"/>
  <c r="M10" i="11"/>
  <c r="K10" i="11"/>
  <c r="I10" i="11"/>
  <c r="G10" i="11"/>
  <c r="E10" i="11"/>
  <c r="C10" i="11"/>
  <c r="B10" i="11"/>
  <c r="Y9" i="11"/>
  <c r="W9" i="11"/>
  <c r="V9" i="11"/>
  <c r="U9" i="11"/>
  <c r="S9" i="11"/>
  <c r="Q9" i="11"/>
  <c r="O9" i="11"/>
  <c r="N9" i="11"/>
  <c r="M9" i="11"/>
  <c r="K9" i="11"/>
  <c r="I9" i="11"/>
  <c r="G9" i="11"/>
  <c r="E9" i="11"/>
  <c r="C9" i="11"/>
  <c r="B9" i="11"/>
  <c r="Y8" i="11"/>
  <c r="W8" i="11"/>
  <c r="V8" i="11"/>
  <c r="U8" i="11"/>
  <c r="S8" i="11"/>
  <c r="Q8" i="11"/>
  <c r="O8" i="11"/>
  <c r="N8" i="11"/>
  <c r="M8" i="11"/>
  <c r="K8" i="11"/>
  <c r="I8" i="11"/>
  <c r="G8" i="11"/>
  <c r="E8" i="11"/>
  <c r="C8" i="11"/>
  <c r="B8" i="11"/>
  <c r="Y7" i="11"/>
  <c r="W7" i="11"/>
  <c r="V7" i="11"/>
  <c r="U7" i="11"/>
  <c r="S7" i="11"/>
  <c r="Q7" i="11"/>
  <c r="O7" i="11"/>
  <c r="N7" i="11"/>
  <c r="M7" i="11"/>
  <c r="K7" i="11"/>
  <c r="I7" i="11"/>
  <c r="G7" i="11"/>
  <c r="E7" i="11"/>
  <c r="C7" i="11"/>
  <c r="B7" i="11"/>
  <c r="Y6" i="11"/>
  <c r="W6" i="11"/>
  <c r="V6" i="11"/>
  <c r="U6" i="11"/>
  <c r="S6" i="11"/>
  <c r="Q6" i="11"/>
  <c r="O6" i="11"/>
  <c r="N6" i="11"/>
  <c r="M6" i="11"/>
  <c r="K6" i="11"/>
  <c r="I6" i="11"/>
  <c r="G6" i="11"/>
  <c r="E6" i="11"/>
  <c r="C6" i="11"/>
  <c r="B6" i="11"/>
  <c r="Y5" i="11"/>
  <c r="W5" i="11"/>
  <c r="V5" i="11"/>
  <c r="U5" i="11"/>
  <c r="S5" i="11"/>
  <c r="Q5" i="11"/>
  <c r="O5" i="11"/>
  <c r="N5" i="11"/>
  <c r="M5" i="11"/>
  <c r="K5" i="11"/>
  <c r="I5" i="11"/>
  <c r="G5" i="11"/>
  <c r="E5" i="11"/>
  <c r="C5" i="11"/>
  <c r="B5" i="11"/>
  <c r="Y4" i="11"/>
  <c r="W4" i="11"/>
  <c r="V4" i="11"/>
  <c r="U4" i="11"/>
  <c r="S4" i="11"/>
  <c r="Q4" i="11"/>
  <c r="O4" i="11"/>
  <c r="N4" i="11"/>
  <c r="M4" i="11"/>
  <c r="K4" i="11"/>
  <c r="I4" i="11"/>
  <c r="G4" i="11"/>
  <c r="E4" i="11"/>
  <c r="C4" i="11"/>
  <c r="B4" i="11"/>
  <c r="Y3" i="11"/>
  <c r="W3" i="11"/>
  <c r="V3" i="11"/>
  <c r="U3" i="11"/>
  <c r="S3" i="11"/>
  <c r="Q3" i="11"/>
  <c r="O3" i="11"/>
  <c r="N3" i="11"/>
  <c r="M3" i="11"/>
  <c r="K3" i="11"/>
  <c r="I3" i="11"/>
  <c r="G3" i="11"/>
  <c r="E3" i="11"/>
  <c r="C3" i="11"/>
  <c r="B3" i="11"/>
  <c r="Y2" i="11"/>
  <c r="W2" i="11"/>
  <c r="V2" i="11"/>
  <c r="U2" i="11"/>
  <c r="S2" i="11"/>
  <c r="Q2" i="11"/>
  <c r="O2" i="11"/>
  <c r="N2" i="11"/>
  <c r="M2" i="11"/>
  <c r="K2" i="11"/>
  <c r="I2" i="11"/>
  <c r="G2" i="11"/>
  <c r="E2" i="11"/>
  <c r="C2" i="11"/>
  <c r="B2" i="11"/>
  <c r="B2" i="10"/>
  <c r="M4" i="3"/>
  <c r="C2" i="3"/>
  <c r="B4" i="10"/>
  <c r="C4" i="12" s="1"/>
  <c r="B5" i="10"/>
  <c r="C5" i="12" s="1"/>
  <c r="B6" i="10"/>
  <c r="C6" i="12" s="1"/>
  <c r="F6" i="12" s="1"/>
  <c r="N6" i="12" s="1"/>
  <c r="B7" i="10"/>
  <c r="B8" i="10"/>
  <c r="B9" i="10"/>
  <c r="C9" i="12" s="1"/>
  <c r="B10" i="10"/>
  <c r="C10" i="12" s="1"/>
  <c r="F10" i="12" s="1"/>
  <c r="N10" i="12" s="1"/>
  <c r="B11" i="10"/>
  <c r="C11" i="12" s="1"/>
  <c r="B12" i="10"/>
  <c r="C12" i="12" s="1"/>
  <c r="B13" i="10"/>
  <c r="C13" i="12" s="1"/>
  <c r="B14" i="10"/>
  <c r="C14" i="12" s="1"/>
  <c r="F14" i="12" s="1"/>
  <c r="N14" i="12" s="1"/>
  <c r="B15" i="10"/>
  <c r="C15" i="12" s="1"/>
  <c r="H15" i="12" s="1"/>
  <c r="B16" i="10"/>
  <c r="C16" i="12" s="1"/>
  <c r="B17" i="10"/>
  <c r="C17" i="12" s="1"/>
  <c r="G17" i="12" s="1"/>
  <c r="O17" i="12" s="1"/>
  <c r="B18" i="10"/>
  <c r="C18" i="12" s="1"/>
  <c r="F18" i="12" s="1"/>
  <c r="N18" i="12" s="1"/>
  <c r="B19" i="10"/>
  <c r="C19" i="12" s="1"/>
  <c r="B20" i="10"/>
  <c r="B21" i="10"/>
  <c r="C21" i="12" s="1"/>
  <c r="B22" i="10"/>
  <c r="C22" i="12" s="1"/>
  <c r="B3" i="10"/>
  <c r="C3" i="12" s="1"/>
  <c r="AA22" i="11"/>
  <c r="AA21" i="11"/>
  <c r="B21" i="12"/>
  <c r="S21" i="12" s="1"/>
  <c r="AA20" i="11"/>
  <c r="AA19" i="11"/>
  <c r="AA18" i="11"/>
  <c r="AA17" i="11"/>
  <c r="AA16" i="11"/>
  <c r="AA15" i="11"/>
  <c r="AA14" i="11"/>
  <c r="AA13" i="11"/>
  <c r="AA12" i="11"/>
  <c r="AA11" i="11"/>
  <c r="AA10" i="11"/>
  <c r="AA9" i="11"/>
  <c r="AA8" i="11"/>
  <c r="AA7" i="11"/>
  <c r="AA6" i="11"/>
  <c r="AA5" i="11"/>
  <c r="AA4" i="11"/>
  <c r="AA3" i="11"/>
  <c r="AA2" i="11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Y2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3" i="3"/>
  <c r="M2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B9" i="12" l="1"/>
  <c r="S9" i="12" s="1"/>
  <c r="H14" i="12"/>
  <c r="B17" i="12"/>
  <c r="S17" i="12" s="1"/>
  <c r="B2" i="12"/>
  <c r="S2" i="12" s="1"/>
  <c r="T2" i="12" s="1"/>
  <c r="B7" i="12"/>
  <c r="S7" i="12" s="1"/>
  <c r="C2" i="12"/>
  <c r="B20" i="12"/>
  <c r="S20" i="12" s="1"/>
  <c r="B8" i="12"/>
  <c r="S8" i="12" s="1"/>
  <c r="G4" i="12"/>
  <c r="O4" i="12" s="1"/>
  <c r="H4" i="12"/>
  <c r="U4" i="12" s="1"/>
  <c r="B4" i="12"/>
  <c r="S4" i="12" s="1"/>
  <c r="B12" i="12"/>
  <c r="S12" i="12" s="1"/>
  <c r="B13" i="12"/>
  <c r="S13" i="12" s="1"/>
  <c r="B18" i="12"/>
  <c r="S18" i="12" s="1"/>
  <c r="C8" i="12"/>
  <c r="G8" i="12" s="1"/>
  <c r="O8" i="12" s="1"/>
  <c r="B16" i="12"/>
  <c r="S16" i="12" s="1"/>
  <c r="C20" i="12"/>
  <c r="G20" i="12" s="1"/>
  <c r="O20" i="12" s="1"/>
  <c r="G16" i="12"/>
  <c r="O16" i="12" s="1"/>
  <c r="D16" i="12"/>
  <c r="J16" i="12" s="1"/>
  <c r="H16" i="12"/>
  <c r="U16" i="12" s="1"/>
  <c r="E16" i="12"/>
  <c r="M16" i="12" s="1"/>
  <c r="H12" i="12"/>
  <c r="U12" i="12" s="1"/>
  <c r="E12" i="12"/>
  <c r="M12" i="12" s="1"/>
  <c r="E3" i="12"/>
  <c r="K3" i="12" s="1"/>
  <c r="F3" i="12"/>
  <c r="N3" i="12" s="1"/>
  <c r="H19" i="12"/>
  <c r="U19" i="12" s="1"/>
  <c r="E19" i="12"/>
  <c r="L19" i="12" s="1"/>
  <c r="F19" i="12"/>
  <c r="N19" i="12" s="1"/>
  <c r="E15" i="12"/>
  <c r="K15" i="12" s="1"/>
  <c r="F15" i="12"/>
  <c r="N15" i="12" s="1"/>
  <c r="E11" i="12"/>
  <c r="M11" i="12" s="1"/>
  <c r="F11" i="12"/>
  <c r="N11" i="12" s="1"/>
  <c r="F22" i="12"/>
  <c r="N22" i="12" s="1"/>
  <c r="G22" i="12"/>
  <c r="O22" i="12" s="1"/>
  <c r="G21" i="12"/>
  <c r="O21" i="12" s="1"/>
  <c r="H21" i="12"/>
  <c r="U21" i="12" s="1"/>
  <c r="D21" i="12"/>
  <c r="J21" i="12" s="1"/>
  <c r="G13" i="12"/>
  <c r="O13" i="12" s="1"/>
  <c r="H13" i="12"/>
  <c r="U13" i="12" s="1"/>
  <c r="D13" i="12"/>
  <c r="J13" i="12" s="1"/>
  <c r="G9" i="12"/>
  <c r="O9" i="12" s="1"/>
  <c r="H9" i="12"/>
  <c r="U9" i="12" s="1"/>
  <c r="D9" i="12"/>
  <c r="J9" i="12" s="1"/>
  <c r="G5" i="12"/>
  <c r="O5" i="12" s="1"/>
  <c r="D5" i="12"/>
  <c r="J5" i="12" s="1"/>
  <c r="H5" i="12"/>
  <c r="U5" i="12" s="1"/>
  <c r="B3" i="12"/>
  <c r="S3" i="12" s="1"/>
  <c r="C7" i="12"/>
  <c r="D7" i="12" s="1"/>
  <c r="J7" i="12" s="1"/>
  <c r="B10" i="12"/>
  <c r="S10" i="12" s="1"/>
  <c r="B14" i="12"/>
  <c r="S14" i="12" s="1"/>
  <c r="B22" i="12"/>
  <c r="S22" i="12" s="1"/>
  <c r="D4" i="12"/>
  <c r="J4" i="12" s="1"/>
  <c r="B5" i="12"/>
  <c r="S5" i="12" s="1"/>
  <c r="B6" i="12"/>
  <c r="S6" i="12" s="1"/>
  <c r="D17" i="12"/>
  <c r="J17" i="12" s="1"/>
  <c r="B19" i="12"/>
  <c r="S19" i="12" s="1"/>
  <c r="E20" i="12"/>
  <c r="M20" i="12" s="1"/>
  <c r="E4" i="12"/>
  <c r="M4" i="12" s="1"/>
  <c r="AA4" i="12" s="1"/>
  <c r="H8" i="12"/>
  <c r="U8" i="12" s="1"/>
  <c r="B11" i="12"/>
  <c r="S11" i="12" s="1"/>
  <c r="B15" i="12"/>
  <c r="S15" i="12" s="1"/>
  <c r="H17" i="12"/>
  <c r="U17" i="12" s="1"/>
  <c r="L11" i="12"/>
  <c r="G2" i="12"/>
  <c r="O2" i="12" s="1"/>
  <c r="G6" i="12"/>
  <c r="O6" i="12" s="1"/>
  <c r="G10" i="12"/>
  <c r="O10" i="12" s="1"/>
  <c r="D2" i="12"/>
  <c r="J2" i="12" s="1"/>
  <c r="H2" i="12"/>
  <c r="U2" i="12" s="1"/>
  <c r="G3" i="12"/>
  <c r="O3" i="12" s="1"/>
  <c r="F4" i="12"/>
  <c r="N4" i="12" s="1"/>
  <c r="E5" i="12"/>
  <c r="D6" i="12"/>
  <c r="J6" i="12" s="1"/>
  <c r="H6" i="12"/>
  <c r="U6" i="12" s="1"/>
  <c r="E9" i="12"/>
  <c r="D10" i="12"/>
  <c r="J10" i="12" s="1"/>
  <c r="H10" i="12"/>
  <c r="U10" i="12" s="1"/>
  <c r="G11" i="12"/>
  <c r="O11" i="12" s="1"/>
  <c r="F12" i="12"/>
  <c r="N12" i="12" s="1"/>
  <c r="E13" i="12"/>
  <c r="D14" i="12"/>
  <c r="J14" i="12" s="1"/>
  <c r="U14" i="12"/>
  <c r="G15" i="12"/>
  <c r="O15" i="12" s="1"/>
  <c r="F16" i="12"/>
  <c r="N16" i="12" s="1"/>
  <c r="E17" i="12"/>
  <c r="D18" i="12"/>
  <c r="J18" i="12" s="1"/>
  <c r="H18" i="12"/>
  <c r="U18" i="12" s="1"/>
  <c r="G19" i="12"/>
  <c r="O19" i="12" s="1"/>
  <c r="F20" i="12"/>
  <c r="N20" i="12" s="1"/>
  <c r="E21" i="12"/>
  <c r="D22" i="12"/>
  <c r="J22" i="12" s="1"/>
  <c r="H22" i="12"/>
  <c r="U22" i="12" s="1"/>
  <c r="G18" i="12"/>
  <c r="O18" i="12" s="1"/>
  <c r="E2" i="12"/>
  <c r="D3" i="12"/>
  <c r="J3" i="12" s="1"/>
  <c r="H3" i="12"/>
  <c r="U3" i="12" s="1"/>
  <c r="F5" i="12"/>
  <c r="N5" i="12" s="1"/>
  <c r="E6" i="12"/>
  <c r="F9" i="12"/>
  <c r="N9" i="12" s="1"/>
  <c r="E10" i="12"/>
  <c r="D11" i="12"/>
  <c r="J11" i="12" s="1"/>
  <c r="H11" i="12"/>
  <c r="U11" i="12" s="1"/>
  <c r="G12" i="12"/>
  <c r="O12" i="12" s="1"/>
  <c r="F13" i="12"/>
  <c r="N13" i="12" s="1"/>
  <c r="E14" i="12"/>
  <c r="D15" i="12"/>
  <c r="J15" i="12" s="1"/>
  <c r="U15" i="12"/>
  <c r="F17" i="12"/>
  <c r="N17" i="12" s="1"/>
  <c r="E18" i="12"/>
  <c r="D19" i="12"/>
  <c r="J19" i="12" s="1"/>
  <c r="F21" i="12"/>
  <c r="N21" i="12" s="1"/>
  <c r="E22" i="12"/>
  <c r="G14" i="12"/>
  <c r="O14" i="12" s="1"/>
  <c r="D12" i="12"/>
  <c r="J12" i="12" s="1"/>
  <c r="V2" i="3"/>
  <c r="B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" i="3"/>
  <c r="B1" i="6"/>
  <c r="B2" i="6"/>
  <c r="B3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K19" i="6"/>
  <c r="L19" i="6"/>
  <c r="M19" i="6"/>
  <c r="N19" i="6"/>
  <c r="O19" i="6"/>
  <c r="P19" i="6"/>
  <c r="Q19" i="6"/>
  <c r="R19" i="6"/>
  <c r="S19" i="6"/>
  <c r="T19" i="6"/>
  <c r="U19" i="6"/>
  <c r="V19" i="6"/>
  <c r="L20" i="6"/>
  <c r="M20" i="6"/>
  <c r="N20" i="6"/>
  <c r="O20" i="6"/>
  <c r="P20" i="6"/>
  <c r="Q20" i="6"/>
  <c r="R20" i="6"/>
  <c r="S20" i="6"/>
  <c r="T20" i="6"/>
  <c r="U20" i="6"/>
  <c r="V20" i="6"/>
  <c r="M21" i="6"/>
  <c r="N21" i="6"/>
  <c r="O21" i="6"/>
  <c r="P21" i="6"/>
  <c r="Q21" i="6"/>
  <c r="R21" i="6"/>
  <c r="S21" i="6"/>
  <c r="T21" i="6"/>
  <c r="U21" i="6"/>
  <c r="V21" i="6"/>
  <c r="N22" i="6"/>
  <c r="O22" i="6"/>
  <c r="P22" i="6"/>
  <c r="Q22" i="6"/>
  <c r="R22" i="6"/>
  <c r="S22" i="6"/>
  <c r="T22" i="6"/>
  <c r="U22" i="6"/>
  <c r="V22" i="6"/>
  <c r="O23" i="6"/>
  <c r="P23" i="6"/>
  <c r="Q23" i="6"/>
  <c r="R23" i="6"/>
  <c r="S23" i="6"/>
  <c r="T23" i="6"/>
  <c r="U23" i="6"/>
  <c r="V23" i="6"/>
  <c r="P24" i="6"/>
  <c r="Q24" i="6"/>
  <c r="R24" i="6"/>
  <c r="S24" i="6"/>
  <c r="T24" i="6"/>
  <c r="U24" i="6"/>
  <c r="V24" i="6"/>
  <c r="Q25" i="6"/>
  <c r="R25" i="6"/>
  <c r="S25" i="6"/>
  <c r="T25" i="6"/>
  <c r="U25" i="6"/>
  <c r="V25" i="6"/>
  <c r="R26" i="6"/>
  <c r="S26" i="6"/>
  <c r="T26" i="6"/>
  <c r="U26" i="6"/>
  <c r="V26" i="6"/>
  <c r="S27" i="6"/>
  <c r="T27" i="6"/>
  <c r="U27" i="6"/>
  <c r="V27" i="6"/>
  <c r="T28" i="6"/>
  <c r="U28" i="6"/>
  <c r="V28" i="6"/>
  <c r="U29" i="6"/>
  <c r="V29" i="6"/>
  <c r="V30" i="6"/>
  <c r="C3" i="5"/>
  <c r="C4" i="5"/>
  <c r="C5" i="5"/>
  <c r="C6" i="5"/>
  <c r="C7" i="5"/>
  <c r="F7" i="5" s="1"/>
  <c r="N7" i="5" s="1"/>
  <c r="C8" i="5"/>
  <c r="G8" i="5" s="1"/>
  <c r="O8" i="5" s="1"/>
  <c r="C9" i="5"/>
  <c r="G9" i="5" s="1"/>
  <c r="O9" i="5" s="1"/>
  <c r="C10" i="5"/>
  <c r="C11" i="5"/>
  <c r="C12" i="5"/>
  <c r="G12" i="5" s="1"/>
  <c r="O12" i="5" s="1"/>
  <c r="C13" i="5"/>
  <c r="G13" i="5" s="1"/>
  <c r="O13" i="5" s="1"/>
  <c r="C14" i="5"/>
  <c r="C15" i="5"/>
  <c r="C16" i="5"/>
  <c r="D16" i="5" s="1"/>
  <c r="J16" i="5" s="1"/>
  <c r="C17" i="5"/>
  <c r="G17" i="5" s="1"/>
  <c r="O17" i="5" s="1"/>
  <c r="C18" i="5"/>
  <c r="C19" i="5"/>
  <c r="F19" i="5" s="1"/>
  <c r="N19" i="5" s="1"/>
  <c r="C20" i="5"/>
  <c r="G20" i="5" s="1"/>
  <c r="O20" i="5" s="1"/>
  <c r="C21" i="5"/>
  <c r="G21" i="5" s="1"/>
  <c r="O21" i="5" s="1"/>
  <c r="C22" i="5"/>
  <c r="C2" i="5"/>
  <c r="T11" i="12" l="1"/>
  <c r="T3" i="12"/>
  <c r="G4" i="5"/>
  <c r="O4" i="5" s="1"/>
  <c r="D4" i="5"/>
  <c r="F2" i="12"/>
  <c r="N2" i="12" s="1"/>
  <c r="T5" i="12"/>
  <c r="T7" i="12"/>
  <c r="F8" i="12"/>
  <c r="N8" i="12" s="1"/>
  <c r="T4" i="12"/>
  <c r="L12" i="12"/>
  <c r="T21" i="12"/>
  <c r="K11" i="12"/>
  <c r="K6" i="6" s="1"/>
  <c r="T16" i="12"/>
  <c r="H20" i="12"/>
  <c r="U20" i="12" s="1"/>
  <c r="M15" i="12"/>
  <c r="T19" i="12"/>
  <c r="D20" i="12"/>
  <c r="J20" i="12" s="1"/>
  <c r="T12" i="12"/>
  <c r="T17" i="12"/>
  <c r="T6" i="12"/>
  <c r="H7" i="12"/>
  <c r="U7" i="12" s="1"/>
  <c r="V22" i="12" s="1"/>
  <c r="K20" i="12"/>
  <c r="L3" i="12"/>
  <c r="I11" i="12"/>
  <c r="T13" i="12"/>
  <c r="L20" i="12"/>
  <c r="M3" i="12"/>
  <c r="AA3" i="12" s="1"/>
  <c r="T9" i="12"/>
  <c r="T15" i="12"/>
  <c r="T20" i="12"/>
  <c r="T8" i="12"/>
  <c r="E8" i="12"/>
  <c r="D8" i="12"/>
  <c r="I5" i="12"/>
  <c r="L16" i="12"/>
  <c r="L4" i="12"/>
  <c r="K16" i="12"/>
  <c r="P6" i="6" s="1"/>
  <c r="E7" i="12"/>
  <c r="F7" i="12"/>
  <c r="N7" i="12" s="1"/>
  <c r="I12" i="12"/>
  <c r="I4" i="12"/>
  <c r="L15" i="12"/>
  <c r="M19" i="12"/>
  <c r="AA19" i="12" s="1"/>
  <c r="K19" i="12"/>
  <c r="S6" i="6" s="1"/>
  <c r="I16" i="12"/>
  <c r="T10" i="12"/>
  <c r="T14" i="12"/>
  <c r="T18" i="12"/>
  <c r="T22" i="12"/>
  <c r="I3" i="12"/>
  <c r="O6" i="6"/>
  <c r="C6" i="6"/>
  <c r="K12" i="12"/>
  <c r="L6" i="6" s="1"/>
  <c r="G7" i="12"/>
  <c r="O7" i="12" s="1"/>
  <c r="K4" i="12"/>
  <c r="D6" i="6" s="1"/>
  <c r="K18" i="12"/>
  <c r="R6" i="6" s="1"/>
  <c r="L18" i="12"/>
  <c r="M18" i="12"/>
  <c r="K6" i="12"/>
  <c r="F6" i="6" s="1"/>
  <c r="L6" i="12"/>
  <c r="M6" i="12"/>
  <c r="AA6" i="12" s="1"/>
  <c r="K14" i="12"/>
  <c r="N6" i="6" s="1"/>
  <c r="L14" i="12"/>
  <c r="M14" i="12"/>
  <c r="AA14" i="12" s="1"/>
  <c r="K2" i="12"/>
  <c r="B6" i="6" s="1"/>
  <c r="M2" i="12"/>
  <c r="AA2" i="12" s="1"/>
  <c r="L2" i="12"/>
  <c r="L17" i="12"/>
  <c r="K17" i="12"/>
  <c r="Q6" i="6" s="1"/>
  <c r="M17" i="12"/>
  <c r="AA17" i="12" s="1"/>
  <c r="L9" i="12"/>
  <c r="K9" i="12"/>
  <c r="I6" i="6" s="1"/>
  <c r="M9" i="12"/>
  <c r="AA9" i="12" s="1"/>
  <c r="K22" i="12"/>
  <c r="V6" i="6" s="1"/>
  <c r="L22" i="12"/>
  <c r="M22" i="12"/>
  <c r="AA22" i="12" s="1"/>
  <c r="I10" i="12"/>
  <c r="L21" i="12"/>
  <c r="K21" i="12"/>
  <c r="U6" i="6" s="1"/>
  <c r="M21" i="12"/>
  <c r="AA21" i="12" s="1"/>
  <c r="I22" i="12"/>
  <c r="I18" i="12"/>
  <c r="K10" i="12"/>
  <c r="J6" i="6" s="1"/>
  <c r="M10" i="12"/>
  <c r="AA10" i="12" s="1"/>
  <c r="L10" i="12"/>
  <c r="L13" i="12"/>
  <c r="K13" i="12"/>
  <c r="M6" i="6" s="1"/>
  <c r="M13" i="12"/>
  <c r="AA13" i="12" s="1"/>
  <c r="L5" i="12"/>
  <c r="M5" i="12"/>
  <c r="AA5" i="12" s="1"/>
  <c r="K5" i="12"/>
  <c r="E6" i="6" s="1"/>
  <c r="I14" i="12"/>
  <c r="I6" i="12"/>
  <c r="I17" i="12"/>
  <c r="V14" i="12"/>
  <c r="V7" i="12"/>
  <c r="V6" i="12"/>
  <c r="V5" i="12"/>
  <c r="V4" i="12"/>
  <c r="V3" i="12"/>
  <c r="V15" i="12"/>
  <c r="V2" i="12"/>
  <c r="I19" i="12"/>
  <c r="I15" i="12"/>
  <c r="AA20" i="12"/>
  <c r="AA18" i="12"/>
  <c r="AA16" i="12"/>
  <c r="AA12" i="12"/>
  <c r="AA11" i="12"/>
  <c r="I21" i="12"/>
  <c r="AA15" i="12"/>
  <c r="I13" i="12"/>
  <c r="I9" i="12"/>
  <c r="D13" i="5"/>
  <c r="J13" i="5" s="1"/>
  <c r="F17" i="5"/>
  <c r="N17" i="5" s="1"/>
  <c r="F21" i="5"/>
  <c r="N21" i="5" s="1"/>
  <c r="D9" i="5"/>
  <c r="J9" i="5" s="1"/>
  <c r="E17" i="5"/>
  <c r="L17" i="5" s="1"/>
  <c r="D21" i="5"/>
  <c r="J21" i="5" s="1"/>
  <c r="E9" i="5"/>
  <c r="K9" i="5" s="1"/>
  <c r="F9" i="5"/>
  <c r="N9" i="5" s="1"/>
  <c r="F22" i="5"/>
  <c r="N22" i="5" s="1"/>
  <c r="F6" i="5"/>
  <c r="N6" i="5" s="1"/>
  <c r="F14" i="5"/>
  <c r="N14" i="5" s="1"/>
  <c r="E18" i="5"/>
  <c r="F18" i="5"/>
  <c r="N18" i="5" s="1"/>
  <c r="F10" i="5"/>
  <c r="N10" i="5" s="1"/>
  <c r="E10" i="5"/>
  <c r="E14" i="5"/>
  <c r="E2" i="5"/>
  <c r="F2" i="5"/>
  <c r="N2" i="5" s="1"/>
  <c r="E19" i="5"/>
  <c r="E15" i="5"/>
  <c r="F11" i="5"/>
  <c r="N11" i="5" s="1"/>
  <c r="E7" i="5"/>
  <c r="E22" i="5"/>
  <c r="E6" i="5"/>
  <c r="F15" i="5"/>
  <c r="N15" i="5" s="1"/>
  <c r="D17" i="5"/>
  <c r="E21" i="5"/>
  <c r="E13" i="5"/>
  <c r="F13" i="5"/>
  <c r="N13" i="5" s="1"/>
  <c r="E5" i="5"/>
  <c r="K5" i="5" s="1"/>
  <c r="D5" i="5"/>
  <c r="F5" i="5"/>
  <c r="N5" i="5" s="1"/>
  <c r="F3" i="5"/>
  <c r="N3" i="5" s="1"/>
  <c r="D20" i="5"/>
  <c r="J20" i="5" s="1"/>
  <c r="D12" i="5"/>
  <c r="J12" i="5" s="1"/>
  <c r="D8" i="5"/>
  <c r="G2" i="5"/>
  <c r="O2" i="5" s="1"/>
  <c r="G19" i="5"/>
  <c r="O19" i="5" s="1"/>
  <c r="G15" i="5"/>
  <c r="O15" i="5" s="1"/>
  <c r="G11" i="5"/>
  <c r="O11" i="5" s="1"/>
  <c r="G7" i="5"/>
  <c r="O7" i="5" s="1"/>
  <c r="G3" i="5"/>
  <c r="O3" i="5" s="1"/>
  <c r="D2" i="5"/>
  <c r="D19" i="5"/>
  <c r="J19" i="5" s="1"/>
  <c r="D15" i="5"/>
  <c r="J15" i="5" s="1"/>
  <c r="D11" i="5"/>
  <c r="J11" i="5" s="1"/>
  <c r="D7" i="5"/>
  <c r="E20" i="5"/>
  <c r="E16" i="5"/>
  <c r="E12" i="5"/>
  <c r="E8" i="5"/>
  <c r="E4" i="5"/>
  <c r="G22" i="5"/>
  <c r="O22" i="5" s="1"/>
  <c r="G18" i="5"/>
  <c r="O18" i="5" s="1"/>
  <c r="G14" i="5"/>
  <c r="G10" i="5"/>
  <c r="O10" i="5" s="1"/>
  <c r="G6" i="5"/>
  <c r="O6" i="5" s="1"/>
  <c r="D22" i="5"/>
  <c r="D18" i="5"/>
  <c r="J18" i="5" s="1"/>
  <c r="D14" i="5"/>
  <c r="J14" i="5" s="1"/>
  <c r="D10" i="5"/>
  <c r="J10" i="5" s="1"/>
  <c r="D6" i="5"/>
  <c r="E11" i="5"/>
  <c r="E3" i="5"/>
  <c r="F20" i="5"/>
  <c r="N20" i="5" s="1"/>
  <c r="F16" i="5"/>
  <c r="N16" i="5" s="1"/>
  <c r="F12" i="5"/>
  <c r="N12" i="5" s="1"/>
  <c r="F8" i="5"/>
  <c r="N8" i="5" s="1"/>
  <c r="F4" i="5"/>
  <c r="N4" i="5" s="1"/>
  <c r="G5" i="5"/>
  <c r="O5" i="5" s="1"/>
  <c r="G16" i="5"/>
  <c r="O16" i="5" s="1"/>
  <c r="D3" i="5"/>
  <c r="T6" i="6" l="1"/>
  <c r="I2" i="12"/>
  <c r="V17" i="12"/>
  <c r="V8" i="12"/>
  <c r="V19" i="12"/>
  <c r="V10" i="12"/>
  <c r="V9" i="12"/>
  <c r="V16" i="12"/>
  <c r="V11" i="12"/>
  <c r="V18" i="12"/>
  <c r="V13" i="12"/>
  <c r="V21" i="12"/>
  <c r="V12" i="12"/>
  <c r="V20" i="12"/>
  <c r="I20" i="12"/>
  <c r="M8" i="12"/>
  <c r="AA8" i="12" s="1"/>
  <c r="L8" i="12"/>
  <c r="K8" i="12"/>
  <c r="J8" i="12"/>
  <c r="I8" i="12"/>
  <c r="K17" i="5"/>
  <c r="I7" i="12"/>
  <c r="M7" i="12"/>
  <c r="AA7" i="12" s="1"/>
  <c r="L7" i="12"/>
  <c r="K7" i="12"/>
  <c r="G6" i="6" s="1"/>
  <c r="AB6" i="12"/>
  <c r="AB5" i="12"/>
  <c r="AB4" i="12"/>
  <c r="AB3" i="12"/>
  <c r="AB2" i="12"/>
  <c r="L9" i="5"/>
  <c r="L5" i="5"/>
  <c r="O14" i="5"/>
  <c r="J6" i="5"/>
  <c r="J22" i="5"/>
  <c r="K8" i="5"/>
  <c r="L8" i="5"/>
  <c r="J7" i="5"/>
  <c r="J2" i="5"/>
  <c r="J8" i="5"/>
  <c r="L10" i="5"/>
  <c r="K10" i="5"/>
  <c r="K12" i="5"/>
  <c r="L12" i="5"/>
  <c r="L6" i="5"/>
  <c r="K6" i="5"/>
  <c r="K7" i="5"/>
  <c r="L7" i="5"/>
  <c r="K15" i="5"/>
  <c r="L15" i="5"/>
  <c r="J17" i="5"/>
  <c r="L18" i="5"/>
  <c r="K18" i="5"/>
  <c r="K16" i="5"/>
  <c r="L16" i="5"/>
  <c r="L13" i="5"/>
  <c r="K13" i="5"/>
  <c r="L22" i="5"/>
  <c r="K22" i="5"/>
  <c r="K2" i="5"/>
  <c r="L2" i="5"/>
  <c r="K11" i="5"/>
  <c r="L11" i="5"/>
  <c r="K20" i="5"/>
  <c r="L20" i="5"/>
  <c r="L21" i="5"/>
  <c r="K21" i="5"/>
  <c r="K19" i="5"/>
  <c r="L19" i="5"/>
  <c r="L14" i="5"/>
  <c r="K14" i="5"/>
  <c r="J5" i="5"/>
  <c r="L4" i="5"/>
  <c r="K4" i="5"/>
  <c r="J4" i="5"/>
  <c r="J3" i="5"/>
  <c r="L3" i="5"/>
  <c r="K3" i="5"/>
  <c r="H2" i="5"/>
  <c r="U2" i="5" s="1"/>
  <c r="B2" i="5"/>
  <c r="S2" i="5" s="1"/>
  <c r="V3" i="3"/>
  <c r="M3" i="5" s="1"/>
  <c r="AA3" i="5" s="1"/>
  <c r="V4" i="3"/>
  <c r="M4" i="5" s="1"/>
  <c r="AA4" i="5" s="1"/>
  <c r="V5" i="3"/>
  <c r="M5" i="5" s="1"/>
  <c r="AA5" i="5" s="1"/>
  <c r="V6" i="3"/>
  <c r="M6" i="5" s="1"/>
  <c r="AA6" i="5" s="1"/>
  <c r="V7" i="3"/>
  <c r="M7" i="5" s="1"/>
  <c r="AA7" i="5" s="1"/>
  <c r="V8" i="3"/>
  <c r="M8" i="5" s="1"/>
  <c r="AA8" i="5" s="1"/>
  <c r="V9" i="3"/>
  <c r="M9" i="5" s="1"/>
  <c r="AA9" i="5" s="1"/>
  <c r="V10" i="3"/>
  <c r="M10" i="5" s="1"/>
  <c r="AA10" i="5" s="1"/>
  <c r="V11" i="3"/>
  <c r="M11" i="5" s="1"/>
  <c r="AA11" i="5" s="1"/>
  <c r="V12" i="3"/>
  <c r="M12" i="5" s="1"/>
  <c r="AA12" i="5" s="1"/>
  <c r="V13" i="3"/>
  <c r="M13" i="5" s="1"/>
  <c r="AA13" i="5" s="1"/>
  <c r="V14" i="3"/>
  <c r="M14" i="5" s="1"/>
  <c r="AA14" i="5" s="1"/>
  <c r="V15" i="3"/>
  <c r="M15" i="5" s="1"/>
  <c r="AA15" i="5" s="1"/>
  <c r="V16" i="3"/>
  <c r="M16" i="5" s="1"/>
  <c r="AA16" i="5" s="1"/>
  <c r="V17" i="3"/>
  <c r="M17" i="5" s="1"/>
  <c r="AA17" i="5" s="1"/>
  <c r="V18" i="3"/>
  <c r="M18" i="5" s="1"/>
  <c r="AA18" i="5" s="1"/>
  <c r="V19" i="3"/>
  <c r="M19" i="5" s="1"/>
  <c r="AA19" i="5" s="1"/>
  <c r="V20" i="3"/>
  <c r="M20" i="5" s="1"/>
  <c r="AA20" i="5" s="1"/>
  <c r="V21" i="3"/>
  <c r="M21" i="5" s="1"/>
  <c r="AA21" i="5" s="1"/>
  <c r="V22" i="3"/>
  <c r="M22" i="5" s="1"/>
  <c r="AA22" i="5" s="1"/>
  <c r="M2" i="5"/>
  <c r="AA2" i="5" s="1"/>
  <c r="AB2" i="5" s="1"/>
  <c r="AB15" i="12" l="1"/>
  <c r="AB12" i="12"/>
  <c r="AB22" i="12"/>
  <c r="AB20" i="12"/>
  <c r="H6" i="6"/>
  <c r="AB11" i="12"/>
  <c r="AB19" i="12"/>
  <c r="AB8" i="12"/>
  <c r="AB16" i="12"/>
  <c r="AB13" i="12"/>
  <c r="AB21" i="12"/>
  <c r="AB10" i="12"/>
  <c r="AB18" i="12"/>
  <c r="AB9" i="12"/>
  <c r="AB17" i="12"/>
  <c r="AB7" i="12"/>
  <c r="AB14" i="12"/>
  <c r="I19" i="6"/>
  <c r="I27" i="6"/>
  <c r="I28" i="6"/>
  <c r="I20" i="6"/>
  <c r="I25" i="6"/>
  <c r="I26" i="6"/>
  <c r="I18" i="6"/>
  <c r="I21" i="6"/>
  <c r="I31" i="6"/>
  <c r="I29" i="6"/>
  <c r="I23" i="6"/>
  <c r="I24" i="6"/>
  <c r="I22" i="6"/>
  <c r="I30" i="6"/>
  <c r="B29" i="6"/>
  <c r="U31" i="6"/>
  <c r="U30" i="6"/>
  <c r="R31" i="6"/>
  <c r="R28" i="6"/>
  <c r="R27" i="6"/>
  <c r="R30" i="6"/>
  <c r="R29" i="6"/>
  <c r="M29" i="6"/>
  <c r="M25" i="6"/>
  <c r="M27" i="6"/>
  <c r="M26" i="6"/>
  <c r="M23" i="6"/>
  <c r="M24" i="6"/>
  <c r="M22" i="6"/>
  <c r="M31" i="6"/>
  <c r="M28" i="6"/>
  <c r="M30" i="6"/>
  <c r="K22" i="6"/>
  <c r="K28" i="6"/>
  <c r="K27" i="6"/>
  <c r="K30" i="6"/>
  <c r="K20" i="6"/>
  <c r="K26" i="6"/>
  <c r="K24" i="6"/>
  <c r="K31" i="6"/>
  <c r="K23" i="6"/>
  <c r="K29" i="6"/>
  <c r="K21" i="6"/>
  <c r="K25" i="6"/>
  <c r="V2" i="5"/>
  <c r="S28" i="6"/>
  <c r="S30" i="6"/>
  <c r="S31" i="6"/>
  <c r="S29" i="6"/>
  <c r="O24" i="6"/>
  <c r="O26" i="6"/>
  <c r="O27" i="6"/>
  <c r="O30" i="6"/>
  <c r="O31" i="6"/>
  <c r="O29" i="6"/>
  <c r="O25" i="6"/>
  <c r="O28" i="6"/>
  <c r="N23" i="6"/>
  <c r="N27" i="6"/>
  <c r="N30" i="6"/>
  <c r="N26" i="6"/>
  <c r="N31" i="6"/>
  <c r="N29" i="6"/>
  <c r="N25" i="6"/>
  <c r="N28" i="6"/>
  <c r="N24" i="6"/>
  <c r="Q29" i="6"/>
  <c r="Q28" i="6"/>
  <c r="Q31" i="6"/>
  <c r="Q27" i="6"/>
  <c r="Q30" i="6"/>
  <c r="Q26" i="6"/>
  <c r="P26" i="6"/>
  <c r="P31" i="6"/>
  <c r="P25" i="6"/>
  <c r="P30" i="6"/>
  <c r="P29" i="6"/>
  <c r="P27" i="6"/>
  <c r="P28" i="6"/>
  <c r="T30" i="6"/>
  <c r="T29" i="6"/>
  <c r="T31" i="6"/>
  <c r="L24" i="6"/>
  <c r="L22" i="6"/>
  <c r="L21" i="6"/>
  <c r="L28" i="6"/>
  <c r="L31" i="6"/>
  <c r="L25" i="6"/>
  <c r="L26" i="6"/>
  <c r="L29" i="6"/>
  <c r="L27" i="6"/>
  <c r="L30" i="6"/>
  <c r="L23" i="6"/>
  <c r="J29" i="6"/>
  <c r="J21" i="6"/>
  <c r="J24" i="6"/>
  <c r="J31" i="6"/>
  <c r="J19" i="6"/>
  <c r="J30" i="6"/>
  <c r="J26" i="6"/>
  <c r="J22" i="6"/>
  <c r="J27" i="6"/>
  <c r="J23" i="6"/>
  <c r="J28" i="6"/>
  <c r="J20" i="6"/>
  <c r="J25" i="6"/>
  <c r="T2" i="5"/>
  <c r="I2" i="5"/>
  <c r="V31" i="6"/>
  <c r="E23" i="6"/>
  <c r="E21" i="6"/>
  <c r="E15" i="6"/>
  <c r="E26" i="6"/>
  <c r="E16" i="6"/>
  <c r="E28" i="6"/>
  <c r="E27" i="6"/>
  <c r="E14" i="6"/>
  <c r="E31" i="6"/>
  <c r="E19" i="6"/>
  <c r="E18" i="6"/>
  <c r="E29" i="6"/>
  <c r="E17" i="6"/>
  <c r="E22" i="6"/>
  <c r="E20" i="6"/>
  <c r="E25" i="6"/>
  <c r="E30" i="6"/>
  <c r="E24" i="6"/>
  <c r="D14" i="6"/>
  <c r="D26" i="6"/>
  <c r="D22" i="6"/>
  <c r="D31" i="6"/>
  <c r="D21" i="6"/>
  <c r="D15" i="6"/>
  <c r="D30" i="6"/>
  <c r="D20" i="6"/>
  <c r="D29" i="6"/>
  <c r="D23" i="6"/>
  <c r="D13" i="6"/>
  <c r="D24" i="6"/>
  <c r="D18" i="6"/>
  <c r="D27" i="6"/>
  <c r="D25" i="6"/>
  <c r="D16" i="6"/>
  <c r="D28" i="6"/>
  <c r="D19" i="6"/>
  <c r="D17" i="6"/>
  <c r="AB3" i="5"/>
  <c r="AB7" i="5"/>
  <c r="AB11" i="5"/>
  <c r="AB15" i="5"/>
  <c r="AB19" i="5"/>
  <c r="AB10" i="5"/>
  <c r="AB14" i="5"/>
  <c r="AB22" i="5"/>
  <c r="AB4" i="5"/>
  <c r="AB8" i="5"/>
  <c r="AB12" i="5"/>
  <c r="AB16" i="5"/>
  <c r="AB20" i="5"/>
  <c r="AB5" i="5"/>
  <c r="AB9" i="5"/>
  <c r="AB13" i="5"/>
  <c r="AB17" i="5"/>
  <c r="AB21" i="5"/>
  <c r="AB6" i="5"/>
  <c r="AB18" i="5"/>
  <c r="B3" i="3"/>
  <c r="B3" i="5" s="1"/>
  <c r="S3" i="5" s="1"/>
  <c r="H22" i="5"/>
  <c r="B22" i="3"/>
  <c r="B22" i="5" s="1"/>
  <c r="S22" i="5" s="1"/>
  <c r="H21" i="5"/>
  <c r="B21" i="3"/>
  <c r="B21" i="5" s="1"/>
  <c r="S21" i="5" s="1"/>
  <c r="H20" i="5"/>
  <c r="B20" i="3"/>
  <c r="B20" i="5" s="1"/>
  <c r="S20" i="5" s="1"/>
  <c r="H19" i="5"/>
  <c r="B19" i="3"/>
  <c r="B19" i="5" s="1"/>
  <c r="S19" i="5" s="1"/>
  <c r="H18" i="5"/>
  <c r="B18" i="3"/>
  <c r="B18" i="5" s="1"/>
  <c r="S18" i="5" s="1"/>
  <c r="H17" i="5"/>
  <c r="B17" i="3"/>
  <c r="B17" i="5" s="1"/>
  <c r="S17" i="5" s="1"/>
  <c r="H16" i="5"/>
  <c r="B16" i="3"/>
  <c r="B16" i="5" s="1"/>
  <c r="S16" i="5" s="1"/>
  <c r="H15" i="5"/>
  <c r="B15" i="3"/>
  <c r="B15" i="5" s="1"/>
  <c r="S15" i="5" s="1"/>
  <c r="H14" i="5"/>
  <c r="B14" i="3"/>
  <c r="B14" i="5" s="1"/>
  <c r="S14" i="5" s="1"/>
  <c r="H13" i="5"/>
  <c r="B13" i="3"/>
  <c r="B13" i="5" s="1"/>
  <c r="S13" i="5" s="1"/>
  <c r="H12" i="5"/>
  <c r="B12" i="3"/>
  <c r="B12" i="5" s="1"/>
  <c r="S12" i="5" s="1"/>
  <c r="H11" i="5"/>
  <c r="B11" i="3"/>
  <c r="B11" i="5" s="1"/>
  <c r="S11" i="5" s="1"/>
  <c r="H10" i="5"/>
  <c r="B10" i="3"/>
  <c r="B10" i="5" s="1"/>
  <c r="S10" i="5" s="1"/>
  <c r="H9" i="5"/>
  <c r="B9" i="3"/>
  <c r="B9" i="5" s="1"/>
  <c r="S9" i="5" s="1"/>
  <c r="H8" i="5"/>
  <c r="B8" i="3"/>
  <c r="B8" i="5" s="1"/>
  <c r="S8" i="5" s="1"/>
  <c r="H7" i="5"/>
  <c r="B7" i="3"/>
  <c r="B7" i="5" s="1"/>
  <c r="S7" i="5" s="1"/>
  <c r="H6" i="5"/>
  <c r="B6" i="3"/>
  <c r="B6" i="5" s="1"/>
  <c r="S6" i="5" s="1"/>
  <c r="H5" i="5"/>
  <c r="B5" i="3"/>
  <c r="B5" i="5" s="1"/>
  <c r="S5" i="5" s="1"/>
  <c r="H4" i="5"/>
  <c r="B4" i="3"/>
  <c r="B4" i="5" s="1"/>
  <c r="S4" i="5" s="1"/>
  <c r="H3" i="5"/>
  <c r="T6" i="5" l="1"/>
  <c r="T7" i="5"/>
  <c r="B17" i="6"/>
  <c r="B27" i="6"/>
  <c r="T8" i="5"/>
  <c r="B26" i="6"/>
  <c r="B15" i="6"/>
  <c r="B20" i="6"/>
  <c r="B31" i="6"/>
  <c r="B18" i="6"/>
  <c r="B23" i="6"/>
  <c r="B11" i="6"/>
  <c r="W11" i="6" s="1"/>
  <c r="B12" i="6"/>
  <c r="T11" i="5"/>
  <c r="T22" i="5"/>
  <c r="B30" i="6"/>
  <c r="B22" i="6"/>
  <c r="B16" i="6"/>
  <c r="B19" i="6"/>
  <c r="B21" i="6"/>
  <c r="B28" i="6"/>
  <c r="B13" i="6"/>
  <c r="T9" i="5"/>
  <c r="T17" i="5"/>
  <c r="B14" i="6"/>
  <c r="B24" i="6"/>
  <c r="B25" i="6"/>
  <c r="U5" i="5"/>
  <c r="I5" i="5"/>
  <c r="U9" i="5"/>
  <c r="I9" i="5"/>
  <c r="U13" i="5"/>
  <c r="I13" i="5"/>
  <c r="U17" i="5"/>
  <c r="I17" i="5"/>
  <c r="U21" i="5"/>
  <c r="I21" i="5"/>
  <c r="T16" i="5"/>
  <c r="T15" i="5"/>
  <c r="T18" i="5"/>
  <c r="T19" i="5"/>
  <c r="T20" i="5"/>
  <c r="U3" i="5"/>
  <c r="I3" i="5"/>
  <c r="U7" i="5"/>
  <c r="I7" i="5"/>
  <c r="U11" i="5"/>
  <c r="I11" i="5"/>
  <c r="U15" i="5"/>
  <c r="I15" i="5"/>
  <c r="U19" i="5"/>
  <c r="I19" i="5"/>
  <c r="U4" i="5"/>
  <c r="I4" i="5"/>
  <c r="U6" i="5"/>
  <c r="I6" i="5"/>
  <c r="U8" i="5"/>
  <c r="I8" i="5"/>
  <c r="U10" i="5"/>
  <c r="I10" i="5"/>
  <c r="U12" i="5"/>
  <c r="I12" i="5"/>
  <c r="U14" i="5"/>
  <c r="I14" i="5"/>
  <c r="U16" i="5"/>
  <c r="I16" i="5"/>
  <c r="U18" i="5"/>
  <c r="I18" i="5"/>
  <c r="U20" i="5"/>
  <c r="I20" i="5"/>
  <c r="U22" i="5"/>
  <c r="I22" i="5"/>
  <c r="T3" i="5"/>
  <c r="T21" i="5"/>
  <c r="T13" i="5"/>
  <c r="T12" i="5"/>
  <c r="G26" i="6"/>
  <c r="G24" i="6"/>
  <c r="G31" i="6"/>
  <c r="G29" i="6"/>
  <c r="G25" i="6"/>
  <c r="G23" i="6"/>
  <c r="G21" i="6"/>
  <c r="G17" i="6"/>
  <c r="G20" i="6"/>
  <c r="G28" i="6"/>
  <c r="G16" i="6"/>
  <c r="G18" i="6"/>
  <c r="G30" i="6"/>
  <c r="G22" i="6"/>
  <c r="G27" i="6"/>
  <c r="G19" i="6"/>
  <c r="F17" i="6"/>
  <c r="F25" i="6"/>
  <c r="F21" i="6"/>
  <c r="F19" i="6"/>
  <c r="F23" i="6"/>
  <c r="F24" i="6"/>
  <c r="F16" i="6"/>
  <c r="F27" i="6"/>
  <c r="F28" i="6"/>
  <c r="F31" i="6"/>
  <c r="F15" i="6"/>
  <c r="F30" i="6"/>
  <c r="F26" i="6"/>
  <c r="F22" i="6"/>
  <c r="F18" i="6"/>
  <c r="F29" i="6"/>
  <c r="F20" i="6"/>
  <c r="T5" i="5"/>
  <c r="T10" i="5"/>
  <c r="T4" i="5"/>
  <c r="T14" i="5"/>
  <c r="H18" i="6"/>
  <c r="H28" i="6"/>
  <c r="H30" i="6"/>
  <c r="H20" i="6"/>
  <c r="H24" i="6"/>
  <c r="H26" i="6"/>
  <c r="H22" i="6"/>
  <c r="H23" i="6"/>
  <c r="H17" i="6"/>
  <c r="H21" i="6"/>
  <c r="H19" i="6"/>
  <c r="H31" i="6"/>
  <c r="H25" i="6"/>
  <c r="H29" i="6"/>
  <c r="H27" i="6"/>
  <c r="C12" i="6"/>
  <c r="W12" i="6" s="1"/>
  <c r="C20" i="6"/>
  <c r="C14" i="6"/>
  <c r="C13" i="6"/>
  <c r="C29" i="6"/>
  <c r="C25" i="6"/>
  <c r="C19" i="6"/>
  <c r="C17" i="6"/>
  <c r="C18" i="6"/>
  <c r="C23" i="6"/>
  <c r="C28" i="6"/>
  <c r="C27" i="6"/>
  <c r="C21" i="6"/>
  <c r="C22" i="6"/>
  <c r="C30" i="6"/>
  <c r="C26" i="6"/>
  <c r="C24" i="6"/>
  <c r="C16" i="6"/>
  <c r="C31" i="6"/>
  <c r="C15" i="6"/>
  <c r="W19" i="6" l="1"/>
  <c r="W30" i="6"/>
  <c r="W31" i="6"/>
  <c r="W13" i="6"/>
  <c r="W22" i="6"/>
  <c r="W23" i="6"/>
  <c r="W29" i="6"/>
  <c r="W15" i="6"/>
  <c r="W26" i="6"/>
  <c r="W27" i="6"/>
  <c r="W17" i="6"/>
  <c r="W24" i="6"/>
  <c r="W28" i="6"/>
  <c r="W14" i="6"/>
  <c r="W16" i="6"/>
  <c r="W25" i="6"/>
  <c r="W20" i="6"/>
  <c r="W21" i="6"/>
  <c r="W18" i="6"/>
  <c r="V19" i="5"/>
  <c r="V22" i="5"/>
  <c r="V17" i="5"/>
  <c r="V11" i="5"/>
  <c r="V15" i="5"/>
  <c r="V6" i="5"/>
  <c r="V10" i="5"/>
  <c r="V4" i="5"/>
  <c r="V18" i="5"/>
  <c r="V7" i="5"/>
  <c r="V16" i="5"/>
  <c r="V14" i="5"/>
  <c r="V8" i="5"/>
  <c r="V21" i="5"/>
  <c r="V13" i="5"/>
  <c r="V12" i="5"/>
  <c r="V9" i="5"/>
  <c r="V20" i="5"/>
  <c r="V5" i="5"/>
  <c r="V3" i="5"/>
  <c r="X2" i="12" l="1" a="1"/>
  <c r="W8" i="12" s="1"/>
  <c r="P8" i="12" s="1"/>
  <c r="W19" i="12" l="1"/>
  <c r="P19" i="12" s="1"/>
  <c r="Y19" i="12" s="1"/>
  <c r="W4" i="12"/>
  <c r="P4" i="12" s="1"/>
  <c r="P4" i="5" s="1"/>
  <c r="W15" i="12"/>
  <c r="P15" i="12" s="1"/>
  <c r="Y15" i="12" s="1"/>
  <c r="W5" i="12"/>
  <c r="P5" i="12" s="1"/>
  <c r="P5" i="5" s="1"/>
  <c r="W20" i="12"/>
  <c r="P20" i="12" s="1"/>
  <c r="Y20" i="12" s="1"/>
  <c r="W10" i="12"/>
  <c r="P10" i="12" s="1"/>
  <c r="Y10" i="12" s="1"/>
  <c r="W14" i="12"/>
  <c r="P14" i="12" s="1"/>
  <c r="P14" i="5" s="1"/>
  <c r="W6" i="12"/>
  <c r="P6" i="12" s="1"/>
  <c r="Y6" i="12" s="1"/>
  <c r="W16" i="12"/>
  <c r="P16" i="12" s="1"/>
  <c r="Y16" i="12" s="1"/>
  <c r="W18" i="12"/>
  <c r="P18" i="12" s="1"/>
  <c r="P18" i="5" s="1"/>
  <c r="W9" i="12"/>
  <c r="P9" i="12" s="1"/>
  <c r="P9" i="5" s="1"/>
  <c r="W11" i="12"/>
  <c r="P11" i="12" s="1"/>
  <c r="P11" i="5" s="1"/>
  <c r="W13" i="12"/>
  <c r="P13" i="12" s="1"/>
  <c r="Y13" i="12" s="1"/>
  <c r="W22" i="12"/>
  <c r="P22" i="12" s="1"/>
  <c r="P22" i="5" s="1"/>
  <c r="W12" i="12"/>
  <c r="P12" i="12" s="1"/>
  <c r="Y12" i="12" s="1"/>
  <c r="X2" i="12"/>
  <c r="W3" i="12" s="1"/>
  <c r="P3" i="12" s="1"/>
  <c r="W17" i="12"/>
  <c r="P17" i="12" s="1"/>
  <c r="Y17" i="12" s="1"/>
  <c r="W7" i="12"/>
  <c r="P7" i="12" s="1"/>
  <c r="P7" i="5" s="1"/>
  <c r="W21" i="12"/>
  <c r="P21" i="12" s="1"/>
  <c r="P21" i="5" s="1"/>
  <c r="Y14" i="12"/>
  <c r="Y8" i="12"/>
  <c r="P8" i="5"/>
  <c r="P15" i="5" l="1"/>
  <c r="Y21" i="12"/>
  <c r="P20" i="5"/>
  <c r="W20" i="5" s="1"/>
  <c r="P19" i="5"/>
  <c r="W19" i="5" s="1"/>
  <c r="Y22" i="12"/>
  <c r="P13" i="5"/>
  <c r="W13" i="5" s="1"/>
  <c r="P10" i="5"/>
  <c r="Y10" i="5" s="1"/>
  <c r="P17" i="5"/>
  <c r="W17" i="5" s="1"/>
  <c r="P16" i="5"/>
  <c r="W16" i="5" s="1"/>
  <c r="W2" i="12"/>
  <c r="P2" i="12" s="1"/>
  <c r="Y2" i="12" s="1"/>
  <c r="P6" i="5"/>
  <c r="Y6" i="5" s="1"/>
  <c r="P12" i="5"/>
  <c r="Y12" i="5" s="1"/>
  <c r="Y9" i="12"/>
  <c r="Y18" i="12"/>
  <c r="Y4" i="12"/>
  <c r="Y7" i="12"/>
  <c r="Y11" i="12"/>
  <c r="Y5" i="12"/>
  <c r="W8" i="5"/>
  <c r="Y8" i="5"/>
  <c r="W15" i="5"/>
  <c r="Y15" i="5"/>
  <c r="W4" i="5"/>
  <c r="Y4" i="5"/>
  <c r="W5" i="5"/>
  <c r="Y5" i="5"/>
  <c r="W21" i="5"/>
  <c r="Y21" i="5"/>
  <c r="W22" i="5"/>
  <c r="Y22" i="5"/>
  <c r="Y13" i="5"/>
  <c r="W11" i="5"/>
  <c r="Y11" i="5"/>
  <c r="W7" i="5"/>
  <c r="Y7" i="5"/>
  <c r="W9" i="5"/>
  <c r="Y9" i="5"/>
  <c r="W18" i="5"/>
  <c r="Y18" i="5"/>
  <c r="W14" i="5"/>
  <c r="Y14" i="5"/>
  <c r="Y3" i="12"/>
  <c r="P3" i="5"/>
  <c r="Y20" i="5" l="1"/>
  <c r="W10" i="5"/>
  <c r="W6" i="5"/>
  <c r="Y17" i="5"/>
  <c r="Y19" i="5"/>
  <c r="Y16" i="5"/>
  <c r="P2" i="5"/>
  <c r="W2" i="5" s="1"/>
  <c r="X2" i="5" s="1"/>
  <c r="W12" i="5"/>
  <c r="Z10" i="12"/>
  <c r="Z14" i="12"/>
  <c r="Z22" i="12"/>
  <c r="Z8" i="12"/>
  <c r="Z5" i="12"/>
  <c r="Z20" i="12"/>
  <c r="W3" i="5"/>
  <c r="Y3" i="5"/>
  <c r="Z4" i="12"/>
  <c r="Z12" i="12"/>
  <c r="Z18" i="12"/>
  <c r="Z9" i="12"/>
  <c r="Z13" i="12"/>
  <c r="Z6" i="12"/>
  <c r="Z16" i="12"/>
  <c r="Z7" i="12"/>
  <c r="Z2" i="12"/>
  <c r="Z17" i="12"/>
  <c r="Z11" i="12"/>
  <c r="Z3" i="12"/>
  <c r="Z21" i="12"/>
  <c r="Z19" i="12"/>
  <c r="Z15" i="12"/>
  <c r="Y2" i="5" l="1"/>
  <c r="Z2" i="5" s="1"/>
  <c r="Z17" i="5"/>
  <c r="Z11" i="5"/>
  <c r="Z18" i="5"/>
  <c r="Z22" i="5"/>
  <c r="Z5" i="5"/>
  <c r="Z7" i="5"/>
  <c r="Z20" i="5"/>
  <c r="Z15" i="5"/>
  <c r="Z19" i="5"/>
  <c r="Z6" i="5"/>
  <c r="Z3" i="5"/>
  <c r="Z14" i="5"/>
  <c r="X6" i="5"/>
  <c r="X10" i="5"/>
  <c r="X14" i="5"/>
  <c r="X18" i="5"/>
  <c r="X22" i="5"/>
  <c r="X8" i="5"/>
  <c r="X16" i="5"/>
  <c r="X20" i="5"/>
  <c r="X9" i="5"/>
  <c r="X13" i="5"/>
  <c r="X17" i="5"/>
  <c r="X21" i="5"/>
  <c r="X3" i="5"/>
  <c r="X7" i="5"/>
  <c r="X11" i="5"/>
  <c r="X15" i="5"/>
  <c r="X19" i="5"/>
  <c r="X12" i="5"/>
  <c r="X4" i="5"/>
  <c r="X5" i="5"/>
  <c r="Z21" i="5" l="1"/>
  <c r="Z8" i="5"/>
  <c r="Z16" i="5"/>
  <c r="Z12" i="5"/>
  <c r="Z13" i="5"/>
  <c r="Z4" i="5"/>
  <c r="Z9" i="5"/>
  <c r="Z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tc={28975FDC-6237-4D40-9F57-B3382BB23725}</author>
  </authors>
  <commentList>
    <comment ref="B52" authorId="0" shapeId="0" xr:uid="{28975FDC-6237-4D40-9F57-B3382BB237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Dieser Verlauf stimmt mit Paper überein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<sst xmlns="http://schemas.openxmlformats.org/spreadsheetml/2006/main" count="118" uniqueCount="59">
  <si>
    <t>TC_1_2</t>
  </si>
  <si>
    <t>TC_3_8</t>
  </si>
  <si>
    <t>TC_5_9</t>
  </si>
  <si>
    <t>TC_4_9</t>
  </si>
  <si>
    <t>TC_1_3</t>
  </si>
  <si>
    <t>TC_3_4</t>
  </si>
  <si>
    <t>TC_3_5</t>
  </si>
  <si>
    <t>TC_3_6</t>
  </si>
  <si>
    <t>TC_3_7</t>
  </si>
  <si>
    <t>TC_5_10</t>
  </si>
  <si>
    <t>TC_5_11</t>
  </si>
  <si>
    <t>TC_6_10</t>
  </si>
  <si>
    <t>TC_7_10</t>
  </si>
  <si>
    <t>F_1_2</t>
  </si>
  <si>
    <t>F_1_3</t>
  </si>
  <si>
    <t>F_3_4</t>
  </si>
  <si>
    <t>F_3_5</t>
  </si>
  <si>
    <t>F_3_6</t>
  </si>
  <si>
    <t>F_3_7</t>
  </si>
  <si>
    <t>F_3_8</t>
  </si>
  <si>
    <t>F_4_9</t>
  </si>
  <si>
    <t>F_5_9</t>
  </si>
  <si>
    <t>F_5_10</t>
  </si>
  <si>
    <t>F_5_11</t>
  </si>
  <si>
    <t>F_6_10</t>
  </si>
  <si>
    <t>F_7_10</t>
  </si>
  <si>
    <t>Check process 3 balance</t>
  </si>
  <si>
    <t>k1</t>
  </si>
  <si>
    <t>1/a</t>
  </si>
  <si>
    <t>1/d</t>
  </si>
  <si>
    <t>f</t>
  </si>
  <si>
    <t>k2</t>
  </si>
  <si>
    <t>Sum</t>
  </si>
  <si>
    <t>S_2</t>
  </si>
  <si>
    <t>dS_2</t>
  </si>
  <si>
    <t>F_9_10</t>
  </si>
  <si>
    <t>S_8</t>
  </si>
  <si>
    <t>dS_9</t>
  </si>
  <si>
    <t>dS_8</t>
  </si>
  <si>
    <t>S_9</t>
  </si>
  <si>
    <t>S_11</t>
  </si>
  <si>
    <t>dS_11</t>
  </si>
  <si>
    <t>S_10</t>
  </si>
  <si>
    <t>dS_10</t>
  </si>
  <si>
    <t>Years</t>
  </si>
  <si>
    <t>TC_1_2_relSTD</t>
  </si>
  <si>
    <t>TC_7_10_relSTD</t>
  </si>
  <si>
    <t>TC_1_3_relSTD</t>
  </si>
  <si>
    <t>TC_3_4_relSTD</t>
  </si>
  <si>
    <t>TC_3_5_relSTD</t>
  </si>
  <si>
    <t>TC_3_6_relSTD</t>
  </si>
  <si>
    <t>TC_3_7_relSTD</t>
  </si>
  <si>
    <t>TC_3_8_relSTD</t>
  </si>
  <si>
    <t>TC_4_9_relSTD</t>
  </si>
  <si>
    <t>TC_5_9_relSTD</t>
  </si>
  <si>
    <t>TC_5_10_relSTD</t>
  </si>
  <si>
    <t>TC_5_11_relSTD</t>
  </si>
  <si>
    <t>TC_6_10_relSTD</t>
  </si>
  <si>
    <t>F_0_1 [t]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</si>
</sst>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0" fontId="0" fillId="2" borderId="0" xfId="0" applyFill="1"/>
    <xf numFmtId="2" fontId="0" fillId="0" borderId="0" xfId="0" applyNumberFormat="1"/>
  </cellXfs>
  <cellStyles count="2">
    <cellStyle name="Normal" xfId="0" builtinId="0"/>
    <cellStyle name="Normal 2" xfId="1" xr:uid="{1D52BF6D-BC99-684B-8E88-B639304743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577273</xdr:colOff>
      <xdr:row>42</xdr:row>
      <xdr:rowOff>111168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79EB39-379C-1D43-B5F8-760732945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70909" cy="900116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U-Pseudonym 9055540188463204" id="{F650BF50-BA19-5040-A87E-7E0D5DAB9D7C}" userId="S::9055540188463204@msopseudo.tu-berlin.de::f91bf609-7611-46e6-9fb8-36b89ba70c4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2" dT="2022-04-29T14:51:16.02" personId="{F650BF50-BA19-5040-A87E-7E0D5DAB9D7C}" id="{28975FDC-6237-4D40-9F57-B3382BB23725}">
    <text xml:space="preserve">Dieser Verlauf stimmt mit Paper überein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7F1A-30FB-7E43-98EB-AB64FFE3C8B6}">
  <dimension ref="A1"/>
  <sheetViews>
    <sheetView zoomScale="66" zoomScaleNormal="66" workbookViewId="0">
      <selection activeCell="N38" sqref="N38"/>
    </sheetView>
  </sheetViews>
  <sheetFormatPr defaultColWidth="10.6640625" defaultRowHeight="15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4A5C-13C6-6947-A736-B7BA4A79E699}">
  <dimension ref="A1:B22"/>
  <sheetViews>
    <sheetView workbookViewId="0">
      <selection activeCell="C1" sqref="C1:C1048576"/>
    </sheetView>
  </sheetViews>
  <sheetFormatPr defaultColWidth="10.6640625" defaultRowHeight="15.5" x14ac:dyDescent="0.35"/>
  <sheetData>
    <row r="1" spans="1:2" x14ac:dyDescent="0.35">
      <c r="A1" t="s">
        <v>44</v>
      </c>
      <c r="B1" t="s">
        <v>58</v>
      </c>
    </row>
    <row r="2" spans="1:2" x14ac:dyDescent="0.35">
      <c r="A2">
        <v>2020</v>
      </c>
      <c r="B2">
        <v>100</v>
      </c>
    </row>
    <row r="3" spans="1:2" x14ac:dyDescent="0.35">
      <c r="A3">
        <v>2021</v>
      </c>
      <c r="B3">
        <v>110</v>
      </c>
    </row>
    <row r="4" spans="1:2" x14ac:dyDescent="0.35">
      <c r="A4">
        <v>2022</v>
      </c>
      <c r="B4">
        <v>120</v>
      </c>
    </row>
    <row r="5" spans="1:2" x14ac:dyDescent="0.35">
      <c r="A5">
        <v>2023</v>
      </c>
      <c r="B5">
        <v>130</v>
      </c>
    </row>
    <row r="6" spans="1:2" x14ac:dyDescent="0.35">
      <c r="A6">
        <v>2024</v>
      </c>
      <c r="B6">
        <v>140</v>
      </c>
    </row>
    <row r="7" spans="1:2" x14ac:dyDescent="0.35">
      <c r="A7">
        <v>2025</v>
      </c>
      <c r="B7">
        <v>150</v>
      </c>
    </row>
    <row r="8" spans="1:2" x14ac:dyDescent="0.35">
      <c r="A8">
        <v>2026</v>
      </c>
      <c r="B8">
        <v>160</v>
      </c>
    </row>
    <row r="9" spans="1:2" x14ac:dyDescent="0.35">
      <c r="A9">
        <v>2027</v>
      </c>
      <c r="B9">
        <v>170</v>
      </c>
    </row>
    <row r="10" spans="1:2" x14ac:dyDescent="0.35">
      <c r="A10">
        <v>2028</v>
      </c>
      <c r="B10">
        <v>180</v>
      </c>
    </row>
    <row r="11" spans="1:2" x14ac:dyDescent="0.35">
      <c r="A11">
        <v>2029</v>
      </c>
      <c r="B11">
        <v>190</v>
      </c>
    </row>
    <row r="12" spans="1:2" x14ac:dyDescent="0.35">
      <c r="A12">
        <v>2030</v>
      </c>
      <c r="B12">
        <v>200</v>
      </c>
    </row>
    <row r="13" spans="1:2" x14ac:dyDescent="0.35">
      <c r="A13">
        <v>2031</v>
      </c>
      <c r="B13">
        <v>10</v>
      </c>
    </row>
    <row r="14" spans="1:2" x14ac:dyDescent="0.35">
      <c r="A14">
        <v>2032</v>
      </c>
      <c r="B14">
        <v>220</v>
      </c>
    </row>
    <row r="15" spans="1:2" x14ac:dyDescent="0.35">
      <c r="A15">
        <v>2033</v>
      </c>
      <c r="B15">
        <v>230</v>
      </c>
    </row>
    <row r="16" spans="1:2" x14ac:dyDescent="0.35">
      <c r="A16">
        <v>2034</v>
      </c>
      <c r="B16">
        <v>240</v>
      </c>
    </row>
    <row r="17" spans="1:2" x14ac:dyDescent="0.35">
      <c r="A17">
        <v>2035</v>
      </c>
      <c r="B17">
        <v>250</v>
      </c>
    </row>
    <row r="18" spans="1:2" x14ac:dyDescent="0.35">
      <c r="A18">
        <v>2036</v>
      </c>
      <c r="B18">
        <v>260</v>
      </c>
    </row>
    <row r="19" spans="1:2" x14ac:dyDescent="0.35">
      <c r="A19">
        <v>2037</v>
      </c>
      <c r="B19">
        <v>270</v>
      </c>
    </row>
    <row r="20" spans="1:2" x14ac:dyDescent="0.35">
      <c r="A20">
        <v>2038</v>
      </c>
      <c r="B20">
        <v>280</v>
      </c>
    </row>
    <row r="21" spans="1:2" x14ac:dyDescent="0.35">
      <c r="A21">
        <v>2039</v>
      </c>
      <c r="B21">
        <v>290</v>
      </c>
    </row>
    <row r="22" spans="1:2" x14ac:dyDescent="0.35">
      <c r="A22">
        <v>2040</v>
      </c>
      <c r="B22">
        <v>300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8330-DCC2-2C4A-8AC7-53B265BB74D4}">
  <dimension ref="A1:AB22"/>
  <sheetViews>
    <sheetView workbookViewId="0"/>
  </sheetViews>
  <sheetFormatPr defaultColWidth="10.6640625" defaultRowHeight="15.5" outlineLevelCol="1" x14ac:dyDescent="0.35"/>
  <cols>
    <col min="1" max="1" width="10.5" customWidth="1"/>
    <col min="3" max="3" width="10.83203125" style="2" hidden="1" customWidth="1" outlineLevel="1"/>
    <col min="4" max="4" width="10.83203125" collapsed="1"/>
    <col min="5" max="5" width="10.83203125" style="2" hidden="1" customWidth="1" outlineLevel="1"/>
    <col min="6" max="6" width="10.83203125" collapsed="1"/>
    <col min="7" max="7" width="10.83203125" style="2" hidden="1" customWidth="1" outlineLevel="1"/>
    <col min="8" max="8" width="10.83203125" collapsed="1"/>
    <col min="9" max="9" width="10.83203125" style="2" hidden="1" customWidth="1" outlineLevel="1"/>
    <col min="10" max="10" width="10.83203125" collapsed="1"/>
    <col min="11" max="11" width="10.83203125" style="2" hidden="1" customWidth="1" outlineLevel="1"/>
    <col min="12" max="12" width="10.83203125" collapsed="1"/>
    <col min="13" max="13" width="10.83203125" style="2" hidden="1" customWidth="1" outlineLevel="1"/>
    <col min="14" max="14" width="10.83203125" collapsed="1"/>
    <col min="15" max="15" width="10.83203125" style="2" hidden="1" customWidth="1" outlineLevel="1"/>
    <col min="16" max="16" width="10.83203125" collapsed="1"/>
    <col min="17" max="17" width="10.83203125" style="2" hidden="1" customWidth="1" outlineLevel="1"/>
    <col min="18" max="18" width="10.83203125" collapsed="1"/>
    <col min="19" max="19" width="10.83203125" style="2" hidden="1" customWidth="1" outlineLevel="1"/>
    <col min="20" max="20" width="10.83203125" collapsed="1"/>
    <col min="21" max="21" width="10.83203125" style="2" hidden="1" customWidth="1" outlineLevel="1"/>
    <col min="22" max="22" width="8.5" customWidth="1" collapsed="1"/>
    <col min="23" max="23" width="10.83203125" style="2" hidden="1" customWidth="1" outlineLevel="1"/>
    <col min="24" max="24" width="10.83203125" collapsed="1"/>
    <col min="25" max="25" width="10.83203125" style="2" hidden="1" customWidth="1" outlineLevel="1"/>
    <col min="26" max="26" width="10.83203125" collapsed="1"/>
    <col min="27" max="27" width="10.83203125" style="2" hidden="1" customWidth="1" outlineLevel="1"/>
    <col min="28" max="28" width="10.83203125" collapsed="1"/>
  </cols>
  <sheetData>
    <row r="1" spans="1:27" x14ac:dyDescent="0.35">
      <c r="A1" t="s">
        <v>44</v>
      </c>
      <c r="B1" t="s">
        <v>0</v>
      </c>
      <c r="C1" s="2" t="s">
        <v>45</v>
      </c>
      <c r="D1" t="s">
        <v>4</v>
      </c>
      <c r="E1" s="2" t="s">
        <v>47</v>
      </c>
      <c r="F1" t="s">
        <v>5</v>
      </c>
      <c r="G1" s="2" t="s">
        <v>48</v>
      </c>
      <c r="H1" t="s">
        <v>6</v>
      </c>
      <c r="I1" s="2" t="s">
        <v>49</v>
      </c>
      <c r="J1" t="s">
        <v>7</v>
      </c>
      <c r="K1" s="2" t="s">
        <v>50</v>
      </c>
      <c r="L1" t="s">
        <v>8</v>
      </c>
      <c r="M1" s="2" t="s">
        <v>51</v>
      </c>
      <c r="N1" t="s">
        <v>1</v>
      </c>
      <c r="O1" s="2" t="s">
        <v>52</v>
      </c>
      <c r="P1" t="s">
        <v>3</v>
      </c>
      <c r="Q1" s="2" t="s">
        <v>53</v>
      </c>
      <c r="R1" t="s">
        <v>2</v>
      </c>
      <c r="S1" s="2" t="s">
        <v>54</v>
      </c>
      <c r="T1" t="s">
        <v>9</v>
      </c>
      <c r="U1" s="2" t="s">
        <v>55</v>
      </c>
      <c r="V1" t="s">
        <v>10</v>
      </c>
      <c r="W1" s="2" t="s">
        <v>56</v>
      </c>
      <c r="X1" t="s">
        <v>11</v>
      </c>
      <c r="Y1" s="2" t="s">
        <v>57</v>
      </c>
      <c r="Z1" t="s">
        <v>12</v>
      </c>
      <c r="AA1" s="2" t="s">
        <v>46</v>
      </c>
    </row>
    <row r="2" spans="1:27" x14ac:dyDescent="0.35">
      <c r="A2">
        <v>2020</v>
      </c>
      <c r="B2">
        <f>1-D2</f>
        <v>0.5</v>
      </c>
      <c r="C2" s="2" t="e">
        <f>#REF!</f>
        <v>#REF!</v>
      </c>
      <c r="D2">
        <v>0.5</v>
      </c>
      <c r="E2" s="2" t="e">
        <f>#REF!</f>
        <v>#REF!</v>
      </c>
      <c r="F2">
        <v>0.3</v>
      </c>
      <c r="G2" s="2" t="e">
        <f>#REF!</f>
        <v>#REF!</v>
      </c>
      <c r="H2">
        <v>0.3</v>
      </c>
      <c r="I2" s="2" t="e">
        <f>#REF!</f>
        <v>#REF!</v>
      </c>
      <c r="J2">
        <v>0.1</v>
      </c>
      <c r="K2" s="2" t="e">
        <f>#REF!</f>
        <v>#REF!</v>
      </c>
      <c r="L2">
        <v>0.2</v>
      </c>
      <c r="M2" s="2" t="e">
        <f>#REF!</f>
        <v>#REF!</v>
      </c>
      <c r="N2">
        <f>1-(SUM(F2,H2,J2,L2))</f>
        <v>0.10000000000000009</v>
      </c>
      <c r="O2" s="2" t="e">
        <f>#REF!</f>
        <v>#REF!</v>
      </c>
      <c r="P2">
        <v>1</v>
      </c>
      <c r="Q2" s="2" t="e">
        <f>#REF!</f>
        <v>#REF!</v>
      </c>
      <c r="R2">
        <v>0.7</v>
      </c>
      <c r="S2" s="2" t="e">
        <f>#REF!</f>
        <v>#REF!</v>
      </c>
      <c r="T2">
        <v>0.15</v>
      </c>
      <c r="U2" s="2" t="e">
        <f>#REF!</f>
        <v>#REF!</v>
      </c>
      <c r="V2">
        <f>1-R2-T2</f>
        <v>0.15000000000000005</v>
      </c>
      <c r="W2" s="2" t="e">
        <f>#REF!</f>
        <v>#REF!</v>
      </c>
      <c r="X2">
        <v>1</v>
      </c>
      <c r="Y2" s="2" t="e">
        <f>#REF!</f>
        <v>#REF!</v>
      </c>
      <c r="Z2">
        <v>1</v>
      </c>
      <c r="AA2" s="2" t="e">
        <f>#REF!</f>
        <v>#REF!</v>
      </c>
    </row>
    <row r="3" spans="1:27" x14ac:dyDescent="0.35">
      <c r="A3">
        <v>2021</v>
      </c>
      <c r="B3">
        <f t="shared" ref="B3:B22" si="0">1-D3</f>
        <v>0.5</v>
      </c>
      <c r="C3" s="2" t="e">
        <f>#REF!</f>
        <v>#REF!</v>
      </c>
      <c r="D3">
        <v>0.5</v>
      </c>
      <c r="E3" s="2" t="e">
        <f>#REF!</f>
        <v>#REF!</v>
      </c>
      <c r="F3">
        <v>0.3</v>
      </c>
      <c r="G3" s="2" t="e">
        <f>#REF!</f>
        <v>#REF!</v>
      </c>
      <c r="H3">
        <v>0.3</v>
      </c>
      <c r="I3" s="2" t="e">
        <f>#REF!</f>
        <v>#REF!</v>
      </c>
      <c r="J3">
        <v>0.1</v>
      </c>
      <c r="K3" s="2" t="e">
        <f>#REF!</f>
        <v>#REF!</v>
      </c>
      <c r="L3">
        <v>0.2</v>
      </c>
      <c r="M3" s="2" t="e">
        <f>#REF!</f>
        <v>#REF!</v>
      </c>
      <c r="N3">
        <f t="shared" ref="N3:N22" si="1">1-(SUM(F3,H3,J3,L3))</f>
        <v>0.10000000000000009</v>
      </c>
      <c r="O3" s="2" t="e">
        <f>#REF!</f>
        <v>#REF!</v>
      </c>
      <c r="P3">
        <v>1</v>
      </c>
      <c r="Q3" s="2" t="e">
        <f>#REF!</f>
        <v>#REF!</v>
      </c>
      <c r="R3">
        <v>0.7</v>
      </c>
      <c r="S3" s="2" t="e">
        <f>#REF!</f>
        <v>#REF!</v>
      </c>
      <c r="T3">
        <v>0.15</v>
      </c>
      <c r="U3" s="2" t="e">
        <f>#REF!</f>
        <v>#REF!</v>
      </c>
      <c r="V3">
        <f t="shared" ref="V3:V22" si="2">1-R3-T3</f>
        <v>0.15000000000000005</v>
      </c>
      <c r="W3" s="2" t="e">
        <f>#REF!</f>
        <v>#REF!</v>
      </c>
      <c r="X3">
        <v>1</v>
      </c>
      <c r="Y3" s="2" t="e">
        <f>#REF!</f>
        <v>#REF!</v>
      </c>
      <c r="Z3">
        <v>1</v>
      </c>
      <c r="AA3" s="2" t="e">
        <f>#REF!</f>
        <v>#REF!</v>
      </c>
    </row>
    <row r="4" spans="1:27" x14ac:dyDescent="0.35">
      <c r="A4">
        <v>2022</v>
      </c>
      <c r="B4">
        <f t="shared" si="0"/>
        <v>0.5</v>
      </c>
      <c r="C4" s="2" t="e">
        <f>#REF!</f>
        <v>#REF!</v>
      </c>
      <c r="D4">
        <v>0.5</v>
      </c>
      <c r="E4" s="2" t="e">
        <f>#REF!</f>
        <v>#REF!</v>
      </c>
      <c r="F4">
        <v>0.3</v>
      </c>
      <c r="G4" s="2" t="e">
        <f>#REF!</f>
        <v>#REF!</v>
      </c>
      <c r="H4">
        <v>0.3</v>
      </c>
      <c r="I4" s="2" t="e">
        <f>#REF!</f>
        <v>#REF!</v>
      </c>
      <c r="J4">
        <v>0.1</v>
      </c>
      <c r="K4" s="2" t="e">
        <f>#REF!</f>
        <v>#REF!</v>
      </c>
      <c r="L4">
        <v>0.2</v>
      </c>
      <c r="M4" s="2" t="e">
        <f>#REF!</f>
        <v>#REF!</v>
      </c>
      <c r="N4">
        <f t="shared" si="1"/>
        <v>0.10000000000000009</v>
      </c>
      <c r="O4" s="2" t="e">
        <f>#REF!</f>
        <v>#REF!</v>
      </c>
      <c r="P4">
        <v>1</v>
      </c>
      <c r="Q4" s="2" t="e">
        <f>#REF!</f>
        <v>#REF!</v>
      </c>
      <c r="R4">
        <v>0.7</v>
      </c>
      <c r="S4" s="2" t="e">
        <f>#REF!</f>
        <v>#REF!</v>
      </c>
      <c r="T4">
        <v>0.15</v>
      </c>
      <c r="U4" s="2" t="e">
        <f>#REF!</f>
        <v>#REF!</v>
      </c>
      <c r="V4">
        <f t="shared" si="2"/>
        <v>0.15000000000000005</v>
      </c>
      <c r="W4" s="2" t="e">
        <f>#REF!</f>
        <v>#REF!</v>
      </c>
      <c r="X4">
        <v>1</v>
      </c>
      <c r="Y4" s="2" t="e">
        <f>#REF!</f>
        <v>#REF!</v>
      </c>
      <c r="Z4">
        <v>1</v>
      </c>
      <c r="AA4" s="2" t="e">
        <f>#REF!</f>
        <v>#REF!</v>
      </c>
    </row>
    <row r="5" spans="1:27" x14ac:dyDescent="0.35">
      <c r="A5">
        <v>2023</v>
      </c>
      <c r="B5">
        <f t="shared" si="0"/>
        <v>0.5</v>
      </c>
      <c r="C5" s="2" t="e">
        <f>#REF!</f>
        <v>#REF!</v>
      </c>
      <c r="D5">
        <v>0.5</v>
      </c>
      <c r="E5" s="2" t="e">
        <f>#REF!</f>
        <v>#REF!</v>
      </c>
      <c r="F5">
        <v>0.3</v>
      </c>
      <c r="G5" s="2" t="e">
        <f>#REF!</f>
        <v>#REF!</v>
      </c>
      <c r="H5">
        <v>0.3</v>
      </c>
      <c r="I5" s="2" t="e">
        <f>#REF!</f>
        <v>#REF!</v>
      </c>
      <c r="J5">
        <v>0.1</v>
      </c>
      <c r="K5" s="2" t="e">
        <f>#REF!</f>
        <v>#REF!</v>
      </c>
      <c r="L5">
        <v>0.2</v>
      </c>
      <c r="M5" s="2" t="e">
        <f>#REF!</f>
        <v>#REF!</v>
      </c>
      <c r="N5">
        <f t="shared" si="1"/>
        <v>0.10000000000000009</v>
      </c>
      <c r="O5" s="2" t="e">
        <f>#REF!</f>
        <v>#REF!</v>
      </c>
      <c r="P5">
        <v>1</v>
      </c>
      <c r="Q5" s="2" t="e">
        <f>#REF!</f>
        <v>#REF!</v>
      </c>
      <c r="R5">
        <v>0.7</v>
      </c>
      <c r="S5" s="2" t="e">
        <f>#REF!</f>
        <v>#REF!</v>
      </c>
      <c r="T5">
        <v>0.15</v>
      </c>
      <c r="U5" s="2" t="e">
        <f>#REF!</f>
        <v>#REF!</v>
      </c>
      <c r="V5">
        <f t="shared" si="2"/>
        <v>0.15000000000000005</v>
      </c>
      <c r="W5" s="2" t="e">
        <f>#REF!</f>
        <v>#REF!</v>
      </c>
      <c r="X5">
        <v>1</v>
      </c>
      <c r="Y5" s="2" t="e">
        <f>#REF!</f>
        <v>#REF!</v>
      </c>
      <c r="Z5">
        <v>1</v>
      </c>
      <c r="AA5" s="2" t="e">
        <f>#REF!</f>
        <v>#REF!</v>
      </c>
    </row>
    <row r="6" spans="1:27" x14ac:dyDescent="0.35">
      <c r="A6">
        <v>2024</v>
      </c>
      <c r="B6">
        <f t="shared" si="0"/>
        <v>0.5</v>
      </c>
      <c r="C6" s="2" t="e">
        <f>#REF!</f>
        <v>#REF!</v>
      </c>
      <c r="D6">
        <v>0.5</v>
      </c>
      <c r="E6" s="2" t="e">
        <f>#REF!</f>
        <v>#REF!</v>
      </c>
      <c r="F6">
        <v>0.3</v>
      </c>
      <c r="G6" s="2" t="e">
        <f>#REF!</f>
        <v>#REF!</v>
      </c>
      <c r="H6">
        <v>0.3</v>
      </c>
      <c r="I6" s="2" t="e">
        <f>#REF!</f>
        <v>#REF!</v>
      </c>
      <c r="J6">
        <v>0.1</v>
      </c>
      <c r="K6" s="2" t="e">
        <f>#REF!</f>
        <v>#REF!</v>
      </c>
      <c r="L6">
        <v>0.2</v>
      </c>
      <c r="M6" s="2" t="e">
        <f>#REF!</f>
        <v>#REF!</v>
      </c>
      <c r="N6">
        <f t="shared" si="1"/>
        <v>0.10000000000000009</v>
      </c>
      <c r="O6" s="2" t="e">
        <f>#REF!</f>
        <v>#REF!</v>
      </c>
      <c r="P6">
        <v>1</v>
      </c>
      <c r="Q6" s="2" t="e">
        <f>#REF!</f>
        <v>#REF!</v>
      </c>
      <c r="R6">
        <v>0.7</v>
      </c>
      <c r="S6" s="2" t="e">
        <f>#REF!</f>
        <v>#REF!</v>
      </c>
      <c r="T6">
        <v>0.15</v>
      </c>
      <c r="U6" s="2" t="e">
        <f>#REF!</f>
        <v>#REF!</v>
      </c>
      <c r="V6">
        <f t="shared" si="2"/>
        <v>0.15000000000000005</v>
      </c>
      <c r="W6" s="2" t="e">
        <f>#REF!</f>
        <v>#REF!</v>
      </c>
      <c r="X6">
        <v>1</v>
      </c>
      <c r="Y6" s="2" t="e">
        <f>#REF!</f>
        <v>#REF!</v>
      </c>
      <c r="Z6">
        <v>1</v>
      </c>
      <c r="AA6" s="2" t="e">
        <f>#REF!</f>
        <v>#REF!</v>
      </c>
    </row>
    <row r="7" spans="1:27" x14ac:dyDescent="0.35">
      <c r="A7">
        <v>2025</v>
      </c>
      <c r="B7">
        <f t="shared" si="0"/>
        <v>0.5</v>
      </c>
      <c r="C7" s="2" t="e">
        <f>#REF!</f>
        <v>#REF!</v>
      </c>
      <c r="D7">
        <v>0.5</v>
      </c>
      <c r="E7" s="2" t="e">
        <f>#REF!</f>
        <v>#REF!</v>
      </c>
      <c r="F7">
        <v>0.3</v>
      </c>
      <c r="G7" s="2" t="e">
        <f>#REF!</f>
        <v>#REF!</v>
      </c>
      <c r="H7">
        <v>0.3</v>
      </c>
      <c r="I7" s="2" t="e">
        <f>#REF!</f>
        <v>#REF!</v>
      </c>
      <c r="J7">
        <v>0.1</v>
      </c>
      <c r="K7" s="2" t="e">
        <f>#REF!</f>
        <v>#REF!</v>
      </c>
      <c r="L7">
        <v>0.2</v>
      </c>
      <c r="M7" s="2" t="e">
        <f>#REF!</f>
        <v>#REF!</v>
      </c>
      <c r="N7">
        <f t="shared" si="1"/>
        <v>0.10000000000000009</v>
      </c>
      <c r="O7" s="2" t="e">
        <f>#REF!</f>
        <v>#REF!</v>
      </c>
      <c r="P7">
        <v>1</v>
      </c>
      <c r="Q7" s="2" t="e">
        <f>#REF!</f>
        <v>#REF!</v>
      </c>
      <c r="R7">
        <v>0.7</v>
      </c>
      <c r="S7" s="2" t="e">
        <f>#REF!</f>
        <v>#REF!</v>
      </c>
      <c r="T7">
        <v>0.15</v>
      </c>
      <c r="U7" s="2" t="e">
        <f>#REF!</f>
        <v>#REF!</v>
      </c>
      <c r="V7">
        <f t="shared" si="2"/>
        <v>0.15000000000000005</v>
      </c>
      <c r="W7" s="2" t="e">
        <f>#REF!</f>
        <v>#REF!</v>
      </c>
      <c r="X7">
        <v>1</v>
      </c>
      <c r="Y7" s="2" t="e">
        <f>#REF!</f>
        <v>#REF!</v>
      </c>
      <c r="Z7">
        <v>1</v>
      </c>
      <c r="AA7" s="2" t="e">
        <f>#REF!</f>
        <v>#REF!</v>
      </c>
    </row>
    <row r="8" spans="1:27" x14ac:dyDescent="0.35">
      <c r="A8">
        <v>2026</v>
      </c>
      <c r="B8">
        <f t="shared" si="0"/>
        <v>0.5</v>
      </c>
      <c r="C8" s="2" t="e">
        <f>#REF!</f>
        <v>#REF!</v>
      </c>
      <c r="D8">
        <v>0.5</v>
      </c>
      <c r="E8" s="2" t="e">
        <f>#REF!</f>
        <v>#REF!</v>
      </c>
      <c r="F8">
        <v>0.3</v>
      </c>
      <c r="G8" s="2" t="e">
        <f>#REF!</f>
        <v>#REF!</v>
      </c>
      <c r="H8">
        <v>0.3</v>
      </c>
      <c r="I8" s="2" t="e">
        <f>#REF!</f>
        <v>#REF!</v>
      </c>
      <c r="J8">
        <v>0.1</v>
      </c>
      <c r="K8" s="2" t="e">
        <f>#REF!</f>
        <v>#REF!</v>
      </c>
      <c r="L8">
        <v>0.2</v>
      </c>
      <c r="M8" s="2" t="e">
        <f>#REF!</f>
        <v>#REF!</v>
      </c>
      <c r="N8">
        <f t="shared" si="1"/>
        <v>0.10000000000000009</v>
      </c>
      <c r="O8" s="2" t="e">
        <f>#REF!</f>
        <v>#REF!</v>
      </c>
      <c r="P8">
        <v>1</v>
      </c>
      <c r="Q8" s="2" t="e">
        <f>#REF!</f>
        <v>#REF!</v>
      </c>
      <c r="R8">
        <v>0.7</v>
      </c>
      <c r="S8" s="2" t="e">
        <f>#REF!</f>
        <v>#REF!</v>
      </c>
      <c r="T8">
        <v>0.15</v>
      </c>
      <c r="U8" s="2" t="e">
        <f>#REF!</f>
        <v>#REF!</v>
      </c>
      <c r="V8">
        <f t="shared" si="2"/>
        <v>0.15000000000000005</v>
      </c>
      <c r="W8" s="2" t="e">
        <f>#REF!</f>
        <v>#REF!</v>
      </c>
      <c r="X8">
        <v>1</v>
      </c>
      <c r="Y8" s="2" t="e">
        <f>#REF!</f>
        <v>#REF!</v>
      </c>
      <c r="Z8">
        <v>1</v>
      </c>
      <c r="AA8" s="2" t="e">
        <f>#REF!</f>
        <v>#REF!</v>
      </c>
    </row>
    <row r="9" spans="1:27" x14ac:dyDescent="0.35">
      <c r="A9">
        <v>2027</v>
      </c>
      <c r="B9">
        <f t="shared" si="0"/>
        <v>0.5</v>
      </c>
      <c r="C9" s="2" t="e">
        <f>#REF!</f>
        <v>#REF!</v>
      </c>
      <c r="D9">
        <v>0.5</v>
      </c>
      <c r="E9" s="2" t="e">
        <f>#REF!</f>
        <v>#REF!</v>
      </c>
      <c r="F9">
        <v>0.3</v>
      </c>
      <c r="G9" s="2" t="e">
        <f>#REF!</f>
        <v>#REF!</v>
      </c>
      <c r="H9">
        <v>0.3</v>
      </c>
      <c r="I9" s="2" t="e">
        <f>#REF!</f>
        <v>#REF!</v>
      </c>
      <c r="J9">
        <v>0.1</v>
      </c>
      <c r="K9" s="2" t="e">
        <f>#REF!</f>
        <v>#REF!</v>
      </c>
      <c r="L9">
        <v>0.2</v>
      </c>
      <c r="M9" s="2" t="e">
        <f>#REF!</f>
        <v>#REF!</v>
      </c>
      <c r="N9">
        <f t="shared" si="1"/>
        <v>0.10000000000000009</v>
      </c>
      <c r="O9" s="2" t="e">
        <f>#REF!</f>
        <v>#REF!</v>
      </c>
      <c r="P9">
        <v>1</v>
      </c>
      <c r="Q9" s="2" t="e">
        <f>#REF!</f>
        <v>#REF!</v>
      </c>
      <c r="R9">
        <v>0.7</v>
      </c>
      <c r="S9" s="2" t="e">
        <f>#REF!</f>
        <v>#REF!</v>
      </c>
      <c r="T9">
        <v>0.15</v>
      </c>
      <c r="U9" s="2" t="e">
        <f>#REF!</f>
        <v>#REF!</v>
      </c>
      <c r="V9">
        <f t="shared" si="2"/>
        <v>0.15000000000000005</v>
      </c>
      <c r="W9" s="2" t="e">
        <f>#REF!</f>
        <v>#REF!</v>
      </c>
      <c r="X9">
        <v>1</v>
      </c>
      <c r="Y9" s="2" t="e">
        <f>#REF!</f>
        <v>#REF!</v>
      </c>
      <c r="Z9">
        <v>1</v>
      </c>
      <c r="AA9" s="2" t="e">
        <f>#REF!</f>
        <v>#REF!</v>
      </c>
    </row>
    <row r="10" spans="1:27" x14ac:dyDescent="0.35">
      <c r="A10">
        <v>2028</v>
      </c>
      <c r="B10">
        <f t="shared" si="0"/>
        <v>0.5</v>
      </c>
      <c r="C10" s="2" t="e">
        <f>#REF!</f>
        <v>#REF!</v>
      </c>
      <c r="D10">
        <v>0.5</v>
      </c>
      <c r="E10" s="2" t="e">
        <f>#REF!</f>
        <v>#REF!</v>
      </c>
      <c r="F10">
        <v>0.3</v>
      </c>
      <c r="G10" s="2" t="e">
        <f>#REF!</f>
        <v>#REF!</v>
      </c>
      <c r="H10">
        <v>0.3</v>
      </c>
      <c r="I10" s="2" t="e">
        <f>#REF!</f>
        <v>#REF!</v>
      </c>
      <c r="J10">
        <v>0.1</v>
      </c>
      <c r="K10" s="2" t="e">
        <f>#REF!</f>
        <v>#REF!</v>
      </c>
      <c r="L10">
        <v>0.2</v>
      </c>
      <c r="M10" s="2" t="e">
        <f>#REF!</f>
        <v>#REF!</v>
      </c>
      <c r="N10">
        <f t="shared" si="1"/>
        <v>0.10000000000000009</v>
      </c>
      <c r="O10" s="2" t="e">
        <f>#REF!</f>
        <v>#REF!</v>
      </c>
      <c r="P10">
        <v>1</v>
      </c>
      <c r="Q10" s="2" t="e">
        <f>#REF!</f>
        <v>#REF!</v>
      </c>
      <c r="R10">
        <v>0.7</v>
      </c>
      <c r="S10" s="2" t="e">
        <f>#REF!</f>
        <v>#REF!</v>
      </c>
      <c r="T10">
        <v>0.15</v>
      </c>
      <c r="U10" s="2" t="e">
        <f>#REF!</f>
        <v>#REF!</v>
      </c>
      <c r="V10">
        <f t="shared" si="2"/>
        <v>0.15000000000000005</v>
      </c>
      <c r="W10" s="2" t="e">
        <f>#REF!</f>
        <v>#REF!</v>
      </c>
      <c r="X10">
        <v>1</v>
      </c>
      <c r="Y10" s="2" t="e">
        <f>#REF!</f>
        <v>#REF!</v>
      </c>
      <c r="Z10">
        <v>1</v>
      </c>
      <c r="AA10" s="2" t="e">
        <f>#REF!</f>
        <v>#REF!</v>
      </c>
    </row>
    <row r="11" spans="1:27" x14ac:dyDescent="0.35">
      <c r="A11">
        <v>2029</v>
      </c>
      <c r="B11">
        <f t="shared" si="0"/>
        <v>0.5</v>
      </c>
      <c r="C11" s="2" t="e">
        <f>#REF!</f>
        <v>#REF!</v>
      </c>
      <c r="D11">
        <v>0.5</v>
      </c>
      <c r="E11" s="2" t="e">
        <f>#REF!</f>
        <v>#REF!</v>
      </c>
      <c r="F11">
        <v>0.3</v>
      </c>
      <c r="G11" s="2" t="e">
        <f>#REF!</f>
        <v>#REF!</v>
      </c>
      <c r="H11">
        <v>0.3</v>
      </c>
      <c r="I11" s="2" t="e">
        <f>#REF!</f>
        <v>#REF!</v>
      </c>
      <c r="J11">
        <v>0.1</v>
      </c>
      <c r="K11" s="2" t="e">
        <f>#REF!</f>
        <v>#REF!</v>
      </c>
      <c r="L11">
        <v>0.2</v>
      </c>
      <c r="M11" s="2" t="e">
        <f>#REF!</f>
        <v>#REF!</v>
      </c>
      <c r="N11">
        <f t="shared" si="1"/>
        <v>0.10000000000000009</v>
      </c>
      <c r="O11" s="2" t="e">
        <f>#REF!</f>
        <v>#REF!</v>
      </c>
      <c r="P11">
        <v>1</v>
      </c>
      <c r="Q11" s="2" t="e">
        <f>#REF!</f>
        <v>#REF!</v>
      </c>
      <c r="R11">
        <v>0.7</v>
      </c>
      <c r="S11" s="2" t="e">
        <f>#REF!</f>
        <v>#REF!</v>
      </c>
      <c r="T11">
        <v>0.15</v>
      </c>
      <c r="U11" s="2" t="e">
        <f>#REF!</f>
        <v>#REF!</v>
      </c>
      <c r="V11">
        <f t="shared" si="2"/>
        <v>0.15000000000000005</v>
      </c>
      <c r="W11" s="2" t="e">
        <f>#REF!</f>
        <v>#REF!</v>
      </c>
      <c r="X11">
        <v>1</v>
      </c>
      <c r="Y11" s="2" t="e">
        <f>#REF!</f>
        <v>#REF!</v>
      </c>
      <c r="Z11">
        <v>1</v>
      </c>
      <c r="AA11" s="2" t="e">
        <f>#REF!</f>
        <v>#REF!</v>
      </c>
    </row>
    <row r="12" spans="1:27" x14ac:dyDescent="0.35">
      <c r="A12">
        <v>2030</v>
      </c>
      <c r="B12">
        <f t="shared" si="0"/>
        <v>0.5</v>
      </c>
      <c r="C12" s="2" t="e">
        <f>#REF!</f>
        <v>#REF!</v>
      </c>
      <c r="D12">
        <v>0.5</v>
      </c>
      <c r="E12" s="2" t="e">
        <f>#REF!</f>
        <v>#REF!</v>
      </c>
      <c r="F12">
        <v>0.3</v>
      </c>
      <c r="G12" s="2" t="e">
        <f>#REF!</f>
        <v>#REF!</v>
      </c>
      <c r="H12">
        <v>0.3</v>
      </c>
      <c r="I12" s="2" t="e">
        <f>#REF!</f>
        <v>#REF!</v>
      </c>
      <c r="J12">
        <v>0.1</v>
      </c>
      <c r="K12" s="2" t="e">
        <f>#REF!</f>
        <v>#REF!</v>
      </c>
      <c r="L12">
        <v>0.2</v>
      </c>
      <c r="M12" s="2" t="e">
        <f>#REF!</f>
        <v>#REF!</v>
      </c>
      <c r="N12">
        <f t="shared" si="1"/>
        <v>0.10000000000000009</v>
      </c>
      <c r="O12" s="2" t="e">
        <f>#REF!</f>
        <v>#REF!</v>
      </c>
      <c r="P12">
        <v>1</v>
      </c>
      <c r="Q12" s="2" t="e">
        <f>#REF!</f>
        <v>#REF!</v>
      </c>
      <c r="R12">
        <v>0.7</v>
      </c>
      <c r="S12" s="2" t="e">
        <f>#REF!</f>
        <v>#REF!</v>
      </c>
      <c r="T12">
        <v>0.15</v>
      </c>
      <c r="U12" s="2" t="e">
        <f>#REF!</f>
        <v>#REF!</v>
      </c>
      <c r="V12">
        <f t="shared" si="2"/>
        <v>0.15000000000000005</v>
      </c>
      <c r="W12" s="2" t="e">
        <f>#REF!</f>
        <v>#REF!</v>
      </c>
      <c r="X12">
        <v>1</v>
      </c>
      <c r="Y12" s="2" t="e">
        <f>#REF!</f>
        <v>#REF!</v>
      </c>
      <c r="Z12">
        <v>1</v>
      </c>
      <c r="AA12" s="2" t="e">
        <f>#REF!</f>
        <v>#REF!</v>
      </c>
    </row>
    <row r="13" spans="1:27" x14ac:dyDescent="0.35">
      <c r="A13">
        <v>2031</v>
      </c>
      <c r="B13">
        <f t="shared" si="0"/>
        <v>0.5</v>
      </c>
      <c r="C13" s="2" t="e">
        <f>#REF!</f>
        <v>#REF!</v>
      </c>
      <c r="D13">
        <v>0.5</v>
      </c>
      <c r="E13" s="2" t="e">
        <f>#REF!</f>
        <v>#REF!</v>
      </c>
      <c r="F13">
        <v>0.3</v>
      </c>
      <c r="G13" s="2" t="e">
        <f>#REF!</f>
        <v>#REF!</v>
      </c>
      <c r="H13">
        <v>0.3</v>
      </c>
      <c r="I13" s="2" t="e">
        <f>#REF!</f>
        <v>#REF!</v>
      </c>
      <c r="J13">
        <v>0.1</v>
      </c>
      <c r="K13" s="2" t="e">
        <f>#REF!</f>
        <v>#REF!</v>
      </c>
      <c r="L13">
        <v>0.2</v>
      </c>
      <c r="M13" s="2" t="e">
        <f>#REF!</f>
        <v>#REF!</v>
      </c>
      <c r="N13">
        <f t="shared" si="1"/>
        <v>0.10000000000000009</v>
      </c>
      <c r="O13" s="2" t="e">
        <f>#REF!</f>
        <v>#REF!</v>
      </c>
      <c r="P13">
        <v>1</v>
      </c>
      <c r="Q13" s="2" t="e">
        <f>#REF!</f>
        <v>#REF!</v>
      </c>
      <c r="R13">
        <v>0.7</v>
      </c>
      <c r="S13" s="2" t="e">
        <f>#REF!</f>
        <v>#REF!</v>
      </c>
      <c r="T13">
        <v>0.15</v>
      </c>
      <c r="U13" s="2" t="e">
        <f>#REF!</f>
        <v>#REF!</v>
      </c>
      <c r="V13">
        <f t="shared" si="2"/>
        <v>0.15000000000000005</v>
      </c>
      <c r="W13" s="2" t="e">
        <f>#REF!</f>
        <v>#REF!</v>
      </c>
      <c r="X13">
        <v>1</v>
      </c>
      <c r="Y13" s="2" t="e">
        <f>#REF!</f>
        <v>#REF!</v>
      </c>
      <c r="Z13">
        <v>1</v>
      </c>
      <c r="AA13" s="2" t="e">
        <f>#REF!</f>
        <v>#REF!</v>
      </c>
    </row>
    <row r="14" spans="1:27" x14ac:dyDescent="0.35">
      <c r="A14">
        <v>2032</v>
      </c>
      <c r="B14">
        <f t="shared" si="0"/>
        <v>0.5</v>
      </c>
      <c r="C14" s="2" t="e">
        <f>#REF!</f>
        <v>#REF!</v>
      </c>
      <c r="D14">
        <v>0.5</v>
      </c>
      <c r="E14" s="2" t="e">
        <f>#REF!</f>
        <v>#REF!</v>
      </c>
      <c r="F14">
        <v>0.3</v>
      </c>
      <c r="G14" s="2" t="e">
        <f>#REF!</f>
        <v>#REF!</v>
      </c>
      <c r="H14">
        <v>0.3</v>
      </c>
      <c r="I14" s="2" t="e">
        <f>#REF!</f>
        <v>#REF!</v>
      </c>
      <c r="J14">
        <v>0.1</v>
      </c>
      <c r="K14" s="2" t="e">
        <f>#REF!</f>
        <v>#REF!</v>
      </c>
      <c r="L14">
        <v>0.2</v>
      </c>
      <c r="M14" s="2" t="e">
        <f>#REF!</f>
        <v>#REF!</v>
      </c>
      <c r="N14">
        <f t="shared" si="1"/>
        <v>0.10000000000000009</v>
      </c>
      <c r="O14" s="2" t="e">
        <f>#REF!</f>
        <v>#REF!</v>
      </c>
      <c r="P14">
        <v>1</v>
      </c>
      <c r="Q14" s="2" t="e">
        <f>#REF!</f>
        <v>#REF!</v>
      </c>
      <c r="R14">
        <v>0.7</v>
      </c>
      <c r="S14" s="2" t="e">
        <f>#REF!</f>
        <v>#REF!</v>
      </c>
      <c r="T14">
        <v>0.15</v>
      </c>
      <c r="U14" s="2" t="e">
        <f>#REF!</f>
        <v>#REF!</v>
      </c>
      <c r="V14">
        <f t="shared" si="2"/>
        <v>0.15000000000000005</v>
      </c>
      <c r="W14" s="2" t="e">
        <f>#REF!</f>
        <v>#REF!</v>
      </c>
      <c r="X14">
        <v>1</v>
      </c>
      <c r="Y14" s="2" t="e">
        <f>#REF!</f>
        <v>#REF!</v>
      </c>
      <c r="Z14">
        <v>1</v>
      </c>
      <c r="AA14" s="2" t="e">
        <f>#REF!</f>
        <v>#REF!</v>
      </c>
    </row>
    <row r="15" spans="1:27" x14ac:dyDescent="0.35">
      <c r="A15">
        <v>2033</v>
      </c>
      <c r="B15">
        <f t="shared" si="0"/>
        <v>0.5</v>
      </c>
      <c r="C15" s="2" t="e">
        <f>#REF!</f>
        <v>#REF!</v>
      </c>
      <c r="D15">
        <v>0.5</v>
      </c>
      <c r="E15" s="2" t="e">
        <f>#REF!</f>
        <v>#REF!</v>
      </c>
      <c r="F15">
        <v>0.3</v>
      </c>
      <c r="G15" s="2" t="e">
        <f>#REF!</f>
        <v>#REF!</v>
      </c>
      <c r="H15">
        <v>0.3</v>
      </c>
      <c r="I15" s="2" t="e">
        <f>#REF!</f>
        <v>#REF!</v>
      </c>
      <c r="J15">
        <v>0.1</v>
      </c>
      <c r="K15" s="2" t="e">
        <f>#REF!</f>
        <v>#REF!</v>
      </c>
      <c r="L15">
        <v>0.2</v>
      </c>
      <c r="M15" s="2" t="e">
        <f>#REF!</f>
        <v>#REF!</v>
      </c>
      <c r="N15">
        <f t="shared" si="1"/>
        <v>0.10000000000000009</v>
      </c>
      <c r="O15" s="2" t="e">
        <f>#REF!</f>
        <v>#REF!</v>
      </c>
      <c r="P15">
        <v>1</v>
      </c>
      <c r="Q15" s="2" t="e">
        <f>#REF!</f>
        <v>#REF!</v>
      </c>
      <c r="R15">
        <v>0.7</v>
      </c>
      <c r="S15" s="2" t="e">
        <f>#REF!</f>
        <v>#REF!</v>
      </c>
      <c r="T15">
        <v>0.15</v>
      </c>
      <c r="U15" s="2" t="e">
        <f>#REF!</f>
        <v>#REF!</v>
      </c>
      <c r="V15">
        <f t="shared" si="2"/>
        <v>0.15000000000000005</v>
      </c>
      <c r="W15" s="2" t="e">
        <f>#REF!</f>
        <v>#REF!</v>
      </c>
      <c r="X15">
        <v>1</v>
      </c>
      <c r="Y15" s="2" t="e">
        <f>#REF!</f>
        <v>#REF!</v>
      </c>
      <c r="Z15">
        <v>1</v>
      </c>
      <c r="AA15" s="2" t="e">
        <f>#REF!</f>
        <v>#REF!</v>
      </c>
    </row>
    <row r="16" spans="1:27" x14ac:dyDescent="0.35">
      <c r="A16">
        <v>2034</v>
      </c>
      <c r="B16">
        <f t="shared" si="0"/>
        <v>0.5</v>
      </c>
      <c r="C16" s="2" t="e">
        <f>#REF!</f>
        <v>#REF!</v>
      </c>
      <c r="D16">
        <v>0.5</v>
      </c>
      <c r="E16" s="2" t="e">
        <f>#REF!</f>
        <v>#REF!</v>
      </c>
      <c r="F16">
        <v>0.3</v>
      </c>
      <c r="G16" s="2" t="e">
        <f>#REF!</f>
        <v>#REF!</v>
      </c>
      <c r="H16">
        <v>0.3</v>
      </c>
      <c r="I16" s="2" t="e">
        <f>#REF!</f>
        <v>#REF!</v>
      </c>
      <c r="J16">
        <v>0.1</v>
      </c>
      <c r="K16" s="2" t="e">
        <f>#REF!</f>
        <v>#REF!</v>
      </c>
      <c r="L16">
        <v>0.2</v>
      </c>
      <c r="M16" s="2" t="e">
        <f>#REF!</f>
        <v>#REF!</v>
      </c>
      <c r="N16">
        <f t="shared" si="1"/>
        <v>0.10000000000000009</v>
      </c>
      <c r="O16" s="2" t="e">
        <f>#REF!</f>
        <v>#REF!</v>
      </c>
      <c r="P16">
        <v>1</v>
      </c>
      <c r="Q16" s="2" t="e">
        <f>#REF!</f>
        <v>#REF!</v>
      </c>
      <c r="R16">
        <v>0.7</v>
      </c>
      <c r="S16" s="2" t="e">
        <f>#REF!</f>
        <v>#REF!</v>
      </c>
      <c r="T16">
        <v>0.15</v>
      </c>
      <c r="U16" s="2" t="e">
        <f>#REF!</f>
        <v>#REF!</v>
      </c>
      <c r="V16">
        <f t="shared" si="2"/>
        <v>0.15000000000000005</v>
      </c>
      <c r="W16" s="2" t="e">
        <f>#REF!</f>
        <v>#REF!</v>
      </c>
      <c r="X16">
        <v>1</v>
      </c>
      <c r="Y16" s="2" t="e">
        <f>#REF!</f>
        <v>#REF!</v>
      </c>
      <c r="Z16">
        <v>1</v>
      </c>
      <c r="AA16" s="2" t="e">
        <f>#REF!</f>
        <v>#REF!</v>
      </c>
    </row>
    <row r="17" spans="1:27" x14ac:dyDescent="0.35">
      <c r="A17">
        <v>2035</v>
      </c>
      <c r="B17">
        <f t="shared" si="0"/>
        <v>0.5</v>
      </c>
      <c r="C17" s="2" t="e">
        <f>#REF!</f>
        <v>#REF!</v>
      </c>
      <c r="D17">
        <v>0.5</v>
      </c>
      <c r="E17" s="2" t="e">
        <f>#REF!</f>
        <v>#REF!</v>
      </c>
      <c r="F17">
        <v>0.3</v>
      </c>
      <c r="G17" s="2" t="e">
        <f>#REF!</f>
        <v>#REF!</v>
      </c>
      <c r="H17">
        <v>0.3</v>
      </c>
      <c r="I17" s="2" t="e">
        <f>#REF!</f>
        <v>#REF!</v>
      </c>
      <c r="J17">
        <v>0.1</v>
      </c>
      <c r="K17" s="2" t="e">
        <f>#REF!</f>
        <v>#REF!</v>
      </c>
      <c r="L17">
        <v>0.2</v>
      </c>
      <c r="M17" s="2" t="e">
        <f>#REF!</f>
        <v>#REF!</v>
      </c>
      <c r="N17">
        <f t="shared" si="1"/>
        <v>0.10000000000000009</v>
      </c>
      <c r="O17" s="2" t="e">
        <f>#REF!</f>
        <v>#REF!</v>
      </c>
      <c r="P17">
        <v>1</v>
      </c>
      <c r="Q17" s="2" t="e">
        <f>#REF!</f>
        <v>#REF!</v>
      </c>
      <c r="R17">
        <v>0.7</v>
      </c>
      <c r="S17" s="2" t="e">
        <f>#REF!</f>
        <v>#REF!</v>
      </c>
      <c r="T17">
        <v>0.15</v>
      </c>
      <c r="U17" s="2" t="e">
        <f>#REF!</f>
        <v>#REF!</v>
      </c>
      <c r="V17">
        <f t="shared" si="2"/>
        <v>0.15000000000000005</v>
      </c>
      <c r="W17" s="2" t="e">
        <f>#REF!</f>
        <v>#REF!</v>
      </c>
      <c r="X17">
        <v>1</v>
      </c>
      <c r="Y17" s="2" t="e">
        <f>#REF!</f>
        <v>#REF!</v>
      </c>
      <c r="Z17">
        <v>1</v>
      </c>
      <c r="AA17" s="2" t="e">
        <f>#REF!</f>
        <v>#REF!</v>
      </c>
    </row>
    <row r="18" spans="1:27" x14ac:dyDescent="0.35">
      <c r="A18">
        <v>2036</v>
      </c>
      <c r="B18">
        <f t="shared" si="0"/>
        <v>0.5</v>
      </c>
      <c r="C18" s="2" t="e">
        <f>#REF!</f>
        <v>#REF!</v>
      </c>
      <c r="D18">
        <v>0.5</v>
      </c>
      <c r="E18" s="2" t="e">
        <f>#REF!</f>
        <v>#REF!</v>
      </c>
      <c r="F18">
        <v>0.3</v>
      </c>
      <c r="G18" s="2" t="e">
        <f>#REF!</f>
        <v>#REF!</v>
      </c>
      <c r="H18">
        <v>0.3</v>
      </c>
      <c r="I18" s="2" t="e">
        <f>#REF!</f>
        <v>#REF!</v>
      </c>
      <c r="J18">
        <v>0.1</v>
      </c>
      <c r="K18" s="2" t="e">
        <f>#REF!</f>
        <v>#REF!</v>
      </c>
      <c r="L18">
        <v>0.2</v>
      </c>
      <c r="M18" s="2" t="e">
        <f>#REF!</f>
        <v>#REF!</v>
      </c>
      <c r="N18">
        <f t="shared" si="1"/>
        <v>0.10000000000000009</v>
      </c>
      <c r="O18" s="2" t="e">
        <f>#REF!</f>
        <v>#REF!</v>
      </c>
      <c r="P18">
        <v>1</v>
      </c>
      <c r="Q18" s="2" t="e">
        <f>#REF!</f>
        <v>#REF!</v>
      </c>
      <c r="R18">
        <v>0.7</v>
      </c>
      <c r="S18" s="2" t="e">
        <f>#REF!</f>
        <v>#REF!</v>
      </c>
      <c r="T18">
        <v>0.15</v>
      </c>
      <c r="U18" s="2" t="e">
        <f>#REF!</f>
        <v>#REF!</v>
      </c>
      <c r="V18">
        <f t="shared" si="2"/>
        <v>0.15000000000000005</v>
      </c>
      <c r="W18" s="2" t="e">
        <f>#REF!</f>
        <v>#REF!</v>
      </c>
      <c r="X18">
        <v>1</v>
      </c>
      <c r="Y18" s="2" t="e">
        <f>#REF!</f>
        <v>#REF!</v>
      </c>
      <c r="Z18">
        <v>1</v>
      </c>
      <c r="AA18" s="2" t="e">
        <f>#REF!</f>
        <v>#REF!</v>
      </c>
    </row>
    <row r="19" spans="1:27" x14ac:dyDescent="0.35">
      <c r="A19">
        <v>2037</v>
      </c>
      <c r="B19">
        <f t="shared" si="0"/>
        <v>0.5</v>
      </c>
      <c r="C19" s="2" t="e">
        <f>#REF!</f>
        <v>#REF!</v>
      </c>
      <c r="D19">
        <v>0.5</v>
      </c>
      <c r="E19" s="2" t="e">
        <f>#REF!</f>
        <v>#REF!</v>
      </c>
      <c r="F19">
        <v>0.3</v>
      </c>
      <c r="G19" s="2" t="e">
        <f>#REF!</f>
        <v>#REF!</v>
      </c>
      <c r="H19">
        <v>0.3</v>
      </c>
      <c r="I19" s="2" t="e">
        <f>#REF!</f>
        <v>#REF!</v>
      </c>
      <c r="J19">
        <v>0.1</v>
      </c>
      <c r="K19" s="2" t="e">
        <f>#REF!</f>
        <v>#REF!</v>
      </c>
      <c r="L19">
        <v>0.2</v>
      </c>
      <c r="M19" s="2" t="e">
        <f>#REF!</f>
        <v>#REF!</v>
      </c>
      <c r="N19">
        <f t="shared" si="1"/>
        <v>0.10000000000000009</v>
      </c>
      <c r="O19" s="2" t="e">
        <f>#REF!</f>
        <v>#REF!</v>
      </c>
      <c r="P19">
        <v>1</v>
      </c>
      <c r="Q19" s="2" t="e">
        <f>#REF!</f>
        <v>#REF!</v>
      </c>
      <c r="R19">
        <v>0.7</v>
      </c>
      <c r="S19" s="2" t="e">
        <f>#REF!</f>
        <v>#REF!</v>
      </c>
      <c r="T19">
        <v>0.15</v>
      </c>
      <c r="U19" s="2" t="e">
        <f>#REF!</f>
        <v>#REF!</v>
      </c>
      <c r="V19">
        <f t="shared" si="2"/>
        <v>0.15000000000000005</v>
      </c>
      <c r="W19" s="2" t="e">
        <f>#REF!</f>
        <v>#REF!</v>
      </c>
      <c r="X19">
        <v>1</v>
      </c>
      <c r="Y19" s="2" t="e">
        <f>#REF!</f>
        <v>#REF!</v>
      </c>
      <c r="Z19">
        <v>1</v>
      </c>
      <c r="AA19" s="2" t="e">
        <f>#REF!</f>
        <v>#REF!</v>
      </c>
    </row>
    <row r="20" spans="1:27" x14ac:dyDescent="0.35">
      <c r="A20">
        <v>2038</v>
      </c>
      <c r="B20">
        <f t="shared" si="0"/>
        <v>0.5</v>
      </c>
      <c r="C20" s="2" t="e">
        <f>#REF!</f>
        <v>#REF!</v>
      </c>
      <c r="D20">
        <v>0.5</v>
      </c>
      <c r="E20" s="2" t="e">
        <f>#REF!</f>
        <v>#REF!</v>
      </c>
      <c r="F20">
        <v>0.3</v>
      </c>
      <c r="G20" s="2" t="e">
        <f>#REF!</f>
        <v>#REF!</v>
      </c>
      <c r="H20">
        <v>0.3</v>
      </c>
      <c r="I20" s="2" t="e">
        <f>#REF!</f>
        <v>#REF!</v>
      </c>
      <c r="J20">
        <v>0.1</v>
      </c>
      <c r="K20" s="2" t="e">
        <f>#REF!</f>
        <v>#REF!</v>
      </c>
      <c r="L20">
        <v>0.2</v>
      </c>
      <c r="M20" s="2" t="e">
        <f>#REF!</f>
        <v>#REF!</v>
      </c>
      <c r="N20">
        <f t="shared" si="1"/>
        <v>0.10000000000000009</v>
      </c>
      <c r="O20" s="2" t="e">
        <f>#REF!</f>
        <v>#REF!</v>
      </c>
      <c r="P20">
        <v>1</v>
      </c>
      <c r="Q20" s="2" t="e">
        <f>#REF!</f>
        <v>#REF!</v>
      </c>
      <c r="R20">
        <v>0.7</v>
      </c>
      <c r="S20" s="2" t="e">
        <f>#REF!</f>
        <v>#REF!</v>
      </c>
      <c r="T20">
        <v>0.15</v>
      </c>
      <c r="U20" s="2" t="e">
        <f>#REF!</f>
        <v>#REF!</v>
      </c>
      <c r="V20">
        <f t="shared" si="2"/>
        <v>0.15000000000000005</v>
      </c>
      <c r="W20" s="2" t="e">
        <f>#REF!</f>
        <v>#REF!</v>
      </c>
      <c r="X20">
        <v>1</v>
      </c>
      <c r="Y20" s="2" t="e">
        <f>#REF!</f>
        <v>#REF!</v>
      </c>
      <c r="Z20">
        <v>1</v>
      </c>
      <c r="AA20" s="2" t="e">
        <f>#REF!</f>
        <v>#REF!</v>
      </c>
    </row>
    <row r="21" spans="1:27" x14ac:dyDescent="0.35">
      <c r="A21">
        <v>2039</v>
      </c>
      <c r="B21">
        <f t="shared" si="0"/>
        <v>0.5</v>
      </c>
      <c r="C21" s="2" t="e">
        <f>#REF!</f>
        <v>#REF!</v>
      </c>
      <c r="D21">
        <v>0.5</v>
      </c>
      <c r="E21" s="2" t="e">
        <f>#REF!</f>
        <v>#REF!</v>
      </c>
      <c r="F21">
        <v>0.3</v>
      </c>
      <c r="G21" s="2" t="e">
        <f>#REF!</f>
        <v>#REF!</v>
      </c>
      <c r="H21">
        <v>0.3</v>
      </c>
      <c r="I21" s="2" t="e">
        <f>#REF!</f>
        <v>#REF!</v>
      </c>
      <c r="J21">
        <v>0.1</v>
      </c>
      <c r="K21" s="2" t="e">
        <f>#REF!</f>
        <v>#REF!</v>
      </c>
      <c r="L21">
        <v>0.2</v>
      </c>
      <c r="M21" s="2" t="e">
        <f>#REF!</f>
        <v>#REF!</v>
      </c>
      <c r="N21">
        <f t="shared" si="1"/>
        <v>0.10000000000000009</v>
      </c>
      <c r="O21" s="2" t="e">
        <f>#REF!</f>
        <v>#REF!</v>
      </c>
      <c r="P21">
        <v>1</v>
      </c>
      <c r="Q21" s="2" t="e">
        <f>#REF!</f>
        <v>#REF!</v>
      </c>
      <c r="R21">
        <v>0.7</v>
      </c>
      <c r="S21" s="2" t="e">
        <f>#REF!</f>
        <v>#REF!</v>
      </c>
      <c r="T21">
        <v>0.15</v>
      </c>
      <c r="U21" s="2" t="e">
        <f>#REF!</f>
        <v>#REF!</v>
      </c>
      <c r="V21">
        <f t="shared" si="2"/>
        <v>0.15000000000000005</v>
      </c>
      <c r="W21" s="2" t="e">
        <f>#REF!</f>
        <v>#REF!</v>
      </c>
      <c r="X21">
        <v>1</v>
      </c>
      <c r="Y21" s="2" t="e">
        <f>#REF!</f>
        <v>#REF!</v>
      </c>
      <c r="Z21">
        <v>1</v>
      </c>
      <c r="AA21" s="2" t="e">
        <f>#REF!</f>
        <v>#REF!</v>
      </c>
    </row>
    <row r="22" spans="1:27" x14ac:dyDescent="0.35">
      <c r="A22">
        <v>2040</v>
      </c>
      <c r="B22">
        <f t="shared" si="0"/>
        <v>0.5</v>
      </c>
      <c r="C22" s="2" t="e">
        <f>#REF!</f>
        <v>#REF!</v>
      </c>
      <c r="D22">
        <v>0.5</v>
      </c>
      <c r="E22" s="2" t="e">
        <f>#REF!</f>
        <v>#REF!</v>
      </c>
      <c r="F22">
        <v>0.3</v>
      </c>
      <c r="G22" s="2" t="e">
        <f>#REF!</f>
        <v>#REF!</v>
      </c>
      <c r="H22">
        <v>0.3</v>
      </c>
      <c r="I22" s="2" t="e">
        <f>#REF!</f>
        <v>#REF!</v>
      </c>
      <c r="J22">
        <v>0.1</v>
      </c>
      <c r="K22" s="2" t="e">
        <f>#REF!</f>
        <v>#REF!</v>
      </c>
      <c r="L22">
        <v>0.2</v>
      </c>
      <c r="M22" s="2" t="e">
        <f>#REF!</f>
        <v>#REF!</v>
      </c>
      <c r="N22">
        <f t="shared" si="1"/>
        <v>0.10000000000000009</v>
      </c>
      <c r="O22" s="2" t="e">
        <f>#REF!</f>
        <v>#REF!</v>
      </c>
      <c r="P22">
        <v>1</v>
      </c>
      <c r="Q22" s="2" t="e">
        <f>#REF!</f>
        <v>#REF!</v>
      </c>
      <c r="R22">
        <v>0.7</v>
      </c>
      <c r="S22" s="2" t="e">
        <f>#REF!</f>
        <v>#REF!</v>
      </c>
      <c r="T22">
        <v>0.15</v>
      </c>
      <c r="U22" s="2" t="e">
        <f>#REF!</f>
        <v>#REF!</v>
      </c>
      <c r="V22">
        <f t="shared" si="2"/>
        <v>0.15000000000000005</v>
      </c>
      <c r="W22" s="2" t="e">
        <f>#REF!</f>
        <v>#REF!</v>
      </c>
      <c r="X22">
        <v>1</v>
      </c>
      <c r="Y22" s="2" t="e">
        <f>#REF!</f>
        <v>#REF!</v>
      </c>
      <c r="Z22">
        <v>1</v>
      </c>
      <c r="AA22" s="2" t="e">
        <f>#REF!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2FD3-2C87-D345-A16D-43280B164616}">
  <dimension ref="A1:B22"/>
  <sheetViews>
    <sheetView workbookViewId="0">
      <selection activeCell="B2" sqref="B2:B22"/>
    </sheetView>
  </sheetViews>
  <sheetFormatPr defaultColWidth="10.6640625" defaultRowHeight="15.5" x14ac:dyDescent="0.35"/>
  <sheetData>
    <row r="1" spans="1:2" x14ac:dyDescent="0.35">
      <c r="A1" t="s">
        <v>44</v>
      </c>
      <c r="B1" t="s">
        <v>58</v>
      </c>
    </row>
    <row r="2" spans="1:2" x14ac:dyDescent="0.35">
      <c r="A2">
        <v>2020</v>
      </c>
      <c r="B2">
        <f>Flow_data_Biomass!B2*0.5</f>
        <v>50</v>
      </c>
    </row>
    <row r="3" spans="1:2" x14ac:dyDescent="0.35">
      <c r="A3">
        <v>2021</v>
      </c>
      <c r="B3">
        <f>Flow_data_Biomass!B3*0.5</f>
        <v>55</v>
      </c>
    </row>
    <row r="4" spans="1:2" x14ac:dyDescent="0.35">
      <c r="A4">
        <v>2022</v>
      </c>
      <c r="B4">
        <f>Flow_data_Biomass!B4*0.5</f>
        <v>60</v>
      </c>
    </row>
    <row r="5" spans="1:2" x14ac:dyDescent="0.35">
      <c r="A5">
        <v>2023</v>
      </c>
      <c r="B5">
        <f>Flow_data_Biomass!B5*0.5</f>
        <v>65</v>
      </c>
    </row>
    <row r="6" spans="1:2" x14ac:dyDescent="0.35">
      <c r="A6">
        <v>2024</v>
      </c>
      <c r="B6">
        <f>Flow_data_Biomass!B6*0.5</f>
        <v>70</v>
      </c>
    </row>
    <row r="7" spans="1:2" x14ac:dyDescent="0.35">
      <c r="A7">
        <v>2025</v>
      </c>
      <c r="B7">
        <f>Flow_data_Biomass!B7*0.5</f>
        <v>75</v>
      </c>
    </row>
    <row r="8" spans="1:2" x14ac:dyDescent="0.35">
      <c r="A8">
        <v>2026</v>
      </c>
      <c r="B8">
        <f>Flow_data_Biomass!B8*0.5</f>
        <v>80</v>
      </c>
    </row>
    <row r="9" spans="1:2" x14ac:dyDescent="0.35">
      <c r="A9">
        <v>2027</v>
      </c>
      <c r="B9">
        <f>Flow_data_Biomass!B9*0.5</f>
        <v>85</v>
      </c>
    </row>
    <row r="10" spans="1:2" x14ac:dyDescent="0.35">
      <c r="A10">
        <v>2028</v>
      </c>
      <c r="B10">
        <f>Flow_data_Biomass!B10*0.5</f>
        <v>90</v>
      </c>
    </row>
    <row r="11" spans="1:2" x14ac:dyDescent="0.35">
      <c r="A11">
        <v>2029</v>
      </c>
      <c r="B11">
        <f>Flow_data_Biomass!B11*0.5</f>
        <v>95</v>
      </c>
    </row>
    <row r="12" spans="1:2" x14ac:dyDescent="0.35">
      <c r="A12">
        <v>2030</v>
      </c>
      <c r="B12">
        <f>Flow_data_Biomass!B12*0.5</f>
        <v>100</v>
      </c>
    </row>
    <row r="13" spans="1:2" x14ac:dyDescent="0.35">
      <c r="A13">
        <v>2031</v>
      </c>
      <c r="B13">
        <f>Flow_data_Biomass!B13*0.5</f>
        <v>5</v>
      </c>
    </row>
    <row r="14" spans="1:2" x14ac:dyDescent="0.35">
      <c r="A14">
        <v>2032</v>
      </c>
      <c r="B14">
        <f>Flow_data_Biomass!B14*0.5</f>
        <v>110</v>
      </c>
    </row>
    <row r="15" spans="1:2" x14ac:dyDescent="0.35">
      <c r="A15">
        <v>2033</v>
      </c>
      <c r="B15">
        <f>Flow_data_Biomass!B15*0.5</f>
        <v>115</v>
      </c>
    </row>
    <row r="16" spans="1:2" x14ac:dyDescent="0.35">
      <c r="A16">
        <v>2034</v>
      </c>
      <c r="B16">
        <f>Flow_data_Biomass!B16*0.5</f>
        <v>120</v>
      </c>
    </row>
    <row r="17" spans="1:2" x14ac:dyDescent="0.35">
      <c r="A17">
        <v>2035</v>
      </c>
      <c r="B17">
        <f>Flow_data_Biomass!B17*0.5</f>
        <v>125</v>
      </c>
    </row>
    <row r="18" spans="1:2" x14ac:dyDescent="0.35">
      <c r="A18">
        <v>2036</v>
      </c>
      <c r="B18">
        <f>Flow_data_Biomass!B18*0.5</f>
        <v>130</v>
      </c>
    </row>
    <row r="19" spans="1:2" x14ac:dyDescent="0.35">
      <c r="A19">
        <v>2037</v>
      </c>
      <c r="B19">
        <f>Flow_data_Biomass!B19*0.5</f>
        <v>135</v>
      </c>
    </row>
    <row r="20" spans="1:2" x14ac:dyDescent="0.35">
      <c r="A20">
        <v>2038</v>
      </c>
      <c r="B20">
        <f>Flow_data_Biomass!B20*0.5</f>
        <v>140</v>
      </c>
    </row>
    <row r="21" spans="1:2" x14ac:dyDescent="0.35">
      <c r="A21">
        <v>2039</v>
      </c>
      <c r="B21">
        <f>Flow_data_Biomass!B21*0.5</f>
        <v>145</v>
      </c>
    </row>
    <row r="22" spans="1:2" x14ac:dyDescent="0.35">
      <c r="A22">
        <v>2040</v>
      </c>
      <c r="B22">
        <f>Flow_data_Biomass!B22*0.5</f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E58F-09B4-FA47-B90C-06F3FD6D2BF2}">
  <dimension ref="A1:AB22"/>
  <sheetViews>
    <sheetView workbookViewId="0"/>
  </sheetViews>
  <sheetFormatPr defaultColWidth="10.6640625" defaultRowHeight="15.5" outlineLevelCol="1" x14ac:dyDescent="0.35"/>
  <cols>
    <col min="1" max="1" width="10.5" customWidth="1"/>
    <col min="3" max="3" width="10.83203125" style="2" hidden="1" customWidth="1" outlineLevel="1"/>
    <col min="4" max="4" width="10.83203125" collapsed="1"/>
    <col min="5" max="5" width="10.83203125" style="2" hidden="1" customWidth="1" outlineLevel="1"/>
    <col min="6" max="6" width="10.83203125" collapsed="1"/>
    <col min="7" max="7" width="10.83203125" style="2" hidden="1" customWidth="1" outlineLevel="1"/>
    <col min="8" max="8" width="10.83203125" collapsed="1"/>
    <col min="9" max="9" width="10.83203125" style="2" hidden="1" customWidth="1" outlineLevel="1"/>
    <col min="10" max="10" width="10.83203125" collapsed="1"/>
    <col min="11" max="11" width="10.83203125" style="2" hidden="1" customWidth="1" outlineLevel="1"/>
    <col min="12" max="12" width="10.83203125" collapsed="1"/>
    <col min="13" max="13" width="10.83203125" style="2" hidden="1" customWidth="1" outlineLevel="1"/>
    <col min="14" max="14" width="10.83203125" collapsed="1"/>
    <col min="15" max="15" width="10.83203125" style="2" hidden="1" customWidth="1" outlineLevel="1"/>
    <col min="16" max="16" width="10.83203125" collapsed="1"/>
    <col min="17" max="17" width="10.83203125" style="2" hidden="1" customWidth="1" outlineLevel="1"/>
    <col min="18" max="18" width="10.83203125" collapsed="1"/>
    <col min="19" max="19" width="10.83203125" style="2" hidden="1" customWidth="1" outlineLevel="1"/>
    <col min="20" max="20" width="10.83203125" collapsed="1"/>
    <col min="21" max="21" width="10.83203125" style="2" hidden="1" customWidth="1" outlineLevel="1"/>
    <col min="22" max="22" width="8.5" customWidth="1" collapsed="1"/>
    <col min="23" max="23" width="10.83203125" style="2" hidden="1" customWidth="1" outlineLevel="1"/>
    <col min="24" max="24" width="10.83203125" collapsed="1"/>
    <col min="25" max="25" width="10.83203125" style="2" hidden="1" customWidth="1" outlineLevel="1"/>
    <col min="26" max="26" width="10.83203125" collapsed="1"/>
    <col min="27" max="27" width="10.83203125" style="2" hidden="1" customWidth="1" outlineLevel="1"/>
    <col min="28" max="28" width="10.83203125" collapsed="1"/>
  </cols>
  <sheetData>
    <row r="1" spans="1:27" x14ac:dyDescent="0.35">
      <c r="A1" t="s">
        <v>44</v>
      </c>
      <c r="B1" t="s">
        <v>0</v>
      </c>
      <c r="C1" s="2" t="s">
        <v>45</v>
      </c>
      <c r="D1" t="s">
        <v>4</v>
      </c>
      <c r="E1" s="2" t="s">
        <v>47</v>
      </c>
      <c r="F1" t="s">
        <v>5</v>
      </c>
      <c r="G1" s="2" t="s">
        <v>48</v>
      </c>
      <c r="H1" t="s">
        <v>6</v>
      </c>
      <c r="I1" s="2" t="s">
        <v>49</v>
      </c>
      <c r="J1" t="s">
        <v>7</v>
      </c>
      <c r="K1" s="2" t="s">
        <v>50</v>
      </c>
      <c r="L1" t="s">
        <v>8</v>
      </c>
      <c r="M1" s="2" t="s">
        <v>51</v>
      </c>
      <c r="N1" t="s">
        <v>1</v>
      </c>
      <c r="O1" s="2" t="s">
        <v>52</v>
      </c>
      <c r="P1" t="s">
        <v>3</v>
      </c>
      <c r="Q1" s="2" t="s">
        <v>53</v>
      </c>
      <c r="R1" t="s">
        <v>2</v>
      </c>
      <c r="S1" s="2" t="s">
        <v>54</v>
      </c>
      <c r="T1" t="s">
        <v>9</v>
      </c>
      <c r="U1" s="2" t="s">
        <v>55</v>
      </c>
      <c r="V1" t="s">
        <v>10</v>
      </c>
      <c r="W1" s="2" t="s">
        <v>56</v>
      </c>
      <c r="X1" t="s">
        <v>11</v>
      </c>
      <c r="Y1" s="2" t="s">
        <v>57</v>
      </c>
      <c r="Z1" t="s">
        <v>12</v>
      </c>
      <c r="AA1" s="2" t="s">
        <v>46</v>
      </c>
    </row>
    <row r="2" spans="1:27" x14ac:dyDescent="0.35">
      <c r="A2">
        <v>2020</v>
      </c>
      <c r="B2">
        <f>1-D2</f>
        <v>0.5</v>
      </c>
      <c r="C2" s="2" t="e">
        <f>#REF!</f>
        <v>#REF!</v>
      </c>
      <c r="D2">
        <v>0.5</v>
      </c>
      <c r="E2" s="2" t="e">
        <f>#REF!</f>
        <v>#REF!</v>
      </c>
      <c r="F2">
        <v>0.3</v>
      </c>
      <c r="G2" s="2" t="e">
        <f>#REF!</f>
        <v>#REF!</v>
      </c>
      <c r="H2">
        <v>0.3</v>
      </c>
      <c r="I2" s="2" t="e">
        <f>#REF!</f>
        <v>#REF!</v>
      </c>
      <c r="J2">
        <v>0.1</v>
      </c>
      <c r="K2" s="2" t="e">
        <f>#REF!</f>
        <v>#REF!</v>
      </c>
      <c r="L2">
        <v>0.2</v>
      </c>
      <c r="M2" s="2" t="e">
        <f>#REF!</f>
        <v>#REF!</v>
      </c>
      <c r="N2">
        <f>1-(SUM(F2,H2,J2,L2))</f>
        <v>0.10000000000000009</v>
      </c>
      <c r="O2" s="2" t="e">
        <f>#REF!</f>
        <v>#REF!</v>
      </c>
      <c r="P2">
        <v>1</v>
      </c>
      <c r="Q2" s="2" t="e">
        <f>#REF!</f>
        <v>#REF!</v>
      </c>
      <c r="R2">
        <v>0.7</v>
      </c>
      <c r="S2" s="2" t="e">
        <f>#REF!</f>
        <v>#REF!</v>
      </c>
      <c r="T2">
        <v>0.15</v>
      </c>
      <c r="U2" s="2" t="e">
        <f>#REF!</f>
        <v>#REF!</v>
      </c>
      <c r="V2">
        <f>1-R2-T2</f>
        <v>0.15000000000000005</v>
      </c>
      <c r="W2" s="2" t="e">
        <f>#REF!</f>
        <v>#REF!</v>
      </c>
      <c r="X2">
        <v>1</v>
      </c>
      <c r="Y2" s="2" t="e">
        <f>#REF!</f>
        <v>#REF!</v>
      </c>
      <c r="Z2">
        <v>1</v>
      </c>
      <c r="AA2" s="2" t="e">
        <f>#REF!</f>
        <v>#REF!</v>
      </c>
    </row>
    <row r="3" spans="1:27" x14ac:dyDescent="0.35">
      <c r="A3">
        <v>2021</v>
      </c>
      <c r="B3">
        <f t="shared" ref="B3:B22" si="0">1-D3</f>
        <v>0.5</v>
      </c>
      <c r="C3" s="2" t="e">
        <f>#REF!</f>
        <v>#REF!</v>
      </c>
      <c r="D3">
        <v>0.5</v>
      </c>
      <c r="E3" s="2" t="e">
        <f>#REF!</f>
        <v>#REF!</v>
      </c>
      <c r="F3">
        <v>0.3</v>
      </c>
      <c r="G3" s="2" t="e">
        <f>#REF!</f>
        <v>#REF!</v>
      </c>
      <c r="H3">
        <v>0.3</v>
      </c>
      <c r="I3" s="2" t="e">
        <f>#REF!</f>
        <v>#REF!</v>
      </c>
      <c r="J3">
        <v>0.1</v>
      </c>
      <c r="K3" s="2" t="e">
        <f>#REF!</f>
        <v>#REF!</v>
      </c>
      <c r="L3">
        <v>0.2</v>
      </c>
      <c r="M3" s="2" t="e">
        <f>#REF!</f>
        <v>#REF!</v>
      </c>
      <c r="N3">
        <f t="shared" ref="N3:N22" si="1">1-(SUM(F3,H3,J3,L3))</f>
        <v>0.10000000000000009</v>
      </c>
      <c r="O3" s="2" t="e">
        <f>#REF!</f>
        <v>#REF!</v>
      </c>
      <c r="P3">
        <v>1</v>
      </c>
      <c r="Q3" s="2" t="e">
        <f>#REF!</f>
        <v>#REF!</v>
      </c>
      <c r="R3">
        <v>0.7</v>
      </c>
      <c r="S3" s="2" t="e">
        <f>#REF!</f>
        <v>#REF!</v>
      </c>
      <c r="T3">
        <v>0.15</v>
      </c>
      <c r="U3" s="2" t="e">
        <f>#REF!</f>
        <v>#REF!</v>
      </c>
      <c r="V3">
        <f t="shared" ref="V3:V22" si="2">1-R3-T3</f>
        <v>0.15000000000000005</v>
      </c>
      <c r="W3" s="2" t="e">
        <f>#REF!</f>
        <v>#REF!</v>
      </c>
      <c r="X3">
        <v>1</v>
      </c>
      <c r="Y3" s="2" t="e">
        <f>#REF!</f>
        <v>#REF!</v>
      </c>
      <c r="Z3">
        <v>1</v>
      </c>
      <c r="AA3" s="2" t="e">
        <f>#REF!</f>
        <v>#REF!</v>
      </c>
    </row>
    <row r="4" spans="1:27" x14ac:dyDescent="0.35">
      <c r="A4">
        <v>2022</v>
      </c>
      <c r="B4">
        <f t="shared" si="0"/>
        <v>0.5</v>
      </c>
      <c r="C4" s="2" t="e">
        <f>#REF!</f>
        <v>#REF!</v>
      </c>
      <c r="D4">
        <v>0.5</v>
      </c>
      <c r="E4" s="2" t="e">
        <f>#REF!</f>
        <v>#REF!</v>
      </c>
      <c r="F4">
        <v>0.3</v>
      </c>
      <c r="G4" s="2" t="e">
        <f>#REF!</f>
        <v>#REF!</v>
      </c>
      <c r="H4">
        <v>0.3</v>
      </c>
      <c r="I4" s="2" t="e">
        <f>#REF!</f>
        <v>#REF!</v>
      </c>
      <c r="J4">
        <v>0.1</v>
      </c>
      <c r="K4" s="2" t="e">
        <f>#REF!</f>
        <v>#REF!</v>
      </c>
      <c r="L4">
        <v>0.2</v>
      </c>
      <c r="M4" s="2" t="e">
        <f>#REF!</f>
        <v>#REF!</v>
      </c>
      <c r="N4">
        <f t="shared" si="1"/>
        <v>0.10000000000000009</v>
      </c>
      <c r="O4" s="2" t="e">
        <f>#REF!</f>
        <v>#REF!</v>
      </c>
      <c r="P4">
        <v>1</v>
      </c>
      <c r="Q4" s="2" t="e">
        <f>#REF!</f>
        <v>#REF!</v>
      </c>
      <c r="R4">
        <v>0.7</v>
      </c>
      <c r="S4" s="2" t="e">
        <f>#REF!</f>
        <v>#REF!</v>
      </c>
      <c r="T4">
        <v>0.15</v>
      </c>
      <c r="U4" s="2" t="e">
        <f>#REF!</f>
        <v>#REF!</v>
      </c>
      <c r="V4">
        <f t="shared" si="2"/>
        <v>0.15000000000000005</v>
      </c>
      <c r="W4" s="2" t="e">
        <f>#REF!</f>
        <v>#REF!</v>
      </c>
      <c r="X4">
        <v>1</v>
      </c>
      <c r="Y4" s="2" t="e">
        <f>#REF!</f>
        <v>#REF!</v>
      </c>
      <c r="Z4">
        <v>1</v>
      </c>
      <c r="AA4" s="2" t="e">
        <f>#REF!</f>
        <v>#REF!</v>
      </c>
    </row>
    <row r="5" spans="1:27" x14ac:dyDescent="0.35">
      <c r="A5">
        <v>2023</v>
      </c>
      <c r="B5">
        <f t="shared" si="0"/>
        <v>0.5</v>
      </c>
      <c r="C5" s="2" t="e">
        <f>#REF!</f>
        <v>#REF!</v>
      </c>
      <c r="D5">
        <v>0.5</v>
      </c>
      <c r="E5" s="2" t="e">
        <f>#REF!</f>
        <v>#REF!</v>
      </c>
      <c r="F5">
        <v>0.3</v>
      </c>
      <c r="G5" s="2" t="e">
        <f>#REF!</f>
        <v>#REF!</v>
      </c>
      <c r="H5">
        <v>0.3</v>
      </c>
      <c r="I5" s="2" t="e">
        <f>#REF!</f>
        <v>#REF!</v>
      </c>
      <c r="J5">
        <v>0.1</v>
      </c>
      <c r="K5" s="2" t="e">
        <f>#REF!</f>
        <v>#REF!</v>
      </c>
      <c r="L5">
        <v>0.2</v>
      </c>
      <c r="M5" s="2" t="e">
        <f>#REF!</f>
        <v>#REF!</v>
      </c>
      <c r="N5">
        <f t="shared" si="1"/>
        <v>0.10000000000000009</v>
      </c>
      <c r="O5" s="2" t="e">
        <f>#REF!</f>
        <v>#REF!</v>
      </c>
      <c r="P5">
        <v>1</v>
      </c>
      <c r="Q5" s="2" t="e">
        <f>#REF!</f>
        <v>#REF!</v>
      </c>
      <c r="R5">
        <v>0.7</v>
      </c>
      <c r="S5" s="2" t="e">
        <f>#REF!</f>
        <v>#REF!</v>
      </c>
      <c r="T5">
        <v>0.15</v>
      </c>
      <c r="U5" s="2" t="e">
        <f>#REF!</f>
        <v>#REF!</v>
      </c>
      <c r="V5">
        <f t="shared" si="2"/>
        <v>0.15000000000000005</v>
      </c>
      <c r="W5" s="2" t="e">
        <f>#REF!</f>
        <v>#REF!</v>
      </c>
      <c r="X5">
        <v>1</v>
      </c>
      <c r="Y5" s="2" t="e">
        <f>#REF!</f>
        <v>#REF!</v>
      </c>
      <c r="Z5">
        <v>1</v>
      </c>
      <c r="AA5" s="2" t="e">
        <f>#REF!</f>
        <v>#REF!</v>
      </c>
    </row>
    <row r="6" spans="1:27" x14ac:dyDescent="0.35">
      <c r="A6">
        <v>2024</v>
      </c>
      <c r="B6">
        <f t="shared" si="0"/>
        <v>0.5</v>
      </c>
      <c r="C6" s="2" t="e">
        <f>#REF!</f>
        <v>#REF!</v>
      </c>
      <c r="D6">
        <v>0.5</v>
      </c>
      <c r="E6" s="2" t="e">
        <f>#REF!</f>
        <v>#REF!</v>
      </c>
      <c r="F6">
        <v>0.3</v>
      </c>
      <c r="G6" s="2" t="e">
        <f>#REF!</f>
        <v>#REF!</v>
      </c>
      <c r="H6">
        <v>0.3</v>
      </c>
      <c r="I6" s="2" t="e">
        <f>#REF!</f>
        <v>#REF!</v>
      </c>
      <c r="J6">
        <v>0.1</v>
      </c>
      <c r="K6" s="2" t="e">
        <f>#REF!</f>
        <v>#REF!</v>
      </c>
      <c r="L6">
        <v>0.2</v>
      </c>
      <c r="M6" s="2" t="e">
        <f>#REF!</f>
        <v>#REF!</v>
      </c>
      <c r="N6">
        <f t="shared" si="1"/>
        <v>0.10000000000000009</v>
      </c>
      <c r="O6" s="2" t="e">
        <f>#REF!</f>
        <v>#REF!</v>
      </c>
      <c r="P6">
        <v>1</v>
      </c>
      <c r="Q6" s="2" t="e">
        <f>#REF!</f>
        <v>#REF!</v>
      </c>
      <c r="R6">
        <v>0.7</v>
      </c>
      <c r="S6" s="2" t="e">
        <f>#REF!</f>
        <v>#REF!</v>
      </c>
      <c r="T6">
        <v>0.15</v>
      </c>
      <c r="U6" s="2" t="e">
        <f>#REF!</f>
        <v>#REF!</v>
      </c>
      <c r="V6">
        <f t="shared" si="2"/>
        <v>0.15000000000000005</v>
      </c>
      <c r="W6" s="2" t="e">
        <f>#REF!</f>
        <v>#REF!</v>
      </c>
      <c r="X6">
        <v>1</v>
      </c>
      <c r="Y6" s="2" t="e">
        <f>#REF!</f>
        <v>#REF!</v>
      </c>
      <c r="Z6">
        <v>1</v>
      </c>
      <c r="AA6" s="2" t="e">
        <f>#REF!</f>
        <v>#REF!</v>
      </c>
    </row>
    <row r="7" spans="1:27" x14ac:dyDescent="0.35">
      <c r="A7">
        <v>2025</v>
      </c>
      <c r="B7">
        <f t="shared" si="0"/>
        <v>0.5</v>
      </c>
      <c r="C7" s="2" t="e">
        <f>#REF!</f>
        <v>#REF!</v>
      </c>
      <c r="D7">
        <v>0.5</v>
      </c>
      <c r="E7" s="2" t="e">
        <f>#REF!</f>
        <v>#REF!</v>
      </c>
      <c r="F7">
        <v>0.3</v>
      </c>
      <c r="G7" s="2" t="e">
        <f>#REF!</f>
        <v>#REF!</v>
      </c>
      <c r="H7">
        <v>0.3</v>
      </c>
      <c r="I7" s="2" t="e">
        <f>#REF!</f>
        <v>#REF!</v>
      </c>
      <c r="J7">
        <v>0.1</v>
      </c>
      <c r="K7" s="2" t="e">
        <f>#REF!</f>
        <v>#REF!</v>
      </c>
      <c r="L7">
        <v>0.2</v>
      </c>
      <c r="M7" s="2" t="e">
        <f>#REF!</f>
        <v>#REF!</v>
      </c>
      <c r="N7">
        <f t="shared" si="1"/>
        <v>0.10000000000000009</v>
      </c>
      <c r="O7" s="2" t="e">
        <f>#REF!</f>
        <v>#REF!</v>
      </c>
      <c r="P7">
        <v>1</v>
      </c>
      <c r="Q7" s="2" t="e">
        <f>#REF!</f>
        <v>#REF!</v>
      </c>
      <c r="R7">
        <v>0.7</v>
      </c>
      <c r="S7" s="2" t="e">
        <f>#REF!</f>
        <v>#REF!</v>
      </c>
      <c r="T7">
        <v>0.15</v>
      </c>
      <c r="U7" s="2" t="e">
        <f>#REF!</f>
        <v>#REF!</v>
      </c>
      <c r="V7">
        <f t="shared" si="2"/>
        <v>0.15000000000000005</v>
      </c>
      <c r="W7" s="2" t="e">
        <f>#REF!</f>
        <v>#REF!</v>
      </c>
      <c r="X7">
        <v>1</v>
      </c>
      <c r="Y7" s="2" t="e">
        <f>#REF!</f>
        <v>#REF!</v>
      </c>
      <c r="Z7">
        <v>1</v>
      </c>
      <c r="AA7" s="2" t="e">
        <f>#REF!</f>
        <v>#REF!</v>
      </c>
    </row>
    <row r="8" spans="1:27" x14ac:dyDescent="0.35">
      <c r="A8">
        <v>2026</v>
      </c>
      <c r="B8">
        <f t="shared" si="0"/>
        <v>0.5</v>
      </c>
      <c r="C8" s="2" t="e">
        <f>#REF!</f>
        <v>#REF!</v>
      </c>
      <c r="D8">
        <v>0.5</v>
      </c>
      <c r="E8" s="2" t="e">
        <f>#REF!</f>
        <v>#REF!</v>
      </c>
      <c r="F8">
        <v>0.3</v>
      </c>
      <c r="G8" s="2" t="e">
        <f>#REF!</f>
        <v>#REF!</v>
      </c>
      <c r="H8">
        <v>0.3</v>
      </c>
      <c r="I8" s="2" t="e">
        <f>#REF!</f>
        <v>#REF!</v>
      </c>
      <c r="J8">
        <v>0.1</v>
      </c>
      <c r="K8" s="2" t="e">
        <f>#REF!</f>
        <v>#REF!</v>
      </c>
      <c r="L8">
        <v>0.2</v>
      </c>
      <c r="M8" s="2" t="e">
        <f>#REF!</f>
        <v>#REF!</v>
      </c>
      <c r="N8">
        <f t="shared" si="1"/>
        <v>0.10000000000000009</v>
      </c>
      <c r="O8" s="2" t="e">
        <f>#REF!</f>
        <v>#REF!</v>
      </c>
      <c r="P8">
        <v>1</v>
      </c>
      <c r="Q8" s="2" t="e">
        <f>#REF!</f>
        <v>#REF!</v>
      </c>
      <c r="R8">
        <v>0.7</v>
      </c>
      <c r="S8" s="2" t="e">
        <f>#REF!</f>
        <v>#REF!</v>
      </c>
      <c r="T8">
        <v>0.15</v>
      </c>
      <c r="U8" s="2" t="e">
        <f>#REF!</f>
        <v>#REF!</v>
      </c>
      <c r="V8">
        <f t="shared" si="2"/>
        <v>0.15000000000000005</v>
      </c>
      <c r="W8" s="2" t="e">
        <f>#REF!</f>
        <v>#REF!</v>
      </c>
      <c r="X8">
        <v>1</v>
      </c>
      <c r="Y8" s="2" t="e">
        <f>#REF!</f>
        <v>#REF!</v>
      </c>
      <c r="Z8">
        <v>1</v>
      </c>
      <c r="AA8" s="2" t="e">
        <f>#REF!</f>
        <v>#REF!</v>
      </c>
    </row>
    <row r="9" spans="1:27" x14ac:dyDescent="0.35">
      <c r="A9">
        <v>2027</v>
      </c>
      <c r="B9">
        <f t="shared" si="0"/>
        <v>0.5</v>
      </c>
      <c r="C9" s="2" t="e">
        <f>#REF!</f>
        <v>#REF!</v>
      </c>
      <c r="D9">
        <v>0.5</v>
      </c>
      <c r="E9" s="2" t="e">
        <f>#REF!</f>
        <v>#REF!</v>
      </c>
      <c r="F9">
        <v>0.3</v>
      </c>
      <c r="G9" s="2" t="e">
        <f>#REF!</f>
        <v>#REF!</v>
      </c>
      <c r="H9">
        <v>0.3</v>
      </c>
      <c r="I9" s="2" t="e">
        <f>#REF!</f>
        <v>#REF!</v>
      </c>
      <c r="J9">
        <v>0.1</v>
      </c>
      <c r="K9" s="2" t="e">
        <f>#REF!</f>
        <v>#REF!</v>
      </c>
      <c r="L9">
        <v>0.2</v>
      </c>
      <c r="M9" s="2" t="e">
        <f>#REF!</f>
        <v>#REF!</v>
      </c>
      <c r="N9">
        <f t="shared" si="1"/>
        <v>0.10000000000000009</v>
      </c>
      <c r="O9" s="2" t="e">
        <f>#REF!</f>
        <v>#REF!</v>
      </c>
      <c r="P9">
        <v>1</v>
      </c>
      <c r="Q9" s="2" t="e">
        <f>#REF!</f>
        <v>#REF!</v>
      </c>
      <c r="R9">
        <v>0.7</v>
      </c>
      <c r="S9" s="2" t="e">
        <f>#REF!</f>
        <v>#REF!</v>
      </c>
      <c r="T9">
        <v>0.15</v>
      </c>
      <c r="U9" s="2" t="e">
        <f>#REF!</f>
        <v>#REF!</v>
      </c>
      <c r="V9">
        <f t="shared" si="2"/>
        <v>0.15000000000000005</v>
      </c>
      <c r="W9" s="2" t="e">
        <f>#REF!</f>
        <v>#REF!</v>
      </c>
      <c r="X9">
        <v>1</v>
      </c>
      <c r="Y9" s="2" t="e">
        <f>#REF!</f>
        <v>#REF!</v>
      </c>
      <c r="Z9">
        <v>1</v>
      </c>
      <c r="AA9" s="2" t="e">
        <f>#REF!</f>
        <v>#REF!</v>
      </c>
    </row>
    <row r="10" spans="1:27" x14ac:dyDescent="0.35">
      <c r="A10">
        <v>2028</v>
      </c>
      <c r="B10">
        <f t="shared" si="0"/>
        <v>0.5</v>
      </c>
      <c r="C10" s="2" t="e">
        <f>#REF!</f>
        <v>#REF!</v>
      </c>
      <c r="D10">
        <v>0.5</v>
      </c>
      <c r="E10" s="2" t="e">
        <f>#REF!</f>
        <v>#REF!</v>
      </c>
      <c r="F10">
        <v>0.3</v>
      </c>
      <c r="G10" s="2" t="e">
        <f>#REF!</f>
        <v>#REF!</v>
      </c>
      <c r="H10">
        <v>0.3</v>
      </c>
      <c r="I10" s="2" t="e">
        <f>#REF!</f>
        <v>#REF!</v>
      </c>
      <c r="J10">
        <v>0.1</v>
      </c>
      <c r="K10" s="2" t="e">
        <f>#REF!</f>
        <v>#REF!</v>
      </c>
      <c r="L10">
        <v>0.2</v>
      </c>
      <c r="M10" s="2" t="e">
        <f>#REF!</f>
        <v>#REF!</v>
      </c>
      <c r="N10">
        <f t="shared" si="1"/>
        <v>0.10000000000000009</v>
      </c>
      <c r="O10" s="2" t="e">
        <f>#REF!</f>
        <v>#REF!</v>
      </c>
      <c r="P10">
        <v>1</v>
      </c>
      <c r="Q10" s="2" t="e">
        <f>#REF!</f>
        <v>#REF!</v>
      </c>
      <c r="R10">
        <v>0.7</v>
      </c>
      <c r="S10" s="2" t="e">
        <f>#REF!</f>
        <v>#REF!</v>
      </c>
      <c r="T10">
        <v>0.15</v>
      </c>
      <c r="U10" s="2" t="e">
        <f>#REF!</f>
        <v>#REF!</v>
      </c>
      <c r="V10">
        <f t="shared" si="2"/>
        <v>0.15000000000000005</v>
      </c>
      <c r="W10" s="2" t="e">
        <f>#REF!</f>
        <v>#REF!</v>
      </c>
      <c r="X10">
        <v>1</v>
      </c>
      <c r="Y10" s="2" t="e">
        <f>#REF!</f>
        <v>#REF!</v>
      </c>
      <c r="Z10">
        <v>1</v>
      </c>
      <c r="AA10" s="2" t="e">
        <f>#REF!</f>
        <v>#REF!</v>
      </c>
    </row>
    <row r="11" spans="1:27" x14ac:dyDescent="0.35">
      <c r="A11">
        <v>2029</v>
      </c>
      <c r="B11">
        <f t="shared" si="0"/>
        <v>0.5</v>
      </c>
      <c r="C11" s="2" t="e">
        <f>#REF!</f>
        <v>#REF!</v>
      </c>
      <c r="D11">
        <v>0.5</v>
      </c>
      <c r="E11" s="2" t="e">
        <f>#REF!</f>
        <v>#REF!</v>
      </c>
      <c r="F11">
        <v>0.3</v>
      </c>
      <c r="G11" s="2" t="e">
        <f>#REF!</f>
        <v>#REF!</v>
      </c>
      <c r="H11">
        <v>0.3</v>
      </c>
      <c r="I11" s="2" t="e">
        <f>#REF!</f>
        <v>#REF!</v>
      </c>
      <c r="J11">
        <v>0.1</v>
      </c>
      <c r="K11" s="2" t="e">
        <f>#REF!</f>
        <v>#REF!</v>
      </c>
      <c r="L11">
        <v>0.2</v>
      </c>
      <c r="M11" s="2" t="e">
        <f>#REF!</f>
        <v>#REF!</v>
      </c>
      <c r="N11">
        <f t="shared" si="1"/>
        <v>0.10000000000000009</v>
      </c>
      <c r="O11" s="2" t="e">
        <f>#REF!</f>
        <v>#REF!</v>
      </c>
      <c r="P11">
        <v>1</v>
      </c>
      <c r="Q11" s="2" t="e">
        <f>#REF!</f>
        <v>#REF!</v>
      </c>
      <c r="R11">
        <v>0.7</v>
      </c>
      <c r="S11" s="2" t="e">
        <f>#REF!</f>
        <v>#REF!</v>
      </c>
      <c r="T11">
        <v>0.15</v>
      </c>
      <c r="U11" s="2" t="e">
        <f>#REF!</f>
        <v>#REF!</v>
      </c>
      <c r="V11">
        <f t="shared" si="2"/>
        <v>0.15000000000000005</v>
      </c>
      <c r="W11" s="2" t="e">
        <f>#REF!</f>
        <v>#REF!</v>
      </c>
      <c r="X11">
        <v>1</v>
      </c>
      <c r="Y11" s="2" t="e">
        <f>#REF!</f>
        <v>#REF!</v>
      </c>
      <c r="Z11">
        <v>1</v>
      </c>
      <c r="AA11" s="2" t="e">
        <f>#REF!</f>
        <v>#REF!</v>
      </c>
    </row>
    <row r="12" spans="1:27" x14ac:dyDescent="0.35">
      <c r="A12">
        <v>2030</v>
      </c>
      <c r="B12">
        <f t="shared" si="0"/>
        <v>0.5</v>
      </c>
      <c r="C12" s="2" t="e">
        <f>#REF!</f>
        <v>#REF!</v>
      </c>
      <c r="D12">
        <v>0.5</v>
      </c>
      <c r="E12" s="2" t="e">
        <f>#REF!</f>
        <v>#REF!</v>
      </c>
      <c r="F12">
        <v>0.3</v>
      </c>
      <c r="G12" s="2" t="e">
        <f>#REF!</f>
        <v>#REF!</v>
      </c>
      <c r="H12">
        <v>0.3</v>
      </c>
      <c r="I12" s="2" t="e">
        <f>#REF!</f>
        <v>#REF!</v>
      </c>
      <c r="J12">
        <v>0.1</v>
      </c>
      <c r="K12" s="2" t="e">
        <f>#REF!</f>
        <v>#REF!</v>
      </c>
      <c r="L12">
        <v>0.2</v>
      </c>
      <c r="M12" s="2" t="e">
        <f>#REF!</f>
        <v>#REF!</v>
      </c>
      <c r="N12">
        <f t="shared" si="1"/>
        <v>0.10000000000000009</v>
      </c>
      <c r="O12" s="2" t="e">
        <f>#REF!</f>
        <v>#REF!</v>
      </c>
      <c r="P12">
        <v>1</v>
      </c>
      <c r="Q12" s="2" t="e">
        <f>#REF!</f>
        <v>#REF!</v>
      </c>
      <c r="R12">
        <v>0.7</v>
      </c>
      <c r="S12" s="2" t="e">
        <f>#REF!</f>
        <v>#REF!</v>
      </c>
      <c r="T12">
        <v>0.15</v>
      </c>
      <c r="U12" s="2" t="e">
        <f>#REF!</f>
        <v>#REF!</v>
      </c>
      <c r="V12">
        <f t="shared" si="2"/>
        <v>0.15000000000000005</v>
      </c>
      <c r="W12" s="2" t="e">
        <f>#REF!</f>
        <v>#REF!</v>
      </c>
      <c r="X12">
        <v>1</v>
      </c>
      <c r="Y12" s="2" t="e">
        <f>#REF!</f>
        <v>#REF!</v>
      </c>
      <c r="Z12">
        <v>1</v>
      </c>
      <c r="AA12" s="2" t="e">
        <f>#REF!</f>
        <v>#REF!</v>
      </c>
    </row>
    <row r="13" spans="1:27" x14ac:dyDescent="0.35">
      <c r="A13">
        <v>2031</v>
      </c>
      <c r="B13">
        <f t="shared" si="0"/>
        <v>0.5</v>
      </c>
      <c r="C13" s="2" t="e">
        <f>#REF!</f>
        <v>#REF!</v>
      </c>
      <c r="D13">
        <v>0.5</v>
      </c>
      <c r="E13" s="2" t="e">
        <f>#REF!</f>
        <v>#REF!</v>
      </c>
      <c r="F13">
        <v>0.3</v>
      </c>
      <c r="G13" s="2" t="e">
        <f>#REF!</f>
        <v>#REF!</v>
      </c>
      <c r="H13">
        <v>0.3</v>
      </c>
      <c r="I13" s="2" t="e">
        <f>#REF!</f>
        <v>#REF!</v>
      </c>
      <c r="J13">
        <v>0.1</v>
      </c>
      <c r="K13" s="2" t="e">
        <f>#REF!</f>
        <v>#REF!</v>
      </c>
      <c r="L13">
        <v>0.2</v>
      </c>
      <c r="M13" s="2" t="e">
        <f>#REF!</f>
        <v>#REF!</v>
      </c>
      <c r="N13">
        <f t="shared" si="1"/>
        <v>0.10000000000000009</v>
      </c>
      <c r="O13" s="2" t="e">
        <f>#REF!</f>
        <v>#REF!</v>
      </c>
      <c r="P13">
        <v>1</v>
      </c>
      <c r="Q13" s="2" t="e">
        <f>#REF!</f>
        <v>#REF!</v>
      </c>
      <c r="R13">
        <v>0.7</v>
      </c>
      <c r="S13" s="2" t="e">
        <f>#REF!</f>
        <v>#REF!</v>
      </c>
      <c r="T13">
        <v>0.15</v>
      </c>
      <c r="U13" s="2" t="e">
        <f>#REF!</f>
        <v>#REF!</v>
      </c>
      <c r="V13">
        <f t="shared" si="2"/>
        <v>0.15000000000000005</v>
      </c>
      <c r="W13" s="2" t="e">
        <f>#REF!</f>
        <v>#REF!</v>
      </c>
      <c r="X13">
        <v>1</v>
      </c>
      <c r="Y13" s="2" t="e">
        <f>#REF!</f>
        <v>#REF!</v>
      </c>
      <c r="Z13">
        <v>1</v>
      </c>
      <c r="AA13" s="2" t="e">
        <f>#REF!</f>
        <v>#REF!</v>
      </c>
    </row>
    <row r="14" spans="1:27" x14ac:dyDescent="0.35">
      <c r="A14">
        <v>2032</v>
      </c>
      <c r="B14">
        <f t="shared" si="0"/>
        <v>0.5</v>
      </c>
      <c r="C14" s="2" t="e">
        <f>#REF!</f>
        <v>#REF!</v>
      </c>
      <c r="D14">
        <v>0.5</v>
      </c>
      <c r="E14" s="2" t="e">
        <f>#REF!</f>
        <v>#REF!</v>
      </c>
      <c r="F14">
        <v>0.3</v>
      </c>
      <c r="G14" s="2" t="e">
        <f>#REF!</f>
        <v>#REF!</v>
      </c>
      <c r="H14">
        <v>0.3</v>
      </c>
      <c r="I14" s="2" t="e">
        <f>#REF!</f>
        <v>#REF!</v>
      </c>
      <c r="J14">
        <v>0.1</v>
      </c>
      <c r="K14" s="2" t="e">
        <f>#REF!</f>
        <v>#REF!</v>
      </c>
      <c r="L14">
        <v>0.2</v>
      </c>
      <c r="M14" s="2" t="e">
        <f>#REF!</f>
        <v>#REF!</v>
      </c>
      <c r="N14">
        <f t="shared" si="1"/>
        <v>0.10000000000000009</v>
      </c>
      <c r="O14" s="2" t="e">
        <f>#REF!</f>
        <v>#REF!</v>
      </c>
      <c r="P14">
        <v>1</v>
      </c>
      <c r="Q14" s="2" t="e">
        <f>#REF!</f>
        <v>#REF!</v>
      </c>
      <c r="R14">
        <v>0.7</v>
      </c>
      <c r="S14" s="2" t="e">
        <f>#REF!</f>
        <v>#REF!</v>
      </c>
      <c r="T14">
        <v>0.15</v>
      </c>
      <c r="U14" s="2" t="e">
        <f>#REF!</f>
        <v>#REF!</v>
      </c>
      <c r="V14">
        <f t="shared" si="2"/>
        <v>0.15000000000000005</v>
      </c>
      <c r="W14" s="2" t="e">
        <f>#REF!</f>
        <v>#REF!</v>
      </c>
      <c r="X14">
        <v>1</v>
      </c>
      <c r="Y14" s="2" t="e">
        <f>#REF!</f>
        <v>#REF!</v>
      </c>
      <c r="Z14">
        <v>1</v>
      </c>
      <c r="AA14" s="2" t="e">
        <f>#REF!</f>
        <v>#REF!</v>
      </c>
    </row>
    <row r="15" spans="1:27" x14ac:dyDescent="0.35">
      <c r="A15">
        <v>2033</v>
      </c>
      <c r="B15">
        <f t="shared" si="0"/>
        <v>0.5</v>
      </c>
      <c r="C15" s="2" t="e">
        <f>#REF!</f>
        <v>#REF!</v>
      </c>
      <c r="D15">
        <v>0.5</v>
      </c>
      <c r="E15" s="2" t="e">
        <f>#REF!</f>
        <v>#REF!</v>
      </c>
      <c r="F15">
        <v>0.3</v>
      </c>
      <c r="G15" s="2" t="e">
        <f>#REF!</f>
        <v>#REF!</v>
      </c>
      <c r="H15">
        <v>0.3</v>
      </c>
      <c r="I15" s="2" t="e">
        <f>#REF!</f>
        <v>#REF!</v>
      </c>
      <c r="J15">
        <v>0.1</v>
      </c>
      <c r="K15" s="2" t="e">
        <f>#REF!</f>
        <v>#REF!</v>
      </c>
      <c r="L15">
        <v>0.2</v>
      </c>
      <c r="M15" s="2" t="e">
        <f>#REF!</f>
        <v>#REF!</v>
      </c>
      <c r="N15">
        <f t="shared" si="1"/>
        <v>0.10000000000000009</v>
      </c>
      <c r="O15" s="2" t="e">
        <f>#REF!</f>
        <v>#REF!</v>
      </c>
      <c r="P15">
        <v>1</v>
      </c>
      <c r="Q15" s="2" t="e">
        <f>#REF!</f>
        <v>#REF!</v>
      </c>
      <c r="R15">
        <v>0.7</v>
      </c>
      <c r="S15" s="2" t="e">
        <f>#REF!</f>
        <v>#REF!</v>
      </c>
      <c r="T15">
        <v>0.15</v>
      </c>
      <c r="U15" s="2" t="e">
        <f>#REF!</f>
        <v>#REF!</v>
      </c>
      <c r="V15">
        <f t="shared" si="2"/>
        <v>0.15000000000000005</v>
      </c>
      <c r="W15" s="2" t="e">
        <f>#REF!</f>
        <v>#REF!</v>
      </c>
      <c r="X15">
        <v>1</v>
      </c>
      <c r="Y15" s="2" t="e">
        <f>#REF!</f>
        <v>#REF!</v>
      </c>
      <c r="Z15">
        <v>1</v>
      </c>
      <c r="AA15" s="2" t="e">
        <f>#REF!</f>
        <v>#REF!</v>
      </c>
    </row>
    <row r="16" spans="1:27" x14ac:dyDescent="0.35">
      <c r="A16">
        <v>2034</v>
      </c>
      <c r="B16">
        <f t="shared" si="0"/>
        <v>0.5</v>
      </c>
      <c r="C16" s="2" t="e">
        <f>#REF!</f>
        <v>#REF!</v>
      </c>
      <c r="D16">
        <v>0.5</v>
      </c>
      <c r="E16" s="2" t="e">
        <f>#REF!</f>
        <v>#REF!</v>
      </c>
      <c r="F16">
        <v>0.3</v>
      </c>
      <c r="G16" s="2" t="e">
        <f>#REF!</f>
        <v>#REF!</v>
      </c>
      <c r="H16">
        <v>0.3</v>
      </c>
      <c r="I16" s="2" t="e">
        <f>#REF!</f>
        <v>#REF!</v>
      </c>
      <c r="J16">
        <v>0.1</v>
      </c>
      <c r="K16" s="2" t="e">
        <f>#REF!</f>
        <v>#REF!</v>
      </c>
      <c r="L16">
        <v>0.2</v>
      </c>
      <c r="M16" s="2" t="e">
        <f>#REF!</f>
        <v>#REF!</v>
      </c>
      <c r="N16">
        <f t="shared" si="1"/>
        <v>0.10000000000000009</v>
      </c>
      <c r="O16" s="2" t="e">
        <f>#REF!</f>
        <v>#REF!</v>
      </c>
      <c r="P16">
        <v>1</v>
      </c>
      <c r="Q16" s="2" t="e">
        <f>#REF!</f>
        <v>#REF!</v>
      </c>
      <c r="R16">
        <v>0.7</v>
      </c>
      <c r="S16" s="2" t="e">
        <f>#REF!</f>
        <v>#REF!</v>
      </c>
      <c r="T16">
        <v>0.15</v>
      </c>
      <c r="U16" s="2" t="e">
        <f>#REF!</f>
        <v>#REF!</v>
      </c>
      <c r="V16">
        <f t="shared" si="2"/>
        <v>0.15000000000000005</v>
      </c>
      <c r="W16" s="2" t="e">
        <f>#REF!</f>
        <v>#REF!</v>
      </c>
      <c r="X16">
        <v>1</v>
      </c>
      <c r="Y16" s="2" t="e">
        <f>#REF!</f>
        <v>#REF!</v>
      </c>
      <c r="Z16">
        <v>1</v>
      </c>
      <c r="AA16" s="2" t="e">
        <f>#REF!</f>
        <v>#REF!</v>
      </c>
    </row>
    <row r="17" spans="1:27" x14ac:dyDescent="0.35">
      <c r="A17">
        <v>2035</v>
      </c>
      <c r="B17">
        <f t="shared" si="0"/>
        <v>0.5</v>
      </c>
      <c r="C17" s="2" t="e">
        <f>#REF!</f>
        <v>#REF!</v>
      </c>
      <c r="D17">
        <v>0.5</v>
      </c>
      <c r="E17" s="2" t="e">
        <f>#REF!</f>
        <v>#REF!</v>
      </c>
      <c r="F17">
        <v>0.3</v>
      </c>
      <c r="G17" s="2" t="e">
        <f>#REF!</f>
        <v>#REF!</v>
      </c>
      <c r="H17">
        <v>0.3</v>
      </c>
      <c r="I17" s="2" t="e">
        <f>#REF!</f>
        <v>#REF!</v>
      </c>
      <c r="J17">
        <v>0.1</v>
      </c>
      <c r="K17" s="2" t="e">
        <f>#REF!</f>
        <v>#REF!</v>
      </c>
      <c r="L17">
        <v>0.2</v>
      </c>
      <c r="M17" s="2" t="e">
        <f>#REF!</f>
        <v>#REF!</v>
      </c>
      <c r="N17">
        <f t="shared" si="1"/>
        <v>0.10000000000000009</v>
      </c>
      <c r="O17" s="2" t="e">
        <f>#REF!</f>
        <v>#REF!</v>
      </c>
      <c r="P17">
        <v>1</v>
      </c>
      <c r="Q17" s="2" t="e">
        <f>#REF!</f>
        <v>#REF!</v>
      </c>
      <c r="R17">
        <v>0.7</v>
      </c>
      <c r="S17" s="2" t="e">
        <f>#REF!</f>
        <v>#REF!</v>
      </c>
      <c r="T17">
        <v>0.15</v>
      </c>
      <c r="U17" s="2" t="e">
        <f>#REF!</f>
        <v>#REF!</v>
      </c>
      <c r="V17">
        <f t="shared" si="2"/>
        <v>0.15000000000000005</v>
      </c>
      <c r="W17" s="2" t="e">
        <f>#REF!</f>
        <v>#REF!</v>
      </c>
      <c r="X17">
        <v>1</v>
      </c>
      <c r="Y17" s="2" t="e">
        <f>#REF!</f>
        <v>#REF!</v>
      </c>
      <c r="Z17">
        <v>1</v>
      </c>
      <c r="AA17" s="2" t="e">
        <f>#REF!</f>
        <v>#REF!</v>
      </c>
    </row>
    <row r="18" spans="1:27" x14ac:dyDescent="0.35">
      <c r="A18">
        <v>2036</v>
      </c>
      <c r="B18">
        <f t="shared" si="0"/>
        <v>0.5</v>
      </c>
      <c r="C18" s="2" t="e">
        <f>#REF!</f>
        <v>#REF!</v>
      </c>
      <c r="D18">
        <v>0.5</v>
      </c>
      <c r="E18" s="2" t="e">
        <f>#REF!</f>
        <v>#REF!</v>
      </c>
      <c r="F18">
        <v>0.3</v>
      </c>
      <c r="G18" s="2" t="e">
        <f>#REF!</f>
        <v>#REF!</v>
      </c>
      <c r="H18">
        <v>0.3</v>
      </c>
      <c r="I18" s="2" t="e">
        <f>#REF!</f>
        <v>#REF!</v>
      </c>
      <c r="J18">
        <v>0.1</v>
      </c>
      <c r="K18" s="2" t="e">
        <f>#REF!</f>
        <v>#REF!</v>
      </c>
      <c r="L18">
        <v>0.2</v>
      </c>
      <c r="M18" s="2" t="e">
        <f>#REF!</f>
        <v>#REF!</v>
      </c>
      <c r="N18">
        <f t="shared" si="1"/>
        <v>0.10000000000000009</v>
      </c>
      <c r="O18" s="2" t="e">
        <f>#REF!</f>
        <v>#REF!</v>
      </c>
      <c r="P18">
        <v>1</v>
      </c>
      <c r="Q18" s="2" t="e">
        <f>#REF!</f>
        <v>#REF!</v>
      </c>
      <c r="R18">
        <v>0.7</v>
      </c>
      <c r="S18" s="2" t="e">
        <f>#REF!</f>
        <v>#REF!</v>
      </c>
      <c r="T18">
        <v>0.15</v>
      </c>
      <c r="U18" s="2" t="e">
        <f>#REF!</f>
        <v>#REF!</v>
      </c>
      <c r="V18">
        <f t="shared" si="2"/>
        <v>0.15000000000000005</v>
      </c>
      <c r="W18" s="2" t="e">
        <f>#REF!</f>
        <v>#REF!</v>
      </c>
      <c r="X18">
        <v>1</v>
      </c>
      <c r="Y18" s="2" t="e">
        <f>#REF!</f>
        <v>#REF!</v>
      </c>
      <c r="Z18">
        <v>1</v>
      </c>
      <c r="AA18" s="2" t="e">
        <f>#REF!</f>
        <v>#REF!</v>
      </c>
    </row>
    <row r="19" spans="1:27" x14ac:dyDescent="0.35">
      <c r="A19">
        <v>2037</v>
      </c>
      <c r="B19">
        <f t="shared" si="0"/>
        <v>0.5</v>
      </c>
      <c r="C19" s="2" t="e">
        <f>#REF!</f>
        <v>#REF!</v>
      </c>
      <c r="D19">
        <v>0.5</v>
      </c>
      <c r="E19" s="2" t="e">
        <f>#REF!</f>
        <v>#REF!</v>
      </c>
      <c r="F19">
        <v>0.3</v>
      </c>
      <c r="G19" s="2" t="e">
        <f>#REF!</f>
        <v>#REF!</v>
      </c>
      <c r="H19">
        <v>0.3</v>
      </c>
      <c r="I19" s="2" t="e">
        <f>#REF!</f>
        <v>#REF!</v>
      </c>
      <c r="J19">
        <v>0.1</v>
      </c>
      <c r="K19" s="2" t="e">
        <f>#REF!</f>
        <v>#REF!</v>
      </c>
      <c r="L19">
        <v>0.2</v>
      </c>
      <c r="M19" s="2" t="e">
        <f>#REF!</f>
        <v>#REF!</v>
      </c>
      <c r="N19">
        <f t="shared" si="1"/>
        <v>0.10000000000000009</v>
      </c>
      <c r="O19" s="2" t="e">
        <f>#REF!</f>
        <v>#REF!</v>
      </c>
      <c r="P19">
        <v>1</v>
      </c>
      <c r="Q19" s="2" t="e">
        <f>#REF!</f>
        <v>#REF!</v>
      </c>
      <c r="R19">
        <v>0.7</v>
      </c>
      <c r="S19" s="2" t="e">
        <f>#REF!</f>
        <v>#REF!</v>
      </c>
      <c r="T19">
        <v>0.15</v>
      </c>
      <c r="U19" s="2" t="e">
        <f>#REF!</f>
        <v>#REF!</v>
      </c>
      <c r="V19">
        <f t="shared" si="2"/>
        <v>0.15000000000000005</v>
      </c>
      <c r="W19" s="2" t="e">
        <f>#REF!</f>
        <v>#REF!</v>
      </c>
      <c r="X19">
        <v>1</v>
      </c>
      <c r="Y19" s="2" t="e">
        <f>#REF!</f>
        <v>#REF!</v>
      </c>
      <c r="Z19">
        <v>1</v>
      </c>
      <c r="AA19" s="2" t="e">
        <f>#REF!</f>
        <v>#REF!</v>
      </c>
    </row>
    <row r="20" spans="1:27" x14ac:dyDescent="0.35">
      <c r="A20">
        <v>2038</v>
      </c>
      <c r="B20">
        <f t="shared" si="0"/>
        <v>0.5</v>
      </c>
      <c r="C20" s="2" t="e">
        <f>#REF!</f>
        <v>#REF!</v>
      </c>
      <c r="D20">
        <v>0.5</v>
      </c>
      <c r="E20" s="2" t="e">
        <f>#REF!</f>
        <v>#REF!</v>
      </c>
      <c r="F20">
        <v>0.3</v>
      </c>
      <c r="G20" s="2" t="e">
        <f>#REF!</f>
        <v>#REF!</v>
      </c>
      <c r="H20">
        <v>0.3</v>
      </c>
      <c r="I20" s="2" t="e">
        <f>#REF!</f>
        <v>#REF!</v>
      </c>
      <c r="J20">
        <v>0.1</v>
      </c>
      <c r="K20" s="2" t="e">
        <f>#REF!</f>
        <v>#REF!</v>
      </c>
      <c r="L20">
        <v>0.2</v>
      </c>
      <c r="M20" s="2" t="e">
        <f>#REF!</f>
        <v>#REF!</v>
      </c>
      <c r="N20">
        <f t="shared" si="1"/>
        <v>0.10000000000000009</v>
      </c>
      <c r="O20" s="2" t="e">
        <f>#REF!</f>
        <v>#REF!</v>
      </c>
      <c r="P20">
        <v>1</v>
      </c>
      <c r="Q20" s="2" t="e">
        <f>#REF!</f>
        <v>#REF!</v>
      </c>
      <c r="R20">
        <v>0.7</v>
      </c>
      <c r="S20" s="2" t="e">
        <f>#REF!</f>
        <v>#REF!</v>
      </c>
      <c r="T20">
        <v>0.15</v>
      </c>
      <c r="U20" s="2" t="e">
        <f>#REF!</f>
        <v>#REF!</v>
      </c>
      <c r="V20">
        <f t="shared" si="2"/>
        <v>0.15000000000000005</v>
      </c>
      <c r="W20" s="2" t="e">
        <f>#REF!</f>
        <v>#REF!</v>
      </c>
      <c r="X20">
        <v>1</v>
      </c>
      <c r="Y20" s="2" t="e">
        <f>#REF!</f>
        <v>#REF!</v>
      </c>
      <c r="Z20">
        <v>1</v>
      </c>
      <c r="AA20" s="2" t="e">
        <f>#REF!</f>
        <v>#REF!</v>
      </c>
    </row>
    <row r="21" spans="1:27" x14ac:dyDescent="0.35">
      <c r="A21">
        <v>2039</v>
      </c>
      <c r="B21">
        <f t="shared" si="0"/>
        <v>0.5</v>
      </c>
      <c r="C21" s="2" t="e">
        <f>#REF!</f>
        <v>#REF!</v>
      </c>
      <c r="D21">
        <v>0.5</v>
      </c>
      <c r="E21" s="2" t="e">
        <f>#REF!</f>
        <v>#REF!</v>
      </c>
      <c r="F21">
        <v>0.3</v>
      </c>
      <c r="G21" s="2" t="e">
        <f>#REF!</f>
        <v>#REF!</v>
      </c>
      <c r="H21">
        <v>0.3</v>
      </c>
      <c r="I21" s="2" t="e">
        <f>#REF!</f>
        <v>#REF!</v>
      </c>
      <c r="J21">
        <v>0.1</v>
      </c>
      <c r="K21" s="2" t="e">
        <f>#REF!</f>
        <v>#REF!</v>
      </c>
      <c r="L21">
        <v>0.2</v>
      </c>
      <c r="M21" s="2" t="e">
        <f>#REF!</f>
        <v>#REF!</v>
      </c>
      <c r="N21">
        <f t="shared" si="1"/>
        <v>0.10000000000000009</v>
      </c>
      <c r="O21" s="2" t="e">
        <f>#REF!</f>
        <v>#REF!</v>
      </c>
      <c r="P21">
        <v>1</v>
      </c>
      <c r="Q21" s="2" t="e">
        <f>#REF!</f>
        <v>#REF!</v>
      </c>
      <c r="R21">
        <v>0.7</v>
      </c>
      <c r="S21" s="2" t="e">
        <f>#REF!</f>
        <v>#REF!</v>
      </c>
      <c r="T21">
        <v>0.15</v>
      </c>
      <c r="U21" s="2" t="e">
        <f>#REF!</f>
        <v>#REF!</v>
      </c>
      <c r="V21">
        <f t="shared" si="2"/>
        <v>0.15000000000000005</v>
      </c>
      <c r="W21" s="2" t="e">
        <f>#REF!</f>
        <v>#REF!</v>
      </c>
      <c r="X21">
        <v>1</v>
      </c>
      <c r="Y21" s="2" t="e">
        <f>#REF!</f>
        <v>#REF!</v>
      </c>
      <c r="Z21">
        <v>1</v>
      </c>
      <c r="AA21" s="2" t="e">
        <f>#REF!</f>
        <v>#REF!</v>
      </c>
    </row>
    <row r="22" spans="1:27" x14ac:dyDescent="0.35">
      <c r="A22">
        <v>2040</v>
      </c>
      <c r="B22">
        <f t="shared" si="0"/>
        <v>0.5</v>
      </c>
      <c r="C22" s="2" t="e">
        <f>#REF!</f>
        <v>#REF!</v>
      </c>
      <c r="D22">
        <v>0.5</v>
      </c>
      <c r="E22" s="2" t="e">
        <f>#REF!</f>
        <v>#REF!</v>
      </c>
      <c r="F22">
        <v>0.3</v>
      </c>
      <c r="G22" s="2" t="e">
        <f>#REF!</f>
        <v>#REF!</v>
      </c>
      <c r="H22">
        <v>0.3</v>
      </c>
      <c r="I22" s="2" t="e">
        <f>#REF!</f>
        <v>#REF!</v>
      </c>
      <c r="J22">
        <v>0.1</v>
      </c>
      <c r="K22" s="2" t="e">
        <f>#REF!</f>
        <v>#REF!</v>
      </c>
      <c r="L22">
        <v>0.2</v>
      </c>
      <c r="M22" s="2" t="e">
        <f>#REF!</f>
        <v>#REF!</v>
      </c>
      <c r="N22">
        <f t="shared" si="1"/>
        <v>0.10000000000000009</v>
      </c>
      <c r="O22" s="2" t="e">
        <f>#REF!</f>
        <v>#REF!</v>
      </c>
      <c r="P22">
        <v>1</v>
      </c>
      <c r="Q22" s="2" t="e">
        <f>#REF!</f>
        <v>#REF!</v>
      </c>
      <c r="R22">
        <v>0.7</v>
      </c>
      <c r="S22" s="2" t="e">
        <f>#REF!</f>
        <v>#REF!</v>
      </c>
      <c r="T22">
        <v>0.15</v>
      </c>
      <c r="U22" s="2" t="e">
        <f>#REF!</f>
        <v>#REF!</v>
      </c>
      <c r="V22">
        <f t="shared" si="2"/>
        <v>0.15000000000000005</v>
      </c>
      <c r="W22" s="2" t="e">
        <f>#REF!</f>
        <v>#REF!</v>
      </c>
      <c r="X22">
        <v>1</v>
      </c>
      <c r="Y22" s="2" t="e">
        <f>#REF!</f>
        <v>#REF!</v>
      </c>
      <c r="Z22">
        <v>1</v>
      </c>
      <c r="AA22" s="2" t="e">
        <f>#REF!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94B1-5EE6-204E-8A48-076AA507860B}">
  <dimension ref="A1:AB22"/>
  <sheetViews>
    <sheetView topLeftCell="N1" zoomScale="85" zoomScaleNormal="85" workbookViewId="0">
      <selection activeCell="S2" sqref="S2:AB22"/>
    </sheetView>
  </sheetViews>
  <sheetFormatPr defaultColWidth="10.6640625" defaultRowHeight="15.5" outlineLevelCol="1" x14ac:dyDescent="0.35"/>
  <cols>
    <col min="9" max="9" width="0" hidden="1" customWidth="1" outlineLevel="1"/>
    <col min="10" max="10" width="10.83203125" collapsed="1"/>
  </cols>
  <sheetData>
    <row r="1" spans="1:28" x14ac:dyDescent="0.35">
      <c r="A1" t="s">
        <v>44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26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35</v>
      </c>
      <c r="S1" t="s">
        <v>34</v>
      </c>
      <c r="T1" t="s">
        <v>33</v>
      </c>
      <c r="U1" t="s">
        <v>38</v>
      </c>
      <c r="V1" t="s">
        <v>36</v>
      </c>
      <c r="W1" t="s">
        <v>37</v>
      </c>
      <c r="X1" t="s">
        <v>39</v>
      </c>
      <c r="Y1" t="s">
        <v>43</v>
      </c>
      <c r="Z1" t="s">
        <v>42</v>
      </c>
      <c r="AA1" t="s">
        <v>41</v>
      </c>
      <c r="AB1" t="s">
        <v>40</v>
      </c>
    </row>
    <row r="2" spans="1:28" x14ac:dyDescent="0.35">
      <c r="A2">
        <v>2020</v>
      </c>
      <c r="B2" s="3">
        <f>Flow_data_Biomass!B2*TC_data_Biomass!B2</f>
        <v>50</v>
      </c>
      <c r="C2" s="3">
        <f>Flow_data_Biomass!B2*TC_data_Biomass!D2</f>
        <v>50</v>
      </c>
      <c r="D2" s="3">
        <f>C2*TC_data_Biomass!F2</f>
        <v>15</v>
      </c>
      <c r="E2" s="3">
        <f>C2*TC_data_Biomass!H2</f>
        <v>15</v>
      </c>
      <c r="F2" s="3">
        <f>C2*TC_data_Biomass!J2</f>
        <v>5</v>
      </c>
      <c r="G2" s="3">
        <f>C2*TC_data_Biomass!L2</f>
        <v>10</v>
      </c>
      <c r="H2" s="3">
        <f>C2*TC_data_Biomass!N2</f>
        <v>5.0000000000000044</v>
      </c>
      <c r="I2" s="3">
        <f>SUM(D2:H2)-C2</f>
        <v>0</v>
      </c>
      <c r="J2" s="3">
        <f>D2*TC_data_Biomass!P2</f>
        <v>15</v>
      </c>
      <c r="K2" s="3">
        <f>E2*TC_data_Biomass!R2</f>
        <v>10.5</v>
      </c>
      <c r="L2" s="3">
        <f>E2*TC_data_Biomass!T2</f>
        <v>2.25</v>
      </c>
      <c r="M2" s="3">
        <f>E2*TC_data_Biomass!V2</f>
        <v>2.2500000000000009</v>
      </c>
      <c r="N2" s="3">
        <f>F2*TC_data_Biomass!X2</f>
        <v>5</v>
      </c>
      <c r="O2" s="3">
        <f>G2*TC_data_Biomass!Z2</f>
        <v>10</v>
      </c>
      <c r="P2" s="3">
        <f>Model_validation_Carbon!P2</f>
        <v>0</v>
      </c>
      <c r="Q2" s="3"/>
      <c r="R2" s="3"/>
      <c r="S2" s="3">
        <f t="shared" ref="S2:S22" si="0">B2</f>
        <v>50</v>
      </c>
      <c r="T2" s="3">
        <f>SUM($S$2:S2)</f>
        <v>50</v>
      </c>
      <c r="U2" s="3">
        <f t="shared" ref="U2:U22" si="1">H2</f>
        <v>5.0000000000000044</v>
      </c>
      <c r="V2" s="3">
        <f>SUM($U$2:U2)</f>
        <v>5.0000000000000044</v>
      </c>
      <c r="W2" s="3">
        <f t="shared" ref="W2:W22" si="2">J2+K2-P2</f>
        <v>25.5</v>
      </c>
      <c r="X2" s="3">
        <f>SUM($W$2:W2)</f>
        <v>25.5</v>
      </c>
      <c r="Y2" s="3">
        <f t="shared" ref="Y2:Y22" si="3">O2+P2+N2+L2</f>
        <v>17.25</v>
      </c>
      <c r="Z2" s="3">
        <f>SUM($Y$2:Y2)</f>
        <v>17.25</v>
      </c>
      <c r="AA2" s="3">
        <f t="shared" ref="AA2:AA22" si="4">M2</f>
        <v>2.2500000000000009</v>
      </c>
      <c r="AB2" s="3">
        <f>SUM($AA$2:AA2)</f>
        <v>2.2500000000000009</v>
      </c>
    </row>
    <row r="3" spans="1:28" x14ac:dyDescent="0.35">
      <c r="A3">
        <v>2021</v>
      </c>
      <c r="B3" s="3">
        <f>Flow_data_Biomass!B3*TC_data_Biomass!B3</f>
        <v>55</v>
      </c>
      <c r="C3" s="3">
        <f>Flow_data_Biomass!B3*TC_data_Biomass!D3</f>
        <v>55</v>
      </c>
      <c r="D3" s="3">
        <f>C3*TC_data_Biomass!F3</f>
        <v>16.5</v>
      </c>
      <c r="E3" s="3">
        <f>C3*TC_data_Biomass!H3</f>
        <v>16.5</v>
      </c>
      <c r="F3" s="3">
        <f>C3*TC_data_Biomass!J3</f>
        <v>5.5</v>
      </c>
      <c r="G3" s="3">
        <f>C3*TC_data_Biomass!L3</f>
        <v>11</v>
      </c>
      <c r="H3" s="3">
        <f>C3*TC_data_Biomass!N3</f>
        <v>5.5000000000000053</v>
      </c>
      <c r="I3" s="3">
        <f t="shared" ref="I3:I22" si="5">SUM(D3:H3)-C3</f>
        <v>0</v>
      </c>
      <c r="J3" s="3">
        <f>D3*TC_data_Biomass!P3</f>
        <v>16.5</v>
      </c>
      <c r="K3" s="3">
        <f>E3*TC_data_Biomass!R3</f>
        <v>11.549999999999999</v>
      </c>
      <c r="L3" s="3">
        <f>E3*TC_data_Biomass!T3</f>
        <v>2.4750000000000001</v>
      </c>
      <c r="M3" s="3">
        <f>E3*TC_data_Biomass!V3</f>
        <v>2.475000000000001</v>
      </c>
      <c r="N3" s="3">
        <f>F3*TC_data_Biomass!X3</f>
        <v>5.5</v>
      </c>
      <c r="O3" s="3">
        <f>G3*TC_data_Biomass!Z3</f>
        <v>11</v>
      </c>
      <c r="P3" s="3">
        <f>Model_validation_Carbon!P3</f>
        <v>8.2194604996048426</v>
      </c>
      <c r="Q3" s="3"/>
      <c r="R3" s="3"/>
      <c r="S3" s="3">
        <f t="shared" si="0"/>
        <v>55</v>
      </c>
      <c r="T3" s="3">
        <f>SUM($S$2:S3)</f>
        <v>105</v>
      </c>
      <c r="U3" s="3">
        <f t="shared" si="1"/>
        <v>5.5000000000000053</v>
      </c>
      <c r="V3" s="3">
        <f>SUM($U$2:U3)</f>
        <v>10.500000000000011</v>
      </c>
      <c r="W3" s="3">
        <f t="shared" si="2"/>
        <v>19.830539500395155</v>
      </c>
      <c r="X3" s="3">
        <f>SUM($W$2:W3)</f>
        <v>45.330539500395155</v>
      </c>
      <c r="Y3" s="3">
        <f t="shared" si="3"/>
        <v>27.194460499604844</v>
      </c>
      <c r="Z3" s="3">
        <f>SUM($Y$2:Y3)</f>
        <v>44.444460499604844</v>
      </c>
      <c r="AA3" s="3">
        <f t="shared" si="4"/>
        <v>2.475000000000001</v>
      </c>
      <c r="AB3" s="3">
        <f>SUM($AA$2:AA3)</f>
        <v>4.7250000000000014</v>
      </c>
    </row>
    <row r="4" spans="1:28" x14ac:dyDescent="0.35">
      <c r="A4">
        <v>2022</v>
      </c>
      <c r="B4" s="3">
        <f>Flow_data_Biomass!B4*TC_data_Biomass!B4</f>
        <v>60</v>
      </c>
      <c r="C4" s="3">
        <f>Flow_data_Biomass!B4*TC_data_Biomass!D4</f>
        <v>60</v>
      </c>
      <c r="D4" s="3">
        <f>C4*TC_data_Biomass!F4</f>
        <v>18</v>
      </c>
      <c r="E4" s="3">
        <f>C4*TC_data_Biomass!H4</f>
        <v>18</v>
      </c>
      <c r="F4" s="3">
        <f>C4*TC_data_Biomass!J4</f>
        <v>6</v>
      </c>
      <c r="G4" s="3">
        <f>C4*TC_data_Biomass!L4</f>
        <v>12</v>
      </c>
      <c r="H4" s="3">
        <f>C4*TC_data_Biomass!N4</f>
        <v>6.0000000000000053</v>
      </c>
      <c r="I4" s="3">
        <f t="shared" si="5"/>
        <v>0</v>
      </c>
      <c r="J4" s="3">
        <f>D4*TC_data_Biomass!P4</f>
        <v>18</v>
      </c>
      <c r="K4" s="3">
        <f>E4*TC_data_Biomass!R4</f>
        <v>12.6</v>
      </c>
      <c r="L4" s="3">
        <f>E4*TC_data_Biomass!T4</f>
        <v>2.6999999999999997</v>
      </c>
      <c r="M4" s="3">
        <f>E4*TC_data_Biomass!V4</f>
        <v>2.7000000000000011</v>
      </c>
      <c r="N4" s="3">
        <f>F4*TC_data_Biomass!X4</f>
        <v>6</v>
      </c>
      <c r="O4" s="3">
        <f>G4*TC_data_Biomass!Z4</f>
        <v>12</v>
      </c>
      <c r="P4" s="3">
        <f>Model_validation_Carbon!P4</f>
        <v>11.880910610461324</v>
      </c>
      <c r="Q4" s="3"/>
      <c r="R4" s="3"/>
      <c r="S4" s="3">
        <f t="shared" si="0"/>
        <v>60</v>
      </c>
      <c r="T4" s="3">
        <f>SUM($S$2:S4)</f>
        <v>165</v>
      </c>
      <c r="U4" s="3">
        <f t="shared" si="1"/>
        <v>6.0000000000000053</v>
      </c>
      <c r="V4" s="3">
        <f>SUM($U$2:U4)</f>
        <v>16.500000000000014</v>
      </c>
      <c r="W4" s="3">
        <f t="shared" si="2"/>
        <v>18.719089389538677</v>
      </c>
      <c r="X4" s="3">
        <f>SUM($W$2:W4)</f>
        <v>64.049628889933828</v>
      </c>
      <c r="Y4" s="3">
        <f t="shared" si="3"/>
        <v>32.580910610461324</v>
      </c>
      <c r="Z4" s="3">
        <f>SUM($Y$2:Y4)</f>
        <v>77.025371110066175</v>
      </c>
      <c r="AA4" s="3">
        <f t="shared" si="4"/>
        <v>2.7000000000000011</v>
      </c>
      <c r="AB4" s="3">
        <f>SUM($AA$2:AA4)</f>
        <v>7.4250000000000025</v>
      </c>
    </row>
    <row r="5" spans="1:28" x14ac:dyDescent="0.35">
      <c r="A5">
        <v>2023</v>
      </c>
      <c r="B5" s="3">
        <f>Flow_data_Biomass!B5*TC_data_Biomass!B5</f>
        <v>65</v>
      </c>
      <c r="C5" s="3">
        <f>Flow_data_Biomass!B5*TC_data_Biomass!D5</f>
        <v>65</v>
      </c>
      <c r="D5" s="3">
        <f>C5*TC_data_Biomass!F5</f>
        <v>19.5</v>
      </c>
      <c r="E5" s="3">
        <f>C5*TC_data_Biomass!H5</f>
        <v>19.5</v>
      </c>
      <c r="F5" s="3">
        <f>C5*TC_data_Biomass!J5</f>
        <v>6.5</v>
      </c>
      <c r="G5" s="3">
        <f>C5*TC_data_Biomass!L5</f>
        <v>13</v>
      </c>
      <c r="H5" s="3">
        <f>C5*TC_data_Biomass!N5</f>
        <v>6.5000000000000053</v>
      </c>
      <c r="I5" s="3">
        <f t="shared" si="5"/>
        <v>0</v>
      </c>
      <c r="J5" s="3">
        <f>D5*TC_data_Biomass!P5</f>
        <v>19.5</v>
      </c>
      <c r="K5" s="3">
        <f>E5*TC_data_Biomass!R5</f>
        <v>13.649999999999999</v>
      </c>
      <c r="L5" s="3">
        <f>E5*TC_data_Biomass!T5</f>
        <v>2.9249999999999998</v>
      </c>
      <c r="M5" s="3">
        <f>E5*TC_data_Biomass!V5</f>
        <v>2.9250000000000012</v>
      </c>
      <c r="N5" s="3">
        <f>F5*TC_data_Biomass!X5</f>
        <v>6.5</v>
      </c>
      <c r="O5" s="3">
        <f>G5*TC_data_Biomass!Z5</f>
        <v>13</v>
      </c>
      <c r="P5" s="3">
        <f>Model_validation_Carbon!P5</f>
        <v>14.046659209320914</v>
      </c>
      <c r="Q5" s="3"/>
      <c r="R5" s="3"/>
      <c r="S5" s="3">
        <f t="shared" si="0"/>
        <v>65</v>
      </c>
      <c r="T5" s="3">
        <f>SUM($S$2:S5)</f>
        <v>230</v>
      </c>
      <c r="U5" s="3">
        <f t="shared" si="1"/>
        <v>6.5000000000000053</v>
      </c>
      <c r="V5" s="3">
        <f>SUM($U$2:U5)</f>
        <v>23.000000000000021</v>
      </c>
      <c r="W5" s="3">
        <f t="shared" si="2"/>
        <v>19.103340790679084</v>
      </c>
      <c r="X5" s="3">
        <f>SUM($W$2:W5)</f>
        <v>83.152969680612912</v>
      </c>
      <c r="Y5" s="3">
        <f t="shared" si="3"/>
        <v>36.471659209320912</v>
      </c>
      <c r="Z5" s="3">
        <f>SUM($Y$2:Y5)</f>
        <v>113.49703031938708</v>
      </c>
      <c r="AA5" s="3">
        <f t="shared" si="4"/>
        <v>2.9250000000000012</v>
      </c>
      <c r="AB5" s="3">
        <f>SUM($AA$2:AA5)</f>
        <v>10.350000000000003</v>
      </c>
    </row>
    <row r="6" spans="1:28" x14ac:dyDescent="0.35">
      <c r="A6">
        <v>2024</v>
      </c>
      <c r="B6" s="3">
        <f>Flow_data_Biomass!B6*TC_data_Biomass!B6</f>
        <v>70</v>
      </c>
      <c r="C6" s="3">
        <f>Flow_data_Biomass!B6*TC_data_Biomass!D6</f>
        <v>70</v>
      </c>
      <c r="D6" s="3">
        <f>C6*TC_data_Biomass!F6</f>
        <v>21</v>
      </c>
      <c r="E6" s="3">
        <f>C6*TC_data_Biomass!H6</f>
        <v>21</v>
      </c>
      <c r="F6" s="3">
        <f>C6*TC_data_Biomass!J6</f>
        <v>7</v>
      </c>
      <c r="G6" s="3">
        <f>C6*TC_data_Biomass!L6</f>
        <v>14</v>
      </c>
      <c r="H6" s="3">
        <f>C6*TC_data_Biomass!N6</f>
        <v>7.0000000000000062</v>
      </c>
      <c r="I6" s="3">
        <f t="shared" si="5"/>
        <v>0</v>
      </c>
      <c r="J6" s="3">
        <f>D6*TC_data_Biomass!P6</f>
        <v>21</v>
      </c>
      <c r="K6" s="3">
        <f>E6*TC_data_Biomass!R6</f>
        <v>14.7</v>
      </c>
      <c r="L6" s="3">
        <f>E6*TC_data_Biomass!T6</f>
        <v>3.15</v>
      </c>
      <c r="M6" s="3">
        <f>E6*TC_data_Biomass!V6</f>
        <v>3.1500000000000012</v>
      </c>
      <c r="N6" s="3">
        <f>F6*TC_data_Biomass!X6</f>
        <v>7</v>
      </c>
      <c r="O6" s="3">
        <f>G6*TC_data_Biomass!Z6</f>
        <v>14</v>
      </c>
      <c r="P6" s="3">
        <f>Model_validation_Carbon!P6</f>
        <v>15.654133398813006</v>
      </c>
      <c r="Q6" s="3"/>
      <c r="R6" s="3"/>
      <c r="S6" s="3">
        <f t="shared" si="0"/>
        <v>70</v>
      </c>
      <c r="T6" s="3">
        <f>SUM($S$2:S6)</f>
        <v>300</v>
      </c>
      <c r="U6" s="3">
        <f t="shared" si="1"/>
        <v>7.0000000000000062</v>
      </c>
      <c r="V6" s="3">
        <f>SUM($U$2:U6)</f>
        <v>30.000000000000028</v>
      </c>
      <c r="W6" s="3">
        <f t="shared" si="2"/>
        <v>20.045866601186997</v>
      </c>
      <c r="X6" s="3">
        <f>SUM($W$2:W6)</f>
        <v>103.19883628179991</v>
      </c>
      <c r="Y6" s="3">
        <f t="shared" si="3"/>
        <v>39.804133398813001</v>
      </c>
      <c r="Z6" s="3">
        <f>SUM($Y$2:Y6)</f>
        <v>153.30116371820009</v>
      </c>
      <c r="AA6" s="3">
        <f t="shared" si="4"/>
        <v>3.1500000000000012</v>
      </c>
      <c r="AB6" s="3">
        <f>SUM($AA$2:AA6)</f>
        <v>13.500000000000004</v>
      </c>
    </row>
    <row r="7" spans="1:28" x14ac:dyDescent="0.35">
      <c r="A7">
        <v>2025</v>
      </c>
      <c r="B7" s="3">
        <f>Flow_data_Biomass!B7*TC_data_Biomass!B7</f>
        <v>75</v>
      </c>
      <c r="C7" s="3">
        <f>Flow_data_Biomass!B7*TC_data_Biomass!D7</f>
        <v>75</v>
      </c>
      <c r="D7" s="3">
        <f>C7*TC_data_Biomass!F7</f>
        <v>22.5</v>
      </c>
      <c r="E7" s="3">
        <f>C7*TC_data_Biomass!H7</f>
        <v>22.5</v>
      </c>
      <c r="F7" s="3">
        <f>C7*TC_data_Biomass!J7</f>
        <v>7.5</v>
      </c>
      <c r="G7" s="3">
        <f>C7*TC_data_Biomass!L7</f>
        <v>15</v>
      </c>
      <c r="H7" s="3">
        <f>C7*TC_data_Biomass!N7</f>
        <v>7.5000000000000071</v>
      </c>
      <c r="I7" s="3">
        <f t="shared" si="5"/>
        <v>0</v>
      </c>
      <c r="J7" s="3">
        <f>D7*TC_data_Biomass!P7</f>
        <v>22.5</v>
      </c>
      <c r="K7" s="3">
        <f>E7*TC_data_Biomass!R7</f>
        <v>15.749999999999998</v>
      </c>
      <c r="L7" s="3">
        <f>E7*TC_data_Biomass!T7</f>
        <v>3.375</v>
      </c>
      <c r="M7" s="3">
        <f>E7*TC_data_Biomass!V7</f>
        <v>3.3750000000000013</v>
      </c>
      <c r="N7" s="3">
        <f>F7*TC_data_Biomass!X7</f>
        <v>7.5</v>
      </c>
      <c r="O7" s="3">
        <f>G7*TC_data_Biomass!Z7</f>
        <v>15</v>
      </c>
      <c r="P7" s="3">
        <f>Model_validation_Carbon!P7</f>
        <v>17.053230239178454</v>
      </c>
      <c r="Q7" s="3"/>
      <c r="R7" s="3"/>
      <c r="S7" s="3">
        <f t="shared" si="0"/>
        <v>75</v>
      </c>
      <c r="T7" s="3">
        <f>SUM($S$2:S7)</f>
        <v>375</v>
      </c>
      <c r="U7" s="3">
        <f t="shared" si="1"/>
        <v>7.5000000000000071</v>
      </c>
      <c r="V7" s="3">
        <f>SUM($U$2:U7)</f>
        <v>37.500000000000036</v>
      </c>
      <c r="W7" s="3">
        <f t="shared" si="2"/>
        <v>21.196769760821546</v>
      </c>
      <c r="X7" s="3">
        <f>SUM($W$2:W7)</f>
        <v>124.39560604262147</v>
      </c>
      <c r="Y7" s="3">
        <f t="shared" si="3"/>
        <v>42.928230239178454</v>
      </c>
      <c r="Z7" s="3">
        <f>SUM($Y$2:Y7)</f>
        <v>196.22939395737853</v>
      </c>
      <c r="AA7" s="3">
        <f t="shared" si="4"/>
        <v>3.3750000000000013</v>
      </c>
      <c r="AB7" s="3">
        <f>SUM($AA$2:AA7)</f>
        <v>16.875000000000004</v>
      </c>
    </row>
    <row r="8" spans="1:28" x14ac:dyDescent="0.35">
      <c r="A8">
        <v>2026</v>
      </c>
      <c r="B8" s="3">
        <f>Flow_data_Biomass!B8*TC_data_Biomass!B8</f>
        <v>80</v>
      </c>
      <c r="C8" s="3">
        <f>Flow_data_Biomass!B8*TC_data_Biomass!D8</f>
        <v>80</v>
      </c>
      <c r="D8" s="3">
        <f>C8*TC_data_Biomass!F8</f>
        <v>24</v>
      </c>
      <c r="E8" s="3">
        <f>C8*TC_data_Biomass!H8</f>
        <v>24</v>
      </c>
      <c r="F8" s="3">
        <f>C8*TC_data_Biomass!J8</f>
        <v>8</v>
      </c>
      <c r="G8" s="3">
        <f>C8*TC_data_Biomass!L8</f>
        <v>16</v>
      </c>
      <c r="H8" s="3">
        <f>C8*TC_data_Biomass!N8</f>
        <v>8.0000000000000071</v>
      </c>
      <c r="I8" s="3">
        <f t="shared" si="5"/>
        <v>0</v>
      </c>
      <c r="J8" s="3">
        <f>D8*TC_data_Biomass!P8</f>
        <v>24</v>
      </c>
      <c r="K8" s="3">
        <f>E8*TC_data_Biomass!R8</f>
        <v>16.799999999999997</v>
      </c>
      <c r="L8" s="3">
        <f>E8*TC_data_Biomass!T8</f>
        <v>3.5999999999999996</v>
      </c>
      <c r="M8" s="3">
        <f>E8*TC_data_Biomass!V8</f>
        <v>3.6000000000000014</v>
      </c>
      <c r="N8" s="3">
        <f>F8*TC_data_Biomass!X8</f>
        <v>8</v>
      </c>
      <c r="O8" s="3">
        <f>G8*TC_data_Biomass!Z8</f>
        <v>16</v>
      </c>
      <c r="P8" s="3">
        <f>Model_validation_Carbon!P8</f>
        <v>18.3745497017876</v>
      </c>
      <c r="Q8" s="3"/>
      <c r="R8" s="3"/>
      <c r="S8" s="3">
        <f t="shared" si="0"/>
        <v>80</v>
      </c>
      <c r="T8" s="3">
        <f>SUM($S$2:S8)</f>
        <v>455</v>
      </c>
      <c r="U8" s="3">
        <f t="shared" si="1"/>
        <v>8.0000000000000071</v>
      </c>
      <c r="V8" s="3">
        <f>SUM($U$2:U8)</f>
        <v>45.500000000000043</v>
      </c>
      <c r="W8" s="3">
        <f t="shared" si="2"/>
        <v>22.425450298212397</v>
      </c>
      <c r="X8" s="3">
        <f>SUM($W$2:W8)</f>
        <v>146.82105634083388</v>
      </c>
      <c r="Y8" s="3">
        <f t="shared" si="3"/>
        <v>45.974549701787602</v>
      </c>
      <c r="Z8" s="3">
        <f>SUM($Y$2:Y8)</f>
        <v>242.20394365916613</v>
      </c>
      <c r="AA8" s="3">
        <f t="shared" si="4"/>
        <v>3.6000000000000014</v>
      </c>
      <c r="AB8" s="3">
        <f>SUM($AA$2:AA8)</f>
        <v>20.475000000000005</v>
      </c>
    </row>
    <row r="9" spans="1:28" x14ac:dyDescent="0.35">
      <c r="A9">
        <v>2027</v>
      </c>
      <c r="B9" s="3">
        <f>Flow_data_Biomass!B9*TC_data_Biomass!B9</f>
        <v>85</v>
      </c>
      <c r="C9" s="3">
        <f>Flow_data_Biomass!B9*TC_data_Biomass!D9</f>
        <v>85</v>
      </c>
      <c r="D9" s="3">
        <f>C9*TC_data_Biomass!F9</f>
        <v>25.5</v>
      </c>
      <c r="E9" s="3">
        <f>C9*TC_data_Biomass!H9</f>
        <v>25.5</v>
      </c>
      <c r="F9" s="3">
        <f>C9*TC_data_Biomass!J9</f>
        <v>8.5</v>
      </c>
      <c r="G9" s="3">
        <f>C9*TC_data_Biomass!L9</f>
        <v>17</v>
      </c>
      <c r="H9" s="3">
        <f>C9*TC_data_Biomass!N9</f>
        <v>8.5000000000000071</v>
      </c>
      <c r="I9" s="3">
        <f t="shared" si="5"/>
        <v>0</v>
      </c>
      <c r="J9" s="3">
        <f>D9*TC_data_Biomass!P9</f>
        <v>25.5</v>
      </c>
      <c r="K9" s="3">
        <f>E9*TC_data_Biomass!R9</f>
        <v>17.849999999999998</v>
      </c>
      <c r="L9" s="3">
        <f>E9*TC_data_Biomass!T9</f>
        <v>3.8249999999999997</v>
      </c>
      <c r="M9" s="3">
        <f>E9*TC_data_Biomass!V9</f>
        <v>3.8250000000000011</v>
      </c>
      <c r="N9" s="3">
        <f>F9*TC_data_Biomass!X9</f>
        <v>8.5</v>
      </c>
      <c r="O9" s="3">
        <f>G9*TC_data_Biomass!Z9</f>
        <v>17</v>
      </c>
      <c r="P9" s="3">
        <f>Model_validation_Carbon!P9</f>
        <v>19.666838559506161</v>
      </c>
      <c r="Q9" s="3"/>
      <c r="R9" s="3"/>
      <c r="S9" s="3">
        <f t="shared" si="0"/>
        <v>85</v>
      </c>
      <c r="T9" s="3">
        <f>SUM($S$2:S9)</f>
        <v>540</v>
      </c>
      <c r="U9" s="3">
        <f t="shared" si="1"/>
        <v>8.5000000000000071</v>
      </c>
      <c r="V9" s="3">
        <f>SUM($U$2:U9)</f>
        <v>54.00000000000005</v>
      </c>
      <c r="W9" s="3">
        <f t="shared" si="2"/>
        <v>23.683161440493834</v>
      </c>
      <c r="X9" s="3">
        <f>SUM($W$2:W9)</f>
        <v>170.50421778132772</v>
      </c>
      <c r="Y9" s="3">
        <f t="shared" si="3"/>
        <v>48.991838559506164</v>
      </c>
      <c r="Z9" s="3">
        <f>SUM($Y$2:Y9)</f>
        <v>291.19578221867232</v>
      </c>
      <c r="AA9" s="3">
        <f t="shared" si="4"/>
        <v>3.8250000000000011</v>
      </c>
      <c r="AB9" s="3">
        <f>SUM($AA$2:AA9)</f>
        <v>24.300000000000004</v>
      </c>
    </row>
    <row r="10" spans="1:28" x14ac:dyDescent="0.35">
      <c r="A10">
        <v>2028</v>
      </c>
      <c r="B10" s="3">
        <f>Flow_data_Biomass!B10*TC_data_Biomass!B10</f>
        <v>90</v>
      </c>
      <c r="C10" s="3">
        <f>Flow_data_Biomass!B10*TC_data_Biomass!D10</f>
        <v>90</v>
      </c>
      <c r="D10" s="3">
        <f>C10*TC_data_Biomass!F10</f>
        <v>27</v>
      </c>
      <c r="E10" s="3">
        <f>C10*TC_data_Biomass!H10</f>
        <v>27</v>
      </c>
      <c r="F10" s="3">
        <f>C10*TC_data_Biomass!J10</f>
        <v>9</v>
      </c>
      <c r="G10" s="3">
        <f>C10*TC_data_Biomass!L10</f>
        <v>18</v>
      </c>
      <c r="H10" s="3">
        <f>C10*TC_data_Biomass!N10</f>
        <v>9.0000000000000071</v>
      </c>
      <c r="I10" s="3">
        <f t="shared" si="5"/>
        <v>0</v>
      </c>
      <c r="J10" s="3">
        <f>D10*TC_data_Biomass!P10</f>
        <v>27</v>
      </c>
      <c r="K10" s="3">
        <f>E10*TC_data_Biomass!R10</f>
        <v>18.899999999999999</v>
      </c>
      <c r="L10" s="3">
        <f>E10*TC_data_Biomass!T10</f>
        <v>4.05</v>
      </c>
      <c r="M10" s="3">
        <f>E10*TC_data_Biomass!V10</f>
        <v>4.0500000000000016</v>
      </c>
      <c r="N10" s="3">
        <f>F10*TC_data_Biomass!X10</f>
        <v>9</v>
      </c>
      <c r="O10" s="3">
        <f>G10*TC_data_Biomass!Z10</f>
        <v>18</v>
      </c>
      <c r="P10" s="3">
        <f>Model_validation_Carbon!P10</f>
        <v>20.948291669805268</v>
      </c>
      <c r="Q10" s="3"/>
      <c r="R10" s="3"/>
      <c r="S10" s="3">
        <f t="shared" si="0"/>
        <v>90</v>
      </c>
      <c r="T10" s="3">
        <f>SUM($S$2:S10)</f>
        <v>630</v>
      </c>
      <c r="U10" s="3">
        <f t="shared" si="1"/>
        <v>9.0000000000000071</v>
      </c>
      <c r="V10" s="3">
        <f>SUM($U$2:U10)</f>
        <v>63.000000000000057</v>
      </c>
      <c r="W10" s="3">
        <f t="shared" si="2"/>
        <v>24.95170833019473</v>
      </c>
      <c r="X10" s="3">
        <f>SUM($W$2:W10)</f>
        <v>195.45592611152244</v>
      </c>
      <c r="Y10" s="3">
        <f t="shared" si="3"/>
        <v>51.998291669805269</v>
      </c>
      <c r="Z10" s="3">
        <f>SUM($Y$2:Y10)</f>
        <v>343.19407388847759</v>
      </c>
      <c r="AA10" s="3">
        <f t="shared" si="4"/>
        <v>4.0500000000000016</v>
      </c>
      <c r="AB10" s="3">
        <f>SUM($AA$2:AA10)</f>
        <v>28.350000000000005</v>
      </c>
    </row>
    <row r="11" spans="1:28" x14ac:dyDescent="0.35">
      <c r="A11">
        <v>2029</v>
      </c>
      <c r="B11" s="3">
        <f>Flow_data_Biomass!B11*TC_data_Biomass!B11</f>
        <v>95</v>
      </c>
      <c r="C11" s="3">
        <f>Flow_data_Biomass!B11*TC_data_Biomass!D11</f>
        <v>95</v>
      </c>
      <c r="D11" s="3">
        <f>C11*TC_data_Biomass!F11</f>
        <v>28.5</v>
      </c>
      <c r="E11" s="3">
        <f>C11*TC_data_Biomass!H11</f>
        <v>28.5</v>
      </c>
      <c r="F11" s="3">
        <f>C11*TC_data_Biomass!J11</f>
        <v>9.5</v>
      </c>
      <c r="G11" s="3">
        <f>C11*TC_data_Biomass!L11</f>
        <v>19</v>
      </c>
      <c r="H11" s="3">
        <f>C11*TC_data_Biomass!N11</f>
        <v>9.5000000000000089</v>
      </c>
      <c r="I11" s="3">
        <f t="shared" si="5"/>
        <v>0</v>
      </c>
      <c r="J11" s="3">
        <f>D11*TC_data_Biomass!P11</f>
        <v>28.5</v>
      </c>
      <c r="K11" s="3">
        <f>E11*TC_data_Biomass!R11</f>
        <v>19.95</v>
      </c>
      <c r="L11" s="3">
        <f>E11*TC_data_Biomass!T11</f>
        <v>4.2749999999999995</v>
      </c>
      <c r="M11" s="3">
        <f>E11*TC_data_Biomass!V11</f>
        <v>4.2750000000000012</v>
      </c>
      <c r="N11" s="3">
        <f>F11*TC_data_Biomass!X11</f>
        <v>9.5</v>
      </c>
      <c r="O11" s="3">
        <f>G11*TC_data_Biomass!Z11</f>
        <v>19</v>
      </c>
      <c r="P11" s="3">
        <f>Model_validation_Carbon!P11</f>
        <v>22.22570030970563</v>
      </c>
      <c r="Q11" s="3"/>
      <c r="R11" s="3"/>
      <c r="S11" s="3">
        <f t="shared" si="0"/>
        <v>95</v>
      </c>
      <c r="T11" s="3">
        <f>SUM($S$2:S11)</f>
        <v>725</v>
      </c>
      <c r="U11" s="3">
        <f t="shared" si="1"/>
        <v>9.5000000000000089</v>
      </c>
      <c r="V11" s="3">
        <f>SUM($U$2:U11)</f>
        <v>72.500000000000071</v>
      </c>
      <c r="W11" s="3">
        <f t="shared" si="2"/>
        <v>26.224299690294373</v>
      </c>
      <c r="X11" s="3">
        <f>SUM($W$2:W11)</f>
        <v>221.68022580181682</v>
      </c>
      <c r="Y11" s="3">
        <f t="shared" si="3"/>
        <v>55.000700309705628</v>
      </c>
      <c r="Z11" s="3">
        <f>SUM($Y$2:Y11)</f>
        <v>398.19477419818321</v>
      </c>
      <c r="AA11" s="3">
        <f t="shared" si="4"/>
        <v>4.2750000000000012</v>
      </c>
      <c r="AB11" s="3">
        <f>SUM($AA$2:AA11)</f>
        <v>32.625000000000007</v>
      </c>
    </row>
    <row r="12" spans="1:28" x14ac:dyDescent="0.35">
      <c r="A12">
        <v>2030</v>
      </c>
      <c r="B12" s="3">
        <f>Flow_data_Biomass!B12*TC_data_Biomass!B12</f>
        <v>100</v>
      </c>
      <c r="C12" s="3">
        <f>Flow_data_Biomass!B12*TC_data_Biomass!D12</f>
        <v>100</v>
      </c>
      <c r="D12" s="3">
        <f>C12*TC_data_Biomass!F12</f>
        <v>30</v>
      </c>
      <c r="E12" s="3">
        <f>C12*TC_data_Biomass!H12</f>
        <v>30</v>
      </c>
      <c r="F12" s="3">
        <f>C12*TC_data_Biomass!J12</f>
        <v>10</v>
      </c>
      <c r="G12" s="3">
        <f>C12*TC_data_Biomass!L12</f>
        <v>20</v>
      </c>
      <c r="H12" s="3">
        <f>C12*TC_data_Biomass!N12</f>
        <v>10.000000000000009</v>
      </c>
      <c r="I12" s="3">
        <f t="shared" si="5"/>
        <v>0</v>
      </c>
      <c r="J12" s="3">
        <f>D12*TC_data_Biomass!P12</f>
        <v>30</v>
      </c>
      <c r="K12" s="3">
        <f>E12*TC_data_Biomass!R12</f>
        <v>21</v>
      </c>
      <c r="L12" s="3">
        <f>E12*TC_data_Biomass!T12</f>
        <v>4.5</v>
      </c>
      <c r="M12" s="3">
        <f>E12*TC_data_Biomass!V12</f>
        <v>4.5000000000000018</v>
      </c>
      <c r="N12" s="3">
        <f>F12*TC_data_Biomass!X12</f>
        <v>10</v>
      </c>
      <c r="O12" s="3">
        <f>G12*TC_data_Biomass!Z12</f>
        <v>20</v>
      </c>
      <c r="P12" s="3">
        <f>Model_validation_Carbon!P12</f>
        <v>23.501599340700096</v>
      </c>
      <c r="Q12" s="3"/>
      <c r="R12" s="3"/>
      <c r="S12" s="3">
        <f t="shared" si="0"/>
        <v>100</v>
      </c>
      <c r="T12" s="3">
        <f>SUM($S$2:S12)</f>
        <v>825</v>
      </c>
      <c r="U12" s="3">
        <f t="shared" si="1"/>
        <v>10.000000000000009</v>
      </c>
      <c r="V12" s="3">
        <f>SUM($U$2:U12)</f>
        <v>82.500000000000085</v>
      </c>
      <c r="W12" s="3">
        <f t="shared" si="2"/>
        <v>27.498400659299904</v>
      </c>
      <c r="X12" s="3">
        <f>SUM($W$2:W12)</f>
        <v>249.17862646111672</v>
      </c>
      <c r="Y12" s="3">
        <f t="shared" si="3"/>
        <v>58.001599340700096</v>
      </c>
      <c r="Z12" s="3">
        <f>SUM($Y$2:Y12)</f>
        <v>456.19637353888334</v>
      </c>
      <c r="AA12" s="3">
        <f t="shared" si="4"/>
        <v>4.5000000000000018</v>
      </c>
      <c r="AB12" s="3">
        <f>SUM($AA$2:AA12)</f>
        <v>37.125000000000007</v>
      </c>
    </row>
    <row r="13" spans="1:28" x14ac:dyDescent="0.35">
      <c r="A13">
        <v>2031</v>
      </c>
      <c r="B13" s="3">
        <f>Flow_data_Biomass!B13*TC_data_Biomass!B13</f>
        <v>5</v>
      </c>
      <c r="C13" s="3">
        <f>Flow_data_Biomass!B13*TC_data_Biomass!D13</f>
        <v>5</v>
      </c>
      <c r="D13" s="3">
        <f>C13*TC_data_Biomass!F13</f>
        <v>1.5</v>
      </c>
      <c r="E13" s="3">
        <f>C13*TC_data_Biomass!H13</f>
        <v>1.5</v>
      </c>
      <c r="F13" s="3">
        <f>C13*TC_data_Biomass!J13</f>
        <v>0.5</v>
      </c>
      <c r="G13" s="3">
        <f>C13*TC_data_Biomass!L13</f>
        <v>1</v>
      </c>
      <c r="H13" s="3">
        <f>C13*TC_data_Biomass!N13</f>
        <v>0.50000000000000044</v>
      </c>
      <c r="I13" s="3">
        <f t="shared" si="5"/>
        <v>0</v>
      </c>
      <c r="J13" s="3">
        <f>D13*TC_data_Biomass!P13</f>
        <v>1.5</v>
      </c>
      <c r="K13" s="3">
        <f>E13*TC_data_Biomass!R13</f>
        <v>1.0499999999999998</v>
      </c>
      <c r="L13" s="3">
        <f>E13*TC_data_Biomass!T13</f>
        <v>0.22499999999999998</v>
      </c>
      <c r="M13" s="3">
        <f>E13*TC_data_Biomass!V13</f>
        <v>0.22500000000000009</v>
      </c>
      <c r="N13" s="3">
        <f>F13*TC_data_Biomass!X13</f>
        <v>0.5</v>
      </c>
      <c r="O13" s="3">
        <f>G13*TC_data_Biomass!Z13</f>
        <v>1</v>
      </c>
      <c r="P13" s="3">
        <f>Model_validation_Carbon!P13</f>
        <v>24.776934906314899</v>
      </c>
      <c r="Q13" s="3"/>
      <c r="R13" s="3"/>
      <c r="S13" s="3">
        <f t="shared" si="0"/>
        <v>5</v>
      </c>
      <c r="T13" s="3">
        <f>SUM($S$2:S13)</f>
        <v>830</v>
      </c>
      <c r="U13" s="3">
        <f t="shared" si="1"/>
        <v>0.50000000000000044</v>
      </c>
      <c r="V13" s="3">
        <f>SUM($U$2:U13)</f>
        <v>83.000000000000085</v>
      </c>
      <c r="W13" s="3">
        <f t="shared" si="2"/>
        <v>-22.226934906314899</v>
      </c>
      <c r="X13" s="3">
        <f>SUM($W$2:W13)</f>
        <v>226.95169155480181</v>
      </c>
      <c r="Y13" s="3">
        <f t="shared" si="3"/>
        <v>26.501934906314901</v>
      </c>
      <c r="Z13" s="3">
        <f>SUM($Y$2:Y13)</f>
        <v>482.69830844519822</v>
      </c>
      <c r="AA13" s="3">
        <f t="shared" si="4"/>
        <v>0.22500000000000009</v>
      </c>
      <c r="AB13" s="3">
        <f>SUM($AA$2:AA13)</f>
        <v>37.350000000000009</v>
      </c>
    </row>
    <row r="14" spans="1:28" x14ac:dyDescent="0.35">
      <c r="A14">
        <v>2032</v>
      </c>
      <c r="B14" s="3">
        <f>Flow_data_Biomass!B14*TC_data_Biomass!B14</f>
        <v>110</v>
      </c>
      <c r="C14" s="3">
        <f>Flow_data_Biomass!B14*TC_data_Biomass!D14</f>
        <v>110</v>
      </c>
      <c r="D14" s="3">
        <f>C14*TC_data_Biomass!F14</f>
        <v>33</v>
      </c>
      <c r="E14" s="3">
        <f>C14*TC_data_Biomass!H14</f>
        <v>33</v>
      </c>
      <c r="F14" s="3">
        <f>C14*TC_data_Biomass!J14</f>
        <v>11</v>
      </c>
      <c r="G14" s="3">
        <f>C14*TC_data_Biomass!L14</f>
        <v>22</v>
      </c>
      <c r="H14" s="3">
        <f>C14*TC_data_Biomass!N14</f>
        <v>11.000000000000011</v>
      </c>
      <c r="I14" s="3">
        <f t="shared" si="5"/>
        <v>0</v>
      </c>
      <c r="J14" s="3">
        <f>D14*TC_data_Biomass!P14</f>
        <v>33</v>
      </c>
      <c r="K14" s="3">
        <f>E14*TC_data_Biomass!R14</f>
        <v>23.099999999999998</v>
      </c>
      <c r="L14" s="3">
        <f>E14*TC_data_Biomass!T14</f>
        <v>4.95</v>
      </c>
      <c r="M14" s="3">
        <f>E14*TC_data_Biomass!V14</f>
        <v>4.950000000000002</v>
      </c>
      <c r="N14" s="3">
        <f>F14*TC_data_Biomass!X14</f>
        <v>11</v>
      </c>
      <c r="O14" s="3">
        <f>G14*TC_data_Biomass!Z14</f>
        <v>22</v>
      </c>
      <c r="P14" s="3">
        <f>Model_validation_Carbon!P14</f>
        <v>9.6131391578279661</v>
      </c>
      <c r="Q14" s="3"/>
      <c r="R14" s="3"/>
      <c r="S14" s="3">
        <f t="shared" si="0"/>
        <v>110</v>
      </c>
      <c r="T14" s="3">
        <f>SUM($S$2:S14)</f>
        <v>940</v>
      </c>
      <c r="U14" s="3">
        <f t="shared" si="1"/>
        <v>11.000000000000011</v>
      </c>
      <c r="V14" s="3">
        <f>SUM($U$2:U14)</f>
        <v>94.000000000000099</v>
      </c>
      <c r="W14" s="3">
        <f t="shared" si="2"/>
        <v>46.486860842172028</v>
      </c>
      <c r="X14" s="3">
        <f>SUM($W$2:W14)</f>
        <v>273.43855239697382</v>
      </c>
      <c r="Y14" s="3">
        <f t="shared" si="3"/>
        <v>47.563139157827969</v>
      </c>
      <c r="Z14" s="3">
        <f>SUM($Y$2:Y14)</f>
        <v>530.26144760302623</v>
      </c>
      <c r="AA14" s="3">
        <f t="shared" si="4"/>
        <v>4.950000000000002</v>
      </c>
      <c r="AB14" s="3">
        <f>SUM($AA$2:AA14)</f>
        <v>42.300000000000011</v>
      </c>
    </row>
    <row r="15" spans="1:28" x14ac:dyDescent="0.35">
      <c r="A15">
        <v>2033</v>
      </c>
      <c r="B15" s="3">
        <f>Flow_data_Biomass!B15*TC_data_Biomass!B15</f>
        <v>115</v>
      </c>
      <c r="C15" s="3">
        <f>Flow_data_Biomass!B15*TC_data_Biomass!D15</f>
        <v>115</v>
      </c>
      <c r="D15" s="3">
        <f>C15*TC_data_Biomass!F15</f>
        <v>34.5</v>
      </c>
      <c r="E15" s="3">
        <f>C15*TC_data_Biomass!H15</f>
        <v>34.5</v>
      </c>
      <c r="F15" s="3">
        <f>C15*TC_data_Biomass!J15</f>
        <v>11.5</v>
      </c>
      <c r="G15" s="3">
        <f>C15*TC_data_Biomass!L15</f>
        <v>23</v>
      </c>
      <c r="H15" s="3">
        <f>C15*TC_data_Biomass!N15</f>
        <v>11.500000000000011</v>
      </c>
      <c r="I15" s="3">
        <f t="shared" si="5"/>
        <v>0</v>
      </c>
      <c r="J15" s="3">
        <f>D15*TC_data_Biomass!P15</f>
        <v>34.5</v>
      </c>
      <c r="K15" s="3">
        <f>E15*TC_data_Biomass!R15</f>
        <v>24.15</v>
      </c>
      <c r="L15" s="3">
        <f>E15*TC_data_Biomass!T15</f>
        <v>5.1749999999999998</v>
      </c>
      <c r="M15" s="3">
        <f>E15*TC_data_Biomass!V15</f>
        <v>5.1750000000000016</v>
      </c>
      <c r="N15" s="3">
        <f>F15*TC_data_Biomass!X15</f>
        <v>11.5</v>
      </c>
      <c r="O15" s="3">
        <f>G15*TC_data_Biomass!Z15</f>
        <v>23</v>
      </c>
      <c r="P15" s="3">
        <f>Model_validation_Carbon!P15</f>
        <v>21.648098785397824</v>
      </c>
      <c r="Q15" s="3"/>
      <c r="R15" s="3"/>
      <c r="S15" s="3">
        <f t="shared" si="0"/>
        <v>115</v>
      </c>
      <c r="T15" s="3">
        <f>SUM($S$2:S15)</f>
        <v>1055</v>
      </c>
      <c r="U15" s="3">
        <f t="shared" si="1"/>
        <v>11.500000000000011</v>
      </c>
      <c r="V15" s="3">
        <f>SUM($U$2:U15)</f>
        <v>105.50000000000011</v>
      </c>
      <c r="W15" s="3">
        <f t="shared" si="2"/>
        <v>37.001901214602171</v>
      </c>
      <c r="X15" s="3">
        <f>SUM($W$2:W15)</f>
        <v>310.440453611576</v>
      </c>
      <c r="Y15" s="3">
        <f t="shared" si="3"/>
        <v>61.323098785397818</v>
      </c>
      <c r="Z15" s="3">
        <f>SUM($Y$2:Y15)</f>
        <v>591.58454638842409</v>
      </c>
      <c r="AA15" s="3">
        <f t="shared" si="4"/>
        <v>5.1750000000000016</v>
      </c>
      <c r="AB15" s="3">
        <f>SUM($AA$2:AA15)</f>
        <v>47.475000000000016</v>
      </c>
    </row>
    <row r="16" spans="1:28" x14ac:dyDescent="0.35">
      <c r="A16">
        <v>2034</v>
      </c>
      <c r="B16" s="3">
        <f>Flow_data_Biomass!B16*TC_data_Biomass!B16</f>
        <v>120</v>
      </c>
      <c r="C16" s="3">
        <f>Flow_data_Biomass!B16*TC_data_Biomass!D16</f>
        <v>120</v>
      </c>
      <c r="D16" s="3">
        <f>C16*TC_data_Biomass!F16</f>
        <v>36</v>
      </c>
      <c r="E16" s="3">
        <f>C16*TC_data_Biomass!H16</f>
        <v>36</v>
      </c>
      <c r="F16" s="3">
        <f>C16*TC_data_Biomass!J16</f>
        <v>12</v>
      </c>
      <c r="G16" s="3">
        <f>C16*TC_data_Biomass!L16</f>
        <v>24</v>
      </c>
      <c r="H16" s="3">
        <f>C16*TC_data_Biomass!N16</f>
        <v>12.000000000000011</v>
      </c>
      <c r="I16" s="3">
        <f t="shared" si="5"/>
        <v>0</v>
      </c>
      <c r="J16" s="3">
        <f>D16*TC_data_Biomass!P16</f>
        <v>36</v>
      </c>
      <c r="K16" s="3">
        <f>E16*TC_data_Biomass!R16</f>
        <v>25.2</v>
      </c>
      <c r="L16" s="3">
        <f>E16*TC_data_Biomass!T16</f>
        <v>5.3999999999999995</v>
      </c>
      <c r="M16" s="3">
        <f>E16*TC_data_Biomass!V16</f>
        <v>5.4000000000000021</v>
      </c>
      <c r="N16" s="3">
        <f>F16*TC_data_Biomass!X16</f>
        <v>12</v>
      </c>
      <c r="O16" s="3">
        <f>G16*TC_data_Biomass!Z16</f>
        <v>24</v>
      </c>
      <c r="P16" s="3">
        <f>Model_validation_Carbon!P16</f>
        <v>26.482420071184492</v>
      </c>
      <c r="Q16" s="3"/>
      <c r="R16" s="3"/>
      <c r="S16" s="3">
        <f t="shared" si="0"/>
        <v>120</v>
      </c>
      <c r="T16" s="3">
        <f>SUM($S$2:S16)</f>
        <v>1175</v>
      </c>
      <c r="U16" s="3">
        <f t="shared" si="1"/>
        <v>12.000000000000011</v>
      </c>
      <c r="V16" s="3">
        <f>SUM($U$2:U16)</f>
        <v>117.50000000000013</v>
      </c>
      <c r="W16" s="3">
        <f t="shared" si="2"/>
        <v>34.71757992881551</v>
      </c>
      <c r="X16" s="3">
        <f>SUM($W$2:W16)</f>
        <v>345.1580335403915</v>
      </c>
      <c r="Y16" s="3">
        <f t="shared" si="3"/>
        <v>67.882420071184498</v>
      </c>
      <c r="Z16" s="3">
        <f>SUM($Y$2:Y16)</f>
        <v>659.46696645960856</v>
      </c>
      <c r="AA16" s="3">
        <f t="shared" si="4"/>
        <v>5.4000000000000021</v>
      </c>
      <c r="AB16" s="3">
        <f>SUM($AA$2:AA16)</f>
        <v>52.875000000000014</v>
      </c>
    </row>
    <row r="17" spans="1:28" x14ac:dyDescent="0.35">
      <c r="A17">
        <v>2035</v>
      </c>
      <c r="B17" s="3">
        <f>Flow_data_Biomass!B17*TC_data_Biomass!B17</f>
        <v>125</v>
      </c>
      <c r="C17" s="3">
        <f>Flow_data_Biomass!B17*TC_data_Biomass!D17</f>
        <v>125</v>
      </c>
      <c r="D17" s="3">
        <f>C17*TC_data_Biomass!F17</f>
        <v>37.5</v>
      </c>
      <c r="E17" s="3">
        <f>C17*TC_data_Biomass!H17</f>
        <v>37.5</v>
      </c>
      <c r="F17" s="3">
        <f>C17*TC_data_Biomass!J17</f>
        <v>12.5</v>
      </c>
      <c r="G17" s="3">
        <f>C17*TC_data_Biomass!L17</f>
        <v>25</v>
      </c>
      <c r="H17" s="3">
        <f>C17*TC_data_Biomass!N17</f>
        <v>12.500000000000011</v>
      </c>
      <c r="I17" s="3">
        <f t="shared" si="5"/>
        <v>0</v>
      </c>
      <c r="J17" s="3">
        <f>D17*TC_data_Biomass!P17</f>
        <v>37.5</v>
      </c>
      <c r="K17" s="3">
        <f>E17*TC_data_Biomass!R17</f>
        <v>26.25</v>
      </c>
      <c r="L17" s="3">
        <f>E17*TC_data_Biomass!T17</f>
        <v>5.625</v>
      </c>
      <c r="M17" s="3">
        <f>E17*TC_data_Biomass!V17</f>
        <v>5.6250000000000018</v>
      </c>
      <c r="N17" s="3">
        <f>F17*TC_data_Biomass!X17</f>
        <v>12.5</v>
      </c>
      <c r="O17" s="3">
        <f>G17*TC_data_Biomass!Z17</f>
        <v>25</v>
      </c>
      <c r="P17" s="3">
        <f>Model_validation_Carbon!P17</f>
        <v>29.085945831594273</v>
      </c>
      <c r="Q17" s="3"/>
      <c r="R17" s="3"/>
      <c r="S17" s="3">
        <f t="shared" si="0"/>
        <v>125</v>
      </c>
      <c r="T17" s="3">
        <f>SUM($S$2:S17)</f>
        <v>1300</v>
      </c>
      <c r="U17" s="3">
        <f t="shared" si="1"/>
        <v>12.500000000000011</v>
      </c>
      <c r="V17" s="3">
        <f>SUM($U$2:U17)</f>
        <v>130.00000000000014</v>
      </c>
      <c r="W17" s="3">
        <f t="shared" si="2"/>
        <v>34.664054168405727</v>
      </c>
      <c r="X17" s="3">
        <f>SUM($W$2:W17)</f>
        <v>379.8220877087972</v>
      </c>
      <c r="Y17" s="3">
        <f t="shared" si="3"/>
        <v>72.210945831594273</v>
      </c>
      <c r="Z17" s="3">
        <f>SUM($Y$2:Y17)</f>
        <v>731.6779122912028</v>
      </c>
      <c r="AA17" s="3">
        <f t="shared" si="4"/>
        <v>5.6250000000000018</v>
      </c>
      <c r="AB17" s="3">
        <f>SUM($AA$2:AA17)</f>
        <v>58.500000000000014</v>
      </c>
    </row>
    <row r="18" spans="1:28" x14ac:dyDescent="0.35">
      <c r="A18">
        <v>2036</v>
      </c>
      <c r="B18" s="3">
        <f>Flow_data_Biomass!B18*TC_data_Biomass!B18</f>
        <v>130</v>
      </c>
      <c r="C18" s="3">
        <f>Flow_data_Biomass!B18*TC_data_Biomass!D18</f>
        <v>130</v>
      </c>
      <c r="D18" s="3">
        <f>C18*TC_data_Biomass!F18</f>
        <v>39</v>
      </c>
      <c r="E18" s="3">
        <f>C18*TC_data_Biomass!H18</f>
        <v>39</v>
      </c>
      <c r="F18" s="3">
        <f>C18*TC_data_Biomass!J18</f>
        <v>13</v>
      </c>
      <c r="G18" s="3">
        <f>C18*TC_data_Biomass!L18</f>
        <v>26</v>
      </c>
      <c r="H18" s="3">
        <f>C18*TC_data_Biomass!N18</f>
        <v>13.000000000000011</v>
      </c>
      <c r="I18" s="3">
        <f t="shared" si="5"/>
        <v>0</v>
      </c>
      <c r="J18" s="3">
        <f>D18*TC_data_Biomass!P18</f>
        <v>39</v>
      </c>
      <c r="K18" s="3">
        <f>E18*TC_data_Biomass!R18</f>
        <v>27.299999999999997</v>
      </c>
      <c r="L18" s="3">
        <f>E18*TC_data_Biomass!T18</f>
        <v>5.85</v>
      </c>
      <c r="M18" s="3">
        <f>E18*TC_data_Biomass!V18</f>
        <v>5.8500000000000023</v>
      </c>
      <c r="N18" s="3">
        <f>F18*TC_data_Biomass!X18</f>
        <v>13</v>
      </c>
      <c r="O18" s="3">
        <f>G18*TC_data_Biomass!Z18</f>
        <v>26</v>
      </c>
      <c r="P18" s="3">
        <f>Model_validation_Carbon!P18</f>
        <v>30.8568214647158</v>
      </c>
      <c r="Q18" s="3"/>
      <c r="R18" s="3"/>
      <c r="S18" s="3">
        <f t="shared" si="0"/>
        <v>130</v>
      </c>
      <c r="T18" s="3">
        <f>SUM($S$2:S18)</f>
        <v>1430</v>
      </c>
      <c r="U18" s="3">
        <f t="shared" si="1"/>
        <v>13.000000000000011</v>
      </c>
      <c r="V18" s="3">
        <f>SUM($U$2:U18)</f>
        <v>143.00000000000014</v>
      </c>
      <c r="W18" s="3">
        <f t="shared" si="2"/>
        <v>35.443178535284197</v>
      </c>
      <c r="X18" s="3">
        <f>SUM($W$2:W18)</f>
        <v>415.26526624408137</v>
      </c>
      <c r="Y18" s="3">
        <f t="shared" si="3"/>
        <v>75.706821464715802</v>
      </c>
      <c r="Z18" s="3">
        <f>SUM($Y$2:Y18)</f>
        <v>807.38473375591866</v>
      </c>
      <c r="AA18" s="3">
        <f t="shared" si="4"/>
        <v>5.8500000000000023</v>
      </c>
      <c r="AB18" s="3">
        <f>SUM($AA$2:AA18)</f>
        <v>64.350000000000023</v>
      </c>
    </row>
    <row r="19" spans="1:28" x14ac:dyDescent="0.35">
      <c r="A19">
        <v>2037</v>
      </c>
      <c r="B19" s="3">
        <f>Flow_data_Biomass!B19*TC_data_Biomass!B19</f>
        <v>135</v>
      </c>
      <c r="C19" s="3">
        <f>Flow_data_Biomass!B19*TC_data_Biomass!D19</f>
        <v>135</v>
      </c>
      <c r="D19" s="3">
        <f>C19*TC_data_Biomass!F19</f>
        <v>40.5</v>
      </c>
      <c r="E19" s="3">
        <f>C19*TC_data_Biomass!H19</f>
        <v>40.5</v>
      </c>
      <c r="F19" s="3">
        <f>C19*TC_data_Biomass!J19</f>
        <v>13.5</v>
      </c>
      <c r="G19" s="3">
        <f>C19*TC_data_Biomass!L19</f>
        <v>27</v>
      </c>
      <c r="H19" s="3">
        <f>C19*TC_data_Biomass!N19</f>
        <v>13.500000000000012</v>
      </c>
      <c r="I19" s="3">
        <f t="shared" si="5"/>
        <v>0</v>
      </c>
      <c r="J19" s="3">
        <f>D19*TC_data_Biomass!P19</f>
        <v>40.5</v>
      </c>
      <c r="K19" s="3">
        <f>E19*TC_data_Biomass!R19</f>
        <v>28.349999999999998</v>
      </c>
      <c r="L19" s="3">
        <f>E19*TC_data_Biomass!T19</f>
        <v>6.0750000000000002</v>
      </c>
      <c r="M19" s="3">
        <f>E19*TC_data_Biomass!V19</f>
        <v>6.075000000000002</v>
      </c>
      <c r="N19" s="3">
        <f>F19*TC_data_Biomass!X19</f>
        <v>13.5</v>
      </c>
      <c r="O19" s="3">
        <f>G19*TC_data_Biomass!Z19</f>
        <v>27</v>
      </c>
      <c r="P19" s="3">
        <f>Model_validation_Carbon!P19</f>
        <v>32.316908311242436</v>
      </c>
      <c r="Q19" s="3"/>
      <c r="R19" s="3"/>
      <c r="S19" s="3">
        <f t="shared" si="0"/>
        <v>135</v>
      </c>
      <c r="T19" s="3">
        <f>SUM($S$2:S19)</f>
        <v>1565</v>
      </c>
      <c r="U19" s="3">
        <f t="shared" si="1"/>
        <v>13.500000000000012</v>
      </c>
      <c r="V19" s="3">
        <f>SUM($U$2:U19)</f>
        <v>156.50000000000014</v>
      </c>
      <c r="W19" s="3">
        <f t="shared" si="2"/>
        <v>36.533091688757558</v>
      </c>
      <c r="X19" s="3">
        <f>SUM($W$2:W19)</f>
        <v>451.79835793283894</v>
      </c>
      <c r="Y19" s="3">
        <f t="shared" si="3"/>
        <v>78.891908311242432</v>
      </c>
      <c r="Z19" s="3">
        <f>SUM($Y$2:Y19)</f>
        <v>886.27664206716111</v>
      </c>
      <c r="AA19" s="3">
        <f t="shared" si="4"/>
        <v>6.075000000000002</v>
      </c>
      <c r="AB19" s="3">
        <f>SUM($AA$2:AA19)</f>
        <v>70.425000000000026</v>
      </c>
    </row>
    <row r="20" spans="1:28" x14ac:dyDescent="0.35">
      <c r="A20">
        <v>2038</v>
      </c>
      <c r="B20" s="3">
        <f>Flow_data_Biomass!B20*TC_data_Biomass!B20</f>
        <v>140</v>
      </c>
      <c r="C20" s="3">
        <f>Flow_data_Biomass!B20*TC_data_Biomass!D20</f>
        <v>140</v>
      </c>
      <c r="D20" s="3">
        <f>C20*TC_data_Biomass!F20</f>
        <v>42</v>
      </c>
      <c r="E20" s="3">
        <f>C20*TC_data_Biomass!H20</f>
        <v>42</v>
      </c>
      <c r="F20" s="3">
        <f>C20*TC_data_Biomass!J20</f>
        <v>14</v>
      </c>
      <c r="G20" s="3">
        <f>C20*TC_data_Biomass!L20</f>
        <v>28</v>
      </c>
      <c r="H20" s="3">
        <f>C20*TC_data_Biomass!N20</f>
        <v>14.000000000000012</v>
      </c>
      <c r="I20" s="3">
        <f t="shared" si="5"/>
        <v>0</v>
      </c>
      <c r="J20" s="3">
        <f>D20*TC_data_Biomass!P20</f>
        <v>42</v>
      </c>
      <c r="K20" s="3">
        <f>E20*TC_data_Biomass!R20</f>
        <v>29.4</v>
      </c>
      <c r="L20" s="3">
        <f>E20*TC_data_Biomass!T20</f>
        <v>6.3</v>
      </c>
      <c r="M20" s="3">
        <f>E20*TC_data_Biomass!V20</f>
        <v>6.3000000000000025</v>
      </c>
      <c r="N20" s="3">
        <f>F20*TC_data_Biomass!X20</f>
        <v>14</v>
      </c>
      <c r="O20" s="3">
        <f>G20*TC_data_Biomass!Z20</f>
        <v>28</v>
      </c>
      <c r="P20" s="3">
        <f>Model_validation_Carbon!P20</f>
        <v>33.660992449419453</v>
      </c>
      <c r="Q20" s="3"/>
      <c r="R20" s="3"/>
      <c r="S20" s="3">
        <f t="shared" si="0"/>
        <v>140</v>
      </c>
      <c r="T20" s="3">
        <f>SUM($S$2:S20)</f>
        <v>1705</v>
      </c>
      <c r="U20" s="3">
        <f t="shared" si="1"/>
        <v>14.000000000000012</v>
      </c>
      <c r="V20" s="3">
        <f>SUM($U$2:U20)</f>
        <v>170.50000000000014</v>
      </c>
      <c r="W20" s="3">
        <f t="shared" si="2"/>
        <v>37.739007550580553</v>
      </c>
      <c r="X20" s="3">
        <f>SUM($W$2:W20)</f>
        <v>489.53736548341948</v>
      </c>
      <c r="Y20" s="3">
        <f t="shared" si="3"/>
        <v>81.96099244941945</v>
      </c>
      <c r="Z20" s="3">
        <f>SUM($Y$2:Y20)</f>
        <v>968.23763451658056</v>
      </c>
      <c r="AA20" s="3">
        <f t="shared" si="4"/>
        <v>6.3000000000000025</v>
      </c>
      <c r="AB20" s="3">
        <f>SUM($AA$2:AA20)</f>
        <v>76.725000000000023</v>
      </c>
    </row>
    <row r="21" spans="1:28" x14ac:dyDescent="0.35">
      <c r="A21">
        <v>2039</v>
      </c>
      <c r="B21" s="3">
        <f>Flow_data_Biomass!B21*TC_data_Biomass!B21</f>
        <v>145</v>
      </c>
      <c r="C21" s="3">
        <f>Flow_data_Biomass!B21*TC_data_Biomass!D21</f>
        <v>145</v>
      </c>
      <c r="D21" s="3">
        <f>C21*TC_data_Biomass!F21</f>
        <v>43.5</v>
      </c>
      <c r="E21" s="3">
        <f>C21*TC_data_Biomass!H21</f>
        <v>43.5</v>
      </c>
      <c r="F21" s="3">
        <f>C21*TC_data_Biomass!J21</f>
        <v>14.5</v>
      </c>
      <c r="G21" s="3">
        <f>C21*TC_data_Biomass!L21</f>
        <v>29</v>
      </c>
      <c r="H21" s="3">
        <f>C21*TC_data_Biomass!N21</f>
        <v>14.500000000000012</v>
      </c>
      <c r="I21" s="3">
        <f t="shared" si="5"/>
        <v>0</v>
      </c>
      <c r="J21" s="3">
        <f>D21*TC_data_Biomass!P21</f>
        <v>43.5</v>
      </c>
      <c r="K21" s="3">
        <f>E21*TC_data_Biomass!R21</f>
        <v>30.45</v>
      </c>
      <c r="L21" s="3">
        <f>E21*TC_data_Biomass!T21</f>
        <v>6.5249999999999995</v>
      </c>
      <c r="M21" s="3">
        <f>E21*TC_data_Biomass!V21</f>
        <v>6.5250000000000021</v>
      </c>
      <c r="N21" s="3">
        <f>F21*TC_data_Biomass!X21</f>
        <v>14.5</v>
      </c>
      <c r="O21" s="3">
        <f>G21*TC_data_Biomass!Z21</f>
        <v>29</v>
      </c>
      <c r="P21" s="3">
        <f>Model_validation_Carbon!P21</f>
        <v>34.961778280434586</v>
      </c>
      <c r="Q21" s="3"/>
      <c r="R21" s="3"/>
      <c r="S21" s="3">
        <f t="shared" si="0"/>
        <v>145</v>
      </c>
      <c r="T21" s="3">
        <f>SUM($S$2:S21)</f>
        <v>1850</v>
      </c>
      <c r="U21" s="3">
        <f t="shared" si="1"/>
        <v>14.500000000000012</v>
      </c>
      <c r="V21" s="3">
        <f>SUM($U$2:U21)</f>
        <v>185.00000000000014</v>
      </c>
      <c r="W21" s="3">
        <f t="shared" si="2"/>
        <v>38.988221719565416</v>
      </c>
      <c r="X21" s="3">
        <f>SUM($W$2:W21)</f>
        <v>528.52558720298487</v>
      </c>
      <c r="Y21" s="3">
        <f t="shared" si="3"/>
        <v>84.986778280434592</v>
      </c>
      <c r="Z21" s="3">
        <f>SUM($Y$2:Y21)</f>
        <v>1053.2244127970152</v>
      </c>
      <c r="AA21" s="3">
        <f t="shared" si="4"/>
        <v>6.5250000000000021</v>
      </c>
      <c r="AB21" s="3">
        <f>SUM($AA$2:AA21)</f>
        <v>83.250000000000028</v>
      </c>
    </row>
    <row r="22" spans="1:28" x14ac:dyDescent="0.35">
      <c r="A22">
        <v>2040</v>
      </c>
      <c r="B22" s="3">
        <f>Flow_data_Biomass!B22*TC_data_Biomass!B22</f>
        <v>150</v>
      </c>
      <c r="C22" s="3">
        <f>Flow_data_Biomass!B22*TC_data_Biomass!D22</f>
        <v>150</v>
      </c>
      <c r="D22" s="3">
        <f>C22*TC_data_Biomass!F22</f>
        <v>45</v>
      </c>
      <c r="E22" s="3">
        <f>C22*TC_data_Biomass!H22</f>
        <v>45</v>
      </c>
      <c r="F22" s="3">
        <f>C22*TC_data_Biomass!J22</f>
        <v>15</v>
      </c>
      <c r="G22" s="3">
        <f>C22*TC_data_Biomass!L22</f>
        <v>30</v>
      </c>
      <c r="H22" s="3">
        <f>C22*TC_data_Biomass!N22</f>
        <v>15.000000000000014</v>
      </c>
      <c r="I22" s="3">
        <f t="shared" si="5"/>
        <v>0</v>
      </c>
      <c r="J22" s="3">
        <f>D22*TC_data_Biomass!P22</f>
        <v>45</v>
      </c>
      <c r="K22" s="3">
        <f>E22*TC_data_Biomass!R22</f>
        <v>31.499999999999996</v>
      </c>
      <c r="L22" s="3">
        <f>E22*TC_data_Biomass!T22</f>
        <v>6.75</v>
      </c>
      <c r="M22" s="3">
        <f>E22*TC_data_Biomass!V22</f>
        <v>6.7500000000000027</v>
      </c>
      <c r="N22" s="3">
        <f>F22*TC_data_Biomass!X22</f>
        <v>15</v>
      </c>
      <c r="O22" s="3">
        <f>G22*TC_data_Biomass!Z22</f>
        <v>30</v>
      </c>
      <c r="P22" s="3">
        <f>Model_validation_Carbon!P22</f>
        <v>36.246402907717886</v>
      </c>
      <c r="Q22" s="3"/>
      <c r="R22" s="3"/>
      <c r="S22" s="3">
        <f t="shared" si="0"/>
        <v>150</v>
      </c>
      <c r="T22" s="3">
        <f>SUM($S$2:S22)</f>
        <v>2000</v>
      </c>
      <c r="U22" s="3">
        <f t="shared" si="1"/>
        <v>15.000000000000014</v>
      </c>
      <c r="V22" s="3">
        <f>SUM($U$2:U22)</f>
        <v>200.00000000000017</v>
      </c>
      <c r="W22" s="3">
        <f t="shared" si="2"/>
        <v>40.253597092282114</v>
      </c>
      <c r="X22" s="3">
        <f>SUM($W$2:W22)</f>
        <v>568.77918429526699</v>
      </c>
      <c r="Y22" s="3">
        <f t="shared" si="3"/>
        <v>87.996402907717879</v>
      </c>
      <c r="Z22" s="3">
        <f>SUM($Y$2:Y22)</f>
        <v>1141.220815704733</v>
      </c>
      <c r="AA22" s="3">
        <f t="shared" si="4"/>
        <v>6.7500000000000027</v>
      </c>
      <c r="AB22" s="3">
        <f>SUM($AA$2:AA22)</f>
        <v>90.000000000000028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8DCB-B80F-F449-834E-1FDA4FB8D60F}">
  <dimension ref="A1:AB22"/>
  <sheetViews>
    <sheetView tabSelected="1" topLeftCell="P1" workbookViewId="0">
      <selection activeCell="S2" sqref="S2:AB22"/>
    </sheetView>
  </sheetViews>
  <sheetFormatPr defaultColWidth="10.6640625" defaultRowHeight="15.5" outlineLevelCol="1" x14ac:dyDescent="0.35"/>
  <cols>
    <col min="9" max="9" width="0" hidden="1" customWidth="1" outlineLevel="1"/>
    <col min="10" max="10" width="10.83203125" collapsed="1"/>
  </cols>
  <sheetData>
    <row r="1" spans="1:28" x14ac:dyDescent="0.35">
      <c r="A1" t="s">
        <v>44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26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35</v>
      </c>
      <c r="S1" t="s">
        <v>34</v>
      </c>
      <c r="T1" t="s">
        <v>33</v>
      </c>
      <c r="U1" t="s">
        <v>38</v>
      </c>
      <c r="V1" t="s">
        <v>36</v>
      </c>
      <c r="W1" t="s">
        <v>37</v>
      </c>
      <c r="X1" t="s">
        <v>39</v>
      </c>
      <c r="Y1" t="s">
        <v>43</v>
      </c>
      <c r="Z1" t="s">
        <v>42</v>
      </c>
      <c r="AA1" t="s">
        <v>41</v>
      </c>
      <c r="AB1" t="s">
        <v>40</v>
      </c>
    </row>
    <row r="2" spans="1:28" x14ac:dyDescent="0.35">
      <c r="A2">
        <v>2020</v>
      </c>
      <c r="B2" s="3">
        <f>Flow_data_Carbon!B2*TC_data_Carbon!B2</f>
        <v>25</v>
      </c>
      <c r="C2" s="3">
        <f>Flow_data_Carbon!B2*TC_data_Carbon!D2</f>
        <v>25</v>
      </c>
      <c r="D2" s="3">
        <f>C2*TC_data_Carbon!F2</f>
        <v>7.5</v>
      </c>
      <c r="E2" s="3">
        <f>C2*TC_data_Carbon!H2</f>
        <v>7.5</v>
      </c>
      <c r="F2" s="3">
        <f>C2*TC_data_Carbon!J2</f>
        <v>2.5</v>
      </c>
      <c r="G2" s="3">
        <f>C2*TC_data_Carbon!L2</f>
        <v>5</v>
      </c>
      <c r="H2" s="3">
        <f>C2*TC_data_Carbon!N2</f>
        <v>2.5000000000000022</v>
      </c>
      <c r="I2" s="3">
        <f>SUM(D2:H2)-C2</f>
        <v>0</v>
      </c>
      <c r="J2" s="3">
        <f>D2*TC_data_Carbon!P2</f>
        <v>7.5</v>
      </c>
      <c r="K2" s="3">
        <f>E2*TC_data_Carbon!R2</f>
        <v>5.25</v>
      </c>
      <c r="L2" s="3">
        <f>E2*TC_data_Carbon!T2</f>
        <v>1.125</v>
      </c>
      <c r="M2" s="3">
        <f>E2*TC_data_Carbon!V2</f>
        <v>1.1250000000000004</v>
      </c>
      <c r="N2" s="3">
        <f>F2*TC_data_Carbon!X2</f>
        <v>2.5</v>
      </c>
      <c r="O2" s="3">
        <f>G2*TC_data_Carbon!Z2</f>
        <v>5</v>
      </c>
      <c r="P2" s="3">
        <f t="shared" ref="P2:P22" si="0">J2+K2-W2</f>
        <v>0</v>
      </c>
      <c r="Q2" s="3"/>
      <c r="R2" s="3"/>
      <c r="S2" s="3">
        <f t="shared" ref="S2:S22" si="1">B2</f>
        <v>25</v>
      </c>
      <c r="T2" s="3">
        <f>SUM($S$2:S2)</f>
        <v>25</v>
      </c>
      <c r="U2" s="3">
        <f t="shared" ref="U2:U22" si="2">H2</f>
        <v>2.5000000000000022</v>
      </c>
      <c r="V2" s="3">
        <f>SUM($U$2:U2)</f>
        <v>2.5000000000000022</v>
      </c>
      <c r="W2" s="3">
        <f>X2</f>
        <v>12.75</v>
      </c>
      <c r="X2" s="3" cm="1">
        <f t="array" ref="X2:X22">Sequestration_process!W11:W31</f>
        <v>12.75</v>
      </c>
      <c r="Y2" s="3">
        <f t="shared" ref="Y2:Y22" si="3">O2+P2+N2+L2</f>
        <v>8.625</v>
      </c>
      <c r="Z2" s="3">
        <f>SUM($Y$2:Y2)</f>
        <v>8.625</v>
      </c>
      <c r="AA2" s="3">
        <f t="shared" ref="AA2:AA22" si="4">M2</f>
        <v>1.1250000000000004</v>
      </c>
      <c r="AB2" s="3">
        <f>SUM($AA$2:AA2)</f>
        <v>1.1250000000000004</v>
      </c>
    </row>
    <row r="3" spans="1:28" x14ac:dyDescent="0.35">
      <c r="A3">
        <v>2021</v>
      </c>
      <c r="B3" s="3">
        <f>Flow_data_Carbon!B3*TC_data_Carbon!B3</f>
        <v>27.5</v>
      </c>
      <c r="C3" s="3">
        <f>Flow_data_Carbon!B3*TC_data_Carbon!D3</f>
        <v>27.5</v>
      </c>
      <c r="D3" s="3">
        <f>C3*TC_data_Carbon!F3</f>
        <v>8.25</v>
      </c>
      <c r="E3" s="3">
        <f>C3*TC_data_Carbon!H3</f>
        <v>8.25</v>
      </c>
      <c r="F3" s="3">
        <f>C3*TC_data_Carbon!J3</f>
        <v>2.75</v>
      </c>
      <c r="G3" s="3">
        <f>C3*TC_data_Carbon!L3</f>
        <v>5.5</v>
      </c>
      <c r="H3" s="3">
        <f>C3*TC_data_Carbon!N3</f>
        <v>2.7500000000000027</v>
      </c>
      <c r="I3" s="3">
        <f t="shared" ref="I3:I22" si="5">SUM(D3:H3)-C3</f>
        <v>0</v>
      </c>
      <c r="J3" s="3">
        <f>D3*TC_data_Carbon!P3</f>
        <v>8.25</v>
      </c>
      <c r="K3" s="3">
        <f>E3*TC_data_Carbon!R3</f>
        <v>5.7749999999999995</v>
      </c>
      <c r="L3" s="3">
        <f>E3*TC_data_Carbon!T3</f>
        <v>1.2375</v>
      </c>
      <c r="M3" s="3">
        <f>E3*TC_data_Carbon!V3</f>
        <v>1.2375000000000005</v>
      </c>
      <c r="N3" s="3">
        <f>F3*TC_data_Carbon!X3</f>
        <v>2.75</v>
      </c>
      <c r="O3" s="3">
        <f>G3*TC_data_Carbon!Z3</f>
        <v>5.5</v>
      </c>
      <c r="P3" s="3">
        <f t="shared" si="0"/>
        <v>8.2194604996048426</v>
      </c>
      <c r="Q3" s="3"/>
      <c r="R3" s="3"/>
      <c r="S3" s="3">
        <f t="shared" si="1"/>
        <v>27.5</v>
      </c>
      <c r="T3" s="3">
        <f>SUM($S$2:S3)</f>
        <v>52.5</v>
      </c>
      <c r="U3" s="3">
        <f t="shared" si="2"/>
        <v>2.7500000000000027</v>
      </c>
      <c r="V3" s="3">
        <f>SUM($U$2:U3)</f>
        <v>5.2500000000000053</v>
      </c>
      <c r="W3" s="3">
        <f t="shared" ref="W3:W22" si="6">X3-X2</f>
        <v>5.805539500395156</v>
      </c>
      <c r="X3" s="3">
        <v>18.555539500395156</v>
      </c>
      <c r="Y3" s="3">
        <f t="shared" si="3"/>
        <v>17.706960499604843</v>
      </c>
      <c r="Z3" s="3">
        <f>SUM($Y$2:Y3)</f>
        <v>26.331960499604843</v>
      </c>
      <c r="AA3" s="3">
        <f t="shared" si="4"/>
        <v>1.2375000000000005</v>
      </c>
      <c r="AB3" s="3">
        <f>SUM($AA$2:AA3)</f>
        <v>2.3625000000000007</v>
      </c>
    </row>
    <row r="4" spans="1:28" x14ac:dyDescent="0.35">
      <c r="A4">
        <v>2022</v>
      </c>
      <c r="B4" s="3">
        <f>Flow_data_Carbon!B4*TC_data_Carbon!B4</f>
        <v>30</v>
      </c>
      <c r="C4" s="3">
        <f>Flow_data_Carbon!B4*TC_data_Carbon!D4</f>
        <v>30</v>
      </c>
      <c r="D4" s="3">
        <f>C4*TC_data_Carbon!F4</f>
        <v>9</v>
      </c>
      <c r="E4" s="3">
        <f>C4*TC_data_Carbon!H4</f>
        <v>9</v>
      </c>
      <c r="F4" s="3">
        <f>C4*TC_data_Carbon!J4</f>
        <v>3</v>
      </c>
      <c r="G4" s="3">
        <f>C4*TC_data_Carbon!L4</f>
        <v>6</v>
      </c>
      <c r="H4" s="3">
        <f>C4*TC_data_Carbon!N4</f>
        <v>3.0000000000000027</v>
      </c>
      <c r="I4" s="3">
        <f t="shared" si="5"/>
        <v>0</v>
      </c>
      <c r="J4" s="3">
        <f>D4*TC_data_Carbon!P4</f>
        <v>9</v>
      </c>
      <c r="K4" s="3">
        <f>E4*TC_data_Carbon!R4</f>
        <v>6.3</v>
      </c>
      <c r="L4" s="3">
        <f>E4*TC_data_Carbon!T4</f>
        <v>1.3499999999999999</v>
      </c>
      <c r="M4" s="3">
        <f>E4*TC_data_Carbon!V4</f>
        <v>1.3500000000000005</v>
      </c>
      <c r="N4" s="3">
        <f>F4*TC_data_Carbon!X4</f>
        <v>3</v>
      </c>
      <c r="O4" s="3">
        <f>G4*TC_data_Carbon!Z4</f>
        <v>6</v>
      </c>
      <c r="P4" s="3">
        <f t="shared" si="0"/>
        <v>11.880910610461324</v>
      </c>
      <c r="Q4" s="3"/>
      <c r="R4" s="3"/>
      <c r="S4" s="3">
        <f t="shared" si="1"/>
        <v>30</v>
      </c>
      <c r="T4" s="3">
        <f>SUM($S$2:S4)</f>
        <v>82.5</v>
      </c>
      <c r="U4" s="3">
        <f t="shared" si="2"/>
        <v>3.0000000000000027</v>
      </c>
      <c r="V4" s="3">
        <f>SUM($U$2:U4)</f>
        <v>8.2500000000000071</v>
      </c>
      <c r="W4" s="3">
        <f t="shared" si="6"/>
        <v>3.4190893895386765</v>
      </c>
      <c r="X4" s="3">
        <v>21.974628889933832</v>
      </c>
      <c r="Y4" s="3">
        <f t="shared" si="3"/>
        <v>22.230910610461326</v>
      </c>
      <c r="Z4" s="3">
        <f>SUM($Y$2:Y4)</f>
        <v>48.562871110066169</v>
      </c>
      <c r="AA4" s="3">
        <f t="shared" si="4"/>
        <v>1.3500000000000005</v>
      </c>
      <c r="AB4" s="3">
        <f>SUM($AA$2:AA4)</f>
        <v>3.7125000000000012</v>
      </c>
    </row>
    <row r="5" spans="1:28" x14ac:dyDescent="0.35">
      <c r="A5">
        <v>2023</v>
      </c>
      <c r="B5" s="3">
        <f>Flow_data_Carbon!B5*TC_data_Carbon!B5</f>
        <v>32.5</v>
      </c>
      <c r="C5" s="3">
        <f>Flow_data_Carbon!B5*TC_data_Carbon!D5</f>
        <v>32.5</v>
      </c>
      <c r="D5" s="3">
        <f>C5*TC_data_Carbon!F5</f>
        <v>9.75</v>
      </c>
      <c r="E5" s="3">
        <f>C5*TC_data_Carbon!H5</f>
        <v>9.75</v>
      </c>
      <c r="F5" s="3">
        <f>C5*TC_data_Carbon!J5</f>
        <v>3.25</v>
      </c>
      <c r="G5" s="3">
        <f>C5*TC_data_Carbon!L5</f>
        <v>6.5</v>
      </c>
      <c r="H5" s="3">
        <f>C5*TC_data_Carbon!N5</f>
        <v>3.2500000000000027</v>
      </c>
      <c r="I5" s="3">
        <f t="shared" si="5"/>
        <v>0</v>
      </c>
      <c r="J5" s="3">
        <f>D5*TC_data_Carbon!P5</f>
        <v>9.75</v>
      </c>
      <c r="K5" s="3">
        <f>E5*TC_data_Carbon!R5</f>
        <v>6.8249999999999993</v>
      </c>
      <c r="L5" s="3">
        <f>E5*TC_data_Carbon!T5</f>
        <v>1.4624999999999999</v>
      </c>
      <c r="M5" s="3">
        <f>E5*TC_data_Carbon!V5</f>
        <v>1.4625000000000006</v>
      </c>
      <c r="N5" s="3">
        <f>F5*TC_data_Carbon!X5</f>
        <v>3.25</v>
      </c>
      <c r="O5" s="3">
        <f>G5*TC_data_Carbon!Z5</f>
        <v>6.5</v>
      </c>
      <c r="P5" s="3">
        <f t="shared" si="0"/>
        <v>14.046659209320914</v>
      </c>
      <c r="Q5" s="3"/>
      <c r="R5" s="3"/>
      <c r="S5" s="3">
        <f t="shared" si="1"/>
        <v>32.5</v>
      </c>
      <c r="T5" s="3">
        <f>SUM($S$2:S5)</f>
        <v>115</v>
      </c>
      <c r="U5" s="3">
        <f t="shared" si="2"/>
        <v>3.2500000000000027</v>
      </c>
      <c r="V5" s="3">
        <f>SUM($U$2:U5)</f>
        <v>11.500000000000011</v>
      </c>
      <c r="W5" s="3">
        <f t="shared" si="6"/>
        <v>2.5283407906790849</v>
      </c>
      <c r="X5" s="3">
        <v>24.502969680612917</v>
      </c>
      <c r="Y5" s="3">
        <f t="shared" si="3"/>
        <v>25.259159209320913</v>
      </c>
      <c r="Z5" s="3">
        <f>SUM($Y$2:Y5)</f>
        <v>73.822030319387082</v>
      </c>
      <c r="AA5" s="3">
        <f t="shared" si="4"/>
        <v>1.4625000000000006</v>
      </c>
      <c r="AB5" s="3">
        <f>SUM($AA$2:AA5)</f>
        <v>5.1750000000000016</v>
      </c>
    </row>
    <row r="6" spans="1:28" x14ac:dyDescent="0.35">
      <c r="A6">
        <v>2024</v>
      </c>
      <c r="B6" s="3">
        <f>Flow_data_Carbon!B6*TC_data_Carbon!B6</f>
        <v>35</v>
      </c>
      <c r="C6" s="3">
        <f>Flow_data_Carbon!B6*TC_data_Carbon!D6</f>
        <v>35</v>
      </c>
      <c r="D6" s="3">
        <f>C6*TC_data_Carbon!F6</f>
        <v>10.5</v>
      </c>
      <c r="E6" s="3">
        <f>C6*TC_data_Carbon!H6</f>
        <v>10.5</v>
      </c>
      <c r="F6" s="3">
        <f>C6*TC_data_Carbon!J6</f>
        <v>3.5</v>
      </c>
      <c r="G6" s="3">
        <f>C6*TC_data_Carbon!L6</f>
        <v>7</v>
      </c>
      <c r="H6" s="3">
        <f>C6*TC_data_Carbon!N6</f>
        <v>3.5000000000000031</v>
      </c>
      <c r="I6" s="3">
        <f t="shared" si="5"/>
        <v>0</v>
      </c>
      <c r="J6" s="3">
        <f>D6*TC_data_Carbon!P6</f>
        <v>10.5</v>
      </c>
      <c r="K6" s="3">
        <f>E6*TC_data_Carbon!R6</f>
        <v>7.35</v>
      </c>
      <c r="L6" s="3">
        <f>E6*TC_data_Carbon!T6</f>
        <v>1.575</v>
      </c>
      <c r="M6" s="3">
        <f>E6*TC_data_Carbon!V6</f>
        <v>1.5750000000000006</v>
      </c>
      <c r="N6" s="3">
        <f>F6*TC_data_Carbon!X6</f>
        <v>3.5</v>
      </c>
      <c r="O6" s="3">
        <f>G6*TC_data_Carbon!Z6</f>
        <v>7</v>
      </c>
      <c r="P6" s="3">
        <f t="shared" si="0"/>
        <v>15.654133398813006</v>
      </c>
      <c r="Q6" s="3"/>
      <c r="R6" s="3"/>
      <c r="S6" s="3">
        <f t="shared" si="1"/>
        <v>35</v>
      </c>
      <c r="T6" s="3">
        <f>SUM($S$2:S6)</f>
        <v>150</v>
      </c>
      <c r="U6" s="3">
        <f t="shared" si="2"/>
        <v>3.5000000000000031</v>
      </c>
      <c r="V6" s="3">
        <f>SUM($U$2:U6)</f>
        <v>15.000000000000014</v>
      </c>
      <c r="W6" s="3">
        <f t="shared" si="6"/>
        <v>2.1958666011869958</v>
      </c>
      <c r="X6" s="3">
        <v>26.698836281799913</v>
      </c>
      <c r="Y6" s="3">
        <f t="shared" si="3"/>
        <v>27.729133398813005</v>
      </c>
      <c r="Z6" s="3">
        <f>SUM($Y$2:Y6)</f>
        <v>101.55116371820009</v>
      </c>
      <c r="AA6" s="3">
        <f t="shared" si="4"/>
        <v>1.5750000000000006</v>
      </c>
      <c r="AB6" s="3">
        <f>SUM($AA$2:AA6)</f>
        <v>6.7500000000000018</v>
      </c>
    </row>
    <row r="7" spans="1:28" x14ac:dyDescent="0.35">
      <c r="A7">
        <v>2025</v>
      </c>
      <c r="B7" s="3">
        <f>Flow_data_Carbon!B7*TC_data_Carbon!B7</f>
        <v>37.5</v>
      </c>
      <c r="C7" s="3">
        <f>Flow_data_Carbon!B7*TC_data_Carbon!D7</f>
        <v>37.5</v>
      </c>
      <c r="D7" s="3">
        <f>C7*TC_data_Carbon!F7</f>
        <v>11.25</v>
      </c>
      <c r="E7" s="3">
        <f>C7*TC_data_Carbon!H7</f>
        <v>11.25</v>
      </c>
      <c r="F7" s="3">
        <f>C7*TC_data_Carbon!J7</f>
        <v>3.75</v>
      </c>
      <c r="G7" s="3">
        <f>C7*TC_data_Carbon!L7</f>
        <v>7.5</v>
      </c>
      <c r="H7" s="3">
        <f>C7*TC_data_Carbon!N7</f>
        <v>3.7500000000000036</v>
      </c>
      <c r="I7" s="3">
        <f t="shared" si="5"/>
        <v>0</v>
      </c>
      <c r="J7" s="3">
        <f>D7*TC_data_Carbon!P7</f>
        <v>11.25</v>
      </c>
      <c r="K7" s="3">
        <f>E7*TC_data_Carbon!R7</f>
        <v>7.8749999999999991</v>
      </c>
      <c r="L7" s="3">
        <f>E7*TC_data_Carbon!T7</f>
        <v>1.6875</v>
      </c>
      <c r="M7" s="3">
        <f>E7*TC_data_Carbon!V7</f>
        <v>1.6875000000000007</v>
      </c>
      <c r="N7" s="3">
        <f>F7*TC_data_Carbon!X7</f>
        <v>3.75</v>
      </c>
      <c r="O7" s="3">
        <f>G7*TC_data_Carbon!Z7</f>
        <v>7.5</v>
      </c>
      <c r="P7" s="3">
        <f t="shared" si="0"/>
        <v>17.053230239178454</v>
      </c>
      <c r="Q7" s="3"/>
      <c r="R7" s="3"/>
      <c r="S7" s="3">
        <f t="shared" si="1"/>
        <v>37.5</v>
      </c>
      <c r="T7" s="3">
        <f>SUM($S$2:S7)</f>
        <v>187.5</v>
      </c>
      <c r="U7" s="3">
        <f t="shared" si="2"/>
        <v>3.7500000000000036</v>
      </c>
      <c r="V7" s="3">
        <f>SUM($U$2:U7)</f>
        <v>18.750000000000018</v>
      </c>
      <c r="W7" s="3">
        <f t="shared" si="6"/>
        <v>2.071769760821546</v>
      </c>
      <c r="X7" s="3">
        <v>28.770606042621459</v>
      </c>
      <c r="Y7" s="3">
        <f t="shared" si="3"/>
        <v>29.990730239178454</v>
      </c>
      <c r="Z7" s="3">
        <f>SUM($Y$2:Y7)</f>
        <v>131.54189395737853</v>
      </c>
      <c r="AA7" s="3">
        <f t="shared" si="4"/>
        <v>1.6875000000000007</v>
      </c>
      <c r="AB7" s="3">
        <f>SUM($AA$2:AA7)</f>
        <v>8.4375000000000018</v>
      </c>
    </row>
    <row r="8" spans="1:28" x14ac:dyDescent="0.35">
      <c r="A8">
        <v>2026</v>
      </c>
      <c r="B8" s="3">
        <f>Flow_data_Carbon!B8*TC_data_Carbon!B8</f>
        <v>40</v>
      </c>
      <c r="C8" s="3">
        <f>Flow_data_Carbon!B8*TC_data_Carbon!D8</f>
        <v>40</v>
      </c>
      <c r="D8" s="3">
        <f>C8*TC_data_Carbon!F8</f>
        <v>12</v>
      </c>
      <c r="E8" s="3">
        <f>C8*TC_data_Carbon!H8</f>
        <v>12</v>
      </c>
      <c r="F8" s="3">
        <f>C8*TC_data_Carbon!J8</f>
        <v>4</v>
      </c>
      <c r="G8" s="3">
        <f>C8*TC_data_Carbon!L8</f>
        <v>8</v>
      </c>
      <c r="H8" s="3">
        <f>C8*TC_data_Carbon!N8</f>
        <v>4.0000000000000036</v>
      </c>
      <c r="I8" s="3">
        <f t="shared" si="5"/>
        <v>0</v>
      </c>
      <c r="J8" s="3">
        <f>D8*TC_data_Carbon!P8</f>
        <v>12</v>
      </c>
      <c r="K8" s="3">
        <f>E8*TC_data_Carbon!R8</f>
        <v>8.3999999999999986</v>
      </c>
      <c r="L8" s="3">
        <f>E8*TC_data_Carbon!T8</f>
        <v>1.7999999999999998</v>
      </c>
      <c r="M8" s="3">
        <f>E8*TC_data_Carbon!V8</f>
        <v>1.8000000000000007</v>
      </c>
      <c r="N8" s="3">
        <f>F8*TC_data_Carbon!X8</f>
        <v>4</v>
      </c>
      <c r="O8" s="3">
        <f>G8*TC_data_Carbon!Z8</f>
        <v>8</v>
      </c>
      <c r="P8" s="3">
        <f t="shared" si="0"/>
        <v>18.3745497017876</v>
      </c>
      <c r="Q8" s="3"/>
      <c r="R8" s="3"/>
      <c r="S8" s="3">
        <f t="shared" si="1"/>
        <v>40</v>
      </c>
      <c r="T8" s="3">
        <f>SUM($S$2:S8)</f>
        <v>227.5</v>
      </c>
      <c r="U8" s="3">
        <f t="shared" si="2"/>
        <v>4.0000000000000036</v>
      </c>
      <c r="V8" s="3">
        <f>SUM($U$2:U8)</f>
        <v>22.750000000000021</v>
      </c>
      <c r="W8" s="3">
        <f t="shared" si="6"/>
        <v>2.0254502982123981</v>
      </c>
      <c r="X8" s="3">
        <v>30.796056340833857</v>
      </c>
      <c r="Y8" s="3">
        <f t="shared" si="3"/>
        <v>32.174549701787598</v>
      </c>
      <c r="Z8" s="3">
        <f>SUM($Y$2:Y8)</f>
        <v>163.71644365916615</v>
      </c>
      <c r="AA8" s="3">
        <f t="shared" si="4"/>
        <v>1.8000000000000007</v>
      </c>
      <c r="AB8" s="3">
        <f>SUM($AA$2:AA8)</f>
        <v>10.237500000000002</v>
      </c>
    </row>
    <row r="9" spans="1:28" x14ac:dyDescent="0.35">
      <c r="A9">
        <v>2027</v>
      </c>
      <c r="B9" s="3">
        <f>Flow_data_Carbon!B9*TC_data_Carbon!B9</f>
        <v>42.5</v>
      </c>
      <c r="C9" s="3">
        <f>Flow_data_Carbon!B9*TC_data_Carbon!D9</f>
        <v>42.5</v>
      </c>
      <c r="D9" s="3">
        <f>C9*TC_data_Carbon!F9</f>
        <v>12.75</v>
      </c>
      <c r="E9" s="3">
        <f>C9*TC_data_Carbon!H9</f>
        <v>12.75</v>
      </c>
      <c r="F9" s="3">
        <f>C9*TC_data_Carbon!J9</f>
        <v>4.25</v>
      </c>
      <c r="G9" s="3">
        <f>C9*TC_data_Carbon!L9</f>
        <v>8.5</v>
      </c>
      <c r="H9" s="3">
        <f>C9*TC_data_Carbon!N9</f>
        <v>4.2500000000000036</v>
      </c>
      <c r="I9" s="3">
        <f t="shared" si="5"/>
        <v>0</v>
      </c>
      <c r="J9" s="3">
        <f>D9*TC_data_Carbon!P9</f>
        <v>12.75</v>
      </c>
      <c r="K9" s="3">
        <f>E9*TC_data_Carbon!R9</f>
        <v>8.9249999999999989</v>
      </c>
      <c r="L9" s="3">
        <f>E9*TC_data_Carbon!T9</f>
        <v>1.9124999999999999</v>
      </c>
      <c r="M9" s="3">
        <f>E9*TC_data_Carbon!V9</f>
        <v>1.9125000000000005</v>
      </c>
      <c r="N9" s="3">
        <f>F9*TC_data_Carbon!X9</f>
        <v>4.25</v>
      </c>
      <c r="O9" s="3">
        <f>G9*TC_data_Carbon!Z9</f>
        <v>8.5</v>
      </c>
      <c r="P9" s="3">
        <f t="shared" si="0"/>
        <v>19.666838559506161</v>
      </c>
      <c r="Q9" s="3"/>
      <c r="R9" s="3"/>
      <c r="S9" s="3">
        <f t="shared" si="1"/>
        <v>42.5</v>
      </c>
      <c r="T9" s="3">
        <f>SUM($S$2:S9)</f>
        <v>270</v>
      </c>
      <c r="U9" s="3">
        <f t="shared" si="2"/>
        <v>4.2500000000000036</v>
      </c>
      <c r="V9" s="3">
        <f>SUM($U$2:U9)</f>
        <v>27.000000000000025</v>
      </c>
      <c r="W9" s="3">
        <f t="shared" si="6"/>
        <v>2.0081614404938364</v>
      </c>
      <c r="X9" s="3">
        <v>32.804217781327694</v>
      </c>
      <c r="Y9" s="3">
        <f t="shared" si="3"/>
        <v>34.329338559506162</v>
      </c>
      <c r="Z9" s="3">
        <f>SUM($Y$2:Y9)</f>
        <v>198.04578221867231</v>
      </c>
      <c r="AA9" s="3">
        <f t="shared" si="4"/>
        <v>1.9125000000000005</v>
      </c>
      <c r="AB9" s="3">
        <f>SUM($AA$2:AA9)</f>
        <v>12.150000000000002</v>
      </c>
    </row>
    <row r="10" spans="1:28" x14ac:dyDescent="0.35">
      <c r="A10">
        <v>2028</v>
      </c>
      <c r="B10" s="3">
        <f>Flow_data_Carbon!B10*TC_data_Carbon!B10</f>
        <v>45</v>
      </c>
      <c r="C10" s="3">
        <f>Flow_data_Carbon!B10*TC_data_Carbon!D10</f>
        <v>45</v>
      </c>
      <c r="D10" s="3">
        <f>C10*TC_data_Carbon!F10</f>
        <v>13.5</v>
      </c>
      <c r="E10" s="3">
        <f>C10*TC_data_Carbon!H10</f>
        <v>13.5</v>
      </c>
      <c r="F10" s="3">
        <f>C10*TC_data_Carbon!J10</f>
        <v>4.5</v>
      </c>
      <c r="G10" s="3">
        <f>C10*TC_data_Carbon!L10</f>
        <v>9</v>
      </c>
      <c r="H10" s="3">
        <f>C10*TC_data_Carbon!N10</f>
        <v>4.5000000000000036</v>
      </c>
      <c r="I10" s="3">
        <f t="shared" si="5"/>
        <v>0</v>
      </c>
      <c r="J10" s="3">
        <f>D10*TC_data_Carbon!P10</f>
        <v>13.5</v>
      </c>
      <c r="K10" s="3">
        <f>E10*TC_data_Carbon!R10</f>
        <v>9.4499999999999993</v>
      </c>
      <c r="L10" s="3">
        <f>E10*TC_data_Carbon!T10</f>
        <v>2.0249999999999999</v>
      </c>
      <c r="M10" s="3">
        <f>E10*TC_data_Carbon!V10</f>
        <v>2.0250000000000008</v>
      </c>
      <c r="N10" s="3">
        <f>F10*TC_data_Carbon!X10</f>
        <v>4.5</v>
      </c>
      <c r="O10" s="3">
        <f>G10*TC_data_Carbon!Z10</f>
        <v>9</v>
      </c>
      <c r="P10" s="3">
        <f t="shared" si="0"/>
        <v>20.948291669805268</v>
      </c>
      <c r="Q10" s="3"/>
      <c r="R10" s="3"/>
      <c r="S10" s="3">
        <f t="shared" si="1"/>
        <v>45</v>
      </c>
      <c r="T10" s="3">
        <f>SUM($S$2:S10)</f>
        <v>315</v>
      </c>
      <c r="U10" s="3">
        <f t="shared" si="2"/>
        <v>4.5000000000000036</v>
      </c>
      <c r="V10" s="3">
        <f>SUM($U$2:U10)</f>
        <v>31.500000000000028</v>
      </c>
      <c r="W10" s="3">
        <f t="shared" si="6"/>
        <v>2.0017083301947309</v>
      </c>
      <c r="X10" s="3">
        <v>34.805926111522425</v>
      </c>
      <c r="Y10" s="3">
        <f t="shared" si="3"/>
        <v>36.47329166980527</v>
      </c>
      <c r="Z10" s="3">
        <f>SUM($Y$2:Y10)</f>
        <v>234.51907388847758</v>
      </c>
      <c r="AA10" s="3">
        <f t="shared" si="4"/>
        <v>2.0250000000000008</v>
      </c>
      <c r="AB10" s="3">
        <f>SUM($AA$2:AA10)</f>
        <v>14.175000000000002</v>
      </c>
    </row>
    <row r="11" spans="1:28" x14ac:dyDescent="0.35">
      <c r="A11">
        <v>2029</v>
      </c>
      <c r="B11" s="3">
        <f>Flow_data_Carbon!B11*TC_data_Carbon!B11</f>
        <v>47.5</v>
      </c>
      <c r="C11" s="3">
        <f>Flow_data_Carbon!B11*TC_data_Carbon!D11</f>
        <v>47.5</v>
      </c>
      <c r="D11" s="3">
        <f>C11*TC_data_Carbon!F11</f>
        <v>14.25</v>
      </c>
      <c r="E11" s="3">
        <f>C11*TC_data_Carbon!H11</f>
        <v>14.25</v>
      </c>
      <c r="F11" s="3">
        <f>C11*TC_data_Carbon!J11</f>
        <v>4.75</v>
      </c>
      <c r="G11" s="3">
        <f>C11*TC_data_Carbon!L11</f>
        <v>9.5</v>
      </c>
      <c r="H11" s="3">
        <f>C11*TC_data_Carbon!N11</f>
        <v>4.7500000000000044</v>
      </c>
      <c r="I11" s="3">
        <f t="shared" si="5"/>
        <v>0</v>
      </c>
      <c r="J11" s="3">
        <f>D11*TC_data_Carbon!P11</f>
        <v>14.25</v>
      </c>
      <c r="K11" s="3">
        <f>E11*TC_data_Carbon!R11</f>
        <v>9.9749999999999996</v>
      </c>
      <c r="L11" s="3">
        <f>E11*TC_data_Carbon!T11</f>
        <v>2.1374999999999997</v>
      </c>
      <c r="M11" s="3">
        <f>E11*TC_data_Carbon!V11</f>
        <v>2.1375000000000006</v>
      </c>
      <c r="N11" s="3">
        <f>F11*TC_data_Carbon!X11</f>
        <v>4.75</v>
      </c>
      <c r="O11" s="3">
        <f>G11*TC_data_Carbon!Z11</f>
        <v>9.5</v>
      </c>
      <c r="P11" s="3">
        <f t="shared" si="0"/>
        <v>22.22570030970563</v>
      </c>
      <c r="Q11" s="3"/>
      <c r="R11" s="3"/>
      <c r="S11" s="3">
        <f t="shared" si="1"/>
        <v>47.5</v>
      </c>
      <c r="T11" s="3">
        <f>SUM($S$2:S11)</f>
        <v>362.5</v>
      </c>
      <c r="U11" s="3">
        <f t="shared" si="2"/>
        <v>4.7500000000000044</v>
      </c>
      <c r="V11" s="3">
        <f>SUM($U$2:U11)</f>
        <v>36.250000000000036</v>
      </c>
      <c r="W11" s="3">
        <f t="shared" si="6"/>
        <v>1.9992996902943716</v>
      </c>
      <c r="X11" s="3">
        <v>36.805225801816796</v>
      </c>
      <c r="Y11" s="3">
        <f t="shared" si="3"/>
        <v>38.613200309705633</v>
      </c>
      <c r="Z11" s="3">
        <f>SUM($Y$2:Y11)</f>
        <v>273.13227419818321</v>
      </c>
      <c r="AA11" s="3">
        <f t="shared" si="4"/>
        <v>2.1375000000000006</v>
      </c>
      <c r="AB11" s="3">
        <f>SUM($AA$2:AA11)</f>
        <v>16.312500000000004</v>
      </c>
    </row>
    <row r="12" spans="1:28" x14ac:dyDescent="0.35">
      <c r="A12">
        <v>2030</v>
      </c>
      <c r="B12" s="3">
        <f>Flow_data_Carbon!B12*TC_data_Carbon!B12</f>
        <v>50</v>
      </c>
      <c r="C12" s="3">
        <f>Flow_data_Carbon!B12*TC_data_Carbon!D12</f>
        <v>50</v>
      </c>
      <c r="D12" s="3">
        <f>C12*TC_data_Carbon!F12</f>
        <v>15</v>
      </c>
      <c r="E12" s="3">
        <f>C12*TC_data_Carbon!H12</f>
        <v>15</v>
      </c>
      <c r="F12" s="3">
        <f>C12*TC_data_Carbon!J12</f>
        <v>5</v>
      </c>
      <c r="G12" s="3">
        <f>C12*TC_data_Carbon!L12</f>
        <v>10</v>
      </c>
      <c r="H12" s="3">
        <f>C12*TC_data_Carbon!N12</f>
        <v>5.0000000000000044</v>
      </c>
      <c r="I12" s="3">
        <f t="shared" si="5"/>
        <v>0</v>
      </c>
      <c r="J12" s="3">
        <f>D12*TC_data_Carbon!P12</f>
        <v>15</v>
      </c>
      <c r="K12" s="3">
        <f>E12*TC_data_Carbon!R12</f>
        <v>10.5</v>
      </c>
      <c r="L12" s="3">
        <f>E12*TC_data_Carbon!T12</f>
        <v>2.25</v>
      </c>
      <c r="M12" s="3">
        <f>E12*TC_data_Carbon!V12</f>
        <v>2.2500000000000009</v>
      </c>
      <c r="N12" s="3">
        <f>F12*TC_data_Carbon!X12</f>
        <v>5</v>
      </c>
      <c r="O12" s="3">
        <f>G12*TC_data_Carbon!Z12</f>
        <v>10</v>
      </c>
      <c r="P12" s="3">
        <f t="shared" si="0"/>
        <v>23.501599340700096</v>
      </c>
      <c r="Q12" s="3"/>
      <c r="R12" s="3"/>
      <c r="S12" s="3">
        <f t="shared" si="1"/>
        <v>50</v>
      </c>
      <c r="T12" s="3">
        <f>SUM($S$2:S12)</f>
        <v>412.5</v>
      </c>
      <c r="U12" s="3">
        <f t="shared" si="2"/>
        <v>5.0000000000000044</v>
      </c>
      <c r="V12" s="3">
        <f>SUM($U$2:U12)</f>
        <v>41.250000000000043</v>
      </c>
      <c r="W12" s="3">
        <f t="shared" si="6"/>
        <v>1.9984006592999037</v>
      </c>
      <c r="X12" s="3">
        <v>38.8036264611167</v>
      </c>
      <c r="Y12" s="3">
        <f t="shared" si="3"/>
        <v>40.751599340700096</v>
      </c>
      <c r="Z12" s="3">
        <f>SUM($Y$2:Y12)</f>
        <v>313.88387353888334</v>
      </c>
      <c r="AA12" s="3">
        <f t="shared" si="4"/>
        <v>2.2500000000000009</v>
      </c>
      <c r="AB12" s="3">
        <f>SUM($AA$2:AA12)</f>
        <v>18.562500000000004</v>
      </c>
    </row>
    <row r="13" spans="1:28" x14ac:dyDescent="0.35">
      <c r="A13">
        <v>2031</v>
      </c>
      <c r="B13" s="3">
        <f>Flow_data_Carbon!B13*TC_data_Carbon!B13</f>
        <v>2.5</v>
      </c>
      <c r="C13" s="3">
        <f>Flow_data_Carbon!B13*TC_data_Carbon!D13</f>
        <v>2.5</v>
      </c>
      <c r="D13" s="3">
        <f>C13*TC_data_Carbon!F13</f>
        <v>0.75</v>
      </c>
      <c r="E13" s="3">
        <f>C13*TC_data_Carbon!H13</f>
        <v>0.75</v>
      </c>
      <c r="F13" s="3">
        <f>C13*TC_data_Carbon!J13</f>
        <v>0.25</v>
      </c>
      <c r="G13" s="3">
        <f>C13*TC_data_Carbon!L13</f>
        <v>0.5</v>
      </c>
      <c r="H13" s="3">
        <f>C13*TC_data_Carbon!N13</f>
        <v>0.25000000000000022</v>
      </c>
      <c r="I13" s="3">
        <f t="shared" si="5"/>
        <v>0</v>
      </c>
      <c r="J13" s="3">
        <f>D13*TC_data_Carbon!P13</f>
        <v>0.75</v>
      </c>
      <c r="K13" s="3">
        <f>E13*TC_data_Carbon!R13</f>
        <v>0.52499999999999991</v>
      </c>
      <c r="L13" s="3">
        <f>E13*TC_data_Carbon!T13</f>
        <v>0.11249999999999999</v>
      </c>
      <c r="M13" s="3">
        <f>E13*TC_data_Carbon!V13</f>
        <v>0.11250000000000004</v>
      </c>
      <c r="N13" s="3">
        <f>F13*TC_data_Carbon!X13</f>
        <v>0.25</v>
      </c>
      <c r="O13" s="3">
        <f>G13*TC_data_Carbon!Z13</f>
        <v>0.5</v>
      </c>
      <c r="P13" s="3">
        <f t="shared" si="0"/>
        <v>24.776934906314899</v>
      </c>
      <c r="Q13" s="3"/>
      <c r="R13" s="3"/>
      <c r="S13" s="3">
        <f t="shared" si="1"/>
        <v>2.5</v>
      </c>
      <c r="T13" s="3">
        <f>SUM($S$2:S13)</f>
        <v>415</v>
      </c>
      <c r="U13" s="3">
        <f t="shared" si="2"/>
        <v>0.25000000000000022</v>
      </c>
      <c r="V13" s="3">
        <f>SUM($U$2:U13)</f>
        <v>41.500000000000043</v>
      </c>
      <c r="W13" s="3">
        <f t="shared" si="6"/>
        <v>-23.501934906314901</v>
      </c>
      <c r="X13" s="3">
        <v>15.301691554801801</v>
      </c>
      <c r="Y13" s="3">
        <f t="shared" si="3"/>
        <v>25.6394349063149</v>
      </c>
      <c r="Z13" s="3">
        <f>SUM($Y$2:Y13)</f>
        <v>339.52330844519821</v>
      </c>
      <c r="AA13" s="3">
        <f t="shared" si="4"/>
        <v>0.11250000000000004</v>
      </c>
      <c r="AB13" s="3">
        <f>SUM($AA$2:AA13)</f>
        <v>18.675000000000004</v>
      </c>
    </row>
    <row r="14" spans="1:28" x14ac:dyDescent="0.35">
      <c r="A14">
        <v>2032</v>
      </c>
      <c r="B14" s="3">
        <f>Flow_data_Carbon!B14*TC_data_Carbon!B14</f>
        <v>55</v>
      </c>
      <c r="C14" s="3">
        <f>Flow_data_Carbon!B14*TC_data_Carbon!D14</f>
        <v>55</v>
      </c>
      <c r="D14" s="3">
        <f>C14*TC_data_Carbon!F14</f>
        <v>16.5</v>
      </c>
      <c r="E14" s="3">
        <f>C14*TC_data_Carbon!H14</f>
        <v>16.5</v>
      </c>
      <c r="F14" s="3">
        <f>C14*TC_data_Carbon!J14</f>
        <v>5.5</v>
      </c>
      <c r="G14" s="3">
        <f>C14*TC_data_Carbon!L14</f>
        <v>11</v>
      </c>
      <c r="H14" s="3">
        <f>C14*TC_data_Carbon!N14</f>
        <v>5.5000000000000053</v>
      </c>
      <c r="I14" s="3">
        <f t="shared" si="5"/>
        <v>0</v>
      </c>
      <c r="J14" s="3">
        <f>D14*TC_data_Carbon!P14</f>
        <v>16.5</v>
      </c>
      <c r="K14" s="3">
        <f>E14*TC_data_Carbon!R14</f>
        <v>11.549999999999999</v>
      </c>
      <c r="L14" s="3">
        <f>E14*TC_data_Carbon!T14</f>
        <v>2.4750000000000001</v>
      </c>
      <c r="M14" s="3">
        <f>E14*TC_data_Carbon!V14</f>
        <v>2.475000000000001</v>
      </c>
      <c r="N14" s="3">
        <f>F14*TC_data_Carbon!X14</f>
        <v>5.5</v>
      </c>
      <c r="O14" s="3">
        <f>G14*TC_data_Carbon!Z14</f>
        <v>11</v>
      </c>
      <c r="P14" s="3">
        <f t="shared" si="0"/>
        <v>9.6131391578279661</v>
      </c>
      <c r="Q14" s="3"/>
      <c r="R14" s="3"/>
      <c r="S14" s="3">
        <f t="shared" si="1"/>
        <v>55</v>
      </c>
      <c r="T14" s="3">
        <f>SUM($S$2:S14)</f>
        <v>470</v>
      </c>
      <c r="U14" s="3">
        <f t="shared" si="2"/>
        <v>5.5000000000000053</v>
      </c>
      <c r="V14" s="3">
        <f>SUM($U$2:U14)</f>
        <v>47.00000000000005</v>
      </c>
      <c r="W14" s="3">
        <f t="shared" si="6"/>
        <v>18.436860842172031</v>
      </c>
      <c r="X14" s="3">
        <v>33.73855239697383</v>
      </c>
      <c r="Y14" s="3">
        <f t="shared" si="3"/>
        <v>28.588139157827968</v>
      </c>
      <c r="Z14" s="3">
        <f>SUM($Y$2:Y14)</f>
        <v>368.11144760302619</v>
      </c>
      <c r="AA14" s="3">
        <f t="shared" si="4"/>
        <v>2.475000000000001</v>
      </c>
      <c r="AB14" s="3">
        <f>SUM($AA$2:AA14)</f>
        <v>21.150000000000006</v>
      </c>
    </row>
    <row r="15" spans="1:28" x14ac:dyDescent="0.35">
      <c r="A15">
        <v>2033</v>
      </c>
      <c r="B15" s="3">
        <f>Flow_data_Carbon!B15*TC_data_Carbon!B15</f>
        <v>57.5</v>
      </c>
      <c r="C15" s="3">
        <f>Flow_data_Carbon!B15*TC_data_Carbon!D15</f>
        <v>57.5</v>
      </c>
      <c r="D15" s="3">
        <f>C15*TC_data_Carbon!F15</f>
        <v>17.25</v>
      </c>
      <c r="E15" s="3">
        <f>C15*TC_data_Carbon!H15</f>
        <v>17.25</v>
      </c>
      <c r="F15" s="3">
        <f>C15*TC_data_Carbon!J15</f>
        <v>5.75</v>
      </c>
      <c r="G15" s="3">
        <f>C15*TC_data_Carbon!L15</f>
        <v>11.5</v>
      </c>
      <c r="H15" s="3">
        <f>C15*TC_data_Carbon!N15</f>
        <v>5.7500000000000053</v>
      </c>
      <c r="I15" s="3">
        <f t="shared" si="5"/>
        <v>0</v>
      </c>
      <c r="J15" s="3">
        <f>D15*TC_data_Carbon!P15</f>
        <v>17.25</v>
      </c>
      <c r="K15" s="3">
        <f>E15*TC_data_Carbon!R15</f>
        <v>12.074999999999999</v>
      </c>
      <c r="L15" s="3">
        <f>E15*TC_data_Carbon!T15</f>
        <v>2.5874999999999999</v>
      </c>
      <c r="M15" s="3">
        <f>E15*TC_data_Carbon!V15</f>
        <v>2.5875000000000008</v>
      </c>
      <c r="N15" s="3">
        <f>F15*TC_data_Carbon!X15</f>
        <v>5.75</v>
      </c>
      <c r="O15" s="3">
        <f>G15*TC_data_Carbon!Z15</f>
        <v>11.5</v>
      </c>
      <c r="P15" s="3">
        <f t="shared" si="0"/>
        <v>21.648098785397824</v>
      </c>
      <c r="Q15" s="3"/>
      <c r="R15" s="3"/>
      <c r="S15" s="3">
        <f t="shared" si="1"/>
        <v>57.5</v>
      </c>
      <c r="T15" s="3">
        <f>SUM($S$2:S15)</f>
        <v>527.5</v>
      </c>
      <c r="U15" s="3">
        <f t="shared" si="2"/>
        <v>5.7500000000000053</v>
      </c>
      <c r="V15" s="3">
        <f>SUM($U$2:U15)</f>
        <v>52.750000000000057</v>
      </c>
      <c r="W15" s="3">
        <f t="shared" si="6"/>
        <v>7.6769012146021751</v>
      </c>
      <c r="X15" s="3">
        <v>41.415453611576005</v>
      </c>
      <c r="Y15" s="3">
        <f t="shared" si="3"/>
        <v>41.485598785397819</v>
      </c>
      <c r="Z15" s="3">
        <f>SUM($Y$2:Y15)</f>
        <v>409.59704638842402</v>
      </c>
      <c r="AA15" s="3">
        <f t="shared" si="4"/>
        <v>2.5875000000000008</v>
      </c>
      <c r="AB15" s="3">
        <f>SUM($AA$2:AA15)</f>
        <v>23.737500000000008</v>
      </c>
    </row>
    <row r="16" spans="1:28" x14ac:dyDescent="0.35">
      <c r="A16">
        <v>2034</v>
      </c>
      <c r="B16" s="3">
        <f>Flow_data_Carbon!B16*TC_data_Carbon!B16</f>
        <v>60</v>
      </c>
      <c r="C16" s="3">
        <f>Flow_data_Carbon!B16*TC_data_Carbon!D16</f>
        <v>60</v>
      </c>
      <c r="D16" s="3">
        <f>C16*TC_data_Carbon!F16</f>
        <v>18</v>
      </c>
      <c r="E16" s="3">
        <f>C16*TC_data_Carbon!H16</f>
        <v>18</v>
      </c>
      <c r="F16" s="3">
        <f>C16*TC_data_Carbon!J16</f>
        <v>6</v>
      </c>
      <c r="G16" s="3">
        <f>C16*TC_data_Carbon!L16</f>
        <v>12</v>
      </c>
      <c r="H16" s="3">
        <f>C16*TC_data_Carbon!N16</f>
        <v>6.0000000000000053</v>
      </c>
      <c r="I16" s="3">
        <f t="shared" si="5"/>
        <v>0</v>
      </c>
      <c r="J16" s="3">
        <f>D16*TC_data_Carbon!P16</f>
        <v>18</v>
      </c>
      <c r="K16" s="3">
        <f>E16*TC_data_Carbon!R16</f>
        <v>12.6</v>
      </c>
      <c r="L16" s="3">
        <f>E16*TC_data_Carbon!T16</f>
        <v>2.6999999999999997</v>
      </c>
      <c r="M16" s="3">
        <f>E16*TC_data_Carbon!V16</f>
        <v>2.7000000000000011</v>
      </c>
      <c r="N16" s="3">
        <f>F16*TC_data_Carbon!X16</f>
        <v>6</v>
      </c>
      <c r="O16" s="3">
        <f>G16*TC_data_Carbon!Z16</f>
        <v>12</v>
      </c>
      <c r="P16" s="3">
        <f t="shared" si="0"/>
        <v>26.482420071184492</v>
      </c>
      <c r="Q16" s="3"/>
      <c r="R16" s="3"/>
      <c r="S16" s="3">
        <f t="shared" si="1"/>
        <v>60</v>
      </c>
      <c r="T16" s="3">
        <f>SUM($S$2:S16)</f>
        <v>587.5</v>
      </c>
      <c r="U16" s="3">
        <f t="shared" si="2"/>
        <v>6.0000000000000053</v>
      </c>
      <c r="V16" s="3">
        <f>SUM($U$2:U16)</f>
        <v>58.750000000000064</v>
      </c>
      <c r="W16" s="3">
        <f t="shared" si="6"/>
        <v>4.117579928815509</v>
      </c>
      <c r="X16" s="3">
        <v>45.533033540391514</v>
      </c>
      <c r="Y16" s="3">
        <f t="shared" si="3"/>
        <v>47.182420071184495</v>
      </c>
      <c r="Z16" s="3">
        <f>SUM($Y$2:Y16)</f>
        <v>456.7794664596085</v>
      </c>
      <c r="AA16" s="3">
        <f t="shared" si="4"/>
        <v>2.7000000000000011</v>
      </c>
      <c r="AB16" s="3">
        <f>SUM($AA$2:AA16)</f>
        <v>26.437500000000007</v>
      </c>
    </row>
    <row r="17" spans="1:28" x14ac:dyDescent="0.35">
      <c r="A17">
        <v>2035</v>
      </c>
      <c r="B17" s="3">
        <f>Flow_data_Carbon!B17*TC_data_Carbon!B17</f>
        <v>62.5</v>
      </c>
      <c r="C17" s="3">
        <f>Flow_data_Carbon!B17*TC_data_Carbon!D17</f>
        <v>62.5</v>
      </c>
      <c r="D17" s="3">
        <f>C17*TC_data_Carbon!F17</f>
        <v>18.75</v>
      </c>
      <c r="E17" s="3">
        <f>C17*TC_data_Carbon!H17</f>
        <v>18.75</v>
      </c>
      <c r="F17" s="3">
        <f>C17*TC_data_Carbon!J17</f>
        <v>6.25</v>
      </c>
      <c r="G17" s="3">
        <f>C17*TC_data_Carbon!L17</f>
        <v>12.5</v>
      </c>
      <c r="H17" s="3">
        <f>C17*TC_data_Carbon!N17</f>
        <v>6.2500000000000053</v>
      </c>
      <c r="I17" s="3">
        <f t="shared" si="5"/>
        <v>0</v>
      </c>
      <c r="J17" s="3">
        <f>D17*TC_data_Carbon!P17</f>
        <v>18.75</v>
      </c>
      <c r="K17" s="3">
        <f>E17*TC_data_Carbon!R17</f>
        <v>13.125</v>
      </c>
      <c r="L17" s="3">
        <f>E17*TC_data_Carbon!T17</f>
        <v>2.8125</v>
      </c>
      <c r="M17" s="3">
        <f>E17*TC_data_Carbon!V17</f>
        <v>2.8125000000000009</v>
      </c>
      <c r="N17" s="3">
        <f>F17*TC_data_Carbon!X17</f>
        <v>6.25</v>
      </c>
      <c r="O17" s="3">
        <f>G17*TC_data_Carbon!Z17</f>
        <v>12.5</v>
      </c>
      <c r="P17" s="3">
        <f t="shared" si="0"/>
        <v>29.085945831594273</v>
      </c>
      <c r="Q17" s="3"/>
      <c r="R17" s="3"/>
      <c r="S17" s="3">
        <f t="shared" si="1"/>
        <v>62.5</v>
      </c>
      <c r="T17" s="3">
        <f>SUM($S$2:S17)</f>
        <v>650</v>
      </c>
      <c r="U17" s="3">
        <f t="shared" si="2"/>
        <v>6.2500000000000053</v>
      </c>
      <c r="V17" s="3">
        <f>SUM($U$2:U17)</f>
        <v>65.000000000000071</v>
      </c>
      <c r="W17" s="3">
        <f t="shared" si="6"/>
        <v>2.7890541684057268</v>
      </c>
      <c r="X17" s="3">
        <v>48.322087708797241</v>
      </c>
      <c r="Y17" s="3">
        <f t="shared" si="3"/>
        <v>50.648445831594273</v>
      </c>
      <c r="Z17" s="3">
        <f>SUM($Y$2:Y17)</f>
        <v>507.4279122912028</v>
      </c>
      <c r="AA17" s="3">
        <f t="shared" si="4"/>
        <v>2.8125000000000009</v>
      </c>
      <c r="AB17" s="3">
        <f>SUM($AA$2:AA17)</f>
        <v>29.250000000000007</v>
      </c>
    </row>
    <row r="18" spans="1:28" x14ac:dyDescent="0.35">
      <c r="A18">
        <v>2036</v>
      </c>
      <c r="B18" s="3">
        <f>Flow_data_Carbon!B18*TC_data_Carbon!B18</f>
        <v>65</v>
      </c>
      <c r="C18" s="3">
        <f>Flow_data_Carbon!B18*TC_data_Carbon!D18</f>
        <v>65</v>
      </c>
      <c r="D18" s="3">
        <f>C18*TC_data_Carbon!F18</f>
        <v>19.5</v>
      </c>
      <c r="E18" s="3">
        <f>C18*TC_data_Carbon!H18</f>
        <v>19.5</v>
      </c>
      <c r="F18" s="3">
        <f>C18*TC_data_Carbon!J18</f>
        <v>6.5</v>
      </c>
      <c r="G18" s="3">
        <f>C18*TC_data_Carbon!L18</f>
        <v>13</v>
      </c>
      <c r="H18" s="3">
        <f>C18*TC_data_Carbon!N18</f>
        <v>6.5000000000000053</v>
      </c>
      <c r="I18" s="3">
        <f t="shared" si="5"/>
        <v>0</v>
      </c>
      <c r="J18" s="3">
        <f>D18*TC_data_Carbon!P18</f>
        <v>19.5</v>
      </c>
      <c r="K18" s="3">
        <f>E18*TC_data_Carbon!R18</f>
        <v>13.649999999999999</v>
      </c>
      <c r="L18" s="3">
        <f>E18*TC_data_Carbon!T18</f>
        <v>2.9249999999999998</v>
      </c>
      <c r="M18" s="3">
        <f>E18*TC_data_Carbon!V18</f>
        <v>2.9250000000000012</v>
      </c>
      <c r="N18" s="3">
        <f>F18*TC_data_Carbon!X18</f>
        <v>6.5</v>
      </c>
      <c r="O18" s="3">
        <f>G18*TC_data_Carbon!Z18</f>
        <v>13</v>
      </c>
      <c r="P18" s="3">
        <f t="shared" si="0"/>
        <v>30.8568214647158</v>
      </c>
      <c r="Q18" s="3"/>
      <c r="R18" s="3"/>
      <c r="S18" s="3">
        <f t="shared" si="1"/>
        <v>65</v>
      </c>
      <c r="T18" s="3">
        <f>SUM($S$2:S18)</f>
        <v>715</v>
      </c>
      <c r="U18" s="3">
        <f t="shared" si="2"/>
        <v>6.5000000000000053</v>
      </c>
      <c r="V18" s="3">
        <f>SUM($U$2:U18)</f>
        <v>71.500000000000071</v>
      </c>
      <c r="W18" s="3">
        <f t="shared" si="6"/>
        <v>2.2931785352841985</v>
      </c>
      <c r="X18" s="3">
        <v>50.61526624408144</v>
      </c>
      <c r="Y18" s="3">
        <f t="shared" si="3"/>
        <v>53.281821464715797</v>
      </c>
      <c r="Z18" s="3">
        <f>SUM($Y$2:Y18)</f>
        <v>560.70973375591859</v>
      </c>
      <c r="AA18" s="3">
        <f t="shared" si="4"/>
        <v>2.9250000000000012</v>
      </c>
      <c r="AB18" s="3">
        <f>SUM($AA$2:AA18)</f>
        <v>32.175000000000011</v>
      </c>
    </row>
    <row r="19" spans="1:28" x14ac:dyDescent="0.35">
      <c r="A19">
        <v>2037</v>
      </c>
      <c r="B19" s="3">
        <f>Flow_data_Carbon!B19*TC_data_Carbon!B19</f>
        <v>67.5</v>
      </c>
      <c r="C19" s="3">
        <f>Flow_data_Carbon!B19*TC_data_Carbon!D19</f>
        <v>67.5</v>
      </c>
      <c r="D19" s="3">
        <f>C19*TC_data_Carbon!F19</f>
        <v>20.25</v>
      </c>
      <c r="E19" s="3">
        <f>C19*TC_data_Carbon!H19</f>
        <v>20.25</v>
      </c>
      <c r="F19" s="3">
        <f>C19*TC_data_Carbon!J19</f>
        <v>6.75</v>
      </c>
      <c r="G19" s="3">
        <f>C19*TC_data_Carbon!L19</f>
        <v>13.5</v>
      </c>
      <c r="H19" s="3">
        <f>C19*TC_data_Carbon!N19</f>
        <v>6.7500000000000062</v>
      </c>
      <c r="I19" s="3">
        <f t="shared" si="5"/>
        <v>0</v>
      </c>
      <c r="J19" s="3">
        <f>D19*TC_data_Carbon!P19</f>
        <v>20.25</v>
      </c>
      <c r="K19" s="3">
        <f>E19*TC_data_Carbon!R19</f>
        <v>14.174999999999999</v>
      </c>
      <c r="L19" s="3">
        <f>E19*TC_data_Carbon!T19</f>
        <v>3.0375000000000001</v>
      </c>
      <c r="M19" s="3">
        <f>E19*TC_data_Carbon!V19</f>
        <v>3.037500000000001</v>
      </c>
      <c r="N19" s="3">
        <f>F19*TC_data_Carbon!X19</f>
        <v>6.75</v>
      </c>
      <c r="O19" s="3">
        <f>G19*TC_data_Carbon!Z19</f>
        <v>13.5</v>
      </c>
      <c r="P19" s="3">
        <f t="shared" si="0"/>
        <v>32.316908311242436</v>
      </c>
      <c r="Q19" s="3"/>
      <c r="R19" s="3"/>
      <c r="S19" s="3">
        <f t="shared" si="1"/>
        <v>67.5</v>
      </c>
      <c r="T19" s="3">
        <f>SUM($S$2:S19)</f>
        <v>782.5</v>
      </c>
      <c r="U19" s="3">
        <f t="shared" si="2"/>
        <v>6.7500000000000062</v>
      </c>
      <c r="V19" s="3">
        <f>SUM($U$2:U19)</f>
        <v>78.250000000000071</v>
      </c>
      <c r="W19" s="3">
        <f t="shared" si="6"/>
        <v>2.1080916887575611</v>
      </c>
      <c r="X19" s="3">
        <v>52.723357932839001</v>
      </c>
      <c r="Y19" s="3">
        <f t="shared" si="3"/>
        <v>55.604408311242437</v>
      </c>
      <c r="Z19" s="3">
        <f>SUM($Y$2:Y19)</f>
        <v>616.31414206716101</v>
      </c>
      <c r="AA19" s="3">
        <f t="shared" si="4"/>
        <v>3.037500000000001</v>
      </c>
      <c r="AB19" s="3">
        <f>SUM($AA$2:AA19)</f>
        <v>35.212500000000013</v>
      </c>
    </row>
    <row r="20" spans="1:28" x14ac:dyDescent="0.35">
      <c r="A20">
        <v>2038</v>
      </c>
      <c r="B20" s="3">
        <f>Flow_data_Carbon!B20*TC_data_Carbon!B20</f>
        <v>70</v>
      </c>
      <c r="C20" s="3">
        <f>Flow_data_Carbon!B20*TC_data_Carbon!D20</f>
        <v>70</v>
      </c>
      <c r="D20" s="3">
        <f>C20*TC_data_Carbon!F20</f>
        <v>21</v>
      </c>
      <c r="E20" s="3">
        <f>C20*TC_data_Carbon!H20</f>
        <v>21</v>
      </c>
      <c r="F20" s="3">
        <f>C20*TC_data_Carbon!J20</f>
        <v>7</v>
      </c>
      <c r="G20" s="3">
        <f>C20*TC_data_Carbon!L20</f>
        <v>14</v>
      </c>
      <c r="H20" s="3">
        <f>C20*TC_data_Carbon!N20</f>
        <v>7.0000000000000062</v>
      </c>
      <c r="I20" s="3">
        <f t="shared" si="5"/>
        <v>0</v>
      </c>
      <c r="J20" s="3">
        <f>D20*TC_data_Carbon!P20</f>
        <v>21</v>
      </c>
      <c r="K20" s="3">
        <f>E20*TC_data_Carbon!R20</f>
        <v>14.7</v>
      </c>
      <c r="L20" s="3">
        <f>E20*TC_data_Carbon!T20</f>
        <v>3.15</v>
      </c>
      <c r="M20" s="3">
        <f>E20*TC_data_Carbon!V20</f>
        <v>3.1500000000000012</v>
      </c>
      <c r="N20" s="3">
        <f>F20*TC_data_Carbon!X20</f>
        <v>7</v>
      </c>
      <c r="O20" s="3">
        <f>G20*TC_data_Carbon!Z20</f>
        <v>14</v>
      </c>
      <c r="P20" s="3">
        <f t="shared" si="0"/>
        <v>33.660992449419453</v>
      </c>
      <c r="Q20" s="3"/>
      <c r="R20" s="3"/>
      <c r="S20" s="3">
        <f t="shared" si="1"/>
        <v>70</v>
      </c>
      <c r="T20" s="3">
        <f>SUM($S$2:S20)</f>
        <v>852.5</v>
      </c>
      <c r="U20" s="3">
        <f t="shared" si="2"/>
        <v>7.0000000000000062</v>
      </c>
      <c r="V20" s="3">
        <f>SUM($U$2:U20)</f>
        <v>85.250000000000071</v>
      </c>
      <c r="W20" s="3">
        <f t="shared" si="6"/>
        <v>2.0390075505805498</v>
      </c>
      <c r="X20" s="3">
        <v>54.762365483419551</v>
      </c>
      <c r="Y20" s="3">
        <f t="shared" si="3"/>
        <v>57.810992449419452</v>
      </c>
      <c r="Z20" s="3">
        <f>SUM($Y$2:Y20)</f>
        <v>674.12513451658049</v>
      </c>
      <c r="AA20" s="3">
        <f t="shared" si="4"/>
        <v>3.1500000000000012</v>
      </c>
      <c r="AB20" s="3">
        <f>SUM($AA$2:AA20)</f>
        <v>38.362500000000011</v>
      </c>
    </row>
    <row r="21" spans="1:28" x14ac:dyDescent="0.35">
      <c r="A21">
        <v>2039</v>
      </c>
      <c r="B21" s="3">
        <f>Flow_data_Carbon!B21*TC_data_Carbon!B21</f>
        <v>72.5</v>
      </c>
      <c r="C21" s="3">
        <f>Flow_data_Carbon!B21*TC_data_Carbon!D21</f>
        <v>72.5</v>
      </c>
      <c r="D21" s="3">
        <f>C21*TC_data_Carbon!F21</f>
        <v>21.75</v>
      </c>
      <c r="E21" s="3">
        <f>C21*TC_data_Carbon!H21</f>
        <v>21.75</v>
      </c>
      <c r="F21" s="3">
        <f>C21*TC_data_Carbon!J21</f>
        <v>7.25</v>
      </c>
      <c r="G21" s="3">
        <f>C21*TC_data_Carbon!L21</f>
        <v>14.5</v>
      </c>
      <c r="H21" s="3">
        <f>C21*TC_data_Carbon!N21</f>
        <v>7.2500000000000062</v>
      </c>
      <c r="I21" s="3">
        <f t="shared" si="5"/>
        <v>0</v>
      </c>
      <c r="J21" s="3">
        <f>D21*TC_data_Carbon!P21</f>
        <v>21.75</v>
      </c>
      <c r="K21" s="3">
        <f>E21*TC_data_Carbon!R21</f>
        <v>15.225</v>
      </c>
      <c r="L21" s="3">
        <f>E21*TC_data_Carbon!T21</f>
        <v>3.2624999999999997</v>
      </c>
      <c r="M21" s="3">
        <f>E21*TC_data_Carbon!V21</f>
        <v>3.2625000000000011</v>
      </c>
      <c r="N21" s="3">
        <f>F21*TC_data_Carbon!X21</f>
        <v>7.25</v>
      </c>
      <c r="O21" s="3">
        <f>G21*TC_data_Carbon!Z21</f>
        <v>14.5</v>
      </c>
      <c r="P21" s="3">
        <f t="shared" si="0"/>
        <v>34.961778280434586</v>
      </c>
      <c r="Q21" s="3"/>
      <c r="R21" s="3"/>
      <c r="S21" s="3">
        <f t="shared" si="1"/>
        <v>72.5</v>
      </c>
      <c r="T21" s="3">
        <f>SUM($S$2:S21)</f>
        <v>925</v>
      </c>
      <c r="U21" s="3">
        <f t="shared" si="2"/>
        <v>7.2500000000000062</v>
      </c>
      <c r="V21" s="3">
        <f>SUM($U$2:U21)</f>
        <v>92.500000000000071</v>
      </c>
      <c r="W21" s="3">
        <f t="shared" si="6"/>
        <v>2.013221719565415</v>
      </c>
      <c r="X21" s="3">
        <v>56.775587202984966</v>
      </c>
      <c r="Y21" s="3">
        <f t="shared" si="3"/>
        <v>59.974278280434589</v>
      </c>
      <c r="Z21" s="3">
        <f>SUM($Y$2:Y21)</f>
        <v>734.09941279701502</v>
      </c>
      <c r="AA21" s="3">
        <f t="shared" si="4"/>
        <v>3.2625000000000011</v>
      </c>
      <c r="AB21" s="3">
        <f>SUM($AA$2:AA21)</f>
        <v>41.625000000000014</v>
      </c>
    </row>
    <row r="22" spans="1:28" x14ac:dyDescent="0.35">
      <c r="A22">
        <v>2040</v>
      </c>
      <c r="B22" s="3">
        <f>Flow_data_Carbon!B22*TC_data_Carbon!B22</f>
        <v>75</v>
      </c>
      <c r="C22" s="3">
        <f>Flow_data_Carbon!B22*TC_data_Carbon!D22</f>
        <v>75</v>
      </c>
      <c r="D22" s="3">
        <f>C22*TC_data_Carbon!F22</f>
        <v>22.5</v>
      </c>
      <c r="E22" s="3">
        <f>C22*TC_data_Carbon!H22</f>
        <v>22.5</v>
      </c>
      <c r="F22" s="3">
        <f>C22*TC_data_Carbon!J22</f>
        <v>7.5</v>
      </c>
      <c r="G22" s="3">
        <f>C22*TC_data_Carbon!L22</f>
        <v>15</v>
      </c>
      <c r="H22" s="3">
        <f>C22*TC_data_Carbon!N22</f>
        <v>7.5000000000000071</v>
      </c>
      <c r="I22" s="3">
        <f t="shared" si="5"/>
        <v>0</v>
      </c>
      <c r="J22" s="3">
        <f>D22*TC_data_Carbon!P22</f>
        <v>22.5</v>
      </c>
      <c r="K22" s="3">
        <f>E22*TC_data_Carbon!R22</f>
        <v>15.749999999999998</v>
      </c>
      <c r="L22" s="3">
        <f>E22*TC_data_Carbon!T22</f>
        <v>3.375</v>
      </c>
      <c r="M22" s="3">
        <f>E22*TC_data_Carbon!V22</f>
        <v>3.3750000000000013</v>
      </c>
      <c r="N22" s="3">
        <f>F22*TC_data_Carbon!X22</f>
        <v>7.5</v>
      </c>
      <c r="O22" s="3">
        <f>G22*TC_data_Carbon!Z22</f>
        <v>15</v>
      </c>
      <c r="P22" s="3">
        <f t="shared" si="0"/>
        <v>36.246402907717886</v>
      </c>
      <c r="Q22" s="3"/>
      <c r="R22" s="3"/>
      <c r="S22" s="3">
        <f t="shared" si="1"/>
        <v>75</v>
      </c>
      <c r="T22" s="3">
        <f>SUM($S$2:S22)</f>
        <v>1000</v>
      </c>
      <c r="U22" s="3">
        <f t="shared" si="2"/>
        <v>7.5000000000000071</v>
      </c>
      <c r="V22" s="3">
        <f>SUM($U$2:U22)</f>
        <v>100.00000000000009</v>
      </c>
      <c r="W22" s="3">
        <f t="shared" si="6"/>
        <v>2.0035970922821136</v>
      </c>
      <c r="X22" s="3">
        <v>58.779184295267079</v>
      </c>
      <c r="Y22" s="3">
        <f t="shared" si="3"/>
        <v>62.121402907717886</v>
      </c>
      <c r="Z22" s="3">
        <f>SUM($Y$2:Y22)</f>
        <v>796.2208157047329</v>
      </c>
      <c r="AA22" s="3">
        <f t="shared" si="4"/>
        <v>3.3750000000000013</v>
      </c>
      <c r="AB22" s="3">
        <f>SUM($AA$2:AA22)</f>
        <v>45.000000000000014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1709-7187-814D-952C-62F97C4E6AFE}">
  <dimension ref="A1:W52"/>
  <sheetViews>
    <sheetView zoomScale="89" zoomScaleNormal="89" workbookViewId="0"/>
  </sheetViews>
  <sheetFormatPr defaultColWidth="10.83203125" defaultRowHeight="14.5" x14ac:dyDescent="0.35"/>
  <cols>
    <col min="1" max="16384" width="10.83203125" style="1"/>
  </cols>
  <sheetData>
    <row r="1" spans="1:23" x14ac:dyDescent="0.35">
      <c r="A1" s="1" t="s">
        <v>27</v>
      </c>
      <c r="B1" s="1">
        <f>0.1975*365</f>
        <v>72.087500000000006</v>
      </c>
      <c r="C1" s="1" t="s">
        <v>28</v>
      </c>
      <c r="D1" s="1">
        <v>0.19750000000000001</v>
      </c>
      <c r="E1" s="1" t="s">
        <v>29</v>
      </c>
    </row>
    <row r="2" spans="1:23" x14ac:dyDescent="0.35">
      <c r="A2" s="1" t="s">
        <v>30</v>
      </c>
      <c r="B2" s="1">
        <f>4.8*10^-2</f>
        <v>4.8000000000000001E-2</v>
      </c>
    </row>
    <row r="3" spans="1:23" x14ac:dyDescent="0.35">
      <c r="A3" s="1" t="s">
        <v>31</v>
      </c>
      <c r="B3" s="1">
        <f>0.0027*365</f>
        <v>0.98550000000000004</v>
      </c>
      <c r="C3" s="1" t="s">
        <v>28</v>
      </c>
      <c r="D3" s="1">
        <v>2.7000000000000001E-3</v>
      </c>
      <c r="E3" s="1" t="s">
        <v>29</v>
      </c>
    </row>
    <row r="4" spans="1:23" x14ac:dyDescent="0.35">
      <c r="W4" s="1" t="s">
        <v>32</v>
      </c>
    </row>
    <row r="5" spans="1:23" x14ac:dyDescent="0.35">
      <c r="B5" s="1">
        <v>2020</v>
      </c>
      <c r="C5" s="1">
        <v>2021</v>
      </c>
      <c r="D5" s="1">
        <v>2022</v>
      </c>
      <c r="E5" s="1">
        <v>2023</v>
      </c>
      <c r="F5" s="1">
        <v>2024</v>
      </c>
      <c r="G5" s="1">
        <v>2025</v>
      </c>
      <c r="H5" s="1">
        <v>2026</v>
      </c>
      <c r="I5" s="1">
        <v>2027</v>
      </c>
      <c r="J5" s="1">
        <v>2028</v>
      </c>
      <c r="K5" s="1">
        <v>2029</v>
      </c>
      <c r="L5" s="1">
        <v>2030</v>
      </c>
      <c r="M5" s="1">
        <v>2031</v>
      </c>
      <c r="N5" s="1">
        <v>2032</v>
      </c>
      <c r="O5" s="1">
        <v>2033</v>
      </c>
      <c r="P5" s="1">
        <v>2034</v>
      </c>
      <c r="Q5" s="1">
        <v>2035</v>
      </c>
      <c r="R5" s="1">
        <v>2036</v>
      </c>
      <c r="S5" s="1">
        <v>2037</v>
      </c>
      <c r="T5" s="1">
        <v>2038</v>
      </c>
      <c r="U5" s="1">
        <v>2039</v>
      </c>
      <c r="V5" s="1">
        <v>2040</v>
      </c>
    </row>
    <row r="6" spans="1:23" x14ac:dyDescent="0.35">
      <c r="B6" s="1">
        <f>SUM(Model_validation_Carbon!J2:K2)</f>
        <v>12.75</v>
      </c>
      <c r="C6" s="1">
        <f>SUM(Model_validation_Carbon!J3:K3)</f>
        <v>14.024999999999999</v>
      </c>
      <c r="D6" s="1">
        <f>SUM(Model_validation_Carbon!J4:K4)</f>
        <v>15.3</v>
      </c>
      <c r="E6" s="1">
        <f>SUM(Model_validation_Carbon!J5:K5)</f>
        <v>16.574999999999999</v>
      </c>
      <c r="F6" s="1">
        <f>SUM(Model_validation_Carbon!J6:K6)</f>
        <v>17.850000000000001</v>
      </c>
      <c r="G6" s="1">
        <f>SUM(Model_validation_Carbon!J7:K7)</f>
        <v>19.125</v>
      </c>
      <c r="H6" s="1">
        <f>SUM(Model_validation_Carbon!J8:K8)</f>
        <v>20.399999999999999</v>
      </c>
      <c r="I6" s="1">
        <f>SUM(Model_validation_Carbon!J9:K9)</f>
        <v>21.674999999999997</v>
      </c>
      <c r="J6" s="1">
        <f>SUM(Model_validation_Carbon!J10:K10)</f>
        <v>22.95</v>
      </c>
      <c r="K6" s="1">
        <f>SUM(Model_validation_Carbon!J11:K11)</f>
        <v>24.225000000000001</v>
      </c>
      <c r="L6" s="1">
        <f>SUM(Model_validation_Carbon!J12:K12)</f>
        <v>25.5</v>
      </c>
      <c r="M6" s="1">
        <f>SUM(Model_validation_Carbon!J13:K13)</f>
        <v>1.2749999999999999</v>
      </c>
      <c r="N6" s="1">
        <f>SUM(Model_validation_Carbon!J14:K14)</f>
        <v>28.049999999999997</v>
      </c>
      <c r="O6" s="1">
        <f>SUM(Model_validation_Carbon!J15:K15)</f>
        <v>29.324999999999999</v>
      </c>
      <c r="P6" s="1">
        <f>SUM(Model_validation_Carbon!J16:K16)</f>
        <v>30.6</v>
      </c>
      <c r="Q6" s="1">
        <f>SUM(Model_validation_Carbon!J17:K17)</f>
        <v>31.875</v>
      </c>
      <c r="R6" s="1">
        <f>SUM(Model_validation_Carbon!J18:K18)</f>
        <v>33.15</v>
      </c>
      <c r="S6" s="1">
        <f>SUM(Model_validation_Carbon!J19:K19)</f>
        <v>34.424999999999997</v>
      </c>
      <c r="T6" s="1">
        <f>SUM(Model_validation_Carbon!J20:K20)</f>
        <v>35.700000000000003</v>
      </c>
      <c r="U6" s="1">
        <f>SUM(Model_validation_Carbon!J21:K21)</f>
        <v>36.975000000000001</v>
      </c>
      <c r="V6" s="1">
        <f>SUM(Model_validation_Carbon!J22:K22)</f>
        <v>38.25</v>
      </c>
    </row>
    <row r="11" spans="1:23" x14ac:dyDescent="0.35">
      <c r="A11" s="1">
        <v>2020</v>
      </c>
      <c r="B11" s="1">
        <f t="shared" ref="B11:B31" si="0">IF($A11-B$5&lt;0,"-",(B$6*($B$2*EXP((-$B$1*($A11-B$5)))+(1-$B$2)*EXP(-$B$3*($A11-B$5)))))</f>
        <v>12.75</v>
      </c>
      <c r="C11" s="1" t="str">
        <f t="shared" ref="C11:V11" si="1">IF($A11-C$5&lt;0,"-",($B$2*EXP((-$B$1*($A11-C$5)))+(100-C2)*EXP(-C3*($A11-C$5))))</f>
        <v>-</v>
      </c>
      <c r="D11" s="1" t="str">
        <f t="shared" si="1"/>
        <v>-</v>
      </c>
      <c r="E11" s="1" t="str">
        <f t="shared" si="1"/>
        <v>-</v>
      </c>
      <c r="F11" s="1" t="str">
        <f t="shared" si="1"/>
        <v>-</v>
      </c>
      <c r="G11" s="1" t="str">
        <f t="shared" si="1"/>
        <v>-</v>
      </c>
      <c r="H11" s="1" t="str">
        <f t="shared" si="1"/>
        <v>-</v>
      </c>
      <c r="I11" s="1" t="str">
        <f t="shared" si="1"/>
        <v>-</v>
      </c>
      <c r="J11" s="1" t="str">
        <f t="shared" si="1"/>
        <v>-</v>
      </c>
      <c r="K11" s="1" t="str">
        <f t="shared" si="1"/>
        <v>-</v>
      </c>
      <c r="L11" s="1" t="str">
        <f t="shared" si="1"/>
        <v>-</v>
      </c>
      <c r="M11" s="1" t="str">
        <f t="shared" si="1"/>
        <v>-</v>
      </c>
      <c r="N11" s="1" t="str">
        <f t="shared" si="1"/>
        <v>-</v>
      </c>
      <c r="O11" s="1" t="str">
        <f t="shared" si="1"/>
        <v>-</v>
      </c>
      <c r="P11" s="1" t="str">
        <f t="shared" si="1"/>
        <v>-</v>
      </c>
      <c r="Q11" s="1" t="str">
        <f t="shared" si="1"/>
        <v>-</v>
      </c>
      <c r="R11" s="1" t="str">
        <f t="shared" si="1"/>
        <v>-</v>
      </c>
      <c r="S11" s="1" t="str">
        <f t="shared" si="1"/>
        <v>-</v>
      </c>
      <c r="T11" s="1" t="str">
        <f t="shared" si="1"/>
        <v>-</v>
      </c>
      <c r="U11" s="1" t="str">
        <f t="shared" si="1"/>
        <v>-</v>
      </c>
      <c r="V11" s="1" t="str">
        <f t="shared" si="1"/>
        <v>-</v>
      </c>
      <c r="W11" s="1">
        <f t="shared" ref="W11:W31" si="2">SUM(B11:V11)</f>
        <v>12.75</v>
      </c>
    </row>
    <row r="12" spans="1:23" x14ac:dyDescent="0.35">
      <c r="A12" s="1">
        <v>2021</v>
      </c>
      <c r="B12" s="1">
        <f t="shared" si="0"/>
        <v>4.5305395003951565</v>
      </c>
      <c r="C12" s="1">
        <f t="shared" ref="C12:L21" si="3">IF($A12-C$5&lt;0,"-",(C$6*($B$2*EXP((-$B$1*($A12-C$5)))+(1-$B$2)*EXP(-$B$3*($A12-C$5)))))</f>
        <v>14.024999999999999</v>
      </c>
      <c r="D12" s="1" t="str">
        <f t="shared" si="3"/>
        <v>-</v>
      </c>
      <c r="E12" s="1" t="str">
        <f t="shared" si="3"/>
        <v>-</v>
      </c>
      <c r="F12" s="1" t="str">
        <f t="shared" si="3"/>
        <v>-</v>
      </c>
      <c r="G12" s="1" t="str">
        <f t="shared" si="3"/>
        <v>-</v>
      </c>
      <c r="H12" s="1" t="str">
        <f t="shared" si="3"/>
        <v>-</v>
      </c>
      <c r="I12" s="1" t="str">
        <f t="shared" si="3"/>
        <v>-</v>
      </c>
      <c r="J12" s="1" t="str">
        <f t="shared" si="3"/>
        <v>-</v>
      </c>
      <c r="K12" s="1" t="str">
        <f t="shared" si="3"/>
        <v>-</v>
      </c>
      <c r="L12" s="1" t="str">
        <f t="shared" si="3"/>
        <v>-</v>
      </c>
      <c r="M12" s="1" t="str">
        <f t="shared" ref="M12:V21" si="4">IF($A12-M$5&lt;0,"-",(M$6*($B$2*EXP((-$B$1*($A12-M$5)))+(1-$B$2)*EXP(-$B$3*($A12-M$5)))))</f>
        <v>-</v>
      </c>
      <c r="N12" s="1" t="str">
        <f t="shared" si="4"/>
        <v>-</v>
      </c>
      <c r="O12" s="1" t="str">
        <f t="shared" si="4"/>
        <v>-</v>
      </c>
      <c r="P12" s="1" t="str">
        <f t="shared" si="4"/>
        <v>-</v>
      </c>
      <c r="Q12" s="1" t="str">
        <f t="shared" si="4"/>
        <v>-</v>
      </c>
      <c r="R12" s="1" t="str">
        <f t="shared" si="4"/>
        <v>-</v>
      </c>
      <c r="S12" s="1" t="str">
        <f t="shared" si="4"/>
        <v>-</v>
      </c>
      <c r="T12" s="1" t="str">
        <f t="shared" si="4"/>
        <v>-</v>
      </c>
      <c r="U12" s="1" t="str">
        <f t="shared" si="4"/>
        <v>-</v>
      </c>
      <c r="V12" s="1" t="str">
        <f t="shared" si="4"/>
        <v>-</v>
      </c>
      <c r="W12" s="1">
        <f t="shared" si="2"/>
        <v>18.555539500395156</v>
      </c>
    </row>
    <row r="13" spans="1:23" x14ac:dyDescent="0.35">
      <c r="A13" s="1">
        <v>2022</v>
      </c>
      <c r="B13" s="1">
        <f t="shared" si="0"/>
        <v>1.6910354394991594</v>
      </c>
      <c r="C13" s="1">
        <f t="shared" si="3"/>
        <v>4.9835934504346717</v>
      </c>
      <c r="D13" s="1">
        <f t="shared" si="3"/>
        <v>15.3</v>
      </c>
      <c r="E13" s="1" t="str">
        <f t="shared" si="3"/>
        <v>-</v>
      </c>
      <c r="F13" s="1" t="str">
        <f t="shared" si="3"/>
        <v>-</v>
      </c>
      <c r="G13" s="1" t="str">
        <f t="shared" si="3"/>
        <v>-</v>
      </c>
      <c r="H13" s="1" t="str">
        <f t="shared" si="3"/>
        <v>-</v>
      </c>
      <c r="I13" s="1" t="str">
        <f t="shared" si="3"/>
        <v>-</v>
      </c>
      <c r="J13" s="1" t="str">
        <f t="shared" si="3"/>
        <v>-</v>
      </c>
      <c r="K13" s="1" t="str">
        <f t="shared" si="3"/>
        <v>-</v>
      </c>
      <c r="L13" s="1" t="str">
        <f t="shared" si="3"/>
        <v>-</v>
      </c>
      <c r="M13" s="1" t="str">
        <f t="shared" si="4"/>
        <v>-</v>
      </c>
      <c r="N13" s="1" t="str">
        <f t="shared" si="4"/>
        <v>-</v>
      </c>
      <c r="O13" s="1" t="str">
        <f t="shared" si="4"/>
        <v>-</v>
      </c>
      <c r="P13" s="1" t="str">
        <f t="shared" si="4"/>
        <v>-</v>
      </c>
      <c r="Q13" s="1" t="str">
        <f t="shared" si="4"/>
        <v>-</v>
      </c>
      <c r="R13" s="1" t="str">
        <f t="shared" si="4"/>
        <v>-</v>
      </c>
      <c r="S13" s="1" t="str">
        <f t="shared" si="4"/>
        <v>-</v>
      </c>
      <c r="T13" s="1" t="str">
        <f t="shared" si="4"/>
        <v>-</v>
      </c>
      <c r="U13" s="1" t="str">
        <f t="shared" si="4"/>
        <v>-</v>
      </c>
      <c r="V13" s="1" t="str">
        <f t="shared" si="4"/>
        <v>-</v>
      </c>
      <c r="W13" s="1">
        <f t="shared" si="2"/>
        <v>21.974628889933832</v>
      </c>
    </row>
    <row r="14" spans="1:23" x14ac:dyDescent="0.35">
      <c r="A14" s="1">
        <v>2023</v>
      </c>
      <c r="B14" s="1">
        <f t="shared" si="0"/>
        <v>0.63118329668965445</v>
      </c>
      <c r="C14" s="1">
        <f t="shared" si="3"/>
        <v>1.8601389834490751</v>
      </c>
      <c r="D14" s="1">
        <f t="shared" si="3"/>
        <v>5.4366474004741887</v>
      </c>
      <c r="E14" s="1">
        <f t="shared" si="3"/>
        <v>16.574999999999999</v>
      </c>
      <c r="F14" s="1" t="str">
        <f t="shared" si="3"/>
        <v>-</v>
      </c>
      <c r="G14" s="1" t="str">
        <f t="shared" si="3"/>
        <v>-</v>
      </c>
      <c r="H14" s="1" t="str">
        <f t="shared" si="3"/>
        <v>-</v>
      </c>
      <c r="I14" s="1" t="str">
        <f t="shared" si="3"/>
        <v>-</v>
      </c>
      <c r="J14" s="1" t="str">
        <f t="shared" si="3"/>
        <v>-</v>
      </c>
      <c r="K14" s="1" t="str">
        <f t="shared" si="3"/>
        <v>-</v>
      </c>
      <c r="L14" s="1" t="str">
        <f t="shared" si="3"/>
        <v>-</v>
      </c>
      <c r="M14" s="1" t="str">
        <f t="shared" si="4"/>
        <v>-</v>
      </c>
      <c r="N14" s="1" t="str">
        <f t="shared" si="4"/>
        <v>-</v>
      </c>
      <c r="O14" s="1" t="str">
        <f t="shared" si="4"/>
        <v>-</v>
      </c>
      <c r="P14" s="1" t="str">
        <f t="shared" si="4"/>
        <v>-</v>
      </c>
      <c r="Q14" s="1" t="str">
        <f t="shared" si="4"/>
        <v>-</v>
      </c>
      <c r="R14" s="1" t="str">
        <f t="shared" si="4"/>
        <v>-</v>
      </c>
      <c r="S14" s="1" t="str">
        <f t="shared" si="4"/>
        <v>-</v>
      </c>
      <c r="T14" s="1" t="str">
        <f t="shared" si="4"/>
        <v>-</v>
      </c>
      <c r="U14" s="1" t="str">
        <f t="shared" si="4"/>
        <v>-</v>
      </c>
      <c r="V14" s="1" t="str">
        <f t="shared" si="4"/>
        <v>-</v>
      </c>
      <c r="W14" s="1">
        <f t="shared" si="2"/>
        <v>24.502969680612917</v>
      </c>
    </row>
    <row r="15" spans="1:23" x14ac:dyDescent="0.35">
      <c r="A15" s="1">
        <v>2024</v>
      </c>
      <c r="B15" s="1">
        <f t="shared" si="0"/>
        <v>0.23559077752859742</v>
      </c>
      <c r="C15" s="1">
        <f t="shared" si="3"/>
        <v>0.69430162635861992</v>
      </c>
      <c r="D15" s="1">
        <f t="shared" si="3"/>
        <v>2.0292425273989911</v>
      </c>
      <c r="E15" s="1">
        <f t="shared" si="3"/>
        <v>5.8897013505137039</v>
      </c>
      <c r="F15" s="1">
        <f t="shared" si="3"/>
        <v>17.850000000000001</v>
      </c>
      <c r="G15" s="1" t="str">
        <f t="shared" si="3"/>
        <v>-</v>
      </c>
      <c r="H15" s="1" t="str">
        <f t="shared" si="3"/>
        <v>-</v>
      </c>
      <c r="I15" s="1" t="str">
        <f t="shared" si="3"/>
        <v>-</v>
      </c>
      <c r="J15" s="1" t="str">
        <f t="shared" si="3"/>
        <v>-</v>
      </c>
      <c r="K15" s="1" t="str">
        <f t="shared" si="3"/>
        <v>-</v>
      </c>
      <c r="L15" s="1" t="str">
        <f t="shared" si="3"/>
        <v>-</v>
      </c>
      <c r="M15" s="1" t="str">
        <f t="shared" si="4"/>
        <v>-</v>
      </c>
      <c r="N15" s="1" t="str">
        <f t="shared" si="4"/>
        <v>-</v>
      </c>
      <c r="O15" s="1" t="str">
        <f t="shared" si="4"/>
        <v>-</v>
      </c>
      <c r="P15" s="1" t="str">
        <f t="shared" si="4"/>
        <v>-</v>
      </c>
      <c r="Q15" s="1" t="str">
        <f t="shared" si="4"/>
        <v>-</v>
      </c>
      <c r="R15" s="1" t="str">
        <f t="shared" si="4"/>
        <v>-</v>
      </c>
      <c r="S15" s="1" t="str">
        <f t="shared" si="4"/>
        <v>-</v>
      </c>
      <c r="T15" s="1" t="str">
        <f t="shared" si="4"/>
        <v>-</v>
      </c>
      <c r="U15" s="1" t="str">
        <f t="shared" si="4"/>
        <v>-</v>
      </c>
      <c r="V15" s="1" t="str">
        <f t="shared" si="4"/>
        <v>-</v>
      </c>
      <c r="W15" s="1">
        <f t="shared" si="2"/>
        <v>26.698836281799913</v>
      </c>
    </row>
    <row r="16" spans="1:23" x14ac:dyDescent="0.35">
      <c r="A16" s="1">
        <v>2025</v>
      </c>
      <c r="B16" s="1">
        <f t="shared" si="0"/>
        <v>8.7934859410291499E-2</v>
      </c>
      <c r="C16" s="1">
        <f t="shared" si="3"/>
        <v>0.25914985528145712</v>
      </c>
      <c r="D16" s="1">
        <f t="shared" si="3"/>
        <v>0.75741995602758538</v>
      </c>
      <c r="E16" s="1">
        <f t="shared" si="3"/>
        <v>2.1983460713489071</v>
      </c>
      <c r="F16" s="1">
        <f t="shared" si="3"/>
        <v>6.34275530055322</v>
      </c>
      <c r="G16" s="1">
        <f t="shared" si="3"/>
        <v>19.125</v>
      </c>
      <c r="H16" s="1" t="str">
        <f t="shared" si="3"/>
        <v>-</v>
      </c>
      <c r="I16" s="1" t="str">
        <f t="shared" si="3"/>
        <v>-</v>
      </c>
      <c r="J16" s="1" t="str">
        <f t="shared" si="3"/>
        <v>-</v>
      </c>
      <c r="K16" s="1" t="str">
        <f t="shared" si="3"/>
        <v>-</v>
      </c>
      <c r="L16" s="1" t="str">
        <f t="shared" si="3"/>
        <v>-</v>
      </c>
      <c r="M16" s="1" t="str">
        <f t="shared" si="4"/>
        <v>-</v>
      </c>
      <c r="N16" s="1" t="str">
        <f t="shared" si="4"/>
        <v>-</v>
      </c>
      <c r="O16" s="1" t="str">
        <f t="shared" si="4"/>
        <v>-</v>
      </c>
      <c r="P16" s="1" t="str">
        <f t="shared" si="4"/>
        <v>-</v>
      </c>
      <c r="Q16" s="1" t="str">
        <f t="shared" si="4"/>
        <v>-</v>
      </c>
      <c r="R16" s="1" t="str">
        <f t="shared" si="4"/>
        <v>-</v>
      </c>
      <c r="S16" s="1" t="str">
        <f t="shared" si="4"/>
        <v>-</v>
      </c>
      <c r="T16" s="1" t="str">
        <f t="shared" si="4"/>
        <v>-</v>
      </c>
      <c r="U16" s="1" t="str">
        <f t="shared" si="4"/>
        <v>-</v>
      </c>
      <c r="V16" s="1" t="str">
        <f t="shared" si="4"/>
        <v>-</v>
      </c>
      <c r="W16" s="1">
        <f t="shared" si="2"/>
        <v>28.770606042621459</v>
      </c>
    </row>
    <row r="17" spans="1:23" x14ac:dyDescent="0.35">
      <c r="A17" s="1">
        <v>2026</v>
      </c>
      <c r="B17" s="1">
        <f t="shared" si="0"/>
        <v>3.282191086011043E-2</v>
      </c>
      <c r="C17" s="1">
        <f t="shared" si="3"/>
        <v>9.6728345351320633E-2</v>
      </c>
      <c r="D17" s="1">
        <f t="shared" si="3"/>
        <v>0.28270893303431688</v>
      </c>
      <c r="E17" s="1">
        <f t="shared" si="3"/>
        <v>0.82053828569655085</v>
      </c>
      <c r="F17" s="1">
        <f t="shared" si="3"/>
        <v>2.3674496152988231</v>
      </c>
      <c r="G17" s="1">
        <f t="shared" si="3"/>
        <v>6.7958092505927352</v>
      </c>
      <c r="H17" s="1">
        <f t="shared" si="3"/>
        <v>20.399999999999999</v>
      </c>
      <c r="I17" s="1" t="str">
        <f t="shared" si="3"/>
        <v>-</v>
      </c>
      <c r="J17" s="1" t="str">
        <f t="shared" si="3"/>
        <v>-</v>
      </c>
      <c r="K17" s="1" t="str">
        <f t="shared" si="3"/>
        <v>-</v>
      </c>
      <c r="L17" s="1" t="str">
        <f t="shared" si="3"/>
        <v>-</v>
      </c>
      <c r="M17" s="1" t="str">
        <f t="shared" si="4"/>
        <v>-</v>
      </c>
      <c r="N17" s="1" t="str">
        <f t="shared" si="4"/>
        <v>-</v>
      </c>
      <c r="O17" s="1" t="str">
        <f t="shared" si="4"/>
        <v>-</v>
      </c>
      <c r="P17" s="1" t="str">
        <f t="shared" si="4"/>
        <v>-</v>
      </c>
      <c r="Q17" s="1" t="str">
        <f t="shared" si="4"/>
        <v>-</v>
      </c>
      <c r="R17" s="1" t="str">
        <f t="shared" si="4"/>
        <v>-</v>
      </c>
      <c r="S17" s="1" t="str">
        <f t="shared" si="4"/>
        <v>-</v>
      </c>
      <c r="T17" s="1" t="str">
        <f t="shared" si="4"/>
        <v>-</v>
      </c>
      <c r="U17" s="1" t="str">
        <f t="shared" si="4"/>
        <v>-</v>
      </c>
      <c r="V17" s="1" t="str">
        <f t="shared" si="4"/>
        <v>-</v>
      </c>
      <c r="W17" s="1">
        <f t="shared" si="2"/>
        <v>30.796056340833857</v>
      </c>
    </row>
    <row r="18" spans="1:23" x14ac:dyDescent="0.35">
      <c r="A18" s="1">
        <v>2027</v>
      </c>
      <c r="B18" s="1">
        <f t="shared" si="0"/>
        <v>1.2250862055542846E-2</v>
      </c>
      <c r="C18" s="1">
        <f t="shared" si="3"/>
        <v>3.6104101946121472E-2</v>
      </c>
      <c r="D18" s="1">
        <f t="shared" si="3"/>
        <v>0.10552183129234981</v>
      </c>
      <c r="E18" s="1">
        <f t="shared" si="3"/>
        <v>0.30626801078717664</v>
      </c>
      <c r="F18" s="1">
        <f t="shared" si="3"/>
        <v>0.88365661536551632</v>
      </c>
      <c r="G18" s="1">
        <f t="shared" si="3"/>
        <v>2.5365531592487391</v>
      </c>
      <c r="H18" s="1">
        <f t="shared" si="3"/>
        <v>7.2488632006322504</v>
      </c>
      <c r="I18" s="1">
        <f t="shared" si="3"/>
        <v>21.674999999999997</v>
      </c>
      <c r="J18" s="1" t="str">
        <f t="shared" si="3"/>
        <v>-</v>
      </c>
      <c r="K18" s="1" t="str">
        <f t="shared" si="3"/>
        <v>-</v>
      </c>
      <c r="L18" s="1" t="str">
        <f t="shared" si="3"/>
        <v>-</v>
      </c>
      <c r="M18" s="1" t="str">
        <f t="shared" si="4"/>
        <v>-</v>
      </c>
      <c r="N18" s="1" t="str">
        <f t="shared" si="4"/>
        <v>-</v>
      </c>
      <c r="O18" s="1" t="str">
        <f t="shared" si="4"/>
        <v>-</v>
      </c>
      <c r="P18" s="1" t="str">
        <f t="shared" si="4"/>
        <v>-</v>
      </c>
      <c r="Q18" s="1" t="str">
        <f t="shared" si="4"/>
        <v>-</v>
      </c>
      <c r="R18" s="1" t="str">
        <f t="shared" si="4"/>
        <v>-</v>
      </c>
      <c r="S18" s="1" t="str">
        <f t="shared" si="4"/>
        <v>-</v>
      </c>
      <c r="T18" s="1" t="str">
        <f t="shared" si="4"/>
        <v>-</v>
      </c>
      <c r="U18" s="1" t="str">
        <f t="shared" si="4"/>
        <v>-</v>
      </c>
      <c r="V18" s="1" t="str">
        <f t="shared" si="4"/>
        <v>-</v>
      </c>
      <c r="W18" s="1">
        <f t="shared" si="2"/>
        <v>32.804217781327694</v>
      </c>
    </row>
    <row r="19" spans="1:23" x14ac:dyDescent="0.35">
      <c r="A19" s="1">
        <v>2028</v>
      </c>
      <c r="B19" s="1">
        <f t="shared" si="0"/>
        <v>4.5726655508756863E-3</v>
      </c>
      <c r="C19" s="1">
        <f t="shared" si="3"/>
        <v>1.347594826109713E-2</v>
      </c>
      <c r="D19" s="1">
        <f t="shared" si="3"/>
        <v>3.9386293032132522E-2</v>
      </c>
      <c r="E19" s="1">
        <f t="shared" si="3"/>
        <v>0.11431531723337894</v>
      </c>
      <c r="F19" s="1">
        <f t="shared" si="3"/>
        <v>0.32982708854003639</v>
      </c>
      <c r="G19" s="1">
        <f t="shared" si="3"/>
        <v>0.94677494503448179</v>
      </c>
      <c r="H19" s="1">
        <f t="shared" si="3"/>
        <v>2.7056567031986547</v>
      </c>
      <c r="I19" s="1">
        <f t="shared" si="3"/>
        <v>7.7019171506717656</v>
      </c>
      <c r="J19" s="1">
        <f t="shared" si="3"/>
        <v>22.95</v>
      </c>
      <c r="K19" s="1" t="str">
        <f t="shared" si="3"/>
        <v>-</v>
      </c>
      <c r="L19" s="1" t="str">
        <f t="shared" si="3"/>
        <v>-</v>
      </c>
      <c r="M19" s="1" t="str">
        <f t="shared" si="4"/>
        <v>-</v>
      </c>
      <c r="N19" s="1" t="str">
        <f t="shared" si="4"/>
        <v>-</v>
      </c>
      <c r="O19" s="1" t="str">
        <f t="shared" si="4"/>
        <v>-</v>
      </c>
      <c r="P19" s="1" t="str">
        <f t="shared" si="4"/>
        <v>-</v>
      </c>
      <c r="Q19" s="1" t="str">
        <f t="shared" si="4"/>
        <v>-</v>
      </c>
      <c r="R19" s="1" t="str">
        <f t="shared" si="4"/>
        <v>-</v>
      </c>
      <c r="S19" s="1" t="str">
        <f t="shared" si="4"/>
        <v>-</v>
      </c>
      <c r="T19" s="1" t="str">
        <f t="shared" si="4"/>
        <v>-</v>
      </c>
      <c r="U19" s="1" t="str">
        <f t="shared" si="4"/>
        <v>-</v>
      </c>
      <c r="V19" s="1" t="str">
        <f t="shared" si="4"/>
        <v>-</v>
      </c>
      <c r="W19" s="1">
        <f t="shared" si="2"/>
        <v>34.805926111522425</v>
      </c>
    </row>
    <row r="20" spans="1:23" x14ac:dyDescent="0.35">
      <c r="A20" s="1">
        <v>2029</v>
      </c>
      <c r="B20" s="1">
        <f t="shared" si="0"/>
        <v>1.7067590954307527E-3</v>
      </c>
      <c r="C20" s="1">
        <f t="shared" si="3"/>
        <v>5.0299321059632546E-3</v>
      </c>
      <c r="D20" s="1">
        <f t="shared" si="3"/>
        <v>1.4701034466651417E-2</v>
      </c>
      <c r="E20" s="1">
        <f t="shared" si="3"/>
        <v>4.2668484118143557E-2</v>
      </c>
      <c r="F20" s="1">
        <f t="shared" si="3"/>
        <v>0.1231088031744081</v>
      </c>
      <c r="G20" s="1">
        <f t="shared" si="3"/>
        <v>0.3533861662928961</v>
      </c>
      <c r="H20" s="1">
        <f t="shared" si="3"/>
        <v>1.009893274703447</v>
      </c>
      <c r="I20" s="1">
        <f t="shared" si="3"/>
        <v>2.8747602471485707</v>
      </c>
      <c r="J20" s="1">
        <f t="shared" si="3"/>
        <v>8.1549711007112826</v>
      </c>
      <c r="K20" s="1">
        <f t="shared" si="3"/>
        <v>24.225000000000001</v>
      </c>
      <c r="L20" s="1" t="str">
        <f t="shared" si="3"/>
        <v>-</v>
      </c>
      <c r="M20" s="1" t="str">
        <f t="shared" si="4"/>
        <v>-</v>
      </c>
      <c r="N20" s="1" t="str">
        <f t="shared" si="4"/>
        <v>-</v>
      </c>
      <c r="O20" s="1" t="str">
        <f t="shared" si="4"/>
        <v>-</v>
      </c>
      <c r="P20" s="1" t="str">
        <f t="shared" si="4"/>
        <v>-</v>
      </c>
      <c r="Q20" s="1" t="str">
        <f t="shared" si="4"/>
        <v>-</v>
      </c>
      <c r="R20" s="1" t="str">
        <f t="shared" si="4"/>
        <v>-</v>
      </c>
      <c r="S20" s="1" t="str">
        <f t="shared" si="4"/>
        <v>-</v>
      </c>
      <c r="T20" s="1" t="str">
        <f t="shared" si="4"/>
        <v>-</v>
      </c>
      <c r="U20" s="1" t="str">
        <f t="shared" si="4"/>
        <v>-</v>
      </c>
      <c r="V20" s="1" t="str">
        <f t="shared" si="4"/>
        <v>-</v>
      </c>
      <c r="W20" s="1">
        <f t="shared" si="2"/>
        <v>36.805225801816796</v>
      </c>
    </row>
    <row r="21" spans="1:23" x14ac:dyDescent="0.35">
      <c r="A21" s="1">
        <v>2030</v>
      </c>
      <c r="B21" s="1">
        <f t="shared" si="0"/>
        <v>6.3705219142426526E-4</v>
      </c>
      <c r="C21" s="1">
        <f t="shared" si="3"/>
        <v>1.8774350049738278E-3</v>
      </c>
      <c r="D21" s="1">
        <f t="shared" si="3"/>
        <v>5.4871986610508239E-3</v>
      </c>
      <c r="E21" s="1">
        <f t="shared" si="3"/>
        <v>1.5926120672205699E-2</v>
      </c>
      <c r="F21" s="1">
        <f t="shared" si="3"/>
        <v>4.5950675204154606E-2</v>
      </c>
      <c r="G21" s="1">
        <f t="shared" si="3"/>
        <v>0.13190228911543725</v>
      </c>
      <c r="H21" s="1">
        <f t="shared" si="3"/>
        <v>0.3769452440457558</v>
      </c>
      <c r="I21" s="1">
        <f t="shared" si="3"/>
        <v>1.0730116043724125</v>
      </c>
      <c r="J21" s="1">
        <f t="shared" si="3"/>
        <v>3.0438637910984867</v>
      </c>
      <c r="K21" s="1">
        <f t="shared" si="3"/>
        <v>8.6080250507507987</v>
      </c>
      <c r="L21" s="1">
        <f t="shared" si="3"/>
        <v>25.5</v>
      </c>
      <c r="M21" s="1" t="str">
        <f t="shared" si="4"/>
        <v>-</v>
      </c>
      <c r="N21" s="1" t="str">
        <f t="shared" si="4"/>
        <v>-</v>
      </c>
      <c r="O21" s="1" t="str">
        <f t="shared" si="4"/>
        <v>-</v>
      </c>
      <c r="P21" s="1" t="str">
        <f t="shared" si="4"/>
        <v>-</v>
      </c>
      <c r="Q21" s="1" t="str">
        <f t="shared" si="4"/>
        <v>-</v>
      </c>
      <c r="R21" s="1" t="str">
        <f t="shared" si="4"/>
        <v>-</v>
      </c>
      <c r="S21" s="1" t="str">
        <f t="shared" si="4"/>
        <v>-</v>
      </c>
      <c r="T21" s="1" t="str">
        <f t="shared" si="4"/>
        <v>-</v>
      </c>
      <c r="U21" s="1" t="str">
        <f t="shared" si="4"/>
        <v>-</v>
      </c>
      <c r="V21" s="1" t="str">
        <f t="shared" si="4"/>
        <v>-</v>
      </c>
      <c r="W21" s="1">
        <f t="shared" si="2"/>
        <v>38.8036264611167</v>
      </c>
    </row>
    <row r="22" spans="1:23" x14ac:dyDescent="0.35">
      <c r="A22" s="1">
        <v>2031</v>
      </c>
      <c r="B22" s="1">
        <f t="shared" si="0"/>
        <v>2.3778135747742058E-4</v>
      </c>
      <c r="C22" s="1">
        <f t="shared" ref="C22:L31" si="5">IF($A22-C$5&lt;0,"-",(C$6*($B$2*EXP((-$B$1*($A22-C$5)))+(1-$B$2)*EXP(-$B$3*($A22-C$5)))))</f>
        <v>7.0075741056669174E-4</v>
      </c>
      <c r="D22" s="1">
        <f t="shared" si="5"/>
        <v>2.0481109145169033E-3</v>
      </c>
      <c r="E22" s="1">
        <f t="shared" si="5"/>
        <v>5.9444652161383922E-3</v>
      </c>
      <c r="F22" s="1">
        <f t="shared" si="5"/>
        <v>1.7151206877759988E-2</v>
      </c>
      <c r="G22" s="1">
        <f t="shared" si="5"/>
        <v>4.9232866290165649E-2</v>
      </c>
      <c r="H22" s="1">
        <f t="shared" si="5"/>
        <v>0.14069577505646638</v>
      </c>
      <c r="I22" s="1">
        <f t="shared" si="5"/>
        <v>0.40050432179861556</v>
      </c>
      <c r="J22" s="1">
        <f t="shared" si="5"/>
        <v>1.136129934041378</v>
      </c>
      <c r="K22" s="1">
        <f t="shared" si="5"/>
        <v>3.2129673350484032</v>
      </c>
      <c r="L22" s="1">
        <f t="shared" si="5"/>
        <v>9.061079000790313</v>
      </c>
      <c r="M22" s="1">
        <f t="shared" ref="M22:V31" si="6">IF($A22-M$5&lt;0,"-",(M$6*($B$2*EXP((-$B$1*($A22-M$5)))+(1-$B$2)*EXP(-$B$3*($A22-M$5)))))</f>
        <v>1.2749999999999999</v>
      </c>
      <c r="N22" s="1" t="str">
        <f t="shared" si="6"/>
        <v>-</v>
      </c>
      <c r="O22" s="1" t="str">
        <f t="shared" si="6"/>
        <v>-</v>
      </c>
      <c r="P22" s="1" t="str">
        <f t="shared" si="6"/>
        <v>-</v>
      </c>
      <c r="Q22" s="1" t="str">
        <f t="shared" si="6"/>
        <v>-</v>
      </c>
      <c r="R22" s="1" t="str">
        <f t="shared" si="6"/>
        <v>-</v>
      </c>
      <c r="S22" s="1" t="str">
        <f t="shared" si="6"/>
        <v>-</v>
      </c>
      <c r="T22" s="1" t="str">
        <f t="shared" si="6"/>
        <v>-</v>
      </c>
      <c r="U22" s="1" t="str">
        <f t="shared" si="6"/>
        <v>-</v>
      </c>
      <c r="V22" s="1" t="str">
        <f t="shared" si="6"/>
        <v>-</v>
      </c>
      <c r="W22" s="1">
        <f t="shared" si="2"/>
        <v>15.301691554801801</v>
      </c>
    </row>
    <row r="23" spans="1:23" x14ac:dyDescent="0.35">
      <c r="A23" s="1">
        <v>2032</v>
      </c>
      <c r="B23" s="1">
        <f t="shared" si="0"/>
        <v>8.8752498970920673E-5</v>
      </c>
      <c r="C23" s="1">
        <f t="shared" si="5"/>
        <v>2.6155949322516261E-4</v>
      </c>
      <c r="D23" s="1">
        <f t="shared" si="5"/>
        <v>7.6446262970911833E-4</v>
      </c>
      <c r="E23" s="1">
        <f t="shared" si="5"/>
        <v>2.2187868240599786E-3</v>
      </c>
      <c r="F23" s="1">
        <f t="shared" si="5"/>
        <v>6.4017317712259615E-3</v>
      </c>
      <c r="G23" s="1">
        <f t="shared" si="5"/>
        <v>1.8376293083314271E-2</v>
      </c>
      <c r="H23" s="1">
        <f t="shared" si="5"/>
        <v>5.2515057376176684E-2</v>
      </c>
      <c r="I23" s="1">
        <f t="shared" si="5"/>
        <v>0.14948926099749552</v>
      </c>
      <c r="J23" s="1">
        <f t="shared" si="5"/>
        <v>0.42406339955147532</v>
      </c>
      <c r="K23" s="1">
        <f t="shared" si="5"/>
        <v>1.1992482637103437</v>
      </c>
      <c r="L23" s="1">
        <f t="shared" si="5"/>
        <v>3.3820708789983187</v>
      </c>
      <c r="M23" s="1">
        <f t="shared" si="6"/>
        <v>0.45305395003951565</v>
      </c>
      <c r="N23" s="1">
        <f t="shared" si="6"/>
        <v>28.049999999999997</v>
      </c>
      <c r="O23" s="1" t="str">
        <f t="shared" si="6"/>
        <v>-</v>
      </c>
      <c r="P23" s="1" t="str">
        <f t="shared" si="6"/>
        <v>-</v>
      </c>
      <c r="Q23" s="1" t="str">
        <f t="shared" si="6"/>
        <v>-</v>
      </c>
      <c r="R23" s="1" t="str">
        <f t="shared" si="6"/>
        <v>-</v>
      </c>
      <c r="S23" s="1" t="str">
        <f t="shared" si="6"/>
        <v>-</v>
      </c>
      <c r="T23" s="1" t="str">
        <f t="shared" si="6"/>
        <v>-</v>
      </c>
      <c r="U23" s="1" t="str">
        <f t="shared" si="6"/>
        <v>-</v>
      </c>
      <c r="V23" s="1" t="str">
        <f t="shared" si="6"/>
        <v>-</v>
      </c>
      <c r="W23" s="1">
        <f t="shared" si="2"/>
        <v>33.73855239697383</v>
      </c>
    </row>
    <row r="24" spans="1:23" x14ac:dyDescent="0.35">
      <c r="A24" s="1">
        <v>2033</v>
      </c>
      <c r="B24" s="1">
        <f t="shared" si="0"/>
        <v>3.3127096914362877E-5</v>
      </c>
      <c r="C24" s="1">
        <f t="shared" si="5"/>
        <v>9.7627748868012732E-5</v>
      </c>
      <c r="D24" s="1">
        <f t="shared" si="5"/>
        <v>2.8533762897290472E-4</v>
      </c>
      <c r="E24" s="1">
        <f t="shared" si="5"/>
        <v>8.2816784885154481E-4</v>
      </c>
      <c r="F24" s="1">
        <f t="shared" si="5"/>
        <v>2.3894627336030539E-3</v>
      </c>
      <c r="G24" s="1">
        <f t="shared" si="5"/>
        <v>6.8589983263135298E-3</v>
      </c>
      <c r="H24" s="1">
        <f t="shared" si="5"/>
        <v>1.9601379288868553E-2</v>
      </c>
      <c r="I24" s="1">
        <f t="shared" si="5"/>
        <v>5.5797248462187726E-2</v>
      </c>
      <c r="J24" s="1">
        <f t="shared" si="5"/>
        <v>0.1582827469385247</v>
      </c>
      <c r="K24" s="1">
        <f t="shared" si="5"/>
        <v>0.44762247730433508</v>
      </c>
      <c r="L24" s="1">
        <f t="shared" si="5"/>
        <v>1.2623665933793089</v>
      </c>
      <c r="M24" s="1">
        <f t="shared" si="6"/>
        <v>0.16910354394991592</v>
      </c>
      <c r="N24" s="1">
        <f t="shared" si="6"/>
        <v>9.9671869008693434</v>
      </c>
      <c r="O24" s="1">
        <f t="shared" si="6"/>
        <v>29.324999999999999</v>
      </c>
      <c r="P24" s="1" t="str">
        <f t="shared" si="6"/>
        <v>-</v>
      </c>
      <c r="Q24" s="1" t="str">
        <f t="shared" si="6"/>
        <v>-</v>
      </c>
      <c r="R24" s="1" t="str">
        <f t="shared" si="6"/>
        <v>-</v>
      </c>
      <c r="S24" s="1" t="str">
        <f t="shared" si="6"/>
        <v>-</v>
      </c>
      <c r="T24" s="1" t="str">
        <f t="shared" si="6"/>
        <v>-</v>
      </c>
      <c r="U24" s="1" t="str">
        <f t="shared" si="6"/>
        <v>-</v>
      </c>
      <c r="V24" s="1" t="str">
        <f t="shared" si="6"/>
        <v>-</v>
      </c>
      <c r="W24" s="1">
        <f t="shared" si="2"/>
        <v>41.415453611576005</v>
      </c>
    </row>
    <row r="25" spans="1:23" x14ac:dyDescent="0.35">
      <c r="A25" s="1">
        <v>2034</v>
      </c>
      <c r="B25" s="1">
        <f t="shared" si="0"/>
        <v>1.2364773529736328E-5</v>
      </c>
      <c r="C25" s="1">
        <f t="shared" si="5"/>
        <v>3.6439806605799163E-5</v>
      </c>
      <c r="D25" s="1">
        <f t="shared" si="5"/>
        <v>1.065029987651048E-4</v>
      </c>
      <c r="E25" s="1">
        <f t="shared" si="5"/>
        <v>3.0911576472064672E-4</v>
      </c>
      <c r="F25" s="1">
        <f t="shared" si="5"/>
        <v>8.9187306799397141E-4</v>
      </c>
      <c r="G25" s="1">
        <f t="shared" si="5"/>
        <v>2.5601386431461292E-3</v>
      </c>
      <c r="H25" s="1">
        <f t="shared" si="5"/>
        <v>7.3162648814010982E-3</v>
      </c>
      <c r="I25" s="1">
        <f t="shared" si="5"/>
        <v>2.0826465494422838E-2</v>
      </c>
      <c r="J25" s="1">
        <f t="shared" si="5"/>
        <v>5.9079439548198776E-2</v>
      </c>
      <c r="K25" s="1">
        <f t="shared" si="5"/>
        <v>0.16707623287955387</v>
      </c>
      <c r="L25" s="1">
        <f t="shared" si="5"/>
        <v>0.47118155505719483</v>
      </c>
      <c r="M25" s="1">
        <f t="shared" si="6"/>
        <v>6.3118329668965439E-2</v>
      </c>
      <c r="N25" s="1">
        <f t="shared" si="6"/>
        <v>3.7202779668981503</v>
      </c>
      <c r="O25" s="1">
        <f t="shared" si="6"/>
        <v>10.42024085090886</v>
      </c>
      <c r="P25" s="1">
        <f t="shared" si="6"/>
        <v>30.6</v>
      </c>
      <c r="Q25" s="1" t="str">
        <f t="shared" si="6"/>
        <v>-</v>
      </c>
      <c r="R25" s="1" t="str">
        <f t="shared" si="6"/>
        <v>-</v>
      </c>
      <c r="S25" s="1" t="str">
        <f t="shared" si="6"/>
        <v>-</v>
      </c>
      <c r="T25" s="1" t="str">
        <f t="shared" si="6"/>
        <v>-</v>
      </c>
      <c r="U25" s="1" t="str">
        <f t="shared" si="6"/>
        <v>-</v>
      </c>
      <c r="V25" s="1" t="str">
        <f t="shared" si="6"/>
        <v>-</v>
      </c>
      <c r="W25" s="1">
        <f t="shared" si="2"/>
        <v>45.533033540391514</v>
      </c>
    </row>
    <row r="26" spans="1:23" x14ac:dyDescent="0.35">
      <c r="A26" s="1">
        <v>2035</v>
      </c>
      <c r="B26" s="1">
        <f t="shared" si="0"/>
        <v>4.6151832995477745E-6</v>
      </c>
      <c r="C26" s="1">
        <f t="shared" si="5"/>
        <v>1.3601250882709959E-5</v>
      </c>
      <c r="D26" s="1">
        <f t="shared" si="5"/>
        <v>3.9752516297235455E-5</v>
      </c>
      <c r="E26" s="1">
        <f t="shared" si="5"/>
        <v>1.1537824866219686E-4</v>
      </c>
      <c r="F26" s="1">
        <f t="shared" si="5"/>
        <v>3.3289390046838883E-4</v>
      </c>
      <c r="G26" s="1">
        <f t="shared" si="5"/>
        <v>9.5557828713639789E-4</v>
      </c>
      <c r="H26" s="1">
        <f t="shared" si="5"/>
        <v>2.7308145526892041E-3</v>
      </c>
      <c r="I26" s="1">
        <f t="shared" si="5"/>
        <v>7.7735314364886666E-3</v>
      </c>
      <c r="J26" s="1">
        <f t="shared" si="5"/>
        <v>2.2051551699977124E-2</v>
      </c>
      <c r="K26" s="1">
        <f t="shared" si="5"/>
        <v>6.2361630634209825E-2</v>
      </c>
      <c r="L26" s="1">
        <f t="shared" si="5"/>
        <v>0.175869718820583</v>
      </c>
      <c r="M26" s="1">
        <f t="shared" si="6"/>
        <v>2.3559077752859738E-2</v>
      </c>
      <c r="N26" s="1">
        <f t="shared" si="6"/>
        <v>1.3886032527172398</v>
      </c>
      <c r="O26" s="1">
        <f t="shared" si="6"/>
        <v>3.8893815108480663</v>
      </c>
      <c r="P26" s="1">
        <f t="shared" si="6"/>
        <v>10.873294800948377</v>
      </c>
      <c r="Q26" s="1">
        <f t="shared" si="6"/>
        <v>31.875</v>
      </c>
      <c r="R26" s="1" t="str">
        <f t="shared" si="6"/>
        <v>-</v>
      </c>
      <c r="S26" s="1" t="str">
        <f t="shared" si="6"/>
        <v>-</v>
      </c>
      <c r="T26" s="1" t="str">
        <f t="shared" si="6"/>
        <v>-</v>
      </c>
      <c r="U26" s="1" t="str">
        <f t="shared" si="6"/>
        <v>-</v>
      </c>
      <c r="V26" s="1" t="str">
        <f t="shared" si="6"/>
        <v>-</v>
      </c>
      <c r="W26" s="1">
        <f t="shared" si="2"/>
        <v>48.322087708797241</v>
      </c>
    </row>
    <row r="27" spans="1:23" x14ac:dyDescent="0.35">
      <c r="A27" s="1">
        <v>2036</v>
      </c>
      <c r="B27" s="1">
        <f t="shared" si="0"/>
        <v>1.7226289537127407E-6</v>
      </c>
      <c r="C27" s="1">
        <f t="shared" si="5"/>
        <v>5.0767016295025513E-6</v>
      </c>
      <c r="D27" s="1">
        <f t="shared" si="5"/>
        <v>1.4837728235683594E-5</v>
      </c>
      <c r="E27" s="1">
        <f t="shared" si="5"/>
        <v>4.3065225988671741E-5</v>
      </c>
      <c r="F27" s="1">
        <f t="shared" si="5"/>
        <v>1.2425349855928894E-4</v>
      </c>
      <c r="G27" s="1">
        <f t="shared" si="5"/>
        <v>3.5667203621613089E-4</v>
      </c>
      <c r="H27" s="1">
        <f t="shared" si="5"/>
        <v>1.0192835062788244E-3</v>
      </c>
      <c r="I27" s="1">
        <f t="shared" si="5"/>
        <v>2.9014904622322794E-3</v>
      </c>
      <c r="J27" s="1">
        <f t="shared" si="5"/>
        <v>8.2307979915762358E-3</v>
      </c>
      <c r="K27" s="1">
        <f t="shared" si="5"/>
        <v>2.327663790553141E-2</v>
      </c>
      <c r="L27" s="1">
        <f t="shared" si="5"/>
        <v>6.564382172022086E-2</v>
      </c>
      <c r="M27" s="1">
        <f t="shared" si="6"/>
        <v>8.7934859410291489E-3</v>
      </c>
      <c r="N27" s="1">
        <f t="shared" si="6"/>
        <v>0.51829971056291424</v>
      </c>
      <c r="O27" s="1">
        <f t="shared" si="6"/>
        <v>1.4517215823862053</v>
      </c>
      <c r="P27" s="1">
        <f t="shared" si="6"/>
        <v>4.0584850547979823</v>
      </c>
      <c r="Q27" s="1">
        <f t="shared" si="6"/>
        <v>11.326348750987892</v>
      </c>
      <c r="R27" s="1">
        <f t="shared" si="6"/>
        <v>33.15</v>
      </c>
      <c r="S27" s="1" t="str">
        <f t="shared" si="6"/>
        <v>-</v>
      </c>
      <c r="T27" s="1" t="str">
        <f t="shared" si="6"/>
        <v>-</v>
      </c>
      <c r="U27" s="1" t="str">
        <f t="shared" si="6"/>
        <v>-</v>
      </c>
      <c r="V27" s="1" t="str">
        <f t="shared" si="6"/>
        <v>-</v>
      </c>
      <c r="W27" s="1">
        <f t="shared" si="2"/>
        <v>50.61526624408144</v>
      </c>
    </row>
    <row r="28" spans="1:23" x14ac:dyDescent="0.35">
      <c r="A28" s="1">
        <v>2037</v>
      </c>
      <c r="B28" s="1">
        <f t="shared" si="0"/>
        <v>6.4297565655955973E-7</v>
      </c>
      <c r="C28" s="1">
        <f t="shared" si="5"/>
        <v>1.8948918490840145E-6</v>
      </c>
      <c r="D28" s="1">
        <f t="shared" si="5"/>
        <v>5.538219959457329E-6</v>
      </c>
      <c r="E28" s="1">
        <f t="shared" si="5"/>
        <v>1.6074205588657225E-5</v>
      </c>
      <c r="F28" s="1">
        <f t="shared" si="5"/>
        <v>4.6377935680108033E-5</v>
      </c>
      <c r="G28" s="1">
        <f t="shared" si="5"/>
        <v>1.3312874845638101E-4</v>
      </c>
      <c r="H28" s="1">
        <f t="shared" si="5"/>
        <v>3.8045017196387289E-4</v>
      </c>
      <c r="I28" s="1">
        <f t="shared" si="5"/>
        <v>1.0829887254212509E-3</v>
      </c>
      <c r="J28" s="1">
        <f t="shared" si="5"/>
        <v>3.0721663717753547E-3</v>
      </c>
      <c r="K28" s="1">
        <f t="shared" si="5"/>
        <v>8.6880645466638051E-3</v>
      </c>
      <c r="L28" s="1">
        <f t="shared" si="5"/>
        <v>2.4501724111085692E-2</v>
      </c>
      <c r="M28" s="1">
        <f t="shared" si="6"/>
        <v>3.2821910860110427E-3</v>
      </c>
      <c r="N28" s="1">
        <f t="shared" si="6"/>
        <v>0.19345669070264127</v>
      </c>
      <c r="O28" s="1">
        <f t="shared" si="6"/>
        <v>0.54185878831577405</v>
      </c>
      <c r="P28" s="1">
        <f t="shared" si="6"/>
        <v>1.5148399120551708</v>
      </c>
      <c r="Q28" s="1">
        <f t="shared" si="6"/>
        <v>4.2275885987478983</v>
      </c>
      <c r="R28" s="1">
        <f t="shared" si="6"/>
        <v>11.779402701027408</v>
      </c>
      <c r="S28" s="1">
        <f t="shared" si="6"/>
        <v>34.424999999999997</v>
      </c>
      <c r="T28" s="1" t="str">
        <f t="shared" si="6"/>
        <v>-</v>
      </c>
      <c r="U28" s="1" t="str">
        <f t="shared" si="6"/>
        <v>-</v>
      </c>
      <c r="V28" s="1" t="str">
        <f t="shared" si="6"/>
        <v>-</v>
      </c>
      <c r="W28" s="1">
        <f t="shared" si="2"/>
        <v>52.723357932839001</v>
      </c>
    </row>
    <row r="29" spans="1:23" x14ac:dyDescent="0.35">
      <c r="A29" s="1">
        <v>2038</v>
      </c>
      <c r="B29" s="1">
        <f t="shared" si="0"/>
        <v>2.3999230596767184E-7</v>
      </c>
      <c r="C29" s="1">
        <f t="shared" si="5"/>
        <v>7.0727322221551562E-7</v>
      </c>
      <c r="D29" s="1">
        <f t="shared" si="5"/>
        <v>2.0671547444552887E-6</v>
      </c>
      <c r="E29" s="1">
        <f t="shared" si="5"/>
        <v>5.9997382894121059E-6</v>
      </c>
      <c r="F29" s="1">
        <f t="shared" si="5"/>
        <v>1.7310682941630862E-5</v>
      </c>
      <c r="G29" s="1">
        <f t="shared" si="5"/>
        <v>4.9690645371544312E-5</v>
      </c>
      <c r="H29" s="1">
        <f t="shared" si="5"/>
        <v>1.4200399835347305E-4</v>
      </c>
      <c r="I29" s="1">
        <f t="shared" si="5"/>
        <v>4.0422830771161494E-4</v>
      </c>
      <c r="J29" s="1">
        <f t="shared" si="5"/>
        <v>1.1466939445636776E-3</v>
      </c>
      <c r="K29" s="1">
        <f t="shared" si="5"/>
        <v>3.2428422813184305E-3</v>
      </c>
      <c r="L29" s="1">
        <f t="shared" si="5"/>
        <v>9.1453311017513726E-3</v>
      </c>
      <c r="M29" s="1">
        <f t="shared" si="6"/>
        <v>1.2250862055542845E-3</v>
      </c>
      <c r="N29" s="1">
        <f t="shared" si="6"/>
        <v>7.2208203892242945E-2</v>
      </c>
      <c r="O29" s="1">
        <f t="shared" si="6"/>
        <v>0.20225017664367045</v>
      </c>
      <c r="P29" s="1">
        <f t="shared" si="6"/>
        <v>0.56541786606863376</v>
      </c>
      <c r="Q29" s="1">
        <f t="shared" si="6"/>
        <v>1.5779582417241362</v>
      </c>
      <c r="R29" s="1">
        <f t="shared" si="6"/>
        <v>4.3966921426978143</v>
      </c>
      <c r="S29" s="1">
        <f t="shared" si="6"/>
        <v>12.232456651066922</v>
      </c>
      <c r="T29" s="1">
        <f t="shared" si="6"/>
        <v>35.700000000000003</v>
      </c>
      <c r="U29" s="1" t="str">
        <f t="shared" si="6"/>
        <v>-</v>
      </c>
      <c r="V29" s="1" t="str">
        <f t="shared" si="6"/>
        <v>-</v>
      </c>
      <c r="W29" s="1">
        <f t="shared" si="2"/>
        <v>54.762365483419551</v>
      </c>
    </row>
    <row r="30" spans="1:23" x14ac:dyDescent="0.35">
      <c r="A30" s="1">
        <v>2039</v>
      </c>
      <c r="B30" s="1">
        <f t="shared" si="0"/>
        <v>8.9577741141659216E-8</v>
      </c>
      <c r="C30" s="1">
        <f t="shared" si="5"/>
        <v>2.6399153656443902E-7</v>
      </c>
      <c r="D30" s="1">
        <f t="shared" si="5"/>
        <v>7.7157078787147172E-7</v>
      </c>
      <c r="E30" s="1">
        <f t="shared" si="5"/>
        <v>2.2394176398265625E-6</v>
      </c>
      <c r="F30" s="1">
        <f t="shared" si="5"/>
        <v>6.4612566193668844E-6</v>
      </c>
      <c r="G30" s="1">
        <f t="shared" si="5"/>
        <v>1.8547160294604491E-5</v>
      </c>
      <c r="H30" s="1">
        <f t="shared" si="5"/>
        <v>5.3003355062980598E-5</v>
      </c>
      <c r="I30" s="1">
        <f t="shared" si="5"/>
        <v>1.5087924825056513E-4</v>
      </c>
      <c r="J30" s="1">
        <f t="shared" si="5"/>
        <v>4.2800644345935705E-4</v>
      </c>
      <c r="K30" s="1">
        <f t="shared" si="5"/>
        <v>1.210399163706104E-3</v>
      </c>
      <c r="L30" s="1">
        <f t="shared" si="5"/>
        <v>3.4135181908615054E-3</v>
      </c>
      <c r="M30" s="1">
        <f t="shared" si="6"/>
        <v>4.5726655508756864E-4</v>
      </c>
      <c r="N30" s="1">
        <f t="shared" si="6"/>
        <v>2.695189652219426E-2</v>
      </c>
      <c r="O30" s="1">
        <f t="shared" si="6"/>
        <v>7.5490394978253994E-2</v>
      </c>
      <c r="P30" s="1">
        <f t="shared" si="6"/>
        <v>0.21104366258469962</v>
      </c>
      <c r="Q30" s="1">
        <f t="shared" si="6"/>
        <v>0.58897694382149357</v>
      </c>
      <c r="R30" s="1">
        <f t="shared" si="6"/>
        <v>1.6410765713931017</v>
      </c>
      <c r="S30" s="1">
        <f t="shared" si="6"/>
        <v>4.5657956866477303</v>
      </c>
      <c r="T30" s="1">
        <f t="shared" si="6"/>
        <v>12.68551060110644</v>
      </c>
      <c r="U30" s="1">
        <f t="shared" si="6"/>
        <v>36.975000000000001</v>
      </c>
      <c r="V30" s="1" t="str">
        <f t="shared" si="6"/>
        <v>-</v>
      </c>
      <c r="W30" s="1">
        <f t="shared" si="2"/>
        <v>56.775587202984966</v>
      </c>
    </row>
    <row r="31" spans="1:23" x14ac:dyDescent="0.35">
      <c r="A31" s="1">
        <v>2040</v>
      </c>
      <c r="B31" s="1">
        <f t="shared" si="0"/>
        <v>3.3435120662255628E-8</v>
      </c>
      <c r="C31" s="1">
        <f t="shared" si="5"/>
        <v>9.853551525582513E-8</v>
      </c>
      <c r="D31" s="1">
        <f t="shared" si="5"/>
        <v>2.879907671612062E-7</v>
      </c>
      <c r="E31" s="1">
        <f t="shared" si="5"/>
        <v>8.358683535274276E-7</v>
      </c>
      <c r="F31" s="1">
        <f t="shared" si="5"/>
        <v>2.4116805351978372E-6</v>
      </c>
      <c r="G31" s="1">
        <f t="shared" si="5"/>
        <v>6.9227749493216613E-6</v>
      </c>
      <c r="H31" s="1">
        <f t="shared" si="5"/>
        <v>1.9783637647578124E-5</v>
      </c>
      <c r="I31" s="1">
        <f t="shared" si="5"/>
        <v>5.6316064754416883E-5</v>
      </c>
      <c r="J31" s="1">
        <f t="shared" si="5"/>
        <v>1.597544981476572E-4</v>
      </c>
      <c r="K31" s="1">
        <f t="shared" si="5"/>
        <v>4.5178457920709911E-4</v>
      </c>
      <c r="L31" s="1">
        <f t="shared" si="5"/>
        <v>1.2741043828485305E-3</v>
      </c>
      <c r="M31" s="1">
        <f t="shared" si="6"/>
        <v>1.7067590954307526E-4</v>
      </c>
      <c r="N31" s="1">
        <f t="shared" si="6"/>
        <v>1.0059864211926509E-2</v>
      </c>
      <c r="O31" s="1">
        <f t="shared" si="6"/>
        <v>2.8176982727748545E-2</v>
      </c>
      <c r="P31" s="1">
        <f t="shared" si="6"/>
        <v>7.8772586064265043E-2</v>
      </c>
      <c r="Q31" s="1">
        <f t="shared" si="6"/>
        <v>0.21983714852572875</v>
      </c>
      <c r="R31" s="1">
        <f t="shared" si="6"/>
        <v>0.61253602157435327</v>
      </c>
      <c r="S31" s="1">
        <f t="shared" si="6"/>
        <v>1.7041949010620669</v>
      </c>
      <c r="T31" s="1">
        <f t="shared" si="6"/>
        <v>4.7348992305976463</v>
      </c>
      <c r="U31" s="1">
        <f t="shared" si="6"/>
        <v>13.138564551145954</v>
      </c>
      <c r="V31" s="1">
        <f t="shared" si="6"/>
        <v>38.25</v>
      </c>
      <c r="W31" s="1">
        <f t="shared" si="2"/>
        <v>58.779184295267079</v>
      </c>
    </row>
    <row r="52" spans="2:2" x14ac:dyDescent="0.3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Flow_diagram</vt:lpstr>
      <vt:lpstr>Flow_data_Biomass</vt:lpstr>
      <vt:lpstr>TC_data_Biomass</vt:lpstr>
      <vt:lpstr>Flow_data_Carbon</vt:lpstr>
      <vt:lpstr>TC_data_Carbon</vt:lpstr>
      <vt:lpstr>Model_validation_Biomass</vt:lpstr>
      <vt:lpstr>Model_validation_Carbon</vt:lpstr>
      <vt:lpstr>Sequestration_process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Hoppe</dc:creator>
  <cp:lastModifiedBy>TU-Pseudonym 9055540188463204</cp:lastModifiedBy>
  <dcterms:created xsi:type="dcterms:W3CDTF">2022-03-18T12:32:44Z</dcterms:created>
  <dcterms:modified xsi:type="dcterms:W3CDTF">2025-03-26T09:51:38Z</dcterms:modified>
</cp:coreProperties>
</file>