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4_Scenario4_biomass_potential\"/>
    </mc:Choice>
  </mc:AlternateContent>
  <xr:revisionPtr revIDLastSave="0" documentId="13_ncr:1_{E4E81C68-A286-4B52-8E4B-A1057FA91316}" xr6:coauthVersionLast="47" xr6:coauthVersionMax="47" xr10:uidLastSave="{00000000-0000-0000-0000-000000000000}"/>
  <bookViews>
    <workbookView xWindow="-120" yWindow="-120" windowWidth="38640" windowHeight="21120" tabRatio="840" firstSheet="2" activeTab="4"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2" i="2" l="1"/>
  <c r="AA288" i="2"/>
  <c r="AA263" i="2" l="1"/>
  <c r="AA264" i="2" l="1"/>
  <c r="AA265" i="2" l="1"/>
  <c r="AA266" i="2" l="1"/>
  <c r="AA267" i="2" l="1"/>
  <c r="AA268" i="2" l="1"/>
  <c r="AA269" i="2" l="1"/>
  <c r="AA270" i="2" l="1"/>
  <c r="AA271" i="2" l="1"/>
  <c r="AA272" i="2" l="1"/>
  <c r="AA273" i="2" l="1"/>
  <c r="AA274" i="2" l="1"/>
  <c r="AA275" i="2" l="1"/>
  <c r="AA276" i="2" l="1"/>
  <c r="AA277" i="2" l="1"/>
  <c r="AA278" i="2" l="1"/>
  <c r="AA279" i="2" l="1"/>
  <c r="AA280" i="2" l="1"/>
  <c r="AA281" i="2" l="1"/>
  <c r="AA282" i="2" l="1"/>
  <c r="AA283" i="2" l="1"/>
  <c r="AA284" i="2" l="1"/>
  <c r="AA285" i="2" l="1"/>
  <c r="AA287" i="2" l="1"/>
  <c r="AA286" i="2"/>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T35" i="15" l="1"/>
  <c r="X38" i="15"/>
  <c r="X34" i="15"/>
  <c r="AA250" i="2"/>
  <c r="AA244" i="2"/>
  <c r="AA243" i="2"/>
  <c r="AA239" i="2"/>
  <c r="AA238" i="2"/>
  <c r="AA232" i="2"/>
  <c r="AA228" i="2"/>
  <c r="AA227" i="2"/>
  <c r="AA226" i="2"/>
  <c r="AA224" i="2"/>
  <c r="AA220" i="2"/>
  <c r="AA216" i="2"/>
  <c r="AA215" i="2"/>
  <c r="AA214" i="2"/>
  <c r="AA212" i="2"/>
  <c r="X30" i="15"/>
  <c r="X31" i="15"/>
  <c r="X32" i="15"/>
  <c r="X33" i="15"/>
  <c r="X35" i="15"/>
  <c r="X36" i="15"/>
  <c r="X39" i="15"/>
  <c r="X40" i="15"/>
  <c r="AA210" i="2"/>
  <c r="AA211" i="2"/>
  <c r="AA213" i="2"/>
  <c r="AA217" i="2"/>
  <c r="AA218" i="2"/>
  <c r="AA219" i="2"/>
  <c r="AA221" i="2"/>
  <c r="AA222" i="2"/>
  <c r="AA223" i="2"/>
  <c r="AA225" i="2"/>
  <c r="AA229" i="2"/>
  <c r="AA230" i="2"/>
  <c r="AA231" i="2"/>
  <c r="AA233" i="2"/>
  <c r="AA234" i="2"/>
  <c r="AA235" i="2"/>
  <c r="AA236" i="2"/>
  <c r="AA237" i="2"/>
  <c r="AA240" i="2"/>
  <c r="AA241" i="2"/>
  <c r="AA242" i="2"/>
  <c r="AA245" i="2"/>
  <c r="AA246" i="2"/>
  <c r="AA247" i="2"/>
  <c r="AA248" i="2"/>
  <c r="AA249" i="2"/>
  <c r="G58" i="2"/>
  <c r="G59" i="2"/>
  <c r="G60" i="2"/>
  <c r="G61" i="2"/>
  <c r="G62" i="2"/>
  <c r="G63" i="2"/>
  <c r="G64" i="2"/>
  <c r="G65" i="2"/>
  <c r="G66" i="2"/>
  <c r="G67" i="2"/>
  <c r="G68" i="2"/>
  <c r="G69" i="2"/>
  <c r="G70" i="2"/>
  <c r="G71" i="2"/>
  <c r="G72" i="2"/>
  <c r="G73" i="2"/>
  <c r="G74" i="2"/>
  <c r="G75" i="2"/>
  <c r="G76" i="2"/>
  <c r="G77" i="2"/>
  <c r="G78" i="2"/>
  <c r="G79" i="2"/>
  <c r="E58" i="2"/>
  <c r="E59" i="2"/>
  <c r="E60" i="2"/>
  <c r="E61" i="2"/>
  <c r="E62" i="2"/>
  <c r="E63" i="2"/>
  <c r="E64" i="2"/>
  <c r="E65" i="2"/>
  <c r="E66" i="2"/>
  <c r="E67" i="2"/>
  <c r="E68" i="2"/>
  <c r="E69" i="2"/>
  <c r="E70" i="2"/>
  <c r="E71" i="2"/>
  <c r="E72" i="2"/>
  <c r="E73" i="2"/>
  <c r="E74" i="2"/>
  <c r="E75" i="2"/>
  <c r="E76" i="2"/>
  <c r="E77" i="2"/>
  <c r="E78" i="2"/>
  <c r="E79" i="2"/>
  <c r="G84" i="2"/>
  <c r="G85" i="2"/>
  <c r="G86" i="2"/>
  <c r="G87" i="2"/>
  <c r="G88" i="2"/>
  <c r="G89" i="2"/>
  <c r="G90" i="2"/>
  <c r="G91" i="2"/>
  <c r="G92" i="2"/>
  <c r="G93" i="2"/>
  <c r="G94" i="2"/>
  <c r="G95" i="2"/>
  <c r="G96" i="2"/>
  <c r="G97" i="2"/>
  <c r="G98" i="2"/>
  <c r="G99" i="2"/>
  <c r="G100" i="2"/>
  <c r="G101" i="2"/>
  <c r="G102" i="2"/>
  <c r="G103" i="2"/>
  <c r="G104" i="2"/>
  <c r="G105" i="2"/>
  <c r="E84" i="2"/>
  <c r="E85" i="2"/>
  <c r="E86" i="2"/>
  <c r="E87" i="2"/>
  <c r="E88" i="2"/>
  <c r="E89" i="2"/>
  <c r="E90" i="2"/>
  <c r="E91" i="2"/>
  <c r="E92" i="2"/>
  <c r="E93" i="2"/>
  <c r="E94" i="2"/>
  <c r="E95" i="2"/>
  <c r="E96" i="2"/>
  <c r="E97" i="2"/>
  <c r="E98" i="2"/>
  <c r="E99" i="2"/>
  <c r="E100" i="2"/>
  <c r="E101" i="2"/>
  <c r="E102" i="2"/>
  <c r="E103" i="2"/>
  <c r="E104" i="2"/>
  <c r="E105" i="2"/>
  <c r="G110" i="2"/>
  <c r="G111" i="2"/>
  <c r="G112" i="2"/>
  <c r="G113" i="2"/>
  <c r="G114" i="2"/>
  <c r="G115" i="2"/>
  <c r="G116" i="2"/>
  <c r="G117" i="2"/>
  <c r="G118" i="2"/>
  <c r="G119" i="2"/>
  <c r="G120" i="2"/>
  <c r="G121" i="2"/>
  <c r="G122" i="2"/>
  <c r="G123" i="2"/>
  <c r="G124" i="2"/>
  <c r="G125" i="2"/>
  <c r="G126" i="2"/>
  <c r="G127" i="2"/>
  <c r="G128" i="2"/>
  <c r="G129" i="2"/>
  <c r="G130" i="2"/>
  <c r="G131" i="2"/>
  <c r="E110" i="2"/>
  <c r="E111" i="2"/>
  <c r="E112" i="2"/>
  <c r="E113" i="2"/>
  <c r="E114" i="2"/>
  <c r="E115" i="2"/>
  <c r="E116" i="2"/>
  <c r="E117" i="2"/>
  <c r="E118" i="2"/>
  <c r="E119" i="2"/>
  <c r="E120" i="2"/>
  <c r="E121" i="2"/>
  <c r="E122" i="2"/>
  <c r="E123" i="2"/>
  <c r="E124" i="2"/>
  <c r="E125" i="2"/>
  <c r="E126" i="2"/>
  <c r="E127" i="2"/>
  <c r="E128" i="2"/>
  <c r="E129" i="2"/>
  <c r="E130" i="2"/>
  <c r="E131" i="2"/>
  <c r="G136" i="2"/>
  <c r="G137" i="2"/>
  <c r="G138" i="2"/>
  <c r="G139" i="2"/>
  <c r="G140" i="2"/>
  <c r="G141" i="2"/>
  <c r="G142" i="2"/>
  <c r="G143" i="2"/>
  <c r="G144" i="2"/>
  <c r="G145" i="2"/>
  <c r="G146" i="2"/>
  <c r="G147" i="2"/>
  <c r="G148" i="2"/>
  <c r="G149" i="2"/>
  <c r="G150" i="2"/>
  <c r="G151" i="2"/>
  <c r="G152" i="2"/>
  <c r="G153" i="2"/>
  <c r="G154" i="2"/>
  <c r="G155" i="2"/>
  <c r="G156" i="2"/>
  <c r="G157" i="2"/>
  <c r="E136" i="2"/>
  <c r="E137" i="2"/>
  <c r="E138" i="2"/>
  <c r="E139" i="2"/>
  <c r="E140" i="2"/>
  <c r="E141" i="2"/>
  <c r="E142" i="2"/>
  <c r="E143" i="2"/>
  <c r="E144" i="2"/>
  <c r="E145" i="2"/>
  <c r="E146" i="2"/>
  <c r="E147" i="2"/>
  <c r="E148" i="2"/>
  <c r="E149" i="2"/>
  <c r="E150" i="2"/>
  <c r="E151" i="2"/>
  <c r="E152" i="2"/>
  <c r="E153" i="2"/>
  <c r="E154" i="2"/>
  <c r="E155" i="2"/>
  <c r="E156" i="2"/>
  <c r="E157" i="2"/>
  <c r="D136" i="2"/>
  <c r="D137" i="2"/>
  <c r="D138" i="2"/>
  <c r="D139" i="2"/>
  <c r="D140" i="2"/>
  <c r="D141" i="2"/>
  <c r="D142" i="2"/>
  <c r="D143" i="2"/>
  <c r="D144" i="2"/>
  <c r="D145" i="2"/>
  <c r="D146" i="2"/>
  <c r="D147" i="2"/>
  <c r="D148" i="2"/>
  <c r="D149" i="2"/>
  <c r="D150" i="2"/>
  <c r="D151" i="2"/>
  <c r="D152" i="2"/>
  <c r="D153" i="2"/>
  <c r="D154" i="2"/>
  <c r="D155" i="2"/>
  <c r="D156" i="2"/>
  <c r="D157" i="2"/>
  <c r="G162" i="2"/>
  <c r="G163" i="2"/>
  <c r="G164" i="2"/>
  <c r="G165" i="2"/>
  <c r="G166" i="2"/>
  <c r="G167" i="2"/>
  <c r="G168" i="2"/>
  <c r="G169" i="2"/>
  <c r="G170" i="2"/>
  <c r="G171" i="2"/>
  <c r="G172" i="2"/>
  <c r="G173" i="2"/>
  <c r="G174" i="2"/>
  <c r="G175" i="2"/>
  <c r="G176" i="2"/>
  <c r="G177" i="2"/>
  <c r="G178" i="2"/>
  <c r="G179" i="2"/>
  <c r="G180" i="2"/>
  <c r="G181" i="2"/>
  <c r="G182" i="2"/>
  <c r="G183" i="2"/>
  <c r="E162" i="2"/>
  <c r="E163" i="2"/>
  <c r="E164" i="2"/>
  <c r="E165" i="2"/>
  <c r="E166" i="2"/>
  <c r="E167" i="2"/>
  <c r="E168" i="2"/>
  <c r="E169" i="2"/>
  <c r="E170" i="2"/>
  <c r="E171" i="2"/>
  <c r="E172" i="2"/>
  <c r="E173" i="2"/>
  <c r="E174" i="2"/>
  <c r="E175" i="2"/>
  <c r="E176" i="2"/>
  <c r="E177" i="2"/>
  <c r="E178" i="2"/>
  <c r="E179" i="2"/>
  <c r="E180" i="2"/>
  <c r="E181" i="2"/>
  <c r="E182" i="2"/>
  <c r="E183" i="2"/>
  <c r="I183" i="2"/>
  <c r="J183" i="2"/>
  <c r="K183" i="2"/>
  <c r="L183" i="2"/>
  <c r="R183" i="2"/>
  <c r="S183" i="2"/>
  <c r="Z183" i="2"/>
  <c r="AC183" i="2"/>
  <c r="AE183" i="2"/>
  <c r="AF183" i="2"/>
  <c r="AH183" i="2"/>
  <c r="AK183" i="2"/>
  <c r="I162" i="2"/>
  <c r="I163" i="2"/>
  <c r="I164" i="2"/>
  <c r="I165" i="2"/>
  <c r="I166" i="2"/>
  <c r="I167" i="2"/>
  <c r="I168" i="2"/>
  <c r="I169" i="2"/>
  <c r="I170" i="2"/>
  <c r="I171" i="2"/>
  <c r="I172" i="2"/>
  <c r="I173" i="2"/>
  <c r="I174" i="2"/>
  <c r="I175" i="2"/>
  <c r="I176" i="2"/>
  <c r="I177" i="2"/>
  <c r="I178" i="2"/>
  <c r="I179" i="2"/>
  <c r="I180" i="2"/>
  <c r="I181" i="2"/>
  <c r="I182" i="2"/>
  <c r="J162" i="2"/>
  <c r="J163" i="2"/>
  <c r="J164" i="2"/>
  <c r="J165" i="2"/>
  <c r="J166" i="2"/>
  <c r="J167" i="2"/>
  <c r="J168" i="2"/>
  <c r="J169" i="2"/>
  <c r="J170" i="2"/>
  <c r="J171" i="2"/>
  <c r="J172" i="2"/>
  <c r="J173" i="2"/>
  <c r="J174" i="2"/>
  <c r="J175" i="2"/>
  <c r="J176" i="2"/>
  <c r="J177" i="2"/>
  <c r="J178" i="2"/>
  <c r="J179" i="2"/>
  <c r="J180" i="2"/>
  <c r="J181" i="2"/>
  <c r="J182" i="2"/>
  <c r="K162" i="2"/>
  <c r="K163" i="2"/>
  <c r="K164" i="2"/>
  <c r="K165" i="2"/>
  <c r="K166" i="2"/>
  <c r="K167" i="2"/>
  <c r="K168" i="2"/>
  <c r="K169" i="2"/>
  <c r="K170" i="2"/>
  <c r="K171" i="2"/>
  <c r="K172" i="2"/>
  <c r="K173" i="2"/>
  <c r="K174" i="2"/>
  <c r="K175" i="2"/>
  <c r="K176" i="2"/>
  <c r="K177" i="2"/>
  <c r="K178" i="2"/>
  <c r="K179" i="2"/>
  <c r="K180" i="2"/>
  <c r="K181" i="2"/>
  <c r="K182" i="2"/>
  <c r="L162" i="2"/>
  <c r="L163" i="2"/>
  <c r="L164" i="2"/>
  <c r="L165" i="2"/>
  <c r="L166" i="2"/>
  <c r="L167" i="2"/>
  <c r="L168" i="2"/>
  <c r="L169" i="2"/>
  <c r="L170" i="2"/>
  <c r="L171" i="2"/>
  <c r="L172" i="2"/>
  <c r="L173" i="2"/>
  <c r="L174" i="2"/>
  <c r="L175" i="2"/>
  <c r="L176" i="2"/>
  <c r="L177" i="2"/>
  <c r="L178" i="2"/>
  <c r="L179" i="2"/>
  <c r="L180" i="2"/>
  <c r="L181" i="2"/>
  <c r="L182" i="2"/>
  <c r="R162" i="2"/>
  <c r="R163" i="2"/>
  <c r="R164" i="2"/>
  <c r="R165" i="2"/>
  <c r="R166" i="2"/>
  <c r="R167" i="2"/>
  <c r="R168" i="2"/>
  <c r="R169" i="2"/>
  <c r="R170" i="2"/>
  <c r="R171" i="2"/>
  <c r="R172" i="2"/>
  <c r="R173" i="2"/>
  <c r="R174" i="2"/>
  <c r="R175" i="2"/>
  <c r="R176" i="2"/>
  <c r="R177" i="2"/>
  <c r="R178" i="2"/>
  <c r="R179" i="2"/>
  <c r="R180" i="2"/>
  <c r="R181" i="2"/>
  <c r="R182" i="2"/>
  <c r="S162" i="2"/>
  <c r="S163" i="2"/>
  <c r="S164" i="2"/>
  <c r="S165" i="2"/>
  <c r="S166" i="2"/>
  <c r="S167" i="2"/>
  <c r="S168" i="2"/>
  <c r="S169" i="2"/>
  <c r="S170" i="2"/>
  <c r="S171" i="2"/>
  <c r="S172" i="2"/>
  <c r="S173" i="2"/>
  <c r="S174" i="2"/>
  <c r="S175" i="2"/>
  <c r="S176" i="2"/>
  <c r="S177" i="2"/>
  <c r="S178" i="2"/>
  <c r="S179" i="2"/>
  <c r="S180" i="2"/>
  <c r="S181" i="2"/>
  <c r="S182" i="2"/>
  <c r="Z162" i="2"/>
  <c r="Z163" i="2"/>
  <c r="Z164" i="2"/>
  <c r="Z165" i="2"/>
  <c r="Z166" i="2"/>
  <c r="Z167" i="2"/>
  <c r="Z168" i="2"/>
  <c r="Z169" i="2"/>
  <c r="Z170" i="2"/>
  <c r="Z171" i="2"/>
  <c r="Z172" i="2"/>
  <c r="Z173" i="2"/>
  <c r="Z174" i="2"/>
  <c r="Z175" i="2"/>
  <c r="Z176" i="2"/>
  <c r="Z177" i="2"/>
  <c r="Z178" i="2"/>
  <c r="Z179" i="2"/>
  <c r="Z180" i="2"/>
  <c r="Z181" i="2"/>
  <c r="Z182" i="2"/>
  <c r="AC162" i="2"/>
  <c r="AC163" i="2"/>
  <c r="AC164" i="2"/>
  <c r="AC165" i="2"/>
  <c r="AC166" i="2"/>
  <c r="AC167" i="2"/>
  <c r="AC168" i="2"/>
  <c r="AC169" i="2"/>
  <c r="AC170" i="2"/>
  <c r="AC171" i="2"/>
  <c r="AC172" i="2"/>
  <c r="AC173" i="2"/>
  <c r="AC174" i="2"/>
  <c r="AC175" i="2"/>
  <c r="AC176" i="2"/>
  <c r="AC177" i="2"/>
  <c r="AC178" i="2"/>
  <c r="AC179" i="2"/>
  <c r="AC180" i="2"/>
  <c r="AC181" i="2"/>
  <c r="AC182" i="2"/>
  <c r="AE162" i="2"/>
  <c r="AE163" i="2"/>
  <c r="AE164" i="2"/>
  <c r="AE165" i="2"/>
  <c r="AE166" i="2"/>
  <c r="AE167" i="2"/>
  <c r="AE168" i="2"/>
  <c r="AE169" i="2"/>
  <c r="AE170" i="2"/>
  <c r="AE171" i="2"/>
  <c r="AE172" i="2"/>
  <c r="AE173" i="2"/>
  <c r="AE174" i="2"/>
  <c r="AE175" i="2"/>
  <c r="AE176" i="2"/>
  <c r="AE177" i="2"/>
  <c r="AE178" i="2"/>
  <c r="AE179" i="2"/>
  <c r="AE180" i="2"/>
  <c r="AE181" i="2"/>
  <c r="AE182" i="2"/>
  <c r="AF162" i="2"/>
  <c r="AF163" i="2"/>
  <c r="AF164" i="2"/>
  <c r="AF165" i="2"/>
  <c r="AF166" i="2"/>
  <c r="AF167" i="2"/>
  <c r="AF168" i="2"/>
  <c r="AF169" i="2"/>
  <c r="AF170" i="2"/>
  <c r="AF171" i="2"/>
  <c r="AF172" i="2"/>
  <c r="AF173" i="2"/>
  <c r="AF174" i="2"/>
  <c r="AF175" i="2"/>
  <c r="AF176" i="2"/>
  <c r="AF177" i="2"/>
  <c r="AF178" i="2"/>
  <c r="AF179" i="2"/>
  <c r="AF180" i="2"/>
  <c r="AF181" i="2"/>
  <c r="AF182" i="2"/>
  <c r="AH162" i="2"/>
  <c r="AH163" i="2"/>
  <c r="AH164" i="2"/>
  <c r="AH165" i="2"/>
  <c r="AH166" i="2"/>
  <c r="AH167" i="2"/>
  <c r="AH168" i="2"/>
  <c r="AH169" i="2"/>
  <c r="AH170" i="2"/>
  <c r="AH171" i="2"/>
  <c r="AH172" i="2"/>
  <c r="AH173" i="2"/>
  <c r="AH174" i="2"/>
  <c r="AH175" i="2"/>
  <c r="AH176" i="2"/>
  <c r="AH177" i="2"/>
  <c r="AH178" i="2"/>
  <c r="AH179" i="2"/>
  <c r="AH180" i="2"/>
  <c r="AH181" i="2"/>
  <c r="AH182" i="2"/>
  <c r="AK162" i="2"/>
  <c r="AK163" i="2"/>
  <c r="AK164" i="2"/>
  <c r="AK165" i="2"/>
  <c r="AK166" i="2"/>
  <c r="AK167" i="2"/>
  <c r="AK168" i="2"/>
  <c r="AK169" i="2"/>
  <c r="AK170" i="2"/>
  <c r="AK171" i="2"/>
  <c r="AK172" i="2"/>
  <c r="AK173" i="2"/>
  <c r="AK174" i="2"/>
  <c r="AK175" i="2"/>
  <c r="AK176" i="2"/>
  <c r="AK177" i="2"/>
  <c r="AK178" i="2"/>
  <c r="AK179" i="2"/>
  <c r="AK180" i="2"/>
  <c r="AK181" i="2"/>
  <c r="AK182" i="2"/>
  <c r="I154" i="2"/>
  <c r="I155" i="2"/>
  <c r="I156" i="2"/>
  <c r="I157" i="2"/>
  <c r="J154" i="2"/>
  <c r="J155" i="2"/>
  <c r="J156" i="2"/>
  <c r="J157" i="2"/>
  <c r="K154" i="2"/>
  <c r="K155" i="2"/>
  <c r="K156" i="2"/>
  <c r="K157" i="2"/>
  <c r="L154" i="2"/>
  <c r="L155" i="2"/>
  <c r="L156" i="2"/>
  <c r="L157" i="2"/>
  <c r="R154" i="2"/>
  <c r="R155" i="2"/>
  <c r="R156" i="2"/>
  <c r="R157" i="2"/>
  <c r="S154" i="2"/>
  <c r="S155" i="2"/>
  <c r="S156" i="2"/>
  <c r="S157" i="2"/>
  <c r="Z154" i="2"/>
  <c r="Z155" i="2"/>
  <c r="Z156" i="2"/>
  <c r="Z157" i="2"/>
  <c r="AC154" i="2"/>
  <c r="AC155" i="2"/>
  <c r="AC156" i="2"/>
  <c r="AC157" i="2"/>
  <c r="AE154" i="2"/>
  <c r="AE155" i="2"/>
  <c r="AE156" i="2"/>
  <c r="AE157" i="2"/>
  <c r="AF154" i="2"/>
  <c r="AF155" i="2"/>
  <c r="AF156" i="2"/>
  <c r="AF157" i="2"/>
  <c r="AH154" i="2"/>
  <c r="AH155" i="2"/>
  <c r="AH156" i="2"/>
  <c r="AH157" i="2"/>
  <c r="AK154" i="2"/>
  <c r="AK155" i="2"/>
  <c r="AK156" i="2"/>
  <c r="AK157" i="2"/>
  <c r="I136" i="2"/>
  <c r="I137" i="2"/>
  <c r="I138" i="2"/>
  <c r="I139" i="2"/>
  <c r="I140" i="2"/>
  <c r="I141" i="2"/>
  <c r="I142" i="2"/>
  <c r="I143" i="2"/>
  <c r="I144" i="2"/>
  <c r="I145" i="2"/>
  <c r="I146" i="2"/>
  <c r="I147" i="2"/>
  <c r="I148" i="2"/>
  <c r="I149" i="2"/>
  <c r="I150" i="2"/>
  <c r="I151" i="2"/>
  <c r="I152" i="2"/>
  <c r="I153" i="2"/>
  <c r="J136" i="2"/>
  <c r="J137" i="2"/>
  <c r="J138" i="2"/>
  <c r="J139" i="2"/>
  <c r="J140" i="2"/>
  <c r="J141" i="2"/>
  <c r="J142" i="2"/>
  <c r="J143" i="2"/>
  <c r="J144" i="2"/>
  <c r="J145" i="2"/>
  <c r="J146" i="2"/>
  <c r="J147" i="2"/>
  <c r="J148" i="2"/>
  <c r="J149" i="2"/>
  <c r="J150" i="2"/>
  <c r="J151" i="2"/>
  <c r="J152" i="2"/>
  <c r="J153" i="2"/>
  <c r="K136" i="2"/>
  <c r="K137" i="2"/>
  <c r="K138" i="2"/>
  <c r="K139" i="2"/>
  <c r="K140" i="2"/>
  <c r="K141" i="2"/>
  <c r="K142" i="2"/>
  <c r="K143" i="2"/>
  <c r="K144" i="2"/>
  <c r="K145" i="2"/>
  <c r="K146" i="2"/>
  <c r="K147" i="2"/>
  <c r="K148" i="2"/>
  <c r="K149" i="2"/>
  <c r="K150" i="2"/>
  <c r="K151" i="2"/>
  <c r="K152" i="2"/>
  <c r="K153" i="2"/>
  <c r="L136" i="2"/>
  <c r="L137" i="2"/>
  <c r="L138" i="2"/>
  <c r="L139" i="2"/>
  <c r="L140" i="2"/>
  <c r="L141" i="2"/>
  <c r="L142" i="2"/>
  <c r="L143" i="2"/>
  <c r="L144" i="2"/>
  <c r="L145" i="2"/>
  <c r="L146" i="2"/>
  <c r="L147" i="2"/>
  <c r="L148" i="2"/>
  <c r="L149" i="2"/>
  <c r="L150" i="2"/>
  <c r="L151" i="2"/>
  <c r="L152" i="2"/>
  <c r="L153" i="2"/>
  <c r="R136" i="2"/>
  <c r="R137" i="2"/>
  <c r="R138" i="2"/>
  <c r="R139" i="2"/>
  <c r="R140" i="2"/>
  <c r="R141" i="2"/>
  <c r="R142" i="2"/>
  <c r="R143" i="2"/>
  <c r="R144" i="2"/>
  <c r="R145" i="2"/>
  <c r="R146" i="2"/>
  <c r="R147" i="2"/>
  <c r="R148" i="2"/>
  <c r="R149" i="2"/>
  <c r="R150" i="2"/>
  <c r="R151" i="2"/>
  <c r="R152" i="2"/>
  <c r="R153" i="2"/>
  <c r="S136" i="2"/>
  <c r="S137" i="2"/>
  <c r="S138" i="2"/>
  <c r="S139" i="2"/>
  <c r="S140" i="2"/>
  <c r="S141" i="2"/>
  <c r="S142" i="2"/>
  <c r="S143" i="2"/>
  <c r="S144" i="2"/>
  <c r="S145" i="2"/>
  <c r="S146" i="2"/>
  <c r="S147" i="2"/>
  <c r="S148" i="2"/>
  <c r="S149" i="2"/>
  <c r="S150" i="2"/>
  <c r="S151" i="2"/>
  <c r="S152" i="2"/>
  <c r="S153" i="2"/>
  <c r="Z136" i="2"/>
  <c r="Z137" i="2"/>
  <c r="Z138" i="2"/>
  <c r="Z139" i="2"/>
  <c r="Z140" i="2"/>
  <c r="Z141" i="2"/>
  <c r="Z142" i="2"/>
  <c r="Z143" i="2"/>
  <c r="Z144" i="2"/>
  <c r="Z145" i="2"/>
  <c r="Z146" i="2"/>
  <c r="Z147" i="2"/>
  <c r="Z148" i="2"/>
  <c r="Z149" i="2"/>
  <c r="Z150" i="2"/>
  <c r="Z151" i="2"/>
  <c r="Z152" i="2"/>
  <c r="Z153" i="2"/>
  <c r="AC136" i="2"/>
  <c r="AC137" i="2"/>
  <c r="AC138" i="2"/>
  <c r="AC139" i="2"/>
  <c r="AC140" i="2"/>
  <c r="AC141" i="2"/>
  <c r="AC142" i="2"/>
  <c r="AC143" i="2"/>
  <c r="AC144" i="2"/>
  <c r="AC145" i="2"/>
  <c r="AC146" i="2"/>
  <c r="AC147" i="2"/>
  <c r="AC148" i="2"/>
  <c r="AC149" i="2"/>
  <c r="AC150" i="2"/>
  <c r="AC151" i="2"/>
  <c r="AC152" i="2"/>
  <c r="AC153" i="2"/>
  <c r="AE136" i="2"/>
  <c r="AE137" i="2"/>
  <c r="AE138" i="2"/>
  <c r="AE139" i="2"/>
  <c r="AE140" i="2"/>
  <c r="AE141" i="2"/>
  <c r="AE142" i="2"/>
  <c r="AE143" i="2"/>
  <c r="AE144" i="2"/>
  <c r="AE145" i="2"/>
  <c r="AE146" i="2"/>
  <c r="AE147" i="2"/>
  <c r="AE148" i="2"/>
  <c r="AE149" i="2"/>
  <c r="AE150" i="2"/>
  <c r="AE151" i="2"/>
  <c r="AE152" i="2"/>
  <c r="AE153" i="2"/>
  <c r="AF136" i="2"/>
  <c r="AF137" i="2"/>
  <c r="AF138" i="2"/>
  <c r="AF139" i="2"/>
  <c r="AF140" i="2"/>
  <c r="AF141" i="2"/>
  <c r="AF142" i="2"/>
  <c r="AF143" i="2"/>
  <c r="AF144" i="2"/>
  <c r="AF145" i="2"/>
  <c r="AF146" i="2"/>
  <c r="AF147" i="2"/>
  <c r="AF148" i="2"/>
  <c r="AF149" i="2"/>
  <c r="AF150" i="2"/>
  <c r="AF151" i="2"/>
  <c r="AF152" i="2"/>
  <c r="AF153" i="2"/>
  <c r="AH136" i="2"/>
  <c r="AH137" i="2"/>
  <c r="AH138" i="2"/>
  <c r="AH139" i="2"/>
  <c r="AH140" i="2"/>
  <c r="AH141" i="2"/>
  <c r="AH142" i="2"/>
  <c r="AH143" i="2"/>
  <c r="AH144" i="2"/>
  <c r="AH145" i="2"/>
  <c r="AH146" i="2"/>
  <c r="AH147" i="2"/>
  <c r="AH148" i="2"/>
  <c r="AH149" i="2"/>
  <c r="AH150" i="2"/>
  <c r="AH151" i="2"/>
  <c r="AH152" i="2"/>
  <c r="AH153" i="2"/>
  <c r="AK136" i="2"/>
  <c r="AK137" i="2"/>
  <c r="AK138" i="2"/>
  <c r="AK139" i="2"/>
  <c r="AK140" i="2"/>
  <c r="AK141" i="2"/>
  <c r="AK142" i="2"/>
  <c r="AK143" i="2"/>
  <c r="AK144" i="2"/>
  <c r="AK145" i="2"/>
  <c r="AK146" i="2"/>
  <c r="AK147" i="2"/>
  <c r="AK148" i="2"/>
  <c r="AK149" i="2"/>
  <c r="AK150" i="2"/>
  <c r="AK151" i="2"/>
  <c r="AK152" i="2"/>
  <c r="AK153" i="2"/>
  <c r="I122" i="2"/>
  <c r="I123" i="2"/>
  <c r="I124" i="2"/>
  <c r="I125" i="2"/>
  <c r="I126" i="2"/>
  <c r="I127" i="2"/>
  <c r="I128" i="2"/>
  <c r="I129" i="2"/>
  <c r="I130" i="2"/>
  <c r="I131" i="2"/>
  <c r="J122" i="2"/>
  <c r="J123" i="2"/>
  <c r="J124" i="2"/>
  <c r="J125" i="2"/>
  <c r="J126" i="2"/>
  <c r="J127" i="2"/>
  <c r="J128" i="2"/>
  <c r="J129" i="2"/>
  <c r="J130" i="2"/>
  <c r="J131" i="2"/>
  <c r="K122" i="2"/>
  <c r="K123" i="2"/>
  <c r="K124" i="2"/>
  <c r="K125" i="2"/>
  <c r="K126" i="2"/>
  <c r="K127" i="2"/>
  <c r="K128" i="2"/>
  <c r="K129" i="2"/>
  <c r="K130" i="2"/>
  <c r="K131" i="2"/>
  <c r="L122" i="2"/>
  <c r="L123" i="2"/>
  <c r="L124" i="2"/>
  <c r="L125" i="2"/>
  <c r="L126" i="2"/>
  <c r="L127" i="2"/>
  <c r="L128" i="2"/>
  <c r="L129" i="2"/>
  <c r="L130" i="2"/>
  <c r="L131" i="2"/>
  <c r="R122" i="2"/>
  <c r="R123" i="2"/>
  <c r="R124" i="2"/>
  <c r="R125" i="2"/>
  <c r="R126" i="2"/>
  <c r="R127" i="2"/>
  <c r="R128" i="2"/>
  <c r="R129" i="2"/>
  <c r="R130" i="2"/>
  <c r="R131" i="2"/>
  <c r="S122" i="2"/>
  <c r="S123" i="2"/>
  <c r="S124" i="2"/>
  <c r="S125" i="2"/>
  <c r="S126" i="2"/>
  <c r="S127" i="2"/>
  <c r="S128" i="2"/>
  <c r="S129" i="2"/>
  <c r="S130" i="2"/>
  <c r="S131" i="2"/>
  <c r="Z122" i="2"/>
  <c r="Z123" i="2"/>
  <c r="Z124" i="2"/>
  <c r="Z125" i="2"/>
  <c r="Z126" i="2"/>
  <c r="Z127" i="2"/>
  <c r="Z128" i="2"/>
  <c r="Z129" i="2"/>
  <c r="Z130" i="2"/>
  <c r="Z131" i="2"/>
  <c r="AC122" i="2"/>
  <c r="AC123" i="2"/>
  <c r="AC124" i="2"/>
  <c r="AC125" i="2"/>
  <c r="AC126" i="2"/>
  <c r="AC127" i="2"/>
  <c r="AC128" i="2"/>
  <c r="AC129" i="2"/>
  <c r="AC130" i="2"/>
  <c r="AC131" i="2"/>
  <c r="AE122" i="2"/>
  <c r="AE123" i="2"/>
  <c r="AE124" i="2"/>
  <c r="AE125" i="2"/>
  <c r="AE126" i="2"/>
  <c r="AE127" i="2"/>
  <c r="AE128" i="2"/>
  <c r="AE129" i="2"/>
  <c r="AE130" i="2"/>
  <c r="AE131" i="2"/>
  <c r="AF122" i="2"/>
  <c r="AF123" i="2"/>
  <c r="AF124" i="2"/>
  <c r="AF125" i="2"/>
  <c r="AF126" i="2"/>
  <c r="AF127" i="2"/>
  <c r="AF128" i="2"/>
  <c r="AF129" i="2"/>
  <c r="AF130" i="2"/>
  <c r="AF131" i="2"/>
  <c r="AH122" i="2"/>
  <c r="AH123" i="2"/>
  <c r="AH124" i="2"/>
  <c r="AH125" i="2"/>
  <c r="AH126" i="2"/>
  <c r="AH127" i="2"/>
  <c r="AH128" i="2"/>
  <c r="AH129" i="2"/>
  <c r="AH130" i="2"/>
  <c r="AH131" i="2"/>
  <c r="AK122" i="2"/>
  <c r="AK123" i="2"/>
  <c r="AK124" i="2"/>
  <c r="AK125" i="2"/>
  <c r="AK126" i="2"/>
  <c r="AK127" i="2"/>
  <c r="AK128" i="2"/>
  <c r="AK129" i="2"/>
  <c r="AK130" i="2"/>
  <c r="AK131" i="2"/>
  <c r="I110" i="2"/>
  <c r="I111" i="2"/>
  <c r="I112" i="2"/>
  <c r="I113" i="2"/>
  <c r="I114" i="2"/>
  <c r="I115" i="2"/>
  <c r="I116" i="2"/>
  <c r="I117" i="2"/>
  <c r="I118" i="2"/>
  <c r="I119" i="2"/>
  <c r="I120" i="2"/>
  <c r="I121" i="2"/>
  <c r="J110" i="2"/>
  <c r="J111" i="2"/>
  <c r="J112" i="2"/>
  <c r="J113" i="2"/>
  <c r="J114" i="2"/>
  <c r="J115" i="2"/>
  <c r="J116" i="2"/>
  <c r="J117" i="2"/>
  <c r="J118" i="2"/>
  <c r="J119" i="2"/>
  <c r="J120" i="2"/>
  <c r="J121" i="2"/>
  <c r="K110" i="2"/>
  <c r="K111" i="2"/>
  <c r="K112" i="2"/>
  <c r="K113" i="2"/>
  <c r="K114" i="2"/>
  <c r="K115" i="2"/>
  <c r="K116" i="2"/>
  <c r="K117" i="2"/>
  <c r="K118" i="2"/>
  <c r="K119" i="2"/>
  <c r="K120" i="2"/>
  <c r="K121" i="2"/>
  <c r="L110" i="2"/>
  <c r="L111" i="2"/>
  <c r="L112" i="2"/>
  <c r="L113" i="2"/>
  <c r="L114" i="2"/>
  <c r="L115" i="2"/>
  <c r="L116" i="2"/>
  <c r="L117" i="2"/>
  <c r="L118" i="2"/>
  <c r="L119" i="2"/>
  <c r="L120" i="2"/>
  <c r="L121" i="2"/>
  <c r="R110" i="2"/>
  <c r="R111" i="2"/>
  <c r="R112" i="2"/>
  <c r="R113" i="2"/>
  <c r="R114" i="2"/>
  <c r="R115" i="2"/>
  <c r="R116" i="2"/>
  <c r="R117" i="2"/>
  <c r="R118" i="2"/>
  <c r="R119" i="2"/>
  <c r="R120" i="2"/>
  <c r="R121" i="2"/>
  <c r="S110" i="2"/>
  <c r="S111" i="2"/>
  <c r="S112" i="2"/>
  <c r="S113" i="2"/>
  <c r="S114" i="2"/>
  <c r="S115" i="2"/>
  <c r="S116" i="2"/>
  <c r="S117" i="2"/>
  <c r="S118" i="2"/>
  <c r="S119" i="2"/>
  <c r="S120" i="2"/>
  <c r="S121" i="2"/>
  <c r="Z110" i="2"/>
  <c r="Z111" i="2"/>
  <c r="Z112" i="2"/>
  <c r="Z113" i="2"/>
  <c r="Z114" i="2"/>
  <c r="Z115" i="2"/>
  <c r="Z116" i="2"/>
  <c r="Z117" i="2"/>
  <c r="Z118" i="2"/>
  <c r="Z119" i="2"/>
  <c r="Z120" i="2"/>
  <c r="Z121" i="2"/>
  <c r="AC110" i="2"/>
  <c r="AC111" i="2"/>
  <c r="AC112" i="2"/>
  <c r="AC113" i="2"/>
  <c r="AC114" i="2"/>
  <c r="AC115" i="2"/>
  <c r="AC116" i="2"/>
  <c r="AC117" i="2"/>
  <c r="AC118" i="2"/>
  <c r="AC119" i="2"/>
  <c r="AC120" i="2"/>
  <c r="AC121" i="2"/>
  <c r="AE110" i="2"/>
  <c r="AE111" i="2"/>
  <c r="AE112" i="2"/>
  <c r="AE113" i="2"/>
  <c r="AE114" i="2"/>
  <c r="AE115" i="2"/>
  <c r="AE116" i="2"/>
  <c r="AE117" i="2"/>
  <c r="AE118" i="2"/>
  <c r="AE119" i="2"/>
  <c r="AE120" i="2"/>
  <c r="AE121" i="2"/>
  <c r="AF110" i="2"/>
  <c r="AF111" i="2"/>
  <c r="AF112" i="2"/>
  <c r="AF113" i="2"/>
  <c r="AF114" i="2"/>
  <c r="AF115" i="2"/>
  <c r="AF116" i="2"/>
  <c r="AF117" i="2"/>
  <c r="AF118" i="2"/>
  <c r="AF119" i="2"/>
  <c r="AF120" i="2"/>
  <c r="AF121" i="2"/>
  <c r="AH110" i="2"/>
  <c r="AH111" i="2"/>
  <c r="AH112" i="2"/>
  <c r="AH113" i="2"/>
  <c r="AH114" i="2"/>
  <c r="AH115" i="2"/>
  <c r="AH116" i="2"/>
  <c r="AH117" i="2"/>
  <c r="AH118" i="2"/>
  <c r="AH119" i="2"/>
  <c r="AH120" i="2"/>
  <c r="AH121" i="2"/>
  <c r="AK110" i="2"/>
  <c r="AK111" i="2"/>
  <c r="AK112" i="2"/>
  <c r="AK113" i="2"/>
  <c r="AK114" i="2"/>
  <c r="AK115" i="2"/>
  <c r="AK116" i="2"/>
  <c r="AK117" i="2"/>
  <c r="AK118" i="2"/>
  <c r="AK119" i="2"/>
  <c r="AK120" i="2"/>
  <c r="AK121" i="2"/>
  <c r="I99" i="2"/>
  <c r="I100" i="2"/>
  <c r="I101" i="2"/>
  <c r="I102" i="2"/>
  <c r="I103" i="2"/>
  <c r="I104" i="2"/>
  <c r="I105" i="2"/>
  <c r="J99" i="2"/>
  <c r="J100" i="2"/>
  <c r="J101" i="2"/>
  <c r="J102" i="2"/>
  <c r="J103" i="2"/>
  <c r="J104" i="2"/>
  <c r="J105" i="2"/>
  <c r="K99" i="2"/>
  <c r="K100" i="2"/>
  <c r="K101" i="2"/>
  <c r="K102" i="2"/>
  <c r="K103" i="2"/>
  <c r="K104" i="2"/>
  <c r="K105" i="2"/>
  <c r="L99" i="2"/>
  <c r="L100" i="2"/>
  <c r="L101" i="2"/>
  <c r="L102" i="2"/>
  <c r="L103" i="2"/>
  <c r="L104" i="2"/>
  <c r="L105" i="2"/>
  <c r="R99" i="2"/>
  <c r="R100" i="2"/>
  <c r="R101" i="2"/>
  <c r="R102" i="2"/>
  <c r="R103" i="2"/>
  <c r="R104" i="2"/>
  <c r="R105" i="2"/>
  <c r="S99" i="2"/>
  <c r="S100" i="2"/>
  <c r="S101" i="2"/>
  <c r="S102" i="2"/>
  <c r="S103" i="2"/>
  <c r="S104" i="2"/>
  <c r="S105" i="2"/>
  <c r="Z99" i="2"/>
  <c r="Z100" i="2"/>
  <c r="Z101" i="2"/>
  <c r="Z102" i="2"/>
  <c r="Z103" i="2"/>
  <c r="Z104" i="2"/>
  <c r="Z105" i="2"/>
  <c r="AE99" i="2"/>
  <c r="AE100" i="2"/>
  <c r="AE101" i="2"/>
  <c r="AE102" i="2"/>
  <c r="AE103" i="2"/>
  <c r="AE104" i="2"/>
  <c r="AE105" i="2"/>
  <c r="AF99" i="2"/>
  <c r="AF100" i="2"/>
  <c r="AF101" i="2"/>
  <c r="AF102" i="2"/>
  <c r="AF103" i="2"/>
  <c r="AF104" i="2"/>
  <c r="AF105" i="2"/>
  <c r="AH99" i="2"/>
  <c r="AH100" i="2"/>
  <c r="AH101" i="2"/>
  <c r="AH102" i="2"/>
  <c r="AH103" i="2"/>
  <c r="AH104" i="2"/>
  <c r="AH105" i="2"/>
  <c r="AK99" i="2"/>
  <c r="AK100" i="2"/>
  <c r="AK101" i="2"/>
  <c r="AK102" i="2"/>
  <c r="AK103" i="2"/>
  <c r="AK104" i="2"/>
  <c r="AK105" i="2"/>
  <c r="I84" i="2"/>
  <c r="I85" i="2"/>
  <c r="I86" i="2"/>
  <c r="I87" i="2"/>
  <c r="I88" i="2"/>
  <c r="I89" i="2"/>
  <c r="I90" i="2"/>
  <c r="I91" i="2"/>
  <c r="I92" i="2"/>
  <c r="I93" i="2"/>
  <c r="I94" i="2"/>
  <c r="I95" i="2"/>
  <c r="I96" i="2"/>
  <c r="I97" i="2"/>
  <c r="I98" i="2"/>
  <c r="J84" i="2"/>
  <c r="J85" i="2"/>
  <c r="J86" i="2"/>
  <c r="J87" i="2"/>
  <c r="J88" i="2"/>
  <c r="J89" i="2"/>
  <c r="J90" i="2"/>
  <c r="J91" i="2"/>
  <c r="J92" i="2"/>
  <c r="J93" i="2"/>
  <c r="J94" i="2"/>
  <c r="J95" i="2"/>
  <c r="J96" i="2"/>
  <c r="J97" i="2"/>
  <c r="J98" i="2"/>
  <c r="K84" i="2"/>
  <c r="K85" i="2"/>
  <c r="K86" i="2"/>
  <c r="K87" i="2"/>
  <c r="K88" i="2"/>
  <c r="K89" i="2"/>
  <c r="K90" i="2"/>
  <c r="K91" i="2"/>
  <c r="K92" i="2"/>
  <c r="K93" i="2"/>
  <c r="K94" i="2"/>
  <c r="K95" i="2"/>
  <c r="K96" i="2"/>
  <c r="K97" i="2"/>
  <c r="K98" i="2"/>
  <c r="L84" i="2"/>
  <c r="L85" i="2"/>
  <c r="L86" i="2"/>
  <c r="L87" i="2"/>
  <c r="L88" i="2"/>
  <c r="L89" i="2"/>
  <c r="L90" i="2"/>
  <c r="L91" i="2"/>
  <c r="L92" i="2"/>
  <c r="L93" i="2"/>
  <c r="L94" i="2"/>
  <c r="L95" i="2"/>
  <c r="L96" i="2"/>
  <c r="L97" i="2"/>
  <c r="L98" i="2"/>
  <c r="R84" i="2"/>
  <c r="R85" i="2"/>
  <c r="R86" i="2"/>
  <c r="R87" i="2"/>
  <c r="R88" i="2"/>
  <c r="R89" i="2"/>
  <c r="R90" i="2"/>
  <c r="R91" i="2"/>
  <c r="R92" i="2"/>
  <c r="R93" i="2"/>
  <c r="R94" i="2"/>
  <c r="R95" i="2"/>
  <c r="R96" i="2"/>
  <c r="R97" i="2"/>
  <c r="R98" i="2"/>
  <c r="S84" i="2"/>
  <c r="S85" i="2"/>
  <c r="S86" i="2"/>
  <c r="S87" i="2"/>
  <c r="S88" i="2"/>
  <c r="S89" i="2"/>
  <c r="S90" i="2"/>
  <c r="S91" i="2"/>
  <c r="S92" i="2"/>
  <c r="S93" i="2"/>
  <c r="S94" i="2"/>
  <c r="S95" i="2"/>
  <c r="S96" i="2"/>
  <c r="S97" i="2"/>
  <c r="S98" i="2"/>
  <c r="Z84" i="2"/>
  <c r="Z85" i="2"/>
  <c r="Z86" i="2"/>
  <c r="Z87" i="2"/>
  <c r="Z88" i="2"/>
  <c r="Z89" i="2"/>
  <c r="Z90" i="2"/>
  <c r="Z91" i="2"/>
  <c r="Z92" i="2"/>
  <c r="Z93" i="2"/>
  <c r="Z94" i="2"/>
  <c r="Z95" i="2"/>
  <c r="Z96" i="2"/>
  <c r="Z97" i="2"/>
  <c r="Z98" i="2"/>
  <c r="AE84" i="2"/>
  <c r="AE85" i="2"/>
  <c r="AE86" i="2"/>
  <c r="AE87" i="2"/>
  <c r="AE88" i="2"/>
  <c r="AE89" i="2"/>
  <c r="AE90" i="2"/>
  <c r="AE91" i="2"/>
  <c r="AE92" i="2"/>
  <c r="AE93" i="2"/>
  <c r="AE94" i="2"/>
  <c r="AE95" i="2"/>
  <c r="AE96" i="2"/>
  <c r="AE97" i="2"/>
  <c r="AE98" i="2"/>
  <c r="AF84" i="2"/>
  <c r="AF85" i="2"/>
  <c r="AF86" i="2"/>
  <c r="AF87" i="2"/>
  <c r="AF88" i="2"/>
  <c r="AF89" i="2"/>
  <c r="AF90" i="2"/>
  <c r="AF91" i="2"/>
  <c r="AF92" i="2"/>
  <c r="AF93" i="2"/>
  <c r="AF94" i="2"/>
  <c r="AF95" i="2"/>
  <c r="AF96" i="2"/>
  <c r="AF97" i="2"/>
  <c r="AF98" i="2"/>
  <c r="AH84" i="2"/>
  <c r="AH85" i="2"/>
  <c r="AH86" i="2"/>
  <c r="AH87" i="2"/>
  <c r="AH88" i="2"/>
  <c r="AH89" i="2"/>
  <c r="AH90" i="2"/>
  <c r="AH91" i="2"/>
  <c r="AH92" i="2"/>
  <c r="AH93" i="2"/>
  <c r="AH94" i="2"/>
  <c r="AH95" i="2"/>
  <c r="AH96" i="2"/>
  <c r="AH97" i="2"/>
  <c r="AH98" i="2"/>
  <c r="AK84" i="2"/>
  <c r="AK85" i="2"/>
  <c r="AK86" i="2"/>
  <c r="AK87" i="2"/>
  <c r="AK88" i="2"/>
  <c r="AK89" i="2"/>
  <c r="AK90" i="2"/>
  <c r="AK91" i="2"/>
  <c r="AK92" i="2"/>
  <c r="AK93" i="2"/>
  <c r="AK94" i="2"/>
  <c r="AK95" i="2"/>
  <c r="AK96" i="2"/>
  <c r="AK97" i="2"/>
  <c r="AK98" i="2"/>
  <c r="I58" i="2"/>
  <c r="I59" i="2"/>
  <c r="I60" i="2"/>
  <c r="I61" i="2"/>
  <c r="I62" i="2"/>
  <c r="I63" i="2"/>
  <c r="I64" i="2"/>
  <c r="I65" i="2"/>
  <c r="I66" i="2"/>
  <c r="I67" i="2"/>
  <c r="I68" i="2"/>
  <c r="I69" i="2"/>
  <c r="I70" i="2"/>
  <c r="I71" i="2"/>
  <c r="I72" i="2"/>
  <c r="I73" i="2"/>
  <c r="I74" i="2"/>
  <c r="I75" i="2"/>
  <c r="I76" i="2"/>
  <c r="I77" i="2"/>
  <c r="I78" i="2"/>
  <c r="I79" i="2"/>
  <c r="J58" i="2"/>
  <c r="J59" i="2"/>
  <c r="J60" i="2"/>
  <c r="J61" i="2"/>
  <c r="J62" i="2"/>
  <c r="J63" i="2"/>
  <c r="J64" i="2"/>
  <c r="J65" i="2"/>
  <c r="J66" i="2"/>
  <c r="J67" i="2"/>
  <c r="J68" i="2"/>
  <c r="J69" i="2"/>
  <c r="J70" i="2"/>
  <c r="J71" i="2"/>
  <c r="J72" i="2"/>
  <c r="J73" i="2"/>
  <c r="J74" i="2"/>
  <c r="J75" i="2"/>
  <c r="J76" i="2"/>
  <c r="J77" i="2"/>
  <c r="J78" i="2"/>
  <c r="J79" i="2"/>
  <c r="K58" i="2"/>
  <c r="K59" i="2"/>
  <c r="K60" i="2"/>
  <c r="K61" i="2"/>
  <c r="K62" i="2"/>
  <c r="K63" i="2"/>
  <c r="K64" i="2"/>
  <c r="K65" i="2"/>
  <c r="K66" i="2"/>
  <c r="K67" i="2"/>
  <c r="K68" i="2"/>
  <c r="K69" i="2"/>
  <c r="K70" i="2"/>
  <c r="K71" i="2"/>
  <c r="K72" i="2"/>
  <c r="K73" i="2"/>
  <c r="K74" i="2"/>
  <c r="K75" i="2"/>
  <c r="K76" i="2"/>
  <c r="K77" i="2"/>
  <c r="K78" i="2"/>
  <c r="K79" i="2"/>
  <c r="L58" i="2"/>
  <c r="L59" i="2"/>
  <c r="L60" i="2"/>
  <c r="L61" i="2"/>
  <c r="L62" i="2"/>
  <c r="L63" i="2"/>
  <c r="L64" i="2"/>
  <c r="L65" i="2"/>
  <c r="L66" i="2"/>
  <c r="L67" i="2"/>
  <c r="L68" i="2"/>
  <c r="L69" i="2"/>
  <c r="L70" i="2"/>
  <c r="L71" i="2"/>
  <c r="L72" i="2"/>
  <c r="L73" i="2"/>
  <c r="L74" i="2"/>
  <c r="L75" i="2"/>
  <c r="L76" i="2"/>
  <c r="L77" i="2"/>
  <c r="L78" i="2"/>
  <c r="L79" i="2"/>
  <c r="R58" i="2"/>
  <c r="R59" i="2"/>
  <c r="R60" i="2"/>
  <c r="R61" i="2"/>
  <c r="R62" i="2"/>
  <c r="R63" i="2"/>
  <c r="R64" i="2"/>
  <c r="R65" i="2"/>
  <c r="R66" i="2"/>
  <c r="R67" i="2"/>
  <c r="R68" i="2"/>
  <c r="R69" i="2"/>
  <c r="R70" i="2"/>
  <c r="R71" i="2"/>
  <c r="R72" i="2"/>
  <c r="R73" i="2"/>
  <c r="R74" i="2"/>
  <c r="R75" i="2"/>
  <c r="R76" i="2"/>
  <c r="R77" i="2"/>
  <c r="R78" i="2"/>
  <c r="R79" i="2"/>
  <c r="S58" i="2"/>
  <c r="S59" i="2"/>
  <c r="S60" i="2"/>
  <c r="S61" i="2"/>
  <c r="S62" i="2"/>
  <c r="S63" i="2"/>
  <c r="S64" i="2"/>
  <c r="S65" i="2"/>
  <c r="S66" i="2"/>
  <c r="S67" i="2"/>
  <c r="S68" i="2"/>
  <c r="S69" i="2"/>
  <c r="S70" i="2"/>
  <c r="S71" i="2"/>
  <c r="S72" i="2"/>
  <c r="S73" i="2"/>
  <c r="S74" i="2"/>
  <c r="S75" i="2"/>
  <c r="S76" i="2"/>
  <c r="S77" i="2"/>
  <c r="S78" i="2"/>
  <c r="S79" i="2"/>
  <c r="Z58" i="2"/>
  <c r="Z59" i="2"/>
  <c r="Z60" i="2"/>
  <c r="Z61" i="2"/>
  <c r="Z62" i="2"/>
  <c r="Z63" i="2"/>
  <c r="Z64" i="2"/>
  <c r="Z65" i="2"/>
  <c r="Z66" i="2"/>
  <c r="Z67" i="2"/>
  <c r="Z68" i="2"/>
  <c r="Z69" i="2"/>
  <c r="Z70" i="2"/>
  <c r="Z71" i="2"/>
  <c r="Z72" i="2"/>
  <c r="Z73" i="2"/>
  <c r="Z74" i="2"/>
  <c r="Z75" i="2"/>
  <c r="Z76" i="2"/>
  <c r="Z77" i="2"/>
  <c r="Z78" i="2"/>
  <c r="Z79" i="2"/>
  <c r="AE58" i="2"/>
  <c r="AE59" i="2"/>
  <c r="AE60" i="2"/>
  <c r="AE61" i="2"/>
  <c r="AE62" i="2"/>
  <c r="AE63" i="2"/>
  <c r="AE64" i="2"/>
  <c r="AE65" i="2"/>
  <c r="AE66" i="2"/>
  <c r="AE67" i="2"/>
  <c r="AE68" i="2"/>
  <c r="AE69" i="2"/>
  <c r="AE70" i="2"/>
  <c r="AE71" i="2"/>
  <c r="AE72" i="2"/>
  <c r="AE73" i="2"/>
  <c r="AE74" i="2"/>
  <c r="AE75" i="2"/>
  <c r="AE76" i="2"/>
  <c r="AE77" i="2"/>
  <c r="AE78" i="2"/>
  <c r="AE79" i="2"/>
  <c r="AF58" i="2"/>
  <c r="AF59" i="2"/>
  <c r="AF60" i="2"/>
  <c r="AF61" i="2"/>
  <c r="AF62" i="2"/>
  <c r="AF63" i="2"/>
  <c r="AF64" i="2"/>
  <c r="AF65" i="2"/>
  <c r="AF66" i="2"/>
  <c r="AF67" i="2"/>
  <c r="AF68" i="2"/>
  <c r="AF69" i="2"/>
  <c r="AF70" i="2"/>
  <c r="AF71" i="2"/>
  <c r="AF72" i="2"/>
  <c r="AF73" i="2"/>
  <c r="AF74" i="2"/>
  <c r="AF75" i="2"/>
  <c r="AF76" i="2"/>
  <c r="AF77" i="2"/>
  <c r="AF78" i="2"/>
  <c r="AF79" i="2"/>
  <c r="AH58" i="2"/>
  <c r="AH59" i="2"/>
  <c r="AH60" i="2"/>
  <c r="AH61" i="2"/>
  <c r="AH62" i="2"/>
  <c r="AH63" i="2"/>
  <c r="AH64" i="2"/>
  <c r="AH65" i="2"/>
  <c r="AH66" i="2"/>
  <c r="AH67" i="2"/>
  <c r="AH68" i="2"/>
  <c r="AH69" i="2"/>
  <c r="AH70" i="2"/>
  <c r="AH71" i="2"/>
  <c r="AH72" i="2"/>
  <c r="AH73" i="2"/>
  <c r="AH74" i="2"/>
  <c r="AH75" i="2"/>
  <c r="AH76" i="2"/>
  <c r="AH77" i="2"/>
  <c r="AH78" i="2"/>
  <c r="AH79" i="2"/>
  <c r="AK58" i="2"/>
  <c r="AK59" i="2"/>
  <c r="AK60" i="2"/>
  <c r="AK61" i="2"/>
  <c r="AK62" i="2"/>
  <c r="AK63" i="2"/>
  <c r="AK64" i="2"/>
  <c r="AK65" i="2"/>
  <c r="AK66" i="2"/>
  <c r="AK67" i="2"/>
  <c r="AK68" i="2"/>
  <c r="AK69" i="2"/>
  <c r="AK70" i="2"/>
  <c r="AK71" i="2"/>
  <c r="AK72" i="2"/>
  <c r="AK73" i="2"/>
  <c r="AK74" i="2"/>
  <c r="AK75" i="2"/>
  <c r="AK76" i="2"/>
  <c r="AK77" i="2"/>
  <c r="AK78" i="2"/>
  <c r="AK79" i="2"/>
  <c r="G32" i="2"/>
  <c r="G33" i="2"/>
  <c r="G34" i="2"/>
  <c r="G35" i="2"/>
  <c r="G36" i="2"/>
  <c r="G37" i="2"/>
  <c r="G38" i="2"/>
  <c r="G39" i="2"/>
  <c r="G40" i="2"/>
  <c r="G41" i="2"/>
  <c r="G42" i="2"/>
  <c r="G43" i="2"/>
  <c r="G44" i="2"/>
  <c r="G45" i="2"/>
  <c r="G46" i="2"/>
  <c r="G47" i="2"/>
  <c r="G48" i="2"/>
  <c r="G49" i="2"/>
  <c r="G50" i="2"/>
  <c r="G51" i="2"/>
  <c r="G52" i="2"/>
  <c r="G53" i="2"/>
  <c r="E32" i="2"/>
  <c r="E33" i="2"/>
  <c r="E34" i="2"/>
  <c r="E35" i="2"/>
  <c r="E36" i="2"/>
  <c r="E37" i="2"/>
  <c r="E38" i="2"/>
  <c r="E39" i="2"/>
  <c r="E40" i="2"/>
  <c r="E41" i="2"/>
  <c r="E42" i="2"/>
  <c r="E43" i="2"/>
  <c r="E44" i="2"/>
  <c r="E45" i="2"/>
  <c r="E46" i="2"/>
  <c r="E47" i="2"/>
  <c r="E48" i="2"/>
  <c r="E49" i="2"/>
  <c r="E50" i="2"/>
  <c r="E51" i="2"/>
  <c r="E52" i="2"/>
  <c r="E53" i="2"/>
  <c r="I32" i="2"/>
  <c r="I33" i="2"/>
  <c r="I34" i="2"/>
  <c r="I35" i="2"/>
  <c r="I36" i="2"/>
  <c r="I37" i="2"/>
  <c r="I38" i="2"/>
  <c r="I39" i="2"/>
  <c r="I40" i="2"/>
  <c r="I41" i="2"/>
  <c r="I42" i="2"/>
  <c r="I43" i="2"/>
  <c r="I44" i="2"/>
  <c r="I45" i="2"/>
  <c r="I46" i="2"/>
  <c r="I47" i="2"/>
  <c r="I48" i="2"/>
  <c r="I49" i="2"/>
  <c r="I50" i="2"/>
  <c r="I51" i="2"/>
  <c r="I52" i="2"/>
  <c r="I53" i="2"/>
  <c r="J32" i="2"/>
  <c r="J33" i="2"/>
  <c r="J34" i="2"/>
  <c r="J35" i="2"/>
  <c r="J36" i="2"/>
  <c r="J37" i="2"/>
  <c r="J38" i="2"/>
  <c r="J39" i="2"/>
  <c r="J40" i="2"/>
  <c r="J41" i="2"/>
  <c r="J42" i="2"/>
  <c r="J43" i="2"/>
  <c r="J44" i="2"/>
  <c r="J45" i="2"/>
  <c r="J46" i="2"/>
  <c r="J47" i="2"/>
  <c r="J48" i="2"/>
  <c r="J49" i="2"/>
  <c r="J50" i="2"/>
  <c r="J51" i="2"/>
  <c r="J52" i="2"/>
  <c r="J53" i="2"/>
  <c r="K32" i="2"/>
  <c r="K33" i="2"/>
  <c r="K34" i="2"/>
  <c r="K35" i="2"/>
  <c r="K36" i="2"/>
  <c r="K37" i="2"/>
  <c r="K38" i="2"/>
  <c r="K39" i="2"/>
  <c r="K40" i="2"/>
  <c r="K41" i="2"/>
  <c r="K42" i="2"/>
  <c r="K43" i="2"/>
  <c r="K44" i="2"/>
  <c r="K45" i="2"/>
  <c r="K46" i="2"/>
  <c r="K47" i="2"/>
  <c r="K48" i="2"/>
  <c r="K49" i="2"/>
  <c r="K50" i="2"/>
  <c r="K51" i="2"/>
  <c r="K52" i="2"/>
  <c r="K53" i="2"/>
  <c r="L32" i="2"/>
  <c r="L33" i="2"/>
  <c r="L34" i="2"/>
  <c r="L35" i="2"/>
  <c r="L36" i="2"/>
  <c r="L37" i="2"/>
  <c r="L38" i="2"/>
  <c r="L39" i="2"/>
  <c r="L40" i="2"/>
  <c r="L41" i="2"/>
  <c r="L42" i="2"/>
  <c r="L43" i="2"/>
  <c r="L44" i="2"/>
  <c r="L45" i="2"/>
  <c r="L46" i="2"/>
  <c r="L47" i="2"/>
  <c r="L48" i="2"/>
  <c r="L49" i="2"/>
  <c r="L50" i="2"/>
  <c r="L51" i="2"/>
  <c r="L52" i="2"/>
  <c r="L53" i="2"/>
  <c r="R32" i="2"/>
  <c r="R33" i="2"/>
  <c r="R34" i="2"/>
  <c r="R35" i="2"/>
  <c r="R36" i="2"/>
  <c r="R37" i="2"/>
  <c r="R38" i="2"/>
  <c r="R39" i="2"/>
  <c r="R40" i="2"/>
  <c r="R41" i="2"/>
  <c r="R42" i="2"/>
  <c r="R43" i="2"/>
  <c r="R44" i="2"/>
  <c r="R45" i="2"/>
  <c r="R46" i="2"/>
  <c r="R47" i="2"/>
  <c r="R48" i="2"/>
  <c r="R49" i="2"/>
  <c r="R50" i="2"/>
  <c r="R51" i="2"/>
  <c r="R52" i="2"/>
  <c r="R53" i="2"/>
  <c r="S32" i="2"/>
  <c r="S33" i="2"/>
  <c r="S34" i="2"/>
  <c r="S35" i="2"/>
  <c r="S36" i="2"/>
  <c r="S37" i="2"/>
  <c r="S38" i="2"/>
  <c r="S39" i="2"/>
  <c r="S40" i="2"/>
  <c r="S41" i="2"/>
  <c r="S42" i="2"/>
  <c r="S43" i="2"/>
  <c r="S44" i="2"/>
  <c r="S45" i="2"/>
  <c r="S46" i="2"/>
  <c r="S47" i="2"/>
  <c r="S48" i="2"/>
  <c r="S49" i="2"/>
  <c r="S50" i="2"/>
  <c r="S51" i="2"/>
  <c r="S52" i="2"/>
  <c r="S53" i="2"/>
  <c r="Z32" i="2"/>
  <c r="Z33" i="2"/>
  <c r="Z34" i="2"/>
  <c r="Z35" i="2"/>
  <c r="Z36" i="2"/>
  <c r="Z37" i="2"/>
  <c r="Z38" i="2"/>
  <c r="Z39" i="2"/>
  <c r="Z40" i="2"/>
  <c r="Z41" i="2"/>
  <c r="Z42" i="2"/>
  <c r="Z43" i="2"/>
  <c r="Z44" i="2"/>
  <c r="Z45" i="2"/>
  <c r="Z46" i="2"/>
  <c r="Z47" i="2"/>
  <c r="Z48" i="2"/>
  <c r="Z49" i="2"/>
  <c r="Z50" i="2"/>
  <c r="Z51" i="2"/>
  <c r="Z52" i="2"/>
  <c r="Z53" i="2"/>
  <c r="AE32" i="2"/>
  <c r="AE33" i="2"/>
  <c r="AE34" i="2"/>
  <c r="AE35" i="2"/>
  <c r="AE36" i="2"/>
  <c r="AE37" i="2"/>
  <c r="AE38" i="2"/>
  <c r="AE39" i="2"/>
  <c r="AE40" i="2"/>
  <c r="AE41" i="2"/>
  <c r="AE42" i="2"/>
  <c r="AE43" i="2"/>
  <c r="AE44" i="2"/>
  <c r="AE45" i="2"/>
  <c r="AE46" i="2"/>
  <c r="AE47" i="2"/>
  <c r="AE48" i="2"/>
  <c r="AE49" i="2"/>
  <c r="AE50" i="2"/>
  <c r="AE51" i="2"/>
  <c r="AE52" i="2"/>
  <c r="AE53" i="2"/>
  <c r="AF32" i="2"/>
  <c r="AF33" i="2"/>
  <c r="AF34" i="2"/>
  <c r="AF35" i="2"/>
  <c r="AF36" i="2"/>
  <c r="AF37" i="2"/>
  <c r="AF38" i="2"/>
  <c r="AF39" i="2"/>
  <c r="AF40" i="2"/>
  <c r="AF41" i="2"/>
  <c r="AF42" i="2"/>
  <c r="AF43" i="2"/>
  <c r="AF44" i="2"/>
  <c r="AF45" i="2"/>
  <c r="AF46" i="2"/>
  <c r="AF47" i="2"/>
  <c r="AF48" i="2"/>
  <c r="AF49" i="2"/>
  <c r="AF50" i="2"/>
  <c r="AF51" i="2"/>
  <c r="AF52" i="2"/>
  <c r="AF53" i="2"/>
  <c r="AH32" i="2"/>
  <c r="AH33" i="2"/>
  <c r="AH34" i="2"/>
  <c r="AH35" i="2"/>
  <c r="AH36" i="2"/>
  <c r="AH37" i="2"/>
  <c r="AH38" i="2"/>
  <c r="AH39" i="2"/>
  <c r="AH40" i="2"/>
  <c r="AH41" i="2"/>
  <c r="AH42" i="2"/>
  <c r="AH43" i="2"/>
  <c r="AH44" i="2"/>
  <c r="AH45" i="2"/>
  <c r="AH46" i="2"/>
  <c r="AH47" i="2"/>
  <c r="AH48" i="2"/>
  <c r="AH49" i="2"/>
  <c r="AH50" i="2"/>
  <c r="AH51" i="2"/>
  <c r="AH52" i="2"/>
  <c r="AH53" i="2"/>
  <c r="AI32" i="2"/>
  <c r="AI33" i="2"/>
  <c r="AI34" i="2"/>
  <c r="AI35" i="2"/>
  <c r="AI36" i="2"/>
  <c r="AI37" i="2"/>
  <c r="AI38" i="2"/>
  <c r="AI39" i="2"/>
  <c r="AI40" i="2"/>
  <c r="AI41" i="2"/>
  <c r="AI42" i="2"/>
  <c r="AI43" i="2"/>
  <c r="AI44" i="2"/>
  <c r="AI45" i="2"/>
  <c r="AI46" i="2"/>
  <c r="AI47" i="2"/>
  <c r="AI48" i="2"/>
  <c r="AI49" i="2"/>
  <c r="AI50" i="2"/>
  <c r="AI51" i="2"/>
  <c r="AI52" i="2"/>
  <c r="AI53" i="2"/>
  <c r="AK32" i="2"/>
  <c r="AK33" i="2"/>
  <c r="AK34" i="2"/>
  <c r="AK35" i="2"/>
  <c r="AK36" i="2"/>
  <c r="AK37" i="2"/>
  <c r="AK38" i="2"/>
  <c r="AK39" i="2"/>
  <c r="AK40" i="2"/>
  <c r="AK41" i="2"/>
  <c r="AK42" i="2"/>
  <c r="AK43" i="2"/>
  <c r="AK44" i="2"/>
  <c r="AK45" i="2"/>
  <c r="AK46" i="2"/>
  <c r="AK47" i="2"/>
  <c r="AK48" i="2"/>
  <c r="AK49" i="2"/>
  <c r="AK50" i="2"/>
  <c r="AK51" i="2"/>
  <c r="AK52" i="2"/>
  <c r="AK53" i="2"/>
  <c r="Z6" i="2"/>
  <c r="G21" i="2"/>
  <c r="G22" i="2"/>
  <c r="G23" i="2"/>
  <c r="G24" i="2"/>
  <c r="G25" i="2"/>
  <c r="G26" i="2"/>
  <c r="G27" i="2"/>
  <c r="D21" i="2"/>
  <c r="D22" i="2"/>
  <c r="D23" i="2"/>
  <c r="D24" i="2"/>
  <c r="D25" i="2"/>
  <c r="D26" i="2"/>
  <c r="D27" i="2"/>
  <c r="E21" i="2"/>
  <c r="E22" i="2"/>
  <c r="E23" i="2"/>
  <c r="E24" i="2"/>
  <c r="E25" i="2"/>
  <c r="E26" i="2"/>
  <c r="E27" i="2"/>
  <c r="I21" i="2"/>
  <c r="I22" i="2"/>
  <c r="I23" i="2"/>
  <c r="I24" i="2"/>
  <c r="I25" i="2"/>
  <c r="I26" i="2"/>
  <c r="I27" i="2"/>
  <c r="J21" i="2"/>
  <c r="J22" i="2"/>
  <c r="J23" i="2"/>
  <c r="J24" i="2"/>
  <c r="J25" i="2"/>
  <c r="J26" i="2"/>
  <c r="J27" i="2"/>
  <c r="K21" i="2"/>
  <c r="K22" i="2"/>
  <c r="K23" i="2"/>
  <c r="K24" i="2"/>
  <c r="K25" i="2"/>
  <c r="K26" i="2"/>
  <c r="K27" i="2"/>
  <c r="L21" i="2"/>
  <c r="L22" i="2"/>
  <c r="L23" i="2"/>
  <c r="L24" i="2"/>
  <c r="L25" i="2"/>
  <c r="L26" i="2"/>
  <c r="L27" i="2"/>
  <c r="R21" i="2"/>
  <c r="R22" i="2"/>
  <c r="R23" i="2"/>
  <c r="R24" i="2"/>
  <c r="R25" i="2"/>
  <c r="R26" i="2"/>
  <c r="R27" i="2"/>
  <c r="S21" i="2"/>
  <c r="S22" i="2"/>
  <c r="S23" i="2"/>
  <c r="S24" i="2"/>
  <c r="S25" i="2"/>
  <c r="S26" i="2"/>
  <c r="S27" i="2"/>
  <c r="Z21" i="2"/>
  <c r="Z22" i="2"/>
  <c r="Z23" i="2"/>
  <c r="Z24" i="2"/>
  <c r="Z25" i="2"/>
  <c r="Z26" i="2"/>
  <c r="Z27" i="2"/>
  <c r="AE21" i="2"/>
  <c r="AE22" i="2"/>
  <c r="AE23" i="2"/>
  <c r="AE24" i="2"/>
  <c r="AE25" i="2"/>
  <c r="AE26" i="2"/>
  <c r="AE27" i="2"/>
  <c r="AF21" i="2"/>
  <c r="AF22" i="2"/>
  <c r="AF23" i="2"/>
  <c r="AF24" i="2"/>
  <c r="AF25" i="2"/>
  <c r="AF26" i="2"/>
  <c r="AF27" i="2"/>
  <c r="AH21" i="2"/>
  <c r="AH22" i="2"/>
  <c r="AH23" i="2"/>
  <c r="AH24" i="2"/>
  <c r="AH25" i="2"/>
  <c r="AH26" i="2"/>
  <c r="AH27" i="2"/>
  <c r="AK21" i="2"/>
  <c r="AK22" i="2"/>
  <c r="AK23" i="2"/>
  <c r="AK24" i="2"/>
  <c r="AK25" i="2"/>
  <c r="AK26" i="2"/>
  <c r="AK27" i="2"/>
  <c r="G6" i="2"/>
  <c r="G7" i="2"/>
  <c r="G8" i="2"/>
  <c r="G9" i="2"/>
  <c r="G10" i="2"/>
  <c r="G11" i="2"/>
  <c r="G12" i="2"/>
  <c r="G13" i="2"/>
  <c r="G14" i="2"/>
  <c r="G15" i="2"/>
  <c r="G16" i="2"/>
  <c r="G17" i="2"/>
  <c r="G18" i="2"/>
  <c r="G19" i="2"/>
  <c r="G20" i="2"/>
  <c r="D6" i="2"/>
  <c r="D7" i="2"/>
  <c r="D8" i="2"/>
  <c r="D9" i="2"/>
  <c r="D10" i="2"/>
  <c r="D11" i="2"/>
  <c r="D12" i="2"/>
  <c r="D13" i="2"/>
  <c r="D14" i="2"/>
  <c r="D15" i="2"/>
  <c r="D16" i="2"/>
  <c r="D17" i="2"/>
  <c r="D18" i="2"/>
  <c r="D19" i="2"/>
  <c r="D20" i="2"/>
  <c r="E6" i="2"/>
  <c r="E7" i="2"/>
  <c r="E8" i="2"/>
  <c r="E9" i="2"/>
  <c r="E10" i="2"/>
  <c r="E11" i="2"/>
  <c r="E12" i="2"/>
  <c r="E13" i="2"/>
  <c r="E14" i="2"/>
  <c r="E15" i="2"/>
  <c r="E16" i="2"/>
  <c r="E17" i="2"/>
  <c r="E18" i="2"/>
  <c r="E19" i="2"/>
  <c r="E20" i="2"/>
  <c r="I6" i="2"/>
  <c r="I7" i="2"/>
  <c r="I8" i="2"/>
  <c r="I9" i="2"/>
  <c r="I10" i="2"/>
  <c r="I11" i="2"/>
  <c r="I12" i="2"/>
  <c r="I13" i="2"/>
  <c r="I14" i="2"/>
  <c r="I15" i="2"/>
  <c r="I16" i="2"/>
  <c r="I17" i="2"/>
  <c r="I18" i="2"/>
  <c r="I19" i="2"/>
  <c r="I20" i="2"/>
  <c r="J6" i="2"/>
  <c r="J7" i="2"/>
  <c r="J8" i="2"/>
  <c r="J9" i="2"/>
  <c r="J10" i="2"/>
  <c r="J11" i="2"/>
  <c r="J12" i="2"/>
  <c r="J13" i="2"/>
  <c r="J14" i="2"/>
  <c r="J15" i="2"/>
  <c r="J16" i="2"/>
  <c r="J17" i="2"/>
  <c r="J18" i="2"/>
  <c r="J19" i="2"/>
  <c r="J20" i="2"/>
  <c r="K6" i="2"/>
  <c r="K7" i="2"/>
  <c r="K8" i="2"/>
  <c r="K9" i="2"/>
  <c r="K10" i="2"/>
  <c r="K11" i="2"/>
  <c r="K12" i="2"/>
  <c r="K13" i="2"/>
  <c r="K14" i="2"/>
  <c r="K15" i="2"/>
  <c r="K16" i="2"/>
  <c r="K17" i="2"/>
  <c r="K18" i="2"/>
  <c r="K19" i="2"/>
  <c r="K20" i="2"/>
  <c r="L6" i="2"/>
  <c r="L7" i="2"/>
  <c r="L8" i="2"/>
  <c r="L9" i="2"/>
  <c r="L10" i="2"/>
  <c r="L11" i="2"/>
  <c r="L12" i="2"/>
  <c r="L13" i="2"/>
  <c r="L14" i="2"/>
  <c r="L15" i="2"/>
  <c r="L16" i="2"/>
  <c r="L17" i="2"/>
  <c r="L18" i="2"/>
  <c r="L19" i="2"/>
  <c r="L20" i="2"/>
  <c r="R6" i="2"/>
  <c r="R7" i="2"/>
  <c r="R8" i="2"/>
  <c r="R9" i="2"/>
  <c r="R10" i="2"/>
  <c r="R11" i="2"/>
  <c r="R12" i="2"/>
  <c r="R13" i="2"/>
  <c r="R14" i="2"/>
  <c r="R15" i="2"/>
  <c r="R16" i="2"/>
  <c r="R17" i="2"/>
  <c r="R18" i="2"/>
  <c r="R19" i="2"/>
  <c r="R20" i="2"/>
  <c r="S6" i="2"/>
  <c r="S7" i="2"/>
  <c r="S8" i="2"/>
  <c r="S9" i="2"/>
  <c r="S10" i="2"/>
  <c r="S11" i="2"/>
  <c r="S12" i="2"/>
  <c r="S13" i="2"/>
  <c r="S14" i="2"/>
  <c r="S15" i="2"/>
  <c r="S16" i="2"/>
  <c r="S17" i="2"/>
  <c r="S18" i="2"/>
  <c r="S19" i="2"/>
  <c r="S20" i="2"/>
  <c r="Z7" i="2"/>
  <c r="Z8" i="2"/>
  <c r="Z9" i="2"/>
  <c r="Z10" i="2"/>
  <c r="Z11" i="2"/>
  <c r="Z12" i="2"/>
  <c r="Z13" i="2"/>
  <c r="Z14" i="2"/>
  <c r="Z15" i="2"/>
  <c r="Z16" i="2"/>
  <c r="Z17" i="2"/>
  <c r="Z18" i="2"/>
  <c r="Z19" i="2"/>
  <c r="Z20" i="2"/>
  <c r="AE6" i="2"/>
  <c r="AE7" i="2"/>
  <c r="AE8" i="2"/>
  <c r="AE9" i="2"/>
  <c r="AE10" i="2"/>
  <c r="AE11" i="2"/>
  <c r="AE12" i="2"/>
  <c r="AE13" i="2"/>
  <c r="AE14" i="2"/>
  <c r="AE15" i="2"/>
  <c r="AE16" i="2"/>
  <c r="AE17" i="2"/>
  <c r="AE18" i="2"/>
  <c r="AE19" i="2"/>
  <c r="AE20" i="2"/>
  <c r="AF6" i="2"/>
  <c r="AF7" i="2"/>
  <c r="AF8" i="2"/>
  <c r="AF9" i="2"/>
  <c r="AF10" i="2"/>
  <c r="AF11" i="2"/>
  <c r="AF12" i="2"/>
  <c r="AF13" i="2"/>
  <c r="AF14" i="2"/>
  <c r="AF15" i="2"/>
  <c r="AF16" i="2"/>
  <c r="AF17" i="2"/>
  <c r="AF18" i="2"/>
  <c r="AF19" i="2"/>
  <c r="AF20" i="2"/>
  <c r="AH6" i="2"/>
  <c r="AH7" i="2"/>
  <c r="AH8" i="2"/>
  <c r="AH9" i="2"/>
  <c r="AH10" i="2"/>
  <c r="AH11" i="2"/>
  <c r="AH12" i="2"/>
  <c r="AH13" i="2"/>
  <c r="AH14" i="2"/>
  <c r="AH15" i="2"/>
  <c r="AH16" i="2"/>
  <c r="AH17" i="2"/>
  <c r="AH18" i="2"/>
  <c r="AH19" i="2"/>
  <c r="AH20" i="2"/>
  <c r="AK6" i="2"/>
  <c r="AK7" i="2"/>
  <c r="AK8" i="2"/>
  <c r="AK9" i="2"/>
  <c r="AK10" i="2"/>
  <c r="AK11" i="2"/>
  <c r="AK12" i="2"/>
  <c r="AK13" i="2"/>
  <c r="AK14" i="2"/>
  <c r="AK15" i="2"/>
  <c r="AK16" i="2"/>
  <c r="AK17" i="2"/>
  <c r="AK18" i="2"/>
  <c r="AK19" i="2"/>
  <c r="AK20" i="2"/>
  <c r="V10" i="15"/>
  <c r="T10" i="15"/>
  <c r="T17" i="15" s="1"/>
  <c r="R17" i="15" s="1"/>
  <c r="X23" i="15"/>
  <c r="X22" i="15"/>
  <c r="A2" i="2"/>
  <c r="D2" i="2"/>
  <c r="E2" i="2"/>
  <c r="G2" i="2"/>
  <c r="I2" i="2"/>
  <c r="J2" i="2"/>
  <c r="K2" i="2"/>
  <c r="L2" i="2"/>
  <c r="AE2" i="2"/>
  <c r="AF2" i="2"/>
  <c r="AH2" i="2"/>
  <c r="AK2" i="2"/>
  <c r="A3" i="2"/>
  <c r="D3" i="2"/>
  <c r="E3" i="2"/>
  <c r="G3" i="2"/>
  <c r="I3" i="2"/>
  <c r="J3" i="2"/>
  <c r="K3" i="2"/>
  <c r="L3" i="2"/>
  <c r="AE3" i="2"/>
  <c r="AF3" i="2"/>
  <c r="AH3" i="2"/>
  <c r="AK3" i="2"/>
  <c r="A4" i="2"/>
  <c r="D4" i="2"/>
  <c r="E4" i="2"/>
  <c r="G4" i="2"/>
  <c r="I4" i="2"/>
  <c r="J4" i="2"/>
  <c r="K4" i="2"/>
  <c r="L4" i="2"/>
  <c r="AE4" i="2"/>
  <c r="AF4" i="2"/>
  <c r="AH4" i="2"/>
  <c r="AK4" i="2"/>
  <c r="A5" i="2"/>
  <c r="D5" i="2"/>
  <c r="E5" i="2"/>
  <c r="G5" i="2"/>
  <c r="I5" i="2"/>
  <c r="J5" i="2"/>
  <c r="K5" i="2"/>
  <c r="L5" i="2"/>
  <c r="AE5" i="2"/>
  <c r="AF5" i="2"/>
  <c r="AH5" i="2"/>
  <c r="AK5" i="2"/>
  <c r="A28" i="2"/>
  <c r="D28" i="2"/>
  <c r="E28" i="2"/>
  <c r="G28" i="2"/>
  <c r="I28" i="2"/>
  <c r="J28" i="2"/>
  <c r="K28" i="2"/>
  <c r="L28" i="2"/>
  <c r="AE28" i="2"/>
  <c r="AF28" i="2"/>
  <c r="AH28" i="2"/>
  <c r="AI28" i="2"/>
  <c r="AK28" i="2"/>
  <c r="A29" i="2"/>
  <c r="D29" i="2"/>
  <c r="E29" i="2"/>
  <c r="G29" i="2"/>
  <c r="I29" i="2"/>
  <c r="J29" i="2"/>
  <c r="K29" i="2"/>
  <c r="L29" i="2"/>
  <c r="AE29" i="2"/>
  <c r="AF29" i="2"/>
  <c r="AH29" i="2"/>
  <c r="AI29" i="2"/>
  <c r="AK29" i="2"/>
  <c r="A30" i="2"/>
  <c r="D30" i="2"/>
  <c r="E30" i="2"/>
  <c r="G30" i="2"/>
  <c r="I30" i="2"/>
  <c r="J30" i="2"/>
  <c r="K30" i="2"/>
  <c r="L30" i="2"/>
  <c r="AE30" i="2"/>
  <c r="AF30" i="2"/>
  <c r="AH30" i="2"/>
  <c r="AI30" i="2"/>
  <c r="AK30" i="2"/>
  <c r="A31" i="2"/>
  <c r="D31" i="2"/>
  <c r="E31" i="2"/>
  <c r="G31" i="2"/>
  <c r="I31" i="2"/>
  <c r="J31" i="2"/>
  <c r="K31" i="2"/>
  <c r="L31" i="2"/>
  <c r="AE31" i="2"/>
  <c r="AF31" i="2"/>
  <c r="AH31" i="2"/>
  <c r="AI31" i="2"/>
  <c r="AK31" i="2"/>
  <c r="A54" i="2"/>
  <c r="D54" i="2"/>
  <c r="E54" i="2"/>
  <c r="G54" i="2"/>
  <c r="I54" i="2"/>
  <c r="J54" i="2"/>
  <c r="K54" i="2"/>
  <c r="L54" i="2"/>
  <c r="AE54" i="2"/>
  <c r="AF54" i="2"/>
  <c r="AH54" i="2"/>
  <c r="AK54" i="2"/>
  <c r="A55" i="2"/>
  <c r="D55" i="2"/>
  <c r="E55" i="2"/>
  <c r="G55" i="2"/>
  <c r="I55" i="2"/>
  <c r="J55" i="2"/>
  <c r="K55" i="2"/>
  <c r="L55" i="2"/>
  <c r="AE55" i="2"/>
  <c r="AF55" i="2"/>
  <c r="AH55" i="2"/>
  <c r="AK55" i="2"/>
  <c r="A56" i="2"/>
  <c r="D56" i="2"/>
  <c r="E56" i="2"/>
  <c r="G56" i="2"/>
  <c r="I56" i="2"/>
  <c r="J56" i="2"/>
  <c r="K56" i="2"/>
  <c r="L56" i="2"/>
  <c r="AE56" i="2"/>
  <c r="AF56" i="2"/>
  <c r="AH56" i="2"/>
  <c r="AK56" i="2"/>
  <c r="A57" i="2"/>
  <c r="D57" i="2"/>
  <c r="E57" i="2"/>
  <c r="G57" i="2"/>
  <c r="I57" i="2"/>
  <c r="J57" i="2"/>
  <c r="K57" i="2"/>
  <c r="L57" i="2"/>
  <c r="AE57" i="2"/>
  <c r="AF57" i="2"/>
  <c r="AH57" i="2"/>
  <c r="AK57" i="2"/>
  <c r="A80" i="2"/>
  <c r="D80" i="2"/>
  <c r="E80" i="2"/>
  <c r="G80" i="2"/>
  <c r="I80" i="2"/>
  <c r="J80" i="2"/>
  <c r="K80" i="2"/>
  <c r="L80" i="2"/>
  <c r="AE80" i="2"/>
  <c r="AF80" i="2"/>
  <c r="AH80" i="2"/>
  <c r="AK80" i="2"/>
  <c r="A81" i="2"/>
  <c r="D81" i="2"/>
  <c r="E81" i="2"/>
  <c r="G81" i="2"/>
  <c r="I81" i="2"/>
  <c r="J81" i="2"/>
  <c r="K81" i="2"/>
  <c r="L81" i="2"/>
  <c r="AE81" i="2"/>
  <c r="AF81" i="2"/>
  <c r="AH81" i="2"/>
  <c r="AK81" i="2"/>
  <c r="A82" i="2"/>
  <c r="D82" i="2"/>
  <c r="E82" i="2"/>
  <c r="G82" i="2"/>
  <c r="I82" i="2"/>
  <c r="J82" i="2"/>
  <c r="K82" i="2"/>
  <c r="L82" i="2"/>
  <c r="AE82" i="2"/>
  <c r="AF82" i="2"/>
  <c r="AH82" i="2"/>
  <c r="AK82" i="2"/>
  <c r="A83" i="2"/>
  <c r="D83" i="2"/>
  <c r="E83" i="2"/>
  <c r="G83" i="2"/>
  <c r="I83" i="2"/>
  <c r="J83" i="2"/>
  <c r="K83" i="2"/>
  <c r="L83" i="2"/>
  <c r="AE83" i="2"/>
  <c r="AF83" i="2"/>
  <c r="AH83" i="2"/>
  <c r="AK83" i="2"/>
  <c r="J106" i="2"/>
  <c r="J107" i="2"/>
  <c r="J108" i="2"/>
  <c r="J109" i="2"/>
  <c r="J132" i="2"/>
  <c r="J133" i="2"/>
  <c r="J134" i="2"/>
  <c r="J135" i="2"/>
  <c r="J158" i="2"/>
  <c r="J159" i="2"/>
  <c r="J160" i="2"/>
  <c r="J161"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K106" i="2"/>
  <c r="K107" i="2"/>
  <c r="K108" i="2"/>
  <c r="K109" i="2"/>
  <c r="K132" i="2"/>
  <c r="K133" i="2"/>
  <c r="K134" i="2"/>
  <c r="K135" i="2"/>
  <c r="K158" i="2"/>
  <c r="K159" i="2"/>
  <c r="K160" i="2"/>
  <c r="K161"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L106" i="2"/>
  <c r="L107" i="2"/>
  <c r="L108" i="2"/>
  <c r="L109" i="2"/>
  <c r="L132" i="2"/>
  <c r="L133" i="2"/>
  <c r="L134" i="2"/>
  <c r="L135" i="2"/>
  <c r="L158" i="2"/>
  <c r="L159" i="2"/>
  <c r="L160" i="2"/>
  <c r="L161"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R3" i="15"/>
  <c r="R4" i="15"/>
  <c r="R5" i="15"/>
  <c r="R6" i="15"/>
  <c r="R7" i="15"/>
  <c r="R35" i="15" s="1"/>
  <c r="R8" i="15"/>
  <c r="R9" i="15"/>
  <c r="R10" i="15" s="1"/>
  <c r="R11" i="15"/>
  <c r="R12" i="15"/>
  <c r="AC57" i="2" s="1"/>
  <c r="R13" i="15"/>
  <c r="AC86" i="2" s="1"/>
  <c r="R14" i="15"/>
  <c r="R15" i="15"/>
  <c r="R18" i="15"/>
  <c r="R19" i="15"/>
  <c r="R20" i="15"/>
  <c r="R24" i="15"/>
  <c r="R25" i="15"/>
  <c r="R26" i="15"/>
  <c r="R29" i="15"/>
  <c r="R2" i="15"/>
  <c r="AC27" i="2" s="1"/>
  <c r="X29" i="15"/>
  <c r="AC47" i="2" l="1"/>
  <c r="AC70" i="2"/>
  <c r="T16" i="15"/>
  <c r="R16" i="15" s="1"/>
  <c r="AC26" i="2"/>
  <c r="AC19" i="2"/>
  <c r="AC7" i="2"/>
  <c r="AC48" i="2"/>
  <c r="AC43" i="2"/>
  <c r="AC97" i="2"/>
  <c r="AC35" i="2"/>
  <c r="AC58" i="2"/>
  <c r="AC92" i="2"/>
  <c r="AC36" i="2"/>
  <c r="AC83" i="2"/>
  <c r="AC3" i="2"/>
  <c r="AC85" i="2"/>
  <c r="AC103" i="2"/>
  <c r="AC2" i="2"/>
  <c r="AC18" i="2"/>
  <c r="AC6" i="2"/>
  <c r="AC25" i="2"/>
  <c r="AC69" i="2"/>
  <c r="AC96" i="2"/>
  <c r="AC84" i="2"/>
  <c r="AC17" i="2"/>
  <c r="AC24" i="2"/>
  <c r="AC46" i="2"/>
  <c r="AC34" i="2"/>
  <c r="AC68" i="2"/>
  <c r="AC95" i="2"/>
  <c r="AC16" i="2"/>
  <c r="AC23" i="2"/>
  <c r="AC45" i="2"/>
  <c r="AC33" i="2"/>
  <c r="AC79" i="2"/>
  <c r="AC67" i="2"/>
  <c r="AC94" i="2"/>
  <c r="AC105" i="2"/>
  <c r="AC15" i="2"/>
  <c r="AC22" i="2"/>
  <c r="AC44" i="2"/>
  <c r="AC32" i="2"/>
  <c r="AC78" i="2"/>
  <c r="AC66" i="2"/>
  <c r="AC93" i="2"/>
  <c r="AC104" i="2"/>
  <c r="AC14" i="2"/>
  <c r="AC65" i="2"/>
  <c r="AC82" i="2"/>
  <c r="AC13" i="2"/>
  <c r="AC42" i="2"/>
  <c r="AC76" i="2"/>
  <c r="AC64" i="2"/>
  <c r="AC91" i="2"/>
  <c r="AC102" i="2"/>
  <c r="AC81" i="2"/>
  <c r="AC12" i="2"/>
  <c r="AC53" i="2"/>
  <c r="AC41" i="2"/>
  <c r="AC75" i="2"/>
  <c r="AC63" i="2"/>
  <c r="AC90" i="2"/>
  <c r="AC101" i="2"/>
  <c r="AC80" i="2"/>
  <c r="AC11" i="2"/>
  <c r="AC52" i="2"/>
  <c r="AC40" i="2"/>
  <c r="AC74" i="2"/>
  <c r="AC62" i="2"/>
  <c r="AC89" i="2"/>
  <c r="AC100" i="2"/>
  <c r="AC77" i="2"/>
  <c r="AC10" i="2"/>
  <c r="AC51" i="2"/>
  <c r="AC39" i="2"/>
  <c r="AC73" i="2"/>
  <c r="AC61" i="2"/>
  <c r="AC88" i="2"/>
  <c r="AC99" i="2"/>
  <c r="AC21" i="2"/>
  <c r="AC5" i="2"/>
  <c r="AC9" i="2"/>
  <c r="AC50" i="2"/>
  <c r="AC38" i="2"/>
  <c r="AC72" i="2"/>
  <c r="AC60" i="2"/>
  <c r="AC87" i="2"/>
  <c r="AC4" i="2"/>
  <c r="AC20" i="2"/>
  <c r="AC8" i="2"/>
  <c r="AC49" i="2"/>
  <c r="AC37" i="2"/>
  <c r="AC71" i="2"/>
  <c r="AC59" i="2"/>
  <c r="AC98" i="2"/>
  <c r="X37" i="15"/>
  <c r="AC54" i="2"/>
  <c r="AC56" i="2"/>
  <c r="AC55" i="2"/>
  <c r="AC29" i="2"/>
  <c r="AC31" i="2"/>
  <c r="AC28" i="2"/>
  <c r="AC30" i="2"/>
  <c r="AA28" i="2"/>
  <c r="AA54" i="2" l="1"/>
  <c r="AA80" i="2"/>
  <c r="AJ28" i="2"/>
  <c r="AA29" i="2"/>
  <c r="AA2" i="2"/>
  <c r="AJ2" i="2" s="1"/>
  <c r="AA55" i="2" l="1"/>
  <c r="AA81" i="2"/>
  <c r="AJ80" i="2"/>
  <c r="AG2" i="2"/>
  <c r="AD2" i="2"/>
  <c r="AA3" i="2"/>
  <c r="AJ3" i="2" s="1"/>
  <c r="AJ29" i="2"/>
  <c r="AA30" i="2"/>
  <c r="AD28" i="2"/>
  <c r="AG28" i="2"/>
  <c r="AD54" i="2" l="1"/>
  <c r="AJ54" i="2"/>
  <c r="AG54" i="2"/>
  <c r="AA56" i="2"/>
  <c r="AA4" i="2"/>
  <c r="AJ4" i="2" s="1"/>
  <c r="AJ30" i="2"/>
  <c r="AG29" i="2"/>
  <c r="AD29" i="2"/>
  <c r="AG80" i="2"/>
  <c r="AD80" i="2"/>
  <c r="AG3" i="2"/>
  <c r="AD3" i="2"/>
  <c r="AA82" i="2"/>
  <c r="AJ81" i="2"/>
  <c r="AA5" i="2" l="1"/>
  <c r="AJ5" i="2" s="1"/>
  <c r="AA31" i="2"/>
  <c r="AJ31" i="2" s="1"/>
  <c r="AD55" i="2"/>
  <c r="AG55" i="2"/>
  <c r="AJ55" i="2"/>
  <c r="AG81" i="2"/>
  <c r="AD81" i="2"/>
  <c r="AD30" i="2"/>
  <c r="AG30" i="2"/>
  <c r="AJ82" i="2"/>
  <c r="AD4" i="2"/>
  <c r="AG4" i="2"/>
  <c r="AD31" i="2" l="1"/>
  <c r="AD5" i="2"/>
  <c r="AG31" i="2"/>
  <c r="AG5" i="2"/>
  <c r="AA6" i="2"/>
  <c r="AA32" i="2"/>
  <c r="AA57" i="2"/>
  <c r="AG57" i="2" s="1"/>
  <c r="AA83" i="2"/>
  <c r="AD83" i="2" s="1"/>
  <c r="AJ56" i="2"/>
  <c r="AD56" i="2"/>
  <c r="AG56" i="2"/>
  <c r="AG82" i="2"/>
  <c r="AD82" i="2"/>
  <c r="AJ83" i="2" l="1"/>
  <c r="AG83" i="2"/>
  <c r="AD57" i="2"/>
  <c r="AJ57" i="2"/>
  <c r="AG6" i="2"/>
  <c r="AD6" i="2"/>
  <c r="AJ6" i="2"/>
  <c r="AA7" i="2"/>
  <c r="AG32" i="2"/>
  <c r="AJ32" i="2"/>
  <c r="AD32" i="2"/>
  <c r="AA33" i="2"/>
  <c r="AA58" i="2"/>
  <c r="AA84" i="2"/>
  <c r="X24" i="15"/>
  <c r="X25" i="15"/>
  <c r="X26" i="15"/>
  <c r="X27" i="15"/>
  <c r="X2" i="15"/>
  <c r="X3" i="15"/>
  <c r="A184" i="2"/>
  <c r="D184" i="2"/>
  <c r="E184" i="2"/>
  <c r="G184" i="2"/>
  <c r="I184" i="2"/>
  <c r="AC184" i="2"/>
  <c r="AE184" i="2"/>
  <c r="AF184" i="2"/>
  <c r="AH184" i="2"/>
  <c r="AK184" i="2"/>
  <c r="A185" i="2"/>
  <c r="D185" i="2"/>
  <c r="E185" i="2"/>
  <c r="G185" i="2"/>
  <c r="I185" i="2"/>
  <c r="AC185" i="2"/>
  <c r="AE185" i="2"/>
  <c r="AF185" i="2"/>
  <c r="AH185" i="2"/>
  <c r="AK185" i="2"/>
  <c r="A186" i="2"/>
  <c r="D186" i="2"/>
  <c r="E186" i="2"/>
  <c r="G186" i="2"/>
  <c r="I186" i="2"/>
  <c r="AC186" i="2"/>
  <c r="AE186" i="2"/>
  <c r="AF186" i="2"/>
  <c r="AH186" i="2"/>
  <c r="AK186" i="2"/>
  <c r="A187" i="2"/>
  <c r="D187" i="2"/>
  <c r="E187" i="2"/>
  <c r="G187" i="2"/>
  <c r="I187" i="2"/>
  <c r="AC187" i="2"/>
  <c r="AE187" i="2"/>
  <c r="AF187" i="2"/>
  <c r="AH187" i="2"/>
  <c r="AK187" i="2"/>
  <c r="A158" i="2"/>
  <c r="D158" i="2"/>
  <c r="E158" i="2"/>
  <c r="G158" i="2"/>
  <c r="I158" i="2"/>
  <c r="AC158" i="2"/>
  <c r="AE158" i="2"/>
  <c r="AF158" i="2"/>
  <c r="AH158" i="2"/>
  <c r="AK158" i="2"/>
  <c r="A159" i="2"/>
  <c r="D159" i="2"/>
  <c r="E159" i="2"/>
  <c r="G159" i="2"/>
  <c r="I159" i="2"/>
  <c r="AC159" i="2"/>
  <c r="AE159" i="2"/>
  <c r="AF159" i="2"/>
  <c r="AH159" i="2"/>
  <c r="AK159" i="2"/>
  <c r="A160" i="2"/>
  <c r="D160" i="2"/>
  <c r="E160" i="2"/>
  <c r="G160" i="2"/>
  <c r="I160" i="2"/>
  <c r="AC160" i="2"/>
  <c r="AE160" i="2"/>
  <c r="AF160" i="2"/>
  <c r="AH160" i="2"/>
  <c r="AK160" i="2"/>
  <c r="A161" i="2"/>
  <c r="D161" i="2"/>
  <c r="E161" i="2"/>
  <c r="G161" i="2"/>
  <c r="I161" i="2"/>
  <c r="AC161" i="2"/>
  <c r="AE161" i="2"/>
  <c r="AF161" i="2"/>
  <c r="AH161" i="2"/>
  <c r="AK161" i="2"/>
  <c r="A132" i="2"/>
  <c r="D132" i="2"/>
  <c r="E132" i="2"/>
  <c r="G132" i="2"/>
  <c r="I132" i="2"/>
  <c r="AC132" i="2"/>
  <c r="AE132" i="2"/>
  <c r="AF132" i="2"/>
  <c r="AH132" i="2"/>
  <c r="AK132" i="2"/>
  <c r="A133" i="2"/>
  <c r="D133" i="2"/>
  <c r="E133" i="2"/>
  <c r="G133" i="2"/>
  <c r="I133" i="2"/>
  <c r="AC133" i="2"/>
  <c r="AE133" i="2"/>
  <c r="AF133" i="2"/>
  <c r="AH133" i="2"/>
  <c r="AK133" i="2"/>
  <c r="A134" i="2"/>
  <c r="D134" i="2"/>
  <c r="E134" i="2"/>
  <c r="G134" i="2"/>
  <c r="I134" i="2"/>
  <c r="AC134" i="2"/>
  <c r="AE134" i="2"/>
  <c r="AF134" i="2"/>
  <c r="AH134" i="2"/>
  <c r="AK134" i="2"/>
  <c r="A135" i="2"/>
  <c r="D135" i="2"/>
  <c r="E135" i="2"/>
  <c r="G135" i="2"/>
  <c r="I135" i="2"/>
  <c r="AC135" i="2"/>
  <c r="AE135" i="2"/>
  <c r="AF135" i="2"/>
  <c r="AH135" i="2"/>
  <c r="AK135" i="2"/>
  <c r="A106" i="2"/>
  <c r="D106" i="2"/>
  <c r="E106" i="2"/>
  <c r="G106" i="2"/>
  <c r="I106" i="2"/>
  <c r="AC106" i="2"/>
  <c r="AE106" i="2"/>
  <c r="AF106" i="2"/>
  <c r="AH106" i="2"/>
  <c r="AK106" i="2"/>
  <c r="A107" i="2"/>
  <c r="D107" i="2"/>
  <c r="E107" i="2"/>
  <c r="G107" i="2"/>
  <c r="I107" i="2"/>
  <c r="AC107" i="2"/>
  <c r="AE107" i="2"/>
  <c r="AF107" i="2"/>
  <c r="AH107" i="2"/>
  <c r="AK107" i="2"/>
  <c r="A108" i="2"/>
  <c r="D108" i="2"/>
  <c r="E108" i="2"/>
  <c r="G108" i="2"/>
  <c r="I108" i="2"/>
  <c r="AC108" i="2"/>
  <c r="AE108" i="2"/>
  <c r="AF108" i="2"/>
  <c r="AH108" i="2"/>
  <c r="AK108" i="2"/>
  <c r="A109" i="2"/>
  <c r="D109" i="2"/>
  <c r="E109" i="2"/>
  <c r="G109" i="2"/>
  <c r="I109" i="2"/>
  <c r="AC109" i="2"/>
  <c r="AE109" i="2"/>
  <c r="AF109" i="2"/>
  <c r="AH109" i="2"/>
  <c r="AK109" i="2"/>
  <c r="AJ7" i="2" l="1"/>
  <c r="AG7" i="2"/>
  <c r="AD7" i="2"/>
  <c r="AA8" i="2"/>
  <c r="AJ33" i="2"/>
  <c r="AG33" i="2"/>
  <c r="AD33" i="2"/>
  <c r="AA34" i="2"/>
  <c r="AA59" i="2"/>
  <c r="AJ58" i="2"/>
  <c r="AG58" i="2"/>
  <c r="AD58" i="2"/>
  <c r="AD84" i="2"/>
  <c r="AG84" i="2"/>
  <c r="AJ84" i="2"/>
  <c r="AA85" i="2"/>
  <c r="X21" i="15"/>
  <c r="X4" i="15"/>
  <c r="X5" i="15"/>
  <c r="X6" i="15"/>
  <c r="X7" i="15"/>
  <c r="X8" i="15"/>
  <c r="X9" i="15"/>
  <c r="X10" i="15"/>
  <c r="X11" i="15"/>
  <c r="X12" i="15"/>
  <c r="X13" i="15"/>
  <c r="X14" i="15"/>
  <c r="X15" i="15"/>
  <c r="X16" i="15"/>
  <c r="X17" i="15"/>
  <c r="X18" i="15"/>
  <c r="X19" i="15"/>
  <c r="X20" i="15"/>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J226" i="2" s="1"/>
  <c r="AF227" i="2"/>
  <c r="AF228" i="2"/>
  <c r="AF229" i="2"/>
  <c r="AF230" i="2"/>
  <c r="AF231" i="2"/>
  <c r="AF232" i="2"/>
  <c r="AF233" i="2"/>
  <c r="AF234" i="2"/>
  <c r="AF235" i="2"/>
  <c r="AF236" i="2"/>
  <c r="AF237" i="2"/>
  <c r="AF238" i="2"/>
  <c r="AF239" i="2"/>
  <c r="AF240" i="2"/>
  <c r="AF241" i="2"/>
  <c r="AF242" i="2"/>
  <c r="AF243" i="2"/>
  <c r="AF244" i="2"/>
  <c r="AF245" i="2"/>
  <c r="AF246" i="2"/>
  <c r="AF247" i="2"/>
  <c r="AJ247" i="2" s="1"/>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J313" i="2" s="1"/>
  <c r="AF314" i="2"/>
  <c r="AJ314" i="2" s="1"/>
  <c r="AF315" i="2"/>
  <c r="AJ315" i="2" s="1"/>
  <c r="AF316" i="2"/>
  <c r="AJ316" i="2" s="1"/>
  <c r="AF317" i="2"/>
  <c r="AJ317" i="2" s="1"/>
  <c r="AF318" i="2"/>
  <c r="AJ318" i="2" s="1"/>
  <c r="AF319" i="2"/>
  <c r="AJ319" i="2" s="1"/>
  <c r="AF320" i="2"/>
  <c r="AJ320" i="2" s="1"/>
  <c r="AF321" i="2"/>
  <c r="AJ321" i="2" s="1"/>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J8" i="2" l="1"/>
  <c r="AD8" i="2"/>
  <c r="AG8" i="2"/>
  <c r="AA9" i="2"/>
  <c r="AD34" i="2"/>
  <c r="AG34" i="2"/>
  <c r="AJ34" i="2"/>
  <c r="AA35" i="2"/>
  <c r="AA60" i="2"/>
  <c r="AG59" i="2"/>
  <c r="AD59" i="2"/>
  <c r="AJ59" i="2"/>
  <c r="AG85" i="2"/>
  <c r="AD85" i="2"/>
  <c r="AJ85" i="2"/>
  <c r="AA86" i="2"/>
  <c r="AA184" i="2"/>
  <c r="AG184" i="2" s="1"/>
  <c r="AJ245" i="2"/>
  <c r="AJ244" i="2"/>
  <c r="AJ246" i="2"/>
  <c r="AJ243" i="2"/>
  <c r="AJ242" i="2"/>
  <c r="AJ241" i="2"/>
  <c r="AJ240" i="2"/>
  <c r="AJ239" i="2"/>
  <c r="AJ250" i="2"/>
  <c r="AJ238" i="2"/>
  <c r="AJ249" i="2"/>
  <c r="AJ237" i="2"/>
  <c r="AJ248" i="2"/>
  <c r="AJ236" i="2"/>
  <c r="AJ225" i="2"/>
  <c r="AJ213" i="2"/>
  <c r="AJ224" i="2"/>
  <c r="AJ212" i="2"/>
  <c r="AJ235" i="2"/>
  <c r="AJ223" i="2"/>
  <c r="AJ211" i="2"/>
  <c r="AJ234" i="2"/>
  <c r="AJ222" i="2"/>
  <c r="AJ210" i="2"/>
  <c r="AJ233" i="2"/>
  <c r="AJ221" i="2"/>
  <c r="AJ214" i="2"/>
  <c r="AJ232" i="2"/>
  <c r="AJ220" i="2"/>
  <c r="AJ231" i="2"/>
  <c r="AJ219" i="2"/>
  <c r="AJ230" i="2"/>
  <c r="AJ218" i="2"/>
  <c r="AJ229" i="2"/>
  <c r="AJ217" i="2"/>
  <c r="AJ228" i="2"/>
  <c r="AJ216" i="2"/>
  <c r="AJ227" i="2"/>
  <c r="AJ215"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R464" i="2"/>
  <c r="R465" i="2"/>
  <c r="R466" i="2"/>
  <c r="R467" i="2"/>
  <c r="R468" i="2"/>
  <c r="R469" i="2"/>
  <c r="R470" i="2"/>
  <c r="R471" i="2"/>
  <c r="R472" i="2"/>
  <c r="R473" i="2"/>
  <c r="R474" i="2"/>
  <c r="S464" i="2"/>
  <c r="S465" i="2"/>
  <c r="S466" i="2"/>
  <c r="S467" i="2"/>
  <c r="S468" i="2"/>
  <c r="S469" i="2"/>
  <c r="S470" i="2"/>
  <c r="S471" i="2"/>
  <c r="S472" i="2"/>
  <c r="S473" i="2"/>
  <c r="S474" i="2"/>
  <c r="B10" i="25"/>
  <c r="E10" i="25"/>
  <c r="F10" i="25"/>
  <c r="H10" i="25"/>
  <c r="J10" i="25"/>
  <c r="K10" i="25"/>
  <c r="L10" i="25"/>
  <c r="M10" i="25"/>
  <c r="AD184" i="2" l="1"/>
  <c r="AD9" i="2"/>
  <c r="AG9" i="2"/>
  <c r="AJ9" i="2"/>
  <c r="AA10" i="2"/>
  <c r="AG35" i="2"/>
  <c r="AD35" i="2"/>
  <c r="AJ35" i="2"/>
  <c r="AA36" i="2"/>
  <c r="AG60" i="2"/>
  <c r="AJ60" i="2"/>
  <c r="AD60" i="2"/>
  <c r="AA61" i="2"/>
  <c r="AJ86" i="2"/>
  <c r="AD86" i="2"/>
  <c r="AG86" i="2"/>
  <c r="AA87" i="2"/>
  <c r="AA185" i="2"/>
  <c r="AJ185" i="2" s="1"/>
  <c r="AJ184" i="2"/>
  <c r="F21" i="2"/>
  <c r="F9" i="2"/>
  <c r="F13" i="2"/>
  <c r="F22" i="2"/>
  <c r="F10" i="2"/>
  <c r="F23" i="2"/>
  <c r="F11" i="2"/>
  <c r="F4" i="2"/>
  <c r="F2" i="2"/>
  <c r="F15" i="2"/>
  <c r="F24" i="2"/>
  <c r="F12" i="2"/>
  <c r="F25" i="2"/>
  <c r="F5" i="2"/>
  <c r="F26" i="2"/>
  <c r="F14" i="2"/>
  <c r="F27" i="2"/>
  <c r="F16" i="2"/>
  <c r="F17" i="2"/>
  <c r="F8" i="2"/>
  <c r="F18" i="2"/>
  <c r="F19" i="2"/>
  <c r="F3" i="2"/>
  <c r="F20" i="2"/>
  <c r="F6" i="2"/>
  <c r="F7" i="2"/>
  <c r="M2" i="15"/>
  <c r="K3" i="15"/>
  <c r="C3" i="15" s="1"/>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G185" i="2" l="1"/>
  <c r="AD185" i="2"/>
  <c r="AD10" i="2"/>
  <c r="AJ10" i="2"/>
  <c r="AG10" i="2"/>
  <c r="AA11" i="2"/>
  <c r="AJ36" i="2"/>
  <c r="AD36" i="2"/>
  <c r="AG36" i="2"/>
  <c r="AA37" i="2"/>
  <c r="AD61" i="2"/>
  <c r="AG61" i="2"/>
  <c r="AJ61" i="2"/>
  <c r="AA62" i="2"/>
  <c r="AA88" i="2"/>
  <c r="AG87" i="2"/>
  <c r="AJ87" i="2"/>
  <c r="AD87" i="2"/>
  <c r="AA186" i="2"/>
  <c r="AD186" i="2" s="1"/>
  <c r="C2" i="15"/>
  <c r="H26" i="2"/>
  <c r="H6" i="2"/>
  <c r="H18" i="2"/>
  <c r="H4" i="2"/>
  <c r="H14" i="2"/>
  <c r="H27" i="2"/>
  <c r="H7" i="2"/>
  <c r="H19" i="2"/>
  <c r="H10" i="2"/>
  <c r="H22" i="2"/>
  <c r="H8" i="2"/>
  <c r="H20" i="2"/>
  <c r="H9" i="2"/>
  <c r="H12" i="2"/>
  <c r="H21" i="2"/>
  <c r="H13" i="2"/>
  <c r="H11" i="2"/>
  <c r="H2" i="2"/>
  <c r="H23" i="2"/>
  <c r="H24" i="2"/>
  <c r="H25" i="2"/>
  <c r="H15" i="2"/>
  <c r="H3" i="2"/>
  <c r="H16" i="2"/>
  <c r="H17" i="2"/>
  <c r="H5" i="2"/>
  <c r="M27" i="15"/>
  <c r="K27" i="15"/>
  <c r="M28" i="15"/>
  <c r="AA251" i="2"/>
  <c r="AJ251" i="2" s="1"/>
  <c r="AA252" i="2"/>
  <c r="AJ252" i="2" s="1"/>
  <c r="AA253" i="2"/>
  <c r="AJ253" i="2" s="1"/>
  <c r="AA254" i="2"/>
  <c r="AJ254" i="2" s="1"/>
  <c r="AA255" i="2"/>
  <c r="AJ255" i="2" s="1"/>
  <c r="AA256" i="2"/>
  <c r="AJ256" i="2" s="1"/>
  <c r="AA257" i="2"/>
  <c r="AJ257" i="2" s="1"/>
  <c r="AA258" i="2"/>
  <c r="AJ258" i="2" s="1"/>
  <c r="AA259" i="2"/>
  <c r="AJ259" i="2" s="1"/>
  <c r="AA260" i="2"/>
  <c r="AJ260" i="2" s="1"/>
  <c r="AA261" i="2"/>
  <c r="AJ261" i="2" s="1"/>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98" i="2"/>
  <c r="AD299" i="2"/>
  <c r="AD301" i="2"/>
  <c r="AD303" i="2"/>
  <c r="AD306" i="2"/>
  <c r="AD310" i="2"/>
  <c r="AD311"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88" i="2"/>
  <c r="AG298" i="2"/>
  <c r="AG299" i="2"/>
  <c r="AG303" i="2"/>
  <c r="AG310" i="2"/>
  <c r="AG311"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4" i="2" l="1"/>
  <c r="AG301" i="2"/>
  <c r="AD291" i="2"/>
  <c r="AG306" i="2"/>
  <c r="AG294" i="2"/>
  <c r="AG291" i="2"/>
  <c r="AD292" i="2"/>
  <c r="AG280" i="2"/>
  <c r="AG259" i="2"/>
  <c r="AD293" i="2"/>
  <c r="AG305" i="2"/>
  <c r="AD305" i="2"/>
  <c r="AD304" i="2"/>
  <c r="AG293" i="2"/>
  <c r="AD312" i="2"/>
  <c r="AD288" i="2"/>
  <c r="AG312" i="2"/>
  <c r="AG276" i="2"/>
  <c r="AG275" i="2"/>
  <c r="AD300" i="2"/>
  <c r="AG255" i="2"/>
  <c r="AG300" i="2"/>
  <c r="AG256" i="2"/>
  <c r="AG290" i="2"/>
  <c r="AG289" i="2"/>
  <c r="AD289" i="2"/>
  <c r="AD265" i="2"/>
  <c r="AD256" i="2"/>
  <c r="AD297" i="2"/>
  <c r="AG302" i="2"/>
  <c r="AD309" i="2"/>
  <c r="AG278" i="2"/>
  <c r="AD290" i="2"/>
  <c r="AG297" i="2"/>
  <c r="AG257" i="2"/>
  <c r="AD302" i="2"/>
  <c r="AD257" i="2"/>
  <c r="AG309" i="2"/>
  <c r="AG296" i="2"/>
  <c r="AG308" i="2"/>
  <c r="AG307" i="2"/>
  <c r="AG295" i="2"/>
  <c r="AG268" i="2"/>
  <c r="AD263" i="2"/>
  <c r="AD308" i="2"/>
  <c r="AD296" i="2"/>
  <c r="AG304" i="2"/>
  <c r="AG292" i="2"/>
  <c r="AD307" i="2"/>
  <c r="AD295" i="2"/>
  <c r="AG251" i="2"/>
  <c r="AD251" i="2"/>
  <c r="AG273" i="2"/>
  <c r="AG262" i="2"/>
  <c r="AD252" i="2"/>
  <c r="AG286" i="2"/>
  <c r="AD286" i="2"/>
  <c r="AG285" i="2"/>
  <c r="AD285" i="2"/>
  <c r="AG274" i="2"/>
  <c r="AD262" i="2"/>
  <c r="AD274" i="2"/>
  <c r="AG253" i="2"/>
  <c r="AD273" i="2"/>
  <c r="AG252" i="2"/>
  <c r="AJ186" i="2"/>
  <c r="AG186" i="2"/>
  <c r="AG11" i="2"/>
  <c r="AD11" i="2"/>
  <c r="AJ11" i="2"/>
  <c r="AA12" i="2"/>
  <c r="AJ37" i="2"/>
  <c r="AD37" i="2"/>
  <c r="AG37" i="2"/>
  <c r="AA38" i="2"/>
  <c r="AJ62" i="2"/>
  <c r="AG62" i="2"/>
  <c r="AD62" i="2"/>
  <c r="AA63" i="2"/>
  <c r="AD88" i="2"/>
  <c r="AG88" i="2"/>
  <c r="AJ88" i="2"/>
  <c r="AA89" i="2"/>
  <c r="AA187" i="2"/>
  <c r="AJ187" i="2" s="1"/>
  <c r="AD264" i="2"/>
  <c r="AG272" i="2"/>
  <c r="AG287" i="2"/>
  <c r="AG265" i="2"/>
  <c r="AG264" i="2"/>
  <c r="AD284" i="2"/>
  <c r="AG263" i="2"/>
  <c r="AD275" i="2"/>
  <c r="AG284" i="2"/>
  <c r="AD272" i="2"/>
  <c r="AD253" i="2"/>
  <c r="AG269" i="2"/>
  <c r="AG281" i="2"/>
  <c r="AG267" i="2"/>
  <c r="AG266" i="2"/>
  <c r="AD266" i="2"/>
  <c r="AG279" i="2"/>
  <c r="AG277" i="2"/>
  <c r="AD279" i="2"/>
  <c r="AD278" i="2"/>
  <c r="AD277" i="2"/>
  <c r="AD276" i="2"/>
  <c r="AG258" i="2"/>
  <c r="AD259" i="2"/>
  <c r="AG260" i="2"/>
  <c r="AG254" i="2"/>
  <c r="AD255" i="2"/>
  <c r="AD254" i="2"/>
  <c r="AD258" i="2"/>
  <c r="AD271" i="2"/>
  <c r="AG283" i="2"/>
  <c r="AG271" i="2"/>
  <c r="AD267" i="2"/>
  <c r="AG282" i="2"/>
  <c r="AG270" i="2"/>
  <c r="AG261" i="2"/>
  <c r="AD283" i="2"/>
  <c r="AD282" i="2"/>
  <c r="AD270" i="2"/>
  <c r="AD261" i="2"/>
  <c r="AD281" i="2"/>
  <c r="AD269" i="2"/>
  <c r="AD260" i="2"/>
  <c r="AD280" i="2"/>
  <c r="AD268" i="2"/>
  <c r="AD287" i="2"/>
  <c r="B12" i="2"/>
  <c r="B24" i="2"/>
  <c r="B13" i="2"/>
  <c r="B2" i="2"/>
  <c r="B18" i="2"/>
  <c r="B19" i="2"/>
  <c r="B14" i="2"/>
  <c r="B16" i="2"/>
  <c r="B23" i="2"/>
  <c r="B7" i="2"/>
  <c r="B15" i="2"/>
  <c r="B5" i="2"/>
  <c r="B22" i="2"/>
  <c r="B6" i="2"/>
  <c r="B3" i="2"/>
  <c r="B20" i="2"/>
  <c r="B21" i="2"/>
  <c r="B17" i="2"/>
  <c r="B8" i="2"/>
  <c r="B4" i="2"/>
  <c r="B9" i="2"/>
  <c r="B25" i="2"/>
  <c r="B11" i="2"/>
  <c r="B26" i="2"/>
  <c r="B27" i="2"/>
  <c r="B1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187" i="2" l="1"/>
  <c r="AD187" i="2"/>
  <c r="AD12" i="2"/>
  <c r="AG12" i="2"/>
  <c r="AJ12" i="2"/>
  <c r="AA13" i="2"/>
  <c r="AJ38" i="2"/>
  <c r="AG38" i="2"/>
  <c r="AD38" i="2"/>
  <c r="AA39" i="2"/>
  <c r="AG63" i="2"/>
  <c r="AJ63" i="2"/>
  <c r="AD63" i="2"/>
  <c r="AA64" i="2"/>
  <c r="AG89" i="2"/>
  <c r="AJ89" i="2"/>
  <c r="AD89" i="2"/>
  <c r="AA90" i="2"/>
  <c r="AA188" i="2"/>
  <c r="M10" i="15"/>
  <c r="I10" i="25" s="1"/>
  <c r="K10" i="15"/>
  <c r="AD13" i="2" l="1"/>
  <c r="AJ13" i="2"/>
  <c r="AG13" i="2"/>
  <c r="AA14" i="2"/>
  <c r="AD39" i="2"/>
  <c r="AJ39" i="2"/>
  <c r="AG39" i="2"/>
  <c r="AA40" i="2"/>
  <c r="AG64" i="2"/>
  <c r="AD64" i="2"/>
  <c r="AJ64" i="2"/>
  <c r="AA65" i="2"/>
  <c r="AD90" i="2"/>
  <c r="AG90" i="2"/>
  <c r="AJ90" i="2"/>
  <c r="AA91" i="2"/>
  <c r="AA189" i="2"/>
  <c r="AJ188" i="2"/>
  <c r="AG188" i="2"/>
  <c r="AD188" i="2"/>
  <c r="G10" i="25"/>
  <c r="C10" i="15"/>
  <c r="C10" i="25" s="1"/>
  <c r="K13" i="15"/>
  <c r="G287" i="2"/>
  <c r="G288" i="2"/>
  <c r="G289" i="2"/>
  <c r="G290" i="2"/>
  <c r="G291" i="2"/>
  <c r="G292" i="2"/>
  <c r="G293" i="2"/>
  <c r="G294" i="2"/>
  <c r="G295" i="2"/>
  <c r="G296" i="2"/>
  <c r="G297" i="2"/>
  <c r="G298" i="2"/>
  <c r="E287" i="2"/>
  <c r="E288" i="2"/>
  <c r="E289" i="2"/>
  <c r="E290" i="2"/>
  <c r="E291" i="2"/>
  <c r="E292" i="2"/>
  <c r="E293" i="2"/>
  <c r="E294" i="2"/>
  <c r="E295" i="2"/>
  <c r="E296" i="2"/>
  <c r="E297" i="2"/>
  <c r="E298" i="2"/>
  <c r="D287" i="2"/>
  <c r="D288" i="2"/>
  <c r="D289" i="2"/>
  <c r="D290" i="2"/>
  <c r="D291" i="2"/>
  <c r="D292" i="2"/>
  <c r="D293" i="2"/>
  <c r="D294" i="2"/>
  <c r="D295" i="2"/>
  <c r="D296" i="2"/>
  <c r="D297" i="2"/>
  <c r="D298"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99" i="2"/>
  <c r="G300" i="2"/>
  <c r="E249"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99" i="2"/>
  <c r="D300" i="2"/>
  <c r="E236" i="2"/>
  <c r="E237" i="2"/>
  <c r="E238" i="2"/>
  <c r="E239" i="2"/>
  <c r="E240" i="2"/>
  <c r="E241" i="2"/>
  <c r="E242" i="2"/>
  <c r="E243" i="2"/>
  <c r="E244" i="2"/>
  <c r="E245" i="2"/>
  <c r="E246" i="2"/>
  <c r="E247" i="2"/>
  <c r="E248"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99" i="2"/>
  <c r="E300" i="2"/>
  <c r="AD14" i="2" l="1"/>
  <c r="AJ14" i="2"/>
  <c r="AG14" i="2"/>
  <c r="AA15" i="2"/>
  <c r="AG40" i="2"/>
  <c r="AD40" i="2"/>
  <c r="AJ40" i="2"/>
  <c r="AA41" i="2"/>
  <c r="AG65" i="2"/>
  <c r="AD65" i="2"/>
  <c r="AJ65" i="2"/>
  <c r="AA66" i="2"/>
  <c r="AA92" i="2"/>
  <c r="AG91" i="2"/>
  <c r="AJ91" i="2"/>
  <c r="AD91" i="2"/>
  <c r="AG189" i="2"/>
  <c r="AJ189" i="2"/>
  <c r="AD189" i="2"/>
  <c r="AA190" i="2"/>
  <c r="F105" i="2"/>
  <c r="F90" i="2"/>
  <c r="F100" i="2"/>
  <c r="F91" i="2"/>
  <c r="F80" i="2"/>
  <c r="F94" i="2"/>
  <c r="F83" i="2"/>
  <c r="F101" i="2"/>
  <c r="F92" i="2"/>
  <c r="F99" i="2"/>
  <c r="F81" i="2"/>
  <c r="F86" i="2"/>
  <c r="F93" i="2"/>
  <c r="F84" i="2"/>
  <c r="F85" i="2"/>
  <c r="F95" i="2"/>
  <c r="F96" i="2"/>
  <c r="F97" i="2"/>
  <c r="F98" i="2"/>
  <c r="F102" i="2"/>
  <c r="F103" i="2"/>
  <c r="F87" i="2"/>
  <c r="F104" i="2"/>
  <c r="F88" i="2"/>
  <c r="F89" i="2"/>
  <c r="F82" i="2"/>
  <c r="K5" i="15"/>
  <c r="K9" i="15"/>
  <c r="K6" i="15"/>
  <c r="K12" i="15"/>
  <c r="AG15" i="2" l="1"/>
  <c r="AD15" i="2"/>
  <c r="AJ15" i="2"/>
  <c r="AA16" i="2"/>
  <c r="AJ41" i="2"/>
  <c r="AG41" i="2"/>
  <c r="AD41" i="2"/>
  <c r="AA42" i="2"/>
  <c r="AJ66" i="2"/>
  <c r="AG66" i="2"/>
  <c r="AD66" i="2"/>
  <c r="AA67" i="2"/>
  <c r="AD92" i="2"/>
  <c r="AJ92" i="2"/>
  <c r="AG92" i="2"/>
  <c r="AA93" i="2"/>
  <c r="AJ190" i="2"/>
  <c r="AG190" i="2"/>
  <c r="AD190" i="2"/>
  <c r="AA191" i="2"/>
  <c r="F69" i="2"/>
  <c r="F77" i="2"/>
  <c r="F58" i="2"/>
  <c r="F70" i="2"/>
  <c r="F56" i="2"/>
  <c r="F61" i="2"/>
  <c r="F76" i="2"/>
  <c r="F59" i="2"/>
  <c r="F71" i="2"/>
  <c r="F73" i="2"/>
  <c r="F63" i="2"/>
  <c r="F64" i="2"/>
  <c r="F60" i="2"/>
  <c r="F72" i="2"/>
  <c r="F62" i="2"/>
  <c r="F74" i="2"/>
  <c r="F54" i="2"/>
  <c r="F57" i="2"/>
  <c r="F75" i="2"/>
  <c r="F65" i="2"/>
  <c r="F78" i="2"/>
  <c r="F79" i="2"/>
  <c r="F66" i="2"/>
  <c r="F55" i="2"/>
  <c r="F67" i="2"/>
  <c r="F68" i="2"/>
  <c r="F43" i="2"/>
  <c r="F28" i="2"/>
  <c r="F31" i="2"/>
  <c r="F50" i="2"/>
  <c r="F32" i="2"/>
  <c r="F44" i="2"/>
  <c r="F35" i="2"/>
  <c r="F49" i="2"/>
  <c r="F33" i="2"/>
  <c r="F45" i="2"/>
  <c r="F47" i="2"/>
  <c r="F29" i="2"/>
  <c r="F39" i="2"/>
  <c r="F34" i="2"/>
  <c r="F46" i="2"/>
  <c r="F37" i="2"/>
  <c r="F38" i="2"/>
  <c r="F30" i="2"/>
  <c r="F36" i="2"/>
  <c r="F48" i="2"/>
  <c r="F51" i="2"/>
  <c r="F40" i="2"/>
  <c r="F41" i="2"/>
  <c r="F42" i="2"/>
  <c r="F52" i="2"/>
  <c r="F53" i="2"/>
  <c r="M12" i="15"/>
  <c r="K8" i="15"/>
  <c r="AG16" i="2" l="1"/>
  <c r="AD16" i="2"/>
  <c r="AJ16" i="2"/>
  <c r="AA17" i="2"/>
  <c r="AJ42" i="2"/>
  <c r="AG42" i="2"/>
  <c r="AD42" i="2"/>
  <c r="AA43" i="2"/>
  <c r="AD67" i="2"/>
  <c r="AG67" i="2"/>
  <c r="AJ67" i="2"/>
  <c r="AA68" i="2"/>
  <c r="AJ93" i="2"/>
  <c r="AD93" i="2"/>
  <c r="AG93" i="2"/>
  <c r="AA94" i="2"/>
  <c r="AA192" i="2"/>
  <c r="AJ191" i="2"/>
  <c r="AG191" i="2"/>
  <c r="AD191" i="2"/>
  <c r="H59" i="2"/>
  <c r="H71" i="2"/>
  <c r="H75" i="2"/>
  <c r="H60" i="2"/>
  <c r="H72" i="2"/>
  <c r="H77" i="2"/>
  <c r="H79" i="2"/>
  <c r="H61" i="2"/>
  <c r="H73" i="2"/>
  <c r="H57" i="2"/>
  <c r="H62" i="2"/>
  <c r="H74" i="2"/>
  <c r="H56" i="2"/>
  <c r="H63" i="2"/>
  <c r="H65" i="2"/>
  <c r="H78" i="2"/>
  <c r="H64" i="2"/>
  <c r="H76" i="2"/>
  <c r="H66" i="2"/>
  <c r="H54" i="2"/>
  <c r="H67" i="2"/>
  <c r="H58" i="2"/>
  <c r="H55" i="2"/>
  <c r="H68" i="2"/>
  <c r="H69" i="2"/>
  <c r="H70" i="2"/>
  <c r="C12" i="15"/>
  <c r="C12" i="25"/>
  <c r="C3" i="25"/>
  <c r="X22" i="16"/>
  <c r="D313" i="2"/>
  <c r="D314" i="2"/>
  <c r="D315"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68" i="2"/>
  <c r="D369" i="2"/>
  <c r="D370" i="2"/>
  <c r="D371" i="2"/>
  <c r="D372" i="2"/>
  <c r="D373" i="2"/>
  <c r="D378" i="2"/>
  <c r="D379" i="2"/>
  <c r="D380"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G313" i="2"/>
  <c r="G314" i="2"/>
  <c r="G315" i="2"/>
  <c r="G319" i="2"/>
  <c r="G320" i="2"/>
  <c r="G321" i="2"/>
  <c r="G322" i="2"/>
  <c r="G323" i="2"/>
  <c r="G324" i="2"/>
  <c r="G325" i="2"/>
  <c r="G326" i="2"/>
  <c r="G327" i="2"/>
  <c r="G328" i="2"/>
  <c r="G329" i="2"/>
  <c r="G330" i="2"/>
  <c r="G331" i="2"/>
  <c r="G332" i="2"/>
  <c r="G333" i="2"/>
  <c r="G334" i="2"/>
  <c r="G335" i="2"/>
  <c r="G336" i="2"/>
  <c r="G337" i="2"/>
  <c r="G338" i="2"/>
  <c r="E313" i="2"/>
  <c r="E314" i="2"/>
  <c r="E315" i="2"/>
  <c r="E319" i="2"/>
  <c r="E320" i="2"/>
  <c r="E321" i="2"/>
  <c r="E322" i="2"/>
  <c r="E323" i="2"/>
  <c r="E324" i="2"/>
  <c r="E325" i="2"/>
  <c r="E326" i="2"/>
  <c r="E327" i="2"/>
  <c r="E328" i="2"/>
  <c r="E329" i="2"/>
  <c r="E330" i="2"/>
  <c r="E331" i="2"/>
  <c r="E332" i="2"/>
  <c r="E333" i="2"/>
  <c r="E334" i="2"/>
  <c r="E335" i="2"/>
  <c r="E336" i="2"/>
  <c r="E337" i="2"/>
  <c r="E338" i="2"/>
  <c r="D54" i="5"/>
  <c r="AA361" i="2"/>
  <c r="AA360" i="2"/>
  <c r="AA359" i="2"/>
  <c r="AA358" i="2"/>
  <c r="AA357" i="2"/>
  <c r="AA356" i="2"/>
  <c r="AA339" i="2"/>
  <c r="AA340" i="2"/>
  <c r="AA341" i="2"/>
  <c r="AA342" i="2"/>
  <c r="AA343" i="2"/>
  <c r="AA344" i="2"/>
  <c r="AA345" i="2"/>
  <c r="AA346" i="2"/>
  <c r="AA347" i="2"/>
  <c r="AA348" i="2"/>
  <c r="AA349" i="2"/>
  <c r="AA350" i="2"/>
  <c r="AA351" i="2"/>
  <c r="AA352" i="2"/>
  <c r="AA353" i="2"/>
  <c r="AA354" i="2"/>
  <c r="AA355"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D37" i="5"/>
  <c r="D19" i="5"/>
  <c r="G301" i="2"/>
  <c r="G302" i="2"/>
  <c r="G303" i="2"/>
  <c r="G307" i="2"/>
  <c r="G308" i="2"/>
  <c r="G309" i="2"/>
  <c r="G339" i="2"/>
  <c r="G340" i="2"/>
  <c r="G341" i="2"/>
  <c r="G342" i="2"/>
  <c r="G343" i="2"/>
  <c r="G344" i="2"/>
  <c r="G345" i="2"/>
  <c r="G346" i="2"/>
  <c r="G347" i="2"/>
  <c r="G348" i="2"/>
  <c r="G349" i="2"/>
  <c r="G350" i="2"/>
  <c r="G351" i="2"/>
  <c r="G352" i="2"/>
  <c r="G353" i="2"/>
  <c r="G354" i="2"/>
  <c r="G355" i="2"/>
  <c r="G368" i="2"/>
  <c r="G369" i="2"/>
  <c r="G370" i="2"/>
  <c r="G371" i="2"/>
  <c r="G372" i="2"/>
  <c r="G373" i="2"/>
  <c r="G378" i="2"/>
  <c r="G379" i="2"/>
  <c r="G380"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E301" i="2"/>
  <c r="E302" i="2"/>
  <c r="E303" i="2"/>
  <c r="E307" i="2"/>
  <c r="E308" i="2"/>
  <c r="E309" i="2"/>
  <c r="E339" i="2"/>
  <c r="E340" i="2"/>
  <c r="E341" i="2"/>
  <c r="E342" i="2"/>
  <c r="E343" i="2"/>
  <c r="E344" i="2"/>
  <c r="E345" i="2"/>
  <c r="E346" i="2"/>
  <c r="E347" i="2"/>
  <c r="E348" i="2"/>
  <c r="E349" i="2"/>
  <c r="E350" i="2"/>
  <c r="E351" i="2"/>
  <c r="E352" i="2"/>
  <c r="E353" i="2"/>
  <c r="E354" i="2"/>
  <c r="E355" i="2"/>
  <c r="E368" i="2"/>
  <c r="E369" i="2"/>
  <c r="E370" i="2"/>
  <c r="E371" i="2"/>
  <c r="E372" i="2"/>
  <c r="E373" i="2"/>
  <c r="E378" i="2"/>
  <c r="E379" i="2"/>
  <c r="E380"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D301" i="2"/>
  <c r="D302" i="2"/>
  <c r="D303" i="2"/>
  <c r="D307" i="2"/>
  <c r="D308" i="2"/>
  <c r="D309"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J418" i="2" l="1"/>
  <c r="AD418" i="2"/>
  <c r="AG418" i="2"/>
  <c r="AJ382" i="2"/>
  <c r="AD382" i="2"/>
  <c r="AG382" i="2"/>
  <c r="AJ340" i="2"/>
  <c r="AG340" i="2"/>
  <c r="AD340" i="2"/>
  <c r="AJ465" i="2"/>
  <c r="AD465" i="2"/>
  <c r="AG465" i="2"/>
  <c r="AJ429" i="2"/>
  <c r="AG429" i="2"/>
  <c r="AD429" i="2"/>
  <c r="AJ351" i="2"/>
  <c r="AD351" i="2"/>
  <c r="AG351" i="2"/>
  <c r="AJ463" i="2"/>
  <c r="AD463" i="2"/>
  <c r="AG463" i="2"/>
  <c r="AJ451" i="2"/>
  <c r="AD451" i="2"/>
  <c r="AG451" i="2"/>
  <c r="AJ439" i="2"/>
  <c r="AD439" i="2"/>
  <c r="AG439" i="2"/>
  <c r="AJ427" i="2"/>
  <c r="AD427" i="2"/>
  <c r="AG427" i="2"/>
  <c r="AJ415" i="2"/>
  <c r="AD415" i="2"/>
  <c r="AG415" i="2"/>
  <c r="AJ403" i="2"/>
  <c r="AD403" i="2"/>
  <c r="AG403" i="2"/>
  <c r="AJ391" i="2"/>
  <c r="AD391" i="2"/>
  <c r="AG391" i="2"/>
  <c r="AJ379" i="2"/>
  <c r="AD379" i="2"/>
  <c r="AG379" i="2"/>
  <c r="AJ367" i="2"/>
  <c r="AD367" i="2"/>
  <c r="AG367" i="2"/>
  <c r="AJ349" i="2"/>
  <c r="AD349" i="2"/>
  <c r="AG349" i="2"/>
  <c r="AJ357" i="2"/>
  <c r="AG357" i="2"/>
  <c r="AD357" i="2"/>
  <c r="AJ442" i="2"/>
  <c r="AD442" i="2"/>
  <c r="AG442" i="2"/>
  <c r="AJ453" i="2"/>
  <c r="AG453" i="2"/>
  <c r="AD453" i="2"/>
  <c r="AJ417" i="2"/>
  <c r="AG417" i="2"/>
  <c r="AD417" i="2"/>
  <c r="AJ393" i="2"/>
  <c r="AD393" i="2"/>
  <c r="AG393" i="2"/>
  <c r="AJ381" i="2"/>
  <c r="AD381" i="2"/>
  <c r="AG381" i="2"/>
  <c r="AJ339" i="2"/>
  <c r="AD339" i="2"/>
  <c r="AG339" i="2"/>
  <c r="AJ474" i="2"/>
  <c r="AD474" i="2"/>
  <c r="AG474" i="2"/>
  <c r="AJ462" i="2"/>
  <c r="AG462" i="2"/>
  <c r="AD462" i="2"/>
  <c r="AJ450" i="2"/>
  <c r="AG450" i="2"/>
  <c r="AD450" i="2"/>
  <c r="AJ438" i="2"/>
  <c r="AD438" i="2"/>
  <c r="AG438" i="2"/>
  <c r="AJ426" i="2"/>
  <c r="AG426" i="2"/>
  <c r="AD426" i="2"/>
  <c r="AJ414" i="2"/>
  <c r="AG414" i="2"/>
  <c r="AD414" i="2"/>
  <c r="AJ402" i="2"/>
  <c r="AG402" i="2"/>
  <c r="AD402" i="2"/>
  <c r="AJ390" i="2"/>
  <c r="AD390" i="2"/>
  <c r="AG390" i="2"/>
  <c r="AJ378" i="2"/>
  <c r="AG378" i="2"/>
  <c r="AD378" i="2"/>
  <c r="AJ366" i="2"/>
  <c r="AG366" i="2"/>
  <c r="AD366" i="2"/>
  <c r="AJ348" i="2"/>
  <c r="AD348" i="2"/>
  <c r="AG348" i="2"/>
  <c r="AJ358" i="2"/>
  <c r="AD358" i="2"/>
  <c r="AG358" i="2"/>
  <c r="AJ430" i="2"/>
  <c r="AG430" i="2"/>
  <c r="AD430" i="2"/>
  <c r="AJ473" i="2"/>
  <c r="AG473" i="2"/>
  <c r="AD473" i="2"/>
  <c r="AJ461" i="2"/>
  <c r="AG461" i="2"/>
  <c r="AD461" i="2"/>
  <c r="AJ449" i="2"/>
  <c r="AG449" i="2"/>
  <c r="AD449" i="2"/>
  <c r="AJ437" i="2"/>
  <c r="AG437" i="2"/>
  <c r="AD437" i="2"/>
  <c r="AJ425" i="2"/>
  <c r="AG425" i="2"/>
  <c r="AD425" i="2"/>
  <c r="AJ413" i="2"/>
  <c r="AG413" i="2"/>
  <c r="AD413" i="2"/>
  <c r="AJ401" i="2"/>
  <c r="AG401" i="2"/>
  <c r="AD401" i="2"/>
  <c r="AJ389" i="2"/>
  <c r="AG389" i="2"/>
  <c r="AD389" i="2"/>
  <c r="AJ377" i="2"/>
  <c r="AG377" i="2"/>
  <c r="AD377" i="2"/>
  <c r="AJ365" i="2"/>
  <c r="AG365" i="2"/>
  <c r="AD365" i="2"/>
  <c r="AJ347" i="2"/>
  <c r="AD347" i="2"/>
  <c r="AG347" i="2"/>
  <c r="AJ359" i="2"/>
  <c r="AD359" i="2"/>
  <c r="AG359" i="2"/>
  <c r="AJ454" i="2"/>
  <c r="AD454" i="2"/>
  <c r="AG454" i="2"/>
  <c r="AJ406" i="2"/>
  <c r="AG406" i="2"/>
  <c r="AD406" i="2"/>
  <c r="AJ370" i="2"/>
  <c r="AG370" i="2"/>
  <c r="AD370" i="2"/>
  <c r="AJ472" i="2"/>
  <c r="AG472" i="2"/>
  <c r="AD472" i="2"/>
  <c r="AJ460" i="2"/>
  <c r="AG460" i="2"/>
  <c r="AD460" i="2"/>
  <c r="AJ448" i="2"/>
  <c r="AG448" i="2"/>
  <c r="AD448" i="2"/>
  <c r="AJ436" i="2"/>
  <c r="AG436" i="2"/>
  <c r="AD436" i="2"/>
  <c r="AJ424" i="2"/>
  <c r="AG424" i="2"/>
  <c r="AD424" i="2"/>
  <c r="AJ412" i="2"/>
  <c r="AG412" i="2"/>
  <c r="AD412" i="2"/>
  <c r="AJ400" i="2"/>
  <c r="AG400" i="2"/>
  <c r="AD400" i="2"/>
  <c r="AJ388" i="2"/>
  <c r="AG388" i="2"/>
  <c r="AD388" i="2"/>
  <c r="AJ376" i="2"/>
  <c r="AG376" i="2"/>
  <c r="AD376" i="2"/>
  <c r="AJ364" i="2"/>
  <c r="AG364" i="2"/>
  <c r="AD364" i="2"/>
  <c r="AJ346" i="2"/>
  <c r="AG346" i="2"/>
  <c r="AD346" i="2"/>
  <c r="AJ360" i="2"/>
  <c r="AG360" i="2"/>
  <c r="AD360" i="2"/>
  <c r="AJ471" i="2"/>
  <c r="AD471" i="2"/>
  <c r="AG471" i="2"/>
  <c r="AJ459" i="2"/>
  <c r="AD459" i="2"/>
  <c r="AG459" i="2"/>
  <c r="AJ447" i="2"/>
  <c r="AD447" i="2"/>
  <c r="AG447" i="2"/>
  <c r="AJ435" i="2"/>
  <c r="AD435" i="2"/>
  <c r="AG435" i="2"/>
  <c r="AJ423" i="2"/>
  <c r="AD423" i="2"/>
  <c r="AG423" i="2"/>
  <c r="AJ411" i="2"/>
  <c r="AD411" i="2"/>
  <c r="AG411" i="2"/>
  <c r="AJ399" i="2"/>
  <c r="AD399" i="2"/>
  <c r="AG399" i="2"/>
  <c r="AJ387" i="2"/>
  <c r="AD387" i="2"/>
  <c r="AG387" i="2"/>
  <c r="AJ375" i="2"/>
  <c r="AD375" i="2"/>
  <c r="AG375" i="2"/>
  <c r="AJ363" i="2"/>
  <c r="AD363" i="2"/>
  <c r="AG363" i="2"/>
  <c r="AJ345" i="2"/>
  <c r="AD345" i="2"/>
  <c r="AG345" i="2"/>
  <c r="AJ361" i="2"/>
  <c r="AD361" i="2"/>
  <c r="AG361" i="2"/>
  <c r="AJ458" i="2"/>
  <c r="AD458" i="2"/>
  <c r="AG458" i="2"/>
  <c r="AJ434" i="2"/>
  <c r="AD434" i="2"/>
  <c r="AG434" i="2"/>
  <c r="AJ410" i="2"/>
  <c r="AD410" i="2"/>
  <c r="AG410" i="2"/>
  <c r="AJ374" i="2"/>
  <c r="AD374" i="2"/>
  <c r="AG374" i="2"/>
  <c r="AJ469" i="2"/>
  <c r="AG469" i="2"/>
  <c r="AD469" i="2"/>
  <c r="AJ445" i="2"/>
  <c r="AG445" i="2"/>
  <c r="AD445" i="2"/>
  <c r="AJ421" i="2"/>
  <c r="AD421" i="2"/>
  <c r="AG421" i="2"/>
  <c r="AJ397" i="2"/>
  <c r="AD397" i="2"/>
  <c r="AG397" i="2"/>
  <c r="AJ355" i="2"/>
  <c r="AD355" i="2"/>
  <c r="AG355" i="2"/>
  <c r="AJ468" i="2"/>
  <c r="AD468" i="2"/>
  <c r="AG468" i="2"/>
  <c r="AJ456" i="2"/>
  <c r="AG456" i="2"/>
  <c r="AD456" i="2"/>
  <c r="AJ444" i="2"/>
  <c r="AD444" i="2"/>
  <c r="AG444" i="2"/>
  <c r="AJ432" i="2"/>
  <c r="AD432" i="2"/>
  <c r="AG432" i="2"/>
  <c r="AJ420" i="2"/>
  <c r="AD420" i="2"/>
  <c r="AG420" i="2"/>
  <c r="AJ408" i="2"/>
  <c r="AD408" i="2"/>
  <c r="AG408" i="2"/>
  <c r="AJ396" i="2"/>
  <c r="AG396" i="2"/>
  <c r="AD396" i="2"/>
  <c r="AJ384" i="2"/>
  <c r="AD384" i="2"/>
  <c r="AG384" i="2"/>
  <c r="AJ372" i="2"/>
  <c r="AD372" i="2"/>
  <c r="AG372" i="2"/>
  <c r="AJ354" i="2"/>
  <c r="AG354" i="2"/>
  <c r="AD354" i="2"/>
  <c r="AJ342" i="2"/>
  <c r="AG342" i="2"/>
  <c r="AD342" i="2"/>
  <c r="AJ470" i="2"/>
  <c r="AD470" i="2"/>
  <c r="AG470" i="2"/>
  <c r="AJ446" i="2"/>
  <c r="AD446" i="2"/>
  <c r="AG446" i="2"/>
  <c r="AJ422" i="2"/>
  <c r="AD422" i="2"/>
  <c r="AG422" i="2"/>
  <c r="AJ398" i="2"/>
  <c r="AD398" i="2"/>
  <c r="AG398" i="2"/>
  <c r="AJ386" i="2"/>
  <c r="AD386" i="2"/>
  <c r="AG386" i="2"/>
  <c r="AJ362" i="2"/>
  <c r="AD362" i="2"/>
  <c r="AG362" i="2"/>
  <c r="AJ344" i="2"/>
  <c r="AD344" i="2"/>
  <c r="AG344" i="2"/>
  <c r="AJ457" i="2"/>
  <c r="AD457" i="2"/>
  <c r="AG457" i="2"/>
  <c r="AJ433" i="2"/>
  <c r="AD433" i="2"/>
  <c r="AG433" i="2"/>
  <c r="AJ409" i="2"/>
  <c r="AG409" i="2"/>
  <c r="AD409" i="2"/>
  <c r="AJ385" i="2"/>
  <c r="AG385" i="2"/>
  <c r="AD385" i="2"/>
  <c r="AJ373" i="2"/>
  <c r="AD373" i="2"/>
  <c r="AG373" i="2"/>
  <c r="AJ343" i="2"/>
  <c r="AD343" i="2"/>
  <c r="AG343" i="2"/>
  <c r="AJ467" i="2"/>
  <c r="AD467" i="2"/>
  <c r="AG467" i="2"/>
  <c r="AJ455" i="2"/>
  <c r="AD455" i="2"/>
  <c r="AG455" i="2"/>
  <c r="AJ443" i="2"/>
  <c r="AD443" i="2"/>
  <c r="AG443" i="2"/>
  <c r="AJ431" i="2"/>
  <c r="AD431" i="2"/>
  <c r="AG431" i="2"/>
  <c r="AJ419" i="2"/>
  <c r="AD419" i="2"/>
  <c r="AG419" i="2"/>
  <c r="AJ407" i="2"/>
  <c r="AD407" i="2"/>
  <c r="AG407" i="2"/>
  <c r="AJ395" i="2"/>
  <c r="AD395" i="2"/>
  <c r="AG395" i="2"/>
  <c r="AJ383" i="2"/>
  <c r="AD383" i="2"/>
  <c r="AG383" i="2"/>
  <c r="AJ371" i="2"/>
  <c r="AD371" i="2"/>
  <c r="AG371" i="2"/>
  <c r="AJ353" i="2"/>
  <c r="AG353" i="2"/>
  <c r="AD353" i="2"/>
  <c r="AJ341" i="2"/>
  <c r="AG341" i="2"/>
  <c r="AD341" i="2"/>
  <c r="AJ466" i="2"/>
  <c r="AD466" i="2"/>
  <c r="AG466" i="2"/>
  <c r="AJ394" i="2"/>
  <c r="AD394" i="2"/>
  <c r="AG394" i="2"/>
  <c r="AJ352" i="2"/>
  <c r="AG352" i="2"/>
  <c r="AD352" i="2"/>
  <c r="AJ441" i="2"/>
  <c r="AG441" i="2"/>
  <c r="AD441" i="2"/>
  <c r="AJ405" i="2"/>
  <c r="AD405" i="2"/>
  <c r="AG405" i="2"/>
  <c r="AJ369" i="2"/>
  <c r="AG369" i="2"/>
  <c r="AD369" i="2"/>
  <c r="AJ464" i="2"/>
  <c r="AD464" i="2"/>
  <c r="AG464" i="2"/>
  <c r="AJ452" i="2"/>
  <c r="AD452" i="2"/>
  <c r="AG452" i="2"/>
  <c r="AJ440" i="2"/>
  <c r="AD440" i="2"/>
  <c r="AG440" i="2"/>
  <c r="AJ428" i="2"/>
  <c r="AD428" i="2"/>
  <c r="AG428" i="2"/>
  <c r="AJ416" i="2"/>
  <c r="AD416" i="2"/>
  <c r="AG416" i="2"/>
  <c r="AJ404" i="2"/>
  <c r="AD404" i="2"/>
  <c r="AG404" i="2"/>
  <c r="AJ392" i="2"/>
  <c r="AD392" i="2"/>
  <c r="AG392" i="2"/>
  <c r="AJ380" i="2"/>
  <c r="AD380" i="2"/>
  <c r="AG380" i="2"/>
  <c r="AJ368" i="2"/>
  <c r="AD368" i="2"/>
  <c r="AG368" i="2"/>
  <c r="AJ350" i="2"/>
  <c r="AD350" i="2"/>
  <c r="AG350" i="2"/>
  <c r="AJ356" i="2"/>
  <c r="AD356" i="2"/>
  <c r="AG356" i="2"/>
  <c r="AD17" i="2"/>
  <c r="AJ17" i="2"/>
  <c r="AG17" i="2"/>
  <c r="AA18" i="2"/>
  <c r="AG43" i="2"/>
  <c r="AJ43" i="2"/>
  <c r="AD43" i="2"/>
  <c r="AA44" i="2"/>
  <c r="AJ68" i="2"/>
  <c r="AG68" i="2"/>
  <c r="AD68" i="2"/>
  <c r="AA69" i="2"/>
  <c r="AD94" i="2"/>
  <c r="AG94" i="2"/>
  <c r="AJ94" i="2"/>
  <c r="AA95" i="2"/>
  <c r="AJ192" i="2"/>
  <c r="AG192" i="2"/>
  <c r="AD192" i="2"/>
  <c r="AA193" i="2"/>
  <c r="X13" i="16"/>
  <c r="B67" i="2"/>
  <c r="B79" i="2"/>
  <c r="B59" i="2"/>
  <c r="B62" i="2"/>
  <c r="B68" i="2"/>
  <c r="B61" i="2"/>
  <c r="B55" i="2"/>
  <c r="B63" i="2"/>
  <c r="B69" i="2"/>
  <c r="B54" i="2"/>
  <c r="B57" i="2"/>
  <c r="B75" i="2"/>
  <c r="B58" i="2"/>
  <c r="B70" i="2"/>
  <c r="B71" i="2"/>
  <c r="B73" i="2"/>
  <c r="B74" i="2"/>
  <c r="B60" i="2"/>
  <c r="B72" i="2"/>
  <c r="B64" i="2"/>
  <c r="B65" i="2"/>
  <c r="B66" i="2"/>
  <c r="B76" i="2"/>
  <c r="B77" i="2"/>
  <c r="B78" i="2"/>
  <c r="B56"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76" i="2"/>
  <c r="E374" i="2"/>
  <c r="D377" i="2"/>
  <c r="E375" i="2"/>
  <c r="G374" i="2"/>
  <c r="E376" i="2"/>
  <c r="G375" i="2"/>
  <c r="E377" i="2"/>
  <c r="D381" i="2"/>
  <c r="G377" i="2"/>
  <c r="G381" i="2"/>
  <c r="G376" i="2"/>
  <c r="E381" i="2"/>
  <c r="D374" i="2"/>
  <c r="D375" i="2"/>
  <c r="D317" i="2"/>
  <c r="G304" i="2"/>
  <c r="E304" i="2"/>
  <c r="D304" i="2"/>
  <c r="G317" i="2"/>
  <c r="E317" i="2"/>
  <c r="G310" i="2"/>
  <c r="E310" i="2"/>
  <c r="D310" i="2"/>
  <c r="P4" i="16"/>
  <c r="X4" i="16"/>
  <c r="M7" i="15"/>
  <c r="M8" i="15"/>
  <c r="C8" i="15" s="1"/>
  <c r="C8" i="25" s="1"/>
  <c r="D362" i="2"/>
  <c r="E318" i="2"/>
  <c r="D363" i="2"/>
  <c r="D316" i="2"/>
  <c r="D364" i="2"/>
  <c r="D365" i="2"/>
  <c r="D318" i="2"/>
  <c r="D366" i="2"/>
  <c r="D367" i="2"/>
  <c r="D359" i="2"/>
  <c r="D356" i="2"/>
  <c r="D357" i="2"/>
  <c r="D358" i="2"/>
  <c r="G316" i="2"/>
  <c r="D311" i="2"/>
  <c r="D312" i="2"/>
  <c r="D360" i="2"/>
  <c r="G318" i="2"/>
  <c r="E316" i="2"/>
  <c r="D361"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11" i="2"/>
  <c r="G361" i="2"/>
  <c r="E357" i="2"/>
  <c r="E359" i="2"/>
  <c r="D305" i="2"/>
  <c r="E360" i="2"/>
  <c r="D306" i="2"/>
  <c r="G312" i="2"/>
  <c r="G362" i="2"/>
  <c r="E358" i="2"/>
  <c r="G363" i="2"/>
  <c r="G364" i="2"/>
  <c r="G365" i="2"/>
  <c r="E311" i="2"/>
  <c r="E361" i="2"/>
  <c r="G366" i="2"/>
  <c r="E312" i="2"/>
  <c r="E362" i="2"/>
  <c r="G305" i="2"/>
  <c r="G367" i="2"/>
  <c r="E363" i="2"/>
  <c r="G306" i="2"/>
  <c r="G356" i="2"/>
  <c r="E364" i="2"/>
  <c r="E365" i="2"/>
  <c r="G357" i="2"/>
  <c r="G358" i="2"/>
  <c r="E366" i="2"/>
  <c r="G359" i="2"/>
  <c r="E305" i="2"/>
  <c r="E367" i="2"/>
  <c r="G360" i="2"/>
  <c r="E306" i="2"/>
  <c r="E356"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18" i="2" l="1"/>
  <c r="AG18" i="2"/>
  <c r="AJ18" i="2"/>
  <c r="AA19" i="2"/>
  <c r="AJ44" i="2"/>
  <c r="AG44" i="2"/>
  <c r="AD44" i="2"/>
  <c r="AA45" i="2"/>
  <c r="AD69" i="2"/>
  <c r="AJ69" i="2"/>
  <c r="AG69" i="2"/>
  <c r="AA70" i="2"/>
  <c r="AG95" i="2"/>
  <c r="AD95" i="2"/>
  <c r="AJ95" i="2"/>
  <c r="AA96" i="2"/>
  <c r="AJ193" i="2"/>
  <c r="AG193" i="2"/>
  <c r="AD193" i="2"/>
  <c r="AA194" i="2"/>
  <c r="H87" i="2"/>
  <c r="H102" i="2"/>
  <c r="H94" i="2"/>
  <c r="H99" i="2"/>
  <c r="H88" i="2"/>
  <c r="H82" i="2"/>
  <c r="H93" i="2"/>
  <c r="H83" i="2"/>
  <c r="H100" i="2"/>
  <c r="H89" i="2"/>
  <c r="H91" i="2"/>
  <c r="H105" i="2"/>
  <c r="H101" i="2"/>
  <c r="H90" i="2"/>
  <c r="H80" i="2"/>
  <c r="H103" i="2"/>
  <c r="H92" i="2"/>
  <c r="H104" i="2"/>
  <c r="H95" i="2"/>
  <c r="H81" i="2"/>
  <c r="H84" i="2"/>
  <c r="H85" i="2"/>
  <c r="H86" i="2"/>
  <c r="H96" i="2"/>
  <c r="H97" i="2"/>
  <c r="H98" i="2"/>
  <c r="F139" i="2"/>
  <c r="F151" i="2"/>
  <c r="F140" i="2"/>
  <c r="F152" i="2"/>
  <c r="F143" i="2"/>
  <c r="F148" i="2"/>
  <c r="F141" i="2"/>
  <c r="F153" i="2"/>
  <c r="F157" i="2"/>
  <c r="F154" i="2"/>
  <c r="F142" i="2"/>
  <c r="F155" i="2"/>
  <c r="F136" i="2"/>
  <c r="F156" i="2"/>
  <c r="F144" i="2"/>
  <c r="F145" i="2"/>
  <c r="F146" i="2"/>
  <c r="F147" i="2"/>
  <c r="F149" i="2"/>
  <c r="F150" i="2"/>
  <c r="F137" i="2"/>
  <c r="F138" i="2"/>
  <c r="H163" i="2"/>
  <c r="H175" i="2"/>
  <c r="H170" i="2"/>
  <c r="H164" i="2"/>
  <c r="H176" i="2"/>
  <c r="H183" i="2"/>
  <c r="H165" i="2"/>
  <c r="H177" i="2"/>
  <c r="H166" i="2"/>
  <c r="H178" i="2"/>
  <c r="H167" i="2"/>
  <c r="H179" i="2"/>
  <c r="H182" i="2"/>
  <c r="H168" i="2"/>
  <c r="H180" i="2"/>
  <c r="H169" i="2"/>
  <c r="H181" i="2"/>
  <c r="H172" i="2"/>
  <c r="H171" i="2"/>
  <c r="H173" i="2"/>
  <c r="H174" i="2"/>
  <c r="H162" i="2"/>
  <c r="H145" i="2"/>
  <c r="H146" i="2"/>
  <c r="H151" i="2"/>
  <c r="H152" i="2"/>
  <c r="H147" i="2"/>
  <c r="H149" i="2"/>
  <c r="H154" i="2"/>
  <c r="H140" i="2"/>
  <c r="H136" i="2"/>
  <c r="H148" i="2"/>
  <c r="H137" i="2"/>
  <c r="H139" i="2"/>
  <c r="H138" i="2"/>
  <c r="H150" i="2"/>
  <c r="H156" i="2"/>
  <c r="H155" i="2"/>
  <c r="H141" i="2"/>
  <c r="H153" i="2"/>
  <c r="H142" i="2"/>
  <c r="H143" i="2"/>
  <c r="H157" i="2"/>
  <c r="H144" i="2"/>
  <c r="F113" i="2"/>
  <c r="F128" i="2"/>
  <c r="F122" i="2"/>
  <c r="F114" i="2"/>
  <c r="F125" i="2"/>
  <c r="F120" i="2"/>
  <c r="F123" i="2"/>
  <c r="F115" i="2"/>
  <c r="F127" i="2"/>
  <c r="F124" i="2"/>
  <c r="F116" i="2"/>
  <c r="F117" i="2"/>
  <c r="F126" i="2"/>
  <c r="F118" i="2"/>
  <c r="F119" i="2"/>
  <c r="F129" i="2"/>
  <c r="F121" i="2"/>
  <c r="F131" i="2"/>
  <c r="F130" i="2"/>
  <c r="F110" i="2"/>
  <c r="F111" i="2"/>
  <c r="F112" i="2"/>
  <c r="H123" i="2"/>
  <c r="H113" i="2"/>
  <c r="H117" i="2"/>
  <c r="H129" i="2"/>
  <c r="H120" i="2"/>
  <c r="H124" i="2"/>
  <c r="H114" i="2"/>
  <c r="H125" i="2"/>
  <c r="H115" i="2"/>
  <c r="H119" i="2"/>
  <c r="H126" i="2"/>
  <c r="H116" i="2"/>
  <c r="H127" i="2"/>
  <c r="H128" i="2"/>
  <c r="H118" i="2"/>
  <c r="H130" i="2"/>
  <c r="H131" i="2"/>
  <c r="H121" i="2"/>
  <c r="H122" i="2"/>
  <c r="H110" i="2"/>
  <c r="H111" i="2"/>
  <c r="H112" i="2"/>
  <c r="C13" i="15"/>
  <c r="F109" i="2"/>
  <c r="F106" i="2"/>
  <c r="F107" i="2"/>
  <c r="F108" i="2"/>
  <c r="H184" i="2"/>
  <c r="H185" i="2"/>
  <c r="H186" i="2"/>
  <c r="H187" i="2"/>
  <c r="F132" i="2"/>
  <c r="F133" i="2"/>
  <c r="F134" i="2"/>
  <c r="F135" i="2"/>
  <c r="H135" i="2"/>
  <c r="H132" i="2"/>
  <c r="H133" i="2"/>
  <c r="H134" i="2"/>
  <c r="H161" i="2"/>
  <c r="H158" i="2"/>
  <c r="H159" i="2"/>
  <c r="H160" i="2"/>
  <c r="H108" i="2"/>
  <c r="H109" i="2"/>
  <c r="H106" i="2"/>
  <c r="H107"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16" i="2"/>
  <c r="H199" i="2"/>
  <c r="F313" i="2"/>
  <c r="H317" i="2"/>
  <c r="AD2" i="22"/>
  <c r="H242" i="2"/>
  <c r="H247" i="2"/>
  <c r="H245" i="2"/>
  <c r="H240" i="2"/>
  <c r="H237" i="2"/>
  <c r="H236" i="2"/>
  <c r="H246" i="2"/>
  <c r="H244" i="2"/>
  <c r="H243" i="2"/>
  <c r="H239" i="2"/>
  <c r="H238" i="2"/>
  <c r="H241" i="2"/>
  <c r="H299" i="2"/>
  <c r="H287" i="2"/>
  <c r="H289" i="2"/>
  <c r="H293" i="2"/>
  <c r="H295" i="2"/>
  <c r="H292" i="2"/>
  <c r="H297" i="2"/>
  <c r="H300" i="2"/>
  <c r="H298" i="2"/>
  <c r="H290" i="2"/>
  <c r="H291" i="2"/>
  <c r="H294" i="2"/>
  <c r="H288" i="2"/>
  <c r="H296" i="2"/>
  <c r="H202" i="2"/>
  <c r="H315" i="2"/>
  <c r="H314" i="2"/>
  <c r="H316" i="2"/>
  <c r="H219" i="2"/>
  <c r="H318" i="2"/>
  <c r="F292" i="2"/>
  <c r="F254" i="2"/>
  <c r="F249" i="2"/>
  <c r="F250" i="2"/>
  <c r="F293" i="2"/>
  <c r="F258" i="2"/>
  <c r="F298" i="2"/>
  <c r="F287" i="2"/>
  <c r="F296" i="2"/>
  <c r="F255" i="2"/>
  <c r="F288" i="2"/>
  <c r="F259" i="2"/>
  <c r="F289" i="2"/>
  <c r="F291" i="2"/>
  <c r="F284" i="2"/>
  <c r="F281" i="2"/>
  <c r="F267" i="2"/>
  <c r="F237" i="2"/>
  <c r="F244" i="2"/>
  <c r="F240" i="2"/>
  <c r="F263" i="2"/>
  <c r="F278" i="2"/>
  <c r="F275" i="2"/>
  <c r="F283" i="2"/>
  <c r="F272" i="2"/>
  <c r="F247" i="2"/>
  <c r="F274" i="2"/>
  <c r="F276" i="2"/>
  <c r="F270" i="2"/>
  <c r="F238" i="2"/>
  <c r="F286" i="2"/>
  <c r="F262" i="2"/>
  <c r="F264" i="2"/>
  <c r="F268" i="2"/>
  <c r="K38" i="15"/>
  <c r="C38" i="15" s="1"/>
  <c r="M37" i="15"/>
  <c r="H313" i="2" s="1"/>
  <c r="K16" i="15"/>
  <c r="C16" i="15" s="1"/>
  <c r="M39" i="15"/>
  <c r="C39" i="15" s="1"/>
  <c r="K14" i="15"/>
  <c r="G14" i="25" s="1"/>
  <c r="M14" i="15"/>
  <c r="I15" i="25" s="1"/>
  <c r="K63" i="15"/>
  <c r="C63" i="15" s="1"/>
  <c r="K15" i="15"/>
  <c r="K24" i="15"/>
  <c r="F201" i="2" s="1"/>
  <c r="K23" i="15"/>
  <c r="M5" i="15"/>
  <c r="M6" i="15"/>
  <c r="M4" i="15"/>
  <c r="I4" i="25" s="1"/>
  <c r="H210" i="2"/>
  <c r="H201" i="2"/>
  <c r="H200" i="2"/>
  <c r="H212" i="2"/>
  <c r="H214" i="2"/>
  <c r="H215" i="2"/>
  <c r="H221" i="2"/>
  <c r="H222" i="2"/>
  <c r="H211" i="2"/>
  <c r="H220" i="2"/>
  <c r="H217" i="2"/>
  <c r="K7" i="15"/>
  <c r="H218" i="2"/>
  <c r="H216" i="2"/>
  <c r="H213" i="2"/>
  <c r="F218" i="2"/>
  <c r="M11" i="15"/>
  <c r="H232" i="2" s="1"/>
  <c r="K4" i="15"/>
  <c r="H207" i="2"/>
  <c r="H209" i="2"/>
  <c r="H206" i="2"/>
  <c r="H198" i="2"/>
  <c r="H204" i="2"/>
  <c r="H205" i="2"/>
  <c r="H208" i="2"/>
  <c r="H203" i="2"/>
  <c r="H269" i="2"/>
  <c r="H272" i="2"/>
  <c r="H270" i="2"/>
  <c r="H267" i="2"/>
  <c r="H268" i="2"/>
  <c r="H264" i="2"/>
  <c r="H265" i="2"/>
  <c r="H262" i="2"/>
  <c r="H271" i="2"/>
  <c r="H263" i="2"/>
  <c r="H266" i="2"/>
  <c r="H284" i="2"/>
  <c r="H276" i="2"/>
  <c r="H273" i="2"/>
  <c r="H286" i="2"/>
  <c r="H281" i="2"/>
  <c r="H275" i="2"/>
  <c r="H274" i="2"/>
  <c r="H277" i="2"/>
  <c r="H285" i="2"/>
  <c r="H283" i="2"/>
  <c r="H282" i="2"/>
  <c r="H280" i="2"/>
  <c r="H278" i="2"/>
  <c r="H279" i="2"/>
  <c r="AD5" i="16"/>
  <c r="AM6" i="22" s="1"/>
  <c r="F335" i="2"/>
  <c r="F324" i="2"/>
  <c r="F337" i="2"/>
  <c r="F326" i="2"/>
  <c r="F338" i="2"/>
  <c r="F327" i="2"/>
  <c r="F328" i="2"/>
  <c r="F330" i="2"/>
  <c r="F320" i="2"/>
  <c r="F332" i="2"/>
  <c r="F333" i="2"/>
  <c r="F322" i="2"/>
  <c r="F334" i="2"/>
  <c r="H321" i="2"/>
  <c r="H333" i="2"/>
  <c r="H322" i="2"/>
  <c r="H334" i="2"/>
  <c r="H323" i="2"/>
  <c r="H335" i="2"/>
  <c r="H324" i="2"/>
  <c r="H336" i="2"/>
  <c r="H325" i="2"/>
  <c r="H337" i="2"/>
  <c r="H326" i="2"/>
  <c r="H338" i="2"/>
  <c r="H328" i="2"/>
  <c r="H329" i="2"/>
  <c r="H330" i="2"/>
  <c r="H327" i="2"/>
  <c r="H319" i="2"/>
  <c r="H331" i="2"/>
  <c r="H320" i="2"/>
  <c r="H332" i="2"/>
  <c r="F410" i="2"/>
  <c r="H303" i="2"/>
  <c r="AD4" i="22"/>
  <c r="AD6" i="22"/>
  <c r="N6" i="22"/>
  <c r="N5" i="22"/>
  <c r="Q4" i="22"/>
  <c r="F424" i="2"/>
  <c r="F390" i="2"/>
  <c r="F366" i="2"/>
  <c r="H402" i="2"/>
  <c r="F340" i="2"/>
  <c r="H390" i="2"/>
  <c r="H414" i="2"/>
  <c r="H461" i="2"/>
  <c r="H473" i="2"/>
  <c r="H464" i="2"/>
  <c r="H301" i="2"/>
  <c r="H466" i="2"/>
  <c r="F436" i="2"/>
  <c r="H443" i="2"/>
  <c r="H302" i="2"/>
  <c r="F448" i="2"/>
  <c r="H340" i="2"/>
  <c r="H431" i="2"/>
  <c r="H352" i="2"/>
  <c r="H427" i="2"/>
  <c r="H439" i="2"/>
  <c r="H310" i="2"/>
  <c r="H366" i="2"/>
  <c r="H451" i="2"/>
  <c r="H356" i="2"/>
  <c r="H341" i="2"/>
  <c r="H378" i="2"/>
  <c r="H463" i="2"/>
  <c r="H452" i="2"/>
  <c r="H446" i="2"/>
  <c r="F401" i="2"/>
  <c r="F425" i="2"/>
  <c r="H465" i="2"/>
  <c r="F460" i="2"/>
  <c r="F378" i="2"/>
  <c r="H362" i="2"/>
  <c r="H453" i="2"/>
  <c r="H407" i="2"/>
  <c r="H454" i="2"/>
  <c r="H307" i="2"/>
  <c r="H339" i="2"/>
  <c r="H380" i="2"/>
  <c r="H351" i="2"/>
  <c r="H360" i="2"/>
  <c r="H346" i="2"/>
  <c r="H377" i="2"/>
  <c r="H450" i="2"/>
  <c r="H343" i="2"/>
  <c r="H392" i="2"/>
  <c r="H357" i="2"/>
  <c r="H347" i="2"/>
  <c r="H384" i="2"/>
  <c r="H398" i="2"/>
  <c r="H358" i="2"/>
  <c r="H455" i="2"/>
  <c r="H363" i="2"/>
  <c r="H388" i="2"/>
  <c r="H361" i="2"/>
  <c r="H426" i="2"/>
  <c r="H368" i="2"/>
  <c r="H438" i="2"/>
  <c r="H372" i="2"/>
  <c r="H462" i="2"/>
  <c r="H309" i="2"/>
  <c r="H355" i="2"/>
  <c r="H404" i="2"/>
  <c r="H369" i="2"/>
  <c r="H359" i="2"/>
  <c r="H396" i="2"/>
  <c r="H410" i="2"/>
  <c r="H385" i="2"/>
  <c r="H447" i="2"/>
  <c r="H468" i="2"/>
  <c r="H472" i="2"/>
  <c r="H349" i="2"/>
  <c r="H308" i="2"/>
  <c r="H305" i="2"/>
  <c r="H345" i="2"/>
  <c r="H425" i="2"/>
  <c r="H416" i="2"/>
  <c r="H393" i="2"/>
  <c r="H422" i="2"/>
  <c r="H394" i="2"/>
  <c r="H311" i="2"/>
  <c r="H409" i="2"/>
  <c r="H459" i="2"/>
  <c r="H353" i="2"/>
  <c r="H374" i="2"/>
  <c r="H364" i="2"/>
  <c r="H376" i="2"/>
  <c r="H474" i="2"/>
  <c r="H420" i="2"/>
  <c r="H437" i="2"/>
  <c r="H403" i="2"/>
  <c r="H428" i="2"/>
  <c r="H405" i="2"/>
  <c r="H383" i="2"/>
  <c r="H432" i="2"/>
  <c r="H458" i="2"/>
  <c r="H406" i="2"/>
  <c r="H421" i="2"/>
  <c r="H471" i="2"/>
  <c r="H312" i="2"/>
  <c r="H365" i="2"/>
  <c r="H386" i="2"/>
  <c r="H389" i="2"/>
  <c r="H367" i="2"/>
  <c r="H371" i="2"/>
  <c r="H449" i="2"/>
  <c r="H304" i="2"/>
  <c r="H415" i="2"/>
  <c r="H440" i="2"/>
  <c r="H348" i="2"/>
  <c r="H441" i="2"/>
  <c r="H395" i="2"/>
  <c r="H456" i="2"/>
  <c r="H470" i="2"/>
  <c r="H442" i="2"/>
  <c r="H469" i="2"/>
  <c r="F422" i="2"/>
  <c r="F355" i="2"/>
  <c r="F306" i="2"/>
  <c r="H397" i="2"/>
  <c r="H433" i="2"/>
  <c r="H375" i="2"/>
  <c r="F361" i="2"/>
  <c r="H400" i="2"/>
  <c r="F470" i="2"/>
  <c r="F349" i="2"/>
  <c r="F351" i="2"/>
  <c r="F375" i="2"/>
  <c r="H381" i="2"/>
  <c r="F367" i="2"/>
  <c r="H419" i="2"/>
  <c r="H444" i="2"/>
  <c r="H434" i="2"/>
  <c r="H382" i="2"/>
  <c r="F428" i="2"/>
  <c r="H445" i="2"/>
  <c r="H387" i="2"/>
  <c r="F373" i="2"/>
  <c r="H350" i="2"/>
  <c r="H412" i="2"/>
  <c r="F339" i="2"/>
  <c r="F379" i="2"/>
  <c r="F440" i="2"/>
  <c r="H408" i="2"/>
  <c r="H457" i="2"/>
  <c r="H399" i="2"/>
  <c r="F397" i="2"/>
  <c r="H424" i="2"/>
  <c r="F434" i="2"/>
  <c r="F426" i="2"/>
  <c r="F446" i="2"/>
  <c r="F459" i="2"/>
  <c r="F471" i="2"/>
  <c r="H342" i="2"/>
  <c r="F415" i="2"/>
  <c r="F365" i="2"/>
  <c r="F391" i="2"/>
  <c r="F452" i="2"/>
  <c r="H411" i="2"/>
  <c r="H436" i="2"/>
  <c r="H401" i="2"/>
  <c r="H379" i="2"/>
  <c r="F377" i="2"/>
  <c r="H306" i="2"/>
  <c r="H417" i="2"/>
  <c r="H467" i="2"/>
  <c r="H418" i="2"/>
  <c r="H423" i="2"/>
  <c r="H448" i="2"/>
  <c r="H413" i="2"/>
  <c r="H354" i="2"/>
  <c r="H391" i="2"/>
  <c r="F389" i="2"/>
  <c r="H344" i="2"/>
  <c r="H373" i="2"/>
  <c r="H429" i="2"/>
  <c r="H430" i="2"/>
  <c r="H435" i="2"/>
  <c r="H460" i="2"/>
  <c r="F416" i="2"/>
  <c r="F311" i="2"/>
  <c r="F209" i="2"/>
  <c r="F225" i="2"/>
  <c r="F226" i="2"/>
  <c r="F227" i="2"/>
  <c r="F228" i="2"/>
  <c r="F234" i="2"/>
  <c r="F229" i="2"/>
  <c r="F230" i="2"/>
  <c r="F231" i="2"/>
  <c r="F232" i="2"/>
  <c r="F233" i="2"/>
  <c r="F223" i="2"/>
  <c r="F235" i="2"/>
  <c r="F224" i="2"/>
  <c r="F301" i="2"/>
  <c r="F307" i="2"/>
  <c r="F369" i="2"/>
  <c r="F405" i="2"/>
  <c r="F441" i="2"/>
  <c r="F432" i="2"/>
  <c r="F308" i="2"/>
  <c r="F370" i="2"/>
  <c r="F406" i="2"/>
  <c r="F442" i="2"/>
  <c r="F309" i="2"/>
  <c r="F371" i="2"/>
  <c r="F407" i="2"/>
  <c r="F443" i="2"/>
  <c r="F310" i="2"/>
  <c r="F372" i="2"/>
  <c r="F408" i="2"/>
  <c r="F444" i="2"/>
  <c r="F430" i="2"/>
  <c r="F345" i="2"/>
  <c r="F381" i="2"/>
  <c r="F417" i="2"/>
  <c r="F453" i="2"/>
  <c r="F396" i="2"/>
  <c r="F346" i="2"/>
  <c r="F382" i="2"/>
  <c r="F418" i="2"/>
  <c r="F454" i="2"/>
  <c r="F358" i="2"/>
  <c r="F466" i="2"/>
  <c r="F347" i="2"/>
  <c r="F383" i="2"/>
  <c r="F419" i="2"/>
  <c r="F455" i="2"/>
  <c r="F348" i="2"/>
  <c r="F384" i="2"/>
  <c r="F420" i="2"/>
  <c r="F456" i="2"/>
  <c r="F360" i="2"/>
  <c r="F357" i="2"/>
  <c r="F393" i="2"/>
  <c r="F429" i="2"/>
  <c r="F465" i="2"/>
  <c r="F394" i="2"/>
  <c r="F359" i="2"/>
  <c r="F395" i="2"/>
  <c r="F431" i="2"/>
  <c r="F467" i="2"/>
  <c r="F468" i="2"/>
  <c r="F363" i="2"/>
  <c r="F302" i="2"/>
  <c r="F472" i="2"/>
  <c r="F413" i="2"/>
  <c r="F414" i="2"/>
  <c r="F403" i="2"/>
  <c r="F464" i="2"/>
  <c r="F385" i="2"/>
  <c r="F458" i="2"/>
  <c r="F387" i="2"/>
  <c r="F352" i="2"/>
  <c r="F427" i="2"/>
  <c r="F344" i="2"/>
  <c r="F409" i="2"/>
  <c r="F312" i="2"/>
  <c r="F437" i="2"/>
  <c r="F438" i="2"/>
  <c r="F399" i="2"/>
  <c r="F364" i="2"/>
  <c r="F449" i="2"/>
  <c r="F450" i="2"/>
  <c r="F439" i="2"/>
  <c r="F356" i="2"/>
  <c r="F421" i="2"/>
  <c r="F350" i="2"/>
  <c r="F376" i="2"/>
  <c r="F451" i="2"/>
  <c r="F368" i="2"/>
  <c r="F433" i="2"/>
  <c r="F362" i="2"/>
  <c r="F411" i="2"/>
  <c r="F461" i="2"/>
  <c r="F462" i="2"/>
  <c r="F423" i="2"/>
  <c r="F388" i="2"/>
  <c r="F303" i="2"/>
  <c r="F473" i="2"/>
  <c r="F304" i="2"/>
  <c r="F474" i="2"/>
  <c r="F463" i="2"/>
  <c r="F380" i="2"/>
  <c r="F445" i="2"/>
  <c r="F374" i="2"/>
  <c r="F435" i="2"/>
  <c r="F400" i="2"/>
  <c r="F341" i="2"/>
  <c r="F342" i="2"/>
  <c r="F305" i="2"/>
  <c r="F392" i="2"/>
  <c r="F457" i="2"/>
  <c r="F386" i="2"/>
  <c r="F447" i="2"/>
  <c r="F412" i="2"/>
  <c r="F353" i="2"/>
  <c r="F354" i="2"/>
  <c r="F343" i="2"/>
  <c r="F404" i="2"/>
  <c r="F469" i="2"/>
  <c r="F398" i="2"/>
  <c r="AD19" i="2" l="1"/>
  <c r="AJ19" i="2"/>
  <c r="AG19" i="2"/>
  <c r="AA20" i="2"/>
  <c r="AG45" i="2"/>
  <c r="AJ45" i="2"/>
  <c r="AD45" i="2"/>
  <c r="AA46" i="2"/>
  <c r="AJ70" i="2"/>
  <c r="AG70" i="2"/>
  <c r="AD70" i="2"/>
  <c r="AA71" i="2"/>
  <c r="AD96" i="2"/>
  <c r="AG96" i="2"/>
  <c r="AJ96" i="2"/>
  <c r="AA97" i="2"/>
  <c r="AD194" i="2"/>
  <c r="AJ194" i="2"/>
  <c r="AG194" i="2"/>
  <c r="AA195" i="2"/>
  <c r="F200" i="2"/>
  <c r="B131" i="2"/>
  <c r="B113" i="2"/>
  <c r="B114" i="2"/>
  <c r="B117" i="2"/>
  <c r="B115" i="2"/>
  <c r="B123" i="2"/>
  <c r="B126" i="2"/>
  <c r="B122" i="2"/>
  <c r="B116" i="2"/>
  <c r="B125" i="2"/>
  <c r="B119" i="2"/>
  <c r="B124" i="2"/>
  <c r="B118" i="2"/>
  <c r="B120" i="2"/>
  <c r="B127" i="2"/>
  <c r="B121" i="2"/>
  <c r="B110" i="2"/>
  <c r="B111" i="2"/>
  <c r="B112" i="2"/>
  <c r="B130" i="2"/>
  <c r="B128" i="2"/>
  <c r="B129" i="2"/>
  <c r="B100" i="2"/>
  <c r="B93" i="2"/>
  <c r="B83" i="2"/>
  <c r="B85" i="2"/>
  <c r="B89" i="2"/>
  <c r="B101" i="2"/>
  <c r="B94" i="2"/>
  <c r="B88" i="2"/>
  <c r="B102" i="2"/>
  <c r="B95" i="2"/>
  <c r="B87" i="2"/>
  <c r="B103" i="2"/>
  <c r="B84" i="2"/>
  <c r="B96" i="2"/>
  <c r="B81" i="2"/>
  <c r="B104" i="2"/>
  <c r="B97" i="2"/>
  <c r="B82" i="2"/>
  <c r="B105" i="2"/>
  <c r="B86" i="2"/>
  <c r="B98" i="2"/>
  <c r="B92" i="2"/>
  <c r="B99" i="2"/>
  <c r="B90" i="2"/>
  <c r="B91" i="2"/>
  <c r="B80" i="2"/>
  <c r="H33" i="2"/>
  <c r="H45" i="2"/>
  <c r="H49" i="2"/>
  <c r="H29" i="2"/>
  <c r="H41" i="2"/>
  <c r="H34" i="2"/>
  <c r="H46" i="2"/>
  <c r="H35" i="2"/>
  <c r="H47" i="2"/>
  <c r="H28" i="2"/>
  <c r="H31" i="2"/>
  <c r="H51" i="2"/>
  <c r="H40" i="2"/>
  <c r="H36" i="2"/>
  <c r="H48" i="2"/>
  <c r="H37" i="2"/>
  <c r="H39" i="2"/>
  <c r="H52" i="2"/>
  <c r="H38" i="2"/>
  <c r="H50" i="2"/>
  <c r="H53" i="2"/>
  <c r="H44" i="2"/>
  <c r="H43" i="2"/>
  <c r="H32" i="2"/>
  <c r="H30" i="2"/>
  <c r="H42" i="2"/>
  <c r="F172" i="2"/>
  <c r="F183" i="2"/>
  <c r="F173" i="2"/>
  <c r="F167" i="2"/>
  <c r="F162" i="2"/>
  <c r="F174" i="2"/>
  <c r="F181" i="2"/>
  <c r="F163" i="2"/>
  <c r="F175" i="2"/>
  <c r="F164" i="2"/>
  <c r="F176" i="2"/>
  <c r="F179" i="2"/>
  <c r="F165" i="2"/>
  <c r="F177" i="2"/>
  <c r="F166" i="2"/>
  <c r="F178" i="2"/>
  <c r="F168" i="2"/>
  <c r="F180" i="2"/>
  <c r="F169" i="2"/>
  <c r="F170" i="2"/>
  <c r="F171" i="2"/>
  <c r="F182" i="2"/>
  <c r="B155" i="2"/>
  <c r="B145" i="2"/>
  <c r="B152" i="2"/>
  <c r="B156" i="2"/>
  <c r="B146" i="2"/>
  <c r="B140" i="2"/>
  <c r="B157" i="2"/>
  <c r="B147" i="2"/>
  <c r="B142" i="2"/>
  <c r="B136" i="2"/>
  <c r="B148" i="2"/>
  <c r="B137" i="2"/>
  <c r="B149" i="2"/>
  <c r="B138" i="2"/>
  <c r="B150" i="2"/>
  <c r="B139" i="2"/>
  <c r="B151" i="2"/>
  <c r="B141" i="2"/>
  <c r="B153" i="2"/>
  <c r="B154" i="2"/>
  <c r="B143" i="2"/>
  <c r="B144"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S16" i="22" s="1"/>
  <c r="AD27" i="16"/>
  <c r="V24" i="16"/>
  <c r="T13" i="16"/>
  <c r="B345"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58" i="2"/>
  <c r="F159" i="2"/>
  <c r="F160" i="2"/>
  <c r="F161" i="2"/>
  <c r="Z11" i="16"/>
  <c r="AG7" i="22" s="1"/>
  <c r="B106" i="2"/>
  <c r="B107" i="2"/>
  <c r="B108" i="2"/>
  <c r="B109" i="2"/>
  <c r="C24" i="15"/>
  <c r="B201" i="2" s="1"/>
  <c r="F185" i="2"/>
  <c r="F186" i="2"/>
  <c r="F187" i="2"/>
  <c r="F184" i="2"/>
  <c r="B132" i="2"/>
  <c r="B133" i="2"/>
  <c r="B134" i="2"/>
  <c r="B135" i="2"/>
  <c r="B254"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16" i="22" s="1"/>
  <c r="T40" i="16"/>
  <c r="AF18" i="16"/>
  <c r="R7" i="16"/>
  <c r="N30" i="16"/>
  <c r="P7" i="16"/>
  <c r="Q12" i="22" s="1"/>
  <c r="P44" i="16"/>
  <c r="AF22" i="16"/>
  <c r="AP2" i="22" s="1"/>
  <c r="N50" i="16"/>
  <c r="AF11" i="16"/>
  <c r="AP7" i="22" s="1"/>
  <c r="Z36" i="16"/>
  <c r="F279" i="2"/>
  <c r="F241" i="2"/>
  <c r="F236" i="2"/>
  <c r="F248" i="2"/>
  <c r="F297" i="2"/>
  <c r="F318" i="2"/>
  <c r="G30" i="25"/>
  <c r="G27" i="25"/>
  <c r="B268" i="2"/>
  <c r="G36" i="25"/>
  <c r="C38" i="25"/>
  <c r="G29" i="25"/>
  <c r="C26" i="25"/>
  <c r="G22" i="25"/>
  <c r="I14" i="25"/>
  <c r="F321" i="2"/>
  <c r="F325" i="2"/>
  <c r="F277" i="2"/>
  <c r="F282" i="2"/>
  <c r="F269" i="2"/>
  <c r="F290" i="2"/>
  <c r="F253" i="2"/>
  <c r="F252" i="2"/>
  <c r="G37" i="25"/>
  <c r="C20" i="25"/>
  <c r="F329" i="2"/>
  <c r="F336" i="2"/>
  <c r="F266" i="2"/>
  <c r="F239" i="2"/>
  <c r="F280" i="2"/>
  <c r="F300" i="2"/>
  <c r="F295" i="2"/>
  <c r="F251" i="2"/>
  <c r="G24" i="25"/>
  <c r="G23" i="25"/>
  <c r="G28" i="25"/>
  <c r="G35" i="25"/>
  <c r="G34" i="25"/>
  <c r="G31" i="25"/>
  <c r="G38" i="25"/>
  <c r="F331" i="2"/>
  <c r="F323" i="2"/>
  <c r="F242" i="2"/>
  <c r="F265" i="2"/>
  <c r="F271" i="2"/>
  <c r="F260" i="2"/>
  <c r="F294" i="2"/>
  <c r="G40" i="25"/>
  <c r="G39" i="25"/>
  <c r="F317" i="2"/>
  <c r="T43" i="16"/>
  <c r="F402" i="2"/>
  <c r="F319" i="2"/>
  <c r="F246" i="2"/>
  <c r="F243" i="2"/>
  <c r="F285" i="2"/>
  <c r="F299" i="2"/>
  <c r="F261" i="2"/>
  <c r="F315" i="2"/>
  <c r="G25" i="25"/>
  <c r="X26" i="16"/>
  <c r="N35" i="16"/>
  <c r="F245" i="2"/>
  <c r="F273" i="2"/>
  <c r="F256" i="2"/>
  <c r="F257" i="2"/>
  <c r="F314" i="2"/>
  <c r="B321"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Q17" i="22" s="1"/>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19" i="2"/>
  <c r="B341" i="2"/>
  <c r="B266" i="2"/>
  <c r="B281" i="2"/>
  <c r="B214" i="2"/>
  <c r="B346" i="2"/>
  <c r="B300" i="2"/>
  <c r="B238" i="2"/>
  <c r="B212" i="2"/>
  <c r="B253" i="2"/>
  <c r="C34" i="25"/>
  <c r="B213" i="2"/>
  <c r="B296" i="2"/>
  <c r="C41" i="25"/>
  <c r="B370" i="2"/>
  <c r="B297" i="2"/>
  <c r="C31" i="25"/>
  <c r="B342" i="2"/>
  <c r="B292" i="2"/>
  <c r="B280" i="2"/>
  <c r="B282" i="2"/>
  <c r="B239" i="2"/>
  <c r="AF35" i="16"/>
  <c r="B263" i="2"/>
  <c r="B272" i="2"/>
  <c r="T31" i="16"/>
  <c r="B216" i="2"/>
  <c r="B344" i="2"/>
  <c r="B242" i="2"/>
  <c r="B279"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43" i="2"/>
  <c r="B211" i="2"/>
  <c r="B354" i="2"/>
  <c r="B258" i="2"/>
  <c r="B261" i="2"/>
  <c r="B277" i="2"/>
  <c r="B273" i="2"/>
  <c r="B255" i="2"/>
  <c r="B287" i="2"/>
  <c r="C36" i="25"/>
  <c r="C24" i="25"/>
  <c r="B337" i="2"/>
  <c r="Q34" i="22"/>
  <c r="Q22" i="22"/>
  <c r="Q35" i="22"/>
  <c r="Q30" i="22"/>
  <c r="Q39" i="22"/>
  <c r="B301" i="2"/>
  <c r="B220" i="2"/>
  <c r="B353" i="2"/>
  <c r="B340" i="2"/>
  <c r="B244" i="2"/>
  <c r="B241" i="2"/>
  <c r="B252" i="2"/>
  <c r="B260" i="2"/>
  <c r="B269" i="2"/>
  <c r="B257" i="2"/>
  <c r="C25" i="25"/>
  <c r="C28" i="25"/>
  <c r="Z56" i="16"/>
  <c r="Q38" i="22"/>
  <c r="Q23" i="22"/>
  <c r="Q44" i="22"/>
  <c r="Q18" i="22"/>
  <c r="Q27" i="22"/>
  <c r="B307" i="2"/>
  <c r="B222" i="2"/>
  <c r="B303" i="2"/>
  <c r="B371" i="2"/>
  <c r="B295" i="2"/>
  <c r="B289" i="2"/>
  <c r="B298" i="2"/>
  <c r="B270" i="2"/>
  <c r="C23" i="25"/>
  <c r="C22" i="25"/>
  <c r="Q32" i="22"/>
  <c r="Q48" i="22"/>
  <c r="B313" i="2"/>
  <c r="B218" i="2"/>
  <c r="B310" i="2"/>
  <c r="B349" i="2"/>
  <c r="B299" i="2"/>
  <c r="B245" i="2"/>
  <c r="B284" i="2"/>
  <c r="B256" i="2"/>
  <c r="B236" i="2"/>
  <c r="B243" i="2"/>
  <c r="C35" i="25"/>
  <c r="C32" i="25"/>
  <c r="Q29" i="22"/>
  <c r="Q36" i="22"/>
  <c r="B316" i="2"/>
  <c r="B372" i="2"/>
  <c r="B291" i="2"/>
  <c r="B276" i="2"/>
  <c r="B267" i="2"/>
  <c r="B275" i="2"/>
  <c r="B271" i="2"/>
  <c r="B265" i="2"/>
  <c r="C29" i="25"/>
  <c r="B355" i="2"/>
  <c r="B302" i="2"/>
  <c r="Q49" i="22"/>
  <c r="Q43" i="22"/>
  <c r="Q40" i="22"/>
  <c r="B311" i="2"/>
  <c r="B217" i="2"/>
  <c r="B351" i="2"/>
  <c r="B304" i="2"/>
  <c r="B308" i="2"/>
  <c r="B285" i="2"/>
  <c r="B262" i="2"/>
  <c r="B240" i="2"/>
  <c r="B247" i="2"/>
  <c r="B293" i="2"/>
  <c r="B294" i="2"/>
  <c r="C33" i="25"/>
  <c r="Q24" i="22"/>
  <c r="Q31" i="22"/>
  <c r="Q28" i="22"/>
  <c r="B368" i="2"/>
  <c r="B215" i="2"/>
  <c r="B350" i="2"/>
  <c r="B369" i="2"/>
  <c r="B348" i="2"/>
  <c r="B237" i="2"/>
  <c r="B290" i="2"/>
  <c r="B286" i="2"/>
  <c r="B274" i="2"/>
  <c r="B250" i="2"/>
  <c r="C40" i="25"/>
  <c r="AD11" i="16"/>
  <c r="AM7" i="22" s="1"/>
  <c r="Q45" i="22"/>
  <c r="B221" i="2"/>
  <c r="B309" i="2"/>
  <c r="B288" i="2"/>
  <c r="B278" i="2"/>
  <c r="B283" i="2"/>
  <c r="B249" i="2"/>
  <c r="B248" i="2"/>
  <c r="C30" i="25"/>
  <c r="C39" i="25"/>
  <c r="Q26" i="22"/>
  <c r="Q19" i="22"/>
  <c r="Q37" i="22"/>
  <c r="Q33" i="22"/>
  <c r="B373" i="2"/>
  <c r="B210" i="2"/>
  <c r="B352" i="2"/>
  <c r="B251" i="2"/>
  <c r="B246" i="2"/>
  <c r="B264" i="2"/>
  <c r="B259" i="2"/>
  <c r="C37" i="25"/>
  <c r="C27" i="25"/>
  <c r="X40" i="16"/>
  <c r="AH56" i="16"/>
  <c r="AH34" i="16"/>
  <c r="AF29" i="16"/>
  <c r="AH45" i="16"/>
  <c r="N46" i="16"/>
  <c r="P30" i="16"/>
  <c r="AF27" i="16"/>
  <c r="AS32" i="22"/>
  <c r="X12" i="16"/>
  <c r="AD8" i="22" s="1"/>
  <c r="N20" i="16"/>
  <c r="B323" i="2"/>
  <c r="B320" i="2"/>
  <c r="AF56" i="16"/>
  <c r="P56" i="16"/>
  <c r="B234" i="2"/>
  <c r="B423" i="2"/>
  <c r="B378" i="2"/>
  <c r="B449" i="2"/>
  <c r="B424" i="2"/>
  <c r="B420" i="2"/>
  <c r="B455" i="2"/>
  <c r="B466" i="2"/>
  <c r="B398" i="2"/>
  <c r="B376" i="2"/>
  <c r="B356" i="2"/>
  <c r="B439" i="2"/>
  <c r="B375" i="2"/>
  <c r="B427" i="2"/>
  <c r="B429" i="2"/>
  <c r="B400" i="2"/>
  <c r="AD56" i="16"/>
  <c r="B412" i="2"/>
  <c r="B390" i="2"/>
  <c r="B380" i="2"/>
  <c r="B331" i="2"/>
  <c r="N56" i="16"/>
  <c r="Z57" i="16"/>
  <c r="B223" i="2"/>
  <c r="B410" i="2"/>
  <c r="B366" i="2"/>
  <c r="B437" i="2"/>
  <c r="B471" i="2"/>
  <c r="B408" i="2"/>
  <c r="B443" i="2"/>
  <c r="B454" i="2"/>
  <c r="B409" i="2"/>
  <c r="B306" i="2"/>
  <c r="B395" i="2"/>
  <c r="B359" i="2"/>
  <c r="B361" i="2"/>
  <c r="B314" i="2"/>
  <c r="B319" i="2"/>
  <c r="P57" i="16"/>
  <c r="B235" i="2"/>
  <c r="B312" i="2"/>
  <c r="B425" i="2"/>
  <c r="B434" i="2"/>
  <c r="B396" i="2"/>
  <c r="B431" i="2"/>
  <c r="B442" i="2"/>
  <c r="B465" i="2"/>
  <c r="B374" i="2"/>
  <c r="B415" i="2"/>
  <c r="B403" i="2"/>
  <c r="B379" i="2"/>
  <c r="B397" i="2"/>
  <c r="B446" i="2"/>
  <c r="B473" i="2"/>
  <c r="AD57" i="16"/>
  <c r="B467" i="2"/>
  <c r="B339" i="2"/>
  <c r="N57" i="16"/>
  <c r="B224" i="2"/>
  <c r="B421" i="2"/>
  <c r="B413" i="2"/>
  <c r="B386" i="2"/>
  <c r="B384" i="2"/>
  <c r="B419" i="2"/>
  <c r="B430" i="2"/>
  <c r="B453" i="2"/>
  <c r="B445" i="2"/>
  <c r="B364" i="2"/>
  <c r="B231" i="2"/>
  <c r="B365" i="2"/>
  <c r="B422" i="2"/>
  <c r="B456" i="2"/>
  <c r="B463" i="2"/>
  <c r="B317" i="2"/>
  <c r="B318" i="2"/>
  <c r="B228" i="2"/>
  <c r="B474" i="2"/>
  <c r="B472" i="2"/>
  <c r="B401" i="2"/>
  <c r="B387" i="2"/>
  <c r="B360" i="2"/>
  <c r="B407" i="2"/>
  <c r="B418" i="2"/>
  <c r="B441" i="2"/>
  <c r="B464" i="2"/>
  <c r="B448" i="2"/>
  <c r="B391" i="2"/>
  <c r="B462" i="2"/>
  <c r="B389" i="2"/>
  <c r="B436" i="2"/>
  <c r="B406" i="2"/>
  <c r="T56" i="16"/>
  <c r="B470" i="2"/>
  <c r="B405" i="2"/>
  <c r="B385" i="2"/>
  <c r="B404" i="2"/>
  <c r="B335" i="2"/>
  <c r="B433" i="2"/>
  <c r="B332" i="2"/>
  <c r="B459" i="2"/>
  <c r="B362" i="2"/>
  <c r="B305" i="2"/>
  <c r="B329" i="2"/>
  <c r="R56" i="16"/>
  <c r="X57" i="16"/>
  <c r="B230" i="2"/>
  <c r="B225" i="2"/>
  <c r="B388" i="2"/>
  <c r="B452" i="2"/>
  <c r="B438" i="2"/>
  <c r="B428" i="2"/>
  <c r="B325" i="2"/>
  <c r="B402" i="2"/>
  <c r="B315" i="2"/>
  <c r="B328" i="2"/>
  <c r="R57" i="16"/>
  <c r="AH57" i="16"/>
  <c r="B229" i="2"/>
  <c r="B227" i="2"/>
  <c r="B450" i="2"/>
  <c r="B363" i="2"/>
  <c r="B377" i="2"/>
  <c r="B411" i="2"/>
  <c r="B460" i="2"/>
  <c r="B383" i="2"/>
  <c r="B394" i="2"/>
  <c r="B417" i="2"/>
  <c r="B440" i="2"/>
  <c r="B435" i="2"/>
  <c r="B367" i="2"/>
  <c r="B327" i="2"/>
  <c r="V57" i="16"/>
  <c r="B382" i="2"/>
  <c r="B381" i="2"/>
  <c r="T57" i="16"/>
  <c r="B444" i="2"/>
  <c r="B392" i="2"/>
  <c r="B334" i="2"/>
  <c r="AB56" i="16"/>
  <c r="B432" i="2"/>
  <c r="B322" i="2"/>
  <c r="B336" i="2"/>
  <c r="B338" i="2"/>
  <c r="X56" i="16"/>
  <c r="V56" i="16"/>
  <c r="B232" i="2"/>
  <c r="B226" i="2"/>
  <c r="B426" i="2"/>
  <c r="B457" i="2"/>
  <c r="B468" i="2"/>
  <c r="B447" i="2"/>
  <c r="B347" i="2"/>
  <c r="B358" i="2"/>
  <c r="B393" i="2"/>
  <c r="B416" i="2"/>
  <c r="B469" i="2"/>
  <c r="B414" i="2"/>
  <c r="B333" i="2"/>
  <c r="B458" i="2"/>
  <c r="B399" i="2"/>
  <c r="B330" i="2"/>
  <c r="B324" i="2"/>
  <c r="B326" i="2"/>
  <c r="AB57" i="16"/>
  <c r="AF57" i="16"/>
  <c r="B233" i="2"/>
  <c r="B357" i="2"/>
  <c r="B461" i="2"/>
  <c r="B451" i="2"/>
  <c r="C11" i="15"/>
  <c r="Z4" i="16" s="1"/>
  <c r="AG4" i="22" s="1"/>
  <c r="AS47" i="22"/>
  <c r="AS1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G16" i="25"/>
  <c r="C15" i="15"/>
  <c r="AS26" i="22"/>
  <c r="AS28" i="22"/>
  <c r="AS49" i="22"/>
  <c r="AJ48" i="22"/>
  <c r="AJ45" i="22"/>
  <c r="AS23" i="22"/>
  <c r="AJ17" i="22"/>
  <c r="AS45" i="22"/>
  <c r="AS37" i="22"/>
  <c r="AJ50" i="22"/>
  <c r="AJ36" i="22"/>
  <c r="AJ33" i="22"/>
  <c r="G4" i="25"/>
  <c r="C4" i="15"/>
  <c r="C19" i="25"/>
  <c r="X11" i="16"/>
  <c r="AD7" i="22" s="1"/>
  <c r="N19" i="16"/>
  <c r="C18" i="25"/>
  <c r="Z9" i="16"/>
  <c r="AG5" i="22" s="1"/>
  <c r="N12" i="16"/>
  <c r="N8" i="22" s="1"/>
  <c r="AS15" i="22"/>
  <c r="AJ39" i="22"/>
  <c r="AS19" i="22"/>
  <c r="AS33" i="22"/>
  <c r="AS42" i="22"/>
  <c r="AS25" i="22"/>
  <c r="AJ38" i="22"/>
  <c r="AJ24" i="22"/>
  <c r="AJ21" i="22"/>
  <c r="G15" i="25"/>
  <c r="C14" i="15"/>
  <c r="X2" i="16"/>
  <c r="AS29" i="22"/>
  <c r="AS43" i="22"/>
  <c r="AS21" i="22"/>
  <c r="AS30" i="22"/>
  <c r="AS46" i="22"/>
  <c r="AJ40" i="22"/>
  <c r="AJ26" i="22"/>
  <c r="F208" i="2"/>
  <c r="C7" i="15"/>
  <c r="AS18" i="22"/>
  <c r="AS51" i="22"/>
  <c r="AJ47" i="22"/>
  <c r="C17" i="25"/>
  <c r="X9" i="16"/>
  <c r="AD5" i="22" s="1"/>
  <c r="N11" i="16"/>
  <c r="N7" i="22" s="1"/>
  <c r="C2" i="25"/>
  <c r="N22" i="16"/>
  <c r="N2" i="22" s="1"/>
  <c r="X15" i="16"/>
  <c r="C37" i="15"/>
  <c r="P24" i="16" s="1"/>
  <c r="I11" i="25"/>
  <c r="G7" i="25"/>
  <c r="G17" i="25"/>
  <c r="G18" i="25"/>
  <c r="G13" i="25"/>
  <c r="H370" i="2"/>
  <c r="F203" i="2"/>
  <c r="F204" i="2"/>
  <c r="H190" i="2"/>
  <c r="H191" i="2"/>
  <c r="H193" i="2"/>
  <c r="H197" i="2"/>
  <c r="H195" i="2"/>
  <c r="H189" i="2"/>
  <c r="H196" i="2"/>
  <c r="H194" i="2"/>
  <c r="H188" i="2"/>
  <c r="H192" i="2"/>
  <c r="H258" i="2"/>
  <c r="H259" i="2"/>
  <c r="H248" i="2"/>
  <c r="H254" i="2"/>
  <c r="H261" i="2"/>
  <c r="H260" i="2"/>
  <c r="H255" i="2"/>
  <c r="H256" i="2"/>
  <c r="H257" i="2"/>
  <c r="H249" i="2"/>
  <c r="H251" i="2"/>
  <c r="H252" i="2"/>
  <c r="H250" i="2"/>
  <c r="H253" i="2"/>
  <c r="F217" i="2"/>
  <c r="F207" i="2"/>
  <c r="F199" i="2"/>
  <c r="F198" i="2"/>
  <c r="F206" i="2"/>
  <c r="F202" i="2"/>
  <c r="F205" i="2"/>
  <c r="F216" i="2"/>
  <c r="F215" i="2"/>
  <c r="F222" i="2"/>
  <c r="F214" i="2"/>
  <c r="F212" i="2"/>
  <c r="F211" i="2"/>
  <c r="F210" i="2"/>
  <c r="F221" i="2"/>
  <c r="F213" i="2"/>
  <c r="F220" i="2"/>
  <c r="F219" i="2"/>
  <c r="H225" i="2"/>
  <c r="H233" i="2"/>
  <c r="H230" i="2"/>
  <c r="H226" i="2"/>
  <c r="H223" i="2"/>
  <c r="H227" i="2"/>
  <c r="H234" i="2"/>
  <c r="H228" i="2"/>
  <c r="H229" i="2"/>
  <c r="H235" i="2"/>
  <c r="H224" i="2"/>
  <c r="H231" i="2"/>
  <c r="F188" i="2"/>
  <c r="F193" i="2"/>
  <c r="F189" i="2"/>
  <c r="F196" i="2"/>
  <c r="F190" i="2"/>
  <c r="F194" i="2"/>
  <c r="F197" i="2"/>
  <c r="F191" i="2"/>
  <c r="F192" i="2"/>
  <c r="F195" i="2"/>
  <c r="AD58" i="22" l="1"/>
  <c r="Z18" i="16"/>
  <c r="AG10" i="22" s="1"/>
  <c r="AG20" i="2"/>
  <c r="AD20" i="2"/>
  <c r="AJ20" i="2"/>
  <c r="AA21" i="2"/>
  <c r="AD46" i="2"/>
  <c r="AJ46" i="2"/>
  <c r="AG46" i="2"/>
  <c r="AA47" i="2"/>
  <c r="AD71" i="2"/>
  <c r="AJ71" i="2"/>
  <c r="AG71" i="2"/>
  <c r="AA72" i="2"/>
  <c r="AG97" i="2"/>
  <c r="AD97" i="2"/>
  <c r="AJ97" i="2"/>
  <c r="AA98" i="2"/>
  <c r="AJ195" i="2"/>
  <c r="AG195" i="2"/>
  <c r="AD195" i="2"/>
  <c r="AA196" i="2"/>
  <c r="AD2" i="16"/>
  <c r="B207" i="2"/>
  <c r="B196" i="2"/>
  <c r="B200" i="2"/>
  <c r="B195" i="2"/>
  <c r="B209" i="2"/>
  <c r="AS59" i="22"/>
  <c r="Z54" i="22"/>
  <c r="B202" i="2"/>
  <c r="B192" i="2"/>
  <c r="B197" i="2"/>
  <c r="B204" i="2"/>
  <c r="B208" i="2"/>
  <c r="B205" i="2"/>
  <c r="B189" i="2"/>
  <c r="N10" i="16"/>
  <c r="B194" i="2"/>
  <c r="B188" i="2"/>
  <c r="B203" i="2"/>
  <c r="B193" i="2"/>
  <c r="B206" i="2"/>
  <c r="B198" i="2"/>
  <c r="B199" i="2"/>
  <c r="B191" i="2"/>
  <c r="B190" i="2"/>
  <c r="N13" i="16"/>
  <c r="N13" i="22" s="1"/>
  <c r="B183" i="2"/>
  <c r="B169" i="2"/>
  <c r="B181" i="2"/>
  <c r="B178" i="2"/>
  <c r="B170" i="2"/>
  <c r="B182" i="2"/>
  <c r="B171" i="2"/>
  <c r="B176" i="2"/>
  <c r="B172" i="2"/>
  <c r="B173" i="2"/>
  <c r="B166" i="2"/>
  <c r="B162" i="2"/>
  <c r="B174" i="2"/>
  <c r="B163" i="2"/>
  <c r="B175" i="2"/>
  <c r="B164" i="2"/>
  <c r="B165" i="2"/>
  <c r="B177" i="2"/>
  <c r="B167" i="2"/>
  <c r="B168" i="2"/>
  <c r="B179" i="2"/>
  <c r="B180" i="2"/>
  <c r="Z2" i="16"/>
  <c r="B41" i="2"/>
  <c r="B53" i="2"/>
  <c r="B33" i="2"/>
  <c r="B37" i="2"/>
  <c r="B42" i="2"/>
  <c r="B29" i="2"/>
  <c r="B36" i="2"/>
  <c r="B49" i="2"/>
  <c r="B43" i="2"/>
  <c r="B35" i="2"/>
  <c r="B32" i="2"/>
  <c r="B44" i="2"/>
  <c r="B45" i="2"/>
  <c r="B34" i="2"/>
  <c r="B46" i="2"/>
  <c r="B30" i="2"/>
  <c r="B47" i="2"/>
  <c r="B48" i="2"/>
  <c r="B40" i="2"/>
  <c r="B50" i="2"/>
  <c r="B51" i="2"/>
  <c r="B52" i="2"/>
  <c r="B28" i="2"/>
  <c r="B39" i="2"/>
  <c r="B38" i="2"/>
  <c r="B31" i="2"/>
  <c r="AP59" i="2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186" i="2"/>
  <c r="B187" i="2"/>
  <c r="B184" i="2"/>
  <c r="B185" i="2"/>
  <c r="B158" i="2"/>
  <c r="B159" i="2"/>
  <c r="B160" i="2"/>
  <c r="B161" i="2"/>
  <c r="Z48" i="22"/>
  <c r="W13" i="22"/>
  <c r="AM46" i="22"/>
  <c r="Z10" i="22"/>
  <c r="AM31" i="22"/>
  <c r="AM34" i="22"/>
  <c r="AM23"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1" i="2" l="1"/>
  <c r="AJ21" i="2"/>
  <c r="AG21" i="2"/>
  <c r="AA22" i="2"/>
  <c r="AG47" i="2"/>
  <c r="AJ47" i="2"/>
  <c r="AD47" i="2"/>
  <c r="AA48" i="2"/>
  <c r="AG72" i="2"/>
  <c r="AD72" i="2"/>
  <c r="AJ72" i="2"/>
  <c r="AA73" i="2"/>
  <c r="AD98" i="2"/>
  <c r="AG98" i="2"/>
  <c r="AJ98" i="2"/>
  <c r="AA99" i="2"/>
  <c r="AJ196" i="2"/>
  <c r="AG196" i="2"/>
  <c r="AD196" i="2"/>
  <c r="AA197" i="2"/>
  <c r="AA23" i="2" l="1"/>
  <c r="AG22" i="2"/>
  <c r="AD22" i="2"/>
  <c r="AJ22" i="2"/>
  <c r="AA49" i="2"/>
  <c r="AD48" i="2"/>
  <c r="AG48" i="2"/>
  <c r="AJ48" i="2"/>
  <c r="AD73" i="2"/>
  <c r="AG73" i="2"/>
  <c r="AJ73" i="2"/>
  <c r="AA74" i="2"/>
  <c r="AG99" i="2"/>
  <c r="AD99" i="2"/>
  <c r="AJ99" i="2"/>
  <c r="AA100" i="2"/>
  <c r="AD197" i="2"/>
  <c r="AJ197" i="2"/>
  <c r="AG197" i="2"/>
  <c r="AA198" i="2"/>
  <c r="AJ23" i="2" l="1"/>
  <c r="AD23" i="2"/>
  <c r="AG23" i="2"/>
  <c r="AA24" i="2"/>
  <c r="AD49" i="2"/>
  <c r="AJ49" i="2"/>
  <c r="AG49" i="2"/>
  <c r="AA50" i="2"/>
  <c r="AJ74" i="2"/>
  <c r="AD74" i="2"/>
  <c r="AG74" i="2"/>
  <c r="AA75" i="2"/>
  <c r="AD100" i="2"/>
  <c r="AG100" i="2"/>
  <c r="AJ100" i="2"/>
  <c r="AA101" i="2"/>
  <c r="AG198" i="2"/>
  <c r="AJ198" i="2"/>
  <c r="AD198" i="2"/>
  <c r="AA199" i="2"/>
  <c r="AJ24" i="2" l="1"/>
  <c r="AG24" i="2"/>
  <c r="AD24" i="2"/>
  <c r="AA25" i="2"/>
  <c r="AG50" i="2"/>
  <c r="AD50" i="2"/>
  <c r="AJ50" i="2"/>
  <c r="AA51" i="2"/>
  <c r="AJ75" i="2"/>
  <c r="AD75" i="2"/>
  <c r="AG75" i="2"/>
  <c r="AA76" i="2"/>
  <c r="AJ101" i="2"/>
  <c r="AG101" i="2"/>
  <c r="AD101" i="2"/>
  <c r="AA102" i="2"/>
  <c r="AJ199" i="2"/>
  <c r="AG199" i="2"/>
  <c r="AD199" i="2"/>
  <c r="AA200" i="2"/>
  <c r="AJ25" i="2" l="1"/>
  <c r="AG25" i="2"/>
  <c r="AD25" i="2"/>
  <c r="AA27" i="2"/>
  <c r="AA26" i="2"/>
  <c r="AD51" i="2"/>
  <c r="AJ51" i="2"/>
  <c r="AG51" i="2"/>
  <c r="AA53" i="2"/>
  <c r="AA52" i="2"/>
  <c r="AA77" i="2"/>
  <c r="AG76" i="2"/>
  <c r="AD76" i="2"/>
  <c r="AJ76" i="2"/>
  <c r="AD102" i="2"/>
  <c r="AJ102" i="2"/>
  <c r="AG102" i="2"/>
  <c r="AA103" i="2"/>
  <c r="AJ200" i="2"/>
  <c r="AD200" i="2"/>
  <c r="AG200" i="2"/>
  <c r="AA201" i="2"/>
  <c r="AJ26" i="2" l="1"/>
  <c r="AD26" i="2"/>
  <c r="AG26" i="2"/>
  <c r="AG27" i="2"/>
  <c r="AJ27" i="2"/>
  <c r="AD27" i="2"/>
  <c r="AG53" i="2"/>
  <c r="AD53" i="2"/>
  <c r="AJ53" i="2"/>
  <c r="AD52" i="2"/>
  <c r="AG52" i="2"/>
  <c r="AJ52" i="2"/>
  <c r="AD77" i="2"/>
  <c r="AJ77" i="2"/>
  <c r="AG77" i="2"/>
  <c r="AA79" i="2"/>
  <c r="AA78" i="2"/>
  <c r="AA105" i="2"/>
  <c r="AA104" i="2"/>
  <c r="AD103" i="2"/>
  <c r="AJ103" i="2"/>
  <c r="AG103" i="2"/>
  <c r="AG201" i="2"/>
  <c r="AJ201" i="2"/>
  <c r="AD201" i="2"/>
  <c r="AA202" i="2"/>
  <c r="AG78" i="2" l="1"/>
  <c r="AD78" i="2"/>
  <c r="AJ78" i="2"/>
  <c r="AD79" i="2"/>
  <c r="AG79" i="2"/>
  <c r="AJ79" i="2"/>
  <c r="AJ104" i="2"/>
  <c r="AD104" i="2"/>
  <c r="AG104" i="2"/>
  <c r="AG105" i="2"/>
  <c r="AD105" i="2"/>
  <c r="AJ105" i="2"/>
  <c r="AJ202" i="2"/>
  <c r="AG202" i="2"/>
  <c r="AD202" i="2"/>
  <c r="AA203" i="2"/>
  <c r="AJ203" i="2" l="1"/>
  <c r="AG203" i="2"/>
  <c r="AD203" i="2"/>
  <c r="AA204" i="2"/>
  <c r="AD204" i="2" l="1"/>
  <c r="AJ204" i="2"/>
  <c r="AG204" i="2"/>
  <c r="AA205" i="2"/>
  <c r="AD205" i="2" l="1"/>
  <c r="AJ205" i="2"/>
  <c r="AG205" i="2"/>
  <c r="AA206" i="2"/>
  <c r="AA207" i="2" l="1"/>
  <c r="AG206" i="2"/>
  <c r="AD206" i="2"/>
  <c r="AJ206" i="2"/>
  <c r="AG207" i="2" l="1"/>
  <c r="AD207" i="2"/>
  <c r="AJ207" i="2"/>
  <c r="AA209" i="2"/>
  <c r="AA208" i="2"/>
  <c r="AG208" i="2" l="1"/>
  <c r="AJ208" i="2"/>
  <c r="AD208" i="2"/>
  <c r="AG209" i="2"/>
  <c r="AD209" i="2"/>
  <c r="AJ209" i="2"/>
  <c r="X46" i="15" l="1"/>
  <c r="AA106" i="2" l="1"/>
  <c r="AA107" i="2" l="1"/>
  <c r="AJ106" i="2"/>
  <c r="AD106" i="2"/>
  <c r="AG106" i="2"/>
  <c r="AD107" i="2" l="1"/>
  <c r="AG107" i="2"/>
  <c r="AJ107" i="2"/>
  <c r="AA108" i="2"/>
  <c r="AG108" i="2" l="1"/>
  <c r="AJ108" i="2"/>
  <c r="AD108" i="2"/>
  <c r="AA109" i="2"/>
  <c r="AD109" i="2" l="1"/>
  <c r="AG109" i="2"/>
  <c r="AJ109" i="2"/>
  <c r="AA110" i="2"/>
  <c r="AA111" i="2" l="1"/>
  <c r="AG110" i="2"/>
  <c r="AJ110" i="2"/>
  <c r="AD110" i="2"/>
  <c r="AJ111" i="2" l="1"/>
  <c r="AG111" i="2"/>
  <c r="AD111" i="2"/>
  <c r="AA112" i="2"/>
  <c r="AG112" i="2" l="1"/>
  <c r="AD112" i="2"/>
  <c r="AJ112" i="2"/>
  <c r="AA113" i="2"/>
  <c r="AG113" i="2" l="1"/>
  <c r="AJ113" i="2"/>
  <c r="AD113" i="2"/>
  <c r="AA114" i="2"/>
  <c r="AD114" i="2" l="1"/>
  <c r="AJ114" i="2"/>
  <c r="AG114" i="2"/>
  <c r="AA115" i="2"/>
  <c r="AJ115" i="2" l="1"/>
  <c r="AD115" i="2"/>
  <c r="AG115" i="2"/>
  <c r="AA116" i="2"/>
  <c r="AG116" i="2" l="1"/>
  <c r="AJ116" i="2"/>
  <c r="AD116" i="2"/>
  <c r="AA117" i="2"/>
  <c r="AG117" i="2" l="1"/>
  <c r="AD117" i="2"/>
  <c r="AJ117" i="2"/>
  <c r="AA118" i="2"/>
  <c r="AA119" i="2" l="1"/>
  <c r="AG118" i="2"/>
  <c r="AJ118" i="2"/>
  <c r="AD118" i="2"/>
  <c r="AA120" i="2" l="1"/>
  <c r="AG119" i="2"/>
  <c r="AD119" i="2"/>
  <c r="AJ119" i="2"/>
  <c r="AA121" i="2" l="1"/>
  <c r="AD120" i="2"/>
  <c r="AJ120" i="2"/>
  <c r="AG120" i="2"/>
  <c r="AG121" i="2" l="1"/>
  <c r="AD121" i="2"/>
  <c r="AJ121" i="2"/>
  <c r="AA122" i="2"/>
  <c r="AD122" i="2" l="1"/>
  <c r="AG122" i="2"/>
  <c r="AJ122" i="2"/>
  <c r="AA123" i="2"/>
  <c r="AA124" i="2" l="1"/>
  <c r="AD123" i="2"/>
  <c r="AG123" i="2"/>
  <c r="AJ123" i="2"/>
  <c r="AA125" i="2" l="1"/>
  <c r="AD124" i="2"/>
  <c r="AG124" i="2"/>
  <c r="AJ124" i="2"/>
  <c r="AA126" i="2" l="1"/>
  <c r="AG125" i="2"/>
  <c r="AD125" i="2"/>
  <c r="AJ125" i="2"/>
  <c r="AA127" i="2" l="1"/>
  <c r="AJ126" i="2"/>
  <c r="AG126" i="2"/>
  <c r="AD126" i="2"/>
  <c r="AA128" i="2" l="1"/>
  <c r="AD127" i="2"/>
  <c r="AG127" i="2"/>
  <c r="AJ127" i="2"/>
  <c r="AA129" i="2" l="1"/>
  <c r="AJ128" i="2"/>
  <c r="AD128" i="2"/>
  <c r="AG128" i="2"/>
  <c r="AA130" i="2" l="1"/>
  <c r="AA131" i="2"/>
  <c r="AG129" i="2"/>
  <c r="AJ129" i="2"/>
  <c r="AD129" i="2"/>
  <c r="AD131" i="2" l="1"/>
  <c r="AJ131" i="2"/>
  <c r="AG131" i="2"/>
  <c r="AG130" i="2"/>
  <c r="AD130" i="2"/>
  <c r="AJ130" i="2"/>
  <c r="AA132" i="2" l="1"/>
  <c r="AA133" i="2" l="1"/>
  <c r="AD132" i="2"/>
  <c r="AJ132" i="2"/>
  <c r="AG132" i="2"/>
  <c r="AA134" i="2" l="1"/>
  <c r="AJ133" i="2"/>
  <c r="AG133" i="2"/>
  <c r="AD133" i="2"/>
  <c r="AG134" i="2" l="1"/>
  <c r="AJ134" i="2"/>
  <c r="AD134" i="2"/>
  <c r="AA135" i="2"/>
  <c r="AA136" i="2" l="1"/>
  <c r="AD135" i="2"/>
  <c r="AJ135" i="2"/>
  <c r="AG135" i="2"/>
  <c r="AJ136" i="2" l="1"/>
  <c r="AD136" i="2"/>
  <c r="AG136" i="2"/>
  <c r="AA137" i="2"/>
  <c r="AA138" i="2" l="1"/>
  <c r="AD137" i="2"/>
  <c r="AJ137" i="2"/>
  <c r="AG137" i="2"/>
  <c r="AA139" i="2" l="1"/>
  <c r="AD138" i="2"/>
  <c r="AG138" i="2"/>
  <c r="AJ138" i="2"/>
  <c r="AA140" i="2" l="1"/>
  <c r="AG139" i="2"/>
  <c r="AJ139" i="2"/>
  <c r="AD139" i="2"/>
  <c r="AA141" i="2" l="1"/>
  <c r="AD140" i="2"/>
  <c r="AG140" i="2"/>
  <c r="AJ140" i="2"/>
  <c r="AA142" i="2" l="1"/>
  <c r="AJ141" i="2"/>
  <c r="AG141" i="2"/>
  <c r="AD141" i="2"/>
  <c r="AA143" i="2" l="1"/>
  <c r="AD142" i="2"/>
  <c r="AJ142" i="2"/>
  <c r="AG142" i="2"/>
  <c r="AA144" i="2" l="1"/>
  <c r="AG143" i="2"/>
  <c r="AD143" i="2"/>
  <c r="AJ143" i="2"/>
  <c r="AA145" i="2" l="1"/>
  <c r="AD144" i="2"/>
  <c r="AJ144" i="2"/>
  <c r="AG144" i="2"/>
  <c r="AA146" i="2" l="1"/>
  <c r="AJ145" i="2"/>
  <c r="AD145" i="2"/>
  <c r="AG145" i="2"/>
  <c r="AA147" i="2" l="1"/>
  <c r="AD146" i="2"/>
  <c r="AJ146" i="2"/>
  <c r="AG146" i="2"/>
  <c r="AA148" i="2" l="1"/>
  <c r="AG147" i="2"/>
  <c r="AJ147" i="2"/>
  <c r="AD147" i="2"/>
  <c r="AG148" i="2" l="1"/>
  <c r="AJ148" i="2"/>
  <c r="AD148" i="2"/>
  <c r="AA149" i="2"/>
  <c r="AA150" i="2" l="1"/>
  <c r="AG149" i="2"/>
  <c r="AD149" i="2"/>
  <c r="AJ149" i="2"/>
  <c r="AG150" i="2" l="1"/>
  <c r="AD150" i="2"/>
  <c r="AJ150" i="2"/>
  <c r="AA151" i="2"/>
  <c r="AG151" i="2" l="1"/>
  <c r="AJ151" i="2"/>
  <c r="AD151" i="2"/>
  <c r="AA152" i="2"/>
  <c r="AA153" i="2" l="1"/>
  <c r="AG152" i="2"/>
  <c r="AJ152" i="2"/>
  <c r="AD152" i="2"/>
  <c r="AD153" i="2" l="1"/>
  <c r="AG153" i="2"/>
  <c r="AJ153" i="2"/>
  <c r="AA154" i="2"/>
  <c r="AA155" i="2" l="1"/>
  <c r="AD154" i="2"/>
  <c r="AJ154" i="2"/>
  <c r="AG154" i="2"/>
  <c r="AA156" i="2" l="1"/>
  <c r="AA157" i="2"/>
  <c r="AJ155" i="2"/>
  <c r="AD155" i="2"/>
  <c r="AG155" i="2"/>
  <c r="AD157" i="2" l="1"/>
  <c r="AG157" i="2"/>
  <c r="AJ157" i="2"/>
  <c r="AG156" i="2"/>
  <c r="AD156" i="2"/>
  <c r="AJ156" i="2"/>
  <c r="AA158" i="2" l="1"/>
  <c r="AG158" i="2" s="1"/>
  <c r="AA159" i="2"/>
  <c r="AD158" i="2" l="1"/>
  <c r="AJ158" i="2"/>
  <c r="AJ159" i="2"/>
  <c r="AD159" i="2"/>
  <c r="AG159" i="2"/>
  <c r="AA160" i="2"/>
  <c r="AJ160" i="2" l="1"/>
  <c r="AD160" i="2"/>
  <c r="AG160" i="2"/>
  <c r="AA161" i="2"/>
  <c r="AG161" i="2" l="1"/>
  <c r="AD161" i="2"/>
  <c r="AJ161" i="2"/>
  <c r="AA162" i="2"/>
  <c r="AJ162" i="2" l="1"/>
  <c r="AG162" i="2"/>
  <c r="AD162" i="2"/>
  <c r="AA163" i="2"/>
  <c r="AA164" i="2" l="1"/>
  <c r="AD163" i="2"/>
  <c r="AG163" i="2"/>
  <c r="AJ163" i="2"/>
  <c r="AA165" i="2" l="1"/>
  <c r="AD164" i="2"/>
  <c r="AJ164" i="2"/>
  <c r="AG164" i="2"/>
  <c r="AA166" i="2" l="1"/>
  <c r="AG165" i="2"/>
  <c r="AD165" i="2"/>
  <c r="AJ165" i="2"/>
  <c r="AA167" i="2" l="1"/>
  <c r="AJ166" i="2"/>
  <c r="AG166" i="2"/>
  <c r="AD166" i="2"/>
  <c r="AA168" i="2" l="1"/>
  <c r="AG167" i="2"/>
  <c r="AJ167" i="2"/>
  <c r="AD167" i="2"/>
  <c r="AD168" i="2" l="1"/>
  <c r="AG168" i="2"/>
  <c r="AJ168" i="2"/>
  <c r="AA169" i="2"/>
  <c r="AA170" i="2" l="1"/>
  <c r="AD169" i="2"/>
  <c r="AG169" i="2"/>
  <c r="AJ169" i="2"/>
  <c r="AJ170" i="2" l="1"/>
  <c r="AD170" i="2"/>
  <c r="AG170" i="2"/>
  <c r="AA171" i="2"/>
  <c r="AG171" i="2" l="1"/>
  <c r="AJ171" i="2"/>
  <c r="AD171" i="2"/>
  <c r="AA172" i="2"/>
  <c r="AA173" i="2" l="1"/>
  <c r="AG172" i="2"/>
  <c r="AJ172" i="2"/>
  <c r="AD172" i="2"/>
  <c r="AG173" i="2" l="1"/>
  <c r="AD173" i="2"/>
  <c r="AJ173" i="2"/>
  <c r="AA174" i="2"/>
  <c r="AJ174" i="2" l="1"/>
  <c r="AG174" i="2"/>
  <c r="AD174" i="2"/>
  <c r="AA175" i="2"/>
  <c r="AD175" i="2" l="1"/>
  <c r="AG175" i="2"/>
  <c r="AJ175" i="2"/>
  <c r="AA176" i="2"/>
  <c r="AJ176" i="2" l="1"/>
  <c r="AG176" i="2"/>
  <c r="AD176" i="2"/>
  <c r="AA177" i="2"/>
  <c r="AA178" i="2" l="1"/>
  <c r="AD177" i="2"/>
  <c r="AG177" i="2"/>
  <c r="AJ177" i="2"/>
  <c r="AA179" i="2" l="1"/>
  <c r="AD178" i="2"/>
  <c r="AG178" i="2"/>
  <c r="AJ178" i="2"/>
  <c r="AA180" i="2" l="1"/>
  <c r="AG179" i="2"/>
  <c r="AJ179" i="2"/>
  <c r="AD179" i="2"/>
  <c r="AJ180" i="2" l="1"/>
  <c r="AG180" i="2"/>
  <c r="AD180" i="2"/>
  <c r="AA181" i="2"/>
  <c r="AJ181" i="2" l="1"/>
  <c r="AG181" i="2"/>
  <c r="AD181" i="2"/>
  <c r="AA183" i="2"/>
  <c r="AA182" i="2"/>
  <c r="AD182" i="2" l="1"/>
  <c r="AJ182" i="2"/>
  <c r="AG182" i="2"/>
  <c r="AJ183" i="2"/>
  <c r="AD183" i="2"/>
  <c r="AG183" i="2"/>
</calcChain>
</file>

<file path=xl/sharedStrings.xml><?xml version="1.0" encoding="utf-8"?>
<sst xmlns="http://schemas.openxmlformats.org/spreadsheetml/2006/main" count="4239" uniqueCount="577">
  <si>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</si>
  <si>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</si>
  <si>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</si>
  <si>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</si>
  <si>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</si>
  <si>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</si>
  <si>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</si>
  <si>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</si>
  <si>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</si>
  <si>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</si>
  <si>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</si>
  <si>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</si>
  <si>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</si>
  <si>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</si>
  <si>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</si>
  <si>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</si>
  <si>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</si>
  <si>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</si>
  <si>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</si>
  <si>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</si>
  <si>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</si>
  <si>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</si>
  <si>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</si>
  <si>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</si>
  <si>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</si>
  <si>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</si>
  <si>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</si>
  <si>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</si>
  <si>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</si>
  <si>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</si>
  <si>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</si>
  <si>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</si>
  <si>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</si>
  <si>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</si>
  <si>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</si>
  <si>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</si>
  <si>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</si>
  <si>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</si>
  <si>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</si>
  <si>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</si>
  <si>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</si>
  <si>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</si>
  <si>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</si>
  <si>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</si>
  <si>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</si>
  <si>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</si>
  <si>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</si>
  <si>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</si>
  <si>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</si>
  <si>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</si>
  <si>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</si>
  <si>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</si>
  <si>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</si>
  <si>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</si>
  <si>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</si>
  <si>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</si>
  <si>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</si>
  <si>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</si>
  <si>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</si>
  <si>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</si>
  <si>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</si>
  <si>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</si>
  <si>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</si>
  <si>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</si>
  <si>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</si>
  <si>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</si>
  <si>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</si>
  <si>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</si>
  <si>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</si>
  <si>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</si>
  <si>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</si>
  <si>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</si>
  <si>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</si>
  <si>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</si>
  <si>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</si>
  <si>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</si>
  <si>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</si>
  <si>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</si>
  <si>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</si>
  <si>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</si>
  <si>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</si>
  <si>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</si>
  <si>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</si>
  <si>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</si>
  <si>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</si>
  <si>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</si>
  <si>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</si>
  <si>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</si>
  <si>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</si>
  <si>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</si>
  <si>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</si>
  <si>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</si>
  <si>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</si>
  <si>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</si>
  <si>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</si>
  <si>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</si>
  <si>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</si>
  <si>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</si>
  <si>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</si>
  <si>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</si>
  <si>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</si>
  <si>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</si>
  <si>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</si>
  <si>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</si>
  <si>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</si>
  <si>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</si>
  <si>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</si>
  <si>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</si>
  <si>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</si>
  <si>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</si>
  <si>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</si>
  <si>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</si>
  <si>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</si>
  <si>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</si>
  <si>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</si>
  <si>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</si>
  <si>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</si>
  <si>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</si>
  <si>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</si>
  <si>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</si>
  <si>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</si>
  <si>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</si>
  <si>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</si>
  <si>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</si>
  <si>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</si>
  <si>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</si>
  <si>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</si>
  <si>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</si>
  <si>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</si>
  <si>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</si>
  <si>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</si>
  <si>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</si>
  <si>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</si>
  <si>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</si>
  <si>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</si>
  <si>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</si>
  <si>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</si>
  <si>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</si>
  <si>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</si>
  <si>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</si>
  <si>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</si>
  <si>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</si>
  <si>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</si>
  <si>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</si>
  <si>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</si>
  <si>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</si>
  <si>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</si>
  <si>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</si>
  <si>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</si>
  <si>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</si>
  <si>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</si>
  <si>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</si>
  <si>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</si>
  <si>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</si>
  <si>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</si>
  <si>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</si>
  <si>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</si>
  <si>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</si>
  <si>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</si>
  <si>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</si>
  <si>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</si>
  <si>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</si>
  <si>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</si>
  <si>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</si>
  <si>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</si>
  <si>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</si>
  <si>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</si>
  <si>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</si>
  <si>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</si>
  <si>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</si>
  <si>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</si>
  <si>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</si>
  <si>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</si>
  <si>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</si>
  <si>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</si>
  <si>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</si>
  <si>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</si>
  <si>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</si>
  <si>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</si>
  <si>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</si>
  <si>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</si>
  <si>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</si>
  <si>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</si>
  <si>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</si>
  <si>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</si>
  <si>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</si>
  <si>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</si>
  <si>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</si>
  <si>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</si>
  <si>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</si>
  <si>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</si>
  <si>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</si>
  <si>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</si>
  <si>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</si>
  <si>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</si>
  <si>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</si>
  <si>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</si>
  <si>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</si>
  <si>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</si>
  <si>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</si>
  <si>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</si>
  <si>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</si>
  <si>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</si>
  <si>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</si>
  <si>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</si>
  <si>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</si>
  <si>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</si>
  <si>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</si>
  <si>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</si>
  <si>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</si>
  <si>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</si>
  <si>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</si>
  <si>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</si>
  <si>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</si>
  <si>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</si>
  <si>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</si>
  <si>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</si>
  <si>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</si>
  <si>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</si>
  <si>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</si>
  <si>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</si>
  <si>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</si>
  <si>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</si>
  <si>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</si>
  <si>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</si>
  <si>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</si>
  <si>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</si>
  <si>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</si>
  <si>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</si>
  <si>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</si>
  <si>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</si>
  <si>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</si>
  <si>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</si>
  <si>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</si>
  <si>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</si>
  <si>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</si>
  <si>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</si>
  <si>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</si>
  <si>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</si>
  <si>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</si>
  <si>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</si>
  <si>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</si>
  <si>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</si>
  <si>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</si>
  <si>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</si>
  <si>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</si>
  <si>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</si>
  <si>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</si>
  <si>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</si>
  <si>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</si>
  <si>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</si>
  <si>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</si>
  <si>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</si>
  <si>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</si>
  <si>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</si>
  <si>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</si>
  <si>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</si>
  <si>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</si>
  <si>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</si>
  <si>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</si>
  <si>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</si>
  <si>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</si>
  <si>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</si>
  <si>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</si>
  <si>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</si>
  <si>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</si>
  <si>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</si>
  <si>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</si>
  <si>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</si>
  <si>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</si>
  <si>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</si>
  <si>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</si>
  <si>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</si>
  <si>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</si>
  <si>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</si>
  <si>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</si>
  <si>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</si>
  <si>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</si>
  <si>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</si>
  <si>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</si>
  <si>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</si>
  <si>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</si>
  <si>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</si>
  <si>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</si>
  <si>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</si>
  <si>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</si>
  <si>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</si>
  <si>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</si>
  <si>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</si>
  <si>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</si>
  <si>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</si>
  <si>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</si>
  <si>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</si>
  <si>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</si>
  <si>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</si>
  <si>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</si>
  <si>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</si>
  <si>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</si>
  <si>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</si>
  <si>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</si>
  <si>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</si>
  <si>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</si>
  <si>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</si>
  <si>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</si>
  <si>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</si>
  <si>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</si>
  <si>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</si>
  <si>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</si>
  <si>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</si>
  <si>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</si>
  <si>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</si>
  <si>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</si>
  <si>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</si>
  <si>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</si>
  <si>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</si>
  <si>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</si>
  <si>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</si>
  <si>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</si>
  <si>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</si>
  <si>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</si>
  <si>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</si>
  <si>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</si>
  <si>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</si>
  <si>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</si>
  <si>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</si>
  <si>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</si>
  <si>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</si>
  <si>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</si>
  <si>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</si>
  <si>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</si>
  <si>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</si>
  <si>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</si>
  <si>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</si>
  <si>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</si>
  <si>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</si>
  <si>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</si>
  <si>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</si>
  <si>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</si>
  <si>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</si>
  <si>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</si>
  <si>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</si>
  <si>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</si>
  <si>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</si>
  <si>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</si>
  <si>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</si>
  <si>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</si>
  <si>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</si>
  <si>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</si>
  <si>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</si>
  <si>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</si>
  <si>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</si>
  <si>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</si>
  <si>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</si>
  <si>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</si>
  <si>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</si>
  <si>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</si>
  <si>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</si>
  <si>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</si>
  <si>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</si>
  <si>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</si>
  <si>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</si>
  <si>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</si>
  <si>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</si>
  <si>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</si>
  <si>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</si>
  <si>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</si>
  <si>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</si>
  <si>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</si>
  <si>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</si>
  <si>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</si>
  <si>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</si>
  <si>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</si>
  <si>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</si>
  <si>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</si>
  <si>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</si>
  <si>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</si>
  <si>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</si>
  <si>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</si>
  <si>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</si>
  <si>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</si>
  <si>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</si>
  <si>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</si>
  <si>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</si>
  <si>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</si>
  <si>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</si>
  <si>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</si>
  <si>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</si>
  <si>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</si>
  <si>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</si>
  <si>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</si>
  <si>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</si>
  <si>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</si>
  <si>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</si>
  <si>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</si>
  <si>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</si>
  <si>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</si>
  <si>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</si>
  <si>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</si>
  <si>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</si>
  <si>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</si>
  <si>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</si>
  <si>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</si>
  <si>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</si>
  <si>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</si>
  <si>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</si>
  <si>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</si>
  <si>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</si>
  <si>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</si>
  <si>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</si>
  <si>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</si>
  <si>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</si>
  <si>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</si>
  <si>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</si>
  <si>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</si>
  <si>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</si>
  <si>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</si>
  <si>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</si>
  <si>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</si>
  <si>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</si>
  <si>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</si>
  <si>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</si>
  <si>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</si>
  <si>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</si>
  <si>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</si>
  <si>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</si>
  <si>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</si>
  <si>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</si>
  <si>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</si>
  <si>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</si>
  <si>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</si>
  <si>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</si>
  <si>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</si>
  <si>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</si>
  <si>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</si>
  <si>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</si>
  <si>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</si>
  <si>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</si>
  <si>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</si>
  <si>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</si>
  <si>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</si>
  <si>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</si>
  <si>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</si>
  <si>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</si>
  <si>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</si>
  <si>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</si>
  <si>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</si>
  <si>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</si>
  <si>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</si>
  <si>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</si>
  <si>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</si>
  <si>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</si>
  <si>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</si>
  <si>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</si>
  <si>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</si>
  <si>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</si>
  <si>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</si>
  <si>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</si>
  <si>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</si>
  <si>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</si>
  <si>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</si>
  <si>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</si>
  <si>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</si>
  <si>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</si>
  <si>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</si>
  <si>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</si>
  <si>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</si>
  <si>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</si>
  <si>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</si>
  <si>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</si>
  <si>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</si>
  <si>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</si>
  <si>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</si>
  <si>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</si>
  <si>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</si>
  <si>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</si>
  <si>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</si>
  <si>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</si>
  <si>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</si>
  <si>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</si>
  <si>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</si>
  <si>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</si>
  <si>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</si>
  <si>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</si>
  <si>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</si>
  <si>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</si>
  <si>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</si>
  <si>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</si>
  <si>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</si>
  <si>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</si>
  <si>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</si>
  <si>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</si>
  <si>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</si>
  <si>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</si>
  <si>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</si>
  <si>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</si>
  <si>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</si>
  <si>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</si>
  <si>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</si>
  <si>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</si>
  <si>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</si>
  <si>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</si>
  <si>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</si>
  <si>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</si>
  <si>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</si>
  <si>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</si>
  <si>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</si>
  <si>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</si>
  <si>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</si>
  <si>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</si>
  <si>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</si>
  <si>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</si>
  <si>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</si>
  <si>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</si>
  <si>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</si>
  <si>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</si>
  <si>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</si>
  <si>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</si>
  <si>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</si>
  <si>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</si>
  <si>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</si>
  <si>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</si>
  <si>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</si>
  <si>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</si>
  <si>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</si>
  <si>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</si>
  <si>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</si>
  <si>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</si>
  <si>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</si>
  <si>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</si>
  <si>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</si>
  <si>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</si>
  <si>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</si>
  <si>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</si>
  <si>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</si>
  <si>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</si>
  <si>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</si>
  <si>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</si>
  <si>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</si>
  <si>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</si>
  <si>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</si>
  <si>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</si>
  <si>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</si>
  <si>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</si>
  <si>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</si>
  <si>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</si>
  <si>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</si>
  <si>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</si>
  <si>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</si>
  <si>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</si>
  <si>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</si>
  <si>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</si>
  <si>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</si>
  <si>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</si>
  <si>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</si>
  <si>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</si>
  <si>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</si>
  <si>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</si>
  <si>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</si>
  <si>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</si>
  <si>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</si>
  <si>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</si>
  <si>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</si>
  <si>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</si>
  <si>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</si>
  <si>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</si>
  <si>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</si>
  <si>
    <t>C-from MBC (EoL)-Incineration</t>
  </si>
  <si>
    <t>C-from MBC (EoL)-Pyrolysis</t>
  </si>
  <si>
    <t>Environment-from MBC (EoL)-Pyrolysis</t>
  </si>
  <si>
    <t>Environment-from Biogas-Incineration</t>
  </si>
  <si>
    <t>Environment-from MBC (EoL)-Incineration</t>
  </si>
  <si>
    <t>Rye - Straw - mobilisable technical potential_Use</t>
  </si>
  <si>
    <t>Rye-Straw (Not mobilisable RS potential)</t>
  </si>
  <si>
    <t>Rye-Straw (mobilisable technical potential)</t>
  </si>
  <si>
    <t>Rye - Straw - Technical potential used</t>
  </si>
  <si>
    <t>CO2-Rye - Straw - Technical potential used</t>
  </si>
  <si>
    <t>Environment - from Rye - Straw - Technical potential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</si>
</sst>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1">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474" totalsRowShown="0">
  <autoFilter ref="A1:AK474"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3" t="s">
        <v>220</v>
      </c>
      <c r="C11" s="143"/>
      <c r="D11" s="143"/>
      <c r="E11" s="143"/>
      <c r="F11" s="143"/>
      <c r="G11" s="143"/>
      <c r="H11" s="143"/>
      <c r="I11" s="143"/>
      <c r="J11" s="143"/>
      <c r="K11" s="143"/>
      <c r="L11" s="143"/>
      <c r="M11" s="143"/>
    </row>
    <row r="12" spans="2:13" x14ac:dyDescent="0.25">
      <c r="B12" s="143"/>
      <c r="C12" s="143"/>
      <c r="D12" s="143"/>
      <c r="E12" s="143"/>
      <c r="F12" s="143"/>
      <c r="G12" s="143"/>
      <c r="H12" s="143"/>
      <c r="I12" s="143"/>
      <c r="J12" s="143"/>
      <c r="K12" s="143"/>
      <c r="L12" s="143"/>
      <c r="M12" s="143"/>
    </row>
    <row r="13" spans="2:13" x14ac:dyDescent="0.25">
      <c r="B13" s="143"/>
      <c r="C13" s="143"/>
      <c r="D13" s="143"/>
      <c r="E13" s="143"/>
      <c r="F13" s="143"/>
      <c r="G13" s="143"/>
      <c r="H13" s="143"/>
      <c r="I13" s="143"/>
      <c r="J13" s="143"/>
      <c r="K13" s="143"/>
      <c r="L13" s="143"/>
      <c r="M13" s="143"/>
    </row>
    <row r="14" spans="2:13" x14ac:dyDescent="0.25">
      <c r="B14" s="144" t="s">
        <v>221</v>
      </c>
      <c r="C14" s="144"/>
      <c r="D14" s="144"/>
      <c r="E14" s="144"/>
      <c r="F14" s="144"/>
      <c r="G14" s="144"/>
      <c r="H14" s="144"/>
      <c r="I14" s="144"/>
      <c r="J14" s="144"/>
      <c r="K14" s="144"/>
      <c r="L14" s="144"/>
    </row>
    <row r="15" spans="2:13" x14ac:dyDescent="0.25">
      <c r="B15" s="144"/>
      <c r="C15" s="144"/>
      <c r="D15" s="144"/>
      <c r="E15" s="144"/>
      <c r="F15" s="144"/>
      <c r="G15" s="144"/>
      <c r="H15" s="144"/>
      <c r="I15" s="144"/>
      <c r="J15" s="144"/>
      <c r="K15" s="144"/>
      <c r="L15" s="144"/>
    </row>
    <row r="16" spans="2:13" x14ac:dyDescent="0.25">
      <c r="B16" s="144"/>
      <c r="C16" s="144"/>
      <c r="D16" s="144"/>
      <c r="E16" s="144"/>
      <c r="F16" s="144"/>
      <c r="G16" s="144"/>
      <c r="H16" s="144"/>
      <c r="I16" s="144"/>
      <c r="J16" s="144"/>
      <c r="K16" s="144"/>
      <c r="L16" s="144"/>
    </row>
    <row r="17" spans="2:12" x14ac:dyDescent="0.25">
      <c r="B17" s="144"/>
      <c r="C17" s="144"/>
      <c r="D17" s="144"/>
      <c r="E17" s="144"/>
      <c r="F17" s="144"/>
      <c r="G17" s="144"/>
      <c r="H17" s="144"/>
      <c r="I17" s="144"/>
      <c r="J17" s="144"/>
      <c r="K17" s="144"/>
      <c r="L17" s="144"/>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L14" activePane="bottomRight" state="frozen"/>
      <selection pane="topRight" activeCell="E1" sqref="E1"/>
      <selection pane="bottomLeft" activeCell="A14" sqref="A14"/>
      <selection pane="bottomRight" activeCell="L32" sqref="L32"/>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520</v>
      </c>
      <c r="K2" s="49" t="str">
        <f>_xlfn.XLOOKUP(J2,Tab_Def_Processes[Name(EN)],Tab_Def_Processes[Process_ID],,0,)</f>
        <v>13_Rye_BB</v>
      </c>
      <c r="L2" s="51" t="s">
        <v>527</v>
      </c>
      <c r="M2" s="61" t="str">
        <f>_xlfn.XLOOKUP(L2,Tab_Def_Processes[Name(EN)],Tab_Def_Processes[Process_ID],,0,)</f>
        <v>20_Rye_BB</v>
      </c>
      <c r="N2" s="51" t="s">
        <v>406</v>
      </c>
      <c r="O2" s="92" t="s">
        <v>68</v>
      </c>
      <c r="P2" s="51" t="s">
        <v>68</v>
      </c>
      <c r="Q2" s="96" t="s">
        <v>68</v>
      </c>
      <c r="R2" s="134">
        <f>1-Tab_Def_Flows[[#This Row],[DM]]</f>
        <v>0.14000000000000001</v>
      </c>
      <c r="S2" s="135" t="s">
        <v>529</v>
      </c>
      <c r="T2" s="134">
        <v>0.86</v>
      </c>
      <c r="U2" s="135" t="s">
        <v>529</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527</v>
      </c>
      <c r="K3" s="49" t="str">
        <f>_xlfn.XLOOKUP(J3,Tab_Def_Processes[Name(EN)],Tab_Def_Processes[Process_ID],,0,)</f>
        <v>20_Rye_BB</v>
      </c>
      <c r="L3" s="51" t="s">
        <v>522</v>
      </c>
      <c r="M3" s="61" t="str">
        <f>_xlfn.XLOOKUP(L3,Tab_Def_Processes[Name(EN)],Tab_Def_Processes[Process_ID],,0,)</f>
        <v>15_Rye_BB</v>
      </c>
      <c r="N3" s="51" t="s">
        <v>401</v>
      </c>
      <c r="O3" s="92" t="s">
        <v>68</v>
      </c>
      <c r="P3" s="51" t="s">
        <v>68</v>
      </c>
      <c r="Q3" s="96" t="s">
        <v>68</v>
      </c>
      <c r="R3" s="134">
        <f>1-Tab_Def_Flows[[#This Row],[DM]]</f>
        <v>0.14000000000000001</v>
      </c>
      <c r="S3" s="135" t="s">
        <v>529</v>
      </c>
      <c r="T3" s="134">
        <v>0.86</v>
      </c>
      <c r="U3" s="135" t="s">
        <v>529</v>
      </c>
      <c r="V3" s="134">
        <v>0.48</v>
      </c>
      <c r="W3" s="137" t="s">
        <v>426</v>
      </c>
      <c r="X3" s="138">
        <f>Tab_Def_Flows[[#This Row],[CC_DM'[%']]]*Tab_Def_Flows[[#This Row],[DM]]</f>
        <v>0.4128</v>
      </c>
      <c r="Y3" s="51"/>
    </row>
    <row r="4" spans="1:25" x14ac:dyDescent="0.25">
      <c r="A4" s="90" t="b">
        <v>1</v>
      </c>
      <c r="B4" s="114" t="s">
        <v>419</v>
      </c>
      <c r="C4" s="49" t="str">
        <f t="shared" si="0"/>
        <v>F_20_01</v>
      </c>
      <c r="D4" s="51" t="s">
        <v>573</v>
      </c>
      <c r="E4" s="89" t="s">
        <v>371</v>
      </c>
      <c r="F4" s="51" t="s">
        <v>350</v>
      </c>
      <c r="G4" s="89"/>
      <c r="H4" s="51" t="s">
        <v>374</v>
      </c>
      <c r="I4" s="89"/>
      <c r="J4" s="92" t="s">
        <v>527</v>
      </c>
      <c r="K4" s="49" t="str">
        <f>_xlfn.XLOOKUP(J4,Tab_Def_Processes[Name(EN)],Tab_Def_Processes[Process_ID],,0,)</f>
        <v>20_Rye_BB</v>
      </c>
      <c r="L4" s="51" t="s">
        <v>507</v>
      </c>
      <c r="M4" s="61" t="str">
        <f>_xlfn.XLOOKUP(L4,Tab_Def_Processes[Name(EN)],Tab_Def_Processes[Process_ID],,0,)</f>
        <v>01_Bio_BB</v>
      </c>
      <c r="N4" s="51" t="s">
        <v>401</v>
      </c>
      <c r="O4" s="92" t="s">
        <v>68</v>
      </c>
      <c r="P4" s="51" t="s">
        <v>68</v>
      </c>
      <c r="Q4" s="96" t="s">
        <v>68</v>
      </c>
      <c r="R4" s="134">
        <f>1-Tab_Def_Flows[[#This Row],[DM]]</f>
        <v>0.14000000000000001</v>
      </c>
      <c r="S4" s="135" t="s">
        <v>529</v>
      </c>
      <c r="T4" s="134">
        <v>0.86</v>
      </c>
      <c r="U4" s="135" t="s">
        <v>529</v>
      </c>
      <c r="V4" s="134">
        <v>0.48</v>
      </c>
      <c r="W4" s="137" t="s">
        <v>426</v>
      </c>
      <c r="X4" s="138">
        <f>Tab_Def_Flows[[#This Row],[CC_DM'[%']]]*Tab_Def_Flows[[#This Row],[DM]]</f>
        <v>0.4128</v>
      </c>
      <c r="Y4" s="51"/>
    </row>
    <row r="5" spans="1:25" x14ac:dyDescent="0.25">
      <c r="A5" s="90" t="b">
        <v>1</v>
      </c>
      <c r="B5" s="114" t="s">
        <v>420</v>
      </c>
      <c r="C5" s="49" t="str">
        <f t="shared" si="0"/>
        <v>F_20_16</v>
      </c>
      <c r="D5" s="51" t="s">
        <v>572</v>
      </c>
      <c r="E5" s="89" t="s">
        <v>372</v>
      </c>
      <c r="F5" s="51" t="s">
        <v>350</v>
      </c>
      <c r="G5" s="89"/>
      <c r="H5" s="51" t="s">
        <v>374</v>
      </c>
      <c r="I5" s="89"/>
      <c r="J5" s="92" t="s">
        <v>527</v>
      </c>
      <c r="K5" s="49" t="str">
        <f>_xlfn.XLOOKUP(J5,Tab_Def_Processes[Name(EN)],Tab_Def_Processes[Process_ID],,0,)</f>
        <v>20_Rye_BB</v>
      </c>
      <c r="L5" s="51" t="s">
        <v>523</v>
      </c>
      <c r="M5" s="61" t="str">
        <f>_xlfn.XLOOKUP(L5,Tab_Def_Processes[Name(EN)],Tab_Def_Processes[Process_ID],,0,)</f>
        <v>16_Rye_BB</v>
      </c>
      <c r="N5" s="51" t="s">
        <v>401</v>
      </c>
      <c r="O5" s="92" t="s">
        <v>68</v>
      </c>
      <c r="P5" s="51" t="s">
        <v>68</v>
      </c>
      <c r="Q5" s="96" t="s">
        <v>68</v>
      </c>
      <c r="R5" s="134">
        <f>1-Tab_Def_Flows[[#This Row],[DM]]</f>
        <v>0.14000000000000001</v>
      </c>
      <c r="S5" s="135" t="s">
        <v>529</v>
      </c>
      <c r="T5" s="134">
        <v>0.86</v>
      </c>
      <c r="U5" s="135" t="s">
        <v>529</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510</v>
      </c>
      <c r="K6" s="49" t="str">
        <f>_xlfn.XLOOKUP(J6,Tab_Def_Processes[Name(EN)],Tab_Def_Processes[Process_ID],,0,)</f>
        <v>04_Cow_BB</v>
      </c>
      <c r="L6" s="51" t="s">
        <v>507</v>
      </c>
      <c r="M6" s="61" t="str">
        <f>_xlfn.XLOOKUP(L6,Tab_Def_Processes[Name(EN)],Tab_Def_Processes[Process_ID],,0,)</f>
        <v>01_Bio_BB</v>
      </c>
      <c r="N6" s="51"/>
      <c r="O6" s="92" t="s">
        <v>68</v>
      </c>
      <c r="P6" s="51" t="s">
        <v>68</v>
      </c>
      <c r="Q6" s="96" t="s">
        <v>68</v>
      </c>
      <c r="R6" s="134">
        <f>1-Tab_Def_Flows[[#This Row],[DM]]</f>
        <v>0.93799999999999994</v>
      </c>
      <c r="S6" s="137" t="s">
        <v>530</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507</v>
      </c>
      <c r="K7" s="49" t="str">
        <f>_xlfn.XLOOKUP(J7,Tab_Def_Processes[Name(EN)],Tab_Def_Processes[Process_ID],,0,)</f>
        <v>01_Bio_BB</v>
      </c>
      <c r="L7" s="51" t="s">
        <v>511</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507</v>
      </c>
      <c r="K8" s="49" t="str">
        <f>_xlfn.XLOOKUP(J8,Tab_Def_Processes[Name(EN)],Tab_Def_Processes[Process_ID],,0,)</f>
        <v>01_Bio_BB</v>
      </c>
      <c r="L8" s="51" t="s">
        <v>508</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508</v>
      </c>
      <c r="K9" s="49" t="str">
        <f>_xlfn.XLOOKUP(J9,Tab_Def_Processes[Name(EN)],Tab_Def_Processes[Process_ID],,0,)</f>
        <v>02_MBC_BB</v>
      </c>
      <c r="L9" s="51" t="s">
        <v>509</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509</v>
      </c>
      <c r="K10" s="49" t="str">
        <f>_xlfn.XLOOKUP(J10,Tab_Def_Processes[Name(EN)],Tab_Def_Processes[Process_ID],,0,)</f>
        <v>03_MBC_BB</v>
      </c>
      <c r="L10" s="51" t="s">
        <v>513</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508</v>
      </c>
      <c r="K11" s="49" t="str">
        <f>_xlfn.XLOOKUP(J11,Tab_Def_Processes[Name(EN)],Tab_Def_Processes[Process_ID],,0,)</f>
        <v>02_MBC_BB</v>
      </c>
      <c r="L11" s="51" t="s">
        <v>512</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517</v>
      </c>
      <c r="K12" s="49" t="str">
        <f>_xlfn.XLOOKUP(J12,Tab_Def_Processes[Name(EN)],Tab_Def_Processes[Process_ID],,0,)</f>
        <v>11_Mil_BB</v>
      </c>
      <c r="L12" s="51" t="s">
        <v>508</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514</v>
      </c>
      <c r="K13" s="49" t="str">
        <f>_xlfn.XLOOKUP(J13,Tab_Def_Processes[Name(EN)],Tab_Def_Processes[Process_ID],,0,)</f>
        <v>08_Wat_BB</v>
      </c>
      <c r="L13" s="51" t="s">
        <v>508</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508</v>
      </c>
      <c r="K14" s="49" t="str">
        <f>_xlfn.XLOOKUP(J14,Tab_Def_Processes[Name(EN)],Tab_Def_Processes[Process_ID],,0,)</f>
        <v>02_MBC_BB</v>
      </c>
      <c r="L14" s="51" t="s">
        <v>521</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508</v>
      </c>
      <c r="K15" s="49" t="str">
        <f>_xlfn.XLOOKUP(J15,Tab_Def_Processes[Name(EN)],Tab_Def_Processes[Process_ID],,0,)</f>
        <v>02_MBC_BB</v>
      </c>
      <c r="L15" s="51" t="s">
        <v>519</v>
      </c>
      <c r="M15" s="61" t="str">
        <f>_xlfn.XLOOKUP(L15,Tab_Def_Processes[Name(EN)],Tab_Def_Processes[Process_ID],,0,)</f>
        <v>12_MBC_BB</v>
      </c>
      <c r="N15" s="51"/>
      <c r="O15" s="92" t="s">
        <v>68</v>
      </c>
      <c r="P15" s="51" t="s">
        <v>68</v>
      </c>
      <c r="Q15" s="96" t="s">
        <v>68</v>
      </c>
      <c r="R15" s="134">
        <f>1-Tab_Def_Flows[[#This Row],[DM]]</f>
        <v>0</v>
      </c>
      <c r="S15" s="139"/>
      <c r="T15" s="140">
        <v>1</v>
      </c>
      <c r="U15" s="139"/>
      <c r="V15" s="140">
        <v>0.36707297009656997</v>
      </c>
      <c r="W15" s="139"/>
      <c r="X15" s="141">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513</v>
      </c>
      <c r="K16" s="49" t="str">
        <f>_xlfn.XLOOKUP(J16,Tab_Def_Processes[Name(EN)],Tab_Def_Processes[Process_ID],,0,)</f>
        <v>07_MBC_BB</v>
      </c>
      <c r="L16" s="51" t="s">
        <v>515</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513</v>
      </c>
      <c r="K17" s="49" t="str">
        <f>_xlfn.XLOOKUP(J17,Tab_Def_Processes[Name(EN)],Tab_Def_Processes[Process_ID],,0,)</f>
        <v>07_MBC_BB</v>
      </c>
      <c r="L17" s="51" t="s">
        <v>516</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515</v>
      </c>
      <c r="K18" s="49" t="str">
        <f>_xlfn.XLOOKUP(J18,Tab_Def_Processes[Name(EN)],Tab_Def_Processes[Process_ID],,0,)</f>
        <v>09_MBC_BB</v>
      </c>
      <c r="L18" s="51" t="s">
        <v>524</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F_10_22</v>
      </c>
      <c r="D19" s="51" t="s">
        <v>497</v>
      </c>
      <c r="E19" s="89" t="s">
        <v>397</v>
      </c>
      <c r="F19" s="51" t="s">
        <v>350</v>
      </c>
      <c r="G19" s="89"/>
      <c r="H19" s="51" t="s">
        <v>376</v>
      </c>
      <c r="I19" s="89"/>
      <c r="J19" s="51" t="s">
        <v>516</v>
      </c>
      <c r="K19" s="49" t="str">
        <f>_xlfn.XLOOKUP(J19,Tab_Def_Processes[Name(EN)],Tab_Def_Processes[Process_ID],,0,)</f>
        <v>10_MBC_BB</v>
      </c>
      <c r="L19" s="51" t="s">
        <v>557</v>
      </c>
      <c r="M19" s="61" t="str">
        <f>_xlfn.XLOOKUP(L19,Tab_Def_Processes[Name(EN)],Tab_Def_Processes[Process_ID],,0,)</f>
        <v>22_Env_BB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566</v>
      </c>
      <c r="E20" s="89" t="s">
        <v>409</v>
      </c>
      <c r="F20" s="51" t="s">
        <v>350</v>
      </c>
      <c r="G20" s="89"/>
      <c r="H20" s="51" t="s">
        <v>376</v>
      </c>
      <c r="I20" s="89"/>
      <c r="J20" s="51" t="s">
        <v>516</v>
      </c>
      <c r="K20" s="49" t="str">
        <f>_xlfn.XLOOKUP(J20,Tab_Def_Processes[Name(EN)],Tab_Def_Processes[Process_ID],,0,)</f>
        <v>10_MBC_BB</v>
      </c>
      <c r="L20" s="51" t="s">
        <v>526</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1</v>
      </c>
      <c r="W20" s="137"/>
      <c r="X20" s="138">
        <f>Tab_Def_Flows[[#This Row],[CC_DM'[%']]]*Tab_Def_Flows[[#This Row],[DM]]</f>
        <v>1</v>
      </c>
      <c r="Y20" s="51"/>
    </row>
    <row r="21" spans="1:25" x14ac:dyDescent="0.25">
      <c r="A21" s="90" t="b">
        <v>0</v>
      </c>
      <c r="B21" s="114" t="s">
        <v>441</v>
      </c>
      <c r="C21" s="49" t="str">
        <f t="shared" si="0"/>
        <v>F_00_13</v>
      </c>
      <c r="D21" s="51" t="s">
        <v>498</v>
      </c>
      <c r="E21" s="89"/>
      <c r="F21" s="51" t="s">
        <v>350</v>
      </c>
      <c r="G21" s="89"/>
      <c r="H21" s="51" t="s">
        <v>373</v>
      </c>
      <c r="I21" s="89"/>
      <c r="J21" s="92" t="s">
        <v>518</v>
      </c>
      <c r="K21" s="49" t="str">
        <f>_xlfn.XLOOKUP(J21,Tab_Def_Processes[Name(EN)],Tab_Def_Processes[Process_ID],,0,)</f>
        <v>00_Env_BB</v>
      </c>
      <c r="L21" s="51" t="s">
        <v>520</v>
      </c>
      <c r="M21" s="61" t="str">
        <f>_xlfn.XLOOKUP(L21,Tab_Def_Processes[Name(EN)],Tab_Def_Processes[Process_ID],,0,)</f>
        <v>13_Rye_BB</v>
      </c>
      <c r="N21" s="51"/>
      <c r="O21" s="92" t="s">
        <v>68</v>
      </c>
      <c r="P21" s="51" t="s">
        <v>68</v>
      </c>
      <c r="Q21" s="96" t="s">
        <v>68</v>
      </c>
      <c r="R21" s="134">
        <v>0.23841961852861027</v>
      </c>
      <c r="S21" s="135" t="s">
        <v>529</v>
      </c>
      <c r="T21" s="134">
        <v>0.76158038147138973</v>
      </c>
      <c r="U21" s="135" t="s">
        <v>529</v>
      </c>
      <c r="V21" s="136">
        <v>0</v>
      </c>
      <c r="W21" s="137" t="s">
        <v>426</v>
      </c>
      <c r="X21" s="138">
        <f>Tab_Def_Flows[[#This Row],[CC_DM'[%']]]*Tab_Def_Flows[[#This Row],[DM]]</f>
        <v>0</v>
      </c>
      <c r="Y21" s="51"/>
    </row>
    <row r="22" spans="1:25" x14ac:dyDescent="0.25">
      <c r="A22" s="90" t="b">
        <v>0</v>
      </c>
      <c r="B22" s="114" t="s">
        <v>442</v>
      </c>
      <c r="C22" s="49" t="str">
        <f t="shared" si="0"/>
        <v>F_00_04</v>
      </c>
      <c r="D22" s="51" t="s">
        <v>499</v>
      </c>
      <c r="E22" s="89"/>
      <c r="F22" s="51" t="s">
        <v>350</v>
      </c>
      <c r="G22" s="89"/>
      <c r="H22" s="51" t="s">
        <v>374</v>
      </c>
      <c r="I22" s="89"/>
      <c r="J22" s="92" t="s">
        <v>518</v>
      </c>
      <c r="K22" s="49" t="str">
        <f>_xlfn.XLOOKUP(J22,Tab_Def_Processes[Name(EN)],Tab_Def_Processes[Process_ID],,0,)</f>
        <v>00_Env_BB</v>
      </c>
      <c r="L22" s="51" t="s">
        <v>510</v>
      </c>
      <c r="M22" s="61" t="str">
        <f>_xlfn.XLOOKUP(L22,Tab_Def_Processes[Name(EN)],Tab_Def_Processes[Process_ID],,0,)</f>
        <v>04_Cow_BB</v>
      </c>
      <c r="N22" s="51"/>
      <c r="O22" s="92" t="s">
        <v>68</v>
      </c>
      <c r="P22" s="51" t="s">
        <v>68</v>
      </c>
      <c r="Q22" s="96" t="s">
        <v>68</v>
      </c>
      <c r="R22" s="134">
        <v>0.96738928652461786</v>
      </c>
      <c r="S22" s="137" t="s">
        <v>530</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500</v>
      </c>
      <c r="E23" s="89"/>
      <c r="F23" s="51" t="s">
        <v>350</v>
      </c>
      <c r="G23" s="89"/>
      <c r="H23" s="51" t="s">
        <v>373</v>
      </c>
      <c r="I23" s="89"/>
      <c r="J23" s="92" t="s">
        <v>518</v>
      </c>
      <c r="K23" s="49" t="str">
        <f>_xlfn.XLOOKUP(J23,Tab_Def_Processes[Name(EN)],Tab_Def_Processes[Process_ID],,0,)</f>
        <v>00_Env_BB</v>
      </c>
      <c r="L23" s="51" t="s">
        <v>517</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501</v>
      </c>
      <c r="E24" s="89"/>
      <c r="F24" s="51" t="s">
        <v>350</v>
      </c>
      <c r="G24" s="89"/>
      <c r="H24" s="51" t="s">
        <v>373</v>
      </c>
      <c r="I24" s="89"/>
      <c r="J24" s="92" t="s">
        <v>518</v>
      </c>
      <c r="K24" s="49" t="str">
        <f>_xlfn.XLOOKUP(J24,Tab_Def_Processes[Name(EN)],Tab_Def_Processes[Process_ID],,0,)</f>
        <v>00_Env_BB</v>
      </c>
      <c r="L24" s="51" t="s">
        <v>514</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567</v>
      </c>
      <c r="E25" s="89"/>
      <c r="F25" s="51" t="s">
        <v>350</v>
      </c>
      <c r="G25" s="89"/>
      <c r="H25" s="51" t="s">
        <v>360</v>
      </c>
      <c r="I25" s="89"/>
      <c r="J25" s="92" t="s">
        <v>515</v>
      </c>
      <c r="K25" s="49" t="str">
        <f>_xlfn.XLOOKUP(J25,Tab_Def_Processes[Name(EN)],Tab_Def_Processes[Process_ID],,0,)</f>
        <v>09_MBC_BB</v>
      </c>
      <c r="L25" s="51" t="s">
        <v>526</v>
      </c>
      <c r="M25" s="61" t="str">
        <f>_xlfn.XLOOKUP(L25,Tab_Def_Processes[Name(EN)],Tab_Def_Processes[Process_ID],,0,)</f>
        <v>19_Atm_BB</v>
      </c>
      <c r="N25" s="51"/>
      <c r="O25" s="92" t="s">
        <v>68</v>
      </c>
      <c r="P25" s="51" t="s">
        <v>68</v>
      </c>
      <c r="Q25" s="96" t="s">
        <v>68</v>
      </c>
      <c r="R25" s="134">
        <f>1-Tab_Def_Flows[[#This Row],[DM]]</f>
        <v>0</v>
      </c>
      <c r="S25" s="137"/>
      <c r="T25" s="134">
        <v>1</v>
      </c>
      <c r="U25" s="137"/>
      <c r="V25" s="134">
        <v>1</v>
      </c>
      <c r="W25" s="137"/>
      <c r="X25" s="138">
        <f>Tab_Def_Flows[[#This Row],[CC_DM'[%']]]*Tab_Def_Flows[[#This Row],[DM]]</f>
        <v>1</v>
      </c>
      <c r="Y25" s="51"/>
    </row>
    <row r="26" spans="1:25" x14ac:dyDescent="0.25">
      <c r="A26" s="90" t="b">
        <v>0</v>
      </c>
      <c r="B26" s="114" t="s">
        <v>446</v>
      </c>
      <c r="C26" s="49" t="str">
        <f t="shared" si="0"/>
        <v>F_17_19</v>
      </c>
      <c r="D26" s="51" t="s">
        <v>503</v>
      </c>
      <c r="E26" s="89"/>
      <c r="F26" s="51" t="s">
        <v>350</v>
      </c>
      <c r="G26" s="89"/>
      <c r="H26" s="51" t="s">
        <v>376</v>
      </c>
      <c r="I26" s="89"/>
      <c r="J26" s="92" t="s">
        <v>524</v>
      </c>
      <c r="K26" s="49" t="str">
        <f>_xlfn.XLOOKUP(J26,Tab_Def_Processes[Name(EN)],Tab_Def_Processes[Process_ID],,0,)</f>
        <v>17_Lit_BB</v>
      </c>
      <c r="L26" s="51" t="s">
        <v>526</v>
      </c>
      <c r="M26" s="61" t="str">
        <f>_xlfn.XLOOKUP(L26,Tab_Def_Processes[Name(EN)],Tab_Def_Processes[Process_ID],,0,)</f>
        <v>19_Atm_BB</v>
      </c>
      <c r="N26" s="51"/>
      <c r="O26" s="92" t="s">
        <v>68</v>
      </c>
      <c r="P26" s="51" t="s">
        <v>68</v>
      </c>
      <c r="Q26" s="96" t="s">
        <v>68</v>
      </c>
      <c r="R26" s="134">
        <f>1-Tab_Def_Flows[[#This Row],[DM]]</f>
        <v>0</v>
      </c>
      <c r="S26" s="137"/>
      <c r="T26" s="134">
        <v>1</v>
      </c>
      <c r="U26" s="137"/>
      <c r="V26" s="134">
        <v>1</v>
      </c>
      <c r="W26" s="137"/>
      <c r="X26" s="138">
        <f>Tab_Def_Flows[[#This Row],[CC_DM'[%']]]*Tab_Def_Flows[[#This Row],[DM]]</f>
        <v>1</v>
      </c>
      <c r="Y26" s="51"/>
    </row>
    <row r="27" spans="1:25" x14ac:dyDescent="0.25">
      <c r="A27" s="90" t="b">
        <v>0</v>
      </c>
      <c r="B27" s="114" t="s">
        <v>447</v>
      </c>
      <c r="C27" s="49" t="str">
        <f t="shared" si="0"/>
        <v>F_09_22</v>
      </c>
      <c r="D27" s="51" t="s">
        <v>568</v>
      </c>
      <c r="E27" s="89"/>
      <c r="F27" s="51" t="s">
        <v>350</v>
      </c>
      <c r="G27" s="89"/>
      <c r="H27" s="51"/>
      <c r="I27" s="89"/>
      <c r="J27" s="92" t="s">
        <v>515</v>
      </c>
      <c r="K27" s="49" t="str">
        <f>_xlfn.XLOOKUP(J27,Tab_Def_Processes[Name(EN)],Tab_Def_Processes[Process_ID],,0,)</f>
        <v>09_MBC_BB</v>
      </c>
      <c r="L27" s="51" t="s">
        <v>557</v>
      </c>
      <c r="M27" s="61" t="str">
        <f>_xlfn.XLOOKUP(L27,Tab_Def_Processes[Name(EN)],Tab_Def_Processes[Process_ID],,0,)</f>
        <v>22_Env_BB</v>
      </c>
      <c r="N27" s="51"/>
      <c r="O27" s="92" t="s">
        <v>68</v>
      </c>
      <c r="P27" s="51" t="s">
        <v>68</v>
      </c>
      <c r="Q27" s="96" t="s">
        <v>68</v>
      </c>
      <c r="R27" s="134">
        <v>0.72596641072125334</v>
      </c>
      <c r="S27" s="137"/>
      <c r="T27" s="134">
        <v>0.27403358927874666</v>
      </c>
      <c r="U27" s="137"/>
      <c r="V27" s="134">
        <v>0</v>
      </c>
      <c r="W27" s="137"/>
      <c r="X27" s="138">
        <f>Tab_Def_Flows[[#This Row],[CC_DM'[%']]]*Tab_Def_Flows[[#This Row],[DM]]</f>
        <v>0</v>
      </c>
      <c r="Y27" s="51"/>
    </row>
    <row r="28" spans="1:25" x14ac:dyDescent="0.25">
      <c r="A28" s="90" t="b">
        <v>1</v>
      </c>
      <c r="B28" s="114" t="s">
        <v>448</v>
      </c>
      <c r="C28" s="49" t="str">
        <f t="shared" si="0"/>
        <v>F_24_24</v>
      </c>
      <c r="D28" s="51"/>
      <c r="E28" s="89"/>
      <c r="F28" s="51"/>
      <c r="G28" s="89"/>
      <c r="H28" s="51"/>
      <c r="I28" s="89"/>
      <c r="J28" s="92"/>
      <c r="K28" s="49" t="str">
        <f>_xlfn.XLOOKUP(J28,Tab_Def_Processes[Name(EN)],Tab_Def_Processes[Process_ID],,0,)</f>
        <v>24__</v>
      </c>
      <c r="L28" s="51"/>
      <c r="M28" s="61" t="str">
        <f>_xlfn.XLOOKUP(L28,Tab_Def_Processes[Name(EN)],Tab_Def_Processes[Process_ID],,0,)</f>
        <v>24__</v>
      </c>
      <c r="N28" s="51"/>
      <c r="O28" s="92" t="s">
        <v>68</v>
      </c>
      <c r="P28" s="51" t="s">
        <v>68</v>
      </c>
      <c r="Q28" s="96" t="s">
        <v>68</v>
      </c>
      <c r="R28" s="134"/>
      <c r="S28" s="137"/>
      <c r="T28" s="134"/>
      <c r="U28" s="137"/>
      <c r="V28" s="134"/>
      <c r="W28" s="137"/>
      <c r="X28" s="138"/>
      <c r="Y28" s="51"/>
    </row>
    <row r="29" spans="1:25" x14ac:dyDescent="0.25">
      <c r="A29" s="90" t="b">
        <v>1</v>
      </c>
      <c r="B29" s="114" t="s">
        <v>449</v>
      </c>
      <c r="C29" s="49" t="str">
        <f t="shared" si="0"/>
        <v>F_01_21</v>
      </c>
      <c r="D29" s="51" t="s">
        <v>506</v>
      </c>
      <c r="E29" s="89"/>
      <c r="F29" s="51"/>
      <c r="G29" s="89"/>
      <c r="H29" s="51"/>
      <c r="I29" s="89"/>
      <c r="J29" s="92" t="s">
        <v>507</v>
      </c>
      <c r="K29" s="49" t="str">
        <f>_xlfn.XLOOKUP(J29,Tab_Def_Processes[Name(EN)],Tab_Def_Processes[Process_ID],,0,)</f>
        <v>01_Bio_BB</v>
      </c>
      <c r="L29" s="51" t="s">
        <v>528</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551</v>
      </c>
      <c r="E30" s="89"/>
      <c r="F30" s="51"/>
      <c r="G30" s="89"/>
      <c r="H30" s="51"/>
      <c r="I30" s="89"/>
      <c r="J30" s="92" t="s">
        <v>526</v>
      </c>
      <c r="K30" s="49" t="str">
        <f>_xlfn.XLOOKUP(J30,Tab_Def_Processes[Name(EN)],Tab_Def_Processes[Process_ID],,0,)</f>
        <v>19_Atm_BB</v>
      </c>
      <c r="L30" s="51" t="s">
        <v>520</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552</v>
      </c>
      <c r="E31" s="89"/>
      <c r="F31" s="51"/>
      <c r="G31" s="89"/>
      <c r="H31" s="51"/>
      <c r="I31" s="89"/>
      <c r="J31" s="92" t="s">
        <v>526</v>
      </c>
      <c r="K31" s="49" t="str">
        <f>_xlfn.XLOOKUP(J31,Tab_Def_Processes[Name(EN)],Tab_Def_Processes[Process_ID],,0,)</f>
        <v>19_Atm_BB</v>
      </c>
      <c r="L31" s="51" t="s">
        <v>510</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553</v>
      </c>
      <c r="E32" s="89"/>
      <c r="F32" s="51"/>
      <c r="G32" s="89"/>
      <c r="H32" s="51"/>
      <c r="I32" s="89"/>
      <c r="J32" s="92" t="s">
        <v>526</v>
      </c>
      <c r="K32" s="49" t="str">
        <f>_xlfn.XLOOKUP(J32,Tab_Def_Processes[Name(EN)],Tab_Def_Processes[Process_ID],,0,)</f>
        <v>19_Atm_BB</v>
      </c>
      <c r="L32" s="51" t="s">
        <v>517</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554</v>
      </c>
      <c r="E33" s="89"/>
      <c r="F33" s="51"/>
      <c r="G33" s="89"/>
      <c r="H33" s="51"/>
      <c r="I33" s="89"/>
      <c r="J33" s="92" t="s">
        <v>522</v>
      </c>
      <c r="K33" s="49" t="str">
        <f>_xlfn.XLOOKUP(J33,Tab_Def_Processes[Name(EN)],Tab_Def_Processes[Process_ID],,0,)</f>
        <v>15_Rye_BB</v>
      </c>
      <c r="L33" s="51" t="s">
        <v>526</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555</v>
      </c>
      <c r="E34" s="89"/>
      <c r="F34" s="51"/>
      <c r="G34" s="89"/>
      <c r="H34" s="51"/>
      <c r="I34" s="89"/>
      <c r="J34" s="92" t="s">
        <v>523</v>
      </c>
      <c r="K34" s="49" t="str">
        <f>_xlfn.XLOOKUP(J34,Tab_Def_Processes[Name(EN)],Tab_Def_Processes[Process_ID],,0,)</f>
        <v>16_Rye_BB</v>
      </c>
      <c r="L34" s="51" t="s">
        <v>526</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556</v>
      </c>
      <c r="E35" s="89"/>
      <c r="F35" s="51"/>
      <c r="G35" s="89"/>
      <c r="H35" s="51"/>
      <c r="I35" s="89"/>
      <c r="J35" s="92" t="s">
        <v>511</v>
      </c>
      <c r="K35" s="49" t="str">
        <f>_xlfn.XLOOKUP(J35,Tab_Def_Processes[Name(EN)],Tab_Def_Processes[Process_ID],,0,)</f>
        <v>05_Bio_BB</v>
      </c>
      <c r="L35" s="51" t="s">
        <v>526</v>
      </c>
      <c r="M35" s="61" t="str">
        <f>_xlfn.XLOOKUP(L35,Tab_Def_Processes[Name(EN)],Tab_Def_Processes[Process_ID],,0,)</f>
        <v>19_Atm_BB</v>
      </c>
      <c r="N35" s="51"/>
      <c r="O35" s="92" t="s">
        <v>68</v>
      </c>
      <c r="P35" s="51" t="s">
        <v>68</v>
      </c>
      <c r="Q35" s="96" t="s">
        <v>68</v>
      </c>
      <c r="R35" s="103">
        <f>R7</f>
        <v>0</v>
      </c>
      <c r="S35" s="96"/>
      <c r="T35" s="103">
        <f>T7</f>
        <v>1</v>
      </c>
      <c r="U35" s="96"/>
      <c r="V35" s="103">
        <v>1</v>
      </c>
      <c r="W35" s="96"/>
      <c r="X35" s="138">
        <f>Tab_Def_Flows[[#This Row],[CC_DM'[%']]]*Tab_Def_Flows[[#This Row],[DM]]</f>
        <v>1</v>
      </c>
      <c r="Y35" s="51"/>
    </row>
    <row r="36" spans="1:25" x14ac:dyDescent="0.25">
      <c r="A36" s="90" t="b">
        <v>0</v>
      </c>
      <c r="B36" s="114" t="s">
        <v>456</v>
      </c>
      <c r="C36" s="49" t="str">
        <f t="shared" si="0"/>
        <v>F_15_22</v>
      </c>
      <c r="D36" s="51" t="s">
        <v>558</v>
      </c>
      <c r="E36" s="89"/>
      <c r="F36" s="51"/>
      <c r="G36" s="89"/>
      <c r="H36" s="51"/>
      <c r="I36" s="89"/>
      <c r="J36" s="92" t="s">
        <v>522</v>
      </c>
      <c r="K36" s="49" t="str">
        <f>_xlfn.XLOOKUP(J36,Tab_Def_Processes[Name(EN)],Tab_Def_Processes[Process_ID],,0,)</f>
        <v>15_Rye_BB</v>
      </c>
      <c r="L36" s="51" t="s">
        <v>557</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559</v>
      </c>
      <c r="E37" s="89"/>
      <c r="F37" s="51"/>
      <c r="G37" s="89"/>
      <c r="H37" s="51"/>
      <c r="I37" s="89"/>
      <c r="J37" s="92" t="s">
        <v>523</v>
      </c>
      <c r="K37" s="49" t="str">
        <f>_xlfn.XLOOKUP(J37,Tab_Def_Processes[Name(EN)],Tab_Def_Processes[Process_ID],,0,)</f>
        <v>16_Rye_BB</v>
      </c>
      <c r="L37" s="51" t="s">
        <v>557</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560</v>
      </c>
      <c r="E38" s="89"/>
      <c r="F38" s="51"/>
      <c r="G38" s="89"/>
      <c r="H38" s="51"/>
      <c r="I38" s="89"/>
      <c r="J38" s="92" t="s">
        <v>519</v>
      </c>
      <c r="K38" s="49" t="str">
        <f>_xlfn.XLOOKUP(J38,Tab_Def_Processes[Name(EN)],Tab_Def_Processes[Process_ID],,0,)</f>
        <v>12_MBC_BB</v>
      </c>
      <c r="L38" s="51" t="s">
        <v>557</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561</v>
      </c>
      <c r="E39" s="89"/>
      <c r="F39" s="51"/>
      <c r="G39" s="89"/>
      <c r="H39" s="51"/>
      <c r="I39" s="89"/>
      <c r="J39" s="92" t="s">
        <v>519</v>
      </c>
      <c r="K39" s="49" t="str">
        <f>_xlfn.XLOOKUP(J39,Tab_Def_Processes[Name(EN)],Tab_Def_Processes[Process_ID],,0,)</f>
        <v>12_MBC_BB</v>
      </c>
      <c r="L39" s="51" t="s">
        <v>526</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562</v>
      </c>
      <c r="E40" s="89"/>
      <c r="F40" s="51"/>
      <c r="G40" s="89"/>
      <c r="H40" s="51"/>
      <c r="I40" s="89"/>
      <c r="J40" s="92" t="s">
        <v>512</v>
      </c>
      <c r="K40" s="49" t="str">
        <f>_xlfn.XLOOKUP(J40,Tab_Def_Processes[Name(EN)],Tab_Def_Processes[Process_ID],,0,)</f>
        <v>06_MBC_BB</v>
      </c>
      <c r="L40" s="51" t="s">
        <v>526</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563</v>
      </c>
      <c r="E41" s="89"/>
      <c r="F41" s="51"/>
      <c r="G41" s="89"/>
      <c r="H41" s="51"/>
      <c r="I41" s="89"/>
      <c r="J41" s="92" t="s">
        <v>512</v>
      </c>
      <c r="K41" s="49" t="str">
        <f>_xlfn.XLOOKUP(J41,Tab_Def_Processes[Name(EN)],Tab_Def_Processes[Process_ID],,0,)</f>
        <v>06_MBC_BB</v>
      </c>
      <c r="L41" s="51" t="s">
        <v>557</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565</v>
      </c>
      <c r="E42" s="89"/>
      <c r="F42" s="51"/>
      <c r="G42" s="89"/>
      <c r="H42" s="51"/>
      <c r="I42" s="89"/>
      <c r="J42" s="92" t="s">
        <v>528</v>
      </c>
      <c r="K42" s="49" t="str">
        <f>_xlfn.XLOOKUP(J42,Tab_Def_Processes[Name(EN)],Tab_Def_Processes[Process_ID],,0,)</f>
        <v>21_Bio_BB</v>
      </c>
      <c r="L42" s="51" t="s">
        <v>526</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564</v>
      </c>
      <c r="E43" s="89"/>
      <c r="F43" s="51"/>
      <c r="G43" s="89"/>
      <c r="H43" s="51"/>
      <c r="I43" s="89"/>
      <c r="J43" s="92" t="s">
        <v>528</v>
      </c>
      <c r="K43" s="49" t="str">
        <f>_xlfn.XLOOKUP(J43,Tab_Def_Processes[Name(EN)],Tab_Def_Processes[Process_ID],,0,)</f>
        <v>21_Bio_BB</v>
      </c>
      <c r="L43" s="51" t="s">
        <v>557</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F_24_24</v>
      </c>
      <c r="D44" s="51"/>
      <c r="E44" s="89"/>
      <c r="F44" s="51"/>
      <c r="G44" s="89"/>
      <c r="H44" s="51"/>
      <c r="I44" s="89"/>
      <c r="J44" s="92"/>
      <c r="K44" s="49" t="str">
        <f>_xlfn.XLOOKUP(J44,Tab_Def_Processes[Name(EN)],Tab_Def_Processes[Process_ID],,0,)</f>
        <v>24__</v>
      </c>
      <c r="L44" s="51"/>
      <c r="M44" s="61" t="str">
        <f>_xlfn.XLOOKUP(L44,Tab_Def_Processes[Name(EN)],Tab_Def_Processes[Process_ID],,0,)</f>
        <v>24__</v>
      </c>
      <c r="N44" s="51"/>
      <c r="O44" s="92" t="s">
        <v>68</v>
      </c>
      <c r="P44" s="51" t="s">
        <v>68</v>
      </c>
      <c r="Q44" s="96" t="s">
        <v>68</v>
      </c>
      <c r="R44" s="103"/>
      <c r="S44" s="96"/>
      <c r="T44" s="103"/>
      <c r="U44" s="96"/>
      <c r="V44" s="103"/>
      <c r="W44" s="96"/>
      <c r="X44" s="138">
        <f>Tab_Def_Flows[[#This Row],[CC_DM'[%']]]*Tab_Def_Flows[[#This Row],[DM]]</f>
        <v>0</v>
      </c>
      <c r="Y44" s="51"/>
    </row>
    <row r="45" spans="1:25" x14ac:dyDescent="0.25">
      <c r="A45" s="90" t="b">
        <v>0</v>
      </c>
      <c r="B45" s="114" t="s">
        <v>465</v>
      </c>
      <c r="C45" s="49" t="str">
        <f t="shared" si="0"/>
        <v>F_05_22</v>
      </c>
      <c r="D45" s="51" t="s">
        <v>569</v>
      </c>
      <c r="E45" s="89"/>
      <c r="F45" s="51"/>
      <c r="G45" s="89"/>
      <c r="H45" s="51"/>
      <c r="I45" s="89"/>
      <c r="J45" s="92" t="s">
        <v>511</v>
      </c>
      <c r="K45" s="49" t="str">
        <f>_xlfn.XLOOKUP(J45,Tab_Def_Processes[Name(EN)],Tab_Def_Processes[Process_ID],,0,)</f>
        <v>05_Bio_BB</v>
      </c>
      <c r="L45" s="51" t="s">
        <v>557</v>
      </c>
      <c r="M45" s="61" t="str">
        <f>_xlfn.XLOOKUP(L45,Tab_Def_Processes[Name(EN)],Tab_Def_Processes[Process_ID],,0,)</f>
        <v>22_Env_BB</v>
      </c>
      <c r="N45" s="51"/>
      <c r="O45" s="92" t="s">
        <v>68</v>
      </c>
      <c r="P45" s="51" t="s">
        <v>68</v>
      </c>
      <c r="Q45" s="96" t="s">
        <v>68</v>
      </c>
      <c r="R45" s="103">
        <v>0</v>
      </c>
      <c r="S45" s="96"/>
      <c r="T45" s="103">
        <v>1</v>
      </c>
      <c r="U45" s="96"/>
      <c r="V45" s="103">
        <v>0</v>
      </c>
      <c r="W45" s="96"/>
      <c r="X45" s="138">
        <f>Tab_Def_Flows[[#This Row],[CC_DM'[%']]]*Tab_Def_Flows[[#This Row],[DM]]</f>
        <v>0</v>
      </c>
      <c r="Y45" s="51"/>
    </row>
    <row r="46" spans="1:25" x14ac:dyDescent="0.25">
      <c r="A46" s="90" t="b">
        <v>0</v>
      </c>
      <c r="B46" s="114" t="s">
        <v>466</v>
      </c>
      <c r="C46" s="49" t="str">
        <f t="shared" si="0"/>
        <v>F_10_22</v>
      </c>
      <c r="D46" s="51" t="s">
        <v>570</v>
      </c>
      <c r="E46" s="89"/>
      <c r="F46" s="51"/>
      <c r="G46" s="89"/>
      <c r="H46" s="51"/>
      <c r="I46" s="89"/>
      <c r="J46" s="92" t="s">
        <v>516</v>
      </c>
      <c r="K46" s="49" t="str">
        <f>_xlfn.XLOOKUP(J46,Tab_Def_Processes[Name(EN)],Tab_Def_Processes[Process_ID],,0,)</f>
        <v>10_MBC_BB</v>
      </c>
      <c r="L46" s="51" t="s">
        <v>557</v>
      </c>
      <c r="M46" s="61" t="str">
        <f>_xlfn.XLOOKUP(L46,Tab_Def_Processes[Name(EN)],Tab_Def_Processes[Process_ID],,0,)</f>
        <v>22_Env_BB</v>
      </c>
      <c r="N46" s="51"/>
      <c r="O46" s="92" t="s">
        <v>68</v>
      </c>
      <c r="P46" s="51" t="s">
        <v>68</v>
      </c>
      <c r="Q46" s="96" t="s">
        <v>68</v>
      </c>
      <c r="R46" s="103">
        <v>0.71748783749047873</v>
      </c>
      <c r="S46" s="96"/>
      <c r="T46" s="103">
        <v>0.28251216250952127</v>
      </c>
      <c r="U46" s="96"/>
      <c r="V46" s="103">
        <v>1.633986928104576E-2</v>
      </c>
      <c r="W46" s="96"/>
      <c r="X46" s="138">
        <f>Tab_Def_Flows[[#This Row],[CC_DM'[%']]]*Tab_Def_Flows[[#This Row],[DM]]</f>
        <v>4.6162118057111344E-3</v>
      </c>
      <c r="Y46" s="51"/>
    </row>
    <row r="47" spans="1:25" x14ac:dyDescent="0.25">
      <c r="A47" s="90" t="b">
        <v>0</v>
      </c>
      <c r="B47" s="114" t="s">
        <v>467</v>
      </c>
      <c r="C47" s="49" t="str">
        <f t="shared" si="0"/>
        <v>F_20_23</v>
      </c>
      <c r="D47" s="51" t="s">
        <v>574</v>
      </c>
      <c r="E47" s="89"/>
      <c r="F47" s="51"/>
      <c r="G47" s="89"/>
      <c r="H47" s="51"/>
      <c r="I47" s="89"/>
      <c r="J47" s="92" t="s">
        <v>527</v>
      </c>
      <c r="K47" s="49" t="str">
        <f>_xlfn.XLOOKUP(J47,Tab_Def_Processes[Name(EN)],Tab_Def_Processes[Process_ID],,0,)</f>
        <v>20_Rye_BB</v>
      </c>
      <c r="L47" s="51" t="s">
        <v>571</v>
      </c>
      <c r="M47" s="61" t="str">
        <f>_xlfn.XLOOKUP(L47,Tab_Def_Processes[Name(EN)],Tab_Def_Processes[Process_ID],,0,)</f>
        <v>23_Rye_</v>
      </c>
      <c r="N47" s="51"/>
      <c r="O47" s="92" t="s">
        <v>68</v>
      </c>
      <c r="P47" s="51" t="s">
        <v>68</v>
      </c>
      <c r="Q47" s="96" t="s">
        <v>68</v>
      </c>
      <c r="R47" s="103">
        <v>0.14000000000000001</v>
      </c>
      <c r="S47" s="96"/>
      <c r="T47" s="103">
        <v>0.86</v>
      </c>
      <c r="U47" s="96"/>
      <c r="V47" s="103">
        <v>0.48</v>
      </c>
      <c r="W47" s="96"/>
      <c r="X47" s="138">
        <f>Tab_Def_Flows[[#This Row],[CC_DM'[%']]]*Tab_Def_Flows[[#This Row],[DM]]</f>
        <v>0.4128</v>
      </c>
      <c r="Y47" s="51"/>
    </row>
    <row r="48" spans="1:25" x14ac:dyDescent="0.25">
      <c r="A48" s="90" t="b">
        <v>0</v>
      </c>
      <c r="B48" s="114" t="s">
        <v>468</v>
      </c>
      <c r="C48" s="49" t="str">
        <f t="shared" si="0"/>
        <v>F_23_19</v>
      </c>
      <c r="D48" s="51" t="s">
        <v>575</v>
      </c>
      <c r="E48" s="89"/>
      <c r="F48" s="51"/>
      <c r="G48" s="89"/>
      <c r="H48" s="51"/>
      <c r="I48" s="89"/>
      <c r="J48" s="92" t="s">
        <v>571</v>
      </c>
      <c r="K48" s="49" t="str">
        <f>_xlfn.XLOOKUP(J48,Tab_Def_Processes[Name(EN)],Tab_Def_Processes[Process_ID],,0,)</f>
        <v>23_Rye_</v>
      </c>
      <c r="L48" s="51" t="s">
        <v>526</v>
      </c>
      <c r="M48" s="61" t="str">
        <f>_xlfn.XLOOKUP(L48,Tab_Def_Processes[Name(EN)],Tab_Def_Processes[Process_ID],,0,)</f>
        <v>19_Atm_BB</v>
      </c>
      <c r="N48" s="51"/>
      <c r="O48" s="92" t="s">
        <v>68</v>
      </c>
      <c r="P48" s="51" t="s">
        <v>68</v>
      </c>
      <c r="Q48" s="96" t="s">
        <v>68</v>
      </c>
      <c r="R48" s="103">
        <v>0</v>
      </c>
      <c r="S48" s="96"/>
      <c r="T48" s="103">
        <v>1</v>
      </c>
      <c r="U48" s="96"/>
      <c r="V48" s="103">
        <v>1</v>
      </c>
      <c r="W48" s="96"/>
      <c r="X48" s="138">
        <f>Tab_Def_Flows[[#This Row],[CC_DM'[%']]]*Tab_Def_Flows[[#This Row],[DM]]</f>
        <v>1</v>
      </c>
      <c r="Y48" s="51"/>
    </row>
    <row r="49" spans="1:25" x14ac:dyDescent="0.25">
      <c r="A49" s="90" t="b">
        <v>0</v>
      </c>
      <c r="B49" s="114" t="s">
        <v>469</v>
      </c>
      <c r="C49" s="49" t="str">
        <f t="shared" si="0"/>
        <v>F_23_22</v>
      </c>
      <c r="D49" s="51" t="s">
        <v>576</v>
      </c>
      <c r="E49" s="89"/>
      <c r="F49" s="51"/>
      <c r="G49" s="89"/>
      <c r="H49" s="51"/>
      <c r="I49" s="89"/>
      <c r="J49" s="92" t="s">
        <v>571</v>
      </c>
      <c r="K49" s="49" t="str">
        <f>_xlfn.XLOOKUP(J49,Tab_Def_Processes[Name(EN)],Tab_Def_Processes[Process_ID],,0,)</f>
        <v>23_Rye_</v>
      </c>
      <c r="L49" s="51" t="s">
        <v>557</v>
      </c>
      <c r="M49" s="61" t="str">
        <f>_xlfn.XLOOKUP(L49,Tab_Def_Processes[Name(EN)],Tab_Def_Processes[Process_ID],,0,)</f>
        <v>22_Env_BB</v>
      </c>
      <c r="N49" s="51"/>
      <c r="O49" s="92" t="s">
        <v>68</v>
      </c>
      <c r="P49" s="51" t="s">
        <v>68</v>
      </c>
      <c r="Q49" s="96" t="s">
        <v>68</v>
      </c>
      <c r="R49" s="103">
        <v>0.23841961852861049</v>
      </c>
      <c r="S49" s="96"/>
      <c r="T49" s="103">
        <v>0.76158038147138951</v>
      </c>
      <c r="U49" s="96"/>
      <c r="V49" s="103">
        <v>0</v>
      </c>
      <c r="W49" s="96"/>
      <c r="X49" s="138">
        <f>Tab_Def_Flows[[#This Row],[CC_DM'[%']]]*Tab_Def_Flows[[#This Row],[DM]]</f>
        <v>0</v>
      </c>
      <c r="Y49" s="51"/>
    </row>
    <row r="50" spans="1:25" x14ac:dyDescent="0.25">
      <c r="A50" s="90" t="b">
        <v>0</v>
      </c>
      <c r="B50" s="114" t="s">
        <v>470</v>
      </c>
      <c r="C50" s="49" t="str">
        <f t="shared" si="0"/>
        <v>F_24_24</v>
      </c>
      <c r="D50" s="51"/>
      <c r="E50" s="89"/>
      <c r="F50" s="51"/>
      <c r="G50" s="89"/>
      <c r="H50" s="51"/>
      <c r="I50" s="89"/>
      <c r="J50" s="92"/>
      <c r="K50" s="49" t="str">
        <f>_xlfn.XLOOKUP(J50,Tab_Def_Processes[Name(EN)],Tab_Def_Processes[Process_ID],,0,)</f>
        <v>24__</v>
      </c>
      <c r="L50" s="51"/>
      <c r="M50" s="61" t="str">
        <f>_xlfn.XLOOKUP(L50,Tab_Def_Processes[Name(EN)],Tab_Def_Processes[Process_ID],,0,)</f>
        <v>24__</v>
      </c>
      <c r="N50" s="51"/>
      <c r="O50" s="92"/>
      <c r="P50" s="51"/>
      <c r="Q50" s="96"/>
      <c r="R50" s="103"/>
      <c r="S50" s="96"/>
      <c r="T50" s="103"/>
      <c r="U50" s="96"/>
      <c r="V50" s="103"/>
      <c r="W50" s="96"/>
      <c r="X50" s="138">
        <f>Tab_Def_Flows[[#This Row],[CC_DM'[%']]]*Tab_Def_Flows[[#This Row],[DM]]</f>
        <v>0</v>
      </c>
      <c r="Y50" s="51"/>
    </row>
    <row r="51" spans="1:25" x14ac:dyDescent="0.25">
      <c r="A51" s="90" t="b">
        <v>0</v>
      </c>
      <c r="B51" s="114" t="s">
        <v>471</v>
      </c>
      <c r="C51" s="49" t="str">
        <f t="shared" si="0"/>
        <v>F_24_24</v>
      </c>
      <c r="D51" s="51"/>
      <c r="E51" s="89"/>
      <c r="F51" s="51"/>
      <c r="G51" s="89"/>
      <c r="H51" s="51"/>
      <c r="I51" s="89"/>
      <c r="J51" s="92"/>
      <c r="K51" s="49" t="str">
        <f>_xlfn.XLOOKUP(J51,Tab_Def_Processes[Name(EN)],Tab_Def_Processes[Process_ID],,0,)</f>
        <v>24__</v>
      </c>
      <c r="L51" s="51"/>
      <c r="M51" s="61" t="str">
        <f>_xlfn.XLOOKUP(L51,Tab_Def_Processes[Name(EN)],Tab_Def_Processes[Process_ID],,0,)</f>
        <v>24__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F_24_24</v>
      </c>
      <c r="D52" s="51"/>
      <c r="E52" s="93"/>
      <c r="F52" s="69"/>
      <c r="G52" s="89"/>
      <c r="H52" s="51"/>
      <c r="I52" s="93"/>
      <c r="J52" s="92"/>
      <c r="K52" s="49" t="str">
        <f>_xlfn.XLOOKUP(J52,Tab_Def_Processes[Name(EN)],Tab_Def_Processes[Process_ID],,0,)</f>
        <v>24__</v>
      </c>
      <c r="L52" s="51"/>
      <c r="M52" s="61" t="str">
        <f>_xlfn.XLOOKUP(L52,Tab_Def_Processes[Name(EN)],Tab_Def_Processes[Process_ID],,0,)</f>
        <v>24__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F_24_24</v>
      </c>
      <c r="D53" s="51"/>
      <c r="E53" s="93"/>
      <c r="F53" s="69"/>
      <c r="G53" s="89"/>
      <c r="H53" s="51"/>
      <c r="I53" s="93"/>
      <c r="J53" s="92"/>
      <c r="K53" s="49" t="str">
        <f>_xlfn.XLOOKUP(J53,Tab_Def_Processes[Name(EN)],Tab_Def_Processes[Process_ID],,0,)</f>
        <v>24__</v>
      </c>
      <c r="L53" s="51"/>
      <c r="M53" s="61" t="str">
        <f>_xlfn.XLOOKUP(L53,Tab_Def_Processes[Name(EN)],Tab_Def_Processes[Process_ID],,0,)</f>
        <v>24__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F_24_24</v>
      </c>
      <c r="D54" s="51"/>
      <c r="E54" s="93"/>
      <c r="F54" s="69"/>
      <c r="G54" s="89"/>
      <c r="H54" s="51"/>
      <c r="I54" s="93"/>
      <c r="J54" s="92"/>
      <c r="K54" s="49" t="str">
        <f>_xlfn.XLOOKUP(J54,Tab_Def_Processes[Name(EN)],Tab_Def_Processes[Process_ID],,0,)</f>
        <v>24__</v>
      </c>
      <c r="L54" s="51"/>
      <c r="M54" s="61" t="str">
        <f>_xlfn.XLOOKUP(L54,Tab_Def_Processes[Name(EN)],Tab_Def_Processes[Process_ID],,0,)</f>
        <v>24__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F_24_24</v>
      </c>
      <c r="D55" s="51"/>
      <c r="E55" s="93"/>
      <c r="F55" s="69"/>
      <c r="G55" s="89"/>
      <c r="H55" s="51"/>
      <c r="I55" s="93"/>
      <c r="J55" s="92"/>
      <c r="K55" s="49" t="str">
        <f>_xlfn.XLOOKUP(J55,Tab_Def_Processes[Name(EN)],Tab_Def_Processes[Process_ID],,0,)</f>
        <v>24__</v>
      </c>
      <c r="L55" s="51"/>
      <c r="M55" s="61" t="str">
        <f>_xlfn.XLOOKUP(L55,Tab_Def_Processes[Name(EN)],Tab_Def_Processes[Process_ID],,0,)</f>
        <v>24__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F_24_24</v>
      </c>
      <c r="D56" s="51"/>
      <c r="E56" s="93"/>
      <c r="F56" s="51"/>
      <c r="G56" s="89"/>
      <c r="H56" s="51"/>
      <c r="I56" s="93"/>
      <c r="J56" s="92"/>
      <c r="K56" s="49" t="str">
        <f>_xlfn.XLOOKUP(J56,Tab_Def_Processes[Name(EN)],Tab_Def_Processes[Process_ID],,0,)</f>
        <v>24__</v>
      </c>
      <c r="L56" s="51"/>
      <c r="M56" s="61" t="str">
        <f>_xlfn.XLOOKUP(L56,Tab_Def_Processes[Name(EN)],Tab_Def_Processes[Process_ID],,0,)</f>
        <v>24__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F_24_24</v>
      </c>
      <c r="D57" s="51"/>
      <c r="E57" s="93"/>
      <c r="F57" s="51"/>
      <c r="G57" s="89"/>
      <c r="H57" s="51"/>
      <c r="I57" s="93"/>
      <c r="J57" s="92"/>
      <c r="K57" s="49" t="str">
        <f>_xlfn.XLOOKUP(J57,Tab_Def_Processes[Name(EN)],Tab_Def_Processes[Process_ID],,0,)</f>
        <v>24__</v>
      </c>
      <c r="L57" s="51"/>
      <c r="M57" s="61" t="str">
        <f>_xlfn.XLOOKUP(L57,Tab_Def_Processes[Name(EN)],Tab_Def_Processes[Process_ID],,0,)</f>
        <v>24__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531</v>
      </c>
      <c r="C58" s="49" t="str">
        <f t="shared" si="0"/>
        <v>F_24_24</v>
      </c>
      <c r="D58" s="51"/>
      <c r="E58" s="93"/>
      <c r="F58" s="51"/>
      <c r="G58" s="89"/>
      <c r="H58" s="51"/>
      <c r="I58" s="93"/>
      <c r="J58" s="92"/>
      <c r="K58" s="49" t="str">
        <f>_xlfn.XLOOKUP(J58,Tab_Def_Processes[Name(EN)],Tab_Def_Processes[Process_ID],,0,)</f>
        <v>24__</v>
      </c>
      <c r="L58" s="51"/>
      <c r="M58" s="61" t="str">
        <f>_xlfn.XLOOKUP(L58,Tab_Def_Processes[Name(EN)],Tab_Def_Processes[Process_ID],,0,)</f>
        <v>24__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532</v>
      </c>
      <c r="C59" s="49" t="str">
        <f t="shared" si="0"/>
        <v>F_24_24</v>
      </c>
      <c r="D59" s="51"/>
      <c r="E59" s="93"/>
      <c r="F59" s="51"/>
      <c r="G59" s="89"/>
      <c r="H59" s="51"/>
      <c r="I59" s="93"/>
      <c r="J59" s="92"/>
      <c r="K59" s="49" t="str">
        <f>_xlfn.XLOOKUP(J59,Tab_Def_Processes[Name(EN)],Tab_Def_Processes[Process_ID],,0,)</f>
        <v>24__</v>
      </c>
      <c r="L59" s="51"/>
      <c r="M59" s="61" t="str">
        <f>_xlfn.XLOOKUP(L59,Tab_Def_Processes[Name(EN)],Tab_Def_Processes[Process_ID],,0,)</f>
        <v>24__</v>
      </c>
      <c r="N59" s="51"/>
      <c r="O59" s="92"/>
      <c r="P59" s="51"/>
      <c r="Q59" s="96"/>
      <c r="R59" s="103"/>
      <c r="S59" s="96"/>
      <c r="T59" s="103"/>
      <c r="U59" s="96"/>
      <c r="V59" s="103"/>
      <c r="W59" s="96"/>
      <c r="X59" s="138">
        <f>Tab_Def_Flows[[#This Row],[CC_DM'[%']]]*Tab_Def_Flows[[#This Row],[DM]]</f>
        <v>0</v>
      </c>
      <c r="Y59" s="51"/>
    </row>
    <row r="60" spans="1:25" x14ac:dyDescent="0.25">
      <c r="A60" s="90" t="b">
        <v>0</v>
      </c>
      <c r="B60" s="114" t="s">
        <v>533</v>
      </c>
      <c r="C60" s="49" t="str">
        <f t="shared" si="0"/>
        <v>F_24_24</v>
      </c>
      <c r="D60" s="51"/>
      <c r="E60" s="93"/>
      <c r="F60" s="51"/>
      <c r="G60" s="89"/>
      <c r="H60" s="51"/>
      <c r="I60" s="89"/>
      <c r="J60" s="92"/>
      <c r="K60" s="49" t="str">
        <f>_xlfn.XLOOKUP(J60,Tab_Def_Processes[Name(EN)],Tab_Def_Processes[Process_ID],,0,)</f>
        <v>24__</v>
      </c>
      <c r="L60" s="51"/>
      <c r="M60" s="61" t="str">
        <f>_xlfn.XLOOKUP(L60,Tab_Def_Processes[Name(EN)],Tab_Def_Processes[Process_ID],,0,)</f>
        <v>24__</v>
      </c>
      <c r="N60" s="51"/>
      <c r="O60" s="92"/>
      <c r="P60" s="51"/>
      <c r="Q60" s="96"/>
      <c r="R60" s="103"/>
      <c r="S60" s="96"/>
      <c r="T60" s="103"/>
      <c r="U60" s="96"/>
      <c r="V60" s="103"/>
      <c r="W60" s="96"/>
      <c r="X60" s="138">
        <f>Tab_Def_Flows[[#This Row],[CC_DM'[%']]]*Tab_Def_Flows[[#This Row],[DM]]</f>
        <v>0</v>
      </c>
      <c r="Y60" s="51"/>
    </row>
    <row r="61" spans="1:25" x14ac:dyDescent="0.25">
      <c r="A61" s="90" t="b">
        <v>0</v>
      </c>
      <c r="B61" s="114" t="s">
        <v>534</v>
      </c>
      <c r="C61" s="49" t="str">
        <f t="shared" si="0"/>
        <v>F_24_24</v>
      </c>
      <c r="D61" s="51"/>
      <c r="E61" s="93"/>
      <c r="F61" s="51"/>
      <c r="G61" s="89"/>
      <c r="H61" s="51"/>
      <c r="I61" s="89"/>
      <c r="J61" s="92"/>
      <c r="K61" s="49" t="str">
        <f>_xlfn.XLOOKUP(J61,Tab_Def_Processes[Name(EN)],Tab_Def_Processes[Process_ID],,0,)</f>
        <v>24__</v>
      </c>
      <c r="L61" s="51"/>
      <c r="M61" s="61" t="str">
        <f>_xlfn.XLOOKUP(L61,Tab_Def_Processes[Name(EN)],Tab_Def_Processes[Process_ID],,0,)</f>
        <v>24__</v>
      </c>
      <c r="N61" s="51"/>
      <c r="O61" s="92"/>
      <c r="P61" s="51"/>
      <c r="Q61" s="96"/>
      <c r="R61" s="103"/>
      <c r="S61" s="96"/>
      <c r="T61" s="103"/>
      <c r="U61" s="96"/>
      <c r="V61" s="103"/>
      <c r="W61" s="96"/>
      <c r="X61" s="138">
        <f>Tab_Def_Flows[[#This Row],[CC_DM'[%']]]*Tab_Def_Flows[[#This Row],[DM]]</f>
        <v>0</v>
      </c>
      <c r="Y61" s="51"/>
    </row>
    <row r="62" spans="1:25" x14ac:dyDescent="0.25">
      <c r="A62" s="90" t="b">
        <v>0</v>
      </c>
      <c r="B62" s="114" t="s">
        <v>535</v>
      </c>
      <c r="C62" s="49" t="str">
        <f t="shared" si="0"/>
        <v>F_24_24</v>
      </c>
      <c r="D62" s="51"/>
      <c r="E62" s="93"/>
      <c r="F62" s="51"/>
      <c r="G62" s="89"/>
      <c r="H62" s="51"/>
      <c r="I62" s="89"/>
      <c r="J62" s="92"/>
      <c r="K62" s="49" t="str">
        <f>_xlfn.XLOOKUP(J62,Tab_Def_Processes[Name(EN)],Tab_Def_Processes[Process_ID],,0,)</f>
        <v>24__</v>
      </c>
      <c r="L62" s="51"/>
      <c r="M62" s="61" t="str">
        <f>_xlfn.XLOOKUP(L62,Tab_Def_Processes[Name(EN)],Tab_Def_Processes[Process_ID],,0,)</f>
        <v>24__</v>
      </c>
      <c r="N62" s="51"/>
      <c r="O62" s="92"/>
      <c r="P62" s="51"/>
      <c r="Q62" s="96"/>
      <c r="R62" s="103"/>
      <c r="S62" s="96"/>
      <c r="T62" s="103"/>
      <c r="U62" s="96"/>
      <c r="V62" s="103"/>
      <c r="W62" s="96"/>
      <c r="X62" s="138">
        <f>Tab_Def_Flows[[#This Row],[CC_DM'[%']]]*Tab_Def_Flows[[#This Row],[DM]]</f>
        <v>0</v>
      </c>
      <c r="Y62" s="51"/>
    </row>
    <row r="63" spans="1:25" x14ac:dyDescent="0.25">
      <c r="A63" s="90" t="b">
        <v>0</v>
      </c>
      <c r="B63" s="114" t="s">
        <v>536</v>
      </c>
      <c r="C63" s="49" t="str">
        <f t="shared" si="0"/>
        <v>F_24_24</v>
      </c>
      <c r="D63" s="51"/>
      <c r="E63" s="93"/>
      <c r="F63" s="51"/>
      <c r="G63" s="89"/>
      <c r="H63" s="51"/>
      <c r="I63" s="89"/>
      <c r="J63" s="92"/>
      <c r="K63" s="49" t="str">
        <f>_xlfn.XLOOKUP(J63,Tab_Def_Processes[Name(EN)],Tab_Def_Processes[Process_ID],,0,)</f>
        <v>24__</v>
      </c>
      <c r="L63" s="51"/>
      <c r="M63" s="61" t="str">
        <f>_xlfn.XLOOKUP(L63,Tab_Def_Processes[Name(EN)],Tab_Def_Processes[Process_ID],,0,)</f>
        <v>24__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537</v>
      </c>
      <c r="C64" s="49" t="str">
        <f t="shared" si="0"/>
        <v>F_24_24</v>
      </c>
      <c r="D64" s="51"/>
      <c r="E64" s="89"/>
      <c r="F64" s="51"/>
      <c r="G64" s="89"/>
      <c r="H64" s="51"/>
      <c r="I64" s="89"/>
      <c r="J64" s="92"/>
      <c r="K64" s="49" t="str">
        <f>_xlfn.XLOOKUP(J64,Tab_Def_Processes[Name(EN)],Tab_Def_Processes[Process_ID],,0,)</f>
        <v>24__</v>
      </c>
      <c r="L64" s="51"/>
      <c r="M64" s="61" t="str">
        <f>_xlfn.XLOOKUP(L64,Tab_Def_Processes[Name(EN)],Tab_Def_Processes[Process_ID],,0,)</f>
        <v>24__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538</v>
      </c>
      <c r="C65" s="49" t="str">
        <f t="shared" si="0"/>
        <v>F_24_24</v>
      </c>
      <c r="D65" s="51"/>
      <c r="E65" s="89"/>
      <c r="F65" s="51"/>
      <c r="G65" s="89"/>
      <c r="H65" s="51"/>
      <c r="I65" s="89"/>
      <c r="J65" s="92"/>
      <c r="K65" s="49" t="str">
        <f>_xlfn.XLOOKUP(J65,Tab_Def_Processes[Name(EN)],Tab_Def_Processes[Process_ID],,0,)</f>
        <v>24__</v>
      </c>
      <c r="L65" s="51"/>
      <c r="M65" s="61" t="str">
        <f>_xlfn.XLOOKUP(L65,Tab_Def_Processes[Name(EN)],Tab_Def_Processes[Process_ID],,0,)</f>
        <v>24__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539</v>
      </c>
      <c r="C66" s="49" t="str">
        <f t="shared" si="0"/>
        <v>F_24_24</v>
      </c>
      <c r="D66" s="51"/>
      <c r="E66" s="89"/>
      <c r="F66" s="51"/>
      <c r="G66" s="89"/>
      <c r="H66" s="51"/>
      <c r="I66" s="89"/>
      <c r="J66" s="92"/>
      <c r="K66" s="49" t="str">
        <f>_xlfn.XLOOKUP(J66,Tab_Def_Processes[Name(EN)],Tab_Def_Processes[Process_ID],,0,)</f>
        <v>24__</v>
      </c>
      <c r="L66" s="51"/>
      <c r="M66" s="61" t="str">
        <f>_xlfn.XLOOKUP(L66,Tab_Def_Processes[Name(EN)],Tab_Def_Processes[Process_ID],,0,)</f>
        <v>24__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540</v>
      </c>
      <c r="C67" s="49" t="str">
        <f t="shared" ref="C67:C77" si="1">"F_"&amp;LEFT(K67,2)&amp;"_"&amp;LEFT(M67,2)</f>
        <v>F_24_24</v>
      </c>
      <c r="D67" s="51"/>
      <c r="E67" s="89"/>
      <c r="F67" s="51"/>
      <c r="G67" s="89"/>
      <c r="H67" s="51"/>
      <c r="I67" s="89"/>
      <c r="J67" s="92"/>
      <c r="K67" s="49" t="str">
        <f>_xlfn.XLOOKUP(J67,Tab_Def_Processes[Name(EN)],Tab_Def_Processes[Process_ID],,0,)</f>
        <v>24__</v>
      </c>
      <c r="L67" s="51"/>
      <c r="M67" s="61" t="str">
        <f>_xlfn.XLOOKUP(L67,Tab_Def_Processes[Name(EN)],Tab_Def_Processes[Process_ID],,0,)</f>
        <v>24__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541</v>
      </c>
      <c r="C68" s="49" t="str">
        <f t="shared" si="1"/>
        <v>F_24_24</v>
      </c>
      <c r="D68" s="51"/>
      <c r="E68" s="89"/>
      <c r="F68" s="51"/>
      <c r="G68" s="89"/>
      <c r="H68" s="51"/>
      <c r="I68" s="89"/>
      <c r="J68" s="92"/>
      <c r="K68" s="49" t="str">
        <f>_xlfn.XLOOKUP(J68,Tab_Def_Processes[Name(EN)],Tab_Def_Processes[Process_ID],,0,)</f>
        <v>24__</v>
      </c>
      <c r="L68" s="51"/>
      <c r="M68" s="61" t="str">
        <f>_xlfn.XLOOKUP(L68,Tab_Def_Processes[Name(EN)],Tab_Def_Processes[Process_ID],,0,)</f>
        <v>24__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542</v>
      </c>
      <c r="C69" s="49" t="str">
        <f t="shared" si="1"/>
        <v>F_24_24</v>
      </c>
      <c r="D69" s="51"/>
      <c r="E69" s="89"/>
      <c r="F69" s="51"/>
      <c r="G69" s="89"/>
      <c r="H69" s="51"/>
      <c r="I69" s="89"/>
      <c r="J69" s="92"/>
      <c r="K69" s="49" t="str">
        <f>_xlfn.XLOOKUP(J69,Tab_Def_Processes[Name(EN)],Tab_Def_Processes[Process_ID],,0,)</f>
        <v>24__</v>
      </c>
      <c r="L69" s="51"/>
      <c r="M69" s="61" t="str">
        <f>_xlfn.XLOOKUP(L69,Tab_Def_Processes[Name(EN)],Tab_Def_Processes[Process_ID],,0,)</f>
        <v>24__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543</v>
      </c>
      <c r="C70" s="49" t="str">
        <f t="shared" si="1"/>
        <v>F_24_24</v>
      </c>
      <c r="D70" s="51"/>
      <c r="E70" s="89"/>
      <c r="F70" s="51"/>
      <c r="G70" s="89"/>
      <c r="H70" s="51"/>
      <c r="I70" s="89"/>
      <c r="J70" s="92"/>
      <c r="K70" s="49" t="str">
        <f>_xlfn.XLOOKUP(J70,Tab_Def_Processes[Name(EN)],Tab_Def_Processes[Process_ID],,0,)</f>
        <v>24__</v>
      </c>
      <c r="L70" s="51"/>
      <c r="M70" s="61" t="str">
        <f>_xlfn.XLOOKUP(L70,Tab_Def_Processes[Name(EN)],Tab_Def_Processes[Process_ID],,0,)</f>
        <v>24__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544</v>
      </c>
      <c r="C71" s="49" t="str">
        <f t="shared" si="1"/>
        <v>F_24_24</v>
      </c>
      <c r="D71" s="51"/>
      <c r="E71" s="89"/>
      <c r="F71" s="51"/>
      <c r="G71" s="89"/>
      <c r="H71" s="51"/>
      <c r="I71" s="89"/>
      <c r="J71" s="92"/>
      <c r="K71" s="49" t="str">
        <f>_xlfn.XLOOKUP(J71,Tab_Def_Processes[Name(EN)],Tab_Def_Processes[Process_ID],,0,)</f>
        <v>24__</v>
      </c>
      <c r="L71" s="51"/>
      <c r="M71" s="61" t="str">
        <f>_xlfn.XLOOKUP(L71,Tab_Def_Processes[Name(EN)],Tab_Def_Processes[Process_ID],,0,)</f>
        <v>24__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545</v>
      </c>
      <c r="C72" s="49" t="str">
        <f t="shared" si="1"/>
        <v>F_24_24</v>
      </c>
      <c r="D72" s="51"/>
      <c r="E72" s="89"/>
      <c r="F72" s="51"/>
      <c r="G72" s="89"/>
      <c r="H72" s="51"/>
      <c r="I72" s="89"/>
      <c r="J72" s="92"/>
      <c r="K72" s="49" t="str">
        <f>_xlfn.XLOOKUP(J72,Tab_Def_Processes[Name(EN)],Tab_Def_Processes[Process_ID],,0,)</f>
        <v>24__</v>
      </c>
      <c r="L72" s="51"/>
      <c r="M72" s="61" t="str">
        <f>_xlfn.XLOOKUP(L72,Tab_Def_Processes[Name(EN)],Tab_Def_Processes[Process_ID],,0,)</f>
        <v>24__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546</v>
      </c>
      <c r="C73" s="49" t="str">
        <f t="shared" si="1"/>
        <v>F_24_24</v>
      </c>
      <c r="D73" s="51"/>
      <c r="E73" s="89"/>
      <c r="F73" s="51"/>
      <c r="G73" s="89"/>
      <c r="H73" s="51"/>
      <c r="I73" s="89"/>
      <c r="J73" s="92"/>
      <c r="K73" s="49" t="str">
        <f>_xlfn.XLOOKUP(J73,Tab_Def_Processes[Name(EN)],Tab_Def_Processes[Process_ID],,0,)</f>
        <v>24__</v>
      </c>
      <c r="L73" s="51"/>
      <c r="M73" s="61" t="str">
        <f>_xlfn.XLOOKUP(L73,Tab_Def_Processes[Name(EN)],Tab_Def_Processes[Process_ID],,0,)</f>
        <v>24__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547</v>
      </c>
      <c r="C74" s="49" t="str">
        <f t="shared" si="1"/>
        <v>F_24_24</v>
      </c>
      <c r="D74" s="51"/>
      <c r="E74" s="89"/>
      <c r="F74" s="51"/>
      <c r="G74" s="89"/>
      <c r="H74" s="51"/>
      <c r="I74" s="89"/>
      <c r="J74" s="92"/>
      <c r="K74" s="49" t="str">
        <f>_xlfn.XLOOKUP(J74,Tab_Def_Processes[Name(EN)],Tab_Def_Processes[Process_ID],,0,)</f>
        <v>24__</v>
      </c>
      <c r="L74" s="51"/>
      <c r="M74" s="61" t="str">
        <f>_xlfn.XLOOKUP(L74,Tab_Def_Processes[Name(EN)],Tab_Def_Processes[Process_ID],,0,)</f>
        <v>24__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548</v>
      </c>
      <c r="C75" s="49" t="str">
        <f t="shared" si="1"/>
        <v>F_24_24</v>
      </c>
      <c r="D75" s="51"/>
      <c r="E75" s="89"/>
      <c r="F75" s="51"/>
      <c r="G75" s="89"/>
      <c r="H75" s="51"/>
      <c r="I75" s="89"/>
      <c r="J75" s="92"/>
      <c r="K75" s="49" t="str">
        <f>_xlfn.XLOOKUP(J75,Tab_Def_Processes[Name(EN)],Tab_Def_Processes[Process_ID],,0,)</f>
        <v>24__</v>
      </c>
      <c r="L75" s="51"/>
      <c r="M75" s="61" t="str">
        <f>_xlfn.XLOOKUP(L75,Tab_Def_Processes[Name(EN)],Tab_Def_Processes[Process_ID],,0,)</f>
        <v>24__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549</v>
      </c>
      <c r="C76" s="49" t="str">
        <f t="shared" si="1"/>
        <v>F_24_24</v>
      </c>
      <c r="D76" s="51"/>
      <c r="E76" s="89"/>
      <c r="F76" s="51"/>
      <c r="G76" s="89"/>
      <c r="H76" s="51"/>
      <c r="I76" s="89"/>
      <c r="J76" s="92"/>
      <c r="K76" s="49" t="str">
        <f>_xlfn.XLOOKUP(J76,Tab_Def_Processes[Name(EN)],Tab_Def_Processes[Process_ID],,0,)</f>
        <v>24__</v>
      </c>
      <c r="L76" s="51"/>
      <c r="M76" s="61" t="str">
        <f>_xlfn.XLOOKUP(L76,Tab_Def_Processes[Name(EN)],Tab_Def_Processes[Process_ID],,0,)</f>
        <v>24__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550</v>
      </c>
      <c r="C77" s="49" t="str">
        <f t="shared" si="1"/>
        <v>F_24_24</v>
      </c>
      <c r="D77" s="51"/>
      <c r="E77" s="89"/>
      <c r="F77" s="51"/>
      <c r="G77" s="89"/>
      <c r="H77" s="51"/>
      <c r="I77" s="89"/>
      <c r="J77" s="92"/>
      <c r="K77" s="49" t="str">
        <f>_xlfn.XLOOKUP(J77,Tab_Def_Processes[Name(EN)],Tab_Def_Processes[Process_ID],,0,)</f>
        <v>24__</v>
      </c>
      <c r="L77" s="51"/>
      <c r="M77" s="61" t="str">
        <f>_xlfn.XLOOKUP(L77,Tab_Def_Processes[Name(EN)],Tab_Def_Processes[Process_ID],,0,)</f>
        <v>24__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475"/>
  <sheetViews>
    <sheetView tabSelected="1" topLeftCell="A223" zoomScale="115" zoomScaleNormal="115" workbookViewId="0">
      <selection activeCell="P199" sqref="P199"/>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37"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37" ht="15.75" thickBot="1" x14ac:dyDescent="0.3">
      <c r="A2" s="60">
        <f t="shared" ref="A2:A31" si="0">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2025</v>
      </c>
      <c r="N2" s="51" t="s">
        <v>350</v>
      </c>
      <c r="O2" s="119">
        <v>1203277.8947368423</v>
      </c>
      <c r="P2" s="51" t="s">
        <v>389</v>
      </c>
      <c r="Q2" s="51" t="s">
        <v>362</v>
      </c>
      <c r="R2" s="51"/>
      <c r="S2" s="51"/>
      <c r="T2" s="51"/>
      <c r="U2" s="51"/>
      <c r="V2" s="51"/>
      <c r="W2" s="51"/>
      <c r="X2" s="51" t="s">
        <v>71</v>
      </c>
      <c r="Y2" s="106">
        <v>365</v>
      </c>
      <c r="Z2" s="51"/>
      <c r="AA2" s="86">
        <f t="shared" ref="AA2:AA57" si="1">IF(X2="no",O2,O2*Y2)</f>
        <v>1203277.8947368423</v>
      </c>
      <c r="AB2" s="51" t="s">
        <v>63</v>
      </c>
      <c r="AC2" s="111">
        <f>INDEX(Tab_Def_Flows[[Flow_ID]:[CC_DM_source]],MATCH(Tab_Data_Flows[[#This Row],[Name(EN)]],Tab_Def_Flows[Name(EN)],0),16)</f>
        <v>0.14000000000000001</v>
      </c>
      <c r="AD2" s="109">
        <f>IF(J2="Yes",AA2*Tab_Data_Flows[[#This Row],[WC_'[%']]],"N.A.")</f>
        <v>168458.90526315794</v>
      </c>
      <c r="AE2" s="110" t="str">
        <f>Tab_Data_Flows[[#This Row],[UoM_Flow_Py]]</f>
        <v>Mg</v>
      </c>
      <c r="AF2" s="111">
        <f>INDEX(Tab_Def_Flows[[Flow_ID]:[CC_DM_source]],MATCH(Tab_Data_Flows[[#This Row],[Name(EN)]],Tab_Def_Flows[Name(EN)],0),18)</f>
        <v>0.86</v>
      </c>
      <c r="AG2" s="109">
        <f>IF(K2="Yes",AF2*Tab_Data_Flows[[#This Row],[Flow_Py]],"N.A.")</f>
        <v>1034818.9894736843</v>
      </c>
      <c r="AH2" s="110" t="str">
        <f>Tab_Data_Flows[[#This Row],[UoM_Flow_Py]]</f>
        <v>Mg</v>
      </c>
      <c r="AI2" s="111">
        <f>INDEX(Tab_Def_Flows[[Flow_ID]:[CC_DM_source]],MATCH(Tab_Data_Flows[[#This Row],[Name(EN)]],Tab_Def_Flows[Name(EN)],0),20)</f>
        <v>0.48</v>
      </c>
      <c r="AJ2" s="109">
        <f>IF(L2="Yes",AI2*Tab_Data_Flows[[#This Row],[Flow_Py]]*Tab_Data_Flows[[#This Row],[DM_'[%']]],"N.A.")</f>
        <v>496713.11494736845</v>
      </c>
      <c r="AK2" s="110" t="str">
        <f>Tab_Data_Flows[[#This Row],[UoM_Flow_Py]]</f>
        <v>Mg</v>
      </c>
    </row>
    <row r="3" spans="1:37" ht="15.75" thickBot="1" x14ac:dyDescent="0.3">
      <c r="A3" s="60">
        <f t="shared" si="0"/>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2026</v>
      </c>
      <c r="N3" s="51" t="s">
        <v>350</v>
      </c>
      <c r="O3" s="119">
        <v>1014115.7894736843</v>
      </c>
      <c r="P3" s="51" t="s">
        <v>389</v>
      </c>
      <c r="Q3" s="51" t="s">
        <v>362</v>
      </c>
      <c r="R3" s="51"/>
      <c r="S3" s="51"/>
      <c r="T3" s="51"/>
      <c r="U3" s="51"/>
      <c r="V3" s="51"/>
      <c r="W3" s="51"/>
      <c r="X3" s="51" t="s">
        <v>71</v>
      </c>
      <c r="Y3" s="106">
        <v>365</v>
      </c>
      <c r="Z3" s="51"/>
      <c r="AA3" s="86">
        <f t="shared" si="1"/>
        <v>1014115.7894736843</v>
      </c>
      <c r="AB3" s="51" t="s">
        <v>63</v>
      </c>
      <c r="AC3" s="111">
        <f>INDEX(Tab_Def_Flows[[Flow_ID]:[CC_DM_source]],MATCH(Tab_Data_Flows[[#This Row],[Name(EN)]],Tab_Def_Flows[Name(EN)],0),16)</f>
        <v>0.14000000000000001</v>
      </c>
      <c r="AD3" s="109">
        <f>IF(J3="Yes",AA3*Tab_Data_Flows[[#This Row],[WC_'[%']]],"N.A.")</f>
        <v>141976.21052631582</v>
      </c>
      <c r="AE3" s="110" t="str">
        <f>Tab_Data_Flows[[#This Row],[UoM_Flow_Py]]</f>
        <v>Mg</v>
      </c>
      <c r="AF3" s="111">
        <f>INDEX(Tab_Def_Flows[[Flow_ID]:[CC_DM_source]],MATCH(Tab_Data_Flows[[#This Row],[Name(EN)]],Tab_Def_Flows[Name(EN)],0),18)</f>
        <v>0.86</v>
      </c>
      <c r="AG3" s="109">
        <f>IF(K3="Yes",AF3*Tab_Data_Flows[[#This Row],[Flow_Py]],"N.A.")</f>
        <v>872139.57894736843</v>
      </c>
      <c r="AH3" s="110" t="str">
        <f>Tab_Data_Flows[[#This Row],[UoM_Flow_Py]]</f>
        <v>Mg</v>
      </c>
      <c r="AI3" s="111">
        <f>INDEX(Tab_Def_Flows[[Flow_ID]:[CC_DM_source]],MATCH(Tab_Data_Flows[[#This Row],[Name(EN)]],Tab_Def_Flows[Name(EN)],0),20)</f>
        <v>0.48</v>
      </c>
      <c r="AJ3" s="109">
        <f>IF(L3="Yes",AI3*Tab_Data_Flows[[#This Row],[Flow_Py]]*Tab_Data_Flows[[#This Row],[DM_'[%']]],"N.A.")</f>
        <v>418626.99789473682</v>
      </c>
      <c r="AK3" s="110" t="str">
        <f>Tab_Data_Flows[[#This Row],[UoM_Flow_Py]]</f>
        <v>Mg</v>
      </c>
    </row>
    <row r="4" spans="1:37"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2027</v>
      </c>
      <c r="N4" s="51" t="s">
        <v>350</v>
      </c>
      <c r="O4" s="119">
        <v>1248254.7368421052</v>
      </c>
      <c r="P4" s="51" t="s">
        <v>389</v>
      </c>
      <c r="Q4" s="51" t="s">
        <v>362</v>
      </c>
      <c r="R4" s="51"/>
      <c r="S4" s="51"/>
      <c r="T4" s="51"/>
      <c r="U4" s="51"/>
      <c r="V4" s="51"/>
      <c r="W4" s="51"/>
      <c r="X4" s="51" t="s">
        <v>71</v>
      </c>
      <c r="Y4" s="106">
        <v>365</v>
      </c>
      <c r="Z4" s="51"/>
      <c r="AA4" s="86">
        <f t="shared" si="1"/>
        <v>1248254.7368421052</v>
      </c>
      <c r="AB4" s="51" t="s">
        <v>63</v>
      </c>
      <c r="AC4" s="111">
        <f>INDEX(Tab_Def_Flows[[Flow_ID]:[CC_DM_source]],MATCH(Tab_Data_Flows[[#This Row],[Name(EN)]],Tab_Def_Flows[Name(EN)],0),16)</f>
        <v>0.14000000000000001</v>
      </c>
      <c r="AD4" s="109">
        <f>IF(J4="Yes",AA4*Tab_Data_Flows[[#This Row],[WC_'[%']]],"N.A.")</f>
        <v>174755.66315789474</v>
      </c>
      <c r="AE4" s="110" t="str">
        <f>Tab_Data_Flows[[#This Row],[UoM_Flow_Py]]</f>
        <v>Mg</v>
      </c>
      <c r="AF4" s="111">
        <f>INDEX(Tab_Def_Flows[[Flow_ID]:[CC_DM_source]],MATCH(Tab_Data_Flows[[#This Row],[Name(EN)]],Tab_Def_Flows[Name(EN)],0),18)</f>
        <v>0.86</v>
      </c>
      <c r="AG4" s="109">
        <f>IF(K4="Yes",AF4*Tab_Data_Flows[[#This Row],[Flow_Py]],"N.A.")</f>
        <v>1073499.0736842104</v>
      </c>
      <c r="AH4" s="110" t="str">
        <f>Tab_Data_Flows[[#This Row],[UoM_Flow_Py]]</f>
        <v>Mg</v>
      </c>
      <c r="AI4" s="111">
        <f>INDEX(Tab_Def_Flows[[Flow_ID]:[CC_DM_source]],MATCH(Tab_Data_Flows[[#This Row],[Name(EN)]],Tab_Def_Flows[Name(EN)],0),20)</f>
        <v>0.48</v>
      </c>
      <c r="AJ4" s="109">
        <f>IF(L4="Yes",AI4*Tab_Data_Flows[[#This Row],[Flow_Py]]*Tab_Data_Flows[[#This Row],[DM_'[%']]],"N.A.")</f>
        <v>515279.55536842102</v>
      </c>
      <c r="AK4" s="110" t="str">
        <f>Tab_Data_Flows[[#This Row],[UoM_Flow_Py]]</f>
        <v>Mg</v>
      </c>
    </row>
    <row r="5" spans="1:37" x14ac:dyDescent="0.25">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2028</v>
      </c>
      <c r="N5" s="51" t="s">
        <v>350</v>
      </c>
      <c r="O5" s="119">
        <v>1509023.1578947369</v>
      </c>
      <c r="P5" s="51" t="s">
        <v>389</v>
      </c>
      <c r="Q5" s="51" t="s">
        <v>362</v>
      </c>
      <c r="R5" s="51"/>
      <c r="S5" s="51"/>
      <c r="T5" s="51"/>
      <c r="U5" s="51"/>
      <c r="V5" s="51"/>
      <c r="W5" s="51"/>
      <c r="X5" s="51" t="s">
        <v>71</v>
      </c>
      <c r="Y5" s="106">
        <v>365</v>
      </c>
      <c r="Z5" s="51"/>
      <c r="AA5" s="86">
        <f t="shared" si="1"/>
        <v>1509023.1578947369</v>
      </c>
      <c r="AB5" s="51" t="s">
        <v>63</v>
      </c>
      <c r="AC5" s="111">
        <f>INDEX(Tab_Def_Flows[[Flow_ID]:[CC_DM_source]],MATCH(Tab_Data_Flows[[#This Row],[Name(EN)]],Tab_Def_Flows[Name(EN)],0),16)</f>
        <v>0.14000000000000001</v>
      </c>
      <c r="AD5" s="109">
        <f>IF(J5="Yes",AA5*Tab_Data_Flows[[#This Row],[WC_'[%']]],"N.A.")</f>
        <v>211263.24210526317</v>
      </c>
      <c r="AE5" s="110" t="str">
        <f>Tab_Data_Flows[[#This Row],[UoM_Flow_Py]]</f>
        <v>Mg</v>
      </c>
      <c r="AF5" s="111">
        <f>INDEX(Tab_Def_Flows[[Flow_ID]:[CC_DM_source]],MATCH(Tab_Data_Flows[[#This Row],[Name(EN)]],Tab_Def_Flows[Name(EN)],0),18)</f>
        <v>0.86</v>
      </c>
      <c r="AG5" s="109">
        <f>IF(K5="Yes",AF5*Tab_Data_Flows[[#This Row],[Flow_Py]],"N.A.")</f>
        <v>1297759.9157894736</v>
      </c>
      <c r="AH5" s="110" t="str">
        <f>Tab_Data_Flows[[#This Row],[UoM_Flow_Py]]</f>
        <v>Mg</v>
      </c>
      <c r="AI5" s="111">
        <f>INDEX(Tab_Def_Flows[[Flow_ID]:[CC_DM_source]],MATCH(Tab_Data_Flows[[#This Row],[Name(EN)]],Tab_Def_Flows[Name(EN)],0),20)</f>
        <v>0.48</v>
      </c>
      <c r="AJ5" s="109">
        <f>IF(L5="Yes",AI5*Tab_Data_Flows[[#This Row],[Flow_Py]]*Tab_Data_Flows[[#This Row],[DM_'[%']]],"N.A.")</f>
        <v>622924.75957894733</v>
      </c>
      <c r="AK5" s="110" t="str">
        <f>Tab_Data_Flows[[#This Row],[UoM_Flow_Py]]</f>
        <v>Mg</v>
      </c>
    </row>
    <row r="6" spans="1:37" x14ac:dyDescent="0.25">
      <c r="A6" s="60"/>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49" t="str">
        <f>_xlfn.XLOOKUP(C6,Tab_Def_Flows[Name(EN)],Tab_Def_Flows[Value_Source],,0,)</f>
        <v>Data_assumption</v>
      </c>
      <c r="J6" s="49" t="str">
        <f>_xlfn.XLOOKUP(C6,Tab_Def_Flows[Name(EN)],Tab_Def_Flows[WC?],,0,)</f>
        <v>Yes</v>
      </c>
      <c r="K6" s="49" t="str">
        <f>_xlfn.XLOOKUP(C6,Tab_Def_Flows[Name(EN)],Tab_Def_Flows[DM?],,0,)</f>
        <v>Yes</v>
      </c>
      <c r="L6" s="49" t="str">
        <f>_xlfn.XLOOKUP(C6,Tab_Def_Flows[Name(EN)],Tab_Def_Flows[CC?],,0,)</f>
        <v>Yes</v>
      </c>
      <c r="M6" s="51">
        <v>2029</v>
      </c>
      <c r="N6" s="51" t="s">
        <v>350</v>
      </c>
      <c r="O6" s="119">
        <v>985555.78947368427</v>
      </c>
      <c r="P6" s="51" t="s">
        <v>389</v>
      </c>
      <c r="Q6" s="51"/>
      <c r="R6" s="51" t="e">
        <f>INDEX(Tab_WC_DM_CC[[Flow_ID]:[CC_source]],MATCH(Tab_Data_Flows[[#This Row],[Name(EN)]],Tab_WC_DM_CC[Name(EN)],0),12)</f>
        <v>#N/A</v>
      </c>
      <c r="S6" s="51" t="e">
        <f>MATCH(Tab_Data_Flows[[#This Row],[Name(EN)]],Tab_WC_DM_CC[Name(EN)],0)</f>
        <v>#N/A</v>
      </c>
      <c r="T6" s="51"/>
      <c r="U6" s="51"/>
      <c r="V6" s="51"/>
      <c r="W6" s="51"/>
      <c r="X6" s="51" t="s">
        <v>71</v>
      </c>
      <c r="Y6" s="51"/>
      <c r="Z6" s="51" t="str">
        <f>'3_1_Calculation_factors (Wood)'!$A$14</f>
        <v>Mittelwert</v>
      </c>
      <c r="AA6" s="86">
        <f t="shared" si="1"/>
        <v>985555.78947368427</v>
      </c>
      <c r="AB6" s="51" t="s">
        <v>63</v>
      </c>
      <c r="AC6" s="111">
        <f>INDEX(Tab_Def_Flows[[Flow_ID]:[CC_DM_source]],MATCH(Tab_Data_Flows[[#This Row],[Name(EN)]],Tab_Def_Flows[Name(EN)],0),16)</f>
        <v>0.14000000000000001</v>
      </c>
      <c r="AD6" s="112">
        <f>IF(J6="Yes",AA6*Tab_Data_Flows[[#This Row],[WC_'[%']]],"N.A.")</f>
        <v>137977.81052631582</v>
      </c>
      <c r="AE6" s="61" t="str">
        <f>Tab_Data_Flows[[#This Row],[UoM_Flow_Py]]</f>
        <v>Mg</v>
      </c>
      <c r="AF6" s="111">
        <f>INDEX(Tab_Def_Flows[[Flow_ID]:[CC_DM_source]],MATCH(Tab_Data_Flows[[#This Row],[Name(EN)]],Tab_Def_Flows[Name(EN)],0),18)</f>
        <v>0.86</v>
      </c>
      <c r="AG6" s="112">
        <f>IF(K6="Yes",AF6*Tab_Data_Flows[[#This Row],[Flow_Py]],"N.A.")</f>
        <v>847577.97894736845</v>
      </c>
      <c r="AH6" s="61" t="str">
        <f>Tab_Data_Flows[[#This Row],[UoM_Flow_Py]]</f>
        <v>Mg</v>
      </c>
      <c r="AI6" s="111">
        <f>INDEX(Tab_Def_Flows[[Flow_ID]:[CC_DM_source]],MATCH(Tab_Data_Flows[[#This Row],[Name(EN)]],Tab_Def_Flows[Name(EN)],0),20)</f>
        <v>0.48</v>
      </c>
      <c r="AJ6" s="112">
        <f>IF(L6="Yes",AI6*Tab_Data_Flows[[#This Row],[Flow_Py]]*Tab_Data_Flows[[#This Row],[DM_'[%']]],"N.A.")</f>
        <v>406837.42989473685</v>
      </c>
      <c r="AK6" s="61" t="str">
        <f>Tab_Data_Flows[[#This Row],[UoM_Flow_Py]]</f>
        <v>Mg</v>
      </c>
    </row>
    <row r="7" spans="1:37" x14ac:dyDescent="0.25">
      <c r="A7" s="60"/>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49" t="str">
        <f>_xlfn.XLOOKUP(C7,Tab_Def_Flows[Name(EN)],Tab_Def_Flows[Value_Source],,0,)</f>
        <v>Data_assumption</v>
      </c>
      <c r="J7" s="49" t="str">
        <f>_xlfn.XLOOKUP(C7,Tab_Def_Flows[Name(EN)],Tab_Def_Flows[WC?],,0,)</f>
        <v>Yes</v>
      </c>
      <c r="K7" s="49" t="str">
        <f>_xlfn.XLOOKUP(C7,Tab_Def_Flows[Name(EN)],Tab_Def_Flows[DM?],,0,)</f>
        <v>Yes</v>
      </c>
      <c r="L7" s="49" t="str">
        <f>_xlfn.XLOOKUP(C7,Tab_Def_Flows[Name(EN)],Tab_Def_Flows[CC?],,0,)</f>
        <v>Yes</v>
      </c>
      <c r="M7" s="51">
        <v>2030</v>
      </c>
      <c r="N7" s="51" t="s">
        <v>350</v>
      </c>
      <c r="O7" s="119">
        <v>985555.78947368427</v>
      </c>
      <c r="P7" s="51" t="s">
        <v>389</v>
      </c>
      <c r="Q7" s="51"/>
      <c r="R7" s="51" t="e">
        <f>INDEX(Tab_WC_DM_CC[[Flow_ID]:[CC_source]],MATCH(Tab_Data_Flows[[#This Row],[Name(EN)]],Tab_WC_DM_CC[Name(EN)],0),12)</f>
        <v>#N/A</v>
      </c>
      <c r="S7" s="51" t="e">
        <f>MATCH(Tab_Data_Flows[[#This Row],[Name(EN)]],Tab_WC_DM_CC[Name(EN)],0)</f>
        <v>#N/A</v>
      </c>
      <c r="T7" s="51"/>
      <c r="U7" s="51"/>
      <c r="V7" s="51"/>
      <c r="W7" s="51"/>
      <c r="X7" s="51" t="s">
        <v>71</v>
      </c>
      <c r="Y7" s="51"/>
      <c r="Z7" s="51" t="str">
        <f>'3_1_Calculation_factors (Wood)'!$A$14</f>
        <v>Mittelwert</v>
      </c>
      <c r="AA7" s="86">
        <f t="shared" si="1"/>
        <v>985555.78947368427</v>
      </c>
      <c r="AB7" s="51" t="s">
        <v>63</v>
      </c>
      <c r="AC7" s="111">
        <f>INDEX(Tab_Def_Flows[[Flow_ID]:[CC_DM_source]],MATCH(Tab_Data_Flows[[#This Row],[Name(EN)]],Tab_Def_Flows[Name(EN)],0),16)</f>
        <v>0.14000000000000001</v>
      </c>
      <c r="AD7" s="112">
        <f>IF(J7="Yes",AA7*Tab_Data_Flows[[#This Row],[WC_'[%']]],"N.A.")</f>
        <v>137977.81052631582</v>
      </c>
      <c r="AE7" s="61" t="str">
        <f>Tab_Data_Flows[[#This Row],[UoM_Flow_Py]]</f>
        <v>Mg</v>
      </c>
      <c r="AF7" s="111">
        <f>INDEX(Tab_Def_Flows[[Flow_ID]:[CC_DM_source]],MATCH(Tab_Data_Flows[[#This Row],[Name(EN)]],Tab_Def_Flows[Name(EN)],0),18)</f>
        <v>0.86</v>
      </c>
      <c r="AG7" s="112">
        <f>IF(K7="Yes",AF7*Tab_Data_Flows[[#This Row],[Flow_Py]],"N.A.")</f>
        <v>847577.97894736845</v>
      </c>
      <c r="AH7" s="61" t="str">
        <f>Tab_Data_Flows[[#This Row],[UoM_Flow_Py]]</f>
        <v>Mg</v>
      </c>
      <c r="AI7" s="111">
        <f>INDEX(Tab_Def_Flows[[Flow_ID]:[CC_DM_source]],MATCH(Tab_Data_Flows[[#This Row],[Name(EN)]],Tab_Def_Flows[Name(EN)],0),20)</f>
        <v>0.48</v>
      </c>
      <c r="AJ7" s="112">
        <f>IF(L7="Yes",AI7*Tab_Data_Flows[[#This Row],[Flow_Py]]*Tab_Data_Flows[[#This Row],[DM_'[%']]],"N.A.")</f>
        <v>406837.42989473685</v>
      </c>
      <c r="AK7" s="61" t="str">
        <f>Tab_Data_Flows[[#This Row],[UoM_Flow_Py]]</f>
        <v>Mg</v>
      </c>
    </row>
    <row r="8" spans="1:37" x14ac:dyDescent="0.25">
      <c r="A8" s="60"/>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49" t="str">
        <f>_xlfn.XLOOKUP(C8,Tab_Def_Flows[Name(EN)],Tab_Def_Flows[Value_Source],,0,)</f>
        <v>Data_assumption</v>
      </c>
      <c r="J8" s="49" t="str">
        <f>_xlfn.XLOOKUP(C8,Tab_Def_Flows[Name(EN)],Tab_Def_Flows[WC?],,0,)</f>
        <v>Yes</v>
      </c>
      <c r="K8" s="49" t="str">
        <f>_xlfn.XLOOKUP(C8,Tab_Def_Flows[Name(EN)],Tab_Def_Flows[DM?],,0,)</f>
        <v>Yes</v>
      </c>
      <c r="L8" s="49" t="str">
        <f>_xlfn.XLOOKUP(C8,Tab_Def_Flows[Name(EN)],Tab_Def_Flows[CC?],,0,)</f>
        <v>Yes</v>
      </c>
      <c r="M8" s="51">
        <v>2031</v>
      </c>
      <c r="N8" s="51" t="s">
        <v>350</v>
      </c>
      <c r="O8" s="119">
        <v>1525749.4736842103</v>
      </c>
      <c r="P8" s="51" t="s">
        <v>389</v>
      </c>
      <c r="Q8" s="51"/>
      <c r="R8" s="51" t="e">
        <f>INDEX(Tab_WC_DM_CC[[Flow_ID]:[CC_source]],MATCH(Tab_Data_Flows[[#This Row],[Name(EN)]],Tab_WC_DM_CC[Name(EN)],0),12)</f>
        <v>#N/A</v>
      </c>
      <c r="S8" s="51" t="e">
        <f>MATCH(Tab_Data_Flows[[#This Row],[Name(EN)]],Tab_WC_DM_CC[Name(EN)],0)</f>
        <v>#N/A</v>
      </c>
      <c r="T8" s="51"/>
      <c r="U8" s="51"/>
      <c r="V8" s="51"/>
      <c r="W8" s="51"/>
      <c r="X8" s="51" t="s">
        <v>71</v>
      </c>
      <c r="Y8" s="51"/>
      <c r="Z8" s="51" t="str">
        <f>'3_1_Calculation_factors (Wood)'!$A$14</f>
        <v>Mittelwert</v>
      </c>
      <c r="AA8" s="86">
        <f t="shared" si="1"/>
        <v>1525749.4736842103</v>
      </c>
      <c r="AB8" s="51" t="s">
        <v>63</v>
      </c>
      <c r="AC8" s="111">
        <f>INDEX(Tab_Def_Flows[[Flow_ID]:[CC_DM_source]],MATCH(Tab_Data_Flows[[#This Row],[Name(EN)]],Tab_Def_Flows[Name(EN)],0),16)</f>
        <v>0.14000000000000001</v>
      </c>
      <c r="AD8" s="112">
        <f>IF(J8="Yes",AA8*Tab_Data_Flows[[#This Row],[WC_'[%']]],"N.A.")</f>
        <v>213604.92631578946</v>
      </c>
      <c r="AE8" s="61" t="str">
        <f>Tab_Data_Flows[[#This Row],[UoM_Flow_Py]]</f>
        <v>Mg</v>
      </c>
      <c r="AF8" s="111">
        <f>INDEX(Tab_Def_Flows[[Flow_ID]:[CC_DM_source]],MATCH(Tab_Data_Flows[[#This Row],[Name(EN)]],Tab_Def_Flows[Name(EN)],0),18)</f>
        <v>0.86</v>
      </c>
      <c r="AG8" s="112">
        <f>IF(K8="Yes",AF8*Tab_Data_Flows[[#This Row],[Flow_Py]],"N.A.")</f>
        <v>1312144.5473684208</v>
      </c>
      <c r="AH8" s="61" t="str">
        <f>Tab_Data_Flows[[#This Row],[UoM_Flow_Py]]</f>
        <v>Mg</v>
      </c>
      <c r="AI8" s="111">
        <f>INDEX(Tab_Def_Flows[[Flow_ID]:[CC_DM_source]],MATCH(Tab_Data_Flows[[#This Row],[Name(EN)]],Tab_Def_Flows[Name(EN)],0),20)</f>
        <v>0.48</v>
      </c>
      <c r="AJ8" s="112">
        <f>IF(L8="Yes",AI8*Tab_Data_Flows[[#This Row],[Flow_Py]]*Tab_Data_Flows[[#This Row],[DM_'[%']]],"N.A.")</f>
        <v>629829.38273684203</v>
      </c>
      <c r="AK8" s="61" t="str">
        <f>Tab_Data_Flows[[#This Row],[UoM_Flow_Py]]</f>
        <v>Mg</v>
      </c>
    </row>
    <row r="9" spans="1:37"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2032</v>
      </c>
      <c r="N9" s="51" t="s">
        <v>350</v>
      </c>
      <c r="O9" s="119">
        <v>1283917.8947368423</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1283917.8947368423</v>
      </c>
      <c r="AB9" s="51" t="s">
        <v>63</v>
      </c>
      <c r="AC9" s="111">
        <f>INDEX(Tab_Def_Flows[[Flow_ID]:[CC_DM_source]],MATCH(Tab_Data_Flows[[#This Row],[Name(EN)]],Tab_Def_Flows[Name(EN)],0),16)</f>
        <v>0.14000000000000001</v>
      </c>
      <c r="AD9" s="112">
        <f>IF(J9="Yes",AA9*Tab_Data_Flows[[#This Row],[WC_'[%']]],"N.A.")</f>
        <v>179748.50526315795</v>
      </c>
      <c r="AE9" s="61" t="str">
        <f>Tab_Data_Flows[[#This Row],[UoM_Flow_Py]]</f>
        <v>Mg</v>
      </c>
      <c r="AF9" s="111">
        <f>INDEX(Tab_Def_Flows[[Flow_ID]:[CC_DM_source]],MATCH(Tab_Data_Flows[[#This Row],[Name(EN)]],Tab_Def_Flows[Name(EN)],0),18)</f>
        <v>0.86</v>
      </c>
      <c r="AG9" s="112">
        <f>IF(K9="Yes",AF9*Tab_Data_Flows[[#This Row],[Flow_Py]],"N.A.")</f>
        <v>1104169.3894736844</v>
      </c>
      <c r="AH9" s="61" t="str">
        <f>Tab_Data_Flows[[#This Row],[UoM_Flow_Py]]</f>
        <v>Mg</v>
      </c>
      <c r="AI9" s="111">
        <f>INDEX(Tab_Def_Flows[[Flow_ID]:[CC_DM_source]],MATCH(Tab_Data_Flows[[#This Row],[Name(EN)]],Tab_Def_Flows[Name(EN)],0),20)</f>
        <v>0.48</v>
      </c>
      <c r="AJ9" s="112">
        <f>IF(L9="Yes",AI9*Tab_Data_Flows[[#This Row],[Flow_Py]]*Tab_Data_Flows[[#This Row],[DM_'[%']]],"N.A.")</f>
        <v>530001.30694736843</v>
      </c>
      <c r="AK9" s="61" t="str">
        <f>Tab_Data_Flows[[#This Row],[UoM_Flow_Py]]</f>
        <v>Mg</v>
      </c>
    </row>
    <row r="10" spans="1:37"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2033</v>
      </c>
      <c r="N10" s="51" t="s">
        <v>350</v>
      </c>
      <c r="O10" s="119">
        <v>915452.63157894742</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915452.63157894742</v>
      </c>
      <c r="AB10" s="51" t="s">
        <v>63</v>
      </c>
      <c r="AC10" s="111">
        <f>INDEX(Tab_Def_Flows[[Flow_ID]:[CC_DM_source]],MATCH(Tab_Data_Flows[[#This Row],[Name(EN)]],Tab_Def_Flows[Name(EN)],0),16)</f>
        <v>0.14000000000000001</v>
      </c>
      <c r="AD10" s="112">
        <f>IF(J10="Yes",AA10*Tab_Data_Flows[[#This Row],[WC_'[%']]],"N.A.")</f>
        <v>128163.36842105266</v>
      </c>
      <c r="AE10" s="61" t="str">
        <f>Tab_Data_Flows[[#This Row],[UoM_Flow_Py]]</f>
        <v>Mg</v>
      </c>
      <c r="AF10" s="111">
        <f>INDEX(Tab_Def_Flows[[Flow_ID]:[CC_DM_source]],MATCH(Tab_Data_Flows[[#This Row],[Name(EN)]],Tab_Def_Flows[Name(EN)],0),18)</f>
        <v>0.86</v>
      </c>
      <c r="AG10" s="112">
        <f>IF(K10="Yes",AF10*Tab_Data_Flows[[#This Row],[Flow_Py]],"N.A.")</f>
        <v>787289.26315789472</v>
      </c>
      <c r="AH10" s="61" t="str">
        <f>Tab_Data_Flows[[#This Row],[UoM_Flow_Py]]</f>
        <v>Mg</v>
      </c>
      <c r="AI10" s="111">
        <f>INDEX(Tab_Def_Flows[[Flow_ID]:[CC_DM_source]],MATCH(Tab_Data_Flows[[#This Row],[Name(EN)]],Tab_Def_Flows[Name(EN)],0),20)</f>
        <v>0.48</v>
      </c>
      <c r="AJ10" s="112">
        <f>IF(L10="Yes",AI10*Tab_Data_Flows[[#This Row],[Flow_Py]]*Tab_Data_Flows[[#This Row],[DM_'[%']]],"N.A.")</f>
        <v>377898.84631578944</v>
      </c>
      <c r="AK10" s="61" t="str">
        <f>Tab_Data_Flows[[#This Row],[UoM_Flow_Py]]</f>
        <v>Mg</v>
      </c>
    </row>
    <row r="11" spans="1:37"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2034</v>
      </c>
      <c r="N11" s="51" t="s">
        <v>350</v>
      </c>
      <c r="O11" s="119">
        <v>1216938.9473684211</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1216938.9473684211</v>
      </c>
      <c r="AB11" s="51" t="s">
        <v>63</v>
      </c>
      <c r="AC11" s="111">
        <f>INDEX(Tab_Def_Flows[[Flow_ID]:[CC_DM_source]],MATCH(Tab_Data_Flows[[#This Row],[Name(EN)]],Tab_Def_Flows[Name(EN)],0),16)</f>
        <v>0.14000000000000001</v>
      </c>
      <c r="AD11" s="112">
        <f>IF(J11="Yes",AA11*Tab_Data_Flows[[#This Row],[WC_'[%']]],"N.A.")</f>
        <v>170371.45263157898</v>
      </c>
      <c r="AE11" s="61" t="str">
        <f>Tab_Data_Flows[[#This Row],[UoM_Flow_Py]]</f>
        <v>Mg</v>
      </c>
      <c r="AF11" s="111">
        <f>INDEX(Tab_Def_Flows[[Flow_ID]:[CC_DM_source]],MATCH(Tab_Data_Flows[[#This Row],[Name(EN)]],Tab_Def_Flows[Name(EN)],0),18)</f>
        <v>0.86</v>
      </c>
      <c r="AG11" s="112">
        <f>IF(K11="Yes",AF11*Tab_Data_Flows[[#This Row],[Flow_Py]],"N.A.")</f>
        <v>1046567.4947368421</v>
      </c>
      <c r="AH11" s="61" t="str">
        <f>Tab_Data_Flows[[#This Row],[UoM_Flow_Py]]</f>
        <v>Mg</v>
      </c>
      <c r="AI11" s="111">
        <f>INDEX(Tab_Def_Flows[[Flow_ID]:[CC_DM_source]],MATCH(Tab_Data_Flows[[#This Row],[Name(EN)]],Tab_Def_Flows[Name(EN)],0),20)</f>
        <v>0.48</v>
      </c>
      <c r="AJ11" s="112">
        <f>IF(L11="Yes",AI11*Tab_Data_Flows[[#This Row],[Flow_Py]]*Tab_Data_Flows[[#This Row],[DM_'[%']]],"N.A.")</f>
        <v>502352.39747368416</v>
      </c>
      <c r="AK11" s="61" t="str">
        <f>Tab_Data_Flows[[#This Row],[UoM_Flow_Py]]</f>
        <v>Mg</v>
      </c>
    </row>
    <row r="12" spans="1:37"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2035</v>
      </c>
      <c r="N12" s="51" t="s">
        <v>350</v>
      </c>
      <c r="O12" s="119">
        <v>917250.52631578944</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917250.52631578944</v>
      </c>
      <c r="AB12" s="51" t="s">
        <v>63</v>
      </c>
      <c r="AC12" s="111">
        <f>INDEX(Tab_Def_Flows[[Flow_ID]:[CC_DM_source]],MATCH(Tab_Data_Flows[[#This Row],[Name(EN)]],Tab_Def_Flows[Name(EN)],0),16)</f>
        <v>0.14000000000000001</v>
      </c>
      <c r="AD12" s="112">
        <f>IF(J12="Yes",AA12*Tab_Data_Flows[[#This Row],[WC_'[%']]],"N.A.")</f>
        <v>128415.07368421054</v>
      </c>
      <c r="AE12" s="61" t="str">
        <f>Tab_Data_Flows[[#This Row],[UoM_Flow_Py]]</f>
        <v>Mg</v>
      </c>
      <c r="AF12" s="111">
        <f>INDEX(Tab_Def_Flows[[Flow_ID]:[CC_DM_source]],MATCH(Tab_Data_Flows[[#This Row],[Name(EN)]],Tab_Def_Flows[Name(EN)],0),18)</f>
        <v>0.86</v>
      </c>
      <c r="AG12" s="112">
        <f>IF(K12="Yes",AF12*Tab_Data_Flows[[#This Row],[Flow_Py]],"N.A.")</f>
        <v>788835.4526315789</v>
      </c>
      <c r="AH12" s="61" t="str">
        <f>Tab_Data_Flows[[#This Row],[UoM_Flow_Py]]</f>
        <v>Mg</v>
      </c>
      <c r="AI12" s="111">
        <f>INDEX(Tab_Def_Flows[[Flow_ID]:[CC_DM_source]],MATCH(Tab_Data_Flows[[#This Row],[Name(EN)]],Tab_Def_Flows[Name(EN)],0),20)</f>
        <v>0.48</v>
      </c>
      <c r="AJ12" s="112">
        <f>IF(L12="Yes",AI12*Tab_Data_Flows[[#This Row],[Flow_Py]]*Tab_Data_Flows[[#This Row],[DM_'[%']]],"N.A.")</f>
        <v>378641.01726315782</v>
      </c>
      <c r="AK12" s="61" t="str">
        <f>Tab_Data_Flows[[#This Row],[UoM_Flow_Py]]</f>
        <v>Mg</v>
      </c>
    </row>
    <row r="13" spans="1:37"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2036</v>
      </c>
      <c r="N13" s="51" t="s">
        <v>350</v>
      </c>
      <c r="O13" s="119">
        <v>916557.89473684214</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916557.89473684214</v>
      </c>
      <c r="AB13" s="51" t="s">
        <v>63</v>
      </c>
      <c r="AC13" s="111">
        <f>INDEX(Tab_Def_Flows[[Flow_ID]:[CC_DM_source]],MATCH(Tab_Data_Flows[[#This Row],[Name(EN)]],Tab_Def_Flows[Name(EN)],0),16)</f>
        <v>0.14000000000000001</v>
      </c>
      <c r="AD13" s="112">
        <f>IF(J13="Yes",AA13*Tab_Data_Flows[[#This Row],[WC_'[%']]],"N.A.")</f>
        <v>128318.10526315791</v>
      </c>
      <c r="AE13" s="61" t="str">
        <f>Tab_Data_Flows[[#This Row],[UoM_Flow_Py]]</f>
        <v>Mg</v>
      </c>
      <c r="AF13" s="111">
        <f>INDEX(Tab_Def_Flows[[Flow_ID]:[CC_DM_source]],MATCH(Tab_Data_Flows[[#This Row],[Name(EN)]],Tab_Def_Flows[Name(EN)],0),18)</f>
        <v>0.86</v>
      </c>
      <c r="AG13" s="112">
        <f>IF(K13="Yes",AF13*Tab_Data_Flows[[#This Row],[Flow_Py]],"N.A.")</f>
        <v>788239.78947368427</v>
      </c>
      <c r="AH13" s="61" t="str">
        <f>Tab_Data_Flows[[#This Row],[UoM_Flow_Py]]</f>
        <v>Mg</v>
      </c>
      <c r="AI13" s="111">
        <f>INDEX(Tab_Def_Flows[[Flow_ID]:[CC_DM_source]],MATCH(Tab_Data_Flows[[#This Row],[Name(EN)]],Tab_Def_Flows[Name(EN)],0),20)</f>
        <v>0.48</v>
      </c>
      <c r="AJ13" s="112">
        <f>IF(L13="Yes",AI13*Tab_Data_Flows[[#This Row],[Flow_Py]]*Tab_Data_Flows[[#This Row],[DM_'[%']]],"N.A.")</f>
        <v>378355.09894736845</v>
      </c>
      <c r="AK13" s="61" t="str">
        <f>Tab_Data_Flows[[#This Row],[UoM_Flow_Py]]</f>
        <v>Mg</v>
      </c>
    </row>
    <row r="14" spans="1:37"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2037</v>
      </c>
      <c r="N14" s="51" t="s">
        <v>350</v>
      </c>
      <c r="O14" s="119">
        <v>1127383.1578947369</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1127383.1578947369</v>
      </c>
      <c r="AB14" s="51" t="s">
        <v>63</v>
      </c>
      <c r="AC14" s="111">
        <f>INDEX(Tab_Def_Flows[[Flow_ID]:[CC_DM_source]],MATCH(Tab_Data_Flows[[#This Row],[Name(EN)]],Tab_Def_Flows[Name(EN)],0),16)</f>
        <v>0.14000000000000001</v>
      </c>
      <c r="AD14" s="112">
        <f>IF(J14="Yes",AA14*Tab_Data_Flows[[#This Row],[WC_'[%']]],"N.A.")</f>
        <v>157833.64210526316</v>
      </c>
      <c r="AE14" s="61" t="str">
        <f>Tab_Data_Flows[[#This Row],[UoM_Flow_Py]]</f>
        <v>Mg</v>
      </c>
      <c r="AF14" s="111">
        <f>INDEX(Tab_Def_Flows[[Flow_ID]:[CC_DM_source]],MATCH(Tab_Data_Flows[[#This Row],[Name(EN)]],Tab_Def_Flows[Name(EN)],0),18)</f>
        <v>0.86</v>
      </c>
      <c r="AG14" s="112">
        <f>IF(K14="Yes",AF14*Tab_Data_Flows[[#This Row],[Flow_Py]],"N.A.")</f>
        <v>969549.51578947366</v>
      </c>
      <c r="AH14" s="61" t="str">
        <f>Tab_Data_Flows[[#This Row],[UoM_Flow_Py]]</f>
        <v>Mg</v>
      </c>
      <c r="AI14" s="111">
        <f>INDEX(Tab_Def_Flows[[Flow_ID]:[CC_DM_source]],MATCH(Tab_Data_Flows[[#This Row],[Name(EN)]],Tab_Def_Flows[Name(EN)],0),20)</f>
        <v>0.48</v>
      </c>
      <c r="AJ14" s="112">
        <f>IF(L14="Yes",AI14*Tab_Data_Flows[[#This Row],[Flow_Py]]*Tab_Data_Flows[[#This Row],[DM_'[%']]],"N.A.")</f>
        <v>465383.76757894736</v>
      </c>
      <c r="AK14" s="61" t="str">
        <f>Tab_Data_Flows[[#This Row],[UoM_Flow_Py]]</f>
        <v>Mg</v>
      </c>
    </row>
    <row r="15" spans="1:37"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2038</v>
      </c>
      <c r="N15" s="51" t="s">
        <v>350</v>
      </c>
      <c r="O15" s="119">
        <v>485343.15789473685</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485343.15789473685</v>
      </c>
      <c r="AB15" s="51" t="s">
        <v>63</v>
      </c>
      <c r="AC15" s="111">
        <f>INDEX(Tab_Def_Flows[[Flow_ID]:[CC_DM_source]],MATCH(Tab_Data_Flows[[#This Row],[Name(EN)]],Tab_Def_Flows[Name(EN)],0),16)</f>
        <v>0.14000000000000001</v>
      </c>
      <c r="AD15" s="112">
        <f>IF(J15="Yes",AA15*Tab_Data_Flows[[#This Row],[WC_'[%']]],"N.A.")</f>
        <v>67948.042105263172</v>
      </c>
      <c r="AE15" s="61" t="str">
        <f>Tab_Data_Flows[[#This Row],[UoM_Flow_Py]]</f>
        <v>Mg</v>
      </c>
      <c r="AF15" s="111">
        <f>INDEX(Tab_Def_Flows[[Flow_ID]:[CC_DM_source]],MATCH(Tab_Data_Flows[[#This Row],[Name(EN)]],Tab_Def_Flows[Name(EN)],0),18)</f>
        <v>0.86</v>
      </c>
      <c r="AG15" s="112">
        <f>IF(K15="Yes",AF15*Tab_Data_Flows[[#This Row],[Flow_Py]],"N.A.")</f>
        <v>417395.1157894737</v>
      </c>
      <c r="AH15" s="61" t="str">
        <f>Tab_Data_Flows[[#This Row],[UoM_Flow_Py]]</f>
        <v>Mg</v>
      </c>
      <c r="AI15" s="111">
        <f>INDEX(Tab_Def_Flows[[Flow_ID]:[CC_DM_source]],MATCH(Tab_Data_Flows[[#This Row],[Name(EN)]],Tab_Def_Flows[Name(EN)],0),20)</f>
        <v>0.48</v>
      </c>
      <c r="AJ15" s="112">
        <f>IF(L15="Yes",AI15*Tab_Data_Flows[[#This Row],[Flow_Py]]*Tab_Data_Flows[[#This Row],[DM_'[%']]],"N.A.")</f>
        <v>200349.65557894736</v>
      </c>
      <c r="AK15" s="61" t="str">
        <f>Tab_Data_Flows[[#This Row],[UoM_Flow_Py]]</f>
        <v>Mg</v>
      </c>
    </row>
    <row r="16" spans="1:37"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2039</v>
      </c>
      <c r="N16" s="51" t="s">
        <v>350</v>
      </c>
      <c r="O16" s="119">
        <v>541446.31578947371</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541446.31578947371</v>
      </c>
      <c r="AB16" s="51" t="s">
        <v>63</v>
      </c>
      <c r="AC16" s="111">
        <f>INDEX(Tab_Def_Flows[[Flow_ID]:[CC_DM_source]],MATCH(Tab_Data_Flows[[#This Row],[Name(EN)]],Tab_Def_Flows[Name(EN)],0),16)</f>
        <v>0.14000000000000001</v>
      </c>
      <c r="AD16" s="112">
        <f>IF(J16="Yes",AA16*Tab_Data_Flows[[#This Row],[WC_'[%']]],"N.A.")</f>
        <v>75802.484210526323</v>
      </c>
      <c r="AE16" s="61" t="str">
        <f>Tab_Data_Flows[[#This Row],[UoM_Flow_Py]]</f>
        <v>Mg</v>
      </c>
      <c r="AF16" s="111">
        <f>INDEX(Tab_Def_Flows[[Flow_ID]:[CC_DM_source]],MATCH(Tab_Data_Flows[[#This Row],[Name(EN)]],Tab_Def_Flows[Name(EN)],0),18)</f>
        <v>0.86</v>
      </c>
      <c r="AG16" s="112">
        <f>IF(K16="Yes",AF16*Tab_Data_Flows[[#This Row],[Flow_Py]],"N.A.")</f>
        <v>465643.83157894737</v>
      </c>
      <c r="AH16" s="61" t="str">
        <f>Tab_Data_Flows[[#This Row],[UoM_Flow_Py]]</f>
        <v>Mg</v>
      </c>
      <c r="AI16" s="111">
        <f>INDEX(Tab_Def_Flows[[Flow_ID]:[CC_DM_source]],MATCH(Tab_Data_Flows[[#This Row],[Name(EN)]],Tab_Def_Flows[Name(EN)],0),20)</f>
        <v>0.48</v>
      </c>
      <c r="AJ16" s="112">
        <f>IF(L16="Yes",AI16*Tab_Data_Flows[[#This Row],[Flow_Py]]*Tab_Data_Flows[[#This Row],[DM_'[%']]],"N.A.")</f>
        <v>223509.03915789473</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2040</v>
      </c>
      <c r="N17" s="51" t="s">
        <v>350</v>
      </c>
      <c r="O17" s="119">
        <v>887806.31578947371</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887806.31578947371</v>
      </c>
      <c r="AB17" s="51" t="s">
        <v>63</v>
      </c>
      <c r="AC17" s="111">
        <f>INDEX(Tab_Def_Flows[[Flow_ID]:[CC_DM_source]],MATCH(Tab_Data_Flows[[#This Row],[Name(EN)]],Tab_Def_Flows[Name(EN)],0),16)</f>
        <v>0.14000000000000001</v>
      </c>
      <c r="AD17" s="112">
        <f>IF(J17="Yes",AA17*Tab_Data_Flows[[#This Row],[WC_'[%']]],"N.A.")</f>
        <v>124292.88421052633</v>
      </c>
      <c r="AE17" s="61" t="str">
        <f>Tab_Data_Flows[[#This Row],[UoM_Flow_Py]]</f>
        <v>Mg</v>
      </c>
      <c r="AF17" s="111">
        <f>INDEX(Tab_Def_Flows[[Flow_ID]:[CC_DM_source]],MATCH(Tab_Data_Flows[[#This Row],[Name(EN)]],Tab_Def_Flows[Name(EN)],0),18)</f>
        <v>0.86</v>
      </c>
      <c r="AG17" s="112">
        <f>IF(K17="Yes",AF17*Tab_Data_Flows[[#This Row],[Flow_Py]],"N.A.")</f>
        <v>763513.43157894735</v>
      </c>
      <c r="AH17" s="61" t="str">
        <f>Tab_Data_Flows[[#This Row],[UoM_Flow_Py]]</f>
        <v>Mg</v>
      </c>
      <c r="AI17" s="111">
        <f>INDEX(Tab_Def_Flows[[Flow_ID]:[CC_DM_source]],MATCH(Tab_Data_Flows[[#This Row],[Name(EN)]],Tab_Def_Flows[Name(EN)],0),20)</f>
        <v>0.48</v>
      </c>
      <c r="AJ17" s="112">
        <f>IF(L17="Yes",AI17*Tab_Data_Flows[[#This Row],[Flow_Py]]*Tab_Data_Flows[[#This Row],[DM_'[%']]],"N.A.")</f>
        <v>366486.44715789473</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2041</v>
      </c>
      <c r="N18" s="51" t="s">
        <v>350</v>
      </c>
      <c r="O18" s="119">
        <v>753583.15789473685</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753583.15789473685</v>
      </c>
      <c r="AB18" s="51" t="s">
        <v>63</v>
      </c>
      <c r="AC18" s="111">
        <f>INDEX(Tab_Def_Flows[[Flow_ID]:[CC_DM_source]],MATCH(Tab_Data_Flows[[#This Row],[Name(EN)]],Tab_Def_Flows[Name(EN)],0),16)</f>
        <v>0.14000000000000001</v>
      </c>
      <c r="AD18" s="112">
        <f>IF(J18="Yes",AA18*Tab_Data_Flows[[#This Row],[WC_'[%']]],"N.A.")</f>
        <v>105501.64210526316</v>
      </c>
      <c r="AE18" s="61" t="str">
        <f>Tab_Data_Flows[[#This Row],[UoM_Flow_Py]]</f>
        <v>Mg</v>
      </c>
      <c r="AF18" s="111">
        <f>INDEX(Tab_Def_Flows[[Flow_ID]:[CC_DM_source]],MATCH(Tab_Data_Flows[[#This Row],[Name(EN)]],Tab_Def_Flows[Name(EN)],0),18)</f>
        <v>0.86</v>
      </c>
      <c r="AG18" s="112">
        <f>IF(K18="Yes",AF18*Tab_Data_Flows[[#This Row],[Flow_Py]],"N.A.")</f>
        <v>648081.51578947366</v>
      </c>
      <c r="AH18" s="61" t="str">
        <f>Tab_Data_Flows[[#This Row],[UoM_Flow_Py]]</f>
        <v>Mg</v>
      </c>
      <c r="AI18" s="111">
        <f>INDEX(Tab_Def_Flows[[Flow_ID]:[CC_DM_source]],MATCH(Tab_Data_Flows[[#This Row],[Name(EN)]],Tab_Def_Flows[Name(EN)],0),20)</f>
        <v>0.48</v>
      </c>
      <c r="AJ18" s="112">
        <f>IF(L18="Yes",AI18*Tab_Data_Flows[[#This Row],[Flow_Py]]*Tab_Data_Flows[[#This Row],[DM_'[%']]],"N.A.")</f>
        <v>311079.12757894734</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2042</v>
      </c>
      <c r="N19" s="51" t="s">
        <v>350</v>
      </c>
      <c r="O19" s="119">
        <v>1148913.6842105263</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1148913.6842105263</v>
      </c>
      <c r="AB19" s="51" t="s">
        <v>63</v>
      </c>
      <c r="AC19" s="111">
        <f>INDEX(Tab_Def_Flows[[Flow_ID]:[CC_DM_source]],MATCH(Tab_Data_Flows[[#This Row],[Name(EN)]],Tab_Def_Flows[Name(EN)],0),16)</f>
        <v>0.14000000000000001</v>
      </c>
      <c r="AD19" s="112">
        <f>IF(J19="Yes",AA19*Tab_Data_Flows[[#This Row],[WC_'[%']]],"N.A.")</f>
        <v>160847.91578947369</v>
      </c>
      <c r="AE19" s="61" t="str">
        <f>Tab_Data_Flows[[#This Row],[UoM_Flow_Py]]</f>
        <v>Mg</v>
      </c>
      <c r="AF19" s="111">
        <f>INDEX(Tab_Def_Flows[[Flow_ID]:[CC_DM_source]],MATCH(Tab_Data_Flows[[#This Row],[Name(EN)]],Tab_Def_Flows[Name(EN)],0),18)</f>
        <v>0.86</v>
      </c>
      <c r="AG19" s="112">
        <f>IF(K19="Yes",AF19*Tab_Data_Flows[[#This Row],[Flow_Py]],"N.A.")</f>
        <v>988065.76842105261</v>
      </c>
      <c r="AH19" s="61" t="str">
        <f>Tab_Data_Flows[[#This Row],[UoM_Flow_Py]]</f>
        <v>Mg</v>
      </c>
      <c r="AI19" s="111">
        <f>INDEX(Tab_Def_Flows[[Flow_ID]:[CC_DM_source]],MATCH(Tab_Data_Flows[[#This Row],[Name(EN)]],Tab_Def_Flows[Name(EN)],0),20)</f>
        <v>0.48</v>
      </c>
      <c r="AJ19" s="112">
        <f>IF(L19="Yes",AI19*Tab_Data_Flows[[#This Row],[Flow_Py]]*Tab_Data_Flows[[#This Row],[DM_'[%']]],"N.A.")</f>
        <v>474271.56884210528</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2043</v>
      </c>
      <c r="N20" s="51" t="s">
        <v>350</v>
      </c>
      <c r="O20" s="119">
        <v>784810.52631578944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784810.52631578944</v>
      </c>
      <c r="AB20" s="51" t="s">
        <v>63</v>
      </c>
      <c r="AC20" s="111">
        <f>INDEX(Tab_Def_Flows[[Flow_ID]:[CC_DM_source]],MATCH(Tab_Data_Flows[[#This Row],[Name(EN)]],Tab_Def_Flows[Name(EN)],0),16)</f>
        <v>0.14000000000000001</v>
      </c>
      <c r="AD20" s="112">
        <f>IF(J20="Yes",AA20*Tab_Data_Flows[[#This Row],[WC_'[%']]],"N.A.")</f>
        <v>109873.47368421053</v>
      </c>
      <c r="AE20" s="61" t="str">
        <f>Tab_Data_Flows[[#This Row],[UoM_Flow_Py]]</f>
        <v>Mg</v>
      </c>
      <c r="AF20" s="111">
        <f>INDEX(Tab_Def_Flows[[Flow_ID]:[CC_DM_source]],MATCH(Tab_Data_Flows[[#This Row],[Name(EN)]],Tab_Def_Flows[Name(EN)],0),18)</f>
        <v>0.86</v>
      </c>
      <c r="AG20" s="112">
        <f>IF(K20="Yes",AF20*Tab_Data_Flows[[#This Row],[Flow_Py]],"N.A.")</f>
        <v>674937.05263157887</v>
      </c>
      <c r="AH20" s="61" t="str">
        <f>Tab_Data_Flows[[#This Row],[UoM_Flow_Py]]</f>
        <v>Mg</v>
      </c>
      <c r="AI20" s="111">
        <f>INDEX(Tab_Def_Flows[[Flow_ID]:[CC_DM_source]],MATCH(Tab_Data_Flows[[#This Row],[Name(EN)]],Tab_Def_Flows[Name(EN)],0),20)</f>
        <v>0.48</v>
      </c>
      <c r="AJ20" s="112">
        <f>IF(L20="Yes",AI20*Tab_Data_Flows[[#This Row],[Flow_Py]]*Tab_Data_Flows[[#This Row],[DM_'[%']]],"N.A.")</f>
        <v>323969.78526315786</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2044</v>
      </c>
      <c r="N21" s="51" t="s">
        <v>350</v>
      </c>
      <c r="O21" s="119">
        <v>634583.15789473685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634583.15789473685</v>
      </c>
      <c r="AB21" s="51" t="s">
        <v>63</v>
      </c>
      <c r="AC21" s="111">
        <f>INDEX(Tab_Def_Flows[[Flow_ID]:[CC_DM_source]],MATCH(Tab_Data_Flows[[#This Row],[Name(EN)]],Tab_Def_Flows[Name(EN)],0),16)</f>
        <v>0.14000000000000001</v>
      </c>
      <c r="AD21" s="112">
        <f>IF(J21="Yes",AA21*Tab_Data_Flows[[#This Row],[WC_'[%']]],"N.A.")</f>
        <v>88841.642105263163</v>
      </c>
      <c r="AE21" s="61" t="str">
        <f>Tab_Data_Flows[[#This Row],[UoM_Flow_Py]]</f>
        <v>Mg</v>
      </c>
      <c r="AF21" s="111">
        <f>INDEX(Tab_Def_Flows[[Flow_ID]:[CC_DM_source]],MATCH(Tab_Data_Flows[[#This Row],[Name(EN)]],Tab_Def_Flows[Name(EN)],0),18)</f>
        <v>0.86</v>
      </c>
      <c r="AG21" s="112">
        <f>IF(K21="Yes",AF21*Tab_Data_Flows[[#This Row],[Flow_Py]],"N.A.")</f>
        <v>545741.51578947366</v>
      </c>
      <c r="AH21" s="61" t="str">
        <f>Tab_Data_Flows[[#This Row],[UoM_Flow_Py]]</f>
        <v>Mg</v>
      </c>
      <c r="AI21" s="111">
        <f>INDEX(Tab_Def_Flows[[Flow_ID]:[CC_DM_source]],MATCH(Tab_Data_Flows[[#This Row],[Name(EN)]],Tab_Def_Flows[Name(EN)],0),20)</f>
        <v>0.48</v>
      </c>
      <c r="AJ21" s="112">
        <f>IF(L21="Yes",AI21*Tab_Data_Flows[[#This Row],[Flow_Py]]*Tab_Data_Flows[[#This Row],[DM_'[%']]],"N.A.")</f>
        <v>261955.92757894736</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2045</v>
      </c>
      <c r="N22" s="51" t="s">
        <v>350</v>
      </c>
      <c r="O22" s="119">
        <v>1491928.4210526317</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1491928.4210526317</v>
      </c>
      <c r="AB22" s="51" t="s">
        <v>63</v>
      </c>
      <c r="AC22" s="111">
        <f>INDEX(Tab_Def_Flows[[Flow_ID]:[CC_DM_source]],MATCH(Tab_Data_Flows[[#This Row],[Name(EN)]],Tab_Def_Flows[Name(EN)],0),16)</f>
        <v>0.14000000000000001</v>
      </c>
      <c r="AD22" s="112">
        <f>IF(J22="Yes",AA22*Tab_Data_Flows[[#This Row],[WC_'[%']]],"N.A.")</f>
        <v>208869.97894736845</v>
      </c>
      <c r="AE22" s="61" t="str">
        <f>Tab_Data_Flows[[#This Row],[UoM_Flow_Py]]</f>
        <v>Mg</v>
      </c>
      <c r="AF22" s="111">
        <f>INDEX(Tab_Def_Flows[[Flow_ID]:[CC_DM_source]],MATCH(Tab_Data_Flows[[#This Row],[Name(EN)]],Tab_Def_Flows[Name(EN)],0),18)</f>
        <v>0.86</v>
      </c>
      <c r="AG22" s="112">
        <f>IF(K22="Yes",AF22*Tab_Data_Flows[[#This Row],[Flow_Py]],"N.A.")</f>
        <v>1283058.4421052632</v>
      </c>
      <c r="AH22" s="61" t="str">
        <f>Tab_Data_Flows[[#This Row],[UoM_Flow_Py]]</f>
        <v>Mg</v>
      </c>
      <c r="AI22" s="111">
        <f>INDEX(Tab_Def_Flows[[Flow_ID]:[CC_DM_source]],MATCH(Tab_Data_Flows[[#This Row],[Name(EN)]],Tab_Def_Flows[Name(EN)],0),20)</f>
        <v>0.48</v>
      </c>
      <c r="AJ22" s="112">
        <f>IF(L22="Yes",AI22*Tab_Data_Flows[[#This Row],[Flow_Py]]*Tab_Data_Flows[[#This Row],[DM_'[%']]],"N.A.")</f>
        <v>615868.05221052631</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2046</v>
      </c>
      <c r="N23" s="51" t="s">
        <v>350</v>
      </c>
      <c r="O23" s="119">
        <v>988046.31578947371</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988046.31578947371</v>
      </c>
      <c r="AB23" s="51" t="s">
        <v>63</v>
      </c>
      <c r="AC23" s="111">
        <f>INDEX(Tab_Def_Flows[[Flow_ID]:[CC_DM_source]],MATCH(Tab_Data_Flows[[#This Row],[Name(EN)]],Tab_Def_Flows[Name(EN)],0),16)</f>
        <v>0.14000000000000001</v>
      </c>
      <c r="AD23" s="112">
        <f>IF(J23="Yes",AA23*Tab_Data_Flows[[#This Row],[WC_'[%']]],"N.A.")</f>
        <v>138326.48421052634</v>
      </c>
      <c r="AE23" s="61" t="str">
        <f>Tab_Data_Flows[[#This Row],[UoM_Flow_Py]]</f>
        <v>Mg</v>
      </c>
      <c r="AF23" s="111">
        <f>INDEX(Tab_Def_Flows[[Flow_ID]:[CC_DM_source]],MATCH(Tab_Data_Flows[[#This Row],[Name(EN)]],Tab_Def_Flows[Name(EN)],0),18)</f>
        <v>0.86</v>
      </c>
      <c r="AG23" s="112">
        <f>IF(K23="Yes",AF23*Tab_Data_Flows[[#This Row],[Flow_Py]],"N.A.")</f>
        <v>849719.83157894737</v>
      </c>
      <c r="AH23" s="61" t="str">
        <f>Tab_Data_Flows[[#This Row],[UoM_Flow_Py]]</f>
        <v>Mg</v>
      </c>
      <c r="AI23" s="111">
        <f>INDEX(Tab_Def_Flows[[Flow_ID]:[CC_DM_source]],MATCH(Tab_Data_Flows[[#This Row],[Name(EN)]],Tab_Def_Flows[Name(EN)],0),20)</f>
        <v>0.48</v>
      </c>
      <c r="AJ23" s="112">
        <f>IF(L23="Yes",AI23*Tab_Data_Flows[[#This Row],[Flow_Py]]*Tab_Data_Flows[[#This Row],[DM_'[%']]],"N.A.")</f>
        <v>407865.51915789471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2047</v>
      </c>
      <c r="N24" s="51" t="s">
        <v>350</v>
      </c>
      <c r="O24" s="119">
        <v>1075421.0526315789</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1075421.0526315789</v>
      </c>
      <c r="AB24" s="51" t="s">
        <v>63</v>
      </c>
      <c r="AC24" s="111">
        <f>INDEX(Tab_Def_Flows[[Flow_ID]:[CC_DM_source]],MATCH(Tab_Data_Flows[[#This Row],[Name(EN)]],Tab_Def_Flows[Name(EN)],0),16)</f>
        <v>0.14000000000000001</v>
      </c>
      <c r="AD24" s="112">
        <f>IF(J24="Yes",AA24*Tab_Data_Flows[[#This Row],[WC_'[%']]],"N.A.")</f>
        <v>150558.94736842107</v>
      </c>
      <c r="AE24" s="61" t="str">
        <f>Tab_Data_Flows[[#This Row],[UoM_Flow_Py]]</f>
        <v>Mg</v>
      </c>
      <c r="AF24" s="111">
        <f>INDEX(Tab_Def_Flows[[Flow_ID]:[CC_DM_source]],MATCH(Tab_Data_Flows[[#This Row],[Name(EN)]],Tab_Def_Flows[Name(EN)],0),18)</f>
        <v>0.86</v>
      </c>
      <c r="AG24" s="112">
        <f>IF(K24="Yes",AF24*Tab_Data_Flows[[#This Row],[Flow_Py]],"N.A.")</f>
        <v>924862.10526315786</v>
      </c>
      <c r="AH24" s="61" t="str">
        <f>Tab_Data_Flows[[#This Row],[UoM_Flow_Py]]</f>
        <v>Mg</v>
      </c>
      <c r="AI24" s="111">
        <f>INDEX(Tab_Def_Flows[[Flow_ID]:[CC_DM_source]],MATCH(Tab_Data_Flows[[#This Row],[Name(EN)]],Tab_Def_Flows[Name(EN)],0),20)</f>
        <v>0.48</v>
      </c>
      <c r="AJ24" s="112">
        <f>IF(L24="Yes",AI24*Tab_Data_Flows[[#This Row],[Flow_Py]]*Tab_Data_Flows[[#This Row],[DM_'[%']]],"N.A.")</f>
        <v>443933.81052631576</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2048</v>
      </c>
      <c r="N25" s="51" t="s">
        <v>350</v>
      </c>
      <c r="O25" s="119">
        <v>630869.47368421056</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630869.47368421056</v>
      </c>
      <c r="AB25" s="51" t="s">
        <v>63</v>
      </c>
      <c r="AC25" s="111">
        <f>INDEX(Tab_Def_Flows[[Flow_ID]:[CC_DM_source]],MATCH(Tab_Data_Flows[[#This Row],[Name(EN)]],Tab_Def_Flows[Name(EN)],0),16)</f>
        <v>0.14000000000000001</v>
      </c>
      <c r="AD25" s="112">
        <f>IF(J25="Yes",AA25*Tab_Data_Flows[[#This Row],[WC_'[%']]],"N.A.")</f>
        <v>88321.726315789492</v>
      </c>
      <c r="AE25" s="61" t="str">
        <f>Tab_Data_Flows[[#This Row],[UoM_Flow_Py]]</f>
        <v>Mg</v>
      </c>
      <c r="AF25" s="111">
        <f>INDEX(Tab_Def_Flows[[Flow_ID]:[CC_DM_source]],MATCH(Tab_Data_Flows[[#This Row],[Name(EN)]],Tab_Def_Flows[Name(EN)],0),18)</f>
        <v>0.86</v>
      </c>
      <c r="AG25" s="112">
        <f>IF(K25="Yes",AF25*Tab_Data_Flows[[#This Row],[Flow_Py]],"N.A.")</f>
        <v>542547.74736842106</v>
      </c>
      <c r="AH25" s="61" t="str">
        <f>Tab_Data_Flows[[#This Row],[UoM_Flow_Py]]</f>
        <v>Mg</v>
      </c>
      <c r="AI25" s="111">
        <f>INDEX(Tab_Def_Flows[[Flow_ID]:[CC_DM_source]],MATCH(Tab_Data_Flows[[#This Row],[Name(EN)]],Tab_Def_Flows[Name(EN)],0),20)</f>
        <v>0.48</v>
      </c>
      <c r="AJ25" s="112">
        <f>IF(L25="Yes",AI25*Tab_Data_Flows[[#This Row],[Flow_Py]]*Tab_Data_Flows[[#This Row],[DM_'[%']]],"N.A.")</f>
        <v>260422.91873684208</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2049</v>
      </c>
      <c r="N26" s="51" t="s">
        <v>350</v>
      </c>
      <c r="O26" s="119">
        <v>893126.31578947371</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893126.31578947371</v>
      </c>
      <c r="AB26" s="51" t="s">
        <v>63</v>
      </c>
      <c r="AC26" s="111">
        <f>INDEX(Tab_Def_Flows[[Flow_ID]:[CC_DM_source]],MATCH(Tab_Data_Flows[[#This Row],[Name(EN)]],Tab_Def_Flows[Name(EN)],0),16)</f>
        <v>0.14000000000000001</v>
      </c>
      <c r="AD26" s="112">
        <f>IF(J26="Yes",AA26*Tab_Data_Flows[[#This Row],[WC_'[%']]],"N.A.")</f>
        <v>125037.68421052633</v>
      </c>
      <c r="AE26" s="61" t="str">
        <f>Tab_Data_Flows[[#This Row],[UoM_Flow_Py]]</f>
        <v>Mg</v>
      </c>
      <c r="AF26" s="111">
        <f>INDEX(Tab_Def_Flows[[Flow_ID]:[CC_DM_source]],MATCH(Tab_Data_Flows[[#This Row],[Name(EN)]],Tab_Def_Flows[Name(EN)],0),18)</f>
        <v>0.86</v>
      </c>
      <c r="AG26" s="112">
        <f>IF(K26="Yes",AF26*Tab_Data_Flows[[#This Row],[Flow_Py]],"N.A.")</f>
        <v>768088.63157894742</v>
      </c>
      <c r="AH26" s="61" t="str">
        <f>Tab_Data_Flows[[#This Row],[UoM_Flow_Py]]</f>
        <v>Mg</v>
      </c>
      <c r="AI26" s="111">
        <f>INDEX(Tab_Def_Flows[[Flow_ID]:[CC_DM_source]],MATCH(Tab_Data_Flows[[#This Row],[Name(EN)]],Tab_Def_Flows[Name(EN)],0),20)</f>
        <v>0.48</v>
      </c>
      <c r="AJ26" s="112">
        <f>IF(L26="Yes",AI26*Tab_Data_Flows[[#This Row],[Flow_Py]]*Tab_Data_Flows[[#This Row],[DM_'[%']]],"N.A.")</f>
        <v>368682.54315789475</v>
      </c>
      <c r="AK26" s="61" t="str">
        <f>Tab_Data_Flows[[#This Row],[UoM_Flow_Py]]</f>
        <v>Mg</v>
      </c>
    </row>
    <row r="27" spans="1:37" ht="15.75" thickBot="1" x14ac:dyDescent="0.3">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2050</v>
      </c>
      <c r="N27" s="51" t="s">
        <v>350</v>
      </c>
      <c r="O27" s="119">
        <v>1088345.2631578948</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1088345.2631578948</v>
      </c>
      <c r="AB27" s="51" t="s">
        <v>63</v>
      </c>
      <c r="AC27" s="111">
        <f>INDEX(Tab_Def_Flows[[Flow_ID]:[CC_DM_source]],MATCH(Tab_Data_Flows[[#This Row],[Name(EN)]],Tab_Def_Flows[Name(EN)],0),16)</f>
        <v>0.14000000000000001</v>
      </c>
      <c r="AD27" s="112">
        <f>IF(J27="Yes",AA27*Tab_Data_Flows[[#This Row],[WC_'[%']]],"N.A.")</f>
        <v>152368.33684210529</v>
      </c>
      <c r="AE27" s="61" t="str">
        <f>Tab_Data_Flows[[#This Row],[UoM_Flow_Py]]</f>
        <v>Mg</v>
      </c>
      <c r="AF27" s="111">
        <f>INDEX(Tab_Def_Flows[[Flow_ID]:[CC_DM_source]],MATCH(Tab_Data_Flows[[#This Row],[Name(EN)]],Tab_Def_Flows[Name(EN)],0),18)</f>
        <v>0.86</v>
      </c>
      <c r="AG27" s="112">
        <f>IF(K27="Yes",AF27*Tab_Data_Flows[[#This Row],[Flow_Py]],"N.A.")</f>
        <v>935976.92631578958</v>
      </c>
      <c r="AH27" s="61" t="str">
        <f>Tab_Data_Flows[[#This Row],[UoM_Flow_Py]]</f>
        <v>Mg</v>
      </c>
      <c r="AI27" s="111">
        <f>INDEX(Tab_Def_Flows[[Flow_ID]:[CC_DM_source]],MATCH(Tab_Data_Flows[[#This Row],[Name(EN)]],Tab_Def_Flows[Name(EN)],0),20)</f>
        <v>0.48</v>
      </c>
      <c r="AJ27" s="112">
        <f>IF(L27="Yes",AI27*Tab_Data_Flows[[#This Row],[Flow_Py]]*Tab_Data_Flows[[#This Row],[DM_'[%']]],"N.A.")</f>
        <v>449268.92463157896</v>
      </c>
      <c r="AK27" s="61" t="str">
        <f>Tab_Data_Flows[[#This Row],[UoM_Flow_Py]]</f>
        <v>Mg</v>
      </c>
    </row>
    <row r="28" spans="1:37" ht="15.75" thickBot="1" x14ac:dyDescent="0.3">
      <c r="A28" s="60">
        <f t="shared" si="0"/>
        <v>27</v>
      </c>
      <c r="B28" s="49" t="str">
        <f>_xlfn.XLOOKUP(C28,Tab_Def_Flows[Name(EN)],Tab_Def_Flows[Flow_ID],,0,)</f>
        <v>F_04_01</v>
      </c>
      <c r="C28" s="51" t="s">
        <v>485</v>
      </c>
      <c r="D28" s="49">
        <f>_xlfn.XLOOKUP(C28,Tab_Def_Flows[Name(EN)],Tab_Def_Flows[Type_Biomass],,0,)</f>
        <v>0</v>
      </c>
      <c r="E28" s="49" t="str">
        <f>_xlfn.XLOOKUP(C28,Tab_Def_Flows[Name(EN)],Tab_Def_Flows[Output_Process],,0,)</f>
        <v>Cow-Manure_Production</v>
      </c>
      <c r="F28" s="49" t="str">
        <f>_xlfn.XLOOKUP(C28,Tab_Def_Flows[Name(EN)],Tab_Def_Flows[Process_ID_O],,0,)</f>
        <v>04_Cow_BB</v>
      </c>
      <c r="G28" s="49" t="str">
        <f>_xlfn.XLOOKUP(C28,Tab_Def_Flows[Name(EN)],Tab_Def_Flows[Input_Process],,0,)</f>
        <v>Biogas_Production</v>
      </c>
      <c r="H28" s="61" t="str">
        <f>_xlfn.XLOOKUP(C28,Tab_Def_Flows[Name(EN)],Tab_Def_Flows[Process_ID_I],,0,)</f>
        <v>01_Bio_BB</v>
      </c>
      <c r="I28" s="61">
        <f>_xlfn.XLOOKUP(C28,Tab_Def_Flows[Name(EN)],Tab_Def_Flows[Value_Source],,0,)</f>
        <v>0</v>
      </c>
      <c r="J28" s="61" t="str">
        <f>_xlfn.XLOOKUP(C28,Tab_Def_Flows[Name(EN)],Tab_Def_Flows[WC?],,0,)</f>
        <v>Yes</v>
      </c>
      <c r="K28" s="61" t="str">
        <f>_xlfn.XLOOKUP(C28,Tab_Def_Flows[Name(EN)],Tab_Def_Flows[DM?],,0,)</f>
        <v>Yes</v>
      </c>
      <c r="L28" s="61" t="str">
        <f>_xlfn.XLOOKUP(C28,Tab_Def_Flows[Name(EN)],Tab_Def_Flows[CC?],,0,)</f>
        <v>Yes</v>
      </c>
      <c r="M28" s="51">
        <v>2025</v>
      </c>
      <c r="N28" s="51" t="s">
        <v>350</v>
      </c>
      <c r="O28" s="119">
        <v>44431.276918736854</v>
      </c>
      <c r="P28" s="51" t="s">
        <v>389</v>
      </c>
      <c r="Q28" s="51"/>
      <c r="R28" s="51"/>
      <c r="S28" s="51"/>
      <c r="T28" s="51"/>
      <c r="U28" s="51"/>
      <c r="V28" s="51"/>
      <c r="W28" s="51"/>
      <c r="X28" s="51" t="s">
        <v>71</v>
      </c>
      <c r="Y28" s="106"/>
      <c r="Z28" s="51"/>
      <c r="AA28" s="86">
        <f t="shared" si="1"/>
        <v>44431.276918736854</v>
      </c>
      <c r="AB28" s="51" t="s">
        <v>63</v>
      </c>
      <c r="AC28" s="111">
        <f>INDEX(Tab_Def_Flows[[Flow_ID]:[CC_DM_source]],MATCH(Tab_Data_Flows[[#This Row],[Name(EN)]],Tab_Def_Flows[Name(EN)],0),16)</f>
        <v>0.93799999999999994</v>
      </c>
      <c r="AD28" s="112">
        <f>IF(J28="Yes",AA28*Tab_Data_Flows[[#This Row],[WC_'[%']]],"N.A.")</f>
        <v>41676.537749775169</v>
      </c>
      <c r="AE28" s="61" t="str">
        <f>Tab_Data_Flows[[#This Row],[UoM_Flow_Py]]</f>
        <v>Mg</v>
      </c>
      <c r="AF28" s="111">
        <f>INDEX(Tab_Def_Flows[[Flow_ID]:[CC_DM_source]],MATCH(Tab_Data_Flows[[#This Row],[Name(EN)]],Tab_Def_Flows[Name(EN)],0),18)</f>
        <v>6.2E-2</v>
      </c>
      <c r="AG28" s="112">
        <f>IF(K28="Yes",AF28*Tab_Data_Flows[[#This Row],[Flow_Py]],"N.A.")</f>
        <v>2754.7391689616848</v>
      </c>
      <c r="AH28" s="61" t="str">
        <f>Tab_Data_Flows[[#This Row],[UoM_Flow_Py]]</f>
        <v>Mg</v>
      </c>
      <c r="AI28" s="111">
        <f>INDEX(Tab_Def_Flows[[Flow_ID]:[CC_DM_source]],MATCH(Tab_Data_Flows[[#This Row],[Name(EN)]],Tab_Def_Flows[Name(EN)],0),20)</f>
        <v>0.49</v>
      </c>
      <c r="AJ28" s="109">
        <f>IF(L28="Yes",AI28*Tab_Data_Flows[[#This Row],[Flow_Py]]*Tab_Data_Flows[[#This Row],[DM_'[%']]],"N.A.")</f>
        <v>1349.8221927912255</v>
      </c>
      <c r="AK28" s="61" t="str">
        <f>Tab_Data_Flows[[#This Row],[UoM_Flow_Py]]</f>
        <v>Mg</v>
      </c>
    </row>
    <row r="29" spans="1:37" ht="15.75" thickBot="1" x14ac:dyDescent="0.3">
      <c r="A29" s="60">
        <f t="shared" si="0"/>
        <v>28</v>
      </c>
      <c r="B29" s="49" t="str">
        <f>_xlfn.XLOOKUP(C29,Tab_Def_Flows[Name(EN)],Tab_Def_Flows[Flow_ID],,0,)</f>
        <v>F_04_01</v>
      </c>
      <c r="C29" s="51" t="s">
        <v>485</v>
      </c>
      <c r="D29" s="49">
        <f>_xlfn.XLOOKUP(C29,Tab_Def_Flows[Name(EN)],Tab_Def_Flows[Type_Biomass],,0,)</f>
        <v>0</v>
      </c>
      <c r="E29" s="49" t="str">
        <f>_xlfn.XLOOKUP(C29,Tab_Def_Flows[Name(EN)],Tab_Def_Flows[Output_Process],,0,)</f>
        <v>Cow-Manure_Production</v>
      </c>
      <c r="F29" s="49" t="str">
        <f>_xlfn.XLOOKUP(C29,Tab_Def_Flows[Name(EN)],Tab_Def_Flows[Process_ID_O],,0,)</f>
        <v>04_Cow_BB</v>
      </c>
      <c r="G29" s="49" t="str">
        <f>_xlfn.XLOOKUP(C29,Tab_Def_Flows[Name(EN)],Tab_Def_Flows[Input_Process],,0,)</f>
        <v>Biogas_Production</v>
      </c>
      <c r="H29" s="61" t="str">
        <f>_xlfn.XLOOKUP(C29,Tab_Def_Flows[Name(EN)],Tab_Def_Flows[Process_ID_I],,0,)</f>
        <v>01_Bio_BB</v>
      </c>
      <c r="I29" s="61">
        <f>_xlfn.XLOOKUP(C29,Tab_Def_Flows[Name(EN)],Tab_Def_Flows[Value_Source],,0,)</f>
        <v>0</v>
      </c>
      <c r="J29" s="61" t="str">
        <f>_xlfn.XLOOKUP(C29,Tab_Def_Flows[Name(EN)],Tab_Def_Flows[WC?],,0,)</f>
        <v>Yes</v>
      </c>
      <c r="K29" s="61" t="str">
        <f>_xlfn.XLOOKUP(C29,Tab_Def_Flows[Name(EN)],Tab_Def_Flows[DM?],,0,)</f>
        <v>Yes</v>
      </c>
      <c r="L29" s="61" t="str">
        <f>_xlfn.XLOOKUP(C29,Tab_Def_Flows[Name(EN)],Tab_Def_Flows[CC?],,0,)</f>
        <v>Yes</v>
      </c>
      <c r="M29" s="51">
        <v>2026</v>
      </c>
      <c r="N29" s="51" t="s">
        <v>350</v>
      </c>
      <c r="O29" s="119">
        <v>37446.428349473688</v>
      </c>
      <c r="P29" s="51" t="s">
        <v>389</v>
      </c>
      <c r="Q29" s="51"/>
      <c r="R29" s="51"/>
      <c r="S29" s="51"/>
      <c r="T29" s="51"/>
      <c r="U29" s="51"/>
      <c r="V29" s="51"/>
      <c r="W29" s="51"/>
      <c r="X29" s="51" t="s">
        <v>71</v>
      </c>
      <c r="Y29" s="106"/>
      <c r="Z29" s="51"/>
      <c r="AA29" s="86">
        <f t="shared" si="1"/>
        <v>37446.428349473688</v>
      </c>
      <c r="AB29" s="51" t="s">
        <v>63</v>
      </c>
      <c r="AC29" s="111">
        <f>INDEX(Tab_Def_Flows[[Flow_ID]:[CC_DM_source]],MATCH(Tab_Data_Flows[[#This Row],[Name(EN)]],Tab_Def_Flows[Name(EN)],0),16)</f>
        <v>0.93799999999999994</v>
      </c>
      <c r="AD29" s="112">
        <f>IF(J29="Yes",AA29*Tab_Data_Flows[[#This Row],[WC_'[%']]],"N.A.")</f>
        <v>35124.749791806316</v>
      </c>
      <c r="AE29" s="61" t="str">
        <f>Tab_Data_Flows[[#This Row],[UoM_Flow_Py]]</f>
        <v>Mg</v>
      </c>
      <c r="AF29" s="111">
        <f>INDEX(Tab_Def_Flows[[Flow_ID]:[CC_DM_source]],MATCH(Tab_Data_Flows[[#This Row],[Name(EN)]],Tab_Def_Flows[Name(EN)],0),18)</f>
        <v>6.2E-2</v>
      </c>
      <c r="AG29" s="112">
        <f>IF(K29="Yes",AF29*Tab_Data_Flows[[#This Row],[Flow_Py]],"N.A.")</f>
        <v>2321.6785576673688</v>
      </c>
      <c r="AH29" s="61" t="str">
        <f>Tab_Data_Flows[[#This Row],[UoM_Flow_Py]]</f>
        <v>Mg</v>
      </c>
      <c r="AI29" s="111">
        <f>INDEX(Tab_Def_Flows[[Flow_ID]:[CC_DM_source]],MATCH(Tab_Data_Flows[[#This Row],[Name(EN)]],Tab_Def_Flows[Name(EN)],0),20)</f>
        <v>0.49</v>
      </c>
      <c r="AJ29" s="109">
        <f>IF(L29="Yes",AI29*Tab_Data_Flows[[#This Row],[Flow_Py]]*Tab_Data_Flows[[#This Row],[DM_'[%']]],"N.A.")</f>
        <v>1137.6224932570105</v>
      </c>
      <c r="AK29" s="61" t="str">
        <f>Tab_Data_Flows[[#This Row],[UoM_Flow_Py]]</f>
        <v>Mg</v>
      </c>
    </row>
    <row r="30" spans="1:37" ht="15.75" thickBot="1" x14ac:dyDescent="0.3">
      <c r="A30" s="60">
        <f t="shared" si="0"/>
        <v>29</v>
      </c>
      <c r="B30" s="49" t="str">
        <f>_xlfn.XLOOKUP(C30,Tab_Def_Flows[Name(EN)],Tab_Def_Flows[Flow_ID],,0,)</f>
        <v>F_04_01</v>
      </c>
      <c r="C30" s="51" t="s">
        <v>485</v>
      </c>
      <c r="D30" s="49">
        <f>_xlfn.XLOOKUP(C30,Tab_Def_Flows[Name(EN)],Tab_Def_Flows[Type_Biomass],,0,)</f>
        <v>0</v>
      </c>
      <c r="E30" s="49" t="str">
        <f>_xlfn.XLOOKUP(C30,Tab_Def_Flows[Name(EN)],Tab_Def_Flows[Output_Process],,0,)</f>
        <v>Cow-Manure_Production</v>
      </c>
      <c r="F30" s="49" t="str">
        <f>_xlfn.XLOOKUP(C30,Tab_Def_Flows[Name(EN)],Tab_Def_Flows[Process_ID_O],,0,)</f>
        <v>04_Cow_BB</v>
      </c>
      <c r="G30" s="49" t="str">
        <f>_xlfn.XLOOKUP(C30,Tab_Def_Flows[Name(EN)],Tab_Def_Flows[Input_Process],,0,)</f>
        <v>Biogas_Production</v>
      </c>
      <c r="H30" s="61" t="str">
        <f>_xlfn.XLOOKUP(C30,Tab_Def_Flows[Name(EN)],Tab_Def_Flows[Process_ID_I],,0,)</f>
        <v>01_Bio_BB</v>
      </c>
      <c r="I30" s="61">
        <f>_xlfn.XLOOKUP(C30,Tab_Def_Flows[Name(EN)],Tab_Def_Flows[Value_Source],,0,)</f>
        <v>0</v>
      </c>
      <c r="J30" s="61" t="str">
        <f>_xlfn.XLOOKUP(C30,Tab_Def_Flows[Name(EN)],Tab_Def_Flows[WC?],,0,)</f>
        <v>Yes</v>
      </c>
      <c r="K30" s="61" t="str">
        <f>_xlfn.XLOOKUP(C30,Tab_Def_Flows[Name(EN)],Tab_Def_Flows[DM?],,0,)</f>
        <v>Yes</v>
      </c>
      <c r="L30" s="61" t="str">
        <f>_xlfn.XLOOKUP(C30,Tab_Def_Flows[Name(EN)],Tab_Def_Flows[CC?],,0,)</f>
        <v>Yes</v>
      </c>
      <c r="M30" s="51">
        <v>2027</v>
      </c>
      <c r="N30" s="51" t="s">
        <v>350</v>
      </c>
      <c r="O30" s="119">
        <v>46092.055808842109</v>
      </c>
      <c r="P30" s="51" t="s">
        <v>389</v>
      </c>
      <c r="Q30" s="51"/>
      <c r="R30" s="51"/>
      <c r="S30" s="51"/>
      <c r="T30" s="51"/>
      <c r="U30" s="51"/>
      <c r="V30" s="51"/>
      <c r="W30" s="51"/>
      <c r="X30" s="51" t="s">
        <v>71</v>
      </c>
      <c r="Y30" s="106"/>
      <c r="Z30" s="51"/>
      <c r="AA30" s="86">
        <f t="shared" si="1"/>
        <v>46092.055808842109</v>
      </c>
      <c r="AB30" s="51" t="s">
        <v>63</v>
      </c>
      <c r="AC30" s="111">
        <f>INDEX(Tab_Def_Flows[[Flow_ID]:[CC_DM_source]],MATCH(Tab_Data_Flows[[#This Row],[Name(EN)]],Tab_Def_Flows[Name(EN)],0),16)</f>
        <v>0.93799999999999994</v>
      </c>
      <c r="AD30" s="112">
        <f>IF(J30="Yes",AA30*Tab_Data_Flows[[#This Row],[WC_'[%']]],"N.A.")</f>
        <v>43234.348348693893</v>
      </c>
      <c r="AE30" s="61" t="str">
        <f>Tab_Data_Flows[[#This Row],[UoM_Flow_Py]]</f>
        <v>Mg</v>
      </c>
      <c r="AF30" s="111">
        <f>INDEX(Tab_Def_Flows[[Flow_ID]:[CC_DM_source]],MATCH(Tab_Data_Flows[[#This Row],[Name(EN)]],Tab_Def_Flows[Name(EN)],0),18)</f>
        <v>6.2E-2</v>
      </c>
      <c r="AG30" s="112">
        <f>IF(K30="Yes",AF30*Tab_Data_Flows[[#This Row],[Flow_Py]],"N.A.")</f>
        <v>2857.7074601482109</v>
      </c>
      <c r="AH30" s="61" t="str">
        <f>Tab_Data_Flows[[#This Row],[UoM_Flow_Py]]</f>
        <v>Mg</v>
      </c>
      <c r="AI30" s="111">
        <f>INDEX(Tab_Def_Flows[[Flow_ID]:[CC_DM_source]],MATCH(Tab_Data_Flows[[#This Row],[Name(EN)]],Tab_Def_Flows[Name(EN)],0),20)</f>
        <v>0.49</v>
      </c>
      <c r="AJ30" s="109">
        <f>IF(L30="Yes",AI30*Tab_Data_Flows[[#This Row],[Flow_Py]]*Tab_Data_Flows[[#This Row],[DM_'[%']]],"N.A.")</f>
        <v>1400.2766554726231</v>
      </c>
      <c r="AK30" s="61" t="str">
        <f>Tab_Data_Flows[[#This Row],[UoM_Flow_Py]]</f>
        <v>Mg</v>
      </c>
    </row>
    <row r="31" spans="1:37" x14ac:dyDescent="0.25">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350</v>
      </c>
      <c r="O31" s="119">
        <v>55720.981909894748</v>
      </c>
      <c r="P31" s="51" t="s">
        <v>389</v>
      </c>
      <c r="Q31" s="51"/>
      <c r="R31" s="51"/>
      <c r="S31" s="51"/>
      <c r="T31" s="51"/>
      <c r="U31" s="51"/>
      <c r="V31" s="51"/>
      <c r="W31" s="51"/>
      <c r="X31" s="51" t="s">
        <v>71</v>
      </c>
      <c r="Y31" s="106"/>
      <c r="Z31" s="51"/>
      <c r="AA31" s="86">
        <f t="shared" si="1"/>
        <v>55720.981909894748</v>
      </c>
      <c r="AB31" s="51" t="s">
        <v>63</v>
      </c>
      <c r="AC31" s="111">
        <f>INDEX(Tab_Def_Flows[[Flow_ID]:[CC_DM_source]],MATCH(Tab_Data_Flows[[#This Row],[Name(EN)]],Tab_Def_Flows[Name(EN)],0),16)</f>
        <v>0.93799999999999994</v>
      </c>
      <c r="AD31" s="112">
        <f>IF(J31="Yes",AA31*Tab_Data_Flows[[#This Row],[WC_'[%']]],"N.A.")</f>
        <v>52266.281031481274</v>
      </c>
      <c r="AE31" s="61" t="str">
        <f>Tab_Data_Flows[[#This Row],[UoM_Flow_Py]]</f>
        <v>Mg</v>
      </c>
      <c r="AF31" s="111">
        <f>INDEX(Tab_Def_Flows[[Flow_ID]:[CC_DM_source]],MATCH(Tab_Data_Flows[[#This Row],[Name(EN)]],Tab_Def_Flows[Name(EN)],0),18)</f>
        <v>6.2E-2</v>
      </c>
      <c r="AG31" s="112">
        <f>IF(K31="Yes",AF31*Tab_Data_Flows[[#This Row],[Flow_Py]],"N.A.")</f>
        <v>3454.7008784134746</v>
      </c>
      <c r="AH31" s="61" t="str">
        <f>Tab_Data_Flows[[#This Row],[UoM_Flow_Py]]</f>
        <v>Mg</v>
      </c>
      <c r="AI31" s="111">
        <f>INDEX(Tab_Def_Flows[[Flow_ID]:[CC_DM_source]],MATCH(Tab_Data_Flows[[#This Row],[Name(EN)]],Tab_Def_Flows[Name(EN)],0),20)</f>
        <v>0.49</v>
      </c>
      <c r="AJ31" s="109">
        <f>IF(L31="Yes",AI31*Tab_Data_Flows[[#This Row],[Flow_Py]]*Tab_Data_Flows[[#This Row],[DM_'[%']]],"N.A.")</f>
        <v>1692.8034304226023</v>
      </c>
      <c r="AK31" s="61" t="str">
        <f>Tab_Data_Flows[[#This Row],[UoM_Flow_Py]]</f>
        <v>Mg</v>
      </c>
    </row>
    <row r="32" spans="1:37" x14ac:dyDescent="0.25">
      <c r="A32" s="60"/>
      <c r="B32" s="49" t="str">
        <f>_xlfn.XLOOKUP(C32,Tab_Def_Flows[Name(EN)],Tab_Def_Flows[Flow_ID],,0,)</f>
        <v>F_04_01</v>
      </c>
      <c r="C32" s="51" t="s">
        <v>485</v>
      </c>
      <c r="D32" s="49"/>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49">
        <f>_xlfn.XLOOKUP(C32,Tab_Def_Flows[Name(EN)],Tab_Def_Flows[Value_Source],,0,)</f>
        <v>0</v>
      </c>
      <c r="J32" s="49" t="str">
        <f>_xlfn.XLOOKUP(C32,Tab_Def_Flows[Name(EN)],Tab_Def_Flows[WC?],,0,)</f>
        <v>Yes</v>
      </c>
      <c r="K32" s="49" t="str">
        <f>_xlfn.XLOOKUP(C32,Tab_Def_Flows[Name(EN)],Tab_Def_Flows[DM?],,0,)</f>
        <v>Yes</v>
      </c>
      <c r="L32" s="49" t="str">
        <f>_xlfn.XLOOKUP(C32,Tab_Def_Flows[Name(EN)],Tab_Def_Flows[CC?],,0,)</f>
        <v>Yes</v>
      </c>
      <c r="M32" s="51">
        <v>2029</v>
      </c>
      <c r="N32" s="51"/>
      <c r="O32" s="119">
        <v>36391.844637473689</v>
      </c>
      <c r="P32" s="51" t="s">
        <v>389</v>
      </c>
      <c r="Q32" s="51"/>
      <c r="R32" s="51" t="e">
        <f>INDEX(Tab_WC_DM_CC[[Flow_ID]:[CC_source]],MATCH(Tab_Data_Flows[[#This Row],[Name(EN)]],Tab_WC_DM_CC[Name(EN)],0),12)</f>
        <v>#N/A</v>
      </c>
      <c r="S32" s="51" t="e">
        <f>MATCH(Tab_Data_Flows[[#This Row],[Name(EN)]],Tab_WC_DM_CC[Name(EN)],0)</f>
        <v>#N/A</v>
      </c>
      <c r="T32" s="51"/>
      <c r="U32" s="51"/>
      <c r="V32" s="51"/>
      <c r="W32" s="51"/>
      <c r="X32" s="51" t="s">
        <v>71</v>
      </c>
      <c r="Y32" s="51"/>
      <c r="Z32" s="51" t="str">
        <f>'3_1_Calculation_factors (Wood)'!$A$14</f>
        <v>Mittelwert</v>
      </c>
      <c r="AA32" s="86">
        <f t="shared" si="1"/>
        <v>36391.844637473689</v>
      </c>
      <c r="AB32" s="51" t="s">
        <v>63</v>
      </c>
      <c r="AC32" s="111">
        <f>INDEX(Tab_Def_Flows[[Flow_ID]:[CC_DM_source]],MATCH(Tab_Data_Flows[[#This Row],[Name(EN)]],Tab_Def_Flows[Name(EN)],0),16)</f>
        <v>0.93799999999999994</v>
      </c>
      <c r="AD32" s="112">
        <f>IF(J32="Yes",AA32*Tab_Data_Flows[[#This Row],[WC_'[%']]],"N.A.")</f>
        <v>34135.550269950319</v>
      </c>
      <c r="AE32" s="61" t="str">
        <f>Tab_Data_Flows[[#This Row],[UoM_Flow_Py]]</f>
        <v>Mg</v>
      </c>
      <c r="AF32" s="111">
        <f>INDEX(Tab_Def_Flows[[Flow_ID]:[CC_DM_source]],MATCH(Tab_Data_Flows[[#This Row],[Name(EN)]],Tab_Def_Flows[Name(EN)],0),18)</f>
        <v>6.2E-2</v>
      </c>
      <c r="AG32" s="112">
        <f>IF(K32="Yes",AF32*Tab_Data_Flows[[#This Row],[Flow_Py]],"N.A.")</f>
        <v>2256.2943675233687</v>
      </c>
      <c r="AH32" s="61" t="str">
        <f>Tab_Data_Flows[[#This Row],[UoM_Flow_Py]]</f>
        <v>Mg</v>
      </c>
      <c r="AI32" s="111">
        <f>INDEX(Tab_Def_Flows[[Flow_ID]:[CC_DM_source]],MATCH(Tab_Data_Flows[[#This Row],[Name(EN)]],Tab_Def_Flows[Name(EN)],0),20)</f>
        <v>0.49</v>
      </c>
      <c r="AJ32" s="112">
        <f>IF(L32="Yes",AI32*Tab_Data_Flows[[#This Row],[Flow_Py]]*Tab_Data_Flows[[#This Row],[DM_'[%']]],"N.A.")</f>
        <v>1105.5842400864506</v>
      </c>
      <c r="AK32" s="61" t="str">
        <f>Tab_Data_Flows[[#This Row],[UoM_Flow_Py]]</f>
        <v>Mg</v>
      </c>
    </row>
    <row r="33" spans="1:37" x14ac:dyDescent="0.25">
      <c r="A33" s="60"/>
      <c r="B33" s="49" t="str">
        <f>_xlfn.XLOOKUP(C33,Tab_Def_Flows[Name(EN)],Tab_Def_Flows[Flow_ID],,0,)</f>
        <v>F_04_01</v>
      </c>
      <c r="C33" s="51" t="s">
        <v>485</v>
      </c>
      <c r="D33" s="49"/>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49">
        <f>_xlfn.XLOOKUP(C33,Tab_Def_Flows[Name(EN)],Tab_Def_Flows[Value_Source],,0,)</f>
        <v>0</v>
      </c>
      <c r="J33" s="49" t="str">
        <f>_xlfn.XLOOKUP(C33,Tab_Def_Flows[Name(EN)],Tab_Def_Flows[WC?],,0,)</f>
        <v>Yes</v>
      </c>
      <c r="K33" s="49" t="str">
        <f>_xlfn.XLOOKUP(C33,Tab_Def_Flows[Name(EN)],Tab_Def_Flows[DM?],,0,)</f>
        <v>Yes</v>
      </c>
      <c r="L33" s="49" t="str">
        <f>_xlfn.XLOOKUP(C33,Tab_Def_Flows[Name(EN)],Tab_Def_Flows[CC?],,0,)</f>
        <v>Yes</v>
      </c>
      <c r="M33" s="51">
        <v>2030</v>
      </c>
      <c r="N33" s="51"/>
      <c r="O33" s="119">
        <v>36391.844637473689</v>
      </c>
      <c r="P33" s="51" t="s">
        <v>389</v>
      </c>
      <c r="Q33" s="51"/>
      <c r="R33" s="51" t="e">
        <f>INDEX(Tab_WC_DM_CC[[Flow_ID]:[CC_source]],MATCH(Tab_Data_Flows[[#This Row],[Name(EN)]],Tab_WC_DM_CC[Name(EN)],0),12)</f>
        <v>#N/A</v>
      </c>
      <c r="S33" s="51" t="e">
        <f>MATCH(Tab_Data_Flows[[#This Row],[Name(EN)]],Tab_WC_DM_CC[Name(EN)],0)</f>
        <v>#N/A</v>
      </c>
      <c r="T33" s="51"/>
      <c r="U33" s="51"/>
      <c r="V33" s="51"/>
      <c r="W33" s="51"/>
      <c r="X33" s="51" t="s">
        <v>71</v>
      </c>
      <c r="Y33" s="51"/>
      <c r="Z33" s="51" t="str">
        <f>'3_1_Calculation_factors (Wood)'!$A$14</f>
        <v>Mittelwert</v>
      </c>
      <c r="AA33" s="86">
        <f t="shared" si="1"/>
        <v>36391.844637473689</v>
      </c>
      <c r="AB33" s="51" t="s">
        <v>63</v>
      </c>
      <c r="AC33" s="111">
        <f>INDEX(Tab_Def_Flows[[Flow_ID]:[CC_DM_source]],MATCH(Tab_Data_Flows[[#This Row],[Name(EN)]],Tab_Def_Flows[Name(EN)],0),16)</f>
        <v>0.93799999999999994</v>
      </c>
      <c r="AD33" s="112">
        <f>IF(J33="Yes",AA33*Tab_Data_Flows[[#This Row],[WC_'[%']]],"N.A.")</f>
        <v>34135.550269950319</v>
      </c>
      <c r="AE33" s="61" t="str">
        <f>Tab_Data_Flows[[#This Row],[UoM_Flow_Py]]</f>
        <v>Mg</v>
      </c>
      <c r="AF33" s="111">
        <f>INDEX(Tab_Def_Flows[[Flow_ID]:[CC_DM_source]],MATCH(Tab_Data_Flows[[#This Row],[Name(EN)]],Tab_Def_Flows[Name(EN)],0),18)</f>
        <v>6.2E-2</v>
      </c>
      <c r="AG33" s="112">
        <f>IF(K33="Yes",AF33*Tab_Data_Flows[[#This Row],[Flow_Py]],"N.A.")</f>
        <v>2256.2943675233687</v>
      </c>
      <c r="AH33" s="61" t="str">
        <f>Tab_Data_Flows[[#This Row],[UoM_Flow_Py]]</f>
        <v>Mg</v>
      </c>
      <c r="AI33" s="111">
        <f>INDEX(Tab_Def_Flows[[Flow_ID]:[CC_DM_source]],MATCH(Tab_Data_Flows[[#This Row],[Name(EN)]],Tab_Def_Flows[Name(EN)],0),20)</f>
        <v>0.49</v>
      </c>
      <c r="AJ33" s="112">
        <f>IF(L33="Yes",AI33*Tab_Data_Flows[[#This Row],[Flow_Py]]*Tab_Data_Flows[[#This Row],[DM_'[%']]],"N.A.")</f>
        <v>1105.5842400864506</v>
      </c>
      <c r="AK33" s="61" t="str">
        <f>Tab_Data_Flows[[#This Row],[UoM_Flow_Py]]</f>
        <v>Mg</v>
      </c>
    </row>
    <row r="34" spans="1:37" x14ac:dyDescent="0.25">
      <c r="A34" s="60"/>
      <c r="B34" s="49" t="str">
        <f>_xlfn.XLOOKUP(C34,Tab_Def_Flows[Name(EN)],Tab_Def_Flows[Flow_ID],,0,)</f>
        <v>F_04_01</v>
      </c>
      <c r="C34" s="51" t="s">
        <v>485</v>
      </c>
      <c r="D34" s="49"/>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49">
        <f>_xlfn.XLOOKUP(C34,Tab_Def_Flows[Name(EN)],Tab_Def_Flows[Value_Source],,0,)</f>
        <v>0</v>
      </c>
      <c r="J34" s="49" t="str">
        <f>_xlfn.XLOOKUP(C34,Tab_Def_Flows[Name(EN)],Tab_Def_Flows[WC?],,0,)</f>
        <v>Yes</v>
      </c>
      <c r="K34" s="49" t="str">
        <f>_xlfn.XLOOKUP(C34,Tab_Def_Flows[Name(EN)],Tab_Def_Flows[DM?],,0,)</f>
        <v>Yes</v>
      </c>
      <c r="L34" s="49" t="str">
        <f>_xlfn.XLOOKUP(C34,Tab_Def_Flows[Name(EN)],Tab_Def_Flows[CC?],,0,)</f>
        <v>Yes</v>
      </c>
      <c r="M34" s="51">
        <v>2031</v>
      </c>
      <c r="N34" s="51"/>
      <c r="O34" s="119">
        <v>56338.604465684213</v>
      </c>
      <c r="P34" s="51" t="s">
        <v>389</v>
      </c>
      <c r="Q34" s="51"/>
      <c r="R34" s="51" t="e">
        <f>INDEX(Tab_WC_DM_CC[[Flow_ID]:[CC_source]],MATCH(Tab_Data_Flows[[#This Row],[Name(EN)]],Tab_WC_DM_CC[Name(EN)],0),12)</f>
        <v>#N/A</v>
      </c>
      <c r="S34" s="51" t="e">
        <f>MATCH(Tab_Data_Flows[[#This Row],[Name(EN)]],Tab_WC_DM_CC[Name(EN)],0)</f>
        <v>#N/A</v>
      </c>
      <c r="T34" s="51"/>
      <c r="U34" s="51"/>
      <c r="V34" s="51"/>
      <c r="W34" s="51"/>
      <c r="X34" s="51" t="s">
        <v>71</v>
      </c>
      <c r="Y34" s="51"/>
      <c r="Z34" s="51" t="str">
        <f>'3_1_Calculation_factors (Wood)'!$A$14</f>
        <v>Mittelwert</v>
      </c>
      <c r="AA34" s="86">
        <f t="shared" si="1"/>
        <v>56338.604465684213</v>
      </c>
      <c r="AB34" s="51" t="s">
        <v>63</v>
      </c>
      <c r="AC34" s="111">
        <f>INDEX(Tab_Def_Flows[[Flow_ID]:[CC_DM_source]],MATCH(Tab_Data_Flows[[#This Row],[Name(EN)]],Tab_Def_Flows[Name(EN)],0),16)</f>
        <v>0.93799999999999994</v>
      </c>
      <c r="AD34" s="112">
        <f>IF(J34="Yes",AA34*Tab_Data_Flows[[#This Row],[WC_'[%']]],"N.A.")</f>
        <v>52845.610988811786</v>
      </c>
      <c r="AE34" s="61" t="str">
        <f>Tab_Data_Flows[[#This Row],[UoM_Flow_Py]]</f>
        <v>Mg</v>
      </c>
      <c r="AF34" s="111">
        <f>INDEX(Tab_Def_Flows[[Flow_ID]:[CC_DM_source]],MATCH(Tab_Data_Flows[[#This Row],[Name(EN)]],Tab_Def_Flows[Name(EN)],0),18)</f>
        <v>6.2E-2</v>
      </c>
      <c r="AG34" s="112">
        <f>IF(K34="Yes",AF34*Tab_Data_Flows[[#This Row],[Flow_Py]],"N.A.")</f>
        <v>3492.9934768724211</v>
      </c>
      <c r="AH34" s="61" t="str">
        <f>Tab_Data_Flows[[#This Row],[UoM_Flow_Py]]</f>
        <v>Mg</v>
      </c>
      <c r="AI34" s="111">
        <f>INDEX(Tab_Def_Flows[[Flow_ID]:[CC_DM_source]],MATCH(Tab_Data_Flows[[#This Row],[Name(EN)]],Tab_Def_Flows[Name(EN)],0),20)</f>
        <v>0.49</v>
      </c>
      <c r="AJ34" s="112">
        <f>IF(L34="Yes",AI34*Tab_Data_Flows[[#This Row],[Flow_Py]]*Tab_Data_Flows[[#This Row],[DM_'[%']]],"N.A.")</f>
        <v>1711.5668036674863</v>
      </c>
      <c r="AK34" s="61" t="str">
        <f>Tab_Data_Flows[[#This Row],[UoM_Flow_Py]]</f>
        <v>Mg</v>
      </c>
    </row>
    <row r="35" spans="1:37" x14ac:dyDescent="0.25">
      <c r="A35" s="60"/>
      <c r="B35" s="49" t="str">
        <f>_xlfn.XLOOKUP(C35,Tab_Def_Flows[Name(EN)],Tab_Def_Flows[Flow_ID],,0,)</f>
        <v>F_04_01</v>
      </c>
      <c r="C35" s="51" t="s">
        <v>485</v>
      </c>
      <c r="D35" s="49"/>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49">
        <f>_xlfn.XLOOKUP(C35,Tab_Def_Flows[Name(EN)],Tab_Def_Flows[Value_Source],,0,)</f>
        <v>0</v>
      </c>
      <c r="J35" s="49" t="str">
        <f>_xlfn.XLOOKUP(C35,Tab_Def_Flows[Name(EN)],Tab_Def_Flows[WC?],,0,)</f>
        <v>Yes</v>
      </c>
      <c r="K35" s="49" t="str">
        <f>_xlfn.XLOOKUP(C35,Tab_Def_Flows[Name(EN)],Tab_Def_Flows[DM?],,0,)</f>
        <v>Yes</v>
      </c>
      <c r="L35" s="49" t="str">
        <f>_xlfn.XLOOKUP(C35,Tab_Def_Flows[Name(EN)],Tab_Def_Flows[CC?],,0,)</f>
        <v>Yes</v>
      </c>
      <c r="M35" s="51">
        <v>2032</v>
      </c>
      <c r="N35" s="51"/>
      <c r="O35" s="119">
        <v>47408.925046736855</v>
      </c>
      <c r="P35" s="51" t="s">
        <v>389</v>
      </c>
      <c r="Q35" s="51"/>
      <c r="R35" s="51" t="e">
        <f>INDEX(Tab_WC_DM_CC[[Flow_ID]:[CC_source]],MATCH(Tab_Data_Flows[[#This Row],[Name(EN)]],Tab_WC_DM_CC[Name(EN)],0),12)</f>
        <v>#N/A</v>
      </c>
      <c r="S35" s="51" t="e">
        <f>MATCH(Tab_Data_Flows[[#This Row],[Name(EN)]],Tab_WC_DM_CC[Name(EN)],0)</f>
        <v>#N/A</v>
      </c>
      <c r="T35" s="51"/>
      <c r="U35" s="51"/>
      <c r="V35" s="51"/>
      <c r="W35" s="51"/>
      <c r="X35" s="51" t="s">
        <v>71</v>
      </c>
      <c r="Y35" s="51"/>
      <c r="Z35" s="51" t="str">
        <f>'3_1_Calculation_factors (Wood)'!$A$14</f>
        <v>Mittelwert</v>
      </c>
      <c r="AA35" s="86">
        <f t="shared" si="1"/>
        <v>47408.925046736855</v>
      </c>
      <c r="AB35" s="51" t="s">
        <v>63</v>
      </c>
      <c r="AC35" s="111">
        <f>INDEX(Tab_Def_Flows[[Flow_ID]:[CC_DM_source]],MATCH(Tab_Data_Flows[[#This Row],[Name(EN)]],Tab_Def_Flows[Name(EN)],0),16)</f>
        <v>0.93799999999999994</v>
      </c>
      <c r="AD35" s="112">
        <f>IF(J35="Yes",AA35*Tab_Data_Flows[[#This Row],[WC_'[%']]],"N.A.")</f>
        <v>44469.571693839171</v>
      </c>
      <c r="AE35" s="61" t="str">
        <f>Tab_Data_Flows[[#This Row],[UoM_Flow_Py]]</f>
        <v>Mg</v>
      </c>
      <c r="AF35" s="111">
        <f>INDEX(Tab_Def_Flows[[Flow_ID]:[CC_DM_source]],MATCH(Tab_Data_Flows[[#This Row],[Name(EN)]],Tab_Def_Flows[Name(EN)],0),18)</f>
        <v>6.2E-2</v>
      </c>
      <c r="AG35" s="112">
        <f>IF(K35="Yes",AF35*Tab_Data_Flows[[#This Row],[Flow_Py]],"N.A.")</f>
        <v>2939.353352897685</v>
      </c>
      <c r="AH35" s="61" t="str">
        <f>Tab_Data_Flows[[#This Row],[UoM_Flow_Py]]</f>
        <v>Mg</v>
      </c>
      <c r="AI35" s="111">
        <f>INDEX(Tab_Def_Flows[[Flow_ID]:[CC_DM_source]],MATCH(Tab_Data_Flows[[#This Row],[Name(EN)]],Tab_Def_Flows[Name(EN)],0),20)</f>
        <v>0.49</v>
      </c>
      <c r="AJ35" s="112">
        <f>IF(L35="Yes",AI35*Tab_Data_Flows[[#This Row],[Flow_Py]]*Tab_Data_Flows[[#This Row],[DM_'[%']]],"N.A.")</f>
        <v>1440.2831429198657</v>
      </c>
      <c r="AK35" s="61" t="str">
        <f>Tab_Data_Flows[[#This Row],[UoM_Flow_Py]]</f>
        <v>Mg</v>
      </c>
    </row>
    <row r="36" spans="1:37" x14ac:dyDescent="0.25">
      <c r="A36" s="60"/>
      <c r="B36" s="49" t="str">
        <f>_xlfn.XLOOKUP(C36,Tab_Def_Flows[Name(EN)],Tab_Def_Flows[Flow_ID],,0,)</f>
        <v>F_04_01</v>
      </c>
      <c r="C36" s="51" t="s">
        <v>485</v>
      </c>
      <c r="D36" s="49"/>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49">
        <f>_xlfn.XLOOKUP(C36,Tab_Def_Flows[Name(EN)],Tab_Def_Flows[Value_Source],,0,)</f>
        <v>0</v>
      </c>
      <c r="J36" s="49" t="str">
        <f>_xlfn.XLOOKUP(C36,Tab_Def_Flows[Name(EN)],Tab_Def_Flows[WC?],,0,)</f>
        <v>Yes</v>
      </c>
      <c r="K36" s="49" t="str">
        <f>_xlfn.XLOOKUP(C36,Tab_Def_Flows[Name(EN)],Tab_Def_Flows[DM?],,0,)</f>
        <v>Yes</v>
      </c>
      <c r="L36" s="49" t="str">
        <f>_xlfn.XLOOKUP(C36,Tab_Def_Flows[Name(EN)],Tab_Def_Flows[CC?],,0,)</f>
        <v>Yes</v>
      </c>
      <c r="M36" s="51">
        <v>2033</v>
      </c>
      <c r="N36" s="51"/>
      <c r="O36" s="119">
        <v>33803.271511578954</v>
      </c>
      <c r="P36" s="51" t="s">
        <v>389</v>
      </c>
      <c r="Q36" s="51"/>
      <c r="R36" s="51" t="e">
        <f>INDEX(Tab_WC_DM_CC[[Flow_ID]:[CC_source]],MATCH(Tab_Data_Flows[[#This Row],[Name(EN)]],Tab_WC_DM_CC[Name(EN)],0),12)</f>
        <v>#N/A</v>
      </c>
      <c r="S36" s="51" t="e">
        <f>MATCH(Tab_Data_Flows[[#This Row],[Name(EN)]],Tab_WC_DM_CC[Name(EN)],0)</f>
        <v>#N/A</v>
      </c>
      <c r="T36" s="51"/>
      <c r="U36" s="51"/>
      <c r="V36" s="51"/>
      <c r="W36" s="51"/>
      <c r="X36" s="51" t="s">
        <v>71</v>
      </c>
      <c r="Y36" s="51"/>
      <c r="Z36" s="51" t="str">
        <f>'3_1_Calculation_factors (Wood)'!$A$14</f>
        <v>Mittelwert</v>
      </c>
      <c r="AA36" s="86">
        <f t="shared" si="1"/>
        <v>33803.271511578954</v>
      </c>
      <c r="AB36" s="51" t="s">
        <v>63</v>
      </c>
      <c r="AC36" s="111">
        <f>INDEX(Tab_Def_Flows[[Flow_ID]:[CC_DM_source]],MATCH(Tab_Data_Flows[[#This Row],[Name(EN)]],Tab_Def_Flows[Name(EN)],0),16)</f>
        <v>0.93799999999999994</v>
      </c>
      <c r="AD36" s="112">
        <f>IF(J36="Yes",AA36*Tab_Data_Flows[[#This Row],[WC_'[%']]],"N.A.")</f>
        <v>31707.468677861056</v>
      </c>
      <c r="AE36" s="61" t="str">
        <f>Tab_Data_Flows[[#This Row],[UoM_Flow_Py]]</f>
        <v>Mg</v>
      </c>
      <c r="AF36" s="111">
        <f>INDEX(Tab_Def_Flows[[Flow_ID]:[CC_DM_source]],MATCH(Tab_Data_Flows[[#This Row],[Name(EN)]],Tab_Def_Flows[Name(EN)],0),18)</f>
        <v>6.2E-2</v>
      </c>
      <c r="AG36" s="112">
        <f>IF(K36="Yes",AF36*Tab_Data_Flows[[#This Row],[Flow_Py]],"N.A.")</f>
        <v>2095.8028337178953</v>
      </c>
      <c r="AH36" s="61" t="str">
        <f>Tab_Data_Flows[[#This Row],[UoM_Flow_Py]]</f>
        <v>Mg</v>
      </c>
      <c r="AI36" s="111">
        <f>INDEX(Tab_Def_Flows[[Flow_ID]:[CC_DM_source]],MATCH(Tab_Data_Flows[[#This Row],[Name(EN)]],Tab_Def_Flows[Name(EN)],0),20)</f>
        <v>0.49</v>
      </c>
      <c r="AJ36" s="112">
        <f>IF(L36="Yes",AI36*Tab_Data_Flows[[#This Row],[Flow_Py]]*Tab_Data_Flows[[#This Row],[DM_'[%']]],"N.A.")</f>
        <v>1026.9433885217686</v>
      </c>
      <c r="AK36" s="61" t="str">
        <f>Tab_Data_Flows[[#This Row],[UoM_Flow_Py]]</f>
        <v>Mg</v>
      </c>
    </row>
    <row r="37" spans="1:37" x14ac:dyDescent="0.25">
      <c r="A37" s="60"/>
      <c r="B37" s="49" t="str">
        <f>_xlfn.XLOOKUP(C37,Tab_Def_Flows[Name(EN)],Tab_Def_Flows[Flow_ID],,0,)</f>
        <v>F_04_01</v>
      </c>
      <c r="C37" s="51" t="s">
        <v>485</v>
      </c>
      <c r="D37" s="49"/>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49">
        <f>_xlfn.XLOOKUP(C37,Tab_Def_Flows[Name(EN)],Tab_Def_Flows[Value_Source],,0,)</f>
        <v>0</v>
      </c>
      <c r="J37" s="49" t="str">
        <f>_xlfn.XLOOKUP(C37,Tab_Def_Flows[Name(EN)],Tab_Def_Flows[WC?],,0,)</f>
        <v>Yes</v>
      </c>
      <c r="K37" s="49" t="str">
        <f>_xlfn.XLOOKUP(C37,Tab_Def_Flows[Name(EN)],Tab_Def_Flows[DM?],,0,)</f>
        <v>Yes</v>
      </c>
      <c r="L37" s="49" t="str">
        <f>_xlfn.XLOOKUP(C37,Tab_Def_Flows[Name(EN)],Tab_Def_Flows[CC?],,0,)</f>
        <v>Yes</v>
      </c>
      <c r="M37" s="51">
        <v>2034</v>
      </c>
      <c r="N37" s="51"/>
      <c r="O37" s="119">
        <v>44935.714019368432</v>
      </c>
      <c r="P37" s="51" t="s">
        <v>389</v>
      </c>
      <c r="Q37" s="51"/>
      <c r="R37" s="51" t="e">
        <f>INDEX(Tab_WC_DM_CC[[Flow_ID]:[CC_source]],MATCH(Tab_Data_Flows[[#This Row],[Name(EN)]],Tab_WC_DM_CC[Name(EN)],0),12)</f>
        <v>#N/A</v>
      </c>
      <c r="S37" s="51" t="e">
        <f>MATCH(Tab_Data_Flows[[#This Row],[Name(EN)]],Tab_WC_DM_CC[Name(EN)],0)</f>
        <v>#N/A</v>
      </c>
      <c r="T37" s="51"/>
      <c r="U37" s="51"/>
      <c r="V37" s="51"/>
      <c r="W37" s="51"/>
      <c r="X37" s="51" t="s">
        <v>71</v>
      </c>
      <c r="Y37" s="51"/>
      <c r="Z37" s="51" t="str">
        <f>'3_1_Calculation_factors (Wood)'!$A$14</f>
        <v>Mittelwert</v>
      </c>
      <c r="AA37" s="86">
        <f t="shared" si="1"/>
        <v>44935.714019368432</v>
      </c>
      <c r="AB37" s="51" t="s">
        <v>63</v>
      </c>
      <c r="AC37" s="111">
        <f>INDEX(Tab_Def_Flows[[Flow_ID]:[CC_DM_source]],MATCH(Tab_Data_Flows[[#This Row],[Name(EN)]],Tab_Def_Flows[Name(EN)],0),16)</f>
        <v>0.93799999999999994</v>
      </c>
      <c r="AD37" s="112">
        <f>IF(J37="Yes",AA37*Tab_Data_Flows[[#This Row],[WC_'[%']]],"N.A.")</f>
        <v>42149.699750167587</v>
      </c>
      <c r="AE37" s="61" t="str">
        <f>Tab_Data_Flows[[#This Row],[UoM_Flow_Py]]</f>
        <v>Mg</v>
      </c>
      <c r="AF37" s="111">
        <f>INDEX(Tab_Def_Flows[[Flow_ID]:[CC_DM_source]],MATCH(Tab_Data_Flows[[#This Row],[Name(EN)]],Tab_Def_Flows[Name(EN)],0),18)</f>
        <v>6.2E-2</v>
      </c>
      <c r="AG37" s="112">
        <f>IF(K37="Yes",AF37*Tab_Data_Flows[[#This Row],[Flow_Py]],"N.A.")</f>
        <v>2786.0142692008426</v>
      </c>
      <c r="AH37" s="61" t="str">
        <f>Tab_Data_Flows[[#This Row],[UoM_Flow_Py]]</f>
        <v>Mg</v>
      </c>
      <c r="AI37" s="111">
        <f>INDEX(Tab_Def_Flows[[Flow_ID]:[CC_DM_source]],MATCH(Tab_Data_Flows[[#This Row],[Name(EN)]],Tab_Def_Flows[Name(EN)],0),20)</f>
        <v>0.49</v>
      </c>
      <c r="AJ37" s="112">
        <f>IF(L37="Yes",AI37*Tab_Data_Flows[[#This Row],[Flow_Py]]*Tab_Data_Flows[[#This Row],[DM_'[%']]],"N.A.")</f>
        <v>1365.1469919084129</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9">
        <v>33869.659134315792</v>
      </c>
      <c r="P38" s="51" t="s">
        <v>389</v>
      </c>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33869.659134315792</v>
      </c>
      <c r="AB38" s="51" t="s">
        <v>63</v>
      </c>
      <c r="AC38" s="111">
        <f>INDEX(Tab_Def_Flows[[Flow_ID]:[CC_DM_source]],MATCH(Tab_Data_Flows[[#This Row],[Name(EN)]],Tab_Def_Flows[Name(EN)],0),16)</f>
        <v>0.93799999999999994</v>
      </c>
      <c r="AD38" s="112">
        <f>IF(J38="Yes",AA38*Tab_Data_Flows[[#This Row],[WC_'[%']]],"N.A.")</f>
        <v>31769.740267988211</v>
      </c>
      <c r="AE38" s="61" t="str">
        <f>Tab_Data_Flows[[#This Row],[UoM_Flow_Py]]</f>
        <v>Mg</v>
      </c>
      <c r="AF38" s="111">
        <f>INDEX(Tab_Def_Flows[[Flow_ID]:[CC_DM_source]],MATCH(Tab_Data_Flows[[#This Row],[Name(EN)]],Tab_Def_Flows[Name(EN)],0),18)</f>
        <v>6.2E-2</v>
      </c>
      <c r="AG38" s="112">
        <f>IF(K38="Yes",AF38*Tab_Data_Flows[[#This Row],[Flow_Py]],"N.A.")</f>
        <v>2099.9188663275791</v>
      </c>
      <c r="AH38" s="61" t="str">
        <f>Tab_Data_Flows[[#This Row],[UoM_Flow_Py]]</f>
        <v>Mg</v>
      </c>
      <c r="AI38" s="111">
        <f>INDEX(Tab_Def_Flows[[Flow_ID]:[CC_DM_source]],MATCH(Tab_Data_Flows[[#This Row],[Name(EN)]],Tab_Def_Flows[Name(EN)],0),20)</f>
        <v>0.49</v>
      </c>
      <c r="AJ38" s="112">
        <f>IF(L38="Yes",AI38*Tab_Data_Flows[[#This Row],[Flow_Py]]*Tab_Data_Flows[[#This Row],[DM_'[%']]],"N.A.")</f>
        <v>1028.9602445005137</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9">
        <v>33844.083574736847</v>
      </c>
      <c r="P39" s="51" t="s">
        <v>389</v>
      </c>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33844.083574736847</v>
      </c>
      <c r="AB39" s="51" t="s">
        <v>63</v>
      </c>
      <c r="AC39" s="111">
        <f>INDEX(Tab_Def_Flows[[Flow_ID]:[CC_DM_source]],MATCH(Tab_Data_Flows[[#This Row],[Name(EN)]],Tab_Def_Flows[Name(EN)],0),16)</f>
        <v>0.93799999999999994</v>
      </c>
      <c r="AD39" s="112">
        <f>IF(J39="Yes",AA39*Tab_Data_Flows[[#This Row],[WC_'[%']]],"N.A.")</f>
        <v>31745.750393103161</v>
      </c>
      <c r="AE39" s="61" t="str">
        <f>Tab_Data_Flows[[#This Row],[UoM_Flow_Py]]</f>
        <v>Mg</v>
      </c>
      <c r="AF39" s="111">
        <f>INDEX(Tab_Def_Flows[[Flow_ID]:[CC_DM_source]],MATCH(Tab_Data_Flows[[#This Row],[Name(EN)]],Tab_Def_Flows[Name(EN)],0),18)</f>
        <v>6.2E-2</v>
      </c>
      <c r="AG39" s="112">
        <f>IF(K39="Yes",AF39*Tab_Data_Flows[[#This Row],[Flow_Py]],"N.A.")</f>
        <v>2098.3331816336845</v>
      </c>
      <c r="AH39" s="61" t="str">
        <f>Tab_Data_Flows[[#This Row],[UoM_Flow_Py]]</f>
        <v>Mg</v>
      </c>
      <c r="AI39" s="111">
        <f>INDEX(Tab_Def_Flows[[Flow_ID]:[CC_DM_source]],MATCH(Tab_Data_Flows[[#This Row],[Name(EN)]],Tab_Def_Flows[Name(EN)],0),20)</f>
        <v>0.49</v>
      </c>
      <c r="AJ39" s="112">
        <f>IF(L39="Yes",AI39*Tab_Data_Flows[[#This Row],[Flow_Py]]*Tab_Data_Flows[[#This Row],[DM_'[%']]],"N.A.")</f>
        <v>1028.1832590005054</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9">
        <v>41628.848581894745</v>
      </c>
      <c r="P40" s="51" t="s">
        <v>389</v>
      </c>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41628.848581894745</v>
      </c>
      <c r="AB40" s="51" t="s">
        <v>63</v>
      </c>
      <c r="AC40" s="111">
        <f>INDEX(Tab_Def_Flows[[Flow_ID]:[CC_DM_source]],MATCH(Tab_Data_Flows[[#This Row],[Name(EN)]],Tab_Def_Flows[Name(EN)],0),16)</f>
        <v>0.93799999999999994</v>
      </c>
      <c r="AD40" s="112">
        <f>IF(J40="Yes",AA40*Tab_Data_Flows[[#This Row],[WC_'[%']]],"N.A.")</f>
        <v>39047.859969817269</v>
      </c>
      <c r="AE40" s="61" t="str">
        <f>Tab_Data_Flows[[#This Row],[UoM_Flow_Py]]</f>
        <v>Mg</v>
      </c>
      <c r="AF40" s="111">
        <f>INDEX(Tab_Def_Flows[[Flow_ID]:[CC_DM_source]],MATCH(Tab_Data_Flows[[#This Row],[Name(EN)]],Tab_Def_Flows[Name(EN)],0),18)</f>
        <v>6.2E-2</v>
      </c>
      <c r="AG40" s="112">
        <f>IF(K40="Yes",AF40*Tab_Data_Flows[[#This Row],[Flow_Py]],"N.A.")</f>
        <v>2580.988612077474</v>
      </c>
      <c r="AH40" s="61" t="str">
        <f>Tab_Data_Flows[[#This Row],[UoM_Flow_Py]]</f>
        <v>Mg</v>
      </c>
      <c r="AI40" s="111">
        <f>INDEX(Tab_Def_Flows[[Flow_ID]:[CC_DM_source]],MATCH(Tab_Data_Flows[[#This Row],[Name(EN)]],Tab_Def_Flows[Name(EN)],0),20)</f>
        <v>0.49</v>
      </c>
      <c r="AJ40" s="112">
        <f>IF(L40="Yes",AI40*Tab_Data_Flows[[#This Row],[Flow_Py]]*Tab_Data_Flows[[#This Row],[DM_'[%']]],"N.A.")</f>
        <v>1264.6844199179625</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9">
        <v>17921.393173894739</v>
      </c>
      <c r="P41" s="51" t="s">
        <v>389</v>
      </c>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17921.393173894739</v>
      </c>
      <c r="AB41" s="51" t="s">
        <v>63</v>
      </c>
      <c r="AC41" s="111">
        <f>INDEX(Tab_Def_Flows[[Flow_ID]:[CC_DM_source]],MATCH(Tab_Data_Flows[[#This Row],[Name(EN)]],Tab_Def_Flows[Name(EN)],0),16)</f>
        <v>0.93799999999999994</v>
      </c>
      <c r="AD41" s="112">
        <f>IF(J41="Yes",AA41*Tab_Data_Flows[[#This Row],[WC_'[%']]],"N.A.")</f>
        <v>16810.266797113265</v>
      </c>
      <c r="AE41" s="61" t="str">
        <f>Tab_Data_Flows[[#This Row],[UoM_Flow_Py]]</f>
        <v>Mg</v>
      </c>
      <c r="AF41" s="111">
        <f>INDEX(Tab_Def_Flows[[Flow_ID]:[CC_DM_source]],MATCH(Tab_Data_Flows[[#This Row],[Name(EN)]],Tab_Def_Flows[Name(EN)],0),18)</f>
        <v>6.2E-2</v>
      </c>
      <c r="AG41" s="112">
        <f>IF(K41="Yes",AF41*Tab_Data_Flows[[#This Row],[Flow_Py]],"N.A.")</f>
        <v>1111.1263767814739</v>
      </c>
      <c r="AH41" s="61" t="str">
        <f>Tab_Data_Flows[[#This Row],[UoM_Flow_Py]]</f>
        <v>Mg</v>
      </c>
      <c r="AI41" s="111">
        <f>INDEX(Tab_Def_Flows[[Flow_ID]:[CC_DM_source]],MATCH(Tab_Data_Flows[[#This Row],[Name(EN)]],Tab_Def_Flows[Name(EN)],0),20)</f>
        <v>0.49</v>
      </c>
      <c r="AJ41" s="112">
        <f>IF(L41="Yes",AI41*Tab_Data_Flows[[#This Row],[Flow_Py]]*Tab_Data_Flows[[#This Row],[DM_'[%']]],"N.A.")</f>
        <v>544.45192462292209</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9">
        <v>19993.013499789478</v>
      </c>
      <c r="P42" s="51" t="s">
        <v>389</v>
      </c>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19993.013499789478</v>
      </c>
      <c r="AB42" s="51" t="s">
        <v>63</v>
      </c>
      <c r="AC42" s="111">
        <f>INDEX(Tab_Def_Flows[[Flow_ID]:[CC_DM_source]],MATCH(Tab_Data_Flows[[#This Row],[Name(EN)]],Tab_Def_Flows[Name(EN)],0),16)</f>
        <v>0.93799999999999994</v>
      </c>
      <c r="AD42" s="112">
        <f>IF(J42="Yes",AA42*Tab_Data_Flows[[#This Row],[WC_'[%']]],"N.A.")</f>
        <v>18753.446662802529</v>
      </c>
      <c r="AE42" s="61" t="str">
        <f>Tab_Data_Flows[[#This Row],[UoM_Flow_Py]]</f>
        <v>Mg</v>
      </c>
      <c r="AF42" s="111">
        <f>INDEX(Tab_Def_Flows[[Flow_ID]:[CC_DM_source]],MATCH(Tab_Data_Flows[[#This Row],[Name(EN)]],Tab_Def_Flows[Name(EN)],0),18)</f>
        <v>6.2E-2</v>
      </c>
      <c r="AG42" s="112">
        <f>IF(K42="Yes",AF42*Tab_Data_Flows[[#This Row],[Flow_Py]],"N.A.")</f>
        <v>1239.5668369869477</v>
      </c>
      <c r="AH42" s="61" t="str">
        <f>Tab_Data_Flows[[#This Row],[UoM_Flow_Py]]</f>
        <v>Mg</v>
      </c>
      <c r="AI42" s="111">
        <f>INDEX(Tab_Def_Flows[[Flow_ID]:[CC_DM_source]],MATCH(Tab_Data_Flows[[#This Row],[Name(EN)]],Tab_Def_Flows[Name(EN)],0),20)</f>
        <v>0.49</v>
      </c>
      <c r="AJ42" s="112">
        <f>IF(L42="Yes",AI42*Tab_Data_Flows[[#This Row],[Flow_Py]]*Tab_Data_Flows[[#This Row],[DM_'[%']]],"N.A.")</f>
        <v>607.38775012360441</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9">
        <v>32782.42577178948</v>
      </c>
      <c r="P43" s="51" t="s">
        <v>389</v>
      </c>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32782.42577178948</v>
      </c>
      <c r="AB43" s="51" t="s">
        <v>63</v>
      </c>
      <c r="AC43" s="111">
        <f>INDEX(Tab_Def_Flows[[Flow_ID]:[CC_DM_source]],MATCH(Tab_Data_Flows[[#This Row],[Name(EN)]],Tab_Def_Flows[Name(EN)],0),16)</f>
        <v>0.93799999999999994</v>
      </c>
      <c r="AD43" s="112">
        <f>IF(J43="Yes",AA43*Tab_Data_Flows[[#This Row],[WC_'[%']]],"N.A.")</f>
        <v>30749.915373938529</v>
      </c>
      <c r="AE43" s="61" t="str">
        <f>Tab_Data_Flows[[#This Row],[UoM_Flow_Py]]</f>
        <v>Mg</v>
      </c>
      <c r="AF43" s="111">
        <f>INDEX(Tab_Def_Flows[[Flow_ID]:[CC_DM_source]],MATCH(Tab_Data_Flows[[#This Row],[Name(EN)]],Tab_Def_Flows[Name(EN)],0),18)</f>
        <v>6.2E-2</v>
      </c>
      <c r="AG43" s="112">
        <f>IF(K43="Yes",AF43*Tab_Data_Flows[[#This Row],[Flow_Py]],"N.A.")</f>
        <v>2032.5103978509478</v>
      </c>
      <c r="AH43" s="61" t="str">
        <f>Tab_Data_Flows[[#This Row],[UoM_Flow_Py]]</f>
        <v>Mg</v>
      </c>
      <c r="AI43" s="111">
        <f>INDEX(Tab_Def_Flows[[Flow_ID]:[CC_DM_source]],MATCH(Tab_Data_Flows[[#This Row],[Name(EN)]],Tab_Def_Flows[Name(EN)],0),20)</f>
        <v>0.49</v>
      </c>
      <c r="AJ43" s="112">
        <f>IF(L43="Yes",AI43*Tab_Data_Flows[[#This Row],[Flow_Py]]*Tab_Data_Flows[[#This Row],[DM_'[%']]],"N.A.")</f>
        <v>995.93009494696435</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9">
        <v>27826.208821894743</v>
      </c>
      <c r="P44" s="51" t="s">
        <v>389</v>
      </c>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27826.208821894743</v>
      </c>
      <c r="AB44" s="51" t="s">
        <v>63</v>
      </c>
      <c r="AC44" s="111">
        <f>INDEX(Tab_Def_Flows[[Flow_ID]:[CC_DM_source]],MATCH(Tab_Data_Flows[[#This Row],[Name(EN)]],Tab_Def_Flows[Name(EN)],0),16)</f>
        <v>0.93799999999999994</v>
      </c>
      <c r="AD44" s="112">
        <f>IF(J44="Yes",AA44*Tab_Data_Flows[[#This Row],[WC_'[%']]],"N.A.")</f>
        <v>26100.983874937268</v>
      </c>
      <c r="AE44" s="61" t="str">
        <f>Tab_Data_Flows[[#This Row],[UoM_Flow_Py]]</f>
        <v>Mg</v>
      </c>
      <c r="AF44" s="111">
        <f>INDEX(Tab_Def_Flows[[Flow_ID]:[CC_DM_source]],MATCH(Tab_Data_Flows[[#This Row],[Name(EN)]],Tab_Def_Flows[Name(EN)],0),18)</f>
        <v>6.2E-2</v>
      </c>
      <c r="AG44" s="112">
        <f>IF(K44="Yes",AF44*Tab_Data_Flows[[#This Row],[Flow_Py]],"N.A.")</f>
        <v>1725.224946957474</v>
      </c>
      <c r="AH44" s="61" t="str">
        <f>Tab_Data_Flows[[#This Row],[UoM_Flow_Py]]</f>
        <v>Mg</v>
      </c>
      <c r="AI44" s="111">
        <f>INDEX(Tab_Def_Flows[[Flow_ID]:[CC_DM_source]],MATCH(Tab_Data_Flows[[#This Row],[Name(EN)]],Tab_Def_Flows[Name(EN)],0),20)</f>
        <v>0.49</v>
      </c>
      <c r="AJ44" s="112">
        <f>IF(L44="Yes",AI44*Tab_Data_Flows[[#This Row],[Flow_Py]]*Tab_Data_Flows[[#This Row],[DM_'[%']]],"N.A.")</f>
        <v>845.36022400916227</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9">
        <v>42423.867572210533</v>
      </c>
      <c r="P45" s="51" t="s">
        <v>389</v>
      </c>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42423.867572210533</v>
      </c>
      <c r="AB45" s="51" t="s">
        <v>63</v>
      </c>
      <c r="AC45" s="111">
        <f>INDEX(Tab_Def_Flows[[Flow_ID]:[CC_DM_source]],MATCH(Tab_Data_Flows[[#This Row],[Name(EN)]],Tab_Def_Flows[Name(EN)],0),16)</f>
        <v>0.93799999999999994</v>
      </c>
      <c r="AD45" s="112">
        <f>IF(J45="Yes",AA45*Tab_Data_Flows[[#This Row],[WC_'[%']]],"N.A.")</f>
        <v>39793.587782733477</v>
      </c>
      <c r="AE45" s="61" t="str">
        <f>Tab_Data_Flows[[#This Row],[UoM_Flow_Py]]</f>
        <v>Mg</v>
      </c>
      <c r="AF45" s="111">
        <f>INDEX(Tab_Def_Flows[[Flow_ID]:[CC_DM_source]],MATCH(Tab_Data_Flows[[#This Row],[Name(EN)]],Tab_Def_Flows[Name(EN)],0),18)</f>
        <v>6.2E-2</v>
      </c>
      <c r="AG45" s="112">
        <f>IF(K45="Yes",AF45*Tab_Data_Flows[[#This Row],[Flow_Py]],"N.A.")</f>
        <v>2630.2797894770529</v>
      </c>
      <c r="AH45" s="61" t="str">
        <f>Tab_Data_Flows[[#This Row],[UoM_Flow_Py]]</f>
        <v>Mg</v>
      </c>
      <c r="AI45" s="111">
        <f>INDEX(Tab_Def_Flows[[Flow_ID]:[CC_DM_source]],MATCH(Tab_Data_Flows[[#This Row],[Name(EN)]],Tab_Def_Flows[Name(EN)],0),20)</f>
        <v>0.49</v>
      </c>
      <c r="AJ45" s="112">
        <f>IF(L45="Yes",AI45*Tab_Data_Flows[[#This Row],[Flow_Py]]*Tab_Data_Flows[[#This Row],[DM_'[%']]],"N.A.")</f>
        <v>1288.8370968437559</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9">
        <v>28979.285646315791</v>
      </c>
      <c r="P46" s="51" t="s">
        <v>389</v>
      </c>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28979.285646315791</v>
      </c>
      <c r="AB46" s="51" t="s">
        <v>63</v>
      </c>
      <c r="AC46" s="111">
        <f>INDEX(Tab_Def_Flows[[Flow_ID]:[CC_DM_source]],MATCH(Tab_Data_Flows[[#This Row],[Name(EN)]],Tab_Def_Flows[Name(EN)],0),16)</f>
        <v>0.93799999999999994</v>
      </c>
      <c r="AD46" s="112">
        <f>IF(J46="Yes",AA46*Tab_Data_Flows[[#This Row],[WC_'[%']]],"N.A.")</f>
        <v>27182.56993624421</v>
      </c>
      <c r="AE46" s="61" t="str">
        <f>Tab_Data_Flows[[#This Row],[UoM_Flow_Py]]</f>
        <v>Mg</v>
      </c>
      <c r="AF46" s="111">
        <f>INDEX(Tab_Def_Flows[[Flow_ID]:[CC_DM_source]],MATCH(Tab_Data_Flows[[#This Row],[Name(EN)]],Tab_Def_Flows[Name(EN)],0),18)</f>
        <v>6.2E-2</v>
      </c>
      <c r="AG46" s="112">
        <f>IF(K46="Yes",AF46*Tab_Data_Flows[[#This Row],[Flow_Py]],"N.A.")</f>
        <v>1796.715710071579</v>
      </c>
      <c r="AH46" s="61" t="str">
        <f>Tab_Data_Flows[[#This Row],[UoM_Flow_Py]]</f>
        <v>Mg</v>
      </c>
      <c r="AI46" s="111">
        <f>INDEX(Tab_Def_Flows[[Flow_ID]:[CC_DM_source]],MATCH(Tab_Data_Flows[[#This Row],[Name(EN)]],Tab_Def_Flows[Name(EN)],0),20)</f>
        <v>0.49</v>
      </c>
      <c r="AJ46" s="112">
        <f>IF(L46="Yes",AI46*Tab_Data_Flows[[#This Row],[Flow_Py]]*Tab_Data_Flows[[#This Row],[DM_'[%']]],"N.A.")</f>
        <v>880.39069793507372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9">
        <v>23432.110021894739</v>
      </c>
      <c r="P47" s="51" t="s">
        <v>389</v>
      </c>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23432.110021894739</v>
      </c>
      <c r="AB47" s="51" t="s">
        <v>63</v>
      </c>
      <c r="AC47" s="111">
        <f>INDEX(Tab_Def_Flows[[Flow_ID]:[CC_DM_source]],MATCH(Tab_Data_Flows[[#This Row],[Name(EN)]],Tab_Def_Flows[Name(EN)],0),16)</f>
        <v>0.93799999999999994</v>
      </c>
      <c r="AD47" s="112">
        <f>IF(J47="Yes",AA47*Tab_Data_Flows[[#This Row],[WC_'[%']]],"N.A.")</f>
        <v>21979.319200537266</v>
      </c>
      <c r="AE47" s="61" t="str">
        <f>Tab_Data_Flows[[#This Row],[UoM_Flow_Py]]</f>
        <v>Mg</v>
      </c>
      <c r="AF47" s="111">
        <f>INDEX(Tab_Def_Flows[[Flow_ID]:[CC_DM_source]],MATCH(Tab_Data_Flows[[#This Row],[Name(EN)]],Tab_Def_Flows[Name(EN)],0),18)</f>
        <v>6.2E-2</v>
      </c>
      <c r="AG47" s="112">
        <f>IF(K47="Yes",AF47*Tab_Data_Flows[[#This Row],[Flow_Py]],"N.A.")</f>
        <v>1452.7908213574738</v>
      </c>
      <c r="AH47" s="61" t="str">
        <f>Tab_Data_Flows[[#This Row],[UoM_Flow_Py]]</f>
        <v>Mg</v>
      </c>
      <c r="AI47" s="111">
        <f>INDEX(Tab_Def_Flows[[Flow_ID]:[CC_DM_source]],MATCH(Tab_Data_Flows[[#This Row],[Name(EN)]],Tab_Def_Flows[Name(EN)],0),20)</f>
        <v>0.49</v>
      </c>
      <c r="AJ47" s="112">
        <f>IF(L47="Yes",AI47*Tab_Data_Flows[[#This Row],[Flow_Py]]*Tab_Data_Flows[[#This Row],[DM_'[%']]],"N.A.")</f>
        <v>711.86750246516215</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9">
        <v>55089.755333052643</v>
      </c>
      <c r="P48" s="51" t="s">
        <v>389</v>
      </c>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55089.755333052643</v>
      </c>
      <c r="AB48" s="51" t="s">
        <v>63</v>
      </c>
      <c r="AC48" s="111">
        <f>INDEX(Tab_Def_Flows[[Flow_ID]:[CC_DM_source]],MATCH(Tab_Data_Flows[[#This Row],[Name(EN)]],Tab_Def_Flows[Name(EN)],0),16)</f>
        <v>0.93799999999999994</v>
      </c>
      <c r="AD48" s="112">
        <f>IF(J48="Yes",AA48*Tab_Data_Flows[[#This Row],[WC_'[%']]],"N.A.")</f>
        <v>51674.190502403377</v>
      </c>
      <c r="AE48" s="61" t="str">
        <f>Tab_Data_Flows[[#This Row],[UoM_Flow_Py]]</f>
        <v>Mg</v>
      </c>
      <c r="AF48" s="111">
        <f>INDEX(Tab_Def_Flows[[Flow_ID]:[CC_DM_source]],MATCH(Tab_Data_Flows[[#This Row],[Name(EN)]],Tab_Def_Flows[Name(EN)],0),18)</f>
        <v>6.2E-2</v>
      </c>
      <c r="AG48" s="112">
        <f>IF(K48="Yes",AF48*Tab_Data_Flows[[#This Row],[Flow_Py]],"N.A.")</f>
        <v>3415.564830649264</v>
      </c>
      <c r="AH48" s="61" t="str">
        <f>Tab_Data_Flows[[#This Row],[UoM_Flow_Py]]</f>
        <v>Mg</v>
      </c>
      <c r="AI48" s="111">
        <f>INDEX(Tab_Def_Flows[[Flow_ID]:[CC_DM_source]],MATCH(Tab_Data_Flows[[#This Row],[Name(EN)]],Tab_Def_Flows[Name(EN)],0),20)</f>
        <v>0.49</v>
      </c>
      <c r="AJ48" s="112">
        <f>IF(L48="Yes",AI48*Tab_Data_Flows[[#This Row],[Flow_Py]]*Tab_Data_Flows[[#This Row],[DM_'[%']]],"N.A.")</f>
        <v>1673.6267670181392</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9">
        <v>36483.807819789479</v>
      </c>
      <c r="P49" s="51" t="s">
        <v>389</v>
      </c>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36483.807819789479</v>
      </c>
      <c r="AB49" s="51" t="s">
        <v>63</v>
      </c>
      <c r="AC49" s="111">
        <f>INDEX(Tab_Def_Flows[[Flow_ID]:[CC_DM_source]],MATCH(Tab_Data_Flows[[#This Row],[Name(EN)]],Tab_Def_Flows[Name(EN)],0),16)</f>
        <v>0.93799999999999994</v>
      </c>
      <c r="AD49" s="112">
        <f>IF(J49="Yes",AA49*Tab_Data_Flows[[#This Row],[WC_'[%']]],"N.A.")</f>
        <v>34221.811734962532</v>
      </c>
      <c r="AE49" s="61" t="str">
        <f>Tab_Data_Flows[[#This Row],[UoM_Flow_Py]]</f>
        <v>Mg</v>
      </c>
      <c r="AF49" s="111">
        <f>INDEX(Tab_Def_Flows[[Flow_ID]:[CC_DM_source]],MATCH(Tab_Data_Flows[[#This Row],[Name(EN)]],Tab_Def_Flows[Name(EN)],0),18)</f>
        <v>6.2E-2</v>
      </c>
      <c r="AG49" s="112">
        <f>IF(K49="Yes",AF49*Tab_Data_Flows[[#This Row],[Flow_Py]],"N.A.")</f>
        <v>2261.9960848269475</v>
      </c>
      <c r="AH49" s="61" t="str">
        <f>Tab_Data_Flows[[#This Row],[UoM_Flow_Py]]</f>
        <v>Mg</v>
      </c>
      <c r="AI49" s="111">
        <f>INDEX(Tab_Def_Flows[[Flow_ID]:[CC_DM_source]],MATCH(Tab_Data_Flows[[#This Row],[Name(EN)]],Tab_Def_Flows[Name(EN)],0),20)</f>
        <v>0.49</v>
      </c>
      <c r="AJ49" s="112">
        <f>IF(L49="Yes",AI49*Tab_Data_Flows[[#This Row],[Flow_Py]]*Tab_Data_Flows[[#This Row],[DM_'[%']]],"N.A.")</f>
        <v>1108.3780815652044</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9">
        <v>39710.137452631585</v>
      </c>
      <c r="P50" s="51" t="s">
        <v>389</v>
      </c>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39710.137452631585</v>
      </c>
      <c r="AB50" s="51" t="s">
        <v>63</v>
      </c>
      <c r="AC50" s="111">
        <f>INDEX(Tab_Def_Flows[[Flow_ID]:[CC_DM_source]],MATCH(Tab_Data_Flows[[#This Row],[Name(EN)]],Tab_Def_Flows[Name(EN)],0),16)</f>
        <v>0.93799999999999994</v>
      </c>
      <c r="AD50" s="112">
        <f>IF(J50="Yes",AA50*Tab_Data_Flows[[#This Row],[WC_'[%']]],"N.A.")</f>
        <v>37248.108930568422</v>
      </c>
      <c r="AE50" s="61" t="str">
        <f>Tab_Data_Flows[[#This Row],[UoM_Flow_Py]]</f>
        <v>Mg</v>
      </c>
      <c r="AF50" s="111">
        <f>INDEX(Tab_Def_Flows[[Flow_ID]:[CC_DM_source]],MATCH(Tab_Data_Flows[[#This Row],[Name(EN)]],Tab_Def_Flows[Name(EN)],0),18)</f>
        <v>6.2E-2</v>
      </c>
      <c r="AG50" s="112">
        <f>IF(K50="Yes",AF50*Tab_Data_Flows[[#This Row],[Flow_Py]],"N.A.")</f>
        <v>2462.0285220631581</v>
      </c>
      <c r="AH50" s="61" t="str">
        <f>Tab_Data_Flows[[#This Row],[UoM_Flow_Py]]</f>
        <v>Mg</v>
      </c>
      <c r="AI50" s="111">
        <f>INDEX(Tab_Def_Flows[[Flow_ID]:[CC_DM_source]],MATCH(Tab_Data_Flows[[#This Row],[Name(EN)]],Tab_Def_Flows[Name(EN)],0),20)</f>
        <v>0.49</v>
      </c>
      <c r="AJ50" s="112">
        <f>IF(L50="Yes",AI50*Tab_Data_Flows[[#This Row],[Flow_Py]]*Tab_Data_Flows[[#This Row],[DM_'[%']]],"N.A.")</f>
        <v>1206.3939758109475</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9">
        <v>23294.981489684214</v>
      </c>
      <c r="P51" s="51" t="s">
        <v>389</v>
      </c>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23294.981489684214</v>
      </c>
      <c r="AB51" s="51" t="s">
        <v>63</v>
      </c>
      <c r="AC51" s="111">
        <f>INDEX(Tab_Def_Flows[[Flow_ID]:[CC_DM_source]],MATCH(Tab_Data_Flows[[#This Row],[Name(EN)]],Tab_Def_Flows[Name(EN)],0),16)</f>
        <v>0.93799999999999994</v>
      </c>
      <c r="AD51" s="112">
        <f>IF(J51="Yes",AA51*Tab_Data_Flows[[#This Row],[WC_'[%']]],"N.A.")</f>
        <v>21850.692637323791</v>
      </c>
      <c r="AE51" s="61" t="str">
        <f>Tab_Data_Flows[[#This Row],[UoM_Flow_Py]]</f>
        <v>Mg</v>
      </c>
      <c r="AF51" s="111">
        <f>INDEX(Tab_Def_Flows[[Flow_ID]:[CC_DM_source]],MATCH(Tab_Data_Flows[[#This Row],[Name(EN)]],Tab_Def_Flows[Name(EN)],0),18)</f>
        <v>6.2E-2</v>
      </c>
      <c r="AG51" s="112">
        <f>IF(K51="Yes",AF51*Tab_Data_Flows[[#This Row],[Flow_Py]],"N.A.")</f>
        <v>1444.2888523604213</v>
      </c>
      <c r="AH51" s="61" t="str">
        <f>Tab_Data_Flows[[#This Row],[UoM_Flow_Py]]</f>
        <v>Mg</v>
      </c>
      <c r="AI51" s="111">
        <f>INDEX(Tab_Def_Flows[[Flow_ID]:[CC_DM_source]],MATCH(Tab_Data_Flows[[#This Row],[Name(EN)]],Tab_Def_Flows[Name(EN)],0),20)</f>
        <v>0.49</v>
      </c>
      <c r="AJ51" s="112">
        <f>IF(L51="Yes",AI51*Tab_Data_Flows[[#This Row],[Flow_Py]]*Tab_Data_Flows[[#This Row],[DM_'[%']]],"N.A.")</f>
        <v>707.70153765660632</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9">
        <v>32978.867835789482</v>
      </c>
      <c r="P52" s="51" t="s">
        <v>389</v>
      </c>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32978.867835789482</v>
      </c>
      <c r="AB52" s="51" t="s">
        <v>63</v>
      </c>
      <c r="AC52" s="111">
        <f>INDEX(Tab_Def_Flows[[Flow_ID]:[CC_DM_source]],MATCH(Tab_Data_Flows[[#This Row],[Name(EN)]],Tab_Def_Flows[Name(EN)],0),16)</f>
        <v>0.93799999999999994</v>
      </c>
      <c r="AD52" s="112">
        <f>IF(J52="Yes",AA52*Tab_Data_Flows[[#This Row],[WC_'[%']]],"N.A.")</f>
        <v>30934.178029970531</v>
      </c>
      <c r="AE52" s="61" t="str">
        <f>Tab_Data_Flows[[#This Row],[UoM_Flow_Py]]</f>
        <v>Mg</v>
      </c>
      <c r="AF52" s="111">
        <f>INDEX(Tab_Def_Flows[[Flow_ID]:[CC_DM_source]],MATCH(Tab_Data_Flows[[#This Row],[Name(EN)]],Tab_Def_Flows[Name(EN)],0),18)</f>
        <v>6.2E-2</v>
      </c>
      <c r="AG52" s="112">
        <f>IF(K52="Yes",AF52*Tab_Data_Flows[[#This Row],[Flow_Py]],"N.A.")</f>
        <v>2044.6898058189479</v>
      </c>
      <c r="AH52" s="61" t="str">
        <f>Tab_Data_Flows[[#This Row],[UoM_Flow_Py]]</f>
        <v>Mg</v>
      </c>
      <c r="AI52" s="111">
        <f>INDEX(Tab_Def_Flows[[Flow_ID]:[CC_DM_source]],MATCH(Tab_Data_Flows[[#This Row],[Name(EN)]],Tab_Def_Flows[Name(EN)],0),20)</f>
        <v>0.49</v>
      </c>
      <c r="AJ52" s="112">
        <f>IF(L52="Yes",AI52*Tab_Data_Flows[[#This Row],[Flow_Py]]*Tab_Data_Flows[[#This Row],[DM_'[%']]],"N.A.")</f>
        <v>1001.8980048512846</v>
      </c>
      <c r="AK52" s="61" t="str">
        <f>Tab_Data_Flows[[#This Row],[UoM_Flow_Py]]</f>
        <v>Mg</v>
      </c>
    </row>
    <row r="53" spans="1:37" ht="15.75" thickBot="1" x14ac:dyDescent="0.3">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9">
        <v>40187.366511157903</v>
      </c>
      <c r="P53" s="51" t="s">
        <v>389</v>
      </c>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40187.366511157903</v>
      </c>
      <c r="AB53" s="51" t="s">
        <v>63</v>
      </c>
      <c r="AC53" s="111">
        <f>INDEX(Tab_Def_Flows[[Flow_ID]:[CC_DM_source]],MATCH(Tab_Data_Flows[[#This Row],[Name(EN)]],Tab_Def_Flows[Name(EN)],0),16)</f>
        <v>0.93799999999999994</v>
      </c>
      <c r="AD53" s="112">
        <f>IF(J53="Yes",AA53*Tab_Data_Flows[[#This Row],[WC_'[%']]],"N.A.")</f>
        <v>37695.749787466113</v>
      </c>
      <c r="AE53" s="61" t="str">
        <f>Tab_Data_Flows[[#This Row],[UoM_Flow_Py]]</f>
        <v>Mg</v>
      </c>
      <c r="AF53" s="111">
        <f>INDEX(Tab_Def_Flows[[Flow_ID]:[CC_DM_source]],MATCH(Tab_Data_Flows[[#This Row],[Name(EN)]],Tab_Def_Flows[Name(EN)],0),18)</f>
        <v>6.2E-2</v>
      </c>
      <c r="AG53" s="112">
        <f>IF(K53="Yes",AF53*Tab_Data_Flows[[#This Row],[Flow_Py]],"N.A.")</f>
        <v>2491.61672369179</v>
      </c>
      <c r="AH53" s="61" t="str">
        <f>Tab_Data_Flows[[#This Row],[UoM_Flow_Py]]</f>
        <v>Mg</v>
      </c>
      <c r="AI53" s="111">
        <f>INDEX(Tab_Def_Flows[[Flow_ID]:[CC_DM_source]],MATCH(Tab_Data_Flows[[#This Row],[Name(EN)]],Tab_Def_Flows[Name(EN)],0),20)</f>
        <v>0.49</v>
      </c>
      <c r="AJ53" s="112">
        <f>IF(L53="Yes",AI53*Tab_Data_Flows[[#This Row],[Flow_Py]]*Tab_Data_Flows[[#This Row],[DM_'[%']]],"N.A.")</f>
        <v>1220.892194608977</v>
      </c>
      <c r="AK53" s="61" t="str">
        <f>Tab_Data_Flows[[#This Row],[UoM_Flow_Py]]</f>
        <v>Mg</v>
      </c>
    </row>
    <row r="54" spans="1:37" ht="15.75" thickBot="1" x14ac:dyDescent="0.3">
      <c r="A54" s="60">
        <f t="shared" ref="A54:A231" si="2">ROW()-1</f>
        <v>53</v>
      </c>
      <c r="B54" s="49" t="str">
        <f>_xlfn.XLOOKUP(C54,Tab_Def_Flows[Name(EN)],Tab_Def_Flows[Flow_ID],,0,)</f>
        <v>F_11_02</v>
      </c>
      <c r="C54" s="51" t="s">
        <v>490</v>
      </c>
      <c r="D54" s="49">
        <f>_xlfn.XLOOKUP(C54,Tab_Def_Flows[Name(EN)],Tab_Def_Flows[Type_Biomass],,0,)</f>
        <v>0</v>
      </c>
      <c r="E54" s="49" t="str">
        <f>_xlfn.XLOOKUP(C54,Tab_Def_Flows[Name(EN)],Tab_Def_Flows[Output_Process],,0,)</f>
        <v>Millet_Production</v>
      </c>
      <c r="F54" s="49" t="str">
        <f>_xlfn.XLOOKUP(C54,Tab_Def_Flows[Name(EN)],Tab_Def_Flows[Process_ID_O],,0,)</f>
        <v>11_Mil_BB</v>
      </c>
      <c r="G54" s="49" t="str">
        <f>_xlfn.XLOOKUP(C54,Tab_Def_Flows[Name(EN)],Tab_Def_Flows[Input_Process],,0,)</f>
        <v>MBC_Production</v>
      </c>
      <c r="H54" s="61" t="str">
        <f>_xlfn.XLOOKUP(C54,Tab_Def_Flows[Name(EN)],Tab_Def_Flows[Process_ID_I],,0,)</f>
        <v>02_MBC_BB</v>
      </c>
      <c r="I54" s="61">
        <f>_xlfn.XLOOKUP(C54,Tab_Def_Flows[Name(EN)],Tab_Def_Flows[Value_Source],,0,)</f>
        <v>0</v>
      </c>
      <c r="J54" s="61" t="str">
        <f>_xlfn.XLOOKUP(C54,Tab_Def_Flows[Name(EN)],Tab_Def_Flows[WC?],,0,)</f>
        <v>Yes</v>
      </c>
      <c r="K54" s="61" t="str">
        <f>_xlfn.XLOOKUP(C54,Tab_Def_Flows[Name(EN)],Tab_Def_Flows[DM?],,0,)</f>
        <v>Yes</v>
      </c>
      <c r="L54" s="61" t="str">
        <f>_xlfn.XLOOKUP(C54,Tab_Def_Flows[Name(EN)],Tab_Def_Flows[CC?],,0,)</f>
        <v>Yes</v>
      </c>
      <c r="M54" s="51">
        <v>2025</v>
      </c>
      <c r="N54" s="51" t="s">
        <v>350</v>
      </c>
      <c r="O54" s="119">
        <v>2162.322143378527</v>
      </c>
      <c r="P54" s="51" t="s">
        <v>389</v>
      </c>
      <c r="Q54" s="51"/>
      <c r="R54" s="51"/>
      <c r="S54" s="51"/>
      <c r="T54" s="51"/>
      <c r="U54" s="51"/>
      <c r="V54" s="51"/>
      <c r="W54" s="51"/>
      <c r="X54" s="51" t="s">
        <v>71</v>
      </c>
      <c r="Y54" s="106"/>
      <c r="Z54" s="51"/>
      <c r="AA54" s="86">
        <f t="shared" si="1"/>
        <v>2162.322143378527</v>
      </c>
      <c r="AB54" s="51" t="s">
        <v>63</v>
      </c>
      <c r="AC54" s="111">
        <f>INDEX(Tab_Def_Flows[[Flow_ID]:[CC_DM_source]],MATCH(Tab_Data_Flows[[#This Row],[Name(EN)]],Tab_Def_Flows[Name(EN)],0),16)</f>
        <v>8.8049999999999962E-2</v>
      </c>
      <c r="AD54" s="112">
        <f>IF(J54="Yes",AA54*Tab_Data_Flows[[#This Row],[WC_'[%']]],"N.A.")</f>
        <v>190.39246472447923</v>
      </c>
      <c r="AE54" s="61" t="str">
        <f>Tab_Data_Flows[[#This Row],[UoM_Flow_Py]]</f>
        <v>Mg</v>
      </c>
      <c r="AF54" s="111">
        <f>INDEX(Tab_Def_Flows[[Flow_ID]:[CC_DM_source]],MATCH(Tab_Data_Flows[[#This Row],[Name(EN)]],Tab_Def_Flows[Name(EN)],0),18)</f>
        <v>0.91195000000000004</v>
      </c>
      <c r="AG54" s="112">
        <f>IF(K54="Yes",AF54*Tab_Data_Flows[[#This Row],[Flow_Py]],"N.A.")</f>
        <v>1971.9296786540478</v>
      </c>
      <c r="AH54" s="61" t="str">
        <f>Tab_Data_Flows[[#This Row],[UoM_Flow_Py]]</f>
        <v>Mg</v>
      </c>
      <c r="AI54" s="111">
        <f>INDEX(Tab_Def_Flows[[Flow_ID]:[CC_DM_source]],MATCH(Tab_Data_Flows[[#This Row],[Name(EN)]],Tab_Def_Flows[Name(EN)],0),20)</f>
        <v>0.46200000000000002</v>
      </c>
      <c r="AJ54" s="109">
        <f>IF(L54="Yes",AI54*Tab_Data_Flows[[#This Row],[Flow_Py]]*Tab_Data_Flows[[#This Row],[DM_'[%']]],"N.A.")</f>
        <v>911.03151153817021</v>
      </c>
      <c r="AK54" s="61" t="str">
        <f>Tab_Data_Flows[[#This Row],[UoM_Flow_Py]]</f>
        <v>Mg</v>
      </c>
    </row>
    <row r="55" spans="1:37" ht="15.75" thickBot="1" x14ac:dyDescent="0.3">
      <c r="A55" s="60">
        <f t="shared" si="2"/>
        <v>54</v>
      </c>
      <c r="B55" s="49" t="str">
        <f>_xlfn.XLOOKUP(C55,Tab_Def_Flows[Name(EN)],Tab_Def_Flows[Flow_ID],,0,)</f>
        <v>F_11_02</v>
      </c>
      <c r="C55" s="51" t="s">
        <v>490</v>
      </c>
      <c r="D55" s="49">
        <f>_xlfn.XLOOKUP(C55,Tab_Def_Flows[Name(EN)],Tab_Def_Flows[Type_Biomass],,0,)</f>
        <v>0</v>
      </c>
      <c r="E55" s="49" t="str">
        <f>_xlfn.XLOOKUP(C55,Tab_Def_Flows[Name(EN)],Tab_Def_Flows[Output_Process],,0,)</f>
        <v>Millet_Production</v>
      </c>
      <c r="F55" s="49" t="str">
        <f>_xlfn.XLOOKUP(C55,Tab_Def_Flows[Name(EN)],Tab_Def_Flows[Process_ID_O],,0,)</f>
        <v>11_Mil_BB</v>
      </c>
      <c r="G55" s="49" t="str">
        <f>_xlfn.XLOOKUP(C55,Tab_Def_Flows[Name(EN)],Tab_Def_Flows[Input_Process],,0,)</f>
        <v>MBC_Production</v>
      </c>
      <c r="H55" s="61" t="str">
        <f>_xlfn.XLOOKUP(C55,Tab_Def_Flows[Name(EN)],Tab_Def_Flows[Process_ID_I],,0,)</f>
        <v>02_MBC_BB</v>
      </c>
      <c r="I55" s="61">
        <f>_xlfn.XLOOKUP(C55,Tab_Def_Flows[Name(EN)],Tab_Def_Flows[Value_Source],,0,)</f>
        <v>0</v>
      </c>
      <c r="J55" s="61" t="str">
        <f>_xlfn.XLOOKUP(C55,Tab_Def_Flows[Name(EN)],Tab_Def_Flows[WC?],,0,)</f>
        <v>Yes</v>
      </c>
      <c r="K55" s="61" t="str">
        <f>_xlfn.XLOOKUP(C55,Tab_Def_Flows[Name(EN)],Tab_Def_Flows[DM?],,0,)</f>
        <v>Yes</v>
      </c>
      <c r="L55" s="61" t="str">
        <f>_xlfn.XLOOKUP(C55,Tab_Def_Flows[Name(EN)],Tab_Def_Flows[CC?],,0,)</f>
        <v>Yes</v>
      </c>
      <c r="M55" s="51">
        <v>2026</v>
      </c>
      <c r="N55" s="51" t="s">
        <v>350</v>
      </c>
      <c r="O55" s="119">
        <v>1822.392846341053</v>
      </c>
      <c r="P55" s="51" t="s">
        <v>389</v>
      </c>
      <c r="Q55" s="51"/>
      <c r="R55" s="51"/>
      <c r="S55" s="51"/>
      <c r="T55" s="51"/>
      <c r="U55" s="51"/>
      <c r="V55" s="51"/>
      <c r="W55" s="51"/>
      <c r="X55" s="51" t="s">
        <v>71</v>
      </c>
      <c r="Y55" s="106"/>
      <c r="Z55" s="51"/>
      <c r="AA55" s="86">
        <f t="shared" si="1"/>
        <v>1822.392846341053</v>
      </c>
      <c r="AB55" s="51" t="s">
        <v>63</v>
      </c>
      <c r="AC55" s="111">
        <f>INDEX(Tab_Def_Flows[[Flow_ID]:[CC_DM_source]],MATCH(Tab_Data_Flows[[#This Row],[Name(EN)]],Tab_Def_Flows[Name(EN)],0),16)</f>
        <v>8.8049999999999962E-2</v>
      </c>
      <c r="AD55" s="112">
        <f>IF(J55="Yes",AA55*Tab_Data_Flows[[#This Row],[WC_'[%']]],"N.A.")</f>
        <v>160.46169012032965</v>
      </c>
      <c r="AE55" s="61" t="str">
        <f>Tab_Data_Flows[[#This Row],[UoM_Flow_Py]]</f>
        <v>Mg</v>
      </c>
      <c r="AF55" s="111">
        <f>INDEX(Tab_Def_Flows[[Flow_ID]:[CC_DM_source]],MATCH(Tab_Data_Flows[[#This Row],[Name(EN)]],Tab_Def_Flows[Name(EN)],0),18)</f>
        <v>0.91195000000000004</v>
      </c>
      <c r="AG55" s="112">
        <f>IF(K55="Yes",AF55*Tab_Data_Flows[[#This Row],[Flow_Py]],"N.A.")</f>
        <v>1661.9311562207233</v>
      </c>
      <c r="AH55" s="61" t="str">
        <f>Tab_Data_Flows[[#This Row],[UoM_Flow_Py]]</f>
        <v>Mg</v>
      </c>
      <c r="AI55" s="111">
        <f>INDEX(Tab_Def_Flows[[Flow_ID]:[CC_DM_source]],MATCH(Tab_Data_Flows[[#This Row],[Name(EN)]],Tab_Def_Flows[Name(EN)],0),20)</f>
        <v>0.46200000000000002</v>
      </c>
      <c r="AJ55" s="109">
        <f>IF(L55="Yes",AI55*Tab_Data_Flows[[#This Row],[Flow_Py]]*Tab_Data_Flows[[#This Row],[DM_'[%']]],"N.A.")</f>
        <v>767.81219417397415</v>
      </c>
      <c r="AK55" s="61" t="str">
        <f>Tab_Data_Flows[[#This Row],[UoM_Flow_Py]]</f>
        <v>Mg</v>
      </c>
    </row>
    <row r="56" spans="1:37" ht="15.75" thickBot="1" x14ac:dyDescent="0.3">
      <c r="A56" s="60">
        <f t="shared" si="2"/>
        <v>55</v>
      </c>
      <c r="B56" s="49" t="str">
        <f>_xlfn.XLOOKUP(C56,Tab_Def_Flows[Name(EN)],Tab_Def_Flows[Flow_ID],,0,)</f>
        <v>F_11_02</v>
      </c>
      <c r="C56" s="51" t="s">
        <v>490</v>
      </c>
      <c r="D56" s="49">
        <f>_xlfn.XLOOKUP(C56,Tab_Def_Flows[Name(EN)],Tab_Def_Flows[Type_Biomass],,0,)</f>
        <v>0</v>
      </c>
      <c r="E56" s="49" t="str">
        <f>_xlfn.XLOOKUP(C56,Tab_Def_Flows[Name(EN)],Tab_Def_Flows[Output_Process],,0,)</f>
        <v>Millet_Production</v>
      </c>
      <c r="F56" s="49" t="str">
        <f>_xlfn.XLOOKUP(C56,Tab_Def_Flows[Name(EN)],Tab_Def_Flows[Process_ID_O],,0,)</f>
        <v>11_Mil_BB</v>
      </c>
      <c r="G56" s="49" t="str">
        <f>_xlfn.XLOOKUP(C56,Tab_Def_Flows[Name(EN)],Tab_Def_Flows[Input_Process],,0,)</f>
        <v>MBC_Production</v>
      </c>
      <c r="H56" s="61" t="str">
        <f>_xlfn.XLOOKUP(C56,Tab_Def_Flows[Name(EN)],Tab_Def_Flows[Process_ID_I],,0,)</f>
        <v>02_MBC_BB</v>
      </c>
      <c r="I56" s="61">
        <f>_xlfn.XLOOKUP(C56,Tab_Def_Flows[Name(EN)],Tab_Def_Flows[Value_Source],,0,)</f>
        <v>0</v>
      </c>
      <c r="J56" s="61" t="str">
        <f>_xlfn.XLOOKUP(C56,Tab_Def_Flows[Name(EN)],Tab_Def_Flows[WC?],,0,)</f>
        <v>Yes</v>
      </c>
      <c r="K56" s="61" t="str">
        <f>_xlfn.XLOOKUP(C56,Tab_Def_Flows[Name(EN)],Tab_Def_Flows[DM?],,0,)</f>
        <v>Yes</v>
      </c>
      <c r="L56" s="61" t="str">
        <f>_xlfn.XLOOKUP(C56,Tab_Def_Flows[Name(EN)],Tab_Def_Flows[CC?],,0,)</f>
        <v>Yes</v>
      </c>
      <c r="M56" s="51">
        <v>2027</v>
      </c>
      <c r="N56" s="51" t="s">
        <v>350</v>
      </c>
      <c r="O56" s="119">
        <v>2243.1467160303159</v>
      </c>
      <c r="P56" s="51" t="s">
        <v>389</v>
      </c>
      <c r="Q56" s="51"/>
      <c r="R56" s="51"/>
      <c r="S56" s="51"/>
      <c r="T56" s="51"/>
      <c r="U56" s="51"/>
      <c r="V56" s="51"/>
      <c r="W56" s="51"/>
      <c r="X56" s="51" t="s">
        <v>71</v>
      </c>
      <c r="Y56" s="106"/>
      <c r="Z56" s="51"/>
      <c r="AA56" s="86">
        <f t="shared" si="1"/>
        <v>2243.1467160303159</v>
      </c>
      <c r="AB56" s="51" t="s">
        <v>63</v>
      </c>
      <c r="AC56" s="111">
        <f>INDEX(Tab_Def_Flows[[Flow_ID]:[CC_DM_source]],MATCH(Tab_Data_Flows[[#This Row],[Name(EN)]],Tab_Def_Flows[Name(EN)],0),16)</f>
        <v>8.8049999999999962E-2</v>
      </c>
      <c r="AD56" s="112">
        <f>IF(J56="Yes",AA56*Tab_Data_Flows[[#This Row],[WC_'[%']]],"N.A.")</f>
        <v>197.50906834646923</v>
      </c>
      <c r="AE56" s="61" t="str">
        <f>Tab_Data_Flows[[#This Row],[UoM_Flow_Py]]</f>
        <v>Mg</v>
      </c>
      <c r="AF56" s="111">
        <f>INDEX(Tab_Def_Flows[[Flow_ID]:[CC_DM_source]],MATCH(Tab_Data_Flows[[#This Row],[Name(EN)]],Tab_Def_Flows[Name(EN)],0),18)</f>
        <v>0.91195000000000004</v>
      </c>
      <c r="AG56" s="112">
        <f>IF(K56="Yes",AF56*Tab_Data_Flows[[#This Row],[Flow_Py]],"N.A.")</f>
        <v>2045.6376476838468</v>
      </c>
      <c r="AH56" s="61" t="str">
        <f>Tab_Data_Flows[[#This Row],[UoM_Flow_Py]]</f>
        <v>Mg</v>
      </c>
      <c r="AI56" s="111">
        <f>INDEX(Tab_Def_Flows[[Flow_ID]:[CC_DM_source]],MATCH(Tab_Data_Flows[[#This Row],[Name(EN)]],Tab_Def_Flows[Name(EN)],0),20)</f>
        <v>0.46200000000000002</v>
      </c>
      <c r="AJ56" s="109">
        <f>IF(L56="Yes",AI56*Tab_Data_Flows[[#This Row],[Flow_Py]]*Tab_Data_Flows[[#This Row],[DM_'[%']]],"N.A.")</f>
        <v>945.08459322993713</v>
      </c>
      <c r="AK56" s="61" t="str">
        <f>Tab_Data_Flows[[#This Row],[UoM_Flow_Py]]</f>
        <v>Mg</v>
      </c>
    </row>
    <row r="57" spans="1:37" x14ac:dyDescent="0.25">
      <c r="A57" s="60">
        <f t="shared" si="2"/>
        <v>56</v>
      </c>
      <c r="B57" s="49" t="str">
        <f>_xlfn.XLOOKUP(C57,Tab_Def_Flows[Name(EN)],Tab_Def_Flows[Flow_ID],,0,)</f>
        <v>F_11_02</v>
      </c>
      <c r="C57" s="51" t="s">
        <v>490</v>
      </c>
      <c r="D57" s="49">
        <f>_xlfn.XLOOKUP(C57,Tab_Def_Flows[Name(EN)],Tab_Def_Flows[Type_Biomass],,0,)</f>
        <v>0</v>
      </c>
      <c r="E57" s="49" t="str">
        <f>_xlfn.XLOOKUP(C57,Tab_Def_Flows[Name(EN)],Tab_Def_Flows[Output_Process],,0,)</f>
        <v>Millet_Production</v>
      </c>
      <c r="F57" s="49" t="str">
        <f>_xlfn.XLOOKUP(C57,Tab_Def_Flows[Name(EN)],Tab_Def_Flows[Process_ID_O],,0,)</f>
        <v>11_Mil_BB</v>
      </c>
      <c r="G57" s="49" t="str">
        <f>_xlfn.XLOOKUP(C57,Tab_Def_Flows[Name(EN)],Tab_Def_Flows[Input_Process],,0,)</f>
        <v>MBC_Production</v>
      </c>
      <c r="H57" s="61" t="str">
        <f>_xlfn.XLOOKUP(C57,Tab_Def_Flows[Name(EN)],Tab_Def_Flows[Process_ID_I],,0,)</f>
        <v>02_MBC_BB</v>
      </c>
      <c r="I57" s="61">
        <f>_xlfn.XLOOKUP(C57,Tab_Def_Flows[Name(EN)],Tab_Def_Flows[Value_Source],,0,)</f>
        <v>0</v>
      </c>
      <c r="J57" s="61" t="str">
        <f>_xlfn.XLOOKUP(C57,Tab_Def_Flows[Name(EN)],Tab_Def_Flows[WC?],,0,)</f>
        <v>Yes</v>
      </c>
      <c r="K57" s="61" t="str">
        <f>_xlfn.XLOOKUP(C57,Tab_Def_Flows[Name(EN)],Tab_Def_Flows[DM?],,0,)</f>
        <v>Yes</v>
      </c>
      <c r="L57" s="61" t="str">
        <f>_xlfn.XLOOKUP(C57,Tab_Def_Flows[Name(EN)],Tab_Def_Flows[CC?],,0,)</f>
        <v>Yes</v>
      </c>
      <c r="M57" s="51">
        <v>2028</v>
      </c>
      <c r="N57" s="51" t="s">
        <v>350</v>
      </c>
      <c r="O57" s="119">
        <v>2711.7544529482111</v>
      </c>
      <c r="P57" s="51" t="s">
        <v>389</v>
      </c>
      <c r="Q57" s="51"/>
      <c r="R57" s="51"/>
      <c r="S57" s="51"/>
      <c r="T57" s="51"/>
      <c r="U57" s="51"/>
      <c r="V57" s="51"/>
      <c r="W57" s="51"/>
      <c r="X57" s="51" t="s">
        <v>71</v>
      </c>
      <c r="Y57" s="106"/>
      <c r="Z57" s="51"/>
      <c r="AA57" s="86">
        <f t="shared" si="1"/>
        <v>2711.7544529482111</v>
      </c>
      <c r="AB57" s="51" t="s">
        <v>63</v>
      </c>
      <c r="AC57" s="111">
        <f>INDEX(Tab_Def_Flows[[Flow_ID]:[CC_DM_source]],MATCH(Tab_Data_Flows[[#This Row],[Name(EN)]],Tab_Def_Flows[Name(EN)],0),16)</f>
        <v>8.8049999999999962E-2</v>
      </c>
      <c r="AD57" s="112">
        <f>IF(J57="Yes",AA57*Tab_Data_Flows[[#This Row],[WC_'[%']]],"N.A.")</f>
        <v>238.76997958208989</v>
      </c>
      <c r="AE57" s="61" t="str">
        <f>Tab_Data_Flows[[#This Row],[UoM_Flow_Py]]</f>
        <v>Mg</v>
      </c>
      <c r="AF57" s="111">
        <f>INDEX(Tab_Def_Flows[[Flow_ID]:[CC_DM_source]],MATCH(Tab_Data_Flows[[#This Row],[Name(EN)]],Tab_Def_Flows[Name(EN)],0),18)</f>
        <v>0.91195000000000004</v>
      </c>
      <c r="AG57" s="112">
        <f>IF(K57="Yes",AF57*Tab_Data_Flows[[#This Row],[Flow_Py]],"N.A.")</f>
        <v>2472.9844733661212</v>
      </c>
      <c r="AH57" s="61" t="str">
        <f>Tab_Data_Flows[[#This Row],[UoM_Flow_Py]]</f>
        <v>Mg</v>
      </c>
      <c r="AI57" s="111">
        <f>INDEX(Tab_Def_Flows[[Flow_ID]:[CC_DM_source]],MATCH(Tab_Data_Flows[[#This Row],[Name(EN)]],Tab_Def_Flows[Name(EN)],0),20)</f>
        <v>0.46200000000000002</v>
      </c>
      <c r="AJ57" s="109">
        <f>IF(L57="Yes",AI57*Tab_Data_Flows[[#This Row],[Flow_Py]]*Tab_Data_Flows[[#This Row],[DM_'[%']]],"N.A.")</f>
        <v>1142.5188266951482</v>
      </c>
      <c r="AK57" s="61" t="str">
        <f>Tab_Data_Flows[[#This Row],[UoM_Flow_Py]]</f>
        <v>Mg</v>
      </c>
    </row>
    <row r="58" spans="1:37" x14ac:dyDescent="0.25">
      <c r="A58" s="60"/>
      <c r="B58" s="49" t="str">
        <f>_xlfn.XLOOKUP(C58,Tab_Def_Flows[Name(EN)],Tab_Def_Flows[Flow_ID],,0,)</f>
        <v>F_11_02</v>
      </c>
      <c r="C58" s="51" t="s">
        <v>490</v>
      </c>
      <c r="D58" s="49"/>
      <c r="E58" s="49" t="str">
        <f>_xlfn.XLOOKUP(C58,Tab_Def_Flows[Name(EN)],Tab_Def_Flows[Output_Process],,0,)</f>
        <v>Millet_Production</v>
      </c>
      <c r="F58" s="49" t="str">
        <f>_xlfn.XLOOKUP(C58,Tab_Def_Flows[Name(EN)],Tab_Def_Flows[Process_ID_O],,0,)</f>
        <v>11_Mil_BB</v>
      </c>
      <c r="G58" s="49" t="str">
        <f>_xlfn.XLOOKUP(C58,Tab_Def_Flows[Name(EN)],Tab_Def_Flows[Input_Process],,0,)</f>
        <v>MBC_Production</v>
      </c>
      <c r="H58" s="61" t="str">
        <f>_xlfn.XLOOKUP(C58,Tab_Def_Flows[Name(EN)],Tab_Def_Flows[Process_ID_I],,0,)</f>
        <v>02_MBC_BB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2029</v>
      </c>
      <c r="N58" s="51"/>
      <c r="O58" s="119">
        <v>1771.0697723570529</v>
      </c>
      <c r="P58" s="51" t="s">
        <v>389</v>
      </c>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ref="AA58:AA115" si="3">IF(X58="no",O58,O58*Y58)</f>
        <v>1771.0697723570529</v>
      </c>
      <c r="AB58" s="51" t="s">
        <v>63</v>
      </c>
      <c r="AC58" s="111">
        <f>INDEX(Tab_Def_Flows[[Flow_ID]:[CC_DM_source]],MATCH(Tab_Data_Flows[[#This Row],[Name(EN)]],Tab_Def_Flows[Name(EN)],0),16)</f>
        <v>8.8049999999999962E-2</v>
      </c>
      <c r="AD58" s="112">
        <f>IF(J58="Yes",AA58*Tab_Data_Flows[[#This Row],[WC_'[%']]],"N.A.")</f>
        <v>155.94269345603843</v>
      </c>
      <c r="AE58" s="61" t="str">
        <f>Tab_Data_Flows[[#This Row],[UoM_Flow_Py]]</f>
        <v>Mg</v>
      </c>
      <c r="AF58" s="111">
        <f>INDEX(Tab_Def_Flows[[Flow_ID]:[CC_DM_source]],MATCH(Tab_Data_Flows[[#This Row],[Name(EN)]],Tab_Def_Flows[Name(EN)],0),18)</f>
        <v>0.91195000000000004</v>
      </c>
      <c r="AG58" s="112">
        <f>IF(K58="Yes",AF58*Tab_Data_Flows[[#This Row],[Flow_Py]],"N.A.")</f>
        <v>1615.1270789010146</v>
      </c>
      <c r="AH58" s="61" t="str">
        <f>Tab_Data_Flows[[#This Row],[UoM_Flow_Py]]</f>
        <v>Mg</v>
      </c>
      <c r="AI58" s="111">
        <f>INDEX(Tab_Def_Flows[[Flow_ID]:[CC_DM_source]],MATCH(Tab_Data_Flows[[#This Row],[Name(EN)]],Tab_Def_Flows[Name(EN)],0),20)</f>
        <v>0.46200000000000002</v>
      </c>
      <c r="AJ58" s="112">
        <f>IF(L58="Yes",AI58*Tab_Data_Flows[[#This Row],[Flow_Py]]*Tab_Data_Flows[[#This Row],[DM_'[%']]],"N.A.")</f>
        <v>746.18871045226877</v>
      </c>
      <c r="AK58" s="61" t="str">
        <f>Tab_Data_Flows[[#This Row],[UoM_Flow_Py]]</f>
        <v>Mg</v>
      </c>
    </row>
    <row r="59" spans="1:37" x14ac:dyDescent="0.25">
      <c r="A59" s="60"/>
      <c r="B59" s="49" t="str">
        <f>_xlfn.XLOOKUP(C59,Tab_Def_Flows[Name(EN)],Tab_Def_Flows[Flow_ID],,0,)</f>
        <v>F_11_02</v>
      </c>
      <c r="C59" s="51" t="s">
        <v>490</v>
      </c>
      <c r="D59" s="49"/>
      <c r="E59" s="49" t="str">
        <f>_xlfn.XLOOKUP(C59,Tab_Def_Flows[Name(EN)],Tab_Def_Flows[Output_Process],,0,)</f>
        <v>Millet_Production</v>
      </c>
      <c r="F59" s="49" t="str">
        <f>_xlfn.XLOOKUP(C59,Tab_Def_Flows[Name(EN)],Tab_Def_Flows[Process_ID_O],,0,)</f>
        <v>11_Mil_BB</v>
      </c>
      <c r="G59" s="49" t="str">
        <f>_xlfn.XLOOKUP(C59,Tab_Def_Flows[Name(EN)],Tab_Def_Flows[Input_Process],,0,)</f>
        <v>MBC_Production</v>
      </c>
      <c r="H59" s="61" t="str">
        <f>_xlfn.XLOOKUP(C59,Tab_Def_Flows[Name(EN)],Tab_Def_Flows[Process_ID_I],,0,)</f>
        <v>02_MBC_BB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2030</v>
      </c>
      <c r="N59" s="51"/>
      <c r="O59" s="119">
        <v>1771.0697723570529</v>
      </c>
      <c r="P59" s="51" t="s">
        <v>389</v>
      </c>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3"/>
        <v>1771.0697723570529</v>
      </c>
      <c r="AB59" s="51" t="s">
        <v>63</v>
      </c>
      <c r="AC59" s="111">
        <f>INDEX(Tab_Def_Flows[[Flow_ID]:[CC_DM_source]],MATCH(Tab_Data_Flows[[#This Row],[Name(EN)]],Tab_Def_Flows[Name(EN)],0),16)</f>
        <v>8.8049999999999962E-2</v>
      </c>
      <c r="AD59" s="112">
        <f>IF(J59="Yes",AA59*Tab_Data_Flows[[#This Row],[WC_'[%']]],"N.A.")</f>
        <v>155.94269345603843</v>
      </c>
      <c r="AE59" s="61" t="str">
        <f>Tab_Data_Flows[[#This Row],[UoM_Flow_Py]]</f>
        <v>Mg</v>
      </c>
      <c r="AF59" s="111">
        <f>INDEX(Tab_Def_Flows[[Flow_ID]:[CC_DM_source]],MATCH(Tab_Data_Flows[[#This Row],[Name(EN)]],Tab_Def_Flows[Name(EN)],0),18)</f>
        <v>0.91195000000000004</v>
      </c>
      <c r="AG59" s="112">
        <f>IF(K59="Yes",AF59*Tab_Data_Flows[[#This Row],[Flow_Py]],"N.A.")</f>
        <v>1615.1270789010146</v>
      </c>
      <c r="AH59" s="61" t="str">
        <f>Tab_Data_Flows[[#This Row],[UoM_Flow_Py]]</f>
        <v>Mg</v>
      </c>
      <c r="AI59" s="111">
        <f>INDEX(Tab_Def_Flows[[Flow_ID]:[CC_DM_source]],MATCH(Tab_Data_Flows[[#This Row],[Name(EN)]],Tab_Def_Flows[Name(EN)],0),20)</f>
        <v>0.46200000000000002</v>
      </c>
      <c r="AJ59" s="112">
        <f>IF(L59="Yes",AI59*Tab_Data_Flows[[#This Row],[Flow_Py]]*Tab_Data_Flows[[#This Row],[DM_'[%']]],"N.A.")</f>
        <v>746.18871045226877</v>
      </c>
      <c r="AK59" s="61" t="str">
        <f>Tab_Data_Flows[[#This Row],[UoM_Flow_Py]]</f>
        <v>Mg</v>
      </c>
    </row>
    <row r="60" spans="1:37" x14ac:dyDescent="0.25">
      <c r="A60" s="60"/>
      <c r="B60" s="49" t="str">
        <f>_xlfn.XLOOKUP(C60,Tab_Def_Flows[Name(EN)],Tab_Def_Flows[Flow_ID],,0,)</f>
        <v>F_11_02</v>
      </c>
      <c r="C60" s="51" t="s">
        <v>490</v>
      </c>
      <c r="D60" s="49"/>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49">
        <f>_xlfn.XLOOKUP(C60,Tab_Def_Flows[Name(EN)],Tab_Def_Flows[Value_Source],,0,)</f>
        <v>0</v>
      </c>
      <c r="J60" s="49" t="str">
        <f>_xlfn.XLOOKUP(C60,Tab_Def_Flows[Name(EN)],Tab_Def_Flows[WC?],,0,)</f>
        <v>Yes</v>
      </c>
      <c r="K60" s="49" t="str">
        <f>_xlfn.XLOOKUP(C60,Tab_Def_Flows[Name(EN)],Tab_Def_Flows[DM?],,0,)</f>
        <v>Yes</v>
      </c>
      <c r="L60" s="49" t="str">
        <f>_xlfn.XLOOKUP(C60,Tab_Def_Flows[Name(EN)],Tab_Def_Flows[CC?],,0,)</f>
        <v>Yes</v>
      </c>
      <c r="M60" s="51">
        <v>2031</v>
      </c>
      <c r="N60" s="51"/>
      <c r="O60" s="119">
        <v>2741.8120839966314</v>
      </c>
      <c r="P60" s="51" t="s">
        <v>389</v>
      </c>
      <c r="Q60" s="51"/>
      <c r="R60" s="51" t="e">
        <f>INDEX(Tab_WC_DM_CC[[Flow_ID]:[CC_source]],MATCH(Tab_Data_Flows[[#This Row],[Name(EN)]],Tab_WC_DM_CC[Name(EN)],0),12)</f>
        <v>#N/A</v>
      </c>
      <c r="S60" s="51" t="e">
        <f>MATCH(Tab_Data_Flows[[#This Row],[Name(EN)]],Tab_WC_DM_CC[Name(EN)],0)</f>
        <v>#N/A</v>
      </c>
      <c r="T60" s="51"/>
      <c r="U60" s="51"/>
      <c r="V60" s="51"/>
      <c r="W60" s="51"/>
      <c r="X60" s="51" t="s">
        <v>71</v>
      </c>
      <c r="Y60" s="51"/>
      <c r="Z60" s="51" t="str">
        <f>'3_1_Calculation_factors (Wood)'!$A$14</f>
        <v>Mittelwert</v>
      </c>
      <c r="AA60" s="86">
        <f t="shared" si="3"/>
        <v>2741.8120839966314</v>
      </c>
      <c r="AB60" s="51" t="s">
        <v>63</v>
      </c>
      <c r="AC60" s="111">
        <f>INDEX(Tab_Def_Flows[[Flow_ID]:[CC_DM_source]],MATCH(Tab_Data_Flows[[#This Row],[Name(EN)]],Tab_Def_Flows[Name(EN)],0),16)</f>
        <v>8.8049999999999962E-2</v>
      </c>
      <c r="AD60" s="112">
        <f>IF(J60="Yes",AA60*Tab_Data_Flows[[#This Row],[WC_'[%']]],"N.A.")</f>
        <v>241.41655399590329</v>
      </c>
      <c r="AE60" s="61" t="str">
        <f>Tab_Data_Flows[[#This Row],[UoM_Flow_Py]]</f>
        <v>Mg</v>
      </c>
      <c r="AF60" s="111">
        <f>INDEX(Tab_Def_Flows[[Flow_ID]:[CC_DM_source]],MATCH(Tab_Data_Flows[[#This Row],[Name(EN)]],Tab_Def_Flows[Name(EN)],0),18)</f>
        <v>0.91195000000000004</v>
      </c>
      <c r="AG60" s="112">
        <f>IF(K60="Yes",AF60*Tab_Data_Flows[[#This Row],[Flow_Py]],"N.A.")</f>
        <v>2500.3955300007283</v>
      </c>
      <c r="AH60" s="61" t="str">
        <f>Tab_Data_Flows[[#This Row],[UoM_Flow_Py]]</f>
        <v>Mg</v>
      </c>
      <c r="AI60" s="111">
        <f>INDEX(Tab_Def_Flows[[Flow_ID]:[CC_DM_source]],MATCH(Tab_Data_Flows[[#This Row],[Name(EN)]],Tab_Def_Flows[Name(EN)],0),20)</f>
        <v>0.46200000000000002</v>
      </c>
      <c r="AJ60" s="112">
        <f>IF(L60="Yes",AI60*Tab_Data_Flows[[#This Row],[Flow_Py]]*Tab_Data_Flows[[#This Row],[DM_'[%']]],"N.A.")</f>
        <v>1155.1827348603365</v>
      </c>
      <c r="AK60" s="61" t="str">
        <f>Tab_Data_Flows[[#This Row],[UoM_Flow_Py]]</f>
        <v>Mg</v>
      </c>
    </row>
    <row r="61" spans="1:37" x14ac:dyDescent="0.25">
      <c r="A61" s="60"/>
      <c r="B61" s="49" t="str">
        <f>_xlfn.XLOOKUP(C61,Tab_Def_Flows[Name(EN)],Tab_Def_Flows[Flow_ID],,0,)</f>
        <v>F_11_02</v>
      </c>
      <c r="C61" s="51" t="s">
        <v>490</v>
      </c>
      <c r="D61" s="49"/>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49">
        <f>_xlfn.XLOOKUP(C61,Tab_Def_Flows[Name(EN)],Tab_Def_Flows[Value_Source],,0,)</f>
        <v>0</v>
      </c>
      <c r="J61" s="49" t="str">
        <f>_xlfn.XLOOKUP(C61,Tab_Def_Flows[Name(EN)],Tab_Def_Flows[WC?],,0,)</f>
        <v>Yes</v>
      </c>
      <c r="K61" s="49" t="str">
        <f>_xlfn.XLOOKUP(C61,Tab_Def_Flows[Name(EN)],Tab_Def_Flows[DM?],,0,)</f>
        <v>Yes</v>
      </c>
      <c r="L61" s="49" t="str">
        <f>_xlfn.XLOOKUP(C61,Tab_Def_Flows[Name(EN)],Tab_Def_Flows[CC?],,0,)</f>
        <v>Yes</v>
      </c>
      <c r="M61" s="51">
        <v>2032</v>
      </c>
      <c r="N61" s="51"/>
      <c r="O61" s="119">
        <v>2307.2343522745268</v>
      </c>
      <c r="P61" s="51" t="s">
        <v>389</v>
      </c>
      <c r="Q61" s="51"/>
      <c r="R61" s="51" t="e">
        <f>INDEX(Tab_WC_DM_CC[[Flow_ID]:[CC_source]],MATCH(Tab_Data_Flows[[#This Row],[Name(EN)]],Tab_WC_DM_CC[Name(EN)],0),12)</f>
        <v>#N/A</v>
      </c>
      <c r="S61" s="51" t="e">
        <f>MATCH(Tab_Data_Flows[[#This Row],[Name(EN)]],Tab_WC_DM_CC[Name(EN)],0)</f>
        <v>#N/A</v>
      </c>
      <c r="T61" s="51"/>
      <c r="U61" s="51"/>
      <c r="V61" s="51"/>
      <c r="W61" s="51"/>
      <c r="X61" s="51" t="s">
        <v>71</v>
      </c>
      <c r="Y61" s="51"/>
      <c r="Z61" s="51" t="str">
        <f>'3_1_Calculation_factors (Wood)'!$A$14</f>
        <v>Mittelwert</v>
      </c>
      <c r="AA61" s="86">
        <f t="shared" si="3"/>
        <v>2307.2343522745268</v>
      </c>
      <c r="AB61" s="51" t="s">
        <v>63</v>
      </c>
      <c r="AC61" s="111">
        <f>INDEX(Tab_Def_Flows[[Flow_ID]:[CC_DM_source]],MATCH(Tab_Data_Flows[[#This Row],[Name(EN)]],Tab_Def_Flows[Name(EN)],0),16)</f>
        <v>8.8049999999999962E-2</v>
      </c>
      <c r="AD61" s="112">
        <f>IF(J61="Yes",AA61*Tab_Data_Flows[[#This Row],[WC_'[%']]],"N.A.")</f>
        <v>203.151984717772</v>
      </c>
      <c r="AE61" s="61" t="str">
        <f>Tab_Data_Flows[[#This Row],[UoM_Flow_Py]]</f>
        <v>Mg</v>
      </c>
      <c r="AF61" s="111">
        <f>INDEX(Tab_Def_Flows[[Flow_ID]:[CC_DM_source]],MATCH(Tab_Data_Flows[[#This Row],[Name(EN)]],Tab_Def_Flows[Name(EN)],0),18)</f>
        <v>0.91195000000000004</v>
      </c>
      <c r="AG61" s="112">
        <f>IF(K61="Yes",AF61*Tab_Data_Flows[[#This Row],[Flow_Py]],"N.A.")</f>
        <v>2104.0823675567549</v>
      </c>
      <c r="AH61" s="61" t="str">
        <f>Tab_Data_Flows[[#This Row],[UoM_Flow_Py]]</f>
        <v>Mg</v>
      </c>
      <c r="AI61" s="111">
        <f>INDEX(Tab_Def_Flows[[Flow_ID]:[CC_DM_source]],MATCH(Tab_Data_Flows[[#This Row],[Name(EN)]],Tab_Def_Flows[Name(EN)],0),20)</f>
        <v>0.46200000000000002</v>
      </c>
      <c r="AJ61" s="112">
        <f>IF(L61="Yes",AI61*Tab_Data_Flows[[#This Row],[Flow_Py]]*Tab_Data_Flows[[#This Row],[DM_'[%']]],"N.A.")</f>
        <v>972.08605381122084</v>
      </c>
      <c r="AK61" s="61" t="str">
        <f>Tab_Data_Flows[[#This Row],[UoM_Flow_Py]]</f>
        <v>Mg</v>
      </c>
    </row>
    <row r="62" spans="1:37" x14ac:dyDescent="0.25">
      <c r="A62" s="60"/>
      <c r="B62" s="49" t="str">
        <f>_xlfn.XLOOKUP(C62,Tab_Def_Flows[Name(EN)],Tab_Def_Flows[Flow_ID],,0,)</f>
        <v>F_11_02</v>
      </c>
      <c r="C62" s="51" t="s">
        <v>490</v>
      </c>
      <c r="D62" s="49"/>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49">
        <f>_xlfn.XLOOKUP(C62,Tab_Def_Flows[Name(EN)],Tab_Def_Flows[Value_Source],,0,)</f>
        <v>0</v>
      </c>
      <c r="J62" s="49" t="str">
        <f>_xlfn.XLOOKUP(C62,Tab_Def_Flows[Name(EN)],Tab_Def_Flows[WC?],,0,)</f>
        <v>Yes</v>
      </c>
      <c r="K62" s="49" t="str">
        <f>_xlfn.XLOOKUP(C62,Tab_Def_Flows[Name(EN)],Tab_Def_Flows[DM?],,0,)</f>
        <v>Yes</v>
      </c>
      <c r="L62" s="49" t="str">
        <f>_xlfn.XLOOKUP(C62,Tab_Def_Flows[Name(EN)],Tab_Def_Flows[CC?],,0,)</f>
        <v>Yes</v>
      </c>
      <c r="M62" s="51">
        <v>2033</v>
      </c>
      <c r="N62" s="51"/>
      <c r="O62" s="119">
        <v>1645.0925468968424</v>
      </c>
      <c r="P62" s="51" t="s">
        <v>389</v>
      </c>
      <c r="Q62" s="51"/>
      <c r="R62" s="51" t="e">
        <f>INDEX(Tab_WC_DM_CC[[Flow_ID]:[CC_source]],MATCH(Tab_Data_Flows[[#This Row],[Name(EN)]],Tab_WC_DM_CC[Name(EN)],0),12)</f>
        <v>#N/A</v>
      </c>
      <c r="S62" s="51" t="e">
        <f>MATCH(Tab_Data_Flows[[#This Row],[Name(EN)]],Tab_WC_DM_CC[Name(EN)],0)</f>
        <v>#N/A</v>
      </c>
      <c r="T62" s="51"/>
      <c r="U62" s="51"/>
      <c r="V62" s="51"/>
      <c r="W62" s="51"/>
      <c r="X62" s="51" t="s">
        <v>71</v>
      </c>
      <c r="Y62" s="51"/>
      <c r="Z62" s="51" t="str">
        <f>'3_1_Calculation_factors (Wood)'!$A$14</f>
        <v>Mittelwert</v>
      </c>
      <c r="AA62" s="86">
        <f t="shared" si="3"/>
        <v>1645.0925468968424</v>
      </c>
      <c r="AB62" s="51" t="s">
        <v>63</v>
      </c>
      <c r="AC62" s="111">
        <f>INDEX(Tab_Def_Flows[[Flow_ID]:[CC_DM_source]],MATCH(Tab_Data_Flows[[#This Row],[Name(EN)]],Tab_Def_Flows[Name(EN)],0),16)</f>
        <v>8.8049999999999962E-2</v>
      </c>
      <c r="AD62" s="112">
        <f>IF(J62="Yes",AA62*Tab_Data_Flows[[#This Row],[WC_'[%']]],"N.A.")</f>
        <v>144.85039875426691</v>
      </c>
      <c r="AE62" s="61" t="str">
        <f>Tab_Data_Flows[[#This Row],[UoM_Flow_Py]]</f>
        <v>Mg</v>
      </c>
      <c r="AF62" s="111">
        <f>INDEX(Tab_Def_Flows[[Flow_ID]:[CC_DM_source]],MATCH(Tab_Data_Flows[[#This Row],[Name(EN)]],Tab_Def_Flows[Name(EN)],0),18)</f>
        <v>0.91195000000000004</v>
      </c>
      <c r="AG62" s="112">
        <f>IF(K62="Yes",AF62*Tab_Data_Flows[[#This Row],[Flow_Py]],"N.A.")</f>
        <v>1500.2421481425754</v>
      </c>
      <c r="AH62" s="61" t="str">
        <f>Tab_Data_Flows[[#This Row],[UoM_Flow_Py]]</f>
        <v>Mg</v>
      </c>
      <c r="AI62" s="111">
        <f>INDEX(Tab_Def_Flows[[Flow_ID]:[CC_DM_source]],MATCH(Tab_Data_Flows[[#This Row],[Name(EN)]],Tab_Def_Flows[Name(EN)],0),20)</f>
        <v>0.46200000000000002</v>
      </c>
      <c r="AJ62" s="112">
        <f>IF(L62="Yes",AI62*Tab_Data_Flows[[#This Row],[Flow_Py]]*Tab_Data_Flows[[#This Row],[DM_'[%']]],"N.A.")</f>
        <v>693.11187244186988</v>
      </c>
      <c r="AK62" s="61" t="str">
        <f>Tab_Data_Flows[[#This Row],[UoM_Flow_Py]]</f>
        <v>Mg</v>
      </c>
    </row>
    <row r="63" spans="1:37" x14ac:dyDescent="0.25">
      <c r="A63" s="60"/>
      <c r="B63" s="49" t="str">
        <f>_xlfn.XLOOKUP(C63,Tab_Def_Flows[Name(EN)],Tab_Def_Flows[Flow_ID],,0,)</f>
        <v>F_11_02</v>
      </c>
      <c r="C63" s="51" t="s">
        <v>490</v>
      </c>
      <c r="D63" s="49"/>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49">
        <f>_xlfn.XLOOKUP(C63,Tab_Def_Flows[Name(EN)],Tab_Def_Flows[Value_Source],,0,)</f>
        <v>0</v>
      </c>
      <c r="J63" s="49" t="str">
        <f>_xlfn.XLOOKUP(C63,Tab_Def_Flows[Name(EN)],Tab_Def_Flows[WC?],,0,)</f>
        <v>Yes</v>
      </c>
      <c r="K63" s="49" t="str">
        <f>_xlfn.XLOOKUP(C63,Tab_Def_Flows[Name(EN)],Tab_Def_Flows[DM?],,0,)</f>
        <v>Yes</v>
      </c>
      <c r="L63" s="49" t="str">
        <f>_xlfn.XLOOKUP(C63,Tab_Def_Flows[Name(EN)],Tab_Def_Flows[CC?],,0,)</f>
        <v>Yes</v>
      </c>
      <c r="M63" s="51">
        <v>2034</v>
      </c>
      <c r="N63" s="51"/>
      <c r="O63" s="119">
        <v>2186.8714156092637</v>
      </c>
      <c r="P63" s="51" t="s">
        <v>389</v>
      </c>
      <c r="Q63" s="51"/>
      <c r="R63" s="51" t="e">
        <f>INDEX(Tab_WC_DM_CC[[Flow_ID]:[CC_source]],MATCH(Tab_Data_Flows[[#This Row],[Name(EN)]],Tab_WC_DM_CC[Name(EN)],0),12)</f>
        <v>#N/A</v>
      </c>
      <c r="S63" s="51" t="e">
        <f>MATCH(Tab_Data_Flows[[#This Row],[Name(EN)]],Tab_WC_DM_CC[Name(EN)],0)</f>
        <v>#N/A</v>
      </c>
      <c r="T63" s="51"/>
      <c r="U63" s="51"/>
      <c r="V63" s="51"/>
      <c r="W63" s="51"/>
      <c r="X63" s="51" t="s">
        <v>71</v>
      </c>
      <c r="Y63" s="51"/>
      <c r="Z63" s="51" t="str">
        <f>'3_1_Calculation_factors (Wood)'!$A$14</f>
        <v>Mittelwert</v>
      </c>
      <c r="AA63" s="86">
        <f t="shared" si="3"/>
        <v>2186.8714156092637</v>
      </c>
      <c r="AB63" s="51" t="s">
        <v>63</v>
      </c>
      <c r="AC63" s="111">
        <f>INDEX(Tab_Def_Flows[[Flow_ID]:[CC_DM_source]],MATCH(Tab_Data_Flows[[#This Row],[Name(EN)]],Tab_Def_Flows[Name(EN)],0),16)</f>
        <v>8.8049999999999962E-2</v>
      </c>
      <c r="AD63" s="112">
        <f>IF(J63="Yes",AA63*Tab_Data_Flows[[#This Row],[WC_'[%']]],"N.A.")</f>
        <v>192.5540281443956</v>
      </c>
      <c r="AE63" s="61" t="str">
        <f>Tab_Data_Flows[[#This Row],[UoM_Flow_Py]]</f>
        <v>Mg</v>
      </c>
      <c r="AF63" s="111">
        <f>INDEX(Tab_Def_Flows[[Flow_ID]:[CC_DM_source]],MATCH(Tab_Data_Flows[[#This Row],[Name(EN)]],Tab_Def_Flows[Name(EN)],0),18)</f>
        <v>0.91195000000000004</v>
      </c>
      <c r="AG63" s="112">
        <f>IF(K63="Yes",AF63*Tab_Data_Flows[[#This Row],[Flow_Py]],"N.A.")</f>
        <v>1994.3173874648683</v>
      </c>
      <c r="AH63" s="61" t="str">
        <f>Tab_Data_Flows[[#This Row],[UoM_Flow_Py]]</f>
        <v>Mg</v>
      </c>
      <c r="AI63" s="111">
        <f>INDEX(Tab_Def_Flows[[Flow_ID]:[CC_DM_source]],MATCH(Tab_Data_Flows[[#This Row],[Name(EN)]],Tab_Def_Flows[Name(EN)],0),20)</f>
        <v>0.46200000000000002</v>
      </c>
      <c r="AJ63" s="112">
        <f>IF(L63="Yes",AI63*Tab_Data_Flows[[#This Row],[Flow_Py]]*Tab_Data_Flows[[#This Row],[DM_'[%']]],"N.A.")</f>
        <v>921.37463300876914</v>
      </c>
      <c r="AK63" s="61" t="str">
        <f>Tab_Data_Flows[[#This Row],[UoM_Flow_Py]]</f>
        <v>Mg</v>
      </c>
    </row>
    <row r="64" spans="1:37" x14ac:dyDescent="0.25">
      <c r="A64" s="60"/>
      <c r="B64" s="49" t="str">
        <f>_xlfn.XLOOKUP(C64,Tab_Def_Flows[Name(EN)],Tab_Def_Flows[Flow_ID],,0,)</f>
        <v>F_11_02</v>
      </c>
      <c r="C64" s="51" t="s">
        <v>490</v>
      </c>
      <c r="D64" s="49"/>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49">
        <f>_xlfn.XLOOKUP(C64,Tab_Def_Flows[Name(EN)],Tab_Def_Flows[Value_Source],,0,)</f>
        <v>0</v>
      </c>
      <c r="J64" s="49" t="str">
        <f>_xlfn.XLOOKUP(C64,Tab_Def_Flows[Name(EN)],Tab_Def_Flows[WC?],,0,)</f>
        <v>Yes</v>
      </c>
      <c r="K64" s="49" t="str">
        <f>_xlfn.XLOOKUP(C64,Tab_Def_Flows[Name(EN)],Tab_Def_Flows[DM?],,0,)</f>
        <v>Yes</v>
      </c>
      <c r="L64" s="49" t="str">
        <f>_xlfn.XLOOKUP(C64,Tab_Def_Flows[Name(EN)],Tab_Def_Flows[CC?],,0,)</f>
        <v>Yes</v>
      </c>
      <c r="M64" s="51">
        <v>2035</v>
      </c>
      <c r="N64" s="51"/>
      <c r="O64" s="119">
        <v>1648.3234112033686</v>
      </c>
      <c r="P64" s="51" t="s">
        <v>389</v>
      </c>
      <c r="Q64" s="51"/>
      <c r="R64" s="51" t="e">
        <f>INDEX(Tab_WC_DM_CC[[Flow_ID]:[CC_source]],MATCH(Tab_Data_Flows[[#This Row],[Name(EN)]],Tab_WC_DM_CC[Name(EN)],0),12)</f>
        <v>#N/A</v>
      </c>
      <c r="S64" s="51" t="e">
        <f>MATCH(Tab_Data_Flows[[#This Row],[Name(EN)]],Tab_WC_DM_CC[Name(EN)],0)</f>
        <v>#N/A</v>
      </c>
      <c r="T64" s="51"/>
      <c r="U64" s="51"/>
      <c r="V64" s="51"/>
      <c r="W64" s="51"/>
      <c r="X64" s="51" t="s">
        <v>71</v>
      </c>
      <c r="Y64" s="51"/>
      <c r="Z64" s="51" t="str">
        <f>'3_1_Calculation_factors (Wood)'!$A$14</f>
        <v>Mittelwert</v>
      </c>
      <c r="AA64" s="86">
        <f t="shared" si="3"/>
        <v>1648.3234112033686</v>
      </c>
      <c r="AB64" s="51" t="s">
        <v>63</v>
      </c>
      <c r="AC64" s="111">
        <f>INDEX(Tab_Def_Flows[[Flow_ID]:[CC_DM_source]],MATCH(Tab_Data_Flows[[#This Row],[Name(EN)]],Tab_Def_Flows[Name(EN)],0),16)</f>
        <v>8.8049999999999962E-2</v>
      </c>
      <c r="AD64" s="112">
        <f>IF(J64="Yes",AA64*Tab_Data_Flows[[#This Row],[WC_'[%']]],"N.A.")</f>
        <v>145.13487635645654</v>
      </c>
      <c r="AE64" s="61" t="str">
        <f>Tab_Data_Flows[[#This Row],[UoM_Flow_Py]]</f>
        <v>Mg</v>
      </c>
      <c r="AF64" s="111">
        <f>INDEX(Tab_Def_Flows[[Flow_ID]:[CC_DM_source]],MATCH(Tab_Data_Flows[[#This Row],[Name(EN)]],Tab_Def_Flows[Name(EN)],0),18)</f>
        <v>0.91195000000000004</v>
      </c>
      <c r="AG64" s="112">
        <f>IF(K64="Yes",AF64*Tab_Data_Flows[[#This Row],[Flow_Py]],"N.A.")</f>
        <v>1503.188534846912</v>
      </c>
      <c r="AH64" s="61" t="str">
        <f>Tab_Data_Flows[[#This Row],[UoM_Flow_Py]]</f>
        <v>Mg</v>
      </c>
      <c r="AI64" s="111">
        <f>INDEX(Tab_Def_Flows[[Flow_ID]:[CC_DM_source]],MATCH(Tab_Data_Flows[[#This Row],[Name(EN)]],Tab_Def_Flows[Name(EN)],0),20)</f>
        <v>0.46200000000000002</v>
      </c>
      <c r="AJ64" s="112">
        <f>IF(L64="Yes",AI64*Tab_Data_Flows[[#This Row],[Flow_Py]]*Tab_Data_Flows[[#This Row],[DM_'[%']]],"N.A.")</f>
        <v>694.47310309927343</v>
      </c>
      <c r="AK64" s="61" t="str">
        <f>Tab_Data_Flows[[#This Row],[UoM_Flow_Py]]</f>
        <v>Mg</v>
      </c>
    </row>
    <row r="65" spans="1:37" x14ac:dyDescent="0.25">
      <c r="A65" s="60"/>
      <c r="B65" s="49" t="str">
        <f>_xlfn.XLOOKUP(C65,Tab_Def_Flows[Name(EN)],Tab_Def_Flows[Flow_ID],,0,)</f>
        <v>F_11_02</v>
      </c>
      <c r="C65" s="51" t="s">
        <v>490</v>
      </c>
      <c r="D65" s="49"/>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49">
        <f>_xlfn.XLOOKUP(C65,Tab_Def_Flows[Name(EN)],Tab_Def_Flows[Value_Source],,0,)</f>
        <v>0</v>
      </c>
      <c r="J65" s="49" t="str">
        <f>_xlfn.XLOOKUP(C65,Tab_Def_Flows[Name(EN)],Tab_Def_Flows[WC?],,0,)</f>
        <v>Yes</v>
      </c>
      <c r="K65" s="49" t="str">
        <f>_xlfn.XLOOKUP(C65,Tab_Def_Flows[Name(EN)],Tab_Def_Flows[DM?],,0,)</f>
        <v>Yes</v>
      </c>
      <c r="L65" s="49" t="str">
        <f>_xlfn.XLOOKUP(C65,Tab_Def_Flows[Name(EN)],Tab_Def_Flows[CC?],,0,)</f>
        <v>Yes</v>
      </c>
      <c r="M65" s="51">
        <v>2036</v>
      </c>
      <c r="N65" s="51"/>
      <c r="O65" s="119">
        <v>1647.0787339705266</v>
      </c>
      <c r="P65" s="51" t="s">
        <v>389</v>
      </c>
      <c r="Q65" s="51"/>
      <c r="R65" s="51" t="e">
        <f>INDEX(Tab_WC_DM_CC[[Flow_ID]:[CC_source]],MATCH(Tab_Data_Flows[[#This Row],[Name(EN)]],Tab_WC_DM_CC[Name(EN)],0),12)</f>
        <v>#N/A</v>
      </c>
      <c r="S65" s="51" t="e">
        <f>MATCH(Tab_Data_Flows[[#This Row],[Name(EN)]],Tab_WC_DM_CC[Name(EN)],0)</f>
        <v>#N/A</v>
      </c>
      <c r="T65" s="51"/>
      <c r="U65" s="51"/>
      <c r="V65" s="51"/>
      <c r="W65" s="51"/>
      <c r="X65" s="51" t="s">
        <v>71</v>
      </c>
      <c r="Y65" s="51"/>
      <c r="Z65" s="51" t="str">
        <f>'3_1_Calculation_factors (Wood)'!$A$14</f>
        <v>Mittelwert</v>
      </c>
      <c r="AA65" s="86">
        <f t="shared" si="3"/>
        <v>1647.0787339705266</v>
      </c>
      <c r="AB65" s="51" t="s">
        <v>63</v>
      </c>
      <c r="AC65" s="111">
        <f>INDEX(Tab_Def_Flows[[Flow_ID]:[CC_DM_source]],MATCH(Tab_Data_Flows[[#This Row],[Name(EN)]],Tab_Def_Flows[Name(EN)],0),16)</f>
        <v>8.8049999999999962E-2</v>
      </c>
      <c r="AD65" s="112">
        <f>IF(J65="Yes",AA65*Tab_Data_Flows[[#This Row],[WC_'[%']]],"N.A.")</f>
        <v>145.0252825261048</v>
      </c>
      <c r="AE65" s="61" t="str">
        <f>Tab_Data_Flows[[#This Row],[UoM_Flow_Py]]</f>
        <v>Mg</v>
      </c>
      <c r="AF65" s="111">
        <f>INDEX(Tab_Def_Flows[[Flow_ID]:[CC_DM_source]],MATCH(Tab_Data_Flows[[#This Row],[Name(EN)]],Tab_Def_Flows[Name(EN)],0),18)</f>
        <v>0.91195000000000004</v>
      </c>
      <c r="AG65" s="112">
        <f>IF(K65="Yes",AF65*Tab_Data_Flows[[#This Row],[Flow_Py]],"N.A.")</f>
        <v>1502.0534514444219</v>
      </c>
      <c r="AH65" s="61" t="str">
        <f>Tab_Data_Flows[[#This Row],[UoM_Flow_Py]]</f>
        <v>Mg</v>
      </c>
      <c r="AI65" s="111">
        <f>INDEX(Tab_Def_Flows[[Flow_ID]:[CC_DM_source]],MATCH(Tab_Data_Flows[[#This Row],[Name(EN)]],Tab_Def_Flows[Name(EN)],0),20)</f>
        <v>0.46200000000000002</v>
      </c>
      <c r="AJ65" s="112">
        <f>IF(L65="Yes",AI65*Tab_Data_Flows[[#This Row],[Flow_Py]]*Tab_Data_Flows[[#This Row],[DM_'[%']]],"N.A.")</f>
        <v>693.94869456732295</v>
      </c>
      <c r="AK65" s="61" t="str">
        <f>Tab_Data_Flows[[#This Row],[UoM_Flow_Py]]</f>
        <v>Mg</v>
      </c>
    </row>
    <row r="66" spans="1:37" x14ac:dyDescent="0.25">
      <c r="A66" s="60"/>
      <c r="B66" s="49" t="str">
        <f>_xlfn.XLOOKUP(C66,Tab_Def_Flows[Name(EN)],Tab_Def_Flows[Flow_ID],,0,)</f>
        <v>F_11_02</v>
      </c>
      <c r="C66" s="51" t="s">
        <v>490</v>
      </c>
      <c r="D66" s="49"/>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49">
        <f>_xlfn.XLOOKUP(C66,Tab_Def_Flows[Name(EN)],Tab_Def_Flows[Value_Source],,0,)</f>
        <v>0</v>
      </c>
      <c r="J66" s="49" t="str">
        <f>_xlfn.XLOOKUP(C66,Tab_Def_Flows[Name(EN)],Tab_Def_Flows[WC?],,0,)</f>
        <v>Yes</v>
      </c>
      <c r="K66" s="49" t="str">
        <f>_xlfn.XLOOKUP(C66,Tab_Def_Flows[Name(EN)],Tab_Def_Flows[DM?],,0,)</f>
        <v>Yes</v>
      </c>
      <c r="L66" s="49" t="str">
        <f>_xlfn.XLOOKUP(C66,Tab_Def_Flows[Name(EN)],Tab_Def_Flows[CC?],,0,)</f>
        <v>Yes</v>
      </c>
      <c r="M66" s="51">
        <v>2037</v>
      </c>
      <c r="N66" s="51"/>
      <c r="O66" s="119">
        <v>2025.9372976522109</v>
      </c>
      <c r="P66" s="51" t="s">
        <v>389</v>
      </c>
      <c r="Q66" s="51"/>
      <c r="R66" s="51" t="e">
        <f>INDEX(Tab_WC_DM_CC[[Flow_ID]:[CC_source]],MATCH(Tab_Data_Flows[[#This Row],[Name(EN)]],Tab_WC_DM_CC[Name(EN)],0),12)</f>
        <v>#N/A</v>
      </c>
      <c r="S66" s="51" t="e">
        <f>MATCH(Tab_Data_Flows[[#This Row],[Name(EN)]],Tab_WC_DM_CC[Name(EN)],0)</f>
        <v>#N/A</v>
      </c>
      <c r="T66" s="51"/>
      <c r="U66" s="51"/>
      <c r="V66" s="51"/>
      <c r="W66" s="51"/>
      <c r="X66" s="51" t="s">
        <v>71</v>
      </c>
      <c r="Y66" s="51"/>
      <c r="Z66" s="51" t="str">
        <f>'3_1_Calculation_factors (Wood)'!$A$14</f>
        <v>Mittelwert</v>
      </c>
      <c r="AA66" s="86">
        <f t="shared" si="3"/>
        <v>2025.9372976522109</v>
      </c>
      <c r="AB66" s="51" t="s">
        <v>63</v>
      </c>
      <c r="AC66" s="111">
        <f>INDEX(Tab_Def_Flows[[Flow_ID]:[CC_DM_source]],MATCH(Tab_Data_Flows[[#This Row],[Name(EN)]],Tab_Def_Flows[Name(EN)],0),16)</f>
        <v>8.8049999999999962E-2</v>
      </c>
      <c r="AD66" s="112">
        <f>IF(J66="Yes",AA66*Tab_Data_Flows[[#This Row],[WC_'[%']]],"N.A.")</f>
        <v>178.3837790582771</v>
      </c>
      <c r="AE66" s="61" t="str">
        <f>Tab_Data_Flows[[#This Row],[UoM_Flow_Py]]</f>
        <v>Mg</v>
      </c>
      <c r="AF66" s="111">
        <f>INDEX(Tab_Def_Flows[[Flow_ID]:[CC_DM_source]],MATCH(Tab_Data_Flows[[#This Row],[Name(EN)]],Tab_Def_Flows[Name(EN)],0),18)</f>
        <v>0.91195000000000004</v>
      </c>
      <c r="AG66" s="112">
        <f>IF(K66="Yes",AF66*Tab_Data_Flows[[#This Row],[Flow_Py]],"N.A.")</f>
        <v>1847.5535185939339</v>
      </c>
      <c r="AH66" s="61" t="str">
        <f>Tab_Data_Flows[[#This Row],[UoM_Flow_Py]]</f>
        <v>Mg</v>
      </c>
      <c r="AI66" s="111">
        <f>INDEX(Tab_Def_Flows[[Flow_ID]:[CC_DM_source]],MATCH(Tab_Data_Flows[[#This Row],[Name(EN)]],Tab_Def_Flows[Name(EN)],0),20)</f>
        <v>0.46200000000000002</v>
      </c>
      <c r="AJ66" s="112">
        <f>IF(L66="Yes",AI66*Tab_Data_Flows[[#This Row],[Flow_Py]]*Tab_Data_Flows[[#This Row],[DM_'[%']]],"N.A.")</f>
        <v>853.56972559039752</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2038</v>
      </c>
      <c r="N67" s="51"/>
      <c r="O67" s="119">
        <v>872.17446779621059</v>
      </c>
      <c r="P67" s="51" t="s">
        <v>389</v>
      </c>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si="3"/>
        <v>872.17446779621059</v>
      </c>
      <c r="AB67" s="51" t="s">
        <v>63</v>
      </c>
      <c r="AC67" s="111">
        <f>INDEX(Tab_Def_Flows[[Flow_ID]:[CC_DM_source]],MATCH(Tab_Data_Flows[[#This Row],[Name(EN)]],Tab_Def_Flows[Name(EN)],0),16)</f>
        <v>8.8049999999999962E-2</v>
      </c>
      <c r="AD67" s="112">
        <f>IF(J67="Yes",AA67*Tab_Data_Flows[[#This Row],[WC_'[%']]],"N.A.")</f>
        <v>76.794961889456303</v>
      </c>
      <c r="AE67" s="61" t="str">
        <f>Tab_Data_Flows[[#This Row],[UoM_Flow_Py]]</f>
        <v>Mg</v>
      </c>
      <c r="AF67" s="111">
        <f>INDEX(Tab_Def_Flows[[Flow_ID]:[CC_DM_source]],MATCH(Tab_Data_Flows[[#This Row],[Name(EN)]],Tab_Def_Flows[Name(EN)],0),18)</f>
        <v>0.91195000000000004</v>
      </c>
      <c r="AG67" s="112">
        <f>IF(K67="Yes",AF67*Tab_Data_Flows[[#This Row],[Flow_Py]],"N.A.")</f>
        <v>795.37950590675428</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367.46533172892049</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2039</v>
      </c>
      <c r="N68" s="51"/>
      <c r="O68" s="119">
        <v>972.99332365642124</v>
      </c>
      <c r="P68" s="51" t="s">
        <v>389</v>
      </c>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3"/>
        <v>972.99332365642124</v>
      </c>
      <c r="AB68" s="51" t="s">
        <v>63</v>
      </c>
      <c r="AC68" s="111">
        <f>INDEX(Tab_Def_Flows[[Flow_ID]:[CC_DM_source]],MATCH(Tab_Data_Flows[[#This Row],[Name(EN)]],Tab_Def_Flows[Name(EN)],0),16)</f>
        <v>8.8049999999999962E-2</v>
      </c>
      <c r="AD68" s="112">
        <f>IF(J68="Yes",AA68*Tab_Data_Flows[[#This Row],[WC_'[%']]],"N.A.")</f>
        <v>85.672062147947855</v>
      </c>
      <c r="AE68" s="61" t="str">
        <f>Tab_Data_Flows[[#This Row],[UoM_Flow_Py]]</f>
        <v>Mg</v>
      </c>
      <c r="AF68" s="111">
        <f>INDEX(Tab_Def_Flows[[Flow_ID]:[CC_DM_source]],MATCH(Tab_Data_Flows[[#This Row],[Name(EN)]],Tab_Def_Flows[Name(EN)],0),18)</f>
        <v>0.91195000000000004</v>
      </c>
      <c r="AG68" s="112">
        <f>IF(K68="Yes",AF68*Tab_Data_Flows[[#This Row],[Flow_Py]],"N.A.")</f>
        <v>887.32126150847341</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409.94242281691476</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2040</v>
      </c>
      <c r="N69" s="51"/>
      <c r="O69" s="119">
        <v>1595.4113875604214</v>
      </c>
      <c r="P69" s="51" t="s">
        <v>389</v>
      </c>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3"/>
        <v>1595.4113875604214</v>
      </c>
      <c r="AB69" s="51" t="s">
        <v>63</v>
      </c>
      <c r="AC69" s="111">
        <f>INDEX(Tab_Def_Flows[[Flow_ID]:[CC_DM_source]],MATCH(Tab_Data_Flows[[#This Row],[Name(EN)]],Tab_Def_Flows[Name(EN)],0),16)</f>
        <v>8.8049999999999962E-2</v>
      </c>
      <c r="AD69" s="112">
        <f>IF(J69="Yes",AA69*Tab_Data_Flows[[#This Row],[WC_'[%']]],"N.A.")</f>
        <v>140.47597267469504</v>
      </c>
      <c r="AE69" s="61" t="str">
        <f>Tab_Data_Flows[[#This Row],[UoM_Flow_Py]]</f>
        <v>Mg</v>
      </c>
      <c r="AF69" s="111">
        <f>INDEX(Tab_Def_Flows[[Flow_ID]:[CC_DM_source]],MATCH(Tab_Data_Flows[[#This Row],[Name(EN)]],Tab_Def_Flows[Name(EN)],0),18)</f>
        <v>0.91195000000000004</v>
      </c>
      <c r="AG69" s="112">
        <f>IF(K69="Yes",AF69*Tab_Data_Flows[[#This Row],[Flow_Py]],"N.A.")</f>
        <v>1454.9354148857265</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672.18016167720566</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2041</v>
      </c>
      <c r="N70" s="51"/>
      <c r="O70" s="119">
        <v>1354.2088293322108</v>
      </c>
      <c r="P70" s="51" t="s">
        <v>389</v>
      </c>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3"/>
        <v>1354.2088293322108</v>
      </c>
      <c r="AB70" s="51" t="s">
        <v>63</v>
      </c>
      <c r="AC70" s="111">
        <f>INDEX(Tab_Def_Flows[[Flow_ID]:[CC_DM_source]],MATCH(Tab_Data_Flows[[#This Row],[Name(EN)]],Tab_Def_Flows[Name(EN)],0),16)</f>
        <v>8.8049999999999962E-2</v>
      </c>
      <c r="AD70" s="112">
        <f>IF(J70="Yes",AA70*Tab_Data_Flows[[#This Row],[WC_'[%']]],"N.A.")</f>
        <v>119.23808742270111</v>
      </c>
      <c r="AE70" s="61" t="str">
        <f>Tab_Data_Flows[[#This Row],[UoM_Flow_Py]]</f>
        <v>Mg</v>
      </c>
      <c r="AF70" s="111">
        <f>INDEX(Tab_Def_Flows[[Flow_ID]:[CC_DM_source]],MATCH(Tab_Data_Flows[[#This Row],[Name(EN)]],Tab_Def_Flows[Name(EN)],0),18)</f>
        <v>0.91195000000000004</v>
      </c>
      <c r="AG70" s="112">
        <f>IF(K70="Yes",AF70*Tab_Data_Flows[[#This Row],[Flow_Py]],"N.A.")</f>
        <v>1234.9707419095098</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570.55648276219347</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2042</v>
      </c>
      <c r="N71" s="51"/>
      <c r="O71" s="119">
        <v>2064.6282218475794</v>
      </c>
      <c r="P71" s="51" t="s">
        <v>389</v>
      </c>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3"/>
        <v>2064.6282218475794</v>
      </c>
      <c r="AB71" s="51" t="s">
        <v>63</v>
      </c>
      <c r="AC71" s="111">
        <f>INDEX(Tab_Def_Flows[[Flow_ID]:[CC_DM_source]],MATCH(Tab_Data_Flows[[#This Row],[Name(EN)]],Tab_Def_Flows[Name(EN)],0),16)</f>
        <v>8.8049999999999962E-2</v>
      </c>
      <c r="AD71" s="112">
        <f>IF(J71="Yes",AA71*Tab_Data_Flows[[#This Row],[WC_'[%']]],"N.A.")</f>
        <v>181.79051493367928</v>
      </c>
      <c r="AE71" s="61" t="str">
        <f>Tab_Data_Flows[[#This Row],[UoM_Flow_Py]]</f>
        <v>Mg</v>
      </c>
      <c r="AF71" s="111">
        <f>INDEX(Tab_Def_Flows[[Flow_ID]:[CC_DM_source]],MATCH(Tab_Data_Flows[[#This Row],[Name(EN)]],Tab_Def_Flows[Name(EN)],0),18)</f>
        <v>0.91195000000000004</v>
      </c>
      <c r="AG71" s="112">
        <f>IF(K71="Yes",AF71*Tab_Data_Flows[[#This Row],[Flow_Py]],"N.A.")</f>
        <v>1882.8377069139001</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869.87102059422193</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2043</v>
      </c>
      <c r="N72" s="51"/>
      <c r="O72" s="119">
        <v>1410.3252347873686</v>
      </c>
      <c r="P72" s="51" t="s">
        <v>389</v>
      </c>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3"/>
        <v>1410.3252347873686</v>
      </c>
      <c r="AB72" s="51" t="s">
        <v>63</v>
      </c>
      <c r="AC72" s="111">
        <f>INDEX(Tab_Def_Flows[[Flow_ID]:[CC_DM_source]],MATCH(Tab_Data_Flows[[#This Row],[Name(EN)]],Tab_Def_Flows[Name(EN)],0),16)</f>
        <v>8.8049999999999962E-2</v>
      </c>
      <c r="AD72" s="112">
        <f>IF(J72="Yes",AA72*Tab_Data_Flows[[#This Row],[WC_'[%']]],"N.A.")</f>
        <v>124.17913692302776</v>
      </c>
      <c r="AE72" s="61" t="str">
        <f>Tab_Data_Flows[[#This Row],[UoM_Flow_Py]]</f>
        <v>Mg</v>
      </c>
      <c r="AF72" s="111">
        <f>INDEX(Tab_Def_Flows[[Flow_ID]:[CC_DM_source]],MATCH(Tab_Data_Flows[[#This Row],[Name(EN)]],Tab_Def_Flows[Name(EN)],0),18)</f>
        <v>0.91195000000000004</v>
      </c>
      <c r="AG72" s="112">
        <f>IF(K72="Yes",AF72*Tab_Data_Flows[[#This Row],[Flow_Py]],"N.A.")</f>
        <v>1286.1460978643408</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594.19949721332546</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2044</v>
      </c>
      <c r="N73" s="51"/>
      <c r="O73" s="119">
        <v>1140.3626877322106</v>
      </c>
      <c r="P73" s="51" t="s">
        <v>389</v>
      </c>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3"/>
        <v>1140.3626877322106</v>
      </c>
      <c r="AB73" s="51" t="s">
        <v>63</v>
      </c>
      <c r="AC73" s="111">
        <f>INDEX(Tab_Def_Flows[[Flow_ID]:[CC_DM_source]],MATCH(Tab_Data_Flows[[#This Row],[Name(EN)]],Tab_Def_Flows[Name(EN)],0),16)</f>
        <v>8.8049999999999962E-2</v>
      </c>
      <c r="AD73" s="112">
        <f>IF(J73="Yes",AA73*Tab_Data_Flows[[#This Row],[WC_'[%']]],"N.A.")</f>
        <v>100.4089346548211</v>
      </c>
      <c r="AE73" s="61" t="str">
        <f>Tab_Data_Flows[[#This Row],[UoM_Flow_Py]]</f>
        <v>Mg</v>
      </c>
      <c r="AF73" s="111">
        <f>INDEX(Tab_Def_Flows[[Flow_ID]:[CC_DM_source]],MATCH(Tab_Data_Flows[[#This Row],[Name(EN)]],Tab_Def_Flows[Name(EN)],0),18)</f>
        <v>0.91195000000000004</v>
      </c>
      <c r="AG73" s="112">
        <f>IF(K73="Yes",AF73*Tab_Data_Flows[[#This Row],[Flow_Py]],"N.A.")</f>
        <v>1039.9537530773896</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480.45863392175397</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2045</v>
      </c>
      <c r="N74" s="51"/>
      <c r="O74" s="119">
        <v>2681.0347595418953</v>
      </c>
      <c r="P74" s="51" t="s">
        <v>389</v>
      </c>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3"/>
        <v>2681.0347595418953</v>
      </c>
      <c r="AB74" s="51" t="s">
        <v>63</v>
      </c>
      <c r="AC74" s="111">
        <f>INDEX(Tab_Def_Flows[[Flow_ID]:[CC_DM_source]],MATCH(Tab_Data_Flows[[#This Row],[Name(EN)]],Tab_Def_Flows[Name(EN)],0),16)</f>
        <v>8.8049999999999962E-2</v>
      </c>
      <c r="AD74" s="112">
        <f>IF(J74="Yes",AA74*Tab_Data_Flows[[#This Row],[WC_'[%']]],"N.A.")</f>
        <v>236.06511057766377</v>
      </c>
      <c r="AE74" s="61" t="str">
        <f>Tab_Data_Flows[[#This Row],[UoM_Flow_Py]]</f>
        <v>Mg</v>
      </c>
      <c r="AF74" s="111">
        <f>INDEX(Tab_Def_Flows[[Flow_ID]:[CC_DM_source]],MATCH(Tab_Data_Flows[[#This Row],[Name(EN)]],Tab_Def_Flows[Name(EN)],0),18)</f>
        <v>0.91195000000000004</v>
      </c>
      <c r="AG74" s="112">
        <f>IF(K74="Yes",AF74*Tab_Data_Flows[[#This Row],[Flow_Py]],"N.A.")</f>
        <v>2444.9696489642315</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1129.5759778214749</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2046</v>
      </c>
      <c r="N75" s="51"/>
      <c r="O75" s="119">
        <v>1775.5453138964215</v>
      </c>
      <c r="P75" s="51" t="s">
        <v>389</v>
      </c>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3"/>
        <v>1775.5453138964215</v>
      </c>
      <c r="AB75" s="51" t="s">
        <v>63</v>
      </c>
      <c r="AC75" s="111">
        <f>INDEX(Tab_Def_Flows[[Flow_ID]:[CC_DM_source]],MATCH(Tab_Data_Flows[[#This Row],[Name(EN)]],Tab_Def_Flows[Name(EN)],0),16)</f>
        <v>8.8049999999999962E-2</v>
      </c>
      <c r="AD75" s="112">
        <f>IF(J75="Yes",AA75*Tab_Data_Flows[[#This Row],[WC_'[%']]],"N.A.")</f>
        <v>156.33676488857984</v>
      </c>
      <c r="AE75" s="61" t="str">
        <f>Tab_Data_Flows[[#This Row],[UoM_Flow_Py]]</f>
        <v>Mg</v>
      </c>
      <c r="AF75" s="111">
        <f>INDEX(Tab_Def_Flows[[Flow_ID]:[CC_DM_source]],MATCH(Tab_Data_Flows[[#This Row],[Name(EN)]],Tab_Def_Flows[Name(EN)],0),18)</f>
        <v>0.91195000000000004</v>
      </c>
      <c r="AG75" s="112">
        <f>IF(K75="Yes",AF75*Tab_Data_Flows[[#This Row],[Flow_Py]],"N.A.")</f>
        <v>1619.2085490078416</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748.0743496416228</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2047</v>
      </c>
      <c r="N76" s="51"/>
      <c r="O76" s="119">
        <v>1932.5600226947372</v>
      </c>
      <c r="P76" s="51" t="s">
        <v>389</v>
      </c>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3"/>
        <v>1932.5600226947372</v>
      </c>
      <c r="AB76" s="51" t="s">
        <v>63</v>
      </c>
      <c r="AC76" s="111">
        <f>INDEX(Tab_Def_Flows[[Flow_ID]:[CC_DM_source]],MATCH(Tab_Data_Flows[[#This Row],[Name(EN)]],Tab_Def_Flows[Name(EN)],0),16)</f>
        <v>8.8049999999999962E-2</v>
      </c>
      <c r="AD76" s="112">
        <f>IF(J76="Yes",AA76*Tab_Data_Flows[[#This Row],[WC_'[%']]],"N.A.")</f>
        <v>170.16190999827154</v>
      </c>
      <c r="AE76" s="61" t="str">
        <f>Tab_Data_Flows[[#This Row],[UoM_Flow_Py]]</f>
        <v>Mg</v>
      </c>
      <c r="AF76" s="111">
        <f>INDEX(Tab_Def_Flows[[Flow_ID]:[CC_DM_source]],MATCH(Tab_Data_Flows[[#This Row],[Name(EN)]],Tab_Def_Flows[Name(EN)],0),18)</f>
        <v>0.91195000000000004</v>
      </c>
      <c r="AG76" s="112">
        <f>IF(K76="Yes",AF76*Tab_Data_Flows[[#This Row],[Flow_Py]],"N.A.")</f>
        <v>1762.3981126964657</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814.22792806576717</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2048</v>
      </c>
      <c r="N77" s="51"/>
      <c r="O77" s="119">
        <v>1133.6890991646317</v>
      </c>
      <c r="P77" s="51" t="s">
        <v>389</v>
      </c>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3"/>
        <v>1133.6890991646317</v>
      </c>
      <c r="AB77" s="51" t="s">
        <v>63</v>
      </c>
      <c r="AC77" s="111">
        <f>INDEX(Tab_Def_Flows[[Flow_ID]:[CC_DM_source]],MATCH(Tab_Data_Flows[[#This Row],[Name(EN)]],Tab_Def_Flows[Name(EN)],0),16)</f>
        <v>8.8049999999999962E-2</v>
      </c>
      <c r="AD77" s="112">
        <f>IF(J77="Yes",AA77*Tab_Data_Flows[[#This Row],[WC_'[%']]],"N.A.")</f>
        <v>99.821325181445772</v>
      </c>
      <c r="AE77" s="61" t="str">
        <f>Tab_Data_Flows[[#This Row],[UoM_Flow_Py]]</f>
        <v>Mg</v>
      </c>
      <c r="AF77" s="111">
        <f>INDEX(Tab_Def_Flows[[Flow_ID]:[CC_DM_source]],MATCH(Tab_Data_Flows[[#This Row],[Name(EN)]],Tab_Def_Flows[Name(EN)],0),18)</f>
        <v>0.91195000000000004</v>
      </c>
      <c r="AG77" s="112">
        <f>IF(K77="Yes",AF77*Tab_Data_Flows[[#This Row],[Flow_Py]],"N.A.")</f>
        <v>1033.867773983186</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477.64691158023186</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2049</v>
      </c>
      <c r="N78" s="51"/>
      <c r="O78" s="119">
        <v>1604.9715680084216</v>
      </c>
      <c r="P78" s="51" t="s">
        <v>389</v>
      </c>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3"/>
        <v>1604.9715680084216</v>
      </c>
      <c r="AB78" s="51" t="s">
        <v>63</v>
      </c>
      <c r="AC78" s="111">
        <f>INDEX(Tab_Def_Flows[[Flow_ID]:[CC_DM_source]],MATCH(Tab_Data_Flows[[#This Row],[Name(EN)]],Tab_Def_Flows[Name(EN)],0),16)</f>
        <v>8.8049999999999962E-2</v>
      </c>
      <c r="AD78" s="112">
        <f>IF(J78="Yes",AA78*Tab_Data_Flows[[#This Row],[WC_'[%']]],"N.A.")</f>
        <v>141.31774656314147</v>
      </c>
      <c r="AE78" s="61" t="str">
        <f>Tab_Data_Flows[[#This Row],[UoM_Flow_Py]]</f>
        <v>Mg</v>
      </c>
      <c r="AF78" s="111">
        <f>INDEX(Tab_Def_Flows[[Flow_ID]:[CC_DM_source]],MATCH(Tab_Data_Flows[[#This Row],[Name(EN)]],Tab_Def_Flows[Name(EN)],0),18)</f>
        <v>0.91195000000000004</v>
      </c>
      <c r="AG78" s="112">
        <f>IF(K78="Yes",AF78*Tab_Data_Flows[[#This Row],[Flow_Py]],"N.A.")</f>
        <v>1463.6538214452801</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676.20806550771943</v>
      </c>
      <c r="AK78" s="61" t="str">
        <f>Tab_Data_Flows[[#This Row],[UoM_Flow_Py]]</f>
        <v>Mg</v>
      </c>
    </row>
    <row r="79" spans="1:37" ht="15.75" thickBot="1" x14ac:dyDescent="0.3">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2050</v>
      </c>
      <c r="N79" s="51"/>
      <c r="O79" s="119">
        <v>1955.7851702096843</v>
      </c>
      <c r="P79" s="51" t="s">
        <v>389</v>
      </c>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3"/>
        <v>1955.7851702096843</v>
      </c>
      <c r="AB79" s="51" t="s">
        <v>63</v>
      </c>
      <c r="AC79" s="111">
        <f>INDEX(Tab_Def_Flows[[Flow_ID]:[CC_DM_source]],MATCH(Tab_Data_Flows[[#This Row],[Name(EN)]],Tab_Def_Flows[Name(EN)],0),16)</f>
        <v>8.8049999999999962E-2</v>
      </c>
      <c r="AD79" s="112">
        <f>IF(J79="Yes",AA79*Tab_Data_Flows[[#This Row],[WC_'[%']]],"N.A.")</f>
        <v>172.20688423696262</v>
      </c>
      <c r="AE79" s="61" t="str">
        <f>Tab_Data_Flows[[#This Row],[UoM_Flow_Py]]</f>
        <v>Mg</v>
      </c>
      <c r="AF79" s="111">
        <f>INDEX(Tab_Def_Flows[[Flow_ID]:[CC_DM_source]],MATCH(Tab_Data_Flows[[#This Row],[Name(EN)]],Tab_Def_Flows[Name(EN)],0),18)</f>
        <v>0.91195000000000004</v>
      </c>
      <c r="AG79" s="112">
        <f>IF(K79="Yes",AF79*Tab_Data_Flows[[#This Row],[Flow_Py]],"N.A.")</f>
        <v>1783.5782859727217</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824.01316811939739</v>
      </c>
      <c r="AK79" s="61" t="str">
        <f>Tab_Data_Flows[[#This Row],[UoM_Flow_Py]]</f>
        <v>Mg</v>
      </c>
    </row>
    <row r="80" spans="1:37" ht="15.75" thickBot="1" x14ac:dyDescent="0.3">
      <c r="A80" s="60">
        <f t="shared" si="2"/>
        <v>79</v>
      </c>
      <c r="B80" s="49" t="str">
        <f>_xlfn.XLOOKUP(C80,Tab_Def_Flows[Name(EN)],Tab_Def_Flows[Flow_ID],,0,)</f>
        <v>F_08_02</v>
      </c>
      <c r="C80" s="51" t="s">
        <v>491</v>
      </c>
      <c r="D80" s="49">
        <f>_xlfn.XLOOKUP(C80,Tab_Def_Flows[Name(EN)],Tab_Def_Flows[Type_Biomass],,0,)</f>
        <v>0</v>
      </c>
      <c r="E80" s="49" t="str">
        <f>_xlfn.XLOOKUP(C80,Tab_Def_Flows[Name(EN)],Tab_Def_Flows[Output_Process],,0,)</f>
        <v>Water_Import</v>
      </c>
      <c r="F80" s="49" t="str">
        <f>_xlfn.XLOOKUP(C80,Tab_Def_Flows[Name(EN)],Tab_Def_Flows[Process_ID_O],,0,)</f>
        <v>08_Wat_BB</v>
      </c>
      <c r="G80" s="49" t="str">
        <f>_xlfn.XLOOKUP(C80,Tab_Def_Flows[Name(EN)],Tab_Def_Flows[Input_Process],,0,)</f>
        <v>MBC_Production</v>
      </c>
      <c r="H80" s="61" t="str">
        <f>_xlfn.XLOOKUP(C80,Tab_Def_Flows[Name(EN)],Tab_Def_Flows[Process_ID_I],,0,)</f>
        <v>02_MBC_BB</v>
      </c>
      <c r="I80" s="61">
        <f>_xlfn.XLOOKUP(C80,Tab_Def_Flows[Name(EN)],Tab_Def_Flows[Value_Source],,0,)</f>
        <v>0</v>
      </c>
      <c r="J80" s="61" t="str">
        <f>_xlfn.XLOOKUP(C80,Tab_Def_Flows[Name(EN)],Tab_Def_Flows[WC?],,0,)</f>
        <v>Yes</v>
      </c>
      <c r="K80" s="61" t="str">
        <f>_xlfn.XLOOKUP(C80,Tab_Def_Flows[Name(EN)],Tab_Def_Flows[DM?],,0,)</f>
        <v>Yes</v>
      </c>
      <c r="L80" s="61" t="str">
        <f>_xlfn.XLOOKUP(C80,Tab_Def_Flows[Name(EN)],Tab_Def_Flows[CC?],,0,)</f>
        <v>Yes</v>
      </c>
      <c r="M80" s="51">
        <v>2025</v>
      </c>
      <c r="N80" s="51" t="s">
        <v>350</v>
      </c>
      <c r="O80" s="119">
        <v>27014.216366592012</v>
      </c>
      <c r="P80" s="51" t="s">
        <v>389</v>
      </c>
      <c r="Q80" s="51"/>
      <c r="R80" s="51"/>
      <c r="S80" s="51"/>
      <c r="T80" s="51"/>
      <c r="U80" s="51"/>
      <c r="V80" s="51"/>
      <c r="W80" s="51"/>
      <c r="X80" s="51" t="s">
        <v>71</v>
      </c>
      <c r="Y80" s="106"/>
      <c r="Z80" s="51"/>
      <c r="AA80" s="86">
        <f t="shared" si="3"/>
        <v>27014.216366592012</v>
      </c>
      <c r="AB80" s="51" t="s">
        <v>63</v>
      </c>
      <c r="AC80" s="111">
        <f>INDEX(Tab_Def_Flows[[Flow_ID]:[CC_DM_source]],MATCH(Tab_Data_Flows[[#This Row],[Name(EN)]],Tab_Def_Flows[Name(EN)],0),16)</f>
        <v>1</v>
      </c>
      <c r="AD80" s="112">
        <f>IF(J80="Yes",AA80*Tab_Data_Flows[[#This Row],[WC_'[%']]],"N.A.")</f>
        <v>27014.216366592012</v>
      </c>
      <c r="AE80" s="61" t="str">
        <f>Tab_Data_Flows[[#This Row],[UoM_Flow_Py]]</f>
        <v>Mg</v>
      </c>
      <c r="AF80" s="111">
        <f>INDEX(Tab_Def_Flows[[Flow_ID]:[CC_DM_source]],MATCH(Tab_Data_Flows[[#This Row],[Name(EN)]],Tab_Def_Flows[Name(EN)],0),18)</f>
        <v>0</v>
      </c>
      <c r="AG80" s="112">
        <f>IF(K80="Yes",AF80*Tab_Data_Flows[[#This Row],[Flow_Py]],"N.A.")</f>
        <v>0</v>
      </c>
      <c r="AH80" s="61" t="str">
        <f>Tab_Data_Flows[[#This Row],[UoM_Flow_Py]]</f>
        <v>Mg</v>
      </c>
      <c r="AI80" s="111">
        <f>INDEX(Tab_Def_Flows[[Flow_ID]:[CC_DM_source]],MATCH(Tab_Data_Flows[[#This Row],[Name(EN)]],Tab_Def_Flows[Name(EN)],0),20)</f>
        <v>0</v>
      </c>
      <c r="AJ80" s="109">
        <f>IF(L80="Yes",AI80*Tab_Data_Flows[[#This Row],[Flow_Py]]*Tab_Data_Flows[[#This Row],[DM_'[%']]],"N.A.")</f>
        <v>0</v>
      </c>
      <c r="AK80" s="61" t="str">
        <f>Tab_Data_Flows[[#This Row],[UoM_Flow_Py]]</f>
        <v>Mg</v>
      </c>
    </row>
    <row r="81" spans="1:37" ht="15.75" thickBot="1" x14ac:dyDescent="0.3">
      <c r="A81" s="60">
        <f t="shared" si="2"/>
        <v>80</v>
      </c>
      <c r="B81" s="49" t="str">
        <f>_xlfn.XLOOKUP(C81,Tab_Def_Flows[Name(EN)],Tab_Def_Flows[Flow_ID],,0,)</f>
        <v>F_08_02</v>
      </c>
      <c r="C81" s="51" t="s">
        <v>491</v>
      </c>
      <c r="D81" s="49">
        <f>_xlfn.XLOOKUP(C81,Tab_Def_Flows[Name(EN)],Tab_Def_Flows[Type_Biomass],,0,)</f>
        <v>0</v>
      </c>
      <c r="E81" s="49" t="str">
        <f>_xlfn.XLOOKUP(C81,Tab_Def_Flows[Name(EN)],Tab_Def_Flows[Output_Process],,0,)</f>
        <v>Water_Import</v>
      </c>
      <c r="F81" s="49" t="str">
        <f>_xlfn.XLOOKUP(C81,Tab_Def_Flows[Name(EN)],Tab_Def_Flows[Process_ID_O],,0,)</f>
        <v>08_Wat_BB</v>
      </c>
      <c r="G81" s="49" t="str">
        <f>_xlfn.XLOOKUP(C81,Tab_Def_Flows[Name(EN)],Tab_Def_Flows[Input_Process],,0,)</f>
        <v>MBC_Production</v>
      </c>
      <c r="H81" s="61" t="str">
        <f>_xlfn.XLOOKUP(C81,Tab_Def_Flows[Name(EN)],Tab_Def_Flows[Process_ID_I],,0,)</f>
        <v>02_MBC_BB</v>
      </c>
      <c r="I81" s="61">
        <f>_xlfn.XLOOKUP(C81,Tab_Def_Flows[Name(EN)],Tab_Def_Flows[Value_Source],,0,)</f>
        <v>0</v>
      </c>
      <c r="J81" s="61" t="str">
        <f>_xlfn.XLOOKUP(C81,Tab_Def_Flows[Name(EN)],Tab_Def_Flows[WC?],,0,)</f>
        <v>Yes</v>
      </c>
      <c r="K81" s="61" t="str">
        <f>_xlfn.XLOOKUP(C81,Tab_Def_Flows[Name(EN)],Tab_Def_Flows[DM?],,0,)</f>
        <v>Yes</v>
      </c>
      <c r="L81" s="61" t="str">
        <f>_xlfn.XLOOKUP(C81,Tab_Def_Flows[Name(EN)],Tab_Def_Flows[CC?],,0,)</f>
        <v>Yes</v>
      </c>
      <c r="M81" s="51">
        <v>2026</v>
      </c>
      <c r="N81" s="51" t="s">
        <v>350</v>
      </c>
      <c r="O81" s="119">
        <v>22767.428436480008</v>
      </c>
      <c r="P81" s="51" t="s">
        <v>389</v>
      </c>
      <c r="Q81" s="51"/>
      <c r="R81" s="51"/>
      <c r="S81" s="51"/>
      <c r="T81" s="51"/>
      <c r="U81" s="51"/>
      <c r="V81" s="51"/>
      <c r="W81" s="51"/>
      <c r="X81" s="51" t="s">
        <v>71</v>
      </c>
      <c r="Y81" s="106"/>
      <c r="Z81" s="51"/>
      <c r="AA81" s="86">
        <f t="shared" si="3"/>
        <v>22767.428436480008</v>
      </c>
      <c r="AB81" s="51" t="s">
        <v>63</v>
      </c>
      <c r="AC81" s="111">
        <f>INDEX(Tab_Def_Flows[[Flow_ID]:[CC_DM_source]],MATCH(Tab_Data_Flows[[#This Row],[Name(EN)]],Tab_Def_Flows[Name(EN)],0),16)</f>
        <v>1</v>
      </c>
      <c r="AD81" s="112">
        <f>IF(J81="Yes",AA81*Tab_Data_Flows[[#This Row],[WC_'[%']]],"N.A.")</f>
        <v>22767.428436480008</v>
      </c>
      <c r="AE81" s="61" t="str">
        <f>Tab_Data_Flows[[#This Row],[UoM_Flow_Py]]</f>
        <v>Mg</v>
      </c>
      <c r="AF81" s="111">
        <f>INDEX(Tab_Def_Flows[[Flow_ID]:[CC_DM_source]],MATCH(Tab_Data_Flows[[#This Row],[Name(EN)]],Tab_Def_Flows[Name(EN)],0),18)</f>
        <v>0</v>
      </c>
      <c r="AG81" s="112">
        <f>IF(K81="Yes",AF81*Tab_Data_Flows[[#This Row],[Flow_Py]],"N.A.")</f>
        <v>0</v>
      </c>
      <c r="AH81" s="61" t="str">
        <f>Tab_Data_Flows[[#This Row],[UoM_Flow_Py]]</f>
        <v>Mg</v>
      </c>
      <c r="AI81" s="111">
        <f>INDEX(Tab_Def_Flows[[Flow_ID]:[CC_DM_source]],MATCH(Tab_Data_Flows[[#This Row],[Name(EN)]],Tab_Def_Flows[Name(EN)],0),20)</f>
        <v>0</v>
      </c>
      <c r="AJ81" s="109">
        <f>IF(L81="Yes",AI81*Tab_Data_Flows[[#This Row],[Flow_Py]]*Tab_Data_Flows[[#This Row],[DM_'[%']]],"N.A.")</f>
        <v>0</v>
      </c>
      <c r="AK81" s="61" t="str">
        <f>Tab_Data_Flows[[#This Row],[UoM_Flow_Py]]</f>
        <v>Mg</v>
      </c>
    </row>
    <row r="82" spans="1:37" ht="15.75" thickBot="1" x14ac:dyDescent="0.3">
      <c r="A82" s="60">
        <f t="shared" si="2"/>
        <v>81</v>
      </c>
      <c r="B82" s="49" t="str">
        <f>_xlfn.XLOOKUP(C82,Tab_Def_Flows[Name(EN)],Tab_Def_Flows[Flow_ID],,0,)</f>
        <v>F_08_02</v>
      </c>
      <c r="C82" s="51" t="s">
        <v>491</v>
      </c>
      <c r="D82" s="49">
        <f>_xlfn.XLOOKUP(C82,Tab_Def_Flows[Name(EN)],Tab_Def_Flows[Type_Biomass],,0,)</f>
        <v>0</v>
      </c>
      <c r="E82" s="49" t="str">
        <f>_xlfn.XLOOKUP(C82,Tab_Def_Flows[Name(EN)],Tab_Def_Flows[Output_Process],,0,)</f>
        <v>Water_Import</v>
      </c>
      <c r="F82" s="49" t="str">
        <f>_xlfn.XLOOKUP(C82,Tab_Def_Flows[Name(EN)],Tab_Def_Flows[Process_ID_O],,0,)</f>
        <v>08_Wat_BB</v>
      </c>
      <c r="G82" s="49" t="str">
        <f>_xlfn.XLOOKUP(C82,Tab_Def_Flows[Name(EN)],Tab_Def_Flows[Input_Process],,0,)</f>
        <v>MBC_Production</v>
      </c>
      <c r="H82" s="61" t="str">
        <f>_xlfn.XLOOKUP(C82,Tab_Def_Flows[Name(EN)],Tab_Def_Flows[Process_ID_I],,0,)</f>
        <v>02_MBC_BB</v>
      </c>
      <c r="I82" s="61">
        <f>_xlfn.XLOOKUP(C82,Tab_Def_Flows[Name(EN)],Tab_Def_Flows[Value_Source],,0,)</f>
        <v>0</v>
      </c>
      <c r="J82" s="61" t="str">
        <f>_xlfn.XLOOKUP(C82,Tab_Def_Flows[Name(EN)],Tab_Def_Flows[WC?],,0,)</f>
        <v>Yes</v>
      </c>
      <c r="K82" s="61" t="str">
        <f>_xlfn.XLOOKUP(C82,Tab_Def_Flows[Name(EN)],Tab_Def_Flows[DM?],,0,)</f>
        <v>Yes</v>
      </c>
      <c r="L82" s="61" t="str">
        <f>_xlfn.XLOOKUP(C82,Tab_Def_Flows[Name(EN)],Tab_Def_Flows[CC?],,0,)</f>
        <v>Yes</v>
      </c>
      <c r="M82" s="51">
        <v>2027</v>
      </c>
      <c r="N82" s="51" t="s">
        <v>350</v>
      </c>
      <c r="O82" s="119">
        <v>28023.969931776006</v>
      </c>
      <c r="P82" s="51" t="s">
        <v>389</v>
      </c>
      <c r="Q82" s="51"/>
      <c r="R82" s="51"/>
      <c r="S82" s="51"/>
      <c r="T82" s="51"/>
      <c r="U82" s="51"/>
      <c r="V82" s="51"/>
      <c r="W82" s="51"/>
      <c r="X82" s="51" t="s">
        <v>71</v>
      </c>
      <c r="Y82" s="106"/>
      <c r="Z82" s="51"/>
      <c r="AA82" s="86">
        <f t="shared" si="3"/>
        <v>28023.969931776006</v>
      </c>
      <c r="AB82" s="51" t="s">
        <v>63</v>
      </c>
      <c r="AC82" s="111">
        <f>INDEX(Tab_Def_Flows[[Flow_ID]:[CC_DM_source]],MATCH(Tab_Data_Flows[[#This Row],[Name(EN)]],Tab_Def_Flows[Name(EN)],0),16)</f>
        <v>1</v>
      </c>
      <c r="AD82" s="112">
        <f>IF(J82="Yes",AA82*Tab_Data_Flows[[#This Row],[WC_'[%']]],"N.A.")</f>
        <v>28023.969931776006</v>
      </c>
      <c r="AE82" s="61" t="str">
        <f>Tab_Data_Flows[[#This Row],[UoM_Flow_Py]]</f>
        <v>Mg</v>
      </c>
      <c r="AF82" s="111">
        <f>INDEX(Tab_Def_Flows[[Flow_ID]:[CC_DM_source]],MATCH(Tab_Data_Flows[[#This Row],[Name(EN)]],Tab_Def_Flows[Name(EN)],0),18)</f>
        <v>0</v>
      </c>
      <c r="AG82" s="112">
        <f>IF(K82="Yes",AF82*Tab_Data_Flows[[#This Row],[Flow_Py]],"N.A.")</f>
        <v>0</v>
      </c>
      <c r="AH82" s="61" t="str">
        <f>Tab_Data_Flows[[#This Row],[UoM_Flow_Py]]</f>
        <v>Mg</v>
      </c>
      <c r="AI82" s="111">
        <f>INDEX(Tab_Def_Flows[[Flow_ID]:[CC_DM_source]],MATCH(Tab_Data_Flows[[#This Row],[Name(EN)]],Tab_Def_Flows[Name(EN)],0),20)</f>
        <v>0</v>
      </c>
      <c r="AJ82" s="109">
        <f>IF(L82="Yes",AI82*Tab_Data_Flows[[#This Row],[Flow_Py]]*Tab_Data_Flows[[#This Row],[DM_'[%']]],"N.A.")</f>
        <v>0</v>
      </c>
      <c r="AK82" s="61" t="str">
        <f>Tab_Data_Flows[[#This Row],[UoM_Flow_Py]]</f>
        <v>Mg</v>
      </c>
    </row>
    <row r="83" spans="1:37" x14ac:dyDescent="0.25">
      <c r="A83" s="60">
        <f t="shared" si="2"/>
        <v>82</v>
      </c>
      <c r="B83" s="49" t="str">
        <f>_xlfn.XLOOKUP(C83,Tab_Def_Flows[Name(EN)],Tab_Def_Flows[Flow_ID],,0,)</f>
        <v>F_08_02</v>
      </c>
      <c r="C83" s="51" t="s">
        <v>491</v>
      </c>
      <c r="D83" s="49">
        <f>_xlfn.XLOOKUP(C83,Tab_Def_Flows[Name(EN)],Tab_Def_Flows[Type_Biomass],,0,)</f>
        <v>0</v>
      </c>
      <c r="E83" s="49" t="str">
        <f>_xlfn.XLOOKUP(C83,Tab_Def_Flows[Name(EN)],Tab_Def_Flows[Output_Process],,0,)</f>
        <v>Water_Import</v>
      </c>
      <c r="F83" s="49" t="str">
        <f>_xlfn.XLOOKUP(C83,Tab_Def_Flows[Name(EN)],Tab_Def_Flows[Process_ID_O],,0,)</f>
        <v>08_Wat_BB</v>
      </c>
      <c r="G83" s="49" t="str">
        <f>_xlfn.XLOOKUP(C83,Tab_Def_Flows[Name(EN)],Tab_Def_Flows[Input_Process],,0,)</f>
        <v>MBC_Production</v>
      </c>
      <c r="H83" s="61" t="str">
        <f>_xlfn.XLOOKUP(C83,Tab_Def_Flows[Name(EN)],Tab_Def_Flows[Process_ID_I],,0,)</f>
        <v>02_MBC_BB</v>
      </c>
      <c r="I83" s="61">
        <f>_xlfn.XLOOKUP(C83,Tab_Def_Flows[Name(EN)],Tab_Def_Flows[Value_Source],,0,)</f>
        <v>0</v>
      </c>
      <c r="J83" s="61" t="str">
        <f>_xlfn.XLOOKUP(C83,Tab_Def_Flows[Name(EN)],Tab_Def_Flows[WC?],,0,)</f>
        <v>Yes</v>
      </c>
      <c r="K83" s="61" t="str">
        <f>_xlfn.XLOOKUP(C83,Tab_Def_Flows[Name(EN)],Tab_Def_Flows[DM?],,0,)</f>
        <v>Yes</v>
      </c>
      <c r="L83" s="61" t="str">
        <f>_xlfn.XLOOKUP(C83,Tab_Def_Flows[Name(EN)],Tab_Def_Flows[CC?],,0,)</f>
        <v>Yes</v>
      </c>
      <c r="M83" s="51">
        <v>2028</v>
      </c>
      <c r="N83" s="51" t="s">
        <v>350</v>
      </c>
      <c r="O83" s="119">
        <v>33878.357001216013</v>
      </c>
      <c r="P83" s="51" t="s">
        <v>389</v>
      </c>
      <c r="Q83" s="51"/>
      <c r="R83" s="51"/>
      <c r="S83" s="51"/>
      <c r="T83" s="51"/>
      <c r="U83" s="51"/>
      <c r="V83" s="51"/>
      <c r="W83" s="51"/>
      <c r="X83" s="51" t="s">
        <v>71</v>
      </c>
      <c r="Y83" s="106"/>
      <c r="Z83" s="51"/>
      <c r="AA83" s="86">
        <f t="shared" si="3"/>
        <v>33878.357001216013</v>
      </c>
      <c r="AB83" s="51" t="s">
        <v>63</v>
      </c>
      <c r="AC83" s="111">
        <f>INDEX(Tab_Def_Flows[[Flow_ID]:[CC_DM_source]],MATCH(Tab_Data_Flows[[#This Row],[Name(EN)]],Tab_Def_Flows[Name(EN)],0),16)</f>
        <v>1</v>
      </c>
      <c r="AD83" s="112">
        <f>IF(J83="Yes",AA83*Tab_Data_Flows[[#This Row],[WC_'[%']]],"N.A.")</f>
        <v>33878.357001216013</v>
      </c>
      <c r="AE83" s="61" t="str">
        <f>Tab_Data_Flows[[#This Row],[UoM_Flow_Py]]</f>
        <v>Mg</v>
      </c>
      <c r="AF83" s="111">
        <f>INDEX(Tab_Def_Flows[[Flow_ID]:[CC_DM_source]],MATCH(Tab_Data_Flows[[#This Row],[Name(EN)]],Tab_Def_Flows[Name(EN)],0),18)</f>
        <v>0</v>
      </c>
      <c r="AG83" s="112">
        <f>IF(K83="Yes",AF83*Tab_Data_Flows[[#This Row],[Flow_Py]],"N.A.")</f>
        <v>0</v>
      </c>
      <c r="AH83" s="61" t="str">
        <f>Tab_Data_Flows[[#This Row],[UoM_Flow_Py]]</f>
        <v>Mg</v>
      </c>
      <c r="AI83" s="111">
        <f>INDEX(Tab_Def_Flows[[Flow_ID]:[CC_DM_source]],MATCH(Tab_Data_Flows[[#This Row],[Name(EN)]],Tab_Def_Flows[Name(EN)],0),20)</f>
        <v>0</v>
      </c>
      <c r="AJ83" s="109">
        <f>IF(L83="Yes",AI83*Tab_Data_Flows[[#This Row],[Flow_Py]]*Tab_Data_Flows[[#This Row],[DM_'[%']]],"N.A.")</f>
        <v>0</v>
      </c>
      <c r="AK83" s="61" t="str">
        <f>Tab_Data_Flows[[#This Row],[UoM_Flow_Py]]</f>
        <v>Mg</v>
      </c>
    </row>
    <row r="84" spans="1:37" x14ac:dyDescent="0.25">
      <c r="A84" s="60"/>
      <c r="B84" s="49" t="str">
        <f>_xlfn.XLOOKUP(C84,Tab_Def_Flows[Name(EN)],Tab_Def_Flows[Flow_ID],,0,)</f>
        <v>F_08_02</v>
      </c>
      <c r="C84" s="51" t="s">
        <v>491</v>
      </c>
      <c r="D84" s="49"/>
      <c r="E84" s="49" t="str">
        <f>_xlfn.XLOOKUP(C84,Tab_Def_Flows[Name(EN)],Tab_Def_Flows[Output_Process],,0,)</f>
        <v>Water_Import</v>
      </c>
      <c r="F84" s="49" t="str">
        <f>_xlfn.XLOOKUP(C84,Tab_Def_Flows[Name(EN)],Tab_Def_Flows[Process_ID_O],,0,)</f>
        <v>08_Wat_BB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2029</v>
      </c>
      <c r="N84" s="51"/>
      <c r="O84" s="119">
        <v>22126.241539584007</v>
      </c>
      <c r="P84" s="51" t="s">
        <v>389</v>
      </c>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3"/>
        <v>22126.241539584007</v>
      </c>
      <c r="AB84" s="51" t="s">
        <v>63</v>
      </c>
      <c r="AC84" s="111">
        <f>INDEX(Tab_Def_Flows[[Flow_ID]:[CC_DM_source]],MATCH(Tab_Data_Flows[[#This Row],[Name(EN)]],Tab_Def_Flows[Name(EN)],0),16)</f>
        <v>1</v>
      </c>
      <c r="AD84" s="112">
        <f>IF(J84="Yes",AA84*Tab_Data_Flows[[#This Row],[WC_'[%']]],"N.A.")</f>
        <v>22126.241539584007</v>
      </c>
      <c r="AE84" s="61" t="str">
        <f>Tab_Data_Flows[[#This Row],[UoM_Flow_Py]]</f>
        <v>Mg</v>
      </c>
      <c r="AF84" s="111">
        <f>INDEX(Tab_Def_Flows[[Flow_ID]:[CC_DM_source]],MATCH(Tab_Data_Flows[[#This Row],[Name(EN)]],Tab_Def_Flows[Name(EN)],0),18)</f>
        <v>0</v>
      </c>
      <c r="AG84" s="112">
        <f>IF(K84="Yes",AF84*Tab_Data_Flows[[#This Row],[Flow_Py]],"N.A.")</f>
        <v>0</v>
      </c>
      <c r="AH84" s="61" t="str">
        <f>Tab_Data_Flows[[#This Row],[UoM_Flow_Py]]</f>
        <v>Mg</v>
      </c>
      <c r="AI84" s="111">
        <f>INDEX(Tab_Def_Flows[[Flow_ID]:[CC_DM_source]],MATCH(Tab_Data_Flows[[#This Row],[Name(EN)]],Tab_Def_Flows[Name(EN)],0),20)</f>
        <v>0</v>
      </c>
      <c r="AJ84" s="112">
        <f>IF(L84="Yes",AI84*Tab_Data_Flows[[#This Row],[Flow_Py]]*Tab_Data_Flows[[#This Row],[DM_'[%']]],"N.A.")</f>
        <v>0</v>
      </c>
      <c r="AK84" s="61" t="str">
        <f>Tab_Data_Flows[[#This Row],[UoM_Flow_Py]]</f>
        <v>Mg</v>
      </c>
    </row>
    <row r="85" spans="1:37" x14ac:dyDescent="0.25">
      <c r="A85" s="60"/>
      <c r="B85" s="49" t="str">
        <f>_xlfn.XLOOKUP(C85,Tab_Def_Flows[Name(EN)],Tab_Def_Flows[Flow_ID],,0,)</f>
        <v>F_08_02</v>
      </c>
      <c r="C85" s="51" t="s">
        <v>491</v>
      </c>
      <c r="D85" s="49"/>
      <c r="E85" s="49" t="str">
        <f>_xlfn.XLOOKUP(C85,Tab_Def_Flows[Name(EN)],Tab_Def_Flows[Output_Process],,0,)</f>
        <v>Water_Import</v>
      </c>
      <c r="F85" s="49" t="str">
        <f>_xlfn.XLOOKUP(C85,Tab_Def_Flows[Name(EN)],Tab_Def_Flows[Process_ID_O],,0,)</f>
        <v>08_Wat_BB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2030</v>
      </c>
      <c r="N85" s="51"/>
      <c r="O85" s="119">
        <v>22126.241539584007</v>
      </c>
      <c r="P85" s="51" t="s">
        <v>389</v>
      </c>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3"/>
        <v>22126.241539584007</v>
      </c>
      <c r="AB85" s="51" t="s">
        <v>63</v>
      </c>
      <c r="AC85" s="111">
        <f>INDEX(Tab_Def_Flows[[Flow_ID]:[CC_DM_source]],MATCH(Tab_Data_Flows[[#This Row],[Name(EN)]],Tab_Def_Flows[Name(EN)],0),16)</f>
        <v>1</v>
      </c>
      <c r="AD85" s="112">
        <f>IF(J85="Yes",AA85*Tab_Data_Flows[[#This Row],[WC_'[%']]],"N.A.")</f>
        <v>22126.241539584007</v>
      </c>
      <c r="AE85" s="61" t="str">
        <f>Tab_Data_Flows[[#This Row],[UoM_Flow_Py]]</f>
        <v>Mg</v>
      </c>
      <c r="AF85" s="111">
        <f>INDEX(Tab_Def_Flows[[Flow_ID]:[CC_DM_source]],MATCH(Tab_Data_Flows[[#This Row],[Name(EN)]],Tab_Def_Flows[Name(EN)],0),18)</f>
        <v>0</v>
      </c>
      <c r="AG85" s="112">
        <f>IF(K85="Yes",AF85*Tab_Data_Flows[[#This Row],[Flow_Py]],"N.A.")</f>
        <v>0</v>
      </c>
      <c r="AH85" s="61" t="str">
        <f>Tab_Data_Flows[[#This Row],[UoM_Flow_Py]]</f>
        <v>Mg</v>
      </c>
      <c r="AI85" s="111">
        <f>INDEX(Tab_Def_Flows[[Flow_ID]:[CC_DM_source]],MATCH(Tab_Data_Flows[[#This Row],[Name(EN)]],Tab_Def_Flows[Name(EN)],0),20)</f>
        <v>0</v>
      </c>
      <c r="AJ85" s="112">
        <f>IF(L85="Yes",AI85*Tab_Data_Flows[[#This Row],[Flow_Py]]*Tab_Data_Flows[[#This Row],[DM_'[%']]],"N.A.")</f>
        <v>0</v>
      </c>
      <c r="AK85" s="61" t="str">
        <f>Tab_Data_Flows[[#This Row],[UoM_Flow_Py]]</f>
        <v>Mg</v>
      </c>
    </row>
    <row r="86" spans="1:37" x14ac:dyDescent="0.25">
      <c r="A86" s="60"/>
      <c r="B86" s="49" t="str">
        <f>_xlfn.XLOOKUP(C86,Tab_Def_Flows[Name(EN)],Tab_Def_Flows[Flow_ID],,0,)</f>
        <v>F_08_02</v>
      </c>
      <c r="C86" s="51" t="s">
        <v>491</v>
      </c>
      <c r="D86" s="49"/>
      <c r="E86" s="49" t="str">
        <f>_xlfn.XLOOKUP(C86,Tab_Def_Flows[Name(EN)],Tab_Def_Flows[Output_Process],,0,)</f>
        <v>Water_Import</v>
      </c>
      <c r="F86" s="49" t="str">
        <f>_xlfn.XLOOKUP(C86,Tab_Def_Flows[Name(EN)],Tab_Def_Flows[Process_ID_O],,0,)</f>
        <v>08_Wat_BB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2031</v>
      </c>
      <c r="N86" s="51"/>
      <c r="O86" s="119">
        <v>34253.871515136008</v>
      </c>
      <c r="P86" s="51" t="s">
        <v>389</v>
      </c>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3"/>
        <v>34253.871515136008</v>
      </c>
      <c r="AB86" s="51" t="s">
        <v>63</v>
      </c>
      <c r="AC86" s="111">
        <f>INDEX(Tab_Def_Flows[[Flow_ID]:[CC_DM_source]],MATCH(Tab_Data_Flows[[#This Row],[Name(EN)]],Tab_Def_Flows[Name(EN)],0),16)</f>
        <v>1</v>
      </c>
      <c r="AD86" s="112">
        <f>IF(J86="Yes",AA86*Tab_Data_Flows[[#This Row],[WC_'[%']]],"N.A.")</f>
        <v>34253.871515136008</v>
      </c>
      <c r="AE86" s="61" t="str">
        <f>Tab_Data_Flows[[#This Row],[UoM_Flow_Py]]</f>
        <v>Mg</v>
      </c>
      <c r="AF86" s="111">
        <f>INDEX(Tab_Def_Flows[[Flow_ID]:[CC_DM_source]],MATCH(Tab_Data_Flows[[#This Row],[Name(EN)]],Tab_Def_Flows[Name(EN)],0),18)</f>
        <v>0</v>
      </c>
      <c r="AG86" s="112">
        <f>IF(K86="Yes",AF86*Tab_Data_Flows[[#This Row],[Flow_Py]],"N.A.")</f>
        <v>0</v>
      </c>
      <c r="AH86" s="61" t="str">
        <f>Tab_Data_Flows[[#This Row],[UoM_Flow_Py]]</f>
        <v>Mg</v>
      </c>
      <c r="AI86" s="111">
        <f>INDEX(Tab_Def_Flows[[Flow_ID]:[CC_DM_source]],MATCH(Tab_Data_Flows[[#This Row],[Name(EN)]],Tab_Def_Flows[Name(EN)],0),20)</f>
        <v>0</v>
      </c>
      <c r="AJ86" s="112">
        <f>IF(L86="Yes",AI86*Tab_Data_Flows[[#This Row],[Flow_Py]]*Tab_Data_Flows[[#This Row],[DM_'[%']]],"N.A.")</f>
        <v>0</v>
      </c>
      <c r="AK86" s="61" t="str">
        <f>Tab_Data_Flows[[#This Row],[UoM_Flow_Py]]</f>
        <v>Mg</v>
      </c>
    </row>
    <row r="87" spans="1:37" x14ac:dyDescent="0.25">
      <c r="A87" s="60"/>
      <c r="B87" s="49" t="str">
        <f>_xlfn.XLOOKUP(C87,Tab_Def_Flows[Name(EN)],Tab_Def_Flows[Flow_ID],,0,)</f>
        <v>F_08_02</v>
      </c>
      <c r="C87" s="51" t="s">
        <v>491</v>
      </c>
      <c r="D87" s="49"/>
      <c r="E87" s="49" t="str">
        <f>_xlfn.XLOOKUP(C87,Tab_Def_Flows[Name(EN)],Tab_Def_Flows[Output_Process],,0,)</f>
        <v>Water_Import</v>
      </c>
      <c r="F87" s="49" t="str">
        <f>_xlfn.XLOOKUP(C87,Tab_Def_Flows[Name(EN)],Tab_Def_Flows[Process_ID_O],,0,)</f>
        <v>08_Wat_BB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2032</v>
      </c>
      <c r="N87" s="51"/>
      <c r="O87" s="119">
        <v>28824.626428416013</v>
      </c>
      <c r="P87" s="51" t="s">
        <v>389</v>
      </c>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3"/>
        <v>28824.626428416013</v>
      </c>
      <c r="AB87" s="51" t="s">
        <v>63</v>
      </c>
      <c r="AC87" s="111">
        <f>INDEX(Tab_Def_Flows[[Flow_ID]:[CC_DM_source]],MATCH(Tab_Data_Flows[[#This Row],[Name(EN)]],Tab_Def_Flows[Name(EN)],0),16)</f>
        <v>1</v>
      </c>
      <c r="AD87" s="112">
        <f>IF(J87="Yes",AA87*Tab_Data_Flows[[#This Row],[WC_'[%']]],"N.A.")</f>
        <v>28824.626428416013</v>
      </c>
      <c r="AE87" s="61" t="str">
        <f>Tab_Data_Flows[[#This Row],[UoM_Flow_Py]]</f>
        <v>Mg</v>
      </c>
      <c r="AF87" s="111">
        <f>INDEX(Tab_Def_Flows[[Flow_ID]:[CC_DM_source]],MATCH(Tab_Data_Flows[[#This Row],[Name(EN)]],Tab_Def_Flows[Name(EN)],0),18)</f>
        <v>0</v>
      </c>
      <c r="AG87" s="112">
        <f>IF(K87="Yes",AF87*Tab_Data_Flows[[#This Row],[Flow_Py]],"N.A.")</f>
        <v>0</v>
      </c>
      <c r="AH87" s="61" t="str">
        <f>Tab_Data_Flows[[#This Row],[UoM_Flow_Py]]</f>
        <v>Mg</v>
      </c>
      <c r="AI87" s="111">
        <f>INDEX(Tab_Def_Flows[[Flow_ID]:[CC_DM_source]],MATCH(Tab_Data_Flows[[#This Row],[Name(EN)]],Tab_Def_Flows[Name(EN)],0),20)</f>
        <v>0</v>
      </c>
      <c r="AJ87" s="112">
        <f>IF(L87="Yes",AI87*Tab_Data_Flows[[#This Row],[Flow_Py]]*Tab_Data_Flows[[#This Row],[DM_'[%']]],"N.A.")</f>
        <v>0</v>
      </c>
      <c r="AK87" s="61" t="str">
        <f>Tab_Data_Flows[[#This Row],[UoM_Flow_Py]]</f>
        <v>Mg</v>
      </c>
    </row>
    <row r="88" spans="1:37" x14ac:dyDescent="0.25">
      <c r="A88" s="60"/>
      <c r="B88" s="49" t="str">
        <f>_xlfn.XLOOKUP(C88,Tab_Def_Flows[Name(EN)],Tab_Def_Flows[Flow_ID],,0,)</f>
        <v>F_08_02</v>
      </c>
      <c r="C88" s="51" t="s">
        <v>491</v>
      </c>
      <c r="D88" s="49"/>
      <c r="E88" s="49" t="str">
        <f>_xlfn.XLOOKUP(C88,Tab_Def_Flows[Name(EN)],Tab_Def_Flows[Output_Process],,0,)</f>
        <v>Water_Import</v>
      </c>
      <c r="F88" s="49" t="str">
        <f>_xlfn.XLOOKUP(C88,Tab_Def_Flows[Name(EN)],Tab_Def_Flows[Process_ID_O],,0,)</f>
        <v>08_Wat_BB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2033</v>
      </c>
      <c r="N88" s="51"/>
      <c r="O88" s="119">
        <v>20552.389079040007</v>
      </c>
      <c r="P88" s="51" t="s">
        <v>389</v>
      </c>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3"/>
        <v>20552.389079040007</v>
      </c>
      <c r="AB88" s="51" t="s">
        <v>63</v>
      </c>
      <c r="AC88" s="111">
        <f>INDEX(Tab_Def_Flows[[Flow_ID]:[CC_DM_source]],MATCH(Tab_Data_Flows[[#This Row],[Name(EN)]],Tab_Def_Flows[Name(EN)],0),16)</f>
        <v>1</v>
      </c>
      <c r="AD88" s="112">
        <f>IF(J88="Yes",AA88*Tab_Data_Flows[[#This Row],[WC_'[%']]],"N.A.")</f>
        <v>20552.389079040007</v>
      </c>
      <c r="AE88" s="61" t="str">
        <f>Tab_Data_Flows[[#This Row],[UoM_Flow_Py]]</f>
        <v>Mg</v>
      </c>
      <c r="AF88" s="111">
        <f>INDEX(Tab_Def_Flows[[Flow_ID]:[CC_DM_source]],MATCH(Tab_Data_Flows[[#This Row],[Name(EN)]],Tab_Def_Flows[Name(EN)],0),18)</f>
        <v>0</v>
      </c>
      <c r="AG88" s="112">
        <f>IF(K88="Yes",AF88*Tab_Data_Flows[[#This Row],[Flow_Py]],"N.A.")</f>
        <v>0</v>
      </c>
      <c r="AH88" s="61" t="str">
        <f>Tab_Data_Flows[[#This Row],[UoM_Flow_Py]]</f>
        <v>Mg</v>
      </c>
      <c r="AI88" s="111">
        <f>INDEX(Tab_Def_Flows[[Flow_ID]:[CC_DM_source]],MATCH(Tab_Data_Flows[[#This Row],[Name(EN)]],Tab_Def_Flows[Name(EN)],0),20)</f>
        <v>0</v>
      </c>
      <c r="AJ88" s="112">
        <f>IF(L88="Yes",AI88*Tab_Data_Flows[[#This Row],[Flow_Py]]*Tab_Data_Flows[[#This Row],[DM_'[%']]],"N.A.")</f>
        <v>0</v>
      </c>
      <c r="AK88" s="61" t="str">
        <f>Tab_Data_Flows[[#This Row],[UoM_Flow_Py]]</f>
        <v>Mg</v>
      </c>
    </row>
    <row r="89" spans="1:37" x14ac:dyDescent="0.25">
      <c r="A89" s="60"/>
      <c r="B89" s="49" t="str">
        <f>_xlfn.XLOOKUP(C89,Tab_Def_Flows[Name(EN)],Tab_Def_Flows[Flow_ID],,0,)</f>
        <v>F_08_02</v>
      </c>
      <c r="C89" s="51" t="s">
        <v>491</v>
      </c>
      <c r="D89" s="49"/>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49">
        <f>_xlfn.XLOOKUP(C89,Tab_Def_Flows[Name(EN)],Tab_Def_Flows[Value_Source],,0,)</f>
        <v>0</v>
      </c>
      <c r="J89" s="49" t="str">
        <f>_xlfn.XLOOKUP(C89,Tab_Def_Flows[Name(EN)],Tab_Def_Flows[WC?],,0,)</f>
        <v>Yes</v>
      </c>
      <c r="K89" s="49" t="str">
        <f>_xlfn.XLOOKUP(C89,Tab_Def_Flows[Name(EN)],Tab_Def_Flows[DM?],,0,)</f>
        <v>Yes</v>
      </c>
      <c r="L89" s="49" t="str">
        <f>_xlfn.XLOOKUP(C89,Tab_Def_Flows[Name(EN)],Tab_Def_Flows[CC?],,0,)</f>
        <v>Yes</v>
      </c>
      <c r="M89" s="51">
        <v>2034</v>
      </c>
      <c r="N89" s="51"/>
      <c r="O89" s="119">
        <v>27320.914123776009</v>
      </c>
      <c r="P89" s="51" t="s">
        <v>389</v>
      </c>
      <c r="Q89" s="51"/>
      <c r="R89" s="51" t="e">
        <f>INDEX(Tab_WC_DM_CC[[Flow_ID]:[CC_source]],MATCH(Tab_Data_Flows[[#This Row],[Name(EN)]],Tab_WC_DM_CC[Name(EN)],0),12)</f>
        <v>#N/A</v>
      </c>
      <c r="S89" s="51" t="e">
        <f>MATCH(Tab_Data_Flows[[#This Row],[Name(EN)]],Tab_WC_DM_CC[Name(EN)],0)</f>
        <v>#N/A</v>
      </c>
      <c r="T89" s="51"/>
      <c r="U89" s="51"/>
      <c r="V89" s="51"/>
      <c r="W89" s="51"/>
      <c r="X89" s="51" t="s">
        <v>71</v>
      </c>
      <c r="Y89" s="51"/>
      <c r="Z89" s="51" t="str">
        <f>'3_1_Calculation_factors (Wood)'!$A$14</f>
        <v>Mittelwert</v>
      </c>
      <c r="AA89" s="86">
        <f t="shared" si="3"/>
        <v>27320.914123776009</v>
      </c>
      <c r="AB89" s="51" t="s">
        <v>63</v>
      </c>
      <c r="AC89" s="111">
        <f>INDEX(Tab_Def_Flows[[Flow_ID]:[CC_DM_source]],MATCH(Tab_Data_Flows[[#This Row],[Name(EN)]],Tab_Def_Flows[Name(EN)],0),16)</f>
        <v>1</v>
      </c>
      <c r="AD89" s="112">
        <f>IF(J89="Yes",AA89*Tab_Data_Flows[[#This Row],[WC_'[%']]],"N.A.")</f>
        <v>27320.914123776009</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12">
        <f>IF(L89="Yes",AI89*Tab_Data_Flows[[#This Row],[Flow_Py]]*Tab_Data_Flows[[#This Row],[DM_'[%']]],"N.A.")</f>
        <v>0</v>
      </c>
      <c r="AK89" s="61" t="str">
        <f>Tab_Data_Flows[[#This Row],[UoM_Flow_Py]]</f>
        <v>Mg</v>
      </c>
    </row>
    <row r="90" spans="1:37" x14ac:dyDescent="0.25">
      <c r="A90" s="60"/>
      <c r="B90" s="49" t="str">
        <f>_xlfn.XLOOKUP(C90,Tab_Def_Flows[Name(EN)],Tab_Def_Flows[Flow_ID],,0,)</f>
        <v>F_08_02</v>
      </c>
      <c r="C90" s="51" t="s">
        <v>491</v>
      </c>
      <c r="D90" s="49"/>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49">
        <f>_xlfn.XLOOKUP(C90,Tab_Def_Flows[Name(EN)],Tab_Def_Flows[Value_Source],,0,)</f>
        <v>0</v>
      </c>
      <c r="J90" s="49" t="str">
        <f>_xlfn.XLOOKUP(C90,Tab_Def_Flows[Name(EN)],Tab_Def_Flows[WC?],,0,)</f>
        <v>Yes</v>
      </c>
      <c r="K90" s="49" t="str">
        <f>_xlfn.XLOOKUP(C90,Tab_Def_Flows[Name(EN)],Tab_Def_Flows[DM?],,0,)</f>
        <v>Yes</v>
      </c>
      <c r="L90" s="49" t="str">
        <f>_xlfn.XLOOKUP(C90,Tab_Def_Flows[Name(EN)],Tab_Def_Flows[CC?],,0,)</f>
        <v>Yes</v>
      </c>
      <c r="M90" s="51">
        <v>2035</v>
      </c>
      <c r="N90" s="51"/>
      <c r="O90" s="119">
        <v>20592.752753664005</v>
      </c>
      <c r="P90" s="51" t="s">
        <v>389</v>
      </c>
      <c r="Q90" s="51"/>
      <c r="R90" s="51" t="e">
        <f>INDEX(Tab_WC_DM_CC[[Flow_ID]:[CC_source]],MATCH(Tab_Data_Flows[[#This Row],[Name(EN)]],Tab_WC_DM_CC[Name(EN)],0),12)</f>
        <v>#N/A</v>
      </c>
      <c r="S90" s="51" t="e">
        <f>MATCH(Tab_Data_Flows[[#This Row],[Name(EN)]],Tab_WC_DM_CC[Name(EN)],0)</f>
        <v>#N/A</v>
      </c>
      <c r="T90" s="51"/>
      <c r="U90" s="51"/>
      <c r="V90" s="51"/>
      <c r="W90" s="51"/>
      <c r="X90" s="51" t="s">
        <v>71</v>
      </c>
      <c r="Y90" s="51"/>
      <c r="Z90" s="51" t="str">
        <f>'3_1_Calculation_factors (Wood)'!$A$14</f>
        <v>Mittelwert</v>
      </c>
      <c r="AA90" s="86">
        <f t="shared" si="3"/>
        <v>20592.752753664005</v>
      </c>
      <c r="AB90" s="51" t="s">
        <v>63</v>
      </c>
      <c r="AC90" s="111">
        <f>INDEX(Tab_Def_Flows[[Flow_ID]:[CC_DM_source]],MATCH(Tab_Data_Flows[[#This Row],[Name(EN)]],Tab_Def_Flows[Name(EN)],0),16)</f>
        <v>1</v>
      </c>
      <c r="AD90" s="112">
        <f>IF(J90="Yes",AA90*Tab_Data_Flows[[#This Row],[WC_'[%']]],"N.A.")</f>
        <v>20592.752753664005</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12">
        <f>IF(L90="Yes",AI90*Tab_Data_Flows[[#This Row],[Flow_Py]]*Tab_Data_Flows[[#This Row],[DM_'[%']]],"N.A.")</f>
        <v>0</v>
      </c>
      <c r="AK90" s="61" t="str">
        <f>Tab_Data_Flows[[#This Row],[UoM_Flow_Py]]</f>
        <v>Mg</v>
      </c>
    </row>
    <row r="91" spans="1:37" x14ac:dyDescent="0.25">
      <c r="A91" s="60"/>
      <c r="B91" s="49" t="str">
        <f>_xlfn.XLOOKUP(C91,Tab_Def_Flows[Name(EN)],Tab_Def_Flows[Flow_ID],,0,)</f>
        <v>F_08_02</v>
      </c>
      <c r="C91" s="51" t="s">
        <v>491</v>
      </c>
      <c r="D91" s="49"/>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49">
        <f>_xlfn.XLOOKUP(C91,Tab_Def_Flows[Name(EN)],Tab_Def_Flows[Value_Source],,0,)</f>
        <v>0</v>
      </c>
      <c r="J91" s="49" t="str">
        <f>_xlfn.XLOOKUP(C91,Tab_Def_Flows[Name(EN)],Tab_Def_Flows[WC?],,0,)</f>
        <v>Yes</v>
      </c>
      <c r="K91" s="49" t="str">
        <f>_xlfn.XLOOKUP(C91,Tab_Def_Flows[Name(EN)],Tab_Def_Flows[DM?],,0,)</f>
        <v>Yes</v>
      </c>
      <c r="L91" s="49" t="str">
        <f>_xlfn.XLOOKUP(C91,Tab_Def_Flows[Name(EN)],Tab_Def_Flows[CC?],,0,)</f>
        <v>Yes</v>
      </c>
      <c r="M91" s="51">
        <v>2036</v>
      </c>
      <c r="N91" s="51"/>
      <c r="O91" s="119">
        <v>20577.202813440006</v>
      </c>
      <c r="P91" s="51" t="s">
        <v>389</v>
      </c>
      <c r="Q91" s="51"/>
      <c r="R91" s="51" t="e">
        <f>INDEX(Tab_WC_DM_CC[[Flow_ID]:[CC_source]],MATCH(Tab_Data_Flows[[#This Row],[Name(EN)]],Tab_WC_DM_CC[Name(EN)],0),12)</f>
        <v>#N/A</v>
      </c>
      <c r="S91" s="51" t="e">
        <f>MATCH(Tab_Data_Flows[[#This Row],[Name(EN)]],Tab_WC_DM_CC[Name(EN)],0)</f>
        <v>#N/A</v>
      </c>
      <c r="T91" s="51"/>
      <c r="U91" s="51"/>
      <c r="V91" s="51"/>
      <c r="W91" s="51"/>
      <c r="X91" s="51" t="s">
        <v>71</v>
      </c>
      <c r="Y91" s="51"/>
      <c r="Z91" s="51" t="str">
        <f>'3_1_Calculation_factors (Wood)'!$A$14</f>
        <v>Mittelwert</v>
      </c>
      <c r="AA91" s="86">
        <f t="shared" si="3"/>
        <v>20577.202813440006</v>
      </c>
      <c r="AB91" s="51" t="s">
        <v>63</v>
      </c>
      <c r="AC91" s="111">
        <f>INDEX(Tab_Def_Flows[[Flow_ID]:[CC_DM_source]],MATCH(Tab_Data_Flows[[#This Row],[Name(EN)]],Tab_Def_Flows[Name(EN)],0),16)</f>
        <v>1</v>
      </c>
      <c r="AD91" s="112">
        <f>IF(J91="Yes",AA91*Tab_Data_Flows[[#This Row],[WC_'[%']]],"N.A.")</f>
        <v>20577.202813440006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12">
        <f>IF(L91="Yes",AI91*Tab_Data_Flows[[#This Row],[Flow_Py]]*Tab_Data_Flows[[#This Row],[DM_'[%']]],"N.A.")</f>
        <v>0</v>
      </c>
      <c r="AK91" s="61" t="str">
        <f>Tab_Data_Flows[[#This Row],[UoM_Flow_Py]]</f>
        <v>Mg</v>
      </c>
    </row>
    <row r="92" spans="1:37" x14ac:dyDescent="0.25">
      <c r="A92" s="60"/>
      <c r="B92" s="49" t="str">
        <f>_xlfn.XLOOKUP(C92,Tab_Def_Flows[Name(EN)],Tab_Def_Flows[Flow_ID],,0,)</f>
        <v>F_08_02</v>
      </c>
      <c r="C92" s="51" t="s">
        <v>491</v>
      </c>
      <c r="D92" s="49"/>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49">
        <f>_xlfn.XLOOKUP(C92,Tab_Def_Flows[Name(EN)],Tab_Def_Flows[Value_Source],,0,)</f>
        <v>0</v>
      </c>
      <c r="J92" s="49" t="str">
        <f>_xlfn.XLOOKUP(C92,Tab_Def_Flows[Name(EN)],Tab_Def_Flows[WC?],,0,)</f>
        <v>Yes</v>
      </c>
      <c r="K92" s="49" t="str">
        <f>_xlfn.XLOOKUP(C92,Tab_Def_Flows[Name(EN)],Tab_Def_Flows[DM?],,0,)</f>
        <v>Yes</v>
      </c>
      <c r="L92" s="49" t="str">
        <f>_xlfn.XLOOKUP(C92,Tab_Def_Flows[Name(EN)],Tab_Def_Flows[CC?],,0,)</f>
        <v>Yes</v>
      </c>
      <c r="M92" s="51">
        <v>2037</v>
      </c>
      <c r="N92" s="51"/>
      <c r="O92" s="119">
        <v>25310.339937792007</v>
      </c>
      <c r="P92" s="51" t="s">
        <v>389</v>
      </c>
      <c r="Q92" s="51"/>
      <c r="R92" s="51" t="e">
        <f>INDEX(Tab_WC_DM_CC[[Flow_ID]:[CC_source]],MATCH(Tab_Data_Flows[[#This Row],[Name(EN)]],Tab_WC_DM_CC[Name(EN)],0),12)</f>
        <v>#N/A</v>
      </c>
      <c r="S92" s="51" t="e">
        <f>MATCH(Tab_Data_Flows[[#This Row],[Name(EN)]],Tab_WC_DM_CC[Name(EN)],0)</f>
        <v>#N/A</v>
      </c>
      <c r="T92" s="51"/>
      <c r="U92" s="51"/>
      <c r="V92" s="51"/>
      <c r="W92" s="51"/>
      <c r="X92" s="51" t="s">
        <v>71</v>
      </c>
      <c r="Y92" s="51"/>
      <c r="Z92" s="51" t="str">
        <f>'3_1_Calculation_factors (Wood)'!$A$14</f>
        <v>Mittelwert</v>
      </c>
      <c r="AA92" s="86">
        <f t="shared" si="3"/>
        <v>25310.339937792007</v>
      </c>
      <c r="AB92" s="51" t="s">
        <v>63</v>
      </c>
      <c r="AC92" s="111">
        <f>INDEX(Tab_Def_Flows[[Flow_ID]:[CC_DM_source]],MATCH(Tab_Data_Flows[[#This Row],[Name(EN)]],Tab_Def_Flows[Name(EN)],0),16)</f>
        <v>1</v>
      </c>
      <c r="AD92" s="112">
        <f>IF(J92="Yes",AA92*Tab_Data_Flows[[#This Row],[WC_'[%']]],"N.A.")</f>
        <v>25310.339937792007</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12">
        <f>IF(L92="Yes",AI92*Tab_Data_Flows[[#This Row],[Flow_Py]]*Tab_Data_Flows[[#This Row],[DM_'[%']]],"N.A.")</f>
        <v>0</v>
      </c>
      <c r="AK92" s="61" t="str">
        <f>Tab_Data_Flows[[#This Row],[UoM_Flow_Py]]</f>
        <v>Mg</v>
      </c>
    </row>
    <row r="93" spans="1:37" x14ac:dyDescent="0.25">
      <c r="A93" s="60"/>
      <c r="B93" s="49" t="str">
        <f>_xlfn.XLOOKUP(C93,Tab_Def_Flows[Name(EN)],Tab_Def_Flows[Flow_ID],,0,)</f>
        <v>F_08_02</v>
      </c>
      <c r="C93" s="51" t="s">
        <v>491</v>
      </c>
      <c r="D93" s="49"/>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49">
        <f>_xlfn.XLOOKUP(C93,Tab_Def_Flows[Name(EN)],Tab_Def_Flows[Value_Source],,0,)</f>
        <v>0</v>
      </c>
      <c r="J93" s="49" t="str">
        <f>_xlfn.XLOOKUP(C93,Tab_Def_Flows[Name(EN)],Tab_Def_Flows[WC?],,0,)</f>
        <v>Yes</v>
      </c>
      <c r="K93" s="49" t="str">
        <f>_xlfn.XLOOKUP(C93,Tab_Def_Flows[Name(EN)],Tab_Def_Flows[DM?],,0,)</f>
        <v>Yes</v>
      </c>
      <c r="L93" s="49" t="str">
        <f>_xlfn.XLOOKUP(C93,Tab_Def_Flows[Name(EN)],Tab_Def_Flows[CC?],,0,)</f>
        <v>Yes</v>
      </c>
      <c r="M93" s="51">
        <v>2038</v>
      </c>
      <c r="N93" s="51"/>
      <c r="O93" s="119">
        <v>10896.207049728004</v>
      </c>
      <c r="P93" s="51" t="s">
        <v>389</v>
      </c>
      <c r="Q93" s="51"/>
      <c r="R93" s="51" t="e">
        <f>INDEX(Tab_WC_DM_CC[[Flow_ID]:[CC_source]],MATCH(Tab_Data_Flows[[#This Row],[Name(EN)]],Tab_WC_DM_CC[Name(EN)],0),12)</f>
        <v>#N/A</v>
      </c>
      <c r="S93" s="51" t="e">
        <f>MATCH(Tab_Data_Flows[[#This Row],[Name(EN)]],Tab_WC_DM_CC[Name(EN)],0)</f>
        <v>#N/A</v>
      </c>
      <c r="T93" s="51"/>
      <c r="U93" s="51"/>
      <c r="V93" s="51"/>
      <c r="W93" s="51"/>
      <c r="X93" s="51" t="s">
        <v>71</v>
      </c>
      <c r="Y93" s="51"/>
      <c r="Z93" s="51" t="str">
        <f>'3_1_Calculation_factors (Wood)'!$A$14</f>
        <v>Mittelwert</v>
      </c>
      <c r="AA93" s="86">
        <f t="shared" si="3"/>
        <v>10896.207049728004</v>
      </c>
      <c r="AB93" s="51" t="s">
        <v>63</v>
      </c>
      <c r="AC93" s="111">
        <f>INDEX(Tab_Def_Flows[[Flow_ID]:[CC_DM_source]],MATCH(Tab_Data_Flows[[#This Row],[Name(EN)]],Tab_Def_Flows[Name(EN)],0),16)</f>
        <v>1</v>
      </c>
      <c r="AD93" s="112">
        <f>IF(J93="Yes",AA93*Tab_Data_Flows[[#This Row],[WC_'[%']]],"N.A.")</f>
        <v>10896.207049728004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12">
        <f>IF(L93="Yes",AI93*Tab_Data_Flows[[#This Row],[Flow_Py]]*Tab_Data_Flows[[#This Row],[DM_'[%']]],"N.A.")</f>
        <v>0</v>
      </c>
      <c r="AK93" s="61" t="str">
        <f>Tab_Data_Flows[[#This Row],[UoM_Flow_Py]]</f>
        <v>Mg</v>
      </c>
    </row>
    <row r="94" spans="1:37" x14ac:dyDescent="0.25">
      <c r="A94" s="60"/>
      <c r="B94" s="49" t="str">
        <f>_xlfn.XLOOKUP(C94,Tab_Def_Flows[Name(EN)],Tab_Def_Flows[Flow_ID],,0,)</f>
        <v>F_08_02</v>
      </c>
      <c r="C94" s="51" t="s">
        <v>491</v>
      </c>
      <c r="D94" s="49"/>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49">
        <f>_xlfn.XLOOKUP(C94,Tab_Def_Flows[Name(EN)],Tab_Def_Flows[Value_Source],,0,)</f>
        <v>0</v>
      </c>
      <c r="J94" s="49" t="str">
        <f>_xlfn.XLOOKUP(C94,Tab_Def_Flows[Name(EN)],Tab_Def_Flows[WC?],,0,)</f>
        <v>Yes</v>
      </c>
      <c r="K94" s="49" t="str">
        <f>_xlfn.XLOOKUP(C94,Tab_Def_Flows[Name(EN)],Tab_Def_Flows[DM?],,0,)</f>
        <v>Yes</v>
      </c>
      <c r="L94" s="49" t="str">
        <f>_xlfn.XLOOKUP(C94,Tab_Def_Flows[Name(EN)],Tab_Def_Flows[CC?],,0,)</f>
        <v>Yes</v>
      </c>
      <c r="M94" s="51">
        <v>2039</v>
      </c>
      <c r="N94" s="51"/>
      <c r="O94" s="119">
        <v>12155.752207872005</v>
      </c>
      <c r="P94" s="51" t="s">
        <v>389</v>
      </c>
      <c r="Q94" s="51"/>
      <c r="R94" s="51" t="e">
        <f>INDEX(Tab_WC_DM_CC[[Flow_ID]:[CC_source]],MATCH(Tab_Data_Flows[[#This Row],[Name(EN)]],Tab_WC_DM_CC[Name(EN)],0),12)</f>
        <v>#N/A</v>
      </c>
      <c r="S94" s="51" t="e">
        <f>MATCH(Tab_Data_Flows[[#This Row],[Name(EN)]],Tab_WC_DM_CC[Name(EN)],0)</f>
        <v>#N/A</v>
      </c>
      <c r="T94" s="51"/>
      <c r="U94" s="51"/>
      <c r="V94" s="51"/>
      <c r="W94" s="51"/>
      <c r="X94" s="51" t="s">
        <v>71</v>
      </c>
      <c r="Y94" s="51"/>
      <c r="Z94" s="51" t="str">
        <f>'3_1_Calculation_factors (Wood)'!$A$14</f>
        <v>Mittelwert</v>
      </c>
      <c r="AA94" s="86">
        <f t="shared" si="3"/>
        <v>12155.752207872005</v>
      </c>
      <c r="AB94" s="51" t="s">
        <v>63</v>
      </c>
      <c r="AC94" s="111">
        <f>INDEX(Tab_Def_Flows[[Flow_ID]:[CC_DM_source]],MATCH(Tab_Data_Flows[[#This Row],[Name(EN)]],Tab_Def_Flows[Name(EN)],0),16)</f>
        <v>1</v>
      </c>
      <c r="AD94" s="112">
        <f>IF(J94="Yes",AA94*Tab_Data_Flows[[#This Row],[WC_'[%']]],"N.A.")</f>
        <v>12155.752207872005</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12">
        <f>IF(L94="Yes",AI94*Tab_Data_Flows[[#This Row],[Flow_Py]]*Tab_Data_Flows[[#This Row],[DM_'[%']]],"N.A.")</f>
        <v>0</v>
      </c>
      <c r="AK94" s="61" t="str">
        <f>Tab_Data_Flows[[#This Row],[UoM_Flow_Py]]</f>
        <v>Mg</v>
      </c>
    </row>
    <row r="95" spans="1:37" x14ac:dyDescent="0.25">
      <c r="A95" s="60"/>
      <c r="B95" s="49" t="str">
        <f>_xlfn.XLOOKUP(C95,Tab_Def_Flows[Name(EN)],Tab_Def_Flows[Flow_ID],,0,)</f>
        <v>F_08_02</v>
      </c>
      <c r="C95" s="51" t="s">
        <v>491</v>
      </c>
      <c r="D95" s="49"/>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49">
        <f>_xlfn.XLOOKUP(C95,Tab_Def_Flows[Name(EN)],Tab_Def_Flows[Value_Source],,0,)</f>
        <v>0</v>
      </c>
      <c r="J95" s="49" t="str">
        <f>_xlfn.XLOOKUP(C95,Tab_Def_Flows[Name(EN)],Tab_Def_Flows[WC?],,0,)</f>
        <v>Yes</v>
      </c>
      <c r="K95" s="49" t="str">
        <f>_xlfn.XLOOKUP(C95,Tab_Def_Flows[Name(EN)],Tab_Def_Flows[DM?],,0,)</f>
        <v>Yes</v>
      </c>
      <c r="L95" s="49" t="str">
        <f>_xlfn.XLOOKUP(C95,Tab_Def_Flows[Name(EN)],Tab_Def_Flows[CC?],,0,)</f>
        <v>Yes</v>
      </c>
      <c r="M95" s="51">
        <v>2040</v>
      </c>
      <c r="N95" s="51"/>
      <c r="O95" s="119">
        <v>19931.714869248008</v>
      </c>
      <c r="P95" s="51" t="s">
        <v>389</v>
      </c>
      <c r="Q95" s="51"/>
      <c r="R95" s="51" t="e">
        <f>INDEX(Tab_WC_DM_CC[[Flow_ID]:[CC_source]],MATCH(Tab_Data_Flows[[#This Row],[Name(EN)]],Tab_WC_DM_CC[Name(EN)],0),12)</f>
        <v>#N/A</v>
      </c>
      <c r="S95" s="51" t="e">
        <f>MATCH(Tab_Data_Flows[[#This Row],[Name(EN)]],Tab_WC_DM_CC[Name(EN)],0)</f>
        <v>#N/A</v>
      </c>
      <c r="T95" s="51"/>
      <c r="U95" s="51"/>
      <c r="V95" s="51"/>
      <c r="W95" s="51"/>
      <c r="X95" s="51" t="s">
        <v>71</v>
      </c>
      <c r="Y95" s="51"/>
      <c r="Z95" s="51" t="str">
        <f>'3_1_Calculation_factors (Wood)'!$A$14</f>
        <v>Mittelwert</v>
      </c>
      <c r="AA95" s="86">
        <f t="shared" si="3"/>
        <v>19931.714869248008</v>
      </c>
      <c r="AB95" s="51" t="s">
        <v>63</v>
      </c>
      <c r="AC95" s="111">
        <f>INDEX(Tab_Def_Flows[[Flow_ID]:[CC_DM_source]],MATCH(Tab_Data_Flows[[#This Row],[Name(EN)]],Tab_Def_Flows[Name(EN)],0),16)</f>
        <v>1</v>
      </c>
      <c r="AD95" s="112">
        <f>IF(J95="Yes",AA95*Tab_Data_Flows[[#This Row],[WC_'[%']]],"N.A.")</f>
        <v>19931.714869248008</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12">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2041</v>
      </c>
      <c r="N96" s="51"/>
      <c r="O96" s="119">
        <v>16918.334963712005</v>
      </c>
      <c r="P96" s="51" t="s">
        <v>389</v>
      </c>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3"/>
        <v>16918.334963712005</v>
      </c>
      <c r="AB96" s="51" t="s">
        <v>63</v>
      </c>
      <c r="AC96" s="111">
        <f>INDEX(Tab_Def_Flows[[Flow_ID]:[CC_DM_source]],MATCH(Tab_Data_Flows[[#This Row],[Name(EN)]],Tab_Def_Flows[Name(EN)],0),16)</f>
        <v>1</v>
      </c>
      <c r="AD96" s="112">
        <f>IF(J96="Yes",AA96*Tab_Data_Flows[[#This Row],[WC_'[%']]],"N.A.")</f>
        <v>16918.334963712005</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2042</v>
      </c>
      <c r="N97" s="51"/>
      <c r="O97" s="119">
        <v>25793.711483904008</v>
      </c>
      <c r="P97" s="51" t="s">
        <v>389</v>
      </c>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3"/>
        <v>25793.711483904008</v>
      </c>
      <c r="AB97" s="51" t="s">
        <v>63</v>
      </c>
      <c r="AC97" s="111">
        <f>INDEX(Tab_Def_Flows[[Flow_ID]:[CC_DM_source]],MATCH(Tab_Data_Flows[[#This Row],[Name(EN)]],Tab_Def_Flows[Name(EN)],0),16)</f>
        <v>1</v>
      </c>
      <c r="AD97" s="112">
        <f>IF(J97="Yes",AA97*Tab_Data_Flows[[#This Row],[WC_'[%']]],"N.A.")</f>
        <v>25793.711483904008</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2043</v>
      </c>
      <c r="N98" s="51"/>
      <c r="O98" s="119">
        <v>17619.405672960005</v>
      </c>
      <c r="P98" s="51" t="s">
        <v>389</v>
      </c>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3"/>
        <v>17619.405672960005</v>
      </c>
      <c r="AB98" s="51" t="s">
        <v>63</v>
      </c>
      <c r="AC98" s="111">
        <f>INDEX(Tab_Def_Flows[[Flow_ID]:[CC_DM_source]],MATCH(Tab_Data_Flows[[#This Row],[Name(EN)]],Tab_Def_Flows[Name(EN)],0),16)</f>
        <v>1</v>
      </c>
      <c r="AD98" s="112">
        <f>IF(J98="Yes",AA98*Tab_Data_Flows[[#This Row],[WC_'[%']]],"N.A.")</f>
        <v>17619.405672960005</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2044</v>
      </c>
      <c r="N99" s="51"/>
      <c r="O99" s="119">
        <v>14246.722893312004</v>
      </c>
      <c r="P99" s="51" t="s">
        <v>389</v>
      </c>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3"/>
        <v>14246.722893312004</v>
      </c>
      <c r="AB99" s="51" t="s">
        <v>63</v>
      </c>
      <c r="AC99" s="111">
        <f>INDEX(Tab_Def_Flows[[Flow_ID]:[CC_DM_source]],MATCH(Tab_Data_Flows[[#This Row],[Name(EN)]],Tab_Def_Flows[Name(EN)],0),16)</f>
        <v>1</v>
      </c>
      <c r="AD99" s="112">
        <f>IF(J99="Yes",AA99*Tab_Data_Flows[[#This Row],[WC_'[%']]],"N.A.")</f>
        <v>14246.722893312004</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2045</v>
      </c>
      <c r="N100" s="51"/>
      <c r="O100" s="119">
        <v>33494.571242496015</v>
      </c>
      <c r="P100" s="51" t="s">
        <v>389</v>
      </c>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3"/>
        <v>33494.571242496015</v>
      </c>
      <c r="AB100" s="51" t="s">
        <v>63</v>
      </c>
      <c r="AC100" s="111">
        <f>INDEX(Tab_Def_Flows[[Flow_ID]:[CC_DM_source]],MATCH(Tab_Data_Flows[[#This Row],[Name(EN)]],Tab_Def_Flows[Name(EN)],0),16)</f>
        <v>1</v>
      </c>
      <c r="AD100" s="112">
        <f>IF(J100="Yes",AA100*Tab_Data_Flows[[#This Row],[WC_'[%']]],"N.A.")</f>
        <v>33494.571242496015</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2046</v>
      </c>
      <c r="N101" s="51"/>
      <c r="O101" s="119">
        <v>22182.155154432006</v>
      </c>
      <c r="P101" s="51" t="s">
        <v>389</v>
      </c>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3"/>
        <v>22182.155154432006</v>
      </c>
      <c r="AB101" s="51" t="s">
        <v>63</v>
      </c>
      <c r="AC101" s="111">
        <f>INDEX(Tab_Def_Flows[[Flow_ID]:[CC_DM_source]],MATCH(Tab_Data_Flows[[#This Row],[Name(EN)]],Tab_Def_Flows[Name(EN)],0),16)</f>
        <v>1</v>
      </c>
      <c r="AD101" s="112">
        <f>IF(J101="Yes",AA101*Tab_Data_Flows[[#This Row],[WC_'[%']]],"N.A.")</f>
        <v>22182.155154432006</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2047</v>
      </c>
      <c r="N102" s="51"/>
      <c r="O102" s="119">
        <v>24143.763571200008</v>
      </c>
      <c r="P102" s="51" t="s">
        <v>389</v>
      </c>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3"/>
        <v>24143.763571200008</v>
      </c>
      <c r="AB102" s="51" t="s">
        <v>63</v>
      </c>
      <c r="AC102" s="111">
        <f>INDEX(Tab_Def_Flows[[Flow_ID]:[CC_DM_source]],MATCH(Tab_Data_Flows[[#This Row],[Name(EN)]],Tab_Def_Flows[Name(EN)],0),16)</f>
        <v>1</v>
      </c>
      <c r="AD102" s="112">
        <f>IF(J102="Yes",AA102*Tab_Data_Flows[[#This Row],[WC_'[%']]],"N.A.")</f>
        <v>24143.763571200008</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2048</v>
      </c>
      <c r="N103" s="51"/>
      <c r="O103" s="119">
        <v>14163.348745728004</v>
      </c>
      <c r="P103" s="51" t="s">
        <v>389</v>
      </c>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3"/>
        <v>14163.348745728004</v>
      </c>
      <c r="AB103" s="51" t="s">
        <v>63</v>
      </c>
      <c r="AC103" s="111">
        <f>INDEX(Tab_Def_Flows[[Flow_ID]:[CC_DM_source]],MATCH(Tab_Data_Flows[[#This Row],[Name(EN)]],Tab_Def_Flows[Name(EN)],0),16)</f>
        <v>1</v>
      </c>
      <c r="AD103" s="112">
        <f>IF(J103="Yes",AA103*Tab_Data_Flows[[#This Row],[WC_'[%']]],"N.A.")</f>
        <v>14163.348745728004</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2049</v>
      </c>
      <c r="N104" s="51"/>
      <c r="O104" s="119">
        <v>20051.151644160007</v>
      </c>
      <c r="P104" s="51" t="s">
        <v>389</v>
      </c>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3"/>
        <v>20051.151644160007</v>
      </c>
      <c r="AB104" s="51" t="s">
        <v>63</v>
      </c>
      <c r="AC104" s="111">
        <f>INDEX(Tab_Def_Flows[[Flow_ID]:[CC_DM_source]],MATCH(Tab_Data_Flows[[#This Row],[Name(EN)]],Tab_Def_Flows[Name(EN)],0),16)</f>
        <v>1</v>
      </c>
      <c r="AD104" s="112">
        <f>IF(J104="Yes",AA104*Tab_Data_Flows[[#This Row],[WC_'[%']]],"N.A.")</f>
        <v>20051.151644160007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ht="15.75" thickBot="1" x14ac:dyDescent="0.3">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2050</v>
      </c>
      <c r="N105" s="51"/>
      <c r="O105" s="119">
        <v>24433.918838784008</v>
      </c>
      <c r="P105" s="51" t="s">
        <v>389</v>
      </c>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3"/>
        <v>24433.918838784008</v>
      </c>
      <c r="AB105" s="51" t="s">
        <v>63</v>
      </c>
      <c r="AC105" s="111">
        <f>INDEX(Tab_Def_Flows[[Flow_ID]:[CC_DM_source]],MATCH(Tab_Data_Flows[[#This Row],[Name(EN)]],Tab_Def_Flows[Name(EN)],0),16)</f>
        <v>1</v>
      </c>
      <c r="AD105" s="112">
        <f>IF(J105="Yes",AA105*Tab_Data_Flows[[#This Row],[WC_'[%']]],"N.A.")</f>
        <v>24433.918838784008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ht="15.75" thickBot="1" x14ac:dyDescent="0.3">
      <c r="A106" s="60">
        <f t="shared" si="2"/>
        <v>105</v>
      </c>
      <c r="B106" s="49" t="str">
        <f>_xlfn.XLOOKUP(C106,Tab_Def_Flows[Name(EN)],Tab_Def_Flows[Flow_ID],,0,)</f>
        <v>F_00_13</v>
      </c>
      <c r="C106" s="51" t="s">
        <v>498</v>
      </c>
      <c r="D106" s="49">
        <f>_xlfn.XLOOKUP(C106,Tab_Def_Flows[Name(EN)],Tab_Def_Flows[Type_Biomass],,0,)</f>
        <v>0</v>
      </c>
      <c r="E106" s="49" t="str">
        <f>_xlfn.XLOOKUP(C106,Tab_Def_Flows[Name(EN)],Tab_Def_Flows[Output_Process],,0,)</f>
        <v>Environment_</v>
      </c>
      <c r="F106" s="49" t="str">
        <f>_xlfn.XLOOKUP(C106,Tab_Def_Flows[Name(EN)],Tab_Def_Flows[Process_ID_O],,0,)</f>
        <v>00_Env_BB</v>
      </c>
      <c r="G106" s="49" t="str">
        <f>_xlfn.XLOOKUP(C106,Tab_Def_Flows[Name(EN)],Tab_Def_Flows[Input_Process],,0,)</f>
        <v>Rye_Cultivation</v>
      </c>
      <c r="H106" s="61" t="str">
        <f>_xlfn.XLOOKUP(C106,Tab_Def_Flows[Name(EN)],Tab_Def_Flows[Process_ID_I],,0,)</f>
        <v>13_Rye_BB</v>
      </c>
      <c r="I106" s="61">
        <f>_xlfn.XLOOKUP(C106,Tab_Def_Flows[Name(EN)],Tab_Def_Flows[Value_Source],,0,)</f>
        <v>0</v>
      </c>
      <c r="J106" s="61" t="str">
        <f>_xlfn.XLOOKUP(C106,Tab_Def_Flows[Name(EN)],Tab_Def_Flows[WC?],,0,)</f>
        <v>Yes</v>
      </c>
      <c r="K106" s="61" t="str">
        <f>_xlfn.XLOOKUP(C106,Tab_Def_Flows[Name(EN)],Tab_Def_Flows[DM?],,0,)</f>
        <v>Yes</v>
      </c>
      <c r="L106" s="61" t="str">
        <f>_xlfn.XLOOKUP(C106,Tab_Def_Flows[Name(EN)],Tab_Def_Flows[CC?],,0,)</f>
        <v>Yes</v>
      </c>
      <c r="M106" s="51">
        <v>2025</v>
      </c>
      <c r="N106" s="51" t="s">
        <v>350</v>
      </c>
      <c r="O106" s="119">
        <v>706564.77978947375</v>
      </c>
      <c r="P106" s="51" t="s">
        <v>389</v>
      </c>
      <c r="Q106" s="51" t="s">
        <v>362</v>
      </c>
      <c r="R106" s="51"/>
      <c r="S106" s="51"/>
      <c r="T106" s="51"/>
      <c r="U106" s="51"/>
      <c r="V106" s="51"/>
      <c r="W106" s="51"/>
      <c r="X106" s="51" t="s">
        <v>71</v>
      </c>
      <c r="Y106" s="106"/>
      <c r="Z106" s="51"/>
      <c r="AA106" s="86">
        <f t="shared" si="3"/>
        <v>706564.77978947375</v>
      </c>
      <c r="AB106" s="51" t="s">
        <v>63</v>
      </c>
      <c r="AC106" s="111">
        <f>INDEX(Tab_Def_Flows[[Flow_ID]:[CC_DM_source]],MATCH(Tab_Data_Flows[[#This Row],[Name(EN)]],Tab_Def_Flows[Name(EN)],0),16)</f>
        <v>0.23841961852861027</v>
      </c>
      <c r="AD106" s="112">
        <f>IF(J106="Yes",AA106*Tab_Data_Flows[[#This Row],[WC_'[%']]],"N.A.")</f>
        <v>168458.90526315785</v>
      </c>
      <c r="AE106" s="61" t="str">
        <f>Tab_Data_Flows[[#This Row],[UoM_Flow_Py]]</f>
        <v>Mg</v>
      </c>
      <c r="AF106" s="111">
        <f>INDEX(Tab_Def_Flows[[Flow_ID]:[CC_DM_source]],MATCH(Tab_Data_Flows[[#This Row],[Name(EN)]],Tab_Def_Flows[Name(EN)],0),18)</f>
        <v>0.76158038147138973</v>
      </c>
      <c r="AG106" s="112">
        <f>IF(K106="Yes",AF106*Tab_Data_Flows[[#This Row],[Flow_Py]]-AJ210,"N.A.")</f>
        <v>41392.759578947444</v>
      </c>
      <c r="AH106" s="61" t="str">
        <f>Tab_Data_Flows[[#This Row],[UoM_Flow_Py]]</f>
        <v>Mg</v>
      </c>
      <c r="AI106" s="111">
        <f>INDEX(Tab_Def_Flows[[Flow_ID]:[CC_DM_source]],MATCH(Tab_Data_Flows[[#This Row],[Name(EN)]],Tab_Def_Flows[Name(EN)],0),20)</f>
        <v>0</v>
      </c>
      <c r="AJ106" s="109">
        <f>IF(L106="Yes",AI106*Tab_Data_Flows[[#This Row],[Flow_Py]]*Tab_Data_Flows[[#This Row],[DM_'[%']]],"N.A.")</f>
        <v>0</v>
      </c>
      <c r="AK106" s="61" t="str">
        <f>Tab_Data_Flows[[#This Row],[UoM_Flow_Py]]</f>
        <v>Mg</v>
      </c>
    </row>
    <row r="107" spans="1:37" ht="15.75" thickBot="1" x14ac:dyDescent="0.3">
      <c r="A107" s="60">
        <f t="shared" si="2"/>
        <v>106</v>
      </c>
      <c r="B107" s="49" t="str">
        <f>_xlfn.XLOOKUP(C107,Tab_Def_Flows[Name(EN)],Tab_Def_Flows[Flow_ID],,0,)</f>
        <v>F_00_13</v>
      </c>
      <c r="C107" s="51" t="s">
        <v>498</v>
      </c>
      <c r="D107" s="49">
        <f>_xlfn.XLOOKUP(C107,Tab_Def_Flows[Name(EN)],Tab_Def_Flows[Type_Biomass],,0,)</f>
        <v>0</v>
      </c>
      <c r="E107" s="49" t="str">
        <f>_xlfn.XLOOKUP(C107,Tab_Def_Flows[Name(EN)],Tab_Def_Flows[Output_Process],,0,)</f>
        <v>Environment_</v>
      </c>
      <c r="F107" s="49" t="str">
        <f>_xlfn.XLOOKUP(C107,Tab_Def_Flows[Name(EN)],Tab_Def_Flows[Process_ID_O],,0,)</f>
        <v>00_Env_BB</v>
      </c>
      <c r="G107" s="49" t="str">
        <f>_xlfn.XLOOKUP(C107,Tab_Def_Flows[Name(EN)],Tab_Def_Flows[Input_Process],,0,)</f>
        <v>Rye_Cultivation</v>
      </c>
      <c r="H107" s="61" t="str">
        <f>_xlfn.XLOOKUP(C107,Tab_Def_Flows[Name(EN)],Tab_Def_Flows[Process_ID_I],,0,)</f>
        <v>13_Rye_BB</v>
      </c>
      <c r="I107" s="61">
        <f>_xlfn.XLOOKUP(C107,Tab_Def_Flows[Name(EN)],Tab_Def_Flows[Value_Source],,0,)</f>
        <v>0</v>
      </c>
      <c r="J107" s="61" t="str">
        <f>_xlfn.XLOOKUP(C107,Tab_Def_Flows[Name(EN)],Tab_Def_Flows[WC?],,0,)</f>
        <v>Yes</v>
      </c>
      <c r="K107" s="61" t="str">
        <f>_xlfn.XLOOKUP(C107,Tab_Def_Flows[Name(EN)],Tab_Def_Flows[DM?],,0,)</f>
        <v>Yes</v>
      </c>
      <c r="L107" s="61" t="str">
        <f>_xlfn.XLOOKUP(C107,Tab_Def_Flows[Name(EN)],Tab_Def_Flows[CC?],,0,)</f>
        <v>Yes</v>
      </c>
      <c r="M107" s="51">
        <v>2026</v>
      </c>
      <c r="N107" s="51" t="s">
        <v>350</v>
      </c>
      <c r="O107" s="119">
        <v>595488.79157894733</v>
      </c>
      <c r="P107" s="51" t="s">
        <v>389</v>
      </c>
      <c r="Q107" s="51" t="s">
        <v>362</v>
      </c>
      <c r="R107" s="51"/>
      <c r="S107" s="51"/>
      <c r="T107" s="51"/>
      <c r="U107" s="51"/>
      <c r="V107" s="51"/>
      <c r="W107" s="51"/>
      <c r="X107" s="51" t="s">
        <v>71</v>
      </c>
      <c r="Y107" s="106"/>
      <c r="Z107" s="51"/>
      <c r="AA107" s="86">
        <f t="shared" si="3"/>
        <v>595488.79157894733</v>
      </c>
      <c r="AB107" s="51" t="s">
        <v>63</v>
      </c>
      <c r="AC107" s="111">
        <f>INDEX(Tab_Def_Flows[[Flow_ID]:[CC_DM_source]],MATCH(Tab_Data_Flows[[#This Row],[Name(EN)]],Tab_Def_Flows[Name(EN)],0),16)</f>
        <v>0.23841961852861027</v>
      </c>
      <c r="AD107" s="112">
        <f>IF(J107="Yes",AA107*Tab_Data_Flows[[#This Row],[WC_'[%']]],"N.A.")</f>
        <v>141976.21052631573</v>
      </c>
      <c r="AE107" s="61" t="str">
        <f>Tab_Data_Flows[[#This Row],[UoM_Flow_Py]]</f>
        <v>Mg</v>
      </c>
      <c r="AF107" s="111">
        <f>INDEX(Tab_Def_Flows[[Flow_ID]:[CC_DM_source]],MATCH(Tab_Data_Flows[[#This Row],[Name(EN)]],Tab_Def_Flows[Name(EN)],0),18)</f>
        <v>0.76158038147138973</v>
      </c>
      <c r="AG107" s="112">
        <f>IF(K107="Yes",AF107*Tab_Data_Flows[[#This Row],[Flow_Py]]-AJ211,"N.A.")</f>
        <v>34885.583157894725</v>
      </c>
      <c r="AH107" s="61" t="str">
        <f>Tab_Data_Flows[[#This Row],[UoM_Flow_Py]]</f>
        <v>Mg</v>
      </c>
      <c r="AI107" s="111">
        <f>INDEX(Tab_Def_Flows[[Flow_ID]:[CC_DM_source]],MATCH(Tab_Data_Flows[[#This Row],[Name(EN)]],Tab_Def_Flows[Name(EN)],0),20)</f>
        <v>0</v>
      </c>
      <c r="AJ107" s="109">
        <f>IF(L107="Yes",AI107*Tab_Data_Flows[[#This Row],[Flow_Py]]*Tab_Data_Flows[[#This Row],[DM_'[%']]],"N.A.")</f>
        <v>0</v>
      </c>
      <c r="AK107" s="61" t="str">
        <f>Tab_Data_Flows[[#This Row],[UoM_Flow_Py]]</f>
        <v>Mg</v>
      </c>
    </row>
    <row r="108" spans="1:37" ht="15.75" thickBot="1" x14ac:dyDescent="0.3">
      <c r="A108" s="60">
        <f t="shared" si="2"/>
        <v>107</v>
      </c>
      <c r="B108" s="49" t="str">
        <f>_xlfn.XLOOKUP(C108,Tab_Def_Flows[Name(EN)],Tab_Def_Flows[Flow_ID],,0,)</f>
        <v>F_00_13</v>
      </c>
      <c r="C108" s="51" t="s">
        <v>498</v>
      </c>
      <c r="D108" s="49">
        <f>_xlfn.XLOOKUP(C108,Tab_Def_Flows[Name(EN)],Tab_Def_Flows[Type_Biomass],,0,)</f>
        <v>0</v>
      </c>
      <c r="E108" s="49" t="str">
        <f>_xlfn.XLOOKUP(C108,Tab_Def_Flows[Name(EN)],Tab_Def_Flows[Output_Process],,0,)</f>
        <v>Environment_</v>
      </c>
      <c r="F108" s="49" t="str">
        <f>_xlfn.XLOOKUP(C108,Tab_Def_Flows[Name(EN)],Tab_Def_Flows[Process_ID_O],,0,)</f>
        <v>00_Env_BB</v>
      </c>
      <c r="G108" s="49" t="str">
        <f>_xlfn.XLOOKUP(C108,Tab_Def_Flows[Name(EN)],Tab_Def_Flows[Input_Process],,0,)</f>
        <v>Rye_Cultivation</v>
      </c>
      <c r="H108" s="61" t="str">
        <f>_xlfn.XLOOKUP(C108,Tab_Def_Flows[Name(EN)],Tab_Def_Flows[Process_ID_I],,0,)</f>
        <v>13_Rye_BB</v>
      </c>
      <c r="I108" s="61">
        <f>_xlfn.XLOOKUP(C108,Tab_Def_Flows[Name(EN)],Tab_Def_Flows[Value_Source],,0,)</f>
        <v>0</v>
      </c>
      <c r="J108" s="61" t="str">
        <f>_xlfn.XLOOKUP(C108,Tab_Def_Flows[Name(EN)],Tab_Def_Flows[WC?],,0,)</f>
        <v>Yes</v>
      </c>
      <c r="K108" s="61" t="str">
        <f>_xlfn.XLOOKUP(C108,Tab_Def_Flows[Name(EN)],Tab_Def_Flows[DM?],,0,)</f>
        <v>Yes</v>
      </c>
      <c r="L108" s="61" t="str">
        <f>_xlfn.XLOOKUP(C108,Tab_Def_Flows[Name(EN)],Tab_Def_Flows[CC?],,0,)</f>
        <v>Yes</v>
      </c>
      <c r="M108" s="51">
        <v>2027</v>
      </c>
      <c r="N108" s="51" t="s">
        <v>350</v>
      </c>
      <c r="O108" s="119">
        <v>732975.18147368403</v>
      </c>
      <c r="P108" s="51" t="s">
        <v>389</v>
      </c>
      <c r="Q108" s="51" t="s">
        <v>362</v>
      </c>
      <c r="R108" s="51"/>
      <c r="S108" s="51"/>
      <c r="T108" s="51"/>
      <c r="U108" s="51"/>
      <c r="V108" s="51"/>
      <c r="W108" s="51"/>
      <c r="X108" s="51" t="s">
        <v>71</v>
      </c>
      <c r="Y108" s="106"/>
      <c r="Z108" s="51"/>
      <c r="AA108" s="86">
        <f t="shared" si="3"/>
        <v>732975.18147368403</v>
      </c>
      <c r="AB108" s="51" t="s">
        <v>63</v>
      </c>
      <c r="AC108" s="111">
        <f>INDEX(Tab_Def_Flows[[Flow_ID]:[CC_DM_source]],MATCH(Tab_Data_Flows[[#This Row],[Name(EN)]],Tab_Def_Flows[Name(EN)],0),16)</f>
        <v>0.23841961852861027</v>
      </c>
      <c r="AD108" s="112">
        <f>IF(J108="Yes",AA108*Tab_Data_Flows[[#This Row],[WC_'[%']]],"N.A.")</f>
        <v>174755.66315789463</v>
      </c>
      <c r="AE108" s="61" t="str">
        <f>Tab_Data_Flows[[#This Row],[UoM_Flow_Py]]</f>
        <v>Mg</v>
      </c>
      <c r="AF108" s="111">
        <f>INDEX(Tab_Def_Flows[[Flow_ID]:[CC_DM_source]],MATCH(Tab_Data_Flows[[#This Row],[Name(EN)]],Tab_Def_Flows[Name(EN)],0),18)</f>
        <v>0.76158038147138973</v>
      </c>
      <c r="AG108" s="112">
        <f>IF(K108="Yes",AF108*Tab_Data_Flows[[#This Row],[Flow_Py]]-AJ212,"N.A.")</f>
        <v>42939.962947368389</v>
      </c>
      <c r="AH108" s="61" t="str">
        <f>Tab_Data_Flows[[#This Row],[UoM_Flow_Py]]</f>
        <v>Mg</v>
      </c>
      <c r="AI108" s="111">
        <f>INDEX(Tab_Def_Flows[[Flow_ID]:[CC_DM_source]],MATCH(Tab_Data_Flows[[#This Row],[Name(EN)]],Tab_Def_Flows[Name(EN)],0),20)</f>
        <v>0</v>
      </c>
      <c r="AJ108" s="109">
        <f>IF(L108="Yes",AI108*Tab_Data_Flows[[#This Row],[Flow_Py]]*Tab_Data_Flows[[#This Row],[DM_'[%']]],"N.A.")</f>
        <v>0</v>
      </c>
      <c r="AK108" s="61" t="str">
        <f>Tab_Data_Flows[[#This Row],[UoM_Flow_Py]]</f>
        <v>Mg</v>
      </c>
    </row>
    <row r="109" spans="1:37" x14ac:dyDescent="0.25">
      <c r="A109" s="60">
        <f t="shared" si="2"/>
        <v>108</v>
      </c>
      <c r="B109" s="49" t="str">
        <f>_xlfn.XLOOKUP(C109,Tab_Def_Flows[Name(EN)],Tab_Def_Flows[Flow_ID],,0,)</f>
        <v>F_00_13</v>
      </c>
      <c r="C109" s="51" t="s">
        <v>498</v>
      </c>
      <c r="D109" s="49">
        <f>_xlfn.XLOOKUP(C109,Tab_Def_Flows[Name(EN)],Tab_Def_Flows[Type_Biomass],,0,)</f>
        <v>0</v>
      </c>
      <c r="E109" s="49" t="str">
        <f>_xlfn.XLOOKUP(C109,Tab_Def_Flows[Name(EN)],Tab_Def_Flows[Output_Process],,0,)</f>
        <v>Environment_</v>
      </c>
      <c r="F109" s="49" t="str">
        <f>_xlfn.XLOOKUP(C109,Tab_Def_Flows[Name(EN)],Tab_Def_Flows[Process_ID_O],,0,)</f>
        <v>00_Env_BB</v>
      </c>
      <c r="G109" s="49" t="str">
        <f>_xlfn.XLOOKUP(C109,Tab_Def_Flows[Name(EN)],Tab_Def_Flows[Input_Process],,0,)</f>
        <v>Rye_Cultivation</v>
      </c>
      <c r="H109" s="61" t="str">
        <f>_xlfn.XLOOKUP(C109,Tab_Def_Flows[Name(EN)],Tab_Def_Flows[Process_ID_I],,0,)</f>
        <v>13_Rye_BB</v>
      </c>
      <c r="I109" s="61">
        <f>_xlfn.XLOOKUP(C109,Tab_Def_Flows[Name(EN)],Tab_Def_Flows[Value_Source],,0,)</f>
        <v>0</v>
      </c>
      <c r="J109" s="61" t="str">
        <f>_xlfn.XLOOKUP(C109,Tab_Def_Flows[Name(EN)],Tab_Def_Flows[WC?],,0,)</f>
        <v>Yes</v>
      </c>
      <c r="K109" s="61" t="str">
        <f>_xlfn.XLOOKUP(C109,Tab_Def_Flows[Name(EN)],Tab_Def_Flows[DM?],,0,)</f>
        <v>Yes</v>
      </c>
      <c r="L109" s="61" t="str">
        <f>_xlfn.XLOOKUP(C109,Tab_Def_Flows[Name(EN)],Tab_Def_Flows[CC?],,0,)</f>
        <v>Yes</v>
      </c>
      <c r="M109" s="51">
        <v>2028</v>
      </c>
      <c r="N109" s="51" t="s">
        <v>350</v>
      </c>
      <c r="O109" s="119">
        <v>886098.39831578941</v>
      </c>
      <c r="P109" s="51" t="s">
        <v>389</v>
      </c>
      <c r="Q109" s="51" t="s">
        <v>362</v>
      </c>
      <c r="R109" s="51"/>
      <c r="S109" s="51"/>
      <c r="T109" s="51"/>
      <c r="U109" s="51"/>
      <c r="V109" s="51"/>
      <c r="W109" s="51"/>
      <c r="X109" s="51" t="s">
        <v>71</v>
      </c>
      <c r="Y109" s="106"/>
      <c r="Z109" s="51"/>
      <c r="AA109" s="86">
        <f t="shared" si="3"/>
        <v>886098.39831578941</v>
      </c>
      <c r="AB109" s="51" t="s">
        <v>63</v>
      </c>
      <c r="AC109" s="111">
        <f>INDEX(Tab_Def_Flows[[Flow_ID]:[CC_DM_source]],MATCH(Tab_Data_Flows[[#This Row],[Name(EN)]],Tab_Def_Flows[Name(EN)],0),16)</f>
        <v>0.23841961852861027</v>
      </c>
      <c r="AD109" s="112">
        <f>IF(J109="Yes",AA109*Tab_Data_Flows[[#This Row],[WC_'[%']]],"N.A.")</f>
        <v>211263.24210526305</v>
      </c>
      <c r="AE109" s="61" t="str">
        <f>Tab_Data_Flows[[#This Row],[UoM_Flow_Py]]</f>
        <v>Mg</v>
      </c>
      <c r="AF109" s="111">
        <f>INDEX(Tab_Def_Flows[[Flow_ID]:[CC_DM_source]],MATCH(Tab_Data_Flows[[#This Row],[Name(EN)]],Tab_Def_Flows[Name(EN)],0),18)</f>
        <v>0.76158038147138973</v>
      </c>
      <c r="AG109" s="112">
        <f>IF(K109="Yes",AF109*Tab_Data_Flows[[#This Row],[Flow_Py]]-AJ213,"N.A.")</f>
        <v>51910.396631579031</v>
      </c>
      <c r="AH109" s="61" t="str">
        <f>Tab_Data_Flows[[#This Row],[UoM_Flow_Py]]</f>
        <v>Mg</v>
      </c>
      <c r="AI109" s="111">
        <f>INDEX(Tab_Def_Flows[[Flow_ID]:[CC_DM_source]],MATCH(Tab_Data_Flows[[#This Row],[Name(EN)]],Tab_Def_Flows[Name(EN)],0),20)</f>
        <v>0</v>
      </c>
      <c r="AJ109" s="109">
        <f>IF(L109="Yes",AI109*Tab_Data_Flows[[#This Row],[Flow_Py]]*Tab_Data_Flows[[#This Row],[DM_'[%']]],"N.A.")</f>
        <v>0</v>
      </c>
      <c r="AK109" s="61" t="str">
        <f>Tab_Data_Flows[[#This Row],[UoM_Flow_Py]]</f>
        <v>Mg</v>
      </c>
    </row>
    <row r="110" spans="1:37" x14ac:dyDescent="0.25">
      <c r="A110" s="60"/>
      <c r="B110" s="49" t="str">
        <f>_xlfn.XLOOKUP(C110,Tab_Def_Flows[Name(EN)],Tab_Def_Flows[Flow_ID],,0,)</f>
        <v>F_00_13</v>
      </c>
      <c r="C110" s="51" t="s">
        <v>498</v>
      </c>
      <c r="D110" s="49"/>
      <c r="E110" s="49" t="str">
        <f>_xlfn.XLOOKUP(C110,Tab_Def_Flows[Name(EN)],Tab_Def_Flows[Output_Process],,0,)</f>
        <v>Environment_</v>
      </c>
      <c r="F110" s="49" t="str">
        <f>_xlfn.XLOOKUP(C110,Tab_Def_Flows[Name(EN)],Tab_Def_Flows[Process_ID_O],,0,)</f>
        <v>00_Env_BB</v>
      </c>
      <c r="G110" s="49" t="str">
        <f>_xlfn.XLOOKUP(C110,Tab_Def_Flows[Name(EN)],Tab_Def_Flows[Input_Process],,0,)</f>
        <v>Rye_Cultivation</v>
      </c>
      <c r="H110" s="61" t="str">
        <f>_xlfn.XLOOKUP(C110,Tab_Def_Flows[Name(EN)],Tab_Def_Flows[Process_ID_I],,0,)</f>
        <v>13_Rye_BB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2029</v>
      </c>
      <c r="N110" s="51"/>
      <c r="O110" s="119">
        <v>578718.3595789473</v>
      </c>
      <c r="P110" s="51" t="s">
        <v>389</v>
      </c>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3"/>
        <v>578718.3595789473</v>
      </c>
      <c r="AB110" s="51" t="s">
        <v>63</v>
      </c>
      <c r="AC110" s="111">
        <f>INDEX(Tab_Def_Flows[[Flow_ID]:[CC_DM_source]],MATCH(Tab_Data_Flows[[#This Row],[Name(EN)]],Tab_Def_Flows[Name(EN)],0),16)</f>
        <v>0.23841961852861027</v>
      </c>
      <c r="AD110" s="112">
        <f>IF(J110="Yes",AA110*Tab_Data_Flows[[#This Row],[WC_'[%']]],"N.A.")</f>
        <v>137977.81052631573</v>
      </c>
      <c r="AE110" s="61" t="str">
        <f>Tab_Data_Flows[[#This Row],[UoM_Flow_Py]]</f>
        <v>Mg</v>
      </c>
      <c r="AF110" s="111">
        <f>INDEX(Tab_Def_Flows[[Flow_ID]:[CC_DM_source]],MATCH(Tab_Data_Flows[[#This Row],[Name(EN)]],Tab_Def_Flows[Name(EN)],0),18)</f>
        <v>0.76158038147138973</v>
      </c>
      <c r="AG110" s="112">
        <f>IF(K110="Yes",AF110*Tab_Data_Flows[[#This Row],[Flow_Py]]-AJ214,"N.A.")</f>
        <v>33903.119157894747</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F_00_13</v>
      </c>
      <c r="C111" s="51" t="s">
        <v>498</v>
      </c>
      <c r="D111" s="49"/>
      <c r="E111" s="49" t="str">
        <f>_xlfn.XLOOKUP(C111,Tab_Def_Flows[Name(EN)],Tab_Def_Flows[Output_Process],,0,)</f>
        <v>Environment_</v>
      </c>
      <c r="F111" s="49" t="str">
        <f>_xlfn.XLOOKUP(C111,Tab_Def_Flows[Name(EN)],Tab_Def_Flows[Process_ID_O],,0,)</f>
        <v>00_Env_BB</v>
      </c>
      <c r="G111" s="49" t="str">
        <f>_xlfn.XLOOKUP(C111,Tab_Def_Flows[Name(EN)],Tab_Def_Flows[Input_Process],,0,)</f>
        <v>Rye_Cultivation</v>
      </c>
      <c r="H111" s="61" t="str">
        <f>_xlfn.XLOOKUP(C111,Tab_Def_Flows[Name(EN)],Tab_Def_Flows[Process_ID_I],,0,)</f>
        <v>13_Rye_BB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2030</v>
      </c>
      <c r="N111" s="51"/>
      <c r="O111" s="119">
        <v>578718.3595789473</v>
      </c>
      <c r="P111" s="51" t="s">
        <v>389</v>
      </c>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3"/>
        <v>578718.3595789473</v>
      </c>
      <c r="AB111" s="51" t="s">
        <v>63</v>
      </c>
      <c r="AC111" s="111">
        <f>INDEX(Tab_Def_Flows[[Flow_ID]:[CC_DM_source]],MATCH(Tab_Data_Flows[[#This Row],[Name(EN)]],Tab_Def_Flows[Name(EN)],0),16)</f>
        <v>0.23841961852861027</v>
      </c>
      <c r="AD111" s="112">
        <f>IF(J111="Yes",AA111*Tab_Data_Flows[[#This Row],[WC_'[%']]],"N.A.")</f>
        <v>137977.81052631573</v>
      </c>
      <c r="AE111" s="61" t="str">
        <f>Tab_Data_Flows[[#This Row],[UoM_Flow_Py]]</f>
        <v>Mg</v>
      </c>
      <c r="AF111" s="111">
        <f>INDEX(Tab_Def_Flows[[Flow_ID]:[CC_DM_source]],MATCH(Tab_Data_Flows[[#This Row],[Name(EN)]],Tab_Def_Flows[Name(EN)],0),18)</f>
        <v>0.76158038147138973</v>
      </c>
      <c r="AG111" s="112">
        <f>IF(K111="Yes",AF111*Tab_Data_Flows[[#This Row],[Flow_Py]]-AJ215,"N.A.")</f>
        <v>33903.119157894747</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F_00_13</v>
      </c>
      <c r="C112" s="51" t="s">
        <v>498</v>
      </c>
      <c r="D112" s="49"/>
      <c r="E112" s="49" t="str">
        <f>_xlfn.XLOOKUP(C112,Tab_Def_Flows[Name(EN)],Tab_Def_Flows[Output_Process],,0,)</f>
        <v>Environment_</v>
      </c>
      <c r="F112" s="49" t="str">
        <f>_xlfn.XLOOKUP(C112,Tab_Def_Flows[Name(EN)],Tab_Def_Flows[Process_ID_O],,0,)</f>
        <v>00_Env_BB</v>
      </c>
      <c r="G112" s="49" t="str">
        <f>_xlfn.XLOOKUP(C112,Tab_Def_Flows[Name(EN)],Tab_Def_Flows[Input_Process],,0,)</f>
        <v>Rye_Cultivation</v>
      </c>
      <c r="H112" s="61" t="str">
        <f>_xlfn.XLOOKUP(C112,Tab_Def_Flows[Name(EN)],Tab_Def_Flows[Process_ID_I],,0,)</f>
        <v>13_Rye_BB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2031</v>
      </c>
      <c r="N112" s="51"/>
      <c r="O112" s="119">
        <v>895920.09094736818</v>
      </c>
      <c r="P112" s="51" t="s">
        <v>389</v>
      </c>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3"/>
        <v>895920.09094736818</v>
      </c>
      <c r="AB112" s="51" t="s">
        <v>63</v>
      </c>
      <c r="AC112" s="111">
        <f>INDEX(Tab_Def_Flows[[Flow_ID]:[CC_DM_source]],MATCH(Tab_Data_Flows[[#This Row],[Name(EN)]],Tab_Def_Flows[Name(EN)],0),16)</f>
        <v>0.23841961852861027</v>
      </c>
      <c r="AD112" s="112">
        <f>IF(J112="Yes",AA112*Tab_Data_Flows[[#This Row],[WC_'[%']]],"N.A.")</f>
        <v>213604.92631578934</v>
      </c>
      <c r="AE112" s="61" t="str">
        <f>Tab_Data_Flows[[#This Row],[UoM_Flow_Py]]</f>
        <v>Mg</v>
      </c>
      <c r="AF112" s="111">
        <f>INDEX(Tab_Def_Flows[[Flow_ID]:[CC_DM_source]],MATCH(Tab_Data_Flows[[#This Row],[Name(EN)]],Tab_Def_Flows[Name(EN)],0),18)</f>
        <v>0.76158038147138973</v>
      </c>
      <c r="AG112" s="112">
        <f>IF(K112="Yes",AF112*Tab_Data_Flows[[#This Row],[Flow_Py]]-AJ216,"N.A.")</f>
        <v>52485.781894736807</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F_00_13</v>
      </c>
      <c r="C113" s="51" t="s">
        <v>498</v>
      </c>
      <c r="D113" s="49"/>
      <c r="E113" s="49" t="str">
        <f>_xlfn.XLOOKUP(C113,Tab_Def_Flows[Name(EN)],Tab_Def_Flows[Output_Process],,0,)</f>
        <v>Environment_</v>
      </c>
      <c r="F113" s="49" t="str">
        <f>_xlfn.XLOOKUP(C113,Tab_Def_Flows[Name(EN)],Tab_Def_Flows[Process_ID_O],,0,)</f>
        <v>00_Env_BB</v>
      </c>
      <c r="G113" s="49" t="str">
        <f>_xlfn.XLOOKUP(C113,Tab_Def_Flows[Name(EN)],Tab_Def_Flows[Input_Process],,0,)</f>
        <v>Rye_Cultivation</v>
      </c>
      <c r="H113" s="61" t="str">
        <f>_xlfn.XLOOKUP(C113,Tab_Def_Flows[Name(EN)],Tab_Def_Flows[Process_ID_I],,0,)</f>
        <v>13_Rye_BB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2032</v>
      </c>
      <c r="N113" s="51"/>
      <c r="O113" s="119">
        <v>753916.58778947371</v>
      </c>
      <c r="P113" s="51" t="s">
        <v>389</v>
      </c>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3"/>
        <v>753916.58778947371</v>
      </c>
      <c r="AB113" s="51" t="s">
        <v>63</v>
      </c>
      <c r="AC113" s="111">
        <f>INDEX(Tab_Def_Flows[[Flow_ID]:[CC_DM_source]],MATCH(Tab_Data_Flows[[#This Row],[Name(EN)]],Tab_Def_Flows[Name(EN)],0),16)</f>
        <v>0.23841961852861027</v>
      </c>
      <c r="AD113" s="112">
        <f>IF(J113="Yes",AA113*Tab_Data_Flows[[#This Row],[WC_'[%']]],"N.A.")</f>
        <v>179748.50526315783</v>
      </c>
      <c r="AE113" s="61" t="str">
        <f>Tab_Data_Flows[[#This Row],[UoM_Flow_Py]]</f>
        <v>Mg</v>
      </c>
      <c r="AF113" s="111">
        <f>INDEX(Tab_Def_Flows[[Flow_ID]:[CC_DM_source]],MATCH(Tab_Data_Flows[[#This Row],[Name(EN)]],Tab_Def_Flows[Name(EN)],0),18)</f>
        <v>0.76158038147138973</v>
      </c>
      <c r="AG113" s="112">
        <f>IF(K113="Yes",AF113*Tab_Data_Flows[[#This Row],[Flow_Py]]-AJ217,"N.A.")</f>
        <v>44166.775578947389</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F_00_13</v>
      </c>
      <c r="C114" s="51" t="s">
        <v>498</v>
      </c>
      <c r="D114" s="49"/>
      <c r="E114" s="49" t="str">
        <f>_xlfn.XLOOKUP(C114,Tab_Def_Flows[Name(EN)],Tab_Def_Flows[Output_Process],,0,)</f>
        <v>Environment_</v>
      </c>
      <c r="F114" s="49" t="str">
        <f>_xlfn.XLOOKUP(C114,Tab_Def_Flows[Name(EN)],Tab_Def_Flows[Process_ID_O],,0,)</f>
        <v>00_Env_BB</v>
      </c>
      <c r="G114" s="49" t="str">
        <f>_xlfn.XLOOKUP(C114,Tab_Def_Flows[Name(EN)],Tab_Def_Flows[Input_Process],,0,)</f>
        <v>Rye_Cultivation</v>
      </c>
      <c r="H114" s="61" t="str">
        <f>_xlfn.XLOOKUP(C114,Tab_Def_Flows[Name(EN)],Tab_Def_Flows[Process_ID_I],,0,)</f>
        <v>13_Rye_BB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2033</v>
      </c>
      <c r="N114" s="51"/>
      <c r="O114" s="119">
        <v>537553.78526315792</v>
      </c>
      <c r="P114" s="51" t="s">
        <v>389</v>
      </c>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3"/>
        <v>537553.78526315792</v>
      </c>
      <c r="AB114" s="51" t="s">
        <v>63</v>
      </c>
      <c r="AC114" s="111">
        <f>INDEX(Tab_Def_Flows[[Flow_ID]:[CC_DM_source]],MATCH(Tab_Data_Flows[[#This Row],[Name(EN)]],Tab_Def_Flows[Name(EN)],0),16)</f>
        <v>0.23841961852861027</v>
      </c>
      <c r="AD114" s="112">
        <f>IF(J114="Yes",AA114*Tab_Data_Flows[[#This Row],[WC_'[%']]],"N.A.")</f>
        <v>128163.36842105258</v>
      </c>
      <c r="AE114" s="61" t="str">
        <f>Tab_Data_Flows[[#This Row],[UoM_Flow_Py]]</f>
        <v>Mg</v>
      </c>
      <c r="AF114" s="111">
        <f>INDEX(Tab_Def_Flows[[Flow_ID]:[CC_DM_source]],MATCH(Tab_Data_Flows[[#This Row],[Name(EN)]],Tab_Def_Flows[Name(EN)],0),18)</f>
        <v>0.76158038147138973</v>
      </c>
      <c r="AG114" s="112">
        <f>IF(K114="Yes",AF114*Tab_Data_Flows[[#This Row],[Flow_Py]]-AJ218,"N.A.")</f>
        <v>31491.570526315831</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F_00_13</v>
      </c>
      <c r="C115" s="51" t="s">
        <v>498</v>
      </c>
      <c r="D115" s="49"/>
      <c r="E115" s="49" t="str">
        <f>_xlfn.XLOOKUP(C115,Tab_Def_Flows[Name(EN)],Tab_Def_Flows[Output_Process],,0,)</f>
        <v>Environment_</v>
      </c>
      <c r="F115" s="49" t="str">
        <f>_xlfn.XLOOKUP(C115,Tab_Def_Flows[Name(EN)],Tab_Def_Flows[Process_ID_O],,0,)</f>
        <v>00_Env_BB</v>
      </c>
      <c r="G115" s="49" t="str">
        <f>_xlfn.XLOOKUP(C115,Tab_Def_Flows[Name(EN)],Tab_Def_Flows[Input_Process],,0,)</f>
        <v>Rye_Cultivation</v>
      </c>
      <c r="H115" s="61" t="str">
        <f>_xlfn.XLOOKUP(C115,Tab_Def_Flows[Name(EN)],Tab_Def_Flows[Process_ID_I],,0,)</f>
        <v>13_Rye_BB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2034</v>
      </c>
      <c r="N115" s="51"/>
      <c r="O115" s="119">
        <v>714586.54989473685</v>
      </c>
      <c r="P115" s="51" t="s">
        <v>389</v>
      </c>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3"/>
        <v>714586.54989473685</v>
      </c>
      <c r="AB115" s="51" t="s">
        <v>63</v>
      </c>
      <c r="AC115" s="111">
        <f>INDEX(Tab_Def_Flows[[Flow_ID]:[CC_DM_source]],MATCH(Tab_Data_Flows[[#This Row],[Name(EN)]],Tab_Def_Flows[Name(EN)],0),16)</f>
        <v>0.23841961852861027</v>
      </c>
      <c r="AD115" s="112">
        <f>IF(J115="Yes",AA115*Tab_Data_Flows[[#This Row],[WC_'[%']]],"N.A.")</f>
        <v>170371.4526315789</v>
      </c>
      <c r="AE115" s="61" t="str">
        <f>Tab_Data_Flows[[#This Row],[UoM_Flow_Py]]</f>
        <v>Mg</v>
      </c>
      <c r="AF115" s="111">
        <f>INDEX(Tab_Def_Flows[[Flow_ID]:[CC_DM_source]],MATCH(Tab_Data_Flows[[#This Row],[Name(EN)]],Tab_Def_Flows[Name(EN)],0),18)</f>
        <v>0.76158038147138973</v>
      </c>
      <c r="AG115" s="112">
        <f>IF(K115="Yes",AF115*Tab_Data_Flows[[#This Row],[Flow_Py]]-AJ219,"N.A.")</f>
        <v>41862.699789473729</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F_00_13</v>
      </c>
      <c r="C116" s="51" t="s">
        <v>498</v>
      </c>
      <c r="D116" s="49"/>
      <c r="E116" s="49" t="str">
        <f>_xlfn.XLOOKUP(C116,Tab_Def_Flows[Name(EN)],Tab_Def_Flows[Output_Process],,0,)</f>
        <v>Environment_</v>
      </c>
      <c r="F116" s="49" t="str">
        <f>_xlfn.XLOOKUP(C116,Tab_Def_Flows[Name(EN)],Tab_Def_Flows[Process_ID_O],,0,)</f>
        <v>00_Env_BB</v>
      </c>
      <c r="G116" s="49" t="str">
        <f>_xlfn.XLOOKUP(C116,Tab_Def_Flows[Name(EN)],Tab_Def_Flows[Input_Process],,0,)</f>
        <v>Rye_Cultivation</v>
      </c>
      <c r="H116" s="61" t="str">
        <f>_xlfn.XLOOKUP(C116,Tab_Def_Flows[Name(EN)],Tab_Def_Flows[Process_ID_I],,0,)</f>
        <v>13_Rye_BB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2035</v>
      </c>
      <c r="N116" s="51"/>
      <c r="O116" s="119">
        <v>538609.50905263156</v>
      </c>
      <c r="P116" s="51" t="s">
        <v>389</v>
      </c>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ref="AA116:AA173" si="4">IF(X116="no",O116,O116*Y116)</f>
        <v>538609.50905263156</v>
      </c>
      <c r="AB116" s="51" t="s">
        <v>63</v>
      </c>
      <c r="AC116" s="111">
        <f>INDEX(Tab_Def_Flows[[Flow_ID]:[CC_DM_source]],MATCH(Tab_Data_Flows[[#This Row],[Name(EN)]],Tab_Def_Flows[Name(EN)],0),16)</f>
        <v>0.23841961852861027</v>
      </c>
      <c r="AD116" s="112">
        <f>IF(J116="Yes",AA116*Tab_Data_Flows[[#This Row],[WC_'[%']]],"N.A.")</f>
        <v>128415.07368421048</v>
      </c>
      <c r="AE116" s="61" t="str">
        <f>Tab_Data_Flows[[#This Row],[UoM_Flow_Py]]</f>
        <v>Mg</v>
      </c>
      <c r="AF116" s="111">
        <f>INDEX(Tab_Def_Flows[[Flow_ID]:[CC_DM_source]],MATCH(Tab_Data_Flows[[#This Row],[Name(EN)]],Tab_Def_Flows[Name(EN)],0),18)</f>
        <v>0.76158038147138973</v>
      </c>
      <c r="AG116" s="112">
        <f>IF(K116="Yes",AF116*Tab_Data_Flows[[#This Row],[Flow_Py]]-AJ220,"N.A.")</f>
        <v>31553.418105263205</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x14ac:dyDescent="0.25">
      <c r="A117" s="60"/>
      <c r="B117" s="49" t="str">
        <f>_xlfn.XLOOKUP(C117,Tab_Def_Flows[Name(EN)],Tab_Def_Flows[Flow_ID],,0,)</f>
        <v>F_00_13</v>
      </c>
      <c r="C117" s="51" t="s">
        <v>498</v>
      </c>
      <c r="D117" s="49"/>
      <c r="E117" s="49" t="str">
        <f>_xlfn.XLOOKUP(C117,Tab_Def_Flows[Name(EN)],Tab_Def_Flows[Output_Process],,0,)</f>
        <v>Environment_</v>
      </c>
      <c r="F117" s="49" t="str">
        <f>_xlfn.XLOOKUP(C117,Tab_Def_Flows[Name(EN)],Tab_Def_Flows[Process_ID_O],,0,)</f>
        <v>00_Env_BB</v>
      </c>
      <c r="G117" s="49" t="str">
        <f>_xlfn.XLOOKUP(C117,Tab_Def_Flows[Name(EN)],Tab_Def_Flows[Input_Process],,0,)</f>
        <v>Rye_Cultivation</v>
      </c>
      <c r="H117" s="61" t="str">
        <f>_xlfn.XLOOKUP(C117,Tab_Def_Flows[Name(EN)],Tab_Def_Flows[Process_ID_I],,0,)</f>
        <v>13_Rye_BB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2036</v>
      </c>
      <c r="N117" s="51"/>
      <c r="O117" s="119">
        <v>538202.79578947369</v>
      </c>
      <c r="P117" s="51" t="s">
        <v>389</v>
      </c>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4"/>
        <v>538202.79578947369</v>
      </c>
      <c r="AB117" s="51" t="s">
        <v>63</v>
      </c>
      <c r="AC117" s="111">
        <f>INDEX(Tab_Def_Flows[[Flow_ID]:[CC_DM_source]],MATCH(Tab_Data_Flows[[#This Row],[Name(EN)]],Tab_Def_Flows[Name(EN)],0),16)</f>
        <v>0.23841961852861027</v>
      </c>
      <c r="AD117" s="112">
        <f>IF(J117="Yes",AA117*Tab_Data_Flows[[#This Row],[WC_'[%']]],"N.A.")</f>
        <v>128318.10526315785</v>
      </c>
      <c r="AE117" s="61" t="str">
        <f>Tab_Data_Flows[[#This Row],[UoM_Flow_Py]]</f>
        <v>Mg</v>
      </c>
      <c r="AF117" s="111">
        <f>INDEX(Tab_Def_Flows[[Flow_ID]:[CC_DM_source]],MATCH(Tab_Data_Flows[[#This Row],[Name(EN)]],Tab_Def_Flows[Name(EN)],0),18)</f>
        <v>0.76158038147138973</v>
      </c>
      <c r="AG117" s="112">
        <f>IF(K117="Yes",AF117*Tab_Data_Flows[[#This Row],[Flow_Py]]-AJ221,"N.A.")</f>
        <v>31529.59157894738</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x14ac:dyDescent="0.25">
      <c r="A118" s="60"/>
      <c r="B118" s="49" t="str">
        <f>_xlfn.XLOOKUP(C118,Tab_Def_Flows[Name(EN)],Tab_Def_Flows[Flow_ID],,0,)</f>
        <v>F_00_13</v>
      </c>
      <c r="C118" s="51" t="s">
        <v>498</v>
      </c>
      <c r="D118" s="49"/>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49">
        <f>_xlfn.XLOOKUP(C118,Tab_Def_Flows[Name(EN)],Tab_Def_Flows[Value_Source],,0,)</f>
        <v>0</v>
      </c>
      <c r="J118" s="49" t="str">
        <f>_xlfn.XLOOKUP(C118,Tab_Def_Flows[Name(EN)],Tab_Def_Flows[WC?],,0,)</f>
        <v>Yes</v>
      </c>
      <c r="K118" s="49" t="str">
        <f>_xlfn.XLOOKUP(C118,Tab_Def_Flows[Name(EN)],Tab_Def_Flows[DM?],,0,)</f>
        <v>Yes</v>
      </c>
      <c r="L118" s="49" t="str">
        <f>_xlfn.XLOOKUP(C118,Tab_Def_Flows[Name(EN)],Tab_Def_Flows[CC?],,0,)</f>
        <v>Yes</v>
      </c>
      <c r="M118" s="51">
        <v>2037</v>
      </c>
      <c r="N118" s="51"/>
      <c r="O118" s="119">
        <v>661999.39031578938</v>
      </c>
      <c r="P118" s="51" t="s">
        <v>389</v>
      </c>
      <c r="Q118" s="51"/>
      <c r="R118" s="51" t="e">
        <f>INDEX(Tab_WC_DM_CC[[Flow_ID]:[CC_source]],MATCH(Tab_Data_Flows[[#This Row],[Name(EN)]],Tab_WC_DM_CC[Name(EN)],0),12)</f>
        <v>#N/A</v>
      </c>
      <c r="S118" s="51" t="e">
        <f>MATCH(Tab_Data_Flows[[#This Row],[Name(EN)]],Tab_WC_DM_CC[Name(EN)],0)</f>
        <v>#N/A</v>
      </c>
      <c r="T118" s="51"/>
      <c r="U118" s="51"/>
      <c r="V118" s="51"/>
      <c r="W118" s="51"/>
      <c r="X118" s="51" t="s">
        <v>71</v>
      </c>
      <c r="Y118" s="51"/>
      <c r="Z118" s="51" t="str">
        <f>'3_1_Calculation_factors (Wood)'!$A$14</f>
        <v>Mittelwert</v>
      </c>
      <c r="AA118" s="86">
        <f t="shared" si="4"/>
        <v>661999.39031578938</v>
      </c>
      <c r="AB118" s="51" t="s">
        <v>63</v>
      </c>
      <c r="AC118" s="111">
        <f>INDEX(Tab_Def_Flows[[Flow_ID]:[CC_DM_source]],MATCH(Tab_Data_Flows[[#This Row],[Name(EN)]],Tab_Def_Flows[Name(EN)],0),16)</f>
        <v>0.23841961852861027</v>
      </c>
      <c r="AD118" s="112">
        <f>IF(J118="Yes",AA118*Tab_Data_Flows[[#This Row],[WC_'[%']]],"N.A.")</f>
        <v>157833.64210526308</v>
      </c>
      <c r="AE118" s="61" t="str">
        <f>Tab_Data_Flows[[#This Row],[UoM_Flow_Py]]</f>
        <v>Mg</v>
      </c>
      <c r="AF118" s="111">
        <f>INDEX(Tab_Def_Flows[[Flow_ID]:[CC_DM_source]],MATCH(Tab_Data_Flows[[#This Row],[Name(EN)]],Tab_Def_Flows[Name(EN)],0),18)</f>
        <v>0.76158038147138973</v>
      </c>
      <c r="AG118" s="112">
        <f>IF(K118="Yes",AF118*Tab_Data_Flows[[#This Row],[Flow_Py]]-AJ222,"N.A.")</f>
        <v>38781.980631578946</v>
      </c>
      <c r="AH118" s="61" t="str">
        <f>Tab_Data_Flows[[#This Row],[UoM_Flow_Py]]</f>
        <v>Mg</v>
      </c>
      <c r="AI118" s="111">
        <f>INDEX(Tab_Def_Flows[[Flow_ID]:[CC_DM_source]],MATCH(Tab_Data_Flows[[#This Row],[Name(EN)]],Tab_Def_Flows[Name(EN)],0),20)</f>
        <v>0</v>
      </c>
      <c r="AJ118" s="112">
        <f>IF(L118="Yes",AI118*Tab_Data_Flows[[#This Row],[Flow_Py]]*Tab_Data_Flows[[#This Row],[DM_'[%']]],"N.A.")</f>
        <v>0</v>
      </c>
      <c r="AK118" s="61" t="str">
        <f>Tab_Data_Flows[[#This Row],[UoM_Flow_Py]]</f>
        <v>Mg</v>
      </c>
    </row>
    <row r="119" spans="1:37" x14ac:dyDescent="0.25">
      <c r="A119" s="60"/>
      <c r="B119" s="49" t="str">
        <f>_xlfn.XLOOKUP(C119,Tab_Def_Flows[Name(EN)],Tab_Def_Flows[Flow_ID],,0,)</f>
        <v>F_00_13</v>
      </c>
      <c r="C119" s="51" t="s">
        <v>498</v>
      </c>
      <c r="D119" s="49"/>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49">
        <f>_xlfn.XLOOKUP(C119,Tab_Def_Flows[Name(EN)],Tab_Def_Flows[Value_Source],,0,)</f>
        <v>0</v>
      </c>
      <c r="J119" s="49" t="str">
        <f>_xlfn.XLOOKUP(C119,Tab_Def_Flows[Name(EN)],Tab_Def_Flows[WC?],,0,)</f>
        <v>Yes</v>
      </c>
      <c r="K119" s="49" t="str">
        <f>_xlfn.XLOOKUP(C119,Tab_Def_Flows[Name(EN)],Tab_Def_Flows[DM?],,0,)</f>
        <v>Yes</v>
      </c>
      <c r="L119" s="49" t="str">
        <f>_xlfn.XLOOKUP(C119,Tab_Def_Flows[Name(EN)],Tab_Def_Flows[CC?],,0,)</f>
        <v>Yes</v>
      </c>
      <c r="M119" s="51">
        <v>2038</v>
      </c>
      <c r="N119" s="51"/>
      <c r="O119" s="119">
        <v>284993.50231578946</v>
      </c>
      <c r="P119" s="51" t="s">
        <v>389</v>
      </c>
      <c r="Q119" s="51"/>
      <c r="R119" s="51" t="e">
        <f>INDEX(Tab_WC_DM_CC[[Flow_ID]:[CC_source]],MATCH(Tab_Data_Flows[[#This Row],[Name(EN)]],Tab_WC_DM_CC[Name(EN)],0),12)</f>
        <v>#N/A</v>
      </c>
      <c r="S119" s="51" t="e">
        <f>MATCH(Tab_Data_Flows[[#This Row],[Name(EN)]],Tab_WC_DM_CC[Name(EN)],0)</f>
        <v>#N/A</v>
      </c>
      <c r="T119" s="51"/>
      <c r="U119" s="51"/>
      <c r="V119" s="51"/>
      <c r="W119" s="51"/>
      <c r="X119" s="51" t="s">
        <v>71</v>
      </c>
      <c r="Y119" s="51"/>
      <c r="Z119" s="51" t="str">
        <f>'3_1_Calculation_factors (Wood)'!$A$14</f>
        <v>Mittelwert</v>
      </c>
      <c r="AA119" s="86">
        <f t="shared" si="4"/>
        <v>284993.50231578946</v>
      </c>
      <c r="AB119" s="51" t="s">
        <v>63</v>
      </c>
      <c r="AC119" s="111">
        <f>INDEX(Tab_Def_Flows[[Flow_ID]:[CC_DM_source]],MATCH(Tab_Data_Flows[[#This Row],[Name(EN)]],Tab_Def_Flows[Name(EN)],0),16)</f>
        <v>0.23841961852861027</v>
      </c>
      <c r="AD119" s="112">
        <f>IF(J119="Yes",AA119*Tab_Data_Flows[[#This Row],[WC_'[%']]],"N.A.")</f>
        <v>67948.042105263128</v>
      </c>
      <c r="AE119" s="61" t="str">
        <f>Tab_Data_Flows[[#This Row],[UoM_Flow_Py]]</f>
        <v>Mg</v>
      </c>
      <c r="AF119" s="111">
        <f>INDEX(Tab_Def_Flows[[Flow_ID]:[CC_DM_source]],MATCH(Tab_Data_Flows[[#This Row],[Name(EN)]],Tab_Def_Flows[Name(EN)],0),18)</f>
        <v>0.76158038147138973</v>
      </c>
      <c r="AG119" s="112">
        <f>IF(K119="Yes",AF119*Tab_Data_Flows[[#This Row],[Flow_Py]]-AJ223,"N.A.")</f>
        <v>16695.804631578969</v>
      </c>
      <c r="AH119" s="61" t="str">
        <f>Tab_Data_Flows[[#This Row],[UoM_Flow_Py]]</f>
        <v>Mg</v>
      </c>
      <c r="AI119" s="111">
        <f>INDEX(Tab_Def_Flows[[Flow_ID]:[CC_DM_source]],MATCH(Tab_Data_Flows[[#This Row],[Name(EN)]],Tab_Def_Flows[Name(EN)],0),20)</f>
        <v>0</v>
      </c>
      <c r="AJ119" s="112">
        <f>IF(L119="Yes",AI119*Tab_Data_Flows[[#This Row],[Flow_Py]]*Tab_Data_Flows[[#This Row],[DM_'[%']]],"N.A.")</f>
        <v>0</v>
      </c>
      <c r="AK119" s="61" t="str">
        <f>Tab_Data_Flows[[#This Row],[UoM_Flow_Py]]</f>
        <v>Mg</v>
      </c>
    </row>
    <row r="120" spans="1:37" x14ac:dyDescent="0.25">
      <c r="A120" s="60"/>
      <c r="B120" s="49" t="str">
        <f>_xlfn.XLOOKUP(C120,Tab_Def_Flows[Name(EN)],Tab_Def_Flows[Flow_ID],,0,)</f>
        <v>F_00_13</v>
      </c>
      <c r="C120" s="51" t="s">
        <v>498</v>
      </c>
      <c r="D120" s="49"/>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49">
        <f>_xlfn.XLOOKUP(C120,Tab_Def_Flows[Name(EN)],Tab_Def_Flows[Value_Source],,0,)</f>
        <v>0</v>
      </c>
      <c r="J120" s="49" t="str">
        <f>_xlfn.XLOOKUP(C120,Tab_Def_Flows[Name(EN)],Tab_Def_Flows[WC?],,0,)</f>
        <v>Yes</v>
      </c>
      <c r="K120" s="49" t="str">
        <f>_xlfn.XLOOKUP(C120,Tab_Def_Flows[Name(EN)],Tab_Def_Flows[DM?],,0,)</f>
        <v>Yes</v>
      </c>
      <c r="L120" s="49" t="str">
        <f>_xlfn.XLOOKUP(C120,Tab_Def_Flows[Name(EN)],Tab_Def_Flows[CC?],,0,)</f>
        <v>Yes</v>
      </c>
      <c r="M120" s="51">
        <v>2039</v>
      </c>
      <c r="N120" s="51"/>
      <c r="O120" s="119">
        <v>317937.27663157892</v>
      </c>
      <c r="P120" s="51" t="s">
        <v>389</v>
      </c>
      <c r="Q120" s="51"/>
      <c r="R120" s="51" t="e">
        <f>INDEX(Tab_WC_DM_CC[[Flow_ID]:[CC_source]],MATCH(Tab_Data_Flows[[#This Row],[Name(EN)]],Tab_WC_DM_CC[Name(EN)],0),12)</f>
        <v>#N/A</v>
      </c>
      <c r="S120" s="51" t="e">
        <f>MATCH(Tab_Data_Flows[[#This Row],[Name(EN)]],Tab_WC_DM_CC[Name(EN)],0)</f>
        <v>#N/A</v>
      </c>
      <c r="T120" s="51"/>
      <c r="U120" s="51"/>
      <c r="V120" s="51"/>
      <c r="W120" s="51"/>
      <c r="X120" s="51" t="s">
        <v>71</v>
      </c>
      <c r="Y120" s="51"/>
      <c r="Z120" s="51" t="str">
        <f>'3_1_Calculation_factors (Wood)'!$A$14</f>
        <v>Mittelwert</v>
      </c>
      <c r="AA120" s="86">
        <f t="shared" si="4"/>
        <v>317937.27663157892</v>
      </c>
      <c r="AB120" s="51" t="s">
        <v>63</v>
      </c>
      <c r="AC120" s="111">
        <f>INDEX(Tab_Def_Flows[[Flow_ID]:[CC_DM_source]],MATCH(Tab_Data_Flows[[#This Row],[Name(EN)]],Tab_Def_Flows[Name(EN)],0),16)</f>
        <v>0.23841961852861027</v>
      </c>
      <c r="AD120" s="112">
        <f>IF(J120="Yes",AA120*Tab_Data_Flows[[#This Row],[WC_'[%']]],"N.A.")</f>
        <v>75802.48421052628</v>
      </c>
      <c r="AE120" s="61" t="str">
        <f>Tab_Data_Flows[[#This Row],[UoM_Flow_Py]]</f>
        <v>Mg</v>
      </c>
      <c r="AF120" s="111">
        <f>INDEX(Tab_Def_Flows[[Flow_ID]:[CC_DM_source]],MATCH(Tab_Data_Flows[[#This Row],[Name(EN)]],Tab_Def_Flows[Name(EN)],0),18)</f>
        <v>0.76158038147138973</v>
      </c>
      <c r="AG120" s="112">
        <f>IF(K120="Yes",AF120*Tab_Data_Flows[[#This Row],[Flow_Py]]-AJ224,"N.A.")</f>
        <v>18625.75326315788</v>
      </c>
      <c r="AH120" s="61" t="str">
        <f>Tab_Data_Flows[[#This Row],[UoM_Flow_Py]]</f>
        <v>Mg</v>
      </c>
      <c r="AI120" s="111">
        <f>INDEX(Tab_Def_Flows[[Flow_ID]:[CC_DM_source]],MATCH(Tab_Data_Flows[[#This Row],[Name(EN)]],Tab_Def_Flows[Name(EN)],0),20)</f>
        <v>0</v>
      </c>
      <c r="AJ120" s="112">
        <f>IF(L120="Yes",AI120*Tab_Data_Flows[[#This Row],[Flow_Py]]*Tab_Data_Flows[[#This Row],[DM_'[%']]],"N.A.")</f>
        <v>0</v>
      </c>
      <c r="AK120" s="61" t="str">
        <f>Tab_Data_Flows[[#This Row],[UoM_Flow_Py]]</f>
        <v>Mg</v>
      </c>
    </row>
    <row r="121" spans="1:37" x14ac:dyDescent="0.25">
      <c r="A121" s="60"/>
      <c r="B121" s="49" t="str">
        <f>_xlfn.XLOOKUP(C121,Tab_Def_Flows[Name(EN)],Tab_Def_Flows[Flow_ID],,0,)</f>
        <v>F_00_13</v>
      </c>
      <c r="C121" s="51" t="s">
        <v>498</v>
      </c>
      <c r="D121" s="49"/>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49">
        <f>_xlfn.XLOOKUP(C121,Tab_Def_Flows[Name(EN)],Tab_Def_Flows[Value_Source],,0,)</f>
        <v>0</v>
      </c>
      <c r="J121" s="49" t="str">
        <f>_xlfn.XLOOKUP(C121,Tab_Def_Flows[Name(EN)],Tab_Def_Flows[WC?],,0,)</f>
        <v>Yes</v>
      </c>
      <c r="K121" s="49" t="str">
        <f>_xlfn.XLOOKUP(C121,Tab_Def_Flows[Name(EN)],Tab_Def_Flows[DM?],,0,)</f>
        <v>Yes</v>
      </c>
      <c r="L121" s="49" t="str">
        <f>_xlfn.XLOOKUP(C121,Tab_Def_Flows[Name(EN)],Tab_Def_Flows[CC?],,0,)</f>
        <v>Yes</v>
      </c>
      <c r="M121" s="51">
        <v>2040</v>
      </c>
      <c r="N121" s="51"/>
      <c r="O121" s="119">
        <v>521319.86863157892</v>
      </c>
      <c r="P121" s="51" t="s">
        <v>389</v>
      </c>
      <c r="Q121" s="51"/>
      <c r="R121" s="51" t="e">
        <f>INDEX(Tab_WC_DM_CC[[Flow_ID]:[CC_source]],MATCH(Tab_Data_Flows[[#This Row],[Name(EN)]],Tab_WC_DM_CC[Name(EN)],0),12)</f>
        <v>#N/A</v>
      </c>
      <c r="S121" s="51" t="e">
        <f>MATCH(Tab_Data_Flows[[#This Row],[Name(EN)]],Tab_WC_DM_CC[Name(EN)],0)</f>
        <v>#N/A</v>
      </c>
      <c r="T121" s="51"/>
      <c r="U121" s="51"/>
      <c r="V121" s="51"/>
      <c r="W121" s="51"/>
      <c r="X121" s="51" t="s">
        <v>71</v>
      </c>
      <c r="Y121" s="51"/>
      <c r="Z121" s="51" t="str">
        <f>'3_1_Calculation_factors (Wood)'!$A$14</f>
        <v>Mittelwert</v>
      </c>
      <c r="AA121" s="86">
        <f t="shared" si="4"/>
        <v>521319.86863157892</v>
      </c>
      <c r="AB121" s="51" t="s">
        <v>63</v>
      </c>
      <c r="AC121" s="111">
        <f>INDEX(Tab_Def_Flows[[Flow_ID]:[CC_DM_source]],MATCH(Tab_Data_Flows[[#This Row],[Name(EN)]],Tab_Def_Flows[Name(EN)],0),16)</f>
        <v>0.23841961852861027</v>
      </c>
      <c r="AD121" s="112">
        <f>IF(J121="Yes",AA121*Tab_Data_Flows[[#This Row],[WC_'[%']]],"N.A.")</f>
        <v>124292.88421052626</v>
      </c>
      <c r="AE121" s="61" t="str">
        <f>Tab_Data_Flows[[#This Row],[UoM_Flow_Py]]</f>
        <v>Mg</v>
      </c>
      <c r="AF121" s="111">
        <f>INDEX(Tab_Def_Flows[[Flow_ID]:[CC_DM_source]],MATCH(Tab_Data_Flows[[#This Row],[Name(EN)]],Tab_Def_Flows[Name(EN)],0),18)</f>
        <v>0.76158038147138973</v>
      </c>
      <c r="AG121" s="112">
        <f>IF(K121="Yes",AF121*Tab_Data_Flows[[#This Row],[Flow_Py]]-AJ225,"N.A.")</f>
        <v>30540.537263157952</v>
      </c>
      <c r="AH121" s="61" t="str">
        <f>Tab_Data_Flows[[#This Row],[UoM_Flow_Py]]</f>
        <v>Mg</v>
      </c>
      <c r="AI121" s="111">
        <f>INDEX(Tab_Def_Flows[[Flow_ID]:[CC_DM_source]],MATCH(Tab_Data_Flows[[#This Row],[Name(EN)]],Tab_Def_Flows[Name(EN)],0),20)</f>
        <v>0</v>
      </c>
      <c r="AJ121" s="112">
        <f>IF(L121="Yes",AI121*Tab_Data_Flows[[#This Row],[Flow_Py]]*Tab_Data_Flows[[#This Row],[DM_'[%']]],"N.A.")</f>
        <v>0</v>
      </c>
      <c r="AK121" s="61" t="str">
        <f>Tab_Data_Flows[[#This Row],[UoM_Flow_Py]]</f>
        <v>Mg</v>
      </c>
    </row>
    <row r="122" spans="1:37" x14ac:dyDescent="0.25">
      <c r="A122" s="60"/>
      <c r="B122" s="49" t="str">
        <f>_xlfn.XLOOKUP(C122,Tab_Def_Flows[Name(EN)],Tab_Def_Flows[Flow_ID],,0,)</f>
        <v>F_00_13</v>
      </c>
      <c r="C122" s="51" t="s">
        <v>498</v>
      </c>
      <c r="D122" s="49"/>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49">
        <f>_xlfn.XLOOKUP(C122,Tab_Def_Flows[Name(EN)],Tab_Def_Flows[Value_Source],,0,)</f>
        <v>0</v>
      </c>
      <c r="J122" s="49" t="str">
        <f>_xlfn.XLOOKUP(C122,Tab_Def_Flows[Name(EN)],Tab_Def_Flows[WC?],,0,)</f>
        <v>Yes</v>
      </c>
      <c r="K122" s="49" t="str">
        <f>_xlfn.XLOOKUP(C122,Tab_Def_Flows[Name(EN)],Tab_Def_Flows[DM?],,0,)</f>
        <v>Yes</v>
      </c>
      <c r="L122" s="49" t="str">
        <f>_xlfn.XLOOKUP(C122,Tab_Def_Flows[Name(EN)],Tab_Def_Flows[CC?],,0,)</f>
        <v>Yes</v>
      </c>
      <c r="M122" s="51">
        <v>2041</v>
      </c>
      <c r="N122" s="51"/>
      <c r="O122" s="119">
        <v>442504.03031578945</v>
      </c>
      <c r="P122" s="51" t="s">
        <v>389</v>
      </c>
      <c r="Q122" s="51"/>
      <c r="R122" s="51" t="e">
        <f>INDEX(Tab_WC_DM_CC[[Flow_ID]:[CC_source]],MATCH(Tab_Data_Flows[[#This Row],[Name(EN)]],Tab_WC_DM_CC[Name(EN)],0),12)</f>
        <v>#N/A</v>
      </c>
      <c r="S122" s="51" t="e">
        <f>MATCH(Tab_Data_Flows[[#This Row],[Name(EN)]],Tab_WC_DM_CC[Name(EN)],0)</f>
        <v>#N/A</v>
      </c>
      <c r="T122" s="51"/>
      <c r="U122" s="51"/>
      <c r="V122" s="51"/>
      <c r="W122" s="51"/>
      <c r="X122" s="51" t="s">
        <v>71</v>
      </c>
      <c r="Y122" s="51"/>
      <c r="Z122" s="51" t="str">
        <f>'3_1_Calculation_factors (Wood)'!$A$14</f>
        <v>Mittelwert</v>
      </c>
      <c r="AA122" s="86">
        <f t="shared" si="4"/>
        <v>442504.03031578945</v>
      </c>
      <c r="AB122" s="51" t="s">
        <v>63</v>
      </c>
      <c r="AC122" s="111">
        <f>INDEX(Tab_Def_Flows[[Flow_ID]:[CC_DM_source]],MATCH(Tab_Data_Flows[[#This Row],[Name(EN)]],Tab_Def_Flows[Name(EN)],0),16)</f>
        <v>0.23841961852861027</v>
      </c>
      <c r="AD122" s="112">
        <f>IF(J122="Yes",AA122*Tab_Data_Flows[[#This Row],[WC_'[%']]],"N.A.")</f>
        <v>105501.64210526312</v>
      </c>
      <c r="AE122" s="61" t="str">
        <f>Tab_Data_Flows[[#This Row],[UoM_Flow_Py]]</f>
        <v>Mg</v>
      </c>
      <c r="AF122" s="111">
        <f>INDEX(Tab_Def_Flows[[Flow_ID]:[CC_DM_source]],MATCH(Tab_Data_Flows[[#This Row],[Name(EN)]],Tab_Def_Flows[Name(EN)],0),18)</f>
        <v>0.76158038147138973</v>
      </c>
      <c r="AG122" s="112">
        <f>IF(K122="Yes",AF122*Tab_Data_Flows[[#This Row],[Flow_Py]]-AJ226,"N.A.")</f>
        <v>25923.260631578916</v>
      </c>
      <c r="AH122" s="61" t="str">
        <f>Tab_Data_Flows[[#This Row],[UoM_Flow_Py]]</f>
        <v>Mg</v>
      </c>
      <c r="AI122" s="111">
        <f>INDEX(Tab_Def_Flows[[Flow_ID]:[CC_DM_source]],MATCH(Tab_Data_Flows[[#This Row],[Name(EN)]],Tab_Def_Flows[Name(EN)],0),20)</f>
        <v>0</v>
      </c>
      <c r="AJ122" s="112">
        <f>IF(L122="Yes",AI122*Tab_Data_Flows[[#This Row],[Flow_Py]]*Tab_Data_Flows[[#This Row],[DM_'[%']]],"N.A.")</f>
        <v>0</v>
      </c>
      <c r="AK122" s="61" t="str">
        <f>Tab_Data_Flows[[#This Row],[UoM_Flow_Py]]</f>
        <v>Mg</v>
      </c>
    </row>
    <row r="123" spans="1:37" x14ac:dyDescent="0.25">
      <c r="A123" s="60"/>
      <c r="B123" s="49" t="str">
        <f>_xlfn.XLOOKUP(C123,Tab_Def_Flows[Name(EN)],Tab_Def_Flows[Flow_ID],,0,)</f>
        <v>F_00_13</v>
      </c>
      <c r="C123" s="51" t="s">
        <v>498</v>
      </c>
      <c r="D123" s="49"/>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49">
        <f>_xlfn.XLOOKUP(C123,Tab_Def_Flows[Name(EN)],Tab_Def_Flows[Value_Source],,0,)</f>
        <v>0</v>
      </c>
      <c r="J123" s="49" t="str">
        <f>_xlfn.XLOOKUP(C123,Tab_Def_Flows[Name(EN)],Tab_Def_Flows[WC?],,0,)</f>
        <v>Yes</v>
      </c>
      <c r="K123" s="49" t="str">
        <f>_xlfn.XLOOKUP(C123,Tab_Def_Flows[Name(EN)],Tab_Def_Flows[DM?],,0,)</f>
        <v>Yes</v>
      </c>
      <c r="L123" s="49" t="str">
        <f>_xlfn.XLOOKUP(C123,Tab_Def_Flows[Name(EN)],Tab_Def_Flows[CC?],,0,)</f>
        <v>Yes</v>
      </c>
      <c r="M123" s="51">
        <v>2042</v>
      </c>
      <c r="N123" s="51"/>
      <c r="O123" s="119">
        <v>674642.11536842096</v>
      </c>
      <c r="P123" s="51" t="s">
        <v>389</v>
      </c>
      <c r="Q123" s="51"/>
      <c r="R123" s="51" t="e">
        <f>INDEX(Tab_WC_DM_CC[[Flow_ID]:[CC_source]],MATCH(Tab_Data_Flows[[#This Row],[Name(EN)]],Tab_WC_DM_CC[Name(EN)],0),12)</f>
        <v>#N/A</v>
      </c>
      <c r="S123" s="51" t="e">
        <f>MATCH(Tab_Data_Flows[[#This Row],[Name(EN)]],Tab_WC_DM_CC[Name(EN)],0)</f>
        <v>#N/A</v>
      </c>
      <c r="T123" s="51"/>
      <c r="U123" s="51"/>
      <c r="V123" s="51"/>
      <c r="W123" s="51"/>
      <c r="X123" s="51" t="s">
        <v>71</v>
      </c>
      <c r="Y123" s="51"/>
      <c r="Z123" s="51" t="str">
        <f>'3_1_Calculation_factors (Wood)'!$A$14</f>
        <v>Mittelwert</v>
      </c>
      <c r="AA123" s="86">
        <f t="shared" si="4"/>
        <v>674642.11536842096</v>
      </c>
      <c r="AB123" s="51" t="s">
        <v>63</v>
      </c>
      <c r="AC123" s="111">
        <f>INDEX(Tab_Def_Flows[[Flow_ID]:[CC_DM_source]],MATCH(Tab_Data_Flows[[#This Row],[Name(EN)]],Tab_Def_Flows[Name(EN)],0),16)</f>
        <v>0.23841961852861027</v>
      </c>
      <c r="AD123" s="112">
        <f>IF(J123="Yes",AA123*Tab_Data_Flows[[#This Row],[WC_'[%']]],"N.A.")</f>
        <v>160847.9157894736</v>
      </c>
      <c r="AE123" s="61" t="str">
        <f>Tab_Data_Flows[[#This Row],[UoM_Flow_Py]]</f>
        <v>Mg</v>
      </c>
      <c r="AF123" s="111">
        <f>INDEX(Tab_Def_Flows[[Flow_ID]:[CC_DM_source]],MATCH(Tab_Data_Flows[[#This Row],[Name(EN)]],Tab_Def_Flows[Name(EN)],0),18)</f>
        <v>0.76158038147138973</v>
      </c>
      <c r="AG123" s="112">
        <f>IF(K123="Yes",AF123*Tab_Data_Flows[[#This Row],[Flow_Py]]-AJ227,"N.A.")</f>
        <v>39522.630736842053</v>
      </c>
      <c r="AH123" s="61" t="str">
        <f>Tab_Data_Flows[[#This Row],[UoM_Flow_Py]]</f>
        <v>Mg</v>
      </c>
      <c r="AI123" s="111">
        <f>INDEX(Tab_Def_Flows[[Flow_ID]:[CC_DM_source]],MATCH(Tab_Data_Flows[[#This Row],[Name(EN)]],Tab_Def_Flows[Name(EN)],0),20)</f>
        <v>0</v>
      </c>
      <c r="AJ123" s="112">
        <f>IF(L123="Yes",AI123*Tab_Data_Flows[[#This Row],[Flow_Py]]*Tab_Data_Flows[[#This Row],[DM_'[%']]],"N.A.")</f>
        <v>0</v>
      </c>
      <c r="AK123" s="61" t="str">
        <f>Tab_Data_Flows[[#This Row],[UoM_Flow_Py]]</f>
        <v>Mg</v>
      </c>
    </row>
    <row r="124" spans="1:37" x14ac:dyDescent="0.25">
      <c r="A124" s="60"/>
      <c r="B124" s="49" t="str">
        <f>_xlfn.XLOOKUP(C124,Tab_Def_Flows[Name(EN)],Tab_Def_Flows[Flow_ID],,0,)</f>
        <v>F_00_13</v>
      </c>
      <c r="C124" s="51" t="s">
        <v>498</v>
      </c>
      <c r="D124" s="49"/>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49">
        <f>_xlfn.XLOOKUP(C124,Tab_Def_Flows[Name(EN)],Tab_Def_Flows[Value_Source],,0,)</f>
        <v>0</v>
      </c>
      <c r="J124" s="49" t="str">
        <f>_xlfn.XLOOKUP(C124,Tab_Def_Flows[Name(EN)],Tab_Def_Flows[WC?],,0,)</f>
        <v>Yes</v>
      </c>
      <c r="K124" s="49" t="str">
        <f>_xlfn.XLOOKUP(C124,Tab_Def_Flows[Name(EN)],Tab_Def_Flows[DM?],,0,)</f>
        <v>Yes</v>
      </c>
      <c r="L124" s="49" t="str">
        <f>_xlfn.XLOOKUP(C124,Tab_Def_Flows[Name(EN)],Tab_Def_Flows[CC?],,0,)</f>
        <v>Yes</v>
      </c>
      <c r="M124" s="51">
        <v>2043</v>
      </c>
      <c r="N124" s="51"/>
      <c r="O124" s="119">
        <v>460840.74105263152</v>
      </c>
      <c r="P124" s="51" t="s">
        <v>389</v>
      </c>
      <c r="Q124" s="51"/>
      <c r="R124" s="51" t="e">
        <f>INDEX(Tab_WC_DM_CC[[Flow_ID]:[CC_source]],MATCH(Tab_Data_Flows[[#This Row],[Name(EN)]],Tab_WC_DM_CC[Name(EN)],0),12)</f>
        <v>#N/A</v>
      </c>
      <c r="S124" s="51" t="e">
        <f>MATCH(Tab_Data_Flows[[#This Row],[Name(EN)]],Tab_WC_DM_CC[Name(EN)],0)</f>
        <v>#N/A</v>
      </c>
      <c r="T124" s="51"/>
      <c r="U124" s="51"/>
      <c r="V124" s="51"/>
      <c r="W124" s="51"/>
      <c r="X124" s="51" t="s">
        <v>71</v>
      </c>
      <c r="Y124" s="51"/>
      <c r="Z124" s="51" t="str">
        <f>'3_1_Calculation_factors (Wood)'!$A$14</f>
        <v>Mittelwert</v>
      </c>
      <c r="AA124" s="86">
        <f t="shared" si="4"/>
        <v>460840.74105263152</v>
      </c>
      <c r="AB124" s="51" t="s">
        <v>63</v>
      </c>
      <c r="AC124" s="111">
        <f>INDEX(Tab_Def_Flows[[Flow_ID]:[CC_DM_source]],MATCH(Tab_Data_Flows[[#This Row],[Name(EN)]],Tab_Def_Flows[Name(EN)],0),16)</f>
        <v>0.23841961852861027</v>
      </c>
      <c r="AD124" s="112">
        <f>IF(J124="Yes",AA124*Tab_Data_Flows[[#This Row],[WC_'[%']]],"N.A.")</f>
        <v>109873.47368421048</v>
      </c>
      <c r="AE124" s="61" t="str">
        <f>Tab_Data_Flows[[#This Row],[UoM_Flow_Py]]</f>
        <v>Mg</v>
      </c>
      <c r="AF124" s="111">
        <f>INDEX(Tab_Def_Flows[[Flow_ID]:[CC_DM_source]],MATCH(Tab_Data_Flows[[#This Row],[Name(EN)]],Tab_Def_Flows[Name(EN)],0),18)</f>
        <v>0.76158038147138973</v>
      </c>
      <c r="AG124" s="112">
        <f>IF(K124="Yes",AF124*Tab_Data_Flows[[#This Row],[Flow_Py]]-AJ228,"N.A.")</f>
        <v>26997.482105263218</v>
      </c>
      <c r="AH124" s="61" t="str">
        <f>Tab_Data_Flows[[#This Row],[UoM_Flow_Py]]</f>
        <v>Mg</v>
      </c>
      <c r="AI124" s="111">
        <f>INDEX(Tab_Def_Flows[[Flow_ID]:[CC_DM_source]],MATCH(Tab_Data_Flows[[#This Row],[Name(EN)]],Tab_Def_Flows[Name(EN)],0),20)</f>
        <v>0</v>
      </c>
      <c r="AJ124" s="112">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498</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2044</v>
      </c>
      <c r="N125" s="51"/>
      <c r="O125" s="119">
        <v>372627.23031578946</v>
      </c>
      <c r="P125" s="51" t="s">
        <v>389</v>
      </c>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4"/>
        <v>372627.23031578946</v>
      </c>
      <c r="AB125" s="51" t="s">
        <v>63</v>
      </c>
      <c r="AC125" s="111">
        <f>INDEX(Tab_Def_Flows[[Flow_ID]:[CC_DM_source]],MATCH(Tab_Data_Flows[[#This Row],[Name(EN)]],Tab_Def_Flows[Name(EN)],0),16)</f>
        <v>0.23841961852861027</v>
      </c>
      <c r="AD125" s="112">
        <f>IF(J125="Yes",AA125*Tab_Data_Flows[[#This Row],[WC_'[%']]],"N.A.")</f>
        <v>88841.642105263119</v>
      </c>
      <c r="AE125" s="61" t="str">
        <f>Tab_Data_Flows[[#This Row],[UoM_Flow_Py]]</f>
        <v>Mg</v>
      </c>
      <c r="AF125" s="111">
        <f>INDEX(Tab_Def_Flows[[Flow_ID]:[CC_DM_source]],MATCH(Tab_Data_Flows[[#This Row],[Name(EN)]],Tab_Def_Flows[Name(EN)],0),18)</f>
        <v>0.76158038147138973</v>
      </c>
      <c r="AG125" s="112">
        <f>IF(K125="Yes",AF125*Tab_Data_Flows[[#This Row],[Flow_Py]]-AJ229,"N.A.")</f>
        <v>21829.660631578969</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x14ac:dyDescent="0.25">
      <c r="A126" s="60"/>
      <c r="B126" s="49" t="str">
        <f>_xlfn.XLOOKUP(C126,Tab_Def_Flows[Name(EN)],Tab_Def_Flows[Flow_ID],,0,)</f>
        <v>F_00_13</v>
      </c>
      <c r="C126" s="51" t="s">
        <v>498</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2045</v>
      </c>
      <c r="N126" s="51"/>
      <c r="O126" s="119">
        <v>876060.36884210526</v>
      </c>
      <c r="P126" s="51" t="s">
        <v>389</v>
      </c>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4"/>
        <v>876060.36884210526</v>
      </c>
      <c r="AB126" s="51" t="s">
        <v>63</v>
      </c>
      <c r="AC126" s="111">
        <f>INDEX(Tab_Def_Flows[[Flow_ID]:[CC_DM_source]],MATCH(Tab_Data_Flows[[#This Row],[Name(EN)]],Tab_Def_Flows[Name(EN)],0),16)</f>
        <v>0.23841961852861027</v>
      </c>
      <c r="AD126" s="112">
        <f>IF(J126="Yes",AA126*Tab_Data_Flows[[#This Row],[WC_'[%']]],"N.A.")</f>
        <v>208869.97894736833</v>
      </c>
      <c r="AE126" s="61" t="str">
        <f>Tab_Data_Flows[[#This Row],[UoM_Flow_Py]]</f>
        <v>Mg</v>
      </c>
      <c r="AF126" s="111">
        <f>INDEX(Tab_Def_Flows[[Flow_ID]:[CC_DM_source]],MATCH(Tab_Data_Flows[[#This Row],[Name(EN)]],Tab_Def_Flows[Name(EN)],0),18)</f>
        <v>0.76158038147138973</v>
      </c>
      <c r="AG126" s="112">
        <f>IF(K126="Yes",AF126*Tab_Data_Flows[[#This Row],[Flow_Py]]-AJ230,"N.A.")</f>
        <v>51322.337684210623</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x14ac:dyDescent="0.25">
      <c r="A127" s="60"/>
      <c r="B127" s="49" t="str">
        <f>_xlfn.XLOOKUP(C127,Tab_Def_Flows[Name(EN)],Tab_Def_Flows[Flow_ID],,0,)</f>
        <v>F_00_13</v>
      </c>
      <c r="C127" s="51" t="s">
        <v>498</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2046</v>
      </c>
      <c r="N127" s="51"/>
      <c r="O127" s="119">
        <v>580180.79663157894</v>
      </c>
      <c r="P127" s="51" t="s">
        <v>389</v>
      </c>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4"/>
        <v>580180.79663157894</v>
      </c>
      <c r="AB127" s="51" t="s">
        <v>63</v>
      </c>
      <c r="AC127" s="111">
        <f>INDEX(Tab_Def_Flows[[Flow_ID]:[CC_DM_source]],MATCH(Tab_Data_Flows[[#This Row],[Name(EN)]],Tab_Def_Flows[Name(EN)],0),16)</f>
        <v>0.23841961852861027</v>
      </c>
      <c r="AD127" s="112">
        <f>IF(J127="Yes",AA127*Tab_Data_Flows[[#This Row],[WC_'[%']]],"N.A.")</f>
        <v>138326.48421052625</v>
      </c>
      <c r="AE127" s="61" t="str">
        <f>Tab_Data_Flows[[#This Row],[UoM_Flow_Py]]</f>
        <v>Mg</v>
      </c>
      <c r="AF127" s="111">
        <f>INDEX(Tab_Def_Flows[[Flow_ID]:[CC_DM_source]],MATCH(Tab_Data_Flows[[#This Row],[Name(EN)]],Tab_Def_Flows[Name(EN)],0),18)</f>
        <v>0.76158038147138973</v>
      </c>
      <c r="AG127" s="112">
        <f>IF(K127="Yes",AF127*Tab_Data_Flows[[#This Row],[Flow_Py]]-AJ231,"N.A.")</f>
        <v>33988.793263157888</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x14ac:dyDescent="0.25">
      <c r="A128" s="60"/>
      <c r="B128" s="49" t="str">
        <f>_xlfn.XLOOKUP(C128,Tab_Def_Flows[Name(EN)],Tab_Def_Flows[Flow_ID],,0,)</f>
        <v>F_00_13</v>
      </c>
      <c r="C128" s="51" t="s">
        <v>498</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2047</v>
      </c>
      <c r="N128" s="51"/>
      <c r="O128" s="119">
        <v>631487.24210526305</v>
      </c>
      <c r="P128" s="51" t="s">
        <v>389</v>
      </c>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4"/>
        <v>631487.24210526305</v>
      </c>
      <c r="AB128" s="51" t="s">
        <v>63</v>
      </c>
      <c r="AC128" s="111">
        <f>INDEX(Tab_Def_Flows[[Flow_ID]:[CC_DM_source]],MATCH(Tab_Data_Flows[[#This Row],[Name(EN)]],Tab_Def_Flows[Name(EN)],0),16)</f>
        <v>0.23841961852861027</v>
      </c>
      <c r="AD128" s="112">
        <f>IF(J128="Yes",AA128*Tab_Data_Flows[[#This Row],[WC_'[%']]],"N.A.")</f>
        <v>150558.94736842098</v>
      </c>
      <c r="AE128" s="61" t="str">
        <f>Tab_Data_Flows[[#This Row],[UoM_Flow_Py]]</f>
        <v>Mg</v>
      </c>
      <c r="AF128" s="111">
        <f>INDEX(Tab_Def_Flows[[Flow_ID]:[CC_DM_source]],MATCH(Tab_Data_Flows[[#This Row],[Name(EN)]],Tab_Def_Flows[Name(EN)],0),18)</f>
        <v>0.76158038147138973</v>
      </c>
      <c r="AG128" s="112">
        <f>IF(K128="Yes",AF128*Tab_Data_Flows[[#This Row],[Flow_Py]]-AJ232,"N.A.")</f>
        <v>36994.484210526338</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x14ac:dyDescent="0.25">
      <c r="A129" s="60"/>
      <c r="B129" s="49" t="str">
        <f>_xlfn.XLOOKUP(C129,Tab_Def_Flows[Name(EN)],Tab_Def_Flows[Flow_ID],,0,)</f>
        <v>F_00_13</v>
      </c>
      <c r="C129" s="51" t="s">
        <v>498</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2048</v>
      </c>
      <c r="N129" s="51"/>
      <c r="O129" s="119">
        <v>370446.55494736839</v>
      </c>
      <c r="P129" s="51" t="s">
        <v>389</v>
      </c>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4"/>
        <v>370446.55494736839</v>
      </c>
      <c r="AB129" s="51" t="s">
        <v>63</v>
      </c>
      <c r="AC129" s="111">
        <f>INDEX(Tab_Def_Flows[[Flow_ID]:[CC_DM_source]],MATCH(Tab_Data_Flows[[#This Row],[Name(EN)]],Tab_Def_Flows[Name(EN)],0),16)</f>
        <v>0.23841961852861027</v>
      </c>
      <c r="AD129" s="112">
        <f>IF(J129="Yes",AA129*Tab_Data_Flows[[#This Row],[WC_'[%']]],"N.A.")</f>
        <v>88321.726315789434</v>
      </c>
      <c r="AE129" s="61" t="str">
        <f>Tab_Data_Flows[[#This Row],[UoM_Flow_Py]]</f>
        <v>Mg</v>
      </c>
      <c r="AF129" s="111">
        <f>INDEX(Tab_Def_Flows[[Flow_ID]:[CC_DM_source]],MATCH(Tab_Data_Flows[[#This Row],[Name(EN)]],Tab_Def_Flows[Name(EN)],0),18)</f>
        <v>0.76158038147138973</v>
      </c>
      <c r="AG129" s="112">
        <f>IF(K129="Yes",AF129*Tab_Data_Flows[[#This Row],[Flow_Py]]-AJ233,"N.A.")</f>
        <v>21701.909894736833</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x14ac:dyDescent="0.25">
      <c r="A130" s="60"/>
      <c r="B130" s="49" t="str">
        <f>_xlfn.XLOOKUP(C130,Tab_Def_Flows[Name(EN)],Tab_Def_Flows[Flow_ID],,0,)</f>
        <v>F_00_13</v>
      </c>
      <c r="C130" s="51" t="s">
        <v>498</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2049</v>
      </c>
      <c r="N130" s="51"/>
      <c r="O130" s="119">
        <v>524443.77263157896</v>
      </c>
      <c r="P130" s="51" t="s">
        <v>389</v>
      </c>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4"/>
        <v>524443.77263157896</v>
      </c>
      <c r="AB130" s="51" t="s">
        <v>63</v>
      </c>
      <c r="AC130" s="111">
        <f>INDEX(Tab_Def_Flows[[Flow_ID]:[CC_DM_source]],MATCH(Tab_Data_Flows[[#This Row],[Name(EN)]],Tab_Def_Flows[Name(EN)],0),16)</f>
        <v>0.23841961852861027</v>
      </c>
      <c r="AD130" s="112">
        <f>IF(J130="Yes",AA130*Tab_Data_Flows[[#This Row],[WC_'[%']]],"N.A.")</f>
        <v>125037.68421052628</v>
      </c>
      <c r="AE130" s="61" t="str">
        <f>Tab_Data_Flows[[#This Row],[UoM_Flow_Py]]</f>
        <v>Mg</v>
      </c>
      <c r="AF130" s="111">
        <f>INDEX(Tab_Def_Flows[[Flow_ID]:[CC_DM_source]],MATCH(Tab_Data_Flows[[#This Row],[Name(EN)]],Tab_Def_Flows[Name(EN)],0),18)</f>
        <v>0.76158038147138973</v>
      </c>
      <c r="AG130" s="112">
        <f>IF(K130="Yes",AF130*Tab_Data_Flows[[#This Row],[Flow_Py]]-AJ234,"N.A.")</f>
        <v>30723.545263157925</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ht="15.75" thickBot="1" x14ac:dyDescent="0.3">
      <c r="A131" s="60"/>
      <c r="B131" s="49" t="str">
        <f>_xlfn.XLOOKUP(C131,Tab_Def_Flows[Name(EN)],Tab_Def_Flows[Flow_ID],,0,)</f>
        <v>F_00_13</v>
      </c>
      <c r="C131" s="51" t="s">
        <v>498</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2050</v>
      </c>
      <c r="N131" s="51"/>
      <c r="O131" s="119">
        <v>639076.33852631575</v>
      </c>
      <c r="P131" s="51" t="s">
        <v>389</v>
      </c>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si="4"/>
        <v>639076.33852631575</v>
      </c>
      <c r="AB131" s="51" t="s">
        <v>63</v>
      </c>
      <c r="AC131" s="111">
        <f>INDEX(Tab_Def_Flows[[Flow_ID]:[CC_DM_source]],MATCH(Tab_Data_Flows[[#This Row],[Name(EN)]],Tab_Def_Flows[Name(EN)],0),16)</f>
        <v>0.23841961852861027</v>
      </c>
      <c r="AD131" s="112">
        <f>IF(J131="Yes",AA131*Tab_Data_Flows[[#This Row],[WC_'[%']]],"N.A.")</f>
        <v>152368.3368421052</v>
      </c>
      <c r="AE131" s="61" t="str">
        <f>Tab_Data_Flows[[#This Row],[UoM_Flow_Py]]</f>
        <v>Mg</v>
      </c>
      <c r="AF131" s="111">
        <f>INDEX(Tab_Def_Flows[[Flow_ID]:[CC_DM_source]],MATCH(Tab_Data_Flows[[#This Row],[Name(EN)]],Tab_Def_Flows[Name(EN)],0),18)</f>
        <v>0.76158038147138973</v>
      </c>
      <c r="AG131" s="112">
        <f>IF(K131="Yes",AF131*Tab_Data_Flows[[#This Row],[Flow_Py]]-AJ235,"N.A.")</f>
        <v>37439.07705263159</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ht="15.75" thickBot="1" x14ac:dyDescent="0.3">
      <c r="A132" s="60">
        <f t="shared" si="2"/>
        <v>131</v>
      </c>
      <c r="B132" s="49" t="str">
        <f>_xlfn.XLOOKUP(C132,Tab_Def_Flows[Name(EN)],Tab_Def_Flows[Flow_ID],,0,)</f>
        <v>F_00_04</v>
      </c>
      <c r="C132" s="51" t="s">
        <v>499</v>
      </c>
      <c r="D132" s="49">
        <f>_xlfn.XLOOKUP(C132,Tab_Def_Flows[Name(EN)],Tab_Def_Flows[Type_Biomass],,0,)</f>
        <v>0</v>
      </c>
      <c r="E132" s="49" t="str">
        <f>_xlfn.XLOOKUP(C132,Tab_Def_Flows[Name(EN)],Tab_Def_Flows[Output_Process],,0,)</f>
        <v>Environment_</v>
      </c>
      <c r="F132" s="49" t="str">
        <f>_xlfn.XLOOKUP(C132,Tab_Def_Flows[Name(EN)],Tab_Def_Flows[Process_ID_O],,0,)</f>
        <v>00_Env_BB</v>
      </c>
      <c r="G132" s="49" t="str">
        <f>_xlfn.XLOOKUP(C132,Tab_Def_Flows[Name(EN)],Tab_Def_Flows[Input_Process],,0,)</f>
        <v>Cow-Manure_Production</v>
      </c>
      <c r="H132" s="61" t="str">
        <f>_xlfn.XLOOKUP(C132,Tab_Def_Flows[Name(EN)],Tab_Def_Flows[Process_ID_I],,0,)</f>
        <v>04_Cow_BB</v>
      </c>
      <c r="I132" s="61">
        <f>_xlfn.XLOOKUP(C132,Tab_Def_Flows[Name(EN)],Tab_Def_Flows[Value_Source],,0,)</f>
        <v>0</v>
      </c>
      <c r="J132" s="61" t="str">
        <f>_xlfn.XLOOKUP(C132,Tab_Def_Flows[Name(EN)],Tab_Def_Flows[WC?],,0,)</f>
        <v>Yes</v>
      </c>
      <c r="K132" s="61" t="str">
        <f>_xlfn.XLOOKUP(C132,Tab_Def_Flows[Name(EN)],Tab_Def_Flows[DM?],,0,)</f>
        <v>Yes</v>
      </c>
      <c r="L132" s="61" t="str">
        <f>_xlfn.XLOOKUP(C132,Tab_Def_Flows[Name(EN)],Tab_Def_Flows[CC?],,0,)</f>
        <v>Yes</v>
      </c>
      <c r="M132" s="51">
        <v>2025</v>
      </c>
      <c r="N132" s="51" t="s">
        <v>350</v>
      </c>
      <c r="O132" s="119">
        <v>43081.454725945623</v>
      </c>
      <c r="P132" s="51" t="s">
        <v>389</v>
      </c>
      <c r="Q132" s="51"/>
      <c r="R132" s="51"/>
      <c r="S132" s="51"/>
      <c r="T132" s="51"/>
      <c r="U132" s="51"/>
      <c r="V132" s="51"/>
      <c r="W132" s="51"/>
      <c r="X132" s="51" t="s">
        <v>71</v>
      </c>
      <c r="Y132" s="106"/>
      <c r="Z132" s="51"/>
      <c r="AA132" s="86">
        <f t="shared" si="4"/>
        <v>43081.454725945623</v>
      </c>
      <c r="AB132" s="51" t="s">
        <v>63</v>
      </c>
      <c r="AC132" s="111">
        <f>INDEX(Tab_Def_Flows[[Flow_ID]:[CC_DM_source]],MATCH(Tab_Data_Flows[[#This Row],[Name(EN)]],Tab_Def_Flows[Name(EN)],0),16)</f>
        <v>0.96738928652461786</v>
      </c>
      <c r="AD132" s="112">
        <f>IF(J132="Yes",AA132*Tab_Data_Flows[[#This Row],[WC_'[%']]],"N.A.")</f>
        <v>41676.537749775162</v>
      </c>
      <c r="AE132" s="61" t="str">
        <f>Tab_Data_Flows[[#This Row],[UoM_Flow_Py]]</f>
        <v>Mg</v>
      </c>
      <c r="AF132" s="111">
        <f>INDEX(Tab_Def_Flows[[Flow_ID]:[CC_DM_source]],MATCH(Tab_Data_Flows[[#This Row],[Name(EN)]],Tab_Def_Flows[Name(EN)],0),18)</f>
        <v>3.2610713475382108E-2</v>
      </c>
      <c r="AG132" s="112">
        <f>IF(K132="Yes",AF132*Tab_Data_Flows[[#This Row],[Flow_Py]]-AJ236,"N.A.")</f>
        <v>55.094783379233604</v>
      </c>
      <c r="AH132" s="61" t="str">
        <f>Tab_Data_Flows[[#This Row],[UoM_Flow_Py]]</f>
        <v>Mg</v>
      </c>
      <c r="AI132" s="111">
        <f>INDEX(Tab_Def_Flows[[Flow_ID]:[CC_DM_source]],MATCH(Tab_Data_Flows[[#This Row],[Name(EN)]],Tab_Def_Flows[Name(EN)],0),20)</f>
        <v>0</v>
      </c>
      <c r="AJ132" s="109">
        <f>IF(L132="Yes",AI132*Tab_Data_Flows[[#This Row],[Flow_Py]]*Tab_Data_Flows[[#This Row],[DM_'[%']]],"N.A.")</f>
        <v>0</v>
      </c>
      <c r="AK132" s="61" t="str">
        <f>Tab_Data_Flows[[#This Row],[UoM_Flow_Py]]</f>
        <v>Mg</v>
      </c>
    </row>
    <row r="133" spans="1:37" ht="15.75" thickBot="1" x14ac:dyDescent="0.3">
      <c r="A133" s="60">
        <f t="shared" si="2"/>
        <v>132</v>
      </c>
      <c r="B133" s="49" t="str">
        <f>_xlfn.XLOOKUP(C133,Tab_Def_Flows[Name(EN)],Tab_Def_Flows[Flow_ID],,0,)</f>
        <v>F_00_04</v>
      </c>
      <c r="C133" s="51" t="s">
        <v>499</v>
      </c>
      <c r="D133" s="49">
        <f>_xlfn.XLOOKUP(C133,Tab_Def_Flows[Name(EN)],Tab_Def_Flows[Type_Biomass],,0,)</f>
        <v>0</v>
      </c>
      <c r="E133" s="49" t="str">
        <f>_xlfn.XLOOKUP(C133,Tab_Def_Flows[Name(EN)],Tab_Def_Flows[Output_Process],,0,)</f>
        <v>Environment_</v>
      </c>
      <c r="F133" s="49" t="str">
        <f>_xlfn.XLOOKUP(C133,Tab_Def_Flows[Name(EN)],Tab_Def_Flows[Process_ID_O],,0,)</f>
        <v>00_Env_BB</v>
      </c>
      <c r="G133" s="49" t="str">
        <f>_xlfn.XLOOKUP(C133,Tab_Def_Flows[Name(EN)],Tab_Def_Flows[Input_Process],,0,)</f>
        <v>Cow-Manure_Production</v>
      </c>
      <c r="H133" s="61" t="str">
        <f>_xlfn.XLOOKUP(C133,Tab_Def_Flows[Name(EN)],Tab_Def_Flows[Process_ID_I],,0,)</f>
        <v>04_Cow_BB</v>
      </c>
      <c r="I133" s="61">
        <f>_xlfn.XLOOKUP(C133,Tab_Def_Flows[Name(EN)],Tab_Def_Flows[Value_Source],,0,)</f>
        <v>0</v>
      </c>
      <c r="J133" s="61" t="str">
        <f>_xlfn.XLOOKUP(C133,Tab_Def_Flows[Name(EN)],Tab_Def_Flows[WC?],,0,)</f>
        <v>Yes</v>
      </c>
      <c r="K133" s="61" t="str">
        <f>_xlfn.XLOOKUP(C133,Tab_Def_Flows[Name(EN)],Tab_Def_Flows[DM?],,0,)</f>
        <v>Yes</v>
      </c>
      <c r="L133" s="61" t="str">
        <f>_xlfn.XLOOKUP(C133,Tab_Def_Flows[Name(EN)],Tab_Def_Flows[CC?],,0,)</f>
        <v>Yes</v>
      </c>
      <c r="M133" s="51">
        <v>2026</v>
      </c>
      <c r="N133" s="51" t="s">
        <v>350</v>
      </c>
      <c r="O133" s="119">
        <v>36308.805856216677</v>
      </c>
      <c r="P133" s="51" t="s">
        <v>389</v>
      </c>
      <c r="Q133" s="51"/>
      <c r="R133" s="51"/>
      <c r="S133" s="51"/>
      <c r="T133" s="51"/>
      <c r="U133" s="51"/>
      <c r="V133" s="51"/>
      <c r="W133" s="51"/>
      <c r="X133" s="51" t="s">
        <v>71</v>
      </c>
      <c r="Y133" s="106"/>
      <c r="Z133" s="51"/>
      <c r="AA133" s="86">
        <f t="shared" si="4"/>
        <v>36308.805856216677</v>
      </c>
      <c r="AB133" s="51" t="s">
        <v>63</v>
      </c>
      <c r="AC133" s="111">
        <f>INDEX(Tab_Def_Flows[[Flow_ID]:[CC_DM_source]],MATCH(Tab_Data_Flows[[#This Row],[Name(EN)]],Tab_Def_Flows[Name(EN)],0),16)</f>
        <v>0.96738928652461786</v>
      </c>
      <c r="AD133" s="112">
        <f>IF(J133="Yes",AA133*Tab_Data_Flows[[#This Row],[WC_'[%']]],"N.A.")</f>
        <v>35124.749791806316</v>
      </c>
      <c r="AE133" s="61" t="str">
        <f>Tab_Data_Flows[[#This Row],[UoM_Flow_Py]]</f>
        <v>Mg</v>
      </c>
      <c r="AF133" s="111">
        <f>INDEX(Tab_Def_Flows[[Flow_ID]:[CC_DM_source]],MATCH(Tab_Data_Flows[[#This Row],[Name(EN)]],Tab_Def_Flows[Name(EN)],0),18)</f>
        <v>3.2610713475382108E-2</v>
      </c>
      <c r="AG133" s="112">
        <f>IF(K133="Yes",AF133*Tab_Data_Flows[[#This Row],[Flow_Py]]-AJ237,"N.A.")</f>
        <v>46.433571153347657</v>
      </c>
      <c r="AH133" s="61" t="str">
        <f>Tab_Data_Flows[[#This Row],[UoM_Flow_Py]]</f>
        <v>Mg</v>
      </c>
      <c r="AI133" s="111">
        <f>INDEX(Tab_Def_Flows[[Flow_ID]:[CC_DM_source]],MATCH(Tab_Data_Flows[[#This Row],[Name(EN)]],Tab_Def_Flows[Name(EN)],0),20)</f>
        <v>0</v>
      </c>
      <c r="AJ133" s="109">
        <f>IF(L133="Yes",AI133*Tab_Data_Flows[[#This Row],[Flow_Py]]*Tab_Data_Flows[[#This Row],[DM_'[%']]],"N.A.")</f>
        <v>0</v>
      </c>
      <c r="AK133" s="61" t="str">
        <f>Tab_Data_Flows[[#This Row],[UoM_Flow_Py]]</f>
        <v>Mg</v>
      </c>
    </row>
    <row r="134" spans="1:37" ht="15.75" thickBot="1" x14ac:dyDescent="0.3">
      <c r="A134" s="60">
        <f t="shared" si="2"/>
        <v>133</v>
      </c>
      <c r="B134" s="49" t="str">
        <f>_xlfn.XLOOKUP(C134,Tab_Def_Flows[Name(EN)],Tab_Def_Flows[Flow_ID],,0,)</f>
        <v>F_00_04</v>
      </c>
      <c r="C134" s="51" t="s">
        <v>499</v>
      </c>
      <c r="D134" s="49">
        <f>_xlfn.XLOOKUP(C134,Tab_Def_Flows[Name(EN)],Tab_Def_Flows[Type_Biomass],,0,)</f>
        <v>0</v>
      </c>
      <c r="E134" s="49" t="str">
        <f>_xlfn.XLOOKUP(C134,Tab_Def_Flows[Name(EN)],Tab_Def_Flows[Output_Process],,0,)</f>
        <v>Environment_</v>
      </c>
      <c r="F134" s="49" t="str">
        <f>_xlfn.XLOOKUP(C134,Tab_Def_Flows[Name(EN)],Tab_Def_Flows[Process_ID_O],,0,)</f>
        <v>00_Env_BB</v>
      </c>
      <c r="G134" s="49" t="str">
        <f>_xlfn.XLOOKUP(C134,Tab_Def_Flows[Name(EN)],Tab_Def_Flows[Input_Process],,0,)</f>
        <v>Cow-Manure_Production</v>
      </c>
      <c r="H134" s="61" t="str">
        <f>_xlfn.XLOOKUP(C134,Tab_Def_Flows[Name(EN)],Tab_Def_Flows[Process_ID_I],,0,)</f>
        <v>04_Cow_BB</v>
      </c>
      <c r="I134" s="61">
        <f>_xlfn.XLOOKUP(C134,Tab_Def_Flows[Name(EN)],Tab_Def_Flows[Value_Source],,0,)</f>
        <v>0</v>
      </c>
      <c r="J134" s="61" t="str">
        <f>_xlfn.XLOOKUP(C134,Tab_Def_Flows[Name(EN)],Tab_Def_Flows[WC?],,0,)</f>
        <v>Yes</v>
      </c>
      <c r="K134" s="61" t="str">
        <f>_xlfn.XLOOKUP(C134,Tab_Def_Flows[Name(EN)],Tab_Def_Flows[DM?],,0,)</f>
        <v>Yes</v>
      </c>
      <c r="L134" s="61" t="str">
        <f>_xlfn.XLOOKUP(C134,Tab_Def_Flows[Name(EN)],Tab_Def_Flows[CC?],,0,)</f>
        <v>Yes</v>
      </c>
      <c r="M134" s="51">
        <v>2027</v>
      </c>
      <c r="N134" s="51" t="s">
        <v>350</v>
      </c>
      <c r="O134" s="119">
        <v>44691.779153369484</v>
      </c>
      <c r="P134" s="51" t="s">
        <v>389</v>
      </c>
      <c r="Q134" s="51"/>
      <c r="R134" s="51"/>
      <c r="S134" s="51"/>
      <c r="T134" s="51"/>
      <c r="U134" s="51"/>
      <c r="V134" s="51"/>
      <c r="W134" s="51"/>
      <c r="X134" s="51" t="s">
        <v>71</v>
      </c>
      <c r="Y134" s="106"/>
      <c r="Z134" s="51"/>
      <c r="AA134" s="86">
        <f t="shared" si="4"/>
        <v>44691.779153369484</v>
      </c>
      <c r="AB134" s="51" t="s">
        <v>63</v>
      </c>
      <c r="AC134" s="111">
        <f>INDEX(Tab_Def_Flows[[Flow_ID]:[CC_DM_source]],MATCH(Tab_Data_Flows[[#This Row],[Name(EN)]],Tab_Def_Flows[Name(EN)],0),16)</f>
        <v>0.96738928652461786</v>
      </c>
      <c r="AD134" s="112">
        <f>IF(J134="Yes",AA134*Tab_Data_Flows[[#This Row],[WC_'[%']]],"N.A.")</f>
        <v>43234.348348693893</v>
      </c>
      <c r="AE134" s="61" t="str">
        <f>Tab_Data_Flows[[#This Row],[UoM_Flow_Py]]</f>
        <v>Mg</v>
      </c>
      <c r="AF134" s="111">
        <f>INDEX(Tab_Def_Flows[[Flow_ID]:[CC_DM_source]],MATCH(Tab_Data_Flows[[#This Row],[Name(EN)]],Tab_Def_Flows[Name(EN)],0),18)</f>
        <v>3.2610713475382108E-2</v>
      </c>
      <c r="AG134" s="112">
        <f>IF(K134="Yes",AF134*Tab_Data_Flows[[#This Row],[Flow_Py]]-AJ238,"N.A.")</f>
        <v>57.15414920296439</v>
      </c>
      <c r="AH134" s="61" t="str">
        <f>Tab_Data_Flows[[#This Row],[UoM_Flow_Py]]</f>
        <v>Mg</v>
      </c>
      <c r="AI134" s="111">
        <f>INDEX(Tab_Def_Flows[[Flow_ID]:[CC_DM_source]],MATCH(Tab_Data_Flows[[#This Row],[Name(EN)]],Tab_Def_Flows[Name(EN)],0),20)</f>
        <v>0</v>
      </c>
      <c r="AJ134" s="109">
        <f>IF(L134="Yes",AI134*Tab_Data_Flows[[#This Row],[Flow_Py]]*Tab_Data_Flows[[#This Row],[DM_'[%']]],"N.A.")</f>
        <v>0</v>
      </c>
      <c r="AK134" s="61" t="str">
        <f>Tab_Data_Flows[[#This Row],[UoM_Flow_Py]]</f>
        <v>Mg</v>
      </c>
    </row>
    <row r="135" spans="1:37" x14ac:dyDescent="0.25">
      <c r="A135" s="60">
        <f t="shared" si="2"/>
        <v>134</v>
      </c>
      <c r="B135" s="49" t="str">
        <f>_xlfn.XLOOKUP(C135,Tab_Def_Flows[Name(EN)],Tab_Def_Flows[Flow_ID],,0,)</f>
        <v>F_00_04</v>
      </c>
      <c r="C135" s="51" t="s">
        <v>499</v>
      </c>
      <c r="D135" s="49">
        <f>_xlfn.XLOOKUP(C135,Tab_Def_Flows[Name(EN)],Tab_Def_Flows[Type_Biomass],,0,)</f>
        <v>0</v>
      </c>
      <c r="E135" s="49" t="str">
        <f>_xlfn.XLOOKUP(C135,Tab_Def_Flows[Name(EN)],Tab_Def_Flows[Output_Process],,0,)</f>
        <v>Environment_</v>
      </c>
      <c r="F135" s="49" t="str">
        <f>_xlfn.XLOOKUP(C135,Tab_Def_Flows[Name(EN)],Tab_Def_Flows[Process_ID_O],,0,)</f>
        <v>00_Env_BB</v>
      </c>
      <c r="G135" s="49" t="str">
        <f>_xlfn.XLOOKUP(C135,Tab_Def_Flows[Name(EN)],Tab_Def_Flows[Input_Process],,0,)</f>
        <v>Cow-Manure_Production</v>
      </c>
      <c r="H135" s="61" t="str">
        <f>_xlfn.XLOOKUP(C135,Tab_Def_Flows[Name(EN)],Tab_Def_Flows[Process_ID_I],,0,)</f>
        <v>04_Cow_BB</v>
      </c>
      <c r="I135" s="61">
        <f>_xlfn.XLOOKUP(C135,Tab_Def_Flows[Name(EN)],Tab_Def_Flows[Value_Source],,0,)</f>
        <v>0</v>
      </c>
      <c r="J135" s="61" t="str">
        <f>_xlfn.XLOOKUP(C135,Tab_Def_Flows[Name(EN)],Tab_Def_Flows[WC?],,0,)</f>
        <v>Yes</v>
      </c>
      <c r="K135" s="61" t="str">
        <f>_xlfn.XLOOKUP(C135,Tab_Def_Flows[Name(EN)],Tab_Def_Flows[DM?],,0,)</f>
        <v>Yes</v>
      </c>
      <c r="L135" s="61" t="str">
        <f>_xlfn.XLOOKUP(C135,Tab_Def_Flows[Name(EN)],Tab_Def_Flows[CC?],,0,)</f>
        <v>Yes</v>
      </c>
      <c r="M135" s="51">
        <v>2028</v>
      </c>
      <c r="N135" s="51" t="s">
        <v>350</v>
      </c>
      <c r="O135" s="119">
        <v>54028.178479472139</v>
      </c>
      <c r="P135" s="51" t="s">
        <v>389</v>
      </c>
      <c r="Q135" s="51"/>
      <c r="R135" s="51"/>
      <c r="S135" s="51"/>
      <c r="T135" s="51"/>
      <c r="U135" s="51"/>
      <c r="V135" s="51"/>
      <c r="W135" s="51"/>
      <c r="X135" s="51" t="s">
        <v>71</v>
      </c>
      <c r="Y135" s="106"/>
      <c r="Z135" s="51"/>
      <c r="AA135" s="86">
        <f t="shared" si="4"/>
        <v>54028.178479472139</v>
      </c>
      <c r="AB135" s="51" t="s">
        <v>63</v>
      </c>
      <c r="AC135" s="111">
        <f>INDEX(Tab_Def_Flows[[Flow_ID]:[CC_DM_source]],MATCH(Tab_Data_Flows[[#This Row],[Name(EN)]],Tab_Def_Flows[Name(EN)],0),16)</f>
        <v>0.96738928652461786</v>
      </c>
      <c r="AD135" s="112">
        <f>IF(J135="Yes",AA135*Tab_Data_Flows[[#This Row],[WC_'[%']]],"N.A.")</f>
        <v>52266.281031481267</v>
      </c>
      <c r="AE135" s="61" t="str">
        <f>Tab_Data_Flows[[#This Row],[UoM_Flow_Py]]</f>
        <v>Mg</v>
      </c>
      <c r="AF135" s="111">
        <f>INDEX(Tab_Def_Flows[[Flow_ID]:[CC_DM_source]],MATCH(Tab_Data_Flows[[#This Row],[Name(EN)]],Tab_Def_Flows[Name(EN)],0),18)</f>
        <v>3.2610713475382108E-2</v>
      </c>
      <c r="AG135" s="112">
        <f>IF(K135="Yes",AF135*Tab_Data_Flows[[#This Row],[Flow_Py]]-AJ239,"N.A.")</f>
        <v>69.094017568269692</v>
      </c>
      <c r="AH135" s="61" t="str">
        <f>Tab_Data_Flows[[#This Row],[UoM_Flow_Py]]</f>
        <v>Mg</v>
      </c>
      <c r="AI135" s="111">
        <f>INDEX(Tab_Def_Flows[[Flow_ID]:[CC_DM_source]],MATCH(Tab_Data_Flows[[#This Row],[Name(EN)]],Tab_Def_Flows[Name(EN)],0),20)</f>
        <v>0</v>
      </c>
      <c r="AJ135" s="109">
        <f>IF(L135="Yes",AI135*Tab_Data_Flows[[#This Row],[Flow_Py]]*Tab_Data_Flows[[#This Row],[DM_'[%']]],"N.A.")</f>
        <v>0</v>
      </c>
      <c r="AK135" s="61" t="str">
        <f>Tab_Data_Flows[[#This Row],[UoM_Flow_Py]]</f>
        <v>Mg</v>
      </c>
    </row>
    <row r="136" spans="1:37" x14ac:dyDescent="0.25">
      <c r="A136" s="60"/>
      <c r="B136" s="49" t="str">
        <f>_xlfn.XLOOKUP(C136,Tab_Def_Flows[Name(EN)],Tab_Def_Flows[Flow_ID],,0,)</f>
        <v>F_00_04</v>
      </c>
      <c r="C136" s="51" t="s">
        <v>499</v>
      </c>
      <c r="D136" s="49">
        <f>_xlfn.XLOOKUP(C136,Tab_Def_Flows[Name(EN)],Tab_Def_Flows[Type_Biomass],,0,)</f>
        <v>0</v>
      </c>
      <c r="E136" s="49" t="str">
        <f>_xlfn.XLOOKUP(C136,Tab_Def_Flows[Name(EN)],Tab_Def_Flows[Output_Process],,0,)</f>
        <v>Environment_</v>
      </c>
      <c r="F136" s="49" t="str">
        <f>_xlfn.XLOOKUP(C136,Tab_Def_Flows[Name(EN)],Tab_Def_Flows[Process_ID_O],,0,)</f>
        <v>00_Env_BB</v>
      </c>
      <c r="G136" s="49" t="str">
        <f>_xlfn.XLOOKUP(C136,Tab_Def_Flows[Name(EN)],Tab_Def_Flows[Input_Process],,0,)</f>
        <v>Cow-Manure_Production</v>
      </c>
      <c r="H136" s="61" t="str">
        <f>_xlfn.XLOOKUP(C136,Tab_Def_Flows[Name(EN)],Tab_Def_Flows[Process_ID_I],,0,)</f>
        <v>04_Cow_BB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2029</v>
      </c>
      <c r="N136" s="51"/>
      <c r="O136" s="119">
        <v>35286.260397387232</v>
      </c>
      <c r="P136" s="51" t="s">
        <v>389</v>
      </c>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4"/>
        <v>35286.260397387232</v>
      </c>
      <c r="AB136" s="51" t="s">
        <v>63</v>
      </c>
      <c r="AC136" s="111">
        <f>INDEX(Tab_Def_Flows[[Flow_ID]:[CC_DM_source]],MATCH(Tab_Data_Flows[[#This Row],[Name(EN)]],Tab_Def_Flows[Name(EN)],0),16)</f>
        <v>0.96738928652461786</v>
      </c>
      <c r="AD136" s="112">
        <f>IF(J136="Yes",AA136*Tab_Data_Flows[[#This Row],[WC_'[%']]],"N.A.")</f>
        <v>34135.550269950312</v>
      </c>
      <c r="AE136" s="61" t="str">
        <f>Tab_Data_Flows[[#This Row],[UoM_Flow_Py]]</f>
        <v>Mg</v>
      </c>
      <c r="AF136" s="111">
        <f>INDEX(Tab_Def_Flows[[Flow_ID]:[CC_DM_source]],MATCH(Tab_Data_Flows[[#This Row],[Name(EN)]],Tab_Def_Flows[Name(EN)],0),18)</f>
        <v>3.2610713475382108E-2</v>
      </c>
      <c r="AG136" s="112">
        <f>IF(K136="Yes",AF136*Tab_Data_Flows[[#This Row],[Flow_Py]]-AJ240,"N.A.")</f>
        <v>45.125887350467565</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x14ac:dyDescent="0.25">
      <c r="A137" s="60"/>
      <c r="B137" s="49" t="str">
        <f>_xlfn.XLOOKUP(C137,Tab_Def_Flows[Name(EN)],Tab_Def_Flows[Flow_ID],,0,)</f>
        <v>F_00_04</v>
      </c>
      <c r="C137" s="51" t="s">
        <v>499</v>
      </c>
      <c r="D137" s="49">
        <f>_xlfn.XLOOKUP(C137,Tab_Def_Flows[Name(EN)],Tab_Def_Flows[Type_Biomass],,0,)</f>
        <v>0</v>
      </c>
      <c r="E137" s="49" t="str">
        <f>_xlfn.XLOOKUP(C137,Tab_Def_Flows[Name(EN)],Tab_Def_Flows[Output_Process],,0,)</f>
        <v>Environment_</v>
      </c>
      <c r="F137" s="49" t="str">
        <f>_xlfn.XLOOKUP(C137,Tab_Def_Flows[Name(EN)],Tab_Def_Flows[Process_ID_O],,0,)</f>
        <v>00_Env_BB</v>
      </c>
      <c r="G137" s="49" t="str">
        <f>_xlfn.XLOOKUP(C137,Tab_Def_Flows[Name(EN)],Tab_Def_Flows[Input_Process],,0,)</f>
        <v>Cow-Manure_Production</v>
      </c>
      <c r="H137" s="61" t="str">
        <f>_xlfn.XLOOKUP(C137,Tab_Def_Flows[Name(EN)],Tab_Def_Flows[Process_ID_I],,0,)</f>
        <v>04_Cow_BB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2030</v>
      </c>
      <c r="N137" s="51"/>
      <c r="O137" s="119">
        <v>35286.260397387232</v>
      </c>
      <c r="P137" s="51" t="s">
        <v>389</v>
      </c>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4"/>
        <v>35286.260397387232</v>
      </c>
      <c r="AB137" s="51" t="s">
        <v>63</v>
      </c>
      <c r="AC137" s="111">
        <f>INDEX(Tab_Def_Flows[[Flow_ID]:[CC_DM_source]],MATCH(Tab_Data_Flows[[#This Row],[Name(EN)]],Tab_Def_Flows[Name(EN)],0),16)</f>
        <v>0.96738928652461786</v>
      </c>
      <c r="AD137" s="112">
        <f>IF(J137="Yes",AA137*Tab_Data_Flows[[#This Row],[WC_'[%']]],"N.A.")</f>
        <v>34135.550269950312</v>
      </c>
      <c r="AE137" s="61" t="str">
        <f>Tab_Data_Flows[[#This Row],[UoM_Flow_Py]]</f>
        <v>Mg</v>
      </c>
      <c r="AF137" s="111">
        <f>INDEX(Tab_Def_Flows[[Flow_ID]:[CC_DM_source]],MATCH(Tab_Data_Flows[[#This Row],[Name(EN)]],Tab_Def_Flows[Name(EN)],0),18)</f>
        <v>3.2610713475382108E-2</v>
      </c>
      <c r="AG137" s="112">
        <f>IF(K137="Yes",AF137*Tab_Data_Flows[[#This Row],[Flow_Py]]-AJ241,"N.A.")</f>
        <v>45.125887350467565</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x14ac:dyDescent="0.25">
      <c r="A138" s="60"/>
      <c r="B138" s="49" t="str">
        <f>_xlfn.XLOOKUP(C138,Tab_Def_Flows[Name(EN)],Tab_Def_Flows[Flow_ID],,0,)</f>
        <v>F_00_04</v>
      </c>
      <c r="C138" s="51" t="s">
        <v>499</v>
      </c>
      <c r="D138" s="49">
        <f>_xlfn.XLOOKUP(C138,Tab_Def_Flows[Name(EN)],Tab_Def_Flows[Type_Biomass],,0,)</f>
        <v>0</v>
      </c>
      <c r="E138" s="49" t="str">
        <f>_xlfn.XLOOKUP(C138,Tab_Def_Flows[Name(EN)],Tab_Def_Flows[Output_Process],,0,)</f>
        <v>Environment_</v>
      </c>
      <c r="F138" s="49" t="str">
        <f>_xlfn.XLOOKUP(C138,Tab_Def_Flows[Name(EN)],Tab_Def_Flows[Process_ID_O],,0,)</f>
        <v>00_Env_BB</v>
      </c>
      <c r="G138" s="49" t="str">
        <f>_xlfn.XLOOKUP(C138,Tab_Def_Flows[Name(EN)],Tab_Def_Flows[Input_Process],,0,)</f>
        <v>Cow-Manure_Production</v>
      </c>
      <c r="H138" s="61" t="str">
        <f>_xlfn.XLOOKUP(C138,Tab_Def_Flows[Name(EN)],Tab_Def_Flows[Process_ID_I],,0,)</f>
        <v>04_Cow_BB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2031</v>
      </c>
      <c r="N138" s="51"/>
      <c r="O138" s="119">
        <v>54627.037662016723</v>
      </c>
      <c r="P138" s="51" t="s">
        <v>389</v>
      </c>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4"/>
        <v>54627.037662016723</v>
      </c>
      <c r="AB138" s="51" t="s">
        <v>63</v>
      </c>
      <c r="AC138" s="111">
        <f>INDEX(Tab_Def_Flows[[Flow_ID]:[CC_DM_source]],MATCH(Tab_Data_Flows[[#This Row],[Name(EN)]],Tab_Def_Flows[Name(EN)],0),16)</f>
        <v>0.96738928652461786</v>
      </c>
      <c r="AD138" s="112">
        <f>IF(J138="Yes",AA138*Tab_Data_Flows[[#This Row],[WC_'[%']]],"N.A.")</f>
        <v>52845.610988811786</v>
      </c>
      <c r="AE138" s="61" t="str">
        <f>Tab_Data_Flows[[#This Row],[UoM_Flow_Py]]</f>
        <v>Mg</v>
      </c>
      <c r="AF138" s="111">
        <f>INDEX(Tab_Def_Flows[[Flow_ID]:[CC_DM_source]],MATCH(Tab_Data_Flows[[#This Row],[Name(EN)]],Tab_Def_Flows[Name(EN)],0),18)</f>
        <v>3.2610713475382108E-2</v>
      </c>
      <c r="AG138" s="112">
        <f>IF(K138="Yes",AF138*Tab_Data_Flows[[#This Row],[Flow_Py]]-AJ242,"N.A.")</f>
        <v>69.859869537448503</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x14ac:dyDescent="0.25">
      <c r="A139" s="60"/>
      <c r="B139" s="49" t="str">
        <f>_xlfn.XLOOKUP(C139,Tab_Def_Flows[Name(EN)],Tab_Def_Flows[Flow_ID],,0,)</f>
        <v>F_00_04</v>
      </c>
      <c r="C139" s="51" t="s">
        <v>499</v>
      </c>
      <c r="D139" s="49">
        <f>_xlfn.XLOOKUP(C139,Tab_Def_Flows[Name(EN)],Tab_Def_Flows[Type_Biomass],,0,)</f>
        <v>0</v>
      </c>
      <c r="E139" s="49" t="str">
        <f>_xlfn.XLOOKUP(C139,Tab_Def_Flows[Name(EN)],Tab_Def_Flows[Output_Process],,0,)</f>
        <v>Environment_</v>
      </c>
      <c r="F139" s="49" t="str">
        <f>_xlfn.XLOOKUP(C139,Tab_Def_Flows[Name(EN)],Tab_Def_Flows[Process_ID_O],,0,)</f>
        <v>00_Env_BB</v>
      </c>
      <c r="G139" s="49" t="str">
        <f>_xlfn.XLOOKUP(C139,Tab_Def_Flows[Name(EN)],Tab_Def_Flows[Input_Process],,0,)</f>
        <v>Cow-Manure_Production</v>
      </c>
      <c r="H139" s="61" t="str">
        <f>_xlfn.XLOOKUP(C139,Tab_Def_Flows[Name(EN)],Tab_Def_Flows[Process_ID_I],,0,)</f>
        <v>04_Cow_BB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2032</v>
      </c>
      <c r="N139" s="51"/>
      <c r="O139" s="119">
        <v>45968.641903816984</v>
      </c>
      <c r="P139" s="51" t="s">
        <v>389</v>
      </c>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4"/>
        <v>45968.641903816984</v>
      </c>
      <c r="AB139" s="51" t="s">
        <v>63</v>
      </c>
      <c r="AC139" s="111">
        <f>INDEX(Tab_Def_Flows[[Flow_ID]:[CC_DM_source]],MATCH(Tab_Data_Flows[[#This Row],[Name(EN)]],Tab_Def_Flows[Name(EN)],0),16)</f>
        <v>0.96738928652461786</v>
      </c>
      <c r="AD139" s="112">
        <f>IF(J139="Yes",AA139*Tab_Data_Flows[[#This Row],[WC_'[%']]],"N.A.")</f>
        <v>44469.571693839163</v>
      </c>
      <c r="AE139" s="61" t="str">
        <f>Tab_Data_Flows[[#This Row],[UoM_Flow_Py]]</f>
        <v>Mg</v>
      </c>
      <c r="AF139" s="111">
        <f>INDEX(Tab_Def_Flows[[Flow_ID]:[CC_DM_source]],MATCH(Tab_Data_Flows[[#This Row],[Name(EN)]],Tab_Def_Flows[Name(EN)],0),18)</f>
        <v>3.2610713475382108E-2</v>
      </c>
      <c r="AG139" s="112">
        <f>IF(K139="Yes",AF139*Tab_Data_Flows[[#This Row],[Flow_Py]]-AJ243,"N.A.")</f>
        <v>58.787067057953664</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x14ac:dyDescent="0.25">
      <c r="A140" s="60"/>
      <c r="B140" s="49" t="str">
        <f>_xlfn.XLOOKUP(C140,Tab_Def_Flows[Name(EN)],Tab_Def_Flows[Flow_ID],,0,)</f>
        <v>F_00_04</v>
      </c>
      <c r="C140" s="51" t="s">
        <v>499</v>
      </c>
      <c r="D140" s="49">
        <f>_xlfn.XLOOKUP(C140,Tab_Def_Flows[Name(EN)],Tab_Def_Flows[Type_Biomass],,0,)</f>
        <v>0</v>
      </c>
      <c r="E140" s="49" t="str">
        <f>_xlfn.XLOOKUP(C140,Tab_Def_Flows[Name(EN)],Tab_Def_Flows[Output_Process],,0,)</f>
        <v>Environment_</v>
      </c>
      <c r="F140" s="49" t="str">
        <f>_xlfn.XLOOKUP(C140,Tab_Def_Flows[Name(EN)],Tab_Def_Flows[Process_ID_O],,0,)</f>
        <v>00_Env_BB</v>
      </c>
      <c r="G140" s="49" t="str">
        <f>_xlfn.XLOOKUP(C140,Tab_Def_Flows[Name(EN)],Tab_Def_Flows[Input_Process],,0,)</f>
        <v>Cow-Manure_Production</v>
      </c>
      <c r="H140" s="61" t="str">
        <f>_xlfn.XLOOKUP(C140,Tab_Def_Flows[Name(EN)],Tab_Def_Flows[Process_ID_I],,0,)</f>
        <v>04_Cow_BB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2033</v>
      </c>
      <c r="N140" s="51"/>
      <c r="O140" s="119">
        <v>32776.328123057181</v>
      </c>
      <c r="P140" s="51" t="s">
        <v>389</v>
      </c>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4"/>
        <v>32776.328123057181</v>
      </c>
      <c r="AB140" s="51" t="s">
        <v>63</v>
      </c>
      <c r="AC140" s="111">
        <f>INDEX(Tab_Def_Flows[[Flow_ID]:[CC_DM_source]],MATCH(Tab_Data_Flows[[#This Row],[Name(EN)]],Tab_Def_Flows[Name(EN)],0),16)</f>
        <v>0.96738928652461786</v>
      </c>
      <c r="AD140" s="112">
        <f>IF(J140="Yes",AA140*Tab_Data_Flows[[#This Row],[WC_'[%']]],"N.A.")</f>
        <v>31707.468677861052</v>
      </c>
      <c r="AE140" s="61" t="str">
        <f>Tab_Data_Flows[[#This Row],[UoM_Flow_Py]]</f>
        <v>Mg</v>
      </c>
      <c r="AF140" s="111">
        <f>INDEX(Tab_Def_Flows[[Flow_ID]:[CC_DM_source]],MATCH(Tab_Data_Flows[[#This Row],[Name(EN)]],Tab_Def_Flows[Name(EN)],0),18)</f>
        <v>3.2610713475382108E-2</v>
      </c>
      <c r="AG140" s="112">
        <f>IF(K140="Yes",AF140*Tab_Data_Flows[[#This Row],[Flow_Py]]-AJ244,"N.A.")</f>
        <v>41.91605667435806</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x14ac:dyDescent="0.25">
      <c r="A141" s="60"/>
      <c r="B141" s="49" t="str">
        <f>_xlfn.XLOOKUP(C141,Tab_Def_Flows[Name(EN)],Tab_Def_Flows[Flow_ID],,0,)</f>
        <v>F_00_04</v>
      </c>
      <c r="C141" s="51" t="s">
        <v>499</v>
      </c>
      <c r="D141" s="49">
        <f>_xlfn.XLOOKUP(C141,Tab_Def_Flows[Name(EN)],Tab_Def_Flows[Type_Biomass],,0,)</f>
        <v>0</v>
      </c>
      <c r="E141" s="49" t="str">
        <f>_xlfn.XLOOKUP(C141,Tab_Def_Flows[Name(EN)],Tab_Def_Flows[Output_Process],,0,)</f>
        <v>Environment_</v>
      </c>
      <c r="F141" s="49" t="str">
        <f>_xlfn.XLOOKUP(C141,Tab_Def_Flows[Name(EN)],Tab_Def_Flows[Process_ID_O],,0,)</f>
        <v>00_Env_BB</v>
      </c>
      <c r="G141" s="49" t="str">
        <f>_xlfn.XLOOKUP(C141,Tab_Def_Flows[Name(EN)],Tab_Def_Flows[Input_Process],,0,)</f>
        <v>Cow-Manure_Production</v>
      </c>
      <c r="H141" s="61" t="str">
        <f>_xlfn.XLOOKUP(C141,Tab_Def_Flows[Name(EN)],Tab_Def_Flows[Process_ID_I],,0,)</f>
        <v>04_Cow_BB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2034</v>
      </c>
      <c r="N141" s="51"/>
      <c r="O141" s="119">
        <v>43570.567027460012</v>
      </c>
      <c r="P141" s="51" t="s">
        <v>389</v>
      </c>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4"/>
        <v>43570.567027460012</v>
      </c>
      <c r="AB141" s="51" t="s">
        <v>63</v>
      </c>
      <c r="AC141" s="111">
        <f>INDEX(Tab_Def_Flows[[Flow_ID]:[CC_DM_source]],MATCH(Tab_Data_Flows[[#This Row],[Name(EN)]],Tab_Def_Flows[Name(EN)],0),16)</f>
        <v>0.96738928652461786</v>
      </c>
      <c r="AD141" s="112">
        <f>IF(J141="Yes",AA141*Tab_Data_Flows[[#This Row],[WC_'[%']]],"N.A.")</f>
        <v>42149.69975016758</v>
      </c>
      <c r="AE141" s="61" t="str">
        <f>Tab_Data_Flows[[#This Row],[UoM_Flow_Py]]</f>
        <v>Mg</v>
      </c>
      <c r="AF141" s="111">
        <f>INDEX(Tab_Def_Flows[[Flow_ID]:[CC_DM_source]],MATCH(Tab_Data_Flows[[#This Row],[Name(EN)]],Tab_Def_Flows[Name(EN)],0),18)</f>
        <v>3.2610713475382108E-2</v>
      </c>
      <c r="AG141" s="112">
        <f>IF(K141="Yes",AF141*Tab_Data_Flows[[#This Row],[Flow_Py]]-AJ245,"N.A.")</f>
        <v>55.720285384016961</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x14ac:dyDescent="0.25">
      <c r="A142" s="60"/>
      <c r="B142" s="49" t="str">
        <f>_xlfn.XLOOKUP(C142,Tab_Def_Flows[Name(EN)],Tab_Def_Flows[Flow_ID],,0,)</f>
        <v>F_00_04</v>
      </c>
      <c r="C142" s="51" t="s">
        <v>499</v>
      </c>
      <c r="D142" s="49">
        <f>_xlfn.XLOOKUP(C142,Tab_Def_Flows[Name(EN)],Tab_Def_Flows[Type_Biomass],,0,)</f>
        <v>0</v>
      </c>
      <c r="E142" s="49" t="str">
        <f>_xlfn.XLOOKUP(C142,Tab_Def_Flows[Name(EN)],Tab_Def_Flows[Output_Process],,0,)</f>
        <v>Environment_</v>
      </c>
      <c r="F142" s="49" t="str">
        <f>_xlfn.XLOOKUP(C142,Tab_Def_Flows[Name(EN)],Tab_Def_Flows[Process_ID_O],,0,)</f>
        <v>00_Env_BB</v>
      </c>
      <c r="G142" s="49" t="str">
        <f>_xlfn.XLOOKUP(C142,Tab_Def_Flows[Name(EN)],Tab_Def_Flows[Input_Process],,0,)</f>
        <v>Cow-Manure_Production</v>
      </c>
      <c r="H142" s="61" t="str">
        <f>_xlfn.XLOOKUP(C142,Tab_Def_Flows[Name(EN)],Tab_Def_Flows[Process_ID_I],,0,)</f>
        <v>04_Cow_BB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2035</v>
      </c>
      <c r="N142" s="51"/>
      <c r="O142" s="119">
        <v>32840.698889815278</v>
      </c>
      <c r="P142" s="51" t="s">
        <v>389</v>
      </c>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4"/>
        <v>32840.698889815278</v>
      </c>
      <c r="AB142" s="51" t="s">
        <v>63</v>
      </c>
      <c r="AC142" s="111">
        <f>INDEX(Tab_Def_Flows[[Flow_ID]:[CC_DM_source]],MATCH(Tab_Data_Flows[[#This Row],[Name(EN)]],Tab_Def_Flows[Name(EN)],0),16)</f>
        <v>0.96738928652461786</v>
      </c>
      <c r="AD142" s="112">
        <f>IF(J142="Yes",AA142*Tab_Data_Flows[[#This Row],[WC_'[%']]],"N.A.")</f>
        <v>31769.740267988211</v>
      </c>
      <c r="AE142" s="61" t="str">
        <f>Tab_Data_Flows[[#This Row],[UoM_Flow_Py]]</f>
        <v>Mg</v>
      </c>
      <c r="AF142" s="111">
        <f>INDEX(Tab_Def_Flows[[Flow_ID]:[CC_DM_source]],MATCH(Tab_Data_Flows[[#This Row],[Name(EN)]],Tab_Def_Flows[Name(EN)],0),18)</f>
        <v>3.2610713475382108E-2</v>
      </c>
      <c r="AG142" s="112">
        <f>IF(K142="Yes",AF142*Tab_Data_Flows[[#This Row],[Flow_Py]]-AJ246,"N.A.")</f>
        <v>41.998377326551918</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x14ac:dyDescent="0.25">
      <c r="A143" s="60"/>
      <c r="B143" s="49" t="str">
        <f>_xlfn.XLOOKUP(C143,Tab_Def_Flows[Name(EN)],Tab_Def_Flows[Flow_ID],,0,)</f>
        <v>F_00_04</v>
      </c>
      <c r="C143" s="51" t="s">
        <v>499</v>
      </c>
      <c r="D143" s="49">
        <f>_xlfn.XLOOKUP(C143,Tab_Def_Flows[Name(EN)],Tab_Def_Flows[Type_Biomass],,0,)</f>
        <v>0</v>
      </c>
      <c r="E143" s="49" t="str">
        <f>_xlfn.XLOOKUP(C143,Tab_Def_Flows[Name(EN)],Tab_Def_Flows[Output_Process],,0,)</f>
        <v>Environment_</v>
      </c>
      <c r="F143" s="49" t="str">
        <f>_xlfn.XLOOKUP(C143,Tab_Def_Flows[Name(EN)],Tab_Def_Flows[Process_ID_O],,0,)</f>
        <v>00_Env_BB</v>
      </c>
      <c r="G143" s="49" t="str">
        <f>_xlfn.XLOOKUP(C143,Tab_Def_Flows[Name(EN)],Tab_Def_Flows[Input_Process],,0,)</f>
        <v>Cow-Manure_Production</v>
      </c>
      <c r="H143" s="61" t="str">
        <f>_xlfn.XLOOKUP(C143,Tab_Def_Flows[Name(EN)],Tab_Def_Flows[Process_ID_I],,0,)</f>
        <v>04_Cow_BB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2036</v>
      </c>
      <c r="N143" s="51"/>
      <c r="O143" s="119">
        <v>32815.90031573634</v>
      </c>
      <c r="P143" s="51" t="s">
        <v>389</v>
      </c>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4"/>
        <v>32815.90031573634</v>
      </c>
      <c r="AB143" s="51" t="s">
        <v>63</v>
      </c>
      <c r="AC143" s="111">
        <f>INDEX(Tab_Def_Flows[[Flow_ID]:[CC_DM_source]],MATCH(Tab_Data_Flows[[#This Row],[Name(EN)]],Tab_Def_Flows[Name(EN)],0),16)</f>
        <v>0.96738928652461786</v>
      </c>
      <c r="AD143" s="112">
        <f>IF(J143="Yes",AA143*Tab_Data_Flows[[#This Row],[WC_'[%']]],"N.A.")</f>
        <v>31745.750393103161</v>
      </c>
      <c r="AE143" s="61" t="str">
        <f>Tab_Data_Flows[[#This Row],[UoM_Flow_Py]]</f>
        <v>Mg</v>
      </c>
      <c r="AF143" s="111">
        <f>INDEX(Tab_Def_Flows[[Flow_ID]:[CC_DM_source]],MATCH(Tab_Data_Flows[[#This Row],[Name(EN)]],Tab_Def_Flows[Name(EN)],0),18)</f>
        <v>3.2610713475382108E-2</v>
      </c>
      <c r="AG143" s="112">
        <f>IF(K143="Yes",AF143*Tab_Data_Flows[[#This Row],[Flow_Py]]-AJ247,"N.A.")</f>
        <v>41.966663632673999</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x14ac:dyDescent="0.25">
      <c r="A144" s="60"/>
      <c r="B144" s="49" t="str">
        <f>_xlfn.XLOOKUP(C144,Tab_Def_Flows[Name(EN)],Tab_Def_Flows[Flow_ID],,0,)</f>
        <v>F_00_04</v>
      </c>
      <c r="C144" s="51" t="s">
        <v>499</v>
      </c>
      <c r="D144" s="49">
        <f>_xlfn.XLOOKUP(C144,Tab_Def_Flows[Name(EN)],Tab_Def_Flows[Type_Biomass],,0,)</f>
        <v>0</v>
      </c>
      <c r="E144" s="49" t="str">
        <f>_xlfn.XLOOKUP(C144,Tab_Def_Flows[Name(EN)],Tab_Def_Flows[Output_Process],,0,)</f>
        <v>Environment_</v>
      </c>
      <c r="F144" s="49" t="str">
        <f>_xlfn.XLOOKUP(C144,Tab_Def_Flows[Name(EN)],Tab_Def_Flows[Process_ID_O],,0,)</f>
        <v>00_Env_BB</v>
      </c>
      <c r="G144" s="49" t="str">
        <f>_xlfn.XLOOKUP(C144,Tab_Def_Flows[Name(EN)],Tab_Def_Flows[Input_Process],,0,)</f>
        <v>Cow-Manure_Production</v>
      </c>
      <c r="H144" s="61" t="str">
        <f>_xlfn.XLOOKUP(C144,Tab_Def_Flows[Name(EN)],Tab_Def_Flows[Process_ID_I],,0,)</f>
        <v>04_Cow_BB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2037</v>
      </c>
      <c r="N144" s="51"/>
      <c r="O144" s="119">
        <v>40364.164161976776</v>
      </c>
      <c r="P144" s="51" t="s">
        <v>389</v>
      </c>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4"/>
        <v>40364.164161976776</v>
      </c>
      <c r="AB144" s="51" t="s">
        <v>63</v>
      </c>
      <c r="AC144" s="111">
        <f>INDEX(Tab_Def_Flows[[Flow_ID]:[CC_DM_source]],MATCH(Tab_Data_Flows[[#This Row],[Name(EN)]],Tab_Def_Flows[Name(EN)],0),16)</f>
        <v>0.96738928652461786</v>
      </c>
      <c r="AD144" s="112">
        <f>IF(J144="Yes",AA144*Tab_Data_Flows[[#This Row],[WC_'[%']]],"N.A.")</f>
        <v>39047.859969817262</v>
      </c>
      <c r="AE144" s="61" t="str">
        <f>Tab_Data_Flows[[#This Row],[UoM_Flow_Py]]</f>
        <v>Mg</v>
      </c>
      <c r="AF144" s="111">
        <f>INDEX(Tab_Def_Flows[[Flow_ID]:[CC_DM_source]],MATCH(Tab_Data_Flows[[#This Row],[Name(EN)]],Tab_Def_Flows[Name(EN)],0),18)</f>
        <v>3.2610713475382108E-2</v>
      </c>
      <c r="AG144" s="112">
        <f>IF(K144="Yes",AF144*Tab_Data_Flows[[#This Row],[Flow_Py]]-AJ248,"N.A.")</f>
        <v>51.619772241549526</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x14ac:dyDescent="0.25">
      <c r="A145" s="60"/>
      <c r="B145" s="49" t="str">
        <f>_xlfn.XLOOKUP(C145,Tab_Def_Flows[Name(EN)],Tab_Def_Flows[Flow_ID],,0,)</f>
        <v>F_00_04</v>
      </c>
      <c r="C145" s="51" t="s">
        <v>499</v>
      </c>
      <c r="D145" s="49">
        <f>_xlfn.XLOOKUP(C145,Tab_Def_Flows[Name(EN)],Tab_Def_Flows[Type_Biomass],,0,)</f>
        <v>0</v>
      </c>
      <c r="E145" s="49" t="str">
        <f>_xlfn.XLOOKUP(C145,Tab_Def_Flows[Name(EN)],Tab_Def_Flows[Output_Process],,0,)</f>
        <v>Environment_</v>
      </c>
      <c r="F145" s="49" t="str">
        <f>_xlfn.XLOOKUP(C145,Tab_Def_Flows[Name(EN)],Tab_Def_Flows[Process_ID_O],,0,)</f>
        <v>00_Env_BB</v>
      </c>
      <c r="G145" s="49" t="str">
        <f>_xlfn.XLOOKUP(C145,Tab_Def_Flows[Name(EN)],Tab_Def_Flows[Input_Process],,0,)</f>
        <v>Cow-Manure_Production</v>
      </c>
      <c r="H145" s="61" t="str">
        <f>_xlfn.XLOOKUP(C145,Tab_Def_Flows[Name(EN)],Tab_Def_Flows[Process_ID_I],,0,)</f>
        <v>04_Cow_BB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2038</v>
      </c>
      <c r="N145" s="51"/>
      <c r="O145" s="119">
        <v>17376.941249271815</v>
      </c>
      <c r="P145" s="51" t="s">
        <v>389</v>
      </c>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4"/>
        <v>17376.941249271815</v>
      </c>
      <c r="AB145" s="51" t="s">
        <v>63</v>
      </c>
      <c r="AC145" s="111">
        <f>INDEX(Tab_Def_Flows[[Flow_ID]:[CC_DM_source]],MATCH(Tab_Data_Flows[[#This Row],[Name(EN)]],Tab_Def_Flows[Name(EN)],0),16)</f>
        <v>0.96738928652461786</v>
      </c>
      <c r="AD145" s="112">
        <f>IF(J145="Yes",AA145*Tab_Data_Flows[[#This Row],[WC_'[%']]],"N.A.")</f>
        <v>16810.266797113261</v>
      </c>
      <c r="AE145" s="61" t="str">
        <f>Tab_Data_Flows[[#This Row],[UoM_Flow_Py]]</f>
        <v>Mg</v>
      </c>
      <c r="AF145" s="111">
        <f>INDEX(Tab_Def_Flows[[Flow_ID]:[CC_DM_source]],MATCH(Tab_Data_Flows[[#This Row],[Name(EN)]],Tab_Def_Flows[Name(EN)],0),18)</f>
        <v>3.2610713475382108E-2</v>
      </c>
      <c r="AG145" s="112">
        <f>IF(K145="Yes",AF145*Tab_Data_Flows[[#This Row],[Flow_Py]]-AJ249,"N.A.")</f>
        <v>22.222527535629524</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x14ac:dyDescent="0.25">
      <c r="A146" s="60"/>
      <c r="B146" s="49" t="str">
        <f>_xlfn.XLOOKUP(C146,Tab_Def_Flows[Name(EN)],Tab_Def_Flows[Flow_ID],,0,)</f>
        <v>F_00_04</v>
      </c>
      <c r="C146" s="51" t="s">
        <v>499</v>
      </c>
      <c r="D146" s="49">
        <f>_xlfn.XLOOKUP(C146,Tab_Def_Flows[Name(EN)],Tab_Def_Flows[Type_Biomass],,0,)</f>
        <v>0</v>
      </c>
      <c r="E146" s="49" t="str">
        <f>_xlfn.XLOOKUP(C146,Tab_Def_Flows[Name(EN)],Tab_Def_Flows[Output_Process],,0,)</f>
        <v>Environment_</v>
      </c>
      <c r="F146" s="49" t="str">
        <f>_xlfn.XLOOKUP(C146,Tab_Def_Flows[Name(EN)],Tab_Def_Flows[Process_ID_O],,0,)</f>
        <v>00_Env_BB</v>
      </c>
      <c r="G146" s="49" t="str">
        <f>_xlfn.XLOOKUP(C146,Tab_Def_Flows[Name(EN)],Tab_Def_Flows[Input_Process],,0,)</f>
        <v>Cow-Manure_Production</v>
      </c>
      <c r="H146" s="61" t="str">
        <f>_xlfn.XLOOKUP(C146,Tab_Def_Flows[Name(EN)],Tab_Def_Flows[Process_ID_I],,0,)</f>
        <v>04_Cow_BB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2039</v>
      </c>
      <c r="N146" s="51"/>
      <c r="O146" s="119">
        <v>19385.625749665873</v>
      </c>
      <c r="P146" s="51" t="s">
        <v>389</v>
      </c>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4"/>
        <v>19385.625749665873</v>
      </c>
      <c r="AB146" s="51" t="s">
        <v>63</v>
      </c>
      <c r="AC146" s="111">
        <f>INDEX(Tab_Def_Flows[[Flow_ID]:[CC_DM_source]],MATCH(Tab_Data_Flows[[#This Row],[Name(EN)]],Tab_Def_Flows[Name(EN)],0),16)</f>
        <v>0.96738928652461786</v>
      </c>
      <c r="AD146" s="112">
        <f>IF(J146="Yes",AA146*Tab_Data_Flows[[#This Row],[WC_'[%']]],"N.A.")</f>
        <v>18753.446662802529</v>
      </c>
      <c r="AE146" s="61" t="str">
        <f>Tab_Data_Flows[[#This Row],[UoM_Flow_Py]]</f>
        <v>Mg</v>
      </c>
      <c r="AF146" s="111">
        <f>INDEX(Tab_Def_Flows[[Flow_ID]:[CC_DM_source]],MATCH(Tab_Data_Flows[[#This Row],[Name(EN)]],Tab_Def_Flows[Name(EN)],0),18)</f>
        <v>3.2610713475382108E-2</v>
      </c>
      <c r="AG146" s="112">
        <f>IF(K146="Yes",AF146*Tab_Data_Flows[[#This Row],[Flow_Py]]-AJ250,"N.A.")</f>
        <v>24.791336739739108</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x14ac:dyDescent="0.25">
      <c r="A147" s="60"/>
      <c r="B147" s="49" t="str">
        <f>_xlfn.XLOOKUP(C147,Tab_Def_Flows[Name(EN)],Tab_Def_Flows[Flow_ID],,0,)</f>
        <v>F_00_04</v>
      </c>
      <c r="C147" s="51" t="s">
        <v>499</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49">
        <f>_xlfn.XLOOKUP(C147,Tab_Def_Flows[Name(EN)],Tab_Def_Flows[Value_Source],,0,)</f>
        <v>0</v>
      </c>
      <c r="J147" s="49" t="str">
        <f>_xlfn.XLOOKUP(C147,Tab_Def_Flows[Name(EN)],Tab_Def_Flows[WC?],,0,)</f>
        <v>Yes</v>
      </c>
      <c r="K147" s="49" t="str">
        <f>_xlfn.XLOOKUP(C147,Tab_Def_Flows[Name(EN)],Tab_Def_Flows[DM?],,0,)</f>
        <v>Yes</v>
      </c>
      <c r="L147" s="49" t="str">
        <f>_xlfn.XLOOKUP(C147,Tab_Def_Flows[Name(EN)],Tab_Def_Flows[CC?],,0,)</f>
        <v>Yes</v>
      </c>
      <c r="M147" s="51">
        <v>2040</v>
      </c>
      <c r="N147" s="51"/>
      <c r="O147" s="119">
        <v>31786.495676842515</v>
      </c>
      <c r="P147" s="51" t="s">
        <v>389</v>
      </c>
      <c r="Q147" s="51"/>
      <c r="R147" s="51" t="e">
        <f>INDEX(Tab_WC_DM_CC[[Flow_ID]:[CC_source]],MATCH(Tab_Data_Flows[[#This Row],[Name(EN)]],Tab_WC_DM_CC[Name(EN)],0),12)</f>
        <v>#N/A</v>
      </c>
      <c r="S147" s="51" t="e">
        <f>MATCH(Tab_Data_Flows[[#This Row],[Name(EN)]],Tab_WC_DM_CC[Name(EN)],0)</f>
        <v>#N/A</v>
      </c>
      <c r="T147" s="51"/>
      <c r="U147" s="51"/>
      <c r="V147" s="51"/>
      <c r="W147" s="51"/>
      <c r="X147" s="51" t="s">
        <v>71</v>
      </c>
      <c r="Y147" s="51"/>
      <c r="Z147" s="51" t="str">
        <f>'3_1_Calculation_factors (Wood)'!$A$14</f>
        <v>Mittelwert</v>
      </c>
      <c r="AA147" s="86">
        <f t="shared" si="4"/>
        <v>31786.495676842515</v>
      </c>
      <c r="AB147" s="51" t="s">
        <v>63</v>
      </c>
      <c r="AC147" s="111">
        <f>INDEX(Tab_Def_Flows[[Flow_ID]:[CC_DM_source]],MATCH(Tab_Data_Flows[[#This Row],[Name(EN)]],Tab_Def_Flows[Name(EN)],0),16)</f>
        <v>0.96738928652461786</v>
      </c>
      <c r="AD147" s="112">
        <f>IF(J147="Yes",AA147*Tab_Data_Flows[[#This Row],[WC_'[%']]],"N.A.")</f>
        <v>30749.915373938529</v>
      </c>
      <c r="AE147" s="61" t="str">
        <f>Tab_Data_Flows[[#This Row],[UoM_Flow_Py]]</f>
        <v>Mg</v>
      </c>
      <c r="AF147" s="111">
        <f>INDEX(Tab_Def_Flows[[Flow_ID]:[CC_DM_source]],MATCH(Tab_Data_Flows[[#This Row],[Name(EN)]],Tab_Def_Flows[Name(EN)],0),18)</f>
        <v>3.2610713475382108E-2</v>
      </c>
      <c r="AG147" s="112">
        <f>IF(K147="Yes",AF147*Tab_Data_Flows[[#This Row],[Flow_Py]]-AJ251,"N.A.")</f>
        <v>40.650207957019006</v>
      </c>
      <c r="AH147" s="61" t="str">
        <f>Tab_Data_Flows[[#This Row],[UoM_Flow_Py]]</f>
        <v>Mg</v>
      </c>
      <c r="AI147" s="111">
        <f>INDEX(Tab_Def_Flows[[Flow_ID]:[CC_DM_source]],MATCH(Tab_Data_Flows[[#This Row],[Name(EN)]],Tab_Def_Flows[Name(EN)],0),20)</f>
        <v>0</v>
      </c>
      <c r="AJ147" s="112">
        <f>IF(L147="Yes",AI147*Tab_Data_Flows[[#This Row],[Flow_Py]]*Tab_Data_Flows[[#This Row],[DM_'[%']]],"N.A.")</f>
        <v>0</v>
      </c>
      <c r="AK147" s="61" t="str">
        <f>Tab_Data_Flows[[#This Row],[UoM_Flow_Py]]</f>
        <v>Mg</v>
      </c>
    </row>
    <row r="148" spans="1:37" x14ac:dyDescent="0.25">
      <c r="A148" s="60"/>
      <c r="B148" s="49" t="str">
        <f>_xlfn.XLOOKUP(C148,Tab_Def_Flows[Name(EN)],Tab_Def_Flows[Flow_ID],,0,)</f>
        <v>F_00_04</v>
      </c>
      <c r="C148" s="51" t="s">
        <v>499</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49">
        <f>_xlfn.XLOOKUP(C148,Tab_Def_Flows[Name(EN)],Tab_Def_Flows[Value_Source],,0,)</f>
        <v>0</v>
      </c>
      <c r="J148" s="49" t="str">
        <f>_xlfn.XLOOKUP(C148,Tab_Def_Flows[Name(EN)],Tab_Def_Flows[WC?],,0,)</f>
        <v>Yes</v>
      </c>
      <c r="K148" s="49" t="str">
        <f>_xlfn.XLOOKUP(C148,Tab_Def_Flows[Name(EN)],Tab_Def_Flows[DM?],,0,)</f>
        <v>Yes</v>
      </c>
      <c r="L148" s="49" t="str">
        <f>_xlfn.XLOOKUP(C148,Tab_Def_Flows[Name(EN)],Tab_Def_Flows[CC?],,0,)</f>
        <v>Yes</v>
      </c>
      <c r="M148" s="51">
        <v>2041</v>
      </c>
      <c r="N148" s="51"/>
      <c r="O148" s="119">
        <v>26980.848597885579</v>
      </c>
      <c r="P148" s="51" t="s">
        <v>389</v>
      </c>
      <c r="Q148" s="51"/>
      <c r="R148" s="51" t="e">
        <f>INDEX(Tab_WC_DM_CC[[Flow_ID]:[CC_source]],MATCH(Tab_Data_Flows[[#This Row],[Name(EN)]],Tab_WC_DM_CC[Name(EN)],0),12)</f>
        <v>#N/A</v>
      </c>
      <c r="S148" s="51" t="e">
        <f>MATCH(Tab_Data_Flows[[#This Row],[Name(EN)]],Tab_WC_DM_CC[Name(EN)],0)</f>
        <v>#N/A</v>
      </c>
      <c r="T148" s="51"/>
      <c r="U148" s="51"/>
      <c r="V148" s="51"/>
      <c r="W148" s="51"/>
      <c r="X148" s="51" t="s">
        <v>71</v>
      </c>
      <c r="Y148" s="51"/>
      <c r="Z148" s="51" t="str">
        <f>'3_1_Calculation_factors (Wood)'!$A$14</f>
        <v>Mittelwert</v>
      </c>
      <c r="AA148" s="86">
        <f t="shared" si="4"/>
        <v>26980.848597885579</v>
      </c>
      <c r="AB148" s="51" t="s">
        <v>63</v>
      </c>
      <c r="AC148" s="111">
        <f>INDEX(Tab_Def_Flows[[Flow_ID]:[CC_DM_source]],MATCH(Tab_Data_Flows[[#This Row],[Name(EN)]],Tab_Def_Flows[Name(EN)],0),16)</f>
        <v>0.96738928652461786</v>
      </c>
      <c r="AD148" s="112">
        <f>IF(J148="Yes",AA148*Tab_Data_Flows[[#This Row],[WC_'[%']]],"N.A.")</f>
        <v>26100.983874937265</v>
      </c>
      <c r="AE148" s="61" t="str">
        <f>Tab_Data_Flows[[#This Row],[UoM_Flow_Py]]</f>
        <v>Mg</v>
      </c>
      <c r="AF148" s="111">
        <f>INDEX(Tab_Def_Flows[[Flow_ID]:[CC_DM_source]],MATCH(Tab_Data_Flows[[#This Row],[Name(EN)]],Tab_Def_Flows[Name(EN)],0),18)</f>
        <v>3.2610713475382108E-2</v>
      </c>
      <c r="AG148" s="112">
        <f>IF(K148="Yes",AF148*Tab_Data_Flows[[#This Row],[Flow_Py]]-AJ252,"N.A.")</f>
        <v>34.504498939149585</v>
      </c>
      <c r="AH148" s="61" t="str">
        <f>Tab_Data_Flows[[#This Row],[UoM_Flow_Py]]</f>
        <v>Mg</v>
      </c>
      <c r="AI148" s="111">
        <f>INDEX(Tab_Def_Flows[[Flow_ID]:[CC_DM_source]],MATCH(Tab_Data_Flows[[#This Row],[Name(EN)]],Tab_Def_Flows[Name(EN)],0),20)</f>
        <v>0</v>
      </c>
      <c r="AJ148" s="112">
        <f>IF(L148="Yes",AI148*Tab_Data_Flows[[#This Row],[Flow_Py]]*Tab_Data_Flows[[#This Row],[DM_'[%']]],"N.A.")</f>
        <v>0</v>
      </c>
      <c r="AK148" s="61" t="str">
        <f>Tab_Data_Flows[[#This Row],[UoM_Flow_Py]]</f>
        <v>Mg</v>
      </c>
    </row>
    <row r="149" spans="1:37" x14ac:dyDescent="0.25">
      <c r="A149" s="60"/>
      <c r="B149" s="49" t="str">
        <f>_xlfn.XLOOKUP(C149,Tab_Def_Flows[Name(EN)],Tab_Def_Flows[Flow_ID],,0,)</f>
        <v>F_00_04</v>
      </c>
      <c r="C149" s="51" t="s">
        <v>499</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49">
        <f>_xlfn.XLOOKUP(C149,Tab_Def_Flows[Name(EN)],Tab_Def_Flows[Value_Source],,0,)</f>
        <v>0</v>
      </c>
      <c r="J149" s="49" t="str">
        <f>_xlfn.XLOOKUP(C149,Tab_Def_Flows[Name(EN)],Tab_Def_Flows[WC?],,0,)</f>
        <v>Yes</v>
      </c>
      <c r="K149" s="49" t="str">
        <f>_xlfn.XLOOKUP(C149,Tab_Def_Flows[Name(EN)],Tab_Def_Flows[DM?],,0,)</f>
        <v>Yes</v>
      </c>
      <c r="L149" s="49" t="str">
        <f>_xlfn.XLOOKUP(C149,Tab_Def_Flows[Name(EN)],Tab_Def_Flows[CC?],,0,)</f>
        <v>Yes</v>
      </c>
      <c r="M149" s="51">
        <v>2042</v>
      </c>
      <c r="N149" s="51"/>
      <c r="O149" s="119">
        <v>41135.030475366773</v>
      </c>
      <c r="P149" s="51" t="s">
        <v>389</v>
      </c>
      <c r="Q149" s="51"/>
      <c r="R149" s="51" t="e">
        <f>INDEX(Tab_WC_DM_CC[[Flow_ID]:[CC_source]],MATCH(Tab_Data_Flows[[#This Row],[Name(EN)]],Tab_WC_DM_CC[Name(EN)],0),12)</f>
        <v>#N/A</v>
      </c>
      <c r="S149" s="51" t="e">
        <f>MATCH(Tab_Data_Flows[[#This Row],[Name(EN)]],Tab_WC_DM_CC[Name(EN)],0)</f>
        <v>#N/A</v>
      </c>
      <c r="T149" s="51"/>
      <c r="U149" s="51"/>
      <c r="V149" s="51"/>
      <c r="W149" s="51"/>
      <c r="X149" s="51" t="s">
        <v>71</v>
      </c>
      <c r="Y149" s="51"/>
      <c r="Z149" s="51" t="str">
        <f>'3_1_Calculation_factors (Wood)'!$A$14</f>
        <v>Mittelwert</v>
      </c>
      <c r="AA149" s="86">
        <f t="shared" si="4"/>
        <v>41135.030475366773</v>
      </c>
      <c r="AB149" s="51" t="s">
        <v>63</v>
      </c>
      <c r="AC149" s="111">
        <f>INDEX(Tab_Def_Flows[[Flow_ID]:[CC_DM_source]],MATCH(Tab_Data_Flows[[#This Row],[Name(EN)]],Tab_Def_Flows[Name(EN)],0),16)</f>
        <v>0.96738928652461786</v>
      </c>
      <c r="AD149" s="112">
        <f>IF(J149="Yes",AA149*Tab_Data_Flows[[#This Row],[WC_'[%']]],"N.A.")</f>
        <v>39793.587782733477</v>
      </c>
      <c r="AE149" s="61" t="str">
        <f>Tab_Data_Flows[[#This Row],[UoM_Flow_Py]]</f>
        <v>Mg</v>
      </c>
      <c r="AF149" s="111">
        <f>INDEX(Tab_Def_Flows[[Flow_ID]:[CC_DM_source]],MATCH(Tab_Data_Flows[[#This Row],[Name(EN)]],Tab_Def_Flows[Name(EN)],0),18)</f>
        <v>3.2610713475382108E-2</v>
      </c>
      <c r="AG149" s="112">
        <f>IF(K149="Yes",AF149*Tab_Data_Flows[[#This Row],[Flow_Py]]-AJ253,"N.A.")</f>
        <v>52.605595789541212</v>
      </c>
      <c r="AH149" s="61" t="str">
        <f>Tab_Data_Flows[[#This Row],[UoM_Flow_Py]]</f>
        <v>Mg</v>
      </c>
      <c r="AI149" s="111">
        <f>INDEX(Tab_Def_Flows[[Flow_ID]:[CC_DM_source]],MATCH(Tab_Data_Flows[[#This Row],[Name(EN)]],Tab_Def_Flows[Name(EN)],0),20)</f>
        <v>0</v>
      </c>
      <c r="AJ149" s="112">
        <f>IF(L149="Yes",AI149*Tab_Data_Flows[[#This Row],[Flow_Py]]*Tab_Data_Flows[[#This Row],[DM_'[%']]],"N.A.")</f>
        <v>0</v>
      </c>
      <c r="AK149" s="61" t="str">
        <f>Tab_Data_Flows[[#This Row],[UoM_Flow_Py]]</f>
        <v>Mg</v>
      </c>
    </row>
    <row r="150" spans="1:37" x14ac:dyDescent="0.25">
      <c r="A150" s="60"/>
      <c r="B150" s="49" t="str">
        <f>_xlfn.XLOOKUP(C150,Tab_Def_Flows[Name(EN)],Tab_Def_Flows[Flow_ID],,0,)</f>
        <v>F_00_04</v>
      </c>
      <c r="C150" s="51" t="s">
        <v>499</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49">
        <f>_xlfn.XLOOKUP(C150,Tab_Def_Flows[Name(EN)],Tab_Def_Flows[Value_Source],,0,)</f>
        <v>0</v>
      </c>
      <c r="J150" s="49" t="str">
        <f>_xlfn.XLOOKUP(C150,Tab_Def_Flows[Name(EN)],Tab_Def_Flows[WC?],,0,)</f>
        <v>Yes</v>
      </c>
      <c r="K150" s="49" t="str">
        <f>_xlfn.XLOOKUP(C150,Tab_Def_Flows[Name(EN)],Tab_Def_Flows[DM?],,0,)</f>
        <v>Yes</v>
      </c>
      <c r="L150" s="49" t="str">
        <f>_xlfn.XLOOKUP(C150,Tab_Def_Flows[Name(EN)],Tab_Def_Flows[CC?],,0,)</f>
        <v>Yes</v>
      </c>
      <c r="M150" s="51">
        <v>2043</v>
      </c>
      <c r="N150" s="51"/>
      <c r="O150" s="119">
        <v>28098.894948380716</v>
      </c>
      <c r="P150" s="51" t="s">
        <v>389</v>
      </c>
      <c r="Q150" s="51"/>
      <c r="R150" s="51" t="e">
        <f>INDEX(Tab_WC_DM_CC[[Flow_ID]:[CC_source]],MATCH(Tab_Data_Flows[[#This Row],[Name(EN)]],Tab_WC_DM_CC[Name(EN)],0),12)</f>
        <v>#N/A</v>
      </c>
      <c r="S150" s="51" t="e">
        <f>MATCH(Tab_Data_Flows[[#This Row],[Name(EN)]],Tab_WC_DM_CC[Name(EN)],0)</f>
        <v>#N/A</v>
      </c>
      <c r="T150" s="51"/>
      <c r="U150" s="51"/>
      <c r="V150" s="51"/>
      <c r="W150" s="51"/>
      <c r="X150" s="51" t="s">
        <v>71</v>
      </c>
      <c r="Y150" s="51"/>
      <c r="Z150" s="51" t="str">
        <f>'3_1_Calculation_factors (Wood)'!$A$14</f>
        <v>Mittelwert</v>
      </c>
      <c r="AA150" s="86">
        <f t="shared" si="4"/>
        <v>28098.894948380716</v>
      </c>
      <c r="AB150" s="51" t="s">
        <v>63</v>
      </c>
      <c r="AC150" s="111">
        <f>INDEX(Tab_Def_Flows[[Flow_ID]:[CC_DM_source]],MATCH(Tab_Data_Flows[[#This Row],[Name(EN)]],Tab_Def_Flows[Name(EN)],0),16)</f>
        <v>0.96738928652461786</v>
      </c>
      <c r="AD150" s="112">
        <f>IF(J150="Yes",AA150*Tab_Data_Flows[[#This Row],[WC_'[%']]],"N.A.")</f>
        <v>27182.56993624421</v>
      </c>
      <c r="AE150" s="61" t="str">
        <f>Tab_Data_Flows[[#This Row],[UoM_Flow_Py]]</f>
        <v>Mg</v>
      </c>
      <c r="AF150" s="111">
        <f>INDEX(Tab_Def_Flows[[Flow_ID]:[CC_DM_source]],MATCH(Tab_Data_Flows[[#This Row],[Name(EN)]],Tab_Def_Flows[Name(EN)],0),18)</f>
        <v>3.2610713475382108E-2</v>
      </c>
      <c r="AG150" s="112">
        <f>IF(K150="Yes",AF150*Tab_Data_Flows[[#This Row],[Flow_Py]]-AJ254,"N.A.")</f>
        <v>35.934314201431675</v>
      </c>
      <c r="AH150" s="61" t="str">
        <f>Tab_Data_Flows[[#This Row],[UoM_Flow_Py]]</f>
        <v>Mg</v>
      </c>
      <c r="AI150" s="111">
        <f>INDEX(Tab_Def_Flows[[Flow_ID]:[CC_DM_source]],MATCH(Tab_Data_Flows[[#This Row],[Name(EN)]],Tab_Def_Flows[Name(EN)],0),20)</f>
        <v>0</v>
      </c>
      <c r="AJ150" s="112">
        <f>IF(L150="Yes",AI150*Tab_Data_Flows[[#This Row],[Flow_Py]]*Tab_Data_Flows[[#This Row],[DM_'[%']]],"N.A.")</f>
        <v>0</v>
      </c>
      <c r="AK150" s="61" t="str">
        <f>Tab_Data_Flows[[#This Row],[UoM_Flow_Py]]</f>
        <v>Mg</v>
      </c>
    </row>
    <row r="151" spans="1:37" x14ac:dyDescent="0.25">
      <c r="A151" s="60"/>
      <c r="B151" s="49" t="str">
        <f>_xlfn.XLOOKUP(C151,Tab_Def_Flows[Name(EN)],Tab_Def_Flows[Flow_ID],,0,)</f>
        <v>F_00_04</v>
      </c>
      <c r="C151" s="51" t="s">
        <v>499</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49">
        <f>_xlfn.XLOOKUP(C151,Tab_Def_Flows[Name(EN)],Tab_Def_Flows[Value_Source],,0,)</f>
        <v>0</v>
      </c>
      <c r="J151" s="49" t="str">
        <f>_xlfn.XLOOKUP(C151,Tab_Def_Flows[Name(EN)],Tab_Def_Flows[WC?],,0,)</f>
        <v>Yes</v>
      </c>
      <c r="K151" s="49" t="str">
        <f>_xlfn.XLOOKUP(C151,Tab_Def_Flows[Name(EN)],Tab_Def_Flows[DM?],,0,)</f>
        <v>Yes</v>
      </c>
      <c r="L151" s="49" t="str">
        <f>_xlfn.XLOOKUP(C151,Tab_Def_Flows[Name(EN)],Tab_Def_Flows[CC?],,0,)</f>
        <v>Yes</v>
      </c>
      <c r="M151" s="51">
        <v>2044</v>
      </c>
      <c r="N151" s="51"/>
      <c r="O151" s="119">
        <v>22720.242519429576</v>
      </c>
      <c r="P151" s="51" t="s">
        <v>389</v>
      </c>
      <c r="Q151" s="51"/>
      <c r="R151" s="51" t="e">
        <f>INDEX(Tab_WC_DM_CC[[Flow_ID]:[CC_source]],MATCH(Tab_Data_Flows[[#This Row],[Name(EN)]],Tab_WC_DM_CC[Name(EN)],0),12)</f>
        <v>#N/A</v>
      </c>
      <c r="S151" s="51" t="e">
        <f>MATCH(Tab_Data_Flows[[#This Row],[Name(EN)]],Tab_WC_DM_CC[Name(EN)],0)</f>
        <v>#N/A</v>
      </c>
      <c r="T151" s="51"/>
      <c r="U151" s="51"/>
      <c r="V151" s="51"/>
      <c r="W151" s="51"/>
      <c r="X151" s="51" t="s">
        <v>71</v>
      </c>
      <c r="Y151" s="51"/>
      <c r="Z151" s="51" t="str">
        <f>'3_1_Calculation_factors (Wood)'!$A$14</f>
        <v>Mittelwert</v>
      </c>
      <c r="AA151" s="86">
        <f t="shared" si="4"/>
        <v>22720.242519429576</v>
      </c>
      <c r="AB151" s="51" t="s">
        <v>63</v>
      </c>
      <c r="AC151" s="111">
        <f>INDEX(Tab_Def_Flows[[Flow_ID]:[CC_DM_source]],MATCH(Tab_Data_Flows[[#This Row],[Name(EN)]],Tab_Def_Flows[Name(EN)],0),16)</f>
        <v>0.96738928652461786</v>
      </c>
      <c r="AD151" s="112">
        <f>IF(J151="Yes",AA151*Tab_Data_Flows[[#This Row],[WC_'[%']]],"N.A.")</f>
        <v>21979.319200537262</v>
      </c>
      <c r="AE151" s="61" t="str">
        <f>Tab_Data_Flows[[#This Row],[UoM_Flow_Py]]</f>
        <v>Mg</v>
      </c>
      <c r="AF151" s="111">
        <f>INDEX(Tab_Def_Flows[[Flow_ID]:[CC_DM_source]],MATCH(Tab_Data_Flows[[#This Row],[Name(EN)]],Tab_Def_Flows[Name(EN)],0),18)</f>
        <v>3.2610713475382108E-2</v>
      </c>
      <c r="AG151" s="112">
        <f>IF(K151="Yes",AF151*Tab_Data_Flows[[#This Row],[Flow_Py]]-AJ255,"N.A.")</f>
        <v>29.05581642714958</v>
      </c>
      <c r="AH151" s="61" t="str">
        <f>Tab_Data_Flows[[#This Row],[UoM_Flow_Py]]</f>
        <v>Mg</v>
      </c>
      <c r="AI151" s="111">
        <f>INDEX(Tab_Def_Flows[[Flow_ID]:[CC_DM_source]],MATCH(Tab_Data_Flows[[#This Row],[Name(EN)]],Tab_Def_Flows[Name(EN)],0),20)</f>
        <v>0</v>
      </c>
      <c r="AJ151" s="112">
        <f>IF(L151="Yes",AI151*Tab_Data_Flows[[#This Row],[Flow_Py]]*Tab_Data_Flows[[#This Row],[DM_'[%']]],"N.A.")</f>
        <v>0</v>
      </c>
      <c r="AK151" s="61" t="str">
        <f>Tab_Data_Flows[[#This Row],[UoM_Flow_Py]]</f>
        <v>Mg</v>
      </c>
    </row>
    <row r="152" spans="1:37" x14ac:dyDescent="0.25">
      <c r="A152" s="60"/>
      <c r="B152" s="49" t="str">
        <f>_xlfn.XLOOKUP(C152,Tab_Def_Flows[Name(EN)],Tab_Def_Flows[Flow_ID],,0,)</f>
        <v>F_00_04</v>
      </c>
      <c r="C152" s="51" t="s">
        <v>499</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49">
        <f>_xlfn.XLOOKUP(C152,Tab_Def_Flows[Name(EN)],Tab_Def_Flows[Value_Source],,0,)</f>
        <v>0</v>
      </c>
      <c r="J152" s="49" t="str">
        <f>_xlfn.XLOOKUP(C152,Tab_Def_Flows[Name(EN)],Tab_Def_Flows[WC?],,0,)</f>
        <v>Yes</v>
      </c>
      <c r="K152" s="49" t="str">
        <f>_xlfn.XLOOKUP(C152,Tab_Def_Flows[Name(EN)],Tab_Def_Flows[DM?],,0,)</f>
        <v>Yes</v>
      </c>
      <c r="L152" s="49" t="str">
        <f>_xlfn.XLOOKUP(C152,Tab_Def_Flows[Name(EN)],Tab_Def_Flows[CC?],,0,)</f>
        <v>Yes</v>
      </c>
      <c r="M152" s="51">
        <v>2045</v>
      </c>
      <c r="N152" s="51"/>
      <c r="O152" s="119">
        <v>53416.128566034502</v>
      </c>
      <c r="P152" s="51" t="s">
        <v>389</v>
      </c>
      <c r="Q152" s="51"/>
      <c r="R152" s="51" t="e">
        <f>INDEX(Tab_WC_DM_CC[[Flow_ID]:[CC_source]],MATCH(Tab_Data_Flows[[#This Row],[Name(EN)]],Tab_WC_DM_CC[Name(EN)],0),12)</f>
        <v>#N/A</v>
      </c>
      <c r="S152" s="51" t="e">
        <f>MATCH(Tab_Data_Flows[[#This Row],[Name(EN)]],Tab_WC_DM_CC[Name(EN)],0)</f>
        <v>#N/A</v>
      </c>
      <c r="T152" s="51"/>
      <c r="U152" s="51"/>
      <c r="V152" s="51"/>
      <c r="W152" s="51"/>
      <c r="X152" s="51" t="s">
        <v>71</v>
      </c>
      <c r="Y152" s="51"/>
      <c r="Z152" s="51" t="str">
        <f>'3_1_Calculation_factors (Wood)'!$A$14</f>
        <v>Mittelwert</v>
      </c>
      <c r="AA152" s="86">
        <f t="shared" si="4"/>
        <v>53416.128566034502</v>
      </c>
      <c r="AB152" s="51" t="s">
        <v>63</v>
      </c>
      <c r="AC152" s="111">
        <f>INDEX(Tab_Def_Flows[[Flow_ID]:[CC_DM_source]],MATCH(Tab_Data_Flows[[#This Row],[Name(EN)]],Tab_Def_Flows[Name(EN)],0),16)</f>
        <v>0.96738928652461786</v>
      </c>
      <c r="AD152" s="112">
        <f>IF(J152="Yes",AA152*Tab_Data_Flows[[#This Row],[WC_'[%']]],"N.A.")</f>
        <v>51674.190502403377</v>
      </c>
      <c r="AE152" s="61" t="str">
        <f>Tab_Data_Flows[[#This Row],[UoM_Flow_Py]]</f>
        <v>Mg</v>
      </c>
      <c r="AF152" s="111">
        <f>INDEX(Tab_Def_Flows[[Flow_ID]:[CC_DM_source]],MATCH(Tab_Data_Flows[[#This Row],[Name(EN)]],Tab_Def_Flows[Name(EN)],0),18)</f>
        <v>3.2610713475382108E-2</v>
      </c>
      <c r="AG152" s="112">
        <f>IF(K152="Yes",AF152*Tab_Data_Flows[[#This Row],[Flow_Py]]-AJ256,"N.A.")</f>
        <v>68.311296612985643</v>
      </c>
      <c r="AH152" s="61" t="str">
        <f>Tab_Data_Flows[[#This Row],[UoM_Flow_Py]]</f>
        <v>Mg</v>
      </c>
      <c r="AI152" s="111">
        <f>INDEX(Tab_Def_Flows[[Flow_ID]:[CC_DM_source]],MATCH(Tab_Data_Flows[[#This Row],[Name(EN)]],Tab_Def_Flows[Name(EN)],0),20)</f>
        <v>0</v>
      </c>
      <c r="AJ152" s="112">
        <f>IF(L152="Yes",AI152*Tab_Data_Flows[[#This Row],[Flow_Py]]*Tab_Data_Flows[[#This Row],[DM_'[%']]],"N.A.")</f>
        <v>0</v>
      </c>
      <c r="AK152" s="61" t="str">
        <f>Tab_Data_Flows[[#This Row],[UoM_Flow_Py]]</f>
        <v>Mg</v>
      </c>
    </row>
    <row r="153" spans="1:37" x14ac:dyDescent="0.25">
      <c r="A153" s="60"/>
      <c r="B153" s="49" t="str">
        <f>_xlfn.XLOOKUP(C153,Tab_Def_Flows[Name(EN)],Tab_Def_Flows[Flow_ID],,0,)</f>
        <v>F_00_04</v>
      </c>
      <c r="C153" s="51" t="s">
        <v>499</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49">
        <f>_xlfn.XLOOKUP(C153,Tab_Def_Flows[Name(EN)],Tab_Def_Flows[Value_Source],,0,)</f>
        <v>0</v>
      </c>
      <c r="J153" s="49" t="str">
        <f>_xlfn.XLOOKUP(C153,Tab_Def_Flows[Name(EN)],Tab_Def_Flows[WC?],,0,)</f>
        <v>Yes</v>
      </c>
      <c r="K153" s="49" t="str">
        <f>_xlfn.XLOOKUP(C153,Tab_Def_Flows[Name(EN)],Tab_Def_Flows[DM?],,0,)</f>
        <v>Yes</v>
      </c>
      <c r="L153" s="49" t="str">
        <f>_xlfn.XLOOKUP(C153,Tab_Def_Flows[Name(EN)],Tab_Def_Flows[CC?],,0,)</f>
        <v>Yes</v>
      </c>
      <c r="M153" s="51">
        <v>2046</v>
      </c>
      <c r="N153" s="51"/>
      <c r="O153" s="119">
        <v>35375.429738224273</v>
      </c>
      <c r="P153" s="51" t="s">
        <v>389</v>
      </c>
      <c r="Q153" s="51"/>
      <c r="R153" s="51" t="e">
        <f>INDEX(Tab_WC_DM_CC[[Flow_ID]:[CC_source]],MATCH(Tab_Data_Flows[[#This Row],[Name(EN)]],Tab_WC_DM_CC[Name(EN)],0),12)</f>
        <v>#N/A</v>
      </c>
      <c r="S153" s="51" t="e">
        <f>MATCH(Tab_Data_Flows[[#This Row],[Name(EN)]],Tab_WC_DM_CC[Name(EN)],0)</f>
        <v>#N/A</v>
      </c>
      <c r="T153" s="51"/>
      <c r="U153" s="51"/>
      <c r="V153" s="51"/>
      <c r="W153" s="51"/>
      <c r="X153" s="51" t="s">
        <v>71</v>
      </c>
      <c r="Y153" s="51"/>
      <c r="Z153" s="51" t="str">
        <f>'3_1_Calculation_factors (Wood)'!$A$14</f>
        <v>Mittelwert</v>
      </c>
      <c r="AA153" s="86">
        <f t="shared" si="4"/>
        <v>35375.429738224273</v>
      </c>
      <c r="AB153" s="51" t="s">
        <v>63</v>
      </c>
      <c r="AC153" s="111">
        <f>INDEX(Tab_Def_Flows[[Flow_ID]:[CC_DM_source]],MATCH(Tab_Data_Flows[[#This Row],[Name(EN)]],Tab_Def_Flows[Name(EN)],0),16)</f>
        <v>0.96738928652461786</v>
      </c>
      <c r="AD153" s="112">
        <f>IF(J153="Yes",AA153*Tab_Data_Flows[[#This Row],[WC_'[%']]],"N.A.")</f>
        <v>34221.811734962532</v>
      </c>
      <c r="AE153" s="61" t="str">
        <f>Tab_Data_Flows[[#This Row],[UoM_Flow_Py]]</f>
        <v>Mg</v>
      </c>
      <c r="AF153" s="111">
        <f>INDEX(Tab_Def_Flows[[Flow_ID]:[CC_DM_source]],MATCH(Tab_Data_Flows[[#This Row],[Name(EN)]],Tab_Def_Flows[Name(EN)],0),18)</f>
        <v>3.2610713475382108E-2</v>
      </c>
      <c r="AG153" s="112">
        <f>IF(K153="Yes",AF153*Tab_Data_Flows[[#This Row],[Flow_Py]]-AJ257,"N.A.")</f>
        <v>45.239921696539113</v>
      </c>
      <c r="AH153" s="61" t="str">
        <f>Tab_Data_Flows[[#This Row],[UoM_Flow_Py]]</f>
        <v>Mg</v>
      </c>
      <c r="AI153" s="111">
        <f>INDEX(Tab_Def_Flows[[Flow_ID]:[CC_DM_source]],MATCH(Tab_Data_Flows[[#This Row],[Name(EN)]],Tab_Def_Flows[Name(EN)],0),20)</f>
        <v>0</v>
      </c>
      <c r="AJ153" s="112">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499</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2047</v>
      </c>
      <c r="N154" s="51"/>
      <c r="O154" s="119">
        <v>38503.743476820637</v>
      </c>
      <c r="P154" s="51" t="s">
        <v>389</v>
      </c>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4"/>
        <v>38503.743476820637</v>
      </c>
      <c r="AB154" s="51" t="s">
        <v>63</v>
      </c>
      <c r="AC154" s="111">
        <f>INDEX(Tab_Def_Flows[[Flow_ID]:[CC_DM_source]],MATCH(Tab_Data_Flows[[#This Row],[Name(EN)]],Tab_Def_Flows[Name(EN)],0),16)</f>
        <v>0.96738928652461786</v>
      </c>
      <c r="AD154" s="112">
        <f>IF(J154="Yes",AA154*Tab_Data_Flows[[#This Row],[WC_'[%']]],"N.A.")</f>
        <v>37248.108930568422</v>
      </c>
      <c r="AE154" s="61" t="str">
        <f>Tab_Data_Flows[[#This Row],[UoM_Flow_Py]]</f>
        <v>Mg</v>
      </c>
      <c r="AF154" s="111">
        <f>INDEX(Tab_Def_Flows[[Flow_ID]:[CC_DM_source]],MATCH(Tab_Data_Flows[[#This Row],[Name(EN)]],Tab_Def_Flows[Name(EN)],0),18)</f>
        <v>3.2610713475382108E-2</v>
      </c>
      <c r="AG154" s="112">
        <f>IF(K154="Yes",AF154*Tab_Data_Flows[[#This Row],[Flow_Py]]-AJ258,"N.A.")</f>
        <v>49.240570441263344</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x14ac:dyDescent="0.25">
      <c r="A155" s="60"/>
      <c r="B155" s="49" t="str">
        <f>_xlfn.XLOOKUP(C155,Tab_Def_Flows[Name(EN)],Tab_Def_Flows[Flow_ID],,0,)</f>
        <v>F_00_04</v>
      </c>
      <c r="C155" s="51" t="s">
        <v>499</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2048</v>
      </c>
      <c r="N155" s="51"/>
      <c r="O155" s="119">
        <v>22587.279952027606</v>
      </c>
      <c r="P155" s="51" t="s">
        <v>389</v>
      </c>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4"/>
        <v>22587.279952027606</v>
      </c>
      <c r="AB155" s="51" t="s">
        <v>63</v>
      </c>
      <c r="AC155" s="111">
        <f>INDEX(Tab_Def_Flows[[Flow_ID]:[CC_DM_source]],MATCH(Tab_Data_Flows[[#This Row],[Name(EN)]],Tab_Def_Flows[Name(EN)],0),16)</f>
        <v>0.96738928652461786</v>
      </c>
      <c r="AD155" s="112">
        <f>IF(J155="Yes",AA155*Tab_Data_Flows[[#This Row],[WC_'[%']]],"N.A.")</f>
        <v>21850.692637323791</v>
      </c>
      <c r="AE155" s="61" t="str">
        <f>Tab_Data_Flows[[#This Row],[UoM_Flow_Py]]</f>
        <v>Mg</v>
      </c>
      <c r="AF155" s="111">
        <f>INDEX(Tab_Def_Flows[[Flow_ID]:[CC_DM_source]],MATCH(Tab_Data_Flows[[#This Row],[Name(EN)]],Tab_Def_Flows[Name(EN)],0),18)</f>
        <v>3.2610713475382108E-2</v>
      </c>
      <c r="AG155" s="112">
        <f>IF(K155="Yes",AF155*Tab_Data_Flows[[#This Row],[Flow_Py]]-AJ259,"N.A.")</f>
        <v>28.885777047208421</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x14ac:dyDescent="0.25">
      <c r="A156" s="60"/>
      <c r="B156" s="49" t="str">
        <f>_xlfn.XLOOKUP(C156,Tab_Def_Flows[Name(EN)],Tab_Def_Flows[Flow_ID],,0,)</f>
        <v>F_00_04</v>
      </c>
      <c r="C156" s="51" t="s">
        <v>499</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2049</v>
      </c>
      <c r="N156" s="51"/>
      <c r="O156" s="119">
        <v>31976.969830938197</v>
      </c>
      <c r="P156" s="51" t="s">
        <v>389</v>
      </c>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4"/>
        <v>31976.969830938197</v>
      </c>
      <c r="AB156" s="51" t="s">
        <v>63</v>
      </c>
      <c r="AC156" s="111">
        <f>INDEX(Tab_Def_Flows[[Flow_ID]:[CC_DM_source]],MATCH(Tab_Data_Flows[[#This Row],[Name(EN)]],Tab_Def_Flows[Name(EN)],0),16)</f>
        <v>0.96738928652461786</v>
      </c>
      <c r="AD156" s="112">
        <f>IF(J156="Yes",AA156*Tab_Data_Flows[[#This Row],[WC_'[%']]],"N.A.")</f>
        <v>30934.178029970531</v>
      </c>
      <c r="AE156" s="61" t="str">
        <f>Tab_Data_Flows[[#This Row],[UoM_Flow_Py]]</f>
        <v>Mg</v>
      </c>
      <c r="AF156" s="111">
        <f>INDEX(Tab_Def_Flows[[Flow_ID]:[CC_DM_source]],MATCH(Tab_Data_Flows[[#This Row],[Name(EN)]],Tab_Def_Flows[Name(EN)],0),18)</f>
        <v>3.2610713475382108E-2</v>
      </c>
      <c r="AG156" s="112">
        <f>IF(K156="Yes",AF156*Tab_Data_Flows[[#This Row],[Flow_Py]]-AJ260,"N.A.")</f>
        <v>40.893796116379235</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ht="15.75" thickBot="1" x14ac:dyDescent="0.3">
      <c r="A157" s="60"/>
      <c r="B157" s="49" t="str">
        <f>_xlfn.XLOOKUP(C157,Tab_Def_Flows[Name(EN)],Tab_Def_Flows[Flow_ID],,0,)</f>
        <v>F_00_04</v>
      </c>
      <c r="C157" s="51" t="s">
        <v>499</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2050</v>
      </c>
      <c r="N157" s="51"/>
      <c r="O157" s="119">
        <v>38966.47431654892</v>
      </c>
      <c r="P157" s="51" t="s">
        <v>389</v>
      </c>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4"/>
        <v>38966.47431654892</v>
      </c>
      <c r="AB157" s="51" t="s">
        <v>63</v>
      </c>
      <c r="AC157" s="111">
        <f>INDEX(Tab_Def_Flows[[Flow_ID]:[CC_DM_source]],MATCH(Tab_Data_Flows[[#This Row],[Name(EN)]],Tab_Def_Flows[Name(EN)],0),16)</f>
        <v>0.96738928652461786</v>
      </c>
      <c r="AD157" s="112">
        <f>IF(J157="Yes",AA157*Tab_Data_Flows[[#This Row],[WC_'[%']]],"N.A.")</f>
        <v>37695.749787466106</v>
      </c>
      <c r="AE157" s="61" t="str">
        <f>Tab_Data_Flows[[#This Row],[UoM_Flow_Py]]</f>
        <v>Mg</v>
      </c>
      <c r="AF157" s="111">
        <f>INDEX(Tab_Def_Flows[[Flow_ID]:[CC_DM_source]],MATCH(Tab_Data_Flows[[#This Row],[Name(EN)]],Tab_Def_Flows[Name(EN)],0),18)</f>
        <v>3.2610713475382108E-2</v>
      </c>
      <c r="AG157" s="112">
        <f>IF(K157="Yes",AF157*Tab_Data_Flows[[#This Row],[Flow_Py]]-AJ261,"N.A.")</f>
        <v>49.832334473835999</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ht="15.75" thickBot="1" x14ac:dyDescent="0.3">
      <c r="A158" s="60">
        <f t="shared" si="2"/>
        <v>157</v>
      </c>
      <c r="B158" s="49" t="str">
        <f>_xlfn.XLOOKUP(C158,Tab_Def_Flows[Name(EN)],Tab_Def_Flows[Flow_ID],,0,)</f>
        <v>F_00_11</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Millet_Production</v>
      </c>
      <c r="H158" s="61" t="str">
        <f>_xlfn.XLOOKUP(C158,Tab_Def_Flows[Name(EN)],Tab_Def_Flows[Process_ID_I],,0,)</f>
        <v>11_Mil_BB</v>
      </c>
      <c r="I158" s="61">
        <f>_xlfn.XLOOKUP(C158,Tab_Def_Flows[Name(EN)],Tab_Def_Flows[Value_Source],,0,)</f>
        <v>0</v>
      </c>
      <c r="J158" s="61" t="str">
        <f>_xlfn.XLOOKUP(C158,Tab_Def_Flows[Name(EN)],Tab_Def_Flows[WC?],,0,)</f>
        <v>Yes</v>
      </c>
      <c r="K158" s="61" t="str">
        <f>_xlfn.XLOOKUP(C158,Tab_Def_Flows[Name(EN)],Tab_Def_Flows[DM?],,0,)</f>
        <v>Yes</v>
      </c>
      <c r="L158" s="61" t="str">
        <f>_xlfn.XLOOKUP(C158,Tab_Def_Flows[Name(EN)],Tab_Def_Flows[CC?],,0,)</f>
        <v>Yes</v>
      </c>
      <c r="M158" s="51">
        <v>2025</v>
      </c>
      <c r="N158" s="51" t="s">
        <v>350</v>
      </c>
      <c r="O158" s="119">
        <v>1251.2906318403568</v>
      </c>
      <c r="P158" s="51" t="s">
        <v>389</v>
      </c>
      <c r="Q158" s="51"/>
      <c r="R158" s="51"/>
      <c r="S158" s="51"/>
      <c r="T158" s="51"/>
      <c r="U158" s="51"/>
      <c r="V158" s="51"/>
      <c r="W158" s="51"/>
      <c r="X158" s="51" t="s">
        <v>71</v>
      </c>
      <c r="Y158" s="106"/>
      <c r="Z158" s="51"/>
      <c r="AA158" s="86">
        <f t="shared" si="4"/>
        <v>1251.2906318403568</v>
      </c>
      <c r="AB158" s="51" t="s">
        <v>63</v>
      </c>
      <c r="AC158" s="111">
        <f>INDEX(Tab_Def_Flows[[Flow_ID]:[CC_DM_source]],MATCH(Tab_Data_Flows[[#This Row],[Name(EN)]],Tab_Def_Flows[Name(EN)],0),16)</f>
        <v>0.1521568689797187</v>
      </c>
      <c r="AD158" s="112">
        <f>IF(J158="Yes",AA158*Tab_Data_Flows[[#This Row],[WC_'[%']]],"N.A.")</f>
        <v>190.39246472448261</v>
      </c>
      <c r="AE158" s="61" t="str">
        <f>Tab_Data_Flows[[#This Row],[UoM_Flow_Py]]</f>
        <v>Mg</v>
      </c>
      <c r="AF158" s="111">
        <f>INDEX(Tab_Def_Flows[[Flow_ID]:[CC_DM_source]],MATCH(Tab_Data_Flows[[#This Row],[Name(EN)]],Tab_Def_Flows[Name(EN)],0),18)</f>
        <v>0.8478431310202813</v>
      </c>
      <c r="AG158" s="112">
        <f>IF(K158="Yes",AF158*Tab_Data_Flows[[#This Row],[Flow_Py]]-AJ262,"N.A.")</f>
        <v>149.86665557770391</v>
      </c>
      <c r="AH158" s="61" t="str">
        <f>Tab_Data_Flows[[#This Row],[UoM_Flow_Py]]</f>
        <v>Mg</v>
      </c>
      <c r="AI158" s="111">
        <f>INDEX(Tab_Def_Flows[[Flow_ID]:[CC_DM_source]],MATCH(Tab_Data_Flows[[#This Row],[Name(EN)]],Tab_Def_Flows[Name(EN)],0),20)</f>
        <v>0</v>
      </c>
      <c r="AJ158" s="109">
        <f>IF(L158="Yes",AI158*Tab_Data_Flows[[#This Row],[Flow_Py]]*Tab_Data_Flows[[#This Row],[DM_'[%']]],"N.A.")</f>
        <v>0</v>
      </c>
      <c r="AK158" s="61" t="str">
        <f>Tab_Data_Flows[[#This Row],[UoM_Flow_Py]]</f>
        <v>Mg</v>
      </c>
    </row>
    <row r="159" spans="1:37" ht="15.75" thickBot="1" x14ac:dyDescent="0.3">
      <c r="A159" s="60">
        <f t="shared" si="2"/>
        <v>158</v>
      </c>
      <c r="B159" s="49" t="str">
        <f>_xlfn.XLOOKUP(C159,Tab_Def_Flows[Name(EN)],Tab_Def_Flows[Flow_ID],,0,)</f>
        <v>F_00_11</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Millet_Production</v>
      </c>
      <c r="H159" s="61" t="str">
        <f>_xlfn.XLOOKUP(C159,Tab_Def_Flows[Name(EN)],Tab_Def_Flows[Process_ID_I],,0,)</f>
        <v>11_Mil_BB</v>
      </c>
      <c r="I159" s="61">
        <f>_xlfn.XLOOKUP(C159,Tab_Def_Flows[Name(EN)],Tab_Def_Flows[Value_Source],,0,)</f>
        <v>0</v>
      </c>
      <c r="J159" s="61" t="str">
        <f>_xlfn.XLOOKUP(C159,Tab_Def_Flows[Name(EN)],Tab_Def_Flows[WC?],,0,)</f>
        <v>Yes</v>
      </c>
      <c r="K159" s="61" t="str">
        <f>_xlfn.XLOOKUP(C159,Tab_Def_Flows[Name(EN)],Tab_Def_Flows[DM?],,0,)</f>
        <v>Yes</v>
      </c>
      <c r="L159" s="61" t="str">
        <f>_xlfn.XLOOKUP(C159,Tab_Def_Flows[Name(EN)],Tab_Def_Flows[CC?],,0,)</f>
        <v>Yes</v>
      </c>
      <c r="M159" s="51">
        <v>2026</v>
      </c>
      <c r="N159" s="51" t="s">
        <v>350</v>
      </c>
      <c r="O159" s="119">
        <v>1054.5806521670786</v>
      </c>
      <c r="P159" s="51" t="s">
        <v>389</v>
      </c>
      <c r="Q159" s="51"/>
      <c r="R159" s="51"/>
      <c r="S159" s="51"/>
      <c r="T159" s="51"/>
      <c r="U159" s="51"/>
      <c r="V159" s="51"/>
      <c r="W159" s="51"/>
      <c r="X159" s="51" t="s">
        <v>71</v>
      </c>
      <c r="Y159" s="106"/>
      <c r="Z159" s="51"/>
      <c r="AA159" s="86">
        <f t="shared" si="4"/>
        <v>1054.5806521670786</v>
      </c>
      <c r="AB159" s="51" t="s">
        <v>63</v>
      </c>
      <c r="AC159" s="111">
        <f>INDEX(Tab_Def_Flows[[Flow_ID]:[CC_DM_source]],MATCH(Tab_Data_Flows[[#This Row],[Name(EN)]],Tab_Def_Flows[Name(EN)],0),16)</f>
        <v>0.1521568689797187</v>
      </c>
      <c r="AD159" s="112">
        <f>IF(J159="Yes",AA159*Tab_Data_Flows[[#This Row],[WC_'[%']]],"N.A.")</f>
        <v>160.46169012033246</v>
      </c>
      <c r="AE159" s="61" t="str">
        <f>Tab_Data_Flows[[#This Row],[UoM_Flow_Py]]</f>
        <v>Mg</v>
      </c>
      <c r="AF159" s="111">
        <f>INDEX(Tab_Def_Flows[[Flow_ID]:[CC_DM_source]],MATCH(Tab_Data_Flows[[#This Row],[Name(EN)]],Tab_Def_Flows[Name(EN)],0),18)</f>
        <v>0.8478431310202813</v>
      </c>
      <c r="AG159" s="112">
        <f>IF(K159="Yes",AF159*Tab_Data_Flows[[#This Row],[Flow_Py]]-AJ263,"N.A.")</f>
        <v>126.30676787277173</v>
      </c>
      <c r="AH159" s="61" t="str">
        <f>Tab_Data_Flows[[#This Row],[UoM_Flow_Py]]</f>
        <v>Mg</v>
      </c>
      <c r="AI159" s="111">
        <f>INDEX(Tab_Def_Flows[[Flow_ID]:[CC_DM_source]],MATCH(Tab_Data_Flows[[#This Row],[Name(EN)]],Tab_Def_Flows[Name(EN)],0),20)</f>
        <v>0</v>
      </c>
      <c r="AJ159" s="109">
        <f>IF(L159="Yes",AI159*Tab_Data_Flows[[#This Row],[Flow_Py]]*Tab_Data_Flows[[#This Row],[DM_'[%']]],"N.A.")</f>
        <v>0</v>
      </c>
      <c r="AK159" s="61" t="str">
        <f>Tab_Data_Flows[[#This Row],[UoM_Flow_Py]]</f>
        <v>Mg</v>
      </c>
    </row>
    <row r="160" spans="1:37" ht="15.75" thickBot="1" x14ac:dyDescent="0.3">
      <c r="A160" s="60">
        <f t="shared" si="2"/>
        <v>159</v>
      </c>
      <c r="B160" s="49" t="str">
        <f>_xlfn.XLOOKUP(C160,Tab_Def_Flows[Name(EN)],Tab_Def_Flows[Flow_ID],,0,)</f>
        <v>F_00_11</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Millet_Production</v>
      </c>
      <c r="H160" s="61" t="str">
        <f>_xlfn.XLOOKUP(C160,Tab_Def_Flows[Name(EN)],Tab_Def_Flows[Process_ID_I],,0,)</f>
        <v>11_Mil_BB</v>
      </c>
      <c r="I160" s="61">
        <f>_xlfn.XLOOKUP(C160,Tab_Def_Flows[Name(EN)],Tab_Def_Flows[Value_Source],,0,)</f>
        <v>0</v>
      </c>
      <c r="J160" s="61" t="str">
        <f>_xlfn.XLOOKUP(C160,Tab_Def_Flows[Name(EN)],Tab_Def_Flows[WC?],,0,)</f>
        <v>Yes</v>
      </c>
      <c r="K160" s="61" t="str">
        <f>_xlfn.XLOOKUP(C160,Tab_Def_Flows[Name(EN)],Tab_Def_Flows[DM?],,0,)</f>
        <v>Yes</v>
      </c>
      <c r="L160" s="61" t="str">
        <f>_xlfn.XLOOKUP(C160,Tab_Def_Flows[Name(EN)],Tab_Def_Flows[CC?],,0,)</f>
        <v>Yes</v>
      </c>
      <c r="M160" s="51">
        <v>2027</v>
      </c>
      <c r="N160" s="51" t="s">
        <v>350</v>
      </c>
      <c r="O160" s="119">
        <v>1298.0621228003786</v>
      </c>
      <c r="P160" s="51" t="s">
        <v>389</v>
      </c>
      <c r="Q160" s="51"/>
      <c r="R160" s="51"/>
      <c r="S160" s="51"/>
      <c r="T160" s="51"/>
      <c r="U160" s="51"/>
      <c r="V160" s="51"/>
      <c r="W160" s="51"/>
      <c r="X160" s="51" t="s">
        <v>71</v>
      </c>
      <c r="Y160" s="106"/>
      <c r="Z160" s="51"/>
      <c r="AA160" s="86">
        <f t="shared" si="4"/>
        <v>1298.0621228003786</v>
      </c>
      <c r="AB160" s="51" t="s">
        <v>63</v>
      </c>
      <c r="AC160" s="111">
        <f>INDEX(Tab_Def_Flows[[Flow_ID]:[CC_DM_source]],MATCH(Tab_Data_Flows[[#This Row],[Name(EN)]],Tab_Def_Flows[Name(EN)],0),16)</f>
        <v>0.1521568689797187</v>
      </c>
      <c r="AD160" s="112">
        <f>IF(J160="Yes",AA160*Tab_Data_Flows[[#This Row],[WC_'[%']]],"N.A.")</f>
        <v>197.50906834647273</v>
      </c>
      <c r="AE160" s="61" t="str">
        <f>Tab_Data_Flows[[#This Row],[UoM_Flow_Py]]</f>
        <v>Mg</v>
      </c>
      <c r="AF160" s="111">
        <f>INDEX(Tab_Def_Flows[[Flow_ID]:[CC_DM_source]],MATCH(Tab_Data_Flows[[#This Row],[Name(EN)]],Tab_Def_Flows[Name(EN)],0),18)</f>
        <v>0.8478431310202813</v>
      </c>
      <c r="AG160" s="112">
        <f>IF(K160="Yes",AF160*Tab_Data_Flows[[#This Row],[Flow_Py]]-AJ264,"N.A.")</f>
        <v>155.46846122396846</v>
      </c>
      <c r="AH160" s="61" t="str">
        <f>Tab_Data_Flows[[#This Row],[UoM_Flow_Py]]</f>
        <v>Mg</v>
      </c>
      <c r="AI160" s="111">
        <f>INDEX(Tab_Def_Flows[[Flow_ID]:[CC_DM_source]],MATCH(Tab_Data_Flows[[#This Row],[Name(EN)]],Tab_Def_Flows[Name(EN)],0),20)</f>
        <v>0</v>
      </c>
      <c r="AJ160" s="109">
        <f>IF(L160="Yes",AI160*Tab_Data_Flows[[#This Row],[Flow_Py]]*Tab_Data_Flows[[#This Row],[DM_'[%']]],"N.A.")</f>
        <v>0</v>
      </c>
      <c r="AK160" s="61" t="str">
        <f>Tab_Data_Flows[[#This Row],[UoM_Flow_Py]]</f>
        <v>Mg</v>
      </c>
    </row>
    <row r="161" spans="1:37" x14ac:dyDescent="0.25">
      <c r="A161" s="60">
        <f t="shared" si="2"/>
        <v>160</v>
      </c>
      <c r="B161" s="49" t="str">
        <f>_xlfn.XLOOKUP(C161,Tab_Def_Flows[Name(EN)],Tab_Def_Flows[Flow_ID],,0,)</f>
        <v>F_00_11</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Millet_Production</v>
      </c>
      <c r="H161" s="61" t="str">
        <f>_xlfn.XLOOKUP(C161,Tab_Def_Flows[Name(EN)],Tab_Def_Flows[Process_ID_I],,0,)</f>
        <v>11_Mil_BB</v>
      </c>
      <c r="I161" s="61">
        <f>_xlfn.XLOOKUP(C161,Tab_Def_Flows[Name(EN)],Tab_Def_Flows[Value_Source],,0,)</f>
        <v>0</v>
      </c>
      <c r="J161" s="61" t="str">
        <f>_xlfn.XLOOKUP(C161,Tab_Def_Flows[Name(EN)],Tab_Def_Flows[WC?],,0,)</f>
        <v>Yes</v>
      </c>
      <c r="K161" s="61" t="str">
        <f>_xlfn.XLOOKUP(C161,Tab_Def_Flows[Name(EN)],Tab_Def_Flows[DM?],,0,)</f>
        <v>Yes</v>
      </c>
      <c r="L161" s="61" t="str">
        <f>_xlfn.XLOOKUP(C161,Tab_Def_Flows[Name(EN)],Tab_Def_Flows[CC?],,0,)</f>
        <v>Yes</v>
      </c>
      <c r="M161" s="51">
        <v>2028</v>
      </c>
      <c r="N161" s="51" t="s">
        <v>350</v>
      </c>
      <c r="O161" s="119">
        <v>1569.2356262530629</v>
      </c>
      <c r="P161" s="51" t="s">
        <v>389</v>
      </c>
      <c r="Q161" s="51" t="s">
        <v>389</v>
      </c>
      <c r="R161" s="51" t="s">
        <v>389</v>
      </c>
      <c r="S161" s="51" t="s">
        <v>389</v>
      </c>
      <c r="T161" s="51" t="s">
        <v>389</v>
      </c>
      <c r="U161" s="51" t="s">
        <v>389</v>
      </c>
      <c r="V161" s="51" t="s">
        <v>389</v>
      </c>
      <c r="W161" s="51" t="s">
        <v>389</v>
      </c>
      <c r="X161" s="51" t="s">
        <v>71</v>
      </c>
      <c r="Y161" s="106"/>
      <c r="Z161" s="51"/>
      <c r="AA161" s="86">
        <f t="shared" si="4"/>
        <v>1569.2356262530629</v>
      </c>
      <c r="AB161" s="51" t="s">
        <v>63</v>
      </c>
      <c r="AC161" s="111">
        <f>INDEX(Tab_Def_Flows[[Flow_ID]:[CC_DM_source]],MATCH(Tab_Data_Flows[[#This Row],[Name(EN)]],Tab_Def_Flows[Name(EN)],0),16)</f>
        <v>0.1521568689797187</v>
      </c>
      <c r="AD161" s="112">
        <f>IF(J161="Yes",AA161*Tab_Data_Flows[[#This Row],[WC_'[%']]],"N.A.")</f>
        <v>238.76997958209412</v>
      </c>
      <c r="AE161" s="61" t="str">
        <f>Tab_Data_Flows[[#This Row],[UoM_Flow_Py]]</f>
        <v>Mg</v>
      </c>
      <c r="AF161" s="111">
        <f>INDEX(Tab_Def_Flows[[Flow_ID]:[CC_DM_source]],MATCH(Tab_Data_Flows[[#This Row],[Name(EN)]],Tab_Def_Flows[Name(EN)],0),18)</f>
        <v>0.8478431310202813</v>
      </c>
      <c r="AG161" s="112">
        <f>IF(K161="Yes",AF161*Tab_Data_Flows[[#This Row],[Flow_Py]]-AJ265,"N.A.")</f>
        <v>187.94681997582074</v>
      </c>
      <c r="AH161" s="61" t="str">
        <f>Tab_Data_Flows[[#This Row],[UoM_Flow_Py]]</f>
        <v>Mg</v>
      </c>
      <c r="AI161" s="111">
        <f>INDEX(Tab_Def_Flows[[Flow_ID]:[CC_DM_source]],MATCH(Tab_Data_Flows[[#This Row],[Name(EN)]],Tab_Def_Flows[Name(EN)],0),20)</f>
        <v>0</v>
      </c>
      <c r="AJ161" s="109">
        <f>IF(L161="Yes",AI161*Tab_Data_Flows[[#This Row],[Flow_Py]]*Tab_Data_Flows[[#This Row],[DM_'[%']]],"N.A.")</f>
        <v>0</v>
      </c>
      <c r="AK161" s="61" t="str">
        <f>Tab_Data_Flows[[#This Row],[UoM_Flow_Py]]</f>
        <v>Mg</v>
      </c>
    </row>
    <row r="162" spans="1:37" x14ac:dyDescent="0.25">
      <c r="A162" s="60"/>
      <c r="B162" s="49" t="str">
        <f>_xlfn.XLOOKUP(C162,Tab_Def_Flows[Name(EN)],Tab_Def_Flows[Flow_ID],,0,)</f>
        <v>F_00_11</v>
      </c>
      <c r="C162" s="51" t="s">
        <v>500</v>
      </c>
      <c r="D162" s="49"/>
      <c r="E162" s="49" t="str">
        <f>_xlfn.XLOOKUP(C162,Tab_Def_Flows[Name(EN)],Tab_Def_Flows[Output_Process],,0,)</f>
        <v>Environment_</v>
      </c>
      <c r="F162" s="49" t="str">
        <f>_xlfn.XLOOKUP(C162,Tab_Def_Flows[Name(EN)],Tab_Def_Flows[Process_ID_O],,0,)</f>
        <v>00_Env_BB</v>
      </c>
      <c r="G162" s="49" t="str">
        <f>_xlfn.XLOOKUP(C162,Tab_Def_Flows[Name(EN)],Tab_Def_Flows[Input_Process],,0,)</f>
        <v>Millet_Production</v>
      </c>
      <c r="H162" s="61" t="str">
        <f>_xlfn.XLOOKUP(C162,Tab_Def_Flows[Name(EN)],Tab_Def_Flows[Process_ID_I],,0,)</f>
        <v>11_Mil_BB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2029</v>
      </c>
      <c r="N162" s="51"/>
      <c r="O162" s="119">
        <v>1024.881061904784</v>
      </c>
      <c r="P162" s="51" t="s">
        <v>389</v>
      </c>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4"/>
        <v>1024.881061904784</v>
      </c>
      <c r="AB162" s="51" t="s">
        <v>63</v>
      </c>
      <c r="AC162" s="111">
        <f>INDEX(Tab_Def_Flows[[Flow_ID]:[CC_DM_source]],MATCH(Tab_Data_Flows[[#This Row],[Name(EN)]],Tab_Def_Flows[Name(EN)],0),16)</f>
        <v>0.1521568689797187</v>
      </c>
      <c r="AD162" s="112">
        <f>IF(J162="Yes",AA162*Tab_Data_Flows[[#This Row],[WC_'[%']]],"N.A.")</f>
        <v>155.94269345604118</v>
      </c>
      <c r="AE162" s="61" t="str">
        <f>Tab_Data_Flows[[#This Row],[UoM_Flow_Py]]</f>
        <v>Mg</v>
      </c>
      <c r="AF162" s="111">
        <f>INDEX(Tab_Def_Flows[[Flow_ID]:[CC_DM_source]],MATCH(Tab_Data_Flows[[#This Row],[Name(EN)]],Tab_Def_Flows[Name(EN)],0),18)</f>
        <v>0.8478431310202813</v>
      </c>
      <c r="AG162" s="112">
        <f>IF(K162="Yes",AF162*Tab_Data_Flows[[#This Row],[Flow_Py]]-AJ266,"N.A.")</f>
        <v>122.74965799647396</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x14ac:dyDescent="0.25">
      <c r="A163" s="60"/>
      <c r="B163" s="49" t="str">
        <f>_xlfn.XLOOKUP(C163,Tab_Def_Flows[Name(EN)],Tab_Def_Flows[Flow_ID],,0,)</f>
        <v>F_00_11</v>
      </c>
      <c r="C163" s="51" t="s">
        <v>500</v>
      </c>
      <c r="D163" s="49"/>
      <c r="E163" s="49" t="str">
        <f>_xlfn.XLOOKUP(C163,Tab_Def_Flows[Name(EN)],Tab_Def_Flows[Output_Process],,0,)</f>
        <v>Environment_</v>
      </c>
      <c r="F163" s="49" t="str">
        <f>_xlfn.XLOOKUP(C163,Tab_Def_Flows[Name(EN)],Tab_Def_Flows[Process_ID_O],,0,)</f>
        <v>00_Env_BB</v>
      </c>
      <c r="G163" s="49" t="str">
        <f>_xlfn.XLOOKUP(C163,Tab_Def_Flows[Name(EN)],Tab_Def_Flows[Input_Process],,0,)</f>
        <v>Millet_Production</v>
      </c>
      <c r="H163" s="61" t="str">
        <f>_xlfn.XLOOKUP(C163,Tab_Def_Flows[Name(EN)],Tab_Def_Flows[Process_ID_I],,0,)</f>
        <v>11_Mil_BB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2030</v>
      </c>
      <c r="N163" s="51"/>
      <c r="O163" s="119">
        <v>1024.881061904784</v>
      </c>
      <c r="P163" s="51" t="s">
        <v>389</v>
      </c>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4"/>
        <v>1024.881061904784</v>
      </c>
      <c r="AB163" s="51" t="s">
        <v>63</v>
      </c>
      <c r="AC163" s="111">
        <f>INDEX(Tab_Def_Flows[[Flow_ID]:[CC_DM_source]],MATCH(Tab_Data_Flows[[#This Row],[Name(EN)]],Tab_Def_Flows[Name(EN)],0),16)</f>
        <v>0.1521568689797187</v>
      </c>
      <c r="AD163" s="112">
        <f>IF(J163="Yes",AA163*Tab_Data_Flows[[#This Row],[WC_'[%']]],"N.A.")</f>
        <v>155.94269345604118</v>
      </c>
      <c r="AE163" s="61" t="str">
        <f>Tab_Data_Flows[[#This Row],[UoM_Flow_Py]]</f>
        <v>Mg</v>
      </c>
      <c r="AF163" s="111">
        <f>INDEX(Tab_Def_Flows[[Flow_ID]:[CC_DM_source]],MATCH(Tab_Data_Flows[[#This Row],[Name(EN)]],Tab_Def_Flows[Name(EN)],0),18)</f>
        <v>0.8478431310202813</v>
      </c>
      <c r="AG163" s="112">
        <f>IF(K163="Yes",AF163*Tab_Data_Flows[[#This Row],[Flow_Py]]-AJ267,"N.A.")</f>
        <v>122.74965799647396</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x14ac:dyDescent="0.25">
      <c r="A164" s="60"/>
      <c r="B164" s="49" t="str">
        <f>_xlfn.XLOOKUP(C164,Tab_Def_Flows[Name(EN)],Tab_Def_Flows[Flow_ID],,0,)</f>
        <v>F_00_11</v>
      </c>
      <c r="C164" s="51" t="s">
        <v>500</v>
      </c>
      <c r="D164" s="49"/>
      <c r="E164" s="49" t="str">
        <f>_xlfn.XLOOKUP(C164,Tab_Def_Flows[Name(EN)],Tab_Def_Flows[Output_Process],,0,)</f>
        <v>Environment_</v>
      </c>
      <c r="F164" s="49" t="str">
        <f>_xlfn.XLOOKUP(C164,Tab_Def_Flows[Name(EN)],Tab_Def_Flows[Process_ID_O],,0,)</f>
        <v>00_Env_BB</v>
      </c>
      <c r="G164" s="49" t="str">
        <f>_xlfn.XLOOKUP(C164,Tab_Def_Flows[Name(EN)],Tab_Def_Flows[Input_Process],,0,)</f>
        <v>Millet_Production</v>
      </c>
      <c r="H164" s="61" t="str">
        <f>_xlfn.XLOOKUP(C164,Tab_Def_Flows[Name(EN)],Tab_Def_Flows[Process_ID_I],,0,)</f>
        <v>11_Mil_BB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2031</v>
      </c>
      <c r="N164" s="51"/>
      <c r="O164" s="119">
        <v>1586.6293491362946</v>
      </c>
      <c r="P164" s="51" t="s">
        <v>389</v>
      </c>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4"/>
        <v>1586.6293491362946</v>
      </c>
      <c r="AB164" s="51" t="s">
        <v>63</v>
      </c>
      <c r="AC164" s="111">
        <f>INDEX(Tab_Def_Flows[[Flow_ID]:[CC_DM_source]],MATCH(Tab_Data_Flows[[#This Row],[Name(EN)]],Tab_Def_Flows[Name(EN)],0),16)</f>
        <v>0.1521568689797187</v>
      </c>
      <c r="AD164" s="112">
        <f>IF(J164="Yes",AA164*Tab_Data_Flows[[#This Row],[WC_'[%']]],"N.A.")</f>
        <v>241.41655399590755</v>
      </c>
      <c r="AE164" s="61" t="str">
        <f>Tab_Data_Flows[[#This Row],[UoM_Flow_Py]]</f>
        <v>Mg</v>
      </c>
      <c r="AF164" s="111">
        <f>INDEX(Tab_Def_Flows[[Flow_ID]:[CC_DM_source]],MATCH(Tab_Data_Flows[[#This Row],[Name(EN)]],Tab_Def_Flows[Name(EN)],0),18)</f>
        <v>0.8478431310202813</v>
      </c>
      <c r="AG164" s="112">
        <f>IF(K164="Yes",AF164*Tab_Data_Flows[[#This Row],[Flow_Py]]-AJ268,"N.A.")</f>
        <v>190.03006028005029</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x14ac:dyDescent="0.25">
      <c r="A165" s="60"/>
      <c r="B165" s="49" t="str">
        <f>_xlfn.XLOOKUP(C165,Tab_Def_Flows[Name(EN)],Tab_Def_Flows[Flow_ID],,0,)</f>
        <v>F_00_11</v>
      </c>
      <c r="C165" s="51" t="s">
        <v>500</v>
      </c>
      <c r="D165" s="49"/>
      <c r="E165" s="49" t="str">
        <f>_xlfn.XLOOKUP(C165,Tab_Def_Flows[Name(EN)],Tab_Def_Flows[Output_Process],,0,)</f>
        <v>Environment_</v>
      </c>
      <c r="F165" s="49" t="str">
        <f>_xlfn.XLOOKUP(C165,Tab_Def_Flows[Name(EN)],Tab_Def_Flows[Process_ID_O],,0,)</f>
        <v>00_Env_BB</v>
      </c>
      <c r="G165" s="49" t="str">
        <f>_xlfn.XLOOKUP(C165,Tab_Def_Flows[Name(EN)],Tab_Def_Flows[Input_Process],,0,)</f>
        <v>Millet_Production</v>
      </c>
      <c r="H165" s="61" t="str">
        <f>_xlfn.XLOOKUP(C165,Tab_Def_Flows[Name(EN)],Tab_Def_Flows[Process_ID_I],,0,)</f>
        <v>11_Mil_BB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2032</v>
      </c>
      <c r="N165" s="51"/>
      <c r="O165" s="119">
        <v>1335.148298463306</v>
      </c>
      <c r="P165" s="51" t="s">
        <v>389</v>
      </c>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4"/>
        <v>1335.148298463306</v>
      </c>
      <c r="AB165" s="51" t="s">
        <v>63</v>
      </c>
      <c r="AC165" s="111">
        <f>INDEX(Tab_Def_Flows[[Flow_ID]:[CC_DM_source]],MATCH(Tab_Data_Flows[[#This Row],[Name(EN)]],Tab_Def_Flows[Name(EN)],0),16)</f>
        <v>0.1521568689797187</v>
      </c>
      <c r="AD165" s="112">
        <f>IF(J165="Yes",AA165*Tab_Data_Flows[[#This Row],[WC_'[%']]],"N.A.")</f>
        <v>203.1519847177756</v>
      </c>
      <c r="AE165" s="61" t="str">
        <f>Tab_Data_Flows[[#This Row],[UoM_Flow_Py]]</f>
        <v>Mg</v>
      </c>
      <c r="AF165" s="111">
        <f>INDEX(Tab_Def_Flows[[Flow_ID]:[CC_DM_source]],MATCH(Tab_Data_Flows[[#This Row],[Name(EN)]],Tab_Def_Flows[Name(EN)],0),18)</f>
        <v>0.8478431310202813</v>
      </c>
      <c r="AG165" s="112">
        <f>IF(K165="Yes",AF165*Tab_Data_Flows[[#This Row],[Flow_Py]]-AJ269,"N.A.")</f>
        <v>159.91025993430947</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x14ac:dyDescent="0.25">
      <c r="A166" s="60"/>
      <c r="B166" s="49" t="str">
        <f>_xlfn.XLOOKUP(C166,Tab_Def_Flows[Name(EN)],Tab_Def_Flows[Flow_ID],,0,)</f>
        <v>F_00_11</v>
      </c>
      <c r="C166" s="51" t="s">
        <v>500</v>
      </c>
      <c r="D166" s="49"/>
      <c r="E166" s="49" t="str">
        <f>_xlfn.XLOOKUP(C166,Tab_Def_Flows[Name(EN)],Tab_Def_Flows[Output_Process],,0,)</f>
        <v>Environment_</v>
      </c>
      <c r="F166" s="49" t="str">
        <f>_xlfn.XLOOKUP(C166,Tab_Def_Flows[Name(EN)],Tab_Def_Flows[Process_ID_O],,0,)</f>
        <v>00_Env_BB</v>
      </c>
      <c r="G166" s="49" t="str">
        <f>_xlfn.XLOOKUP(C166,Tab_Def_Flows[Name(EN)],Tab_Def_Flows[Input_Process],,0,)</f>
        <v>Millet_Production</v>
      </c>
      <c r="H166" s="61" t="str">
        <f>_xlfn.XLOOKUP(C166,Tab_Def_Flows[Name(EN)],Tab_Def_Flows[Process_ID_I],,0,)</f>
        <v>11_Mil_BB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2033</v>
      </c>
      <c r="N166" s="51"/>
      <c r="O166" s="119">
        <v>951.98067445497236</v>
      </c>
      <c r="P166" s="51" t="s">
        <v>389</v>
      </c>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4"/>
        <v>951.98067445497236</v>
      </c>
      <c r="AB166" s="51" t="s">
        <v>63</v>
      </c>
      <c r="AC166" s="111">
        <f>INDEX(Tab_Def_Flows[[Flow_ID]:[CC_DM_source]],MATCH(Tab_Data_Flows[[#This Row],[Name(EN)]],Tab_Def_Flows[Name(EN)],0),16)</f>
        <v>0.1521568689797187</v>
      </c>
      <c r="AD166" s="112">
        <f>IF(J166="Yes",AA166*Tab_Data_Flows[[#This Row],[WC_'[%']]],"N.A.")</f>
        <v>144.85039875426946</v>
      </c>
      <c r="AE166" s="61" t="str">
        <f>Tab_Data_Flows[[#This Row],[UoM_Flow_Py]]</f>
        <v>Mg</v>
      </c>
      <c r="AF166" s="111">
        <f>INDEX(Tab_Def_Flows[[Flow_ID]:[CC_DM_source]],MATCH(Tab_Data_Flows[[#This Row],[Name(EN)]],Tab_Def_Flows[Name(EN)],0),18)</f>
        <v>0.8478431310202813</v>
      </c>
      <c r="AG166" s="112">
        <f>IF(K166="Yes",AF166*Tab_Data_Flows[[#This Row],[Flow_Py]]-AJ270,"N.A.")</f>
        <v>114.0184032588329</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x14ac:dyDescent="0.25">
      <c r="A167" s="60"/>
      <c r="B167" s="49" t="str">
        <f>_xlfn.XLOOKUP(C167,Tab_Def_Flows[Name(EN)],Tab_Def_Flows[Flow_ID],,0,)</f>
        <v>F_00_11</v>
      </c>
      <c r="C167" s="51" t="s">
        <v>500</v>
      </c>
      <c r="D167" s="49"/>
      <c r="E167" s="49" t="str">
        <f>_xlfn.XLOOKUP(C167,Tab_Def_Flows[Name(EN)],Tab_Def_Flows[Output_Process],,0,)</f>
        <v>Environment_</v>
      </c>
      <c r="F167" s="49" t="str">
        <f>_xlfn.XLOOKUP(C167,Tab_Def_Flows[Name(EN)],Tab_Def_Flows[Process_ID_O],,0,)</f>
        <v>00_Env_BB</v>
      </c>
      <c r="G167" s="49" t="str">
        <f>_xlfn.XLOOKUP(C167,Tab_Def_Flows[Name(EN)],Tab_Def_Flows[Input_Process],,0,)</f>
        <v>Millet_Production</v>
      </c>
      <c r="H167" s="61" t="str">
        <f>_xlfn.XLOOKUP(C167,Tab_Def_Flows[Name(EN)],Tab_Def_Flows[Process_ID_I],,0,)</f>
        <v>11_Mil_BB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2034</v>
      </c>
      <c r="N167" s="51"/>
      <c r="O167" s="119">
        <v>1265.4967826004945</v>
      </c>
      <c r="P167" s="51" t="s">
        <v>389</v>
      </c>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4"/>
        <v>1265.4967826004945</v>
      </c>
      <c r="AB167" s="51" t="s">
        <v>63</v>
      </c>
      <c r="AC167" s="111">
        <f>INDEX(Tab_Def_Flows[[Flow_ID]:[CC_DM_source]],MATCH(Tab_Data_Flows[[#This Row],[Name(EN)]],Tab_Def_Flows[Name(EN)],0),16)</f>
        <v>0.1521568689797187</v>
      </c>
      <c r="AD167" s="112">
        <f>IF(J167="Yes",AA167*Tab_Data_Flows[[#This Row],[WC_'[%']]],"N.A.")</f>
        <v>192.55402814439898</v>
      </c>
      <c r="AE167" s="61" t="str">
        <f>Tab_Data_Flows[[#This Row],[UoM_Flow_Py]]</f>
        <v>Mg</v>
      </c>
      <c r="AF167" s="111">
        <f>INDEX(Tab_Def_Flows[[Flow_ID]:[CC_DM_source]],MATCH(Tab_Data_Flows[[#This Row],[Name(EN)]],Tab_Def_Flows[Name(EN)],0),18)</f>
        <v>0.8478431310202813</v>
      </c>
      <c r="AG167" s="112">
        <f>IF(K167="Yes",AF167*Tab_Data_Flows[[#This Row],[Flow_Py]]-AJ271,"N.A.")</f>
        <v>151.56812144732635</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x14ac:dyDescent="0.25">
      <c r="A168" s="60"/>
      <c r="B168" s="49" t="str">
        <f>_xlfn.XLOOKUP(C168,Tab_Def_Flows[Name(EN)],Tab_Def_Flows[Flow_ID],,0,)</f>
        <v>F_00_11</v>
      </c>
      <c r="C168" s="51" t="s">
        <v>500</v>
      </c>
      <c r="D168" s="49"/>
      <c r="E168" s="49" t="str">
        <f>_xlfn.XLOOKUP(C168,Tab_Def_Flows[Name(EN)],Tab_Def_Flows[Output_Process],,0,)</f>
        <v>Environment_</v>
      </c>
      <c r="F168" s="49" t="str">
        <f>_xlfn.XLOOKUP(C168,Tab_Def_Flows[Name(EN)],Tab_Def_Flows[Process_ID_O],,0,)</f>
        <v>00_Env_BB</v>
      </c>
      <c r="G168" s="49" t="str">
        <f>_xlfn.XLOOKUP(C168,Tab_Def_Flows[Name(EN)],Tab_Def_Flows[Input_Process],,0,)</f>
        <v>Millet_Production</v>
      </c>
      <c r="H168" s="61" t="str">
        <f>_xlfn.XLOOKUP(C168,Tab_Def_Flows[Name(EN)],Tab_Def_Flows[Process_ID_I],,0,)</f>
        <v>11_Mil_BB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2035</v>
      </c>
      <c r="N168" s="51"/>
      <c r="O168" s="119">
        <v>953.85030810409501</v>
      </c>
      <c r="P168" s="51" t="s">
        <v>389</v>
      </c>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4"/>
        <v>953.85030810409501</v>
      </c>
      <c r="AB168" s="51" t="s">
        <v>63</v>
      </c>
      <c r="AC168" s="111">
        <f>INDEX(Tab_Def_Flows[[Flow_ID]:[CC_DM_source]],MATCH(Tab_Data_Flows[[#This Row],[Name(EN)]],Tab_Def_Flows[Name(EN)],0),16)</f>
        <v>0.1521568689797187</v>
      </c>
      <c r="AD168" s="112">
        <f>IF(J168="Yes",AA168*Tab_Data_Flows[[#This Row],[WC_'[%']]],"N.A.")</f>
        <v>145.1348763564591</v>
      </c>
      <c r="AE168" s="61" t="str">
        <f>Tab_Data_Flows[[#This Row],[UoM_Flow_Py]]</f>
        <v>Mg</v>
      </c>
      <c r="AF168" s="111">
        <f>INDEX(Tab_Def_Flows[[Flow_ID]:[CC_DM_source]],MATCH(Tab_Data_Flows[[#This Row],[Name(EN)]],Tab_Def_Flows[Name(EN)],0),18)</f>
        <v>0.8478431310202813</v>
      </c>
      <c r="AG168" s="112">
        <f>IF(K168="Yes",AF168*Tab_Data_Flows[[#This Row],[Flow_Py]]-AJ272,"N.A.")</f>
        <v>114.24232864836233</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x14ac:dyDescent="0.25">
      <c r="A169" s="60"/>
      <c r="B169" s="49" t="str">
        <f>_xlfn.XLOOKUP(C169,Tab_Def_Flows[Name(EN)],Tab_Def_Flows[Flow_ID],,0,)</f>
        <v>F_00_11</v>
      </c>
      <c r="C169" s="51" t="s">
        <v>500</v>
      </c>
      <c r="D169" s="49"/>
      <c r="E169" s="49" t="str">
        <f>_xlfn.XLOOKUP(C169,Tab_Def_Flows[Name(EN)],Tab_Def_Flows[Output_Process],,0,)</f>
        <v>Environment_</v>
      </c>
      <c r="F169" s="49" t="str">
        <f>_xlfn.XLOOKUP(C169,Tab_Def_Flows[Name(EN)],Tab_Def_Flows[Process_ID_O],,0,)</f>
        <v>00_Env_BB</v>
      </c>
      <c r="G169" s="49" t="str">
        <f>_xlfn.XLOOKUP(C169,Tab_Def_Flows[Name(EN)],Tab_Def_Flows[Input_Process],,0,)</f>
        <v>Millet_Production</v>
      </c>
      <c r="H169" s="61" t="str">
        <f>_xlfn.XLOOKUP(C169,Tab_Def_Flows[Name(EN)],Tab_Def_Flows[Process_ID_I],,0,)</f>
        <v>11_Mil_BB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2036</v>
      </c>
      <c r="N169" s="51"/>
      <c r="O169" s="119">
        <v>953.13003940320357</v>
      </c>
      <c r="P169" s="51" t="s">
        <v>389</v>
      </c>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4"/>
        <v>953.13003940320357</v>
      </c>
      <c r="AB169" s="51" t="s">
        <v>63</v>
      </c>
      <c r="AC169" s="111">
        <f>INDEX(Tab_Def_Flows[[Flow_ID]:[CC_DM_source]],MATCH(Tab_Data_Flows[[#This Row],[Name(EN)]],Tab_Def_Flows[Name(EN)],0),16)</f>
        <v>0.1521568689797187</v>
      </c>
      <c r="AD169" s="112">
        <f>IF(J169="Yes",AA169*Tab_Data_Flows[[#This Row],[WC_'[%']]],"N.A.")</f>
        <v>145.02528252610736</v>
      </c>
      <c r="AE169" s="61" t="str">
        <f>Tab_Data_Flows[[#This Row],[UoM_Flow_Py]]</f>
        <v>Mg</v>
      </c>
      <c r="AF169" s="111">
        <f>INDEX(Tab_Def_Flows[[Flow_ID]:[CC_DM_source]],MATCH(Tab_Data_Flows[[#This Row],[Name(EN)]],Tab_Def_Flows[Name(EN)],0),18)</f>
        <v>0.8478431310202813</v>
      </c>
      <c r="AG169" s="112">
        <f>IF(K169="Yes",AF169*Tab_Data_Flows[[#This Row],[Flow_Py]]-AJ273,"N.A.")</f>
        <v>114.15606230977312</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x14ac:dyDescent="0.25">
      <c r="A170" s="60"/>
      <c r="B170" s="49" t="str">
        <f>_xlfn.XLOOKUP(C170,Tab_Def_Flows[Name(EN)],Tab_Def_Flows[Flow_ID],,0,)</f>
        <v>F_00_11</v>
      </c>
      <c r="C170" s="51" t="s">
        <v>500</v>
      </c>
      <c r="D170" s="49"/>
      <c r="E170" s="49" t="str">
        <f>_xlfn.XLOOKUP(C170,Tab_Def_Flows[Name(EN)],Tab_Def_Flows[Output_Process],,0,)</f>
        <v>Environment_</v>
      </c>
      <c r="F170" s="49" t="str">
        <f>_xlfn.XLOOKUP(C170,Tab_Def_Flows[Name(EN)],Tab_Def_Flows[Process_ID_O],,0,)</f>
        <v>00_Env_BB</v>
      </c>
      <c r="G170" s="49" t="str">
        <f>_xlfn.XLOOKUP(C170,Tab_Def_Flows[Name(EN)],Tab_Def_Flows[Input_Process],,0,)</f>
        <v>Millet_Production</v>
      </c>
      <c r="H170" s="61" t="str">
        <f>_xlfn.XLOOKUP(C170,Tab_Def_Flows[Name(EN)],Tab_Def_Flows[Process_ID_I],,0,)</f>
        <v>11_Mil_BB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2037</v>
      </c>
      <c r="N170" s="51"/>
      <c r="O170" s="119">
        <v>1172.3675720618132</v>
      </c>
      <c r="P170" s="51" t="s">
        <v>389</v>
      </c>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4"/>
        <v>1172.3675720618132</v>
      </c>
      <c r="AB170" s="51" t="s">
        <v>63</v>
      </c>
      <c r="AC170" s="111">
        <f>INDEX(Tab_Def_Flows[[Flow_ID]:[CC_DM_source]],MATCH(Tab_Data_Flows[[#This Row],[Name(EN)]],Tab_Def_Flows[Name(EN)],0),16)</f>
        <v>0.1521568689797187</v>
      </c>
      <c r="AD170" s="112">
        <f>IF(J170="Yes",AA170*Tab_Data_Flows[[#This Row],[WC_'[%']]],"N.A.")</f>
        <v>178.38377905828023</v>
      </c>
      <c r="AE170" s="61" t="str">
        <f>Tab_Data_Flows[[#This Row],[UoM_Flow_Py]]</f>
        <v>Mg</v>
      </c>
      <c r="AF170" s="111">
        <f>INDEX(Tab_Def_Flows[[Flow_ID]:[CC_DM_source]],MATCH(Tab_Data_Flows[[#This Row],[Name(EN)]],Tab_Def_Flows[Name(EN)],0),18)</f>
        <v>0.8478431310202813</v>
      </c>
      <c r="AG170" s="112">
        <f>IF(K170="Yes",AF170*Tab_Data_Flows[[#This Row],[Flow_Py]]-AJ274,"N.A.")</f>
        <v>140.4140674131354</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x14ac:dyDescent="0.25">
      <c r="A171" s="60"/>
      <c r="B171" s="49" t="str">
        <f>_xlfn.XLOOKUP(C171,Tab_Def_Flows[Name(EN)],Tab_Def_Flows[Flow_ID],,0,)</f>
        <v>F_00_11</v>
      </c>
      <c r="C171" s="51" t="s">
        <v>500</v>
      </c>
      <c r="D171" s="49"/>
      <c r="E171" s="49" t="str">
        <f>_xlfn.XLOOKUP(C171,Tab_Def_Flows[Name(EN)],Tab_Def_Flows[Output_Process],,0,)</f>
        <v>Environment_</v>
      </c>
      <c r="F171" s="49" t="str">
        <f>_xlfn.XLOOKUP(C171,Tab_Def_Flows[Name(EN)],Tab_Def_Flows[Process_ID_O],,0,)</f>
        <v>00_Env_BB</v>
      </c>
      <c r="G171" s="49" t="str">
        <f>_xlfn.XLOOKUP(C171,Tab_Def_Flows[Name(EN)],Tab_Def_Flows[Input_Process],,0,)</f>
        <v>Millet_Production</v>
      </c>
      <c r="H171" s="61" t="str">
        <f>_xlfn.XLOOKUP(C171,Tab_Def_Flows[Name(EN)],Tab_Def_Flows[Process_ID_I],,0,)</f>
        <v>11_Mil_BB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2038</v>
      </c>
      <c r="N171" s="51"/>
      <c r="O171" s="119">
        <v>504.70913606729005</v>
      </c>
      <c r="P171" s="51" t="s">
        <v>389</v>
      </c>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4"/>
        <v>504.70913606729005</v>
      </c>
      <c r="AB171" s="51" t="s">
        <v>63</v>
      </c>
      <c r="AC171" s="111">
        <f>INDEX(Tab_Def_Flows[[Flow_ID]:[CC_DM_source]],MATCH(Tab_Data_Flows[[#This Row],[Name(EN)]],Tab_Def_Flows[Name(EN)],0),16)</f>
        <v>0.1521568689797187</v>
      </c>
      <c r="AD171" s="112">
        <f>IF(J171="Yes",AA171*Tab_Data_Flows[[#This Row],[WC_'[%']]],"N.A.")</f>
        <v>76.794961889457667</v>
      </c>
      <c r="AE171" s="61" t="str">
        <f>Tab_Data_Flows[[#This Row],[UoM_Flow_Py]]</f>
        <v>Mg</v>
      </c>
      <c r="AF171" s="111">
        <f>INDEX(Tab_Def_Flows[[Flow_ID]:[CC_DM_source]],MATCH(Tab_Data_Flows[[#This Row],[Name(EN)]],Tab_Def_Flows[Name(EN)],0),18)</f>
        <v>0.8478431310202813</v>
      </c>
      <c r="AG171" s="112">
        <f>IF(K171="Yes",AF171*Tab_Data_Flows[[#This Row],[Flow_Py]]-AJ275,"N.A.")</f>
        <v>60.448842448911819</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x14ac:dyDescent="0.25">
      <c r="A172" s="60"/>
      <c r="B172" s="49" t="str">
        <f>_xlfn.XLOOKUP(C172,Tab_Def_Flows[Name(EN)],Tab_Def_Flows[Flow_ID],,0,)</f>
        <v>F_00_11</v>
      </c>
      <c r="C172" s="51" t="s">
        <v>500</v>
      </c>
      <c r="D172" s="49"/>
      <c r="E172" s="49" t="str">
        <f>_xlfn.XLOOKUP(C172,Tab_Def_Flows[Name(EN)],Tab_Def_Flows[Output_Process],,0,)</f>
        <v>Environment_</v>
      </c>
      <c r="F172" s="49" t="str">
        <f>_xlfn.XLOOKUP(C172,Tab_Def_Flows[Name(EN)],Tab_Def_Flows[Process_ID_O],,0,)</f>
        <v>00_Env_BB</v>
      </c>
      <c r="G172" s="49" t="str">
        <f>_xlfn.XLOOKUP(C172,Tab_Def_Flows[Name(EN)],Tab_Def_Flows[Input_Process],,0,)</f>
        <v>Millet_Production</v>
      </c>
      <c r="H172" s="61" t="str">
        <f>_xlfn.XLOOKUP(C172,Tab_Def_Flows[Name(EN)],Tab_Def_Flows[Process_ID_I],,0,)</f>
        <v>11_Mil_BB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2039</v>
      </c>
      <c r="N172" s="51"/>
      <c r="O172" s="119">
        <v>563.05090083950643</v>
      </c>
      <c r="P172" s="51" t="s">
        <v>389</v>
      </c>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4"/>
        <v>563.05090083950643</v>
      </c>
      <c r="AB172" s="51" t="s">
        <v>63</v>
      </c>
      <c r="AC172" s="111">
        <f>INDEX(Tab_Def_Flows[[Flow_ID]:[CC_DM_source]],MATCH(Tab_Data_Flows[[#This Row],[Name(EN)]],Tab_Def_Flows[Name(EN)],0),16)</f>
        <v>0.1521568689797187</v>
      </c>
      <c r="AD172" s="112">
        <f>IF(J172="Yes",AA172*Tab_Data_Flows[[#This Row],[WC_'[%']]],"N.A.")</f>
        <v>85.672062147949362</v>
      </c>
      <c r="AE172" s="61" t="str">
        <f>Tab_Data_Flows[[#This Row],[UoM_Flow_Py]]</f>
        <v>Mg</v>
      </c>
      <c r="AF172" s="111">
        <f>INDEX(Tab_Def_Flows[[Flow_ID]:[CC_DM_source]],MATCH(Tab_Data_Flows[[#This Row],[Name(EN)]],Tab_Def_Flows[Name(EN)],0),18)</f>
        <v>0.8478431310202813</v>
      </c>
      <c r="AG172" s="112">
        <f>IF(K172="Yes",AF172*Tab_Data_Flows[[#This Row],[Flow_Py]]-AJ276,"N.A.")</f>
        <v>67.43641587464225</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x14ac:dyDescent="0.25">
      <c r="A173" s="60"/>
      <c r="B173" s="49" t="str">
        <f>_xlfn.XLOOKUP(C173,Tab_Def_Flows[Name(EN)],Tab_Def_Flows[Flow_ID],,0,)</f>
        <v>F_00_11</v>
      </c>
      <c r="C173" s="51" t="s">
        <v>500</v>
      </c>
      <c r="D173" s="49"/>
      <c r="E173" s="49" t="str">
        <f>_xlfn.XLOOKUP(C173,Tab_Def_Flows[Name(EN)],Tab_Def_Flows[Output_Process],,0,)</f>
        <v>Environment_</v>
      </c>
      <c r="F173" s="49" t="str">
        <f>_xlfn.XLOOKUP(C173,Tab_Def_Flows[Name(EN)],Tab_Def_Flows[Process_ID_O],,0,)</f>
        <v>00_Env_BB</v>
      </c>
      <c r="G173" s="49" t="str">
        <f>_xlfn.XLOOKUP(C173,Tab_Def_Flows[Name(EN)],Tab_Def_Flows[Input_Process],,0,)</f>
        <v>Millet_Production</v>
      </c>
      <c r="H173" s="61" t="str">
        <f>_xlfn.XLOOKUP(C173,Tab_Def_Flows[Name(EN)],Tab_Def_Flows[Process_ID_I],,0,)</f>
        <v>11_Mil_BB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2040</v>
      </c>
      <c r="N173" s="51"/>
      <c r="O173" s="119">
        <v>923.23122588321564</v>
      </c>
      <c r="P173" s="51" t="s">
        <v>389</v>
      </c>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4"/>
        <v>923.23122588321564</v>
      </c>
      <c r="AB173" s="51" t="s">
        <v>63</v>
      </c>
      <c r="AC173" s="111">
        <f>INDEX(Tab_Def_Flows[[Flow_ID]:[CC_DM_source]],MATCH(Tab_Data_Flows[[#This Row],[Name(EN)]],Tab_Def_Flows[Name(EN)],0),16)</f>
        <v>0.1521568689797187</v>
      </c>
      <c r="AD173" s="112">
        <f>IF(J173="Yes",AA173*Tab_Data_Flows[[#This Row],[WC_'[%']]],"N.A.")</f>
        <v>140.47597267469752</v>
      </c>
      <c r="AE173" s="61" t="str">
        <f>Tab_Data_Flows[[#This Row],[UoM_Flow_Py]]</f>
        <v>Mg</v>
      </c>
      <c r="AF173" s="111">
        <f>INDEX(Tab_Def_Flows[[Flow_ID]:[CC_DM_source]],MATCH(Tab_Data_Flows[[#This Row],[Name(EN)]],Tab_Def_Flows[Name(EN)],0),18)</f>
        <v>0.8478431310202813</v>
      </c>
      <c r="AG173" s="112">
        <f>IF(K173="Yes",AF173*Tab_Data_Flows[[#This Row],[Flow_Py]]-AJ277,"N.A.")</f>
        <v>110.5750915313123</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x14ac:dyDescent="0.25">
      <c r="A174" s="60"/>
      <c r="B174" s="49" t="str">
        <f>_xlfn.XLOOKUP(C174,Tab_Def_Flows[Name(EN)],Tab_Def_Flows[Flow_ID],,0,)</f>
        <v>F_00_11</v>
      </c>
      <c r="C174" s="51" t="s">
        <v>500</v>
      </c>
      <c r="D174" s="49"/>
      <c r="E174" s="49" t="str">
        <f>_xlfn.XLOOKUP(C174,Tab_Def_Flows[Name(EN)],Tab_Def_Flows[Output_Process],,0,)</f>
        <v>Environment_</v>
      </c>
      <c r="F174" s="49" t="str">
        <f>_xlfn.XLOOKUP(C174,Tab_Def_Flows[Name(EN)],Tab_Def_Flows[Process_ID_O],,0,)</f>
        <v>00_Env_BB</v>
      </c>
      <c r="G174" s="49" t="str">
        <f>_xlfn.XLOOKUP(C174,Tab_Def_Flows[Name(EN)],Tab_Def_Flows[Input_Process],,0,)</f>
        <v>Millet_Production</v>
      </c>
      <c r="H174" s="61" t="str">
        <f>_xlfn.XLOOKUP(C174,Tab_Def_Flows[Name(EN)],Tab_Def_Flows[Process_ID_I],,0,)</f>
        <v>11_Mil_BB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2041</v>
      </c>
      <c r="N174" s="51"/>
      <c r="O174" s="119">
        <v>783.65234657001724</v>
      </c>
      <c r="P174" s="51" t="s">
        <v>389</v>
      </c>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ref="AA174:AA231" si="5">IF(X174="no",O174,O174*Y174)</f>
        <v>783.65234657001724</v>
      </c>
      <c r="AB174" s="51" t="s">
        <v>63</v>
      </c>
      <c r="AC174" s="111">
        <f>INDEX(Tab_Def_Flows[[Flow_ID]:[CC_DM_source]],MATCH(Tab_Data_Flows[[#This Row],[Name(EN)]],Tab_Def_Flows[Name(EN)],0),16)</f>
        <v>0.1521568689797187</v>
      </c>
      <c r="AD174" s="112">
        <f>IF(J174="Yes",AA174*Tab_Data_Flows[[#This Row],[WC_'[%']]],"N.A.")</f>
        <v>119.23808742270322</v>
      </c>
      <c r="AE174" s="61" t="str">
        <f>Tab_Data_Flows[[#This Row],[UoM_Flow_Py]]</f>
        <v>Mg</v>
      </c>
      <c r="AF174" s="111">
        <f>INDEX(Tab_Def_Flows[[Flow_ID]:[CC_DM_source]],MATCH(Tab_Data_Flows[[#This Row],[Name(EN)]],Tab_Def_Flows[Name(EN)],0),18)</f>
        <v>0.8478431310202813</v>
      </c>
      <c r="AG174" s="112">
        <f>IF(K174="Yes",AF174*Tab_Data_Flows[[#This Row],[Flow_Py]]-AJ278,"N.A.")</f>
        <v>93.857776385120474</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x14ac:dyDescent="0.25">
      <c r="A175" s="60"/>
      <c r="B175" s="49" t="str">
        <f>_xlfn.XLOOKUP(C175,Tab_Def_Flows[Name(EN)],Tab_Def_Flows[Flow_ID],,0,)</f>
        <v>F_00_11</v>
      </c>
      <c r="C175" s="51" t="s">
        <v>500</v>
      </c>
      <c r="D175" s="49"/>
      <c r="E175" s="49" t="str">
        <f>_xlfn.XLOOKUP(C175,Tab_Def_Flows[Name(EN)],Tab_Def_Flows[Output_Process],,0,)</f>
        <v>Environment_</v>
      </c>
      <c r="F175" s="49" t="str">
        <f>_xlfn.XLOOKUP(C175,Tab_Def_Flows[Name(EN)],Tab_Def_Flows[Process_ID_O],,0,)</f>
        <v>00_Env_BB</v>
      </c>
      <c r="G175" s="49" t="str">
        <f>_xlfn.XLOOKUP(C175,Tab_Def_Flows[Name(EN)],Tab_Def_Flows[Input_Process],,0,)</f>
        <v>Millet_Production</v>
      </c>
      <c r="H175" s="61" t="str">
        <f>_xlfn.XLOOKUP(C175,Tab_Def_Flows[Name(EN)],Tab_Def_Flows[Process_ID_I],,0,)</f>
        <v>11_Mil_BB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2042</v>
      </c>
      <c r="N175" s="51"/>
      <c r="O175" s="119">
        <v>1194.7572012533574</v>
      </c>
      <c r="P175" s="51" t="s">
        <v>389</v>
      </c>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5"/>
        <v>1194.7572012533574</v>
      </c>
      <c r="AB175" s="51" t="s">
        <v>63</v>
      </c>
      <c r="AC175" s="111">
        <f>INDEX(Tab_Def_Flows[[Flow_ID]:[CC_DM_source]],MATCH(Tab_Data_Flows[[#This Row],[Name(EN)]],Tab_Def_Flows[Name(EN)],0),16)</f>
        <v>0.1521568689797187</v>
      </c>
      <c r="AD175" s="112">
        <f>IF(J175="Yes",AA175*Tab_Data_Flows[[#This Row],[WC_'[%']]],"N.A.")</f>
        <v>181.79051493368249</v>
      </c>
      <c r="AE175" s="61" t="str">
        <f>Tab_Data_Flows[[#This Row],[UoM_Flow_Py]]</f>
        <v>Mg</v>
      </c>
      <c r="AF175" s="111">
        <f>INDEX(Tab_Def_Flows[[Flow_ID]:[CC_DM_source]],MATCH(Tab_Data_Flows[[#This Row],[Name(EN)]],Tab_Def_Flows[Name(EN)],0),18)</f>
        <v>0.8478431310202813</v>
      </c>
      <c r="AG175" s="112">
        <f>IF(K175="Yes",AF175*Tab_Data_Flows[[#This Row],[Flow_Py]]-AJ279,"N.A.")</f>
        <v>143.09566572545282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x14ac:dyDescent="0.25">
      <c r="A176" s="60"/>
      <c r="B176" s="49" t="str">
        <f>_xlfn.XLOOKUP(C176,Tab_Def_Flows[Name(EN)],Tab_Def_Flows[Flow_ID],,0,)</f>
        <v>F_00_11</v>
      </c>
      <c r="C176" s="51" t="s">
        <v>500</v>
      </c>
      <c r="D176" s="49"/>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49">
        <f>_xlfn.XLOOKUP(C176,Tab_Def_Flows[Name(EN)],Tab_Def_Flows[Value_Source],,0,)</f>
        <v>0</v>
      </c>
      <c r="J176" s="49" t="str">
        <f>_xlfn.XLOOKUP(C176,Tab_Def_Flows[Name(EN)],Tab_Def_Flows[WC?],,0,)</f>
        <v>Yes</v>
      </c>
      <c r="K176" s="49" t="str">
        <f>_xlfn.XLOOKUP(C176,Tab_Def_Flows[Name(EN)],Tab_Def_Flows[DM?],,0,)</f>
        <v>Yes</v>
      </c>
      <c r="L176" s="49" t="str">
        <f>_xlfn.XLOOKUP(C176,Tab_Def_Flows[Name(EN)],Tab_Def_Flows[CC?],,0,)</f>
        <v>Yes</v>
      </c>
      <c r="M176" s="51">
        <v>2043</v>
      </c>
      <c r="N176" s="51"/>
      <c r="O176" s="119">
        <v>816.125737574043</v>
      </c>
      <c r="P176" s="51" t="s">
        <v>389</v>
      </c>
      <c r="Q176" s="51"/>
      <c r="R176" s="51" t="e">
        <f>INDEX(Tab_WC_DM_CC[[Flow_ID]:[CC_source]],MATCH(Tab_Data_Flows[[#This Row],[Name(EN)]],Tab_WC_DM_CC[Name(EN)],0),12)</f>
        <v>#N/A</v>
      </c>
      <c r="S176" s="51" t="e">
        <f>MATCH(Tab_Data_Flows[[#This Row],[Name(EN)]],Tab_WC_DM_CC[Name(EN)],0)</f>
        <v>#N/A</v>
      </c>
      <c r="T176" s="51"/>
      <c r="U176" s="51"/>
      <c r="V176" s="51"/>
      <c r="W176" s="51"/>
      <c r="X176" s="51" t="s">
        <v>71</v>
      </c>
      <c r="Y176" s="51"/>
      <c r="Z176" s="51" t="str">
        <f>'3_1_Calculation_factors (Wood)'!$A$14</f>
        <v>Mittelwert</v>
      </c>
      <c r="AA176" s="86">
        <f t="shared" si="5"/>
        <v>816.125737574043</v>
      </c>
      <c r="AB176" s="51" t="s">
        <v>63</v>
      </c>
      <c r="AC176" s="111">
        <f>INDEX(Tab_Def_Flows[[Flow_ID]:[CC_DM_source]],MATCH(Tab_Data_Flows[[#This Row],[Name(EN)]],Tab_Def_Flows[Name(EN)],0),16)</f>
        <v>0.1521568689797187</v>
      </c>
      <c r="AD176" s="112">
        <f>IF(J176="Yes",AA176*Tab_Data_Flows[[#This Row],[WC_'[%']]],"N.A.")</f>
        <v>124.17913692302994</v>
      </c>
      <c r="AE176" s="61" t="str">
        <f>Tab_Data_Flows[[#This Row],[UoM_Flow_Py]]</f>
        <v>Mg</v>
      </c>
      <c r="AF176" s="111">
        <f>INDEX(Tab_Def_Flows[[Flow_ID]:[CC_DM_source]],MATCH(Tab_Data_Flows[[#This Row],[Name(EN)]],Tab_Def_Flows[Name(EN)],0),18)</f>
        <v>0.8478431310202813</v>
      </c>
      <c r="AG176" s="112">
        <f>IF(K176="Yes",AF176*Tab_Data_Flows[[#This Row],[Flow_Py]]-AJ280,"N.A.")</f>
        <v>97.747103437687429</v>
      </c>
      <c r="AH176" s="61" t="str">
        <f>Tab_Data_Flows[[#This Row],[UoM_Flow_Py]]</f>
        <v>Mg</v>
      </c>
      <c r="AI176" s="111">
        <f>INDEX(Tab_Def_Flows[[Flow_ID]:[CC_DM_source]],MATCH(Tab_Data_Flows[[#This Row],[Name(EN)]],Tab_Def_Flows[Name(EN)],0),20)</f>
        <v>0</v>
      </c>
      <c r="AJ176" s="112">
        <f>IF(L176="Yes",AI176*Tab_Data_Flows[[#This Row],[Flow_Py]]*Tab_Data_Flows[[#This Row],[DM_'[%']]],"N.A.")</f>
        <v>0</v>
      </c>
      <c r="AK176" s="61" t="str">
        <f>Tab_Data_Flows[[#This Row],[UoM_Flow_Py]]</f>
        <v>Mg</v>
      </c>
    </row>
    <row r="177" spans="1:37" x14ac:dyDescent="0.25">
      <c r="A177" s="60"/>
      <c r="B177" s="49" t="str">
        <f>_xlfn.XLOOKUP(C177,Tab_Def_Flows[Name(EN)],Tab_Def_Flows[Flow_ID],,0,)</f>
        <v>F_00_11</v>
      </c>
      <c r="C177" s="51" t="s">
        <v>500</v>
      </c>
      <c r="D177" s="49"/>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49">
        <f>_xlfn.XLOOKUP(C177,Tab_Def_Flows[Name(EN)],Tab_Def_Flows[Value_Source],,0,)</f>
        <v>0</v>
      </c>
      <c r="J177" s="49" t="str">
        <f>_xlfn.XLOOKUP(C177,Tab_Def_Flows[Name(EN)],Tab_Def_Flows[WC?],,0,)</f>
        <v>Yes</v>
      </c>
      <c r="K177" s="49" t="str">
        <f>_xlfn.XLOOKUP(C177,Tab_Def_Flows[Name(EN)],Tab_Def_Flows[DM?],,0,)</f>
        <v>Yes</v>
      </c>
      <c r="L177" s="49" t="str">
        <f>_xlfn.XLOOKUP(C177,Tab_Def_Flows[Name(EN)],Tab_Def_Flows[CC?],,0,)</f>
        <v>Yes</v>
      </c>
      <c r="M177" s="51">
        <v>2044</v>
      </c>
      <c r="N177" s="51"/>
      <c r="O177" s="119">
        <v>659.9040538104565</v>
      </c>
      <c r="P177" s="51" t="s">
        <v>389</v>
      </c>
      <c r="Q177" s="51"/>
      <c r="R177" s="51" t="e">
        <f>INDEX(Tab_WC_DM_CC[[Flow_ID]:[CC_source]],MATCH(Tab_Data_Flows[[#This Row],[Name(EN)]],Tab_WC_DM_CC[Name(EN)],0),12)</f>
        <v>#N/A</v>
      </c>
      <c r="S177" s="51" t="e">
        <f>MATCH(Tab_Data_Flows[[#This Row],[Name(EN)]],Tab_WC_DM_CC[Name(EN)],0)</f>
        <v>#N/A</v>
      </c>
      <c r="T177" s="51"/>
      <c r="U177" s="51"/>
      <c r="V177" s="51"/>
      <c r="W177" s="51"/>
      <c r="X177" s="51" t="s">
        <v>71</v>
      </c>
      <c r="Y177" s="51"/>
      <c r="Z177" s="51" t="str">
        <f>'3_1_Calculation_factors (Wood)'!$A$14</f>
        <v>Mittelwert</v>
      </c>
      <c r="AA177" s="86">
        <f t="shared" si="5"/>
        <v>659.9040538104565</v>
      </c>
      <c r="AB177" s="51" t="s">
        <v>63</v>
      </c>
      <c r="AC177" s="111">
        <f>INDEX(Tab_Def_Flows[[Flow_ID]:[CC_DM_source]],MATCH(Tab_Data_Flows[[#This Row],[Name(EN)]],Tab_Def_Flows[Name(EN)],0),16)</f>
        <v>0.1521568689797187</v>
      </c>
      <c r="AD177" s="112">
        <f>IF(J177="Yes",AA177*Tab_Data_Flows[[#This Row],[WC_'[%']]],"N.A.")</f>
        <v>100.40893465482287</v>
      </c>
      <c r="AE177" s="61" t="str">
        <f>Tab_Data_Flows[[#This Row],[UoM_Flow_Py]]</f>
        <v>Mg</v>
      </c>
      <c r="AF177" s="111">
        <f>INDEX(Tab_Def_Flows[[Flow_ID]:[CC_DM_source]],MATCH(Tab_Data_Flows[[#This Row],[Name(EN)]],Tab_Def_Flows[Name(EN)],0),18)</f>
        <v>0.8478431310202813</v>
      </c>
      <c r="AG177" s="112">
        <f>IF(K177="Yes",AF177*Tab_Data_Flows[[#This Row],[Flow_Py]]-AJ281,"N.A.")</f>
        <v>79.03648523387966</v>
      </c>
      <c r="AH177" s="61" t="str">
        <f>Tab_Data_Flows[[#This Row],[UoM_Flow_Py]]</f>
        <v>Mg</v>
      </c>
      <c r="AI177" s="111">
        <f>INDEX(Tab_Def_Flows[[Flow_ID]:[CC_DM_source]],MATCH(Tab_Data_Flows[[#This Row],[Name(EN)]],Tab_Def_Flows[Name(EN)],0),20)</f>
        <v>0</v>
      </c>
      <c r="AJ177" s="112">
        <f>IF(L177="Yes",AI177*Tab_Data_Flows[[#This Row],[Flow_Py]]*Tab_Data_Flows[[#This Row],[DM_'[%']]],"N.A.")</f>
        <v>0</v>
      </c>
      <c r="AK177" s="61" t="str">
        <f>Tab_Data_Flows[[#This Row],[UoM_Flow_Py]]</f>
        <v>Mg</v>
      </c>
    </row>
    <row r="178" spans="1:37" x14ac:dyDescent="0.25">
      <c r="A178" s="60"/>
      <c r="B178" s="49" t="str">
        <f>_xlfn.XLOOKUP(C178,Tab_Def_Flows[Name(EN)],Tab_Def_Flows[Flow_ID],,0,)</f>
        <v>F_00_11</v>
      </c>
      <c r="C178" s="51" t="s">
        <v>500</v>
      </c>
      <c r="D178" s="49"/>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49">
        <f>_xlfn.XLOOKUP(C178,Tab_Def_Flows[Name(EN)],Tab_Def_Flows[Value_Source],,0,)</f>
        <v>0</v>
      </c>
      <c r="J178" s="49" t="str">
        <f>_xlfn.XLOOKUP(C178,Tab_Def_Flows[Name(EN)],Tab_Def_Flows[WC?],,0,)</f>
        <v>Yes</v>
      </c>
      <c r="K178" s="49" t="str">
        <f>_xlfn.XLOOKUP(C178,Tab_Def_Flows[Name(EN)],Tab_Def_Flows[DM?],,0,)</f>
        <v>Yes</v>
      </c>
      <c r="L178" s="49" t="str">
        <f>_xlfn.XLOOKUP(C178,Tab_Def_Flows[Name(EN)],Tab_Def_Flows[CC?],,0,)</f>
        <v>Yes</v>
      </c>
      <c r="M178" s="51">
        <v>2045</v>
      </c>
      <c r="N178" s="51"/>
      <c r="O178" s="119">
        <v>1551.4587817204201</v>
      </c>
      <c r="P178" s="51" t="s">
        <v>389</v>
      </c>
      <c r="Q178" s="51"/>
      <c r="R178" s="51" t="e">
        <f>INDEX(Tab_WC_DM_CC[[Flow_ID]:[CC_source]],MATCH(Tab_Data_Flows[[#This Row],[Name(EN)]],Tab_WC_DM_CC[Name(EN)],0),12)</f>
        <v>#N/A</v>
      </c>
      <c r="S178" s="51" t="e">
        <f>MATCH(Tab_Data_Flows[[#This Row],[Name(EN)]],Tab_WC_DM_CC[Name(EN)],0)</f>
        <v>#N/A</v>
      </c>
      <c r="T178" s="51"/>
      <c r="U178" s="51"/>
      <c r="V178" s="51"/>
      <c r="W178" s="51"/>
      <c r="X178" s="51" t="s">
        <v>71</v>
      </c>
      <c r="Y178" s="51"/>
      <c r="Z178" s="51" t="str">
        <f>'3_1_Calculation_factors (Wood)'!$A$14</f>
        <v>Mittelwert</v>
      </c>
      <c r="AA178" s="86">
        <f t="shared" si="5"/>
        <v>1551.4587817204201</v>
      </c>
      <c r="AB178" s="51" t="s">
        <v>63</v>
      </c>
      <c r="AC178" s="111">
        <f>INDEX(Tab_Def_Flows[[Flow_ID]:[CC_DM_source]],MATCH(Tab_Data_Flows[[#This Row],[Name(EN)]],Tab_Def_Flows[Name(EN)],0),16)</f>
        <v>0.1521568689797187</v>
      </c>
      <c r="AD178" s="112">
        <f>IF(J178="Yes",AA178*Tab_Data_Flows[[#This Row],[WC_'[%']]],"N.A.")</f>
        <v>236.06511057766795</v>
      </c>
      <c r="AE178" s="61" t="str">
        <f>Tab_Data_Flows[[#This Row],[UoM_Flow_Py]]</f>
        <v>Mg</v>
      </c>
      <c r="AF178" s="111">
        <f>INDEX(Tab_Def_Flows[[Flow_ID]:[CC_DM_source]],MATCH(Tab_Data_Flows[[#This Row],[Name(EN)]],Tab_Def_Flows[Name(EN)],0),18)</f>
        <v>0.8478431310202813</v>
      </c>
      <c r="AG178" s="112">
        <f>IF(K178="Yes",AF178*Tab_Data_Flows[[#This Row],[Flow_Py]]-AJ282,"N.A.")</f>
        <v>185.81769332127715</v>
      </c>
      <c r="AH178" s="61" t="str">
        <f>Tab_Data_Flows[[#This Row],[UoM_Flow_Py]]</f>
        <v>Mg</v>
      </c>
      <c r="AI178" s="111">
        <f>INDEX(Tab_Def_Flows[[Flow_ID]:[CC_DM_source]],MATCH(Tab_Data_Flows[[#This Row],[Name(EN)]],Tab_Def_Flows[Name(EN)],0),20)</f>
        <v>0</v>
      </c>
      <c r="AJ178" s="112">
        <f>IF(L178="Yes",AI178*Tab_Data_Flows[[#This Row],[Flow_Py]]*Tab_Data_Flows[[#This Row],[DM_'[%']]],"N.A.")</f>
        <v>0</v>
      </c>
      <c r="AK178" s="61" t="str">
        <f>Tab_Data_Flows[[#This Row],[UoM_Flow_Py]]</f>
        <v>Mg</v>
      </c>
    </row>
    <row r="179" spans="1:37" x14ac:dyDescent="0.25">
      <c r="A179" s="60"/>
      <c r="B179" s="49" t="str">
        <f>_xlfn.XLOOKUP(C179,Tab_Def_Flows[Name(EN)],Tab_Def_Flows[Flow_ID],,0,)</f>
        <v>F_00_11</v>
      </c>
      <c r="C179" s="51" t="s">
        <v>500</v>
      </c>
      <c r="D179" s="49"/>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49">
        <f>_xlfn.XLOOKUP(C179,Tab_Def_Flows[Name(EN)],Tab_Def_Flows[Value_Source],,0,)</f>
        <v>0</v>
      </c>
      <c r="J179" s="49" t="str">
        <f>_xlfn.XLOOKUP(C179,Tab_Def_Flows[Name(EN)],Tab_Def_Flows[WC?],,0,)</f>
        <v>Yes</v>
      </c>
      <c r="K179" s="49" t="str">
        <f>_xlfn.XLOOKUP(C179,Tab_Def_Flows[Name(EN)],Tab_Def_Flows[DM?],,0,)</f>
        <v>Yes</v>
      </c>
      <c r="L179" s="49" t="str">
        <f>_xlfn.XLOOKUP(C179,Tab_Def_Flows[Name(EN)],Tab_Def_Flows[CC?],,0,)</f>
        <v>Yes</v>
      </c>
      <c r="M179" s="51">
        <v>2046</v>
      </c>
      <c r="N179" s="51"/>
      <c r="O179" s="119">
        <v>1027.4709642547984</v>
      </c>
      <c r="P179" s="51" t="s">
        <v>389</v>
      </c>
      <c r="Q179" s="51"/>
      <c r="R179" s="51" t="e">
        <f>INDEX(Tab_WC_DM_CC[[Flow_ID]:[CC_source]],MATCH(Tab_Data_Flows[[#This Row],[Name(EN)]],Tab_WC_DM_CC[Name(EN)],0),12)</f>
        <v>#N/A</v>
      </c>
      <c r="S179" s="51" t="e">
        <f>MATCH(Tab_Data_Flows[[#This Row],[Name(EN)]],Tab_WC_DM_CC[Name(EN)],0)</f>
        <v>#N/A</v>
      </c>
      <c r="T179" s="51"/>
      <c r="U179" s="51"/>
      <c r="V179" s="51"/>
      <c r="W179" s="51"/>
      <c r="X179" s="51" t="s">
        <v>71</v>
      </c>
      <c r="Y179" s="51"/>
      <c r="Z179" s="51" t="str">
        <f>'3_1_Calculation_factors (Wood)'!$A$14</f>
        <v>Mittelwert</v>
      </c>
      <c r="AA179" s="86">
        <f t="shared" si="5"/>
        <v>1027.4709642547984</v>
      </c>
      <c r="AB179" s="51" t="s">
        <v>63</v>
      </c>
      <c r="AC179" s="111">
        <f>INDEX(Tab_Def_Flows[[Flow_ID]:[CC_DM_source]],MATCH(Tab_Data_Flows[[#This Row],[Name(EN)]],Tab_Def_Flows[Name(EN)],0),16)</f>
        <v>0.1521568689797187</v>
      </c>
      <c r="AD179" s="112">
        <f>IF(J179="Yes",AA179*Tab_Data_Flows[[#This Row],[WC_'[%']]],"N.A.")</f>
        <v>156.33676488858259</v>
      </c>
      <c r="AE179" s="61" t="str">
        <f>Tab_Data_Flows[[#This Row],[UoM_Flow_Py]]</f>
        <v>Mg</v>
      </c>
      <c r="AF179" s="111">
        <f>INDEX(Tab_Def_Flows[[Flow_ID]:[CC_DM_source]],MATCH(Tab_Data_Flows[[#This Row],[Name(EN)]],Tab_Def_Flows[Name(EN)],0),18)</f>
        <v>0.8478431310202813</v>
      </c>
      <c r="AG179" s="112">
        <f>IF(K179="Yes",AF179*Tab_Data_Flows[[#This Row],[Flow_Py]]-AJ283,"N.A.")</f>
        <v>123.05984972459282</v>
      </c>
      <c r="AH179" s="61" t="str">
        <f>Tab_Data_Flows[[#This Row],[UoM_Flow_Py]]</f>
        <v>Mg</v>
      </c>
      <c r="AI179" s="111">
        <f>INDEX(Tab_Def_Flows[[Flow_ID]:[CC_DM_source]],MATCH(Tab_Data_Flows[[#This Row],[Name(EN)]],Tab_Def_Flows[Name(EN)],0),20)</f>
        <v>0</v>
      </c>
      <c r="AJ179" s="112">
        <f>IF(L179="Yes",AI179*Tab_Data_Flows[[#This Row],[Flow_Py]]*Tab_Data_Flows[[#This Row],[DM_'[%']]],"N.A.")</f>
        <v>0</v>
      </c>
      <c r="AK179" s="61" t="str">
        <f>Tab_Data_Flows[[#This Row],[UoM_Flow_Py]]</f>
        <v>Mg</v>
      </c>
    </row>
    <row r="180" spans="1:37" x14ac:dyDescent="0.25">
      <c r="A180" s="60"/>
      <c r="B180" s="49" t="str">
        <f>_xlfn.XLOOKUP(C180,Tab_Def_Flows[Name(EN)],Tab_Def_Flows[Flow_ID],,0,)</f>
        <v>F_00_11</v>
      </c>
      <c r="C180" s="51" t="s">
        <v>500</v>
      </c>
      <c r="D180" s="49"/>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49">
        <f>_xlfn.XLOOKUP(C180,Tab_Def_Flows[Name(EN)],Tab_Def_Flows[Value_Source],,0,)</f>
        <v>0</v>
      </c>
      <c r="J180" s="49" t="str">
        <f>_xlfn.XLOOKUP(C180,Tab_Def_Flows[Name(EN)],Tab_Def_Flows[WC?],,0,)</f>
        <v>Yes</v>
      </c>
      <c r="K180" s="49" t="str">
        <f>_xlfn.XLOOKUP(C180,Tab_Def_Flows[Name(EN)],Tab_Def_Flows[DM?],,0,)</f>
        <v>Yes</v>
      </c>
      <c r="L180" s="49" t="str">
        <f>_xlfn.XLOOKUP(C180,Tab_Def_Flows[Name(EN)],Tab_Def_Flows[CC?],,0,)</f>
        <v>Yes</v>
      </c>
      <c r="M180" s="51">
        <v>2047</v>
      </c>
      <c r="N180" s="51"/>
      <c r="O180" s="119">
        <v>1118.3320946289698</v>
      </c>
      <c r="P180" s="51" t="s">
        <v>389</v>
      </c>
      <c r="Q180" s="51"/>
      <c r="R180" s="51" t="e">
        <f>INDEX(Tab_WC_DM_CC[[Flow_ID]:[CC_source]],MATCH(Tab_Data_Flows[[#This Row],[Name(EN)]],Tab_WC_DM_CC[Name(EN)],0),12)</f>
        <v>#N/A</v>
      </c>
      <c r="S180" s="51" t="e">
        <f>MATCH(Tab_Data_Flows[[#This Row],[Name(EN)]],Tab_WC_DM_CC[Name(EN)],0)</f>
        <v>#N/A</v>
      </c>
      <c r="T180" s="51"/>
      <c r="U180" s="51"/>
      <c r="V180" s="51"/>
      <c r="W180" s="51"/>
      <c r="X180" s="51" t="s">
        <v>71</v>
      </c>
      <c r="Y180" s="51"/>
      <c r="Z180" s="51" t="str">
        <f>'3_1_Calculation_factors (Wood)'!$A$14</f>
        <v>Mittelwert</v>
      </c>
      <c r="AA180" s="86">
        <f t="shared" si="5"/>
        <v>1118.3320946289698</v>
      </c>
      <c r="AB180" s="51" t="s">
        <v>63</v>
      </c>
      <c r="AC180" s="111">
        <f>INDEX(Tab_Def_Flows[[Flow_ID]:[CC_DM_source]],MATCH(Tab_Data_Flows[[#This Row],[Name(EN)]],Tab_Def_Flows[Name(EN)],0),16)</f>
        <v>0.1521568689797187</v>
      </c>
      <c r="AD180" s="112">
        <f>IF(J180="Yes",AA180*Tab_Data_Flows[[#This Row],[WC_'[%']]],"N.A.")</f>
        <v>170.16190999827452</v>
      </c>
      <c r="AE180" s="61" t="str">
        <f>Tab_Data_Flows[[#This Row],[UoM_Flow_Py]]</f>
        <v>Mg</v>
      </c>
      <c r="AF180" s="111">
        <f>INDEX(Tab_Def_Flows[[Flow_ID]:[CC_DM_source]],MATCH(Tab_Data_Flows[[#This Row],[Name(EN)]],Tab_Def_Flows[Name(EN)],0),18)</f>
        <v>0.8478431310202813</v>
      </c>
      <c r="AG180" s="112">
        <f>IF(K180="Yes",AF180*Tab_Data_Flows[[#This Row],[Flow_Py]]-AJ284,"N.A.")</f>
        <v>133.94225656492802</v>
      </c>
      <c r="AH180" s="61" t="str">
        <f>Tab_Data_Flows[[#This Row],[UoM_Flow_Py]]</f>
        <v>Mg</v>
      </c>
      <c r="AI180" s="111">
        <f>INDEX(Tab_Def_Flows[[Flow_ID]:[CC_DM_source]],MATCH(Tab_Data_Flows[[#This Row],[Name(EN)]],Tab_Def_Flows[Name(EN)],0),20)</f>
        <v>0</v>
      </c>
      <c r="AJ180" s="112">
        <f>IF(L180="Yes",AI180*Tab_Data_Flows[[#This Row],[Flow_Py]]*Tab_Data_Flows[[#This Row],[DM_'[%']]],"N.A.")</f>
        <v>0</v>
      </c>
      <c r="AK180" s="61" t="str">
        <f>Tab_Data_Flows[[#This Row],[UoM_Flow_Py]]</f>
        <v>Mg</v>
      </c>
    </row>
    <row r="181" spans="1:37" x14ac:dyDescent="0.25">
      <c r="A181" s="60"/>
      <c r="B181" s="49" t="str">
        <f>_xlfn.XLOOKUP(C181,Tab_Def_Flows[Name(EN)],Tab_Def_Flows[Flow_ID],,0,)</f>
        <v>F_00_11</v>
      </c>
      <c r="C181" s="51" t="s">
        <v>500</v>
      </c>
      <c r="D181" s="49"/>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49">
        <f>_xlfn.XLOOKUP(C181,Tab_Def_Flows[Name(EN)],Tab_Def_Flows[Value_Source],,0,)</f>
        <v>0</v>
      </c>
      <c r="J181" s="49" t="str">
        <f>_xlfn.XLOOKUP(C181,Tab_Def_Flows[Name(EN)],Tab_Def_Flows[WC?],,0,)</f>
        <v>Yes</v>
      </c>
      <c r="K181" s="49" t="str">
        <f>_xlfn.XLOOKUP(C181,Tab_Def_Flows[Name(EN)],Tab_Def_Flows[DM?],,0,)</f>
        <v>Yes</v>
      </c>
      <c r="L181" s="49" t="str">
        <f>_xlfn.XLOOKUP(C181,Tab_Def_Flows[Name(EN)],Tab_Def_Flows[CC?],,0,)</f>
        <v>Yes</v>
      </c>
      <c r="M181" s="51">
        <v>2048</v>
      </c>
      <c r="N181" s="51"/>
      <c r="O181" s="119">
        <v>656.0421875843997</v>
      </c>
      <c r="P181" s="51" t="s">
        <v>389</v>
      </c>
      <c r="Q181" s="51"/>
      <c r="R181" s="51" t="e">
        <f>INDEX(Tab_WC_DM_CC[[Flow_ID]:[CC_source]],MATCH(Tab_Data_Flows[[#This Row],[Name(EN)]],Tab_WC_DM_CC[Name(EN)],0),12)</f>
        <v>#N/A</v>
      </c>
      <c r="S181" s="51" t="e">
        <f>MATCH(Tab_Data_Flows[[#This Row],[Name(EN)]],Tab_WC_DM_CC[Name(EN)],0)</f>
        <v>#N/A</v>
      </c>
      <c r="T181" s="51"/>
      <c r="U181" s="51"/>
      <c r="V181" s="51"/>
      <c r="W181" s="51"/>
      <c r="X181" s="51" t="s">
        <v>71</v>
      </c>
      <c r="Y181" s="51"/>
      <c r="Z181" s="51" t="str">
        <f>'3_1_Calculation_factors (Wood)'!$A$14</f>
        <v>Mittelwert</v>
      </c>
      <c r="AA181" s="86">
        <f t="shared" si="5"/>
        <v>656.0421875843997</v>
      </c>
      <c r="AB181" s="51" t="s">
        <v>63</v>
      </c>
      <c r="AC181" s="111">
        <f>INDEX(Tab_Def_Flows[[Flow_ID]:[CC_DM_source]],MATCH(Tab_Data_Flows[[#This Row],[Name(EN)]],Tab_Def_Flows[Name(EN)],0),16)</f>
        <v>0.1521568689797187</v>
      </c>
      <c r="AD181" s="112">
        <f>IF(J181="Yes",AA181*Tab_Data_Flows[[#This Row],[WC_'[%']]],"N.A.")</f>
        <v>99.821325181447534</v>
      </c>
      <c r="AE181" s="61" t="str">
        <f>Tab_Data_Flows[[#This Row],[UoM_Flow_Py]]</f>
        <v>Mg</v>
      </c>
      <c r="AF181" s="111">
        <f>INDEX(Tab_Def_Flows[[Flow_ID]:[CC_DM_source]],MATCH(Tab_Data_Flows[[#This Row],[Name(EN)]],Tab_Def_Flows[Name(EN)],0),18)</f>
        <v>0.8478431310202813</v>
      </c>
      <c r="AG181" s="112">
        <f>IF(K181="Yes",AF181*Tab_Data_Flows[[#This Row],[Flow_Py]]-AJ285,"N.A.")</f>
        <v>78.573950822720235</v>
      </c>
      <c r="AH181" s="61" t="str">
        <f>Tab_Data_Flows[[#This Row],[UoM_Flow_Py]]</f>
        <v>Mg</v>
      </c>
      <c r="AI181" s="111">
        <f>INDEX(Tab_Def_Flows[[Flow_ID]:[CC_DM_source]],MATCH(Tab_Data_Flows[[#This Row],[Name(EN)]],Tab_Def_Flows[Name(EN)],0),20)</f>
        <v>0</v>
      </c>
      <c r="AJ181" s="112">
        <f>IF(L181="Yes",AI181*Tab_Data_Flows[[#This Row],[Flow_Py]]*Tab_Data_Flows[[#This Row],[DM_'[%']]],"N.A.")</f>
        <v>0</v>
      </c>
      <c r="AK181" s="61" t="str">
        <f>Tab_Data_Flows[[#This Row],[UoM_Flow_Py]]</f>
        <v>Mg</v>
      </c>
    </row>
    <row r="182" spans="1:37" x14ac:dyDescent="0.25">
      <c r="A182" s="60"/>
      <c r="B182" s="49" t="str">
        <f>_xlfn.XLOOKUP(C182,Tab_Def_Flows[Name(EN)],Tab_Def_Flows[Flow_ID],,0,)</f>
        <v>F_00_11</v>
      </c>
      <c r="C182" s="51" t="s">
        <v>500</v>
      </c>
      <c r="D182" s="49"/>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49">
        <f>_xlfn.XLOOKUP(C182,Tab_Def_Flows[Name(EN)],Tab_Def_Flows[Value_Source],,0,)</f>
        <v>0</v>
      </c>
      <c r="J182" s="49" t="str">
        <f>_xlfn.XLOOKUP(C182,Tab_Def_Flows[Name(EN)],Tab_Def_Flows[WC?],,0,)</f>
        <v>Yes</v>
      </c>
      <c r="K182" s="49" t="str">
        <f>_xlfn.XLOOKUP(C182,Tab_Def_Flows[Name(EN)],Tab_Def_Flows[DM?],,0,)</f>
        <v>Yes</v>
      </c>
      <c r="L182" s="49" t="str">
        <f>_xlfn.XLOOKUP(C182,Tab_Def_Flows[Name(EN)],Tab_Def_Flows[CC?],,0,)</f>
        <v>Yes</v>
      </c>
      <c r="M182" s="51">
        <v>2049</v>
      </c>
      <c r="N182" s="51"/>
      <c r="O182" s="119">
        <v>928.76350250070209</v>
      </c>
      <c r="P182" s="51" t="s">
        <v>389</v>
      </c>
      <c r="Q182" s="51"/>
      <c r="R182" s="51" t="e">
        <f>INDEX(Tab_WC_DM_CC[[Flow_ID]:[CC_source]],MATCH(Tab_Data_Flows[[#This Row],[Name(EN)]],Tab_WC_DM_CC[Name(EN)],0),12)</f>
        <v>#N/A</v>
      </c>
      <c r="S182" s="51" t="e">
        <f>MATCH(Tab_Data_Flows[[#This Row],[Name(EN)]],Tab_WC_DM_CC[Name(EN)],0)</f>
        <v>#N/A</v>
      </c>
      <c r="T182" s="51"/>
      <c r="U182" s="51"/>
      <c r="V182" s="51"/>
      <c r="W182" s="51"/>
      <c r="X182" s="51" t="s">
        <v>71</v>
      </c>
      <c r="Y182" s="51"/>
      <c r="Z182" s="51" t="str">
        <f>'3_1_Calculation_factors (Wood)'!$A$14</f>
        <v>Mittelwert</v>
      </c>
      <c r="AA182" s="86">
        <f t="shared" si="5"/>
        <v>928.76350250070209</v>
      </c>
      <c r="AB182" s="51" t="s">
        <v>63</v>
      </c>
      <c r="AC182" s="111">
        <f>INDEX(Tab_Def_Flows[[Flow_ID]:[CC_DM_source]],MATCH(Tab_Data_Flows[[#This Row],[Name(EN)]],Tab_Def_Flows[Name(EN)],0),16)</f>
        <v>0.1521568689797187</v>
      </c>
      <c r="AD182" s="112">
        <f>IF(J182="Yes",AA182*Tab_Data_Flows[[#This Row],[WC_'[%']]],"N.A.")</f>
        <v>141.31774656314397</v>
      </c>
      <c r="AE182" s="61" t="str">
        <f>Tab_Data_Flows[[#This Row],[UoM_Flow_Py]]</f>
        <v>Mg</v>
      </c>
      <c r="AF182" s="111">
        <f>INDEX(Tab_Def_Flows[[Flow_ID]:[CC_DM_source]],MATCH(Tab_Data_Flows[[#This Row],[Name(EN)]],Tab_Def_Flows[Name(EN)],0),18)</f>
        <v>0.8478431310202813</v>
      </c>
      <c r="AG182" s="112">
        <f>IF(K182="Yes",AF182*Tab_Data_Flows[[#This Row],[Flow_Py]]-AJ286,"N.A.")</f>
        <v>111.23769042983861</v>
      </c>
      <c r="AH182" s="61" t="str">
        <f>Tab_Data_Flows[[#This Row],[UoM_Flow_Py]]</f>
        <v>Mg</v>
      </c>
      <c r="AI182" s="111">
        <f>INDEX(Tab_Def_Flows[[Flow_ID]:[CC_DM_source]],MATCH(Tab_Data_Flows[[#This Row],[Name(EN)]],Tab_Def_Flows[Name(EN)],0),20)</f>
        <v>0</v>
      </c>
      <c r="AJ182" s="112">
        <f>IF(L182="Yes",AI182*Tab_Data_Flows[[#This Row],[Flow_Py]]*Tab_Data_Flows[[#This Row],[DM_'[%']]],"N.A.")</f>
        <v>0</v>
      </c>
      <c r="AK182" s="61" t="str">
        <f>Tab_Data_Flows[[#This Row],[UoM_Flow_Py]]</f>
        <v>Mg</v>
      </c>
    </row>
    <row r="183" spans="1:37" ht="15.75" thickBot="1" x14ac:dyDescent="0.3">
      <c r="A183" s="60"/>
      <c r="B183" s="49" t="str">
        <f>_xlfn.XLOOKUP(C183,Tab_Def_Flows[Name(EN)],Tab_Def_Flows[Flow_ID],,0,)</f>
        <v>F_00_11</v>
      </c>
      <c r="C183" s="51" t="s">
        <v>500</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2050</v>
      </c>
      <c r="N183" s="51"/>
      <c r="O183" s="119">
        <v>1131.7720020902868</v>
      </c>
      <c r="P183" s="51" t="s">
        <v>389</v>
      </c>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5"/>
        <v>1131.7720020902868</v>
      </c>
      <c r="AB183" s="51" t="s">
        <v>63</v>
      </c>
      <c r="AC183" s="111">
        <f>INDEX(Tab_Def_Flows[[Flow_ID]:[CC_DM_source]],MATCH(Tab_Data_Flows[[#This Row],[Name(EN)]],Tab_Def_Flows[Name(EN)],0),16)</f>
        <v>0.1521568689797187</v>
      </c>
      <c r="AD183" s="112">
        <f>IF(J183="Yes",AA183*Tab_Data_Flows[[#This Row],[WC_'[%']]],"N.A.")</f>
        <v>172.20688423696569</v>
      </c>
      <c r="AE183" s="61" t="str">
        <f>Tab_Data_Flows[[#This Row],[UoM_Flow_Py]]</f>
        <v>Mg</v>
      </c>
      <c r="AF183" s="111">
        <f>INDEX(Tab_Def_Flows[[Flow_ID]:[CC_DM_source]],MATCH(Tab_Data_Flows[[#This Row],[Name(EN)]],Tab_Def_Flows[Name(EN)],0),18)</f>
        <v>0.8478431310202813</v>
      </c>
      <c r="AG183" s="112">
        <f>IF(K183="Yes",AF183*Tab_Data_Flows[[#This Row],[Flow_Py]]-AJ287,"N.A.")</f>
        <v>135.55194973392349</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ht="15.75" thickBot="1" x14ac:dyDescent="0.3">
      <c r="A184" s="60">
        <f t="shared" si="2"/>
        <v>183</v>
      </c>
      <c r="B184" s="49" t="str">
        <f>_xlfn.XLOOKUP(C184,Tab_Def_Flows[Name(EN)],Tab_Def_Flows[Flow_ID],,0,)</f>
        <v>F_00_08</v>
      </c>
      <c r="C184" s="51" t="s">
        <v>501</v>
      </c>
      <c r="D184" s="49">
        <f>_xlfn.XLOOKUP(C184,Tab_Def_Flows[Name(EN)],Tab_Def_Flows[Type_Biomass],,0,)</f>
        <v>0</v>
      </c>
      <c r="E184" s="49" t="str">
        <f>_xlfn.XLOOKUP(C184,Tab_Def_Flows[Name(EN)],Tab_Def_Flows[Output_Process],,0,)</f>
        <v>Environment_</v>
      </c>
      <c r="F184" s="49" t="str">
        <f>_xlfn.XLOOKUP(C184,Tab_Def_Flows[Name(EN)],Tab_Def_Flows[Process_ID_O],,0,)</f>
        <v>00_Env_BB</v>
      </c>
      <c r="G184" s="49" t="str">
        <f>_xlfn.XLOOKUP(C184,Tab_Def_Flows[Name(EN)],Tab_Def_Flows[Input_Process],,0,)</f>
        <v>Water_Import</v>
      </c>
      <c r="H184" s="61" t="str">
        <f>_xlfn.XLOOKUP(C184,Tab_Def_Flows[Name(EN)],Tab_Def_Flows[Process_ID_I],,0,)</f>
        <v>08_Wat_BB</v>
      </c>
      <c r="I184" s="61">
        <f>_xlfn.XLOOKUP(C184,Tab_Def_Flows[Name(EN)],Tab_Def_Flows[Value_Source],,0,)</f>
        <v>0</v>
      </c>
      <c r="J184" s="61" t="str">
        <f>_xlfn.XLOOKUP(C184,Tab_Def_Flows[Name(EN)],Tab_Def_Flows[WC?],,0,)</f>
        <v>Yes</v>
      </c>
      <c r="K184" s="61" t="str">
        <f>_xlfn.XLOOKUP(C184,Tab_Def_Flows[Name(EN)],Tab_Def_Flows[DM?],,0,)</f>
        <v>Yes</v>
      </c>
      <c r="L184" s="61" t="str">
        <f>_xlfn.XLOOKUP(C184,Tab_Def_Flows[Name(EN)],Tab_Def_Flows[CC?],,0,)</f>
        <v>Yes</v>
      </c>
      <c r="M184" s="51">
        <v>2025</v>
      </c>
      <c r="N184" s="51" t="s">
        <v>350</v>
      </c>
      <c r="O184" s="119">
        <v>27014.216366592012</v>
      </c>
      <c r="P184" s="51" t="s">
        <v>389</v>
      </c>
      <c r="Q184" s="51"/>
      <c r="R184" s="51"/>
      <c r="S184" s="51"/>
      <c r="T184" s="51"/>
      <c r="U184" s="51"/>
      <c r="V184" s="51"/>
      <c r="W184" s="51"/>
      <c r="X184" s="51" t="s">
        <v>71</v>
      </c>
      <c r="Y184" s="106"/>
      <c r="Z184" s="51"/>
      <c r="AA184" s="86">
        <f t="shared" si="5"/>
        <v>27014.216366592012</v>
      </c>
      <c r="AB184" s="51" t="s">
        <v>63</v>
      </c>
      <c r="AC184" s="111">
        <f>INDEX(Tab_Def_Flows[[Flow_ID]:[CC_DM_source]],MATCH(Tab_Data_Flows[[#This Row],[Name(EN)]],Tab_Def_Flows[Name(EN)],0),16)</f>
        <v>1</v>
      </c>
      <c r="AD184" s="112">
        <f>IF(J184="Yes",AA184*Tab_Data_Flows[[#This Row],[WC_'[%']]],"N.A.")</f>
        <v>27014.216366592012</v>
      </c>
      <c r="AE184" s="61" t="str">
        <f>Tab_Data_Flows[[#This Row],[UoM_Flow_Py]]</f>
        <v>Mg</v>
      </c>
      <c r="AF184" s="111">
        <f>INDEX(Tab_Def_Flows[[Flow_ID]:[CC_DM_source]],MATCH(Tab_Data_Flows[[#This Row],[Name(EN)]],Tab_Def_Flows[Name(EN)],0),18)</f>
        <v>0</v>
      </c>
      <c r="AG184" s="112">
        <f>IF(K184="Yes",AF184*Tab_Data_Flows[[#This Row],[Flow_Py]],"N.A.")</f>
        <v>0</v>
      </c>
      <c r="AH184" s="61" t="str">
        <f>Tab_Data_Flows[[#This Row],[UoM_Flow_Py]]</f>
        <v>Mg</v>
      </c>
      <c r="AI184" s="111">
        <f>INDEX(Tab_Def_Flows[[Flow_ID]:[CC_DM_source]],MATCH(Tab_Data_Flows[[#This Row],[Name(EN)]],Tab_Def_Flows[Name(EN)],0),20)</f>
        <v>0</v>
      </c>
      <c r="AJ184" s="109">
        <f>IF(L184="Yes",AI184*Tab_Data_Flows[[#This Row],[Flow_Py]]*Tab_Data_Flows[[#This Row],[DM_'[%']]],"N.A.")</f>
        <v>0</v>
      </c>
      <c r="AK184" s="61" t="str">
        <f>Tab_Data_Flows[[#This Row],[UoM_Flow_Py]]</f>
        <v>Mg</v>
      </c>
    </row>
    <row r="185" spans="1:37" ht="15.75" thickBot="1" x14ac:dyDescent="0.3">
      <c r="A185" s="60">
        <f t="shared" si="2"/>
        <v>184</v>
      </c>
      <c r="B185" s="49" t="str">
        <f>_xlfn.XLOOKUP(C185,Tab_Def_Flows[Name(EN)],Tab_Def_Flows[Flow_ID],,0,)</f>
        <v>F_00_08</v>
      </c>
      <c r="C185" s="51" t="s">
        <v>501</v>
      </c>
      <c r="D185" s="49">
        <f>_xlfn.XLOOKUP(C185,Tab_Def_Flows[Name(EN)],Tab_Def_Flows[Type_Biomass],,0,)</f>
        <v>0</v>
      </c>
      <c r="E185" s="49" t="str">
        <f>_xlfn.XLOOKUP(C185,Tab_Def_Flows[Name(EN)],Tab_Def_Flows[Output_Process],,0,)</f>
        <v>Environment_</v>
      </c>
      <c r="F185" s="49" t="str">
        <f>_xlfn.XLOOKUP(C185,Tab_Def_Flows[Name(EN)],Tab_Def_Flows[Process_ID_O],,0,)</f>
        <v>00_Env_BB</v>
      </c>
      <c r="G185" s="49" t="str">
        <f>_xlfn.XLOOKUP(C185,Tab_Def_Flows[Name(EN)],Tab_Def_Flows[Input_Process],,0,)</f>
        <v>Water_Import</v>
      </c>
      <c r="H185" s="61" t="str">
        <f>_xlfn.XLOOKUP(C185,Tab_Def_Flows[Name(EN)],Tab_Def_Flows[Process_ID_I],,0,)</f>
        <v>08_Wat_BB</v>
      </c>
      <c r="I185" s="61">
        <f>_xlfn.XLOOKUP(C185,Tab_Def_Flows[Name(EN)],Tab_Def_Flows[Value_Source],,0,)</f>
        <v>0</v>
      </c>
      <c r="J185" s="61" t="str">
        <f>_xlfn.XLOOKUP(C185,Tab_Def_Flows[Name(EN)],Tab_Def_Flows[WC?],,0,)</f>
        <v>Yes</v>
      </c>
      <c r="K185" s="61" t="str">
        <f>_xlfn.XLOOKUP(C185,Tab_Def_Flows[Name(EN)],Tab_Def_Flows[DM?],,0,)</f>
        <v>Yes</v>
      </c>
      <c r="L185" s="61" t="str">
        <f>_xlfn.XLOOKUP(C185,Tab_Def_Flows[Name(EN)],Tab_Def_Flows[CC?],,0,)</f>
        <v>Yes</v>
      </c>
      <c r="M185" s="51">
        <v>2026</v>
      </c>
      <c r="N185" s="51" t="s">
        <v>350</v>
      </c>
      <c r="O185" s="119">
        <v>22767.428436480008</v>
      </c>
      <c r="P185" s="51" t="s">
        <v>389</v>
      </c>
      <c r="Q185" s="51"/>
      <c r="R185" s="51"/>
      <c r="S185" s="51"/>
      <c r="T185" s="51"/>
      <c r="U185" s="51"/>
      <c r="V185" s="51"/>
      <c r="W185" s="51"/>
      <c r="X185" s="51" t="s">
        <v>71</v>
      </c>
      <c r="Y185" s="106"/>
      <c r="Z185" s="51"/>
      <c r="AA185" s="86">
        <f t="shared" si="5"/>
        <v>22767.428436480008</v>
      </c>
      <c r="AB185" s="51" t="s">
        <v>63</v>
      </c>
      <c r="AC185" s="111">
        <f>INDEX(Tab_Def_Flows[[Flow_ID]:[CC_DM_source]],MATCH(Tab_Data_Flows[[#This Row],[Name(EN)]],Tab_Def_Flows[Name(EN)],0),16)</f>
        <v>1</v>
      </c>
      <c r="AD185" s="112">
        <f>IF(J185="Yes",AA185*Tab_Data_Flows[[#This Row],[WC_'[%']]],"N.A.")</f>
        <v>22767.428436480008</v>
      </c>
      <c r="AE185" s="61" t="str">
        <f>Tab_Data_Flows[[#This Row],[UoM_Flow_Py]]</f>
        <v>Mg</v>
      </c>
      <c r="AF185" s="111">
        <f>INDEX(Tab_Def_Flows[[Flow_ID]:[CC_DM_source]],MATCH(Tab_Data_Flows[[#This Row],[Name(EN)]],Tab_Def_Flows[Name(EN)],0),18)</f>
        <v>0</v>
      </c>
      <c r="AG185" s="112">
        <f>IF(K185="Yes",AF185*Tab_Data_Flows[[#This Row],[Flow_Py]],"N.A.")</f>
        <v>0</v>
      </c>
      <c r="AH185" s="61" t="str">
        <f>Tab_Data_Flows[[#This Row],[UoM_Flow_Py]]</f>
        <v>Mg</v>
      </c>
      <c r="AI185" s="111">
        <f>INDEX(Tab_Def_Flows[[Flow_ID]:[CC_DM_source]],MATCH(Tab_Data_Flows[[#This Row],[Name(EN)]],Tab_Def_Flows[Name(EN)],0),20)</f>
        <v>0</v>
      </c>
      <c r="AJ185" s="109">
        <f>IF(L185="Yes",AI185*Tab_Data_Flows[[#This Row],[Flow_Py]]*Tab_Data_Flows[[#This Row],[DM_'[%']]],"N.A.")</f>
        <v>0</v>
      </c>
      <c r="AK185" s="61" t="str">
        <f>Tab_Data_Flows[[#This Row],[UoM_Flow_Py]]</f>
        <v>Mg</v>
      </c>
    </row>
    <row r="186" spans="1:37" ht="15.75" thickBot="1" x14ac:dyDescent="0.3">
      <c r="A186" s="60">
        <f t="shared" si="2"/>
        <v>185</v>
      </c>
      <c r="B186" s="49" t="str">
        <f>_xlfn.XLOOKUP(C186,Tab_Def_Flows[Name(EN)],Tab_Def_Flows[Flow_ID],,0,)</f>
        <v>F_00_08</v>
      </c>
      <c r="C186" s="51" t="s">
        <v>501</v>
      </c>
      <c r="D186" s="49">
        <f>_xlfn.XLOOKUP(C186,Tab_Def_Flows[Name(EN)],Tab_Def_Flows[Type_Biomass],,0,)</f>
        <v>0</v>
      </c>
      <c r="E186" s="49" t="str">
        <f>_xlfn.XLOOKUP(C186,Tab_Def_Flows[Name(EN)],Tab_Def_Flows[Output_Process],,0,)</f>
        <v>Environment_</v>
      </c>
      <c r="F186" s="49" t="str">
        <f>_xlfn.XLOOKUP(C186,Tab_Def_Flows[Name(EN)],Tab_Def_Flows[Process_ID_O],,0,)</f>
        <v>00_Env_BB</v>
      </c>
      <c r="G186" s="49" t="str">
        <f>_xlfn.XLOOKUP(C186,Tab_Def_Flows[Name(EN)],Tab_Def_Flows[Input_Process],,0,)</f>
        <v>Water_Import</v>
      </c>
      <c r="H186" s="61" t="str">
        <f>_xlfn.XLOOKUP(C186,Tab_Def_Flows[Name(EN)],Tab_Def_Flows[Process_ID_I],,0,)</f>
        <v>08_Wat_BB</v>
      </c>
      <c r="I186" s="61">
        <f>_xlfn.XLOOKUP(C186,Tab_Def_Flows[Name(EN)],Tab_Def_Flows[Value_Source],,0,)</f>
        <v>0</v>
      </c>
      <c r="J186" s="61" t="str">
        <f>_xlfn.XLOOKUP(C186,Tab_Def_Flows[Name(EN)],Tab_Def_Flows[WC?],,0,)</f>
        <v>Yes</v>
      </c>
      <c r="K186" s="61" t="str">
        <f>_xlfn.XLOOKUP(C186,Tab_Def_Flows[Name(EN)],Tab_Def_Flows[DM?],,0,)</f>
        <v>Yes</v>
      </c>
      <c r="L186" s="61" t="str">
        <f>_xlfn.XLOOKUP(C186,Tab_Def_Flows[Name(EN)],Tab_Def_Flows[CC?],,0,)</f>
        <v>Yes</v>
      </c>
      <c r="M186" s="51">
        <v>2027</v>
      </c>
      <c r="N186" s="51" t="s">
        <v>350</v>
      </c>
      <c r="O186" s="119">
        <v>28023.969931776006</v>
      </c>
      <c r="P186" s="51" t="s">
        <v>389</v>
      </c>
      <c r="Q186" s="51"/>
      <c r="R186" s="51"/>
      <c r="S186" s="51"/>
      <c r="T186" s="51"/>
      <c r="U186" s="51"/>
      <c r="V186" s="51"/>
      <c r="W186" s="51"/>
      <c r="X186" s="51" t="s">
        <v>71</v>
      </c>
      <c r="Y186" s="106"/>
      <c r="Z186" s="51"/>
      <c r="AA186" s="86">
        <f t="shared" si="5"/>
        <v>28023.969931776006</v>
      </c>
      <c r="AB186" s="51" t="s">
        <v>63</v>
      </c>
      <c r="AC186" s="111">
        <f>INDEX(Tab_Def_Flows[[Flow_ID]:[CC_DM_source]],MATCH(Tab_Data_Flows[[#This Row],[Name(EN)]],Tab_Def_Flows[Name(EN)],0),16)</f>
        <v>1</v>
      </c>
      <c r="AD186" s="112">
        <f>IF(J186="Yes",AA186*Tab_Data_Flows[[#This Row],[WC_'[%']]],"N.A.")</f>
        <v>28023.969931776006</v>
      </c>
      <c r="AE186" s="61" t="str">
        <f>Tab_Data_Flows[[#This Row],[UoM_Flow_Py]]</f>
        <v>Mg</v>
      </c>
      <c r="AF186" s="111">
        <f>INDEX(Tab_Def_Flows[[Flow_ID]:[CC_DM_source]],MATCH(Tab_Data_Flows[[#This Row],[Name(EN)]],Tab_Def_Flows[Name(EN)],0),18)</f>
        <v>0</v>
      </c>
      <c r="AG186" s="112">
        <f>IF(K186="Yes",AF186*Tab_Data_Flows[[#This Row],[Flow_Py]],"N.A.")</f>
        <v>0</v>
      </c>
      <c r="AH186" s="61" t="str">
        <f>Tab_Data_Flows[[#This Row],[UoM_Flow_Py]]</f>
        <v>Mg</v>
      </c>
      <c r="AI186" s="111">
        <f>INDEX(Tab_Def_Flows[[Flow_ID]:[CC_DM_source]],MATCH(Tab_Data_Flows[[#This Row],[Name(EN)]],Tab_Def_Flows[Name(EN)],0),20)</f>
        <v>0</v>
      </c>
      <c r="AJ186" s="109">
        <f>IF(L186="Yes",AI186*Tab_Data_Flows[[#This Row],[Flow_Py]]*Tab_Data_Flows[[#This Row],[DM_'[%']]],"N.A.")</f>
        <v>0</v>
      </c>
      <c r="AK186" s="61" t="str">
        <f>Tab_Data_Flows[[#This Row],[UoM_Flow_Py]]</f>
        <v>Mg</v>
      </c>
    </row>
    <row r="187" spans="1:37" ht="15.75" thickBot="1" x14ac:dyDescent="0.3">
      <c r="A187" s="60">
        <f t="shared" si="2"/>
        <v>186</v>
      </c>
      <c r="B187" s="49" t="str">
        <f>_xlfn.XLOOKUP(C187,Tab_Def_Flows[Name(EN)],Tab_Def_Flows[Flow_ID],,0,)</f>
        <v>F_00_08</v>
      </c>
      <c r="C187" s="51" t="s">
        <v>501</v>
      </c>
      <c r="D187" s="49">
        <f>_xlfn.XLOOKUP(C187,Tab_Def_Flows[Name(EN)],Tab_Def_Flows[Type_Biomass],,0,)</f>
        <v>0</v>
      </c>
      <c r="E187" s="49" t="str">
        <f>_xlfn.XLOOKUP(C187,Tab_Def_Flows[Name(EN)],Tab_Def_Flows[Output_Process],,0,)</f>
        <v>Environment_</v>
      </c>
      <c r="F187" s="49" t="str">
        <f>_xlfn.XLOOKUP(C187,Tab_Def_Flows[Name(EN)],Tab_Def_Flows[Process_ID_O],,0,)</f>
        <v>00_Env_BB</v>
      </c>
      <c r="G187" s="49" t="str">
        <f>_xlfn.XLOOKUP(C187,Tab_Def_Flows[Name(EN)],Tab_Def_Flows[Input_Process],,0,)</f>
        <v>Water_Import</v>
      </c>
      <c r="H187" s="61" t="str">
        <f>_xlfn.XLOOKUP(C187,Tab_Def_Flows[Name(EN)],Tab_Def_Flows[Process_ID_I],,0,)</f>
        <v>08_Wat_BB</v>
      </c>
      <c r="I187" s="61">
        <f>_xlfn.XLOOKUP(C187,Tab_Def_Flows[Name(EN)],Tab_Def_Flows[Value_Source],,0,)</f>
        <v>0</v>
      </c>
      <c r="J187" s="61" t="str">
        <f>_xlfn.XLOOKUP(C187,Tab_Def_Flows[Name(EN)],Tab_Def_Flows[WC?],,0,)</f>
        <v>Yes</v>
      </c>
      <c r="K187" s="61" t="str">
        <f>_xlfn.XLOOKUP(C187,Tab_Def_Flows[Name(EN)],Tab_Def_Flows[DM?],,0,)</f>
        <v>Yes</v>
      </c>
      <c r="L187" s="61" t="str">
        <f>_xlfn.XLOOKUP(C187,Tab_Def_Flows[Name(EN)],Tab_Def_Flows[CC?],,0,)</f>
        <v>Yes</v>
      </c>
      <c r="M187" s="51">
        <v>2028</v>
      </c>
      <c r="N187" s="51" t="s">
        <v>350</v>
      </c>
      <c r="O187" s="119">
        <v>33878.357001216013</v>
      </c>
      <c r="P187" s="51" t="s">
        <v>389</v>
      </c>
      <c r="Q187" s="51"/>
      <c r="R187" s="51"/>
      <c r="S187" s="51"/>
      <c r="T187" s="51"/>
      <c r="U187" s="51"/>
      <c r="V187" s="51"/>
      <c r="W187" s="51"/>
      <c r="X187" s="51" t="s">
        <v>71</v>
      </c>
      <c r="Y187" s="106"/>
      <c r="Z187" s="51"/>
      <c r="AA187" s="86">
        <f t="shared" si="5"/>
        <v>33878.357001216013</v>
      </c>
      <c r="AB187" s="51" t="s">
        <v>63</v>
      </c>
      <c r="AC187" s="111">
        <f>INDEX(Tab_Def_Flows[[Flow_ID]:[CC_DM_source]],MATCH(Tab_Data_Flows[[#This Row],[Name(EN)]],Tab_Def_Flows[Name(EN)],0),16)</f>
        <v>1</v>
      </c>
      <c r="AD187" s="112">
        <f>IF(J187="Yes",AA187*Tab_Data_Flows[[#This Row],[WC_'[%']]],"N.A.")</f>
        <v>33878.357001216013</v>
      </c>
      <c r="AE187" s="61" t="str">
        <f>Tab_Data_Flows[[#This Row],[UoM_Flow_Py]]</f>
        <v>Mg</v>
      </c>
      <c r="AF187" s="111">
        <f>INDEX(Tab_Def_Flows[[Flow_ID]:[CC_DM_source]],MATCH(Tab_Data_Flows[[#This Row],[Name(EN)]],Tab_Def_Flows[Name(EN)],0),18)</f>
        <v>0</v>
      </c>
      <c r="AG187" s="112">
        <f>IF(K187="Yes",AF187*Tab_Data_Flows[[#This Row],[Flow_Py]],"N.A.")</f>
        <v>0</v>
      </c>
      <c r="AH187" s="61" t="str">
        <f>Tab_Data_Flows[[#This Row],[UoM_Flow_Py]]</f>
        <v>Mg</v>
      </c>
      <c r="AI187" s="111">
        <f>INDEX(Tab_Def_Flows[[Flow_ID]:[CC_DM_source]],MATCH(Tab_Data_Flows[[#This Row],[Name(EN)]],Tab_Def_Flows[Name(EN)],0),20)</f>
        <v>0</v>
      </c>
      <c r="AJ187" s="109">
        <f>IF(L187="Yes",AI187*Tab_Data_Flows[[#This Row],[Flow_Py]]*Tab_Data_Flows[[#This Row],[DM_'[%']]],"N.A.")</f>
        <v>0</v>
      </c>
      <c r="AK187" s="61" t="str">
        <f>Tab_Data_Flows[[#This Row],[UoM_Flow_Py]]</f>
        <v>Mg</v>
      </c>
    </row>
    <row r="188" spans="1:37" ht="15.75" thickBot="1" x14ac:dyDescent="0.3">
      <c r="A188" s="60">
        <f t="shared" si="2"/>
        <v>187</v>
      </c>
      <c r="B188" s="49" t="str">
        <f>_xlfn.XLOOKUP(C188,Tab_Def_Flows[Name(EN)],Tab_Def_Flows[Flow_ID],,0,)</f>
        <v>F_00_08</v>
      </c>
      <c r="C188" s="51" t="s">
        <v>501</v>
      </c>
      <c r="D188" s="49">
        <f>_xlfn.XLOOKUP(C188,Tab_Def_Flows[Name(EN)],Tab_Def_Flows[Type_Biomass],,0,)</f>
        <v>0</v>
      </c>
      <c r="E188" s="49" t="str">
        <f>_xlfn.XLOOKUP(C188,Tab_Def_Flows[Name(EN)],Tab_Def_Flows[Output_Process],,0,)</f>
        <v>Environment_</v>
      </c>
      <c r="F188" s="49" t="str">
        <f>_xlfn.XLOOKUP(C188,Tab_Def_Flows[Name(EN)],Tab_Def_Flows[Process_ID_O],,0,)</f>
        <v>00_Env_BB</v>
      </c>
      <c r="G188" s="49" t="str">
        <f>_xlfn.XLOOKUP(C188,Tab_Def_Flows[Name(EN)],Tab_Def_Flows[Input_Process],,0,)</f>
        <v>Water_Import</v>
      </c>
      <c r="H188" s="61" t="str">
        <f>_xlfn.XLOOKUP(C188,Tab_Def_Flows[Name(EN)],Tab_Def_Flows[Process_ID_I],,0,)</f>
        <v>08_Wat_BB</v>
      </c>
      <c r="I188" s="61">
        <f>_xlfn.XLOOKUP(C188,Tab_Def_Flows[Name(EN)],Tab_Def_Flows[Value_Source],,0,)</f>
        <v>0</v>
      </c>
      <c r="J188" s="61" t="str">
        <f>_xlfn.XLOOKUP(C188,Tab_Def_Flows[Name(EN)],Tab_Def_Flows[WC?],,0,)</f>
        <v>Yes</v>
      </c>
      <c r="K188" s="61" t="str">
        <f>_xlfn.XLOOKUP(C188,Tab_Def_Flows[Name(EN)],Tab_Def_Flows[DM?],,0,)</f>
        <v>Yes</v>
      </c>
      <c r="L188" s="61" t="str">
        <f>_xlfn.XLOOKUP(C188,Tab_Def_Flows[Name(EN)],Tab_Def_Flows[CC?],,0,)</f>
        <v>Yes</v>
      </c>
      <c r="M188" s="51">
        <v>2029</v>
      </c>
      <c r="N188" s="51"/>
      <c r="O188" s="119">
        <v>22126.241539584007</v>
      </c>
      <c r="P188" s="51" t="s">
        <v>389</v>
      </c>
      <c r="Q188" s="51"/>
      <c r="R188" s="51"/>
      <c r="S188" s="51"/>
      <c r="T188" s="51"/>
      <c r="U188" s="51"/>
      <c r="V188" s="51"/>
      <c r="W188" s="51"/>
      <c r="X188" s="51" t="s">
        <v>71</v>
      </c>
      <c r="Y188" s="106"/>
      <c r="Z188" s="51"/>
      <c r="AA188" s="86">
        <f t="shared" si="5"/>
        <v>22126.241539584007</v>
      </c>
      <c r="AB188" s="51" t="s">
        <v>63</v>
      </c>
      <c r="AC188" s="111">
        <f>INDEX(Tab_Def_Flows[[Flow_ID]:[CC_DM_source]],MATCH(Tab_Data_Flows[[#This Row],[Name(EN)]],Tab_Def_Flows[Name(EN)],0),16)</f>
        <v>1</v>
      </c>
      <c r="AD188" s="112">
        <f>IF(J188="Yes",AA188*Tab_Data_Flows[[#This Row],[WC_'[%']]],"N.A.")</f>
        <v>22126.241539584007</v>
      </c>
      <c r="AE188" s="61" t="str">
        <f>Tab_Data_Flows[[#This Row],[UoM_Flow_Py]]</f>
        <v>Mg</v>
      </c>
      <c r="AF188" s="111">
        <f>INDEX(Tab_Def_Flows[[Flow_ID]:[CC_DM_source]],MATCH(Tab_Data_Flows[[#This Row],[Name(EN)]],Tab_Def_Flows[Name(EN)],0),18)</f>
        <v>0</v>
      </c>
      <c r="AG188" s="112">
        <f>IF(K188="Yes",AF188*Tab_Data_Flows[[#This Row],[Flow_Py]],"N.A.")</f>
        <v>0</v>
      </c>
      <c r="AH188" s="61" t="str">
        <f>Tab_Data_Flows[[#This Row],[UoM_Flow_Py]]</f>
        <v>Mg</v>
      </c>
      <c r="AI188" s="111">
        <f>INDEX(Tab_Def_Flows[[Flow_ID]:[CC_DM_source]],MATCH(Tab_Data_Flows[[#This Row],[Name(EN)]],Tab_Def_Flows[Name(EN)],0),20)</f>
        <v>0</v>
      </c>
      <c r="AJ188" s="109">
        <f>IF(L188="Yes",AI188*Tab_Data_Flows[[#This Row],[Flow_Py]]*Tab_Data_Flows[[#This Row],[DM_'[%']]],"N.A.")</f>
        <v>0</v>
      </c>
      <c r="AK188" s="61" t="str">
        <f>Tab_Data_Flows[[#This Row],[UoM_Flow_Py]]</f>
        <v>Mg</v>
      </c>
    </row>
    <row r="189" spans="1:37" ht="15.75" thickBot="1" x14ac:dyDescent="0.3">
      <c r="A189" s="60">
        <f t="shared" si="2"/>
        <v>188</v>
      </c>
      <c r="B189" s="49" t="str">
        <f>_xlfn.XLOOKUP(C189,Tab_Def_Flows[Name(EN)],Tab_Def_Flows[Flow_ID],,0,)</f>
        <v>F_00_08</v>
      </c>
      <c r="C189" s="51" t="s">
        <v>501</v>
      </c>
      <c r="D189" s="49">
        <f>_xlfn.XLOOKUP(C189,Tab_Def_Flows[Name(EN)],Tab_Def_Flows[Type_Biomass],,0,)</f>
        <v>0</v>
      </c>
      <c r="E189" s="49" t="str">
        <f>_xlfn.XLOOKUP(C189,Tab_Def_Flows[Name(EN)],Tab_Def_Flows[Output_Process],,0,)</f>
        <v>Environment_</v>
      </c>
      <c r="F189" s="49" t="str">
        <f>_xlfn.XLOOKUP(C189,Tab_Def_Flows[Name(EN)],Tab_Def_Flows[Process_ID_O],,0,)</f>
        <v>00_Env_BB</v>
      </c>
      <c r="G189" s="49" t="str">
        <f>_xlfn.XLOOKUP(C189,Tab_Def_Flows[Name(EN)],Tab_Def_Flows[Input_Process],,0,)</f>
        <v>Water_Import</v>
      </c>
      <c r="H189" s="61" t="str">
        <f>_xlfn.XLOOKUP(C189,Tab_Def_Flows[Name(EN)],Tab_Def_Flows[Process_ID_I],,0,)</f>
        <v>08_Wat_BB</v>
      </c>
      <c r="I189" s="61">
        <f>_xlfn.XLOOKUP(C189,Tab_Def_Flows[Name(EN)],Tab_Def_Flows[Value_Source],,0,)</f>
        <v>0</v>
      </c>
      <c r="J189" s="61" t="str">
        <f>_xlfn.XLOOKUP(C189,Tab_Def_Flows[Name(EN)],Tab_Def_Flows[WC?],,0,)</f>
        <v>Yes</v>
      </c>
      <c r="K189" s="61" t="str">
        <f>_xlfn.XLOOKUP(C189,Tab_Def_Flows[Name(EN)],Tab_Def_Flows[DM?],,0,)</f>
        <v>Yes</v>
      </c>
      <c r="L189" s="61" t="str">
        <f>_xlfn.XLOOKUP(C189,Tab_Def_Flows[Name(EN)],Tab_Def_Flows[CC?],,0,)</f>
        <v>Yes</v>
      </c>
      <c r="M189" s="51">
        <v>2030</v>
      </c>
      <c r="N189" s="51"/>
      <c r="O189" s="119">
        <v>22126.241539584007</v>
      </c>
      <c r="P189" s="51" t="s">
        <v>389</v>
      </c>
      <c r="Q189" s="51"/>
      <c r="R189" s="51"/>
      <c r="S189" s="51"/>
      <c r="T189" s="51"/>
      <c r="U189" s="51"/>
      <c r="V189" s="51"/>
      <c r="W189" s="51"/>
      <c r="X189" s="51" t="s">
        <v>71</v>
      </c>
      <c r="Y189" s="106"/>
      <c r="Z189" s="51"/>
      <c r="AA189" s="86">
        <f t="shared" si="5"/>
        <v>22126.241539584007</v>
      </c>
      <c r="AB189" s="51" t="s">
        <v>63</v>
      </c>
      <c r="AC189" s="111">
        <f>INDEX(Tab_Def_Flows[[Flow_ID]:[CC_DM_source]],MATCH(Tab_Data_Flows[[#This Row],[Name(EN)]],Tab_Def_Flows[Name(EN)],0),16)</f>
        <v>1</v>
      </c>
      <c r="AD189" s="112">
        <f>IF(J189="Yes",AA189*Tab_Data_Flows[[#This Row],[WC_'[%']]],"N.A.")</f>
        <v>22126.241539584007</v>
      </c>
      <c r="AE189" s="61" t="str">
        <f>Tab_Data_Flows[[#This Row],[UoM_Flow_Py]]</f>
        <v>Mg</v>
      </c>
      <c r="AF189" s="111">
        <f>INDEX(Tab_Def_Flows[[Flow_ID]:[CC_DM_source]],MATCH(Tab_Data_Flows[[#This Row],[Name(EN)]],Tab_Def_Flows[Name(EN)],0),18)</f>
        <v>0</v>
      </c>
      <c r="AG189" s="112">
        <f>IF(K189="Yes",AF189*Tab_Data_Flows[[#This Row],[Flow_Py]],"N.A.")</f>
        <v>0</v>
      </c>
      <c r="AH189" s="61" t="str">
        <f>Tab_Data_Flows[[#This Row],[UoM_Flow_Py]]</f>
        <v>Mg</v>
      </c>
      <c r="AI189" s="111">
        <f>INDEX(Tab_Def_Flows[[Flow_ID]:[CC_DM_source]],MATCH(Tab_Data_Flows[[#This Row],[Name(EN)]],Tab_Def_Flows[Name(EN)],0),20)</f>
        <v>0</v>
      </c>
      <c r="AJ189" s="109">
        <f>IF(L189="Yes",AI189*Tab_Data_Flows[[#This Row],[Flow_Py]]*Tab_Data_Flows[[#This Row],[DM_'[%']]],"N.A.")</f>
        <v>0</v>
      </c>
      <c r="AK189" s="61" t="str">
        <f>Tab_Data_Flows[[#This Row],[UoM_Flow_Py]]</f>
        <v>Mg</v>
      </c>
    </row>
    <row r="190" spans="1:37" ht="15.75" thickBot="1" x14ac:dyDescent="0.3">
      <c r="A190" s="60">
        <f t="shared" si="2"/>
        <v>189</v>
      </c>
      <c r="B190" s="49" t="str">
        <f>_xlfn.XLOOKUP(C190,Tab_Def_Flows[Name(EN)],Tab_Def_Flows[Flow_ID],,0,)</f>
        <v>F_00_08</v>
      </c>
      <c r="C190" s="51" t="s">
        <v>501</v>
      </c>
      <c r="D190" s="49">
        <f>_xlfn.XLOOKUP(C190,Tab_Def_Flows[Name(EN)],Tab_Def_Flows[Type_Biomass],,0,)</f>
        <v>0</v>
      </c>
      <c r="E190" s="49" t="str">
        <f>_xlfn.XLOOKUP(C190,Tab_Def_Flows[Name(EN)],Tab_Def_Flows[Output_Process],,0,)</f>
        <v>Environment_</v>
      </c>
      <c r="F190" s="49" t="str">
        <f>_xlfn.XLOOKUP(C190,Tab_Def_Flows[Name(EN)],Tab_Def_Flows[Process_ID_O],,0,)</f>
        <v>00_Env_BB</v>
      </c>
      <c r="G190" s="49" t="str">
        <f>_xlfn.XLOOKUP(C190,Tab_Def_Flows[Name(EN)],Tab_Def_Flows[Input_Process],,0,)</f>
        <v>Water_Import</v>
      </c>
      <c r="H190" s="61" t="str">
        <f>_xlfn.XLOOKUP(C190,Tab_Def_Flows[Name(EN)],Tab_Def_Flows[Process_ID_I],,0,)</f>
        <v>08_Wat_BB</v>
      </c>
      <c r="I190" s="61">
        <f>_xlfn.XLOOKUP(C190,Tab_Def_Flows[Name(EN)],Tab_Def_Flows[Value_Source],,0,)</f>
        <v>0</v>
      </c>
      <c r="J190" s="61" t="str">
        <f>_xlfn.XLOOKUP(C190,Tab_Def_Flows[Name(EN)],Tab_Def_Flows[WC?],,0,)</f>
        <v>Yes</v>
      </c>
      <c r="K190" s="61" t="str">
        <f>_xlfn.XLOOKUP(C190,Tab_Def_Flows[Name(EN)],Tab_Def_Flows[DM?],,0,)</f>
        <v>Yes</v>
      </c>
      <c r="L190" s="61" t="str">
        <f>_xlfn.XLOOKUP(C190,Tab_Def_Flows[Name(EN)],Tab_Def_Flows[CC?],,0,)</f>
        <v>Yes</v>
      </c>
      <c r="M190" s="51">
        <v>2031</v>
      </c>
      <c r="N190" s="51"/>
      <c r="O190" s="119">
        <v>34253.871515136008</v>
      </c>
      <c r="P190" s="51" t="s">
        <v>389</v>
      </c>
      <c r="Q190" s="51"/>
      <c r="R190" s="51"/>
      <c r="S190" s="51"/>
      <c r="T190" s="51"/>
      <c r="U190" s="51"/>
      <c r="V190" s="51"/>
      <c r="W190" s="51"/>
      <c r="X190" s="51" t="s">
        <v>71</v>
      </c>
      <c r="Y190" s="106"/>
      <c r="Z190" s="51"/>
      <c r="AA190" s="86">
        <f t="shared" si="5"/>
        <v>34253.871515136008</v>
      </c>
      <c r="AB190" s="51" t="s">
        <v>63</v>
      </c>
      <c r="AC190" s="111">
        <f>INDEX(Tab_Def_Flows[[Flow_ID]:[CC_DM_source]],MATCH(Tab_Data_Flows[[#This Row],[Name(EN)]],Tab_Def_Flows[Name(EN)],0),16)</f>
        <v>1</v>
      </c>
      <c r="AD190" s="112">
        <f>IF(J190="Yes",AA190*Tab_Data_Flows[[#This Row],[WC_'[%']]],"N.A.")</f>
        <v>34253.871515136008</v>
      </c>
      <c r="AE190" s="61" t="str">
        <f>Tab_Data_Flows[[#This Row],[UoM_Flow_Py]]</f>
        <v>Mg</v>
      </c>
      <c r="AF190" s="111">
        <f>INDEX(Tab_Def_Flows[[Flow_ID]:[CC_DM_source]],MATCH(Tab_Data_Flows[[#This Row],[Name(EN)]],Tab_Def_Flows[Name(EN)],0),18)</f>
        <v>0</v>
      </c>
      <c r="AG190" s="112">
        <f>IF(K190="Yes",AF190*Tab_Data_Flows[[#This Row],[Flow_Py]],"N.A.")</f>
        <v>0</v>
      </c>
      <c r="AH190" s="61" t="str">
        <f>Tab_Data_Flows[[#This Row],[UoM_Flow_Py]]</f>
        <v>Mg</v>
      </c>
      <c r="AI190" s="111">
        <f>INDEX(Tab_Def_Flows[[Flow_ID]:[CC_DM_source]],MATCH(Tab_Data_Flows[[#This Row],[Name(EN)]],Tab_Def_Flows[Name(EN)],0),20)</f>
        <v>0</v>
      </c>
      <c r="AJ190" s="109">
        <f>IF(L190="Yes",AI190*Tab_Data_Flows[[#This Row],[Flow_Py]]*Tab_Data_Flows[[#This Row],[DM_'[%']]],"N.A.")</f>
        <v>0</v>
      </c>
      <c r="AK190" s="61" t="str">
        <f>Tab_Data_Flows[[#This Row],[UoM_Flow_Py]]</f>
        <v>Mg</v>
      </c>
    </row>
    <row r="191" spans="1:37" ht="15.75" thickBot="1" x14ac:dyDescent="0.3">
      <c r="A191" s="60">
        <f t="shared" si="2"/>
        <v>190</v>
      </c>
      <c r="B191" s="49" t="str">
        <f>_xlfn.XLOOKUP(C191,Tab_Def_Flows[Name(EN)],Tab_Def_Flows[Flow_ID],,0,)</f>
        <v>F_00_08</v>
      </c>
      <c r="C191" s="51" t="s">
        <v>501</v>
      </c>
      <c r="D191" s="49">
        <f>_xlfn.XLOOKUP(C191,Tab_Def_Flows[Name(EN)],Tab_Def_Flows[Type_Biomass],,0,)</f>
        <v>0</v>
      </c>
      <c r="E191" s="49" t="str">
        <f>_xlfn.XLOOKUP(C191,Tab_Def_Flows[Name(EN)],Tab_Def_Flows[Output_Process],,0,)</f>
        <v>Environment_</v>
      </c>
      <c r="F191" s="49" t="str">
        <f>_xlfn.XLOOKUP(C191,Tab_Def_Flows[Name(EN)],Tab_Def_Flows[Process_ID_O],,0,)</f>
        <v>00_Env_BB</v>
      </c>
      <c r="G191" s="49" t="str">
        <f>_xlfn.XLOOKUP(C191,Tab_Def_Flows[Name(EN)],Tab_Def_Flows[Input_Process],,0,)</f>
        <v>Water_Import</v>
      </c>
      <c r="H191" s="61" t="str">
        <f>_xlfn.XLOOKUP(C191,Tab_Def_Flows[Name(EN)],Tab_Def_Flows[Process_ID_I],,0,)</f>
        <v>08_Wat_BB</v>
      </c>
      <c r="I191" s="61">
        <f>_xlfn.XLOOKUP(C191,Tab_Def_Flows[Name(EN)],Tab_Def_Flows[Value_Source],,0,)</f>
        <v>0</v>
      </c>
      <c r="J191" s="61" t="str">
        <f>_xlfn.XLOOKUP(C191,Tab_Def_Flows[Name(EN)],Tab_Def_Flows[WC?],,0,)</f>
        <v>Yes</v>
      </c>
      <c r="K191" s="61" t="str">
        <f>_xlfn.XLOOKUP(C191,Tab_Def_Flows[Name(EN)],Tab_Def_Flows[DM?],,0,)</f>
        <v>Yes</v>
      </c>
      <c r="L191" s="61" t="str">
        <f>_xlfn.XLOOKUP(C191,Tab_Def_Flows[Name(EN)],Tab_Def_Flows[CC?],,0,)</f>
        <v>Yes</v>
      </c>
      <c r="M191" s="51">
        <v>2032</v>
      </c>
      <c r="N191" s="51"/>
      <c r="O191" s="119">
        <v>28824.626428416013</v>
      </c>
      <c r="P191" s="51" t="s">
        <v>389</v>
      </c>
      <c r="Q191" s="51"/>
      <c r="R191" s="51"/>
      <c r="S191" s="51"/>
      <c r="T191" s="51"/>
      <c r="U191" s="51"/>
      <c r="V191" s="51"/>
      <c r="W191" s="51"/>
      <c r="X191" s="51" t="s">
        <v>71</v>
      </c>
      <c r="Y191" s="106"/>
      <c r="Z191" s="51"/>
      <c r="AA191" s="86">
        <f t="shared" si="5"/>
        <v>28824.626428416013</v>
      </c>
      <c r="AB191" s="51" t="s">
        <v>63</v>
      </c>
      <c r="AC191" s="111">
        <f>INDEX(Tab_Def_Flows[[Flow_ID]:[CC_DM_source]],MATCH(Tab_Data_Flows[[#This Row],[Name(EN)]],Tab_Def_Flows[Name(EN)],0),16)</f>
        <v>1</v>
      </c>
      <c r="AD191" s="112">
        <f>IF(J191="Yes",AA191*Tab_Data_Flows[[#This Row],[WC_'[%']]],"N.A.")</f>
        <v>28824.626428416013</v>
      </c>
      <c r="AE191" s="61" t="str">
        <f>Tab_Data_Flows[[#This Row],[UoM_Flow_Py]]</f>
        <v>Mg</v>
      </c>
      <c r="AF191" s="111">
        <f>INDEX(Tab_Def_Flows[[Flow_ID]:[CC_DM_source]],MATCH(Tab_Data_Flows[[#This Row],[Name(EN)]],Tab_Def_Flows[Name(EN)],0),18)</f>
        <v>0</v>
      </c>
      <c r="AG191" s="112">
        <f>IF(K191="Yes",AF191*Tab_Data_Flows[[#This Row],[Flow_Py]],"N.A.")</f>
        <v>0</v>
      </c>
      <c r="AH191" s="61" t="str">
        <f>Tab_Data_Flows[[#This Row],[UoM_Flow_Py]]</f>
        <v>Mg</v>
      </c>
      <c r="AI191" s="111">
        <f>INDEX(Tab_Def_Flows[[Flow_ID]:[CC_DM_source]],MATCH(Tab_Data_Flows[[#This Row],[Name(EN)]],Tab_Def_Flows[Name(EN)],0),20)</f>
        <v>0</v>
      </c>
      <c r="AJ191" s="109">
        <f>IF(L191="Yes",AI191*Tab_Data_Flows[[#This Row],[Flow_Py]]*Tab_Data_Flows[[#This Row],[DM_'[%']]],"N.A.")</f>
        <v>0</v>
      </c>
      <c r="AK191" s="61" t="str">
        <f>Tab_Data_Flows[[#This Row],[UoM_Flow_Py]]</f>
        <v>Mg</v>
      </c>
    </row>
    <row r="192" spans="1:37" ht="15.75" thickBot="1" x14ac:dyDescent="0.3">
      <c r="A192" s="60">
        <f t="shared" si="2"/>
        <v>191</v>
      </c>
      <c r="B192" s="49" t="str">
        <f>_xlfn.XLOOKUP(C192,Tab_Def_Flows[Name(EN)],Tab_Def_Flows[Flow_ID],,0,)</f>
        <v>F_00_08</v>
      </c>
      <c r="C192" s="51" t="s">
        <v>501</v>
      </c>
      <c r="D192" s="49">
        <f>_xlfn.XLOOKUP(C192,Tab_Def_Flows[Name(EN)],Tab_Def_Flows[Type_Biomass],,0,)</f>
        <v>0</v>
      </c>
      <c r="E192" s="49" t="str">
        <f>_xlfn.XLOOKUP(C192,Tab_Def_Flows[Name(EN)],Tab_Def_Flows[Output_Process],,0,)</f>
        <v>Environment_</v>
      </c>
      <c r="F192" s="49" t="str">
        <f>_xlfn.XLOOKUP(C192,Tab_Def_Flows[Name(EN)],Tab_Def_Flows[Process_ID_O],,0,)</f>
        <v>00_Env_BB</v>
      </c>
      <c r="G192" s="49" t="str">
        <f>_xlfn.XLOOKUP(C192,Tab_Def_Flows[Name(EN)],Tab_Def_Flows[Input_Process],,0,)</f>
        <v>Water_Import</v>
      </c>
      <c r="H192" s="61" t="str">
        <f>_xlfn.XLOOKUP(C192,Tab_Def_Flows[Name(EN)],Tab_Def_Flows[Process_ID_I],,0,)</f>
        <v>08_Wat_BB</v>
      </c>
      <c r="I192" s="61">
        <f>_xlfn.XLOOKUP(C192,Tab_Def_Flows[Name(EN)],Tab_Def_Flows[Value_Source],,0,)</f>
        <v>0</v>
      </c>
      <c r="J192" s="61" t="str">
        <f>_xlfn.XLOOKUP(C192,Tab_Def_Flows[Name(EN)],Tab_Def_Flows[WC?],,0,)</f>
        <v>Yes</v>
      </c>
      <c r="K192" s="61" t="str">
        <f>_xlfn.XLOOKUP(C192,Tab_Def_Flows[Name(EN)],Tab_Def_Flows[DM?],,0,)</f>
        <v>Yes</v>
      </c>
      <c r="L192" s="61" t="str">
        <f>_xlfn.XLOOKUP(C192,Tab_Def_Flows[Name(EN)],Tab_Def_Flows[CC?],,0,)</f>
        <v>Yes</v>
      </c>
      <c r="M192" s="51">
        <v>2033</v>
      </c>
      <c r="N192" s="51"/>
      <c r="O192" s="119">
        <v>20552.389079040007</v>
      </c>
      <c r="P192" s="51" t="s">
        <v>389</v>
      </c>
      <c r="Q192" s="51"/>
      <c r="R192" s="51"/>
      <c r="S192" s="51"/>
      <c r="T192" s="51"/>
      <c r="U192" s="51"/>
      <c r="V192" s="51"/>
      <c r="W192" s="51"/>
      <c r="X192" s="51" t="s">
        <v>71</v>
      </c>
      <c r="Y192" s="106"/>
      <c r="Z192" s="51"/>
      <c r="AA192" s="86">
        <f t="shared" si="5"/>
        <v>20552.389079040007</v>
      </c>
      <c r="AB192" s="51" t="s">
        <v>63</v>
      </c>
      <c r="AC192" s="111">
        <f>INDEX(Tab_Def_Flows[[Flow_ID]:[CC_DM_source]],MATCH(Tab_Data_Flows[[#This Row],[Name(EN)]],Tab_Def_Flows[Name(EN)],0),16)</f>
        <v>1</v>
      </c>
      <c r="AD192" s="112">
        <f>IF(J192="Yes",AA192*Tab_Data_Flows[[#This Row],[WC_'[%']]],"N.A.")</f>
        <v>20552.389079040007</v>
      </c>
      <c r="AE192" s="61" t="str">
        <f>Tab_Data_Flows[[#This Row],[UoM_Flow_Py]]</f>
        <v>Mg</v>
      </c>
      <c r="AF192" s="111">
        <f>INDEX(Tab_Def_Flows[[Flow_ID]:[CC_DM_source]],MATCH(Tab_Data_Flows[[#This Row],[Name(EN)]],Tab_Def_Flows[Name(EN)],0),18)</f>
        <v>0</v>
      </c>
      <c r="AG192" s="112">
        <f>IF(K192="Yes",AF192*Tab_Data_Flows[[#This Row],[Flow_Py]],"N.A.")</f>
        <v>0</v>
      </c>
      <c r="AH192" s="61" t="str">
        <f>Tab_Data_Flows[[#This Row],[UoM_Flow_Py]]</f>
        <v>Mg</v>
      </c>
      <c r="AI192" s="111">
        <f>INDEX(Tab_Def_Flows[[Flow_ID]:[CC_DM_source]],MATCH(Tab_Data_Flows[[#This Row],[Name(EN)]],Tab_Def_Flows[Name(EN)],0),20)</f>
        <v>0</v>
      </c>
      <c r="AJ192" s="109">
        <f>IF(L192="Yes",AI192*Tab_Data_Flows[[#This Row],[Flow_Py]]*Tab_Data_Flows[[#This Row],[DM_'[%']]],"N.A.")</f>
        <v>0</v>
      </c>
      <c r="AK192" s="61" t="str">
        <f>Tab_Data_Flows[[#This Row],[UoM_Flow_Py]]</f>
        <v>Mg</v>
      </c>
    </row>
    <row r="193" spans="1:37" ht="15.75" thickBot="1" x14ac:dyDescent="0.3">
      <c r="A193" s="60">
        <f t="shared" si="2"/>
        <v>192</v>
      </c>
      <c r="B193" s="49" t="str">
        <f>_xlfn.XLOOKUP(C193,Tab_Def_Flows[Name(EN)],Tab_Def_Flows[Flow_ID],,0,)</f>
        <v>F_00_08</v>
      </c>
      <c r="C193" s="51" t="s">
        <v>501</v>
      </c>
      <c r="D193" s="49">
        <f>_xlfn.XLOOKUP(C193,Tab_Def_Flows[Name(EN)],Tab_Def_Flows[Type_Biomass],,0,)</f>
        <v>0</v>
      </c>
      <c r="E193" s="49" t="str">
        <f>_xlfn.XLOOKUP(C193,Tab_Def_Flows[Name(EN)],Tab_Def_Flows[Output_Process],,0,)</f>
        <v>Environment_</v>
      </c>
      <c r="F193" s="49" t="str">
        <f>_xlfn.XLOOKUP(C193,Tab_Def_Flows[Name(EN)],Tab_Def_Flows[Process_ID_O],,0,)</f>
        <v>00_Env_BB</v>
      </c>
      <c r="G193" s="49" t="str">
        <f>_xlfn.XLOOKUP(C193,Tab_Def_Flows[Name(EN)],Tab_Def_Flows[Input_Process],,0,)</f>
        <v>Water_Import</v>
      </c>
      <c r="H193" s="61" t="str">
        <f>_xlfn.XLOOKUP(C193,Tab_Def_Flows[Name(EN)],Tab_Def_Flows[Process_ID_I],,0,)</f>
        <v>08_Wat_BB</v>
      </c>
      <c r="I193" s="61">
        <f>_xlfn.XLOOKUP(C193,Tab_Def_Flows[Name(EN)],Tab_Def_Flows[Value_Source],,0,)</f>
        <v>0</v>
      </c>
      <c r="J193" s="61" t="str">
        <f>_xlfn.XLOOKUP(C193,Tab_Def_Flows[Name(EN)],Tab_Def_Flows[WC?],,0,)</f>
        <v>Yes</v>
      </c>
      <c r="K193" s="61" t="str">
        <f>_xlfn.XLOOKUP(C193,Tab_Def_Flows[Name(EN)],Tab_Def_Flows[DM?],,0,)</f>
        <v>Yes</v>
      </c>
      <c r="L193" s="61" t="str">
        <f>_xlfn.XLOOKUP(C193,Tab_Def_Flows[Name(EN)],Tab_Def_Flows[CC?],,0,)</f>
        <v>Yes</v>
      </c>
      <c r="M193" s="51">
        <v>2034</v>
      </c>
      <c r="N193" s="51"/>
      <c r="O193" s="119">
        <v>27320.914123776009</v>
      </c>
      <c r="P193" s="51" t="s">
        <v>389</v>
      </c>
      <c r="Q193" s="51"/>
      <c r="R193" s="51"/>
      <c r="S193" s="51"/>
      <c r="T193" s="51"/>
      <c r="U193" s="51"/>
      <c r="V193" s="51"/>
      <c r="W193" s="51"/>
      <c r="X193" s="51" t="s">
        <v>71</v>
      </c>
      <c r="Y193" s="106"/>
      <c r="Z193" s="51"/>
      <c r="AA193" s="86">
        <f t="shared" si="5"/>
        <v>27320.914123776009</v>
      </c>
      <c r="AB193" s="51" t="s">
        <v>63</v>
      </c>
      <c r="AC193" s="111">
        <f>INDEX(Tab_Def_Flows[[Flow_ID]:[CC_DM_source]],MATCH(Tab_Data_Flows[[#This Row],[Name(EN)]],Tab_Def_Flows[Name(EN)],0),16)</f>
        <v>1</v>
      </c>
      <c r="AD193" s="112">
        <f>IF(J193="Yes",AA193*Tab_Data_Flows[[#This Row],[WC_'[%']]],"N.A.")</f>
        <v>27320.914123776009</v>
      </c>
      <c r="AE193" s="61" t="str">
        <f>Tab_Data_Flows[[#This Row],[UoM_Flow_Py]]</f>
        <v>Mg</v>
      </c>
      <c r="AF193" s="111">
        <f>INDEX(Tab_Def_Flows[[Flow_ID]:[CC_DM_source]],MATCH(Tab_Data_Flows[[#This Row],[Name(EN)]],Tab_Def_Flows[Name(EN)],0),18)</f>
        <v>0</v>
      </c>
      <c r="AG193" s="112">
        <f>IF(K193="Yes",AF193*Tab_Data_Flows[[#This Row],[Flow_Py]],"N.A.")</f>
        <v>0</v>
      </c>
      <c r="AH193" s="61" t="str">
        <f>Tab_Data_Flows[[#This Row],[UoM_Flow_Py]]</f>
        <v>Mg</v>
      </c>
      <c r="AI193" s="111">
        <f>INDEX(Tab_Def_Flows[[Flow_ID]:[CC_DM_source]],MATCH(Tab_Data_Flows[[#This Row],[Name(EN)]],Tab_Def_Flows[Name(EN)],0),20)</f>
        <v>0</v>
      </c>
      <c r="AJ193" s="109">
        <f>IF(L193="Yes",AI193*Tab_Data_Flows[[#This Row],[Flow_Py]]*Tab_Data_Flows[[#This Row],[DM_'[%']]],"N.A.")</f>
        <v>0</v>
      </c>
      <c r="AK193" s="61" t="str">
        <f>Tab_Data_Flows[[#This Row],[UoM_Flow_Py]]</f>
        <v>Mg</v>
      </c>
    </row>
    <row r="194" spans="1:37" ht="15.75" thickBot="1" x14ac:dyDescent="0.3">
      <c r="A194" s="60">
        <f t="shared" si="2"/>
        <v>193</v>
      </c>
      <c r="B194" s="49" t="str">
        <f>_xlfn.XLOOKUP(C194,Tab_Def_Flows[Name(EN)],Tab_Def_Flows[Flow_ID],,0,)</f>
        <v>F_00_08</v>
      </c>
      <c r="C194" s="51" t="s">
        <v>501</v>
      </c>
      <c r="D194" s="49">
        <f>_xlfn.XLOOKUP(C194,Tab_Def_Flows[Name(EN)],Tab_Def_Flows[Type_Biomass],,0,)</f>
        <v>0</v>
      </c>
      <c r="E194" s="49" t="str">
        <f>_xlfn.XLOOKUP(C194,Tab_Def_Flows[Name(EN)],Tab_Def_Flows[Output_Process],,0,)</f>
        <v>Environment_</v>
      </c>
      <c r="F194" s="49" t="str">
        <f>_xlfn.XLOOKUP(C194,Tab_Def_Flows[Name(EN)],Tab_Def_Flows[Process_ID_O],,0,)</f>
        <v>00_Env_BB</v>
      </c>
      <c r="G194" s="49" t="str">
        <f>_xlfn.XLOOKUP(C194,Tab_Def_Flows[Name(EN)],Tab_Def_Flows[Input_Process],,0,)</f>
        <v>Water_Import</v>
      </c>
      <c r="H194" s="61" t="str">
        <f>_xlfn.XLOOKUP(C194,Tab_Def_Flows[Name(EN)],Tab_Def_Flows[Process_ID_I],,0,)</f>
        <v>08_Wat_BB</v>
      </c>
      <c r="I194" s="61">
        <f>_xlfn.XLOOKUP(C194,Tab_Def_Flows[Name(EN)],Tab_Def_Flows[Value_Source],,0,)</f>
        <v>0</v>
      </c>
      <c r="J194" s="61" t="str">
        <f>_xlfn.XLOOKUP(C194,Tab_Def_Flows[Name(EN)],Tab_Def_Flows[WC?],,0,)</f>
        <v>Yes</v>
      </c>
      <c r="K194" s="61" t="str">
        <f>_xlfn.XLOOKUP(C194,Tab_Def_Flows[Name(EN)],Tab_Def_Flows[DM?],,0,)</f>
        <v>Yes</v>
      </c>
      <c r="L194" s="61" t="str">
        <f>_xlfn.XLOOKUP(C194,Tab_Def_Flows[Name(EN)],Tab_Def_Flows[CC?],,0,)</f>
        <v>Yes</v>
      </c>
      <c r="M194" s="51">
        <v>2035</v>
      </c>
      <c r="N194" s="51"/>
      <c r="O194" s="119">
        <v>20592.752753664005</v>
      </c>
      <c r="P194" s="51" t="s">
        <v>389</v>
      </c>
      <c r="Q194" s="51"/>
      <c r="R194" s="51"/>
      <c r="S194" s="51"/>
      <c r="T194" s="51"/>
      <c r="U194" s="51"/>
      <c r="V194" s="51"/>
      <c r="W194" s="51"/>
      <c r="X194" s="51" t="s">
        <v>71</v>
      </c>
      <c r="Y194" s="106"/>
      <c r="Z194" s="51"/>
      <c r="AA194" s="86">
        <f t="shared" si="5"/>
        <v>20592.752753664005</v>
      </c>
      <c r="AB194" s="51" t="s">
        <v>63</v>
      </c>
      <c r="AC194" s="111">
        <f>INDEX(Tab_Def_Flows[[Flow_ID]:[CC_DM_source]],MATCH(Tab_Data_Flows[[#This Row],[Name(EN)]],Tab_Def_Flows[Name(EN)],0),16)</f>
        <v>1</v>
      </c>
      <c r="AD194" s="112">
        <f>IF(J194="Yes",AA194*Tab_Data_Flows[[#This Row],[WC_'[%']]],"N.A.")</f>
        <v>20592.752753664005</v>
      </c>
      <c r="AE194" s="61" t="str">
        <f>Tab_Data_Flows[[#This Row],[UoM_Flow_Py]]</f>
        <v>Mg</v>
      </c>
      <c r="AF194" s="111">
        <f>INDEX(Tab_Def_Flows[[Flow_ID]:[CC_DM_source]],MATCH(Tab_Data_Flows[[#This Row],[Name(EN)]],Tab_Def_Flows[Name(EN)],0),18)</f>
        <v>0</v>
      </c>
      <c r="AG194" s="112">
        <f>IF(K194="Yes",AF194*Tab_Data_Flows[[#This Row],[Flow_Py]],"N.A.")</f>
        <v>0</v>
      </c>
      <c r="AH194" s="61" t="str">
        <f>Tab_Data_Flows[[#This Row],[UoM_Flow_Py]]</f>
        <v>Mg</v>
      </c>
      <c r="AI194" s="111">
        <f>INDEX(Tab_Def_Flows[[Flow_ID]:[CC_DM_source]],MATCH(Tab_Data_Flows[[#This Row],[Name(EN)]],Tab_Def_Flows[Name(EN)],0),20)</f>
        <v>0</v>
      </c>
      <c r="AJ194" s="109">
        <f>IF(L194="Yes",AI194*Tab_Data_Flows[[#This Row],[Flow_Py]]*Tab_Data_Flows[[#This Row],[DM_'[%']]],"N.A.")</f>
        <v>0</v>
      </c>
      <c r="AK194" s="61" t="str">
        <f>Tab_Data_Flows[[#This Row],[UoM_Flow_Py]]</f>
        <v>Mg</v>
      </c>
    </row>
    <row r="195" spans="1:37" ht="15.75" thickBot="1" x14ac:dyDescent="0.3">
      <c r="A195" s="60">
        <f t="shared" si="2"/>
        <v>194</v>
      </c>
      <c r="B195" s="49" t="str">
        <f>_xlfn.XLOOKUP(C195,Tab_Def_Flows[Name(EN)],Tab_Def_Flows[Flow_ID],,0,)</f>
        <v>F_00_08</v>
      </c>
      <c r="C195" s="51" t="s">
        <v>501</v>
      </c>
      <c r="D195" s="49">
        <f>_xlfn.XLOOKUP(C195,Tab_Def_Flows[Name(EN)],Tab_Def_Flows[Type_Biomass],,0,)</f>
        <v>0</v>
      </c>
      <c r="E195" s="49" t="str">
        <f>_xlfn.XLOOKUP(C195,Tab_Def_Flows[Name(EN)],Tab_Def_Flows[Output_Process],,0,)</f>
        <v>Environment_</v>
      </c>
      <c r="F195" s="49" t="str">
        <f>_xlfn.XLOOKUP(C195,Tab_Def_Flows[Name(EN)],Tab_Def_Flows[Process_ID_O],,0,)</f>
        <v>00_Env_BB</v>
      </c>
      <c r="G195" s="49" t="str">
        <f>_xlfn.XLOOKUP(C195,Tab_Def_Flows[Name(EN)],Tab_Def_Flows[Input_Process],,0,)</f>
        <v>Water_Import</v>
      </c>
      <c r="H195" s="61" t="str">
        <f>_xlfn.XLOOKUP(C195,Tab_Def_Flows[Name(EN)],Tab_Def_Flows[Process_ID_I],,0,)</f>
        <v>08_Wat_BB</v>
      </c>
      <c r="I195" s="61">
        <f>_xlfn.XLOOKUP(C195,Tab_Def_Flows[Name(EN)],Tab_Def_Flows[Value_Source],,0,)</f>
        <v>0</v>
      </c>
      <c r="J195" s="61" t="str">
        <f>_xlfn.XLOOKUP(C195,Tab_Def_Flows[Name(EN)],Tab_Def_Flows[WC?],,0,)</f>
        <v>Yes</v>
      </c>
      <c r="K195" s="61" t="str">
        <f>_xlfn.XLOOKUP(C195,Tab_Def_Flows[Name(EN)],Tab_Def_Flows[DM?],,0,)</f>
        <v>Yes</v>
      </c>
      <c r="L195" s="61" t="str">
        <f>_xlfn.XLOOKUP(C195,Tab_Def_Flows[Name(EN)],Tab_Def_Flows[CC?],,0,)</f>
        <v>Yes</v>
      </c>
      <c r="M195" s="51">
        <v>2036</v>
      </c>
      <c r="N195" s="51"/>
      <c r="O195" s="119">
        <v>20577.202813440006</v>
      </c>
      <c r="P195" s="51" t="s">
        <v>389</v>
      </c>
      <c r="Q195" s="51"/>
      <c r="R195" s="51"/>
      <c r="S195" s="51"/>
      <c r="T195" s="51"/>
      <c r="U195" s="51"/>
      <c r="V195" s="51"/>
      <c r="W195" s="51"/>
      <c r="X195" s="51" t="s">
        <v>71</v>
      </c>
      <c r="Y195" s="106"/>
      <c r="Z195" s="51"/>
      <c r="AA195" s="86">
        <f t="shared" si="5"/>
        <v>20577.202813440006</v>
      </c>
      <c r="AB195" s="51" t="s">
        <v>63</v>
      </c>
      <c r="AC195" s="111">
        <f>INDEX(Tab_Def_Flows[[Flow_ID]:[CC_DM_source]],MATCH(Tab_Data_Flows[[#This Row],[Name(EN)]],Tab_Def_Flows[Name(EN)],0),16)</f>
        <v>1</v>
      </c>
      <c r="AD195" s="112">
        <f>IF(J195="Yes",AA195*Tab_Data_Flows[[#This Row],[WC_'[%']]],"N.A.")</f>
        <v>20577.202813440006</v>
      </c>
      <c r="AE195" s="61" t="str">
        <f>Tab_Data_Flows[[#This Row],[UoM_Flow_Py]]</f>
        <v>Mg</v>
      </c>
      <c r="AF195" s="111">
        <f>INDEX(Tab_Def_Flows[[Flow_ID]:[CC_DM_source]],MATCH(Tab_Data_Flows[[#This Row],[Name(EN)]],Tab_Def_Flows[Name(EN)],0),18)</f>
        <v>0</v>
      </c>
      <c r="AG195" s="112">
        <f>IF(K195="Yes",AF195*Tab_Data_Flows[[#This Row],[Flow_Py]],"N.A.")</f>
        <v>0</v>
      </c>
      <c r="AH195" s="61" t="str">
        <f>Tab_Data_Flows[[#This Row],[UoM_Flow_Py]]</f>
        <v>Mg</v>
      </c>
      <c r="AI195" s="111">
        <f>INDEX(Tab_Def_Flows[[Flow_ID]:[CC_DM_source]],MATCH(Tab_Data_Flows[[#This Row],[Name(EN)]],Tab_Def_Flows[Name(EN)],0),20)</f>
        <v>0</v>
      </c>
      <c r="AJ195" s="109">
        <f>IF(L195="Yes",AI195*Tab_Data_Flows[[#This Row],[Flow_Py]]*Tab_Data_Flows[[#This Row],[DM_'[%']]],"N.A.")</f>
        <v>0</v>
      </c>
      <c r="AK195" s="61" t="str">
        <f>Tab_Data_Flows[[#This Row],[UoM_Flow_Py]]</f>
        <v>Mg</v>
      </c>
    </row>
    <row r="196" spans="1:37" ht="15.75" thickBot="1" x14ac:dyDescent="0.3">
      <c r="A196" s="60">
        <f t="shared" si="2"/>
        <v>195</v>
      </c>
      <c r="B196" s="49" t="str">
        <f>_xlfn.XLOOKUP(C196,Tab_Def_Flows[Name(EN)],Tab_Def_Flows[Flow_ID],,0,)</f>
        <v>F_00_08</v>
      </c>
      <c r="C196" s="51" t="s">
        <v>501</v>
      </c>
      <c r="D196" s="49">
        <f>_xlfn.XLOOKUP(C196,Tab_Def_Flows[Name(EN)],Tab_Def_Flows[Type_Biomass],,0,)</f>
        <v>0</v>
      </c>
      <c r="E196" s="49" t="str">
        <f>_xlfn.XLOOKUP(C196,Tab_Def_Flows[Name(EN)],Tab_Def_Flows[Output_Process],,0,)</f>
        <v>Environment_</v>
      </c>
      <c r="F196" s="49" t="str">
        <f>_xlfn.XLOOKUP(C196,Tab_Def_Flows[Name(EN)],Tab_Def_Flows[Process_ID_O],,0,)</f>
        <v>00_Env_BB</v>
      </c>
      <c r="G196" s="49" t="str">
        <f>_xlfn.XLOOKUP(C196,Tab_Def_Flows[Name(EN)],Tab_Def_Flows[Input_Process],,0,)</f>
        <v>Water_Import</v>
      </c>
      <c r="H196" s="61" t="str">
        <f>_xlfn.XLOOKUP(C196,Tab_Def_Flows[Name(EN)],Tab_Def_Flows[Process_ID_I],,0,)</f>
        <v>08_Wat_BB</v>
      </c>
      <c r="I196" s="61">
        <f>_xlfn.XLOOKUP(C196,Tab_Def_Flows[Name(EN)],Tab_Def_Flows[Value_Source],,0,)</f>
        <v>0</v>
      </c>
      <c r="J196" s="61" t="str">
        <f>_xlfn.XLOOKUP(C196,Tab_Def_Flows[Name(EN)],Tab_Def_Flows[WC?],,0,)</f>
        <v>Yes</v>
      </c>
      <c r="K196" s="61" t="str">
        <f>_xlfn.XLOOKUP(C196,Tab_Def_Flows[Name(EN)],Tab_Def_Flows[DM?],,0,)</f>
        <v>Yes</v>
      </c>
      <c r="L196" s="61" t="str">
        <f>_xlfn.XLOOKUP(C196,Tab_Def_Flows[Name(EN)],Tab_Def_Flows[CC?],,0,)</f>
        <v>Yes</v>
      </c>
      <c r="M196" s="51">
        <v>2037</v>
      </c>
      <c r="N196" s="51"/>
      <c r="O196" s="119">
        <v>25310.339937792007</v>
      </c>
      <c r="P196" s="51" t="s">
        <v>389</v>
      </c>
      <c r="Q196" s="51"/>
      <c r="R196" s="51"/>
      <c r="S196" s="51"/>
      <c r="T196" s="51"/>
      <c r="U196" s="51"/>
      <c r="V196" s="51"/>
      <c r="W196" s="51"/>
      <c r="X196" s="51" t="s">
        <v>71</v>
      </c>
      <c r="Y196" s="106"/>
      <c r="Z196" s="51"/>
      <c r="AA196" s="86">
        <f t="shared" si="5"/>
        <v>25310.339937792007</v>
      </c>
      <c r="AB196" s="51" t="s">
        <v>63</v>
      </c>
      <c r="AC196" s="111">
        <f>INDEX(Tab_Def_Flows[[Flow_ID]:[CC_DM_source]],MATCH(Tab_Data_Flows[[#This Row],[Name(EN)]],Tab_Def_Flows[Name(EN)],0),16)</f>
        <v>1</v>
      </c>
      <c r="AD196" s="112">
        <f>IF(J196="Yes",AA196*Tab_Data_Flows[[#This Row],[WC_'[%']]],"N.A.")</f>
        <v>25310.339937792007</v>
      </c>
      <c r="AE196" s="61" t="str">
        <f>Tab_Data_Flows[[#This Row],[UoM_Flow_Py]]</f>
        <v>Mg</v>
      </c>
      <c r="AF196" s="111">
        <f>INDEX(Tab_Def_Flows[[Flow_ID]:[CC_DM_source]],MATCH(Tab_Data_Flows[[#This Row],[Name(EN)]],Tab_Def_Flows[Name(EN)],0),18)</f>
        <v>0</v>
      </c>
      <c r="AG196" s="112">
        <f>IF(K196="Yes",AF196*Tab_Data_Flows[[#This Row],[Flow_Py]],"N.A.")</f>
        <v>0</v>
      </c>
      <c r="AH196" s="61" t="str">
        <f>Tab_Data_Flows[[#This Row],[UoM_Flow_Py]]</f>
        <v>Mg</v>
      </c>
      <c r="AI196" s="111">
        <f>INDEX(Tab_Def_Flows[[Flow_ID]:[CC_DM_source]],MATCH(Tab_Data_Flows[[#This Row],[Name(EN)]],Tab_Def_Flows[Name(EN)],0),20)</f>
        <v>0</v>
      </c>
      <c r="AJ196" s="109">
        <f>IF(L196="Yes",AI196*Tab_Data_Flows[[#This Row],[Flow_Py]]*Tab_Data_Flows[[#This Row],[DM_'[%']]],"N.A.")</f>
        <v>0</v>
      </c>
      <c r="AK196" s="61" t="str">
        <f>Tab_Data_Flows[[#This Row],[UoM_Flow_Py]]</f>
        <v>Mg</v>
      </c>
    </row>
    <row r="197" spans="1:37" ht="15.75" thickBot="1" x14ac:dyDescent="0.3">
      <c r="A197" s="60">
        <f t="shared" si="2"/>
        <v>196</v>
      </c>
      <c r="B197" s="49" t="str">
        <f>_xlfn.XLOOKUP(C197,Tab_Def_Flows[Name(EN)],Tab_Def_Flows[Flow_ID],,0,)</f>
        <v>F_00_08</v>
      </c>
      <c r="C197" s="51" t="s">
        <v>501</v>
      </c>
      <c r="D197" s="49">
        <f>_xlfn.XLOOKUP(C197,Tab_Def_Flows[Name(EN)],Tab_Def_Flows[Type_Biomass],,0,)</f>
        <v>0</v>
      </c>
      <c r="E197" s="49" t="str">
        <f>_xlfn.XLOOKUP(C197,Tab_Def_Flows[Name(EN)],Tab_Def_Flows[Output_Process],,0,)</f>
        <v>Environment_</v>
      </c>
      <c r="F197" s="49" t="str">
        <f>_xlfn.XLOOKUP(C197,Tab_Def_Flows[Name(EN)],Tab_Def_Flows[Process_ID_O],,0,)</f>
        <v>00_Env_BB</v>
      </c>
      <c r="G197" s="49" t="str">
        <f>_xlfn.XLOOKUP(C197,Tab_Def_Flows[Name(EN)],Tab_Def_Flows[Input_Process],,0,)</f>
        <v>Water_Import</v>
      </c>
      <c r="H197" s="61" t="str">
        <f>_xlfn.XLOOKUP(C197,Tab_Def_Flows[Name(EN)],Tab_Def_Flows[Process_ID_I],,0,)</f>
        <v>08_Wat_BB</v>
      </c>
      <c r="I197" s="61">
        <f>_xlfn.XLOOKUP(C197,Tab_Def_Flows[Name(EN)],Tab_Def_Flows[Value_Source],,0,)</f>
        <v>0</v>
      </c>
      <c r="J197" s="61" t="str">
        <f>_xlfn.XLOOKUP(C197,Tab_Def_Flows[Name(EN)],Tab_Def_Flows[WC?],,0,)</f>
        <v>Yes</v>
      </c>
      <c r="K197" s="61" t="str">
        <f>_xlfn.XLOOKUP(C197,Tab_Def_Flows[Name(EN)],Tab_Def_Flows[DM?],,0,)</f>
        <v>Yes</v>
      </c>
      <c r="L197" s="61" t="str">
        <f>_xlfn.XLOOKUP(C197,Tab_Def_Flows[Name(EN)],Tab_Def_Flows[CC?],,0,)</f>
        <v>Yes</v>
      </c>
      <c r="M197" s="51">
        <v>2038</v>
      </c>
      <c r="N197" s="51"/>
      <c r="O197" s="119">
        <v>10896.207049728004</v>
      </c>
      <c r="P197" s="51" t="s">
        <v>389</v>
      </c>
      <c r="Q197" s="51"/>
      <c r="R197" s="51"/>
      <c r="S197" s="51"/>
      <c r="T197" s="51"/>
      <c r="U197" s="51"/>
      <c r="V197" s="51"/>
      <c r="W197" s="51"/>
      <c r="X197" s="51" t="s">
        <v>71</v>
      </c>
      <c r="Y197" s="106"/>
      <c r="Z197" s="51"/>
      <c r="AA197" s="86">
        <f t="shared" si="5"/>
        <v>10896.207049728004</v>
      </c>
      <c r="AB197" s="51" t="s">
        <v>63</v>
      </c>
      <c r="AC197" s="111">
        <f>INDEX(Tab_Def_Flows[[Flow_ID]:[CC_DM_source]],MATCH(Tab_Data_Flows[[#This Row],[Name(EN)]],Tab_Def_Flows[Name(EN)],0),16)</f>
        <v>1</v>
      </c>
      <c r="AD197" s="112">
        <f>IF(J197="Yes",AA197*Tab_Data_Flows[[#This Row],[WC_'[%']]],"N.A.")</f>
        <v>10896.207049728004</v>
      </c>
      <c r="AE197" s="61" t="str">
        <f>Tab_Data_Flows[[#This Row],[UoM_Flow_Py]]</f>
        <v>Mg</v>
      </c>
      <c r="AF197" s="111">
        <f>INDEX(Tab_Def_Flows[[Flow_ID]:[CC_DM_source]],MATCH(Tab_Data_Flows[[#This Row],[Name(EN)]],Tab_Def_Flows[Name(EN)],0),18)</f>
        <v>0</v>
      </c>
      <c r="AG197" s="112">
        <f>IF(K197="Yes",AF197*Tab_Data_Flows[[#This Row],[Flow_Py]],"N.A.")</f>
        <v>0</v>
      </c>
      <c r="AH197" s="61" t="str">
        <f>Tab_Data_Flows[[#This Row],[UoM_Flow_Py]]</f>
        <v>Mg</v>
      </c>
      <c r="AI197" s="111">
        <f>INDEX(Tab_Def_Flows[[Flow_ID]:[CC_DM_source]],MATCH(Tab_Data_Flows[[#This Row],[Name(EN)]],Tab_Def_Flows[Name(EN)],0),20)</f>
        <v>0</v>
      </c>
      <c r="AJ197" s="109">
        <f>IF(L197="Yes",AI197*Tab_Data_Flows[[#This Row],[Flow_Py]]*Tab_Data_Flows[[#This Row],[DM_'[%']]],"N.A.")</f>
        <v>0</v>
      </c>
      <c r="AK197" s="61" t="str">
        <f>Tab_Data_Flows[[#This Row],[UoM_Flow_Py]]</f>
        <v>Mg</v>
      </c>
    </row>
    <row r="198" spans="1:37" ht="15.75" thickBot="1" x14ac:dyDescent="0.3">
      <c r="A198" s="60">
        <f t="shared" si="2"/>
        <v>197</v>
      </c>
      <c r="B198" s="49" t="str">
        <f>_xlfn.XLOOKUP(C198,Tab_Def_Flows[Name(EN)],Tab_Def_Flows[Flow_ID],,0,)</f>
        <v>F_00_08</v>
      </c>
      <c r="C198" s="51" t="s">
        <v>501</v>
      </c>
      <c r="D198" s="49">
        <f>_xlfn.XLOOKUP(C198,Tab_Def_Flows[Name(EN)],Tab_Def_Flows[Type_Biomass],,0,)</f>
        <v>0</v>
      </c>
      <c r="E198" s="49" t="str">
        <f>_xlfn.XLOOKUP(C198,Tab_Def_Flows[Name(EN)],Tab_Def_Flows[Output_Process],,0,)</f>
        <v>Environment_</v>
      </c>
      <c r="F198" s="49" t="str">
        <f>_xlfn.XLOOKUP(C198,Tab_Def_Flows[Name(EN)],Tab_Def_Flows[Process_ID_O],,0,)</f>
        <v>00_Env_BB</v>
      </c>
      <c r="G198" s="49" t="str">
        <f>_xlfn.XLOOKUP(C198,Tab_Def_Flows[Name(EN)],Tab_Def_Flows[Input_Process],,0,)</f>
        <v>Water_Import</v>
      </c>
      <c r="H198" s="61" t="str">
        <f>_xlfn.XLOOKUP(C198,Tab_Def_Flows[Name(EN)],Tab_Def_Flows[Process_ID_I],,0,)</f>
        <v>08_Wat_BB</v>
      </c>
      <c r="I198" s="61">
        <f>_xlfn.XLOOKUP(C198,Tab_Def_Flows[Name(EN)],Tab_Def_Flows[Value_Source],,0,)</f>
        <v>0</v>
      </c>
      <c r="J198" s="61" t="str">
        <f>_xlfn.XLOOKUP(C198,Tab_Def_Flows[Name(EN)],Tab_Def_Flows[WC?],,0,)</f>
        <v>Yes</v>
      </c>
      <c r="K198" s="61" t="str">
        <f>_xlfn.XLOOKUP(C198,Tab_Def_Flows[Name(EN)],Tab_Def_Flows[DM?],,0,)</f>
        <v>Yes</v>
      </c>
      <c r="L198" s="61" t="str">
        <f>_xlfn.XLOOKUP(C198,Tab_Def_Flows[Name(EN)],Tab_Def_Flows[CC?],,0,)</f>
        <v>Yes</v>
      </c>
      <c r="M198" s="51">
        <v>2039</v>
      </c>
      <c r="N198" s="51"/>
      <c r="O198" s="119">
        <v>12155.752207872005</v>
      </c>
      <c r="P198" s="51" t="s">
        <v>389</v>
      </c>
      <c r="Q198" s="51"/>
      <c r="R198" s="51"/>
      <c r="S198" s="51"/>
      <c r="T198" s="51"/>
      <c r="U198" s="51"/>
      <c r="V198" s="51"/>
      <c r="W198" s="51"/>
      <c r="X198" s="51" t="s">
        <v>71</v>
      </c>
      <c r="Y198" s="106"/>
      <c r="Z198" s="51"/>
      <c r="AA198" s="86">
        <f t="shared" si="5"/>
        <v>12155.752207872005</v>
      </c>
      <c r="AB198" s="51" t="s">
        <v>63</v>
      </c>
      <c r="AC198" s="111">
        <f>INDEX(Tab_Def_Flows[[Flow_ID]:[CC_DM_source]],MATCH(Tab_Data_Flows[[#This Row],[Name(EN)]],Tab_Def_Flows[Name(EN)],0),16)</f>
        <v>1</v>
      </c>
      <c r="AD198" s="112">
        <f>IF(J198="Yes",AA198*Tab_Data_Flows[[#This Row],[WC_'[%']]],"N.A.")</f>
        <v>12155.752207872005</v>
      </c>
      <c r="AE198" s="61" t="str">
        <f>Tab_Data_Flows[[#This Row],[UoM_Flow_Py]]</f>
        <v>Mg</v>
      </c>
      <c r="AF198" s="111">
        <f>INDEX(Tab_Def_Flows[[Flow_ID]:[CC_DM_source]],MATCH(Tab_Data_Flows[[#This Row],[Name(EN)]],Tab_Def_Flows[Name(EN)],0),18)</f>
        <v>0</v>
      </c>
      <c r="AG198" s="112">
        <f>IF(K198="Yes",AF198*Tab_Data_Flows[[#This Row],[Flow_Py]],"N.A.")</f>
        <v>0</v>
      </c>
      <c r="AH198" s="61" t="str">
        <f>Tab_Data_Flows[[#This Row],[UoM_Flow_Py]]</f>
        <v>Mg</v>
      </c>
      <c r="AI198" s="111">
        <f>INDEX(Tab_Def_Flows[[Flow_ID]:[CC_DM_source]],MATCH(Tab_Data_Flows[[#This Row],[Name(EN)]],Tab_Def_Flows[Name(EN)],0),20)</f>
        <v>0</v>
      </c>
      <c r="AJ198" s="109">
        <f>IF(L198="Yes",AI198*Tab_Data_Flows[[#This Row],[Flow_Py]]*Tab_Data_Flows[[#This Row],[DM_'[%']]],"N.A.")</f>
        <v>0</v>
      </c>
      <c r="AK198" s="61" t="str">
        <f>Tab_Data_Flows[[#This Row],[UoM_Flow_Py]]</f>
        <v>Mg</v>
      </c>
    </row>
    <row r="199" spans="1:37" ht="15.75" thickBot="1" x14ac:dyDescent="0.3">
      <c r="A199" s="60">
        <f t="shared" si="2"/>
        <v>198</v>
      </c>
      <c r="B199" s="49" t="str">
        <f>_xlfn.XLOOKUP(C199,Tab_Def_Flows[Name(EN)],Tab_Def_Flows[Flow_ID],,0,)</f>
        <v>F_00_08</v>
      </c>
      <c r="C199" s="51" t="s">
        <v>501</v>
      </c>
      <c r="D199" s="49">
        <f>_xlfn.XLOOKUP(C199,Tab_Def_Flows[Name(EN)],Tab_Def_Flows[Type_Biomass],,0,)</f>
        <v>0</v>
      </c>
      <c r="E199" s="49" t="str">
        <f>_xlfn.XLOOKUP(C199,Tab_Def_Flows[Name(EN)],Tab_Def_Flows[Output_Process],,0,)</f>
        <v>Environment_</v>
      </c>
      <c r="F199" s="49" t="str">
        <f>_xlfn.XLOOKUP(C199,Tab_Def_Flows[Name(EN)],Tab_Def_Flows[Process_ID_O],,0,)</f>
        <v>00_Env_BB</v>
      </c>
      <c r="G199" s="49" t="str">
        <f>_xlfn.XLOOKUP(C199,Tab_Def_Flows[Name(EN)],Tab_Def_Flows[Input_Process],,0,)</f>
        <v>Water_Import</v>
      </c>
      <c r="H199" s="61" t="str">
        <f>_xlfn.XLOOKUP(C199,Tab_Def_Flows[Name(EN)],Tab_Def_Flows[Process_ID_I],,0,)</f>
        <v>08_Wat_BB</v>
      </c>
      <c r="I199" s="61">
        <f>_xlfn.XLOOKUP(C199,Tab_Def_Flows[Name(EN)],Tab_Def_Flows[Value_Source],,0,)</f>
        <v>0</v>
      </c>
      <c r="J199" s="61" t="str">
        <f>_xlfn.XLOOKUP(C199,Tab_Def_Flows[Name(EN)],Tab_Def_Flows[WC?],,0,)</f>
        <v>Yes</v>
      </c>
      <c r="K199" s="61" t="str">
        <f>_xlfn.XLOOKUP(C199,Tab_Def_Flows[Name(EN)],Tab_Def_Flows[DM?],,0,)</f>
        <v>Yes</v>
      </c>
      <c r="L199" s="61" t="str">
        <f>_xlfn.XLOOKUP(C199,Tab_Def_Flows[Name(EN)],Tab_Def_Flows[CC?],,0,)</f>
        <v>Yes</v>
      </c>
      <c r="M199" s="51">
        <v>2040</v>
      </c>
      <c r="N199" s="51"/>
      <c r="O199" s="119">
        <v>19931.714869248008</v>
      </c>
      <c r="P199" s="51" t="s">
        <v>389</v>
      </c>
      <c r="Q199" s="51"/>
      <c r="R199" s="51"/>
      <c r="S199" s="51"/>
      <c r="T199" s="51"/>
      <c r="U199" s="51"/>
      <c r="V199" s="51"/>
      <c r="W199" s="51"/>
      <c r="X199" s="51" t="s">
        <v>71</v>
      </c>
      <c r="Y199" s="106"/>
      <c r="Z199" s="51"/>
      <c r="AA199" s="86">
        <f t="shared" si="5"/>
        <v>19931.714869248008</v>
      </c>
      <c r="AB199" s="51" t="s">
        <v>63</v>
      </c>
      <c r="AC199" s="111">
        <f>INDEX(Tab_Def_Flows[[Flow_ID]:[CC_DM_source]],MATCH(Tab_Data_Flows[[#This Row],[Name(EN)]],Tab_Def_Flows[Name(EN)],0),16)</f>
        <v>1</v>
      </c>
      <c r="AD199" s="112">
        <f>IF(J199="Yes",AA199*Tab_Data_Flows[[#This Row],[WC_'[%']]],"N.A.")</f>
        <v>19931.714869248008</v>
      </c>
      <c r="AE199" s="61" t="str">
        <f>Tab_Data_Flows[[#This Row],[UoM_Flow_Py]]</f>
        <v>Mg</v>
      </c>
      <c r="AF199" s="111">
        <f>INDEX(Tab_Def_Flows[[Flow_ID]:[CC_DM_source]],MATCH(Tab_Data_Flows[[#This Row],[Name(EN)]],Tab_Def_Flows[Name(EN)],0),18)</f>
        <v>0</v>
      </c>
      <c r="AG199" s="112">
        <f>IF(K199="Yes",AF199*Tab_Data_Flows[[#This Row],[Flow_Py]],"N.A.")</f>
        <v>0</v>
      </c>
      <c r="AH199" s="61" t="str">
        <f>Tab_Data_Flows[[#This Row],[UoM_Flow_Py]]</f>
        <v>Mg</v>
      </c>
      <c r="AI199" s="111">
        <f>INDEX(Tab_Def_Flows[[Flow_ID]:[CC_DM_source]],MATCH(Tab_Data_Flows[[#This Row],[Name(EN)]],Tab_Def_Flows[Name(EN)],0),20)</f>
        <v>0</v>
      </c>
      <c r="AJ199" s="109">
        <f>IF(L199="Yes",AI199*Tab_Data_Flows[[#This Row],[Flow_Py]]*Tab_Data_Flows[[#This Row],[DM_'[%']]],"N.A.")</f>
        <v>0</v>
      </c>
      <c r="AK199" s="61" t="str">
        <f>Tab_Data_Flows[[#This Row],[UoM_Flow_Py]]</f>
        <v>Mg</v>
      </c>
    </row>
    <row r="200" spans="1:37" ht="15.75" thickBot="1" x14ac:dyDescent="0.3">
      <c r="A200" s="60">
        <f t="shared" si="2"/>
        <v>199</v>
      </c>
      <c r="B200" s="49" t="str">
        <f>_xlfn.XLOOKUP(C200,Tab_Def_Flows[Name(EN)],Tab_Def_Flows[Flow_ID],,0,)</f>
        <v>F_00_08</v>
      </c>
      <c r="C200" s="51" t="s">
        <v>501</v>
      </c>
      <c r="D200" s="49">
        <f>_xlfn.XLOOKUP(C200,Tab_Def_Flows[Name(EN)],Tab_Def_Flows[Type_Biomass],,0,)</f>
        <v>0</v>
      </c>
      <c r="E200" s="49" t="str">
        <f>_xlfn.XLOOKUP(C200,Tab_Def_Flows[Name(EN)],Tab_Def_Flows[Output_Process],,0,)</f>
        <v>Environment_</v>
      </c>
      <c r="F200" s="49" t="str">
        <f>_xlfn.XLOOKUP(C200,Tab_Def_Flows[Name(EN)],Tab_Def_Flows[Process_ID_O],,0,)</f>
        <v>00_Env_BB</v>
      </c>
      <c r="G200" s="49" t="str">
        <f>_xlfn.XLOOKUP(C200,Tab_Def_Flows[Name(EN)],Tab_Def_Flows[Input_Process],,0,)</f>
        <v>Water_Import</v>
      </c>
      <c r="H200" s="61" t="str">
        <f>_xlfn.XLOOKUP(C200,Tab_Def_Flows[Name(EN)],Tab_Def_Flows[Process_ID_I],,0,)</f>
        <v>08_Wat_BB</v>
      </c>
      <c r="I200" s="61">
        <f>_xlfn.XLOOKUP(C200,Tab_Def_Flows[Name(EN)],Tab_Def_Flows[Value_Source],,0,)</f>
        <v>0</v>
      </c>
      <c r="J200" s="61" t="str">
        <f>_xlfn.XLOOKUP(C200,Tab_Def_Flows[Name(EN)],Tab_Def_Flows[WC?],,0,)</f>
        <v>Yes</v>
      </c>
      <c r="K200" s="61" t="str">
        <f>_xlfn.XLOOKUP(C200,Tab_Def_Flows[Name(EN)],Tab_Def_Flows[DM?],,0,)</f>
        <v>Yes</v>
      </c>
      <c r="L200" s="61" t="str">
        <f>_xlfn.XLOOKUP(C200,Tab_Def_Flows[Name(EN)],Tab_Def_Flows[CC?],,0,)</f>
        <v>Yes</v>
      </c>
      <c r="M200" s="51">
        <v>2041</v>
      </c>
      <c r="N200" s="51"/>
      <c r="O200" s="119">
        <v>16918.334963712005</v>
      </c>
      <c r="P200" s="51" t="s">
        <v>389</v>
      </c>
      <c r="Q200" s="51"/>
      <c r="R200" s="51"/>
      <c r="S200" s="51"/>
      <c r="T200" s="51"/>
      <c r="U200" s="51"/>
      <c r="V200" s="51"/>
      <c r="W200" s="51"/>
      <c r="X200" s="51" t="s">
        <v>71</v>
      </c>
      <c r="Y200" s="106"/>
      <c r="Z200" s="51"/>
      <c r="AA200" s="86">
        <f t="shared" si="5"/>
        <v>16918.334963712005</v>
      </c>
      <c r="AB200" s="51" t="s">
        <v>63</v>
      </c>
      <c r="AC200" s="111">
        <f>INDEX(Tab_Def_Flows[[Flow_ID]:[CC_DM_source]],MATCH(Tab_Data_Flows[[#This Row],[Name(EN)]],Tab_Def_Flows[Name(EN)],0),16)</f>
        <v>1</v>
      </c>
      <c r="AD200" s="112">
        <f>IF(J200="Yes",AA200*Tab_Data_Flows[[#This Row],[WC_'[%']]],"N.A.")</f>
        <v>16918.334963712005</v>
      </c>
      <c r="AE200" s="61" t="str">
        <f>Tab_Data_Flows[[#This Row],[UoM_Flow_Py]]</f>
        <v>Mg</v>
      </c>
      <c r="AF200" s="111">
        <f>INDEX(Tab_Def_Flows[[Flow_ID]:[CC_DM_source]],MATCH(Tab_Data_Flows[[#This Row],[Name(EN)]],Tab_Def_Flows[Name(EN)],0),18)</f>
        <v>0</v>
      </c>
      <c r="AG200" s="112">
        <f>IF(K200="Yes",AF200*Tab_Data_Flows[[#This Row],[Flow_Py]],"N.A.")</f>
        <v>0</v>
      </c>
      <c r="AH200" s="61" t="str">
        <f>Tab_Data_Flows[[#This Row],[UoM_Flow_Py]]</f>
        <v>Mg</v>
      </c>
      <c r="AI200" s="111">
        <f>INDEX(Tab_Def_Flows[[Flow_ID]:[CC_DM_source]],MATCH(Tab_Data_Flows[[#This Row],[Name(EN)]],Tab_Def_Flows[Name(EN)],0),20)</f>
        <v>0</v>
      </c>
      <c r="AJ200" s="109">
        <f>IF(L200="Yes",AI200*Tab_Data_Flows[[#This Row],[Flow_Py]]*Tab_Data_Flows[[#This Row],[DM_'[%']]],"N.A.")</f>
        <v>0</v>
      </c>
      <c r="AK200" s="61" t="str">
        <f>Tab_Data_Flows[[#This Row],[UoM_Flow_Py]]</f>
        <v>Mg</v>
      </c>
    </row>
    <row r="201" spans="1:37" ht="15.75" thickBot="1" x14ac:dyDescent="0.3">
      <c r="A201" s="60">
        <f t="shared" si="2"/>
        <v>200</v>
      </c>
      <c r="B201" s="49" t="str">
        <f>_xlfn.XLOOKUP(C201,Tab_Def_Flows[Name(EN)],Tab_Def_Flows[Flow_ID],,0,)</f>
        <v>F_00_08</v>
      </c>
      <c r="C201" s="51" t="s">
        <v>501</v>
      </c>
      <c r="D201" s="49">
        <f>_xlfn.XLOOKUP(C201,Tab_Def_Flows[Name(EN)],Tab_Def_Flows[Type_Biomass],,0,)</f>
        <v>0</v>
      </c>
      <c r="E201" s="49" t="str">
        <f>_xlfn.XLOOKUP(C201,Tab_Def_Flows[Name(EN)],Tab_Def_Flows[Output_Process],,0,)</f>
        <v>Environment_</v>
      </c>
      <c r="F201" s="49" t="str">
        <f>_xlfn.XLOOKUP(C201,Tab_Def_Flows[Name(EN)],Tab_Def_Flows[Process_ID_O],,0,)</f>
        <v>00_Env_BB</v>
      </c>
      <c r="G201" s="49" t="str">
        <f>_xlfn.XLOOKUP(C201,Tab_Def_Flows[Name(EN)],Tab_Def_Flows[Input_Process],,0,)</f>
        <v>Water_Import</v>
      </c>
      <c r="H201" s="61" t="str">
        <f>_xlfn.XLOOKUP(C201,Tab_Def_Flows[Name(EN)],Tab_Def_Flows[Process_ID_I],,0,)</f>
        <v>08_Wat_BB</v>
      </c>
      <c r="I201" s="61">
        <f>_xlfn.XLOOKUP(C201,Tab_Def_Flows[Name(EN)],Tab_Def_Flows[Value_Source],,0,)</f>
        <v>0</v>
      </c>
      <c r="J201" s="61" t="str">
        <f>_xlfn.XLOOKUP(C201,Tab_Def_Flows[Name(EN)],Tab_Def_Flows[WC?],,0,)</f>
        <v>Yes</v>
      </c>
      <c r="K201" s="61" t="str">
        <f>_xlfn.XLOOKUP(C201,Tab_Def_Flows[Name(EN)],Tab_Def_Flows[DM?],,0,)</f>
        <v>Yes</v>
      </c>
      <c r="L201" s="61" t="str">
        <f>_xlfn.XLOOKUP(C201,Tab_Def_Flows[Name(EN)],Tab_Def_Flows[CC?],,0,)</f>
        <v>Yes</v>
      </c>
      <c r="M201" s="51">
        <v>2042</v>
      </c>
      <c r="N201" s="51"/>
      <c r="O201" s="119">
        <v>25793.711483904008</v>
      </c>
      <c r="P201" s="51" t="s">
        <v>389</v>
      </c>
      <c r="Q201" s="51"/>
      <c r="R201" s="51"/>
      <c r="S201" s="51"/>
      <c r="T201" s="51"/>
      <c r="U201" s="51"/>
      <c r="V201" s="51"/>
      <c r="W201" s="51"/>
      <c r="X201" s="51" t="s">
        <v>71</v>
      </c>
      <c r="Y201" s="106"/>
      <c r="Z201" s="51"/>
      <c r="AA201" s="86">
        <f t="shared" si="5"/>
        <v>25793.711483904008</v>
      </c>
      <c r="AB201" s="51" t="s">
        <v>63</v>
      </c>
      <c r="AC201" s="111">
        <f>INDEX(Tab_Def_Flows[[Flow_ID]:[CC_DM_source]],MATCH(Tab_Data_Flows[[#This Row],[Name(EN)]],Tab_Def_Flows[Name(EN)],0),16)</f>
        <v>1</v>
      </c>
      <c r="AD201" s="112">
        <f>IF(J201="Yes",AA201*Tab_Data_Flows[[#This Row],[WC_'[%']]],"N.A.")</f>
        <v>25793.711483904008</v>
      </c>
      <c r="AE201" s="61" t="str">
        <f>Tab_Data_Flows[[#This Row],[UoM_Flow_Py]]</f>
        <v>Mg</v>
      </c>
      <c r="AF201" s="111">
        <f>INDEX(Tab_Def_Flows[[Flow_ID]:[CC_DM_source]],MATCH(Tab_Data_Flows[[#This Row],[Name(EN)]],Tab_Def_Flows[Name(EN)],0),18)</f>
        <v>0</v>
      </c>
      <c r="AG201" s="112">
        <f>IF(K201="Yes",AF201*Tab_Data_Flows[[#This Row],[Flow_Py]],"N.A.")</f>
        <v>0</v>
      </c>
      <c r="AH201" s="61" t="str">
        <f>Tab_Data_Flows[[#This Row],[UoM_Flow_Py]]</f>
        <v>Mg</v>
      </c>
      <c r="AI201" s="111">
        <f>INDEX(Tab_Def_Flows[[Flow_ID]:[CC_DM_source]],MATCH(Tab_Data_Flows[[#This Row],[Name(EN)]],Tab_Def_Flows[Name(EN)],0),20)</f>
        <v>0</v>
      </c>
      <c r="AJ201" s="109">
        <f>IF(L201="Yes",AI201*Tab_Data_Flows[[#This Row],[Flow_Py]]*Tab_Data_Flows[[#This Row],[DM_'[%']]],"N.A.")</f>
        <v>0</v>
      </c>
      <c r="AK201" s="61" t="str">
        <f>Tab_Data_Flows[[#This Row],[UoM_Flow_Py]]</f>
        <v>Mg</v>
      </c>
    </row>
    <row r="202" spans="1:37" ht="15.75" thickBot="1" x14ac:dyDescent="0.3">
      <c r="A202" s="60">
        <f t="shared" si="2"/>
        <v>201</v>
      </c>
      <c r="B202" s="49" t="str">
        <f>_xlfn.XLOOKUP(C202,Tab_Def_Flows[Name(EN)],Tab_Def_Flows[Flow_ID],,0,)</f>
        <v>F_00_08</v>
      </c>
      <c r="C202" s="51" t="s">
        <v>501</v>
      </c>
      <c r="D202" s="49">
        <f>_xlfn.XLOOKUP(C202,Tab_Def_Flows[Name(EN)],Tab_Def_Flows[Type_Biomass],,0,)</f>
        <v>0</v>
      </c>
      <c r="E202" s="49" t="str">
        <f>_xlfn.XLOOKUP(C202,Tab_Def_Flows[Name(EN)],Tab_Def_Flows[Output_Process],,0,)</f>
        <v>Environment_</v>
      </c>
      <c r="F202" s="49" t="str">
        <f>_xlfn.XLOOKUP(C202,Tab_Def_Flows[Name(EN)],Tab_Def_Flows[Process_ID_O],,0,)</f>
        <v>00_Env_BB</v>
      </c>
      <c r="G202" s="49" t="str">
        <f>_xlfn.XLOOKUP(C202,Tab_Def_Flows[Name(EN)],Tab_Def_Flows[Input_Process],,0,)</f>
        <v>Water_Import</v>
      </c>
      <c r="H202" s="61" t="str">
        <f>_xlfn.XLOOKUP(C202,Tab_Def_Flows[Name(EN)],Tab_Def_Flows[Process_ID_I],,0,)</f>
        <v>08_Wat_BB</v>
      </c>
      <c r="I202" s="61">
        <f>_xlfn.XLOOKUP(C202,Tab_Def_Flows[Name(EN)],Tab_Def_Flows[Value_Source],,0,)</f>
        <v>0</v>
      </c>
      <c r="J202" s="61" t="str">
        <f>_xlfn.XLOOKUP(C202,Tab_Def_Flows[Name(EN)],Tab_Def_Flows[WC?],,0,)</f>
        <v>Yes</v>
      </c>
      <c r="K202" s="61" t="str">
        <f>_xlfn.XLOOKUP(C202,Tab_Def_Flows[Name(EN)],Tab_Def_Flows[DM?],,0,)</f>
        <v>Yes</v>
      </c>
      <c r="L202" s="61" t="str">
        <f>_xlfn.XLOOKUP(C202,Tab_Def_Flows[Name(EN)],Tab_Def_Flows[CC?],,0,)</f>
        <v>Yes</v>
      </c>
      <c r="M202" s="51">
        <v>2043</v>
      </c>
      <c r="N202" s="51"/>
      <c r="O202" s="119">
        <v>17619.405672960005</v>
      </c>
      <c r="P202" s="51" t="s">
        <v>389</v>
      </c>
      <c r="Q202" s="51"/>
      <c r="R202" s="51"/>
      <c r="S202" s="51"/>
      <c r="T202" s="51"/>
      <c r="U202" s="51"/>
      <c r="V202" s="51"/>
      <c r="W202" s="51"/>
      <c r="X202" s="51" t="s">
        <v>71</v>
      </c>
      <c r="Y202" s="106"/>
      <c r="Z202" s="51"/>
      <c r="AA202" s="86">
        <f t="shared" si="5"/>
        <v>17619.405672960005</v>
      </c>
      <c r="AB202" s="51" t="s">
        <v>63</v>
      </c>
      <c r="AC202" s="111">
        <f>INDEX(Tab_Def_Flows[[Flow_ID]:[CC_DM_source]],MATCH(Tab_Data_Flows[[#This Row],[Name(EN)]],Tab_Def_Flows[Name(EN)],0),16)</f>
        <v>1</v>
      </c>
      <c r="AD202" s="112">
        <f>IF(J202="Yes",AA202*Tab_Data_Flows[[#This Row],[WC_'[%']]],"N.A.")</f>
        <v>17619.405672960005</v>
      </c>
      <c r="AE202" s="61" t="str">
        <f>Tab_Data_Flows[[#This Row],[UoM_Flow_Py]]</f>
        <v>Mg</v>
      </c>
      <c r="AF202" s="111">
        <f>INDEX(Tab_Def_Flows[[Flow_ID]:[CC_DM_source]],MATCH(Tab_Data_Flows[[#This Row],[Name(EN)]],Tab_Def_Flows[Name(EN)],0),18)</f>
        <v>0</v>
      </c>
      <c r="AG202" s="112">
        <f>IF(K202="Yes",AF202*Tab_Data_Flows[[#This Row],[Flow_Py]],"N.A.")</f>
        <v>0</v>
      </c>
      <c r="AH202" s="61" t="str">
        <f>Tab_Data_Flows[[#This Row],[UoM_Flow_Py]]</f>
        <v>Mg</v>
      </c>
      <c r="AI202" s="111">
        <f>INDEX(Tab_Def_Flows[[Flow_ID]:[CC_DM_source]],MATCH(Tab_Data_Flows[[#This Row],[Name(EN)]],Tab_Def_Flows[Name(EN)],0),20)</f>
        <v>0</v>
      </c>
      <c r="AJ202" s="109">
        <f>IF(L202="Yes",AI202*Tab_Data_Flows[[#This Row],[Flow_Py]]*Tab_Data_Flows[[#This Row],[DM_'[%']]],"N.A.")</f>
        <v>0</v>
      </c>
      <c r="AK202" s="61" t="str">
        <f>Tab_Data_Flows[[#This Row],[UoM_Flow_Py]]</f>
        <v>Mg</v>
      </c>
    </row>
    <row r="203" spans="1:37" ht="15.75" thickBot="1" x14ac:dyDescent="0.3">
      <c r="A203" s="60">
        <f t="shared" si="2"/>
        <v>202</v>
      </c>
      <c r="B203" s="49" t="str">
        <f>_xlfn.XLOOKUP(C203,Tab_Def_Flows[Name(EN)],Tab_Def_Flows[Flow_ID],,0,)</f>
        <v>F_00_08</v>
      </c>
      <c r="C203" s="51" t="s">
        <v>501</v>
      </c>
      <c r="D203" s="49">
        <f>_xlfn.XLOOKUP(C203,Tab_Def_Flows[Name(EN)],Tab_Def_Flows[Type_Biomass],,0,)</f>
        <v>0</v>
      </c>
      <c r="E203" s="49" t="str">
        <f>_xlfn.XLOOKUP(C203,Tab_Def_Flows[Name(EN)],Tab_Def_Flows[Output_Process],,0,)</f>
        <v>Environment_</v>
      </c>
      <c r="F203" s="49" t="str">
        <f>_xlfn.XLOOKUP(C203,Tab_Def_Flows[Name(EN)],Tab_Def_Flows[Process_ID_O],,0,)</f>
        <v>00_Env_BB</v>
      </c>
      <c r="G203" s="49" t="str">
        <f>_xlfn.XLOOKUP(C203,Tab_Def_Flows[Name(EN)],Tab_Def_Flows[Input_Process],,0,)</f>
        <v>Water_Import</v>
      </c>
      <c r="H203" s="61" t="str">
        <f>_xlfn.XLOOKUP(C203,Tab_Def_Flows[Name(EN)],Tab_Def_Flows[Process_ID_I],,0,)</f>
        <v>08_Wat_BB</v>
      </c>
      <c r="I203" s="61">
        <f>_xlfn.XLOOKUP(C203,Tab_Def_Flows[Name(EN)],Tab_Def_Flows[Value_Source],,0,)</f>
        <v>0</v>
      </c>
      <c r="J203" s="61" t="str">
        <f>_xlfn.XLOOKUP(C203,Tab_Def_Flows[Name(EN)],Tab_Def_Flows[WC?],,0,)</f>
        <v>Yes</v>
      </c>
      <c r="K203" s="61" t="str">
        <f>_xlfn.XLOOKUP(C203,Tab_Def_Flows[Name(EN)],Tab_Def_Flows[DM?],,0,)</f>
        <v>Yes</v>
      </c>
      <c r="L203" s="61" t="str">
        <f>_xlfn.XLOOKUP(C203,Tab_Def_Flows[Name(EN)],Tab_Def_Flows[CC?],,0,)</f>
        <v>Yes</v>
      </c>
      <c r="M203" s="51">
        <v>2044</v>
      </c>
      <c r="N203" s="51"/>
      <c r="O203" s="119">
        <v>14246.722893312004</v>
      </c>
      <c r="P203" s="51" t="s">
        <v>389</v>
      </c>
      <c r="Q203" s="51"/>
      <c r="R203" s="51"/>
      <c r="S203" s="51"/>
      <c r="T203" s="51"/>
      <c r="U203" s="51"/>
      <c r="V203" s="51"/>
      <c r="W203" s="51"/>
      <c r="X203" s="51" t="s">
        <v>71</v>
      </c>
      <c r="Y203" s="106"/>
      <c r="Z203" s="51"/>
      <c r="AA203" s="86">
        <f t="shared" si="5"/>
        <v>14246.722893312004</v>
      </c>
      <c r="AB203" s="51" t="s">
        <v>63</v>
      </c>
      <c r="AC203" s="111">
        <f>INDEX(Tab_Def_Flows[[Flow_ID]:[CC_DM_source]],MATCH(Tab_Data_Flows[[#This Row],[Name(EN)]],Tab_Def_Flows[Name(EN)],0),16)</f>
        <v>1</v>
      </c>
      <c r="AD203" s="112">
        <f>IF(J203="Yes",AA203*Tab_Data_Flows[[#This Row],[WC_'[%']]],"N.A.")</f>
        <v>14246.722893312004</v>
      </c>
      <c r="AE203" s="61" t="str">
        <f>Tab_Data_Flows[[#This Row],[UoM_Flow_Py]]</f>
        <v>Mg</v>
      </c>
      <c r="AF203" s="111">
        <f>INDEX(Tab_Def_Flows[[Flow_ID]:[CC_DM_source]],MATCH(Tab_Data_Flows[[#This Row],[Name(EN)]],Tab_Def_Flows[Name(EN)],0),18)</f>
        <v>0</v>
      </c>
      <c r="AG203" s="112">
        <f>IF(K203="Yes",AF203*Tab_Data_Flows[[#This Row],[Flow_Py]],"N.A.")</f>
        <v>0</v>
      </c>
      <c r="AH203" s="61" t="str">
        <f>Tab_Data_Flows[[#This Row],[UoM_Flow_Py]]</f>
        <v>Mg</v>
      </c>
      <c r="AI203" s="111">
        <f>INDEX(Tab_Def_Flows[[Flow_ID]:[CC_DM_source]],MATCH(Tab_Data_Flows[[#This Row],[Name(EN)]],Tab_Def_Flows[Name(EN)],0),20)</f>
        <v>0</v>
      </c>
      <c r="AJ203" s="109">
        <f>IF(L203="Yes",AI203*Tab_Data_Flows[[#This Row],[Flow_Py]]*Tab_Data_Flows[[#This Row],[DM_'[%']]],"N.A.")</f>
        <v>0</v>
      </c>
      <c r="AK203" s="61" t="str">
        <f>Tab_Data_Flows[[#This Row],[UoM_Flow_Py]]</f>
        <v>Mg</v>
      </c>
    </row>
    <row r="204" spans="1:37" ht="15.75" thickBot="1" x14ac:dyDescent="0.3">
      <c r="A204" s="60">
        <f t="shared" si="2"/>
        <v>203</v>
      </c>
      <c r="B204" s="49" t="str">
        <f>_xlfn.XLOOKUP(C204,Tab_Def_Flows[Name(EN)],Tab_Def_Flows[Flow_ID],,0,)</f>
        <v>F_00_08</v>
      </c>
      <c r="C204" s="51" t="s">
        <v>501</v>
      </c>
      <c r="D204" s="49">
        <f>_xlfn.XLOOKUP(C204,Tab_Def_Flows[Name(EN)],Tab_Def_Flows[Type_Biomass],,0,)</f>
        <v>0</v>
      </c>
      <c r="E204" s="49" t="str">
        <f>_xlfn.XLOOKUP(C204,Tab_Def_Flows[Name(EN)],Tab_Def_Flows[Output_Process],,0,)</f>
        <v>Environment_</v>
      </c>
      <c r="F204" s="49" t="str">
        <f>_xlfn.XLOOKUP(C204,Tab_Def_Flows[Name(EN)],Tab_Def_Flows[Process_ID_O],,0,)</f>
        <v>00_Env_BB</v>
      </c>
      <c r="G204" s="49" t="str">
        <f>_xlfn.XLOOKUP(C204,Tab_Def_Flows[Name(EN)],Tab_Def_Flows[Input_Process],,0,)</f>
        <v>Water_Import</v>
      </c>
      <c r="H204" s="61" t="str">
        <f>_xlfn.XLOOKUP(C204,Tab_Def_Flows[Name(EN)],Tab_Def_Flows[Process_ID_I],,0,)</f>
        <v>08_Wat_BB</v>
      </c>
      <c r="I204" s="61">
        <f>_xlfn.XLOOKUP(C204,Tab_Def_Flows[Name(EN)],Tab_Def_Flows[Value_Source],,0,)</f>
        <v>0</v>
      </c>
      <c r="J204" s="61" t="str">
        <f>_xlfn.XLOOKUP(C204,Tab_Def_Flows[Name(EN)],Tab_Def_Flows[WC?],,0,)</f>
        <v>Yes</v>
      </c>
      <c r="K204" s="61" t="str">
        <f>_xlfn.XLOOKUP(C204,Tab_Def_Flows[Name(EN)],Tab_Def_Flows[DM?],,0,)</f>
        <v>Yes</v>
      </c>
      <c r="L204" s="61" t="str">
        <f>_xlfn.XLOOKUP(C204,Tab_Def_Flows[Name(EN)],Tab_Def_Flows[CC?],,0,)</f>
        <v>Yes</v>
      </c>
      <c r="M204" s="51">
        <v>2045</v>
      </c>
      <c r="N204" s="51"/>
      <c r="O204" s="119">
        <v>33494.571242496015</v>
      </c>
      <c r="P204" s="51" t="s">
        <v>389</v>
      </c>
      <c r="Q204" s="51"/>
      <c r="R204" s="51"/>
      <c r="S204" s="51"/>
      <c r="T204" s="51"/>
      <c r="U204" s="51"/>
      <c r="V204" s="51"/>
      <c r="W204" s="51"/>
      <c r="X204" s="51" t="s">
        <v>71</v>
      </c>
      <c r="Y204" s="106"/>
      <c r="Z204" s="51"/>
      <c r="AA204" s="86">
        <f t="shared" si="5"/>
        <v>33494.571242496015</v>
      </c>
      <c r="AB204" s="51" t="s">
        <v>63</v>
      </c>
      <c r="AC204" s="111">
        <f>INDEX(Tab_Def_Flows[[Flow_ID]:[CC_DM_source]],MATCH(Tab_Data_Flows[[#This Row],[Name(EN)]],Tab_Def_Flows[Name(EN)],0),16)</f>
        <v>1</v>
      </c>
      <c r="AD204" s="112">
        <f>IF(J204="Yes",AA204*Tab_Data_Flows[[#This Row],[WC_'[%']]],"N.A.")</f>
        <v>33494.571242496015</v>
      </c>
      <c r="AE204" s="61" t="str">
        <f>Tab_Data_Flows[[#This Row],[UoM_Flow_Py]]</f>
        <v>Mg</v>
      </c>
      <c r="AF204" s="111">
        <f>INDEX(Tab_Def_Flows[[Flow_ID]:[CC_DM_source]],MATCH(Tab_Data_Flows[[#This Row],[Name(EN)]],Tab_Def_Flows[Name(EN)],0),18)</f>
        <v>0</v>
      </c>
      <c r="AG204" s="112">
        <f>IF(K204="Yes",AF204*Tab_Data_Flows[[#This Row],[Flow_Py]],"N.A.")</f>
        <v>0</v>
      </c>
      <c r="AH204" s="61" t="str">
        <f>Tab_Data_Flows[[#This Row],[UoM_Flow_Py]]</f>
        <v>Mg</v>
      </c>
      <c r="AI204" s="111">
        <f>INDEX(Tab_Def_Flows[[Flow_ID]:[CC_DM_source]],MATCH(Tab_Data_Flows[[#This Row],[Name(EN)]],Tab_Def_Flows[Name(EN)],0),20)</f>
        <v>0</v>
      </c>
      <c r="AJ204" s="109">
        <f>IF(L204="Yes",AI204*Tab_Data_Flows[[#This Row],[Flow_Py]]*Tab_Data_Flows[[#This Row],[DM_'[%']]],"N.A.")</f>
        <v>0</v>
      </c>
      <c r="AK204" s="61" t="str">
        <f>Tab_Data_Flows[[#This Row],[UoM_Flow_Py]]</f>
        <v>Mg</v>
      </c>
    </row>
    <row r="205" spans="1:37" ht="15.75" thickBot="1" x14ac:dyDescent="0.3">
      <c r="A205" s="60">
        <f t="shared" si="2"/>
        <v>204</v>
      </c>
      <c r="B205" s="49" t="str">
        <f>_xlfn.XLOOKUP(C205,Tab_Def_Flows[Name(EN)],Tab_Def_Flows[Flow_ID],,0,)</f>
        <v>F_00_08</v>
      </c>
      <c r="C205" s="51" t="s">
        <v>501</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2046</v>
      </c>
      <c r="N205" s="51"/>
      <c r="O205" s="119">
        <v>22182.155154432006</v>
      </c>
      <c r="P205" s="51" t="s">
        <v>389</v>
      </c>
      <c r="Q205" s="51"/>
      <c r="R205" s="51"/>
      <c r="S205" s="51"/>
      <c r="T205" s="51"/>
      <c r="U205" s="51"/>
      <c r="V205" s="51"/>
      <c r="W205" s="51"/>
      <c r="X205" s="51" t="s">
        <v>71</v>
      </c>
      <c r="Y205" s="106"/>
      <c r="Z205" s="51"/>
      <c r="AA205" s="86">
        <f t="shared" si="5"/>
        <v>22182.155154432006</v>
      </c>
      <c r="AB205" s="51" t="s">
        <v>63</v>
      </c>
      <c r="AC205" s="111">
        <f>INDEX(Tab_Def_Flows[[Flow_ID]:[CC_DM_source]],MATCH(Tab_Data_Flows[[#This Row],[Name(EN)]],Tab_Def_Flows[Name(EN)],0),16)</f>
        <v>1</v>
      </c>
      <c r="AD205" s="112">
        <f>IF(J205="Yes",AA205*Tab_Data_Flows[[#This Row],[WC_'[%']]],"N.A.")</f>
        <v>22182.155154432006</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2"/>
        <v>205</v>
      </c>
      <c r="B206" s="49" t="str">
        <f>_xlfn.XLOOKUP(C206,Tab_Def_Flows[Name(EN)],Tab_Def_Flows[Flow_ID],,0,)</f>
        <v>F_00_08</v>
      </c>
      <c r="C206" s="51" t="s">
        <v>501</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2047</v>
      </c>
      <c r="N206" s="51"/>
      <c r="O206" s="119">
        <v>24143.763571200008</v>
      </c>
      <c r="P206" s="51" t="s">
        <v>389</v>
      </c>
      <c r="Q206" s="51"/>
      <c r="R206" s="51"/>
      <c r="S206" s="51"/>
      <c r="T206" s="51"/>
      <c r="U206" s="51"/>
      <c r="V206" s="51"/>
      <c r="W206" s="51"/>
      <c r="X206" s="51" t="s">
        <v>71</v>
      </c>
      <c r="Y206" s="106"/>
      <c r="Z206" s="51"/>
      <c r="AA206" s="86">
        <f t="shared" si="5"/>
        <v>24143.763571200008</v>
      </c>
      <c r="AB206" s="51" t="s">
        <v>63</v>
      </c>
      <c r="AC206" s="111">
        <f>INDEX(Tab_Def_Flows[[Flow_ID]:[CC_DM_source]],MATCH(Tab_Data_Flows[[#This Row],[Name(EN)]],Tab_Def_Flows[Name(EN)],0),16)</f>
        <v>1</v>
      </c>
      <c r="AD206" s="112">
        <f>IF(J206="Yes",AA206*Tab_Data_Flows[[#This Row],[WC_'[%']]],"N.A.")</f>
        <v>24143.763571200008</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2"/>
        <v>206</v>
      </c>
      <c r="B207" s="49" t="str">
        <f>_xlfn.XLOOKUP(C207,Tab_Def_Flows[Name(EN)],Tab_Def_Flows[Flow_ID],,0,)</f>
        <v>F_00_08</v>
      </c>
      <c r="C207" s="51" t="s">
        <v>501</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2048</v>
      </c>
      <c r="N207" s="51"/>
      <c r="O207" s="119">
        <v>14163.348745728004</v>
      </c>
      <c r="P207" s="51" t="s">
        <v>389</v>
      </c>
      <c r="Q207" s="51"/>
      <c r="R207" s="51"/>
      <c r="S207" s="51"/>
      <c r="T207" s="51"/>
      <c r="U207" s="51"/>
      <c r="V207" s="51"/>
      <c r="W207" s="51"/>
      <c r="X207" s="51" t="s">
        <v>71</v>
      </c>
      <c r="Y207" s="106"/>
      <c r="Z207" s="51"/>
      <c r="AA207" s="86">
        <f t="shared" si="5"/>
        <v>14163.348745728004</v>
      </c>
      <c r="AB207" s="51" t="s">
        <v>63</v>
      </c>
      <c r="AC207" s="111">
        <f>INDEX(Tab_Def_Flows[[Flow_ID]:[CC_DM_source]],MATCH(Tab_Data_Flows[[#This Row],[Name(EN)]],Tab_Def_Flows[Name(EN)],0),16)</f>
        <v>1</v>
      </c>
      <c r="AD207" s="112">
        <f>IF(J207="Yes",AA207*Tab_Data_Flows[[#This Row],[WC_'[%']]],"N.A.")</f>
        <v>14163.348745728004</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2"/>
        <v>207</v>
      </c>
      <c r="B208" s="49" t="str">
        <f>_xlfn.XLOOKUP(C208,Tab_Def_Flows[Name(EN)],Tab_Def_Flows[Flow_ID],,0,)</f>
        <v>F_00_08</v>
      </c>
      <c r="C208" s="51" t="s">
        <v>501</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2049</v>
      </c>
      <c r="N208" s="51"/>
      <c r="O208" s="119">
        <v>20051.151644160007</v>
      </c>
      <c r="P208" s="51" t="s">
        <v>389</v>
      </c>
      <c r="Q208" s="51"/>
      <c r="R208" s="51"/>
      <c r="S208" s="51"/>
      <c r="T208" s="51"/>
      <c r="U208" s="51"/>
      <c r="V208" s="51"/>
      <c r="W208" s="51"/>
      <c r="X208" s="51" t="s">
        <v>71</v>
      </c>
      <c r="Y208" s="106"/>
      <c r="Z208" s="51"/>
      <c r="AA208" s="86">
        <f t="shared" si="5"/>
        <v>20051.151644160007</v>
      </c>
      <c r="AB208" s="51" t="s">
        <v>63</v>
      </c>
      <c r="AC208" s="111">
        <f>INDEX(Tab_Def_Flows[[Flow_ID]:[CC_DM_source]],MATCH(Tab_Data_Flows[[#This Row],[Name(EN)]],Tab_Def_Flows[Name(EN)],0),16)</f>
        <v>1</v>
      </c>
      <c r="AD208" s="112">
        <f>IF(J208="Yes",AA208*Tab_Data_Flows[[#This Row],[WC_'[%']]],"N.A.")</f>
        <v>20051.151644160007</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2"/>
        <v>208</v>
      </c>
      <c r="B209" s="49" t="str">
        <f>_xlfn.XLOOKUP(C209,Tab_Def_Flows[Name(EN)],Tab_Def_Flows[Flow_ID],,0,)</f>
        <v>F_00_08</v>
      </c>
      <c r="C209" s="51" t="s">
        <v>501</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49">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2050</v>
      </c>
      <c r="N209" s="51"/>
      <c r="O209" s="119">
        <v>24433.918838784008</v>
      </c>
      <c r="P209" s="51" t="s">
        <v>389</v>
      </c>
      <c r="Q209" s="51"/>
      <c r="R209" s="51"/>
      <c r="S209" s="51"/>
      <c r="T209" s="51"/>
      <c r="U209" s="51"/>
      <c r="V209" s="51"/>
      <c r="W209" s="51"/>
      <c r="X209" s="51" t="s">
        <v>71</v>
      </c>
      <c r="Y209" s="106"/>
      <c r="Z209" s="51"/>
      <c r="AA209" s="86">
        <f t="shared" si="5"/>
        <v>24433.918838784008</v>
      </c>
      <c r="AB209" s="51" t="s">
        <v>63</v>
      </c>
      <c r="AC209" s="111">
        <f>INDEX(Tab_Def_Flows[[Flow_ID]:[CC_DM_source]],MATCH(Tab_Data_Flows[[#This Row],[Name(EN)]],Tab_Def_Flows[Name(EN)],0),16)</f>
        <v>1</v>
      </c>
      <c r="AD209" s="112">
        <f>IF(J209="Yes",AA209*Tab_Data_Flows[[#This Row],[WC_'[%']]],"N.A.")</f>
        <v>24433.918838784008</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2"/>
        <v>209</v>
      </c>
      <c r="B210" s="49" t="str">
        <f>_xlfn.XLOOKUP(C210,Tab_Def_Flows[Name(EN)],Tab_Def_Flows[Flow_ID],,0,)</f>
        <v>F_19_13</v>
      </c>
      <c r="C210" s="51" t="s">
        <v>551</v>
      </c>
      <c r="D210" s="49">
        <f>_xlfn.XLOOKUP(C210,Tab_Def_Flows[Name(EN)],Tab_Def_Flows[Type_Biomass],,0,)</f>
        <v>0</v>
      </c>
      <c r="E210" s="49" t="str">
        <f>_xlfn.XLOOKUP(C210,Tab_Def_Flows[Name(EN)],Tab_Def_Flows[Output_Process],,0,)</f>
        <v>Atmosphere_Stock</v>
      </c>
      <c r="F210" s="49" t="str">
        <f>_xlfn.XLOOKUP(C210,Tab_Def_Flows[Name(EN)],Tab_Def_Flows[Process_ID_O],,0,)</f>
        <v>19_Atm_BB</v>
      </c>
      <c r="G210" s="49" t="str">
        <f>_xlfn.XLOOKUP(C210,Tab_Def_Flows[Name(EN)],Tab_Def_Flows[Input_Process],,0,)</f>
        <v>Rye_Cultivation</v>
      </c>
      <c r="H210" s="61" t="str">
        <f>_xlfn.XLOOKUP(C210,Tab_Def_Flows[Name(EN)],Tab_Def_Flows[Process_ID_I],,0,)</f>
        <v>13_Rye_BB</v>
      </c>
      <c r="I210" s="49">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2025</v>
      </c>
      <c r="N210" s="51"/>
      <c r="O210" s="119">
        <v>496713.11494736851</v>
      </c>
      <c r="P210" s="51" t="s">
        <v>389</v>
      </c>
      <c r="Q210" s="51"/>
      <c r="R210" s="51"/>
      <c r="S210" s="51"/>
      <c r="T210" s="51"/>
      <c r="U210" s="51"/>
      <c r="V210" s="51"/>
      <c r="W210" s="51"/>
      <c r="X210" s="51" t="s">
        <v>71</v>
      </c>
      <c r="Y210" s="106"/>
      <c r="Z210" s="51"/>
      <c r="AA210" s="86">
        <f t="shared" si="5"/>
        <v>496713.11494736851</v>
      </c>
      <c r="AB210" s="51" t="s">
        <v>63</v>
      </c>
      <c r="AC210" s="111">
        <f>INDEX(Tab_Def_Flows[[Flow_ID]:[CC_DM_source]],MATCH(Tab_Data_Flows[[#This Row],[Name(EN)]],Tab_Def_Flows[Name(EN)],0),16)</f>
        <v>0</v>
      </c>
      <c r="AD210" s="112">
        <f>IF(J210="Yes",AA210*Tab_Data_Flows[[#This Row],[WC_'[%']]],"N.A.")</f>
        <v>0</v>
      </c>
      <c r="AE210" s="61" t="str">
        <f>Tab_Data_Flows[[#This Row],[UoM_Flow_Py]]</f>
        <v>Mg</v>
      </c>
      <c r="AF210" s="111">
        <f>INDEX(Tab_Def_Flows[[Flow_ID]:[CC_DM_source]],MATCH(Tab_Data_Flows[[#This Row],[Name(EN)]],Tab_Def_Flows[Name(EN)],0),18)</f>
        <v>1</v>
      </c>
      <c r="AG210" s="112">
        <f>IF(K210="Yes",AF210*Tab_Data_Flows[[#This Row],[Flow_Py]],"N.A.")</f>
        <v>496713.11494736851</v>
      </c>
      <c r="AH210" s="61" t="str">
        <f>Tab_Data_Flows[[#This Row],[UoM_Flow_Py]]</f>
        <v>Mg</v>
      </c>
      <c r="AI210" s="111">
        <f>INDEX(Tab_Def_Flows[[Flow_ID]:[CC_DM_source]],MATCH(Tab_Data_Flows[[#This Row],[Name(EN)]],Tab_Def_Flows[Name(EN)],0),20)</f>
        <v>1</v>
      </c>
      <c r="AJ210" s="109">
        <f>IF(L210="Yes",AI210*Tab_Data_Flows[[#This Row],[Flow_Py]]*Tab_Data_Flows[[#This Row],[DM_'[%']]],"N.A.")</f>
        <v>496713.11494736851</v>
      </c>
      <c r="AK210" s="61" t="str">
        <f>Tab_Data_Flows[[#This Row],[UoM_Flow_Py]]</f>
        <v>Mg</v>
      </c>
    </row>
    <row r="211" spans="1:37" ht="15.75" thickBot="1" x14ac:dyDescent="0.3">
      <c r="A211" s="60">
        <f t="shared" si="2"/>
        <v>210</v>
      </c>
      <c r="B211" s="49" t="str">
        <f>_xlfn.XLOOKUP(C211,Tab_Def_Flows[Name(EN)],Tab_Def_Flows[Flow_ID],,0,)</f>
        <v>F_19_13</v>
      </c>
      <c r="C211" s="51" t="s">
        <v>551</v>
      </c>
      <c r="D211" s="49">
        <f>_xlfn.XLOOKUP(C211,Tab_Def_Flows[Name(EN)],Tab_Def_Flows[Type_Biomass],,0,)</f>
        <v>0</v>
      </c>
      <c r="E211" s="49" t="str">
        <f>_xlfn.XLOOKUP(C211,Tab_Def_Flows[Name(EN)],Tab_Def_Flows[Output_Process],,0,)</f>
        <v>Atmosphere_Stock</v>
      </c>
      <c r="F211" s="49" t="str">
        <f>_xlfn.XLOOKUP(C211,Tab_Def_Flows[Name(EN)],Tab_Def_Flows[Process_ID_O],,0,)</f>
        <v>19_Atm_BB</v>
      </c>
      <c r="G211" s="49" t="str">
        <f>_xlfn.XLOOKUP(C211,Tab_Def_Flows[Name(EN)],Tab_Def_Flows[Input_Process],,0,)</f>
        <v>Rye_Cultivation</v>
      </c>
      <c r="H211" s="61" t="str">
        <f>_xlfn.XLOOKUP(C211,Tab_Def_Flows[Name(EN)],Tab_Def_Flows[Process_ID_I],,0,)</f>
        <v>13_Rye_BB</v>
      </c>
      <c r="I211" s="49">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2026</v>
      </c>
      <c r="N211" s="51"/>
      <c r="O211" s="119">
        <v>418626.99789473688</v>
      </c>
      <c r="P211" s="51" t="s">
        <v>389</v>
      </c>
      <c r="Q211" s="51"/>
      <c r="R211" s="51"/>
      <c r="S211" s="51"/>
      <c r="T211" s="51"/>
      <c r="U211" s="51"/>
      <c r="V211" s="51"/>
      <c r="W211" s="51"/>
      <c r="X211" s="51" t="s">
        <v>71</v>
      </c>
      <c r="Y211" s="106"/>
      <c r="Z211" s="51"/>
      <c r="AA211" s="86">
        <f t="shared" si="5"/>
        <v>418626.99789473688</v>
      </c>
      <c r="AB211" s="51" t="s">
        <v>63</v>
      </c>
      <c r="AC211" s="111">
        <f>INDEX(Tab_Def_Flows[[Flow_ID]:[CC_DM_source]],MATCH(Tab_Data_Flows[[#This Row],[Name(EN)]],Tab_Def_Flows[Name(EN)],0),16)</f>
        <v>0</v>
      </c>
      <c r="AD211" s="112">
        <f>IF(J211="Yes",AA211*Tab_Data_Flows[[#This Row],[WC_'[%']]],"N.A.")</f>
        <v>0</v>
      </c>
      <c r="AE211" s="61" t="str">
        <f>Tab_Data_Flows[[#This Row],[UoM_Flow_Py]]</f>
        <v>Mg</v>
      </c>
      <c r="AF211" s="111">
        <f>INDEX(Tab_Def_Flows[[Flow_ID]:[CC_DM_source]],MATCH(Tab_Data_Flows[[#This Row],[Name(EN)]],Tab_Def_Flows[Name(EN)],0),18)</f>
        <v>1</v>
      </c>
      <c r="AG211" s="112">
        <f>IF(K211="Yes",AF211*Tab_Data_Flows[[#This Row],[Flow_Py]],"N.A.")</f>
        <v>418626.99789473688</v>
      </c>
      <c r="AH211" s="61" t="str">
        <f>Tab_Data_Flows[[#This Row],[UoM_Flow_Py]]</f>
        <v>Mg</v>
      </c>
      <c r="AI211" s="111">
        <f>INDEX(Tab_Def_Flows[[Flow_ID]:[CC_DM_source]],MATCH(Tab_Data_Flows[[#This Row],[Name(EN)]],Tab_Def_Flows[Name(EN)],0),20)</f>
        <v>1</v>
      </c>
      <c r="AJ211" s="109">
        <f>IF(L211="Yes",AI211*Tab_Data_Flows[[#This Row],[Flow_Py]]*Tab_Data_Flows[[#This Row],[DM_'[%']]],"N.A.")</f>
        <v>418626.99789473688</v>
      </c>
      <c r="AK211" s="61" t="str">
        <f>Tab_Data_Flows[[#This Row],[UoM_Flow_Py]]</f>
        <v>Mg</v>
      </c>
    </row>
    <row r="212" spans="1:37" ht="15.75" thickBot="1" x14ac:dyDescent="0.3">
      <c r="A212" s="60">
        <f t="shared" si="2"/>
        <v>211</v>
      </c>
      <c r="B212" s="49" t="str">
        <f>_xlfn.XLOOKUP(C212,Tab_Def_Flows[Name(EN)],Tab_Def_Flows[Flow_ID],,0,)</f>
        <v>F_19_13</v>
      </c>
      <c r="C212" s="51" t="s">
        <v>551</v>
      </c>
      <c r="D212" s="49">
        <f>_xlfn.XLOOKUP(C212,Tab_Def_Flows[Name(EN)],Tab_Def_Flows[Type_Biomass],,0,)</f>
        <v>0</v>
      </c>
      <c r="E212" s="49" t="str">
        <f>_xlfn.XLOOKUP(C212,Tab_Def_Flows[Name(EN)],Tab_Def_Flows[Output_Process],,0,)</f>
        <v>Atmosphere_Stock</v>
      </c>
      <c r="F212" s="49" t="str">
        <f>_xlfn.XLOOKUP(C212,Tab_Def_Flows[Name(EN)],Tab_Def_Flows[Process_ID_O],,0,)</f>
        <v>19_Atm_BB</v>
      </c>
      <c r="G212" s="49" t="str">
        <f>_xlfn.XLOOKUP(C212,Tab_Def_Flows[Name(EN)],Tab_Def_Flows[Input_Process],,0,)</f>
        <v>Rye_Cultivation</v>
      </c>
      <c r="H212" s="61" t="str">
        <f>_xlfn.XLOOKUP(C212,Tab_Def_Flows[Name(EN)],Tab_Def_Flows[Process_ID_I],,0,)</f>
        <v>13_Rye_BB</v>
      </c>
      <c r="I212" s="49">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2027</v>
      </c>
      <c r="N212" s="51"/>
      <c r="O212" s="119">
        <v>515279.55536842102</v>
      </c>
      <c r="P212" s="51" t="s">
        <v>389</v>
      </c>
      <c r="Q212" s="51"/>
      <c r="R212" s="51"/>
      <c r="S212" s="51"/>
      <c r="T212" s="51"/>
      <c r="U212" s="51"/>
      <c r="V212" s="51"/>
      <c r="W212" s="51"/>
      <c r="X212" s="51" t="s">
        <v>71</v>
      </c>
      <c r="Y212" s="106"/>
      <c r="Z212" s="51"/>
      <c r="AA212" s="86">
        <f t="shared" si="5"/>
        <v>515279.55536842102</v>
      </c>
      <c r="AB212" s="51" t="s">
        <v>63</v>
      </c>
      <c r="AC212" s="111">
        <f>INDEX(Tab_Def_Flows[[Flow_ID]:[CC_DM_source]],MATCH(Tab_Data_Flows[[#This Row],[Name(EN)]],Tab_Def_Flows[Name(EN)],0),16)</f>
        <v>0</v>
      </c>
      <c r="AD212" s="112">
        <f>IF(J212="Yes",AA212*Tab_Data_Flows[[#This Row],[WC_'[%']]],"N.A.")</f>
        <v>0</v>
      </c>
      <c r="AE212" s="61" t="str">
        <f>Tab_Data_Flows[[#This Row],[UoM_Flow_Py]]</f>
        <v>Mg</v>
      </c>
      <c r="AF212" s="111">
        <f>INDEX(Tab_Def_Flows[[Flow_ID]:[CC_DM_source]],MATCH(Tab_Data_Flows[[#This Row],[Name(EN)]],Tab_Def_Flows[Name(EN)],0),18)</f>
        <v>1</v>
      </c>
      <c r="AG212" s="112">
        <f>IF(K212="Yes",AF212*Tab_Data_Flows[[#This Row],[Flow_Py]],"N.A.")</f>
        <v>515279.55536842102</v>
      </c>
      <c r="AH212" s="61" t="str">
        <f>Tab_Data_Flows[[#This Row],[UoM_Flow_Py]]</f>
        <v>Mg</v>
      </c>
      <c r="AI212" s="111">
        <f>INDEX(Tab_Def_Flows[[Flow_ID]:[CC_DM_source]],MATCH(Tab_Data_Flows[[#This Row],[Name(EN)]],Tab_Def_Flows[Name(EN)],0),20)</f>
        <v>1</v>
      </c>
      <c r="AJ212" s="109">
        <f>IF(L212="Yes",AI212*Tab_Data_Flows[[#This Row],[Flow_Py]]*Tab_Data_Flows[[#This Row],[DM_'[%']]],"N.A.")</f>
        <v>515279.55536842102</v>
      </c>
      <c r="AK212" s="61" t="str">
        <f>Tab_Data_Flows[[#This Row],[UoM_Flow_Py]]</f>
        <v>Mg</v>
      </c>
    </row>
    <row r="213" spans="1:37" ht="15.75" thickBot="1" x14ac:dyDescent="0.3">
      <c r="A213" s="60">
        <f t="shared" si="2"/>
        <v>212</v>
      </c>
      <c r="B213" s="49" t="str">
        <f>_xlfn.XLOOKUP(C213,Tab_Def_Flows[Name(EN)],Tab_Def_Flows[Flow_ID],,0,)</f>
        <v>F_19_13</v>
      </c>
      <c r="C213" s="51" t="s">
        <v>551</v>
      </c>
      <c r="D213" s="49">
        <f>_xlfn.XLOOKUP(C213,Tab_Def_Flows[Name(EN)],Tab_Def_Flows[Type_Biomass],,0,)</f>
        <v>0</v>
      </c>
      <c r="E213" s="49" t="str">
        <f>_xlfn.XLOOKUP(C213,Tab_Def_Flows[Name(EN)],Tab_Def_Flows[Output_Process],,0,)</f>
        <v>Atmosphere_Stock</v>
      </c>
      <c r="F213" s="49" t="str">
        <f>_xlfn.XLOOKUP(C213,Tab_Def_Flows[Name(EN)],Tab_Def_Flows[Process_ID_O],,0,)</f>
        <v>19_Atm_BB</v>
      </c>
      <c r="G213" s="49" t="str">
        <f>_xlfn.XLOOKUP(C213,Tab_Def_Flows[Name(EN)],Tab_Def_Flows[Input_Process],,0,)</f>
        <v>Rye_Cultivation</v>
      </c>
      <c r="H213" s="61" t="str">
        <f>_xlfn.XLOOKUP(C213,Tab_Def_Flows[Name(EN)],Tab_Def_Flows[Process_ID_I],,0,)</f>
        <v>13_Rye_BB</v>
      </c>
      <c r="I213" s="49">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2028</v>
      </c>
      <c r="N213" s="51"/>
      <c r="O213" s="119">
        <v>622924.75957894733</v>
      </c>
      <c r="P213" s="51" t="s">
        <v>389</v>
      </c>
      <c r="Q213" s="51"/>
      <c r="R213" s="51"/>
      <c r="S213" s="51"/>
      <c r="T213" s="51"/>
      <c r="U213" s="51"/>
      <c r="V213" s="51"/>
      <c r="W213" s="51"/>
      <c r="X213" s="51" t="s">
        <v>71</v>
      </c>
      <c r="Y213" s="106"/>
      <c r="Z213" s="51"/>
      <c r="AA213" s="86">
        <f t="shared" si="5"/>
        <v>622924.75957894733</v>
      </c>
      <c r="AB213" s="51" t="s">
        <v>63</v>
      </c>
      <c r="AC213" s="111">
        <f>INDEX(Tab_Def_Flows[[Flow_ID]:[CC_DM_source]],MATCH(Tab_Data_Flows[[#This Row],[Name(EN)]],Tab_Def_Flows[Name(EN)],0),16)</f>
        <v>0</v>
      </c>
      <c r="AD213" s="112">
        <f>IF(J213="Yes",AA213*Tab_Data_Flows[[#This Row],[WC_'[%']]],"N.A.")</f>
        <v>0</v>
      </c>
      <c r="AE213" s="61" t="str">
        <f>Tab_Data_Flows[[#This Row],[UoM_Flow_Py]]</f>
        <v>Mg</v>
      </c>
      <c r="AF213" s="111">
        <f>INDEX(Tab_Def_Flows[[Flow_ID]:[CC_DM_source]],MATCH(Tab_Data_Flows[[#This Row],[Name(EN)]],Tab_Def_Flows[Name(EN)],0),18)</f>
        <v>1</v>
      </c>
      <c r="AG213" s="112">
        <f>IF(K213="Yes",AF213*Tab_Data_Flows[[#This Row],[Flow_Py]],"N.A.")</f>
        <v>622924.75957894733</v>
      </c>
      <c r="AH213" s="61" t="str">
        <f>Tab_Data_Flows[[#This Row],[UoM_Flow_Py]]</f>
        <v>Mg</v>
      </c>
      <c r="AI213" s="111">
        <f>INDEX(Tab_Def_Flows[[Flow_ID]:[CC_DM_source]],MATCH(Tab_Data_Flows[[#This Row],[Name(EN)]],Tab_Def_Flows[Name(EN)],0),20)</f>
        <v>1</v>
      </c>
      <c r="AJ213" s="109">
        <f>IF(L213="Yes",AI213*Tab_Data_Flows[[#This Row],[Flow_Py]]*Tab_Data_Flows[[#This Row],[DM_'[%']]],"N.A.")</f>
        <v>622924.75957894733</v>
      </c>
      <c r="AK213" s="61" t="str">
        <f>Tab_Data_Flows[[#This Row],[UoM_Flow_Py]]</f>
        <v>Mg</v>
      </c>
    </row>
    <row r="214" spans="1:37" ht="15.75" thickBot="1" x14ac:dyDescent="0.3">
      <c r="A214" s="60">
        <f t="shared" si="2"/>
        <v>213</v>
      </c>
      <c r="B214" s="49" t="str">
        <f>_xlfn.XLOOKUP(C214,Tab_Def_Flows[Name(EN)],Tab_Def_Flows[Flow_ID],,0,)</f>
        <v>F_19_13</v>
      </c>
      <c r="C214" s="51" t="s">
        <v>551</v>
      </c>
      <c r="D214" s="49">
        <f>_xlfn.XLOOKUP(C214,Tab_Def_Flows[Name(EN)],Tab_Def_Flows[Type_Biomass],,0,)</f>
        <v>0</v>
      </c>
      <c r="E214" s="49" t="str">
        <f>_xlfn.XLOOKUP(C214,Tab_Def_Flows[Name(EN)],Tab_Def_Flows[Output_Process],,0,)</f>
        <v>Atmosphere_Stock</v>
      </c>
      <c r="F214" s="49" t="str">
        <f>_xlfn.XLOOKUP(C214,Tab_Def_Flows[Name(EN)],Tab_Def_Flows[Process_ID_O],,0,)</f>
        <v>19_Atm_BB</v>
      </c>
      <c r="G214" s="49" t="str">
        <f>_xlfn.XLOOKUP(C214,Tab_Def_Flows[Name(EN)],Tab_Def_Flows[Input_Process],,0,)</f>
        <v>Rye_Cultivation</v>
      </c>
      <c r="H214" s="61" t="str">
        <f>_xlfn.XLOOKUP(C214,Tab_Def_Flows[Name(EN)],Tab_Def_Flows[Process_ID_I],,0,)</f>
        <v>13_Rye_BB</v>
      </c>
      <c r="I214" s="49">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2029</v>
      </c>
      <c r="N214" s="51"/>
      <c r="O214" s="119">
        <v>406837.42989473685</v>
      </c>
      <c r="P214" s="51" t="s">
        <v>389</v>
      </c>
      <c r="Q214" s="51"/>
      <c r="R214" s="51"/>
      <c r="S214" s="51"/>
      <c r="T214" s="51"/>
      <c r="U214" s="51"/>
      <c r="V214" s="51"/>
      <c r="W214" s="51"/>
      <c r="X214" s="51" t="s">
        <v>71</v>
      </c>
      <c r="Y214" s="106"/>
      <c r="Z214" s="51"/>
      <c r="AA214" s="86">
        <f t="shared" si="5"/>
        <v>406837.42989473685</v>
      </c>
      <c r="AB214" s="51" t="s">
        <v>63</v>
      </c>
      <c r="AC214" s="111">
        <f>INDEX(Tab_Def_Flows[[Flow_ID]:[CC_DM_source]],MATCH(Tab_Data_Flows[[#This Row],[Name(EN)]],Tab_Def_Flows[Name(EN)],0),16)</f>
        <v>0</v>
      </c>
      <c r="AD214" s="112">
        <f>IF(J214="Yes",AA214*Tab_Data_Flows[[#This Row],[WC_'[%']]],"N.A.")</f>
        <v>0</v>
      </c>
      <c r="AE214" s="61" t="str">
        <f>Tab_Data_Flows[[#This Row],[UoM_Flow_Py]]</f>
        <v>Mg</v>
      </c>
      <c r="AF214" s="111">
        <f>INDEX(Tab_Def_Flows[[Flow_ID]:[CC_DM_source]],MATCH(Tab_Data_Flows[[#This Row],[Name(EN)]],Tab_Def_Flows[Name(EN)],0),18)</f>
        <v>1</v>
      </c>
      <c r="AG214" s="112">
        <f>IF(K214="Yes",AF214*Tab_Data_Flows[[#This Row],[Flow_Py]],"N.A.")</f>
        <v>406837.42989473685</v>
      </c>
      <c r="AH214" s="61" t="str">
        <f>Tab_Data_Flows[[#This Row],[UoM_Flow_Py]]</f>
        <v>Mg</v>
      </c>
      <c r="AI214" s="111">
        <f>INDEX(Tab_Def_Flows[[Flow_ID]:[CC_DM_source]],MATCH(Tab_Data_Flows[[#This Row],[Name(EN)]],Tab_Def_Flows[Name(EN)],0),20)</f>
        <v>1</v>
      </c>
      <c r="AJ214" s="109">
        <f>IF(L214="Yes",AI214*Tab_Data_Flows[[#This Row],[Flow_Py]]*Tab_Data_Flows[[#This Row],[DM_'[%']]],"N.A.")</f>
        <v>406837.42989473685</v>
      </c>
      <c r="AK214" s="61" t="str">
        <f>Tab_Data_Flows[[#This Row],[UoM_Flow_Py]]</f>
        <v>Mg</v>
      </c>
    </row>
    <row r="215" spans="1:37" ht="15.75" thickBot="1" x14ac:dyDescent="0.3">
      <c r="A215" s="60">
        <f t="shared" si="2"/>
        <v>214</v>
      </c>
      <c r="B215" s="49" t="str">
        <f>_xlfn.XLOOKUP(C215,Tab_Def_Flows[Name(EN)],Tab_Def_Flows[Flow_ID],,0,)</f>
        <v>F_19_13</v>
      </c>
      <c r="C215" s="51" t="s">
        <v>551</v>
      </c>
      <c r="D215" s="49">
        <f>_xlfn.XLOOKUP(C215,Tab_Def_Flows[Name(EN)],Tab_Def_Flows[Type_Biomass],,0,)</f>
        <v>0</v>
      </c>
      <c r="E215" s="49" t="str">
        <f>_xlfn.XLOOKUP(C215,Tab_Def_Flows[Name(EN)],Tab_Def_Flows[Output_Process],,0,)</f>
        <v>Atmosphere_Stock</v>
      </c>
      <c r="F215" s="49" t="str">
        <f>_xlfn.XLOOKUP(C215,Tab_Def_Flows[Name(EN)],Tab_Def_Flows[Process_ID_O],,0,)</f>
        <v>19_Atm_BB</v>
      </c>
      <c r="G215" s="49" t="str">
        <f>_xlfn.XLOOKUP(C215,Tab_Def_Flows[Name(EN)],Tab_Def_Flows[Input_Process],,0,)</f>
        <v>Rye_Cultivation</v>
      </c>
      <c r="H215" s="61" t="str">
        <f>_xlfn.XLOOKUP(C215,Tab_Def_Flows[Name(EN)],Tab_Def_Flows[Process_ID_I],,0,)</f>
        <v>13_Rye_BB</v>
      </c>
      <c r="I215" s="49">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2030</v>
      </c>
      <c r="N215" s="51"/>
      <c r="O215" s="119">
        <v>406837.42989473685</v>
      </c>
      <c r="P215" s="51" t="s">
        <v>389</v>
      </c>
      <c r="Q215" s="51"/>
      <c r="R215" s="51"/>
      <c r="S215" s="51"/>
      <c r="T215" s="51"/>
      <c r="U215" s="51"/>
      <c r="V215" s="51"/>
      <c r="W215" s="51"/>
      <c r="X215" s="51" t="s">
        <v>71</v>
      </c>
      <c r="Y215" s="106"/>
      <c r="Z215" s="51"/>
      <c r="AA215" s="86">
        <f t="shared" si="5"/>
        <v>406837.42989473685</v>
      </c>
      <c r="AB215" s="51" t="s">
        <v>63</v>
      </c>
      <c r="AC215" s="111">
        <f>INDEX(Tab_Def_Flows[[Flow_ID]:[CC_DM_source]],MATCH(Tab_Data_Flows[[#This Row],[Name(EN)]],Tab_Def_Flows[Name(EN)],0),16)</f>
        <v>0</v>
      </c>
      <c r="AD215" s="112">
        <f>IF(J215="Yes",AA215*Tab_Data_Flows[[#This Row],[WC_'[%']]],"N.A.")</f>
        <v>0</v>
      </c>
      <c r="AE215" s="61" t="str">
        <f>Tab_Data_Flows[[#This Row],[UoM_Flow_Py]]</f>
        <v>Mg</v>
      </c>
      <c r="AF215" s="111">
        <f>INDEX(Tab_Def_Flows[[Flow_ID]:[CC_DM_source]],MATCH(Tab_Data_Flows[[#This Row],[Name(EN)]],Tab_Def_Flows[Name(EN)],0),18)</f>
        <v>1</v>
      </c>
      <c r="AG215" s="112">
        <f>IF(K215="Yes",AF215*Tab_Data_Flows[[#This Row],[Flow_Py]],"N.A.")</f>
        <v>406837.42989473685</v>
      </c>
      <c r="AH215" s="61" t="str">
        <f>Tab_Data_Flows[[#This Row],[UoM_Flow_Py]]</f>
        <v>Mg</v>
      </c>
      <c r="AI215" s="111">
        <f>INDEX(Tab_Def_Flows[[Flow_ID]:[CC_DM_source]],MATCH(Tab_Data_Flows[[#This Row],[Name(EN)]],Tab_Def_Flows[Name(EN)],0),20)</f>
        <v>1</v>
      </c>
      <c r="AJ215" s="109">
        <f>IF(L215="Yes",AI215*Tab_Data_Flows[[#This Row],[Flow_Py]]*Tab_Data_Flows[[#This Row],[DM_'[%']]],"N.A.")</f>
        <v>406837.42989473685</v>
      </c>
      <c r="AK215" s="61" t="str">
        <f>Tab_Data_Flows[[#This Row],[UoM_Flow_Py]]</f>
        <v>Mg</v>
      </c>
    </row>
    <row r="216" spans="1:37" ht="15.75" thickBot="1" x14ac:dyDescent="0.3">
      <c r="A216" s="60">
        <f t="shared" si="2"/>
        <v>215</v>
      </c>
      <c r="B216" s="49" t="str">
        <f>_xlfn.XLOOKUP(C216,Tab_Def_Flows[Name(EN)],Tab_Def_Flows[Flow_ID],,0,)</f>
        <v>F_19_13</v>
      </c>
      <c r="C216" s="51" t="s">
        <v>551</v>
      </c>
      <c r="D216" s="49">
        <f>_xlfn.XLOOKUP(C216,Tab_Def_Flows[Name(EN)],Tab_Def_Flows[Type_Biomass],,0,)</f>
        <v>0</v>
      </c>
      <c r="E216" s="49" t="str">
        <f>_xlfn.XLOOKUP(C216,Tab_Def_Flows[Name(EN)],Tab_Def_Flows[Output_Process],,0,)</f>
        <v>Atmosphere_Stock</v>
      </c>
      <c r="F216" s="49" t="str">
        <f>_xlfn.XLOOKUP(C216,Tab_Def_Flows[Name(EN)],Tab_Def_Flows[Process_ID_O],,0,)</f>
        <v>19_Atm_BB</v>
      </c>
      <c r="G216" s="49" t="str">
        <f>_xlfn.XLOOKUP(C216,Tab_Def_Flows[Name(EN)],Tab_Def_Flows[Input_Process],,0,)</f>
        <v>Rye_Cultivation</v>
      </c>
      <c r="H216" s="61" t="str">
        <f>_xlfn.XLOOKUP(C216,Tab_Def_Flows[Name(EN)],Tab_Def_Flows[Process_ID_I],,0,)</f>
        <v>13_Rye_BB</v>
      </c>
      <c r="I216" s="49">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2031</v>
      </c>
      <c r="N216" s="51"/>
      <c r="O216" s="119">
        <v>629829.38273684203</v>
      </c>
      <c r="P216" s="51" t="s">
        <v>389</v>
      </c>
      <c r="Q216" s="51"/>
      <c r="R216" s="51"/>
      <c r="S216" s="51"/>
      <c r="T216" s="51"/>
      <c r="U216" s="51"/>
      <c r="V216" s="51"/>
      <c r="W216" s="51"/>
      <c r="X216" s="51" t="s">
        <v>71</v>
      </c>
      <c r="Y216" s="106"/>
      <c r="Z216" s="51"/>
      <c r="AA216" s="86">
        <f t="shared" si="5"/>
        <v>629829.38273684203</v>
      </c>
      <c r="AB216" s="51" t="s">
        <v>63</v>
      </c>
      <c r="AC216" s="111">
        <f>INDEX(Tab_Def_Flows[[Flow_ID]:[CC_DM_source]],MATCH(Tab_Data_Flows[[#This Row],[Name(EN)]],Tab_Def_Flows[Name(EN)],0),16)</f>
        <v>0</v>
      </c>
      <c r="AD216" s="112">
        <f>IF(J216="Yes",AA216*Tab_Data_Flows[[#This Row],[WC_'[%']]],"N.A.")</f>
        <v>0</v>
      </c>
      <c r="AE216" s="61" t="str">
        <f>Tab_Data_Flows[[#This Row],[UoM_Flow_Py]]</f>
        <v>Mg</v>
      </c>
      <c r="AF216" s="111">
        <f>INDEX(Tab_Def_Flows[[Flow_ID]:[CC_DM_source]],MATCH(Tab_Data_Flows[[#This Row],[Name(EN)]],Tab_Def_Flows[Name(EN)],0),18)</f>
        <v>1</v>
      </c>
      <c r="AG216" s="112">
        <f>IF(K216="Yes",AF216*Tab_Data_Flows[[#This Row],[Flow_Py]],"N.A.")</f>
        <v>629829.38273684203</v>
      </c>
      <c r="AH216" s="61" t="str">
        <f>Tab_Data_Flows[[#This Row],[UoM_Flow_Py]]</f>
        <v>Mg</v>
      </c>
      <c r="AI216" s="111">
        <f>INDEX(Tab_Def_Flows[[Flow_ID]:[CC_DM_source]],MATCH(Tab_Data_Flows[[#This Row],[Name(EN)]],Tab_Def_Flows[Name(EN)],0),20)</f>
        <v>1</v>
      </c>
      <c r="AJ216" s="109">
        <f>IF(L216="Yes",AI216*Tab_Data_Flows[[#This Row],[Flow_Py]]*Tab_Data_Flows[[#This Row],[DM_'[%']]],"N.A.")</f>
        <v>629829.38273684203</v>
      </c>
      <c r="AK216" s="61" t="str">
        <f>Tab_Data_Flows[[#This Row],[UoM_Flow_Py]]</f>
        <v>Mg</v>
      </c>
    </row>
    <row r="217" spans="1:37" ht="15.75" thickBot="1" x14ac:dyDescent="0.3">
      <c r="A217" s="60">
        <f t="shared" si="2"/>
        <v>216</v>
      </c>
      <c r="B217" s="49" t="str">
        <f>_xlfn.XLOOKUP(C217,Tab_Def_Flows[Name(EN)],Tab_Def_Flows[Flow_ID],,0,)</f>
        <v>F_19_13</v>
      </c>
      <c r="C217" s="51" t="s">
        <v>551</v>
      </c>
      <c r="D217" s="49">
        <f>_xlfn.XLOOKUP(C217,Tab_Def_Flows[Name(EN)],Tab_Def_Flows[Type_Biomass],,0,)</f>
        <v>0</v>
      </c>
      <c r="E217" s="49" t="str">
        <f>_xlfn.XLOOKUP(C217,Tab_Def_Flows[Name(EN)],Tab_Def_Flows[Output_Process],,0,)</f>
        <v>Atmosphere_Stock</v>
      </c>
      <c r="F217" s="49" t="str">
        <f>_xlfn.XLOOKUP(C217,Tab_Def_Flows[Name(EN)],Tab_Def_Flows[Process_ID_O],,0,)</f>
        <v>19_Atm_BB</v>
      </c>
      <c r="G217" s="49" t="str">
        <f>_xlfn.XLOOKUP(C217,Tab_Def_Flows[Name(EN)],Tab_Def_Flows[Input_Process],,0,)</f>
        <v>Rye_Cultivation</v>
      </c>
      <c r="H217" s="61" t="str">
        <f>_xlfn.XLOOKUP(C217,Tab_Def_Flows[Name(EN)],Tab_Def_Flows[Process_ID_I],,0,)</f>
        <v>13_Rye_BB</v>
      </c>
      <c r="I217" s="49">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2032</v>
      </c>
      <c r="N217" s="51"/>
      <c r="O217" s="119">
        <v>530001.30694736843</v>
      </c>
      <c r="P217" s="51" t="s">
        <v>389</v>
      </c>
      <c r="Q217" s="51"/>
      <c r="R217" s="51"/>
      <c r="S217" s="51"/>
      <c r="T217" s="51"/>
      <c r="U217" s="51"/>
      <c r="V217" s="51"/>
      <c r="W217" s="51"/>
      <c r="X217" s="51" t="s">
        <v>71</v>
      </c>
      <c r="Y217" s="106"/>
      <c r="Z217" s="51"/>
      <c r="AA217" s="86">
        <f t="shared" si="5"/>
        <v>530001.30694736843</v>
      </c>
      <c r="AB217" s="51" t="s">
        <v>63</v>
      </c>
      <c r="AC217" s="111">
        <f>INDEX(Tab_Def_Flows[[Flow_ID]:[CC_DM_source]],MATCH(Tab_Data_Flows[[#This Row],[Name(EN)]],Tab_Def_Flows[Name(EN)],0),16)</f>
        <v>0</v>
      </c>
      <c r="AD217" s="112">
        <f>IF(J217="Yes",AA217*Tab_Data_Flows[[#This Row],[WC_'[%']]],"N.A.")</f>
        <v>0</v>
      </c>
      <c r="AE217" s="61" t="str">
        <f>Tab_Data_Flows[[#This Row],[UoM_Flow_Py]]</f>
        <v>Mg</v>
      </c>
      <c r="AF217" s="111">
        <f>INDEX(Tab_Def_Flows[[Flow_ID]:[CC_DM_source]],MATCH(Tab_Data_Flows[[#This Row],[Name(EN)]],Tab_Def_Flows[Name(EN)],0),18)</f>
        <v>1</v>
      </c>
      <c r="AG217" s="112">
        <f>IF(K217="Yes",AF217*Tab_Data_Flows[[#This Row],[Flow_Py]],"N.A.")</f>
        <v>530001.30694736843</v>
      </c>
      <c r="AH217" s="61" t="str">
        <f>Tab_Data_Flows[[#This Row],[UoM_Flow_Py]]</f>
        <v>Mg</v>
      </c>
      <c r="AI217" s="111">
        <f>INDEX(Tab_Def_Flows[[Flow_ID]:[CC_DM_source]],MATCH(Tab_Data_Flows[[#This Row],[Name(EN)]],Tab_Def_Flows[Name(EN)],0),20)</f>
        <v>1</v>
      </c>
      <c r="AJ217" s="109">
        <f>IF(L217="Yes",AI217*Tab_Data_Flows[[#This Row],[Flow_Py]]*Tab_Data_Flows[[#This Row],[DM_'[%']]],"N.A.")</f>
        <v>530001.30694736843</v>
      </c>
      <c r="AK217" s="61" t="str">
        <f>Tab_Data_Flows[[#This Row],[UoM_Flow_Py]]</f>
        <v>Mg</v>
      </c>
    </row>
    <row r="218" spans="1:37" ht="15.75" thickBot="1" x14ac:dyDescent="0.3">
      <c r="A218" s="60">
        <f t="shared" si="2"/>
        <v>217</v>
      </c>
      <c r="B218" s="49" t="str">
        <f>_xlfn.XLOOKUP(C218,Tab_Def_Flows[Name(EN)],Tab_Def_Flows[Flow_ID],,0,)</f>
        <v>F_19_13</v>
      </c>
      <c r="C218" s="51" t="s">
        <v>551</v>
      </c>
      <c r="D218" s="49">
        <f>_xlfn.XLOOKUP(C218,Tab_Def_Flows[Name(EN)],Tab_Def_Flows[Type_Biomass],,0,)</f>
        <v>0</v>
      </c>
      <c r="E218" s="49" t="str">
        <f>_xlfn.XLOOKUP(C218,Tab_Def_Flows[Name(EN)],Tab_Def_Flows[Output_Process],,0,)</f>
        <v>Atmosphere_Stock</v>
      </c>
      <c r="F218" s="49" t="str">
        <f>_xlfn.XLOOKUP(C218,Tab_Def_Flows[Name(EN)],Tab_Def_Flows[Process_ID_O],,0,)</f>
        <v>19_Atm_BB</v>
      </c>
      <c r="G218" s="49" t="str">
        <f>_xlfn.XLOOKUP(C218,Tab_Def_Flows[Name(EN)],Tab_Def_Flows[Input_Process],,0,)</f>
        <v>Rye_Cultivation</v>
      </c>
      <c r="H218" s="61" t="str">
        <f>_xlfn.XLOOKUP(C218,Tab_Def_Flows[Name(EN)],Tab_Def_Flows[Process_ID_I],,0,)</f>
        <v>13_Rye_BB</v>
      </c>
      <c r="I218" s="49">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2033</v>
      </c>
      <c r="N218" s="51"/>
      <c r="O218" s="119">
        <v>377898.8463157895</v>
      </c>
      <c r="P218" s="51" t="s">
        <v>389</v>
      </c>
      <c r="Q218" s="51"/>
      <c r="R218" s="51"/>
      <c r="S218" s="51"/>
      <c r="T218" s="51"/>
      <c r="U218" s="51"/>
      <c r="V218" s="51"/>
      <c r="W218" s="51"/>
      <c r="X218" s="51" t="s">
        <v>71</v>
      </c>
      <c r="Y218" s="106"/>
      <c r="Z218" s="51"/>
      <c r="AA218" s="86">
        <f t="shared" si="5"/>
        <v>377898.8463157895</v>
      </c>
      <c r="AB218" s="51" t="s">
        <v>63</v>
      </c>
      <c r="AC218" s="111">
        <f>INDEX(Tab_Def_Flows[[Flow_ID]:[CC_DM_source]],MATCH(Tab_Data_Flows[[#This Row],[Name(EN)]],Tab_Def_Flows[Name(EN)],0),16)</f>
        <v>0</v>
      </c>
      <c r="AD218" s="112">
        <f>IF(J218="Yes",AA218*Tab_Data_Flows[[#This Row],[WC_'[%']]],"N.A.")</f>
        <v>0</v>
      </c>
      <c r="AE218" s="61" t="str">
        <f>Tab_Data_Flows[[#This Row],[UoM_Flow_Py]]</f>
        <v>Mg</v>
      </c>
      <c r="AF218" s="111">
        <f>INDEX(Tab_Def_Flows[[Flow_ID]:[CC_DM_source]],MATCH(Tab_Data_Flows[[#This Row],[Name(EN)]],Tab_Def_Flows[Name(EN)],0),18)</f>
        <v>1</v>
      </c>
      <c r="AG218" s="112">
        <f>IF(K218="Yes",AF218*Tab_Data_Flows[[#This Row],[Flow_Py]],"N.A.")</f>
        <v>377898.8463157895</v>
      </c>
      <c r="AH218" s="61" t="str">
        <f>Tab_Data_Flows[[#This Row],[UoM_Flow_Py]]</f>
        <v>Mg</v>
      </c>
      <c r="AI218" s="111">
        <f>INDEX(Tab_Def_Flows[[Flow_ID]:[CC_DM_source]],MATCH(Tab_Data_Flows[[#This Row],[Name(EN)]],Tab_Def_Flows[Name(EN)],0),20)</f>
        <v>1</v>
      </c>
      <c r="AJ218" s="109">
        <f>IF(L218="Yes",AI218*Tab_Data_Flows[[#This Row],[Flow_Py]]*Tab_Data_Flows[[#This Row],[DM_'[%']]],"N.A.")</f>
        <v>377898.8463157895</v>
      </c>
      <c r="AK218" s="61" t="str">
        <f>Tab_Data_Flows[[#This Row],[UoM_Flow_Py]]</f>
        <v>Mg</v>
      </c>
    </row>
    <row r="219" spans="1:37" ht="15.75" thickBot="1" x14ac:dyDescent="0.3">
      <c r="A219" s="60">
        <f t="shared" si="2"/>
        <v>218</v>
      </c>
      <c r="B219" s="49" t="str">
        <f>_xlfn.XLOOKUP(C219,Tab_Def_Flows[Name(EN)],Tab_Def_Flows[Flow_ID],,0,)</f>
        <v>F_19_13</v>
      </c>
      <c r="C219" s="51" t="s">
        <v>551</v>
      </c>
      <c r="D219" s="49">
        <f>_xlfn.XLOOKUP(C219,Tab_Def_Flows[Name(EN)],Tab_Def_Flows[Type_Biomass],,0,)</f>
        <v>0</v>
      </c>
      <c r="E219" s="49" t="str">
        <f>_xlfn.XLOOKUP(C219,Tab_Def_Flows[Name(EN)],Tab_Def_Flows[Output_Process],,0,)</f>
        <v>Atmosphere_Stock</v>
      </c>
      <c r="F219" s="49" t="str">
        <f>_xlfn.XLOOKUP(C219,Tab_Def_Flows[Name(EN)],Tab_Def_Flows[Process_ID_O],,0,)</f>
        <v>19_Atm_BB</v>
      </c>
      <c r="G219" s="49" t="str">
        <f>_xlfn.XLOOKUP(C219,Tab_Def_Flows[Name(EN)],Tab_Def_Flows[Input_Process],,0,)</f>
        <v>Rye_Cultivation</v>
      </c>
      <c r="H219" s="61" t="str">
        <f>_xlfn.XLOOKUP(C219,Tab_Def_Flows[Name(EN)],Tab_Def_Flows[Process_ID_I],,0,)</f>
        <v>13_Rye_BB</v>
      </c>
      <c r="I219" s="49">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2034</v>
      </c>
      <c r="N219" s="51"/>
      <c r="O219" s="119">
        <v>502352.39747368422</v>
      </c>
      <c r="P219" s="51" t="s">
        <v>389</v>
      </c>
      <c r="Q219" s="51"/>
      <c r="R219" s="51"/>
      <c r="S219" s="51"/>
      <c r="T219" s="51"/>
      <c r="U219" s="51"/>
      <c r="V219" s="51"/>
      <c r="W219" s="51"/>
      <c r="X219" s="51" t="s">
        <v>71</v>
      </c>
      <c r="Y219" s="106"/>
      <c r="Z219" s="51"/>
      <c r="AA219" s="86">
        <f t="shared" si="5"/>
        <v>502352.39747368422</v>
      </c>
      <c r="AB219" s="51" t="s">
        <v>63</v>
      </c>
      <c r="AC219" s="111">
        <f>INDEX(Tab_Def_Flows[[Flow_ID]:[CC_DM_source]],MATCH(Tab_Data_Flows[[#This Row],[Name(EN)]],Tab_Def_Flows[Name(EN)],0),16)</f>
        <v>0</v>
      </c>
      <c r="AD219" s="112">
        <f>IF(J219="Yes",AA219*Tab_Data_Flows[[#This Row],[WC_'[%']]],"N.A.")</f>
        <v>0</v>
      </c>
      <c r="AE219" s="61" t="str">
        <f>Tab_Data_Flows[[#This Row],[UoM_Flow_Py]]</f>
        <v>Mg</v>
      </c>
      <c r="AF219" s="111">
        <f>INDEX(Tab_Def_Flows[[Flow_ID]:[CC_DM_source]],MATCH(Tab_Data_Flows[[#This Row],[Name(EN)]],Tab_Def_Flows[Name(EN)],0),18)</f>
        <v>1</v>
      </c>
      <c r="AG219" s="112">
        <f>IF(K219="Yes",AF219*Tab_Data_Flows[[#This Row],[Flow_Py]],"N.A.")</f>
        <v>502352.39747368422</v>
      </c>
      <c r="AH219" s="61" t="str">
        <f>Tab_Data_Flows[[#This Row],[UoM_Flow_Py]]</f>
        <v>Mg</v>
      </c>
      <c r="AI219" s="111">
        <f>INDEX(Tab_Def_Flows[[Flow_ID]:[CC_DM_source]],MATCH(Tab_Data_Flows[[#This Row],[Name(EN)]],Tab_Def_Flows[Name(EN)],0),20)</f>
        <v>1</v>
      </c>
      <c r="AJ219" s="109">
        <f>IF(L219="Yes",AI219*Tab_Data_Flows[[#This Row],[Flow_Py]]*Tab_Data_Flows[[#This Row],[DM_'[%']]],"N.A.")</f>
        <v>502352.39747368422</v>
      </c>
      <c r="AK219" s="61" t="str">
        <f>Tab_Data_Flows[[#This Row],[UoM_Flow_Py]]</f>
        <v>Mg</v>
      </c>
    </row>
    <row r="220" spans="1:37" ht="15.75" thickBot="1" x14ac:dyDescent="0.3">
      <c r="A220" s="60">
        <f t="shared" si="2"/>
        <v>219</v>
      </c>
      <c r="B220" s="49" t="str">
        <f>_xlfn.XLOOKUP(C220,Tab_Def_Flows[Name(EN)],Tab_Def_Flows[Flow_ID],,0,)</f>
        <v>F_19_13</v>
      </c>
      <c r="C220" s="51" t="s">
        <v>551</v>
      </c>
      <c r="D220" s="49">
        <f>_xlfn.XLOOKUP(C220,Tab_Def_Flows[Name(EN)],Tab_Def_Flows[Type_Biomass],,0,)</f>
        <v>0</v>
      </c>
      <c r="E220" s="49" t="str">
        <f>_xlfn.XLOOKUP(C220,Tab_Def_Flows[Name(EN)],Tab_Def_Flows[Output_Process],,0,)</f>
        <v>Atmosphere_Stock</v>
      </c>
      <c r="F220" s="49" t="str">
        <f>_xlfn.XLOOKUP(C220,Tab_Def_Flows[Name(EN)],Tab_Def_Flows[Process_ID_O],,0,)</f>
        <v>19_Atm_BB</v>
      </c>
      <c r="G220" s="49" t="str">
        <f>_xlfn.XLOOKUP(C220,Tab_Def_Flows[Name(EN)],Tab_Def_Flows[Input_Process],,0,)</f>
        <v>Rye_Cultivation</v>
      </c>
      <c r="H220" s="61" t="str">
        <f>_xlfn.XLOOKUP(C220,Tab_Def_Flows[Name(EN)],Tab_Def_Flows[Process_ID_I],,0,)</f>
        <v>13_Rye_BB</v>
      </c>
      <c r="I220" s="49">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2035</v>
      </c>
      <c r="N220" s="51"/>
      <c r="O220" s="119">
        <v>378641.01726315788</v>
      </c>
      <c r="P220" s="51" t="s">
        <v>389</v>
      </c>
      <c r="Q220" s="51"/>
      <c r="R220" s="51"/>
      <c r="S220" s="51"/>
      <c r="T220" s="51"/>
      <c r="U220" s="51"/>
      <c r="V220" s="51"/>
      <c r="W220" s="51"/>
      <c r="X220" s="51" t="s">
        <v>71</v>
      </c>
      <c r="Y220" s="106"/>
      <c r="Z220" s="51"/>
      <c r="AA220" s="86">
        <f t="shared" si="5"/>
        <v>378641.01726315788</v>
      </c>
      <c r="AB220" s="51" t="s">
        <v>63</v>
      </c>
      <c r="AC220" s="111">
        <f>INDEX(Tab_Def_Flows[[Flow_ID]:[CC_DM_source]],MATCH(Tab_Data_Flows[[#This Row],[Name(EN)]],Tab_Def_Flows[Name(EN)],0),16)</f>
        <v>0</v>
      </c>
      <c r="AD220" s="112">
        <f>IF(J220="Yes",AA220*Tab_Data_Flows[[#This Row],[WC_'[%']]],"N.A.")</f>
        <v>0</v>
      </c>
      <c r="AE220" s="61" t="str">
        <f>Tab_Data_Flows[[#This Row],[UoM_Flow_Py]]</f>
        <v>Mg</v>
      </c>
      <c r="AF220" s="111">
        <f>INDEX(Tab_Def_Flows[[Flow_ID]:[CC_DM_source]],MATCH(Tab_Data_Flows[[#This Row],[Name(EN)]],Tab_Def_Flows[Name(EN)],0),18)</f>
        <v>1</v>
      </c>
      <c r="AG220" s="112">
        <f>IF(K220="Yes",AF220*Tab_Data_Flows[[#This Row],[Flow_Py]],"N.A.")</f>
        <v>378641.01726315788</v>
      </c>
      <c r="AH220" s="61" t="str">
        <f>Tab_Data_Flows[[#This Row],[UoM_Flow_Py]]</f>
        <v>Mg</v>
      </c>
      <c r="AI220" s="111">
        <f>INDEX(Tab_Def_Flows[[Flow_ID]:[CC_DM_source]],MATCH(Tab_Data_Flows[[#This Row],[Name(EN)]],Tab_Def_Flows[Name(EN)],0),20)</f>
        <v>1</v>
      </c>
      <c r="AJ220" s="109">
        <f>IF(L220="Yes",AI220*Tab_Data_Flows[[#This Row],[Flow_Py]]*Tab_Data_Flows[[#This Row],[DM_'[%']]],"N.A.")</f>
        <v>378641.01726315788</v>
      </c>
      <c r="AK220" s="61" t="str">
        <f>Tab_Data_Flows[[#This Row],[UoM_Flow_Py]]</f>
        <v>Mg</v>
      </c>
    </row>
    <row r="221" spans="1:37" ht="15.75" thickBot="1" x14ac:dyDescent="0.3">
      <c r="A221" s="60">
        <f t="shared" si="2"/>
        <v>220</v>
      </c>
      <c r="B221" s="49" t="str">
        <f>_xlfn.XLOOKUP(C221,Tab_Def_Flows[Name(EN)],Tab_Def_Flows[Flow_ID],,0,)</f>
        <v>F_19_13</v>
      </c>
      <c r="C221" s="51" t="s">
        <v>551</v>
      </c>
      <c r="D221" s="49">
        <f>_xlfn.XLOOKUP(C221,Tab_Def_Flows[Name(EN)],Tab_Def_Flows[Type_Biomass],,0,)</f>
        <v>0</v>
      </c>
      <c r="E221" s="49" t="str">
        <f>_xlfn.XLOOKUP(C221,Tab_Def_Flows[Name(EN)],Tab_Def_Flows[Output_Process],,0,)</f>
        <v>Atmosphere_Stock</v>
      </c>
      <c r="F221" s="49" t="str">
        <f>_xlfn.XLOOKUP(C221,Tab_Def_Flows[Name(EN)],Tab_Def_Flows[Process_ID_O],,0,)</f>
        <v>19_Atm_BB</v>
      </c>
      <c r="G221" s="49" t="str">
        <f>_xlfn.XLOOKUP(C221,Tab_Def_Flows[Name(EN)],Tab_Def_Flows[Input_Process],,0,)</f>
        <v>Rye_Cultivation</v>
      </c>
      <c r="H221" s="61" t="str">
        <f>_xlfn.XLOOKUP(C221,Tab_Def_Flows[Name(EN)],Tab_Def_Flows[Process_ID_I],,0,)</f>
        <v>13_Rye_BB</v>
      </c>
      <c r="I221" s="49">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2036</v>
      </c>
      <c r="N221" s="51"/>
      <c r="O221" s="119">
        <v>378355.09894736845</v>
      </c>
      <c r="P221" s="51" t="s">
        <v>389</v>
      </c>
      <c r="Q221" s="51"/>
      <c r="R221" s="51"/>
      <c r="S221" s="51"/>
      <c r="T221" s="51"/>
      <c r="U221" s="51"/>
      <c r="V221" s="51"/>
      <c r="W221" s="51"/>
      <c r="X221" s="51" t="s">
        <v>71</v>
      </c>
      <c r="Y221" s="106"/>
      <c r="Z221" s="51"/>
      <c r="AA221" s="86">
        <f t="shared" si="5"/>
        <v>378355.09894736845</v>
      </c>
      <c r="AB221" s="51" t="s">
        <v>63</v>
      </c>
      <c r="AC221" s="111">
        <f>INDEX(Tab_Def_Flows[[Flow_ID]:[CC_DM_source]],MATCH(Tab_Data_Flows[[#This Row],[Name(EN)]],Tab_Def_Flows[Name(EN)],0),16)</f>
        <v>0</v>
      </c>
      <c r="AD221" s="112">
        <f>IF(J221="Yes",AA221*Tab_Data_Flows[[#This Row],[WC_'[%']]],"N.A.")</f>
        <v>0</v>
      </c>
      <c r="AE221" s="61" t="str">
        <f>Tab_Data_Flows[[#This Row],[UoM_Flow_Py]]</f>
        <v>Mg</v>
      </c>
      <c r="AF221" s="111">
        <f>INDEX(Tab_Def_Flows[[Flow_ID]:[CC_DM_source]],MATCH(Tab_Data_Flows[[#This Row],[Name(EN)]],Tab_Def_Flows[Name(EN)],0),18)</f>
        <v>1</v>
      </c>
      <c r="AG221" s="112">
        <f>IF(K221="Yes",AF221*Tab_Data_Flows[[#This Row],[Flow_Py]],"N.A.")</f>
        <v>378355.09894736845</v>
      </c>
      <c r="AH221" s="61" t="str">
        <f>Tab_Data_Flows[[#This Row],[UoM_Flow_Py]]</f>
        <v>Mg</v>
      </c>
      <c r="AI221" s="111">
        <f>INDEX(Tab_Def_Flows[[Flow_ID]:[CC_DM_source]],MATCH(Tab_Data_Flows[[#This Row],[Name(EN)]],Tab_Def_Flows[Name(EN)],0),20)</f>
        <v>1</v>
      </c>
      <c r="AJ221" s="109">
        <f>IF(L221="Yes",AI221*Tab_Data_Flows[[#This Row],[Flow_Py]]*Tab_Data_Flows[[#This Row],[DM_'[%']]],"N.A.")</f>
        <v>378355.09894736845</v>
      </c>
      <c r="AK221" s="61" t="str">
        <f>Tab_Data_Flows[[#This Row],[UoM_Flow_Py]]</f>
        <v>Mg</v>
      </c>
    </row>
    <row r="222" spans="1:37" ht="15.75" thickBot="1" x14ac:dyDescent="0.3">
      <c r="A222" s="60">
        <f t="shared" si="2"/>
        <v>221</v>
      </c>
      <c r="B222" s="49" t="str">
        <f>_xlfn.XLOOKUP(C222,Tab_Def_Flows[Name(EN)],Tab_Def_Flows[Flow_ID],,0,)</f>
        <v>F_19_13</v>
      </c>
      <c r="C222" s="51" t="s">
        <v>551</v>
      </c>
      <c r="D222" s="49">
        <f>_xlfn.XLOOKUP(C222,Tab_Def_Flows[Name(EN)],Tab_Def_Flows[Type_Biomass],,0,)</f>
        <v>0</v>
      </c>
      <c r="E222" s="49" t="str">
        <f>_xlfn.XLOOKUP(C222,Tab_Def_Flows[Name(EN)],Tab_Def_Flows[Output_Process],,0,)</f>
        <v>Atmosphere_Stock</v>
      </c>
      <c r="F222" s="49" t="str">
        <f>_xlfn.XLOOKUP(C222,Tab_Def_Flows[Name(EN)],Tab_Def_Flows[Process_ID_O],,0,)</f>
        <v>19_Atm_BB</v>
      </c>
      <c r="G222" s="49" t="str">
        <f>_xlfn.XLOOKUP(C222,Tab_Def_Flows[Name(EN)],Tab_Def_Flows[Input_Process],,0,)</f>
        <v>Rye_Cultivation</v>
      </c>
      <c r="H222" s="61" t="str">
        <f>_xlfn.XLOOKUP(C222,Tab_Def_Flows[Name(EN)],Tab_Def_Flows[Process_ID_I],,0,)</f>
        <v>13_Rye_BB</v>
      </c>
      <c r="I222" s="49">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2037</v>
      </c>
      <c r="N222" s="51"/>
      <c r="O222" s="119">
        <v>465383.76757894736</v>
      </c>
      <c r="P222" s="51" t="s">
        <v>389</v>
      </c>
      <c r="Q222" s="51"/>
      <c r="R222" s="51"/>
      <c r="S222" s="51"/>
      <c r="T222" s="51"/>
      <c r="U222" s="51"/>
      <c r="V222" s="51"/>
      <c r="W222" s="51"/>
      <c r="X222" s="51" t="s">
        <v>71</v>
      </c>
      <c r="Y222" s="106"/>
      <c r="Z222" s="51"/>
      <c r="AA222" s="86">
        <f t="shared" si="5"/>
        <v>465383.76757894736</v>
      </c>
      <c r="AB222" s="51" t="s">
        <v>63</v>
      </c>
      <c r="AC222" s="111">
        <f>INDEX(Tab_Def_Flows[[Flow_ID]:[CC_DM_source]],MATCH(Tab_Data_Flows[[#This Row],[Name(EN)]],Tab_Def_Flows[Name(EN)],0),16)</f>
        <v>0</v>
      </c>
      <c r="AD222" s="112">
        <f>IF(J222="Yes",AA222*Tab_Data_Flows[[#This Row],[WC_'[%']]],"N.A.")</f>
        <v>0</v>
      </c>
      <c r="AE222" s="61" t="str">
        <f>Tab_Data_Flows[[#This Row],[UoM_Flow_Py]]</f>
        <v>Mg</v>
      </c>
      <c r="AF222" s="111">
        <f>INDEX(Tab_Def_Flows[[Flow_ID]:[CC_DM_source]],MATCH(Tab_Data_Flows[[#This Row],[Name(EN)]],Tab_Def_Flows[Name(EN)],0),18)</f>
        <v>1</v>
      </c>
      <c r="AG222" s="112">
        <f>IF(K222="Yes",AF222*Tab_Data_Flows[[#This Row],[Flow_Py]],"N.A.")</f>
        <v>465383.76757894736</v>
      </c>
      <c r="AH222" s="61" t="str">
        <f>Tab_Data_Flows[[#This Row],[UoM_Flow_Py]]</f>
        <v>Mg</v>
      </c>
      <c r="AI222" s="111">
        <f>INDEX(Tab_Def_Flows[[Flow_ID]:[CC_DM_source]],MATCH(Tab_Data_Flows[[#This Row],[Name(EN)]],Tab_Def_Flows[Name(EN)],0),20)</f>
        <v>1</v>
      </c>
      <c r="AJ222" s="109">
        <f>IF(L222="Yes",AI222*Tab_Data_Flows[[#This Row],[Flow_Py]]*Tab_Data_Flows[[#This Row],[DM_'[%']]],"N.A.")</f>
        <v>465383.76757894736</v>
      </c>
      <c r="AK222" s="61" t="str">
        <f>Tab_Data_Flows[[#This Row],[UoM_Flow_Py]]</f>
        <v>Mg</v>
      </c>
    </row>
    <row r="223" spans="1:37" ht="15.75" thickBot="1" x14ac:dyDescent="0.3">
      <c r="A223" s="60">
        <f t="shared" si="2"/>
        <v>222</v>
      </c>
      <c r="B223" s="49" t="str">
        <f>_xlfn.XLOOKUP(C223,Tab_Def_Flows[Name(EN)],Tab_Def_Flows[Flow_ID],,0,)</f>
        <v>F_19_13</v>
      </c>
      <c r="C223" s="51" t="s">
        <v>551</v>
      </c>
      <c r="D223" s="49">
        <f>_xlfn.XLOOKUP(C223,Tab_Def_Flows[Name(EN)],Tab_Def_Flows[Type_Biomass],,0,)</f>
        <v>0</v>
      </c>
      <c r="E223" s="49" t="str">
        <f>_xlfn.XLOOKUP(C223,Tab_Def_Flows[Name(EN)],Tab_Def_Flows[Output_Process],,0,)</f>
        <v>Atmosphere_Stock</v>
      </c>
      <c r="F223" s="49" t="str">
        <f>_xlfn.XLOOKUP(C223,Tab_Def_Flows[Name(EN)],Tab_Def_Flows[Process_ID_O],,0,)</f>
        <v>19_Atm_BB</v>
      </c>
      <c r="G223" s="49" t="str">
        <f>_xlfn.XLOOKUP(C223,Tab_Def_Flows[Name(EN)],Tab_Def_Flows[Input_Process],,0,)</f>
        <v>Rye_Cultivation</v>
      </c>
      <c r="H223" s="61" t="str">
        <f>_xlfn.XLOOKUP(C223,Tab_Def_Flows[Name(EN)],Tab_Def_Flows[Process_ID_I],,0,)</f>
        <v>13_Rye_BB</v>
      </c>
      <c r="I223" s="49">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2038</v>
      </c>
      <c r="N223" s="51"/>
      <c r="O223" s="119">
        <v>200349.65557894736</v>
      </c>
      <c r="P223" s="51" t="s">
        <v>389</v>
      </c>
      <c r="Q223" s="51"/>
      <c r="R223" s="51"/>
      <c r="S223" s="51"/>
      <c r="T223" s="51"/>
      <c r="U223" s="51"/>
      <c r="V223" s="51"/>
      <c r="W223" s="51"/>
      <c r="X223" s="51" t="s">
        <v>71</v>
      </c>
      <c r="Y223" s="106"/>
      <c r="Z223" s="51"/>
      <c r="AA223" s="86">
        <f t="shared" si="5"/>
        <v>200349.65557894736</v>
      </c>
      <c r="AB223" s="51" t="s">
        <v>63</v>
      </c>
      <c r="AC223" s="111">
        <f>INDEX(Tab_Def_Flows[[Flow_ID]:[CC_DM_source]],MATCH(Tab_Data_Flows[[#This Row],[Name(EN)]],Tab_Def_Flows[Name(EN)],0),16)</f>
        <v>0</v>
      </c>
      <c r="AD223" s="112">
        <f>IF(J223="Yes",AA223*Tab_Data_Flows[[#This Row],[WC_'[%']]],"N.A.")</f>
        <v>0</v>
      </c>
      <c r="AE223" s="61" t="str">
        <f>Tab_Data_Flows[[#This Row],[UoM_Flow_Py]]</f>
        <v>Mg</v>
      </c>
      <c r="AF223" s="111">
        <f>INDEX(Tab_Def_Flows[[Flow_ID]:[CC_DM_source]],MATCH(Tab_Data_Flows[[#This Row],[Name(EN)]],Tab_Def_Flows[Name(EN)],0),18)</f>
        <v>1</v>
      </c>
      <c r="AG223" s="112">
        <f>IF(K223="Yes",AF223*Tab_Data_Flows[[#This Row],[Flow_Py]],"N.A.")</f>
        <v>200349.65557894736</v>
      </c>
      <c r="AH223" s="61" t="str">
        <f>Tab_Data_Flows[[#This Row],[UoM_Flow_Py]]</f>
        <v>Mg</v>
      </c>
      <c r="AI223" s="111">
        <f>INDEX(Tab_Def_Flows[[Flow_ID]:[CC_DM_source]],MATCH(Tab_Data_Flows[[#This Row],[Name(EN)]],Tab_Def_Flows[Name(EN)],0),20)</f>
        <v>1</v>
      </c>
      <c r="AJ223" s="109">
        <f>IF(L223="Yes",AI223*Tab_Data_Flows[[#This Row],[Flow_Py]]*Tab_Data_Flows[[#This Row],[DM_'[%']]],"N.A.")</f>
        <v>200349.65557894736</v>
      </c>
      <c r="AK223" s="61" t="str">
        <f>Tab_Data_Flows[[#This Row],[UoM_Flow_Py]]</f>
        <v>Mg</v>
      </c>
    </row>
    <row r="224" spans="1:37" ht="15.75" thickBot="1" x14ac:dyDescent="0.3">
      <c r="A224" s="60">
        <f t="shared" si="2"/>
        <v>223</v>
      </c>
      <c r="B224" s="49" t="str">
        <f>_xlfn.XLOOKUP(C224,Tab_Def_Flows[Name(EN)],Tab_Def_Flows[Flow_ID],,0,)</f>
        <v>F_19_13</v>
      </c>
      <c r="C224" s="51" t="s">
        <v>551</v>
      </c>
      <c r="D224" s="49">
        <f>_xlfn.XLOOKUP(C224,Tab_Def_Flows[Name(EN)],Tab_Def_Flows[Type_Biomass],,0,)</f>
        <v>0</v>
      </c>
      <c r="E224" s="49" t="str">
        <f>_xlfn.XLOOKUP(C224,Tab_Def_Flows[Name(EN)],Tab_Def_Flows[Output_Process],,0,)</f>
        <v>Atmosphere_Stock</v>
      </c>
      <c r="F224" s="49" t="str">
        <f>_xlfn.XLOOKUP(C224,Tab_Def_Flows[Name(EN)],Tab_Def_Flows[Process_ID_O],,0,)</f>
        <v>19_Atm_BB</v>
      </c>
      <c r="G224" s="49" t="str">
        <f>_xlfn.XLOOKUP(C224,Tab_Def_Flows[Name(EN)],Tab_Def_Flows[Input_Process],,0,)</f>
        <v>Rye_Cultivation</v>
      </c>
      <c r="H224" s="61" t="str">
        <f>_xlfn.XLOOKUP(C224,Tab_Def_Flows[Name(EN)],Tab_Def_Flows[Process_ID_I],,0,)</f>
        <v>13_Rye_BB</v>
      </c>
      <c r="I224" s="49">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2039</v>
      </c>
      <c r="N224" s="51"/>
      <c r="O224" s="119">
        <v>223509.03915789476</v>
      </c>
      <c r="P224" s="51" t="s">
        <v>389</v>
      </c>
      <c r="Q224" s="51"/>
      <c r="R224" s="51"/>
      <c r="S224" s="51"/>
      <c r="T224" s="51"/>
      <c r="U224" s="51"/>
      <c r="V224" s="51"/>
      <c r="W224" s="51"/>
      <c r="X224" s="51" t="s">
        <v>71</v>
      </c>
      <c r="Y224" s="106"/>
      <c r="Z224" s="51"/>
      <c r="AA224" s="86">
        <f t="shared" si="5"/>
        <v>223509.03915789476</v>
      </c>
      <c r="AB224" s="51" t="s">
        <v>63</v>
      </c>
      <c r="AC224" s="111">
        <f>INDEX(Tab_Def_Flows[[Flow_ID]:[CC_DM_source]],MATCH(Tab_Data_Flows[[#This Row],[Name(EN)]],Tab_Def_Flows[Name(EN)],0),16)</f>
        <v>0</v>
      </c>
      <c r="AD224" s="112">
        <f>IF(J224="Yes",AA224*Tab_Data_Flows[[#This Row],[WC_'[%']]],"N.A.")</f>
        <v>0</v>
      </c>
      <c r="AE224" s="61" t="str">
        <f>Tab_Data_Flows[[#This Row],[UoM_Flow_Py]]</f>
        <v>Mg</v>
      </c>
      <c r="AF224" s="111">
        <f>INDEX(Tab_Def_Flows[[Flow_ID]:[CC_DM_source]],MATCH(Tab_Data_Flows[[#This Row],[Name(EN)]],Tab_Def_Flows[Name(EN)],0),18)</f>
        <v>1</v>
      </c>
      <c r="AG224" s="112">
        <f>IF(K224="Yes",AF224*Tab_Data_Flows[[#This Row],[Flow_Py]],"N.A.")</f>
        <v>223509.03915789476</v>
      </c>
      <c r="AH224" s="61" t="str">
        <f>Tab_Data_Flows[[#This Row],[UoM_Flow_Py]]</f>
        <v>Mg</v>
      </c>
      <c r="AI224" s="111">
        <f>INDEX(Tab_Def_Flows[[Flow_ID]:[CC_DM_source]],MATCH(Tab_Data_Flows[[#This Row],[Name(EN)]],Tab_Def_Flows[Name(EN)],0),20)</f>
        <v>1</v>
      </c>
      <c r="AJ224" s="109">
        <f>IF(L224="Yes",AI224*Tab_Data_Flows[[#This Row],[Flow_Py]]*Tab_Data_Flows[[#This Row],[DM_'[%']]],"N.A.")</f>
        <v>223509.03915789476</v>
      </c>
      <c r="AK224" s="61" t="str">
        <f>Tab_Data_Flows[[#This Row],[UoM_Flow_Py]]</f>
        <v>Mg</v>
      </c>
    </row>
    <row r="225" spans="1:37" ht="15.75" thickBot="1" x14ac:dyDescent="0.3">
      <c r="A225" s="60">
        <f t="shared" si="2"/>
        <v>224</v>
      </c>
      <c r="B225" s="49" t="str">
        <f>_xlfn.XLOOKUP(C225,Tab_Def_Flows[Name(EN)],Tab_Def_Flows[Flow_ID],,0,)</f>
        <v>F_19_13</v>
      </c>
      <c r="C225" s="51" t="s">
        <v>551</v>
      </c>
      <c r="D225" s="49">
        <f>_xlfn.XLOOKUP(C225,Tab_Def_Flows[Name(EN)],Tab_Def_Flows[Type_Biomass],,0,)</f>
        <v>0</v>
      </c>
      <c r="E225" s="49" t="str">
        <f>_xlfn.XLOOKUP(C225,Tab_Def_Flows[Name(EN)],Tab_Def_Flows[Output_Process],,0,)</f>
        <v>Atmosphere_Stock</v>
      </c>
      <c r="F225" s="49" t="str">
        <f>_xlfn.XLOOKUP(C225,Tab_Def_Flows[Name(EN)],Tab_Def_Flows[Process_ID_O],,0,)</f>
        <v>19_Atm_BB</v>
      </c>
      <c r="G225" s="49" t="str">
        <f>_xlfn.XLOOKUP(C225,Tab_Def_Flows[Name(EN)],Tab_Def_Flows[Input_Process],,0,)</f>
        <v>Rye_Cultivation</v>
      </c>
      <c r="H225" s="61" t="str">
        <f>_xlfn.XLOOKUP(C225,Tab_Def_Flows[Name(EN)],Tab_Def_Flows[Process_ID_I],,0,)</f>
        <v>13_Rye_BB</v>
      </c>
      <c r="I225" s="49">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2040</v>
      </c>
      <c r="N225" s="51"/>
      <c r="O225" s="119">
        <v>366486.44715789473</v>
      </c>
      <c r="P225" s="51" t="s">
        <v>389</v>
      </c>
      <c r="Q225" s="51"/>
      <c r="R225" s="51"/>
      <c r="S225" s="51"/>
      <c r="T225" s="51"/>
      <c r="U225" s="51"/>
      <c r="V225" s="51"/>
      <c r="W225" s="51"/>
      <c r="X225" s="51" t="s">
        <v>71</v>
      </c>
      <c r="Y225" s="106"/>
      <c r="Z225" s="51"/>
      <c r="AA225" s="86">
        <f t="shared" si="5"/>
        <v>366486.44715789473</v>
      </c>
      <c r="AB225" s="51" t="s">
        <v>63</v>
      </c>
      <c r="AC225" s="111">
        <f>INDEX(Tab_Def_Flows[[Flow_ID]:[CC_DM_source]],MATCH(Tab_Data_Flows[[#This Row],[Name(EN)]],Tab_Def_Flows[Name(EN)],0),16)</f>
        <v>0</v>
      </c>
      <c r="AD225" s="112">
        <f>IF(J225="Yes",AA225*Tab_Data_Flows[[#This Row],[WC_'[%']]],"N.A.")</f>
        <v>0</v>
      </c>
      <c r="AE225" s="61" t="str">
        <f>Tab_Data_Flows[[#This Row],[UoM_Flow_Py]]</f>
        <v>Mg</v>
      </c>
      <c r="AF225" s="111">
        <f>INDEX(Tab_Def_Flows[[Flow_ID]:[CC_DM_source]],MATCH(Tab_Data_Flows[[#This Row],[Name(EN)]],Tab_Def_Flows[Name(EN)],0),18)</f>
        <v>1</v>
      </c>
      <c r="AG225" s="112">
        <f>IF(K225="Yes",AF225*Tab_Data_Flows[[#This Row],[Flow_Py]],"N.A.")</f>
        <v>366486.44715789473</v>
      </c>
      <c r="AH225" s="61" t="str">
        <f>Tab_Data_Flows[[#This Row],[UoM_Flow_Py]]</f>
        <v>Mg</v>
      </c>
      <c r="AI225" s="111">
        <f>INDEX(Tab_Def_Flows[[Flow_ID]:[CC_DM_source]],MATCH(Tab_Data_Flows[[#This Row],[Name(EN)]],Tab_Def_Flows[Name(EN)],0),20)</f>
        <v>1</v>
      </c>
      <c r="AJ225" s="109">
        <f>IF(L225="Yes",AI225*Tab_Data_Flows[[#This Row],[Flow_Py]]*Tab_Data_Flows[[#This Row],[DM_'[%']]],"N.A.")</f>
        <v>366486.44715789473</v>
      </c>
      <c r="AK225" s="61" t="str">
        <f>Tab_Data_Flows[[#This Row],[UoM_Flow_Py]]</f>
        <v>Mg</v>
      </c>
    </row>
    <row r="226" spans="1:37" ht="15.75" thickBot="1" x14ac:dyDescent="0.3">
      <c r="A226" s="60">
        <f t="shared" si="2"/>
        <v>225</v>
      </c>
      <c r="B226" s="49" t="str">
        <f>_xlfn.XLOOKUP(C226,Tab_Def_Flows[Name(EN)],Tab_Def_Flows[Flow_ID],,0,)</f>
        <v>F_19_13</v>
      </c>
      <c r="C226" s="51" t="s">
        <v>551</v>
      </c>
      <c r="D226" s="49">
        <f>_xlfn.XLOOKUP(C226,Tab_Def_Flows[Name(EN)],Tab_Def_Flows[Type_Biomass],,0,)</f>
        <v>0</v>
      </c>
      <c r="E226" s="49" t="str">
        <f>_xlfn.XLOOKUP(C226,Tab_Def_Flows[Name(EN)],Tab_Def_Flows[Output_Process],,0,)</f>
        <v>Atmosphere_Stock</v>
      </c>
      <c r="F226" s="49" t="str">
        <f>_xlfn.XLOOKUP(C226,Tab_Def_Flows[Name(EN)],Tab_Def_Flows[Process_ID_O],,0,)</f>
        <v>19_Atm_BB</v>
      </c>
      <c r="G226" s="49" t="str">
        <f>_xlfn.XLOOKUP(C226,Tab_Def_Flows[Name(EN)],Tab_Def_Flows[Input_Process],,0,)</f>
        <v>Rye_Cultivation</v>
      </c>
      <c r="H226" s="61" t="str">
        <f>_xlfn.XLOOKUP(C226,Tab_Def_Flows[Name(EN)],Tab_Def_Flows[Process_ID_I],,0,)</f>
        <v>13_Rye_BB</v>
      </c>
      <c r="I226" s="49">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2041</v>
      </c>
      <c r="N226" s="51"/>
      <c r="O226" s="119">
        <v>311079.1275789474</v>
      </c>
      <c r="P226" s="51" t="s">
        <v>389</v>
      </c>
      <c r="Q226" s="51"/>
      <c r="R226" s="51"/>
      <c r="S226" s="51"/>
      <c r="T226" s="51"/>
      <c r="U226" s="51"/>
      <c r="V226" s="51"/>
      <c r="W226" s="51"/>
      <c r="X226" s="51" t="s">
        <v>71</v>
      </c>
      <c r="Y226" s="106"/>
      <c r="Z226" s="51"/>
      <c r="AA226" s="86">
        <f t="shared" si="5"/>
        <v>311079.1275789474</v>
      </c>
      <c r="AB226" s="51" t="s">
        <v>63</v>
      </c>
      <c r="AC226" s="111">
        <f>INDEX(Tab_Def_Flows[[Flow_ID]:[CC_DM_source]],MATCH(Tab_Data_Flows[[#This Row],[Name(EN)]],Tab_Def_Flows[Name(EN)],0),16)</f>
        <v>0</v>
      </c>
      <c r="AD226" s="112">
        <f>IF(J226="Yes",AA226*Tab_Data_Flows[[#This Row],[WC_'[%']]],"N.A.")</f>
        <v>0</v>
      </c>
      <c r="AE226" s="61" t="str">
        <f>Tab_Data_Flows[[#This Row],[UoM_Flow_Py]]</f>
        <v>Mg</v>
      </c>
      <c r="AF226" s="111">
        <f>INDEX(Tab_Def_Flows[[Flow_ID]:[CC_DM_source]],MATCH(Tab_Data_Flows[[#This Row],[Name(EN)]],Tab_Def_Flows[Name(EN)],0),18)</f>
        <v>1</v>
      </c>
      <c r="AG226" s="112">
        <f>IF(K226="Yes",AF226*Tab_Data_Flows[[#This Row],[Flow_Py]],"N.A.")</f>
        <v>311079.1275789474</v>
      </c>
      <c r="AH226" s="61" t="str">
        <f>Tab_Data_Flows[[#This Row],[UoM_Flow_Py]]</f>
        <v>Mg</v>
      </c>
      <c r="AI226" s="111">
        <f>INDEX(Tab_Def_Flows[[Flow_ID]:[CC_DM_source]],MATCH(Tab_Data_Flows[[#This Row],[Name(EN)]],Tab_Def_Flows[Name(EN)],0),20)</f>
        <v>1</v>
      </c>
      <c r="AJ226" s="109">
        <f>IF(L226="Yes",AI226*Tab_Data_Flows[[#This Row],[Flow_Py]]*Tab_Data_Flows[[#This Row],[DM_'[%']]],"N.A.")</f>
        <v>311079.1275789474</v>
      </c>
      <c r="AK226" s="61" t="str">
        <f>Tab_Data_Flows[[#This Row],[UoM_Flow_Py]]</f>
        <v>Mg</v>
      </c>
    </row>
    <row r="227" spans="1:37" ht="15.75" thickBot="1" x14ac:dyDescent="0.3">
      <c r="A227" s="60">
        <f t="shared" si="2"/>
        <v>226</v>
      </c>
      <c r="B227" s="49" t="str">
        <f>_xlfn.XLOOKUP(C227,Tab_Def_Flows[Name(EN)],Tab_Def_Flows[Flow_ID],,0,)</f>
        <v>F_19_13</v>
      </c>
      <c r="C227" s="51" t="s">
        <v>551</v>
      </c>
      <c r="D227" s="49">
        <f>_xlfn.XLOOKUP(C227,Tab_Def_Flows[Name(EN)],Tab_Def_Flows[Type_Biomass],,0,)</f>
        <v>0</v>
      </c>
      <c r="E227" s="49" t="str">
        <f>_xlfn.XLOOKUP(C227,Tab_Def_Flows[Name(EN)],Tab_Def_Flows[Output_Process],,0,)</f>
        <v>Atmosphere_Stock</v>
      </c>
      <c r="F227" s="49" t="str">
        <f>_xlfn.XLOOKUP(C227,Tab_Def_Flows[Name(EN)],Tab_Def_Flows[Process_ID_O],,0,)</f>
        <v>19_Atm_BB</v>
      </c>
      <c r="G227" s="49" t="str">
        <f>_xlfn.XLOOKUP(C227,Tab_Def_Flows[Name(EN)],Tab_Def_Flows[Input_Process],,0,)</f>
        <v>Rye_Cultivation</v>
      </c>
      <c r="H227" s="61" t="str">
        <f>_xlfn.XLOOKUP(C227,Tab_Def_Flows[Name(EN)],Tab_Def_Flows[Process_ID_I],,0,)</f>
        <v>13_Rye_BB</v>
      </c>
      <c r="I227" s="49">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2042</v>
      </c>
      <c r="N227" s="51"/>
      <c r="O227" s="119">
        <v>474271.56884210528</v>
      </c>
      <c r="P227" s="51" t="s">
        <v>389</v>
      </c>
      <c r="Q227" s="51"/>
      <c r="R227" s="51"/>
      <c r="S227" s="51"/>
      <c r="T227" s="51"/>
      <c r="U227" s="51"/>
      <c r="V227" s="51"/>
      <c r="W227" s="51"/>
      <c r="X227" s="51" t="s">
        <v>71</v>
      </c>
      <c r="Y227" s="106"/>
      <c r="Z227" s="51"/>
      <c r="AA227" s="86">
        <f t="shared" si="5"/>
        <v>474271.56884210528</v>
      </c>
      <c r="AB227" s="51" t="s">
        <v>63</v>
      </c>
      <c r="AC227" s="111">
        <f>INDEX(Tab_Def_Flows[[Flow_ID]:[CC_DM_source]],MATCH(Tab_Data_Flows[[#This Row],[Name(EN)]],Tab_Def_Flows[Name(EN)],0),16)</f>
        <v>0</v>
      </c>
      <c r="AD227" s="112">
        <f>IF(J227="Yes",AA227*Tab_Data_Flows[[#This Row],[WC_'[%']]],"N.A.")</f>
        <v>0</v>
      </c>
      <c r="AE227" s="61" t="str">
        <f>Tab_Data_Flows[[#This Row],[UoM_Flow_Py]]</f>
        <v>Mg</v>
      </c>
      <c r="AF227" s="111">
        <f>INDEX(Tab_Def_Flows[[Flow_ID]:[CC_DM_source]],MATCH(Tab_Data_Flows[[#This Row],[Name(EN)]],Tab_Def_Flows[Name(EN)],0),18)</f>
        <v>1</v>
      </c>
      <c r="AG227" s="112">
        <f>IF(K227="Yes",AF227*Tab_Data_Flows[[#This Row],[Flow_Py]],"N.A.")</f>
        <v>474271.56884210528</v>
      </c>
      <c r="AH227" s="61" t="str">
        <f>Tab_Data_Flows[[#This Row],[UoM_Flow_Py]]</f>
        <v>Mg</v>
      </c>
      <c r="AI227" s="111">
        <f>INDEX(Tab_Def_Flows[[Flow_ID]:[CC_DM_source]],MATCH(Tab_Data_Flows[[#This Row],[Name(EN)]],Tab_Def_Flows[Name(EN)],0),20)</f>
        <v>1</v>
      </c>
      <c r="AJ227" s="109">
        <f>IF(L227="Yes",AI227*Tab_Data_Flows[[#This Row],[Flow_Py]]*Tab_Data_Flows[[#This Row],[DM_'[%']]],"N.A.")</f>
        <v>474271.56884210528</v>
      </c>
      <c r="AK227" s="61" t="str">
        <f>Tab_Data_Flows[[#This Row],[UoM_Flow_Py]]</f>
        <v>Mg</v>
      </c>
    </row>
    <row r="228" spans="1:37" ht="15.75" thickBot="1" x14ac:dyDescent="0.3">
      <c r="A228" s="60">
        <f t="shared" si="2"/>
        <v>227</v>
      </c>
      <c r="B228" s="49" t="str">
        <f>_xlfn.XLOOKUP(C228,Tab_Def_Flows[Name(EN)],Tab_Def_Flows[Flow_ID],,0,)</f>
        <v>F_19_13</v>
      </c>
      <c r="C228" s="51" t="s">
        <v>551</v>
      </c>
      <c r="D228" s="49">
        <f>_xlfn.XLOOKUP(C228,Tab_Def_Flows[Name(EN)],Tab_Def_Flows[Type_Biomass],,0,)</f>
        <v>0</v>
      </c>
      <c r="E228" s="49" t="str">
        <f>_xlfn.XLOOKUP(C228,Tab_Def_Flows[Name(EN)],Tab_Def_Flows[Output_Process],,0,)</f>
        <v>Atmosphere_Stock</v>
      </c>
      <c r="F228" s="49" t="str">
        <f>_xlfn.XLOOKUP(C228,Tab_Def_Flows[Name(EN)],Tab_Def_Flows[Process_ID_O],,0,)</f>
        <v>19_Atm_BB</v>
      </c>
      <c r="G228" s="49" t="str">
        <f>_xlfn.XLOOKUP(C228,Tab_Def_Flows[Name(EN)],Tab_Def_Flows[Input_Process],,0,)</f>
        <v>Rye_Cultivation</v>
      </c>
      <c r="H228" s="61" t="str">
        <f>_xlfn.XLOOKUP(C228,Tab_Def_Flows[Name(EN)],Tab_Def_Flows[Process_ID_I],,0,)</f>
        <v>13_Rye_BB</v>
      </c>
      <c r="I228" s="49">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2043</v>
      </c>
      <c r="N228" s="51"/>
      <c r="O228" s="119">
        <v>323969.78526315786</v>
      </c>
      <c r="P228" s="51" t="s">
        <v>389</v>
      </c>
      <c r="Q228" s="51"/>
      <c r="R228" s="51"/>
      <c r="S228" s="51"/>
      <c r="T228" s="51"/>
      <c r="U228" s="51"/>
      <c r="V228" s="51"/>
      <c r="W228" s="51"/>
      <c r="X228" s="51" t="s">
        <v>71</v>
      </c>
      <c r="Y228" s="106"/>
      <c r="Z228" s="51"/>
      <c r="AA228" s="86">
        <f t="shared" si="5"/>
        <v>323969.78526315786</v>
      </c>
      <c r="AB228" s="51" t="s">
        <v>63</v>
      </c>
      <c r="AC228" s="111">
        <f>INDEX(Tab_Def_Flows[[Flow_ID]:[CC_DM_source]],MATCH(Tab_Data_Flows[[#This Row],[Name(EN)]],Tab_Def_Flows[Name(EN)],0),16)</f>
        <v>0</v>
      </c>
      <c r="AD228" s="112">
        <f>IF(J228="Yes",AA228*Tab_Data_Flows[[#This Row],[WC_'[%']]],"N.A.")</f>
        <v>0</v>
      </c>
      <c r="AE228" s="61" t="str">
        <f>Tab_Data_Flows[[#This Row],[UoM_Flow_Py]]</f>
        <v>Mg</v>
      </c>
      <c r="AF228" s="111">
        <f>INDEX(Tab_Def_Flows[[Flow_ID]:[CC_DM_source]],MATCH(Tab_Data_Flows[[#This Row],[Name(EN)]],Tab_Def_Flows[Name(EN)],0),18)</f>
        <v>1</v>
      </c>
      <c r="AG228" s="112">
        <f>IF(K228="Yes",AF228*Tab_Data_Flows[[#This Row],[Flow_Py]],"N.A.")</f>
        <v>323969.78526315786</v>
      </c>
      <c r="AH228" s="61" t="str">
        <f>Tab_Data_Flows[[#This Row],[UoM_Flow_Py]]</f>
        <v>Mg</v>
      </c>
      <c r="AI228" s="111">
        <f>INDEX(Tab_Def_Flows[[Flow_ID]:[CC_DM_source]],MATCH(Tab_Data_Flows[[#This Row],[Name(EN)]],Tab_Def_Flows[Name(EN)],0),20)</f>
        <v>1</v>
      </c>
      <c r="AJ228" s="109">
        <f>IF(L228="Yes",AI228*Tab_Data_Flows[[#This Row],[Flow_Py]]*Tab_Data_Flows[[#This Row],[DM_'[%']]],"N.A.")</f>
        <v>323969.78526315786</v>
      </c>
      <c r="AK228" s="61" t="str">
        <f>Tab_Data_Flows[[#This Row],[UoM_Flow_Py]]</f>
        <v>Mg</v>
      </c>
    </row>
    <row r="229" spans="1:37" ht="15.75" thickBot="1" x14ac:dyDescent="0.3">
      <c r="A229" s="60">
        <f t="shared" si="2"/>
        <v>228</v>
      </c>
      <c r="B229" s="49" t="str">
        <f>_xlfn.XLOOKUP(C229,Tab_Def_Flows[Name(EN)],Tab_Def_Flows[Flow_ID],,0,)</f>
        <v>F_19_13</v>
      </c>
      <c r="C229" s="51" t="s">
        <v>551</v>
      </c>
      <c r="D229" s="49">
        <f>_xlfn.XLOOKUP(C229,Tab_Def_Flows[Name(EN)],Tab_Def_Flows[Type_Biomass],,0,)</f>
        <v>0</v>
      </c>
      <c r="E229" s="49" t="str">
        <f>_xlfn.XLOOKUP(C229,Tab_Def_Flows[Name(EN)],Tab_Def_Flows[Output_Process],,0,)</f>
        <v>Atmosphere_Stock</v>
      </c>
      <c r="F229" s="49" t="str">
        <f>_xlfn.XLOOKUP(C229,Tab_Def_Flows[Name(EN)],Tab_Def_Flows[Process_ID_O],,0,)</f>
        <v>19_Atm_BB</v>
      </c>
      <c r="G229" s="49" t="str">
        <f>_xlfn.XLOOKUP(C229,Tab_Def_Flows[Name(EN)],Tab_Def_Flows[Input_Process],,0,)</f>
        <v>Rye_Cultivation</v>
      </c>
      <c r="H229" s="61" t="str">
        <f>_xlfn.XLOOKUP(C229,Tab_Def_Flows[Name(EN)],Tab_Def_Flows[Process_ID_I],,0,)</f>
        <v>13_Rye_BB</v>
      </c>
      <c r="I229" s="49">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2044</v>
      </c>
      <c r="N229" s="51"/>
      <c r="O229" s="119">
        <v>261955.92757894736</v>
      </c>
      <c r="P229" s="51" t="s">
        <v>389</v>
      </c>
      <c r="Q229" s="51"/>
      <c r="R229" s="51"/>
      <c r="S229" s="51"/>
      <c r="T229" s="51"/>
      <c r="U229" s="51"/>
      <c r="V229" s="51"/>
      <c r="W229" s="51"/>
      <c r="X229" s="51" t="s">
        <v>71</v>
      </c>
      <c r="Y229" s="106"/>
      <c r="Z229" s="51"/>
      <c r="AA229" s="86">
        <f t="shared" si="5"/>
        <v>261955.92757894736</v>
      </c>
      <c r="AB229" s="51" t="s">
        <v>63</v>
      </c>
      <c r="AC229" s="111">
        <f>INDEX(Tab_Def_Flows[[Flow_ID]:[CC_DM_source]],MATCH(Tab_Data_Flows[[#This Row],[Name(EN)]],Tab_Def_Flows[Name(EN)],0),16)</f>
        <v>0</v>
      </c>
      <c r="AD229" s="112">
        <f>IF(J229="Yes",AA229*Tab_Data_Flows[[#This Row],[WC_'[%']]],"N.A.")</f>
        <v>0</v>
      </c>
      <c r="AE229" s="61" t="str">
        <f>Tab_Data_Flows[[#This Row],[UoM_Flow_Py]]</f>
        <v>Mg</v>
      </c>
      <c r="AF229" s="111">
        <f>INDEX(Tab_Def_Flows[[Flow_ID]:[CC_DM_source]],MATCH(Tab_Data_Flows[[#This Row],[Name(EN)]],Tab_Def_Flows[Name(EN)],0),18)</f>
        <v>1</v>
      </c>
      <c r="AG229" s="112">
        <f>IF(K229="Yes",AF229*Tab_Data_Flows[[#This Row],[Flow_Py]],"N.A.")</f>
        <v>261955.92757894736</v>
      </c>
      <c r="AH229" s="61" t="str">
        <f>Tab_Data_Flows[[#This Row],[UoM_Flow_Py]]</f>
        <v>Mg</v>
      </c>
      <c r="AI229" s="111">
        <f>INDEX(Tab_Def_Flows[[Flow_ID]:[CC_DM_source]],MATCH(Tab_Data_Flows[[#This Row],[Name(EN)]],Tab_Def_Flows[Name(EN)],0),20)</f>
        <v>1</v>
      </c>
      <c r="AJ229" s="109">
        <f>IF(L229="Yes",AI229*Tab_Data_Flows[[#This Row],[Flow_Py]]*Tab_Data_Flows[[#This Row],[DM_'[%']]],"N.A.")</f>
        <v>261955.92757894736</v>
      </c>
      <c r="AK229" s="61" t="str">
        <f>Tab_Data_Flows[[#This Row],[UoM_Flow_Py]]</f>
        <v>Mg</v>
      </c>
    </row>
    <row r="230" spans="1:37" ht="15.75" thickBot="1" x14ac:dyDescent="0.3">
      <c r="A230" s="60">
        <f t="shared" si="2"/>
        <v>229</v>
      </c>
      <c r="B230" s="49" t="str">
        <f>_xlfn.XLOOKUP(C230,Tab_Def_Flows[Name(EN)],Tab_Def_Flows[Flow_ID],,0,)</f>
        <v>F_19_13</v>
      </c>
      <c r="C230" s="51" t="s">
        <v>551</v>
      </c>
      <c r="D230" s="49">
        <f>_xlfn.XLOOKUP(C230,Tab_Def_Flows[Name(EN)],Tab_Def_Flows[Type_Biomass],,0,)</f>
        <v>0</v>
      </c>
      <c r="E230" s="49" t="str">
        <f>_xlfn.XLOOKUP(C230,Tab_Def_Flows[Name(EN)],Tab_Def_Flows[Output_Process],,0,)</f>
        <v>Atmosphere_Stock</v>
      </c>
      <c r="F230" s="49" t="str">
        <f>_xlfn.XLOOKUP(C230,Tab_Def_Flows[Name(EN)],Tab_Def_Flows[Process_ID_O],,0,)</f>
        <v>19_Atm_BB</v>
      </c>
      <c r="G230" s="49" t="str">
        <f>_xlfn.XLOOKUP(C230,Tab_Def_Flows[Name(EN)],Tab_Def_Flows[Input_Process],,0,)</f>
        <v>Rye_Cultivation</v>
      </c>
      <c r="H230" s="61" t="str">
        <f>_xlfn.XLOOKUP(C230,Tab_Def_Flows[Name(EN)],Tab_Def_Flows[Process_ID_I],,0,)</f>
        <v>13_Rye_BB</v>
      </c>
      <c r="I230" s="49">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2045</v>
      </c>
      <c r="N230" s="51"/>
      <c r="O230" s="119">
        <v>615868.05221052631</v>
      </c>
      <c r="P230" s="51" t="s">
        <v>389</v>
      </c>
      <c r="Q230" s="51"/>
      <c r="R230" s="51"/>
      <c r="S230" s="51"/>
      <c r="T230" s="51"/>
      <c r="U230" s="51"/>
      <c r="V230" s="51"/>
      <c r="W230" s="51"/>
      <c r="X230" s="51" t="s">
        <v>71</v>
      </c>
      <c r="Y230" s="106"/>
      <c r="Z230" s="51"/>
      <c r="AA230" s="86">
        <f t="shared" si="5"/>
        <v>615868.05221052631</v>
      </c>
      <c r="AB230" s="51" t="s">
        <v>63</v>
      </c>
      <c r="AC230" s="111">
        <f>INDEX(Tab_Def_Flows[[Flow_ID]:[CC_DM_source]],MATCH(Tab_Data_Flows[[#This Row],[Name(EN)]],Tab_Def_Flows[Name(EN)],0),16)</f>
        <v>0</v>
      </c>
      <c r="AD230" s="112">
        <f>IF(J230="Yes",AA230*Tab_Data_Flows[[#This Row],[WC_'[%']]],"N.A.")</f>
        <v>0</v>
      </c>
      <c r="AE230" s="61" t="str">
        <f>Tab_Data_Flows[[#This Row],[UoM_Flow_Py]]</f>
        <v>Mg</v>
      </c>
      <c r="AF230" s="111">
        <f>INDEX(Tab_Def_Flows[[Flow_ID]:[CC_DM_source]],MATCH(Tab_Data_Flows[[#This Row],[Name(EN)]],Tab_Def_Flows[Name(EN)],0),18)</f>
        <v>1</v>
      </c>
      <c r="AG230" s="112">
        <f>IF(K230="Yes",AF230*Tab_Data_Flows[[#This Row],[Flow_Py]],"N.A.")</f>
        <v>615868.05221052631</v>
      </c>
      <c r="AH230" s="61" t="str">
        <f>Tab_Data_Flows[[#This Row],[UoM_Flow_Py]]</f>
        <v>Mg</v>
      </c>
      <c r="AI230" s="111">
        <f>INDEX(Tab_Def_Flows[[Flow_ID]:[CC_DM_source]],MATCH(Tab_Data_Flows[[#This Row],[Name(EN)]],Tab_Def_Flows[Name(EN)],0),20)</f>
        <v>1</v>
      </c>
      <c r="AJ230" s="109">
        <f>IF(L230="Yes",AI230*Tab_Data_Flows[[#This Row],[Flow_Py]]*Tab_Data_Flows[[#This Row],[DM_'[%']]],"N.A.")</f>
        <v>615868.05221052631</v>
      </c>
      <c r="AK230" s="61" t="str">
        <f>Tab_Data_Flows[[#This Row],[UoM_Flow_Py]]</f>
        <v>Mg</v>
      </c>
    </row>
    <row r="231" spans="1:37" ht="15.75" thickBot="1" x14ac:dyDescent="0.3">
      <c r="A231" s="60">
        <f t="shared" si="2"/>
        <v>230</v>
      </c>
      <c r="B231" s="49" t="str">
        <f>_xlfn.XLOOKUP(C231,Tab_Def_Flows[Name(EN)],Tab_Def_Flows[Flow_ID],,0,)</f>
        <v>F_19_13</v>
      </c>
      <c r="C231" s="51" t="s">
        <v>551</v>
      </c>
      <c r="D231" s="49">
        <f>_xlfn.XLOOKUP(C231,Tab_Def_Flows[Name(EN)],Tab_Def_Flows[Type_Biomass],,0,)</f>
        <v>0</v>
      </c>
      <c r="E231" s="49" t="str">
        <f>_xlfn.XLOOKUP(C231,Tab_Def_Flows[Name(EN)],Tab_Def_Flows[Output_Process],,0,)</f>
        <v>Atmosphere_Stock</v>
      </c>
      <c r="F231" s="49" t="str">
        <f>_xlfn.XLOOKUP(C231,Tab_Def_Flows[Name(EN)],Tab_Def_Flows[Process_ID_O],,0,)</f>
        <v>19_Atm_BB</v>
      </c>
      <c r="G231" s="49" t="str">
        <f>_xlfn.XLOOKUP(C231,Tab_Def_Flows[Name(EN)],Tab_Def_Flows[Input_Process],,0,)</f>
        <v>Rye_Cultivation</v>
      </c>
      <c r="H231" s="61" t="str">
        <f>_xlfn.XLOOKUP(C231,Tab_Def_Flows[Name(EN)],Tab_Def_Flows[Process_ID_I],,0,)</f>
        <v>13_Rye_BB</v>
      </c>
      <c r="I231" s="49">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2046</v>
      </c>
      <c r="N231" s="51"/>
      <c r="O231" s="119">
        <v>407865.51915789477</v>
      </c>
      <c r="P231" s="51" t="s">
        <v>389</v>
      </c>
      <c r="Q231" s="51"/>
      <c r="R231" s="51"/>
      <c r="S231" s="51"/>
      <c r="T231" s="51"/>
      <c r="U231" s="51"/>
      <c r="V231" s="51"/>
      <c r="W231" s="51"/>
      <c r="X231" s="51" t="s">
        <v>71</v>
      </c>
      <c r="Y231" s="106"/>
      <c r="Z231" s="51"/>
      <c r="AA231" s="86">
        <f t="shared" si="5"/>
        <v>407865.51915789477</v>
      </c>
      <c r="AB231" s="51" t="s">
        <v>63</v>
      </c>
      <c r="AC231" s="111">
        <f>INDEX(Tab_Def_Flows[[Flow_ID]:[CC_DM_source]],MATCH(Tab_Data_Flows[[#This Row],[Name(EN)]],Tab_Def_Flows[Name(EN)],0),16)</f>
        <v>0</v>
      </c>
      <c r="AD231" s="112">
        <f>IF(J231="Yes",AA231*Tab_Data_Flows[[#This Row],[WC_'[%']]],"N.A.")</f>
        <v>0</v>
      </c>
      <c r="AE231" s="61" t="str">
        <f>Tab_Data_Flows[[#This Row],[UoM_Flow_Py]]</f>
        <v>Mg</v>
      </c>
      <c r="AF231" s="111">
        <f>INDEX(Tab_Def_Flows[[Flow_ID]:[CC_DM_source]],MATCH(Tab_Data_Flows[[#This Row],[Name(EN)]],Tab_Def_Flows[Name(EN)],0),18)</f>
        <v>1</v>
      </c>
      <c r="AG231" s="112">
        <f>IF(K231="Yes",AF231*Tab_Data_Flows[[#This Row],[Flow_Py]],"N.A.")</f>
        <v>407865.51915789477</v>
      </c>
      <c r="AH231" s="61" t="str">
        <f>Tab_Data_Flows[[#This Row],[UoM_Flow_Py]]</f>
        <v>Mg</v>
      </c>
      <c r="AI231" s="111">
        <f>INDEX(Tab_Def_Flows[[Flow_ID]:[CC_DM_source]],MATCH(Tab_Data_Flows[[#This Row],[Name(EN)]],Tab_Def_Flows[Name(EN)],0),20)</f>
        <v>1</v>
      </c>
      <c r="AJ231" s="109">
        <f>IF(L231="Yes",AI231*Tab_Data_Flows[[#This Row],[Flow_Py]]*Tab_Data_Flows[[#This Row],[DM_'[%']]],"N.A.")</f>
        <v>407865.51915789477</v>
      </c>
      <c r="AK231" s="61" t="str">
        <f>Tab_Data_Flows[[#This Row],[UoM_Flow_Py]]</f>
        <v>Mg</v>
      </c>
    </row>
    <row r="232" spans="1:37" ht="15.75" thickBot="1" x14ac:dyDescent="0.3">
      <c r="A232" s="60">
        <f t="shared" ref="A232:A289" si="6">ROW()-1</f>
        <v>231</v>
      </c>
      <c r="B232" s="49" t="str">
        <f>_xlfn.XLOOKUP(C232,Tab_Def_Flows[Name(EN)],Tab_Def_Flows[Flow_ID],,0,)</f>
        <v>F_19_13</v>
      </c>
      <c r="C232" s="51" t="s">
        <v>551</v>
      </c>
      <c r="D232" s="49">
        <f>_xlfn.XLOOKUP(C232,Tab_Def_Flows[Name(EN)],Tab_Def_Flows[Type_Biomass],,0,)</f>
        <v>0</v>
      </c>
      <c r="E232" s="49" t="str">
        <f>_xlfn.XLOOKUP(C232,Tab_Def_Flows[Name(EN)],Tab_Def_Flows[Output_Process],,0,)</f>
        <v>Atmosphere_Stock</v>
      </c>
      <c r="F232" s="49" t="str">
        <f>_xlfn.XLOOKUP(C232,Tab_Def_Flows[Name(EN)],Tab_Def_Flows[Process_ID_O],,0,)</f>
        <v>19_Atm_BB</v>
      </c>
      <c r="G232" s="49" t="str">
        <f>_xlfn.XLOOKUP(C232,Tab_Def_Flows[Name(EN)],Tab_Def_Flows[Input_Process],,0,)</f>
        <v>Rye_Cultivation</v>
      </c>
      <c r="H232" s="61" t="str">
        <f>_xlfn.XLOOKUP(C232,Tab_Def_Flows[Name(EN)],Tab_Def_Flows[Process_ID_I],,0,)</f>
        <v>13_Rye_BB</v>
      </c>
      <c r="I232" s="49">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2047</v>
      </c>
      <c r="N232" s="51"/>
      <c r="O232" s="119">
        <v>443933.81052631576</v>
      </c>
      <c r="P232" s="51" t="s">
        <v>389</v>
      </c>
      <c r="Q232" s="51"/>
      <c r="R232" s="51"/>
      <c r="S232" s="51"/>
      <c r="T232" s="51"/>
      <c r="U232" s="51"/>
      <c r="V232" s="51"/>
      <c r="W232" s="51"/>
      <c r="X232" s="51" t="s">
        <v>71</v>
      </c>
      <c r="Y232" s="106"/>
      <c r="Z232" s="51"/>
      <c r="AA232" s="86">
        <f t="shared" ref="AA232:AA250" si="7">IF(X232="no",O232,O232*Y232)</f>
        <v>443933.81052631576</v>
      </c>
      <c r="AB232" s="51" t="s">
        <v>63</v>
      </c>
      <c r="AC232" s="111">
        <f>INDEX(Tab_Def_Flows[[Flow_ID]:[CC_DM_source]],MATCH(Tab_Data_Flows[[#This Row],[Name(EN)]],Tab_Def_Flows[Name(EN)],0),16)</f>
        <v>0</v>
      </c>
      <c r="AD232" s="112">
        <f>IF(J232="Yes",AA232*Tab_Data_Flows[[#This Row],[WC_'[%']]],"N.A.")</f>
        <v>0</v>
      </c>
      <c r="AE232" s="61" t="str">
        <f>Tab_Data_Flows[[#This Row],[UoM_Flow_Py]]</f>
        <v>Mg</v>
      </c>
      <c r="AF232" s="111">
        <f>INDEX(Tab_Def_Flows[[Flow_ID]:[CC_DM_source]],MATCH(Tab_Data_Flows[[#This Row],[Name(EN)]],Tab_Def_Flows[Name(EN)],0),18)</f>
        <v>1</v>
      </c>
      <c r="AG232" s="112">
        <f>IF(K232="Yes",AF232*Tab_Data_Flows[[#This Row],[Flow_Py]],"N.A.")</f>
        <v>443933.81052631576</v>
      </c>
      <c r="AH232" s="61" t="str">
        <f>Tab_Data_Flows[[#This Row],[UoM_Flow_Py]]</f>
        <v>Mg</v>
      </c>
      <c r="AI232" s="111">
        <f>INDEX(Tab_Def_Flows[[Flow_ID]:[CC_DM_source]],MATCH(Tab_Data_Flows[[#This Row],[Name(EN)]],Tab_Def_Flows[Name(EN)],0),20)</f>
        <v>1</v>
      </c>
      <c r="AJ232" s="109">
        <f>IF(L232="Yes",AI232*Tab_Data_Flows[[#This Row],[Flow_Py]]*Tab_Data_Flows[[#This Row],[DM_'[%']]],"N.A.")</f>
        <v>443933.81052631576</v>
      </c>
      <c r="AK232" s="61" t="str">
        <f>Tab_Data_Flows[[#This Row],[UoM_Flow_Py]]</f>
        <v>Mg</v>
      </c>
    </row>
    <row r="233" spans="1:37" ht="15.75" thickBot="1" x14ac:dyDescent="0.3">
      <c r="A233" s="60">
        <f t="shared" si="6"/>
        <v>232</v>
      </c>
      <c r="B233" s="49" t="str">
        <f>_xlfn.XLOOKUP(C233,Tab_Def_Flows[Name(EN)],Tab_Def_Flows[Flow_ID],,0,)</f>
        <v>F_19_13</v>
      </c>
      <c r="C233" s="51" t="s">
        <v>551</v>
      </c>
      <c r="D233" s="49">
        <f>_xlfn.XLOOKUP(C233,Tab_Def_Flows[Name(EN)],Tab_Def_Flows[Type_Biomass],,0,)</f>
        <v>0</v>
      </c>
      <c r="E233" s="49" t="str">
        <f>_xlfn.XLOOKUP(C233,Tab_Def_Flows[Name(EN)],Tab_Def_Flows[Output_Process],,0,)</f>
        <v>Atmosphere_Stock</v>
      </c>
      <c r="F233" s="49" t="str">
        <f>_xlfn.XLOOKUP(C233,Tab_Def_Flows[Name(EN)],Tab_Def_Flows[Process_ID_O],,0,)</f>
        <v>19_Atm_BB</v>
      </c>
      <c r="G233" s="49" t="str">
        <f>_xlfn.XLOOKUP(C233,Tab_Def_Flows[Name(EN)],Tab_Def_Flows[Input_Process],,0,)</f>
        <v>Rye_Cultivation</v>
      </c>
      <c r="H233" s="61" t="str">
        <f>_xlfn.XLOOKUP(C233,Tab_Def_Flows[Name(EN)],Tab_Def_Flows[Process_ID_I],,0,)</f>
        <v>13_Rye_BB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2048</v>
      </c>
      <c r="N233" s="51"/>
      <c r="O233" s="119">
        <v>260422.91873684211</v>
      </c>
      <c r="P233" s="51" t="s">
        <v>389</v>
      </c>
      <c r="Q233" s="51"/>
      <c r="R233" s="51"/>
      <c r="S233" s="51"/>
      <c r="T233" s="51"/>
      <c r="U233" s="51"/>
      <c r="V233" s="51"/>
      <c r="W233" s="51"/>
      <c r="X233" s="51" t="s">
        <v>71</v>
      </c>
      <c r="Y233" s="106"/>
      <c r="Z233" s="51"/>
      <c r="AA233" s="86">
        <f t="shared" si="7"/>
        <v>260422.91873684211</v>
      </c>
      <c r="AB233" s="51" t="s">
        <v>63</v>
      </c>
      <c r="AC233" s="111">
        <f>INDEX(Tab_Def_Flows[[Flow_ID]:[CC_DM_source]],MATCH(Tab_Data_Flows[[#This Row],[Name(EN)]],Tab_Def_Flows[Name(EN)],0),16)</f>
        <v>0</v>
      </c>
      <c r="AD233" s="112">
        <f>IF(J233="Yes",AA233*Tab_Data_Flows[[#This Row],[WC_'[%']]],"N.A.")</f>
        <v>0</v>
      </c>
      <c r="AE233" s="61" t="str">
        <f>Tab_Data_Flows[[#This Row],[UoM_Flow_Py]]</f>
        <v>Mg</v>
      </c>
      <c r="AF233" s="111">
        <f>INDEX(Tab_Def_Flows[[Flow_ID]:[CC_DM_source]],MATCH(Tab_Data_Flows[[#This Row],[Name(EN)]],Tab_Def_Flows[Name(EN)],0),18)</f>
        <v>1</v>
      </c>
      <c r="AG233" s="112">
        <f>IF(K233="Yes",AF233*Tab_Data_Flows[[#This Row],[Flow_Py]],"N.A.")</f>
        <v>260422.91873684211</v>
      </c>
      <c r="AH233" s="61" t="str">
        <f>Tab_Data_Flows[[#This Row],[UoM_Flow_Py]]</f>
        <v>Mg</v>
      </c>
      <c r="AI233" s="111">
        <f>INDEX(Tab_Def_Flows[[Flow_ID]:[CC_DM_source]],MATCH(Tab_Data_Flows[[#This Row],[Name(EN)]],Tab_Def_Flows[Name(EN)],0),20)</f>
        <v>1</v>
      </c>
      <c r="AJ233" s="109">
        <f>IF(L233="Yes",AI233*Tab_Data_Flows[[#This Row],[Flow_Py]]*Tab_Data_Flows[[#This Row],[DM_'[%']]],"N.A.")</f>
        <v>260422.91873684211</v>
      </c>
      <c r="AK233" s="61" t="str">
        <f>Tab_Data_Flows[[#This Row],[UoM_Flow_Py]]</f>
        <v>Mg</v>
      </c>
    </row>
    <row r="234" spans="1:37" ht="15.75" thickBot="1" x14ac:dyDescent="0.3">
      <c r="A234" s="60">
        <f t="shared" si="6"/>
        <v>233</v>
      </c>
      <c r="B234" s="49" t="str">
        <f>_xlfn.XLOOKUP(C234,Tab_Def_Flows[Name(EN)],Tab_Def_Flows[Flow_ID],,0,)</f>
        <v>F_19_13</v>
      </c>
      <c r="C234" s="51" t="s">
        <v>551</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2049</v>
      </c>
      <c r="N234" s="51"/>
      <c r="O234" s="119">
        <v>368682.54315789475</v>
      </c>
      <c r="P234" s="51" t="s">
        <v>389</v>
      </c>
      <c r="Q234" s="51"/>
      <c r="R234" s="51"/>
      <c r="S234" s="51"/>
      <c r="T234" s="51"/>
      <c r="U234" s="51"/>
      <c r="V234" s="51"/>
      <c r="W234" s="51"/>
      <c r="X234" s="51" t="s">
        <v>71</v>
      </c>
      <c r="Y234" s="106"/>
      <c r="Z234" s="51"/>
      <c r="AA234" s="86">
        <f t="shared" si="7"/>
        <v>368682.54315789475</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368682.54315789475</v>
      </c>
      <c r="AH234" s="61" t="str">
        <f>Tab_Data_Flows[[#This Row],[UoM_Flow_Py]]</f>
        <v>Mg</v>
      </c>
      <c r="AI234" s="111">
        <f>INDEX(Tab_Def_Flows[[Flow_ID]:[CC_DM_source]],MATCH(Tab_Data_Flows[[#This Row],[Name(EN)]],Tab_Def_Flows[Name(EN)],0),20)</f>
        <v>1</v>
      </c>
      <c r="AJ234" s="109">
        <f>IF(L234="Yes",AI234*Tab_Data_Flows[[#This Row],[Flow_Py]]*Tab_Data_Flows[[#This Row],[DM_'[%']]],"N.A.")</f>
        <v>368682.54315789475</v>
      </c>
      <c r="AK234" s="61" t="str">
        <f>Tab_Data_Flows[[#This Row],[UoM_Flow_Py]]</f>
        <v>Mg</v>
      </c>
    </row>
    <row r="235" spans="1:37" ht="15.75" thickBot="1" x14ac:dyDescent="0.3">
      <c r="A235" s="60">
        <f t="shared" si="6"/>
        <v>234</v>
      </c>
      <c r="B235" s="49" t="str">
        <f>_xlfn.XLOOKUP(C235,Tab_Def_Flows[Name(EN)],Tab_Def_Flows[Flow_ID],,0,)</f>
        <v>F_19_13</v>
      </c>
      <c r="C235" s="51" t="s">
        <v>551</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2050</v>
      </c>
      <c r="N235" s="51"/>
      <c r="O235" s="119">
        <v>449268.92463157896</v>
      </c>
      <c r="P235" s="51" t="s">
        <v>389</v>
      </c>
      <c r="Q235" s="51"/>
      <c r="R235" s="51"/>
      <c r="S235" s="51"/>
      <c r="T235" s="51"/>
      <c r="U235" s="51"/>
      <c r="V235" s="51"/>
      <c r="W235" s="51"/>
      <c r="X235" s="51" t="s">
        <v>71</v>
      </c>
      <c r="Y235" s="106"/>
      <c r="Z235" s="51"/>
      <c r="AA235" s="86">
        <f t="shared" si="7"/>
        <v>449268.92463157896</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449268.92463157896</v>
      </c>
      <c r="AH235" s="61" t="str">
        <f>Tab_Data_Flows[[#This Row],[UoM_Flow_Py]]</f>
        <v>Mg</v>
      </c>
      <c r="AI235" s="111">
        <f>INDEX(Tab_Def_Flows[[Flow_ID]:[CC_DM_source]],MATCH(Tab_Data_Flows[[#This Row],[Name(EN)]],Tab_Def_Flows[Name(EN)],0),20)</f>
        <v>1</v>
      </c>
      <c r="AJ235" s="109">
        <f>IF(L235="Yes",AI235*Tab_Data_Flows[[#This Row],[Flow_Py]]*Tab_Data_Flows[[#This Row],[DM_'[%']]],"N.A.")</f>
        <v>449268.92463157896</v>
      </c>
      <c r="AK235" s="61" t="str">
        <f>Tab_Data_Flows[[#This Row],[UoM_Flow_Py]]</f>
        <v>Mg</v>
      </c>
    </row>
    <row r="236" spans="1:37" ht="15.75" thickBot="1" x14ac:dyDescent="0.3">
      <c r="A236" s="60">
        <f t="shared" si="6"/>
        <v>235</v>
      </c>
      <c r="B236" s="49" t="str">
        <f>_xlfn.XLOOKUP(C236,Tab_Def_Flows[Name(EN)],Tab_Def_Flows[Flow_ID],,0,)</f>
        <v>F_19_04</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Cow-Manure_Production</v>
      </c>
      <c r="H236" s="61" t="str">
        <f>_xlfn.XLOOKUP(C236,Tab_Def_Flows[Name(EN)],Tab_Def_Flows[Process_ID_I],,0,)</f>
        <v>04_Cow_BB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2025</v>
      </c>
      <c r="N236" s="51"/>
      <c r="O236" s="119">
        <v>1349.8221927912255</v>
      </c>
      <c r="P236" s="51" t="s">
        <v>389</v>
      </c>
      <c r="Q236" s="51"/>
      <c r="R236" s="51"/>
      <c r="S236" s="69"/>
      <c r="T236" s="51"/>
      <c r="U236" s="51"/>
      <c r="V236" s="51"/>
      <c r="W236" s="51"/>
      <c r="X236" s="51" t="s">
        <v>71</v>
      </c>
      <c r="Y236" s="106"/>
      <c r="Z236" s="51"/>
      <c r="AA236" s="86">
        <f t="shared" si="7"/>
        <v>1349.8221927912255</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1349.8221927912255</v>
      </c>
      <c r="AH236" s="61" t="str">
        <f>Tab_Data_Flows[[#This Row],[UoM_Flow_Py]]</f>
        <v>Mg</v>
      </c>
      <c r="AI236" s="111">
        <f>INDEX(Tab_Def_Flows[[Flow_ID]:[CC_DM_source]],MATCH(Tab_Data_Flows[[#This Row],[Name(EN)]],Tab_Def_Flows[Name(EN)],0),20)</f>
        <v>1</v>
      </c>
      <c r="AJ236" s="109">
        <f>IF(L236="Yes",AI236*Tab_Data_Flows[[#This Row],[Flow_Py]]*Tab_Data_Flows[[#This Row],[DM_'[%']]],"N.A.")</f>
        <v>1349.8221927912255</v>
      </c>
      <c r="AK236" s="61" t="str">
        <f>Tab_Data_Flows[[#This Row],[UoM_Flow_Py]]</f>
        <v>Mg</v>
      </c>
    </row>
    <row r="237" spans="1:37" ht="15.75" thickBot="1" x14ac:dyDescent="0.3">
      <c r="A237" s="60">
        <f t="shared" si="6"/>
        <v>236</v>
      </c>
      <c r="B237" s="49" t="str">
        <f>_xlfn.XLOOKUP(C237,Tab_Def_Flows[Name(EN)],Tab_Def_Flows[Flow_ID],,0,)</f>
        <v>F_19_04</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Cow-Manure_Production</v>
      </c>
      <c r="H237" s="61" t="str">
        <f>_xlfn.XLOOKUP(C237,Tab_Def_Flows[Name(EN)],Tab_Def_Flows[Process_ID_I],,0,)</f>
        <v>04_Cow_BB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2026</v>
      </c>
      <c r="N237" s="51"/>
      <c r="O237" s="119">
        <v>1137.6224932570103</v>
      </c>
      <c r="P237" s="51" t="s">
        <v>389</v>
      </c>
      <c r="Q237" s="51"/>
      <c r="R237" s="51"/>
      <c r="S237" s="69"/>
      <c r="T237" s="51"/>
      <c r="U237" s="51"/>
      <c r="V237" s="51"/>
      <c r="W237" s="51"/>
      <c r="X237" s="51" t="s">
        <v>71</v>
      </c>
      <c r="Y237" s="106"/>
      <c r="Z237" s="51"/>
      <c r="AA237" s="86">
        <f t="shared" si="7"/>
        <v>1137.6224932570103</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1137.6224932570103</v>
      </c>
      <c r="AH237" s="61" t="str">
        <f>Tab_Data_Flows[[#This Row],[UoM_Flow_Py]]</f>
        <v>Mg</v>
      </c>
      <c r="AI237" s="111">
        <f>INDEX(Tab_Def_Flows[[Flow_ID]:[CC_DM_source]],MATCH(Tab_Data_Flows[[#This Row],[Name(EN)]],Tab_Def_Flows[Name(EN)],0),20)</f>
        <v>1</v>
      </c>
      <c r="AJ237" s="109">
        <f>IF(L237="Yes",AI237*Tab_Data_Flows[[#This Row],[Flow_Py]]*Tab_Data_Flows[[#This Row],[DM_'[%']]],"N.A.")</f>
        <v>1137.6224932570103</v>
      </c>
      <c r="AK237" s="61" t="str">
        <f>Tab_Data_Flows[[#This Row],[UoM_Flow_Py]]</f>
        <v>Mg</v>
      </c>
    </row>
    <row r="238" spans="1:37" ht="15.75" thickBot="1" x14ac:dyDescent="0.3">
      <c r="A238" s="60">
        <f t="shared" si="6"/>
        <v>237</v>
      </c>
      <c r="B238" s="49" t="str">
        <f>_xlfn.XLOOKUP(C238,Tab_Def_Flows[Name(EN)],Tab_Def_Flows[Flow_ID],,0,)</f>
        <v>F_19_04</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Cow-Manure_Production</v>
      </c>
      <c r="H238" s="61" t="str">
        <f>_xlfn.XLOOKUP(C238,Tab_Def_Flows[Name(EN)],Tab_Def_Flows[Process_ID_I],,0,)</f>
        <v>04_Cow_BB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2027</v>
      </c>
      <c r="N238" s="51"/>
      <c r="O238" s="119">
        <v>1400.2766554726229</v>
      </c>
      <c r="P238" s="51" t="s">
        <v>389</v>
      </c>
      <c r="Q238" s="51"/>
      <c r="R238" s="51"/>
      <c r="S238" s="69"/>
      <c r="T238" s="51"/>
      <c r="U238" s="51"/>
      <c r="V238" s="51"/>
      <c r="W238" s="51"/>
      <c r="X238" s="51" t="s">
        <v>71</v>
      </c>
      <c r="Y238" s="106"/>
      <c r="Z238" s="51"/>
      <c r="AA238" s="86">
        <f t="shared" si="7"/>
        <v>1400.2766554726229</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1400.2766554726229</v>
      </c>
      <c r="AH238" s="61" t="str">
        <f>Tab_Data_Flows[[#This Row],[UoM_Flow_Py]]</f>
        <v>Mg</v>
      </c>
      <c r="AI238" s="111">
        <f>INDEX(Tab_Def_Flows[[Flow_ID]:[CC_DM_source]],MATCH(Tab_Data_Flows[[#This Row],[Name(EN)]],Tab_Def_Flows[Name(EN)],0),20)</f>
        <v>1</v>
      </c>
      <c r="AJ238" s="109">
        <f>IF(L238="Yes",AI238*Tab_Data_Flows[[#This Row],[Flow_Py]]*Tab_Data_Flows[[#This Row],[DM_'[%']]],"N.A.")</f>
        <v>1400.2766554726229</v>
      </c>
      <c r="AK238" s="61" t="str">
        <f>Tab_Data_Flows[[#This Row],[UoM_Flow_Py]]</f>
        <v>Mg</v>
      </c>
    </row>
    <row r="239" spans="1:37" ht="15.75" thickBot="1" x14ac:dyDescent="0.3">
      <c r="A239" s="60">
        <f t="shared" si="6"/>
        <v>238</v>
      </c>
      <c r="B239" s="49" t="str">
        <f>_xlfn.XLOOKUP(C239,Tab_Def_Flows[Name(EN)],Tab_Def_Flows[Flow_ID],,0,)</f>
        <v>F_19_04</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Cow-Manure_Production</v>
      </c>
      <c r="H239" s="61" t="str">
        <f>_xlfn.XLOOKUP(C239,Tab_Def_Flows[Name(EN)],Tab_Def_Flows[Process_ID_I],,0,)</f>
        <v>04_Cow_BB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2028</v>
      </c>
      <c r="N239" s="51"/>
      <c r="O239" s="119">
        <v>1692.8034304226021</v>
      </c>
      <c r="P239" s="51" t="s">
        <v>389</v>
      </c>
      <c r="Q239" s="51"/>
      <c r="R239" s="51"/>
      <c r="S239" s="69"/>
      <c r="T239" s="51"/>
      <c r="U239" s="51"/>
      <c r="V239" s="51"/>
      <c r="W239" s="51"/>
      <c r="X239" s="51" t="s">
        <v>71</v>
      </c>
      <c r="Y239" s="106"/>
      <c r="Z239" s="51"/>
      <c r="AA239" s="86">
        <f t="shared" si="7"/>
        <v>1692.8034304226021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1692.8034304226021</v>
      </c>
      <c r="AH239" s="61" t="str">
        <f>Tab_Data_Flows[[#This Row],[UoM_Flow_Py]]</f>
        <v>Mg</v>
      </c>
      <c r="AI239" s="111">
        <f>INDEX(Tab_Def_Flows[[Flow_ID]:[CC_DM_source]],MATCH(Tab_Data_Flows[[#This Row],[Name(EN)]],Tab_Def_Flows[Name(EN)],0),20)</f>
        <v>1</v>
      </c>
      <c r="AJ239" s="109">
        <f>IF(L239="Yes",AI239*Tab_Data_Flows[[#This Row],[Flow_Py]]*Tab_Data_Flows[[#This Row],[DM_'[%']]],"N.A.")</f>
        <v>1692.8034304226021</v>
      </c>
      <c r="AK239" s="61" t="str">
        <f>Tab_Data_Flows[[#This Row],[UoM_Flow_Py]]</f>
        <v>Mg</v>
      </c>
    </row>
    <row r="240" spans="1:37" ht="15.75" thickBot="1" x14ac:dyDescent="0.3">
      <c r="A240" s="60">
        <f t="shared" si="6"/>
        <v>239</v>
      </c>
      <c r="B240" s="49" t="str">
        <f>_xlfn.XLOOKUP(C240,Tab_Def_Flows[Name(EN)],Tab_Def_Flows[Flow_ID],,0,)</f>
        <v>F_19_04</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Cow-Manure_Production</v>
      </c>
      <c r="H240" s="61" t="str">
        <f>_xlfn.XLOOKUP(C240,Tab_Def_Flows[Name(EN)],Tab_Def_Flows[Process_ID_I],,0,)</f>
        <v>04_Cow_BB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2029</v>
      </c>
      <c r="N240" s="51"/>
      <c r="O240" s="119">
        <v>1105.5842400864503</v>
      </c>
      <c r="P240" s="51" t="s">
        <v>389</v>
      </c>
      <c r="Q240" s="51"/>
      <c r="R240" s="51"/>
      <c r="S240" s="69"/>
      <c r="T240" s="51"/>
      <c r="U240" s="51"/>
      <c r="V240" s="51"/>
      <c r="W240" s="51"/>
      <c r="X240" s="51" t="s">
        <v>71</v>
      </c>
      <c r="Y240" s="106"/>
      <c r="Z240" s="51"/>
      <c r="AA240" s="86">
        <f t="shared" si="7"/>
        <v>1105.5842400864503</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1105.5842400864503</v>
      </c>
      <c r="AH240" s="61" t="str">
        <f>Tab_Data_Flows[[#This Row],[UoM_Flow_Py]]</f>
        <v>Mg</v>
      </c>
      <c r="AI240" s="111">
        <f>INDEX(Tab_Def_Flows[[Flow_ID]:[CC_DM_source]],MATCH(Tab_Data_Flows[[#This Row],[Name(EN)]],Tab_Def_Flows[Name(EN)],0),20)</f>
        <v>1</v>
      </c>
      <c r="AJ240" s="109">
        <f>IF(L240="Yes",AI240*Tab_Data_Flows[[#This Row],[Flow_Py]]*Tab_Data_Flows[[#This Row],[DM_'[%']]],"N.A.")</f>
        <v>1105.5842400864503</v>
      </c>
      <c r="AK240" s="61" t="str">
        <f>Tab_Data_Flows[[#This Row],[UoM_Flow_Py]]</f>
        <v>Mg</v>
      </c>
    </row>
    <row r="241" spans="1:37" ht="15.75" thickBot="1" x14ac:dyDescent="0.3">
      <c r="A241" s="60">
        <f t="shared" si="6"/>
        <v>240</v>
      </c>
      <c r="B241" s="49" t="str">
        <f>_xlfn.XLOOKUP(C241,Tab_Def_Flows[Name(EN)],Tab_Def_Flows[Flow_ID],,0,)</f>
        <v>F_19_04</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Cow-Manure_Production</v>
      </c>
      <c r="H241" s="61" t="str">
        <f>_xlfn.XLOOKUP(C241,Tab_Def_Flows[Name(EN)],Tab_Def_Flows[Process_ID_I],,0,)</f>
        <v>04_Cow_BB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2030</v>
      </c>
      <c r="N241" s="51"/>
      <c r="O241" s="119">
        <v>1105.5842400864503</v>
      </c>
      <c r="P241" s="51" t="s">
        <v>389</v>
      </c>
      <c r="Q241" s="51"/>
      <c r="R241" s="51"/>
      <c r="S241" s="69"/>
      <c r="T241" s="51"/>
      <c r="U241" s="51"/>
      <c r="V241" s="51"/>
      <c r="W241" s="51"/>
      <c r="X241" s="51" t="s">
        <v>71</v>
      </c>
      <c r="Y241" s="106"/>
      <c r="Z241" s="51"/>
      <c r="AA241" s="86">
        <f t="shared" si="7"/>
        <v>1105.5842400864503</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1105.5842400864503</v>
      </c>
      <c r="AH241" s="61" t="str">
        <f>Tab_Data_Flows[[#This Row],[UoM_Flow_Py]]</f>
        <v>Mg</v>
      </c>
      <c r="AI241" s="111">
        <f>INDEX(Tab_Def_Flows[[Flow_ID]:[CC_DM_source]],MATCH(Tab_Data_Flows[[#This Row],[Name(EN)]],Tab_Def_Flows[Name(EN)],0),20)</f>
        <v>1</v>
      </c>
      <c r="AJ241" s="109">
        <f>IF(L241="Yes",AI241*Tab_Data_Flows[[#This Row],[Flow_Py]]*Tab_Data_Flows[[#This Row],[DM_'[%']]],"N.A.")</f>
        <v>1105.5842400864503</v>
      </c>
      <c r="AK241" s="61" t="str">
        <f>Tab_Data_Flows[[#This Row],[UoM_Flow_Py]]</f>
        <v>Mg</v>
      </c>
    </row>
    <row r="242" spans="1:37" ht="15.75" thickBot="1" x14ac:dyDescent="0.3">
      <c r="A242" s="60">
        <f t="shared" si="6"/>
        <v>241</v>
      </c>
      <c r="B242" s="49" t="str">
        <f>_xlfn.XLOOKUP(C242,Tab_Def_Flows[Name(EN)],Tab_Def_Flows[Flow_ID],,0,)</f>
        <v>F_19_04</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Cow-Manure_Production</v>
      </c>
      <c r="H242" s="61" t="str">
        <f>_xlfn.XLOOKUP(C242,Tab_Def_Flows[Name(EN)],Tab_Def_Flows[Process_ID_I],,0,)</f>
        <v>04_Cow_BB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2031</v>
      </c>
      <c r="N242" s="51"/>
      <c r="O242" s="119">
        <v>1711.5668036674861</v>
      </c>
      <c r="P242" s="51" t="s">
        <v>389</v>
      </c>
      <c r="Q242" s="51"/>
      <c r="R242" s="51"/>
      <c r="S242" s="69"/>
      <c r="T242" s="51"/>
      <c r="U242" s="51"/>
      <c r="V242" s="51"/>
      <c r="W242" s="51"/>
      <c r="X242" s="51" t="s">
        <v>71</v>
      </c>
      <c r="Y242" s="106"/>
      <c r="Z242" s="51"/>
      <c r="AA242" s="86">
        <f t="shared" si="7"/>
        <v>1711.5668036674861</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1711.5668036674861</v>
      </c>
      <c r="AH242" s="61" t="str">
        <f>Tab_Data_Flows[[#This Row],[UoM_Flow_Py]]</f>
        <v>Mg</v>
      </c>
      <c r="AI242" s="111">
        <f>INDEX(Tab_Def_Flows[[Flow_ID]:[CC_DM_source]],MATCH(Tab_Data_Flows[[#This Row],[Name(EN)]],Tab_Def_Flows[Name(EN)],0),20)</f>
        <v>1</v>
      </c>
      <c r="AJ242" s="109">
        <f>IF(L242="Yes",AI242*Tab_Data_Flows[[#This Row],[Flow_Py]]*Tab_Data_Flows[[#This Row],[DM_'[%']]],"N.A.")</f>
        <v>1711.5668036674861</v>
      </c>
      <c r="AK242" s="61" t="str">
        <f>Tab_Data_Flows[[#This Row],[UoM_Flow_Py]]</f>
        <v>Mg</v>
      </c>
    </row>
    <row r="243" spans="1:37" ht="15.75" thickBot="1" x14ac:dyDescent="0.3">
      <c r="A243" s="60">
        <f t="shared" si="6"/>
        <v>242</v>
      </c>
      <c r="B243" s="49" t="str">
        <f>_xlfn.XLOOKUP(C243,Tab_Def_Flows[Name(EN)],Tab_Def_Flows[Flow_ID],,0,)</f>
        <v>F_19_04</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Cow-Manure_Production</v>
      </c>
      <c r="H243" s="61" t="str">
        <f>_xlfn.XLOOKUP(C243,Tab_Def_Flows[Name(EN)],Tab_Def_Flows[Process_ID_I],,0,)</f>
        <v>04_Cow_BB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2032</v>
      </c>
      <c r="N243" s="51"/>
      <c r="O243" s="119">
        <v>1440.2831429198654</v>
      </c>
      <c r="P243" s="51" t="s">
        <v>389</v>
      </c>
      <c r="Q243" s="51"/>
      <c r="R243" s="51"/>
      <c r="S243" s="69"/>
      <c r="T243" s="51"/>
      <c r="U243" s="51"/>
      <c r="V243" s="51"/>
      <c r="W243" s="51"/>
      <c r="X243" s="51" t="s">
        <v>71</v>
      </c>
      <c r="Y243" s="106"/>
      <c r="Z243" s="51"/>
      <c r="AA243" s="86">
        <f t="shared" si="7"/>
        <v>1440.2831429198654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1440.2831429198654</v>
      </c>
      <c r="AH243" s="61" t="str">
        <f>Tab_Data_Flows[[#This Row],[UoM_Flow_Py]]</f>
        <v>Mg</v>
      </c>
      <c r="AI243" s="111">
        <f>INDEX(Tab_Def_Flows[[Flow_ID]:[CC_DM_source]],MATCH(Tab_Data_Flows[[#This Row],[Name(EN)]],Tab_Def_Flows[Name(EN)],0),20)</f>
        <v>1</v>
      </c>
      <c r="AJ243" s="109">
        <f>IF(L243="Yes",AI243*Tab_Data_Flows[[#This Row],[Flow_Py]]*Tab_Data_Flows[[#This Row],[DM_'[%']]],"N.A.")</f>
        <v>1440.2831429198654</v>
      </c>
      <c r="AK243" s="61" t="str">
        <f>Tab_Data_Flows[[#This Row],[UoM_Flow_Py]]</f>
        <v>Mg</v>
      </c>
    </row>
    <row r="244" spans="1:37" ht="15.75" thickBot="1" x14ac:dyDescent="0.3">
      <c r="A244" s="60">
        <f t="shared" si="6"/>
        <v>243</v>
      </c>
      <c r="B244" s="49" t="str">
        <f>_xlfn.XLOOKUP(C244,Tab_Def_Flows[Name(EN)],Tab_Def_Flows[Flow_ID],,0,)</f>
        <v>F_19_04</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Cow-Manure_Production</v>
      </c>
      <c r="H244" s="61" t="str">
        <f>_xlfn.XLOOKUP(C244,Tab_Def_Flows[Name(EN)],Tab_Def_Flows[Process_ID_I],,0,)</f>
        <v>04_Cow_BB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2033</v>
      </c>
      <c r="N244" s="51"/>
      <c r="O244" s="119">
        <v>1026.9433885217684</v>
      </c>
      <c r="P244" s="51" t="s">
        <v>389</v>
      </c>
      <c r="Q244" s="51"/>
      <c r="R244" s="51"/>
      <c r="S244" s="69"/>
      <c r="T244" s="51"/>
      <c r="U244" s="51"/>
      <c r="V244" s="51"/>
      <c r="W244" s="51"/>
      <c r="X244" s="51" t="s">
        <v>71</v>
      </c>
      <c r="Y244" s="106"/>
      <c r="Z244" s="51"/>
      <c r="AA244" s="86">
        <f t="shared" si="7"/>
        <v>1026.9433885217684</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1026.9433885217684</v>
      </c>
      <c r="AH244" s="61" t="str">
        <f>Tab_Data_Flows[[#This Row],[UoM_Flow_Py]]</f>
        <v>Mg</v>
      </c>
      <c r="AI244" s="111">
        <f>INDEX(Tab_Def_Flows[[Flow_ID]:[CC_DM_source]],MATCH(Tab_Data_Flows[[#This Row],[Name(EN)]],Tab_Def_Flows[Name(EN)],0),20)</f>
        <v>1</v>
      </c>
      <c r="AJ244" s="109">
        <f>IF(L244="Yes",AI244*Tab_Data_Flows[[#This Row],[Flow_Py]]*Tab_Data_Flows[[#This Row],[DM_'[%']]],"N.A.")</f>
        <v>1026.9433885217684</v>
      </c>
      <c r="AK244" s="61" t="str">
        <f>Tab_Data_Flows[[#This Row],[UoM_Flow_Py]]</f>
        <v>Mg</v>
      </c>
    </row>
    <row r="245" spans="1:37" ht="15.75" thickBot="1" x14ac:dyDescent="0.3">
      <c r="A245" s="60">
        <f t="shared" si="6"/>
        <v>244</v>
      </c>
      <c r="B245" s="49" t="str">
        <f>_xlfn.XLOOKUP(C245,Tab_Def_Flows[Name(EN)],Tab_Def_Flows[Flow_ID],,0,)</f>
        <v>F_19_04</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Cow-Manure_Production</v>
      </c>
      <c r="H245" s="61" t="str">
        <f>_xlfn.XLOOKUP(C245,Tab_Def_Flows[Name(EN)],Tab_Def_Flows[Process_ID_I],,0,)</f>
        <v>04_Cow_BB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2034</v>
      </c>
      <c r="N245" s="51"/>
      <c r="O245" s="119">
        <v>1365.1469919084127</v>
      </c>
      <c r="P245" s="51" t="s">
        <v>389</v>
      </c>
      <c r="Q245" s="51"/>
      <c r="R245" s="51"/>
      <c r="S245" s="69"/>
      <c r="T245" s="51"/>
      <c r="U245" s="51"/>
      <c r="V245" s="51"/>
      <c r="W245" s="51"/>
      <c r="X245" s="51" t="s">
        <v>71</v>
      </c>
      <c r="Y245" s="106"/>
      <c r="Z245" s="51"/>
      <c r="AA245" s="86">
        <f t="shared" si="7"/>
        <v>1365.1469919084127</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1365.1469919084127</v>
      </c>
      <c r="AH245" s="61" t="str">
        <f>Tab_Data_Flows[[#This Row],[UoM_Flow_Py]]</f>
        <v>Mg</v>
      </c>
      <c r="AI245" s="111">
        <f>INDEX(Tab_Def_Flows[[Flow_ID]:[CC_DM_source]],MATCH(Tab_Data_Flows[[#This Row],[Name(EN)]],Tab_Def_Flows[Name(EN)],0),20)</f>
        <v>1</v>
      </c>
      <c r="AJ245" s="109">
        <f>IF(L245="Yes",AI245*Tab_Data_Flows[[#This Row],[Flow_Py]]*Tab_Data_Flows[[#This Row],[DM_'[%']]],"N.A.")</f>
        <v>1365.1469919084127</v>
      </c>
      <c r="AK245" s="61" t="str">
        <f>Tab_Data_Flows[[#This Row],[UoM_Flow_Py]]</f>
        <v>Mg</v>
      </c>
    </row>
    <row r="246" spans="1:37" ht="15.75" thickBot="1" x14ac:dyDescent="0.3">
      <c r="A246" s="60">
        <f t="shared" si="6"/>
        <v>245</v>
      </c>
      <c r="B246" s="49" t="str">
        <f>_xlfn.XLOOKUP(C246,Tab_Def_Flows[Name(EN)],Tab_Def_Flows[Flow_ID],,0,)</f>
        <v>F_19_04</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Cow-Manure_Production</v>
      </c>
      <c r="H246" s="61" t="str">
        <f>_xlfn.XLOOKUP(C246,Tab_Def_Flows[Name(EN)],Tab_Def_Flows[Process_ID_I],,0,)</f>
        <v>04_Cow_BB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2035</v>
      </c>
      <c r="N246" s="51"/>
      <c r="O246" s="119">
        <v>1028.9602445005135</v>
      </c>
      <c r="P246" s="51" t="s">
        <v>389</v>
      </c>
      <c r="Q246" s="51"/>
      <c r="R246" s="51"/>
      <c r="S246" s="69"/>
      <c r="T246" s="51"/>
      <c r="U246" s="51"/>
      <c r="V246" s="51"/>
      <c r="W246" s="51"/>
      <c r="X246" s="51" t="s">
        <v>71</v>
      </c>
      <c r="Y246" s="106"/>
      <c r="Z246" s="51"/>
      <c r="AA246" s="86">
        <f t="shared" si="7"/>
        <v>1028.9602445005135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1028.9602445005135</v>
      </c>
      <c r="AH246" s="61" t="str">
        <f>Tab_Data_Flows[[#This Row],[UoM_Flow_Py]]</f>
        <v>Mg</v>
      </c>
      <c r="AI246" s="111">
        <f>INDEX(Tab_Def_Flows[[Flow_ID]:[CC_DM_source]],MATCH(Tab_Data_Flows[[#This Row],[Name(EN)]],Tab_Def_Flows[Name(EN)],0),20)</f>
        <v>1</v>
      </c>
      <c r="AJ246" s="109">
        <f>IF(L246="Yes",AI246*Tab_Data_Flows[[#This Row],[Flow_Py]]*Tab_Data_Flows[[#This Row],[DM_'[%']]],"N.A.")</f>
        <v>1028.9602445005135</v>
      </c>
      <c r="AK246" s="61" t="str">
        <f>Tab_Data_Flows[[#This Row],[UoM_Flow_Py]]</f>
        <v>Mg</v>
      </c>
    </row>
    <row r="247" spans="1:37" ht="15.75" thickBot="1" x14ac:dyDescent="0.3">
      <c r="A247" s="60">
        <f t="shared" si="6"/>
        <v>246</v>
      </c>
      <c r="B247" s="49" t="str">
        <f>_xlfn.XLOOKUP(C247,Tab_Def_Flows[Name(EN)],Tab_Def_Flows[Flow_ID],,0,)</f>
        <v>F_19_04</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Cow-Manure_Production</v>
      </c>
      <c r="H247" s="61" t="str">
        <f>_xlfn.XLOOKUP(C247,Tab_Def_Flows[Name(EN)],Tab_Def_Flows[Process_ID_I],,0,)</f>
        <v>04_Cow_BB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2036</v>
      </c>
      <c r="N247" s="51"/>
      <c r="O247" s="119">
        <v>1028.1832590005051</v>
      </c>
      <c r="P247" s="51" t="s">
        <v>389</v>
      </c>
      <c r="Q247" s="51"/>
      <c r="R247" s="51"/>
      <c r="S247" s="69"/>
      <c r="T247" s="51"/>
      <c r="U247" s="51"/>
      <c r="V247" s="51"/>
      <c r="W247" s="51"/>
      <c r="X247" s="51" t="s">
        <v>71</v>
      </c>
      <c r="Y247" s="106"/>
      <c r="Z247" s="51"/>
      <c r="AA247" s="86">
        <f t="shared" si="7"/>
        <v>1028.1832590005051</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1028.1832590005051</v>
      </c>
      <c r="AH247" s="61" t="str">
        <f>Tab_Data_Flows[[#This Row],[UoM_Flow_Py]]</f>
        <v>Mg</v>
      </c>
      <c r="AI247" s="111">
        <f>INDEX(Tab_Def_Flows[[Flow_ID]:[CC_DM_source]],MATCH(Tab_Data_Flows[[#This Row],[Name(EN)]],Tab_Def_Flows[Name(EN)],0),20)</f>
        <v>1</v>
      </c>
      <c r="AJ247" s="109">
        <f>IF(L247="Yes",AI247*Tab_Data_Flows[[#This Row],[Flow_Py]]*Tab_Data_Flows[[#This Row],[DM_'[%']]],"N.A.")</f>
        <v>1028.1832590005051</v>
      </c>
      <c r="AK247" s="61" t="str">
        <f>Tab_Data_Flows[[#This Row],[UoM_Flow_Py]]</f>
        <v>Mg</v>
      </c>
    </row>
    <row r="248" spans="1:37" ht="15.75" thickBot="1" x14ac:dyDescent="0.3">
      <c r="A248" s="60">
        <f t="shared" si="6"/>
        <v>247</v>
      </c>
      <c r="B248" s="49" t="str">
        <f>_xlfn.XLOOKUP(C248,Tab_Def_Flows[Name(EN)],Tab_Def_Flows[Flow_ID],,0,)</f>
        <v>F_19_04</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Cow-Manure_Production</v>
      </c>
      <c r="H248" s="61" t="str">
        <f>_xlfn.XLOOKUP(C248,Tab_Def_Flows[Name(EN)],Tab_Def_Flows[Process_ID_I],,0,)</f>
        <v>04_Cow_BB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2037</v>
      </c>
      <c r="N248" s="51"/>
      <c r="O248" s="119">
        <v>1264.684419917962</v>
      </c>
      <c r="P248" s="51" t="s">
        <v>389</v>
      </c>
      <c r="Q248" s="51"/>
      <c r="R248" s="51"/>
      <c r="S248" s="69"/>
      <c r="T248" s="51"/>
      <c r="U248" s="51"/>
      <c r="V248" s="51"/>
      <c r="W248" s="51"/>
      <c r="X248" s="51" t="s">
        <v>71</v>
      </c>
      <c r="Y248" s="106"/>
      <c r="Z248" s="51"/>
      <c r="AA248" s="86">
        <f t="shared" si="7"/>
        <v>1264.684419917962</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1264.684419917962</v>
      </c>
      <c r="AH248" s="61" t="str">
        <f>Tab_Data_Flows[[#This Row],[UoM_Flow_Py]]</f>
        <v>Mg</v>
      </c>
      <c r="AI248" s="111">
        <f>INDEX(Tab_Def_Flows[[Flow_ID]:[CC_DM_source]],MATCH(Tab_Data_Flows[[#This Row],[Name(EN)]],Tab_Def_Flows[Name(EN)],0),20)</f>
        <v>1</v>
      </c>
      <c r="AJ248" s="109">
        <f>IF(L248="Yes",AI248*Tab_Data_Flows[[#This Row],[Flow_Py]]*Tab_Data_Flows[[#This Row],[DM_'[%']]],"N.A.")</f>
        <v>1264.684419917962</v>
      </c>
      <c r="AK248" s="61" t="str">
        <f>Tab_Data_Flows[[#This Row],[UoM_Flow_Py]]</f>
        <v>Mg</v>
      </c>
    </row>
    <row r="249" spans="1:37" ht="15.75" thickBot="1" x14ac:dyDescent="0.3">
      <c r="A249" s="60">
        <f t="shared" si="6"/>
        <v>248</v>
      </c>
      <c r="B249" s="49" t="str">
        <f>_xlfn.XLOOKUP(C249,Tab_Def_Flows[Name(EN)],Tab_Def_Flows[Flow_ID],,0,)</f>
        <v>F_19_04</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Cow-Manure_Production</v>
      </c>
      <c r="H249" s="61" t="str">
        <f>_xlfn.XLOOKUP(C249,Tab_Def_Flows[Name(EN)],Tab_Def_Flows[Process_ID_I],,0,)</f>
        <v>04_Cow_BB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2038</v>
      </c>
      <c r="N249" s="51"/>
      <c r="O249" s="119">
        <v>544.45192462292209</v>
      </c>
      <c r="P249" s="51" t="s">
        <v>389</v>
      </c>
      <c r="Q249" s="51"/>
      <c r="R249" s="51"/>
      <c r="S249" s="69"/>
      <c r="T249" s="51"/>
      <c r="U249" s="51"/>
      <c r="V249" s="51"/>
      <c r="W249" s="51"/>
      <c r="X249" s="51" t="s">
        <v>71</v>
      </c>
      <c r="Y249" s="106"/>
      <c r="Z249" s="51"/>
      <c r="AA249" s="86">
        <f t="shared" si="7"/>
        <v>544.45192462292209</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544.45192462292209</v>
      </c>
      <c r="AH249" s="61" t="str">
        <f>Tab_Data_Flows[[#This Row],[UoM_Flow_Py]]</f>
        <v>Mg</v>
      </c>
      <c r="AI249" s="111">
        <f>INDEX(Tab_Def_Flows[[Flow_ID]:[CC_DM_source]],MATCH(Tab_Data_Flows[[#This Row],[Name(EN)]],Tab_Def_Flows[Name(EN)],0),20)</f>
        <v>1</v>
      </c>
      <c r="AJ249" s="109">
        <f>IF(L249="Yes",AI249*Tab_Data_Flows[[#This Row],[Flow_Py]]*Tab_Data_Flows[[#This Row],[DM_'[%']]],"N.A.")</f>
        <v>544.45192462292209</v>
      </c>
      <c r="AK249" s="61" t="str">
        <f>Tab_Data_Flows[[#This Row],[UoM_Flow_Py]]</f>
        <v>Mg</v>
      </c>
    </row>
    <row r="250" spans="1:37" ht="15.75" thickBot="1" x14ac:dyDescent="0.3">
      <c r="A250" s="60">
        <f t="shared" si="6"/>
        <v>249</v>
      </c>
      <c r="B250" s="49" t="str">
        <f>_xlfn.XLOOKUP(C250,Tab_Def_Flows[Name(EN)],Tab_Def_Flows[Flow_ID],,0,)</f>
        <v>F_19_04</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Cow-Manure_Production</v>
      </c>
      <c r="H250" s="61" t="str">
        <f>_xlfn.XLOOKUP(C250,Tab_Def_Flows[Name(EN)],Tab_Def_Flows[Process_ID_I],,0,)</f>
        <v>04_Cow_BB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2039</v>
      </c>
      <c r="N250" s="51"/>
      <c r="O250" s="119">
        <v>607.38775012360418</v>
      </c>
      <c r="P250" s="51" t="s">
        <v>389</v>
      </c>
      <c r="Q250" s="51"/>
      <c r="R250" s="51"/>
      <c r="S250" s="69"/>
      <c r="T250" s="51"/>
      <c r="U250" s="51"/>
      <c r="V250" s="51"/>
      <c r="W250" s="51"/>
      <c r="X250" s="51" t="s">
        <v>71</v>
      </c>
      <c r="Y250" s="106"/>
      <c r="Z250" s="51"/>
      <c r="AA250" s="86">
        <f t="shared" si="7"/>
        <v>607.38775012360418</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607.38775012360418</v>
      </c>
      <c r="AH250" s="61" t="str">
        <f>Tab_Data_Flows[[#This Row],[UoM_Flow_Py]]</f>
        <v>Mg</v>
      </c>
      <c r="AI250" s="111">
        <f>INDEX(Tab_Def_Flows[[Flow_ID]:[CC_DM_source]],MATCH(Tab_Data_Flows[[#This Row],[Name(EN)]],Tab_Def_Flows[Name(EN)],0),20)</f>
        <v>1</v>
      </c>
      <c r="AJ250" s="109">
        <f>IF(L250="Yes",AI250*Tab_Data_Flows[[#This Row],[Flow_Py]]*Tab_Data_Flows[[#This Row],[DM_'[%']]],"N.A.")</f>
        <v>607.38775012360418</v>
      </c>
      <c r="AK250" s="61" t="str">
        <f>Tab_Data_Flows[[#This Row],[UoM_Flow_Py]]</f>
        <v>Mg</v>
      </c>
    </row>
    <row r="251" spans="1:37" ht="15.75" thickBot="1" x14ac:dyDescent="0.3">
      <c r="A251" s="60">
        <f t="shared" si="6"/>
        <v>250</v>
      </c>
      <c r="B251" s="49" t="str">
        <f>_xlfn.XLOOKUP(C251,Tab_Def_Flows[Name(EN)],Tab_Def_Flows[Flow_ID],,0,)</f>
        <v>F_19_04</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Cow-Manure_Production</v>
      </c>
      <c r="H251" s="61" t="str">
        <f>_xlfn.XLOOKUP(C251,Tab_Def_Flows[Name(EN)],Tab_Def_Flows[Process_ID_I],,0,)</f>
        <v>04_Cow_BB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2040</v>
      </c>
      <c r="N251" s="51"/>
      <c r="O251" s="119">
        <v>995.93009494696423</v>
      </c>
      <c r="P251" s="51" t="s">
        <v>389</v>
      </c>
      <c r="Q251" s="51"/>
      <c r="R251" s="51"/>
      <c r="S251" s="69"/>
      <c r="T251" s="51"/>
      <c r="U251" s="51"/>
      <c r="V251" s="51"/>
      <c r="W251" s="51"/>
      <c r="X251" s="51" t="s">
        <v>71</v>
      </c>
      <c r="Y251" s="106"/>
      <c r="Z251" s="51"/>
      <c r="AA251" s="86">
        <f t="shared" ref="AA251:AA289" si="8">IF(X251="no",O251,O251*Y251)</f>
        <v>995.93009494696423</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995.93009494696423</v>
      </c>
      <c r="AH251" s="61" t="str">
        <f>Tab_Data_Flows[[#This Row],[UoM_Flow_Py]]</f>
        <v>Mg</v>
      </c>
      <c r="AI251" s="111">
        <f>INDEX(Tab_Def_Flows[[Flow_ID]:[CC_DM_source]],MATCH(Tab_Data_Flows[[#This Row],[Name(EN)]],Tab_Def_Flows[Name(EN)],0),20)</f>
        <v>1</v>
      </c>
      <c r="AJ251" s="109">
        <f>IF(L251="Yes",AI251*Tab_Data_Flows[[#This Row],[Flow_Py]]*Tab_Data_Flows[[#This Row],[DM_'[%']]],"N.A.")</f>
        <v>995.93009494696423</v>
      </c>
      <c r="AK251" s="61" t="str">
        <f>Tab_Data_Flows[[#This Row],[UoM_Flow_Py]]</f>
        <v>Mg</v>
      </c>
    </row>
    <row r="252" spans="1:37" ht="15.75" thickBot="1" x14ac:dyDescent="0.3">
      <c r="A252" s="60">
        <f t="shared" si="6"/>
        <v>251</v>
      </c>
      <c r="B252" s="49" t="str">
        <f>_xlfn.XLOOKUP(C252,Tab_Def_Flows[Name(EN)],Tab_Def_Flows[Flow_ID],,0,)</f>
        <v>F_19_04</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Cow-Manure_Production</v>
      </c>
      <c r="H252" s="61" t="str">
        <f>_xlfn.XLOOKUP(C252,Tab_Def_Flows[Name(EN)],Tab_Def_Flows[Process_ID_I],,0,)</f>
        <v>04_Cow_BB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2041</v>
      </c>
      <c r="N252" s="51"/>
      <c r="O252" s="119">
        <v>845.36022400916215</v>
      </c>
      <c r="P252" s="51" t="s">
        <v>389</v>
      </c>
      <c r="Q252" s="51"/>
      <c r="R252" s="51"/>
      <c r="S252" s="69"/>
      <c r="T252" s="51"/>
      <c r="U252" s="51"/>
      <c r="V252" s="51"/>
      <c r="W252" s="51"/>
      <c r="X252" s="51" t="s">
        <v>71</v>
      </c>
      <c r="Y252" s="106"/>
      <c r="Z252" s="51"/>
      <c r="AA252" s="86">
        <f t="shared" si="8"/>
        <v>845.36022400916215</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845.36022400916215</v>
      </c>
      <c r="AH252" s="61" t="str">
        <f>Tab_Data_Flows[[#This Row],[UoM_Flow_Py]]</f>
        <v>Mg</v>
      </c>
      <c r="AI252" s="111">
        <f>INDEX(Tab_Def_Flows[[Flow_ID]:[CC_DM_source]],MATCH(Tab_Data_Flows[[#This Row],[Name(EN)]],Tab_Def_Flows[Name(EN)],0),20)</f>
        <v>1</v>
      </c>
      <c r="AJ252" s="109">
        <f>IF(L252="Yes",AI252*Tab_Data_Flows[[#This Row],[Flow_Py]]*Tab_Data_Flows[[#This Row],[DM_'[%']]],"N.A.")</f>
        <v>845.36022400916215</v>
      </c>
      <c r="AK252" s="61" t="str">
        <f>Tab_Data_Flows[[#This Row],[UoM_Flow_Py]]</f>
        <v>Mg</v>
      </c>
    </row>
    <row r="253" spans="1:37" ht="15.75" thickBot="1" x14ac:dyDescent="0.3">
      <c r="A253" s="60">
        <f t="shared" si="6"/>
        <v>252</v>
      </c>
      <c r="B253" s="49" t="str">
        <f>_xlfn.XLOOKUP(C253,Tab_Def_Flows[Name(EN)],Tab_Def_Flows[Flow_ID],,0,)</f>
        <v>F_19_04</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Cow-Manure_Production</v>
      </c>
      <c r="H253" s="61" t="str">
        <f>_xlfn.XLOOKUP(C253,Tab_Def_Flows[Name(EN)],Tab_Def_Flows[Process_ID_I],,0,)</f>
        <v>04_Cow_BB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2042</v>
      </c>
      <c r="N253" s="51"/>
      <c r="O253" s="119">
        <v>1288.8370968437557</v>
      </c>
      <c r="P253" s="51" t="s">
        <v>389</v>
      </c>
      <c r="Q253" s="51"/>
      <c r="R253" s="51"/>
      <c r="S253" s="69"/>
      <c r="T253" s="51"/>
      <c r="U253" s="51"/>
      <c r="V253" s="51"/>
      <c r="W253" s="51"/>
      <c r="X253" s="51" t="s">
        <v>71</v>
      </c>
      <c r="Y253" s="106"/>
      <c r="Z253" s="51"/>
      <c r="AA253" s="86">
        <f t="shared" si="8"/>
        <v>1288.8370968437557</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1288.8370968437557</v>
      </c>
      <c r="AH253" s="61" t="str">
        <f>Tab_Data_Flows[[#This Row],[UoM_Flow_Py]]</f>
        <v>Mg</v>
      </c>
      <c r="AI253" s="111">
        <f>INDEX(Tab_Def_Flows[[Flow_ID]:[CC_DM_source]],MATCH(Tab_Data_Flows[[#This Row],[Name(EN)]],Tab_Def_Flows[Name(EN)],0),20)</f>
        <v>1</v>
      </c>
      <c r="AJ253" s="109">
        <f>IF(L253="Yes",AI253*Tab_Data_Flows[[#This Row],[Flow_Py]]*Tab_Data_Flows[[#This Row],[DM_'[%']]],"N.A.")</f>
        <v>1288.8370968437557</v>
      </c>
      <c r="AK253" s="61" t="str">
        <f>Tab_Data_Flows[[#This Row],[UoM_Flow_Py]]</f>
        <v>Mg</v>
      </c>
    </row>
    <row r="254" spans="1:37" ht="15.75" thickBot="1" x14ac:dyDescent="0.3">
      <c r="A254" s="60">
        <f t="shared" si="6"/>
        <v>253</v>
      </c>
      <c r="B254" s="49" t="str">
        <f>_xlfn.XLOOKUP(C254,Tab_Def_Flows[Name(EN)],Tab_Def_Flows[Flow_ID],,0,)</f>
        <v>F_19_04</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Cow-Manure_Production</v>
      </c>
      <c r="H254" s="61" t="str">
        <f>_xlfn.XLOOKUP(C254,Tab_Def_Flows[Name(EN)],Tab_Def_Flows[Process_ID_I],,0,)</f>
        <v>04_Cow_BB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2043</v>
      </c>
      <c r="N254" s="51"/>
      <c r="O254" s="119">
        <v>880.3906979350736</v>
      </c>
      <c r="P254" s="51" t="s">
        <v>389</v>
      </c>
      <c r="Q254" s="51"/>
      <c r="R254" s="51"/>
      <c r="S254" s="69"/>
      <c r="T254" s="51"/>
      <c r="U254" s="51"/>
      <c r="V254" s="51"/>
      <c r="W254" s="51"/>
      <c r="X254" s="51" t="s">
        <v>71</v>
      </c>
      <c r="Y254" s="106"/>
      <c r="Z254" s="51"/>
      <c r="AA254" s="86">
        <f t="shared" si="8"/>
        <v>880.3906979350736</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880.3906979350736</v>
      </c>
      <c r="AH254" s="61" t="str">
        <f>Tab_Data_Flows[[#This Row],[UoM_Flow_Py]]</f>
        <v>Mg</v>
      </c>
      <c r="AI254" s="111">
        <f>INDEX(Tab_Def_Flows[[Flow_ID]:[CC_DM_source]],MATCH(Tab_Data_Flows[[#This Row],[Name(EN)]],Tab_Def_Flows[Name(EN)],0),20)</f>
        <v>1</v>
      </c>
      <c r="AJ254" s="109">
        <f>IF(L254="Yes",AI254*Tab_Data_Flows[[#This Row],[Flow_Py]]*Tab_Data_Flows[[#This Row],[DM_'[%']]],"N.A.")</f>
        <v>880.3906979350736</v>
      </c>
      <c r="AK254" s="61" t="str">
        <f>Tab_Data_Flows[[#This Row],[UoM_Flow_Py]]</f>
        <v>Mg</v>
      </c>
    </row>
    <row r="255" spans="1:37" ht="15.75" thickBot="1" x14ac:dyDescent="0.3">
      <c r="A255" s="60">
        <f t="shared" si="6"/>
        <v>254</v>
      </c>
      <c r="B255" s="49" t="str">
        <f>_xlfn.XLOOKUP(C255,Tab_Def_Flows[Name(EN)],Tab_Def_Flows[Flow_ID],,0,)</f>
        <v>F_19_04</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Cow-Manure_Production</v>
      </c>
      <c r="H255" s="61" t="str">
        <f>_xlfn.XLOOKUP(C255,Tab_Def_Flows[Name(EN)],Tab_Def_Flows[Process_ID_I],,0,)</f>
        <v>04_Cow_BB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2044</v>
      </c>
      <c r="N255" s="51"/>
      <c r="O255" s="119">
        <v>711.86750246516203</v>
      </c>
      <c r="P255" s="51" t="s">
        <v>389</v>
      </c>
      <c r="Q255" s="51"/>
      <c r="R255" s="51"/>
      <c r="S255" s="69"/>
      <c r="T255" s="51"/>
      <c r="U255" s="51"/>
      <c r="V255" s="51"/>
      <c r="W255" s="51"/>
      <c r="X255" s="51" t="s">
        <v>71</v>
      </c>
      <c r="Y255" s="106"/>
      <c r="Z255" s="51"/>
      <c r="AA255" s="86">
        <f t="shared" si="8"/>
        <v>711.86750246516203</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711.86750246516203</v>
      </c>
      <c r="AH255" s="61" t="str">
        <f>Tab_Data_Flows[[#This Row],[UoM_Flow_Py]]</f>
        <v>Mg</v>
      </c>
      <c r="AI255" s="111">
        <f>INDEX(Tab_Def_Flows[[Flow_ID]:[CC_DM_source]],MATCH(Tab_Data_Flows[[#This Row],[Name(EN)]],Tab_Def_Flows[Name(EN)],0),20)</f>
        <v>1</v>
      </c>
      <c r="AJ255" s="109">
        <f>IF(L255="Yes",AI255*Tab_Data_Flows[[#This Row],[Flow_Py]]*Tab_Data_Flows[[#This Row],[DM_'[%']]],"N.A.")</f>
        <v>711.86750246516203</v>
      </c>
      <c r="AK255" s="61" t="str">
        <f>Tab_Data_Flows[[#This Row],[UoM_Flow_Py]]</f>
        <v>Mg</v>
      </c>
    </row>
    <row r="256" spans="1:37" ht="15.75" thickBot="1" x14ac:dyDescent="0.3">
      <c r="A256" s="60">
        <f t="shared" si="6"/>
        <v>255</v>
      </c>
      <c r="B256" s="49" t="str">
        <f>_xlfn.XLOOKUP(C256,Tab_Def_Flows[Name(EN)],Tab_Def_Flows[Flow_ID],,0,)</f>
        <v>F_19_04</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Cow-Manure_Production</v>
      </c>
      <c r="H256" s="61" t="str">
        <f>_xlfn.XLOOKUP(C256,Tab_Def_Flows[Name(EN)],Tab_Def_Flows[Process_ID_I],,0,)</f>
        <v>04_Cow_BB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2045</v>
      </c>
      <c r="N256" s="51"/>
      <c r="O256" s="119">
        <v>1673.6267670181389</v>
      </c>
      <c r="P256" s="51" t="s">
        <v>389</v>
      </c>
      <c r="Q256" s="51"/>
      <c r="R256" s="51"/>
      <c r="S256" s="69"/>
      <c r="T256" s="51"/>
      <c r="U256" s="51"/>
      <c r="V256" s="51"/>
      <c r="W256" s="51"/>
      <c r="X256" s="51" t="s">
        <v>71</v>
      </c>
      <c r="Y256" s="106"/>
      <c r="Z256" s="51"/>
      <c r="AA256" s="86">
        <f t="shared" si="8"/>
        <v>1673.6267670181389</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1673.6267670181389</v>
      </c>
      <c r="AH256" s="61" t="str">
        <f>Tab_Data_Flows[[#This Row],[UoM_Flow_Py]]</f>
        <v>Mg</v>
      </c>
      <c r="AI256" s="111">
        <f>INDEX(Tab_Def_Flows[[Flow_ID]:[CC_DM_source]],MATCH(Tab_Data_Flows[[#This Row],[Name(EN)]],Tab_Def_Flows[Name(EN)],0),20)</f>
        <v>1</v>
      </c>
      <c r="AJ256" s="109">
        <f>IF(L256="Yes",AI256*Tab_Data_Flows[[#This Row],[Flow_Py]]*Tab_Data_Flows[[#This Row],[DM_'[%']]],"N.A.")</f>
        <v>1673.6267670181389</v>
      </c>
      <c r="AK256" s="61" t="str">
        <f>Tab_Data_Flows[[#This Row],[UoM_Flow_Py]]</f>
        <v>Mg</v>
      </c>
    </row>
    <row r="257" spans="1:37" ht="15.75" thickBot="1" x14ac:dyDescent="0.3">
      <c r="A257" s="60">
        <f t="shared" si="6"/>
        <v>256</v>
      </c>
      <c r="B257" s="49" t="str">
        <f>_xlfn.XLOOKUP(C257,Tab_Def_Flows[Name(EN)],Tab_Def_Flows[Flow_ID],,0,)</f>
        <v>F_19_04</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Cow-Manure_Production</v>
      </c>
      <c r="H257" s="61" t="str">
        <f>_xlfn.XLOOKUP(C257,Tab_Def_Flows[Name(EN)],Tab_Def_Flows[Process_ID_I],,0,)</f>
        <v>04_Cow_BB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2046</v>
      </c>
      <c r="N257" s="51"/>
      <c r="O257" s="119">
        <v>1108.3780815652042</v>
      </c>
      <c r="P257" s="51" t="s">
        <v>389</v>
      </c>
      <c r="Q257" s="51"/>
      <c r="R257" s="51"/>
      <c r="S257" s="69"/>
      <c r="T257" s="51"/>
      <c r="U257" s="51"/>
      <c r="V257" s="51"/>
      <c r="W257" s="51"/>
      <c r="X257" s="51" t="s">
        <v>71</v>
      </c>
      <c r="Y257" s="106"/>
      <c r="Z257" s="51"/>
      <c r="AA257" s="86">
        <f t="shared" si="8"/>
        <v>1108.3780815652042</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1108.3780815652042</v>
      </c>
      <c r="AH257" s="61" t="str">
        <f>Tab_Data_Flows[[#This Row],[UoM_Flow_Py]]</f>
        <v>Mg</v>
      </c>
      <c r="AI257" s="111">
        <f>INDEX(Tab_Def_Flows[[Flow_ID]:[CC_DM_source]],MATCH(Tab_Data_Flows[[#This Row],[Name(EN)]],Tab_Def_Flows[Name(EN)],0),20)</f>
        <v>1</v>
      </c>
      <c r="AJ257" s="109">
        <f>IF(L257="Yes",AI257*Tab_Data_Flows[[#This Row],[Flow_Py]]*Tab_Data_Flows[[#This Row],[DM_'[%']]],"N.A.")</f>
        <v>1108.3780815652042</v>
      </c>
      <c r="AK257" s="61" t="str">
        <f>Tab_Data_Flows[[#This Row],[UoM_Flow_Py]]</f>
        <v>Mg</v>
      </c>
    </row>
    <row r="258" spans="1:37" ht="15.75" thickBot="1" x14ac:dyDescent="0.3">
      <c r="A258" s="60">
        <f t="shared" si="6"/>
        <v>257</v>
      </c>
      <c r="B258" s="49" t="str">
        <f>_xlfn.XLOOKUP(C258,Tab_Def_Flows[Name(EN)],Tab_Def_Flows[Flow_ID],,0,)</f>
        <v>F_19_04</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Cow-Manure_Production</v>
      </c>
      <c r="H258" s="61" t="str">
        <f>_xlfn.XLOOKUP(C258,Tab_Def_Flows[Name(EN)],Tab_Def_Flows[Process_ID_I],,0,)</f>
        <v>04_Cow_BB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2047</v>
      </c>
      <c r="N258" s="51"/>
      <c r="O258" s="119">
        <v>1206.3939758109473</v>
      </c>
      <c r="P258" s="51" t="s">
        <v>389</v>
      </c>
      <c r="Q258" s="51"/>
      <c r="R258" s="51"/>
      <c r="S258" s="69"/>
      <c r="T258" s="51"/>
      <c r="U258" s="51"/>
      <c r="V258" s="51"/>
      <c r="W258" s="51"/>
      <c r="X258" s="51" t="s">
        <v>71</v>
      </c>
      <c r="Y258" s="106"/>
      <c r="Z258" s="51"/>
      <c r="AA258" s="86">
        <f t="shared" si="8"/>
        <v>1206.3939758109473</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1206.3939758109473</v>
      </c>
      <c r="AH258" s="61" t="str">
        <f>Tab_Data_Flows[[#This Row],[UoM_Flow_Py]]</f>
        <v>Mg</v>
      </c>
      <c r="AI258" s="111">
        <f>INDEX(Tab_Def_Flows[[Flow_ID]:[CC_DM_source]],MATCH(Tab_Data_Flows[[#This Row],[Name(EN)]],Tab_Def_Flows[Name(EN)],0),20)</f>
        <v>1</v>
      </c>
      <c r="AJ258" s="109">
        <f>IF(L258="Yes",AI258*Tab_Data_Flows[[#This Row],[Flow_Py]]*Tab_Data_Flows[[#This Row],[DM_'[%']]],"N.A.")</f>
        <v>1206.3939758109473</v>
      </c>
      <c r="AK258" s="61" t="str">
        <f>Tab_Data_Flows[[#This Row],[UoM_Flow_Py]]</f>
        <v>Mg</v>
      </c>
    </row>
    <row r="259" spans="1:37" ht="15.75" thickBot="1" x14ac:dyDescent="0.3">
      <c r="A259" s="60">
        <f t="shared" si="6"/>
        <v>258</v>
      </c>
      <c r="B259" s="49" t="str">
        <f>_xlfn.XLOOKUP(C259,Tab_Def_Flows[Name(EN)],Tab_Def_Flows[Flow_ID],,0,)</f>
        <v>F_19_04</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Cow-Manure_Production</v>
      </c>
      <c r="H259" s="61" t="str">
        <f>_xlfn.XLOOKUP(C259,Tab_Def_Flows[Name(EN)],Tab_Def_Flows[Process_ID_I],,0,)</f>
        <v>04_Cow_BB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2048</v>
      </c>
      <c r="N259" s="51"/>
      <c r="O259" s="119">
        <v>707.70153765660632</v>
      </c>
      <c r="P259" s="51" t="s">
        <v>389</v>
      </c>
      <c r="Q259" s="51"/>
      <c r="R259" s="51"/>
      <c r="S259" s="69"/>
      <c r="T259" s="51"/>
      <c r="U259" s="51"/>
      <c r="V259" s="51"/>
      <c r="W259" s="51"/>
      <c r="X259" s="51" t="s">
        <v>71</v>
      </c>
      <c r="Y259" s="106"/>
      <c r="Z259" s="51"/>
      <c r="AA259" s="86">
        <f t="shared" si="8"/>
        <v>707.70153765660632</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707.70153765660632</v>
      </c>
      <c r="AH259" s="61" t="str">
        <f>Tab_Data_Flows[[#This Row],[UoM_Flow_Py]]</f>
        <v>Mg</v>
      </c>
      <c r="AI259" s="111">
        <f>INDEX(Tab_Def_Flows[[Flow_ID]:[CC_DM_source]],MATCH(Tab_Data_Flows[[#This Row],[Name(EN)]],Tab_Def_Flows[Name(EN)],0),20)</f>
        <v>1</v>
      </c>
      <c r="AJ259" s="109">
        <f>IF(L259="Yes",AI259*Tab_Data_Flows[[#This Row],[Flow_Py]]*Tab_Data_Flows[[#This Row],[DM_'[%']]],"N.A.")</f>
        <v>707.70153765660632</v>
      </c>
      <c r="AK259" s="61" t="str">
        <f>Tab_Data_Flows[[#This Row],[UoM_Flow_Py]]</f>
        <v>Mg</v>
      </c>
    </row>
    <row r="260" spans="1:37" ht="15.75" thickBot="1" x14ac:dyDescent="0.3">
      <c r="A260" s="60">
        <f t="shared" si="6"/>
        <v>259</v>
      </c>
      <c r="B260" s="49" t="str">
        <f>_xlfn.XLOOKUP(C260,Tab_Def_Flows[Name(EN)],Tab_Def_Flows[Flow_ID],,0,)</f>
        <v>F_19_04</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Cow-Manure_Production</v>
      </c>
      <c r="H260" s="61" t="str">
        <f>_xlfn.XLOOKUP(C260,Tab_Def_Flows[Name(EN)],Tab_Def_Flows[Process_ID_I],,0,)</f>
        <v>04_Cow_BB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2049</v>
      </c>
      <c r="N260" s="51"/>
      <c r="O260" s="119">
        <v>1001.8980048512842</v>
      </c>
      <c r="P260" s="51" t="s">
        <v>389</v>
      </c>
      <c r="Q260" s="51"/>
      <c r="R260" s="51"/>
      <c r="S260" s="69"/>
      <c r="T260" s="51"/>
      <c r="U260" s="51"/>
      <c r="V260" s="51"/>
      <c r="W260" s="51"/>
      <c r="X260" s="51" t="s">
        <v>71</v>
      </c>
      <c r="Y260" s="106"/>
      <c r="Z260" s="51"/>
      <c r="AA260" s="86">
        <f t="shared" si="8"/>
        <v>1001.8980048512842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1001.8980048512842</v>
      </c>
      <c r="AH260" s="61" t="str">
        <f>Tab_Data_Flows[[#This Row],[UoM_Flow_Py]]</f>
        <v>Mg</v>
      </c>
      <c r="AI260" s="111">
        <f>INDEX(Tab_Def_Flows[[Flow_ID]:[CC_DM_source]],MATCH(Tab_Data_Flows[[#This Row],[Name(EN)]],Tab_Def_Flows[Name(EN)],0),20)</f>
        <v>1</v>
      </c>
      <c r="AJ260" s="109">
        <f>IF(L260="Yes",AI260*Tab_Data_Flows[[#This Row],[Flow_Py]]*Tab_Data_Flows[[#This Row],[DM_'[%']]],"N.A.")</f>
        <v>1001.8980048512842</v>
      </c>
      <c r="AK260" s="61" t="str">
        <f>Tab_Data_Flows[[#This Row],[UoM_Flow_Py]]</f>
        <v>Mg</v>
      </c>
    </row>
    <row r="261" spans="1:37" ht="15.75" thickBot="1" x14ac:dyDescent="0.3">
      <c r="A261" s="60">
        <f t="shared" si="6"/>
        <v>260</v>
      </c>
      <c r="B261" s="49" t="str">
        <f>_xlfn.XLOOKUP(C261,Tab_Def_Flows[Name(EN)],Tab_Def_Flows[Flow_ID],,0,)</f>
        <v>F_19_04</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Cow-Manure_Production</v>
      </c>
      <c r="H261" s="61" t="str">
        <f>_xlfn.XLOOKUP(C261,Tab_Def_Flows[Name(EN)],Tab_Def_Flows[Process_ID_I],,0,)</f>
        <v>04_Cow_BB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2050</v>
      </c>
      <c r="N261" s="51"/>
      <c r="O261" s="119">
        <v>1220.8921946089768</v>
      </c>
      <c r="P261" s="51" t="s">
        <v>389</v>
      </c>
      <c r="Q261" s="51"/>
      <c r="R261" s="51"/>
      <c r="S261" s="69"/>
      <c r="T261" s="51"/>
      <c r="U261" s="51"/>
      <c r="V261" s="51"/>
      <c r="W261" s="51"/>
      <c r="X261" s="51" t="s">
        <v>71</v>
      </c>
      <c r="Y261" s="106"/>
      <c r="Z261" s="51"/>
      <c r="AA261" s="86">
        <f t="shared" si="8"/>
        <v>1220.8921946089768</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1220.8921946089768</v>
      </c>
      <c r="AH261" s="61" t="str">
        <f>Tab_Data_Flows[[#This Row],[UoM_Flow_Py]]</f>
        <v>Mg</v>
      </c>
      <c r="AI261" s="111">
        <f>INDEX(Tab_Def_Flows[[Flow_ID]:[CC_DM_source]],MATCH(Tab_Data_Flows[[#This Row],[Name(EN)]],Tab_Def_Flows[Name(EN)],0),20)</f>
        <v>1</v>
      </c>
      <c r="AJ261" s="109">
        <f>IF(L261="Yes",AI261*Tab_Data_Flows[[#This Row],[Flow_Py]]*Tab_Data_Flows[[#This Row],[DM_'[%']]],"N.A.")</f>
        <v>1220.8921946089768</v>
      </c>
      <c r="AK261" s="61" t="str">
        <f>Tab_Data_Flows[[#This Row],[UoM_Flow_Py]]</f>
        <v>Mg</v>
      </c>
    </row>
    <row r="262" spans="1:37" ht="15.75" thickBot="1" x14ac:dyDescent="0.3">
      <c r="A262" s="60">
        <f t="shared" si="6"/>
        <v>261</v>
      </c>
      <c r="B262" s="49" t="str">
        <f>_xlfn.XLOOKUP(C262,Tab_Def_Flows[Name(EN)],Tab_Def_Flows[Flow_ID],,0,)</f>
        <v>F_19_11</v>
      </c>
      <c r="C262" s="51" t="s">
        <v>553</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Millet_Production</v>
      </c>
      <c r="H262" s="61" t="str">
        <f>_xlfn.XLOOKUP(C262,Tab_Def_Flows[Name(EN)],Tab_Def_Flows[Process_ID_I],,0,)</f>
        <v>11_Mil_BB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2025</v>
      </c>
      <c r="N262" s="51"/>
      <c r="O262" s="119">
        <v>911.03151153817032</v>
      </c>
      <c r="P262" s="51" t="s">
        <v>389</v>
      </c>
      <c r="Q262" s="51"/>
      <c r="R262" s="51"/>
      <c r="S262" s="69"/>
      <c r="T262" s="51"/>
      <c r="U262" s="51"/>
      <c r="V262" s="51"/>
      <c r="W262" s="51"/>
      <c r="X262" s="51" t="s">
        <v>71</v>
      </c>
      <c r="Y262" s="106"/>
      <c r="Z262" s="51"/>
      <c r="AA262" s="86">
        <f t="shared" si="8"/>
        <v>911.03151153817032</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911.03151153817032</v>
      </c>
      <c r="AH262" s="61" t="str">
        <f>Tab_Data_Flows[[#This Row],[UoM_Flow_Py]]</f>
        <v>Mg</v>
      </c>
      <c r="AI262" s="111">
        <f>INDEX(Tab_Def_Flows[[Flow_ID]:[CC_DM_source]],MATCH(Tab_Data_Flows[[#This Row],[Name(EN)]],Tab_Def_Flows[Name(EN)],0),20)</f>
        <v>1</v>
      </c>
      <c r="AJ262" s="109">
        <f>IF(L262="Yes",AI262*Tab_Data_Flows[[#This Row],[Flow_Py]]*Tab_Data_Flows[[#This Row],[DM_'[%']]],"N.A.")</f>
        <v>911.03151153817032</v>
      </c>
      <c r="AK262" s="61" t="str">
        <f>Tab_Data_Flows[[#This Row],[UoM_Flow_Py]]</f>
        <v>Mg</v>
      </c>
    </row>
    <row r="263" spans="1:37" ht="15.75" thickBot="1" x14ac:dyDescent="0.3">
      <c r="A263" s="60">
        <f t="shared" si="6"/>
        <v>262</v>
      </c>
      <c r="B263" s="49" t="str">
        <f>_xlfn.XLOOKUP(C263,Tab_Def_Flows[Name(EN)],Tab_Def_Flows[Flow_ID],,0,)</f>
        <v>F_19_11</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Millet_Production</v>
      </c>
      <c r="H263" s="61" t="str">
        <f>_xlfn.XLOOKUP(C263,Tab_Def_Flows[Name(EN)],Tab_Def_Flows[Process_ID_I],,0,)</f>
        <v>11_Mil_BB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2026</v>
      </c>
      <c r="N263" s="51"/>
      <c r="O263" s="119">
        <v>767.81219417397438</v>
      </c>
      <c r="P263" s="51" t="s">
        <v>389</v>
      </c>
      <c r="Q263" s="51"/>
      <c r="R263" s="51"/>
      <c r="S263" s="69"/>
      <c r="T263" s="51"/>
      <c r="U263" s="51"/>
      <c r="V263" s="51"/>
      <c r="W263" s="51"/>
      <c r="X263" s="51" t="s">
        <v>71</v>
      </c>
      <c r="Y263" s="106"/>
      <c r="Z263" s="51"/>
      <c r="AA263" s="86">
        <f t="shared" si="8"/>
        <v>767.81219417397438</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767.81219417397438</v>
      </c>
      <c r="AH263" s="61" t="str">
        <f>Tab_Data_Flows[[#This Row],[UoM_Flow_Py]]</f>
        <v>Mg</v>
      </c>
      <c r="AI263" s="111">
        <f>INDEX(Tab_Def_Flows[[Flow_ID]:[CC_DM_source]],MATCH(Tab_Data_Flows[[#This Row],[Name(EN)]],Tab_Def_Flows[Name(EN)],0),20)</f>
        <v>1</v>
      </c>
      <c r="AJ263" s="109">
        <f>IF(L263="Yes",AI263*Tab_Data_Flows[[#This Row],[Flow_Py]]*Tab_Data_Flows[[#This Row],[DM_'[%']]],"N.A.")</f>
        <v>767.81219417397438</v>
      </c>
      <c r="AK263" s="61" t="str">
        <f>Tab_Data_Flows[[#This Row],[UoM_Flow_Py]]</f>
        <v>Mg</v>
      </c>
    </row>
    <row r="264" spans="1:37" ht="15.75" thickBot="1" x14ac:dyDescent="0.3">
      <c r="A264" s="60">
        <f t="shared" si="6"/>
        <v>263</v>
      </c>
      <c r="B264" s="49" t="str">
        <f>_xlfn.XLOOKUP(C264,Tab_Def_Flows[Name(EN)],Tab_Def_Flows[Flow_ID],,0,)</f>
        <v>F_19_11</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Millet_Production</v>
      </c>
      <c r="H264" s="61" t="str">
        <f>_xlfn.XLOOKUP(C264,Tab_Def_Flows[Name(EN)],Tab_Def_Flows[Process_ID_I],,0,)</f>
        <v>11_Mil_BB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2027</v>
      </c>
      <c r="N264" s="51"/>
      <c r="O264" s="119">
        <v>945.08459322993735</v>
      </c>
      <c r="P264" s="51" t="s">
        <v>389</v>
      </c>
      <c r="Q264" s="51"/>
      <c r="R264" s="51"/>
      <c r="S264" s="69"/>
      <c r="T264" s="51"/>
      <c r="U264" s="51"/>
      <c r="V264" s="51"/>
      <c r="W264" s="51"/>
      <c r="X264" s="51" t="s">
        <v>71</v>
      </c>
      <c r="Y264" s="106"/>
      <c r="Z264" s="51"/>
      <c r="AA264" s="86">
        <f t="shared" si="8"/>
        <v>945.08459322993735</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945.08459322993735</v>
      </c>
      <c r="AH264" s="61" t="str">
        <f>Tab_Data_Flows[[#This Row],[UoM_Flow_Py]]</f>
        <v>Mg</v>
      </c>
      <c r="AI264" s="111">
        <f>INDEX(Tab_Def_Flows[[Flow_ID]:[CC_DM_source]],MATCH(Tab_Data_Flows[[#This Row],[Name(EN)]],Tab_Def_Flows[Name(EN)],0),20)</f>
        <v>1</v>
      </c>
      <c r="AJ264" s="109">
        <f>IF(L264="Yes",AI264*Tab_Data_Flows[[#This Row],[Flow_Py]]*Tab_Data_Flows[[#This Row],[DM_'[%']]],"N.A.")</f>
        <v>945.08459322993735</v>
      </c>
      <c r="AK264" s="61" t="str">
        <f>Tab_Data_Flows[[#This Row],[UoM_Flow_Py]]</f>
        <v>Mg</v>
      </c>
    </row>
    <row r="265" spans="1:37" ht="15.75" thickBot="1" x14ac:dyDescent="0.3">
      <c r="A265" s="60">
        <f t="shared" si="6"/>
        <v>264</v>
      </c>
      <c r="B265" s="49" t="str">
        <f>_xlfn.XLOOKUP(C265,Tab_Def_Flows[Name(EN)],Tab_Def_Flows[Flow_ID],,0,)</f>
        <v>F_19_11</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Millet_Production</v>
      </c>
      <c r="H265" s="61" t="str">
        <f>_xlfn.XLOOKUP(C265,Tab_Def_Flows[Name(EN)],Tab_Def_Flows[Process_ID_I],,0,)</f>
        <v>11_Mil_BB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2028</v>
      </c>
      <c r="N265" s="51"/>
      <c r="O265" s="119">
        <v>1142.5188266951482</v>
      </c>
      <c r="P265" s="51" t="s">
        <v>389</v>
      </c>
      <c r="Q265" s="51"/>
      <c r="R265" s="51"/>
      <c r="S265" s="69"/>
      <c r="T265" s="51"/>
      <c r="U265" s="51"/>
      <c r="V265" s="51"/>
      <c r="W265" s="51"/>
      <c r="X265" s="51" t="s">
        <v>71</v>
      </c>
      <c r="Y265" s="106"/>
      <c r="Z265" s="51"/>
      <c r="AA265" s="86">
        <f t="shared" si="8"/>
        <v>1142.5188266951482</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1142.5188266951482</v>
      </c>
      <c r="AH265" s="61" t="str">
        <f>Tab_Data_Flows[[#This Row],[UoM_Flow_Py]]</f>
        <v>Mg</v>
      </c>
      <c r="AI265" s="111">
        <f>INDEX(Tab_Def_Flows[[Flow_ID]:[CC_DM_source]],MATCH(Tab_Data_Flows[[#This Row],[Name(EN)]],Tab_Def_Flows[Name(EN)],0),20)</f>
        <v>1</v>
      </c>
      <c r="AJ265" s="109">
        <f>IF(L265="Yes",AI265*Tab_Data_Flows[[#This Row],[Flow_Py]]*Tab_Data_Flows[[#This Row],[DM_'[%']]],"N.A.")</f>
        <v>1142.5188266951482</v>
      </c>
      <c r="AK265" s="61" t="str">
        <f>Tab_Data_Flows[[#This Row],[UoM_Flow_Py]]</f>
        <v>Mg</v>
      </c>
    </row>
    <row r="266" spans="1:37" ht="15.75" thickBot="1" x14ac:dyDescent="0.3">
      <c r="A266" s="60">
        <f t="shared" si="6"/>
        <v>265</v>
      </c>
      <c r="B266" s="49" t="str">
        <f>_xlfn.XLOOKUP(C266,Tab_Def_Flows[Name(EN)],Tab_Def_Flows[Flow_ID],,0,)</f>
        <v>F_19_11</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Millet_Production</v>
      </c>
      <c r="H266" s="61" t="str">
        <f>_xlfn.XLOOKUP(C266,Tab_Def_Flows[Name(EN)],Tab_Def_Flows[Process_ID_I],,0,)</f>
        <v>11_Mil_BB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2029</v>
      </c>
      <c r="N266" s="51"/>
      <c r="O266" s="119">
        <v>746.18871045226888</v>
      </c>
      <c r="P266" s="51" t="s">
        <v>389</v>
      </c>
      <c r="Q266" s="51"/>
      <c r="R266" s="51"/>
      <c r="S266" s="69"/>
      <c r="T266" s="51"/>
      <c r="U266" s="51"/>
      <c r="V266" s="51"/>
      <c r="W266" s="51"/>
      <c r="X266" s="51" t="s">
        <v>71</v>
      </c>
      <c r="Y266" s="106"/>
      <c r="Z266" s="51"/>
      <c r="AA266" s="86">
        <f t="shared" si="8"/>
        <v>746.18871045226888</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746.18871045226888</v>
      </c>
      <c r="AH266" s="61" t="str">
        <f>Tab_Data_Flows[[#This Row],[UoM_Flow_Py]]</f>
        <v>Mg</v>
      </c>
      <c r="AI266" s="111">
        <f>INDEX(Tab_Def_Flows[[Flow_ID]:[CC_DM_source]],MATCH(Tab_Data_Flows[[#This Row],[Name(EN)]],Tab_Def_Flows[Name(EN)],0),20)</f>
        <v>1</v>
      </c>
      <c r="AJ266" s="109">
        <f>IF(L266="Yes",AI266*Tab_Data_Flows[[#This Row],[Flow_Py]]*Tab_Data_Flows[[#This Row],[DM_'[%']]],"N.A.")</f>
        <v>746.18871045226888</v>
      </c>
      <c r="AK266" s="61" t="str">
        <f>Tab_Data_Flows[[#This Row],[UoM_Flow_Py]]</f>
        <v>Mg</v>
      </c>
    </row>
    <row r="267" spans="1:37" ht="15.75" thickBot="1" x14ac:dyDescent="0.3">
      <c r="A267" s="60">
        <f t="shared" si="6"/>
        <v>266</v>
      </c>
      <c r="B267" s="49" t="str">
        <f>_xlfn.XLOOKUP(C267,Tab_Def_Flows[Name(EN)],Tab_Def_Flows[Flow_ID],,0,)</f>
        <v>F_19_11</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Millet_Production</v>
      </c>
      <c r="H267" s="61" t="str">
        <f>_xlfn.XLOOKUP(C267,Tab_Def_Flows[Name(EN)],Tab_Def_Flows[Process_ID_I],,0,)</f>
        <v>11_Mil_BB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2030</v>
      </c>
      <c r="N267" s="51"/>
      <c r="O267" s="119">
        <v>746.18871045226888</v>
      </c>
      <c r="P267" s="51" t="s">
        <v>389</v>
      </c>
      <c r="Q267" s="51"/>
      <c r="R267" s="51"/>
      <c r="S267" s="69"/>
      <c r="T267" s="51"/>
      <c r="U267" s="51"/>
      <c r="V267" s="51"/>
      <c r="W267" s="51"/>
      <c r="X267" s="51" t="s">
        <v>71</v>
      </c>
      <c r="Y267" s="106"/>
      <c r="Z267" s="51"/>
      <c r="AA267" s="86">
        <f t="shared" si="8"/>
        <v>746.18871045226888</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746.18871045226888</v>
      </c>
      <c r="AH267" s="61" t="str">
        <f>Tab_Data_Flows[[#This Row],[UoM_Flow_Py]]</f>
        <v>Mg</v>
      </c>
      <c r="AI267" s="111">
        <f>INDEX(Tab_Def_Flows[[Flow_ID]:[CC_DM_source]],MATCH(Tab_Data_Flows[[#This Row],[Name(EN)]],Tab_Def_Flows[Name(EN)],0),20)</f>
        <v>1</v>
      </c>
      <c r="AJ267" s="109">
        <f>IF(L267="Yes",AI267*Tab_Data_Flows[[#This Row],[Flow_Py]]*Tab_Data_Flows[[#This Row],[DM_'[%']]],"N.A.")</f>
        <v>746.18871045226888</v>
      </c>
      <c r="AK267" s="61" t="str">
        <f>Tab_Data_Flows[[#This Row],[UoM_Flow_Py]]</f>
        <v>Mg</v>
      </c>
    </row>
    <row r="268" spans="1:37" ht="15.75" thickBot="1" x14ac:dyDescent="0.3">
      <c r="A268" s="60">
        <f t="shared" si="6"/>
        <v>267</v>
      </c>
      <c r="B268" s="49" t="str">
        <f>_xlfn.XLOOKUP(C268,Tab_Def_Flows[Name(EN)],Tab_Def_Flows[Flow_ID],,0,)</f>
        <v>F_19_11</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Millet_Production</v>
      </c>
      <c r="H268" s="61" t="str">
        <f>_xlfn.XLOOKUP(C268,Tab_Def_Flows[Name(EN)],Tab_Def_Flows[Process_ID_I],,0,)</f>
        <v>11_Mil_BB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2031</v>
      </c>
      <c r="N268" s="51"/>
      <c r="O268" s="119">
        <v>1155.1827348603367</v>
      </c>
      <c r="P268" s="51" t="s">
        <v>389</v>
      </c>
      <c r="Q268" s="51"/>
      <c r="R268" s="51"/>
      <c r="S268" s="69"/>
      <c r="T268" s="51"/>
      <c r="U268" s="51"/>
      <c r="V268" s="51"/>
      <c r="W268" s="51"/>
      <c r="X268" s="51" t="s">
        <v>71</v>
      </c>
      <c r="Y268" s="106"/>
      <c r="Z268" s="51"/>
      <c r="AA268" s="86">
        <f t="shared" si="8"/>
        <v>1155.1827348603367</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1155.1827348603367</v>
      </c>
      <c r="AH268" s="61" t="str">
        <f>Tab_Data_Flows[[#This Row],[UoM_Flow_Py]]</f>
        <v>Mg</v>
      </c>
      <c r="AI268" s="111">
        <f>INDEX(Tab_Def_Flows[[Flow_ID]:[CC_DM_source]],MATCH(Tab_Data_Flows[[#This Row],[Name(EN)]],Tab_Def_Flows[Name(EN)],0),20)</f>
        <v>1</v>
      </c>
      <c r="AJ268" s="109">
        <f>IF(L268="Yes",AI268*Tab_Data_Flows[[#This Row],[Flow_Py]]*Tab_Data_Flows[[#This Row],[DM_'[%']]],"N.A.")</f>
        <v>1155.1827348603367</v>
      </c>
      <c r="AK268" s="61" t="str">
        <f>Tab_Data_Flows[[#This Row],[UoM_Flow_Py]]</f>
        <v>Mg</v>
      </c>
    </row>
    <row r="269" spans="1:37" ht="15.75" thickBot="1" x14ac:dyDescent="0.3">
      <c r="A269" s="60">
        <f t="shared" si="6"/>
        <v>268</v>
      </c>
      <c r="B269" s="49" t="str">
        <f>_xlfn.XLOOKUP(C269,Tab_Def_Flows[Name(EN)],Tab_Def_Flows[Flow_ID],,0,)</f>
        <v>F_19_11</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Millet_Production</v>
      </c>
      <c r="H269" s="61" t="str">
        <f>_xlfn.XLOOKUP(C269,Tab_Def_Flows[Name(EN)],Tab_Def_Flows[Process_ID_I],,0,)</f>
        <v>11_Mil_BB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2032</v>
      </c>
      <c r="N269" s="51"/>
      <c r="O269" s="119">
        <v>972.08605381122095</v>
      </c>
      <c r="P269" s="51" t="s">
        <v>389</v>
      </c>
      <c r="Q269" s="51"/>
      <c r="R269" s="51"/>
      <c r="S269" s="69"/>
      <c r="T269" s="51"/>
      <c r="U269" s="51"/>
      <c r="V269" s="51"/>
      <c r="W269" s="51"/>
      <c r="X269" s="51" t="s">
        <v>71</v>
      </c>
      <c r="Y269" s="106"/>
      <c r="Z269" s="51"/>
      <c r="AA269" s="86">
        <f t="shared" si="8"/>
        <v>972.08605381122095</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972.08605381122095</v>
      </c>
      <c r="AH269" s="61" t="str">
        <f>Tab_Data_Flows[[#This Row],[UoM_Flow_Py]]</f>
        <v>Mg</v>
      </c>
      <c r="AI269" s="111">
        <f>INDEX(Tab_Def_Flows[[Flow_ID]:[CC_DM_source]],MATCH(Tab_Data_Flows[[#This Row],[Name(EN)]],Tab_Def_Flows[Name(EN)],0),20)</f>
        <v>1</v>
      </c>
      <c r="AJ269" s="109">
        <f>IF(L269="Yes",AI269*Tab_Data_Flows[[#This Row],[Flow_Py]]*Tab_Data_Flows[[#This Row],[DM_'[%']]],"N.A.")</f>
        <v>972.08605381122095</v>
      </c>
      <c r="AK269" s="61" t="str">
        <f>Tab_Data_Flows[[#This Row],[UoM_Flow_Py]]</f>
        <v>Mg</v>
      </c>
    </row>
    <row r="270" spans="1:37" ht="15.75" thickBot="1" x14ac:dyDescent="0.3">
      <c r="A270" s="60">
        <f t="shared" si="6"/>
        <v>269</v>
      </c>
      <c r="B270" s="49" t="str">
        <f>_xlfn.XLOOKUP(C270,Tab_Def_Flows[Name(EN)],Tab_Def_Flows[Flow_ID],,0,)</f>
        <v>F_19_11</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Millet_Production</v>
      </c>
      <c r="H270" s="61" t="str">
        <f>_xlfn.XLOOKUP(C270,Tab_Def_Flows[Name(EN)],Tab_Def_Flows[Process_ID_I],,0,)</f>
        <v>11_Mil_BB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2033</v>
      </c>
      <c r="N270" s="51"/>
      <c r="O270" s="119">
        <v>693.11187244186999</v>
      </c>
      <c r="P270" s="51" t="s">
        <v>389</v>
      </c>
      <c r="Q270" s="51"/>
      <c r="R270" s="51"/>
      <c r="S270" s="69"/>
      <c r="T270" s="51"/>
      <c r="U270" s="51"/>
      <c r="V270" s="51"/>
      <c r="W270" s="51"/>
      <c r="X270" s="51" t="s">
        <v>71</v>
      </c>
      <c r="Y270" s="106"/>
      <c r="Z270" s="51"/>
      <c r="AA270" s="86">
        <f t="shared" si="8"/>
        <v>693.11187244186999</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693.11187244186999</v>
      </c>
      <c r="AH270" s="61" t="str">
        <f>Tab_Data_Flows[[#This Row],[UoM_Flow_Py]]</f>
        <v>Mg</v>
      </c>
      <c r="AI270" s="111">
        <f>INDEX(Tab_Def_Flows[[Flow_ID]:[CC_DM_source]],MATCH(Tab_Data_Flows[[#This Row],[Name(EN)]],Tab_Def_Flows[Name(EN)],0),20)</f>
        <v>1</v>
      </c>
      <c r="AJ270" s="109">
        <f>IF(L270="Yes",AI270*Tab_Data_Flows[[#This Row],[Flow_Py]]*Tab_Data_Flows[[#This Row],[DM_'[%']]],"N.A.")</f>
        <v>693.11187244186999</v>
      </c>
      <c r="AK270" s="61" t="str">
        <f>Tab_Data_Flows[[#This Row],[UoM_Flow_Py]]</f>
        <v>Mg</v>
      </c>
    </row>
    <row r="271" spans="1:37" ht="15.75" thickBot="1" x14ac:dyDescent="0.3">
      <c r="A271" s="60">
        <f t="shared" si="6"/>
        <v>270</v>
      </c>
      <c r="B271" s="49" t="str">
        <f>_xlfn.XLOOKUP(C271,Tab_Def_Flows[Name(EN)],Tab_Def_Flows[Flow_ID],,0,)</f>
        <v>F_19_11</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Millet_Production</v>
      </c>
      <c r="H271" s="61" t="str">
        <f>_xlfn.XLOOKUP(C271,Tab_Def_Flows[Name(EN)],Tab_Def_Flows[Process_ID_I],,0,)</f>
        <v>11_Mil_BB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2034</v>
      </c>
      <c r="N271" s="51"/>
      <c r="O271" s="119">
        <v>921.37463300876925</v>
      </c>
      <c r="P271" s="51" t="s">
        <v>389</v>
      </c>
      <c r="Q271" s="51"/>
      <c r="R271" s="51"/>
      <c r="S271" s="69"/>
      <c r="T271" s="51"/>
      <c r="U271" s="51"/>
      <c r="V271" s="51"/>
      <c r="W271" s="51"/>
      <c r="X271" s="51" t="s">
        <v>71</v>
      </c>
      <c r="Y271" s="106"/>
      <c r="Z271" s="51"/>
      <c r="AA271" s="86">
        <f t="shared" si="8"/>
        <v>921.37463300876925</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921.37463300876925</v>
      </c>
      <c r="AH271" s="61" t="str">
        <f>Tab_Data_Flows[[#This Row],[UoM_Flow_Py]]</f>
        <v>Mg</v>
      </c>
      <c r="AI271" s="111">
        <f>INDEX(Tab_Def_Flows[[Flow_ID]:[CC_DM_source]],MATCH(Tab_Data_Flows[[#This Row],[Name(EN)]],Tab_Def_Flows[Name(EN)],0),20)</f>
        <v>1</v>
      </c>
      <c r="AJ271" s="109">
        <f>IF(L271="Yes",AI271*Tab_Data_Flows[[#This Row],[Flow_Py]]*Tab_Data_Flows[[#This Row],[DM_'[%']]],"N.A.")</f>
        <v>921.37463300876925</v>
      </c>
      <c r="AK271" s="61" t="str">
        <f>Tab_Data_Flows[[#This Row],[UoM_Flow_Py]]</f>
        <v>Mg</v>
      </c>
    </row>
    <row r="272" spans="1:37" ht="15.75" thickBot="1" x14ac:dyDescent="0.3">
      <c r="A272" s="60">
        <f t="shared" si="6"/>
        <v>271</v>
      </c>
      <c r="B272" s="49" t="str">
        <f>_xlfn.XLOOKUP(C272,Tab_Def_Flows[Name(EN)],Tab_Def_Flows[Flow_ID],,0,)</f>
        <v>F_19_11</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Millet_Production</v>
      </c>
      <c r="H272" s="61" t="str">
        <f>_xlfn.XLOOKUP(C272,Tab_Def_Flows[Name(EN)],Tab_Def_Flows[Process_ID_I],,0,)</f>
        <v>11_Mil_BB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2035</v>
      </c>
      <c r="N272" s="51"/>
      <c r="O272" s="119">
        <v>694.47310309927354</v>
      </c>
      <c r="P272" s="51" t="s">
        <v>389</v>
      </c>
      <c r="Q272" s="51"/>
      <c r="R272" s="51"/>
      <c r="S272" s="69"/>
      <c r="T272" s="51"/>
      <c r="U272" s="51"/>
      <c r="V272" s="51"/>
      <c r="W272" s="51"/>
      <c r="X272" s="51" t="s">
        <v>71</v>
      </c>
      <c r="Y272" s="106"/>
      <c r="Z272" s="51"/>
      <c r="AA272" s="86">
        <f t="shared" si="8"/>
        <v>694.47310309927354</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694.47310309927354</v>
      </c>
      <c r="AH272" s="61" t="str">
        <f>Tab_Data_Flows[[#This Row],[UoM_Flow_Py]]</f>
        <v>Mg</v>
      </c>
      <c r="AI272" s="111">
        <f>INDEX(Tab_Def_Flows[[Flow_ID]:[CC_DM_source]],MATCH(Tab_Data_Flows[[#This Row],[Name(EN)]],Tab_Def_Flows[Name(EN)],0),20)</f>
        <v>1</v>
      </c>
      <c r="AJ272" s="109">
        <f>IF(L272="Yes",AI272*Tab_Data_Flows[[#This Row],[Flow_Py]]*Tab_Data_Flows[[#This Row],[DM_'[%']]],"N.A.")</f>
        <v>694.47310309927354</v>
      </c>
      <c r="AK272" s="61" t="str">
        <f>Tab_Data_Flows[[#This Row],[UoM_Flow_Py]]</f>
        <v>Mg</v>
      </c>
    </row>
    <row r="273" spans="1:37" ht="15.75" thickBot="1" x14ac:dyDescent="0.3">
      <c r="A273" s="60">
        <f t="shared" si="6"/>
        <v>272</v>
      </c>
      <c r="B273" s="49" t="str">
        <f>_xlfn.XLOOKUP(C273,Tab_Def_Flows[Name(EN)],Tab_Def_Flows[Flow_ID],,0,)</f>
        <v>F_19_11</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Millet_Production</v>
      </c>
      <c r="H273" s="61" t="str">
        <f>_xlfn.XLOOKUP(C273,Tab_Def_Flows[Name(EN)],Tab_Def_Flows[Process_ID_I],,0,)</f>
        <v>11_Mil_BB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2036</v>
      </c>
      <c r="N273" s="51"/>
      <c r="O273" s="119">
        <v>693.94869456732306</v>
      </c>
      <c r="P273" s="51" t="s">
        <v>389</v>
      </c>
      <c r="Q273" s="51"/>
      <c r="R273" s="51"/>
      <c r="S273" s="69"/>
      <c r="T273" s="51"/>
      <c r="U273" s="51"/>
      <c r="V273" s="51"/>
      <c r="W273" s="51"/>
      <c r="X273" s="51" t="s">
        <v>71</v>
      </c>
      <c r="Y273" s="106"/>
      <c r="Z273" s="51"/>
      <c r="AA273" s="86">
        <f t="shared" si="8"/>
        <v>693.94869456732306</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693.94869456732306</v>
      </c>
      <c r="AH273" s="61" t="str">
        <f>Tab_Data_Flows[[#This Row],[UoM_Flow_Py]]</f>
        <v>Mg</v>
      </c>
      <c r="AI273" s="111">
        <f>INDEX(Tab_Def_Flows[[Flow_ID]:[CC_DM_source]],MATCH(Tab_Data_Flows[[#This Row],[Name(EN)]],Tab_Def_Flows[Name(EN)],0),20)</f>
        <v>1</v>
      </c>
      <c r="AJ273" s="109">
        <f>IF(L273="Yes",AI273*Tab_Data_Flows[[#This Row],[Flow_Py]]*Tab_Data_Flows[[#This Row],[DM_'[%']]],"N.A.")</f>
        <v>693.94869456732306</v>
      </c>
      <c r="AK273" s="61" t="str">
        <f>Tab_Data_Flows[[#This Row],[UoM_Flow_Py]]</f>
        <v>Mg</v>
      </c>
    </row>
    <row r="274" spans="1:37" ht="15.75" thickBot="1" x14ac:dyDescent="0.3">
      <c r="A274" s="60">
        <f t="shared" si="6"/>
        <v>273</v>
      </c>
      <c r="B274" s="49" t="str">
        <f>_xlfn.XLOOKUP(C274,Tab_Def_Flows[Name(EN)],Tab_Def_Flows[Flow_ID],,0,)</f>
        <v>F_19_11</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Millet_Production</v>
      </c>
      <c r="H274" s="61" t="str">
        <f>_xlfn.XLOOKUP(C274,Tab_Def_Flows[Name(EN)],Tab_Def_Flows[Process_ID_I],,0,)</f>
        <v>11_Mil_BB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2037</v>
      </c>
      <c r="N274" s="51"/>
      <c r="O274" s="119">
        <v>853.56972559039764</v>
      </c>
      <c r="P274" s="51" t="s">
        <v>389</v>
      </c>
      <c r="Q274" s="51"/>
      <c r="R274" s="51"/>
      <c r="S274" s="69"/>
      <c r="T274" s="51"/>
      <c r="U274" s="51"/>
      <c r="V274" s="51"/>
      <c r="W274" s="51"/>
      <c r="X274" s="51" t="s">
        <v>71</v>
      </c>
      <c r="Y274" s="106"/>
      <c r="Z274" s="51"/>
      <c r="AA274" s="86">
        <f t="shared" si="8"/>
        <v>853.56972559039764</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853.56972559039764</v>
      </c>
      <c r="AH274" s="61" t="str">
        <f>Tab_Data_Flows[[#This Row],[UoM_Flow_Py]]</f>
        <v>Mg</v>
      </c>
      <c r="AI274" s="111">
        <f>INDEX(Tab_Def_Flows[[Flow_ID]:[CC_DM_source]],MATCH(Tab_Data_Flows[[#This Row],[Name(EN)]],Tab_Def_Flows[Name(EN)],0),20)</f>
        <v>1</v>
      </c>
      <c r="AJ274" s="109">
        <f>IF(L274="Yes",AI274*Tab_Data_Flows[[#This Row],[Flow_Py]]*Tab_Data_Flows[[#This Row],[DM_'[%']]],"N.A.")</f>
        <v>853.56972559039764</v>
      </c>
      <c r="AK274" s="61" t="str">
        <f>Tab_Data_Flows[[#This Row],[UoM_Flow_Py]]</f>
        <v>Mg</v>
      </c>
    </row>
    <row r="275" spans="1:37" ht="15.75" thickBot="1" x14ac:dyDescent="0.3">
      <c r="A275" s="60">
        <f t="shared" si="6"/>
        <v>274</v>
      </c>
      <c r="B275" s="49" t="str">
        <f>_xlfn.XLOOKUP(C275,Tab_Def_Flows[Name(EN)],Tab_Def_Flows[Flow_ID],,0,)</f>
        <v>F_19_11</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Millet_Production</v>
      </c>
      <c r="H275" s="61" t="str">
        <f>_xlfn.XLOOKUP(C275,Tab_Def_Flows[Name(EN)],Tab_Def_Flows[Process_ID_I],,0,)</f>
        <v>11_Mil_BB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2038</v>
      </c>
      <c r="N275" s="51"/>
      <c r="O275" s="119">
        <v>367.46533172892055</v>
      </c>
      <c r="P275" s="51" t="s">
        <v>389</v>
      </c>
      <c r="Q275" s="51"/>
      <c r="R275" s="51"/>
      <c r="S275" s="69"/>
      <c r="T275" s="51"/>
      <c r="U275" s="51"/>
      <c r="V275" s="51"/>
      <c r="W275" s="51"/>
      <c r="X275" s="51" t="s">
        <v>71</v>
      </c>
      <c r="Y275" s="106"/>
      <c r="Z275" s="51"/>
      <c r="AA275" s="86">
        <f t="shared" si="8"/>
        <v>367.46533172892055</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367.46533172892055</v>
      </c>
      <c r="AH275" s="61" t="str">
        <f>Tab_Data_Flows[[#This Row],[UoM_Flow_Py]]</f>
        <v>Mg</v>
      </c>
      <c r="AI275" s="111">
        <f>INDEX(Tab_Def_Flows[[Flow_ID]:[CC_DM_source]],MATCH(Tab_Data_Flows[[#This Row],[Name(EN)]],Tab_Def_Flows[Name(EN)],0),20)</f>
        <v>1</v>
      </c>
      <c r="AJ275" s="109">
        <f>IF(L275="Yes",AI275*Tab_Data_Flows[[#This Row],[Flow_Py]]*Tab_Data_Flows[[#This Row],[DM_'[%']]],"N.A.")</f>
        <v>367.46533172892055</v>
      </c>
      <c r="AK275" s="61" t="str">
        <f>Tab_Data_Flows[[#This Row],[UoM_Flow_Py]]</f>
        <v>Mg</v>
      </c>
    </row>
    <row r="276" spans="1:37" ht="15.75" thickBot="1" x14ac:dyDescent="0.3">
      <c r="A276" s="60">
        <f t="shared" si="6"/>
        <v>275</v>
      </c>
      <c r="B276" s="49" t="str">
        <f>_xlfn.XLOOKUP(C276,Tab_Def_Flows[Name(EN)],Tab_Def_Flows[Flow_ID],,0,)</f>
        <v>F_19_11</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Millet_Production</v>
      </c>
      <c r="H276" s="61" t="str">
        <f>_xlfn.XLOOKUP(C276,Tab_Def_Flows[Name(EN)],Tab_Def_Flows[Process_ID_I],,0,)</f>
        <v>11_Mil_BB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2039</v>
      </c>
      <c r="N276" s="51"/>
      <c r="O276" s="119">
        <v>409.94242281691481</v>
      </c>
      <c r="P276" s="51" t="s">
        <v>389</v>
      </c>
      <c r="Q276" s="51"/>
      <c r="R276" s="51"/>
      <c r="S276" s="69"/>
      <c r="T276" s="51"/>
      <c r="U276" s="51"/>
      <c r="V276" s="51"/>
      <c r="W276" s="51"/>
      <c r="X276" s="51" t="s">
        <v>71</v>
      </c>
      <c r="Y276" s="106"/>
      <c r="Z276" s="51"/>
      <c r="AA276" s="86">
        <f t="shared" si="8"/>
        <v>409.94242281691481</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409.94242281691481</v>
      </c>
      <c r="AH276" s="61" t="str">
        <f>Tab_Data_Flows[[#This Row],[UoM_Flow_Py]]</f>
        <v>Mg</v>
      </c>
      <c r="AI276" s="111">
        <f>INDEX(Tab_Def_Flows[[Flow_ID]:[CC_DM_source]],MATCH(Tab_Data_Flows[[#This Row],[Name(EN)]],Tab_Def_Flows[Name(EN)],0),20)</f>
        <v>1</v>
      </c>
      <c r="AJ276" s="109">
        <f>IF(L276="Yes",AI276*Tab_Data_Flows[[#This Row],[Flow_Py]]*Tab_Data_Flows[[#This Row],[DM_'[%']]],"N.A.")</f>
        <v>409.94242281691481</v>
      </c>
      <c r="AK276" s="61" t="str">
        <f>Tab_Data_Flows[[#This Row],[UoM_Flow_Py]]</f>
        <v>Mg</v>
      </c>
    </row>
    <row r="277" spans="1:37" ht="15.75" thickBot="1" x14ac:dyDescent="0.3">
      <c r="A277" s="60">
        <f t="shared" si="6"/>
        <v>276</v>
      </c>
      <c r="B277" s="49" t="str">
        <f>_xlfn.XLOOKUP(C277,Tab_Def_Flows[Name(EN)],Tab_Def_Flows[Flow_ID],,0,)</f>
        <v>F_19_11</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Millet_Production</v>
      </c>
      <c r="H277" s="61" t="str">
        <f>_xlfn.XLOOKUP(C277,Tab_Def_Flows[Name(EN)],Tab_Def_Flows[Process_ID_I],,0,)</f>
        <v>11_Mil_BB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2040</v>
      </c>
      <c r="N277" s="51"/>
      <c r="O277" s="119">
        <v>672.18016167720577</v>
      </c>
      <c r="P277" s="51" t="s">
        <v>389</v>
      </c>
      <c r="Q277" s="51"/>
      <c r="R277" s="51"/>
      <c r="S277" s="69"/>
      <c r="T277" s="51"/>
      <c r="U277" s="51"/>
      <c r="V277" s="51"/>
      <c r="W277" s="51"/>
      <c r="X277" s="51" t="s">
        <v>71</v>
      </c>
      <c r="Y277" s="106"/>
      <c r="Z277" s="51"/>
      <c r="AA277" s="86">
        <f t="shared" si="8"/>
        <v>672.18016167720577</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672.18016167720577</v>
      </c>
      <c r="AH277" s="61" t="str">
        <f>Tab_Data_Flows[[#This Row],[UoM_Flow_Py]]</f>
        <v>Mg</v>
      </c>
      <c r="AI277" s="111">
        <f>INDEX(Tab_Def_Flows[[Flow_ID]:[CC_DM_source]],MATCH(Tab_Data_Flows[[#This Row],[Name(EN)]],Tab_Def_Flows[Name(EN)],0),20)</f>
        <v>1</v>
      </c>
      <c r="AJ277" s="109">
        <f>IF(L277="Yes",AI277*Tab_Data_Flows[[#This Row],[Flow_Py]]*Tab_Data_Flows[[#This Row],[DM_'[%']]],"N.A.")</f>
        <v>672.18016167720577</v>
      </c>
      <c r="AK277" s="61" t="str">
        <f>Tab_Data_Flows[[#This Row],[UoM_Flow_Py]]</f>
        <v>Mg</v>
      </c>
    </row>
    <row r="278" spans="1:37" ht="15.75" thickBot="1" x14ac:dyDescent="0.3">
      <c r="A278" s="60">
        <f t="shared" si="6"/>
        <v>277</v>
      </c>
      <c r="B278" s="49" t="str">
        <f>_xlfn.XLOOKUP(C278,Tab_Def_Flows[Name(EN)],Tab_Def_Flows[Flow_ID],,0,)</f>
        <v>F_19_11</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Millet_Production</v>
      </c>
      <c r="H278" s="61" t="str">
        <f>_xlfn.XLOOKUP(C278,Tab_Def_Flows[Name(EN)],Tab_Def_Flows[Process_ID_I],,0,)</f>
        <v>11_Mil_BB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2041</v>
      </c>
      <c r="N278" s="51"/>
      <c r="O278" s="119">
        <v>570.55648276219358</v>
      </c>
      <c r="P278" s="51" t="s">
        <v>389</v>
      </c>
      <c r="Q278" s="51"/>
      <c r="R278" s="51"/>
      <c r="S278" s="69"/>
      <c r="T278" s="51"/>
      <c r="U278" s="51"/>
      <c r="V278" s="51"/>
      <c r="W278" s="51"/>
      <c r="X278" s="51" t="s">
        <v>71</v>
      </c>
      <c r="Y278" s="106"/>
      <c r="Z278" s="51"/>
      <c r="AA278" s="86">
        <f t="shared" si="8"/>
        <v>570.55648276219358</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570.55648276219358</v>
      </c>
      <c r="AH278" s="61" t="str">
        <f>Tab_Data_Flows[[#This Row],[UoM_Flow_Py]]</f>
        <v>Mg</v>
      </c>
      <c r="AI278" s="111">
        <f>INDEX(Tab_Def_Flows[[Flow_ID]:[CC_DM_source]],MATCH(Tab_Data_Flows[[#This Row],[Name(EN)]],Tab_Def_Flows[Name(EN)],0),20)</f>
        <v>1</v>
      </c>
      <c r="AJ278" s="109">
        <f>IF(L278="Yes",AI278*Tab_Data_Flows[[#This Row],[Flow_Py]]*Tab_Data_Flows[[#This Row],[DM_'[%']]],"N.A.")</f>
        <v>570.55648276219358</v>
      </c>
      <c r="AK278" s="61" t="str">
        <f>Tab_Data_Flows[[#This Row],[UoM_Flow_Py]]</f>
        <v>Mg</v>
      </c>
    </row>
    <row r="279" spans="1:37" ht="15.75" thickBot="1" x14ac:dyDescent="0.3">
      <c r="A279" s="60">
        <f t="shared" si="6"/>
        <v>278</v>
      </c>
      <c r="B279" s="49" t="str">
        <f>_xlfn.XLOOKUP(C279,Tab_Def_Flows[Name(EN)],Tab_Def_Flows[Flow_ID],,0,)</f>
        <v>F_19_11</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Millet_Production</v>
      </c>
      <c r="H279" s="61" t="str">
        <f>_xlfn.XLOOKUP(C279,Tab_Def_Flows[Name(EN)],Tab_Def_Flows[Process_ID_I],,0,)</f>
        <v>11_Mil_BB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2042</v>
      </c>
      <c r="N279" s="51"/>
      <c r="O279" s="119">
        <v>869.87102059422205</v>
      </c>
      <c r="P279" s="51" t="s">
        <v>389</v>
      </c>
      <c r="Q279" s="51"/>
      <c r="R279" s="51"/>
      <c r="S279" s="69"/>
      <c r="T279" s="51"/>
      <c r="U279" s="51"/>
      <c r="V279" s="51"/>
      <c r="W279" s="51"/>
      <c r="X279" s="51" t="s">
        <v>71</v>
      </c>
      <c r="Y279" s="106"/>
      <c r="Z279" s="51"/>
      <c r="AA279" s="86">
        <f t="shared" si="8"/>
        <v>869.87102059422205</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869.87102059422205</v>
      </c>
      <c r="AH279" s="61" t="str">
        <f>Tab_Data_Flows[[#This Row],[UoM_Flow_Py]]</f>
        <v>Mg</v>
      </c>
      <c r="AI279" s="111">
        <f>INDEX(Tab_Def_Flows[[Flow_ID]:[CC_DM_source]],MATCH(Tab_Data_Flows[[#This Row],[Name(EN)]],Tab_Def_Flows[Name(EN)],0),20)</f>
        <v>1</v>
      </c>
      <c r="AJ279" s="109">
        <f>IF(L279="Yes",AI279*Tab_Data_Flows[[#This Row],[Flow_Py]]*Tab_Data_Flows[[#This Row],[DM_'[%']]],"N.A.")</f>
        <v>869.87102059422205</v>
      </c>
      <c r="AK279" s="61" t="str">
        <f>Tab_Data_Flows[[#This Row],[UoM_Flow_Py]]</f>
        <v>Mg</v>
      </c>
    </row>
    <row r="280" spans="1:37" ht="15.75" thickBot="1" x14ac:dyDescent="0.3">
      <c r="A280" s="60">
        <f t="shared" si="6"/>
        <v>279</v>
      </c>
      <c r="B280" s="49" t="str">
        <f>_xlfn.XLOOKUP(C280,Tab_Def_Flows[Name(EN)],Tab_Def_Flows[Flow_ID],,0,)</f>
        <v>F_19_11</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Millet_Production</v>
      </c>
      <c r="H280" s="61" t="str">
        <f>_xlfn.XLOOKUP(C280,Tab_Def_Flows[Name(EN)],Tab_Def_Flows[Process_ID_I],,0,)</f>
        <v>11_Mil_BB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2043</v>
      </c>
      <c r="N280" s="51"/>
      <c r="O280" s="119">
        <v>594.19949721332557</v>
      </c>
      <c r="P280" s="51" t="s">
        <v>389</v>
      </c>
      <c r="Q280" s="51"/>
      <c r="R280" s="51"/>
      <c r="S280" s="69"/>
      <c r="T280" s="51"/>
      <c r="U280" s="51"/>
      <c r="V280" s="51"/>
      <c r="W280" s="51"/>
      <c r="X280" s="51" t="s">
        <v>71</v>
      </c>
      <c r="Y280" s="106"/>
      <c r="Z280" s="51"/>
      <c r="AA280" s="86">
        <f t="shared" si="8"/>
        <v>594.19949721332557</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594.19949721332557</v>
      </c>
      <c r="AH280" s="61" t="str">
        <f>Tab_Data_Flows[[#This Row],[UoM_Flow_Py]]</f>
        <v>Mg</v>
      </c>
      <c r="AI280" s="111">
        <f>INDEX(Tab_Def_Flows[[Flow_ID]:[CC_DM_source]],MATCH(Tab_Data_Flows[[#This Row],[Name(EN)]],Tab_Def_Flows[Name(EN)],0),20)</f>
        <v>1</v>
      </c>
      <c r="AJ280" s="109">
        <f>IF(L280="Yes",AI280*Tab_Data_Flows[[#This Row],[Flow_Py]]*Tab_Data_Flows[[#This Row],[DM_'[%']]],"N.A.")</f>
        <v>594.19949721332557</v>
      </c>
      <c r="AK280" s="61" t="str">
        <f>Tab_Data_Flows[[#This Row],[UoM_Flow_Py]]</f>
        <v>Mg</v>
      </c>
    </row>
    <row r="281" spans="1:37" ht="15.75" thickBot="1" x14ac:dyDescent="0.3">
      <c r="A281" s="60">
        <f t="shared" si="6"/>
        <v>280</v>
      </c>
      <c r="B281" s="49" t="str">
        <f>_xlfn.XLOOKUP(C281,Tab_Def_Flows[Name(EN)],Tab_Def_Flows[Flow_ID],,0,)</f>
        <v>F_19_11</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Millet_Production</v>
      </c>
      <c r="H281" s="61" t="str">
        <f>_xlfn.XLOOKUP(C281,Tab_Def_Flows[Name(EN)],Tab_Def_Flows[Process_ID_I],,0,)</f>
        <v>11_Mil_BB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2044</v>
      </c>
      <c r="N281" s="51"/>
      <c r="O281" s="119">
        <v>480.45863392175403</v>
      </c>
      <c r="P281" s="51" t="s">
        <v>389</v>
      </c>
      <c r="Q281" s="51"/>
      <c r="R281" s="51"/>
      <c r="S281" s="69"/>
      <c r="T281" s="51"/>
      <c r="U281" s="51"/>
      <c r="V281" s="51"/>
      <c r="W281" s="51"/>
      <c r="X281" s="51" t="s">
        <v>71</v>
      </c>
      <c r="Y281" s="106"/>
      <c r="Z281" s="51"/>
      <c r="AA281" s="86">
        <f t="shared" si="8"/>
        <v>480.45863392175403</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480.45863392175403</v>
      </c>
      <c r="AH281" s="61" t="str">
        <f>Tab_Data_Flows[[#This Row],[UoM_Flow_Py]]</f>
        <v>Mg</v>
      </c>
      <c r="AI281" s="111">
        <f>INDEX(Tab_Def_Flows[[Flow_ID]:[CC_DM_source]],MATCH(Tab_Data_Flows[[#This Row],[Name(EN)]],Tab_Def_Flows[Name(EN)],0),20)</f>
        <v>1</v>
      </c>
      <c r="AJ281" s="109">
        <f>IF(L281="Yes",AI281*Tab_Data_Flows[[#This Row],[Flow_Py]]*Tab_Data_Flows[[#This Row],[DM_'[%']]],"N.A.")</f>
        <v>480.45863392175403</v>
      </c>
      <c r="AK281" s="61" t="str">
        <f>Tab_Data_Flows[[#This Row],[UoM_Flow_Py]]</f>
        <v>Mg</v>
      </c>
    </row>
    <row r="282" spans="1:37" ht="15.75" thickBot="1" x14ac:dyDescent="0.3">
      <c r="A282" s="60">
        <f t="shared" si="6"/>
        <v>281</v>
      </c>
      <c r="B282" s="49" t="str">
        <f>_xlfn.XLOOKUP(C282,Tab_Def_Flows[Name(EN)],Tab_Def_Flows[Flow_ID],,0,)</f>
        <v>F_19_11</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Millet_Production</v>
      </c>
      <c r="H282" s="61" t="str">
        <f>_xlfn.XLOOKUP(C282,Tab_Def_Flows[Name(EN)],Tab_Def_Flows[Process_ID_I],,0,)</f>
        <v>11_Mil_BB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2045</v>
      </c>
      <c r="N282" s="51"/>
      <c r="O282" s="119">
        <v>1129.5759778214751</v>
      </c>
      <c r="P282" s="51" t="s">
        <v>389</v>
      </c>
      <c r="Q282" s="51"/>
      <c r="R282" s="51"/>
      <c r="S282" s="69"/>
      <c r="T282" s="51"/>
      <c r="U282" s="51"/>
      <c r="V282" s="51"/>
      <c r="W282" s="51"/>
      <c r="X282" s="51" t="s">
        <v>71</v>
      </c>
      <c r="Y282" s="106"/>
      <c r="Z282" s="51"/>
      <c r="AA282" s="86">
        <f t="shared" si="8"/>
        <v>1129.5759778214751</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1129.5759778214751</v>
      </c>
      <c r="AH282" s="61" t="str">
        <f>Tab_Data_Flows[[#This Row],[UoM_Flow_Py]]</f>
        <v>Mg</v>
      </c>
      <c r="AI282" s="111">
        <f>INDEX(Tab_Def_Flows[[Flow_ID]:[CC_DM_source]],MATCH(Tab_Data_Flows[[#This Row],[Name(EN)]],Tab_Def_Flows[Name(EN)],0),20)</f>
        <v>1</v>
      </c>
      <c r="AJ282" s="109">
        <f>IF(L282="Yes",AI282*Tab_Data_Flows[[#This Row],[Flow_Py]]*Tab_Data_Flows[[#This Row],[DM_'[%']]],"N.A.")</f>
        <v>1129.5759778214751</v>
      </c>
      <c r="AK282" s="61" t="str">
        <f>Tab_Data_Flows[[#This Row],[UoM_Flow_Py]]</f>
        <v>Mg</v>
      </c>
    </row>
    <row r="283" spans="1:37" ht="15.75" thickBot="1" x14ac:dyDescent="0.3">
      <c r="A283" s="60">
        <f t="shared" si="6"/>
        <v>282</v>
      </c>
      <c r="B283" s="49" t="str">
        <f>_xlfn.XLOOKUP(C283,Tab_Def_Flows[Name(EN)],Tab_Def_Flows[Flow_ID],,0,)</f>
        <v>F_19_11</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Millet_Production</v>
      </c>
      <c r="H283" s="61" t="str">
        <f>_xlfn.XLOOKUP(C283,Tab_Def_Flows[Name(EN)],Tab_Def_Flows[Process_ID_I],,0,)</f>
        <v>11_Mil_BB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2046</v>
      </c>
      <c r="N283" s="51"/>
      <c r="O283" s="119">
        <v>748.07434964162303</v>
      </c>
      <c r="P283" s="51" t="s">
        <v>389</v>
      </c>
      <c r="Q283" s="51"/>
      <c r="R283" s="51"/>
      <c r="S283" s="69"/>
      <c r="T283" s="51"/>
      <c r="U283" s="51"/>
      <c r="V283" s="51"/>
      <c r="W283" s="51"/>
      <c r="X283" s="51" t="s">
        <v>71</v>
      </c>
      <c r="Y283" s="106"/>
      <c r="Z283" s="51"/>
      <c r="AA283" s="86">
        <f t="shared" si="8"/>
        <v>748.07434964162303</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748.07434964162303</v>
      </c>
      <c r="AH283" s="61" t="str">
        <f>Tab_Data_Flows[[#This Row],[UoM_Flow_Py]]</f>
        <v>Mg</v>
      </c>
      <c r="AI283" s="111">
        <f>INDEX(Tab_Def_Flows[[Flow_ID]:[CC_DM_source]],MATCH(Tab_Data_Flows[[#This Row],[Name(EN)]],Tab_Def_Flows[Name(EN)],0),20)</f>
        <v>1</v>
      </c>
      <c r="AJ283" s="109">
        <f>IF(L283="Yes",AI283*Tab_Data_Flows[[#This Row],[Flow_Py]]*Tab_Data_Flows[[#This Row],[DM_'[%']]],"N.A.")</f>
        <v>748.07434964162303</v>
      </c>
      <c r="AK283" s="61" t="str">
        <f>Tab_Data_Flows[[#This Row],[UoM_Flow_Py]]</f>
        <v>Mg</v>
      </c>
    </row>
    <row r="284" spans="1:37" ht="15.75" thickBot="1" x14ac:dyDescent="0.3">
      <c r="A284" s="60">
        <f t="shared" si="6"/>
        <v>283</v>
      </c>
      <c r="B284" s="49" t="str">
        <f>_xlfn.XLOOKUP(C284,Tab_Def_Flows[Name(EN)],Tab_Def_Flows[Flow_ID],,0,)</f>
        <v>F_19_11</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Millet_Production</v>
      </c>
      <c r="H284" s="61" t="str">
        <f>_xlfn.XLOOKUP(C284,Tab_Def_Flows[Name(EN)],Tab_Def_Flows[Process_ID_I],,0,)</f>
        <v>11_Mil_BB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2047</v>
      </c>
      <c r="N284" s="51"/>
      <c r="O284" s="119">
        <v>814.22792806576729</v>
      </c>
      <c r="P284" s="51" t="s">
        <v>389</v>
      </c>
      <c r="Q284" s="51"/>
      <c r="R284" s="51"/>
      <c r="S284" s="69"/>
      <c r="T284" s="51"/>
      <c r="U284" s="51"/>
      <c r="V284" s="51"/>
      <c r="W284" s="51"/>
      <c r="X284" s="51" t="s">
        <v>71</v>
      </c>
      <c r="Y284" s="106"/>
      <c r="Z284" s="51"/>
      <c r="AA284" s="86">
        <f t="shared" si="8"/>
        <v>814.22792806576729</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814.22792806576729</v>
      </c>
      <c r="AH284" s="61" t="str">
        <f>Tab_Data_Flows[[#This Row],[UoM_Flow_Py]]</f>
        <v>Mg</v>
      </c>
      <c r="AI284" s="111">
        <f>INDEX(Tab_Def_Flows[[Flow_ID]:[CC_DM_source]],MATCH(Tab_Data_Flows[[#This Row],[Name(EN)]],Tab_Def_Flows[Name(EN)],0),20)</f>
        <v>1</v>
      </c>
      <c r="AJ284" s="109">
        <f>IF(L284="Yes",AI284*Tab_Data_Flows[[#This Row],[Flow_Py]]*Tab_Data_Flows[[#This Row],[DM_'[%']]],"N.A.")</f>
        <v>814.22792806576729</v>
      </c>
      <c r="AK284" s="61" t="str">
        <f>Tab_Data_Flows[[#This Row],[UoM_Flow_Py]]</f>
        <v>Mg</v>
      </c>
    </row>
    <row r="285" spans="1:37" ht="15.75" thickBot="1" x14ac:dyDescent="0.3">
      <c r="A285" s="60">
        <f t="shared" si="6"/>
        <v>284</v>
      </c>
      <c r="B285" s="49" t="str">
        <f>_xlfn.XLOOKUP(C285,Tab_Def_Flows[Name(EN)],Tab_Def_Flows[Flow_ID],,0,)</f>
        <v>F_19_11</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Millet_Production</v>
      </c>
      <c r="H285" s="61" t="str">
        <f>_xlfn.XLOOKUP(C285,Tab_Def_Flows[Name(EN)],Tab_Def_Flows[Process_ID_I],,0,)</f>
        <v>11_Mil_BB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2048</v>
      </c>
      <c r="N285" s="51"/>
      <c r="O285" s="119">
        <v>477.64691158023197</v>
      </c>
      <c r="P285" s="51" t="s">
        <v>389</v>
      </c>
      <c r="Q285" s="51"/>
      <c r="R285" s="51"/>
      <c r="S285" s="69"/>
      <c r="T285" s="51"/>
      <c r="U285" s="51"/>
      <c r="V285" s="51"/>
      <c r="W285" s="51"/>
      <c r="X285" s="51" t="s">
        <v>71</v>
      </c>
      <c r="Y285" s="106"/>
      <c r="Z285" s="51"/>
      <c r="AA285" s="86">
        <f t="shared" si="8"/>
        <v>477.64691158023197</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477.64691158023197</v>
      </c>
      <c r="AH285" s="61" t="str">
        <f>Tab_Data_Flows[[#This Row],[UoM_Flow_Py]]</f>
        <v>Mg</v>
      </c>
      <c r="AI285" s="111">
        <f>INDEX(Tab_Def_Flows[[Flow_ID]:[CC_DM_source]],MATCH(Tab_Data_Flows[[#This Row],[Name(EN)]],Tab_Def_Flows[Name(EN)],0),20)</f>
        <v>1</v>
      </c>
      <c r="AJ285" s="109">
        <f>IF(L285="Yes",AI285*Tab_Data_Flows[[#This Row],[Flow_Py]]*Tab_Data_Flows[[#This Row],[DM_'[%']]],"N.A.")</f>
        <v>477.64691158023197</v>
      </c>
      <c r="AK285" s="61" t="str">
        <f>Tab_Data_Flows[[#This Row],[UoM_Flow_Py]]</f>
        <v>Mg</v>
      </c>
    </row>
    <row r="286" spans="1:37" ht="15.75" thickBot="1" x14ac:dyDescent="0.3">
      <c r="A286" s="60">
        <f t="shared" si="6"/>
        <v>285</v>
      </c>
      <c r="B286" s="49" t="str">
        <f>_xlfn.XLOOKUP(C286,Tab_Def_Flows[Name(EN)],Tab_Def_Flows[Flow_ID],,0,)</f>
        <v>F_19_11</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Millet_Production</v>
      </c>
      <c r="H286" s="61" t="str">
        <f>_xlfn.XLOOKUP(C286,Tab_Def_Flows[Name(EN)],Tab_Def_Flows[Process_ID_I],,0,)</f>
        <v>11_Mil_BB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2049</v>
      </c>
      <c r="N286" s="51"/>
      <c r="O286" s="119">
        <v>676.20806550771954</v>
      </c>
      <c r="P286" s="51" t="s">
        <v>389</v>
      </c>
      <c r="Q286" s="51"/>
      <c r="R286" s="51"/>
      <c r="S286" s="69"/>
      <c r="T286" s="51"/>
      <c r="U286" s="51"/>
      <c r="V286" s="51"/>
      <c r="W286" s="51"/>
      <c r="X286" s="51" t="s">
        <v>71</v>
      </c>
      <c r="Y286" s="106"/>
      <c r="Z286" s="51"/>
      <c r="AA286" s="86">
        <f t="shared" si="8"/>
        <v>676.20806550771954</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676.20806550771954</v>
      </c>
      <c r="AH286" s="61" t="str">
        <f>Tab_Data_Flows[[#This Row],[UoM_Flow_Py]]</f>
        <v>Mg</v>
      </c>
      <c r="AI286" s="111">
        <f>INDEX(Tab_Def_Flows[[Flow_ID]:[CC_DM_source]],MATCH(Tab_Data_Flows[[#This Row],[Name(EN)]],Tab_Def_Flows[Name(EN)],0),20)</f>
        <v>1</v>
      </c>
      <c r="AJ286" s="109">
        <f>IF(L286="Yes",AI286*Tab_Data_Flows[[#This Row],[Flow_Py]]*Tab_Data_Flows[[#This Row],[DM_'[%']]],"N.A.")</f>
        <v>676.20806550771954</v>
      </c>
      <c r="AK286" s="61" t="str">
        <f>Tab_Data_Flows[[#This Row],[UoM_Flow_Py]]</f>
        <v>Mg</v>
      </c>
    </row>
    <row r="287" spans="1:37" ht="15.75" thickBot="1" x14ac:dyDescent="0.3">
      <c r="A287" s="60">
        <f t="shared" si="6"/>
        <v>286</v>
      </c>
      <c r="B287" s="49" t="str">
        <f>_xlfn.XLOOKUP(C287,Tab_Def_Flows[Name(EN)],Tab_Def_Flows[Flow_ID],,0,)</f>
        <v>F_19_11</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Millet_Production</v>
      </c>
      <c r="H287" s="61" t="str">
        <f>_xlfn.XLOOKUP(C287,Tab_Def_Flows[Name(EN)],Tab_Def_Flows[Process_ID_I],,0,)</f>
        <v>11_Mil_BB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2050</v>
      </c>
      <c r="N287" s="51"/>
      <c r="O287" s="119">
        <v>824.01316811939762</v>
      </c>
      <c r="P287" s="51" t="s">
        <v>389</v>
      </c>
      <c r="Q287" s="51"/>
      <c r="R287" s="51"/>
      <c r="S287" s="69"/>
      <c r="T287" s="51"/>
      <c r="U287" s="51"/>
      <c r="V287" s="51"/>
      <c r="W287" s="51"/>
      <c r="X287" s="51" t="s">
        <v>71</v>
      </c>
      <c r="Y287" s="106"/>
      <c r="Z287" s="51"/>
      <c r="AA287" s="86">
        <f t="shared" si="8"/>
        <v>824.01316811939762</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824.01316811939762</v>
      </c>
      <c r="AH287" s="61" t="str">
        <f>Tab_Data_Flows[[#This Row],[UoM_Flow_Py]]</f>
        <v>Mg</v>
      </c>
      <c r="AI287" s="111">
        <f>INDEX(Tab_Def_Flows[[Flow_ID]:[CC_DM_source]],MATCH(Tab_Data_Flows[[#This Row],[Name(EN)]],Tab_Def_Flows[Name(EN)],0),20)</f>
        <v>1</v>
      </c>
      <c r="AJ287" s="109">
        <f>IF(L287="Yes",AI287*Tab_Data_Flows[[#This Row],[Flow_Py]]*Tab_Data_Flows[[#This Row],[DM_'[%']]],"N.A.")</f>
        <v>824.01316811939762</v>
      </c>
      <c r="AK287" s="61" t="str">
        <f>Tab_Data_Flows[[#This Row],[UoM_Flow_Py]]</f>
        <v>Mg</v>
      </c>
    </row>
    <row r="288" spans="1:37" ht="15.75" thickBot="1" x14ac:dyDescent="0.3">
      <c r="A288" s="60">
        <f t="shared" si="6"/>
        <v>287</v>
      </c>
      <c r="B288" s="49" t="str">
        <f>_xlfn.XLOOKUP(C288,Tab_Def_Flows[Name(EN)],Tab_Def_Flows[Flow_ID],,0,)</f>
        <v>F_24_24</v>
      </c>
      <c r="C288" s="51"/>
      <c r="D288" s="49">
        <f>_xlfn.XLOOKUP(C288,Tab_Def_Flows[Name(EN)],Tab_Def_Flows[Type_Biomass],,0,)</f>
        <v>0</v>
      </c>
      <c r="E288" s="49">
        <f>_xlfn.XLOOKUP(C288,Tab_Def_Flows[Name(EN)],Tab_Def_Flows[Output_Process],,0,)</f>
        <v>0</v>
      </c>
      <c r="F288" s="49" t="str">
        <f>_xlfn.XLOOKUP(C288,Tab_Def_Flows[Name(EN)],Tab_Def_Flows[Process_ID_O],,0,)</f>
        <v>24__</v>
      </c>
      <c r="G288" s="49">
        <f>_xlfn.XLOOKUP(C288,Tab_Def_Flows[Name(EN)],Tab_Def_Flows[Input_Process],,0,)</f>
        <v>0</v>
      </c>
      <c r="H288" s="61" t="str">
        <f>_xlfn.XLOOKUP(C288,Tab_Def_Flows[Name(EN)],Tab_Def_Flows[Process_ID_I],,0,)</f>
        <v>24__</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c r="N288" s="51"/>
      <c r="O288" s="119"/>
      <c r="P288" s="51" t="s">
        <v>389</v>
      </c>
      <c r="Q288" s="51"/>
      <c r="R288" s="51"/>
      <c r="S288" s="69"/>
      <c r="T288" s="51"/>
      <c r="U288" s="51"/>
      <c r="V288" s="51"/>
      <c r="W288" s="51"/>
      <c r="X288" s="51" t="s">
        <v>71</v>
      </c>
      <c r="Y288" s="106"/>
      <c r="Z288" s="51"/>
      <c r="AA288" s="86">
        <f t="shared" si="8"/>
        <v>0</v>
      </c>
      <c r="AB288" s="51" t="s">
        <v>63</v>
      </c>
      <c r="AC288" s="111" t="e">
        <f>INDEX(Tab_Def_Flows[[Flow_ID]:[CC_DM_source]],MATCH(Tab_Data_Flows[[#This Row],[Name(EN)]],Tab_Def_Flows[Name(EN)],0),16)</f>
        <v>#N/A</v>
      </c>
      <c r="AD288" s="112" t="e">
        <f>IF(J288="Yes",AA288*Tab_Data_Flows[[#This Row],[WC_'[%']]],"N.A.")</f>
        <v>#N/A</v>
      </c>
      <c r="AE288" s="61" t="str">
        <f>Tab_Data_Flows[[#This Row],[UoM_Flow_Py]]</f>
        <v>Mg</v>
      </c>
      <c r="AF288" s="111" t="e">
        <f>INDEX(Tab_Def_Flows[[Flow_ID]:[CC_DM_source]],MATCH(Tab_Data_Flows[[#This Row],[Name(EN)]],Tab_Def_Flows[Name(EN)],0),18)</f>
        <v>#N/A</v>
      </c>
      <c r="AG288" s="112" t="e">
        <f>IF(K288="Yes",AF288*Tab_Data_Flows[[#This Row],[Flow_Py]],"N.A.")</f>
        <v>#N/A</v>
      </c>
      <c r="AH288" s="61" t="str">
        <f>Tab_Data_Flows[[#This Row],[UoM_Flow_Py]]</f>
        <v>Mg</v>
      </c>
      <c r="AI288" s="111" t="e">
        <f>INDEX(Tab_Def_Flows[[Flow_ID]:[CC_DM_source]],MATCH(Tab_Data_Flows[[#This Row],[Name(EN)]],Tab_Def_Flows[Name(EN)],0),20)</f>
        <v>#N/A</v>
      </c>
      <c r="AJ288" s="109" t="e">
        <f>IF(L288="Yes",AI288*Tab_Data_Flows[[#This Row],[Flow_Py]]*Tab_Data_Flows[[#This Row],[DM_'[%']]],"N.A.")</f>
        <v>#N/A</v>
      </c>
      <c r="AK288" s="61" t="str">
        <f>Tab_Data_Flows[[#This Row],[UoM_Flow_Py]]</f>
        <v>Mg</v>
      </c>
    </row>
    <row r="289" spans="1:37" ht="15.75" thickBot="1" x14ac:dyDescent="0.3">
      <c r="A289" s="60">
        <f t="shared" si="6"/>
        <v>288</v>
      </c>
      <c r="B289" s="49" t="str">
        <f>_xlfn.XLOOKUP(C289,Tab_Def_Flows[Name(EN)],Tab_Def_Flows[Flow_ID],,0,)</f>
        <v>F_24_24</v>
      </c>
      <c r="C289" s="51"/>
      <c r="D289" s="49">
        <f>_xlfn.XLOOKUP(C289,Tab_Def_Flows[Name(EN)],Tab_Def_Flows[Type_Biomass],,0,)</f>
        <v>0</v>
      </c>
      <c r="E289" s="49">
        <f>_xlfn.XLOOKUP(C289,Tab_Def_Flows[Name(EN)],Tab_Def_Flows[Output_Process],,0,)</f>
        <v>0</v>
      </c>
      <c r="F289" s="49" t="str">
        <f>_xlfn.XLOOKUP(C289,Tab_Def_Flows[Name(EN)],Tab_Def_Flows[Process_ID_O],,0,)</f>
        <v>24__</v>
      </c>
      <c r="G289" s="49">
        <f>_xlfn.XLOOKUP(C289,Tab_Def_Flows[Name(EN)],Tab_Def_Flows[Input_Process],,0,)</f>
        <v>0</v>
      </c>
      <c r="H289" s="61" t="str">
        <f>_xlfn.XLOOKUP(C289,Tab_Def_Flows[Name(EN)],Tab_Def_Flows[Process_ID_I],,0,)</f>
        <v>24__</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c r="N289" s="51"/>
      <c r="O289" s="119"/>
      <c r="P289" s="51" t="s">
        <v>389</v>
      </c>
      <c r="Q289" s="51"/>
      <c r="R289" s="51"/>
      <c r="S289" s="69"/>
      <c r="T289" s="51"/>
      <c r="U289" s="51"/>
      <c r="V289" s="51"/>
      <c r="W289" s="51"/>
      <c r="X289" s="51" t="s">
        <v>71</v>
      </c>
      <c r="Y289" s="106"/>
      <c r="Z289" s="51"/>
      <c r="AA289" s="86">
        <f t="shared" si="8"/>
        <v>0</v>
      </c>
      <c r="AB289" s="51" t="s">
        <v>63</v>
      </c>
      <c r="AC289" s="111" t="e">
        <f>INDEX(Tab_Def_Flows[[Flow_ID]:[CC_DM_source]],MATCH(Tab_Data_Flows[[#This Row],[Name(EN)]],Tab_Def_Flows[Name(EN)],0),16)</f>
        <v>#N/A</v>
      </c>
      <c r="AD289" s="112" t="e">
        <f>IF(J289="Yes",AA289*Tab_Data_Flows[[#This Row],[WC_'[%']]],"N.A.")</f>
        <v>#N/A</v>
      </c>
      <c r="AE289" s="61" t="str">
        <f>Tab_Data_Flows[[#This Row],[UoM_Flow_Py]]</f>
        <v>Mg</v>
      </c>
      <c r="AF289" s="111" t="e">
        <f>INDEX(Tab_Def_Flows[[Flow_ID]:[CC_DM_source]],MATCH(Tab_Data_Flows[[#This Row],[Name(EN)]],Tab_Def_Flows[Name(EN)],0),18)</f>
        <v>#N/A</v>
      </c>
      <c r="AG289" s="112" t="e">
        <f>IF(K289="Yes",AF289*Tab_Data_Flows[[#This Row],[Flow_Py]],"N.A.")</f>
        <v>#N/A</v>
      </c>
      <c r="AH289" s="61" t="str">
        <f>Tab_Data_Flows[[#This Row],[UoM_Flow_Py]]</f>
        <v>Mg</v>
      </c>
      <c r="AI289" s="111" t="e">
        <f>INDEX(Tab_Def_Flows[[Flow_ID]:[CC_DM_source]],MATCH(Tab_Data_Flows[[#This Row],[Name(EN)]],Tab_Def_Flows[Name(EN)],0),20)</f>
        <v>#N/A</v>
      </c>
      <c r="AJ289" s="109" t="e">
        <f>IF(L289="Yes",AI289*Tab_Data_Flows[[#This Row],[Flow_Py]]*Tab_Data_Flows[[#This Row],[DM_'[%']]],"N.A.")</f>
        <v>#N/A</v>
      </c>
      <c r="AK289" s="61" t="str">
        <f>Tab_Data_Flows[[#This Row],[UoM_Flow_Py]]</f>
        <v>Mg</v>
      </c>
    </row>
    <row r="290" spans="1:37" ht="15.75" thickBot="1" x14ac:dyDescent="0.3">
      <c r="A290" s="60">
        <f t="shared" ref="A290:A353" si="9">ROW()-1</f>
        <v>289</v>
      </c>
      <c r="B290" s="49" t="str">
        <f>_xlfn.XLOOKUP(C290,Tab_Def_Flows[Name(EN)],Tab_Def_Flows[Flow_ID],,0,)</f>
        <v>F_24_24</v>
      </c>
      <c r="C290" s="51"/>
      <c r="D290" s="49">
        <f>_xlfn.XLOOKUP(C290,Tab_Def_Flows[Name(EN)],Tab_Def_Flows[Type_Biomass],,0,)</f>
        <v>0</v>
      </c>
      <c r="E290" s="49">
        <f>_xlfn.XLOOKUP(C290,Tab_Def_Flows[Name(EN)],Tab_Def_Flows[Output_Process],,0,)</f>
        <v>0</v>
      </c>
      <c r="F290" s="49" t="str">
        <f>_xlfn.XLOOKUP(C290,Tab_Def_Flows[Name(EN)],Tab_Def_Flows[Process_ID_O],,0,)</f>
        <v>24__</v>
      </c>
      <c r="G290" s="49">
        <f>_xlfn.XLOOKUP(C290,Tab_Def_Flows[Name(EN)],Tab_Def_Flows[Input_Process],,0,)</f>
        <v>0</v>
      </c>
      <c r="H290" s="61" t="str">
        <f>_xlfn.XLOOKUP(C290,Tab_Def_Flows[Name(EN)],Tab_Def_Flows[Process_ID_I],,0,)</f>
        <v>24__</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c r="N290" s="51"/>
      <c r="O290" s="119"/>
      <c r="P290" s="51" t="s">
        <v>389</v>
      </c>
      <c r="Q290" s="51"/>
      <c r="R290" s="51"/>
      <c r="S290" s="69"/>
      <c r="T290" s="51"/>
      <c r="U290" s="51"/>
      <c r="V290" s="51"/>
      <c r="W290" s="51"/>
      <c r="X290" s="51" t="s">
        <v>71</v>
      </c>
      <c r="Y290" s="106"/>
      <c r="Z290" s="51"/>
      <c r="AA290" s="86">
        <f t="shared" ref="AA290:AA312" si="10">IF(X290="no",O290,O290*Y290)</f>
        <v>0</v>
      </c>
      <c r="AB290" s="51" t="s">
        <v>63</v>
      </c>
      <c r="AC290" s="111" t="e">
        <f>INDEX(Tab_Def_Flows[[Flow_ID]:[CC_DM_source]],MATCH(Tab_Data_Flows[[#This Row],[Name(EN)]],Tab_Def_Flows[Name(EN)],0),16)</f>
        <v>#N/A</v>
      </c>
      <c r="AD290" s="112" t="e">
        <f>IF(J290="Yes",AA290*Tab_Data_Flows[[#This Row],[WC_'[%']]],"N.A.")</f>
        <v>#N/A</v>
      </c>
      <c r="AE290" s="61" t="str">
        <f>Tab_Data_Flows[[#This Row],[UoM_Flow_Py]]</f>
        <v>Mg</v>
      </c>
      <c r="AF290" s="111" t="e">
        <f>INDEX(Tab_Def_Flows[[Flow_ID]:[CC_DM_source]],MATCH(Tab_Data_Flows[[#This Row],[Name(EN)]],Tab_Def_Flows[Name(EN)],0),18)</f>
        <v>#N/A</v>
      </c>
      <c r="AG290" s="112" t="e">
        <f>IF(K290="Yes",AF290*Tab_Data_Flows[[#This Row],[Flow_Py]],"N.A.")</f>
        <v>#N/A</v>
      </c>
      <c r="AH290" s="61" t="str">
        <f>Tab_Data_Flows[[#This Row],[UoM_Flow_Py]]</f>
        <v>Mg</v>
      </c>
      <c r="AI290" s="111" t="e">
        <f>INDEX(Tab_Def_Flows[[Flow_ID]:[CC_DM_source]],MATCH(Tab_Data_Flows[[#This Row],[Name(EN)]],Tab_Def_Flows[Name(EN)],0),20)</f>
        <v>#N/A</v>
      </c>
      <c r="AJ290" s="109" t="e">
        <f>IF(L290="Yes",AI290*Tab_Data_Flows[[#This Row],[Flow_Py]]*Tab_Data_Flows[[#This Row],[DM_'[%']]],"N.A.")</f>
        <v>#N/A</v>
      </c>
      <c r="AK290" s="61" t="str">
        <f>Tab_Data_Flows[[#This Row],[UoM_Flow_Py]]</f>
        <v>Mg</v>
      </c>
    </row>
    <row r="291" spans="1:37" ht="15.75" thickBot="1" x14ac:dyDescent="0.3">
      <c r="A291" s="60">
        <f t="shared" si="9"/>
        <v>290</v>
      </c>
      <c r="B291" s="49" t="str">
        <f>_xlfn.XLOOKUP(C291,Tab_Def_Flows[Name(EN)],Tab_Def_Flows[Flow_ID],,0,)</f>
        <v>F_24_24</v>
      </c>
      <c r="C291" s="51"/>
      <c r="D291" s="49">
        <f>_xlfn.XLOOKUP(C291,Tab_Def_Flows[Name(EN)],Tab_Def_Flows[Type_Biomass],,0,)</f>
        <v>0</v>
      </c>
      <c r="E291" s="49">
        <f>_xlfn.XLOOKUP(C291,Tab_Def_Flows[Name(EN)],Tab_Def_Flows[Output_Process],,0,)</f>
        <v>0</v>
      </c>
      <c r="F291" s="49" t="str">
        <f>_xlfn.XLOOKUP(C291,Tab_Def_Flows[Name(EN)],Tab_Def_Flows[Process_ID_O],,0,)</f>
        <v>24__</v>
      </c>
      <c r="G291" s="49">
        <f>_xlfn.XLOOKUP(C291,Tab_Def_Flows[Name(EN)],Tab_Def_Flows[Input_Process],,0,)</f>
        <v>0</v>
      </c>
      <c r="H291" s="61" t="str">
        <f>_xlfn.XLOOKUP(C291,Tab_Def_Flows[Name(EN)],Tab_Def_Flows[Process_ID_I],,0,)</f>
        <v>24__</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c r="N291" s="51"/>
      <c r="O291" s="119"/>
      <c r="P291" s="51" t="s">
        <v>389</v>
      </c>
      <c r="Q291" s="51"/>
      <c r="R291" s="51"/>
      <c r="S291" s="69"/>
      <c r="T291" s="51"/>
      <c r="U291" s="51"/>
      <c r="V291" s="51"/>
      <c r="W291" s="51"/>
      <c r="X291" s="51" t="s">
        <v>71</v>
      </c>
      <c r="Y291" s="106"/>
      <c r="Z291" s="51"/>
      <c r="AA291" s="86">
        <f t="shared" si="10"/>
        <v>0</v>
      </c>
      <c r="AB291" s="51" t="s">
        <v>63</v>
      </c>
      <c r="AC291" s="111" t="e">
        <f>INDEX(Tab_Def_Flows[[Flow_ID]:[CC_DM_source]],MATCH(Tab_Data_Flows[[#This Row],[Name(EN)]],Tab_Def_Flows[Name(EN)],0),16)</f>
        <v>#N/A</v>
      </c>
      <c r="AD291" s="112" t="e">
        <f>IF(J291="Yes",AA291*Tab_Data_Flows[[#This Row],[WC_'[%']]],"N.A.")</f>
        <v>#N/A</v>
      </c>
      <c r="AE291" s="61" t="str">
        <f>Tab_Data_Flows[[#This Row],[UoM_Flow_Py]]</f>
        <v>Mg</v>
      </c>
      <c r="AF291" s="111" t="e">
        <f>INDEX(Tab_Def_Flows[[Flow_ID]:[CC_DM_source]],MATCH(Tab_Data_Flows[[#This Row],[Name(EN)]],Tab_Def_Flows[Name(EN)],0),18)</f>
        <v>#N/A</v>
      </c>
      <c r="AG291" s="112" t="e">
        <f>IF(K291="Yes",AF291*Tab_Data_Flows[[#This Row],[Flow_Py]],"N.A.")</f>
        <v>#N/A</v>
      </c>
      <c r="AH291" s="61" t="str">
        <f>Tab_Data_Flows[[#This Row],[UoM_Flow_Py]]</f>
        <v>Mg</v>
      </c>
      <c r="AI291" s="111" t="e">
        <f>INDEX(Tab_Def_Flows[[Flow_ID]:[CC_DM_source]],MATCH(Tab_Data_Flows[[#This Row],[Name(EN)]],Tab_Def_Flows[Name(EN)],0),20)</f>
        <v>#N/A</v>
      </c>
      <c r="AJ291" s="109" t="e">
        <f>IF(L291="Yes",AI291*Tab_Data_Flows[[#This Row],[Flow_Py]]*Tab_Data_Flows[[#This Row],[DM_'[%']]],"N.A.")</f>
        <v>#N/A</v>
      </c>
      <c r="AK291" s="61" t="str">
        <f>Tab_Data_Flows[[#This Row],[UoM_Flow_Py]]</f>
        <v>Mg</v>
      </c>
    </row>
    <row r="292" spans="1:37" ht="15.75" thickBot="1" x14ac:dyDescent="0.3">
      <c r="A292" s="60">
        <f t="shared" si="9"/>
        <v>291</v>
      </c>
      <c r="B292" s="49" t="str">
        <f>_xlfn.XLOOKUP(C292,Tab_Def_Flows[Name(EN)],Tab_Def_Flows[Flow_ID],,0,)</f>
        <v>F_24_24</v>
      </c>
      <c r="C292" s="51"/>
      <c r="D292" s="49">
        <f>_xlfn.XLOOKUP(C292,Tab_Def_Flows[Name(EN)],Tab_Def_Flows[Type_Biomass],,0,)</f>
        <v>0</v>
      </c>
      <c r="E292" s="49">
        <f>_xlfn.XLOOKUP(C292,Tab_Def_Flows[Name(EN)],Tab_Def_Flows[Output_Process],,0,)</f>
        <v>0</v>
      </c>
      <c r="F292" s="49" t="str">
        <f>_xlfn.XLOOKUP(C292,Tab_Def_Flows[Name(EN)],Tab_Def_Flows[Process_ID_O],,0,)</f>
        <v>24__</v>
      </c>
      <c r="G292" s="49">
        <f>_xlfn.XLOOKUP(C292,Tab_Def_Flows[Name(EN)],Tab_Def_Flows[Input_Process],,0,)</f>
        <v>0</v>
      </c>
      <c r="H292" s="61" t="str">
        <f>_xlfn.XLOOKUP(C292,Tab_Def_Flows[Name(EN)],Tab_Def_Flows[Process_ID_I],,0,)</f>
        <v>24__</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c r="N292" s="51"/>
      <c r="O292" s="119"/>
      <c r="P292" s="51" t="s">
        <v>389</v>
      </c>
      <c r="Q292" s="51"/>
      <c r="R292" s="51"/>
      <c r="S292" s="69"/>
      <c r="T292" s="51"/>
      <c r="U292" s="51"/>
      <c r="V292" s="51"/>
      <c r="W292" s="51"/>
      <c r="X292" s="51" t="s">
        <v>71</v>
      </c>
      <c r="Y292" s="106"/>
      <c r="Z292" s="51"/>
      <c r="AA292" s="86">
        <f t="shared" si="10"/>
        <v>0</v>
      </c>
      <c r="AB292" s="51" t="s">
        <v>63</v>
      </c>
      <c r="AC292" s="111" t="e">
        <f>INDEX(Tab_Def_Flows[[Flow_ID]:[CC_DM_source]],MATCH(Tab_Data_Flows[[#This Row],[Name(EN)]],Tab_Def_Flows[Name(EN)],0),16)</f>
        <v>#N/A</v>
      </c>
      <c r="AD292" s="112" t="e">
        <f>IF(J292="Yes",AA292*Tab_Data_Flows[[#This Row],[WC_'[%']]],"N.A.")</f>
        <v>#N/A</v>
      </c>
      <c r="AE292" s="61" t="str">
        <f>Tab_Data_Flows[[#This Row],[UoM_Flow_Py]]</f>
        <v>Mg</v>
      </c>
      <c r="AF292" s="111" t="e">
        <f>INDEX(Tab_Def_Flows[[Flow_ID]:[CC_DM_source]],MATCH(Tab_Data_Flows[[#This Row],[Name(EN)]],Tab_Def_Flows[Name(EN)],0),18)</f>
        <v>#N/A</v>
      </c>
      <c r="AG292" s="112" t="e">
        <f>IF(K292="Yes",AF292*Tab_Data_Flows[[#This Row],[Flow_Py]],"N.A.")</f>
        <v>#N/A</v>
      </c>
      <c r="AH292" s="61" t="str">
        <f>Tab_Data_Flows[[#This Row],[UoM_Flow_Py]]</f>
        <v>Mg</v>
      </c>
      <c r="AI292" s="111" t="e">
        <f>INDEX(Tab_Def_Flows[[Flow_ID]:[CC_DM_source]],MATCH(Tab_Data_Flows[[#This Row],[Name(EN)]],Tab_Def_Flows[Name(EN)],0),20)</f>
        <v>#N/A</v>
      </c>
      <c r="AJ292" s="109" t="e">
        <f>IF(L292="Yes",AI292*Tab_Data_Flows[[#This Row],[Flow_Py]]*Tab_Data_Flows[[#This Row],[DM_'[%']]],"N.A.")</f>
        <v>#N/A</v>
      </c>
      <c r="AK292" s="61" t="str">
        <f>Tab_Data_Flows[[#This Row],[UoM_Flow_Py]]</f>
        <v>Mg</v>
      </c>
    </row>
    <row r="293" spans="1:37" ht="15.75" thickBot="1" x14ac:dyDescent="0.3">
      <c r="A293" s="60">
        <f t="shared" si="9"/>
        <v>292</v>
      </c>
      <c r="B293" s="49" t="str">
        <f>_xlfn.XLOOKUP(C293,Tab_Def_Flows[Name(EN)],Tab_Def_Flows[Flow_ID],,0,)</f>
        <v>F_24_24</v>
      </c>
      <c r="C293" s="51"/>
      <c r="D293" s="49">
        <f>_xlfn.XLOOKUP(C293,Tab_Def_Flows[Name(EN)],Tab_Def_Flows[Type_Biomass],,0,)</f>
        <v>0</v>
      </c>
      <c r="E293" s="49">
        <f>_xlfn.XLOOKUP(C293,Tab_Def_Flows[Name(EN)],Tab_Def_Flows[Output_Process],,0,)</f>
        <v>0</v>
      </c>
      <c r="F293" s="49" t="str">
        <f>_xlfn.XLOOKUP(C293,Tab_Def_Flows[Name(EN)],Tab_Def_Flows[Process_ID_O],,0,)</f>
        <v>24__</v>
      </c>
      <c r="G293" s="49">
        <f>_xlfn.XLOOKUP(C293,Tab_Def_Flows[Name(EN)],Tab_Def_Flows[Input_Process],,0,)</f>
        <v>0</v>
      </c>
      <c r="H293" s="61" t="str">
        <f>_xlfn.XLOOKUP(C293,Tab_Def_Flows[Name(EN)],Tab_Def_Flows[Process_ID_I],,0,)</f>
        <v>24__</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c r="N293" s="51"/>
      <c r="O293" s="119"/>
      <c r="P293" s="51" t="s">
        <v>389</v>
      </c>
      <c r="Q293" s="51"/>
      <c r="R293" s="51"/>
      <c r="S293" s="69"/>
      <c r="T293" s="51"/>
      <c r="U293" s="51"/>
      <c r="V293" s="51"/>
      <c r="W293" s="51"/>
      <c r="X293" s="51" t="s">
        <v>71</v>
      </c>
      <c r="Y293" s="106"/>
      <c r="Z293" s="51"/>
      <c r="AA293" s="86">
        <f t="shared" si="10"/>
        <v>0</v>
      </c>
      <c r="AB293" s="51" t="s">
        <v>63</v>
      </c>
      <c r="AC293" s="111" t="e">
        <f>INDEX(Tab_Def_Flows[[Flow_ID]:[CC_DM_source]],MATCH(Tab_Data_Flows[[#This Row],[Name(EN)]],Tab_Def_Flows[Name(EN)],0),16)</f>
        <v>#N/A</v>
      </c>
      <c r="AD293" s="112" t="e">
        <f>IF(J293="Yes",AA293*Tab_Data_Flows[[#This Row],[WC_'[%']]],"N.A.")</f>
        <v>#N/A</v>
      </c>
      <c r="AE293" s="61" t="str">
        <f>Tab_Data_Flows[[#This Row],[UoM_Flow_Py]]</f>
        <v>Mg</v>
      </c>
      <c r="AF293" s="111" t="e">
        <f>INDEX(Tab_Def_Flows[[Flow_ID]:[CC_DM_source]],MATCH(Tab_Data_Flows[[#This Row],[Name(EN)]],Tab_Def_Flows[Name(EN)],0),18)</f>
        <v>#N/A</v>
      </c>
      <c r="AG293" s="112" t="e">
        <f>IF(K293="Yes",AF293*Tab_Data_Flows[[#This Row],[Flow_Py]],"N.A.")</f>
        <v>#N/A</v>
      </c>
      <c r="AH293" s="61" t="str">
        <f>Tab_Data_Flows[[#This Row],[UoM_Flow_Py]]</f>
        <v>Mg</v>
      </c>
      <c r="AI293" s="111" t="e">
        <f>INDEX(Tab_Def_Flows[[Flow_ID]:[CC_DM_source]],MATCH(Tab_Data_Flows[[#This Row],[Name(EN)]],Tab_Def_Flows[Name(EN)],0),20)</f>
        <v>#N/A</v>
      </c>
      <c r="AJ293" s="109" t="e">
        <f>IF(L293="Yes",AI293*Tab_Data_Flows[[#This Row],[Flow_Py]]*Tab_Data_Flows[[#This Row],[DM_'[%']]],"N.A.")</f>
        <v>#N/A</v>
      </c>
      <c r="AK293" s="61" t="str">
        <f>Tab_Data_Flows[[#This Row],[UoM_Flow_Py]]</f>
        <v>Mg</v>
      </c>
    </row>
    <row r="294" spans="1:37" ht="15.75" thickBot="1" x14ac:dyDescent="0.3">
      <c r="A294" s="60">
        <f t="shared" si="9"/>
        <v>293</v>
      </c>
      <c r="B294" s="49" t="str">
        <f>_xlfn.XLOOKUP(C294,Tab_Def_Flows[Name(EN)],Tab_Def_Flows[Flow_ID],,0,)</f>
        <v>F_24_24</v>
      </c>
      <c r="C294" s="51"/>
      <c r="D294" s="49">
        <f>_xlfn.XLOOKUP(C294,Tab_Def_Flows[Name(EN)],Tab_Def_Flows[Type_Biomass],,0,)</f>
        <v>0</v>
      </c>
      <c r="E294" s="49">
        <f>_xlfn.XLOOKUP(C294,Tab_Def_Flows[Name(EN)],Tab_Def_Flows[Output_Process],,0,)</f>
        <v>0</v>
      </c>
      <c r="F294" s="49" t="str">
        <f>_xlfn.XLOOKUP(C294,Tab_Def_Flows[Name(EN)],Tab_Def_Flows[Process_ID_O],,0,)</f>
        <v>24__</v>
      </c>
      <c r="G294" s="49">
        <f>_xlfn.XLOOKUP(C294,Tab_Def_Flows[Name(EN)],Tab_Def_Flows[Input_Process],,0,)</f>
        <v>0</v>
      </c>
      <c r="H294" s="61" t="str">
        <f>_xlfn.XLOOKUP(C294,Tab_Def_Flows[Name(EN)],Tab_Def_Flows[Process_ID_I],,0,)</f>
        <v>24__</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c r="N294" s="51"/>
      <c r="O294" s="119"/>
      <c r="P294" s="51" t="s">
        <v>389</v>
      </c>
      <c r="Q294" s="51"/>
      <c r="R294" s="51"/>
      <c r="S294" s="69"/>
      <c r="T294" s="51"/>
      <c r="U294" s="51"/>
      <c r="V294" s="51"/>
      <c r="W294" s="51"/>
      <c r="X294" s="51" t="s">
        <v>71</v>
      </c>
      <c r="Y294" s="106"/>
      <c r="Z294" s="51"/>
      <c r="AA294" s="86">
        <f t="shared" si="10"/>
        <v>0</v>
      </c>
      <c r="AB294" s="51" t="s">
        <v>63</v>
      </c>
      <c r="AC294" s="111" t="e">
        <f>INDEX(Tab_Def_Flows[[Flow_ID]:[CC_DM_source]],MATCH(Tab_Data_Flows[[#This Row],[Name(EN)]],Tab_Def_Flows[Name(EN)],0),16)</f>
        <v>#N/A</v>
      </c>
      <c r="AD294" s="112" t="e">
        <f>IF(J294="Yes",AA294*Tab_Data_Flows[[#This Row],[WC_'[%']]],"N.A.")</f>
        <v>#N/A</v>
      </c>
      <c r="AE294" s="61" t="str">
        <f>Tab_Data_Flows[[#This Row],[UoM_Flow_Py]]</f>
        <v>Mg</v>
      </c>
      <c r="AF294" s="111" t="e">
        <f>INDEX(Tab_Def_Flows[[Flow_ID]:[CC_DM_source]],MATCH(Tab_Data_Flows[[#This Row],[Name(EN)]],Tab_Def_Flows[Name(EN)],0),18)</f>
        <v>#N/A</v>
      </c>
      <c r="AG294" s="112" t="e">
        <f>IF(K294="Yes",AF294*Tab_Data_Flows[[#This Row],[Flow_Py]],"N.A.")</f>
        <v>#N/A</v>
      </c>
      <c r="AH294" s="61" t="str">
        <f>Tab_Data_Flows[[#This Row],[UoM_Flow_Py]]</f>
        <v>Mg</v>
      </c>
      <c r="AI294" s="111" t="e">
        <f>INDEX(Tab_Def_Flows[[Flow_ID]:[CC_DM_source]],MATCH(Tab_Data_Flows[[#This Row],[Name(EN)]],Tab_Def_Flows[Name(EN)],0),20)</f>
        <v>#N/A</v>
      </c>
      <c r="AJ294" s="109" t="e">
        <f>IF(L294="Yes",AI294*Tab_Data_Flows[[#This Row],[Flow_Py]]*Tab_Data_Flows[[#This Row],[DM_'[%']]],"N.A.")</f>
        <v>#N/A</v>
      </c>
      <c r="AK294" s="61" t="str">
        <f>Tab_Data_Flows[[#This Row],[UoM_Flow_Py]]</f>
        <v>Mg</v>
      </c>
    </row>
    <row r="295" spans="1:37" ht="15.75" thickBot="1" x14ac:dyDescent="0.3">
      <c r="A295" s="60">
        <f t="shared" si="9"/>
        <v>294</v>
      </c>
      <c r="B295" s="49" t="str">
        <f>_xlfn.XLOOKUP(C295,Tab_Def_Flows[Name(EN)],Tab_Def_Flows[Flow_ID],,0,)</f>
        <v>F_24_24</v>
      </c>
      <c r="C295" s="51"/>
      <c r="D295" s="49">
        <f>_xlfn.XLOOKUP(C295,Tab_Def_Flows[Name(EN)],Tab_Def_Flows[Type_Biomass],,0,)</f>
        <v>0</v>
      </c>
      <c r="E295" s="49">
        <f>_xlfn.XLOOKUP(C295,Tab_Def_Flows[Name(EN)],Tab_Def_Flows[Output_Process],,0,)</f>
        <v>0</v>
      </c>
      <c r="F295" s="49" t="str">
        <f>_xlfn.XLOOKUP(C295,Tab_Def_Flows[Name(EN)],Tab_Def_Flows[Process_ID_O],,0,)</f>
        <v>24__</v>
      </c>
      <c r="G295" s="49">
        <f>_xlfn.XLOOKUP(C295,Tab_Def_Flows[Name(EN)],Tab_Def_Flows[Input_Process],,0,)</f>
        <v>0</v>
      </c>
      <c r="H295" s="61" t="str">
        <f>_xlfn.XLOOKUP(C295,Tab_Def_Flows[Name(EN)],Tab_Def_Flows[Process_ID_I],,0,)</f>
        <v>24__</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c r="N295" s="51"/>
      <c r="O295" s="119"/>
      <c r="P295" s="51" t="s">
        <v>389</v>
      </c>
      <c r="Q295" s="51"/>
      <c r="R295" s="51"/>
      <c r="S295" s="69"/>
      <c r="T295" s="51"/>
      <c r="U295" s="51"/>
      <c r="V295" s="51"/>
      <c r="W295" s="51"/>
      <c r="X295" s="51" t="s">
        <v>71</v>
      </c>
      <c r="Y295" s="106"/>
      <c r="Z295" s="51"/>
      <c r="AA295" s="86">
        <f t="shared" si="10"/>
        <v>0</v>
      </c>
      <c r="AB295" s="51" t="s">
        <v>63</v>
      </c>
      <c r="AC295" s="111" t="e">
        <f>INDEX(Tab_Def_Flows[[Flow_ID]:[CC_DM_source]],MATCH(Tab_Data_Flows[[#This Row],[Name(EN)]],Tab_Def_Flows[Name(EN)],0),16)</f>
        <v>#N/A</v>
      </c>
      <c r="AD295" s="112" t="e">
        <f>IF(J295="Yes",AA295*Tab_Data_Flows[[#This Row],[WC_'[%']]],"N.A.")</f>
        <v>#N/A</v>
      </c>
      <c r="AE295" s="61" t="str">
        <f>Tab_Data_Flows[[#This Row],[UoM_Flow_Py]]</f>
        <v>Mg</v>
      </c>
      <c r="AF295" s="111" t="e">
        <f>INDEX(Tab_Def_Flows[[Flow_ID]:[CC_DM_source]],MATCH(Tab_Data_Flows[[#This Row],[Name(EN)]],Tab_Def_Flows[Name(EN)],0),18)</f>
        <v>#N/A</v>
      </c>
      <c r="AG295" s="112" t="e">
        <f>IF(K295="Yes",AF295*Tab_Data_Flows[[#This Row],[Flow_Py]],"N.A.")</f>
        <v>#N/A</v>
      </c>
      <c r="AH295" s="61" t="str">
        <f>Tab_Data_Flows[[#This Row],[UoM_Flow_Py]]</f>
        <v>Mg</v>
      </c>
      <c r="AI295" s="111" t="e">
        <f>INDEX(Tab_Def_Flows[[Flow_ID]:[CC_DM_source]],MATCH(Tab_Data_Flows[[#This Row],[Name(EN)]],Tab_Def_Flows[Name(EN)],0),20)</f>
        <v>#N/A</v>
      </c>
      <c r="AJ295" s="109" t="e">
        <f>IF(L295="Yes",AI295*Tab_Data_Flows[[#This Row],[Flow_Py]]*Tab_Data_Flows[[#This Row],[DM_'[%']]],"N.A.")</f>
        <v>#N/A</v>
      </c>
      <c r="AK295" s="61" t="str">
        <f>Tab_Data_Flows[[#This Row],[UoM_Flow_Py]]</f>
        <v>Mg</v>
      </c>
    </row>
    <row r="296" spans="1:37" ht="15.75" thickBot="1" x14ac:dyDescent="0.3">
      <c r="A296" s="60">
        <f t="shared" si="9"/>
        <v>295</v>
      </c>
      <c r="B296" s="49" t="str">
        <f>_xlfn.XLOOKUP(C296,Tab_Def_Flows[Name(EN)],Tab_Def_Flows[Flow_ID],,0,)</f>
        <v>F_24_24</v>
      </c>
      <c r="C296" s="51"/>
      <c r="D296" s="49">
        <f>_xlfn.XLOOKUP(C296,Tab_Def_Flows[Name(EN)],Tab_Def_Flows[Type_Biomass],,0,)</f>
        <v>0</v>
      </c>
      <c r="E296" s="49">
        <f>_xlfn.XLOOKUP(C296,Tab_Def_Flows[Name(EN)],Tab_Def_Flows[Output_Process],,0,)</f>
        <v>0</v>
      </c>
      <c r="F296" s="49" t="str">
        <f>_xlfn.XLOOKUP(C296,Tab_Def_Flows[Name(EN)],Tab_Def_Flows[Process_ID_O],,0,)</f>
        <v>24__</v>
      </c>
      <c r="G296" s="49">
        <f>_xlfn.XLOOKUP(C296,Tab_Def_Flows[Name(EN)],Tab_Def_Flows[Input_Process],,0,)</f>
        <v>0</v>
      </c>
      <c r="H296" s="61" t="str">
        <f>_xlfn.XLOOKUP(C296,Tab_Def_Flows[Name(EN)],Tab_Def_Flows[Process_ID_I],,0,)</f>
        <v>24__</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c r="N296" s="51"/>
      <c r="O296" s="119"/>
      <c r="P296" s="51" t="s">
        <v>389</v>
      </c>
      <c r="Q296" s="51"/>
      <c r="R296" s="51"/>
      <c r="S296" s="69"/>
      <c r="T296" s="51"/>
      <c r="U296" s="51"/>
      <c r="V296" s="51"/>
      <c r="W296" s="51"/>
      <c r="X296" s="51" t="s">
        <v>71</v>
      </c>
      <c r="Y296" s="106"/>
      <c r="Z296" s="51"/>
      <c r="AA296" s="86">
        <f t="shared" si="10"/>
        <v>0</v>
      </c>
      <c r="AB296" s="51" t="s">
        <v>63</v>
      </c>
      <c r="AC296" s="111" t="e">
        <f>INDEX(Tab_Def_Flows[[Flow_ID]:[CC_DM_source]],MATCH(Tab_Data_Flows[[#This Row],[Name(EN)]],Tab_Def_Flows[Name(EN)],0),16)</f>
        <v>#N/A</v>
      </c>
      <c r="AD296" s="112" t="e">
        <f>IF(J296="Yes",AA296*Tab_Data_Flows[[#This Row],[WC_'[%']]],"N.A.")</f>
        <v>#N/A</v>
      </c>
      <c r="AE296" s="61" t="str">
        <f>Tab_Data_Flows[[#This Row],[UoM_Flow_Py]]</f>
        <v>Mg</v>
      </c>
      <c r="AF296" s="111" t="e">
        <f>INDEX(Tab_Def_Flows[[Flow_ID]:[CC_DM_source]],MATCH(Tab_Data_Flows[[#This Row],[Name(EN)]],Tab_Def_Flows[Name(EN)],0),18)</f>
        <v>#N/A</v>
      </c>
      <c r="AG296" s="112" t="e">
        <f>IF(K296="Yes",AF296*Tab_Data_Flows[[#This Row],[Flow_Py]],"N.A.")</f>
        <v>#N/A</v>
      </c>
      <c r="AH296" s="61" t="str">
        <f>Tab_Data_Flows[[#This Row],[UoM_Flow_Py]]</f>
        <v>Mg</v>
      </c>
      <c r="AI296" s="111" t="e">
        <f>INDEX(Tab_Def_Flows[[Flow_ID]:[CC_DM_source]],MATCH(Tab_Data_Flows[[#This Row],[Name(EN)]],Tab_Def_Flows[Name(EN)],0),20)</f>
        <v>#N/A</v>
      </c>
      <c r="AJ296" s="109" t="e">
        <f>IF(L296="Yes",AI296*Tab_Data_Flows[[#This Row],[Flow_Py]]*Tab_Data_Flows[[#This Row],[DM_'[%']]],"N.A.")</f>
        <v>#N/A</v>
      </c>
      <c r="AK296" s="61" t="str">
        <f>Tab_Data_Flows[[#This Row],[UoM_Flow_Py]]</f>
        <v>Mg</v>
      </c>
    </row>
    <row r="297" spans="1:37" ht="15.75" thickBot="1" x14ac:dyDescent="0.3">
      <c r="A297" s="60">
        <f t="shared" si="9"/>
        <v>296</v>
      </c>
      <c r="B297" s="49" t="str">
        <f>_xlfn.XLOOKUP(C297,Tab_Def_Flows[Name(EN)],Tab_Def_Flows[Flow_ID],,0,)</f>
        <v>F_24_24</v>
      </c>
      <c r="C297" s="51"/>
      <c r="D297" s="49">
        <f>_xlfn.XLOOKUP(C297,Tab_Def_Flows[Name(EN)],Tab_Def_Flows[Type_Biomass],,0,)</f>
        <v>0</v>
      </c>
      <c r="E297" s="49">
        <f>_xlfn.XLOOKUP(C297,Tab_Def_Flows[Name(EN)],Tab_Def_Flows[Output_Process],,0,)</f>
        <v>0</v>
      </c>
      <c r="F297" s="49" t="str">
        <f>_xlfn.XLOOKUP(C297,Tab_Def_Flows[Name(EN)],Tab_Def_Flows[Process_ID_O],,0,)</f>
        <v>24__</v>
      </c>
      <c r="G297" s="49">
        <f>_xlfn.XLOOKUP(C297,Tab_Def_Flows[Name(EN)],Tab_Def_Flows[Input_Process],,0,)</f>
        <v>0</v>
      </c>
      <c r="H297" s="61" t="str">
        <f>_xlfn.XLOOKUP(C297,Tab_Def_Flows[Name(EN)],Tab_Def_Flows[Process_ID_I],,0,)</f>
        <v>24__</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c r="N297" s="51"/>
      <c r="O297" s="119"/>
      <c r="P297" s="51" t="s">
        <v>389</v>
      </c>
      <c r="Q297" s="51"/>
      <c r="R297" s="51"/>
      <c r="S297" s="69"/>
      <c r="T297" s="51"/>
      <c r="U297" s="51"/>
      <c r="V297" s="51"/>
      <c r="W297" s="51"/>
      <c r="X297" s="51" t="s">
        <v>71</v>
      </c>
      <c r="Y297" s="106"/>
      <c r="Z297" s="51"/>
      <c r="AA297" s="86">
        <f t="shared" si="10"/>
        <v>0</v>
      </c>
      <c r="AB297" s="51" t="s">
        <v>63</v>
      </c>
      <c r="AC297" s="111" t="e">
        <f>INDEX(Tab_Def_Flows[[Flow_ID]:[CC_DM_source]],MATCH(Tab_Data_Flows[[#This Row],[Name(EN)]],Tab_Def_Flows[Name(EN)],0),16)</f>
        <v>#N/A</v>
      </c>
      <c r="AD297" s="112" t="e">
        <f>IF(J297="Yes",AA297*Tab_Data_Flows[[#This Row],[WC_'[%']]],"N.A.")</f>
        <v>#N/A</v>
      </c>
      <c r="AE297" s="61" t="str">
        <f>Tab_Data_Flows[[#This Row],[UoM_Flow_Py]]</f>
        <v>Mg</v>
      </c>
      <c r="AF297" s="111" t="e">
        <f>INDEX(Tab_Def_Flows[[Flow_ID]:[CC_DM_source]],MATCH(Tab_Data_Flows[[#This Row],[Name(EN)]],Tab_Def_Flows[Name(EN)],0),18)</f>
        <v>#N/A</v>
      </c>
      <c r="AG297" s="112" t="e">
        <f>IF(K297="Yes",AF297*Tab_Data_Flows[[#This Row],[Flow_Py]],"N.A.")</f>
        <v>#N/A</v>
      </c>
      <c r="AH297" s="61" t="str">
        <f>Tab_Data_Flows[[#This Row],[UoM_Flow_Py]]</f>
        <v>Mg</v>
      </c>
      <c r="AI297" s="111" t="e">
        <f>INDEX(Tab_Def_Flows[[Flow_ID]:[CC_DM_source]],MATCH(Tab_Data_Flows[[#This Row],[Name(EN)]],Tab_Def_Flows[Name(EN)],0),20)</f>
        <v>#N/A</v>
      </c>
      <c r="AJ297" s="109" t="e">
        <f>IF(L297="Yes",AI297*Tab_Data_Flows[[#This Row],[Flow_Py]]*Tab_Data_Flows[[#This Row],[DM_'[%']]],"N.A.")</f>
        <v>#N/A</v>
      </c>
      <c r="AK297" s="61" t="str">
        <f>Tab_Data_Flows[[#This Row],[UoM_Flow_Py]]</f>
        <v>Mg</v>
      </c>
    </row>
    <row r="298" spans="1:37" ht="15.75" thickBot="1" x14ac:dyDescent="0.3">
      <c r="A298" s="60">
        <f t="shared" si="9"/>
        <v>297</v>
      </c>
      <c r="B298" s="49" t="str">
        <f>_xlfn.XLOOKUP(C298,Tab_Def_Flows[Name(EN)],Tab_Def_Flows[Flow_ID],,0,)</f>
        <v>F_24_24</v>
      </c>
      <c r="C298" s="51"/>
      <c r="D298" s="49">
        <f>_xlfn.XLOOKUP(C298,Tab_Def_Flows[Name(EN)],Tab_Def_Flows[Type_Biomass],,0,)</f>
        <v>0</v>
      </c>
      <c r="E298" s="49">
        <f>_xlfn.XLOOKUP(C298,Tab_Def_Flows[Name(EN)],Tab_Def_Flows[Output_Process],,0,)</f>
        <v>0</v>
      </c>
      <c r="F298" s="49" t="str">
        <f>_xlfn.XLOOKUP(C298,Tab_Def_Flows[Name(EN)],Tab_Def_Flows[Process_ID_O],,0,)</f>
        <v>24__</v>
      </c>
      <c r="G298" s="49">
        <f>_xlfn.XLOOKUP(C298,Tab_Def_Flows[Name(EN)],Tab_Def_Flows[Input_Process],,0,)</f>
        <v>0</v>
      </c>
      <c r="H298" s="61" t="str">
        <f>_xlfn.XLOOKUP(C298,Tab_Def_Flows[Name(EN)],Tab_Def_Flows[Process_ID_I],,0,)</f>
        <v>24__</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c r="N298" s="51"/>
      <c r="O298" s="119"/>
      <c r="P298" s="51" t="s">
        <v>389</v>
      </c>
      <c r="Q298" s="51"/>
      <c r="R298" s="51"/>
      <c r="S298" s="69"/>
      <c r="T298" s="51"/>
      <c r="U298" s="51"/>
      <c r="V298" s="51"/>
      <c r="W298" s="51"/>
      <c r="X298" s="51" t="s">
        <v>71</v>
      </c>
      <c r="Y298" s="106"/>
      <c r="Z298" s="51"/>
      <c r="AA298" s="86">
        <f t="shared" si="10"/>
        <v>0</v>
      </c>
      <c r="AB298" s="51" t="s">
        <v>63</v>
      </c>
      <c r="AC298" s="111" t="e">
        <f>INDEX(Tab_Def_Flows[[Flow_ID]:[CC_DM_source]],MATCH(Tab_Data_Flows[[#This Row],[Name(EN)]],Tab_Def_Flows[Name(EN)],0),16)</f>
        <v>#N/A</v>
      </c>
      <c r="AD298" s="112" t="e">
        <f>IF(J298="Yes",AA298*Tab_Data_Flows[[#This Row],[WC_'[%']]],"N.A.")</f>
        <v>#N/A</v>
      </c>
      <c r="AE298" s="61" t="str">
        <f>Tab_Data_Flows[[#This Row],[UoM_Flow_Py]]</f>
        <v>Mg</v>
      </c>
      <c r="AF298" s="111" t="e">
        <f>INDEX(Tab_Def_Flows[[Flow_ID]:[CC_DM_source]],MATCH(Tab_Data_Flows[[#This Row],[Name(EN)]],Tab_Def_Flows[Name(EN)],0),18)</f>
        <v>#N/A</v>
      </c>
      <c r="AG298" s="112" t="e">
        <f>IF(K298="Yes",AF298*Tab_Data_Flows[[#This Row],[Flow_Py]],"N.A.")</f>
        <v>#N/A</v>
      </c>
      <c r="AH298" s="61" t="str">
        <f>Tab_Data_Flows[[#This Row],[UoM_Flow_Py]]</f>
        <v>Mg</v>
      </c>
      <c r="AI298" s="111" t="e">
        <f>INDEX(Tab_Def_Flows[[Flow_ID]:[CC_DM_source]],MATCH(Tab_Data_Flows[[#This Row],[Name(EN)]],Tab_Def_Flows[Name(EN)],0),20)</f>
        <v>#N/A</v>
      </c>
      <c r="AJ298" s="109" t="e">
        <f>IF(L298="Yes",AI298*Tab_Data_Flows[[#This Row],[Flow_Py]]*Tab_Data_Flows[[#This Row],[DM_'[%']]],"N.A.")</f>
        <v>#N/A</v>
      </c>
      <c r="AK298" s="61" t="str">
        <f>Tab_Data_Flows[[#This Row],[UoM_Flow_Py]]</f>
        <v>Mg</v>
      </c>
    </row>
    <row r="299" spans="1:37" ht="15.75" thickBot="1" x14ac:dyDescent="0.3">
      <c r="A299" s="60">
        <f t="shared" si="9"/>
        <v>298</v>
      </c>
      <c r="B299" s="49" t="str">
        <f>_xlfn.XLOOKUP(C299,Tab_Def_Flows[Name(EN)],Tab_Def_Flows[Flow_ID],,0,)</f>
        <v>F_24_24</v>
      </c>
      <c r="C299" s="51"/>
      <c r="D299" s="49">
        <f>_xlfn.XLOOKUP(C299,Tab_Def_Flows[Name(EN)],Tab_Def_Flows[Type_Biomass],,0,)</f>
        <v>0</v>
      </c>
      <c r="E299" s="49">
        <f>_xlfn.XLOOKUP(C299,Tab_Def_Flows[Name(EN)],Tab_Def_Flows[Output_Process],,0,)</f>
        <v>0</v>
      </c>
      <c r="F299" s="49" t="str">
        <f>_xlfn.XLOOKUP(C299,Tab_Def_Flows[Name(EN)],Tab_Def_Flows[Process_ID_O],,0,)</f>
        <v>24__</v>
      </c>
      <c r="G299" s="49">
        <f>_xlfn.XLOOKUP(C299,Tab_Def_Flows[Name(EN)],Tab_Def_Flows[Input_Process],,0,)</f>
        <v>0</v>
      </c>
      <c r="H299" s="61" t="str">
        <f>_xlfn.XLOOKUP(C299,Tab_Def_Flows[Name(EN)],Tab_Def_Flows[Process_ID_I],,0,)</f>
        <v>24__</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c r="N299" s="51"/>
      <c r="O299" s="119"/>
      <c r="P299" s="51" t="s">
        <v>389</v>
      </c>
      <c r="Q299" s="51"/>
      <c r="R299" s="51"/>
      <c r="S299" s="69"/>
      <c r="T299" s="51"/>
      <c r="U299" s="51"/>
      <c r="V299" s="51"/>
      <c r="W299" s="51"/>
      <c r="X299" s="51" t="s">
        <v>71</v>
      </c>
      <c r="Y299" s="106"/>
      <c r="Z299" s="51"/>
      <c r="AA299" s="86">
        <f t="shared" si="10"/>
        <v>0</v>
      </c>
      <c r="AB299" s="51" t="s">
        <v>63</v>
      </c>
      <c r="AC299" s="111" t="e">
        <f>INDEX(Tab_Def_Flows[[Flow_ID]:[CC_DM_source]],MATCH(Tab_Data_Flows[[#This Row],[Name(EN)]],Tab_Def_Flows[Name(EN)],0),16)</f>
        <v>#N/A</v>
      </c>
      <c r="AD299" s="112" t="e">
        <f>IF(J299="Yes",AA299*Tab_Data_Flows[[#This Row],[WC_'[%']]],"N.A.")</f>
        <v>#N/A</v>
      </c>
      <c r="AE299" s="61" t="str">
        <f>Tab_Data_Flows[[#This Row],[UoM_Flow_Py]]</f>
        <v>Mg</v>
      </c>
      <c r="AF299" s="111" t="e">
        <f>INDEX(Tab_Def_Flows[[Flow_ID]:[CC_DM_source]],MATCH(Tab_Data_Flows[[#This Row],[Name(EN)]],Tab_Def_Flows[Name(EN)],0),18)</f>
        <v>#N/A</v>
      </c>
      <c r="AG299" s="112" t="e">
        <f>IF(K299="Yes",AF299*Tab_Data_Flows[[#This Row],[Flow_Py]],"N.A.")</f>
        <v>#N/A</v>
      </c>
      <c r="AH299" s="61" t="str">
        <f>Tab_Data_Flows[[#This Row],[UoM_Flow_Py]]</f>
        <v>Mg</v>
      </c>
      <c r="AI299" s="111" t="e">
        <f>INDEX(Tab_Def_Flows[[Flow_ID]:[CC_DM_source]],MATCH(Tab_Data_Flows[[#This Row],[Name(EN)]],Tab_Def_Flows[Name(EN)],0),20)</f>
        <v>#N/A</v>
      </c>
      <c r="AJ299" s="109" t="e">
        <f>IF(L299="Yes",AI299*Tab_Data_Flows[[#This Row],[Flow_Py]]*Tab_Data_Flows[[#This Row],[DM_'[%']]],"N.A.")</f>
        <v>#N/A</v>
      </c>
      <c r="AK299" s="61" t="str">
        <f>Tab_Data_Flows[[#This Row],[UoM_Flow_Py]]</f>
        <v>Mg</v>
      </c>
    </row>
    <row r="300" spans="1:37" ht="15.75" thickBot="1" x14ac:dyDescent="0.3">
      <c r="A300" s="60">
        <f t="shared" si="9"/>
        <v>299</v>
      </c>
      <c r="B300" s="49" t="str">
        <f>_xlfn.XLOOKUP(C300,Tab_Def_Flows[Name(EN)],Tab_Def_Flows[Flow_ID],,0,)</f>
        <v>F_24_24</v>
      </c>
      <c r="C300" s="51"/>
      <c r="D300" s="49">
        <f>_xlfn.XLOOKUP(C300,Tab_Def_Flows[Name(EN)],Tab_Def_Flows[Type_Biomass],,0,)</f>
        <v>0</v>
      </c>
      <c r="E300" s="49">
        <f>_xlfn.XLOOKUP(C300,Tab_Def_Flows[Name(EN)],Tab_Def_Flows[Output_Process],,0,)</f>
        <v>0</v>
      </c>
      <c r="F300" s="49" t="str">
        <f>_xlfn.XLOOKUP(C300,Tab_Def_Flows[Name(EN)],Tab_Def_Flows[Process_ID_O],,0,)</f>
        <v>24__</v>
      </c>
      <c r="G300" s="49">
        <f>_xlfn.XLOOKUP(C300,Tab_Def_Flows[Name(EN)],Tab_Def_Flows[Input_Process],,0,)</f>
        <v>0</v>
      </c>
      <c r="H300" s="61" t="str">
        <f>_xlfn.XLOOKUP(C300,Tab_Def_Flows[Name(EN)],Tab_Def_Flows[Process_ID_I],,0,)</f>
        <v>24__</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c r="N300" s="51"/>
      <c r="O300" s="119"/>
      <c r="P300" s="51" t="s">
        <v>389</v>
      </c>
      <c r="Q300" s="51"/>
      <c r="R300" s="51"/>
      <c r="S300" s="69"/>
      <c r="T300" s="51"/>
      <c r="U300" s="51"/>
      <c r="V300" s="51"/>
      <c r="W300" s="51"/>
      <c r="X300" s="51" t="s">
        <v>71</v>
      </c>
      <c r="Y300" s="106"/>
      <c r="Z300" s="51"/>
      <c r="AA300" s="86">
        <f t="shared" si="10"/>
        <v>0</v>
      </c>
      <c r="AB300" s="51" t="s">
        <v>63</v>
      </c>
      <c r="AC300" s="111" t="e">
        <f>INDEX(Tab_Def_Flows[[Flow_ID]:[CC_DM_source]],MATCH(Tab_Data_Flows[[#This Row],[Name(EN)]],Tab_Def_Flows[Name(EN)],0),16)</f>
        <v>#N/A</v>
      </c>
      <c r="AD300" s="112" t="e">
        <f>IF(J300="Yes",AA300*Tab_Data_Flows[[#This Row],[WC_'[%']]],"N.A.")</f>
        <v>#N/A</v>
      </c>
      <c r="AE300" s="61" t="str">
        <f>Tab_Data_Flows[[#This Row],[UoM_Flow_Py]]</f>
        <v>Mg</v>
      </c>
      <c r="AF300" s="111" t="e">
        <f>INDEX(Tab_Def_Flows[[Flow_ID]:[CC_DM_source]],MATCH(Tab_Data_Flows[[#This Row],[Name(EN)]],Tab_Def_Flows[Name(EN)],0),18)</f>
        <v>#N/A</v>
      </c>
      <c r="AG300" s="112" t="e">
        <f>IF(K300="Yes",AF300*Tab_Data_Flows[[#This Row],[Flow_Py]],"N.A.")</f>
        <v>#N/A</v>
      </c>
      <c r="AH300" s="61" t="str">
        <f>Tab_Data_Flows[[#This Row],[UoM_Flow_Py]]</f>
        <v>Mg</v>
      </c>
      <c r="AI300" s="111" t="e">
        <f>INDEX(Tab_Def_Flows[[Flow_ID]:[CC_DM_source]],MATCH(Tab_Data_Flows[[#This Row],[Name(EN)]],Tab_Def_Flows[Name(EN)],0),20)</f>
        <v>#N/A</v>
      </c>
      <c r="AJ300" s="109" t="e">
        <f>IF(L300="Yes",AI300*Tab_Data_Flows[[#This Row],[Flow_Py]]*Tab_Data_Flows[[#This Row],[DM_'[%']]],"N.A.")</f>
        <v>#N/A</v>
      </c>
      <c r="AK300" s="61" t="str">
        <f>Tab_Data_Flows[[#This Row],[UoM_Flow_Py]]</f>
        <v>Mg</v>
      </c>
    </row>
    <row r="301" spans="1:37" ht="15.75" thickBot="1" x14ac:dyDescent="0.3">
      <c r="A301" s="60">
        <f t="shared" si="9"/>
        <v>300</v>
      </c>
      <c r="B301" s="49" t="str">
        <f>_xlfn.XLOOKUP(C301,Tab_Def_Flows[Name(EN)],Tab_Def_Flows[Flow_ID],,0,)</f>
        <v>F_24_24</v>
      </c>
      <c r="C301" s="51"/>
      <c r="D301" s="49">
        <f>_xlfn.XLOOKUP(C301,Tab_Def_Flows[Name(EN)],Tab_Def_Flows[Type_Biomass],,0,)</f>
        <v>0</v>
      </c>
      <c r="E301" s="49">
        <f>_xlfn.XLOOKUP(C301,Tab_Def_Flows[Name(EN)],Tab_Def_Flows[Output_Process],,0,)</f>
        <v>0</v>
      </c>
      <c r="F301" s="49" t="str">
        <f>_xlfn.XLOOKUP(C301,Tab_Def_Flows[Name(EN)],Tab_Def_Flows[Process_ID_O],,0,)</f>
        <v>24__</v>
      </c>
      <c r="G301" s="49">
        <f>_xlfn.XLOOKUP(C301,Tab_Def_Flows[Name(EN)],Tab_Def_Flows[Input_Process],,0,)</f>
        <v>0</v>
      </c>
      <c r="H301" s="61" t="str">
        <f>_xlfn.XLOOKUP(C301,Tab_Def_Flows[Name(EN)],Tab_Def_Flows[Process_ID_I],,0,)</f>
        <v>24__</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c r="N301" s="51"/>
      <c r="O301" s="119"/>
      <c r="P301" s="51" t="s">
        <v>389</v>
      </c>
      <c r="Q301" s="51"/>
      <c r="R301" s="51"/>
      <c r="S301" s="51"/>
      <c r="T301" s="51"/>
      <c r="U301" s="51"/>
      <c r="V301" s="51"/>
      <c r="W301" s="51"/>
      <c r="X301" s="51" t="s">
        <v>71</v>
      </c>
      <c r="Y301" s="51"/>
      <c r="Z301" s="51"/>
      <c r="AA301" s="86">
        <f t="shared" si="10"/>
        <v>0</v>
      </c>
      <c r="AB301" s="51" t="s">
        <v>63</v>
      </c>
      <c r="AC301" s="111" t="e">
        <f>INDEX(Tab_Def_Flows[[Flow_ID]:[CC_DM_source]],MATCH(Tab_Data_Flows[[#This Row],[Name(EN)]],Tab_Def_Flows[Name(EN)],0),16)</f>
        <v>#N/A</v>
      </c>
      <c r="AD301" s="112" t="e">
        <f>IF(J301="Yes",AA301*Tab_Data_Flows[[#This Row],[WC_'[%']]],"N.A.")</f>
        <v>#N/A</v>
      </c>
      <c r="AE301" s="61" t="str">
        <f>Tab_Data_Flows[[#This Row],[UoM_Flow_Py]]</f>
        <v>Mg</v>
      </c>
      <c r="AF301" s="111" t="e">
        <f>INDEX(Tab_Def_Flows[[Flow_ID]:[CC_DM_source]],MATCH(Tab_Data_Flows[[#This Row],[Name(EN)]],Tab_Def_Flows[Name(EN)],0),18)</f>
        <v>#N/A</v>
      </c>
      <c r="AG301" s="112" t="e">
        <f>IF(K301="Yes",AF301*Tab_Data_Flows[[#This Row],[Flow_Py]],"N.A.")</f>
        <v>#N/A</v>
      </c>
      <c r="AH301" s="61" t="str">
        <f>Tab_Data_Flows[[#This Row],[UoM_Flow_Py]]</f>
        <v>Mg</v>
      </c>
      <c r="AI301" s="111" t="e">
        <f>INDEX(Tab_Def_Flows[[Flow_ID]:[CC_DM_source]],MATCH(Tab_Data_Flows[[#This Row],[Name(EN)]],Tab_Def_Flows[Name(EN)],0),20)</f>
        <v>#N/A</v>
      </c>
      <c r="AJ301" s="109" t="e">
        <f>IF(L301="Yes",AI301*Tab_Data_Flows[[#This Row],[Flow_Py]]*Tab_Data_Flows[[#This Row],[DM_'[%']]],"N.A.")</f>
        <v>#N/A</v>
      </c>
      <c r="AK301" s="61" t="str">
        <f>Tab_Data_Flows[[#This Row],[UoM_Flow_Py]]</f>
        <v>Mg</v>
      </c>
    </row>
    <row r="302" spans="1:37" ht="15.75" thickBot="1" x14ac:dyDescent="0.3">
      <c r="A302" s="60">
        <f t="shared" si="9"/>
        <v>301</v>
      </c>
      <c r="B302" s="49" t="str">
        <f>_xlfn.XLOOKUP(C302,Tab_Def_Flows[Name(EN)],Tab_Def_Flows[Flow_ID],,0,)</f>
        <v>F_24_24</v>
      </c>
      <c r="C302" s="51"/>
      <c r="D302" s="49">
        <f>_xlfn.XLOOKUP(C302,Tab_Def_Flows[Name(EN)],Tab_Def_Flows[Type_Biomass],,0,)</f>
        <v>0</v>
      </c>
      <c r="E302" s="49">
        <f>_xlfn.XLOOKUP(C302,Tab_Def_Flows[Name(EN)],Tab_Def_Flows[Output_Process],,0,)</f>
        <v>0</v>
      </c>
      <c r="F302" s="49" t="str">
        <f>_xlfn.XLOOKUP(C302,Tab_Def_Flows[Name(EN)],Tab_Def_Flows[Process_ID_O],,0,)</f>
        <v>24__</v>
      </c>
      <c r="G302" s="49">
        <f>_xlfn.XLOOKUP(C302,Tab_Def_Flows[Name(EN)],Tab_Def_Flows[Input_Process],,0,)</f>
        <v>0</v>
      </c>
      <c r="H302" s="61" t="str">
        <f>_xlfn.XLOOKUP(C302,Tab_Def_Flows[Name(EN)],Tab_Def_Flows[Process_ID_I],,0,)</f>
        <v>24__</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c r="N302" s="51"/>
      <c r="O302" s="119"/>
      <c r="P302" s="51" t="s">
        <v>389</v>
      </c>
      <c r="Q302" s="51"/>
      <c r="R302" s="51"/>
      <c r="S302" s="51"/>
      <c r="T302" s="51"/>
      <c r="U302" s="51"/>
      <c r="V302" s="51"/>
      <c r="W302" s="51"/>
      <c r="X302" s="51" t="s">
        <v>71</v>
      </c>
      <c r="Y302" s="51"/>
      <c r="Z302" s="51"/>
      <c r="AA302" s="86">
        <f t="shared" si="10"/>
        <v>0</v>
      </c>
      <c r="AB302" s="51" t="s">
        <v>63</v>
      </c>
      <c r="AC302" s="111" t="e">
        <f>INDEX(Tab_Def_Flows[[Flow_ID]:[CC_DM_source]],MATCH(Tab_Data_Flows[[#This Row],[Name(EN)]],Tab_Def_Flows[Name(EN)],0),16)</f>
        <v>#N/A</v>
      </c>
      <c r="AD302" s="112" t="e">
        <f>IF(J302="Yes",AA302*Tab_Data_Flows[[#This Row],[WC_'[%']]],"N.A.")</f>
        <v>#N/A</v>
      </c>
      <c r="AE302" s="61" t="str">
        <f>Tab_Data_Flows[[#This Row],[UoM_Flow_Py]]</f>
        <v>Mg</v>
      </c>
      <c r="AF302" s="111" t="e">
        <f>INDEX(Tab_Def_Flows[[Flow_ID]:[CC_DM_source]],MATCH(Tab_Data_Flows[[#This Row],[Name(EN)]],Tab_Def_Flows[Name(EN)],0),18)</f>
        <v>#N/A</v>
      </c>
      <c r="AG302" s="112" t="e">
        <f>IF(K302="Yes",AF302*Tab_Data_Flows[[#This Row],[Flow_Py]],"N.A.")</f>
        <v>#N/A</v>
      </c>
      <c r="AH302" s="61" t="str">
        <f>Tab_Data_Flows[[#This Row],[UoM_Flow_Py]]</f>
        <v>Mg</v>
      </c>
      <c r="AI302" s="111" t="e">
        <f>INDEX(Tab_Def_Flows[[Flow_ID]:[CC_DM_source]],MATCH(Tab_Data_Flows[[#This Row],[Name(EN)]],Tab_Def_Flows[Name(EN)],0),20)</f>
        <v>#N/A</v>
      </c>
      <c r="AJ302" s="109" t="e">
        <f>IF(L302="Yes",AI302*Tab_Data_Flows[[#This Row],[Flow_Py]]*Tab_Data_Flows[[#This Row],[DM_'[%']]],"N.A.")</f>
        <v>#N/A</v>
      </c>
      <c r="AK302" s="61" t="str">
        <f>Tab_Data_Flows[[#This Row],[UoM_Flow_Py]]</f>
        <v>Mg</v>
      </c>
    </row>
    <row r="303" spans="1:37" ht="15.75" thickBot="1" x14ac:dyDescent="0.3">
      <c r="A303" s="60">
        <f t="shared" si="9"/>
        <v>302</v>
      </c>
      <c r="B303" s="49" t="str">
        <f>_xlfn.XLOOKUP(C303,Tab_Def_Flows[Name(EN)],Tab_Def_Flows[Flow_ID],,0,)</f>
        <v>F_24_24</v>
      </c>
      <c r="C303" s="51"/>
      <c r="D303" s="49">
        <f>_xlfn.XLOOKUP(C303,Tab_Def_Flows[Name(EN)],Tab_Def_Flows[Type_Biomass],,0,)</f>
        <v>0</v>
      </c>
      <c r="E303" s="49">
        <f>_xlfn.XLOOKUP(C303,Tab_Def_Flows[Name(EN)],Tab_Def_Flows[Output_Process],,0,)</f>
        <v>0</v>
      </c>
      <c r="F303" s="49" t="str">
        <f>_xlfn.XLOOKUP(C303,Tab_Def_Flows[Name(EN)],Tab_Def_Flows[Process_ID_O],,0,)</f>
        <v>24__</v>
      </c>
      <c r="G303" s="49">
        <f>_xlfn.XLOOKUP(C303,Tab_Def_Flows[Name(EN)],Tab_Def_Flows[Input_Process],,0,)</f>
        <v>0</v>
      </c>
      <c r="H303" s="61" t="str">
        <f>_xlfn.XLOOKUP(C303,Tab_Def_Flows[Name(EN)],Tab_Def_Flows[Process_ID_I],,0,)</f>
        <v>24__</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c r="N303" s="51"/>
      <c r="O303" s="119"/>
      <c r="P303" s="51" t="s">
        <v>389</v>
      </c>
      <c r="Q303" s="51"/>
      <c r="R303" s="51"/>
      <c r="S303" s="51"/>
      <c r="T303" s="51"/>
      <c r="U303" s="51"/>
      <c r="V303" s="51"/>
      <c r="W303" s="51"/>
      <c r="X303" s="51" t="s">
        <v>71</v>
      </c>
      <c r="Y303" s="51"/>
      <c r="Z303" s="51"/>
      <c r="AA303" s="86">
        <f t="shared" si="10"/>
        <v>0</v>
      </c>
      <c r="AB303" s="51" t="s">
        <v>63</v>
      </c>
      <c r="AC303" s="111" t="e">
        <f>INDEX(Tab_Def_Flows[[Flow_ID]:[CC_DM_source]],MATCH(Tab_Data_Flows[[#This Row],[Name(EN)]],Tab_Def_Flows[Name(EN)],0),16)</f>
        <v>#N/A</v>
      </c>
      <c r="AD303" s="112" t="e">
        <f>IF(J303="Yes",AA303*Tab_Data_Flows[[#This Row],[WC_'[%']]],"N.A.")</f>
        <v>#N/A</v>
      </c>
      <c r="AE303" s="61" t="str">
        <f>Tab_Data_Flows[[#This Row],[UoM_Flow_Py]]</f>
        <v>Mg</v>
      </c>
      <c r="AF303" s="111" t="e">
        <f>INDEX(Tab_Def_Flows[[Flow_ID]:[CC_DM_source]],MATCH(Tab_Data_Flows[[#This Row],[Name(EN)]],Tab_Def_Flows[Name(EN)],0),18)</f>
        <v>#N/A</v>
      </c>
      <c r="AG303" s="112" t="e">
        <f>IF(K303="Yes",AF303*Tab_Data_Flows[[#This Row],[Flow_Py]],"N.A.")</f>
        <v>#N/A</v>
      </c>
      <c r="AH303" s="61" t="str">
        <f>Tab_Data_Flows[[#This Row],[UoM_Flow_Py]]</f>
        <v>Mg</v>
      </c>
      <c r="AI303" s="111" t="e">
        <f>INDEX(Tab_Def_Flows[[Flow_ID]:[CC_DM_source]],MATCH(Tab_Data_Flows[[#This Row],[Name(EN)]],Tab_Def_Flows[Name(EN)],0),20)</f>
        <v>#N/A</v>
      </c>
      <c r="AJ303" s="109" t="e">
        <f>IF(L303="Yes",AI303*Tab_Data_Flows[[#This Row],[Flow_Py]]*Tab_Data_Flows[[#This Row],[DM_'[%']]],"N.A.")</f>
        <v>#N/A</v>
      </c>
      <c r="AK303" s="61" t="str">
        <f>Tab_Data_Flows[[#This Row],[UoM_Flow_Py]]</f>
        <v>Mg</v>
      </c>
    </row>
    <row r="304" spans="1:37" ht="15.75" thickBot="1" x14ac:dyDescent="0.3">
      <c r="A304" s="60">
        <f t="shared" si="9"/>
        <v>303</v>
      </c>
      <c r="B304" s="49" t="str">
        <f>_xlfn.XLOOKUP(C304,Tab_Def_Flows[Name(EN)],Tab_Def_Flows[Flow_ID],,0,)</f>
        <v>F_24_24</v>
      </c>
      <c r="C304" s="51"/>
      <c r="D304" s="49">
        <f>_xlfn.XLOOKUP(C304,Tab_Def_Flows[Name(EN)],Tab_Def_Flows[Type_Biomass],,0,)</f>
        <v>0</v>
      </c>
      <c r="E304" s="49">
        <f>_xlfn.XLOOKUP(C304,Tab_Def_Flows[Name(EN)],Tab_Def_Flows[Output_Process],,0,)</f>
        <v>0</v>
      </c>
      <c r="F304" s="49" t="str">
        <f>_xlfn.XLOOKUP(C304,Tab_Def_Flows[Name(EN)],Tab_Def_Flows[Process_ID_O],,0,)</f>
        <v>24__</v>
      </c>
      <c r="G304" s="49">
        <f>_xlfn.XLOOKUP(C304,Tab_Def_Flows[Name(EN)],Tab_Def_Flows[Input_Process],,0,)</f>
        <v>0</v>
      </c>
      <c r="H304" s="61" t="str">
        <f>_xlfn.XLOOKUP(C304,Tab_Def_Flows[Name(EN)],Tab_Def_Flows[Process_ID_I],,0,)</f>
        <v>24__</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c r="N304" s="51"/>
      <c r="O304" s="119"/>
      <c r="P304" s="51" t="s">
        <v>389</v>
      </c>
      <c r="Q304" s="51"/>
      <c r="R304" s="51"/>
      <c r="S304" s="51"/>
      <c r="T304" s="51"/>
      <c r="U304" s="51"/>
      <c r="V304" s="51"/>
      <c r="W304" s="51"/>
      <c r="X304" s="51" t="s">
        <v>71</v>
      </c>
      <c r="Y304" s="51"/>
      <c r="Z304" s="51"/>
      <c r="AA304" s="86">
        <f t="shared" si="10"/>
        <v>0</v>
      </c>
      <c r="AB304" s="51" t="s">
        <v>63</v>
      </c>
      <c r="AC304" s="111" t="e">
        <f>INDEX(Tab_Def_Flows[[Flow_ID]:[CC_DM_source]],MATCH(Tab_Data_Flows[[#This Row],[Name(EN)]],Tab_Def_Flows[Name(EN)],0),16)</f>
        <v>#N/A</v>
      </c>
      <c r="AD304" s="112" t="e">
        <f>IF(J304="Yes",AA304*Tab_Data_Flows[[#This Row],[WC_'[%']]],"N.A.")</f>
        <v>#N/A</v>
      </c>
      <c r="AE304" s="61" t="str">
        <f>Tab_Data_Flows[[#This Row],[UoM_Flow_Py]]</f>
        <v>Mg</v>
      </c>
      <c r="AF304" s="111" t="e">
        <f>INDEX(Tab_Def_Flows[[Flow_ID]:[CC_DM_source]],MATCH(Tab_Data_Flows[[#This Row],[Name(EN)]],Tab_Def_Flows[Name(EN)],0),18)</f>
        <v>#N/A</v>
      </c>
      <c r="AG304" s="112" t="e">
        <f>IF(K304="Yes",AF304*Tab_Data_Flows[[#This Row],[Flow_Py]],"N.A.")</f>
        <v>#N/A</v>
      </c>
      <c r="AH304" s="61" t="str">
        <f>Tab_Data_Flows[[#This Row],[UoM_Flow_Py]]</f>
        <v>Mg</v>
      </c>
      <c r="AI304" s="111" t="e">
        <f>INDEX(Tab_Def_Flows[[Flow_ID]:[CC_DM_source]],MATCH(Tab_Data_Flows[[#This Row],[Name(EN)]],Tab_Def_Flows[Name(EN)],0),20)</f>
        <v>#N/A</v>
      </c>
      <c r="AJ304" s="109" t="e">
        <f>IF(L304="Yes",AI304*Tab_Data_Flows[[#This Row],[Flow_Py]]*Tab_Data_Flows[[#This Row],[DM_'[%']]],"N.A.")</f>
        <v>#N/A</v>
      </c>
      <c r="AK304" s="61" t="str">
        <f>Tab_Data_Flows[[#This Row],[UoM_Flow_Py]]</f>
        <v>Mg</v>
      </c>
    </row>
    <row r="305" spans="1:37" ht="15.75" thickBot="1" x14ac:dyDescent="0.3">
      <c r="A305" s="60">
        <f t="shared" si="9"/>
        <v>304</v>
      </c>
      <c r="B305" s="49" t="str">
        <f>_xlfn.XLOOKUP(C305,Tab_Def_Flows[Name(EN)],Tab_Def_Flows[Flow_ID],,0,)</f>
        <v>F_24_24</v>
      </c>
      <c r="C305" s="51"/>
      <c r="D305" s="49">
        <f>_xlfn.XLOOKUP(C305,Tab_Def_Flows[Name(EN)],Tab_Def_Flows[Type_Biomass],,0,)</f>
        <v>0</v>
      </c>
      <c r="E305" s="49">
        <f>_xlfn.XLOOKUP(C305,Tab_Def_Flows[Name(EN)],Tab_Def_Flows[Output_Process],,0,)</f>
        <v>0</v>
      </c>
      <c r="F305" s="49" t="str">
        <f>_xlfn.XLOOKUP(C305,Tab_Def_Flows[Name(EN)],Tab_Def_Flows[Process_ID_O],,0,)</f>
        <v>24__</v>
      </c>
      <c r="G305" s="49">
        <f>_xlfn.XLOOKUP(C305,Tab_Def_Flows[Name(EN)],Tab_Def_Flows[Input_Process],,0,)</f>
        <v>0</v>
      </c>
      <c r="H305" s="61" t="str">
        <f>_xlfn.XLOOKUP(C305,Tab_Def_Flows[Name(EN)],Tab_Def_Flows[Process_ID_I],,0,)</f>
        <v>24__</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c r="N305" s="51"/>
      <c r="O305" s="119"/>
      <c r="P305" s="51" t="s">
        <v>389</v>
      </c>
      <c r="Q305" s="51"/>
      <c r="R305" s="51"/>
      <c r="S305" s="51"/>
      <c r="T305" s="51"/>
      <c r="U305" s="51"/>
      <c r="V305" s="51"/>
      <c r="W305" s="51"/>
      <c r="X305" s="51" t="s">
        <v>71</v>
      </c>
      <c r="Y305" s="51"/>
      <c r="Z305" s="51"/>
      <c r="AA305" s="86">
        <f t="shared" si="10"/>
        <v>0</v>
      </c>
      <c r="AB305" s="51"/>
      <c r="AC305" s="111" t="e">
        <f>INDEX(Tab_Def_Flows[[Flow_ID]:[CC_DM_source]],MATCH(Tab_Data_Flows[[#This Row],[Name(EN)]],Tab_Def_Flows[Name(EN)],0),16)</f>
        <v>#N/A</v>
      </c>
      <c r="AD305" s="112" t="e">
        <f>IF(J305="Yes",AA305*Tab_Data_Flows[[#This Row],[WC_'[%']]],"N.A.")</f>
        <v>#N/A</v>
      </c>
      <c r="AE305" s="61">
        <f>Tab_Data_Flows[[#This Row],[UoM_Flow_Py]]</f>
        <v>0</v>
      </c>
      <c r="AF305" s="111" t="e">
        <f>INDEX(Tab_Def_Flows[[Flow_ID]:[CC_DM_source]],MATCH(Tab_Data_Flows[[#This Row],[Name(EN)]],Tab_Def_Flows[Name(EN)],0),18)</f>
        <v>#N/A</v>
      </c>
      <c r="AG305" s="112" t="e">
        <f>IF(K305="Yes",AF305*Tab_Data_Flows[[#This Row],[Flow_Py]],"N.A.")</f>
        <v>#N/A</v>
      </c>
      <c r="AH305" s="61">
        <f>Tab_Data_Flows[[#This Row],[UoM_Flow_Py]]</f>
        <v>0</v>
      </c>
      <c r="AI305" s="111" t="e">
        <f>INDEX(Tab_Def_Flows[[Flow_ID]:[CC_DM_source]],MATCH(Tab_Data_Flows[[#This Row],[Name(EN)]],Tab_Def_Flows[Name(EN)],0),20)</f>
        <v>#N/A</v>
      </c>
      <c r="AJ305" s="109" t="e">
        <f>IF(L305="Yes",AI305*Tab_Data_Flows[[#This Row],[Flow_Py]]*Tab_Data_Flows[[#This Row],[DM_'[%']]],"N.A.")</f>
        <v>#N/A</v>
      </c>
      <c r="AK305" s="61">
        <f>Tab_Data_Flows[[#This Row],[UoM_Flow_Py]]</f>
        <v>0</v>
      </c>
    </row>
    <row r="306" spans="1:37" ht="15.75" thickBot="1" x14ac:dyDescent="0.3">
      <c r="A306" s="60">
        <f t="shared" si="9"/>
        <v>305</v>
      </c>
      <c r="B306" s="49" t="str">
        <f>_xlfn.XLOOKUP(C306,Tab_Def_Flows[Name(EN)],Tab_Def_Flows[Flow_ID],,0,)</f>
        <v>F_24_24</v>
      </c>
      <c r="C306" s="51"/>
      <c r="D306" s="49">
        <f>_xlfn.XLOOKUP(C306,Tab_Def_Flows[Name(EN)],Tab_Def_Flows[Type_Biomass],,0,)</f>
        <v>0</v>
      </c>
      <c r="E306" s="49">
        <f>_xlfn.XLOOKUP(C306,Tab_Def_Flows[Name(EN)],Tab_Def_Flows[Output_Process],,0,)</f>
        <v>0</v>
      </c>
      <c r="F306" s="49" t="str">
        <f>_xlfn.XLOOKUP(C306,Tab_Def_Flows[Name(EN)],Tab_Def_Flows[Process_ID_O],,0,)</f>
        <v>24__</v>
      </c>
      <c r="G306" s="49">
        <f>_xlfn.XLOOKUP(C306,Tab_Def_Flows[Name(EN)],Tab_Def_Flows[Input_Process],,0,)</f>
        <v>0</v>
      </c>
      <c r="H306" s="61" t="str">
        <f>_xlfn.XLOOKUP(C306,Tab_Def_Flows[Name(EN)],Tab_Def_Flows[Process_ID_I],,0,)</f>
        <v>24__</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c r="N306" s="51"/>
      <c r="O306" s="119"/>
      <c r="P306" s="51" t="s">
        <v>389</v>
      </c>
      <c r="Q306" s="51"/>
      <c r="R306" s="51"/>
      <c r="S306" s="51"/>
      <c r="T306" s="51"/>
      <c r="U306" s="51"/>
      <c r="V306" s="51"/>
      <c r="W306" s="51"/>
      <c r="X306" s="51" t="s">
        <v>71</v>
      </c>
      <c r="Y306" s="51"/>
      <c r="Z306" s="51"/>
      <c r="AA306" s="86">
        <f t="shared" si="10"/>
        <v>0</v>
      </c>
      <c r="AB306" s="51"/>
      <c r="AC306" s="111" t="e">
        <f>INDEX(Tab_Def_Flows[[Flow_ID]:[CC_DM_source]],MATCH(Tab_Data_Flows[[#This Row],[Name(EN)]],Tab_Def_Flows[Name(EN)],0),16)</f>
        <v>#N/A</v>
      </c>
      <c r="AD306" s="112" t="e">
        <f>IF(J306="Yes",AA306*Tab_Data_Flows[[#This Row],[WC_'[%']]],"N.A.")</f>
        <v>#N/A</v>
      </c>
      <c r="AE306" s="61">
        <f>Tab_Data_Flows[[#This Row],[UoM_Flow_Py]]</f>
        <v>0</v>
      </c>
      <c r="AF306" s="111" t="e">
        <f>INDEX(Tab_Def_Flows[[Flow_ID]:[CC_DM_source]],MATCH(Tab_Data_Flows[[#This Row],[Name(EN)]],Tab_Def_Flows[Name(EN)],0),18)</f>
        <v>#N/A</v>
      </c>
      <c r="AG306" s="112" t="e">
        <f>IF(K306="Yes",AF306*Tab_Data_Flows[[#This Row],[Flow_Py]],"N.A.")</f>
        <v>#N/A</v>
      </c>
      <c r="AH306" s="61">
        <f>Tab_Data_Flows[[#This Row],[UoM_Flow_Py]]</f>
        <v>0</v>
      </c>
      <c r="AI306" s="111" t="e">
        <f>INDEX(Tab_Def_Flows[[Flow_ID]:[CC_DM_source]],MATCH(Tab_Data_Flows[[#This Row],[Name(EN)]],Tab_Def_Flows[Name(EN)],0),20)</f>
        <v>#N/A</v>
      </c>
      <c r="AJ306" s="109" t="e">
        <f>IF(L306="Yes",AI306*Tab_Data_Flows[[#This Row],[Flow_Py]]*Tab_Data_Flows[[#This Row],[DM_'[%']]],"N.A.")</f>
        <v>#N/A</v>
      </c>
      <c r="AK306" s="61">
        <f>Tab_Data_Flows[[#This Row],[UoM_Flow_Py]]</f>
        <v>0</v>
      </c>
    </row>
    <row r="307" spans="1:37" ht="15.75" thickBot="1" x14ac:dyDescent="0.3">
      <c r="A307" s="60">
        <f t="shared" si="9"/>
        <v>306</v>
      </c>
      <c r="B307" s="49" t="str">
        <f>_xlfn.XLOOKUP(C307,Tab_Def_Flows[Name(EN)],Tab_Def_Flows[Flow_ID],,0,)</f>
        <v>F_24_24</v>
      </c>
      <c r="C307" s="51"/>
      <c r="D307" s="49">
        <f>_xlfn.XLOOKUP(C307,Tab_Def_Flows[Name(EN)],Tab_Def_Flows[Type_Biomass],,0,)</f>
        <v>0</v>
      </c>
      <c r="E307" s="49">
        <f>_xlfn.XLOOKUP(C307,Tab_Def_Flows[Name(EN)],Tab_Def_Flows[Output_Process],,0,)</f>
        <v>0</v>
      </c>
      <c r="F307" s="49" t="str">
        <f>_xlfn.XLOOKUP(C307,Tab_Def_Flows[Name(EN)],Tab_Def_Flows[Process_ID_O],,0,)</f>
        <v>24__</v>
      </c>
      <c r="G307" s="49">
        <f>_xlfn.XLOOKUP(C307,Tab_Def_Flows[Name(EN)],Tab_Def_Flows[Input_Process],,0,)</f>
        <v>0</v>
      </c>
      <c r="H307" s="61" t="str">
        <f>_xlfn.XLOOKUP(C307,Tab_Def_Flows[Name(EN)],Tab_Def_Flows[Process_ID_I],,0,)</f>
        <v>24__</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c r="N307" s="51"/>
      <c r="O307" s="119"/>
      <c r="P307" s="51" t="s">
        <v>389</v>
      </c>
      <c r="Q307" s="51"/>
      <c r="R307" s="51"/>
      <c r="S307" s="51"/>
      <c r="T307" s="51"/>
      <c r="U307" s="51"/>
      <c r="V307" s="51"/>
      <c r="W307" s="51"/>
      <c r="X307" s="51" t="s">
        <v>71</v>
      </c>
      <c r="Y307" s="51"/>
      <c r="Z307" s="51"/>
      <c r="AA307" s="86">
        <f t="shared" si="10"/>
        <v>0</v>
      </c>
      <c r="AB307" s="51"/>
      <c r="AC307" s="111" t="e">
        <f>INDEX(Tab_Def_Flows[[Flow_ID]:[CC_DM_source]],MATCH(Tab_Data_Flows[[#This Row],[Name(EN)]],Tab_Def_Flows[Name(EN)],0),16)</f>
        <v>#N/A</v>
      </c>
      <c r="AD307" s="112" t="e">
        <f>IF(J307="Yes",AA307*Tab_Data_Flows[[#This Row],[WC_'[%']]],"N.A.")</f>
        <v>#N/A</v>
      </c>
      <c r="AE307" s="61">
        <f>Tab_Data_Flows[[#This Row],[UoM_Flow_Py]]</f>
        <v>0</v>
      </c>
      <c r="AF307" s="111" t="e">
        <f>INDEX(Tab_Def_Flows[[Flow_ID]:[CC_DM_source]],MATCH(Tab_Data_Flows[[#This Row],[Name(EN)]],Tab_Def_Flows[Name(EN)],0),18)</f>
        <v>#N/A</v>
      </c>
      <c r="AG307" s="112" t="e">
        <f>IF(K307="Yes",AF307*Tab_Data_Flows[[#This Row],[Flow_Py]],"N.A.")</f>
        <v>#N/A</v>
      </c>
      <c r="AH307" s="61">
        <f>Tab_Data_Flows[[#This Row],[UoM_Flow_Py]]</f>
        <v>0</v>
      </c>
      <c r="AI307" s="111" t="e">
        <f>INDEX(Tab_Def_Flows[[Flow_ID]:[CC_DM_source]],MATCH(Tab_Data_Flows[[#This Row],[Name(EN)]],Tab_Def_Flows[Name(EN)],0),20)</f>
        <v>#N/A</v>
      </c>
      <c r="AJ307" s="109" t="e">
        <f>IF(L307="Yes",AI307*Tab_Data_Flows[[#This Row],[Flow_Py]]*Tab_Data_Flows[[#This Row],[DM_'[%']]],"N.A.")</f>
        <v>#N/A</v>
      </c>
      <c r="AK307" s="61">
        <f>Tab_Data_Flows[[#This Row],[UoM_Flow_Py]]</f>
        <v>0</v>
      </c>
    </row>
    <row r="308" spans="1:37" ht="15.75" thickBot="1" x14ac:dyDescent="0.3">
      <c r="A308" s="60">
        <f t="shared" si="9"/>
        <v>307</v>
      </c>
      <c r="B308" s="49" t="str">
        <f>_xlfn.XLOOKUP(C308,Tab_Def_Flows[Name(EN)],Tab_Def_Flows[Flow_ID],,0,)</f>
        <v>F_24_24</v>
      </c>
      <c r="C308" s="51"/>
      <c r="D308" s="49">
        <f>_xlfn.XLOOKUP(C308,Tab_Def_Flows[Name(EN)],Tab_Def_Flows[Type_Biomass],,0,)</f>
        <v>0</v>
      </c>
      <c r="E308" s="49">
        <f>_xlfn.XLOOKUP(C308,Tab_Def_Flows[Name(EN)],Tab_Def_Flows[Output_Process],,0,)</f>
        <v>0</v>
      </c>
      <c r="F308" s="49" t="str">
        <f>_xlfn.XLOOKUP(C308,Tab_Def_Flows[Name(EN)],Tab_Def_Flows[Process_ID_O],,0,)</f>
        <v>24__</v>
      </c>
      <c r="G308" s="49">
        <f>_xlfn.XLOOKUP(C308,Tab_Def_Flows[Name(EN)],Tab_Def_Flows[Input_Process],,0,)</f>
        <v>0</v>
      </c>
      <c r="H308" s="61" t="str">
        <f>_xlfn.XLOOKUP(C308,Tab_Def_Flows[Name(EN)],Tab_Def_Flows[Process_ID_I],,0,)</f>
        <v>24__</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c r="N308" s="51"/>
      <c r="O308" s="119"/>
      <c r="P308" s="51" t="s">
        <v>389</v>
      </c>
      <c r="Q308" s="51"/>
      <c r="R308" s="51"/>
      <c r="S308" s="51"/>
      <c r="T308" s="51"/>
      <c r="U308" s="51"/>
      <c r="V308" s="51"/>
      <c r="W308" s="51"/>
      <c r="X308" s="51" t="s">
        <v>71</v>
      </c>
      <c r="Y308" s="51"/>
      <c r="Z308" s="51"/>
      <c r="AA308" s="86">
        <f t="shared" si="10"/>
        <v>0</v>
      </c>
      <c r="AB308" s="51"/>
      <c r="AC308" s="111" t="e">
        <f>INDEX(Tab_Def_Flows[[Flow_ID]:[CC_DM_source]],MATCH(Tab_Data_Flows[[#This Row],[Name(EN)]],Tab_Def_Flows[Name(EN)],0),16)</f>
        <v>#N/A</v>
      </c>
      <c r="AD308" s="112" t="e">
        <f>IF(J308="Yes",AA308*Tab_Data_Flows[[#This Row],[WC_'[%']]],"N.A.")</f>
        <v>#N/A</v>
      </c>
      <c r="AE308" s="61">
        <f>Tab_Data_Flows[[#This Row],[UoM_Flow_Py]]</f>
        <v>0</v>
      </c>
      <c r="AF308" s="111" t="e">
        <f>INDEX(Tab_Def_Flows[[Flow_ID]:[CC_DM_source]],MATCH(Tab_Data_Flows[[#This Row],[Name(EN)]],Tab_Def_Flows[Name(EN)],0),18)</f>
        <v>#N/A</v>
      </c>
      <c r="AG308" s="112" t="e">
        <f>IF(K308="Yes",AF308*Tab_Data_Flows[[#This Row],[Flow_Py]],"N.A.")</f>
        <v>#N/A</v>
      </c>
      <c r="AH308" s="61">
        <f>Tab_Data_Flows[[#This Row],[UoM_Flow_Py]]</f>
        <v>0</v>
      </c>
      <c r="AI308" s="111" t="e">
        <f>INDEX(Tab_Def_Flows[[Flow_ID]:[CC_DM_source]],MATCH(Tab_Data_Flows[[#This Row],[Name(EN)]],Tab_Def_Flows[Name(EN)],0),20)</f>
        <v>#N/A</v>
      </c>
      <c r="AJ308" s="109" t="e">
        <f>IF(L308="Yes",AI308*Tab_Data_Flows[[#This Row],[Flow_Py]]*Tab_Data_Flows[[#This Row],[DM_'[%']]],"N.A.")</f>
        <v>#N/A</v>
      </c>
      <c r="AK308" s="61">
        <f>Tab_Data_Flows[[#This Row],[UoM_Flow_Py]]</f>
        <v>0</v>
      </c>
    </row>
    <row r="309" spans="1:37" ht="15.75" thickBot="1" x14ac:dyDescent="0.3">
      <c r="A309" s="60">
        <f t="shared" si="9"/>
        <v>308</v>
      </c>
      <c r="B309" s="49" t="str">
        <f>_xlfn.XLOOKUP(C309,Tab_Def_Flows[Name(EN)],Tab_Def_Flows[Flow_ID],,0,)</f>
        <v>F_24_24</v>
      </c>
      <c r="C309" s="51"/>
      <c r="D309" s="49">
        <f>_xlfn.XLOOKUP(C309,Tab_Def_Flows[Name(EN)],Tab_Def_Flows[Type_Biomass],,0,)</f>
        <v>0</v>
      </c>
      <c r="E309" s="49">
        <f>_xlfn.XLOOKUP(C309,Tab_Def_Flows[Name(EN)],Tab_Def_Flows[Output_Process],,0,)</f>
        <v>0</v>
      </c>
      <c r="F309" s="49" t="str">
        <f>_xlfn.XLOOKUP(C309,Tab_Def_Flows[Name(EN)],Tab_Def_Flows[Process_ID_O],,0,)</f>
        <v>24__</v>
      </c>
      <c r="G309" s="49">
        <f>_xlfn.XLOOKUP(C309,Tab_Def_Flows[Name(EN)],Tab_Def_Flows[Input_Process],,0,)</f>
        <v>0</v>
      </c>
      <c r="H309" s="61" t="str">
        <f>_xlfn.XLOOKUP(C309,Tab_Def_Flows[Name(EN)],Tab_Def_Flows[Process_ID_I],,0,)</f>
        <v>24__</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c r="N309" s="51"/>
      <c r="O309" s="119"/>
      <c r="P309" s="51" t="s">
        <v>389</v>
      </c>
      <c r="Q309" s="51"/>
      <c r="R309" s="51"/>
      <c r="S309" s="51"/>
      <c r="T309" s="51"/>
      <c r="U309" s="51"/>
      <c r="V309" s="51"/>
      <c r="W309" s="51"/>
      <c r="X309" s="51" t="s">
        <v>71</v>
      </c>
      <c r="Y309" s="51"/>
      <c r="Z309" s="51"/>
      <c r="AA309" s="86">
        <f t="shared" si="10"/>
        <v>0</v>
      </c>
      <c r="AB309" s="51"/>
      <c r="AC309" s="111" t="e">
        <f>INDEX(Tab_Def_Flows[[Flow_ID]:[CC_DM_source]],MATCH(Tab_Data_Flows[[#This Row],[Name(EN)]],Tab_Def_Flows[Name(EN)],0),16)</f>
        <v>#N/A</v>
      </c>
      <c r="AD309" s="112" t="e">
        <f>IF(J309="Yes",AA309*Tab_Data_Flows[[#This Row],[WC_'[%']]],"N.A.")</f>
        <v>#N/A</v>
      </c>
      <c r="AE309" s="61">
        <f>Tab_Data_Flows[[#This Row],[UoM_Flow_Py]]</f>
        <v>0</v>
      </c>
      <c r="AF309" s="111" t="e">
        <f>INDEX(Tab_Def_Flows[[Flow_ID]:[CC_DM_source]],MATCH(Tab_Data_Flows[[#This Row],[Name(EN)]],Tab_Def_Flows[Name(EN)],0),18)</f>
        <v>#N/A</v>
      </c>
      <c r="AG309" s="112" t="e">
        <f>IF(K309="Yes",AF309*Tab_Data_Flows[[#This Row],[Flow_Py]],"N.A.")</f>
        <v>#N/A</v>
      </c>
      <c r="AH309" s="61">
        <f>Tab_Data_Flows[[#This Row],[UoM_Flow_Py]]</f>
        <v>0</v>
      </c>
      <c r="AI309" s="111" t="e">
        <f>INDEX(Tab_Def_Flows[[Flow_ID]:[CC_DM_source]],MATCH(Tab_Data_Flows[[#This Row],[Name(EN)]],Tab_Def_Flows[Name(EN)],0),20)</f>
        <v>#N/A</v>
      </c>
      <c r="AJ309" s="109" t="e">
        <f>IF(L309="Yes",AI309*Tab_Data_Flows[[#This Row],[Flow_Py]]*Tab_Data_Flows[[#This Row],[DM_'[%']]],"N.A.")</f>
        <v>#N/A</v>
      </c>
      <c r="AK309" s="61">
        <f>Tab_Data_Flows[[#This Row],[UoM_Flow_Py]]</f>
        <v>0</v>
      </c>
    </row>
    <row r="310" spans="1:37" ht="15.75" thickBot="1" x14ac:dyDescent="0.3">
      <c r="A310" s="60">
        <f t="shared" si="9"/>
        <v>309</v>
      </c>
      <c r="B310" s="49" t="str">
        <f>_xlfn.XLOOKUP(C310,Tab_Def_Flows[Name(EN)],Tab_Def_Flows[Flow_ID],,0,)</f>
        <v>F_24_24</v>
      </c>
      <c r="C310" s="51"/>
      <c r="D310" s="49">
        <f>_xlfn.XLOOKUP(C310,Tab_Def_Flows[Name(EN)],Tab_Def_Flows[Type_Biomass],,0,)</f>
        <v>0</v>
      </c>
      <c r="E310" s="49">
        <f>_xlfn.XLOOKUP(C310,Tab_Def_Flows[Name(EN)],Tab_Def_Flows[Output_Process],,0,)</f>
        <v>0</v>
      </c>
      <c r="F310" s="49" t="str">
        <f>_xlfn.XLOOKUP(C310,Tab_Def_Flows[Name(EN)],Tab_Def_Flows[Process_ID_O],,0,)</f>
        <v>24__</v>
      </c>
      <c r="G310" s="49">
        <f>_xlfn.XLOOKUP(C310,Tab_Def_Flows[Name(EN)],Tab_Def_Flows[Input_Process],,0,)</f>
        <v>0</v>
      </c>
      <c r="H310" s="61" t="str">
        <f>_xlfn.XLOOKUP(C310,Tab_Def_Flows[Name(EN)],Tab_Def_Flows[Process_ID_I],,0,)</f>
        <v>24__</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c r="N310" s="51"/>
      <c r="O310" s="119"/>
      <c r="P310" s="51" t="s">
        <v>389</v>
      </c>
      <c r="Q310" s="51"/>
      <c r="R310" s="51"/>
      <c r="S310" s="51"/>
      <c r="T310" s="51"/>
      <c r="U310" s="51"/>
      <c r="V310" s="51"/>
      <c r="W310" s="51"/>
      <c r="X310" s="51" t="s">
        <v>71</v>
      </c>
      <c r="Y310" s="51"/>
      <c r="Z310" s="51"/>
      <c r="AA310" s="86">
        <f t="shared" si="10"/>
        <v>0</v>
      </c>
      <c r="AB310" s="51"/>
      <c r="AC310" s="111" t="e">
        <f>INDEX(Tab_Def_Flows[[Flow_ID]:[CC_DM_source]],MATCH(Tab_Data_Flows[[#This Row],[Name(EN)]],Tab_Def_Flows[Name(EN)],0),16)</f>
        <v>#N/A</v>
      </c>
      <c r="AD310" s="112" t="e">
        <f>IF(J310="Yes",AA310*Tab_Data_Flows[[#This Row],[WC_'[%']]],"N.A.")</f>
        <v>#N/A</v>
      </c>
      <c r="AE310" s="61">
        <f>Tab_Data_Flows[[#This Row],[UoM_Flow_Py]]</f>
        <v>0</v>
      </c>
      <c r="AF310" s="111" t="e">
        <f>INDEX(Tab_Def_Flows[[Flow_ID]:[CC_DM_source]],MATCH(Tab_Data_Flows[[#This Row],[Name(EN)]],Tab_Def_Flows[Name(EN)],0),18)</f>
        <v>#N/A</v>
      </c>
      <c r="AG310" s="112" t="e">
        <f>IF(K310="Yes",AF310*Tab_Data_Flows[[#This Row],[Flow_Py]],"N.A.")</f>
        <v>#N/A</v>
      </c>
      <c r="AH310" s="61">
        <f>Tab_Data_Flows[[#This Row],[UoM_Flow_Py]]</f>
        <v>0</v>
      </c>
      <c r="AI310" s="111" t="e">
        <f>INDEX(Tab_Def_Flows[[Flow_ID]:[CC_DM_source]],MATCH(Tab_Data_Flows[[#This Row],[Name(EN)]],Tab_Def_Flows[Name(EN)],0),20)</f>
        <v>#N/A</v>
      </c>
      <c r="AJ310" s="109" t="e">
        <f>IF(L310="Yes",AI310*Tab_Data_Flows[[#This Row],[Flow_Py]]*Tab_Data_Flows[[#This Row],[DM_'[%']]],"N.A.")</f>
        <v>#N/A</v>
      </c>
      <c r="AK310" s="61">
        <f>Tab_Data_Flows[[#This Row],[UoM_Flow_Py]]</f>
        <v>0</v>
      </c>
    </row>
    <row r="311" spans="1:37" ht="15.75" thickBot="1" x14ac:dyDescent="0.3">
      <c r="A311" s="60">
        <f t="shared" si="9"/>
        <v>310</v>
      </c>
      <c r="B311" s="49" t="str">
        <f>_xlfn.XLOOKUP(C311,Tab_Def_Flows[Name(EN)],Tab_Def_Flows[Flow_ID],,0,)</f>
        <v>F_24_24</v>
      </c>
      <c r="C311" s="51"/>
      <c r="D311" s="49">
        <f>_xlfn.XLOOKUP(C311,Tab_Def_Flows[Name(EN)],Tab_Def_Flows[Type_Biomass],,0,)</f>
        <v>0</v>
      </c>
      <c r="E311" s="49">
        <f>_xlfn.XLOOKUP(C311,Tab_Def_Flows[Name(EN)],Tab_Def_Flows[Output_Process],,0,)</f>
        <v>0</v>
      </c>
      <c r="F311" s="49" t="str">
        <f>_xlfn.XLOOKUP(C311,Tab_Def_Flows[Name(EN)],Tab_Def_Flows[Process_ID_O],,0,)</f>
        <v>24__</v>
      </c>
      <c r="G311" s="49">
        <f>_xlfn.XLOOKUP(C311,Tab_Def_Flows[Name(EN)],Tab_Def_Flows[Input_Process],,0,)</f>
        <v>0</v>
      </c>
      <c r="H311" s="61" t="str">
        <f>_xlfn.XLOOKUP(C311,Tab_Def_Flows[Name(EN)],Tab_Def_Flows[Process_ID_I],,0,)</f>
        <v>24__</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c r="N311" s="51"/>
      <c r="O311" s="119"/>
      <c r="P311" s="51" t="s">
        <v>389</v>
      </c>
      <c r="Q311" s="51"/>
      <c r="R311" s="51"/>
      <c r="S311" s="51"/>
      <c r="T311" s="51"/>
      <c r="U311" s="51"/>
      <c r="V311" s="51"/>
      <c r="W311" s="51"/>
      <c r="X311" s="51" t="s">
        <v>71</v>
      </c>
      <c r="Y311" s="51"/>
      <c r="Z311" s="51"/>
      <c r="AA311" s="86">
        <f t="shared" si="10"/>
        <v>0</v>
      </c>
      <c r="AB311" s="51"/>
      <c r="AC311" s="111" t="e">
        <f>INDEX(Tab_Def_Flows[[Flow_ID]:[CC_DM_source]],MATCH(Tab_Data_Flows[[#This Row],[Name(EN)]],Tab_Def_Flows[Name(EN)],0),16)</f>
        <v>#N/A</v>
      </c>
      <c r="AD311" s="112" t="e">
        <f>IF(J311="Yes",AA311*Tab_Data_Flows[[#This Row],[WC_'[%']]],"N.A.")</f>
        <v>#N/A</v>
      </c>
      <c r="AE311" s="61">
        <f>Tab_Data_Flows[[#This Row],[UoM_Flow_Py]]</f>
        <v>0</v>
      </c>
      <c r="AF311" s="111" t="e">
        <f>INDEX(Tab_Def_Flows[[Flow_ID]:[CC_DM_source]],MATCH(Tab_Data_Flows[[#This Row],[Name(EN)]],Tab_Def_Flows[Name(EN)],0),18)</f>
        <v>#N/A</v>
      </c>
      <c r="AG311" s="112" t="e">
        <f>IF(K311="Yes",AF311*Tab_Data_Flows[[#This Row],[Flow_Py]],"N.A.")</f>
        <v>#N/A</v>
      </c>
      <c r="AH311" s="61">
        <f>Tab_Data_Flows[[#This Row],[UoM_Flow_Py]]</f>
        <v>0</v>
      </c>
      <c r="AI311" s="111" t="e">
        <f>INDEX(Tab_Def_Flows[[Flow_ID]:[CC_DM_source]],MATCH(Tab_Data_Flows[[#This Row],[Name(EN)]],Tab_Def_Flows[Name(EN)],0),20)</f>
        <v>#N/A</v>
      </c>
      <c r="AJ311" s="109" t="e">
        <f>IF(L311="Yes",AI311*Tab_Data_Flows[[#This Row],[Flow_Py]]*Tab_Data_Flows[[#This Row],[DM_'[%']]],"N.A.")</f>
        <v>#N/A</v>
      </c>
      <c r="AK311" s="61">
        <f>Tab_Data_Flows[[#This Row],[UoM_Flow_Py]]</f>
        <v>0</v>
      </c>
    </row>
    <row r="312" spans="1:37" ht="15.75" thickBot="1" x14ac:dyDescent="0.3">
      <c r="A312" s="60">
        <f t="shared" si="9"/>
        <v>311</v>
      </c>
      <c r="B312" s="49" t="str">
        <f>_xlfn.XLOOKUP(C312,Tab_Def_Flows[Name(EN)],Tab_Def_Flows[Flow_ID],,0,)</f>
        <v>F_24_24</v>
      </c>
      <c r="C312" s="51"/>
      <c r="D312" s="49">
        <f>_xlfn.XLOOKUP(C312,Tab_Def_Flows[Name(EN)],Tab_Def_Flows[Type_Biomass],,0,)</f>
        <v>0</v>
      </c>
      <c r="E312" s="49">
        <f>_xlfn.XLOOKUP(C312,Tab_Def_Flows[Name(EN)],Tab_Def_Flows[Output_Process],,0,)</f>
        <v>0</v>
      </c>
      <c r="F312" s="49" t="str">
        <f>_xlfn.XLOOKUP(C312,Tab_Def_Flows[Name(EN)],Tab_Def_Flows[Process_ID_O],,0,)</f>
        <v>24__</v>
      </c>
      <c r="G312" s="49">
        <f>_xlfn.XLOOKUP(C312,Tab_Def_Flows[Name(EN)],Tab_Def_Flows[Input_Process],,0,)</f>
        <v>0</v>
      </c>
      <c r="H312" s="61" t="str">
        <f>_xlfn.XLOOKUP(C312,Tab_Def_Flows[Name(EN)],Tab_Def_Flows[Process_ID_I],,0,)</f>
        <v>24__</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c r="N312" s="51"/>
      <c r="O312" s="119"/>
      <c r="P312" s="51" t="s">
        <v>389</v>
      </c>
      <c r="Q312" s="51"/>
      <c r="R312" s="51"/>
      <c r="S312" s="51"/>
      <c r="T312" s="51"/>
      <c r="U312" s="51"/>
      <c r="V312" s="51"/>
      <c r="W312" s="51"/>
      <c r="X312" s="51" t="s">
        <v>71</v>
      </c>
      <c r="Y312" s="51"/>
      <c r="Z312" s="51"/>
      <c r="AA312" s="86">
        <f t="shared" si="10"/>
        <v>0</v>
      </c>
      <c r="AB312" s="51"/>
      <c r="AC312" s="111" t="e">
        <f>INDEX(Tab_Def_Flows[[Flow_ID]:[CC_DM_source]],MATCH(Tab_Data_Flows[[#This Row],[Name(EN)]],Tab_Def_Flows[Name(EN)],0),16)</f>
        <v>#N/A</v>
      </c>
      <c r="AD312" s="112" t="e">
        <f>IF(J312="Yes",AA312*Tab_Data_Flows[[#This Row],[WC_'[%']]],"N.A.")</f>
        <v>#N/A</v>
      </c>
      <c r="AE312" s="61">
        <f>Tab_Data_Flows[[#This Row],[UoM_Flow_Py]]</f>
        <v>0</v>
      </c>
      <c r="AF312" s="111" t="e">
        <f>INDEX(Tab_Def_Flows[[Flow_ID]:[CC_DM_source]],MATCH(Tab_Data_Flows[[#This Row],[Name(EN)]],Tab_Def_Flows[Name(EN)],0),18)</f>
        <v>#N/A</v>
      </c>
      <c r="AG312" s="112" t="e">
        <f>IF(K312="Yes",AF312*Tab_Data_Flows[[#This Row],[Flow_Py]],"N.A.")</f>
        <v>#N/A</v>
      </c>
      <c r="AH312" s="61">
        <f>Tab_Data_Flows[[#This Row],[UoM_Flow_Py]]</f>
        <v>0</v>
      </c>
      <c r="AI312" s="111" t="e">
        <f>INDEX(Tab_Def_Flows[[Flow_ID]:[CC_DM_source]],MATCH(Tab_Data_Flows[[#This Row],[Name(EN)]],Tab_Def_Flows[Name(EN)],0),20)</f>
        <v>#N/A</v>
      </c>
      <c r="AJ312" s="109" t="e">
        <f>IF(L312="Yes",AI312*Tab_Data_Flows[[#This Row],[Flow_Py]]*Tab_Data_Flows[[#This Row],[DM_'[%']]],"N.A.")</f>
        <v>#N/A</v>
      </c>
      <c r="AK312" s="61">
        <f>Tab_Data_Flows[[#This Row],[UoM_Flow_Py]]</f>
        <v>0</v>
      </c>
    </row>
    <row r="313" spans="1:37" ht="15.75" thickBot="1" x14ac:dyDescent="0.3">
      <c r="A313" s="60">
        <f t="shared" si="9"/>
        <v>312</v>
      </c>
      <c r="B313" s="49" t="str">
        <f>_xlfn.XLOOKUP(C313,Tab_Def_Flows[Name(EN)],Tab_Def_Flows[Flow_ID],,0,)</f>
        <v>F_24_24</v>
      </c>
      <c r="C313" s="51"/>
      <c r="D313" s="49">
        <f>_xlfn.XLOOKUP(C313,Tab_Def_Flows[Name(EN)],Tab_Def_Flows[Type_Biomass],,0,)</f>
        <v>0</v>
      </c>
      <c r="E313" s="49">
        <f>_xlfn.XLOOKUP(C313,Tab_Def_Flows[Name(EN)],Tab_Def_Flows[Output_Process],,0,)</f>
        <v>0</v>
      </c>
      <c r="F313" s="49" t="str">
        <f>_xlfn.XLOOKUP(C313,Tab_Def_Flows[Name(EN)],Tab_Def_Flows[Process_ID_O],,0,)</f>
        <v>24__</v>
      </c>
      <c r="G313" s="49">
        <f>_xlfn.XLOOKUP(C313,Tab_Def_Flows[Name(EN)],Tab_Def_Flows[Input_Process],,0,)</f>
        <v>0</v>
      </c>
      <c r="H313" s="61" t="str">
        <f>_xlfn.XLOOKUP(C313,Tab_Def_Flows[Name(EN)],Tab_Def_Flows[Process_ID_I],,0,)</f>
        <v>24__</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c r="N313" s="51"/>
      <c r="O313" s="119"/>
      <c r="P313" s="51" t="s">
        <v>389</v>
      </c>
      <c r="Q313" s="51"/>
      <c r="R313" s="51"/>
      <c r="S313" s="51"/>
      <c r="T313" s="51"/>
      <c r="U313" s="51"/>
      <c r="V313" s="51"/>
      <c r="W313" s="51"/>
      <c r="X313" s="51" t="s">
        <v>71</v>
      </c>
      <c r="Y313" s="51"/>
      <c r="Z313" s="51"/>
      <c r="AA313" s="86"/>
      <c r="AB313" s="51"/>
      <c r="AC313" s="111" t="e">
        <f>INDEX(Tab_Def_Flows[[Flow_ID]:[CC_DM_source]],MATCH(Tab_Data_Flows[[#This Row],[Name(EN)]],Tab_Def_Flows[Name(EN)],0),16)</f>
        <v>#N/A</v>
      </c>
      <c r="AD313" s="112" t="e">
        <f>IF(J313="Yes",AA313*Tab_Data_Flows[[#This Row],[WC_'[%']]],"N.A.")</f>
        <v>#N/A</v>
      </c>
      <c r="AE313" s="61">
        <f>Tab_Data_Flows[[#This Row],[UoM_Flow_Py]]</f>
        <v>0</v>
      </c>
      <c r="AF313" s="111" t="e">
        <f>INDEX(Tab_Def_Flows[[Flow_ID]:[CC_DM_source]],MATCH(Tab_Data_Flows[[#This Row],[Name(EN)]],Tab_Def_Flows[Name(EN)],0),18)</f>
        <v>#N/A</v>
      </c>
      <c r="AG313" s="112" t="e">
        <f>IF(K313="Yes",AF313*Tab_Data_Flows[[#This Row],[Flow_Py]],"N.A.")</f>
        <v>#N/A</v>
      </c>
      <c r="AH313" s="61">
        <f>Tab_Data_Flows[[#This Row],[UoM_Flow_Py]]</f>
        <v>0</v>
      </c>
      <c r="AI313" s="111" t="e">
        <f>INDEX(Tab_Def_Flows[[Flow_ID]:[CC_DM_source]],MATCH(Tab_Data_Flows[[#This Row],[Name(EN)]],Tab_Def_Flows[Name(EN)],0),20)</f>
        <v>#N/A</v>
      </c>
      <c r="AJ313" s="109" t="e">
        <f>IF(L313="Yes",AI313*Tab_Data_Flows[[#This Row],[Flow_Py]]*Tab_Data_Flows[[#This Row],[DM_'[%']]],"N.A.")</f>
        <v>#N/A</v>
      </c>
      <c r="AK313" s="61">
        <f>Tab_Data_Flows[[#This Row],[UoM_Flow_Py]]</f>
        <v>0</v>
      </c>
    </row>
    <row r="314" spans="1:37" ht="15.75" thickBot="1" x14ac:dyDescent="0.3">
      <c r="A314" s="60">
        <f t="shared" si="9"/>
        <v>313</v>
      </c>
      <c r="B314" s="49" t="str">
        <f>_xlfn.XLOOKUP(C314,Tab_Def_Flows[Name(EN)],Tab_Def_Flows[Flow_ID],,0,)</f>
        <v>F_24_24</v>
      </c>
      <c r="C314" s="51"/>
      <c r="D314" s="49">
        <f>_xlfn.XLOOKUP(C314,Tab_Def_Flows[Name(EN)],Tab_Def_Flows[Type_Biomass],,0,)</f>
        <v>0</v>
      </c>
      <c r="E314" s="49">
        <f>_xlfn.XLOOKUP(C314,Tab_Def_Flows[Name(EN)],Tab_Def_Flows[Output_Process],,0,)</f>
        <v>0</v>
      </c>
      <c r="F314" s="49" t="str">
        <f>_xlfn.XLOOKUP(C314,Tab_Def_Flows[Name(EN)],Tab_Def_Flows[Process_ID_O],,0,)</f>
        <v>24__</v>
      </c>
      <c r="G314" s="49">
        <f>_xlfn.XLOOKUP(C314,Tab_Def_Flows[Name(EN)],Tab_Def_Flows[Input_Process],,0,)</f>
        <v>0</v>
      </c>
      <c r="H314" s="61" t="str">
        <f>_xlfn.XLOOKUP(C314,Tab_Def_Flows[Name(EN)],Tab_Def_Flows[Process_ID_I],,0,)</f>
        <v>24__</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c r="N314" s="51"/>
      <c r="O314" s="119"/>
      <c r="P314" s="51" t="s">
        <v>389</v>
      </c>
      <c r="Q314" s="51"/>
      <c r="R314" s="51"/>
      <c r="S314" s="51"/>
      <c r="T314" s="51"/>
      <c r="U314" s="51"/>
      <c r="V314" s="51"/>
      <c r="W314" s="51"/>
      <c r="X314" s="51" t="s">
        <v>71</v>
      </c>
      <c r="Y314" s="51"/>
      <c r="Z314" s="51"/>
      <c r="AA314" s="86"/>
      <c r="AB314" s="51"/>
      <c r="AC314" s="111" t="e">
        <f>INDEX(Tab_Def_Flows[[Flow_ID]:[CC_DM_source]],MATCH(Tab_Data_Flows[[#This Row],[Name(EN)]],Tab_Def_Flows[Name(EN)],0),16)</f>
        <v>#N/A</v>
      </c>
      <c r="AD314" s="112" t="e">
        <f>IF(J314="Yes",AA314*Tab_Data_Flows[[#This Row],[WC_'[%']]],"N.A.")</f>
        <v>#N/A</v>
      </c>
      <c r="AE314" s="61">
        <f>Tab_Data_Flows[[#This Row],[UoM_Flow_Py]]</f>
        <v>0</v>
      </c>
      <c r="AF314" s="111" t="e">
        <f>INDEX(Tab_Def_Flows[[Flow_ID]:[CC_DM_source]],MATCH(Tab_Data_Flows[[#This Row],[Name(EN)]],Tab_Def_Flows[Name(EN)],0),18)</f>
        <v>#N/A</v>
      </c>
      <c r="AG314" s="112" t="e">
        <f>IF(K314="Yes",AF314*Tab_Data_Flows[[#This Row],[Flow_Py]],"N.A.")</f>
        <v>#N/A</v>
      </c>
      <c r="AH314" s="61">
        <f>Tab_Data_Flows[[#This Row],[UoM_Flow_Py]]</f>
        <v>0</v>
      </c>
      <c r="AI314" s="111" t="e">
        <f>INDEX(Tab_Def_Flows[[Flow_ID]:[CC_DM_source]],MATCH(Tab_Data_Flows[[#This Row],[Name(EN)]],Tab_Def_Flows[Name(EN)],0),20)</f>
        <v>#N/A</v>
      </c>
      <c r="AJ314" s="109" t="e">
        <f>IF(L314="Yes",AI314*Tab_Data_Flows[[#This Row],[Flow_Py]]*Tab_Data_Flows[[#This Row],[DM_'[%']]],"N.A.")</f>
        <v>#N/A</v>
      </c>
      <c r="AK314" s="61">
        <f>Tab_Data_Flows[[#This Row],[UoM_Flow_Py]]</f>
        <v>0</v>
      </c>
    </row>
    <row r="315" spans="1:37" ht="15.75" thickBot="1" x14ac:dyDescent="0.3">
      <c r="A315" s="60">
        <f t="shared" si="9"/>
        <v>314</v>
      </c>
      <c r="B315" s="49" t="str">
        <f>_xlfn.XLOOKUP(C315,Tab_Def_Flows[Name(EN)],Tab_Def_Flows[Flow_ID],,0,)</f>
        <v>F_24_24</v>
      </c>
      <c r="C315" s="51"/>
      <c r="D315" s="49">
        <f>_xlfn.XLOOKUP(C315,Tab_Def_Flows[Name(EN)],Tab_Def_Flows[Type_Biomass],,0,)</f>
        <v>0</v>
      </c>
      <c r="E315" s="49">
        <f>_xlfn.XLOOKUP(C315,Tab_Def_Flows[Name(EN)],Tab_Def_Flows[Output_Process],,0,)</f>
        <v>0</v>
      </c>
      <c r="F315" s="49" t="str">
        <f>_xlfn.XLOOKUP(C315,Tab_Def_Flows[Name(EN)],Tab_Def_Flows[Process_ID_O],,0,)</f>
        <v>24__</v>
      </c>
      <c r="G315" s="49">
        <f>_xlfn.XLOOKUP(C315,Tab_Def_Flows[Name(EN)],Tab_Def_Flows[Input_Process],,0,)</f>
        <v>0</v>
      </c>
      <c r="H315" s="61" t="str">
        <f>_xlfn.XLOOKUP(C315,Tab_Def_Flows[Name(EN)],Tab_Def_Flows[Process_ID_I],,0,)</f>
        <v>24__</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c r="N315" s="51"/>
      <c r="O315" s="119"/>
      <c r="P315" s="51" t="s">
        <v>389</v>
      </c>
      <c r="Q315" s="51"/>
      <c r="R315" s="51"/>
      <c r="S315" s="51"/>
      <c r="T315" s="51"/>
      <c r="U315" s="51"/>
      <c r="V315" s="51"/>
      <c r="W315" s="51"/>
      <c r="X315" s="51" t="s">
        <v>71</v>
      </c>
      <c r="Y315" s="51"/>
      <c r="Z315" s="51"/>
      <c r="AA315" s="86"/>
      <c r="AB315" s="51"/>
      <c r="AC315" s="111" t="e">
        <f>INDEX(Tab_Def_Flows[[Flow_ID]:[CC_DM_source]],MATCH(Tab_Data_Flows[[#This Row],[Name(EN)]],Tab_Def_Flows[Name(EN)],0),16)</f>
        <v>#N/A</v>
      </c>
      <c r="AD315" s="112" t="e">
        <f>IF(J315="Yes",AA315*Tab_Data_Flows[[#This Row],[WC_'[%']]],"N.A.")</f>
        <v>#N/A</v>
      </c>
      <c r="AE315" s="61">
        <f>Tab_Data_Flows[[#This Row],[UoM_Flow_Py]]</f>
        <v>0</v>
      </c>
      <c r="AF315" s="111" t="e">
        <f>INDEX(Tab_Def_Flows[[Flow_ID]:[CC_DM_source]],MATCH(Tab_Data_Flows[[#This Row],[Name(EN)]],Tab_Def_Flows[Name(EN)],0),18)</f>
        <v>#N/A</v>
      </c>
      <c r="AG315" s="112" t="e">
        <f>IF(K315="Yes",AF315*Tab_Data_Flows[[#This Row],[Flow_Py]],"N.A.")</f>
        <v>#N/A</v>
      </c>
      <c r="AH315" s="61">
        <f>Tab_Data_Flows[[#This Row],[UoM_Flow_Py]]</f>
        <v>0</v>
      </c>
      <c r="AI315" s="111" t="e">
        <f>INDEX(Tab_Def_Flows[[Flow_ID]:[CC_DM_source]],MATCH(Tab_Data_Flows[[#This Row],[Name(EN)]],Tab_Def_Flows[Name(EN)],0),20)</f>
        <v>#N/A</v>
      </c>
      <c r="AJ315" s="109" t="e">
        <f>IF(L315="Yes",AI315*Tab_Data_Flows[[#This Row],[Flow_Py]]*Tab_Data_Flows[[#This Row],[DM_'[%']]],"N.A.")</f>
        <v>#N/A</v>
      </c>
      <c r="AK315" s="61">
        <f>Tab_Data_Flows[[#This Row],[UoM_Flow_Py]]</f>
        <v>0</v>
      </c>
    </row>
    <row r="316" spans="1:37" ht="15.75" thickBot="1" x14ac:dyDescent="0.3">
      <c r="A316" s="60">
        <f t="shared" si="9"/>
        <v>315</v>
      </c>
      <c r="B316" s="49" t="str">
        <f>_xlfn.XLOOKUP(C316,Tab_Def_Flows[Name(EN)],Tab_Def_Flows[Flow_ID],,0,)</f>
        <v>F_24_24</v>
      </c>
      <c r="C316" s="51"/>
      <c r="D316" s="49">
        <f>_xlfn.XLOOKUP(C316,Tab_Def_Flows[Name(EN)],Tab_Def_Flows[Type_Biomass],,0,)</f>
        <v>0</v>
      </c>
      <c r="E316" s="49">
        <f>_xlfn.XLOOKUP(C316,Tab_Def_Flows[Name(EN)],Tab_Def_Flows[Output_Process],,0,)</f>
        <v>0</v>
      </c>
      <c r="F316" s="49" t="str">
        <f>_xlfn.XLOOKUP(C316,Tab_Def_Flows[Name(EN)],Tab_Def_Flows[Process_ID_O],,0,)</f>
        <v>24__</v>
      </c>
      <c r="G316" s="49">
        <f>_xlfn.XLOOKUP(C316,Tab_Def_Flows[Name(EN)],Tab_Def_Flows[Input_Process],,0,)</f>
        <v>0</v>
      </c>
      <c r="H316" s="61" t="str">
        <f>_xlfn.XLOOKUP(C316,Tab_Def_Flows[Name(EN)],Tab_Def_Flows[Process_ID_I],,0,)</f>
        <v>24__</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c r="N316" s="51"/>
      <c r="O316" s="119"/>
      <c r="P316" s="51" t="s">
        <v>389</v>
      </c>
      <c r="Q316" s="51"/>
      <c r="R316" s="51"/>
      <c r="S316" s="51"/>
      <c r="T316" s="51"/>
      <c r="U316" s="51"/>
      <c r="V316" s="51"/>
      <c r="W316" s="51"/>
      <c r="X316" s="51" t="s">
        <v>71</v>
      </c>
      <c r="Y316" s="51"/>
      <c r="Z316" s="51"/>
      <c r="AA316" s="86"/>
      <c r="AB316" s="51"/>
      <c r="AC316" s="111" t="e">
        <f>INDEX(Tab_Def_Flows[[Flow_ID]:[CC_DM_source]],MATCH(Tab_Data_Flows[[#This Row],[Name(EN)]],Tab_Def_Flows[Name(EN)],0),16)</f>
        <v>#N/A</v>
      </c>
      <c r="AD316" s="112" t="e">
        <f>IF(J316="Yes",AA316*Tab_Data_Flows[[#This Row],[WC_'[%']]],"N.A.")</f>
        <v>#N/A</v>
      </c>
      <c r="AE316" s="61">
        <f>Tab_Data_Flows[[#This Row],[UoM_Flow_Py]]</f>
        <v>0</v>
      </c>
      <c r="AF316" s="111" t="e">
        <f>INDEX(Tab_Def_Flows[[Flow_ID]:[CC_DM_source]],MATCH(Tab_Data_Flows[[#This Row],[Name(EN)]],Tab_Def_Flows[Name(EN)],0),18)</f>
        <v>#N/A</v>
      </c>
      <c r="AG316" s="112" t="e">
        <f>IF(K316="Yes",AF316*Tab_Data_Flows[[#This Row],[Flow_Py]],"N.A.")</f>
        <v>#N/A</v>
      </c>
      <c r="AH316" s="61">
        <f>Tab_Data_Flows[[#This Row],[UoM_Flow_Py]]</f>
        <v>0</v>
      </c>
      <c r="AI316" s="111" t="e">
        <f>INDEX(Tab_Def_Flows[[Flow_ID]:[CC_DM_source]],MATCH(Tab_Data_Flows[[#This Row],[Name(EN)]],Tab_Def_Flows[Name(EN)],0),20)</f>
        <v>#N/A</v>
      </c>
      <c r="AJ316" s="109" t="e">
        <f>IF(L316="Yes",AI316*Tab_Data_Flows[[#This Row],[Flow_Py]]*Tab_Data_Flows[[#This Row],[DM_'[%']]],"N.A.")</f>
        <v>#N/A</v>
      </c>
      <c r="AK316" s="61">
        <f>Tab_Data_Flows[[#This Row],[UoM_Flow_Py]]</f>
        <v>0</v>
      </c>
    </row>
    <row r="317" spans="1:37" ht="15.75" thickBot="1" x14ac:dyDescent="0.3">
      <c r="A317" s="60">
        <f t="shared" si="9"/>
        <v>316</v>
      </c>
      <c r="B317" s="49" t="str">
        <f>_xlfn.XLOOKUP(C317,Tab_Def_Flows[Name(EN)],Tab_Def_Flows[Flow_ID],,0,)</f>
        <v>F_24_24</v>
      </c>
      <c r="C317" s="51"/>
      <c r="D317" s="49">
        <f>_xlfn.XLOOKUP(C317,Tab_Def_Flows[Name(EN)],Tab_Def_Flows[Type_Biomass],,0,)</f>
        <v>0</v>
      </c>
      <c r="E317" s="49">
        <f>_xlfn.XLOOKUP(C317,Tab_Def_Flows[Name(EN)],Tab_Def_Flows[Output_Process],,0,)</f>
        <v>0</v>
      </c>
      <c r="F317" s="49" t="str">
        <f>_xlfn.XLOOKUP(C317,Tab_Def_Flows[Name(EN)],Tab_Def_Flows[Process_ID_O],,0,)</f>
        <v>24__</v>
      </c>
      <c r="G317" s="49">
        <f>_xlfn.XLOOKUP(C317,Tab_Def_Flows[Name(EN)],Tab_Def_Flows[Input_Process],,0,)</f>
        <v>0</v>
      </c>
      <c r="H317" s="61" t="str">
        <f>_xlfn.XLOOKUP(C317,Tab_Def_Flows[Name(EN)],Tab_Def_Flows[Process_ID_I],,0,)</f>
        <v>24__</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c r="N317" s="51"/>
      <c r="O317" s="119"/>
      <c r="P317" s="51" t="s">
        <v>389</v>
      </c>
      <c r="Q317" s="51"/>
      <c r="R317" s="51"/>
      <c r="S317" s="51"/>
      <c r="T317" s="51"/>
      <c r="U317" s="51"/>
      <c r="V317" s="51"/>
      <c r="W317" s="51"/>
      <c r="X317" s="51" t="s">
        <v>71</v>
      </c>
      <c r="Y317" s="51"/>
      <c r="Z317" s="51"/>
      <c r="AA317" s="86"/>
      <c r="AB317" s="51"/>
      <c r="AC317" s="111" t="e">
        <f>INDEX(Tab_Def_Flows[[Flow_ID]:[CC_DM_source]],MATCH(Tab_Data_Flows[[#This Row],[Name(EN)]],Tab_Def_Flows[Name(EN)],0),16)</f>
        <v>#N/A</v>
      </c>
      <c r="AD317" s="112" t="e">
        <f>IF(J317="Yes",AA317*Tab_Data_Flows[[#This Row],[WC_'[%']]],"N.A.")</f>
        <v>#N/A</v>
      </c>
      <c r="AE317" s="61">
        <f>Tab_Data_Flows[[#This Row],[UoM_Flow_Py]]</f>
        <v>0</v>
      </c>
      <c r="AF317" s="111" t="e">
        <f>INDEX(Tab_Def_Flows[[Flow_ID]:[CC_DM_source]],MATCH(Tab_Data_Flows[[#This Row],[Name(EN)]],Tab_Def_Flows[Name(EN)],0),18)</f>
        <v>#N/A</v>
      </c>
      <c r="AG317" s="112" t="e">
        <f>IF(K317="Yes",AF317*Tab_Data_Flows[[#This Row],[Flow_Py]],"N.A.")</f>
        <v>#N/A</v>
      </c>
      <c r="AH317" s="61">
        <f>Tab_Data_Flows[[#This Row],[UoM_Flow_Py]]</f>
        <v>0</v>
      </c>
      <c r="AI317" s="111" t="e">
        <f>INDEX(Tab_Def_Flows[[Flow_ID]:[CC_DM_source]],MATCH(Tab_Data_Flows[[#This Row],[Name(EN)]],Tab_Def_Flows[Name(EN)],0),20)</f>
        <v>#N/A</v>
      </c>
      <c r="AJ317" s="109" t="e">
        <f>IF(L317="Yes",AI317*Tab_Data_Flows[[#This Row],[Flow_Py]]*Tab_Data_Flows[[#This Row],[DM_'[%']]],"N.A.")</f>
        <v>#N/A</v>
      </c>
      <c r="AK317" s="61">
        <f>Tab_Data_Flows[[#This Row],[UoM_Flow_Py]]</f>
        <v>0</v>
      </c>
    </row>
    <row r="318" spans="1:37" ht="15.75" thickBot="1" x14ac:dyDescent="0.3">
      <c r="A318" s="60">
        <f t="shared" si="9"/>
        <v>317</v>
      </c>
      <c r="B318" s="49" t="str">
        <f>_xlfn.XLOOKUP(C318,Tab_Def_Flows[Name(EN)],Tab_Def_Flows[Flow_ID],,0,)</f>
        <v>F_24_24</v>
      </c>
      <c r="C318" s="51"/>
      <c r="D318" s="49">
        <f>_xlfn.XLOOKUP(C318,Tab_Def_Flows[Name(EN)],Tab_Def_Flows[Type_Biomass],,0,)</f>
        <v>0</v>
      </c>
      <c r="E318" s="49">
        <f>_xlfn.XLOOKUP(C318,Tab_Def_Flows[Name(EN)],Tab_Def_Flows[Output_Process],,0,)</f>
        <v>0</v>
      </c>
      <c r="F318" s="49" t="str">
        <f>_xlfn.XLOOKUP(C318,Tab_Def_Flows[Name(EN)],Tab_Def_Flows[Process_ID_O],,0,)</f>
        <v>24__</v>
      </c>
      <c r="G318" s="49">
        <f>_xlfn.XLOOKUP(C318,Tab_Def_Flows[Name(EN)],Tab_Def_Flows[Input_Process],,0,)</f>
        <v>0</v>
      </c>
      <c r="H318" s="61" t="str">
        <f>_xlfn.XLOOKUP(C318,Tab_Def_Flows[Name(EN)],Tab_Def_Flows[Process_ID_I],,0,)</f>
        <v>24__</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c r="N318" s="51"/>
      <c r="O318" s="119"/>
      <c r="P318" s="51" t="s">
        <v>389</v>
      </c>
      <c r="Q318" s="51"/>
      <c r="R318" s="51"/>
      <c r="S318" s="51"/>
      <c r="T318" s="51"/>
      <c r="U318" s="51"/>
      <c r="V318" s="51"/>
      <c r="W318" s="51"/>
      <c r="X318" s="51" t="s">
        <v>71</v>
      </c>
      <c r="Y318" s="51"/>
      <c r="Z318" s="51"/>
      <c r="AA318" s="86"/>
      <c r="AB318" s="51"/>
      <c r="AC318" s="111" t="e">
        <f>INDEX(Tab_Def_Flows[[Flow_ID]:[CC_DM_source]],MATCH(Tab_Data_Flows[[#This Row],[Name(EN)]],Tab_Def_Flows[Name(EN)],0),16)</f>
        <v>#N/A</v>
      </c>
      <c r="AD318" s="112" t="e">
        <f>IF(J318="Yes",AA318*Tab_Data_Flows[[#This Row],[WC_'[%']]],"N.A.")</f>
        <v>#N/A</v>
      </c>
      <c r="AE318" s="61">
        <f>Tab_Data_Flows[[#This Row],[UoM_Flow_Py]]</f>
        <v>0</v>
      </c>
      <c r="AF318" s="111" t="e">
        <f>INDEX(Tab_Def_Flows[[Flow_ID]:[CC_DM_source]],MATCH(Tab_Data_Flows[[#This Row],[Name(EN)]],Tab_Def_Flows[Name(EN)],0),18)</f>
        <v>#N/A</v>
      </c>
      <c r="AG318" s="112" t="e">
        <f>IF(K318="Yes",AF318*Tab_Data_Flows[[#This Row],[Flow_Py]],"N.A.")</f>
        <v>#N/A</v>
      </c>
      <c r="AH318" s="61">
        <f>Tab_Data_Flows[[#This Row],[UoM_Flow_Py]]</f>
        <v>0</v>
      </c>
      <c r="AI318" s="111" t="e">
        <f>INDEX(Tab_Def_Flows[[Flow_ID]:[CC_DM_source]],MATCH(Tab_Data_Flows[[#This Row],[Name(EN)]],Tab_Def_Flows[Name(EN)],0),20)</f>
        <v>#N/A</v>
      </c>
      <c r="AJ318" s="109" t="e">
        <f>IF(L318="Yes",AI318*Tab_Data_Flows[[#This Row],[Flow_Py]]*Tab_Data_Flows[[#This Row],[DM_'[%']]],"N.A.")</f>
        <v>#N/A</v>
      </c>
      <c r="AK318" s="61">
        <f>Tab_Data_Flows[[#This Row],[UoM_Flow_Py]]</f>
        <v>0</v>
      </c>
    </row>
    <row r="319" spans="1:37" ht="15.75" thickBot="1" x14ac:dyDescent="0.3">
      <c r="A319" s="60">
        <f t="shared" si="9"/>
        <v>318</v>
      </c>
      <c r="B319" s="49" t="str">
        <f>_xlfn.XLOOKUP(C319,Tab_Def_Flows[Name(EN)],Tab_Def_Flows[Flow_ID],,0,)</f>
        <v>F_24_24</v>
      </c>
      <c r="C319" s="51"/>
      <c r="D319" s="49">
        <f>_xlfn.XLOOKUP(C319,Tab_Def_Flows[Name(EN)],Tab_Def_Flows[Type_Biomass],,0,)</f>
        <v>0</v>
      </c>
      <c r="E319" s="49">
        <f>_xlfn.XLOOKUP(C319,Tab_Def_Flows[Name(EN)],Tab_Def_Flows[Output_Process],,0,)</f>
        <v>0</v>
      </c>
      <c r="F319" s="49" t="str">
        <f>_xlfn.XLOOKUP(C319,Tab_Def_Flows[Name(EN)],Tab_Def_Flows[Process_ID_O],,0,)</f>
        <v>24__</v>
      </c>
      <c r="G319" s="49">
        <f>_xlfn.XLOOKUP(C319,Tab_Def_Flows[Name(EN)],Tab_Def_Flows[Input_Process],,0,)</f>
        <v>0</v>
      </c>
      <c r="H319" s="61" t="str">
        <f>_xlfn.XLOOKUP(C319,Tab_Def_Flows[Name(EN)],Tab_Def_Flows[Process_ID_I],,0,)</f>
        <v>24__</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c r="N319" s="51"/>
      <c r="O319" s="119"/>
      <c r="P319" s="51" t="s">
        <v>389</v>
      </c>
      <c r="Q319" s="51"/>
      <c r="R319" s="51"/>
      <c r="S319" s="51"/>
      <c r="T319" s="51"/>
      <c r="U319" s="51"/>
      <c r="V319" s="51"/>
      <c r="W319" s="51"/>
      <c r="X319" s="51" t="s">
        <v>71</v>
      </c>
      <c r="Y319" s="51"/>
      <c r="Z319" s="51"/>
      <c r="AA319" s="86"/>
      <c r="AB319" s="51"/>
      <c r="AC319" s="111" t="e">
        <f>INDEX(Tab_Def_Flows[[Flow_ID]:[CC_DM_source]],MATCH(Tab_Data_Flows[[#This Row],[Name(EN)]],Tab_Def_Flows[Name(EN)],0),16)</f>
        <v>#N/A</v>
      </c>
      <c r="AD319" s="112" t="e">
        <f>IF(J319="Yes",AA319*Tab_Data_Flows[[#This Row],[WC_'[%']]],"N.A.")</f>
        <v>#N/A</v>
      </c>
      <c r="AE319" s="61">
        <f>Tab_Data_Flows[[#This Row],[UoM_Flow_Py]]</f>
        <v>0</v>
      </c>
      <c r="AF319" s="111" t="e">
        <f>INDEX(Tab_Def_Flows[[Flow_ID]:[CC_DM_source]],MATCH(Tab_Data_Flows[[#This Row],[Name(EN)]],Tab_Def_Flows[Name(EN)],0),18)</f>
        <v>#N/A</v>
      </c>
      <c r="AG319" s="112" t="e">
        <f>IF(K319="Yes",AF319*Tab_Data_Flows[[#This Row],[Flow_Py]],"N.A.")</f>
        <v>#N/A</v>
      </c>
      <c r="AH319" s="61">
        <f>Tab_Data_Flows[[#This Row],[UoM_Flow_Py]]</f>
        <v>0</v>
      </c>
      <c r="AI319" s="111" t="e">
        <f>INDEX(Tab_Def_Flows[[Flow_ID]:[CC_DM_source]],MATCH(Tab_Data_Flows[[#This Row],[Name(EN)]],Tab_Def_Flows[Name(EN)],0),20)</f>
        <v>#N/A</v>
      </c>
      <c r="AJ319" s="109" t="e">
        <f>IF(L319="Yes",AI319*Tab_Data_Flows[[#This Row],[Flow_Py]]*Tab_Data_Flows[[#This Row],[DM_'[%']]],"N.A.")</f>
        <v>#N/A</v>
      </c>
      <c r="AK319" s="61">
        <f>Tab_Data_Flows[[#This Row],[UoM_Flow_Py]]</f>
        <v>0</v>
      </c>
    </row>
    <row r="320" spans="1:37" ht="15.75" thickBot="1" x14ac:dyDescent="0.3">
      <c r="A320" s="60">
        <f t="shared" si="9"/>
        <v>319</v>
      </c>
      <c r="B320" s="49" t="str">
        <f>_xlfn.XLOOKUP(C320,Tab_Def_Flows[Name(EN)],Tab_Def_Flows[Flow_ID],,0,)</f>
        <v>F_24_24</v>
      </c>
      <c r="C320" s="51"/>
      <c r="D320" s="49">
        <f>_xlfn.XLOOKUP(C320,Tab_Def_Flows[Name(EN)],Tab_Def_Flows[Type_Biomass],,0,)</f>
        <v>0</v>
      </c>
      <c r="E320" s="49">
        <f>_xlfn.XLOOKUP(C320,Tab_Def_Flows[Name(EN)],Tab_Def_Flows[Output_Process],,0,)</f>
        <v>0</v>
      </c>
      <c r="F320" s="49" t="str">
        <f>_xlfn.XLOOKUP(C320,Tab_Def_Flows[Name(EN)],Tab_Def_Flows[Process_ID_O],,0,)</f>
        <v>24__</v>
      </c>
      <c r="G320" s="49">
        <f>_xlfn.XLOOKUP(C320,Tab_Def_Flows[Name(EN)],Tab_Def_Flows[Input_Process],,0,)</f>
        <v>0</v>
      </c>
      <c r="H320" s="61" t="str">
        <f>_xlfn.XLOOKUP(C320,Tab_Def_Flows[Name(EN)],Tab_Def_Flows[Process_ID_I],,0,)</f>
        <v>24__</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c r="N320" s="51"/>
      <c r="O320" s="119"/>
      <c r="P320" s="51" t="s">
        <v>389</v>
      </c>
      <c r="Q320" s="51"/>
      <c r="R320" s="51"/>
      <c r="S320" s="51"/>
      <c r="T320" s="51"/>
      <c r="U320" s="51"/>
      <c r="V320" s="51"/>
      <c r="W320" s="51"/>
      <c r="X320" s="51" t="s">
        <v>71</v>
      </c>
      <c r="Y320" s="51"/>
      <c r="Z320" s="51"/>
      <c r="AA320" s="86"/>
      <c r="AB320" s="51"/>
      <c r="AC320" s="111" t="e">
        <f>INDEX(Tab_Def_Flows[[Flow_ID]:[CC_DM_source]],MATCH(Tab_Data_Flows[[#This Row],[Name(EN)]],Tab_Def_Flows[Name(EN)],0),16)</f>
        <v>#N/A</v>
      </c>
      <c r="AD320" s="112" t="e">
        <f>IF(J320="Yes",AA320*Tab_Data_Flows[[#This Row],[WC_'[%']]],"N.A.")</f>
        <v>#N/A</v>
      </c>
      <c r="AE320" s="61">
        <f>Tab_Data_Flows[[#This Row],[UoM_Flow_Py]]</f>
        <v>0</v>
      </c>
      <c r="AF320" s="111" t="e">
        <f>INDEX(Tab_Def_Flows[[Flow_ID]:[CC_DM_source]],MATCH(Tab_Data_Flows[[#This Row],[Name(EN)]],Tab_Def_Flows[Name(EN)],0),18)</f>
        <v>#N/A</v>
      </c>
      <c r="AG320" s="112" t="e">
        <f>IF(K320="Yes",AF320*Tab_Data_Flows[[#This Row],[Flow_Py]],"N.A.")</f>
        <v>#N/A</v>
      </c>
      <c r="AH320" s="61">
        <f>Tab_Data_Flows[[#This Row],[UoM_Flow_Py]]</f>
        <v>0</v>
      </c>
      <c r="AI320" s="111" t="e">
        <f>INDEX(Tab_Def_Flows[[Flow_ID]:[CC_DM_source]],MATCH(Tab_Data_Flows[[#This Row],[Name(EN)]],Tab_Def_Flows[Name(EN)],0),20)</f>
        <v>#N/A</v>
      </c>
      <c r="AJ320" s="109" t="e">
        <f>IF(L320="Yes",AI320*Tab_Data_Flows[[#This Row],[Flow_Py]]*Tab_Data_Flows[[#This Row],[DM_'[%']]],"N.A.")</f>
        <v>#N/A</v>
      </c>
      <c r="AK320" s="61">
        <f>Tab_Data_Flows[[#This Row],[UoM_Flow_Py]]</f>
        <v>0</v>
      </c>
    </row>
    <row r="321" spans="1:37" ht="15.75" thickBot="1" x14ac:dyDescent="0.3">
      <c r="A321" s="60">
        <f t="shared" si="9"/>
        <v>320</v>
      </c>
      <c r="B321" s="49" t="str">
        <f>_xlfn.XLOOKUP(C321,Tab_Def_Flows[Name(EN)],Tab_Def_Flows[Flow_ID],,0,)</f>
        <v>F_24_24</v>
      </c>
      <c r="C321" s="51"/>
      <c r="D321" s="49">
        <f>_xlfn.XLOOKUP(C321,Tab_Def_Flows[Name(EN)],Tab_Def_Flows[Type_Biomass],,0,)</f>
        <v>0</v>
      </c>
      <c r="E321" s="49">
        <f>_xlfn.XLOOKUP(C321,Tab_Def_Flows[Name(EN)],Tab_Def_Flows[Output_Process],,0,)</f>
        <v>0</v>
      </c>
      <c r="F321" s="49" t="str">
        <f>_xlfn.XLOOKUP(C321,Tab_Def_Flows[Name(EN)],Tab_Def_Flows[Process_ID_O],,0,)</f>
        <v>24__</v>
      </c>
      <c r="G321" s="49">
        <f>_xlfn.XLOOKUP(C321,Tab_Def_Flows[Name(EN)],Tab_Def_Flows[Input_Process],,0,)</f>
        <v>0</v>
      </c>
      <c r="H321" s="61" t="str">
        <f>_xlfn.XLOOKUP(C321,Tab_Def_Flows[Name(EN)],Tab_Def_Flows[Process_ID_I],,0,)</f>
        <v>24__</v>
      </c>
      <c r="I321" s="49">
        <f>_xlfn.XLOOKUP(C321,Tab_Def_Flows[Name(EN)],Tab_Def_Flows[Value_Source],,0,)</f>
        <v>0</v>
      </c>
      <c r="J321" s="61" t="str">
        <f>_xlfn.XLOOKUP(C321,Tab_Def_Flows[Name(EN)],Tab_Def_Flows[WC?],,0,)</f>
        <v>Yes</v>
      </c>
      <c r="K321" s="61" t="str">
        <f>_xlfn.XLOOKUP(C321,Tab_Def_Flows[Name(EN)],Tab_Def_Flows[DM?],,0,)</f>
        <v>Yes</v>
      </c>
      <c r="L321" s="61" t="str">
        <f>_xlfn.XLOOKUP(C321,Tab_Def_Flows[Name(EN)],Tab_Def_Flows[CC?],,0,)</f>
        <v>Yes</v>
      </c>
      <c r="M321" s="51"/>
      <c r="N321" s="51"/>
      <c r="O321" s="119"/>
      <c r="P321" s="51" t="s">
        <v>389</v>
      </c>
      <c r="Q321" s="51"/>
      <c r="R321" s="51"/>
      <c r="S321" s="51"/>
      <c r="T321" s="51"/>
      <c r="U321" s="51"/>
      <c r="V321" s="51"/>
      <c r="W321" s="51"/>
      <c r="X321" s="51" t="s">
        <v>71</v>
      </c>
      <c r="Y321" s="51"/>
      <c r="Z321" s="51"/>
      <c r="AA321" s="86"/>
      <c r="AB321" s="51"/>
      <c r="AC321" s="111" t="e">
        <f>INDEX(Tab_Def_Flows[[Flow_ID]:[CC_DM_source]],MATCH(Tab_Data_Flows[[#This Row],[Name(EN)]],Tab_Def_Flows[Name(EN)],0),16)</f>
        <v>#N/A</v>
      </c>
      <c r="AD321" s="112" t="e">
        <f>IF(J321="Yes",AA321*Tab_Data_Flows[[#This Row],[WC_'[%']]],"N.A.")</f>
        <v>#N/A</v>
      </c>
      <c r="AE321" s="61">
        <f>Tab_Data_Flows[[#This Row],[UoM_Flow_Py]]</f>
        <v>0</v>
      </c>
      <c r="AF321" s="111" t="e">
        <f>INDEX(Tab_Def_Flows[[Flow_ID]:[CC_DM_source]],MATCH(Tab_Data_Flows[[#This Row],[Name(EN)]],Tab_Def_Flows[Name(EN)],0),18)</f>
        <v>#N/A</v>
      </c>
      <c r="AG321" s="112" t="e">
        <f>IF(K321="Yes",AF321*Tab_Data_Flows[[#This Row],[Flow_Py]],"N.A.")</f>
        <v>#N/A</v>
      </c>
      <c r="AH321" s="61">
        <f>Tab_Data_Flows[[#This Row],[UoM_Flow_Py]]</f>
        <v>0</v>
      </c>
      <c r="AI321" s="111" t="e">
        <f>INDEX(Tab_Def_Flows[[Flow_ID]:[CC_DM_source]],MATCH(Tab_Data_Flows[[#This Row],[Name(EN)]],Tab_Def_Flows[Name(EN)],0),20)</f>
        <v>#N/A</v>
      </c>
      <c r="AJ321" s="109" t="e">
        <f>IF(L321="Yes",AI321*Tab_Data_Flows[[#This Row],[Flow_Py]]*Tab_Data_Flows[[#This Row],[DM_'[%']]],"N.A.")</f>
        <v>#N/A</v>
      </c>
      <c r="AK321" s="61">
        <f>Tab_Data_Flows[[#This Row],[UoM_Flow_Py]]</f>
        <v>0</v>
      </c>
    </row>
    <row r="322" spans="1:37" ht="15.75" thickBot="1" x14ac:dyDescent="0.3">
      <c r="A322" s="60">
        <f t="shared" si="9"/>
        <v>321</v>
      </c>
      <c r="B322" s="49" t="str">
        <f>_xlfn.XLOOKUP(C322,Tab_Def_Flows[Name(EN)],Tab_Def_Flows[Flow_ID],,0,)</f>
        <v>F_24_24</v>
      </c>
      <c r="C322" s="51"/>
      <c r="D322" s="49">
        <f>_xlfn.XLOOKUP(C322,Tab_Def_Flows[Name(EN)],Tab_Def_Flows[Type_Biomass],,0,)</f>
        <v>0</v>
      </c>
      <c r="E322" s="49">
        <f>_xlfn.XLOOKUP(C322,Tab_Def_Flows[Name(EN)],Tab_Def_Flows[Output_Process],,0,)</f>
        <v>0</v>
      </c>
      <c r="F322" s="49" t="str">
        <f>_xlfn.XLOOKUP(C322,Tab_Def_Flows[Name(EN)],Tab_Def_Flows[Process_ID_O],,0,)</f>
        <v>24__</v>
      </c>
      <c r="G322" s="49">
        <f>_xlfn.XLOOKUP(C322,Tab_Def_Flows[Name(EN)],Tab_Def_Flows[Input_Process],,0,)</f>
        <v>0</v>
      </c>
      <c r="H322" s="61" t="str">
        <f>_xlfn.XLOOKUP(C322,Tab_Def_Flows[Name(EN)],Tab_Def_Flows[Process_ID_I],,0,)</f>
        <v>24__</v>
      </c>
      <c r="I322" s="49">
        <f>_xlfn.XLOOKUP(C322,Tab_Def_Flows[Name(EN)],Tab_Def_Flows[Value_Source],,0,)</f>
        <v>0</v>
      </c>
      <c r="J322" s="61" t="str">
        <f>_xlfn.XLOOKUP(C322,Tab_Def_Flows[Name(EN)],Tab_Def_Flows[WC?],,0,)</f>
        <v>Yes</v>
      </c>
      <c r="K322" s="61" t="str">
        <f>_xlfn.XLOOKUP(C322,Tab_Def_Flows[Name(EN)],Tab_Def_Flows[DM?],,0,)</f>
        <v>Yes</v>
      </c>
      <c r="L322" s="61" t="str">
        <f>_xlfn.XLOOKUP(C322,Tab_Def_Flows[Name(EN)],Tab_Def_Flows[CC?],,0,)</f>
        <v>Yes</v>
      </c>
      <c r="M322" s="51"/>
      <c r="N322" s="51"/>
      <c r="O322" s="119"/>
      <c r="P322" s="51" t="s">
        <v>389</v>
      </c>
      <c r="Q322" s="51"/>
      <c r="R322" s="51"/>
      <c r="S322" s="51"/>
      <c r="T322" s="51"/>
      <c r="U322" s="51"/>
      <c r="V322" s="51"/>
      <c r="W322" s="51"/>
      <c r="X322" s="51" t="s">
        <v>71</v>
      </c>
      <c r="Y322" s="51"/>
      <c r="Z322" s="51"/>
      <c r="AA322" s="86"/>
      <c r="AB322" s="51"/>
      <c r="AC322" s="111" t="e">
        <f>INDEX(Tab_Def_Flows[[Flow_ID]:[CC_DM_source]],MATCH(Tab_Data_Flows[[#This Row],[Name(EN)]],Tab_Def_Flows[Name(EN)],0),16)</f>
        <v>#N/A</v>
      </c>
      <c r="AD322" s="112" t="e">
        <f>IF(J322="Yes",AA322*Tab_Data_Flows[[#This Row],[WC_'[%']]],"N.A.")</f>
        <v>#N/A</v>
      </c>
      <c r="AE322" s="61">
        <f>Tab_Data_Flows[[#This Row],[UoM_Flow_Py]]</f>
        <v>0</v>
      </c>
      <c r="AF322" s="111" t="e">
        <f>INDEX(Tab_Def_Flows[[Flow_ID]:[CC_DM_source]],MATCH(Tab_Data_Flows[[#This Row],[Name(EN)]],Tab_Def_Flows[Name(EN)],0),18)</f>
        <v>#N/A</v>
      </c>
      <c r="AG322" s="112" t="e">
        <f>IF(K322="Yes",AF322*Tab_Data_Flows[[#This Row],[Flow_Py]],"N.A.")</f>
        <v>#N/A</v>
      </c>
      <c r="AH322" s="61">
        <f>Tab_Data_Flows[[#This Row],[UoM_Flow_Py]]</f>
        <v>0</v>
      </c>
      <c r="AI322" s="111" t="e">
        <f>INDEX(Tab_Def_Flows[[Flow_ID]:[CC_DM_source]],MATCH(Tab_Data_Flows[[#This Row],[Name(EN)]],Tab_Def_Flows[Name(EN)],0),20)</f>
        <v>#N/A</v>
      </c>
      <c r="AJ322" s="109" t="e">
        <f>IF(L322="Yes",AI322*Tab_Data_Flows[[#This Row],[Flow_Py]]*Tab_Data_Flows[[#This Row],[DM_'[%']]],"N.A.")</f>
        <v>#N/A</v>
      </c>
      <c r="AK322" s="61">
        <f>Tab_Data_Flows[[#This Row],[UoM_Flow_Py]]</f>
        <v>0</v>
      </c>
    </row>
    <row r="323" spans="1:37" ht="15.75" thickBot="1" x14ac:dyDescent="0.3">
      <c r="A323" s="60">
        <f t="shared" si="9"/>
        <v>322</v>
      </c>
      <c r="B323" s="49" t="str">
        <f>_xlfn.XLOOKUP(C323,Tab_Def_Flows[Name(EN)],Tab_Def_Flows[Flow_ID],,0,)</f>
        <v>F_24_24</v>
      </c>
      <c r="C323" s="51"/>
      <c r="D323" s="49">
        <f>_xlfn.XLOOKUP(C323,Tab_Def_Flows[Name(EN)],Tab_Def_Flows[Type_Biomass],,0,)</f>
        <v>0</v>
      </c>
      <c r="E323" s="49">
        <f>_xlfn.XLOOKUP(C323,Tab_Def_Flows[Name(EN)],Tab_Def_Flows[Output_Process],,0,)</f>
        <v>0</v>
      </c>
      <c r="F323" s="49" t="str">
        <f>_xlfn.XLOOKUP(C323,Tab_Def_Flows[Name(EN)],Tab_Def_Flows[Process_ID_O],,0,)</f>
        <v>24__</v>
      </c>
      <c r="G323" s="49">
        <f>_xlfn.XLOOKUP(C323,Tab_Def_Flows[Name(EN)],Tab_Def_Flows[Input_Process],,0,)</f>
        <v>0</v>
      </c>
      <c r="H323" s="61" t="str">
        <f>_xlfn.XLOOKUP(C323,Tab_Def_Flows[Name(EN)],Tab_Def_Flows[Process_ID_I],,0,)</f>
        <v>24__</v>
      </c>
      <c r="I323" s="49">
        <f>_xlfn.XLOOKUP(C323,Tab_Def_Flows[Name(EN)],Tab_Def_Flows[Value_Source],,0,)</f>
        <v>0</v>
      </c>
      <c r="J323" s="61" t="str">
        <f>_xlfn.XLOOKUP(C323,Tab_Def_Flows[Name(EN)],Tab_Def_Flows[WC?],,0,)</f>
        <v>Yes</v>
      </c>
      <c r="K323" s="61" t="str">
        <f>_xlfn.XLOOKUP(C323,Tab_Def_Flows[Name(EN)],Tab_Def_Flows[DM?],,0,)</f>
        <v>Yes</v>
      </c>
      <c r="L323" s="61" t="str">
        <f>_xlfn.XLOOKUP(C323,Tab_Def_Flows[Name(EN)],Tab_Def_Flows[CC?],,0,)</f>
        <v>Yes</v>
      </c>
      <c r="M323" s="51"/>
      <c r="N323" s="51"/>
      <c r="O323" s="119"/>
      <c r="P323" s="51" t="s">
        <v>389</v>
      </c>
      <c r="Q323" s="51"/>
      <c r="R323" s="51"/>
      <c r="S323" s="51"/>
      <c r="T323" s="51"/>
      <c r="U323" s="51"/>
      <c r="V323" s="51"/>
      <c r="W323" s="51"/>
      <c r="X323" s="51" t="s">
        <v>71</v>
      </c>
      <c r="Y323" s="51"/>
      <c r="Z323" s="51"/>
      <c r="AA323" s="86"/>
      <c r="AB323" s="51"/>
      <c r="AC323" s="111" t="e">
        <f>INDEX(Tab_Def_Flows[[Flow_ID]:[CC_DM_source]],MATCH(Tab_Data_Flows[[#This Row],[Name(EN)]],Tab_Def_Flows[Name(EN)],0),16)</f>
        <v>#N/A</v>
      </c>
      <c r="AD323" s="112" t="e">
        <f>IF(J323="Yes",AA323*Tab_Data_Flows[[#This Row],[WC_'[%']]],"N.A.")</f>
        <v>#N/A</v>
      </c>
      <c r="AE323" s="61">
        <f>Tab_Data_Flows[[#This Row],[UoM_Flow_Py]]</f>
        <v>0</v>
      </c>
      <c r="AF323" s="111" t="e">
        <f>INDEX(Tab_Def_Flows[[Flow_ID]:[CC_DM_source]],MATCH(Tab_Data_Flows[[#This Row],[Name(EN)]],Tab_Def_Flows[Name(EN)],0),18)</f>
        <v>#N/A</v>
      </c>
      <c r="AG323" s="112" t="e">
        <f>IF(K323="Yes",AF323*Tab_Data_Flows[[#This Row],[Flow_Py]],"N.A.")</f>
        <v>#N/A</v>
      </c>
      <c r="AH323" s="61">
        <f>Tab_Data_Flows[[#This Row],[UoM_Flow_Py]]</f>
        <v>0</v>
      </c>
      <c r="AI323" s="111" t="e">
        <f>INDEX(Tab_Def_Flows[[Flow_ID]:[CC_DM_source]],MATCH(Tab_Data_Flows[[#This Row],[Name(EN)]],Tab_Def_Flows[Name(EN)],0),20)</f>
        <v>#N/A</v>
      </c>
      <c r="AJ323" s="109" t="e">
        <f>IF(L323="Yes",AI323*Tab_Data_Flows[[#This Row],[Flow_Py]]*Tab_Data_Flows[[#This Row],[DM_'[%']]],"N.A.")</f>
        <v>#N/A</v>
      </c>
      <c r="AK323" s="61">
        <f>Tab_Data_Flows[[#This Row],[UoM_Flow_Py]]</f>
        <v>0</v>
      </c>
    </row>
    <row r="324" spans="1:37" ht="15.75" thickBot="1" x14ac:dyDescent="0.3">
      <c r="A324" s="60">
        <f t="shared" si="9"/>
        <v>323</v>
      </c>
      <c r="B324" s="49" t="str">
        <f>_xlfn.XLOOKUP(C324,Tab_Def_Flows[Name(EN)],Tab_Def_Flows[Flow_ID],,0,)</f>
        <v>F_24_24</v>
      </c>
      <c r="C324" s="51"/>
      <c r="D324" s="49">
        <f>_xlfn.XLOOKUP(C324,Tab_Def_Flows[Name(EN)],Tab_Def_Flows[Type_Biomass],,0,)</f>
        <v>0</v>
      </c>
      <c r="E324" s="49">
        <f>_xlfn.XLOOKUP(C324,Tab_Def_Flows[Name(EN)],Tab_Def_Flows[Output_Process],,0,)</f>
        <v>0</v>
      </c>
      <c r="F324" s="49" t="str">
        <f>_xlfn.XLOOKUP(C324,Tab_Def_Flows[Name(EN)],Tab_Def_Flows[Process_ID_O],,0,)</f>
        <v>24__</v>
      </c>
      <c r="G324" s="49">
        <f>_xlfn.XLOOKUP(C324,Tab_Def_Flows[Name(EN)],Tab_Def_Flows[Input_Process],,0,)</f>
        <v>0</v>
      </c>
      <c r="H324" s="61" t="str">
        <f>_xlfn.XLOOKUP(C324,Tab_Def_Flows[Name(EN)],Tab_Def_Flows[Process_ID_I],,0,)</f>
        <v>24__</v>
      </c>
      <c r="I324" s="49">
        <f>_xlfn.XLOOKUP(C324,Tab_Def_Flows[Name(EN)],Tab_Def_Flows[Value_Source],,0,)</f>
        <v>0</v>
      </c>
      <c r="J324" s="61" t="str">
        <f>_xlfn.XLOOKUP(C324,Tab_Def_Flows[Name(EN)],Tab_Def_Flows[WC?],,0,)</f>
        <v>Yes</v>
      </c>
      <c r="K324" s="61" t="str">
        <f>_xlfn.XLOOKUP(C324,Tab_Def_Flows[Name(EN)],Tab_Def_Flows[DM?],,0,)</f>
        <v>Yes</v>
      </c>
      <c r="L324" s="61" t="str">
        <f>_xlfn.XLOOKUP(C324,Tab_Def_Flows[Name(EN)],Tab_Def_Flows[CC?],,0,)</f>
        <v>Yes</v>
      </c>
      <c r="M324" s="51"/>
      <c r="N324" s="51"/>
      <c r="O324" s="119"/>
      <c r="P324" s="51" t="s">
        <v>389</v>
      </c>
      <c r="Q324" s="51"/>
      <c r="R324" s="51"/>
      <c r="S324" s="51"/>
      <c r="T324" s="51"/>
      <c r="U324" s="51"/>
      <c r="V324" s="51"/>
      <c r="W324" s="51"/>
      <c r="X324" s="51" t="s">
        <v>71</v>
      </c>
      <c r="Y324" s="51"/>
      <c r="Z324" s="51"/>
      <c r="AA324" s="86"/>
      <c r="AB324" s="51"/>
      <c r="AC324" s="111" t="e">
        <f>INDEX(Tab_Def_Flows[[Flow_ID]:[CC_DM_source]],MATCH(Tab_Data_Flows[[#This Row],[Name(EN)]],Tab_Def_Flows[Name(EN)],0),16)</f>
        <v>#N/A</v>
      </c>
      <c r="AD324" s="112" t="e">
        <f>IF(J324="Yes",AA324*Tab_Data_Flows[[#This Row],[WC_'[%']]],"N.A.")</f>
        <v>#N/A</v>
      </c>
      <c r="AE324" s="61">
        <f>Tab_Data_Flows[[#This Row],[UoM_Flow_Py]]</f>
        <v>0</v>
      </c>
      <c r="AF324" s="111" t="e">
        <f>INDEX(Tab_Def_Flows[[Flow_ID]:[CC_DM_source]],MATCH(Tab_Data_Flows[[#This Row],[Name(EN)]],Tab_Def_Flows[Name(EN)],0),18)</f>
        <v>#N/A</v>
      </c>
      <c r="AG324" s="112" t="e">
        <f>IF(K324="Yes",AF324*Tab_Data_Flows[[#This Row],[Flow_Py]],"N.A.")</f>
        <v>#N/A</v>
      </c>
      <c r="AH324" s="61">
        <f>Tab_Data_Flows[[#This Row],[UoM_Flow_Py]]</f>
        <v>0</v>
      </c>
      <c r="AI324" s="111" t="e">
        <f>INDEX(Tab_Def_Flows[[Flow_ID]:[CC_DM_source]],MATCH(Tab_Data_Flows[[#This Row],[Name(EN)]],Tab_Def_Flows[Name(EN)],0),20)</f>
        <v>#N/A</v>
      </c>
      <c r="AJ324" s="109" t="e">
        <f>IF(L324="Yes",AI324*Tab_Data_Flows[[#This Row],[Flow_Py]]*Tab_Data_Flows[[#This Row],[DM_'[%']]],"N.A.")</f>
        <v>#N/A</v>
      </c>
      <c r="AK324" s="61">
        <f>Tab_Data_Flows[[#This Row],[UoM_Flow_Py]]</f>
        <v>0</v>
      </c>
    </row>
    <row r="325" spans="1:37" ht="15.75" thickBot="1" x14ac:dyDescent="0.3">
      <c r="A325" s="60">
        <f t="shared" si="9"/>
        <v>324</v>
      </c>
      <c r="B325" s="49" t="str">
        <f>_xlfn.XLOOKUP(C325,Tab_Def_Flows[Name(EN)],Tab_Def_Flows[Flow_ID],,0,)</f>
        <v>F_24_24</v>
      </c>
      <c r="C325" s="51"/>
      <c r="D325" s="49">
        <f>_xlfn.XLOOKUP(C325,Tab_Def_Flows[Name(EN)],Tab_Def_Flows[Type_Biomass],,0,)</f>
        <v>0</v>
      </c>
      <c r="E325" s="49">
        <f>_xlfn.XLOOKUP(C325,Tab_Def_Flows[Name(EN)],Tab_Def_Flows[Output_Process],,0,)</f>
        <v>0</v>
      </c>
      <c r="F325" s="49" t="str">
        <f>_xlfn.XLOOKUP(C325,Tab_Def_Flows[Name(EN)],Tab_Def_Flows[Process_ID_O],,0,)</f>
        <v>24__</v>
      </c>
      <c r="G325" s="49">
        <f>_xlfn.XLOOKUP(C325,Tab_Def_Flows[Name(EN)],Tab_Def_Flows[Input_Process],,0,)</f>
        <v>0</v>
      </c>
      <c r="H325" s="61" t="str">
        <f>_xlfn.XLOOKUP(C325,Tab_Def_Flows[Name(EN)],Tab_Def_Flows[Process_ID_I],,0,)</f>
        <v>24__</v>
      </c>
      <c r="I325" s="49">
        <f>_xlfn.XLOOKUP(C325,Tab_Def_Flows[Name(EN)],Tab_Def_Flows[Value_Source],,0,)</f>
        <v>0</v>
      </c>
      <c r="J325" s="61" t="str">
        <f>_xlfn.XLOOKUP(C325,Tab_Def_Flows[Name(EN)],Tab_Def_Flows[WC?],,0,)</f>
        <v>Yes</v>
      </c>
      <c r="K325" s="61" t="str">
        <f>_xlfn.XLOOKUP(C325,Tab_Def_Flows[Name(EN)],Tab_Def_Flows[DM?],,0,)</f>
        <v>Yes</v>
      </c>
      <c r="L325" s="61" t="str">
        <f>_xlfn.XLOOKUP(C325,Tab_Def_Flows[Name(EN)],Tab_Def_Flows[CC?],,0,)</f>
        <v>Yes</v>
      </c>
      <c r="M325" s="51"/>
      <c r="N325" s="51"/>
      <c r="O325" s="119"/>
      <c r="P325" s="51" t="s">
        <v>389</v>
      </c>
      <c r="Q325" s="51"/>
      <c r="R325" s="51"/>
      <c r="S325" s="51"/>
      <c r="T325" s="51"/>
      <c r="U325" s="51"/>
      <c r="V325" s="51"/>
      <c r="W325" s="51"/>
      <c r="X325" s="51" t="s">
        <v>71</v>
      </c>
      <c r="Y325" s="51"/>
      <c r="Z325" s="51"/>
      <c r="AA325" s="86"/>
      <c r="AB325" s="51"/>
      <c r="AC325" s="111" t="e">
        <f>INDEX(Tab_Def_Flows[[Flow_ID]:[CC_DM_source]],MATCH(Tab_Data_Flows[[#This Row],[Name(EN)]],Tab_Def_Flows[Name(EN)],0),16)</f>
        <v>#N/A</v>
      </c>
      <c r="AD325" s="112" t="e">
        <f>IF(J325="Yes",AA325*Tab_Data_Flows[[#This Row],[WC_'[%']]],"N.A.")</f>
        <v>#N/A</v>
      </c>
      <c r="AE325" s="61">
        <f>Tab_Data_Flows[[#This Row],[UoM_Flow_Py]]</f>
        <v>0</v>
      </c>
      <c r="AF325" s="111" t="e">
        <f>INDEX(Tab_Def_Flows[[Flow_ID]:[CC_DM_source]],MATCH(Tab_Data_Flows[[#This Row],[Name(EN)]],Tab_Def_Flows[Name(EN)],0),18)</f>
        <v>#N/A</v>
      </c>
      <c r="AG325" s="112" t="e">
        <f>IF(K325="Yes",AF325*Tab_Data_Flows[[#This Row],[Flow_Py]],"N.A.")</f>
        <v>#N/A</v>
      </c>
      <c r="AH325" s="61">
        <f>Tab_Data_Flows[[#This Row],[UoM_Flow_Py]]</f>
        <v>0</v>
      </c>
      <c r="AI325" s="111" t="e">
        <f>INDEX(Tab_Def_Flows[[Flow_ID]:[CC_DM_source]],MATCH(Tab_Data_Flows[[#This Row],[Name(EN)]],Tab_Def_Flows[Name(EN)],0),20)</f>
        <v>#N/A</v>
      </c>
      <c r="AJ325" s="109" t="e">
        <f>IF(L325="Yes",AI325*Tab_Data_Flows[[#This Row],[Flow_Py]]*Tab_Data_Flows[[#This Row],[DM_'[%']]],"N.A.")</f>
        <v>#N/A</v>
      </c>
      <c r="AK325" s="61">
        <f>Tab_Data_Flows[[#This Row],[UoM_Flow_Py]]</f>
        <v>0</v>
      </c>
    </row>
    <row r="326" spans="1:37" ht="15.75" thickBot="1" x14ac:dyDescent="0.3">
      <c r="A326" s="60">
        <f t="shared" si="9"/>
        <v>325</v>
      </c>
      <c r="B326" s="49" t="str">
        <f>_xlfn.XLOOKUP(C326,Tab_Def_Flows[Name(EN)],Tab_Def_Flows[Flow_ID],,0,)</f>
        <v>F_24_24</v>
      </c>
      <c r="C326" s="51"/>
      <c r="D326" s="49">
        <f>_xlfn.XLOOKUP(C326,Tab_Def_Flows[Name(EN)],Tab_Def_Flows[Type_Biomass],,0,)</f>
        <v>0</v>
      </c>
      <c r="E326" s="49">
        <f>_xlfn.XLOOKUP(C326,Tab_Def_Flows[Name(EN)],Tab_Def_Flows[Output_Process],,0,)</f>
        <v>0</v>
      </c>
      <c r="F326" s="49" t="str">
        <f>_xlfn.XLOOKUP(C326,Tab_Def_Flows[Name(EN)],Tab_Def_Flows[Process_ID_O],,0,)</f>
        <v>24__</v>
      </c>
      <c r="G326" s="49">
        <f>_xlfn.XLOOKUP(C326,Tab_Def_Flows[Name(EN)],Tab_Def_Flows[Input_Process],,0,)</f>
        <v>0</v>
      </c>
      <c r="H326" s="61" t="str">
        <f>_xlfn.XLOOKUP(C326,Tab_Def_Flows[Name(EN)],Tab_Def_Flows[Process_ID_I],,0,)</f>
        <v>24__</v>
      </c>
      <c r="I326" s="49">
        <f>_xlfn.XLOOKUP(C326,Tab_Def_Flows[Name(EN)],Tab_Def_Flows[Value_Source],,0,)</f>
        <v>0</v>
      </c>
      <c r="J326" s="61" t="str">
        <f>_xlfn.XLOOKUP(C326,Tab_Def_Flows[Name(EN)],Tab_Def_Flows[WC?],,0,)</f>
        <v>Yes</v>
      </c>
      <c r="K326" s="61" t="str">
        <f>_xlfn.XLOOKUP(C326,Tab_Def_Flows[Name(EN)],Tab_Def_Flows[DM?],,0,)</f>
        <v>Yes</v>
      </c>
      <c r="L326" s="61" t="str">
        <f>_xlfn.XLOOKUP(C326,Tab_Def_Flows[Name(EN)],Tab_Def_Flows[CC?],,0,)</f>
        <v>Yes</v>
      </c>
      <c r="M326" s="51"/>
      <c r="N326" s="51"/>
      <c r="O326" s="119"/>
      <c r="P326" s="51" t="s">
        <v>389</v>
      </c>
      <c r="Q326" s="51"/>
      <c r="R326" s="51"/>
      <c r="S326" s="51"/>
      <c r="T326" s="51"/>
      <c r="U326" s="51"/>
      <c r="V326" s="51"/>
      <c r="W326" s="51"/>
      <c r="X326" s="51" t="s">
        <v>71</v>
      </c>
      <c r="Y326" s="51"/>
      <c r="Z326" s="51"/>
      <c r="AA326" s="86"/>
      <c r="AB326" s="51"/>
      <c r="AC326" s="111" t="e">
        <f>INDEX(Tab_Def_Flows[[Flow_ID]:[CC_DM_source]],MATCH(Tab_Data_Flows[[#This Row],[Name(EN)]],Tab_Def_Flows[Name(EN)],0),16)</f>
        <v>#N/A</v>
      </c>
      <c r="AD326" s="112" t="e">
        <f>IF(J326="Yes",AA326*Tab_Data_Flows[[#This Row],[WC_'[%']]],"N.A.")</f>
        <v>#N/A</v>
      </c>
      <c r="AE326" s="61">
        <f>Tab_Data_Flows[[#This Row],[UoM_Flow_Py]]</f>
        <v>0</v>
      </c>
      <c r="AF326" s="111" t="e">
        <f>INDEX(Tab_Def_Flows[[Flow_ID]:[CC_DM_source]],MATCH(Tab_Data_Flows[[#This Row],[Name(EN)]],Tab_Def_Flows[Name(EN)],0),18)</f>
        <v>#N/A</v>
      </c>
      <c r="AG326" s="112" t="e">
        <f>IF(K326="Yes",AF326*Tab_Data_Flows[[#This Row],[Flow_Py]],"N.A.")</f>
        <v>#N/A</v>
      </c>
      <c r="AH326" s="61">
        <f>Tab_Data_Flows[[#This Row],[UoM_Flow_Py]]</f>
        <v>0</v>
      </c>
      <c r="AI326" s="111" t="e">
        <f>INDEX(Tab_Def_Flows[[Flow_ID]:[CC_DM_source]],MATCH(Tab_Data_Flows[[#This Row],[Name(EN)]],Tab_Def_Flows[Name(EN)],0),20)</f>
        <v>#N/A</v>
      </c>
      <c r="AJ326" s="109" t="e">
        <f>IF(L326="Yes",AI326*Tab_Data_Flows[[#This Row],[Flow_Py]]*Tab_Data_Flows[[#This Row],[DM_'[%']]],"N.A.")</f>
        <v>#N/A</v>
      </c>
      <c r="AK326" s="61">
        <f>Tab_Data_Flows[[#This Row],[UoM_Flow_Py]]</f>
        <v>0</v>
      </c>
    </row>
    <row r="327" spans="1:37" ht="15.75" thickBot="1" x14ac:dyDescent="0.3">
      <c r="A327" s="60">
        <f t="shared" si="9"/>
        <v>326</v>
      </c>
      <c r="B327" s="49" t="str">
        <f>_xlfn.XLOOKUP(C327,Tab_Def_Flows[Name(EN)],Tab_Def_Flows[Flow_ID],,0,)</f>
        <v>F_24_24</v>
      </c>
      <c r="C327" s="51"/>
      <c r="D327" s="49">
        <f>_xlfn.XLOOKUP(C327,Tab_Def_Flows[Name(EN)],Tab_Def_Flows[Type_Biomass],,0,)</f>
        <v>0</v>
      </c>
      <c r="E327" s="49">
        <f>_xlfn.XLOOKUP(C327,Tab_Def_Flows[Name(EN)],Tab_Def_Flows[Output_Process],,0,)</f>
        <v>0</v>
      </c>
      <c r="F327" s="49" t="str">
        <f>_xlfn.XLOOKUP(C327,Tab_Def_Flows[Name(EN)],Tab_Def_Flows[Process_ID_O],,0,)</f>
        <v>24__</v>
      </c>
      <c r="G327" s="49">
        <f>_xlfn.XLOOKUP(C327,Tab_Def_Flows[Name(EN)],Tab_Def_Flows[Input_Process],,0,)</f>
        <v>0</v>
      </c>
      <c r="H327" s="61" t="str">
        <f>_xlfn.XLOOKUP(C327,Tab_Def_Flows[Name(EN)],Tab_Def_Flows[Process_ID_I],,0,)</f>
        <v>24__</v>
      </c>
      <c r="I327" s="49">
        <f>_xlfn.XLOOKUP(C327,Tab_Def_Flows[Name(EN)],Tab_Def_Flows[Value_Source],,0,)</f>
        <v>0</v>
      </c>
      <c r="J327" s="61" t="str">
        <f>_xlfn.XLOOKUP(C327,Tab_Def_Flows[Name(EN)],Tab_Def_Flows[WC?],,0,)</f>
        <v>Yes</v>
      </c>
      <c r="K327" s="61" t="str">
        <f>_xlfn.XLOOKUP(C327,Tab_Def_Flows[Name(EN)],Tab_Def_Flows[DM?],,0,)</f>
        <v>Yes</v>
      </c>
      <c r="L327" s="61" t="str">
        <f>_xlfn.XLOOKUP(C327,Tab_Def_Flows[Name(EN)],Tab_Def_Flows[CC?],,0,)</f>
        <v>Yes</v>
      </c>
      <c r="M327" s="51"/>
      <c r="N327" s="51"/>
      <c r="O327" s="119"/>
      <c r="P327" s="51" t="s">
        <v>389</v>
      </c>
      <c r="Q327" s="51"/>
      <c r="R327" s="51"/>
      <c r="S327" s="51"/>
      <c r="T327" s="51"/>
      <c r="U327" s="51"/>
      <c r="V327" s="51"/>
      <c r="W327" s="51"/>
      <c r="X327" s="51" t="s">
        <v>71</v>
      </c>
      <c r="Y327" s="51"/>
      <c r="Z327" s="51"/>
      <c r="AA327" s="86"/>
      <c r="AB327" s="51"/>
      <c r="AC327" s="111" t="e">
        <f>INDEX(Tab_Def_Flows[[Flow_ID]:[CC_DM_source]],MATCH(Tab_Data_Flows[[#This Row],[Name(EN)]],Tab_Def_Flows[Name(EN)],0),16)</f>
        <v>#N/A</v>
      </c>
      <c r="AD327" s="112" t="e">
        <f>IF(J327="Yes",AA327*Tab_Data_Flows[[#This Row],[WC_'[%']]],"N.A.")</f>
        <v>#N/A</v>
      </c>
      <c r="AE327" s="61">
        <f>Tab_Data_Flows[[#This Row],[UoM_Flow_Py]]</f>
        <v>0</v>
      </c>
      <c r="AF327" s="111" t="e">
        <f>INDEX(Tab_Def_Flows[[Flow_ID]:[CC_DM_source]],MATCH(Tab_Data_Flows[[#This Row],[Name(EN)]],Tab_Def_Flows[Name(EN)],0),18)</f>
        <v>#N/A</v>
      </c>
      <c r="AG327" s="112" t="e">
        <f>IF(K327="Yes",AF327*Tab_Data_Flows[[#This Row],[Flow_Py]],"N.A.")</f>
        <v>#N/A</v>
      </c>
      <c r="AH327" s="61">
        <f>Tab_Data_Flows[[#This Row],[UoM_Flow_Py]]</f>
        <v>0</v>
      </c>
      <c r="AI327" s="111" t="e">
        <f>INDEX(Tab_Def_Flows[[Flow_ID]:[CC_DM_source]],MATCH(Tab_Data_Flows[[#This Row],[Name(EN)]],Tab_Def_Flows[Name(EN)],0),20)</f>
        <v>#N/A</v>
      </c>
      <c r="AJ327" s="109" t="e">
        <f>IF(L327="Yes",AI327*Tab_Data_Flows[[#This Row],[Flow_Py]]*Tab_Data_Flows[[#This Row],[DM_'[%']]],"N.A.")</f>
        <v>#N/A</v>
      </c>
      <c r="AK327" s="61">
        <f>Tab_Data_Flows[[#This Row],[UoM_Flow_Py]]</f>
        <v>0</v>
      </c>
    </row>
    <row r="328" spans="1:37" ht="15.75" thickBot="1" x14ac:dyDescent="0.3">
      <c r="A328" s="60">
        <f t="shared" si="9"/>
        <v>327</v>
      </c>
      <c r="B328" s="49" t="str">
        <f>_xlfn.XLOOKUP(C328,Tab_Def_Flows[Name(EN)],Tab_Def_Flows[Flow_ID],,0,)</f>
        <v>F_24_24</v>
      </c>
      <c r="C328" s="51"/>
      <c r="D328" s="49">
        <f>_xlfn.XLOOKUP(C328,Tab_Def_Flows[Name(EN)],Tab_Def_Flows[Type_Biomass],,0,)</f>
        <v>0</v>
      </c>
      <c r="E328" s="49">
        <f>_xlfn.XLOOKUP(C328,Tab_Def_Flows[Name(EN)],Tab_Def_Flows[Output_Process],,0,)</f>
        <v>0</v>
      </c>
      <c r="F328" s="49" t="str">
        <f>_xlfn.XLOOKUP(C328,Tab_Def_Flows[Name(EN)],Tab_Def_Flows[Process_ID_O],,0,)</f>
        <v>24__</v>
      </c>
      <c r="G328" s="49">
        <f>_xlfn.XLOOKUP(C328,Tab_Def_Flows[Name(EN)],Tab_Def_Flows[Input_Process],,0,)</f>
        <v>0</v>
      </c>
      <c r="H328" s="61" t="str">
        <f>_xlfn.XLOOKUP(C328,Tab_Def_Flows[Name(EN)],Tab_Def_Flows[Process_ID_I],,0,)</f>
        <v>24__</v>
      </c>
      <c r="I328" s="49">
        <f>_xlfn.XLOOKUP(C328,Tab_Def_Flows[Name(EN)],Tab_Def_Flows[Value_Source],,0,)</f>
        <v>0</v>
      </c>
      <c r="J328" s="61" t="str">
        <f>_xlfn.XLOOKUP(C328,Tab_Def_Flows[Name(EN)],Tab_Def_Flows[WC?],,0,)</f>
        <v>Yes</v>
      </c>
      <c r="K328" s="61" t="str">
        <f>_xlfn.XLOOKUP(C328,Tab_Def_Flows[Name(EN)],Tab_Def_Flows[DM?],,0,)</f>
        <v>Yes</v>
      </c>
      <c r="L328" s="61" t="str">
        <f>_xlfn.XLOOKUP(C328,Tab_Def_Flows[Name(EN)],Tab_Def_Flows[CC?],,0,)</f>
        <v>Yes</v>
      </c>
      <c r="M328" s="51"/>
      <c r="N328" s="51"/>
      <c r="O328" s="119"/>
      <c r="P328" s="51" t="s">
        <v>389</v>
      </c>
      <c r="Q328" s="51"/>
      <c r="R328" s="51"/>
      <c r="S328" s="51"/>
      <c r="T328" s="51"/>
      <c r="U328" s="51"/>
      <c r="V328" s="51"/>
      <c r="W328" s="51"/>
      <c r="X328" s="51" t="s">
        <v>71</v>
      </c>
      <c r="Y328" s="51"/>
      <c r="Z328" s="51"/>
      <c r="AA328" s="86"/>
      <c r="AB328" s="51"/>
      <c r="AC328" s="111" t="e">
        <f>INDEX(Tab_Def_Flows[[Flow_ID]:[CC_DM_source]],MATCH(Tab_Data_Flows[[#This Row],[Name(EN)]],Tab_Def_Flows[Name(EN)],0),16)</f>
        <v>#N/A</v>
      </c>
      <c r="AD328" s="112" t="e">
        <f>IF(J328="Yes",AA328*Tab_Data_Flows[[#This Row],[WC_'[%']]],"N.A.")</f>
        <v>#N/A</v>
      </c>
      <c r="AE328" s="61">
        <f>Tab_Data_Flows[[#This Row],[UoM_Flow_Py]]</f>
        <v>0</v>
      </c>
      <c r="AF328" s="111" t="e">
        <f>INDEX(Tab_Def_Flows[[Flow_ID]:[CC_DM_source]],MATCH(Tab_Data_Flows[[#This Row],[Name(EN)]],Tab_Def_Flows[Name(EN)],0),18)</f>
        <v>#N/A</v>
      </c>
      <c r="AG328" s="112" t="e">
        <f>IF(K328="Yes",AF328*Tab_Data_Flows[[#This Row],[Flow_Py]],"N.A.")</f>
        <v>#N/A</v>
      </c>
      <c r="AH328" s="61">
        <f>Tab_Data_Flows[[#This Row],[UoM_Flow_Py]]</f>
        <v>0</v>
      </c>
      <c r="AI328" s="111" t="e">
        <f>INDEX(Tab_Def_Flows[[Flow_ID]:[CC_DM_source]],MATCH(Tab_Data_Flows[[#This Row],[Name(EN)]],Tab_Def_Flows[Name(EN)],0),20)</f>
        <v>#N/A</v>
      </c>
      <c r="AJ328" s="109" t="e">
        <f>IF(L328="Yes",AI328*Tab_Data_Flows[[#This Row],[Flow_Py]]*Tab_Data_Flows[[#This Row],[DM_'[%']]],"N.A.")</f>
        <v>#N/A</v>
      </c>
      <c r="AK328" s="61">
        <f>Tab_Data_Flows[[#This Row],[UoM_Flow_Py]]</f>
        <v>0</v>
      </c>
    </row>
    <row r="329" spans="1:37" ht="15.75" thickBot="1" x14ac:dyDescent="0.3">
      <c r="A329" s="60">
        <f t="shared" si="9"/>
        <v>328</v>
      </c>
      <c r="B329" s="49" t="str">
        <f>_xlfn.XLOOKUP(C329,Tab_Def_Flows[Name(EN)],Tab_Def_Flows[Flow_ID],,0,)</f>
        <v>F_24_24</v>
      </c>
      <c r="C329" s="51"/>
      <c r="D329" s="49">
        <f>_xlfn.XLOOKUP(C329,Tab_Def_Flows[Name(EN)],Tab_Def_Flows[Type_Biomass],,0,)</f>
        <v>0</v>
      </c>
      <c r="E329" s="49">
        <f>_xlfn.XLOOKUP(C329,Tab_Def_Flows[Name(EN)],Tab_Def_Flows[Output_Process],,0,)</f>
        <v>0</v>
      </c>
      <c r="F329" s="49" t="str">
        <f>_xlfn.XLOOKUP(C329,Tab_Def_Flows[Name(EN)],Tab_Def_Flows[Process_ID_O],,0,)</f>
        <v>24__</v>
      </c>
      <c r="G329" s="49">
        <f>_xlfn.XLOOKUP(C329,Tab_Def_Flows[Name(EN)],Tab_Def_Flows[Input_Process],,0,)</f>
        <v>0</v>
      </c>
      <c r="H329" s="61" t="str">
        <f>_xlfn.XLOOKUP(C329,Tab_Def_Flows[Name(EN)],Tab_Def_Flows[Process_ID_I],,0,)</f>
        <v>24__</v>
      </c>
      <c r="I329" s="49">
        <f>_xlfn.XLOOKUP(C329,Tab_Def_Flows[Name(EN)],Tab_Def_Flows[Value_Source],,0,)</f>
        <v>0</v>
      </c>
      <c r="J329" s="61" t="str">
        <f>_xlfn.XLOOKUP(C329,Tab_Def_Flows[Name(EN)],Tab_Def_Flows[WC?],,0,)</f>
        <v>Yes</v>
      </c>
      <c r="K329" s="61" t="str">
        <f>_xlfn.XLOOKUP(C329,Tab_Def_Flows[Name(EN)],Tab_Def_Flows[DM?],,0,)</f>
        <v>Yes</v>
      </c>
      <c r="L329" s="61" t="str">
        <f>_xlfn.XLOOKUP(C329,Tab_Def_Flows[Name(EN)],Tab_Def_Flows[CC?],,0,)</f>
        <v>Yes</v>
      </c>
      <c r="M329" s="51"/>
      <c r="N329" s="51"/>
      <c r="O329" s="119"/>
      <c r="P329" s="51" t="s">
        <v>389</v>
      </c>
      <c r="Q329" s="51"/>
      <c r="R329" s="51"/>
      <c r="S329" s="51"/>
      <c r="T329" s="51"/>
      <c r="U329" s="51"/>
      <c r="V329" s="51"/>
      <c r="W329" s="51"/>
      <c r="X329" s="51" t="s">
        <v>71</v>
      </c>
      <c r="Y329" s="51"/>
      <c r="Z329" s="51"/>
      <c r="AA329" s="86"/>
      <c r="AB329" s="51"/>
      <c r="AC329" s="111" t="e">
        <f>INDEX(Tab_Def_Flows[[Flow_ID]:[CC_DM_source]],MATCH(Tab_Data_Flows[[#This Row],[Name(EN)]],Tab_Def_Flows[Name(EN)],0),16)</f>
        <v>#N/A</v>
      </c>
      <c r="AD329" s="112" t="e">
        <f>IF(J329="Yes",AA329*Tab_Data_Flows[[#This Row],[WC_'[%']]],"N.A.")</f>
        <v>#N/A</v>
      </c>
      <c r="AE329" s="61">
        <f>Tab_Data_Flows[[#This Row],[UoM_Flow_Py]]</f>
        <v>0</v>
      </c>
      <c r="AF329" s="111" t="e">
        <f>INDEX(Tab_Def_Flows[[Flow_ID]:[CC_DM_source]],MATCH(Tab_Data_Flows[[#This Row],[Name(EN)]],Tab_Def_Flows[Name(EN)],0),18)</f>
        <v>#N/A</v>
      </c>
      <c r="AG329" s="112" t="e">
        <f>IF(K329="Yes",AF329*Tab_Data_Flows[[#This Row],[Flow_Py]],"N.A.")</f>
        <v>#N/A</v>
      </c>
      <c r="AH329" s="61">
        <f>Tab_Data_Flows[[#This Row],[UoM_Flow_Py]]</f>
        <v>0</v>
      </c>
      <c r="AI329" s="111" t="e">
        <f>INDEX(Tab_Def_Flows[[Flow_ID]:[CC_DM_source]],MATCH(Tab_Data_Flows[[#This Row],[Name(EN)]],Tab_Def_Flows[Name(EN)],0),20)</f>
        <v>#N/A</v>
      </c>
      <c r="AJ329" s="109" t="e">
        <f>IF(L329="Yes",AI329*Tab_Data_Flows[[#This Row],[Flow_Py]]*Tab_Data_Flows[[#This Row],[DM_'[%']]],"N.A.")</f>
        <v>#N/A</v>
      </c>
      <c r="AK329" s="61">
        <f>Tab_Data_Flows[[#This Row],[UoM_Flow_Py]]</f>
        <v>0</v>
      </c>
    </row>
    <row r="330" spans="1:37" ht="15.75" thickBot="1" x14ac:dyDescent="0.3">
      <c r="A330" s="60">
        <f t="shared" si="9"/>
        <v>329</v>
      </c>
      <c r="B330" s="49" t="str">
        <f>_xlfn.XLOOKUP(C330,Tab_Def_Flows[Name(EN)],Tab_Def_Flows[Flow_ID],,0,)</f>
        <v>F_24_24</v>
      </c>
      <c r="C330" s="51"/>
      <c r="D330" s="49">
        <f>_xlfn.XLOOKUP(C330,Tab_Def_Flows[Name(EN)],Tab_Def_Flows[Type_Biomass],,0,)</f>
        <v>0</v>
      </c>
      <c r="E330" s="49">
        <f>_xlfn.XLOOKUP(C330,Tab_Def_Flows[Name(EN)],Tab_Def_Flows[Output_Process],,0,)</f>
        <v>0</v>
      </c>
      <c r="F330" s="49" t="str">
        <f>_xlfn.XLOOKUP(C330,Tab_Def_Flows[Name(EN)],Tab_Def_Flows[Process_ID_O],,0,)</f>
        <v>24__</v>
      </c>
      <c r="G330" s="49">
        <f>_xlfn.XLOOKUP(C330,Tab_Def_Flows[Name(EN)],Tab_Def_Flows[Input_Process],,0,)</f>
        <v>0</v>
      </c>
      <c r="H330" s="61" t="str">
        <f>_xlfn.XLOOKUP(C330,Tab_Def_Flows[Name(EN)],Tab_Def_Flows[Process_ID_I],,0,)</f>
        <v>24__</v>
      </c>
      <c r="I330" s="49">
        <f>_xlfn.XLOOKUP(C330,Tab_Def_Flows[Name(EN)],Tab_Def_Flows[Value_Source],,0,)</f>
        <v>0</v>
      </c>
      <c r="J330" s="61" t="str">
        <f>_xlfn.XLOOKUP(C330,Tab_Def_Flows[Name(EN)],Tab_Def_Flows[WC?],,0,)</f>
        <v>Yes</v>
      </c>
      <c r="K330" s="61" t="str">
        <f>_xlfn.XLOOKUP(C330,Tab_Def_Flows[Name(EN)],Tab_Def_Flows[DM?],,0,)</f>
        <v>Yes</v>
      </c>
      <c r="L330" s="61" t="str">
        <f>_xlfn.XLOOKUP(C330,Tab_Def_Flows[Name(EN)],Tab_Def_Flows[CC?],,0,)</f>
        <v>Yes</v>
      </c>
      <c r="M330" s="51"/>
      <c r="N330" s="51"/>
      <c r="O330" s="119"/>
      <c r="P330" s="51" t="s">
        <v>389</v>
      </c>
      <c r="Q330" s="51"/>
      <c r="R330" s="51"/>
      <c r="S330" s="51"/>
      <c r="T330" s="51"/>
      <c r="U330" s="51"/>
      <c r="V330" s="51"/>
      <c r="W330" s="51"/>
      <c r="X330" s="51" t="s">
        <v>71</v>
      </c>
      <c r="Y330" s="51"/>
      <c r="Z330" s="51"/>
      <c r="AA330" s="86"/>
      <c r="AB330" s="51"/>
      <c r="AC330" s="111" t="e">
        <f>INDEX(Tab_Def_Flows[[Flow_ID]:[CC_DM_source]],MATCH(Tab_Data_Flows[[#This Row],[Name(EN)]],Tab_Def_Flows[Name(EN)],0),16)</f>
        <v>#N/A</v>
      </c>
      <c r="AD330" s="112" t="e">
        <f>IF(J330="Yes",AA330*Tab_Data_Flows[[#This Row],[WC_'[%']]],"N.A.")</f>
        <v>#N/A</v>
      </c>
      <c r="AE330" s="61">
        <f>Tab_Data_Flows[[#This Row],[UoM_Flow_Py]]</f>
        <v>0</v>
      </c>
      <c r="AF330" s="111" t="e">
        <f>INDEX(Tab_Def_Flows[[Flow_ID]:[CC_DM_source]],MATCH(Tab_Data_Flows[[#This Row],[Name(EN)]],Tab_Def_Flows[Name(EN)],0),18)</f>
        <v>#N/A</v>
      </c>
      <c r="AG330" s="112" t="e">
        <f>IF(K330="Yes",AF330*Tab_Data_Flows[[#This Row],[Flow_Py]],"N.A.")</f>
        <v>#N/A</v>
      </c>
      <c r="AH330" s="61">
        <f>Tab_Data_Flows[[#This Row],[UoM_Flow_Py]]</f>
        <v>0</v>
      </c>
      <c r="AI330" s="111" t="e">
        <f>INDEX(Tab_Def_Flows[[Flow_ID]:[CC_DM_source]],MATCH(Tab_Data_Flows[[#This Row],[Name(EN)]],Tab_Def_Flows[Name(EN)],0),20)</f>
        <v>#N/A</v>
      </c>
      <c r="AJ330" s="109" t="e">
        <f>IF(L330="Yes",AI330*Tab_Data_Flows[[#This Row],[Flow_Py]]*Tab_Data_Flows[[#This Row],[DM_'[%']]],"N.A.")</f>
        <v>#N/A</v>
      </c>
      <c r="AK330" s="61">
        <f>Tab_Data_Flows[[#This Row],[UoM_Flow_Py]]</f>
        <v>0</v>
      </c>
    </row>
    <row r="331" spans="1:37" ht="15.75" thickBot="1" x14ac:dyDescent="0.3">
      <c r="A331" s="60">
        <f t="shared" si="9"/>
        <v>330</v>
      </c>
      <c r="B331" s="49" t="str">
        <f>_xlfn.XLOOKUP(C331,Tab_Def_Flows[Name(EN)],Tab_Def_Flows[Flow_ID],,0,)</f>
        <v>F_24_24</v>
      </c>
      <c r="C331" s="51"/>
      <c r="D331" s="49">
        <f>_xlfn.XLOOKUP(C331,Tab_Def_Flows[Name(EN)],Tab_Def_Flows[Type_Biomass],,0,)</f>
        <v>0</v>
      </c>
      <c r="E331" s="49">
        <f>_xlfn.XLOOKUP(C331,Tab_Def_Flows[Name(EN)],Tab_Def_Flows[Output_Process],,0,)</f>
        <v>0</v>
      </c>
      <c r="F331" s="49" t="str">
        <f>_xlfn.XLOOKUP(C331,Tab_Def_Flows[Name(EN)],Tab_Def_Flows[Process_ID_O],,0,)</f>
        <v>24__</v>
      </c>
      <c r="G331" s="49">
        <f>_xlfn.XLOOKUP(C331,Tab_Def_Flows[Name(EN)],Tab_Def_Flows[Input_Process],,0,)</f>
        <v>0</v>
      </c>
      <c r="H331" s="61" t="str">
        <f>_xlfn.XLOOKUP(C331,Tab_Def_Flows[Name(EN)],Tab_Def_Flows[Process_ID_I],,0,)</f>
        <v>24__</v>
      </c>
      <c r="I331" s="49">
        <f>_xlfn.XLOOKUP(C331,Tab_Def_Flows[Name(EN)],Tab_Def_Flows[Value_Source],,0,)</f>
        <v>0</v>
      </c>
      <c r="J331" s="61" t="str">
        <f>_xlfn.XLOOKUP(C331,Tab_Def_Flows[Name(EN)],Tab_Def_Flows[WC?],,0,)</f>
        <v>Yes</v>
      </c>
      <c r="K331" s="61" t="str">
        <f>_xlfn.XLOOKUP(C331,Tab_Def_Flows[Name(EN)],Tab_Def_Flows[DM?],,0,)</f>
        <v>Yes</v>
      </c>
      <c r="L331" s="61" t="str">
        <f>_xlfn.XLOOKUP(C331,Tab_Def_Flows[Name(EN)],Tab_Def_Flows[CC?],,0,)</f>
        <v>Yes</v>
      </c>
      <c r="M331" s="51"/>
      <c r="N331" s="51"/>
      <c r="O331" s="119"/>
      <c r="P331" s="51" t="s">
        <v>389</v>
      </c>
      <c r="Q331" s="51"/>
      <c r="R331" s="51"/>
      <c r="S331" s="51"/>
      <c r="T331" s="51"/>
      <c r="U331" s="51"/>
      <c r="V331" s="51"/>
      <c r="W331" s="51"/>
      <c r="X331" s="51" t="s">
        <v>71</v>
      </c>
      <c r="Y331" s="51"/>
      <c r="Z331" s="51"/>
      <c r="AA331" s="86"/>
      <c r="AB331" s="51"/>
      <c r="AC331" s="111" t="e">
        <f>INDEX(Tab_Def_Flows[[Flow_ID]:[CC_DM_source]],MATCH(Tab_Data_Flows[[#This Row],[Name(EN)]],Tab_Def_Flows[Name(EN)],0),16)</f>
        <v>#N/A</v>
      </c>
      <c r="AD331" s="112" t="e">
        <f>IF(J331="Yes",AA331*Tab_Data_Flows[[#This Row],[WC_'[%']]],"N.A.")</f>
        <v>#N/A</v>
      </c>
      <c r="AE331" s="61">
        <f>Tab_Data_Flows[[#This Row],[UoM_Flow_Py]]</f>
        <v>0</v>
      </c>
      <c r="AF331" s="111" t="e">
        <f>INDEX(Tab_Def_Flows[[Flow_ID]:[CC_DM_source]],MATCH(Tab_Data_Flows[[#This Row],[Name(EN)]],Tab_Def_Flows[Name(EN)],0),18)</f>
        <v>#N/A</v>
      </c>
      <c r="AG331" s="112" t="e">
        <f>IF(K331="Yes",AF331*Tab_Data_Flows[[#This Row],[Flow_Py]],"N.A.")</f>
        <v>#N/A</v>
      </c>
      <c r="AH331" s="61">
        <f>Tab_Data_Flows[[#This Row],[UoM_Flow_Py]]</f>
        <v>0</v>
      </c>
      <c r="AI331" s="111" t="e">
        <f>INDEX(Tab_Def_Flows[[Flow_ID]:[CC_DM_source]],MATCH(Tab_Data_Flows[[#This Row],[Name(EN)]],Tab_Def_Flows[Name(EN)],0),20)</f>
        <v>#N/A</v>
      </c>
      <c r="AJ331" s="109" t="e">
        <f>IF(L331="Yes",AI331*Tab_Data_Flows[[#This Row],[Flow_Py]]*Tab_Data_Flows[[#This Row],[DM_'[%']]],"N.A.")</f>
        <v>#N/A</v>
      </c>
      <c r="AK331" s="61">
        <f>Tab_Data_Flows[[#This Row],[UoM_Flow_Py]]</f>
        <v>0</v>
      </c>
    </row>
    <row r="332" spans="1:37" ht="15.75" thickBot="1" x14ac:dyDescent="0.3">
      <c r="A332" s="60">
        <f t="shared" si="9"/>
        <v>331</v>
      </c>
      <c r="B332" s="49" t="str">
        <f>_xlfn.XLOOKUP(C332,Tab_Def_Flows[Name(EN)],Tab_Def_Flows[Flow_ID],,0,)</f>
        <v>F_24_24</v>
      </c>
      <c r="C332" s="51"/>
      <c r="D332" s="49">
        <f>_xlfn.XLOOKUP(C332,Tab_Def_Flows[Name(EN)],Tab_Def_Flows[Type_Biomass],,0,)</f>
        <v>0</v>
      </c>
      <c r="E332" s="49">
        <f>_xlfn.XLOOKUP(C332,Tab_Def_Flows[Name(EN)],Tab_Def_Flows[Output_Process],,0,)</f>
        <v>0</v>
      </c>
      <c r="F332" s="49" t="str">
        <f>_xlfn.XLOOKUP(C332,Tab_Def_Flows[Name(EN)],Tab_Def_Flows[Process_ID_O],,0,)</f>
        <v>24__</v>
      </c>
      <c r="G332" s="49">
        <f>_xlfn.XLOOKUP(C332,Tab_Def_Flows[Name(EN)],Tab_Def_Flows[Input_Process],,0,)</f>
        <v>0</v>
      </c>
      <c r="H332" s="61" t="str">
        <f>_xlfn.XLOOKUP(C332,Tab_Def_Flows[Name(EN)],Tab_Def_Flows[Process_ID_I],,0,)</f>
        <v>24__</v>
      </c>
      <c r="I332" s="49">
        <f>_xlfn.XLOOKUP(C332,Tab_Def_Flows[Name(EN)],Tab_Def_Flows[Value_Source],,0,)</f>
        <v>0</v>
      </c>
      <c r="J332" s="61" t="str">
        <f>_xlfn.XLOOKUP(C332,Tab_Def_Flows[Name(EN)],Tab_Def_Flows[WC?],,0,)</f>
        <v>Yes</v>
      </c>
      <c r="K332" s="61" t="str">
        <f>_xlfn.XLOOKUP(C332,Tab_Def_Flows[Name(EN)],Tab_Def_Flows[DM?],,0,)</f>
        <v>Yes</v>
      </c>
      <c r="L332" s="61" t="str">
        <f>_xlfn.XLOOKUP(C332,Tab_Def_Flows[Name(EN)],Tab_Def_Flows[CC?],,0,)</f>
        <v>Yes</v>
      </c>
      <c r="M332" s="51"/>
      <c r="N332" s="51"/>
      <c r="O332" s="119"/>
      <c r="P332" s="51" t="s">
        <v>389</v>
      </c>
      <c r="Q332" s="51"/>
      <c r="R332" s="51"/>
      <c r="S332" s="51"/>
      <c r="T332" s="51"/>
      <c r="U332" s="51"/>
      <c r="V332" s="51"/>
      <c r="W332" s="51"/>
      <c r="X332" s="51" t="s">
        <v>71</v>
      </c>
      <c r="Y332" s="51"/>
      <c r="Z332" s="51"/>
      <c r="AA332" s="86"/>
      <c r="AB332" s="51"/>
      <c r="AC332" s="111" t="e">
        <f>INDEX(Tab_Def_Flows[[Flow_ID]:[CC_DM_source]],MATCH(Tab_Data_Flows[[#This Row],[Name(EN)]],Tab_Def_Flows[Name(EN)],0),16)</f>
        <v>#N/A</v>
      </c>
      <c r="AD332" s="112" t="e">
        <f>IF(J332="Yes",AA332*Tab_Data_Flows[[#This Row],[WC_'[%']]],"N.A.")</f>
        <v>#N/A</v>
      </c>
      <c r="AE332" s="61">
        <f>Tab_Data_Flows[[#This Row],[UoM_Flow_Py]]</f>
        <v>0</v>
      </c>
      <c r="AF332" s="111" t="e">
        <f>INDEX(Tab_Def_Flows[[Flow_ID]:[CC_DM_source]],MATCH(Tab_Data_Flows[[#This Row],[Name(EN)]],Tab_Def_Flows[Name(EN)],0),18)</f>
        <v>#N/A</v>
      </c>
      <c r="AG332" s="112" t="e">
        <f>IF(K332="Yes",AF332*Tab_Data_Flows[[#This Row],[Flow_Py]],"N.A.")</f>
        <v>#N/A</v>
      </c>
      <c r="AH332" s="61">
        <f>Tab_Data_Flows[[#This Row],[UoM_Flow_Py]]</f>
        <v>0</v>
      </c>
      <c r="AI332" s="111" t="e">
        <f>INDEX(Tab_Def_Flows[[Flow_ID]:[CC_DM_source]],MATCH(Tab_Data_Flows[[#This Row],[Name(EN)]],Tab_Def_Flows[Name(EN)],0),20)</f>
        <v>#N/A</v>
      </c>
      <c r="AJ332" s="109" t="e">
        <f>IF(L332="Yes",AI332*Tab_Data_Flows[[#This Row],[Flow_Py]]*Tab_Data_Flows[[#This Row],[DM_'[%']]],"N.A.")</f>
        <v>#N/A</v>
      </c>
      <c r="AK332" s="61">
        <f>Tab_Data_Flows[[#This Row],[UoM_Flow_Py]]</f>
        <v>0</v>
      </c>
    </row>
    <row r="333" spans="1:37" ht="15.75" thickBot="1" x14ac:dyDescent="0.3">
      <c r="A333" s="60">
        <f t="shared" si="9"/>
        <v>332</v>
      </c>
      <c r="B333" s="49" t="str">
        <f>_xlfn.XLOOKUP(C333,Tab_Def_Flows[Name(EN)],Tab_Def_Flows[Flow_ID],,0,)</f>
        <v>F_24_24</v>
      </c>
      <c r="C333" s="51"/>
      <c r="D333" s="49">
        <f>_xlfn.XLOOKUP(C333,Tab_Def_Flows[Name(EN)],Tab_Def_Flows[Type_Biomass],,0,)</f>
        <v>0</v>
      </c>
      <c r="E333" s="49">
        <f>_xlfn.XLOOKUP(C333,Tab_Def_Flows[Name(EN)],Tab_Def_Flows[Output_Process],,0,)</f>
        <v>0</v>
      </c>
      <c r="F333" s="49" t="str">
        <f>_xlfn.XLOOKUP(C333,Tab_Def_Flows[Name(EN)],Tab_Def_Flows[Process_ID_O],,0,)</f>
        <v>24__</v>
      </c>
      <c r="G333" s="49">
        <f>_xlfn.XLOOKUP(C333,Tab_Def_Flows[Name(EN)],Tab_Def_Flows[Input_Process],,0,)</f>
        <v>0</v>
      </c>
      <c r="H333" s="61" t="str">
        <f>_xlfn.XLOOKUP(C333,Tab_Def_Flows[Name(EN)],Tab_Def_Flows[Process_ID_I],,0,)</f>
        <v>24__</v>
      </c>
      <c r="I333" s="49">
        <f>_xlfn.XLOOKUP(C333,Tab_Def_Flows[Name(EN)],Tab_Def_Flows[Value_Source],,0,)</f>
        <v>0</v>
      </c>
      <c r="J333" s="61" t="str">
        <f>_xlfn.XLOOKUP(C333,Tab_Def_Flows[Name(EN)],Tab_Def_Flows[WC?],,0,)</f>
        <v>Yes</v>
      </c>
      <c r="K333" s="61" t="str">
        <f>_xlfn.XLOOKUP(C333,Tab_Def_Flows[Name(EN)],Tab_Def_Flows[DM?],,0,)</f>
        <v>Yes</v>
      </c>
      <c r="L333" s="61" t="str">
        <f>_xlfn.XLOOKUP(C333,Tab_Def_Flows[Name(EN)],Tab_Def_Flows[CC?],,0,)</f>
        <v>Yes</v>
      </c>
      <c r="M333" s="51"/>
      <c r="N333" s="51"/>
      <c r="O333" s="119"/>
      <c r="P333" s="51" t="s">
        <v>389</v>
      </c>
      <c r="Q333" s="51"/>
      <c r="R333" s="51"/>
      <c r="S333" s="51"/>
      <c r="T333" s="51"/>
      <c r="U333" s="51"/>
      <c r="V333" s="51"/>
      <c r="W333" s="51"/>
      <c r="X333" s="51" t="s">
        <v>71</v>
      </c>
      <c r="Y333" s="51"/>
      <c r="Z333" s="51"/>
      <c r="AA333" s="86"/>
      <c r="AB333" s="51"/>
      <c r="AC333" s="111" t="e">
        <f>INDEX(Tab_Def_Flows[[Flow_ID]:[CC_DM_source]],MATCH(Tab_Data_Flows[[#This Row],[Name(EN)]],Tab_Def_Flows[Name(EN)],0),16)</f>
        <v>#N/A</v>
      </c>
      <c r="AD333" s="112" t="e">
        <f>IF(J333="Yes",AA333*Tab_Data_Flows[[#This Row],[WC_'[%']]],"N.A.")</f>
        <v>#N/A</v>
      </c>
      <c r="AE333" s="61">
        <f>Tab_Data_Flows[[#This Row],[UoM_Flow_Py]]</f>
        <v>0</v>
      </c>
      <c r="AF333" s="111" t="e">
        <f>INDEX(Tab_Def_Flows[[Flow_ID]:[CC_DM_source]],MATCH(Tab_Data_Flows[[#This Row],[Name(EN)]],Tab_Def_Flows[Name(EN)],0),18)</f>
        <v>#N/A</v>
      </c>
      <c r="AG333" s="112" t="e">
        <f>IF(K333="Yes",AF333*Tab_Data_Flows[[#This Row],[Flow_Py]],"N.A.")</f>
        <v>#N/A</v>
      </c>
      <c r="AH333" s="61">
        <f>Tab_Data_Flows[[#This Row],[UoM_Flow_Py]]</f>
        <v>0</v>
      </c>
      <c r="AI333" s="111" t="e">
        <f>INDEX(Tab_Def_Flows[[Flow_ID]:[CC_DM_source]],MATCH(Tab_Data_Flows[[#This Row],[Name(EN)]],Tab_Def_Flows[Name(EN)],0),20)</f>
        <v>#N/A</v>
      </c>
      <c r="AJ333" s="109" t="e">
        <f>IF(L333="Yes",AI333*Tab_Data_Flows[[#This Row],[Flow_Py]]*Tab_Data_Flows[[#This Row],[DM_'[%']]],"N.A.")</f>
        <v>#N/A</v>
      </c>
      <c r="AK333" s="61">
        <f>Tab_Data_Flows[[#This Row],[UoM_Flow_Py]]</f>
        <v>0</v>
      </c>
    </row>
    <row r="334" spans="1:37" ht="15.75" thickBot="1" x14ac:dyDescent="0.3">
      <c r="A334" s="60">
        <f t="shared" si="9"/>
        <v>333</v>
      </c>
      <c r="B334" s="49" t="str">
        <f>_xlfn.XLOOKUP(C334,Tab_Def_Flows[Name(EN)],Tab_Def_Flows[Flow_ID],,0,)</f>
        <v>F_24_24</v>
      </c>
      <c r="C334" s="51"/>
      <c r="D334" s="49">
        <f>_xlfn.XLOOKUP(C334,Tab_Def_Flows[Name(EN)],Tab_Def_Flows[Type_Biomass],,0,)</f>
        <v>0</v>
      </c>
      <c r="E334" s="49">
        <f>_xlfn.XLOOKUP(C334,Tab_Def_Flows[Name(EN)],Tab_Def_Flows[Output_Process],,0,)</f>
        <v>0</v>
      </c>
      <c r="F334" s="49" t="str">
        <f>_xlfn.XLOOKUP(C334,Tab_Def_Flows[Name(EN)],Tab_Def_Flows[Process_ID_O],,0,)</f>
        <v>24__</v>
      </c>
      <c r="G334" s="49">
        <f>_xlfn.XLOOKUP(C334,Tab_Def_Flows[Name(EN)],Tab_Def_Flows[Input_Process],,0,)</f>
        <v>0</v>
      </c>
      <c r="H334" s="61" t="str">
        <f>_xlfn.XLOOKUP(C334,Tab_Def_Flows[Name(EN)],Tab_Def_Flows[Process_ID_I],,0,)</f>
        <v>24__</v>
      </c>
      <c r="I334" s="49">
        <f>_xlfn.XLOOKUP(C334,Tab_Def_Flows[Name(EN)],Tab_Def_Flows[Value_Source],,0,)</f>
        <v>0</v>
      </c>
      <c r="J334" s="61" t="str">
        <f>_xlfn.XLOOKUP(C334,Tab_Def_Flows[Name(EN)],Tab_Def_Flows[WC?],,0,)</f>
        <v>Yes</v>
      </c>
      <c r="K334" s="61" t="str">
        <f>_xlfn.XLOOKUP(C334,Tab_Def_Flows[Name(EN)],Tab_Def_Flows[DM?],,0,)</f>
        <v>Yes</v>
      </c>
      <c r="L334" s="61" t="str">
        <f>_xlfn.XLOOKUP(C334,Tab_Def_Flows[Name(EN)],Tab_Def_Flows[CC?],,0,)</f>
        <v>Yes</v>
      </c>
      <c r="M334" s="51"/>
      <c r="N334" s="51"/>
      <c r="O334" s="119"/>
      <c r="P334" s="51" t="s">
        <v>389</v>
      </c>
      <c r="Q334" s="51"/>
      <c r="R334" s="51"/>
      <c r="S334" s="51"/>
      <c r="T334" s="51"/>
      <c r="U334" s="51"/>
      <c r="V334" s="51"/>
      <c r="W334" s="51"/>
      <c r="X334" s="51" t="s">
        <v>71</v>
      </c>
      <c r="Y334" s="51"/>
      <c r="Z334" s="51"/>
      <c r="AA334" s="86"/>
      <c r="AB334" s="51"/>
      <c r="AC334" s="111" t="e">
        <f>INDEX(Tab_Def_Flows[[Flow_ID]:[CC_DM_source]],MATCH(Tab_Data_Flows[[#This Row],[Name(EN)]],Tab_Def_Flows[Name(EN)],0),16)</f>
        <v>#N/A</v>
      </c>
      <c r="AD334" s="112" t="e">
        <f>IF(J334="Yes",AA334*Tab_Data_Flows[[#This Row],[WC_'[%']]],"N.A.")</f>
        <v>#N/A</v>
      </c>
      <c r="AE334" s="61">
        <f>Tab_Data_Flows[[#This Row],[UoM_Flow_Py]]</f>
        <v>0</v>
      </c>
      <c r="AF334" s="111" t="e">
        <f>INDEX(Tab_Def_Flows[[Flow_ID]:[CC_DM_source]],MATCH(Tab_Data_Flows[[#This Row],[Name(EN)]],Tab_Def_Flows[Name(EN)],0),18)</f>
        <v>#N/A</v>
      </c>
      <c r="AG334" s="112" t="e">
        <f>IF(K334="Yes",AF334*Tab_Data_Flows[[#This Row],[Flow_Py]],"N.A.")</f>
        <v>#N/A</v>
      </c>
      <c r="AH334" s="61">
        <f>Tab_Data_Flows[[#This Row],[UoM_Flow_Py]]</f>
        <v>0</v>
      </c>
      <c r="AI334" s="111" t="e">
        <f>INDEX(Tab_Def_Flows[[Flow_ID]:[CC_DM_source]],MATCH(Tab_Data_Flows[[#This Row],[Name(EN)]],Tab_Def_Flows[Name(EN)],0),20)</f>
        <v>#N/A</v>
      </c>
      <c r="AJ334" s="109" t="e">
        <f>IF(L334="Yes",AI334*Tab_Data_Flows[[#This Row],[Flow_Py]]*Tab_Data_Flows[[#This Row],[DM_'[%']]],"N.A.")</f>
        <v>#N/A</v>
      </c>
      <c r="AK334" s="61">
        <f>Tab_Data_Flows[[#This Row],[UoM_Flow_Py]]</f>
        <v>0</v>
      </c>
    </row>
    <row r="335" spans="1:37" ht="15.75" thickBot="1" x14ac:dyDescent="0.3">
      <c r="A335" s="60">
        <f t="shared" si="9"/>
        <v>334</v>
      </c>
      <c r="B335" s="49" t="str">
        <f>_xlfn.XLOOKUP(C335,Tab_Def_Flows[Name(EN)],Tab_Def_Flows[Flow_ID],,0,)</f>
        <v>F_24_24</v>
      </c>
      <c r="C335" s="51"/>
      <c r="D335" s="49">
        <f>_xlfn.XLOOKUP(C335,Tab_Def_Flows[Name(EN)],Tab_Def_Flows[Type_Biomass],,0,)</f>
        <v>0</v>
      </c>
      <c r="E335" s="49">
        <f>_xlfn.XLOOKUP(C335,Tab_Def_Flows[Name(EN)],Tab_Def_Flows[Output_Process],,0,)</f>
        <v>0</v>
      </c>
      <c r="F335" s="49" t="str">
        <f>_xlfn.XLOOKUP(C335,Tab_Def_Flows[Name(EN)],Tab_Def_Flows[Process_ID_O],,0,)</f>
        <v>24__</v>
      </c>
      <c r="G335" s="49">
        <f>_xlfn.XLOOKUP(C335,Tab_Def_Flows[Name(EN)],Tab_Def_Flows[Input_Process],,0,)</f>
        <v>0</v>
      </c>
      <c r="H335" s="61" t="str">
        <f>_xlfn.XLOOKUP(C335,Tab_Def_Flows[Name(EN)],Tab_Def_Flows[Process_ID_I],,0,)</f>
        <v>24__</v>
      </c>
      <c r="I335" s="49">
        <f>_xlfn.XLOOKUP(C335,Tab_Def_Flows[Name(EN)],Tab_Def_Flows[Value_Source],,0,)</f>
        <v>0</v>
      </c>
      <c r="J335" s="61" t="str">
        <f>_xlfn.XLOOKUP(C335,Tab_Def_Flows[Name(EN)],Tab_Def_Flows[WC?],,0,)</f>
        <v>Yes</v>
      </c>
      <c r="K335" s="61" t="str">
        <f>_xlfn.XLOOKUP(C335,Tab_Def_Flows[Name(EN)],Tab_Def_Flows[DM?],,0,)</f>
        <v>Yes</v>
      </c>
      <c r="L335" s="61" t="str">
        <f>_xlfn.XLOOKUP(C335,Tab_Def_Flows[Name(EN)],Tab_Def_Flows[CC?],,0,)</f>
        <v>Yes</v>
      </c>
      <c r="M335" s="51"/>
      <c r="N335" s="51"/>
      <c r="O335" s="119"/>
      <c r="P335" s="51" t="s">
        <v>389</v>
      </c>
      <c r="Q335" s="51"/>
      <c r="R335" s="51"/>
      <c r="S335" s="51"/>
      <c r="T335" s="51"/>
      <c r="U335" s="51"/>
      <c r="V335" s="51"/>
      <c r="W335" s="51"/>
      <c r="X335" s="51" t="s">
        <v>71</v>
      </c>
      <c r="Y335" s="51"/>
      <c r="Z335" s="51"/>
      <c r="AA335" s="86"/>
      <c r="AB335" s="51"/>
      <c r="AC335" s="111" t="e">
        <f>INDEX(Tab_Def_Flows[[Flow_ID]:[CC_DM_source]],MATCH(Tab_Data_Flows[[#This Row],[Name(EN)]],Tab_Def_Flows[Name(EN)],0),16)</f>
        <v>#N/A</v>
      </c>
      <c r="AD335" s="112" t="e">
        <f>IF(J335="Yes",AA335*Tab_Data_Flows[[#This Row],[WC_'[%']]],"N.A.")</f>
        <v>#N/A</v>
      </c>
      <c r="AE335" s="61">
        <f>Tab_Data_Flows[[#This Row],[UoM_Flow_Py]]</f>
        <v>0</v>
      </c>
      <c r="AF335" s="111" t="e">
        <f>INDEX(Tab_Def_Flows[[Flow_ID]:[CC_DM_source]],MATCH(Tab_Data_Flows[[#This Row],[Name(EN)]],Tab_Def_Flows[Name(EN)],0),18)</f>
        <v>#N/A</v>
      </c>
      <c r="AG335" s="112" t="e">
        <f>IF(K335="Yes",AF335*Tab_Data_Flows[[#This Row],[Flow_Py]],"N.A.")</f>
        <v>#N/A</v>
      </c>
      <c r="AH335" s="61">
        <f>Tab_Data_Flows[[#This Row],[UoM_Flow_Py]]</f>
        <v>0</v>
      </c>
      <c r="AI335" s="111" t="e">
        <f>INDEX(Tab_Def_Flows[[Flow_ID]:[CC_DM_source]],MATCH(Tab_Data_Flows[[#This Row],[Name(EN)]],Tab_Def_Flows[Name(EN)],0),20)</f>
        <v>#N/A</v>
      </c>
      <c r="AJ335" s="109" t="e">
        <f>IF(L335="Yes",AI335*Tab_Data_Flows[[#This Row],[Flow_Py]]*Tab_Data_Flows[[#This Row],[DM_'[%']]],"N.A.")</f>
        <v>#N/A</v>
      </c>
      <c r="AK335" s="61">
        <f>Tab_Data_Flows[[#This Row],[UoM_Flow_Py]]</f>
        <v>0</v>
      </c>
    </row>
    <row r="336" spans="1:37" ht="15.75" thickBot="1" x14ac:dyDescent="0.3">
      <c r="A336" s="60">
        <f t="shared" si="9"/>
        <v>335</v>
      </c>
      <c r="B336" s="49" t="str">
        <f>_xlfn.XLOOKUP(C336,Tab_Def_Flows[Name(EN)],Tab_Def_Flows[Flow_ID],,0,)</f>
        <v>F_24_24</v>
      </c>
      <c r="C336" s="51"/>
      <c r="D336" s="49">
        <f>_xlfn.XLOOKUP(C336,Tab_Def_Flows[Name(EN)],Tab_Def_Flows[Type_Biomass],,0,)</f>
        <v>0</v>
      </c>
      <c r="E336" s="49">
        <f>_xlfn.XLOOKUP(C336,Tab_Def_Flows[Name(EN)],Tab_Def_Flows[Output_Process],,0,)</f>
        <v>0</v>
      </c>
      <c r="F336" s="49" t="str">
        <f>_xlfn.XLOOKUP(C336,Tab_Def_Flows[Name(EN)],Tab_Def_Flows[Process_ID_O],,0,)</f>
        <v>24__</v>
      </c>
      <c r="G336" s="49">
        <f>_xlfn.XLOOKUP(C336,Tab_Def_Flows[Name(EN)],Tab_Def_Flows[Input_Process],,0,)</f>
        <v>0</v>
      </c>
      <c r="H336" s="61" t="str">
        <f>_xlfn.XLOOKUP(C336,Tab_Def_Flows[Name(EN)],Tab_Def_Flows[Process_ID_I],,0,)</f>
        <v>24__</v>
      </c>
      <c r="I336" s="49">
        <f>_xlfn.XLOOKUP(C336,Tab_Def_Flows[Name(EN)],Tab_Def_Flows[Value_Source],,0,)</f>
        <v>0</v>
      </c>
      <c r="J336" s="61" t="str">
        <f>_xlfn.XLOOKUP(C336,Tab_Def_Flows[Name(EN)],Tab_Def_Flows[WC?],,0,)</f>
        <v>Yes</v>
      </c>
      <c r="K336" s="61" t="str">
        <f>_xlfn.XLOOKUP(C336,Tab_Def_Flows[Name(EN)],Tab_Def_Flows[DM?],,0,)</f>
        <v>Yes</v>
      </c>
      <c r="L336" s="61" t="str">
        <f>_xlfn.XLOOKUP(C336,Tab_Def_Flows[Name(EN)],Tab_Def_Flows[CC?],,0,)</f>
        <v>Yes</v>
      </c>
      <c r="M336" s="51"/>
      <c r="N336" s="51"/>
      <c r="O336" s="119"/>
      <c r="P336" s="51" t="s">
        <v>389</v>
      </c>
      <c r="Q336" s="51"/>
      <c r="R336" s="51"/>
      <c r="S336" s="51"/>
      <c r="T336" s="51"/>
      <c r="U336" s="51"/>
      <c r="V336" s="51"/>
      <c r="W336" s="51"/>
      <c r="X336" s="51" t="s">
        <v>71</v>
      </c>
      <c r="Y336" s="51"/>
      <c r="Z336" s="51"/>
      <c r="AA336" s="86"/>
      <c r="AB336" s="51"/>
      <c r="AC336" s="111" t="e">
        <f>INDEX(Tab_Def_Flows[[Flow_ID]:[CC_DM_source]],MATCH(Tab_Data_Flows[[#This Row],[Name(EN)]],Tab_Def_Flows[Name(EN)],0),16)</f>
        <v>#N/A</v>
      </c>
      <c r="AD336" s="112" t="e">
        <f>IF(J336="Yes",AA336*Tab_Data_Flows[[#This Row],[WC_'[%']]],"N.A.")</f>
        <v>#N/A</v>
      </c>
      <c r="AE336" s="61">
        <f>Tab_Data_Flows[[#This Row],[UoM_Flow_Py]]</f>
        <v>0</v>
      </c>
      <c r="AF336" s="111" t="e">
        <f>INDEX(Tab_Def_Flows[[Flow_ID]:[CC_DM_source]],MATCH(Tab_Data_Flows[[#This Row],[Name(EN)]],Tab_Def_Flows[Name(EN)],0),18)</f>
        <v>#N/A</v>
      </c>
      <c r="AG336" s="112" t="e">
        <f>IF(K336="Yes",AF336*Tab_Data_Flows[[#This Row],[Flow_Py]],"N.A.")</f>
        <v>#N/A</v>
      </c>
      <c r="AH336" s="61">
        <f>Tab_Data_Flows[[#This Row],[UoM_Flow_Py]]</f>
        <v>0</v>
      </c>
      <c r="AI336" s="111" t="e">
        <f>INDEX(Tab_Def_Flows[[Flow_ID]:[CC_DM_source]],MATCH(Tab_Data_Flows[[#This Row],[Name(EN)]],Tab_Def_Flows[Name(EN)],0),20)</f>
        <v>#N/A</v>
      </c>
      <c r="AJ336" s="109" t="e">
        <f>IF(L336="Yes",AI336*Tab_Data_Flows[[#This Row],[Flow_Py]]*Tab_Data_Flows[[#This Row],[DM_'[%']]],"N.A.")</f>
        <v>#N/A</v>
      </c>
      <c r="AK336" s="61">
        <f>Tab_Data_Flows[[#This Row],[UoM_Flow_Py]]</f>
        <v>0</v>
      </c>
    </row>
    <row r="337" spans="1:37" ht="15.75" thickBot="1" x14ac:dyDescent="0.3">
      <c r="A337" s="60">
        <f t="shared" si="9"/>
        <v>336</v>
      </c>
      <c r="B337" s="49" t="str">
        <f>_xlfn.XLOOKUP(C337,Tab_Def_Flows[Name(EN)],Tab_Def_Flows[Flow_ID],,0,)</f>
        <v>F_24_24</v>
      </c>
      <c r="C337" s="51"/>
      <c r="D337" s="49">
        <f>_xlfn.XLOOKUP(C337,Tab_Def_Flows[Name(EN)],Tab_Def_Flows[Type_Biomass],,0,)</f>
        <v>0</v>
      </c>
      <c r="E337" s="49">
        <f>_xlfn.XLOOKUP(C337,Tab_Def_Flows[Name(EN)],Tab_Def_Flows[Output_Process],,0,)</f>
        <v>0</v>
      </c>
      <c r="F337" s="49" t="str">
        <f>_xlfn.XLOOKUP(C337,Tab_Def_Flows[Name(EN)],Tab_Def_Flows[Process_ID_O],,0,)</f>
        <v>24__</v>
      </c>
      <c r="G337" s="49">
        <f>_xlfn.XLOOKUP(C337,Tab_Def_Flows[Name(EN)],Tab_Def_Flows[Input_Process],,0,)</f>
        <v>0</v>
      </c>
      <c r="H337" s="61" t="str">
        <f>_xlfn.XLOOKUP(C337,Tab_Def_Flows[Name(EN)],Tab_Def_Flows[Process_ID_I],,0,)</f>
        <v>24__</v>
      </c>
      <c r="I337" s="49">
        <f>_xlfn.XLOOKUP(C337,Tab_Def_Flows[Name(EN)],Tab_Def_Flows[Value_Source],,0,)</f>
        <v>0</v>
      </c>
      <c r="J337" s="61" t="str">
        <f>_xlfn.XLOOKUP(C337,Tab_Def_Flows[Name(EN)],Tab_Def_Flows[WC?],,0,)</f>
        <v>Yes</v>
      </c>
      <c r="K337" s="61" t="str">
        <f>_xlfn.XLOOKUP(C337,Tab_Def_Flows[Name(EN)],Tab_Def_Flows[DM?],,0,)</f>
        <v>Yes</v>
      </c>
      <c r="L337" s="61" t="str">
        <f>_xlfn.XLOOKUP(C337,Tab_Def_Flows[Name(EN)],Tab_Def_Flows[CC?],,0,)</f>
        <v>Yes</v>
      </c>
      <c r="M337" s="51"/>
      <c r="N337" s="51"/>
      <c r="O337" s="119"/>
      <c r="P337" s="51" t="s">
        <v>389</v>
      </c>
      <c r="Q337" s="51"/>
      <c r="R337" s="51"/>
      <c r="S337" s="51"/>
      <c r="T337" s="51"/>
      <c r="U337" s="51"/>
      <c r="V337" s="51"/>
      <c r="W337" s="51"/>
      <c r="X337" s="51" t="s">
        <v>71</v>
      </c>
      <c r="Y337" s="51"/>
      <c r="Z337" s="51"/>
      <c r="AA337" s="86"/>
      <c r="AB337" s="51"/>
      <c r="AC337" s="111" t="e">
        <f>INDEX(Tab_Def_Flows[[Flow_ID]:[CC_DM_source]],MATCH(Tab_Data_Flows[[#This Row],[Name(EN)]],Tab_Def_Flows[Name(EN)],0),16)</f>
        <v>#N/A</v>
      </c>
      <c r="AD337" s="112" t="e">
        <f>IF(J337="Yes",AA337*Tab_Data_Flows[[#This Row],[WC_'[%']]],"N.A.")</f>
        <v>#N/A</v>
      </c>
      <c r="AE337" s="61">
        <f>Tab_Data_Flows[[#This Row],[UoM_Flow_Py]]</f>
        <v>0</v>
      </c>
      <c r="AF337" s="111" t="e">
        <f>INDEX(Tab_Def_Flows[[Flow_ID]:[CC_DM_source]],MATCH(Tab_Data_Flows[[#This Row],[Name(EN)]],Tab_Def_Flows[Name(EN)],0),18)</f>
        <v>#N/A</v>
      </c>
      <c r="AG337" s="112" t="e">
        <f>IF(K337="Yes",AF337*Tab_Data_Flows[[#This Row],[Flow_Py]],"N.A.")</f>
        <v>#N/A</v>
      </c>
      <c r="AH337" s="61">
        <f>Tab_Data_Flows[[#This Row],[UoM_Flow_Py]]</f>
        <v>0</v>
      </c>
      <c r="AI337" s="111" t="e">
        <f>INDEX(Tab_Def_Flows[[Flow_ID]:[CC_DM_source]],MATCH(Tab_Data_Flows[[#This Row],[Name(EN)]],Tab_Def_Flows[Name(EN)],0),20)</f>
        <v>#N/A</v>
      </c>
      <c r="AJ337" s="109" t="e">
        <f>IF(L337="Yes",AI337*Tab_Data_Flows[[#This Row],[Flow_Py]]*Tab_Data_Flows[[#This Row],[DM_'[%']]],"N.A.")</f>
        <v>#N/A</v>
      </c>
      <c r="AK337" s="61">
        <f>Tab_Data_Flows[[#This Row],[UoM_Flow_Py]]</f>
        <v>0</v>
      </c>
    </row>
    <row r="338" spans="1:37" ht="15.75" thickBot="1" x14ac:dyDescent="0.3">
      <c r="A338" s="60">
        <f t="shared" si="9"/>
        <v>337</v>
      </c>
      <c r="B338" s="49" t="str">
        <f>_xlfn.XLOOKUP(C338,Tab_Def_Flows[Name(EN)],Tab_Def_Flows[Flow_ID],,0,)</f>
        <v>F_24_24</v>
      </c>
      <c r="C338" s="51"/>
      <c r="D338" s="49">
        <f>_xlfn.XLOOKUP(C338,Tab_Def_Flows[Name(EN)],Tab_Def_Flows[Type_Biomass],,0,)</f>
        <v>0</v>
      </c>
      <c r="E338" s="49">
        <f>_xlfn.XLOOKUP(C338,Tab_Def_Flows[Name(EN)],Tab_Def_Flows[Output_Process],,0,)</f>
        <v>0</v>
      </c>
      <c r="F338" s="49" t="str">
        <f>_xlfn.XLOOKUP(C338,Tab_Def_Flows[Name(EN)],Tab_Def_Flows[Process_ID_O],,0,)</f>
        <v>24__</v>
      </c>
      <c r="G338" s="49">
        <f>_xlfn.XLOOKUP(C338,Tab_Def_Flows[Name(EN)],Tab_Def_Flows[Input_Process],,0,)</f>
        <v>0</v>
      </c>
      <c r="H338" s="61" t="str">
        <f>_xlfn.XLOOKUP(C338,Tab_Def_Flows[Name(EN)],Tab_Def_Flows[Process_ID_I],,0,)</f>
        <v>24__</v>
      </c>
      <c r="I338" s="49">
        <f>_xlfn.XLOOKUP(C338,Tab_Def_Flows[Name(EN)],Tab_Def_Flows[Value_Source],,0,)</f>
        <v>0</v>
      </c>
      <c r="J338" s="61" t="str">
        <f>_xlfn.XLOOKUP(C338,Tab_Def_Flows[Name(EN)],Tab_Def_Flows[WC?],,0,)</f>
        <v>Yes</v>
      </c>
      <c r="K338" s="61" t="str">
        <f>_xlfn.XLOOKUP(C338,Tab_Def_Flows[Name(EN)],Tab_Def_Flows[DM?],,0,)</f>
        <v>Yes</v>
      </c>
      <c r="L338" s="61" t="str">
        <f>_xlfn.XLOOKUP(C338,Tab_Def_Flows[Name(EN)],Tab_Def_Flows[CC?],,0,)</f>
        <v>Yes</v>
      </c>
      <c r="M338" s="51"/>
      <c r="N338" s="51"/>
      <c r="O338" s="119"/>
      <c r="P338" s="51" t="s">
        <v>389</v>
      </c>
      <c r="Q338" s="51"/>
      <c r="R338" s="51"/>
      <c r="S338" s="51"/>
      <c r="T338" s="51"/>
      <c r="U338" s="51"/>
      <c r="V338" s="51"/>
      <c r="W338" s="51"/>
      <c r="X338" s="51" t="s">
        <v>71</v>
      </c>
      <c r="Y338" s="51"/>
      <c r="Z338" s="51"/>
      <c r="AA338" s="86"/>
      <c r="AB338" s="51"/>
      <c r="AC338" s="111" t="e">
        <f>INDEX(Tab_Def_Flows[[Flow_ID]:[CC_DM_source]],MATCH(Tab_Data_Flows[[#This Row],[Name(EN)]],Tab_Def_Flows[Name(EN)],0),16)</f>
        <v>#N/A</v>
      </c>
      <c r="AD338" s="112" t="e">
        <f>IF(J338="Yes",AA338*Tab_Data_Flows[[#This Row],[WC_'[%']]],"N.A.")</f>
        <v>#N/A</v>
      </c>
      <c r="AE338" s="61">
        <f>Tab_Data_Flows[[#This Row],[UoM_Flow_Py]]</f>
        <v>0</v>
      </c>
      <c r="AF338" s="111" t="e">
        <f>INDEX(Tab_Def_Flows[[Flow_ID]:[CC_DM_source]],MATCH(Tab_Data_Flows[[#This Row],[Name(EN)]],Tab_Def_Flows[Name(EN)],0),18)</f>
        <v>#N/A</v>
      </c>
      <c r="AG338" s="112" t="e">
        <f>IF(K338="Yes",AF338*Tab_Data_Flows[[#This Row],[Flow_Py]],"N.A.")</f>
        <v>#N/A</v>
      </c>
      <c r="AH338" s="61">
        <f>Tab_Data_Flows[[#This Row],[UoM_Flow_Py]]</f>
        <v>0</v>
      </c>
      <c r="AI338" s="111" t="e">
        <f>INDEX(Tab_Def_Flows[[Flow_ID]:[CC_DM_source]],MATCH(Tab_Data_Flows[[#This Row],[Name(EN)]],Tab_Def_Flows[Name(EN)],0),20)</f>
        <v>#N/A</v>
      </c>
      <c r="AJ338" s="109" t="e">
        <f>IF(L338="Yes",AI338*Tab_Data_Flows[[#This Row],[Flow_Py]]*Tab_Data_Flows[[#This Row],[DM_'[%']]],"N.A.")</f>
        <v>#N/A</v>
      </c>
      <c r="AK338" s="61">
        <f>Tab_Data_Flows[[#This Row],[UoM_Flow_Py]]</f>
        <v>0</v>
      </c>
    </row>
    <row r="339" spans="1:37" ht="15.75" thickBot="1" x14ac:dyDescent="0.3">
      <c r="A339" s="60">
        <f t="shared" si="9"/>
        <v>338</v>
      </c>
      <c r="B339" s="49" t="str">
        <f>_xlfn.XLOOKUP(C339,Tab_Def_Flows[Name(EN)],Tab_Def_Flows[Flow_ID],,0,)</f>
        <v>F_24_24</v>
      </c>
      <c r="C339" s="51"/>
      <c r="D339" s="49">
        <f>_xlfn.XLOOKUP(C339,Tab_Def_Flows[Name(EN)],Tab_Def_Flows[Type_Biomass],,0,)</f>
        <v>0</v>
      </c>
      <c r="E339" s="49">
        <f>_xlfn.XLOOKUP(C339,Tab_Def_Flows[Name(EN)],Tab_Def_Flows[Output_Process],,0,)</f>
        <v>0</v>
      </c>
      <c r="F339" s="49" t="str">
        <f>_xlfn.XLOOKUP(C339,Tab_Def_Flows[Name(EN)],Tab_Def_Flows[Process_ID_O],,0,)</f>
        <v>24__</v>
      </c>
      <c r="G339" s="49">
        <f>_xlfn.XLOOKUP(C339,Tab_Def_Flows[Name(EN)],Tab_Def_Flows[Input_Process],,0,)</f>
        <v>0</v>
      </c>
      <c r="H339" s="61" t="str">
        <f>_xlfn.XLOOKUP(C339,Tab_Def_Flows[Name(EN)],Tab_Def_Flows[Process_ID_I],,0,)</f>
        <v>24__</v>
      </c>
      <c r="I339" s="49">
        <f>_xlfn.XLOOKUP(C339,Tab_Def_Flows[Name(EN)],Tab_Def_Flows[Value_Source],,0,)</f>
        <v>0</v>
      </c>
      <c r="J339" s="61" t="str">
        <f>_xlfn.XLOOKUP(C339,Tab_Def_Flows[Name(EN)],Tab_Def_Flows[WC?],,0,)</f>
        <v>Yes</v>
      </c>
      <c r="K339" s="61" t="str">
        <f>_xlfn.XLOOKUP(C339,Tab_Def_Flows[Name(EN)],Tab_Def_Flows[DM?],,0,)</f>
        <v>Yes</v>
      </c>
      <c r="L339" s="61" t="str">
        <f>_xlfn.XLOOKUP(C339,Tab_Def_Flows[Name(EN)],Tab_Def_Flows[CC?],,0,)</f>
        <v>Yes</v>
      </c>
      <c r="M339" s="51"/>
      <c r="N339" s="51"/>
      <c r="O339" s="119"/>
      <c r="P339" s="51" t="s">
        <v>389</v>
      </c>
      <c r="Q339" s="51"/>
      <c r="R339" s="51"/>
      <c r="S339" s="51"/>
      <c r="T339" s="51"/>
      <c r="U339" s="51"/>
      <c r="V339" s="51"/>
      <c r="W339" s="51"/>
      <c r="X339" s="51" t="s">
        <v>71</v>
      </c>
      <c r="Y339" s="51"/>
      <c r="Z339" s="51"/>
      <c r="AA339" s="86">
        <f t="shared" ref="AA339:AA370" si="11">IF(X339="no",O339,O339*Y339)</f>
        <v>0</v>
      </c>
      <c r="AB339" s="51"/>
      <c r="AC339" s="111" t="e">
        <f>INDEX(Tab_Def_Flows[[Flow_ID]:[CC_DM_source]],MATCH(Tab_Data_Flows[[#This Row],[Name(EN)]],Tab_Def_Flows[Name(EN)],0),16)</f>
        <v>#N/A</v>
      </c>
      <c r="AD339" s="112" t="e">
        <f>IF(J339="Yes",AA339*Tab_Data_Flows[[#This Row],[WC_'[%']]],"N.A.")</f>
        <v>#N/A</v>
      </c>
      <c r="AE339" s="61">
        <f>Tab_Data_Flows[[#This Row],[UoM_Flow_Py]]</f>
        <v>0</v>
      </c>
      <c r="AF339" s="111" t="e">
        <f>INDEX(Tab_Def_Flows[[Flow_ID]:[CC_DM_source]],MATCH(Tab_Data_Flows[[#This Row],[Name(EN)]],Tab_Def_Flows[Name(EN)],0),18)</f>
        <v>#N/A</v>
      </c>
      <c r="AG339" s="112" t="e">
        <f>IF(K339="Yes",AF339*Tab_Data_Flows[[#This Row],[Flow_Py]],"N.A.")</f>
        <v>#N/A</v>
      </c>
      <c r="AH339" s="61">
        <f>Tab_Data_Flows[[#This Row],[UoM_Flow_Py]]</f>
        <v>0</v>
      </c>
      <c r="AI339" s="111" t="e">
        <f>INDEX(Tab_Def_Flows[[Flow_ID]:[CC_DM_source]],MATCH(Tab_Data_Flows[[#This Row],[Name(EN)]],Tab_Def_Flows[Name(EN)],0),20)</f>
        <v>#N/A</v>
      </c>
      <c r="AJ339" s="109" t="e">
        <f>IF(L339="Yes",AI339*Tab_Data_Flows[[#This Row],[Flow_Py]]*Tab_Data_Flows[[#This Row],[DM_'[%']]],"N.A.")</f>
        <v>#N/A</v>
      </c>
      <c r="AK339" s="61">
        <f>Tab_Data_Flows[[#This Row],[UoM_Flow_Py]]</f>
        <v>0</v>
      </c>
    </row>
    <row r="340" spans="1:37" ht="15.75" thickBot="1" x14ac:dyDescent="0.3">
      <c r="A340" s="60">
        <f t="shared" si="9"/>
        <v>339</v>
      </c>
      <c r="B340" s="49" t="str">
        <f>_xlfn.XLOOKUP(C340,Tab_Def_Flows[Name(EN)],Tab_Def_Flows[Flow_ID],,0,)</f>
        <v>F_24_24</v>
      </c>
      <c r="C340" s="51"/>
      <c r="D340" s="49">
        <f>_xlfn.XLOOKUP(C340,Tab_Def_Flows[Name(EN)],Tab_Def_Flows[Type_Biomass],,0,)</f>
        <v>0</v>
      </c>
      <c r="E340" s="49">
        <f>_xlfn.XLOOKUP(C340,Tab_Def_Flows[Name(EN)],Tab_Def_Flows[Output_Process],,0,)</f>
        <v>0</v>
      </c>
      <c r="F340" s="49" t="str">
        <f>_xlfn.XLOOKUP(C340,Tab_Def_Flows[Name(EN)],Tab_Def_Flows[Process_ID_O],,0,)</f>
        <v>24__</v>
      </c>
      <c r="G340" s="49">
        <f>_xlfn.XLOOKUP(C340,Tab_Def_Flows[Name(EN)],Tab_Def_Flows[Input_Process],,0,)</f>
        <v>0</v>
      </c>
      <c r="H340" s="61" t="str">
        <f>_xlfn.XLOOKUP(C340,Tab_Def_Flows[Name(EN)],Tab_Def_Flows[Process_ID_I],,0,)</f>
        <v>24__</v>
      </c>
      <c r="I340" s="49">
        <f>_xlfn.XLOOKUP(C340,Tab_Def_Flows[Name(EN)],Tab_Def_Flows[Value_Source],,0,)</f>
        <v>0</v>
      </c>
      <c r="J340" s="61" t="str">
        <f>_xlfn.XLOOKUP(C340,Tab_Def_Flows[Name(EN)],Tab_Def_Flows[WC?],,0,)</f>
        <v>Yes</v>
      </c>
      <c r="K340" s="61" t="str">
        <f>_xlfn.XLOOKUP(C340,Tab_Def_Flows[Name(EN)],Tab_Def_Flows[DM?],,0,)</f>
        <v>Yes</v>
      </c>
      <c r="L340" s="61" t="str">
        <f>_xlfn.XLOOKUP(C340,Tab_Def_Flows[Name(EN)],Tab_Def_Flows[CC?],,0,)</f>
        <v>Yes</v>
      </c>
      <c r="M340" s="51"/>
      <c r="N340" s="51"/>
      <c r="O340" s="119"/>
      <c r="P340" s="51" t="s">
        <v>389</v>
      </c>
      <c r="Q340" s="51"/>
      <c r="R340" s="51"/>
      <c r="S340" s="51"/>
      <c r="T340" s="51"/>
      <c r="U340" s="51"/>
      <c r="V340" s="51"/>
      <c r="W340" s="51"/>
      <c r="X340" s="51" t="s">
        <v>71</v>
      </c>
      <c r="Y340" s="51"/>
      <c r="Z340" s="51"/>
      <c r="AA340" s="86">
        <f t="shared" si="11"/>
        <v>0</v>
      </c>
      <c r="AB340" s="51"/>
      <c r="AC340" s="111" t="e">
        <f>INDEX(Tab_Def_Flows[[Flow_ID]:[CC_DM_source]],MATCH(Tab_Data_Flows[[#This Row],[Name(EN)]],Tab_Def_Flows[Name(EN)],0),16)</f>
        <v>#N/A</v>
      </c>
      <c r="AD340" s="112" t="e">
        <f>IF(J340="Yes",AA340*Tab_Data_Flows[[#This Row],[WC_'[%']]],"N.A.")</f>
        <v>#N/A</v>
      </c>
      <c r="AE340" s="61">
        <f>Tab_Data_Flows[[#This Row],[UoM_Flow_Py]]</f>
        <v>0</v>
      </c>
      <c r="AF340" s="111" t="e">
        <f>INDEX(Tab_Def_Flows[[Flow_ID]:[CC_DM_source]],MATCH(Tab_Data_Flows[[#This Row],[Name(EN)]],Tab_Def_Flows[Name(EN)],0),18)</f>
        <v>#N/A</v>
      </c>
      <c r="AG340" s="112" t="e">
        <f>IF(K340="Yes",AF340*Tab_Data_Flows[[#This Row],[Flow_Py]],"N.A.")</f>
        <v>#N/A</v>
      </c>
      <c r="AH340" s="61">
        <f>Tab_Data_Flows[[#This Row],[UoM_Flow_Py]]</f>
        <v>0</v>
      </c>
      <c r="AI340" s="111" t="e">
        <f>INDEX(Tab_Def_Flows[[Flow_ID]:[CC_DM_source]],MATCH(Tab_Data_Flows[[#This Row],[Name(EN)]],Tab_Def_Flows[Name(EN)],0),20)</f>
        <v>#N/A</v>
      </c>
      <c r="AJ340" s="109" t="e">
        <f>IF(L340="Yes",AI340*Tab_Data_Flows[[#This Row],[Flow_Py]]*Tab_Data_Flows[[#This Row],[DM_'[%']]],"N.A.")</f>
        <v>#N/A</v>
      </c>
      <c r="AK340" s="61">
        <f>Tab_Data_Flows[[#This Row],[UoM_Flow_Py]]</f>
        <v>0</v>
      </c>
    </row>
    <row r="341" spans="1:37" ht="15.75" thickBot="1" x14ac:dyDescent="0.3">
      <c r="A341" s="60">
        <f t="shared" si="9"/>
        <v>340</v>
      </c>
      <c r="B341" s="49" t="str">
        <f>_xlfn.XLOOKUP(C341,Tab_Def_Flows[Name(EN)],Tab_Def_Flows[Flow_ID],,0,)</f>
        <v>F_24_24</v>
      </c>
      <c r="C341" s="51"/>
      <c r="D341" s="49">
        <f>_xlfn.XLOOKUP(C341,Tab_Def_Flows[Name(EN)],Tab_Def_Flows[Type_Biomass],,0,)</f>
        <v>0</v>
      </c>
      <c r="E341" s="49">
        <f>_xlfn.XLOOKUP(C341,Tab_Def_Flows[Name(EN)],Tab_Def_Flows[Output_Process],,0,)</f>
        <v>0</v>
      </c>
      <c r="F341" s="49" t="str">
        <f>_xlfn.XLOOKUP(C341,Tab_Def_Flows[Name(EN)],Tab_Def_Flows[Process_ID_O],,0,)</f>
        <v>24__</v>
      </c>
      <c r="G341" s="49">
        <f>_xlfn.XLOOKUP(C341,Tab_Def_Flows[Name(EN)],Tab_Def_Flows[Input_Process],,0,)</f>
        <v>0</v>
      </c>
      <c r="H341" s="61" t="str">
        <f>_xlfn.XLOOKUP(C341,Tab_Def_Flows[Name(EN)],Tab_Def_Flows[Process_ID_I],,0,)</f>
        <v>24__</v>
      </c>
      <c r="I341" s="49">
        <f>_xlfn.XLOOKUP(C341,Tab_Def_Flows[Name(EN)],Tab_Def_Flows[Value_Source],,0,)</f>
        <v>0</v>
      </c>
      <c r="J341" s="61" t="str">
        <f>_xlfn.XLOOKUP(C341,Tab_Def_Flows[Name(EN)],Tab_Def_Flows[WC?],,0,)</f>
        <v>Yes</v>
      </c>
      <c r="K341" s="61" t="str">
        <f>_xlfn.XLOOKUP(C341,Tab_Def_Flows[Name(EN)],Tab_Def_Flows[DM?],,0,)</f>
        <v>Yes</v>
      </c>
      <c r="L341" s="61" t="str">
        <f>_xlfn.XLOOKUP(C341,Tab_Def_Flows[Name(EN)],Tab_Def_Flows[CC?],,0,)</f>
        <v>Yes</v>
      </c>
      <c r="M341" s="51"/>
      <c r="N341" s="51"/>
      <c r="O341" s="119"/>
      <c r="P341" s="51" t="s">
        <v>389</v>
      </c>
      <c r="Q341" s="51"/>
      <c r="R341" s="51"/>
      <c r="S341" s="51"/>
      <c r="T341" s="51"/>
      <c r="U341" s="51"/>
      <c r="V341" s="51"/>
      <c r="W341" s="51"/>
      <c r="X341" s="51" t="s">
        <v>71</v>
      </c>
      <c r="Y341" s="51"/>
      <c r="Z341" s="51"/>
      <c r="AA341" s="86">
        <f t="shared" si="11"/>
        <v>0</v>
      </c>
      <c r="AB341" s="51"/>
      <c r="AC341" s="111" t="e">
        <f>INDEX(Tab_Def_Flows[[Flow_ID]:[CC_DM_source]],MATCH(Tab_Data_Flows[[#This Row],[Name(EN)]],Tab_Def_Flows[Name(EN)],0),16)</f>
        <v>#N/A</v>
      </c>
      <c r="AD341" s="112" t="e">
        <f>IF(J341="Yes",AA341*Tab_Data_Flows[[#This Row],[WC_'[%']]],"N.A.")</f>
        <v>#N/A</v>
      </c>
      <c r="AE341" s="61">
        <f>Tab_Data_Flows[[#This Row],[UoM_Flow_Py]]</f>
        <v>0</v>
      </c>
      <c r="AF341" s="111" t="e">
        <f>INDEX(Tab_Def_Flows[[Flow_ID]:[CC_DM_source]],MATCH(Tab_Data_Flows[[#This Row],[Name(EN)]],Tab_Def_Flows[Name(EN)],0),18)</f>
        <v>#N/A</v>
      </c>
      <c r="AG341" s="112" t="e">
        <f>IF(K341="Yes",AF341*Tab_Data_Flows[[#This Row],[Flow_Py]],"N.A.")</f>
        <v>#N/A</v>
      </c>
      <c r="AH341" s="61">
        <f>Tab_Data_Flows[[#This Row],[UoM_Flow_Py]]</f>
        <v>0</v>
      </c>
      <c r="AI341" s="111" t="e">
        <f>INDEX(Tab_Def_Flows[[Flow_ID]:[CC_DM_source]],MATCH(Tab_Data_Flows[[#This Row],[Name(EN)]],Tab_Def_Flows[Name(EN)],0),20)</f>
        <v>#N/A</v>
      </c>
      <c r="AJ341" s="109" t="e">
        <f>IF(L341="Yes",AI341*Tab_Data_Flows[[#This Row],[Flow_Py]]*Tab_Data_Flows[[#This Row],[DM_'[%']]],"N.A.")</f>
        <v>#N/A</v>
      </c>
      <c r="AK341" s="61">
        <f>Tab_Data_Flows[[#This Row],[UoM_Flow_Py]]</f>
        <v>0</v>
      </c>
    </row>
    <row r="342" spans="1:37" ht="15.75" thickBot="1" x14ac:dyDescent="0.3">
      <c r="A342" s="60">
        <f t="shared" si="9"/>
        <v>341</v>
      </c>
      <c r="B342" s="49" t="str">
        <f>_xlfn.XLOOKUP(C342,Tab_Def_Flows[Name(EN)],Tab_Def_Flows[Flow_ID],,0,)</f>
        <v>F_24_24</v>
      </c>
      <c r="C342" s="51"/>
      <c r="D342" s="49">
        <f>_xlfn.XLOOKUP(C342,Tab_Def_Flows[Name(EN)],Tab_Def_Flows[Type_Biomass],,0,)</f>
        <v>0</v>
      </c>
      <c r="E342" s="49">
        <f>_xlfn.XLOOKUP(C342,Tab_Def_Flows[Name(EN)],Tab_Def_Flows[Output_Process],,0,)</f>
        <v>0</v>
      </c>
      <c r="F342" s="49" t="str">
        <f>_xlfn.XLOOKUP(C342,Tab_Def_Flows[Name(EN)],Tab_Def_Flows[Process_ID_O],,0,)</f>
        <v>24__</v>
      </c>
      <c r="G342" s="49">
        <f>_xlfn.XLOOKUP(C342,Tab_Def_Flows[Name(EN)],Tab_Def_Flows[Input_Process],,0,)</f>
        <v>0</v>
      </c>
      <c r="H342" s="61" t="str">
        <f>_xlfn.XLOOKUP(C342,Tab_Def_Flows[Name(EN)],Tab_Def_Flows[Process_ID_I],,0,)</f>
        <v>24__</v>
      </c>
      <c r="I342" s="49">
        <f>_xlfn.XLOOKUP(C342,Tab_Def_Flows[Name(EN)],Tab_Def_Flows[Value_Source],,0,)</f>
        <v>0</v>
      </c>
      <c r="J342" s="61" t="str">
        <f>_xlfn.XLOOKUP(C342,Tab_Def_Flows[Name(EN)],Tab_Def_Flows[WC?],,0,)</f>
        <v>Yes</v>
      </c>
      <c r="K342" s="61" t="str">
        <f>_xlfn.XLOOKUP(C342,Tab_Def_Flows[Name(EN)],Tab_Def_Flows[DM?],,0,)</f>
        <v>Yes</v>
      </c>
      <c r="L342" s="61" t="str">
        <f>_xlfn.XLOOKUP(C342,Tab_Def_Flows[Name(EN)],Tab_Def_Flows[CC?],,0,)</f>
        <v>Yes</v>
      </c>
      <c r="M342" s="51"/>
      <c r="N342" s="51"/>
      <c r="O342" s="119"/>
      <c r="P342" s="51" t="s">
        <v>389</v>
      </c>
      <c r="Q342" s="51"/>
      <c r="R342" s="51"/>
      <c r="S342" s="51"/>
      <c r="T342" s="51"/>
      <c r="U342" s="51"/>
      <c r="V342" s="51"/>
      <c r="W342" s="51"/>
      <c r="X342" s="51" t="s">
        <v>71</v>
      </c>
      <c r="Y342" s="51"/>
      <c r="Z342" s="51"/>
      <c r="AA342" s="86">
        <f t="shared" si="11"/>
        <v>0</v>
      </c>
      <c r="AB342" s="51"/>
      <c r="AC342" s="111" t="e">
        <f>INDEX(Tab_Def_Flows[[Flow_ID]:[CC_DM_source]],MATCH(Tab_Data_Flows[[#This Row],[Name(EN)]],Tab_Def_Flows[Name(EN)],0),16)</f>
        <v>#N/A</v>
      </c>
      <c r="AD342" s="112" t="e">
        <f>IF(J342="Yes",AA342*Tab_Data_Flows[[#This Row],[WC_'[%']]],"N.A.")</f>
        <v>#N/A</v>
      </c>
      <c r="AE342" s="61">
        <f>Tab_Data_Flows[[#This Row],[UoM_Flow_Py]]</f>
        <v>0</v>
      </c>
      <c r="AF342" s="111" t="e">
        <f>INDEX(Tab_Def_Flows[[Flow_ID]:[CC_DM_source]],MATCH(Tab_Data_Flows[[#This Row],[Name(EN)]],Tab_Def_Flows[Name(EN)],0),18)</f>
        <v>#N/A</v>
      </c>
      <c r="AG342" s="112" t="e">
        <f>IF(K342="Yes",AF342*Tab_Data_Flows[[#This Row],[Flow_Py]],"N.A.")</f>
        <v>#N/A</v>
      </c>
      <c r="AH342" s="61">
        <f>Tab_Data_Flows[[#This Row],[UoM_Flow_Py]]</f>
        <v>0</v>
      </c>
      <c r="AI342" s="111" t="e">
        <f>INDEX(Tab_Def_Flows[[Flow_ID]:[CC_DM_source]],MATCH(Tab_Data_Flows[[#This Row],[Name(EN)]],Tab_Def_Flows[Name(EN)],0),20)</f>
        <v>#N/A</v>
      </c>
      <c r="AJ342" s="109" t="e">
        <f>IF(L342="Yes",AI342*Tab_Data_Flows[[#This Row],[Flow_Py]]*Tab_Data_Flows[[#This Row],[DM_'[%']]],"N.A.")</f>
        <v>#N/A</v>
      </c>
      <c r="AK342" s="61">
        <f>Tab_Data_Flows[[#This Row],[UoM_Flow_Py]]</f>
        <v>0</v>
      </c>
    </row>
    <row r="343" spans="1:37" ht="15.75" thickBot="1" x14ac:dyDescent="0.3">
      <c r="A343" s="60">
        <f t="shared" si="9"/>
        <v>342</v>
      </c>
      <c r="B343" s="49" t="str">
        <f>_xlfn.XLOOKUP(C343,Tab_Def_Flows[Name(EN)],Tab_Def_Flows[Flow_ID],,0,)</f>
        <v>F_24_24</v>
      </c>
      <c r="C343" s="51"/>
      <c r="D343" s="49">
        <f>_xlfn.XLOOKUP(C343,Tab_Def_Flows[Name(EN)],Tab_Def_Flows[Type_Biomass],,0,)</f>
        <v>0</v>
      </c>
      <c r="E343" s="49">
        <f>_xlfn.XLOOKUP(C343,Tab_Def_Flows[Name(EN)],Tab_Def_Flows[Output_Process],,0,)</f>
        <v>0</v>
      </c>
      <c r="F343" s="49" t="str">
        <f>_xlfn.XLOOKUP(C343,Tab_Def_Flows[Name(EN)],Tab_Def_Flows[Process_ID_O],,0,)</f>
        <v>24__</v>
      </c>
      <c r="G343" s="49">
        <f>_xlfn.XLOOKUP(C343,Tab_Def_Flows[Name(EN)],Tab_Def_Flows[Input_Process],,0,)</f>
        <v>0</v>
      </c>
      <c r="H343" s="61" t="str">
        <f>_xlfn.XLOOKUP(C343,Tab_Def_Flows[Name(EN)],Tab_Def_Flows[Process_ID_I],,0,)</f>
        <v>24__</v>
      </c>
      <c r="I343" s="49">
        <f>_xlfn.XLOOKUP(C343,Tab_Def_Flows[Name(EN)],Tab_Def_Flows[Value_Source],,0,)</f>
        <v>0</v>
      </c>
      <c r="J343" s="61" t="str">
        <f>_xlfn.XLOOKUP(C343,Tab_Def_Flows[Name(EN)],Tab_Def_Flows[WC?],,0,)</f>
        <v>Yes</v>
      </c>
      <c r="K343" s="61" t="str">
        <f>_xlfn.XLOOKUP(C343,Tab_Def_Flows[Name(EN)],Tab_Def_Flows[DM?],,0,)</f>
        <v>Yes</v>
      </c>
      <c r="L343" s="61" t="str">
        <f>_xlfn.XLOOKUP(C343,Tab_Def_Flows[Name(EN)],Tab_Def_Flows[CC?],,0,)</f>
        <v>Yes</v>
      </c>
      <c r="M343" s="51"/>
      <c r="N343" s="51"/>
      <c r="O343" s="119"/>
      <c r="P343" s="51" t="s">
        <v>389</v>
      </c>
      <c r="Q343" s="51"/>
      <c r="R343" s="51"/>
      <c r="S343" s="51"/>
      <c r="T343" s="51"/>
      <c r="U343" s="51"/>
      <c r="V343" s="51"/>
      <c r="W343" s="51"/>
      <c r="X343" s="51" t="s">
        <v>71</v>
      </c>
      <c r="Y343" s="51"/>
      <c r="Z343" s="51"/>
      <c r="AA343" s="86">
        <f t="shared" si="11"/>
        <v>0</v>
      </c>
      <c r="AB343" s="51"/>
      <c r="AC343" s="111" t="e">
        <f>INDEX(Tab_Def_Flows[[Flow_ID]:[CC_DM_source]],MATCH(Tab_Data_Flows[[#This Row],[Name(EN)]],Tab_Def_Flows[Name(EN)],0),16)</f>
        <v>#N/A</v>
      </c>
      <c r="AD343" s="112" t="e">
        <f>IF(J343="Yes",AA343*Tab_Data_Flows[[#This Row],[WC_'[%']]],"N.A.")</f>
        <v>#N/A</v>
      </c>
      <c r="AE343" s="61">
        <f>Tab_Data_Flows[[#This Row],[UoM_Flow_Py]]</f>
        <v>0</v>
      </c>
      <c r="AF343" s="111" t="e">
        <f>INDEX(Tab_Def_Flows[[Flow_ID]:[CC_DM_source]],MATCH(Tab_Data_Flows[[#This Row],[Name(EN)]],Tab_Def_Flows[Name(EN)],0),18)</f>
        <v>#N/A</v>
      </c>
      <c r="AG343" s="112" t="e">
        <f>IF(K343="Yes",AF343*Tab_Data_Flows[[#This Row],[Flow_Py]],"N.A.")</f>
        <v>#N/A</v>
      </c>
      <c r="AH343" s="61">
        <f>Tab_Data_Flows[[#This Row],[UoM_Flow_Py]]</f>
        <v>0</v>
      </c>
      <c r="AI343" s="111" t="e">
        <f>INDEX(Tab_Def_Flows[[Flow_ID]:[CC_DM_source]],MATCH(Tab_Data_Flows[[#This Row],[Name(EN)]],Tab_Def_Flows[Name(EN)],0),20)</f>
        <v>#N/A</v>
      </c>
      <c r="AJ343" s="109" t="e">
        <f>IF(L343="Yes",AI343*Tab_Data_Flows[[#This Row],[Flow_Py]]*Tab_Data_Flows[[#This Row],[DM_'[%']]],"N.A.")</f>
        <v>#N/A</v>
      </c>
      <c r="AK343" s="61">
        <f>Tab_Data_Flows[[#This Row],[UoM_Flow_Py]]</f>
        <v>0</v>
      </c>
    </row>
    <row r="344" spans="1:37" ht="15.75" thickBot="1" x14ac:dyDescent="0.3">
      <c r="A344" s="60">
        <f t="shared" si="9"/>
        <v>343</v>
      </c>
      <c r="B344" s="49" t="str">
        <f>_xlfn.XLOOKUP(C344,Tab_Def_Flows[Name(EN)],Tab_Def_Flows[Flow_ID],,0,)</f>
        <v>F_24_24</v>
      </c>
      <c r="C344" s="51"/>
      <c r="D344" s="49">
        <f>_xlfn.XLOOKUP(C344,Tab_Def_Flows[Name(EN)],Tab_Def_Flows[Type_Biomass],,0,)</f>
        <v>0</v>
      </c>
      <c r="E344" s="49">
        <f>_xlfn.XLOOKUP(C344,Tab_Def_Flows[Name(EN)],Tab_Def_Flows[Output_Process],,0,)</f>
        <v>0</v>
      </c>
      <c r="F344" s="49" t="str">
        <f>_xlfn.XLOOKUP(C344,Tab_Def_Flows[Name(EN)],Tab_Def_Flows[Process_ID_O],,0,)</f>
        <v>24__</v>
      </c>
      <c r="G344" s="49">
        <f>_xlfn.XLOOKUP(C344,Tab_Def_Flows[Name(EN)],Tab_Def_Flows[Input_Process],,0,)</f>
        <v>0</v>
      </c>
      <c r="H344" s="61" t="str">
        <f>_xlfn.XLOOKUP(C344,Tab_Def_Flows[Name(EN)],Tab_Def_Flows[Process_ID_I],,0,)</f>
        <v>24__</v>
      </c>
      <c r="I344" s="49">
        <f>_xlfn.XLOOKUP(C344,Tab_Def_Flows[Name(EN)],Tab_Def_Flows[Value_Source],,0,)</f>
        <v>0</v>
      </c>
      <c r="J344" s="61" t="str">
        <f>_xlfn.XLOOKUP(C344,Tab_Def_Flows[Name(EN)],Tab_Def_Flows[WC?],,0,)</f>
        <v>Yes</v>
      </c>
      <c r="K344" s="61" t="str">
        <f>_xlfn.XLOOKUP(C344,Tab_Def_Flows[Name(EN)],Tab_Def_Flows[DM?],,0,)</f>
        <v>Yes</v>
      </c>
      <c r="L344" s="61" t="str">
        <f>_xlfn.XLOOKUP(C344,Tab_Def_Flows[Name(EN)],Tab_Def_Flows[CC?],,0,)</f>
        <v>Yes</v>
      </c>
      <c r="M344" s="51"/>
      <c r="N344" s="51"/>
      <c r="O344" s="119"/>
      <c r="P344" s="51" t="s">
        <v>389</v>
      </c>
      <c r="Q344" s="51"/>
      <c r="R344" s="51"/>
      <c r="S344" s="51"/>
      <c r="T344" s="51"/>
      <c r="U344" s="51"/>
      <c r="V344" s="51"/>
      <c r="W344" s="51"/>
      <c r="X344" s="51" t="s">
        <v>71</v>
      </c>
      <c r="Y344" s="51"/>
      <c r="Z344" s="51"/>
      <c r="AA344" s="86">
        <f t="shared" si="11"/>
        <v>0</v>
      </c>
      <c r="AB344" s="51"/>
      <c r="AC344" s="111" t="e">
        <f>INDEX(Tab_Def_Flows[[Flow_ID]:[CC_DM_source]],MATCH(Tab_Data_Flows[[#This Row],[Name(EN)]],Tab_Def_Flows[Name(EN)],0),16)</f>
        <v>#N/A</v>
      </c>
      <c r="AD344" s="112" t="e">
        <f>IF(J344="Yes",AA344*Tab_Data_Flows[[#This Row],[WC_'[%']]],"N.A.")</f>
        <v>#N/A</v>
      </c>
      <c r="AE344" s="61">
        <f>Tab_Data_Flows[[#This Row],[UoM_Flow_Py]]</f>
        <v>0</v>
      </c>
      <c r="AF344" s="111" t="e">
        <f>INDEX(Tab_Def_Flows[[Flow_ID]:[CC_DM_source]],MATCH(Tab_Data_Flows[[#This Row],[Name(EN)]],Tab_Def_Flows[Name(EN)],0),18)</f>
        <v>#N/A</v>
      </c>
      <c r="AG344" s="112" t="e">
        <f>IF(K344="Yes",AF344*Tab_Data_Flows[[#This Row],[Flow_Py]],"N.A.")</f>
        <v>#N/A</v>
      </c>
      <c r="AH344" s="61">
        <f>Tab_Data_Flows[[#This Row],[UoM_Flow_Py]]</f>
        <v>0</v>
      </c>
      <c r="AI344" s="111" t="e">
        <f>INDEX(Tab_Def_Flows[[Flow_ID]:[CC_DM_source]],MATCH(Tab_Data_Flows[[#This Row],[Name(EN)]],Tab_Def_Flows[Name(EN)],0),20)</f>
        <v>#N/A</v>
      </c>
      <c r="AJ344" s="109" t="e">
        <f>IF(L344="Yes",AI344*Tab_Data_Flows[[#This Row],[Flow_Py]]*Tab_Data_Flows[[#This Row],[DM_'[%']]],"N.A.")</f>
        <v>#N/A</v>
      </c>
      <c r="AK344" s="61">
        <f>Tab_Data_Flows[[#This Row],[UoM_Flow_Py]]</f>
        <v>0</v>
      </c>
    </row>
    <row r="345" spans="1:37" ht="15.75" thickBot="1" x14ac:dyDescent="0.3">
      <c r="A345" s="60">
        <f t="shared" si="9"/>
        <v>344</v>
      </c>
      <c r="B345" s="49" t="str">
        <f>_xlfn.XLOOKUP(C345,Tab_Def_Flows[Name(EN)],Tab_Def_Flows[Flow_ID],,0,)</f>
        <v>F_24_24</v>
      </c>
      <c r="C345" s="51"/>
      <c r="D345" s="49">
        <f>_xlfn.XLOOKUP(C345,Tab_Def_Flows[Name(EN)],Tab_Def_Flows[Type_Biomass],,0,)</f>
        <v>0</v>
      </c>
      <c r="E345" s="49">
        <f>_xlfn.XLOOKUP(C345,Tab_Def_Flows[Name(EN)],Tab_Def_Flows[Output_Process],,0,)</f>
        <v>0</v>
      </c>
      <c r="F345" s="49" t="str">
        <f>_xlfn.XLOOKUP(C345,Tab_Def_Flows[Name(EN)],Tab_Def_Flows[Process_ID_O],,0,)</f>
        <v>24__</v>
      </c>
      <c r="G345" s="49">
        <f>_xlfn.XLOOKUP(C345,Tab_Def_Flows[Name(EN)],Tab_Def_Flows[Input_Process],,0,)</f>
        <v>0</v>
      </c>
      <c r="H345" s="61" t="str">
        <f>_xlfn.XLOOKUP(C345,Tab_Def_Flows[Name(EN)],Tab_Def_Flows[Process_ID_I],,0,)</f>
        <v>24__</v>
      </c>
      <c r="I345" s="49">
        <f>_xlfn.XLOOKUP(C345,Tab_Def_Flows[Name(EN)],Tab_Def_Flows[Value_Source],,0,)</f>
        <v>0</v>
      </c>
      <c r="J345" s="61" t="str">
        <f>_xlfn.XLOOKUP(C345,Tab_Def_Flows[Name(EN)],Tab_Def_Flows[WC?],,0,)</f>
        <v>Yes</v>
      </c>
      <c r="K345" s="61" t="str">
        <f>_xlfn.XLOOKUP(C345,Tab_Def_Flows[Name(EN)],Tab_Def_Flows[DM?],,0,)</f>
        <v>Yes</v>
      </c>
      <c r="L345" s="61" t="str">
        <f>_xlfn.XLOOKUP(C345,Tab_Def_Flows[Name(EN)],Tab_Def_Flows[CC?],,0,)</f>
        <v>Yes</v>
      </c>
      <c r="M345" s="51"/>
      <c r="N345" s="51"/>
      <c r="O345" s="119"/>
      <c r="P345" s="51" t="s">
        <v>389</v>
      </c>
      <c r="Q345" s="51"/>
      <c r="R345" s="51"/>
      <c r="S345" s="51"/>
      <c r="T345" s="51"/>
      <c r="U345" s="51"/>
      <c r="V345" s="51"/>
      <c r="W345" s="51"/>
      <c r="X345" s="51" t="s">
        <v>71</v>
      </c>
      <c r="Y345" s="51"/>
      <c r="Z345" s="51"/>
      <c r="AA345" s="86">
        <f t="shared" si="11"/>
        <v>0</v>
      </c>
      <c r="AB345" s="51"/>
      <c r="AC345" s="111" t="e">
        <f>INDEX(Tab_Def_Flows[[Flow_ID]:[CC_DM_source]],MATCH(Tab_Data_Flows[[#This Row],[Name(EN)]],Tab_Def_Flows[Name(EN)],0),16)</f>
        <v>#N/A</v>
      </c>
      <c r="AD345" s="112" t="e">
        <f>IF(J345="Yes",AA345*Tab_Data_Flows[[#This Row],[WC_'[%']]],"N.A.")</f>
        <v>#N/A</v>
      </c>
      <c r="AE345" s="61">
        <f>Tab_Data_Flows[[#This Row],[UoM_Flow_Py]]</f>
        <v>0</v>
      </c>
      <c r="AF345" s="111" t="e">
        <f>INDEX(Tab_Def_Flows[[Flow_ID]:[CC_DM_source]],MATCH(Tab_Data_Flows[[#This Row],[Name(EN)]],Tab_Def_Flows[Name(EN)],0),18)</f>
        <v>#N/A</v>
      </c>
      <c r="AG345" s="112" t="e">
        <f>IF(K345="Yes",AF345*Tab_Data_Flows[[#This Row],[Flow_Py]],"N.A.")</f>
        <v>#N/A</v>
      </c>
      <c r="AH345" s="61">
        <f>Tab_Data_Flows[[#This Row],[UoM_Flow_Py]]</f>
        <v>0</v>
      </c>
      <c r="AI345" s="111" t="e">
        <f>INDEX(Tab_Def_Flows[[Flow_ID]:[CC_DM_source]],MATCH(Tab_Data_Flows[[#This Row],[Name(EN)]],Tab_Def_Flows[Name(EN)],0),20)</f>
        <v>#N/A</v>
      </c>
      <c r="AJ345" s="109" t="e">
        <f>IF(L345="Yes",AI345*Tab_Data_Flows[[#This Row],[Flow_Py]]*Tab_Data_Flows[[#This Row],[DM_'[%']]],"N.A.")</f>
        <v>#N/A</v>
      </c>
      <c r="AK345" s="61">
        <f>Tab_Data_Flows[[#This Row],[UoM_Flow_Py]]</f>
        <v>0</v>
      </c>
    </row>
    <row r="346" spans="1:37" ht="15.75" thickBot="1" x14ac:dyDescent="0.3">
      <c r="A346" s="60">
        <f t="shared" si="9"/>
        <v>345</v>
      </c>
      <c r="B346" s="49" t="str">
        <f>_xlfn.XLOOKUP(C346,Tab_Def_Flows[Name(EN)],Tab_Def_Flows[Flow_ID],,0,)</f>
        <v>F_24_24</v>
      </c>
      <c r="C346" s="51"/>
      <c r="D346" s="49">
        <f>_xlfn.XLOOKUP(C346,Tab_Def_Flows[Name(EN)],Tab_Def_Flows[Type_Biomass],,0,)</f>
        <v>0</v>
      </c>
      <c r="E346" s="49">
        <f>_xlfn.XLOOKUP(C346,Tab_Def_Flows[Name(EN)],Tab_Def_Flows[Output_Process],,0,)</f>
        <v>0</v>
      </c>
      <c r="F346" s="49" t="str">
        <f>_xlfn.XLOOKUP(C346,Tab_Def_Flows[Name(EN)],Tab_Def_Flows[Process_ID_O],,0,)</f>
        <v>24__</v>
      </c>
      <c r="G346" s="49">
        <f>_xlfn.XLOOKUP(C346,Tab_Def_Flows[Name(EN)],Tab_Def_Flows[Input_Process],,0,)</f>
        <v>0</v>
      </c>
      <c r="H346" s="61" t="str">
        <f>_xlfn.XLOOKUP(C346,Tab_Def_Flows[Name(EN)],Tab_Def_Flows[Process_ID_I],,0,)</f>
        <v>24__</v>
      </c>
      <c r="I346" s="49">
        <f>_xlfn.XLOOKUP(C346,Tab_Def_Flows[Name(EN)],Tab_Def_Flows[Value_Source],,0,)</f>
        <v>0</v>
      </c>
      <c r="J346" s="61" t="str">
        <f>_xlfn.XLOOKUP(C346,Tab_Def_Flows[Name(EN)],Tab_Def_Flows[WC?],,0,)</f>
        <v>Yes</v>
      </c>
      <c r="K346" s="61" t="str">
        <f>_xlfn.XLOOKUP(C346,Tab_Def_Flows[Name(EN)],Tab_Def_Flows[DM?],,0,)</f>
        <v>Yes</v>
      </c>
      <c r="L346" s="61" t="str">
        <f>_xlfn.XLOOKUP(C346,Tab_Def_Flows[Name(EN)],Tab_Def_Flows[CC?],,0,)</f>
        <v>Yes</v>
      </c>
      <c r="M346" s="51"/>
      <c r="N346" s="51"/>
      <c r="O346" s="119"/>
      <c r="P346" s="51" t="s">
        <v>389</v>
      </c>
      <c r="Q346" s="51"/>
      <c r="R346" s="51"/>
      <c r="S346" s="51"/>
      <c r="T346" s="51"/>
      <c r="U346" s="51"/>
      <c r="V346" s="51"/>
      <c r="W346" s="51"/>
      <c r="X346" s="51" t="s">
        <v>71</v>
      </c>
      <c r="Y346" s="51"/>
      <c r="Z346" s="51"/>
      <c r="AA346" s="86">
        <f t="shared" si="11"/>
        <v>0</v>
      </c>
      <c r="AB346" s="51"/>
      <c r="AC346" s="111" t="e">
        <f>INDEX(Tab_Def_Flows[[Flow_ID]:[CC_DM_source]],MATCH(Tab_Data_Flows[[#This Row],[Name(EN)]],Tab_Def_Flows[Name(EN)],0),16)</f>
        <v>#N/A</v>
      </c>
      <c r="AD346" s="112" t="e">
        <f>IF(J346="Yes",AA346*Tab_Data_Flows[[#This Row],[WC_'[%']]],"N.A.")</f>
        <v>#N/A</v>
      </c>
      <c r="AE346" s="61">
        <f>Tab_Data_Flows[[#This Row],[UoM_Flow_Py]]</f>
        <v>0</v>
      </c>
      <c r="AF346" s="111" t="e">
        <f>INDEX(Tab_Def_Flows[[Flow_ID]:[CC_DM_source]],MATCH(Tab_Data_Flows[[#This Row],[Name(EN)]],Tab_Def_Flows[Name(EN)],0),18)</f>
        <v>#N/A</v>
      </c>
      <c r="AG346" s="112" t="e">
        <f>IF(K346="Yes",AF346*Tab_Data_Flows[[#This Row],[Flow_Py]],"N.A.")</f>
        <v>#N/A</v>
      </c>
      <c r="AH346" s="61">
        <f>Tab_Data_Flows[[#This Row],[UoM_Flow_Py]]</f>
        <v>0</v>
      </c>
      <c r="AI346" s="111" t="e">
        <f>INDEX(Tab_Def_Flows[[Flow_ID]:[CC_DM_source]],MATCH(Tab_Data_Flows[[#This Row],[Name(EN)]],Tab_Def_Flows[Name(EN)],0),20)</f>
        <v>#N/A</v>
      </c>
      <c r="AJ346" s="109" t="e">
        <f>IF(L346="Yes",AI346*Tab_Data_Flows[[#This Row],[Flow_Py]]*Tab_Data_Flows[[#This Row],[DM_'[%']]],"N.A.")</f>
        <v>#N/A</v>
      </c>
      <c r="AK346" s="61">
        <f>Tab_Data_Flows[[#This Row],[UoM_Flow_Py]]</f>
        <v>0</v>
      </c>
    </row>
    <row r="347" spans="1:37" ht="15.75" thickBot="1" x14ac:dyDescent="0.3">
      <c r="A347" s="60">
        <f t="shared" si="9"/>
        <v>346</v>
      </c>
      <c r="B347" s="49" t="str">
        <f>_xlfn.XLOOKUP(C347,Tab_Def_Flows[Name(EN)],Tab_Def_Flows[Flow_ID],,0,)</f>
        <v>F_24_24</v>
      </c>
      <c r="C347" s="51"/>
      <c r="D347" s="49">
        <f>_xlfn.XLOOKUP(C347,Tab_Def_Flows[Name(EN)],Tab_Def_Flows[Type_Biomass],,0,)</f>
        <v>0</v>
      </c>
      <c r="E347" s="49">
        <f>_xlfn.XLOOKUP(C347,Tab_Def_Flows[Name(EN)],Tab_Def_Flows[Output_Process],,0,)</f>
        <v>0</v>
      </c>
      <c r="F347" s="49" t="str">
        <f>_xlfn.XLOOKUP(C347,Tab_Def_Flows[Name(EN)],Tab_Def_Flows[Process_ID_O],,0,)</f>
        <v>24__</v>
      </c>
      <c r="G347" s="49">
        <f>_xlfn.XLOOKUP(C347,Tab_Def_Flows[Name(EN)],Tab_Def_Flows[Input_Process],,0,)</f>
        <v>0</v>
      </c>
      <c r="H347" s="61" t="str">
        <f>_xlfn.XLOOKUP(C347,Tab_Def_Flows[Name(EN)],Tab_Def_Flows[Process_ID_I],,0,)</f>
        <v>24__</v>
      </c>
      <c r="I347" s="49">
        <f>_xlfn.XLOOKUP(C347,Tab_Def_Flows[Name(EN)],Tab_Def_Flows[Value_Source],,0,)</f>
        <v>0</v>
      </c>
      <c r="J347" s="61" t="str">
        <f>_xlfn.XLOOKUP(C347,Tab_Def_Flows[Name(EN)],Tab_Def_Flows[WC?],,0,)</f>
        <v>Yes</v>
      </c>
      <c r="K347" s="61" t="str">
        <f>_xlfn.XLOOKUP(C347,Tab_Def_Flows[Name(EN)],Tab_Def_Flows[DM?],,0,)</f>
        <v>Yes</v>
      </c>
      <c r="L347" s="61" t="str">
        <f>_xlfn.XLOOKUP(C347,Tab_Def_Flows[Name(EN)],Tab_Def_Flows[CC?],,0,)</f>
        <v>Yes</v>
      </c>
      <c r="M347" s="51"/>
      <c r="N347" s="51"/>
      <c r="O347" s="119"/>
      <c r="P347" s="51" t="s">
        <v>389</v>
      </c>
      <c r="Q347" s="51"/>
      <c r="R347" s="51"/>
      <c r="S347" s="51"/>
      <c r="T347" s="51"/>
      <c r="U347" s="51"/>
      <c r="V347" s="51"/>
      <c r="W347" s="51"/>
      <c r="X347" s="51" t="s">
        <v>71</v>
      </c>
      <c r="Y347" s="51"/>
      <c r="Z347" s="51"/>
      <c r="AA347" s="86">
        <f t="shared" si="11"/>
        <v>0</v>
      </c>
      <c r="AB347" s="51"/>
      <c r="AC347" s="111" t="e">
        <f>INDEX(Tab_Def_Flows[[Flow_ID]:[CC_DM_source]],MATCH(Tab_Data_Flows[[#This Row],[Name(EN)]],Tab_Def_Flows[Name(EN)],0),16)</f>
        <v>#N/A</v>
      </c>
      <c r="AD347" s="112" t="e">
        <f>IF(J347="Yes",AA347*Tab_Data_Flows[[#This Row],[WC_'[%']]],"N.A.")</f>
        <v>#N/A</v>
      </c>
      <c r="AE347" s="61">
        <f>Tab_Data_Flows[[#This Row],[UoM_Flow_Py]]</f>
        <v>0</v>
      </c>
      <c r="AF347" s="111" t="e">
        <f>INDEX(Tab_Def_Flows[[Flow_ID]:[CC_DM_source]],MATCH(Tab_Data_Flows[[#This Row],[Name(EN)]],Tab_Def_Flows[Name(EN)],0),18)</f>
        <v>#N/A</v>
      </c>
      <c r="AG347" s="112" t="e">
        <f>IF(K347="Yes",AF347*Tab_Data_Flows[[#This Row],[Flow_Py]],"N.A.")</f>
        <v>#N/A</v>
      </c>
      <c r="AH347" s="61">
        <f>Tab_Data_Flows[[#This Row],[UoM_Flow_Py]]</f>
        <v>0</v>
      </c>
      <c r="AI347" s="111" t="e">
        <f>INDEX(Tab_Def_Flows[[Flow_ID]:[CC_DM_source]],MATCH(Tab_Data_Flows[[#This Row],[Name(EN)]],Tab_Def_Flows[Name(EN)],0),20)</f>
        <v>#N/A</v>
      </c>
      <c r="AJ347" s="109" t="e">
        <f>IF(L347="Yes",AI347*Tab_Data_Flows[[#This Row],[Flow_Py]]*Tab_Data_Flows[[#This Row],[DM_'[%']]],"N.A.")</f>
        <v>#N/A</v>
      </c>
      <c r="AK347" s="61">
        <f>Tab_Data_Flows[[#This Row],[UoM_Flow_Py]]</f>
        <v>0</v>
      </c>
    </row>
    <row r="348" spans="1:37" ht="15.75" thickBot="1" x14ac:dyDescent="0.3">
      <c r="A348" s="60">
        <f t="shared" si="9"/>
        <v>347</v>
      </c>
      <c r="B348" s="49" t="str">
        <f>_xlfn.XLOOKUP(C348,Tab_Def_Flows[Name(EN)],Tab_Def_Flows[Flow_ID],,0,)</f>
        <v>F_24_24</v>
      </c>
      <c r="C348" s="51"/>
      <c r="D348" s="49">
        <f>_xlfn.XLOOKUP(C348,Tab_Def_Flows[Name(EN)],Tab_Def_Flows[Type_Biomass],,0,)</f>
        <v>0</v>
      </c>
      <c r="E348" s="49">
        <f>_xlfn.XLOOKUP(C348,Tab_Def_Flows[Name(EN)],Tab_Def_Flows[Output_Process],,0,)</f>
        <v>0</v>
      </c>
      <c r="F348" s="49" t="str">
        <f>_xlfn.XLOOKUP(C348,Tab_Def_Flows[Name(EN)],Tab_Def_Flows[Process_ID_O],,0,)</f>
        <v>24__</v>
      </c>
      <c r="G348" s="49">
        <f>_xlfn.XLOOKUP(C348,Tab_Def_Flows[Name(EN)],Tab_Def_Flows[Input_Process],,0,)</f>
        <v>0</v>
      </c>
      <c r="H348" s="61" t="str">
        <f>_xlfn.XLOOKUP(C348,Tab_Def_Flows[Name(EN)],Tab_Def_Flows[Process_ID_I],,0,)</f>
        <v>24__</v>
      </c>
      <c r="I348" s="49">
        <f>_xlfn.XLOOKUP(C348,Tab_Def_Flows[Name(EN)],Tab_Def_Flows[Value_Source],,0,)</f>
        <v>0</v>
      </c>
      <c r="J348" s="61" t="str">
        <f>_xlfn.XLOOKUP(C348,Tab_Def_Flows[Name(EN)],Tab_Def_Flows[WC?],,0,)</f>
        <v>Yes</v>
      </c>
      <c r="K348" s="61" t="str">
        <f>_xlfn.XLOOKUP(C348,Tab_Def_Flows[Name(EN)],Tab_Def_Flows[DM?],,0,)</f>
        <v>Yes</v>
      </c>
      <c r="L348" s="61" t="str">
        <f>_xlfn.XLOOKUP(C348,Tab_Def_Flows[Name(EN)],Tab_Def_Flows[CC?],,0,)</f>
        <v>Yes</v>
      </c>
      <c r="M348" s="51"/>
      <c r="N348" s="51"/>
      <c r="O348" s="119"/>
      <c r="P348" s="51" t="s">
        <v>389</v>
      </c>
      <c r="Q348" s="51"/>
      <c r="R348" s="51"/>
      <c r="S348" s="51"/>
      <c r="T348" s="51"/>
      <c r="U348" s="51"/>
      <c r="V348" s="51"/>
      <c r="W348" s="51"/>
      <c r="X348" s="51" t="s">
        <v>71</v>
      </c>
      <c r="Y348" s="51"/>
      <c r="Z348" s="51"/>
      <c r="AA348" s="86">
        <f t="shared" si="11"/>
        <v>0</v>
      </c>
      <c r="AB348" s="51"/>
      <c r="AC348" s="111" t="e">
        <f>INDEX(Tab_Def_Flows[[Flow_ID]:[CC_DM_source]],MATCH(Tab_Data_Flows[[#This Row],[Name(EN)]],Tab_Def_Flows[Name(EN)],0),16)</f>
        <v>#N/A</v>
      </c>
      <c r="AD348" s="112" t="e">
        <f>IF(J348="Yes",AA348*Tab_Data_Flows[[#This Row],[WC_'[%']]],"N.A.")</f>
        <v>#N/A</v>
      </c>
      <c r="AE348" s="61">
        <f>Tab_Data_Flows[[#This Row],[UoM_Flow_Py]]</f>
        <v>0</v>
      </c>
      <c r="AF348" s="111" t="e">
        <f>INDEX(Tab_Def_Flows[[Flow_ID]:[CC_DM_source]],MATCH(Tab_Data_Flows[[#This Row],[Name(EN)]],Tab_Def_Flows[Name(EN)],0),18)</f>
        <v>#N/A</v>
      </c>
      <c r="AG348" s="112" t="e">
        <f>IF(K348="Yes",AF348*Tab_Data_Flows[[#This Row],[Flow_Py]],"N.A.")</f>
        <v>#N/A</v>
      </c>
      <c r="AH348" s="61">
        <f>Tab_Data_Flows[[#This Row],[UoM_Flow_Py]]</f>
        <v>0</v>
      </c>
      <c r="AI348" s="111" t="e">
        <f>INDEX(Tab_Def_Flows[[Flow_ID]:[CC_DM_source]],MATCH(Tab_Data_Flows[[#This Row],[Name(EN)]],Tab_Def_Flows[Name(EN)],0),20)</f>
        <v>#N/A</v>
      </c>
      <c r="AJ348" s="109" t="e">
        <f>IF(L348="Yes",AI348*Tab_Data_Flows[[#This Row],[Flow_Py]]*Tab_Data_Flows[[#This Row],[DM_'[%']]],"N.A.")</f>
        <v>#N/A</v>
      </c>
      <c r="AK348" s="61">
        <f>Tab_Data_Flows[[#This Row],[UoM_Flow_Py]]</f>
        <v>0</v>
      </c>
    </row>
    <row r="349" spans="1:37" ht="15.75" thickBot="1" x14ac:dyDescent="0.3">
      <c r="A349" s="60">
        <f t="shared" si="9"/>
        <v>348</v>
      </c>
      <c r="B349" s="49" t="str">
        <f>_xlfn.XLOOKUP(C349,Tab_Def_Flows[Name(EN)],Tab_Def_Flows[Flow_ID],,0,)</f>
        <v>F_24_24</v>
      </c>
      <c r="C349" s="51"/>
      <c r="D349" s="49">
        <f>_xlfn.XLOOKUP(C349,Tab_Def_Flows[Name(EN)],Tab_Def_Flows[Type_Biomass],,0,)</f>
        <v>0</v>
      </c>
      <c r="E349" s="49">
        <f>_xlfn.XLOOKUP(C349,Tab_Def_Flows[Name(EN)],Tab_Def_Flows[Output_Process],,0,)</f>
        <v>0</v>
      </c>
      <c r="F349" s="49" t="str">
        <f>_xlfn.XLOOKUP(C349,Tab_Def_Flows[Name(EN)],Tab_Def_Flows[Process_ID_O],,0,)</f>
        <v>24__</v>
      </c>
      <c r="G349" s="49">
        <f>_xlfn.XLOOKUP(C349,Tab_Def_Flows[Name(EN)],Tab_Def_Flows[Input_Process],,0,)</f>
        <v>0</v>
      </c>
      <c r="H349" s="61" t="str">
        <f>_xlfn.XLOOKUP(C349,Tab_Def_Flows[Name(EN)],Tab_Def_Flows[Process_ID_I],,0,)</f>
        <v>24__</v>
      </c>
      <c r="I349" s="49">
        <f>_xlfn.XLOOKUP(C349,Tab_Def_Flows[Name(EN)],Tab_Def_Flows[Value_Source],,0,)</f>
        <v>0</v>
      </c>
      <c r="J349" s="61" t="str">
        <f>_xlfn.XLOOKUP(C349,Tab_Def_Flows[Name(EN)],Tab_Def_Flows[WC?],,0,)</f>
        <v>Yes</v>
      </c>
      <c r="K349" s="61" t="str">
        <f>_xlfn.XLOOKUP(C349,Tab_Def_Flows[Name(EN)],Tab_Def_Flows[DM?],,0,)</f>
        <v>Yes</v>
      </c>
      <c r="L349" s="61" t="str">
        <f>_xlfn.XLOOKUP(C349,Tab_Def_Flows[Name(EN)],Tab_Def_Flows[CC?],,0,)</f>
        <v>Yes</v>
      </c>
      <c r="M349" s="51"/>
      <c r="N349" s="51"/>
      <c r="O349" s="119"/>
      <c r="P349" s="51" t="s">
        <v>389</v>
      </c>
      <c r="Q349" s="51"/>
      <c r="R349" s="51"/>
      <c r="S349" s="51"/>
      <c r="T349" s="51"/>
      <c r="U349" s="51"/>
      <c r="V349" s="51"/>
      <c r="W349" s="51"/>
      <c r="X349" s="51" t="s">
        <v>71</v>
      </c>
      <c r="Y349" s="51"/>
      <c r="Z349" s="51"/>
      <c r="AA349" s="86">
        <f t="shared" si="11"/>
        <v>0</v>
      </c>
      <c r="AB349" s="51"/>
      <c r="AC349" s="111" t="e">
        <f>INDEX(Tab_Def_Flows[[Flow_ID]:[CC_DM_source]],MATCH(Tab_Data_Flows[[#This Row],[Name(EN)]],Tab_Def_Flows[Name(EN)],0),16)</f>
        <v>#N/A</v>
      </c>
      <c r="AD349" s="112" t="e">
        <f>IF(J349="Yes",AA349*Tab_Data_Flows[[#This Row],[WC_'[%']]],"N.A.")</f>
        <v>#N/A</v>
      </c>
      <c r="AE349" s="61">
        <f>Tab_Data_Flows[[#This Row],[UoM_Flow_Py]]</f>
        <v>0</v>
      </c>
      <c r="AF349" s="111" t="e">
        <f>INDEX(Tab_Def_Flows[[Flow_ID]:[CC_DM_source]],MATCH(Tab_Data_Flows[[#This Row],[Name(EN)]],Tab_Def_Flows[Name(EN)],0),18)</f>
        <v>#N/A</v>
      </c>
      <c r="AG349" s="112" t="e">
        <f>IF(K349="Yes",AF349*Tab_Data_Flows[[#This Row],[Flow_Py]],"N.A.")</f>
        <v>#N/A</v>
      </c>
      <c r="AH349" s="61">
        <f>Tab_Data_Flows[[#This Row],[UoM_Flow_Py]]</f>
        <v>0</v>
      </c>
      <c r="AI349" s="111" t="e">
        <f>INDEX(Tab_Def_Flows[[Flow_ID]:[CC_DM_source]],MATCH(Tab_Data_Flows[[#This Row],[Name(EN)]],Tab_Def_Flows[Name(EN)],0),20)</f>
        <v>#N/A</v>
      </c>
      <c r="AJ349" s="109" t="e">
        <f>IF(L349="Yes",AI349*Tab_Data_Flows[[#This Row],[Flow_Py]]*Tab_Data_Flows[[#This Row],[DM_'[%']]],"N.A.")</f>
        <v>#N/A</v>
      </c>
      <c r="AK349" s="61">
        <f>Tab_Data_Flows[[#This Row],[UoM_Flow_Py]]</f>
        <v>0</v>
      </c>
    </row>
    <row r="350" spans="1:37" ht="15.75" thickBot="1" x14ac:dyDescent="0.3">
      <c r="A350" s="60">
        <f t="shared" si="9"/>
        <v>349</v>
      </c>
      <c r="B350" s="49" t="str">
        <f>_xlfn.XLOOKUP(C350,Tab_Def_Flows[Name(EN)],Tab_Def_Flows[Flow_ID],,0,)</f>
        <v>F_24_24</v>
      </c>
      <c r="C350" s="51"/>
      <c r="D350" s="49">
        <f>_xlfn.XLOOKUP(C350,Tab_Def_Flows[Name(EN)],Tab_Def_Flows[Type_Biomass],,0,)</f>
        <v>0</v>
      </c>
      <c r="E350" s="49">
        <f>_xlfn.XLOOKUP(C350,Tab_Def_Flows[Name(EN)],Tab_Def_Flows[Output_Process],,0,)</f>
        <v>0</v>
      </c>
      <c r="F350" s="49" t="str">
        <f>_xlfn.XLOOKUP(C350,Tab_Def_Flows[Name(EN)],Tab_Def_Flows[Process_ID_O],,0,)</f>
        <v>24__</v>
      </c>
      <c r="G350" s="49">
        <f>_xlfn.XLOOKUP(C350,Tab_Def_Flows[Name(EN)],Tab_Def_Flows[Input_Process],,0,)</f>
        <v>0</v>
      </c>
      <c r="H350" s="61" t="str">
        <f>_xlfn.XLOOKUP(C350,Tab_Def_Flows[Name(EN)],Tab_Def_Flows[Process_ID_I],,0,)</f>
        <v>24__</v>
      </c>
      <c r="I350" s="49">
        <f>_xlfn.XLOOKUP(C350,Tab_Def_Flows[Name(EN)],Tab_Def_Flows[Value_Source],,0,)</f>
        <v>0</v>
      </c>
      <c r="J350" s="61" t="str">
        <f>_xlfn.XLOOKUP(C350,Tab_Def_Flows[Name(EN)],Tab_Def_Flows[WC?],,0,)</f>
        <v>Yes</v>
      </c>
      <c r="K350" s="61" t="str">
        <f>_xlfn.XLOOKUP(C350,Tab_Def_Flows[Name(EN)],Tab_Def_Flows[DM?],,0,)</f>
        <v>Yes</v>
      </c>
      <c r="L350" s="61" t="str">
        <f>_xlfn.XLOOKUP(C350,Tab_Def_Flows[Name(EN)],Tab_Def_Flows[CC?],,0,)</f>
        <v>Yes</v>
      </c>
      <c r="M350" s="51"/>
      <c r="N350" s="51"/>
      <c r="O350" s="119"/>
      <c r="P350" s="51" t="s">
        <v>389</v>
      </c>
      <c r="Q350" s="51"/>
      <c r="R350" s="51"/>
      <c r="S350" s="51"/>
      <c r="T350" s="51"/>
      <c r="U350" s="51"/>
      <c r="V350" s="51"/>
      <c r="W350" s="51"/>
      <c r="X350" s="51" t="s">
        <v>71</v>
      </c>
      <c r="Y350" s="51"/>
      <c r="Z350" s="51"/>
      <c r="AA350" s="86">
        <f t="shared" si="11"/>
        <v>0</v>
      </c>
      <c r="AB350" s="51"/>
      <c r="AC350" s="111" t="e">
        <f>INDEX(Tab_Def_Flows[[Flow_ID]:[CC_DM_source]],MATCH(Tab_Data_Flows[[#This Row],[Name(EN)]],Tab_Def_Flows[Name(EN)],0),16)</f>
        <v>#N/A</v>
      </c>
      <c r="AD350" s="112" t="e">
        <f>IF(J350="Yes",AA350*Tab_Data_Flows[[#This Row],[WC_'[%']]],"N.A.")</f>
        <v>#N/A</v>
      </c>
      <c r="AE350" s="61">
        <f>Tab_Data_Flows[[#This Row],[UoM_Flow_Py]]</f>
        <v>0</v>
      </c>
      <c r="AF350" s="111" t="e">
        <f>INDEX(Tab_Def_Flows[[Flow_ID]:[CC_DM_source]],MATCH(Tab_Data_Flows[[#This Row],[Name(EN)]],Tab_Def_Flows[Name(EN)],0),18)</f>
        <v>#N/A</v>
      </c>
      <c r="AG350" s="112" t="e">
        <f>IF(K350="Yes",AF350*Tab_Data_Flows[[#This Row],[Flow_Py]],"N.A.")</f>
        <v>#N/A</v>
      </c>
      <c r="AH350" s="61">
        <f>Tab_Data_Flows[[#This Row],[UoM_Flow_Py]]</f>
        <v>0</v>
      </c>
      <c r="AI350" s="111" t="e">
        <f>INDEX(Tab_Def_Flows[[Flow_ID]:[CC_DM_source]],MATCH(Tab_Data_Flows[[#This Row],[Name(EN)]],Tab_Def_Flows[Name(EN)],0),20)</f>
        <v>#N/A</v>
      </c>
      <c r="AJ350" s="109" t="e">
        <f>IF(L350="Yes",AI350*Tab_Data_Flows[[#This Row],[Flow_Py]]*Tab_Data_Flows[[#This Row],[DM_'[%']]],"N.A.")</f>
        <v>#N/A</v>
      </c>
      <c r="AK350" s="61">
        <f>Tab_Data_Flows[[#This Row],[UoM_Flow_Py]]</f>
        <v>0</v>
      </c>
    </row>
    <row r="351" spans="1:37" ht="15.75" thickBot="1" x14ac:dyDescent="0.3">
      <c r="A351" s="60">
        <f t="shared" si="9"/>
        <v>350</v>
      </c>
      <c r="B351" s="49" t="str">
        <f>_xlfn.XLOOKUP(C351,Tab_Def_Flows[Name(EN)],Tab_Def_Flows[Flow_ID],,0,)</f>
        <v>F_24_24</v>
      </c>
      <c r="C351" s="51"/>
      <c r="D351" s="49">
        <f>_xlfn.XLOOKUP(C351,Tab_Def_Flows[Name(EN)],Tab_Def_Flows[Type_Biomass],,0,)</f>
        <v>0</v>
      </c>
      <c r="E351" s="49">
        <f>_xlfn.XLOOKUP(C351,Tab_Def_Flows[Name(EN)],Tab_Def_Flows[Output_Process],,0,)</f>
        <v>0</v>
      </c>
      <c r="F351" s="49" t="str">
        <f>_xlfn.XLOOKUP(C351,Tab_Def_Flows[Name(EN)],Tab_Def_Flows[Process_ID_O],,0,)</f>
        <v>24__</v>
      </c>
      <c r="G351" s="49">
        <f>_xlfn.XLOOKUP(C351,Tab_Def_Flows[Name(EN)],Tab_Def_Flows[Input_Process],,0,)</f>
        <v>0</v>
      </c>
      <c r="H351" s="61" t="str">
        <f>_xlfn.XLOOKUP(C351,Tab_Def_Flows[Name(EN)],Tab_Def_Flows[Process_ID_I],,0,)</f>
        <v>24__</v>
      </c>
      <c r="I351" s="49">
        <f>_xlfn.XLOOKUP(C351,Tab_Def_Flows[Name(EN)],Tab_Def_Flows[Value_Source],,0,)</f>
        <v>0</v>
      </c>
      <c r="J351" s="61" t="str">
        <f>_xlfn.XLOOKUP(C351,Tab_Def_Flows[Name(EN)],Tab_Def_Flows[WC?],,0,)</f>
        <v>Yes</v>
      </c>
      <c r="K351" s="61" t="str">
        <f>_xlfn.XLOOKUP(C351,Tab_Def_Flows[Name(EN)],Tab_Def_Flows[DM?],,0,)</f>
        <v>Yes</v>
      </c>
      <c r="L351" s="61" t="str">
        <f>_xlfn.XLOOKUP(C351,Tab_Def_Flows[Name(EN)],Tab_Def_Flows[CC?],,0,)</f>
        <v>Yes</v>
      </c>
      <c r="M351" s="51"/>
      <c r="N351" s="51"/>
      <c r="O351" s="119"/>
      <c r="P351" s="51" t="s">
        <v>389</v>
      </c>
      <c r="Q351" s="51"/>
      <c r="R351" s="51"/>
      <c r="S351" s="51"/>
      <c r="T351" s="51"/>
      <c r="U351" s="51"/>
      <c r="V351" s="51"/>
      <c r="W351" s="51"/>
      <c r="X351" s="51" t="s">
        <v>71</v>
      </c>
      <c r="Y351" s="51"/>
      <c r="Z351" s="51"/>
      <c r="AA351" s="86">
        <f t="shared" si="11"/>
        <v>0</v>
      </c>
      <c r="AB351" s="51"/>
      <c r="AC351" s="111" t="e">
        <f>INDEX(Tab_Def_Flows[[Flow_ID]:[CC_DM_source]],MATCH(Tab_Data_Flows[[#This Row],[Name(EN)]],Tab_Def_Flows[Name(EN)],0),16)</f>
        <v>#N/A</v>
      </c>
      <c r="AD351" s="112" t="e">
        <f>IF(J351="Yes",AA351*Tab_Data_Flows[[#This Row],[WC_'[%']]],"N.A.")</f>
        <v>#N/A</v>
      </c>
      <c r="AE351" s="61">
        <f>Tab_Data_Flows[[#This Row],[UoM_Flow_Py]]</f>
        <v>0</v>
      </c>
      <c r="AF351" s="111" t="e">
        <f>INDEX(Tab_Def_Flows[[Flow_ID]:[CC_DM_source]],MATCH(Tab_Data_Flows[[#This Row],[Name(EN)]],Tab_Def_Flows[Name(EN)],0),18)</f>
        <v>#N/A</v>
      </c>
      <c r="AG351" s="112" t="e">
        <f>IF(K351="Yes",AF351*Tab_Data_Flows[[#This Row],[Flow_Py]],"N.A.")</f>
        <v>#N/A</v>
      </c>
      <c r="AH351" s="61">
        <f>Tab_Data_Flows[[#This Row],[UoM_Flow_Py]]</f>
        <v>0</v>
      </c>
      <c r="AI351" s="111" t="e">
        <f>INDEX(Tab_Def_Flows[[Flow_ID]:[CC_DM_source]],MATCH(Tab_Data_Flows[[#This Row],[Name(EN)]],Tab_Def_Flows[Name(EN)],0),20)</f>
        <v>#N/A</v>
      </c>
      <c r="AJ351" s="109" t="e">
        <f>IF(L351="Yes",AI351*Tab_Data_Flows[[#This Row],[Flow_Py]]*Tab_Data_Flows[[#This Row],[DM_'[%']]],"N.A.")</f>
        <v>#N/A</v>
      </c>
      <c r="AK351" s="61">
        <f>Tab_Data_Flows[[#This Row],[UoM_Flow_Py]]</f>
        <v>0</v>
      </c>
    </row>
    <row r="352" spans="1:37" ht="15.75" thickBot="1" x14ac:dyDescent="0.3">
      <c r="A352" s="60">
        <f t="shared" si="9"/>
        <v>351</v>
      </c>
      <c r="B352" s="49" t="str">
        <f>_xlfn.XLOOKUP(C352,Tab_Def_Flows[Name(EN)],Tab_Def_Flows[Flow_ID],,0,)</f>
        <v>F_24_24</v>
      </c>
      <c r="C352" s="51"/>
      <c r="D352" s="49">
        <f>_xlfn.XLOOKUP(C352,Tab_Def_Flows[Name(EN)],Tab_Def_Flows[Type_Biomass],,0,)</f>
        <v>0</v>
      </c>
      <c r="E352" s="49">
        <f>_xlfn.XLOOKUP(C352,Tab_Def_Flows[Name(EN)],Tab_Def_Flows[Output_Process],,0,)</f>
        <v>0</v>
      </c>
      <c r="F352" s="49" t="str">
        <f>_xlfn.XLOOKUP(C352,Tab_Def_Flows[Name(EN)],Tab_Def_Flows[Process_ID_O],,0,)</f>
        <v>24__</v>
      </c>
      <c r="G352" s="49">
        <f>_xlfn.XLOOKUP(C352,Tab_Def_Flows[Name(EN)],Tab_Def_Flows[Input_Process],,0,)</f>
        <v>0</v>
      </c>
      <c r="H352" s="61" t="str">
        <f>_xlfn.XLOOKUP(C352,Tab_Def_Flows[Name(EN)],Tab_Def_Flows[Process_ID_I],,0,)</f>
        <v>24__</v>
      </c>
      <c r="I352" s="49">
        <f>_xlfn.XLOOKUP(C352,Tab_Def_Flows[Name(EN)],Tab_Def_Flows[Value_Source],,0,)</f>
        <v>0</v>
      </c>
      <c r="J352" s="61" t="str">
        <f>_xlfn.XLOOKUP(C352,Tab_Def_Flows[Name(EN)],Tab_Def_Flows[WC?],,0,)</f>
        <v>Yes</v>
      </c>
      <c r="K352" s="61" t="str">
        <f>_xlfn.XLOOKUP(C352,Tab_Def_Flows[Name(EN)],Tab_Def_Flows[DM?],,0,)</f>
        <v>Yes</v>
      </c>
      <c r="L352" s="61" t="str">
        <f>_xlfn.XLOOKUP(C352,Tab_Def_Flows[Name(EN)],Tab_Def_Flows[CC?],,0,)</f>
        <v>Yes</v>
      </c>
      <c r="M352" s="51"/>
      <c r="N352" s="51"/>
      <c r="O352" s="119"/>
      <c r="P352" s="51" t="s">
        <v>389</v>
      </c>
      <c r="Q352" s="51"/>
      <c r="R352" s="51"/>
      <c r="S352" s="51"/>
      <c r="T352" s="51"/>
      <c r="U352" s="51"/>
      <c r="V352" s="51"/>
      <c r="W352" s="51"/>
      <c r="X352" s="51" t="s">
        <v>71</v>
      </c>
      <c r="Y352" s="51"/>
      <c r="Z352" s="51"/>
      <c r="AA352" s="86">
        <f t="shared" si="11"/>
        <v>0</v>
      </c>
      <c r="AB352" s="51"/>
      <c r="AC352" s="111" t="e">
        <f>INDEX(Tab_Def_Flows[[Flow_ID]:[CC_DM_source]],MATCH(Tab_Data_Flows[[#This Row],[Name(EN)]],Tab_Def_Flows[Name(EN)],0),16)</f>
        <v>#N/A</v>
      </c>
      <c r="AD352" s="112" t="e">
        <f>IF(J352="Yes",AA352*Tab_Data_Flows[[#This Row],[WC_'[%']]],"N.A.")</f>
        <v>#N/A</v>
      </c>
      <c r="AE352" s="61">
        <f>Tab_Data_Flows[[#This Row],[UoM_Flow_Py]]</f>
        <v>0</v>
      </c>
      <c r="AF352" s="111" t="e">
        <f>INDEX(Tab_Def_Flows[[Flow_ID]:[CC_DM_source]],MATCH(Tab_Data_Flows[[#This Row],[Name(EN)]],Tab_Def_Flows[Name(EN)],0),18)</f>
        <v>#N/A</v>
      </c>
      <c r="AG352" s="112" t="e">
        <f>IF(K352="Yes",AF352*Tab_Data_Flows[[#This Row],[Flow_Py]],"N.A.")</f>
        <v>#N/A</v>
      </c>
      <c r="AH352" s="61">
        <f>Tab_Data_Flows[[#This Row],[UoM_Flow_Py]]</f>
        <v>0</v>
      </c>
      <c r="AI352" s="111" t="e">
        <f>INDEX(Tab_Def_Flows[[Flow_ID]:[CC_DM_source]],MATCH(Tab_Data_Flows[[#This Row],[Name(EN)]],Tab_Def_Flows[Name(EN)],0),20)</f>
        <v>#N/A</v>
      </c>
      <c r="AJ352" s="109" t="e">
        <f>IF(L352="Yes",AI352*Tab_Data_Flows[[#This Row],[Flow_Py]]*Tab_Data_Flows[[#This Row],[DM_'[%']]],"N.A.")</f>
        <v>#N/A</v>
      </c>
      <c r="AK352" s="61">
        <f>Tab_Data_Flows[[#This Row],[UoM_Flow_Py]]</f>
        <v>0</v>
      </c>
    </row>
    <row r="353" spans="1:37" ht="15.75" thickBot="1" x14ac:dyDescent="0.3">
      <c r="A353" s="60">
        <f t="shared" si="9"/>
        <v>352</v>
      </c>
      <c r="B353" s="49" t="str">
        <f>_xlfn.XLOOKUP(C353,Tab_Def_Flows[Name(EN)],Tab_Def_Flows[Flow_ID],,0,)</f>
        <v>F_24_24</v>
      </c>
      <c r="C353" s="51"/>
      <c r="D353" s="49">
        <f>_xlfn.XLOOKUP(C353,Tab_Def_Flows[Name(EN)],Tab_Def_Flows[Type_Biomass],,0,)</f>
        <v>0</v>
      </c>
      <c r="E353" s="49">
        <f>_xlfn.XLOOKUP(C353,Tab_Def_Flows[Name(EN)],Tab_Def_Flows[Output_Process],,0,)</f>
        <v>0</v>
      </c>
      <c r="F353" s="49" t="str">
        <f>_xlfn.XLOOKUP(C353,Tab_Def_Flows[Name(EN)],Tab_Def_Flows[Process_ID_O],,0,)</f>
        <v>24__</v>
      </c>
      <c r="G353" s="49">
        <f>_xlfn.XLOOKUP(C353,Tab_Def_Flows[Name(EN)],Tab_Def_Flows[Input_Process],,0,)</f>
        <v>0</v>
      </c>
      <c r="H353" s="61" t="str">
        <f>_xlfn.XLOOKUP(C353,Tab_Def_Flows[Name(EN)],Tab_Def_Flows[Process_ID_I],,0,)</f>
        <v>24__</v>
      </c>
      <c r="I353" s="49">
        <f>_xlfn.XLOOKUP(C353,Tab_Def_Flows[Name(EN)],Tab_Def_Flows[Value_Source],,0,)</f>
        <v>0</v>
      </c>
      <c r="J353" s="61" t="str">
        <f>_xlfn.XLOOKUP(C353,Tab_Def_Flows[Name(EN)],Tab_Def_Flows[WC?],,0,)</f>
        <v>Yes</v>
      </c>
      <c r="K353" s="61" t="str">
        <f>_xlfn.XLOOKUP(C353,Tab_Def_Flows[Name(EN)],Tab_Def_Flows[DM?],,0,)</f>
        <v>Yes</v>
      </c>
      <c r="L353" s="61" t="str">
        <f>_xlfn.XLOOKUP(C353,Tab_Def_Flows[Name(EN)],Tab_Def_Flows[CC?],,0,)</f>
        <v>Yes</v>
      </c>
      <c r="M353" s="51"/>
      <c r="N353" s="51"/>
      <c r="O353" s="119"/>
      <c r="P353" s="51" t="s">
        <v>389</v>
      </c>
      <c r="Q353" s="51"/>
      <c r="R353" s="51"/>
      <c r="S353" s="51"/>
      <c r="T353" s="51"/>
      <c r="U353" s="51"/>
      <c r="V353" s="51"/>
      <c r="W353" s="51"/>
      <c r="X353" s="51" t="s">
        <v>71</v>
      </c>
      <c r="Y353" s="51"/>
      <c r="Z353" s="51"/>
      <c r="AA353" s="86">
        <f t="shared" si="11"/>
        <v>0</v>
      </c>
      <c r="AB353" s="51"/>
      <c r="AC353" s="111" t="e">
        <f>INDEX(Tab_Def_Flows[[Flow_ID]:[CC_DM_source]],MATCH(Tab_Data_Flows[[#This Row],[Name(EN)]],Tab_Def_Flows[Name(EN)],0),16)</f>
        <v>#N/A</v>
      </c>
      <c r="AD353" s="112" t="e">
        <f>IF(J353="Yes",AA353*Tab_Data_Flows[[#This Row],[WC_'[%']]],"N.A.")</f>
        <v>#N/A</v>
      </c>
      <c r="AE353" s="61">
        <f>Tab_Data_Flows[[#This Row],[UoM_Flow_Py]]</f>
        <v>0</v>
      </c>
      <c r="AF353" s="111" t="e">
        <f>INDEX(Tab_Def_Flows[[Flow_ID]:[CC_DM_source]],MATCH(Tab_Data_Flows[[#This Row],[Name(EN)]],Tab_Def_Flows[Name(EN)],0),18)</f>
        <v>#N/A</v>
      </c>
      <c r="AG353" s="112" t="e">
        <f>IF(K353="Yes",AF353*Tab_Data_Flows[[#This Row],[Flow_Py]],"N.A.")</f>
        <v>#N/A</v>
      </c>
      <c r="AH353" s="61">
        <f>Tab_Data_Flows[[#This Row],[UoM_Flow_Py]]</f>
        <v>0</v>
      </c>
      <c r="AI353" s="111" t="e">
        <f>INDEX(Tab_Def_Flows[[Flow_ID]:[CC_DM_source]],MATCH(Tab_Data_Flows[[#This Row],[Name(EN)]],Tab_Def_Flows[Name(EN)],0),20)</f>
        <v>#N/A</v>
      </c>
      <c r="AJ353" s="109" t="e">
        <f>IF(L353="Yes",AI353*Tab_Data_Flows[[#This Row],[Flow_Py]]*Tab_Data_Flows[[#This Row],[DM_'[%']]],"N.A.")</f>
        <v>#N/A</v>
      </c>
      <c r="AK353" s="61">
        <f>Tab_Data_Flows[[#This Row],[UoM_Flow_Py]]</f>
        <v>0</v>
      </c>
    </row>
    <row r="354" spans="1:37" ht="15.75" thickBot="1" x14ac:dyDescent="0.3">
      <c r="A354" s="60">
        <f t="shared" ref="A354:A417" si="12">ROW()-1</f>
        <v>353</v>
      </c>
      <c r="B354" s="49" t="str">
        <f>_xlfn.XLOOKUP(C354,Tab_Def_Flows[Name(EN)],Tab_Def_Flows[Flow_ID],,0,)</f>
        <v>F_24_24</v>
      </c>
      <c r="C354" s="51"/>
      <c r="D354" s="49">
        <f>_xlfn.XLOOKUP(C354,Tab_Def_Flows[Name(EN)],Tab_Def_Flows[Type_Biomass],,0,)</f>
        <v>0</v>
      </c>
      <c r="E354" s="49">
        <f>_xlfn.XLOOKUP(C354,Tab_Def_Flows[Name(EN)],Tab_Def_Flows[Output_Process],,0,)</f>
        <v>0</v>
      </c>
      <c r="F354" s="49" t="str">
        <f>_xlfn.XLOOKUP(C354,Tab_Def_Flows[Name(EN)],Tab_Def_Flows[Process_ID_O],,0,)</f>
        <v>24__</v>
      </c>
      <c r="G354" s="49">
        <f>_xlfn.XLOOKUP(C354,Tab_Def_Flows[Name(EN)],Tab_Def_Flows[Input_Process],,0,)</f>
        <v>0</v>
      </c>
      <c r="H354" s="61" t="str">
        <f>_xlfn.XLOOKUP(C354,Tab_Def_Flows[Name(EN)],Tab_Def_Flows[Process_ID_I],,0,)</f>
        <v>24__</v>
      </c>
      <c r="I354" s="49">
        <f>_xlfn.XLOOKUP(C354,Tab_Def_Flows[Name(EN)],Tab_Def_Flows[Value_Source],,0,)</f>
        <v>0</v>
      </c>
      <c r="J354" s="61" t="str">
        <f>_xlfn.XLOOKUP(C354,Tab_Def_Flows[Name(EN)],Tab_Def_Flows[WC?],,0,)</f>
        <v>Yes</v>
      </c>
      <c r="K354" s="61" t="str">
        <f>_xlfn.XLOOKUP(C354,Tab_Def_Flows[Name(EN)],Tab_Def_Flows[DM?],,0,)</f>
        <v>Yes</v>
      </c>
      <c r="L354" s="61" t="str">
        <f>_xlfn.XLOOKUP(C354,Tab_Def_Flows[Name(EN)],Tab_Def_Flows[CC?],,0,)</f>
        <v>Yes</v>
      </c>
      <c r="M354" s="51"/>
      <c r="N354" s="51"/>
      <c r="O354" s="119"/>
      <c r="P354" s="51" t="s">
        <v>389</v>
      </c>
      <c r="Q354" s="51"/>
      <c r="R354" s="51"/>
      <c r="S354" s="51"/>
      <c r="T354" s="51"/>
      <c r="U354" s="51"/>
      <c r="V354" s="51"/>
      <c r="W354" s="51"/>
      <c r="X354" s="51" t="s">
        <v>71</v>
      </c>
      <c r="Y354" s="51"/>
      <c r="Z354" s="51"/>
      <c r="AA354" s="86">
        <f t="shared" si="11"/>
        <v>0</v>
      </c>
      <c r="AB354" s="51"/>
      <c r="AC354" s="111" t="e">
        <f>INDEX(Tab_Def_Flows[[Flow_ID]:[CC_DM_source]],MATCH(Tab_Data_Flows[[#This Row],[Name(EN)]],Tab_Def_Flows[Name(EN)],0),16)</f>
        <v>#N/A</v>
      </c>
      <c r="AD354" s="112" t="e">
        <f>IF(J354="Yes",AA354*Tab_Data_Flows[[#This Row],[WC_'[%']]],"N.A.")</f>
        <v>#N/A</v>
      </c>
      <c r="AE354" s="61">
        <f>Tab_Data_Flows[[#This Row],[UoM_Flow_Py]]</f>
        <v>0</v>
      </c>
      <c r="AF354" s="111" t="e">
        <f>INDEX(Tab_Def_Flows[[Flow_ID]:[CC_DM_source]],MATCH(Tab_Data_Flows[[#This Row],[Name(EN)]],Tab_Def_Flows[Name(EN)],0),18)</f>
        <v>#N/A</v>
      </c>
      <c r="AG354" s="112" t="e">
        <f>IF(K354="Yes",AF354*Tab_Data_Flows[[#This Row],[Flow_Py]],"N.A.")</f>
        <v>#N/A</v>
      </c>
      <c r="AH354" s="61">
        <f>Tab_Data_Flows[[#This Row],[UoM_Flow_Py]]</f>
        <v>0</v>
      </c>
      <c r="AI354" s="111" t="e">
        <f>INDEX(Tab_Def_Flows[[Flow_ID]:[CC_DM_source]],MATCH(Tab_Data_Flows[[#This Row],[Name(EN)]],Tab_Def_Flows[Name(EN)],0),20)</f>
        <v>#N/A</v>
      </c>
      <c r="AJ354" s="109" t="e">
        <f>IF(L354="Yes",AI354*Tab_Data_Flows[[#This Row],[Flow_Py]]*Tab_Data_Flows[[#This Row],[DM_'[%']]],"N.A.")</f>
        <v>#N/A</v>
      </c>
      <c r="AK354" s="61">
        <f>Tab_Data_Flows[[#This Row],[UoM_Flow_Py]]</f>
        <v>0</v>
      </c>
    </row>
    <row r="355" spans="1:37" ht="15.75" thickBot="1" x14ac:dyDescent="0.3">
      <c r="A355" s="60">
        <f t="shared" si="12"/>
        <v>354</v>
      </c>
      <c r="B355" s="49" t="str">
        <f>_xlfn.XLOOKUP(C355,Tab_Def_Flows[Name(EN)],Tab_Def_Flows[Flow_ID],,0,)</f>
        <v>F_24_24</v>
      </c>
      <c r="C355" s="51"/>
      <c r="D355" s="49">
        <f>_xlfn.XLOOKUP(C355,Tab_Def_Flows[Name(EN)],Tab_Def_Flows[Type_Biomass],,0,)</f>
        <v>0</v>
      </c>
      <c r="E355" s="49">
        <f>_xlfn.XLOOKUP(C355,Tab_Def_Flows[Name(EN)],Tab_Def_Flows[Output_Process],,0,)</f>
        <v>0</v>
      </c>
      <c r="F355" s="49" t="str">
        <f>_xlfn.XLOOKUP(C355,Tab_Def_Flows[Name(EN)],Tab_Def_Flows[Process_ID_O],,0,)</f>
        <v>24__</v>
      </c>
      <c r="G355" s="49">
        <f>_xlfn.XLOOKUP(C355,Tab_Def_Flows[Name(EN)],Tab_Def_Flows[Input_Process],,0,)</f>
        <v>0</v>
      </c>
      <c r="H355" s="61" t="str">
        <f>_xlfn.XLOOKUP(C355,Tab_Def_Flows[Name(EN)],Tab_Def_Flows[Process_ID_I],,0,)</f>
        <v>24__</v>
      </c>
      <c r="I355" s="49">
        <f>_xlfn.XLOOKUP(C355,Tab_Def_Flows[Name(EN)],Tab_Def_Flows[Value_Source],,0,)</f>
        <v>0</v>
      </c>
      <c r="J355" s="61" t="str">
        <f>_xlfn.XLOOKUP(C355,Tab_Def_Flows[Name(EN)],Tab_Def_Flows[WC?],,0,)</f>
        <v>Yes</v>
      </c>
      <c r="K355" s="61" t="str">
        <f>_xlfn.XLOOKUP(C355,Tab_Def_Flows[Name(EN)],Tab_Def_Flows[DM?],,0,)</f>
        <v>Yes</v>
      </c>
      <c r="L355" s="61" t="str">
        <f>_xlfn.XLOOKUP(C355,Tab_Def_Flows[Name(EN)],Tab_Def_Flows[CC?],,0,)</f>
        <v>Yes</v>
      </c>
      <c r="M355" s="51"/>
      <c r="N355" s="51"/>
      <c r="O355" s="119"/>
      <c r="P355" s="51" t="s">
        <v>389</v>
      </c>
      <c r="Q355" s="51"/>
      <c r="R355" s="51"/>
      <c r="S355" s="51"/>
      <c r="T355" s="51"/>
      <c r="U355" s="51"/>
      <c r="V355" s="51"/>
      <c r="W355" s="51"/>
      <c r="X355" s="51" t="s">
        <v>71</v>
      </c>
      <c r="Y355" s="51"/>
      <c r="Z355" s="51"/>
      <c r="AA355" s="86">
        <f t="shared" si="11"/>
        <v>0</v>
      </c>
      <c r="AB355" s="51"/>
      <c r="AC355" s="111" t="e">
        <f>INDEX(Tab_Def_Flows[[Flow_ID]:[CC_DM_source]],MATCH(Tab_Data_Flows[[#This Row],[Name(EN)]],Tab_Def_Flows[Name(EN)],0),16)</f>
        <v>#N/A</v>
      </c>
      <c r="AD355" s="112" t="e">
        <f>IF(J355="Yes",AA355*Tab_Data_Flows[[#This Row],[WC_'[%']]],"N.A.")</f>
        <v>#N/A</v>
      </c>
      <c r="AE355" s="61">
        <f>Tab_Data_Flows[[#This Row],[UoM_Flow_Py]]</f>
        <v>0</v>
      </c>
      <c r="AF355" s="111" t="e">
        <f>INDEX(Tab_Def_Flows[[Flow_ID]:[CC_DM_source]],MATCH(Tab_Data_Flows[[#This Row],[Name(EN)]],Tab_Def_Flows[Name(EN)],0),18)</f>
        <v>#N/A</v>
      </c>
      <c r="AG355" s="112" t="e">
        <f>IF(K355="Yes",AF355*Tab_Data_Flows[[#This Row],[Flow_Py]],"N.A.")</f>
        <v>#N/A</v>
      </c>
      <c r="AH355" s="61">
        <f>Tab_Data_Flows[[#This Row],[UoM_Flow_Py]]</f>
        <v>0</v>
      </c>
      <c r="AI355" s="111" t="e">
        <f>INDEX(Tab_Def_Flows[[Flow_ID]:[CC_DM_source]],MATCH(Tab_Data_Flows[[#This Row],[Name(EN)]],Tab_Def_Flows[Name(EN)],0),20)</f>
        <v>#N/A</v>
      </c>
      <c r="AJ355" s="109" t="e">
        <f>IF(L355="Yes",AI355*Tab_Data_Flows[[#This Row],[Flow_Py]]*Tab_Data_Flows[[#This Row],[DM_'[%']]],"N.A.")</f>
        <v>#N/A</v>
      </c>
      <c r="AK355" s="61">
        <f>Tab_Data_Flows[[#This Row],[UoM_Flow_Py]]</f>
        <v>0</v>
      </c>
    </row>
    <row r="356" spans="1:37" ht="15.75" thickBot="1" x14ac:dyDescent="0.3">
      <c r="A356" s="60">
        <f t="shared" si="12"/>
        <v>355</v>
      </c>
      <c r="B356" s="49" t="str">
        <f>_xlfn.XLOOKUP(C356,Tab_Def_Flows[Name(EN)],Tab_Def_Flows[Flow_ID],,0,)</f>
        <v>F_24_24</v>
      </c>
      <c r="C356" s="51"/>
      <c r="D356" s="49">
        <f>_xlfn.XLOOKUP(C356,Tab_Def_Flows[Name(EN)],Tab_Def_Flows[Type_Biomass],,0,)</f>
        <v>0</v>
      </c>
      <c r="E356" s="49">
        <f>_xlfn.XLOOKUP(C356,Tab_Def_Flows[Name(EN)],Tab_Def_Flows[Output_Process],,0,)</f>
        <v>0</v>
      </c>
      <c r="F356" s="49" t="str">
        <f>_xlfn.XLOOKUP(C356,Tab_Def_Flows[Name(EN)],Tab_Def_Flows[Process_ID_O],,0,)</f>
        <v>24__</v>
      </c>
      <c r="G356" s="49">
        <f>_xlfn.XLOOKUP(C356,Tab_Def_Flows[Name(EN)],Tab_Def_Flows[Input_Process],,0,)</f>
        <v>0</v>
      </c>
      <c r="H356" s="61" t="str">
        <f>_xlfn.XLOOKUP(C356,Tab_Def_Flows[Name(EN)],Tab_Def_Flows[Process_ID_I],,0,)</f>
        <v>24__</v>
      </c>
      <c r="I356" s="49">
        <f>_xlfn.XLOOKUP(C356,Tab_Def_Flows[Name(EN)],Tab_Def_Flows[Value_Source],,0,)</f>
        <v>0</v>
      </c>
      <c r="J356" s="61" t="str">
        <f>_xlfn.XLOOKUP(C356,Tab_Def_Flows[Name(EN)],Tab_Def_Flows[WC?],,0,)</f>
        <v>Yes</v>
      </c>
      <c r="K356" s="61" t="str">
        <f>_xlfn.XLOOKUP(C356,Tab_Def_Flows[Name(EN)],Tab_Def_Flows[DM?],,0,)</f>
        <v>Yes</v>
      </c>
      <c r="L356" s="61" t="str">
        <f>_xlfn.XLOOKUP(C356,Tab_Def_Flows[Name(EN)],Tab_Def_Flows[CC?],,0,)</f>
        <v>Yes</v>
      </c>
      <c r="M356" s="51"/>
      <c r="N356" s="51"/>
      <c r="O356" s="119"/>
      <c r="P356" s="51" t="s">
        <v>389</v>
      </c>
      <c r="Q356" s="51"/>
      <c r="R356" s="51"/>
      <c r="S356" s="51"/>
      <c r="T356" s="51"/>
      <c r="U356" s="51"/>
      <c r="V356" s="51"/>
      <c r="W356" s="51"/>
      <c r="X356" s="51" t="s">
        <v>71</v>
      </c>
      <c r="Y356" s="51"/>
      <c r="Z356" s="51"/>
      <c r="AA356" s="86">
        <f t="shared" si="11"/>
        <v>0</v>
      </c>
      <c r="AB356" s="51"/>
      <c r="AC356" s="111" t="e">
        <f>INDEX(Tab_Def_Flows[[Flow_ID]:[CC_DM_source]],MATCH(Tab_Data_Flows[[#This Row],[Name(EN)]],Tab_Def_Flows[Name(EN)],0),16)</f>
        <v>#N/A</v>
      </c>
      <c r="AD356" s="112" t="e">
        <f>IF(J356="Yes",AA356*Tab_Data_Flows[[#This Row],[WC_'[%']]],"N.A.")</f>
        <v>#N/A</v>
      </c>
      <c r="AE356" s="61">
        <f>Tab_Data_Flows[[#This Row],[UoM_Flow_Py]]</f>
        <v>0</v>
      </c>
      <c r="AF356" s="111" t="e">
        <f>INDEX(Tab_Def_Flows[[Flow_ID]:[CC_DM_source]],MATCH(Tab_Data_Flows[[#This Row],[Name(EN)]],Tab_Def_Flows[Name(EN)],0),18)</f>
        <v>#N/A</v>
      </c>
      <c r="AG356" s="112" t="e">
        <f>IF(K356="Yes",AF356*Tab_Data_Flows[[#This Row],[Flow_Py]],"N.A.")</f>
        <v>#N/A</v>
      </c>
      <c r="AH356" s="61">
        <f>Tab_Data_Flows[[#This Row],[UoM_Flow_Py]]</f>
        <v>0</v>
      </c>
      <c r="AI356" s="111" t="e">
        <f>INDEX(Tab_Def_Flows[[Flow_ID]:[CC_DM_source]],MATCH(Tab_Data_Flows[[#This Row],[Name(EN)]],Tab_Def_Flows[Name(EN)],0),20)</f>
        <v>#N/A</v>
      </c>
      <c r="AJ356" s="109" t="e">
        <f>IF(L356="Yes",AI356*Tab_Data_Flows[[#This Row],[Flow_Py]]*Tab_Data_Flows[[#This Row],[DM_'[%']]],"N.A.")</f>
        <v>#N/A</v>
      </c>
      <c r="AK356" s="61">
        <f>Tab_Data_Flows[[#This Row],[UoM_Flow_Py]]</f>
        <v>0</v>
      </c>
    </row>
    <row r="357" spans="1:37" ht="15.75" thickBot="1" x14ac:dyDescent="0.3">
      <c r="A357" s="60">
        <f t="shared" si="12"/>
        <v>356</v>
      </c>
      <c r="B357" s="49" t="str">
        <f>_xlfn.XLOOKUP(C357,Tab_Def_Flows[Name(EN)],Tab_Def_Flows[Flow_ID],,0,)</f>
        <v>F_24_24</v>
      </c>
      <c r="C357" s="51"/>
      <c r="D357" s="49">
        <f>_xlfn.XLOOKUP(C357,Tab_Def_Flows[Name(EN)],Tab_Def_Flows[Type_Biomass],,0,)</f>
        <v>0</v>
      </c>
      <c r="E357" s="49">
        <f>_xlfn.XLOOKUP(C357,Tab_Def_Flows[Name(EN)],Tab_Def_Flows[Output_Process],,0,)</f>
        <v>0</v>
      </c>
      <c r="F357" s="49" t="str">
        <f>_xlfn.XLOOKUP(C357,Tab_Def_Flows[Name(EN)],Tab_Def_Flows[Process_ID_O],,0,)</f>
        <v>24__</v>
      </c>
      <c r="G357" s="49">
        <f>_xlfn.XLOOKUP(C357,Tab_Def_Flows[Name(EN)],Tab_Def_Flows[Input_Process],,0,)</f>
        <v>0</v>
      </c>
      <c r="H357" s="61" t="str">
        <f>_xlfn.XLOOKUP(C357,Tab_Def_Flows[Name(EN)],Tab_Def_Flows[Process_ID_I],,0,)</f>
        <v>24__</v>
      </c>
      <c r="I357" s="49">
        <f>_xlfn.XLOOKUP(C357,Tab_Def_Flows[Name(EN)],Tab_Def_Flows[Value_Source],,0,)</f>
        <v>0</v>
      </c>
      <c r="J357" s="61" t="str">
        <f>_xlfn.XLOOKUP(C357,Tab_Def_Flows[Name(EN)],Tab_Def_Flows[WC?],,0,)</f>
        <v>Yes</v>
      </c>
      <c r="K357" s="61" t="str">
        <f>_xlfn.XLOOKUP(C357,Tab_Def_Flows[Name(EN)],Tab_Def_Flows[DM?],,0,)</f>
        <v>Yes</v>
      </c>
      <c r="L357" s="61" t="str">
        <f>_xlfn.XLOOKUP(C357,Tab_Def_Flows[Name(EN)],Tab_Def_Flows[CC?],,0,)</f>
        <v>Yes</v>
      </c>
      <c r="M357" s="51"/>
      <c r="N357" s="51"/>
      <c r="O357" s="119"/>
      <c r="P357" s="51" t="s">
        <v>389</v>
      </c>
      <c r="Q357" s="51"/>
      <c r="R357" s="51"/>
      <c r="S357" s="51"/>
      <c r="T357" s="51"/>
      <c r="U357" s="51"/>
      <c r="V357" s="51"/>
      <c r="W357" s="51"/>
      <c r="X357" s="51" t="s">
        <v>71</v>
      </c>
      <c r="Y357" s="51"/>
      <c r="Z357" s="51"/>
      <c r="AA357" s="86">
        <f t="shared" si="11"/>
        <v>0</v>
      </c>
      <c r="AB357" s="51"/>
      <c r="AC357" s="111" t="e">
        <f>INDEX(Tab_Def_Flows[[Flow_ID]:[CC_DM_source]],MATCH(Tab_Data_Flows[[#This Row],[Name(EN)]],Tab_Def_Flows[Name(EN)],0),16)</f>
        <v>#N/A</v>
      </c>
      <c r="AD357" s="112" t="e">
        <f>IF(J357="Yes",AA357*Tab_Data_Flows[[#This Row],[WC_'[%']]],"N.A.")</f>
        <v>#N/A</v>
      </c>
      <c r="AE357" s="61">
        <f>Tab_Data_Flows[[#This Row],[UoM_Flow_Py]]</f>
        <v>0</v>
      </c>
      <c r="AF357" s="111" t="e">
        <f>INDEX(Tab_Def_Flows[[Flow_ID]:[CC_DM_source]],MATCH(Tab_Data_Flows[[#This Row],[Name(EN)]],Tab_Def_Flows[Name(EN)],0),18)</f>
        <v>#N/A</v>
      </c>
      <c r="AG357" s="112" t="e">
        <f>IF(K357="Yes",AF357*Tab_Data_Flows[[#This Row],[Flow_Py]],"N.A.")</f>
        <v>#N/A</v>
      </c>
      <c r="AH357" s="61">
        <f>Tab_Data_Flows[[#This Row],[UoM_Flow_Py]]</f>
        <v>0</v>
      </c>
      <c r="AI357" s="111" t="e">
        <f>INDEX(Tab_Def_Flows[[Flow_ID]:[CC_DM_source]],MATCH(Tab_Data_Flows[[#This Row],[Name(EN)]],Tab_Def_Flows[Name(EN)],0),20)</f>
        <v>#N/A</v>
      </c>
      <c r="AJ357" s="109" t="e">
        <f>IF(L357="Yes",AI357*Tab_Data_Flows[[#This Row],[Flow_Py]]*Tab_Data_Flows[[#This Row],[DM_'[%']]],"N.A.")</f>
        <v>#N/A</v>
      </c>
      <c r="AK357" s="61">
        <f>Tab_Data_Flows[[#This Row],[UoM_Flow_Py]]</f>
        <v>0</v>
      </c>
    </row>
    <row r="358" spans="1:37" ht="15.75" thickBot="1" x14ac:dyDescent="0.3">
      <c r="A358" s="60">
        <f t="shared" si="12"/>
        <v>357</v>
      </c>
      <c r="B358" s="49" t="str">
        <f>_xlfn.XLOOKUP(C358,Tab_Def_Flows[Name(EN)],Tab_Def_Flows[Flow_ID],,0,)</f>
        <v>F_24_24</v>
      </c>
      <c r="C358" s="51"/>
      <c r="D358" s="49">
        <f>_xlfn.XLOOKUP(C358,Tab_Def_Flows[Name(EN)],Tab_Def_Flows[Type_Biomass],,0,)</f>
        <v>0</v>
      </c>
      <c r="E358" s="49">
        <f>_xlfn.XLOOKUP(C358,Tab_Def_Flows[Name(EN)],Tab_Def_Flows[Output_Process],,0,)</f>
        <v>0</v>
      </c>
      <c r="F358" s="49" t="str">
        <f>_xlfn.XLOOKUP(C358,Tab_Def_Flows[Name(EN)],Tab_Def_Flows[Process_ID_O],,0,)</f>
        <v>24__</v>
      </c>
      <c r="G358" s="49">
        <f>_xlfn.XLOOKUP(C358,Tab_Def_Flows[Name(EN)],Tab_Def_Flows[Input_Process],,0,)</f>
        <v>0</v>
      </c>
      <c r="H358" s="61" t="str">
        <f>_xlfn.XLOOKUP(C358,Tab_Def_Flows[Name(EN)],Tab_Def_Flows[Process_ID_I],,0,)</f>
        <v>24__</v>
      </c>
      <c r="I358" s="49">
        <f>_xlfn.XLOOKUP(C358,Tab_Def_Flows[Name(EN)],Tab_Def_Flows[Value_Source],,0,)</f>
        <v>0</v>
      </c>
      <c r="J358" s="61" t="str">
        <f>_xlfn.XLOOKUP(C358,Tab_Def_Flows[Name(EN)],Tab_Def_Flows[WC?],,0,)</f>
        <v>Yes</v>
      </c>
      <c r="K358" s="61" t="str">
        <f>_xlfn.XLOOKUP(C358,Tab_Def_Flows[Name(EN)],Tab_Def_Flows[DM?],,0,)</f>
        <v>Yes</v>
      </c>
      <c r="L358" s="61" t="str">
        <f>_xlfn.XLOOKUP(C358,Tab_Def_Flows[Name(EN)],Tab_Def_Flows[CC?],,0,)</f>
        <v>Yes</v>
      </c>
      <c r="M358" s="51"/>
      <c r="N358" s="51"/>
      <c r="O358" s="119"/>
      <c r="P358" s="51" t="s">
        <v>389</v>
      </c>
      <c r="Q358" s="51"/>
      <c r="R358" s="51"/>
      <c r="S358" s="51"/>
      <c r="T358" s="51"/>
      <c r="U358" s="51"/>
      <c r="V358" s="51"/>
      <c r="W358" s="51"/>
      <c r="X358" s="51" t="s">
        <v>71</v>
      </c>
      <c r="Y358" s="51"/>
      <c r="Z358" s="51"/>
      <c r="AA358" s="86">
        <f t="shared" si="11"/>
        <v>0</v>
      </c>
      <c r="AB358" s="51"/>
      <c r="AC358" s="111" t="e">
        <f>INDEX(Tab_Def_Flows[[Flow_ID]:[CC_DM_source]],MATCH(Tab_Data_Flows[[#This Row],[Name(EN)]],Tab_Def_Flows[Name(EN)],0),16)</f>
        <v>#N/A</v>
      </c>
      <c r="AD358" s="112" t="e">
        <f>IF(J358="Yes",AA358*Tab_Data_Flows[[#This Row],[WC_'[%']]],"N.A.")</f>
        <v>#N/A</v>
      </c>
      <c r="AE358" s="61">
        <f>Tab_Data_Flows[[#This Row],[UoM_Flow_Py]]</f>
        <v>0</v>
      </c>
      <c r="AF358" s="111" t="e">
        <f>INDEX(Tab_Def_Flows[[Flow_ID]:[CC_DM_source]],MATCH(Tab_Data_Flows[[#This Row],[Name(EN)]],Tab_Def_Flows[Name(EN)],0),18)</f>
        <v>#N/A</v>
      </c>
      <c r="AG358" s="112" t="e">
        <f>IF(K358="Yes",AF358*Tab_Data_Flows[[#This Row],[Flow_Py]],"N.A.")</f>
        <v>#N/A</v>
      </c>
      <c r="AH358" s="61">
        <f>Tab_Data_Flows[[#This Row],[UoM_Flow_Py]]</f>
        <v>0</v>
      </c>
      <c r="AI358" s="111" t="e">
        <f>INDEX(Tab_Def_Flows[[Flow_ID]:[CC_DM_source]],MATCH(Tab_Data_Flows[[#This Row],[Name(EN)]],Tab_Def_Flows[Name(EN)],0),20)</f>
        <v>#N/A</v>
      </c>
      <c r="AJ358" s="109" t="e">
        <f>IF(L358="Yes",AI358*Tab_Data_Flows[[#This Row],[Flow_Py]]*Tab_Data_Flows[[#This Row],[DM_'[%']]],"N.A.")</f>
        <v>#N/A</v>
      </c>
      <c r="AK358" s="61">
        <f>Tab_Data_Flows[[#This Row],[UoM_Flow_Py]]</f>
        <v>0</v>
      </c>
    </row>
    <row r="359" spans="1:37" ht="15.75" thickBot="1" x14ac:dyDescent="0.3">
      <c r="A359" s="60">
        <f t="shared" si="12"/>
        <v>358</v>
      </c>
      <c r="B359" s="49" t="str">
        <f>_xlfn.XLOOKUP(C359,Tab_Def_Flows[Name(EN)],Tab_Def_Flows[Flow_ID],,0,)</f>
        <v>F_24_24</v>
      </c>
      <c r="C359" s="51"/>
      <c r="D359" s="49">
        <f>_xlfn.XLOOKUP(C359,Tab_Def_Flows[Name(EN)],Tab_Def_Flows[Type_Biomass],,0,)</f>
        <v>0</v>
      </c>
      <c r="E359" s="49">
        <f>_xlfn.XLOOKUP(C359,Tab_Def_Flows[Name(EN)],Tab_Def_Flows[Output_Process],,0,)</f>
        <v>0</v>
      </c>
      <c r="F359" s="49" t="str">
        <f>_xlfn.XLOOKUP(C359,Tab_Def_Flows[Name(EN)],Tab_Def_Flows[Process_ID_O],,0,)</f>
        <v>24__</v>
      </c>
      <c r="G359" s="49">
        <f>_xlfn.XLOOKUP(C359,Tab_Def_Flows[Name(EN)],Tab_Def_Flows[Input_Process],,0,)</f>
        <v>0</v>
      </c>
      <c r="H359" s="61" t="str">
        <f>_xlfn.XLOOKUP(C359,Tab_Def_Flows[Name(EN)],Tab_Def_Flows[Process_ID_I],,0,)</f>
        <v>24__</v>
      </c>
      <c r="I359" s="49">
        <f>_xlfn.XLOOKUP(C359,Tab_Def_Flows[Name(EN)],Tab_Def_Flows[Value_Source],,0,)</f>
        <v>0</v>
      </c>
      <c r="J359" s="61" t="str">
        <f>_xlfn.XLOOKUP(C359,Tab_Def_Flows[Name(EN)],Tab_Def_Flows[WC?],,0,)</f>
        <v>Yes</v>
      </c>
      <c r="K359" s="61" t="str">
        <f>_xlfn.XLOOKUP(C359,Tab_Def_Flows[Name(EN)],Tab_Def_Flows[DM?],,0,)</f>
        <v>Yes</v>
      </c>
      <c r="L359" s="61" t="str">
        <f>_xlfn.XLOOKUP(C359,Tab_Def_Flows[Name(EN)],Tab_Def_Flows[CC?],,0,)</f>
        <v>Yes</v>
      </c>
      <c r="M359" s="51"/>
      <c r="N359" s="51"/>
      <c r="O359" s="119"/>
      <c r="P359" s="51" t="s">
        <v>389</v>
      </c>
      <c r="Q359" s="51"/>
      <c r="R359" s="51"/>
      <c r="S359" s="51"/>
      <c r="T359" s="51"/>
      <c r="U359" s="51"/>
      <c r="V359" s="51"/>
      <c r="W359" s="51"/>
      <c r="X359" s="51" t="s">
        <v>71</v>
      </c>
      <c r="Y359" s="51"/>
      <c r="Z359" s="51"/>
      <c r="AA359" s="86">
        <f t="shared" si="11"/>
        <v>0</v>
      </c>
      <c r="AB359" s="51"/>
      <c r="AC359" s="111" t="e">
        <f>INDEX(Tab_Def_Flows[[Flow_ID]:[CC_DM_source]],MATCH(Tab_Data_Flows[[#This Row],[Name(EN)]],Tab_Def_Flows[Name(EN)],0),16)</f>
        <v>#N/A</v>
      </c>
      <c r="AD359" s="112" t="e">
        <f>IF(J359="Yes",AA359*Tab_Data_Flows[[#This Row],[WC_'[%']]],"N.A.")</f>
        <v>#N/A</v>
      </c>
      <c r="AE359" s="61">
        <f>Tab_Data_Flows[[#This Row],[UoM_Flow_Py]]</f>
        <v>0</v>
      </c>
      <c r="AF359" s="111" t="e">
        <f>INDEX(Tab_Def_Flows[[Flow_ID]:[CC_DM_source]],MATCH(Tab_Data_Flows[[#This Row],[Name(EN)]],Tab_Def_Flows[Name(EN)],0),18)</f>
        <v>#N/A</v>
      </c>
      <c r="AG359" s="112" t="e">
        <f>IF(K359="Yes",AF359*Tab_Data_Flows[[#This Row],[Flow_Py]],"N.A.")</f>
        <v>#N/A</v>
      </c>
      <c r="AH359" s="61">
        <f>Tab_Data_Flows[[#This Row],[UoM_Flow_Py]]</f>
        <v>0</v>
      </c>
      <c r="AI359" s="111" t="e">
        <f>INDEX(Tab_Def_Flows[[Flow_ID]:[CC_DM_source]],MATCH(Tab_Data_Flows[[#This Row],[Name(EN)]],Tab_Def_Flows[Name(EN)],0),20)</f>
        <v>#N/A</v>
      </c>
      <c r="AJ359" s="109" t="e">
        <f>IF(L359="Yes",AI359*Tab_Data_Flows[[#This Row],[Flow_Py]]*Tab_Data_Flows[[#This Row],[DM_'[%']]],"N.A.")</f>
        <v>#N/A</v>
      </c>
      <c r="AK359" s="61">
        <f>Tab_Data_Flows[[#This Row],[UoM_Flow_Py]]</f>
        <v>0</v>
      </c>
    </row>
    <row r="360" spans="1:37" ht="15.75" thickBot="1" x14ac:dyDescent="0.3">
      <c r="A360" s="60">
        <f t="shared" si="12"/>
        <v>359</v>
      </c>
      <c r="B360" s="49" t="str">
        <f>_xlfn.XLOOKUP(C360,Tab_Def_Flows[Name(EN)],Tab_Def_Flows[Flow_ID],,0,)</f>
        <v>F_24_24</v>
      </c>
      <c r="C360" s="51"/>
      <c r="D360" s="49">
        <f>_xlfn.XLOOKUP(C360,Tab_Def_Flows[Name(EN)],Tab_Def_Flows[Type_Biomass],,0,)</f>
        <v>0</v>
      </c>
      <c r="E360" s="49">
        <f>_xlfn.XLOOKUP(C360,Tab_Def_Flows[Name(EN)],Tab_Def_Flows[Output_Process],,0,)</f>
        <v>0</v>
      </c>
      <c r="F360" s="49" t="str">
        <f>_xlfn.XLOOKUP(C360,Tab_Def_Flows[Name(EN)],Tab_Def_Flows[Process_ID_O],,0,)</f>
        <v>24__</v>
      </c>
      <c r="G360" s="49">
        <f>_xlfn.XLOOKUP(C360,Tab_Def_Flows[Name(EN)],Tab_Def_Flows[Input_Process],,0,)</f>
        <v>0</v>
      </c>
      <c r="H360" s="61" t="str">
        <f>_xlfn.XLOOKUP(C360,Tab_Def_Flows[Name(EN)],Tab_Def_Flows[Process_ID_I],,0,)</f>
        <v>24__</v>
      </c>
      <c r="I360" s="49">
        <f>_xlfn.XLOOKUP(C360,Tab_Def_Flows[Name(EN)],Tab_Def_Flows[Value_Source],,0,)</f>
        <v>0</v>
      </c>
      <c r="J360" s="61" t="str">
        <f>_xlfn.XLOOKUP(C360,Tab_Def_Flows[Name(EN)],Tab_Def_Flows[WC?],,0,)</f>
        <v>Yes</v>
      </c>
      <c r="K360" s="61" t="str">
        <f>_xlfn.XLOOKUP(C360,Tab_Def_Flows[Name(EN)],Tab_Def_Flows[DM?],,0,)</f>
        <v>Yes</v>
      </c>
      <c r="L360" s="61" t="str">
        <f>_xlfn.XLOOKUP(C360,Tab_Def_Flows[Name(EN)],Tab_Def_Flows[CC?],,0,)</f>
        <v>Yes</v>
      </c>
      <c r="M360" s="51"/>
      <c r="N360" s="51"/>
      <c r="O360" s="119"/>
      <c r="P360" s="51" t="s">
        <v>389</v>
      </c>
      <c r="Q360" s="51"/>
      <c r="R360" s="51"/>
      <c r="S360" s="51"/>
      <c r="T360" s="51"/>
      <c r="U360" s="51"/>
      <c r="V360" s="51"/>
      <c r="W360" s="51"/>
      <c r="X360" s="51" t="s">
        <v>71</v>
      </c>
      <c r="Y360" s="51"/>
      <c r="Z360" s="51"/>
      <c r="AA360" s="86">
        <f t="shared" si="11"/>
        <v>0</v>
      </c>
      <c r="AB360" s="51"/>
      <c r="AC360" s="111" t="e">
        <f>INDEX(Tab_Def_Flows[[Flow_ID]:[CC_DM_source]],MATCH(Tab_Data_Flows[[#This Row],[Name(EN)]],Tab_Def_Flows[Name(EN)],0),16)</f>
        <v>#N/A</v>
      </c>
      <c r="AD360" s="112" t="e">
        <f>IF(J360="Yes",AA360*Tab_Data_Flows[[#This Row],[WC_'[%']]],"N.A.")</f>
        <v>#N/A</v>
      </c>
      <c r="AE360" s="61">
        <f>Tab_Data_Flows[[#This Row],[UoM_Flow_Py]]</f>
        <v>0</v>
      </c>
      <c r="AF360" s="111" t="e">
        <f>INDEX(Tab_Def_Flows[[Flow_ID]:[CC_DM_source]],MATCH(Tab_Data_Flows[[#This Row],[Name(EN)]],Tab_Def_Flows[Name(EN)],0),18)</f>
        <v>#N/A</v>
      </c>
      <c r="AG360" s="112" t="e">
        <f>IF(K360="Yes",AF360*Tab_Data_Flows[[#This Row],[Flow_Py]],"N.A.")</f>
        <v>#N/A</v>
      </c>
      <c r="AH360" s="61">
        <f>Tab_Data_Flows[[#This Row],[UoM_Flow_Py]]</f>
        <v>0</v>
      </c>
      <c r="AI360" s="111" t="e">
        <f>INDEX(Tab_Def_Flows[[Flow_ID]:[CC_DM_source]],MATCH(Tab_Data_Flows[[#This Row],[Name(EN)]],Tab_Def_Flows[Name(EN)],0),20)</f>
        <v>#N/A</v>
      </c>
      <c r="AJ360" s="109" t="e">
        <f>IF(L360="Yes",AI360*Tab_Data_Flows[[#This Row],[Flow_Py]]*Tab_Data_Flows[[#This Row],[DM_'[%']]],"N.A.")</f>
        <v>#N/A</v>
      </c>
      <c r="AK360" s="61">
        <f>Tab_Data_Flows[[#This Row],[UoM_Flow_Py]]</f>
        <v>0</v>
      </c>
    </row>
    <row r="361" spans="1:37" ht="15.75" thickBot="1" x14ac:dyDescent="0.3">
      <c r="A361" s="60">
        <f t="shared" si="12"/>
        <v>360</v>
      </c>
      <c r="B361" s="49" t="str">
        <f>_xlfn.XLOOKUP(C361,Tab_Def_Flows[Name(EN)],Tab_Def_Flows[Flow_ID],,0,)</f>
        <v>F_24_24</v>
      </c>
      <c r="C361" s="51"/>
      <c r="D361" s="49">
        <f>_xlfn.XLOOKUP(C361,Tab_Def_Flows[Name(EN)],Tab_Def_Flows[Type_Biomass],,0,)</f>
        <v>0</v>
      </c>
      <c r="E361" s="49">
        <f>_xlfn.XLOOKUP(C361,Tab_Def_Flows[Name(EN)],Tab_Def_Flows[Output_Process],,0,)</f>
        <v>0</v>
      </c>
      <c r="F361" s="49" t="str">
        <f>_xlfn.XLOOKUP(C361,Tab_Def_Flows[Name(EN)],Tab_Def_Flows[Process_ID_O],,0,)</f>
        <v>24__</v>
      </c>
      <c r="G361" s="49">
        <f>_xlfn.XLOOKUP(C361,Tab_Def_Flows[Name(EN)],Tab_Def_Flows[Input_Process],,0,)</f>
        <v>0</v>
      </c>
      <c r="H361" s="61" t="str">
        <f>_xlfn.XLOOKUP(C361,Tab_Def_Flows[Name(EN)],Tab_Def_Flows[Process_ID_I],,0,)</f>
        <v>24__</v>
      </c>
      <c r="I361" s="49">
        <f>_xlfn.XLOOKUP(C361,Tab_Def_Flows[Name(EN)],Tab_Def_Flows[Value_Source],,0,)</f>
        <v>0</v>
      </c>
      <c r="J361" s="61" t="str">
        <f>_xlfn.XLOOKUP(C361,Tab_Def_Flows[Name(EN)],Tab_Def_Flows[WC?],,0,)</f>
        <v>Yes</v>
      </c>
      <c r="K361" s="61" t="str">
        <f>_xlfn.XLOOKUP(C361,Tab_Def_Flows[Name(EN)],Tab_Def_Flows[DM?],,0,)</f>
        <v>Yes</v>
      </c>
      <c r="L361" s="61" t="str">
        <f>_xlfn.XLOOKUP(C361,Tab_Def_Flows[Name(EN)],Tab_Def_Flows[CC?],,0,)</f>
        <v>Yes</v>
      </c>
      <c r="M361" s="51"/>
      <c r="N361" s="51"/>
      <c r="O361" s="119"/>
      <c r="P361" s="51" t="s">
        <v>389</v>
      </c>
      <c r="Q361" s="51"/>
      <c r="R361" s="51"/>
      <c r="S361" s="51"/>
      <c r="T361" s="51"/>
      <c r="U361" s="51"/>
      <c r="V361" s="51"/>
      <c r="W361" s="51"/>
      <c r="X361" s="51" t="s">
        <v>71</v>
      </c>
      <c r="Y361" s="51"/>
      <c r="Z361" s="51"/>
      <c r="AA361" s="86">
        <f t="shared" si="11"/>
        <v>0</v>
      </c>
      <c r="AB361" s="51"/>
      <c r="AC361" s="111" t="e">
        <f>INDEX(Tab_Def_Flows[[Flow_ID]:[CC_DM_source]],MATCH(Tab_Data_Flows[[#This Row],[Name(EN)]],Tab_Def_Flows[Name(EN)],0),16)</f>
        <v>#N/A</v>
      </c>
      <c r="AD361" s="112" t="e">
        <f>IF(J361="Yes",AA361*Tab_Data_Flows[[#This Row],[WC_'[%']]],"N.A.")</f>
        <v>#N/A</v>
      </c>
      <c r="AE361" s="61">
        <f>Tab_Data_Flows[[#This Row],[UoM_Flow_Py]]</f>
        <v>0</v>
      </c>
      <c r="AF361" s="111" t="e">
        <f>INDEX(Tab_Def_Flows[[Flow_ID]:[CC_DM_source]],MATCH(Tab_Data_Flows[[#This Row],[Name(EN)]],Tab_Def_Flows[Name(EN)],0),18)</f>
        <v>#N/A</v>
      </c>
      <c r="AG361" s="112" t="e">
        <f>IF(K361="Yes",AF361*Tab_Data_Flows[[#This Row],[Flow_Py]],"N.A.")</f>
        <v>#N/A</v>
      </c>
      <c r="AH361" s="61">
        <f>Tab_Data_Flows[[#This Row],[UoM_Flow_Py]]</f>
        <v>0</v>
      </c>
      <c r="AI361" s="111" t="e">
        <f>INDEX(Tab_Def_Flows[[Flow_ID]:[CC_DM_source]],MATCH(Tab_Data_Flows[[#This Row],[Name(EN)]],Tab_Def_Flows[Name(EN)],0),20)</f>
        <v>#N/A</v>
      </c>
      <c r="AJ361" s="109" t="e">
        <f>IF(L361="Yes",AI361*Tab_Data_Flows[[#This Row],[Flow_Py]]*Tab_Data_Flows[[#This Row],[DM_'[%']]],"N.A.")</f>
        <v>#N/A</v>
      </c>
      <c r="AK361" s="61">
        <f>Tab_Data_Flows[[#This Row],[UoM_Flow_Py]]</f>
        <v>0</v>
      </c>
    </row>
    <row r="362" spans="1:37" ht="15.75" thickBot="1" x14ac:dyDescent="0.3">
      <c r="A362" s="60">
        <f t="shared" si="12"/>
        <v>361</v>
      </c>
      <c r="B362" s="49" t="str">
        <f>_xlfn.XLOOKUP(C362,Tab_Def_Flows[Name(EN)],Tab_Def_Flows[Flow_ID],,0,)</f>
        <v>F_24_24</v>
      </c>
      <c r="C362" s="51"/>
      <c r="D362" s="49">
        <f>_xlfn.XLOOKUP(C362,Tab_Def_Flows[Name(EN)],Tab_Def_Flows[Type_Biomass],,0,)</f>
        <v>0</v>
      </c>
      <c r="E362" s="49">
        <f>_xlfn.XLOOKUP(C362,Tab_Def_Flows[Name(EN)],Tab_Def_Flows[Output_Process],,0,)</f>
        <v>0</v>
      </c>
      <c r="F362" s="49" t="str">
        <f>_xlfn.XLOOKUP(C362,Tab_Def_Flows[Name(EN)],Tab_Def_Flows[Process_ID_O],,0,)</f>
        <v>24__</v>
      </c>
      <c r="G362" s="49">
        <f>_xlfn.XLOOKUP(C362,Tab_Def_Flows[Name(EN)],Tab_Def_Flows[Input_Process],,0,)</f>
        <v>0</v>
      </c>
      <c r="H362" s="61" t="str">
        <f>_xlfn.XLOOKUP(C362,Tab_Def_Flows[Name(EN)],Tab_Def_Flows[Process_ID_I],,0,)</f>
        <v>24__</v>
      </c>
      <c r="I362" s="49">
        <f>_xlfn.XLOOKUP(C362,Tab_Def_Flows[Name(EN)],Tab_Def_Flows[Value_Source],,0,)</f>
        <v>0</v>
      </c>
      <c r="J362" s="61" t="str">
        <f>_xlfn.XLOOKUP(C362,Tab_Def_Flows[Name(EN)],Tab_Def_Flows[WC?],,0,)</f>
        <v>Yes</v>
      </c>
      <c r="K362" s="61" t="str">
        <f>_xlfn.XLOOKUP(C362,Tab_Def_Flows[Name(EN)],Tab_Def_Flows[DM?],,0,)</f>
        <v>Yes</v>
      </c>
      <c r="L362" s="61" t="str">
        <f>_xlfn.XLOOKUP(C362,Tab_Def_Flows[Name(EN)],Tab_Def_Flows[CC?],,0,)</f>
        <v>Yes</v>
      </c>
      <c r="M362" s="51"/>
      <c r="N362" s="51"/>
      <c r="O362" s="119"/>
      <c r="P362" s="51" t="s">
        <v>389</v>
      </c>
      <c r="Q362" s="51"/>
      <c r="R362" s="51"/>
      <c r="S362" s="51"/>
      <c r="T362" s="51"/>
      <c r="U362" s="51"/>
      <c r="V362" s="51"/>
      <c r="W362" s="51"/>
      <c r="X362" s="51" t="s">
        <v>71</v>
      </c>
      <c r="Y362" s="51"/>
      <c r="Z362" s="51"/>
      <c r="AA362" s="86">
        <f t="shared" si="11"/>
        <v>0</v>
      </c>
      <c r="AB362" s="51"/>
      <c r="AC362" s="111" t="e">
        <f>INDEX(Tab_Def_Flows[[Flow_ID]:[CC_DM_source]],MATCH(Tab_Data_Flows[[#This Row],[Name(EN)]],Tab_Def_Flows[Name(EN)],0),16)</f>
        <v>#N/A</v>
      </c>
      <c r="AD362" s="112" t="e">
        <f>IF(J362="Yes",AA362*Tab_Data_Flows[[#This Row],[WC_'[%']]],"N.A.")</f>
        <v>#N/A</v>
      </c>
      <c r="AE362" s="61">
        <f>Tab_Data_Flows[[#This Row],[UoM_Flow_Py]]</f>
        <v>0</v>
      </c>
      <c r="AF362" s="111" t="e">
        <f>INDEX(Tab_Def_Flows[[Flow_ID]:[CC_DM_source]],MATCH(Tab_Data_Flows[[#This Row],[Name(EN)]],Tab_Def_Flows[Name(EN)],0),18)</f>
        <v>#N/A</v>
      </c>
      <c r="AG362" s="112" t="e">
        <f>IF(K362="Yes",AF362*Tab_Data_Flows[[#This Row],[Flow_Py]],"N.A.")</f>
        <v>#N/A</v>
      </c>
      <c r="AH362" s="61">
        <f>Tab_Data_Flows[[#This Row],[UoM_Flow_Py]]</f>
        <v>0</v>
      </c>
      <c r="AI362" s="111" t="e">
        <f>INDEX(Tab_Def_Flows[[Flow_ID]:[CC_DM_source]],MATCH(Tab_Data_Flows[[#This Row],[Name(EN)]],Tab_Def_Flows[Name(EN)],0),20)</f>
        <v>#N/A</v>
      </c>
      <c r="AJ362" s="109" t="e">
        <f>IF(L362="Yes",AI362*Tab_Data_Flows[[#This Row],[Flow_Py]]*Tab_Data_Flows[[#This Row],[DM_'[%']]],"N.A.")</f>
        <v>#N/A</v>
      </c>
      <c r="AK362" s="61">
        <f>Tab_Data_Flows[[#This Row],[UoM_Flow_Py]]</f>
        <v>0</v>
      </c>
    </row>
    <row r="363" spans="1:37" ht="15.75" thickBot="1" x14ac:dyDescent="0.3">
      <c r="A363" s="60">
        <f t="shared" si="12"/>
        <v>362</v>
      </c>
      <c r="B363" s="49" t="str">
        <f>_xlfn.XLOOKUP(C363,Tab_Def_Flows[Name(EN)],Tab_Def_Flows[Flow_ID],,0,)</f>
        <v>F_24_24</v>
      </c>
      <c r="C363" s="51"/>
      <c r="D363" s="49">
        <f>_xlfn.XLOOKUP(C363,Tab_Def_Flows[Name(EN)],Tab_Def_Flows[Type_Biomass],,0,)</f>
        <v>0</v>
      </c>
      <c r="E363" s="49">
        <f>_xlfn.XLOOKUP(C363,Tab_Def_Flows[Name(EN)],Tab_Def_Flows[Output_Process],,0,)</f>
        <v>0</v>
      </c>
      <c r="F363" s="49" t="str">
        <f>_xlfn.XLOOKUP(C363,Tab_Def_Flows[Name(EN)],Tab_Def_Flows[Process_ID_O],,0,)</f>
        <v>24__</v>
      </c>
      <c r="G363" s="49">
        <f>_xlfn.XLOOKUP(C363,Tab_Def_Flows[Name(EN)],Tab_Def_Flows[Input_Process],,0,)</f>
        <v>0</v>
      </c>
      <c r="H363" s="61" t="str">
        <f>_xlfn.XLOOKUP(C363,Tab_Def_Flows[Name(EN)],Tab_Def_Flows[Process_ID_I],,0,)</f>
        <v>24__</v>
      </c>
      <c r="I363" s="49">
        <f>_xlfn.XLOOKUP(C363,Tab_Def_Flows[Name(EN)],Tab_Def_Flows[Value_Source],,0,)</f>
        <v>0</v>
      </c>
      <c r="J363" s="61" t="str">
        <f>_xlfn.XLOOKUP(C363,Tab_Def_Flows[Name(EN)],Tab_Def_Flows[WC?],,0,)</f>
        <v>Yes</v>
      </c>
      <c r="K363" s="61" t="str">
        <f>_xlfn.XLOOKUP(C363,Tab_Def_Flows[Name(EN)],Tab_Def_Flows[DM?],,0,)</f>
        <v>Yes</v>
      </c>
      <c r="L363" s="61" t="str">
        <f>_xlfn.XLOOKUP(C363,Tab_Def_Flows[Name(EN)],Tab_Def_Flows[CC?],,0,)</f>
        <v>Yes</v>
      </c>
      <c r="M363" s="51"/>
      <c r="N363" s="51"/>
      <c r="O363" s="119"/>
      <c r="P363" s="51" t="s">
        <v>389</v>
      </c>
      <c r="Q363" s="51"/>
      <c r="R363" s="51"/>
      <c r="S363" s="51"/>
      <c r="T363" s="51"/>
      <c r="U363" s="51"/>
      <c r="V363" s="51"/>
      <c r="W363" s="51"/>
      <c r="X363" s="51" t="s">
        <v>71</v>
      </c>
      <c r="Y363" s="51"/>
      <c r="Z363" s="51"/>
      <c r="AA363" s="86">
        <f t="shared" si="11"/>
        <v>0</v>
      </c>
      <c r="AB363" s="51"/>
      <c r="AC363" s="111" t="e">
        <f>INDEX(Tab_Def_Flows[[Flow_ID]:[CC_DM_source]],MATCH(Tab_Data_Flows[[#This Row],[Name(EN)]],Tab_Def_Flows[Name(EN)],0),16)</f>
        <v>#N/A</v>
      </c>
      <c r="AD363" s="112" t="e">
        <f>IF(J363="Yes",AA363*Tab_Data_Flows[[#This Row],[WC_'[%']]],"N.A.")</f>
        <v>#N/A</v>
      </c>
      <c r="AE363" s="61">
        <f>Tab_Data_Flows[[#This Row],[UoM_Flow_Py]]</f>
        <v>0</v>
      </c>
      <c r="AF363" s="111" t="e">
        <f>INDEX(Tab_Def_Flows[[Flow_ID]:[CC_DM_source]],MATCH(Tab_Data_Flows[[#This Row],[Name(EN)]],Tab_Def_Flows[Name(EN)],0),18)</f>
        <v>#N/A</v>
      </c>
      <c r="AG363" s="112" t="e">
        <f>IF(K363="Yes",AF363*Tab_Data_Flows[[#This Row],[Flow_Py]],"N.A.")</f>
        <v>#N/A</v>
      </c>
      <c r="AH363" s="61">
        <f>Tab_Data_Flows[[#This Row],[UoM_Flow_Py]]</f>
        <v>0</v>
      </c>
      <c r="AI363" s="111" t="e">
        <f>INDEX(Tab_Def_Flows[[Flow_ID]:[CC_DM_source]],MATCH(Tab_Data_Flows[[#This Row],[Name(EN)]],Tab_Def_Flows[Name(EN)],0),20)</f>
        <v>#N/A</v>
      </c>
      <c r="AJ363" s="109" t="e">
        <f>IF(L363="Yes",AI363*Tab_Data_Flows[[#This Row],[Flow_Py]]*Tab_Data_Flows[[#This Row],[DM_'[%']]],"N.A.")</f>
        <v>#N/A</v>
      </c>
      <c r="AK363" s="61">
        <f>Tab_Data_Flows[[#This Row],[UoM_Flow_Py]]</f>
        <v>0</v>
      </c>
    </row>
    <row r="364" spans="1:37" ht="15.75" thickBot="1" x14ac:dyDescent="0.3">
      <c r="A364" s="60">
        <f t="shared" si="12"/>
        <v>363</v>
      </c>
      <c r="B364" s="49" t="str">
        <f>_xlfn.XLOOKUP(C364,Tab_Def_Flows[Name(EN)],Tab_Def_Flows[Flow_ID],,0,)</f>
        <v>F_24_24</v>
      </c>
      <c r="C364" s="51"/>
      <c r="D364" s="49">
        <f>_xlfn.XLOOKUP(C364,Tab_Def_Flows[Name(EN)],Tab_Def_Flows[Type_Biomass],,0,)</f>
        <v>0</v>
      </c>
      <c r="E364" s="49">
        <f>_xlfn.XLOOKUP(C364,Tab_Def_Flows[Name(EN)],Tab_Def_Flows[Output_Process],,0,)</f>
        <v>0</v>
      </c>
      <c r="F364" s="49" t="str">
        <f>_xlfn.XLOOKUP(C364,Tab_Def_Flows[Name(EN)],Tab_Def_Flows[Process_ID_O],,0,)</f>
        <v>24__</v>
      </c>
      <c r="G364" s="49">
        <f>_xlfn.XLOOKUP(C364,Tab_Def_Flows[Name(EN)],Tab_Def_Flows[Input_Process],,0,)</f>
        <v>0</v>
      </c>
      <c r="H364" s="61" t="str">
        <f>_xlfn.XLOOKUP(C364,Tab_Def_Flows[Name(EN)],Tab_Def_Flows[Process_ID_I],,0,)</f>
        <v>24__</v>
      </c>
      <c r="I364" s="49">
        <f>_xlfn.XLOOKUP(C364,Tab_Def_Flows[Name(EN)],Tab_Def_Flows[Value_Source],,0,)</f>
        <v>0</v>
      </c>
      <c r="J364" s="61" t="str">
        <f>_xlfn.XLOOKUP(C364,Tab_Def_Flows[Name(EN)],Tab_Def_Flows[WC?],,0,)</f>
        <v>Yes</v>
      </c>
      <c r="K364" s="61" t="str">
        <f>_xlfn.XLOOKUP(C364,Tab_Def_Flows[Name(EN)],Tab_Def_Flows[DM?],,0,)</f>
        <v>Yes</v>
      </c>
      <c r="L364" s="61" t="str">
        <f>_xlfn.XLOOKUP(C364,Tab_Def_Flows[Name(EN)],Tab_Def_Flows[CC?],,0,)</f>
        <v>Yes</v>
      </c>
      <c r="M364" s="51"/>
      <c r="N364" s="51"/>
      <c r="O364" s="119"/>
      <c r="P364" s="51" t="s">
        <v>389</v>
      </c>
      <c r="Q364" s="51"/>
      <c r="R364" s="51"/>
      <c r="S364" s="51"/>
      <c r="T364" s="51"/>
      <c r="U364" s="51"/>
      <c r="V364" s="51"/>
      <c r="W364" s="51"/>
      <c r="X364" s="51" t="s">
        <v>71</v>
      </c>
      <c r="Y364" s="51"/>
      <c r="Z364" s="51"/>
      <c r="AA364" s="86">
        <f t="shared" si="11"/>
        <v>0</v>
      </c>
      <c r="AB364" s="51"/>
      <c r="AC364" s="111" t="e">
        <f>INDEX(Tab_Def_Flows[[Flow_ID]:[CC_DM_source]],MATCH(Tab_Data_Flows[[#This Row],[Name(EN)]],Tab_Def_Flows[Name(EN)],0),16)</f>
        <v>#N/A</v>
      </c>
      <c r="AD364" s="112" t="e">
        <f>IF(J364="Yes",AA364*Tab_Data_Flows[[#This Row],[WC_'[%']]],"N.A.")</f>
        <v>#N/A</v>
      </c>
      <c r="AE364" s="61">
        <f>Tab_Data_Flows[[#This Row],[UoM_Flow_Py]]</f>
        <v>0</v>
      </c>
      <c r="AF364" s="111" t="e">
        <f>INDEX(Tab_Def_Flows[[Flow_ID]:[CC_DM_source]],MATCH(Tab_Data_Flows[[#This Row],[Name(EN)]],Tab_Def_Flows[Name(EN)],0),18)</f>
        <v>#N/A</v>
      </c>
      <c r="AG364" s="112" t="e">
        <f>IF(K364="Yes",AF364*Tab_Data_Flows[[#This Row],[Flow_Py]],"N.A.")</f>
        <v>#N/A</v>
      </c>
      <c r="AH364" s="61">
        <f>Tab_Data_Flows[[#This Row],[UoM_Flow_Py]]</f>
        <v>0</v>
      </c>
      <c r="AI364" s="111" t="e">
        <f>INDEX(Tab_Def_Flows[[Flow_ID]:[CC_DM_source]],MATCH(Tab_Data_Flows[[#This Row],[Name(EN)]],Tab_Def_Flows[Name(EN)],0),20)</f>
        <v>#N/A</v>
      </c>
      <c r="AJ364" s="109" t="e">
        <f>IF(L364="Yes",AI364*Tab_Data_Flows[[#This Row],[Flow_Py]]*Tab_Data_Flows[[#This Row],[DM_'[%']]],"N.A.")</f>
        <v>#N/A</v>
      </c>
      <c r="AK364" s="61">
        <f>Tab_Data_Flows[[#This Row],[UoM_Flow_Py]]</f>
        <v>0</v>
      </c>
    </row>
    <row r="365" spans="1:37" ht="15.75" thickBot="1" x14ac:dyDescent="0.3">
      <c r="A365" s="60">
        <f t="shared" si="12"/>
        <v>364</v>
      </c>
      <c r="B365" s="49" t="str">
        <f>_xlfn.XLOOKUP(C365,Tab_Def_Flows[Name(EN)],Tab_Def_Flows[Flow_ID],,0,)</f>
        <v>F_24_24</v>
      </c>
      <c r="C365" s="51"/>
      <c r="D365" s="49">
        <f>_xlfn.XLOOKUP(C365,Tab_Def_Flows[Name(EN)],Tab_Def_Flows[Type_Biomass],,0,)</f>
        <v>0</v>
      </c>
      <c r="E365" s="49">
        <f>_xlfn.XLOOKUP(C365,Tab_Def_Flows[Name(EN)],Tab_Def_Flows[Output_Process],,0,)</f>
        <v>0</v>
      </c>
      <c r="F365" s="49" t="str">
        <f>_xlfn.XLOOKUP(C365,Tab_Def_Flows[Name(EN)],Tab_Def_Flows[Process_ID_O],,0,)</f>
        <v>24__</v>
      </c>
      <c r="G365" s="49">
        <f>_xlfn.XLOOKUP(C365,Tab_Def_Flows[Name(EN)],Tab_Def_Flows[Input_Process],,0,)</f>
        <v>0</v>
      </c>
      <c r="H365" s="61" t="str">
        <f>_xlfn.XLOOKUP(C365,Tab_Def_Flows[Name(EN)],Tab_Def_Flows[Process_ID_I],,0,)</f>
        <v>24__</v>
      </c>
      <c r="I365" s="49">
        <f>_xlfn.XLOOKUP(C365,Tab_Def_Flows[Name(EN)],Tab_Def_Flows[Value_Source],,0,)</f>
        <v>0</v>
      </c>
      <c r="J365" s="61" t="str">
        <f>_xlfn.XLOOKUP(C365,Tab_Def_Flows[Name(EN)],Tab_Def_Flows[WC?],,0,)</f>
        <v>Yes</v>
      </c>
      <c r="K365" s="61" t="str">
        <f>_xlfn.XLOOKUP(C365,Tab_Def_Flows[Name(EN)],Tab_Def_Flows[DM?],,0,)</f>
        <v>Yes</v>
      </c>
      <c r="L365" s="61" t="str">
        <f>_xlfn.XLOOKUP(C365,Tab_Def_Flows[Name(EN)],Tab_Def_Flows[CC?],,0,)</f>
        <v>Yes</v>
      </c>
      <c r="M365" s="51"/>
      <c r="N365" s="51"/>
      <c r="O365" s="119"/>
      <c r="P365" s="51" t="s">
        <v>389</v>
      </c>
      <c r="Q365" s="51"/>
      <c r="R365" s="51"/>
      <c r="S365" s="51"/>
      <c r="T365" s="51"/>
      <c r="U365" s="51"/>
      <c r="V365" s="51"/>
      <c r="W365" s="51"/>
      <c r="X365" s="51" t="s">
        <v>71</v>
      </c>
      <c r="Y365" s="51"/>
      <c r="Z365" s="51"/>
      <c r="AA365" s="86">
        <f t="shared" si="11"/>
        <v>0</v>
      </c>
      <c r="AB365" s="51"/>
      <c r="AC365" s="111" t="e">
        <f>INDEX(Tab_Def_Flows[[Flow_ID]:[CC_DM_source]],MATCH(Tab_Data_Flows[[#This Row],[Name(EN)]],Tab_Def_Flows[Name(EN)],0),16)</f>
        <v>#N/A</v>
      </c>
      <c r="AD365" s="112" t="e">
        <f>IF(J365="Yes",AA365*Tab_Data_Flows[[#This Row],[WC_'[%']]],"N.A.")</f>
        <v>#N/A</v>
      </c>
      <c r="AE365" s="61">
        <f>Tab_Data_Flows[[#This Row],[UoM_Flow_Py]]</f>
        <v>0</v>
      </c>
      <c r="AF365" s="111" t="e">
        <f>INDEX(Tab_Def_Flows[[Flow_ID]:[CC_DM_source]],MATCH(Tab_Data_Flows[[#This Row],[Name(EN)]],Tab_Def_Flows[Name(EN)],0),18)</f>
        <v>#N/A</v>
      </c>
      <c r="AG365" s="112" t="e">
        <f>IF(K365="Yes",AF365*Tab_Data_Flows[[#This Row],[Flow_Py]],"N.A.")</f>
        <v>#N/A</v>
      </c>
      <c r="AH365" s="61">
        <f>Tab_Data_Flows[[#This Row],[UoM_Flow_Py]]</f>
        <v>0</v>
      </c>
      <c r="AI365" s="111" t="e">
        <f>INDEX(Tab_Def_Flows[[Flow_ID]:[CC_DM_source]],MATCH(Tab_Data_Flows[[#This Row],[Name(EN)]],Tab_Def_Flows[Name(EN)],0),20)</f>
        <v>#N/A</v>
      </c>
      <c r="AJ365" s="109" t="e">
        <f>IF(L365="Yes",AI365*Tab_Data_Flows[[#This Row],[Flow_Py]]*Tab_Data_Flows[[#This Row],[DM_'[%']]],"N.A.")</f>
        <v>#N/A</v>
      </c>
      <c r="AK365" s="61">
        <f>Tab_Data_Flows[[#This Row],[UoM_Flow_Py]]</f>
        <v>0</v>
      </c>
    </row>
    <row r="366" spans="1:37" ht="15.75" thickBot="1" x14ac:dyDescent="0.3">
      <c r="A366" s="60">
        <f t="shared" si="12"/>
        <v>365</v>
      </c>
      <c r="B366" s="49" t="str">
        <f>_xlfn.XLOOKUP(C366,Tab_Def_Flows[Name(EN)],Tab_Def_Flows[Flow_ID],,0,)</f>
        <v>F_24_24</v>
      </c>
      <c r="C366" s="51"/>
      <c r="D366" s="49">
        <f>_xlfn.XLOOKUP(C366,Tab_Def_Flows[Name(EN)],Tab_Def_Flows[Type_Biomass],,0,)</f>
        <v>0</v>
      </c>
      <c r="E366" s="49">
        <f>_xlfn.XLOOKUP(C366,Tab_Def_Flows[Name(EN)],Tab_Def_Flows[Output_Process],,0,)</f>
        <v>0</v>
      </c>
      <c r="F366" s="49" t="str">
        <f>_xlfn.XLOOKUP(C366,Tab_Def_Flows[Name(EN)],Tab_Def_Flows[Process_ID_O],,0,)</f>
        <v>24__</v>
      </c>
      <c r="G366" s="49">
        <f>_xlfn.XLOOKUP(C366,Tab_Def_Flows[Name(EN)],Tab_Def_Flows[Input_Process],,0,)</f>
        <v>0</v>
      </c>
      <c r="H366" s="61" t="str">
        <f>_xlfn.XLOOKUP(C366,Tab_Def_Flows[Name(EN)],Tab_Def_Flows[Process_ID_I],,0,)</f>
        <v>24__</v>
      </c>
      <c r="I366" s="49">
        <f>_xlfn.XLOOKUP(C366,Tab_Def_Flows[Name(EN)],Tab_Def_Flows[Value_Source],,0,)</f>
        <v>0</v>
      </c>
      <c r="J366" s="61" t="str">
        <f>_xlfn.XLOOKUP(C366,Tab_Def_Flows[Name(EN)],Tab_Def_Flows[WC?],,0,)</f>
        <v>Yes</v>
      </c>
      <c r="K366" s="61" t="str">
        <f>_xlfn.XLOOKUP(C366,Tab_Def_Flows[Name(EN)],Tab_Def_Flows[DM?],,0,)</f>
        <v>Yes</v>
      </c>
      <c r="L366" s="61" t="str">
        <f>_xlfn.XLOOKUP(C366,Tab_Def_Flows[Name(EN)],Tab_Def_Flows[CC?],,0,)</f>
        <v>Yes</v>
      </c>
      <c r="M366" s="51"/>
      <c r="N366" s="51"/>
      <c r="O366" s="119"/>
      <c r="P366" s="51" t="s">
        <v>389</v>
      </c>
      <c r="Q366" s="51"/>
      <c r="R366" s="51"/>
      <c r="S366" s="51"/>
      <c r="T366" s="51"/>
      <c r="U366" s="51"/>
      <c r="V366" s="51"/>
      <c r="W366" s="51"/>
      <c r="X366" s="51" t="s">
        <v>71</v>
      </c>
      <c r="Y366" s="51"/>
      <c r="Z366" s="51"/>
      <c r="AA366" s="86">
        <f t="shared" si="11"/>
        <v>0</v>
      </c>
      <c r="AB366" s="51"/>
      <c r="AC366" s="111" t="e">
        <f>INDEX(Tab_Def_Flows[[Flow_ID]:[CC_DM_source]],MATCH(Tab_Data_Flows[[#This Row],[Name(EN)]],Tab_Def_Flows[Name(EN)],0),16)</f>
        <v>#N/A</v>
      </c>
      <c r="AD366" s="112" t="e">
        <f>IF(J366="Yes",AA366*Tab_Data_Flows[[#This Row],[WC_'[%']]],"N.A.")</f>
        <v>#N/A</v>
      </c>
      <c r="AE366" s="61">
        <f>Tab_Data_Flows[[#This Row],[UoM_Flow_Py]]</f>
        <v>0</v>
      </c>
      <c r="AF366" s="111" t="e">
        <f>INDEX(Tab_Def_Flows[[Flow_ID]:[CC_DM_source]],MATCH(Tab_Data_Flows[[#This Row],[Name(EN)]],Tab_Def_Flows[Name(EN)],0),18)</f>
        <v>#N/A</v>
      </c>
      <c r="AG366" s="112" t="e">
        <f>IF(K366="Yes",AF366*Tab_Data_Flows[[#This Row],[Flow_Py]],"N.A.")</f>
        <v>#N/A</v>
      </c>
      <c r="AH366" s="61">
        <f>Tab_Data_Flows[[#This Row],[UoM_Flow_Py]]</f>
        <v>0</v>
      </c>
      <c r="AI366" s="111" t="e">
        <f>INDEX(Tab_Def_Flows[[Flow_ID]:[CC_DM_source]],MATCH(Tab_Data_Flows[[#This Row],[Name(EN)]],Tab_Def_Flows[Name(EN)],0),20)</f>
        <v>#N/A</v>
      </c>
      <c r="AJ366" s="109" t="e">
        <f>IF(L366="Yes",AI366*Tab_Data_Flows[[#This Row],[Flow_Py]]*Tab_Data_Flows[[#This Row],[DM_'[%']]],"N.A.")</f>
        <v>#N/A</v>
      </c>
      <c r="AK366" s="61">
        <f>Tab_Data_Flows[[#This Row],[UoM_Flow_Py]]</f>
        <v>0</v>
      </c>
    </row>
    <row r="367" spans="1:37" ht="15.75" thickBot="1" x14ac:dyDescent="0.3">
      <c r="A367" s="60">
        <f t="shared" si="12"/>
        <v>366</v>
      </c>
      <c r="B367" s="49" t="str">
        <f>_xlfn.XLOOKUP(C367,Tab_Def_Flows[Name(EN)],Tab_Def_Flows[Flow_ID],,0,)</f>
        <v>F_24_24</v>
      </c>
      <c r="C367" s="51"/>
      <c r="D367" s="49">
        <f>_xlfn.XLOOKUP(C367,Tab_Def_Flows[Name(EN)],Tab_Def_Flows[Type_Biomass],,0,)</f>
        <v>0</v>
      </c>
      <c r="E367" s="49">
        <f>_xlfn.XLOOKUP(C367,Tab_Def_Flows[Name(EN)],Tab_Def_Flows[Output_Process],,0,)</f>
        <v>0</v>
      </c>
      <c r="F367" s="49" t="str">
        <f>_xlfn.XLOOKUP(C367,Tab_Def_Flows[Name(EN)],Tab_Def_Flows[Process_ID_O],,0,)</f>
        <v>24__</v>
      </c>
      <c r="G367" s="49">
        <f>_xlfn.XLOOKUP(C367,Tab_Def_Flows[Name(EN)],Tab_Def_Flows[Input_Process],,0,)</f>
        <v>0</v>
      </c>
      <c r="H367" s="61" t="str">
        <f>_xlfn.XLOOKUP(C367,Tab_Def_Flows[Name(EN)],Tab_Def_Flows[Process_ID_I],,0,)</f>
        <v>24__</v>
      </c>
      <c r="I367" s="49">
        <f>_xlfn.XLOOKUP(C367,Tab_Def_Flows[Name(EN)],Tab_Def_Flows[Value_Source],,0,)</f>
        <v>0</v>
      </c>
      <c r="J367" s="61" t="str">
        <f>_xlfn.XLOOKUP(C367,Tab_Def_Flows[Name(EN)],Tab_Def_Flows[WC?],,0,)</f>
        <v>Yes</v>
      </c>
      <c r="K367" s="61" t="str">
        <f>_xlfn.XLOOKUP(C367,Tab_Def_Flows[Name(EN)],Tab_Def_Flows[DM?],,0,)</f>
        <v>Yes</v>
      </c>
      <c r="L367" s="61" t="str">
        <f>_xlfn.XLOOKUP(C367,Tab_Def_Flows[Name(EN)],Tab_Def_Flows[CC?],,0,)</f>
        <v>Yes</v>
      </c>
      <c r="M367" s="51"/>
      <c r="N367" s="51"/>
      <c r="O367" s="119"/>
      <c r="P367" s="51" t="s">
        <v>389</v>
      </c>
      <c r="Q367" s="51"/>
      <c r="R367" s="51"/>
      <c r="S367" s="51"/>
      <c r="T367" s="51"/>
      <c r="U367" s="51"/>
      <c r="V367" s="51"/>
      <c r="W367" s="51"/>
      <c r="X367" s="51" t="s">
        <v>71</v>
      </c>
      <c r="Y367" s="51"/>
      <c r="Z367" s="51"/>
      <c r="AA367" s="86">
        <f t="shared" si="11"/>
        <v>0</v>
      </c>
      <c r="AB367" s="51"/>
      <c r="AC367" s="111" t="e">
        <f>INDEX(Tab_Def_Flows[[Flow_ID]:[CC_DM_source]],MATCH(Tab_Data_Flows[[#This Row],[Name(EN)]],Tab_Def_Flows[Name(EN)],0),16)</f>
        <v>#N/A</v>
      </c>
      <c r="AD367" s="112" t="e">
        <f>IF(J367="Yes",AA367*Tab_Data_Flows[[#This Row],[WC_'[%']]],"N.A.")</f>
        <v>#N/A</v>
      </c>
      <c r="AE367" s="61">
        <f>Tab_Data_Flows[[#This Row],[UoM_Flow_Py]]</f>
        <v>0</v>
      </c>
      <c r="AF367" s="111" t="e">
        <f>INDEX(Tab_Def_Flows[[Flow_ID]:[CC_DM_source]],MATCH(Tab_Data_Flows[[#This Row],[Name(EN)]],Tab_Def_Flows[Name(EN)],0),18)</f>
        <v>#N/A</v>
      </c>
      <c r="AG367" s="112" t="e">
        <f>IF(K367="Yes",AF367*Tab_Data_Flows[[#This Row],[Flow_Py]],"N.A.")</f>
        <v>#N/A</v>
      </c>
      <c r="AH367" s="61">
        <f>Tab_Data_Flows[[#This Row],[UoM_Flow_Py]]</f>
        <v>0</v>
      </c>
      <c r="AI367" s="111" t="e">
        <f>INDEX(Tab_Def_Flows[[Flow_ID]:[CC_DM_source]],MATCH(Tab_Data_Flows[[#This Row],[Name(EN)]],Tab_Def_Flows[Name(EN)],0),20)</f>
        <v>#N/A</v>
      </c>
      <c r="AJ367" s="109" t="e">
        <f>IF(L367="Yes",AI367*Tab_Data_Flows[[#This Row],[Flow_Py]]*Tab_Data_Flows[[#This Row],[DM_'[%']]],"N.A.")</f>
        <v>#N/A</v>
      </c>
      <c r="AK367" s="61">
        <f>Tab_Data_Flows[[#This Row],[UoM_Flow_Py]]</f>
        <v>0</v>
      </c>
    </row>
    <row r="368" spans="1:37" ht="15.75" thickBot="1" x14ac:dyDescent="0.3">
      <c r="A368" s="60">
        <f t="shared" si="12"/>
        <v>367</v>
      </c>
      <c r="B368" s="49" t="str">
        <f>_xlfn.XLOOKUP(C368,Tab_Def_Flows[Name(EN)],Tab_Def_Flows[Flow_ID],,0,)</f>
        <v>F_24_24</v>
      </c>
      <c r="C368" s="51"/>
      <c r="D368" s="49">
        <f>_xlfn.XLOOKUP(C368,Tab_Def_Flows[Name(EN)],Tab_Def_Flows[Type_Biomass],,0,)</f>
        <v>0</v>
      </c>
      <c r="E368" s="49">
        <f>_xlfn.XLOOKUP(C368,Tab_Def_Flows[Name(EN)],Tab_Def_Flows[Output_Process],,0,)</f>
        <v>0</v>
      </c>
      <c r="F368" s="49" t="str">
        <f>_xlfn.XLOOKUP(C368,Tab_Def_Flows[Name(EN)],Tab_Def_Flows[Process_ID_O],,0,)</f>
        <v>24__</v>
      </c>
      <c r="G368" s="49">
        <f>_xlfn.XLOOKUP(C368,Tab_Def_Flows[Name(EN)],Tab_Def_Flows[Input_Process],,0,)</f>
        <v>0</v>
      </c>
      <c r="H368" s="61" t="str">
        <f>_xlfn.XLOOKUP(C368,Tab_Def_Flows[Name(EN)],Tab_Def_Flows[Process_ID_I],,0,)</f>
        <v>24__</v>
      </c>
      <c r="I368" s="49">
        <f>_xlfn.XLOOKUP(C368,Tab_Def_Flows[Name(EN)],Tab_Def_Flows[Value_Source],,0,)</f>
        <v>0</v>
      </c>
      <c r="J368" s="61" t="str">
        <f>_xlfn.XLOOKUP(C368,Tab_Def_Flows[Name(EN)],Tab_Def_Flows[WC?],,0,)</f>
        <v>Yes</v>
      </c>
      <c r="K368" s="61" t="str">
        <f>_xlfn.XLOOKUP(C368,Tab_Def_Flows[Name(EN)],Tab_Def_Flows[DM?],,0,)</f>
        <v>Yes</v>
      </c>
      <c r="L368" s="61" t="str">
        <f>_xlfn.XLOOKUP(C368,Tab_Def_Flows[Name(EN)],Tab_Def_Flows[CC?],,0,)</f>
        <v>Yes</v>
      </c>
      <c r="M368" s="51"/>
      <c r="N368" s="51"/>
      <c r="O368" s="119"/>
      <c r="P368" s="51" t="s">
        <v>389</v>
      </c>
      <c r="Q368" s="51"/>
      <c r="R368" s="51"/>
      <c r="S368" s="51"/>
      <c r="T368" s="51"/>
      <c r="U368" s="51"/>
      <c r="V368" s="51"/>
      <c r="W368" s="51"/>
      <c r="X368" s="51" t="s">
        <v>71</v>
      </c>
      <c r="Y368" s="51"/>
      <c r="Z368" s="51"/>
      <c r="AA368" s="86">
        <f t="shared" si="11"/>
        <v>0</v>
      </c>
      <c r="AB368" s="51"/>
      <c r="AC368" s="111" t="e">
        <f>INDEX(Tab_Def_Flows[[Flow_ID]:[CC_DM_source]],MATCH(Tab_Data_Flows[[#This Row],[Name(EN)]],Tab_Def_Flows[Name(EN)],0),16)</f>
        <v>#N/A</v>
      </c>
      <c r="AD368" s="112" t="e">
        <f>IF(J368="Yes",AA368*Tab_Data_Flows[[#This Row],[WC_'[%']]],"N.A.")</f>
        <v>#N/A</v>
      </c>
      <c r="AE368" s="61">
        <f>Tab_Data_Flows[[#This Row],[UoM_Flow_Py]]</f>
        <v>0</v>
      </c>
      <c r="AF368" s="111" t="e">
        <f>INDEX(Tab_Def_Flows[[Flow_ID]:[CC_DM_source]],MATCH(Tab_Data_Flows[[#This Row],[Name(EN)]],Tab_Def_Flows[Name(EN)],0),18)</f>
        <v>#N/A</v>
      </c>
      <c r="AG368" s="112" t="e">
        <f>IF(K368="Yes",AF368*Tab_Data_Flows[[#This Row],[Flow_Py]],"N.A.")</f>
        <v>#N/A</v>
      </c>
      <c r="AH368" s="61">
        <f>Tab_Data_Flows[[#This Row],[UoM_Flow_Py]]</f>
        <v>0</v>
      </c>
      <c r="AI368" s="111" t="e">
        <f>INDEX(Tab_Def_Flows[[Flow_ID]:[CC_DM_source]],MATCH(Tab_Data_Flows[[#This Row],[Name(EN)]],Tab_Def_Flows[Name(EN)],0),20)</f>
        <v>#N/A</v>
      </c>
      <c r="AJ368" s="109" t="e">
        <f>IF(L368="Yes",AI368*Tab_Data_Flows[[#This Row],[Flow_Py]]*Tab_Data_Flows[[#This Row],[DM_'[%']]],"N.A.")</f>
        <v>#N/A</v>
      </c>
      <c r="AK368" s="61">
        <f>Tab_Data_Flows[[#This Row],[UoM_Flow_Py]]</f>
        <v>0</v>
      </c>
    </row>
    <row r="369" spans="1:37" ht="15.75" thickBot="1" x14ac:dyDescent="0.3">
      <c r="A369" s="60">
        <f t="shared" si="12"/>
        <v>368</v>
      </c>
      <c r="B369" s="49" t="str">
        <f>_xlfn.XLOOKUP(C369,Tab_Def_Flows[Name(EN)],Tab_Def_Flows[Flow_ID],,0,)</f>
        <v>F_24_24</v>
      </c>
      <c r="C369" s="51"/>
      <c r="D369" s="49">
        <f>_xlfn.XLOOKUP(C369,Tab_Def_Flows[Name(EN)],Tab_Def_Flows[Type_Biomass],,0,)</f>
        <v>0</v>
      </c>
      <c r="E369" s="49">
        <f>_xlfn.XLOOKUP(C369,Tab_Def_Flows[Name(EN)],Tab_Def_Flows[Output_Process],,0,)</f>
        <v>0</v>
      </c>
      <c r="F369" s="49" t="str">
        <f>_xlfn.XLOOKUP(C369,Tab_Def_Flows[Name(EN)],Tab_Def_Flows[Process_ID_O],,0,)</f>
        <v>24__</v>
      </c>
      <c r="G369" s="49">
        <f>_xlfn.XLOOKUP(C369,Tab_Def_Flows[Name(EN)],Tab_Def_Flows[Input_Process],,0,)</f>
        <v>0</v>
      </c>
      <c r="H369" s="61" t="str">
        <f>_xlfn.XLOOKUP(C369,Tab_Def_Flows[Name(EN)],Tab_Def_Flows[Process_ID_I],,0,)</f>
        <v>24__</v>
      </c>
      <c r="I369" s="49">
        <f>_xlfn.XLOOKUP(C369,Tab_Def_Flows[Name(EN)],Tab_Def_Flows[Value_Source],,0,)</f>
        <v>0</v>
      </c>
      <c r="J369" s="61" t="str">
        <f>_xlfn.XLOOKUP(C369,Tab_Def_Flows[Name(EN)],Tab_Def_Flows[WC?],,0,)</f>
        <v>Yes</v>
      </c>
      <c r="K369" s="61" t="str">
        <f>_xlfn.XLOOKUP(C369,Tab_Def_Flows[Name(EN)],Tab_Def_Flows[DM?],,0,)</f>
        <v>Yes</v>
      </c>
      <c r="L369" s="61" t="str">
        <f>_xlfn.XLOOKUP(C369,Tab_Def_Flows[Name(EN)],Tab_Def_Flows[CC?],,0,)</f>
        <v>Yes</v>
      </c>
      <c r="M369" s="51"/>
      <c r="N369" s="51"/>
      <c r="O369" s="119"/>
      <c r="P369" s="51" t="s">
        <v>389</v>
      </c>
      <c r="Q369" s="51"/>
      <c r="R369" s="51"/>
      <c r="S369" s="51"/>
      <c r="T369" s="51"/>
      <c r="U369" s="51"/>
      <c r="V369" s="51"/>
      <c r="W369" s="51"/>
      <c r="X369" s="51" t="s">
        <v>71</v>
      </c>
      <c r="Y369" s="51"/>
      <c r="Z369" s="51"/>
      <c r="AA369" s="86">
        <f t="shared" si="11"/>
        <v>0</v>
      </c>
      <c r="AB369" s="51"/>
      <c r="AC369" s="111" t="e">
        <f>INDEX(Tab_Def_Flows[[Flow_ID]:[CC_DM_source]],MATCH(Tab_Data_Flows[[#This Row],[Name(EN)]],Tab_Def_Flows[Name(EN)],0),16)</f>
        <v>#N/A</v>
      </c>
      <c r="AD369" s="112" t="e">
        <f>IF(J369="Yes",AA369*Tab_Data_Flows[[#This Row],[WC_'[%']]],"N.A.")</f>
        <v>#N/A</v>
      </c>
      <c r="AE369" s="61">
        <f>Tab_Data_Flows[[#This Row],[UoM_Flow_Py]]</f>
        <v>0</v>
      </c>
      <c r="AF369" s="111" t="e">
        <f>INDEX(Tab_Def_Flows[[Flow_ID]:[CC_DM_source]],MATCH(Tab_Data_Flows[[#This Row],[Name(EN)]],Tab_Def_Flows[Name(EN)],0),18)</f>
        <v>#N/A</v>
      </c>
      <c r="AG369" s="112" t="e">
        <f>IF(K369="Yes",AF369*Tab_Data_Flows[[#This Row],[Flow_Py]],"N.A.")</f>
        <v>#N/A</v>
      </c>
      <c r="AH369" s="61">
        <f>Tab_Data_Flows[[#This Row],[UoM_Flow_Py]]</f>
        <v>0</v>
      </c>
      <c r="AI369" s="111" t="e">
        <f>INDEX(Tab_Def_Flows[[Flow_ID]:[CC_DM_source]],MATCH(Tab_Data_Flows[[#This Row],[Name(EN)]],Tab_Def_Flows[Name(EN)],0),20)</f>
        <v>#N/A</v>
      </c>
      <c r="AJ369" s="109" t="e">
        <f>IF(L369="Yes",AI369*Tab_Data_Flows[[#This Row],[Flow_Py]]*Tab_Data_Flows[[#This Row],[DM_'[%']]],"N.A.")</f>
        <v>#N/A</v>
      </c>
      <c r="AK369" s="61">
        <f>Tab_Data_Flows[[#This Row],[UoM_Flow_Py]]</f>
        <v>0</v>
      </c>
    </row>
    <row r="370" spans="1:37" ht="15.75" thickBot="1" x14ac:dyDescent="0.3">
      <c r="A370" s="60">
        <f t="shared" si="12"/>
        <v>369</v>
      </c>
      <c r="B370" s="49" t="str">
        <f>_xlfn.XLOOKUP(C370,Tab_Def_Flows[Name(EN)],Tab_Def_Flows[Flow_ID],,0,)</f>
        <v>F_24_24</v>
      </c>
      <c r="C370" s="51"/>
      <c r="D370" s="49">
        <f>_xlfn.XLOOKUP(C370,Tab_Def_Flows[Name(EN)],Tab_Def_Flows[Type_Biomass],,0,)</f>
        <v>0</v>
      </c>
      <c r="E370" s="49">
        <f>_xlfn.XLOOKUP(C370,Tab_Def_Flows[Name(EN)],Tab_Def_Flows[Output_Process],,0,)</f>
        <v>0</v>
      </c>
      <c r="F370" s="49" t="str">
        <f>_xlfn.XLOOKUP(C370,Tab_Def_Flows[Name(EN)],Tab_Def_Flows[Process_ID_O],,0,)</f>
        <v>24__</v>
      </c>
      <c r="G370" s="49">
        <f>_xlfn.XLOOKUP(C370,Tab_Def_Flows[Name(EN)],Tab_Def_Flows[Input_Process],,0,)</f>
        <v>0</v>
      </c>
      <c r="H370" s="61" t="str">
        <f>_xlfn.XLOOKUP(C370,Tab_Def_Flows[Name(EN)],Tab_Def_Flows[Process_ID_I],,0,)</f>
        <v>24__</v>
      </c>
      <c r="I370" s="49">
        <f>_xlfn.XLOOKUP(C370,Tab_Def_Flows[Name(EN)],Tab_Def_Flows[Value_Source],,0,)</f>
        <v>0</v>
      </c>
      <c r="J370" s="61" t="str">
        <f>_xlfn.XLOOKUP(C370,Tab_Def_Flows[Name(EN)],Tab_Def_Flows[WC?],,0,)</f>
        <v>Yes</v>
      </c>
      <c r="K370" s="61" t="str">
        <f>_xlfn.XLOOKUP(C370,Tab_Def_Flows[Name(EN)],Tab_Def_Flows[DM?],,0,)</f>
        <v>Yes</v>
      </c>
      <c r="L370" s="61" t="str">
        <f>_xlfn.XLOOKUP(C370,Tab_Def_Flows[Name(EN)],Tab_Def_Flows[CC?],,0,)</f>
        <v>Yes</v>
      </c>
      <c r="M370" s="51"/>
      <c r="N370" s="51"/>
      <c r="O370" s="119"/>
      <c r="P370" s="51" t="s">
        <v>389</v>
      </c>
      <c r="Q370" s="51"/>
      <c r="R370" s="51"/>
      <c r="S370" s="51"/>
      <c r="T370" s="51"/>
      <c r="U370" s="51"/>
      <c r="V370" s="51"/>
      <c r="W370" s="51"/>
      <c r="X370" s="51" t="s">
        <v>71</v>
      </c>
      <c r="Y370" s="51"/>
      <c r="Z370" s="51"/>
      <c r="AA370" s="86">
        <f t="shared" si="11"/>
        <v>0</v>
      </c>
      <c r="AB370" s="51"/>
      <c r="AC370" s="111" t="e">
        <f>INDEX(Tab_Def_Flows[[Flow_ID]:[CC_DM_source]],MATCH(Tab_Data_Flows[[#This Row],[Name(EN)]],Tab_Def_Flows[Name(EN)],0),16)</f>
        <v>#N/A</v>
      </c>
      <c r="AD370" s="112" t="e">
        <f>IF(J370="Yes",AA370*Tab_Data_Flows[[#This Row],[WC_'[%']]],"N.A.")</f>
        <v>#N/A</v>
      </c>
      <c r="AE370" s="61">
        <f>Tab_Data_Flows[[#This Row],[UoM_Flow_Py]]</f>
        <v>0</v>
      </c>
      <c r="AF370" s="111" t="e">
        <f>INDEX(Tab_Def_Flows[[Flow_ID]:[CC_DM_source]],MATCH(Tab_Data_Flows[[#This Row],[Name(EN)]],Tab_Def_Flows[Name(EN)],0),18)</f>
        <v>#N/A</v>
      </c>
      <c r="AG370" s="112" t="e">
        <f>IF(K370="Yes",AF370*Tab_Data_Flows[[#This Row],[Flow_Py]],"N.A.")</f>
        <v>#N/A</v>
      </c>
      <c r="AH370" s="61">
        <f>Tab_Data_Flows[[#This Row],[UoM_Flow_Py]]</f>
        <v>0</v>
      </c>
      <c r="AI370" s="111" t="e">
        <f>INDEX(Tab_Def_Flows[[Flow_ID]:[CC_DM_source]],MATCH(Tab_Data_Flows[[#This Row],[Name(EN)]],Tab_Def_Flows[Name(EN)],0),20)</f>
        <v>#N/A</v>
      </c>
      <c r="AJ370" s="109" t="e">
        <f>IF(L370="Yes",AI370*Tab_Data_Flows[[#This Row],[Flow_Py]]*Tab_Data_Flows[[#This Row],[DM_'[%']]],"N.A.")</f>
        <v>#N/A</v>
      </c>
      <c r="AK370" s="61">
        <f>Tab_Data_Flows[[#This Row],[UoM_Flow_Py]]</f>
        <v>0</v>
      </c>
    </row>
    <row r="371" spans="1:37" ht="15.75" thickBot="1" x14ac:dyDescent="0.3">
      <c r="A371" s="60">
        <f t="shared" si="12"/>
        <v>370</v>
      </c>
      <c r="B371" s="49" t="str">
        <f>_xlfn.XLOOKUP(C371,Tab_Def_Flows[Name(EN)],Tab_Def_Flows[Flow_ID],,0,)</f>
        <v>F_24_24</v>
      </c>
      <c r="C371" s="51"/>
      <c r="D371" s="49">
        <f>_xlfn.XLOOKUP(C371,Tab_Def_Flows[Name(EN)],Tab_Def_Flows[Type_Biomass],,0,)</f>
        <v>0</v>
      </c>
      <c r="E371" s="49">
        <f>_xlfn.XLOOKUP(C371,Tab_Def_Flows[Name(EN)],Tab_Def_Flows[Output_Process],,0,)</f>
        <v>0</v>
      </c>
      <c r="F371" s="49" t="str">
        <f>_xlfn.XLOOKUP(C371,Tab_Def_Flows[Name(EN)],Tab_Def_Flows[Process_ID_O],,0,)</f>
        <v>24__</v>
      </c>
      <c r="G371" s="49">
        <f>_xlfn.XLOOKUP(C371,Tab_Def_Flows[Name(EN)],Tab_Def_Flows[Input_Process],,0,)</f>
        <v>0</v>
      </c>
      <c r="H371" s="61" t="str">
        <f>_xlfn.XLOOKUP(C371,Tab_Def_Flows[Name(EN)],Tab_Def_Flows[Process_ID_I],,0,)</f>
        <v>24__</v>
      </c>
      <c r="I371" s="49">
        <f>_xlfn.XLOOKUP(C371,Tab_Def_Flows[Name(EN)],Tab_Def_Flows[Value_Source],,0,)</f>
        <v>0</v>
      </c>
      <c r="J371" s="61" t="str">
        <f>_xlfn.XLOOKUP(C371,Tab_Def_Flows[Name(EN)],Tab_Def_Flows[WC?],,0,)</f>
        <v>Yes</v>
      </c>
      <c r="K371" s="61" t="str">
        <f>_xlfn.XLOOKUP(C371,Tab_Def_Flows[Name(EN)],Tab_Def_Flows[DM?],,0,)</f>
        <v>Yes</v>
      </c>
      <c r="L371" s="61" t="str">
        <f>_xlfn.XLOOKUP(C371,Tab_Def_Flows[Name(EN)],Tab_Def_Flows[CC?],,0,)</f>
        <v>Yes</v>
      </c>
      <c r="M371" s="51"/>
      <c r="N371" s="51"/>
      <c r="O371" s="119"/>
      <c r="P371" s="51" t="s">
        <v>389</v>
      </c>
      <c r="Q371" s="51"/>
      <c r="R371" s="51"/>
      <c r="S371" s="51"/>
      <c r="T371" s="51"/>
      <c r="U371" s="51"/>
      <c r="V371" s="51"/>
      <c r="W371" s="51"/>
      <c r="X371" s="51" t="s">
        <v>71</v>
      </c>
      <c r="Y371" s="51"/>
      <c r="Z371" s="51"/>
      <c r="AA371" s="86">
        <f t="shared" ref="AA371:AA402" si="13">IF(X371="no",O371,O371*Y371)</f>
        <v>0</v>
      </c>
      <c r="AB371" s="51"/>
      <c r="AC371" s="111" t="e">
        <f>INDEX(Tab_Def_Flows[[Flow_ID]:[CC_DM_source]],MATCH(Tab_Data_Flows[[#This Row],[Name(EN)]],Tab_Def_Flows[Name(EN)],0),16)</f>
        <v>#N/A</v>
      </c>
      <c r="AD371" s="112" t="e">
        <f>IF(J371="Yes",AA371*Tab_Data_Flows[[#This Row],[WC_'[%']]],"N.A.")</f>
        <v>#N/A</v>
      </c>
      <c r="AE371" s="61">
        <f>Tab_Data_Flows[[#This Row],[UoM_Flow_Py]]</f>
        <v>0</v>
      </c>
      <c r="AF371" s="111" t="e">
        <f>INDEX(Tab_Def_Flows[[Flow_ID]:[CC_DM_source]],MATCH(Tab_Data_Flows[[#This Row],[Name(EN)]],Tab_Def_Flows[Name(EN)],0),18)</f>
        <v>#N/A</v>
      </c>
      <c r="AG371" s="112" t="e">
        <f>IF(K371="Yes",AF371*Tab_Data_Flows[[#This Row],[Flow_Py]],"N.A.")</f>
        <v>#N/A</v>
      </c>
      <c r="AH371" s="61">
        <f>Tab_Data_Flows[[#This Row],[UoM_Flow_Py]]</f>
        <v>0</v>
      </c>
      <c r="AI371" s="111" t="e">
        <f>INDEX(Tab_Def_Flows[[Flow_ID]:[CC_DM_source]],MATCH(Tab_Data_Flows[[#This Row],[Name(EN)]],Tab_Def_Flows[Name(EN)],0),20)</f>
        <v>#N/A</v>
      </c>
      <c r="AJ371" s="109" t="e">
        <f>IF(L371="Yes",AI371*Tab_Data_Flows[[#This Row],[Flow_Py]]*Tab_Data_Flows[[#This Row],[DM_'[%']]],"N.A.")</f>
        <v>#N/A</v>
      </c>
      <c r="AK371" s="61">
        <f>Tab_Data_Flows[[#This Row],[UoM_Flow_Py]]</f>
        <v>0</v>
      </c>
    </row>
    <row r="372" spans="1:37" ht="15.75" thickBot="1" x14ac:dyDescent="0.3">
      <c r="A372" s="60">
        <f t="shared" si="12"/>
        <v>371</v>
      </c>
      <c r="B372" s="49" t="str">
        <f>_xlfn.XLOOKUP(C372,Tab_Def_Flows[Name(EN)],Tab_Def_Flows[Flow_ID],,0,)</f>
        <v>F_24_24</v>
      </c>
      <c r="C372" s="51"/>
      <c r="D372" s="49">
        <f>_xlfn.XLOOKUP(C372,Tab_Def_Flows[Name(EN)],Tab_Def_Flows[Type_Biomass],,0,)</f>
        <v>0</v>
      </c>
      <c r="E372" s="49">
        <f>_xlfn.XLOOKUP(C372,Tab_Def_Flows[Name(EN)],Tab_Def_Flows[Output_Process],,0,)</f>
        <v>0</v>
      </c>
      <c r="F372" s="49" t="str">
        <f>_xlfn.XLOOKUP(C372,Tab_Def_Flows[Name(EN)],Tab_Def_Flows[Process_ID_O],,0,)</f>
        <v>24__</v>
      </c>
      <c r="G372" s="49">
        <f>_xlfn.XLOOKUP(C372,Tab_Def_Flows[Name(EN)],Tab_Def_Flows[Input_Process],,0,)</f>
        <v>0</v>
      </c>
      <c r="H372" s="61" t="str">
        <f>_xlfn.XLOOKUP(C372,Tab_Def_Flows[Name(EN)],Tab_Def_Flows[Process_ID_I],,0,)</f>
        <v>24__</v>
      </c>
      <c r="I372" s="49">
        <f>_xlfn.XLOOKUP(C372,Tab_Def_Flows[Name(EN)],Tab_Def_Flows[Value_Source],,0,)</f>
        <v>0</v>
      </c>
      <c r="J372" s="61" t="str">
        <f>_xlfn.XLOOKUP(C372,Tab_Def_Flows[Name(EN)],Tab_Def_Flows[WC?],,0,)</f>
        <v>Yes</v>
      </c>
      <c r="K372" s="61" t="str">
        <f>_xlfn.XLOOKUP(C372,Tab_Def_Flows[Name(EN)],Tab_Def_Flows[DM?],,0,)</f>
        <v>Yes</v>
      </c>
      <c r="L372" s="61" t="str">
        <f>_xlfn.XLOOKUP(C372,Tab_Def_Flows[Name(EN)],Tab_Def_Flows[CC?],,0,)</f>
        <v>Yes</v>
      </c>
      <c r="M372" s="51"/>
      <c r="N372" s="51"/>
      <c r="O372" s="119"/>
      <c r="P372" s="51" t="s">
        <v>389</v>
      </c>
      <c r="Q372" s="51"/>
      <c r="R372" s="51"/>
      <c r="S372" s="51"/>
      <c r="T372" s="51"/>
      <c r="U372" s="51"/>
      <c r="V372" s="51"/>
      <c r="W372" s="51"/>
      <c r="X372" s="51" t="s">
        <v>71</v>
      </c>
      <c r="Y372" s="51"/>
      <c r="Z372" s="51"/>
      <c r="AA372" s="86">
        <f t="shared" si="13"/>
        <v>0</v>
      </c>
      <c r="AB372" s="51"/>
      <c r="AC372" s="111" t="e">
        <f>INDEX(Tab_Def_Flows[[Flow_ID]:[CC_DM_source]],MATCH(Tab_Data_Flows[[#This Row],[Name(EN)]],Tab_Def_Flows[Name(EN)],0),16)</f>
        <v>#N/A</v>
      </c>
      <c r="AD372" s="112" t="e">
        <f>IF(J372="Yes",AA372*Tab_Data_Flows[[#This Row],[WC_'[%']]],"N.A.")</f>
        <v>#N/A</v>
      </c>
      <c r="AE372" s="61">
        <f>Tab_Data_Flows[[#This Row],[UoM_Flow_Py]]</f>
        <v>0</v>
      </c>
      <c r="AF372" s="111" t="e">
        <f>INDEX(Tab_Def_Flows[[Flow_ID]:[CC_DM_source]],MATCH(Tab_Data_Flows[[#This Row],[Name(EN)]],Tab_Def_Flows[Name(EN)],0),18)</f>
        <v>#N/A</v>
      </c>
      <c r="AG372" s="112" t="e">
        <f>IF(K372="Yes",AF372*Tab_Data_Flows[[#This Row],[Flow_Py]],"N.A.")</f>
        <v>#N/A</v>
      </c>
      <c r="AH372" s="61">
        <f>Tab_Data_Flows[[#This Row],[UoM_Flow_Py]]</f>
        <v>0</v>
      </c>
      <c r="AI372" s="111" t="e">
        <f>INDEX(Tab_Def_Flows[[Flow_ID]:[CC_DM_source]],MATCH(Tab_Data_Flows[[#This Row],[Name(EN)]],Tab_Def_Flows[Name(EN)],0),20)</f>
        <v>#N/A</v>
      </c>
      <c r="AJ372" s="109" t="e">
        <f>IF(L372="Yes",AI372*Tab_Data_Flows[[#This Row],[Flow_Py]]*Tab_Data_Flows[[#This Row],[DM_'[%']]],"N.A.")</f>
        <v>#N/A</v>
      </c>
      <c r="AK372" s="61">
        <f>Tab_Data_Flows[[#This Row],[UoM_Flow_Py]]</f>
        <v>0</v>
      </c>
    </row>
    <row r="373" spans="1:37" ht="15.75" thickBot="1" x14ac:dyDescent="0.3">
      <c r="A373" s="60">
        <f t="shared" si="12"/>
        <v>372</v>
      </c>
      <c r="B373" s="49" t="str">
        <f>_xlfn.XLOOKUP(C373,Tab_Def_Flows[Name(EN)],Tab_Def_Flows[Flow_ID],,0,)</f>
        <v>F_24_24</v>
      </c>
      <c r="C373" s="51"/>
      <c r="D373" s="49">
        <f>_xlfn.XLOOKUP(C373,Tab_Def_Flows[Name(EN)],Tab_Def_Flows[Type_Biomass],,0,)</f>
        <v>0</v>
      </c>
      <c r="E373" s="49">
        <f>_xlfn.XLOOKUP(C373,Tab_Def_Flows[Name(EN)],Tab_Def_Flows[Output_Process],,0,)</f>
        <v>0</v>
      </c>
      <c r="F373" s="49" t="str">
        <f>_xlfn.XLOOKUP(C373,Tab_Def_Flows[Name(EN)],Tab_Def_Flows[Process_ID_O],,0,)</f>
        <v>24__</v>
      </c>
      <c r="G373" s="49">
        <f>_xlfn.XLOOKUP(C373,Tab_Def_Flows[Name(EN)],Tab_Def_Flows[Input_Process],,0,)</f>
        <v>0</v>
      </c>
      <c r="H373" s="61" t="str">
        <f>_xlfn.XLOOKUP(C373,Tab_Def_Flows[Name(EN)],Tab_Def_Flows[Process_ID_I],,0,)</f>
        <v>24__</v>
      </c>
      <c r="I373" s="49">
        <f>_xlfn.XLOOKUP(C373,Tab_Def_Flows[Name(EN)],Tab_Def_Flows[Value_Source],,0,)</f>
        <v>0</v>
      </c>
      <c r="J373" s="61" t="str">
        <f>_xlfn.XLOOKUP(C373,Tab_Def_Flows[Name(EN)],Tab_Def_Flows[WC?],,0,)</f>
        <v>Yes</v>
      </c>
      <c r="K373" s="61" t="str">
        <f>_xlfn.XLOOKUP(C373,Tab_Def_Flows[Name(EN)],Tab_Def_Flows[DM?],,0,)</f>
        <v>Yes</v>
      </c>
      <c r="L373" s="61" t="str">
        <f>_xlfn.XLOOKUP(C373,Tab_Def_Flows[Name(EN)],Tab_Def_Flows[CC?],,0,)</f>
        <v>Yes</v>
      </c>
      <c r="M373" s="51"/>
      <c r="N373" s="51"/>
      <c r="O373" s="119"/>
      <c r="P373" s="51" t="s">
        <v>389</v>
      </c>
      <c r="Q373" s="51"/>
      <c r="R373" s="51"/>
      <c r="S373" s="51"/>
      <c r="T373" s="51"/>
      <c r="U373" s="51"/>
      <c r="V373" s="51"/>
      <c r="W373" s="51"/>
      <c r="X373" s="51" t="s">
        <v>71</v>
      </c>
      <c r="Y373" s="51"/>
      <c r="Z373" s="51"/>
      <c r="AA373" s="86">
        <f t="shared" si="13"/>
        <v>0</v>
      </c>
      <c r="AB373" s="51"/>
      <c r="AC373" s="111" t="e">
        <f>INDEX(Tab_Def_Flows[[Flow_ID]:[CC_DM_source]],MATCH(Tab_Data_Flows[[#This Row],[Name(EN)]],Tab_Def_Flows[Name(EN)],0),16)</f>
        <v>#N/A</v>
      </c>
      <c r="AD373" s="112" t="e">
        <f>IF(J373="Yes",AA373*Tab_Data_Flows[[#This Row],[WC_'[%']]],"N.A.")</f>
        <v>#N/A</v>
      </c>
      <c r="AE373" s="61">
        <f>Tab_Data_Flows[[#This Row],[UoM_Flow_Py]]</f>
        <v>0</v>
      </c>
      <c r="AF373" s="111" t="e">
        <f>INDEX(Tab_Def_Flows[[Flow_ID]:[CC_DM_source]],MATCH(Tab_Data_Flows[[#This Row],[Name(EN)]],Tab_Def_Flows[Name(EN)],0),18)</f>
        <v>#N/A</v>
      </c>
      <c r="AG373" s="112" t="e">
        <f>IF(K373="Yes",AF373*Tab_Data_Flows[[#This Row],[Flow_Py]],"N.A.")</f>
        <v>#N/A</v>
      </c>
      <c r="AH373" s="61">
        <f>Tab_Data_Flows[[#This Row],[UoM_Flow_Py]]</f>
        <v>0</v>
      </c>
      <c r="AI373" s="111" t="e">
        <f>INDEX(Tab_Def_Flows[[Flow_ID]:[CC_DM_source]],MATCH(Tab_Data_Flows[[#This Row],[Name(EN)]],Tab_Def_Flows[Name(EN)],0),20)</f>
        <v>#N/A</v>
      </c>
      <c r="AJ373" s="109" t="e">
        <f>IF(L373="Yes",AI373*Tab_Data_Flows[[#This Row],[Flow_Py]]*Tab_Data_Flows[[#This Row],[DM_'[%']]],"N.A.")</f>
        <v>#N/A</v>
      </c>
      <c r="AK373" s="61">
        <f>Tab_Data_Flows[[#This Row],[UoM_Flow_Py]]</f>
        <v>0</v>
      </c>
    </row>
    <row r="374" spans="1:37" ht="15.75" thickBot="1" x14ac:dyDescent="0.3">
      <c r="A374" s="60">
        <f t="shared" si="12"/>
        <v>373</v>
      </c>
      <c r="B374" s="49" t="str">
        <f>_xlfn.XLOOKUP(C374,Tab_Def_Flows[Name(EN)],Tab_Def_Flows[Flow_ID],,0,)</f>
        <v>F_24_24</v>
      </c>
      <c r="C374" s="51"/>
      <c r="D374" s="49">
        <f>_xlfn.XLOOKUP(C374,Tab_Def_Flows[Name(EN)],Tab_Def_Flows[Type_Biomass],,0,)</f>
        <v>0</v>
      </c>
      <c r="E374" s="49">
        <f>_xlfn.XLOOKUP(C374,Tab_Def_Flows[Name(EN)],Tab_Def_Flows[Output_Process],,0,)</f>
        <v>0</v>
      </c>
      <c r="F374" s="49" t="str">
        <f>_xlfn.XLOOKUP(C374,Tab_Def_Flows[Name(EN)],Tab_Def_Flows[Process_ID_O],,0,)</f>
        <v>24__</v>
      </c>
      <c r="G374" s="49">
        <f>_xlfn.XLOOKUP(C374,Tab_Def_Flows[Name(EN)],Tab_Def_Flows[Input_Process],,0,)</f>
        <v>0</v>
      </c>
      <c r="H374" s="61" t="str">
        <f>_xlfn.XLOOKUP(C374,Tab_Def_Flows[Name(EN)],Tab_Def_Flows[Process_ID_I],,0,)</f>
        <v>24__</v>
      </c>
      <c r="I374" s="49">
        <f>_xlfn.XLOOKUP(C374,Tab_Def_Flows[Name(EN)],Tab_Def_Flows[Value_Source],,0,)</f>
        <v>0</v>
      </c>
      <c r="J374" s="61" t="str">
        <f>_xlfn.XLOOKUP(C374,Tab_Def_Flows[Name(EN)],Tab_Def_Flows[WC?],,0,)</f>
        <v>Yes</v>
      </c>
      <c r="K374" s="61" t="str">
        <f>_xlfn.XLOOKUP(C374,Tab_Def_Flows[Name(EN)],Tab_Def_Flows[DM?],,0,)</f>
        <v>Yes</v>
      </c>
      <c r="L374" s="61" t="str">
        <f>_xlfn.XLOOKUP(C374,Tab_Def_Flows[Name(EN)],Tab_Def_Flows[CC?],,0,)</f>
        <v>Yes</v>
      </c>
      <c r="M374" s="51"/>
      <c r="N374" s="51"/>
      <c r="O374" s="119"/>
      <c r="P374" s="51" t="s">
        <v>389</v>
      </c>
      <c r="Q374" s="51"/>
      <c r="R374" s="51"/>
      <c r="S374" s="51"/>
      <c r="T374" s="51"/>
      <c r="U374" s="51"/>
      <c r="V374" s="51"/>
      <c r="W374" s="51"/>
      <c r="X374" s="51" t="s">
        <v>71</v>
      </c>
      <c r="Y374" s="51"/>
      <c r="Z374" s="51"/>
      <c r="AA374" s="86">
        <f t="shared" si="13"/>
        <v>0</v>
      </c>
      <c r="AB374" s="51"/>
      <c r="AC374" s="111" t="e">
        <f>INDEX(Tab_Def_Flows[[Flow_ID]:[CC_DM_source]],MATCH(Tab_Data_Flows[[#This Row],[Name(EN)]],Tab_Def_Flows[Name(EN)],0),16)</f>
        <v>#N/A</v>
      </c>
      <c r="AD374" s="112" t="e">
        <f>IF(J374="Yes",AA374*Tab_Data_Flows[[#This Row],[WC_'[%']]],"N.A.")</f>
        <v>#N/A</v>
      </c>
      <c r="AE374" s="61">
        <f>Tab_Data_Flows[[#This Row],[UoM_Flow_Py]]</f>
        <v>0</v>
      </c>
      <c r="AF374" s="111" t="e">
        <f>INDEX(Tab_Def_Flows[[Flow_ID]:[CC_DM_source]],MATCH(Tab_Data_Flows[[#This Row],[Name(EN)]],Tab_Def_Flows[Name(EN)],0),18)</f>
        <v>#N/A</v>
      </c>
      <c r="AG374" s="112" t="e">
        <f>IF(K374="Yes",AF374*Tab_Data_Flows[[#This Row],[Flow_Py]],"N.A.")</f>
        <v>#N/A</v>
      </c>
      <c r="AH374" s="61">
        <f>Tab_Data_Flows[[#This Row],[UoM_Flow_Py]]</f>
        <v>0</v>
      </c>
      <c r="AI374" s="111" t="e">
        <f>INDEX(Tab_Def_Flows[[Flow_ID]:[CC_DM_source]],MATCH(Tab_Data_Flows[[#This Row],[Name(EN)]],Tab_Def_Flows[Name(EN)],0),20)</f>
        <v>#N/A</v>
      </c>
      <c r="AJ374" s="109" t="e">
        <f>IF(L374="Yes",AI374*Tab_Data_Flows[[#This Row],[Flow_Py]]*Tab_Data_Flows[[#This Row],[DM_'[%']]],"N.A.")</f>
        <v>#N/A</v>
      </c>
      <c r="AK374" s="61">
        <f>Tab_Data_Flows[[#This Row],[UoM_Flow_Py]]</f>
        <v>0</v>
      </c>
    </row>
    <row r="375" spans="1:37" ht="15.75" thickBot="1" x14ac:dyDescent="0.3">
      <c r="A375" s="60">
        <f t="shared" si="12"/>
        <v>374</v>
      </c>
      <c r="B375" s="49" t="str">
        <f>_xlfn.XLOOKUP(C375,Tab_Def_Flows[Name(EN)],Tab_Def_Flows[Flow_ID],,0,)</f>
        <v>F_24_24</v>
      </c>
      <c r="C375" s="51"/>
      <c r="D375" s="49">
        <f>_xlfn.XLOOKUP(C375,Tab_Def_Flows[Name(EN)],Tab_Def_Flows[Type_Biomass],,0,)</f>
        <v>0</v>
      </c>
      <c r="E375" s="49">
        <f>_xlfn.XLOOKUP(C375,Tab_Def_Flows[Name(EN)],Tab_Def_Flows[Output_Process],,0,)</f>
        <v>0</v>
      </c>
      <c r="F375" s="49" t="str">
        <f>_xlfn.XLOOKUP(C375,Tab_Def_Flows[Name(EN)],Tab_Def_Flows[Process_ID_O],,0,)</f>
        <v>24__</v>
      </c>
      <c r="G375" s="49">
        <f>_xlfn.XLOOKUP(C375,Tab_Def_Flows[Name(EN)],Tab_Def_Flows[Input_Process],,0,)</f>
        <v>0</v>
      </c>
      <c r="H375" s="61" t="str">
        <f>_xlfn.XLOOKUP(C375,Tab_Def_Flows[Name(EN)],Tab_Def_Flows[Process_ID_I],,0,)</f>
        <v>24__</v>
      </c>
      <c r="I375" s="49">
        <f>_xlfn.XLOOKUP(C375,Tab_Def_Flows[Name(EN)],Tab_Def_Flows[Value_Source],,0,)</f>
        <v>0</v>
      </c>
      <c r="J375" s="61" t="str">
        <f>_xlfn.XLOOKUP(C375,Tab_Def_Flows[Name(EN)],Tab_Def_Flows[WC?],,0,)</f>
        <v>Yes</v>
      </c>
      <c r="K375" s="61" t="str">
        <f>_xlfn.XLOOKUP(C375,Tab_Def_Flows[Name(EN)],Tab_Def_Flows[DM?],,0,)</f>
        <v>Yes</v>
      </c>
      <c r="L375" s="61" t="str">
        <f>_xlfn.XLOOKUP(C375,Tab_Def_Flows[Name(EN)],Tab_Def_Flows[CC?],,0,)</f>
        <v>Yes</v>
      </c>
      <c r="M375" s="51"/>
      <c r="N375" s="51"/>
      <c r="O375" s="119"/>
      <c r="P375" s="51" t="s">
        <v>389</v>
      </c>
      <c r="Q375" s="51"/>
      <c r="R375" s="51"/>
      <c r="S375" s="51"/>
      <c r="T375" s="51"/>
      <c r="U375" s="51"/>
      <c r="V375" s="51"/>
      <c r="W375" s="51"/>
      <c r="X375" s="51" t="s">
        <v>71</v>
      </c>
      <c r="Y375" s="51"/>
      <c r="Z375" s="51"/>
      <c r="AA375" s="86">
        <f t="shared" si="13"/>
        <v>0</v>
      </c>
      <c r="AB375" s="51"/>
      <c r="AC375" s="111" t="e">
        <f>INDEX(Tab_Def_Flows[[Flow_ID]:[CC_DM_source]],MATCH(Tab_Data_Flows[[#This Row],[Name(EN)]],Tab_Def_Flows[Name(EN)],0),16)</f>
        <v>#N/A</v>
      </c>
      <c r="AD375" s="112" t="e">
        <f>IF(J375="Yes",AA375*Tab_Data_Flows[[#This Row],[WC_'[%']]],"N.A.")</f>
        <v>#N/A</v>
      </c>
      <c r="AE375" s="61">
        <f>Tab_Data_Flows[[#This Row],[UoM_Flow_Py]]</f>
        <v>0</v>
      </c>
      <c r="AF375" s="111" t="e">
        <f>INDEX(Tab_Def_Flows[[Flow_ID]:[CC_DM_source]],MATCH(Tab_Data_Flows[[#This Row],[Name(EN)]],Tab_Def_Flows[Name(EN)],0),18)</f>
        <v>#N/A</v>
      </c>
      <c r="AG375" s="112" t="e">
        <f>IF(K375="Yes",AF375*Tab_Data_Flows[[#This Row],[Flow_Py]],"N.A.")</f>
        <v>#N/A</v>
      </c>
      <c r="AH375" s="61">
        <f>Tab_Data_Flows[[#This Row],[UoM_Flow_Py]]</f>
        <v>0</v>
      </c>
      <c r="AI375" s="111" t="e">
        <f>INDEX(Tab_Def_Flows[[Flow_ID]:[CC_DM_source]],MATCH(Tab_Data_Flows[[#This Row],[Name(EN)]],Tab_Def_Flows[Name(EN)],0),20)</f>
        <v>#N/A</v>
      </c>
      <c r="AJ375" s="109" t="e">
        <f>IF(L375="Yes",AI375*Tab_Data_Flows[[#This Row],[Flow_Py]]*Tab_Data_Flows[[#This Row],[DM_'[%']]],"N.A.")</f>
        <v>#N/A</v>
      </c>
      <c r="AK375" s="61">
        <f>Tab_Data_Flows[[#This Row],[UoM_Flow_Py]]</f>
        <v>0</v>
      </c>
    </row>
    <row r="376" spans="1:37" ht="15.75" thickBot="1" x14ac:dyDescent="0.3">
      <c r="A376" s="60">
        <f t="shared" si="12"/>
        <v>375</v>
      </c>
      <c r="B376" s="49" t="str">
        <f>_xlfn.XLOOKUP(C376,Tab_Def_Flows[Name(EN)],Tab_Def_Flows[Flow_ID],,0,)</f>
        <v>F_24_24</v>
      </c>
      <c r="C376" s="51"/>
      <c r="D376" s="49">
        <f>_xlfn.XLOOKUP(C376,Tab_Def_Flows[Name(EN)],Tab_Def_Flows[Type_Biomass],,0,)</f>
        <v>0</v>
      </c>
      <c r="E376" s="49">
        <f>_xlfn.XLOOKUP(C376,Tab_Def_Flows[Name(EN)],Tab_Def_Flows[Output_Process],,0,)</f>
        <v>0</v>
      </c>
      <c r="F376" s="49" t="str">
        <f>_xlfn.XLOOKUP(C376,Tab_Def_Flows[Name(EN)],Tab_Def_Flows[Process_ID_O],,0,)</f>
        <v>24__</v>
      </c>
      <c r="G376" s="49">
        <f>_xlfn.XLOOKUP(C376,Tab_Def_Flows[Name(EN)],Tab_Def_Flows[Input_Process],,0,)</f>
        <v>0</v>
      </c>
      <c r="H376" s="61" t="str">
        <f>_xlfn.XLOOKUP(C376,Tab_Def_Flows[Name(EN)],Tab_Def_Flows[Process_ID_I],,0,)</f>
        <v>24__</v>
      </c>
      <c r="I376" s="49">
        <f>_xlfn.XLOOKUP(C376,Tab_Def_Flows[Name(EN)],Tab_Def_Flows[Value_Source],,0,)</f>
        <v>0</v>
      </c>
      <c r="J376" s="61" t="str">
        <f>_xlfn.XLOOKUP(C376,Tab_Def_Flows[Name(EN)],Tab_Def_Flows[WC?],,0,)</f>
        <v>Yes</v>
      </c>
      <c r="K376" s="61" t="str">
        <f>_xlfn.XLOOKUP(C376,Tab_Def_Flows[Name(EN)],Tab_Def_Flows[DM?],,0,)</f>
        <v>Yes</v>
      </c>
      <c r="L376" s="61" t="str">
        <f>_xlfn.XLOOKUP(C376,Tab_Def_Flows[Name(EN)],Tab_Def_Flows[CC?],,0,)</f>
        <v>Yes</v>
      </c>
      <c r="M376" s="51"/>
      <c r="N376" s="51"/>
      <c r="O376" s="119"/>
      <c r="P376" s="51" t="s">
        <v>389</v>
      </c>
      <c r="Q376" s="51"/>
      <c r="R376" s="51"/>
      <c r="S376" s="51"/>
      <c r="T376" s="51"/>
      <c r="U376" s="51"/>
      <c r="V376" s="51"/>
      <c r="W376" s="51"/>
      <c r="X376" s="51" t="s">
        <v>71</v>
      </c>
      <c r="Y376" s="51"/>
      <c r="Z376" s="51"/>
      <c r="AA376" s="86">
        <f t="shared" si="13"/>
        <v>0</v>
      </c>
      <c r="AB376" s="51"/>
      <c r="AC376" s="111" t="e">
        <f>INDEX(Tab_Def_Flows[[Flow_ID]:[CC_DM_source]],MATCH(Tab_Data_Flows[[#This Row],[Name(EN)]],Tab_Def_Flows[Name(EN)],0),16)</f>
        <v>#N/A</v>
      </c>
      <c r="AD376" s="112" t="e">
        <f>IF(J376="Yes",AA376*Tab_Data_Flows[[#This Row],[WC_'[%']]],"N.A.")</f>
        <v>#N/A</v>
      </c>
      <c r="AE376" s="61">
        <f>Tab_Data_Flows[[#This Row],[UoM_Flow_Py]]</f>
        <v>0</v>
      </c>
      <c r="AF376" s="111" t="e">
        <f>INDEX(Tab_Def_Flows[[Flow_ID]:[CC_DM_source]],MATCH(Tab_Data_Flows[[#This Row],[Name(EN)]],Tab_Def_Flows[Name(EN)],0),18)</f>
        <v>#N/A</v>
      </c>
      <c r="AG376" s="112" t="e">
        <f>IF(K376="Yes",AF376*Tab_Data_Flows[[#This Row],[Flow_Py]],"N.A.")</f>
        <v>#N/A</v>
      </c>
      <c r="AH376" s="61">
        <f>Tab_Data_Flows[[#This Row],[UoM_Flow_Py]]</f>
        <v>0</v>
      </c>
      <c r="AI376" s="111" t="e">
        <f>INDEX(Tab_Def_Flows[[Flow_ID]:[CC_DM_source]],MATCH(Tab_Data_Flows[[#This Row],[Name(EN)]],Tab_Def_Flows[Name(EN)],0),20)</f>
        <v>#N/A</v>
      </c>
      <c r="AJ376" s="109" t="e">
        <f>IF(L376="Yes",AI376*Tab_Data_Flows[[#This Row],[Flow_Py]]*Tab_Data_Flows[[#This Row],[DM_'[%']]],"N.A.")</f>
        <v>#N/A</v>
      </c>
      <c r="AK376" s="61">
        <f>Tab_Data_Flows[[#This Row],[UoM_Flow_Py]]</f>
        <v>0</v>
      </c>
    </row>
    <row r="377" spans="1:37" ht="15.75" thickBot="1" x14ac:dyDescent="0.3">
      <c r="A377" s="60">
        <f t="shared" si="12"/>
        <v>376</v>
      </c>
      <c r="B377" s="49" t="str">
        <f>_xlfn.XLOOKUP(C377,Tab_Def_Flows[Name(EN)],Tab_Def_Flows[Flow_ID],,0,)</f>
        <v>F_24_24</v>
      </c>
      <c r="C377" s="51"/>
      <c r="D377" s="49">
        <f>_xlfn.XLOOKUP(C377,Tab_Def_Flows[Name(EN)],Tab_Def_Flows[Type_Biomass],,0,)</f>
        <v>0</v>
      </c>
      <c r="E377" s="49">
        <f>_xlfn.XLOOKUP(C377,Tab_Def_Flows[Name(EN)],Tab_Def_Flows[Output_Process],,0,)</f>
        <v>0</v>
      </c>
      <c r="F377" s="49" t="str">
        <f>_xlfn.XLOOKUP(C377,Tab_Def_Flows[Name(EN)],Tab_Def_Flows[Process_ID_O],,0,)</f>
        <v>24__</v>
      </c>
      <c r="G377" s="49">
        <f>_xlfn.XLOOKUP(C377,Tab_Def_Flows[Name(EN)],Tab_Def_Flows[Input_Process],,0,)</f>
        <v>0</v>
      </c>
      <c r="H377" s="61" t="str">
        <f>_xlfn.XLOOKUP(C377,Tab_Def_Flows[Name(EN)],Tab_Def_Flows[Process_ID_I],,0,)</f>
        <v>24__</v>
      </c>
      <c r="I377" s="49">
        <f>_xlfn.XLOOKUP(C377,Tab_Def_Flows[Name(EN)],Tab_Def_Flows[Value_Source],,0,)</f>
        <v>0</v>
      </c>
      <c r="J377" s="61" t="str">
        <f>_xlfn.XLOOKUP(C377,Tab_Def_Flows[Name(EN)],Tab_Def_Flows[WC?],,0,)</f>
        <v>Yes</v>
      </c>
      <c r="K377" s="61" t="str">
        <f>_xlfn.XLOOKUP(C377,Tab_Def_Flows[Name(EN)],Tab_Def_Flows[DM?],,0,)</f>
        <v>Yes</v>
      </c>
      <c r="L377" s="61" t="str">
        <f>_xlfn.XLOOKUP(C377,Tab_Def_Flows[Name(EN)],Tab_Def_Flows[CC?],,0,)</f>
        <v>Yes</v>
      </c>
      <c r="M377" s="51"/>
      <c r="N377" s="51"/>
      <c r="O377" s="119"/>
      <c r="P377" s="51" t="s">
        <v>389</v>
      </c>
      <c r="Q377" s="51"/>
      <c r="R377" s="51"/>
      <c r="S377" s="51"/>
      <c r="T377" s="51"/>
      <c r="U377" s="51"/>
      <c r="V377" s="51"/>
      <c r="W377" s="51"/>
      <c r="X377" s="51" t="s">
        <v>71</v>
      </c>
      <c r="Y377" s="51"/>
      <c r="Z377" s="51"/>
      <c r="AA377" s="86">
        <f t="shared" si="13"/>
        <v>0</v>
      </c>
      <c r="AB377" s="51"/>
      <c r="AC377" s="111" t="e">
        <f>INDEX(Tab_Def_Flows[[Flow_ID]:[CC_DM_source]],MATCH(Tab_Data_Flows[[#This Row],[Name(EN)]],Tab_Def_Flows[Name(EN)],0),16)</f>
        <v>#N/A</v>
      </c>
      <c r="AD377" s="112" t="e">
        <f>IF(J377="Yes",AA377*Tab_Data_Flows[[#This Row],[WC_'[%']]],"N.A.")</f>
        <v>#N/A</v>
      </c>
      <c r="AE377" s="61">
        <f>Tab_Data_Flows[[#This Row],[UoM_Flow_Py]]</f>
        <v>0</v>
      </c>
      <c r="AF377" s="111" t="e">
        <f>INDEX(Tab_Def_Flows[[Flow_ID]:[CC_DM_source]],MATCH(Tab_Data_Flows[[#This Row],[Name(EN)]],Tab_Def_Flows[Name(EN)],0),18)</f>
        <v>#N/A</v>
      </c>
      <c r="AG377" s="112" t="e">
        <f>IF(K377="Yes",AF377*Tab_Data_Flows[[#This Row],[Flow_Py]],"N.A.")</f>
        <v>#N/A</v>
      </c>
      <c r="AH377" s="61">
        <f>Tab_Data_Flows[[#This Row],[UoM_Flow_Py]]</f>
        <v>0</v>
      </c>
      <c r="AI377" s="111" t="e">
        <f>INDEX(Tab_Def_Flows[[Flow_ID]:[CC_DM_source]],MATCH(Tab_Data_Flows[[#This Row],[Name(EN)]],Tab_Def_Flows[Name(EN)],0),20)</f>
        <v>#N/A</v>
      </c>
      <c r="AJ377" s="109" t="e">
        <f>IF(L377="Yes",AI377*Tab_Data_Flows[[#This Row],[Flow_Py]]*Tab_Data_Flows[[#This Row],[DM_'[%']]],"N.A.")</f>
        <v>#N/A</v>
      </c>
      <c r="AK377" s="61">
        <f>Tab_Data_Flows[[#This Row],[UoM_Flow_Py]]</f>
        <v>0</v>
      </c>
    </row>
    <row r="378" spans="1:37" ht="15.75" thickBot="1" x14ac:dyDescent="0.3">
      <c r="A378" s="60">
        <f t="shared" si="12"/>
        <v>377</v>
      </c>
      <c r="B378" s="49" t="str">
        <f>_xlfn.XLOOKUP(C378,Tab_Def_Flows[Name(EN)],Tab_Def_Flows[Flow_ID],,0,)</f>
        <v>F_24_24</v>
      </c>
      <c r="C378" s="51"/>
      <c r="D378" s="49">
        <f>_xlfn.XLOOKUP(C378,Tab_Def_Flows[Name(EN)],Tab_Def_Flows[Type_Biomass],,0,)</f>
        <v>0</v>
      </c>
      <c r="E378" s="49">
        <f>_xlfn.XLOOKUP(C378,Tab_Def_Flows[Name(EN)],Tab_Def_Flows[Output_Process],,0,)</f>
        <v>0</v>
      </c>
      <c r="F378" s="49" t="str">
        <f>_xlfn.XLOOKUP(C378,Tab_Def_Flows[Name(EN)],Tab_Def_Flows[Process_ID_O],,0,)</f>
        <v>24__</v>
      </c>
      <c r="G378" s="49">
        <f>_xlfn.XLOOKUP(C378,Tab_Def_Flows[Name(EN)],Tab_Def_Flows[Input_Process],,0,)</f>
        <v>0</v>
      </c>
      <c r="H378" s="61" t="str">
        <f>_xlfn.XLOOKUP(C378,Tab_Def_Flows[Name(EN)],Tab_Def_Flows[Process_ID_I],,0,)</f>
        <v>24__</v>
      </c>
      <c r="I378" s="49">
        <f>_xlfn.XLOOKUP(C378,Tab_Def_Flows[Name(EN)],Tab_Def_Flows[Value_Source],,0,)</f>
        <v>0</v>
      </c>
      <c r="J378" s="61" t="str">
        <f>_xlfn.XLOOKUP(C378,Tab_Def_Flows[Name(EN)],Tab_Def_Flows[WC?],,0,)</f>
        <v>Yes</v>
      </c>
      <c r="K378" s="61" t="str">
        <f>_xlfn.XLOOKUP(C378,Tab_Def_Flows[Name(EN)],Tab_Def_Flows[DM?],,0,)</f>
        <v>Yes</v>
      </c>
      <c r="L378" s="61" t="str">
        <f>_xlfn.XLOOKUP(C378,Tab_Def_Flows[Name(EN)],Tab_Def_Flows[CC?],,0,)</f>
        <v>Yes</v>
      </c>
      <c r="M378" s="51"/>
      <c r="N378" s="51"/>
      <c r="O378" s="119"/>
      <c r="P378" s="51" t="s">
        <v>389</v>
      </c>
      <c r="Q378" s="51"/>
      <c r="R378" s="51"/>
      <c r="S378" s="51"/>
      <c r="T378" s="51"/>
      <c r="U378" s="51"/>
      <c r="V378" s="51"/>
      <c r="W378" s="51"/>
      <c r="X378" s="51" t="s">
        <v>71</v>
      </c>
      <c r="Y378" s="51"/>
      <c r="Z378" s="51"/>
      <c r="AA378" s="86">
        <f t="shared" si="13"/>
        <v>0</v>
      </c>
      <c r="AB378" s="51"/>
      <c r="AC378" s="111" t="e">
        <f>INDEX(Tab_Def_Flows[[Flow_ID]:[CC_DM_source]],MATCH(Tab_Data_Flows[[#This Row],[Name(EN)]],Tab_Def_Flows[Name(EN)],0),16)</f>
        <v>#N/A</v>
      </c>
      <c r="AD378" s="112" t="e">
        <f>IF(J378="Yes",AA378*Tab_Data_Flows[[#This Row],[WC_'[%']]],"N.A.")</f>
        <v>#N/A</v>
      </c>
      <c r="AE378" s="61">
        <f>Tab_Data_Flows[[#This Row],[UoM_Flow_Py]]</f>
        <v>0</v>
      </c>
      <c r="AF378" s="111" t="e">
        <f>INDEX(Tab_Def_Flows[[Flow_ID]:[CC_DM_source]],MATCH(Tab_Data_Flows[[#This Row],[Name(EN)]],Tab_Def_Flows[Name(EN)],0),18)</f>
        <v>#N/A</v>
      </c>
      <c r="AG378" s="112" t="e">
        <f>IF(K378="Yes",AF378*Tab_Data_Flows[[#This Row],[Flow_Py]],"N.A.")</f>
        <v>#N/A</v>
      </c>
      <c r="AH378" s="61">
        <f>Tab_Data_Flows[[#This Row],[UoM_Flow_Py]]</f>
        <v>0</v>
      </c>
      <c r="AI378" s="111" t="e">
        <f>INDEX(Tab_Def_Flows[[Flow_ID]:[CC_DM_source]],MATCH(Tab_Data_Flows[[#This Row],[Name(EN)]],Tab_Def_Flows[Name(EN)],0),20)</f>
        <v>#N/A</v>
      </c>
      <c r="AJ378" s="109" t="e">
        <f>IF(L378="Yes",AI378*Tab_Data_Flows[[#This Row],[Flow_Py]]*Tab_Data_Flows[[#This Row],[DM_'[%']]],"N.A.")</f>
        <v>#N/A</v>
      </c>
      <c r="AK378" s="61">
        <f>Tab_Data_Flows[[#This Row],[UoM_Flow_Py]]</f>
        <v>0</v>
      </c>
    </row>
    <row r="379" spans="1:37" ht="15.75" thickBot="1" x14ac:dyDescent="0.3">
      <c r="A379" s="60">
        <f t="shared" si="12"/>
        <v>378</v>
      </c>
      <c r="B379" s="49" t="str">
        <f>_xlfn.XLOOKUP(C379,Tab_Def_Flows[Name(EN)],Tab_Def_Flows[Flow_ID],,0,)</f>
        <v>F_24_24</v>
      </c>
      <c r="C379" s="51"/>
      <c r="D379" s="49">
        <f>_xlfn.XLOOKUP(C379,Tab_Def_Flows[Name(EN)],Tab_Def_Flows[Type_Biomass],,0,)</f>
        <v>0</v>
      </c>
      <c r="E379" s="49">
        <f>_xlfn.XLOOKUP(C379,Tab_Def_Flows[Name(EN)],Tab_Def_Flows[Output_Process],,0,)</f>
        <v>0</v>
      </c>
      <c r="F379" s="49" t="str">
        <f>_xlfn.XLOOKUP(C379,Tab_Def_Flows[Name(EN)],Tab_Def_Flows[Process_ID_O],,0,)</f>
        <v>24__</v>
      </c>
      <c r="G379" s="49">
        <f>_xlfn.XLOOKUP(C379,Tab_Def_Flows[Name(EN)],Tab_Def_Flows[Input_Process],,0,)</f>
        <v>0</v>
      </c>
      <c r="H379" s="61" t="str">
        <f>_xlfn.XLOOKUP(C379,Tab_Def_Flows[Name(EN)],Tab_Def_Flows[Process_ID_I],,0,)</f>
        <v>24__</v>
      </c>
      <c r="I379" s="49">
        <f>_xlfn.XLOOKUP(C379,Tab_Def_Flows[Name(EN)],Tab_Def_Flows[Value_Source],,0,)</f>
        <v>0</v>
      </c>
      <c r="J379" s="61" t="str">
        <f>_xlfn.XLOOKUP(C379,Tab_Def_Flows[Name(EN)],Tab_Def_Flows[WC?],,0,)</f>
        <v>Yes</v>
      </c>
      <c r="K379" s="61" t="str">
        <f>_xlfn.XLOOKUP(C379,Tab_Def_Flows[Name(EN)],Tab_Def_Flows[DM?],,0,)</f>
        <v>Yes</v>
      </c>
      <c r="L379" s="61" t="str">
        <f>_xlfn.XLOOKUP(C379,Tab_Def_Flows[Name(EN)],Tab_Def_Flows[CC?],,0,)</f>
        <v>Yes</v>
      </c>
      <c r="M379" s="51"/>
      <c r="N379" s="51"/>
      <c r="O379" s="119"/>
      <c r="P379" s="51" t="s">
        <v>389</v>
      </c>
      <c r="Q379" s="51"/>
      <c r="R379" s="51"/>
      <c r="S379" s="51"/>
      <c r="T379" s="51"/>
      <c r="U379" s="51"/>
      <c r="V379" s="51"/>
      <c r="W379" s="51"/>
      <c r="X379" s="51" t="s">
        <v>71</v>
      </c>
      <c r="Y379" s="51"/>
      <c r="Z379" s="51"/>
      <c r="AA379" s="86">
        <f t="shared" si="13"/>
        <v>0</v>
      </c>
      <c r="AB379" s="51"/>
      <c r="AC379" s="111" t="e">
        <f>INDEX(Tab_Def_Flows[[Flow_ID]:[CC_DM_source]],MATCH(Tab_Data_Flows[[#This Row],[Name(EN)]],Tab_Def_Flows[Name(EN)],0),16)</f>
        <v>#N/A</v>
      </c>
      <c r="AD379" s="112" t="e">
        <f>IF(J379="Yes",AA379*Tab_Data_Flows[[#This Row],[WC_'[%']]],"N.A.")</f>
        <v>#N/A</v>
      </c>
      <c r="AE379" s="61">
        <f>Tab_Data_Flows[[#This Row],[UoM_Flow_Py]]</f>
        <v>0</v>
      </c>
      <c r="AF379" s="111" t="e">
        <f>INDEX(Tab_Def_Flows[[Flow_ID]:[CC_DM_source]],MATCH(Tab_Data_Flows[[#This Row],[Name(EN)]],Tab_Def_Flows[Name(EN)],0),18)</f>
        <v>#N/A</v>
      </c>
      <c r="AG379" s="112" t="e">
        <f>IF(K379="Yes",AF379*Tab_Data_Flows[[#This Row],[Flow_Py]],"N.A.")</f>
        <v>#N/A</v>
      </c>
      <c r="AH379" s="61">
        <f>Tab_Data_Flows[[#This Row],[UoM_Flow_Py]]</f>
        <v>0</v>
      </c>
      <c r="AI379" s="111" t="e">
        <f>INDEX(Tab_Def_Flows[[Flow_ID]:[CC_DM_source]],MATCH(Tab_Data_Flows[[#This Row],[Name(EN)]],Tab_Def_Flows[Name(EN)],0),20)</f>
        <v>#N/A</v>
      </c>
      <c r="AJ379" s="109" t="e">
        <f>IF(L379="Yes",AI379*Tab_Data_Flows[[#This Row],[Flow_Py]]*Tab_Data_Flows[[#This Row],[DM_'[%']]],"N.A.")</f>
        <v>#N/A</v>
      </c>
      <c r="AK379" s="61">
        <f>Tab_Data_Flows[[#This Row],[UoM_Flow_Py]]</f>
        <v>0</v>
      </c>
    </row>
    <row r="380" spans="1:37" ht="15.75" thickBot="1" x14ac:dyDescent="0.3">
      <c r="A380" s="60">
        <f t="shared" si="12"/>
        <v>379</v>
      </c>
      <c r="B380" s="49" t="str">
        <f>_xlfn.XLOOKUP(C380,Tab_Def_Flows[Name(EN)],Tab_Def_Flows[Flow_ID],,0,)</f>
        <v>F_24_24</v>
      </c>
      <c r="C380" s="51"/>
      <c r="D380" s="49">
        <f>_xlfn.XLOOKUP(C380,Tab_Def_Flows[Name(EN)],Tab_Def_Flows[Type_Biomass],,0,)</f>
        <v>0</v>
      </c>
      <c r="E380" s="49">
        <f>_xlfn.XLOOKUP(C380,Tab_Def_Flows[Name(EN)],Tab_Def_Flows[Output_Process],,0,)</f>
        <v>0</v>
      </c>
      <c r="F380" s="49" t="str">
        <f>_xlfn.XLOOKUP(C380,Tab_Def_Flows[Name(EN)],Tab_Def_Flows[Process_ID_O],,0,)</f>
        <v>24__</v>
      </c>
      <c r="G380" s="49">
        <f>_xlfn.XLOOKUP(C380,Tab_Def_Flows[Name(EN)],Tab_Def_Flows[Input_Process],,0,)</f>
        <v>0</v>
      </c>
      <c r="H380" s="61" t="str">
        <f>_xlfn.XLOOKUP(C380,Tab_Def_Flows[Name(EN)],Tab_Def_Flows[Process_ID_I],,0,)</f>
        <v>24__</v>
      </c>
      <c r="I380" s="49">
        <f>_xlfn.XLOOKUP(C380,Tab_Def_Flows[Name(EN)],Tab_Def_Flows[Value_Source],,0,)</f>
        <v>0</v>
      </c>
      <c r="J380" s="61" t="str">
        <f>_xlfn.XLOOKUP(C380,Tab_Def_Flows[Name(EN)],Tab_Def_Flows[WC?],,0,)</f>
        <v>Yes</v>
      </c>
      <c r="K380" s="61" t="str">
        <f>_xlfn.XLOOKUP(C380,Tab_Def_Flows[Name(EN)],Tab_Def_Flows[DM?],,0,)</f>
        <v>Yes</v>
      </c>
      <c r="L380" s="61" t="str">
        <f>_xlfn.XLOOKUP(C380,Tab_Def_Flows[Name(EN)],Tab_Def_Flows[CC?],,0,)</f>
        <v>Yes</v>
      </c>
      <c r="M380" s="51"/>
      <c r="N380" s="51"/>
      <c r="O380" s="119"/>
      <c r="P380" s="51" t="s">
        <v>389</v>
      </c>
      <c r="Q380" s="51"/>
      <c r="R380" s="51"/>
      <c r="S380" s="51"/>
      <c r="T380" s="51"/>
      <c r="U380" s="51"/>
      <c r="V380" s="51"/>
      <c r="W380" s="51"/>
      <c r="X380" s="51" t="s">
        <v>71</v>
      </c>
      <c r="Y380" s="51"/>
      <c r="Z380" s="51"/>
      <c r="AA380" s="86">
        <f t="shared" si="13"/>
        <v>0</v>
      </c>
      <c r="AB380" s="51"/>
      <c r="AC380" s="111" t="e">
        <f>INDEX(Tab_Def_Flows[[Flow_ID]:[CC_DM_source]],MATCH(Tab_Data_Flows[[#This Row],[Name(EN)]],Tab_Def_Flows[Name(EN)],0),16)</f>
        <v>#N/A</v>
      </c>
      <c r="AD380" s="112" t="e">
        <f>IF(J380="Yes",AA380*Tab_Data_Flows[[#This Row],[WC_'[%']]],"N.A.")</f>
        <v>#N/A</v>
      </c>
      <c r="AE380" s="61">
        <f>Tab_Data_Flows[[#This Row],[UoM_Flow_Py]]</f>
        <v>0</v>
      </c>
      <c r="AF380" s="111" t="e">
        <f>INDEX(Tab_Def_Flows[[Flow_ID]:[CC_DM_source]],MATCH(Tab_Data_Flows[[#This Row],[Name(EN)]],Tab_Def_Flows[Name(EN)],0),18)</f>
        <v>#N/A</v>
      </c>
      <c r="AG380" s="112" t="e">
        <f>IF(K380="Yes",AF380*Tab_Data_Flows[[#This Row],[Flow_Py]],"N.A.")</f>
        <v>#N/A</v>
      </c>
      <c r="AH380" s="61">
        <f>Tab_Data_Flows[[#This Row],[UoM_Flow_Py]]</f>
        <v>0</v>
      </c>
      <c r="AI380" s="111" t="e">
        <f>INDEX(Tab_Def_Flows[[Flow_ID]:[CC_DM_source]],MATCH(Tab_Data_Flows[[#This Row],[Name(EN)]],Tab_Def_Flows[Name(EN)],0),20)</f>
        <v>#N/A</v>
      </c>
      <c r="AJ380" s="109" t="e">
        <f>IF(L380="Yes",AI380*Tab_Data_Flows[[#This Row],[Flow_Py]]*Tab_Data_Flows[[#This Row],[DM_'[%']]],"N.A.")</f>
        <v>#N/A</v>
      </c>
      <c r="AK380" s="61">
        <f>Tab_Data_Flows[[#This Row],[UoM_Flow_Py]]</f>
        <v>0</v>
      </c>
    </row>
    <row r="381" spans="1:37" ht="15.75" thickBot="1" x14ac:dyDescent="0.3">
      <c r="A381" s="60">
        <f t="shared" si="12"/>
        <v>380</v>
      </c>
      <c r="B381" s="49" t="str">
        <f>_xlfn.XLOOKUP(C381,Tab_Def_Flows[Name(EN)],Tab_Def_Flows[Flow_ID],,0,)</f>
        <v>F_24_24</v>
      </c>
      <c r="C381" s="51"/>
      <c r="D381" s="49">
        <f>_xlfn.XLOOKUP(C381,Tab_Def_Flows[Name(EN)],Tab_Def_Flows[Type_Biomass],,0,)</f>
        <v>0</v>
      </c>
      <c r="E381" s="49">
        <f>_xlfn.XLOOKUP(C381,Tab_Def_Flows[Name(EN)],Tab_Def_Flows[Output_Process],,0,)</f>
        <v>0</v>
      </c>
      <c r="F381" s="49" t="str">
        <f>_xlfn.XLOOKUP(C381,Tab_Def_Flows[Name(EN)],Tab_Def_Flows[Process_ID_O],,0,)</f>
        <v>24__</v>
      </c>
      <c r="G381" s="49">
        <f>_xlfn.XLOOKUP(C381,Tab_Def_Flows[Name(EN)],Tab_Def_Flows[Input_Process],,0,)</f>
        <v>0</v>
      </c>
      <c r="H381" s="61" t="str">
        <f>_xlfn.XLOOKUP(C381,Tab_Def_Flows[Name(EN)],Tab_Def_Flows[Process_ID_I],,0,)</f>
        <v>24__</v>
      </c>
      <c r="I381" s="49">
        <f>_xlfn.XLOOKUP(C381,Tab_Def_Flows[Name(EN)],Tab_Def_Flows[Value_Source],,0,)</f>
        <v>0</v>
      </c>
      <c r="J381" s="61" t="str">
        <f>_xlfn.XLOOKUP(C381,Tab_Def_Flows[Name(EN)],Tab_Def_Flows[WC?],,0,)</f>
        <v>Yes</v>
      </c>
      <c r="K381" s="61" t="str">
        <f>_xlfn.XLOOKUP(C381,Tab_Def_Flows[Name(EN)],Tab_Def_Flows[DM?],,0,)</f>
        <v>Yes</v>
      </c>
      <c r="L381" s="61" t="str">
        <f>_xlfn.XLOOKUP(C381,Tab_Def_Flows[Name(EN)],Tab_Def_Flows[CC?],,0,)</f>
        <v>Yes</v>
      </c>
      <c r="M381" s="51"/>
      <c r="N381" s="51"/>
      <c r="O381" s="119"/>
      <c r="P381" s="51" t="s">
        <v>389</v>
      </c>
      <c r="Q381" s="51"/>
      <c r="R381" s="51"/>
      <c r="S381" s="51"/>
      <c r="T381" s="51"/>
      <c r="U381" s="51"/>
      <c r="V381" s="51"/>
      <c r="W381" s="51"/>
      <c r="X381" s="51" t="s">
        <v>71</v>
      </c>
      <c r="Y381" s="51"/>
      <c r="Z381" s="51"/>
      <c r="AA381" s="86">
        <f t="shared" si="13"/>
        <v>0</v>
      </c>
      <c r="AB381" s="51"/>
      <c r="AC381" s="111" t="e">
        <f>INDEX(Tab_Def_Flows[[Flow_ID]:[CC_DM_source]],MATCH(Tab_Data_Flows[[#This Row],[Name(EN)]],Tab_Def_Flows[Name(EN)],0),16)</f>
        <v>#N/A</v>
      </c>
      <c r="AD381" s="112" t="e">
        <f>IF(J381="Yes",AA381*Tab_Data_Flows[[#This Row],[WC_'[%']]],"N.A.")</f>
        <v>#N/A</v>
      </c>
      <c r="AE381" s="61">
        <f>Tab_Data_Flows[[#This Row],[UoM_Flow_Py]]</f>
        <v>0</v>
      </c>
      <c r="AF381" s="111" t="e">
        <f>INDEX(Tab_Def_Flows[[Flow_ID]:[CC_DM_source]],MATCH(Tab_Data_Flows[[#This Row],[Name(EN)]],Tab_Def_Flows[Name(EN)],0),18)</f>
        <v>#N/A</v>
      </c>
      <c r="AG381" s="112" t="e">
        <f>IF(K381="Yes",AF381*Tab_Data_Flows[[#This Row],[Flow_Py]],"N.A.")</f>
        <v>#N/A</v>
      </c>
      <c r="AH381" s="61">
        <f>Tab_Data_Flows[[#This Row],[UoM_Flow_Py]]</f>
        <v>0</v>
      </c>
      <c r="AI381" s="111" t="e">
        <f>INDEX(Tab_Def_Flows[[Flow_ID]:[CC_DM_source]],MATCH(Tab_Data_Flows[[#This Row],[Name(EN)]],Tab_Def_Flows[Name(EN)],0),20)</f>
        <v>#N/A</v>
      </c>
      <c r="AJ381" s="109" t="e">
        <f>IF(L381="Yes",AI381*Tab_Data_Flows[[#This Row],[Flow_Py]]*Tab_Data_Flows[[#This Row],[DM_'[%']]],"N.A.")</f>
        <v>#N/A</v>
      </c>
      <c r="AK381" s="61">
        <f>Tab_Data_Flows[[#This Row],[UoM_Flow_Py]]</f>
        <v>0</v>
      </c>
    </row>
    <row r="382" spans="1:37" ht="15.75" thickBot="1" x14ac:dyDescent="0.3">
      <c r="A382" s="60">
        <f t="shared" si="12"/>
        <v>381</v>
      </c>
      <c r="B382" s="49" t="str">
        <f>_xlfn.XLOOKUP(C382,Tab_Def_Flows[Name(EN)],Tab_Def_Flows[Flow_ID],,0,)</f>
        <v>F_24_24</v>
      </c>
      <c r="C382" s="51"/>
      <c r="D382" s="49">
        <f>_xlfn.XLOOKUP(C382,Tab_Def_Flows[Name(EN)],Tab_Def_Flows[Type_Biomass],,0,)</f>
        <v>0</v>
      </c>
      <c r="E382" s="49">
        <f>_xlfn.XLOOKUP(C382,Tab_Def_Flows[Name(EN)],Tab_Def_Flows[Output_Process],,0,)</f>
        <v>0</v>
      </c>
      <c r="F382" s="49" t="str">
        <f>_xlfn.XLOOKUP(C382,Tab_Def_Flows[Name(EN)],Tab_Def_Flows[Process_ID_O],,0,)</f>
        <v>24__</v>
      </c>
      <c r="G382" s="49">
        <f>_xlfn.XLOOKUP(C382,Tab_Def_Flows[Name(EN)],Tab_Def_Flows[Input_Process],,0,)</f>
        <v>0</v>
      </c>
      <c r="H382" s="61" t="str">
        <f>_xlfn.XLOOKUP(C382,Tab_Def_Flows[Name(EN)],Tab_Def_Flows[Process_ID_I],,0,)</f>
        <v>24__</v>
      </c>
      <c r="I382" s="49">
        <f>_xlfn.XLOOKUP(C382,Tab_Def_Flows[Name(EN)],Tab_Def_Flows[Value_Source],,0,)</f>
        <v>0</v>
      </c>
      <c r="J382" s="61" t="str">
        <f>_xlfn.XLOOKUP(C382,Tab_Def_Flows[Name(EN)],Tab_Def_Flows[WC?],,0,)</f>
        <v>Yes</v>
      </c>
      <c r="K382" s="61" t="str">
        <f>_xlfn.XLOOKUP(C382,Tab_Def_Flows[Name(EN)],Tab_Def_Flows[DM?],,0,)</f>
        <v>Yes</v>
      </c>
      <c r="L382" s="61" t="str">
        <f>_xlfn.XLOOKUP(C382,Tab_Def_Flows[Name(EN)],Tab_Def_Flows[CC?],,0,)</f>
        <v>Yes</v>
      </c>
      <c r="M382" s="51"/>
      <c r="N382" s="51"/>
      <c r="O382" s="119"/>
      <c r="P382" s="51" t="s">
        <v>389</v>
      </c>
      <c r="Q382" s="51"/>
      <c r="R382" s="51"/>
      <c r="S382" s="51"/>
      <c r="T382" s="51"/>
      <c r="U382" s="51"/>
      <c r="V382" s="51"/>
      <c r="W382" s="51"/>
      <c r="X382" s="51" t="s">
        <v>71</v>
      </c>
      <c r="Y382" s="51"/>
      <c r="Z382" s="51"/>
      <c r="AA382" s="86">
        <f t="shared" si="13"/>
        <v>0</v>
      </c>
      <c r="AB382" s="51"/>
      <c r="AC382" s="111" t="e">
        <f>INDEX(Tab_Def_Flows[[Flow_ID]:[CC_DM_source]],MATCH(Tab_Data_Flows[[#This Row],[Name(EN)]],Tab_Def_Flows[Name(EN)],0),16)</f>
        <v>#N/A</v>
      </c>
      <c r="AD382" s="112" t="e">
        <f>IF(J382="Yes",AA382*Tab_Data_Flows[[#This Row],[WC_'[%']]],"N.A.")</f>
        <v>#N/A</v>
      </c>
      <c r="AE382" s="61">
        <f>Tab_Data_Flows[[#This Row],[UoM_Flow_Py]]</f>
        <v>0</v>
      </c>
      <c r="AF382" s="111" t="e">
        <f>INDEX(Tab_Def_Flows[[Flow_ID]:[CC_DM_source]],MATCH(Tab_Data_Flows[[#This Row],[Name(EN)]],Tab_Def_Flows[Name(EN)],0),18)</f>
        <v>#N/A</v>
      </c>
      <c r="AG382" s="112" t="e">
        <f>IF(K382="Yes",AF382*Tab_Data_Flows[[#This Row],[Flow_Py]],"N.A.")</f>
        <v>#N/A</v>
      </c>
      <c r="AH382" s="61">
        <f>Tab_Data_Flows[[#This Row],[UoM_Flow_Py]]</f>
        <v>0</v>
      </c>
      <c r="AI382" s="111" t="e">
        <f>INDEX(Tab_Def_Flows[[Flow_ID]:[CC_DM_source]],MATCH(Tab_Data_Flows[[#This Row],[Name(EN)]],Tab_Def_Flows[Name(EN)],0),20)</f>
        <v>#N/A</v>
      </c>
      <c r="AJ382" s="109" t="e">
        <f>IF(L382="Yes",AI382*Tab_Data_Flows[[#This Row],[Flow_Py]]*Tab_Data_Flows[[#This Row],[DM_'[%']]],"N.A.")</f>
        <v>#N/A</v>
      </c>
      <c r="AK382" s="61">
        <f>Tab_Data_Flows[[#This Row],[UoM_Flow_Py]]</f>
        <v>0</v>
      </c>
    </row>
    <row r="383" spans="1:37" ht="15.75" thickBot="1" x14ac:dyDescent="0.3">
      <c r="A383" s="60">
        <f t="shared" si="12"/>
        <v>382</v>
      </c>
      <c r="B383" s="49" t="str">
        <f>_xlfn.XLOOKUP(C383,Tab_Def_Flows[Name(EN)],Tab_Def_Flows[Flow_ID],,0,)</f>
        <v>F_24_24</v>
      </c>
      <c r="C383" s="51"/>
      <c r="D383" s="49">
        <f>_xlfn.XLOOKUP(C383,Tab_Def_Flows[Name(EN)],Tab_Def_Flows[Type_Biomass],,0,)</f>
        <v>0</v>
      </c>
      <c r="E383" s="49">
        <f>_xlfn.XLOOKUP(C383,Tab_Def_Flows[Name(EN)],Tab_Def_Flows[Output_Process],,0,)</f>
        <v>0</v>
      </c>
      <c r="F383" s="49" t="str">
        <f>_xlfn.XLOOKUP(C383,Tab_Def_Flows[Name(EN)],Tab_Def_Flows[Process_ID_O],,0,)</f>
        <v>24__</v>
      </c>
      <c r="G383" s="49">
        <f>_xlfn.XLOOKUP(C383,Tab_Def_Flows[Name(EN)],Tab_Def_Flows[Input_Process],,0,)</f>
        <v>0</v>
      </c>
      <c r="H383" s="61" t="str">
        <f>_xlfn.XLOOKUP(C383,Tab_Def_Flows[Name(EN)],Tab_Def_Flows[Process_ID_I],,0,)</f>
        <v>24__</v>
      </c>
      <c r="I383" s="49">
        <f>_xlfn.XLOOKUP(C383,Tab_Def_Flows[Name(EN)],Tab_Def_Flows[Value_Source],,0,)</f>
        <v>0</v>
      </c>
      <c r="J383" s="61" t="str">
        <f>_xlfn.XLOOKUP(C383,Tab_Def_Flows[Name(EN)],Tab_Def_Flows[WC?],,0,)</f>
        <v>Yes</v>
      </c>
      <c r="K383" s="61" t="str">
        <f>_xlfn.XLOOKUP(C383,Tab_Def_Flows[Name(EN)],Tab_Def_Flows[DM?],,0,)</f>
        <v>Yes</v>
      </c>
      <c r="L383" s="61" t="str">
        <f>_xlfn.XLOOKUP(C383,Tab_Def_Flows[Name(EN)],Tab_Def_Flows[CC?],,0,)</f>
        <v>Yes</v>
      </c>
      <c r="M383" s="51"/>
      <c r="N383" s="51"/>
      <c r="O383" s="119"/>
      <c r="P383" s="51" t="s">
        <v>389</v>
      </c>
      <c r="Q383" s="51"/>
      <c r="R383" s="51"/>
      <c r="S383" s="51"/>
      <c r="T383" s="51"/>
      <c r="U383" s="51"/>
      <c r="V383" s="51"/>
      <c r="W383" s="51"/>
      <c r="X383" s="51" t="s">
        <v>71</v>
      </c>
      <c r="Y383" s="51"/>
      <c r="Z383" s="51"/>
      <c r="AA383" s="86">
        <f t="shared" si="13"/>
        <v>0</v>
      </c>
      <c r="AB383" s="51"/>
      <c r="AC383" s="111" t="e">
        <f>INDEX(Tab_Def_Flows[[Flow_ID]:[CC_DM_source]],MATCH(Tab_Data_Flows[[#This Row],[Name(EN)]],Tab_Def_Flows[Name(EN)],0),16)</f>
        <v>#N/A</v>
      </c>
      <c r="AD383" s="112" t="e">
        <f>IF(J383="Yes",AA383*Tab_Data_Flows[[#This Row],[WC_'[%']]],"N.A.")</f>
        <v>#N/A</v>
      </c>
      <c r="AE383" s="61">
        <f>Tab_Data_Flows[[#This Row],[UoM_Flow_Py]]</f>
        <v>0</v>
      </c>
      <c r="AF383" s="111" t="e">
        <f>INDEX(Tab_Def_Flows[[Flow_ID]:[CC_DM_source]],MATCH(Tab_Data_Flows[[#This Row],[Name(EN)]],Tab_Def_Flows[Name(EN)],0),18)</f>
        <v>#N/A</v>
      </c>
      <c r="AG383" s="112" t="e">
        <f>IF(K383="Yes",AF383*Tab_Data_Flows[[#This Row],[Flow_Py]],"N.A.")</f>
        <v>#N/A</v>
      </c>
      <c r="AH383" s="61">
        <f>Tab_Data_Flows[[#This Row],[UoM_Flow_Py]]</f>
        <v>0</v>
      </c>
      <c r="AI383" s="111" t="e">
        <f>INDEX(Tab_Def_Flows[[Flow_ID]:[CC_DM_source]],MATCH(Tab_Data_Flows[[#This Row],[Name(EN)]],Tab_Def_Flows[Name(EN)],0),20)</f>
        <v>#N/A</v>
      </c>
      <c r="AJ383" s="109" t="e">
        <f>IF(L383="Yes",AI383*Tab_Data_Flows[[#This Row],[Flow_Py]]*Tab_Data_Flows[[#This Row],[DM_'[%']]],"N.A.")</f>
        <v>#N/A</v>
      </c>
      <c r="AK383" s="61">
        <f>Tab_Data_Flows[[#This Row],[UoM_Flow_Py]]</f>
        <v>0</v>
      </c>
    </row>
    <row r="384" spans="1:37" ht="15.75" thickBot="1" x14ac:dyDescent="0.3">
      <c r="A384" s="60">
        <f t="shared" si="12"/>
        <v>383</v>
      </c>
      <c r="B384" s="49" t="str">
        <f>_xlfn.XLOOKUP(C384,Tab_Def_Flows[Name(EN)],Tab_Def_Flows[Flow_ID],,0,)</f>
        <v>F_24_24</v>
      </c>
      <c r="C384" s="51"/>
      <c r="D384" s="49">
        <f>_xlfn.XLOOKUP(C384,Tab_Def_Flows[Name(EN)],Tab_Def_Flows[Type_Biomass],,0,)</f>
        <v>0</v>
      </c>
      <c r="E384" s="49">
        <f>_xlfn.XLOOKUP(C384,Tab_Def_Flows[Name(EN)],Tab_Def_Flows[Output_Process],,0,)</f>
        <v>0</v>
      </c>
      <c r="F384" s="49" t="str">
        <f>_xlfn.XLOOKUP(C384,Tab_Def_Flows[Name(EN)],Tab_Def_Flows[Process_ID_O],,0,)</f>
        <v>24__</v>
      </c>
      <c r="G384" s="49">
        <f>_xlfn.XLOOKUP(C384,Tab_Def_Flows[Name(EN)],Tab_Def_Flows[Input_Process],,0,)</f>
        <v>0</v>
      </c>
      <c r="H384" s="61" t="str">
        <f>_xlfn.XLOOKUP(C384,Tab_Def_Flows[Name(EN)],Tab_Def_Flows[Process_ID_I],,0,)</f>
        <v>24__</v>
      </c>
      <c r="I384" s="49">
        <f>_xlfn.XLOOKUP(C384,Tab_Def_Flows[Name(EN)],Tab_Def_Flows[Value_Source],,0,)</f>
        <v>0</v>
      </c>
      <c r="J384" s="61" t="str">
        <f>_xlfn.XLOOKUP(C384,Tab_Def_Flows[Name(EN)],Tab_Def_Flows[WC?],,0,)</f>
        <v>Yes</v>
      </c>
      <c r="K384" s="61" t="str">
        <f>_xlfn.XLOOKUP(C384,Tab_Def_Flows[Name(EN)],Tab_Def_Flows[DM?],,0,)</f>
        <v>Yes</v>
      </c>
      <c r="L384" s="61" t="str">
        <f>_xlfn.XLOOKUP(C384,Tab_Def_Flows[Name(EN)],Tab_Def_Flows[CC?],,0,)</f>
        <v>Yes</v>
      </c>
      <c r="M384" s="51"/>
      <c r="N384" s="51"/>
      <c r="O384" s="119"/>
      <c r="P384" s="51" t="s">
        <v>389</v>
      </c>
      <c r="Q384" s="51"/>
      <c r="R384" s="51"/>
      <c r="S384" s="51"/>
      <c r="T384" s="51"/>
      <c r="U384" s="51"/>
      <c r="V384" s="51"/>
      <c r="W384" s="51"/>
      <c r="X384" s="51" t="s">
        <v>71</v>
      </c>
      <c r="Y384" s="51"/>
      <c r="Z384" s="51"/>
      <c r="AA384" s="86">
        <f t="shared" si="13"/>
        <v>0</v>
      </c>
      <c r="AB384" s="51"/>
      <c r="AC384" s="111" t="e">
        <f>INDEX(Tab_Def_Flows[[Flow_ID]:[CC_DM_source]],MATCH(Tab_Data_Flows[[#This Row],[Name(EN)]],Tab_Def_Flows[Name(EN)],0),16)</f>
        <v>#N/A</v>
      </c>
      <c r="AD384" s="112" t="e">
        <f>IF(J384="Yes",AA384*Tab_Data_Flows[[#This Row],[WC_'[%']]],"N.A.")</f>
        <v>#N/A</v>
      </c>
      <c r="AE384" s="61">
        <f>Tab_Data_Flows[[#This Row],[UoM_Flow_Py]]</f>
        <v>0</v>
      </c>
      <c r="AF384" s="111" t="e">
        <f>INDEX(Tab_Def_Flows[[Flow_ID]:[CC_DM_source]],MATCH(Tab_Data_Flows[[#This Row],[Name(EN)]],Tab_Def_Flows[Name(EN)],0),18)</f>
        <v>#N/A</v>
      </c>
      <c r="AG384" s="112" t="e">
        <f>IF(K384="Yes",AF384*Tab_Data_Flows[[#This Row],[Flow_Py]],"N.A.")</f>
        <v>#N/A</v>
      </c>
      <c r="AH384" s="61">
        <f>Tab_Data_Flows[[#This Row],[UoM_Flow_Py]]</f>
        <v>0</v>
      </c>
      <c r="AI384" s="111" t="e">
        <f>INDEX(Tab_Def_Flows[[Flow_ID]:[CC_DM_source]],MATCH(Tab_Data_Flows[[#This Row],[Name(EN)]],Tab_Def_Flows[Name(EN)],0),20)</f>
        <v>#N/A</v>
      </c>
      <c r="AJ384" s="109" t="e">
        <f>IF(L384="Yes",AI384*Tab_Data_Flows[[#This Row],[Flow_Py]]*Tab_Data_Flows[[#This Row],[DM_'[%']]],"N.A.")</f>
        <v>#N/A</v>
      </c>
      <c r="AK384" s="61">
        <f>Tab_Data_Flows[[#This Row],[UoM_Flow_Py]]</f>
        <v>0</v>
      </c>
    </row>
    <row r="385" spans="1:37" ht="15.75" thickBot="1" x14ac:dyDescent="0.3">
      <c r="A385" s="60">
        <f t="shared" si="12"/>
        <v>384</v>
      </c>
      <c r="B385" s="49" t="str">
        <f>_xlfn.XLOOKUP(C385,Tab_Def_Flows[Name(EN)],Tab_Def_Flows[Flow_ID],,0,)</f>
        <v>F_24_24</v>
      </c>
      <c r="C385" s="51"/>
      <c r="D385" s="49">
        <f>_xlfn.XLOOKUP(C385,Tab_Def_Flows[Name(EN)],Tab_Def_Flows[Type_Biomass],,0,)</f>
        <v>0</v>
      </c>
      <c r="E385" s="49">
        <f>_xlfn.XLOOKUP(C385,Tab_Def_Flows[Name(EN)],Tab_Def_Flows[Output_Process],,0,)</f>
        <v>0</v>
      </c>
      <c r="F385" s="49" t="str">
        <f>_xlfn.XLOOKUP(C385,Tab_Def_Flows[Name(EN)],Tab_Def_Flows[Process_ID_O],,0,)</f>
        <v>24__</v>
      </c>
      <c r="G385" s="49">
        <f>_xlfn.XLOOKUP(C385,Tab_Def_Flows[Name(EN)],Tab_Def_Flows[Input_Process],,0,)</f>
        <v>0</v>
      </c>
      <c r="H385" s="61" t="str">
        <f>_xlfn.XLOOKUP(C385,Tab_Def_Flows[Name(EN)],Tab_Def_Flows[Process_ID_I],,0,)</f>
        <v>24__</v>
      </c>
      <c r="I385" s="49">
        <f>_xlfn.XLOOKUP(C385,Tab_Def_Flows[Name(EN)],Tab_Def_Flows[Value_Source],,0,)</f>
        <v>0</v>
      </c>
      <c r="J385" s="61" t="str">
        <f>_xlfn.XLOOKUP(C385,Tab_Def_Flows[Name(EN)],Tab_Def_Flows[WC?],,0,)</f>
        <v>Yes</v>
      </c>
      <c r="K385" s="61" t="str">
        <f>_xlfn.XLOOKUP(C385,Tab_Def_Flows[Name(EN)],Tab_Def_Flows[DM?],,0,)</f>
        <v>Yes</v>
      </c>
      <c r="L385" s="61" t="str">
        <f>_xlfn.XLOOKUP(C385,Tab_Def_Flows[Name(EN)],Tab_Def_Flows[CC?],,0,)</f>
        <v>Yes</v>
      </c>
      <c r="M385" s="51"/>
      <c r="N385" s="51"/>
      <c r="O385" s="119"/>
      <c r="P385" s="51" t="s">
        <v>389</v>
      </c>
      <c r="Q385" s="51"/>
      <c r="R385" s="51"/>
      <c r="S385" s="51"/>
      <c r="T385" s="51"/>
      <c r="U385" s="51"/>
      <c r="V385" s="51"/>
      <c r="W385" s="51"/>
      <c r="X385" s="51" t="s">
        <v>71</v>
      </c>
      <c r="Y385" s="51"/>
      <c r="Z385" s="51"/>
      <c r="AA385" s="86">
        <f t="shared" si="13"/>
        <v>0</v>
      </c>
      <c r="AB385" s="51"/>
      <c r="AC385" s="111" t="e">
        <f>INDEX(Tab_Def_Flows[[Flow_ID]:[CC_DM_source]],MATCH(Tab_Data_Flows[[#This Row],[Name(EN)]],Tab_Def_Flows[Name(EN)],0),16)</f>
        <v>#N/A</v>
      </c>
      <c r="AD385" s="112" t="e">
        <f>IF(J385="Yes",AA385*Tab_Data_Flows[[#This Row],[WC_'[%']]],"N.A.")</f>
        <v>#N/A</v>
      </c>
      <c r="AE385" s="61">
        <f>Tab_Data_Flows[[#This Row],[UoM_Flow_Py]]</f>
        <v>0</v>
      </c>
      <c r="AF385" s="111" t="e">
        <f>INDEX(Tab_Def_Flows[[Flow_ID]:[CC_DM_source]],MATCH(Tab_Data_Flows[[#This Row],[Name(EN)]],Tab_Def_Flows[Name(EN)],0),18)</f>
        <v>#N/A</v>
      </c>
      <c r="AG385" s="112" t="e">
        <f>IF(K385="Yes",AF385*Tab_Data_Flows[[#This Row],[Flow_Py]],"N.A.")</f>
        <v>#N/A</v>
      </c>
      <c r="AH385" s="61">
        <f>Tab_Data_Flows[[#This Row],[UoM_Flow_Py]]</f>
        <v>0</v>
      </c>
      <c r="AI385" s="111" t="e">
        <f>INDEX(Tab_Def_Flows[[Flow_ID]:[CC_DM_source]],MATCH(Tab_Data_Flows[[#This Row],[Name(EN)]],Tab_Def_Flows[Name(EN)],0),20)</f>
        <v>#N/A</v>
      </c>
      <c r="AJ385" s="109" t="e">
        <f>IF(L385="Yes",AI385*Tab_Data_Flows[[#This Row],[Flow_Py]]*Tab_Data_Flows[[#This Row],[DM_'[%']]],"N.A.")</f>
        <v>#N/A</v>
      </c>
      <c r="AK385" s="61">
        <f>Tab_Data_Flows[[#This Row],[UoM_Flow_Py]]</f>
        <v>0</v>
      </c>
    </row>
    <row r="386" spans="1:37" ht="15.75" thickBot="1" x14ac:dyDescent="0.3">
      <c r="A386" s="60">
        <f t="shared" si="12"/>
        <v>385</v>
      </c>
      <c r="B386" s="49" t="str">
        <f>_xlfn.XLOOKUP(C386,Tab_Def_Flows[Name(EN)],Tab_Def_Flows[Flow_ID],,0,)</f>
        <v>F_24_24</v>
      </c>
      <c r="C386" s="51"/>
      <c r="D386" s="49">
        <f>_xlfn.XLOOKUP(C386,Tab_Def_Flows[Name(EN)],Tab_Def_Flows[Type_Biomass],,0,)</f>
        <v>0</v>
      </c>
      <c r="E386" s="49">
        <f>_xlfn.XLOOKUP(C386,Tab_Def_Flows[Name(EN)],Tab_Def_Flows[Output_Process],,0,)</f>
        <v>0</v>
      </c>
      <c r="F386" s="49" t="str">
        <f>_xlfn.XLOOKUP(C386,Tab_Def_Flows[Name(EN)],Tab_Def_Flows[Process_ID_O],,0,)</f>
        <v>24__</v>
      </c>
      <c r="G386" s="49">
        <f>_xlfn.XLOOKUP(C386,Tab_Def_Flows[Name(EN)],Tab_Def_Flows[Input_Process],,0,)</f>
        <v>0</v>
      </c>
      <c r="H386" s="61" t="str">
        <f>_xlfn.XLOOKUP(C386,Tab_Def_Flows[Name(EN)],Tab_Def_Flows[Process_ID_I],,0,)</f>
        <v>24__</v>
      </c>
      <c r="I386" s="49">
        <f>_xlfn.XLOOKUP(C386,Tab_Def_Flows[Name(EN)],Tab_Def_Flows[Value_Source],,0,)</f>
        <v>0</v>
      </c>
      <c r="J386" s="61" t="str">
        <f>_xlfn.XLOOKUP(C386,Tab_Def_Flows[Name(EN)],Tab_Def_Flows[WC?],,0,)</f>
        <v>Yes</v>
      </c>
      <c r="K386" s="61" t="str">
        <f>_xlfn.XLOOKUP(C386,Tab_Def_Flows[Name(EN)],Tab_Def_Flows[DM?],,0,)</f>
        <v>Yes</v>
      </c>
      <c r="L386" s="61" t="str">
        <f>_xlfn.XLOOKUP(C386,Tab_Def_Flows[Name(EN)],Tab_Def_Flows[CC?],,0,)</f>
        <v>Yes</v>
      </c>
      <c r="M386" s="51"/>
      <c r="N386" s="51"/>
      <c r="O386" s="119"/>
      <c r="P386" s="51" t="s">
        <v>389</v>
      </c>
      <c r="Q386" s="51"/>
      <c r="R386" s="51"/>
      <c r="S386" s="51"/>
      <c r="T386" s="51"/>
      <c r="U386" s="51"/>
      <c r="V386" s="51"/>
      <c r="W386" s="51"/>
      <c r="X386" s="51" t="s">
        <v>71</v>
      </c>
      <c r="Y386" s="51"/>
      <c r="Z386" s="51"/>
      <c r="AA386" s="86">
        <f t="shared" si="13"/>
        <v>0</v>
      </c>
      <c r="AB386" s="51"/>
      <c r="AC386" s="111" t="e">
        <f>INDEX(Tab_Def_Flows[[Flow_ID]:[CC_DM_source]],MATCH(Tab_Data_Flows[[#This Row],[Name(EN)]],Tab_Def_Flows[Name(EN)],0),16)</f>
        <v>#N/A</v>
      </c>
      <c r="AD386" s="112" t="e">
        <f>IF(J386="Yes",AA386*Tab_Data_Flows[[#This Row],[WC_'[%']]],"N.A.")</f>
        <v>#N/A</v>
      </c>
      <c r="AE386" s="61">
        <f>Tab_Data_Flows[[#This Row],[UoM_Flow_Py]]</f>
        <v>0</v>
      </c>
      <c r="AF386" s="111" t="e">
        <f>INDEX(Tab_Def_Flows[[Flow_ID]:[CC_DM_source]],MATCH(Tab_Data_Flows[[#This Row],[Name(EN)]],Tab_Def_Flows[Name(EN)],0),18)</f>
        <v>#N/A</v>
      </c>
      <c r="AG386" s="112" t="e">
        <f>IF(K386="Yes",AF386*Tab_Data_Flows[[#This Row],[Flow_Py]],"N.A.")</f>
        <v>#N/A</v>
      </c>
      <c r="AH386" s="61">
        <f>Tab_Data_Flows[[#This Row],[UoM_Flow_Py]]</f>
        <v>0</v>
      </c>
      <c r="AI386" s="111" t="e">
        <f>INDEX(Tab_Def_Flows[[Flow_ID]:[CC_DM_source]],MATCH(Tab_Data_Flows[[#This Row],[Name(EN)]],Tab_Def_Flows[Name(EN)],0),20)</f>
        <v>#N/A</v>
      </c>
      <c r="AJ386" s="109" t="e">
        <f>IF(L386="Yes",AI386*Tab_Data_Flows[[#This Row],[Flow_Py]]*Tab_Data_Flows[[#This Row],[DM_'[%']]],"N.A.")</f>
        <v>#N/A</v>
      </c>
      <c r="AK386" s="61">
        <f>Tab_Data_Flows[[#This Row],[UoM_Flow_Py]]</f>
        <v>0</v>
      </c>
    </row>
    <row r="387" spans="1:37" ht="15.75" thickBot="1" x14ac:dyDescent="0.3">
      <c r="A387" s="60">
        <f t="shared" si="12"/>
        <v>386</v>
      </c>
      <c r="B387" s="49" t="str">
        <f>_xlfn.XLOOKUP(C387,Tab_Def_Flows[Name(EN)],Tab_Def_Flows[Flow_ID],,0,)</f>
        <v>F_24_24</v>
      </c>
      <c r="C387" s="51"/>
      <c r="D387" s="49">
        <f>_xlfn.XLOOKUP(C387,Tab_Def_Flows[Name(EN)],Tab_Def_Flows[Type_Biomass],,0,)</f>
        <v>0</v>
      </c>
      <c r="E387" s="49">
        <f>_xlfn.XLOOKUP(C387,Tab_Def_Flows[Name(EN)],Tab_Def_Flows[Output_Process],,0,)</f>
        <v>0</v>
      </c>
      <c r="F387" s="49" t="str">
        <f>_xlfn.XLOOKUP(C387,Tab_Def_Flows[Name(EN)],Tab_Def_Flows[Process_ID_O],,0,)</f>
        <v>24__</v>
      </c>
      <c r="G387" s="49">
        <f>_xlfn.XLOOKUP(C387,Tab_Def_Flows[Name(EN)],Tab_Def_Flows[Input_Process],,0,)</f>
        <v>0</v>
      </c>
      <c r="H387" s="61" t="str">
        <f>_xlfn.XLOOKUP(C387,Tab_Def_Flows[Name(EN)],Tab_Def_Flows[Process_ID_I],,0,)</f>
        <v>24__</v>
      </c>
      <c r="I387" s="49">
        <f>_xlfn.XLOOKUP(C387,Tab_Def_Flows[Name(EN)],Tab_Def_Flows[Value_Source],,0,)</f>
        <v>0</v>
      </c>
      <c r="J387" s="61" t="str">
        <f>_xlfn.XLOOKUP(C387,Tab_Def_Flows[Name(EN)],Tab_Def_Flows[WC?],,0,)</f>
        <v>Yes</v>
      </c>
      <c r="K387" s="61" t="str">
        <f>_xlfn.XLOOKUP(C387,Tab_Def_Flows[Name(EN)],Tab_Def_Flows[DM?],,0,)</f>
        <v>Yes</v>
      </c>
      <c r="L387" s="61" t="str">
        <f>_xlfn.XLOOKUP(C387,Tab_Def_Flows[Name(EN)],Tab_Def_Flows[CC?],,0,)</f>
        <v>Yes</v>
      </c>
      <c r="M387" s="51"/>
      <c r="N387" s="51"/>
      <c r="O387" s="119"/>
      <c r="P387" s="51" t="s">
        <v>389</v>
      </c>
      <c r="Q387" s="51"/>
      <c r="R387" s="51"/>
      <c r="S387" s="51"/>
      <c r="T387" s="51"/>
      <c r="U387" s="51"/>
      <c r="V387" s="51"/>
      <c r="W387" s="51"/>
      <c r="X387" s="51" t="s">
        <v>71</v>
      </c>
      <c r="Y387" s="51"/>
      <c r="Z387" s="51"/>
      <c r="AA387" s="86">
        <f t="shared" si="13"/>
        <v>0</v>
      </c>
      <c r="AB387" s="51"/>
      <c r="AC387" s="111" t="e">
        <f>INDEX(Tab_Def_Flows[[Flow_ID]:[CC_DM_source]],MATCH(Tab_Data_Flows[[#This Row],[Name(EN)]],Tab_Def_Flows[Name(EN)],0),16)</f>
        <v>#N/A</v>
      </c>
      <c r="AD387" s="112" t="e">
        <f>IF(J387="Yes",AA387*Tab_Data_Flows[[#This Row],[WC_'[%']]],"N.A.")</f>
        <v>#N/A</v>
      </c>
      <c r="AE387" s="61">
        <f>Tab_Data_Flows[[#This Row],[UoM_Flow_Py]]</f>
        <v>0</v>
      </c>
      <c r="AF387" s="111" t="e">
        <f>INDEX(Tab_Def_Flows[[Flow_ID]:[CC_DM_source]],MATCH(Tab_Data_Flows[[#This Row],[Name(EN)]],Tab_Def_Flows[Name(EN)],0),18)</f>
        <v>#N/A</v>
      </c>
      <c r="AG387" s="112" t="e">
        <f>IF(K387="Yes",AF387*Tab_Data_Flows[[#This Row],[Flow_Py]],"N.A.")</f>
        <v>#N/A</v>
      </c>
      <c r="AH387" s="61">
        <f>Tab_Data_Flows[[#This Row],[UoM_Flow_Py]]</f>
        <v>0</v>
      </c>
      <c r="AI387" s="111" t="e">
        <f>INDEX(Tab_Def_Flows[[Flow_ID]:[CC_DM_source]],MATCH(Tab_Data_Flows[[#This Row],[Name(EN)]],Tab_Def_Flows[Name(EN)],0),20)</f>
        <v>#N/A</v>
      </c>
      <c r="AJ387" s="109" t="e">
        <f>IF(L387="Yes",AI387*Tab_Data_Flows[[#This Row],[Flow_Py]]*Tab_Data_Flows[[#This Row],[DM_'[%']]],"N.A.")</f>
        <v>#N/A</v>
      </c>
      <c r="AK387" s="61">
        <f>Tab_Data_Flows[[#This Row],[UoM_Flow_Py]]</f>
        <v>0</v>
      </c>
    </row>
    <row r="388" spans="1:37" ht="15.75" thickBot="1" x14ac:dyDescent="0.3">
      <c r="A388" s="60">
        <f t="shared" si="12"/>
        <v>387</v>
      </c>
      <c r="B388" s="49" t="str">
        <f>_xlfn.XLOOKUP(C388,Tab_Def_Flows[Name(EN)],Tab_Def_Flows[Flow_ID],,0,)</f>
        <v>F_24_24</v>
      </c>
      <c r="C388" s="51"/>
      <c r="D388" s="49">
        <f>_xlfn.XLOOKUP(C388,Tab_Def_Flows[Name(EN)],Tab_Def_Flows[Type_Biomass],,0,)</f>
        <v>0</v>
      </c>
      <c r="E388" s="49">
        <f>_xlfn.XLOOKUP(C388,Tab_Def_Flows[Name(EN)],Tab_Def_Flows[Output_Process],,0,)</f>
        <v>0</v>
      </c>
      <c r="F388" s="49" t="str">
        <f>_xlfn.XLOOKUP(C388,Tab_Def_Flows[Name(EN)],Tab_Def_Flows[Process_ID_O],,0,)</f>
        <v>24__</v>
      </c>
      <c r="G388" s="49">
        <f>_xlfn.XLOOKUP(C388,Tab_Def_Flows[Name(EN)],Tab_Def_Flows[Input_Process],,0,)</f>
        <v>0</v>
      </c>
      <c r="H388" s="61" t="str">
        <f>_xlfn.XLOOKUP(C388,Tab_Def_Flows[Name(EN)],Tab_Def_Flows[Process_ID_I],,0,)</f>
        <v>24__</v>
      </c>
      <c r="I388" s="49">
        <f>_xlfn.XLOOKUP(C388,Tab_Def_Flows[Name(EN)],Tab_Def_Flows[Value_Source],,0,)</f>
        <v>0</v>
      </c>
      <c r="J388" s="61" t="str">
        <f>_xlfn.XLOOKUP(C388,Tab_Def_Flows[Name(EN)],Tab_Def_Flows[WC?],,0,)</f>
        <v>Yes</v>
      </c>
      <c r="K388" s="61" t="str">
        <f>_xlfn.XLOOKUP(C388,Tab_Def_Flows[Name(EN)],Tab_Def_Flows[DM?],,0,)</f>
        <v>Yes</v>
      </c>
      <c r="L388" s="61" t="str">
        <f>_xlfn.XLOOKUP(C388,Tab_Def_Flows[Name(EN)],Tab_Def_Flows[CC?],,0,)</f>
        <v>Yes</v>
      </c>
      <c r="M388" s="51"/>
      <c r="N388" s="51"/>
      <c r="O388" s="119"/>
      <c r="P388" s="51" t="s">
        <v>389</v>
      </c>
      <c r="Q388" s="51"/>
      <c r="R388" s="51"/>
      <c r="S388" s="51"/>
      <c r="T388" s="51"/>
      <c r="U388" s="51"/>
      <c r="V388" s="51"/>
      <c r="W388" s="51"/>
      <c r="X388" s="51" t="s">
        <v>71</v>
      </c>
      <c r="Y388" s="51"/>
      <c r="Z388" s="51"/>
      <c r="AA388" s="86">
        <f t="shared" si="13"/>
        <v>0</v>
      </c>
      <c r="AB388" s="51"/>
      <c r="AC388" s="111" t="e">
        <f>INDEX(Tab_Def_Flows[[Flow_ID]:[CC_DM_source]],MATCH(Tab_Data_Flows[[#This Row],[Name(EN)]],Tab_Def_Flows[Name(EN)],0),16)</f>
        <v>#N/A</v>
      </c>
      <c r="AD388" s="112" t="e">
        <f>IF(J388="Yes",AA388*Tab_Data_Flows[[#This Row],[WC_'[%']]],"N.A.")</f>
        <v>#N/A</v>
      </c>
      <c r="AE388" s="61">
        <f>Tab_Data_Flows[[#This Row],[UoM_Flow_Py]]</f>
        <v>0</v>
      </c>
      <c r="AF388" s="111" t="e">
        <f>INDEX(Tab_Def_Flows[[Flow_ID]:[CC_DM_source]],MATCH(Tab_Data_Flows[[#This Row],[Name(EN)]],Tab_Def_Flows[Name(EN)],0),18)</f>
        <v>#N/A</v>
      </c>
      <c r="AG388" s="112" t="e">
        <f>IF(K388="Yes",AF388*Tab_Data_Flows[[#This Row],[Flow_Py]],"N.A.")</f>
        <v>#N/A</v>
      </c>
      <c r="AH388" s="61">
        <f>Tab_Data_Flows[[#This Row],[UoM_Flow_Py]]</f>
        <v>0</v>
      </c>
      <c r="AI388" s="111" t="e">
        <f>INDEX(Tab_Def_Flows[[Flow_ID]:[CC_DM_source]],MATCH(Tab_Data_Flows[[#This Row],[Name(EN)]],Tab_Def_Flows[Name(EN)],0),20)</f>
        <v>#N/A</v>
      </c>
      <c r="AJ388" s="109" t="e">
        <f>IF(L388="Yes",AI388*Tab_Data_Flows[[#This Row],[Flow_Py]]*Tab_Data_Flows[[#This Row],[DM_'[%']]],"N.A.")</f>
        <v>#N/A</v>
      </c>
      <c r="AK388" s="61">
        <f>Tab_Data_Flows[[#This Row],[UoM_Flow_Py]]</f>
        <v>0</v>
      </c>
    </row>
    <row r="389" spans="1:37" ht="15.75" thickBot="1" x14ac:dyDescent="0.3">
      <c r="A389" s="60">
        <f t="shared" si="12"/>
        <v>388</v>
      </c>
      <c r="B389" s="49" t="str">
        <f>_xlfn.XLOOKUP(C389,Tab_Def_Flows[Name(EN)],Tab_Def_Flows[Flow_ID],,0,)</f>
        <v>F_24_24</v>
      </c>
      <c r="C389" s="51"/>
      <c r="D389" s="49">
        <f>_xlfn.XLOOKUP(C389,Tab_Def_Flows[Name(EN)],Tab_Def_Flows[Type_Biomass],,0,)</f>
        <v>0</v>
      </c>
      <c r="E389" s="49">
        <f>_xlfn.XLOOKUP(C389,Tab_Def_Flows[Name(EN)],Tab_Def_Flows[Output_Process],,0,)</f>
        <v>0</v>
      </c>
      <c r="F389" s="49" t="str">
        <f>_xlfn.XLOOKUP(C389,Tab_Def_Flows[Name(EN)],Tab_Def_Flows[Process_ID_O],,0,)</f>
        <v>24__</v>
      </c>
      <c r="G389" s="49">
        <f>_xlfn.XLOOKUP(C389,Tab_Def_Flows[Name(EN)],Tab_Def_Flows[Input_Process],,0,)</f>
        <v>0</v>
      </c>
      <c r="H389" s="61" t="str">
        <f>_xlfn.XLOOKUP(C389,Tab_Def_Flows[Name(EN)],Tab_Def_Flows[Process_ID_I],,0,)</f>
        <v>24__</v>
      </c>
      <c r="I389" s="49">
        <f>_xlfn.XLOOKUP(C389,Tab_Def_Flows[Name(EN)],Tab_Def_Flows[Value_Source],,0,)</f>
        <v>0</v>
      </c>
      <c r="J389" s="61" t="str">
        <f>_xlfn.XLOOKUP(C389,Tab_Def_Flows[Name(EN)],Tab_Def_Flows[WC?],,0,)</f>
        <v>Yes</v>
      </c>
      <c r="K389" s="61" t="str">
        <f>_xlfn.XLOOKUP(C389,Tab_Def_Flows[Name(EN)],Tab_Def_Flows[DM?],,0,)</f>
        <v>Yes</v>
      </c>
      <c r="L389" s="61" t="str">
        <f>_xlfn.XLOOKUP(C389,Tab_Def_Flows[Name(EN)],Tab_Def_Flows[CC?],,0,)</f>
        <v>Yes</v>
      </c>
      <c r="M389" s="51"/>
      <c r="N389" s="51"/>
      <c r="O389" s="119"/>
      <c r="P389" s="51" t="s">
        <v>389</v>
      </c>
      <c r="Q389" s="51"/>
      <c r="R389" s="51"/>
      <c r="S389" s="51"/>
      <c r="T389" s="51"/>
      <c r="U389" s="51"/>
      <c r="V389" s="51"/>
      <c r="W389" s="51"/>
      <c r="X389" s="51" t="s">
        <v>71</v>
      </c>
      <c r="Y389" s="51"/>
      <c r="Z389" s="51"/>
      <c r="AA389" s="86">
        <f t="shared" si="13"/>
        <v>0</v>
      </c>
      <c r="AB389" s="51"/>
      <c r="AC389" s="111" t="e">
        <f>INDEX(Tab_Def_Flows[[Flow_ID]:[CC_DM_source]],MATCH(Tab_Data_Flows[[#This Row],[Name(EN)]],Tab_Def_Flows[Name(EN)],0),16)</f>
        <v>#N/A</v>
      </c>
      <c r="AD389" s="112" t="e">
        <f>IF(J389="Yes",AA389*Tab_Data_Flows[[#This Row],[WC_'[%']]],"N.A.")</f>
        <v>#N/A</v>
      </c>
      <c r="AE389" s="61">
        <f>Tab_Data_Flows[[#This Row],[UoM_Flow_Py]]</f>
        <v>0</v>
      </c>
      <c r="AF389" s="111" t="e">
        <f>INDEX(Tab_Def_Flows[[Flow_ID]:[CC_DM_source]],MATCH(Tab_Data_Flows[[#This Row],[Name(EN)]],Tab_Def_Flows[Name(EN)],0),18)</f>
        <v>#N/A</v>
      </c>
      <c r="AG389" s="112" t="e">
        <f>IF(K389="Yes",AF389*Tab_Data_Flows[[#This Row],[Flow_Py]],"N.A.")</f>
        <v>#N/A</v>
      </c>
      <c r="AH389" s="61">
        <f>Tab_Data_Flows[[#This Row],[UoM_Flow_Py]]</f>
        <v>0</v>
      </c>
      <c r="AI389" s="111" t="e">
        <f>INDEX(Tab_Def_Flows[[Flow_ID]:[CC_DM_source]],MATCH(Tab_Data_Flows[[#This Row],[Name(EN)]],Tab_Def_Flows[Name(EN)],0),20)</f>
        <v>#N/A</v>
      </c>
      <c r="AJ389" s="109" t="e">
        <f>IF(L389="Yes",AI389*Tab_Data_Flows[[#This Row],[Flow_Py]]*Tab_Data_Flows[[#This Row],[DM_'[%']]],"N.A.")</f>
        <v>#N/A</v>
      </c>
      <c r="AK389" s="61">
        <f>Tab_Data_Flows[[#This Row],[UoM_Flow_Py]]</f>
        <v>0</v>
      </c>
    </row>
    <row r="390" spans="1:37" ht="15.75" thickBot="1" x14ac:dyDescent="0.3">
      <c r="A390" s="60">
        <f t="shared" si="12"/>
        <v>389</v>
      </c>
      <c r="B390" s="49" t="str">
        <f>_xlfn.XLOOKUP(C390,Tab_Def_Flows[Name(EN)],Tab_Def_Flows[Flow_ID],,0,)</f>
        <v>F_24_24</v>
      </c>
      <c r="C390" s="51"/>
      <c r="D390" s="49">
        <f>_xlfn.XLOOKUP(C390,Tab_Def_Flows[Name(EN)],Tab_Def_Flows[Type_Biomass],,0,)</f>
        <v>0</v>
      </c>
      <c r="E390" s="49">
        <f>_xlfn.XLOOKUP(C390,Tab_Def_Flows[Name(EN)],Tab_Def_Flows[Output_Process],,0,)</f>
        <v>0</v>
      </c>
      <c r="F390" s="49" t="str">
        <f>_xlfn.XLOOKUP(C390,Tab_Def_Flows[Name(EN)],Tab_Def_Flows[Process_ID_O],,0,)</f>
        <v>24__</v>
      </c>
      <c r="G390" s="49">
        <f>_xlfn.XLOOKUP(C390,Tab_Def_Flows[Name(EN)],Tab_Def_Flows[Input_Process],,0,)</f>
        <v>0</v>
      </c>
      <c r="H390" s="61" t="str">
        <f>_xlfn.XLOOKUP(C390,Tab_Def_Flows[Name(EN)],Tab_Def_Flows[Process_ID_I],,0,)</f>
        <v>24__</v>
      </c>
      <c r="I390" s="49">
        <f>_xlfn.XLOOKUP(C390,Tab_Def_Flows[Name(EN)],Tab_Def_Flows[Value_Source],,0,)</f>
        <v>0</v>
      </c>
      <c r="J390" s="61" t="str">
        <f>_xlfn.XLOOKUP(C390,Tab_Def_Flows[Name(EN)],Tab_Def_Flows[WC?],,0,)</f>
        <v>Yes</v>
      </c>
      <c r="K390" s="61" t="str">
        <f>_xlfn.XLOOKUP(C390,Tab_Def_Flows[Name(EN)],Tab_Def_Flows[DM?],,0,)</f>
        <v>Yes</v>
      </c>
      <c r="L390" s="61" t="str">
        <f>_xlfn.XLOOKUP(C390,Tab_Def_Flows[Name(EN)],Tab_Def_Flows[CC?],,0,)</f>
        <v>Yes</v>
      </c>
      <c r="M390" s="51"/>
      <c r="N390" s="51"/>
      <c r="O390" s="119"/>
      <c r="P390" s="51" t="s">
        <v>389</v>
      </c>
      <c r="Q390" s="51"/>
      <c r="R390" s="51"/>
      <c r="S390" s="51"/>
      <c r="T390" s="51"/>
      <c r="U390" s="51"/>
      <c r="V390" s="51"/>
      <c r="W390" s="51"/>
      <c r="X390" s="51" t="s">
        <v>71</v>
      </c>
      <c r="Y390" s="51"/>
      <c r="Z390" s="51"/>
      <c r="AA390" s="86">
        <f t="shared" si="13"/>
        <v>0</v>
      </c>
      <c r="AB390" s="51"/>
      <c r="AC390" s="111" t="e">
        <f>INDEX(Tab_Def_Flows[[Flow_ID]:[CC_DM_source]],MATCH(Tab_Data_Flows[[#This Row],[Name(EN)]],Tab_Def_Flows[Name(EN)],0),16)</f>
        <v>#N/A</v>
      </c>
      <c r="AD390" s="112" t="e">
        <f>IF(J390="Yes",AA390*Tab_Data_Flows[[#This Row],[WC_'[%']]],"N.A.")</f>
        <v>#N/A</v>
      </c>
      <c r="AE390" s="61">
        <f>Tab_Data_Flows[[#This Row],[UoM_Flow_Py]]</f>
        <v>0</v>
      </c>
      <c r="AF390" s="111" t="e">
        <f>INDEX(Tab_Def_Flows[[Flow_ID]:[CC_DM_source]],MATCH(Tab_Data_Flows[[#This Row],[Name(EN)]],Tab_Def_Flows[Name(EN)],0),18)</f>
        <v>#N/A</v>
      </c>
      <c r="AG390" s="112" t="e">
        <f>IF(K390="Yes",AF390*Tab_Data_Flows[[#This Row],[Flow_Py]],"N.A.")</f>
        <v>#N/A</v>
      </c>
      <c r="AH390" s="61">
        <f>Tab_Data_Flows[[#This Row],[UoM_Flow_Py]]</f>
        <v>0</v>
      </c>
      <c r="AI390" s="111" t="e">
        <f>INDEX(Tab_Def_Flows[[Flow_ID]:[CC_DM_source]],MATCH(Tab_Data_Flows[[#This Row],[Name(EN)]],Tab_Def_Flows[Name(EN)],0),20)</f>
        <v>#N/A</v>
      </c>
      <c r="AJ390" s="109" t="e">
        <f>IF(L390="Yes",AI390*Tab_Data_Flows[[#This Row],[Flow_Py]]*Tab_Data_Flows[[#This Row],[DM_'[%']]],"N.A.")</f>
        <v>#N/A</v>
      </c>
      <c r="AK390" s="61">
        <f>Tab_Data_Flows[[#This Row],[UoM_Flow_Py]]</f>
        <v>0</v>
      </c>
    </row>
    <row r="391" spans="1:37" ht="15.75" thickBot="1" x14ac:dyDescent="0.3">
      <c r="A391" s="60">
        <f t="shared" si="12"/>
        <v>390</v>
      </c>
      <c r="B391" s="49" t="str">
        <f>_xlfn.XLOOKUP(C391,Tab_Def_Flows[Name(EN)],Tab_Def_Flows[Flow_ID],,0,)</f>
        <v>F_24_24</v>
      </c>
      <c r="C391" s="51"/>
      <c r="D391" s="49">
        <f>_xlfn.XLOOKUP(C391,Tab_Def_Flows[Name(EN)],Tab_Def_Flows[Type_Biomass],,0,)</f>
        <v>0</v>
      </c>
      <c r="E391" s="49">
        <f>_xlfn.XLOOKUP(C391,Tab_Def_Flows[Name(EN)],Tab_Def_Flows[Output_Process],,0,)</f>
        <v>0</v>
      </c>
      <c r="F391" s="49" t="str">
        <f>_xlfn.XLOOKUP(C391,Tab_Def_Flows[Name(EN)],Tab_Def_Flows[Process_ID_O],,0,)</f>
        <v>24__</v>
      </c>
      <c r="G391" s="49">
        <f>_xlfn.XLOOKUP(C391,Tab_Def_Flows[Name(EN)],Tab_Def_Flows[Input_Process],,0,)</f>
        <v>0</v>
      </c>
      <c r="H391" s="61" t="str">
        <f>_xlfn.XLOOKUP(C391,Tab_Def_Flows[Name(EN)],Tab_Def_Flows[Process_ID_I],,0,)</f>
        <v>24__</v>
      </c>
      <c r="I391" s="49">
        <f>_xlfn.XLOOKUP(C391,Tab_Def_Flows[Name(EN)],Tab_Def_Flows[Value_Source],,0,)</f>
        <v>0</v>
      </c>
      <c r="J391" s="61" t="str">
        <f>_xlfn.XLOOKUP(C391,Tab_Def_Flows[Name(EN)],Tab_Def_Flows[WC?],,0,)</f>
        <v>Yes</v>
      </c>
      <c r="K391" s="61" t="str">
        <f>_xlfn.XLOOKUP(C391,Tab_Def_Flows[Name(EN)],Tab_Def_Flows[DM?],,0,)</f>
        <v>Yes</v>
      </c>
      <c r="L391" s="61" t="str">
        <f>_xlfn.XLOOKUP(C391,Tab_Def_Flows[Name(EN)],Tab_Def_Flows[CC?],,0,)</f>
        <v>Yes</v>
      </c>
      <c r="M391" s="51"/>
      <c r="N391" s="51"/>
      <c r="O391" s="119"/>
      <c r="P391" s="51" t="s">
        <v>389</v>
      </c>
      <c r="Q391" s="51"/>
      <c r="R391" s="51"/>
      <c r="S391" s="51"/>
      <c r="T391" s="51"/>
      <c r="U391" s="51"/>
      <c r="V391" s="51"/>
      <c r="W391" s="51"/>
      <c r="X391" s="51" t="s">
        <v>71</v>
      </c>
      <c r="Y391" s="51"/>
      <c r="Z391" s="51"/>
      <c r="AA391" s="86">
        <f t="shared" si="13"/>
        <v>0</v>
      </c>
      <c r="AB391" s="51"/>
      <c r="AC391" s="111" t="e">
        <f>INDEX(Tab_Def_Flows[[Flow_ID]:[CC_DM_source]],MATCH(Tab_Data_Flows[[#This Row],[Name(EN)]],Tab_Def_Flows[Name(EN)],0),16)</f>
        <v>#N/A</v>
      </c>
      <c r="AD391" s="112" t="e">
        <f>IF(J391="Yes",AA391*Tab_Data_Flows[[#This Row],[WC_'[%']]],"N.A.")</f>
        <v>#N/A</v>
      </c>
      <c r="AE391" s="61">
        <f>Tab_Data_Flows[[#This Row],[UoM_Flow_Py]]</f>
        <v>0</v>
      </c>
      <c r="AF391" s="111" t="e">
        <f>INDEX(Tab_Def_Flows[[Flow_ID]:[CC_DM_source]],MATCH(Tab_Data_Flows[[#This Row],[Name(EN)]],Tab_Def_Flows[Name(EN)],0),18)</f>
        <v>#N/A</v>
      </c>
      <c r="AG391" s="112" t="e">
        <f>IF(K391="Yes",AF391*Tab_Data_Flows[[#This Row],[Flow_Py]],"N.A.")</f>
        <v>#N/A</v>
      </c>
      <c r="AH391" s="61">
        <f>Tab_Data_Flows[[#This Row],[UoM_Flow_Py]]</f>
        <v>0</v>
      </c>
      <c r="AI391" s="111" t="e">
        <f>INDEX(Tab_Def_Flows[[Flow_ID]:[CC_DM_source]],MATCH(Tab_Data_Flows[[#This Row],[Name(EN)]],Tab_Def_Flows[Name(EN)],0),20)</f>
        <v>#N/A</v>
      </c>
      <c r="AJ391" s="109" t="e">
        <f>IF(L391="Yes",AI391*Tab_Data_Flows[[#This Row],[Flow_Py]]*Tab_Data_Flows[[#This Row],[DM_'[%']]],"N.A.")</f>
        <v>#N/A</v>
      </c>
      <c r="AK391" s="61">
        <f>Tab_Data_Flows[[#This Row],[UoM_Flow_Py]]</f>
        <v>0</v>
      </c>
    </row>
    <row r="392" spans="1:37" ht="15.75" thickBot="1" x14ac:dyDescent="0.3">
      <c r="A392" s="60">
        <f t="shared" si="12"/>
        <v>391</v>
      </c>
      <c r="B392" s="49" t="str">
        <f>_xlfn.XLOOKUP(C392,Tab_Def_Flows[Name(EN)],Tab_Def_Flows[Flow_ID],,0,)</f>
        <v>F_24_24</v>
      </c>
      <c r="C392" s="51"/>
      <c r="D392" s="49">
        <f>_xlfn.XLOOKUP(C392,Tab_Def_Flows[Name(EN)],Tab_Def_Flows[Type_Biomass],,0,)</f>
        <v>0</v>
      </c>
      <c r="E392" s="49">
        <f>_xlfn.XLOOKUP(C392,Tab_Def_Flows[Name(EN)],Tab_Def_Flows[Output_Process],,0,)</f>
        <v>0</v>
      </c>
      <c r="F392" s="49" t="str">
        <f>_xlfn.XLOOKUP(C392,Tab_Def_Flows[Name(EN)],Tab_Def_Flows[Process_ID_O],,0,)</f>
        <v>24__</v>
      </c>
      <c r="G392" s="49">
        <f>_xlfn.XLOOKUP(C392,Tab_Def_Flows[Name(EN)],Tab_Def_Flows[Input_Process],,0,)</f>
        <v>0</v>
      </c>
      <c r="H392" s="61" t="str">
        <f>_xlfn.XLOOKUP(C392,Tab_Def_Flows[Name(EN)],Tab_Def_Flows[Process_ID_I],,0,)</f>
        <v>24__</v>
      </c>
      <c r="I392" s="49">
        <f>_xlfn.XLOOKUP(C392,Tab_Def_Flows[Name(EN)],Tab_Def_Flows[Value_Source],,0,)</f>
        <v>0</v>
      </c>
      <c r="J392" s="61" t="str">
        <f>_xlfn.XLOOKUP(C392,Tab_Def_Flows[Name(EN)],Tab_Def_Flows[WC?],,0,)</f>
        <v>Yes</v>
      </c>
      <c r="K392" s="61" t="str">
        <f>_xlfn.XLOOKUP(C392,Tab_Def_Flows[Name(EN)],Tab_Def_Flows[DM?],,0,)</f>
        <v>Yes</v>
      </c>
      <c r="L392" s="61" t="str">
        <f>_xlfn.XLOOKUP(C392,Tab_Def_Flows[Name(EN)],Tab_Def_Flows[CC?],,0,)</f>
        <v>Yes</v>
      </c>
      <c r="M392" s="51"/>
      <c r="N392" s="51"/>
      <c r="O392" s="119"/>
      <c r="P392" s="51" t="s">
        <v>389</v>
      </c>
      <c r="Q392" s="51"/>
      <c r="R392" s="51"/>
      <c r="S392" s="51"/>
      <c r="T392" s="51"/>
      <c r="U392" s="51"/>
      <c r="V392" s="51"/>
      <c r="W392" s="51"/>
      <c r="X392" s="51" t="s">
        <v>71</v>
      </c>
      <c r="Y392" s="51"/>
      <c r="Z392" s="51"/>
      <c r="AA392" s="86">
        <f t="shared" si="13"/>
        <v>0</v>
      </c>
      <c r="AB392" s="51"/>
      <c r="AC392" s="111" t="e">
        <f>INDEX(Tab_Def_Flows[[Flow_ID]:[CC_DM_source]],MATCH(Tab_Data_Flows[[#This Row],[Name(EN)]],Tab_Def_Flows[Name(EN)],0),16)</f>
        <v>#N/A</v>
      </c>
      <c r="AD392" s="112" t="e">
        <f>IF(J392="Yes",AA392*Tab_Data_Flows[[#This Row],[WC_'[%']]],"N.A.")</f>
        <v>#N/A</v>
      </c>
      <c r="AE392" s="61">
        <f>Tab_Data_Flows[[#This Row],[UoM_Flow_Py]]</f>
        <v>0</v>
      </c>
      <c r="AF392" s="111" t="e">
        <f>INDEX(Tab_Def_Flows[[Flow_ID]:[CC_DM_source]],MATCH(Tab_Data_Flows[[#This Row],[Name(EN)]],Tab_Def_Flows[Name(EN)],0),18)</f>
        <v>#N/A</v>
      </c>
      <c r="AG392" s="112" t="e">
        <f>IF(K392="Yes",AF392*Tab_Data_Flows[[#This Row],[Flow_Py]],"N.A.")</f>
        <v>#N/A</v>
      </c>
      <c r="AH392" s="61">
        <f>Tab_Data_Flows[[#This Row],[UoM_Flow_Py]]</f>
        <v>0</v>
      </c>
      <c r="AI392" s="111" t="e">
        <f>INDEX(Tab_Def_Flows[[Flow_ID]:[CC_DM_source]],MATCH(Tab_Data_Flows[[#This Row],[Name(EN)]],Tab_Def_Flows[Name(EN)],0),20)</f>
        <v>#N/A</v>
      </c>
      <c r="AJ392" s="109" t="e">
        <f>IF(L392="Yes",AI392*Tab_Data_Flows[[#This Row],[Flow_Py]]*Tab_Data_Flows[[#This Row],[DM_'[%']]],"N.A.")</f>
        <v>#N/A</v>
      </c>
      <c r="AK392" s="61">
        <f>Tab_Data_Flows[[#This Row],[UoM_Flow_Py]]</f>
        <v>0</v>
      </c>
    </row>
    <row r="393" spans="1:37" ht="15.75" thickBot="1" x14ac:dyDescent="0.3">
      <c r="A393" s="60">
        <f t="shared" si="12"/>
        <v>392</v>
      </c>
      <c r="B393" s="49" t="str">
        <f>_xlfn.XLOOKUP(C393,Tab_Def_Flows[Name(EN)],Tab_Def_Flows[Flow_ID],,0,)</f>
        <v>F_24_24</v>
      </c>
      <c r="C393" s="51"/>
      <c r="D393" s="49">
        <f>_xlfn.XLOOKUP(C393,Tab_Def_Flows[Name(EN)],Tab_Def_Flows[Type_Biomass],,0,)</f>
        <v>0</v>
      </c>
      <c r="E393" s="49">
        <f>_xlfn.XLOOKUP(C393,Tab_Def_Flows[Name(EN)],Tab_Def_Flows[Output_Process],,0,)</f>
        <v>0</v>
      </c>
      <c r="F393" s="49" t="str">
        <f>_xlfn.XLOOKUP(C393,Tab_Def_Flows[Name(EN)],Tab_Def_Flows[Process_ID_O],,0,)</f>
        <v>24__</v>
      </c>
      <c r="G393" s="49">
        <f>_xlfn.XLOOKUP(C393,Tab_Def_Flows[Name(EN)],Tab_Def_Flows[Input_Process],,0,)</f>
        <v>0</v>
      </c>
      <c r="H393" s="61" t="str">
        <f>_xlfn.XLOOKUP(C393,Tab_Def_Flows[Name(EN)],Tab_Def_Flows[Process_ID_I],,0,)</f>
        <v>24__</v>
      </c>
      <c r="I393" s="49">
        <f>_xlfn.XLOOKUP(C393,Tab_Def_Flows[Name(EN)],Tab_Def_Flows[Value_Source],,0,)</f>
        <v>0</v>
      </c>
      <c r="J393" s="61" t="str">
        <f>_xlfn.XLOOKUP(C393,Tab_Def_Flows[Name(EN)],Tab_Def_Flows[WC?],,0,)</f>
        <v>Yes</v>
      </c>
      <c r="K393" s="61" t="str">
        <f>_xlfn.XLOOKUP(C393,Tab_Def_Flows[Name(EN)],Tab_Def_Flows[DM?],,0,)</f>
        <v>Yes</v>
      </c>
      <c r="L393" s="61" t="str">
        <f>_xlfn.XLOOKUP(C393,Tab_Def_Flows[Name(EN)],Tab_Def_Flows[CC?],,0,)</f>
        <v>Yes</v>
      </c>
      <c r="M393" s="51"/>
      <c r="N393" s="51"/>
      <c r="O393" s="119"/>
      <c r="P393" s="51" t="s">
        <v>389</v>
      </c>
      <c r="Q393" s="51"/>
      <c r="R393" s="51"/>
      <c r="S393" s="51"/>
      <c r="T393" s="51"/>
      <c r="U393" s="51"/>
      <c r="V393" s="51"/>
      <c r="W393" s="51"/>
      <c r="X393" s="51" t="s">
        <v>71</v>
      </c>
      <c r="Y393" s="51"/>
      <c r="Z393" s="51"/>
      <c r="AA393" s="86">
        <f t="shared" si="13"/>
        <v>0</v>
      </c>
      <c r="AB393" s="51"/>
      <c r="AC393" s="111" t="e">
        <f>INDEX(Tab_Def_Flows[[Flow_ID]:[CC_DM_source]],MATCH(Tab_Data_Flows[[#This Row],[Name(EN)]],Tab_Def_Flows[Name(EN)],0),16)</f>
        <v>#N/A</v>
      </c>
      <c r="AD393" s="112" t="e">
        <f>IF(J393="Yes",AA393*Tab_Data_Flows[[#This Row],[WC_'[%']]],"N.A.")</f>
        <v>#N/A</v>
      </c>
      <c r="AE393" s="61">
        <f>Tab_Data_Flows[[#This Row],[UoM_Flow_Py]]</f>
        <v>0</v>
      </c>
      <c r="AF393" s="111" t="e">
        <f>INDEX(Tab_Def_Flows[[Flow_ID]:[CC_DM_source]],MATCH(Tab_Data_Flows[[#This Row],[Name(EN)]],Tab_Def_Flows[Name(EN)],0),18)</f>
        <v>#N/A</v>
      </c>
      <c r="AG393" s="112" t="e">
        <f>IF(K393="Yes",AF393*Tab_Data_Flows[[#This Row],[Flow_Py]],"N.A.")</f>
        <v>#N/A</v>
      </c>
      <c r="AH393" s="61">
        <f>Tab_Data_Flows[[#This Row],[UoM_Flow_Py]]</f>
        <v>0</v>
      </c>
      <c r="AI393" s="111" t="e">
        <f>INDEX(Tab_Def_Flows[[Flow_ID]:[CC_DM_source]],MATCH(Tab_Data_Flows[[#This Row],[Name(EN)]],Tab_Def_Flows[Name(EN)],0),20)</f>
        <v>#N/A</v>
      </c>
      <c r="AJ393" s="109" t="e">
        <f>IF(L393="Yes",AI393*Tab_Data_Flows[[#This Row],[Flow_Py]]*Tab_Data_Flows[[#This Row],[DM_'[%']]],"N.A.")</f>
        <v>#N/A</v>
      </c>
      <c r="AK393" s="61">
        <f>Tab_Data_Flows[[#This Row],[UoM_Flow_Py]]</f>
        <v>0</v>
      </c>
    </row>
    <row r="394" spans="1:37" ht="15.75" thickBot="1" x14ac:dyDescent="0.3">
      <c r="A394" s="60">
        <f t="shared" si="12"/>
        <v>393</v>
      </c>
      <c r="B394" s="49" t="str">
        <f>_xlfn.XLOOKUP(C394,Tab_Def_Flows[Name(EN)],Tab_Def_Flows[Flow_ID],,0,)</f>
        <v>F_24_24</v>
      </c>
      <c r="C394" s="51"/>
      <c r="D394" s="49">
        <f>_xlfn.XLOOKUP(C394,Tab_Def_Flows[Name(EN)],Tab_Def_Flows[Type_Biomass],,0,)</f>
        <v>0</v>
      </c>
      <c r="E394" s="49">
        <f>_xlfn.XLOOKUP(C394,Tab_Def_Flows[Name(EN)],Tab_Def_Flows[Output_Process],,0,)</f>
        <v>0</v>
      </c>
      <c r="F394" s="49" t="str">
        <f>_xlfn.XLOOKUP(C394,Tab_Def_Flows[Name(EN)],Tab_Def_Flows[Process_ID_O],,0,)</f>
        <v>24__</v>
      </c>
      <c r="G394" s="49">
        <f>_xlfn.XLOOKUP(C394,Tab_Def_Flows[Name(EN)],Tab_Def_Flows[Input_Process],,0,)</f>
        <v>0</v>
      </c>
      <c r="H394" s="61" t="str">
        <f>_xlfn.XLOOKUP(C394,Tab_Def_Flows[Name(EN)],Tab_Def_Flows[Process_ID_I],,0,)</f>
        <v>24__</v>
      </c>
      <c r="I394" s="49">
        <f>_xlfn.XLOOKUP(C394,Tab_Def_Flows[Name(EN)],Tab_Def_Flows[Value_Source],,0,)</f>
        <v>0</v>
      </c>
      <c r="J394" s="61" t="str">
        <f>_xlfn.XLOOKUP(C394,Tab_Def_Flows[Name(EN)],Tab_Def_Flows[WC?],,0,)</f>
        <v>Yes</v>
      </c>
      <c r="K394" s="61" t="str">
        <f>_xlfn.XLOOKUP(C394,Tab_Def_Flows[Name(EN)],Tab_Def_Flows[DM?],,0,)</f>
        <v>Yes</v>
      </c>
      <c r="L394" s="61" t="str">
        <f>_xlfn.XLOOKUP(C394,Tab_Def_Flows[Name(EN)],Tab_Def_Flows[CC?],,0,)</f>
        <v>Yes</v>
      </c>
      <c r="M394" s="51"/>
      <c r="N394" s="51"/>
      <c r="O394" s="119"/>
      <c r="P394" s="51" t="s">
        <v>389</v>
      </c>
      <c r="Q394" s="51"/>
      <c r="R394" s="51"/>
      <c r="S394" s="51"/>
      <c r="T394" s="51"/>
      <c r="U394" s="51"/>
      <c r="V394" s="51"/>
      <c r="W394" s="51"/>
      <c r="X394" s="51" t="s">
        <v>71</v>
      </c>
      <c r="Y394" s="51"/>
      <c r="Z394" s="51"/>
      <c r="AA394" s="86">
        <f t="shared" si="13"/>
        <v>0</v>
      </c>
      <c r="AB394" s="51"/>
      <c r="AC394" s="111" t="e">
        <f>INDEX(Tab_Def_Flows[[Flow_ID]:[CC_DM_source]],MATCH(Tab_Data_Flows[[#This Row],[Name(EN)]],Tab_Def_Flows[Name(EN)],0),16)</f>
        <v>#N/A</v>
      </c>
      <c r="AD394" s="112" t="e">
        <f>IF(J394="Yes",AA394*Tab_Data_Flows[[#This Row],[WC_'[%']]],"N.A.")</f>
        <v>#N/A</v>
      </c>
      <c r="AE394" s="61">
        <f>Tab_Data_Flows[[#This Row],[UoM_Flow_Py]]</f>
        <v>0</v>
      </c>
      <c r="AF394" s="111" t="e">
        <f>INDEX(Tab_Def_Flows[[Flow_ID]:[CC_DM_source]],MATCH(Tab_Data_Flows[[#This Row],[Name(EN)]],Tab_Def_Flows[Name(EN)],0),18)</f>
        <v>#N/A</v>
      </c>
      <c r="AG394" s="112" t="e">
        <f>IF(K394="Yes",AF394*Tab_Data_Flows[[#This Row],[Flow_Py]],"N.A.")</f>
        <v>#N/A</v>
      </c>
      <c r="AH394" s="61">
        <f>Tab_Data_Flows[[#This Row],[UoM_Flow_Py]]</f>
        <v>0</v>
      </c>
      <c r="AI394" s="111" t="e">
        <f>INDEX(Tab_Def_Flows[[Flow_ID]:[CC_DM_source]],MATCH(Tab_Data_Flows[[#This Row],[Name(EN)]],Tab_Def_Flows[Name(EN)],0),20)</f>
        <v>#N/A</v>
      </c>
      <c r="AJ394" s="109" t="e">
        <f>IF(L394="Yes",AI394*Tab_Data_Flows[[#This Row],[Flow_Py]]*Tab_Data_Flows[[#This Row],[DM_'[%']]],"N.A.")</f>
        <v>#N/A</v>
      </c>
      <c r="AK394" s="61">
        <f>Tab_Data_Flows[[#This Row],[UoM_Flow_Py]]</f>
        <v>0</v>
      </c>
    </row>
    <row r="395" spans="1:37" ht="15.75" thickBot="1" x14ac:dyDescent="0.3">
      <c r="A395" s="60">
        <f t="shared" si="12"/>
        <v>394</v>
      </c>
      <c r="B395" s="49" t="str">
        <f>_xlfn.XLOOKUP(C395,Tab_Def_Flows[Name(EN)],Tab_Def_Flows[Flow_ID],,0,)</f>
        <v>F_24_24</v>
      </c>
      <c r="C395" s="51"/>
      <c r="D395" s="49">
        <f>_xlfn.XLOOKUP(C395,Tab_Def_Flows[Name(EN)],Tab_Def_Flows[Type_Biomass],,0,)</f>
        <v>0</v>
      </c>
      <c r="E395" s="49">
        <f>_xlfn.XLOOKUP(C395,Tab_Def_Flows[Name(EN)],Tab_Def_Flows[Output_Process],,0,)</f>
        <v>0</v>
      </c>
      <c r="F395" s="49" t="str">
        <f>_xlfn.XLOOKUP(C395,Tab_Def_Flows[Name(EN)],Tab_Def_Flows[Process_ID_O],,0,)</f>
        <v>24__</v>
      </c>
      <c r="G395" s="49">
        <f>_xlfn.XLOOKUP(C395,Tab_Def_Flows[Name(EN)],Tab_Def_Flows[Input_Process],,0,)</f>
        <v>0</v>
      </c>
      <c r="H395" s="61" t="str">
        <f>_xlfn.XLOOKUP(C395,Tab_Def_Flows[Name(EN)],Tab_Def_Flows[Process_ID_I],,0,)</f>
        <v>24__</v>
      </c>
      <c r="I395" s="49">
        <f>_xlfn.XLOOKUP(C395,Tab_Def_Flows[Name(EN)],Tab_Def_Flows[Value_Source],,0,)</f>
        <v>0</v>
      </c>
      <c r="J395" s="61" t="str">
        <f>_xlfn.XLOOKUP(C395,Tab_Def_Flows[Name(EN)],Tab_Def_Flows[WC?],,0,)</f>
        <v>Yes</v>
      </c>
      <c r="K395" s="61" t="str">
        <f>_xlfn.XLOOKUP(C395,Tab_Def_Flows[Name(EN)],Tab_Def_Flows[DM?],,0,)</f>
        <v>Yes</v>
      </c>
      <c r="L395" s="61" t="str">
        <f>_xlfn.XLOOKUP(C395,Tab_Def_Flows[Name(EN)],Tab_Def_Flows[CC?],,0,)</f>
        <v>Yes</v>
      </c>
      <c r="M395" s="51"/>
      <c r="N395" s="51"/>
      <c r="O395" s="119"/>
      <c r="P395" s="51" t="s">
        <v>389</v>
      </c>
      <c r="Q395" s="51"/>
      <c r="R395" s="51"/>
      <c r="S395" s="51"/>
      <c r="T395" s="51"/>
      <c r="U395" s="51"/>
      <c r="V395" s="51"/>
      <c r="W395" s="51"/>
      <c r="X395" s="51" t="s">
        <v>71</v>
      </c>
      <c r="Y395" s="51"/>
      <c r="Z395" s="51"/>
      <c r="AA395" s="86">
        <f t="shared" si="13"/>
        <v>0</v>
      </c>
      <c r="AB395" s="51"/>
      <c r="AC395" s="111" t="e">
        <f>INDEX(Tab_Def_Flows[[Flow_ID]:[CC_DM_source]],MATCH(Tab_Data_Flows[[#This Row],[Name(EN)]],Tab_Def_Flows[Name(EN)],0),16)</f>
        <v>#N/A</v>
      </c>
      <c r="AD395" s="112" t="e">
        <f>IF(J395="Yes",AA395*Tab_Data_Flows[[#This Row],[WC_'[%']]],"N.A.")</f>
        <v>#N/A</v>
      </c>
      <c r="AE395" s="61">
        <f>Tab_Data_Flows[[#This Row],[UoM_Flow_Py]]</f>
        <v>0</v>
      </c>
      <c r="AF395" s="111" t="e">
        <f>INDEX(Tab_Def_Flows[[Flow_ID]:[CC_DM_source]],MATCH(Tab_Data_Flows[[#This Row],[Name(EN)]],Tab_Def_Flows[Name(EN)],0),18)</f>
        <v>#N/A</v>
      </c>
      <c r="AG395" s="112" t="e">
        <f>IF(K395="Yes",AF395*Tab_Data_Flows[[#This Row],[Flow_Py]],"N.A.")</f>
        <v>#N/A</v>
      </c>
      <c r="AH395" s="61">
        <f>Tab_Data_Flows[[#This Row],[UoM_Flow_Py]]</f>
        <v>0</v>
      </c>
      <c r="AI395" s="111" t="e">
        <f>INDEX(Tab_Def_Flows[[Flow_ID]:[CC_DM_source]],MATCH(Tab_Data_Flows[[#This Row],[Name(EN)]],Tab_Def_Flows[Name(EN)],0),20)</f>
        <v>#N/A</v>
      </c>
      <c r="AJ395" s="109" t="e">
        <f>IF(L395="Yes",AI395*Tab_Data_Flows[[#This Row],[Flow_Py]]*Tab_Data_Flows[[#This Row],[DM_'[%']]],"N.A.")</f>
        <v>#N/A</v>
      </c>
      <c r="AK395" s="61">
        <f>Tab_Data_Flows[[#This Row],[UoM_Flow_Py]]</f>
        <v>0</v>
      </c>
    </row>
    <row r="396" spans="1:37" ht="15.75" thickBot="1" x14ac:dyDescent="0.3">
      <c r="A396" s="60">
        <f t="shared" si="12"/>
        <v>395</v>
      </c>
      <c r="B396" s="49" t="str">
        <f>_xlfn.XLOOKUP(C396,Tab_Def_Flows[Name(EN)],Tab_Def_Flows[Flow_ID],,0,)</f>
        <v>F_24_24</v>
      </c>
      <c r="C396" s="51"/>
      <c r="D396" s="49">
        <f>_xlfn.XLOOKUP(C396,Tab_Def_Flows[Name(EN)],Tab_Def_Flows[Type_Biomass],,0,)</f>
        <v>0</v>
      </c>
      <c r="E396" s="49">
        <f>_xlfn.XLOOKUP(C396,Tab_Def_Flows[Name(EN)],Tab_Def_Flows[Output_Process],,0,)</f>
        <v>0</v>
      </c>
      <c r="F396" s="49" t="str">
        <f>_xlfn.XLOOKUP(C396,Tab_Def_Flows[Name(EN)],Tab_Def_Flows[Process_ID_O],,0,)</f>
        <v>24__</v>
      </c>
      <c r="G396" s="49">
        <f>_xlfn.XLOOKUP(C396,Tab_Def_Flows[Name(EN)],Tab_Def_Flows[Input_Process],,0,)</f>
        <v>0</v>
      </c>
      <c r="H396" s="61" t="str">
        <f>_xlfn.XLOOKUP(C396,Tab_Def_Flows[Name(EN)],Tab_Def_Flows[Process_ID_I],,0,)</f>
        <v>24__</v>
      </c>
      <c r="I396" s="49">
        <f>_xlfn.XLOOKUP(C396,Tab_Def_Flows[Name(EN)],Tab_Def_Flows[Value_Source],,0,)</f>
        <v>0</v>
      </c>
      <c r="J396" s="61" t="str">
        <f>_xlfn.XLOOKUP(C396,Tab_Def_Flows[Name(EN)],Tab_Def_Flows[WC?],,0,)</f>
        <v>Yes</v>
      </c>
      <c r="K396" s="61" t="str">
        <f>_xlfn.XLOOKUP(C396,Tab_Def_Flows[Name(EN)],Tab_Def_Flows[DM?],,0,)</f>
        <v>Yes</v>
      </c>
      <c r="L396" s="61" t="str">
        <f>_xlfn.XLOOKUP(C396,Tab_Def_Flows[Name(EN)],Tab_Def_Flows[CC?],,0,)</f>
        <v>Yes</v>
      </c>
      <c r="M396" s="51"/>
      <c r="N396" s="51"/>
      <c r="O396" s="119"/>
      <c r="P396" s="51" t="s">
        <v>389</v>
      </c>
      <c r="Q396" s="51"/>
      <c r="R396" s="51"/>
      <c r="S396" s="51"/>
      <c r="T396" s="51"/>
      <c r="U396" s="51"/>
      <c r="V396" s="51"/>
      <c r="W396" s="51"/>
      <c r="X396" s="51" t="s">
        <v>71</v>
      </c>
      <c r="Y396" s="51"/>
      <c r="Z396" s="51"/>
      <c r="AA396" s="86">
        <f t="shared" si="13"/>
        <v>0</v>
      </c>
      <c r="AB396" s="51"/>
      <c r="AC396" s="111" t="e">
        <f>INDEX(Tab_Def_Flows[[Flow_ID]:[CC_DM_source]],MATCH(Tab_Data_Flows[[#This Row],[Name(EN)]],Tab_Def_Flows[Name(EN)],0),16)</f>
        <v>#N/A</v>
      </c>
      <c r="AD396" s="112" t="e">
        <f>IF(J396="Yes",AA396*Tab_Data_Flows[[#This Row],[WC_'[%']]],"N.A.")</f>
        <v>#N/A</v>
      </c>
      <c r="AE396" s="61">
        <f>Tab_Data_Flows[[#This Row],[UoM_Flow_Py]]</f>
        <v>0</v>
      </c>
      <c r="AF396" s="111" t="e">
        <f>INDEX(Tab_Def_Flows[[Flow_ID]:[CC_DM_source]],MATCH(Tab_Data_Flows[[#This Row],[Name(EN)]],Tab_Def_Flows[Name(EN)],0),18)</f>
        <v>#N/A</v>
      </c>
      <c r="AG396" s="112" t="e">
        <f>IF(K396="Yes",AF396*Tab_Data_Flows[[#This Row],[Flow_Py]],"N.A.")</f>
        <v>#N/A</v>
      </c>
      <c r="AH396" s="61">
        <f>Tab_Data_Flows[[#This Row],[UoM_Flow_Py]]</f>
        <v>0</v>
      </c>
      <c r="AI396" s="111" t="e">
        <f>INDEX(Tab_Def_Flows[[Flow_ID]:[CC_DM_source]],MATCH(Tab_Data_Flows[[#This Row],[Name(EN)]],Tab_Def_Flows[Name(EN)],0),20)</f>
        <v>#N/A</v>
      </c>
      <c r="AJ396" s="109" t="e">
        <f>IF(L396="Yes",AI396*Tab_Data_Flows[[#This Row],[Flow_Py]]*Tab_Data_Flows[[#This Row],[DM_'[%']]],"N.A.")</f>
        <v>#N/A</v>
      </c>
      <c r="AK396" s="61">
        <f>Tab_Data_Flows[[#This Row],[UoM_Flow_Py]]</f>
        <v>0</v>
      </c>
    </row>
    <row r="397" spans="1:37" ht="15.75" thickBot="1" x14ac:dyDescent="0.3">
      <c r="A397" s="60">
        <f t="shared" si="12"/>
        <v>396</v>
      </c>
      <c r="B397" s="49" t="str">
        <f>_xlfn.XLOOKUP(C397,Tab_Def_Flows[Name(EN)],Tab_Def_Flows[Flow_ID],,0,)</f>
        <v>F_24_24</v>
      </c>
      <c r="C397" s="51"/>
      <c r="D397" s="49">
        <f>_xlfn.XLOOKUP(C397,Tab_Def_Flows[Name(EN)],Tab_Def_Flows[Type_Biomass],,0,)</f>
        <v>0</v>
      </c>
      <c r="E397" s="49">
        <f>_xlfn.XLOOKUP(C397,Tab_Def_Flows[Name(EN)],Tab_Def_Flows[Output_Process],,0,)</f>
        <v>0</v>
      </c>
      <c r="F397" s="49" t="str">
        <f>_xlfn.XLOOKUP(C397,Tab_Def_Flows[Name(EN)],Tab_Def_Flows[Process_ID_O],,0,)</f>
        <v>24__</v>
      </c>
      <c r="G397" s="49">
        <f>_xlfn.XLOOKUP(C397,Tab_Def_Flows[Name(EN)],Tab_Def_Flows[Input_Process],,0,)</f>
        <v>0</v>
      </c>
      <c r="H397" s="61" t="str">
        <f>_xlfn.XLOOKUP(C397,Tab_Def_Flows[Name(EN)],Tab_Def_Flows[Process_ID_I],,0,)</f>
        <v>24__</v>
      </c>
      <c r="I397" s="49">
        <f>_xlfn.XLOOKUP(C397,Tab_Def_Flows[Name(EN)],Tab_Def_Flows[Value_Source],,0,)</f>
        <v>0</v>
      </c>
      <c r="J397" s="61" t="str">
        <f>_xlfn.XLOOKUP(C397,Tab_Def_Flows[Name(EN)],Tab_Def_Flows[WC?],,0,)</f>
        <v>Yes</v>
      </c>
      <c r="K397" s="61" t="str">
        <f>_xlfn.XLOOKUP(C397,Tab_Def_Flows[Name(EN)],Tab_Def_Flows[DM?],,0,)</f>
        <v>Yes</v>
      </c>
      <c r="L397" s="61" t="str">
        <f>_xlfn.XLOOKUP(C397,Tab_Def_Flows[Name(EN)],Tab_Def_Flows[CC?],,0,)</f>
        <v>Yes</v>
      </c>
      <c r="M397" s="51"/>
      <c r="N397" s="51"/>
      <c r="O397" s="119"/>
      <c r="P397" s="51" t="s">
        <v>389</v>
      </c>
      <c r="Q397" s="51"/>
      <c r="R397" s="51"/>
      <c r="S397" s="51"/>
      <c r="T397" s="51"/>
      <c r="U397" s="51"/>
      <c r="V397" s="51"/>
      <c r="W397" s="51"/>
      <c r="X397" s="51" t="s">
        <v>71</v>
      </c>
      <c r="Y397" s="51"/>
      <c r="Z397" s="51"/>
      <c r="AA397" s="86">
        <f t="shared" si="13"/>
        <v>0</v>
      </c>
      <c r="AB397" s="51"/>
      <c r="AC397" s="111" t="e">
        <f>INDEX(Tab_Def_Flows[[Flow_ID]:[CC_DM_source]],MATCH(Tab_Data_Flows[[#This Row],[Name(EN)]],Tab_Def_Flows[Name(EN)],0),16)</f>
        <v>#N/A</v>
      </c>
      <c r="AD397" s="112" t="e">
        <f>IF(J397="Yes",AA397*Tab_Data_Flows[[#This Row],[WC_'[%']]],"N.A.")</f>
        <v>#N/A</v>
      </c>
      <c r="AE397" s="61">
        <f>Tab_Data_Flows[[#This Row],[UoM_Flow_Py]]</f>
        <v>0</v>
      </c>
      <c r="AF397" s="111" t="e">
        <f>INDEX(Tab_Def_Flows[[Flow_ID]:[CC_DM_source]],MATCH(Tab_Data_Flows[[#This Row],[Name(EN)]],Tab_Def_Flows[Name(EN)],0),18)</f>
        <v>#N/A</v>
      </c>
      <c r="AG397" s="112" t="e">
        <f>IF(K397="Yes",AF397*Tab_Data_Flows[[#This Row],[Flow_Py]],"N.A.")</f>
        <v>#N/A</v>
      </c>
      <c r="AH397" s="61">
        <f>Tab_Data_Flows[[#This Row],[UoM_Flow_Py]]</f>
        <v>0</v>
      </c>
      <c r="AI397" s="111" t="e">
        <f>INDEX(Tab_Def_Flows[[Flow_ID]:[CC_DM_source]],MATCH(Tab_Data_Flows[[#This Row],[Name(EN)]],Tab_Def_Flows[Name(EN)],0),20)</f>
        <v>#N/A</v>
      </c>
      <c r="AJ397" s="109" t="e">
        <f>IF(L397="Yes",AI397*Tab_Data_Flows[[#This Row],[Flow_Py]]*Tab_Data_Flows[[#This Row],[DM_'[%']]],"N.A.")</f>
        <v>#N/A</v>
      </c>
      <c r="AK397" s="61">
        <f>Tab_Data_Flows[[#This Row],[UoM_Flow_Py]]</f>
        <v>0</v>
      </c>
    </row>
    <row r="398" spans="1:37" ht="15.75" thickBot="1" x14ac:dyDescent="0.3">
      <c r="A398" s="60">
        <f t="shared" si="12"/>
        <v>397</v>
      </c>
      <c r="B398" s="49" t="str">
        <f>_xlfn.XLOOKUP(C398,Tab_Def_Flows[Name(EN)],Tab_Def_Flows[Flow_ID],,0,)</f>
        <v>F_24_24</v>
      </c>
      <c r="C398" s="51"/>
      <c r="D398" s="49">
        <f>_xlfn.XLOOKUP(C398,Tab_Def_Flows[Name(EN)],Tab_Def_Flows[Type_Biomass],,0,)</f>
        <v>0</v>
      </c>
      <c r="E398" s="49">
        <f>_xlfn.XLOOKUP(C398,Tab_Def_Flows[Name(EN)],Tab_Def_Flows[Output_Process],,0,)</f>
        <v>0</v>
      </c>
      <c r="F398" s="49" t="str">
        <f>_xlfn.XLOOKUP(C398,Tab_Def_Flows[Name(EN)],Tab_Def_Flows[Process_ID_O],,0,)</f>
        <v>24__</v>
      </c>
      <c r="G398" s="49">
        <f>_xlfn.XLOOKUP(C398,Tab_Def_Flows[Name(EN)],Tab_Def_Flows[Input_Process],,0,)</f>
        <v>0</v>
      </c>
      <c r="H398" s="61" t="str">
        <f>_xlfn.XLOOKUP(C398,Tab_Def_Flows[Name(EN)],Tab_Def_Flows[Process_ID_I],,0,)</f>
        <v>24__</v>
      </c>
      <c r="I398" s="49">
        <f>_xlfn.XLOOKUP(C398,Tab_Def_Flows[Name(EN)],Tab_Def_Flows[Value_Source],,0,)</f>
        <v>0</v>
      </c>
      <c r="J398" s="61" t="str">
        <f>_xlfn.XLOOKUP(C398,Tab_Def_Flows[Name(EN)],Tab_Def_Flows[WC?],,0,)</f>
        <v>Yes</v>
      </c>
      <c r="K398" s="61" t="str">
        <f>_xlfn.XLOOKUP(C398,Tab_Def_Flows[Name(EN)],Tab_Def_Flows[DM?],,0,)</f>
        <v>Yes</v>
      </c>
      <c r="L398" s="61" t="str">
        <f>_xlfn.XLOOKUP(C398,Tab_Def_Flows[Name(EN)],Tab_Def_Flows[CC?],,0,)</f>
        <v>Yes</v>
      </c>
      <c r="M398" s="51"/>
      <c r="N398" s="51"/>
      <c r="O398" s="119"/>
      <c r="P398" s="51" t="s">
        <v>389</v>
      </c>
      <c r="Q398" s="51"/>
      <c r="R398" s="51"/>
      <c r="S398" s="51"/>
      <c r="T398" s="51"/>
      <c r="U398" s="51"/>
      <c r="V398" s="51"/>
      <c r="W398" s="51"/>
      <c r="X398" s="51" t="s">
        <v>71</v>
      </c>
      <c r="Y398" s="51"/>
      <c r="Z398" s="51"/>
      <c r="AA398" s="86">
        <f t="shared" si="13"/>
        <v>0</v>
      </c>
      <c r="AB398" s="51"/>
      <c r="AC398" s="111" t="e">
        <f>INDEX(Tab_Def_Flows[[Flow_ID]:[CC_DM_source]],MATCH(Tab_Data_Flows[[#This Row],[Name(EN)]],Tab_Def_Flows[Name(EN)],0),16)</f>
        <v>#N/A</v>
      </c>
      <c r="AD398" s="112" t="e">
        <f>IF(J398="Yes",AA398*Tab_Data_Flows[[#This Row],[WC_'[%']]],"N.A.")</f>
        <v>#N/A</v>
      </c>
      <c r="AE398" s="61">
        <f>Tab_Data_Flows[[#This Row],[UoM_Flow_Py]]</f>
        <v>0</v>
      </c>
      <c r="AF398" s="111" t="e">
        <f>INDEX(Tab_Def_Flows[[Flow_ID]:[CC_DM_source]],MATCH(Tab_Data_Flows[[#This Row],[Name(EN)]],Tab_Def_Flows[Name(EN)],0),18)</f>
        <v>#N/A</v>
      </c>
      <c r="AG398" s="112" t="e">
        <f>IF(K398="Yes",AF398*Tab_Data_Flows[[#This Row],[Flow_Py]],"N.A.")</f>
        <v>#N/A</v>
      </c>
      <c r="AH398" s="61">
        <f>Tab_Data_Flows[[#This Row],[UoM_Flow_Py]]</f>
        <v>0</v>
      </c>
      <c r="AI398" s="111" t="e">
        <f>INDEX(Tab_Def_Flows[[Flow_ID]:[CC_DM_source]],MATCH(Tab_Data_Flows[[#This Row],[Name(EN)]],Tab_Def_Flows[Name(EN)],0),20)</f>
        <v>#N/A</v>
      </c>
      <c r="AJ398" s="109" t="e">
        <f>IF(L398="Yes",AI398*Tab_Data_Flows[[#This Row],[Flow_Py]]*Tab_Data_Flows[[#This Row],[DM_'[%']]],"N.A.")</f>
        <v>#N/A</v>
      </c>
      <c r="AK398" s="61">
        <f>Tab_Data_Flows[[#This Row],[UoM_Flow_Py]]</f>
        <v>0</v>
      </c>
    </row>
    <row r="399" spans="1:37" ht="15.75" thickBot="1" x14ac:dyDescent="0.3">
      <c r="A399" s="60">
        <f t="shared" si="12"/>
        <v>398</v>
      </c>
      <c r="B399" s="49" t="str">
        <f>_xlfn.XLOOKUP(C399,Tab_Def_Flows[Name(EN)],Tab_Def_Flows[Flow_ID],,0,)</f>
        <v>F_24_24</v>
      </c>
      <c r="C399" s="51"/>
      <c r="D399" s="49">
        <f>_xlfn.XLOOKUP(C399,Tab_Def_Flows[Name(EN)],Tab_Def_Flows[Type_Biomass],,0,)</f>
        <v>0</v>
      </c>
      <c r="E399" s="49">
        <f>_xlfn.XLOOKUP(C399,Tab_Def_Flows[Name(EN)],Tab_Def_Flows[Output_Process],,0,)</f>
        <v>0</v>
      </c>
      <c r="F399" s="49" t="str">
        <f>_xlfn.XLOOKUP(C399,Tab_Def_Flows[Name(EN)],Tab_Def_Flows[Process_ID_O],,0,)</f>
        <v>24__</v>
      </c>
      <c r="G399" s="49">
        <f>_xlfn.XLOOKUP(C399,Tab_Def_Flows[Name(EN)],Tab_Def_Flows[Input_Process],,0,)</f>
        <v>0</v>
      </c>
      <c r="H399" s="61" t="str">
        <f>_xlfn.XLOOKUP(C399,Tab_Def_Flows[Name(EN)],Tab_Def_Flows[Process_ID_I],,0,)</f>
        <v>24__</v>
      </c>
      <c r="I399" s="49">
        <f>_xlfn.XLOOKUP(C399,Tab_Def_Flows[Name(EN)],Tab_Def_Flows[Value_Source],,0,)</f>
        <v>0</v>
      </c>
      <c r="J399" s="61" t="str">
        <f>_xlfn.XLOOKUP(C399,Tab_Def_Flows[Name(EN)],Tab_Def_Flows[WC?],,0,)</f>
        <v>Yes</v>
      </c>
      <c r="K399" s="61" t="str">
        <f>_xlfn.XLOOKUP(C399,Tab_Def_Flows[Name(EN)],Tab_Def_Flows[DM?],,0,)</f>
        <v>Yes</v>
      </c>
      <c r="L399" s="61" t="str">
        <f>_xlfn.XLOOKUP(C399,Tab_Def_Flows[Name(EN)],Tab_Def_Flows[CC?],,0,)</f>
        <v>Yes</v>
      </c>
      <c r="M399" s="51"/>
      <c r="N399" s="51"/>
      <c r="O399" s="119"/>
      <c r="P399" s="51" t="s">
        <v>389</v>
      </c>
      <c r="Q399" s="51"/>
      <c r="R399" s="51"/>
      <c r="S399" s="51"/>
      <c r="T399" s="51"/>
      <c r="U399" s="51"/>
      <c r="V399" s="51"/>
      <c r="W399" s="51"/>
      <c r="X399" s="51" t="s">
        <v>71</v>
      </c>
      <c r="Y399" s="51"/>
      <c r="Z399" s="51"/>
      <c r="AA399" s="86">
        <f t="shared" si="13"/>
        <v>0</v>
      </c>
      <c r="AB399" s="51"/>
      <c r="AC399" s="111" t="e">
        <f>INDEX(Tab_Def_Flows[[Flow_ID]:[CC_DM_source]],MATCH(Tab_Data_Flows[[#This Row],[Name(EN)]],Tab_Def_Flows[Name(EN)],0),16)</f>
        <v>#N/A</v>
      </c>
      <c r="AD399" s="112" t="e">
        <f>IF(J399="Yes",AA399*Tab_Data_Flows[[#This Row],[WC_'[%']]],"N.A.")</f>
        <v>#N/A</v>
      </c>
      <c r="AE399" s="61">
        <f>Tab_Data_Flows[[#This Row],[UoM_Flow_Py]]</f>
        <v>0</v>
      </c>
      <c r="AF399" s="111" t="e">
        <f>INDEX(Tab_Def_Flows[[Flow_ID]:[CC_DM_source]],MATCH(Tab_Data_Flows[[#This Row],[Name(EN)]],Tab_Def_Flows[Name(EN)],0),18)</f>
        <v>#N/A</v>
      </c>
      <c r="AG399" s="112" t="e">
        <f>IF(K399="Yes",AF399*Tab_Data_Flows[[#This Row],[Flow_Py]],"N.A.")</f>
        <v>#N/A</v>
      </c>
      <c r="AH399" s="61">
        <f>Tab_Data_Flows[[#This Row],[UoM_Flow_Py]]</f>
        <v>0</v>
      </c>
      <c r="AI399" s="111" t="e">
        <f>INDEX(Tab_Def_Flows[[Flow_ID]:[CC_DM_source]],MATCH(Tab_Data_Flows[[#This Row],[Name(EN)]],Tab_Def_Flows[Name(EN)],0),20)</f>
        <v>#N/A</v>
      </c>
      <c r="AJ399" s="109" t="e">
        <f>IF(L399="Yes",AI399*Tab_Data_Flows[[#This Row],[Flow_Py]]*Tab_Data_Flows[[#This Row],[DM_'[%']]],"N.A.")</f>
        <v>#N/A</v>
      </c>
      <c r="AK399" s="61">
        <f>Tab_Data_Flows[[#This Row],[UoM_Flow_Py]]</f>
        <v>0</v>
      </c>
    </row>
    <row r="400" spans="1:37" ht="15.75" thickBot="1" x14ac:dyDescent="0.3">
      <c r="A400" s="60">
        <f t="shared" si="12"/>
        <v>399</v>
      </c>
      <c r="B400" s="49" t="str">
        <f>_xlfn.XLOOKUP(C400,Tab_Def_Flows[Name(EN)],Tab_Def_Flows[Flow_ID],,0,)</f>
        <v>F_24_24</v>
      </c>
      <c r="C400" s="51"/>
      <c r="D400" s="49">
        <f>_xlfn.XLOOKUP(C400,Tab_Def_Flows[Name(EN)],Tab_Def_Flows[Type_Biomass],,0,)</f>
        <v>0</v>
      </c>
      <c r="E400" s="49">
        <f>_xlfn.XLOOKUP(C400,Tab_Def_Flows[Name(EN)],Tab_Def_Flows[Output_Process],,0,)</f>
        <v>0</v>
      </c>
      <c r="F400" s="49" t="str">
        <f>_xlfn.XLOOKUP(C400,Tab_Def_Flows[Name(EN)],Tab_Def_Flows[Process_ID_O],,0,)</f>
        <v>24__</v>
      </c>
      <c r="G400" s="49">
        <f>_xlfn.XLOOKUP(C400,Tab_Def_Flows[Name(EN)],Tab_Def_Flows[Input_Process],,0,)</f>
        <v>0</v>
      </c>
      <c r="H400" s="61" t="str">
        <f>_xlfn.XLOOKUP(C400,Tab_Def_Flows[Name(EN)],Tab_Def_Flows[Process_ID_I],,0,)</f>
        <v>24__</v>
      </c>
      <c r="I400" s="49">
        <f>_xlfn.XLOOKUP(C400,Tab_Def_Flows[Name(EN)],Tab_Def_Flows[Value_Source],,0,)</f>
        <v>0</v>
      </c>
      <c r="J400" s="61" t="str">
        <f>_xlfn.XLOOKUP(C400,Tab_Def_Flows[Name(EN)],Tab_Def_Flows[WC?],,0,)</f>
        <v>Yes</v>
      </c>
      <c r="K400" s="61" t="str">
        <f>_xlfn.XLOOKUP(C400,Tab_Def_Flows[Name(EN)],Tab_Def_Flows[DM?],,0,)</f>
        <v>Yes</v>
      </c>
      <c r="L400" s="61" t="str">
        <f>_xlfn.XLOOKUP(C400,Tab_Def_Flows[Name(EN)],Tab_Def_Flows[CC?],,0,)</f>
        <v>Yes</v>
      </c>
      <c r="M400" s="51"/>
      <c r="N400" s="51"/>
      <c r="O400" s="119"/>
      <c r="P400" s="51" t="s">
        <v>389</v>
      </c>
      <c r="Q400" s="51"/>
      <c r="R400" s="51"/>
      <c r="S400" s="51"/>
      <c r="T400" s="51"/>
      <c r="U400" s="51"/>
      <c r="V400" s="51"/>
      <c r="W400" s="51"/>
      <c r="X400" s="51" t="s">
        <v>71</v>
      </c>
      <c r="Y400" s="51"/>
      <c r="Z400" s="51"/>
      <c r="AA400" s="86">
        <f t="shared" si="13"/>
        <v>0</v>
      </c>
      <c r="AB400" s="51"/>
      <c r="AC400" s="111" t="e">
        <f>INDEX(Tab_Def_Flows[[Flow_ID]:[CC_DM_source]],MATCH(Tab_Data_Flows[[#This Row],[Name(EN)]],Tab_Def_Flows[Name(EN)],0),16)</f>
        <v>#N/A</v>
      </c>
      <c r="AD400" s="112" t="e">
        <f>IF(J400="Yes",AA400*Tab_Data_Flows[[#This Row],[WC_'[%']]],"N.A.")</f>
        <v>#N/A</v>
      </c>
      <c r="AE400" s="61">
        <f>Tab_Data_Flows[[#This Row],[UoM_Flow_Py]]</f>
        <v>0</v>
      </c>
      <c r="AF400" s="111" t="e">
        <f>INDEX(Tab_Def_Flows[[Flow_ID]:[CC_DM_source]],MATCH(Tab_Data_Flows[[#This Row],[Name(EN)]],Tab_Def_Flows[Name(EN)],0),18)</f>
        <v>#N/A</v>
      </c>
      <c r="AG400" s="112" t="e">
        <f>IF(K400="Yes",AF400*Tab_Data_Flows[[#This Row],[Flow_Py]],"N.A.")</f>
        <v>#N/A</v>
      </c>
      <c r="AH400" s="61">
        <f>Tab_Data_Flows[[#This Row],[UoM_Flow_Py]]</f>
        <v>0</v>
      </c>
      <c r="AI400" s="111" t="e">
        <f>INDEX(Tab_Def_Flows[[Flow_ID]:[CC_DM_source]],MATCH(Tab_Data_Flows[[#This Row],[Name(EN)]],Tab_Def_Flows[Name(EN)],0),20)</f>
        <v>#N/A</v>
      </c>
      <c r="AJ400" s="109" t="e">
        <f>IF(L400="Yes",AI400*Tab_Data_Flows[[#This Row],[Flow_Py]]*Tab_Data_Flows[[#This Row],[DM_'[%']]],"N.A.")</f>
        <v>#N/A</v>
      </c>
      <c r="AK400" s="61">
        <f>Tab_Data_Flows[[#This Row],[UoM_Flow_Py]]</f>
        <v>0</v>
      </c>
    </row>
    <row r="401" spans="1:37" ht="15.75" thickBot="1" x14ac:dyDescent="0.3">
      <c r="A401" s="60">
        <f t="shared" si="12"/>
        <v>400</v>
      </c>
      <c r="B401" s="49" t="str">
        <f>_xlfn.XLOOKUP(C401,Tab_Def_Flows[Name(EN)],Tab_Def_Flows[Flow_ID],,0,)</f>
        <v>F_24_24</v>
      </c>
      <c r="C401" s="51"/>
      <c r="D401" s="49">
        <f>_xlfn.XLOOKUP(C401,Tab_Def_Flows[Name(EN)],Tab_Def_Flows[Type_Biomass],,0,)</f>
        <v>0</v>
      </c>
      <c r="E401" s="49">
        <f>_xlfn.XLOOKUP(C401,Tab_Def_Flows[Name(EN)],Tab_Def_Flows[Output_Process],,0,)</f>
        <v>0</v>
      </c>
      <c r="F401" s="49" t="str">
        <f>_xlfn.XLOOKUP(C401,Tab_Def_Flows[Name(EN)],Tab_Def_Flows[Process_ID_O],,0,)</f>
        <v>24__</v>
      </c>
      <c r="G401" s="49">
        <f>_xlfn.XLOOKUP(C401,Tab_Def_Flows[Name(EN)],Tab_Def_Flows[Input_Process],,0,)</f>
        <v>0</v>
      </c>
      <c r="H401" s="61" t="str">
        <f>_xlfn.XLOOKUP(C401,Tab_Def_Flows[Name(EN)],Tab_Def_Flows[Process_ID_I],,0,)</f>
        <v>24__</v>
      </c>
      <c r="I401" s="49">
        <f>_xlfn.XLOOKUP(C401,Tab_Def_Flows[Name(EN)],Tab_Def_Flows[Value_Source],,0,)</f>
        <v>0</v>
      </c>
      <c r="J401" s="61" t="str">
        <f>_xlfn.XLOOKUP(C401,Tab_Def_Flows[Name(EN)],Tab_Def_Flows[WC?],,0,)</f>
        <v>Yes</v>
      </c>
      <c r="K401" s="61" t="str">
        <f>_xlfn.XLOOKUP(C401,Tab_Def_Flows[Name(EN)],Tab_Def_Flows[DM?],,0,)</f>
        <v>Yes</v>
      </c>
      <c r="L401" s="61" t="str">
        <f>_xlfn.XLOOKUP(C401,Tab_Def_Flows[Name(EN)],Tab_Def_Flows[CC?],,0,)</f>
        <v>Yes</v>
      </c>
      <c r="M401" s="51"/>
      <c r="N401" s="51"/>
      <c r="O401" s="119"/>
      <c r="P401" s="51" t="s">
        <v>389</v>
      </c>
      <c r="Q401" s="51"/>
      <c r="R401" s="51"/>
      <c r="S401" s="51"/>
      <c r="T401" s="51"/>
      <c r="U401" s="51"/>
      <c r="V401" s="51"/>
      <c r="W401" s="51"/>
      <c r="X401" s="51" t="s">
        <v>71</v>
      </c>
      <c r="Y401" s="51"/>
      <c r="Z401" s="51"/>
      <c r="AA401" s="86">
        <f t="shared" si="13"/>
        <v>0</v>
      </c>
      <c r="AB401" s="51"/>
      <c r="AC401" s="111" t="e">
        <f>INDEX(Tab_Def_Flows[[Flow_ID]:[CC_DM_source]],MATCH(Tab_Data_Flows[[#This Row],[Name(EN)]],Tab_Def_Flows[Name(EN)],0),16)</f>
        <v>#N/A</v>
      </c>
      <c r="AD401" s="112" t="e">
        <f>IF(J401="Yes",AA401*Tab_Data_Flows[[#This Row],[WC_'[%']]],"N.A.")</f>
        <v>#N/A</v>
      </c>
      <c r="AE401" s="61">
        <f>Tab_Data_Flows[[#This Row],[UoM_Flow_Py]]</f>
        <v>0</v>
      </c>
      <c r="AF401" s="111" t="e">
        <f>INDEX(Tab_Def_Flows[[Flow_ID]:[CC_DM_source]],MATCH(Tab_Data_Flows[[#This Row],[Name(EN)]],Tab_Def_Flows[Name(EN)],0),18)</f>
        <v>#N/A</v>
      </c>
      <c r="AG401" s="112" t="e">
        <f>IF(K401="Yes",AF401*Tab_Data_Flows[[#This Row],[Flow_Py]],"N.A.")</f>
        <v>#N/A</v>
      </c>
      <c r="AH401" s="61">
        <f>Tab_Data_Flows[[#This Row],[UoM_Flow_Py]]</f>
        <v>0</v>
      </c>
      <c r="AI401" s="111" t="e">
        <f>INDEX(Tab_Def_Flows[[Flow_ID]:[CC_DM_source]],MATCH(Tab_Data_Flows[[#This Row],[Name(EN)]],Tab_Def_Flows[Name(EN)],0),20)</f>
        <v>#N/A</v>
      </c>
      <c r="AJ401" s="109" t="e">
        <f>IF(L401="Yes",AI401*Tab_Data_Flows[[#This Row],[Flow_Py]]*Tab_Data_Flows[[#This Row],[DM_'[%']]],"N.A.")</f>
        <v>#N/A</v>
      </c>
      <c r="AK401" s="61">
        <f>Tab_Data_Flows[[#This Row],[UoM_Flow_Py]]</f>
        <v>0</v>
      </c>
    </row>
    <row r="402" spans="1:37" ht="15.75" thickBot="1" x14ac:dyDescent="0.3">
      <c r="A402" s="60">
        <f t="shared" si="12"/>
        <v>401</v>
      </c>
      <c r="B402" s="49" t="str">
        <f>_xlfn.XLOOKUP(C402,Tab_Def_Flows[Name(EN)],Tab_Def_Flows[Flow_ID],,0,)</f>
        <v>F_24_24</v>
      </c>
      <c r="C402" s="51"/>
      <c r="D402" s="49">
        <f>_xlfn.XLOOKUP(C402,Tab_Def_Flows[Name(EN)],Tab_Def_Flows[Type_Biomass],,0,)</f>
        <v>0</v>
      </c>
      <c r="E402" s="49">
        <f>_xlfn.XLOOKUP(C402,Tab_Def_Flows[Name(EN)],Tab_Def_Flows[Output_Process],,0,)</f>
        <v>0</v>
      </c>
      <c r="F402" s="49" t="str">
        <f>_xlfn.XLOOKUP(C402,Tab_Def_Flows[Name(EN)],Tab_Def_Flows[Process_ID_O],,0,)</f>
        <v>24__</v>
      </c>
      <c r="G402" s="49">
        <f>_xlfn.XLOOKUP(C402,Tab_Def_Flows[Name(EN)],Tab_Def_Flows[Input_Process],,0,)</f>
        <v>0</v>
      </c>
      <c r="H402" s="61" t="str">
        <f>_xlfn.XLOOKUP(C402,Tab_Def_Flows[Name(EN)],Tab_Def_Flows[Process_ID_I],,0,)</f>
        <v>24__</v>
      </c>
      <c r="I402" s="49">
        <f>_xlfn.XLOOKUP(C402,Tab_Def_Flows[Name(EN)],Tab_Def_Flows[Value_Source],,0,)</f>
        <v>0</v>
      </c>
      <c r="J402" s="61" t="str">
        <f>_xlfn.XLOOKUP(C402,Tab_Def_Flows[Name(EN)],Tab_Def_Flows[WC?],,0,)</f>
        <v>Yes</v>
      </c>
      <c r="K402" s="61" t="str">
        <f>_xlfn.XLOOKUP(C402,Tab_Def_Flows[Name(EN)],Tab_Def_Flows[DM?],,0,)</f>
        <v>Yes</v>
      </c>
      <c r="L402" s="61" t="str">
        <f>_xlfn.XLOOKUP(C402,Tab_Def_Flows[Name(EN)],Tab_Def_Flows[CC?],,0,)</f>
        <v>Yes</v>
      </c>
      <c r="M402" s="51"/>
      <c r="N402" s="51"/>
      <c r="O402" s="119"/>
      <c r="P402" s="51" t="s">
        <v>389</v>
      </c>
      <c r="Q402" s="51"/>
      <c r="R402" s="51"/>
      <c r="S402" s="51"/>
      <c r="T402" s="51"/>
      <c r="U402" s="51"/>
      <c r="V402" s="51"/>
      <c r="W402" s="51"/>
      <c r="X402" s="51" t="s">
        <v>71</v>
      </c>
      <c r="Y402" s="51"/>
      <c r="Z402" s="51"/>
      <c r="AA402" s="86">
        <f t="shared" si="13"/>
        <v>0</v>
      </c>
      <c r="AB402" s="51"/>
      <c r="AC402" s="111" t="e">
        <f>INDEX(Tab_Def_Flows[[Flow_ID]:[CC_DM_source]],MATCH(Tab_Data_Flows[[#This Row],[Name(EN)]],Tab_Def_Flows[Name(EN)],0),16)</f>
        <v>#N/A</v>
      </c>
      <c r="AD402" s="112" t="e">
        <f>IF(J402="Yes",AA402*Tab_Data_Flows[[#This Row],[WC_'[%']]],"N.A.")</f>
        <v>#N/A</v>
      </c>
      <c r="AE402" s="61">
        <f>Tab_Data_Flows[[#This Row],[UoM_Flow_Py]]</f>
        <v>0</v>
      </c>
      <c r="AF402" s="111" t="e">
        <f>INDEX(Tab_Def_Flows[[Flow_ID]:[CC_DM_source]],MATCH(Tab_Data_Flows[[#This Row],[Name(EN)]],Tab_Def_Flows[Name(EN)],0),18)</f>
        <v>#N/A</v>
      </c>
      <c r="AG402" s="112" t="e">
        <f>IF(K402="Yes",AF402*Tab_Data_Flows[[#This Row],[Flow_Py]],"N.A.")</f>
        <v>#N/A</v>
      </c>
      <c r="AH402" s="61">
        <f>Tab_Data_Flows[[#This Row],[UoM_Flow_Py]]</f>
        <v>0</v>
      </c>
      <c r="AI402" s="111" t="e">
        <f>INDEX(Tab_Def_Flows[[Flow_ID]:[CC_DM_source]],MATCH(Tab_Data_Flows[[#This Row],[Name(EN)]],Tab_Def_Flows[Name(EN)],0),20)</f>
        <v>#N/A</v>
      </c>
      <c r="AJ402" s="109" t="e">
        <f>IF(L402="Yes",AI402*Tab_Data_Flows[[#This Row],[Flow_Py]]*Tab_Data_Flows[[#This Row],[DM_'[%']]],"N.A.")</f>
        <v>#N/A</v>
      </c>
      <c r="AK402" s="61">
        <f>Tab_Data_Flows[[#This Row],[UoM_Flow_Py]]</f>
        <v>0</v>
      </c>
    </row>
    <row r="403" spans="1:37" ht="15.75" thickBot="1" x14ac:dyDescent="0.3">
      <c r="A403" s="60">
        <f t="shared" si="12"/>
        <v>402</v>
      </c>
      <c r="B403" s="49" t="str">
        <f>_xlfn.XLOOKUP(C403,Tab_Def_Flows[Name(EN)],Tab_Def_Flows[Flow_ID],,0,)</f>
        <v>F_24_24</v>
      </c>
      <c r="C403" s="51"/>
      <c r="D403" s="49">
        <f>_xlfn.XLOOKUP(C403,Tab_Def_Flows[Name(EN)],Tab_Def_Flows[Type_Biomass],,0,)</f>
        <v>0</v>
      </c>
      <c r="E403" s="49">
        <f>_xlfn.XLOOKUP(C403,Tab_Def_Flows[Name(EN)],Tab_Def_Flows[Output_Process],,0,)</f>
        <v>0</v>
      </c>
      <c r="F403" s="49" t="str">
        <f>_xlfn.XLOOKUP(C403,Tab_Def_Flows[Name(EN)],Tab_Def_Flows[Process_ID_O],,0,)</f>
        <v>24__</v>
      </c>
      <c r="G403" s="49">
        <f>_xlfn.XLOOKUP(C403,Tab_Def_Flows[Name(EN)],Tab_Def_Flows[Input_Process],,0,)</f>
        <v>0</v>
      </c>
      <c r="H403" s="61" t="str">
        <f>_xlfn.XLOOKUP(C403,Tab_Def_Flows[Name(EN)],Tab_Def_Flows[Process_ID_I],,0,)</f>
        <v>24__</v>
      </c>
      <c r="I403" s="49">
        <f>_xlfn.XLOOKUP(C403,Tab_Def_Flows[Name(EN)],Tab_Def_Flows[Value_Source],,0,)</f>
        <v>0</v>
      </c>
      <c r="J403" s="61" t="str">
        <f>_xlfn.XLOOKUP(C403,Tab_Def_Flows[Name(EN)],Tab_Def_Flows[WC?],,0,)</f>
        <v>Yes</v>
      </c>
      <c r="K403" s="61" t="str">
        <f>_xlfn.XLOOKUP(C403,Tab_Def_Flows[Name(EN)],Tab_Def_Flows[DM?],,0,)</f>
        <v>Yes</v>
      </c>
      <c r="L403" s="61" t="str">
        <f>_xlfn.XLOOKUP(C403,Tab_Def_Flows[Name(EN)],Tab_Def_Flows[CC?],,0,)</f>
        <v>Yes</v>
      </c>
      <c r="M403" s="51"/>
      <c r="N403" s="51"/>
      <c r="O403" s="119"/>
      <c r="P403" s="51" t="s">
        <v>389</v>
      </c>
      <c r="Q403" s="51"/>
      <c r="R403" s="51"/>
      <c r="S403" s="51"/>
      <c r="T403" s="51"/>
      <c r="U403" s="51"/>
      <c r="V403" s="51"/>
      <c r="W403" s="51"/>
      <c r="X403" s="51" t="s">
        <v>71</v>
      </c>
      <c r="Y403" s="51"/>
      <c r="Z403" s="51"/>
      <c r="AA403" s="86">
        <f t="shared" ref="AA403:AA434" si="14">IF(X403="no",O403,O403*Y403)</f>
        <v>0</v>
      </c>
      <c r="AB403" s="51"/>
      <c r="AC403" s="111" t="e">
        <f>INDEX(Tab_Def_Flows[[Flow_ID]:[CC_DM_source]],MATCH(Tab_Data_Flows[[#This Row],[Name(EN)]],Tab_Def_Flows[Name(EN)],0),16)</f>
        <v>#N/A</v>
      </c>
      <c r="AD403" s="112" t="e">
        <f>IF(J403="Yes",AA403*Tab_Data_Flows[[#This Row],[WC_'[%']]],"N.A.")</f>
        <v>#N/A</v>
      </c>
      <c r="AE403" s="61">
        <f>Tab_Data_Flows[[#This Row],[UoM_Flow_Py]]</f>
        <v>0</v>
      </c>
      <c r="AF403" s="111" t="e">
        <f>INDEX(Tab_Def_Flows[[Flow_ID]:[CC_DM_source]],MATCH(Tab_Data_Flows[[#This Row],[Name(EN)]],Tab_Def_Flows[Name(EN)],0),18)</f>
        <v>#N/A</v>
      </c>
      <c r="AG403" s="112" t="e">
        <f>IF(K403="Yes",AF403*Tab_Data_Flows[[#This Row],[Flow_Py]],"N.A.")</f>
        <v>#N/A</v>
      </c>
      <c r="AH403" s="61">
        <f>Tab_Data_Flows[[#This Row],[UoM_Flow_Py]]</f>
        <v>0</v>
      </c>
      <c r="AI403" s="111" t="e">
        <f>INDEX(Tab_Def_Flows[[Flow_ID]:[CC_DM_source]],MATCH(Tab_Data_Flows[[#This Row],[Name(EN)]],Tab_Def_Flows[Name(EN)],0),20)</f>
        <v>#N/A</v>
      </c>
      <c r="AJ403" s="109" t="e">
        <f>IF(L403="Yes",AI403*Tab_Data_Flows[[#This Row],[Flow_Py]]*Tab_Data_Flows[[#This Row],[DM_'[%']]],"N.A.")</f>
        <v>#N/A</v>
      </c>
      <c r="AK403" s="61">
        <f>Tab_Data_Flows[[#This Row],[UoM_Flow_Py]]</f>
        <v>0</v>
      </c>
    </row>
    <row r="404" spans="1:37" ht="15.75" thickBot="1" x14ac:dyDescent="0.3">
      <c r="A404" s="60">
        <f t="shared" si="12"/>
        <v>403</v>
      </c>
      <c r="B404" s="49" t="str">
        <f>_xlfn.XLOOKUP(C404,Tab_Def_Flows[Name(EN)],Tab_Def_Flows[Flow_ID],,0,)</f>
        <v>F_24_24</v>
      </c>
      <c r="C404" s="51"/>
      <c r="D404" s="49">
        <f>_xlfn.XLOOKUP(C404,Tab_Def_Flows[Name(EN)],Tab_Def_Flows[Type_Biomass],,0,)</f>
        <v>0</v>
      </c>
      <c r="E404" s="49">
        <f>_xlfn.XLOOKUP(C404,Tab_Def_Flows[Name(EN)],Tab_Def_Flows[Output_Process],,0,)</f>
        <v>0</v>
      </c>
      <c r="F404" s="49" t="str">
        <f>_xlfn.XLOOKUP(C404,Tab_Def_Flows[Name(EN)],Tab_Def_Flows[Process_ID_O],,0,)</f>
        <v>24__</v>
      </c>
      <c r="G404" s="49">
        <f>_xlfn.XLOOKUP(C404,Tab_Def_Flows[Name(EN)],Tab_Def_Flows[Input_Process],,0,)</f>
        <v>0</v>
      </c>
      <c r="H404" s="61" t="str">
        <f>_xlfn.XLOOKUP(C404,Tab_Def_Flows[Name(EN)],Tab_Def_Flows[Process_ID_I],,0,)</f>
        <v>24__</v>
      </c>
      <c r="I404" s="49">
        <f>_xlfn.XLOOKUP(C404,Tab_Def_Flows[Name(EN)],Tab_Def_Flows[Value_Source],,0,)</f>
        <v>0</v>
      </c>
      <c r="J404" s="61" t="str">
        <f>_xlfn.XLOOKUP(C404,Tab_Def_Flows[Name(EN)],Tab_Def_Flows[WC?],,0,)</f>
        <v>Yes</v>
      </c>
      <c r="K404" s="61" t="str">
        <f>_xlfn.XLOOKUP(C404,Tab_Def_Flows[Name(EN)],Tab_Def_Flows[DM?],,0,)</f>
        <v>Yes</v>
      </c>
      <c r="L404" s="61" t="str">
        <f>_xlfn.XLOOKUP(C404,Tab_Def_Flows[Name(EN)],Tab_Def_Flows[CC?],,0,)</f>
        <v>Yes</v>
      </c>
      <c r="M404" s="51"/>
      <c r="N404" s="51"/>
      <c r="O404" s="119"/>
      <c r="P404" s="51" t="s">
        <v>389</v>
      </c>
      <c r="Q404" s="51"/>
      <c r="R404" s="51"/>
      <c r="S404" s="51"/>
      <c r="T404" s="51"/>
      <c r="U404" s="51"/>
      <c r="V404" s="51"/>
      <c r="W404" s="51"/>
      <c r="X404" s="51" t="s">
        <v>71</v>
      </c>
      <c r="Y404" s="51"/>
      <c r="Z404" s="51"/>
      <c r="AA404" s="86">
        <f t="shared" si="14"/>
        <v>0</v>
      </c>
      <c r="AB404" s="51"/>
      <c r="AC404" s="111" t="e">
        <f>INDEX(Tab_Def_Flows[[Flow_ID]:[CC_DM_source]],MATCH(Tab_Data_Flows[[#This Row],[Name(EN)]],Tab_Def_Flows[Name(EN)],0),16)</f>
        <v>#N/A</v>
      </c>
      <c r="AD404" s="112" t="e">
        <f>IF(J404="Yes",AA404*Tab_Data_Flows[[#This Row],[WC_'[%']]],"N.A.")</f>
        <v>#N/A</v>
      </c>
      <c r="AE404" s="61">
        <f>Tab_Data_Flows[[#This Row],[UoM_Flow_Py]]</f>
        <v>0</v>
      </c>
      <c r="AF404" s="111" t="e">
        <f>INDEX(Tab_Def_Flows[[Flow_ID]:[CC_DM_source]],MATCH(Tab_Data_Flows[[#This Row],[Name(EN)]],Tab_Def_Flows[Name(EN)],0),18)</f>
        <v>#N/A</v>
      </c>
      <c r="AG404" s="112" t="e">
        <f>IF(K404="Yes",AF404*Tab_Data_Flows[[#This Row],[Flow_Py]],"N.A.")</f>
        <v>#N/A</v>
      </c>
      <c r="AH404" s="61">
        <f>Tab_Data_Flows[[#This Row],[UoM_Flow_Py]]</f>
        <v>0</v>
      </c>
      <c r="AI404" s="111" t="e">
        <f>INDEX(Tab_Def_Flows[[Flow_ID]:[CC_DM_source]],MATCH(Tab_Data_Flows[[#This Row],[Name(EN)]],Tab_Def_Flows[Name(EN)],0),20)</f>
        <v>#N/A</v>
      </c>
      <c r="AJ404" s="109" t="e">
        <f>IF(L404="Yes",AI404*Tab_Data_Flows[[#This Row],[Flow_Py]]*Tab_Data_Flows[[#This Row],[DM_'[%']]],"N.A.")</f>
        <v>#N/A</v>
      </c>
      <c r="AK404" s="61">
        <f>Tab_Data_Flows[[#This Row],[UoM_Flow_Py]]</f>
        <v>0</v>
      </c>
    </row>
    <row r="405" spans="1:37" ht="15.75" thickBot="1" x14ac:dyDescent="0.3">
      <c r="A405" s="60">
        <f t="shared" si="12"/>
        <v>404</v>
      </c>
      <c r="B405" s="49" t="str">
        <f>_xlfn.XLOOKUP(C405,Tab_Def_Flows[Name(EN)],Tab_Def_Flows[Flow_ID],,0,)</f>
        <v>F_24_24</v>
      </c>
      <c r="C405" s="51"/>
      <c r="D405" s="49">
        <f>_xlfn.XLOOKUP(C405,Tab_Def_Flows[Name(EN)],Tab_Def_Flows[Type_Biomass],,0,)</f>
        <v>0</v>
      </c>
      <c r="E405" s="49">
        <f>_xlfn.XLOOKUP(C405,Tab_Def_Flows[Name(EN)],Tab_Def_Flows[Output_Process],,0,)</f>
        <v>0</v>
      </c>
      <c r="F405" s="49" t="str">
        <f>_xlfn.XLOOKUP(C405,Tab_Def_Flows[Name(EN)],Tab_Def_Flows[Process_ID_O],,0,)</f>
        <v>24__</v>
      </c>
      <c r="G405" s="49">
        <f>_xlfn.XLOOKUP(C405,Tab_Def_Flows[Name(EN)],Tab_Def_Flows[Input_Process],,0,)</f>
        <v>0</v>
      </c>
      <c r="H405" s="61" t="str">
        <f>_xlfn.XLOOKUP(C405,Tab_Def_Flows[Name(EN)],Tab_Def_Flows[Process_ID_I],,0,)</f>
        <v>24__</v>
      </c>
      <c r="I405" s="49">
        <f>_xlfn.XLOOKUP(C405,Tab_Def_Flows[Name(EN)],Tab_Def_Flows[Value_Source],,0,)</f>
        <v>0</v>
      </c>
      <c r="J405" s="61" t="str">
        <f>_xlfn.XLOOKUP(C405,Tab_Def_Flows[Name(EN)],Tab_Def_Flows[WC?],,0,)</f>
        <v>Yes</v>
      </c>
      <c r="K405" s="61" t="str">
        <f>_xlfn.XLOOKUP(C405,Tab_Def_Flows[Name(EN)],Tab_Def_Flows[DM?],,0,)</f>
        <v>Yes</v>
      </c>
      <c r="L405" s="61" t="str">
        <f>_xlfn.XLOOKUP(C405,Tab_Def_Flows[Name(EN)],Tab_Def_Flows[CC?],,0,)</f>
        <v>Yes</v>
      </c>
      <c r="M405" s="51"/>
      <c r="N405" s="51"/>
      <c r="O405" s="119"/>
      <c r="P405" s="51" t="s">
        <v>389</v>
      </c>
      <c r="Q405" s="51"/>
      <c r="R405" s="51"/>
      <c r="S405" s="51"/>
      <c r="T405" s="51"/>
      <c r="U405" s="51"/>
      <c r="V405" s="51"/>
      <c r="W405" s="51"/>
      <c r="X405" s="51" t="s">
        <v>71</v>
      </c>
      <c r="Y405" s="51"/>
      <c r="Z405" s="51"/>
      <c r="AA405" s="86">
        <f t="shared" si="14"/>
        <v>0</v>
      </c>
      <c r="AB405" s="51"/>
      <c r="AC405" s="111" t="e">
        <f>INDEX(Tab_Def_Flows[[Flow_ID]:[CC_DM_source]],MATCH(Tab_Data_Flows[[#This Row],[Name(EN)]],Tab_Def_Flows[Name(EN)],0),16)</f>
        <v>#N/A</v>
      </c>
      <c r="AD405" s="112" t="e">
        <f>IF(J405="Yes",AA405*Tab_Data_Flows[[#This Row],[WC_'[%']]],"N.A.")</f>
        <v>#N/A</v>
      </c>
      <c r="AE405" s="61">
        <f>Tab_Data_Flows[[#This Row],[UoM_Flow_Py]]</f>
        <v>0</v>
      </c>
      <c r="AF405" s="111" t="e">
        <f>INDEX(Tab_Def_Flows[[Flow_ID]:[CC_DM_source]],MATCH(Tab_Data_Flows[[#This Row],[Name(EN)]],Tab_Def_Flows[Name(EN)],0),18)</f>
        <v>#N/A</v>
      </c>
      <c r="AG405" s="112" t="e">
        <f>IF(K405="Yes",AF405*Tab_Data_Flows[[#This Row],[Flow_Py]],"N.A.")</f>
        <v>#N/A</v>
      </c>
      <c r="AH405" s="61">
        <f>Tab_Data_Flows[[#This Row],[UoM_Flow_Py]]</f>
        <v>0</v>
      </c>
      <c r="AI405" s="111" t="e">
        <f>INDEX(Tab_Def_Flows[[Flow_ID]:[CC_DM_source]],MATCH(Tab_Data_Flows[[#This Row],[Name(EN)]],Tab_Def_Flows[Name(EN)],0),20)</f>
        <v>#N/A</v>
      </c>
      <c r="AJ405" s="109" t="e">
        <f>IF(L405="Yes",AI405*Tab_Data_Flows[[#This Row],[Flow_Py]]*Tab_Data_Flows[[#This Row],[DM_'[%']]],"N.A.")</f>
        <v>#N/A</v>
      </c>
      <c r="AK405" s="61">
        <f>Tab_Data_Flows[[#This Row],[UoM_Flow_Py]]</f>
        <v>0</v>
      </c>
    </row>
    <row r="406" spans="1:37" ht="15.75" thickBot="1" x14ac:dyDescent="0.3">
      <c r="A406" s="60">
        <f t="shared" si="12"/>
        <v>405</v>
      </c>
      <c r="B406" s="49" t="str">
        <f>_xlfn.XLOOKUP(C406,Tab_Def_Flows[Name(EN)],Tab_Def_Flows[Flow_ID],,0,)</f>
        <v>F_24_24</v>
      </c>
      <c r="C406" s="51"/>
      <c r="D406" s="49">
        <f>_xlfn.XLOOKUP(C406,Tab_Def_Flows[Name(EN)],Tab_Def_Flows[Type_Biomass],,0,)</f>
        <v>0</v>
      </c>
      <c r="E406" s="49">
        <f>_xlfn.XLOOKUP(C406,Tab_Def_Flows[Name(EN)],Tab_Def_Flows[Output_Process],,0,)</f>
        <v>0</v>
      </c>
      <c r="F406" s="49" t="str">
        <f>_xlfn.XLOOKUP(C406,Tab_Def_Flows[Name(EN)],Tab_Def_Flows[Process_ID_O],,0,)</f>
        <v>24__</v>
      </c>
      <c r="G406" s="49">
        <f>_xlfn.XLOOKUP(C406,Tab_Def_Flows[Name(EN)],Tab_Def_Flows[Input_Process],,0,)</f>
        <v>0</v>
      </c>
      <c r="H406" s="61" t="str">
        <f>_xlfn.XLOOKUP(C406,Tab_Def_Flows[Name(EN)],Tab_Def_Flows[Process_ID_I],,0,)</f>
        <v>24__</v>
      </c>
      <c r="I406" s="49">
        <f>_xlfn.XLOOKUP(C406,Tab_Def_Flows[Name(EN)],Tab_Def_Flows[Value_Source],,0,)</f>
        <v>0</v>
      </c>
      <c r="J406" s="61" t="str">
        <f>_xlfn.XLOOKUP(C406,Tab_Def_Flows[Name(EN)],Tab_Def_Flows[WC?],,0,)</f>
        <v>Yes</v>
      </c>
      <c r="K406" s="61" t="str">
        <f>_xlfn.XLOOKUP(C406,Tab_Def_Flows[Name(EN)],Tab_Def_Flows[DM?],,0,)</f>
        <v>Yes</v>
      </c>
      <c r="L406" s="61" t="str">
        <f>_xlfn.XLOOKUP(C406,Tab_Def_Flows[Name(EN)],Tab_Def_Flows[CC?],,0,)</f>
        <v>Yes</v>
      </c>
      <c r="M406" s="51"/>
      <c r="N406" s="51"/>
      <c r="O406" s="119"/>
      <c r="P406" s="51" t="s">
        <v>389</v>
      </c>
      <c r="Q406" s="51"/>
      <c r="R406" s="51"/>
      <c r="S406" s="51"/>
      <c r="T406" s="51"/>
      <c r="U406" s="51"/>
      <c r="V406" s="51"/>
      <c r="W406" s="51"/>
      <c r="X406" s="51" t="s">
        <v>71</v>
      </c>
      <c r="Y406" s="51"/>
      <c r="Z406" s="51"/>
      <c r="AA406" s="86">
        <f t="shared" si="14"/>
        <v>0</v>
      </c>
      <c r="AB406" s="51"/>
      <c r="AC406" s="111" t="e">
        <f>INDEX(Tab_Def_Flows[[Flow_ID]:[CC_DM_source]],MATCH(Tab_Data_Flows[[#This Row],[Name(EN)]],Tab_Def_Flows[Name(EN)],0),16)</f>
        <v>#N/A</v>
      </c>
      <c r="AD406" s="112" t="e">
        <f>IF(J406="Yes",AA406*Tab_Data_Flows[[#This Row],[WC_'[%']]],"N.A.")</f>
        <v>#N/A</v>
      </c>
      <c r="AE406" s="61">
        <f>Tab_Data_Flows[[#This Row],[UoM_Flow_Py]]</f>
        <v>0</v>
      </c>
      <c r="AF406" s="111" t="e">
        <f>INDEX(Tab_Def_Flows[[Flow_ID]:[CC_DM_source]],MATCH(Tab_Data_Flows[[#This Row],[Name(EN)]],Tab_Def_Flows[Name(EN)],0),18)</f>
        <v>#N/A</v>
      </c>
      <c r="AG406" s="112" t="e">
        <f>IF(K406="Yes",AF406*Tab_Data_Flows[[#This Row],[Flow_Py]],"N.A.")</f>
        <v>#N/A</v>
      </c>
      <c r="AH406" s="61">
        <f>Tab_Data_Flows[[#This Row],[UoM_Flow_Py]]</f>
        <v>0</v>
      </c>
      <c r="AI406" s="111" t="e">
        <f>INDEX(Tab_Def_Flows[[Flow_ID]:[CC_DM_source]],MATCH(Tab_Data_Flows[[#This Row],[Name(EN)]],Tab_Def_Flows[Name(EN)],0),20)</f>
        <v>#N/A</v>
      </c>
      <c r="AJ406" s="109" t="e">
        <f>IF(L406="Yes",AI406*Tab_Data_Flows[[#This Row],[Flow_Py]]*Tab_Data_Flows[[#This Row],[DM_'[%']]],"N.A.")</f>
        <v>#N/A</v>
      </c>
      <c r="AK406" s="61">
        <f>Tab_Data_Flows[[#This Row],[UoM_Flow_Py]]</f>
        <v>0</v>
      </c>
    </row>
    <row r="407" spans="1:37" ht="15.75" thickBot="1" x14ac:dyDescent="0.3">
      <c r="A407" s="60">
        <f t="shared" si="12"/>
        <v>406</v>
      </c>
      <c r="B407" s="49" t="str">
        <f>_xlfn.XLOOKUP(C407,Tab_Def_Flows[Name(EN)],Tab_Def_Flows[Flow_ID],,0,)</f>
        <v>F_24_24</v>
      </c>
      <c r="C407" s="51"/>
      <c r="D407" s="49">
        <f>_xlfn.XLOOKUP(C407,Tab_Def_Flows[Name(EN)],Tab_Def_Flows[Type_Biomass],,0,)</f>
        <v>0</v>
      </c>
      <c r="E407" s="49">
        <f>_xlfn.XLOOKUP(C407,Tab_Def_Flows[Name(EN)],Tab_Def_Flows[Output_Process],,0,)</f>
        <v>0</v>
      </c>
      <c r="F407" s="49" t="str">
        <f>_xlfn.XLOOKUP(C407,Tab_Def_Flows[Name(EN)],Tab_Def_Flows[Process_ID_O],,0,)</f>
        <v>24__</v>
      </c>
      <c r="G407" s="49">
        <f>_xlfn.XLOOKUP(C407,Tab_Def_Flows[Name(EN)],Tab_Def_Flows[Input_Process],,0,)</f>
        <v>0</v>
      </c>
      <c r="H407" s="61" t="str">
        <f>_xlfn.XLOOKUP(C407,Tab_Def_Flows[Name(EN)],Tab_Def_Flows[Process_ID_I],,0,)</f>
        <v>24__</v>
      </c>
      <c r="I407" s="49">
        <f>_xlfn.XLOOKUP(C407,Tab_Def_Flows[Name(EN)],Tab_Def_Flows[Value_Source],,0,)</f>
        <v>0</v>
      </c>
      <c r="J407" s="61" t="str">
        <f>_xlfn.XLOOKUP(C407,Tab_Def_Flows[Name(EN)],Tab_Def_Flows[WC?],,0,)</f>
        <v>Yes</v>
      </c>
      <c r="K407" s="61" t="str">
        <f>_xlfn.XLOOKUP(C407,Tab_Def_Flows[Name(EN)],Tab_Def_Flows[DM?],,0,)</f>
        <v>Yes</v>
      </c>
      <c r="L407" s="61" t="str">
        <f>_xlfn.XLOOKUP(C407,Tab_Def_Flows[Name(EN)],Tab_Def_Flows[CC?],,0,)</f>
        <v>Yes</v>
      </c>
      <c r="M407" s="51"/>
      <c r="N407" s="51"/>
      <c r="O407" s="119"/>
      <c r="P407" s="51" t="s">
        <v>389</v>
      </c>
      <c r="Q407" s="51"/>
      <c r="R407" s="51"/>
      <c r="S407" s="51"/>
      <c r="T407" s="51"/>
      <c r="U407" s="51"/>
      <c r="V407" s="51"/>
      <c r="W407" s="51"/>
      <c r="X407" s="51" t="s">
        <v>71</v>
      </c>
      <c r="Y407" s="51"/>
      <c r="Z407" s="51"/>
      <c r="AA407" s="86">
        <f t="shared" si="14"/>
        <v>0</v>
      </c>
      <c r="AB407" s="51"/>
      <c r="AC407" s="111" t="e">
        <f>INDEX(Tab_Def_Flows[[Flow_ID]:[CC_DM_source]],MATCH(Tab_Data_Flows[[#This Row],[Name(EN)]],Tab_Def_Flows[Name(EN)],0),16)</f>
        <v>#N/A</v>
      </c>
      <c r="AD407" s="112" t="e">
        <f>IF(J407="Yes",AA407*Tab_Data_Flows[[#This Row],[WC_'[%']]],"N.A.")</f>
        <v>#N/A</v>
      </c>
      <c r="AE407" s="61">
        <f>Tab_Data_Flows[[#This Row],[UoM_Flow_Py]]</f>
        <v>0</v>
      </c>
      <c r="AF407" s="111" t="e">
        <f>INDEX(Tab_Def_Flows[[Flow_ID]:[CC_DM_source]],MATCH(Tab_Data_Flows[[#This Row],[Name(EN)]],Tab_Def_Flows[Name(EN)],0),18)</f>
        <v>#N/A</v>
      </c>
      <c r="AG407" s="112" t="e">
        <f>IF(K407="Yes",AF407*Tab_Data_Flows[[#This Row],[Flow_Py]],"N.A.")</f>
        <v>#N/A</v>
      </c>
      <c r="AH407" s="61">
        <f>Tab_Data_Flows[[#This Row],[UoM_Flow_Py]]</f>
        <v>0</v>
      </c>
      <c r="AI407" s="111" t="e">
        <f>INDEX(Tab_Def_Flows[[Flow_ID]:[CC_DM_source]],MATCH(Tab_Data_Flows[[#This Row],[Name(EN)]],Tab_Def_Flows[Name(EN)],0),20)</f>
        <v>#N/A</v>
      </c>
      <c r="AJ407" s="109" t="e">
        <f>IF(L407="Yes",AI407*Tab_Data_Flows[[#This Row],[Flow_Py]]*Tab_Data_Flows[[#This Row],[DM_'[%']]],"N.A.")</f>
        <v>#N/A</v>
      </c>
      <c r="AK407" s="61">
        <f>Tab_Data_Flows[[#This Row],[UoM_Flow_Py]]</f>
        <v>0</v>
      </c>
    </row>
    <row r="408" spans="1:37" ht="15.75" thickBot="1" x14ac:dyDescent="0.3">
      <c r="A408" s="60">
        <f t="shared" si="12"/>
        <v>407</v>
      </c>
      <c r="B408" s="49" t="str">
        <f>_xlfn.XLOOKUP(C408,Tab_Def_Flows[Name(EN)],Tab_Def_Flows[Flow_ID],,0,)</f>
        <v>F_24_24</v>
      </c>
      <c r="C408" s="51"/>
      <c r="D408" s="49">
        <f>_xlfn.XLOOKUP(C408,Tab_Def_Flows[Name(EN)],Tab_Def_Flows[Type_Biomass],,0,)</f>
        <v>0</v>
      </c>
      <c r="E408" s="49">
        <f>_xlfn.XLOOKUP(C408,Tab_Def_Flows[Name(EN)],Tab_Def_Flows[Output_Process],,0,)</f>
        <v>0</v>
      </c>
      <c r="F408" s="49" t="str">
        <f>_xlfn.XLOOKUP(C408,Tab_Def_Flows[Name(EN)],Tab_Def_Flows[Process_ID_O],,0,)</f>
        <v>24__</v>
      </c>
      <c r="G408" s="49">
        <f>_xlfn.XLOOKUP(C408,Tab_Def_Flows[Name(EN)],Tab_Def_Flows[Input_Process],,0,)</f>
        <v>0</v>
      </c>
      <c r="H408" s="61" t="str">
        <f>_xlfn.XLOOKUP(C408,Tab_Def_Flows[Name(EN)],Tab_Def_Flows[Process_ID_I],,0,)</f>
        <v>24__</v>
      </c>
      <c r="I408" s="49">
        <f>_xlfn.XLOOKUP(C408,Tab_Def_Flows[Name(EN)],Tab_Def_Flows[Value_Source],,0,)</f>
        <v>0</v>
      </c>
      <c r="J408" s="61" t="str">
        <f>_xlfn.XLOOKUP(C408,Tab_Def_Flows[Name(EN)],Tab_Def_Flows[WC?],,0,)</f>
        <v>Yes</v>
      </c>
      <c r="K408" s="61" t="str">
        <f>_xlfn.XLOOKUP(C408,Tab_Def_Flows[Name(EN)],Tab_Def_Flows[DM?],,0,)</f>
        <v>Yes</v>
      </c>
      <c r="L408" s="61" t="str">
        <f>_xlfn.XLOOKUP(C408,Tab_Def_Flows[Name(EN)],Tab_Def_Flows[CC?],,0,)</f>
        <v>Yes</v>
      </c>
      <c r="M408" s="51"/>
      <c r="N408" s="51"/>
      <c r="O408" s="119"/>
      <c r="P408" s="51" t="s">
        <v>389</v>
      </c>
      <c r="Q408" s="51"/>
      <c r="R408" s="51"/>
      <c r="S408" s="51"/>
      <c r="T408" s="51"/>
      <c r="U408" s="51"/>
      <c r="V408" s="51"/>
      <c r="W408" s="51"/>
      <c r="X408" s="51" t="s">
        <v>71</v>
      </c>
      <c r="Y408" s="51"/>
      <c r="Z408" s="51"/>
      <c r="AA408" s="86">
        <f t="shared" si="14"/>
        <v>0</v>
      </c>
      <c r="AB408" s="51"/>
      <c r="AC408" s="111" t="e">
        <f>INDEX(Tab_Def_Flows[[Flow_ID]:[CC_DM_source]],MATCH(Tab_Data_Flows[[#This Row],[Name(EN)]],Tab_Def_Flows[Name(EN)],0),16)</f>
        <v>#N/A</v>
      </c>
      <c r="AD408" s="112" t="e">
        <f>IF(J408="Yes",AA408*Tab_Data_Flows[[#This Row],[WC_'[%']]],"N.A.")</f>
        <v>#N/A</v>
      </c>
      <c r="AE408" s="61">
        <f>Tab_Data_Flows[[#This Row],[UoM_Flow_Py]]</f>
        <v>0</v>
      </c>
      <c r="AF408" s="111" t="e">
        <f>INDEX(Tab_Def_Flows[[Flow_ID]:[CC_DM_source]],MATCH(Tab_Data_Flows[[#This Row],[Name(EN)]],Tab_Def_Flows[Name(EN)],0),18)</f>
        <v>#N/A</v>
      </c>
      <c r="AG408" s="112" t="e">
        <f>IF(K408="Yes",AF408*Tab_Data_Flows[[#This Row],[Flow_Py]],"N.A.")</f>
        <v>#N/A</v>
      </c>
      <c r="AH408" s="61">
        <f>Tab_Data_Flows[[#This Row],[UoM_Flow_Py]]</f>
        <v>0</v>
      </c>
      <c r="AI408" s="111" t="e">
        <f>INDEX(Tab_Def_Flows[[Flow_ID]:[CC_DM_source]],MATCH(Tab_Data_Flows[[#This Row],[Name(EN)]],Tab_Def_Flows[Name(EN)],0),20)</f>
        <v>#N/A</v>
      </c>
      <c r="AJ408" s="109" t="e">
        <f>IF(L408="Yes",AI408*Tab_Data_Flows[[#This Row],[Flow_Py]]*Tab_Data_Flows[[#This Row],[DM_'[%']]],"N.A.")</f>
        <v>#N/A</v>
      </c>
      <c r="AK408" s="61">
        <f>Tab_Data_Flows[[#This Row],[UoM_Flow_Py]]</f>
        <v>0</v>
      </c>
    </row>
    <row r="409" spans="1:37" ht="15.75" thickBot="1" x14ac:dyDescent="0.3">
      <c r="A409" s="60">
        <f t="shared" si="12"/>
        <v>408</v>
      </c>
      <c r="B409" s="49" t="str">
        <f>_xlfn.XLOOKUP(C409,Tab_Def_Flows[Name(EN)],Tab_Def_Flows[Flow_ID],,0,)</f>
        <v>F_24_24</v>
      </c>
      <c r="C409" s="51"/>
      <c r="D409" s="49">
        <f>_xlfn.XLOOKUP(C409,Tab_Def_Flows[Name(EN)],Tab_Def_Flows[Type_Biomass],,0,)</f>
        <v>0</v>
      </c>
      <c r="E409" s="49">
        <f>_xlfn.XLOOKUP(C409,Tab_Def_Flows[Name(EN)],Tab_Def_Flows[Output_Process],,0,)</f>
        <v>0</v>
      </c>
      <c r="F409" s="49" t="str">
        <f>_xlfn.XLOOKUP(C409,Tab_Def_Flows[Name(EN)],Tab_Def_Flows[Process_ID_O],,0,)</f>
        <v>24__</v>
      </c>
      <c r="G409" s="49">
        <f>_xlfn.XLOOKUP(C409,Tab_Def_Flows[Name(EN)],Tab_Def_Flows[Input_Process],,0,)</f>
        <v>0</v>
      </c>
      <c r="H409" s="61" t="str">
        <f>_xlfn.XLOOKUP(C409,Tab_Def_Flows[Name(EN)],Tab_Def_Flows[Process_ID_I],,0,)</f>
        <v>24__</v>
      </c>
      <c r="I409" s="49">
        <f>_xlfn.XLOOKUP(C409,Tab_Def_Flows[Name(EN)],Tab_Def_Flows[Value_Source],,0,)</f>
        <v>0</v>
      </c>
      <c r="J409" s="61" t="str">
        <f>_xlfn.XLOOKUP(C409,Tab_Def_Flows[Name(EN)],Tab_Def_Flows[WC?],,0,)</f>
        <v>Yes</v>
      </c>
      <c r="K409" s="61" t="str">
        <f>_xlfn.XLOOKUP(C409,Tab_Def_Flows[Name(EN)],Tab_Def_Flows[DM?],,0,)</f>
        <v>Yes</v>
      </c>
      <c r="L409" s="61" t="str">
        <f>_xlfn.XLOOKUP(C409,Tab_Def_Flows[Name(EN)],Tab_Def_Flows[CC?],,0,)</f>
        <v>Yes</v>
      </c>
      <c r="M409" s="51"/>
      <c r="N409" s="51"/>
      <c r="O409" s="119"/>
      <c r="P409" s="51" t="s">
        <v>389</v>
      </c>
      <c r="Q409" s="51"/>
      <c r="R409" s="51"/>
      <c r="S409" s="51"/>
      <c r="T409" s="51"/>
      <c r="U409" s="51"/>
      <c r="V409" s="51"/>
      <c r="W409" s="51"/>
      <c r="X409" s="51" t="s">
        <v>71</v>
      </c>
      <c r="Y409" s="51"/>
      <c r="Z409" s="51"/>
      <c r="AA409" s="86">
        <f t="shared" si="14"/>
        <v>0</v>
      </c>
      <c r="AB409" s="51"/>
      <c r="AC409" s="111" t="e">
        <f>INDEX(Tab_Def_Flows[[Flow_ID]:[CC_DM_source]],MATCH(Tab_Data_Flows[[#This Row],[Name(EN)]],Tab_Def_Flows[Name(EN)],0),16)</f>
        <v>#N/A</v>
      </c>
      <c r="AD409" s="112" t="e">
        <f>IF(J409="Yes",AA409*Tab_Data_Flows[[#This Row],[WC_'[%']]],"N.A.")</f>
        <v>#N/A</v>
      </c>
      <c r="AE409" s="61">
        <f>Tab_Data_Flows[[#This Row],[UoM_Flow_Py]]</f>
        <v>0</v>
      </c>
      <c r="AF409" s="111" t="e">
        <f>INDEX(Tab_Def_Flows[[Flow_ID]:[CC_DM_source]],MATCH(Tab_Data_Flows[[#This Row],[Name(EN)]],Tab_Def_Flows[Name(EN)],0),18)</f>
        <v>#N/A</v>
      </c>
      <c r="AG409" s="112" t="e">
        <f>IF(K409="Yes",AF409*Tab_Data_Flows[[#This Row],[Flow_Py]],"N.A.")</f>
        <v>#N/A</v>
      </c>
      <c r="AH409" s="61">
        <f>Tab_Data_Flows[[#This Row],[UoM_Flow_Py]]</f>
        <v>0</v>
      </c>
      <c r="AI409" s="111" t="e">
        <f>INDEX(Tab_Def_Flows[[Flow_ID]:[CC_DM_source]],MATCH(Tab_Data_Flows[[#This Row],[Name(EN)]],Tab_Def_Flows[Name(EN)],0),20)</f>
        <v>#N/A</v>
      </c>
      <c r="AJ409" s="109" t="e">
        <f>IF(L409="Yes",AI409*Tab_Data_Flows[[#This Row],[Flow_Py]]*Tab_Data_Flows[[#This Row],[DM_'[%']]],"N.A.")</f>
        <v>#N/A</v>
      </c>
      <c r="AK409" s="61">
        <f>Tab_Data_Flows[[#This Row],[UoM_Flow_Py]]</f>
        <v>0</v>
      </c>
    </row>
    <row r="410" spans="1:37" ht="15.75" thickBot="1" x14ac:dyDescent="0.3">
      <c r="A410" s="60">
        <f t="shared" si="12"/>
        <v>409</v>
      </c>
      <c r="B410" s="49" t="str">
        <f>_xlfn.XLOOKUP(C410,Tab_Def_Flows[Name(EN)],Tab_Def_Flows[Flow_ID],,0,)</f>
        <v>F_24_24</v>
      </c>
      <c r="C410" s="51"/>
      <c r="D410" s="49">
        <f>_xlfn.XLOOKUP(C410,Tab_Def_Flows[Name(EN)],Tab_Def_Flows[Type_Biomass],,0,)</f>
        <v>0</v>
      </c>
      <c r="E410" s="49">
        <f>_xlfn.XLOOKUP(C410,Tab_Def_Flows[Name(EN)],Tab_Def_Flows[Output_Process],,0,)</f>
        <v>0</v>
      </c>
      <c r="F410" s="49" t="str">
        <f>_xlfn.XLOOKUP(C410,Tab_Def_Flows[Name(EN)],Tab_Def_Flows[Process_ID_O],,0,)</f>
        <v>24__</v>
      </c>
      <c r="G410" s="49">
        <f>_xlfn.XLOOKUP(C410,Tab_Def_Flows[Name(EN)],Tab_Def_Flows[Input_Process],,0,)</f>
        <v>0</v>
      </c>
      <c r="H410" s="61" t="str">
        <f>_xlfn.XLOOKUP(C410,Tab_Def_Flows[Name(EN)],Tab_Def_Flows[Process_ID_I],,0,)</f>
        <v>24__</v>
      </c>
      <c r="I410" s="49">
        <f>_xlfn.XLOOKUP(C410,Tab_Def_Flows[Name(EN)],Tab_Def_Flows[Value_Source],,0,)</f>
        <v>0</v>
      </c>
      <c r="J410" s="61" t="str">
        <f>_xlfn.XLOOKUP(C410,Tab_Def_Flows[Name(EN)],Tab_Def_Flows[WC?],,0,)</f>
        <v>Yes</v>
      </c>
      <c r="K410" s="61" t="str">
        <f>_xlfn.XLOOKUP(C410,Tab_Def_Flows[Name(EN)],Tab_Def_Flows[DM?],,0,)</f>
        <v>Yes</v>
      </c>
      <c r="L410" s="61" t="str">
        <f>_xlfn.XLOOKUP(C410,Tab_Def_Flows[Name(EN)],Tab_Def_Flows[CC?],,0,)</f>
        <v>Yes</v>
      </c>
      <c r="M410" s="51"/>
      <c r="N410" s="51"/>
      <c r="O410" s="119"/>
      <c r="P410" s="51" t="s">
        <v>389</v>
      </c>
      <c r="Q410" s="51"/>
      <c r="R410" s="51"/>
      <c r="S410" s="51"/>
      <c r="T410" s="51"/>
      <c r="U410" s="51"/>
      <c r="V410" s="51"/>
      <c r="W410" s="51"/>
      <c r="X410" s="51" t="s">
        <v>71</v>
      </c>
      <c r="Y410" s="51"/>
      <c r="Z410" s="51"/>
      <c r="AA410" s="86">
        <f t="shared" si="14"/>
        <v>0</v>
      </c>
      <c r="AB410" s="51"/>
      <c r="AC410" s="111" t="e">
        <f>INDEX(Tab_Def_Flows[[Flow_ID]:[CC_DM_source]],MATCH(Tab_Data_Flows[[#This Row],[Name(EN)]],Tab_Def_Flows[Name(EN)],0),16)</f>
        <v>#N/A</v>
      </c>
      <c r="AD410" s="112" t="e">
        <f>IF(J410="Yes",AA410*Tab_Data_Flows[[#This Row],[WC_'[%']]],"N.A.")</f>
        <v>#N/A</v>
      </c>
      <c r="AE410" s="61">
        <f>Tab_Data_Flows[[#This Row],[UoM_Flow_Py]]</f>
        <v>0</v>
      </c>
      <c r="AF410" s="111" t="e">
        <f>INDEX(Tab_Def_Flows[[Flow_ID]:[CC_DM_source]],MATCH(Tab_Data_Flows[[#This Row],[Name(EN)]],Tab_Def_Flows[Name(EN)],0),18)</f>
        <v>#N/A</v>
      </c>
      <c r="AG410" s="112" t="e">
        <f>IF(K410="Yes",AF410*Tab_Data_Flows[[#This Row],[Flow_Py]],"N.A.")</f>
        <v>#N/A</v>
      </c>
      <c r="AH410" s="61">
        <f>Tab_Data_Flows[[#This Row],[UoM_Flow_Py]]</f>
        <v>0</v>
      </c>
      <c r="AI410" s="111" t="e">
        <f>INDEX(Tab_Def_Flows[[Flow_ID]:[CC_DM_source]],MATCH(Tab_Data_Flows[[#This Row],[Name(EN)]],Tab_Def_Flows[Name(EN)],0),20)</f>
        <v>#N/A</v>
      </c>
      <c r="AJ410" s="109" t="e">
        <f>IF(L410="Yes",AI410*Tab_Data_Flows[[#This Row],[Flow_Py]]*Tab_Data_Flows[[#This Row],[DM_'[%']]],"N.A.")</f>
        <v>#N/A</v>
      </c>
      <c r="AK410" s="61">
        <f>Tab_Data_Flows[[#This Row],[UoM_Flow_Py]]</f>
        <v>0</v>
      </c>
    </row>
    <row r="411" spans="1:37" ht="15.75" thickBot="1" x14ac:dyDescent="0.3">
      <c r="A411" s="60">
        <f t="shared" si="12"/>
        <v>410</v>
      </c>
      <c r="B411" s="49" t="str">
        <f>_xlfn.XLOOKUP(C411,Tab_Def_Flows[Name(EN)],Tab_Def_Flows[Flow_ID],,0,)</f>
        <v>F_24_24</v>
      </c>
      <c r="C411" s="51"/>
      <c r="D411" s="49">
        <f>_xlfn.XLOOKUP(C411,Tab_Def_Flows[Name(EN)],Tab_Def_Flows[Type_Biomass],,0,)</f>
        <v>0</v>
      </c>
      <c r="E411" s="49">
        <f>_xlfn.XLOOKUP(C411,Tab_Def_Flows[Name(EN)],Tab_Def_Flows[Output_Process],,0,)</f>
        <v>0</v>
      </c>
      <c r="F411" s="49" t="str">
        <f>_xlfn.XLOOKUP(C411,Tab_Def_Flows[Name(EN)],Tab_Def_Flows[Process_ID_O],,0,)</f>
        <v>24__</v>
      </c>
      <c r="G411" s="49">
        <f>_xlfn.XLOOKUP(C411,Tab_Def_Flows[Name(EN)],Tab_Def_Flows[Input_Process],,0,)</f>
        <v>0</v>
      </c>
      <c r="H411" s="61" t="str">
        <f>_xlfn.XLOOKUP(C411,Tab_Def_Flows[Name(EN)],Tab_Def_Flows[Process_ID_I],,0,)</f>
        <v>24__</v>
      </c>
      <c r="I411" s="49">
        <f>_xlfn.XLOOKUP(C411,Tab_Def_Flows[Name(EN)],Tab_Def_Flows[Value_Source],,0,)</f>
        <v>0</v>
      </c>
      <c r="J411" s="61" t="str">
        <f>_xlfn.XLOOKUP(C411,Tab_Def_Flows[Name(EN)],Tab_Def_Flows[WC?],,0,)</f>
        <v>Yes</v>
      </c>
      <c r="K411" s="61" t="str">
        <f>_xlfn.XLOOKUP(C411,Tab_Def_Flows[Name(EN)],Tab_Def_Flows[DM?],,0,)</f>
        <v>Yes</v>
      </c>
      <c r="L411" s="61" t="str">
        <f>_xlfn.XLOOKUP(C411,Tab_Def_Flows[Name(EN)],Tab_Def_Flows[CC?],,0,)</f>
        <v>Yes</v>
      </c>
      <c r="M411" s="51"/>
      <c r="N411" s="51"/>
      <c r="O411" s="119"/>
      <c r="P411" s="51" t="s">
        <v>389</v>
      </c>
      <c r="Q411" s="51"/>
      <c r="R411" s="51"/>
      <c r="S411" s="51"/>
      <c r="T411" s="51"/>
      <c r="U411" s="51"/>
      <c r="V411" s="51"/>
      <c r="W411" s="51"/>
      <c r="X411" s="51" t="s">
        <v>71</v>
      </c>
      <c r="Y411" s="51"/>
      <c r="Z411" s="51"/>
      <c r="AA411" s="86">
        <f t="shared" si="14"/>
        <v>0</v>
      </c>
      <c r="AB411" s="51"/>
      <c r="AC411" s="111" t="e">
        <f>INDEX(Tab_Def_Flows[[Flow_ID]:[CC_DM_source]],MATCH(Tab_Data_Flows[[#This Row],[Name(EN)]],Tab_Def_Flows[Name(EN)],0),16)</f>
        <v>#N/A</v>
      </c>
      <c r="AD411" s="112" t="e">
        <f>IF(J411="Yes",AA411*Tab_Data_Flows[[#This Row],[WC_'[%']]],"N.A.")</f>
        <v>#N/A</v>
      </c>
      <c r="AE411" s="61">
        <f>Tab_Data_Flows[[#This Row],[UoM_Flow_Py]]</f>
        <v>0</v>
      </c>
      <c r="AF411" s="111" t="e">
        <f>INDEX(Tab_Def_Flows[[Flow_ID]:[CC_DM_source]],MATCH(Tab_Data_Flows[[#This Row],[Name(EN)]],Tab_Def_Flows[Name(EN)],0),18)</f>
        <v>#N/A</v>
      </c>
      <c r="AG411" s="112" t="e">
        <f>IF(K411="Yes",AF411*Tab_Data_Flows[[#This Row],[Flow_Py]],"N.A.")</f>
        <v>#N/A</v>
      </c>
      <c r="AH411" s="61">
        <f>Tab_Data_Flows[[#This Row],[UoM_Flow_Py]]</f>
        <v>0</v>
      </c>
      <c r="AI411" s="111" t="e">
        <f>INDEX(Tab_Def_Flows[[Flow_ID]:[CC_DM_source]],MATCH(Tab_Data_Flows[[#This Row],[Name(EN)]],Tab_Def_Flows[Name(EN)],0),20)</f>
        <v>#N/A</v>
      </c>
      <c r="AJ411" s="109" t="e">
        <f>IF(L411="Yes",AI411*Tab_Data_Flows[[#This Row],[Flow_Py]]*Tab_Data_Flows[[#This Row],[DM_'[%']]],"N.A.")</f>
        <v>#N/A</v>
      </c>
      <c r="AK411" s="61">
        <f>Tab_Data_Flows[[#This Row],[UoM_Flow_Py]]</f>
        <v>0</v>
      </c>
    </row>
    <row r="412" spans="1:37" ht="15.75" thickBot="1" x14ac:dyDescent="0.3">
      <c r="A412" s="60">
        <f t="shared" si="12"/>
        <v>411</v>
      </c>
      <c r="B412" s="49" t="str">
        <f>_xlfn.XLOOKUP(C412,Tab_Def_Flows[Name(EN)],Tab_Def_Flows[Flow_ID],,0,)</f>
        <v>F_24_24</v>
      </c>
      <c r="C412" s="51"/>
      <c r="D412" s="49">
        <f>_xlfn.XLOOKUP(C412,Tab_Def_Flows[Name(EN)],Tab_Def_Flows[Type_Biomass],,0,)</f>
        <v>0</v>
      </c>
      <c r="E412" s="49">
        <f>_xlfn.XLOOKUP(C412,Tab_Def_Flows[Name(EN)],Tab_Def_Flows[Output_Process],,0,)</f>
        <v>0</v>
      </c>
      <c r="F412" s="49" t="str">
        <f>_xlfn.XLOOKUP(C412,Tab_Def_Flows[Name(EN)],Tab_Def_Flows[Process_ID_O],,0,)</f>
        <v>24__</v>
      </c>
      <c r="G412" s="49">
        <f>_xlfn.XLOOKUP(C412,Tab_Def_Flows[Name(EN)],Tab_Def_Flows[Input_Process],,0,)</f>
        <v>0</v>
      </c>
      <c r="H412" s="61" t="str">
        <f>_xlfn.XLOOKUP(C412,Tab_Def_Flows[Name(EN)],Tab_Def_Flows[Process_ID_I],,0,)</f>
        <v>24__</v>
      </c>
      <c r="I412" s="49">
        <f>_xlfn.XLOOKUP(C412,Tab_Def_Flows[Name(EN)],Tab_Def_Flows[Value_Source],,0,)</f>
        <v>0</v>
      </c>
      <c r="J412" s="61" t="str">
        <f>_xlfn.XLOOKUP(C412,Tab_Def_Flows[Name(EN)],Tab_Def_Flows[WC?],,0,)</f>
        <v>Yes</v>
      </c>
      <c r="K412" s="61" t="str">
        <f>_xlfn.XLOOKUP(C412,Tab_Def_Flows[Name(EN)],Tab_Def_Flows[DM?],,0,)</f>
        <v>Yes</v>
      </c>
      <c r="L412" s="61" t="str">
        <f>_xlfn.XLOOKUP(C412,Tab_Def_Flows[Name(EN)],Tab_Def_Flows[CC?],,0,)</f>
        <v>Yes</v>
      </c>
      <c r="M412" s="51"/>
      <c r="N412" s="51"/>
      <c r="O412" s="119"/>
      <c r="P412" s="51" t="s">
        <v>389</v>
      </c>
      <c r="Q412" s="51"/>
      <c r="R412" s="51"/>
      <c r="S412" s="51"/>
      <c r="T412" s="51"/>
      <c r="U412" s="51"/>
      <c r="V412" s="51"/>
      <c r="W412" s="51"/>
      <c r="X412" s="51" t="s">
        <v>71</v>
      </c>
      <c r="Y412" s="51"/>
      <c r="Z412" s="51"/>
      <c r="AA412" s="86">
        <f t="shared" si="14"/>
        <v>0</v>
      </c>
      <c r="AB412" s="51"/>
      <c r="AC412" s="111" t="e">
        <f>INDEX(Tab_Def_Flows[[Flow_ID]:[CC_DM_source]],MATCH(Tab_Data_Flows[[#This Row],[Name(EN)]],Tab_Def_Flows[Name(EN)],0),16)</f>
        <v>#N/A</v>
      </c>
      <c r="AD412" s="112" t="e">
        <f>IF(J412="Yes",AA412*Tab_Data_Flows[[#This Row],[WC_'[%']]],"N.A.")</f>
        <v>#N/A</v>
      </c>
      <c r="AE412" s="61">
        <f>Tab_Data_Flows[[#This Row],[UoM_Flow_Py]]</f>
        <v>0</v>
      </c>
      <c r="AF412" s="111" t="e">
        <f>INDEX(Tab_Def_Flows[[Flow_ID]:[CC_DM_source]],MATCH(Tab_Data_Flows[[#This Row],[Name(EN)]],Tab_Def_Flows[Name(EN)],0),18)</f>
        <v>#N/A</v>
      </c>
      <c r="AG412" s="112" t="e">
        <f>IF(K412="Yes",AF412*Tab_Data_Flows[[#This Row],[Flow_Py]],"N.A.")</f>
        <v>#N/A</v>
      </c>
      <c r="AH412" s="61">
        <f>Tab_Data_Flows[[#This Row],[UoM_Flow_Py]]</f>
        <v>0</v>
      </c>
      <c r="AI412" s="111" t="e">
        <f>INDEX(Tab_Def_Flows[[Flow_ID]:[CC_DM_source]],MATCH(Tab_Data_Flows[[#This Row],[Name(EN)]],Tab_Def_Flows[Name(EN)],0),20)</f>
        <v>#N/A</v>
      </c>
      <c r="AJ412" s="109" t="e">
        <f>IF(L412="Yes",AI412*Tab_Data_Flows[[#This Row],[Flow_Py]]*Tab_Data_Flows[[#This Row],[DM_'[%']]],"N.A.")</f>
        <v>#N/A</v>
      </c>
      <c r="AK412" s="61">
        <f>Tab_Data_Flows[[#This Row],[UoM_Flow_Py]]</f>
        <v>0</v>
      </c>
    </row>
    <row r="413" spans="1:37" ht="15.75" thickBot="1" x14ac:dyDescent="0.3">
      <c r="A413" s="60">
        <f t="shared" si="12"/>
        <v>412</v>
      </c>
      <c r="B413" s="49" t="str">
        <f>_xlfn.XLOOKUP(C413,Tab_Def_Flows[Name(EN)],Tab_Def_Flows[Flow_ID],,0,)</f>
        <v>F_24_24</v>
      </c>
      <c r="C413" s="51"/>
      <c r="D413" s="49">
        <f>_xlfn.XLOOKUP(C413,Tab_Def_Flows[Name(EN)],Tab_Def_Flows[Type_Biomass],,0,)</f>
        <v>0</v>
      </c>
      <c r="E413" s="49">
        <f>_xlfn.XLOOKUP(C413,Tab_Def_Flows[Name(EN)],Tab_Def_Flows[Output_Process],,0,)</f>
        <v>0</v>
      </c>
      <c r="F413" s="49" t="str">
        <f>_xlfn.XLOOKUP(C413,Tab_Def_Flows[Name(EN)],Tab_Def_Flows[Process_ID_O],,0,)</f>
        <v>24__</v>
      </c>
      <c r="G413" s="49">
        <f>_xlfn.XLOOKUP(C413,Tab_Def_Flows[Name(EN)],Tab_Def_Flows[Input_Process],,0,)</f>
        <v>0</v>
      </c>
      <c r="H413" s="61" t="str">
        <f>_xlfn.XLOOKUP(C413,Tab_Def_Flows[Name(EN)],Tab_Def_Flows[Process_ID_I],,0,)</f>
        <v>24__</v>
      </c>
      <c r="I413" s="49">
        <f>_xlfn.XLOOKUP(C413,Tab_Def_Flows[Name(EN)],Tab_Def_Flows[Value_Source],,0,)</f>
        <v>0</v>
      </c>
      <c r="J413" s="61" t="str">
        <f>_xlfn.XLOOKUP(C413,Tab_Def_Flows[Name(EN)],Tab_Def_Flows[WC?],,0,)</f>
        <v>Yes</v>
      </c>
      <c r="K413" s="61" t="str">
        <f>_xlfn.XLOOKUP(C413,Tab_Def_Flows[Name(EN)],Tab_Def_Flows[DM?],,0,)</f>
        <v>Yes</v>
      </c>
      <c r="L413" s="61" t="str">
        <f>_xlfn.XLOOKUP(C413,Tab_Def_Flows[Name(EN)],Tab_Def_Flows[CC?],,0,)</f>
        <v>Yes</v>
      </c>
      <c r="M413" s="51"/>
      <c r="N413" s="51"/>
      <c r="O413" s="119"/>
      <c r="P413" s="51" t="s">
        <v>389</v>
      </c>
      <c r="Q413" s="51"/>
      <c r="R413" s="51"/>
      <c r="S413" s="51"/>
      <c r="T413" s="51"/>
      <c r="U413" s="51"/>
      <c r="V413" s="51"/>
      <c r="W413" s="51"/>
      <c r="X413" s="51" t="s">
        <v>71</v>
      </c>
      <c r="Y413" s="51"/>
      <c r="Z413" s="51"/>
      <c r="AA413" s="86">
        <f t="shared" si="14"/>
        <v>0</v>
      </c>
      <c r="AB413" s="51"/>
      <c r="AC413" s="111" t="e">
        <f>INDEX(Tab_Def_Flows[[Flow_ID]:[CC_DM_source]],MATCH(Tab_Data_Flows[[#This Row],[Name(EN)]],Tab_Def_Flows[Name(EN)],0),16)</f>
        <v>#N/A</v>
      </c>
      <c r="AD413" s="112" t="e">
        <f>IF(J413="Yes",AA413*Tab_Data_Flows[[#This Row],[WC_'[%']]],"N.A.")</f>
        <v>#N/A</v>
      </c>
      <c r="AE413" s="61">
        <f>Tab_Data_Flows[[#This Row],[UoM_Flow_Py]]</f>
        <v>0</v>
      </c>
      <c r="AF413" s="111" t="e">
        <f>INDEX(Tab_Def_Flows[[Flow_ID]:[CC_DM_source]],MATCH(Tab_Data_Flows[[#This Row],[Name(EN)]],Tab_Def_Flows[Name(EN)],0),18)</f>
        <v>#N/A</v>
      </c>
      <c r="AG413" s="112" t="e">
        <f>IF(K413="Yes",AF413*Tab_Data_Flows[[#This Row],[Flow_Py]],"N.A.")</f>
        <v>#N/A</v>
      </c>
      <c r="AH413" s="61">
        <f>Tab_Data_Flows[[#This Row],[UoM_Flow_Py]]</f>
        <v>0</v>
      </c>
      <c r="AI413" s="111" t="e">
        <f>INDEX(Tab_Def_Flows[[Flow_ID]:[CC_DM_source]],MATCH(Tab_Data_Flows[[#This Row],[Name(EN)]],Tab_Def_Flows[Name(EN)],0),20)</f>
        <v>#N/A</v>
      </c>
      <c r="AJ413" s="109" t="e">
        <f>IF(L413="Yes",AI413*Tab_Data_Flows[[#This Row],[Flow_Py]]*Tab_Data_Flows[[#This Row],[DM_'[%']]],"N.A.")</f>
        <v>#N/A</v>
      </c>
      <c r="AK413" s="61">
        <f>Tab_Data_Flows[[#This Row],[UoM_Flow_Py]]</f>
        <v>0</v>
      </c>
    </row>
    <row r="414" spans="1:37" ht="15.75" thickBot="1" x14ac:dyDescent="0.3">
      <c r="A414" s="60">
        <f t="shared" si="12"/>
        <v>413</v>
      </c>
      <c r="B414" s="49" t="str">
        <f>_xlfn.XLOOKUP(C414,Tab_Def_Flows[Name(EN)],Tab_Def_Flows[Flow_ID],,0,)</f>
        <v>F_24_24</v>
      </c>
      <c r="C414" s="51"/>
      <c r="D414" s="49">
        <f>_xlfn.XLOOKUP(C414,Tab_Def_Flows[Name(EN)],Tab_Def_Flows[Type_Biomass],,0,)</f>
        <v>0</v>
      </c>
      <c r="E414" s="49">
        <f>_xlfn.XLOOKUP(C414,Tab_Def_Flows[Name(EN)],Tab_Def_Flows[Output_Process],,0,)</f>
        <v>0</v>
      </c>
      <c r="F414" s="49" t="str">
        <f>_xlfn.XLOOKUP(C414,Tab_Def_Flows[Name(EN)],Tab_Def_Flows[Process_ID_O],,0,)</f>
        <v>24__</v>
      </c>
      <c r="G414" s="49">
        <f>_xlfn.XLOOKUP(C414,Tab_Def_Flows[Name(EN)],Tab_Def_Flows[Input_Process],,0,)</f>
        <v>0</v>
      </c>
      <c r="H414" s="61" t="str">
        <f>_xlfn.XLOOKUP(C414,Tab_Def_Flows[Name(EN)],Tab_Def_Flows[Process_ID_I],,0,)</f>
        <v>24__</v>
      </c>
      <c r="I414" s="49">
        <f>_xlfn.XLOOKUP(C414,Tab_Def_Flows[Name(EN)],Tab_Def_Flows[Value_Source],,0,)</f>
        <v>0</v>
      </c>
      <c r="J414" s="61" t="str">
        <f>_xlfn.XLOOKUP(C414,Tab_Def_Flows[Name(EN)],Tab_Def_Flows[WC?],,0,)</f>
        <v>Yes</v>
      </c>
      <c r="K414" s="61" t="str">
        <f>_xlfn.XLOOKUP(C414,Tab_Def_Flows[Name(EN)],Tab_Def_Flows[DM?],,0,)</f>
        <v>Yes</v>
      </c>
      <c r="L414" s="61" t="str">
        <f>_xlfn.XLOOKUP(C414,Tab_Def_Flows[Name(EN)],Tab_Def_Flows[CC?],,0,)</f>
        <v>Yes</v>
      </c>
      <c r="M414" s="51"/>
      <c r="N414" s="51"/>
      <c r="O414" s="119"/>
      <c r="P414" s="51" t="s">
        <v>389</v>
      </c>
      <c r="Q414" s="51"/>
      <c r="R414" s="51"/>
      <c r="S414" s="51"/>
      <c r="T414" s="51"/>
      <c r="U414" s="51"/>
      <c r="V414" s="51"/>
      <c r="W414" s="51"/>
      <c r="X414" s="51" t="s">
        <v>71</v>
      </c>
      <c r="Y414" s="51"/>
      <c r="Z414" s="51"/>
      <c r="AA414" s="86">
        <f t="shared" si="14"/>
        <v>0</v>
      </c>
      <c r="AB414" s="51"/>
      <c r="AC414" s="111" t="e">
        <f>INDEX(Tab_Def_Flows[[Flow_ID]:[CC_DM_source]],MATCH(Tab_Data_Flows[[#This Row],[Name(EN)]],Tab_Def_Flows[Name(EN)],0),16)</f>
        <v>#N/A</v>
      </c>
      <c r="AD414" s="112" t="e">
        <f>IF(J414="Yes",AA414*Tab_Data_Flows[[#This Row],[WC_'[%']]],"N.A.")</f>
        <v>#N/A</v>
      </c>
      <c r="AE414" s="61">
        <f>Tab_Data_Flows[[#This Row],[UoM_Flow_Py]]</f>
        <v>0</v>
      </c>
      <c r="AF414" s="111" t="e">
        <f>INDEX(Tab_Def_Flows[[Flow_ID]:[CC_DM_source]],MATCH(Tab_Data_Flows[[#This Row],[Name(EN)]],Tab_Def_Flows[Name(EN)],0),18)</f>
        <v>#N/A</v>
      </c>
      <c r="AG414" s="112" t="e">
        <f>IF(K414="Yes",AF414*Tab_Data_Flows[[#This Row],[Flow_Py]],"N.A.")</f>
        <v>#N/A</v>
      </c>
      <c r="AH414" s="61">
        <f>Tab_Data_Flows[[#This Row],[UoM_Flow_Py]]</f>
        <v>0</v>
      </c>
      <c r="AI414" s="111" t="e">
        <f>INDEX(Tab_Def_Flows[[Flow_ID]:[CC_DM_source]],MATCH(Tab_Data_Flows[[#This Row],[Name(EN)]],Tab_Def_Flows[Name(EN)],0),20)</f>
        <v>#N/A</v>
      </c>
      <c r="AJ414" s="109" t="e">
        <f>IF(L414="Yes",AI414*Tab_Data_Flows[[#This Row],[Flow_Py]]*Tab_Data_Flows[[#This Row],[DM_'[%']]],"N.A.")</f>
        <v>#N/A</v>
      </c>
      <c r="AK414" s="61">
        <f>Tab_Data_Flows[[#This Row],[UoM_Flow_Py]]</f>
        <v>0</v>
      </c>
    </row>
    <row r="415" spans="1:37" ht="15.75" thickBot="1" x14ac:dyDescent="0.3">
      <c r="A415" s="60">
        <f t="shared" si="12"/>
        <v>414</v>
      </c>
      <c r="B415" s="49" t="str">
        <f>_xlfn.XLOOKUP(C415,Tab_Def_Flows[Name(EN)],Tab_Def_Flows[Flow_ID],,0,)</f>
        <v>F_24_24</v>
      </c>
      <c r="C415" s="51"/>
      <c r="D415" s="49">
        <f>_xlfn.XLOOKUP(C415,Tab_Def_Flows[Name(EN)],Tab_Def_Flows[Type_Biomass],,0,)</f>
        <v>0</v>
      </c>
      <c r="E415" s="49">
        <f>_xlfn.XLOOKUP(C415,Tab_Def_Flows[Name(EN)],Tab_Def_Flows[Output_Process],,0,)</f>
        <v>0</v>
      </c>
      <c r="F415" s="49" t="str">
        <f>_xlfn.XLOOKUP(C415,Tab_Def_Flows[Name(EN)],Tab_Def_Flows[Process_ID_O],,0,)</f>
        <v>24__</v>
      </c>
      <c r="G415" s="49">
        <f>_xlfn.XLOOKUP(C415,Tab_Def_Flows[Name(EN)],Tab_Def_Flows[Input_Process],,0,)</f>
        <v>0</v>
      </c>
      <c r="H415" s="61" t="str">
        <f>_xlfn.XLOOKUP(C415,Tab_Def_Flows[Name(EN)],Tab_Def_Flows[Process_ID_I],,0,)</f>
        <v>24__</v>
      </c>
      <c r="I415" s="49">
        <f>_xlfn.XLOOKUP(C415,Tab_Def_Flows[Name(EN)],Tab_Def_Flows[Value_Source],,0,)</f>
        <v>0</v>
      </c>
      <c r="J415" s="61" t="str">
        <f>_xlfn.XLOOKUP(C415,Tab_Def_Flows[Name(EN)],Tab_Def_Flows[WC?],,0,)</f>
        <v>Yes</v>
      </c>
      <c r="K415" s="61" t="str">
        <f>_xlfn.XLOOKUP(C415,Tab_Def_Flows[Name(EN)],Tab_Def_Flows[DM?],,0,)</f>
        <v>Yes</v>
      </c>
      <c r="L415" s="61" t="str">
        <f>_xlfn.XLOOKUP(C415,Tab_Def_Flows[Name(EN)],Tab_Def_Flows[CC?],,0,)</f>
        <v>Yes</v>
      </c>
      <c r="M415" s="51"/>
      <c r="N415" s="51"/>
      <c r="O415" s="119"/>
      <c r="P415" s="51" t="s">
        <v>389</v>
      </c>
      <c r="Q415" s="51"/>
      <c r="R415" s="51"/>
      <c r="S415" s="51"/>
      <c r="T415" s="51"/>
      <c r="U415" s="51"/>
      <c r="V415" s="51"/>
      <c r="W415" s="51"/>
      <c r="X415" s="51" t="s">
        <v>71</v>
      </c>
      <c r="Y415" s="51"/>
      <c r="Z415" s="51"/>
      <c r="AA415" s="86">
        <f t="shared" si="14"/>
        <v>0</v>
      </c>
      <c r="AB415" s="51"/>
      <c r="AC415" s="111" t="e">
        <f>INDEX(Tab_Def_Flows[[Flow_ID]:[CC_DM_source]],MATCH(Tab_Data_Flows[[#This Row],[Name(EN)]],Tab_Def_Flows[Name(EN)],0),16)</f>
        <v>#N/A</v>
      </c>
      <c r="AD415" s="112" t="e">
        <f>IF(J415="Yes",AA415*Tab_Data_Flows[[#This Row],[WC_'[%']]],"N.A.")</f>
        <v>#N/A</v>
      </c>
      <c r="AE415" s="61">
        <f>Tab_Data_Flows[[#This Row],[UoM_Flow_Py]]</f>
        <v>0</v>
      </c>
      <c r="AF415" s="111" t="e">
        <f>INDEX(Tab_Def_Flows[[Flow_ID]:[CC_DM_source]],MATCH(Tab_Data_Flows[[#This Row],[Name(EN)]],Tab_Def_Flows[Name(EN)],0),18)</f>
        <v>#N/A</v>
      </c>
      <c r="AG415" s="112" t="e">
        <f>IF(K415="Yes",AF415*Tab_Data_Flows[[#This Row],[Flow_Py]],"N.A.")</f>
        <v>#N/A</v>
      </c>
      <c r="AH415" s="61">
        <f>Tab_Data_Flows[[#This Row],[UoM_Flow_Py]]</f>
        <v>0</v>
      </c>
      <c r="AI415" s="111" t="e">
        <f>INDEX(Tab_Def_Flows[[Flow_ID]:[CC_DM_source]],MATCH(Tab_Data_Flows[[#This Row],[Name(EN)]],Tab_Def_Flows[Name(EN)],0),20)</f>
        <v>#N/A</v>
      </c>
      <c r="AJ415" s="109" t="e">
        <f>IF(L415="Yes",AI415*Tab_Data_Flows[[#This Row],[Flow_Py]]*Tab_Data_Flows[[#This Row],[DM_'[%']]],"N.A.")</f>
        <v>#N/A</v>
      </c>
      <c r="AK415" s="61">
        <f>Tab_Data_Flows[[#This Row],[UoM_Flow_Py]]</f>
        <v>0</v>
      </c>
    </row>
    <row r="416" spans="1:37" ht="15.75" thickBot="1" x14ac:dyDescent="0.3">
      <c r="A416" s="60">
        <f t="shared" si="12"/>
        <v>415</v>
      </c>
      <c r="B416" s="49" t="str">
        <f>_xlfn.XLOOKUP(C416,Tab_Def_Flows[Name(EN)],Tab_Def_Flows[Flow_ID],,0,)</f>
        <v>F_24_24</v>
      </c>
      <c r="C416" s="51"/>
      <c r="D416" s="49">
        <f>_xlfn.XLOOKUP(C416,Tab_Def_Flows[Name(EN)],Tab_Def_Flows[Type_Biomass],,0,)</f>
        <v>0</v>
      </c>
      <c r="E416" s="49">
        <f>_xlfn.XLOOKUP(C416,Tab_Def_Flows[Name(EN)],Tab_Def_Flows[Output_Process],,0,)</f>
        <v>0</v>
      </c>
      <c r="F416" s="49" t="str">
        <f>_xlfn.XLOOKUP(C416,Tab_Def_Flows[Name(EN)],Tab_Def_Flows[Process_ID_O],,0,)</f>
        <v>24__</v>
      </c>
      <c r="G416" s="49">
        <f>_xlfn.XLOOKUP(C416,Tab_Def_Flows[Name(EN)],Tab_Def_Flows[Input_Process],,0,)</f>
        <v>0</v>
      </c>
      <c r="H416" s="61" t="str">
        <f>_xlfn.XLOOKUP(C416,Tab_Def_Flows[Name(EN)],Tab_Def_Flows[Process_ID_I],,0,)</f>
        <v>24__</v>
      </c>
      <c r="I416" s="49">
        <f>_xlfn.XLOOKUP(C416,Tab_Def_Flows[Name(EN)],Tab_Def_Flows[Value_Source],,0,)</f>
        <v>0</v>
      </c>
      <c r="J416" s="61" t="str">
        <f>_xlfn.XLOOKUP(C416,Tab_Def_Flows[Name(EN)],Tab_Def_Flows[WC?],,0,)</f>
        <v>Yes</v>
      </c>
      <c r="K416" s="61" t="str">
        <f>_xlfn.XLOOKUP(C416,Tab_Def_Flows[Name(EN)],Tab_Def_Flows[DM?],,0,)</f>
        <v>Yes</v>
      </c>
      <c r="L416" s="61" t="str">
        <f>_xlfn.XLOOKUP(C416,Tab_Def_Flows[Name(EN)],Tab_Def_Flows[CC?],,0,)</f>
        <v>Yes</v>
      </c>
      <c r="M416" s="51"/>
      <c r="N416" s="51"/>
      <c r="O416" s="119"/>
      <c r="P416" s="51" t="s">
        <v>389</v>
      </c>
      <c r="Q416" s="51"/>
      <c r="R416" s="51"/>
      <c r="S416" s="51"/>
      <c r="T416" s="51"/>
      <c r="U416" s="51"/>
      <c r="V416" s="51"/>
      <c r="W416" s="51"/>
      <c r="X416" s="51" t="s">
        <v>71</v>
      </c>
      <c r="Y416" s="51"/>
      <c r="Z416" s="51"/>
      <c r="AA416" s="86">
        <f t="shared" si="14"/>
        <v>0</v>
      </c>
      <c r="AB416" s="51"/>
      <c r="AC416" s="111" t="e">
        <f>INDEX(Tab_Def_Flows[[Flow_ID]:[CC_DM_source]],MATCH(Tab_Data_Flows[[#This Row],[Name(EN)]],Tab_Def_Flows[Name(EN)],0),16)</f>
        <v>#N/A</v>
      </c>
      <c r="AD416" s="112" t="e">
        <f>IF(J416="Yes",AA416*Tab_Data_Flows[[#This Row],[WC_'[%']]],"N.A.")</f>
        <v>#N/A</v>
      </c>
      <c r="AE416" s="61">
        <f>Tab_Data_Flows[[#This Row],[UoM_Flow_Py]]</f>
        <v>0</v>
      </c>
      <c r="AF416" s="111" t="e">
        <f>INDEX(Tab_Def_Flows[[Flow_ID]:[CC_DM_source]],MATCH(Tab_Data_Flows[[#This Row],[Name(EN)]],Tab_Def_Flows[Name(EN)],0),18)</f>
        <v>#N/A</v>
      </c>
      <c r="AG416" s="112" t="e">
        <f>IF(K416="Yes",AF416*Tab_Data_Flows[[#This Row],[Flow_Py]],"N.A.")</f>
        <v>#N/A</v>
      </c>
      <c r="AH416" s="61">
        <f>Tab_Data_Flows[[#This Row],[UoM_Flow_Py]]</f>
        <v>0</v>
      </c>
      <c r="AI416" s="111" t="e">
        <f>INDEX(Tab_Def_Flows[[Flow_ID]:[CC_DM_source]],MATCH(Tab_Data_Flows[[#This Row],[Name(EN)]],Tab_Def_Flows[Name(EN)],0),20)</f>
        <v>#N/A</v>
      </c>
      <c r="AJ416" s="109" t="e">
        <f>IF(L416="Yes",AI416*Tab_Data_Flows[[#This Row],[Flow_Py]]*Tab_Data_Flows[[#This Row],[DM_'[%']]],"N.A.")</f>
        <v>#N/A</v>
      </c>
      <c r="AK416" s="61">
        <f>Tab_Data_Flows[[#This Row],[UoM_Flow_Py]]</f>
        <v>0</v>
      </c>
    </row>
    <row r="417" spans="1:37" ht="15.75" thickBot="1" x14ac:dyDescent="0.3">
      <c r="A417" s="60">
        <f t="shared" si="12"/>
        <v>416</v>
      </c>
      <c r="B417" s="49" t="str">
        <f>_xlfn.XLOOKUP(C417,Tab_Def_Flows[Name(EN)],Tab_Def_Flows[Flow_ID],,0,)</f>
        <v>F_24_24</v>
      </c>
      <c r="C417" s="51"/>
      <c r="D417" s="49">
        <f>_xlfn.XLOOKUP(C417,Tab_Def_Flows[Name(EN)],Tab_Def_Flows[Type_Biomass],,0,)</f>
        <v>0</v>
      </c>
      <c r="E417" s="49">
        <f>_xlfn.XLOOKUP(C417,Tab_Def_Flows[Name(EN)],Tab_Def_Flows[Output_Process],,0,)</f>
        <v>0</v>
      </c>
      <c r="F417" s="49" t="str">
        <f>_xlfn.XLOOKUP(C417,Tab_Def_Flows[Name(EN)],Tab_Def_Flows[Process_ID_O],,0,)</f>
        <v>24__</v>
      </c>
      <c r="G417" s="49">
        <f>_xlfn.XLOOKUP(C417,Tab_Def_Flows[Name(EN)],Tab_Def_Flows[Input_Process],,0,)</f>
        <v>0</v>
      </c>
      <c r="H417" s="61" t="str">
        <f>_xlfn.XLOOKUP(C417,Tab_Def_Flows[Name(EN)],Tab_Def_Flows[Process_ID_I],,0,)</f>
        <v>24__</v>
      </c>
      <c r="I417" s="49">
        <f>_xlfn.XLOOKUP(C417,Tab_Def_Flows[Name(EN)],Tab_Def_Flows[Value_Source],,0,)</f>
        <v>0</v>
      </c>
      <c r="J417" s="61" t="str">
        <f>_xlfn.XLOOKUP(C417,Tab_Def_Flows[Name(EN)],Tab_Def_Flows[WC?],,0,)</f>
        <v>Yes</v>
      </c>
      <c r="K417" s="61" t="str">
        <f>_xlfn.XLOOKUP(C417,Tab_Def_Flows[Name(EN)],Tab_Def_Flows[DM?],,0,)</f>
        <v>Yes</v>
      </c>
      <c r="L417" s="61" t="str">
        <f>_xlfn.XLOOKUP(C417,Tab_Def_Flows[Name(EN)],Tab_Def_Flows[CC?],,0,)</f>
        <v>Yes</v>
      </c>
      <c r="M417" s="51"/>
      <c r="N417" s="51"/>
      <c r="O417" s="119"/>
      <c r="P417" s="51" t="s">
        <v>389</v>
      </c>
      <c r="Q417" s="51"/>
      <c r="R417" s="51"/>
      <c r="S417" s="51"/>
      <c r="T417" s="51"/>
      <c r="U417" s="51"/>
      <c r="V417" s="51"/>
      <c r="W417" s="51"/>
      <c r="X417" s="51" t="s">
        <v>71</v>
      </c>
      <c r="Y417" s="51"/>
      <c r="Z417" s="51"/>
      <c r="AA417" s="86">
        <f t="shared" si="14"/>
        <v>0</v>
      </c>
      <c r="AB417" s="51"/>
      <c r="AC417" s="111" t="e">
        <f>INDEX(Tab_Def_Flows[[Flow_ID]:[CC_DM_source]],MATCH(Tab_Data_Flows[[#This Row],[Name(EN)]],Tab_Def_Flows[Name(EN)],0),16)</f>
        <v>#N/A</v>
      </c>
      <c r="AD417" s="112" t="e">
        <f>IF(J417="Yes",AA417*Tab_Data_Flows[[#This Row],[WC_'[%']]],"N.A.")</f>
        <v>#N/A</v>
      </c>
      <c r="AE417" s="61">
        <f>Tab_Data_Flows[[#This Row],[UoM_Flow_Py]]</f>
        <v>0</v>
      </c>
      <c r="AF417" s="111" t="e">
        <f>INDEX(Tab_Def_Flows[[Flow_ID]:[CC_DM_source]],MATCH(Tab_Data_Flows[[#This Row],[Name(EN)]],Tab_Def_Flows[Name(EN)],0),18)</f>
        <v>#N/A</v>
      </c>
      <c r="AG417" s="112" t="e">
        <f>IF(K417="Yes",AF417*Tab_Data_Flows[[#This Row],[Flow_Py]],"N.A.")</f>
        <v>#N/A</v>
      </c>
      <c r="AH417" s="61">
        <f>Tab_Data_Flows[[#This Row],[UoM_Flow_Py]]</f>
        <v>0</v>
      </c>
      <c r="AI417" s="111" t="e">
        <f>INDEX(Tab_Def_Flows[[Flow_ID]:[CC_DM_source]],MATCH(Tab_Data_Flows[[#This Row],[Name(EN)]],Tab_Def_Flows[Name(EN)],0),20)</f>
        <v>#N/A</v>
      </c>
      <c r="AJ417" s="109" t="e">
        <f>IF(L417="Yes",AI417*Tab_Data_Flows[[#This Row],[Flow_Py]]*Tab_Data_Flows[[#This Row],[DM_'[%']]],"N.A.")</f>
        <v>#N/A</v>
      </c>
      <c r="AK417" s="61">
        <f>Tab_Data_Flows[[#This Row],[UoM_Flow_Py]]</f>
        <v>0</v>
      </c>
    </row>
    <row r="418" spans="1:37" ht="15.75" thickBot="1" x14ac:dyDescent="0.3">
      <c r="A418" s="60">
        <f t="shared" ref="A418:A465" si="15">ROW()-1</f>
        <v>417</v>
      </c>
      <c r="B418" s="49" t="str">
        <f>_xlfn.XLOOKUP(C418,Tab_Def_Flows[Name(EN)],Tab_Def_Flows[Flow_ID],,0,)</f>
        <v>F_24_24</v>
      </c>
      <c r="C418" s="51"/>
      <c r="D418" s="49">
        <f>_xlfn.XLOOKUP(C418,Tab_Def_Flows[Name(EN)],Tab_Def_Flows[Type_Biomass],,0,)</f>
        <v>0</v>
      </c>
      <c r="E418" s="49">
        <f>_xlfn.XLOOKUP(C418,Tab_Def_Flows[Name(EN)],Tab_Def_Flows[Output_Process],,0,)</f>
        <v>0</v>
      </c>
      <c r="F418" s="49" t="str">
        <f>_xlfn.XLOOKUP(C418,Tab_Def_Flows[Name(EN)],Tab_Def_Flows[Process_ID_O],,0,)</f>
        <v>24__</v>
      </c>
      <c r="G418" s="49">
        <f>_xlfn.XLOOKUP(C418,Tab_Def_Flows[Name(EN)],Tab_Def_Flows[Input_Process],,0,)</f>
        <v>0</v>
      </c>
      <c r="H418" s="61" t="str">
        <f>_xlfn.XLOOKUP(C418,Tab_Def_Flows[Name(EN)],Tab_Def_Flows[Process_ID_I],,0,)</f>
        <v>24__</v>
      </c>
      <c r="I418" s="49">
        <f>_xlfn.XLOOKUP(C418,Tab_Def_Flows[Name(EN)],Tab_Def_Flows[Value_Source],,0,)</f>
        <v>0</v>
      </c>
      <c r="J418" s="61" t="str">
        <f>_xlfn.XLOOKUP(C418,Tab_Def_Flows[Name(EN)],Tab_Def_Flows[WC?],,0,)</f>
        <v>Yes</v>
      </c>
      <c r="K418" s="61" t="str">
        <f>_xlfn.XLOOKUP(C418,Tab_Def_Flows[Name(EN)],Tab_Def_Flows[DM?],,0,)</f>
        <v>Yes</v>
      </c>
      <c r="L418" s="61" t="str">
        <f>_xlfn.XLOOKUP(C418,Tab_Def_Flows[Name(EN)],Tab_Def_Flows[CC?],,0,)</f>
        <v>Yes</v>
      </c>
      <c r="M418" s="51"/>
      <c r="N418" s="51"/>
      <c r="O418" s="119"/>
      <c r="P418" s="51" t="s">
        <v>389</v>
      </c>
      <c r="Q418" s="51"/>
      <c r="R418" s="51"/>
      <c r="S418" s="51"/>
      <c r="T418" s="51"/>
      <c r="U418" s="51"/>
      <c r="V418" s="51"/>
      <c r="W418" s="51"/>
      <c r="X418" s="51" t="s">
        <v>71</v>
      </c>
      <c r="Y418" s="51"/>
      <c r="Z418" s="51"/>
      <c r="AA418" s="86">
        <f t="shared" si="14"/>
        <v>0</v>
      </c>
      <c r="AB418" s="51"/>
      <c r="AC418" s="111" t="e">
        <f>INDEX(Tab_Def_Flows[[Flow_ID]:[CC_DM_source]],MATCH(Tab_Data_Flows[[#This Row],[Name(EN)]],Tab_Def_Flows[Name(EN)],0),16)</f>
        <v>#N/A</v>
      </c>
      <c r="AD418" s="112" t="e">
        <f>IF(J418="Yes",AA418*Tab_Data_Flows[[#This Row],[WC_'[%']]],"N.A.")</f>
        <v>#N/A</v>
      </c>
      <c r="AE418" s="61">
        <f>Tab_Data_Flows[[#This Row],[UoM_Flow_Py]]</f>
        <v>0</v>
      </c>
      <c r="AF418" s="111" t="e">
        <f>INDEX(Tab_Def_Flows[[Flow_ID]:[CC_DM_source]],MATCH(Tab_Data_Flows[[#This Row],[Name(EN)]],Tab_Def_Flows[Name(EN)],0),18)</f>
        <v>#N/A</v>
      </c>
      <c r="AG418" s="112" t="e">
        <f>IF(K418="Yes",AF418*Tab_Data_Flows[[#This Row],[Flow_Py]],"N.A.")</f>
        <v>#N/A</v>
      </c>
      <c r="AH418" s="61">
        <f>Tab_Data_Flows[[#This Row],[UoM_Flow_Py]]</f>
        <v>0</v>
      </c>
      <c r="AI418" s="111" t="e">
        <f>INDEX(Tab_Def_Flows[[Flow_ID]:[CC_DM_source]],MATCH(Tab_Data_Flows[[#This Row],[Name(EN)]],Tab_Def_Flows[Name(EN)],0),20)</f>
        <v>#N/A</v>
      </c>
      <c r="AJ418" s="109" t="e">
        <f>IF(L418="Yes",AI418*Tab_Data_Flows[[#This Row],[Flow_Py]]*Tab_Data_Flows[[#This Row],[DM_'[%']]],"N.A.")</f>
        <v>#N/A</v>
      </c>
      <c r="AK418" s="61">
        <f>Tab_Data_Flows[[#This Row],[UoM_Flow_Py]]</f>
        <v>0</v>
      </c>
    </row>
    <row r="419" spans="1:37" ht="15.75" thickBot="1" x14ac:dyDescent="0.3">
      <c r="A419" s="60">
        <f t="shared" si="15"/>
        <v>418</v>
      </c>
      <c r="B419" s="49" t="str">
        <f>_xlfn.XLOOKUP(C419,Tab_Def_Flows[Name(EN)],Tab_Def_Flows[Flow_ID],,0,)</f>
        <v>F_24_24</v>
      </c>
      <c r="C419" s="51"/>
      <c r="D419" s="49">
        <f>_xlfn.XLOOKUP(C419,Tab_Def_Flows[Name(EN)],Tab_Def_Flows[Type_Biomass],,0,)</f>
        <v>0</v>
      </c>
      <c r="E419" s="49">
        <f>_xlfn.XLOOKUP(C419,Tab_Def_Flows[Name(EN)],Tab_Def_Flows[Output_Process],,0,)</f>
        <v>0</v>
      </c>
      <c r="F419" s="49" t="str">
        <f>_xlfn.XLOOKUP(C419,Tab_Def_Flows[Name(EN)],Tab_Def_Flows[Process_ID_O],,0,)</f>
        <v>24__</v>
      </c>
      <c r="G419" s="49">
        <f>_xlfn.XLOOKUP(C419,Tab_Def_Flows[Name(EN)],Tab_Def_Flows[Input_Process],,0,)</f>
        <v>0</v>
      </c>
      <c r="H419" s="61" t="str">
        <f>_xlfn.XLOOKUP(C419,Tab_Def_Flows[Name(EN)],Tab_Def_Flows[Process_ID_I],,0,)</f>
        <v>24__</v>
      </c>
      <c r="I419" s="49">
        <f>_xlfn.XLOOKUP(C419,Tab_Def_Flows[Name(EN)],Tab_Def_Flows[Value_Source],,0,)</f>
        <v>0</v>
      </c>
      <c r="J419" s="61" t="str">
        <f>_xlfn.XLOOKUP(C419,Tab_Def_Flows[Name(EN)],Tab_Def_Flows[WC?],,0,)</f>
        <v>Yes</v>
      </c>
      <c r="K419" s="61" t="str">
        <f>_xlfn.XLOOKUP(C419,Tab_Def_Flows[Name(EN)],Tab_Def_Flows[DM?],,0,)</f>
        <v>Yes</v>
      </c>
      <c r="L419" s="61" t="str">
        <f>_xlfn.XLOOKUP(C419,Tab_Def_Flows[Name(EN)],Tab_Def_Flows[CC?],,0,)</f>
        <v>Yes</v>
      </c>
      <c r="M419" s="51"/>
      <c r="N419" s="51"/>
      <c r="O419" s="119"/>
      <c r="P419" s="51" t="s">
        <v>389</v>
      </c>
      <c r="Q419" s="51"/>
      <c r="R419" s="51"/>
      <c r="S419" s="51"/>
      <c r="T419" s="51"/>
      <c r="U419" s="51"/>
      <c r="V419" s="51"/>
      <c r="W419" s="51"/>
      <c r="X419" s="51" t="s">
        <v>71</v>
      </c>
      <c r="Y419" s="51"/>
      <c r="Z419" s="51"/>
      <c r="AA419" s="86">
        <f t="shared" si="14"/>
        <v>0</v>
      </c>
      <c r="AB419" s="51"/>
      <c r="AC419" s="111" t="e">
        <f>INDEX(Tab_Def_Flows[[Flow_ID]:[CC_DM_source]],MATCH(Tab_Data_Flows[[#This Row],[Name(EN)]],Tab_Def_Flows[Name(EN)],0),16)</f>
        <v>#N/A</v>
      </c>
      <c r="AD419" s="112" t="e">
        <f>IF(J419="Yes",AA419*Tab_Data_Flows[[#This Row],[WC_'[%']]],"N.A.")</f>
        <v>#N/A</v>
      </c>
      <c r="AE419" s="61">
        <f>Tab_Data_Flows[[#This Row],[UoM_Flow_Py]]</f>
        <v>0</v>
      </c>
      <c r="AF419" s="111" t="e">
        <f>INDEX(Tab_Def_Flows[[Flow_ID]:[CC_DM_source]],MATCH(Tab_Data_Flows[[#This Row],[Name(EN)]],Tab_Def_Flows[Name(EN)],0),18)</f>
        <v>#N/A</v>
      </c>
      <c r="AG419" s="112" t="e">
        <f>IF(K419="Yes",AF419*Tab_Data_Flows[[#This Row],[Flow_Py]],"N.A.")</f>
        <v>#N/A</v>
      </c>
      <c r="AH419" s="61">
        <f>Tab_Data_Flows[[#This Row],[UoM_Flow_Py]]</f>
        <v>0</v>
      </c>
      <c r="AI419" s="111" t="e">
        <f>INDEX(Tab_Def_Flows[[Flow_ID]:[CC_DM_source]],MATCH(Tab_Data_Flows[[#This Row],[Name(EN)]],Tab_Def_Flows[Name(EN)],0),20)</f>
        <v>#N/A</v>
      </c>
      <c r="AJ419" s="109" t="e">
        <f>IF(L419="Yes",AI419*Tab_Data_Flows[[#This Row],[Flow_Py]]*Tab_Data_Flows[[#This Row],[DM_'[%']]],"N.A.")</f>
        <v>#N/A</v>
      </c>
      <c r="AK419" s="61">
        <f>Tab_Data_Flows[[#This Row],[UoM_Flow_Py]]</f>
        <v>0</v>
      </c>
    </row>
    <row r="420" spans="1:37" ht="15.75" thickBot="1" x14ac:dyDescent="0.3">
      <c r="A420" s="60">
        <f t="shared" si="15"/>
        <v>419</v>
      </c>
      <c r="B420" s="49" t="str">
        <f>_xlfn.XLOOKUP(C420,Tab_Def_Flows[Name(EN)],Tab_Def_Flows[Flow_ID],,0,)</f>
        <v>F_24_24</v>
      </c>
      <c r="C420" s="51"/>
      <c r="D420" s="49">
        <f>_xlfn.XLOOKUP(C420,Tab_Def_Flows[Name(EN)],Tab_Def_Flows[Type_Biomass],,0,)</f>
        <v>0</v>
      </c>
      <c r="E420" s="49">
        <f>_xlfn.XLOOKUP(C420,Tab_Def_Flows[Name(EN)],Tab_Def_Flows[Output_Process],,0,)</f>
        <v>0</v>
      </c>
      <c r="F420" s="49" t="str">
        <f>_xlfn.XLOOKUP(C420,Tab_Def_Flows[Name(EN)],Tab_Def_Flows[Process_ID_O],,0,)</f>
        <v>24__</v>
      </c>
      <c r="G420" s="49">
        <f>_xlfn.XLOOKUP(C420,Tab_Def_Flows[Name(EN)],Tab_Def_Flows[Input_Process],,0,)</f>
        <v>0</v>
      </c>
      <c r="H420" s="61" t="str">
        <f>_xlfn.XLOOKUP(C420,Tab_Def_Flows[Name(EN)],Tab_Def_Flows[Process_ID_I],,0,)</f>
        <v>24__</v>
      </c>
      <c r="I420" s="49">
        <f>_xlfn.XLOOKUP(C420,Tab_Def_Flows[Name(EN)],Tab_Def_Flows[Value_Source],,0,)</f>
        <v>0</v>
      </c>
      <c r="J420" s="61" t="str">
        <f>_xlfn.XLOOKUP(C420,Tab_Def_Flows[Name(EN)],Tab_Def_Flows[WC?],,0,)</f>
        <v>Yes</v>
      </c>
      <c r="K420" s="61" t="str">
        <f>_xlfn.XLOOKUP(C420,Tab_Def_Flows[Name(EN)],Tab_Def_Flows[DM?],,0,)</f>
        <v>Yes</v>
      </c>
      <c r="L420" s="61" t="str">
        <f>_xlfn.XLOOKUP(C420,Tab_Def_Flows[Name(EN)],Tab_Def_Flows[CC?],,0,)</f>
        <v>Yes</v>
      </c>
      <c r="M420" s="51"/>
      <c r="N420" s="51"/>
      <c r="O420" s="119"/>
      <c r="P420" s="51" t="s">
        <v>389</v>
      </c>
      <c r="Q420" s="51"/>
      <c r="R420" s="51"/>
      <c r="S420" s="51"/>
      <c r="T420" s="51"/>
      <c r="U420" s="51"/>
      <c r="V420" s="51"/>
      <c r="W420" s="51"/>
      <c r="X420" s="51" t="s">
        <v>71</v>
      </c>
      <c r="Y420" s="51"/>
      <c r="Z420" s="51"/>
      <c r="AA420" s="86">
        <f t="shared" si="14"/>
        <v>0</v>
      </c>
      <c r="AB420" s="51"/>
      <c r="AC420" s="111" t="e">
        <f>INDEX(Tab_Def_Flows[[Flow_ID]:[CC_DM_source]],MATCH(Tab_Data_Flows[[#This Row],[Name(EN)]],Tab_Def_Flows[Name(EN)],0),16)</f>
        <v>#N/A</v>
      </c>
      <c r="AD420" s="112" t="e">
        <f>IF(J420="Yes",AA420*Tab_Data_Flows[[#This Row],[WC_'[%']]],"N.A.")</f>
        <v>#N/A</v>
      </c>
      <c r="AE420" s="61">
        <f>Tab_Data_Flows[[#This Row],[UoM_Flow_Py]]</f>
        <v>0</v>
      </c>
      <c r="AF420" s="111" t="e">
        <f>INDEX(Tab_Def_Flows[[Flow_ID]:[CC_DM_source]],MATCH(Tab_Data_Flows[[#This Row],[Name(EN)]],Tab_Def_Flows[Name(EN)],0),18)</f>
        <v>#N/A</v>
      </c>
      <c r="AG420" s="112" t="e">
        <f>IF(K420="Yes",AF420*Tab_Data_Flows[[#This Row],[Flow_Py]],"N.A.")</f>
        <v>#N/A</v>
      </c>
      <c r="AH420" s="61">
        <f>Tab_Data_Flows[[#This Row],[UoM_Flow_Py]]</f>
        <v>0</v>
      </c>
      <c r="AI420" s="111" t="e">
        <f>INDEX(Tab_Def_Flows[[Flow_ID]:[CC_DM_source]],MATCH(Tab_Data_Flows[[#This Row],[Name(EN)]],Tab_Def_Flows[Name(EN)],0),20)</f>
        <v>#N/A</v>
      </c>
      <c r="AJ420" s="109" t="e">
        <f>IF(L420="Yes",AI420*Tab_Data_Flows[[#This Row],[Flow_Py]]*Tab_Data_Flows[[#This Row],[DM_'[%']]],"N.A.")</f>
        <v>#N/A</v>
      </c>
      <c r="AK420" s="61">
        <f>Tab_Data_Flows[[#This Row],[UoM_Flow_Py]]</f>
        <v>0</v>
      </c>
    </row>
    <row r="421" spans="1:37" ht="15.75" thickBot="1" x14ac:dyDescent="0.3">
      <c r="A421" s="60">
        <f t="shared" si="15"/>
        <v>420</v>
      </c>
      <c r="B421" s="49" t="str">
        <f>_xlfn.XLOOKUP(C421,Tab_Def_Flows[Name(EN)],Tab_Def_Flows[Flow_ID],,0,)</f>
        <v>F_24_24</v>
      </c>
      <c r="C421" s="51"/>
      <c r="D421" s="49">
        <f>_xlfn.XLOOKUP(C421,Tab_Def_Flows[Name(EN)],Tab_Def_Flows[Type_Biomass],,0,)</f>
        <v>0</v>
      </c>
      <c r="E421" s="49">
        <f>_xlfn.XLOOKUP(C421,Tab_Def_Flows[Name(EN)],Tab_Def_Flows[Output_Process],,0,)</f>
        <v>0</v>
      </c>
      <c r="F421" s="49" t="str">
        <f>_xlfn.XLOOKUP(C421,Tab_Def_Flows[Name(EN)],Tab_Def_Flows[Process_ID_O],,0,)</f>
        <v>24__</v>
      </c>
      <c r="G421" s="49">
        <f>_xlfn.XLOOKUP(C421,Tab_Def_Flows[Name(EN)],Tab_Def_Flows[Input_Process],,0,)</f>
        <v>0</v>
      </c>
      <c r="H421" s="61" t="str">
        <f>_xlfn.XLOOKUP(C421,Tab_Def_Flows[Name(EN)],Tab_Def_Flows[Process_ID_I],,0,)</f>
        <v>24__</v>
      </c>
      <c r="I421" s="49">
        <f>_xlfn.XLOOKUP(C421,Tab_Def_Flows[Name(EN)],Tab_Def_Flows[Value_Source],,0,)</f>
        <v>0</v>
      </c>
      <c r="J421" s="61" t="str">
        <f>_xlfn.XLOOKUP(C421,Tab_Def_Flows[Name(EN)],Tab_Def_Flows[WC?],,0,)</f>
        <v>Yes</v>
      </c>
      <c r="K421" s="61" t="str">
        <f>_xlfn.XLOOKUP(C421,Tab_Def_Flows[Name(EN)],Tab_Def_Flows[DM?],,0,)</f>
        <v>Yes</v>
      </c>
      <c r="L421" s="61" t="str">
        <f>_xlfn.XLOOKUP(C421,Tab_Def_Flows[Name(EN)],Tab_Def_Flows[CC?],,0,)</f>
        <v>Yes</v>
      </c>
      <c r="M421" s="51"/>
      <c r="N421" s="51"/>
      <c r="O421" s="119"/>
      <c r="P421" s="51" t="s">
        <v>389</v>
      </c>
      <c r="Q421" s="51"/>
      <c r="R421" s="51"/>
      <c r="S421" s="51"/>
      <c r="T421" s="51"/>
      <c r="U421" s="51"/>
      <c r="V421" s="51"/>
      <c r="W421" s="51"/>
      <c r="X421" s="51" t="s">
        <v>71</v>
      </c>
      <c r="Y421" s="51"/>
      <c r="Z421" s="51"/>
      <c r="AA421" s="86">
        <f t="shared" si="14"/>
        <v>0</v>
      </c>
      <c r="AB421" s="51"/>
      <c r="AC421" s="111" t="e">
        <f>INDEX(Tab_Def_Flows[[Flow_ID]:[CC_DM_source]],MATCH(Tab_Data_Flows[[#This Row],[Name(EN)]],Tab_Def_Flows[Name(EN)],0),16)</f>
        <v>#N/A</v>
      </c>
      <c r="AD421" s="112" t="e">
        <f>IF(J421="Yes",AA421*Tab_Data_Flows[[#This Row],[WC_'[%']]],"N.A.")</f>
        <v>#N/A</v>
      </c>
      <c r="AE421" s="61">
        <f>Tab_Data_Flows[[#This Row],[UoM_Flow_Py]]</f>
        <v>0</v>
      </c>
      <c r="AF421" s="111" t="e">
        <f>INDEX(Tab_Def_Flows[[Flow_ID]:[CC_DM_source]],MATCH(Tab_Data_Flows[[#This Row],[Name(EN)]],Tab_Def_Flows[Name(EN)],0),18)</f>
        <v>#N/A</v>
      </c>
      <c r="AG421" s="112" t="e">
        <f>IF(K421="Yes",AF421*Tab_Data_Flows[[#This Row],[Flow_Py]],"N.A.")</f>
        <v>#N/A</v>
      </c>
      <c r="AH421" s="61">
        <f>Tab_Data_Flows[[#This Row],[UoM_Flow_Py]]</f>
        <v>0</v>
      </c>
      <c r="AI421" s="111" t="e">
        <f>INDEX(Tab_Def_Flows[[Flow_ID]:[CC_DM_source]],MATCH(Tab_Data_Flows[[#This Row],[Name(EN)]],Tab_Def_Flows[Name(EN)],0),20)</f>
        <v>#N/A</v>
      </c>
      <c r="AJ421" s="109" t="e">
        <f>IF(L421="Yes",AI421*Tab_Data_Flows[[#This Row],[Flow_Py]]*Tab_Data_Flows[[#This Row],[DM_'[%']]],"N.A.")</f>
        <v>#N/A</v>
      </c>
      <c r="AK421" s="61">
        <f>Tab_Data_Flows[[#This Row],[UoM_Flow_Py]]</f>
        <v>0</v>
      </c>
    </row>
    <row r="422" spans="1:37" ht="15.75" thickBot="1" x14ac:dyDescent="0.3">
      <c r="A422" s="60">
        <f t="shared" si="15"/>
        <v>421</v>
      </c>
      <c r="B422" s="49" t="str">
        <f>_xlfn.XLOOKUP(C422,Tab_Def_Flows[Name(EN)],Tab_Def_Flows[Flow_ID],,0,)</f>
        <v>F_24_24</v>
      </c>
      <c r="C422" s="51"/>
      <c r="D422" s="49">
        <f>_xlfn.XLOOKUP(C422,Tab_Def_Flows[Name(EN)],Tab_Def_Flows[Type_Biomass],,0,)</f>
        <v>0</v>
      </c>
      <c r="E422" s="49">
        <f>_xlfn.XLOOKUP(C422,Tab_Def_Flows[Name(EN)],Tab_Def_Flows[Output_Process],,0,)</f>
        <v>0</v>
      </c>
      <c r="F422" s="49" t="str">
        <f>_xlfn.XLOOKUP(C422,Tab_Def_Flows[Name(EN)],Tab_Def_Flows[Process_ID_O],,0,)</f>
        <v>24__</v>
      </c>
      <c r="G422" s="49">
        <f>_xlfn.XLOOKUP(C422,Tab_Def_Flows[Name(EN)],Tab_Def_Flows[Input_Process],,0,)</f>
        <v>0</v>
      </c>
      <c r="H422" s="61" t="str">
        <f>_xlfn.XLOOKUP(C422,Tab_Def_Flows[Name(EN)],Tab_Def_Flows[Process_ID_I],,0,)</f>
        <v>24__</v>
      </c>
      <c r="I422" s="49">
        <f>_xlfn.XLOOKUP(C422,Tab_Def_Flows[Name(EN)],Tab_Def_Flows[Value_Source],,0,)</f>
        <v>0</v>
      </c>
      <c r="J422" s="61" t="str">
        <f>_xlfn.XLOOKUP(C422,Tab_Def_Flows[Name(EN)],Tab_Def_Flows[WC?],,0,)</f>
        <v>Yes</v>
      </c>
      <c r="K422" s="61" t="str">
        <f>_xlfn.XLOOKUP(C422,Tab_Def_Flows[Name(EN)],Tab_Def_Flows[DM?],,0,)</f>
        <v>Yes</v>
      </c>
      <c r="L422" s="61" t="str">
        <f>_xlfn.XLOOKUP(C422,Tab_Def_Flows[Name(EN)],Tab_Def_Flows[CC?],,0,)</f>
        <v>Yes</v>
      </c>
      <c r="M422" s="51"/>
      <c r="N422" s="51"/>
      <c r="O422" s="119"/>
      <c r="P422" s="51" t="s">
        <v>389</v>
      </c>
      <c r="Q422" s="51"/>
      <c r="R422" s="51"/>
      <c r="S422" s="51"/>
      <c r="T422" s="51"/>
      <c r="U422" s="51"/>
      <c r="V422" s="51"/>
      <c r="W422" s="51"/>
      <c r="X422" s="51" t="s">
        <v>71</v>
      </c>
      <c r="Y422" s="51"/>
      <c r="Z422" s="51"/>
      <c r="AA422" s="86">
        <f t="shared" si="14"/>
        <v>0</v>
      </c>
      <c r="AB422" s="51"/>
      <c r="AC422" s="111" t="e">
        <f>INDEX(Tab_Def_Flows[[Flow_ID]:[CC_DM_source]],MATCH(Tab_Data_Flows[[#This Row],[Name(EN)]],Tab_Def_Flows[Name(EN)],0),16)</f>
        <v>#N/A</v>
      </c>
      <c r="AD422" s="112" t="e">
        <f>IF(J422="Yes",AA422*Tab_Data_Flows[[#This Row],[WC_'[%']]],"N.A.")</f>
        <v>#N/A</v>
      </c>
      <c r="AE422" s="61">
        <f>Tab_Data_Flows[[#This Row],[UoM_Flow_Py]]</f>
        <v>0</v>
      </c>
      <c r="AF422" s="111" t="e">
        <f>INDEX(Tab_Def_Flows[[Flow_ID]:[CC_DM_source]],MATCH(Tab_Data_Flows[[#This Row],[Name(EN)]],Tab_Def_Flows[Name(EN)],0),18)</f>
        <v>#N/A</v>
      </c>
      <c r="AG422" s="112" t="e">
        <f>IF(K422="Yes",AF422*Tab_Data_Flows[[#This Row],[Flow_Py]],"N.A.")</f>
        <v>#N/A</v>
      </c>
      <c r="AH422" s="61">
        <f>Tab_Data_Flows[[#This Row],[UoM_Flow_Py]]</f>
        <v>0</v>
      </c>
      <c r="AI422" s="111" t="e">
        <f>INDEX(Tab_Def_Flows[[Flow_ID]:[CC_DM_source]],MATCH(Tab_Data_Flows[[#This Row],[Name(EN)]],Tab_Def_Flows[Name(EN)],0),20)</f>
        <v>#N/A</v>
      </c>
      <c r="AJ422" s="109" t="e">
        <f>IF(L422="Yes",AI422*Tab_Data_Flows[[#This Row],[Flow_Py]]*Tab_Data_Flows[[#This Row],[DM_'[%']]],"N.A.")</f>
        <v>#N/A</v>
      </c>
      <c r="AK422" s="61">
        <f>Tab_Data_Flows[[#This Row],[UoM_Flow_Py]]</f>
        <v>0</v>
      </c>
    </row>
    <row r="423" spans="1:37" ht="15.75" thickBot="1" x14ac:dyDescent="0.3">
      <c r="A423" s="60">
        <f t="shared" si="15"/>
        <v>422</v>
      </c>
      <c r="B423" s="49" t="str">
        <f>_xlfn.XLOOKUP(C423,Tab_Def_Flows[Name(EN)],Tab_Def_Flows[Flow_ID],,0,)</f>
        <v>F_24_24</v>
      </c>
      <c r="C423" s="51"/>
      <c r="D423" s="49">
        <f>_xlfn.XLOOKUP(C423,Tab_Def_Flows[Name(EN)],Tab_Def_Flows[Type_Biomass],,0,)</f>
        <v>0</v>
      </c>
      <c r="E423" s="49">
        <f>_xlfn.XLOOKUP(C423,Tab_Def_Flows[Name(EN)],Tab_Def_Flows[Output_Process],,0,)</f>
        <v>0</v>
      </c>
      <c r="F423" s="49" t="str">
        <f>_xlfn.XLOOKUP(C423,Tab_Def_Flows[Name(EN)],Tab_Def_Flows[Process_ID_O],,0,)</f>
        <v>24__</v>
      </c>
      <c r="G423" s="49">
        <f>_xlfn.XLOOKUP(C423,Tab_Def_Flows[Name(EN)],Tab_Def_Flows[Input_Process],,0,)</f>
        <v>0</v>
      </c>
      <c r="H423" s="61" t="str">
        <f>_xlfn.XLOOKUP(C423,Tab_Def_Flows[Name(EN)],Tab_Def_Flows[Process_ID_I],,0,)</f>
        <v>24__</v>
      </c>
      <c r="I423" s="49">
        <f>_xlfn.XLOOKUP(C423,Tab_Def_Flows[Name(EN)],Tab_Def_Flows[Value_Source],,0,)</f>
        <v>0</v>
      </c>
      <c r="J423" s="61" t="str">
        <f>_xlfn.XLOOKUP(C423,Tab_Def_Flows[Name(EN)],Tab_Def_Flows[WC?],,0,)</f>
        <v>Yes</v>
      </c>
      <c r="K423" s="61" t="str">
        <f>_xlfn.XLOOKUP(C423,Tab_Def_Flows[Name(EN)],Tab_Def_Flows[DM?],,0,)</f>
        <v>Yes</v>
      </c>
      <c r="L423" s="61" t="str">
        <f>_xlfn.XLOOKUP(C423,Tab_Def_Flows[Name(EN)],Tab_Def_Flows[CC?],,0,)</f>
        <v>Yes</v>
      </c>
      <c r="M423" s="51"/>
      <c r="N423" s="51"/>
      <c r="O423" s="119"/>
      <c r="P423" s="51" t="s">
        <v>389</v>
      </c>
      <c r="Q423" s="51"/>
      <c r="R423" s="51"/>
      <c r="S423" s="51"/>
      <c r="T423" s="51"/>
      <c r="U423" s="51"/>
      <c r="V423" s="51"/>
      <c r="W423" s="51"/>
      <c r="X423" s="51" t="s">
        <v>71</v>
      </c>
      <c r="Y423" s="51"/>
      <c r="Z423" s="51"/>
      <c r="AA423" s="86">
        <f t="shared" si="14"/>
        <v>0</v>
      </c>
      <c r="AB423" s="51"/>
      <c r="AC423" s="111" t="e">
        <f>INDEX(Tab_Def_Flows[[Flow_ID]:[CC_DM_source]],MATCH(Tab_Data_Flows[[#This Row],[Name(EN)]],Tab_Def_Flows[Name(EN)],0),16)</f>
        <v>#N/A</v>
      </c>
      <c r="AD423" s="112" t="e">
        <f>IF(J423="Yes",AA423*Tab_Data_Flows[[#This Row],[WC_'[%']]],"N.A.")</f>
        <v>#N/A</v>
      </c>
      <c r="AE423" s="61">
        <f>Tab_Data_Flows[[#This Row],[UoM_Flow_Py]]</f>
        <v>0</v>
      </c>
      <c r="AF423" s="111" t="e">
        <f>INDEX(Tab_Def_Flows[[Flow_ID]:[CC_DM_source]],MATCH(Tab_Data_Flows[[#This Row],[Name(EN)]],Tab_Def_Flows[Name(EN)],0),18)</f>
        <v>#N/A</v>
      </c>
      <c r="AG423" s="112" t="e">
        <f>IF(K423="Yes",AF423*Tab_Data_Flows[[#This Row],[Flow_Py]],"N.A.")</f>
        <v>#N/A</v>
      </c>
      <c r="AH423" s="61">
        <f>Tab_Data_Flows[[#This Row],[UoM_Flow_Py]]</f>
        <v>0</v>
      </c>
      <c r="AI423" s="111" t="e">
        <f>INDEX(Tab_Def_Flows[[Flow_ID]:[CC_DM_source]],MATCH(Tab_Data_Flows[[#This Row],[Name(EN)]],Tab_Def_Flows[Name(EN)],0),20)</f>
        <v>#N/A</v>
      </c>
      <c r="AJ423" s="109" t="e">
        <f>IF(L423="Yes",AI423*Tab_Data_Flows[[#This Row],[Flow_Py]]*Tab_Data_Flows[[#This Row],[DM_'[%']]],"N.A.")</f>
        <v>#N/A</v>
      </c>
      <c r="AK423" s="61">
        <f>Tab_Data_Flows[[#This Row],[UoM_Flow_Py]]</f>
        <v>0</v>
      </c>
    </row>
    <row r="424" spans="1:37" ht="15.75" thickBot="1" x14ac:dyDescent="0.3">
      <c r="A424" s="60">
        <f t="shared" si="15"/>
        <v>423</v>
      </c>
      <c r="B424" s="49" t="str">
        <f>_xlfn.XLOOKUP(C424,Tab_Def_Flows[Name(EN)],Tab_Def_Flows[Flow_ID],,0,)</f>
        <v>F_24_24</v>
      </c>
      <c r="C424" s="51"/>
      <c r="D424" s="49">
        <f>_xlfn.XLOOKUP(C424,Tab_Def_Flows[Name(EN)],Tab_Def_Flows[Type_Biomass],,0,)</f>
        <v>0</v>
      </c>
      <c r="E424" s="49">
        <f>_xlfn.XLOOKUP(C424,Tab_Def_Flows[Name(EN)],Tab_Def_Flows[Output_Process],,0,)</f>
        <v>0</v>
      </c>
      <c r="F424" s="49" t="str">
        <f>_xlfn.XLOOKUP(C424,Tab_Def_Flows[Name(EN)],Tab_Def_Flows[Process_ID_O],,0,)</f>
        <v>24__</v>
      </c>
      <c r="G424" s="49">
        <f>_xlfn.XLOOKUP(C424,Tab_Def_Flows[Name(EN)],Tab_Def_Flows[Input_Process],,0,)</f>
        <v>0</v>
      </c>
      <c r="H424" s="61" t="str">
        <f>_xlfn.XLOOKUP(C424,Tab_Def_Flows[Name(EN)],Tab_Def_Flows[Process_ID_I],,0,)</f>
        <v>24__</v>
      </c>
      <c r="I424" s="49">
        <f>_xlfn.XLOOKUP(C424,Tab_Def_Flows[Name(EN)],Tab_Def_Flows[Value_Source],,0,)</f>
        <v>0</v>
      </c>
      <c r="J424" s="61" t="str">
        <f>_xlfn.XLOOKUP(C424,Tab_Def_Flows[Name(EN)],Tab_Def_Flows[WC?],,0,)</f>
        <v>Yes</v>
      </c>
      <c r="K424" s="61" t="str">
        <f>_xlfn.XLOOKUP(C424,Tab_Def_Flows[Name(EN)],Tab_Def_Flows[DM?],,0,)</f>
        <v>Yes</v>
      </c>
      <c r="L424" s="61" t="str">
        <f>_xlfn.XLOOKUP(C424,Tab_Def_Flows[Name(EN)],Tab_Def_Flows[CC?],,0,)</f>
        <v>Yes</v>
      </c>
      <c r="M424" s="51"/>
      <c r="N424" s="51"/>
      <c r="O424" s="119"/>
      <c r="P424" s="51" t="s">
        <v>389</v>
      </c>
      <c r="Q424" s="51"/>
      <c r="R424" s="51"/>
      <c r="S424" s="51"/>
      <c r="T424" s="51"/>
      <c r="U424" s="51"/>
      <c r="V424" s="51"/>
      <c r="W424" s="51"/>
      <c r="X424" s="51" t="s">
        <v>71</v>
      </c>
      <c r="Y424" s="51"/>
      <c r="Z424" s="51"/>
      <c r="AA424" s="86">
        <f t="shared" si="14"/>
        <v>0</v>
      </c>
      <c r="AB424" s="51"/>
      <c r="AC424" s="111" t="e">
        <f>INDEX(Tab_Def_Flows[[Flow_ID]:[CC_DM_source]],MATCH(Tab_Data_Flows[[#This Row],[Name(EN)]],Tab_Def_Flows[Name(EN)],0),16)</f>
        <v>#N/A</v>
      </c>
      <c r="AD424" s="112" t="e">
        <f>IF(J424="Yes",AA424*Tab_Data_Flows[[#This Row],[WC_'[%']]],"N.A.")</f>
        <v>#N/A</v>
      </c>
      <c r="AE424" s="61">
        <f>Tab_Data_Flows[[#This Row],[UoM_Flow_Py]]</f>
        <v>0</v>
      </c>
      <c r="AF424" s="111" t="e">
        <f>INDEX(Tab_Def_Flows[[Flow_ID]:[CC_DM_source]],MATCH(Tab_Data_Flows[[#This Row],[Name(EN)]],Tab_Def_Flows[Name(EN)],0),18)</f>
        <v>#N/A</v>
      </c>
      <c r="AG424" s="112" t="e">
        <f>IF(K424="Yes",AF424*Tab_Data_Flows[[#This Row],[Flow_Py]],"N.A.")</f>
        <v>#N/A</v>
      </c>
      <c r="AH424" s="61">
        <f>Tab_Data_Flows[[#This Row],[UoM_Flow_Py]]</f>
        <v>0</v>
      </c>
      <c r="AI424" s="111" t="e">
        <f>INDEX(Tab_Def_Flows[[Flow_ID]:[CC_DM_source]],MATCH(Tab_Data_Flows[[#This Row],[Name(EN)]],Tab_Def_Flows[Name(EN)],0),20)</f>
        <v>#N/A</v>
      </c>
      <c r="AJ424" s="109" t="e">
        <f>IF(L424="Yes",AI424*Tab_Data_Flows[[#This Row],[Flow_Py]]*Tab_Data_Flows[[#This Row],[DM_'[%']]],"N.A.")</f>
        <v>#N/A</v>
      </c>
      <c r="AK424" s="61">
        <f>Tab_Data_Flows[[#This Row],[UoM_Flow_Py]]</f>
        <v>0</v>
      </c>
    </row>
    <row r="425" spans="1:37" ht="15.75" thickBot="1" x14ac:dyDescent="0.3">
      <c r="A425" s="60">
        <f t="shared" si="15"/>
        <v>424</v>
      </c>
      <c r="B425" s="49" t="str">
        <f>_xlfn.XLOOKUP(C425,Tab_Def_Flows[Name(EN)],Tab_Def_Flows[Flow_ID],,0,)</f>
        <v>F_24_24</v>
      </c>
      <c r="C425" s="51"/>
      <c r="D425" s="49">
        <f>_xlfn.XLOOKUP(C425,Tab_Def_Flows[Name(EN)],Tab_Def_Flows[Type_Biomass],,0,)</f>
        <v>0</v>
      </c>
      <c r="E425" s="49">
        <f>_xlfn.XLOOKUP(C425,Tab_Def_Flows[Name(EN)],Tab_Def_Flows[Output_Process],,0,)</f>
        <v>0</v>
      </c>
      <c r="F425" s="49" t="str">
        <f>_xlfn.XLOOKUP(C425,Tab_Def_Flows[Name(EN)],Tab_Def_Flows[Process_ID_O],,0,)</f>
        <v>24__</v>
      </c>
      <c r="G425" s="49">
        <f>_xlfn.XLOOKUP(C425,Tab_Def_Flows[Name(EN)],Tab_Def_Flows[Input_Process],,0,)</f>
        <v>0</v>
      </c>
      <c r="H425" s="61" t="str">
        <f>_xlfn.XLOOKUP(C425,Tab_Def_Flows[Name(EN)],Tab_Def_Flows[Process_ID_I],,0,)</f>
        <v>24__</v>
      </c>
      <c r="I425" s="49">
        <f>_xlfn.XLOOKUP(C425,Tab_Def_Flows[Name(EN)],Tab_Def_Flows[Value_Source],,0,)</f>
        <v>0</v>
      </c>
      <c r="J425" s="61" t="str">
        <f>_xlfn.XLOOKUP(C425,Tab_Def_Flows[Name(EN)],Tab_Def_Flows[WC?],,0,)</f>
        <v>Yes</v>
      </c>
      <c r="K425" s="61" t="str">
        <f>_xlfn.XLOOKUP(C425,Tab_Def_Flows[Name(EN)],Tab_Def_Flows[DM?],,0,)</f>
        <v>Yes</v>
      </c>
      <c r="L425" s="61" t="str">
        <f>_xlfn.XLOOKUP(C425,Tab_Def_Flows[Name(EN)],Tab_Def_Flows[CC?],,0,)</f>
        <v>Yes</v>
      </c>
      <c r="M425" s="51"/>
      <c r="N425" s="51"/>
      <c r="O425" s="119"/>
      <c r="P425" s="51" t="s">
        <v>389</v>
      </c>
      <c r="Q425" s="51"/>
      <c r="R425" s="51"/>
      <c r="S425" s="51"/>
      <c r="T425" s="51"/>
      <c r="U425" s="51"/>
      <c r="V425" s="51"/>
      <c r="W425" s="51"/>
      <c r="X425" s="51" t="s">
        <v>71</v>
      </c>
      <c r="Y425" s="51"/>
      <c r="Z425" s="51"/>
      <c r="AA425" s="86">
        <f t="shared" si="14"/>
        <v>0</v>
      </c>
      <c r="AB425" s="51"/>
      <c r="AC425" s="111" t="e">
        <f>INDEX(Tab_Def_Flows[[Flow_ID]:[CC_DM_source]],MATCH(Tab_Data_Flows[[#This Row],[Name(EN)]],Tab_Def_Flows[Name(EN)],0),16)</f>
        <v>#N/A</v>
      </c>
      <c r="AD425" s="112" t="e">
        <f>IF(J425="Yes",AA425*Tab_Data_Flows[[#This Row],[WC_'[%']]],"N.A.")</f>
        <v>#N/A</v>
      </c>
      <c r="AE425" s="61">
        <f>Tab_Data_Flows[[#This Row],[UoM_Flow_Py]]</f>
        <v>0</v>
      </c>
      <c r="AF425" s="111" t="e">
        <f>INDEX(Tab_Def_Flows[[Flow_ID]:[CC_DM_source]],MATCH(Tab_Data_Flows[[#This Row],[Name(EN)]],Tab_Def_Flows[Name(EN)],0),18)</f>
        <v>#N/A</v>
      </c>
      <c r="AG425" s="112" t="e">
        <f>IF(K425="Yes",AF425*Tab_Data_Flows[[#This Row],[Flow_Py]],"N.A.")</f>
        <v>#N/A</v>
      </c>
      <c r="AH425" s="61">
        <f>Tab_Data_Flows[[#This Row],[UoM_Flow_Py]]</f>
        <v>0</v>
      </c>
      <c r="AI425" s="111" t="e">
        <f>INDEX(Tab_Def_Flows[[Flow_ID]:[CC_DM_source]],MATCH(Tab_Data_Flows[[#This Row],[Name(EN)]],Tab_Def_Flows[Name(EN)],0),20)</f>
        <v>#N/A</v>
      </c>
      <c r="AJ425" s="109" t="e">
        <f>IF(L425="Yes",AI425*Tab_Data_Flows[[#This Row],[Flow_Py]]*Tab_Data_Flows[[#This Row],[DM_'[%']]],"N.A.")</f>
        <v>#N/A</v>
      </c>
      <c r="AK425" s="61">
        <f>Tab_Data_Flows[[#This Row],[UoM_Flow_Py]]</f>
        <v>0</v>
      </c>
    </row>
    <row r="426" spans="1:37" ht="15.75" thickBot="1" x14ac:dyDescent="0.3">
      <c r="A426" s="60">
        <f t="shared" si="15"/>
        <v>425</v>
      </c>
      <c r="B426" s="49" t="str">
        <f>_xlfn.XLOOKUP(C426,Tab_Def_Flows[Name(EN)],Tab_Def_Flows[Flow_ID],,0,)</f>
        <v>F_24_24</v>
      </c>
      <c r="C426" s="51"/>
      <c r="D426" s="49">
        <f>_xlfn.XLOOKUP(C426,Tab_Def_Flows[Name(EN)],Tab_Def_Flows[Type_Biomass],,0,)</f>
        <v>0</v>
      </c>
      <c r="E426" s="49">
        <f>_xlfn.XLOOKUP(C426,Tab_Def_Flows[Name(EN)],Tab_Def_Flows[Output_Process],,0,)</f>
        <v>0</v>
      </c>
      <c r="F426" s="49" t="str">
        <f>_xlfn.XLOOKUP(C426,Tab_Def_Flows[Name(EN)],Tab_Def_Flows[Process_ID_O],,0,)</f>
        <v>24__</v>
      </c>
      <c r="G426" s="49">
        <f>_xlfn.XLOOKUP(C426,Tab_Def_Flows[Name(EN)],Tab_Def_Flows[Input_Process],,0,)</f>
        <v>0</v>
      </c>
      <c r="H426" s="61" t="str">
        <f>_xlfn.XLOOKUP(C426,Tab_Def_Flows[Name(EN)],Tab_Def_Flows[Process_ID_I],,0,)</f>
        <v>24__</v>
      </c>
      <c r="I426" s="49">
        <f>_xlfn.XLOOKUP(C426,Tab_Def_Flows[Name(EN)],Tab_Def_Flows[Value_Source],,0,)</f>
        <v>0</v>
      </c>
      <c r="J426" s="61" t="str">
        <f>_xlfn.XLOOKUP(C426,Tab_Def_Flows[Name(EN)],Tab_Def_Flows[WC?],,0,)</f>
        <v>Yes</v>
      </c>
      <c r="K426" s="61" t="str">
        <f>_xlfn.XLOOKUP(C426,Tab_Def_Flows[Name(EN)],Tab_Def_Flows[DM?],,0,)</f>
        <v>Yes</v>
      </c>
      <c r="L426" s="61" t="str">
        <f>_xlfn.XLOOKUP(C426,Tab_Def_Flows[Name(EN)],Tab_Def_Flows[CC?],,0,)</f>
        <v>Yes</v>
      </c>
      <c r="M426" s="51"/>
      <c r="N426" s="51"/>
      <c r="O426" s="119"/>
      <c r="P426" s="51" t="s">
        <v>389</v>
      </c>
      <c r="Q426" s="51"/>
      <c r="R426" s="51"/>
      <c r="S426" s="51"/>
      <c r="T426" s="51"/>
      <c r="U426" s="51"/>
      <c r="V426" s="51"/>
      <c r="W426" s="51"/>
      <c r="X426" s="51" t="s">
        <v>71</v>
      </c>
      <c r="Y426" s="51"/>
      <c r="Z426" s="51"/>
      <c r="AA426" s="86">
        <f t="shared" si="14"/>
        <v>0</v>
      </c>
      <c r="AB426" s="51"/>
      <c r="AC426" s="111" t="e">
        <f>INDEX(Tab_Def_Flows[[Flow_ID]:[CC_DM_source]],MATCH(Tab_Data_Flows[[#This Row],[Name(EN)]],Tab_Def_Flows[Name(EN)],0),16)</f>
        <v>#N/A</v>
      </c>
      <c r="AD426" s="112" t="e">
        <f>IF(J426="Yes",AA426*Tab_Data_Flows[[#This Row],[WC_'[%']]],"N.A.")</f>
        <v>#N/A</v>
      </c>
      <c r="AE426" s="61">
        <f>Tab_Data_Flows[[#This Row],[UoM_Flow_Py]]</f>
        <v>0</v>
      </c>
      <c r="AF426" s="111" t="e">
        <f>INDEX(Tab_Def_Flows[[Flow_ID]:[CC_DM_source]],MATCH(Tab_Data_Flows[[#This Row],[Name(EN)]],Tab_Def_Flows[Name(EN)],0),18)</f>
        <v>#N/A</v>
      </c>
      <c r="AG426" s="112" t="e">
        <f>IF(K426="Yes",AF426*Tab_Data_Flows[[#This Row],[Flow_Py]],"N.A.")</f>
        <v>#N/A</v>
      </c>
      <c r="AH426" s="61">
        <f>Tab_Data_Flows[[#This Row],[UoM_Flow_Py]]</f>
        <v>0</v>
      </c>
      <c r="AI426" s="111" t="e">
        <f>INDEX(Tab_Def_Flows[[Flow_ID]:[CC_DM_source]],MATCH(Tab_Data_Flows[[#This Row],[Name(EN)]],Tab_Def_Flows[Name(EN)],0),20)</f>
        <v>#N/A</v>
      </c>
      <c r="AJ426" s="109" t="e">
        <f>IF(L426="Yes",AI426*Tab_Data_Flows[[#This Row],[Flow_Py]]*Tab_Data_Flows[[#This Row],[DM_'[%']]],"N.A.")</f>
        <v>#N/A</v>
      </c>
      <c r="AK426" s="61">
        <f>Tab_Data_Flows[[#This Row],[UoM_Flow_Py]]</f>
        <v>0</v>
      </c>
    </row>
    <row r="427" spans="1:37" ht="15.75" thickBot="1" x14ac:dyDescent="0.3">
      <c r="A427" s="60">
        <f t="shared" si="15"/>
        <v>426</v>
      </c>
      <c r="B427" s="49" t="str">
        <f>_xlfn.XLOOKUP(C427,Tab_Def_Flows[Name(EN)],Tab_Def_Flows[Flow_ID],,0,)</f>
        <v>F_24_24</v>
      </c>
      <c r="C427" s="51"/>
      <c r="D427" s="49">
        <f>_xlfn.XLOOKUP(C427,Tab_Def_Flows[Name(EN)],Tab_Def_Flows[Type_Biomass],,0,)</f>
        <v>0</v>
      </c>
      <c r="E427" s="49">
        <f>_xlfn.XLOOKUP(C427,Tab_Def_Flows[Name(EN)],Tab_Def_Flows[Output_Process],,0,)</f>
        <v>0</v>
      </c>
      <c r="F427" s="49" t="str">
        <f>_xlfn.XLOOKUP(C427,Tab_Def_Flows[Name(EN)],Tab_Def_Flows[Process_ID_O],,0,)</f>
        <v>24__</v>
      </c>
      <c r="G427" s="49">
        <f>_xlfn.XLOOKUP(C427,Tab_Def_Flows[Name(EN)],Tab_Def_Flows[Input_Process],,0,)</f>
        <v>0</v>
      </c>
      <c r="H427" s="61" t="str">
        <f>_xlfn.XLOOKUP(C427,Tab_Def_Flows[Name(EN)],Tab_Def_Flows[Process_ID_I],,0,)</f>
        <v>24__</v>
      </c>
      <c r="I427" s="49">
        <f>_xlfn.XLOOKUP(C427,Tab_Def_Flows[Name(EN)],Tab_Def_Flows[Value_Source],,0,)</f>
        <v>0</v>
      </c>
      <c r="J427" s="61" t="str">
        <f>_xlfn.XLOOKUP(C427,Tab_Def_Flows[Name(EN)],Tab_Def_Flows[WC?],,0,)</f>
        <v>Yes</v>
      </c>
      <c r="K427" s="61" t="str">
        <f>_xlfn.XLOOKUP(C427,Tab_Def_Flows[Name(EN)],Tab_Def_Flows[DM?],,0,)</f>
        <v>Yes</v>
      </c>
      <c r="L427" s="61" t="str">
        <f>_xlfn.XLOOKUP(C427,Tab_Def_Flows[Name(EN)],Tab_Def_Flows[CC?],,0,)</f>
        <v>Yes</v>
      </c>
      <c r="M427" s="51"/>
      <c r="N427" s="51"/>
      <c r="O427" s="119"/>
      <c r="P427" s="51" t="s">
        <v>389</v>
      </c>
      <c r="Q427" s="51"/>
      <c r="R427" s="51"/>
      <c r="S427" s="51"/>
      <c r="T427" s="51"/>
      <c r="U427" s="51"/>
      <c r="V427" s="51"/>
      <c r="W427" s="51"/>
      <c r="X427" s="51" t="s">
        <v>71</v>
      </c>
      <c r="Y427" s="51"/>
      <c r="Z427" s="51"/>
      <c r="AA427" s="86">
        <f t="shared" si="14"/>
        <v>0</v>
      </c>
      <c r="AB427" s="51"/>
      <c r="AC427" s="111" t="e">
        <f>INDEX(Tab_Def_Flows[[Flow_ID]:[CC_DM_source]],MATCH(Tab_Data_Flows[[#This Row],[Name(EN)]],Tab_Def_Flows[Name(EN)],0),16)</f>
        <v>#N/A</v>
      </c>
      <c r="AD427" s="112" t="e">
        <f>IF(J427="Yes",AA427*Tab_Data_Flows[[#This Row],[WC_'[%']]],"N.A.")</f>
        <v>#N/A</v>
      </c>
      <c r="AE427" s="61">
        <f>Tab_Data_Flows[[#This Row],[UoM_Flow_Py]]</f>
        <v>0</v>
      </c>
      <c r="AF427" s="111" t="e">
        <f>INDEX(Tab_Def_Flows[[Flow_ID]:[CC_DM_source]],MATCH(Tab_Data_Flows[[#This Row],[Name(EN)]],Tab_Def_Flows[Name(EN)],0),18)</f>
        <v>#N/A</v>
      </c>
      <c r="AG427" s="112" t="e">
        <f>IF(K427="Yes",AF427*Tab_Data_Flows[[#This Row],[Flow_Py]],"N.A.")</f>
        <v>#N/A</v>
      </c>
      <c r="AH427" s="61">
        <f>Tab_Data_Flows[[#This Row],[UoM_Flow_Py]]</f>
        <v>0</v>
      </c>
      <c r="AI427" s="111" t="e">
        <f>INDEX(Tab_Def_Flows[[Flow_ID]:[CC_DM_source]],MATCH(Tab_Data_Flows[[#This Row],[Name(EN)]],Tab_Def_Flows[Name(EN)],0),20)</f>
        <v>#N/A</v>
      </c>
      <c r="AJ427" s="109" t="e">
        <f>IF(L427="Yes",AI427*Tab_Data_Flows[[#This Row],[Flow_Py]]*Tab_Data_Flows[[#This Row],[DM_'[%']]],"N.A.")</f>
        <v>#N/A</v>
      </c>
      <c r="AK427" s="61">
        <f>Tab_Data_Flows[[#This Row],[UoM_Flow_Py]]</f>
        <v>0</v>
      </c>
    </row>
    <row r="428" spans="1:37" ht="15.75" thickBot="1" x14ac:dyDescent="0.3">
      <c r="A428" s="60">
        <f t="shared" si="15"/>
        <v>427</v>
      </c>
      <c r="B428" s="49" t="str">
        <f>_xlfn.XLOOKUP(C428,Tab_Def_Flows[Name(EN)],Tab_Def_Flows[Flow_ID],,0,)</f>
        <v>F_24_24</v>
      </c>
      <c r="C428" s="51"/>
      <c r="D428" s="49">
        <f>_xlfn.XLOOKUP(C428,Tab_Def_Flows[Name(EN)],Tab_Def_Flows[Type_Biomass],,0,)</f>
        <v>0</v>
      </c>
      <c r="E428" s="49">
        <f>_xlfn.XLOOKUP(C428,Tab_Def_Flows[Name(EN)],Tab_Def_Flows[Output_Process],,0,)</f>
        <v>0</v>
      </c>
      <c r="F428" s="49" t="str">
        <f>_xlfn.XLOOKUP(C428,Tab_Def_Flows[Name(EN)],Tab_Def_Flows[Process_ID_O],,0,)</f>
        <v>24__</v>
      </c>
      <c r="G428" s="49">
        <f>_xlfn.XLOOKUP(C428,Tab_Def_Flows[Name(EN)],Tab_Def_Flows[Input_Process],,0,)</f>
        <v>0</v>
      </c>
      <c r="H428" s="61" t="str">
        <f>_xlfn.XLOOKUP(C428,Tab_Def_Flows[Name(EN)],Tab_Def_Flows[Process_ID_I],,0,)</f>
        <v>24__</v>
      </c>
      <c r="I428" s="49">
        <f>_xlfn.XLOOKUP(C428,Tab_Def_Flows[Name(EN)],Tab_Def_Flows[Value_Source],,0,)</f>
        <v>0</v>
      </c>
      <c r="J428" s="61" t="str">
        <f>_xlfn.XLOOKUP(C428,Tab_Def_Flows[Name(EN)],Tab_Def_Flows[WC?],,0,)</f>
        <v>Yes</v>
      </c>
      <c r="K428" s="61" t="str">
        <f>_xlfn.XLOOKUP(C428,Tab_Def_Flows[Name(EN)],Tab_Def_Flows[DM?],,0,)</f>
        <v>Yes</v>
      </c>
      <c r="L428" s="61" t="str">
        <f>_xlfn.XLOOKUP(C428,Tab_Def_Flows[Name(EN)],Tab_Def_Flows[CC?],,0,)</f>
        <v>Yes</v>
      </c>
      <c r="M428" s="51"/>
      <c r="N428" s="51"/>
      <c r="O428" s="119"/>
      <c r="P428" s="51" t="s">
        <v>389</v>
      </c>
      <c r="Q428" s="51"/>
      <c r="R428" s="51"/>
      <c r="S428" s="51"/>
      <c r="T428" s="51"/>
      <c r="U428" s="51"/>
      <c r="V428" s="51"/>
      <c r="W428" s="51"/>
      <c r="X428" s="51" t="s">
        <v>71</v>
      </c>
      <c r="Y428" s="51"/>
      <c r="Z428" s="51"/>
      <c r="AA428" s="86">
        <f t="shared" si="14"/>
        <v>0</v>
      </c>
      <c r="AB428" s="51"/>
      <c r="AC428" s="111" t="e">
        <f>INDEX(Tab_Def_Flows[[Flow_ID]:[CC_DM_source]],MATCH(Tab_Data_Flows[[#This Row],[Name(EN)]],Tab_Def_Flows[Name(EN)],0),16)</f>
        <v>#N/A</v>
      </c>
      <c r="AD428" s="112" t="e">
        <f>IF(J428="Yes",AA428*Tab_Data_Flows[[#This Row],[WC_'[%']]],"N.A.")</f>
        <v>#N/A</v>
      </c>
      <c r="AE428" s="61">
        <f>Tab_Data_Flows[[#This Row],[UoM_Flow_Py]]</f>
        <v>0</v>
      </c>
      <c r="AF428" s="111" t="e">
        <f>INDEX(Tab_Def_Flows[[Flow_ID]:[CC_DM_source]],MATCH(Tab_Data_Flows[[#This Row],[Name(EN)]],Tab_Def_Flows[Name(EN)],0),18)</f>
        <v>#N/A</v>
      </c>
      <c r="AG428" s="112" t="e">
        <f>IF(K428="Yes",AF428*Tab_Data_Flows[[#This Row],[Flow_Py]],"N.A.")</f>
        <v>#N/A</v>
      </c>
      <c r="AH428" s="61">
        <f>Tab_Data_Flows[[#This Row],[UoM_Flow_Py]]</f>
        <v>0</v>
      </c>
      <c r="AI428" s="111" t="e">
        <f>INDEX(Tab_Def_Flows[[Flow_ID]:[CC_DM_source]],MATCH(Tab_Data_Flows[[#This Row],[Name(EN)]],Tab_Def_Flows[Name(EN)],0),20)</f>
        <v>#N/A</v>
      </c>
      <c r="AJ428" s="109" t="e">
        <f>IF(L428="Yes",AI428*Tab_Data_Flows[[#This Row],[Flow_Py]]*Tab_Data_Flows[[#This Row],[DM_'[%']]],"N.A.")</f>
        <v>#N/A</v>
      </c>
      <c r="AK428" s="61">
        <f>Tab_Data_Flows[[#This Row],[UoM_Flow_Py]]</f>
        <v>0</v>
      </c>
    </row>
    <row r="429" spans="1:37" ht="15.75" thickBot="1" x14ac:dyDescent="0.3">
      <c r="A429" s="60">
        <f t="shared" si="15"/>
        <v>428</v>
      </c>
      <c r="B429" s="49" t="str">
        <f>_xlfn.XLOOKUP(C429,Tab_Def_Flows[Name(EN)],Tab_Def_Flows[Flow_ID],,0,)</f>
        <v>F_24_24</v>
      </c>
      <c r="C429" s="51"/>
      <c r="D429" s="49">
        <f>_xlfn.XLOOKUP(C429,Tab_Def_Flows[Name(EN)],Tab_Def_Flows[Type_Biomass],,0,)</f>
        <v>0</v>
      </c>
      <c r="E429" s="49">
        <f>_xlfn.XLOOKUP(C429,Tab_Def_Flows[Name(EN)],Tab_Def_Flows[Output_Process],,0,)</f>
        <v>0</v>
      </c>
      <c r="F429" s="49" t="str">
        <f>_xlfn.XLOOKUP(C429,Tab_Def_Flows[Name(EN)],Tab_Def_Flows[Process_ID_O],,0,)</f>
        <v>24__</v>
      </c>
      <c r="G429" s="49">
        <f>_xlfn.XLOOKUP(C429,Tab_Def_Flows[Name(EN)],Tab_Def_Flows[Input_Process],,0,)</f>
        <v>0</v>
      </c>
      <c r="H429" s="61" t="str">
        <f>_xlfn.XLOOKUP(C429,Tab_Def_Flows[Name(EN)],Tab_Def_Flows[Process_ID_I],,0,)</f>
        <v>24__</v>
      </c>
      <c r="I429" s="49">
        <f>_xlfn.XLOOKUP(C429,Tab_Def_Flows[Name(EN)],Tab_Def_Flows[Value_Source],,0,)</f>
        <v>0</v>
      </c>
      <c r="J429" s="61" t="str">
        <f>_xlfn.XLOOKUP(C429,Tab_Def_Flows[Name(EN)],Tab_Def_Flows[WC?],,0,)</f>
        <v>Yes</v>
      </c>
      <c r="K429" s="61" t="str">
        <f>_xlfn.XLOOKUP(C429,Tab_Def_Flows[Name(EN)],Tab_Def_Flows[DM?],,0,)</f>
        <v>Yes</v>
      </c>
      <c r="L429" s="61" t="str">
        <f>_xlfn.XLOOKUP(C429,Tab_Def_Flows[Name(EN)],Tab_Def_Flows[CC?],,0,)</f>
        <v>Yes</v>
      </c>
      <c r="M429" s="51"/>
      <c r="N429" s="51"/>
      <c r="O429" s="119"/>
      <c r="P429" s="51" t="s">
        <v>389</v>
      </c>
      <c r="Q429" s="51"/>
      <c r="R429" s="51"/>
      <c r="S429" s="51"/>
      <c r="T429" s="51"/>
      <c r="U429" s="51"/>
      <c r="V429" s="51"/>
      <c r="W429" s="51"/>
      <c r="X429" s="51" t="s">
        <v>71</v>
      </c>
      <c r="Y429" s="51"/>
      <c r="Z429" s="51"/>
      <c r="AA429" s="86">
        <f t="shared" si="14"/>
        <v>0</v>
      </c>
      <c r="AB429" s="51"/>
      <c r="AC429" s="111" t="e">
        <f>INDEX(Tab_Def_Flows[[Flow_ID]:[CC_DM_source]],MATCH(Tab_Data_Flows[[#This Row],[Name(EN)]],Tab_Def_Flows[Name(EN)],0),16)</f>
        <v>#N/A</v>
      </c>
      <c r="AD429" s="112" t="e">
        <f>IF(J429="Yes",AA429*Tab_Data_Flows[[#This Row],[WC_'[%']]],"N.A.")</f>
        <v>#N/A</v>
      </c>
      <c r="AE429" s="61">
        <f>Tab_Data_Flows[[#This Row],[UoM_Flow_Py]]</f>
        <v>0</v>
      </c>
      <c r="AF429" s="111" t="e">
        <f>INDEX(Tab_Def_Flows[[Flow_ID]:[CC_DM_source]],MATCH(Tab_Data_Flows[[#This Row],[Name(EN)]],Tab_Def_Flows[Name(EN)],0),18)</f>
        <v>#N/A</v>
      </c>
      <c r="AG429" s="112" t="e">
        <f>IF(K429="Yes",AF429*Tab_Data_Flows[[#This Row],[Flow_Py]],"N.A.")</f>
        <v>#N/A</v>
      </c>
      <c r="AH429" s="61">
        <f>Tab_Data_Flows[[#This Row],[UoM_Flow_Py]]</f>
        <v>0</v>
      </c>
      <c r="AI429" s="111" t="e">
        <f>INDEX(Tab_Def_Flows[[Flow_ID]:[CC_DM_source]],MATCH(Tab_Data_Flows[[#This Row],[Name(EN)]],Tab_Def_Flows[Name(EN)],0),20)</f>
        <v>#N/A</v>
      </c>
      <c r="AJ429" s="109" t="e">
        <f>IF(L429="Yes",AI429*Tab_Data_Flows[[#This Row],[Flow_Py]]*Tab_Data_Flows[[#This Row],[DM_'[%']]],"N.A.")</f>
        <v>#N/A</v>
      </c>
      <c r="AK429" s="61">
        <f>Tab_Data_Flows[[#This Row],[UoM_Flow_Py]]</f>
        <v>0</v>
      </c>
    </row>
    <row r="430" spans="1:37" ht="15.75" thickBot="1" x14ac:dyDescent="0.3">
      <c r="A430" s="60">
        <f t="shared" si="15"/>
        <v>429</v>
      </c>
      <c r="B430" s="49" t="str">
        <f>_xlfn.XLOOKUP(C430,Tab_Def_Flows[Name(EN)],Tab_Def_Flows[Flow_ID],,0,)</f>
        <v>F_24_24</v>
      </c>
      <c r="C430" s="51"/>
      <c r="D430" s="49">
        <f>_xlfn.XLOOKUP(C430,Tab_Def_Flows[Name(EN)],Tab_Def_Flows[Type_Biomass],,0,)</f>
        <v>0</v>
      </c>
      <c r="E430" s="49">
        <f>_xlfn.XLOOKUP(C430,Tab_Def_Flows[Name(EN)],Tab_Def_Flows[Output_Process],,0,)</f>
        <v>0</v>
      </c>
      <c r="F430" s="49" t="str">
        <f>_xlfn.XLOOKUP(C430,Tab_Def_Flows[Name(EN)],Tab_Def_Flows[Process_ID_O],,0,)</f>
        <v>24__</v>
      </c>
      <c r="G430" s="49">
        <f>_xlfn.XLOOKUP(C430,Tab_Def_Flows[Name(EN)],Tab_Def_Flows[Input_Process],,0,)</f>
        <v>0</v>
      </c>
      <c r="H430" s="61" t="str">
        <f>_xlfn.XLOOKUP(C430,Tab_Def_Flows[Name(EN)],Tab_Def_Flows[Process_ID_I],,0,)</f>
        <v>24__</v>
      </c>
      <c r="I430" s="49">
        <f>_xlfn.XLOOKUP(C430,Tab_Def_Flows[Name(EN)],Tab_Def_Flows[Value_Source],,0,)</f>
        <v>0</v>
      </c>
      <c r="J430" s="61" t="str">
        <f>_xlfn.XLOOKUP(C430,Tab_Def_Flows[Name(EN)],Tab_Def_Flows[WC?],,0,)</f>
        <v>Yes</v>
      </c>
      <c r="K430" s="61" t="str">
        <f>_xlfn.XLOOKUP(C430,Tab_Def_Flows[Name(EN)],Tab_Def_Flows[DM?],,0,)</f>
        <v>Yes</v>
      </c>
      <c r="L430" s="61" t="str">
        <f>_xlfn.XLOOKUP(C430,Tab_Def_Flows[Name(EN)],Tab_Def_Flows[CC?],,0,)</f>
        <v>Yes</v>
      </c>
      <c r="M430" s="51"/>
      <c r="N430" s="51"/>
      <c r="O430" s="119"/>
      <c r="P430" s="51" t="s">
        <v>389</v>
      </c>
      <c r="Q430" s="51"/>
      <c r="R430" s="51"/>
      <c r="S430" s="51"/>
      <c r="T430" s="51"/>
      <c r="U430" s="51"/>
      <c r="V430" s="51"/>
      <c r="W430" s="51"/>
      <c r="X430" s="51" t="s">
        <v>71</v>
      </c>
      <c r="Y430" s="51"/>
      <c r="Z430" s="51"/>
      <c r="AA430" s="86">
        <f t="shared" si="14"/>
        <v>0</v>
      </c>
      <c r="AB430" s="51"/>
      <c r="AC430" s="111" t="e">
        <f>INDEX(Tab_Def_Flows[[Flow_ID]:[CC_DM_source]],MATCH(Tab_Data_Flows[[#This Row],[Name(EN)]],Tab_Def_Flows[Name(EN)],0),16)</f>
        <v>#N/A</v>
      </c>
      <c r="AD430" s="112" t="e">
        <f>IF(J430="Yes",AA430*Tab_Data_Flows[[#This Row],[WC_'[%']]],"N.A.")</f>
        <v>#N/A</v>
      </c>
      <c r="AE430" s="61">
        <f>Tab_Data_Flows[[#This Row],[UoM_Flow_Py]]</f>
        <v>0</v>
      </c>
      <c r="AF430" s="111" t="e">
        <f>INDEX(Tab_Def_Flows[[Flow_ID]:[CC_DM_source]],MATCH(Tab_Data_Flows[[#This Row],[Name(EN)]],Tab_Def_Flows[Name(EN)],0),18)</f>
        <v>#N/A</v>
      </c>
      <c r="AG430" s="112" t="e">
        <f>IF(K430="Yes",AF430*Tab_Data_Flows[[#This Row],[Flow_Py]],"N.A.")</f>
        <v>#N/A</v>
      </c>
      <c r="AH430" s="61">
        <f>Tab_Data_Flows[[#This Row],[UoM_Flow_Py]]</f>
        <v>0</v>
      </c>
      <c r="AI430" s="111" t="e">
        <f>INDEX(Tab_Def_Flows[[Flow_ID]:[CC_DM_source]],MATCH(Tab_Data_Flows[[#This Row],[Name(EN)]],Tab_Def_Flows[Name(EN)],0),20)</f>
        <v>#N/A</v>
      </c>
      <c r="AJ430" s="109" t="e">
        <f>IF(L430="Yes",AI430*Tab_Data_Flows[[#This Row],[Flow_Py]]*Tab_Data_Flows[[#This Row],[DM_'[%']]],"N.A.")</f>
        <v>#N/A</v>
      </c>
      <c r="AK430" s="61">
        <f>Tab_Data_Flows[[#This Row],[UoM_Flow_Py]]</f>
        <v>0</v>
      </c>
    </row>
    <row r="431" spans="1:37" ht="15.75" thickBot="1" x14ac:dyDescent="0.3">
      <c r="A431" s="60">
        <f t="shared" si="15"/>
        <v>430</v>
      </c>
      <c r="B431" s="49" t="str">
        <f>_xlfn.XLOOKUP(C431,Tab_Def_Flows[Name(EN)],Tab_Def_Flows[Flow_ID],,0,)</f>
        <v>F_24_24</v>
      </c>
      <c r="C431" s="51"/>
      <c r="D431" s="49">
        <f>_xlfn.XLOOKUP(C431,Tab_Def_Flows[Name(EN)],Tab_Def_Flows[Type_Biomass],,0,)</f>
        <v>0</v>
      </c>
      <c r="E431" s="49">
        <f>_xlfn.XLOOKUP(C431,Tab_Def_Flows[Name(EN)],Tab_Def_Flows[Output_Process],,0,)</f>
        <v>0</v>
      </c>
      <c r="F431" s="49" t="str">
        <f>_xlfn.XLOOKUP(C431,Tab_Def_Flows[Name(EN)],Tab_Def_Flows[Process_ID_O],,0,)</f>
        <v>24__</v>
      </c>
      <c r="G431" s="49">
        <f>_xlfn.XLOOKUP(C431,Tab_Def_Flows[Name(EN)],Tab_Def_Flows[Input_Process],,0,)</f>
        <v>0</v>
      </c>
      <c r="H431" s="61" t="str">
        <f>_xlfn.XLOOKUP(C431,Tab_Def_Flows[Name(EN)],Tab_Def_Flows[Process_ID_I],,0,)</f>
        <v>24__</v>
      </c>
      <c r="I431" s="49">
        <f>_xlfn.XLOOKUP(C431,Tab_Def_Flows[Name(EN)],Tab_Def_Flows[Value_Source],,0,)</f>
        <v>0</v>
      </c>
      <c r="J431" s="61" t="str">
        <f>_xlfn.XLOOKUP(C431,Tab_Def_Flows[Name(EN)],Tab_Def_Flows[WC?],,0,)</f>
        <v>Yes</v>
      </c>
      <c r="K431" s="61" t="str">
        <f>_xlfn.XLOOKUP(C431,Tab_Def_Flows[Name(EN)],Tab_Def_Flows[DM?],,0,)</f>
        <v>Yes</v>
      </c>
      <c r="L431" s="61" t="str">
        <f>_xlfn.XLOOKUP(C431,Tab_Def_Flows[Name(EN)],Tab_Def_Flows[CC?],,0,)</f>
        <v>Yes</v>
      </c>
      <c r="M431" s="51"/>
      <c r="N431" s="51"/>
      <c r="O431" s="119"/>
      <c r="P431" s="51" t="s">
        <v>389</v>
      </c>
      <c r="Q431" s="51"/>
      <c r="R431" s="51"/>
      <c r="S431" s="51"/>
      <c r="T431" s="51"/>
      <c r="U431" s="51"/>
      <c r="V431" s="51"/>
      <c r="W431" s="51"/>
      <c r="X431" s="51" t="s">
        <v>71</v>
      </c>
      <c r="Y431" s="51"/>
      <c r="Z431" s="51"/>
      <c r="AA431" s="86">
        <f t="shared" si="14"/>
        <v>0</v>
      </c>
      <c r="AB431" s="51"/>
      <c r="AC431" s="111" t="e">
        <f>INDEX(Tab_Def_Flows[[Flow_ID]:[CC_DM_source]],MATCH(Tab_Data_Flows[[#This Row],[Name(EN)]],Tab_Def_Flows[Name(EN)],0),16)</f>
        <v>#N/A</v>
      </c>
      <c r="AD431" s="112" t="e">
        <f>IF(J431="Yes",AA431*Tab_Data_Flows[[#This Row],[WC_'[%']]],"N.A.")</f>
        <v>#N/A</v>
      </c>
      <c r="AE431" s="61">
        <f>Tab_Data_Flows[[#This Row],[UoM_Flow_Py]]</f>
        <v>0</v>
      </c>
      <c r="AF431" s="111" t="e">
        <f>INDEX(Tab_Def_Flows[[Flow_ID]:[CC_DM_source]],MATCH(Tab_Data_Flows[[#This Row],[Name(EN)]],Tab_Def_Flows[Name(EN)],0),18)</f>
        <v>#N/A</v>
      </c>
      <c r="AG431" s="112" t="e">
        <f>IF(K431="Yes",AF431*Tab_Data_Flows[[#This Row],[Flow_Py]],"N.A.")</f>
        <v>#N/A</v>
      </c>
      <c r="AH431" s="61">
        <f>Tab_Data_Flows[[#This Row],[UoM_Flow_Py]]</f>
        <v>0</v>
      </c>
      <c r="AI431" s="111" t="e">
        <f>INDEX(Tab_Def_Flows[[Flow_ID]:[CC_DM_source]],MATCH(Tab_Data_Flows[[#This Row],[Name(EN)]],Tab_Def_Flows[Name(EN)],0),20)</f>
        <v>#N/A</v>
      </c>
      <c r="AJ431" s="109" t="e">
        <f>IF(L431="Yes",AI431*Tab_Data_Flows[[#This Row],[Flow_Py]]*Tab_Data_Flows[[#This Row],[DM_'[%']]],"N.A.")</f>
        <v>#N/A</v>
      </c>
      <c r="AK431" s="61">
        <f>Tab_Data_Flows[[#This Row],[UoM_Flow_Py]]</f>
        <v>0</v>
      </c>
    </row>
    <row r="432" spans="1:37" ht="15.75" thickBot="1" x14ac:dyDescent="0.3">
      <c r="A432" s="60">
        <f t="shared" si="15"/>
        <v>431</v>
      </c>
      <c r="B432" s="49" t="str">
        <f>_xlfn.XLOOKUP(C432,Tab_Def_Flows[Name(EN)],Tab_Def_Flows[Flow_ID],,0,)</f>
        <v>F_24_24</v>
      </c>
      <c r="C432" s="51"/>
      <c r="D432" s="49">
        <f>_xlfn.XLOOKUP(C432,Tab_Def_Flows[Name(EN)],Tab_Def_Flows[Type_Biomass],,0,)</f>
        <v>0</v>
      </c>
      <c r="E432" s="49">
        <f>_xlfn.XLOOKUP(C432,Tab_Def_Flows[Name(EN)],Tab_Def_Flows[Output_Process],,0,)</f>
        <v>0</v>
      </c>
      <c r="F432" s="49" t="str">
        <f>_xlfn.XLOOKUP(C432,Tab_Def_Flows[Name(EN)],Tab_Def_Flows[Process_ID_O],,0,)</f>
        <v>24__</v>
      </c>
      <c r="G432" s="49">
        <f>_xlfn.XLOOKUP(C432,Tab_Def_Flows[Name(EN)],Tab_Def_Flows[Input_Process],,0,)</f>
        <v>0</v>
      </c>
      <c r="H432" s="61" t="str">
        <f>_xlfn.XLOOKUP(C432,Tab_Def_Flows[Name(EN)],Tab_Def_Flows[Process_ID_I],,0,)</f>
        <v>24__</v>
      </c>
      <c r="I432" s="49">
        <f>_xlfn.XLOOKUP(C432,Tab_Def_Flows[Name(EN)],Tab_Def_Flows[Value_Source],,0,)</f>
        <v>0</v>
      </c>
      <c r="J432" s="61" t="str">
        <f>_xlfn.XLOOKUP(C432,Tab_Def_Flows[Name(EN)],Tab_Def_Flows[WC?],,0,)</f>
        <v>Yes</v>
      </c>
      <c r="K432" s="61" t="str">
        <f>_xlfn.XLOOKUP(C432,Tab_Def_Flows[Name(EN)],Tab_Def_Flows[DM?],,0,)</f>
        <v>Yes</v>
      </c>
      <c r="L432" s="61" t="str">
        <f>_xlfn.XLOOKUP(C432,Tab_Def_Flows[Name(EN)],Tab_Def_Flows[CC?],,0,)</f>
        <v>Yes</v>
      </c>
      <c r="M432" s="51"/>
      <c r="N432" s="51"/>
      <c r="O432" s="119"/>
      <c r="P432" s="51" t="s">
        <v>389</v>
      </c>
      <c r="Q432" s="51"/>
      <c r="R432" s="51"/>
      <c r="S432" s="51"/>
      <c r="T432" s="51"/>
      <c r="U432" s="51"/>
      <c r="V432" s="51"/>
      <c r="W432" s="51"/>
      <c r="X432" s="51" t="s">
        <v>71</v>
      </c>
      <c r="Y432" s="51"/>
      <c r="Z432" s="51"/>
      <c r="AA432" s="86">
        <f t="shared" si="14"/>
        <v>0</v>
      </c>
      <c r="AB432" s="51"/>
      <c r="AC432" s="111" t="e">
        <f>INDEX(Tab_Def_Flows[[Flow_ID]:[CC_DM_source]],MATCH(Tab_Data_Flows[[#This Row],[Name(EN)]],Tab_Def_Flows[Name(EN)],0),16)</f>
        <v>#N/A</v>
      </c>
      <c r="AD432" s="112" t="e">
        <f>IF(J432="Yes",AA432*Tab_Data_Flows[[#This Row],[WC_'[%']]],"N.A.")</f>
        <v>#N/A</v>
      </c>
      <c r="AE432" s="61">
        <f>Tab_Data_Flows[[#This Row],[UoM_Flow_Py]]</f>
        <v>0</v>
      </c>
      <c r="AF432" s="111" t="e">
        <f>INDEX(Tab_Def_Flows[[Flow_ID]:[CC_DM_source]],MATCH(Tab_Data_Flows[[#This Row],[Name(EN)]],Tab_Def_Flows[Name(EN)],0),18)</f>
        <v>#N/A</v>
      </c>
      <c r="AG432" s="112" t="e">
        <f>IF(K432="Yes",AF432*Tab_Data_Flows[[#This Row],[Flow_Py]],"N.A.")</f>
        <v>#N/A</v>
      </c>
      <c r="AH432" s="61">
        <f>Tab_Data_Flows[[#This Row],[UoM_Flow_Py]]</f>
        <v>0</v>
      </c>
      <c r="AI432" s="111" t="e">
        <f>INDEX(Tab_Def_Flows[[Flow_ID]:[CC_DM_source]],MATCH(Tab_Data_Flows[[#This Row],[Name(EN)]],Tab_Def_Flows[Name(EN)],0),20)</f>
        <v>#N/A</v>
      </c>
      <c r="AJ432" s="109" t="e">
        <f>IF(L432="Yes",AI432*Tab_Data_Flows[[#This Row],[Flow_Py]]*Tab_Data_Flows[[#This Row],[DM_'[%']]],"N.A.")</f>
        <v>#N/A</v>
      </c>
      <c r="AK432" s="61">
        <f>Tab_Data_Flows[[#This Row],[UoM_Flow_Py]]</f>
        <v>0</v>
      </c>
    </row>
    <row r="433" spans="1:37" ht="15.75" thickBot="1" x14ac:dyDescent="0.3">
      <c r="A433" s="60">
        <f t="shared" si="15"/>
        <v>432</v>
      </c>
      <c r="B433" s="49" t="str">
        <f>_xlfn.XLOOKUP(C433,Tab_Def_Flows[Name(EN)],Tab_Def_Flows[Flow_ID],,0,)</f>
        <v>F_24_24</v>
      </c>
      <c r="C433" s="51"/>
      <c r="D433" s="49">
        <f>_xlfn.XLOOKUP(C433,Tab_Def_Flows[Name(EN)],Tab_Def_Flows[Type_Biomass],,0,)</f>
        <v>0</v>
      </c>
      <c r="E433" s="49">
        <f>_xlfn.XLOOKUP(C433,Tab_Def_Flows[Name(EN)],Tab_Def_Flows[Output_Process],,0,)</f>
        <v>0</v>
      </c>
      <c r="F433" s="49" t="str">
        <f>_xlfn.XLOOKUP(C433,Tab_Def_Flows[Name(EN)],Tab_Def_Flows[Process_ID_O],,0,)</f>
        <v>24__</v>
      </c>
      <c r="G433" s="49">
        <f>_xlfn.XLOOKUP(C433,Tab_Def_Flows[Name(EN)],Tab_Def_Flows[Input_Process],,0,)</f>
        <v>0</v>
      </c>
      <c r="H433" s="61" t="str">
        <f>_xlfn.XLOOKUP(C433,Tab_Def_Flows[Name(EN)],Tab_Def_Flows[Process_ID_I],,0,)</f>
        <v>24__</v>
      </c>
      <c r="I433" s="49">
        <f>_xlfn.XLOOKUP(C433,Tab_Def_Flows[Name(EN)],Tab_Def_Flows[Value_Source],,0,)</f>
        <v>0</v>
      </c>
      <c r="J433" s="61" t="str">
        <f>_xlfn.XLOOKUP(C433,Tab_Def_Flows[Name(EN)],Tab_Def_Flows[WC?],,0,)</f>
        <v>Yes</v>
      </c>
      <c r="K433" s="61" t="str">
        <f>_xlfn.XLOOKUP(C433,Tab_Def_Flows[Name(EN)],Tab_Def_Flows[DM?],,0,)</f>
        <v>Yes</v>
      </c>
      <c r="L433" s="61" t="str">
        <f>_xlfn.XLOOKUP(C433,Tab_Def_Flows[Name(EN)],Tab_Def_Flows[CC?],,0,)</f>
        <v>Yes</v>
      </c>
      <c r="M433" s="51"/>
      <c r="N433" s="51"/>
      <c r="O433" s="119"/>
      <c r="P433" s="51" t="s">
        <v>389</v>
      </c>
      <c r="Q433" s="51"/>
      <c r="R433" s="51"/>
      <c r="S433" s="51"/>
      <c r="T433" s="51"/>
      <c r="U433" s="51"/>
      <c r="V433" s="51"/>
      <c r="W433" s="51"/>
      <c r="X433" s="51" t="s">
        <v>71</v>
      </c>
      <c r="Y433" s="51"/>
      <c r="Z433" s="51"/>
      <c r="AA433" s="86">
        <f t="shared" si="14"/>
        <v>0</v>
      </c>
      <c r="AB433" s="51"/>
      <c r="AC433" s="111" t="e">
        <f>INDEX(Tab_Def_Flows[[Flow_ID]:[CC_DM_source]],MATCH(Tab_Data_Flows[[#This Row],[Name(EN)]],Tab_Def_Flows[Name(EN)],0),16)</f>
        <v>#N/A</v>
      </c>
      <c r="AD433" s="112" t="e">
        <f>IF(J433="Yes",AA433*Tab_Data_Flows[[#This Row],[WC_'[%']]],"N.A.")</f>
        <v>#N/A</v>
      </c>
      <c r="AE433" s="61">
        <f>Tab_Data_Flows[[#This Row],[UoM_Flow_Py]]</f>
        <v>0</v>
      </c>
      <c r="AF433" s="111" t="e">
        <f>INDEX(Tab_Def_Flows[[Flow_ID]:[CC_DM_source]],MATCH(Tab_Data_Flows[[#This Row],[Name(EN)]],Tab_Def_Flows[Name(EN)],0),18)</f>
        <v>#N/A</v>
      </c>
      <c r="AG433" s="112" t="e">
        <f>IF(K433="Yes",AF433*Tab_Data_Flows[[#This Row],[Flow_Py]],"N.A.")</f>
        <v>#N/A</v>
      </c>
      <c r="AH433" s="61">
        <f>Tab_Data_Flows[[#This Row],[UoM_Flow_Py]]</f>
        <v>0</v>
      </c>
      <c r="AI433" s="111" t="e">
        <f>INDEX(Tab_Def_Flows[[Flow_ID]:[CC_DM_source]],MATCH(Tab_Data_Flows[[#This Row],[Name(EN)]],Tab_Def_Flows[Name(EN)],0),20)</f>
        <v>#N/A</v>
      </c>
      <c r="AJ433" s="109" t="e">
        <f>IF(L433="Yes",AI433*Tab_Data_Flows[[#This Row],[Flow_Py]]*Tab_Data_Flows[[#This Row],[DM_'[%']]],"N.A.")</f>
        <v>#N/A</v>
      </c>
      <c r="AK433" s="61">
        <f>Tab_Data_Flows[[#This Row],[UoM_Flow_Py]]</f>
        <v>0</v>
      </c>
    </row>
    <row r="434" spans="1:37" ht="15.75" thickBot="1" x14ac:dyDescent="0.3">
      <c r="A434" s="60">
        <f t="shared" si="15"/>
        <v>433</v>
      </c>
      <c r="B434" s="49" t="str">
        <f>_xlfn.XLOOKUP(C434,Tab_Def_Flows[Name(EN)],Tab_Def_Flows[Flow_ID],,0,)</f>
        <v>F_24_24</v>
      </c>
      <c r="C434" s="51"/>
      <c r="D434" s="49">
        <f>_xlfn.XLOOKUP(C434,Tab_Def_Flows[Name(EN)],Tab_Def_Flows[Type_Biomass],,0,)</f>
        <v>0</v>
      </c>
      <c r="E434" s="49">
        <f>_xlfn.XLOOKUP(C434,Tab_Def_Flows[Name(EN)],Tab_Def_Flows[Output_Process],,0,)</f>
        <v>0</v>
      </c>
      <c r="F434" s="49" t="str">
        <f>_xlfn.XLOOKUP(C434,Tab_Def_Flows[Name(EN)],Tab_Def_Flows[Process_ID_O],,0,)</f>
        <v>24__</v>
      </c>
      <c r="G434" s="49">
        <f>_xlfn.XLOOKUP(C434,Tab_Def_Flows[Name(EN)],Tab_Def_Flows[Input_Process],,0,)</f>
        <v>0</v>
      </c>
      <c r="H434" s="61" t="str">
        <f>_xlfn.XLOOKUP(C434,Tab_Def_Flows[Name(EN)],Tab_Def_Flows[Process_ID_I],,0,)</f>
        <v>24__</v>
      </c>
      <c r="I434" s="49">
        <f>_xlfn.XLOOKUP(C434,Tab_Def_Flows[Name(EN)],Tab_Def_Flows[Value_Source],,0,)</f>
        <v>0</v>
      </c>
      <c r="J434" s="61" t="str">
        <f>_xlfn.XLOOKUP(C434,Tab_Def_Flows[Name(EN)],Tab_Def_Flows[WC?],,0,)</f>
        <v>Yes</v>
      </c>
      <c r="K434" s="61" t="str">
        <f>_xlfn.XLOOKUP(C434,Tab_Def_Flows[Name(EN)],Tab_Def_Flows[DM?],,0,)</f>
        <v>Yes</v>
      </c>
      <c r="L434" s="61" t="str">
        <f>_xlfn.XLOOKUP(C434,Tab_Def_Flows[Name(EN)],Tab_Def_Flows[CC?],,0,)</f>
        <v>Yes</v>
      </c>
      <c r="M434" s="51"/>
      <c r="N434" s="51"/>
      <c r="O434" s="119"/>
      <c r="P434" s="51" t="s">
        <v>389</v>
      </c>
      <c r="Q434" s="51"/>
      <c r="R434" s="51"/>
      <c r="S434" s="51"/>
      <c r="T434" s="51"/>
      <c r="U434" s="51"/>
      <c r="V434" s="51"/>
      <c r="W434" s="51"/>
      <c r="X434" s="51" t="s">
        <v>71</v>
      </c>
      <c r="Y434" s="51"/>
      <c r="Z434" s="51"/>
      <c r="AA434" s="86">
        <f t="shared" si="14"/>
        <v>0</v>
      </c>
      <c r="AB434" s="51"/>
      <c r="AC434" s="111" t="e">
        <f>INDEX(Tab_Def_Flows[[Flow_ID]:[CC_DM_source]],MATCH(Tab_Data_Flows[[#This Row],[Name(EN)]],Tab_Def_Flows[Name(EN)],0),16)</f>
        <v>#N/A</v>
      </c>
      <c r="AD434" s="112" t="e">
        <f>IF(J434="Yes",AA434*Tab_Data_Flows[[#This Row],[WC_'[%']]],"N.A.")</f>
        <v>#N/A</v>
      </c>
      <c r="AE434" s="61">
        <f>Tab_Data_Flows[[#This Row],[UoM_Flow_Py]]</f>
        <v>0</v>
      </c>
      <c r="AF434" s="111" t="e">
        <f>INDEX(Tab_Def_Flows[[Flow_ID]:[CC_DM_source]],MATCH(Tab_Data_Flows[[#This Row],[Name(EN)]],Tab_Def_Flows[Name(EN)],0),18)</f>
        <v>#N/A</v>
      </c>
      <c r="AG434" s="112" t="e">
        <f>IF(K434="Yes",AF434*Tab_Data_Flows[[#This Row],[Flow_Py]],"N.A.")</f>
        <v>#N/A</v>
      </c>
      <c r="AH434" s="61">
        <f>Tab_Data_Flows[[#This Row],[UoM_Flow_Py]]</f>
        <v>0</v>
      </c>
      <c r="AI434" s="111" t="e">
        <f>INDEX(Tab_Def_Flows[[Flow_ID]:[CC_DM_source]],MATCH(Tab_Data_Flows[[#This Row],[Name(EN)]],Tab_Def_Flows[Name(EN)],0),20)</f>
        <v>#N/A</v>
      </c>
      <c r="AJ434" s="109" t="e">
        <f>IF(L434="Yes",AI434*Tab_Data_Flows[[#This Row],[Flow_Py]]*Tab_Data_Flows[[#This Row],[DM_'[%']]],"N.A.")</f>
        <v>#N/A</v>
      </c>
      <c r="AK434" s="61">
        <f>Tab_Data_Flows[[#This Row],[UoM_Flow_Py]]</f>
        <v>0</v>
      </c>
    </row>
    <row r="435" spans="1:37" ht="15.75" thickBot="1" x14ac:dyDescent="0.3">
      <c r="A435" s="60">
        <f t="shared" si="15"/>
        <v>434</v>
      </c>
      <c r="B435" s="49" t="str">
        <f>_xlfn.XLOOKUP(C435,Tab_Def_Flows[Name(EN)],Tab_Def_Flows[Flow_ID],,0,)</f>
        <v>F_24_24</v>
      </c>
      <c r="C435" s="51"/>
      <c r="D435" s="49">
        <f>_xlfn.XLOOKUP(C435,Tab_Def_Flows[Name(EN)],Tab_Def_Flows[Type_Biomass],,0,)</f>
        <v>0</v>
      </c>
      <c r="E435" s="49">
        <f>_xlfn.XLOOKUP(C435,Tab_Def_Flows[Name(EN)],Tab_Def_Flows[Output_Process],,0,)</f>
        <v>0</v>
      </c>
      <c r="F435" s="49" t="str">
        <f>_xlfn.XLOOKUP(C435,Tab_Def_Flows[Name(EN)],Tab_Def_Flows[Process_ID_O],,0,)</f>
        <v>24__</v>
      </c>
      <c r="G435" s="49">
        <f>_xlfn.XLOOKUP(C435,Tab_Def_Flows[Name(EN)],Tab_Def_Flows[Input_Process],,0,)</f>
        <v>0</v>
      </c>
      <c r="H435" s="61" t="str">
        <f>_xlfn.XLOOKUP(C435,Tab_Def_Flows[Name(EN)],Tab_Def_Flows[Process_ID_I],,0,)</f>
        <v>24__</v>
      </c>
      <c r="I435" s="49">
        <f>_xlfn.XLOOKUP(C435,Tab_Def_Flows[Name(EN)],Tab_Def_Flows[Value_Source],,0,)</f>
        <v>0</v>
      </c>
      <c r="J435" s="61" t="str">
        <f>_xlfn.XLOOKUP(C435,Tab_Def_Flows[Name(EN)],Tab_Def_Flows[WC?],,0,)</f>
        <v>Yes</v>
      </c>
      <c r="K435" s="61" t="str">
        <f>_xlfn.XLOOKUP(C435,Tab_Def_Flows[Name(EN)],Tab_Def_Flows[DM?],,0,)</f>
        <v>Yes</v>
      </c>
      <c r="L435" s="61" t="str">
        <f>_xlfn.XLOOKUP(C435,Tab_Def_Flows[Name(EN)],Tab_Def_Flows[CC?],,0,)</f>
        <v>Yes</v>
      </c>
      <c r="M435" s="51"/>
      <c r="N435" s="51"/>
      <c r="O435" s="119"/>
      <c r="P435" s="51" t="s">
        <v>389</v>
      </c>
      <c r="Q435" s="51"/>
      <c r="R435" s="51"/>
      <c r="S435" s="51"/>
      <c r="T435" s="51"/>
      <c r="U435" s="51"/>
      <c r="V435" s="51"/>
      <c r="W435" s="51"/>
      <c r="X435" s="51" t="s">
        <v>71</v>
      </c>
      <c r="Y435" s="51"/>
      <c r="Z435" s="51"/>
      <c r="AA435" s="86">
        <f t="shared" ref="AA435:AA466" si="16">IF(X435="no",O435,O435*Y435)</f>
        <v>0</v>
      </c>
      <c r="AB435" s="51"/>
      <c r="AC435" s="111" t="e">
        <f>INDEX(Tab_Def_Flows[[Flow_ID]:[CC_DM_source]],MATCH(Tab_Data_Flows[[#This Row],[Name(EN)]],Tab_Def_Flows[Name(EN)],0),16)</f>
        <v>#N/A</v>
      </c>
      <c r="AD435" s="112" t="e">
        <f>IF(J435="Yes",AA435*Tab_Data_Flows[[#This Row],[WC_'[%']]],"N.A.")</f>
        <v>#N/A</v>
      </c>
      <c r="AE435" s="61">
        <f>Tab_Data_Flows[[#This Row],[UoM_Flow_Py]]</f>
        <v>0</v>
      </c>
      <c r="AF435" s="111" t="e">
        <f>INDEX(Tab_Def_Flows[[Flow_ID]:[CC_DM_source]],MATCH(Tab_Data_Flows[[#This Row],[Name(EN)]],Tab_Def_Flows[Name(EN)],0),18)</f>
        <v>#N/A</v>
      </c>
      <c r="AG435" s="112" t="e">
        <f>IF(K435="Yes",AF435*Tab_Data_Flows[[#This Row],[Flow_Py]],"N.A.")</f>
        <v>#N/A</v>
      </c>
      <c r="AH435" s="61">
        <f>Tab_Data_Flows[[#This Row],[UoM_Flow_Py]]</f>
        <v>0</v>
      </c>
      <c r="AI435" s="111" t="e">
        <f>INDEX(Tab_Def_Flows[[Flow_ID]:[CC_DM_source]],MATCH(Tab_Data_Flows[[#This Row],[Name(EN)]],Tab_Def_Flows[Name(EN)],0),20)</f>
        <v>#N/A</v>
      </c>
      <c r="AJ435" s="109" t="e">
        <f>IF(L435="Yes",AI435*Tab_Data_Flows[[#This Row],[Flow_Py]]*Tab_Data_Flows[[#This Row],[DM_'[%']]],"N.A.")</f>
        <v>#N/A</v>
      </c>
      <c r="AK435" s="61">
        <f>Tab_Data_Flows[[#This Row],[UoM_Flow_Py]]</f>
        <v>0</v>
      </c>
    </row>
    <row r="436" spans="1:37" ht="15.75" thickBot="1" x14ac:dyDescent="0.3">
      <c r="A436" s="60">
        <f t="shared" si="15"/>
        <v>435</v>
      </c>
      <c r="B436" s="49" t="str">
        <f>_xlfn.XLOOKUP(C436,Tab_Def_Flows[Name(EN)],Tab_Def_Flows[Flow_ID],,0,)</f>
        <v>F_24_24</v>
      </c>
      <c r="C436" s="51"/>
      <c r="D436" s="49">
        <f>_xlfn.XLOOKUP(C436,Tab_Def_Flows[Name(EN)],Tab_Def_Flows[Type_Biomass],,0,)</f>
        <v>0</v>
      </c>
      <c r="E436" s="49">
        <f>_xlfn.XLOOKUP(C436,Tab_Def_Flows[Name(EN)],Tab_Def_Flows[Output_Process],,0,)</f>
        <v>0</v>
      </c>
      <c r="F436" s="49" t="str">
        <f>_xlfn.XLOOKUP(C436,Tab_Def_Flows[Name(EN)],Tab_Def_Flows[Process_ID_O],,0,)</f>
        <v>24__</v>
      </c>
      <c r="G436" s="49">
        <f>_xlfn.XLOOKUP(C436,Tab_Def_Flows[Name(EN)],Tab_Def_Flows[Input_Process],,0,)</f>
        <v>0</v>
      </c>
      <c r="H436" s="61" t="str">
        <f>_xlfn.XLOOKUP(C436,Tab_Def_Flows[Name(EN)],Tab_Def_Flows[Process_ID_I],,0,)</f>
        <v>24__</v>
      </c>
      <c r="I436" s="49">
        <f>_xlfn.XLOOKUP(C436,Tab_Def_Flows[Name(EN)],Tab_Def_Flows[Value_Source],,0,)</f>
        <v>0</v>
      </c>
      <c r="J436" s="61" t="str">
        <f>_xlfn.XLOOKUP(C436,Tab_Def_Flows[Name(EN)],Tab_Def_Flows[WC?],,0,)</f>
        <v>Yes</v>
      </c>
      <c r="K436" s="61" t="str">
        <f>_xlfn.XLOOKUP(C436,Tab_Def_Flows[Name(EN)],Tab_Def_Flows[DM?],,0,)</f>
        <v>Yes</v>
      </c>
      <c r="L436" s="61" t="str">
        <f>_xlfn.XLOOKUP(C436,Tab_Def_Flows[Name(EN)],Tab_Def_Flows[CC?],,0,)</f>
        <v>Yes</v>
      </c>
      <c r="M436" s="51"/>
      <c r="N436" s="51"/>
      <c r="O436" s="119"/>
      <c r="P436" s="51" t="s">
        <v>389</v>
      </c>
      <c r="Q436" s="51"/>
      <c r="R436" s="51"/>
      <c r="S436" s="51"/>
      <c r="T436" s="51"/>
      <c r="U436" s="51"/>
      <c r="V436" s="51"/>
      <c r="W436" s="51"/>
      <c r="X436" s="51" t="s">
        <v>71</v>
      </c>
      <c r="Y436" s="51"/>
      <c r="Z436" s="51"/>
      <c r="AA436" s="86">
        <f t="shared" si="16"/>
        <v>0</v>
      </c>
      <c r="AB436" s="51"/>
      <c r="AC436" s="111" t="e">
        <f>INDEX(Tab_Def_Flows[[Flow_ID]:[CC_DM_source]],MATCH(Tab_Data_Flows[[#This Row],[Name(EN)]],Tab_Def_Flows[Name(EN)],0),16)</f>
        <v>#N/A</v>
      </c>
      <c r="AD436" s="112" t="e">
        <f>IF(J436="Yes",AA436*Tab_Data_Flows[[#This Row],[WC_'[%']]],"N.A.")</f>
        <v>#N/A</v>
      </c>
      <c r="AE436" s="61">
        <f>Tab_Data_Flows[[#This Row],[UoM_Flow_Py]]</f>
        <v>0</v>
      </c>
      <c r="AF436" s="111" t="e">
        <f>INDEX(Tab_Def_Flows[[Flow_ID]:[CC_DM_source]],MATCH(Tab_Data_Flows[[#This Row],[Name(EN)]],Tab_Def_Flows[Name(EN)],0),18)</f>
        <v>#N/A</v>
      </c>
      <c r="AG436" s="112" t="e">
        <f>IF(K436="Yes",AF436*Tab_Data_Flows[[#This Row],[Flow_Py]],"N.A.")</f>
        <v>#N/A</v>
      </c>
      <c r="AH436" s="61">
        <f>Tab_Data_Flows[[#This Row],[UoM_Flow_Py]]</f>
        <v>0</v>
      </c>
      <c r="AI436" s="111" t="e">
        <f>INDEX(Tab_Def_Flows[[Flow_ID]:[CC_DM_source]],MATCH(Tab_Data_Flows[[#This Row],[Name(EN)]],Tab_Def_Flows[Name(EN)],0),20)</f>
        <v>#N/A</v>
      </c>
      <c r="AJ436" s="109" t="e">
        <f>IF(L436="Yes",AI436*Tab_Data_Flows[[#This Row],[Flow_Py]]*Tab_Data_Flows[[#This Row],[DM_'[%']]],"N.A.")</f>
        <v>#N/A</v>
      </c>
      <c r="AK436" s="61">
        <f>Tab_Data_Flows[[#This Row],[UoM_Flow_Py]]</f>
        <v>0</v>
      </c>
    </row>
    <row r="437" spans="1:37" ht="15.75" thickBot="1" x14ac:dyDescent="0.3">
      <c r="A437" s="60">
        <f t="shared" si="15"/>
        <v>436</v>
      </c>
      <c r="B437" s="49" t="str">
        <f>_xlfn.XLOOKUP(C437,Tab_Def_Flows[Name(EN)],Tab_Def_Flows[Flow_ID],,0,)</f>
        <v>F_24_24</v>
      </c>
      <c r="C437" s="51"/>
      <c r="D437" s="49">
        <f>_xlfn.XLOOKUP(C437,Tab_Def_Flows[Name(EN)],Tab_Def_Flows[Type_Biomass],,0,)</f>
        <v>0</v>
      </c>
      <c r="E437" s="49">
        <f>_xlfn.XLOOKUP(C437,Tab_Def_Flows[Name(EN)],Tab_Def_Flows[Output_Process],,0,)</f>
        <v>0</v>
      </c>
      <c r="F437" s="49" t="str">
        <f>_xlfn.XLOOKUP(C437,Tab_Def_Flows[Name(EN)],Tab_Def_Flows[Process_ID_O],,0,)</f>
        <v>24__</v>
      </c>
      <c r="G437" s="49">
        <f>_xlfn.XLOOKUP(C437,Tab_Def_Flows[Name(EN)],Tab_Def_Flows[Input_Process],,0,)</f>
        <v>0</v>
      </c>
      <c r="H437" s="61" t="str">
        <f>_xlfn.XLOOKUP(C437,Tab_Def_Flows[Name(EN)],Tab_Def_Flows[Process_ID_I],,0,)</f>
        <v>24__</v>
      </c>
      <c r="I437" s="49">
        <f>_xlfn.XLOOKUP(C437,Tab_Def_Flows[Name(EN)],Tab_Def_Flows[Value_Source],,0,)</f>
        <v>0</v>
      </c>
      <c r="J437" s="61" t="str">
        <f>_xlfn.XLOOKUP(C437,Tab_Def_Flows[Name(EN)],Tab_Def_Flows[WC?],,0,)</f>
        <v>Yes</v>
      </c>
      <c r="K437" s="61" t="str">
        <f>_xlfn.XLOOKUP(C437,Tab_Def_Flows[Name(EN)],Tab_Def_Flows[DM?],,0,)</f>
        <v>Yes</v>
      </c>
      <c r="L437" s="61" t="str">
        <f>_xlfn.XLOOKUP(C437,Tab_Def_Flows[Name(EN)],Tab_Def_Flows[CC?],,0,)</f>
        <v>Yes</v>
      </c>
      <c r="M437" s="51"/>
      <c r="N437" s="51"/>
      <c r="O437" s="119"/>
      <c r="P437" s="51" t="s">
        <v>389</v>
      </c>
      <c r="Q437" s="51"/>
      <c r="R437" s="51"/>
      <c r="S437" s="51"/>
      <c r="T437" s="51"/>
      <c r="U437" s="51"/>
      <c r="V437" s="51"/>
      <c r="W437" s="51"/>
      <c r="X437" s="51" t="s">
        <v>71</v>
      </c>
      <c r="Y437" s="51"/>
      <c r="Z437" s="51"/>
      <c r="AA437" s="86">
        <f t="shared" si="16"/>
        <v>0</v>
      </c>
      <c r="AB437" s="51"/>
      <c r="AC437" s="111" t="e">
        <f>INDEX(Tab_Def_Flows[[Flow_ID]:[CC_DM_source]],MATCH(Tab_Data_Flows[[#This Row],[Name(EN)]],Tab_Def_Flows[Name(EN)],0),16)</f>
        <v>#N/A</v>
      </c>
      <c r="AD437" s="112" t="e">
        <f>IF(J437="Yes",AA437*Tab_Data_Flows[[#This Row],[WC_'[%']]],"N.A.")</f>
        <v>#N/A</v>
      </c>
      <c r="AE437" s="61">
        <f>Tab_Data_Flows[[#This Row],[UoM_Flow_Py]]</f>
        <v>0</v>
      </c>
      <c r="AF437" s="111" t="e">
        <f>INDEX(Tab_Def_Flows[[Flow_ID]:[CC_DM_source]],MATCH(Tab_Data_Flows[[#This Row],[Name(EN)]],Tab_Def_Flows[Name(EN)],0),18)</f>
        <v>#N/A</v>
      </c>
      <c r="AG437" s="112" t="e">
        <f>IF(K437="Yes",AF437*Tab_Data_Flows[[#This Row],[Flow_Py]],"N.A.")</f>
        <v>#N/A</v>
      </c>
      <c r="AH437" s="61">
        <f>Tab_Data_Flows[[#This Row],[UoM_Flow_Py]]</f>
        <v>0</v>
      </c>
      <c r="AI437" s="111" t="e">
        <f>INDEX(Tab_Def_Flows[[Flow_ID]:[CC_DM_source]],MATCH(Tab_Data_Flows[[#This Row],[Name(EN)]],Tab_Def_Flows[Name(EN)],0),20)</f>
        <v>#N/A</v>
      </c>
      <c r="AJ437" s="109" t="e">
        <f>IF(L437="Yes",AI437*Tab_Data_Flows[[#This Row],[Flow_Py]]*Tab_Data_Flows[[#This Row],[DM_'[%']]],"N.A.")</f>
        <v>#N/A</v>
      </c>
      <c r="AK437" s="61">
        <f>Tab_Data_Flows[[#This Row],[UoM_Flow_Py]]</f>
        <v>0</v>
      </c>
    </row>
    <row r="438" spans="1:37" ht="15.75" thickBot="1" x14ac:dyDescent="0.3">
      <c r="A438" s="60">
        <f t="shared" si="15"/>
        <v>437</v>
      </c>
      <c r="B438" s="49" t="str">
        <f>_xlfn.XLOOKUP(C438,Tab_Def_Flows[Name(EN)],Tab_Def_Flows[Flow_ID],,0,)</f>
        <v>F_24_24</v>
      </c>
      <c r="C438" s="51"/>
      <c r="D438" s="49">
        <f>_xlfn.XLOOKUP(C438,Tab_Def_Flows[Name(EN)],Tab_Def_Flows[Type_Biomass],,0,)</f>
        <v>0</v>
      </c>
      <c r="E438" s="49">
        <f>_xlfn.XLOOKUP(C438,Tab_Def_Flows[Name(EN)],Tab_Def_Flows[Output_Process],,0,)</f>
        <v>0</v>
      </c>
      <c r="F438" s="49" t="str">
        <f>_xlfn.XLOOKUP(C438,Tab_Def_Flows[Name(EN)],Tab_Def_Flows[Process_ID_O],,0,)</f>
        <v>24__</v>
      </c>
      <c r="G438" s="49">
        <f>_xlfn.XLOOKUP(C438,Tab_Def_Flows[Name(EN)],Tab_Def_Flows[Input_Process],,0,)</f>
        <v>0</v>
      </c>
      <c r="H438" s="61" t="str">
        <f>_xlfn.XLOOKUP(C438,Tab_Def_Flows[Name(EN)],Tab_Def_Flows[Process_ID_I],,0,)</f>
        <v>24__</v>
      </c>
      <c r="I438" s="49">
        <f>_xlfn.XLOOKUP(C438,Tab_Def_Flows[Name(EN)],Tab_Def_Flows[Value_Source],,0,)</f>
        <v>0</v>
      </c>
      <c r="J438" s="61" t="str">
        <f>_xlfn.XLOOKUP(C438,Tab_Def_Flows[Name(EN)],Tab_Def_Flows[WC?],,0,)</f>
        <v>Yes</v>
      </c>
      <c r="K438" s="61" t="str">
        <f>_xlfn.XLOOKUP(C438,Tab_Def_Flows[Name(EN)],Tab_Def_Flows[DM?],,0,)</f>
        <v>Yes</v>
      </c>
      <c r="L438" s="61" t="str">
        <f>_xlfn.XLOOKUP(C438,Tab_Def_Flows[Name(EN)],Tab_Def_Flows[CC?],,0,)</f>
        <v>Yes</v>
      </c>
      <c r="M438" s="51"/>
      <c r="N438" s="51"/>
      <c r="O438" s="119"/>
      <c r="P438" s="51" t="s">
        <v>389</v>
      </c>
      <c r="Q438" s="51"/>
      <c r="R438" s="51"/>
      <c r="S438" s="51"/>
      <c r="T438" s="51"/>
      <c r="U438" s="51"/>
      <c r="V438" s="51"/>
      <c r="W438" s="51"/>
      <c r="X438" s="51" t="s">
        <v>71</v>
      </c>
      <c r="Y438" s="51"/>
      <c r="Z438" s="51"/>
      <c r="AA438" s="86">
        <f t="shared" si="16"/>
        <v>0</v>
      </c>
      <c r="AB438" s="51"/>
      <c r="AC438" s="111" t="e">
        <f>INDEX(Tab_Def_Flows[[Flow_ID]:[CC_DM_source]],MATCH(Tab_Data_Flows[[#This Row],[Name(EN)]],Tab_Def_Flows[Name(EN)],0),16)</f>
        <v>#N/A</v>
      </c>
      <c r="AD438" s="112" t="e">
        <f>IF(J438="Yes",AA438*Tab_Data_Flows[[#This Row],[WC_'[%']]],"N.A.")</f>
        <v>#N/A</v>
      </c>
      <c r="AE438" s="61">
        <f>Tab_Data_Flows[[#This Row],[UoM_Flow_Py]]</f>
        <v>0</v>
      </c>
      <c r="AF438" s="111" t="e">
        <f>INDEX(Tab_Def_Flows[[Flow_ID]:[CC_DM_source]],MATCH(Tab_Data_Flows[[#This Row],[Name(EN)]],Tab_Def_Flows[Name(EN)],0),18)</f>
        <v>#N/A</v>
      </c>
      <c r="AG438" s="112" t="e">
        <f>IF(K438="Yes",AF438*Tab_Data_Flows[[#This Row],[Flow_Py]],"N.A.")</f>
        <v>#N/A</v>
      </c>
      <c r="AH438" s="61">
        <f>Tab_Data_Flows[[#This Row],[UoM_Flow_Py]]</f>
        <v>0</v>
      </c>
      <c r="AI438" s="111" t="e">
        <f>INDEX(Tab_Def_Flows[[Flow_ID]:[CC_DM_source]],MATCH(Tab_Data_Flows[[#This Row],[Name(EN)]],Tab_Def_Flows[Name(EN)],0),20)</f>
        <v>#N/A</v>
      </c>
      <c r="AJ438" s="109" t="e">
        <f>IF(L438="Yes",AI438*Tab_Data_Flows[[#This Row],[Flow_Py]]*Tab_Data_Flows[[#This Row],[DM_'[%']]],"N.A.")</f>
        <v>#N/A</v>
      </c>
      <c r="AK438" s="61">
        <f>Tab_Data_Flows[[#This Row],[UoM_Flow_Py]]</f>
        <v>0</v>
      </c>
    </row>
    <row r="439" spans="1:37" ht="15.75" thickBot="1" x14ac:dyDescent="0.3">
      <c r="A439" s="60">
        <f t="shared" si="15"/>
        <v>438</v>
      </c>
      <c r="B439" s="49" t="str">
        <f>_xlfn.XLOOKUP(C439,Tab_Def_Flows[Name(EN)],Tab_Def_Flows[Flow_ID],,0,)</f>
        <v>F_24_24</v>
      </c>
      <c r="C439" s="51"/>
      <c r="D439" s="49">
        <f>_xlfn.XLOOKUP(C439,Tab_Def_Flows[Name(EN)],Tab_Def_Flows[Type_Biomass],,0,)</f>
        <v>0</v>
      </c>
      <c r="E439" s="49">
        <f>_xlfn.XLOOKUP(C439,Tab_Def_Flows[Name(EN)],Tab_Def_Flows[Output_Process],,0,)</f>
        <v>0</v>
      </c>
      <c r="F439" s="49" t="str">
        <f>_xlfn.XLOOKUP(C439,Tab_Def_Flows[Name(EN)],Tab_Def_Flows[Process_ID_O],,0,)</f>
        <v>24__</v>
      </c>
      <c r="G439" s="49">
        <f>_xlfn.XLOOKUP(C439,Tab_Def_Flows[Name(EN)],Tab_Def_Flows[Input_Process],,0,)</f>
        <v>0</v>
      </c>
      <c r="H439" s="61" t="str">
        <f>_xlfn.XLOOKUP(C439,Tab_Def_Flows[Name(EN)],Tab_Def_Flows[Process_ID_I],,0,)</f>
        <v>24__</v>
      </c>
      <c r="I439" s="49">
        <f>_xlfn.XLOOKUP(C439,Tab_Def_Flows[Name(EN)],Tab_Def_Flows[Value_Source],,0,)</f>
        <v>0</v>
      </c>
      <c r="J439" s="61" t="str">
        <f>_xlfn.XLOOKUP(C439,Tab_Def_Flows[Name(EN)],Tab_Def_Flows[WC?],,0,)</f>
        <v>Yes</v>
      </c>
      <c r="K439" s="61" t="str">
        <f>_xlfn.XLOOKUP(C439,Tab_Def_Flows[Name(EN)],Tab_Def_Flows[DM?],,0,)</f>
        <v>Yes</v>
      </c>
      <c r="L439" s="61" t="str">
        <f>_xlfn.XLOOKUP(C439,Tab_Def_Flows[Name(EN)],Tab_Def_Flows[CC?],,0,)</f>
        <v>Yes</v>
      </c>
      <c r="M439" s="51"/>
      <c r="N439" s="51"/>
      <c r="O439" s="119"/>
      <c r="P439" s="51" t="s">
        <v>389</v>
      </c>
      <c r="Q439" s="51"/>
      <c r="R439" s="51"/>
      <c r="S439" s="51"/>
      <c r="T439" s="51"/>
      <c r="U439" s="51"/>
      <c r="V439" s="51"/>
      <c r="W439" s="51"/>
      <c r="X439" s="51" t="s">
        <v>71</v>
      </c>
      <c r="Y439" s="51"/>
      <c r="Z439" s="51"/>
      <c r="AA439" s="86">
        <f t="shared" si="16"/>
        <v>0</v>
      </c>
      <c r="AB439" s="51"/>
      <c r="AC439" s="111" t="e">
        <f>INDEX(Tab_Def_Flows[[Flow_ID]:[CC_DM_source]],MATCH(Tab_Data_Flows[[#This Row],[Name(EN)]],Tab_Def_Flows[Name(EN)],0),16)</f>
        <v>#N/A</v>
      </c>
      <c r="AD439" s="112" t="e">
        <f>IF(J439="Yes",AA439*Tab_Data_Flows[[#This Row],[WC_'[%']]],"N.A.")</f>
        <v>#N/A</v>
      </c>
      <c r="AE439" s="61">
        <f>Tab_Data_Flows[[#This Row],[UoM_Flow_Py]]</f>
        <v>0</v>
      </c>
      <c r="AF439" s="111" t="e">
        <f>INDEX(Tab_Def_Flows[[Flow_ID]:[CC_DM_source]],MATCH(Tab_Data_Flows[[#This Row],[Name(EN)]],Tab_Def_Flows[Name(EN)],0),18)</f>
        <v>#N/A</v>
      </c>
      <c r="AG439" s="112" t="e">
        <f>IF(K439="Yes",AF439*Tab_Data_Flows[[#This Row],[Flow_Py]],"N.A.")</f>
        <v>#N/A</v>
      </c>
      <c r="AH439" s="61">
        <f>Tab_Data_Flows[[#This Row],[UoM_Flow_Py]]</f>
        <v>0</v>
      </c>
      <c r="AI439" s="111" t="e">
        <f>INDEX(Tab_Def_Flows[[Flow_ID]:[CC_DM_source]],MATCH(Tab_Data_Flows[[#This Row],[Name(EN)]],Tab_Def_Flows[Name(EN)],0),20)</f>
        <v>#N/A</v>
      </c>
      <c r="AJ439" s="109" t="e">
        <f>IF(L439="Yes",AI439*Tab_Data_Flows[[#This Row],[Flow_Py]]*Tab_Data_Flows[[#This Row],[DM_'[%']]],"N.A.")</f>
        <v>#N/A</v>
      </c>
      <c r="AK439" s="61">
        <f>Tab_Data_Flows[[#This Row],[UoM_Flow_Py]]</f>
        <v>0</v>
      </c>
    </row>
    <row r="440" spans="1:37" ht="15.75" thickBot="1" x14ac:dyDescent="0.3">
      <c r="A440" s="60">
        <f t="shared" si="15"/>
        <v>439</v>
      </c>
      <c r="B440" s="49" t="str">
        <f>_xlfn.XLOOKUP(C440,Tab_Def_Flows[Name(EN)],Tab_Def_Flows[Flow_ID],,0,)</f>
        <v>F_24_24</v>
      </c>
      <c r="C440" s="51"/>
      <c r="D440" s="49">
        <f>_xlfn.XLOOKUP(C440,Tab_Def_Flows[Name(EN)],Tab_Def_Flows[Type_Biomass],,0,)</f>
        <v>0</v>
      </c>
      <c r="E440" s="49">
        <f>_xlfn.XLOOKUP(C440,Tab_Def_Flows[Name(EN)],Tab_Def_Flows[Output_Process],,0,)</f>
        <v>0</v>
      </c>
      <c r="F440" s="49" t="str">
        <f>_xlfn.XLOOKUP(C440,Tab_Def_Flows[Name(EN)],Tab_Def_Flows[Process_ID_O],,0,)</f>
        <v>24__</v>
      </c>
      <c r="G440" s="49">
        <f>_xlfn.XLOOKUP(C440,Tab_Def_Flows[Name(EN)],Tab_Def_Flows[Input_Process],,0,)</f>
        <v>0</v>
      </c>
      <c r="H440" s="61" t="str">
        <f>_xlfn.XLOOKUP(C440,Tab_Def_Flows[Name(EN)],Tab_Def_Flows[Process_ID_I],,0,)</f>
        <v>24__</v>
      </c>
      <c r="I440" s="49">
        <f>_xlfn.XLOOKUP(C440,Tab_Def_Flows[Name(EN)],Tab_Def_Flows[Value_Source],,0,)</f>
        <v>0</v>
      </c>
      <c r="J440" s="61" t="str">
        <f>_xlfn.XLOOKUP(C440,Tab_Def_Flows[Name(EN)],Tab_Def_Flows[WC?],,0,)</f>
        <v>Yes</v>
      </c>
      <c r="K440" s="61" t="str">
        <f>_xlfn.XLOOKUP(C440,Tab_Def_Flows[Name(EN)],Tab_Def_Flows[DM?],,0,)</f>
        <v>Yes</v>
      </c>
      <c r="L440" s="61" t="str">
        <f>_xlfn.XLOOKUP(C440,Tab_Def_Flows[Name(EN)],Tab_Def_Flows[CC?],,0,)</f>
        <v>Yes</v>
      </c>
      <c r="M440" s="51"/>
      <c r="N440" s="51"/>
      <c r="O440" s="119"/>
      <c r="P440" s="51" t="s">
        <v>389</v>
      </c>
      <c r="Q440" s="51"/>
      <c r="R440" s="51"/>
      <c r="S440" s="51"/>
      <c r="T440" s="51"/>
      <c r="U440" s="51"/>
      <c r="V440" s="51"/>
      <c r="W440" s="51"/>
      <c r="X440" s="51" t="s">
        <v>71</v>
      </c>
      <c r="Y440" s="51"/>
      <c r="Z440" s="51"/>
      <c r="AA440" s="86">
        <f t="shared" si="16"/>
        <v>0</v>
      </c>
      <c r="AB440" s="51"/>
      <c r="AC440" s="111" t="e">
        <f>INDEX(Tab_Def_Flows[[Flow_ID]:[CC_DM_source]],MATCH(Tab_Data_Flows[[#This Row],[Name(EN)]],Tab_Def_Flows[Name(EN)],0),16)</f>
        <v>#N/A</v>
      </c>
      <c r="AD440" s="112" t="e">
        <f>IF(J440="Yes",AA440*Tab_Data_Flows[[#This Row],[WC_'[%']]],"N.A.")</f>
        <v>#N/A</v>
      </c>
      <c r="AE440" s="61">
        <f>Tab_Data_Flows[[#This Row],[UoM_Flow_Py]]</f>
        <v>0</v>
      </c>
      <c r="AF440" s="111" t="e">
        <f>INDEX(Tab_Def_Flows[[Flow_ID]:[CC_DM_source]],MATCH(Tab_Data_Flows[[#This Row],[Name(EN)]],Tab_Def_Flows[Name(EN)],0),18)</f>
        <v>#N/A</v>
      </c>
      <c r="AG440" s="112" t="e">
        <f>IF(K440="Yes",AF440*Tab_Data_Flows[[#This Row],[Flow_Py]],"N.A.")</f>
        <v>#N/A</v>
      </c>
      <c r="AH440" s="61">
        <f>Tab_Data_Flows[[#This Row],[UoM_Flow_Py]]</f>
        <v>0</v>
      </c>
      <c r="AI440" s="111" t="e">
        <f>INDEX(Tab_Def_Flows[[Flow_ID]:[CC_DM_source]],MATCH(Tab_Data_Flows[[#This Row],[Name(EN)]],Tab_Def_Flows[Name(EN)],0),20)</f>
        <v>#N/A</v>
      </c>
      <c r="AJ440" s="109" t="e">
        <f>IF(L440="Yes",AI440*Tab_Data_Flows[[#This Row],[Flow_Py]]*Tab_Data_Flows[[#This Row],[DM_'[%']]],"N.A.")</f>
        <v>#N/A</v>
      </c>
      <c r="AK440" s="61">
        <f>Tab_Data_Flows[[#This Row],[UoM_Flow_Py]]</f>
        <v>0</v>
      </c>
    </row>
    <row r="441" spans="1:37" ht="15.75" thickBot="1" x14ac:dyDescent="0.3">
      <c r="A441" s="60">
        <f t="shared" si="15"/>
        <v>440</v>
      </c>
      <c r="B441" s="49" t="str">
        <f>_xlfn.XLOOKUP(C441,Tab_Def_Flows[Name(EN)],Tab_Def_Flows[Flow_ID],,0,)</f>
        <v>F_24_24</v>
      </c>
      <c r="C441" s="51"/>
      <c r="D441" s="49">
        <f>_xlfn.XLOOKUP(C441,Tab_Def_Flows[Name(EN)],Tab_Def_Flows[Type_Biomass],,0,)</f>
        <v>0</v>
      </c>
      <c r="E441" s="49">
        <f>_xlfn.XLOOKUP(C441,Tab_Def_Flows[Name(EN)],Tab_Def_Flows[Output_Process],,0,)</f>
        <v>0</v>
      </c>
      <c r="F441" s="49" t="str">
        <f>_xlfn.XLOOKUP(C441,Tab_Def_Flows[Name(EN)],Tab_Def_Flows[Process_ID_O],,0,)</f>
        <v>24__</v>
      </c>
      <c r="G441" s="49">
        <f>_xlfn.XLOOKUP(C441,Tab_Def_Flows[Name(EN)],Tab_Def_Flows[Input_Process],,0,)</f>
        <v>0</v>
      </c>
      <c r="H441" s="61" t="str">
        <f>_xlfn.XLOOKUP(C441,Tab_Def_Flows[Name(EN)],Tab_Def_Flows[Process_ID_I],,0,)</f>
        <v>24__</v>
      </c>
      <c r="I441" s="49">
        <f>_xlfn.XLOOKUP(C441,Tab_Def_Flows[Name(EN)],Tab_Def_Flows[Value_Source],,0,)</f>
        <v>0</v>
      </c>
      <c r="J441" s="61" t="str">
        <f>_xlfn.XLOOKUP(C441,Tab_Def_Flows[Name(EN)],Tab_Def_Flows[WC?],,0,)</f>
        <v>Yes</v>
      </c>
      <c r="K441" s="61" t="str">
        <f>_xlfn.XLOOKUP(C441,Tab_Def_Flows[Name(EN)],Tab_Def_Flows[DM?],,0,)</f>
        <v>Yes</v>
      </c>
      <c r="L441" s="61" t="str">
        <f>_xlfn.XLOOKUP(C441,Tab_Def_Flows[Name(EN)],Tab_Def_Flows[CC?],,0,)</f>
        <v>Yes</v>
      </c>
      <c r="M441" s="51"/>
      <c r="N441" s="51"/>
      <c r="O441" s="119"/>
      <c r="P441" s="51" t="s">
        <v>389</v>
      </c>
      <c r="Q441" s="51"/>
      <c r="R441" s="51"/>
      <c r="S441" s="51"/>
      <c r="T441" s="51"/>
      <c r="U441" s="51"/>
      <c r="V441" s="51"/>
      <c r="W441" s="51"/>
      <c r="X441" s="51" t="s">
        <v>71</v>
      </c>
      <c r="Y441" s="51"/>
      <c r="Z441" s="51"/>
      <c r="AA441" s="86">
        <f t="shared" si="16"/>
        <v>0</v>
      </c>
      <c r="AB441" s="51"/>
      <c r="AC441" s="111" t="e">
        <f>INDEX(Tab_Def_Flows[[Flow_ID]:[CC_DM_source]],MATCH(Tab_Data_Flows[[#This Row],[Name(EN)]],Tab_Def_Flows[Name(EN)],0),16)</f>
        <v>#N/A</v>
      </c>
      <c r="AD441" s="112" t="e">
        <f>IF(J441="Yes",AA441*Tab_Data_Flows[[#This Row],[WC_'[%']]],"N.A.")</f>
        <v>#N/A</v>
      </c>
      <c r="AE441" s="61">
        <f>Tab_Data_Flows[[#This Row],[UoM_Flow_Py]]</f>
        <v>0</v>
      </c>
      <c r="AF441" s="111" t="e">
        <f>INDEX(Tab_Def_Flows[[Flow_ID]:[CC_DM_source]],MATCH(Tab_Data_Flows[[#This Row],[Name(EN)]],Tab_Def_Flows[Name(EN)],0),18)</f>
        <v>#N/A</v>
      </c>
      <c r="AG441" s="112" t="e">
        <f>IF(K441="Yes",AF441*Tab_Data_Flows[[#This Row],[Flow_Py]],"N.A.")</f>
        <v>#N/A</v>
      </c>
      <c r="AH441" s="61">
        <f>Tab_Data_Flows[[#This Row],[UoM_Flow_Py]]</f>
        <v>0</v>
      </c>
      <c r="AI441" s="111" t="e">
        <f>INDEX(Tab_Def_Flows[[Flow_ID]:[CC_DM_source]],MATCH(Tab_Data_Flows[[#This Row],[Name(EN)]],Tab_Def_Flows[Name(EN)],0),20)</f>
        <v>#N/A</v>
      </c>
      <c r="AJ441" s="109" t="e">
        <f>IF(L441="Yes",AI441*Tab_Data_Flows[[#This Row],[Flow_Py]]*Tab_Data_Flows[[#This Row],[DM_'[%']]],"N.A.")</f>
        <v>#N/A</v>
      </c>
      <c r="AK441" s="61">
        <f>Tab_Data_Flows[[#This Row],[UoM_Flow_Py]]</f>
        <v>0</v>
      </c>
    </row>
    <row r="442" spans="1:37" ht="15.75" thickBot="1" x14ac:dyDescent="0.3">
      <c r="A442" s="60">
        <f t="shared" si="15"/>
        <v>441</v>
      </c>
      <c r="B442" s="49" t="str">
        <f>_xlfn.XLOOKUP(C442,Tab_Def_Flows[Name(EN)],Tab_Def_Flows[Flow_ID],,0,)</f>
        <v>F_24_24</v>
      </c>
      <c r="C442" s="51"/>
      <c r="D442" s="49">
        <f>_xlfn.XLOOKUP(C442,Tab_Def_Flows[Name(EN)],Tab_Def_Flows[Type_Biomass],,0,)</f>
        <v>0</v>
      </c>
      <c r="E442" s="49">
        <f>_xlfn.XLOOKUP(C442,Tab_Def_Flows[Name(EN)],Tab_Def_Flows[Output_Process],,0,)</f>
        <v>0</v>
      </c>
      <c r="F442" s="49" t="str">
        <f>_xlfn.XLOOKUP(C442,Tab_Def_Flows[Name(EN)],Tab_Def_Flows[Process_ID_O],,0,)</f>
        <v>24__</v>
      </c>
      <c r="G442" s="49">
        <f>_xlfn.XLOOKUP(C442,Tab_Def_Flows[Name(EN)],Tab_Def_Flows[Input_Process],,0,)</f>
        <v>0</v>
      </c>
      <c r="H442" s="61" t="str">
        <f>_xlfn.XLOOKUP(C442,Tab_Def_Flows[Name(EN)],Tab_Def_Flows[Process_ID_I],,0,)</f>
        <v>24__</v>
      </c>
      <c r="I442" s="49">
        <f>_xlfn.XLOOKUP(C442,Tab_Def_Flows[Name(EN)],Tab_Def_Flows[Value_Source],,0,)</f>
        <v>0</v>
      </c>
      <c r="J442" s="61" t="str">
        <f>_xlfn.XLOOKUP(C442,Tab_Def_Flows[Name(EN)],Tab_Def_Flows[WC?],,0,)</f>
        <v>Yes</v>
      </c>
      <c r="K442" s="61" t="str">
        <f>_xlfn.XLOOKUP(C442,Tab_Def_Flows[Name(EN)],Tab_Def_Flows[DM?],,0,)</f>
        <v>Yes</v>
      </c>
      <c r="L442" s="61" t="str">
        <f>_xlfn.XLOOKUP(C442,Tab_Def_Flows[Name(EN)],Tab_Def_Flows[CC?],,0,)</f>
        <v>Yes</v>
      </c>
      <c r="M442" s="51"/>
      <c r="N442" s="51"/>
      <c r="O442" s="119"/>
      <c r="P442" s="51" t="s">
        <v>389</v>
      </c>
      <c r="Q442" s="51"/>
      <c r="R442" s="51"/>
      <c r="S442" s="51"/>
      <c r="T442" s="51"/>
      <c r="U442" s="51"/>
      <c r="V442" s="51"/>
      <c r="W442" s="51"/>
      <c r="X442" s="51" t="s">
        <v>71</v>
      </c>
      <c r="Y442" s="51"/>
      <c r="Z442" s="51"/>
      <c r="AA442" s="86">
        <f t="shared" si="16"/>
        <v>0</v>
      </c>
      <c r="AB442" s="51"/>
      <c r="AC442" s="111" t="e">
        <f>INDEX(Tab_Def_Flows[[Flow_ID]:[CC_DM_source]],MATCH(Tab_Data_Flows[[#This Row],[Name(EN)]],Tab_Def_Flows[Name(EN)],0),16)</f>
        <v>#N/A</v>
      </c>
      <c r="AD442" s="112" t="e">
        <f>IF(J442="Yes",AA442*Tab_Data_Flows[[#This Row],[WC_'[%']]],"N.A.")</f>
        <v>#N/A</v>
      </c>
      <c r="AE442" s="61">
        <f>Tab_Data_Flows[[#This Row],[UoM_Flow_Py]]</f>
        <v>0</v>
      </c>
      <c r="AF442" s="111" t="e">
        <f>INDEX(Tab_Def_Flows[[Flow_ID]:[CC_DM_source]],MATCH(Tab_Data_Flows[[#This Row],[Name(EN)]],Tab_Def_Flows[Name(EN)],0),18)</f>
        <v>#N/A</v>
      </c>
      <c r="AG442" s="112" t="e">
        <f>IF(K442="Yes",AF442*Tab_Data_Flows[[#This Row],[Flow_Py]],"N.A.")</f>
        <v>#N/A</v>
      </c>
      <c r="AH442" s="61">
        <f>Tab_Data_Flows[[#This Row],[UoM_Flow_Py]]</f>
        <v>0</v>
      </c>
      <c r="AI442" s="111" t="e">
        <f>INDEX(Tab_Def_Flows[[Flow_ID]:[CC_DM_source]],MATCH(Tab_Data_Flows[[#This Row],[Name(EN)]],Tab_Def_Flows[Name(EN)],0),20)</f>
        <v>#N/A</v>
      </c>
      <c r="AJ442" s="109" t="e">
        <f>IF(L442="Yes",AI442*Tab_Data_Flows[[#This Row],[Flow_Py]]*Tab_Data_Flows[[#This Row],[DM_'[%']]],"N.A.")</f>
        <v>#N/A</v>
      </c>
      <c r="AK442" s="61">
        <f>Tab_Data_Flows[[#This Row],[UoM_Flow_Py]]</f>
        <v>0</v>
      </c>
    </row>
    <row r="443" spans="1:37" ht="15.75" thickBot="1" x14ac:dyDescent="0.3">
      <c r="A443" s="60">
        <f t="shared" si="15"/>
        <v>442</v>
      </c>
      <c r="B443" s="49" t="str">
        <f>_xlfn.XLOOKUP(C443,Tab_Def_Flows[Name(EN)],Tab_Def_Flows[Flow_ID],,0,)</f>
        <v>F_24_24</v>
      </c>
      <c r="C443" s="51"/>
      <c r="D443" s="49">
        <f>_xlfn.XLOOKUP(C443,Tab_Def_Flows[Name(EN)],Tab_Def_Flows[Type_Biomass],,0,)</f>
        <v>0</v>
      </c>
      <c r="E443" s="49">
        <f>_xlfn.XLOOKUP(C443,Tab_Def_Flows[Name(EN)],Tab_Def_Flows[Output_Process],,0,)</f>
        <v>0</v>
      </c>
      <c r="F443" s="49" t="str">
        <f>_xlfn.XLOOKUP(C443,Tab_Def_Flows[Name(EN)],Tab_Def_Flows[Process_ID_O],,0,)</f>
        <v>24__</v>
      </c>
      <c r="G443" s="49">
        <f>_xlfn.XLOOKUP(C443,Tab_Def_Flows[Name(EN)],Tab_Def_Flows[Input_Process],,0,)</f>
        <v>0</v>
      </c>
      <c r="H443" s="61" t="str">
        <f>_xlfn.XLOOKUP(C443,Tab_Def_Flows[Name(EN)],Tab_Def_Flows[Process_ID_I],,0,)</f>
        <v>24__</v>
      </c>
      <c r="I443" s="49">
        <f>_xlfn.XLOOKUP(C443,Tab_Def_Flows[Name(EN)],Tab_Def_Flows[Value_Source],,0,)</f>
        <v>0</v>
      </c>
      <c r="J443" s="61" t="str">
        <f>_xlfn.XLOOKUP(C443,Tab_Def_Flows[Name(EN)],Tab_Def_Flows[WC?],,0,)</f>
        <v>Yes</v>
      </c>
      <c r="K443" s="61" t="str">
        <f>_xlfn.XLOOKUP(C443,Tab_Def_Flows[Name(EN)],Tab_Def_Flows[DM?],,0,)</f>
        <v>Yes</v>
      </c>
      <c r="L443" s="61" t="str">
        <f>_xlfn.XLOOKUP(C443,Tab_Def_Flows[Name(EN)],Tab_Def_Flows[CC?],,0,)</f>
        <v>Yes</v>
      </c>
      <c r="M443" s="51"/>
      <c r="N443" s="51"/>
      <c r="O443" s="119"/>
      <c r="P443" s="51" t="s">
        <v>389</v>
      </c>
      <c r="Q443" s="51"/>
      <c r="R443" s="51"/>
      <c r="S443" s="51"/>
      <c r="T443" s="51"/>
      <c r="U443" s="51"/>
      <c r="V443" s="51"/>
      <c r="W443" s="51"/>
      <c r="X443" s="51" t="s">
        <v>71</v>
      </c>
      <c r="Y443" s="51"/>
      <c r="Z443" s="51"/>
      <c r="AA443" s="86">
        <f t="shared" si="16"/>
        <v>0</v>
      </c>
      <c r="AB443" s="51"/>
      <c r="AC443" s="111" t="e">
        <f>INDEX(Tab_Def_Flows[[Flow_ID]:[CC_DM_source]],MATCH(Tab_Data_Flows[[#This Row],[Name(EN)]],Tab_Def_Flows[Name(EN)],0),16)</f>
        <v>#N/A</v>
      </c>
      <c r="AD443" s="112" t="e">
        <f>IF(J443="Yes",AA443*Tab_Data_Flows[[#This Row],[WC_'[%']]],"N.A.")</f>
        <v>#N/A</v>
      </c>
      <c r="AE443" s="61">
        <f>Tab_Data_Flows[[#This Row],[UoM_Flow_Py]]</f>
        <v>0</v>
      </c>
      <c r="AF443" s="111" t="e">
        <f>INDEX(Tab_Def_Flows[[Flow_ID]:[CC_DM_source]],MATCH(Tab_Data_Flows[[#This Row],[Name(EN)]],Tab_Def_Flows[Name(EN)],0),18)</f>
        <v>#N/A</v>
      </c>
      <c r="AG443" s="112" t="e">
        <f>IF(K443="Yes",AF443*Tab_Data_Flows[[#This Row],[Flow_Py]],"N.A.")</f>
        <v>#N/A</v>
      </c>
      <c r="AH443" s="61">
        <f>Tab_Data_Flows[[#This Row],[UoM_Flow_Py]]</f>
        <v>0</v>
      </c>
      <c r="AI443" s="111" t="e">
        <f>INDEX(Tab_Def_Flows[[Flow_ID]:[CC_DM_source]],MATCH(Tab_Data_Flows[[#This Row],[Name(EN)]],Tab_Def_Flows[Name(EN)],0),20)</f>
        <v>#N/A</v>
      </c>
      <c r="AJ443" s="109" t="e">
        <f>IF(L443="Yes",AI443*Tab_Data_Flows[[#This Row],[Flow_Py]]*Tab_Data_Flows[[#This Row],[DM_'[%']]],"N.A.")</f>
        <v>#N/A</v>
      </c>
      <c r="AK443" s="61">
        <f>Tab_Data_Flows[[#This Row],[UoM_Flow_Py]]</f>
        <v>0</v>
      </c>
    </row>
    <row r="444" spans="1:37" ht="15.75" thickBot="1" x14ac:dyDescent="0.3">
      <c r="A444" s="60">
        <f t="shared" si="15"/>
        <v>443</v>
      </c>
      <c r="B444" s="49" t="str">
        <f>_xlfn.XLOOKUP(C444,Tab_Def_Flows[Name(EN)],Tab_Def_Flows[Flow_ID],,0,)</f>
        <v>F_24_24</v>
      </c>
      <c r="C444" s="51"/>
      <c r="D444" s="49">
        <f>_xlfn.XLOOKUP(C444,Tab_Def_Flows[Name(EN)],Tab_Def_Flows[Type_Biomass],,0,)</f>
        <v>0</v>
      </c>
      <c r="E444" s="49">
        <f>_xlfn.XLOOKUP(C444,Tab_Def_Flows[Name(EN)],Tab_Def_Flows[Output_Process],,0,)</f>
        <v>0</v>
      </c>
      <c r="F444" s="49" t="str">
        <f>_xlfn.XLOOKUP(C444,Tab_Def_Flows[Name(EN)],Tab_Def_Flows[Process_ID_O],,0,)</f>
        <v>24__</v>
      </c>
      <c r="G444" s="49">
        <f>_xlfn.XLOOKUP(C444,Tab_Def_Flows[Name(EN)],Tab_Def_Flows[Input_Process],,0,)</f>
        <v>0</v>
      </c>
      <c r="H444" s="61" t="str">
        <f>_xlfn.XLOOKUP(C444,Tab_Def_Flows[Name(EN)],Tab_Def_Flows[Process_ID_I],,0,)</f>
        <v>24__</v>
      </c>
      <c r="I444" s="49">
        <f>_xlfn.XLOOKUP(C444,Tab_Def_Flows[Name(EN)],Tab_Def_Flows[Value_Source],,0,)</f>
        <v>0</v>
      </c>
      <c r="J444" s="61" t="str">
        <f>_xlfn.XLOOKUP(C444,Tab_Def_Flows[Name(EN)],Tab_Def_Flows[WC?],,0,)</f>
        <v>Yes</v>
      </c>
      <c r="K444" s="61" t="str">
        <f>_xlfn.XLOOKUP(C444,Tab_Def_Flows[Name(EN)],Tab_Def_Flows[DM?],,0,)</f>
        <v>Yes</v>
      </c>
      <c r="L444" s="61" t="str">
        <f>_xlfn.XLOOKUP(C444,Tab_Def_Flows[Name(EN)],Tab_Def_Flows[CC?],,0,)</f>
        <v>Yes</v>
      </c>
      <c r="M444" s="51"/>
      <c r="N444" s="51"/>
      <c r="O444" s="119"/>
      <c r="P444" s="51" t="s">
        <v>389</v>
      </c>
      <c r="Q444" s="51"/>
      <c r="R444" s="51"/>
      <c r="S444" s="51"/>
      <c r="T444" s="51"/>
      <c r="U444" s="51"/>
      <c r="V444" s="51"/>
      <c r="W444" s="51"/>
      <c r="X444" s="51" t="s">
        <v>71</v>
      </c>
      <c r="Y444" s="51"/>
      <c r="Z444" s="51"/>
      <c r="AA444" s="86">
        <f t="shared" si="16"/>
        <v>0</v>
      </c>
      <c r="AB444" s="51"/>
      <c r="AC444" s="111" t="e">
        <f>INDEX(Tab_Def_Flows[[Flow_ID]:[CC_DM_source]],MATCH(Tab_Data_Flows[[#This Row],[Name(EN)]],Tab_Def_Flows[Name(EN)],0),16)</f>
        <v>#N/A</v>
      </c>
      <c r="AD444" s="112" t="e">
        <f>IF(J444="Yes",AA444*Tab_Data_Flows[[#This Row],[WC_'[%']]],"N.A.")</f>
        <v>#N/A</v>
      </c>
      <c r="AE444" s="61">
        <f>Tab_Data_Flows[[#This Row],[UoM_Flow_Py]]</f>
        <v>0</v>
      </c>
      <c r="AF444" s="111" t="e">
        <f>INDEX(Tab_Def_Flows[[Flow_ID]:[CC_DM_source]],MATCH(Tab_Data_Flows[[#This Row],[Name(EN)]],Tab_Def_Flows[Name(EN)],0),18)</f>
        <v>#N/A</v>
      </c>
      <c r="AG444" s="112" t="e">
        <f>IF(K444="Yes",AF444*Tab_Data_Flows[[#This Row],[Flow_Py]],"N.A.")</f>
        <v>#N/A</v>
      </c>
      <c r="AH444" s="61">
        <f>Tab_Data_Flows[[#This Row],[UoM_Flow_Py]]</f>
        <v>0</v>
      </c>
      <c r="AI444" s="111" t="e">
        <f>INDEX(Tab_Def_Flows[[Flow_ID]:[CC_DM_source]],MATCH(Tab_Data_Flows[[#This Row],[Name(EN)]],Tab_Def_Flows[Name(EN)],0),20)</f>
        <v>#N/A</v>
      </c>
      <c r="AJ444" s="109" t="e">
        <f>IF(L444="Yes",AI444*Tab_Data_Flows[[#This Row],[Flow_Py]]*Tab_Data_Flows[[#This Row],[DM_'[%']]],"N.A.")</f>
        <v>#N/A</v>
      </c>
      <c r="AK444" s="61">
        <f>Tab_Data_Flows[[#This Row],[UoM_Flow_Py]]</f>
        <v>0</v>
      </c>
    </row>
    <row r="445" spans="1:37" ht="15.75" thickBot="1" x14ac:dyDescent="0.3">
      <c r="A445" s="60">
        <f t="shared" si="15"/>
        <v>444</v>
      </c>
      <c r="B445" s="49" t="str">
        <f>_xlfn.XLOOKUP(C445,Tab_Def_Flows[Name(EN)],Tab_Def_Flows[Flow_ID],,0,)</f>
        <v>F_24_24</v>
      </c>
      <c r="C445" s="51"/>
      <c r="D445" s="49">
        <f>_xlfn.XLOOKUP(C445,Tab_Def_Flows[Name(EN)],Tab_Def_Flows[Type_Biomass],,0,)</f>
        <v>0</v>
      </c>
      <c r="E445" s="49">
        <f>_xlfn.XLOOKUP(C445,Tab_Def_Flows[Name(EN)],Tab_Def_Flows[Output_Process],,0,)</f>
        <v>0</v>
      </c>
      <c r="F445" s="49" t="str">
        <f>_xlfn.XLOOKUP(C445,Tab_Def_Flows[Name(EN)],Tab_Def_Flows[Process_ID_O],,0,)</f>
        <v>24__</v>
      </c>
      <c r="G445" s="49">
        <f>_xlfn.XLOOKUP(C445,Tab_Def_Flows[Name(EN)],Tab_Def_Flows[Input_Process],,0,)</f>
        <v>0</v>
      </c>
      <c r="H445" s="61" t="str">
        <f>_xlfn.XLOOKUP(C445,Tab_Def_Flows[Name(EN)],Tab_Def_Flows[Process_ID_I],,0,)</f>
        <v>24__</v>
      </c>
      <c r="I445" s="49">
        <f>_xlfn.XLOOKUP(C445,Tab_Def_Flows[Name(EN)],Tab_Def_Flows[Value_Source],,0,)</f>
        <v>0</v>
      </c>
      <c r="J445" s="61" t="str">
        <f>_xlfn.XLOOKUP(C445,Tab_Def_Flows[Name(EN)],Tab_Def_Flows[WC?],,0,)</f>
        <v>Yes</v>
      </c>
      <c r="K445" s="61" t="str">
        <f>_xlfn.XLOOKUP(C445,Tab_Def_Flows[Name(EN)],Tab_Def_Flows[DM?],,0,)</f>
        <v>Yes</v>
      </c>
      <c r="L445" s="61" t="str">
        <f>_xlfn.XLOOKUP(C445,Tab_Def_Flows[Name(EN)],Tab_Def_Flows[CC?],,0,)</f>
        <v>Yes</v>
      </c>
      <c r="M445" s="51"/>
      <c r="N445" s="51"/>
      <c r="O445" s="119"/>
      <c r="P445" s="51" t="s">
        <v>389</v>
      </c>
      <c r="Q445" s="51"/>
      <c r="R445" s="51"/>
      <c r="S445" s="51"/>
      <c r="T445" s="51"/>
      <c r="U445" s="51"/>
      <c r="V445" s="51"/>
      <c r="W445" s="51"/>
      <c r="X445" s="51" t="s">
        <v>71</v>
      </c>
      <c r="Y445" s="51"/>
      <c r="Z445" s="51"/>
      <c r="AA445" s="86">
        <f t="shared" si="16"/>
        <v>0</v>
      </c>
      <c r="AB445" s="51"/>
      <c r="AC445" s="111" t="e">
        <f>INDEX(Tab_Def_Flows[[Flow_ID]:[CC_DM_source]],MATCH(Tab_Data_Flows[[#This Row],[Name(EN)]],Tab_Def_Flows[Name(EN)],0),16)</f>
        <v>#N/A</v>
      </c>
      <c r="AD445" s="112" t="e">
        <f>IF(J445="Yes",AA445*Tab_Data_Flows[[#This Row],[WC_'[%']]],"N.A.")</f>
        <v>#N/A</v>
      </c>
      <c r="AE445" s="61">
        <f>Tab_Data_Flows[[#This Row],[UoM_Flow_Py]]</f>
        <v>0</v>
      </c>
      <c r="AF445" s="111" t="e">
        <f>INDEX(Tab_Def_Flows[[Flow_ID]:[CC_DM_source]],MATCH(Tab_Data_Flows[[#This Row],[Name(EN)]],Tab_Def_Flows[Name(EN)],0),18)</f>
        <v>#N/A</v>
      </c>
      <c r="AG445" s="112" t="e">
        <f>IF(K445="Yes",AF445*Tab_Data_Flows[[#This Row],[Flow_Py]],"N.A.")</f>
        <v>#N/A</v>
      </c>
      <c r="AH445" s="61">
        <f>Tab_Data_Flows[[#This Row],[UoM_Flow_Py]]</f>
        <v>0</v>
      </c>
      <c r="AI445" s="111" t="e">
        <f>INDEX(Tab_Def_Flows[[Flow_ID]:[CC_DM_source]],MATCH(Tab_Data_Flows[[#This Row],[Name(EN)]],Tab_Def_Flows[Name(EN)],0),20)</f>
        <v>#N/A</v>
      </c>
      <c r="AJ445" s="109" t="e">
        <f>IF(L445="Yes",AI445*Tab_Data_Flows[[#This Row],[Flow_Py]]*Tab_Data_Flows[[#This Row],[DM_'[%']]],"N.A.")</f>
        <v>#N/A</v>
      </c>
      <c r="AK445" s="61">
        <f>Tab_Data_Flows[[#This Row],[UoM_Flow_Py]]</f>
        <v>0</v>
      </c>
    </row>
    <row r="446" spans="1:37" ht="15.75" thickBot="1" x14ac:dyDescent="0.3">
      <c r="A446" s="60">
        <f t="shared" si="15"/>
        <v>445</v>
      </c>
      <c r="B446" s="49" t="str">
        <f>_xlfn.XLOOKUP(C446,Tab_Def_Flows[Name(EN)],Tab_Def_Flows[Flow_ID],,0,)</f>
        <v>F_24_24</v>
      </c>
      <c r="C446" s="51"/>
      <c r="D446" s="49">
        <f>_xlfn.XLOOKUP(C446,Tab_Def_Flows[Name(EN)],Tab_Def_Flows[Type_Biomass],,0,)</f>
        <v>0</v>
      </c>
      <c r="E446" s="49">
        <f>_xlfn.XLOOKUP(C446,Tab_Def_Flows[Name(EN)],Tab_Def_Flows[Output_Process],,0,)</f>
        <v>0</v>
      </c>
      <c r="F446" s="49" t="str">
        <f>_xlfn.XLOOKUP(C446,Tab_Def_Flows[Name(EN)],Tab_Def_Flows[Process_ID_O],,0,)</f>
        <v>24__</v>
      </c>
      <c r="G446" s="49">
        <f>_xlfn.XLOOKUP(C446,Tab_Def_Flows[Name(EN)],Tab_Def_Flows[Input_Process],,0,)</f>
        <v>0</v>
      </c>
      <c r="H446" s="61" t="str">
        <f>_xlfn.XLOOKUP(C446,Tab_Def_Flows[Name(EN)],Tab_Def_Flows[Process_ID_I],,0,)</f>
        <v>24__</v>
      </c>
      <c r="I446" s="49">
        <f>_xlfn.XLOOKUP(C446,Tab_Def_Flows[Name(EN)],Tab_Def_Flows[Value_Source],,0,)</f>
        <v>0</v>
      </c>
      <c r="J446" s="61" t="str">
        <f>_xlfn.XLOOKUP(C446,Tab_Def_Flows[Name(EN)],Tab_Def_Flows[WC?],,0,)</f>
        <v>Yes</v>
      </c>
      <c r="K446" s="61" t="str">
        <f>_xlfn.XLOOKUP(C446,Tab_Def_Flows[Name(EN)],Tab_Def_Flows[DM?],,0,)</f>
        <v>Yes</v>
      </c>
      <c r="L446" s="61" t="str">
        <f>_xlfn.XLOOKUP(C446,Tab_Def_Flows[Name(EN)],Tab_Def_Flows[CC?],,0,)</f>
        <v>Yes</v>
      </c>
      <c r="M446" s="51"/>
      <c r="N446" s="51"/>
      <c r="O446" s="119"/>
      <c r="P446" s="51" t="s">
        <v>389</v>
      </c>
      <c r="Q446" s="51"/>
      <c r="R446" s="51"/>
      <c r="S446" s="51"/>
      <c r="T446" s="51"/>
      <c r="U446" s="51"/>
      <c r="V446" s="51"/>
      <c r="W446" s="51"/>
      <c r="X446" s="51" t="s">
        <v>71</v>
      </c>
      <c r="Y446" s="51"/>
      <c r="Z446" s="51"/>
      <c r="AA446" s="86">
        <f t="shared" si="16"/>
        <v>0</v>
      </c>
      <c r="AB446" s="51"/>
      <c r="AC446" s="111" t="e">
        <f>INDEX(Tab_Def_Flows[[Flow_ID]:[CC_DM_source]],MATCH(Tab_Data_Flows[[#This Row],[Name(EN)]],Tab_Def_Flows[Name(EN)],0),16)</f>
        <v>#N/A</v>
      </c>
      <c r="AD446" s="112" t="e">
        <f>IF(J446="Yes",AA446*Tab_Data_Flows[[#This Row],[WC_'[%']]],"N.A.")</f>
        <v>#N/A</v>
      </c>
      <c r="AE446" s="61">
        <f>Tab_Data_Flows[[#This Row],[UoM_Flow_Py]]</f>
        <v>0</v>
      </c>
      <c r="AF446" s="111" t="e">
        <f>INDEX(Tab_Def_Flows[[Flow_ID]:[CC_DM_source]],MATCH(Tab_Data_Flows[[#This Row],[Name(EN)]],Tab_Def_Flows[Name(EN)],0),18)</f>
        <v>#N/A</v>
      </c>
      <c r="AG446" s="112" t="e">
        <f>IF(K446="Yes",AF446*Tab_Data_Flows[[#This Row],[Flow_Py]],"N.A.")</f>
        <v>#N/A</v>
      </c>
      <c r="AH446" s="61">
        <f>Tab_Data_Flows[[#This Row],[UoM_Flow_Py]]</f>
        <v>0</v>
      </c>
      <c r="AI446" s="111" t="e">
        <f>INDEX(Tab_Def_Flows[[Flow_ID]:[CC_DM_source]],MATCH(Tab_Data_Flows[[#This Row],[Name(EN)]],Tab_Def_Flows[Name(EN)],0),20)</f>
        <v>#N/A</v>
      </c>
      <c r="AJ446" s="109" t="e">
        <f>IF(L446="Yes",AI446*Tab_Data_Flows[[#This Row],[Flow_Py]]*Tab_Data_Flows[[#This Row],[DM_'[%']]],"N.A.")</f>
        <v>#N/A</v>
      </c>
      <c r="AK446" s="61">
        <f>Tab_Data_Flows[[#This Row],[UoM_Flow_Py]]</f>
        <v>0</v>
      </c>
    </row>
    <row r="447" spans="1:37" ht="15.75" thickBot="1" x14ac:dyDescent="0.3">
      <c r="A447" s="60">
        <f t="shared" si="15"/>
        <v>446</v>
      </c>
      <c r="B447" s="49" t="str">
        <f>_xlfn.XLOOKUP(C447,Tab_Def_Flows[Name(EN)],Tab_Def_Flows[Flow_ID],,0,)</f>
        <v>F_24_24</v>
      </c>
      <c r="C447" s="51"/>
      <c r="D447" s="49">
        <f>_xlfn.XLOOKUP(C447,Tab_Def_Flows[Name(EN)],Tab_Def_Flows[Type_Biomass],,0,)</f>
        <v>0</v>
      </c>
      <c r="E447" s="49">
        <f>_xlfn.XLOOKUP(C447,Tab_Def_Flows[Name(EN)],Tab_Def_Flows[Output_Process],,0,)</f>
        <v>0</v>
      </c>
      <c r="F447" s="49" t="str">
        <f>_xlfn.XLOOKUP(C447,Tab_Def_Flows[Name(EN)],Tab_Def_Flows[Process_ID_O],,0,)</f>
        <v>24__</v>
      </c>
      <c r="G447" s="49">
        <f>_xlfn.XLOOKUP(C447,Tab_Def_Flows[Name(EN)],Tab_Def_Flows[Input_Process],,0,)</f>
        <v>0</v>
      </c>
      <c r="H447" s="61" t="str">
        <f>_xlfn.XLOOKUP(C447,Tab_Def_Flows[Name(EN)],Tab_Def_Flows[Process_ID_I],,0,)</f>
        <v>24__</v>
      </c>
      <c r="I447" s="49">
        <f>_xlfn.XLOOKUP(C447,Tab_Def_Flows[Name(EN)],Tab_Def_Flows[Value_Source],,0,)</f>
        <v>0</v>
      </c>
      <c r="J447" s="61" t="str">
        <f>_xlfn.XLOOKUP(C447,Tab_Def_Flows[Name(EN)],Tab_Def_Flows[WC?],,0,)</f>
        <v>Yes</v>
      </c>
      <c r="K447" s="61" t="str">
        <f>_xlfn.XLOOKUP(C447,Tab_Def_Flows[Name(EN)],Tab_Def_Flows[DM?],,0,)</f>
        <v>Yes</v>
      </c>
      <c r="L447" s="61" t="str">
        <f>_xlfn.XLOOKUP(C447,Tab_Def_Flows[Name(EN)],Tab_Def_Flows[CC?],,0,)</f>
        <v>Yes</v>
      </c>
      <c r="M447" s="51"/>
      <c r="N447" s="51"/>
      <c r="O447" s="119"/>
      <c r="P447" s="51" t="s">
        <v>389</v>
      </c>
      <c r="Q447" s="51"/>
      <c r="R447" s="51"/>
      <c r="S447" s="51"/>
      <c r="T447" s="51"/>
      <c r="U447" s="51"/>
      <c r="V447" s="51"/>
      <c r="W447" s="51"/>
      <c r="X447" s="51" t="s">
        <v>71</v>
      </c>
      <c r="Y447" s="51"/>
      <c r="Z447" s="51"/>
      <c r="AA447" s="86">
        <f t="shared" si="16"/>
        <v>0</v>
      </c>
      <c r="AB447" s="51"/>
      <c r="AC447" s="111" t="e">
        <f>INDEX(Tab_Def_Flows[[Flow_ID]:[CC_DM_source]],MATCH(Tab_Data_Flows[[#This Row],[Name(EN)]],Tab_Def_Flows[Name(EN)],0),16)</f>
        <v>#N/A</v>
      </c>
      <c r="AD447" s="112" t="e">
        <f>IF(J447="Yes",AA447*Tab_Data_Flows[[#This Row],[WC_'[%']]],"N.A.")</f>
        <v>#N/A</v>
      </c>
      <c r="AE447" s="61">
        <f>Tab_Data_Flows[[#This Row],[UoM_Flow_Py]]</f>
        <v>0</v>
      </c>
      <c r="AF447" s="111" t="e">
        <f>INDEX(Tab_Def_Flows[[Flow_ID]:[CC_DM_source]],MATCH(Tab_Data_Flows[[#This Row],[Name(EN)]],Tab_Def_Flows[Name(EN)],0),18)</f>
        <v>#N/A</v>
      </c>
      <c r="AG447" s="112" t="e">
        <f>IF(K447="Yes",AF447*Tab_Data_Flows[[#This Row],[Flow_Py]],"N.A.")</f>
        <v>#N/A</v>
      </c>
      <c r="AH447" s="61">
        <f>Tab_Data_Flows[[#This Row],[UoM_Flow_Py]]</f>
        <v>0</v>
      </c>
      <c r="AI447" s="111" t="e">
        <f>INDEX(Tab_Def_Flows[[Flow_ID]:[CC_DM_source]],MATCH(Tab_Data_Flows[[#This Row],[Name(EN)]],Tab_Def_Flows[Name(EN)],0),20)</f>
        <v>#N/A</v>
      </c>
      <c r="AJ447" s="109" t="e">
        <f>IF(L447="Yes",AI447*Tab_Data_Flows[[#This Row],[Flow_Py]]*Tab_Data_Flows[[#This Row],[DM_'[%']]],"N.A.")</f>
        <v>#N/A</v>
      </c>
      <c r="AK447" s="61">
        <f>Tab_Data_Flows[[#This Row],[UoM_Flow_Py]]</f>
        <v>0</v>
      </c>
    </row>
    <row r="448" spans="1:37" ht="15.75" thickBot="1" x14ac:dyDescent="0.3">
      <c r="A448" s="60">
        <f t="shared" si="15"/>
        <v>447</v>
      </c>
      <c r="B448" s="49" t="str">
        <f>_xlfn.XLOOKUP(C448,Tab_Def_Flows[Name(EN)],Tab_Def_Flows[Flow_ID],,0,)</f>
        <v>F_24_24</v>
      </c>
      <c r="C448" s="51"/>
      <c r="D448" s="49">
        <f>_xlfn.XLOOKUP(C448,Tab_Def_Flows[Name(EN)],Tab_Def_Flows[Type_Biomass],,0,)</f>
        <v>0</v>
      </c>
      <c r="E448" s="49">
        <f>_xlfn.XLOOKUP(C448,Tab_Def_Flows[Name(EN)],Tab_Def_Flows[Output_Process],,0,)</f>
        <v>0</v>
      </c>
      <c r="F448" s="49" t="str">
        <f>_xlfn.XLOOKUP(C448,Tab_Def_Flows[Name(EN)],Tab_Def_Flows[Process_ID_O],,0,)</f>
        <v>24__</v>
      </c>
      <c r="G448" s="49">
        <f>_xlfn.XLOOKUP(C448,Tab_Def_Flows[Name(EN)],Tab_Def_Flows[Input_Process],,0,)</f>
        <v>0</v>
      </c>
      <c r="H448" s="61" t="str">
        <f>_xlfn.XLOOKUP(C448,Tab_Def_Flows[Name(EN)],Tab_Def_Flows[Process_ID_I],,0,)</f>
        <v>24__</v>
      </c>
      <c r="I448" s="49">
        <f>_xlfn.XLOOKUP(C448,Tab_Def_Flows[Name(EN)],Tab_Def_Flows[Value_Source],,0,)</f>
        <v>0</v>
      </c>
      <c r="J448" s="61" t="str">
        <f>_xlfn.XLOOKUP(C448,Tab_Def_Flows[Name(EN)],Tab_Def_Flows[WC?],,0,)</f>
        <v>Yes</v>
      </c>
      <c r="K448" s="61" t="str">
        <f>_xlfn.XLOOKUP(C448,Tab_Def_Flows[Name(EN)],Tab_Def_Flows[DM?],,0,)</f>
        <v>Yes</v>
      </c>
      <c r="L448" s="61" t="str">
        <f>_xlfn.XLOOKUP(C448,Tab_Def_Flows[Name(EN)],Tab_Def_Flows[CC?],,0,)</f>
        <v>Yes</v>
      </c>
      <c r="M448" s="51"/>
      <c r="N448" s="51"/>
      <c r="O448" s="119"/>
      <c r="P448" s="51" t="s">
        <v>389</v>
      </c>
      <c r="Q448" s="51"/>
      <c r="R448" s="51"/>
      <c r="S448" s="51"/>
      <c r="T448" s="51"/>
      <c r="U448" s="51"/>
      <c r="V448" s="51"/>
      <c r="W448" s="51"/>
      <c r="X448" s="51" t="s">
        <v>71</v>
      </c>
      <c r="Y448" s="51"/>
      <c r="Z448" s="51"/>
      <c r="AA448" s="86">
        <f t="shared" si="16"/>
        <v>0</v>
      </c>
      <c r="AB448" s="51"/>
      <c r="AC448" s="111" t="e">
        <f>INDEX(Tab_Def_Flows[[Flow_ID]:[CC_DM_source]],MATCH(Tab_Data_Flows[[#This Row],[Name(EN)]],Tab_Def_Flows[Name(EN)],0),16)</f>
        <v>#N/A</v>
      </c>
      <c r="AD448" s="112" t="e">
        <f>IF(J448="Yes",AA448*Tab_Data_Flows[[#This Row],[WC_'[%']]],"N.A.")</f>
        <v>#N/A</v>
      </c>
      <c r="AE448" s="61">
        <f>Tab_Data_Flows[[#This Row],[UoM_Flow_Py]]</f>
        <v>0</v>
      </c>
      <c r="AF448" s="111" t="e">
        <f>INDEX(Tab_Def_Flows[[Flow_ID]:[CC_DM_source]],MATCH(Tab_Data_Flows[[#This Row],[Name(EN)]],Tab_Def_Flows[Name(EN)],0),18)</f>
        <v>#N/A</v>
      </c>
      <c r="AG448" s="112" t="e">
        <f>IF(K448="Yes",AF448*Tab_Data_Flows[[#This Row],[Flow_Py]],"N.A.")</f>
        <v>#N/A</v>
      </c>
      <c r="AH448" s="61">
        <f>Tab_Data_Flows[[#This Row],[UoM_Flow_Py]]</f>
        <v>0</v>
      </c>
      <c r="AI448" s="111" t="e">
        <f>INDEX(Tab_Def_Flows[[Flow_ID]:[CC_DM_source]],MATCH(Tab_Data_Flows[[#This Row],[Name(EN)]],Tab_Def_Flows[Name(EN)],0),20)</f>
        <v>#N/A</v>
      </c>
      <c r="AJ448" s="109" t="e">
        <f>IF(L448="Yes",AI448*Tab_Data_Flows[[#This Row],[Flow_Py]]*Tab_Data_Flows[[#This Row],[DM_'[%']]],"N.A.")</f>
        <v>#N/A</v>
      </c>
      <c r="AK448" s="61">
        <f>Tab_Data_Flows[[#This Row],[UoM_Flow_Py]]</f>
        <v>0</v>
      </c>
    </row>
    <row r="449" spans="1:37" ht="15.75" thickBot="1" x14ac:dyDescent="0.3">
      <c r="A449" s="60">
        <f t="shared" si="15"/>
        <v>448</v>
      </c>
      <c r="B449" s="49" t="str">
        <f>_xlfn.XLOOKUP(C449,Tab_Def_Flows[Name(EN)],Tab_Def_Flows[Flow_ID],,0,)</f>
        <v>F_24_24</v>
      </c>
      <c r="C449" s="51"/>
      <c r="D449" s="49">
        <f>_xlfn.XLOOKUP(C449,Tab_Def_Flows[Name(EN)],Tab_Def_Flows[Type_Biomass],,0,)</f>
        <v>0</v>
      </c>
      <c r="E449" s="49">
        <f>_xlfn.XLOOKUP(C449,Tab_Def_Flows[Name(EN)],Tab_Def_Flows[Output_Process],,0,)</f>
        <v>0</v>
      </c>
      <c r="F449" s="49" t="str">
        <f>_xlfn.XLOOKUP(C449,Tab_Def_Flows[Name(EN)],Tab_Def_Flows[Process_ID_O],,0,)</f>
        <v>24__</v>
      </c>
      <c r="G449" s="49">
        <f>_xlfn.XLOOKUP(C449,Tab_Def_Flows[Name(EN)],Tab_Def_Flows[Input_Process],,0,)</f>
        <v>0</v>
      </c>
      <c r="H449" s="61" t="str">
        <f>_xlfn.XLOOKUP(C449,Tab_Def_Flows[Name(EN)],Tab_Def_Flows[Process_ID_I],,0,)</f>
        <v>24__</v>
      </c>
      <c r="I449" s="49">
        <f>_xlfn.XLOOKUP(C449,Tab_Def_Flows[Name(EN)],Tab_Def_Flows[Value_Source],,0,)</f>
        <v>0</v>
      </c>
      <c r="J449" s="61" t="str">
        <f>_xlfn.XLOOKUP(C449,Tab_Def_Flows[Name(EN)],Tab_Def_Flows[WC?],,0,)</f>
        <v>Yes</v>
      </c>
      <c r="K449" s="61" t="str">
        <f>_xlfn.XLOOKUP(C449,Tab_Def_Flows[Name(EN)],Tab_Def_Flows[DM?],,0,)</f>
        <v>Yes</v>
      </c>
      <c r="L449" s="61" t="str">
        <f>_xlfn.XLOOKUP(C449,Tab_Def_Flows[Name(EN)],Tab_Def_Flows[CC?],,0,)</f>
        <v>Yes</v>
      </c>
      <c r="M449" s="51"/>
      <c r="N449" s="51"/>
      <c r="O449" s="119"/>
      <c r="P449" s="51" t="s">
        <v>389</v>
      </c>
      <c r="Q449" s="51"/>
      <c r="R449" s="51"/>
      <c r="S449" s="51"/>
      <c r="T449" s="51"/>
      <c r="U449" s="51"/>
      <c r="V449" s="51"/>
      <c r="W449" s="51"/>
      <c r="X449" s="51" t="s">
        <v>71</v>
      </c>
      <c r="Y449" s="51"/>
      <c r="Z449" s="51"/>
      <c r="AA449" s="86">
        <f t="shared" si="16"/>
        <v>0</v>
      </c>
      <c r="AB449" s="51"/>
      <c r="AC449" s="111" t="e">
        <f>INDEX(Tab_Def_Flows[[Flow_ID]:[CC_DM_source]],MATCH(Tab_Data_Flows[[#This Row],[Name(EN)]],Tab_Def_Flows[Name(EN)],0),16)</f>
        <v>#N/A</v>
      </c>
      <c r="AD449" s="112" t="e">
        <f>IF(J449="Yes",AA449*Tab_Data_Flows[[#This Row],[WC_'[%']]],"N.A.")</f>
        <v>#N/A</v>
      </c>
      <c r="AE449" s="61">
        <f>Tab_Data_Flows[[#This Row],[UoM_Flow_Py]]</f>
        <v>0</v>
      </c>
      <c r="AF449" s="111" t="e">
        <f>INDEX(Tab_Def_Flows[[Flow_ID]:[CC_DM_source]],MATCH(Tab_Data_Flows[[#This Row],[Name(EN)]],Tab_Def_Flows[Name(EN)],0),18)</f>
        <v>#N/A</v>
      </c>
      <c r="AG449" s="112" t="e">
        <f>IF(K449="Yes",AF449*Tab_Data_Flows[[#This Row],[Flow_Py]],"N.A.")</f>
        <v>#N/A</v>
      </c>
      <c r="AH449" s="61">
        <f>Tab_Data_Flows[[#This Row],[UoM_Flow_Py]]</f>
        <v>0</v>
      </c>
      <c r="AI449" s="111" t="e">
        <f>INDEX(Tab_Def_Flows[[Flow_ID]:[CC_DM_source]],MATCH(Tab_Data_Flows[[#This Row],[Name(EN)]],Tab_Def_Flows[Name(EN)],0),20)</f>
        <v>#N/A</v>
      </c>
      <c r="AJ449" s="109" t="e">
        <f>IF(L449="Yes",AI449*Tab_Data_Flows[[#This Row],[Flow_Py]]*Tab_Data_Flows[[#This Row],[DM_'[%']]],"N.A.")</f>
        <v>#N/A</v>
      </c>
      <c r="AK449" s="61">
        <f>Tab_Data_Flows[[#This Row],[UoM_Flow_Py]]</f>
        <v>0</v>
      </c>
    </row>
    <row r="450" spans="1:37" ht="15.75" thickBot="1" x14ac:dyDescent="0.3">
      <c r="A450" s="60">
        <f t="shared" si="15"/>
        <v>449</v>
      </c>
      <c r="B450" s="49" t="str">
        <f>_xlfn.XLOOKUP(C450,Tab_Def_Flows[Name(EN)],Tab_Def_Flows[Flow_ID],,0,)</f>
        <v>F_24_24</v>
      </c>
      <c r="C450" s="51"/>
      <c r="D450" s="49">
        <f>_xlfn.XLOOKUP(C450,Tab_Def_Flows[Name(EN)],Tab_Def_Flows[Type_Biomass],,0,)</f>
        <v>0</v>
      </c>
      <c r="E450" s="49">
        <f>_xlfn.XLOOKUP(C450,Tab_Def_Flows[Name(EN)],Tab_Def_Flows[Output_Process],,0,)</f>
        <v>0</v>
      </c>
      <c r="F450" s="49" t="str">
        <f>_xlfn.XLOOKUP(C450,Tab_Def_Flows[Name(EN)],Tab_Def_Flows[Process_ID_O],,0,)</f>
        <v>24__</v>
      </c>
      <c r="G450" s="49">
        <f>_xlfn.XLOOKUP(C450,Tab_Def_Flows[Name(EN)],Tab_Def_Flows[Input_Process],,0,)</f>
        <v>0</v>
      </c>
      <c r="H450" s="61" t="str">
        <f>_xlfn.XLOOKUP(C450,Tab_Def_Flows[Name(EN)],Tab_Def_Flows[Process_ID_I],,0,)</f>
        <v>24__</v>
      </c>
      <c r="I450" s="49">
        <f>_xlfn.XLOOKUP(C450,Tab_Def_Flows[Name(EN)],Tab_Def_Flows[Value_Source],,0,)</f>
        <v>0</v>
      </c>
      <c r="J450" s="61" t="str">
        <f>_xlfn.XLOOKUP(C450,Tab_Def_Flows[Name(EN)],Tab_Def_Flows[WC?],,0,)</f>
        <v>Yes</v>
      </c>
      <c r="K450" s="61" t="str">
        <f>_xlfn.XLOOKUP(C450,Tab_Def_Flows[Name(EN)],Tab_Def_Flows[DM?],,0,)</f>
        <v>Yes</v>
      </c>
      <c r="L450" s="61" t="str">
        <f>_xlfn.XLOOKUP(C450,Tab_Def_Flows[Name(EN)],Tab_Def_Flows[CC?],,0,)</f>
        <v>Yes</v>
      </c>
      <c r="M450" s="51"/>
      <c r="N450" s="51"/>
      <c r="O450" s="119"/>
      <c r="P450" s="51" t="s">
        <v>389</v>
      </c>
      <c r="Q450" s="51"/>
      <c r="R450" s="51"/>
      <c r="S450" s="51"/>
      <c r="T450" s="51"/>
      <c r="U450" s="51"/>
      <c r="V450" s="51"/>
      <c r="W450" s="51"/>
      <c r="X450" s="51" t="s">
        <v>71</v>
      </c>
      <c r="Y450" s="51"/>
      <c r="Z450" s="51"/>
      <c r="AA450" s="86">
        <f t="shared" si="16"/>
        <v>0</v>
      </c>
      <c r="AB450" s="51"/>
      <c r="AC450" s="111" t="e">
        <f>INDEX(Tab_Def_Flows[[Flow_ID]:[CC_DM_source]],MATCH(Tab_Data_Flows[[#This Row],[Name(EN)]],Tab_Def_Flows[Name(EN)],0),16)</f>
        <v>#N/A</v>
      </c>
      <c r="AD450" s="112" t="e">
        <f>IF(J450="Yes",AA450*Tab_Data_Flows[[#This Row],[WC_'[%']]],"N.A.")</f>
        <v>#N/A</v>
      </c>
      <c r="AE450" s="61">
        <f>Tab_Data_Flows[[#This Row],[UoM_Flow_Py]]</f>
        <v>0</v>
      </c>
      <c r="AF450" s="111" t="e">
        <f>INDEX(Tab_Def_Flows[[Flow_ID]:[CC_DM_source]],MATCH(Tab_Data_Flows[[#This Row],[Name(EN)]],Tab_Def_Flows[Name(EN)],0),18)</f>
        <v>#N/A</v>
      </c>
      <c r="AG450" s="112" t="e">
        <f>IF(K450="Yes",AF450*Tab_Data_Flows[[#This Row],[Flow_Py]],"N.A.")</f>
        <v>#N/A</v>
      </c>
      <c r="AH450" s="61">
        <f>Tab_Data_Flows[[#This Row],[UoM_Flow_Py]]</f>
        <v>0</v>
      </c>
      <c r="AI450" s="111" t="e">
        <f>INDEX(Tab_Def_Flows[[Flow_ID]:[CC_DM_source]],MATCH(Tab_Data_Flows[[#This Row],[Name(EN)]],Tab_Def_Flows[Name(EN)],0),20)</f>
        <v>#N/A</v>
      </c>
      <c r="AJ450" s="109" t="e">
        <f>IF(L450="Yes",AI450*Tab_Data_Flows[[#This Row],[Flow_Py]]*Tab_Data_Flows[[#This Row],[DM_'[%']]],"N.A.")</f>
        <v>#N/A</v>
      </c>
      <c r="AK450" s="61">
        <f>Tab_Data_Flows[[#This Row],[UoM_Flow_Py]]</f>
        <v>0</v>
      </c>
    </row>
    <row r="451" spans="1:37" ht="15.75" thickBot="1" x14ac:dyDescent="0.3">
      <c r="A451" s="60">
        <f t="shared" si="15"/>
        <v>450</v>
      </c>
      <c r="B451" s="49" t="str">
        <f>_xlfn.XLOOKUP(C451,Tab_Def_Flows[Name(EN)],Tab_Def_Flows[Flow_ID],,0,)</f>
        <v>F_24_24</v>
      </c>
      <c r="C451" s="51"/>
      <c r="D451" s="49">
        <f>_xlfn.XLOOKUP(C451,Tab_Def_Flows[Name(EN)],Tab_Def_Flows[Type_Biomass],,0,)</f>
        <v>0</v>
      </c>
      <c r="E451" s="49">
        <f>_xlfn.XLOOKUP(C451,Tab_Def_Flows[Name(EN)],Tab_Def_Flows[Output_Process],,0,)</f>
        <v>0</v>
      </c>
      <c r="F451" s="49" t="str">
        <f>_xlfn.XLOOKUP(C451,Tab_Def_Flows[Name(EN)],Tab_Def_Flows[Process_ID_O],,0,)</f>
        <v>24__</v>
      </c>
      <c r="G451" s="49">
        <f>_xlfn.XLOOKUP(C451,Tab_Def_Flows[Name(EN)],Tab_Def_Flows[Input_Process],,0,)</f>
        <v>0</v>
      </c>
      <c r="H451" s="61" t="str">
        <f>_xlfn.XLOOKUP(C451,Tab_Def_Flows[Name(EN)],Tab_Def_Flows[Process_ID_I],,0,)</f>
        <v>24__</v>
      </c>
      <c r="I451" s="49">
        <f>_xlfn.XLOOKUP(C451,Tab_Def_Flows[Name(EN)],Tab_Def_Flows[Value_Source],,0,)</f>
        <v>0</v>
      </c>
      <c r="J451" s="61" t="str">
        <f>_xlfn.XLOOKUP(C451,Tab_Def_Flows[Name(EN)],Tab_Def_Flows[WC?],,0,)</f>
        <v>Yes</v>
      </c>
      <c r="K451" s="61" t="str">
        <f>_xlfn.XLOOKUP(C451,Tab_Def_Flows[Name(EN)],Tab_Def_Flows[DM?],,0,)</f>
        <v>Yes</v>
      </c>
      <c r="L451" s="61" t="str">
        <f>_xlfn.XLOOKUP(C451,Tab_Def_Flows[Name(EN)],Tab_Def_Flows[CC?],,0,)</f>
        <v>Yes</v>
      </c>
      <c r="M451" s="51"/>
      <c r="N451" s="51"/>
      <c r="O451" s="119"/>
      <c r="P451" s="51" t="s">
        <v>389</v>
      </c>
      <c r="Q451" s="51"/>
      <c r="R451" s="51"/>
      <c r="S451" s="51"/>
      <c r="T451" s="51"/>
      <c r="U451" s="51"/>
      <c r="V451" s="51"/>
      <c r="W451" s="51"/>
      <c r="X451" s="51" t="s">
        <v>71</v>
      </c>
      <c r="Y451" s="51"/>
      <c r="Z451" s="51"/>
      <c r="AA451" s="86">
        <f t="shared" si="16"/>
        <v>0</v>
      </c>
      <c r="AB451" s="51"/>
      <c r="AC451" s="111" t="e">
        <f>INDEX(Tab_Def_Flows[[Flow_ID]:[CC_DM_source]],MATCH(Tab_Data_Flows[[#This Row],[Name(EN)]],Tab_Def_Flows[Name(EN)],0),16)</f>
        <v>#N/A</v>
      </c>
      <c r="AD451" s="112" t="e">
        <f>IF(J451="Yes",AA451*Tab_Data_Flows[[#This Row],[WC_'[%']]],"N.A.")</f>
        <v>#N/A</v>
      </c>
      <c r="AE451" s="61">
        <f>Tab_Data_Flows[[#This Row],[UoM_Flow_Py]]</f>
        <v>0</v>
      </c>
      <c r="AF451" s="111" t="e">
        <f>INDEX(Tab_Def_Flows[[Flow_ID]:[CC_DM_source]],MATCH(Tab_Data_Flows[[#This Row],[Name(EN)]],Tab_Def_Flows[Name(EN)],0),18)</f>
        <v>#N/A</v>
      </c>
      <c r="AG451" s="112" t="e">
        <f>IF(K451="Yes",AF451*Tab_Data_Flows[[#This Row],[Flow_Py]],"N.A.")</f>
        <v>#N/A</v>
      </c>
      <c r="AH451" s="61">
        <f>Tab_Data_Flows[[#This Row],[UoM_Flow_Py]]</f>
        <v>0</v>
      </c>
      <c r="AI451" s="111" t="e">
        <f>INDEX(Tab_Def_Flows[[Flow_ID]:[CC_DM_source]],MATCH(Tab_Data_Flows[[#This Row],[Name(EN)]],Tab_Def_Flows[Name(EN)],0),20)</f>
        <v>#N/A</v>
      </c>
      <c r="AJ451" s="109" t="e">
        <f>IF(L451="Yes",AI451*Tab_Data_Flows[[#This Row],[Flow_Py]]*Tab_Data_Flows[[#This Row],[DM_'[%']]],"N.A.")</f>
        <v>#N/A</v>
      </c>
      <c r="AK451" s="61">
        <f>Tab_Data_Flows[[#This Row],[UoM_Flow_Py]]</f>
        <v>0</v>
      </c>
    </row>
    <row r="452" spans="1:37" ht="15.75" thickBot="1" x14ac:dyDescent="0.3">
      <c r="A452" s="60">
        <f t="shared" si="15"/>
        <v>451</v>
      </c>
      <c r="B452" s="49" t="str">
        <f>_xlfn.XLOOKUP(C452,Tab_Def_Flows[Name(EN)],Tab_Def_Flows[Flow_ID],,0,)</f>
        <v>F_24_24</v>
      </c>
      <c r="C452" s="51"/>
      <c r="D452" s="49">
        <f>_xlfn.XLOOKUP(C452,Tab_Def_Flows[Name(EN)],Tab_Def_Flows[Type_Biomass],,0,)</f>
        <v>0</v>
      </c>
      <c r="E452" s="49">
        <f>_xlfn.XLOOKUP(C452,Tab_Def_Flows[Name(EN)],Tab_Def_Flows[Output_Process],,0,)</f>
        <v>0</v>
      </c>
      <c r="F452" s="49" t="str">
        <f>_xlfn.XLOOKUP(C452,Tab_Def_Flows[Name(EN)],Tab_Def_Flows[Process_ID_O],,0,)</f>
        <v>24__</v>
      </c>
      <c r="G452" s="49">
        <f>_xlfn.XLOOKUP(C452,Tab_Def_Flows[Name(EN)],Tab_Def_Flows[Input_Process],,0,)</f>
        <v>0</v>
      </c>
      <c r="H452" s="61" t="str">
        <f>_xlfn.XLOOKUP(C452,Tab_Def_Flows[Name(EN)],Tab_Def_Flows[Process_ID_I],,0,)</f>
        <v>24__</v>
      </c>
      <c r="I452" s="49">
        <f>_xlfn.XLOOKUP(C452,Tab_Def_Flows[Name(EN)],Tab_Def_Flows[Value_Source],,0,)</f>
        <v>0</v>
      </c>
      <c r="J452" s="61" t="str">
        <f>_xlfn.XLOOKUP(C452,Tab_Def_Flows[Name(EN)],Tab_Def_Flows[WC?],,0,)</f>
        <v>Yes</v>
      </c>
      <c r="K452" s="61" t="str">
        <f>_xlfn.XLOOKUP(C452,Tab_Def_Flows[Name(EN)],Tab_Def_Flows[DM?],,0,)</f>
        <v>Yes</v>
      </c>
      <c r="L452" s="61" t="str">
        <f>_xlfn.XLOOKUP(C452,Tab_Def_Flows[Name(EN)],Tab_Def_Flows[CC?],,0,)</f>
        <v>Yes</v>
      </c>
      <c r="M452" s="51"/>
      <c r="N452" s="51"/>
      <c r="O452" s="119"/>
      <c r="P452" s="51" t="s">
        <v>389</v>
      </c>
      <c r="Q452" s="51"/>
      <c r="R452" s="51"/>
      <c r="S452" s="51"/>
      <c r="T452" s="51"/>
      <c r="U452" s="51"/>
      <c r="V452" s="51"/>
      <c r="W452" s="51"/>
      <c r="X452" s="51" t="s">
        <v>71</v>
      </c>
      <c r="Y452" s="51"/>
      <c r="Z452" s="51"/>
      <c r="AA452" s="86">
        <f t="shared" si="16"/>
        <v>0</v>
      </c>
      <c r="AB452" s="51"/>
      <c r="AC452" s="111" t="e">
        <f>INDEX(Tab_Def_Flows[[Flow_ID]:[CC_DM_source]],MATCH(Tab_Data_Flows[[#This Row],[Name(EN)]],Tab_Def_Flows[Name(EN)],0),16)</f>
        <v>#N/A</v>
      </c>
      <c r="AD452" s="112" t="e">
        <f>IF(J452="Yes",AA452*Tab_Data_Flows[[#This Row],[WC_'[%']]],"N.A.")</f>
        <v>#N/A</v>
      </c>
      <c r="AE452" s="61">
        <f>Tab_Data_Flows[[#This Row],[UoM_Flow_Py]]</f>
        <v>0</v>
      </c>
      <c r="AF452" s="111" t="e">
        <f>INDEX(Tab_Def_Flows[[Flow_ID]:[CC_DM_source]],MATCH(Tab_Data_Flows[[#This Row],[Name(EN)]],Tab_Def_Flows[Name(EN)],0),18)</f>
        <v>#N/A</v>
      </c>
      <c r="AG452" s="112" t="e">
        <f>IF(K452="Yes",AF452*Tab_Data_Flows[[#This Row],[Flow_Py]],"N.A.")</f>
        <v>#N/A</v>
      </c>
      <c r="AH452" s="61">
        <f>Tab_Data_Flows[[#This Row],[UoM_Flow_Py]]</f>
        <v>0</v>
      </c>
      <c r="AI452" s="111" t="e">
        <f>INDEX(Tab_Def_Flows[[Flow_ID]:[CC_DM_source]],MATCH(Tab_Data_Flows[[#This Row],[Name(EN)]],Tab_Def_Flows[Name(EN)],0),20)</f>
        <v>#N/A</v>
      </c>
      <c r="AJ452" s="109" t="e">
        <f>IF(L452="Yes",AI452*Tab_Data_Flows[[#This Row],[Flow_Py]]*Tab_Data_Flows[[#This Row],[DM_'[%']]],"N.A.")</f>
        <v>#N/A</v>
      </c>
      <c r="AK452" s="61">
        <f>Tab_Data_Flows[[#This Row],[UoM_Flow_Py]]</f>
        <v>0</v>
      </c>
    </row>
    <row r="453" spans="1:37" ht="15.75" thickBot="1" x14ac:dyDescent="0.3">
      <c r="A453" s="60">
        <f t="shared" si="15"/>
        <v>452</v>
      </c>
      <c r="B453" s="49" t="str">
        <f>_xlfn.XLOOKUP(C453,Tab_Def_Flows[Name(EN)],Tab_Def_Flows[Flow_ID],,0,)</f>
        <v>F_24_24</v>
      </c>
      <c r="C453" s="51"/>
      <c r="D453" s="49">
        <f>_xlfn.XLOOKUP(C453,Tab_Def_Flows[Name(EN)],Tab_Def_Flows[Type_Biomass],,0,)</f>
        <v>0</v>
      </c>
      <c r="E453" s="49">
        <f>_xlfn.XLOOKUP(C453,Tab_Def_Flows[Name(EN)],Tab_Def_Flows[Output_Process],,0,)</f>
        <v>0</v>
      </c>
      <c r="F453" s="49" t="str">
        <f>_xlfn.XLOOKUP(C453,Tab_Def_Flows[Name(EN)],Tab_Def_Flows[Process_ID_O],,0,)</f>
        <v>24__</v>
      </c>
      <c r="G453" s="49">
        <f>_xlfn.XLOOKUP(C453,Tab_Def_Flows[Name(EN)],Tab_Def_Flows[Input_Process],,0,)</f>
        <v>0</v>
      </c>
      <c r="H453" s="61" t="str">
        <f>_xlfn.XLOOKUP(C453,Tab_Def_Flows[Name(EN)],Tab_Def_Flows[Process_ID_I],,0,)</f>
        <v>24__</v>
      </c>
      <c r="I453" s="49">
        <f>_xlfn.XLOOKUP(C453,Tab_Def_Flows[Name(EN)],Tab_Def_Flows[Value_Source],,0,)</f>
        <v>0</v>
      </c>
      <c r="J453" s="61" t="str">
        <f>_xlfn.XLOOKUP(C453,Tab_Def_Flows[Name(EN)],Tab_Def_Flows[WC?],,0,)</f>
        <v>Yes</v>
      </c>
      <c r="K453" s="61" t="str">
        <f>_xlfn.XLOOKUP(C453,Tab_Def_Flows[Name(EN)],Tab_Def_Flows[DM?],,0,)</f>
        <v>Yes</v>
      </c>
      <c r="L453" s="61" t="str">
        <f>_xlfn.XLOOKUP(C453,Tab_Def_Flows[Name(EN)],Tab_Def_Flows[CC?],,0,)</f>
        <v>Yes</v>
      </c>
      <c r="M453" s="51"/>
      <c r="N453" s="51"/>
      <c r="O453" s="119"/>
      <c r="P453" s="51" t="s">
        <v>389</v>
      </c>
      <c r="Q453" s="51"/>
      <c r="R453" s="51"/>
      <c r="S453" s="51"/>
      <c r="T453" s="51"/>
      <c r="U453" s="51"/>
      <c r="V453" s="51"/>
      <c r="W453" s="51"/>
      <c r="X453" s="51" t="s">
        <v>71</v>
      </c>
      <c r="Y453" s="51"/>
      <c r="Z453" s="51"/>
      <c r="AA453" s="86">
        <f t="shared" si="16"/>
        <v>0</v>
      </c>
      <c r="AB453" s="51"/>
      <c r="AC453" s="111" t="e">
        <f>INDEX(Tab_Def_Flows[[Flow_ID]:[CC_DM_source]],MATCH(Tab_Data_Flows[[#This Row],[Name(EN)]],Tab_Def_Flows[Name(EN)],0),16)</f>
        <v>#N/A</v>
      </c>
      <c r="AD453" s="112" t="e">
        <f>IF(J453="Yes",AA453*Tab_Data_Flows[[#This Row],[WC_'[%']]],"N.A.")</f>
        <v>#N/A</v>
      </c>
      <c r="AE453" s="61">
        <f>Tab_Data_Flows[[#This Row],[UoM_Flow_Py]]</f>
        <v>0</v>
      </c>
      <c r="AF453" s="111" t="e">
        <f>INDEX(Tab_Def_Flows[[Flow_ID]:[CC_DM_source]],MATCH(Tab_Data_Flows[[#This Row],[Name(EN)]],Tab_Def_Flows[Name(EN)],0),18)</f>
        <v>#N/A</v>
      </c>
      <c r="AG453" s="112" t="e">
        <f>IF(K453="Yes",AF453*Tab_Data_Flows[[#This Row],[Flow_Py]],"N.A.")</f>
        <v>#N/A</v>
      </c>
      <c r="AH453" s="61">
        <f>Tab_Data_Flows[[#This Row],[UoM_Flow_Py]]</f>
        <v>0</v>
      </c>
      <c r="AI453" s="111" t="e">
        <f>INDEX(Tab_Def_Flows[[Flow_ID]:[CC_DM_source]],MATCH(Tab_Data_Flows[[#This Row],[Name(EN)]],Tab_Def_Flows[Name(EN)],0),20)</f>
        <v>#N/A</v>
      </c>
      <c r="AJ453" s="109" t="e">
        <f>IF(L453="Yes",AI453*Tab_Data_Flows[[#This Row],[Flow_Py]]*Tab_Data_Flows[[#This Row],[DM_'[%']]],"N.A.")</f>
        <v>#N/A</v>
      </c>
      <c r="AK453" s="61">
        <f>Tab_Data_Flows[[#This Row],[UoM_Flow_Py]]</f>
        <v>0</v>
      </c>
    </row>
    <row r="454" spans="1:37" ht="15.75" thickBot="1" x14ac:dyDescent="0.3">
      <c r="A454" s="60">
        <f t="shared" si="15"/>
        <v>453</v>
      </c>
      <c r="B454" s="49" t="str">
        <f>_xlfn.XLOOKUP(C454,Tab_Def_Flows[Name(EN)],Tab_Def_Flows[Flow_ID],,0,)</f>
        <v>F_24_24</v>
      </c>
      <c r="C454" s="51"/>
      <c r="D454" s="49">
        <f>_xlfn.XLOOKUP(C454,Tab_Def_Flows[Name(EN)],Tab_Def_Flows[Type_Biomass],,0,)</f>
        <v>0</v>
      </c>
      <c r="E454" s="49">
        <f>_xlfn.XLOOKUP(C454,Tab_Def_Flows[Name(EN)],Tab_Def_Flows[Output_Process],,0,)</f>
        <v>0</v>
      </c>
      <c r="F454" s="49" t="str">
        <f>_xlfn.XLOOKUP(C454,Tab_Def_Flows[Name(EN)],Tab_Def_Flows[Process_ID_O],,0,)</f>
        <v>24__</v>
      </c>
      <c r="G454" s="49">
        <f>_xlfn.XLOOKUP(C454,Tab_Def_Flows[Name(EN)],Tab_Def_Flows[Input_Process],,0,)</f>
        <v>0</v>
      </c>
      <c r="H454" s="61" t="str">
        <f>_xlfn.XLOOKUP(C454,Tab_Def_Flows[Name(EN)],Tab_Def_Flows[Process_ID_I],,0,)</f>
        <v>24__</v>
      </c>
      <c r="I454" s="49">
        <f>_xlfn.XLOOKUP(C454,Tab_Def_Flows[Name(EN)],Tab_Def_Flows[Value_Source],,0,)</f>
        <v>0</v>
      </c>
      <c r="J454" s="61" t="str">
        <f>_xlfn.XLOOKUP(C454,Tab_Def_Flows[Name(EN)],Tab_Def_Flows[WC?],,0,)</f>
        <v>Yes</v>
      </c>
      <c r="K454" s="61" t="str">
        <f>_xlfn.XLOOKUP(C454,Tab_Def_Flows[Name(EN)],Tab_Def_Flows[DM?],,0,)</f>
        <v>Yes</v>
      </c>
      <c r="L454" s="61" t="str">
        <f>_xlfn.XLOOKUP(C454,Tab_Def_Flows[Name(EN)],Tab_Def_Flows[CC?],,0,)</f>
        <v>Yes</v>
      </c>
      <c r="M454" s="51"/>
      <c r="N454" s="51"/>
      <c r="O454" s="119"/>
      <c r="P454" s="51" t="s">
        <v>389</v>
      </c>
      <c r="Q454" s="51"/>
      <c r="R454" s="51"/>
      <c r="S454" s="51"/>
      <c r="T454" s="51"/>
      <c r="U454" s="51"/>
      <c r="V454" s="51"/>
      <c r="W454" s="51"/>
      <c r="X454" s="51" t="s">
        <v>71</v>
      </c>
      <c r="Y454" s="51"/>
      <c r="Z454" s="51"/>
      <c r="AA454" s="86">
        <f t="shared" si="16"/>
        <v>0</v>
      </c>
      <c r="AB454" s="51"/>
      <c r="AC454" s="111" t="e">
        <f>INDEX(Tab_Def_Flows[[Flow_ID]:[CC_DM_source]],MATCH(Tab_Data_Flows[[#This Row],[Name(EN)]],Tab_Def_Flows[Name(EN)],0),16)</f>
        <v>#N/A</v>
      </c>
      <c r="AD454" s="112" t="e">
        <f>IF(J454="Yes",AA454*Tab_Data_Flows[[#This Row],[WC_'[%']]],"N.A.")</f>
        <v>#N/A</v>
      </c>
      <c r="AE454" s="61">
        <f>Tab_Data_Flows[[#This Row],[UoM_Flow_Py]]</f>
        <v>0</v>
      </c>
      <c r="AF454" s="111" t="e">
        <f>INDEX(Tab_Def_Flows[[Flow_ID]:[CC_DM_source]],MATCH(Tab_Data_Flows[[#This Row],[Name(EN)]],Tab_Def_Flows[Name(EN)],0),18)</f>
        <v>#N/A</v>
      </c>
      <c r="AG454" s="112" t="e">
        <f>IF(K454="Yes",AF454*Tab_Data_Flows[[#This Row],[Flow_Py]],"N.A.")</f>
        <v>#N/A</v>
      </c>
      <c r="AH454" s="61">
        <f>Tab_Data_Flows[[#This Row],[UoM_Flow_Py]]</f>
        <v>0</v>
      </c>
      <c r="AI454" s="111" t="e">
        <f>INDEX(Tab_Def_Flows[[Flow_ID]:[CC_DM_source]],MATCH(Tab_Data_Flows[[#This Row],[Name(EN)]],Tab_Def_Flows[Name(EN)],0),20)</f>
        <v>#N/A</v>
      </c>
      <c r="AJ454" s="109" t="e">
        <f>IF(L454="Yes",AI454*Tab_Data_Flows[[#This Row],[Flow_Py]]*Tab_Data_Flows[[#This Row],[DM_'[%']]],"N.A.")</f>
        <v>#N/A</v>
      </c>
      <c r="AK454" s="61">
        <f>Tab_Data_Flows[[#This Row],[UoM_Flow_Py]]</f>
        <v>0</v>
      </c>
    </row>
    <row r="455" spans="1:37" ht="15.75" thickBot="1" x14ac:dyDescent="0.3">
      <c r="A455" s="60">
        <f t="shared" si="15"/>
        <v>454</v>
      </c>
      <c r="B455" s="49" t="str">
        <f>_xlfn.XLOOKUP(C455,Tab_Def_Flows[Name(EN)],Tab_Def_Flows[Flow_ID],,0,)</f>
        <v>F_24_24</v>
      </c>
      <c r="C455" s="51"/>
      <c r="D455" s="49">
        <f>_xlfn.XLOOKUP(C455,Tab_Def_Flows[Name(EN)],Tab_Def_Flows[Type_Biomass],,0,)</f>
        <v>0</v>
      </c>
      <c r="E455" s="49">
        <f>_xlfn.XLOOKUP(C455,Tab_Def_Flows[Name(EN)],Tab_Def_Flows[Output_Process],,0,)</f>
        <v>0</v>
      </c>
      <c r="F455" s="49" t="str">
        <f>_xlfn.XLOOKUP(C455,Tab_Def_Flows[Name(EN)],Tab_Def_Flows[Process_ID_O],,0,)</f>
        <v>24__</v>
      </c>
      <c r="G455" s="49">
        <f>_xlfn.XLOOKUP(C455,Tab_Def_Flows[Name(EN)],Tab_Def_Flows[Input_Process],,0,)</f>
        <v>0</v>
      </c>
      <c r="H455" s="61" t="str">
        <f>_xlfn.XLOOKUP(C455,Tab_Def_Flows[Name(EN)],Tab_Def_Flows[Process_ID_I],,0,)</f>
        <v>24__</v>
      </c>
      <c r="I455" s="49">
        <f>_xlfn.XLOOKUP(C455,Tab_Def_Flows[Name(EN)],Tab_Def_Flows[Value_Source],,0,)</f>
        <v>0</v>
      </c>
      <c r="J455" s="61" t="str">
        <f>_xlfn.XLOOKUP(C455,Tab_Def_Flows[Name(EN)],Tab_Def_Flows[WC?],,0,)</f>
        <v>Yes</v>
      </c>
      <c r="K455" s="61" t="str">
        <f>_xlfn.XLOOKUP(C455,Tab_Def_Flows[Name(EN)],Tab_Def_Flows[DM?],,0,)</f>
        <v>Yes</v>
      </c>
      <c r="L455" s="61" t="str">
        <f>_xlfn.XLOOKUP(C455,Tab_Def_Flows[Name(EN)],Tab_Def_Flows[CC?],,0,)</f>
        <v>Yes</v>
      </c>
      <c r="M455" s="51"/>
      <c r="N455" s="51"/>
      <c r="O455" s="119"/>
      <c r="P455" s="51" t="s">
        <v>389</v>
      </c>
      <c r="Q455" s="51"/>
      <c r="R455" s="51"/>
      <c r="S455" s="51"/>
      <c r="T455" s="51"/>
      <c r="U455" s="51"/>
      <c r="V455" s="51"/>
      <c r="W455" s="51"/>
      <c r="X455" s="51" t="s">
        <v>71</v>
      </c>
      <c r="Y455" s="51"/>
      <c r="Z455" s="51"/>
      <c r="AA455" s="86">
        <f t="shared" si="16"/>
        <v>0</v>
      </c>
      <c r="AB455" s="51"/>
      <c r="AC455" s="111" t="e">
        <f>INDEX(Tab_Def_Flows[[Flow_ID]:[CC_DM_source]],MATCH(Tab_Data_Flows[[#This Row],[Name(EN)]],Tab_Def_Flows[Name(EN)],0),16)</f>
        <v>#N/A</v>
      </c>
      <c r="AD455" s="112" t="e">
        <f>IF(J455="Yes",AA455*Tab_Data_Flows[[#This Row],[WC_'[%']]],"N.A.")</f>
        <v>#N/A</v>
      </c>
      <c r="AE455" s="61">
        <f>Tab_Data_Flows[[#This Row],[UoM_Flow_Py]]</f>
        <v>0</v>
      </c>
      <c r="AF455" s="111" t="e">
        <f>INDEX(Tab_Def_Flows[[Flow_ID]:[CC_DM_source]],MATCH(Tab_Data_Flows[[#This Row],[Name(EN)]],Tab_Def_Flows[Name(EN)],0),18)</f>
        <v>#N/A</v>
      </c>
      <c r="AG455" s="112" t="e">
        <f>IF(K455="Yes",AF455*Tab_Data_Flows[[#This Row],[Flow_Py]],"N.A.")</f>
        <v>#N/A</v>
      </c>
      <c r="AH455" s="61">
        <f>Tab_Data_Flows[[#This Row],[UoM_Flow_Py]]</f>
        <v>0</v>
      </c>
      <c r="AI455" s="111" t="e">
        <f>INDEX(Tab_Def_Flows[[Flow_ID]:[CC_DM_source]],MATCH(Tab_Data_Flows[[#This Row],[Name(EN)]],Tab_Def_Flows[Name(EN)],0),20)</f>
        <v>#N/A</v>
      </c>
      <c r="AJ455" s="109" t="e">
        <f>IF(L455="Yes",AI455*Tab_Data_Flows[[#This Row],[Flow_Py]]*Tab_Data_Flows[[#This Row],[DM_'[%']]],"N.A.")</f>
        <v>#N/A</v>
      </c>
      <c r="AK455" s="61">
        <f>Tab_Data_Flows[[#This Row],[UoM_Flow_Py]]</f>
        <v>0</v>
      </c>
    </row>
    <row r="456" spans="1:37" ht="15.75" thickBot="1" x14ac:dyDescent="0.3">
      <c r="A456" s="60">
        <f t="shared" si="15"/>
        <v>455</v>
      </c>
      <c r="B456" s="49" t="str">
        <f>_xlfn.XLOOKUP(C456,Tab_Def_Flows[Name(EN)],Tab_Def_Flows[Flow_ID],,0,)</f>
        <v>F_24_24</v>
      </c>
      <c r="C456" s="51"/>
      <c r="D456" s="49">
        <f>_xlfn.XLOOKUP(C456,Tab_Def_Flows[Name(EN)],Tab_Def_Flows[Type_Biomass],,0,)</f>
        <v>0</v>
      </c>
      <c r="E456" s="49">
        <f>_xlfn.XLOOKUP(C456,Tab_Def_Flows[Name(EN)],Tab_Def_Flows[Output_Process],,0,)</f>
        <v>0</v>
      </c>
      <c r="F456" s="49" t="str">
        <f>_xlfn.XLOOKUP(C456,Tab_Def_Flows[Name(EN)],Tab_Def_Flows[Process_ID_O],,0,)</f>
        <v>24__</v>
      </c>
      <c r="G456" s="49">
        <f>_xlfn.XLOOKUP(C456,Tab_Def_Flows[Name(EN)],Tab_Def_Flows[Input_Process],,0,)</f>
        <v>0</v>
      </c>
      <c r="H456" s="61" t="str">
        <f>_xlfn.XLOOKUP(C456,Tab_Def_Flows[Name(EN)],Tab_Def_Flows[Process_ID_I],,0,)</f>
        <v>24__</v>
      </c>
      <c r="I456" s="49">
        <f>_xlfn.XLOOKUP(C456,Tab_Def_Flows[Name(EN)],Tab_Def_Flows[Value_Source],,0,)</f>
        <v>0</v>
      </c>
      <c r="J456" s="61" t="str">
        <f>_xlfn.XLOOKUP(C456,Tab_Def_Flows[Name(EN)],Tab_Def_Flows[WC?],,0,)</f>
        <v>Yes</v>
      </c>
      <c r="K456" s="61" t="str">
        <f>_xlfn.XLOOKUP(C456,Tab_Def_Flows[Name(EN)],Tab_Def_Flows[DM?],,0,)</f>
        <v>Yes</v>
      </c>
      <c r="L456" s="61" t="str">
        <f>_xlfn.XLOOKUP(C456,Tab_Def_Flows[Name(EN)],Tab_Def_Flows[CC?],,0,)</f>
        <v>Yes</v>
      </c>
      <c r="M456" s="51"/>
      <c r="N456" s="51"/>
      <c r="O456" s="119"/>
      <c r="P456" s="51" t="s">
        <v>389</v>
      </c>
      <c r="Q456" s="51"/>
      <c r="R456" s="51"/>
      <c r="S456" s="51"/>
      <c r="T456" s="51"/>
      <c r="U456" s="51"/>
      <c r="V456" s="51"/>
      <c r="W456" s="51"/>
      <c r="X456" s="51" t="s">
        <v>71</v>
      </c>
      <c r="Y456" s="51"/>
      <c r="Z456" s="51"/>
      <c r="AA456" s="86">
        <f t="shared" si="16"/>
        <v>0</v>
      </c>
      <c r="AB456" s="51"/>
      <c r="AC456" s="111" t="e">
        <f>INDEX(Tab_Def_Flows[[Flow_ID]:[CC_DM_source]],MATCH(Tab_Data_Flows[[#This Row],[Name(EN)]],Tab_Def_Flows[Name(EN)],0),16)</f>
        <v>#N/A</v>
      </c>
      <c r="AD456" s="112" t="e">
        <f>IF(J456="Yes",AA456*Tab_Data_Flows[[#This Row],[WC_'[%']]],"N.A.")</f>
        <v>#N/A</v>
      </c>
      <c r="AE456" s="61">
        <f>Tab_Data_Flows[[#This Row],[UoM_Flow_Py]]</f>
        <v>0</v>
      </c>
      <c r="AF456" s="111" t="e">
        <f>INDEX(Tab_Def_Flows[[Flow_ID]:[CC_DM_source]],MATCH(Tab_Data_Flows[[#This Row],[Name(EN)]],Tab_Def_Flows[Name(EN)],0),18)</f>
        <v>#N/A</v>
      </c>
      <c r="AG456" s="112" t="e">
        <f>IF(K456="Yes",AF456*Tab_Data_Flows[[#This Row],[Flow_Py]],"N.A.")</f>
        <v>#N/A</v>
      </c>
      <c r="AH456" s="61">
        <f>Tab_Data_Flows[[#This Row],[UoM_Flow_Py]]</f>
        <v>0</v>
      </c>
      <c r="AI456" s="111" t="e">
        <f>INDEX(Tab_Def_Flows[[Flow_ID]:[CC_DM_source]],MATCH(Tab_Data_Flows[[#This Row],[Name(EN)]],Tab_Def_Flows[Name(EN)],0),20)</f>
        <v>#N/A</v>
      </c>
      <c r="AJ456" s="109" t="e">
        <f>IF(L456="Yes",AI456*Tab_Data_Flows[[#This Row],[Flow_Py]]*Tab_Data_Flows[[#This Row],[DM_'[%']]],"N.A.")</f>
        <v>#N/A</v>
      </c>
      <c r="AK456" s="61">
        <f>Tab_Data_Flows[[#This Row],[UoM_Flow_Py]]</f>
        <v>0</v>
      </c>
    </row>
    <row r="457" spans="1:37" ht="15.75" thickBot="1" x14ac:dyDescent="0.3">
      <c r="A457" s="60">
        <f t="shared" si="15"/>
        <v>456</v>
      </c>
      <c r="B457" s="49" t="str">
        <f>_xlfn.XLOOKUP(C457,Tab_Def_Flows[Name(EN)],Tab_Def_Flows[Flow_ID],,0,)</f>
        <v>F_24_24</v>
      </c>
      <c r="C457" s="51"/>
      <c r="D457" s="49">
        <f>_xlfn.XLOOKUP(C457,Tab_Def_Flows[Name(EN)],Tab_Def_Flows[Type_Biomass],,0,)</f>
        <v>0</v>
      </c>
      <c r="E457" s="49">
        <f>_xlfn.XLOOKUP(C457,Tab_Def_Flows[Name(EN)],Tab_Def_Flows[Output_Process],,0,)</f>
        <v>0</v>
      </c>
      <c r="F457" s="49" t="str">
        <f>_xlfn.XLOOKUP(C457,Tab_Def_Flows[Name(EN)],Tab_Def_Flows[Process_ID_O],,0,)</f>
        <v>24__</v>
      </c>
      <c r="G457" s="49">
        <f>_xlfn.XLOOKUP(C457,Tab_Def_Flows[Name(EN)],Tab_Def_Flows[Input_Process],,0,)</f>
        <v>0</v>
      </c>
      <c r="H457" s="61" t="str">
        <f>_xlfn.XLOOKUP(C457,Tab_Def_Flows[Name(EN)],Tab_Def_Flows[Process_ID_I],,0,)</f>
        <v>24__</v>
      </c>
      <c r="I457" s="49">
        <f>_xlfn.XLOOKUP(C457,Tab_Def_Flows[Name(EN)],Tab_Def_Flows[Value_Source],,0,)</f>
        <v>0</v>
      </c>
      <c r="J457" s="61" t="str">
        <f>_xlfn.XLOOKUP(C457,Tab_Def_Flows[Name(EN)],Tab_Def_Flows[WC?],,0,)</f>
        <v>Yes</v>
      </c>
      <c r="K457" s="61" t="str">
        <f>_xlfn.XLOOKUP(C457,Tab_Def_Flows[Name(EN)],Tab_Def_Flows[DM?],,0,)</f>
        <v>Yes</v>
      </c>
      <c r="L457" s="61" t="str">
        <f>_xlfn.XLOOKUP(C457,Tab_Def_Flows[Name(EN)],Tab_Def_Flows[CC?],,0,)</f>
        <v>Yes</v>
      </c>
      <c r="M457" s="51"/>
      <c r="N457" s="51"/>
      <c r="O457" s="119"/>
      <c r="P457" s="51" t="s">
        <v>389</v>
      </c>
      <c r="Q457" s="51"/>
      <c r="R457" s="51"/>
      <c r="S457" s="51"/>
      <c r="T457" s="51"/>
      <c r="U457" s="51"/>
      <c r="V457" s="51"/>
      <c r="W457" s="51"/>
      <c r="X457" s="51" t="s">
        <v>71</v>
      </c>
      <c r="Y457" s="51"/>
      <c r="Z457" s="51"/>
      <c r="AA457" s="86">
        <f t="shared" si="16"/>
        <v>0</v>
      </c>
      <c r="AB457" s="51"/>
      <c r="AC457" s="111" t="e">
        <f>INDEX(Tab_Def_Flows[[Flow_ID]:[CC_DM_source]],MATCH(Tab_Data_Flows[[#This Row],[Name(EN)]],Tab_Def_Flows[Name(EN)],0),16)</f>
        <v>#N/A</v>
      </c>
      <c r="AD457" s="112" t="e">
        <f>IF(J457="Yes",AA457*Tab_Data_Flows[[#This Row],[WC_'[%']]],"N.A.")</f>
        <v>#N/A</v>
      </c>
      <c r="AE457" s="61">
        <f>Tab_Data_Flows[[#This Row],[UoM_Flow_Py]]</f>
        <v>0</v>
      </c>
      <c r="AF457" s="111" t="e">
        <f>INDEX(Tab_Def_Flows[[Flow_ID]:[CC_DM_source]],MATCH(Tab_Data_Flows[[#This Row],[Name(EN)]],Tab_Def_Flows[Name(EN)],0),18)</f>
        <v>#N/A</v>
      </c>
      <c r="AG457" s="112" t="e">
        <f>IF(K457="Yes",AF457*Tab_Data_Flows[[#This Row],[Flow_Py]],"N.A.")</f>
        <v>#N/A</v>
      </c>
      <c r="AH457" s="61">
        <f>Tab_Data_Flows[[#This Row],[UoM_Flow_Py]]</f>
        <v>0</v>
      </c>
      <c r="AI457" s="111" t="e">
        <f>INDEX(Tab_Def_Flows[[Flow_ID]:[CC_DM_source]],MATCH(Tab_Data_Flows[[#This Row],[Name(EN)]],Tab_Def_Flows[Name(EN)],0),20)</f>
        <v>#N/A</v>
      </c>
      <c r="AJ457" s="109" t="e">
        <f>IF(L457="Yes",AI457*Tab_Data_Flows[[#This Row],[Flow_Py]]*Tab_Data_Flows[[#This Row],[DM_'[%']]],"N.A.")</f>
        <v>#N/A</v>
      </c>
      <c r="AK457" s="61">
        <f>Tab_Data_Flows[[#This Row],[UoM_Flow_Py]]</f>
        <v>0</v>
      </c>
    </row>
    <row r="458" spans="1:37" ht="15.75" thickBot="1" x14ac:dyDescent="0.3">
      <c r="A458" s="60">
        <f t="shared" si="15"/>
        <v>457</v>
      </c>
      <c r="B458" s="49" t="str">
        <f>_xlfn.XLOOKUP(C458,Tab_Def_Flows[Name(EN)],Tab_Def_Flows[Flow_ID],,0,)</f>
        <v>F_24_24</v>
      </c>
      <c r="C458" s="51"/>
      <c r="D458" s="49">
        <f>_xlfn.XLOOKUP(C458,Tab_Def_Flows[Name(EN)],Tab_Def_Flows[Type_Biomass],,0,)</f>
        <v>0</v>
      </c>
      <c r="E458" s="49">
        <f>_xlfn.XLOOKUP(C458,Tab_Def_Flows[Name(EN)],Tab_Def_Flows[Output_Process],,0,)</f>
        <v>0</v>
      </c>
      <c r="F458" s="49" t="str">
        <f>_xlfn.XLOOKUP(C458,Tab_Def_Flows[Name(EN)],Tab_Def_Flows[Process_ID_O],,0,)</f>
        <v>24__</v>
      </c>
      <c r="G458" s="49">
        <f>_xlfn.XLOOKUP(C458,Tab_Def_Flows[Name(EN)],Tab_Def_Flows[Input_Process],,0,)</f>
        <v>0</v>
      </c>
      <c r="H458" s="61" t="str">
        <f>_xlfn.XLOOKUP(C458,Tab_Def_Flows[Name(EN)],Tab_Def_Flows[Process_ID_I],,0,)</f>
        <v>24__</v>
      </c>
      <c r="I458" s="49">
        <f>_xlfn.XLOOKUP(C458,Tab_Def_Flows[Name(EN)],Tab_Def_Flows[Value_Source],,0,)</f>
        <v>0</v>
      </c>
      <c r="J458" s="61" t="str">
        <f>_xlfn.XLOOKUP(C458,Tab_Def_Flows[Name(EN)],Tab_Def_Flows[WC?],,0,)</f>
        <v>Yes</v>
      </c>
      <c r="K458" s="61" t="str">
        <f>_xlfn.XLOOKUP(C458,Tab_Def_Flows[Name(EN)],Tab_Def_Flows[DM?],,0,)</f>
        <v>Yes</v>
      </c>
      <c r="L458" s="61" t="str">
        <f>_xlfn.XLOOKUP(C458,Tab_Def_Flows[Name(EN)],Tab_Def_Flows[CC?],,0,)</f>
        <v>Yes</v>
      </c>
      <c r="M458" s="51"/>
      <c r="N458" s="51"/>
      <c r="O458" s="119"/>
      <c r="P458" s="51" t="s">
        <v>389</v>
      </c>
      <c r="Q458" s="51"/>
      <c r="R458" s="51"/>
      <c r="S458" s="51"/>
      <c r="T458" s="51"/>
      <c r="U458" s="51"/>
      <c r="V458" s="51"/>
      <c r="W458" s="51"/>
      <c r="X458" s="51" t="s">
        <v>71</v>
      </c>
      <c r="Y458" s="51"/>
      <c r="Z458" s="51"/>
      <c r="AA458" s="86">
        <f t="shared" si="16"/>
        <v>0</v>
      </c>
      <c r="AB458" s="51"/>
      <c r="AC458" s="111" t="e">
        <f>INDEX(Tab_Def_Flows[[Flow_ID]:[CC_DM_source]],MATCH(Tab_Data_Flows[[#This Row],[Name(EN)]],Tab_Def_Flows[Name(EN)],0),16)</f>
        <v>#N/A</v>
      </c>
      <c r="AD458" s="112" t="e">
        <f>IF(J458="Yes",AA458*Tab_Data_Flows[[#This Row],[WC_'[%']]],"N.A.")</f>
        <v>#N/A</v>
      </c>
      <c r="AE458" s="61">
        <f>Tab_Data_Flows[[#This Row],[UoM_Flow_Py]]</f>
        <v>0</v>
      </c>
      <c r="AF458" s="111" t="e">
        <f>INDEX(Tab_Def_Flows[[Flow_ID]:[CC_DM_source]],MATCH(Tab_Data_Flows[[#This Row],[Name(EN)]],Tab_Def_Flows[Name(EN)],0),18)</f>
        <v>#N/A</v>
      </c>
      <c r="AG458" s="112" t="e">
        <f>IF(K458="Yes",AF458*Tab_Data_Flows[[#This Row],[Flow_Py]],"N.A.")</f>
        <v>#N/A</v>
      </c>
      <c r="AH458" s="61">
        <f>Tab_Data_Flows[[#This Row],[UoM_Flow_Py]]</f>
        <v>0</v>
      </c>
      <c r="AI458" s="111" t="e">
        <f>INDEX(Tab_Def_Flows[[Flow_ID]:[CC_DM_source]],MATCH(Tab_Data_Flows[[#This Row],[Name(EN)]],Tab_Def_Flows[Name(EN)],0),20)</f>
        <v>#N/A</v>
      </c>
      <c r="AJ458" s="109" t="e">
        <f>IF(L458="Yes",AI458*Tab_Data_Flows[[#This Row],[Flow_Py]]*Tab_Data_Flows[[#This Row],[DM_'[%']]],"N.A.")</f>
        <v>#N/A</v>
      </c>
      <c r="AK458" s="61">
        <f>Tab_Data_Flows[[#This Row],[UoM_Flow_Py]]</f>
        <v>0</v>
      </c>
    </row>
    <row r="459" spans="1:37" ht="15.75" thickBot="1" x14ac:dyDescent="0.3">
      <c r="A459" s="60">
        <f t="shared" si="15"/>
        <v>458</v>
      </c>
      <c r="B459" s="49" t="str">
        <f>_xlfn.XLOOKUP(C459,Tab_Def_Flows[Name(EN)],Tab_Def_Flows[Flow_ID],,0,)</f>
        <v>F_24_24</v>
      </c>
      <c r="C459" s="51"/>
      <c r="D459" s="49">
        <f>_xlfn.XLOOKUP(C459,Tab_Def_Flows[Name(EN)],Tab_Def_Flows[Type_Biomass],,0,)</f>
        <v>0</v>
      </c>
      <c r="E459" s="49">
        <f>_xlfn.XLOOKUP(C459,Tab_Def_Flows[Name(EN)],Tab_Def_Flows[Output_Process],,0,)</f>
        <v>0</v>
      </c>
      <c r="F459" s="49" t="str">
        <f>_xlfn.XLOOKUP(C459,Tab_Def_Flows[Name(EN)],Tab_Def_Flows[Process_ID_O],,0,)</f>
        <v>24__</v>
      </c>
      <c r="G459" s="49">
        <f>_xlfn.XLOOKUP(C459,Tab_Def_Flows[Name(EN)],Tab_Def_Flows[Input_Process],,0,)</f>
        <v>0</v>
      </c>
      <c r="H459" s="61" t="str">
        <f>_xlfn.XLOOKUP(C459,Tab_Def_Flows[Name(EN)],Tab_Def_Flows[Process_ID_I],,0,)</f>
        <v>24__</v>
      </c>
      <c r="I459" s="49">
        <f>_xlfn.XLOOKUP(C459,Tab_Def_Flows[Name(EN)],Tab_Def_Flows[Value_Source],,0,)</f>
        <v>0</v>
      </c>
      <c r="J459" s="61" t="str">
        <f>_xlfn.XLOOKUP(C459,Tab_Def_Flows[Name(EN)],Tab_Def_Flows[WC?],,0,)</f>
        <v>Yes</v>
      </c>
      <c r="K459" s="61" t="str">
        <f>_xlfn.XLOOKUP(C459,Tab_Def_Flows[Name(EN)],Tab_Def_Flows[DM?],,0,)</f>
        <v>Yes</v>
      </c>
      <c r="L459" s="61" t="str">
        <f>_xlfn.XLOOKUP(C459,Tab_Def_Flows[Name(EN)],Tab_Def_Flows[CC?],,0,)</f>
        <v>Yes</v>
      </c>
      <c r="M459" s="51"/>
      <c r="N459" s="51"/>
      <c r="O459" s="119"/>
      <c r="P459" s="51" t="s">
        <v>389</v>
      </c>
      <c r="Q459" s="51"/>
      <c r="R459" s="51"/>
      <c r="S459" s="51"/>
      <c r="T459" s="51"/>
      <c r="U459" s="51"/>
      <c r="V459" s="51"/>
      <c r="W459" s="51"/>
      <c r="X459" s="51" t="s">
        <v>71</v>
      </c>
      <c r="Y459" s="51"/>
      <c r="Z459" s="51"/>
      <c r="AA459" s="86">
        <f t="shared" si="16"/>
        <v>0</v>
      </c>
      <c r="AB459" s="51"/>
      <c r="AC459" s="111" t="e">
        <f>INDEX(Tab_Def_Flows[[Flow_ID]:[CC_DM_source]],MATCH(Tab_Data_Flows[[#This Row],[Name(EN)]],Tab_Def_Flows[Name(EN)],0),16)</f>
        <v>#N/A</v>
      </c>
      <c r="AD459" s="112" t="e">
        <f>IF(J459="Yes",AA459*Tab_Data_Flows[[#This Row],[WC_'[%']]],"N.A.")</f>
        <v>#N/A</v>
      </c>
      <c r="AE459" s="61">
        <f>Tab_Data_Flows[[#This Row],[UoM_Flow_Py]]</f>
        <v>0</v>
      </c>
      <c r="AF459" s="111" t="e">
        <f>INDEX(Tab_Def_Flows[[Flow_ID]:[CC_DM_source]],MATCH(Tab_Data_Flows[[#This Row],[Name(EN)]],Tab_Def_Flows[Name(EN)],0),18)</f>
        <v>#N/A</v>
      </c>
      <c r="AG459" s="112" t="e">
        <f>IF(K459="Yes",AF459*Tab_Data_Flows[[#This Row],[Flow_Py]],"N.A.")</f>
        <v>#N/A</v>
      </c>
      <c r="AH459" s="61">
        <f>Tab_Data_Flows[[#This Row],[UoM_Flow_Py]]</f>
        <v>0</v>
      </c>
      <c r="AI459" s="111" t="e">
        <f>INDEX(Tab_Def_Flows[[Flow_ID]:[CC_DM_source]],MATCH(Tab_Data_Flows[[#This Row],[Name(EN)]],Tab_Def_Flows[Name(EN)],0),20)</f>
        <v>#N/A</v>
      </c>
      <c r="AJ459" s="109" t="e">
        <f>IF(L459="Yes",AI459*Tab_Data_Flows[[#This Row],[Flow_Py]]*Tab_Data_Flows[[#This Row],[DM_'[%']]],"N.A.")</f>
        <v>#N/A</v>
      </c>
      <c r="AK459" s="61">
        <f>Tab_Data_Flows[[#This Row],[UoM_Flow_Py]]</f>
        <v>0</v>
      </c>
    </row>
    <row r="460" spans="1:37" ht="15.75" thickBot="1" x14ac:dyDescent="0.3">
      <c r="A460" s="60">
        <f t="shared" si="15"/>
        <v>459</v>
      </c>
      <c r="B460" s="49" t="str">
        <f>_xlfn.XLOOKUP(C460,Tab_Def_Flows[Name(EN)],Tab_Def_Flows[Flow_ID],,0,)</f>
        <v>F_24_24</v>
      </c>
      <c r="C460" s="51"/>
      <c r="D460" s="49">
        <f>_xlfn.XLOOKUP(C460,Tab_Def_Flows[Name(EN)],Tab_Def_Flows[Type_Biomass],,0,)</f>
        <v>0</v>
      </c>
      <c r="E460" s="49">
        <f>_xlfn.XLOOKUP(C460,Tab_Def_Flows[Name(EN)],Tab_Def_Flows[Output_Process],,0,)</f>
        <v>0</v>
      </c>
      <c r="F460" s="49" t="str">
        <f>_xlfn.XLOOKUP(C460,Tab_Def_Flows[Name(EN)],Tab_Def_Flows[Process_ID_O],,0,)</f>
        <v>24__</v>
      </c>
      <c r="G460" s="49">
        <f>_xlfn.XLOOKUP(C460,Tab_Def_Flows[Name(EN)],Tab_Def_Flows[Input_Process],,0,)</f>
        <v>0</v>
      </c>
      <c r="H460" s="61" t="str">
        <f>_xlfn.XLOOKUP(C460,Tab_Def_Flows[Name(EN)],Tab_Def_Flows[Process_ID_I],,0,)</f>
        <v>24__</v>
      </c>
      <c r="I460" s="49">
        <f>_xlfn.XLOOKUP(C460,Tab_Def_Flows[Name(EN)],Tab_Def_Flows[Value_Source],,0,)</f>
        <v>0</v>
      </c>
      <c r="J460" s="61" t="str">
        <f>_xlfn.XLOOKUP(C460,Tab_Def_Flows[Name(EN)],Tab_Def_Flows[WC?],,0,)</f>
        <v>Yes</v>
      </c>
      <c r="K460" s="61" t="str">
        <f>_xlfn.XLOOKUP(C460,Tab_Def_Flows[Name(EN)],Tab_Def_Flows[DM?],,0,)</f>
        <v>Yes</v>
      </c>
      <c r="L460" s="61" t="str">
        <f>_xlfn.XLOOKUP(C460,Tab_Def_Flows[Name(EN)],Tab_Def_Flows[CC?],,0,)</f>
        <v>Yes</v>
      </c>
      <c r="M460" s="51"/>
      <c r="N460" s="51"/>
      <c r="O460" s="119"/>
      <c r="P460" s="51" t="s">
        <v>389</v>
      </c>
      <c r="Q460" s="51"/>
      <c r="R460" s="51"/>
      <c r="S460" s="51"/>
      <c r="T460" s="51"/>
      <c r="U460" s="51"/>
      <c r="V460" s="51"/>
      <c r="W460" s="51"/>
      <c r="X460" s="51" t="s">
        <v>71</v>
      </c>
      <c r="Y460" s="51"/>
      <c r="Z460" s="51"/>
      <c r="AA460" s="86">
        <f t="shared" si="16"/>
        <v>0</v>
      </c>
      <c r="AB460" s="51"/>
      <c r="AC460" s="111" t="e">
        <f>INDEX(Tab_Def_Flows[[Flow_ID]:[CC_DM_source]],MATCH(Tab_Data_Flows[[#This Row],[Name(EN)]],Tab_Def_Flows[Name(EN)],0),16)</f>
        <v>#N/A</v>
      </c>
      <c r="AD460" s="112" t="e">
        <f>IF(J460="Yes",AA460*Tab_Data_Flows[[#This Row],[WC_'[%']]],"N.A.")</f>
        <v>#N/A</v>
      </c>
      <c r="AE460" s="61">
        <f>Tab_Data_Flows[[#This Row],[UoM_Flow_Py]]</f>
        <v>0</v>
      </c>
      <c r="AF460" s="111" t="e">
        <f>INDEX(Tab_Def_Flows[[Flow_ID]:[CC_DM_source]],MATCH(Tab_Data_Flows[[#This Row],[Name(EN)]],Tab_Def_Flows[Name(EN)],0),18)</f>
        <v>#N/A</v>
      </c>
      <c r="AG460" s="112" t="e">
        <f>IF(K460="Yes",AF460*Tab_Data_Flows[[#This Row],[Flow_Py]],"N.A.")</f>
        <v>#N/A</v>
      </c>
      <c r="AH460" s="61">
        <f>Tab_Data_Flows[[#This Row],[UoM_Flow_Py]]</f>
        <v>0</v>
      </c>
      <c r="AI460" s="111" t="e">
        <f>INDEX(Tab_Def_Flows[[Flow_ID]:[CC_DM_source]],MATCH(Tab_Data_Flows[[#This Row],[Name(EN)]],Tab_Def_Flows[Name(EN)],0),20)</f>
        <v>#N/A</v>
      </c>
      <c r="AJ460" s="109" t="e">
        <f>IF(L460="Yes",AI460*Tab_Data_Flows[[#This Row],[Flow_Py]]*Tab_Data_Flows[[#This Row],[DM_'[%']]],"N.A.")</f>
        <v>#N/A</v>
      </c>
      <c r="AK460" s="61">
        <f>Tab_Data_Flows[[#This Row],[UoM_Flow_Py]]</f>
        <v>0</v>
      </c>
    </row>
    <row r="461" spans="1:37" ht="15.75" thickBot="1" x14ac:dyDescent="0.3">
      <c r="A461" s="60">
        <f t="shared" si="15"/>
        <v>460</v>
      </c>
      <c r="B461" s="49" t="str">
        <f>_xlfn.XLOOKUP(C461,Tab_Def_Flows[Name(EN)],Tab_Def_Flows[Flow_ID],,0,)</f>
        <v>F_24_24</v>
      </c>
      <c r="C461" s="51"/>
      <c r="D461" s="49">
        <f>_xlfn.XLOOKUP(C461,Tab_Def_Flows[Name(EN)],Tab_Def_Flows[Type_Biomass],,0,)</f>
        <v>0</v>
      </c>
      <c r="E461" s="49">
        <f>_xlfn.XLOOKUP(C461,Tab_Def_Flows[Name(EN)],Tab_Def_Flows[Output_Process],,0,)</f>
        <v>0</v>
      </c>
      <c r="F461" s="49" t="str">
        <f>_xlfn.XLOOKUP(C461,Tab_Def_Flows[Name(EN)],Tab_Def_Flows[Process_ID_O],,0,)</f>
        <v>24__</v>
      </c>
      <c r="G461" s="49">
        <f>_xlfn.XLOOKUP(C461,Tab_Def_Flows[Name(EN)],Tab_Def_Flows[Input_Process],,0,)</f>
        <v>0</v>
      </c>
      <c r="H461" s="61" t="str">
        <f>_xlfn.XLOOKUP(C461,Tab_Def_Flows[Name(EN)],Tab_Def_Flows[Process_ID_I],,0,)</f>
        <v>24__</v>
      </c>
      <c r="I461" s="49">
        <f>_xlfn.XLOOKUP(C461,Tab_Def_Flows[Name(EN)],Tab_Def_Flows[Value_Source],,0,)</f>
        <v>0</v>
      </c>
      <c r="J461" s="61" t="str">
        <f>_xlfn.XLOOKUP(C461,Tab_Def_Flows[Name(EN)],Tab_Def_Flows[WC?],,0,)</f>
        <v>Yes</v>
      </c>
      <c r="K461" s="61" t="str">
        <f>_xlfn.XLOOKUP(C461,Tab_Def_Flows[Name(EN)],Tab_Def_Flows[DM?],,0,)</f>
        <v>Yes</v>
      </c>
      <c r="L461" s="61" t="str">
        <f>_xlfn.XLOOKUP(C461,Tab_Def_Flows[Name(EN)],Tab_Def_Flows[CC?],,0,)</f>
        <v>Yes</v>
      </c>
      <c r="M461" s="51"/>
      <c r="N461" s="51"/>
      <c r="O461" s="119"/>
      <c r="P461" s="51" t="s">
        <v>389</v>
      </c>
      <c r="Q461" s="51"/>
      <c r="R461" s="51"/>
      <c r="S461" s="51"/>
      <c r="T461" s="51"/>
      <c r="U461" s="51"/>
      <c r="V461" s="51"/>
      <c r="W461" s="51"/>
      <c r="X461" s="51" t="s">
        <v>71</v>
      </c>
      <c r="Y461" s="51"/>
      <c r="Z461" s="51"/>
      <c r="AA461" s="86">
        <f t="shared" si="16"/>
        <v>0</v>
      </c>
      <c r="AB461" s="51"/>
      <c r="AC461" s="111" t="e">
        <f>INDEX(Tab_Def_Flows[[Flow_ID]:[CC_DM_source]],MATCH(Tab_Data_Flows[[#This Row],[Name(EN)]],Tab_Def_Flows[Name(EN)],0),16)</f>
        <v>#N/A</v>
      </c>
      <c r="AD461" s="112" t="e">
        <f>IF(J461="Yes",AA461*Tab_Data_Flows[[#This Row],[WC_'[%']]],"N.A.")</f>
        <v>#N/A</v>
      </c>
      <c r="AE461" s="61">
        <f>Tab_Data_Flows[[#This Row],[UoM_Flow_Py]]</f>
        <v>0</v>
      </c>
      <c r="AF461" s="111" t="e">
        <f>INDEX(Tab_Def_Flows[[Flow_ID]:[CC_DM_source]],MATCH(Tab_Data_Flows[[#This Row],[Name(EN)]],Tab_Def_Flows[Name(EN)],0),18)</f>
        <v>#N/A</v>
      </c>
      <c r="AG461" s="112" t="e">
        <f>IF(K461="Yes",AF461*Tab_Data_Flows[[#This Row],[Flow_Py]],"N.A.")</f>
        <v>#N/A</v>
      </c>
      <c r="AH461" s="61">
        <f>Tab_Data_Flows[[#This Row],[UoM_Flow_Py]]</f>
        <v>0</v>
      </c>
      <c r="AI461" s="111" t="e">
        <f>INDEX(Tab_Def_Flows[[Flow_ID]:[CC_DM_source]],MATCH(Tab_Data_Flows[[#This Row],[Name(EN)]],Tab_Def_Flows[Name(EN)],0),20)</f>
        <v>#N/A</v>
      </c>
      <c r="AJ461" s="109" t="e">
        <f>IF(L461="Yes",AI461*Tab_Data_Flows[[#This Row],[Flow_Py]]*Tab_Data_Flows[[#This Row],[DM_'[%']]],"N.A.")</f>
        <v>#N/A</v>
      </c>
      <c r="AK461" s="61">
        <f>Tab_Data_Flows[[#This Row],[UoM_Flow_Py]]</f>
        <v>0</v>
      </c>
    </row>
    <row r="462" spans="1:37" ht="15.75" thickBot="1" x14ac:dyDescent="0.3">
      <c r="A462" s="60">
        <f t="shared" si="15"/>
        <v>461</v>
      </c>
      <c r="B462" s="49" t="str">
        <f>_xlfn.XLOOKUP(C462,Tab_Def_Flows[Name(EN)],Tab_Def_Flows[Flow_ID],,0,)</f>
        <v>F_24_24</v>
      </c>
      <c r="C462" s="51"/>
      <c r="D462" s="49">
        <f>_xlfn.XLOOKUP(C462,Tab_Def_Flows[Name(EN)],Tab_Def_Flows[Type_Biomass],,0,)</f>
        <v>0</v>
      </c>
      <c r="E462" s="49">
        <f>_xlfn.XLOOKUP(C462,Tab_Def_Flows[Name(EN)],Tab_Def_Flows[Output_Process],,0,)</f>
        <v>0</v>
      </c>
      <c r="F462" s="49" t="str">
        <f>_xlfn.XLOOKUP(C462,Tab_Def_Flows[Name(EN)],Tab_Def_Flows[Process_ID_O],,0,)</f>
        <v>24__</v>
      </c>
      <c r="G462" s="49">
        <f>_xlfn.XLOOKUP(C462,Tab_Def_Flows[Name(EN)],Tab_Def_Flows[Input_Process],,0,)</f>
        <v>0</v>
      </c>
      <c r="H462" s="61" t="str">
        <f>_xlfn.XLOOKUP(C462,Tab_Def_Flows[Name(EN)],Tab_Def_Flows[Process_ID_I],,0,)</f>
        <v>24__</v>
      </c>
      <c r="I462" s="49">
        <f>_xlfn.XLOOKUP(C462,Tab_Def_Flows[Name(EN)],Tab_Def_Flows[Value_Source],,0,)</f>
        <v>0</v>
      </c>
      <c r="J462" s="61" t="str">
        <f>_xlfn.XLOOKUP(C462,Tab_Def_Flows[Name(EN)],Tab_Def_Flows[WC?],,0,)</f>
        <v>Yes</v>
      </c>
      <c r="K462" s="61" t="str">
        <f>_xlfn.XLOOKUP(C462,Tab_Def_Flows[Name(EN)],Tab_Def_Flows[DM?],,0,)</f>
        <v>Yes</v>
      </c>
      <c r="L462" s="61" t="str">
        <f>_xlfn.XLOOKUP(C462,Tab_Def_Flows[Name(EN)],Tab_Def_Flows[CC?],,0,)</f>
        <v>Yes</v>
      </c>
      <c r="M462" s="51"/>
      <c r="N462" s="51"/>
      <c r="O462" s="119"/>
      <c r="P462" s="51" t="s">
        <v>389</v>
      </c>
      <c r="Q462" s="51"/>
      <c r="R462" s="51"/>
      <c r="S462" s="51"/>
      <c r="T462" s="51"/>
      <c r="U462" s="51"/>
      <c r="V462" s="51"/>
      <c r="W462" s="51"/>
      <c r="X462" s="51" t="s">
        <v>71</v>
      </c>
      <c r="Y462" s="51"/>
      <c r="Z462" s="51"/>
      <c r="AA462" s="86">
        <f t="shared" si="16"/>
        <v>0</v>
      </c>
      <c r="AB462" s="51"/>
      <c r="AC462" s="111" t="e">
        <f>INDEX(Tab_Def_Flows[[Flow_ID]:[CC_DM_source]],MATCH(Tab_Data_Flows[[#This Row],[Name(EN)]],Tab_Def_Flows[Name(EN)],0),16)</f>
        <v>#N/A</v>
      </c>
      <c r="AD462" s="112" t="e">
        <f>IF(J462="Yes",AA462*Tab_Data_Flows[[#This Row],[WC_'[%']]],"N.A.")</f>
        <v>#N/A</v>
      </c>
      <c r="AE462" s="61">
        <f>Tab_Data_Flows[[#This Row],[UoM_Flow_Py]]</f>
        <v>0</v>
      </c>
      <c r="AF462" s="111" t="e">
        <f>INDEX(Tab_Def_Flows[[Flow_ID]:[CC_DM_source]],MATCH(Tab_Data_Flows[[#This Row],[Name(EN)]],Tab_Def_Flows[Name(EN)],0),18)</f>
        <v>#N/A</v>
      </c>
      <c r="AG462" s="112" t="e">
        <f>IF(K462="Yes",AF462*Tab_Data_Flows[[#This Row],[Flow_Py]],"N.A.")</f>
        <v>#N/A</v>
      </c>
      <c r="AH462" s="61">
        <f>Tab_Data_Flows[[#This Row],[UoM_Flow_Py]]</f>
        <v>0</v>
      </c>
      <c r="AI462" s="111" t="e">
        <f>INDEX(Tab_Def_Flows[[Flow_ID]:[CC_DM_source]],MATCH(Tab_Data_Flows[[#This Row],[Name(EN)]],Tab_Def_Flows[Name(EN)],0),20)</f>
        <v>#N/A</v>
      </c>
      <c r="AJ462" s="109" t="e">
        <f>IF(L462="Yes",AI462*Tab_Data_Flows[[#This Row],[Flow_Py]]*Tab_Data_Flows[[#This Row],[DM_'[%']]],"N.A.")</f>
        <v>#N/A</v>
      </c>
      <c r="AK462" s="61">
        <f>Tab_Data_Flows[[#This Row],[UoM_Flow_Py]]</f>
        <v>0</v>
      </c>
    </row>
    <row r="463" spans="1:37" ht="15.75" thickBot="1" x14ac:dyDescent="0.3">
      <c r="A463" s="60">
        <f t="shared" si="15"/>
        <v>462</v>
      </c>
      <c r="B463" s="49" t="str">
        <f>_xlfn.XLOOKUP(C463,Tab_Def_Flows[Name(EN)],Tab_Def_Flows[Flow_ID],,0,)</f>
        <v>F_24_24</v>
      </c>
      <c r="C463" s="51"/>
      <c r="D463" s="49">
        <f>_xlfn.XLOOKUP(C463,Tab_Def_Flows[Name(EN)],Tab_Def_Flows[Type_Biomass],,0,)</f>
        <v>0</v>
      </c>
      <c r="E463" s="49">
        <f>_xlfn.XLOOKUP(C463,Tab_Def_Flows[Name(EN)],Tab_Def_Flows[Output_Process],,0,)</f>
        <v>0</v>
      </c>
      <c r="F463" s="49" t="str">
        <f>_xlfn.XLOOKUP(C463,Tab_Def_Flows[Name(EN)],Tab_Def_Flows[Process_ID_O],,0,)</f>
        <v>24__</v>
      </c>
      <c r="G463" s="49">
        <f>_xlfn.XLOOKUP(C463,Tab_Def_Flows[Name(EN)],Tab_Def_Flows[Input_Process],,0,)</f>
        <v>0</v>
      </c>
      <c r="H463" s="61" t="str">
        <f>_xlfn.XLOOKUP(C463,Tab_Def_Flows[Name(EN)],Tab_Def_Flows[Process_ID_I],,0,)</f>
        <v>24__</v>
      </c>
      <c r="I463" s="49">
        <f>_xlfn.XLOOKUP(C463,Tab_Def_Flows[Name(EN)],Tab_Def_Flows[Value_Source],,0,)</f>
        <v>0</v>
      </c>
      <c r="J463" s="61" t="str">
        <f>_xlfn.XLOOKUP(C463,Tab_Def_Flows[Name(EN)],Tab_Def_Flows[WC?],,0,)</f>
        <v>Yes</v>
      </c>
      <c r="K463" s="61" t="str">
        <f>_xlfn.XLOOKUP(C463,Tab_Def_Flows[Name(EN)],Tab_Def_Flows[DM?],,0,)</f>
        <v>Yes</v>
      </c>
      <c r="L463" s="61" t="str">
        <f>_xlfn.XLOOKUP(C463,Tab_Def_Flows[Name(EN)],Tab_Def_Flows[CC?],,0,)</f>
        <v>Yes</v>
      </c>
      <c r="M463" s="51"/>
      <c r="N463" s="51"/>
      <c r="O463" s="119"/>
      <c r="P463" s="51" t="s">
        <v>389</v>
      </c>
      <c r="Q463" s="51"/>
      <c r="R463" s="51"/>
      <c r="S463" s="51"/>
      <c r="T463" s="51"/>
      <c r="U463" s="51"/>
      <c r="V463" s="51"/>
      <c r="W463" s="51"/>
      <c r="X463" s="51" t="s">
        <v>71</v>
      </c>
      <c r="Y463" s="51"/>
      <c r="Z463" s="51"/>
      <c r="AA463" s="86">
        <f t="shared" si="16"/>
        <v>0</v>
      </c>
      <c r="AB463" s="51"/>
      <c r="AC463" s="111" t="e">
        <f>INDEX(Tab_Def_Flows[[Flow_ID]:[CC_DM_source]],MATCH(Tab_Data_Flows[[#This Row],[Name(EN)]],Tab_Def_Flows[Name(EN)],0),16)</f>
        <v>#N/A</v>
      </c>
      <c r="AD463" s="112" t="e">
        <f>IF(J463="Yes",AA463*Tab_Data_Flows[[#This Row],[WC_'[%']]],"N.A.")</f>
        <v>#N/A</v>
      </c>
      <c r="AE463" s="61">
        <f>Tab_Data_Flows[[#This Row],[UoM_Flow_Py]]</f>
        <v>0</v>
      </c>
      <c r="AF463" s="111" t="e">
        <f>INDEX(Tab_Def_Flows[[Flow_ID]:[CC_DM_source]],MATCH(Tab_Data_Flows[[#This Row],[Name(EN)]],Tab_Def_Flows[Name(EN)],0),18)</f>
        <v>#N/A</v>
      </c>
      <c r="AG463" s="112" t="e">
        <f>IF(K463="Yes",AF463*Tab_Data_Flows[[#This Row],[Flow_Py]],"N.A.")</f>
        <v>#N/A</v>
      </c>
      <c r="AH463" s="61">
        <f>Tab_Data_Flows[[#This Row],[UoM_Flow_Py]]</f>
        <v>0</v>
      </c>
      <c r="AI463" s="111" t="e">
        <f>INDEX(Tab_Def_Flows[[Flow_ID]:[CC_DM_source]],MATCH(Tab_Data_Flows[[#This Row],[Name(EN)]],Tab_Def_Flows[Name(EN)],0),20)</f>
        <v>#N/A</v>
      </c>
      <c r="AJ463" s="109" t="e">
        <f>IF(L463="Yes",AI463*Tab_Data_Flows[[#This Row],[Flow_Py]]*Tab_Data_Flows[[#This Row],[DM_'[%']]],"N.A.")</f>
        <v>#N/A</v>
      </c>
      <c r="AK463" s="61">
        <f>Tab_Data_Flows[[#This Row],[UoM_Flow_Py]]</f>
        <v>0</v>
      </c>
    </row>
    <row r="464" spans="1:37" ht="15.75" thickBot="1" x14ac:dyDescent="0.3">
      <c r="A464" s="60">
        <f t="shared" si="15"/>
        <v>463</v>
      </c>
      <c r="B464" s="49" t="str">
        <f>_xlfn.XLOOKUP(C464,Tab_Def_Flows[Name(EN)],Tab_Def_Flows[Flow_ID],,0,)</f>
        <v>F_24_24</v>
      </c>
      <c r="C464" s="51"/>
      <c r="D464" s="49">
        <f>_xlfn.XLOOKUP(C464,Tab_Def_Flows[Name(EN)],Tab_Def_Flows[Type_Biomass],,0,)</f>
        <v>0</v>
      </c>
      <c r="E464" s="49">
        <f>_xlfn.XLOOKUP(C464,Tab_Def_Flows[Name(EN)],Tab_Def_Flows[Output_Process],,0,)</f>
        <v>0</v>
      </c>
      <c r="F464" s="49" t="str">
        <f>_xlfn.XLOOKUP(C464,Tab_Def_Flows[Name(EN)],Tab_Def_Flows[Process_ID_O],,0,)</f>
        <v>24__</v>
      </c>
      <c r="G464" s="49">
        <f>_xlfn.XLOOKUP(C464,Tab_Def_Flows[Name(EN)],Tab_Def_Flows[Input_Process],,0,)</f>
        <v>0</v>
      </c>
      <c r="H464" s="61" t="str">
        <f>_xlfn.XLOOKUP(C464,Tab_Def_Flows[Name(EN)],Tab_Def_Flows[Process_ID_I],,0,)</f>
        <v>24__</v>
      </c>
      <c r="I464" s="49">
        <f>_xlfn.XLOOKUP(C464,Tab_Def_Flows[Name(EN)],Tab_Def_Flows[Value_Source],,0,)</f>
        <v>0</v>
      </c>
      <c r="J464" s="61" t="str">
        <f>_xlfn.XLOOKUP(C464,Tab_Def_Flows[Name(EN)],Tab_Def_Flows[WC?],,0,)</f>
        <v>Yes</v>
      </c>
      <c r="K464" s="61" t="str">
        <f>_xlfn.XLOOKUP(C464,Tab_Def_Flows[Name(EN)],Tab_Def_Flows[DM?],,0,)</f>
        <v>Yes</v>
      </c>
      <c r="L464" s="61" t="str">
        <f>_xlfn.XLOOKUP(C464,Tab_Def_Flows[Name(EN)],Tab_Def_Flows[CC?],,0,)</f>
        <v>Yes</v>
      </c>
      <c r="M464" s="51"/>
      <c r="N464" s="51"/>
      <c r="O464" s="119"/>
      <c r="P464" s="51" t="s">
        <v>389</v>
      </c>
      <c r="Q464" s="51"/>
      <c r="R464" s="51" t="e">
        <f>INDEX(Tab_WC_DM_CC[[Flow_ID]:[CC_source]],MATCH(Tab_Data_Flows[[#This Row],[Name(EN)]],Tab_WC_DM_CC[Name(EN)],0),12)</f>
        <v>#N/A</v>
      </c>
      <c r="S464" s="51" t="e">
        <f>MATCH(Tab_Data_Flows[[#This Row],[Name(EN)]],Tab_WC_DM_CC[Name(EN)],0)</f>
        <v>#N/A</v>
      </c>
      <c r="T464" s="51"/>
      <c r="U464" s="51"/>
      <c r="V464" s="51"/>
      <c r="W464" s="51"/>
      <c r="X464" s="51" t="s">
        <v>71</v>
      </c>
      <c r="Y464" s="51"/>
      <c r="Z464" s="51"/>
      <c r="AA464" s="86">
        <f t="shared" si="16"/>
        <v>0</v>
      </c>
      <c r="AB464" s="51"/>
      <c r="AC464" s="111" t="e">
        <f>INDEX(Tab_Def_Flows[[Flow_ID]:[CC_DM_source]],MATCH(Tab_Data_Flows[[#This Row],[Name(EN)]],Tab_Def_Flows[Name(EN)],0),16)</f>
        <v>#N/A</v>
      </c>
      <c r="AD464" s="112" t="e">
        <f>IF(J464="Yes",AA464*Tab_Data_Flows[[#This Row],[WC_'[%']]],"N.A.")</f>
        <v>#N/A</v>
      </c>
      <c r="AE464" s="61">
        <f>Tab_Data_Flows[[#This Row],[UoM_Flow_Py]]</f>
        <v>0</v>
      </c>
      <c r="AF464" s="111" t="e">
        <f>INDEX(Tab_Def_Flows[[Flow_ID]:[CC_DM_source]],MATCH(Tab_Data_Flows[[#This Row],[Name(EN)]],Tab_Def_Flows[Name(EN)],0),18)</f>
        <v>#N/A</v>
      </c>
      <c r="AG464" s="112" t="e">
        <f>IF(K464="Yes",AF464*Tab_Data_Flows[[#This Row],[Flow_Py]],"N.A.")</f>
        <v>#N/A</v>
      </c>
      <c r="AH464" s="61">
        <f>Tab_Data_Flows[[#This Row],[UoM_Flow_Py]]</f>
        <v>0</v>
      </c>
      <c r="AI464" s="111" t="e">
        <f>INDEX(Tab_Def_Flows[[Flow_ID]:[CC_DM_source]],MATCH(Tab_Data_Flows[[#This Row],[Name(EN)]],Tab_Def_Flows[Name(EN)],0),20)</f>
        <v>#N/A</v>
      </c>
      <c r="AJ464" s="109" t="e">
        <f>IF(L464="Yes",AI464*Tab_Data_Flows[[#This Row],[Flow_Py]]*Tab_Data_Flows[[#This Row],[DM_'[%']]],"N.A.")</f>
        <v>#N/A</v>
      </c>
      <c r="AK464" s="61">
        <f>Tab_Data_Flows[[#This Row],[UoM_Flow_Py]]</f>
        <v>0</v>
      </c>
    </row>
    <row r="465" spans="1:37" ht="15.75" thickBot="1" x14ac:dyDescent="0.3">
      <c r="A465" s="60">
        <f t="shared" si="15"/>
        <v>464</v>
      </c>
      <c r="B465" s="49" t="str">
        <f>_xlfn.XLOOKUP(C465,Tab_Def_Flows[Name(EN)],Tab_Def_Flows[Flow_ID],,0,)</f>
        <v>F_24_24</v>
      </c>
      <c r="C465" s="51"/>
      <c r="D465" s="49">
        <f>_xlfn.XLOOKUP(C465,Tab_Def_Flows[Name(EN)],Tab_Def_Flows[Type_Biomass],,0,)</f>
        <v>0</v>
      </c>
      <c r="E465" s="49">
        <f>_xlfn.XLOOKUP(C465,Tab_Def_Flows[Name(EN)],Tab_Def_Flows[Output_Process],,0,)</f>
        <v>0</v>
      </c>
      <c r="F465" s="49" t="str">
        <f>_xlfn.XLOOKUP(C465,Tab_Def_Flows[Name(EN)],Tab_Def_Flows[Process_ID_O],,0,)</f>
        <v>24__</v>
      </c>
      <c r="G465" s="49">
        <f>_xlfn.XLOOKUP(C465,Tab_Def_Flows[Name(EN)],Tab_Def_Flows[Input_Process],,0,)</f>
        <v>0</v>
      </c>
      <c r="H465" s="61" t="str">
        <f>_xlfn.XLOOKUP(C465,Tab_Def_Flows[Name(EN)],Tab_Def_Flows[Process_ID_I],,0,)</f>
        <v>24__</v>
      </c>
      <c r="I465" s="49">
        <f>_xlfn.XLOOKUP(C465,Tab_Def_Flows[Name(EN)],Tab_Def_Flows[Value_Source],,0,)</f>
        <v>0</v>
      </c>
      <c r="J465" s="61" t="str">
        <f>_xlfn.XLOOKUP(C465,Tab_Def_Flows[Name(EN)],Tab_Def_Flows[WC?],,0,)</f>
        <v>Yes</v>
      </c>
      <c r="K465" s="61" t="str">
        <f>_xlfn.XLOOKUP(C465,Tab_Def_Flows[Name(EN)],Tab_Def_Flows[DM?],,0,)</f>
        <v>Yes</v>
      </c>
      <c r="L465" s="61" t="str">
        <f>_xlfn.XLOOKUP(C465,Tab_Def_Flows[Name(EN)],Tab_Def_Flows[CC?],,0,)</f>
        <v>Yes</v>
      </c>
      <c r="M465" s="51"/>
      <c r="N465" s="51"/>
      <c r="O465" s="119"/>
      <c r="P465" s="51" t="s">
        <v>389</v>
      </c>
      <c r="Q465" s="51"/>
      <c r="R465" s="51" t="e">
        <f>INDEX(Tab_WC_DM_CC[[Flow_ID]:[CC_source]],MATCH(Tab_Data_Flows[[#This Row],[Name(EN)]],Tab_WC_DM_CC[Name(EN)],0),12)</f>
        <v>#N/A</v>
      </c>
      <c r="S465" s="51" t="e">
        <f>MATCH(Tab_Data_Flows[[#This Row],[Name(EN)]],Tab_WC_DM_CC[Name(EN)],0)</f>
        <v>#N/A</v>
      </c>
      <c r="T465" s="51"/>
      <c r="U465" s="51"/>
      <c r="V465" s="51"/>
      <c r="W465" s="51"/>
      <c r="X465" s="51" t="s">
        <v>71</v>
      </c>
      <c r="Y465" s="51"/>
      <c r="Z465" s="51"/>
      <c r="AA465" s="86">
        <f t="shared" si="16"/>
        <v>0</v>
      </c>
      <c r="AB465" s="51"/>
      <c r="AC465" s="111" t="e">
        <f>INDEX(Tab_Def_Flows[[Flow_ID]:[CC_DM_source]],MATCH(Tab_Data_Flows[[#This Row],[Name(EN)]],Tab_Def_Flows[Name(EN)],0),16)</f>
        <v>#N/A</v>
      </c>
      <c r="AD465" s="112" t="e">
        <f>IF(J465="Yes",AA465*Tab_Data_Flows[[#This Row],[WC_'[%']]],"N.A.")</f>
        <v>#N/A</v>
      </c>
      <c r="AE465" s="61">
        <f>Tab_Data_Flows[[#This Row],[UoM_Flow_Py]]</f>
        <v>0</v>
      </c>
      <c r="AF465" s="111" t="e">
        <f>INDEX(Tab_Def_Flows[[Flow_ID]:[CC_DM_source]],MATCH(Tab_Data_Flows[[#This Row],[Name(EN)]],Tab_Def_Flows[Name(EN)],0),18)</f>
        <v>#N/A</v>
      </c>
      <c r="AG465" s="112" t="e">
        <f>IF(K465="Yes",AF465*Tab_Data_Flows[[#This Row],[Flow_Py]],"N.A.")</f>
        <v>#N/A</v>
      </c>
      <c r="AH465" s="61">
        <f>Tab_Data_Flows[[#This Row],[UoM_Flow_Py]]</f>
        <v>0</v>
      </c>
      <c r="AI465" s="111" t="e">
        <f>INDEX(Tab_Def_Flows[[Flow_ID]:[CC_DM_source]],MATCH(Tab_Data_Flows[[#This Row],[Name(EN)]],Tab_Def_Flows[Name(EN)],0),20)</f>
        <v>#N/A</v>
      </c>
      <c r="AJ465" s="109" t="e">
        <f>IF(L465="Yes",AI465*Tab_Data_Flows[[#This Row],[Flow_Py]]*Tab_Data_Flows[[#This Row],[DM_'[%']]],"N.A.")</f>
        <v>#N/A</v>
      </c>
      <c r="AK465" s="61">
        <f>Tab_Data_Flows[[#This Row],[UoM_Flow_Py]]</f>
        <v>0</v>
      </c>
    </row>
    <row r="466" spans="1:37" ht="15.75" thickBot="1" x14ac:dyDescent="0.3">
      <c r="A466" s="60"/>
      <c r="B466" s="49" t="str">
        <f>_xlfn.XLOOKUP(C466,Tab_Def_Flows[Name(EN)],Tab_Def_Flows[Flow_ID],,0,)</f>
        <v>F_24_24</v>
      </c>
      <c r="C466" s="51"/>
      <c r="D466" s="49">
        <f>_xlfn.XLOOKUP(C466,Tab_Def_Flows[Name(EN)],Tab_Def_Flows[Type_Biomass],,0,)</f>
        <v>0</v>
      </c>
      <c r="E466" s="49">
        <f>_xlfn.XLOOKUP(C466,Tab_Def_Flows[Name(EN)],Tab_Def_Flows[Output_Process],,0,)</f>
        <v>0</v>
      </c>
      <c r="F466" s="49" t="str">
        <f>_xlfn.XLOOKUP(C466,Tab_Def_Flows[Name(EN)],Tab_Def_Flows[Process_ID_O],,0,)</f>
        <v>24__</v>
      </c>
      <c r="G466" s="49">
        <f>_xlfn.XLOOKUP(C466,Tab_Def_Flows[Name(EN)],Tab_Def_Flows[Input_Process],,0,)</f>
        <v>0</v>
      </c>
      <c r="H466" s="61" t="str">
        <f>_xlfn.XLOOKUP(C466,Tab_Def_Flows[Name(EN)],Tab_Def_Flows[Process_ID_I],,0,)</f>
        <v>24__</v>
      </c>
      <c r="I466" s="49">
        <f>_xlfn.XLOOKUP(C466,Tab_Def_Flows[Name(EN)],Tab_Def_Flows[Value_Source],,0,)</f>
        <v>0</v>
      </c>
      <c r="J466" s="61" t="str">
        <f>_xlfn.XLOOKUP(C466,Tab_Def_Flows[Name(EN)],Tab_Def_Flows[WC?],,0,)</f>
        <v>Yes</v>
      </c>
      <c r="K466" s="61" t="str">
        <f>_xlfn.XLOOKUP(C466,Tab_Def_Flows[Name(EN)],Tab_Def_Flows[DM?],,0,)</f>
        <v>Yes</v>
      </c>
      <c r="L466" s="61" t="str">
        <f>_xlfn.XLOOKUP(C466,Tab_Def_Flows[Name(EN)],Tab_Def_Flows[CC?],,0,)</f>
        <v>Yes</v>
      </c>
      <c r="M466" s="51"/>
      <c r="N466" s="51"/>
      <c r="O466" s="119"/>
      <c r="P466" s="51" t="s">
        <v>389</v>
      </c>
      <c r="Q466" s="51"/>
      <c r="R466" s="51" t="e">
        <f>INDEX(Tab_WC_DM_CC[[Flow_ID]:[CC_source]],MATCH(Tab_Data_Flows[[#This Row],[Name(EN)]],Tab_WC_DM_CC[Name(EN)],0),12)</f>
        <v>#N/A</v>
      </c>
      <c r="S466" s="51" t="e">
        <f>MATCH(Tab_Data_Flows[[#This Row],[Name(EN)]],Tab_WC_DM_CC[Name(EN)],0)</f>
        <v>#N/A</v>
      </c>
      <c r="T466" s="51"/>
      <c r="U466" s="51"/>
      <c r="V466" s="51"/>
      <c r="W466" s="51"/>
      <c r="X466" s="51" t="s">
        <v>71</v>
      </c>
      <c r="Y466" s="51"/>
      <c r="Z466" s="51"/>
      <c r="AA466" s="86">
        <f t="shared" si="16"/>
        <v>0</v>
      </c>
      <c r="AB466" s="51"/>
      <c r="AC466" s="111" t="e">
        <f>INDEX(Tab_Def_Flows[[Flow_ID]:[CC_DM_source]],MATCH(Tab_Data_Flows[[#This Row],[Name(EN)]],Tab_Def_Flows[Name(EN)],0),16)</f>
        <v>#N/A</v>
      </c>
      <c r="AD466" s="112" t="e">
        <f>IF(J466="Yes",AA466*Tab_Data_Flows[[#This Row],[WC_'[%']]],"N.A.")</f>
        <v>#N/A</v>
      </c>
      <c r="AE466" s="61">
        <f>Tab_Data_Flows[[#This Row],[UoM_Flow_Py]]</f>
        <v>0</v>
      </c>
      <c r="AF466" s="111" t="e">
        <f>INDEX(Tab_Def_Flows[[Flow_ID]:[CC_DM_source]],MATCH(Tab_Data_Flows[[#This Row],[Name(EN)]],Tab_Def_Flows[Name(EN)],0),18)</f>
        <v>#N/A</v>
      </c>
      <c r="AG466" s="112" t="e">
        <f>IF(K466="Yes",AF466*Tab_Data_Flows[[#This Row],[Flow_Py]],"N.A.")</f>
        <v>#N/A</v>
      </c>
      <c r="AH466" s="61">
        <f>Tab_Data_Flows[[#This Row],[UoM_Flow_Py]]</f>
        <v>0</v>
      </c>
      <c r="AI466" s="111" t="e">
        <f>INDEX(Tab_Def_Flows[[Flow_ID]:[CC_DM_source]],MATCH(Tab_Data_Flows[[#This Row],[Name(EN)]],Tab_Def_Flows[Name(EN)],0),20)</f>
        <v>#N/A</v>
      </c>
      <c r="AJ466" s="109" t="e">
        <f>IF(L466="Yes",AI466*Tab_Data_Flows[[#This Row],[Flow_Py]]*Tab_Data_Flows[[#This Row],[DM_'[%']]],"N.A.")</f>
        <v>#N/A</v>
      </c>
      <c r="AK466" s="61">
        <f>Tab_Data_Flows[[#This Row],[UoM_Flow_Py]]</f>
        <v>0</v>
      </c>
    </row>
    <row r="467" spans="1:37" ht="15.75" thickBot="1" x14ac:dyDescent="0.3">
      <c r="A467" s="60"/>
      <c r="B467" s="49" t="str">
        <f>_xlfn.XLOOKUP(C467,Tab_Def_Flows[Name(EN)],Tab_Def_Flows[Flow_ID],,0,)</f>
        <v>F_24_24</v>
      </c>
      <c r="C467" s="51"/>
      <c r="D467" s="49">
        <f>_xlfn.XLOOKUP(C467,Tab_Def_Flows[Name(EN)],Tab_Def_Flows[Type_Biomass],,0,)</f>
        <v>0</v>
      </c>
      <c r="E467" s="49">
        <f>_xlfn.XLOOKUP(C467,Tab_Def_Flows[Name(EN)],Tab_Def_Flows[Output_Process],,0,)</f>
        <v>0</v>
      </c>
      <c r="F467" s="49" t="str">
        <f>_xlfn.XLOOKUP(C467,Tab_Def_Flows[Name(EN)],Tab_Def_Flows[Process_ID_O],,0,)</f>
        <v>24__</v>
      </c>
      <c r="G467" s="49">
        <f>_xlfn.XLOOKUP(C467,Tab_Def_Flows[Name(EN)],Tab_Def_Flows[Input_Process],,0,)</f>
        <v>0</v>
      </c>
      <c r="H467" s="61" t="str">
        <f>_xlfn.XLOOKUP(C467,Tab_Def_Flows[Name(EN)],Tab_Def_Flows[Process_ID_I],,0,)</f>
        <v>24__</v>
      </c>
      <c r="I467" s="49">
        <f>_xlfn.XLOOKUP(C467,Tab_Def_Flows[Name(EN)],Tab_Def_Flows[Value_Source],,0,)</f>
        <v>0</v>
      </c>
      <c r="J467" s="61" t="str">
        <f>_xlfn.XLOOKUP(C467,Tab_Def_Flows[Name(EN)],Tab_Def_Flows[WC?],,0,)</f>
        <v>Yes</v>
      </c>
      <c r="K467" s="61" t="str">
        <f>_xlfn.XLOOKUP(C467,Tab_Def_Flows[Name(EN)],Tab_Def_Flows[DM?],,0,)</f>
        <v>Yes</v>
      </c>
      <c r="L467" s="61" t="str">
        <f>_xlfn.XLOOKUP(C467,Tab_Def_Flows[Name(EN)],Tab_Def_Flows[CC?],,0,)</f>
        <v>Yes</v>
      </c>
      <c r="M467" s="51"/>
      <c r="N467" s="51"/>
      <c r="O467" s="119"/>
      <c r="P467" s="51" t="s">
        <v>389</v>
      </c>
      <c r="Q467" s="51"/>
      <c r="R467" s="51" t="e">
        <f>INDEX(Tab_WC_DM_CC[[Flow_ID]:[CC_source]],MATCH(Tab_Data_Flows[[#This Row],[Name(EN)]],Tab_WC_DM_CC[Name(EN)],0),12)</f>
        <v>#N/A</v>
      </c>
      <c r="S467" s="51" t="e">
        <f>MATCH(Tab_Data_Flows[[#This Row],[Name(EN)]],Tab_WC_DM_CC[Name(EN)],0)</f>
        <v>#N/A</v>
      </c>
      <c r="T467" s="51"/>
      <c r="U467" s="51"/>
      <c r="V467" s="51"/>
      <c r="W467" s="51"/>
      <c r="X467" s="51" t="s">
        <v>71</v>
      </c>
      <c r="Y467" s="51"/>
      <c r="Z467" s="51"/>
      <c r="AA467" s="86">
        <f t="shared" ref="AA467:AA474" si="17">IF(X467="no",O467,O467*Y467)</f>
        <v>0</v>
      </c>
      <c r="AB467" s="51"/>
      <c r="AC467" s="111" t="e">
        <f>INDEX(Tab_Def_Flows[[Flow_ID]:[CC_DM_source]],MATCH(Tab_Data_Flows[[#This Row],[Name(EN)]],Tab_Def_Flows[Name(EN)],0),16)</f>
        <v>#N/A</v>
      </c>
      <c r="AD467" s="112" t="e">
        <f>IF(J467="Yes",AA467*Tab_Data_Flows[[#This Row],[WC_'[%']]],"N.A.")</f>
        <v>#N/A</v>
      </c>
      <c r="AE467" s="61">
        <f>Tab_Data_Flows[[#This Row],[UoM_Flow_Py]]</f>
        <v>0</v>
      </c>
      <c r="AF467" s="111" t="e">
        <f>INDEX(Tab_Def_Flows[[Flow_ID]:[CC_DM_source]],MATCH(Tab_Data_Flows[[#This Row],[Name(EN)]],Tab_Def_Flows[Name(EN)],0),18)</f>
        <v>#N/A</v>
      </c>
      <c r="AG467" s="112" t="e">
        <f>IF(K467="Yes",AF467*Tab_Data_Flows[[#This Row],[Flow_Py]],"N.A.")</f>
        <v>#N/A</v>
      </c>
      <c r="AH467" s="61">
        <f>Tab_Data_Flows[[#This Row],[UoM_Flow_Py]]</f>
        <v>0</v>
      </c>
      <c r="AI467" s="111" t="e">
        <f>INDEX(Tab_Def_Flows[[Flow_ID]:[CC_DM_source]],MATCH(Tab_Data_Flows[[#This Row],[Name(EN)]],Tab_Def_Flows[Name(EN)],0),20)</f>
        <v>#N/A</v>
      </c>
      <c r="AJ467" s="109" t="e">
        <f>IF(L467="Yes",AI467*Tab_Data_Flows[[#This Row],[Flow_Py]]*Tab_Data_Flows[[#This Row],[DM_'[%']]],"N.A.")</f>
        <v>#N/A</v>
      </c>
      <c r="AK467" s="61">
        <f>Tab_Data_Flows[[#This Row],[UoM_Flow_Py]]</f>
        <v>0</v>
      </c>
    </row>
    <row r="468" spans="1:37" ht="15.75" thickBot="1" x14ac:dyDescent="0.3">
      <c r="A468" s="60"/>
      <c r="B468" s="49" t="str">
        <f>_xlfn.XLOOKUP(C468,Tab_Def_Flows[Name(EN)],Tab_Def_Flows[Flow_ID],,0,)</f>
        <v>F_24_24</v>
      </c>
      <c r="C468" s="51"/>
      <c r="D468" s="49">
        <f>_xlfn.XLOOKUP(C468,Tab_Def_Flows[Name(EN)],Tab_Def_Flows[Type_Biomass],,0,)</f>
        <v>0</v>
      </c>
      <c r="E468" s="49">
        <f>_xlfn.XLOOKUP(C468,Tab_Def_Flows[Name(EN)],Tab_Def_Flows[Output_Process],,0,)</f>
        <v>0</v>
      </c>
      <c r="F468" s="49" t="str">
        <f>_xlfn.XLOOKUP(C468,Tab_Def_Flows[Name(EN)],Tab_Def_Flows[Process_ID_O],,0,)</f>
        <v>24__</v>
      </c>
      <c r="G468" s="49">
        <f>_xlfn.XLOOKUP(C468,Tab_Def_Flows[Name(EN)],Tab_Def_Flows[Input_Process],,0,)</f>
        <v>0</v>
      </c>
      <c r="H468" s="61" t="str">
        <f>_xlfn.XLOOKUP(C468,Tab_Def_Flows[Name(EN)],Tab_Def_Flows[Process_ID_I],,0,)</f>
        <v>24__</v>
      </c>
      <c r="I468" s="49">
        <f>_xlfn.XLOOKUP(C468,Tab_Def_Flows[Name(EN)],Tab_Def_Flows[Value_Source],,0,)</f>
        <v>0</v>
      </c>
      <c r="J468" s="61" t="str">
        <f>_xlfn.XLOOKUP(C468,Tab_Def_Flows[Name(EN)],Tab_Def_Flows[WC?],,0,)</f>
        <v>Yes</v>
      </c>
      <c r="K468" s="61" t="str">
        <f>_xlfn.XLOOKUP(C468,Tab_Def_Flows[Name(EN)],Tab_Def_Flows[DM?],,0,)</f>
        <v>Yes</v>
      </c>
      <c r="L468" s="61" t="str">
        <f>_xlfn.XLOOKUP(C468,Tab_Def_Flows[Name(EN)],Tab_Def_Flows[CC?],,0,)</f>
        <v>Yes</v>
      </c>
      <c r="M468" s="51"/>
      <c r="N468" s="51"/>
      <c r="O468" s="119"/>
      <c r="P468" s="51" t="s">
        <v>389</v>
      </c>
      <c r="Q468" s="51"/>
      <c r="R468" s="51" t="e">
        <f>INDEX(Tab_WC_DM_CC[[Flow_ID]:[CC_source]],MATCH(Tab_Data_Flows[[#This Row],[Name(EN)]],Tab_WC_DM_CC[Name(EN)],0),12)</f>
        <v>#N/A</v>
      </c>
      <c r="S468" s="51" t="e">
        <f>MATCH(Tab_Data_Flows[[#This Row],[Name(EN)]],Tab_WC_DM_CC[Name(EN)],0)</f>
        <v>#N/A</v>
      </c>
      <c r="T468" s="51"/>
      <c r="U468" s="51"/>
      <c r="V468" s="51"/>
      <c r="W468" s="51"/>
      <c r="X468" s="51" t="s">
        <v>71</v>
      </c>
      <c r="Y468" s="51"/>
      <c r="Z468" s="51"/>
      <c r="AA468" s="86">
        <f t="shared" si="17"/>
        <v>0</v>
      </c>
      <c r="AB468" s="51"/>
      <c r="AC468" s="111" t="e">
        <f>INDEX(Tab_Def_Flows[[Flow_ID]:[CC_DM_source]],MATCH(Tab_Data_Flows[[#This Row],[Name(EN)]],Tab_Def_Flows[Name(EN)],0),16)</f>
        <v>#N/A</v>
      </c>
      <c r="AD468" s="112" t="e">
        <f>IF(J468="Yes",AA468*Tab_Data_Flows[[#This Row],[WC_'[%']]],"N.A.")</f>
        <v>#N/A</v>
      </c>
      <c r="AE468" s="61">
        <f>Tab_Data_Flows[[#This Row],[UoM_Flow_Py]]</f>
        <v>0</v>
      </c>
      <c r="AF468" s="111" t="e">
        <f>INDEX(Tab_Def_Flows[[Flow_ID]:[CC_DM_source]],MATCH(Tab_Data_Flows[[#This Row],[Name(EN)]],Tab_Def_Flows[Name(EN)],0),18)</f>
        <v>#N/A</v>
      </c>
      <c r="AG468" s="112" t="e">
        <f>IF(K468="Yes",AF468*Tab_Data_Flows[[#This Row],[Flow_Py]],"N.A.")</f>
        <v>#N/A</v>
      </c>
      <c r="AH468" s="61">
        <f>Tab_Data_Flows[[#This Row],[UoM_Flow_Py]]</f>
        <v>0</v>
      </c>
      <c r="AI468" s="111" t="e">
        <f>INDEX(Tab_Def_Flows[[Flow_ID]:[CC_DM_source]],MATCH(Tab_Data_Flows[[#This Row],[Name(EN)]],Tab_Def_Flows[Name(EN)],0),20)</f>
        <v>#N/A</v>
      </c>
      <c r="AJ468" s="109" t="e">
        <f>IF(L468="Yes",AI468*Tab_Data_Flows[[#This Row],[Flow_Py]]*Tab_Data_Flows[[#This Row],[DM_'[%']]],"N.A.")</f>
        <v>#N/A</v>
      </c>
      <c r="AK468" s="61">
        <f>Tab_Data_Flows[[#This Row],[UoM_Flow_Py]]</f>
        <v>0</v>
      </c>
    </row>
    <row r="469" spans="1:37" ht="15.75" thickBot="1" x14ac:dyDescent="0.3">
      <c r="A469" s="60"/>
      <c r="B469" s="49" t="str">
        <f>_xlfn.XLOOKUP(C469,Tab_Def_Flows[Name(EN)],Tab_Def_Flows[Flow_ID],,0,)</f>
        <v>F_24_24</v>
      </c>
      <c r="C469" s="51"/>
      <c r="D469" s="49">
        <f>_xlfn.XLOOKUP(C469,Tab_Def_Flows[Name(EN)],Tab_Def_Flows[Type_Biomass],,0,)</f>
        <v>0</v>
      </c>
      <c r="E469" s="49">
        <f>_xlfn.XLOOKUP(C469,Tab_Def_Flows[Name(EN)],Tab_Def_Flows[Output_Process],,0,)</f>
        <v>0</v>
      </c>
      <c r="F469" s="49" t="str">
        <f>_xlfn.XLOOKUP(C469,Tab_Def_Flows[Name(EN)],Tab_Def_Flows[Process_ID_O],,0,)</f>
        <v>24__</v>
      </c>
      <c r="G469" s="49">
        <f>_xlfn.XLOOKUP(C469,Tab_Def_Flows[Name(EN)],Tab_Def_Flows[Input_Process],,0,)</f>
        <v>0</v>
      </c>
      <c r="H469" s="61" t="str">
        <f>_xlfn.XLOOKUP(C469,Tab_Def_Flows[Name(EN)],Tab_Def_Flows[Process_ID_I],,0,)</f>
        <v>24__</v>
      </c>
      <c r="I469" s="49">
        <f>_xlfn.XLOOKUP(C469,Tab_Def_Flows[Name(EN)],Tab_Def_Flows[Value_Source],,0,)</f>
        <v>0</v>
      </c>
      <c r="J469" s="61" t="str">
        <f>_xlfn.XLOOKUP(C469,Tab_Def_Flows[Name(EN)],Tab_Def_Flows[WC?],,0,)</f>
        <v>Yes</v>
      </c>
      <c r="K469" s="61" t="str">
        <f>_xlfn.XLOOKUP(C469,Tab_Def_Flows[Name(EN)],Tab_Def_Flows[DM?],,0,)</f>
        <v>Yes</v>
      </c>
      <c r="L469" s="61" t="str">
        <f>_xlfn.XLOOKUP(C469,Tab_Def_Flows[Name(EN)],Tab_Def_Flows[CC?],,0,)</f>
        <v>Yes</v>
      </c>
      <c r="M469" s="51"/>
      <c r="N469" s="51"/>
      <c r="O469" s="119"/>
      <c r="P469" s="51" t="s">
        <v>389</v>
      </c>
      <c r="Q469" s="51"/>
      <c r="R469" s="51" t="e">
        <f>INDEX(Tab_WC_DM_CC[[Flow_ID]:[CC_source]],MATCH(Tab_Data_Flows[[#This Row],[Name(EN)]],Tab_WC_DM_CC[Name(EN)],0),12)</f>
        <v>#N/A</v>
      </c>
      <c r="S469" s="51" t="e">
        <f>MATCH(Tab_Data_Flows[[#This Row],[Name(EN)]],Tab_WC_DM_CC[Name(EN)],0)</f>
        <v>#N/A</v>
      </c>
      <c r="T469" s="51"/>
      <c r="U469" s="51"/>
      <c r="V469" s="51"/>
      <c r="W469" s="51"/>
      <c r="X469" s="51" t="s">
        <v>71</v>
      </c>
      <c r="Y469" s="51"/>
      <c r="Z469" s="51"/>
      <c r="AA469" s="86">
        <f t="shared" si="17"/>
        <v>0</v>
      </c>
      <c r="AB469" s="51"/>
      <c r="AC469" s="111" t="e">
        <f>INDEX(Tab_Def_Flows[[Flow_ID]:[CC_DM_source]],MATCH(Tab_Data_Flows[[#This Row],[Name(EN)]],Tab_Def_Flows[Name(EN)],0),16)</f>
        <v>#N/A</v>
      </c>
      <c r="AD469" s="112" t="e">
        <f>IF(J469="Yes",AA469*Tab_Data_Flows[[#This Row],[WC_'[%']]],"N.A.")</f>
        <v>#N/A</v>
      </c>
      <c r="AE469" s="61">
        <f>Tab_Data_Flows[[#This Row],[UoM_Flow_Py]]</f>
        <v>0</v>
      </c>
      <c r="AF469" s="111" t="e">
        <f>INDEX(Tab_Def_Flows[[Flow_ID]:[CC_DM_source]],MATCH(Tab_Data_Flows[[#This Row],[Name(EN)]],Tab_Def_Flows[Name(EN)],0),18)</f>
        <v>#N/A</v>
      </c>
      <c r="AG469" s="112" t="e">
        <f>IF(K469="Yes",AF469*Tab_Data_Flows[[#This Row],[Flow_Py]],"N.A.")</f>
        <v>#N/A</v>
      </c>
      <c r="AH469" s="61">
        <f>Tab_Data_Flows[[#This Row],[UoM_Flow_Py]]</f>
        <v>0</v>
      </c>
      <c r="AI469" s="111" t="e">
        <f>INDEX(Tab_Def_Flows[[Flow_ID]:[CC_DM_source]],MATCH(Tab_Data_Flows[[#This Row],[Name(EN)]],Tab_Def_Flows[Name(EN)],0),20)</f>
        <v>#N/A</v>
      </c>
      <c r="AJ469" s="109" t="e">
        <f>IF(L469="Yes",AI469*Tab_Data_Flows[[#This Row],[Flow_Py]]*Tab_Data_Flows[[#This Row],[DM_'[%']]],"N.A.")</f>
        <v>#N/A</v>
      </c>
      <c r="AK469" s="61">
        <f>Tab_Data_Flows[[#This Row],[UoM_Flow_Py]]</f>
        <v>0</v>
      </c>
    </row>
    <row r="470" spans="1:37" ht="15.75" thickBot="1" x14ac:dyDescent="0.3">
      <c r="A470" s="60"/>
      <c r="B470" s="49" t="str">
        <f>_xlfn.XLOOKUP(C470,Tab_Def_Flows[Name(EN)],Tab_Def_Flows[Flow_ID],,0,)</f>
        <v>F_24_24</v>
      </c>
      <c r="C470" s="51"/>
      <c r="D470" s="49">
        <f>_xlfn.XLOOKUP(C470,Tab_Def_Flows[Name(EN)],Tab_Def_Flows[Type_Biomass],,0,)</f>
        <v>0</v>
      </c>
      <c r="E470" s="49">
        <f>_xlfn.XLOOKUP(C470,Tab_Def_Flows[Name(EN)],Tab_Def_Flows[Output_Process],,0,)</f>
        <v>0</v>
      </c>
      <c r="F470" s="49" t="str">
        <f>_xlfn.XLOOKUP(C470,Tab_Def_Flows[Name(EN)],Tab_Def_Flows[Process_ID_O],,0,)</f>
        <v>24__</v>
      </c>
      <c r="G470" s="49">
        <f>_xlfn.XLOOKUP(C470,Tab_Def_Flows[Name(EN)],Tab_Def_Flows[Input_Process],,0,)</f>
        <v>0</v>
      </c>
      <c r="H470" s="61" t="str">
        <f>_xlfn.XLOOKUP(C470,Tab_Def_Flows[Name(EN)],Tab_Def_Flows[Process_ID_I],,0,)</f>
        <v>24__</v>
      </c>
      <c r="I470" s="49">
        <f>_xlfn.XLOOKUP(C470,Tab_Def_Flows[Name(EN)],Tab_Def_Flows[Value_Source],,0,)</f>
        <v>0</v>
      </c>
      <c r="J470" s="61" t="str">
        <f>_xlfn.XLOOKUP(C470,Tab_Def_Flows[Name(EN)],Tab_Def_Flows[WC?],,0,)</f>
        <v>Yes</v>
      </c>
      <c r="K470" s="61" t="str">
        <f>_xlfn.XLOOKUP(C470,Tab_Def_Flows[Name(EN)],Tab_Def_Flows[DM?],,0,)</f>
        <v>Yes</v>
      </c>
      <c r="L470" s="61" t="str">
        <f>_xlfn.XLOOKUP(C470,Tab_Def_Flows[Name(EN)],Tab_Def_Flows[CC?],,0,)</f>
        <v>Yes</v>
      </c>
      <c r="M470" s="51"/>
      <c r="N470" s="51"/>
      <c r="O470" s="119"/>
      <c r="P470" s="51" t="s">
        <v>389</v>
      </c>
      <c r="Q470" s="51"/>
      <c r="R470" s="51" t="e">
        <f>INDEX(Tab_WC_DM_CC[[Flow_ID]:[CC_source]],MATCH(Tab_Data_Flows[[#This Row],[Name(EN)]],Tab_WC_DM_CC[Name(EN)],0),12)</f>
        <v>#N/A</v>
      </c>
      <c r="S470" s="51" t="e">
        <f>MATCH(Tab_Data_Flows[[#This Row],[Name(EN)]],Tab_WC_DM_CC[Name(EN)],0)</f>
        <v>#N/A</v>
      </c>
      <c r="T470" s="51"/>
      <c r="U470" s="51"/>
      <c r="V470" s="51"/>
      <c r="W470" s="51"/>
      <c r="X470" s="51" t="s">
        <v>71</v>
      </c>
      <c r="Y470" s="51"/>
      <c r="Z470" s="51"/>
      <c r="AA470" s="86">
        <f t="shared" si="17"/>
        <v>0</v>
      </c>
      <c r="AB470" s="51"/>
      <c r="AC470" s="111" t="e">
        <f>INDEX(Tab_Def_Flows[[Flow_ID]:[CC_DM_source]],MATCH(Tab_Data_Flows[[#This Row],[Name(EN)]],Tab_Def_Flows[Name(EN)],0),16)</f>
        <v>#N/A</v>
      </c>
      <c r="AD470" s="112" t="e">
        <f>IF(J470="Yes",AA470*Tab_Data_Flows[[#This Row],[WC_'[%']]],"N.A.")</f>
        <v>#N/A</v>
      </c>
      <c r="AE470" s="61">
        <f>Tab_Data_Flows[[#This Row],[UoM_Flow_Py]]</f>
        <v>0</v>
      </c>
      <c r="AF470" s="111" t="e">
        <f>INDEX(Tab_Def_Flows[[Flow_ID]:[CC_DM_source]],MATCH(Tab_Data_Flows[[#This Row],[Name(EN)]],Tab_Def_Flows[Name(EN)],0),18)</f>
        <v>#N/A</v>
      </c>
      <c r="AG470" s="112" t="e">
        <f>IF(K470="Yes",AF470*Tab_Data_Flows[[#This Row],[Flow_Py]],"N.A.")</f>
        <v>#N/A</v>
      </c>
      <c r="AH470" s="61">
        <f>Tab_Data_Flows[[#This Row],[UoM_Flow_Py]]</f>
        <v>0</v>
      </c>
      <c r="AI470" s="111" t="e">
        <f>INDEX(Tab_Def_Flows[[Flow_ID]:[CC_DM_source]],MATCH(Tab_Data_Flows[[#This Row],[Name(EN)]],Tab_Def_Flows[Name(EN)],0),20)</f>
        <v>#N/A</v>
      </c>
      <c r="AJ470" s="109" t="e">
        <f>IF(L470="Yes",AI470*Tab_Data_Flows[[#This Row],[Flow_Py]]*Tab_Data_Flows[[#This Row],[DM_'[%']]],"N.A.")</f>
        <v>#N/A</v>
      </c>
      <c r="AK470" s="61">
        <f>Tab_Data_Flows[[#This Row],[UoM_Flow_Py]]</f>
        <v>0</v>
      </c>
    </row>
    <row r="471" spans="1:37" ht="15.75" thickBot="1" x14ac:dyDescent="0.3">
      <c r="A471" s="60"/>
      <c r="B471" s="49" t="str">
        <f>_xlfn.XLOOKUP(C471,Tab_Def_Flows[Name(EN)],Tab_Def_Flows[Flow_ID],,0,)</f>
        <v>F_24_24</v>
      </c>
      <c r="C471" s="51"/>
      <c r="D471" s="49">
        <f>_xlfn.XLOOKUP(C471,Tab_Def_Flows[Name(EN)],Tab_Def_Flows[Type_Biomass],,0,)</f>
        <v>0</v>
      </c>
      <c r="E471" s="49">
        <f>_xlfn.XLOOKUP(C471,Tab_Def_Flows[Name(EN)],Tab_Def_Flows[Output_Process],,0,)</f>
        <v>0</v>
      </c>
      <c r="F471" s="49" t="str">
        <f>_xlfn.XLOOKUP(C471,Tab_Def_Flows[Name(EN)],Tab_Def_Flows[Process_ID_O],,0,)</f>
        <v>24__</v>
      </c>
      <c r="G471" s="49">
        <f>_xlfn.XLOOKUP(C471,Tab_Def_Flows[Name(EN)],Tab_Def_Flows[Input_Process],,0,)</f>
        <v>0</v>
      </c>
      <c r="H471" s="61" t="str">
        <f>_xlfn.XLOOKUP(C471,Tab_Def_Flows[Name(EN)],Tab_Def_Flows[Process_ID_I],,0,)</f>
        <v>24__</v>
      </c>
      <c r="I471" s="49">
        <f>_xlfn.XLOOKUP(C471,Tab_Def_Flows[Name(EN)],Tab_Def_Flows[Value_Source],,0,)</f>
        <v>0</v>
      </c>
      <c r="J471" s="61" t="str">
        <f>_xlfn.XLOOKUP(C471,Tab_Def_Flows[Name(EN)],Tab_Def_Flows[WC?],,0,)</f>
        <v>Yes</v>
      </c>
      <c r="K471" s="61" t="str">
        <f>_xlfn.XLOOKUP(C471,Tab_Def_Flows[Name(EN)],Tab_Def_Flows[DM?],,0,)</f>
        <v>Yes</v>
      </c>
      <c r="L471" s="61" t="str">
        <f>_xlfn.XLOOKUP(C471,Tab_Def_Flows[Name(EN)],Tab_Def_Flows[CC?],,0,)</f>
        <v>Yes</v>
      </c>
      <c r="M471" s="51"/>
      <c r="N471" s="51"/>
      <c r="O471" s="119"/>
      <c r="P471" s="51" t="s">
        <v>389</v>
      </c>
      <c r="Q471" s="51"/>
      <c r="R471" s="51" t="e">
        <f>INDEX(Tab_WC_DM_CC[[Flow_ID]:[CC_source]],MATCH(Tab_Data_Flows[[#This Row],[Name(EN)]],Tab_WC_DM_CC[Name(EN)],0),12)</f>
        <v>#N/A</v>
      </c>
      <c r="S471" s="51" t="e">
        <f>MATCH(Tab_Data_Flows[[#This Row],[Name(EN)]],Tab_WC_DM_CC[Name(EN)],0)</f>
        <v>#N/A</v>
      </c>
      <c r="T471" s="51"/>
      <c r="U471" s="51"/>
      <c r="V471" s="51"/>
      <c r="W471" s="51"/>
      <c r="X471" s="51" t="s">
        <v>71</v>
      </c>
      <c r="Y471" s="51"/>
      <c r="Z471" s="51"/>
      <c r="AA471" s="86">
        <f t="shared" si="17"/>
        <v>0</v>
      </c>
      <c r="AB471" s="51"/>
      <c r="AC471" s="111" t="e">
        <f>INDEX(Tab_Def_Flows[[Flow_ID]:[CC_DM_source]],MATCH(Tab_Data_Flows[[#This Row],[Name(EN)]],Tab_Def_Flows[Name(EN)],0),16)</f>
        <v>#N/A</v>
      </c>
      <c r="AD471" s="112" t="e">
        <f>IF(J471="Yes",AA471*Tab_Data_Flows[[#This Row],[WC_'[%']]],"N.A.")</f>
        <v>#N/A</v>
      </c>
      <c r="AE471" s="61">
        <f>Tab_Data_Flows[[#This Row],[UoM_Flow_Py]]</f>
        <v>0</v>
      </c>
      <c r="AF471" s="111" t="e">
        <f>INDEX(Tab_Def_Flows[[Flow_ID]:[CC_DM_source]],MATCH(Tab_Data_Flows[[#This Row],[Name(EN)]],Tab_Def_Flows[Name(EN)],0),18)</f>
        <v>#N/A</v>
      </c>
      <c r="AG471" s="112" t="e">
        <f>IF(K471="Yes",AF471*Tab_Data_Flows[[#This Row],[Flow_Py]],"N.A.")</f>
        <v>#N/A</v>
      </c>
      <c r="AH471" s="61">
        <f>Tab_Data_Flows[[#This Row],[UoM_Flow_Py]]</f>
        <v>0</v>
      </c>
      <c r="AI471" s="111" t="e">
        <f>INDEX(Tab_Def_Flows[[Flow_ID]:[CC_DM_source]],MATCH(Tab_Data_Flows[[#This Row],[Name(EN)]],Tab_Def_Flows[Name(EN)],0),20)</f>
        <v>#N/A</v>
      </c>
      <c r="AJ471" s="109" t="e">
        <f>IF(L471="Yes",AI471*Tab_Data_Flows[[#This Row],[Flow_Py]]*Tab_Data_Flows[[#This Row],[DM_'[%']]],"N.A.")</f>
        <v>#N/A</v>
      </c>
      <c r="AK471" s="61">
        <f>Tab_Data_Flows[[#This Row],[UoM_Flow_Py]]</f>
        <v>0</v>
      </c>
    </row>
    <row r="472" spans="1:37" ht="15.75" thickBot="1" x14ac:dyDescent="0.3">
      <c r="A472" s="60"/>
      <c r="B472" s="49" t="str">
        <f>_xlfn.XLOOKUP(C472,Tab_Def_Flows[Name(EN)],Tab_Def_Flows[Flow_ID],,0,)</f>
        <v>F_24_24</v>
      </c>
      <c r="C472" s="51"/>
      <c r="D472" s="49">
        <f>_xlfn.XLOOKUP(C472,Tab_Def_Flows[Name(EN)],Tab_Def_Flows[Type_Biomass],,0,)</f>
        <v>0</v>
      </c>
      <c r="E472" s="49">
        <f>_xlfn.XLOOKUP(C472,Tab_Def_Flows[Name(EN)],Tab_Def_Flows[Output_Process],,0,)</f>
        <v>0</v>
      </c>
      <c r="F472" s="49" t="str">
        <f>_xlfn.XLOOKUP(C472,Tab_Def_Flows[Name(EN)],Tab_Def_Flows[Process_ID_O],,0,)</f>
        <v>24__</v>
      </c>
      <c r="G472" s="49">
        <f>_xlfn.XLOOKUP(C472,Tab_Def_Flows[Name(EN)],Tab_Def_Flows[Input_Process],,0,)</f>
        <v>0</v>
      </c>
      <c r="H472" s="61" t="str">
        <f>_xlfn.XLOOKUP(C472,Tab_Def_Flows[Name(EN)],Tab_Def_Flows[Process_ID_I],,0,)</f>
        <v>24__</v>
      </c>
      <c r="I472" s="49">
        <f>_xlfn.XLOOKUP(C472,Tab_Def_Flows[Name(EN)],Tab_Def_Flows[Value_Source],,0,)</f>
        <v>0</v>
      </c>
      <c r="J472" s="61" t="str">
        <f>_xlfn.XLOOKUP(C472,Tab_Def_Flows[Name(EN)],Tab_Def_Flows[WC?],,0,)</f>
        <v>Yes</v>
      </c>
      <c r="K472" s="61" t="str">
        <f>_xlfn.XLOOKUP(C472,Tab_Def_Flows[Name(EN)],Tab_Def_Flows[DM?],,0,)</f>
        <v>Yes</v>
      </c>
      <c r="L472" s="61" t="str">
        <f>_xlfn.XLOOKUP(C472,Tab_Def_Flows[Name(EN)],Tab_Def_Flows[CC?],,0,)</f>
        <v>Yes</v>
      </c>
      <c r="M472" s="51"/>
      <c r="N472" s="51"/>
      <c r="O472" s="119"/>
      <c r="P472" s="51" t="s">
        <v>389</v>
      </c>
      <c r="Q472" s="51"/>
      <c r="R472" s="51" t="e">
        <f>INDEX(Tab_WC_DM_CC[[Flow_ID]:[CC_source]],MATCH(Tab_Data_Flows[[#This Row],[Name(EN)]],Tab_WC_DM_CC[Name(EN)],0),12)</f>
        <v>#N/A</v>
      </c>
      <c r="S472" s="51" t="e">
        <f>MATCH(Tab_Data_Flows[[#This Row],[Name(EN)]],Tab_WC_DM_CC[Name(EN)],0)</f>
        <v>#N/A</v>
      </c>
      <c r="T472" s="51"/>
      <c r="U472" s="51"/>
      <c r="V472" s="51"/>
      <c r="W472" s="51"/>
      <c r="X472" s="51" t="s">
        <v>71</v>
      </c>
      <c r="Y472" s="51"/>
      <c r="Z472" s="51"/>
      <c r="AA472" s="86">
        <f t="shared" si="17"/>
        <v>0</v>
      </c>
      <c r="AB472" s="51"/>
      <c r="AC472" s="111" t="e">
        <f>INDEX(Tab_Def_Flows[[Flow_ID]:[CC_DM_source]],MATCH(Tab_Data_Flows[[#This Row],[Name(EN)]],Tab_Def_Flows[Name(EN)],0),16)</f>
        <v>#N/A</v>
      </c>
      <c r="AD472" s="112" t="e">
        <f>IF(J472="Yes",AA472*Tab_Data_Flows[[#This Row],[WC_'[%']]],"N.A.")</f>
        <v>#N/A</v>
      </c>
      <c r="AE472" s="61">
        <f>Tab_Data_Flows[[#This Row],[UoM_Flow_Py]]</f>
        <v>0</v>
      </c>
      <c r="AF472" s="111" t="e">
        <f>INDEX(Tab_Def_Flows[[Flow_ID]:[CC_DM_source]],MATCH(Tab_Data_Flows[[#This Row],[Name(EN)]],Tab_Def_Flows[Name(EN)],0),18)</f>
        <v>#N/A</v>
      </c>
      <c r="AG472" s="112" t="e">
        <f>IF(K472="Yes",AF472*Tab_Data_Flows[[#This Row],[Flow_Py]],"N.A.")</f>
        <v>#N/A</v>
      </c>
      <c r="AH472" s="61">
        <f>Tab_Data_Flows[[#This Row],[UoM_Flow_Py]]</f>
        <v>0</v>
      </c>
      <c r="AI472" s="111" t="e">
        <f>INDEX(Tab_Def_Flows[[Flow_ID]:[CC_DM_source]],MATCH(Tab_Data_Flows[[#This Row],[Name(EN)]],Tab_Def_Flows[Name(EN)],0),20)</f>
        <v>#N/A</v>
      </c>
      <c r="AJ472" s="109" t="e">
        <f>IF(L472="Yes",AI472*Tab_Data_Flows[[#This Row],[Flow_Py]]*Tab_Data_Flows[[#This Row],[DM_'[%']]],"N.A.")</f>
        <v>#N/A</v>
      </c>
      <c r="AK472" s="61">
        <f>Tab_Data_Flows[[#This Row],[UoM_Flow_Py]]</f>
        <v>0</v>
      </c>
    </row>
    <row r="473" spans="1:37" ht="15.75" thickBot="1" x14ac:dyDescent="0.3">
      <c r="A473" s="60"/>
      <c r="B473" s="49" t="str">
        <f>_xlfn.XLOOKUP(C473,Tab_Def_Flows[Name(EN)],Tab_Def_Flows[Flow_ID],,0,)</f>
        <v>F_24_24</v>
      </c>
      <c r="C473" s="51"/>
      <c r="D473" s="49">
        <f>_xlfn.XLOOKUP(C473,Tab_Def_Flows[Name(EN)],Tab_Def_Flows[Type_Biomass],,0,)</f>
        <v>0</v>
      </c>
      <c r="E473" s="49">
        <f>_xlfn.XLOOKUP(C473,Tab_Def_Flows[Name(EN)],Tab_Def_Flows[Output_Process],,0,)</f>
        <v>0</v>
      </c>
      <c r="F473" s="49" t="str">
        <f>_xlfn.XLOOKUP(C473,Tab_Def_Flows[Name(EN)],Tab_Def_Flows[Process_ID_O],,0,)</f>
        <v>24__</v>
      </c>
      <c r="G473" s="49">
        <f>_xlfn.XLOOKUP(C473,Tab_Def_Flows[Name(EN)],Tab_Def_Flows[Input_Process],,0,)</f>
        <v>0</v>
      </c>
      <c r="H473" s="61" t="str">
        <f>_xlfn.XLOOKUP(C473,Tab_Def_Flows[Name(EN)],Tab_Def_Flows[Process_ID_I],,0,)</f>
        <v>24__</v>
      </c>
      <c r="I473" s="49">
        <f>_xlfn.XLOOKUP(C473,Tab_Def_Flows[Name(EN)],Tab_Def_Flows[Value_Source],,0,)</f>
        <v>0</v>
      </c>
      <c r="J473" s="61" t="str">
        <f>_xlfn.XLOOKUP(C473,Tab_Def_Flows[Name(EN)],Tab_Def_Flows[WC?],,0,)</f>
        <v>Yes</v>
      </c>
      <c r="K473" s="61" t="str">
        <f>_xlfn.XLOOKUP(C473,Tab_Def_Flows[Name(EN)],Tab_Def_Flows[DM?],,0,)</f>
        <v>Yes</v>
      </c>
      <c r="L473" s="61" t="str">
        <f>_xlfn.XLOOKUP(C473,Tab_Def_Flows[Name(EN)],Tab_Def_Flows[CC?],,0,)</f>
        <v>Yes</v>
      </c>
      <c r="M473" s="51"/>
      <c r="N473" s="51"/>
      <c r="O473" s="119"/>
      <c r="P473" s="51" t="s">
        <v>389</v>
      </c>
      <c r="Q473" s="51"/>
      <c r="R473" s="51" t="e">
        <f>INDEX(Tab_WC_DM_CC[[Flow_ID]:[CC_source]],MATCH(Tab_Data_Flows[[#This Row],[Name(EN)]],Tab_WC_DM_CC[Name(EN)],0),12)</f>
        <v>#N/A</v>
      </c>
      <c r="S473" s="51" t="e">
        <f>MATCH(Tab_Data_Flows[[#This Row],[Name(EN)]],Tab_WC_DM_CC[Name(EN)],0)</f>
        <v>#N/A</v>
      </c>
      <c r="T473" s="51"/>
      <c r="U473" s="51"/>
      <c r="V473" s="51"/>
      <c r="W473" s="51"/>
      <c r="X473" s="51" t="s">
        <v>71</v>
      </c>
      <c r="Y473" s="51"/>
      <c r="Z473" s="51"/>
      <c r="AA473" s="86">
        <f t="shared" si="17"/>
        <v>0</v>
      </c>
      <c r="AB473" s="51"/>
      <c r="AC473" s="111" t="e">
        <f>INDEX(Tab_Def_Flows[[Flow_ID]:[CC_DM_source]],MATCH(Tab_Data_Flows[[#This Row],[Name(EN)]],Tab_Def_Flows[Name(EN)],0),16)</f>
        <v>#N/A</v>
      </c>
      <c r="AD473" s="112" t="e">
        <f>IF(J473="Yes",AA473*Tab_Data_Flows[[#This Row],[WC_'[%']]],"N.A.")</f>
        <v>#N/A</v>
      </c>
      <c r="AE473" s="61">
        <f>Tab_Data_Flows[[#This Row],[UoM_Flow_Py]]</f>
        <v>0</v>
      </c>
      <c r="AF473" s="111" t="e">
        <f>INDEX(Tab_Def_Flows[[Flow_ID]:[CC_DM_source]],MATCH(Tab_Data_Flows[[#This Row],[Name(EN)]],Tab_Def_Flows[Name(EN)],0),18)</f>
        <v>#N/A</v>
      </c>
      <c r="AG473" s="112" t="e">
        <f>IF(K473="Yes",AF473*Tab_Data_Flows[[#This Row],[Flow_Py]],"N.A.")</f>
        <v>#N/A</v>
      </c>
      <c r="AH473" s="61">
        <f>Tab_Data_Flows[[#This Row],[UoM_Flow_Py]]</f>
        <v>0</v>
      </c>
      <c r="AI473" s="111" t="e">
        <f>INDEX(Tab_Def_Flows[[Flow_ID]:[CC_DM_source]],MATCH(Tab_Data_Flows[[#This Row],[Name(EN)]],Tab_Def_Flows[Name(EN)],0),20)</f>
        <v>#N/A</v>
      </c>
      <c r="AJ473" s="109" t="e">
        <f>IF(L473="Yes",AI473*Tab_Data_Flows[[#This Row],[Flow_Py]]*Tab_Data_Flows[[#This Row],[DM_'[%']]],"N.A.")</f>
        <v>#N/A</v>
      </c>
      <c r="AK473" s="61">
        <f>Tab_Data_Flows[[#This Row],[UoM_Flow_Py]]</f>
        <v>0</v>
      </c>
    </row>
    <row r="474" spans="1:37" ht="15.75" thickBot="1" x14ac:dyDescent="0.3">
      <c r="A474" s="62"/>
      <c r="B474" s="63" t="str">
        <f>_xlfn.XLOOKUP(C474,Tab_Def_Flows[Name(EN)],Tab_Def_Flows[Flow_ID],,0,)</f>
        <v>F_24_24</v>
      </c>
      <c r="C474" s="51"/>
      <c r="D474" s="49">
        <f>_xlfn.XLOOKUP(C474,Tab_Def_Flows[Name(EN)],Tab_Def_Flows[Type_Biomass],,0,)</f>
        <v>0</v>
      </c>
      <c r="E474" s="49">
        <f>_xlfn.XLOOKUP(C474,Tab_Def_Flows[Name(EN)],Tab_Def_Flows[Output_Process],,0,)</f>
        <v>0</v>
      </c>
      <c r="F474" s="63" t="str">
        <f>_xlfn.XLOOKUP(C474,Tab_Def_Flows[Name(EN)],Tab_Def_Flows[Process_ID_O],,0,)</f>
        <v>24__</v>
      </c>
      <c r="G474" s="49">
        <f>_xlfn.XLOOKUP(C474,Tab_Def_Flows[Name(EN)],Tab_Def_Flows[Input_Process],,0,)</f>
        <v>0</v>
      </c>
      <c r="H474" s="64" t="str">
        <f>_xlfn.XLOOKUP(C474,Tab_Def_Flows[Name(EN)],Tab_Def_Flows[Process_ID_I],,0,)</f>
        <v>24__</v>
      </c>
      <c r="I474" s="105">
        <f>_xlfn.XLOOKUP(C474,Tab_Def_Flows[Name(EN)],Tab_Def_Flows[Value_Source],,0,)</f>
        <v>0</v>
      </c>
      <c r="J474" s="61" t="str">
        <f>_xlfn.XLOOKUP(C474,Tab_Def_Flows[Name(EN)],Tab_Def_Flows[WC?],,0,)</f>
        <v>Yes</v>
      </c>
      <c r="K474" s="61" t="str">
        <f>_xlfn.XLOOKUP(C474,Tab_Def_Flows[Name(EN)],Tab_Def_Flows[DM?],,0,)</f>
        <v>Yes</v>
      </c>
      <c r="L474" s="61" t="str">
        <f>_xlfn.XLOOKUP(C474,Tab_Def_Flows[Name(EN)],Tab_Def_Flows[CC?],,0,)</f>
        <v>Yes</v>
      </c>
      <c r="M474" s="51"/>
      <c r="N474" s="51"/>
      <c r="O474" s="119"/>
      <c r="P474" s="51" t="s">
        <v>389</v>
      </c>
      <c r="Q474" s="51"/>
      <c r="R474" s="51" t="e">
        <f>INDEX(Tab_WC_DM_CC[[Flow_ID]:[CC_source]],MATCH(Tab_Data_Flows[[#This Row],[Name(EN)]],Tab_WC_DM_CC[Name(EN)],0),12)</f>
        <v>#N/A</v>
      </c>
      <c r="S474" s="51" t="e">
        <f>MATCH(Tab_Data_Flows[[#This Row],[Name(EN)]],Tab_WC_DM_CC[Name(EN)],0)</f>
        <v>#N/A</v>
      </c>
      <c r="T474" s="51"/>
      <c r="U474" s="51"/>
      <c r="V474" s="51"/>
      <c r="W474" s="51"/>
      <c r="X474" s="51" t="s">
        <v>71</v>
      </c>
      <c r="Y474" s="51"/>
      <c r="Z474" s="51"/>
      <c r="AA474" s="86">
        <f t="shared" si="17"/>
        <v>0</v>
      </c>
      <c r="AB474" s="51"/>
      <c r="AC474" s="111" t="e">
        <f>INDEX(Tab_Def_Flows[[Flow_ID]:[CC_DM_source]],MATCH(Tab_Data_Flows[[#This Row],[Name(EN)]],Tab_Def_Flows[Name(EN)],0),16)</f>
        <v>#N/A</v>
      </c>
      <c r="AD474" s="113" t="e">
        <f>IF(J474="Yes",AA474*Tab_Data_Flows[[#This Row],[WC_'[%']]],"N.A.")</f>
        <v>#N/A</v>
      </c>
      <c r="AE474" s="64">
        <f>Tab_Data_Flows[[#This Row],[UoM_Flow_Py]]</f>
        <v>0</v>
      </c>
      <c r="AF474" s="111" t="e">
        <f>INDEX(Tab_Def_Flows[[Flow_ID]:[CC_DM_source]],MATCH(Tab_Data_Flows[[#This Row],[Name(EN)]],Tab_Def_Flows[Name(EN)],0),18)</f>
        <v>#N/A</v>
      </c>
      <c r="AG474" s="113" t="e">
        <f>IF(K474="Yes",AF474*Tab_Data_Flows[[#This Row],[Flow_Py]],"N.A.")</f>
        <v>#N/A</v>
      </c>
      <c r="AH474" s="64">
        <f>Tab_Data_Flows[[#This Row],[UoM_Flow_Py]]</f>
        <v>0</v>
      </c>
      <c r="AI474" s="111" t="e">
        <f>INDEX(Tab_Def_Flows[[Flow_ID]:[CC_DM_source]],MATCH(Tab_Data_Flows[[#This Row],[Name(EN)]],Tab_Def_Flows[Name(EN)],0),20)</f>
        <v>#N/A</v>
      </c>
      <c r="AJ474" s="109" t="e">
        <f>IF(L474="Yes",AI474*Tab_Data_Flows[[#This Row],[Flow_Py]]*Tab_Data_Flows[[#This Row],[DM_'[%']]],"N.A.")</f>
        <v>#N/A</v>
      </c>
      <c r="AK474" s="64">
        <f>Tab_Data_Flows[[#This Row],[UoM_Flow_Py]]</f>
        <v>0</v>
      </c>
    </row>
    <row r="475" spans="1:37" x14ac:dyDescent="0.25">
      <c r="AF475" s="115"/>
      <c r="AK475"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X2:X474</xm:sqref>
        </x14:dataValidation>
        <x14:dataValidation type="list" allowBlank="1" showInputMessage="1" showErrorMessage="1" xr:uid="{A030A264-E9C5-4840-932B-125C397F8D0A}">
          <x14:formula1>
            <xm:f>'1_1_Definition_Flows'!$D$2:$D$77</xm:f>
          </x14:formula1>
          <xm:sqref>C2:C474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E1" activePane="topRight" state="frozen"/>
      <selection pane="topRight" activeCell="AA22" sqref="AA22"/>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0</v>
      </c>
      <c r="B2" s="114" t="s">
        <v>430</v>
      </c>
      <c r="C2" s="49" t="str">
        <f>LEFT(B2,2)&amp;"_"&amp;LEFT(D2,3)&amp;"_"&amp;LEFT(F2,3)</f>
        <v>00_Env_BB</v>
      </c>
      <c r="D2" s="51" t="s">
        <v>518</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498</v>
      </c>
      <c r="X2" s="52" t="str">
        <f>_xlfn.XLOOKUP(W2,Tab_Def_Flows[Name(EN)],Tab_Def_Flows[Flow_ID],,0,)</f>
        <v>F_00_13</v>
      </c>
      <c r="Y2" s="51" t="s">
        <v>499</v>
      </c>
      <c r="Z2" s="52" t="str">
        <f>_xlfn.XLOOKUP(Y2,Tab_Def_Flows[Name(EN)],Tab_Def_Flows[Flow_ID],,0,)</f>
        <v>F_00_04</v>
      </c>
      <c r="AA2" s="51" t="s">
        <v>500</v>
      </c>
      <c r="AB2" s="52" t="str">
        <f>_xlfn.XLOOKUP(AA2,Tab_Def_Flows[Name(EN)],Tab_Def_Flows[Flow_ID],,0,)</f>
        <v>F_00_11</v>
      </c>
      <c r="AC2" s="51" t="s">
        <v>501</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0</v>
      </c>
      <c r="B3" s="114" t="s">
        <v>417</v>
      </c>
      <c r="C3" s="49" t="str">
        <f t="shared" ref="C3:C58" si="0">LEFT(B3,2)&amp;"_"&amp;LEFT(D3,3)&amp;"_"&amp;LEFT(F3,3)</f>
        <v>01_Bio_BB</v>
      </c>
      <c r="D3" s="51" t="s">
        <v>507</v>
      </c>
      <c r="E3" s="89"/>
      <c r="F3" s="51" t="s">
        <v>350</v>
      </c>
      <c r="G3" s="51" t="s">
        <v>347</v>
      </c>
      <c r="H3" s="51" t="s">
        <v>174</v>
      </c>
      <c r="I3" s="89"/>
      <c r="J3" s="92" t="s">
        <v>381</v>
      </c>
      <c r="K3" s="51" t="s">
        <v>68</v>
      </c>
      <c r="L3" s="96" t="s">
        <v>71</v>
      </c>
      <c r="M3" s="51" t="s">
        <v>483</v>
      </c>
      <c r="N3" s="49" t="e">
        <f>_xlfn.XLOOKUP(M3,Tab_Def_Flows[Name(EN)],Tab_Def_Flows[Flow_ID],,0,)</f>
        <v>#N/A</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506</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0</v>
      </c>
      <c r="B4" s="114" t="s">
        <v>418</v>
      </c>
      <c r="C4" s="49" t="str">
        <f t="shared" si="0"/>
        <v>02_MBC_BB</v>
      </c>
      <c r="D4" s="51" t="s">
        <v>508</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0</v>
      </c>
      <c r="B5" s="114" t="s">
        <v>419</v>
      </c>
      <c r="C5" s="49" t="str">
        <f t="shared" si="0"/>
        <v>03_MBC_BB</v>
      </c>
      <c r="D5" s="51" t="s">
        <v>509</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0</v>
      </c>
      <c r="B6" s="114" t="s">
        <v>420</v>
      </c>
      <c r="C6" s="49" t="str">
        <f t="shared" si="0"/>
        <v>04_Cow_BB</v>
      </c>
      <c r="D6" s="51" t="s">
        <v>510</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0</v>
      </c>
      <c r="B7" s="114" t="s">
        <v>421</v>
      </c>
      <c r="C7" s="49" t="str">
        <f t="shared" si="0"/>
        <v>05_Bio_BB</v>
      </c>
      <c r="D7" s="51" t="s">
        <v>511</v>
      </c>
      <c r="E7" s="89"/>
      <c r="F7" s="51" t="s">
        <v>350</v>
      </c>
      <c r="G7" s="51" t="s">
        <v>347</v>
      </c>
      <c r="H7" s="51"/>
      <c r="I7" s="89"/>
      <c r="J7" s="92" t="s">
        <v>384</v>
      </c>
      <c r="K7" s="51" t="s">
        <v>68</v>
      </c>
      <c r="L7" s="96" t="s">
        <v>71</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556</v>
      </c>
      <c r="X7" s="49" t="str">
        <f>_xlfn.XLOOKUP(W7,Tab_Def_Flows[Name(EN)],Tab_Def_Flows[Flow_ID],,0,)</f>
        <v>F_05_19</v>
      </c>
      <c r="Y7" s="51" t="s">
        <v>569</v>
      </c>
      <c r="Z7" s="49" t="str">
        <f>_xlfn.XLOOKUP(Y7,Tab_Def_Flows[Name(EN)],Tab_Def_Flows[Flow_ID],,0,)</f>
        <v>F_05_22</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0</v>
      </c>
      <c r="B8" s="114" t="s">
        <v>422</v>
      </c>
      <c r="C8" s="49" t="str">
        <f t="shared" si="0"/>
        <v>06_MBC_BB</v>
      </c>
      <c r="D8" s="51" t="s">
        <v>512</v>
      </c>
      <c r="E8" s="89"/>
      <c r="F8" s="51" t="s">
        <v>350</v>
      </c>
      <c r="G8" s="51" t="s">
        <v>347</v>
      </c>
      <c r="H8" s="51"/>
      <c r="I8" s="89"/>
      <c r="J8" s="92" t="s">
        <v>384</v>
      </c>
      <c r="K8" s="51" t="s">
        <v>68</v>
      </c>
      <c r="L8" s="96" t="s">
        <v>71</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562</v>
      </c>
      <c r="X8" s="49" t="str">
        <f>_xlfn.XLOOKUP(W8,Tab_Def_Flows[Name(EN)],Tab_Def_Flows[Flow_ID],,0,)</f>
        <v>F_06_19</v>
      </c>
      <c r="Y8" s="51" t="s">
        <v>563</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0</v>
      </c>
      <c r="B9" s="114" t="s">
        <v>423</v>
      </c>
      <c r="C9" s="49" t="str">
        <f t="shared" si="0"/>
        <v>07_MBC_BB</v>
      </c>
      <c r="D9" s="51" t="s">
        <v>513</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0</v>
      </c>
      <c r="B10" s="114" t="s">
        <v>424</v>
      </c>
      <c r="C10" s="49" t="str">
        <f t="shared" si="0"/>
        <v>08_Wat_BB</v>
      </c>
      <c r="D10" s="51" t="s">
        <v>514</v>
      </c>
      <c r="E10" s="89"/>
      <c r="F10" s="51" t="s">
        <v>350</v>
      </c>
      <c r="G10" s="51" t="s">
        <v>347</v>
      </c>
      <c r="H10" s="51"/>
      <c r="I10" s="89"/>
      <c r="J10" s="92" t="s">
        <v>381</v>
      </c>
      <c r="K10" s="51" t="s">
        <v>71</v>
      </c>
      <c r="L10" s="96" t="s">
        <v>71</v>
      </c>
      <c r="M10" s="51" t="s">
        <v>501</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0</v>
      </c>
      <c r="B11" s="114" t="s">
        <v>425</v>
      </c>
      <c r="C11" s="49" t="str">
        <f t="shared" si="0"/>
        <v>09_MBC_BB</v>
      </c>
      <c r="D11" s="51" t="s">
        <v>515</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567</v>
      </c>
      <c r="Z11" s="49" t="str">
        <f>_xlfn.XLOOKUP(Y11,Tab_Def_Flows[Name(EN)],Tab_Def_Flows[Flow_ID],,0,)</f>
        <v>F_09_19</v>
      </c>
      <c r="AA11" s="51" t="s">
        <v>568</v>
      </c>
      <c r="AB11" s="49" t="str">
        <f>_xlfn.XLOOKUP(AA11,Tab_Def_Flows[Name(EN)],Tab_Def_Flows[Flow_ID],,0,)</f>
        <v>F_09_22</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0</v>
      </c>
      <c r="B12" s="114" t="s">
        <v>431</v>
      </c>
      <c r="C12" s="49" t="str">
        <f t="shared" si="0"/>
        <v>10_MBC_BB</v>
      </c>
      <c r="D12" s="51" t="s">
        <v>516</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570</v>
      </c>
      <c r="X12" s="49" t="str">
        <f>_xlfn.XLOOKUP(W12,Tab_Def_Flows[Name(EN)],Tab_Def_Flows[Flow_ID],,0,)</f>
        <v>F_10_22</v>
      </c>
      <c r="Y12" s="51" t="s">
        <v>566</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0</v>
      </c>
      <c r="B13" s="114" t="s">
        <v>432</v>
      </c>
      <c r="C13" s="49" t="str">
        <f t="shared" si="0"/>
        <v>11_Mil_BB</v>
      </c>
      <c r="D13" s="51" t="s">
        <v>517</v>
      </c>
      <c r="E13" s="89"/>
      <c r="F13" s="51" t="s">
        <v>350</v>
      </c>
      <c r="G13" s="51" t="s">
        <v>347</v>
      </c>
      <c r="H13" s="51"/>
      <c r="I13" s="89"/>
      <c r="J13" s="92" t="s">
        <v>381</v>
      </c>
      <c r="K13" s="51" t="s">
        <v>68</v>
      </c>
      <c r="L13" s="96" t="s">
        <v>71</v>
      </c>
      <c r="M13" s="51" t="s">
        <v>500</v>
      </c>
      <c r="N13" s="49" t="str">
        <f>_xlfn.XLOOKUP(M13,Tab_Def_Flows[Name(EN)],Tab_Def_Flows[Flow_ID],,0,)</f>
        <v>F_00_11</v>
      </c>
      <c r="O13" s="51" t="s">
        <v>553</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0</v>
      </c>
      <c r="B14" s="114" t="s">
        <v>433</v>
      </c>
      <c r="C14" s="49" t="str">
        <f t="shared" si="0"/>
        <v>12_MBC_BB</v>
      </c>
      <c r="D14" s="51" t="s">
        <v>519</v>
      </c>
      <c r="E14" s="89"/>
      <c r="F14" s="51" t="s">
        <v>350</v>
      </c>
      <c r="G14" s="51" t="s">
        <v>347</v>
      </c>
      <c r="H14" s="51"/>
      <c r="I14" s="89"/>
      <c r="J14" s="92" t="s">
        <v>384</v>
      </c>
      <c r="K14" s="51" t="s">
        <v>68</v>
      </c>
      <c r="L14" s="96" t="s">
        <v>71</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561</v>
      </c>
      <c r="X14" s="49" t="str">
        <f>_xlfn.XLOOKUP(W14,Tab_Def_Flows[Name(EN)],Tab_Def_Flows[Flow_ID],,0,)</f>
        <v>F_12_19</v>
      </c>
      <c r="Y14" s="51" t="s">
        <v>560</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0</v>
      </c>
      <c r="B15" s="114" t="s">
        <v>434</v>
      </c>
      <c r="C15" s="49" t="str">
        <f t="shared" si="0"/>
        <v>13_Rye_BB</v>
      </c>
      <c r="D15" s="51" t="s">
        <v>520</v>
      </c>
      <c r="E15" s="89"/>
      <c r="F15" s="51" t="s">
        <v>350</v>
      </c>
      <c r="G15" s="51" t="s">
        <v>347</v>
      </c>
      <c r="H15" s="51"/>
      <c r="I15" s="89"/>
      <c r="J15" s="92" t="s">
        <v>381</v>
      </c>
      <c r="K15" s="51" t="s">
        <v>68</v>
      </c>
      <c r="L15" s="96" t="s">
        <v>71</v>
      </c>
      <c r="M15" s="51" t="s">
        <v>498</v>
      </c>
      <c r="N15" s="49" t="str">
        <f>_xlfn.XLOOKUP(M15,Tab_Def_Flows[Name(EN)],Tab_Def_Flows[Flow_ID],,0,)</f>
        <v>F_00_13</v>
      </c>
      <c r="O15" s="51" t="s">
        <v>551</v>
      </c>
      <c r="P15" s="49" t="str">
        <f>_xlfn.XLOOKUP(O15,Tab_Def_Flows[Name(EN)],Tab_Def_Flows[Flow_ID],,0,)</f>
        <v>F_19_13</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0</v>
      </c>
      <c r="B16" s="114" t="s">
        <v>435</v>
      </c>
      <c r="C16" s="49" t="str">
        <f t="shared" si="0"/>
        <v>14_Wat_BB</v>
      </c>
      <c r="D16" s="51" t="s">
        <v>521</v>
      </c>
      <c r="E16" s="89"/>
      <c r="F16" s="51" t="s">
        <v>350</v>
      </c>
      <c r="G16" s="51" t="s">
        <v>347</v>
      </c>
      <c r="H16" s="51"/>
      <c r="I16" s="89"/>
      <c r="J16" s="92" t="s">
        <v>384</v>
      </c>
      <c r="K16" s="51" t="s">
        <v>71</v>
      </c>
      <c r="L16" s="96" t="s">
        <v>68</v>
      </c>
      <c r="M16" s="51" t="s">
        <v>492</v>
      </c>
      <c r="N16" s="52" t="str">
        <f>_xlfn.XLOOKUP(M16,Tab_Def_Flows[Name(EN)],Tab_Def_Flows[Flow_ID],,0,)</f>
        <v>F_02_14</v>
      </c>
      <c r="O16" s="51" t="s">
        <v>505</v>
      </c>
      <c r="P16" s="52" t="e">
        <f>_xlfn.XLOOKUP(O16,Tab_Def_Flows[Name(EN)],Tab_Def_Flows[Flow_ID],,0,)</f>
        <v>#N/A</v>
      </c>
      <c r="Q16" s="51" t="s">
        <v>504</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0</v>
      </c>
      <c r="B17" s="114" t="s">
        <v>436</v>
      </c>
      <c r="C17" s="49" t="str">
        <f t="shared" si="0"/>
        <v>15_Rye_BB</v>
      </c>
      <c r="D17" s="51" t="s">
        <v>522</v>
      </c>
      <c r="E17" s="89"/>
      <c r="F17" s="51" t="s">
        <v>350</v>
      </c>
      <c r="G17" s="51" t="s">
        <v>347</v>
      </c>
      <c r="H17" s="51"/>
      <c r="I17" s="89"/>
      <c r="J17" s="92" t="s">
        <v>381</v>
      </c>
      <c r="K17" s="51" t="s">
        <v>68</v>
      </c>
      <c r="L17" s="96" t="s">
        <v>71</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554</v>
      </c>
      <c r="X17" s="52" t="str">
        <f>_xlfn.XLOOKUP(W17,Tab_Def_Flows[Name(EN)],Tab_Def_Flows[Flow_ID],,0,)</f>
        <v>F_15_19</v>
      </c>
      <c r="Y17" s="51" t="s">
        <v>558</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0</v>
      </c>
      <c r="B18" s="114" t="s">
        <v>437</v>
      </c>
      <c r="C18" s="49" t="str">
        <f t="shared" si="0"/>
        <v>16_Rye_BB</v>
      </c>
      <c r="D18" s="51" t="s">
        <v>523</v>
      </c>
      <c r="E18" s="89"/>
      <c r="F18" s="51" t="s">
        <v>350</v>
      </c>
      <c r="G18" s="51" t="s">
        <v>347</v>
      </c>
      <c r="H18" s="51"/>
      <c r="I18" s="89"/>
      <c r="J18" s="92" t="s">
        <v>384</v>
      </c>
      <c r="K18" s="51" t="s">
        <v>68</v>
      </c>
      <c r="L18" s="96" t="s">
        <v>71</v>
      </c>
      <c r="M18" s="51" t="s">
        <v>484</v>
      </c>
      <c r="N18" s="52" t="e">
        <f>_xlfn.XLOOKUP(M18,Tab_Def_Flows[Name(EN)],Tab_Def_Flows[Flow_ID],,0,)</f>
        <v>#N/A</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555</v>
      </c>
      <c r="X18" s="52" t="str">
        <f>_xlfn.XLOOKUP(W18,Tab_Def_Flows[Name(EN)],Tab_Def_Flows[Flow_ID],,0,)</f>
        <v>F_16_19</v>
      </c>
      <c r="Y18" s="51" t="s">
        <v>559</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0</v>
      </c>
      <c r="B19" s="114" t="s">
        <v>438</v>
      </c>
      <c r="C19" s="49" t="str">
        <f t="shared" si="0"/>
        <v>17_Lit_BB</v>
      </c>
      <c r="D19" s="51" t="s">
        <v>524</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0</v>
      </c>
      <c r="B20" s="114" t="s">
        <v>439</v>
      </c>
      <c r="C20" s="49" t="str">
        <f t="shared" si="0"/>
        <v>18_Ash_BB</v>
      </c>
      <c r="D20" s="51" t="s">
        <v>525</v>
      </c>
      <c r="E20" s="89"/>
      <c r="F20" s="51" t="s">
        <v>350</v>
      </c>
      <c r="G20" s="51" t="s">
        <v>347</v>
      </c>
      <c r="H20" s="51"/>
      <c r="I20" s="89"/>
      <c r="J20" s="92" t="s">
        <v>384</v>
      </c>
      <c r="K20" s="51" t="s">
        <v>71</v>
      </c>
      <c r="L20" s="96" t="s">
        <v>71</v>
      </c>
      <c r="M20" s="51" t="s">
        <v>231</v>
      </c>
      <c r="N20" s="52" t="e">
        <f>_xlfn.XLOOKUP(M20,Tab_Def_Flows[Name(EN)],Tab_Def_Flows[Flow_ID],,0,)</f>
        <v>#N/A</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0</v>
      </c>
      <c r="B21" s="114" t="s">
        <v>440</v>
      </c>
      <c r="C21" s="49" t="str">
        <f t="shared" si="0"/>
        <v>19_Atm_BB</v>
      </c>
      <c r="D21" s="51" t="s">
        <v>526</v>
      </c>
      <c r="E21" s="89"/>
      <c r="F21" s="51" t="s">
        <v>350</v>
      </c>
      <c r="G21" s="51" t="s">
        <v>345</v>
      </c>
      <c r="H21" s="51"/>
      <c r="I21" s="89"/>
      <c r="J21" s="92" t="s">
        <v>384</v>
      </c>
      <c r="K21" s="51" t="s">
        <v>71</v>
      </c>
      <c r="L21" s="96" t="s">
        <v>68</v>
      </c>
      <c r="M21" s="51" t="s">
        <v>566</v>
      </c>
      <c r="N21" s="52" t="str">
        <f>_xlfn.XLOOKUP(M21,Tab_Def_Flows[Name(EN)],Tab_Def_Flows[Flow_ID],,0,)</f>
        <v>F_10_19</v>
      </c>
      <c r="O21" s="51" t="s">
        <v>502</v>
      </c>
      <c r="P21" s="52" t="e">
        <f>_xlfn.XLOOKUP(O21,Tab_Def_Flows[Name(EN)],Tab_Def_Flows[Flow_ID],,0,)</f>
        <v>#N/A</v>
      </c>
      <c r="Q21" s="51" t="s">
        <v>554</v>
      </c>
      <c r="R21" s="52" t="str">
        <f>_xlfn.XLOOKUP(Q21,Tab_Def_Flows[Name(EN)],Tab_Def_Flows[Flow_ID],,0,)</f>
        <v>F_15_19</v>
      </c>
      <c r="S21" s="51" t="s">
        <v>555</v>
      </c>
      <c r="T21" s="52" t="str">
        <f>_xlfn.XLOOKUP(S21,Tab_Def_Flows[Name(EN)],Tab_Def_Flows[Flow_ID],,0,)</f>
        <v>F_16_19</v>
      </c>
      <c r="U21" s="51" t="s">
        <v>231</v>
      </c>
      <c r="V21" s="53" t="e">
        <f>_xlfn.XLOOKUP(U21,Tab_Def_Flows[Name(EN)],Tab_Def_Flows[Flow_ID],,0,)</f>
        <v>#N/A</v>
      </c>
      <c r="W21" s="51" t="s">
        <v>551</v>
      </c>
      <c r="X21" s="52" t="str">
        <f>_xlfn.XLOOKUP(W21,Tab_Def_Flows[Name(EN)],Tab_Def_Flows[Flow_ID],,0,)</f>
        <v>F_19_13</v>
      </c>
      <c r="Y21" s="51" t="s">
        <v>552</v>
      </c>
      <c r="Z21" s="52" t="str">
        <f>_xlfn.XLOOKUP(Y21,Tab_Def_Flows[Name(EN)],Tab_Def_Flows[Flow_ID],,0,)</f>
        <v>F_19_04</v>
      </c>
      <c r="AA21" s="51" t="s">
        <v>553</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0</v>
      </c>
      <c r="B22" s="114" t="s">
        <v>441</v>
      </c>
      <c r="C22" s="49" t="str">
        <f t="shared" si="0"/>
        <v>20_Rye_BB</v>
      </c>
      <c r="D22" s="51" t="s">
        <v>527</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573</v>
      </c>
      <c r="Z22" s="52" t="str">
        <f>_xlfn.XLOOKUP(Y22,Tab_Def_Flows[Name(EN)],Tab_Def_Flows[Flow_ID],,0,)</f>
        <v>F_20_01</v>
      </c>
      <c r="AA22" s="51" t="s">
        <v>572</v>
      </c>
      <c r="AB22" s="52" t="str">
        <f>_xlfn.XLOOKUP(AA22,Tab_Def_Flows[Name(EN)],Tab_Def_Flows[Flow_ID],,0,)</f>
        <v>F_20_16</v>
      </c>
      <c r="AC22" s="51" t="s">
        <v>574</v>
      </c>
      <c r="AD22" s="52" t="str">
        <f>_xlfn.XLOOKUP(AC22,Tab_Def_Flows[Name(EN)],Tab_Def_Flows[Flow_ID],,0,)</f>
        <v>F_20_23</v>
      </c>
      <c r="AE22" s="51" t="s">
        <v>231</v>
      </c>
      <c r="AF22" s="52" t="e">
        <f>_xlfn.XLOOKUP(AE22,Tab_Def_Flows[Name(EN)],Tab_Def_Flows[Flow_ID],,0,)</f>
        <v>#N/A</v>
      </c>
      <c r="AG22" s="51" t="s">
        <v>231</v>
      </c>
      <c r="AH22" s="53" t="e">
        <f>_xlfn.XLOOKUP(AG22,Tab_Def_Flows[Name(EN)],Tab_Def_Flows[Flow_ID],,0,)</f>
        <v>#N/A</v>
      </c>
    </row>
    <row r="23" spans="1:34" x14ac:dyDescent="0.25">
      <c r="A23" s="94" t="b">
        <v>0</v>
      </c>
      <c r="B23" s="114" t="s">
        <v>442</v>
      </c>
      <c r="C23" s="49" t="str">
        <f t="shared" si="0"/>
        <v>21_Bio_BB</v>
      </c>
      <c r="D23" s="51" t="s">
        <v>528</v>
      </c>
      <c r="E23" s="89"/>
      <c r="F23" s="51" t="s">
        <v>350</v>
      </c>
      <c r="G23" s="51" t="s">
        <v>347</v>
      </c>
      <c r="H23" s="51"/>
      <c r="I23" s="89"/>
      <c r="J23" s="92" t="s">
        <v>384</v>
      </c>
      <c r="K23" s="96" t="s">
        <v>68</v>
      </c>
      <c r="L23" s="96" t="s">
        <v>71</v>
      </c>
      <c r="M23" s="51" t="s">
        <v>506</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565</v>
      </c>
      <c r="X23" s="52" t="str">
        <f>_xlfn.XLOOKUP(W23,Tab_Def_Flows[Name(EN)],Tab_Def_Flows[Flow_ID],,0,)</f>
        <v>F_21_19</v>
      </c>
      <c r="Y23" s="51" t="s">
        <v>564</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557</v>
      </c>
      <c r="E24" s="89"/>
      <c r="F24" s="51" t="s">
        <v>350</v>
      </c>
      <c r="G24" s="51"/>
      <c r="H24" s="51"/>
      <c r="I24" s="89"/>
      <c r="J24" s="92" t="s">
        <v>384</v>
      </c>
      <c r="K24" s="51" t="s">
        <v>71</v>
      </c>
      <c r="L24" s="96" t="s">
        <v>68</v>
      </c>
      <c r="M24" s="51" t="s">
        <v>558</v>
      </c>
      <c r="N24" s="52" t="str">
        <f>_xlfn.XLOOKUP(M24,Tab_Def_Flows[Name(EN)],Tab_Def_Flows[Flow_ID],,0,)</f>
        <v>F_15_22</v>
      </c>
      <c r="O24" s="51" t="s">
        <v>559</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23_Rye_</v>
      </c>
      <c r="D25" s="51" t="s">
        <v>571</v>
      </c>
      <c r="E25" s="89"/>
      <c r="F25" s="51"/>
      <c r="G25" s="51"/>
      <c r="H25" s="51"/>
      <c r="I25" s="89"/>
      <c r="J25" s="92" t="s">
        <v>384</v>
      </c>
      <c r="K25" s="51" t="s">
        <v>68</v>
      </c>
      <c r="L25" s="96" t="s">
        <v>68</v>
      </c>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575</v>
      </c>
      <c r="X25" s="52" t="str">
        <f>_xlfn.XLOOKUP(W25,Tab_Def_Flows[Name(EN)],Tab_Def_Flows[Flow_ID],,0,)</f>
        <v>F_23_19</v>
      </c>
      <c r="Y25" s="51" t="s">
        <v>576</v>
      </c>
      <c r="Z25" s="52" t="str">
        <f>_xlfn.XLOOKUP(Y25,Tab_Def_Flows[Name(EN)],Tab_Def_Flows[Flow_ID],,0,)</f>
        <v>F_23_22</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F_24_24</v>
      </c>
      <c r="O56" s="51"/>
      <c r="P56" s="49" t="str">
        <f>_xlfn.XLOOKUP(O56,Tab_Def_Flows[Name(EN)],Tab_Def_Flows[Flow_ID],,0,)</f>
        <v>F_24_24</v>
      </c>
      <c r="Q56" s="51"/>
      <c r="R56" s="49" t="str">
        <f>_xlfn.XLOOKUP(Q56,Tab_Def_Flows[Name(EN)],Tab_Def_Flows[Flow_ID],,0,)</f>
        <v>F_24_24</v>
      </c>
      <c r="S56" s="51"/>
      <c r="T56" s="49" t="str">
        <f>_xlfn.XLOOKUP(S56,Tab_Def_Flows[Name(EN)],Tab_Def_Flows[Flow_ID],,0,)</f>
        <v>F_24_24</v>
      </c>
      <c r="U56" s="51"/>
      <c r="V56" s="65" t="str">
        <f>_xlfn.XLOOKUP(U56,Tab_Def_Flows[Name(EN)],Tab_Def_Flows[Flow_ID],,0,)</f>
        <v>F_24_24</v>
      </c>
      <c r="W56" s="51"/>
      <c r="X56" s="49" t="str">
        <f>_xlfn.XLOOKUP(W56,Tab_Def_Flows[Name(EN)],Tab_Def_Flows[Flow_ID],,0,)</f>
        <v>F_24_24</v>
      </c>
      <c r="Y56" s="51"/>
      <c r="Z56" s="49" t="str">
        <f>_xlfn.XLOOKUP(Y56,Tab_Def_Flows[Name(EN)],Tab_Def_Flows[Flow_ID],,0,)</f>
        <v>F_24_24</v>
      </c>
      <c r="AA56" s="51" t="s">
        <v>231</v>
      </c>
      <c r="AB56" s="49" t="e">
        <f>_xlfn.XLOOKUP(AA56,Tab_Def_Flows[Name(EN)],Tab_Def_Flows[Flow_ID],,0,)</f>
        <v>#N/A</v>
      </c>
      <c r="AC56" s="51"/>
      <c r="AD56" s="49" t="str">
        <f>_xlfn.XLOOKUP(AC56,Tab_Def_Flows[Name(EN)],Tab_Def_Flows[Flow_ID],,0,)</f>
        <v>F_24_24</v>
      </c>
      <c r="AE56" s="51"/>
      <c r="AF56" s="49" t="str">
        <f>_xlfn.XLOOKUP(AE56,Tab_Def_Flows[Name(EN)],Tab_Def_Flows[Flow_ID],,0,)</f>
        <v>F_24_24</v>
      </c>
      <c r="AG56" s="51"/>
      <c r="AH56" s="53" t="str">
        <f>_xlfn.XLOOKUP(AG56,Tab_Def_Flows[Name(EN)],Tab_Def_Flows[Flow_ID],,0,)</f>
        <v>F_24_24</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F_24_24</v>
      </c>
      <c r="O57" s="51"/>
      <c r="P57" s="49" t="str">
        <f>_xlfn.XLOOKUP(O57,Tab_Def_Flows[Name(EN)],Tab_Def_Flows[Flow_ID],,0,)</f>
        <v>F_24_24</v>
      </c>
      <c r="Q57" s="51"/>
      <c r="R57" s="49" t="str">
        <f>_xlfn.XLOOKUP(Q57,Tab_Def_Flows[Name(EN)],Tab_Def_Flows[Flow_ID],,0,)</f>
        <v>F_24_24</v>
      </c>
      <c r="S57" s="51"/>
      <c r="T57" s="49" t="str">
        <f>_xlfn.XLOOKUP(S57,Tab_Def_Flows[Name(EN)],Tab_Def_Flows[Flow_ID],,0,)</f>
        <v>F_24_24</v>
      </c>
      <c r="U57" s="51"/>
      <c r="V57" s="66" t="str">
        <f>_xlfn.XLOOKUP(U57,Tab_Def_Flows[Name(EN)],Tab_Def_Flows[Flow_ID],,0,)</f>
        <v>F_24_24</v>
      </c>
      <c r="W57" s="51"/>
      <c r="X57" s="49" t="str">
        <f>_xlfn.XLOOKUP(W57,Tab_Def_Flows[Name(EN)],Tab_Def_Flows[Flow_ID],,0,)</f>
        <v>F_24_24</v>
      </c>
      <c r="Y57" s="51"/>
      <c r="Z57" s="49" t="str">
        <f>_xlfn.XLOOKUP(Y57,Tab_Def_Flows[Name(EN)],Tab_Def_Flows[Flow_ID],,0,)</f>
        <v>F_24_24</v>
      </c>
      <c r="AA57" s="51" t="s">
        <v>231</v>
      </c>
      <c r="AB57" s="49" t="e">
        <f>_xlfn.XLOOKUP(AA57,Tab_Def_Flows[Name(EN)],Tab_Def_Flows[Flow_ID],,0,)</f>
        <v>#N/A</v>
      </c>
      <c r="AC57" s="51"/>
      <c r="AD57" s="49" t="str">
        <f>_xlfn.XLOOKUP(AC57,Tab_Def_Flows[Name(EN)],Tab_Def_Flows[Flow_ID],,0,)</f>
        <v>F_24_24</v>
      </c>
      <c r="AE57" s="51"/>
      <c r="AF57" s="49" t="str">
        <f>_xlfn.XLOOKUP(AE57,Tab_Def_Flows[Name(EN)],Tab_Def_Flows[Flow_ID],,0,)</f>
        <v>F_24_24</v>
      </c>
      <c r="AG57" s="51"/>
      <c r="AH57" s="53" t="str">
        <f>_xlfn.XLOOKUP(AG57,Tab_Def_Flows[Name(EN)],Tab_Def_Flows[Flow_ID],,0,)</f>
        <v>F_24_24</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M2:M58 AC2:AC58 AG2:AG58 W2:W58 Y1:Y58 AE2:AE58 U1:U1048576 Q1:Q1048576 O1:O1048576 AA2:AA58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AA1" activePane="topRight" state="frozen"/>
      <selection pane="topRight" activeCell="AA28" sqref="AA28"/>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42"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527</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(mobilisable technical potential)</v>
      </c>
      <c r="AG2" s="124" t="str">
        <f>_xlfn.XLOOKUP($E2,Tab_Def_Processes[Name(EN)],Tab_Def_Processes[Flow_ID_O_2],,0,)</f>
        <v>F_20_01</v>
      </c>
      <c r="AH2" s="120">
        <v>7.3850399999999941E-2</v>
      </c>
      <c r="AI2" s="124" t="str">
        <f>_xlfn.XLOOKUP($E2,Tab_Def_Processes[Name(EN)],Tab_Def_Processes[Output_Flow_O_3],,0,)</f>
        <v>Rye-Straw (Not mobilisable RS potential)</v>
      </c>
      <c r="AJ2" s="124" t="str">
        <f>_xlfn.XLOOKUP($E2,Tab_Def_Processes[Name(EN)],Tab_Def_Processes[Flow_ID_O_3],,0,)</f>
        <v>F_20_16</v>
      </c>
      <c r="AK2" s="120">
        <v>0.38923999999999964</v>
      </c>
      <c r="AL2" s="124" t="str">
        <f>_xlfn.XLOOKUP($E2,Tab_Def_Processes[Name(EN)],Tab_Def_Processes[Output_Flow_O_4],,0,)</f>
        <v>Rye - Straw - Technical potential used</v>
      </c>
      <c r="AM2" s="124" t="str">
        <f>_xlfn.XLOOKUP($E2,Tab_Def_Processes[Name(EN)],Tab_Def_Processes[Flow_ID_O_4],,0,)</f>
        <v>F_20_23</v>
      </c>
      <c r="AN2" s="120">
        <v>6.2909599999999954E-2</v>
      </c>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0.99999999999999956</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507</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e">
        <f>_xlfn.XLOOKUP($E3,Tab_Def_Processes[Name(EN)],Tab_Def_Processes[Flow_ID_I_1],,0,)</f>
        <v>#N/A</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508</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509</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515</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0.11745</v>
      </c>
      <c r="AF7" s="126" t="str">
        <f>_xlfn.XLOOKUP($E7,Tab_Def_Processes[Name(EN)],Tab_Def_Processes[Output_Flow_O_2],,0,)</f>
        <v>C-from MBC (EoL)-Pyrolysis</v>
      </c>
      <c r="AG7" s="126" t="str">
        <f>_xlfn.XLOOKUP($E7,Tab_Def_Processes[Name(EN)],Tab_Def_Processes[Flow_ID_O_2],,0,)</f>
        <v>F_09_19</v>
      </c>
      <c r="AH7" s="120">
        <v>4.4356949999999999E-2</v>
      </c>
      <c r="AI7" s="126" t="str">
        <f>_xlfn.XLOOKUP($E7,Tab_Def_Processes[Name(EN)],Tab_Def_Processes[Output_Flow_O_3],,0,)</f>
        <v>Environment-from MBC (EoL)-Pyrolysis</v>
      </c>
      <c r="AJ7" s="126" t="str">
        <f>_xlfn.XLOOKUP($E7,Tab_Def_Processes[Name(EN)],Tab_Def_Processes[Flow_ID_O_3],,0,)</f>
        <v>F_09_22</v>
      </c>
      <c r="AK7" s="120">
        <v>0.83819305</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516</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Environment-from MBC (EoL)-Incineration</v>
      </c>
      <c r="AD8" s="49" t="str">
        <f>_xlfn.XLOOKUP($E8,Tab_Def_Processes[Name(EN)],Tab_Def_Processes[Flow_ID_O_1],,0,)</f>
        <v>F_10_22</v>
      </c>
      <c r="AE8" s="120">
        <v>0.8480979999999998</v>
      </c>
      <c r="AF8" s="126" t="str">
        <f>_xlfn.XLOOKUP($E8,Tab_Def_Processes[Name(EN)],Tab_Def_Processes[Output_Flow_O_2],,0,)</f>
        <v>C-from MBC (EoL)-Incineration</v>
      </c>
      <c r="AG8" s="126" t="str">
        <f>_xlfn.XLOOKUP($E8,Tab_Def_Processes[Name(EN)],Tab_Def_Processes[Flow_ID_O_2],,0,)</f>
        <v>F_10_19</v>
      </c>
      <c r="AH8" s="120">
        <v>0.15190199999999998</v>
      </c>
      <c r="AI8" s="126" t="str">
        <f>_xlfn.XLOOKUP($E8,Tab_Def_Processes[Name(EN)],Tab_Def_Processes[Output_Flow_O_3],,0,)</f>
        <v>N.A.</v>
      </c>
      <c r="AJ8" s="126" t="e">
        <f>_xlfn.XLOOKUP($E8,Tab_Def_Processes[Name(EN)],Tab_Def_Processes[Flow_ID_O_3],,0,)</f>
        <v>#N/A</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1.6084999999999998</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520</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CO2-to Rye_Cultivation</v>
      </c>
      <c r="Q9" s="49" t="str">
        <f>_xlfn.XLOOKUP($E9,Tab_Def_Processes[Name(EN)],Tab_Def_Processes[Flow_ID_I_2],,0,)</f>
        <v>F_19_13</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523</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No</v>
      </c>
      <c r="M10" s="60" t="str">
        <f>_xlfn.XLOOKUP($E10,Tab_Def_Processes[Name(EN)],Tab_Def_Processes[Input_Flow_I_1],,0,)</f>
        <v>Rye-Straw (non-technical usable)</v>
      </c>
      <c r="N10" s="49" t="e">
        <f>_xlfn.XLOOKUP($E10,Tab_Def_Processes[Name(EN)],Tab_Def_Processes[Flow_ID_I_1],,0,)</f>
        <v>#N/A</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522</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No</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511</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No</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0.38000000000000006</v>
      </c>
      <c r="AF12" s="126" t="str">
        <f>_xlfn.XLOOKUP($E12,Tab_Def_Processes[Name(EN)],Tab_Def_Processes[Output_Flow_O_2],,0,)</f>
        <v>Environment-from Biogas-Incineration</v>
      </c>
      <c r="AG12" s="126" t="str">
        <f>_xlfn.XLOOKUP($E12,Tab_Def_Processes[Name(EN)],Tab_Def_Processes[Flow_ID_O_2],,0,)</f>
        <v>F_05_22</v>
      </c>
      <c r="AH12" s="120">
        <v>0.62</v>
      </c>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517</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519</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No</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512</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No</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528</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No</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str">
        <f t="shared" si="1"/>
        <v>TC16_23_Rye__0</v>
      </c>
      <c r="D17" s="118" t="str">
        <f>_xlfn.XLOOKUP($E17,Tab_Def_Processes[Name(EN)],Tab_Def_Processes[ID],,0,)</f>
        <v>23</v>
      </c>
      <c r="E17" s="51" t="s">
        <v>571</v>
      </c>
      <c r="F17" s="49"/>
      <c r="G17" s="49">
        <f>_xlfn.XLOOKUP(E17,Tab_Def_Processes[Name(EN)],Tab_Def_Processes[Carbon_Stock],,0,)</f>
        <v>0</v>
      </c>
      <c r="H17" s="49">
        <f>_xlfn.XLOOKUP(E17,Tab_Def_Processes[Name(EN)],Tab_Def_Processes[Life_Phase],,0,)</f>
        <v>0</v>
      </c>
      <c r="I17" s="49">
        <f>_xlfn.XLOOKUP(E17,Tab_Def_Processes[Name(EN)],Tab_Def_Processes[Description],,0,)</f>
        <v>0</v>
      </c>
      <c r="J17" s="49" t="str">
        <f>_xlfn.XLOOKUP($E17,Tab_Def_Processes[Name(EN)],Tab_Def_Processes[Process_Type],,0,)</f>
        <v>Export</v>
      </c>
      <c r="K17" s="49" t="str">
        <f>_xlfn.XLOOKUP($E17,Tab_Def_Processes[Name(EN)],Tab_Def_Processes[TC?],,0,)</f>
        <v>Yes</v>
      </c>
      <c r="L17" s="49" t="str">
        <f>_xlfn.XLOOKUP($E17,Tab_Def_Processes[Name(EN)],Tab_Def_Processes[Stock?],,0,)</f>
        <v>Yes</v>
      </c>
      <c r="M17" s="60" t="str">
        <f>_xlfn.XLOOKUP($E17,Tab_Def_Processes[Name(EN)],Tab_Def_Processes[Input_Flow_I_1],,0,)</f>
        <v>N.A.</v>
      </c>
      <c r="N17" s="49" t="e">
        <f>_xlfn.XLOOKUP($E17,Tab_Def_Processes[Name(EN)],Tab_Def_Processes[Flow_ID_I_1],,0,)</f>
        <v>#N/A</v>
      </c>
      <c r="O17" s="81"/>
      <c r="P17" s="76" t="str">
        <f>_xlfn.XLOOKUP($E17,Tab_Def_Processes[Name(EN)],Tab_Def_Processes[Input_Flow_I_2],,0,)</f>
        <v>N.A.</v>
      </c>
      <c r="Q17" s="49" t="e">
        <f>_xlfn.XLOOKUP($E17,Tab_Def_Processes[Name(EN)],Tab_Def_Processes[Flow_ID_I_2],,0,)</f>
        <v>#N/A</v>
      </c>
      <c r="R17" s="81"/>
      <c r="S17" s="76" t="str">
        <f>_xlfn.XLOOKUP($E17,Tab_Def_Processes[Name(EN)],Tab_Def_Processes[Input_Flow_I_3],,0,)</f>
        <v>N.A.</v>
      </c>
      <c r="T17" s="49" t="e">
        <f>_xlfn.XLOOKUP($E17,Tab_Def_Processes[Name(EN)],Tab_Def_Processes[Flow_ID_I_3],,0,)</f>
        <v>#N/A</v>
      </c>
      <c r="U17" s="81"/>
      <c r="V17" s="76" t="str">
        <f>_xlfn.XLOOKUP($E17,Tab_Def_Processes[Name(EN)],Tab_Def_Processes[Input_Flow_I_4],,0,)</f>
        <v>N.A.</v>
      </c>
      <c r="W17" s="49" t="e">
        <f>_xlfn.XLOOKUP($E17,Tab_Def_Processes[Name(EN)],Tab_Def_Processes[Flow_ID_I_4],,0,)</f>
        <v>#N/A</v>
      </c>
      <c r="X17" s="81"/>
      <c r="Y17" s="76" t="str">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str">
        <f>_xlfn.XLOOKUP($E17,Tab_Def_Processes[Name(EN)],Tab_Def_Processes[Output_Flow_O_1],,0,)</f>
        <v>CO2-Rye - Straw - Technical potential used</v>
      </c>
      <c r="AD17" s="49" t="str">
        <f>_xlfn.XLOOKUP($E17,Tab_Def_Processes[Name(EN)],Tab_Def_Processes[Flow_ID_O_1],,0,)</f>
        <v>F_23_19</v>
      </c>
      <c r="AE17" s="120">
        <v>0.41279999999999989</v>
      </c>
      <c r="AF17" s="126" t="str">
        <f>_xlfn.XLOOKUP($E17,Tab_Def_Processes[Name(EN)],Tab_Def_Processes[Output_Flow_O_2],,0,)</f>
        <v>Environment - from Rye - Straw - Technical potential used</v>
      </c>
      <c r="AG17" s="126" t="str">
        <f>_xlfn.XLOOKUP($E17,Tab_Def_Processes[Name(EN)],Tab_Def_Processes[Flow_ID_O_2],,0,)</f>
        <v>F_23_22</v>
      </c>
      <c r="AH17" s="120">
        <v>0.58720000000000017</v>
      </c>
      <c r="AI17" s="126" t="str">
        <f>_xlfn.XLOOKUP($E17,Tab_Def_Processes[Name(EN)],Tab_Def_Processes[Output_Flow_O_3],,0,)</f>
        <v>N.A.</v>
      </c>
      <c r="AJ17" s="126" t="e">
        <f>_xlfn.XLOOKUP($E17,Tab_Def_Processes[Name(EN)],Tab_Def_Processes[Flow_ID_O_3],,0,)</f>
        <v>#N/A</v>
      </c>
      <c r="AK17" s="120"/>
      <c r="AL17" s="126" t="str">
        <f>_xlfn.XLOOKUP($E17,Tab_Def_Processes[Name(EN)],Tab_Def_Processes[Output_Flow_O_4],,0,)</f>
        <v>N.A.</v>
      </c>
      <c r="AM17" s="126" t="e">
        <f>_xlfn.XLOOKUP($E17,Tab_Def_Processes[Name(EN)],Tab_Def_Processes[Flow_ID_O_4],,0,)</f>
        <v>#N/A</v>
      </c>
      <c r="AN17" s="120"/>
      <c r="AO17" s="126" t="str">
        <f>_xlfn.XLOOKUP($E17,Tab_Def_Processes[Name(EN)],Tab_Def_Processes[Output_Flow_O_5],,0,)</f>
        <v>N.A.</v>
      </c>
      <c r="AP17" s="126" t="e">
        <f>_xlfn.XLOOKUP($E17,Tab_Def_Processes[Name(EN)],Tab_Def_Processes[Flow_ID_O_5],,0,)</f>
        <v>#N/A</v>
      </c>
      <c r="AQ17" s="120"/>
      <c r="AR17" s="126" t="str">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1</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TC51_24___0</v>
      </c>
      <c r="D52" s="118" t="str">
        <f>_xlfn.XLOOKUP($E52,Tab_Def_Processes[Name(EN)],Tab_Def_Processes[ID],,0,)</f>
        <v>24</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TC52_24___0</v>
      </c>
      <c r="D53" s="118" t="str">
        <f>_xlfn.XLOOKUP($E53,Tab_Def_Processes[Name(EN)],Tab_Def_Processes[ID],,0,)</f>
        <v>24</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TC53_24___0</v>
      </c>
      <c r="D54" s="118" t="str">
        <f>_xlfn.XLOOKUP($E54,Tab_Def_Processes[Name(EN)],Tab_Def_Processes[ID],,0,)</f>
        <v>24</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TC54_24___0</v>
      </c>
      <c r="D55" s="118" t="str">
        <f>_xlfn.XLOOKUP($E55,Tab_Def_Processes[Name(EN)],Tab_Def_Processes[ID],,0,)</f>
        <v>24</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TC55_24___0</v>
      </c>
      <c r="D56" s="118" t="str">
        <f>_xlfn.XLOOKUP($E56,Tab_Def_Processes[Name(EN)],Tab_Def_Processes[ID],,0,)</f>
        <v>24</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TC56_24___0</v>
      </c>
      <c r="D57" s="118" t="str">
        <f>_xlfn.XLOOKUP($E57,Tab_Def_Processes[Name(EN)],Tab_Def_Processes[ID],,0,)</f>
        <v>24</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TC57_24___0</v>
      </c>
      <c r="D58" s="118" t="str">
        <f>_xlfn.XLOOKUP($E58,Tab_Def_Processes[Name(EN)],Tab_Def_Processes[ID],,0,)</f>
        <v>24</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TC58_24___0</v>
      </c>
      <c r="D59" s="118" t="str">
        <f>_xlfn.XLOOKUP($E59,Tab_Def_Processes[Name(EN)],Tab_Def_Processes[ID],,0,)</f>
        <v>24</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TC59_24___0</v>
      </c>
      <c r="D60" s="118" t="str">
        <f>_xlfn.XLOOKUP($E60,Tab_Def_Processes[Name(EN)],Tab_Def_Processes[ID],,0,)</f>
        <v>24</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TC60_24___0</v>
      </c>
      <c r="D61" s="118" t="str">
        <f>_xlfn.XLOOKUP($E61,Tab_Def_Processes[Name(EN)],Tab_Def_Processes[ID],,0,)</f>
        <v>24</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TC61_24___0</v>
      </c>
      <c r="D62" s="118" t="str">
        <f>_xlfn.XLOOKUP($E62,Tab_Def_Processes[Name(EN)],Tab_Def_Processes[ID],,0,)</f>
        <v>24</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TC62_24___0</v>
      </c>
      <c r="D63" s="118" t="str">
        <f>_xlfn.XLOOKUP($E63,Tab_Def_Processes[Name(EN)],Tab_Def_Processes[ID],,0,)</f>
        <v>24</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509</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51__24__</v>
      </c>
      <c r="D52" s="49" t="str">
        <f>_xlfn.XLOOKUP($E52,Tab_Def_Processes[Name(EN)],Tab_Def_Processes[Process_ID],,0,)</f>
        <v>24__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52__24__</v>
      </c>
      <c r="D53" s="49" t="str">
        <f>_xlfn.XLOOKUP($E53,Tab_Def_Processes[Name(EN)],Tab_Def_Processes[Process_ID],,0,)</f>
        <v>24__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53__24__</v>
      </c>
      <c r="D54" s="49" t="str">
        <f>_xlfn.XLOOKUP($E54,Tab_Def_Processes[Name(EN)],Tab_Def_Processes[Process_ID],,0,)</f>
        <v>24__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54__24__</v>
      </c>
      <c r="D55" s="49" t="str">
        <f>_xlfn.XLOOKUP($E55,Tab_Def_Processes[Name(EN)],Tab_Def_Processes[Process_ID],,0,)</f>
        <v>24__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55__24__</v>
      </c>
      <c r="D56" s="49" t="str">
        <f>_xlfn.XLOOKUP($E56,Tab_Def_Processes[Name(EN)],Tab_Def_Processes[Process_ID],,0,)</f>
        <v>24__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56__24__</v>
      </c>
      <c r="D57" s="49" t="str">
        <f>_xlfn.XLOOKUP($E57,Tab_Def_Processes[Name(EN)],Tab_Def_Processes[Process_ID],,0,)</f>
        <v>24__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57__24__</v>
      </c>
      <c r="D58" s="49" t="str">
        <f>_xlfn.XLOOKUP($E58,Tab_Def_Processes[Name(EN)],Tab_Def_Processes[Process_ID],,0,)</f>
        <v>24__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58__24__</v>
      </c>
      <c r="D59" s="49" t="str">
        <f>_xlfn.XLOOKUP($E59,Tab_Def_Processes[Name(EN)],Tab_Def_Processes[Process_ID],,0,)</f>
        <v>24__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59__24__</v>
      </c>
      <c r="D60" s="49" t="str">
        <f>_xlfn.XLOOKUP($E60,Tab_Def_Processes[Name(EN)],Tab_Def_Processes[Process_ID],,0,)</f>
        <v>24__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60__24__</v>
      </c>
      <c r="D61" s="49" t="str">
        <f>_xlfn.XLOOKUP($E61,Tab_Def_Processes[Name(EN)],Tab_Def_Processes[Process_ID],,0,)</f>
        <v>24__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61__24__</v>
      </c>
      <c r="D62" s="49" t="str">
        <f>_xlfn.XLOOKUP($E62,Tab_Def_Processes[Name(EN)],Tab_Def_Processes[Process_ID],,0,)</f>
        <v>24__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62__24__</v>
      </c>
      <c r="D63" s="49" t="str">
        <f>_xlfn.XLOOKUP($E63,Tab_Def_Processes[Name(EN)],Tab_Def_Processes[Process_ID],,0,)</f>
        <v>24__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5" t="s">
        <v>224</v>
      </c>
      <c r="C2" s="145"/>
      <c r="D2" s="145"/>
      <c r="F2" s="145" t="s">
        <v>292</v>
      </c>
      <c r="G2" s="145"/>
      <c r="H2" s="145"/>
      <c r="J2" s="146" t="s">
        <v>291</v>
      </c>
      <c r="K2" s="146"/>
      <c r="L2" s="146"/>
      <c r="Q2" s="146" t="s">
        <v>291</v>
      </c>
      <c r="R2" s="146"/>
      <c r="S2" s="146"/>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5" t="s">
        <v>382</v>
      </c>
      <c r="C14" s="145"/>
      <c r="D14" s="145"/>
      <c r="F14" s="145" t="s">
        <v>399</v>
      </c>
      <c r="G14" s="145"/>
      <c r="H14" s="145"/>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D51_24____0</v>
      </c>
      <c r="D52" s="49" t="str">
        <f>_xlfn.XLOOKUP($F52,Tab_Def_Processes[Name(EN)],Tab_Def_Processes[Process_ID],,0,)</f>
        <v>24__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D52_24____0</v>
      </c>
      <c r="D53" s="49" t="str">
        <f>_xlfn.XLOOKUP($F53,Tab_Def_Processes[Name(EN)],Tab_Def_Processes[Process_ID],,0,)</f>
        <v>24__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D53_24____0</v>
      </c>
      <c r="D54" s="49" t="str">
        <f>_xlfn.XLOOKUP($F54,Tab_Def_Processes[Name(EN)],Tab_Def_Processes[Process_ID],,0,)</f>
        <v>24__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D54_24____0</v>
      </c>
      <c r="D55" s="49" t="str">
        <f>_xlfn.XLOOKUP($F55,Tab_Def_Processes[Name(EN)],Tab_Def_Processes[Process_ID],,0,)</f>
        <v>24__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D55_24____0</v>
      </c>
      <c r="D56" s="49" t="str">
        <f>_xlfn.XLOOKUP($F56,Tab_Def_Processes[Name(EN)],Tab_Def_Processes[Process_ID],,0,)</f>
        <v>24__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D56_24____0</v>
      </c>
      <c r="D57" s="49" t="str">
        <f>_xlfn.XLOOKUP($F57,Tab_Def_Processes[Name(EN)],Tab_Def_Processes[Process_ID],,0,)</f>
        <v>24__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D57_24____0</v>
      </c>
      <c r="D58" s="49" t="str">
        <f>_xlfn.XLOOKUP($F58,Tab_Def_Processes[Name(EN)],Tab_Def_Processes[Process_ID],,0,)</f>
        <v>24__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D58_24____0</v>
      </c>
      <c r="D59" s="49" t="str">
        <f>_xlfn.XLOOKUP($F59,Tab_Def_Processes[Name(EN)],Tab_Def_Processes[Process_ID],,0,)</f>
        <v>24__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D59_24____0</v>
      </c>
      <c r="D60" s="49" t="str">
        <f>_xlfn.XLOOKUP($F60,Tab_Def_Processes[Name(EN)],Tab_Def_Processes[Process_ID],,0,)</f>
        <v>24__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D60_24____0</v>
      </c>
      <c r="D61" s="49" t="str">
        <f>_xlfn.XLOOKUP($F61,Tab_Def_Processes[Name(EN)],Tab_Def_Processes[Process_ID],,0,)</f>
        <v>24__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D61_24____0</v>
      </c>
      <c r="D62" s="49" t="str">
        <f>_xlfn.XLOOKUP($F62,Tab_Def_Processes[Name(EN)],Tab_Def_Processes[Process_ID],,0,)</f>
        <v>24__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D62_24____0</v>
      </c>
      <c r="D63" s="49" t="str">
        <f>_xlfn.XLOOKUP($F63,Tab_Def_Processes[Name(EN)],Tab_Def_Processes[Process_ID],,0,)</f>
        <v>24__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5" t="s">
        <v>2</v>
      </c>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F_24_24</v>
      </c>
      <c r="D22" s="51"/>
      <c r="E22" s="49">
        <f>_xlfn.XLOOKUP(D22,Tab_Def_Flows[Name(EN)],Tab_Def_Flows[Type_Biomass],,0,)</f>
        <v>0</v>
      </c>
      <c r="F22" s="49">
        <f>_xlfn.XLOOKUP(D22,Tab_Def_Flows[Name(EN)],Tab_Def_Flows[Output_Process],,0,)</f>
        <v>0</v>
      </c>
      <c r="G22" s="49" t="str">
        <f>_xlfn.XLOOKUP(D22,Tab_Def_Flows[Name(EN)],Tab_Def_Flows[Process_ID_O],,0,)</f>
        <v>24__</v>
      </c>
      <c r="H22" s="49">
        <f>_xlfn.XLOOKUP(D22,Tab_Def_Flows[Name(EN)],Tab_Def_Flows[Input_Process],,0,)</f>
        <v>0</v>
      </c>
      <c r="I22" s="61" t="str">
        <f>_xlfn.XLOOKUP(D22,Tab_Def_Flows[Name(EN)],Tab_Def_Flows[Process_ID_I],,0,)</f>
        <v>24__</v>
      </c>
      <c r="J22" s="61">
        <f>_xlfn.XLOOKUP(D22,Tab_Def_Flows[Name(EN)],Tab_Def_Flows[Value_Source],,0,)</f>
        <v>0</v>
      </c>
      <c r="K22" s="61" t="str">
        <f>_xlfn.XLOOKUP(D22,Tab_Def_Flows[Name(EN)],Tab_Def_Flows[WC?],,0,)</f>
        <v>Yes</v>
      </c>
      <c r="L22" s="61" t="str">
        <f>_xlfn.XLOOKUP(D22,Tab_Def_Flows[Name(EN)],Tab_Def_Flows[DM?],,0,)</f>
        <v>Yes</v>
      </c>
      <c r="M22" s="61" t="str">
        <f>_xlfn.XLOOKUP(D22,Tab_Def_Flows[Name(EN)],Tab_Def_Flows[CC?],,0,)</f>
        <v>Yes</v>
      </c>
      <c r="N22" s="103"/>
      <c r="O22" s="96"/>
      <c r="P22" s="100"/>
      <c r="Q22" s="96"/>
      <c r="R22" s="103"/>
      <c r="S22" s="96"/>
    </row>
    <row r="23" spans="1:23" x14ac:dyDescent="0.25">
      <c r="A23" s="90" t="b">
        <v>0</v>
      </c>
      <c r="B23" s="49">
        <f t="shared" si="0"/>
        <v>22</v>
      </c>
      <c r="C23" s="49" t="str">
        <f>_xlfn.XLOOKUP(D23,Tab_Def_Flows[Name(EN)],Tab_Def_Flows[Flow_ID],,0,)</f>
        <v>F_24_24</v>
      </c>
      <c r="D23" s="51"/>
      <c r="E23" s="49">
        <f>_xlfn.XLOOKUP(D23,Tab_Def_Flows[Name(EN)],Tab_Def_Flows[Type_Biomass],,0,)</f>
        <v>0</v>
      </c>
      <c r="F23" s="49">
        <f>_xlfn.XLOOKUP(D23,Tab_Def_Flows[Name(EN)],Tab_Def_Flows[Output_Process],,0,)</f>
        <v>0</v>
      </c>
      <c r="G23" s="49" t="str">
        <f>_xlfn.XLOOKUP(D23,Tab_Def_Flows[Name(EN)],Tab_Def_Flows[Process_ID_O],,0,)</f>
        <v>24__</v>
      </c>
      <c r="H23" s="49">
        <f>_xlfn.XLOOKUP(D23,Tab_Def_Flows[Name(EN)],Tab_Def_Flows[Input_Process],,0,)</f>
        <v>0</v>
      </c>
      <c r="I23" s="61" t="str">
        <f>_xlfn.XLOOKUP(D23,Tab_Def_Flows[Name(EN)],Tab_Def_Flows[Process_ID_I],,0,)</f>
        <v>24__</v>
      </c>
      <c r="J23" s="61">
        <f>_xlfn.XLOOKUP(D23,Tab_Def_Flows[Name(EN)],Tab_Def_Flows[Value_Source],,0,)</f>
        <v>0</v>
      </c>
      <c r="K23" s="61" t="str">
        <f>_xlfn.XLOOKUP(D23,Tab_Def_Flows[Name(EN)],Tab_Def_Flows[WC?],,0,)</f>
        <v>Yes</v>
      </c>
      <c r="L23" s="61" t="str">
        <f>_xlfn.XLOOKUP(D23,Tab_Def_Flows[Name(EN)],Tab_Def_Flows[DM?],,0,)</f>
        <v>Yes</v>
      </c>
      <c r="M23" s="61" t="str">
        <f>_xlfn.XLOOKUP(D23,Tab_Def_Flows[Name(EN)],Tab_Def_Flows[CC?],,0,)</f>
        <v>Yes</v>
      </c>
      <c r="N23" s="103"/>
      <c r="O23" s="96"/>
      <c r="P23" s="100"/>
      <c r="Q23" s="96"/>
      <c r="R23" s="103"/>
      <c r="S23" s="96"/>
    </row>
    <row r="24" spans="1:23" x14ac:dyDescent="0.25">
      <c r="A24" s="90" t="b">
        <v>0</v>
      </c>
      <c r="B24" s="49">
        <f t="shared" si="0"/>
        <v>23</v>
      </c>
      <c r="C24" s="49" t="str">
        <f>_xlfn.XLOOKUP(D24,Tab_Def_Flows[Name(EN)],Tab_Def_Flows[Flow_ID],,0,)</f>
        <v>F_24_24</v>
      </c>
      <c r="D24" s="51"/>
      <c r="E24" s="49">
        <f>_xlfn.XLOOKUP(D24,Tab_Def_Flows[Name(EN)],Tab_Def_Flows[Type_Biomass],,0,)</f>
        <v>0</v>
      </c>
      <c r="F24" s="49">
        <f>_xlfn.XLOOKUP(D24,Tab_Def_Flows[Name(EN)],Tab_Def_Flows[Output_Process],,0,)</f>
        <v>0</v>
      </c>
      <c r="G24" s="49" t="str">
        <f>_xlfn.XLOOKUP(D24,Tab_Def_Flows[Name(EN)],Tab_Def_Flows[Process_ID_O],,0,)</f>
        <v>24__</v>
      </c>
      <c r="H24" s="49">
        <f>_xlfn.XLOOKUP(D24,Tab_Def_Flows[Name(EN)],Tab_Def_Flows[Input_Process],,0,)</f>
        <v>0</v>
      </c>
      <c r="I24" s="61" t="str">
        <f>_xlfn.XLOOKUP(D24,Tab_Def_Flows[Name(EN)],Tab_Def_Flows[Process_ID_I],,0,)</f>
        <v>24__</v>
      </c>
      <c r="J24" s="61">
        <f>_xlfn.XLOOKUP(D24,Tab_Def_Flows[Name(EN)],Tab_Def_Flows[Value_Source],,0,)</f>
        <v>0</v>
      </c>
      <c r="K24" s="61" t="str">
        <f>_xlfn.XLOOKUP(D24,Tab_Def_Flows[Name(EN)],Tab_Def_Flows[WC?],,0,)</f>
        <v>Yes</v>
      </c>
      <c r="L24" s="61" t="str">
        <f>_xlfn.XLOOKUP(D24,Tab_Def_Flows[Name(EN)],Tab_Def_Flows[DM?],,0,)</f>
        <v>Yes</v>
      </c>
      <c r="M24" s="61" t="str">
        <f>_xlfn.XLOOKUP(D24,Tab_Def_Flows[Name(EN)],Tab_Def_Flows[CC?],,0,)</f>
        <v>Yes</v>
      </c>
      <c r="N24" s="103"/>
      <c r="O24" s="96"/>
      <c r="P24" s="100"/>
      <c r="Q24" s="96"/>
      <c r="R24" s="103"/>
      <c r="S24" s="96"/>
    </row>
    <row r="25" spans="1:23" x14ac:dyDescent="0.25">
      <c r="A25" s="90" t="b">
        <v>0</v>
      </c>
      <c r="B25" s="49">
        <f t="shared" si="0"/>
        <v>24</v>
      </c>
      <c r="C25" s="49" t="str">
        <f>_xlfn.XLOOKUP(D25,Tab_Def_Flows[Name(EN)],Tab_Def_Flows[Flow_ID],,0,)</f>
        <v>F_24_24</v>
      </c>
      <c r="D25" s="51"/>
      <c r="E25" s="49">
        <f>_xlfn.XLOOKUP(D25,Tab_Def_Flows[Name(EN)],Tab_Def_Flows[Type_Biomass],,0,)</f>
        <v>0</v>
      </c>
      <c r="F25" s="49">
        <f>_xlfn.XLOOKUP(D25,Tab_Def_Flows[Name(EN)],Tab_Def_Flows[Output_Process],,0,)</f>
        <v>0</v>
      </c>
      <c r="G25" s="49" t="str">
        <f>_xlfn.XLOOKUP(D25,Tab_Def_Flows[Name(EN)],Tab_Def_Flows[Process_ID_O],,0,)</f>
        <v>24__</v>
      </c>
      <c r="H25" s="49">
        <f>_xlfn.XLOOKUP(D25,Tab_Def_Flows[Name(EN)],Tab_Def_Flows[Input_Process],,0,)</f>
        <v>0</v>
      </c>
      <c r="I25" s="61" t="str">
        <f>_xlfn.XLOOKUP(D25,Tab_Def_Flows[Name(EN)],Tab_Def_Flows[Process_ID_I],,0,)</f>
        <v>24__</v>
      </c>
      <c r="J25" s="61">
        <f>_xlfn.XLOOKUP(D25,Tab_Def_Flows[Name(EN)],Tab_Def_Flows[Value_Source],,0,)</f>
        <v>0</v>
      </c>
      <c r="K25" s="61" t="str">
        <f>_xlfn.XLOOKUP(D25,Tab_Def_Flows[Name(EN)],Tab_Def_Flows[WC?],,0,)</f>
        <v>Yes</v>
      </c>
      <c r="L25" s="61" t="str">
        <f>_xlfn.XLOOKUP(D25,Tab_Def_Flows[Name(EN)],Tab_Def_Flows[DM?],,0,)</f>
        <v>Yes</v>
      </c>
      <c r="M25" s="61" t="str">
        <f>_xlfn.XLOOKUP(D25,Tab_Def_Flows[Name(EN)],Tab_Def_Flows[CC?],,0,)</f>
        <v>Yes</v>
      </c>
      <c r="N25" s="103"/>
      <c r="O25" s="96"/>
      <c r="P25" s="100"/>
      <c r="Q25" s="96"/>
      <c r="R25" s="103"/>
      <c r="S25" s="96"/>
    </row>
    <row r="26" spans="1:23" x14ac:dyDescent="0.25">
      <c r="A26" s="90" t="b">
        <v>0</v>
      </c>
      <c r="B26" s="49">
        <f t="shared" si="0"/>
        <v>25</v>
      </c>
      <c r="C26" s="49" t="str">
        <f>_xlfn.XLOOKUP(D26,Tab_Def_Flows[Name(EN)],Tab_Def_Flows[Flow_ID],,0,)</f>
        <v>F_24_24</v>
      </c>
      <c r="D26" s="51"/>
      <c r="E26" s="49">
        <f>_xlfn.XLOOKUP(D26,Tab_Def_Flows[Name(EN)],Tab_Def_Flows[Type_Biomass],,0,)</f>
        <v>0</v>
      </c>
      <c r="F26" s="49">
        <f>_xlfn.XLOOKUP(D26,Tab_Def_Flows[Name(EN)],Tab_Def_Flows[Output_Process],,0,)</f>
        <v>0</v>
      </c>
      <c r="G26" s="49" t="str">
        <f>_xlfn.XLOOKUP(D26,Tab_Def_Flows[Name(EN)],Tab_Def_Flows[Process_ID_O],,0,)</f>
        <v>24__</v>
      </c>
      <c r="H26" s="49">
        <f>_xlfn.XLOOKUP(D26,Tab_Def_Flows[Name(EN)],Tab_Def_Flows[Input_Process],,0,)</f>
        <v>0</v>
      </c>
      <c r="I26" s="61" t="str">
        <f>_xlfn.XLOOKUP(D26,Tab_Def_Flows[Name(EN)],Tab_Def_Flows[Process_ID_I],,0,)</f>
        <v>24__</v>
      </c>
      <c r="J26" s="61">
        <f>_xlfn.XLOOKUP(D26,Tab_Def_Flows[Name(EN)],Tab_Def_Flows[Value_Source],,0,)</f>
        <v>0</v>
      </c>
      <c r="K26" s="61" t="str">
        <f>_xlfn.XLOOKUP(D26,Tab_Def_Flows[Name(EN)],Tab_Def_Flows[WC?],,0,)</f>
        <v>Yes</v>
      </c>
      <c r="L26" s="61" t="str">
        <f>_xlfn.XLOOKUP(D26,Tab_Def_Flows[Name(EN)],Tab_Def_Flows[DM?],,0,)</f>
        <v>Yes</v>
      </c>
      <c r="M26" s="61" t="str">
        <f>_xlfn.XLOOKUP(D26,Tab_Def_Flows[Name(EN)],Tab_Def_Flows[CC?],,0,)</f>
        <v>Yes</v>
      </c>
      <c r="N26" s="103"/>
      <c r="O26" s="96"/>
      <c r="P26" s="100"/>
      <c r="Q26" s="96"/>
      <c r="R26" s="103"/>
      <c r="S26" s="96"/>
    </row>
    <row r="27" spans="1:23" x14ac:dyDescent="0.25">
      <c r="A27" s="90" t="b">
        <v>0</v>
      </c>
      <c r="B27" s="49">
        <f t="shared" si="0"/>
        <v>26</v>
      </c>
      <c r="C27" s="49" t="str">
        <f>_xlfn.XLOOKUP(D27,Tab_Def_Flows[Name(EN)],Tab_Def_Flows[Flow_ID],,0,)</f>
        <v>F_24_24</v>
      </c>
      <c r="D27" s="51"/>
      <c r="E27" s="49">
        <f>_xlfn.XLOOKUP(D27,Tab_Def_Flows[Name(EN)],Tab_Def_Flows[Type_Biomass],,0,)</f>
        <v>0</v>
      </c>
      <c r="F27" s="49">
        <f>_xlfn.XLOOKUP(D27,Tab_Def_Flows[Name(EN)],Tab_Def_Flows[Output_Process],,0,)</f>
        <v>0</v>
      </c>
      <c r="G27" s="49" t="str">
        <f>_xlfn.XLOOKUP(D27,Tab_Def_Flows[Name(EN)],Tab_Def_Flows[Process_ID_O],,0,)</f>
        <v>24__</v>
      </c>
      <c r="H27" s="49">
        <f>_xlfn.XLOOKUP(D27,Tab_Def_Flows[Name(EN)],Tab_Def_Flows[Input_Process],,0,)</f>
        <v>0</v>
      </c>
      <c r="I27" s="61" t="str">
        <f>_xlfn.XLOOKUP(D27,Tab_Def_Flows[Name(EN)],Tab_Def_Flows[Process_ID_I],,0,)</f>
        <v>24__</v>
      </c>
      <c r="J27" s="61">
        <f>_xlfn.XLOOKUP(D27,Tab_Def_Flows[Name(EN)],Tab_Def_Flows[Value_Source],,0,)</f>
        <v>0</v>
      </c>
      <c r="K27" s="61" t="str">
        <f>_xlfn.XLOOKUP(D27,Tab_Def_Flows[Name(EN)],Tab_Def_Flows[WC?],,0,)</f>
        <v>Yes</v>
      </c>
      <c r="L27" s="61" t="str">
        <f>_xlfn.XLOOKUP(D27,Tab_Def_Flows[Name(EN)],Tab_Def_Flows[DM?],,0,)</f>
        <v>Yes</v>
      </c>
      <c r="M27" s="61" t="str">
        <f>_xlfn.XLOOKUP(D27,Tab_Def_Flows[Name(EN)],Tab_Def_Flows[CC?],,0,)</f>
        <v>Yes</v>
      </c>
      <c r="N27" s="103"/>
      <c r="O27" s="96"/>
      <c r="P27" s="100"/>
      <c r="Q27" s="96"/>
      <c r="R27" s="103"/>
      <c r="S27" s="96"/>
    </row>
    <row r="28" spans="1:23" x14ac:dyDescent="0.25">
      <c r="A28" s="90" t="b">
        <v>0</v>
      </c>
      <c r="B28" s="49">
        <f t="shared" si="0"/>
        <v>27</v>
      </c>
      <c r="C28" s="49" t="str">
        <f>_xlfn.XLOOKUP(D28,Tab_Def_Flows[Name(EN)],Tab_Def_Flows[Flow_ID],,0,)</f>
        <v>F_24_24</v>
      </c>
      <c r="D28" s="51"/>
      <c r="E28" s="49">
        <f>_xlfn.XLOOKUP(D28,Tab_Def_Flows[Name(EN)],Tab_Def_Flows[Type_Biomass],,0,)</f>
        <v>0</v>
      </c>
      <c r="F28" s="49">
        <f>_xlfn.XLOOKUP(D28,Tab_Def_Flows[Name(EN)],Tab_Def_Flows[Output_Process],,0,)</f>
        <v>0</v>
      </c>
      <c r="G28" s="49" t="str">
        <f>_xlfn.XLOOKUP(D28,Tab_Def_Flows[Name(EN)],Tab_Def_Flows[Process_ID_O],,0,)</f>
        <v>24__</v>
      </c>
      <c r="H28" s="49">
        <f>_xlfn.XLOOKUP(D28,Tab_Def_Flows[Name(EN)],Tab_Def_Flows[Input_Process],,0,)</f>
        <v>0</v>
      </c>
      <c r="I28" s="61" t="str">
        <f>_xlfn.XLOOKUP(D28,Tab_Def_Flows[Name(EN)],Tab_Def_Flows[Process_ID_I],,0,)</f>
        <v>24__</v>
      </c>
      <c r="J28" s="61">
        <f>_xlfn.XLOOKUP(D28,Tab_Def_Flows[Name(EN)],Tab_Def_Flows[Value_Source],,0,)</f>
        <v>0</v>
      </c>
      <c r="K28" s="61" t="str">
        <f>_xlfn.XLOOKUP(D28,Tab_Def_Flows[Name(EN)],Tab_Def_Flows[WC?],,0,)</f>
        <v>Yes</v>
      </c>
      <c r="L28" s="61" t="str">
        <f>_xlfn.XLOOKUP(D28,Tab_Def_Flows[Name(EN)],Tab_Def_Flows[DM?],,0,)</f>
        <v>Yes</v>
      </c>
      <c r="M28" s="61" t="str">
        <f>_xlfn.XLOOKUP(D28,Tab_Def_Flows[Name(EN)],Tab_Def_Flows[CC?],,0,)</f>
        <v>Yes</v>
      </c>
      <c r="N28" s="103"/>
      <c r="O28" s="96"/>
      <c r="P28" s="100"/>
      <c r="Q28" s="96"/>
      <c r="R28" s="103"/>
      <c r="S28" s="96"/>
    </row>
    <row r="29" spans="1:23" x14ac:dyDescent="0.25">
      <c r="A29" s="90" t="b">
        <v>0</v>
      </c>
      <c r="B29" s="49">
        <f t="shared" si="0"/>
        <v>28</v>
      </c>
      <c r="C29" s="49" t="str">
        <f>_xlfn.XLOOKUP(D29,Tab_Def_Flows[Name(EN)],Tab_Def_Flows[Flow_ID],,0,)</f>
        <v>F_24_24</v>
      </c>
      <c r="D29" s="51"/>
      <c r="E29" s="49">
        <f>_xlfn.XLOOKUP(D29,Tab_Def_Flows[Name(EN)],Tab_Def_Flows[Type_Biomass],,0,)</f>
        <v>0</v>
      </c>
      <c r="F29" s="49">
        <f>_xlfn.XLOOKUP(D29,Tab_Def_Flows[Name(EN)],Tab_Def_Flows[Output_Process],,0,)</f>
        <v>0</v>
      </c>
      <c r="G29" s="49" t="str">
        <f>_xlfn.XLOOKUP(D29,Tab_Def_Flows[Name(EN)],Tab_Def_Flows[Process_ID_O],,0,)</f>
        <v>24__</v>
      </c>
      <c r="H29" s="49">
        <f>_xlfn.XLOOKUP(D29,Tab_Def_Flows[Name(EN)],Tab_Def_Flows[Input_Process],,0,)</f>
        <v>0</v>
      </c>
      <c r="I29" s="61" t="str">
        <f>_xlfn.XLOOKUP(D29,Tab_Def_Flows[Name(EN)],Tab_Def_Flows[Process_ID_I],,0,)</f>
        <v>24__</v>
      </c>
      <c r="J29" s="61">
        <f>_xlfn.XLOOKUP(D29,Tab_Def_Flows[Name(EN)],Tab_Def_Flows[Value_Source],,0,)</f>
        <v>0</v>
      </c>
      <c r="K29" s="61" t="str">
        <f>_xlfn.XLOOKUP(D29,Tab_Def_Flows[Name(EN)],Tab_Def_Flows[WC?],,0,)</f>
        <v>Yes</v>
      </c>
      <c r="L29" s="61" t="str">
        <f>_xlfn.XLOOKUP(D29,Tab_Def_Flows[Name(EN)],Tab_Def_Flows[DM?],,0,)</f>
        <v>Yes</v>
      </c>
      <c r="M29" s="61" t="str">
        <f>_xlfn.XLOOKUP(D29,Tab_Def_Flows[Name(EN)],Tab_Def_Flows[CC?],,0,)</f>
        <v>Yes</v>
      </c>
      <c r="N29" s="103"/>
      <c r="O29" s="96"/>
      <c r="P29" s="100"/>
      <c r="Q29" s="96"/>
      <c r="R29" s="103"/>
      <c r="S29" s="96"/>
    </row>
    <row r="30" spans="1:23" x14ac:dyDescent="0.25">
      <c r="A30" s="90" t="b">
        <v>0</v>
      </c>
      <c r="B30" s="49">
        <f t="shared" si="0"/>
        <v>29</v>
      </c>
      <c r="C30" s="49" t="str">
        <f>_xlfn.XLOOKUP(D30,Tab_Def_Flows[Name(EN)],Tab_Def_Flows[Flow_ID],,0,)</f>
        <v>F_24_24</v>
      </c>
      <c r="D30" s="51"/>
      <c r="E30" s="49">
        <f>_xlfn.XLOOKUP(D30,Tab_Def_Flows[Name(EN)],Tab_Def_Flows[Type_Biomass],,0,)</f>
        <v>0</v>
      </c>
      <c r="F30" s="49">
        <f>_xlfn.XLOOKUP(D30,Tab_Def_Flows[Name(EN)],Tab_Def_Flows[Output_Process],,0,)</f>
        <v>0</v>
      </c>
      <c r="G30" s="49" t="str">
        <f>_xlfn.XLOOKUP(D30,Tab_Def_Flows[Name(EN)],Tab_Def_Flows[Process_ID_O],,0,)</f>
        <v>24__</v>
      </c>
      <c r="H30" s="49">
        <f>_xlfn.XLOOKUP(D30,Tab_Def_Flows[Name(EN)],Tab_Def_Flows[Input_Process],,0,)</f>
        <v>0</v>
      </c>
      <c r="I30" s="61" t="str">
        <f>_xlfn.XLOOKUP(D30,Tab_Def_Flows[Name(EN)],Tab_Def_Flows[Process_ID_I],,0,)</f>
        <v>24__</v>
      </c>
      <c r="J30" s="61">
        <f>_xlfn.XLOOKUP(D30,Tab_Def_Flows[Name(EN)],Tab_Def_Flows[Value_Source],,0,)</f>
        <v>0</v>
      </c>
      <c r="K30" s="61" t="str">
        <f>_xlfn.XLOOKUP(D30,Tab_Def_Flows[Name(EN)],Tab_Def_Flows[WC?],,0,)</f>
        <v>Yes</v>
      </c>
      <c r="L30" s="61" t="str">
        <f>_xlfn.XLOOKUP(D30,Tab_Def_Flows[Name(EN)],Tab_Def_Flows[DM?],,0,)</f>
        <v>Yes</v>
      </c>
      <c r="M30" s="61" t="str">
        <f>_xlfn.XLOOKUP(D30,Tab_Def_Flows[Name(EN)],Tab_Def_Flows[CC?],,0,)</f>
        <v>Yes</v>
      </c>
      <c r="N30" s="103"/>
      <c r="O30" s="96"/>
      <c r="P30" s="100"/>
      <c r="Q30" s="96"/>
      <c r="R30" s="103"/>
      <c r="S30" s="96"/>
    </row>
    <row r="31" spans="1:23" x14ac:dyDescent="0.25">
      <c r="A31" s="90" t="b">
        <v>0</v>
      </c>
      <c r="B31" s="49">
        <f t="shared" si="0"/>
        <v>30</v>
      </c>
      <c r="C31" s="49" t="str">
        <f>_xlfn.XLOOKUP(D31,Tab_Def_Flows[Name(EN)],Tab_Def_Flows[Flow_ID],,0,)</f>
        <v>F_24_24</v>
      </c>
      <c r="D31" s="51"/>
      <c r="E31" s="49">
        <f>_xlfn.XLOOKUP(D31,Tab_Def_Flows[Name(EN)],Tab_Def_Flows[Type_Biomass],,0,)</f>
        <v>0</v>
      </c>
      <c r="F31" s="49">
        <f>_xlfn.XLOOKUP(D31,Tab_Def_Flows[Name(EN)],Tab_Def_Flows[Output_Process],,0,)</f>
        <v>0</v>
      </c>
      <c r="G31" s="49" t="str">
        <f>_xlfn.XLOOKUP(D31,Tab_Def_Flows[Name(EN)],Tab_Def_Flows[Process_ID_O],,0,)</f>
        <v>24__</v>
      </c>
      <c r="H31" s="49">
        <f>_xlfn.XLOOKUP(D31,Tab_Def_Flows[Name(EN)],Tab_Def_Flows[Input_Process],,0,)</f>
        <v>0</v>
      </c>
      <c r="I31" s="61" t="str">
        <f>_xlfn.XLOOKUP(D31,Tab_Def_Flows[Name(EN)],Tab_Def_Flows[Process_ID_I],,0,)</f>
        <v>24__</v>
      </c>
      <c r="J31" s="61">
        <f>_xlfn.XLOOKUP(D31,Tab_Def_Flows[Name(EN)],Tab_Def_Flows[Value_Source],,0,)</f>
        <v>0</v>
      </c>
      <c r="K31" s="61" t="str">
        <f>_xlfn.XLOOKUP(D31,Tab_Def_Flows[Name(EN)],Tab_Def_Flows[WC?],,0,)</f>
        <v>Yes</v>
      </c>
      <c r="L31" s="61" t="str">
        <f>_xlfn.XLOOKUP(D31,Tab_Def_Flows[Name(EN)],Tab_Def_Flows[DM?],,0,)</f>
        <v>Yes</v>
      </c>
      <c r="M31" s="61" t="str">
        <f>_xlfn.XLOOKUP(D31,Tab_Def_Flows[Name(EN)],Tab_Def_Flows[CC?],,0,)</f>
        <v>Yes</v>
      </c>
      <c r="N31" s="103"/>
      <c r="O31" s="96"/>
      <c r="P31" s="100"/>
      <c r="Q31" s="96"/>
      <c r="R31" s="103"/>
      <c r="S31" s="96"/>
    </row>
    <row r="32" spans="1:23" x14ac:dyDescent="0.25">
      <c r="A32" s="90" t="b">
        <v>0</v>
      </c>
      <c r="B32" s="49">
        <f t="shared" si="0"/>
        <v>31</v>
      </c>
      <c r="C32" s="49" t="str">
        <f>_xlfn.XLOOKUP(D32,Tab_Def_Flows[Name(EN)],Tab_Def_Flows[Flow_ID],,0,)</f>
        <v>F_24_24</v>
      </c>
      <c r="D32" s="51"/>
      <c r="E32" s="49">
        <f>_xlfn.XLOOKUP(D32,Tab_Def_Flows[Name(EN)],Tab_Def_Flows[Type_Biomass],,0,)</f>
        <v>0</v>
      </c>
      <c r="F32" s="49">
        <f>_xlfn.XLOOKUP(D32,Tab_Def_Flows[Name(EN)],Tab_Def_Flows[Output_Process],,0,)</f>
        <v>0</v>
      </c>
      <c r="G32" s="49" t="str">
        <f>_xlfn.XLOOKUP(D32,Tab_Def_Flows[Name(EN)],Tab_Def_Flows[Process_ID_O],,0,)</f>
        <v>24__</v>
      </c>
      <c r="H32" s="49">
        <f>_xlfn.XLOOKUP(D32,Tab_Def_Flows[Name(EN)],Tab_Def_Flows[Input_Process],,0,)</f>
        <v>0</v>
      </c>
      <c r="I32" s="61" t="str">
        <f>_xlfn.XLOOKUP(D32,Tab_Def_Flows[Name(EN)],Tab_Def_Flows[Process_ID_I],,0,)</f>
        <v>24__</v>
      </c>
      <c r="J32" s="61">
        <f>_xlfn.XLOOKUP(D32,Tab_Def_Flows[Name(EN)],Tab_Def_Flows[Value_Source],,0,)</f>
        <v>0</v>
      </c>
      <c r="K32" s="61" t="str">
        <f>_xlfn.XLOOKUP(D32,Tab_Def_Flows[Name(EN)],Tab_Def_Flows[WC?],,0,)</f>
        <v>Yes</v>
      </c>
      <c r="L32" s="61" t="str">
        <f>_xlfn.XLOOKUP(D32,Tab_Def_Flows[Name(EN)],Tab_Def_Flows[DM?],,0,)</f>
        <v>Yes</v>
      </c>
      <c r="M32" s="61" t="str">
        <f>_xlfn.XLOOKUP(D32,Tab_Def_Flows[Name(EN)],Tab_Def_Flows[CC?],,0,)</f>
        <v>Yes</v>
      </c>
      <c r="N32" s="103"/>
      <c r="O32" s="96"/>
      <c r="P32" s="100"/>
      <c r="Q32" s="96"/>
      <c r="R32" s="103"/>
      <c r="S32" s="96"/>
    </row>
    <row r="33" spans="1:19" x14ac:dyDescent="0.25">
      <c r="A33" s="90" t="b">
        <v>0</v>
      </c>
      <c r="B33" s="49">
        <f t="shared" si="0"/>
        <v>32</v>
      </c>
      <c r="C33" s="49" t="str">
        <f>_xlfn.XLOOKUP(D33,Tab_Def_Flows[Name(EN)],Tab_Def_Flows[Flow_ID],,0,)</f>
        <v>F_24_24</v>
      </c>
      <c r="D33" s="51"/>
      <c r="E33" s="49">
        <f>_xlfn.XLOOKUP(D33,Tab_Def_Flows[Name(EN)],Tab_Def_Flows[Type_Biomass],,0,)</f>
        <v>0</v>
      </c>
      <c r="F33" s="49">
        <f>_xlfn.XLOOKUP(D33,Tab_Def_Flows[Name(EN)],Tab_Def_Flows[Output_Process],,0,)</f>
        <v>0</v>
      </c>
      <c r="G33" s="49" t="str">
        <f>_xlfn.XLOOKUP(D33,Tab_Def_Flows[Name(EN)],Tab_Def_Flows[Process_ID_O],,0,)</f>
        <v>24__</v>
      </c>
      <c r="H33" s="49">
        <f>_xlfn.XLOOKUP(D33,Tab_Def_Flows[Name(EN)],Tab_Def_Flows[Input_Process],,0,)</f>
        <v>0</v>
      </c>
      <c r="I33" s="61" t="str">
        <f>_xlfn.XLOOKUP(D33,Tab_Def_Flows[Name(EN)],Tab_Def_Flows[Process_ID_I],,0,)</f>
        <v>24__</v>
      </c>
      <c r="J33" s="61">
        <f>_xlfn.XLOOKUP(D33,Tab_Def_Flows[Name(EN)],Tab_Def_Flows[Value_Source],,0,)</f>
        <v>0</v>
      </c>
      <c r="K33" s="61" t="str">
        <f>_xlfn.XLOOKUP(D33,Tab_Def_Flows[Name(EN)],Tab_Def_Flows[WC?],,0,)</f>
        <v>Yes</v>
      </c>
      <c r="L33" s="61" t="str">
        <f>_xlfn.XLOOKUP(D33,Tab_Def_Flows[Name(EN)],Tab_Def_Flows[DM?],,0,)</f>
        <v>Yes</v>
      </c>
      <c r="M33" s="61" t="str">
        <f>_xlfn.XLOOKUP(D33,Tab_Def_Flows[Name(EN)],Tab_Def_Flows[CC?],,0,)</f>
        <v>Yes</v>
      </c>
      <c r="N33" s="103"/>
      <c r="O33" s="96"/>
      <c r="P33" s="100"/>
      <c r="Q33" s="96"/>
      <c r="R33" s="103"/>
      <c r="S33" s="96"/>
    </row>
    <row r="34" spans="1:19" x14ac:dyDescent="0.25">
      <c r="A34" s="90" t="b">
        <v>0</v>
      </c>
      <c r="B34" s="49">
        <f t="shared" si="0"/>
        <v>33</v>
      </c>
      <c r="C34" s="49" t="str">
        <f>_xlfn.XLOOKUP(D34,Tab_Def_Flows[Name(EN)],Tab_Def_Flows[Flow_ID],,0,)</f>
        <v>F_24_24</v>
      </c>
      <c r="D34" s="51"/>
      <c r="E34" s="49">
        <f>_xlfn.XLOOKUP(D34,Tab_Def_Flows[Name(EN)],Tab_Def_Flows[Type_Biomass],,0,)</f>
        <v>0</v>
      </c>
      <c r="F34" s="49">
        <f>_xlfn.XLOOKUP(D34,Tab_Def_Flows[Name(EN)],Tab_Def_Flows[Output_Process],,0,)</f>
        <v>0</v>
      </c>
      <c r="G34" s="49" t="str">
        <f>_xlfn.XLOOKUP(D34,Tab_Def_Flows[Name(EN)],Tab_Def_Flows[Process_ID_O],,0,)</f>
        <v>24__</v>
      </c>
      <c r="H34" s="49">
        <f>_xlfn.XLOOKUP(D34,Tab_Def_Flows[Name(EN)],Tab_Def_Flows[Input_Process],,0,)</f>
        <v>0</v>
      </c>
      <c r="I34" s="61" t="str">
        <f>_xlfn.XLOOKUP(D34,Tab_Def_Flows[Name(EN)],Tab_Def_Flows[Process_ID_I],,0,)</f>
        <v>24__</v>
      </c>
      <c r="J34" s="61">
        <f>_xlfn.XLOOKUP(D34,Tab_Def_Flows[Name(EN)],Tab_Def_Flows[Value_Source],,0,)</f>
        <v>0</v>
      </c>
      <c r="K34" s="61" t="str">
        <f>_xlfn.XLOOKUP(D34,Tab_Def_Flows[Name(EN)],Tab_Def_Flows[WC?],,0,)</f>
        <v>Yes</v>
      </c>
      <c r="L34" s="61" t="str">
        <f>_xlfn.XLOOKUP(D34,Tab_Def_Flows[Name(EN)],Tab_Def_Flows[DM?],,0,)</f>
        <v>Yes</v>
      </c>
      <c r="M34" s="61" t="str">
        <f>_xlfn.XLOOKUP(D34,Tab_Def_Flows[Name(EN)],Tab_Def_Flows[CC?],,0,)</f>
        <v>Yes</v>
      </c>
      <c r="N34" s="103"/>
      <c r="O34" s="96"/>
      <c r="P34" s="100"/>
      <c r="Q34" s="96"/>
      <c r="R34" s="103"/>
      <c r="S34" s="96"/>
    </row>
    <row r="35" spans="1:19" x14ac:dyDescent="0.25">
      <c r="A35" s="90" t="b">
        <v>0</v>
      </c>
      <c r="B35" s="49">
        <f t="shared" si="0"/>
        <v>34</v>
      </c>
      <c r="C35" s="49" t="str">
        <f>_xlfn.XLOOKUP(D35,Tab_Def_Flows[Name(EN)],Tab_Def_Flows[Flow_ID],,0,)</f>
        <v>F_24_24</v>
      </c>
      <c r="D35" s="51"/>
      <c r="E35" s="49">
        <f>_xlfn.XLOOKUP(D35,Tab_Def_Flows[Name(EN)],Tab_Def_Flows[Type_Biomass],,0,)</f>
        <v>0</v>
      </c>
      <c r="F35" s="49">
        <f>_xlfn.XLOOKUP(D35,Tab_Def_Flows[Name(EN)],Tab_Def_Flows[Output_Process],,0,)</f>
        <v>0</v>
      </c>
      <c r="G35" s="49" t="str">
        <f>_xlfn.XLOOKUP(D35,Tab_Def_Flows[Name(EN)],Tab_Def_Flows[Process_ID_O],,0,)</f>
        <v>24__</v>
      </c>
      <c r="H35" s="49">
        <f>_xlfn.XLOOKUP(D35,Tab_Def_Flows[Name(EN)],Tab_Def_Flows[Input_Process],,0,)</f>
        <v>0</v>
      </c>
      <c r="I35" s="61" t="str">
        <f>_xlfn.XLOOKUP(D35,Tab_Def_Flows[Name(EN)],Tab_Def_Flows[Process_ID_I],,0,)</f>
        <v>24__</v>
      </c>
      <c r="J35" s="61">
        <f>_xlfn.XLOOKUP(D35,Tab_Def_Flows[Name(EN)],Tab_Def_Flows[Value_Source],,0,)</f>
        <v>0</v>
      </c>
      <c r="K35" s="61" t="str">
        <f>_xlfn.XLOOKUP(D35,Tab_Def_Flows[Name(EN)],Tab_Def_Flows[WC?],,0,)</f>
        <v>Yes</v>
      </c>
      <c r="L35" s="61" t="str">
        <f>_xlfn.XLOOKUP(D35,Tab_Def_Flows[Name(EN)],Tab_Def_Flows[DM?],,0,)</f>
        <v>Yes</v>
      </c>
      <c r="M35" s="61" t="str">
        <f>_xlfn.XLOOKUP(D35,Tab_Def_Flows[Name(EN)],Tab_Def_Flows[CC?],,0,)</f>
        <v>Yes</v>
      </c>
      <c r="N35" s="103"/>
      <c r="O35" s="96"/>
      <c r="P35" s="100"/>
      <c r="Q35" s="96"/>
      <c r="R35" s="103"/>
      <c r="S35" s="96"/>
    </row>
    <row r="36" spans="1:19" x14ac:dyDescent="0.25">
      <c r="A36" s="90" t="b">
        <v>0</v>
      </c>
      <c r="B36" s="49">
        <f t="shared" si="0"/>
        <v>35</v>
      </c>
      <c r="C36" s="49" t="str">
        <f>_xlfn.XLOOKUP(D36,Tab_Def_Flows[Name(EN)],Tab_Def_Flows[Flow_ID],,0,)</f>
        <v>F_24_24</v>
      </c>
      <c r="D36" s="51"/>
      <c r="E36" s="49">
        <f>_xlfn.XLOOKUP(D36,Tab_Def_Flows[Name(EN)],Tab_Def_Flows[Type_Biomass],,0,)</f>
        <v>0</v>
      </c>
      <c r="F36" s="49">
        <f>_xlfn.XLOOKUP(D36,Tab_Def_Flows[Name(EN)],Tab_Def_Flows[Output_Process],,0,)</f>
        <v>0</v>
      </c>
      <c r="G36" s="49" t="str">
        <f>_xlfn.XLOOKUP(D36,Tab_Def_Flows[Name(EN)],Tab_Def_Flows[Process_ID_O],,0,)</f>
        <v>24__</v>
      </c>
      <c r="H36" s="49">
        <f>_xlfn.XLOOKUP(D36,Tab_Def_Flows[Name(EN)],Tab_Def_Flows[Input_Process],,0,)</f>
        <v>0</v>
      </c>
      <c r="I36" s="61" t="str">
        <f>_xlfn.XLOOKUP(D36,Tab_Def_Flows[Name(EN)],Tab_Def_Flows[Process_ID_I],,0,)</f>
        <v>24__</v>
      </c>
      <c r="J36" s="61">
        <f>_xlfn.XLOOKUP(D36,Tab_Def_Flows[Name(EN)],Tab_Def_Flows[Value_Source],,0,)</f>
        <v>0</v>
      </c>
      <c r="K36" s="61" t="str">
        <f>_xlfn.XLOOKUP(D36,Tab_Def_Flows[Name(EN)],Tab_Def_Flows[WC?],,0,)</f>
        <v>Yes</v>
      </c>
      <c r="L36" s="61" t="str">
        <f>_xlfn.XLOOKUP(D36,Tab_Def_Flows[Name(EN)],Tab_Def_Flows[DM?],,0,)</f>
        <v>Yes</v>
      </c>
      <c r="M36" s="61" t="str">
        <f>_xlfn.XLOOKUP(D36,Tab_Def_Flows[Name(EN)],Tab_Def_Flows[CC?],,0,)</f>
        <v>Yes</v>
      </c>
      <c r="N36" s="103"/>
      <c r="O36" s="96"/>
      <c r="P36" s="100"/>
      <c r="Q36" s="96"/>
      <c r="R36" s="103"/>
      <c r="S36" s="96"/>
    </row>
    <row r="37" spans="1:19" x14ac:dyDescent="0.25">
      <c r="A37" s="90" t="b">
        <v>0</v>
      </c>
      <c r="B37" s="49">
        <f t="shared" si="0"/>
        <v>36</v>
      </c>
      <c r="C37" s="49" t="str">
        <f>_xlfn.XLOOKUP(D37,Tab_Def_Flows[Name(EN)],Tab_Def_Flows[Flow_ID],,0,)</f>
        <v>F_24_24</v>
      </c>
      <c r="D37" s="51"/>
      <c r="E37" s="49">
        <f>_xlfn.XLOOKUP(D37,Tab_Def_Flows[Name(EN)],Tab_Def_Flows[Type_Biomass],,0,)</f>
        <v>0</v>
      </c>
      <c r="F37" s="49">
        <f>_xlfn.XLOOKUP(D37,Tab_Def_Flows[Name(EN)],Tab_Def_Flows[Output_Process],,0,)</f>
        <v>0</v>
      </c>
      <c r="G37" s="49" t="str">
        <f>_xlfn.XLOOKUP(D37,Tab_Def_Flows[Name(EN)],Tab_Def_Flows[Process_ID_O],,0,)</f>
        <v>24__</v>
      </c>
      <c r="H37" s="49">
        <f>_xlfn.XLOOKUP(D37,Tab_Def_Flows[Name(EN)],Tab_Def_Flows[Input_Process],,0,)</f>
        <v>0</v>
      </c>
      <c r="I37" s="61" t="str">
        <f>_xlfn.XLOOKUP(D37,Tab_Def_Flows[Name(EN)],Tab_Def_Flows[Process_ID_I],,0,)</f>
        <v>24__</v>
      </c>
      <c r="J37" s="61">
        <f>_xlfn.XLOOKUP(D37,Tab_Def_Flows[Name(EN)],Tab_Def_Flows[Value_Source],,0,)</f>
        <v>0</v>
      </c>
      <c r="K37" s="61" t="str">
        <f>_xlfn.XLOOKUP(D37,Tab_Def_Flows[Name(EN)],Tab_Def_Flows[WC?],,0,)</f>
        <v>Yes</v>
      </c>
      <c r="L37" s="61" t="str">
        <f>_xlfn.XLOOKUP(D37,Tab_Def_Flows[Name(EN)],Tab_Def_Flows[DM?],,0,)</f>
        <v>Yes</v>
      </c>
      <c r="M37" s="61" t="str">
        <f>_xlfn.XLOOKUP(D37,Tab_Def_Flows[Name(EN)],Tab_Def_Flows[CC?],,0,)</f>
        <v>Yes</v>
      </c>
      <c r="N37" s="103"/>
      <c r="O37" s="96"/>
      <c r="P37" s="100"/>
      <c r="Q37" s="96"/>
      <c r="R37" s="103"/>
      <c r="S37" s="96"/>
    </row>
    <row r="38" spans="1:19" x14ac:dyDescent="0.25">
      <c r="A38" s="90" t="b">
        <v>0</v>
      </c>
      <c r="B38" s="49">
        <f t="shared" si="0"/>
        <v>37</v>
      </c>
      <c r="C38" s="49" t="str">
        <f>_xlfn.XLOOKUP(D38,Tab_Def_Flows[Name(EN)],Tab_Def_Flows[Flow_ID],,0,)</f>
        <v>F_24_24</v>
      </c>
      <c r="D38" s="51"/>
      <c r="E38" s="49">
        <f>_xlfn.XLOOKUP(D38,Tab_Def_Flows[Name(EN)],Tab_Def_Flows[Type_Biomass],,0,)</f>
        <v>0</v>
      </c>
      <c r="F38" s="49">
        <f>_xlfn.XLOOKUP(D38,Tab_Def_Flows[Name(EN)],Tab_Def_Flows[Output_Process],,0,)</f>
        <v>0</v>
      </c>
      <c r="G38" s="49" t="str">
        <f>_xlfn.XLOOKUP(D38,Tab_Def_Flows[Name(EN)],Tab_Def_Flows[Process_ID_O],,0,)</f>
        <v>24__</v>
      </c>
      <c r="H38" s="49">
        <f>_xlfn.XLOOKUP(D38,Tab_Def_Flows[Name(EN)],Tab_Def_Flows[Input_Process],,0,)</f>
        <v>0</v>
      </c>
      <c r="I38" s="61" t="str">
        <f>_xlfn.XLOOKUP(D38,Tab_Def_Flows[Name(EN)],Tab_Def_Flows[Process_ID_I],,0,)</f>
        <v>24__</v>
      </c>
      <c r="J38" s="61">
        <f>_xlfn.XLOOKUP(D38,Tab_Def_Flows[Name(EN)],Tab_Def_Flows[Value_Source],,0,)</f>
        <v>0</v>
      </c>
      <c r="K38" s="61" t="str">
        <f>_xlfn.XLOOKUP(D38,Tab_Def_Flows[Name(EN)],Tab_Def_Flows[WC?],,0,)</f>
        <v>Yes</v>
      </c>
      <c r="L38" s="61" t="str">
        <f>_xlfn.XLOOKUP(D38,Tab_Def_Flows[Name(EN)],Tab_Def_Flows[DM?],,0,)</f>
        <v>Yes</v>
      </c>
      <c r="M38" s="61" t="str">
        <f>_xlfn.XLOOKUP(D38,Tab_Def_Flows[Name(EN)],Tab_Def_Flows[CC?],,0,)</f>
        <v>Yes</v>
      </c>
      <c r="N38" s="103"/>
      <c r="O38" s="96"/>
      <c r="P38" s="100"/>
      <c r="Q38" s="96"/>
      <c r="R38" s="103"/>
      <c r="S38" s="96"/>
    </row>
    <row r="39" spans="1:19" x14ac:dyDescent="0.25">
      <c r="A39" s="90" t="b">
        <v>0</v>
      </c>
      <c r="B39" s="49">
        <f t="shared" si="0"/>
        <v>38</v>
      </c>
      <c r="C39" s="49" t="str">
        <f>_xlfn.XLOOKUP(D39,Tab_Def_Flows[Name(EN)],Tab_Def_Flows[Flow_ID],,0,)</f>
        <v>F_24_24</v>
      </c>
      <c r="D39" s="51"/>
      <c r="E39" s="49">
        <f>_xlfn.XLOOKUP(D39,Tab_Def_Flows[Name(EN)],Tab_Def_Flows[Type_Biomass],,0,)</f>
        <v>0</v>
      </c>
      <c r="F39" s="49">
        <f>_xlfn.XLOOKUP(D39,Tab_Def_Flows[Name(EN)],Tab_Def_Flows[Output_Process],,0,)</f>
        <v>0</v>
      </c>
      <c r="G39" s="49" t="str">
        <f>_xlfn.XLOOKUP(D39,Tab_Def_Flows[Name(EN)],Tab_Def_Flows[Process_ID_O],,0,)</f>
        <v>24__</v>
      </c>
      <c r="H39" s="49">
        <f>_xlfn.XLOOKUP(D39,Tab_Def_Flows[Name(EN)],Tab_Def_Flows[Input_Process],,0,)</f>
        <v>0</v>
      </c>
      <c r="I39" s="61" t="str">
        <f>_xlfn.XLOOKUP(D39,Tab_Def_Flows[Name(EN)],Tab_Def_Flows[Process_ID_I],,0,)</f>
        <v>24__</v>
      </c>
      <c r="J39" s="61">
        <f>_xlfn.XLOOKUP(D39,Tab_Def_Flows[Name(EN)],Tab_Def_Flows[Value_Source],,0,)</f>
        <v>0</v>
      </c>
      <c r="K39" s="61" t="str">
        <f>_xlfn.XLOOKUP(D39,Tab_Def_Flows[Name(EN)],Tab_Def_Flows[WC?],,0,)</f>
        <v>Yes</v>
      </c>
      <c r="L39" s="61" t="str">
        <f>_xlfn.XLOOKUP(D39,Tab_Def_Flows[Name(EN)],Tab_Def_Flows[DM?],,0,)</f>
        <v>Yes</v>
      </c>
      <c r="M39" s="61" t="str">
        <f>_xlfn.XLOOKUP(D39,Tab_Def_Flows[Name(EN)],Tab_Def_Flows[CC?],,0,)</f>
        <v>Yes</v>
      </c>
      <c r="N39" s="103"/>
      <c r="O39" s="96"/>
      <c r="P39" s="100"/>
      <c r="Q39" s="96"/>
      <c r="R39" s="103"/>
      <c r="S39" s="96"/>
    </row>
    <row r="40" spans="1:19" x14ac:dyDescent="0.25">
      <c r="A40" s="90" t="b">
        <v>0</v>
      </c>
      <c r="B40" s="49">
        <f t="shared" si="0"/>
        <v>39</v>
      </c>
      <c r="C40" s="49" t="str">
        <f>_xlfn.XLOOKUP(D40,Tab_Def_Flows[Name(EN)],Tab_Def_Flows[Flow_ID],,0,)</f>
        <v>F_24_24</v>
      </c>
      <c r="D40" s="51"/>
      <c r="E40" s="49">
        <f>_xlfn.XLOOKUP(D40,Tab_Def_Flows[Name(EN)],Tab_Def_Flows[Type_Biomass],,0,)</f>
        <v>0</v>
      </c>
      <c r="F40" s="49">
        <f>_xlfn.XLOOKUP(D40,Tab_Def_Flows[Name(EN)],Tab_Def_Flows[Output_Process],,0,)</f>
        <v>0</v>
      </c>
      <c r="G40" s="49" t="str">
        <f>_xlfn.XLOOKUP(D40,Tab_Def_Flows[Name(EN)],Tab_Def_Flows[Process_ID_O],,0,)</f>
        <v>24__</v>
      </c>
      <c r="H40" s="49">
        <f>_xlfn.XLOOKUP(D40,Tab_Def_Flows[Name(EN)],Tab_Def_Flows[Input_Process],,0,)</f>
        <v>0</v>
      </c>
      <c r="I40" s="61" t="str">
        <f>_xlfn.XLOOKUP(D40,Tab_Def_Flows[Name(EN)],Tab_Def_Flows[Process_ID_I],,0,)</f>
        <v>24__</v>
      </c>
      <c r="J40" s="61">
        <f>_xlfn.XLOOKUP(D40,Tab_Def_Flows[Name(EN)],Tab_Def_Flows[Value_Source],,0,)</f>
        <v>0</v>
      </c>
      <c r="K40" s="61" t="str">
        <f>_xlfn.XLOOKUP(D40,Tab_Def_Flows[Name(EN)],Tab_Def_Flows[WC?],,0,)</f>
        <v>Yes</v>
      </c>
      <c r="L40" s="61" t="str">
        <f>_xlfn.XLOOKUP(D40,Tab_Def_Flows[Name(EN)],Tab_Def_Flows[DM?],,0,)</f>
        <v>Yes</v>
      </c>
      <c r="M40" s="61" t="str">
        <f>_xlfn.XLOOKUP(D40,Tab_Def_Flows[Name(EN)],Tab_Def_Flows[CC?],,0,)</f>
        <v>Yes</v>
      </c>
      <c r="N40" s="103"/>
      <c r="O40" s="96"/>
      <c r="P40" s="100"/>
      <c r="Q40" s="96"/>
      <c r="R40" s="103"/>
      <c r="S40" s="96"/>
    </row>
    <row r="41" spans="1:19" ht="15.75" thickBot="1" x14ac:dyDescent="0.3">
      <c r="A41" s="90" t="b">
        <v>0</v>
      </c>
      <c r="B41" s="49">
        <f t="shared" si="0"/>
        <v>40</v>
      </c>
      <c r="C41" s="49" t="str">
        <f>_xlfn.XLOOKUP(D41,Tab_Def_Flows[Name(EN)],Tab_Def_Flows[Flow_ID],,0,)</f>
        <v>F_24_24</v>
      </c>
      <c r="D41" s="51"/>
      <c r="E41" s="49">
        <f>_xlfn.XLOOKUP(D41,Tab_Def_Flows[Name(EN)],Tab_Def_Flows[Type_Biomass],,0,)</f>
        <v>0</v>
      </c>
      <c r="F41" s="49">
        <f>_xlfn.XLOOKUP(D41,Tab_Def_Flows[Name(EN)],Tab_Def_Flows[Output_Process],,0,)</f>
        <v>0</v>
      </c>
      <c r="G41" s="49" t="str">
        <f>_xlfn.XLOOKUP(D41,Tab_Def_Flows[Name(EN)],Tab_Def_Flows[Process_ID_O],,0,)</f>
        <v>24__</v>
      </c>
      <c r="H41" s="49">
        <f>_xlfn.XLOOKUP(D41,Tab_Def_Flows[Name(EN)],Tab_Def_Flows[Input_Process],,0,)</f>
        <v>0</v>
      </c>
      <c r="I41" s="61" t="str">
        <f>_xlfn.XLOOKUP(D41,Tab_Def_Flows[Name(EN)],Tab_Def_Flows[Process_ID_I],,0,)</f>
        <v>24__</v>
      </c>
      <c r="J41" s="61">
        <f>_xlfn.XLOOKUP(D41,Tab_Def_Flows[Name(EN)],Tab_Def_Flows[Value_Source],,0,)</f>
        <v>0</v>
      </c>
      <c r="K41" s="61" t="str">
        <f>_xlfn.XLOOKUP(D41,Tab_Def_Flows[Name(EN)],Tab_Def_Flows[WC?],,0,)</f>
        <v>Yes</v>
      </c>
      <c r="L41" s="61" t="str">
        <f>_xlfn.XLOOKUP(D41,Tab_Def_Flows[Name(EN)],Tab_Def_Flows[DM?],,0,)</f>
        <v>Yes</v>
      </c>
      <c r="M41" s="61" t="str">
        <f>_xlfn.XLOOKUP(D41,Tab_Def_Flows[Name(EN)],Tab_Def_Flows[CC?],,0,)</f>
        <v>Yes</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5" t="s">
        <v>2</v>
      </c>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t="s">
        <v>91</v>
      </c>
      <c r="AF4" s="145"/>
      <c r="AG4" s="145"/>
      <c r="AH4" s="145"/>
      <c r="AI4" s="145"/>
      <c r="AJ4" s="145"/>
      <c r="AK4" s="145"/>
      <c r="AL4" s="145"/>
      <c r="AM4" s="145"/>
      <c r="AN4" s="145"/>
      <c r="AO4" s="1"/>
      <c r="AP4" s="8"/>
      <c r="AQ4" s="8"/>
      <c r="AR4" s="145" t="s">
        <v>18</v>
      </c>
      <c r="AS4" s="145"/>
      <c r="AT4" s="145"/>
      <c r="AU4" s="145"/>
      <c r="AV4" s="145"/>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7" t="s">
        <v>90</v>
      </c>
      <c r="AH2" s="148"/>
      <c r="AI2" s="148"/>
      <c r="AJ2" s="148"/>
      <c r="AK2" s="149"/>
      <c r="AL2" s="147" t="s">
        <v>192</v>
      </c>
      <c r="AM2" s="148"/>
      <c r="AN2" s="148"/>
      <c r="AO2" s="148"/>
      <c r="AP2" s="149"/>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0" t="s">
        <v>91</v>
      </c>
      <c r="AH2" s="150"/>
      <c r="AI2" s="150"/>
      <c r="AJ2" s="150"/>
      <c r="AK2" s="150"/>
      <c r="AL2" s="150"/>
      <c r="AM2" s="150"/>
      <c r="AN2" s="150"/>
      <c r="AO2" s="150"/>
      <c r="AP2" s="150"/>
      <c r="AQ2" s="150"/>
      <c r="AR2" s="150"/>
      <c r="AS2" s="150"/>
      <c r="AT2" s="145" t="s">
        <v>18</v>
      </c>
      <c r="AU2" s="145"/>
      <c r="AV2" s="145"/>
      <c r="AW2" s="145"/>
      <c r="AX2" s="145"/>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5" t="s">
        <v>2</v>
      </c>
      <c r="B3" s="145"/>
      <c r="C3" s="145"/>
      <c r="D3" s="145"/>
      <c r="E3" s="145"/>
      <c r="F3" s="145"/>
      <c r="G3" s="145"/>
      <c r="H3" s="145"/>
      <c r="I3" s="145"/>
      <c r="J3" s="145"/>
      <c r="K3" s="145"/>
      <c r="L3" s="145" t="s">
        <v>90</v>
      </c>
      <c r="M3" s="145"/>
      <c r="N3" s="145"/>
      <c r="O3" s="145"/>
      <c r="P3" s="145"/>
      <c r="Q3" s="145" t="s">
        <v>192</v>
      </c>
      <c r="R3" s="145"/>
      <c r="S3" s="145"/>
      <c r="T3" s="145"/>
      <c r="U3" s="145"/>
      <c r="Y3" s="145" t="s">
        <v>4</v>
      </c>
      <c r="Z3" s="145"/>
      <c r="AA3" s="145"/>
      <c r="AB3" s="145"/>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2025-05-30T17:40:03Z</dcterms:modified>
</cp:coreProperties>
</file>