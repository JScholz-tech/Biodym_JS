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4_Scenario4_biomass_potential\"/>
    </mc:Choice>
  </mc:AlternateContent>
  <xr:revisionPtr revIDLastSave="0" documentId="13_ncr:1_{585B437D-A853-44FF-A60C-39D32D089A18}" xr6:coauthVersionLast="47" xr6:coauthVersionMax="47" xr10:uidLastSave="{00000000-0000-0000-0000-000000000000}"/>
  <bookViews>
    <workbookView xWindow="38280" yWindow="-16890" windowWidth="21840" windowHeight="37920" tabRatio="840" firstSheet="2" activeTab="3"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T35" i="15" l="1"/>
  <c r="X38" i="15"/>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V10" i="15"/>
  <c r="T10" i="15"/>
  <c r="T17" i="15" s="1"/>
  <c r="R17" i="15" s="1"/>
  <c r="O32" i="2"/>
  <c r="O33" i="2" s="1"/>
  <c r="AA33" i="2" s="1"/>
  <c r="X23" i="15"/>
  <c r="X22" i="15"/>
  <c r="A2" i="2"/>
  <c r="D2" i="2"/>
  <c r="E2" i="2"/>
  <c r="G2" i="2"/>
  <c r="I2" i="2"/>
  <c r="J2" i="2"/>
  <c r="K2" i="2"/>
  <c r="L2" i="2"/>
  <c r="AA2" i="2"/>
  <c r="AE2" i="2"/>
  <c r="AF2" i="2"/>
  <c r="AH2" i="2"/>
  <c r="AK2" i="2"/>
  <c r="A3" i="2"/>
  <c r="D3" i="2"/>
  <c r="E3" i="2"/>
  <c r="G3" i="2"/>
  <c r="I3" i="2"/>
  <c r="J3" i="2"/>
  <c r="K3" i="2"/>
  <c r="L3" i="2"/>
  <c r="O3" i="2"/>
  <c r="O4" i="2" s="1"/>
  <c r="AE3" i="2"/>
  <c r="AF3" i="2"/>
  <c r="AH3" i="2"/>
  <c r="AK3" i="2"/>
  <c r="A4" i="2"/>
  <c r="D4" i="2"/>
  <c r="E4" i="2"/>
  <c r="G4" i="2"/>
  <c r="I4" i="2"/>
  <c r="J4" i="2"/>
  <c r="K4" i="2"/>
  <c r="L4" i="2"/>
  <c r="AE4" i="2"/>
  <c r="AF4" i="2"/>
  <c r="AH4" i="2"/>
  <c r="AK4" i="2"/>
  <c r="A5" i="2"/>
  <c r="D5" i="2"/>
  <c r="E5" i="2"/>
  <c r="G5" i="2"/>
  <c r="I5" i="2"/>
  <c r="J5" i="2"/>
  <c r="K5" i="2"/>
  <c r="L5" i="2"/>
  <c r="AE5" i="2"/>
  <c r="AF5" i="2"/>
  <c r="AH5" i="2"/>
  <c r="AK5" i="2"/>
  <c r="A6" i="2"/>
  <c r="D6" i="2"/>
  <c r="E6" i="2"/>
  <c r="G6" i="2"/>
  <c r="I6" i="2"/>
  <c r="J6" i="2"/>
  <c r="K6" i="2"/>
  <c r="L6" i="2"/>
  <c r="AE6" i="2"/>
  <c r="AF6" i="2"/>
  <c r="AH6" i="2"/>
  <c r="AK6" i="2"/>
  <c r="A7" i="2"/>
  <c r="D7" i="2"/>
  <c r="E7" i="2"/>
  <c r="G7" i="2"/>
  <c r="I7" i="2"/>
  <c r="J7" i="2"/>
  <c r="K7" i="2"/>
  <c r="L7" i="2"/>
  <c r="AE7" i="2"/>
  <c r="AF7" i="2"/>
  <c r="AH7" i="2"/>
  <c r="AK7" i="2"/>
  <c r="A8" i="2"/>
  <c r="D8" i="2"/>
  <c r="E8" i="2"/>
  <c r="G8" i="2"/>
  <c r="I8" i="2"/>
  <c r="J8" i="2"/>
  <c r="K8" i="2"/>
  <c r="L8" i="2"/>
  <c r="AE8" i="2"/>
  <c r="AF8" i="2"/>
  <c r="AH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A61" i="2" s="1"/>
  <c r="AE61" i="2"/>
  <c r="AF61" i="2"/>
  <c r="AH61" i="2"/>
  <c r="AK61" i="2"/>
  <c r="A62" i="2"/>
  <c r="D62" i="2"/>
  <c r="E62" i="2"/>
  <c r="G62" i="2"/>
  <c r="I62" i="2"/>
  <c r="J62" i="2"/>
  <c r="K62" i="2"/>
  <c r="L62" i="2"/>
  <c r="AE62" i="2"/>
  <c r="AF62" i="2"/>
  <c r="AH62" i="2"/>
  <c r="AK62" i="2"/>
  <c r="A63" i="2"/>
  <c r="D63" i="2"/>
  <c r="E63" i="2"/>
  <c r="G63" i="2"/>
  <c r="I63" i="2"/>
  <c r="J63" i="2"/>
  <c r="K63" i="2"/>
  <c r="L63" i="2"/>
  <c r="AE63" i="2"/>
  <c r="AF63" i="2"/>
  <c r="AH63" i="2"/>
  <c r="AK63" i="2"/>
  <c r="A64" i="2"/>
  <c r="D64" i="2"/>
  <c r="E64" i="2"/>
  <c r="G64" i="2"/>
  <c r="I64" i="2"/>
  <c r="J64" i="2"/>
  <c r="K64" i="2"/>
  <c r="L64" i="2"/>
  <c r="AE64" i="2"/>
  <c r="AF64" i="2"/>
  <c r="AH64" i="2"/>
  <c r="AK64" i="2"/>
  <c r="A65" i="2"/>
  <c r="D65" i="2"/>
  <c r="E65" i="2"/>
  <c r="G65" i="2"/>
  <c r="I65" i="2"/>
  <c r="J65" i="2"/>
  <c r="K65" i="2"/>
  <c r="L65" i="2"/>
  <c r="AE65" i="2"/>
  <c r="AF65" i="2"/>
  <c r="AH65" i="2"/>
  <c r="AK65" i="2"/>
  <c r="A66" i="2"/>
  <c r="D66" i="2"/>
  <c r="E66" i="2"/>
  <c r="G66" i="2"/>
  <c r="I66" i="2"/>
  <c r="J66" i="2"/>
  <c r="K66" i="2"/>
  <c r="L66" i="2"/>
  <c r="AE66" i="2"/>
  <c r="AF66" i="2"/>
  <c r="AH66" i="2"/>
  <c r="AK66" i="2"/>
  <c r="A89" i="2"/>
  <c r="D89" i="2"/>
  <c r="E89" i="2"/>
  <c r="G89" i="2"/>
  <c r="I89" i="2"/>
  <c r="J89" i="2"/>
  <c r="K89" i="2"/>
  <c r="L89" i="2"/>
  <c r="AE89" i="2"/>
  <c r="AF89" i="2"/>
  <c r="AH89" i="2"/>
  <c r="AK89" i="2"/>
  <c r="A90" i="2"/>
  <c r="D90" i="2"/>
  <c r="E90" i="2"/>
  <c r="G90" i="2"/>
  <c r="I90" i="2"/>
  <c r="J90" i="2"/>
  <c r="K90" i="2"/>
  <c r="L90" i="2"/>
  <c r="O90" i="2"/>
  <c r="AA90" i="2" s="1"/>
  <c r="AE90" i="2"/>
  <c r="AF90" i="2"/>
  <c r="AH90" i="2"/>
  <c r="AK90" i="2"/>
  <c r="A91" i="2"/>
  <c r="D91" i="2"/>
  <c r="E91" i="2"/>
  <c r="G91" i="2"/>
  <c r="I91" i="2"/>
  <c r="J91" i="2"/>
  <c r="K91" i="2"/>
  <c r="L91" i="2"/>
  <c r="AE91" i="2"/>
  <c r="AF91" i="2"/>
  <c r="AH91" i="2"/>
  <c r="AK91" i="2"/>
  <c r="A92" i="2"/>
  <c r="D92" i="2"/>
  <c r="E92" i="2"/>
  <c r="G92" i="2"/>
  <c r="I92" i="2"/>
  <c r="J92" i="2"/>
  <c r="K92" i="2"/>
  <c r="L92" i="2"/>
  <c r="AE92" i="2"/>
  <c r="AF92" i="2"/>
  <c r="AH92" i="2"/>
  <c r="AK92" i="2"/>
  <c r="A93" i="2"/>
  <c r="D93" i="2"/>
  <c r="E93" i="2"/>
  <c r="G93" i="2"/>
  <c r="I93" i="2"/>
  <c r="J93" i="2"/>
  <c r="K93" i="2"/>
  <c r="L93" i="2"/>
  <c r="AE93" i="2"/>
  <c r="AF93" i="2"/>
  <c r="AH93" i="2"/>
  <c r="AK93" i="2"/>
  <c r="A94" i="2"/>
  <c r="D94" i="2"/>
  <c r="E94" i="2"/>
  <c r="G94" i="2"/>
  <c r="I94" i="2"/>
  <c r="J94" i="2"/>
  <c r="K94" i="2"/>
  <c r="L94" i="2"/>
  <c r="AE94" i="2"/>
  <c r="AF94" i="2"/>
  <c r="AH94" i="2"/>
  <c r="AK94" i="2"/>
  <c r="A95"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R3" i="15"/>
  <c r="R4" i="15"/>
  <c r="R5" i="15"/>
  <c r="R6" i="15"/>
  <c r="AC31" i="2" s="1"/>
  <c r="R7" i="15"/>
  <c r="R35" i="15" s="1"/>
  <c r="R8" i="15"/>
  <c r="R9" i="15"/>
  <c r="R10" i="15" s="1"/>
  <c r="R11" i="15"/>
  <c r="R12" i="15"/>
  <c r="AC66" i="2" s="1"/>
  <c r="R13" i="15"/>
  <c r="AC98" i="2" s="1"/>
  <c r="R14" i="15"/>
  <c r="R15" i="15"/>
  <c r="R18" i="15"/>
  <c r="R19" i="15"/>
  <c r="R20" i="15"/>
  <c r="R24" i="15"/>
  <c r="R25" i="15"/>
  <c r="R26" i="15"/>
  <c r="R29" i="15"/>
  <c r="R2" i="15"/>
  <c r="AC30" i="2" s="1"/>
  <c r="X29" i="15"/>
  <c r="AA32" i="2" l="1"/>
  <c r="AC53" i="2"/>
  <c r="AC79" i="2"/>
  <c r="T16" i="15"/>
  <c r="R16" i="15" s="1"/>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O62" i="2"/>
  <c r="AA62" i="2" s="1"/>
  <c r="AJ61" i="2"/>
  <c r="AJ89" i="2"/>
  <c r="AJ60" i="2"/>
  <c r="AJ90" i="2"/>
  <c r="AG60" i="2"/>
  <c r="AG89" i="2"/>
  <c r="AJ2" i="2"/>
  <c r="AM2" i="2" s="1"/>
  <c r="AN2" i="2" s="1"/>
  <c r="AG2" i="2"/>
  <c r="O34" i="2"/>
  <c r="AA34" i="2" s="1"/>
  <c r="AG33" i="2"/>
  <c r="AG90" i="2"/>
  <c r="O5" i="2"/>
  <c r="AA4" i="2"/>
  <c r="AG61" i="2"/>
  <c r="O91" i="2"/>
  <c r="AA91" i="2" s="1"/>
  <c r="AJ32" i="2"/>
  <c r="AD4" i="2" l="1"/>
  <c r="AJ3" i="2"/>
  <c r="AD3" i="2"/>
  <c r="AG31" i="2"/>
  <c r="AD31" i="2"/>
  <c r="AJ33" i="2"/>
  <c r="O63" i="2"/>
  <c r="AA63" i="2" s="1"/>
  <c r="AJ4" i="2"/>
  <c r="AG4" i="2"/>
  <c r="AJ91" i="2"/>
  <c r="O92" i="2"/>
  <c r="AA92" i="2" s="1"/>
  <c r="AD33" i="2"/>
  <c r="AG32" i="2"/>
  <c r="AD32" i="2"/>
  <c r="AJ34" i="2"/>
  <c r="O35" i="2"/>
  <c r="AA35" i="2" s="1"/>
  <c r="O6" i="2"/>
  <c r="AA5" i="2"/>
  <c r="AJ5" i="2" s="1"/>
  <c r="AJ62" i="2" l="1"/>
  <c r="AG62" i="2"/>
  <c r="AD62" i="2"/>
  <c r="O64" i="2"/>
  <c r="AA64" i="2" s="1"/>
  <c r="O93" i="2"/>
  <c r="AA93" i="2" s="1"/>
  <c r="AJ92" i="2"/>
  <c r="AG5" i="2"/>
  <c r="AD5" i="2"/>
  <c r="O7" i="2"/>
  <c r="AA6" i="2"/>
  <c r="AJ6" i="2" s="1"/>
  <c r="AJ35" i="2"/>
  <c r="O36" i="2"/>
  <c r="AA36" i="2" s="1"/>
  <c r="AD34" i="2"/>
  <c r="AG34" i="2"/>
  <c r="AD91" i="2"/>
  <c r="AG91" i="2"/>
  <c r="AD63" i="2" l="1"/>
  <c r="AJ63" i="2"/>
  <c r="AG63" i="2"/>
  <c r="O65" i="2"/>
  <c r="AA65" i="2" s="1"/>
  <c r="AA7" i="2"/>
  <c r="AJ7" i="2" s="1"/>
  <c r="O8" i="2"/>
  <c r="AJ36" i="2"/>
  <c r="O37" i="2"/>
  <c r="AG35" i="2"/>
  <c r="AD35" i="2"/>
  <c r="AG92" i="2"/>
  <c r="AD92" i="2"/>
  <c r="AG6" i="2"/>
  <c r="AD6" i="2"/>
  <c r="O94" i="2"/>
  <c r="AA94" i="2" s="1"/>
  <c r="AJ93" i="2"/>
  <c r="AA8" i="2" l="1"/>
  <c r="AJ8" i="2" s="1"/>
  <c r="O9" i="2"/>
  <c r="AA37" i="2"/>
  <c r="AJ37" i="2" s="1"/>
  <c r="O38" i="2"/>
  <c r="AD64" i="2"/>
  <c r="AG64" i="2"/>
  <c r="AJ64" i="2"/>
  <c r="O66" i="2"/>
  <c r="AD37" i="2"/>
  <c r="AG93" i="2"/>
  <c r="AD93" i="2"/>
  <c r="AD36" i="2"/>
  <c r="AG36" i="2"/>
  <c r="O95" i="2"/>
  <c r="AJ94" i="2"/>
  <c r="AD8" i="2"/>
  <c r="AD7" i="2"/>
  <c r="AG7" i="2"/>
  <c r="AG37" i="2" l="1"/>
  <c r="AG8" i="2"/>
  <c r="O10" i="2"/>
  <c r="AA9" i="2"/>
  <c r="O39" i="2"/>
  <c r="AA38" i="2"/>
  <c r="AA66" i="2"/>
  <c r="AG66" i="2" s="1"/>
  <c r="O67" i="2"/>
  <c r="AJ95" i="2"/>
  <c r="O96" i="2"/>
  <c r="AA95" i="2"/>
  <c r="AD95" i="2" s="1"/>
  <c r="AJ65" i="2"/>
  <c r="AD65" i="2"/>
  <c r="AG65" i="2"/>
  <c r="AG95" i="2"/>
  <c r="AG94" i="2"/>
  <c r="AD94" i="2"/>
  <c r="AD66" i="2" l="1"/>
  <c r="AJ66" i="2"/>
  <c r="AG9" i="2"/>
  <c r="AD9" i="2"/>
  <c r="AJ9" i="2"/>
  <c r="O11" i="2"/>
  <c r="AA10" i="2"/>
  <c r="AG38" i="2"/>
  <c r="AJ38" i="2"/>
  <c r="AD38" i="2"/>
  <c r="O40" i="2"/>
  <c r="AA39" i="2"/>
  <c r="AA67" i="2"/>
  <c r="O68" i="2"/>
  <c r="O97" i="2"/>
  <c r="AA96" i="2"/>
  <c r="X24" i="15"/>
  <c r="X25" i="15"/>
  <c r="X26" i="15"/>
  <c r="X27" i="15"/>
  <c r="X2" i="15"/>
  <c r="X3" i="15"/>
  <c r="O206" i="2"/>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O207" i="2" l="1"/>
  <c r="AA207" i="2" s="1"/>
  <c r="AA206" i="2"/>
  <c r="AJ10" i="2"/>
  <c r="AG10" i="2"/>
  <c r="AD10" i="2"/>
  <c r="O12" i="2"/>
  <c r="AA11" i="2"/>
  <c r="AJ39" i="2"/>
  <c r="AG39" i="2"/>
  <c r="AD39" i="2"/>
  <c r="O41" i="2"/>
  <c r="AA40" i="2"/>
  <c r="AA68" i="2"/>
  <c r="O69" i="2"/>
  <c r="AJ67" i="2"/>
  <c r="AG67" i="2"/>
  <c r="AD67" i="2"/>
  <c r="AD96" i="2"/>
  <c r="AG96" i="2"/>
  <c r="AJ96" i="2"/>
  <c r="O98" i="2"/>
  <c r="AA97" i="2"/>
  <c r="AJ206" i="2"/>
  <c r="AJ207" i="2"/>
  <c r="X21" i="15"/>
  <c r="X4" i="15"/>
  <c r="X5" i="15"/>
  <c r="X6" i="15"/>
  <c r="X7" i="15"/>
  <c r="X8" i="15"/>
  <c r="X9" i="15"/>
  <c r="X10" i="15"/>
  <c r="X11" i="15"/>
  <c r="X12" i="15"/>
  <c r="X13" i="15"/>
  <c r="X14" i="15"/>
  <c r="X15" i="15"/>
  <c r="X16" i="15"/>
  <c r="X17" i="15"/>
  <c r="X18" i="15"/>
  <c r="X19" i="15"/>
  <c r="X20" i="15"/>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J321" i="2" s="1"/>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F351" i="2"/>
  <c r="AJ351" i="2" s="1"/>
  <c r="AF352" i="2"/>
  <c r="AJ352" i="2" s="1"/>
  <c r="AF353" i="2"/>
  <c r="AJ353" i="2" s="1"/>
  <c r="AF354" i="2"/>
  <c r="AJ354" i="2" s="1"/>
  <c r="AF355" i="2"/>
  <c r="AJ355" i="2" s="1"/>
  <c r="AF356" i="2"/>
  <c r="AJ356" i="2" s="1"/>
  <c r="AF357" i="2"/>
  <c r="AJ357" i="2" s="1"/>
  <c r="AF358" i="2"/>
  <c r="AJ358" i="2" s="1"/>
  <c r="AF359" i="2"/>
  <c r="AJ359" i="2" s="1"/>
  <c r="AF360" i="2"/>
  <c r="AJ360" i="2" s="1"/>
  <c r="AF361" i="2"/>
  <c r="AJ361" i="2" s="1"/>
  <c r="AF362" i="2"/>
  <c r="AJ362" i="2" s="1"/>
  <c r="AF363" i="2"/>
  <c r="AJ363" i="2" s="1"/>
  <c r="AF364" i="2"/>
  <c r="AJ364" i="2" s="1"/>
  <c r="AF365" i="2"/>
  <c r="AJ365" i="2" s="1"/>
  <c r="AF366" i="2"/>
  <c r="AJ366" i="2" s="1"/>
  <c r="AF367" i="2"/>
  <c r="AJ367" i="2" s="1"/>
  <c r="AF368" i="2"/>
  <c r="AJ368" i="2" s="1"/>
  <c r="AF369" i="2"/>
  <c r="AJ369" i="2" s="1"/>
  <c r="AF370" i="2"/>
  <c r="AJ370" i="2" s="1"/>
  <c r="AF371" i="2"/>
  <c r="AJ371" i="2" s="1"/>
  <c r="AF372" i="2"/>
  <c r="AJ372" i="2" s="1"/>
  <c r="AF373" i="2"/>
  <c r="AJ373" i="2" s="1"/>
  <c r="AF374" i="2"/>
  <c r="AJ374" i="2" s="1"/>
  <c r="AF375" i="2"/>
  <c r="AJ375" i="2" s="1"/>
  <c r="AF376" i="2"/>
  <c r="AJ376" i="2" s="1"/>
  <c r="AF377" i="2"/>
  <c r="AJ377" i="2" s="1"/>
  <c r="AF378" i="2"/>
  <c r="AJ378" i="2" s="1"/>
  <c r="AF379" i="2"/>
  <c r="AJ379" i="2" s="1"/>
  <c r="AF380" i="2"/>
  <c r="AJ380" i="2" s="1"/>
  <c r="AF381" i="2"/>
  <c r="AJ381" i="2" s="1"/>
  <c r="AF382" i="2"/>
  <c r="AJ382" i="2" s="1"/>
  <c r="AF383" i="2"/>
  <c r="AJ383" i="2" s="1"/>
  <c r="AF384" i="2"/>
  <c r="AJ384" i="2" s="1"/>
  <c r="AF385" i="2"/>
  <c r="AJ385" i="2" s="1"/>
  <c r="AF386" i="2"/>
  <c r="AJ386" i="2" s="1"/>
  <c r="AF387" i="2"/>
  <c r="AJ387" i="2" s="1"/>
  <c r="AF388" i="2"/>
  <c r="AJ388" i="2" s="1"/>
  <c r="AF389" i="2"/>
  <c r="AJ389" i="2" s="1"/>
  <c r="AF390" i="2"/>
  <c r="AJ390" i="2" s="1"/>
  <c r="AF391" i="2"/>
  <c r="AJ391" i="2" s="1"/>
  <c r="AF392" i="2"/>
  <c r="AJ392" i="2" s="1"/>
  <c r="AF393" i="2"/>
  <c r="AJ393" i="2" s="1"/>
  <c r="AF394" i="2"/>
  <c r="AJ394" i="2" s="1"/>
  <c r="AF395" i="2"/>
  <c r="AJ395" i="2" s="1"/>
  <c r="AF396" i="2"/>
  <c r="AJ396" i="2" s="1"/>
  <c r="AF397" i="2"/>
  <c r="AJ397" i="2" s="1"/>
  <c r="AF398" i="2"/>
  <c r="AJ398" i="2" s="1"/>
  <c r="AF399" i="2"/>
  <c r="AJ399" i="2" s="1"/>
  <c r="AF400" i="2"/>
  <c r="AJ400" i="2" s="1"/>
  <c r="AF401" i="2"/>
  <c r="AJ401" i="2" s="1"/>
  <c r="AF402" i="2"/>
  <c r="AJ402" i="2" s="1"/>
  <c r="AF403" i="2"/>
  <c r="AJ403" i="2" s="1"/>
  <c r="AF404" i="2"/>
  <c r="AJ404" i="2" s="1"/>
  <c r="AF405" i="2"/>
  <c r="AJ405" i="2" s="1"/>
  <c r="AF406" i="2"/>
  <c r="AJ406" i="2" s="1"/>
  <c r="AF407" i="2"/>
  <c r="AJ407" i="2" s="1"/>
  <c r="AF408" i="2"/>
  <c r="AJ408" i="2" s="1"/>
  <c r="AF409" i="2"/>
  <c r="AJ409" i="2" s="1"/>
  <c r="AF410" i="2"/>
  <c r="AJ410" i="2" s="1"/>
  <c r="AF411" i="2"/>
  <c r="AJ411" i="2" s="1"/>
  <c r="AF412" i="2"/>
  <c r="AJ412" i="2" s="1"/>
  <c r="AF413" i="2"/>
  <c r="AJ413" i="2" s="1"/>
  <c r="AF414" i="2"/>
  <c r="AJ414" i="2" s="1"/>
  <c r="AF415" i="2"/>
  <c r="AJ415" i="2" s="1"/>
  <c r="AF416" i="2"/>
  <c r="AJ416" i="2" s="1"/>
  <c r="AF417" i="2"/>
  <c r="AJ417" i="2" s="1"/>
  <c r="AF418" i="2"/>
  <c r="AJ418" i="2" s="1"/>
  <c r="AF419" i="2"/>
  <c r="AJ419" i="2" s="1"/>
  <c r="AF420" i="2"/>
  <c r="AJ420" i="2" s="1"/>
  <c r="AF421" i="2"/>
  <c r="AJ421" i="2" s="1"/>
  <c r="AF422" i="2"/>
  <c r="AJ422" i="2" s="1"/>
  <c r="AF423" i="2"/>
  <c r="AJ423" i="2" s="1"/>
  <c r="AF424" i="2"/>
  <c r="AJ424" i="2" s="1"/>
  <c r="AF425" i="2"/>
  <c r="AJ425" i="2" s="1"/>
  <c r="AF426" i="2"/>
  <c r="AJ426" i="2" s="1"/>
  <c r="AF427" i="2"/>
  <c r="AJ427" i="2" s="1"/>
  <c r="AF428" i="2"/>
  <c r="AJ428" i="2" s="1"/>
  <c r="AF429" i="2"/>
  <c r="AJ429" i="2" s="1"/>
  <c r="AF430" i="2"/>
  <c r="AJ430" i="2" s="1"/>
  <c r="AF431" i="2"/>
  <c r="AJ431" i="2" s="1"/>
  <c r="AF432" i="2"/>
  <c r="AJ432" i="2" s="1"/>
  <c r="AF433" i="2"/>
  <c r="AJ433" i="2" s="1"/>
  <c r="AF434" i="2"/>
  <c r="AJ434" i="2" s="1"/>
  <c r="AF435" i="2"/>
  <c r="AJ435" i="2" s="1"/>
  <c r="AF436" i="2"/>
  <c r="AJ436" i="2" s="1"/>
  <c r="AF437" i="2"/>
  <c r="AJ437" i="2" s="1"/>
  <c r="AF438" i="2"/>
  <c r="AJ438" i="2" s="1"/>
  <c r="AF439" i="2"/>
  <c r="AJ439" i="2" s="1"/>
  <c r="AF440" i="2"/>
  <c r="AJ440" i="2" s="1"/>
  <c r="AF441" i="2"/>
  <c r="AJ441" i="2" s="1"/>
  <c r="AF442" i="2"/>
  <c r="AJ442" i="2" s="1"/>
  <c r="AF443" i="2"/>
  <c r="AJ443" i="2" s="1"/>
  <c r="AF444" i="2"/>
  <c r="AJ444" i="2" s="1"/>
  <c r="AF445" i="2"/>
  <c r="AJ445" i="2" s="1"/>
  <c r="AF446" i="2"/>
  <c r="AJ446" i="2" s="1"/>
  <c r="AF447" i="2"/>
  <c r="AJ447" i="2" s="1"/>
  <c r="AF448" i="2"/>
  <c r="AJ448" i="2" s="1"/>
  <c r="AF449" i="2"/>
  <c r="AJ449" i="2" s="1"/>
  <c r="AF450" i="2"/>
  <c r="AJ450" i="2" s="1"/>
  <c r="AF451" i="2"/>
  <c r="AJ451" i="2" s="1"/>
  <c r="AF452" i="2"/>
  <c r="AJ452" i="2" s="1"/>
  <c r="AF453" i="2"/>
  <c r="AJ453" i="2" s="1"/>
  <c r="AF454" i="2"/>
  <c r="AJ454" i="2" s="1"/>
  <c r="AF455" i="2"/>
  <c r="AJ455" i="2" s="1"/>
  <c r="AF456" i="2"/>
  <c r="AJ456" i="2" s="1"/>
  <c r="AF457" i="2"/>
  <c r="AJ457" i="2" s="1"/>
  <c r="AF458" i="2"/>
  <c r="AJ458" i="2" s="1"/>
  <c r="AF459" i="2"/>
  <c r="AJ459" i="2" s="1"/>
  <c r="AF460" i="2"/>
  <c r="AJ460" i="2" s="1"/>
  <c r="AF461" i="2"/>
  <c r="AJ461" i="2" s="1"/>
  <c r="AF462" i="2"/>
  <c r="AJ462" i="2" s="1"/>
  <c r="AF463" i="2"/>
  <c r="AJ463" i="2" s="1"/>
  <c r="AF464" i="2"/>
  <c r="AJ464" i="2" s="1"/>
  <c r="AF465" i="2"/>
  <c r="AJ465" i="2" s="1"/>
  <c r="AF466" i="2"/>
  <c r="AJ466" i="2" s="1"/>
  <c r="AF467" i="2"/>
  <c r="AJ467" i="2" s="1"/>
  <c r="AF468" i="2"/>
  <c r="AJ468" i="2" s="1"/>
  <c r="AF469" i="2"/>
  <c r="AJ469" i="2" s="1"/>
  <c r="AF470" i="2"/>
  <c r="AJ470" i="2" s="1"/>
  <c r="AF471" i="2"/>
  <c r="AJ471" i="2" s="1"/>
  <c r="AF472" i="2"/>
  <c r="AJ472" i="2" s="1"/>
  <c r="AF473" i="2"/>
  <c r="AJ473" i="2" s="1"/>
  <c r="AF474" i="2"/>
  <c r="AJ474" i="2" s="1"/>
  <c r="AF475" i="2"/>
  <c r="AJ475" i="2" s="1"/>
  <c r="AF476" i="2"/>
  <c r="AJ476" i="2" s="1"/>
  <c r="AF477" i="2"/>
  <c r="AJ477" i="2" s="1"/>
  <c r="AF478" i="2"/>
  <c r="AJ478" i="2" s="1"/>
  <c r="AF479" i="2"/>
  <c r="AJ479" i="2" s="1"/>
  <c r="AF480" i="2"/>
  <c r="AJ480" i="2" s="1"/>
  <c r="AF481" i="2"/>
  <c r="AJ481" i="2" s="1"/>
  <c r="AF482" i="2"/>
  <c r="AJ482" i="2" s="1"/>
  <c r="AF483" i="2"/>
  <c r="AJ483" i="2" s="1"/>
  <c r="AF484" i="2"/>
  <c r="AJ484" i="2" s="1"/>
  <c r="AF485" i="2"/>
  <c r="AJ485" i="2" s="1"/>
  <c r="AF486" i="2"/>
  <c r="AJ486" i="2" s="1"/>
  <c r="AF487" i="2"/>
  <c r="AJ487" i="2" s="1"/>
  <c r="AF488" i="2"/>
  <c r="AJ488" i="2" s="1"/>
  <c r="AF489" i="2"/>
  <c r="AJ489" i="2" s="1"/>
  <c r="AF490" i="2"/>
  <c r="AJ490" i="2" s="1"/>
  <c r="AF491" i="2"/>
  <c r="AJ491" i="2" s="1"/>
  <c r="AF492" i="2"/>
  <c r="AJ492" i="2" s="1"/>
  <c r="AF493" i="2"/>
  <c r="AJ493" i="2" s="1"/>
  <c r="AF494" i="2"/>
  <c r="AJ494" i="2" s="1"/>
  <c r="AF495" i="2"/>
  <c r="AJ495" i="2" s="1"/>
  <c r="AF496" i="2"/>
  <c r="AJ496" i="2" s="1"/>
  <c r="AF497" i="2"/>
  <c r="AJ497" i="2" s="1"/>
  <c r="AF498" i="2"/>
  <c r="AJ498" i="2" s="1"/>
  <c r="AF499" i="2"/>
  <c r="AJ499" i="2" s="1"/>
  <c r="AF500" i="2"/>
  <c r="AJ500" i="2" s="1"/>
  <c r="AF501" i="2"/>
  <c r="AJ501" i="2" s="1"/>
  <c r="AF502" i="2"/>
  <c r="AJ502" i="2" s="1"/>
  <c r="AF503" i="2"/>
  <c r="AJ503" i="2" s="1"/>
  <c r="AF504" i="2"/>
  <c r="AJ504" i="2" s="1"/>
  <c r="AF505" i="2"/>
  <c r="AJ505" i="2" s="1"/>
  <c r="AF506" i="2"/>
  <c r="AJ506" i="2" s="1"/>
  <c r="AF507" i="2"/>
  <c r="AJ507"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O208" i="2" l="1"/>
  <c r="AJ11" i="2"/>
  <c r="AD11" i="2"/>
  <c r="AG11" i="2"/>
  <c r="O13" i="2"/>
  <c r="AA12" i="2"/>
  <c r="AD40" i="2"/>
  <c r="AG40" i="2"/>
  <c r="AJ40" i="2"/>
  <c r="O42" i="2"/>
  <c r="AA41" i="2"/>
  <c r="O70" i="2"/>
  <c r="AA69" i="2"/>
  <c r="AG68" i="2"/>
  <c r="AD68" i="2"/>
  <c r="AJ68" i="2"/>
  <c r="AG97" i="2"/>
  <c r="AD97" i="2"/>
  <c r="AJ97" i="2"/>
  <c r="O99"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O209" i="2"/>
  <c r="AD207" i="2"/>
  <c r="AG207"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D208" i="2" l="1"/>
  <c r="AD12" i="2"/>
  <c r="AG12" i="2"/>
  <c r="AJ12" i="2"/>
  <c r="O14" i="2"/>
  <c r="AA13" i="2"/>
  <c r="AG41" i="2"/>
  <c r="AD41" i="2"/>
  <c r="AJ41" i="2"/>
  <c r="O43" i="2"/>
  <c r="AA42" i="2"/>
  <c r="AG69" i="2"/>
  <c r="AJ69" i="2"/>
  <c r="AD69" i="2"/>
  <c r="O71" i="2"/>
  <c r="AA70" i="2"/>
  <c r="AJ98" i="2"/>
  <c r="AD98" i="2"/>
  <c r="AG98" i="2"/>
  <c r="O100" i="2"/>
  <c r="AA99" i="2"/>
  <c r="AA209" i="2"/>
  <c r="AJ209" i="2" s="1"/>
  <c r="AJ208" i="2"/>
  <c r="F24" i="2"/>
  <c r="F12" i="2"/>
  <c r="F16" i="2"/>
  <c r="F25" i="2"/>
  <c r="F13" i="2"/>
  <c r="F26" i="2"/>
  <c r="F14" i="2"/>
  <c r="F7" i="2"/>
  <c r="F5" i="2"/>
  <c r="F18" i="2"/>
  <c r="F27" i="2"/>
  <c r="F15" i="2"/>
  <c r="F28" i="2"/>
  <c r="F8" i="2"/>
  <c r="F29" i="2"/>
  <c r="F17" i="2"/>
  <c r="F3" i="2"/>
  <c r="F30" i="2"/>
  <c r="F19" i="2"/>
  <c r="F20" i="2"/>
  <c r="F11" i="2"/>
  <c r="F21" i="2"/>
  <c r="F22" i="2"/>
  <c r="F2" i="2"/>
  <c r="F6" i="2"/>
  <c r="F23" i="2"/>
  <c r="F4" i="2"/>
  <c r="F9" i="2"/>
  <c r="F10" i="2"/>
  <c r="M2" i="15"/>
  <c r="K3" i="15"/>
  <c r="C3" i="15" s="1"/>
  <c r="O210" i="2"/>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G209" i="2" l="1"/>
  <c r="AD209" i="2"/>
  <c r="AD13" i="2"/>
  <c r="AJ13" i="2"/>
  <c r="AG13" i="2"/>
  <c r="O15" i="2"/>
  <c r="AA14" i="2"/>
  <c r="AJ42" i="2"/>
  <c r="AD42" i="2"/>
  <c r="AG42" i="2"/>
  <c r="O44" i="2"/>
  <c r="AA43" i="2"/>
  <c r="AD70" i="2"/>
  <c r="AG70" i="2"/>
  <c r="AJ70" i="2"/>
  <c r="O72" i="2"/>
  <c r="AA71" i="2"/>
  <c r="O101" i="2"/>
  <c r="AA100" i="2"/>
  <c r="AG99" i="2"/>
  <c r="AJ99" i="2"/>
  <c r="AD99" i="2"/>
  <c r="O211" i="2"/>
  <c r="AA210" i="2"/>
  <c r="AD210" i="2" s="1"/>
  <c r="C2" i="15"/>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1" i="2"/>
  <c r="AD282" i="2"/>
  <c r="AD286" i="2"/>
  <c r="AD287" i="2"/>
  <c r="AD293" i="2"/>
  <c r="AD294" i="2"/>
  <c r="AD295" i="2"/>
  <c r="AD296" i="2"/>
  <c r="AD298" i="2"/>
  <c r="AD306" i="2"/>
  <c r="AD30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4" i="2"/>
  <c r="AG295" i="2"/>
  <c r="AG301" i="2"/>
  <c r="AG306" i="2"/>
  <c r="AG307" i="2"/>
  <c r="AG308" i="2"/>
  <c r="AG309" i="2"/>
  <c r="AG311" i="2"/>
  <c r="AG313" i="2"/>
  <c r="AG318" i="2"/>
  <c r="AG319"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J210" i="2" l="1"/>
  <c r="AG210" i="2"/>
  <c r="AG14" i="2"/>
  <c r="AD14" i="2"/>
  <c r="AJ14" i="2"/>
  <c r="O16" i="2"/>
  <c r="AA15" i="2"/>
  <c r="AJ43" i="2"/>
  <c r="AD43" i="2"/>
  <c r="AG43" i="2"/>
  <c r="O45" i="2"/>
  <c r="AA44" i="2"/>
  <c r="AJ71" i="2"/>
  <c r="AG71" i="2"/>
  <c r="AD71" i="2"/>
  <c r="O73" i="2"/>
  <c r="AA72" i="2"/>
  <c r="AD100" i="2"/>
  <c r="AG100" i="2"/>
  <c r="AJ100" i="2"/>
  <c r="O102" i="2"/>
  <c r="AA101" i="2"/>
  <c r="O212"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O17" i="2"/>
  <c r="AA16" i="2"/>
  <c r="AJ44" i="2"/>
  <c r="AG44" i="2"/>
  <c r="AD44" i="2"/>
  <c r="O46" i="2"/>
  <c r="AA45" i="2"/>
  <c r="AG72" i="2"/>
  <c r="AJ72" i="2"/>
  <c r="AD72" i="2"/>
  <c r="O74" i="2"/>
  <c r="AA73" i="2"/>
  <c r="AG101" i="2"/>
  <c r="AJ101" i="2"/>
  <c r="AD101" i="2"/>
  <c r="O103" i="2"/>
  <c r="AA102" i="2"/>
  <c r="O213" i="2"/>
  <c r="AA212" i="2"/>
  <c r="M10" i="15"/>
  <c r="I10" i="25" s="1"/>
  <c r="K10" i="15"/>
  <c r="AD16" i="2" l="1"/>
  <c r="AJ16" i="2"/>
  <c r="AG16" i="2"/>
  <c r="O18" i="2"/>
  <c r="AA17" i="2"/>
  <c r="AD45" i="2"/>
  <c r="AJ45" i="2"/>
  <c r="AG45" i="2"/>
  <c r="O47" i="2"/>
  <c r="AA46" i="2"/>
  <c r="AG73" i="2"/>
  <c r="AD73" i="2"/>
  <c r="AJ73" i="2"/>
  <c r="O75" i="2"/>
  <c r="AA74" i="2"/>
  <c r="AD102" i="2"/>
  <c r="AG102" i="2"/>
  <c r="AJ102" i="2"/>
  <c r="O104" i="2"/>
  <c r="AA103" i="2"/>
  <c r="O214"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O19" i="2"/>
  <c r="AA18" i="2"/>
  <c r="AG46" i="2"/>
  <c r="AD46" i="2"/>
  <c r="AJ46" i="2"/>
  <c r="O48" i="2"/>
  <c r="AA47" i="2"/>
  <c r="AG74" i="2"/>
  <c r="AD74" i="2"/>
  <c r="AJ74" i="2"/>
  <c r="O76" i="2"/>
  <c r="AA75" i="2"/>
  <c r="O105" i="2"/>
  <c r="AA104" i="2"/>
  <c r="AG103" i="2"/>
  <c r="AJ103" i="2"/>
  <c r="AD103" i="2"/>
  <c r="AG213" i="2"/>
  <c r="AJ213" i="2"/>
  <c r="AD213" i="2"/>
  <c r="O215" i="2"/>
  <c r="AA214" i="2"/>
  <c r="F117" i="2"/>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AG18" i="2" l="1"/>
  <c r="AD18" i="2"/>
  <c r="AJ18" i="2"/>
  <c r="O20" i="2"/>
  <c r="AA19" i="2"/>
  <c r="AJ47" i="2"/>
  <c r="AG47" i="2"/>
  <c r="AD47" i="2"/>
  <c r="O49" i="2"/>
  <c r="AA48" i="2"/>
  <c r="AJ75" i="2"/>
  <c r="AG75" i="2"/>
  <c r="AD75" i="2"/>
  <c r="O77" i="2"/>
  <c r="AA76" i="2"/>
  <c r="AD104" i="2"/>
  <c r="AJ104" i="2"/>
  <c r="AG104" i="2"/>
  <c r="O106" i="2"/>
  <c r="AA105" i="2"/>
  <c r="AJ214" i="2"/>
  <c r="AG214" i="2"/>
  <c r="AD214" i="2"/>
  <c r="O216" i="2"/>
  <c r="AA215" i="2"/>
  <c r="F78" i="2"/>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AG19" i="2" l="1"/>
  <c r="AD19" i="2"/>
  <c r="AJ19" i="2"/>
  <c r="O21" i="2"/>
  <c r="AA20" i="2"/>
  <c r="AJ48" i="2"/>
  <c r="AG48" i="2"/>
  <c r="AD48" i="2"/>
  <c r="O50" i="2"/>
  <c r="AA49" i="2"/>
  <c r="AD76" i="2"/>
  <c r="AG76" i="2"/>
  <c r="AJ76" i="2"/>
  <c r="O78" i="2"/>
  <c r="AA77" i="2"/>
  <c r="AJ105" i="2"/>
  <c r="AD105" i="2"/>
  <c r="AG105" i="2"/>
  <c r="O107" i="2"/>
  <c r="AA106" i="2"/>
  <c r="O217" i="2"/>
  <c r="AA216" i="2"/>
  <c r="AJ215" i="2"/>
  <c r="AG215" i="2"/>
  <c r="AD215" i="2"/>
  <c r="H68" i="2"/>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O22" i="2"/>
  <c r="AA21" i="2"/>
  <c r="AG49" i="2"/>
  <c r="AJ49" i="2"/>
  <c r="AD49" i="2"/>
  <c r="O51" i="2"/>
  <c r="AA50" i="2"/>
  <c r="AJ77" i="2"/>
  <c r="AG77" i="2"/>
  <c r="AD77" i="2"/>
  <c r="O79" i="2"/>
  <c r="AA78" i="2"/>
  <c r="AD106" i="2"/>
  <c r="AG106" i="2"/>
  <c r="AJ106" i="2"/>
  <c r="O108" i="2"/>
  <c r="AA107" i="2"/>
  <c r="AJ216" i="2"/>
  <c r="AG216" i="2"/>
  <c r="AD216" i="2"/>
  <c r="O218" i="2"/>
  <c r="AA217" i="2"/>
  <c r="X13" i="16"/>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AD21" i="2" l="1"/>
  <c r="AG21" i="2"/>
  <c r="AJ21" i="2"/>
  <c r="O23" i="2"/>
  <c r="AA22" i="2"/>
  <c r="AJ50" i="2"/>
  <c r="AG50" i="2"/>
  <c r="AD50" i="2"/>
  <c r="O52" i="2"/>
  <c r="AA51" i="2"/>
  <c r="AD78" i="2"/>
  <c r="AJ78" i="2"/>
  <c r="AG78" i="2"/>
  <c r="O80" i="2"/>
  <c r="AA79" i="2"/>
  <c r="AG107" i="2"/>
  <c r="AD107" i="2"/>
  <c r="AJ107" i="2"/>
  <c r="O109" i="2"/>
  <c r="AA108" i="2"/>
  <c r="AJ217" i="2"/>
  <c r="AG217" i="2"/>
  <c r="AD217" i="2"/>
  <c r="O219"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N4" i="22" s="1"/>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AD22" i="2" l="1"/>
  <c r="AJ22" i="2"/>
  <c r="AG22" i="2"/>
  <c r="O24" i="2"/>
  <c r="AA23" i="2"/>
  <c r="AG51" i="2"/>
  <c r="AJ51" i="2"/>
  <c r="AD51" i="2"/>
  <c r="O53" i="2"/>
  <c r="AA52" i="2"/>
  <c r="AJ79" i="2"/>
  <c r="AG79" i="2"/>
  <c r="AD79" i="2"/>
  <c r="O81" i="2"/>
  <c r="AA80" i="2"/>
  <c r="AD108" i="2"/>
  <c r="AG108" i="2"/>
  <c r="AJ108" i="2"/>
  <c r="O110" i="2"/>
  <c r="AA109" i="2"/>
  <c r="AD218" i="2"/>
  <c r="AJ218" i="2"/>
  <c r="AG218" i="2"/>
  <c r="O220"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S16" i="22" s="1"/>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Z3" i="22" s="1"/>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16" i="22" s="1"/>
  <c r="T40" i="16"/>
  <c r="AF18" i="16"/>
  <c r="R7" i="16"/>
  <c r="N30" i="16"/>
  <c r="P7" i="16"/>
  <c r="Q12" i="22" s="1"/>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B346" i="2"/>
  <c r="B245" i="2"/>
  <c r="B343" i="2"/>
  <c r="B382" i="2"/>
  <c r="B332" i="2"/>
  <c r="B275" i="2"/>
  <c r="B317" i="2"/>
  <c r="B286" i="2"/>
  <c r="B266" i="2"/>
  <c r="B273" i="2"/>
  <c r="C35" i="25"/>
  <c r="C32" i="25"/>
  <c r="Q29" i="22"/>
  <c r="Q36" i="22"/>
  <c r="B349" i="2"/>
  <c r="B405" i="2"/>
  <c r="B324" i="2"/>
  <c r="B309" i="2"/>
  <c r="B300" i="2"/>
  <c r="B308" i="2"/>
  <c r="B304" i="2"/>
  <c r="B298" i="2"/>
  <c r="C29" i="25"/>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45"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46" i="22"/>
  <c r="I5" i="25"/>
  <c r="C5" i="15"/>
  <c r="AS35" i="22"/>
  <c r="AS34" i="22"/>
  <c r="AS38" i="22"/>
  <c r="AJ51" i="22"/>
  <c r="AJ34" i="22"/>
  <c r="C21" i="25"/>
  <c r="N21" i="16"/>
  <c r="Z12" i="16"/>
  <c r="AG8" i="22" s="1"/>
  <c r="I6" i="25"/>
  <c r="C6" i="15"/>
  <c r="AJ41" i="22"/>
  <c r="AJ22" i="22"/>
  <c r="AS20" i="22"/>
  <c r="AS22" i="22"/>
  <c r="AS11" i="22"/>
  <c r="AS31" i="22"/>
  <c r="AS40" i="22"/>
  <c r="G16" i="25"/>
  <c r="C15" i="15"/>
  <c r="AS26" i="22"/>
  <c r="AS28" i="22"/>
  <c r="AS49" i="22"/>
  <c r="AJ48" i="22"/>
  <c r="AJ45" i="22"/>
  <c r="AS23" i="22"/>
  <c r="AJ17" i="22"/>
  <c r="AS45"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J40" i="22"/>
  <c r="AJ26" i="22"/>
  <c r="F232" i="2"/>
  <c r="C7" i="15"/>
  <c r="AS18" i="22"/>
  <c r="AS51" i="22"/>
  <c r="AJ47" i="22"/>
  <c r="C17" i="25"/>
  <c r="X9" i="16"/>
  <c r="AD5" i="22" s="1"/>
  <c r="N11" i="16"/>
  <c r="N7" i="22" s="1"/>
  <c r="C2" i="25"/>
  <c r="N22" i="16"/>
  <c r="N2" i="22" s="1"/>
  <c r="X15" i="16"/>
  <c r="C37" i="15"/>
  <c r="P24" i="16" s="1"/>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D58" i="22" l="1"/>
  <c r="Z18" i="16"/>
  <c r="AG10" i="22" s="1"/>
  <c r="AG23" i="2"/>
  <c r="AD23" i="2"/>
  <c r="AJ23" i="2"/>
  <c r="O25" i="2"/>
  <c r="AA24" i="2"/>
  <c r="AD52" i="2"/>
  <c r="AJ52" i="2"/>
  <c r="AG52" i="2"/>
  <c r="O54" i="2"/>
  <c r="AA53" i="2"/>
  <c r="AD80" i="2"/>
  <c r="AJ80" i="2"/>
  <c r="AG80" i="2"/>
  <c r="O82" i="2"/>
  <c r="AA81" i="2"/>
  <c r="AG109" i="2"/>
  <c r="AD109" i="2"/>
  <c r="AJ109" i="2"/>
  <c r="O111" i="2"/>
  <c r="AA110" i="2"/>
  <c r="AJ219" i="2"/>
  <c r="AG219" i="2"/>
  <c r="AD219" i="2"/>
  <c r="O221"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AD49" i="22"/>
  <c r="AD33" i="22"/>
  <c r="AD31" i="22"/>
  <c r="AD26" i="22"/>
  <c r="N44" i="22"/>
  <c r="W52" i="22"/>
  <c r="W53" i="22"/>
  <c r="N60" i="22"/>
  <c r="AD39" i="22"/>
  <c r="AD22" i="22"/>
  <c r="N41" i="22"/>
  <c r="N35" i="22"/>
  <c r="N48" i="22"/>
  <c r="T58" i="22"/>
  <c r="T56" i="22"/>
  <c r="AG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N15" i="22" s="1"/>
  <c r="C11" i="25"/>
  <c r="C7" i="25"/>
  <c r="X3" i="16"/>
  <c r="AD3" i="22" s="1"/>
  <c r="N7" i="16"/>
  <c r="N12" i="22" s="1"/>
  <c r="AB22" i="16"/>
  <c r="AJ2" i="22" s="1"/>
  <c r="C5" i="25"/>
  <c r="N18" i="16"/>
  <c r="N10" i="22" s="1"/>
  <c r="C16" i="25"/>
  <c r="N14" i="16"/>
  <c r="N14" i="22" s="1"/>
  <c r="AD4" i="16"/>
  <c r="AM4" i="22" s="1"/>
  <c r="C15" i="25"/>
  <c r="N16" i="16"/>
  <c r="AB4" i="16"/>
  <c r="AJ4" i="22" s="1"/>
  <c r="C6" i="25"/>
  <c r="P3" i="16"/>
  <c r="Q3" i="22" s="1"/>
  <c r="Z22" i="16"/>
  <c r="AG2" i="22" s="1"/>
  <c r="C4" i="25"/>
  <c r="N3" i="16"/>
  <c r="N3" i="22" s="1"/>
  <c r="AD24" i="2" l="1"/>
  <c r="AJ24" i="2"/>
  <c r="AG24" i="2"/>
  <c r="O26" i="2"/>
  <c r="AA25" i="2"/>
  <c r="AG53" i="2"/>
  <c r="AJ53" i="2"/>
  <c r="AD53" i="2"/>
  <c r="O55" i="2"/>
  <c r="AA54" i="2"/>
  <c r="AG81" i="2"/>
  <c r="AD81" i="2"/>
  <c r="AJ81" i="2"/>
  <c r="O83" i="2"/>
  <c r="AA82" i="2"/>
  <c r="AD110" i="2"/>
  <c r="AG110" i="2"/>
  <c r="AJ110" i="2"/>
  <c r="O112" i="2"/>
  <c r="AA111" i="2"/>
  <c r="AJ220" i="2"/>
  <c r="AG220" i="2"/>
  <c r="AD220" i="2"/>
  <c r="O222" i="2"/>
  <c r="AA221" i="2"/>
  <c r="O27" i="2" l="1"/>
  <c r="AA26" i="2"/>
  <c r="AG25" i="2"/>
  <c r="AD25" i="2"/>
  <c r="AJ25" i="2"/>
  <c r="O56" i="2"/>
  <c r="AA55" i="2"/>
  <c r="AD54" i="2"/>
  <c r="AG54" i="2"/>
  <c r="AJ54" i="2"/>
  <c r="AD82" i="2"/>
  <c r="AG82" i="2"/>
  <c r="AJ82" i="2"/>
  <c r="O84" i="2"/>
  <c r="AA83" i="2"/>
  <c r="AG111" i="2"/>
  <c r="AD111" i="2"/>
  <c r="AJ111" i="2"/>
  <c r="O113" i="2"/>
  <c r="AA112" i="2"/>
  <c r="AD221" i="2"/>
  <c r="AJ221" i="2"/>
  <c r="AG221" i="2"/>
  <c r="O223" i="2"/>
  <c r="AA222" i="2"/>
  <c r="AJ26" i="2" l="1"/>
  <c r="AD26" i="2"/>
  <c r="AG26" i="2"/>
  <c r="O28" i="2"/>
  <c r="AA27" i="2"/>
  <c r="AD55" i="2"/>
  <c r="AJ55" i="2"/>
  <c r="AG55" i="2"/>
  <c r="O57" i="2"/>
  <c r="AA56" i="2"/>
  <c r="AJ83" i="2"/>
  <c r="AD83" i="2"/>
  <c r="AG83" i="2"/>
  <c r="O85" i="2"/>
  <c r="AA84" i="2"/>
  <c r="AD112" i="2"/>
  <c r="AG112" i="2"/>
  <c r="AJ112" i="2"/>
  <c r="O114" i="2"/>
  <c r="AA113" i="2"/>
  <c r="AG222" i="2"/>
  <c r="AJ222" i="2"/>
  <c r="AD222" i="2"/>
  <c r="O224" i="2"/>
  <c r="AA223" i="2"/>
  <c r="AJ27" i="2" l="1"/>
  <c r="AG27" i="2"/>
  <c r="AD27" i="2"/>
  <c r="O29" i="2"/>
  <c r="AA28" i="2"/>
  <c r="AG56" i="2"/>
  <c r="AD56" i="2"/>
  <c r="AJ56" i="2"/>
  <c r="O58" i="2"/>
  <c r="AA57" i="2"/>
  <c r="AJ84" i="2"/>
  <c r="AD84" i="2"/>
  <c r="AG84" i="2"/>
  <c r="O86" i="2"/>
  <c r="AA85" i="2"/>
  <c r="AJ113" i="2"/>
  <c r="AG113" i="2"/>
  <c r="AD113" i="2"/>
  <c r="O115" i="2"/>
  <c r="AA114" i="2"/>
  <c r="AJ223" i="2"/>
  <c r="AG223" i="2"/>
  <c r="AD223" i="2"/>
  <c r="O225" i="2"/>
  <c r="AA224" i="2"/>
  <c r="AJ28" i="2" l="1"/>
  <c r="AG28" i="2"/>
  <c r="AD28" i="2"/>
  <c r="O30" i="2"/>
  <c r="AA30" i="2" s="1"/>
  <c r="AA29" i="2"/>
  <c r="AD57" i="2"/>
  <c r="AJ57" i="2"/>
  <c r="AG57" i="2"/>
  <c r="O59" i="2"/>
  <c r="AA59" i="2" s="1"/>
  <c r="AA58" i="2"/>
  <c r="O87" i="2"/>
  <c r="AA86" i="2"/>
  <c r="AG85" i="2"/>
  <c r="AD85" i="2"/>
  <c r="AJ85" i="2"/>
  <c r="AD114" i="2"/>
  <c r="AJ114" i="2"/>
  <c r="AG114" i="2"/>
  <c r="O116" i="2"/>
  <c r="AA115" i="2"/>
  <c r="AJ224" i="2"/>
  <c r="AD224" i="2"/>
  <c r="AG224" i="2"/>
  <c r="O226" i="2"/>
  <c r="AA225" i="2"/>
  <c r="AJ29" i="2" l="1"/>
  <c r="AD29" i="2"/>
  <c r="AG29" i="2"/>
  <c r="AG30" i="2"/>
  <c r="AJ30" i="2"/>
  <c r="AD30" i="2"/>
  <c r="AG59" i="2"/>
  <c r="AD59" i="2"/>
  <c r="AJ59" i="2"/>
  <c r="AD58" i="2"/>
  <c r="AG58" i="2"/>
  <c r="AJ58" i="2"/>
  <c r="AD86" i="2"/>
  <c r="AJ86" i="2"/>
  <c r="AG86" i="2"/>
  <c r="O88" i="2"/>
  <c r="AA88" i="2" s="1"/>
  <c r="AA87" i="2"/>
  <c r="O117" i="2"/>
  <c r="AA117" i="2" s="1"/>
  <c r="AA116" i="2"/>
  <c r="AD115" i="2"/>
  <c r="AJ115" i="2"/>
  <c r="AG115" i="2"/>
  <c r="AG225" i="2"/>
  <c r="AJ225" i="2"/>
  <c r="AD225" i="2"/>
  <c r="O227" i="2"/>
  <c r="AA226" i="2"/>
  <c r="AG87" i="2" l="1"/>
  <c r="AD87" i="2"/>
  <c r="AJ87" i="2"/>
  <c r="AD88" i="2"/>
  <c r="AG88" i="2"/>
  <c r="AJ88" i="2"/>
  <c r="AJ116" i="2"/>
  <c r="AD116" i="2"/>
  <c r="AG116" i="2"/>
  <c r="AG117" i="2"/>
  <c r="AD117" i="2"/>
  <c r="AJ117" i="2"/>
  <c r="AJ226" i="2"/>
  <c r="AG226" i="2"/>
  <c r="AD226" i="2"/>
  <c r="O228" i="2"/>
  <c r="AA227" i="2"/>
  <c r="AJ227" i="2" l="1"/>
  <c r="AG227" i="2"/>
  <c r="AD227" i="2"/>
  <c r="O229" i="2"/>
  <c r="AA228" i="2"/>
  <c r="AD228" i="2" l="1"/>
  <c r="AJ228" i="2"/>
  <c r="AG228" i="2"/>
  <c r="O230" i="2"/>
  <c r="AA229" i="2"/>
  <c r="AD229" i="2" l="1"/>
  <c r="AJ229" i="2"/>
  <c r="AG229" i="2"/>
  <c r="O231" i="2"/>
  <c r="AA230" i="2"/>
  <c r="O232" i="2" l="1"/>
  <c r="AA231" i="2"/>
  <c r="AG230" i="2"/>
  <c r="AD230" i="2"/>
  <c r="AJ230" i="2"/>
  <c r="AG231" i="2" l="1"/>
  <c r="AD231" i="2"/>
  <c r="AJ231" i="2"/>
  <c r="O233" i="2"/>
  <c r="AA233" i="2" s="1"/>
  <c r="AA232" i="2"/>
  <c r="AG232" i="2" l="1"/>
  <c r="AJ232" i="2"/>
  <c r="AD232" i="2"/>
  <c r="AG233" i="2"/>
  <c r="AD233" i="2"/>
  <c r="AJ233" i="2"/>
  <c r="X46" i="15" l="1"/>
  <c r="AA118" i="2" l="1"/>
  <c r="AD118" i="2" s="1"/>
  <c r="AJ118" i="2"/>
  <c r="O119" i="2"/>
  <c r="AA119" i="2" s="1"/>
  <c r="O120" i="2" l="1"/>
  <c r="O121" i="2" s="1"/>
  <c r="AA121" i="2"/>
  <c r="O122" i="2"/>
  <c r="AG119" i="2"/>
  <c r="AJ119" i="2"/>
  <c r="AD119" i="2"/>
  <c r="AG118" i="2"/>
  <c r="AA120" i="2"/>
  <c r="AG120" i="2" l="1"/>
  <c r="AJ120" i="2"/>
  <c r="AD120" i="2"/>
  <c r="O123" i="2"/>
  <c r="AA122" i="2"/>
  <c r="AJ121" i="2"/>
  <c r="AD121" i="2"/>
  <c r="AG121" i="2"/>
  <c r="AD122" i="2" l="1"/>
  <c r="AG122" i="2"/>
  <c r="AJ122" i="2"/>
  <c r="AA123" i="2"/>
  <c r="O124" i="2"/>
  <c r="AG123" i="2" l="1"/>
  <c r="AJ123" i="2"/>
  <c r="AD123" i="2"/>
  <c r="O125" i="2"/>
  <c r="AA124" i="2"/>
  <c r="AD124" i="2" l="1"/>
  <c r="AG124" i="2"/>
  <c r="AJ124" i="2"/>
  <c r="AA125" i="2"/>
  <c r="O126" i="2"/>
  <c r="O127" i="2" l="1"/>
  <c r="AA126" i="2"/>
  <c r="AG125" i="2"/>
  <c r="AJ125" i="2"/>
  <c r="AD125" i="2"/>
  <c r="AJ126" i="2" l="1"/>
  <c r="AG126" i="2"/>
  <c r="AD126" i="2"/>
  <c r="AA127" i="2"/>
  <c r="O128" i="2"/>
  <c r="AG127" i="2" l="1"/>
  <c r="AD127" i="2"/>
  <c r="AJ127" i="2"/>
  <c r="O129" i="2"/>
  <c r="AA128" i="2"/>
  <c r="AG128" i="2" l="1"/>
  <c r="AJ128" i="2"/>
  <c r="AD128" i="2"/>
  <c r="O130" i="2"/>
  <c r="AA129" i="2"/>
  <c r="AD129" i="2" l="1"/>
  <c r="AJ129" i="2"/>
  <c r="AG129" i="2"/>
  <c r="AA130" i="2"/>
  <c r="O131" i="2"/>
  <c r="AJ130" i="2" l="1"/>
  <c r="AD130" i="2"/>
  <c r="AG130" i="2"/>
  <c r="AA131" i="2"/>
  <c r="O132" i="2"/>
  <c r="AG131" i="2" l="1"/>
  <c r="AJ131" i="2"/>
  <c r="AD131" i="2"/>
  <c r="O133" i="2"/>
  <c r="AA132" i="2"/>
  <c r="AG132" i="2" l="1"/>
  <c r="AD132" i="2"/>
  <c r="AJ132" i="2"/>
  <c r="O134" i="2"/>
  <c r="AA133" i="2"/>
  <c r="AA134" i="2" l="1"/>
  <c r="O135" i="2"/>
  <c r="AG133" i="2"/>
  <c r="AJ133" i="2"/>
  <c r="AD133" i="2"/>
  <c r="AA135" i="2" l="1"/>
  <c r="O136" i="2"/>
  <c r="AG134" i="2"/>
  <c r="AD134" i="2"/>
  <c r="AJ134" i="2"/>
  <c r="O137" i="2" l="1"/>
  <c r="AA136" i="2"/>
  <c r="AD135" i="2"/>
  <c r="AJ135" i="2"/>
  <c r="AG135" i="2"/>
  <c r="AG136" i="2" l="1"/>
  <c r="AD136" i="2"/>
  <c r="AJ136" i="2"/>
  <c r="AA137" i="2"/>
  <c r="O138" i="2"/>
  <c r="AD137" i="2" l="1"/>
  <c r="AG137" i="2"/>
  <c r="AJ137" i="2"/>
  <c r="O139" i="2"/>
  <c r="AA138" i="2"/>
  <c r="AA139" i="2" l="1"/>
  <c r="O140" i="2"/>
  <c r="AD138" i="2"/>
  <c r="AG138" i="2"/>
  <c r="AJ138" i="2"/>
  <c r="AA140" i="2" l="1"/>
  <c r="O141" i="2"/>
  <c r="AD139" i="2"/>
  <c r="AG139" i="2"/>
  <c r="AJ139" i="2"/>
  <c r="AA141" i="2" l="1"/>
  <c r="O142" i="2"/>
  <c r="AG140" i="2"/>
  <c r="AD140" i="2"/>
  <c r="AJ140" i="2"/>
  <c r="AA142" i="2" l="1"/>
  <c r="O143" i="2"/>
  <c r="AJ141" i="2"/>
  <c r="AG141" i="2"/>
  <c r="AD141" i="2"/>
  <c r="AA143" i="2" l="1"/>
  <c r="O144" i="2"/>
  <c r="AD142" i="2"/>
  <c r="AG142" i="2"/>
  <c r="AJ142" i="2"/>
  <c r="AA144" i="2" l="1"/>
  <c r="O145" i="2"/>
  <c r="AJ143" i="2"/>
  <c r="AD143" i="2"/>
  <c r="AG143" i="2"/>
  <c r="AA145" i="2" l="1"/>
  <c r="O146" i="2"/>
  <c r="AA146" i="2" s="1"/>
  <c r="AG144" i="2"/>
  <c r="AJ144" i="2"/>
  <c r="AD144" i="2"/>
  <c r="AD146" i="2" l="1"/>
  <c r="AJ146" i="2"/>
  <c r="AG146" i="2"/>
  <c r="AG145" i="2"/>
  <c r="AD145" i="2"/>
  <c r="AJ145" i="2"/>
  <c r="AJ147" i="2"/>
  <c r="AA148" i="2"/>
  <c r="AG148" i="2" s="1"/>
  <c r="AA147" i="2"/>
  <c r="AD147" i="2" s="1"/>
  <c r="AG147" i="2"/>
  <c r="O148" i="2"/>
  <c r="O149" i="2" s="1"/>
  <c r="AA149" i="2" s="1"/>
  <c r="AG149" i="2" l="1"/>
  <c r="AJ149" i="2"/>
  <c r="AD149" i="2"/>
  <c r="O150" i="2"/>
  <c r="AJ148" i="2"/>
  <c r="AD148" i="2"/>
  <c r="AA150" i="2" l="1"/>
  <c r="O151" i="2"/>
  <c r="AA151" i="2" l="1"/>
  <c r="O152" i="2"/>
  <c r="AD150" i="2"/>
  <c r="AJ150" i="2"/>
  <c r="AG150" i="2"/>
  <c r="O153" i="2" l="1"/>
  <c r="AA152" i="2"/>
  <c r="AJ151" i="2"/>
  <c r="AG151" i="2"/>
  <c r="AD151" i="2"/>
  <c r="AG152" i="2" l="1"/>
  <c r="AJ152" i="2"/>
  <c r="AD152" i="2"/>
  <c r="AA153" i="2"/>
  <c r="O154" i="2"/>
  <c r="O155" i="2" l="1"/>
  <c r="AA154" i="2"/>
  <c r="AD153" i="2"/>
  <c r="AJ153" i="2"/>
  <c r="AG153" i="2"/>
  <c r="AJ154" i="2" l="1"/>
  <c r="AD154" i="2"/>
  <c r="AG154" i="2"/>
  <c r="O156" i="2"/>
  <c r="AA155" i="2"/>
  <c r="AA156" i="2" l="1"/>
  <c r="O157" i="2"/>
  <c r="AD155" i="2"/>
  <c r="AJ155" i="2"/>
  <c r="AG155" i="2"/>
  <c r="AA157" i="2" l="1"/>
  <c r="O158" i="2"/>
  <c r="AD156" i="2"/>
  <c r="AG156" i="2"/>
  <c r="AJ156" i="2"/>
  <c r="AA158" i="2" l="1"/>
  <c r="O159" i="2"/>
  <c r="AG157" i="2"/>
  <c r="AJ157" i="2"/>
  <c r="AD157" i="2"/>
  <c r="AA159" i="2" l="1"/>
  <c r="O160" i="2"/>
  <c r="AD158" i="2"/>
  <c r="AG158" i="2"/>
  <c r="AJ158" i="2"/>
  <c r="AA160" i="2" l="1"/>
  <c r="O161" i="2"/>
  <c r="AJ159" i="2"/>
  <c r="AG159" i="2"/>
  <c r="AD159" i="2"/>
  <c r="AA161" i="2" l="1"/>
  <c r="O162" i="2"/>
  <c r="AD160" i="2"/>
  <c r="AJ160" i="2"/>
  <c r="AG160" i="2"/>
  <c r="AA162" i="2" l="1"/>
  <c r="O163" i="2"/>
  <c r="AG161" i="2"/>
  <c r="AD161" i="2"/>
  <c r="AJ161" i="2"/>
  <c r="AA163" i="2" l="1"/>
  <c r="O164" i="2"/>
  <c r="AD162" i="2"/>
  <c r="AJ162" i="2"/>
  <c r="AG162" i="2"/>
  <c r="O165" i="2" l="1"/>
  <c r="AA164" i="2"/>
  <c r="AJ163" i="2"/>
  <c r="AD163" i="2"/>
  <c r="AG163" i="2"/>
  <c r="AA165" i="2" l="1"/>
  <c r="O166" i="2"/>
  <c r="AD164" i="2"/>
  <c r="AJ164" i="2"/>
  <c r="AG164" i="2"/>
  <c r="O167" i="2" l="1"/>
  <c r="AA166" i="2"/>
  <c r="AG165" i="2"/>
  <c r="AJ165" i="2"/>
  <c r="AD165" i="2"/>
  <c r="AG166" i="2" l="1"/>
  <c r="AJ166" i="2"/>
  <c r="AD166" i="2"/>
  <c r="O168" i="2"/>
  <c r="AA167" i="2"/>
  <c r="O169" i="2" l="1"/>
  <c r="AA168" i="2"/>
  <c r="AG167" i="2"/>
  <c r="AD167" i="2"/>
  <c r="AJ167" i="2"/>
  <c r="AG168" i="2" l="1"/>
  <c r="AD168" i="2"/>
  <c r="AJ168" i="2"/>
  <c r="O170" i="2"/>
  <c r="AA169" i="2"/>
  <c r="AG169" i="2" l="1"/>
  <c r="AJ169" i="2"/>
  <c r="AD169" i="2"/>
  <c r="O171" i="2"/>
  <c r="AA170" i="2"/>
  <c r="O172" i="2" l="1"/>
  <c r="AA171" i="2"/>
  <c r="AG170" i="2"/>
  <c r="AJ170" i="2"/>
  <c r="AD170" i="2"/>
  <c r="AD171" i="2" l="1"/>
  <c r="AG171" i="2"/>
  <c r="AJ171" i="2"/>
  <c r="AA172" i="2"/>
  <c r="O173" i="2"/>
  <c r="AA173" i="2" l="1"/>
  <c r="O174" i="2"/>
  <c r="AD172" i="2"/>
  <c r="AJ172" i="2"/>
  <c r="AG172" i="2"/>
  <c r="AA174" i="2" l="1"/>
  <c r="O175" i="2"/>
  <c r="AA175" i="2" s="1"/>
  <c r="AJ173" i="2"/>
  <c r="AD173" i="2"/>
  <c r="AG173" i="2"/>
  <c r="AD175" i="2" l="1"/>
  <c r="AG175" i="2"/>
  <c r="AJ175" i="2"/>
  <c r="AG174" i="2"/>
  <c r="AD174" i="2"/>
  <c r="AJ174" i="2"/>
  <c r="AA263" i="2"/>
  <c r="AJ263" i="2" s="1"/>
  <c r="AG263" i="2" l="1"/>
  <c r="AD263" i="2"/>
  <c r="AA176" i="2"/>
  <c r="AD176" i="2" s="1"/>
  <c r="AJ176" i="2"/>
  <c r="O177" i="2"/>
  <c r="AA177" i="2" s="1"/>
  <c r="O178" i="2" l="1"/>
  <c r="O179" i="2" s="1"/>
  <c r="O180" i="2"/>
  <c r="AA179" i="2"/>
  <c r="AD177" i="2"/>
  <c r="AG177" i="2"/>
  <c r="AJ177" i="2"/>
  <c r="AA178" i="2"/>
  <c r="AG176" i="2"/>
  <c r="AG178" i="2" l="1"/>
  <c r="AD178" i="2"/>
  <c r="AJ178" i="2"/>
  <c r="AG179" i="2"/>
  <c r="AJ179" i="2"/>
  <c r="AD179" i="2"/>
  <c r="O181" i="2"/>
  <c r="AA180" i="2"/>
  <c r="AJ180" i="2" l="1"/>
  <c r="AD180" i="2"/>
  <c r="AG180" i="2"/>
  <c r="O182" i="2"/>
  <c r="AA181" i="2"/>
  <c r="AJ181" i="2" l="1"/>
  <c r="AD181" i="2"/>
  <c r="AG181" i="2"/>
  <c r="O183" i="2"/>
  <c r="AA182" i="2"/>
  <c r="AG182" i="2" l="1"/>
  <c r="AD182" i="2"/>
  <c r="AJ182" i="2"/>
  <c r="O184" i="2"/>
  <c r="AA183" i="2"/>
  <c r="AJ183" i="2" l="1"/>
  <c r="AG183" i="2"/>
  <c r="AD183" i="2"/>
  <c r="AA184" i="2"/>
  <c r="O185" i="2"/>
  <c r="O186" i="2" l="1"/>
  <c r="AA185" i="2"/>
  <c r="AD184" i="2"/>
  <c r="AG184" i="2"/>
  <c r="AJ184" i="2"/>
  <c r="AA186" i="2" l="1"/>
  <c r="O187" i="2"/>
  <c r="AD185" i="2"/>
  <c r="AJ185" i="2"/>
  <c r="AG185" i="2"/>
  <c r="AA187" i="2" l="1"/>
  <c r="O188" i="2"/>
  <c r="AG186" i="2"/>
  <c r="AD186" i="2"/>
  <c r="AJ186" i="2"/>
  <c r="AA188" i="2" l="1"/>
  <c r="O189" i="2"/>
  <c r="AJ187" i="2"/>
  <c r="AG187" i="2"/>
  <c r="AD187" i="2"/>
  <c r="O190" i="2" l="1"/>
  <c r="AA189" i="2"/>
  <c r="AG188" i="2"/>
  <c r="AJ188" i="2"/>
  <c r="AD188" i="2"/>
  <c r="AD189" i="2" l="1"/>
  <c r="AG189" i="2"/>
  <c r="AJ189" i="2"/>
  <c r="O191" i="2"/>
  <c r="AA190" i="2"/>
  <c r="O192" i="2" l="1"/>
  <c r="AA191" i="2"/>
  <c r="AD190" i="2"/>
  <c r="AG190" i="2"/>
  <c r="AJ190" i="2"/>
  <c r="AJ191" i="2" l="1"/>
  <c r="AD191" i="2"/>
  <c r="AG191" i="2"/>
  <c r="O193" i="2"/>
  <c r="AA192" i="2"/>
  <c r="AG192" i="2" l="1"/>
  <c r="AJ192" i="2"/>
  <c r="AD192" i="2"/>
  <c r="AA193" i="2"/>
  <c r="O194" i="2"/>
  <c r="O195" i="2" l="1"/>
  <c r="AA194" i="2"/>
  <c r="AG193" i="2"/>
  <c r="AJ193" i="2"/>
  <c r="AD193" i="2"/>
  <c r="AG194" i="2" l="1"/>
  <c r="AD194" i="2"/>
  <c r="AJ194" i="2"/>
  <c r="AA195" i="2"/>
  <c r="O196" i="2"/>
  <c r="AJ195" i="2" l="1"/>
  <c r="AG195" i="2"/>
  <c r="AD195" i="2"/>
  <c r="AA196" i="2"/>
  <c r="O197" i="2"/>
  <c r="AD196" i="2" l="1"/>
  <c r="AG196" i="2"/>
  <c r="AJ196" i="2"/>
  <c r="O198" i="2"/>
  <c r="AA197" i="2"/>
  <c r="AJ197" i="2" l="1"/>
  <c r="AG197" i="2"/>
  <c r="AD197" i="2"/>
  <c r="O199" i="2"/>
  <c r="AA198" i="2"/>
  <c r="AA199" i="2" l="1"/>
  <c r="O200" i="2"/>
  <c r="AD198" i="2"/>
  <c r="AG198" i="2"/>
  <c r="AJ198" i="2"/>
  <c r="AA200" i="2" l="1"/>
  <c r="O201" i="2"/>
  <c r="AD199" i="2"/>
  <c r="AG199" i="2"/>
  <c r="AJ199" i="2"/>
  <c r="O202" i="2" l="1"/>
  <c r="AA201" i="2"/>
  <c r="AG200" i="2"/>
  <c r="AJ200" i="2"/>
  <c r="AD200" i="2"/>
  <c r="AJ201" i="2" l="1"/>
  <c r="AG201" i="2"/>
  <c r="AD201" i="2"/>
  <c r="AA202" i="2"/>
  <c r="O203" i="2"/>
  <c r="AJ202" i="2" l="1"/>
  <c r="AG202" i="2"/>
  <c r="AD202" i="2"/>
  <c r="O204" i="2"/>
  <c r="AA204" i="2" s="1"/>
  <c r="AA203" i="2"/>
  <c r="AD203" i="2" l="1"/>
  <c r="AJ203" i="2"/>
  <c r="AG203" i="2"/>
  <c r="AJ204" i="2"/>
  <c r="AD204" i="2"/>
  <c r="AG204" i="2"/>
</calcChain>
</file>

<file path=xl/sharedStrings.xml><?xml version="1.0" encoding="utf-8"?>
<sst xmlns="http://schemas.openxmlformats.org/spreadsheetml/2006/main" count="3954" uniqueCount="573">
  <si>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</si>
  <si>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</si>
  <si>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</si>
  <si>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</si>
  <si>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</si>
  <si>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</si>
  <si>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</si>
  <si>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</si>
  <si>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</si>
  <si>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</si>
  <si>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</si>
  <si>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</si>
  <si>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</si>
  <si>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</si>
  <si>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</si>
  <si>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</si>
  <si>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</si>
  <si>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</si>
  <si>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</si>
  <si>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</si>
  <si>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</si>
  <si>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</si>
  <si>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</si>
  <si>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</si>
  <si>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</si>
  <si>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</si>
  <si>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</si>
  <si>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</si>
  <si>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</si>
  <si>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</si>
  <si>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</si>
  <si>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</si>
  <si>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</si>
  <si>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</si>
  <si>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</si>
  <si>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</si>
  <si>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</si>
  <si>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</si>
  <si>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</si>
  <si>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</si>
  <si>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</si>
  <si>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</si>
  <si>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</si>
  <si>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</si>
  <si>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</si>
  <si>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</si>
  <si>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</si>
  <si>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</si>
  <si>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</si>
  <si>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</si>
  <si>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</si>
  <si>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</si>
  <si>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</si>
  <si>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</si>
  <si>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</si>
  <si>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</si>
  <si>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</si>
  <si>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</si>
  <si>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</si>
  <si>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</si>
  <si>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</si>
  <si>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</si>
  <si>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</si>
  <si>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</si>
  <si>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</si>
  <si>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</si>
  <si>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</si>
  <si>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</si>
  <si>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</si>
  <si>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</si>
  <si>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</si>
  <si>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</si>
  <si>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</si>
  <si>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</si>
  <si>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</si>
  <si>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</si>
  <si>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</si>
  <si>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</si>
  <si>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</si>
  <si>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</si>
  <si>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</si>
  <si>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</si>
  <si>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</si>
  <si>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</si>
  <si>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</si>
  <si>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</si>
  <si>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</si>
  <si>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</si>
  <si>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</si>
  <si>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</si>
  <si>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</si>
  <si>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</si>
  <si>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</si>
  <si>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</si>
  <si>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</si>
  <si>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</si>
  <si>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</si>
  <si>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</si>
  <si>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</si>
  <si>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</si>
  <si>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</si>
  <si>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</si>
  <si>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</si>
  <si>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</si>
  <si>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</si>
  <si>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</si>
  <si>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</si>
  <si>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</si>
  <si>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</si>
  <si>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</si>
  <si>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</si>
  <si>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</si>
  <si>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</si>
  <si>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</si>
  <si>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</si>
  <si>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</si>
  <si>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</si>
  <si>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</si>
  <si>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</si>
  <si>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</si>
  <si>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</si>
  <si>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</si>
  <si>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</si>
  <si>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</si>
  <si>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</si>
  <si>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</si>
  <si>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</si>
  <si>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</si>
  <si>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</si>
  <si>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</si>
  <si>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</si>
  <si>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</si>
  <si>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</si>
  <si>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</si>
  <si>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</si>
  <si>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</si>
  <si>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</si>
  <si>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</si>
  <si>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</si>
  <si>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</si>
  <si>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</si>
  <si>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</si>
  <si>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</si>
  <si>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</si>
  <si>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</si>
  <si>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</si>
  <si>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</si>
  <si>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</si>
  <si>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</si>
  <si>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</si>
  <si>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</si>
  <si>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</si>
  <si>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</si>
  <si>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</si>
  <si>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</si>
  <si>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</si>
  <si>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</si>
  <si>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</si>
  <si>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</si>
  <si>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</si>
  <si>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</si>
  <si>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</si>
  <si>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</si>
  <si>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</si>
  <si>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</si>
  <si>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</si>
  <si>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</si>
  <si>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</si>
  <si>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</si>
  <si>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</si>
  <si>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</si>
  <si>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</si>
  <si>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</si>
  <si>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</si>
  <si>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</si>
  <si>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</si>
  <si>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</si>
  <si>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</si>
  <si>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</si>
  <si>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</si>
  <si>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</si>
  <si>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</si>
  <si>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</si>
  <si>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</si>
  <si>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</si>
  <si>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</si>
  <si>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</si>
  <si>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</si>
  <si>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</si>
  <si>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</si>
  <si>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</si>
  <si>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</si>
  <si>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</si>
  <si>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</si>
  <si>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</si>
  <si>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</si>
  <si>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</si>
  <si>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</si>
  <si>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</si>
  <si>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</si>
  <si>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</si>
  <si>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</si>
  <si>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</si>
  <si>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</si>
  <si>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</si>
  <si>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</si>
  <si>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</si>
  <si>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</si>
  <si>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</si>
  <si>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</si>
  <si>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</si>
  <si>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</si>
  <si>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</si>
  <si>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</si>
  <si>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</si>
  <si>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</si>
  <si>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</si>
  <si>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</si>
  <si>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</si>
  <si>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</si>
  <si>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</si>
  <si>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</si>
  <si>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</si>
  <si>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</si>
  <si>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</si>
  <si>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</si>
  <si>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</si>
  <si>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</si>
  <si>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</si>
  <si>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</si>
  <si>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</si>
  <si>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</si>
  <si>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</si>
  <si>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</si>
  <si>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</si>
  <si>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</si>
  <si>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</si>
  <si>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</si>
  <si>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</si>
  <si>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</si>
  <si>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</si>
  <si>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</si>
  <si>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</si>
  <si>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</si>
  <si>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</si>
  <si>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</si>
  <si>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</si>
  <si>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</si>
  <si>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</si>
  <si>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</si>
  <si>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</si>
  <si>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</si>
  <si>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</si>
  <si>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</si>
  <si>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</si>
  <si>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</si>
  <si>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</si>
  <si>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</si>
  <si>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</si>
  <si>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</si>
  <si>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</si>
  <si>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</si>
  <si>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</si>
  <si>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</si>
  <si>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</si>
  <si>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</si>
  <si>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</si>
  <si>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</si>
  <si>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</si>
  <si>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</si>
  <si>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</si>
  <si>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</si>
  <si>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</si>
  <si>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</si>
  <si>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</si>
  <si>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</si>
  <si>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</si>
  <si>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</si>
  <si>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</si>
  <si>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</si>
  <si>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</si>
  <si>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</si>
  <si>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</si>
  <si>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</si>
  <si>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</si>
  <si>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</si>
  <si>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</si>
  <si>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</si>
  <si>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</si>
  <si>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</si>
  <si>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</si>
  <si>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</si>
  <si>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</si>
  <si>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</si>
  <si>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</si>
  <si>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</si>
  <si>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</si>
  <si>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</si>
  <si>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</si>
  <si>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</si>
  <si>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</si>
  <si>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</si>
  <si>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</si>
  <si>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</si>
  <si>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</si>
  <si>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</si>
  <si>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</si>
  <si>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</si>
  <si>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</si>
  <si>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</si>
  <si>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</si>
  <si>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</si>
  <si>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</si>
  <si>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</si>
  <si>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</si>
  <si>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</si>
  <si>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</si>
  <si>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</si>
  <si>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</si>
  <si>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</si>
  <si>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</si>
  <si>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</si>
  <si>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</si>
  <si>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</si>
  <si>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</si>
  <si>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</si>
  <si>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</si>
  <si>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</si>
  <si>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</si>
  <si>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</si>
  <si>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</si>
  <si>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</si>
  <si>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</si>
  <si>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</si>
  <si>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</si>
  <si>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</si>
  <si>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</si>
  <si>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</si>
  <si>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</si>
  <si>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</si>
  <si>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</si>
  <si>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</si>
  <si>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</si>
  <si>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</si>
  <si>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</si>
  <si>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</si>
  <si>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</si>
  <si>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</si>
  <si>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</si>
  <si>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</si>
  <si>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</si>
  <si>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</si>
  <si>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</si>
  <si>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</si>
  <si>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</si>
  <si>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</si>
  <si>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</si>
  <si>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</si>
  <si>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</si>
  <si>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</si>
  <si>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</si>
  <si>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</si>
  <si>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</si>
  <si>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</si>
  <si>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</si>
  <si>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</si>
  <si>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</si>
  <si>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</si>
  <si>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</si>
  <si>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</si>
  <si>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</si>
  <si>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</si>
  <si>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</si>
  <si>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</si>
  <si>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</si>
  <si>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</si>
  <si>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</si>
  <si>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</si>
  <si>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</si>
  <si>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</si>
  <si>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</si>
  <si>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</si>
  <si>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</si>
  <si>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</si>
  <si>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</si>
  <si>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</si>
  <si>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</si>
  <si>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</si>
  <si>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</si>
  <si>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</si>
  <si>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</si>
  <si>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</si>
  <si>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</si>
  <si>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</si>
  <si>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</si>
  <si>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</si>
  <si>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</si>
  <si>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</si>
  <si>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</si>
  <si>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</si>
  <si>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</si>
  <si>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</si>
  <si>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</si>
  <si>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</si>
  <si>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</si>
  <si>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</si>
  <si>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</si>
  <si>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</si>
  <si>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</si>
  <si>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</si>
  <si>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</si>
  <si>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</si>
  <si>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</si>
  <si>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</si>
  <si>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</si>
  <si>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</si>
  <si>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</si>
  <si>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</si>
  <si>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</si>
  <si>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</si>
  <si>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</si>
  <si>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</si>
  <si>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</si>
  <si>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</si>
  <si>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</si>
  <si>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</si>
  <si>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</si>
  <si>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</si>
  <si>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</si>
  <si>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</si>
  <si>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</si>
  <si>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</si>
  <si>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</si>
  <si>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</si>
  <si>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</si>
  <si>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</si>
  <si>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</si>
  <si>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</si>
  <si>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</si>
  <si>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</si>
  <si>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</si>
  <si>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</si>
  <si>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</si>
  <si>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</si>
  <si>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</si>
  <si>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</si>
  <si>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</si>
  <si>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</si>
  <si>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</si>
  <si>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</si>
  <si>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</si>
  <si>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</si>
  <si>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</si>
  <si>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</si>
  <si>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</si>
  <si>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</si>
  <si>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</si>
  <si>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</si>
  <si>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</si>
  <si>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</si>
  <si>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</si>
  <si>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</si>
  <si>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</si>
  <si>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</si>
  <si>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</si>
  <si>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</si>
  <si>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</si>
  <si>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</si>
  <si>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</si>
  <si>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</si>
  <si>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</si>
  <si>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</si>
  <si>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</si>
  <si>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</si>
  <si>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</si>
  <si>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</si>
  <si>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</si>
  <si>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</si>
  <si>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</si>
  <si>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</si>
  <si>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</si>
  <si>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</si>
  <si>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</si>
  <si>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</si>
  <si>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</si>
  <si>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</si>
  <si>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</si>
  <si>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</si>
  <si>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</si>
  <si>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</si>
  <si>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</si>
  <si>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</si>
  <si>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</si>
  <si>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</si>
  <si>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</si>
  <si>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</si>
  <si>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</si>
  <si>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</si>
  <si>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</si>
  <si>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</si>
  <si>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</si>
  <si>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</si>
  <si>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</si>
  <si>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</si>
  <si>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</si>
  <si>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</si>
  <si>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</si>
  <si>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</si>
  <si>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</si>
  <si>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</si>
  <si>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</si>
  <si>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</si>
  <si>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</si>
  <si>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</si>
  <si>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</si>
  <si>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</si>
  <si>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</si>
  <si>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</si>
  <si>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</si>
  <si>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</si>
  <si>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</si>
  <si>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</si>
  <si>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</si>
  <si>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</si>
  <si>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</si>
  <si>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</si>
  <si>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</si>
  <si>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</si>
  <si>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</si>
  <si>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</si>
  <si>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</si>
  <si>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</si>
  <si>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</si>
  <si>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</si>
  <si>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</si>
  <si>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</si>
  <si>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</si>
  <si>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</si>
  <si>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</si>
  <si>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</si>
  <si>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</si>
  <si>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</si>
  <si>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</si>
  <si>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</si>
  <si>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</si>
  <si>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</si>
  <si>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</si>
  <si>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</si>
  <si>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</si>
  <si>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</si>
  <si>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</si>
  <si>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</si>
  <si>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</si>
  <si>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</si>
  <si>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</si>
  <si>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</si>
  <si>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</si>
  <si>
    <t>Environment_Stock</t>
  </si>
  <si>
    <t>Environment-from Rye-Grain_Processing &amp; Consumption</t>
  </si>
  <si>
    <t>Environment-from Rye-Straw (non-mobilizable)_Degradation</t>
  </si>
  <si>
    <t>Environment-from MBC-Production-Delta</t>
  </si>
  <si>
    <t>CO2-from MBC-Production-Delta</t>
  </si>
  <si>
    <t>CO2-from MBC-Production waste</t>
  </si>
  <si>
    <t>Environment-from MBC-Production waste</t>
  </si>
  <si>
    <t>Environment-from Biogas-Production-Delta</t>
  </si>
  <si>
    <t>CO2-from Biogas-Production-Delta</t>
  </si>
  <si>
    <t>C-from MBC (EoL)-Incineration</t>
  </si>
  <si>
    <t>C-from MBC (EoL)-Pyrolysis</t>
  </si>
  <si>
    <t>Environment-from MBC (EoL)-Pyrolysis</t>
  </si>
  <si>
    <t>Environment-from Biogas-Incineration</t>
  </si>
  <si>
    <t>Environment-from MBC (EoL)-Incineration</t>
  </si>
  <si>
    <t>Rye - Straw - mobilisable technical potential_Use</t>
  </si>
  <si>
    <t>Rye - Straw - mobilisable technical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</si>
</sst>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7" formatCode="#,##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3">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167" fontId="11" fillId="11" borderId="0" xfId="9"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7" borderId="21" xfId="7"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4" t="s">
        <v>220</v>
      </c>
      <c r="C11" s="144"/>
      <c r="D11" s="144"/>
      <c r="E11" s="144"/>
      <c r="F11" s="144"/>
      <c r="G11" s="144"/>
      <c r="H11" s="144"/>
      <c r="I11" s="144"/>
      <c r="J11" s="144"/>
      <c r="K11" s="144"/>
      <c r="L11" s="144"/>
      <c r="M11" s="144"/>
    </row>
    <row r="12" spans="2:13" x14ac:dyDescent="0.25">
      <c r="B12" s="144"/>
      <c r="C12" s="144"/>
      <c r="D12" s="144"/>
      <c r="E12" s="144"/>
      <c r="F12" s="144"/>
      <c r="G12" s="144"/>
      <c r="H12" s="144"/>
      <c r="I12" s="144"/>
      <c r="J12" s="144"/>
      <c r="K12" s="144"/>
      <c r="L12" s="144"/>
      <c r="M12" s="144"/>
    </row>
    <row r="13" spans="2:13" x14ac:dyDescent="0.25">
      <c r="B13" s="144"/>
      <c r="C13" s="144"/>
      <c r="D13" s="144"/>
      <c r="E13" s="144"/>
      <c r="F13" s="144"/>
      <c r="G13" s="144"/>
      <c r="H13" s="144"/>
      <c r="I13" s="144"/>
      <c r="J13" s="144"/>
      <c r="K13" s="144"/>
      <c r="L13" s="144"/>
      <c r="M13" s="144"/>
    </row>
    <row r="14" spans="2:13" x14ac:dyDescent="0.25">
      <c r="B14" s="145" t="s">
        <v>221</v>
      </c>
      <c r="C14" s="145"/>
      <c r="D14" s="145"/>
      <c r="E14" s="145"/>
      <c r="F14" s="145"/>
      <c r="G14" s="145"/>
      <c r="H14" s="145"/>
      <c r="I14" s="145"/>
      <c r="J14" s="145"/>
      <c r="K14" s="145"/>
      <c r="L14" s="145"/>
    </row>
    <row r="15" spans="2:13" x14ac:dyDescent="0.25">
      <c r="B15" s="145"/>
      <c r="C15" s="145"/>
      <c r="D15" s="145"/>
      <c r="E15" s="145"/>
      <c r="F15" s="145"/>
      <c r="G15" s="145"/>
      <c r="H15" s="145"/>
      <c r="I15" s="145"/>
      <c r="J15" s="145"/>
      <c r="K15" s="145"/>
      <c r="L15" s="145"/>
    </row>
    <row r="16" spans="2:13" x14ac:dyDescent="0.25">
      <c r="B16" s="145"/>
      <c r="C16" s="145"/>
      <c r="D16" s="145"/>
      <c r="E16" s="145"/>
      <c r="F16" s="145"/>
      <c r="G16" s="145"/>
      <c r="H16" s="145"/>
      <c r="I16" s="145"/>
      <c r="J16" s="145"/>
      <c r="K16" s="145"/>
      <c r="L16" s="145"/>
    </row>
    <row r="17" spans="2:12" x14ac:dyDescent="0.25">
      <c r="B17" s="145"/>
      <c r="C17" s="145"/>
      <c r="D17" s="145"/>
      <c r="E17" s="145"/>
      <c r="F17" s="145"/>
      <c r="G17" s="145"/>
      <c r="H17" s="145"/>
      <c r="I17" s="145"/>
      <c r="J17" s="145"/>
      <c r="K17" s="145"/>
      <c r="L17" s="145"/>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tabSelected="1" zoomScale="130" zoomScaleNormal="130" workbookViewId="0">
      <pane xSplit="4" ySplit="13" topLeftCell="J14" activePane="bottomRight" state="frozen"/>
      <selection pane="topRight" activeCell="E1" sqref="E1"/>
      <selection pane="bottomLeft" activeCell="A14" sqref="A14"/>
      <selection pane="bottomRight" activeCell="J47" sqref="J47"/>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520</v>
      </c>
      <c r="K2" s="49" t="str">
        <f>_xlfn.XLOOKUP(J2,Tab_Def_Processes[Name(EN)],Tab_Def_Processes[Process_ID],,0,)</f>
        <v>13_Rye_BB</v>
      </c>
      <c r="L2" s="51" t="s">
        <v>527</v>
      </c>
      <c r="M2" s="61" t="str">
        <f>_xlfn.XLOOKUP(L2,Tab_Def_Processes[Name(EN)],Tab_Def_Processes[Process_ID],,0,)</f>
        <v>20_Rye_BB</v>
      </c>
      <c r="N2" s="51" t="s">
        <v>406</v>
      </c>
      <c r="O2" s="92" t="s">
        <v>68</v>
      </c>
      <c r="P2" s="51" t="s">
        <v>68</v>
      </c>
      <c r="Q2" s="96" t="s">
        <v>68</v>
      </c>
      <c r="R2" s="134">
        <f>1-Tab_Def_Flows[[#This Row],[DM]]</f>
        <v>0.14000000000000001</v>
      </c>
      <c r="S2" s="135" t="s">
        <v>529</v>
      </c>
      <c r="T2" s="134">
        <v>0.86</v>
      </c>
      <c r="U2" s="135" t="s">
        <v>529</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527</v>
      </c>
      <c r="K3" s="49" t="str">
        <f>_xlfn.XLOOKUP(J3,Tab_Def_Processes[Name(EN)],Tab_Def_Processes[Process_ID],,0,)</f>
        <v>20_Rye_BB</v>
      </c>
      <c r="L3" s="51" t="s">
        <v>522</v>
      </c>
      <c r="M3" s="61" t="str">
        <f>_xlfn.XLOOKUP(L3,Tab_Def_Processes[Name(EN)],Tab_Def_Processes[Process_ID],,0,)</f>
        <v>15_Rye_BB</v>
      </c>
      <c r="N3" s="51" t="s">
        <v>401</v>
      </c>
      <c r="O3" s="92" t="s">
        <v>68</v>
      </c>
      <c r="P3" s="51" t="s">
        <v>68</v>
      </c>
      <c r="Q3" s="96" t="s">
        <v>68</v>
      </c>
      <c r="R3" s="134">
        <f>1-Tab_Def_Flows[[#This Row],[DM]]</f>
        <v>0.14000000000000001</v>
      </c>
      <c r="S3" s="135" t="s">
        <v>529</v>
      </c>
      <c r="T3" s="134">
        <v>0.86</v>
      </c>
      <c r="U3" s="135" t="s">
        <v>529</v>
      </c>
      <c r="V3" s="134">
        <v>0.48</v>
      </c>
      <c r="W3" s="137" t="s">
        <v>426</v>
      </c>
      <c r="X3" s="138">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527</v>
      </c>
      <c r="K4" s="49" t="str">
        <f>_xlfn.XLOOKUP(J4,Tab_Def_Processes[Name(EN)],Tab_Def_Processes[Process_ID],,0,)</f>
        <v>20_Rye_BB</v>
      </c>
      <c r="L4" s="51" t="s">
        <v>507</v>
      </c>
      <c r="M4" s="61" t="str">
        <f>_xlfn.XLOOKUP(L4,Tab_Def_Processes[Name(EN)],Tab_Def_Processes[Process_ID],,0,)</f>
        <v>01_Bio_BB</v>
      </c>
      <c r="N4" s="51" t="s">
        <v>401</v>
      </c>
      <c r="O4" s="92" t="s">
        <v>68</v>
      </c>
      <c r="P4" s="51" t="s">
        <v>68</v>
      </c>
      <c r="Q4" s="96" t="s">
        <v>68</v>
      </c>
      <c r="R4" s="134">
        <f>1-Tab_Def_Flows[[#This Row],[DM]]</f>
        <v>0.14000000000000001</v>
      </c>
      <c r="S4" s="135" t="s">
        <v>529</v>
      </c>
      <c r="T4" s="134">
        <v>0.86</v>
      </c>
      <c r="U4" s="135" t="s">
        <v>529</v>
      </c>
      <c r="V4" s="134">
        <v>0.48</v>
      </c>
      <c r="W4" s="137" t="s">
        <v>426</v>
      </c>
      <c r="X4" s="138">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527</v>
      </c>
      <c r="K5" s="49" t="str">
        <f>_xlfn.XLOOKUP(J5,Tab_Def_Processes[Name(EN)],Tab_Def_Processes[Process_ID],,0,)</f>
        <v>20_Rye_BB</v>
      </c>
      <c r="L5" s="51" t="s">
        <v>523</v>
      </c>
      <c r="M5" s="61" t="str">
        <f>_xlfn.XLOOKUP(L5,Tab_Def_Processes[Name(EN)],Tab_Def_Processes[Process_ID],,0,)</f>
        <v>16_Rye_BB</v>
      </c>
      <c r="N5" s="51" t="s">
        <v>401</v>
      </c>
      <c r="O5" s="92" t="s">
        <v>68</v>
      </c>
      <c r="P5" s="51" t="s">
        <v>68</v>
      </c>
      <c r="Q5" s="96" t="s">
        <v>68</v>
      </c>
      <c r="R5" s="134">
        <f>1-Tab_Def_Flows[[#This Row],[DM]]</f>
        <v>0.14000000000000001</v>
      </c>
      <c r="S5" s="135" t="s">
        <v>529</v>
      </c>
      <c r="T5" s="134">
        <v>0.86</v>
      </c>
      <c r="U5" s="135" t="s">
        <v>529</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510</v>
      </c>
      <c r="K6" s="49" t="str">
        <f>_xlfn.XLOOKUP(J6,Tab_Def_Processes[Name(EN)],Tab_Def_Processes[Process_ID],,0,)</f>
        <v>04_Cow_BB</v>
      </c>
      <c r="L6" s="51" t="s">
        <v>507</v>
      </c>
      <c r="M6" s="61" t="str">
        <f>_xlfn.XLOOKUP(L6,Tab_Def_Processes[Name(EN)],Tab_Def_Processes[Process_ID],,0,)</f>
        <v>01_Bio_BB</v>
      </c>
      <c r="N6" s="51"/>
      <c r="O6" s="92" t="s">
        <v>68</v>
      </c>
      <c r="P6" s="51" t="s">
        <v>68</v>
      </c>
      <c r="Q6" s="96" t="s">
        <v>68</v>
      </c>
      <c r="R6" s="134">
        <f>1-Tab_Def_Flows[[#This Row],[DM]]</f>
        <v>0.93799999999999994</v>
      </c>
      <c r="S6" s="137" t="s">
        <v>530</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507</v>
      </c>
      <c r="K7" s="49" t="str">
        <f>_xlfn.XLOOKUP(J7,Tab_Def_Processes[Name(EN)],Tab_Def_Processes[Process_ID],,0,)</f>
        <v>01_Bio_BB</v>
      </c>
      <c r="L7" s="51" t="s">
        <v>511</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507</v>
      </c>
      <c r="K8" s="49" t="str">
        <f>_xlfn.XLOOKUP(J8,Tab_Def_Processes[Name(EN)],Tab_Def_Processes[Process_ID],,0,)</f>
        <v>01_Bio_BB</v>
      </c>
      <c r="L8" s="51" t="s">
        <v>508</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508</v>
      </c>
      <c r="K9" s="49" t="str">
        <f>_xlfn.XLOOKUP(J9,Tab_Def_Processes[Name(EN)],Tab_Def_Processes[Process_ID],,0,)</f>
        <v>02_MBC_BB</v>
      </c>
      <c r="L9" s="51" t="s">
        <v>509</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509</v>
      </c>
      <c r="K10" s="49" t="str">
        <f>_xlfn.XLOOKUP(J10,Tab_Def_Processes[Name(EN)],Tab_Def_Processes[Process_ID],,0,)</f>
        <v>03_MBC_BB</v>
      </c>
      <c r="L10" s="51" t="s">
        <v>513</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508</v>
      </c>
      <c r="K11" s="49" t="str">
        <f>_xlfn.XLOOKUP(J11,Tab_Def_Processes[Name(EN)],Tab_Def_Processes[Process_ID],,0,)</f>
        <v>02_MBC_BB</v>
      </c>
      <c r="L11" s="51" t="s">
        <v>512</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517</v>
      </c>
      <c r="K12" s="49" t="str">
        <f>_xlfn.XLOOKUP(J12,Tab_Def_Processes[Name(EN)],Tab_Def_Processes[Process_ID],,0,)</f>
        <v>11_Mil_BB</v>
      </c>
      <c r="L12" s="51" t="s">
        <v>508</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514</v>
      </c>
      <c r="K13" s="49" t="str">
        <f>_xlfn.XLOOKUP(J13,Tab_Def_Processes[Name(EN)],Tab_Def_Processes[Process_ID],,0,)</f>
        <v>08_Wat_BB</v>
      </c>
      <c r="L13" s="51" t="s">
        <v>508</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508</v>
      </c>
      <c r="K14" s="49" t="str">
        <f>_xlfn.XLOOKUP(J14,Tab_Def_Processes[Name(EN)],Tab_Def_Processes[Process_ID],,0,)</f>
        <v>02_MBC_BB</v>
      </c>
      <c r="L14" s="51" t="s">
        <v>521</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508</v>
      </c>
      <c r="K15" s="49" t="str">
        <f>_xlfn.XLOOKUP(J15,Tab_Def_Processes[Name(EN)],Tab_Def_Processes[Process_ID],,0,)</f>
        <v>02_MBC_BB</v>
      </c>
      <c r="L15" s="51" t="s">
        <v>519</v>
      </c>
      <c r="M15" s="61" t="str">
        <f>_xlfn.XLOOKUP(L15,Tab_Def_Processes[Name(EN)],Tab_Def_Processes[Process_ID],,0,)</f>
        <v>12_MBC_BB</v>
      </c>
      <c r="N15" s="51"/>
      <c r="O15" s="92" t="s">
        <v>68</v>
      </c>
      <c r="P15" s="51" t="s">
        <v>68</v>
      </c>
      <c r="Q15" s="96" t="s">
        <v>68</v>
      </c>
      <c r="R15" s="134">
        <f>1-Tab_Def_Flows[[#This Row],[DM]]</f>
        <v>0</v>
      </c>
      <c r="S15" s="139"/>
      <c r="T15" s="140">
        <v>1</v>
      </c>
      <c r="U15" s="139"/>
      <c r="V15" s="140">
        <v>0.36707297009656997</v>
      </c>
      <c r="W15" s="139"/>
      <c r="X15" s="141">
        <f>Tab_Def_Flows[[#This Row],[CC_DM'[%']]]*Tab_Def_Flows[[#This Row],[DM]]</f>
        <v>0.36707297009656997</v>
      </c>
      <c r="Y15" s="51"/>
    </row>
    <row r="16" spans="1:25" x14ac:dyDescent="0.25">
      <c r="A16" s="90" t="b">
        <v>0</v>
      </c>
      <c r="B16" s="114" t="s">
        <v>436</v>
      </c>
      <c r="C16" s="49" t="str">
        <f t="shared" si="0"/>
        <v>F_07_09</v>
      </c>
      <c r="D16" s="51" t="s">
        <v>494</v>
      </c>
      <c r="E16" s="89" t="s">
        <v>387</v>
      </c>
      <c r="F16" s="51" t="s">
        <v>350</v>
      </c>
      <c r="G16" s="89"/>
      <c r="H16" s="51" t="s">
        <v>376</v>
      </c>
      <c r="I16" s="89"/>
      <c r="J16" s="92" t="s">
        <v>513</v>
      </c>
      <c r="K16" s="49" t="str">
        <f>_xlfn.XLOOKUP(J16,Tab_Def_Processes[Name(EN)],Tab_Def_Processes[Process_ID],,0,)</f>
        <v>07_MBC_BB</v>
      </c>
      <c r="L16" s="51" t="s">
        <v>515</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513</v>
      </c>
      <c r="K17" s="49" t="str">
        <f>_xlfn.XLOOKUP(J17,Tab_Def_Processes[Name(EN)],Tab_Def_Processes[Process_ID],,0,)</f>
        <v>07_MBC_BB</v>
      </c>
      <c r="L17" s="51" t="s">
        <v>516</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515</v>
      </c>
      <c r="K18" s="49" t="str">
        <f>_xlfn.XLOOKUP(J18,Tab_Def_Processes[Name(EN)],Tab_Def_Processes[Process_ID],,0,)</f>
        <v>09_MBC_BB</v>
      </c>
      <c r="L18" s="51" t="s">
        <v>524</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F_10_22</v>
      </c>
      <c r="D19" s="51" t="s">
        <v>497</v>
      </c>
      <c r="E19" s="89" t="s">
        <v>397</v>
      </c>
      <c r="F19" s="51" t="s">
        <v>350</v>
      </c>
      <c r="G19" s="89"/>
      <c r="H19" s="51" t="s">
        <v>376</v>
      </c>
      <c r="I19" s="89"/>
      <c r="J19" s="51" t="s">
        <v>516</v>
      </c>
      <c r="K19" s="49" t="str">
        <f>_xlfn.XLOOKUP(J19,Tab_Def_Processes[Name(EN)],Tab_Def_Processes[Process_ID],,0,)</f>
        <v>10_MBC_BB</v>
      </c>
      <c r="L19" s="51" t="s">
        <v>557</v>
      </c>
      <c r="M19" s="61" t="str">
        <f>_xlfn.XLOOKUP(L19,Tab_Def_Processes[Name(EN)],Tab_Def_Processes[Process_ID],,0,)</f>
        <v>22_Env_BB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566</v>
      </c>
      <c r="E20" s="89" t="s">
        <v>409</v>
      </c>
      <c r="F20" s="51" t="s">
        <v>350</v>
      </c>
      <c r="G20" s="89"/>
      <c r="H20" s="51" t="s">
        <v>376</v>
      </c>
      <c r="I20" s="89"/>
      <c r="J20" s="51" t="s">
        <v>516</v>
      </c>
      <c r="K20" s="49" t="str">
        <f>_xlfn.XLOOKUP(J20,Tab_Def_Processes[Name(EN)],Tab_Def_Processes[Process_ID],,0,)</f>
        <v>10_MBC_BB</v>
      </c>
      <c r="L20" s="51" t="s">
        <v>526</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1</v>
      </c>
      <c r="W20" s="137"/>
      <c r="X20" s="138">
        <f>Tab_Def_Flows[[#This Row],[CC_DM'[%']]]*Tab_Def_Flows[[#This Row],[DM]]</f>
        <v>1</v>
      </c>
      <c r="Y20" s="51"/>
    </row>
    <row r="21" spans="1:25" x14ac:dyDescent="0.25">
      <c r="A21" s="90" t="b">
        <v>0</v>
      </c>
      <c r="B21" s="114" t="s">
        <v>441</v>
      </c>
      <c r="C21" s="49" t="str">
        <f t="shared" si="0"/>
        <v>F_00_13</v>
      </c>
      <c r="D21" s="51" t="s">
        <v>498</v>
      </c>
      <c r="E21" s="89"/>
      <c r="F21" s="51" t="s">
        <v>350</v>
      </c>
      <c r="G21" s="89"/>
      <c r="H21" s="51" t="s">
        <v>373</v>
      </c>
      <c r="I21" s="89"/>
      <c r="J21" s="92" t="s">
        <v>518</v>
      </c>
      <c r="K21" s="49" t="str">
        <f>_xlfn.XLOOKUP(J21,Tab_Def_Processes[Name(EN)],Tab_Def_Processes[Process_ID],,0,)</f>
        <v>00_Env_BB</v>
      </c>
      <c r="L21" s="51" t="s">
        <v>520</v>
      </c>
      <c r="M21" s="61" t="str">
        <f>_xlfn.XLOOKUP(L21,Tab_Def_Processes[Name(EN)],Tab_Def_Processes[Process_ID],,0,)</f>
        <v>13_Rye_BB</v>
      </c>
      <c r="N21" s="51"/>
      <c r="O21" s="92" t="s">
        <v>68</v>
      </c>
      <c r="P21" s="51" t="s">
        <v>68</v>
      </c>
      <c r="Q21" s="96" t="s">
        <v>68</v>
      </c>
      <c r="R21" s="134">
        <v>0.23841961852861027</v>
      </c>
      <c r="S21" s="135" t="s">
        <v>529</v>
      </c>
      <c r="T21" s="134">
        <v>0.76158038147138973</v>
      </c>
      <c r="U21" s="135" t="s">
        <v>529</v>
      </c>
      <c r="V21" s="136">
        <v>0</v>
      </c>
      <c r="W21" s="137" t="s">
        <v>426</v>
      </c>
      <c r="X21" s="138">
        <f>Tab_Def_Flows[[#This Row],[CC_DM'[%']]]*Tab_Def_Flows[[#This Row],[DM]]</f>
        <v>0</v>
      </c>
      <c r="Y21" s="51"/>
    </row>
    <row r="22" spans="1:25" x14ac:dyDescent="0.25">
      <c r="A22" s="90" t="b">
        <v>0</v>
      </c>
      <c r="B22" s="114" t="s">
        <v>442</v>
      </c>
      <c r="C22" s="49" t="str">
        <f t="shared" si="0"/>
        <v>F_00_04</v>
      </c>
      <c r="D22" s="51" t="s">
        <v>499</v>
      </c>
      <c r="E22" s="89"/>
      <c r="F22" s="51" t="s">
        <v>350</v>
      </c>
      <c r="G22" s="89"/>
      <c r="H22" s="51" t="s">
        <v>374</v>
      </c>
      <c r="I22" s="89"/>
      <c r="J22" s="92" t="s">
        <v>518</v>
      </c>
      <c r="K22" s="49" t="str">
        <f>_xlfn.XLOOKUP(J22,Tab_Def_Processes[Name(EN)],Tab_Def_Processes[Process_ID],,0,)</f>
        <v>00_Env_BB</v>
      </c>
      <c r="L22" s="51" t="s">
        <v>510</v>
      </c>
      <c r="M22" s="61" t="str">
        <f>_xlfn.XLOOKUP(L22,Tab_Def_Processes[Name(EN)],Tab_Def_Processes[Process_ID],,0,)</f>
        <v>04_Cow_BB</v>
      </c>
      <c r="N22" s="51"/>
      <c r="O22" s="92" t="s">
        <v>68</v>
      </c>
      <c r="P22" s="51" t="s">
        <v>68</v>
      </c>
      <c r="Q22" s="96" t="s">
        <v>68</v>
      </c>
      <c r="R22" s="134">
        <v>0.96738928652461786</v>
      </c>
      <c r="S22" s="137" t="s">
        <v>530</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500</v>
      </c>
      <c r="E23" s="89"/>
      <c r="F23" s="51" t="s">
        <v>350</v>
      </c>
      <c r="G23" s="89"/>
      <c r="H23" s="51" t="s">
        <v>373</v>
      </c>
      <c r="I23" s="89"/>
      <c r="J23" s="92" t="s">
        <v>518</v>
      </c>
      <c r="K23" s="49" t="str">
        <f>_xlfn.XLOOKUP(J23,Tab_Def_Processes[Name(EN)],Tab_Def_Processes[Process_ID],,0,)</f>
        <v>00_Env_BB</v>
      </c>
      <c r="L23" s="51" t="s">
        <v>517</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501</v>
      </c>
      <c r="E24" s="89"/>
      <c r="F24" s="51" t="s">
        <v>350</v>
      </c>
      <c r="G24" s="89"/>
      <c r="H24" s="51" t="s">
        <v>373</v>
      </c>
      <c r="I24" s="89"/>
      <c r="J24" s="92" t="s">
        <v>518</v>
      </c>
      <c r="K24" s="49" t="str">
        <f>_xlfn.XLOOKUP(J24,Tab_Def_Processes[Name(EN)],Tab_Def_Processes[Process_ID],,0,)</f>
        <v>00_Env_BB</v>
      </c>
      <c r="L24" s="51" t="s">
        <v>514</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567</v>
      </c>
      <c r="E25" s="89"/>
      <c r="F25" s="51" t="s">
        <v>350</v>
      </c>
      <c r="G25" s="89"/>
      <c r="H25" s="51" t="s">
        <v>360</v>
      </c>
      <c r="I25" s="89"/>
      <c r="J25" s="92" t="s">
        <v>515</v>
      </c>
      <c r="K25" s="49" t="str">
        <f>_xlfn.XLOOKUP(J25,Tab_Def_Processes[Name(EN)],Tab_Def_Processes[Process_ID],,0,)</f>
        <v>09_MBC_BB</v>
      </c>
      <c r="L25" s="51" t="s">
        <v>526</v>
      </c>
      <c r="M25" s="61" t="str">
        <f>_xlfn.XLOOKUP(L25,Tab_Def_Processes[Name(EN)],Tab_Def_Processes[Process_ID],,0,)</f>
        <v>19_Atm_BB</v>
      </c>
      <c r="N25" s="51"/>
      <c r="O25" s="92" t="s">
        <v>68</v>
      </c>
      <c r="P25" s="51" t="s">
        <v>68</v>
      </c>
      <c r="Q25" s="96" t="s">
        <v>68</v>
      </c>
      <c r="R25" s="134">
        <f>1-Tab_Def_Flows[[#This Row],[DM]]</f>
        <v>0</v>
      </c>
      <c r="S25" s="137"/>
      <c r="T25" s="134">
        <v>1</v>
      </c>
      <c r="U25" s="137"/>
      <c r="V25" s="134">
        <v>1</v>
      </c>
      <c r="W25" s="137"/>
      <c r="X25" s="138">
        <f>Tab_Def_Flows[[#This Row],[CC_DM'[%']]]*Tab_Def_Flows[[#This Row],[DM]]</f>
        <v>1</v>
      </c>
      <c r="Y25" s="51"/>
    </row>
    <row r="26" spans="1:25" x14ac:dyDescent="0.25">
      <c r="A26" s="90" t="b">
        <v>0</v>
      </c>
      <c r="B26" s="114" t="s">
        <v>446</v>
      </c>
      <c r="C26" s="49" t="str">
        <f t="shared" si="0"/>
        <v>F_17_19</v>
      </c>
      <c r="D26" s="51" t="s">
        <v>503</v>
      </c>
      <c r="E26" s="89"/>
      <c r="F26" s="51" t="s">
        <v>350</v>
      </c>
      <c r="G26" s="89"/>
      <c r="H26" s="51" t="s">
        <v>376</v>
      </c>
      <c r="I26" s="89"/>
      <c r="J26" s="92" t="s">
        <v>524</v>
      </c>
      <c r="K26" s="49" t="str">
        <f>_xlfn.XLOOKUP(J26,Tab_Def_Processes[Name(EN)],Tab_Def_Processes[Process_ID],,0,)</f>
        <v>17_Lit_BB</v>
      </c>
      <c r="L26" s="51" t="s">
        <v>526</v>
      </c>
      <c r="M26" s="61" t="str">
        <f>_xlfn.XLOOKUP(L26,Tab_Def_Processes[Name(EN)],Tab_Def_Processes[Process_ID],,0,)</f>
        <v>19_Atm_BB</v>
      </c>
      <c r="N26" s="51"/>
      <c r="O26" s="92" t="s">
        <v>68</v>
      </c>
      <c r="P26" s="51" t="s">
        <v>68</v>
      </c>
      <c r="Q26" s="96" t="s">
        <v>68</v>
      </c>
      <c r="R26" s="134">
        <f>1-Tab_Def_Flows[[#This Row],[DM]]</f>
        <v>0</v>
      </c>
      <c r="S26" s="137"/>
      <c r="T26" s="134">
        <v>1</v>
      </c>
      <c r="U26" s="137"/>
      <c r="V26" s="134">
        <v>1</v>
      </c>
      <c r="W26" s="137"/>
      <c r="X26" s="138">
        <f>Tab_Def_Flows[[#This Row],[CC_DM'[%']]]*Tab_Def_Flows[[#This Row],[DM]]</f>
        <v>1</v>
      </c>
      <c r="Y26" s="51"/>
    </row>
    <row r="27" spans="1:25" x14ac:dyDescent="0.25">
      <c r="A27" s="90" t="b">
        <v>0</v>
      </c>
      <c r="B27" s="114" t="s">
        <v>447</v>
      </c>
      <c r="C27" s="49" t="str">
        <f t="shared" si="0"/>
        <v>F_09_22</v>
      </c>
      <c r="D27" s="51" t="s">
        <v>568</v>
      </c>
      <c r="E27" s="89"/>
      <c r="F27" s="51" t="s">
        <v>350</v>
      </c>
      <c r="G27" s="89"/>
      <c r="H27" s="51"/>
      <c r="I27" s="89"/>
      <c r="J27" s="92" t="s">
        <v>515</v>
      </c>
      <c r="K27" s="49" t="str">
        <f>_xlfn.XLOOKUP(J27,Tab_Def_Processes[Name(EN)],Tab_Def_Processes[Process_ID],,0,)</f>
        <v>09_MBC_BB</v>
      </c>
      <c r="L27" s="51" t="s">
        <v>557</v>
      </c>
      <c r="M27" s="61" t="str">
        <f>_xlfn.XLOOKUP(L27,Tab_Def_Processes[Name(EN)],Tab_Def_Processes[Process_ID],,0,)</f>
        <v>22_Env_BB</v>
      </c>
      <c r="N27" s="51"/>
      <c r="O27" s="92" t="s">
        <v>68</v>
      </c>
      <c r="P27" s="51" t="s">
        <v>68</v>
      </c>
      <c r="Q27" s="96" t="s">
        <v>68</v>
      </c>
      <c r="R27" s="134">
        <v>0.72596641072125334</v>
      </c>
      <c r="S27" s="137"/>
      <c r="T27" s="134">
        <v>0.27403358927874666</v>
      </c>
      <c r="U27" s="137"/>
      <c r="V27" s="134">
        <v>0</v>
      </c>
      <c r="W27" s="137"/>
      <c r="X27" s="138">
        <f>Tab_Def_Flows[[#This Row],[CC_DM'[%']]]*Tab_Def_Flows[[#This Row],[DM]]</f>
        <v>0</v>
      </c>
      <c r="Y27" s="51"/>
    </row>
    <row r="28" spans="1:25" x14ac:dyDescent="0.25">
      <c r="A28" s="90" t="b">
        <v>1</v>
      </c>
      <c r="B28" s="114" t="s">
        <v>448</v>
      </c>
      <c r="C28" s="49" t="str">
        <f t="shared" si="0"/>
        <v>F_24_24</v>
      </c>
      <c r="D28" s="51"/>
      <c r="E28" s="89"/>
      <c r="F28" s="51"/>
      <c r="G28" s="89"/>
      <c r="H28" s="51"/>
      <c r="I28" s="89"/>
      <c r="J28" s="92"/>
      <c r="K28" s="49" t="str">
        <f>_xlfn.XLOOKUP(J28,Tab_Def_Processes[Name(EN)],Tab_Def_Processes[Process_ID],,0,)</f>
        <v>24__</v>
      </c>
      <c r="L28" s="51"/>
      <c r="M28" s="61" t="str">
        <f>_xlfn.XLOOKUP(L28,Tab_Def_Processes[Name(EN)],Tab_Def_Processes[Process_ID],,0,)</f>
        <v>24__</v>
      </c>
      <c r="N28" s="51"/>
      <c r="O28" s="92" t="s">
        <v>68</v>
      </c>
      <c r="P28" s="51" t="s">
        <v>68</v>
      </c>
      <c r="Q28" s="96" t="s">
        <v>68</v>
      </c>
      <c r="R28" s="134"/>
      <c r="S28" s="137"/>
      <c r="T28" s="134"/>
      <c r="U28" s="137"/>
      <c r="V28" s="134"/>
      <c r="W28" s="137"/>
      <c r="X28" s="138"/>
      <c r="Y28" s="51"/>
    </row>
    <row r="29" spans="1:25" x14ac:dyDescent="0.25">
      <c r="A29" s="90" t="b">
        <v>1</v>
      </c>
      <c r="B29" s="114" t="s">
        <v>449</v>
      </c>
      <c r="C29" s="49" t="str">
        <f t="shared" si="0"/>
        <v>F_01_21</v>
      </c>
      <c r="D29" s="51" t="s">
        <v>506</v>
      </c>
      <c r="E29" s="89"/>
      <c r="F29" s="51"/>
      <c r="G29" s="89"/>
      <c r="H29" s="51"/>
      <c r="I29" s="89"/>
      <c r="J29" s="92" t="s">
        <v>507</v>
      </c>
      <c r="K29" s="49" t="str">
        <f>_xlfn.XLOOKUP(J29,Tab_Def_Processes[Name(EN)],Tab_Def_Processes[Process_ID],,0,)</f>
        <v>01_Bio_BB</v>
      </c>
      <c r="L29" s="51" t="s">
        <v>528</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551</v>
      </c>
      <c r="E30" s="89"/>
      <c r="F30" s="51"/>
      <c r="G30" s="89"/>
      <c r="H30" s="51"/>
      <c r="I30" s="89"/>
      <c r="J30" s="92" t="s">
        <v>526</v>
      </c>
      <c r="K30" s="49" t="str">
        <f>_xlfn.XLOOKUP(J30,Tab_Def_Processes[Name(EN)],Tab_Def_Processes[Process_ID],,0,)</f>
        <v>19_Atm_BB</v>
      </c>
      <c r="L30" s="51" t="s">
        <v>520</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552</v>
      </c>
      <c r="E31" s="89"/>
      <c r="F31" s="51"/>
      <c r="G31" s="89"/>
      <c r="H31" s="51"/>
      <c r="I31" s="89"/>
      <c r="J31" s="92" t="s">
        <v>526</v>
      </c>
      <c r="K31" s="49" t="str">
        <f>_xlfn.XLOOKUP(J31,Tab_Def_Processes[Name(EN)],Tab_Def_Processes[Process_ID],,0,)</f>
        <v>19_Atm_BB</v>
      </c>
      <c r="L31" s="51" t="s">
        <v>510</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553</v>
      </c>
      <c r="E32" s="89"/>
      <c r="F32" s="51"/>
      <c r="G32" s="89"/>
      <c r="H32" s="51"/>
      <c r="I32" s="89"/>
      <c r="J32" s="92" t="s">
        <v>526</v>
      </c>
      <c r="K32" s="49" t="str">
        <f>_xlfn.XLOOKUP(J32,Tab_Def_Processes[Name(EN)],Tab_Def_Processes[Process_ID],,0,)</f>
        <v>19_Atm_BB</v>
      </c>
      <c r="L32" s="51" t="s">
        <v>517</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554</v>
      </c>
      <c r="E33" s="89"/>
      <c r="F33" s="51"/>
      <c r="G33" s="89"/>
      <c r="H33" s="51"/>
      <c r="I33" s="89"/>
      <c r="J33" s="92" t="s">
        <v>522</v>
      </c>
      <c r="K33" s="49" t="str">
        <f>_xlfn.XLOOKUP(J33,Tab_Def_Processes[Name(EN)],Tab_Def_Processes[Process_ID],,0,)</f>
        <v>15_Rye_BB</v>
      </c>
      <c r="L33" s="51" t="s">
        <v>526</v>
      </c>
      <c r="M33" s="61" t="str">
        <f>_xlfn.XLOOKUP(L33,Tab_Def_Processes[Name(EN)],Tab_Def_Processes[Process_ID],,0,)</f>
        <v>19_Atm_BB</v>
      </c>
      <c r="N33" s="51"/>
      <c r="O33" s="92" t="s">
        <v>68</v>
      </c>
      <c r="P33" s="51" t="s">
        <v>68</v>
      </c>
      <c r="Q33" s="96" t="s">
        <v>68</v>
      </c>
      <c r="R33" s="103">
        <v>0</v>
      </c>
      <c r="S33" s="96"/>
      <c r="T33" s="103">
        <v>1</v>
      </c>
      <c r="U33" s="96"/>
      <c r="V33" s="103">
        <v>1</v>
      </c>
      <c r="W33" s="96"/>
      <c r="X33" s="138">
        <f>Tab_Def_Flows[[#This Row],[CC_DM'[%']]]*Tab_Def_Flows[[#This Row],[DM]]</f>
        <v>1</v>
      </c>
      <c r="Y33" s="51"/>
    </row>
    <row r="34" spans="1:25" x14ac:dyDescent="0.25">
      <c r="A34" s="90" t="b">
        <v>0</v>
      </c>
      <c r="B34" s="114" t="s">
        <v>454</v>
      </c>
      <c r="C34" s="49" t="str">
        <f t="shared" si="0"/>
        <v>F_16_19</v>
      </c>
      <c r="D34" s="51" t="s">
        <v>555</v>
      </c>
      <c r="E34" s="89"/>
      <c r="F34" s="51"/>
      <c r="G34" s="89"/>
      <c r="H34" s="51"/>
      <c r="I34" s="89"/>
      <c r="J34" s="92" t="s">
        <v>523</v>
      </c>
      <c r="K34" s="49" t="str">
        <f>_xlfn.XLOOKUP(J34,Tab_Def_Processes[Name(EN)],Tab_Def_Processes[Process_ID],,0,)</f>
        <v>16_Rye_BB</v>
      </c>
      <c r="L34" s="51" t="s">
        <v>526</v>
      </c>
      <c r="M34" s="61" t="str">
        <f>_xlfn.XLOOKUP(L34,Tab_Def_Processes[Name(EN)],Tab_Def_Processes[Process_ID],,0,)</f>
        <v>19_Atm_BB</v>
      </c>
      <c r="N34" s="51"/>
      <c r="O34" s="92" t="s">
        <v>68</v>
      </c>
      <c r="P34" s="51" t="s">
        <v>68</v>
      </c>
      <c r="Q34" s="96" t="s">
        <v>68</v>
      </c>
      <c r="R34" s="103">
        <v>0</v>
      </c>
      <c r="S34" s="96"/>
      <c r="T34" s="103">
        <v>1</v>
      </c>
      <c r="U34" s="96"/>
      <c r="V34" s="103">
        <v>1</v>
      </c>
      <c r="W34" s="96"/>
      <c r="X34" s="138">
        <f>Tab_Def_Flows[[#This Row],[CC_DM'[%']]]*Tab_Def_Flows[[#This Row],[DM]]</f>
        <v>1</v>
      </c>
      <c r="Y34" s="51"/>
    </row>
    <row r="35" spans="1:25" x14ac:dyDescent="0.25">
      <c r="A35" s="90" t="b">
        <v>0</v>
      </c>
      <c r="B35" s="114" t="s">
        <v>455</v>
      </c>
      <c r="C35" s="49" t="str">
        <f t="shared" si="0"/>
        <v>F_05_19</v>
      </c>
      <c r="D35" s="51" t="s">
        <v>556</v>
      </c>
      <c r="E35" s="89"/>
      <c r="F35" s="51"/>
      <c r="G35" s="89"/>
      <c r="H35" s="51"/>
      <c r="I35" s="89"/>
      <c r="J35" s="92" t="s">
        <v>511</v>
      </c>
      <c r="K35" s="49" t="str">
        <f>_xlfn.XLOOKUP(J35,Tab_Def_Processes[Name(EN)],Tab_Def_Processes[Process_ID],,0,)</f>
        <v>05_Bio_BB</v>
      </c>
      <c r="L35" s="51" t="s">
        <v>526</v>
      </c>
      <c r="M35" s="61" t="str">
        <f>_xlfn.XLOOKUP(L35,Tab_Def_Processes[Name(EN)],Tab_Def_Processes[Process_ID],,0,)</f>
        <v>19_Atm_BB</v>
      </c>
      <c r="N35" s="51"/>
      <c r="O35" s="92" t="s">
        <v>68</v>
      </c>
      <c r="P35" s="51" t="s">
        <v>68</v>
      </c>
      <c r="Q35" s="96" t="s">
        <v>68</v>
      </c>
      <c r="R35" s="103">
        <f>R7</f>
        <v>0</v>
      </c>
      <c r="S35" s="96"/>
      <c r="T35" s="103">
        <f>T7</f>
        <v>1</v>
      </c>
      <c r="U35" s="96"/>
      <c r="V35" s="103">
        <v>1</v>
      </c>
      <c r="W35" s="96"/>
      <c r="X35" s="138">
        <f>Tab_Def_Flows[[#This Row],[CC_DM'[%']]]*Tab_Def_Flows[[#This Row],[DM]]</f>
        <v>1</v>
      </c>
      <c r="Y35" s="51"/>
    </row>
    <row r="36" spans="1:25" x14ac:dyDescent="0.25">
      <c r="A36" s="90" t="b">
        <v>0</v>
      </c>
      <c r="B36" s="114" t="s">
        <v>456</v>
      </c>
      <c r="C36" s="49" t="str">
        <f t="shared" si="0"/>
        <v>F_15_22</v>
      </c>
      <c r="D36" s="51" t="s">
        <v>558</v>
      </c>
      <c r="E36" s="89"/>
      <c r="F36" s="51"/>
      <c r="G36" s="89"/>
      <c r="H36" s="51"/>
      <c r="I36" s="89"/>
      <c r="J36" s="92" t="s">
        <v>522</v>
      </c>
      <c r="K36" s="49" t="str">
        <f>_xlfn.XLOOKUP(J36,Tab_Def_Processes[Name(EN)],Tab_Def_Processes[Process_ID],,0,)</f>
        <v>15_Rye_BB</v>
      </c>
      <c r="L36" s="51" t="s">
        <v>557</v>
      </c>
      <c r="M36" s="61" t="str">
        <f>_xlfn.XLOOKUP(L36,Tab_Def_Processes[Name(EN)],Tab_Def_Processes[Process_ID],,0,)</f>
        <v>22_Env_BB</v>
      </c>
      <c r="N36" s="51"/>
      <c r="O36" s="92" t="s">
        <v>68</v>
      </c>
      <c r="P36" s="51" t="s">
        <v>68</v>
      </c>
      <c r="Q36" s="96" t="s">
        <v>68</v>
      </c>
      <c r="R36" s="103">
        <v>0.2384196185286106</v>
      </c>
      <c r="S36" s="96"/>
      <c r="T36" s="103">
        <v>0.7615803814713894</v>
      </c>
      <c r="U36" s="96"/>
      <c r="V36" s="103">
        <v>0</v>
      </c>
      <c r="W36" s="96"/>
      <c r="X36" s="138">
        <f>Tab_Def_Flows[[#This Row],[CC_DM'[%']]]*Tab_Def_Flows[[#This Row],[DM]]</f>
        <v>0</v>
      </c>
      <c r="Y36" s="51"/>
    </row>
    <row r="37" spans="1:25" x14ac:dyDescent="0.25">
      <c r="A37" s="90" t="b">
        <v>0</v>
      </c>
      <c r="B37" s="114" t="s">
        <v>457</v>
      </c>
      <c r="C37" s="49" t="str">
        <f t="shared" si="0"/>
        <v>F_16_22</v>
      </c>
      <c r="D37" s="51" t="s">
        <v>559</v>
      </c>
      <c r="E37" s="89"/>
      <c r="F37" s="51"/>
      <c r="G37" s="89"/>
      <c r="H37" s="51"/>
      <c r="I37" s="89"/>
      <c r="J37" s="92" t="s">
        <v>523</v>
      </c>
      <c r="K37" s="49" t="str">
        <f>_xlfn.XLOOKUP(J37,Tab_Def_Processes[Name(EN)],Tab_Def_Processes[Process_ID],,0,)</f>
        <v>16_Rye_BB</v>
      </c>
      <c r="L37" s="51" t="s">
        <v>557</v>
      </c>
      <c r="M37" s="61" t="str">
        <f>_xlfn.XLOOKUP(L37,Tab_Def_Processes[Name(EN)],Tab_Def_Processes[Process_ID],,0,)</f>
        <v>22_Env_BB</v>
      </c>
      <c r="N37" s="51"/>
      <c r="O37" s="92" t="s">
        <v>68</v>
      </c>
      <c r="P37" s="51" t="s">
        <v>68</v>
      </c>
      <c r="Q37" s="96" t="s">
        <v>68</v>
      </c>
      <c r="R37" s="103">
        <v>0.23841961852861049</v>
      </c>
      <c r="S37" s="96"/>
      <c r="T37" s="103">
        <v>0.76158038147138951</v>
      </c>
      <c r="U37" s="96"/>
      <c r="V37" s="103">
        <v>0</v>
      </c>
      <c r="W37" s="96"/>
      <c r="X37" s="138">
        <f>Tab_Def_Flows[[#This Row],[CC_DM'[%']]]*Tab_Def_Flows[[#This Row],[DM]]</f>
        <v>0</v>
      </c>
      <c r="Y37" s="51"/>
    </row>
    <row r="38" spans="1:25" x14ac:dyDescent="0.25">
      <c r="A38" s="90" t="b">
        <v>0</v>
      </c>
      <c r="B38" s="114" t="s">
        <v>458</v>
      </c>
      <c r="C38" s="49" t="str">
        <f t="shared" si="0"/>
        <v>F_12_22</v>
      </c>
      <c r="D38" s="51" t="s">
        <v>560</v>
      </c>
      <c r="E38" s="89"/>
      <c r="F38" s="51"/>
      <c r="G38" s="89"/>
      <c r="H38" s="51"/>
      <c r="I38" s="89"/>
      <c r="J38" s="92" t="s">
        <v>519</v>
      </c>
      <c r="K38" s="49" t="str">
        <f>_xlfn.XLOOKUP(J38,Tab_Def_Processes[Name(EN)],Tab_Def_Processes[Process_ID],,0,)</f>
        <v>12_MBC_BB</v>
      </c>
      <c r="L38" s="51" t="s">
        <v>557</v>
      </c>
      <c r="M38" s="61" t="str">
        <f>_xlfn.XLOOKUP(L38,Tab_Def_Processes[Name(EN)],Tab_Def_Processes[Process_ID],,0,)</f>
        <v>22_Env_BB</v>
      </c>
      <c r="N38" s="51"/>
      <c r="O38" s="92" t="s">
        <v>68</v>
      </c>
      <c r="P38" s="51" t="s">
        <v>68</v>
      </c>
      <c r="Q38" s="96" t="s">
        <v>68</v>
      </c>
      <c r="R38" s="103">
        <v>0</v>
      </c>
      <c r="S38" s="96"/>
      <c r="T38" s="103">
        <v>1</v>
      </c>
      <c r="U38" s="96"/>
      <c r="V38" s="103">
        <v>0</v>
      </c>
      <c r="W38" s="96"/>
      <c r="X38" s="138">
        <f>Tab_Def_Flows[[#This Row],[CC_DM'[%']]]*Tab_Def_Flows[[#This Row],[DM]]</f>
        <v>0</v>
      </c>
      <c r="Y38" s="51"/>
    </row>
    <row r="39" spans="1:25" x14ac:dyDescent="0.25">
      <c r="A39" s="90" t="b">
        <v>0</v>
      </c>
      <c r="B39" s="114" t="s">
        <v>459</v>
      </c>
      <c r="C39" s="49" t="str">
        <f t="shared" si="0"/>
        <v>F_12_19</v>
      </c>
      <c r="D39" s="51" t="s">
        <v>561</v>
      </c>
      <c r="E39" s="89"/>
      <c r="F39" s="51"/>
      <c r="G39" s="89"/>
      <c r="H39" s="51"/>
      <c r="I39" s="89"/>
      <c r="J39" s="92" t="s">
        <v>519</v>
      </c>
      <c r="K39" s="49" t="str">
        <f>_xlfn.XLOOKUP(J39,Tab_Def_Processes[Name(EN)],Tab_Def_Processes[Process_ID],,0,)</f>
        <v>12_MBC_BB</v>
      </c>
      <c r="L39" s="51" t="s">
        <v>526</v>
      </c>
      <c r="M39" s="61" t="str">
        <f>_xlfn.XLOOKUP(L39,Tab_Def_Processes[Name(EN)],Tab_Def_Processes[Process_ID],,0,)</f>
        <v>19_Atm_BB</v>
      </c>
      <c r="N39" s="51"/>
      <c r="O39" s="92" t="s">
        <v>68</v>
      </c>
      <c r="P39" s="51" t="s">
        <v>68</v>
      </c>
      <c r="Q39" s="96" t="s">
        <v>68</v>
      </c>
      <c r="R39" s="103">
        <v>0</v>
      </c>
      <c r="S39" s="96"/>
      <c r="T39" s="103">
        <v>1</v>
      </c>
      <c r="U39" s="96"/>
      <c r="V39" s="103">
        <v>1</v>
      </c>
      <c r="W39" s="96"/>
      <c r="X39" s="138">
        <f>Tab_Def_Flows[[#This Row],[CC_DM'[%']]]*Tab_Def_Flows[[#This Row],[DM]]</f>
        <v>1</v>
      </c>
      <c r="Y39" s="51"/>
    </row>
    <row r="40" spans="1:25" x14ac:dyDescent="0.25">
      <c r="A40" s="90" t="b">
        <v>0</v>
      </c>
      <c r="B40" s="114" t="s">
        <v>460</v>
      </c>
      <c r="C40" s="49" t="str">
        <f t="shared" si="0"/>
        <v>F_06_19</v>
      </c>
      <c r="D40" s="51" t="s">
        <v>562</v>
      </c>
      <c r="E40" s="89"/>
      <c r="F40" s="51"/>
      <c r="G40" s="89"/>
      <c r="H40" s="51"/>
      <c r="I40" s="89"/>
      <c r="J40" s="92" t="s">
        <v>512</v>
      </c>
      <c r="K40" s="49" t="str">
        <f>_xlfn.XLOOKUP(J40,Tab_Def_Processes[Name(EN)],Tab_Def_Processes[Process_ID],,0,)</f>
        <v>06_MBC_BB</v>
      </c>
      <c r="L40" s="51" t="s">
        <v>526</v>
      </c>
      <c r="M40" s="61" t="str">
        <f>_xlfn.XLOOKUP(L40,Tab_Def_Processes[Name(EN)],Tab_Def_Processes[Process_ID],,0,)</f>
        <v>19_Atm_BB</v>
      </c>
      <c r="N40" s="51"/>
      <c r="O40" s="92" t="s">
        <v>68</v>
      </c>
      <c r="P40" s="51" t="s">
        <v>68</v>
      </c>
      <c r="Q40" s="96" t="s">
        <v>68</v>
      </c>
      <c r="R40" s="103">
        <v>0</v>
      </c>
      <c r="S40" s="96"/>
      <c r="T40" s="103">
        <v>1</v>
      </c>
      <c r="U40" s="96"/>
      <c r="V40" s="103">
        <v>1</v>
      </c>
      <c r="W40" s="96"/>
      <c r="X40" s="138">
        <f>Tab_Def_Flows[[#This Row],[CC_DM'[%']]]*Tab_Def_Flows[[#This Row],[DM]]</f>
        <v>1</v>
      </c>
      <c r="Y40" s="51"/>
    </row>
    <row r="41" spans="1:25" x14ac:dyDescent="0.25">
      <c r="A41" s="90" t="b">
        <v>0</v>
      </c>
      <c r="B41" s="114" t="s">
        <v>461</v>
      </c>
      <c r="C41" s="49" t="str">
        <f t="shared" si="0"/>
        <v>F_06_22</v>
      </c>
      <c r="D41" s="51" t="s">
        <v>563</v>
      </c>
      <c r="E41" s="89"/>
      <c r="F41" s="51"/>
      <c r="G41" s="89"/>
      <c r="H41" s="51"/>
      <c r="I41" s="89"/>
      <c r="J41" s="92" t="s">
        <v>512</v>
      </c>
      <c r="K41" s="49" t="str">
        <f>_xlfn.XLOOKUP(J41,Tab_Def_Processes[Name(EN)],Tab_Def_Processes[Process_ID],,0,)</f>
        <v>06_MBC_BB</v>
      </c>
      <c r="L41" s="51" t="s">
        <v>557</v>
      </c>
      <c r="M41" s="61" t="str">
        <f>_xlfn.XLOOKUP(L41,Tab_Def_Processes[Name(EN)],Tab_Def_Processes[Process_ID],,0,)</f>
        <v>22_Env_BB</v>
      </c>
      <c r="N41" s="51"/>
      <c r="O41" s="92" t="s">
        <v>68</v>
      </c>
      <c r="P41" s="51" t="s">
        <v>68</v>
      </c>
      <c r="Q41" s="96" t="s">
        <v>68</v>
      </c>
      <c r="R41" s="103">
        <v>0.69083805803039766</v>
      </c>
      <c r="S41" s="96"/>
      <c r="T41" s="103">
        <v>0.30916194196960239</v>
      </c>
      <c r="U41" s="96"/>
      <c r="V41" s="103">
        <v>0</v>
      </c>
      <c r="W41" s="96"/>
      <c r="X41" s="138">
        <f>Tab_Def_Flows[[#This Row],[CC_DM'[%']]]*Tab_Def_Flows[[#This Row],[DM]]</f>
        <v>0</v>
      </c>
      <c r="Y41" s="51"/>
    </row>
    <row r="42" spans="1:25" x14ac:dyDescent="0.25">
      <c r="A42" s="90" t="b">
        <v>0</v>
      </c>
      <c r="B42" s="114" t="s">
        <v>462</v>
      </c>
      <c r="C42" s="49" t="str">
        <f t="shared" si="0"/>
        <v>F_21_19</v>
      </c>
      <c r="D42" s="51" t="s">
        <v>565</v>
      </c>
      <c r="E42" s="89"/>
      <c r="F42" s="51"/>
      <c r="G42" s="89"/>
      <c r="H42" s="51"/>
      <c r="I42" s="89"/>
      <c r="J42" s="92" t="s">
        <v>528</v>
      </c>
      <c r="K42" s="49" t="str">
        <f>_xlfn.XLOOKUP(J42,Tab_Def_Processes[Name(EN)],Tab_Def_Processes[Process_ID],,0,)</f>
        <v>21_Bio_BB</v>
      </c>
      <c r="L42" s="51" t="s">
        <v>526</v>
      </c>
      <c r="M42" s="61" t="str">
        <f>_xlfn.XLOOKUP(L42,Tab_Def_Processes[Name(EN)],Tab_Def_Processes[Process_ID],,0,)</f>
        <v>19_Atm_BB</v>
      </c>
      <c r="N42" s="51"/>
      <c r="O42" s="92" t="s">
        <v>68</v>
      </c>
      <c r="P42" s="51" t="s">
        <v>68</v>
      </c>
      <c r="Q42" s="96" t="s">
        <v>68</v>
      </c>
      <c r="R42" s="103">
        <v>0</v>
      </c>
      <c r="S42" s="96"/>
      <c r="T42" s="103">
        <v>1</v>
      </c>
      <c r="U42" s="96"/>
      <c r="V42" s="103">
        <v>1</v>
      </c>
      <c r="W42" s="96"/>
      <c r="X42" s="138">
        <f>Tab_Def_Flows[[#This Row],[CC_DM'[%']]]*Tab_Def_Flows[[#This Row],[DM]]</f>
        <v>1</v>
      </c>
      <c r="Y42" s="51"/>
    </row>
    <row r="43" spans="1:25" ht="15.75" customHeight="1" x14ac:dyDescent="0.25">
      <c r="A43" s="90" t="b">
        <v>0</v>
      </c>
      <c r="B43" s="114" t="s">
        <v>463</v>
      </c>
      <c r="C43" s="49" t="str">
        <f t="shared" si="0"/>
        <v>F_21_22</v>
      </c>
      <c r="D43" s="51" t="s">
        <v>564</v>
      </c>
      <c r="E43" s="89"/>
      <c r="F43" s="51"/>
      <c r="G43" s="89"/>
      <c r="H43" s="51"/>
      <c r="I43" s="89"/>
      <c r="J43" s="92" t="s">
        <v>528</v>
      </c>
      <c r="K43" s="49" t="str">
        <f>_xlfn.XLOOKUP(J43,Tab_Def_Processes[Name(EN)],Tab_Def_Processes[Process_ID],,0,)</f>
        <v>21_Bio_BB</v>
      </c>
      <c r="L43" s="51" t="s">
        <v>557</v>
      </c>
      <c r="M43" s="61" t="str">
        <f>_xlfn.XLOOKUP(L43,Tab_Def_Processes[Name(EN)],Tab_Def_Processes[Process_ID],,0,)</f>
        <v>22_Env_BB</v>
      </c>
      <c r="N43" s="51"/>
      <c r="O43" s="92" t="s">
        <v>68</v>
      </c>
      <c r="P43" s="51" t="s">
        <v>68</v>
      </c>
      <c r="Q43" s="96" t="s">
        <v>68</v>
      </c>
      <c r="R43" s="103">
        <v>0</v>
      </c>
      <c r="S43" s="96"/>
      <c r="T43" s="103">
        <v>1</v>
      </c>
      <c r="U43" s="96"/>
      <c r="V43" s="103">
        <v>0</v>
      </c>
      <c r="W43" s="96"/>
      <c r="X43" s="138">
        <f>Tab_Def_Flows[[#This Row],[CC_DM'[%']]]*Tab_Def_Flows[[#This Row],[DM]]</f>
        <v>0</v>
      </c>
      <c r="Y43" s="51"/>
    </row>
    <row r="44" spans="1:25" x14ac:dyDescent="0.25">
      <c r="A44" s="90" t="b">
        <v>0</v>
      </c>
      <c r="B44" s="114" t="s">
        <v>464</v>
      </c>
      <c r="C44" s="49" t="str">
        <f t="shared" si="0"/>
        <v>F_24_24</v>
      </c>
      <c r="D44" s="152"/>
      <c r="E44" s="89"/>
      <c r="F44" s="51"/>
      <c r="G44" s="89"/>
      <c r="H44" s="51"/>
      <c r="I44" s="89"/>
      <c r="J44" s="92"/>
      <c r="K44" s="49" t="str">
        <f>_xlfn.XLOOKUP(J44,Tab_Def_Processes[Name(EN)],Tab_Def_Processes[Process_ID],,0,)</f>
        <v>24__</v>
      </c>
      <c r="L44" s="51"/>
      <c r="M44" s="61" t="str">
        <f>_xlfn.XLOOKUP(L44,Tab_Def_Processes[Name(EN)],Tab_Def_Processes[Process_ID],,0,)</f>
        <v>24__</v>
      </c>
      <c r="N44" s="51"/>
      <c r="O44" s="92" t="s">
        <v>68</v>
      </c>
      <c r="P44" s="51" t="s">
        <v>68</v>
      </c>
      <c r="Q44" s="96" t="s">
        <v>68</v>
      </c>
      <c r="R44" s="103"/>
      <c r="S44" s="96"/>
      <c r="T44" s="103"/>
      <c r="U44" s="96"/>
      <c r="V44" s="103"/>
      <c r="W44" s="96"/>
      <c r="X44" s="138">
        <f>Tab_Def_Flows[[#This Row],[CC_DM'[%']]]*Tab_Def_Flows[[#This Row],[DM]]</f>
        <v>0</v>
      </c>
      <c r="Y44" s="51"/>
    </row>
    <row r="45" spans="1:25" x14ac:dyDescent="0.25">
      <c r="A45" s="90" t="b">
        <v>0</v>
      </c>
      <c r="B45" s="114" t="s">
        <v>465</v>
      </c>
      <c r="C45" s="49" t="str">
        <f t="shared" si="0"/>
        <v>F_05_22</v>
      </c>
      <c r="D45" s="51" t="s">
        <v>569</v>
      </c>
      <c r="E45" s="89"/>
      <c r="F45" s="51"/>
      <c r="G45" s="89"/>
      <c r="H45" s="51"/>
      <c r="I45" s="89"/>
      <c r="J45" s="92" t="s">
        <v>511</v>
      </c>
      <c r="K45" s="49" t="str">
        <f>_xlfn.XLOOKUP(J45,Tab_Def_Processes[Name(EN)],Tab_Def_Processes[Process_ID],,0,)</f>
        <v>05_Bio_BB</v>
      </c>
      <c r="L45" s="51" t="s">
        <v>557</v>
      </c>
      <c r="M45" s="61" t="str">
        <f>_xlfn.XLOOKUP(L45,Tab_Def_Processes[Name(EN)],Tab_Def_Processes[Process_ID],,0,)</f>
        <v>22_Env_BB</v>
      </c>
      <c r="N45" s="51"/>
      <c r="O45" s="92" t="s">
        <v>68</v>
      </c>
      <c r="P45" s="51" t="s">
        <v>68</v>
      </c>
      <c r="Q45" s="96" t="s">
        <v>68</v>
      </c>
      <c r="R45" s="103">
        <v>0</v>
      </c>
      <c r="S45" s="96"/>
      <c r="T45" s="103">
        <v>1</v>
      </c>
      <c r="U45" s="96"/>
      <c r="V45" s="103">
        <v>0</v>
      </c>
      <c r="W45" s="96"/>
      <c r="X45" s="138">
        <f>Tab_Def_Flows[[#This Row],[CC_DM'[%']]]*Tab_Def_Flows[[#This Row],[DM]]</f>
        <v>0</v>
      </c>
      <c r="Y45" s="51"/>
    </row>
    <row r="46" spans="1:25" x14ac:dyDescent="0.25">
      <c r="A46" s="90" t="b">
        <v>0</v>
      </c>
      <c r="B46" s="114" t="s">
        <v>466</v>
      </c>
      <c r="C46" s="49" t="str">
        <f t="shared" si="0"/>
        <v>F_10_22</v>
      </c>
      <c r="D46" s="51" t="s">
        <v>570</v>
      </c>
      <c r="E46" s="89"/>
      <c r="F46" s="51"/>
      <c r="G46" s="89"/>
      <c r="H46" s="51"/>
      <c r="I46" s="89"/>
      <c r="J46" s="92" t="s">
        <v>516</v>
      </c>
      <c r="K46" s="49" t="str">
        <f>_xlfn.XLOOKUP(J46,Tab_Def_Processes[Name(EN)],Tab_Def_Processes[Process_ID],,0,)</f>
        <v>10_MBC_BB</v>
      </c>
      <c r="L46" s="51" t="s">
        <v>557</v>
      </c>
      <c r="M46" s="61" t="str">
        <f>_xlfn.XLOOKUP(L46,Tab_Def_Processes[Name(EN)],Tab_Def_Processes[Process_ID],,0,)</f>
        <v>22_Env_BB</v>
      </c>
      <c r="N46" s="51"/>
      <c r="O46" s="92" t="s">
        <v>68</v>
      </c>
      <c r="P46" s="51" t="s">
        <v>68</v>
      </c>
      <c r="Q46" s="96" t="s">
        <v>68</v>
      </c>
      <c r="R46" s="103">
        <v>0.71748783749047873</v>
      </c>
      <c r="S46" s="96"/>
      <c r="T46" s="103">
        <v>0.28251216250952127</v>
      </c>
      <c r="U46" s="96"/>
      <c r="V46" s="103">
        <v>1.633986928104576E-2</v>
      </c>
      <c r="W46" s="96"/>
      <c r="X46" s="138">
        <f>Tab_Def_Flows[[#This Row],[CC_DM'[%']]]*Tab_Def_Flows[[#This Row],[DM]]</f>
        <v>4.6162118057111344E-3</v>
      </c>
      <c r="Y46" s="51"/>
    </row>
    <row r="47" spans="1:25" x14ac:dyDescent="0.25">
      <c r="A47" s="90" t="b">
        <v>0</v>
      </c>
      <c r="B47" s="114" t="s">
        <v>467</v>
      </c>
      <c r="C47" s="49" t="str">
        <f t="shared" si="0"/>
        <v>F_20_23</v>
      </c>
      <c r="D47" s="51" t="s">
        <v>572</v>
      </c>
      <c r="E47" s="89"/>
      <c r="F47" s="51"/>
      <c r="G47" s="89"/>
      <c r="H47" s="51"/>
      <c r="I47" s="89"/>
      <c r="J47" s="92" t="s">
        <v>527</v>
      </c>
      <c r="K47" s="49" t="str">
        <f>_xlfn.XLOOKUP(J47,Tab_Def_Processes[Name(EN)],Tab_Def_Processes[Process_ID],,0,)</f>
        <v>20_Rye_BB</v>
      </c>
      <c r="L47" s="51" t="s">
        <v>571</v>
      </c>
      <c r="M47" s="61" t="str">
        <f>_xlfn.XLOOKUP(L47,Tab_Def_Processes[Name(EN)],Tab_Def_Processes[Process_ID],,0,)</f>
        <v>23_Rye_</v>
      </c>
      <c r="N47" s="51"/>
      <c r="O47" s="92" t="s">
        <v>68</v>
      </c>
      <c r="P47" s="51" t="s">
        <v>68</v>
      </c>
      <c r="Q47" s="96" t="s">
        <v>68</v>
      </c>
      <c r="R47" s="103">
        <v>0.14000000000000001</v>
      </c>
      <c r="S47" s="96"/>
      <c r="T47" s="103">
        <v>0.86</v>
      </c>
      <c r="U47" s="96"/>
      <c r="V47" s="103">
        <v>0.48</v>
      </c>
      <c r="W47" s="96"/>
      <c r="X47" s="138">
        <f>Tab_Def_Flows[[#This Row],[CC_DM'[%']]]*Tab_Def_Flows[[#This Row],[DM]]</f>
        <v>0.4128</v>
      </c>
      <c r="Y47" s="51"/>
    </row>
    <row r="48" spans="1:25" x14ac:dyDescent="0.25">
      <c r="A48" s="90" t="b">
        <v>0</v>
      </c>
      <c r="B48" s="114" t="s">
        <v>468</v>
      </c>
      <c r="C48" s="49" t="str">
        <f t="shared" si="0"/>
        <v>F_24_24</v>
      </c>
      <c r="D48" s="51"/>
      <c r="E48" s="89"/>
      <c r="F48" s="51"/>
      <c r="G48" s="89"/>
      <c r="H48" s="51"/>
      <c r="I48" s="89"/>
      <c r="J48" s="92"/>
      <c r="K48" s="49" t="str">
        <f>_xlfn.XLOOKUP(J48,Tab_Def_Processes[Name(EN)],Tab_Def_Processes[Process_ID],,0,)</f>
        <v>24__</v>
      </c>
      <c r="L48" s="51"/>
      <c r="M48" s="61" t="str">
        <f>_xlfn.XLOOKUP(L48,Tab_Def_Processes[Name(EN)],Tab_Def_Processes[Process_ID],,0,)</f>
        <v>24__</v>
      </c>
      <c r="N48" s="51"/>
      <c r="O48" s="92"/>
      <c r="P48" s="51"/>
      <c r="Q48" s="96"/>
      <c r="R48" s="103"/>
      <c r="S48" s="96"/>
      <c r="T48" s="103"/>
      <c r="U48" s="96"/>
      <c r="V48" s="103"/>
      <c r="W48" s="96"/>
      <c r="X48" s="138">
        <f>Tab_Def_Flows[[#This Row],[CC_DM'[%']]]*Tab_Def_Flows[[#This Row],[DM]]</f>
        <v>0</v>
      </c>
      <c r="Y48" s="51"/>
    </row>
    <row r="49" spans="1:25" x14ac:dyDescent="0.25">
      <c r="A49" s="90" t="b">
        <v>0</v>
      </c>
      <c r="B49" s="114" t="s">
        <v>469</v>
      </c>
      <c r="C49" s="49" t="str">
        <f t="shared" si="0"/>
        <v>F_24_24</v>
      </c>
      <c r="D49" s="51"/>
      <c r="E49" s="89"/>
      <c r="F49" s="51"/>
      <c r="G49" s="89"/>
      <c r="H49" s="51"/>
      <c r="I49" s="89"/>
      <c r="J49" s="92"/>
      <c r="K49" s="49" t="str">
        <f>_xlfn.XLOOKUP(J49,Tab_Def_Processes[Name(EN)],Tab_Def_Processes[Process_ID],,0,)</f>
        <v>24__</v>
      </c>
      <c r="L49" s="51"/>
      <c r="M49" s="61" t="str">
        <f>_xlfn.XLOOKUP(L49,Tab_Def_Processes[Name(EN)],Tab_Def_Processes[Process_ID],,0,)</f>
        <v>24__</v>
      </c>
      <c r="N49" s="51"/>
      <c r="O49" s="92"/>
      <c r="P49" s="51"/>
      <c r="Q49" s="96"/>
      <c r="R49" s="103"/>
      <c r="S49" s="96"/>
      <c r="T49" s="103"/>
      <c r="U49" s="96"/>
      <c r="V49" s="103"/>
      <c r="W49" s="96"/>
      <c r="X49" s="138">
        <f>Tab_Def_Flows[[#This Row],[CC_DM'[%']]]*Tab_Def_Flows[[#This Row],[DM]]</f>
        <v>0</v>
      </c>
      <c r="Y49" s="51"/>
    </row>
    <row r="50" spans="1:25" x14ac:dyDescent="0.25">
      <c r="A50" s="90" t="b">
        <v>0</v>
      </c>
      <c r="B50" s="114" t="s">
        <v>470</v>
      </c>
      <c r="C50" s="49" t="str">
        <f t="shared" si="0"/>
        <v>F_24_24</v>
      </c>
      <c r="D50" s="51"/>
      <c r="E50" s="89"/>
      <c r="F50" s="51"/>
      <c r="G50" s="89"/>
      <c r="H50" s="51"/>
      <c r="I50" s="89"/>
      <c r="J50" s="92"/>
      <c r="K50" s="49" t="str">
        <f>_xlfn.XLOOKUP(J50,Tab_Def_Processes[Name(EN)],Tab_Def_Processes[Process_ID],,0,)</f>
        <v>24__</v>
      </c>
      <c r="L50" s="51"/>
      <c r="M50" s="61" t="str">
        <f>_xlfn.XLOOKUP(L50,Tab_Def_Processes[Name(EN)],Tab_Def_Processes[Process_ID],,0,)</f>
        <v>24__</v>
      </c>
      <c r="N50" s="51"/>
      <c r="O50" s="92"/>
      <c r="P50" s="51"/>
      <c r="Q50" s="96"/>
      <c r="R50" s="103"/>
      <c r="S50" s="96"/>
      <c r="T50" s="103"/>
      <c r="U50" s="96"/>
      <c r="V50" s="103"/>
      <c r="W50" s="96"/>
      <c r="X50" s="138">
        <f>Tab_Def_Flows[[#This Row],[CC_DM'[%']]]*Tab_Def_Flows[[#This Row],[DM]]</f>
        <v>0</v>
      </c>
      <c r="Y50" s="51"/>
    </row>
    <row r="51" spans="1:25" x14ac:dyDescent="0.25">
      <c r="A51" s="90" t="b">
        <v>0</v>
      </c>
      <c r="B51" s="114" t="s">
        <v>471</v>
      </c>
      <c r="C51" s="49" t="str">
        <f t="shared" si="0"/>
        <v>F_24_24</v>
      </c>
      <c r="D51" s="51"/>
      <c r="E51" s="89"/>
      <c r="F51" s="51"/>
      <c r="G51" s="89"/>
      <c r="H51" s="51"/>
      <c r="I51" s="89"/>
      <c r="J51" s="92"/>
      <c r="K51" s="49" t="str">
        <f>_xlfn.XLOOKUP(J51,Tab_Def_Processes[Name(EN)],Tab_Def_Processes[Process_ID],,0,)</f>
        <v>24__</v>
      </c>
      <c r="L51" s="51"/>
      <c r="M51" s="61" t="str">
        <f>_xlfn.XLOOKUP(L51,Tab_Def_Processes[Name(EN)],Tab_Def_Processes[Process_ID],,0,)</f>
        <v>24__</v>
      </c>
      <c r="N51" s="51"/>
      <c r="O51" s="92"/>
      <c r="P51" s="51"/>
      <c r="Q51" s="96"/>
      <c r="R51" s="103"/>
      <c r="S51" s="96"/>
      <c r="T51" s="103"/>
      <c r="U51" s="96"/>
      <c r="V51" s="103"/>
      <c r="W51" s="96"/>
      <c r="X51" s="138">
        <f>Tab_Def_Flows[[#This Row],[CC_DM'[%']]]*Tab_Def_Flows[[#This Row],[DM]]</f>
        <v>0</v>
      </c>
      <c r="Y51" s="51"/>
    </row>
    <row r="52" spans="1:25" ht="15" customHeight="1" x14ac:dyDescent="0.25">
      <c r="A52" s="90" t="b">
        <v>0</v>
      </c>
      <c r="B52" s="114" t="s">
        <v>472</v>
      </c>
      <c r="C52" s="49" t="str">
        <f t="shared" si="0"/>
        <v>F_24_24</v>
      </c>
      <c r="D52" s="51"/>
      <c r="E52" s="93"/>
      <c r="F52" s="69"/>
      <c r="G52" s="89"/>
      <c r="H52" s="51"/>
      <c r="I52" s="93"/>
      <c r="J52" s="92"/>
      <c r="K52" s="49" t="str">
        <f>_xlfn.XLOOKUP(J52,Tab_Def_Processes[Name(EN)],Tab_Def_Processes[Process_ID],,0,)</f>
        <v>24__</v>
      </c>
      <c r="L52" s="51"/>
      <c r="M52" s="61" t="str">
        <f>_xlfn.XLOOKUP(L52,Tab_Def_Processes[Name(EN)],Tab_Def_Processes[Process_ID],,0,)</f>
        <v>24__</v>
      </c>
      <c r="N52" s="51"/>
      <c r="O52" s="92"/>
      <c r="P52" s="51"/>
      <c r="Q52" s="96"/>
      <c r="R52" s="103"/>
      <c r="S52" s="96"/>
      <c r="T52" s="103"/>
      <c r="U52" s="96"/>
      <c r="V52" s="103"/>
      <c r="W52" s="96"/>
      <c r="X52" s="138">
        <f>Tab_Def_Flows[[#This Row],[CC_DM'[%']]]*Tab_Def_Flows[[#This Row],[DM]]</f>
        <v>0</v>
      </c>
      <c r="Y52" s="51"/>
    </row>
    <row r="53" spans="1:25" ht="15" customHeight="1" x14ac:dyDescent="0.25">
      <c r="A53" s="90" t="b">
        <v>0</v>
      </c>
      <c r="B53" s="114" t="s">
        <v>473</v>
      </c>
      <c r="C53" s="49" t="str">
        <f t="shared" si="0"/>
        <v>F_24_24</v>
      </c>
      <c r="D53" s="51"/>
      <c r="E53" s="93"/>
      <c r="F53" s="69"/>
      <c r="G53" s="89"/>
      <c r="H53" s="51"/>
      <c r="I53" s="93"/>
      <c r="J53" s="92"/>
      <c r="K53" s="49" t="str">
        <f>_xlfn.XLOOKUP(J53,Tab_Def_Processes[Name(EN)],Tab_Def_Processes[Process_ID],,0,)</f>
        <v>24__</v>
      </c>
      <c r="L53" s="51"/>
      <c r="M53" s="61" t="str">
        <f>_xlfn.XLOOKUP(L53,Tab_Def_Processes[Name(EN)],Tab_Def_Processes[Process_ID],,0,)</f>
        <v>24__</v>
      </c>
      <c r="N53" s="51"/>
      <c r="O53" s="92"/>
      <c r="P53" s="51"/>
      <c r="Q53" s="96"/>
      <c r="R53" s="103"/>
      <c r="S53" s="96"/>
      <c r="T53" s="103"/>
      <c r="U53" s="96"/>
      <c r="V53" s="103"/>
      <c r="W53" s="96"/>
      <c r="X53" s="138">
        <f>Tab_Def_Flows[[#This Row],[CC_DM'[%']]]*Tab_Def_Flows[[#This Row],[DM]]</f>
        <v>0</v>
      </c>
      <c r="Y53" s="51"/>
    </row>
    <row r="54" spans="1:25" ht="15" customHeight="1" x14ac:dyDescent="0.25">
      <c r="A54" s="90" t="b">
        <v>0</v>
      </c>
      <c r="B54" s="114" t="s">
        <v>474</v>
      </c>
      <c r="C54" s="49" t="str">
        <f t="shared" si="0"/>
        <v>F_24_24</v>
      </c>
      <c r="D54" s="51"/>
      <c r="E54" s="93"/>
      <c r="F54" s="69"/>
      <c r="G54" s="89"/>
      <c r="H54" s="51"/>
      <c r="I54" s="93"/>
      <c r="J54" s="92"/>
      <c r="K54" s="49" t="str">
        <f>_xlfn.XLOOKUP(J54,Tab_Def_Processes[Name(EN)],Tab_Def_Processes[Process_ID],,0,)</f>
        <v>24__</v>
      </c>
      <c r="L54" s="51"/>
      <c r="M54" s="61" t="str">
        <f>_xlfn.XLOOKUP(L54,Tab_Def_Processes[Name(EN)],Tab_Def_Processes[Process_ID],,0,)</f>
        <v>24__</v>
      </c>
      <c r="N54" s="51"/>
      <c r="O54" s="92"/>
      <c r="P54" s="51"/>
      <c r="Q54" s="96"/>
      <c r="R54" s="103"/>
      <c r="S54" s="96"/>
      <c r="T54" s="103"/>
      <c r="U54" s="96"/>
      <c r="V54" s="103"/>
      <c r="W54" s="96"/>
      <c r="X54" s="138">
        <f>Tab_Def_Flows[[#This Row],[CC_DM'[%']]]*Tab_Def_Flows[[#This Row],[DM]]</f>
        <v>0</v>
      </c>
      <c r="Y54" s="51"/>
    </row>
    <row r="55" spans="1:25" ht="15" customHeight="1" x14ac:dyDescent="0.25">
      <c r="A55" s="90" t="b">
        <v>0</v>
      </c>
      <c r="B55" s="114" t="s">
        <v>475</v>
      </c>
      <c r="C55" s="49" t="str">
        <f t="shared" si="0"/>
        <v>F_24_24</v>
      </c>
      <c r="D55" s="51"/>
      <c r="E55" s="93"/>
      <c r="F55" s="69"/>
      <c r="G55" s="89"/>
      <c r="H55" s="51"/>
      <c r="I55" s="93"/>
      <c r="J55" s="92"/>
      <c r="K55" s="49" t="str">
        <f>_xlfn.XLOOKUP(J55,Tab_Def_Processes[Name(EN)],Tab_Def_Processes[Process_ID],,0,)</f>
        <v>24__</v>
      </c>
      <c r="L55" s="51"/>
      <c r="M55" s="61" t="str">
        <f>_xlfn.XLOOKUP(L55,Tab_Def_Processes[Name(EN)],Tab_Def_Processes[Process_ID],,0,)</f>
        <v>24__</v>
      </c>
      <c r="N55" s="51"/>
      <c r="O55" s="92"/>
      <c r="P55" s="51"/>
      <c r="Q55" s="96"/>
      <c r="R55" s="103"/>
      <c r="S55" s="96"/>
      <c r="T55" s="103"/>
      <c r="U55" s="96"/>
      <c r="V55" s="103"/>
      <c r="W55" s="96"/>
      <c r="X55" s="138">
        <f>Tab_Def_Flows[[#This Row],[CC_DM'[%']]]*Tab_Def_Flows[[#This Row],[DM]]</f>
        <v>0</v>
      </c>
      <c r="Y55" s="51"/>
    </row>
    <row r="56" spans="1:25" ht="15" customHeight="1" x14ac:dyDescent="0.25">
      <c r="A56" s="90" t="b">
        <v>0</v>
      </c>
      <c r="B56" s="114" t="s">
        <v>476</v>
      </c>
      <c r="C56" s="49" t="str">
        <f t="shared" si="0"/>
        <v>F_24_24</v>
      </c>
      <c r="D56" s="51"/>
      <c r="E56" s="93"/>
      <c r="F56" s="51"/>
      <c r="G56" s="89"/>
      <c r="H56" s="51"/>
      <c r="I56" s="93"/>
      <c r="J56" s="92"/>
      <c r="K56" s="49" t="str">
        <f>_xlfn.XLOOKUP(J56,Tab_Def_Processes[Name(EN)],Tab_Def_Processes[Process_ID],,0,)</f>
        <v>24__</v>
      </c>
      <c r="L56" s="51"/>
      <c r="M56" s="61" t="str">
        <f>_xlfn.XLOOKUP(L56,Tab_Def_Processes[Name(EN)],Tab_Def_Processes[Process_ID],,0,)</f>
        <v>24__</v>
      </c>
      <c r="N56" s="51"/>
      <c r="O56" s="92"/>
      <c r="P56" s="51"/>
      <c r="Q56" s="96"/>
      <c r="R56" s="103"/>
      <c r="S56" s="96"/>
      <c r="T56" s="103"/>
      <c r="U56" s="96"/>
      <c r="V56" s="103"/>
      <c r="W56" s="96"/>
      <c r="X56" s="138">
        <f>Tab_Def_Flows[[#This Row],[CC_DM'[%']]]*Tab_Def_Flows[[#This Row],[DM]]</f>
        <v>0</v>
      </c>
      <c r="Y56" s="51"/>
    </row>
    <row r="57" spans="1:25" ht="15" customHeight="1" x14ac:dyDescent="0.25">
      <c r="A57" s="90" t="b">
        <v>0</v>
      </c>
      <c r="B57" s="114" t="s">
        <v>477</v>
      </c>
      <c r="C57" s="49" t="str">
        <f t="shared" si="0"/>
        <v>F_24_24</v>
      </c>
      <c r="D57" s="51"/>
      <c r="E57" s="93"/>
      <c r="F57" s="51"/>
      <c r="G57" s="89"/>
      <c r="H57" s="51"/>
      <c r="I57" s="93"/>
      <c r="J57" s="92"/>
      <c r="K57" s="49" t="str">
        <f>_xlfn.XLOOKUP(J57,Tab_Def_Processes[Name(EN)],Tab_Def_Processes[Process_ID],,0,)</f>
        <v>24__</v>
      </c>
      <c r="L57" s="51"/>
      <c r="M57" s="61" t="str">
        <f>_xlfn.XLOOKUP(L57,Tab_Def_Processes[Name(EN)],Tab_Def_Processes[Process_ID],,0,)</f>
        <v>24__</v>
      </c>
      <c r="N57" s="51"/>
      <c r="O57" s="92"/>
      <c r="P57" s="51"/>
      <c r="Q57" s="96"/>
      <c r="R57" s="103"/>
      <c r="S57" s="96"/>
      <c r="T57" s="103"/>
      <c r="U57" s="96"/>
      <c r="V57" s="103"/>
      <c r="W57" s="96"/>
      <c r="X57" s="138">
        <f>Tab_Def_Flows[[#This Row],[CC_DM'[%']]]*Tab_Def_Flows[[#This Row],[DM]]</f>
        <v>0</v>
      </c>
      <c r="Y57" s="51"/>
    </row>
    <row r="58" spans="1:25" ht="15" customHeight="1" x14ac:dyDescent="0.25">
      <c r="A58" s="90" t="b">
        <v>0</v>
      </c>
      <c r="B58" s="114" t="s">
        <v>531</v>
      </c>
      <c r="C58" s="49" t="str">
        <f t="shared" si="0"/>
        <v>F_24_24</v>
      </c>
      <c r="D58" s="51"/>
      <c r="E58" s="93"/>
      <c r="F58" s="51"/>
      <c r="G58" s="89"/>
      <c r="H58" s="51"/>
      <c r="I58" s="93"/>
      <c r="J58" s="92"/>
      <c r="K58" s="49" t="str">
        <f>_xlfn.XLOOKUP(J58,Tab_Def_Processes[Name(EN)],Tab_Def_Processes[Process_ID],,0,)</f>
        <v>24__</v>
      </c>
      <c r="L58" s="51"/>
      <c r="M58" s="61" t="str">
        <f>_xlfn.XLOOKUP(L58,Tab_Def_Processes[Name(EN)],Tab_Def_Processes[Process_ID],,0,)</f>
        <v>24__</v>
      </c>
      <c r="N58" s="51"/>
      <c r="O58" s="92"/>
      <c r="P58" s="51"/>
      <c r="Q58" s="96"/>
      <c r="R58" s="103"/>
      <c r="S58" s="96"/>
      <c r="T58" s="103"/>
      <c r="U58" s="96"/>
      <c r="V58" s="103"/>
      <c r="W58" s="96"/>
      <c r="X58" s="138">
        <f>Tab_Def_Flows[[#This Row],[CC_DM'[%']]]*Tab_Def_Flows[[#This Row],[DM]]</f>
        <v>0</v>
      </c>
      <c r="Y58" s="51"/>
    </row>
    <row r="59" spans="1:25" ht="15" customHeight="1" x14ac:dyDescent="0.25">
      <c r="A59" s="90" t="b">
        <v>0</v>
      </c>
      <c r="B59" s="114" t="s">
        <v>532</v>
      </c>
      <c r="C59" s="49" t="str">
        <f t="shared" si="0"/>
        <v>F_24_24</v>
      </c>
      <c r="D59" s="51"/>
      <c r="E59" s="93"/>
      <c r="F59" s="51"/>
      <c r="G59" s="89"/>
      <c r="H59" s="51"/>
      <c r="I59" s="93"/>
      <c r="J59" s="92"/>
      <c r="K59" s="49" t="str">
        <f>_xlfn.XLOOKUP(J59,Tab_Def_Processes[Name(EN)],Tab_Def_Processes[Process_ID],,0,)</f>
        <v>24__</v>
      </c>
      <c r="L59" s="51"/>
      <c r="M59" s="61" t="str">
        <f>_xlfn.XLOOKUP(L59,Tab_Def_Processes[Name(EN)],Tab_Def_Processes[Process_ID],,0,)</f>
        <v>24__</v>
      </c>
      <c r="N59" s="51"/>
      <c r="O59" s="92"/>
      <c r="P59" s="51"/>
      <c r="Q59" s="96"/>
      <c r="R59" s="103"/>
      <c r="S59" s="96"/>
      <c r="T59" s="103"/>
      <c r="U59" s="96"/>
      <c r="V59" s="103"/>
      <c r="W59" s="96"/>
      <c r="X59" s="138">
        <f>Tab_Def_Flows[[#This Row],[CC_DM'[%']]]*Tab_Def_Flows[[#This Row],[DM]]</f>
        <v>0</v>
      </c>
      <c r="Y59" s="51"/>
    </row>
    <row r="60" spans="1:25" x14ac:dyDescent="0.25">
      <c r="A60" s="90" t="b">
        <v>0</v>
      </c>
      <c r="B60" s="114" t="s">
        <v>533</v>
      </c>
      <c r="C60" s="49" t="str">
        <f t="shared" si="0"/>
        <v>F_24_24</v>
      </c>
      <c r="D60" s="51"/>
      <c r="E60" s="93"/>
      <c r="F60" s="51"/>
      <c r="G60" s="89"/>
      <c r="H60" s="51"/>
      <c r="I60" s="89"/>
      <c r="J60" s="92"/>
      <c r="K60" s="49" t="str">
        <f>_xlfn.XLOOKUP(J60,Tab_Def_Processes[Name(EN)],Tab_Def_Processes[Process_ID],,0,)</f>
        <v>24__</v>
      </c>
      <c r="L60" s="51"/>
      <c r="M60" s="61" t="str">
        <f>_xlfn.XLOOKUP(L60,Tab_Def_Processes[Name(EN)],Tab_Def_Processes[Process_ID],,0,)</f>
        <v>24__</v>
      </c>
      <c r="N60" s="51"/>
      <c r="O60" s="92"/>
      <c r="P60" s="51"/>
      <c r="Q60" s="96"/>
      <c r="R60" s="103"/>
      <c r="S60" s="96"/>
      <c r="T60" s="103"/>
      <c r="U60" s="96"/>
      <c r="V60" s="103"/>
      <c r="W60" s="96"/>
      <c r="X60" s="138">
        <f>Tab_Def_Flows[[#This Row],[CC_DM'[%']]]*Tab_Def_Flows[[#This Row],[DM]]</f>
        <v>0</v>
      </c>
      <c r="Y60" s="51"/>
    </row>
    <row r="61" spans="1:25" x14ac:dyDescent="0.25">
      <c r="A61" s="90" t="b">
        <v>0</v>
      </c>
      <c r="B61" s="114" t="s">
        <v>534</v>
      </c>
      <c r="C61" s="49" t="str">
        <f t="shared" si="0"/>
        <v>F_24_24</v>
      </c>
      <c r="D61" s="51"/>
      <c r="E61" s="93"/>
      <c r="F61" s="51"/>
      <c r="G61" s="89"/>
      <c r="H61" s="51"/>
      <c r="I61" s="89"/>
      <c r="J61" s="92"/>
      <c r="K61" s="49" t="str">
        <f>_xlfn.XLOOKUP(J61,Tab_Def_Processes[Name(EN)],Tab_Def_Processes[Process_ID],,0,)</f>
        <v>24__</v>
      </c>
      <c r="L61" s="51"/>
      <c r="M61" s="61" t="str">
        <f>_xlfn.XLOOKUP(L61,Tab_Def_Processes[Name(EN)],Tab_Def_Processes[Process_ID],,0,)</f>
        <v>24__</v>
      </c>
      <c r="N61" s="51"/>
      <c r="O61" s="92"/>
      <c r="P61" s="51"/>
      <c r="Q61" s="96"/>
      <c r="R61" s="103"/>
      <c r="S61" s="96"/>
      <c r="T61" s="103"/>
      <c r="U61" s="96"/>
      <c r="V61" s="103"/>
      <c r="W61" s="96"/>
      <c r="X61" s="138">
        <f>Tab_Def_Flows[[#This Row],[CC_DM'[%']]]*Tab_Def_Flows[[#This Row],[DM]]</f>
        <v>0</v>
      </c>
      <c r="Y61" s="51"/>
    </row>
    <row r="62" spans="1:25" x14ac:dyDescent="0.25">
      <c r="A62" s="90" t="b">
        <v>0</v>
      </c>
      <c r="B62" s="114" t="s">
        <v>535</v>
      </c>
      <c r="C62" s="49" t="str">
        <f t="shared" si="0"/>
        <v>F_24_24</v>
      </c>
      <c r="D62" s="51"/>
      <c r="E62" s="93"/>
      <c r="F62" s="51"/>
      <c r="G62" s="89"/>
      <c r="H62" s="51"/>
      <c r="I62" s="89"/>
      <c r="J62" s="92"/>
      <c r="K62" s="49" t="str">
        <f>_xlfn.XLOOKUP(J62,Tab_Def_Processes[Name(EN)],Tab_Def_Processes[Process_ID],,0,)</f>
        <v>24__</v>
      </c>
      <c r="L62" s="51"/>
      <c r="M62" s="61" t="str">
        <f>_xlfn.XLOOKUP(L62,Tab_Def_Processes[Name(EN)],Tab_Def_Processes[Process_ID],,0,)</f>
        <v>24__</v>
      </c>
      <c r="N62" s="51"/>
      <c r="O62" s="92"/>
      <c r="P62" s="51"/>
      <c r="Q62" s="96"/>
      <c r="R62" s="103"/>
      <c r="S62" s="96"/>
      <c r="T62" s="103"/>
      <c r="U62" s="96"/>
      <c r="V62" s="103"/>
      <c r="W62" s="96"/>
      <c r="X62" s="138">
        <f>Tab_Def_Flows[[#This Row],[CC_DM'[%']]]*Tab_Def_Flows[[#This Row],[DM]]</f>
        <v>0</v>
      </c>
      <c r="Y62" s="51"/>
    </row>
    <row r="63" spans="1:25" x14ac:dyDescent="0.25">
      <c r="A63" s="90" t="b">
        <v>0</v>
      </c>
      <c r="B63" s="114" t="s">
        <v>536</v>
      </c>
      <c r="C63" s="49" t="str">
        <f t="shared" si="0"/>
        <v>F_24_24</v>
      </c>
      <c r="D63" s="51"/>
      <c r="E63" s="93"/>
      <c r="F63" s="51"/>
      <c r="G63" s="89"/>
      <c r="H63" s="51"/>
      <c r="I63" s="89"/>
      <c r="J63" s="92"/>
      <c r="K63" s="49" t="str">
        <f>_xlfn.XLOOKUP(J63,Tab_Def_Processes[Name(EN)],Tab_Def_Processes[Process_ID],,0,)</f>
        <v>24__</v>
      </c>
      <c r="L63" s="51"/>
      <c r="M63" s="61" t="str">
        <f>_xlfn.XLOOKUP(L63,Tab_Def_Processes[Name(EN)],Tab_Def_Processes[Process_ID],,0,)</f>
        <v>24__</v>
      </c>
      <c r="N63" s="51"/>
      <c r="O63" s="92" t="s">
        <v>68</v>
      </c>
      <c r="P63" s="51"/>
      <c r="Q63" s="96"/>
      <c r="R63" s="103"/>
      <c r="S63" s="96"/>
      <c r="T63" s="103"/>
      <c r="U63" s="96"/>
      <c r="V63" s="103"/>
      <c r="W63" s="96"/>
      <c r="X63" s="138">
        <f>Tab_Def_Flows[[#This Row],[CC_DM'[%']]]*Tab_Def_Flows[[#This Row],[DM]]</f>
        <v>0</v>
      </c>
      <c r="Y63" s="51"/>
    </row>
    <row r="64" spans="1:25" x14ac:dyDescent="0.25">
      <c r="A64" s="90" t="b">
        <v>0</v>
      </c>
      <c r="B64" s="114" t="s">
        <v>537</v>
      </c>
      <c r="C64" s="49" t="str">
        <f t="shared" si="0"/>
        <v>F_24_24</v>
      </c>
      <c r="D64" s="51"/>
      <c r="E64" s="89"/>
      <c r="F64" s="51"/>
      <c r="G64" s="89"/>
      <c r="H64" s="51"/>
      <c r="I64" s="89"/>
      <c r="J64" s="92"/>
      <c r="K64" s="49" t="str">
        <f>_xlfn.XLOOKUP(J64,Tab_Def_Processes[Name(EN)],Tab_Def_Processes[Process_ID],,0,)</f>
        <v>24__</v>
      </c>
      <c r="L64" s="51"/>
      <c r="M64" s="61" t="str">
        <f>_xlfn.XLOOKUP(L64,Tab_Def_Processes[Name(EN)],Tab_Def_Processes[Process_ID],,0,)</f>
        <v>24__</v>
      </c>
      <c r="N64" s="51"/>
      <c r="O64" s="92" t="s">
        <v>68</v>
      </c>
      <c r="P64" s="51"/>
      <c r="Q64" s="96"/>
      <c r="R64" s="103"/>
      <c r="S64" s="96"/>
      <c r="T64" s="103"/>
      <c r="U64" s="96"/>
      <c r="V64" s="103"/>
      <c r="W64" s="96"/>
      <c r="X64" s="138">
        <f>Tab_Def_Flows[[#This Row],[CC_DM'[%']]]*Tab_Def_Flows[[#This Row],[DM]]</f>
        <v>0</v>
      </c>
      <c r="Y64" s="51"/>
    </row>
    <row r="65" spans="1:25" x14ac:dyDescent="0.25">
      <c r="A65" s="90" t="b">
        <v>0</v>
      </c>
      <c r="B65" s="114" t="s">
        <v>538</v>
      </c>
      <c r="C65" s="49" t="str">
        <f t="shared" si="0"/>
        <v>F_24_24</v>
      </c>
      <c r="D65" s="51"/>
      <c r="E65" s="89"/>
      <c r="F65" s="51"/>
      <c r="G65" s="89"/>
      <c r="H65" s="51"/>
      <c r="I65" s="89"/>
      <c r="J65" s="92"/>
      <c r="K65" s="49" t="str">
        <f>_xlfn.XLOOKUP(J65,Tab_Def_Processes[Name(EN)],Tab_Def_Processes[Process_ID],,0,)</f>
        <v>24__</v>
      </c>
      <c r="L65" s="51"/>
      <c r="M65" s="61" t="str">
        <f>_xlfn.XLOOKUP(L65,Tab_Def_Processes[Name(EN)],Tab_Def_Processes[Process_ID],,0,)</f>
        <v>24__</v>
      </c>
      <c r="N65" s="51"/>
      <c r="O65" s="92" t="s">
        <v>68</v>
      </c>
      <c r="P65" s="51"/>
      <c r="Q65" s="96"/>
      <c r="R65" s="103"/>
      <c r="S65" s="96"/>
      <c r="T65" s="103"/>
      <c r="U65" s="96"/>
      <c r="V65" s="103"/>
      <c r="W65" s="96"/>
      <c r="X65" s="138">
        <f>Tab_Def_Flows[[#This Row],[CC_DM'[%']]]*Tab_Def_Flows[[#This Row],[DM]]</f>
        <v>0</v>
      </c>
      <c r="Y65" s="51"/>
    </row>
    <row r="66" spans="1:25" x14ac:dyDescent="0.25">
      <c r="A66" s="90" t="b">
        <v>0</v>
      </c>
      <c r="B66" s="114" t="s">
        <v>539</v>
      </c>
      <c r="C66" s="49" t="str">
        <f t="shared" si="0"/>
        <v>F_24_24</v>
      </c>
      <c r="D66" s="51"/>
      <c r="E66" s="89"/>
      <c r="F66" s="51"/>
      <c r="G66" s="89"/>
      <c r="H66" s="51"/>
      <c r="I66" s="89"/>
      <c r="J66" s="92"/>
      <c r="K66" s="49" t="str">
        <f>_xlfn.XLOOKUP(J66,Tab_Def_Processes[Name(EN)],Tab_Def_Processes[Process_ID],,0,)</f>
        <v>24__</v>
      </c>
      <c r="L66" s="51"/>
      <c r="M66" s="61" t="str">
        <f>_xlfn.XLOOKUP(L66,Tab_Def_Processes[Name(EN)],Tab_Def_Processes[Process_ID],,0,)</f>
        <v>24__</v>
      </c>
      <c r="N66" s="51"/>
      <c r="O66" s="92" t="s">
        <v>68</v>
      </c>
      <c r="P66" s="51"/>
      <c r="Q66" s="96"/>
      <c r="R66" s="103"/>
      <c r="S66" s="96"/>
      <c r="T66" s="103"/>
      <c r="U66" s="96"/>
      <c r="V66" s="103"/>
      <c r="W66" s="96"/>
      <c r="X66" s="138">
        <f>Tab_Def_Flows[[#This Row],[CC_DM'[%']]]*Tab_Def_Flows[[#This Row],[DM]]</f>
        <v>0</v>
      </c>
      <c r="Y66" s="51"/>
    </row>
    <row r="67" spans="1:25" x14ac:dyDescent="0.25">
      <c r="A67" s="90" t="b">
        <v>0</v>
      </c>
      <c r="B67" s="114" t="s">
        <v>540</v>
      </c>
      <c r="C67" s="49" t="str">
        <f t="shared" ref="C67:C77" si="1">"F_"&amp;LEFT(K67,2)&amp;"_"&amp;LEFT(M67,2)</f>
        <v>F_24_24</v>
      </c>
      <c r="D67" s="51"/>
      <c r="E67" s="89"/>
      <c r="F67" s="51"/>
      <c r="G67" s="89"/>
      <c r="H67" s="51"/>
      <c r="I67" s="89"/>
      <c r="J67" s="92"/>
      <c r="K67" s="49" t="str">
        <f>_xlfn.XLOOKUP(J67,Tab_Def_Processes[Name(EN)],Tab_Def_Processes[Process_ID],,0,)</f>
        <v>24__</v>
      </c>
      <c r="L67" s="51"/>
      <c r="M67" s="61" t="str">
        <f>_xlfn.XLOOKUP(L67,Tab_Def_Processes[Name(EN)],Tab_Def_Processes[Process_ID],,0,)</f>
        <v>24__</v>
      </c>
      <c r="N67" s="51"/>
      <c r="O67" s="92" t="s">
        <v>68</v>
      </c>
      <c r="P67" s="51"/>
      <c r="Q67" s="96"/>
      <c r="R67" s="103"/>
      <c r="S67" s="96"/>
      <c r="T67" s="103"/>
      <c r="U67" s="96"/>
      <c r="V67" s="103"/>
      <c r="W67" s="96"/>
      <c r="X67" s="138">
        <f>Tab_Def_Flows[[#This Row],[CC_DM'[%']]]*Tab_Def_Flows[[#This Row],[DM]]</f>
        <v>0</v>
      </c>
      <c r="Y67" s="51"/>
    </row>
    <row r="68" spans="1:25" x14ac:dyDescent="0.25">
      <c r="A68" s="90" t="b">
        <v>0</v>
      </c>
      <c r="B68" s="114" t="s">
        <v>541</v>
      </c>
      <c r="C68" s="49" t="str">
        <f t="shared" si="1"/>
        <v>F_24_24</v>
      </c>
      <c r="D68" s="51"/>
      <c r="E68" s="89"/>
      <c r="F68" s="51"/>
      <c r="G68" s="89"/>
      <c r="H68" s="51"/>
      <c r="I68" s="89"/>
      <c r="J68" s="92"/>
      <c r="K68" s="49" t="str">
        <f>_xlfn.XLOOKUP(J68,Tab_Def_Processes[Name(EN)],Tab_Def_Processes[Process_ID],,0,)</f>
        <v>24__</v>
      </c>
      <c r="L68" s="51"/>
      <c r="M68" s="61" t="str">
        <f>_xlfn.XLOOKUP(L68,Tab_Def_Processes[Name(EN)],Tab_Def_Processes[Process_ID],,0,)</f>
        <v>24__</v>
      </c>
      <c r="N68" s="51"/>
      <c r="O68" s="92" t="s">
        <v>68</v>
      </c>
      <c r="P68" s="51"/>
      <c r="Q68" s="96"/>
      <c r="R68" s="103"/>
      <c r="S68" s="96"/>
      <c r="T68" s="103"/>
      <c r="U68" s="96"/>
      <c r="V68" s="103"/>
      <c r="W68" s="96"/>
      <c r="X68" s="138">
        <f>Tab_Def_Flows[[#This Row],[CC_DM'[%']]]*Tab_Def_Flows[[#This Row],[DM]]</f>
        <v>0</v>
      </c>
      <c r="Y68" s="51"/>
    </row>
    <row r="69" spans="1:25" x14ac:dyDescent="0.25">
      <c r="A69" s="90" t="b">
        <v>0</v>
      </c>
      <c r="B69" s="114" t="s">
        <v>542</v>
      </c>
      <c r="C69" s="49" t="str">
        <f t="shared" si="1"/>
        <v>F_24_24</v>
      </c>
      <c r="D69" s="51"/>
      <c r="E69" s="89"/>
      <c r="F69" s="51"/>
      <c r="G69" s="89"/>
      <c r="H69" s="51"/>
      <c r="I69" s="89"/>
      <c r="J69" s="92"/>
      <c r="K69" s="49" t="str">
        <f>_xlfn.XLOOKUP(J69,Tab_Def_Processes[Name(EN)],Tab_Def_Processes[Process_ID],,0,)</f>
        <v>24__</v>
      </c>
      <c r="L69" s="51"/>
      <c r="M69" s="61" t="str">
        <f>_xlfn.XLOOKUP(L69,Tab_Def_Processes[Name(EN)],Tab_Def_Processes[Process_ID],,0,)</f>
        <v>24__</v>
      </c>
      <c r="N69" s="51"/>
      <c r="O69" s="92" t="s">
        <v>68</v>
      </c>
      <c r="P69" s="51"/>
      <c r="Q69" s="96"/>
      <c r="R69" s="103"/>
      <c r="S69" s="96"/>
      <c r="T69" s="103"/>
      <c r="U69" s="96"/>
      <c r="V69" s="103"/>
      <c r="W69" s="96"/>
      <c r="X69" s="138">
        <f>Tab_Def_Flows[[#This Row],[CC_DM'[%']]]*Tab_Def_Flows[[#This Row],[DM]]</f>
        <v>0</v>
      </c>
      <c r="Y69" s="51"/>
    </row>
    <row r="70" spans="1:25" x14ac:dyDescent="0.25">
      <c r="A70" s="90" t="b">
        <v>0</v>
      </c>
      <c r="B70" s="114" t="s">
        <v>543</v>
      </c>
      <c r="C70" s="49" t="str">
        <f t="shared" si="1"/>
        <v>F_24_24</v>
      </c>
      <c r="D70" s="51"/>
      <c r="E70" s="89"/>
      <c r="F70" s="51"/>
      <c r="G70" s="89"/>
      <c r="H70" s="51"/>
      <c r="I70" s="89"/>
      <c r="J70" s="92"/>
      <c r="K70" s="49" t="str">
        <f>_xlfn.XLOOKUP(J70,Tab_Def_Processes[Name(EN)],Tab_Def_Processes[Process_ID],,0,)</f>
        <v>24__</v>
      </c>
      <c r="L70" s="51"/>
      <c r="M70" s="61" t="str">
        <f>_xlfn.XLOOKUP(L70,Tab_Def_Processes[Name(EN)],Tab_Def_Processes[Process_ID],,0,)</f>
        <v>24__</v>
      </c>
      <c r="N70" s="51"/>
      <c r="O70" s="92" t="s">
        <v>68</v>
      </c>
      <c r="P70" s="51"/>
      <c r="Q70" s="96"/>
      <c r="R70" s="103"/>
      <c r="S70" s="96"/>
      <c r="T70" s="103"/>
      <c r="U70" s="96"/>
      <c r="V70" s="103"/>
      <c r="W70" s="96"/>
      <c r="X70" s="138">
        <f>Tab_Def_Flows[[#This Row],[CC_DM'[%']]]*Tab_Def_Flows[[#This Row],[DM]]</f>
        <v>0</v>
      </c>
      <c r="Y70" s="51"/>
    </row>
    <row r="71" spans="1:25" x14ac:dyDescent="0.25">
      <c r="A71" s="90" t="b">
        <v>0</v>
      </c>
      <c r="B71" s="114" t="s">
        <v>544</v>
      </c>
      <c r="C71" s="49" t="str">
        <f t="shared" si="1"/>
        <v>F_24_24</v>
      </c>
      <c r="D71" s="51"/>
      <c r="E71" s="89"/>
      <c r="F71" s="51"/>
      <c r="G71" s="89"/>
      <c r="H71" s="51"/>
      <c r="I71" s="89"/>
      <c r="J71" s="92"/>
      <c r="K71" s="49" t="str">
        <f>_xlfn.XLOOKUP(J71,Tab_Def_Processes[Name(EN)],Tab_Def_Processes[Process_ID],,0,)</f>
        <v>24__</v>
      </c>
      <c r="L71" s="51"/>
      <c r="M71" s="61" t="str">
        <f>_xlfn.XLOOKUP(L71,Tab_Def_Processes[Name(EN)],Tab_Def_Processes[Process_ID],,0,)</f>
        <v>24__</v>
      </c>
      <c r="N71" s="51"/>
      <c r="O71" s="92" t="s">
        <v>68</v>
      </c>
      <c r="P71" s="51"/>
      <c r="Q71" s="96"/>
      <c r="R71" s="103"/>
      <c r="S71" s="96"/>
      <c r="T71" s="103"/>
      <c r="U71" s="96"/>
      <c r="V71" s="103"/>
      <c r="W71" s="96"/>
      <c r="X71" s="138">
        <f>Tab_Def_Flows[[#This Row],[CC_DM'[%']]]*Tab_Def_Flows[[#This Row],[DM]]</f>
        <v>0</v>
      </c>
      <c r="Y71" s="51"/>
    </row>
    <row r="72" spans="1:25" x14ac:dyDescent="0.25">
      <c r="A72" s="90" t="b">
        <v>0</v>
      </c>
      <c r="B72" s="114" t="s">
        <v>545</v>
      </c>
      <c r="C72" s="49" t="str">
        <f t="shared" si="1"/>
        <v>F_24_24</v>
      </c>
      <c r="D72" s="51"/>
      <c r="E72" s="89"/>
      <c r="F72" s="51"/>
      <c r="G72" s="89"/>
      <c r="H72" s="51"/>
      <c r="I72" s="89"/>
      <c r="J72" s="92"/>
      <c r="K72" s="49" t="str">
        <f>_xlfn.XLOOKUP(J72,Tab_Def_Processes[Name(EN)],Tab_Def_Processes[Process_ID],,0,)</f>
        <v>24__</v>
      </c>
      <c r="L72" s="51"/>
      <c r="M72" s="61" t="str">
        <f>_xlfn.XLOOKUP(L72,Tab_Def_Processes[Name(EN)],Tab_Def_Processes[Process_ID],,0,)</f>
        <v>24__</v>
      </c>
      <c r="N72" s="51"/>
      <c r="O72" s="92" t="s">
        <v>68</v>
      </c>
      <c r="P72" s="51"/>
      <c r="Q72" s="96"/>
      <c r="R72" s="103"/>
      <c r="S72" s="96"/>
      <c r="T72" s="103"/>
      <c r="U72" s="96"/>
      <c r="V72" s="103"/>
      <c r="W72" s="96"/>
      <c r="X72" s="138">
        <f>Tab_Def_Flows[[#This Row],[CC_DM'[%']]]*Tab_Def_Flows[[#This Row],[DM]]</f>
        <v>0</v>
      </c>
      <c r="Y72" s="51"/>
    </row>
    <row r="73" spans="1:25" x14ac:dyDescent="0.25">
      <c r="A73" s="90" t="b">
        <v>0</v>
      </c>
      <c r="B73" s="114" t="s">
        <v>546</v>
      </c>
      <c r="C73" s="49" t="str">
        <f t="shared" si="1"/>
        <v>F_24_24</v>
      </c>
      <c r="D73" s="51"/>
      <c r="E73" s="89"/>
      <c r="F73" s="51"/>
      <c r="G73" s="89"/>
      <c r="H73" s="51"/>
      <c r="I73" s="89"/>
      <c r="J73" s="92"/>
      <c r="K73" s="49" t="str">
        <f>_xlfn.XLOOKUP(J73,Tab_Def_Processes[Name(EN)],Tab_Def_Processes[Process_ID],,0,)</f>
        <v>24__</v>
      </c>
      <c r="L73" s="51"/>
      <c r="M73" s="61" t="str">
        <f>_xlfn.XLOOKUP(L73,Tab_Def_Processes[Name(EN)],Tab_Def_Processes[Process_ID],,0,)</f>
        <v>24__</v>
      </c>
      <c r="N73" s="51"/>
      <c r="O73" s="92" t="s">
        <v>68</v>
      </c>
      <c r="P73" s="51"/>
      <c r="Q73" s="96"/>
      <c r="R73" s="103"/>
      <c r="S73" s="96"/>
      <c r="T73" s="103"/>
      <c r="U73" s="96"/>
      <c r="V73" s="103"/>
      <c r="W73" s="96"/>
      <c r="X73" s="138">
        <f>Tab_Def_Flows[[#This Row],[CC_DM'[%']]]*Tab_Def_Flows[[#This Row],[DM]]</f>
        <v>0</v>
      </c>
      <c r="Y73" s="51"/>
    </row>
    <row r="74" spans="1:25" x14ac:dyDescent="0.25">
      <c r="A74" s="90" t="b">
        <v>0</v>
      </c>
      <c r="B74" s="114" t="s">
        <v>547</v>
      </c>
      <c r="C74" s="49" t="str">
        <f t="shared" si="1"/>
        <v>F_24_24</v>
      </c>
      <c r="D74" s="51"/>
      <c r="E74" s="89"/>
      <c r="F74" s="51"/>
      <c r="G74" s="89"/>
      <c r="H74" s="51"/>
      <c r="I74" s="89"/>
      <c r="J74" s="92"/>
      <c r="K74" s="49" t="str">
        <f>_xlfn.XLOOKUP(J74,Tab_Def_Processes[Name(EN)],Tab_Def_Processes[Process_ID],,0,)</f>
        <v>24__</v>
      </c>
      <c r="L74" s="51"/>
      <c r="M74" s="61" t="str">
        <f>_xlfn.XLOOKUP(L74,Tab_Def_Processes[Name(EN)],Tab_Def_Processes[Process_ID],,0,)</f>
        <v>24__</v>
      </c>
      <c r="N74" s="51"/>
      <c r="O74" s="92" t="s">
        <v>68</v>
      </c>
      <c r="P74" s="51"/>
      <c r="Q74" s="96"/>
      <c r="R74" s="103"/>
      <c r="S74" s="96"/>
      <c r="T74" s="103"/>
      <c r="U74" s="96"/>
      <c r="V74" s="103"/>
      <c r="W74" s="96"/>
      <c r="X74" s="138">
        <f>Tab_Def_Flows[[#This Row],[CC_DM'[%']]]*Tab_Def_Flows[[#This Row],[DM]]</f>
        <v>0</v>
      </c>
      <c r="Y74" s="51"/>
    </row>
    <row r="75" spans="1:25" x14ac:dyDescent="0.25">
      <c r="A75" s="90" t="b">
        <v>0</v>
      </c>
      <c r="B75" s="114" t="s">
        <v>548</v>
      </c>
      <c r="C75" s="49" t="str">
        <f t="shared" si="1"/>
        <v>F_24_24</v>
      </c>
      <c r="D75" s="51"/>
      <c r="E75" s="89"/>
      <c r="F75" s="51"/>
      <c r="G75" s="89"/>
      <c r="H75" s="51"/>
      <c r="I75" s="89"/>
      <c r="J75" s="92"/>
      <c r="K75" s="49" t="str">
        <f>_xlfn.XLOOKUP(J75,Tab_Def_Processes[Name(EN)],Tab_Def_Processes[Process_ID],,0,)</f>
        <v>24__</v>
      </c>
      <c r="L75" s="51"/>
      <c r="M75" s="61" t="str">
        <f>_xlfn.XLOOKUP(L75,Tab_Def_Processes[Name(EN)],Tab_Def_Processes[Process_ID],,0,)</f>
        <v>24__</v>
      </c>
      <c r="N75" s="51"/>
      <c r="O75" s="92" t="s">
        <v>68</v>
      </c>
      <c r="P75" s="51"/>
      <c r="Q75" s="96"/>
      <c r="R75" s="103"/>
      <c r="S75" s="96"/>
      <c r="T75" s="103"/>
      <c r="U75" s="96"/>
      <c r="V75" s="103"/>
      <c r="W75" s="96"/>
      <c r="X75" s="138">
        <f>Tab_Def_Flows[[#This Row],[CC_DM'[%']]]*Tab_Def_Flows[[#This Row],[DM]]</f>
        <v>0</v>
      </c>
      <c r="Y75" s="51"/>
    </row>
    <row r="76" spans="1:25" x14ac:dyDescent="0.25">
      <c r="A76" s="90" t="b">
        <v>0</v>
      </c>
      <c r="B76" s="114" t="s">
        <v>549</v>
      </c>
      <c r="C76" s="49" t="str">
        <f t="shared" si="1"/>
        <v>F_24_24</v>
      </c>
      <c r="D76" s="51"/>
      <c r="E76" s="89"/>
      <c r="F76" s="51"/>
      <c r="G76" s="89"/>
      <c r="H76" s="51"/>
      <c r="I76" s="89"/>
      <c r="J76" s="92"/>
      <c r="K76" s="49" t="str">
        <f>_xlfn.XLOOKUP(J76,Tab_Def_Processes[Name(EN)],Tab_Def_Processes[Process_ID],,0,)</f>
        <v>24__</v>
      </c>
      <c r="L76" s="51"/>
      <c r="M76" s="61" t="str">
        <f>_xlfn.XLOOKUP(L76,Tab_Def_Processes[Name(EN)],Tab_Def_Processes[Process_ID],,0,)</f>
        <v>24__</v>
      </c>
      <c r="N76" s="51"/>
      <c r="O76" s="92" t="s">
        <v>68</v>
      </c>
      <c r="P76" s="51"/>
      <c r="Q76" s="96"/>
      <c r="R76" s="103"/>
      <c r="S76" s="96"/>
      <c r="T76" s="103"/>
      <c r="U76" s="96"/>
      <c r="V76" s="103"/>
      <c r="W76" s="96"/>
      <c r="X76" s="138">
        <f>Tab_Def_Flows[[#This Row],[CC_DM'[%']]]*Tab_Def_Flows[[#This Row],[DM]]</f>
        <v>0</v>
      </c>
      <c r="Y76" s="51"/>
    </row>
    <row r="77" spans="1:25" x14ac:dyDescent="0.25">
      <c r="A77" s="90" t="b">
        <v>0</v>
      </c>
      <c r="B77" s="114" t="s">
        <v>550</v>
      </c>
      <c r="C77" s="49" t="str">
        <f t="shared" si="1"/>
        <v>F_24_24</v>
      </c>
      <c r="D77" s="51"/>
      <c r="E77" s="89"/>
      <c r="F77" s="51"/>
      <c r="G77" s="89"/>
      <c r="H77" s="51"/>
      <c r="I77" s="89"/>
      <c r="J77" s="92"/>
      <c r="K77" s="49" t="str">
        <f>_xlfn.XLOOKUP(J77,Tab_Def_Processes[Name(EN)],Tab_Def_Processes[Process_ID],,0,)</f>
        <v>24__</v>
      </c>
      <c r="L77" s="51"/>
      <c r="M77" s="61" t="str">
        <f>_xlfn.XLOOKUP(L77,Tab_Def_Processes[Name(EN)],Tab_Def_Processes[Process_ID],,0,)</f>
        <v>24__</v>
      </c>
      <c r="N77" s="51"/>
      <c r="O77" s="92" t="s">
        <v>68</v>
      </c>
      <c r="P77" s="51"/>
      <c r="Q77" s="96"/>
      <c r="R77" s="103"/>
      <c r="S77" s="96"/>
      <c r="T77" s="103"/>
      <c r="U77" s="96"/>
      <c r="V77" s="103"/>
      <c r="W77" s="96"/>
      <c r="X77" s="138">
        <f>Tab_Def_Flows[[#This Row],[CC_DM'[%']]]*Tab_Def_Flows[[#This Row],[DM]]</f>
        <v>0</v>
      </c>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zoomScale="115" zoomScaleNormal="115" workbookViewId="0">
      <selection activeCell="O331" sqref="O331:O332"/>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1506711.5384615399</v>
      </c>
      <c r="P2" s="51" t="s">
        <v>389</v>
      </c>
      <c r="Q2" s="51" t="s">
        <v>362</v>
      </c>
      <c r="R2" s="51"/>
      <c r="S2" s="51"/>
      <c r="T2" s="51"/>
      <c r="U2" s="51"/>
      <c r="V2" s="51"/>
      <c r="W2" s="51"/>
      <c r="X2" s="51" t="s">
        <v>71</v>
      </c>
      <c r="Y2" s="106">
        <v>365</v>
      </c>
      <c r="Z2" s="51"/>
      <c r="AA2" s="86">
        <f>IF(X2="no",O2,O2*Y2)</f>
        <v>1506711.5384615399</v>
      </c>
      <c r="AB2" s="51" t="s">
        <v>63</v>
      </c>
      <c r="AC2" s="111">
        <f>INDEX(Tab_Def_Flows[[Flow_ID]:[CC_DM_source]],MATCH(Tab_Data_Flows[[#This Row],[Name(EN)]],Tab_Def_Flows[Name(EN)],0),16)</f>
        <v>0.14000000000000001</v>
      </c>
      <c r="AD2" s="109">
        <f>IF(J2="Yes",AA2*Tab_Data_Flows[[#This Row],[WC_'[%']]],"N.A.")</f>
        <v>210939.61538461561</v>
      </c>
      <c r="AE2" s="110" t="str">
        <f>Tab_Data_Flows[[#This Row],[UoM_Flow_Py]]</f>
        <v>Mg</v>
      </c>
      <c r="AF2" s="111">
        <f>INDEX(Tab_Def_Flows[[Flow_ID]:[CC_DM_source]],MATCH(Tab_Data_Flows[[#This Row],[Name(EN)]],Tab_Def_Flows[Name(EN)],0),18)</f>
        <v>0.86</v>
      </c>
      <c r="AG2" s="109">
        <f>IF(K2="Yes",AF2*Tab_Data_Flows[[#This Row],[Flow_Py]],"N.A.")</f>
        <v>1295771.9230769244</v>
      </c>
      <c r="AH2" s="110" t="str">
        <f>Tab_Data_Flows[[#This Row],[UoM_Flow_Py]]</f>
        <v>Mg</v>
      </c>
      <c r="AI2" s="111">
        <f>INDEX(Tab_Def_Flows[[Flow_ID]:[CC_DM_source]],MATCH(Tab_Data_Flows[[#This Row],[Name(EN)]],Tab_Def_Flows[Name(EN)],0),20)</f>
        <v>0.48</v>
      </c>
      <c r="AJ2" s="109">
        <f>IF(L2="Yes",AI2*Tab_Data_Flows[[#This Row],[Flow_Py]]*Tab_Data_Flows[[#This Row],[DM_'[%']]],"N.A.")</f>
        <v>621970.52307692356</v>
      </c>
      <c r="AK2" s="110" t="str">
        <f>Tab_Data_Flows[[#This Row],[UoM_Flow_Py]]</f>
        <v>Mg</v>
      </c>
      <c r="AM2">
        <f>Tab_Data_Flows[[#This Row],[CC_Flow_Py]]/27.7</f>
        <v>22453.809497361861</v>
      </c>
      <c r="AN2">
        <f>AM2*100</f>
        <v>2245380.9497361863</v>
      </c>
    </row>
    <row r="3" spans="1:40" ht="15.75" hidden="1"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1536845.7692307706</v>
      </c>
      <c r="P3" s="51" t="s">
        <v>389</v>
      </c>
      <c r="Q3" s="51" t="s">
        <v>362</v>
      </c>
      <c r="R3" s="51"/>
      <c r="S3" s="51"/>
      <c r="T3" s="51"/>
      <c r="U3" s="51"/>
      <c r="V3" s="51"/>
      <c r="W3" s="51"/>
      <c r="X3" s="51" t="s">
        <v>71</v>
      </c>
      <c r="Y3" s="106">
        <v>365</v>
      </c>
      <c r="Z3" s="51"/>
      <c r="AA3" s="86">
        <f t="shared" ref="AA3:AA66" si="1">IF(X3="no",O3,O3*Y3)</f>
        <v>1536845.7692307706</v>
      </c>
      <c r="AB3" s="51" t="s">
        <v>63</v>
      </c>
      <c r="AC3" s="111">
        <f>INDEX(Tab_Def_Flows[[Flow_ID]:[CC_DM_source]],MATCH(Tab_Data_Flows[[#This Row],[Name(EN)]],Tab_Def_Flows[Name(EN)],0),16)</f>
        <v>0.14000000000000001</v>
      </c>
      <c r="AD3" s="109">
        <f>IF(J3="Yes",AA3*Tab_Data_Flows[[#This Row],[WC_'[%']]],"N.A.")</f>
        <v>215158.4076923079</v>
      </c>
      <c r="AE3" s="110" t="str">
        <f>Tab_Data_Flows[[#This Row],[UoM_Flow_Py]]</f>
        <v>Mg</v>
      </c>
      <c r="AF3" s="111">
        <f>INDEX(Tab_Def_Flows[[Flow_ID]:[CC_DM_source]],MATCH(Tab_Data_Flows[[#This Row],[Name(EN)]],Tab_Def_Flows[Name(EN)],0),18)</f>
        <v>0.86</v>
      </c>
      <c r="AG3" s="109">
        <f>IF(K3="Yes",AF3*Tab_Data_Flows[[#This Row],[Flow_Py]],"N.A.")</f>
        <v>1321687.3615384628</v>
      </c>
      <c r="AH3" s="110" t="str">
        <f>Tab_Data_Flows[[#This Row],[UoM_Flow_Py]]</f>
        <v>Mg</v>
      </c>
      <c r="AI3" s="111">
        <f>INDEX(Tab_Def_Flows[[Flow_ID]:[CC_DM_source]],MATCH(Tab_Data_Flows[[#This Row],[Name(EN)]],Tab_Def_Flows[Name(EN)],0),20)</f>
        <v>0.48</v>
      </c>
      <c r="AJ3" s="109">
        <f>IF(L3="Yes",AI3*Tab_Data_Flows[[#This Row],[Flow_Py]]*Tab_Data_Flows[[#This Row],[DM_'[%']]],"N.A.")</f>
        <v>634409.93353846215</v>
      </c>
      <c r="AK3" s="110" t="str">
        <f>Tab_Data_Flows[[#This Row],[UoM_Flow_Py]]</f>
        <v>Mg</v>
      </c>
    </row>
    <row r="4" spans="1:40" ht="15.75" hidden="1"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1567582.6846153862</v>
      </c>
      <c r="P4" s="51" t="s">
        <v>389</v>
      </c>
      <c r="Q4" s="51" t="s">
        <v>362</v>
      </c>
      <c r="R4" s="51"/>
      <c r="S4" s="51"/>
      <c r="T4" s="51"/>
      <c r="U4" s="51"/>
      <c r="V4" s="51"/>
      <c r="W4" s="51"/>
      <c r="X4" s="51" t="s">
        <v>71</v>
      </c>
      <c r="Y4" s="106">
        <v>365</v>
      </c>
      <c r="Z4" s="51"/>
      <c r="AA4" s="86">
        <f t="shared" si="1"/>
        <v>1567582.6846153862</v>
      </c>
      <c r="AB4" s="51" t="s">
        <v>63</v>
      </c>
      <c r="AC4" s="111">
        <f>INDEX(Tab_Def_Flows[[Flow_ID]:[CC_DM_source]],MATCH(Tab_Data_Flows[[#This Row],[Name(EN)]],Tab_Def_Flows[Name(EN)],0),16)</f>
        <v>0.14000000000000001</v>
      </c>
      <c r="AD4" s="109">
        <f>IF(J4="Yes",AA4*Tab_Data_Flows[[#This Row],[WC_'[%']]],"N.A.")</f>
        <v>219461.5758461541</v>
      </c>
      <c r="AE4" s="110" t="str">
        <f>Tab_Data_Flows[[#This Row],[UoM_Flow_Py]]</f>
        <v>Mg</v>
      </c>
      <c r="AF4" s="111">
        <f>INDEX(Tab_Def_Flows[[Flow_ID]:[CC_DM_source]],MATCH(Tab_Data_Flows[[#This Row],[Name(EN)]],Tab_Def_Flows[Name(EN)],0),18)</f>
        <v>0.86</v>
      </c>
      <c r="AG4" s="109">
        <f>IF(K4="Yes",AF4*Tab_Data_Flows[[#This Row],[Flow_Py]],"N.A.")</f>
        <v>1348121.1087692322</v>
      </c>
      <c r="AH4" s="110" t="str">
        <f>Tab_Data_Flows[[#This Row],[UoM_Flow_Py]]</f>
        <v>Mg</v>
      </c>
      <c r="AI4" s="111">
        <f>INDEX(Tab_Def_Flows[[Flow_ID]:[CC_DM_source]],MATCH(Tab_Data_Flows[[#This Row],[Name(EN)]],Tab_Def_Flows[Name(EN)],0),20)</f>
        <v>0.48</v>
      </c>
      <c r="AJ4" s="109">
        <f>IF(L4="Yes",AI4*Tab_Data_Flows[[#This Row],[Flow_Py]]*Tab_Data_Flows[[#This Row],[DM_'[%']]],"N.A.")</f>
        <v>647098.13220923138</v>
      </c>
      <c r="AK4" s="110" t="str">
        <f>Tab_Data_Flows[[#This Row],[UoM_Flow_Py]]</f>
        <v>Mg</v>
      </c>
    </row>
    <row r="5" spans="1:40" ht="15.75" hidden="1"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1598934.3383076938</v>
      </c>
      <c r="P5" s="51" t="s">
        <v>389</v>
      </c>
      <c r="Q5" s="51" t="s">
        <v>362</v>
      </c>
      <c r="R5" s="51"/>
      <c r="S5" s="51"/>
      <c r="T5" s="51"/>
      <c r="U5" s="51"/>
      <c r="V5" s="51"/>
      <c r="W5" s="51"/>
      <c r="X5" s="51" t="s">
        <v>71</v>
      </c>
      <c r="Y5" s="106">
        <v>365</v>
      </c>
      <c r="Z5" s="51"/>
      <c r="AA5" s="86">
        <f t="shared" si="1"/>
        <v>1598934.3383076938</v>
      </c>
      <c r="AB5" s="51" t="s">
        <v>63</v>
      </c>
      <c r="AC5" s="111">
        <f>INDEX(Tab_Def_Flows[[Flow_ID]:[CC_DM_source]],MATCH(Tab_Data_Flows[[#This Row],[Name(EN)]],Tab_Def_Flows[Name(EN)],0),16)</f>
        <v>0.14000000000000001</v>
      </c>
      <c r="AD5" s="109">
        <f>IF(J5="Yes",AA5*Tab_Data_Flows[[#This Row],[WC_'[%']]],"N.A.")</f>
        <v>223850.80736307715</v>
      </c>
      <c r="AE5" s="110" t="str">
        <f>Tab_Data_Flows[[#This Row],[UoM_Flow_Py]]</f>
        <v>Mg</v>
      </c>
      <c r="AF5" s="111">
        <f>INDEX(Tab_Def_Flows[[Flow_ID]:[CC_DM_source]],MATCH(Tab_Data_Flows[[#This Row],[Name(EN)]],Tab_Def_Flows[Name(EN)],0),18)</f>
        <v>0.86</v>
      </c>
      <c r="AG5" s="109">
        <f>IF(K5="Yes",AF5*Tab_Data_Flows[[#This Row],[Flow_Py]],"N.A.")</f>
        <v>1375083.5309446168</v>
      </c>
      <c r="AH5" s="110" t="str">
        <f>Tab_Data_Flows[[#This Row],[UoM_Flow_Py]]</f>
        <v>Mg</v>
      </c>
      <c r="AI5" s="111">
        <f>INDEX(Tab_Def_Flows[[Flow_ID]:[CC_DM_source]],MATCH(Tab_Data_Flows[[#This Row],[Name(EN)]],Tab_Def_Flows[Name(EN)],0),20)</f>
        <v>0.48</v>
      </c>
      <c r="AJ5" s="109">
        <f>IF(L5="Yes",AI5*Tab_Data_Flows[[#This Row],[Flow_Py]]*Tab_Data_Flows[[#This Row],[DM_'[%']]],"N.A.")</f>
        <v>660040.09485341597</v>
      </c>
      <c r="AK5" s="110" t="str">
        <f>Tab_Data_Flows[[#This Row],[UoM_Flow_Py]]</f>
        <v>Mg</v>
      </c>
    </row>
    <row r="6" spans="1:40" ht="15.75" hidden="1"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1630913.0250738477</v>
      </c>
      <c r="P6" s="51" t="s">
        <v>389</v>
      </c>
      <c r="Q6" s="51" t="s">
        <v>362</v>
      </c>
      <c r="R6" s="51"/>
      <c r="S6" s="51"/>
      <c r="T6" s="51"/>
      <c r="U6" s="51"/>
      <c r="V6" s="51"/>
      <c r="W6" s="51"/>
      <c r="X6" s="51" t="s">
        <v>71</v>
      </c>
      <c r="Y6" s="106">
        <v>365</v>
      </c>
      <c r="Z6" s="51"/>
      <c r="AA6" s="86">
        <f t="shared" si="1"/>
        <v>1630913.0250738477</v>
      </c>
      <c r="AB6" s="51" t="s">
        <v>63</v>
      </c>
      <c r="AC6" s="111">
        <f>INDEX(Tab_Def_Flows[[Flow_ID]:[CC_DM_source]],MATCH(Tab_Data_Flows[[#This Row],[Name(EN)]],Tab_Def_Flows[Name(EN)],0),16)</f>
        <v>0.14000000000000001</v>
      </c>
      <c r="AD6" s="109">
        <f>IF(J6="Yes",AA6*Tab_Data_Flows[[#This Row],[WC_'[%']]],"N.A.")</f>
        <v>228327.8235103387</v>
      </c>
      <c r="AE6" s="110" t="str">
        <f>Tab_Data_Flows[[#This Row],[UoM_Flow_Py]]</f>
        <v>Mg</v>
      </c>
      <c r="AF6" s="111">
        <f>INDEX(Tab_Def_Flows[[Flow_ID]:[CC_DM_source]],MATCH(Tab_Data_Flows[[#This Row],[Name(EN)]],Tab_Def_Flows[Name(EN)],0),18)</f>
        <v>0.86</v>
      </c>
      <c r="AG6" s="109">
        <f>IF(K6="Yes",AF6*Tab_Data_Flows[[#This Row],[Flow_Py]],"N.A.")</f>
        <v>1402585.2015635089</v>
      </c>
      <c r="AH6" s="110" t="str">
        <f>Tab_Data_Flows[[#This Row],[UoM_Flow_Py]]</f>
        <v>Mg</v>
      </c>
      <c r="AI6" s="111">
        <f>INDEX(Tab_Def_Flows[[Flow_ID]:[CC_DM_source]],MATCH(Tab_Data_Flows[[#This Row],[Name(EN)]],Tab_Def_Flows[Name(EN)],0),20)</f>
        <v>0.48</v>
      </c>
      <c r="AJ6" s="109">
        <f>IF(L6="Yes",AI6*Tab_Data_Flows[[#This Row],[Flow_Py]]*Tab_Data_Flows[[#This Row],[DM_'[%']]],"N.A.")</f>
        <v>673240.89675048436</v>
      </c>
      <c r="AK6" s="110" t="str">
        <f>Tab_Data_Flows[[#This Row],[UoM_Flow_Py]]</f>
        <v>Mg</v>
      </c>
    </row>
    <row r="7" spans="1:40" ht="15.75" hidden="1"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1663531.2855753247</v>
      </c>
      <c r="P7" s="51" t="s">
        <v>389</v>
      </c>
      <c r="Q7" s="51" t="s">
        <v>362</v>
      </c>
      <c r="R7" s="51"/>
      <c r="S7" s="51"/>
      <c r="T7" s="51"/>
      <c r="U7" s="51"/>
      <c r="V7" s="51"/>
      <c r="W7" s="51"/>
      <c r="X7" s="51" t="s">
        <v>71</v>
      </c>
      <c r="Y7" s="106">
        <v>365</v>
      </c>
      <c r="Z7" s="51"/>
      <c r="AA7" s="86">
        <f t="shared" si="1"/>
        <v>1663531.2855753247</v>
      </c>
      <c r="AB7" s="51" t="s">
        <v>63</v>
      </c>
      <c r="AC7" s="111">
        <f>INDEX(Tab_Def_Flows[[Flow_ID]:[CC_DM_source]],MATCH(Tab_Data_Flows[[#This Row],[Name(EN)]],Tab_Def_Flows[Name(EN)],0),16)</f>
        <v>0.14000000000000001</v>
      </c>
      <c r="AD7" s="109">
        <f>IF(J7="Yes",AA7*Tab_Data_Flows[[#This Row],[WC_'[%']]],"N.A.")</f>
        <v>232894.37998054546</v>
      </c>
      <c r="AE7" s="110" t="str">
        <f>Tab_Data_Flows[[#This Row],[UoM_Flow_Py]]</f>
        <v>Mg</v>
      </c>
      <c r="AF7" s="111">
        <f>INDEX(Tab_Def_Flows[[Flow_ID]:[CC_DM_source]],MATCH(Tab_Data_Flows[[#This Row],[Name(EN)]],Tab_Def_Flows[Name(EN)],0),18)</f>
        <v>0.86</v>
      </c>
      <c r="AG7" s="109">
        <f>IF(K7="Yes",AF7*Tab_Data_Flows[[#This Row],[Flow_Py]],"N.A.")</f>
        <v>1430636.9055947792</v>
      </c>
      <c r="AH7" s="110" t="str">
        <f>Tab_Data_Flows[[#This Row],[UoM_Flow_Py]]</f>
        <v>Mg</v>
      </c>
      <c r="AI7" s="111">
        <f>INDEX(Tab_Def_Flows[[Flow_ID]:[CC_DM_source]],MATCH(Tab_Data_Flows[[#This Row],[Name(EN)]],Tab_Def_Flows[Name(EN)],0),20)</f>
        <v>0.48</v>
      </c>
      <c r="AJ7" s="109">
        <f>IF(L7="Yes",AI7*Tab_Data_Flows[[#This Row],[Flow_Py]]*Tab_Data_Flows[[#This Row],[DM_'[%']]],"N.A.")</f>
        <v>686705.71468549408</v>
      </c>
      <c r="AK7" s="110" t="str">
        <f>Tab_Data_Flows[[#This Row],[UoM_Flow_Py]]</f>
        <v>Mg</v>
      </c>
    </row>
    <row r="8" spans="1:40" hidden="1"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1696801.9112868311</v>
      </c>
      <c r="P8" s="51" t="s">
        <v>389</v>
      </c>
      <c r="Q8" s="51" t="s">
        <v>362</v>
      </c>
      <c r="R8" s="51"/>
      <c r="S8" s="51"/>
      <c r="T8" s="51"/>
      <c r="U8" s="51"/>
      <c r="V8" s="51"/>
      <c r="W8" s="51"/>
      <c r="X8" s="51" t="s">
        <v>71</v>
      </c>
      <c r="Y8" s="106">
        <v>365</v>
      </c>
      <c r="Z8" s="51"/>
      <c r="AA8" s="86">
        <f t="shared" si="1"/>
        <v>1696801.9112868311</v>
      </c>
      <c r="AB8" s="51" t="s">
        <v>63</v>
      </c>
      <c r="AC8" s="111">
        <f>INDEX(Tab_Def_Flows[[Flow_ID]:[CC_DM_source]],MATCH(Tab_Data_Flows[[#This Row],[Name(EN)]],Tab_Def_Flows[Name(EN)],0),16)</f>
        <v>0.14000000000000001</v>
      </c>
      <c r="AD8" s="109">
        <f>IF(J8="Yes",AA8*Tab_Data_Flows[[#This Row],[WC_'[%']]],"N.A.")</f>
        <v>237552.26758015639</v>
      </c>
      <c r="AE8" s="110" t="str">
        <f>Tab_Data_Flows[[#This Row],[UoM_Flow_Py]]</f>
        <v>Mg</v>
      </c>
      <c r="AF8" s="111">
        <f>INDEX(Tab_Def_Flows[[Flow_ID]:[CC_DM_source]],MATCH(Tab_Data_Flows[[#This Row],[Name(EN)]],Tab_Def_Flows[Name(EN)],0),18)</f>
        <v>0.86</v>
      </c>
      <c r="AG8" s="109">
        <f>IF(K8="Yes",AF8*Tab_Data_Flows[[#This Row],[Flow_Py]],"N.A.")</f>
        <v>1459249.6437066747</v>
      </c>
      <c r="AH8" s="110" t="str">
        <f>Tab_Data_Flows[[#This Row],[UoM_Flow_Py]]</f>
        <v>Mg</v>
      </c>
      <c r="AI8" s="111">
        <f>INDEX(Tab_Def_Flows[[Flow_ID]:[CC_DM_source]],MATCH(Tab_Data_Flows[[#This Row],[Name(EN)]],Tab_Def_Flows[Name(EN)],0),20)</f>
        <v>0.48</v>
      </c>
      <c r="AJ8" s="109">
        <f>IF(L8="Yes",AI8*Tab_Data_Flows[[#This Row],[Flow_Py]]*Tab_Data_Flows[[#This Row],[DM_'[%']]],"N.A.")</f>
        <v>700439.82897920383</v>
      </c>
      <c r="AK8" s="110" t="str">
        <f>Tab_Data_Flows[[#This Row],[UoM_Flow_Py]]</f>
        <v>Mg</v>
      </c>
    </row>
    <row r="9" spans="1:40" hidden="1"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1730737.9495125678</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1730737.9495125678</v>
      </c>
      <c r="AB9" s="51" t="s">
        <v>63</v>
      </c>
      <c r="AC9" s="111">
        <f>INDEX(Tab_Def_Flows[[Flow_ID]:[CC_DM_source]],MATCH(Tab_Data_Flows[[#This Row],[Name(EN)]],Tab_Def_Flows[Name(EN)],0),16)</f>
        <v>0.14000000000000001</v>
      </c>
      <c r="AD9" s="112">
        <f>IF(J9="Yes",AA9*Tab_Data_Flows[[#This Row],[WC_'[%']]],"N.A.")</f>
        <v>242303.31293175952</v>
      </c>
      <c r="AE9" s="61" t="str">
        <f>Tab_Data_Flows[[#This Row],[UoM_Flow_Py]]</f>
        <v>Mg</v>
      </c>
      <c r="AF9" s="111">
        <f>INDEX(Tab_Def_Flows[[Flow_ID]:[CC_DM_source]],MATCH(Tab_Data_Flows[[#This Row],[Name(EN)]],Tab_Def_Flows[Name(EN)],0),18)</f>
        <v>0.86</v>
      </c>
      <c r="AG9" s="112">
        <f>IF(K9="Yes",AF9*Tab_Data_Flows[[#This Row],[Flow_Py]],"N.A.")</f>
        <v>1488434.6365808083</v>
      </c>
      <c r="AH9" s="61" t="str">
        <f>Tab_Data_Flows[[#This Row],[UoM_Flow_Py]]</f>
        <v>Mg</v>
      </c>
      <c r="AI9" s="111">
        <f>INDEX(Tab_Def_Flows[[Flow_ID]:[CC_DM_source]],MATCH(Tab_Data_Flows[[#This Row],[Name(EN)]],Tab_Def_Flows[Name(EN)],0),20)</f>
        <v>0.48</v>
      </c>
      <c r="AJ9" s="112">
        <f>IF(L9="Yes",AI9*Tab_Data_Flows[[#This Row],[Flow_Py]]*Tab_Data_Flows[[#This Row],[DM_'[%']]],"N.A.")</f>
        <v>714448.62555878796</v>
      </c>
      <c r="AK9" s="61" t="str">
        <f>Tab_Data_Flows[[#This Row],[UoM_Flow_Py]]</f>
        <v>Mg</v>
      </c>
    </row>
    <row r="10" spans="1:40" hidden="1"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1765352.7085028193</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1765352.7085028193</v>
      </c>
      <c r="AB10" s="51" t="s">
        <v>63</v>
      </c>
      <c r="AC10" s="111">
        <f>INDEX(Tab_Def_Flows[[Flow_ID]:[CC_DM_source]],MATCH(Tab_Data_Flows[[#This Row],[Name(EN)]],Tab_Def_Flows[Name(EN)],0),16)</f>
        <v>0.14000000000000001</v>
      </c>
      <c r="AD10" s="112">
        <f>IF(J10="Yes",AA10*Tab_Data_Flows[[#This Row],[WC_'[%']]],"N.A.")</f>
        <v>247149.37919039471</v>
      </c>
      <c r="AE10" s="61" t="str">
        <f>Tab_Data_Flows[[#This Row],[UoM_Flow_Py]]</f>
        <v>Mg</v>
      </c>
      <c r="AF10" s="111">
        <f>INDEX(Tab_Def_Flows[[Flow_ID]:[CC_DM_source]],MATCH(Tab_Data_Flows[[#This Row],[Name(EN)]],Tab_Def_Flows[Name(EN)],0),18)</f>
        <v>0.86</v>
      </c>
      <c r="AG10" s="112">
        <f>IF(K10="Yes",AF10*Tab_Data_Flows[[#This Row],[Flow_Py]],"N.A.")</f>
        <v>1518203.3293124246</v>
      </c>
      <c r="AH10" s="61" t="str">
        <f>Tab_Data_Flows[[#This Row],[UoM_Flow_Py]]</f>
        <v>Mg</v>
      </c>
      <c r="AI10" s="111">
        <f>INDEX(Tab_Def_Flows[[Flow_ID]:[CC_DM_source]],MATCH(Tab_Data_Flows[[#This Row],[Name(EN)]],Tab_Def_Flows[Name(EN)],0),20)</f>
        <v>0.48</v>
      </c>
      <c r="AJ10" s="112">
        <f>IF(L10="Yes",AI10*Tab_Data_Flows[[#This Row],[Flow_Py]]*Tab_Data_Flows[[#This Row],[DM_'[%']]],"N.A.")</f>
        <v>728737.59806996386</v>
      </c>
      <c r="AK10" s="61" t="str">
        <f>Tab_Data_Flows[[#This Row],[UoM_Flow_Py]]</f>
        <v>Mg</v>
      </c>
    </row>
    <row r="11" spans="1:40" hidden="1"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1800659.7626728758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1800659.7626728758</v>
      </c>
      <c r="AB11" s="51" t="s">
        <v>63</v>
      </c>
      <c r="AC11" s="111">
        <f>INDEX(Tab_Def_Flows[[Flow_ID]:[CC_DM_source]],MATCH(Tab_Data_Flows[[#This Row],[Name(EN)]],Tab_Def_Flows[Name(EN)],0),16)</f>
        <v>0.14000000000000001</v>
      </c>
      <c r="AD11" s="112">
        <f>IF(J11="Yes",AA11*Tab_Data_Flows[[#This Row],[WC_'[%']]],"N.A.")</f>
        <v>252092.36677420264</v>
      </c>
      <c r="AE11" s="61" t="str">
        <f>Tab_Data_Flows[[#This Row],[UoM_Flow_Py]]</f>
        <v>Mg</v>
      </c>
      <c r="AF11" s="111">
        <f>INDEX(Tab_Def_Flows[[Flow_ID]:[CC_DM_source]],MATCH(Tab_Data_Flows[[#This Row],[Name(EN)]],Tab_Def_Flows[Name(EN)],0),18)</f>
        <v>0.86</v>
      </c>
      <c r="AG11" s="112">
        <f>IF(K11="Yes",AF11*Tab_Data_Flows[[#This Row],[Flow_Py]],"N.A.")</f>
        <v>1548567.3958986732</v>
      </c>
      <c r="AH11" s="61" t="str">
        <f>Tab_Data_Flows[[#This Row],[UoM_Flow_Py]]</f>
        <v>Mg</v>
      </c>
      <c r="AI11" s="111">
        <f>INDEX(Tab_Def_Flows[[Flow_ID]:[CC_DM_source]],MATCH(Tab_Data_Flows[[#This Row],[Name(EN)]],Tab_Def_Flows[Name(EN)],0),20)</f>
        <v>0.48</v>
      </c>
      <c r="AJ11" s="112">
        <f>IF(L11="Yes",AI11*Tab_Data_Flows[[#This Row],[Flow_Py]]*Tab_Data_Flows[[#This Row],[DM_'[%']]],"N.A.")</f>
        <v>743312.35003136308</v>
      </c>
      <c r="AK11" s="61" t="str">
        <f>Tab_Data_Flows[[#This Row],[UoM_Flow_Py]]</f>
        <v>Mg</v>
      </c>
    </row>
    <row r="12" spans="1:40" hidden="1"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1836672.9579263334</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1836672.9579263334</v>
      </c>
      <c r="AB12" s="51" t="s">
        <v>63</v>
      </c>
      <c r="AC12" s="111">
        <f>INDEX(Tab_Def_Flows[[Flow_ID]:[CC_DM_source]],MATCH(Tab_Data_Flows[[#This Row],[Name(EN)]],Tab_Def_Flows[Name(EN)],0),16)</f>
        <v>0.14000000000000001</v>
      </c>
      <c r="AD12" s="112">
        <f>IF(J12="Yes",AA12*Tab_Data_Flows[[#This Row],[WC_'[%']]],"N.A.")</f>
        <v>257134.2141096867</v>
      </c>
      <c r="AE12" s="61" t="str">
        <f>Tab_Data_Flows[[#This Row],[UoM_Flow_Py]]</f>
        <v>Mg</v>
      </c>
      <c r="AF12" s="111">
        <f>INDEX(Tab_Def_Flows[[Flow_ID]:[CC_DM_source]],MATCH(Tab_Data_Flows[[#This Row],[Name(EN)]],Tab_Def_Flows[Name(EN)],0),18)</f>
        <v>0.86</v>
      </c>
      <c r="AG12" s="112">
        <f>IF(K12="Yes",AF12*Tab_Data_Flows[[#This Row],[Flow_Py]],"N.A.")</f>
        <v>1579538.7438166467</v>
      </c>
      <c r="AH12" s="61" t="str">
        <f>Tab_Data_Flows[[#This Row],[UoM_Flow_Py]]</f>
        <v>Mg</v>
      </c>
      <c r="AI12" s="111">
        <f>INDEX(Tab_Def_Flows[[Flow_ID]:[CC_DM_source]],MATCH(Tab_Data_Flows[[#This Row],[Name(EN)]],Tab_Def_Flows[Name(EN)],0),20)</f>
        <v>0.48</v>
      </c>
      <c r="AJ12" s="112">
        <f>IF(L12="Yes",AI12*Tab_Data_Flows[[#This Row],[Flow_Py]]*Tab_Data_Flows[[#This Row],[DM_'[%']]],"N.A.")</f>
        <v>758178.59703199042</v>
      </c>
      <c r="AK12" s="61" t="str">
        <f>Tab_Data_Flows[[#This Row],[UoM_Flow_Py]]</f>
        <v>Mg</v>
      </c>
    </row>
    <row r="13" spans="1:40" hidden="1"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1873406.4170848601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1873406.4170848601</v>
      </c>
      <c r="AB13" s="51" t="s">
        <v>63</v>
      </c>
      <c r="AC13" s="111">
        <f>INDEX(Tab_Def_Flows[[Flow_ID]:[CC_DM_source]],MATCH(Tab_Data_Flows[[#This Row],[Name(EN)]],Tab_Def_Flows[Name(EN)],0),16)</f>
        <v>0.14000000000000001</v>
      </c>
      <c r="AD13" s="112">
        <f>IF(J13="Yes",AA13*Tab_Data_Flows[[#This Row],[WC_'[%']]],"N.A.")</f>
        <v>262276.89839188044</v>
      </c>
      <c r="AE13" s="61" t="str">
        <f>Tab_Data_Flows[[#This Row],[UoM_Flow_Py]]</f>
        <v>Mg</v>
      </c>
      <c r="AF13" s="111">
        <f>INDEX(Tab_Def_Flows[[Flow_ID]:[CC_DM_source]],MATCH(Tab_Data_Flows[[#This Row],[Name(EN)]],Tab_Def_Flows[Name(EN)],0),18)</f>
        <v>0.86</v>
      </c>
      <c r="AG13" s="112">
        <f>IF(K13="Yes",AF13*Tab_Data_Flows[[#This Row],[Flow_Py]],"N.A.")</f>
        <v>1611129.5186929796</v>
      </c>
      <c r="AH13" s="61" t="str">
        <f>Tab_Data_Flows[[#This Row],[UoM_Flow_Py]]</f>
        <v>Mg</v>
      </c>
      <c r="AI13" s="111">
        <f>INDEX(Tab_Def_Flows[[Flow_ID]:[CC_DM_source]],MATCH(Tab_Data_Flows[[#This Row],[Name(EN)]],Tab_Def_Flows[Name(EN)],0),20)</f>
        <v>0.48</v>
      </c>
      <c r="AJ13" s="112">
        <f>IF(L13="Yes",AI13*Tab_Data_Flows[[#This Row],[Flow_Py]]*Tab_Data_Flows[[#This Row],[DM_'[%']]],"N.A.")</f>
        <v>773342.16897263017</v>
      </c>
      <c r="AK13" s="61" t="str">
        <f>Tab_Data_Flows[[#This Row],[UoM_Flow_Py]]</f>
        <v>Mg</v>
      </c>
    </row>
    <row r="14" spans="1:40" hidden="1"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1910874.5454265573</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1910874.5454265573</v>
      </c>
      <c r="AB14" s="51" t="s">
        <v>63</v>
      </c>
      <c r="AC14" s="111">
        <f>INDEX(Tab_Def_Flows[[Flow_ID]:[CC_DM_source]],MATCH(Tab_Data_Flows[[#This Row],[Name(EN)]],Tab_Def_Flows[Name(EN)],0),16)</f>
        <v>0.14000000000000001</v>
      </c>
      <c r="AD14" s="112">
        <f>IF(J14="Yes",AA14*Tab_Data_Flows[[#This Row],[WC_'[%']]],"N.A.")</f>
        <v>267522.43635971803</v>
      </c>
      <c r="AE14" s="61" t="str">
        <f>Tab_Data_Flows[[#This Row],[UoM_Flow_Py]]</f>
        <v>Mg</v>
      </c>
      <c r="AF14" s="111">
        <f>INDEX(Tab_Def_Flows[[Flow_ID]:[CC_DM_source]],MATCH(Tab_Data_Flows[[#This Row],[Name(EN)]],Tab_Def_Flows[Name(EN)],0),18)</f>
        <v>0.86</v>
      </c>
      <c r="AG14" s="112">
        <f>IF(K14="Yes",AF14*Tab_Data_Flows[[#This Row],[Flow_Py]],"N.A.")</f>
        <v>1643352.1090668393</v>
      </c>
      <c r="AH14" s="61" t="str">
        <f>Tab_Data_Flows[[#This Row],[UoM_Flow_Py]]</f>
        <v>Mg</v>
      </c>
      <c r="AI14" s="111">
        <f>INDEX(Tab_Def_Flows[[Flow_ID]:[CC_DM_source]],MATCH(Tab_Data_Flows[[#This Row],[Name(EN)]],Tab_Def_Flows[Name(EN)],0),20)</f>
        <v>0.48</v>
      </c>
      <c r="AJ14" s="112">
        <f>IF(L14="Yes",AI14*Tab_Data_Flows[[#This Row],[Flow_Py]]*Tab_Data_Flows[[#This Row],[DM_'[%']]],"N.A.")</f>
        <v>788809.01235208288</v>
      </c>
      <c r="AK14" s="61" t="str">
        <f>Tab_Data_Flows[[#This Row],[UoM_Flow_Py]]</f>
        <v>Mg</v>
      </c>
    </row>
    <row r="15" spans="1:40" hidden="1"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1949092.0363350885</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1949092.0363350885</v>
      </c>
      <c r="AB15" s="51" t="s">
        <v>63</v>
      </c>
      <c r="AC15" s="111">
        <f>INDEX(Tab_Def_Flows[[Flow_ID]:[CC_DM_source]],MATCH(Tab_Data_Flows[[#This Row],[Name(EN)]],Tab_Def_Flows[Name(EN)],0),16)</f>
        <v>0.14000000000000001</v>
      </c>
      <c r="AD15" s="112">
        <f>IF(J15="Yes",AA15*Tab_Data_Flows[[#This Row],[WC_'[%']]],"N.A.")</f>
        <v>272872.88508691243</v>
      </c>
      <c r="AE15" s="61" t="str">
        <f>Tab_Data_Flows[[#This Row],[UoM_Flow_Py]]</f>
        <v>Mg</v>
      </c>
      <c r="AF15" s="111">
        <f>INDEX(Tab_Def_Flows[[Flow_ID]:[CC_DM_source]],MATCH(Tab_Data_Flows[[#This Row],[Name(EN)]],Tab_Def_Flows[Name(EN)],0),18)</f>
        <v>0.86</v>
      </c>
      <c r="AG15" s="112">
        <f>IF(K15="Yes",AF15*Tab_Data_Flows[[#This Row],[Flow_Py]],"N.A.")</f>
        <v>1676219.1512481761</v>
      </c>
      <c r="AH15" s="61" t="str">
        <f>Tab_Data_Flows[[#This Row],[UoM_Flow_Py]]</f>
        <v>Mg</v>
      </c>
      <c r="AI15" s="111">
        <f>INDEX(Tab_Def_Flows[[Flow_ID]:[CC_DM_source]],MATCH(Tab_Data_Flows[[#This Row],[Name(EN)]],Tab_Def_Flows[Name(EN)],0),20)</f>
        <v>0.48</v>
      </c>
      <c r="AJ15" s="112">
        <f>IF(L15="Yes",AI15*Tab_Data_Flows[[#This Row],[Flow_Py]]*Tab_Data_Flows[[#This Row],[DM_'[%']]],"N.A.")</f>
        <v>804585.19259912451</v>
      </c>
      <c r="AK15" s="61" t="str">
        <f>Tab_Data_Flows[[#This Row],[UoM_Flow_Py]]</f>
        <v>Mg</v>
      </c>
    </row>
    <row r="16" spans="1:40" hidden="1"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1988073.8770617903</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1988073.8770617903</v>
      </c>
      <c r="AB16" s="51" t="s">
        <v>63</v>
      </c>
      <c r="AC16" s="111">
        <f>INDEX(Tab_Def_Flows[[Flow_ID]:[CC_DM_source]],MATCH(Tab_Data_Flows[[#This Row],[Name(EN)]],Tab_Def_Flows[Name(EN)],0),16)</f>
        <v>0.14000000000000001</v>
      </c>
      <c r="AD16" s="112">
        <f>IF(J16="Yes",AA16*Tab_Data_Flows[[#This Row],[WC_'[%']]],"N.A.")</f>
        <v>278330.34278865065</v>
      </c>
      <c r="AE16" s="61" t="str">
        <f>Tab_Data_Flows[[#This Row],[UoM_Flow_Py]]</f>
        <v>Mg</v>
      </c>
      <c r="AF16" s="111">
        <f>INDEX(Tab_Def_Flows[[Flow_ID]:[CC_DM_source]],MATCH(Tab_Data_Flows[[#This Row],[Name(EN)]],Tab_Def_Flows[Name(EN)],0),18)</f>
        <v>0.86</v>
      </c>
      <c r="AG16" s="112">
        <f>IF(K16="Yes",AF16*Tab_Data_Flows[[#This Row],[Flow_Py]],"N.A.")</f>
        <v>1709743.5342731397</v>
      </c>
      <c r="AH16" s="61" t="str">
        <f>Tab_Data_Flows[[#This Row],[UoM_Flow_Py]]</f>
        <v>Mg</v>
      </c>
      <c r="AI16" s="111">
        <f>INDEX(Tab_Def_Flows[[Flow_ID]:[CC_DM_source]],MATCH(Tab_Data_Flows[[#This Row],[Name(EN)]],Tab_Def_Flows[Name(EN)],0),20)</f>
        <v>0.48</v>
      </c>
      <c r="AJ16" s="112">
        <f>IF(L16="Yes",AI16*Tab_Data_Flows[[#This Row],[Flow_Py]]*Tab_Data_Flows[[#This Row],[DM_'[%']]],"N.A.")</f>
        <v>820676.89645110699</v>
      </c>
      <c r="AK16" s="61" t="str">
        <f>Tab_Data_Flows[[#This Row],[UoM_Flow_Py]]</f>
        <v>Mg</v>
      </c>
    </row>
    <row r="17" spans="1:37" hidden="1"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2027835.3546030261</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2027835.3546030261</v>
      </c>
      <c r="AB17" s="51" t="s">
        <v>63</v>
      </c>
      <c r="AC17" s="111">
        <f>INDEX(Tab_Def_Flows[[Flow_ID]:[CC_DM_source]],MATCH(Tab_Data_Flows[[#This Row],[Name(EN)]],Tab_Def_Flows[Name(EN)],0),16)</f>
        <v>0.14000000000000001</v>
      </c>
      <c r="AD17" s="112">
        <f>IF(J17="Yes",AA17*Tab_Data_Flows[[#This Row],[WC_'[%']]],"N.A.")</f>
        <v>283896.94964442367</v>
      </c>
      <c r="AE17" s="61" t="str">
        <f>Tab_Data_Flows[[#This Row],[UoM_Flow_Py]]</f>
        <v>Mg</v>
      </c>
      <c r="AF17" s="111">
        <f>INDEX(Tab_Def_Flows[[Flow_ID]:[CC_DM_source]],MATCH(Tab_Data_Flows[[#This Row],[Name(EN)]],Tab_Def_Flows[Name(EN)],0),18)</f>
        <v>0.86</v>
      </c>
      <c r="AG17" s="112">
        <f>IF(K17="Yes",AF17*Tab_Data_Flows[[#This Row],[Flow_Py]],"N.A.")</f>
        <v>1743938.4049586023</v>
      </c>
      <c r="AH17" s="61" t="str">
        <f>Tab_Data_Flows[[#This Row],[UoM_Flow_Py]]</f>
        <v>Mg</v>
      </c>
      <c r="AI17" s="111">
        <f>INDEX(Tab_Def_Flows[[Flow_ID]:[CC_DM_source]],MATCH(Tab_Data_Flows[[#This Row],[Name(EN)]],Tab_Def_Flows[Name(EN)],0),20)</f>
        <v>0.48</v>
      </c>
      <c r="AJ17" s="112">
        <f>IF(L17="Yes",AI17*Tab_Data_Flows[[#This Row],[Flow_Py]]*Tab_Data_Flows[[#This Row],[DM_'[%']]],"N.A.")</f>
        <v>837090.4343801291</v>
      </c>
      <c r="AK17" s="61" t="str">
        <f>Tab_Data_Flows[[#This Row],[UoM_Flow_Py]]</f>
        <v>Mg</v>
      </c>
    </row>
    <row r="18" spans="1:37" hidden="1"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2068392.0616950865</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2068392.0616950865</v>
      </c>
      <c r="AB18" s="51" t="s">
        <v>63</v>
      </c>
      <c r="AC18" s="111">
        <f>INDEX(Tab_Def_Flows[[Flow_ID]:[CC_DM_source]],MATCH(Tab_Data_Flows[[#This Row],[Name(EN)]],Tab_Def_Flows[Name(EN)],0),16)</f>
        <v>0.14000000000000001</v>
      </c>
      <c r="AD18" s="112">
        <f>IF(J18="Yes",AA18*Tab_Data_Flows[[#This Row],[WC_'[%']]],"N.A.")</f>
        <v>289574.88863731216</v>
      </c>
      <c r="AE18" s="61" t="str">
        <f>Tab_Data_Flows[[#This Row],[UoM_Flow_Py]]</f>
        <v>Mg</v>
      </c>
      <c r="AF18" s="111">
        <f>INDEX(Tab_Def_Flows[[Flow_ID]:[CC_DM_source]],MATCH(Tab_Data_Flows[[#This Row],[Name(EN)]],Tab_Def_Flows[Name(EN)],0),18)</f>
        <v>0.86</v>
      </c>
      <c r="AG18" s="112">
        <f>IF(K18="Yes",AF18*Tab_Data_Flows[[#This Row],[Flow_Py]],"N.A.")</f>
        <v>1778817.1730577743</v>
      </c>
      <c r="AH18" s="61" t="str">
        <f>Tab_Data_Flows[[#This Row],[UoM_Flow_Py]]</f>
        <v>Mg</v>
      </c>
      <c r="AI18" s="111">
        <f>INDEX(Tab_Def_Flows[[Flow_ID]:[CC_DM_source]],MATCH(Tab_Data_Flows[[#This Row],[Name(EN)]],Tab_Def_Flows[Name(EN)],0),20)</f>
        <v>0.48</v>
      </c>
      <c r="AJ18" s="112">
        <f>IF(L18="Yes",AI18*Tab_Data_Flows[[#This Row],[Flow_Py]]*Tab_Data_Flows[[#This Row],[DM_'[%']]],"N.A.")</f>
        <v>853832.24306773162</v>
      </c>
      <c r="AK18" s="61" t="str">
        <f>Tab_Data_Flows[[#This Row],[UoM_Flow_Py]]</f>
        <v>Mg</v>
      </c>
    </row>
    <row r="19" spans="1:37" hidden="1"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2109759.9029289884</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2109759.9029289884</v>
      </c>
      <c r="AB19" s="51" t="s">
        <v>63</v>
      </c>
      <c r="AC19" s="111">
        <f>INDEX(Tab_Def_Flows[[Flow_ID]:[CC_DM_source]],MATCH(Tab_Data_Flows[[#This Row],[Name(EN)]],Tab_Def_Flows[Name(EN)],0),16)</f>
        <v>0.14000000000000001</v>
      </c>
      <c r="AD19" s="112">
        <f>IF(J19="Yes",AA19*Tab_Data_Flows[[#This Row],[WC_'[%']]],"N.A.")</f>
        <v>295366.38641005842</v>
      </c>
      <c r="AE19" s="61" t="str">
        <f>Tab_Data_Flows[[#This Row],[UoM_Flow_Py]]</f>
        <v>Mg</v>
      </c>
      <c r="AF19" s="111">
        <f>INDEX(Tab_Def_Flows[[Flow_ID]:[CC_DM_source]],MATCH(Tab_Data_Flows[[#This Row],[Name(EN)]],Tab_Def_Flows[Name(EN)],0),18)</f>
        <v>0.86</v>
      </c>
      <c r="AG19" s="112">
        <f>IF(K19="Yes",AF19*Tab_Data_Flows[[#This Row],[Flow_Py]],"N.A.")</f>
        <v>1814393.51651893</v>
      </c>
      <c r="AH19" s="61" t="str">
        <f>Tab_Data_Flows[[#This Row],[UoM_Flow_Py]]</f>
        <v>Mg</v>
      </c>
      <c r="AI19" s="111">
        <f>INDEX(Tab_Def_Flows[[Flow_ID]:[CC_DM_source]],MATCH(Tab_Data_Flows[[#This Row],[Name(EN)]],Tab_Def_Flows[Name(EN)],0),20)</f>
        <v>0.48</v>
      </c>
      <c r="AJ19" s="112">
        <f>IF(L19="Yes",AI19*Tab_Data_Flows[[#This Row],[Flow_Py]]*Tab_Data_Flows[[#This Row],[DM_'[%']]],"N.A.")</f>
        <v>870908.88792908634</v>
      </c>
      <c r="AK19" s="61" t="str">
        <f>Tab_Data_Flows[[#This Row],[UoM_Flow_Py]]</f>
        <v>Mg</v>
      </c>
    </row>
    <row r="20" spans="1:37" hidden="1"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2151955.100987568</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2151955.100987568</v>
      </c>
      <c r="AB20" s="51" t="s">
        <v>63</v>
      </c>
      <c r="AC20" s="111">
        <f>INDEX(Tab_Def_Flows[[Flow_ID]:[CC_DM_source]],MATCH(Tab_Data_Flows[[#This Row],[Name(EN)]],Tab_Def_Flows[Name(EN)],0),16)</f>
        <v>0.14000000000000001</v>
      </c>
      <c r="AD20" s="112">
        <f>IF(J20="Yes",AA20*Tab_Data_Flows[[#This Row],[WC_'[%']]],"N.A.")</f>
        <v>301273.71413825953</v>
      </c>
      <c r="AE20" s="61" t="str">
        <f>Tab_Data_Flows[[#This Row],[UoM_Flow_Py]]</f>
        <v>Mg</v>
      </c>
      <c r="AF20" s="111">
        <f>INDEX(Tab_Def_Flows[[Flow_ID]:[CC_DM_source]],MATCH(Tab_Data_Flows[[#This Row],[Name(EN)]],Tab_Def_Flows[Name(EN)],0),18)</f>
        <v>0.86</v>
      </c>
      <c r="AG20" s="112">
        <f>IF(K20="Yes",AF20*Tab_Data_Flows[[#This Row],[Flow_Py]],"N.A.")</f>
        <v>1850681.3868493084</v>
      </c>
      <c r="AH20" s="61" t="str">
        <f>Tab_Data_Flows[[#This Row],[UoM_Flow_Py]]</f>
        <v>Mg</v>
      </c>
      <c r="AI20" s="111">
        <f>INDEX(Tab_Def_Flows[[Flow_ID]:[CC_DM_source]],MATCH(Tab_Data_Flows[[#This Row],[Name(EN)]],Tab_Def_Flows[Name(EN)],0),20)</f>
        <v>0.48</v>
      </c>
      <c r="AJ20" s="112">
        <f>IF(L20="Yes",AI20*Tab_Data_Flows[[#This Row],[Flow_Py]]*Tab_Data_Flows[[#This Row],[DM_'[%']]],"N.A.")</f>
        <v>888327.06568766804</v>
      </c>
      <c r="AK20" s="61" t="str">
        <f>Tab_Data_Flows[[#This Row],[UoM_Flow_Py]]</f>
        <v>Mg</v>
      </c>
    </row>
    <row r="21" spans="1:37" hidden="1"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2194994.2030073195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2194994.2030073195</v>
      </c>
      <c r="AB21" s="51" t="s">
        <v>63</v>
      </c>
      <c r="AC21" s="111">
        <f>INDEX(Tab_Def_Flows[[Flow_ID]:[CC_DM_source]],MATCH(Tab_Data_Flows[[#This Row],[Name(EN)]],Tab_Def_Flows[Name(EN)],0),16)</f>
        <v>0.14000000000000001</v>
      </c>
      <c r="AD21" s="112">
        <f>IF(J21="Yes",AA21*Tab_Data_Flows[[#This Row],[WC_'[%']]],"N.A.")</f>
        <v>307299.18842102477</v>
      </c>
      <c r="AE21" s="61" t="str">
        <f>Tab_Data_Flows[[#This Row],[UoM_Flow_Py]]</f>
        <v>Mg</v>
      </c>
      <c r="AF21" s="111">
        <f>INDEX(Tab_Def_Flows[[Flow_ID]:[CC_DM_source]],MATCH(Tab_Data_Flows[[#This Row],[Name(EN)]],Tab_Def_Flows[Name(EN)],0),18)</f>
        <v>0.86</v>
      </c>
      <c r="AG21" s="112">
        <f>IF(K21="Yes",AF21*Tab_Data_Flows[[#This Row],[Flow_Py]],"N.A.")</f>
        <v>1887695.0145862948</v>
      </c>
      <c r="AH21" s="61" t="str">
        <f>Tab_Data_Flows[[#This Row],[UoM_Flow_Py]]</f>
        <v>Mg</v>
      </c>
      <c r="AI21" s="111">
        <f>INDEX(Tab_Def_Flows[[Flow_ID]:[CC_DM_source]],MATCH(Tab_Data_Flows[[#This Row],[Name(EN)]],Tab_Def_Flows[Name(EN)],0),20)</f>
        <v>0.48</v>
      </c>
      <c r="AJ21" s="112">
        <f>IF(L21="Yes",AI21*Tab_Data_Flows[[#This Row],[Flow_Py]]*Tab_Data_Flows[[#This Row],[DM_'[%']]],"N.A.")</f>
        <v>906093.60700142139</v>
      </c>
      <c r="AK21" s="61" t="str">
        <f>Tab_Data_Flows[[#This Row],[UoM_Flow_Py]]</f>
        <v>Mg</v>
      </c>
    </row>
    <row r="22" spans="1:37" hidden="1"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2238894.0870674658</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2238894.0870674658</v>
      </c>
      <c r="AB22" s="51" t="s">
        <v>63</v>
      </c>
      <c r="AC22" s="111">
        <f>INDEX(Tab_Def_Flows[[Flow_ID]:[CC_DM_source]],MATCH(Tab_Data_Flows[[#This Row],[Name(EN)]],Tab_Def_Flows[Name(EN)],0),16)</f>
        <v>0.14000000000000001</v>
      </c>
      <c r="AD22" s="112">
        <f>IF(J22="Yes",AA22*Tab_Data_Flows[[#This Row],[WC_'[%']]],"N.A.")</f>
        <v>313445.17218944523</v>
      </c>
      <c r="AE22" s="61" t="str">
        <f>Tab_Data_Flows[[#This Row],[UoM_Flow_Py]]</f>
        <v>Mg</v>
      </c>
      <c r="AF22" s="111">
        <f>INDEX(Tab_Def_Flows[[Flow_ID]:[CC_DM_source]],MATCH(Tab_Data_Flows[[#This Row],[Name(EN)]],Tab_Def_Flows[Name(EN)],0),18)</f>
        <v>0.86</v>
      </c>
      <c r="AG22" s="112">
        <f>IF(K22="Yes",AF22*Tab_Data_Flows[[#This Row],[Flow_Py]],"N.A.")</f>
        <v>1925448.9148780205</v>
      </c>
      <c r="AH22" s="61" t="str">
        <f>Tab_Data_Flows[[#This Row],[UoM_Flow_Py]]</f>
        <v>Mg</v>
      </c>
      <c r="AI22" s="111">
        <f>INDEX(Tab_Def_Flows[[Flow_ID]:[CC_DM_source]],MATCH(Tab_Data_Flows[[#This Row],[Name(EN)]],Tab_Def_Flows[Name(EN)],0),20)</f>
        <v>0.48</v>
      </c>
      <c r="AJ22" s="112">
        <f>IF(L22="Yes",AI22*Tab_Data_Flows[[#This Row],[Flow_Py]]*Tab_Data_Flows[[#This Row],[DM_'[%']]],"N.A.")</f>
        <v>924215.47914144979</v>
      </c>
      <c r="AK22" s="61" t="str">
        <f>Tab_Data_Flows[[#This Row],[UoM_Flow_Py]]</f>
        <v>Mg</v>
      </c>
    </row>
    <row r="23" spans="1:37" hidden="1"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2283671.9688088153</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2283671.9688088153</v>
      </c>
      <c r="AB23" s="51" t="s">
        <v>63</v>
      </c>
      <c r="AC23" s="111">
        <f>INDEX(Tab_Def_Flows[[Flow_ID]:[CC_DM_source]],MATCH(Tab_Data_Flows[[#This Row],[Name(EN)]],Tab_Def_Flows[Name(EN)],0),16)</f>
        <v>0.14000000000000001</v>
      </c>
      <c r="AD23" s="112">
        <f>IF(J23="Yes",AA23*Tab_Data_Flows[[#This Row],[WC_'[%']]],"N.A.")</f>
        <v>319714.07563323417</v>
      </c>
      <c r="AE23" s="61" t="str">
        <f>Tab_Data_Flows[[#This Row],[UoM_Flow_Py]]</f>
        <v>Mg</v>
      </c>
      <c r="AF23" s="111">
        <f>INDEX(Tab_Def_Flows[[Flow_ID]:[CC_DM_source]],MATCH(Tab_Data_Flows[[#This Row],[Name(EN)]],Tab_Def_Flows[Name(EN)],0),18)</f>
        <v>0.86</v>
      </c>
      <c r="AG23" s="112">
        <f>IF(K23="Yes",AF23*Tab_Data_Flows[[#This Row],[Flow_Py]],"N.A.")</f>
        <v>1963957.8931755812</v>
      </c>
      <c r="AH23" s="61" t="str">
        <f>Tab_Data_Flows[[#This Row],[UoM_Flow_Py]]</f>
        <v>Mg</v>
      </c>
      <c r="AI23" s="111">
        <f>INDEX(Tab_Def_Flows[[Flow_ID]:[CC_DM_source]],MATCH(Tab_Data_Flows[[#This Row],[Name(EN)]],Tab_Def_Flows[Name(EN)],0),20)</f>
        <v>0.48</v>
      </c>
      <c r="AJ23" s="112">
        <f>IF(L23="Yes",AI23*Tab_Data_Flows[[#This Row],[Flow_Py]]*Tab_Data_Flows[[#This Row],[DM_'[%']]],"N.A.")</f>
        <v>942699.78872427891</v>
      </c>
      <c r="AK23" s="61" t="str">
        <f>Tab_Data_Flows[[#This Row],[UoM_Flow_Py]]</f>
        <v>Mg</v>
      </c>
    </row>
    <row r="24" spans="1:37" hidden="1"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2329345.4081849917</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2329345.4081849917</v>
      </c>
      <c r="AB24" s="51" t="s">
        <v>63</v>
      </c>
      <c r="AC24" s="111">
        <f>INDEX(Tab_Def_Flows[[Flow_ID]:[CC_DM_source]],MATCH(Tab_Data_Flows[[#This Row],[Name(EN)]],Tab_Def_Flows[Name(EN)],0),16)</f>
        <v>0.14000000000000001</v>
      </c>
      <c r="AD24" s="112">
        <f>IF(J24="Yes",AA24*Tab_Data_Flows[[#This Row],[WC_'[%']]],"N.A.")</f>
        <v>326108.35714589886</v>
      </c>
      <c r="AE24" s="61" t="str">
        <f>Tab_Data_Flows[[#This Row],[UoM_Flow_Py]]</f>
        <v>Mg</v>
      </c>
      <c r="AF24" s="111">
        <f>INDEX(Tab_Def_Flows[[Flow_ID]:[CC_DM_source]],MATCH(Tab_Data_Flows[[#This Row],[Name(EN)]],Tab_Def_Flows[Name(EN)],0),18)</f>
        <v>0.86</v>
      </c>
      <c r="AG24" s="112">
        <f>IF(K24="Yes",AF24*Tab_Data_Flows[[#This Row],[Flow_Py]],"N.A.")</f>
        <v>2003237.0510390927</v>
      </c>
      <c r="AH24" s="61" t="str">
        <f>Tab_Data_Flows[[#This Row],[UoM_Flow_Py]]</f>
        <v>Mg</v>
      </c>
      <c r="AI24" s="111">
        <f>INDEX(Tab_Def_Flows[[Flow_ID]:[CC_DM_source]],MATCH(Tab_Data_Flows[[#This Row],[Name(EN)]],Tab_Def_Flows[Name(EN)],0),20)</f>
        <v>0.48</v>
      </c>
      <c r="AJ24" s="112">
        <f>IF(L24="Yes",AI24*Tab_Data_Flows[[#This Row],[Flow_Py]]*Tab_Data_Flows[[#This Row],[DM_'[%']]],"N.A.")</f>
        <v>961553.78449876455</v>
      </c>
      <c r="AK24" s="61" t="str">
        <f>Tab_Data_Flows[[#This Row],[UoM_Flow_Py]]</f>
        <v>Mg</v>
      </c>
    </row>
    <row r="25" spans="1:37" hidden="1"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2375932.3163486915</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2375932.3163486915</v>
      </c>
      <c r="AB25" s="51" t="s">
        <v>63</v>
      </c>
      <c r="AC25" s="111">
        <f>INDEX(Tab_Def_Flows[[Flow_ID]:[CC_DM_source]],MATCH(Tab_Data_Flows[[#This Row],[Name(EN)]],Tab_Def_Flows[Name(EN)],0),16)</f>
        <v>0.14000000000000001</v>
      </c>
      <c r="AD25" s="112">
        <f>IF(J25="Yes",AA25*Tab_Data_Flows[[#This Row],[WC_'[%']]],"N.A.")</f>
        <v>332630.52428881684</v>
      </c>
      <c r="AE25" s="61" t="str">
        <f>Tab_Data_Flows[[#This Row],[UoM_Flow_Py]]</f>
        <v>Mg</v>
      </c>
      <c r="AF25" s="111">
        <f>INDEX(Tab_Def_Flows[[Flow_ID]:[CC_DM_source]],MATCH(Tab_Data_Flows[[#This Row],[Name(EN)]],Tab_Def_Flows[Name(EN)],0),18)</f>
        <v>0.86</v>
      </c>
      <c r="AG25" s="112">
        <f>IF(K25="Yes",AF25*Tab_Data_Flows[[#This Row],[Flow_Py]],"N.A.")</f>
        <v>2043301.7920598746</v>
      </c>
      <c r="AH25" s="61" t="str">
        <f>Tab_Data_Flows[[#This Row],[UoM_Flow_Py]]</f>
        <v>Mg</v>
      </c>
      <c r="AI25" s="111">
        <f>INDEX(Tab_Def_Flows[[Flow_ID]:[CC_DM_source]],MATCH(Tab_Data_Flows[[#This Row],[Name(EN)]],Tab_Def_Flows[Name(EN)],0),20)</f>
        <v>0.48</v>
      </c>
      <c r="AJ25" s="112">
        <f>IF(L25="Yes",AI25*Tab_Data_Flows[[#This Row],[Flow_Py]]*Tab_Data_Flows[[#This Row],[DM_'[%']]],"N.A.")</f>
        <v>980784.86018873984</v>
      </c>
      <c r="AK25" s="61" t="str">
        <f>Tab_Data_Flows[[#This Row],[UoM_Flow_Py]]</f>
        <v>Mg</v>
      </c>
    </row>
    <row r="26" spans="1:37" hidden="1"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2423450.9626756655</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2423450.9626756655</v>
      </c>
      <c r="AB26" s="51" t="s">
        <v>63</v>
      </c>
      <c r="AC26" s="111">
        <f>INDEX(Tab_Def_Flows[[Flow_ID]:[CC_DM_source]],MATCH(Tab_Data_Flows[[#This Row],[Name(EN)]],Tab_Def_Flows[Name(EN)],0),16)</f>
        <v>0.14000000000000001</v>
      </c>
      <c r="AD26" s="112">
        <f>IF(J26="Yes",AA26*Tab_Data_Flows[[#This Row],[WC_'[%']]],"N.A.")</f>
        <v>339283.13477459323</v>
      </c>
      <c r="AE26" s="61" t="str">
        <f>Tab_Data_Flows[[#This Row],[UoM_Flow_Py]]</f>
        <v>Mg</v>
      </c>
      <c r="AF26" s="111">
        <f>INDEX(Tab_Def_Flows[[Flow_ID]:[CC_DM_source]],MATCH(Tab_Data_Flows[[#This Row],[Name(EN)]],Tab_Def_Flows[Name(EN)],0),18)</f>
        <v>0.86</v>
      </c>
      <c r="AG26" s="112">
        <f>IF(K26="Yes",AF26*Tab_Data_Flows[[#This Row],[Flow_Py]],"N.A.")</f>
        <v>2084167.8279010723</v>
      </c>
      <c r="AH26" s="61" t="str">
        <f>Tab_Data_Flows[[#This Row],[UoM_Flow_Py]]</f>
        <v>Mg</v>
      </c>
      <c r="AI26" s="111">
        <f>INDEX(Tab_Def_Flows[[Flow_ID]:[CC_DM_source]],MATCH(Tab_Data_Flows[[#This Row],[Name(EN)]],Tab_Def_Flows[Name(EN)],0),20)</f>
        <v>0.48</v>
      </c>
      <c r="AJ26" s="112">
        <f>IF(L26="Yes",AI26*Tab_Data_Flows[[#This Row],[Flow_Py]]*Tab_Data_Flows[[#This Row],[DM_'[%']]],"N.A.")</f>
        <v>1000400.5573925147</v>
      </c>
      <c r="AK26" s="61" t="str">
        <f>Tab_Data_Flows[[#This Row],[UoM_Flow_Py]]</f>
        <v>Mg</v>
      </c>
    </row>
    <row r="27" spans="1:37" hidden="1"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2471919.9819291788</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2471919.9819291788</v>
      </c>
      <c r="AB27" s="51" t="s">
        <v>63</v>
      </c>
      <c r="AC27" s="111">
        <f>INDEX(Tab_Def_Flows[[Flow_ID]:[CC_DM_source]],MATCH(Tab_Data_Flows[[#This Row],[Name(EN)]],Tab_Def_Flows[Name(EN)],0),16)</f>
        <v>0.14000000000000001</v>
      </c>
      <c r="AD27" s="112">
        <f>IF(J27="Yes",AA27*Tab_Data_Flows[[#This Row],[WC_'[%']]],"N.A.")</f>
        <v>346068.79747008509</v>
      </c>
      <c r="AE27" s="61" t="str">
        <f>Tab_Data_Flows[[#This Row],[UoM_Flow_Py]]</f>
        <v>Mg</v>
      </c>
      <c r="AF27" s="111">
        <f>INDEX(Tab_Def_Flows[[Flow_ID]:[CC_DM_source]],MATCH(Tab_Data_Flows[[#This Row],[Name(EN)]],Tab_Def_Flows[Name(EN)],0),18)</f>
        <v>0.86</v>
      </c>
      <c r="AG27" s="112">
        <f>IF(K27="Yes",AF27*Tab_Data_Flows[[#This Row],[Flow_Py]],"N.A.")</f>
        <v>2125851.184459094</v>
      </c>
      <c r="AH27" s="61" t="str">
        <f>Tab_Data_Flows[[#This Row],[UoM_Flow_Py]]</f>
        <v>Mg</v>
      </c>
      <c r="AI27" s="111">
        <f>INDEX(Tab_Def_Flows[[Flow_ID]:[CC_DM_source]],MATCH(Tab_Data_Flows[[#This Row],[Name(EN)]],Tab_Def_Flows[Name(EN)],0),20)</f>
        <v>0.48</v>
      </c>
      <c r="AJ27" s="112">
        <f>IF(L27="Yes",AI27*Tab_Data_Flows[[#This Row],[Flow_Py]]*Tab_Data_Flows[[#This Row],[DM_'[%']]],"N.A.")</f>
        <v>1020408.568540365</v>
      </c>
      <c r="AK27" s="61" t="str">
        <f>Tab_Data_Flows[[#This Row],[UoM_Flow_Py]]</f>
        <v>Mg</v>
      </c>
    </row>
    <row r="28" spans="1:37" hidden="1"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2521358.3815677622</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2521358.3815677622</v>
      </c>
      <c r="AB28" s="51" t="s">
        <v>63</v>
      </c>
      <c r="AC28" s="111">
        <f>INDEX(Tab_Def_Flows[[Flow_ID]:[CC_DM_source]],MATCH(Tab_Data_Flows[[#This Row],[Name(EN)]],Tab_Def_Flows[Name(EN)],0),16)</f>
        <v>0.14000000000000001</v>
      </c>
      <c r="AD28" s="112">
        <f>IF(J28="Yes",AA28*Tab_Data_Flows[[#This Row],[WC_'[%']]],"N.A.")</f>
        <v>352990.17341948673</v>
      </c>
      <c r="AE28" s="61" t="str">
        <f>Tab_Data_Flows[[#This Row],[UoM_Flow_Py]]</f>
        <v>Mg</v>
      </c>
      <c r="AF28" s="111">
        <f>INDEX(Tab_Def_Flows[[Flow_ID]:[CC_DM_source]],MATCH(Tab_Data_Flows[[#This Row],[Name(EN)]],Tab_Def_Flows[Name(EN)],0),18)</f>
        <v>0.86</v>
      </c>
      <c r="AG28" s="112">
        <f>IF(K28="Yes",AF28*Tab_Data_Flows[[#This Row],[Flow_Py]],"N.A.")</f>
        <v>2168368.2081482755</v>
      </c>
      <c r="AH28" s="61" t="str">
        <f>Tab_Data_Flows[[#This Row],[UoM_Flow_Py]]</f>
        <v>Mg</v>
      </c>
      <c r="AI28" s="111">
        <f>INDEX(Tab_Def_Flows[[Flow_ID]:[CC_DM_source]],MATCH(Tab_Data_Flows[[#This Row],[Name(EN)]],Tab_Def_Flows[Name(EN)],0),20)</f>
        <v>0.48</v>
      </c>
      <c r="AJ28" s="112">
        <f>IF(L28="Yes",AI28*Tab_Data_Flows[[#This Row],[Flow_Py]]*Tab_Data_Flows[[#This Row],[DM_'[%']]],"N.A.")</f>
        <v>1040816.7399111722</v>
      </c>
      <c r="AK28" s="61" t="str">
        <f>Tab_Data_Flows[[#This Row],[UoM_Flow_Py]]</f>
        <v>Mg</v>
      </c>
    </row>
    <row r="29" spans="1:37" hidden="1"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2571785.5491991173</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2571785.5491991173</v>
      </c>
      <c r="AB29" s="51" t="s">
        <v>63</v>
      </c>
      <c r="AC29" s="111">
        <f>INDEX(Tab_Def_Flows[[Flow_ID]:[CC_DM_source]],MATCH(Tab_Data_Flows[[#This Row],[Name(EN)]],Tab_Def_Flows[Name(EN)],0),16)</f>
        <v>0.14000000000000001</v>
      </c>
      <c r="AD29" s="112">
        <f>IF(J29="Yes",AA29*Tab_Data_Flows[[#This Row],[WC_'[%']]],"N.A.")</f>
        <v>360049.97688787646</v>
      </c>
      <c r="AE29" s="61" t="str">
        <f>Tab_Data_Flows[[#This Row],[UoM_Flow_Py]]</f>
        <v>Mg</v>
      </c>
      <c r="AF29" s="111">
        <f>INDEX(Tab_Def_Flows[[Flow_ID]:[CC_DM_source]],MATCH(Tab_Data_Flows[[#This Row],[Name(EN)]],Tab_Def_Flows[Name(EN)],0),18)</f>
        <v>0.86</v>
      </c>
      <c r="AG29" s="112">
        <f>IF(K29="Yes",AF29*Tab_Data_Flows[[#This Row],[Flow_Py]],"N.A.")</f>
        <v>2211735.5723112407</v>
      </c>
      <c r="AH29" s="61" t="str">
        <f>Tab_Data_Flows[[#This Row],[UoM_Flow_Py]]</f>
        <v>Mg</v>
      </c>
      <c r="AI29" s="111">
        <f>INDEX(Tab_Def_Flows[[Flow_ID]:[CC_DM_source]],MATCH(Tab_Data_Flows[[#This Row],[Name(EN)]],Tab_Def_Flows[Name(EN)],0),20)</f>
        <v>0.48</v>
      </c>
      <c r="AJ29" s="112">
        <f>IF(L29="Yes",AI29*Tab_Data_Flows[[#This Row],[Flow_Py]]*Tab_Data_Flows[[#This Row],[DM_'[%']]],"N.A.")</f>
        <v>1061633.0747093956</v>
      </c>
      <c r="AK29" s="61" t="str">
        <f>Tab_Data_Flows[[#This Row],[UoM_Flow_Py]]</f>
        <v>Mg</v>
      </c>
    </row>
    <row r="30" spans="1:37" ht="15.75" hidden="1"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2623221.2601830997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2623221.2601830997</v>
      </c>
      <c r="AB30" s="51" t="s">
        <v>63</v>
      </c>
      <c r="AC30" s="111">
        <f>INDEX(Tab_Def_Flows[[Flow_ID]:[CC_DM_source]],MATCH(Tab_Data_Flows[[#This Row],[Name(EN)]],Tab_Def_Flows[Name(EN)],0),16)</f>
        <v>0.14000000000000001</v>
      </c>
      <c r="AD30" s="112">
        <f>IF(J30="Yes",AA30*Tab_Data_Flows[[#This Row],[WC_'[%']]],"N.A.")</f>
        <v>367250.976425634</v>
      </c>
      <c r="AE30" s="61" t="str">
        <f>Tab_Data_Flows[[#This Row],[UoM_Flow_Py]]</f>
        <v>Mg</v>
      </c>
      <c r="AF30" s="111">
        <f>INDEX(Tab_Def_Flows[[Flow_ID]:[CC_DM_source]],MATCH(Tab_Data_Flows[[#This Row],[Name(EN)]],Tab_Def_Flows[Name(EN)],0),18)</f>
        <v>0.86</v>
      </c>
      <c r="AG30" s="112">
        <f>IF(K30="Yes",AF30*Tab_Data_Flows[[#This Row],[Flow_Py]],"N.A.")</f>
        <v>2255970.2837574659</v>
      </c>
      <c r="AH30" s="61" t="str">
        <f>Tab_Data_Flows[[#This Row],[UoM_Flow_Py]]</f>
        <v>Mg</v>
      </c>
      <c r="AI30" s="111">
        <f>INDEX(Tab_Def_Flows[[Flow_ID]:[CC_DM_source]],MATCH(Tab_Data_Flows[[#This Row],[Name(EN)]],Tab_Def_Flows[Name(EN)],0),20)</f>
        <v>0.48</v>
      </c>
      <c r="AJ30" s="112">
        <f>IF(L30="Yes",AI30*Tab_Data_Flows[[#This Row],[Flow_Py]]*Tab_Data_Flows[[#This Row],[DM_'[%']]],"N.A.")</f>
        <v>1082865.7362035834</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55635.624900000003</v>
      </c>
      <c r="P31" s="51" t="s">
        <v>389</v>
      </c>
      <c r="Q31" s="51"/>
      <c r="R31" s="51"/>
      <c r="S31" s="51"/>
      <c r="T31" s="51"/>
      <c r="U31" s="51"/>
      <c r="V31" s="51"/>
      <c r="W31" s="51"/>
      <c r="X31" s="51" t="s">
        <v>71</v>
      </c>
      <c r="Y31" s="106"/>
      <c r="Z31" s="51"/>
      <c r="AA31" s="86">
        <f t="shared" si="1"/>
        <v>55635.624900000003</v>
      </c>
      <c r="AB31" s="51" t="s">
        <v>63</v>
      </c>
      <c r="AC31" s="111">
        <f>INDEX(Tab_Def_Flows[[Flow_ID]:[CC_DM_source]],MATCH(Tab_Data_Flows[[#This Row],[Name(EN)]],Tab_Def_Flows[Name(EN)],0),16)</f>
        <v>0.93799999999999994</v>
      </c>
      <c r="AD31" s="112">
        <f>IF(J31="Yes",AA31*Tab_Data_Flows[[#This Row],[WC_'[%']]],"N.A.")</f>
        <v>52186.216156199996</v>
      </c>
      <c r="AE31" s="61" t="str">
        <f>Tab_Data_Flows[[#This Row],[UoM_Flow_Py]]</f>
        <v>Mg</v>
      </c>
      <c r="AF31" s="111">
        <f>INDEX(Tab_Def_Flows[[Flow_ID]:[CC_DM_source]],MATCH(Tab_Data_Flows[[#This Row],[Name(EN)]],Tab_Def_Flows[Name(EN)],0),18)</f>
        <v>6.2E-2</v>
      </c>
      <c r="AG31" s="112">
        <f>IF(K31="Yes",AF31*Tab_Data_Flows[[#This Row],[Flow_Py]],"N.A.")</f>
        <v>3449.4087438000001</v>
      </c>
      <c r="AH31" s="61" t="str">
        <f>Tab_Data_Flows[[#This Row],[UoM_Flow_Py]]</f>
        <v>Mg</v>
      </c>
      <c r="AI31" s="111">
        <f>INDEX(Tab_Def_Flows[[Flow_ID]:[CC_DM_source]],MATCH(Tab_Data_Flows[[#This Row],[Name(EN)]],Tab_Def_Flows[Name(EN)],0),20)</f>
        <v>0.49</v>
      </c>
      <c r="AJ31" s="109">
        <f>IF(L31="Yes",AI31*Tab_Data_Flows[[#This Row],[Flow_Py]]*Tab_Data_Flows[[#This Row],[DM_'[%']]],"N.A.")</f>
        <v>1690.2102844620001</v>
      </c>
      <c r="AK31" s="61" t="str">
        <f>Tab_Data_Flows[[#This Row],[UoM_Flow_Py]]</f>
        <v>Mg</v>
      </c>
    </row>
    <row r="32" spans="1:37" ht="15.75" hidden="1"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56748.337398000003</v>
      </c>
      <c r="P32" s="51" t="s">
        <v>389</v>
      </c>
      <c r="Q32" s="51"/>
      <c r="R32" s="51"/>
      <c r="S32" s="51"/>
      <c r="T32" s="51"/>
      <c r="U32" s="51"/>
      <c r="V32" s="51"/>
      <c r="W32" s="51"/>
      <c r="X32" s="51" t="s">
        <v>71</v>
      </c>
      <c r="Y32" s="106"/>
      <c r="Z32" s="51"/>
      <c r="AA32" s="86">
        <f t="shared" si="1"/>
        <v>56748.337398000003</v>
      </c>
      <c r="AB32" s="51" t="s">
        <v>63</v>
      </c>
      <c r="AC32" s="111">
        <f>INDEX(Tab_Def_Flows[[Flow_ID]:[CC_DM_source]],MATCH(Tab_Data_Flows[[#This Row],[Name(EN)]],Tab_Def_Flows[Name(EN)],0),16)</f>
        <v>0.93799999999999994</v>
      </c>
      <c r="AD32" s="112">
        <f>IF(J32="Yes",AA32*Tab_Data_Flows[[#This Row],[WC_'[%']]],"N.A.")</f>
        <v>53229.940479324003</v>
      </c>
      <c r="AE32" s="61" t="str">
        <f>Tab_Data_Flows[[#This Row],[UoM_Flow_Py]]</f>
        <v>Mg</v>
      </c>
      <c r="AF32" s="111">
        <f>INDEX(Tab_Def_Flows[[Flow_ID]:[CC_DM_source]],MATCH(Tab_Data_Flows[[#This Row],[Name(EN)]],Tab_Def_Flows[Name(EN)],0),18)</f>
        <v>6.2E-2</v>
      </c>
      <c r="AG32" s="112">
        <f>IF(K32="Yes",AF32*Tab_Data_Flows[[#This Row],[Flow_Py]],"N.A.")</f>
        <v>3518.396918676</v>
      </c>
      <c r="AH32" s="61" t="str">
        <f>Tab_Data_Flows[[#This Row],[UoM_Flow_Py]]</f>
        <v>Mg</v>
      </c>
      <c r="AI32" s="111">
        <f>INDEX(Tab_Def_Flows[[Flow_ID]:[CC_DM_source]],MATCH(Tab_Data_Flows[[#This Row],[Name(EN)]],Tab_Def_Flows[Name(EN)],0),20)</f>
        <v>0.49</v>
      </c>
      <c r="AJ32" s="109">
        <f>IF(L32="Yes",AI32*Tab_Data_Flows[[#This Row],[Flow_Py]]*Tab_Data_Flows[[#This Row],[DM_'[%']]],"N.A.")</f>
        <v>1724.0144901512399</v>
      </c>
      <c r="AK32" s="61" t="str">
        <f>Tab_Data_Flows[[#This Row],[UoM_Flow_Py]]</f>
        <v>Mg</v>
      </c>
    </row>
    <row r="33" spans="1:37" ht="15.75" hidden="1"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57883.304145960006</v>
      </c>
      <c r="P33" s="51" t="s">
        <v>389</v>
      </c>
      <c r="Q33" s="51"/>
      <c r="R33" s="51"/>
      <c r="S33" s="51"/>
      <c r="T33" s="51"/>
      <c r="U33" s="51"/>
      <c r="V33" s="51"/>
      <c r="W33" s="51"/>
      <c r="X33" s="51" t="s">
        <v>71</v>
      </c>
      <c r="Y33" s="106"/>
      <c r="Z33" s="51"/>
      <c r="AA33" s="86">
        <f t="shared" si="1"/>
        <v>57883.304145960006</v>
      </c>
      <c r="AB33" s="51" t="s">
        <v>63</v>
      </c>
      <c r="AC33" s="111">
        <f>INDEX(Tab_Def_Flows[[Flow_ID]:[CC_DM_source]],MATCH(Tab_Data_Flows[[#This Row],[Name(EN)]],Tab_Def_Flows[Name(EN)],0),16)</f>
        <v>0.93799999999999994</v>
      </c>
      <c r="AD33" s="112">
        <f>IF(J33="Yes",AA33*Tab_Data_Flows[[#This Row],[WC_'[%']]],"N.A.")</f>
        <v>54294.539288910484</v>
      </c>
      <c r="AE33" s="61" t="str">
        <f>Tab_Data_Flows[[#This Row],[UoM_Flow_Py]]</f>
        <v>Mg</v>
      </c>
      <c r="AF33" s="111">
        <f>INDEX(Tab_Def_Flows[[Flow_ID]:[CC_DM_source]],MATCH(Tab_Data_Flows[[#This Row],[Name(EN)]],Tab_Def_Flows[Name(EN)],0),18)</f>
        <v>6.2E-2</v>
      </c>
      <c r="AG33" s="112">
        <f>IF(K33="Yes",AF33*Tab_Data_Flows[[#This Row],[Flow_Py]],"N.A.")</f>
        <v>3588.7648570495203</v>
      </c>
      <c r="AH33" s="61" t="str">
        <f>Tab_Data_Flows[[#This Row],[UoM_Flow_Py]]</f>
        <v>Mg</v>
      </c>
      <c r="AI33" s="111">
        <f>INDEX(Tab_Def_Flows[[Flow_ID]:[CC_DM_source]],MATCH(Tab_Data_Flows[[#This Row],[Name(EN)]],Tab_Def_Flows[Name(EN)],0),20)</f>
        <v>0.49</v>
      </c>
      <c r="AJ33" s="109">
        <f>IF(L33="Yes",AI33*Tab_Data_Flows[[#This Row],[Flow_Py]]*Tab_Data_Flows[[#This Row],[DM_'[%']]],"N.A.")</f>
        <v>1758.4947799542649</v>
      </c>
      <c r="AK33" s="61" t="str">
        <f>Tab_Data_Flows[[#This Row],[UoM_Flow_Py]]</f>
        <v>Mg</v>
      </c>
    </row>
    <row r="34" spans="1:37" ht="15.75" hidden="1"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59040.97022887921</v>
      </c>
      <c r="P34" s="51" t="s">
        <v>389</v>
      </c>
      <c r="Q34" s="51"/>
      <c r="R34" s="51"/>
      <c r="S34" s="51"/>
      <c r="T34" s="51"/>
      <c r="U34" s="51"/>
      <c r="V34" s="51"/>
      <c r="W34" s="51"/>
      <c r="X34" s="51" t="s">
        <v>71</v>
      </c>
      <c r="Y34" s="106"/>
      <c r="Z34" s="51"/>
      <c r="AA34" s="86">
        <f t="shared" si="1"/>
        <v>59040.97022887921</v>
      </c>
      <c r="AB34" s="51" t="s">
        <v>63</v>
      </c>
      <c r="AC34" s="111">
        <f>INDEX(Tab_Def_Flows[[Flow_ID]:[CC_DM_source]],MATCH(Tab_Data_Flows[[#This Row],[Name(EN)]],Tab_Def_Flows[Name(EN)],0),16)</f>
        <v>0.93799999999999994</v>
      </c>
      <c r="AD34" s="112">
        <f>IF(J34="Yes",AA34*Tab_Data_Flows[[#This Row],[WC_'[%']]],"N.A.")</f>
        <v>55380.430074688695</v>
      </c>
      <c r="AE34" s="61" t="str">
        <f>Tab_Data_Flows[[#This Row],[UoM_Flow_Py]]</f>
        <v>Mg</v>
      </c>
      <c r="AF34" s="111">
        <f>INDEX(Tab_Def_Flows[[Flow_ID]:[CC_DM_source]],MATCH(Tab_Data_Flows[[#This Row],[Name(EN)]],Tab_Def_Flows[Name(EN)],0),18)</f>
        <v>6.2E-2</v>
      </c>
      <c r="AG34" s="112">
        <f>IF(K34="Yes",AF34*Tab_Data_Flows[[#This Row],[Flow_Py]],"N.A.")</f>
        <v>3660.5401541905112</v>
      </c>
      <c r="AH34" s="61" t="str">
        <f>Tab_Data_Flows[[#This Row],[UoM_Flow_Py]]</f>
        <v>Mg</v>
      </c>
      <c r="AI34" s="111">
        <f>INDEX(Tab_Def_Flows[[Flow_ID]:[CC_DM_source]],MATCH(Tab_Data_Flows[[#This Row],[Name(EN)]],Tab_Def_Flows[Name(EN)],0),20)</f>
        <v>0.49</v>
      </c>
      <c r="AJ34" s="109">
        <f>IF(L34="Yes",AI34*Tab_Data_Flows[[#This Row],[Flow_Py]]*Tab_Data_Flows[[#This Row],[DM_'[%']]],"N.A.")</f>
        <v>1793.6646755533504</v>
      </c>
      <c r="AK34" s="61" t="str">
        <f>Tab_Data_Flows[[#This Row],[UoM_Flow_Py]]</f>
        <v>Mg</v>
      </c>
    </row>
    <row r="35" spans="1:37" ht="15.75" hidden="1"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60221.789633456792</v>
      </c>
      <c r="P35" s="51" t="s">
        <v>389</v>
      </c>
      <c r="Q35" s="51"/>
      <c r="R35" s="51"/>
      <c r="S35" s="51"/>
      <c r="T35" s="51"/>
      <c r="U35" s="51"/>
      <c r="V35" s="51"/>
      <c r="W35" s="51"/>
      <c r="X35" s="51" t="s">
        <v>71</v>
      </c>
      <c r="Y35" s="106"/>
      <c r="Z35" s="51"/>
      <c r="AA35" s="86">
        <f t="shared" si="1"/>
        <v>60221.789633456792</v>
      </c>
      <c r="AB35" s="51" t="s">
        <v>63</v>
      </c>
      <c r="AC35" s="111">
        <f>INDEX(Tab_Def_Flows[[Flow_ID]:[CC_DM_source]],MATCH(Tab_Data_Flows[[#This Row],[Name(EN)]],Tab_Def_Flows[Name(EN)],0),16)</f>
        <v>0.93799999999999994</v>
      </c>
      <c r="AD35" s="112">
        <f>IF(J35="Yes",AA35*Tab_Data_Flows[[#This Row],[WC_'[%']]],"N.A.")</f>
        <v>56488.03867618247</v>
      </c>
      <c r="AE35" s="61" t="str">
        <f>Tab_Data_Flows[[#This Row],[UoM_Flow_Py]]</f>
        <v>Mg</v>
      </c>
      <c r="AF35" s="111">
        <f>INDEX(Tab_Def_Flows[[Flow_ID]:[CC_DM_source]],MATCH(Tab_Data_Flows[[#This Row],[Name(EN)]],Tab_Def_Flows[Name(EN)],0),18)</f>
        <v>6.2E-2</v>
      </c>
      <c r="AG35" s="112">
        <f>IF(K35="Yes",AF35*Tab_Data_Flows[[#This Row],[Flow_Py]],"N.A.")</f>
        <v>3733.7509572743211</v>
      </c>
      <c r="AH35" s="61" t="str">
        <f>Tab_Data_Flows[[#This Row],[UoM_Flow_Py]]</f>
        <v>Mg</v>
      </c>
      <c r="AI35" s="111">
        <f>INDEX(Tab_Def_Flows[[Flow_ID]:[CC_DM_source]],MATCH(Tab_Data_Flows[[#This Row],[Name(EN)]],Tab_Def_Flows[Name(EN)],0),20)</f>
        <v>0.49</v>
      </c>
      <c r="AJ35" s="109">
        <f>IF(L35="Yes",AI35*Tab_Data_Flows[[#This Row],[Flow_Py]]*Tab_Data_Flows[[#This Row],[DM_'[%']]],"N.A.")</f>
        <v>1829.5379690644172</v>
      </c>
      <c r="AK35" s="61" t="str">
        <f>Tab_Data_Flows[[#This Row],[UoM_Flow_Py]]</f>
        <v>Mg</v>
      </c>
    </row>
    <row r="36" spans="1:37" ht="15.75" hidden="1"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61426.22542612593</v>
      </c>
      <c r="P36" s="51" t="s">
        <v>389</v>
      </c>
      <c r="Q36" s="51"/>
      <c r="R36" s="51"/>
      <c r="S36" s="51"/>
      <c r="T36" s="51"/>
      <c r="U36" s="51"/>
      <c r="V36" s="51"/>
      <c r="W36" s="51"/>
      <c r="X36" s="51" t="s">
        <v>71</v>
      </c>
      <c r="Y36" s="106"/>
      <c r="Z36" s="51"/>
      <c r="AA36" s="86">
        <f t="shared" si="1"/>
        <v>61426.22542612593</v>
      </c>
      <c r="AB36" s="51" t="s">
        <v>63</v>
      </c>
      <c r="AC36" s="111">
        <f>INDEX(Tab_Def_Flows[[Flow_ID]:[CC_DM_source]],MATCH(Tab_Data_Flows[[#This Row],[Name(EN)]],Tab_Def_Flows[Name(EN)],0),16)</f>
        <v>0.93799999999999994</v>
      </c>
      <c r="AD36" s="112">
        <f>IF(J36="Yes",AA36*Tab_Data_Flows[[#This Row],[WC_'[%']]],"N.A.")</f>
        <v>57617.799449706115</v>
      </c>
      <c r="AE36" s="61" t="str">
        <f>Tab_Data_Flows[[#This Row],[UoM_Flow_Py]]</f>
        <v>Mg</v>
      </c>
      <c r="AF36" s="111">
        <f>INDEX(Tab_Def_Flows[[Flow_ID]:[CC_DM_source]],MATCH(Tab_Data_Flows[[#This Row],[Name(EN)]],Tab_Def_Flows[Name(EN)],0),18)</f>
        <v>6.2E-2</v>
      </c>
      <c r="AG36" s="112">
        <f>IF(K36="Yes",AF36*Tab_Data_Flows[[#This Row],[Flow_Py]],"N.A.")</f>
        <v>3808.4259764198077</v>
      </c>
      <c r="AH36" s="61" t="str">
        <f>Tab_Data_Flows[[#This Row],[UoM_Flow_Py]]</f>
        <v>Mg</v>
      </c>
      <c r="AI36" s="111">
        <f>INDEX(Tab_Def_Flows[[Flow_ID]:[CC_DM_source]],MATCH(Tab_Data_Flows[[#This Row],[Name(EN)]],Tab_Def_Flows[Name(EN)],0),20)</f>
        <v>0.49</v>
      </c>
      <c r="AJ36" s="109">
        <f>IF(L36="Yes",AI36*Tab_Data_Flows[[#This Row],[Flow_Py]]*Tab_Data_Flows[[#This Row],[DM_'[%']]],"N.A.")</f>
        <v>1866.1287284457057</v>
      </c>
      <c r="AK36" s="61" t="str">
        <f>Tab_Data_Flows[[#This Row],[UoM_Flow_Py]]</f>
        <v>Mg</v>
      </c>
    </row>
    <row r="37" spans="1:37" hidden="1"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62654.749934648447</v>
      </c>
      <c r="P37" s="51" t="s">
        <v>389</v>
      </c>
      <c r="Q37" s="51"/>
      <c r="R37" s="51"/>
      <c r="S37" s="51"/>
      <c r="T37" s="51"/>
      <c r="U37" s="51"/>
      <c r="V37" s="51"/>
      <c r="W37" s="51"/>
      <c r="X37" s="51" t="s">
        <v>71</v>
      </c>
      <c r="Y37" s="106"/>
      <c r="Z37" s="51"/>
      <c r="AA37" s="86">
        <f t="shared" si="1"/>
        <v>62654.749934648447</v>
      </c>
      <c r="AB37" s="51" t="s">
        <v>63</v>
      </c>
      <c r="AC37" s="111">
        <f>INDEX(Tab_Def_Flows[[Flow_ID]:[CC_DM_source]],MATCH(Tab_Data_Flows[[#This Row],[Name(EN)]],Tab_Def_Flows[Name(EN)],0),16)</f>
        <v>0.93799999999999994</v>
      </c>
      <c r="AD37" s="112">
        <f>IF(J37="Yes",AA37*Tab_Data_Flows[[#This Row],[WC_'[%']]],"N.A.")</f>
        <v>58770.15543870024</v>
      </c>
      <c r="AE37" s="61" t="str">
        <f>Tab_Data_Flows[[#This Row],[UoM_Flow_Py]]</f>
        <v>Mg</v>
      </c>
      <c r="AF37" s="111">
        <f>INDEX(Tab_Def_Flows[[Flow_ID]:[CC_DM_source]],MATCH(Tab_Data_Flows[[#This Row],[Name(EN)]],Tab_Def_Flows[Name(EN)],0),18)</f>
        <v>6.2E-2</v>
      </c>
      <c r="AG37" s="112">
        <f>IF(K37="Yes",AF37*Tab_Data_Flows[[#This Row],[Flow_Py]],"N.A.")</f>
        <v>3884.5944959482035</v>
      </c>
      <c r="AH37" s="61" t="str">
        <f>Tab_Data_Flows[[#This Row],[UoM_Flow_Py]]</f>
        <v>Mg</v>
      </c>
      <c r="AI37" s="111">
        <f>INDEX(Tab_Def_Flows[[Flow_ID]:[CC_DM_source]],MATCH(Tab_Data_Flows[[#This Row],[Name(EN)]],Tab_Def_Flows[Name(EN)],0),20)</f>
        <v>0.49</v>
      </c>
      <c r="AJ37" s="109">
        <f>IF(L37="Yes",AI37*Tab_Data_Flows[[#This Row],[Flow_Py]]*Tab_Data_Flows[[#This Row],[DM_'[%']]],"N.A.")</f>
        <v>1903.4513030146197</v>
      </c>
      <c r="AK37" s="61" t="str">
        <f>Tab_Data_Flows[[#This Row],[UoM_Flow_Py]]</f>
        <v>Mg</v>
      </c>
    </row>
    <row r="38" spans="1:37" hidden="1"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63907.844933341417</v>
      </c>
      <c r="P38" s="51"/>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63907.844933341417</v>
      </c>
      <c r="AB38" s="51" t="s">
        <v>63</v>
      </c>
      <c r="AC38" s="111">
        <f>INDEX(Tab_Def_Flows[[Flow_ID]:[CC_DM_source]],MATCH(Tab_Data_Flows[[#This Row],[Name(EN)]],Tab_Def_Flows[Name(EN)],0),16)</f>
        <v>0.93799999999999994</v>
      </c>
      <c r="AD38" s="112">
        <f>IF(J38="Yes",AA38*Tab_Data_Flows[[#This Row],[WC_'[%']]],"N.A.")</f>
        <v>59945.558547474247</v>
      </c>
      <c r="AE38" s="61" t="str">
        <f>Tab_Data_Flows[[#This Row],[UoM_Flow_Py]]</f>
        <v>Mg</v>
      </c>
      <c r="AF38" s="111">
        <f>INDEX(Tab_Def_Flows[[Flow_ID]:[CC_DM_source]],MATCH(Tab_Data_Flows[[#This Row],[Name(EN)]],Tab_Def_Flows[Name(EN)],0),18)</f>
        <v>6.2E-2</v>
      </c>
      <c r="AG38" s="112">
        <f>IF(K38="Yes",AF38*Tab_Data_Flows[[#This Row],[Flow_Py]],"N.A.")</f>
        <v>3962.2863858671681</v>
      </c>
      <c r="AH38" s="61" t="str">
        <f>Tab_Data_Flows[[#This Row],[UoM_Flow_Py]]</f>
        <v>Mg</v>
      </c>
      <c r="AI38" s="111">
        <f>INDEX(Tab_Def_Flows[[Flow_ID]:[CC_DM_source]],MATCH(Tab_Data_Flows[[#This Row],[Name(EN)]],Tab_Def_Flows[Name(EN)],0),20)</f>
        <v>0.49</v>
      </c>
      <c r="AJ38" s="112">
        <f>IF(L38="Yes",AI38*Tab_Data_Flows[[#This Row],[Flow_Py]]*Tab_Data_Flows[[#This Row],[DM_'[%']]],"N.A.")</f>
        <v>1941.5203290749123</v>
      </c>
      <c r="AK38" s="61" t="str">
        <f>Tab_Data_Flows[[#This Row],[UoM_Flow_Py]]</f>
        <v>Mg</v>
      </c>
    </row>
    <row r="39" spans="1:37" hidden="1"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65186.001832008245</v>
      </c>
      <c r="P39" s="51"/>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65186.001832008245</v>
      </c>
      <c r="AB39" s="51" t="s">
        <v>63</v>
      </c>
      <c r="AC39" s="111">
        <f>INDEX(Tab_Def_Flows[[Flow_ID]:[CC_DM_source]],MATCH(Tab_Data_Flows[[#This Row],[Name(EN)]],Tab_Def_Flows[Name(EN)],0),16)</f>
        <v>0.93799999999999994</v>
      </c>
      <c r="AD39" s="112">
        <f>IF(J39="Yes",AA39*Tab_Data_Flows[[#This Row],[WC_'[%']]],"N.A.")</f>
        <v>61144.46971842373</v>
      </c>
      <c r="AE39" s="61" t="str">
        <f>Tab_Data_Flows[[#This Row],[UoM_Flow_Py]]</f>
        <v>Mg</v>
      </c>
      <c r="AF39" s="111">
        <f>INDEX(Tab_Def_Flows[[Flow_ID]:[CC_DM_source]],MATCH(Tab_Data_Flows[[#This Row],[Name(EN)]],Tab_Def_Flows[Name(EN)],0),18)</f>
        <v>6.2E-2</v>
      </c>
      <c r="AG39" s="112">
        <f>IF(K39="Yes",AF39*Tab_Data_Flows[[#This Row],[Flow_Py]],"N.A.")</f>
        <v>4041.5321135845111</v>
      </c>
      <c r="AH39" s="61" t="str">
        <f>Tab_Data_Flows[[#This Row],[UoM_Flow_Py]]</f>
        <v>Mg</v>
      </c>
      <c r="AI39" s="111">
        <f>INDEX(Tab_Def_Flows[[Flow_ID]:[CC_DM_source]],MATCH(Tab_Data_Flows[[#This Row],[Name(EN)]],Tab_Def_Flows[Name(EN)],0),20)</f>
        <v>0.49</v>
      </c>
      <c r="AJ39" s="112">
        <f>IF(L39="Yes",AI39*Tab_Data_Flows[[#This Row],[Flow_Py]]*Tab_Data_Flows[[#This Row],[DM_'[%']]],"N.A.")</f>
        <v>1980.3507356564105</v>
      </c>
      <c r="AK39" s="61" t="str">
        <f>Tab_Data_Flows[[#This Row],[UoM_Flow_Py]]</f>
        <v>Mg</v>
      </c>
    </row>
    <row r="40" spans="1:37" hidden="1"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66489.721868648412</v>
      </c>
      <c r="P40" s="51"/>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66489.721868648412</v>
      </c>
      <c r="AB40" s="51" t="s">
        <v>63</v>
      </c>
      <c r="AC40" s="111">
        <f>INDEX(Tab_Def_Flows[[Flow_ID]:[CC_DM_source]],MATCH(Tab_Data_Flows[[#This Row],[Name(EN)]],Tab_Def_Flows[Name(EN)],0),16)</f>
        <v>0.93799999999999994</v>
      </c>
      <c r="AD40" s="112">
        <f>IF(J40="Yes",AA40*Tab_Data_Flows[[#This Row],[WC_'[%']]],"N.A.")</f>
        <v>62367.359112792205</v>
      </c>
      <c r="AE40" s="61" t="str">
        <f>Tab_Data_Flows[[#This Row],[UoM_Flow_Py]]</f>
        <v>Mg</v>
      </c>
      <c r="AF40" s="111">
        <f>INDEX(Tab_Def_Flows[[Flow_ID]:[CC_DM_source]],MATCH(Tab_Data_Flows[[#This Row],[Name(EN)]],Tab_Def_Flows[Name(EN)],0),18)</f>
        <v>6.2E-2</v>
      </c>
      <c r="AG40" s="112">
        <f>IF(K40="Yes",AF40*Tab_Data_Flows[[#This Row],[Flow_Py]],"N.A.")</f>
        <v>4122.3627558562011</v>
      </c>
      <c r="AH40" s="61" t="str">
        <f>Tab_Data_Flows[[#This Row],[UoM_Flow_Py]]</f>
        <v>Mg</v>
      </c>
      <c r="AI40" s="111">
        <f>INDEX(Tab_Def_Flows[[Flow_ID]:[CC_DM_source]],MATCH(Tab_Data_Flows[[#This Row],[Name(EN)]],Tab_Def_Flows[Name(EN)],0),20)</f>
        <v>0.49</v>
      </c>
      <c r="AJ40" s="112">
        <f>IF(L40="Yes",AI40*Tab_Data_Flows[[#This Row],[Flow_Py]]*Tab_Data_Flows[[#This Row],[DM_'[%']]],"N.A.")</f>
        <v>2019.9577503695386</v>
      </c>
      <c r="AK40" s="61" t="str">
        <f>Tab_Data_Flows[[#This Row],[UoM_Flow_Py]]</f>
        <v>Mg</v>
      </c>
    </row>
    <row r="41" spans="1:37" hidden="1"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67819.516306021382</v>
      </c>
      <c r="P41" s="51"/>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67819.516306021382</v>
      </c>
      <c r="AB41" s="51" t="s">
        <v>63</v>
      </c>
      <c r="AC41" s="111">
        <f>INDEX(Tab_Def_Flows[[Flow_ID]:[CC_DM_source]],MATCH(Tab_Data_Flows[[#This Row],[Name(EN)]],Tab_Def_Flows[Name(EN)],0),16)</f>
        <v>0.93799999999999994</v>
      </c>
      <c r="AD41" s="112">
        <f>IF(J41="Yes",AA41*Tab_Data_Flows[[#This Row],[WC_'[%']]],"N.A.")</f>
        <v>63614.706295048054</v>
      </c>
      <c r="AE41" s="61" t="str">
        <f>Tab_Data_Flows[[#This Row],[UoM_Flow_Py]]</f>
        <v>Mg</v>
      </c>
      <c r="AF41" s="111">
        <f>INDEX(Tab_Def_Flows[[Flow_ID]:[CC_DM_source]],MATCH(Tab_Data_Flows[[#This Row],[Name(EN)]],Tab_Def_Flows[Name(EN)],0),18)</f>
        <v>6.2E-2</v>
      </c>
      <c r="AG41" s="112">
        <f>IF(K41="Yes",AF41*Tab_Data_Flows[[#This Row],[Flow_Py]],"N.A.")</f>
        <v>4204.8100109733259</v>
      </c>
      <c r="AH41" s="61" t="str">
        <f>Tab_Data_Flows[[#This Row],[UoM_Flow_Py]]</f>
        <v>Mg</v>
      </c>
      <c r="AI41" s="111">
        <f>INDEX(Tab_Def_Flows[[Flow_ID]:[CC_DM_source]],MATCH(Tab_Data_Flows[[#This Row],[Name(EN)]],Tab_Def_Flows[Name(EN)],0),20)</f>
        <v>0.49</v>
      </c>
      <c r="AJ41" s="112">
        <f>IF(L41="Yes",AI41*Tab_Data_Flows[[#This Row],[Flow_Py]]*Tab_Data_Flows[[#This Row],[DM_'[%']]],"N.A.")</f>
        <v>2060.3569053769297</v>
      </c>
      <c r="AK41" s="61" t="str">
        <f>Tab_Data_Flows[[#This Row],[UoM_Flow_Py]]</f>
        <v>Mg</v>
      </c>
    </row>
    <row r="42" spans="1:37" hidden="1"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69175.906632141807</v>
      </c>
      <c r="P42" s="51"/>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69175.906632141807</v>
      </c>
      <c r="AB42" s="51" t="s">
        <v>63</v>
      </c>
      <c r="AC42" s="111">
        <f>INDEX(Tab_Def_Flows[[Flow_ID]:[CC_DM_source]],MATCH(Tab_Data_Flows[[#This Row],[Name(EN)]],Tab_Def_Flows[Name(EN)],0),16)</f>
        <v>0.93799999999999994</v>
      </c>
      <c r="AD42" s="112">
        <f>IF(J42="Yes",AA42*Tab_Data_Flows[[#This Row],[WC_'[%']]],"N.A.")</f>
        <v>64887.000420949014</v>
      </c>
      <c r="AE42" s="61" t="str">
        <f>Tab_Data_Flows[[#This Row],[UoM_Flow_Py]]</f>
        <v>Mg</v>
      </c>
      <c r="AF42" s="111">
        <f>INDEX(Tab_Def_Flows[[Flow_ID]:[CC_DM_source]],MATCH(Tab_Data_Flows[[#This Row],[Name(EN)]],Tab_Def_Flows[Name(EN)],0),18)</f>
        <v>6.2E-2</v>
      </c>
      <c r="AG42" s="112">
        <f>IF(K42="Yes",AF42*Tab_Data_Flows[[#This Row],[Flow_Py]],"N.A.")</f>
        <v>4288.9062111927924</v>
      </c>
      <c r="AH42" s="61" t="str">
        <f>Tab_Data_Flows[[#This Row],[UoM_Flow_Py]]</f>
        <v>Mg</v>
      </c>
      <c r="AI42" s="111">
        <f>INDEX(Tab_Def_Flows[[Flow_ID]:[CC_DM_source]],MATCH(Tab_Data_Flows[[#This Row],[Name(EN)]],Tab_Def_Flows[Name(EN)],0),20)</f>
        <v>0.49</v>
      </c>
      <c r="AJ42" s="112">
        <f>IF(L42="Yes",AI42*Tab_Data_Flows[[#This Row],[Flow_Py]]*Tab_Data_Flows[[#This Row],[DM_'[%']]],"N.A.")</f>
        <v>2101.5640434844677</v>
      </c>
      <c r="AK42" s="61" t="str">
        <f>Tab_Data_Flows[[#This Row],[UoM_Flow_Py]]</f>
        <v>Mg</v>
      </c>
    </row>
    <row r="43" spans="1:37" hidden="1"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70559.42476478465</v>
      </c>
      <c r="P43" s="51"/>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70559.42476478465</v>
      </c>
      <c r="AB43" s="51" t="s">
        <v>63</v>
      </c>
      <c r="AC43" s="111">
        <f>INDEX(Tab_Def_Flows[[Flow_ID]:[CC_DM_source]],MATCH(Tab_Data_Flows[[#This Row],[Name(EN)]],Tab_Def_Flows[Name(EN)],0),16)</f>
        <v>0.93799999999999994</v>
      </c>
      <c r="AD43" s="112">
        <f>IF(J43="Yes",AA43*Tab_Data_Flows[[#This Row],[WC_'[%']]],"N.A.")</f>
        <v>66184.740429368001</v>
      </c>
      <c r="AE43" s="61" t="str">
        <f>Tab_Data_Flows[[#This Row],[UoM_Flow_Py]]</f>
        <v>Mg</v>
      </c>
      <c r="AF43" s="111">
        <f>INDEX(Tab_Def_Flows[[Flow_ID]:[CC_DM_source]],MATCH(Tab_Data_Flows[[#This Row],[Name(EN)]],Tab_Def_Flows[Name(EN)],0),18)</f>
        <v>6.2E-2</v>
      </c>
      <c r="AG43" s="112">
        <f>IF(K43="Yes",AF43*Tab_Data_Flows[[#This Row],[Flow_Py]],"N.A.")</f>
        <v>4374.6843354166485</v>
      </c>
      <c r="AH43" s="61" t="str">
        <f>Tab_Data_Flows[[#This Row],[UoM_Flow_Py]]</f>
        <v>Mg</v>
      </c>
      <c r="AI43" s="111">
        <f>INDEX(Tab_Def_Flows[[Flow_ID]:[CC_DM_source]],MATCH(Tab_Data_Flows[[#This Row],[Name(EN)]],Tab_Def_Flows[Name(EN)],0),20)</f>
        <v>0.49</v>
      </c>
      <c r="AJ43" s="112">
        <f>IF(L43="Yes",AI43*Tab_Data_Flows[[#This Row],[Flow_Py]]*Tab_Data_Flows[[#This Row],[DM_'[%']]],"N.A.")</f>
        <v>2143.5953243541576</v>
      </c>
      <c r="AK43" s="61" t="str">
        <f>Tab_Data_Flows[[#This Row],[UoM_Flow_Py]]</f>
        <v>Mg</v>
      </c>
    </row>
    <row r="44" spans="1:37" hidden="1"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71970.613260080339</v>
      </c>
      <c r="P44" s="51"/>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71970.613260080339</v>
      </c>
      <c r="AB44" s="51" t="s">
        <v>63</v>
      </c>
      <c r="AC44" s="111">
        <f>INDEX(Tab_Def_Flows[[Flow_ID]:[CC_DM_source]],MATCH(Tab_Data_Flows[[#This Row],[Name(EN)]],Tab_Def_Flows[Name(EN)],0),16)</f>
        <v>0.93799999999999994</v>
      </c>
      <c r="AD44" s="112">
        <f>IF(J44="Yes",AA44*Tab_Data_Flows[[#This Row],[WC_'[%']]],"N.A.")</f>
        <v>67508.43523795536</v>
      </c>
      <c r="AE44" s="61" t="str">
        <f>Tab_Data_Flows[[#This Row],[UoM_Flow_Py]]</f>
        <v>Mg</v>
      </c>
      <c r="AF44" s="111">
        <f>INDEX(Tab_Def_Flows[[Flow_ID]:[CC_DM_source]],MATCH(Tab_Data_Flows[[#This Row],[Name(EN)]],Tab_Def_Flows[Name(EN)],0),18)</f>
        <v>6.2E-2</v>
      </c>
      <c r="AG44" s="112">
        <f>IF(K44="Yes",AF44*Tab_Data_Flows[[#This Row],[Flow_Py]],"N.A.")</f>
        <v>4462.178022124981</v>
      </c>
      <c r="AH44" s="61" t="str">
        <f>Tab_Data_Flows[[#This Row],[UoM_Flow_Py]]</f>
        <v>Mg</v>
      </c>
      <c r="AI44" s="111">
        <f>INDEX(Tab_Def_Flows[[Flow_ID]:[CC_DM_source]],MATCH(Tab_Data_Flows[[#This Row],[Name(EN)]],Tab_Def_Flows[Name(EN)],0),20)</f>
        <v>0.49</v>
      </c>
      <c r="AJ44" s="112">
        <f>IF(L44="Yes",AI44*Tab_Data_Flows[[#This Row],[Flow_Py]]*Tab_Data_Flows[[#This Row],[DM_'[%']]],"N.A.")</f>
        <v>2186.4672308412405</v>
      </c>
      <c r="AK44" s="61" t="str">
        <f>Tab_Data_Flows[[#This Row],[UoM_Flow_Py]]</f>
        <v>Mg</v>
      </c>
    </row>
    <row r="45" spans="1:37" hidden="1"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73410.025525281948</v>
      </c>
      <c r="P45" s="51"/>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73410.025525281948</v>
      </c>
      <c r="AB45" s="51" t="s">
        <v>63</v>
      </c>
      <c r="AC45" s="111">
        <f>INDEX(Tab_Def_Flows[[Flow_ID]:[CC_DM_source]],MATCH(Tab_Data_Flows[[#This Row],[Name(EN)]],Tab_Def_Flows[Name(EN)],0),16)</f>
        <v>0.93799999999999994</v>
      </c>
      <c r="AD45" s="112">
        <f>IF(J45="Yes",AA45*Tab_Data_Flows[[#This Row],[WC_'[%']]],"N.A.")</f>
        <v>68858.603942714457</v>
      </c>
      <c r="AE45" s="61" t="str">
        <f>Tab_Data_Flows[[#This Row],[UoM_Flow_Py]]</f>
        <v>Mg</v>
      </c>
      <c r="AF45" s="111">
        <f>INDEX(Tab_Def_Flows[[Flow_ID]:[CC_DM_source]],MATCH(Tab_Data_Flows[[#This Row],[Name(EN)]],Tab_Def_Flows[Name(EN)],0),18)</f>
        <v>6.2E-2</v>
      </c>
      <c r="AG45" s="112">
        <f>IF(K45="Yes",AF45*Tab_Data_Flows[[#This Row],[Flow_Py]],"N.A.")</f>
        <v>4551.421582567481</v>
      </c>
      <c r="AH45" s="61" t="str">
        <f>Tab_Data_Flows[[#This Row],[UoM_Flow_Py]]</f>
        <v>Mg</v>
      </c>
      <c r="AI45" s="111">
        <f>INDEX(Tab_Def_Flows[[Flow_ID]:[CC_DM_source]],MATCH(Tab_Data_Flows[[#This Row],[Name(EN)]],Tab_Def_Flows[Name(EN)],0),20)</f>
        <v>0.49</v>
      </c>
      <c r="AJ45" s="112">
        <f>IF(L45="Yes",AI45*Tab_Data_Flows[[#This Row],[Flow_Py]]*Tab_Data_Flows[[#This Row],[DM_'[%']]],"N.A.")</f>
        <v>2230.1965754580656</v>
      </c>
      <c r="AK45" s="61" t="str">
        <f>Tab_Data_Flows[[#This Row],[UoM_Flow_Py]]</f>
        <v>Mg</v>
      </c>
    </row>
    <row r="46" spans="1:37" hidden="1"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74878.226035787593</v>
      </c>
      <c r="P46" s="51"/>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74878.226035787593</v>
      </c>
      <c r="AB46" s="51" t="s">
        <v>63</v>
      </c>
      <c r="AC46" s="111">
        <f>INDEX(Tab_Def_Flows[[Flow_ID]:[CC_DM_source]],MATCH(Tab_Data_Flows[[#This Row],[Name(EN)]],Tab_Def_Flows[Name(EN)],0),16)</f>
        <v>0.93799999999999994</v>
      </c>
      <c r="AD46" s="112">
        <f>IF(J46="Yes",AA46*Tab_Data_Flows[[#This Row],[WC_'[%']]],"N.A.")</f>
        <v>70235.776021568759</v>
      </c>
      <c r="AE46" s="61" t="str">
        <f>Tab_Data_Flows[[#This Row],[UoM_Flow_Py]]</f>
        <v>Mg</v>
      </c>
      <c r="AF46" s="111">
        <f>INDEX(Tab_Def_Flows[[Flow_ID]:[CC_DM_source]],MATCH(Tab_Data_Flows[[#This Row],[Name(EN)]],Tab_Def_Flows[Name(EN)],0),18)</f>
        <v>6.2E-2</v>
      </c>
      <c r="AG46" s="112">
        <f>IF(K46="Yes",AF46*Tab_Data_Flows[[#This Row],[Flow_Py]],"N.A.")</f>
        <v>4642.4500142188308</v>
      </c>
      <c r="AH46" s="61" t="str">
        <f>Tab_Data_Flows[[#This Row],[UoM_Flow_Py]]</f>
        <v>Mg</v>
      </c>
      <c r="AI46" s="111">
        <f>INDEX(Tab_Def_Flows[[Flow_ID]:[CC_DM_source]],MATCH(Tab_Data_Flows[[#This Row],[Name(EN)]],Tab_Def_Flows[Name(EN)],0),20)</f>
        <v>0.49</v>
      </c>
      <c r="AJ46" s="112">
        <f>IF(L46="Yes",AI46*Tab_Data_Flows[[#This Row],[Flow_Py]]*Tab_Data_Flows[[#This Row],[DM_'[%']]],"N.A.")</f>
        <v>2274.8005069672272</v>
      </c>
      <c r="AK46" s="61" t="str">
        <f>Tab_Data_Flows[[#This Row],[UoM_Flow_Py]]</f>
        <v>Mg</v>
      </c>
    </row>
    <row r="47" spans="1:37" hidden="1"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76375.790556503343</v>
      </c>
      <c r="P47" s="51"/>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76375.790556503343</v>
      </c>
      <c r="AB47" s="51" t="s">
        <v>63</v>
      </c>
      <c r="AC47" s="111">
        <f>INDEX(Tab_Def_Flows[[Flow_ID]:[CC_DM_source]],MATCH(Tab_Data_Flows[[#This Row],[Name(EN)]],Tab_Def_Flows[Name(EN)],0),16)</f>
        <v>0.93799999999999994</v>
      </c>
      <c r="AD47" s="112">
        <f>IF(J47="Yes",AA47*Tab_Data_Flows[[#This Row],[WC_'[%']]],"N.A.")</f>
        <v>71640.491542000134</v>
      </c>
      <c r="AE47" s="61" t="str">
        <f>Tab_Data_Flows[[#This Row],[UoM_Flow_Py]]</f>
        <v>Mg</v>
      </c>
      <c r="AF47" s="111">
        <f>INDEX(Tab_Def_Flows[[Flow_ID]:[CC_DM_source]],MATCH(Tab_Data_Flows[[#This Row],[Name(EN)]],Tab_Def_Flows[Name(EN)],0),18)</f>
        <v>6.2E-2</v>
      </c>
      <c r="AG47" s="112">
        <f>IF(K47="Yes",AF47*Tab_Data_Flows[[#This Row],[Flow_Py]],"N.A.")</f>
        <v>4735.2990145032072</v>
      </c>
      <c r="AH47" s="61" t="str">
        <f>Tab_Data_Flows[[#This Row],[UoM_Flow_Py]]</f>
        <v>Mg</v>
      </c>
      <c r="AI47" s="111">
        <f>INDEX(Tab_Def_Flows[[Flow_ID]:[CC_DM_source]],MATCH(Tab_Data_Flows[[#This Row],[Name(EN)]],Tab_Def_Flows[Name(EN)],0),20)</f>
        <v>0.49</v>
      </c>
      <c r="AJ47" s="112">
        <f>IF(L47="Yes",AI47*Tab_Data_Flows[[#This Row],[Flow_Py]]*Tab_Data_Flows[[#This Row],[DM_'[%']]],"N.A.")</f>
        <v>2320.2965171065716</v>
      </c>
      <c r="AK47" s="61" t="str">
        <f>Tab_Data_Flows[[#This Row],[UoM_Flow_Py]]</f>
        <v>Mg</v>
      </c>
    </row>
    <row r="48" spans="1:37" hidden="1"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77903.306367633413</v>
      </c>
      <c r="P48" s="51"/>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77903.306367633413</v>
      </c>
      <c r="AB48" s="51" t="s">
        <v>63</v>
      </c>
      <c r="AC48" s="111">
        <f>INDEX(Tab_Def_Flows[[Flow_ID]:[CC_DM_source]],MATCH(Tab_Data_Flows[[#This Row],[Name(EN)]],Tab_Def_Flows[Name(EN)],0),16)</f>
        <v>0.93799999999999994</v>
      </c>
      <c r="AD48" s="112">
        <f>IF(J48="Yes",AA48*Tab_Data_Flows[[#This Row],[WC_'[%']]],"N.A.")</f>
        <v>73073.301372840142</v>
      </c>
      <c r="AE48" s="61" t="str">
        <f>Tab_Data_Flows[[#This Row],[UoM_Flow_Py]]</f>
        <v>Mg</v>
      </c>
      <c r="AF48" s="111">
        <f>INDEX(Tab_Def_Flows[[Flow_ID]:[CC_DM_source]],MATCH(Tab_Data_Flows[[#This Row],[Name(EN)]],Tab_Def_Flows[Name(EN)],0),18)</f>
        <v>6.2E-2</v>
      </c>
      <c r="AG48" s="112">
        <f>IF(K48="Yes",AF48*Tab_Data_Flows[[#This Row],[Flow_Py]],"N.A.")</f>
        <v>4830.0049947932712</v>
      </c>
      <c r="AH48" s="61" t="str">
        <f>Tab_Data_Flows[[#This Row],[UoM_Flow_Py]]</f>
        <v>Mg</v>
      </c>
      <c r="AI48" s="111">
        <f>INDEX(Tab_Def_Flows[[Flow_ID]:[CC_DM_source]],MATCH(Tab_Data_Flows[[#This Row],[Name(EN)]],Tab_Def_Flows[Name(EN)],0),20)</f>
        <v>0.49</v>
      </c>
      <c r="AJ48" s="112">
        <f>IF(L48="Yes",AI48*Tab_Data_Flows[[#This Row],[Flow_Py]]*Tab_Data_Flows[[#This Row],[DM_'[%']]],"N.A.")</f>
        <v>2366.7024474487034</v>
      </c>
      <c r="AK48" s="61" t="str">
        <f>Tab_Data_Flows[[#This Row],[UoM_Flow_Py]]</f>
        <v>Mg</v>
      </c>
    </row>
    <row r="49" spans="1:37" hidden="1"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79461.372494986077</v>
      </c>
      <c r="P49" s="51"/>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79461.372494986077</v>
      </c>
      <c r="AB49" s="51" t="s">
        <v>63</v>
      </c>
      <c r="AC49" s="111">
        <f>INDEX(Tab_Def_Flows[[Flow_ID]:[CC_DM_source]],MATCH(Tab_Data_Flows[[#This Row],[Name(EN)]],Tab_Def_Flows[Name(EN)],0),16)</f>
        <v>0.93799999999999994</v>
      </c>
      <c r="AD49" s="112">
        <f>IF(J49="Yes",AA49*Tab_Data_Flows[[#This Row],[WC_'[%']]],"N.A.")</f>
        <v>74534.767400296929</v>
      </c>
      <c r="AE49" s="61" t="str">
        <f>Tab_Data_Flows[[#This Row],[UoM_Flow_Py]]</f>
        <v>Mg</v>
      </c>
      <c r="AF49" s="111">
        <f>INDEX(Tab_Def_Flows[[Flow_ID]:[CC_DM_source]],MATCH(Tab_Data_Flows[[#This Row],[Name(EN)]],Tab_Def_Flows[Name(EN)],0),18)</f>
        <v>6.2E-2</v>
      </c>
      <c r="AG49" s="112">
        <f>IF(K49="Yes",AF49*Tab_Data_Flows[[#This Row],[Flow_Py]],"N.A.")</f>
        <v>4926.6050946891364</v>
      </c>
      <c r="AH49" s="61" t="str">
        <f>Tab_Data_Flows[[#This Row],[UoM_Flow_Py]]</f>
        <v>Mg</v>
      </c>
      <c r="AI49" s="111">
        <f>INDEX(Tab_Def_Flows[[Flow_ID]:[CC_DM_source]],MATCH(Tab_Data_Flows[[#This Row],[Name(EN)]],Tab_Def_Flows[Name(EN)],0),20)</f>
        <v>0.49</v>
      </c>
      <c r="AJ49" s="112">
        <f>IF(L49="Yes",AI49*Tab_Data_Flows[[#This Row],[Flow_Py]]*Tab_Data_Flows[[#This Row],[DM_'[%']]],"N.A.")</f>
        <v>2414.0364963976767</v>
      </c>
      <c r="AK49" s="61" t="str">
        <f>Tab_Data_Flows[[#This Row],[UoM_Flow_Py]]</f>
        <v>Mg</v>
      </c>
    </row>
    <row r="50" spans="1:37" hidden="1"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81050.599944885806</v>
      </c>
      <c r="P50" s="51"/>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81050.599944885806</v>
      </c>
      <c r="AB50" s="51" t="s">
        <v>63</v>
      </c>
      <c r="AC50" s="111">
        <f>INDEX(Tab_Def_Flows[[Flow_ID]:[CC_DM_source]],MATCH(Tab_Data_Flows[[#This Row],[Name(EN)]],Tab_Def_Flows[Name(EN)],0),16)</f>
        <v>0.93799999999999994</v>
      </c>
      <c r="AD50" s="112">
        <f>IF(J50="Yes",AA50*Tab_Data_Flows[[#This Row],[WC_'[%']]],"N.A.")</f>
        <v>76025.462748302874</v>
      </c>
      <c r="AE50" s="61" t="str">
        <f>Tab_Data_Flows[[#This Row],[UoM_Flow_Py]]</f>
        <v>Mg</v>
      </c>
      <c r="AF50" s="111">
        <f>INDEX(Tab_Def_Flows[[Flow_ID]:[CC_DM_source]],MATCH(Tab_Data_Flows[[#This Row],[Name(EN)]],Tab_Def_Flows[Name(EN)],0),18)</f>
        <v>6.2E-2</v>
      </c>
      <c r="AG50" s="112">
        <f>IF(K50="Yes",AF50*Tab_Data_Flows[[#This Row],[Flow_Py]],"N.A.")</f>
        <v>5025.1371965829203</v>
      </c>
      <c r="AH50" s="61" t="str">
        <f>Tab_Data_Flows[[#This Row],[UoM_Flow_Py]]</f>
        <v>Mg</v>
      </c>
      <c r="AI50" s="111">
        <f>INDEX(Tab_Def_Flows[[Flow_ID]:[CC_DM_source]],MATCH(Tab_Data_Flows[[#This Row],[Name(EN)]],Tab_Def_Flows[Name(EN)],0),20)</f>
        <v>0.49</v>
      </c>
      <c r="AJ50" s="112">
        <f>IF(L50="Yes",AI50*Tab_Data_Flows[[#This Row],[Flow_Py]]*Tab_Data_Flows[[#This Row],[DM_'[%']]],"N.A.")</f>
        <v>2462.3172263256306</v>
      </c>
      <c r="AK50" s="61" t="str">
        <f>Tab_Data_Flows[[#This Row],[UoM_Flow_Py]]</f>
        <v>Mg</v>
      </c>
    </row>
    <row r="51" spans="1:37" hidden="1"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82671.61194378353</v>
      </c>
      <c r="P51" s="51"/>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82671.61194378353</v>
      </c>
      <c r="AB51" s="51" t="s">
        <v>63</v>
      </c>
      <c r="AC51" s="111">
        <f>INDEX(Tab_Def_Flows[[Flow_ID]:[CC_DM_source]],MATCH(Tab_Data_Flows[[#This Row],[Name(EN)]],Tab_Def_Flows[Name(EN)],0),16)</f>
        <v>0.93799999999999994</v>
      </c>
      <c r="AD51" s="112">
        <f>IF(J51="Yes",AA51*Tab_Data_Flows[[#This Row],[WC_'[%']]],"N.A.")</f>
        <v>77545.972003268951</v>
      </c>
      <c r="AE51" s="61" t="str">
        <f>Tab_Data_Flows[[#This Row],[UoM_Flow_Py]]</f>
        <v>Mg</v>
      </c>
      <c r="AF51" s="111">
        <f>INDEX(Tab_Def_Flows[[Flow_ID]:[CC_DM_source]],MATCH(Tab_Data_Flows[[#This Row],[Name(EN)]],Tab_Def_Flows[Name(EN)],0),18)</f>
        <v>6.2E-2</v>
      </c>
      <c r="AG51" s="112">
        <f>IF(K51="Yes",AF51*Tab_Data_Flows[[#This Row],[Flow_Py]],"N.A.")</f>
        <v>5125.6399405145785</v>
      </c>
      <c r="AH51" s="61" t="str">
        <f>Tab_Data_Flows[[#This Row],[UoM_Flow_Py]]</f>
        <v>Mg</v>
      </c>
      <c r="AI51" s="111">
        <f>INDEX(Tab_Def_Flows[[Flow_ID]:[CC_DM_source]],MATCH(Tab_Data_Flows[[#This Row],[Name(EN)]],Tab_Def_Flows[Name(EN)],0),20)</f>
        <v>0.49</v>
      </c>
      <c r="AJ51" s="112">
        <f>IF(L51="Yes",AI51*Tab_Data_Flows[[#This Row],[Flow_Py]]*Tab_Data_Flows[[#This Row],[DM_'[%']]],"N.A.")</f>
        <v>2511.5635708521436</v>
      </c>
      <c r="AK51" s="61" t="str">
        <f>Tab_Data_Flows[[#This Row],[UoM_Flow_Py]]</f>
        <v>Mg</v>
      </c>
    </row>
    <row r="52" spans="1:37" hidden="1"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84325.0441826592</v>
      </c>
      <c r="P52" s="51"/>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84325.0441826592</v>
      </c>
      <c r="AB52" s="51" t="s">
        <v>63</v>
      </c>
      <c r="AC52" s="111">
        <f>INDEX(Tab_Def_Flows[[Flow_ID]:[CC_DM_source]],MATCH(Tab_Data_Flows[[#This Row],[Name(EN)]],Tab_Def_Flows[Name(EN)],0),16)</f>
        <v>0.93799999999999994</v>
      </c>
      <c r="AD52" s="112">
        <f>IF(J52="Yes",AA52*Tab_Data_Flows[[#This Row],[WC_'[%']]],"N.A.")</f>
        <v>79096.891443334331</v>
      </c>
      <c r="AE52" s="61" t="str">
        <f>Tab_Data_Flows[[#This Row],[UoM_Flow_Py]]</f>
        <v>Mg</v>
      </c>
      <c r="AF52" s="111">
        <f>INDEX(Tab_Def_Flows[[Flow_ID]:[CC_DM_source]],MATCH(Tab_Data_Flows[[#This Row],[Name(EN)]],Tab_Def_Flows[Name(EN)],0),18)</f>
        <v>6.2E-2</v>
      </c>
      <c r="AG52" s="112">
        <f>IF(K52="Yes",AF52*Tab_Data_Flows[[#This Row],[Flow_Py]],"N.A.")</f>
        <v>5228.1527393248707</v>
      </c>
      <c r="AH52" s="61" t="str">
        <f>Tab_Data_Flows[[#This Row],[UoM_Flow_Py]]</f>
        <v>Mg</v>
      </c>
      <c r="AI52" s="111">
        <f>INDEX(Tab_Def_Flows[[Flow_ID]:[CC_DM_source]],MATCH(Tab_Data_Flows[[#This Row],[Name(EN)]],Tab_Def_Flows[Name(EN)],0),20)</f>
        <v>0.49</v>
      </c>
      <c r="AJ52" s="112">
        <f>IF(L52="Yes",AI52*Tab_Data_Flows[[#This Row],[Flow_Py]]*Tab_Data_Flows[[#This Row],[DM_'[%']]],"N.A.")</f>
        <v>2561.7948422691861</v>
      </c>
      <c r="AK52" s="61" t="str">
        <f>Tab_Data_Flows[[#This Row],[UoM_Flow_Py]]</f>
        <v>Mg</v>
      </c>
    </row>
    <row r="53" spans="1:37" hidden="1"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86011.545066312392</v>
      </c>
      <c r="P53" s="51"/>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86011.545066312392</v>
      </c>
      <c r="AB53" s="51" t="s">
        <v>63</v>
      </c>
      <c r="AC53" s="111">
        <f>INDEX(Tab_Def_Flows[[Flow_ID]:[CC_DM_source]],MATCH(Tab_Data_Flows[[#This Row],[Name(EN)]],Tab_Def_Flows[Name(EN)],0),16)</f>
        <v>0.93799999999999994</v>
      </c>
      <c r="AD53" s="112">
        <f>IF(J53="Yes",AA53*Tab_Data_Flows[[#This Row],[WC_'[%']]],"N.A.")</f>
        <v>80678.829272201023</v>
      </c>
      <c r="AE53" s="61" t="str">
        <f>Tab_Data_Flows[[#This Row],[UoM_Flow_Py]]</f>
        <v>Mg</v>
      </c>
      <c r="AF53" s="111">
        <f>INDEX(Tab_Def_Flows[[Flow_ID]:[CC_DM_source]],MATCH(Tab_Data_Flows[[#This Row],[Name(EN)]],Tab_Def_Flows[Name(EN)],0),18)</f>
        <v>6.2E-2</v>
      </c>
      <c r="AG53" s="112">
        <f>IF(K53="Yes",AF53*Tab_Data_Flows[[#This Row],[Flow_Py]],"N.A.")</f>
        <v>5332.7157941113683</v>
      </c>
      <c r="AH53" s="61" t="str">
        <f>Tab_Data_Flows[[#This Row],[UoM_Flow_Py]]</f>
        <v>Mg</v>
      </c>
      <c r="AI53" s="111">
        <f>INDEX(Tab_Def_Flows[[Flow_ID]:[CC_DM_source]],MATCH(Tab_Data_Flows[[#This Row],[Name(EN)]],Tab_Def_Flows[Name(EN)],0),20)</f>
        <v>0.49</v>
      </c>
      <c r="AJ53" s="112">
        <f>IF(L53="Yes",AI53*Tab_Data_Flows[[#This Row],[Flow_Py]]*Tab_Data_Flows[[#This Row],[DM_'[%']]],"N.A.")</f>
        <v>2613.0307391145702</v>
      </c>
      <c r="AK53" s="61" t="str">
        <f>Tab_Data_Flows[[#This Row],[UoM_Flow_Py]]</f>
        <v>Mg</v>
      </c>
    </row>
    <row r="54" spans="1:37" hidden="1"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87731.775967638649</v>
      </c>
      <c r="P54" s="51"/>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87731.775967638649</v>
      </c>
      <c r="AB54" s="51" t="s">
        <v>63</v>
      </c>
      <c r="AC54" s="111">
        <f>INDEX(Tab_Def_Flows[[Flow_ID]:[CC_DM_source]],MATCH(Tab_Data_Flows[[#This Row],[Name(EN)]],Tab_Def_Flows[Name(EN)],0),16)</f>
        <v>0.93799999999999994</v>
      </c>
      <c r="AD54" s="112">
        <f>IF(J54="Yes",AA54*Tab_Data_Flows[[#This Row],[WC_'[%']]],"N.A.")</f>
        <v>82292.405857645048</v>
      </c>
      <c r="AE54" s="61" t="str">
        <f>Tab_Data_Flows[[#This Row],[UoM_Flow_Py]]</f>
        <v>Mg</v>
      </c>
      <c r="AF54" s="111">
        <f>INDEX(Tab_Def_Flows[[Flow_ID]:[CC_DM_source]],MATCH(Tab_Data_Flows[[#This Row],[Name(EN)]],Tab_Def_Flows[Name(EN)],0),18)</f>
        <v>6.2E-2</v>
      </c>
      <c r="AG54" s="112">
        <f>IF(K54="Yes",AF54*Tab_Data_Flows[[#This Row],[Flow_Py]],"N.A.")</f>
        <v>5439.3701099935961</v>
      </c>
      <c r="AH54" s="61" t="str">
        <f>Tab_Data_Flows[[#This Row],[UoM_Flow_Py]]</f>
        <v>Mg</v>
      </c>
      <c r="AI54" s="111">
        <f>INDEX(Tab_Def_Flows[[Flow_ID]:[CC_DM_source]],MATCH(Tab_Data_Flows[[#This Row],[Name(EN)]],Tab_Def_Flows[Name(EN)],0),20)</f>
        <v>0.49</v>
      </c>
      <c r="AJ54" s="112">
        <f>IF(L54="Yes",AI54*Tab_Data_Flows[[#This Row],[Flow_Py]]*Tab_Data_Flows[[#This Row],[DM_'[%']]],"N.A.")</f>
        <v>2665.2913538968623</v>
      </c>
      <c r="AK54" s="61" t="str">
        <f>Tab_Data_Flows[[#This Row],[UoM_Flow_Py]]</f>
        <v>Mg</v>
      </c>
    </row>
    <row r="55" spans="1:37" hidden="1"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89486.411486991419</v>
      </c>
      <c r="P55" s="51"/>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89486.411486991419</v>
      </c>
      <c r="AB55" s="51" t="s">
        <v>63</v>
      </c>
      <c r="AC55" s="111">
        <f>INDEX(Tab_Def_Flows[[Flow_ID]:[CC_DM_source]],MATCH(Tab_Data_Flows[[#This Row],[Name(EN)]],Tab_Def_Flows[Name(EN)],0),16)</f>
        <v>0.93799999999999994</v>
      </c>
      <c r="AD55" s="112">
        <f>IF(J55="Yes",AA55*Tab_Data_Flows[[#This Row],[WC_'[%']]],"N.A.")</f>
        <v>83938.253974797946</v>
      </c>
      <c r="AE55" s="61" t="str">
        <f>Tab_Data_Flows[[#This Row],[UoM_Flow_Py]]</f>
        <v>Mg</v>
      </c>
      <c r="AF55" s="111">
        <f>INDEX(Tab_Def_Flows[[Flow_ID]:[CC_DM_source]],MATCH(Tab_Data_Flows[[#This Row],[Name(EN)]],Tab_Def_Flows[Name(EN)],0),18)</f>
        <v>6.2E-2</v>
      </c>
      <c r="AG55" s="112">
        <f>IF(K55="Yes",AF55*Tab_Data_Flows[[#This Row],[Flow_Py]],"N.A.")</f>
        <v>5548.1575121934684</v>
      </c>
      <c r="AH55" s="61" t="str">
        <f>Tab_Data_Flows[[#This Row],[UoM_Flow_Py]]</f>
        <v>Mg</v>
      </c>
      <c r="AI55" s="111">
        <f>INDEX(Tab_Def_Flows[[Flow_ID]:[CC_DM_source]],MATCH(Tab_Data_Flows[[#This Row],[Name(EN)]],Tab_Def_Flows[Name(EN)],0),20)</f>
        <v>0.49</v>
      </c>
      <c r="AJ55" s="112">
        <f>IF(L55="Yes",AI55*Tab_Data_Flows[[#This Row],[Flow_Py]]*Tab_Data_Flows[[#This Row],[DM_'[%']]],"N.A.")</f>
        <v>2718.5971809747989</v>
      </c>
      <c r="AK55" s="61" t="str">
        <f>Tab_Data_Flows[[#This Row],[UoM_Flow_Py]]</f>
        <v>Mg</v>
      </c>
    </row>
    <row r="56" spans="1:37" hidden="1"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91276.139716731253</v>
      </c>
      <c r="P56" s="51"/>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91276.139716731253</v>
      </c>
      <c r="AB56" s="51" t="s">
        <v>63</v>
      </c>
      <c r="AC56" s="111">
        <f>INDEX(Tab_Def_Flows[[Flow_ID]:[CC_DM_source]],MATCH(Tab_Data_Flows[[#This Row],[Name(EN)]],Tab_Def_Flows[Name(EN)],0),16)</f>
        <v>0.93799999999999994</v>
      </c>
      <c r="AD56" s="112">
        <f>IF(J56="Yes",AA56*Tab_Data_Flows[[#This Row],[WC_'[%']]],"N.A.")</f>
        <v>85617.019054293909</v>
      </c>
      <c r="AE56" s="61" t="str">
        <f>Tab_Data_Flows[[#This Row],[UoM_Flow_Py]]</f>
        <v>Mg</v>
      </c>
      <c r="AF56" s="111">
        <f>INDEX(Tab_Def_Flows[[Flow_ID]:[CC_DM_source]],MATCH(Tab_Data_Flows[[#This Row],[Name(EN)]],Tab_Def_Flows[Name(EN)],0),18)</f>
        <v>6.2E-2</v>
      </c>
      <c r="AG56" s="112">
        <f>IF(K56="Yes",AF56*Tab_Data_Flows[[#This Row],[Flow_Py]],"N.A.")</f>
        <v>5659.1206624373381</v>
      </c>
      <c r="AH56" s="61" t="str">
        <f>Tab_Data_Flows[[#This Row],[UoM_Flow_Py]]</f>
        <v>Mg</v>
      </c>
      <c r="AI56" s="111">
        <f>INDEX(Tab_Def_Flows[[Flow_ID]:[CC_DM_source]],MATCH(Tab_Data_Flows[[#This Row],[Name(EN)]],Tab_Def_Flows[Name(EN)],0),20)</f>
        <v>0.49</v>
      </c>
      <c r="AJ56" s="112">
        <f>IF(L56="Yes",AI56*Tab_Data_Flows[[#This Row],[Flow_Py]]*Tab_Data_Flows[[#This Row],[DM_'[%']]],"N.A.")</f>
        <v>2772.9691245942954</v>
      </c>
      <c r="AK56" s="61" t="str">
        <f>Tab_Data_Flows[[#This Row],[UoM_Flow_Py]]</f>
        <v>Mg</v>
      </c>
    </row>
    <row r="57" spans="1:37" hidden="1"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93101.662511065879</v>
      </c>
      <c r="P57" s="51"/>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93101.662511065879</v>
      </c>
      <c r="AB57" s="51" t="s">
        <v>63</v>
      </c>
      <c r="AC57" s="111">
        <f>INDEX(Tab_Def_Flows[[Flow_ID]:[CC_DM_source]],MATCH(Tab_Data_Flows[[#This Row],[Name(EN)]],Tab_Def_Flows[Name(EN)],0),16)</f>
        <v>0.93799999999999994</v>
      </c>
      <c r="AD57" s="112">
        <f>IF(J57="Yes",AA57*Tab_Data_Flows[[#This Row],[WC_'[%']]],"N.A.")</f>
        <v>87329.359435379796</v>
      </c>
      <c r="AE57" s="61" t="str">
        <f>Tab_Data_Flows[[#This Row],[UoM_Flow_Py]]</f>
        <v>Mg</v>
      </c>
      <c r="AF57" s="111">
        <f>INDEX(Tab_Def_Flows[[Flow_ID]:[CC_DM_source]],MATCH(Tab_Data_Flows[[#This Row],[Name(EN)]],Tab_Def_Flows[Name(EN)],0),18)</f>
        <v>6.2E-2</v>
      </c>
      <c r="AG57" s="112">
        <f>IF(K57="Yes",AF57*Tab_Data_Flows[[#This Row],[Flow_Py]],"N.A.")</f>
        <v>5772.3030756860844</v>
      </c>
      <c r="AH57" s="61" t="str">
        <f>Tab_Data_Flows[[#This Row],[UoM_Flow_Py]]</f>
        <v>Mg</v>
      </c>
      <c r="AI57" s="111">
        <f>INDEX(Tab_Def_Flows[[Flow_ID]:[CC_DM_source]],MATCH(Tab_Data_Flows[[#This Row],[Name(EN)]],Tab_Def_Flows[Name(EN)],0),20)</f>
        <v>0.49</v>
      </c>
      <c r="AJ57" s="112">
        <f>IF(L57="Yes",AI57*Tab_Data_Flows[[#This Row],[Flow_Py]]*Tab_Data_Flows[[#This Row],[DM_'[%']]],"N.A.")</f>
        <v>2828.4285070861815</v>
      </c>
      <c r="AK57" s="61" t="str">
        <f>Tab_Data_Flows[[#This Row],[UoM_Flow_Py]]</f>
        <v>Mg</v>
      </c>
    </row>
    <row r="58" spans="1:37" hidden="1"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94963.695761287192</v>
      </c>
      <c r="P58" s="51"/>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94963.695761287192</v>
      </c>
      <c r="AB58" s="51" t="s">
        <v>63</v>
      </c>
      <c r="AC58" s="111">
        <f>INDEX(Tab_Def_Flows[[Flow_ID]:[CC_DM_source]],MATCH(Tab_Data_Flows[[#This Row],[Name(EN)]],Tab_Def_Flows[Name(EN)],0),16)</f>
        <v>0.93799999999999994</v>
      </c>
      <c r="AD58" s="112">
        <f>IF(J58="Yes",AA58*Tab_Data_Flows[[#This Row],[WC_'[%']]],"N.A.")</f>
        <v>89075.946624087388</v>
      </c>
      <c r="AE58" s="61" t="str">
        <f>Tab_Data_Flows[[#This Row],[UoM_Flow_Py]]</f>
        <v>Mg</v>
      </c>
      <c r="AF58" s="111">
        <f>INDEX(Tab_Def_Flows[[Flow_ID]:[CC_DM_source]],MATCH(Tab_Data_Flows[[#This Row],[Name(EN)]],Tab_Def_Flows[Name(EN)],0),18)</f>
        <v>6.2E-2</v>
      </c>
      <c r="AG58" s="112">
        <f>IF(K58="Yes",AF58*Tab_Data_Flows[[#This Row],[Flow_Py]],"N.A.")</f>
        <v>5887.7491371998058</v>
      </c>
      <c r="AH58" s="61" t="str">
        <f>Tab_Data_Flows[[#This Row],[UoM_Flow_Py]]</f>
        <v>Mg</v>
      </c>
      <c r="AI58" s="111">
        <f>INDEX(Tab_Def_Flows[[Flow_ID]:[CC_DM_source]],MATCH(Tab_Data_Flows[[#This Row],[Name(EN)]],Tab_Def_Flows[Name(EN)],0),20)</f>
        <v>0.49</v>
      </c>
      <c r="AJ58" s="112">
        <f>IF(L58="Yes",AI58*Tab_Data_Flows[[#This Row],[Flow_Py]]*Tab_Data_Flows[[#This Row],[DM_'[%']]],"N.A.")</f>
        <v>2884.9970772279048</v>
      </c>
      <c r="AK58" s="61" t="str">
        <f>Tab_Data_Flows[[#This Row],[UoM_Flow_Py]]</f>
        <v>Mg</v>
      </c>
    </row>
    <row r="59" spans="1:37" ht="15.75" hidden="1"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96862.969676512934</v>
      </c>
      <c r="P59" s="51"/>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96862.969676512934</v>
      </c>
      <c r="AB59" s="51" t="s">
        <v>63</v>
      </c>
      <c r="AC59" s="111">
        <f>INDEX(Tab_Def_Flows[[Flow_ID]:[CC_DM_source]],MATCH(Tab_Data_Flows[[#This Row],[Name(EN)]],Tab_Def_Flows[Name(EN)],0),16)</f>
        <v>0.93799999999999994</v>
      </c>
      <c r="AD59" s="112">
        <f>IF(J59="Yes",AA59*Tab_Data_Flows[[#This Row],[WC_'[%']]],"N.A.")</f>
        <v>90857.465556569121</v>
      </c>
      <c r="AE59" s="61" t="str">
        <f>Tab_Data_Flows[[#This Row],[UoM_Flow_Py]]</f>
        <v>Mg</v>
      </c>
      <c r="AF59" s="111">
        <f>INDEX(Tab_Def_Flows[[Flow_ID]:[CC_DM_source]],MATCH(Tab_Data_Flows[[#This Row],[Name(EN)]],Tab_Def_Flows[Name(EN)],0),18)</f>
        <v>6.2E-2</v>
      </c>
      <c r="AG59" s="112">
        <f>IF(K59="Yes",AF59*Tab_Data_Flows[[#This Row],[Flow_Py]],"N.A.")</f>
        <v>6005.5041199438019</v>
      </c>
      <c r="AH59" s="61" t="str">
        <f>Tab_Data_Flows[[#This Row],[UoM_Flow_Py]]</f>
        <v>Mg</v>
      </c>
      <c r="AI59" s="111">
        <f>INDEX(Tab_Def_Flows[[Flow_ID]:[CC_DM_source]],MATCH(Tab_Data_Flows[[#This Row],[Name(EN)]],Tab_Def_Flows[Name(EN)],0),20)</f>
        <v>0.49</v>
      </c>
      <c r="AJ59" s="112">
        <f>IF(L59="Yes",AI59*Tab_Data_Flows[[#This Row],[Flow_Py]]*Tab_Data_Flows[[#This Row],[DM_'[%']]],"N.A.")</f>
        <v>2942.6970187724628</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2707.6004118000005</v>
      </c>
      <c r="P60" s="51" t="s">
        <v>389</v>
      </c>
      <c r="Q60" s="51"/>
      <c r="R60" s="51"/>
      <c r="S60" s="51"/>
      <c r="T60" s="51"/>
      <c r="U60" s="51"/>
      <c r="V60" s="51"/>
      <c r="W60" s="51"/>
      <c r="X60" s="51" t="s">
        <v>71</v>
      </c>
      <c r="Y60" s="106"/>
      <c r="Z60" s="51"/>
      <c r="AA60" s="86">
        <f>IF(X60="no",O60,O60*Y60)</f>
        <v>2707.6004118000005</v>
      </c>
      <c r="AB60" s="51" t="s">
        <v>63</v>
      </c>
      <c r="AC60" s="111">
        <f>INDEX(Tab_Def_Flows[[Flow_ID]:[CC_DM_source]],MATCH(Tab_Data_Flows[[#This Row],[Name(EN)]],Tab_Def_Flows[Name(EN)],0),16)</f>
        <v>8.8049999999999962E-2</v>
      </c>
      <c r="AD60" s="143">
        <f>IF(J60="Yes",AA60*Tab_Data_Flows[[#This Row],[WC_'[%']]],"N.A.")</f>
        <v>238.40421625898995</v>
      </c>
      <c r="AE60" s="61" t="str">
        <f>Tab_Data_Flows[[#This Row],[UoM_Flow_Py]]</f>
        <v>Mg</v>
      </c>
      <c r="AF60" s="111">
        <f>INDEX(Tab_Def_Flows[[Flow_ID]:[CC_DM_source]],MATCH(Tab_Data_Flows[[#This Row],[Name(EN)]],Tab_Def_Flows[Name(EN)],0),18)</f>
        <v>0.91195000000000004</v>
      </c>
      <c r="AG60" s="112">
        <f>IF(K60="Yes",AF60*Tab_Data_Flows[[#This Row],[Flow_Py]],"N.A.")</f>
        <v>2469.1961955410106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1140.7686423399471</v>
      </c>
      <c r="AK60" s="61" t="str">
        <f>Tab_Data_Flows[[#This Row],[UoM_Flow_Py]]</f>
        <v>Mg</v>
      </c>
    </row>
    <row r="61" spans="1:37" ht="15.75" hidden="1"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2761.7524200360008</v>
      </c>
      <c r="P61" s="51" t="s">
        <v>389</v>
      </c>
      <c r="Q61" s="51"/>
      <c r="R61" s="51"/>
      <c r="S61" s="51"/>
      <c r="T61" s="51"/>
      <c r="U61" s="51"/>
      <c r="V61" s="51"/>
      <c r="W61" s="51"/>
      <c r="X61" s="51" t="s">
        <v>71</v>
      </c>
      <c r="Y61" s="106"/>
      <c r="Z61" s="51"/>
      <c r="AA61" s="86">
        <f t="shared" si="1"/>
        <v>2761.7524200360008</v>
      </c>
      <c r="AB61" s="51" t="s">
        <v>63</v>
      </c>
      <c r="AC61" s="111">
        <f>INDEX(Tab_Def_Flows[[Flow_ID]:[CC_DM_source]],MATCH(Tab_Data_Flows[[#This Row],[Name(EN)]],Tab_Def_Flows[Name(EN)],0),16)</f>
        <v>8.8049999999999962E-2</v>
      </c>
      <c r="AD61" s="112">
        <f>IF(J61="Yes",AA61*Tab_Data_Flows[[#This Row],[WC_'[%']]],"N.A.")</f>
        <v>243.17230058416976</v>
      </c>
      <c r="AE61" s="61" t="str">
        <f>Tab_Data_Flows[[#This Row],[UoM_Flow_Py]]</f>
        <v>Mg</v>
      </c>
      <c r="AF61" s="111">
        <f>INDEX(Tab_Def_Flows[[Flow_ID]:[CC_DM_source]],MATCH(Tab_Data_Flows[[#This Row],[Name(EN)]],Tab_Def_Flows[Name(EN)],0),18)</f>
        <v>0.91195000000000004</v>
      </c>
      <c r="AG61" s="112">
        <f>IF(K61="Yes",AF61*Tab_Data_Flows[[#This Row],[Flow_Py]],"N.A.")</f>
        <v>2518.5801194518308</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1163.584015186746</v>
      </c>
      <c r="AK61" s="61" t="str">
        <f>Tab_Data_Flows[[#This Row],[UoM_Flow_Py]]</f>
        <v>Mg</v>
      </c>
    </row>
    <row r="62" spans="1:37" ht="15.75" hidden="1"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2816.987468436721</v>
      </c>
      <c r="P62" s="51" t="s">
        <v>389</v>
      </c>
      <c r="Q62" s="51"/>
      <c r="R62" s="51"/>
      <c r="S62" s="51"/>
      <c r="T62" s="51"/>
      <c r="U62" s="51"/>
      <c r="V62" s="51"/>
      <c r="W62" s="51"/>
      <c r="X62" s="51" t="s">
        <v>71</v>
      </c>
      <c r="Y62" s="106"/>
      <c r="Z62" s="51"/>
      <c r="AA62" s="86">
        <f t="shared" si="1"/>
        <v>2816.987468436721</v>
      </c>
      <c r="AB62" s="51" t="s">
        <v>63</v>
      </c>
      <c r="AC62" s="111">
        <f>INDEX(Tab_Def_Flows[[Flow_ID]:[CC_DM_source]],MATCH(Tab_Data_Flows[[#This Row],[Name(EN)]],Tab_Def_Flows[Name(EN)],0),16)</f>
        <v>8.8049999999999962E-2</v>
      </c>
      <c r="AD62" s="112">
        <f>IF(J62="Yes",AA62*Tab_Data_Flows[[#This Row],[WC_'[%']]],"N.A.")</f>
        <v>248.03574659585317</v>
      </c>
      <c r="AE62" s="61" t="str">
        <f>Tab_Data_Flows[[#This Row],[UoM_Flow_Py]]</f>
        <v>Mg</v>
      </c>
      <c r="AF62" s="111">
        <f>INDEX(Tab_Def_Flows[[Flow_ID]:[CC_DM_source]],MATCH(Tab_Data_Flows[[#This Row],[Name(EN)]],Tab_Def_Flows[Name(EN)],0),18)</f>
        <v>0.91195000000000004</v>
      </c>
      <c r="AG62" s="112">
        <f>IF(K62="Yes",AF62*Tab_Data_Flows[[#This Row],[Flow_Py]],"N.A.")</f>
        <v>2568.9517218408678</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1186.8556954904809</v>
      </c>
      <c r="AK62" s="61" t="str">
        <f>Tab_Data_Flows[[#This Row],[UoM_Flow_Py]]</f>
        <v>Mg</v>
      </c>
    </row>
    <row r="63" spans="1:37" ht="15.75" hidden="1"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2873.3272178054553</v>
      </c>
      <c r="P63" s="51" t="s">
        <v>389</v>
      </c>
      <c r="Q63" s="51"/>
      <c r="R63" s="51"/>
      <c r="S63" s="51"/>
      <c r="T63" s="51"/>
      <c r="U63" s="51"/>
      <c r="V63" s="51"/>
      <c r="W63" s="51"/>
      <c r="X63" s="51" t="s">
        <v>71</v>
      </c>
      <c r="Y63" s="106"/>
      <c r="Z63" s="51"/>
      <c r="AA63" s="86">
        <f t="shared" si="1"/>
        <v>2873.3272178054553</v>
      </c>
      <c r="AB63" s="51" t="s">
        <v>63</v>
      </c>
      <c r="AC63" s="111">
        <f>INDEX(Tab_Def_Flows[[Flow_ID]:[CC_DM_source]],MATCH(Tab_Data_Flows[[#This Row],[Name(EN)]],Tab_Def_Flows[Name(EN)],0),16)</f>
        <v>8.8049999999999962E-2</v>
      </c>
      <c r="AD63" s="112">
        <f>IF(J63="Yes",AA63*Tab_Data_Flows[[#This Row],[WC_'[%']]],"N.A.")</f>
        <v>252.99646152777024</v>
      </c>
      <c r="AE63" s="61" t="str">
        <f>Tab_Data_Flows[[#This Row],[UoM_Flow_Py]]</f>
        <v>Mg</v>
      </c>
      <c r="AF63" s="111">
        <f>INDEX(Tab_Def_Flows[[Flow_ID]:[CC_DM_source]],MATCH(Tab_Data_Flows[[#This Row],[Name(EN)]],Tab_Def_Flows[Name(EN)],0),18)</f>
        <v>0.91195000000000004</v>
      </c>
      <c r="AG63" s="112">
        <f>IF(K63="Yes",AF63*Tab_Data_Flows[[#This Row],[Flow_Py]],"N.A.")</f>
        <v>2620.3307562776849</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1210.5928094002904</v>
      </c>
      <c r="AK63" s="61" t="str">
        <f>Tab_Data_Flows[[#This Row],[UoM_Flow_Py]]</f>
        <v>Mg</v>
      </c>
    </row>
    <row r="64" spans="1:37" ht="15.75" hidden="1"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2930.7937621615647</v>
      </c>
      <c r="P64" s="51" t="s">
        <v>389</v>
      </c>
      <c r="Q64" s="51"/>
      <c r="R64" s="51"/>
      <c r="S64" s="51"/>
      <c r="T64" s="51"/>
      <c r="U64" s="51"/>
      <c r="V64" s="51"/>
      <c r="W64" s="51"/>
      <c r="X64" s="51" t="s">
        <v>71</v>
      </c>
      <c r="Y64" s="106"/>
      <c r="Z64" s="51"/>
      <c r="AA64" s="86">
        <f t="shared" si="1"/>
        <v>2930.7937621615647</v>
      </c>
      <c r="AB64" s="51" t="s">
        <v>63</v>
      </c>
      <c r="AC64" s="111">
        <f>INDEX(Tab_Def_Flows[[Flow_ID]:[CC_DM_source]],MATCH(Tab_Data_Flows[[#This Row],[Name(EN)]],Tab_Def_Flows[Name(EN)],0),16)</f>
        <v>8.8049999999999962E-2</v>
      </c>
      <c r="AD64" s="112">
        <f>IF(J64="Yes",AA64*Tab_Data_Flows[[#This Row],[WC_'[%']]],"N.A.")</f>
        <v>258.05639075832568</v>
      </c>
      <c r="AE64" s="61" t="str">
        <f>Tab_Data_Flows[[#This Row],[UoM_Flow_Py]]</f>
        <v>Mg</v>
      </c>
      <c r="AF64" s="111">
        <f>INDEX(Tab_Def_Flows[[Flow_ID]:[CC_DM_source]],MATCH(Tab_Data_Flows[[#This Row],[Name(EN)]],Tab_Def_Flows[Name(EN)],0),18)</f>
        <v>0.91195000000000004</v>
      </c>
      <c r="AG64" s="112">
        <f>IF(K64="Yes",AF64*Tab_Data_Flows[[#This Row],[Flow_Py]],"N.A.")</f>
        <v>2672.7373714032392</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1234.8046655882965</v>
      </c>
      <c r="AK64" s="61" t="str">
        <f>Tab_Data_Flows[[#This Row],[UoM_Flow_Py]]</f>
        <v>Mg</v>
      </c>
    </row>
    <row r="65" spans="1:37" ht="15.75" hidden="1"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2989.4096374047958</v>
      </c>
      <c r="P65" s="51" t="s">
        <v>389</v>
      </c>
      <c r="Q65" s="51"/>
      <c r="R65" s="51"/>
      <c r="S65" s="51"/>
      <c r="T65" s="51"/>
      <c r="U65" s="51"/>
      <c r="V65" s="51"/>
      <c r="W65" s="51"/>
      <c r="X65" s="51" t="s">
        <v>71</v>
      </c>
      <c r="Y65" s="106"/>
      <c r="Z65" s="51"/>
      <c r="AA65" s="86">
        <f t="shared" si="1"/>
        <v>2989.4096374047958</v>
      </c>
      <c r="AB65" s="51" t="s">
        <v>63</v>
      </c>
      <c r="AC65" s="111">
        <f>INDEX(Tab_Def_Flows[[Flow_ID]:[CC_DM_source]],MATCH(Tab_Data_Flows[[#This Row],[Name(EN)]],Tab_Def_Flows[Name(EN)],0),16)</f>
        <v>8.8049999999999962E-2</v>
      </c>
      <c r="AD65" s="112">
        <f>IF(J65="Yes",AA65*Tab_Data_Flows[[#This Row],[WC_'[%']]],"N.A.")</f>
        <v>263.21751857349216</v>
      </c>
      <c r="AE65" s="61" t="str">
        <f>Tab_Data_Flows[[#This Row],[UoM_Flow_Py]]</f>
        <v>Mg</v>
      </c>
      <c r="AF65" s="111">
        <f>INDEX(Tab_Def_Flows[[Flow_ID]:[CC_DM_source]],MATCH(Tab_Data_Flows[[#This Row],[Name(EN)]],Tab_Def_Flows[Name(EN)],0),18)</f>
        <v>0.91195000000000004</v>
      </c>
      <c r="AG65" s="112">
        <f>IF(K65="Yes",AF65*Tab_Data_Flows[[#This Row],[Flow_Py]],"N.A.")</f>
        <v>2726.1921188313036</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1259.5007589000625</v>
      </c>
      <c r="AK65" s="61" t="str">
        <f>Tab_Data_Flows[[#This Row],[UoM_Flow_Py]]</f>
        <v>Mg</v>
      </c>
    </row>
    <row r="66" spans="1:37" hidden="1"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3049.1978301528916</v>
      </c>
      <c r="P66" s="51" t="s">
        <v>389</v>
      </c>
      <c r="Q66" s="51"/>
      <c r="R66" s="51"/>
      <c r="S66" s="51"/>
      <c r="T66" s="51"/>
      <c r="U66" s="51"/>
      <c r="V66" s="51"/>
      <c r="W66" s="51"/>
      <c r="X66" s="51" t="s">
        <v>71</v>
      </c>
      <c r="Y66" s="106"/>
      <c r="Z66" s="51"/>
      <c r="AA66" s="86">
        <f t="shared" si="1"/>
        <v>3049.1978301528916</v>
      </c>
      <c r="AB66" s="51" t="s">
        <v>63</v>
      </c>
      <c r="AC66" s="111">
        <f>INDEX(Tab_Def_Flows[[Flow_ID]:[CC_DM_source]],MATCH(Tab_Data_Flows[[#This Row],[Name(EN)]],Tab_Def_Flows[Name(EN)],0),16)</f>
        <v>8.8049999999999962E-2</v>
      </c>
      <c r="AD66" s="112">
        <f>IF(J66="Yes",AA66*Tab_Data_Flows[[#This Row],[WC_'[%']]],"N.A.")</f>
        <v>268.481868944962</v>
      </c>
      <c r="AE66" s="61" t="str">
        <f>Tab_Data_Flows[[#This Row],[UoM_Flow_Py]]</f>
        <v>Mg</v>
      </c>
      <c r="AF66" s="111">
        <f>INDEX(Tab_Def_Flows[[Flow_ID]:[CC_DM_source]],MATCH(Tab_Data_Flows[[#This Row],[Name(EN)]],Tab_Def_Flows[Name(EN)],0),18)</f>
        <v>0.91195000000000004</v>
      </c>
      <c r="AG66" s="112">
        <f>IF(K66="Yes",AF66*Tab_Data_Flows[[#This Row],[Flow_Py]],"N.A.")</f>
        <v>2780.7159612079295</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1284.6907740780634</v>
      </c>
      <c r="AK66" s="61" t="str">
        <f>Tab_Data_Flows[[#This Row],[UoM_Flow_Py]]</f>
        <v>Mg</v>
      </c>
    </row>
    <row r="67" spans="1:37" hidden="1"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3110.1817867559494</v>
      </c>
      <c r="P67" s="51"/>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3110.1817867559494</v>
      </c>
      <c r="AB67" s="51" t="s">
        <v>63</v>
      </c>
      <c r="AC67" s="111">
        <f>INDEX(Tab_Def_Flows[[Flow_ID]:[CC_DM_source]],MATCH(Tab_Data_Flows[[#This Row],[Name(EN)]],Tab_Def_Flows[Name(EN)],0),16)</f>
        <v>8.8049999999999962E-2</v>
      </c>
      <c r="AD67" s="112">
        <f>IF(J67="Yes",AA67*Tab_Data_Flows[[#This Row],[WC_'[%']]],"N.A.")</f>
        <v>273.8515063238612</v>
      </c>
      <c r="AE67" s="61" t="str">
        <f>Tab_Data_Flows[[#This Row],[UoM_Flow_Py]]</f>
        <v>Mg</v>
      </c>
      <c r="AF67" s="111">
        <f>INDEX(Tab_Def_Flows[[Flow_ID]:[CC_DM_source]],MATCH(Tab_Data_Flows[[#This Row],[Name(EN)]],Tab_Def_Flows[Name(EN)],0),18)</f>
        <v>0.91195000000000004</v>
      </c>
      <c r="AG67" s="112">
        <f>IF(K67="Yes",AF67*Tab_Data_Flows[[#This Row],[Flow_Py]],"N.A.")</f>
        <v>2836.3302804320883</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1310.3845895596246</v>
      </c>
      <c r="AK67" s="61" t="str">
        <f>Tab_Data_Flows[[#This Row],[UoM_Flow_Py]]</f>
        <v>Mg</v>
      </c>
    </row>
    <row r="68" spans="1:37" hidden="1"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3172.3854224910683</v>
      </c>
      <c r="P68" s="51"/>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3172.3854224910683</v>
      </c>
      <c r="AB68" s="51" t="s">
        <v>63</v>
      </c>
      <c r="AC68" s="111">
        <f>INDEX(Tab_Def_Flows[[Flow_ID]:[CC_DM_source]],MATCH(Tab_Data_Flows[[#This Row],[Name(EN)]],Tab_Def_Flows[Name(EN)],0),16)</f>
        <v>8.8049999999999962E-2</v>
      </c>
      <c r="AD68" s="112">
        <f>IF(J68="Yes",AA68*Tab_Data_Flows[[#This Row],[WC_'[%']]],"N.A.")</f>
        <v>279.32853645033845</v>
      </c>
      <c r="AE68" s="61" t="str">
        <f>Tab_Data_Flows[[#This Row],[UoM_Flow_Py]]</f>
        <v>Mg</v>
      </c>
      <c r="AF68" s="111">
        <f>INDEX(Tab_Def_Flows[[Flow_ID]:[CC_DM_source]],MATCH(Tab_Data_Flows[[#This Row],[Name(EN)]],Tab_Def_Flows[Name(EN)],0),18)</f>
        <v>0.91195000000000004</v>
      </c>
      <c r="AG68" s="112">
        <f>IF(K68="Yes",AF68*Tab_Data_Flows[[#This Row],[Flow_Py]],"N.A.")</f>
        <v>2893.0568860407298</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1336.5922813508173</v>
      </c>
      <c r="AK68" s="61" t="str">
        <f>Tab_Data_Flows[[#This Row],[UoM_Flow_Py]]</f>
        <v>Mg</v>
      </c>
    </row>
    <row r="69" spans="1:37" hidden="1"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3235.8331309408895</v>
      </c>
      <c r="P69" s="51"/>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3235.8331309408895</v>
      </c>
      <c r="AB69" s="51" t="s">
        <v>63</v>
      </c>
      <c r="AC69" s="111">
        <f>INDEX(Tab_Def_Flows[[Flow_ID]:[CC_DM_source]],MATCH(Tab_Data_Flows[[#This Row],[Name(EN)]],Tab_Def_Flows[Name(EN)],0),16)</f>
        <v>8.8049999999999962E-2</v>
      </c>
      <c r="AD69" s="112">
        <f>IF(J69="Yes",AA69*Tab_Data_Flows[[#This Row],[WC_'[%']]],"N.A.")</f>
        <v>284.91510717934523</v>
      </c>
      <c r="AE69" s="61" t="str">
        <f>Tab_Data_Flows[[#This Row],[UoM_Flow_Py]]</f>
        <v>Mg</v>
      </c>
      <c r="AF69" s="111">
        <f>INDEX(Tab_Def_Flows[[Flow_ID]:[CC_DM_source]],MATCH(Tab_Data_Flows[[#This Row],[Name(EN)]],Tab_Def_Flows[Name(EN)],0),18)</f>
        <v>0.91195000000000004</v>
      </c>
      <c r="AG69" s="112">
        <f>IF(K69="Yes",AF69*Tab_Data_Flows[[#This Row],[Flow_Py]],"N.A.")</f>
        <v>2950.9180237615442</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1363.3241269778334</v>
      </c>
      <c r="AK69" s="61" t="str">
        <f>Tab_Data_Flows[[#This Row],[UoM_Flow_Py]]</f>
        <v>Mg</v>
      </c>
    </row>
    <row r="70" spans="1:37" hidden="1"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3300.5497935597073</v>
      </c>
      <c r="P70" s="51"/>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3300.5497935597073</v>
      </c>
      <c r="AB70" s="51" t="s">
        <v>63</v>
      </c>
      <c r="AC70" s="111">
        <f>INDEX(Tab_Def_Flows[[Flow_ID]:[CC_DM_source]],MATCH(Tab_Data_Flows[[#This Row],[Name(EN)]],Tab_Def_Flows[Name(EN)],0),16)</f>
        <v>8.8049999999999962E-2</v>
      </c>
      <c r="AD70" s="112">
        <f>IF(J70="Yes",AA70*Tab_Data_Flows[[#This Row],[WC_'[%']]],"N.A.")</f>
        <v>290.61340932293211</v>
      </c>
      <c r="AE70" s="61" t="str">
        <f>Tab_Data_Flows[[#This Row],[UoM_Flow_Py]]</f>
        <v>Mg</v>
      </c>
      <c r="AF70" s="111">
        <f>INDEX(Tab_Def_Flows[[Flow_ID]:[CC_DM_source]],MATCH(Tab_Data_Flows[[#This Row],[Name(EN)]],Tab_Def_Flows[Name(EN)],0),18)</f>
        <v>0.91195000000000004</v>
      </c>
      <c r="AG70" s="112">
        <f>IF(K70="Yes",AF70*Tab_Data_Flows[[#This Row],[Flow_Py]],"N.A.")</f>
        <v>3009.9363842367752</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1390.5906095173902</v>
      </c>
      <c r="AK70" s="61" t="str">
        <f>Tab_Data_Flows[[#This Row],[UoM_Flow_Py]]</f>
        <v>Mg</v>
      </c>
    </row>
    <row r="71" spans="1:37" hidden="1"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3366.5607894309014</v>
      </c>
      <c r="P71" s="51"/>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3366.5607894309014</v>
      </c>
      <c r="AB71" s="51" t="s">
        <v>63</v>
      </c>
      <c r="AC71" s="111">
        <f>INDEX(Tab_Def_Flows[[Flow_ID]:[CC_DM_source]],MATCH(Tab_Data_Flows[[#This Row],[Name(EN)]],Tab_Def_Flows[Name(EN)],0),16)</f>
        <v>8.8049999999999962E-2</v>
      </c>
      <c r="AD71" s="112">
        <f>IF(J71="Yes",AA71*Tab_Data_Flows[[#This Row],[WC_'[%']]],"N.A.")</f>
        <v>296.42567750939077</v>
      </c>
      <c r="AE71" s="61" t="str">
        <f>Tab_Data_Flows[[#This Row],[UoM_Flow_Py]]</f>
        <v>Mg</v>
      </c>
      <c r="AF71" s="111">
        <f>INDEX(Tab_Def_Flows[[Flow_ID]:[CC_DM_source]],MATCH(Tab_Data_Flows[[#This Row],[Name(EN)]],Tab_Def_Flows[Name(EN)],0),18)</f>
        <v>0.91195000000000004</v>
      </c>
      <c r="AG71" s="112">
        <f>IF(K71="Yes",AF71*Tab_Data_Flows[[#This Row],[Flow_Py]],"N.A.")</f>
        <v>3070.1351119215105</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1418.4024217077379</v>
      </c>
      <c r="AK71" s="61" t="str">
        <f>Tab_Data_Flows[[#This Row],[UoM_Flow_Py]]</f>
        <v>Mg</v>
      </c>
    </row>
    <row r="72" spans="1:37" hidden="1"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3433.8920052195194</v>
      </c>
      <c r="P72" s="51"/>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3433.8920052195194</v>
      </c>
      <c r="AB72" s="51" t="s">
        <v>63</v>
      </c>
      <c r="AC72" s="111">
        <f>INDEX(Tab_Def_Flows[[Flow_ID]:[CC_DM_source]],MATCH(Tab_Data_Flows[[#This Row],[Name(EN)]],Tab_Def_Flows[Name(EN)],0),16)</f>
        <v>8.8049999999999962E-2</v>
      </c>
      <c r="AD72" s="112">
        <f>IF(J72="Yes",AA72*Tab_Data_Flows[[#This Row],[WC_'[%']]],"N.A.")</f>
        <v>302.35419105957857</v>
      </c>
      <c r="AE72" s="61" t="str">
        <f>Tab_Data_Flows[[#This Row],[UoM_Flow_Py]]</f>
        <v>Mg</v>
      </c>
      <c r="AF72" s="111">
        <f>INDEX(Tab_Def_Flows[[Flow_ID]:[CC_DM_source]],MATCH(Tab_Data_Flows[[#This Row],[Name(EN)]],Tab_Def_Flows[Name(EN)],0),18)</f>
        <v>0.91195000000000004</v>
      </c>
      <c r="AG72" s="112">
        <f>IF(K72="Yes",AF72*Tab_Data_Flows[[#This Row],[Flow_Py]],"N.A.")</f>
        <v>3131.5378141599408</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1446.7704701418929</v>
      </c>
      <c r="AK72" s="61" t="str">
        <f>Tab_Data_Flows[[#This Row],[UoM_Flow_Py]]</f>
        <v>Mg</v>
      </c>
    </row>
    <row r="73" spans="1:37" hidden="1"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3502.5698453239097</v>
      </c>
      <c r="P73" s="51"/>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3502.5698453239097</v>
      </c>
      <c r="AB73" s="51" t="s">
        <v>63</v>
      </c>
      <c r="AC73" s="111">
        <f>INDEX(Tab_Def_Flows[[Flow_ID]:[CC_DM_source]],MATCH(Tab_Data_Flows[[#This Row],[Name(EN)]],Tab_Def_Flows[Name(EN)],0),16)</f>
        <v>8.8049999999999962E-2</v>
      </c>
      <c r="AD73" s="112">
        <f>IF(J73="Yes",AA73*Tab_Data_Flows[[#This Row],[WC_'[%']]],"N.A.")</f>
        <v>308.40127488077013</v>
      </c>
      <c r="AE73" s="61" t="str">
        <f>Tab_Data_Flows[[#This Row],[UoM_Flow_Py]]</f>
        <v>Mg</v>
      </c>
      <c r="AF73" s="111">
        <f>INDEX(Tab_Def_Flows[[Flow_ID]:[CC_DM_source]],MATCH(Tab_Data_Flows[[#This Row],[Name(EN)]],Tab_Def_Flows[Name(EN)],0),18)</f>
        <v>0.91195000000000004</v>
      </c>
      <c r="AG73" s="112">
        <f>IF(K73="Yes",AF73*Tab_Data_Flows[[#This Row],[Flow_Py]],"N.A.")</f>
        <v>3194.1685704431397</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1475.7058795447306</v>
      </c>
      <c r="AK73" s="61" t="str">
        <f>Tab_Data_Flows[[#This Row],[UoM_Flow_Py]]</f>
        <v>Mg</v>
      </c>
    </row>
    <row r="74" spans="1:37" hidden="1"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3572.6212422303879</v>
      </c>
      <c r="P74" s="51"/>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3572.6212422303879</v>
      </c>
      <c r="AB74" s="51" t="s">
        <v>63</v>
      </c>
      <c r="AC74" s="111">
        <f>INDEX(Tab_Def_Flows[[Flow_ID]:[CC_DM_source]],MATCH(Tab_Data_Flows[[#This Row],[Name(EN)]],Tab_Def_Flows[Name(EN)],0),16)</f>
        <v>8.8049999999999962E-2</v>
      </c>
      <c r="AD74" s="112">
        <f>IF(J74="Yes",AA74*Tab_Data_Flows[[#This Row],[WC_'[%']]],"N.A.")</f>
        <v>314.56930037838549</v>
      </c>
      <c r="AE74" s="61" t="str">
        <f>Tab_Data_Flows[[#This Row],[UoM_Flow_Py]]</f>
        <v>Mg</v>
      </c>
      <c r="AF74" s="111">
        <f>INDEX(Tab_Def_Flows[[Flow_ID]:[CC_DM_source]],MATCH(Tab_Data_Flows[[#This Row],[Name(EN)]],Tab_Def_Flows[Name(EN)],0),18)</f>
        <v>0.91195000000000004</v>
      </c>
      <c r="AG74" s="112">
        <f>IF(K74="Yes",AF74*Tab_Data_Flows[[#This Row],[Flow_Py]],"N.A.")</f>
        <v>3258.0519418520025</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1505.2199971356251</v>
      </c>
      <c r="AK74" s="61" t="str">
        <f>Tab_Data_Flows[[#This Row],[UoM_Flow_Py]]</f>
        <v>Mg</v>
      </c>
    </row>
    <row r="75" spans="1:37" hidden="1"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3644.0736670749957</v>
      </c>
      <c r="P75" s="51"/>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3644.0736670749957</v>
      </c>
      <c r="AB75" s="51" t="s">
        <v>63</v>
      </c>
      <c r="AC75" s="111">
        <f>INDEX(Tab_Def_Flows[[Flow_ID]:[CC_DM_source]],MATCH(Tab_Data_Flows[[#This Row],[Name(EN)]],Tab_Def_Flows[Name(EN)],0),16)</f>
        <v>8.8049999999999962E-2</v>
      </c>
      <c r="AD75" s="112">
        <f>IF(J75="Yes",AA75*Tab_Data_Flows[[#This Row],[WC_'[%']]],"N.A.")</f>
        <v>320.86068638595322</v>
      </c>
      <c r="AE75" s="61" t="str">
        <f>Tab_Data_Flows[[#This Row],[UoM_Flow_Py]]</f>
        <v>Mg</v>
      </c>
      <c r="AF75" s="111">
        <f>INDEX(Tab_Def_Flows[[Flow_ID]:[CC_DM_source]],MATCH(Tab_Data_Flows[[#This Row],[Name(EN)]],Tab_Def_Flows[Name(EN)],0),18)</f>
        <v>0.91195000000000004</v>
      </c>
      <c r="AG75" s="112">
        <f>IF(K75="Yes",AF75*Tab_Data_Flows[[#This Row],[Flow_Py]],"N.A.")</f>
        <v>3323.2129806890425</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1535.3243970783378</v>
      </c>
      <c r="AK75" s="61" t="str">
        <f>Tab_Data_Flows[[#This Row],[UoM_Flow_Py]]</f>
        <v>Mg</v>
      </c>
    </row>
    <row r="76" spans="1:37" hidden="1"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3716.9551404164959</v>
      </c>
      <c r="P76" s="51"/>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3716.9551404164959</v>
      </c>
      <c r="AB76" s="51" t="s">
        <v>63</v>
      </c>
      <c r="AC76" s="111">
        <f>INDEX(Tab_Def_Flows[[Flow_ID]:[CC_DM_source]],MATCH(Tab_Data_Flows[[#This Row],[Name(EN)]],Tab_Def_Flows[Name(EN)],0),16)</f>
        <v>8.8049999999999962E-2</v>
      </c>
      <c r="AD76" s="112">
        <f>IF(J76="Yes",AA76*Tab_Data_Flows[[#This Row],[WC_'[%']]],"N.A.")</f>
        <v>327.27790011367233</v>
      </c>
      <c r="AE76" s="61" t="str">
        <f>Tab_Data_Flows[[#This Row],[UoM_Flow_Py]]</f>
        <v>Mg</v>
      </c>
      <c r="AF76" s="111">
        <f>INDEX(Tab_Def_Flows[[Flow_ID]:[CC_DM_source]],MATCH(Tab_Data_Flows[[#This Row],[Name(EN)]],Tab_Def_Flows[Name(EN)],0),18)</f>
        <v>0.91195000000000004</v>
      </c>
      <c r="AG76" s="112">
        <f>IF(K76="Yes",AF76*Tab_Data_Flows[[#This Row],[Flow_Py]],"N.A.")</f>
        <v>3389.6772403028235</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1566.0308850199044</v>
      </c>
      <c r="AK76" s="61" t="str">
        <f>Tab_Data_Flows[[#This Row],[UoM_Flow_Py]]</f>
        <v>Mg</v>
      </c>
    </row>
    <row r="77" spans="1:37" hidden="1"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3791.294243224826</v>
      </c>
      <c r="P77" s="51"/>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3791.294243224826</v>
      </c>
      <c r="AB77" s="51" t="s">
        <v>63</v>
      </c>
      <c r="AC77" s="111">
        <f>INDEX(Tab_Def_Flows[[Flow_ID]:[CC_DM_source]],MATCH(Tab_Data_Flows[[#This Row],[Name(EN)]],Tab_Def_Flows[Name(EN)],0),16)</f>
        <v>8.8049999999999962E-2</v>
      </c>
      <c r="AD77" s="112">
        <f>IF(J77="Yes",AA77*Tab_Data_Flows[[#This Row],[WC_'[%']]],"N.A.")</f>
        <v>333.82345811594581</v>
      </c>
      <c r="AE77" s="61" t="str">
        <f>Tab_Data_Flows[[#This Row],[UoM_Flow_Py]]</f>
        <v>Mg</v>
      </c>
      <c r="AF77" s="111">
        <f>INDEX(Tab_Def_Flows[[Flow_ID]:[CC_DM_source]],MATCH(Tab_Data_Flows[[#This Row],[Name(EN)]],Tab_Def_Flows[Name(EN)],0),18)</f>
        <v>0.91195000000000004</v>
      </c>
      <c r="AG77" s="112">
        <f>IF(K77="Yes",AF77*Tab_Data_Flows[[#This Row],[Flow_Py]],"N.A.")</f>
        <v>3457.4707851088801</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1597.3515027203027</v>
      </c>
      <c r="AK77" s="61" t="str">
        <f>Tab_Data_Flows[[#This Row],[UoM_Flow_Py]]</f>
        <v>Mg</v>
      </c>
    </row>
    <row r="78" spans="1:37" hidden="1"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3867.1201280893224</v>
      </c>
      <c r="P78" s="51"/>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3867.1201280893224</v>
      </c>
      <c r="AB78" s="51" t="s">
        <v>63</v>
      </c>
      <c r="AC78" s="111">
        <f>INDEX(Tab_Def_Flows[[Flow_ID]:[CC_DM_source]],MATCH(Tab_Data_Flows[[#This Row],[Name(EN)]],Tab_Def_Flows[Name(EN)],0),16)</f>
        <v>8.8049999999999962E-2</v>
      </c>
      <c r="AD78" s="112">
        <f>IF(J78="Yes",AA78*Tab_Data_Flows[[#This Row],[WC_'[%']]],"N.A.")</f>
        <v>340.49992727826469</v>
      </c>
      <c r="AE78" s="61" t="str">
        <f>Tab_Data_Flows[[#This Row],[UoM_Flow_Py]]</f>
        <v>Mg</v>
      </c>
      <c r="AF78" s="111">
        <f>INDEX(Tab_Def_Flows[[Flow_ID]:[CC_DM_source]],MATCH(Tab_Data_Flows[[#This Row],[Name(EN)]],Tab_Def_Flows[Name(EN)],0),18)</f>
        <v>0.91195000000000004</v>
      </c>
      <c r="AG78" s="112">
        <f>IF(K78="Yes",AF78*Tab_Data_Flows[[#This Row],[Flow_Py]],"N.A.")</f>
        <v>3526.6202008110577</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1629.2985327747087</v>
      </c>
      <c r="AK78" s="61" t="str">
        <f>Tab_Data_Flows[[#This Row],[UoM_Flow_Py]]</f>
        <v>Mg</v>
      </c>
    </row>
    <row r="79" spans="1:37" hidden="1"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3944.4625306511089</v>
      </c>
      <c r="P79" s="51"/>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3944.4625306511089</v>
      </c>
      <c r="AB79" s="51" t="s">
        <v>63</v>
      </c>
      <c r="AC79" s="111">
        <f>INDEX(Tab_Def_Flows[[Flow_ID]:[CC_DM_source]],MATCH(Tab_Data_Flows[[#This Row],[Name(EN)]],Tab_Def_Flows[Name(EN)],0),16)</f>
        <v>8.8049999999999962E-2</v>
      </c>
      <c r="AD79" s="112">
        <f>IF(J79="Yes",AA79*Tab_Data_Flows[[#This Row],[WC_'[%']]],"N.A.")</f>
        <v>347.30992582382999</v>
      </c>
      <c r="AE79" s="61" t="str">
        <f>Tab_Data_Flows[[#This Row],[UoM_Flow_Py]]</f>
        <v>Mg</v>
      </c>
      <c r="AF79" s="111">
        <f>INDEX(Tab_Def_Flows[[Flow_ID]:[CC_DM_source]],MATCH(Tab_Data_Flows[[#This Row],[Name(EN)]],Tab_Def_Flows[Name(EN)],0),18)</f>
        <v>0.91195000000000004</v>
      </c>
      <c r="AG79" s="112">
        <f>IF(K79="Yes",AF79*Tab_Data_Flows[[#This Row],[Flow_Py]],"N.A.")</f>
        <v>3597.152604827279</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1661.884503430203</v>
      </c>
      <c r="AK79" s="61" t="str">
        <f>Tab_Data_Flows[[#This Row],[UoM_Flow_Py]]</f>
        <v>Mg</v>
      </c>
    </row>
    <row r="80" spans="1:37" hidden="1"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4023.3517812641312</v>
      </c>
      <c r="P80" s="51"/>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4023.3517812641312</v>
      </c>
      <c r="AB80" s="51" t="s">
        <v>63</v>
      </c>
      <c r="AC80" s="111">
        <f>INDEX(Tab_Def_Flows[[Flow_ID]:[CC_DM_source]],MATCH(Tab_Data_Flows[[#This Row],[Name(EN)]],Tab_Def_Flows[Name(EN)],0),16)</f>
        <v>8.8049999999999962E-2</v>
      </c>
      <c r="AD80" s="112">
        <f>IF(J80="Yes",AA80*Tab_Data_Flows[[#This Row],[WC_'[%']]],"N.A.")</f>
        <v>354.2561243403066</v>
      </c>
      <c r="AE80" s="61" t="str">
        <f>Tab_Data_Flows[[#This Row],[UoM_Flow_Py]]</f>
        <v>Mg</v>
      </c>
      <c r="AF80" s="111">
        <f>INDEX(Tab_Def_Flows[[Flow_ID]:[CC_DM_source]],MATCH(Tab_Data_Flows[[#This Row],[Name(EN)]],Tab_Def_Flows[Name(EN)],0),18)</f>
        <v>0.91195000000000004</v>
      </c>
      <c r="AG80" s="112">
        <f>IF(K80="Yes",AF80*Tab_Data_Flows[[#This Row],[Flow_Py]],"N.A.")</f>
        <v>3669.0956569238247</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1695.1221934988071</v>
      </c>
      <c r="AK80" s="61" t="str">
        <f>Tab_Data_Flows[[#This Row],[UoM_Flow_Py]]</f>
        <v>Mg</v>
      </c>
    </row>
    <row r="81" spans="1:37" hidden="1"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4103.8188168894139</v>
      </c>
      <c r="P81" s="51"/>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4103.8188168894139</v>
      </c>
      <c r="AB81" s="51" t="s">
        <v>63</v>
      </c>
      <c r="AC81" s="111">
        <f>INDEX(Tab_Def_Flows[[Flow_ID]:[CC_DM_source]],MATCH(Tab_Data_Flows[[#This Row],[Name(EN)]],Tab_Def_Flows[Name(EN)],0),16)</f>
        <v>8.8049999999999962E-2</v>
      </c>
      <c r="AD81" s="112">
        <f>IF(J81="Yes",AA81*Tab_Data_Flows[[#This Row],[WC_'[%']]],"N.A.")</f>
        <v>361.34124682711274</v>
      </c>
      <c r="AE81" s="61" t="str">
        <f>Tab_Data_Flows[[#This Row],[UoM_Flow_Py]]</f>
        <v>Mg</v>
      </c>
      <c r="AF81" s="111">
        <f>INDEX(Tab_Def_Flows[[Flow_ID]:[CC_DM_source]],MATCH(Tab_Data_Flows[[#This Row],[Name(EN)]],Tab_Def_Flows[Name(EN)],0),18)</f>
        <v>0.91195000000000004</v>
      </c>
      <c r="AG81" s="112">
        <f>IF(K81="Yes",AF81*Tab_Data_Flows[[#This Row],[Flow_Py]],"N.A.")</f>
        <v>3742.4775700623013</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1729.0246373687833</v>
      </c>
      <c r="AK81" s="61" t="str">
        <f>Tab_Data_Flows[[#This Row],[UoM_Flow_Py]]</f>
        <v>Mg</v>
      </c>
    </row>
    <row r="82" spans="1:37" hidden="1"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4185.8951932272021</v>
      </c>
      <c r="P82" s="51"/>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4185.8951932272021</v>
      </c>
      <c r="AB82" s="51" t="s">
        <v>63</v>
      </c>
      <c r="AC82" s="111">
        <f>INDEX(Tab_Def_Flows[[Flow_ID]:[CC_DM_source]],MATCH(Tab_Data_Flows[[#This Row],[Name(EN)]],Tab_Def_Flows[Name(EN)],0),16)</f>
        <v>8.8049999999999962E-2</v>
      </c>
      <c r="AD82" s="112">
        <f>IF(J82="Yes",AA82*Tab_Data_Flows[[#This Row],[WC_'[%']]],"N.A.")</f>
        <v>368.56807176365498</v>
      </c>
      <c r="AE82" s="61" t="str">
        <f>Tab_Data_Flows[[#This Row],[UoM_Flow_Py]]</f>
        <v>Mg</v>
      </c>
      <c r="AF82" s="111">
        <f>INDEX(Tab_Def_Flows[[Flow_ID]:[CC_DM_source]],MATCH(Tab_Data_Flows[[#This Row],[Name(EN)]],Tab_Def_Flows[Name(EN)],0),18)</f>
        <v>0.91195000000000004</v>
      </c>
      <c r="AG82" s="112">
        <f>IF(K82="Yes",AF82*Tab_Data_Flows[[#This Row],[Flow_Py]],"N.A.")</f>
        <v>3817.327121463547</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1763.6051301161588</v>
      </c>
      <c r="AK82" s="61" t="str">
        <f>Tab_Data_Flows[[#This Row],[UoM_Flow_Py]]</f>
        <v>Mg</v>
      </c>
    </row>
    <row r="83" spans="1:37" hidden="1"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4269.6130970917466</v>
      </c>
      <c r="P83" s="51"/>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4269.6130970917466</v>
      </c>
      <c r="AB83" s="51" t="s">
        <v>63</v>
      </c>
      <c r="AC83" s="111">
        <f>INDEX(Tab_Def_Flows[[Flow_ID]:[CC_DM_source]],MATCH(Tab_Data_Flows[[#This Row],[Name(EN)]],Tab_Def_Flows[Name(EN)],0),16)</f>
        <v>8.8049999999999962E-2</v>
      </c>
      <c r="AD83" s="112">
        <f>IF(J83="Yes",AA83*Tab_Data_Flows[[#This Row],[WC_'[%']]],"N.A.")</f>
        <v>375.9394331989281</v>
      </c>
      <c r="AE83" s="61" t="str">
        <f>Tab_Data_Flows[[#This Row],[UoM_Flow_Py]]</f>
        <v>Mg</v>
      </c>
      <c r="AF83" s="111">
        <f>INDEX(Tab_Def_Flows[[Flow_ID]:[CC_DM_source]],MATCH(Tab_Data_Flows[[#This Row],[Name(EN)]],Tab_Def_Flows[Name(EN)],0),18)</f>
        <v>0.91195000000000004</v>
      </c>
      <c r="AG83" s="112">
        <f>IF(K83="Yes",AF83*Tab_Data_Flows[[#This Row],[Flow_Py]],"N.A.")</f>
        <v>3893.6736638928182</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1798.8772327184822</v>
      </c>
      <c r="AK83" s="61" t="str">
        <f>Tab_Data_Flows[[#This Row],[UoM_Flow_Py]]</f>
        <v>Mg</v>
      </c>
    </row>
    <row r="84" spans="1:37" hidden="1"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4355.005359033582</v>
      </c>
      <c r="P84" s="51"/>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4355.005359033582</v>
      </c>
      <c r="AB84" s="51" t="s">
        <v>63</v>
      </c>
      <c r="AC84" s="111">
        <f>INDEX(Tab_Def_Flows[[Flow_ID]:[CC_DM_source]],MATCH(Tab_Data_Flows[[#This Row],[Name(EN)]],Tab_Def_Flows[Name(EN)],0),16)</f>
        <v>8.8049999999999962E-2</v>
      </c>
      <c r="AD84" s="112">
        <f>IF(J84="Yes",AA84*Tab_Data_Flows[[#This Row],[WC_'[%']]],"N.A.")</f>
        <v>383.45822186290673</v>
      </c>
      <c r="AE84" s="61" t="str">
        <f>Tab_Data_Flows[[#This Row],[UoM_Flow_Py]]</f>
        <v>Mg</v>
      </c>
      <c r="AF84" s="111">
        <f>INDEX(Tab_Def_Flows[[Flow_ID]:[CC_DM_source]],MATCH(Tab_Data_Flows[[#This Row],[Name(EN)]],Tab_Def_Flows[Name(EN)],0),18)</f>
        <v>0.91195000000000004</v>
      </c>
      <c r="AG84" s="112">
        <f>IF(K84="Yes",AF84*Tab_Data_Flows[[#This Row],[Flow_Py]],"N.A.")</f>
        <v>3971.5471371706753</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1834.8547773728519</v>
      </c>
      <c r="AK84" s="61" t="str">
        <f>Tab_Data_Flows[[#This Row],[UoM_Flow_Py]]</f>
        <v>Mg</v>
      </c>
    </row>
    <row r="85" spans="1:37" hidden="1"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4442.1054662142533</v>
      </c>
      <c r="P85" s="51"/>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4442.1054662142533</v>
      </c>
      <c r="AB85" s="51" t="s">
        <v>63</v>
      </c>
      <c r="AC85" s="111">
        <f>INDEX(Tab_Def_Flows[[Flow_ID]:[CC_DM_source]],MATCH(Tab_Data_Flows[[#This Row],[Name(EN)]],Tab_Def_Flows[Name(EN)],0),16)</f>
        <v>8.8049999999999962E-2</v>
      </c>
      <c r="AD85" s="112">
        <f>IF(J85="Yes",AA85*Tab_Data_Flows[[#This Row],[WC_'[%']]],"N.A.")</f>
        <v>391.12738630016486</v>
      </c>
      <c r="AE85" s="61" t="str">
        <f>Tab_Data_Flows[[#This Row],[UoM_Flow_Py]]</f>
        <v>Mg</v>
      </c>
      <c r="AF85" s="111">
        <f>INDEX(Tab_Def_Flows[[Flow_ID]:[CC_DM_source]],MATCH(Tab_Data_Flows[[#This Row],[Name(EN)]],Tab_Def_Flows[Name(EN)],0),18)</f>
        <v>0.91195000000000004</v>
      </c>
      <c r="AG85" s="112">
        <f>IF(K85="Yes",AF85*Tab_Data_Flows[[#This Row],[Flow_Py]],"N.A.")</f>
        <v>4050.9780799140885</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1871.5518729203091</v>
      </c>
      <c r="AK85" s="61" t="str">
        <f>Tab_Data_Flows[[#This Row],[UoM_Flow_Py]]</f>
        <v>Mg</v>
      </c>
    </row>
    <row r="86" spans="1:37" hidden="1"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4530.9475755385383</v>
      </c>
      <c r="P86" s="51"/>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4530.9475755385383</v>
      </c>
      <c r="AB86" s="51" t="s">
        <v>63</v>
      </c>
      <c r="AC86" s="111">
        <f>INDEX(Tab_Def_Flows[[Flow_ID]:[CC_DM_source]],MATCH(Tab_Data_Flows[[#This Row],[Name(EN)]],Tab_Def_Flows[Name(EN)],0),16)</f>
        <v>8.8049999999999962E-2</v>
      </c>
      <c r="AD86" s="112">
        <f>IF(J86="Yes",AA86*Tab_Data_Flows[[#This Row],[WC_'[%']]],"N.A.")</f>
        <v>398.94993402616814</v>
      </c>
      <c r="AE86" s="61" t="str">
        <f>Tab_Data_Flows[[#This Row],[UoM_Flow_Py]]</f>
        <v>Mg</v>
      </c>
      <c r="AF86" s="111">
        <f>INDEX(Tab_Def_Flows[[Flow_ID]:[CC_DM_source]],MATCH(Tab_Data_Flows[[#This Row],[Name(EN)]],Tab_Def_Flows[Name(EN)],0),18)</f>
        <v>0.91195000000000004</v>
      </c>
      <c r="AG86" s="112">
        <f>IF(K86="Yes",AF86*Tab_Data_Flows[[#This Row],[Flow_Py]],"N.A.")</f>
        <v>4131.9976415123701</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1908.9829103787154</v>
      </c>
      <c r="AK86" s="61" t="str">
        <f>Tab_Data_Flows[[#This Row],[UoM_Flow_Py]]</f>
        <v>Mg</v>
      </c>
    </row>
    <row r="87" spans="1:37" hidden="1"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4621.5665270493091</v>
      </c>
      <c r="P87" s="51"/>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4621.5665270493091</v>
      </c>
      <c r="AB87" s="51" t="s">
        <v>63</v>
      </c>
      <c r="AC87" s="111">
        <f>INDEX(Tab_Def_Flows[[Flow_ID]:[CC_DM_source]],MATCH(Tab_Data_Flows[[#This Row],[Name(EN)]],Tab_Def_Flows[Name(EN)],0),16)</f>
        <v>8.8049999999999962E-2</v>
      </c>
      <c r="AD87" s="112">
        <f>IF(J87="Yes",AA87*Tab_Data_Flows[[#This Row],[WC_'[%']]],"N.A.")</f>
        <v>406.92893270669151</v>
      </c>
      <c r="AE87" s="61" t="str">
        <f>Tab_Data_Flows[[#This Row],[UoM_Flow_Py]]</f>
        <v>Mg</v>
      </c>
      <c r="AF87" s="111">
        <f>INDEX(Tab_Def_Flows[[Flow_ID]:[CC_DM_source]],MATCH(Tab_Data_Flows[[#This Row],[Name(EN)]],Tab_Def_Flows[Name(EN)],0),18)</f>
        <v>0.91195000000000004</v>
      </c>
      <c r="AG87" s="112">
        <f>IF(K87="Yes",AF87*Tab_Data_Flows[[#This Row],[Flow_Py]],"N.A.")</f>
        <v>4214.6375943426174</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1947.1625685862896</v>
      </c>
      <c r="AK87" s="61" t="str">
        <f>Tab_Data_Flows[[#This Row],[UoM_Flow_Py]]</f>
        <v>Mg</v>
      </c>
    </row>
    <row r="88" spans="1:37" ht="15.75" hidden="1"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4713.9978575902951</v>
      </c>
      <c r="P88" s="51"/>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4713.9978575902951</v>
      </c>
      <c r="AB88" s="51" t="s">
        <v>63</v>
      </c>
      <c r="AC88" s="111">
        <f>INDEX(Tab_Def_Flows[[Flow_ID]:[CC_DM_source]],MATCH(Tab_Data_Flows[[#This Row],[Name(EN)]],Tab_Def_Flows[Name(EN)],0),16)</f>
        <v>8.8049999999999962E-2</v>
      </c>
      <c r="AD88" s="112">
        <f>IF(J88="Yes",AA88*Tab_Data_Flows[[#This Row],[WC_'[%']]],"N.A.")</f>
        <v>415.06751136082528</v>
      </c>
      <c r="AE88" s="61" t="str">
        <f>Tab_Data_Flows[[#This Row],[UoM_Flow_Py]]</f>
        <v>Mg</v>
      </c>
      <c r="AF88" s="111">
        <f>INDEX(Tab_Def_Flows[[Flow_ID]:[CC_DM_source]],MATCH(Tab_Data_Flows[[#This Row],[Name(EN)]],Tab_Def_Flows[Name(EN)],0),18)</f>
        <v>0.91195000000000004</v>
      </c>
      <c r="AG88" s="112">
        <f>IF(K88="Yes",AF88*Tab_Data_Flows[[#This Row],[Flow_Py]],"N.A.")</f>
        <v>4298.9303462294702</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1986.105819958015</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33826.459939200002</v>
      </c>
      <c r="P89" s="51" t="s">
        <v>389</v>
      </c>
      <c r="Q89" s="51"/>
      <c r="R89" s="51"/>
      <c r="S89" s="51"/>
      <c r="T89" s="51"/>
      <c r="U89" s="51"/>
      <c r="V89" s="51"/>
      <c r="W89" s="51"/>
      <c r="X89" s="51" t="s">
        <v>71</v>
      </c>
      <c r="Y89" s="106"/>
      <c r="Z89" s="51"/>
      <c r="AA89" s="86">
        <f t="shared" si="6"/>
        <v>33826.459939200002</v>
      </c>
      <c r="AB89" s="51" t="s">
        <v>63</v>
      </c>
      <c r="AC89" s="111">
        <f>INDEX(Tab_Def_Flows[[Flow_ID]:[CC_DM_source]],MATCH(Tab_Data_Flows[[#This Row],[Name(EN)]],Tab_Def_Flows[Name(EN)],0),16)</f>
        <v>1</v>
      </c>
      <c r="AD89" s="112">
        <f>IF(J89="Yes",AA89*Tab_Data_Flows[[#This Row],[WC_'[%']]],"N.A.")</f>
        <v>33826.459939200002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hidden="1"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34502.989137984005</v>
      </c>
      <c r="P90" s="51" t="s">
        <v>389</v>
      </c>
      <c r="Q90" s="51"/>
      <c r="R90" s="51"/>
      <c r="S90" s="51"/>
      <c r="T90" s="51"/>
      <c r="U90" s="51"/>
      <c r="V90" s="51"/>
      <c r="W90" s="51"/>
      <c r="X90" s="51" t="s">
        <v>71</v>
      </c>
      <c r="Y90" s="106"/>
      <c r="Z90" s="51"/>
      <c r="AA90" s="86">
        <f t="shared" si="6"/>
        <v>34502.989137984005</v>
      </c>
      <c r="AB90" s="51" t="s">
        <v>63</v>
      </c>
      <c r="AC90" s="111">
        <f>INDEX(Tab_Def_Flows[[Flow_ID]:[CC_DM_source]],MATCH(Tab_Data_Flows[[#This Row],[Name(EN)]],Tab_Def_Flows[Name(EN)],0),16)</f>
        <v>1</v>
      </c>
      <c r="AD90" s="112">
        <f>IF(J90="Yes",AA90*Tab_Data_Flows[[#This Row],[WC_'[%']]],"N.A.")</f>
        <v>34502.989137984005</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hidden="1"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35193.048920743684</v>
      </c>
      <c r="P91" s="51" t="s">
        <v>389</v>
      </c>
      <c r="Q91" s="51"/>
      <c r="R91" s="51"/>
      <c r="S91" s="51"/>
      <c r="T91" s="51"/>
      <c r="U91" s="51"/>
      <c r="V91" s="51"/>
      <c r="W91" s="51"/>
      <c r="X91" s="51" t="s">
        <v>71</v>
      </c>
      <c r="Y91" s="106"/>
      <c r="Z91" s="51"/>
      <c r="AA91" s="86">
        <f t="shared" si="6"/>
        <v>35193.048920743684</v>
      </c>
      <c r="AB91" s="51" t="s">
        <v>63</v>
      </c>
      <c r="AC91" s="111">
        <f>INDEX(Tab_Def_Flows[[Flow_ID]:[CC_DM_source]],MATCH(Tab_Data_Flows[[#This Row],[Name(EN)]],Tab_Def_Flows[Name(EN)],0),16)</f>
        <v>1</v>
      </c>
      <c r="AD91" s="112">
        <f>IF(J91="Yes",AA91*Tab_Data_Flows[[#This Row],[WC_'[%']]],"N.A.")</f>
        <v>35193.048920743684</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hidden="1"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35896.909899158556</v>
      </c>
      <c r="P92" s="51" t="s">
        <v>389</v>
      </c>
      <c r="Q92" s="51"/>
      <c r="R92" s="51"/>
      <c r="S92" s="51"/>
      <c r="T92" s="51"/>
      <c r="U92" s="51"/>
      <c r="V92" s="51"/>
      <c r="W92" s="51"/>
      <c r="X92" s="51" t="s">
        <v>71</v>
      </c>
      <c r="Y92" s="106"/>
      <c r="Z92" s="51"/>
      <c r="AA92" s="86">
        <f t="shared" si="6"/>
        <v>35896.909899158556</v>
      </c>
      <c r="AB92" s="51" t="s">
        <v>63</v>
      </c>
      <c r="AC92" s="111">
        <f>INDEX(Tab_Def_Flows[[Flow_ID]:[CC_DM_source]],MATCH(Tab_Data_Flows[[#This Row],[Name(EN)]],Tab_Def_Flows[Name(EN)],0),16)</f>
        <v>1</v>
      </c>
      <c r="AD92" s="112">
        <f>IF(J92="Yes",AA92*Tab_Data_Flows[[#This Row],[WC_'[%']]],"N.A.")</f>
        <v>35896.909899158556</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hidden="1"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36614.84809714173</v>
      </c>
      <c r="P93" s="51" t="s">
        <v>389</v>
      </c>
      <c r="Q93" s="51"/>
      <c r="R93" s="51"/>
      <c r="S93" s="51"/>
      <c r="T93" s="51"/>
      <c r="U93" s="51"/>
      <c r="V93" s="51"/>
      <c r="W93" s="51"/>
      <c r="X93" s="51" t="s">
        <v>71</v>
      </c>
      <c r="Y93" s="106"/>
      <c r="Z93" s="51"/>
      <c r="AA93" s="86">
        <f t="shared" si="6"/>
        <v>36614.84809714173</v>
      </c>
      <c r="AB93" s="51" t="s">
        <v>63</v>
      </c>
      <c r="AC93" s="111">
        <f>INDEX(Tab_Def_Flows[[Flow_ID]:[CC_DM_source]],MATCH(Tab_Data_Flows[[#This Row],[Name(EN)]],Tab_Def_Flows[Name(EN)],0),16)</f>
        <v>1</v>
      </c>
      <c r="AD93" s="112">
        <f>IF(J93="Yes",AA93*Tab_Data_Flows[[#This Row],[WC_'[%']]],"N.A.")</f>
        <v>36614.84809714173</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hidden="1"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37347.145059084563</v>
      </c>
      <c r="P94" s="51" t="s">
        <v>389</v>
      </c>
      <c r="Q94" s="51"/>
      <c r="R94" s="51"/>
      <c r="S94" s="51"/>
      <c r="T94" s="51"/>
      <c r="U94" s="51"/>
      <c r="V94" s="51"/>
      <c r="W94" s="51"/>
      <c r="X94" s="51" t="s">
        <v>71</v>
      </c>
      <c r="Y94" s="106"/>
      <c r="Z94" s="51"/>
      <c r="AA94" s="86">
        <f t="shared" si="6"/>
        <v>37347.145059084563</v>
      </c>
      <c r="AB94" s="51" t="s">
        <v>63</v>
      </c>
      <c r="AC94" s="111">
        <f>INDEX(Tab_Def_Flows[[Flow_ID]:[CC_DM_source]],MATCH(Tab_Data_Flows[[#This Row],[Name(EN)]],Tab_Def_Flows[Name(EN)],0),16)</f>
        <v>1</v>
      </c>
      <c r="AD94" s="112">
        <f>IF(J94="Yes",AA94*Tab_Data_Flows[[#This Row],[WC_'[%']]],"N.A.")</f>
        <v>37347.145059084563</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hidden="1"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38094.087960266254</v>
      </c>
      <c r="P95" s="51" t="s">
        <v>389</v>
      </c>
      <c r="Q95" s="51"/>
      <c r="R95" s="51"/>
      <c r="S95" s="51"/>
      <c r="T95" s="51"/>
      <c r="U95" s="51"/>
      <c r="V95" s="51"/>
      <c r="W95" s="51"/>
      <c r="X95" s="51" t="s">
        <v>71</v>
      </c>
      <c r="Y95" s="106"/>
      <c r="Z95" s="51"/>
      <c r="AA95" s="86">
        <f t="shared" si="6"/>
        <v>38094.087960266254</v>
      </c>
      <c r="AB95" s="51" t="s">
        <v>63</v>
      </c>
      <c r="AC95" s="111">
        <f>INDEX(Tab_Def_Flows[[Flow_ID]:[CC_DM_source]],MATCH(Tab_Data_Flows[[#This Row],[Name(EN)]],Tab_Def_Flows[Name(EN)],0),16)</f>
        <v>1</v>
      </c>
      <c r="AD95" s="112">
        <f>IF(J95="Yes",AA95*Tab_Data_Flows[[#This Row],[WC_'[%']]],"N.A.")</f>
        <v>38094.087960266254</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hidden="1"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38855.969719471577</v>
      </c>
      <c r="P96" s="51"/>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38855.969719471577</v>
      </c>
      <c r="AB96" s="51" t="s">
        <v>63</v>
      </c>
      <c r="AC96" s="111">
        <f>INDEX(Tab_Def_Flows[[Flow_ID]:[CC_DM_source]],MATCH(Tab_Data_Flows[[#This Row],[Name(EN)]],Tab_Def_Flows[Name(EN)],0),16)</f>
        <v>1</v>
      </c>
      <c r="AD96" s="112">
        <f>IF(J96="Yes",AA96*Tab_Data_Flows[[#This Row],[WC_'[%']]],"N.A.")</f>
        <v>38855.969719471577</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hidden="1"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39633.08911386101</v>
      </c>
      <c r="P97" s="51"/>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39633.08911386101</v>
      </c>
      <c r="AB97" s="51" t="s">
        <v>63</v>
      </c>
      <c r="AC97" s="111">
        <f>INDEX(Tab_Def_Flows[[Flow_ID]:[CC_DM_source]],MATCH(Tab_Data_Flows[[#This Row],[Name(EN)]],Tab_Def_Flows[Name(EN)],0),16)</f>
        <v>1</v>
      </c>
      <c r="AD97" s="112">
        <f>IF(J97="Yes",AA97*Tab_Data_Flows[[#This Row],[WC_'[%']]],"N.A.")</f>
        <v>39633.08911386101</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hidden="1"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40425.750896138234</v>
      </c>
      <c r="P98" s="51"/>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40425.750896138234</v>
      </c>
      <c r="AB98" s="51" t="s">
        <v>63</v>
      </c>
      <c r="AC98" s="111">
        <f>INDEX(Tab_Def_Flows[[Flow_ID]:[CC_DM_source]],MATCH(Tab_Data_Flows[[#This Row],[Name(EN)]],Tab_Def_Flows[Name(EN)],0),16)</f>
        <v>1</v>
      </c>
      <c r="AD98" s="112">
        <f>IF(J98="Yes",AA98*Tab_Data_Flows[[#This Row],[WC_'[%']]],"N.A.")</f>
        <v>40425.750896138234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hidden="1"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41234.265914060998</v>
      </c>
      <c r="P99" s="51"/>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41234.265914060998</v>
      </c>
      <c r="AB99" s="51" t="s">
        <v>63</v>
      </c>
      <c r="AC99" s="111">
        <f>INDEX(Tab_Def_Flows[[Flow_ID]:[CC_DM_source]],MATCH(Tab_Data_Flows[[#This Row],[Name(EN)]],Tab_Def_Flows[Name(EN)],0),16)</f>
        <v>1</v>
      </c>
      <c r="AD99" s="112">
        <f>IF(J99="Yes",AA99*Tab_Data_Flows[[#This Row],[WC_'[%']]],"N.A.")</f>
        <v>41234.265914060998</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hidden="1"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42058.951232342217</v>
      </c>
      <c r="P100" s="51"/>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42058.951232342217</v>
      </c>
      <c r="AB100" s="51" t="s">
        <v>63</v>
      </c>
      <c r="AC100" s="111">
        <f>INDEX(Tab_Def_Flows[[Flow_ID]:[CC_DM_source]],MATCH(Tab_Data_Flows[[#This Row],[Name(EN)]],Tab_Def_Flows[Name(EN)],0),16)</f>
        <v>1</v>
      </c>
      <c r="AD100" s="112">
        <f>IF(J100="Yes",AA100*Tab_Data_Flows[[#This Row],[WC_'[%']]],"N.A.")</f>
        <v>42058.951232342217</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hidden="1"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42900.130256989061</v>
      </c>
      <c r="P101" s="51"/>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42900.130256989061</v>
      </c>
      <c r="AB101" s="51" t="s">
        <v>63</v>
      </c>
      <c r="AC101" s="111">
        <f>INDEX(Tab_Def_Flows[[Flow_ID]:[CC_DM_source]],MATCH(Tab_Data_Flows[[#This Row],[Name(EN)]],Tab_Def_Flows[Name(EN)],0),16)</f>
        <v>1</v>
      </c>
      <c r="AD101" s="112">
        <f>IF(J101="Yes",AA101*Tab_Data_Flows[[#This Row],[WC_'[%']]],"N.A.")</f>
        <v>42900.130256989061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hidden="1"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43758.132862128841</v>
      </c>
      <c r="P102" s="51"/>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43758.132862128841</v>
      </c>
      <c r="AB102" s="51" t="s">
        <v>63</v>
      </c>
      <c r="AC102" s="111">
        <f>INDEX(Tab_Def_Flows[[Flow_ID]:[CC_DM_source]],MATCH(Tab_Data_Flows[[#This Row],[Name(EN)]],Tab_Def_Flows[Name(EN)],0),16)</f>
        <v>1</v>
      </c>
      <c r="AD102" s="112">
        <f>IF(J102="Yes",AA102*Tab_Data_Flows[[#This Row],[WC_'[%']]],"N.A.")</f>
        <v>43758.132862128841</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hidden="1"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44633.295519371422</v>
      </c>
      <c r="P103" s="51"/>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44633.295519371422</v>
      </c>
      <c r="AB103" s="51" t="s">
        <v>63</v>
      </c>
      <c r="AC103" s="111">
        <f>INDEX(Tab_Def_Flows[[Flow_ID]:[CC_DM_source]],MATCH(Tab_Data_Flows[[#This Row],[Name(EN)]],Tab_Def_Flows[Name(EN)],0),16)</f>
        <v>1</v>
      </c>
      <c r="AD103" s="112">
        <f>IF(J103="Yes",AA103*Tab_Data_Flows[[#This Row],[WC_'[%']]],"N.A.")</f>
        <v>44633.295519371422</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hidden="1"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45525.961429758849</v>
      </c>
      <c r="P104" s="51"/>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45525.961429758849</v>
      </c>
      <c r="AB104" s="51" t="s">
        <v>63</v>
      </c>
      <c r="AC104" s="111">
        <f>INDEX(Tab_Def_Flows[[Flow_ID]:[CC_DM_source]],MATCH(Tab_Data_Flows[[#This Row],[Name(EN)]],Tab_Def_Flows[Name(EN)],0),16)</f>
        <v>1</v>
      </c>
      <c r="AD104" s="112">
        <f>IF(J104="Yes",AA104*Tab_Data_Flows[[#This Row],[WC_'[%']]],"N.A.")</f>
        <v>45525.961429758849</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hidden="1"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46436.480658354027</v>
      </c>
      <c r="P105" s="51"/>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46436.480658354027</v>
      </c>
      <c r="AB105" s="51" t="s">
        <v>63</v>
      </c>
      <c r="AC105" s="111">
        <f>INDEX(Tab_Def_Flows[[Flow_ID]:[CC_DM_source]],MATCH(Tab_Data_Flows[[#This Row],[Name(EN)]],Tab_Def_Flows[Name(EN)],0),16)</f>
        <v>1</v>
      </c>
      <c r="AD105" s="112">
        <f>IF(J105="Yes",AA105*Tab_Data_Flows[[#This Row],[WC_'[%']]],"N.A.")</f>
        <v>46436.480658354027</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hidden="1"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47365.210271521108</v>
      </c>
      <c r="P106" s="51"/>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47365.210271521108</v>
      </c>
      <c r="AB106" s="51" t="s">
        <v>63</v>
      </c>
      <c r="AC106" s="111">
        <f>INDEX(Tab_Def_Flows[[Flow_ID]:[CC_DM_source]],MATCH(Tab_Data_Flows[[#This Row],[Name(EN)]],Tab_Def_Flows[Name(EN)],0),16)</f>
        <v>1</v>
      </c>
      <c r="AD106" s="112">
        <f>IF(J106="Yes",AA106*Tab_Data_Flows[[#This Row],[WC_'[%']]],"N.A.")</f>
        <v>47365.210271521108</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hidden="1"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48312.514476951532</v>
      </c>
      <c r="P107" s="51"/>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48312.514476951532</v>
      </c>
      <c r="AB107" s="51" t="s">
        <v>63</v>
      </c>
      <c r="AC107" s="111">
        <f>INDEX(Tab_Def_Flows[[Flow_ID]:[CC_DM_source]],MATCH(Tab_Data_Flows[[#This Row],[Name(EN)]],Tab_Def_Flows[Name(EN)],0),16)</f>
        <v>1</v>
      </c>
      <c r="AD107" s="112">
        <f>IF(J107="Yes",AA107*Tab_Data_Flows[[#This Row],[WC_'[%']]],"N.A.")</f>
        <v>48312.514476951532</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hidden="1"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49278.76476649056</v>
      </c>
      <c r="P108" s="51"/>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49278.76476649056</v>
      </c>
      <c r="AB108" s="51" t="s">
        <v>63</v>
      </c>
      <c r="AC108" s="111">
        <f>INDEX(Tab_Def_Flows[[Flow_ID]:[CC_DM_source]],MATCH(Tab_Data_Flows[[#This Row],[Name(EN)]],Tab_Def_Flows[Name(EN)],0),16)</f>
        <v>1</v>
      </c>
      <c r="AD108" s="112">
        <f>IF(J108="Yes",AA108*Tab_Data_Flows[[#This Row],[WC_'[%']]],"N.A.")</f>
        <v>49278.76476649056</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hidden="1"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50264.340061820374</v>
      </c>
      <c r="P109" s="51"/>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50264.340061820374</v>
      </c>
      <c r="AB109" s="51" t="s">
        <v>63</v>
      </c>
      <c r="AC109" s="111">
        <f>INDEX(Tab_Def_Flows[[Flow_ID]:[CC_DM_source]],MATCH(Tab_Data_Flows[[#This Row],[Name(EN)]],Tab_Def_Flows[Name(EN)],0),16)</f>
        <v>1</v>
      </c>
      <c r="AD109" s="112">
        <f>IF(J109="Yes",AA109*Tab_Data_Flows[[#This Row],[WC_'[%']]],"N.A.")</f>
        <v>50264.340061820374</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hidden="1"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51269.626863056779</v>
      </c>
      <c r="P110" s="51"/>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51269.626863056779</v>
      </c>
      <c r="AB110" s="51" t="s">
        <v>63</v>
      </c>
      <c r="AC110" s="111">
        <f>INDEX(Tab_Def_Flows[[Flow_ID]:[CC_DM_source]],MATCH(Tab_Data_Flows[[#This Row],[Name(EN)]],Tab_Def_Flows[Name(EN)],0),16)</f>
        <v>1</v>
      </c>
      <c r="AD110" s="112">
        <f>IF(J110="Yes",AA110*Tab_Data_Flows[[#This Row],[WC_'[%']]],"N.A.")</f>
        <v>51269.626863056779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hidden="1"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52295.019400317913</v>
      </c>
      <c r="P111" s="51"/>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52295.019400317913</v>
      </c>
      <c r="AB111" s="51" t="s">
        <v>63</v>
      </c>
      <c r="AC111" s="111">
        <f>INDEX(Tab_Def_Flows[[Flow_ID]:[CC_DM_source]],MATCH(Tab_Data_Flows[[#This Row],[Name(EN)]],Tab_Def_Flows[Name(EN)],0),16)</f>
        <v>1</v>
      </c>
      <c r="AD111" s="112">
        <f>IF(J111="Yes",AA111*Tab_Data_Flows[[#This Row],[WC_'[%']]],"N.A.")</f>
        <v>52295.019400317913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hidden="1"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53340.919788324274</v>
      </c>
      <c r="P112" s="51"/>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53340.919788324274</v>
      </c>
      <c r="AB112" s="51" t="s">
        <v>63</v>
      </c>
      <c r="AC112" s="111">
        <f>INDEX(Tab_Def_Flows[[Flow_ID]:[CC_DM_source]],MATCH(Tab_Data_Flows[[#This Row],[Name(EN)]],Tab_Def_Flows[Name(EN)],0),16)</f>
        <v>1</v>
      </c>
      <c r="AD112" s="112">
        <f>IF(J112="Yes",AA112*Tab_Data_Flows[[#This Row],[WC_'[%']]],"N.A.")</f>
        <v>53340.919788324274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hidden="1"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54407.738184090762</v>
      </c>
      <c r="P113" s="51"/>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54407.738184090762</v>
      </c>
      <c r="AB113" s="51" t="s">
        <v>63</v>
      </c>
      <c r="AC113" s="111">
        <f>INDEX(Tab_Def_Flows[[Flow_ID]:[CC_DM_source]],MATCH(Tab_Data_Flows[[#This Row],[Name(EN)]],Tab_Def_Flows[Name(EN)],0),16)</f>
        <v>1</v>
      </c>
      <c r="AD113" s="112">
        <f>IF(J113="Yes",AA113*Tab_Data_Flows[[#This Row],[WC_'[%']]],"N.A.")</f>
        <v>54407.738184090762</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hidden="1"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55495.892947772576</v>
      </c>
      <c r="P114" s="51"/>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55495.892947772576</v>
      </c>
      <c r="AB114" s="51" t="s">
        <v>63</v>
      </c>
      <c r="AC114" s="111">
        <f>INDEX(Tab_Def_Flows[[Flow_ID]:[CC_DM_source]],MATCH(Tab_Data_Flows[[#This Row],[Name(EN)]],Tab_Def_Flows[Name(EN)],0),16)</f>
        <v>1</v>
      </c>
      <c r="AD114" s="112">
        <f>IF(J114="Yes",AA114*Tab_Data_Flows[[#This Row],[WC_'[%']]],"N.A.")</f>
        <v>55495.892947772576</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hidden="1"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56605.810806728026</v>
      </c>
      <c r="P115" s="51"/>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56605.810806728026</v>
      </c>
      <c r="AB115" s="51" t="s">
        <v>63</v>
      </c>
      <c r="AC115" s="111">
        <f>INDEX(Tab_Def_Flows[[Flow_ID]:[CC_DM_source]],MATCH(Tab_Data_Flows[[#This Row],[Name(EN)]],Tab_Def_Flows[Name(EN)],0),16)</f>
        <v>1</v>
      </c>
      <c r="AD115" s="112">
        <f>IF(J115="Yes",AA115*Tab_Data_Flows[[#This Row],[WC_'[%']]],"N.A.")</f>
        <v>56605.810806728026</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hidden="1"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57737.92702286259</v>
      </c>
      <c r="P116" s="51"/>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57737.92702286259</v>
      </c>
      <c r="AB116" s="51" t="s">
        <v>63</v>
      </c>
      <c r="AC116" s="111">
        <f>INDEX(Tab_Def_Flows[[Flow_ID]:[CC_DM_source]],MATCH(Tab_Data_Flows[[#This Row],[Name(EN)]],Tab_Def_Flows[Name(EN)],0),16)</f>
        <v>1</v>
      </c>
      <c r="AD116" s="112">
        <f>IF(J116="Yes",AA116*Tab_Data_Flows[[#This Row],[WC_'[%']]],"N.A.")</f>
        <v>57737.92702286259</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hidden="1"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58892.685563319843</v>
      </c>
      <c r="P117" s="51"/>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58892.685563319843</v>
      </c>
      <c r="AB117" s="51" t="s">
        <v>63</v>
      </c>
      <c r="AC117" s="111">
        <f>INDEX(Tab_Def_Flows[[Flow_ID]:[CC_DM_source]],MATCH(Tab_Data_Flows[[#This Row],[Name(EN)]],Tab_Def_Flows[Name(EN)],0),16)</f>
        <v>1</v>
      </c>
      <c r="AD117" s="112">
        <f>IF(J117="Yes",AA117*Tab_Data_Flows[[#This Row],[WC_'[%']]],"N.A.")</f>
        <v>58892.685563319843</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498</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884741.01538461621</v>
      </c>
      <c r="P118" s="51" t="s">
        <v>389</v>
      </c>
      <c r="Q118" s="51" t="s">
        <v>362</v>
      </c>
      <c r="R118" s="51"/>
      <c r="S118" s="51"/>
      <c r="T118" s="51"/>
      <c r="U118" s="51"/>
      <c r="V118" s="51"/>
      <c r="W118" s="51"/>
      <c r="X118" s="51" t="s">
        <v>71</v>
      </c>
      <c r="Y118" s="106"/>
      <c r="Z118" s="51"/>
      <c r="AA118" s="86">
        <f t="shared" si="6"/>
        <v>884741.01538461621</v>
      </c>
      <c r="AB118" s="51" t="s">
        <v>63</v>
      </c>
      <c r="AC118" s="111">
        <f>INDEX(Tab_Def_Flows[[Flow_ID]:[CC_DM_source]],MATCH(Tab_Data_Flows[[#This Row],[Name(EN)]],Tab_Def_Flows[Name(EN)],0),16)</f>
        <v>0.23841961852861027</v>
      </c>
      <c r="AD118" s="112">
        <f>IF(J118="Yes",AA118*Tab_Data_Flows[[#This Row],[WC_'[%']]],"N.A.")</f>
        <v>210939.61538461549</v>
      </c>
      <c r="AE118" s="61" t="str">
        <f>Tab_Data_Flows[[#This Row],[UoM_Flow_Py]]</f>
        <v>Mg</v>
      </c>
      <c r="AF118" s="111">
        <f>INDEX(Tab_Def_Flows[[Flow_ID]:[CC_DM_source]],MATCH(Tab_Data_Flows[[#This Row],[Name(EN)]],Tab_Def_Flows[Name(EN)],0),18)</f>
        <v>0.76158038147138973</v>
      </c>
      <c r="AG118" s="112">
        <f>IF(K118="Yes",AF118*Tab_Data_Flows[[#This Row],[Flow_Py]],"N.A.")</f>
        <v>673801.40000000072</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hidden="1" thickBot="1" x14ac:dyDescent="0.3">
      <c r="A119" s="60">
        <f t="shared" si="4"/>
        <v>118</v>
      </c>
      <c r="B119" s="49" t="str">
        <f>_xlfn.XLOOKUP(C119,Tab_Def_Flows[Name(EN)],Tab_Def_Flows[Flow_ID],,0,)</f>
        <v>F_00_13</v>
      </c>
      <c r="C119" s="51" t="s">
        <v>498</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902435.83569230861</v>
      </c>
      <c r="P119" s="51" t="s">
        <v>389</v>
      </c>
      <c r="Q119" s="51" t="s">
        <v>362</v>
      </c>
      <c r="R119" s="51"/>
      <c r="S119" s="51"/>
      <c r="T119" s="51"/>
      <c r="U119" s="51"/>
      <c r="V119" s="51"/>
      <c r="W119" s="51"/>
      <c r="X119" s="51" t="s">
        <v>71</v>
      </c>
      <c r="Y119" s="106"/>
      <c r="Z119" s="51"/>
      <c r="AA119" s="86">
        <f t="shared" si="6"/>
        <v>902435.83569230861</v>
      </c>
      <c r="AB119" s="51" t="s">
        <v>63</v>
      </c>
      <c r="AC119" s="111">
        <f>INDEX(Tab_Def_Flows[[Flow_ID]:[CC_DM_source]],MATCH(Tab_Data_Flows[[#This Row],[Name(EN)]],Tab_Def_Flows[Name(EN)],0),16)</f>
        <v>0.23841961852861027</v>
      </c>
      <c r="AD119" s="112">
        <f>IF(J119="Yes",AA119*Tab_Data_Flows[[#This Row],[WC_'[%']]],"N.A.")</f>
        <v>215158.40769230784</v>
      </c>
      <c r="AE119" s="61" t="str">
        <f>Tab_Data_Flows[[#This Row],[UoM_Flow_Py]]</f>
        <v>Mg</v>
      </c>
      <c r="AF119" s="111">
        <f>INDEX(Tab_Def_Flows[[Flow_ID]:[CC_DM_source]],MATCH(Tab_Data_Flows[[#This Row],[Name(EN)]],Tab_Def_Flows[Name(EN)],0),18)</f>
        <v>0.76158038147138973</v>
      </c>
      <c r="AG119" s="112">
        <f>IF(K119="Yes",AF119*Tab_Data_Flows[[#This Row],[Flow_Py]]-AJ235,"N.A.")</f>
        <v>687152.5554220808</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hidden="1" thickBot="1" x14ac:dyDescent="0.3">
      <c r="A120" s="60">
        <f t="shared" si="4"/>
        <v>119</v>
      </c>
      <c r="B120" s="49" t="str">
        <f>_xlfn.XLOOKUP(C120,Tab_Def_Flows[Name(EN)],Tab_Def_Flows[Flow_ID],,0,)</f>
        <v>F_00_13</v>
      </c>
      <c r="C120" s="51" t="s">
        <v>498</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920484.55240615481</v>
      </c>
      <c r="P120" s="51" t="s">
        <v>389</v>
      </c>
      <c r="Q120" s="51" t="s">
        <v>362</v>
      </c>
      <c r="R120" s="51"/>
      <c r="S120" s="51"/>
      <c r="T120" s="51"/>
      <c r="U120" s="51"/>
      <c r="V120" s="51"/>
      <c r="W120" s="51"/>
      <c r="X120" s="51" t="s">
        <v>71</v>
      </c>
      <c r="Y120" s="106"/>
      <c r="Z120" s="51"/>
      <c r="AA120" s="86">
        <f t="shared" si="6"/>
        <v>920484.55240615481</v>
      </c>
      <c r="AB120" s="51" t="s">
        <v>63</v>
      </c>
      <c r="AC120" s="111">
        <f>INDEX(Tab_Def_Flows[[Flow_ID]:[CC_DM_source]],MATCH(Tab_Data_Flows[[#This Row],[Name(EN)]],Tab_Def_Flows[Name(EN)],0),16)</f>
        <v>0.23841961852861027</v>
      </c>
      <c r="AD120" s="112">
        <f>IF(J120="Yes",AA120*Tab_Data_Flows[[#This Row],[WC_'[%']]],"N.A.")</f>
        <v>219461.57584615398</v>
      </c>
      <c r="AE120" s="61" t="str">
        <f>Tab_Data_Flows[[#This Row],[UoM_Flow_Py]]</f>
        <v>Mg</v>
      </c>
      <c r="AF120" s="111">
        <f>INDEX(Tab_Def_Flows[[Flow_ID]:[CC_DM_source]],MATCH(Tab_Data_Flows[[#This Row],[Name(EN)]],Tab_Def_Flows[Name(EN)],0),18)</f>
        <v>0.76158038147138973</v>
      </c>
      <c r="AG120" s="112">
        <f>IF(K120="Yes",AF120*Tab_Data_Flows[[#This Row],[Flow_Py]]-AJ236,"N.A.")</f>
        <v>700895.60653052235</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hidden="1" thickBot="1" x14ac:dyDescent="0.3">
      <c r="A121" s="60">
        <f t="shared" si="4"/>
        <v>120</v>
      </c>
      <c r="B121" s="49" t="str">
        <f>_xlfn.XLOOKUP(C121,Tab_Def_Flows[Name(EN)],Tab_Def_Flows[Flow_ID],,0,)</f>
        <v>F_00_13</v>
      </c>
      <c r="C121" s="51" t="s">
        <v>498</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938894.24345427786</v>
      </c>
      <c r="P121" s="51" t="s">
        <v>389</v>
      </c>
      <c r="Q121" s="51" t="s">
        <v>362</v>
      </c>
      <c r="R121" s="51"/>
      <c r="S121" s="51"/>
      <c r="T121" s="51"/>
      <c r="U121" s="51"/>
      <c r="V121" s="51"/>
      <c r="W121" s="51"/>
      <c r="X121" s="51" t="s">
        <v>71</v>
      </c>
      <c r="Y121" s="106"/>
      <c r="Z121" s="51"/>
      <c r="AA121" s="86">
        <f t="shared" si="6"/>
        <v>938894.24345427786</v>
      </c>
      <c r="AB121" s="51" t="s">
        <v>63</v>
      </c>
      <c r="AC121" s="111">
        <f>INDEX(Tab_Def_Flows[[Flow_ID]:[CC_DM_source]],MATCH(Tab_Data_Flows[[#This Row],[Name(EN)]],Tab_Def_Flows[Name(EN)],0),16)</f>
        <v>0.23841961852861027</v>
      </c>
      <c r="AD121" s="112">
        <f>IF(J121="Yes",AA121*Tab_Data_Flows[[#This Row],[WC_'[%']]],"N.A.")</f>
        <v>223850.80736307707</v>
      </c>
      <c r="AE121" s="61" t="str">
        <f>Tab_Data_Flows[[#This Row],[UoM_Flow_Py]]</f>
        <v>Mg</v>
      </c>
      <c r="AF121" s="111">
        <f>INDEX(Tab_Def_Flows[[Flow_ID]:[CC_DM_source]],MATCH(Tab_Data_Flows[[#This Row],[Name(EN)]],Tab_Def_Flows[Name(EN)],0),18)</f>
        <v>0.76158038147138973</v>
      </c>
      <c r="AG121" s="112">
        <f>IF(K121="Yes",AF121*Tab_Data_Flows[[#This Row],[Flow_Py]]-AJ237,"N.A.")</f>
        <v>714913.51866113278</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hidden="1" thickBot="1" x14ac:dyDescent="0.3">
      <c r="A122" s="60">
        <f t="shared" si="4"/>
        <v>121</v>
      </c>
      <c r="B122" s="49" t="str">
        <f>_xlfn.XLOOKUP(C122,Tab_Def_Flows[Name(EN)],Tab_Def_Flows[Flow_ID],,0,)</f>
        <v>F_00_13</v>
      </c>
      <c r="C122" s="51" t="s">
        <v>498</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957672.12832336349</v>
      </c>
      <c r="P122" s="51" t="s">
        <v>389</v>
      </c>
      <c r="Q122" s="51" t="s">
        <v>362</v>
      </c>
      <c r="R122" s="51"/>
      <c r="S122" s="51"/>
      <c r="T122" s="51"/>
      <c r="U122" s="51"/>
      <c r="V122" s="51"/>
      <c r="W122" s="51"/>
      <c r="X122" s="51" t="s">
        <v>71</v>
      </c>
      <c r="Y122" s="106"/>
      <c r="Z122" s="51"/>
      <c r="AA122" s="86">
        <f t="shared" si="6"/>
        <v>957672.12832336349</v>
      </c>
      <c r="AB122" s="51" t="s">
        <v>63</v>
      </c>
      <c r="AC122" s="111">
        <f>INDEX(Tab_Def_Flows[[Flow_ID]:[CC_DM_source]],MATCH(Tab_Data_Flows[[#This Row],[Name(EN)]],Tab_Def_Flows[Name(EN)],0),16)</f>
        <v>0.23841961852861027</v>
      </c>
      <c r="AD122" s="112">
        <f>IF(J122="Yes",AA122*Tab_Data_Flows[[#This Row],[WC_'[%']]],"N.A.")</f>
        <v>228327.82351033861</v>
      </c>
      <c r="AE122" s="61" t="str">
        <f>Tab_Data_Flows[[#This Row],[UoM_Flow_Py]]</f>
        <v>Mg</v>
      </c>
      <c r="AF122" s="111">
        <f>INDEX(Tab_Def_Flows[[Flow_ID]:[CC_DM_source]],MATCH(Tab_Data_Flows[[#This Row],[Name(EN)]],Tab_Def_Flows[Name(EN)],0),18)</f>
        <v>0.76158038147138973</v>
      </c>
      <c r="AG122" s="112">
        <f>IF(K122="Yes",AF122*Tab_Data_Flows[[#This Row],[Flow_Py]]-AJ238,"N.A.")</f>
        <v>729211.78903435555</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hidden="1" thickBot="1" x14ac:dyDescent="0.3">
      <c r="A123" s="60">
        <f t="shared" si="4"/>
        <v>122</v>
      </c>
      <c r="B123" s="49" t="str">
        <f>_xlfn.XLOOKUP(C123,Tab_Def_Flows[Name(EN)],Tab_Def_Flows[Flow_ID],,0,)</f>
        <v>F_00_13</v>
      </c>
      <c r="C123" s="51" t="s">
        <v>498</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976825.57088983082</v>
      </c>
      <c r="P123" s="51" t="s">
        <v>389</v>
      </c>
      <c r="Q123" s="51" t="s">
        <v>362</v>
      </c>
      <c r="R123" s="51"/>
      <c r="S123" s="51"/>
      <c r="T123" s="51"/>
      <c r="U123" s="51"/>
      <c r="V123" s="51"/>
      <c r="W123" s="51"/>
      <c r="X123" s="51" t="s">
        <v>71</v>
      </c>
      <c r="Y123" s="106"/>
      <c r="Z123" s="51"/>
      <c r="AA123" s="86">
        <f t="shared" si="6"/>
        <v>976825.57088983082</v>
      </c>
      <c r="AB123" s="51" t="s">
        <v>63</v>
      </c>
      <c r="AC123" s="111">
        <f>INDEX(Tab_Def_Flows[[Flow_ID]:[CC_DM_source]],MATCH(Tab_Data_Flows[[#This Row],[Name(EN)]],Tab_Def_Flows[Name(EN)],0),16)</f>
        <v>0.23841961852861027</v>
      </c>
      <c r="AD123" s="112">
        <f>IF(J123="Yes",AA123*Tab_Data_Flows[[#This Row],[WC_'[%']]],"N.A.")</f>
        <v>232894.3799805454</v>
      </c>
      <c r="AE123" s="61" t="str">
        <f>Tab_Data_Flows[[#This Row],[UoM_Flow_Py]]</f>
        <v>Mg</v>
      </c>
      <c r="AF123" s="111">
        <f>INDEX(Tab_Def_Flows[[Flow_ID]:[CC_DM_source]],MATCH(Tab_Data_Flows[[#This Row],[Name(EN)]],Tab_Def_Flows[Name(EN)],0),18)</f>
        <v>0.76158038147138973</v>
      </c>
      <c r="AG123" s="112">
        <f>IF(K123="Yes",AF123*Tab_Data_Flows[[#This Row],[Flow_Py]]-AJ239,"N.A.")</f>
        <v>743796.02481504274</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hidden="1" x14ac:dyDescent="0.25">
      <c r="A124" s="60">
        <f t="shared" si="4"/>
        <v>123</v>
      </c>
      <c r="B124" s="49" t="str">
        <f>_xlfn.XLOOKUP(C124,Tab_Def_Flows[Name(EN)],Tab_Def_Flows[Flow_ID],,0,)</f>
        <v>F_00_13</v>
      </c>
      <c r="C124" s="51" t="s">
        <v>498</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996362.08230762742</v>
      </c>
      <c r="P124" s="51" t="s">
        <v>389</v>
      </c>
      <c r="Q124" s="51" t="s">
        <v>362</v>
      </c>
      <c r="R124" s="51"/>
      <c r="S124" s="51"/>
      <c r="T124" s="51"/>
      <c r="U124" s="51"/>
      <c r="V124" s="51"/>
      <c r="W124" s="51"/>
      <c r="X124" s="51" t="s">
        <v>71</v>
      </c>
      <c r="Y124" s="106"/>
      <c r="Z124" s="51"/>
      <c r="AA124" s="86">
        <f t="shared" si="6"/>
        <v>996362.08230762742</v>
      </c>
      <c r="AB124" s="51" t="s">
        <v>63</v>
      </c>
      <c r="AC124" s="111">
        <f>INDEX(Tab_Def_Flows[[Flow_ID]:[CC_DM_source]],MATCH(Tab_Data_Flows[[#This Row],[Name(EN)]],Tab_Def_Flows[Name(EN)],0),16)</f>
        <v>0.23841961852861027</v>
      </c>
      <c r="AD124" s="112">
        <f>IF(J124="Yes",AA124*Tab_Data_Flows[[#This Row],[WC_'[%']]],"N.A.")</f>
        <v>237552.2675801563</v>
      </c>
      <c r="AE124" s="61" t="str">
        <f>Tab_Data_Flows[[#This Row],[UoM_Flow_Py]]</f>
        <v>Mg</v>
      </c>
      <c r="AF124" s="111">
        <f>INDEX(Tab_Def_Flows[[Flow_ID]:[CC_DM_source]],MATCH(Tab_Data_Flows[[#This Row],[Name(EN)]],Tab_Def_Flows[Name(EN)],0),18)</f>
        <v>0.76158038147138973</v>
      </c>
      <c r="AG124" s="112">
        <f>IF(K124="Yes",AF124*Tab_Data_Flows[[#This Row],[Flow_Py]]-AJ240,"N.A.")</f>
        <v>758671.94531134353</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hidden="1" x14ac:dyDescent="0.25">
      <c r="A125" s="60"/>
      <c r="B125" s="49" t="str">
        <f>_xlfn.XLOOKUP(C125,Tab_Def_Flows[Name(EN)],Tab_Def_Flows[Flow_ID],,0,)</f>
        <v>F_00_13</v>
      </c>
      <c r="C125" s="51" t="s">
        <v>498</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1016289.32395378</v>
      </c>
      <c r="P125" s="51"/>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1016289.32395378</v>
      </c>
      <c r="AB125" s="51" t="s">
        <v>63</v>
      </c>
      <c r="AC125" s="111">
        <f>INDEX(Tab_Def_Flows[[Flow_ID]:[CC_DM_source]],MATCH(Tab_Data_Flows[[#This Row],[Name(EN)]],Tab_Def_Flows[Name(EN)],0),16)</f>
        <v>0.23841961852861027</v>
      </c>
      <c r="AD125" s="112">
        <f>IF(J125="Yes",AA125*Tab_Data_Flows[[#This Row],[WC_'[%']]],"N.A.")</f>
        <v>242303.31293175946</v>
      </c>
      <c r="AE125" s="61" t="str">
        <f>Tab_Data_Flows[[#This Row],[UoM_Flow_Py]]</f>
        <v>Mg</v>
      </c>
      <c r="AF125" s="111">
        <f>INDEX(Tab_Def_Flows[[Flow_ID]:[CC_DM_source]],MATCH(Tab_Data_Flows[[#This Row],[Name(EN)]],Tab_Def_Flows[Name(EN)],0),18)</f>
        <v>0.76158038147138973</v>
      </c>
      <c r="AG125" s="112">
        <f>IF(K125="Yes",AF125*Tab_Data_Flows[[#This Row],[Flow_Py]]-AJ241,"N.A.")</f>
        <v>773845.38421757042</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hidden="1" x14ac:dyDescent="0.25">
      <c r="A126" s="60"/>
      <c r="B126" s="49" t="str">
        <f>_xlfn.XLOOKUP(C126,Tab_Def_Flows[Name(EN)],Tab_Def_Flows[Flow_ID],,0,)</f>
        <v>F_00_13</v>
      </c>
      <c r="C126" s="51" t="s">
        <v>498</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1036615.1104328557</v>
      </c>
      <c r="P126" s="51"/>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1036615.1104328557</v>
      </c>
      <c r="AB126" s="51" t="s">
        <v>63</v>
      </c>
      <c r="AC126" s="111">
        <f>INDEX(Tab_Def_Flows[[Flow_ID]:[CC_DM_source]],MATCH(Tab_Data_Flows[[#This Row],[Name(EN)]],Tab_Def_Flows[Name(EN)],0),16)</f>
        <v>0.23841961852861027</v>
      </c>
      <c r="AD126" s="112">
        <f>IF(J126="Yes",AA126*Tab_Data_Flows[[#This Row],[WC_'[%']]],"N.A.")</f>
        <v>247149.37919039465</v>
      </c>
      <c r="AE126" s="61" t="str">
        <f>Tab_Data_Flows[[#This Row],[UoM_Flow_Py]]</f>
        <v>Mg</v>
      </c>
      <c r="AF126" s="111">
        <f>INDEX(Tab_Def_Flows[[Flow_ID]:[CC_DM_source]],MATCH(Tab_Data_Flows[[#This Row],[Name(EN)]],Tab_Def_Flows[Name(EN)],0),18)</f>
        <v>0.76158038147138973</v>
      </c>
      <c r="AG126" s="112">
        <f>IF(K126="Yes",AF126*Tab_Data_Flows[[#This Row],[Flow_Py]]-AJ242,"N.A.")</f>
        <v>789322.29190192185</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hidden="1" x14ac:dyDescent="0.25">
      <c r="A127" s="60"/>
      <c r="B127" s="49" t="str">
        <f>_xlfn.XLOOKUP(C127,Tab_Def_Flows[Name(EN)],Tab_Def_Flows[Flow_ID],,0,)</f>
        <v>F_00_13</v>
      </c>
      <c r="C127" s="51" t="s">
        <v>498</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1057347.4126415127</v>
      </c>
      <c r="P127" s="51"/>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1057347.4126415127</v>
      </c>
      <c r="AB127" s="51" t="s">
        <v>63</v>
      </c>
      <c r="AC127" s="111">
        <f>INDEX(Tab_Def_Flows[[Flow_ID]:[CC_DM_source]],MATCH(Tab_Data_Flows[[#This Row],[Name(EN)]],Tab_Def_Flows[Name(EN)],0),16)</f>
        <v>0.23841961852861027</v>
      </c>
      <c r="AD127" s="112">
        <f>IF(J127="Yes",AA127*Tab_Data_Flows[[#This Row],[WC_'[%']]],"N.A.")</f>
        <v>252092.36677420253</v>
      </c>
      <c r="AE127" s="61" t="str">
        <f>Tab_Data_Flows[[#This Row],[UoM_Flow_Py]]</f>
        <v>Mg</v>
      </c>
      <c r="AF127" s="111">
        <f>INDEX(Tab_Def_Flows[[Flow_ID]:[CC_DM_source]],MATCH(Tab_Data_Flows[[#This Row],[Name(EN)]],Tab_Def_Flows[Name(EN)],0),18)</f>
        <v>0.76158038147138973</v>
      </c>
      <c r="AG127" s="112">
        <f>IF(K127="Yes",AF127*Tab_Data_Flows[[#This Row],[Flow_Py]]-AJ243,"N.A.")</f>
        <v>805108.7377399602</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hidden="1" x14ac:dyDescent="0.25">
      <c r="A128" s="60"/>
      <c r="B128" s="49" t="str">
        <f>_xlfn.XLOOKUP(C128,Tab_Def_Flows[Name(EN)],Tab_Def_Flows[Flow_ID],,0,)</f>
        <v>F_00_13</v>
      </c>
      <c r="C128" s="51" t="s">
        <v>498</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1078494.3608943429</v>
      </c>
      <c r="P128" s="51"/>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1078494.3608943429</v>
      </c>
      <c r="AB128" s="51" t="s">
        <v>63</v>
      </c>
      <c r="AC128" s="111">
        <f>INDEX(Tab_Def_Flows[[Flow_ID]:[CC_DM_source]],MATCH(Tab_Data_Flows[[#This Row],[Name(EN)]],Tab_Def_Flows[Name(EN)],0),16)</f>
        <v>0.23841961852861027</v>
      </c>
      <c r="AD128" s="112">
        <f>IF(J128="Yes",AA128*Tab_Data_Flows[[#This Row],[WC_'[%']]],"N.A.")</f>
        <v>257134.21410968655</v>
      </c>
      <c r="AE128" s="61" t="str">
        <f>Tab_Data_Flows[[#This Row],[UoM_Flow_Py]]</f>
        <v>Mg</v>
      </c>
      <c r="AF128" s="111">
        <f>INDEX(Tab_Def_Flows[[Flow_ID]:[CC_DM_source]],MATCH(Tab_Data_Flows[[#This Row],[Name(EN)]],Tab_Def_Flows[Name(EN)],0),18)</f>
        <v>0.76158038147138973</v>
      </c>
      <c r="AG128" s="112">
        <f>IF(K128="Yes",AF128*Tab_Data_Flows[[#This Row],[Flow_Py]]-AJ244,"N.A.")</f>
        <v>821210.91249475942</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hidden="1" x14ac:dyDescent="0.25">
      <c r="A129" s="60"/>
      <c r="B129" s="49" t="str">
        <f>_xlfn.XLOOKUP(C129,Tab_Def_Flows[Name(EN)],Tab_Def_Flows[Flow_ID],,0,)</f>
        <v>F_00_13</v>
      </c>
      <c r="C129" s="51" t="s">
        <v>498</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1100064.2481122299</v>
      </c>
      <c r="P129" s="51"/>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1100064.2481122299</v>
      </c>
      <c r="AB129" s="51" t="s">
        <v>63</v>
      </c>
      <c r="AC129" s="111">
        <f>INDEX(Tab_Def_Flows[[Flow_ID]:[CC_DM_source]],MATCH(Tab_Data_Flows[[#This Row],[Name(EN)]],Tab_Def_Flows[Name(EN)],0),16)</f>
        <v>0.23841961852861027</v>
      </c>
      <c r="AD129" s="112">
        <f>IF(J129="Yes",AA129*Tab_Data_Flows[[#This Row],[WC_'[%']]],"N.A.")</f>
        <v>262276.89839188033</v>
      </c>
      <c r="AE129" s="61" t="str">
        <f>Tab_Data_Flows[[#This Row],[UoM_Flow_Py]]</f>
        <v>Mg</v>
      </c>
      <c r="AF129" s="111">
        <f>INDEX(Tab_Def_Flows[[Flow_ID]:[CC_DM_source]],MATCH(Tab_Data_Flows[[#This Row],[Name(EN)]],Tab_Def_Flows[Name(EN)],0),18)</f>
        <v>0.76158038147138973</v>
      </c>
      <c r="AG129" s="112">
        <f>IF(K129="Yes",AF129*Tab_Data_Flows[[#This Row],[Flow_Py]]-AJ245,"N.A.")</f>
        <v>837635.13074465469</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hidden="1" x14ac:dyDescent="0.25">
      <c r="A130" s="60"/>
      <c r="B130" s="49" t="str">
        <f>_xlfn.XLOOKUP(C130,Tab_Def_Flows[Name(EN)],Tab_Def_Flows[Flow_ID],,0,)</f>
        <v>F_00_13</v>
      </c>
      <c r="C130" s="51" t="s">
        <v>498</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1122065.5330744744</v>
      </c>
      <c r="P130" s="51"/>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1122065.5330744744</v>
      </c>
      <c r="AB130" s="51" t="s">
        <v>63</v>
      </c>
      <c r="AC130" s="111">
        <f>INDEX(Tab_Def_Flows[[Flow_ID]:[CC_DM_source]],MATCH(Tab_Data_Flows[[#This Row],[Name(EN)]],Tab_Def_Flows[Name(EN)],0),16)</f>
        <v>0.23841961852861027</v>
      </c>
      <c r="AD130" s="112">
        <f>IF(J130="Yes",AA130*Tab_Data_Flows[[#This Row],[WC_'[%']]],"N.A.")</f>
        <v>267522.43635971792</v>
      </c>
      <c r="AE130" s="61" t="str">
        <f>Tab_Data_Flows[[#This Row],[UoM_Flow_Py]]</f>
        <v>Mg</v>
      </c>
      <c r="AF130" s="111">
        <f>INDEX(Tab_Def_Flows[[Flow_ID]:[CC_DM_source]],MATCH(Tab_Data_Flows[[#This Row],[Name(EN)]],Tab_Def_Flows[Name(EN)],0),18)</f>
        <v>0.76158038147138973</v>
      </c>
      <c r="AG130" s="112">
        <f>IF(K130="Yes",AF130*Tab_Data_Flows[[#This Row],[Flow_Py]]-AJ246,"N.A.")</f>
        <v>854387.83335954766</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hidden="1" x14ac:dyDescent="0.25">
      <c r="A131" s="60"/>
      <c r="B131" s="49" t="str">
        <f>_xlfn.XLOOKUP(C131,Tab_Def_Flows[Name(EN)],Tab_Def_Flows[Flow_ID],,0,)</f>
        <v>F_00_13</v>
      </c>
      <c r="C131" s="51" t="s">
        <v>498</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1144506.843735964</v>
      </c>
      <c r="P131" s="51"/>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1144506.843735964</v>
      </c>
      <c r="AB131" s="51" t="s">
        <v>63</v>
      </c>
      <c r="AC131" s="111">
        <f>INDEX(Tab_Def_Flows[[Flow_ID]:[CC_DM_source]],MATCH(Tab_Data_Flows[[#This Row],[Name(EN)]],Tab_Def_Flows[Name(EN)],0),16)</f>
        <v>0.23841961852861027</v>
      </c>
      <c r="AD131" s="112">
        <f>IF(J131="Yes",AA131*Tab_Data_Flows[[#This Row],[WC_'[%']]],"N.A.")</f>
        <v>272872.88508691231</v>
      </c>
      <c r="AE131" s="61" t="str">
        <f>Tab_Data_Flows[[#This Row],[UoM_Flow_Py]]</f>
        <v>Mg</v>
      </c>
      <c r="AF131" s="111">
        <f>INDEX(Tab_Def_Flows[[Flow_ID]:[CC_DM_source]],MATCH(Tab_Data_Flows[[#This Row],[Name(EN)]],Tab_Def_Flows[Name(EN)],0),18)</f>
        <v>0.76158038147138973</v>
      </c>
      <c r="AG131" s="112">
        <f>IF(K131="Yes",AF131*Tab_Data_Flows[[#This Row],[Flow_Py]]-AJ247,"N.A.")</f>
        <v>871475.59002673882</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hidden="1" x14ac:dyDescent="0.25">
      <c r="A132" s="60"/>
      <c r="B132" s="49" t="str">
        <f>_xlfn.XLOOKUP(C132,Tab_Def_Flows[Name(EN)],Tab_Def_Flows[Flow_ID],,0,)</f>
        <v>F_00_13</v>
      </c>
      <c r="C132" s="51" t="s">
        <v>498</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1167396.9806106833</v>
      </c>
      <c r="P132" s="51"/>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1167396.9806106833</v>
      </c>
      <c r="AB132" s="51" t="s">
        <v>63</v>
      </c>
      <c r="AC132" s="111">
        <f>INDEX(Tab_Def_Flows[[Flow_ID]:[CC_DM_source]],MATCH(Tab_Data_Flows[[#This Row],[Name(EN)]],Tab_Def_Flows[Name(EN)],0),16)</f>
        <v>0.23841961852861027</v>
      </c>
      <c r="AD132" s="112">
        <f>IF(J132="Yes",AA132*Tab_Data_Flows[[#This Row],[WC_'[%']]],"N.A.")</f>
        <v>278330.34278865054</v>
      </c>
      <c r="AE132" s="61" t="str">
        <f>Tab_Data_Flows[[#This Row],[UoM_Flow_Py]]</f>
        <v>Mg</v>
      </c>
      <c r="AF132" s="111">
        <f>INDEX(Tab_Def_Flows[[Flow_ID]:[CC_DM_source]],MATCH(Tab_Data_Flows[[#This Row],[Name(EN)]],Tab_Def_Flows[Name(EN)],0),18)</f>
        <v>0.76158038147138973</v>
      </c>
      <c r="AG132" s="112">
        <f>IF(K132="Yes",AF132*Tab_Data_Flows[[#This Row],[Flow_Py]]-AJ248,"N.A.")</f>
        <v>888905.10182727361</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hidden="1" x14ac:dyDescent="0.25">
      <c r="A133" s="60"/>
      <c r="B133" s="49" t="str">
        <f>_xlfn.XLOOKUP(C133,Tab_Def_Flows[Name(EN)],Tab_Def_Flows[Flow_ID],,0,)</f>
        <v>F_00_13</v>
      </c>
      <c r="C133" s="51" t="s">
        <v>498</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1190744.9202228971</v>
      </c>
      <c r="P133" s="51"/>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1190744.9202228971</v>
      </c>
      <c r="AB133" s="51" t="s">
        <v>63</v>
      </c>
      <c r="AC133" s="111">
        <f>INDEX(Tab_Def_Flows[[Flow_ID]:[CC_DM_source]],MATCH(Tab_Data_Flows[[#This Row],[Name(EN)]],Tab_Def_Flows[Name(EN)],0),16)</f>
        <v>0.23841961852861027</v>
      </c>
      <c r="AD133" s="112">
        <f>IF(J133="Yes",AA133*Tab_Data_Flows[[#This Row],[WC_'[%']]],"N.A.")</f>
        <v>283896.94964442361</v>
      </c>
      <c r="AE133" s="61" t="str">
        <f>Tab_Data_Flows[[#This Row],[UoM_Flow_Py]]</f>
        <v>Mg</v>
      </c>
      <c r="AF133" s="111">
        <f>INDEX(Tab_Def_Flows[[Flow_ID]:[CC_DM_source]],MATCH(Tab_Data_Flows[[#This Row],[Name(EN)]],Tab_Def_Flows[Name(EN)],0),18)</f>
        <v>0.76158038147138973</v>
      </c>
      <c r="AG133" s="112">
        <f>IF(K133="Yes",AF133*Tab_Data_Flows[[#This Row],[Flow_Py]]-AJ249,"N.A.")</f>
        <v>906683.20386381913</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hidden="1" x14ac:dyDescent="0.25">
      <c r="A134" s="60"/>
      <c r="B134" s="49" t="str">
        <f>_xlfn.XLOOKUP(C134,Tab_Def_Flows[Name(EN)],Tab_Def_Flows[Flow_ID],,0,)</f>
        <v>F_00_13</v>
      </c>
      <c r="C134" s="51" t="s">
        <v>498</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1214559.8186273552</v>
      </c>
      <c r="P134" s="51"/>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1214559.8186273552</v>
      </c>
      <c r="AB134" s="51" t="s">
        <v>63</v>
      </c>
      <c r="AC134" s="111">
        <f>INDEX(Tab_Def_Flows[[Flow_ID]:[CC_DM_source]],MATCH(Tab_Data_Flows[[#This Row],[Name(EN)]],Tab_Def_Flows[Name(EN)],0),16)</f>
        <v>0.23841961852861027</v>
      </c>
      <c r="AD134" s="112">
        <f>IF(J134="Yes",AA134*Tab_Data_Flows[[#This Row],[WC_'[%']]],"N.A.")</f>
        <v>289574.88863731211</v>
      </c>
      <c r="AE134" s="61" t="str">
        <f>Tab_Data_Flows[[#This Row],[UoM_Flow_Py]]</f>
        <v>Mg</v>
      </c>
      <c r="AF134" s="111">
        <f>INDEX(Tab_Def_Flows[[Flow_ID]:[CC_DM_source]],MATCH(Tab_Data_Flows[[#This Row],[Name(EN)]],Tab_Def_Flows[Name(EN)],0),18)</f>
        <v>0.76158038147138973</v>
      </c>
      <c r="AG134" s="112">
        <f>IF(K134="Yes",AF134*Tab_Data_Flows[[#This Row],[Flow_Py]]-AJ250,"N.A.")</f>
        <v>924816.86794109561</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hidden="1" x14ac:dyDescent="0.25">
      <c r="A135" s="60"/>
      <c r="B135" s="49" t="str">
        <f>_xlfn.XLOOKUP(C135,Tab_Def_Flows[Name(EN)],Tab_Def_Flows[Flow_ID],,0,)</f>
        <v>F_00_13</v>
      </c>
      <c r="C135" s="51" t="s">
        <v>498</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1238851.0149999023</v>
      </c>
      <c r="P135" s="51"/>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1238851.0149999023</v>
      </c>
      <c r="AB135" s="51" t="s">
        <v>63</v>
      </c>
      <c r="AC135" s="111">
        <f>INDEX(Tab_Def_Flows[[Flow_ID]:[CC_DM_source]],MATCH(Tab_Data_Flows[[#This Row],[Name(EN)]],Tab_Def_Flows[Name(EN)],0),16)</f>
        <v>0.23841961852861027</v>
      </c>
      <c r="AD135" s="112">
        <f>IF(J135="Yes",AA135*Tab_Data_Flows[[#This Row],[WC_'[%']]],"N.A.")</f>
        <v>295366.38641005836</v>
      </c>
      <c r="AE135" s="61" t="str">
        <f>Tab_Data_Flows[[#This Row],[UoM_Flow_Py]]</f>
        <v>Mg</v>
      </c>
      <c r="AF135" s="111">
        <f>INDEX(Tab_Def_Flows[[Flow_ID]:[CC_DM_source]],MATCH(Tab_Data_Flows[[#This Row],[Name(EN)]],Tab_Def_Flows[Name(EN)],0),18)</f>
        <v>0.76158038147138973</v>
      </c>
      <c r="AG135" s="112">
        <f>IF(K135="Yes",AF135*Tab_Data_Flows[[#This Row],[Flow_Py]]-AJ251,"N.A.")</f>
        <v>943313.20529991761</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hidden="1" x14ac:dyDescent="0.25">
      <c r="A136" s="60"/>
      <c r="B136" s="49" t="str">
        <f>_xlfn.XLOOKUP(C136,Tab_Def_Flows[Name(EN)],Tab_Def_Flows[Flow_ID],,0,)</f>
        <v>F_00_13</v>
      </c>
      <c r="C136" s="51" t="s">
        <v>498</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1263628.0352999005</v>
      </c>
      <c r="P136" s="51"/>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1263628.0352999005</v>
      </c>
      <c r="AB136" s="51" t="s">
        <v>63</v>
      </c>
      <c r="AC136" s="111">
        <f>INDEX(Tab_Def_Flows[[Flow_ID]:[CC_DM_source]],MATCH(Tab_Data_Flows[[#This Row],[Name(EN)]],Tab_Def_Flows[Name(EN)],0),16)</f>
        <v>0.23841961852861027</v>
      </c>
      <c r="AD136" s="112">
        <f>IF(J136="Yes",AA136*Tab_Data_Flows[[#This Row],[WC_'[%']]],"N.A.")</f>
        <v>301273.71413825953</v>
      </c>
      <c r="AE136" s="61" t="str">
        <f>Tab_Data_Flows[[#This Row],[UoM_Flow_Py]]</f>
        <v>Mg</v>
      </c>
      <c r="AF136" s="111">
        <f>INDEX(Tab_Def_Flows[[Flow_ID]:[CC_DM_source]],MATCH(Tab_Data_Flows[[#This Row],[Name(EN)]],Tab_Def_Flows[Name(EN)],0),18)</f>
        <v>0.76158038147138973</v>
      </c>
      <c r="AG136" s="112">
        <f>IF(K136="Yes",AF136*Tab_Data_Flows[[#This Row],[Flow_Py]]-AJ252,"N.A.")</f>
        <v>962179.46940591605</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hidden="1" x14ac:dyDescent="0.25">
      <c r="A137" s="60"/>
      <c r="B137" s="49" t="str">
        <f>_xlfn.XLOOKUP(C137,Tab_Def_Flows[Name(EN)],Tab_Def_Flows[Flow_ID],,0,)</f>
        <v>F_00_13</v>
      </c>
      <c r="C137" s="51" t="s">
        <v>498</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1288900.5960058984</v>
      </c>
      <c r="P137" s="51"/>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1288900.5960058984</v>
      </c>
      <c r="AB137" s="51" t="s">
        <v>63</v>
      </c>
      <c r="AC137" s="111">
        <f>INDEX(Tab_Def_Flows[[Flow_ID]:[CC_DM_source]],MATCH(Tab_Data_Flows[[#This Row],[Name(EN)]],Tab_Def_Flows[Name(EN)],0),16)</f>
        <v>0.23841961852861027</v>
      </c>
      <c r="AD137" s="112">
        <f>IF(J137="Yes",AA137*Tab_Data_Flows[[#This Row],[WC_'[%']]],"N.A.")</f>
        <v>307299.18842102471</v>
      </c>
      <c r="AE137" s="61" t="str">
        <f>Tab_Data_Flows[[#This Row],[UoM_Flow_Py]]</f>
        <v>Mg</v>
      </c>
      <c r="AF137" s="111">
        <f>INDEX(Tab_Def_Flows[[Flow_ID]:[CC_DM_source]],MATCH(Tab_Data_Flows[[#This Row],[Name(EN)]],Tab_Def_Flows[Name(EN)],0),18)</f>
        <v>0.76158038147138973</v>
      </c>
      <c r="AG137" s="112">
        <f>IF(K137="Yes",AF137*Tab_Data_Flows[[#This Row],[Flow_Py]]-AJ253,"N.A.")</f>
        <v>981423.0587940343</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hidden="1" x14ac:dyDescent="0.25">
      <c r="A138" s="60"/>
      <c r="B138" s="49" t="str">
        <f>_xlfn.XLOOKUP(C138,Tab_Def_Flows[Name(EN)],Tab_Def_Flows[Flow_ID],,0,)</f>
        <v>F_00_13</v>
      </c>
      <c r="C138" s="51" t="s">
        <v>498</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1314678.6079260164</v>
      </c>
      <c r="P138" s="51"/>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1314678.6079260164</v>
      </c>
      <c r="AB138" s="51" t="s">
        <v>63</v>
      </c>
      <c r="AC138" s="111">
        <f>INDEX(Tab_Def_Flows[[Flow_ID]:[CC_DM_source]],MATCH(Tab_Data_Flows[[#This Row],[Name(EN)]],Tab_Def_Flows[Name(EN)],0),16)</f>
        <v>0.23841961852861027</v>
      </c>
      <c r="AD138" s="112">
        <f>IF(J138="Yes",AA138*Tab_Data_Flows[[#This Row],[WC_'[%']]],"N.A.")</f>
        <v>313445.17218944523</v>
      </c>
      <c r="AE138" s="61" t="str">
        <f>Tab_Data_Flows[[#This Row],[UoM_Flow_Py]]</f>
        <v>Mg</v>
      </c>
      <c r="AF138" s="111">
        <f>INDEX(Tab_Def_Flows[[Flow_ID]:[CC_DM_source]],MATCH(Tab_Data_Flows[[#This Row],[Name(EN)]],Tab_Def_Flows[Name(EN)],0),18)</f>
        <v>0.76158038147138973</v>
      </c>
      <c r="AG138" s="112">
        <f>IF(K138="Yes",AF138*Tab_Data_Flows[[#This Row],[Flow_Py]]-AJ254,"N.A.")</f>
        <v>1001051.519969915</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hidden="1" x14ac:dyDescent="0.25">
      <c r="A139" s="60"/>
      <c r="B139" s="49" t="str">
        <f>_xlfn.XLOOKUP(C139,Tab_Def_Flows[Name(EN)],Tab_Def_Flows[Flow_ID],,0,)</f>
        <v>F_00_13</v>
      </c>
      <c r="C139" s="51" t="s">
        <v>498</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1340972.1800845368</v>
      </c>
      <c r="P139" s="51"/>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1340972.1800845368</v>
      </c>
      <c r="AB139" s="51" t="s">
        <v>63</v>
      </c>
      <c r="AC139" s="111">
        <f>INDEX(Tab_Def_Flows[[Flow_ID]:[CC_DM_source]],MATCH(Tab_Data_Flows[[#This Row],[Name(EN)]],Tab_Def_Flows[Name(EN)],0),16)</f>
        <v>0.23841961852861027</v>
      </c>
      <c r="AD139" s="112">
        <f>IF(J139="Yes",AA139*Tab_Data_Flows[[#This Row],[WC_'[%']]],"N.A.")</f>
        <v>319714.07563323411</v>
      </c>
      <c r="AE139" s="61" t="str">
        <f>Tab_Data_Flows[[#This Row],[UoM_Flow_Py]]</f>
        <v>Mg</v>
      </c>
      <c r="AF139" s="111">
        <f>INDEX(Tab_Def_Flows[[Flow_ID]:[CC_DM_source]],MATCH(Tab_Data_Flows[[#This Row],[Name(EN)]],Tab_Def_Flows[Name(EN)],0),18)</f>
        <v>0.76158038147138973</v>
      </c>
      <c r="AG139" s="112">
        <f>IF(K139="Yes",AF139*Tab_Data_Flows[[#This Row],[Flow_Py]]-AJ255,"N.A.")</f>
        <v>1021072.5503693133</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hidden="1" x14ac:dyDescent="0.25">
      <c r="A140" s="60"/>
      <c r="B140" s="49" t="str">
        <f>_xlfn.XLOOKUP(C140,Tab_Def_Flows[Name(EN)],Tab_Def_Flows[Flow_ID],,0,)</f>
        <v>F_00_13</v>
      </c>
      <c r="C140" s="51" t="s">
        <v>498</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1367791.6236862275</v>
      </c>
      <c r="P140" s="51"/>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1367791.6236862275</v>
      </c>
      <c r="AB140" s="51" t="s">
        <v>63</v>
      </c>
      <c r="AC140" s="111">
        <f>INDEX(Tab_Def_Flows[[Flow_ID]:[CC_DM_source]],MATCH(Tab_Data_Flows[[#This Row],[Name(EN)]],Tab_Def_Flows[Name(EN)],0),16)</f>
        <v>0.23841961852861027</v>
      </c>
      <c r="AD140" s="112">
        <f>IF(J140="Yes",AA140*Tab_Data_Flows[[#This Row],[WC_'[%']]],"N.A.")</f>
        <v>326108.3571458988</v>
      </c>
      <c r="AE140" s="61" t="str">
        <f>Tab_Data_Flows[[#This Row],[UoM_Flow_Py]]</f>
        <v>Mg</v>
      </c>
      <c r="AF140" s="111">
        <f>INDEX(Tab_Def_Flows[[Flow_ID]:[CC_DM_source]],MATCH(Tab_Data_Flows[[#This Row],[Name(EN)]],Tab_Def_Flows[Name(EN)],0),18)</f>
        <v>0.76158038147138973</v>
      </c>
      <c r="AG140" s="112">
        <f>IF(K140="Yes",AF140*Tab_Data_Flows[[#This Row],[Flow_Py]]-AJ256,"N.A.")</f>
        <v>1041494.0013766995</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hidden="1" x14ac:dyDescent="0.25">
      <c r="A141" s="60"/>
      <c r="B141" s="49" t="str">
        <f>_xlfn.XLOOKUP(C141,Tab_Def_Flows[Name(EN)],Tab_Def_Flows[Flow_ID],,0,)</f>
        <v>F_00_13</v>
      </c>
      <c r="C141" s="51" t="s">
        <v>498</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1395147.4561599521</v>
      </c>
      <c r="P141" s="51"/>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1395147.4561599521</v>
      </c>
      <c r="AB141" s="51" t="s">
        <v>63</v>
      </c>
      <c r="AC141" s="111">
        <f>INDEX(Tab_Def_Flows[[Flow_ID]:[CC_DM_source]],MATCH(Tab_Data_Flows[[#This Row],[Name(EN)]],Tab_Def_Flows[Name(EN)],0),16)</f>
        <v>0.23841961852861027</v>
      </c>
      <c r="AD141" s="112">
        <f>IF(J141="Yes",AA141*Tab_Data_Flows[[#This Row],[WC_'[%']]],"N.A.")</f>
        <v>332630.52428881678</v>
      </c>
      <c r="AE141" s="61" t="str">
        <f>Tab_Data_Flows[[#This Row],[UoM_Flow_Py]]</f>
        <v>Mg</v>
      </c>
      <c r="AF141" s="111">
        <f>INDEX(Tab_Def_Flows[[Flow_ID]:[CC_DM_source]],MATCH(Tab_Data_Flows[[#This Row],[Name(EN)]],Tab_Def_Flows[Name(EN)],0),18)</f>
        <v>0.76158038147138973</v>
      </c>
      <c r="AG141" s="112">
        <f>IF(K141="Yes",AF141*Tab_Data_Flows[[#This Row],[Flow_Py]]-AJ257,"N.A.")</f>
        <v>1062323.8814042336</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hidden="1" x14ac:dyDescent="0.25">
      <c r="A142" s="60"/>
      <c r="B142" s="49" t="str">
        <f>_xlfn.XLOOKUP(C142,Tab_Def_Flows[Name(EN)],Tab_Def_Flows[Flow_ID],,0,)</f>
        <v>F_00_13</v>
      </c>
      <c r="C142" s="51" t="s">
        <v>498</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1423050.4052831512</v>
      </c>
      <c r="P142" s="51"/>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1423050.4052831512</v>
      </c>
      <c r="AB142" s="51" t="s">
        <v>63</v>
      </c>
      <c r="AC142" s="111">
        <f>INDEX(Tab_Def_Flows[[Flow_ID]:[CC_DM_source]],MATCH(Tab_Data_Flows[[#This Row],[Name(EN)]],Tab_Def_Flows[Name(EN)],0),16)</f>
        <v>0.23841961852861027</v>
      </c>
      <c r="AD142" s="112">
        <f>IF(J142="Yes",AA142*Tab_Data_Flows[[#This Row],[WC_'[%']]],"N.A.")</f>
        <v>339283.13477459317</v>
      </c>
      <c r="AE142" s="61" t="str">
        <f>Tab_Data_Flows[[#This Row],[UoM_Flow_Py]]</f>
        <v>Mg</v>
      </c>
      <c r="AF142" s="111">
        <f>INDEX(Tab_Def_Flows[[Flow_ID]:[CC_DM_source]],MATCH(Tab_Data_Flows[[#This Row],[Name(EN)]],Tab_Def_Flows[Name(EN)],0),18)</f>
        <v>0.76158038147138973</v>
      </c>
      <c r="AG142" s="112">
        <f>IF(K142="Yes",AF142*Tab_Data_Flows[[#This Row],[Flow_Py]]-AJ258,"N.A.")</f>
        <v>1083570.3590323182</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hidden="1" x14ac:dyDescent="0.25">
      <c r="A143" s="60"/>
      <c r="B143" s="49" t="str">
        <f>_xlfn.XLOOKUP(C143,Tab_Def_Flows[Name(EN)],Tab_Def_Flows[Flow_ID],,0,)</f>
        <v>F_00_13</v>
      </c>
      <c r="C143" s="51" t="s">
        <v>498</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1451511.4133888143</v>
      </c>
      <c r="P143" s="51"/>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1451511.4133888143</v>
      </c>
      <c r="AB143" s="51" t="s">
        <v>63</v>
      </c>
      <c r="AC143" s="111">
        <f>INDEX(Tab_Def_Flows[[Flow_ID]:[CC_DM_source]],MATCH(Tab_Data_Flows[[#This Row],[Name(EN)]],Tab_Def_Flows[Name(EN)],0),16)</f>
        <v>0.23841961852861027</v>
      </c>
      <c r="AD143" s="112">
        <f>IF(J143="Yes",AA143*Tab_Data_Flows[[#This Row],[WC_'[%']]],"N.A.")</f>
        <v>346068.79747008503</v>
      </c>
      <c r="AE143" s="61" t="str">
        <f>Tab_Data_Flows[[#This Row],[UoM_Flow_Py]]</f>
        <v>Mg</v>
      </c>
      <c r="AF143" s="111">
        <f>INDEX(Tab_Def_Flows[[Flow_ID]:[CC_DM_source]],MATCH(Tab_Data_Flows[[#This Row],[Name(EN)]],Tab_Def_Flows[Name(EN)],0),18)</f>
        <v>0.76158038147138973</v>
      </c>
      <c r="AG143" s="112">
        <f>IF(K143="Yes",AF143*Tab_Data_Flows[[#This Row],[Flow_Py]]-AJ259,"N.A.")</f>
        <v>1105241.7662129647</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hidden="1" x14ac:dyDescent="0.25">
      <c r="A144" s="60"/>
      <c r="B144" s="49" t="str">
        <f>_xlfn.XLOOKUP(C144,Tab_Def_Flows[Name(EN)],Tab_Def_Flows[Flow_ID],,0,)</f>
        <v>F_00_13</v>
      </c>
      <c r="C144" s="51" t="s">
        <v>498</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1480541.6416565906</v>
      </c>
      <c r="P144" s="51"/>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1480541.6416565906</v>
      </c>
      <c r="AB144" s="51" t="s">
        <v>63</v>
      </c>
      <c r="AC144" s="111">
        <f>INDEX(Tab_Def_Flows[[Flow_ID]:[CC_DM_source]],MATCH(Tab_Data_Flows[[#This Row],[Name(EN)]],Tab_Def_Flows[Name(EN)],0),16)</f>
        <v>0.23841961852861027</v>
      </c>
      <c r="AD144" s="112">
        <f>IF(J144="Yes",AA144*Tab_Data_Flows[[#This Row],[WC_'[%']]],"N.A.")</f>
        <v>352990.17341948673</v>
      </c>
      <c r="AE144" s="61" t="str">
        <f>Tab_Data_Flows[[#This Row],[UoM_Flow_Py]]</f>
        <v>Mg</v>
      </c>
      <c r="AF144" s="111">
        <f>INDEX(Tab_Def_Flows[[Flow_ID]:[CC_DM_source]],MATCH(Tab_Data_Flows[[#This Row],[Name(EN)]],Tab_Def_Flows[Name(EN)],0),18)</f>
        <v>0.76158038147138973</v>
      </c>
      <c r="AG144" s="112">
        <f>IF(K144="Yes",AF144*Tab_Data_Flows[[#This Row],[Flow_Py]]-AJ260,"N.A.")</f>
        <v>1127346.6015372241</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hidden="1" x14ac:dyDescent="0.25">
      <c r="A145" s="60"/>
      <c r="B145" s="49" t="str">
        <f>_xlfn.XLOOKUP(C145,Tab_Def_Flows[Name(EN)],Tab_Def_Flows[Flow_ID],,0,)</f>
        <v>F_00_13</v>
      </c>
      <c r="C145" s="51" t="s">
        <v>498</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1510152.4744897224</v>
      </c>
      <c r="P145" s="51"/>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1510152.4744897224</v>
      </c>
      <c r="AB145" s="51" t="s">
        <v>63</v>
      </c>
      <c r="AC145" s="111">
        <f>INDEX(Tab_Def_Flows[[Flow_ID]:[CC_DM_source]],MATCH(Tab_Data_Flows[[#This Row],[Name(EN)]],Tab_Def_Flows[Name(EN)],0),16)</f>
        <v>0.23841961852861027</v>
      </c>
      <c r="AD145" s="112">
        <f>IF(J145="Yes",AA145*Tab_Data_Flows[[#This Row],[WC_'[%']]],"N.A.")</f>
        <v>360049.97688787646</v>
      </c>
      <c r="AE145" s="61" t="str">
        <f>Tab_Data_Flows[[#This Row],[UoM_Flow_Py]]</f>
        <v>Mg</v>
      </c>
      <c r="AF145" s="111">
        <f>INDEX(Tab_Def_Flows[[Flow_ID]:[CC_DM_source]],MATCH(Tab_Data_Flows[[#This Row],[Name(EN)]],Tab_Def_Flows[Name(EN)],0),18)</f>
        <v>0.76158038147138973</v>
      </c>
      <c r="AG145" s="112">
        <f>IF(K145="Yes",AF145*Tab_Data_Flows[[#This Row],[Flow_Py]]-AJ261,"N.A.")</f>
        <v>1149893.5335679685</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hidden="1" thickBot="1" x14ac:dyDescent="0.3">
      <c r="A146" s="60"/>
      <c r="B146" s="49" t="str">
        <f>_xlfn.XLOOKUP(C146,Tab_Def_Flows[Name(EN)],Tab_Def_Flows[Flow_ID],,0,)</f>
        <v>F_00_13</v>
      </c>
      <c r="C146" s="51" t="s">
        <v>498</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1540355.5239795169</v>
      </c>
      <c r="P146" s="51"/>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1540355.5239795169</v>
      </c>
      <c r="AB146" s="51" t="s">
        <v>63</v>
      </c>
      <c r="AC146" s="111">
        <f>INDEX(Tab_Def_Flows[[Flow_ID]:[CC_DM_source]],MATCH(Tab_Data_Flows[[#This Row],[Name(EN)]],Tab_Def_Flows[Name(EN)],0),16)</f>
        <v>0.23841961852861027</v>
      </c>
      <c r="AD146" s="112">
        <f>IF(J146="Yes",AA146*Tab_Data_Flows[[#This Row],[WC_'[%']]],"N.A.")</f>
        <v>367250.976425634</v>
      </c>
      <c r="AE146" s="61" t="str">
        <f>Tab_Data_Flows[[#This Row],[UoM_Flow_Py]]</f>
        <v>Mg</v>
      </c>
      <c r="AF146" s="111">
        <f>INDEX(Tab_Def_Flows[[Flow_ID]:[CC_DM_source]],MATCH(Tab_Data_Flows[[#This Row],[Name(EN)]],Tab_Def_Flows[Name(EN)],0),18)</f>
        <v>0.76158038147138973</v>
      </c>
      <c r="AG146" s="112">
        <f>IF(K146="Yes",AF146*Tab_Data_Flows[[#This Row],[Flow_Py]]-AJ262,"N.A.")</f>
        <v>1172891.4042393279</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499</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53945.414615538008</v>
      </c>
      <c r="P147" s="51" t="s">
        <v>389</v>
      </c>
      <c r="Q147" s="51"/>
      <c r="R147" s="51"/>
      <c r="S147" s="51"/>
      <c r="T147" s="51"/>
      <c r="U147" s="51"/>
      <c r="V147" s="51"/>
      <c r="W147" s="51"/>
      <c r="X147" s="51" t="s">
        <v>71</v>
      </c>
      <c r="Y147" s="106"/>
      <c r="Z147" s="51"/>
      <c r="AA147" s="86">
        <f t="shared" si="9"/>
        <v>53945.414615538008</v>
      </c>
      <c r="AB147" s="51" t="s">
        <v>63</v>
      </c>
      <c r="AC147" s="111">
        <f>INDEX(Tab_Def_Flows[[Flow_ID]:[CC_DM_source]],MATCH(Tab_Data_Flows[[#This Row],[Name(EN)]],Tab_Def_Flows[Name(EN)],0),16)</f>
        <v>0.96738928652461786</v>
      </c>
      <c r="AD147" s="112">
        <f>IF(J147="Yes",AA147*Tab_Data_Flows[[#This Row],[WC_'[%']]],"N.A.")</f>
        <v>52186.216156200004</v>
      </c>
      <c r="AE147" s="61" t="str">
        <f>Tab_Data_Flows[[#This Row],[UoM_Flow_Py]]</f>
        <v>Mg</v>
      </c>
      <c r="AF147" s="111">
        <f>INDEX(Tab_Def_Flows[[Flow_ID]:[CC_DM_source]],MATCH(Tab_Data_Flows[[#This Row],[Name(EN)]],Tab_Def_Flows[Name(EN)],0),18)</f>
        <v>3.2610713475382108E-2</v>
      </c>
      <c r="AG147" s="112">
        <f>IF(K147="Yes",AF147*Tab_Data_Flows[[#This Row],[Flow_Py]],"N.A.")</f>
        <v>1759.1984593380002</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hidden="1" thickBot="1" x14ac:dyDescent="0.3">
      <c r="A148" s="60">
        <f t="shared" si="4"/>
        <v>147</v>
      </c>
      <c r="B148" s="49" t="str">
        <f>_xlfn.XLOOKUP(C148,Tab_Def_Flows[Name(EN)],Tab_Def_Flows[Flow_ID],,0,)</f>
        <v>F_00_04</v>
      </c>
      <c r="C148" s="51" t="s">
        <v>499</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55024.322907848771</v>
      </c>
      <c r="P148" s="51" t="s">
        <v>389</v>
      </c>
      <c r="Q148" s="51"/>
      <c r="R148" s="51"/>
      <c r="S148" s="51"/>
      <c r="T148" s="51"/>
      <c r="U148" s="51"/>
      <c r="V148" s="51"/>
      <c r="W148" s="51"/>
      <c r="X148" s="51" t="s">
        <v>71</v>
      </c>
      <c r="Y148" s="106"/>
      <c r="Z148" s="51"/>
      <c r="AA148" s="86">
        <f t="shared" si="9"/>
        <v>55024.322907848771</v>
      </c>
      <c r="AB148" s="51" t="s">
        <v>63</v>
      </c>
      <c r="AC148" s="111">
        <f>INDEX(Tab_Def_Flows[[Flow_ID]:[CC_DM_source]],MATCH(Tab_Data_Flows[[#This Row],[Name(EN)]],Tab_Def_Flows[Name(EN)],0),16)</f>
        <v>0.96738928652461786</v>
      </c>
      <c r="AD148" s="112">
        <f>IF(J148="Yes",AA148*Tab_Data_Flows[[#This Row],[WC_'[%']]],"N.A.")</f>
        <v>53229.94047932401</v>
      </c>
      <c r="AE148" s="61" t="str">
        <f>Tab_Data_Flows[[#This Row],[UoM_Flow_Py]]</f>
        <v>Mg</v>
      </c>
      <c r="AF148" s="111">
        <f>INDEX(Tab_Def_Flows[[Flow_ID]:[CC_DM_source]],MATCH(Tab_Data_Flows[[#This Row],[Name(EN)]],Tab_Def_Flows[Name(EN)],0),18)</f>
        <v>3.2610713475382108E-2</v>
      </c>
      <c r="AG148" s="112">
        <f>IF(K148="Yes",AF148*Tab_Data_Flows[[#This Row],[Flow_Py]]-AJ264,"N.A.")</f>
        <v>1793.1739445068024</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hidden="1" thickBot="1" x14ac:dyDescent="0.3">
      <c r="A149" s="60">
        <f t="shared" si="4"/>
        <v>148</v>
      </c>
      <c r="B149" s="49" t="str">
        <f>_xlfn.XLOOKUP(C149,Tab_Def_Flows[Name(EN)],Tab_Def_Flows[Flow_ID],,0,)</f>
        <v>F_00_04</v>
      </c>
      <c r="C149" s="51" t="s">
        <v>499</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56124.809366005749</v>
      </c>
      <c r="P149" s="51" t="s">
        <v>389</v>
      </c>
      <c r="Q149" s="51"/>
      <c r="R149" s="51"/>
      <c r="S149" s="51"/>
      <c r="T149" s="51"/>
      <c r="U149" s="51"/>
      <c r="V149" s="51"/>
      <c r="W149" s="51"/>
      <c r="X149" s="51" t="s">
        <v>71</v>
      </c>
      <c r="Y149" s="106"/>
      <c r="Z149" s="51"/>
      <c r="AA149" s="86">
        <f t="shared" si="9"/>
        <v>56124.809366005749</v>
      </c>
      <c r="AB149" s="51" t="s">
        <v>63</v>
      </c>
      <c r="AC149" s="111">
        <f>INDEX(Tab_Def_Flows[[Flow_ID]:[CC_DM_source]],MATCH(Tab_Data_Flows[[#This Row],[Name(EN)]],Tab_Def_Flows[Name(EN)],0),16)</f>
        <v>0.96738928652461786</v>
      </c>
      <c r="AD149" s="112">
        <f>IF(J149="Yes",AA149*Tab_Data_Flows[[#This Row],[WC_'[%']]],"N.A.")</f>
        <v>54294.539288910491</v>
      </c>
      <c r="AE149" s="61" t="str">
        <f>Tab_Data_Flows[[#This Row],[UoM_Flow_Py]]</f>
        <v>Mg</v>
      </c>
      <c r="AF149" s="111">
        <f>INDEX(Tab_Def_Flows[[Flow_ID]:[CC_DM_source]],MATCH(Tab_Data_Flows[[#This Row],[Name(EN)]],Tab_Def_Flows[Name(EN)],0),18)</f>
        <v>3.2610713475382108E-2</v>
      </c>
      <c r="AG149" s="112">
        <f>IF(K149="Yes",AF149*Tab_Data_Flows[[#This Row],[Flow_Py]]-AJ265,"N.A.")</f>
        <v>1829.0374233969385</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hidden="1" thickBot="1" x14ac:dyDescent="0.3">
      <c r="A150" s="60">
        <f t="shared" si="4"/>
        <v>149</v>
      </c>
      <c r="B150" s="49" t="str">
        <f>_xlfn.XLOOKUP(C150,Tab_Def_Flows[Name(EN)],Tab_Def_Flows[Flow_ID],,0,)</f>
        <v>F_00_04</v>
      </c>
      <c r="C150" s="51" t="s">
        <v>499</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57247.305553325867</v>
      </c>
      <c r="P150" s="51" t="s">
        <v>389</v>
      </c>
      <c r="Q150" s="51"/>
      <c r="R150" s="51"/>
      <c r="S150" s="51"/>
      <c r="T150" s="51"/>
      <c r="U150" s="51"/>
      <c r="V150" s="51"/>
      <c r="W150" s="51"/>
      <c r="X150" s="51" t="s">
        <v>71</v>
      </c>
      <c r="Y150" s="106"/>
      <c r="Z150" s="51"/>
      <c r="AA150" s="86">
        <f t="shared" si="9"/>
        <v>57247.305553325867</v>
      </c>
      <c r="AB150" s="51" t="s">
        <v>63</v>
      </c>
      <c r="AC150" s="111">
        <f>INDEX(Tab_Def_Flows[[Flow_ID]:[CC_DM_source]],MATCH(Tab_Data_Flows[[#This Row],[Name(EN)]],Tab_Def_Flows[Name(EN)],0),16)</f>
        <v>0.96738928652461786</v>
      </c>
      <c r="AD150" s="112">
        <f>IF(J150="Yes",AA150*Tab_Data_Flows[[#This Row],[WC_'[%']]],"N.A.")</f>
        <v>55380.430074688702</v>
      </c>
      <c r="AE150" s="61" t="str">
        <f>Tab_Data_Flows[[#This Row],[UoM_Flow_Py]]</f>
        <v>Mg</v>
      </c>
      <c r="AF150" s="111">
        <f>INDEX(Tab_Def_Flows[[Flow_ID]:[CC_DM_source]],MATCH(Tab_Data_Flows[[#This Row],[Name(EN)]],Tab_Def_Flows[Name(EN)],0),18)</f>
        <v>3.2610713475382108E-2</v>
      </c>
      <c r="AG150" s="112">
        <f>IF(K150="Yes",AF150*Tab_Data_Flows[[#This Row],[Flow_Py]]-AJ266,"N.A.")</f>
        <v>1865.6181718648772</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hidden="1" thickBot="1" x14ac:dyDescent="0.3">
      <c r="A151" s="60">
        <f t="shared" si="4"/>
        <v>150</v>
      </c>
      <c r="B151" s="49" t="str">
        <f>_xlfn.XLOOKUP(C151,Tab_Def_Flows[Name(EN)],Tab_Def_Flows[Flow_ID],,0,)</f>
        <v>F_00_04</v>
      </c>
      <c r="C151" s="51" t="s">
        <v>499</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58392.251664392388</v>
      </c>
      <c r="P151" s="51" t="s">
        <v>389</v>
      </c>
      <c r="Q151" s="51"/>
      <c r="R151" s="51"/>
      <c r="S151" s="51"/>
      <c r="T151" s="51"/>
      <c r="U151" s="51"/>
      <c r="V151" s="51"/>
      <c r="W151" s="51"/>
      <c r="X151" s="51" t="s">
        <v>71</v>
      </c>
      <c r="Y151" s="106"/>
      <c r="Z151" s="51"/>
      <c r="AA151" s="86">
        <f t="shared" si="9"/>
        <v>58392.251664392388</v>
      </c>
      <c r="AB151" s="51" t="s">
        <v>63</v>
      </c>
      <c r="AC151" s="111">
        <f>INDEX(Tab_Def_Flows[[Flow_ID]:[CC_DM_source]],MATCH(Tab_Data_Flows[[#This Row],[Name(EN)]],Tab_Def_Flows[Name(EN)],0),16)</f>
        <v>0.96738928652461786</v>
      </c>
      <c r="AD151" s="112">
        <f>IF(J151="Yes",AA151*Tab_Data_Flows[[#This Row],[WC_'[%']]],"N.A.")</f>
        <v>56488.038676182485</v>
      </c>
      <c r="AE151" s="61" t="str">
        <f>Tab_Data_Flows[[#This Row],[UoM_Flow_Py]]</f>
        <v>Mg</v>
      </c>
      <c r="AF151" s="111">
        <f>INDEX(Tab_Def_Flows[[Flow_ID]:[CC_DM_source]],MATCH(Tab_Data_Flows[[#This Row],[Name(EN)]],Tab_Def_Flows[Name(EN)],0),18)</f>
        <v>3.2610713475382108E-2</v>
      </c>
      <c r="AG151" s="112">
        <f>IF(K151="Yes",AF151*Tab_Data_Flows[[#This Row],[Flow_Py]]-AJ267,"N.A.")</f>
        <v>1902.930535302175</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hidden="1" thickBot="1" x14ac:dyDescent="0.3">
      <c r="A152" s="60">
        <f t="shared" si="4"/>
        <v>151</v>
      </c>
      <c r="B152" s="49" t="str">
        <f>_xlfn.XLOOKUP(C152,Tab_Def_Flows[Name(EN)],Tab_Def_Flows[Flow_ID],,0,)</f>
        <v>F_00_04</v>
      </c>
      <c r="C152" s="51" t="s">
        <v>499</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59560.096697680237</v>
      </c>
      <c r="P152" s="51" t="s">
        <v>389</v>
      </c>
      <c r="Q152" s="51"/>
      <c r="R152" s="51"/>
      <c r="S152" s="51"/>
      <c r="T152" s="51"/>
      <c r="U152" s="51"/>
      <c r="V152" s="51"/>
      <c r="W152" s="51"/>
      <c r="X152" s="51" t="s">
        <v>71</v>
      </c>
      <c r="Y152" s="106"/>
      <c r="Z152" s="51"/>
      <c r="AA152" s="86">
        <f t="shared" si="9"/>
        <v>59560.096697680237</v>
      </c>
      <c r="AB152" s="51" t="s">
        <v>63</v>
      </c>
      <c r="AC152" s="111">
        <f>INDEX(Tab_Def_Flows[[Flow_ID]:[CC_DM_source]],MATCH(Tab_Data_Flows[[#This Row],[Name(EN)]],Tab_Def_Flows[Name(EN)],0),16)</f>
        <v>0.96738928652461786</v>
      </c>
      <c r="AD152" s="112">
        <f>IF(J152="Yes",AA152*Tab_Data_Flows[[#This Row],[WC_'[%']]],"N.A.")</f>
        <v>57617.79944970613</v>
      </c>
      <c r="AE152" s="61" t="str">
        <f>Tab_Data_Flows[[#This Row],[UoM_Flow_Py]]</f>
        <v>Mg</v>
      </c>
      <c r="AF152" s="111">
        <f>INDEX(Tab_Def_Flows[[Flow_ID]:[CC_DM_source]],MATCH(Tab_Data_Flows[[#This Row],[Name(EN)]],Tab_Def_Flows[Name(EN)],0),18)</f>
        <v>3.2610713475382108E-2</v>
      </c>
      <c r="AG152" s="112">
        <f>IF(K152="Yes",AF152*Tab_Data_Flows[[#This Row],[Flow_Py]]-AJ268,"N.A.")</f>
        <v>1940.9891460082185</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hidden="1" x14ac:dyDescent="0.25">
      <c r="A153" s="60">
        <f t="shared" si="4"/>
        <v>152</v>
      </c>
      <c r="B153" s="49" t="str">
        <f>_xlfn.XLOOKUP(C153,Tab_Def_Flows[Name(EN)],Tab_Def_Flows[Flow_ID],,0,)</f>
        <v>F_00_04</v>
      </c>
      <c r="C153" s="51" t="s">
        <v>499</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60751.298631633843</v>
      </c>
      <c r="P153" s="51" t="s">
        <v>389</v>
      </c>
      <c r="Q153" s="51"/>
      <c r="R153" s="51"/>
      <c r="S153" s="51"/>
      <c r="T153" s="51"/>
      <c r="U153" s="51"/>
      <c r="V153" s="51"/>
      <c r="W153" s="51"/>
      <c r="X153" s="51" t="s">
        <v>71</v>
      </c>
      <c r="Y153" s="106"/>
      <c r="Z153" s="51"/>
      <c r="AA153" s="86">
        <f t="shared" si="9"/>
        <v>60751.298631633843</v>
      </c>
      <c r="AB153" s="51" t="s">
        <v>63</v>
      </c>
      <c r="AC153" s="111">
        <f>INDEX(Tab_Def_Flows[[Flow_ID]:[CC_DM_source]],MATCH(Tab_Data_Flows[[#This Row],[Name(EN)]],Tab_Def_Flows[Name(EN)],0),16)</f>
        <v>0.96738928652461786</v>
      </c>
      <c r="AD153" s="112">
        <f>IF(J153="Yes",AA153*Tab_Data_Flows[[#This Row],[WC_'[%']]],"N.A.")</f>
        <v>58770.155438700254</v>
      </c>
      <c r="AE153" s="61" t="str">
        <f>Tab_Data_Flows[[#This Row],[UoM_Flow_Py]]</f>
        <v>Mg</v>
      </c>
      <c r="AF153" s="111">
        <f>INDEX(Tab_Def_Flows[[Flow_ID]:[CC_DM_source]],MATCH(Tab_Data_Flows[[#This Row],[Name(EN)]],Tab_Def_Flows[Name(EN)],0),18)</f>
        <v>3.2610713475382108E-2</v>
      </c>
      <c r="AG153" s="112">
        <f>IF(K153="Yes",AF153*Tab_Data_Flows[[#This Row],[Flow_Py]]-AJ269,"N.A.")</f>
        <v>1979.808928928383</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hidden="1" x14ac:dyDescent="0.25">
      <c r="A154" s="60"/>
      <c r="B154" s="49" t="str">
        <f>_xlfn.XLOOKUP(C154,Tab_Def_Flows[Name(EN)],Tab_Def_Flows[Flow_ID],,0,)</f>
        <v>F_00_04</v>
      </c>
      <c r="C154" s="51" t="s">
        <v>499</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61966.32460426652</v>
      </c>
      <c r="P154" s="51"/>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61966.32460426652</v>
      </c>
      <c r="AB154" s="51" t="s">
        <v>63</v>
      </c>
      <c r="AC154" s="111">
        <f>INDEX(Tab_Def_Flows[[Flow_ID]:[CC_DM_source]],MATCH(Tab_Data_Flows[[#This Row],[Name(EN)]],Tab_Def_Flows[Name(EN)],0),16)</f>
        <v>0.96738928652461786</v>
      </c>
      <c r="AD154" s="112">
        <f>IF(J154="Yes",AA154*Tab_Data_Flows[[#This Row],[WC_'[%']]],"N.A.")</f>
        <v>59945.558547474262</v>
      </c>
      <c r="AE154" s="61" t="str">
        <f>Tab_Data_Flows[[#This Row],[UoM_Flow_Py]]</f>
        <v>Mg</v>
      </c>
      <c r="AF154" s="111">
        <f>INDEX(Tab_Def_Flows[[Flow_ID]:[CC_DM_source]],MATCH(Tab_Data_Flows[[#This Row],[Name(EN)]],Tab_Def_Flows[Name(EN)],0),18)</f>
        <v>3.2610713475382108E-2</v>
      </c>
      <c r="AG154" s="112">
        <f>IF(K154="Yes",AF154*Tab_Data_Flows[[#This Row],[Flow_Py]]-AJ270,"N.A.")</f>
        <v>2019.4051075069506</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hidden="1" x14ac:dyDescent="0.25">
      <c r="A155" s="60"/>
      <c r="B155" s="49" t="str">
        <f>_xlfn.XLOOKUP(C155,Tab_Def_Flows[Name(EN)],Tab_Def_Flows[Flow_ID],,0,)</f>
        <v>F_00_04</v>
      </c>
      <c r="C155" s="51" t="s">
        <v>499</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63205.651096351852</v>
      </c>
      <c r="P155" s="51"/>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63205.651096351852</v>
      </c>
      <c r="AB155" s="51" t="s">
        <v>63</v>
      </c>
      <c r="AC155" s="111">
        <f>INDEX(Tab_Def_Flows[[Flow_ID]:[CC_DM_source]],MATCH(Tab_Data_Flows[[#This Row],[Name(EN)]],Tab_Def_Flows[Name(EN)],0),16)</f>
        <v>0.96738928652461786</v>
      </c>
      <c r="AD155" s="112">
        <f>IF(J155="Yes",AA155*Tab_Data_Flows[[#This Row],[WC_'[%']]],"N.A.")</f>
        <v>61144.469718423752</v>
      </c>
      <c r="AE155" s="61" t="str">
        <f>Tab_Data_Flows[[#This Row],[UoM_Flow_Py]]</f>
        <v>Mg</v>
      </c>
      <c r="AF155" s="111">
        <f>INDEX(Tab_Def_Flows[[Flow_ID]:[CC_DM_source]],MATCH(Tab_Data_Flows[[#This Row],[Name(EN)]],Tab_Def_Flows[Name(EN)],0),18)</f>
        <v>3.2610713475382108E-2</v>
      </c>
      <c r="AG155" s="112">
        <f>IF(K155="Yes",AF155*Tab_Data_Flows[[#This Row],[Flow_Py]]-AJ271,"N.A.")</f>
        <v>2059.7932096570898</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hidden="1" x14ac:dyDescent="0.25">
      <c r="A156" s="60"/>
      <c r="B156" s="49" t="str">
        <f>_xlfn.XLOOKUP(C156,Tab_Def_Flows[Name(EN)],Tab_Def_Flows[Flow_ID],,0,)</f>
        <v>F_00_04</v>
      </c>
      <c r="C156" s="51" t="s">
        <v>499</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64469.764118278894</v>
      </c>
      <c r="P156" s="51"/>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64469.764118278894</v>
      </c>
      <c r="AB156" s="51" t="s">
        <v>63</v>
      </c>
      <c r="AC156" s="111">
        <f>INDEX(Tab_Def_Flows[[Flow_ID]:[CC_DM_source]],MATCH(Tab_Data_Flows[[#This Row],[Name(EN)]],Tab_Def_Flows[Name(EN)],0),16)</f>
        <v>0.96738928652461786</v>
      </c>
      <c r="AD156" s="112">
        <f>IF(J156="Yes",AA156*Tab_Data_Flows[[#This Row],[WC_'[%']]],"N.A.")</f>
        <v>62367.359112792226</v>
      </c>
      <c r="AE156" s="61" t="str">
        <f>Tab_Data_Flows[[#This Row],[UoM_Flow_Py]]</f>
        <v>Mg</v>
      </c>
      <c r="AF156" s="111">
        <f>INDEX(Tab_Def_Flows[[Flow_ID]:[CC_DM_source]],MATCH(Tab_Data_Flows[[#This Row],[Name(EN)]],Tab_Def_Flows[Name(EN)],0),18)</f>
        <v>3.2610713475382108E-2</v>
      </c>
      <c r="AG156" s="112">
        <f>IF(K156="Yes",AF156*Tab_Data_Flows[[#This Row],[Flow_Py]]-AJ272,"N.A.")</f>
        <v>2100.9890738502318</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hidden="1" x14ac:dyDescent="0.25">
      <c r="A157" s="60"/>
      <c r="B157" s="49" t="str">
        <f>_xlfn.XLOOKUP(C157,Tab_Def_Flows[Name(EN)],Tab_Def_Flows[Flow_ID],,0,)</f>
        <v>F_00_04</v>
      </c>
      <c r="C157" s="51" t="s">
        <v>499</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65759.159400644479</v>
      </c>
      <c r="P157" s="51"/>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65759.159400644479</v>
      </c>
      <c r="AB157" s="51" t="s">
        <v>63</v>
      </c>
      <c r="AC157" s="111">
        <f>INDEX(Tab_Def_Flows[[Flow_ID]:[CC_DM_source]],MATCH(Tab_Data_Flows[[#This Row],[Name(EN)]],Tab_Def_Flows[Name(EN)],0),16)</f>
        <v>0.96738928652461786</v>
      </c>
      <c r="AD157" s="112">
        <f>IF(J157="Yes",AA157*Tab_Data_Flows[[#This Row],[WC_'[%']]],"N.A.")</f>
        <v>63614.706295048083</v>
      </c>
      <c r="AE157" s="61" t="str">
        <f>Tab_Data_Flows[[#This Row],[UoM_Flow_Py]]</f>
        <v>Mg</v>
      </c>
      <c r="AF157" s="111">
        <f>INDEX(Tab_Def_Flows[[Flow_ID]:[CC_DM_source]],MATCH(Tab_Data_Flows[[#This Row],[Name(EN)]],Tab_Def_Flows[Name(EN)],0),18)</f>
        <v>3.2610713475382108E-2</v>
      </c>
      <c r="AG157" s="112">
        <f>IF(K157="Yes",AF157*Tab_Data_Flows[[#This Row],[Flow_Py]]-AJ273,"N.A.")</f>
        <v>2143.0088553272367</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hidden="1" x14ac:dyDescent="0.25">
      <c r="A158" s="60"/>
      <c r="B158" s="49" t="str">
        <f>_xlfn.XLOOKUP(C158,Tab_Def_Flows[Name(EN)],Tab_Def_Flows[Flow_ID],,0,)</f>
        <v>F_00_04</v>
      </c>
      <c r="C158" s="51" t="s">
        <v>499</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67074.342588657368</v>
      </c>
      <c r="P158" s="51"/>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67074.342588657368</v>
      </c>
      <c r="AB158" s="51" t="s">
        <v>63</v>
      </c>
      <c r="AC158" s="111">
        <f>INDEX(Tab_Def_Flows[[Flow_ID]:[CC_DM_source]],MATCH(Tab_Data_Flows[[#This Row],[Name(EN)]],Tab_Def_Flows[Name(EN)],0),16)</f>
        <v>0.96738928652461786</v>
      </c>
      <c r="AD158" s="112">
        <f>IF(J158="Yes",AA158*Tab_Data_Flows[[#This Row],[WC_'[%']]],"N.A.")</f>
        <v>64887.000420949043</v>
      </c>
      <c r="AE158" s="61" t="str">
        <f>Tab_Data_Flows[[#This Row],[UoM_Flow_Py]]</f>
        <v>Mg</v>
      </c>
      <c r="AF158" s="111">
        <f>INDEX(Tab_Def_Flows[[Flow_ID]:[CC_DM_source]],MATCH(Tab_Data_Flows[[#This Row],[Name(EN)]],Tab_Def_Flows[Name(EN)],0),18)</f>
        <v>3.2610713475382108E-2</v>
      </c>
      <c r="AG158" s="112">
        <f>IF(K158="Yes",AF158*Tab_Data_Flows[[#This Row],[Flow_Py]]-AJ274,"N.A.")</f>
        <v>2185.8690324337813</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hidden="1" x14ac:dyDescent="0.25">
      <c r="A159" s="60"/>
      <c r="B159" s="49" t="str">
        <f>_xlfn.XLOOKUP(C159,Tab_Def_Flows[Name(EN)],Tab_Def_Flows[Flow_ID],,0,)</f>
        <v>F_00_04</v>
      </c>
      <c r="C159" s="51" t="s">
        <v>499</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68415.82944043052</v>
      </c>
      <c r="P159" s="51"/>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68415.82944043052</v>
      </c>
      <c r="AB159" s="51" t="s">
        <v>63</v>
      </c>
      <c r="AC159" s="111">
        <f>INDEX(Tab_Def_Flows[[Flow_ID]:[CC_DM_source]],MATCH(Tab_Data_Flows[[#This Row],[Name(EN)]],Tab_Def_Flows[Name(EN)],0),16)</f>
        <v>0.96738928652461786</v>
      </c>
      <c r="AD159" s="112">
        <f>IF(J159="Yes",AA159*Tab_Data_Flows[[#This Row],[WC_'[%']]],"N.A.")</f>
        <v>66184.74042936803</v>
      </c>
      <c r="AE159" s="61" t="str">
        <f>Tab_Data_Flows[[#This Row],[UoM_Flow_Py]]</f>
        <v>Mg</v>
      </c>
      <c r="AF159" s="111">
        <f>INDEX(Tab_Def_Flows[[Flow_ID]:[CC_DM_source]],MATCH(Tab_Data_Flows[[#This Row],[Name(EN)]],Tab_Def_Flows[Name(EN)],0),18)</f>
        <v>3.2610713475382108E-2</v>
      </c>
      <c r="AG159" s="112">
        <f>IF(K159="Yes",AF159*Tab_Data_Flows[[#This Row],[Flow_Py]]-AJ275,"N.A.")</f>
        <v>2229.5864130824571</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hidden="1" x14ac:dyDescent="0.25">
      <c r="A160" s="60"/>
      <c r="B160" s="49" t="str">
        <f>_xlfn.XLOOKUP(C160,Tab_Def_Flows[Name(EN)],Tab_Def_Flows[Flow_ID],,0,)</f>
        <v>F_00_04</v>
      </c>
      <c r="C160" s="51" t="s">
        <v>499</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69784.146029239128</v>
      </c>
      <c r="P160" s="51"/>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69784.146029239128</v>
      </c>
      <c r="AB160" s="51" t="s">
        <v>63</v>
      </c>
      <c r="AC160" s="111">
        <f>INDEX(Tab_Def_Flows[[Flow_ID]:[CC_DM_source]],MATCH(Tab_Data_Flows[[#This Row],[Name(EN)]],Tab_Def_Flows[Name(EN)],0),16)</f>
        <v>0.96738928652461786</v>
      </c>
      <c r="AD160" s="112">
        <f>IF(J160="Yes",AA160*Tab_Data_Flows[[#This Row],[WC_'[%']]],"N.A.")</f>
        <v>67508.435237955389</v>
      </c>
      <c r="AE160" s="61" t="str">
        <f>Tab_Data_Flows[[#This Row],[UoM_Flow_Py]]</f>
        <v>Mg</v>
      </c>
      <c r="AF160" s="111">
        <f>INDEX(Tab_Def_Flows[[Flow_ID]:[CC_DM_source]],MATCH(Tab_Data_Flows[[#This Row],[Name(EN)]],Tab_Def_Flows[Name(EN)],0),18)</f>
        <v>3.2610713475382108E-2</v>
      </c>
      <c r="AG160" s="112">
        <f>IF(K160="Yes",AF160*Tab_Data_Flows[[#This Row],[Flow_Py]]-AJ276,"N.A.")</f>
        <v>2274.1781413441063</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hidden="1" x14ac:dyDescent="0.25">
      <c r="A161" s="60"/>
      <c r="B161" s="49" t="str">
        <f>_xlfn.XLOOKUP(C161,Tab_Def_Flows[Name(EN)],Tab_Def_Flows[Flow_ID],,0,)</f>
        <v>F_00_04</v>
      </c>
      <c r="C161" s="51" t="s">
        <v>499</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71179.828949823917</v>
      </c>
      <c r="P161" s="51"/>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71179.828949823917</v>
      </c>
      <c r="AB161" s="51" t="s">
        <v>63</v>
      </c>
      <c r="AC161" s="111">
        <f>INDEX(Tab_Def_Flows[[Flow_ID]:[CC_DM_source]],MATCH(Tab_Data_Flows[[#This Row],[Name(EN)]],Tab_Def_Flows[Name(EN)],0),16)</f>
        <v>0.96738928652461786</v>
      </c>
      <c r="AD161" s="112">
        <f>IF(J161="Yes",AA161*Tab_Data_Flows[[#This Row],[WC_'[%']]],"N.A.")</f>
        <v>68858.603942714501</v>
      </c>
      <c r="AE161" s="61" t="str">
        <f>Tab_Data_Flows[[#This Row],[UoM_Flow_Py]]</f>
        <v>Mg</v>
      </c>
      <c r="AF161" s="111">
        <f>INDEX(Tab_Def_Flows[[Flow_ID]:[CC_DM_source]],MATCH(Tab_Data_Flows[[#This Row],[Name(EN)]],Tab_Def_Flows[Name(EN)],0),18)</f>
        <v>3.2610713475382108E-2</v>
      </c>
      <c r="AG161" s="112">
        <f>IF(K161="Yes",AF161*Tab_Data_Flows[[#This Row],[Flow_Py]]-AJ277,"N.A.")</f>
        <v>2319.6617041709883</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hidden="1" x14ac:dyDescent="0.25">
      <c r="A162" s="60"/>
      <c r="B162" s="49" t="str">
        <f>_xlfn.XLOOKUP(C162,Tab_Def_Flows[Name(EN)],Tab_Def_Flows[Flow_ID],,0,)</f>
        <v>F_00_04</v>
      </c>
      <c r="C162" s="51" t="s">
        <v>499</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72603.4255288204</v>
      </c>
      <c r="P162" s="51"/>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72603.4255288204</v>
      </c>
      <c r="AB162" s="51" t="s">
        <v>63</v>
      </c>
      <c r="AC162" s="111">
        <f>INDEX(Tab_Def_Flows[[Flow_ID]:[CC_DM_source]],MATCH(Tab_Data_Flows[[#This Row],[Name(EN)]],Tab_Def_Flows[Name(EN)],0),16)</f>
        <v>0.96738928652461786</v>
      </c>
      <c r="AD162" s="112">
        <f>IF(J162="Yes",AA162*Tab_Data_Flows[[#This Row],[WC_'[%']]],"N.A.")</f>
        <v>70235.776021568789</v>
      </c>
      <c r="AE162" s="61" t="str">
        <f>Tab_Data_Flows[[#This Row],[UoM_Flow_Py]]</f>
        <v>Mg</v>
      </c>
      <c r="AF162" s="111">
        <f>INDEX(Tab_Def_Flows[[Flow_ID]:[CC_DM_source]],MATCH(Tab_Data_Flows[[#This Row],[Name(EN)]],Tab_Def_Flows[Name(EN)],0),18)</f>
        <v>3.2610713475382108E-2</v>
      </c>
      <c r="AG162" s="112">
        <f>IF(K162="Yes",AF162*Tab_Data_Flows[[#This Row],[Flow_Py]]-AJ278,"N.A.")</f>
        <v>2366.0549382544086</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hidden="1" x14ac:dyDescent="0.25">
      <c r="A163" s="60"/>
      <c r="B163" s="49" t="str">
        <f>_xlfn.XLOOKUP(C163,Tab_Def_Flows[Name(EN)],Tab_Def_Flows[Flow_ID],,0,)</f>
        <v>F_00_04</v>
      </c>
      <c r="C163" s="51" t="s">
        <v>499</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74055.494039396814</v>
      </c>
      <c r="P163" s="51"/>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74055.494039396814</v>
      </c>
      <c r="AB163" s="51" t="s">
        <v>63</v>
      </c>
      <c r="AC163" s="111">
        <f>INDEX(Tab_Def_Flows[[Flow_ID]:[CC_DM_source]],MATCH(Tab_Data_Flows[[#This Row],[Name(EN)]],Tab_Def_Flows[Name(EN)],0),16)</f>
        <v>0.96738928652461786</v>
      </c>
      <c r="AD163" s="112">
        <f>IF(J163="Yes",AA163*Tab_Data_Flows[[#This Row],[WC_'[%']]],"N.A.")</f>
        <v>71640.491542000178</v>
      </c>
      <c r="AE163" s="61" t="str">
        <f>Tab_Data_Flows[[#This Row],[UoM_Flow_Py]]</f>
        <v>Mg</v>
      </c>
      <c r="AF163" s="111">
        <f>INDEX(Tab_Def_Flows[[Flow_ID]:[CC_DM_source]],MATCH(Tab_Data_Flows[[#This Row],[Name(EN)]],Tab_Def_Flows[Name(EN)],0),18)</f>
        <v>3.2610713475382108E-2</v>
      </c>
      <c r="AG163" s="112">
        <f>IF(K163="Yes",AF163*Tab_Data_Flows[[#This Row],[Flow_Py]]-AJ279,"N.A.")</f>
        <v>2413.3760370194964</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hidden="1" x14ac:dyDescent="0.25">
      <c r="A164" s="60"/>
      <c r="B164" s="49" t="str">
        <f>_xlfn.XLOOKUP(C164,Tab_Def_Flows[Name(EN)],Tab_Def_Flows[Flow_ID],,0,)</f>
        <v>F_00_04</v>
      </c>
      <c r="C164" s="51" t="s">
        <v>499</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75536.603920184745</v>
      </c>
      <c r="P164" s="51"/>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75536.603920184745</v>
      </c>
      <c r="AB164" s="51" t="s">
        <v>63</v>
      </c>
      <c r="AC164" s="111">
        <f>INDEX(Tab_Def_Flows[[Flow_ID]:[CC_DM_source]],MATCH(Tab_Data_Flows[[#This Row],[Name(EN)]],Tab_Def_Flows[Name(EN)],0),16)</f>
        <v>0.96738928652461786</v>
      </c>
      <c r="AD164" s="112">
        <f>IF(J164="Yes",AA164*Tab_Data_Flows[[#This Row],[WC_'[%']]],"N.A.")</f>
        <v>73073.301372840171</v>
      </c>
      <c r="AE164" s="61" t="str">
        <f>Tab_Data_Flows[[#This Row],[UoM_Flow_Py]]</f>
        <v>Mg</v>
      </c>
      <c r="AF164" s="111">
        <f>INDEX(Tab_Def_Flows[[Flow_ID]:[CC_DM_source]],MATCH(Tab_Data_Flows[[#This Row],[Name(EN)]],Tab_Def_Flows[Name(EN)],0),18)</f>
        <v>3.2610713475382108E-2</v>
      </c>
      <c r="AG164" s="112">
        <f>IF(K164="Yes",AF164*Tab_Data_Flows[[#This Row],[Flow_Py]]-AJ280,"N.A.")</f>
        <v>2461.6435577598863</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hidden="1" x14ac:dyDescent="0.25">
      <c r="A165" s="60"/>
      <c r="B165" s="49" t="str">
        <f>_xlfn.XLOOKUP(C165,Tab_Def_Flows[Name(EN)],Tab_Def_Flows[Flow_ID],,0,)</f>
        <v>F_00_04</v>
      </c>
      <c r="C165" s="51" t="s">
        <v>499</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77047.335998588445</v>
      </c>
      <c r="P165" s="51"/>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77047.335998588445</v>
      </c>
      <c r="AB165" s="51" t="s">
        <v>63</v>
      </c>
      <c r="AC165" s="111">
        <f>INDEX(Tab_Def_Flows[[Flow_ID]:[CC_DM_source]],MATCH(Tab_Data_Flows[[#This Row],[Name(EN)]],Tab_Def_Flows[Name(EN)],0),16)</f>
        <v>0.96738928652461786</v>
      </c>
      <c r="AD165" s="112">
        <f>IF(J165="Yes",AA165*Tab_Data_Flows[[#This Row],[WC_'[%']]],"N.A.")</f>
        <v>74534.767400296987</v>
      </c>
      <c r="AE165" s="61" t="str">
        <f>Tab_Data_Flows[[#This Row],[UoM_Flow_Py]]</f>
        <v>Mg</v>
      </c>
      <c r="AF165" s="111">
        <f>INDEX(Tab_Def_Flows[[Flow_ID]:[CC_DM_source]],MATCH(Tab_Data_Flows[[#This Row],[Name(EN)]],Tab_Def_Flows[Name(EN)],0),18)</f>
        <v>3.2610713475382108E-2</v>
      </c>
      <c r="AG165" s="112">
        <f>IF(K165="Yes",AF165*Tab_Data_Flows[[#This Row],[Flow_Py]]-AJ281,"N.A.")</f>
        <v>2510.876428915084</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hidden="1" x14ac:dyDescent="0.25">
      <c r="A166" s="60"/>
      <c r="B166" s="49" t="str">
        <f>_xlfn.XLOOKUP(C166,Tab_Def_Flows[Name(EN)],Tab_Def_Flows[Flow_ID],,0,)</f>
        <v>F_00_04</v>
      </c>
      <c r="C166" s="51" t="s">
        <v>499</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78588.282718560222</v>
      </c>
      <c r="P166" s="51"/>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78588.282718560222</v>
      </c>
      <c r="AB166" s="51" t="s">
        <v>63</v>
      </c>
      <c r="AC166" s="111">
        <f>INDEX(Tab_Def_Flows[[Flow_ID]:[CC_DM_source]],MATCH(Tab_Data_Flows[[#This Row],[Name(EN)]],Tab_Def_Flows[Name(EN)],0),16)</f>
        <v>0.96738928652461786</v>
      </c>
      <c r="AD166" s="112">
        <f>IF(J166="Yes",AA166*Tab_Data_Flows[[#This Row],[WC_'[%']]],"N.A.")</f>
        <v>76025.462748302933</v>
      </c>
      <c r="AE166" s="61" t="str">
        <f>Tab_Data_Flows[[#This Row],[UoM_Flow_Py]]</f>
        <v>Mg</v>
      </c>
      <c r="AF166" s="111">
        <f>INDEX(Tab_Def_Flows[[Flow_ID]:[CC_DM_source]],MATCH(Tab_Data_Flows[[#This Row],[Name(EN)]],Tab_Def_Flows[Name(EN)],0),18)</f>
        <v>3.2610713475382108E-2</v>
      </c>
      <c r="AG166" s="112">
        <f>IF(K166="Yes",AF166*Tab_Data_Flows[[#This Row],[Flow_Py]]-AJ282,"N.A.")</f>
        <v>2561.0939574933864</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hidden="1" x14ac:dyDescent="0.25">
      <c r="A167" s="60"/>
      <c r="B167" s="49" t="str">
        <f>_xlfn.XLOOKUP(C167,Tab_Def_Flows[Name(EN)],Tab_Def_Flows[Flow_ID],,0,)</f>
        <v>F_00_04</v>
      </c>
      <c r="C167" s="51" t="s">
        <v>499</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80160.048372931429</v>
      </c>
      <c r="P167" s="51"/>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80160.048372931429</v>
      </c>
      <c r="AB167" s="51" t="s">
        <v>63</v>
      </c>
      <c r="AC167" s="111">
        <f>INDEX(Tab_Def_Flows[[Flow_ID]:[CC_DM_source]],MATCH(Tab_Data_Flows[[#This Row],[Name(EN)]],Tab_Def_Flows[Name(EN)],0),16)</f>
        <v>0.96738928652461786</v>
      </c>
      <c r="AD167" s="112">
        <f>IF(J167="Yes",AA167*Tab_Data_Flows[[#This Row],[WC_'[%']]],"N.A.")</f>
        <v>77545.972003268995</v>
      </c>
      <c r="AE167" s="61" t="str">
        <f>Tab_Data_Flows[[#This Row],[UoM_Flow_Py]]</f>
        <v>Mg</v>
      </c>
      <c r="AF167" s="111">
        <f>INDEX(Tab_Def_Flows[[Flow_ID]:[CC_DM_source]],MATCH(Tab_Data_Flows[[#This Row],[Name(EN)]],Tab_Def_Flows[Name(EN)],0),18)</f>
        <v>3.2610713475382108E-2</v>
      </c>
      <c r="AG167" s="112">
        <f>IF(K167="Yes",AF167*Tab_Data_Flows[[#This Row],[Flow_Py]]-AJ283,"N.A.")</f>
        <v>2612.3158366432544</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hidden="1" x14ac:dyDescent="0.25">
      <c r="A168" s="60"/>
      <c r="B168" s="49" t="str">
        <f>_xlfn.XLOOKUP(C168,Tab_Def_Flows[Name(EN)],Tab_Def_Flows[Flow_ID],,0,)</f>
        <v>F_00_04</v>
      </c>
      <c r="C168" s="51" t="s">
        <v>499</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81763.249340390059</v>
      </c>
      <c r="P168" s="51"/>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81763.249340390059</v>
      </c>
      <c r="AB168" s="51" t="s">
        <v>63</v>
      </c>
      <c r="AC168" s="111">
        <f>INDEX(Tab_Def_Flows[[Flow_ID]:[CC_DM_source]],MATCH(Tab_Data_Flows[[#This Row],[Name(EN)]],Tab_Def_Flows[Name(EN)],0),16)</f>
        <v>0.96738928652461786</v>
      </c>
      <c r="AD168" s="112">
        <f>IF(J168="Yes",AA168*Tab_Data_Flows[[#This Row],[WC_'[%']]],"N.A.")</f>
        <v>79096.891443334374</v>
      </c>
      <c r="AE168" s="61" t="str">
        <f>Tab_Data_Flows[[#This Row],[UoM_Flow_Py]]</f>
        <v>Mg</v>
      </c>
      <c r="AF168" s="111">
        <f>INDEX(Tab_Def_Flows[[Flow_ID]:[CC_DM_source]],MATCH(Tab_Data_Flows[[#This Row],[Name(EN)]],Tab_Def_Flows[Name(EN)],0),18)</f>
        <v>3.2610713475382108E-2</v>
      </c>
      <c r="AG168" s="112">
        <f>IF(K168="Yes",AF168*Tab_Data_Flows[[#This Row],[Flow_Py]]-AJ284,"N.A.")</f>
        <v>2664.5621533761196</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hidden="1" x14ac:dyDescent="0.25">
      <c r="A169" s="60"/>
      <c r="B169" s="49" t="str">
        <f>_xlfn.XLOOKUP(C169,Tab_Def_Flows[Name(EN)],Tab_Def_Flows[Flow_ID],,0,)</f>
        <v>F_00_04</v>
      </c>
      <c r="C169" s="51" t="s">
        <v>499</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83398.51432719786</v>
      </c>
      <c r="P169" s="51"/>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83398.51432719786</v>
      </c>
      <c r="AB169" s="51" t="s">
        <v>63</v>
      </c>
      <c r="AC169" s="111">
        <f>INDEX(Tab_Def_Flows[[Flow_ID]:[CC_DM_source]],MATCH(Tab_Data_Flows[[#This Row],[Name(EN)]],Tab_Def_Flows[Name(EN)],0),16)</f>
        <v>0.96738928652461786</v>
      </c>
      <c r="AD169" s="112">
        <f>IF(J169="Yes",AA169*Tab_Data_Flows[[#This Row],[WC_'[%']]],"N.A.")</f>
        <v>80678.829272201052</v>
      </c>
      <c r="AE169" s="61" t="str">
        <f>Tab_Data_Flows[[#This Row],[UoM_Flow_Py]]</f>
        <v>Mg</v>
      </c>
      <c r="AF169" s="111">
        <f>INDEX(Tab_Def_Flows[[Flow_ID]:[CC_DM_source]],MATCH(Tab_Data_Flows[[#This Row],[Name(EN)]],Tab_Def_Flows[Name(EN)],0),18)</f>
        <v>3.2610713475382108E-2</v>
      </c>
      <c r="AG169" s="112">
        <f>IF(K169="Yes",AF169*Tab_Data_Flows[[#This Row],[Flow_Py]]-AJ285,"N.A.")</f>
        <v>2717.8533964436415</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hidden="1" x14ac:dyDescent="0.25">
      <c r="A170" s="60"/>
      <c r="B170" s="49" t="str">
        <f>_xlfn.XLOOKUP(C170,Tab_Def_Flows[Name(EN)],Tab_Def_Flows[Flow_ID],,0,)</f>
        <v>F_00_04</v>
      </c>
      <c r="C170" s="51" t="s">
        <v>499</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85066.484613741821</v>
      </c>
      <c r="P170" s="51"/>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85066.484613741821</v>
      </c>
      <c r="AB170" s="51" t="s">
        <v>63</v>
      </c>
      <c r="AC170" s="111">
        <f>INDEX(Tab_Def_Flows[[Flow_ID]:[CC_DM_source]],MATCH(Tab_Data_Flows[[#This Row],[Name(EN)]],Tab_Def_Flows[Name(EN)],0),16)</f>
        <v>0.96738928652461786</v>
      </c>
      <c r="AD170" s="112">
        <f>IF(J170="Yes",AA170*Tab_Data_Flows[[#This Row],[WC_'[%']]],"N.A.")</f>
        <v>82292.405857645077</v>
      </c>
      <c r="AE170" s="61" t="str">
        <f>Tab_Data_Flows[[#This Row],[UoM_Flow_Py]]</f>
        <v>Mg</v>
      </c>
      <c r="AF170" s="111">
        <f>INDEX(Tab_Def_Flows[[Flow_ID]:[CC_DM_source]],MATCH(Tab_Data_Flows[[#This Row],[Name(EN)]],Tab_Def_Flows[Name(EN)],0),18)</f>
        <v>3.2610713475382108E-2</v>
      </c>
      <c r="AG170" s="112">
        <f>IF(K170="Yes",AF170*Tab_Data_Flows[[#This Row],[Flow_Py]]-AJ286,"N.A.")</f>
        <v>2772.2104643725147</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hidden="1" x14ac:dyDescent="0.25">
      <c r="A171" s="60"/>
      <c r="B171" s="49" t="str">
        <f>_xlfn.XLOOKUP(C171,Tab_Def_Flows[Name(EN)],Tab_Def_Flows[Flow_ID],,0,)</f>
        <v>F_00_04</v>
      </c>
      <c r="C171" s="51" t="s">
        <v>499</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86767.814306016662</v>
      </c>
      <c r="P171" s="51"/>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86767.814306016662</v>
      </c>
      <c r="AB171" s="51" t="s">
        <v>63</v>
      </c>
      <c r="AC171" s="111">
        <f>INDEX(Tab_Def_Flows[[Flow_ID]:[CC_DM_source]],MATCH(Tab_Data_Flows[[#This Row],[Name(EN)]],Tab_Def_Flows[Name(EN)],0),16)</f>
        <v>0.96738928652461786</v>
      </c>
      <c r="AD171" s="112">
        <f>IF(J171="Yes",AA171*Tab_Data_Flows[[#This Row],[WC_'[%']]],"N.A.")</f>
        <v>83938.25397479799</v>
      </c>
      <c r="AE171" s="61" t="str">
        <f>Tab_Data_Flows[[#This Row],[UoM_Flow_Py]]</f>
        <v>Mg</v>
      </c>
      <c r="AF171" s="111">
        <f>INDEX(Tab_Def_Flows[[Flow_ID]:[CC_DM_source]],MATCH(Tab_Data_Flows[[#This Row],[Name(EN)]],Tab_Def_Flows[Name(EN)],0),18)</f>
        <v>3.2610713475382108E-2</v>
      </c>
      <c r="AG171" s="112">
        <f>IF(K171="Yes",AF171*Tab_Data_Flows[[#This Row],[Flow_Py]]-AJ287,"N.A.")</f>
        <v>2827.6546736599648</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hidden="1" x14ac:dyDescent="0.25">
      <c r="A172" s="60"/>
      <c r="B172" s="49" t="str">
        <f>_xlfn.XLOOKUP(C172,Tab_Def_Flows[Name(EN)],Tab_Def_Flows[Flow_ID],,0,)</f>
        <v>F_00_04</v>
      </c>
      <c r="C172" s="51" t="s">
        <v>499</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88503.170592137001</v>
      </c>
      <c r="P172" s="51"/>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88503.170592137001</v>
      </c>
      <c r="AB172" s="51" t="s">
        <v>63</v>
      </c>
      <c r="AC172" s="111">
        <f>INDEX(Tab_Def_Flows[[Flow_ID]:[CC_DM_source]],MATCH(Tab_Data_Flows[[#This Row],[Name(EN)]],Tab_Def_Flows[Name(EN)],0),16)</f>
        <v>0.96738928652461786</v>
      </c>
      <c r="AD172" s="112">
        <f>IF(J172="Yes",AA172*Tab_Data_Flows[[#This Row],[WC_'[%']]],"N.A.")</f>
        <v>85617.019054293953</v>
      </c>
      <c r="AE172" s="61" t="str">
        <f>Tab_Data_Flows[[#This Row],[UoM_Flow_Py]]</f>
        <v>Mg</v>
      </c>
      <c r="AF172" s="111">
        <f>INDEX(Tab_Def_Flows[[Flow_ID]:[CC_DM_source]],MATCH(Tab_Data_Flows[[#This Row],[Name(EN)]],Tab_Def_Flows[Name(EN)],0),18)</f>
        <v>3.2610713475382108E-2</v>
      </c>
      <c r="AG172" s="112">
        <f>IF(K172="Yes",AF172*Tab_Data_Flows[[#This Row],[Flow_Py]]-AJ288,"N.A.")</f>
        <v>2884.2077671331645</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hidden="1" x14ac:dyDescent="0.25">
      <c r="A173" s="60"/>
      <c r="B173" s="49" t="str">
        <f>_xlfn.XLOOKUP(C173,Tab_Def_Flows[Name(EN)],Tab_Def_Flows[Flow_ID],,0,)</f>
        <v>F_00_04</v>
      </c>
      <c r="C173" s="51" t="s">
        <v>499</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90273.234003979742</v>
      </c>
      <c r="P173" s="51"/>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90273.234003979742</v>
      </c>
      <c r="AB173" s="51" t="s">
        <v>63</v>
      </c>
      <c r="AC173" s="111">
        <f>INDEX(Tab_Def_Flows[[Flow_ID]:[CC_DM_source]],MATCH(Tab_Data_Flows[[#This Row],[Name(EN)]],Tab_Def_Flows[Name(EN)],0),16)</f>
        <v>0.96738928652461786</v>
      </c>
      <c r="AD173" s="112">
        <f>IF(J173="Yes",AA173*Tab_Data_Flows[[#This Row],[WC_'[%']]],"N.A.")</f>
        <v>87329.35943537984</v>
      </c>
      <c r="AE173" s="61" t="str">
        <f>Tab_Data_Flows[[#This Row],[UoM_Flow_Py]]</f>
        <v>Mg</v>
      </c>
      <c r="AF173" s="111">
        <f>INDEX(Tab_Def_Flows[[Flow_ID]:[CC_DM_source]],MATCH(Tab_Data_Flows[[#This Row],[Name(EN)]],Tab_Def_Flows[Name(EN)],0),18)</f>
        <v>3.2610713475382108E-2</v>
      </c>
      <c r="AG173" s="112">
        <f>IF(K173="Yes",AF173*Tab_Data_Flows[[#This Row],[Flow_Py]]-AJ289,"N.A.")</f>
        <v>2941.8919224758279</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hidden="1" x14ac:dyDescent="0.25">
      <c r="A174" s="60"/>
      <c r="B174" s="49" t="str">
        <f>_xlfn.XLOOKUP(C174,Tab_Def_Flows[Name(EN)],Tab_Def_Flows[Flow_ID],,0,)</f>
        <v>F_00_04</v>
      </c>
      <c r="C174" s="51" t="s">
        <v>499</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92078.698684059345</v>
      </c>
      <c r="P174" s="51"/>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92078.698684059345</v>
      </c>
      <c r="AB174" s="51" t="s">
        <v>63</v>
      </c>
      <c r="AC174" s="111">
        <f>INDEX(Tab_Def_Flows[[Flow_ID]:[CC_DM_source]],MATCH(Tab_Data_Flows[[#This Row],[Name(EN)]],Tab_Def_Flows[Name(EN)],0),16)</f>
        <v>0.96738928652461786</v>
      </c>
      <c r="AD174" s="112">
        <f>IF(J174="Yes",AA174*Tab_Data_Flows[[#This Row],[WC_'[%']]],"N.A.")</f>
        <v>89075.946624087446</v>
      </c>
      <c r="AE174" s="61" t="str">
        <f>Tab_Data_Flows[[#This Row],[UoM_Flow_Py]]</f>
        <v>Mg</v>
      </c>
      <c r="AF174" s="111">
        <f>INDEX(Tab_Def_Flows[[Flow_ID]:[CC_DM_source]],MATCH(Tab_Data_Flows[[#This Row],[Name(EN)]],Tab_Def_Flows[Name(EN)],0),18)</f>
        <v>3.2610713475382108E-2</v>
      </c>
      <c r="AG174" s="112">
        <f>IF(K174="Yes",AF174*Tab_Data_Flows[[#This Row],[Flow_Py]]-AJ290,"N.A.")</f>
        <v>3000.7297609253446</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hidden="1" thickBot="1" x14ac:dyDescent="0.3">
      <c r="A175" s="60"/>
      <c r="B175" s="49" t="str">
        <f>_xlfn.XLOOKUP(C175,Tab_Def_Flows[Name(EN)],Tab_Def_Flows[Flow_ID],,0,)</f>
        <v>F_00_04</v>
      </c>
      <c r="C175" s="51" t="s">
        <v>499</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93920.272657740541</v>
      </c>
      <c r="P175" s="51"/>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93920.272657740541</v>
      </c>
      <c r="AB175" s="51" t="s">
        <v>63</v>
      </c>
      <c r="AC175" s="111">
        <f>INDEX(Tab_Def_Flows[[Flow_ID]:[CC_DM_source]],MATCH(Tab_Data_Flows[[#This Row],[Name(EN)]],Tab_Def_Flows[Name(EN)],0),16)</f>
        <v>0.96738928652461786</v>
      </c>
      <c r="AD175" s="112">
        <f>IF(J175="Yes",AA175*Tab_Data_Flows[[#This Row],[WC_'[%']]],"N.A.")</f>
        <v>90857.465556569194</v>
      </c>
      <c r="AE175" s="61" t="str">
        <f>Tab_Data_Flows[[#This Row],[UoM_Flow_Py]]</f>
        <v>Mg</v>
      </c>
      <c r="AF175" s="111">
        <f>INDEX(Tab_Def_Flows[[Flow_ID]:[CC_DM_source]],MATCH(Tab_Data_Flows[[#This Row],[Name(EN)]],Tab_Def_Flows[Name(EN)],0),18)</f>
        <v>3.2610713475382108E-2</v>
      </c>
      <c r="AG175" s="112">
        <f>IF(K175="Yes",AF175*Tab_Data_Flows[[#This Row],[Flow_Py]]-AJ291,"N.A.")</f>
        <v>3060.7443561438522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500</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1566.8317694600535</v>
      </c>
      <c r="P176" s="51" t="s">
        <v>389</v>
      </c>
      <c r="Q176" s="51"/>
      <c r="R176" s="51"/>
      <c r="S176" s="51"/>
      <c r="T176" s="51"/>
      <c r="U176" s="51"/>
      <c r="V176" s="51"/>
      <c r="W176" s="51"/>
      <c r="X176" s="51" t="s">
        <v>71</v>
      </c>
      <c r="Y176" s="106"/>
      <c r="Z176" s="51"/>
      <c r="AA176" s="86">
        <f t="shared" si="9"/>
        <v>1566.8317694600535</v>
      </c>
      <c r="AB176" s="51" t="s">
        <v>63</v>
      </c>
      <c r="AC176" s="111">
        <f>INDEX(Tab_Def_Flows[[Flow_ID]:[CC_DM_source]],MATCH(Tab_Data_Flows[[#This Row],[Name(EN)]],Tab_Def_Flows[Name(EN)],0),16)</f>
        <v>0.1521568689797187</v>
      </c>
      <c r="AD176" s="112">
        <f>IF(J176="Yes",AA176*Tab_Data_Flows[[#This Row],[WC_'[%']]],"N.A.")</f>
        <v>238.40421625899415</v>
      </c>
      <c r="AE176" s="61" t="str">
        <f>Tab_Data_Flows[[#This Row],[UoM_Flow_Py]]</f>
        <v>Mg</v>
      </c>
      <c r="AF176" s="111">
        <f>INDEX(Tab_Def_Flows[[Flow_ID]:[CC_DM_source]],MATCH(Tab_Data_Flows[[#This Row],[Name(EN)]],Tab_Def_Flows[Name(EN)],0),18)</f>
        <v>0.8478431310202813</v>
      </c>
      <c r="AG176" s="112">
        <f>IF(K176="Yes",AF176*Tab_Data_Flows[[#This Row],[Flow_Py]],"N.A.")</f>
        <v>1328.4275532010593</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hidden="1" thickBot="1" x14ac:dyDescent="0.3">
      <c r="A177" s="60">
        <f t="shared" si="4"/>
        <v>176</v>
      </c>
      <c r="B177" s="49" t="str">
        <f>_xlfn.XLOOKUP(C177,Tab_Def_Flows[Name(EN)],Tab_Def_Flows[Flow_ID],,0,)</f>
        <v>F_00_11</v>
      </c>
      <c r="C177" s="51" t="s">
        <v>500</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1598.1684048492546</v>
      </c>
      <c r="P177" s="51" t="s">
        <v>389</v>
      </c>
      <c r="Q177" s="51"/>
      <c r="R177" s="51"/>
      <c r="S177" s="51"/>
      <c r="T177" s="51"/>
      <c r="U177" s="51"/>
      <c r="V177" s="51"/>
      <c r="W177" s="51"/>
      <c r="X177" s="51" t="s">
        <v>71</v>
      </c>
      <c r="Y177" s="106"/>
      <c r="Z177" s="51"/>
      <c r="AA177" s="86">
        <f t="shared" si="9"/>
        <v>1598.1684048492546</v>
      </c>
      <c r="AB177" s="51" t="s">
        <v>63</v>
      </c>
      <c r="AC177" s="111">
        <f>INDEX(Tab_Def_Flows[[Flow_ID]:[CC_DM_source]],MATCH(Tab_Data_Flows[[#This Row],[Name(EN)]],Tab_Def_Flows[Name(EN)],0),16)</f>
        <v>0.1521568689797187</v>
      </c>
      <c r="AD177" s="112">
        <f>IF(J177="Yes",AA177*Tab_Data_Flows[[#This Row],[WC_'[%']]],"N.A.")</f>
        <v>243.17230058417405</v>
      </c>
      <c r="AE177" s="61" t="str">
        <f>Tab_Data_Flows[[#This Row],[UoM_Flow_Py]]</f>
        <v>Mg</v>
      </c>
      <c r="AF177" s="111">
        <f>INDEX(Tab_Def_Flows[[Flow_ID]:[CC_DM_source]],MATCH(Tab_Data_Flows[[#This Row],[Name(EN)]],Tab_Def_Flows[Name(EN)],0),18)</f>
        <v>0.8478431310202813</v>
      </c>
      <c r="AG177" s="112">
        <f>IF(K177="Yes",AF177*Tab_Data_Flows[[#This Row],[Flow_Py]]-AJ293,"N.A.")</f>
        <v>1354.1804657109938</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hidden="1" thickBot="1" x14ac:dyDescent="0.3">
      <c r="A178" s="60">
        <f t="shared" si="4"/>
        <v>177</v>
      </c>
      <c r="B178" s="49" t="str">
        <f>_xlfn.XLOOKUP(C178,Tab_Def_Flows[Name(EN)],Tab_Def_Flows[Flow_ID],,0,)</f>
        <v>F_00_11</v>
      </c>
      <c r="C178" s="51" t="s">
        <v>500</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1630.1317729462396</v>
      </c>
      <c r="P178" s="51" t="s">
        <v>389</v>
      </c>
      <c r="Q178" s="51"/>
      <c r="R178" s="51"/>
      <c r="S178" s="51"/>
      <c r="T178" s="51"/>
      <c r="U178" s="51"/>
      <c r="V178" s="51"/>
      <c r="W178" s="51"/>
      <c r="X178" s="51" t="s">
        <v>71</v>
      </c>
      <c r="Y178" s="106"/>
      <c r="Z178" s="51"/>
      <c r="AA178" s="86">
        <f t="shared" si="9"/>
        <v>1630.1317729462396</v>
      </c>
      <c r="AB178" s="51" t="s">
        <v>63</v>
      </c>
      <c r="AC178" s="111">
        <f>INDEX(Tab_Def_Flows[[Flow_ID]:[CC_DM_source]],MATCH(Tab_Data_Flows[[#This Row],[Name(EN)]],Tab_Def_Flows[Name(EN)],0),16)</f>
        <v>0.1521568689797187</v>
      </c>
      <c r="AD178" s="112">
        <f>IF(J178="Yes",AA178*Tab_Data_Flows[[#This Row],[WC_'[%']]],"N.A.")</f>
        <v>248.03574659585752</v>
      </c>
      <c r="AE178" s="61" t="str">
        <f>Tab_Data_Flows[[#This Row],[UoM_Flow_Py]]</f>
        <v>Mg</v>
      </c>
      <c r="AF178" s="111">
        <f>INDEX(Tab_Def_Flows[[Flow_ID]:[CC_DM_source]],MATCH(Tab_Data_Flows[[#This Row],[Name(EN)]],Tab_Def_Flows[Name(EN)],0),18)</f>
        <v>0.8478431310202813</v>
      </c>
      <c r="AG178" s="112">
        <f>IF(K178="Yes",AF178*Tab_Data_Flows[[#This Row],[Flow_Py]]-AJ294,"N.A.")</f>
        <v>1381.2640750252137</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hidden="1" thickBot="1" x14ac:dyDescent="0.3">
      <c r="A179" s="60">
        <f t="shared" si="4"/>
        <v>178</v>
      </c>
      <c r="B179" s="49" t="str">
        <f>_xlfn.XLOOKUP(C179,Tab_Def_Flows[Name(EN)],Tab_Def_Flows[Flow_ID],,0,)</f>
        <v>F_00_11</v>
      </c>
      <c r="C179" s="51" t="s">
        <v>500</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1662.7344084051645</v>
      </c>
      <c r="P179" s="51" t="s">
        <v>389</v>
      </c>
      <c r="Q179" s="51"/>
      <c r="R179" s="51"/>
      <c r="S179" s="51"/>
      <c r="T179" s="51"/>
      <c r="U179" s="51"/>
      <c r="V179" s="51"/>
      <c r="W179" s="51"/>
      <c r="X179" s="51" t="s">
        <v>71</v>
      </c>
      <c r="Y179" s="106"/>
      <c r="Z179" s="51"/>
      <c r="AA179" s="86">
        <f t="shared" si="9"/>
        <v>1662.7344084051645</v>
      </c>
      <c r="AB179" s="51" t="s">
        <v>63</v>
      </c>
      <c r="AC179" s="111">
        <f>INDEX(Tab_Def_Flows[[Flow_ID]:[CC_DM_source]],MATCH(Tab_Data_Flows[[#This Row],[Name(EN)]],Tab_Def_Flows[Name(EN)],0),16)</f>
        <v>0.1521568689797187</v>
      </c>
      <c r="AD179" s="112">
        <f>IF(J179="Yes",AA179*Tab_Data_Flows[[#This Row],[WC_'[%']]],"N.A.")</f>
        <v>252.9964615277747</v>
      </c>
      <c r="AE179" s="61" t="str">
        <f>Tab_Data_Flows[[#This Row],[UoM_Flow_Py]]</f>
        <v>Mg</v>
      </c>
      <c r="AF179" s="111">
        <f>INDEX(Tab_Def_Flows[[Flow_ID]:[CC_DM_source]],MATCH(Tab_Data_Flows[[#This Row],[Name(EN)]],Tab_Def_Flows[Name(EN)],0),18)</f>
        <v>0.8478431310202813</v>
      </c>
      <c r="AG179" s="112">
        <f>IF(K179="Yes",AF179*Tab_Data_Flows[[#This Row],[Flow_Py]]-AJ295,"N.A.")</f>
        <v>1408.8893565257179</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hidden="1" thickBot="1" x14ac:dyDescent="0.3">
      <c r="A180" s="60">
        <f t="shared" si="4"/>
        <v>179</v>
      </c>
      <c r="B180" s="49" t="str">
        <f>_xlfn.XLOOKUP(C180,Tab_Def_Flows[Name(EN)],Tab_Def_Flows[Flow_ID],,0,)</f>
        <v>F_00_11</v>
      </c>
      <c r="C180" s="51" t="s">
        <v>500</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1695.9890965732677</v>
      </c>
      <c r="P180" s="51" t="s">
        <v>389</v>
      </c>
      <c r="Q180" s="51"/>
      <c r="R180" s="51"/>
      <c r="S180" s="51"/>
      <c r="T180" s="51"/>
      <c r="U180" s="51"/>
      <c r="V180" s="51"/>
      <c r="W180" s="51"/>
      <c r="X180" s="51" t="s">
        <v>71</v>
      </c>
      <c r="Y180" s="106"/>
      <c r="Z180" s="51"/>
      <c r="AA180" s="86">
        <f t="shared" si="9"/>
        <v>1695.9890965732677</v>
      </c>
      <c r="AB180" s="51" t="s">
        <v>63</v>
      </c>
      <c r="AC180" s="111">
        <f>INDEX(Tab_Def_Flows[[Flow_ID]:[CC_DM_source]],MATCH(Tab_Data_Flows[[#This Row],[Name(EN)]],Tab_Def_Flows[Name(EN)],0),16)</f>
        <v>0.1521568689797187</v>
      </c>
      <c r="AD180" s="112">
        <f>IF(J180="Yes",AA180*Tab_Data_Flows[[#This Row],[WC_'[%']]],"N.A.")</f>
        <v>258.05639075833017</v>
      </c>
      <c r="AE180" s="61" t="str">
        <f>Tab_Data_Flows[[#This Row],[UoM_Flow_Py]]</f>
        <v>Mg</v>
      </c>
      <c r="AF180" s="111">
        <f>INDEX(Tab_Def_Flows[[Flow_ID]:[CC_DM_source]],MATCH(Tab_Data_Flows[[#This Row],[Name(EN)]],Tab_Def_Flows[Name(EN)],0),18)</f>
        <v>0.8478431310202813</v>
      </c>
      <c r="AG180" s="112">
        <f>IF(K180="Yes",AF180*Tab_Data_Flows[[#This Row],[Flow_Py]]-AJ296,"N.A.")</f>
        <v>1437.0671436562322</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hidden="1" thickBot="1" x14ac:dyDescent="0.3">
      <c r="A181" s="60">
        <f t="shared" si="4"/>
        <v>180</v>
      </c>
      <c r="B181" s="49" t="str">
        <f>_xlfn.XLOOKUP(C181,Tab_Def_Flows[Name(EN)],Tab_Def_Flows[Flow_ID],,0,)</f>
        <v>F_00_11</v>
      </c>
      <c r="C181" s="51" t="s">
        <v>500</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1729.9088785047331</v>
      </c>
      <c r="P181" s="51" t="s">
        <v>389</v>
      </c>
      <c r="Q181" s="51"/>
      <c r="R181" s="51"/>
      <c r="S181" s="51"/>
      <c r="T181" s="51"/>
      <c r="U181" s="51"/>
      <c r="V181" s="51"/>
      <c r="W181" s="51"/>
      <c r="X181" s="51" t="s">
        <v>71</v>
      </c>
      <c r="Y181" s="106"/>
      <c r="Z181" s="51"/>
      <c r="AA181" s="86">
        <f t="shared" si="9"/>
        <v>1729.9088785047331</v>
      </c>
      <c r="AB181" s="51" t="s">
        <v>63</v>
      </c>
      <c r="AC181" s="111">
        <f>INDEX(Tab_Def_Flows[[Flow_ID]:[CC_DM_source]],MATCH(Tab_Data_Flows[[#This Row],[Name(EN)]],Tab_Def_Flows[Name(EN)],0),16)</f>
        <v>0.1521568689797187</v>
      </c>
      <c r="AD181" s="112">
        <f>IF(J181="Yes",AA181*Tab_Data_Flows[[#This Row],[WC_'[%']]],"N.A.")</f>
        <v>263.21751857349676</v>
      </c>
      <c r="AE181" s="61" t="str">
        <f>Tab_Data_Flows[[#This Row],[UoM_Flow_Py]]</f>
        <v>Mg</v>
      </c>
      <c r="AF181" s="111">
        <f>INDEX(Tab_Def_Flows[[Flow_ID]:[CC_DM_source]],MATCH(Tab_Data_Flows[[#This Row],[Name(EN)]],Tab_Def_Flows[Name(EN)],0),18)</f>
        <v>0.8478431310202813</v>
      </c>
      <c r="AG181" s="112">
        <f>IF(K181="Yes",AF181*Tab_Data_Flows[[#This Row],[Flow_Py]]-AJ297,"N.A.")</f>
        <v>1465.808486529357</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hidden="1" x14ac:dyDescent="0.25">
      <c r="A182" s="60">
        <f t="shared" si="4"/>
        <v>181</v>
      </c>
      <c r="B182" s="49" t="str">
        <f>_xlfn.XLOOKUP(C182,Tab_Def_Flows[Name(EN)],Tab_Def_Flows[Flow_ID],,0,)</f>
        <v>F_00_11</v>
      </c>
      <c r="C182" s="51" t="s">
        <v>500</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1764.5070560748279</v>
      </c>
      <c r="P182" s="51" t="s">
        <v>389</v>
      </c>
      <c r="Q182" s="51"/>
      <c r="R182" s="51"/>
      <c r="S182" s="51"/>
      <c r="T182" s="51"/>
      <c r="U182" s="51"/>
      <c r="V182" s="51"/>
      <c r="W182" s="51"/>
      <c r="X182" s="51" t="s">
        <v>71</v>
      </c>
      <c r="Y182" s="106"/>
      <c r="Z182" s="51"/>
      <c r="AA182" s="86">
        <f t="shared" si="9"/>
        <v>1764.5070560748279</v>
      </c>
      <c r="AB182" s="51" t="s">
        <v>63</v>
      </c>
      <c r="AC182" s="111">
        <f>INDEX(Tab_Def_Flows[[Flow_ID]:[CC_DM_source]],MATCH(Tab_Data_Flows[[#This Row],[Name(EN)]],Tab_Def_Flows[Name(EN)],0),16)</f>
        <v>0.1521568689797187</v>
      </c>
      <c r="AD182" s="112">
        <f>IF(J182="Yes",AA182*Tab_Data_Flows[[#This Row],[WC_'[%']]],"N.A.")</f>
        <v>268.48186894496672</v>
      </c>
      <c r="AE182" s="61" t="str">
        <f>Tab_Data_Flows[[#This Row],[UoM_Flow_Py]]</f>
        <v>Mg</v>
      </c>
      <c r="AF182" s="111">
        <f>INDEX(Tab_Def_Flows[[Flow_ID]:[CC_DM_source]],MATCH(Tab_Data_Flows[[#This Row],[Name(EN)]],Tab_Def_Flows[Name(EN)],0),18)</f>
        <v>0.8478431310202813</v>
      </c>
      <c r="AG182" s="112">
        <f>IF(K182="Yes",AF182*Tab_Data_Flows[[#This Row],[Flow_Py]]-AJ298,"N.A.")</f>
        <v>1495.1246562599442</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hidden="1" x14ac:dyDescent="0.25">
      <c r="A183" s="60"/>
      <c r="B183" s="49" t="str">
        <f>_xlfn.XLOOKUP(C183,Tab_Def_Flows[Name(EN)],Tab_Def_Flows[Flow_ID],,0,)</f>
        <v>F_00_11</v>
      </c>
      <c r="C183" s="51" t="s">
        <v>500</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1799.7971971963245</v>
      </c>
      <c r="P183" s="51"/>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1799.7971971963245</v>
      </c>
      <c r="AB183" s="51" t="s">
        <v>63</v>
      </c>
      <c r="AC183" s="111">
        <f>INDEX(Tab_Def_Flows[[Flow_ID]:[CC_DM_source]],MATCH(Tab_Data_Flows[[#This Row],[Name(EN)]],Tab_Def_Flows[Name(EN)],0),16)</f>
        <v>0.1521568689797187</v>
      </c>
      <c r="AD183" s="112">
        <f>IF(J183="Yes",AA183*Tab_Data_Flows[[#This Row],[WC_'[%']]],"N.A.")</f>
        <v>273.85150632386609</v>
      </c>
      <c r="AE183" s="61" t="str">
        <f>Tab_Data_Flows[[#This Row],[UoM_Flow_Py]]</f>
        <v>Mg</v>
      </c>
      <c r="AF183" s="111">
        <f>INDEX(Tab_Def_Flows[[Flow_ID]:[CC_DM_source]],MATCH(Tab_Data_Flows[[#This Row],[Name(EN)]],Tab_Def_Flows[Name(EN)],0),18)</f>
        <v>0.8478431310202813</v>
      </c>
      <c r="AG183" s="112">
        <f>IF(K183="Yes",AF183*Tab_Data_Flows[[#This Row],[Flow_Py]]-AJ299,"N.A.")</f>
        <v>1525.0271493851433</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hidden="1" x14ac:dyDescent="0.25">
      <c r="A184" s="60"/>
      <c r="B184" s="49" t="str">
        <f>_xlfn.XLOOKUP(C184,Tab_Def_Flows[Name(EN)],Tab_Def_Flows[Flow_ID],,0,)</f>
        <v>F_00_11</v>
      </c>
      <c r="C184" s="51" t="s">
        <v>500</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1835.793141140251</v>
      </c>
      <c r="P184" s="51"/>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1835.793141140251</v>
      </c>
      <c r="AB184" s="51" t="s">
        <v>63</v>
      </c>
      <c r="AC184" s="111">
        <f>INDEX(Tab_Def_Flows[[Flow_ID]:[CC_DM_source]],MATCH(Tab_Data_Flows[[#This Row],[Name(EN)]],Tab_Def_Flows[Name(EN)],0),16)</f>
        <v>0.1521568689797187</v>
      </c>
      <c r="AD184" s="112">
        <f>IF(J184="Yes",AA184*Tab_Data_Flows[[#This Row],[WC_'[%']]],"N.A.")</f>
        <v>279.32853645034339</v>
      </c>
      <c r="AE184" s="61" t="str">
        <f>Tab_Data_Flows[[#This Row],[UoM_Flow_Py]]</f>
        <v>Mg</v>
      </c>
      <c r="AF184" s="111">
        <f>INDEX(Tab_Def_Flows[[Flow_ID]:[CC_DM_source]],MATCH(Tab_Data_Flows[[#This Row],[Name(EN)]],Tab_Def_Flows[Name(EN)],0),18)</f>
        <v>0.8478431310202813</v>
      </c>
      <c r="AG184" s="112">
        <f>IF(K184="Yes",AF184*Tab_Data_Flows[[#This Row],[Flow_Py]]-AJ300,"N.A.")</f>
        <v>1555.5276923728461</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hidden="1" x14ac:dyDescent="0.25">
      <c r="A185" s="60"/>
      <c r="B185" s="49" t="str">
        <f>_xlfn.XLOOKUP(C185,Tab_Def_Flows[Name(EN)],Tab_Def_Flows[Flow_ID],,0,)</f>
        <v>F_00_11</v>
      </c>
      <c r="C185" s="51" t="s">
        <v>500</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1872.5090039630561</v>
      </c>
      <c r="P185" s="51"/>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1872.5090039630561</v>
      </c>
      <c r="AB185" s="51" t="s">
        <v>63</v>
      </c>
      <c r="AC185" s="111">
        <f>INDEX(Tab_Def_Flows[[Flow_ID]:[CC_DM_source]],MATCH(Tab_Data_Flows[[#This Row],[Name(EN)]],Tab_Def_Flows[Name(EN)],0),16)</f>
        <v>0.1521568689797187</v>
      </c>
      <c r="AD185" s="112">
        <f>IF(J185="Yes",AA185*Tab_Data_Flows[[#This Row],[WC_'[%']]],"N.A.")</f>
        <v>284.91510717935029</v>
      </c>
      <c r="AE185" s="61" t="str">
        <f>Tab_Data_Flows[[#This Row],[UoM_Flow_Py]]</f>
        <v>Mg</v>
      </c>
      <c r="AF185" s="111">
        <f>INDEX(Tab_Def_Flows[[Flow_ID]:[CC_DM_source]],MATCH(Tab_Data_Flows[[#This Row],[Name(EN)]],Tab_Def_Flows[Name(EN)],0),18)</f>
        <v>0.8478431310202813</v>
      </c>
      <c r="AG185" s="112">
        <f>IF(K185="Yes",AF185*Tab_Data_Flows[[#This Row],[Flow_Py]]-AJ301,"N.A.")</f>
        <v>1586.638246220303</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hidden="1" x14ac:dyDescent="0.25">
      <c r="A186" s="60"/>
      <c r="B186" s="49" t="str">
        <f>_xlfn.XLOOKUP(C186,Tab_Def_Flows[Name(EN)],Tab_Def_Flows[Flow_ID],,0,)</f>
        <v>F_00_11</v>
      </c>
      <c r="C186" s="51" t="s">
        <v>500</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1909.9591840423172</v>
      </c>
      <c r="P186" s="51"/>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1909.9591840423172</v>
      </c>
      <c r="AB186" s="51" t="s">
        <v>63</v>
      </c>
      <c r="AC186" s="111">
        <f>INDEX(Tab_Def_Flows[[Flow_ID]:[CC_DM_source]],MATCH(Tab_Data_Flows[[#This Row],[Name(EN)]],Tab_Def_Flows[Name(EN)],0),16)</f>
        <v>0.1521568689797187</v>
      </c>
      <c r="AD186" s="112">
        <f>IF(J186="Yes",AA186*Tab_Data_Flows[[#This Row],[WC_'[%']]],"N.A.")</f>
        <v>290.61340932293729</v>
      </c>
      <c r="AE186" s="61" t="str">
        <f>Tab_Data_Flows[[#This Row],[UoM_Flow_Py]]</f>
        <v>Mg</v>
      </c>
      <c r="AF186" s="111">
        <f>INDEX(Tab_Def_Flows[[Flow_ID]:[CC_DM_source]],MATCH(Tab_Data_Flows[[#This Row],[Name(EN)]],Tab_Def_Flows[Name(EN)],0),18)</f>
        <v>0.8478431310202813</v>
      </c>
      <c r="AG186" s="112">
        <f>IF(K186="Yes",AF186*Tab_Data_Flows[[#This Row],[Flow_Py]]-AJ302,"N.A.")</f>
        <v>1618.3710111447092</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hidden="1" x14ac:dyDescent="0.25">
      <c r="A187" s="60"/>
      <c r="B187" s="49" t="str">
        <f>_xlfn.XLOOKUP(C187,Tab_Def_Flows[Name(EN)],Tab_Def_Flows[Flow_ID],,0,)</f>
        <v>F_00_11</v>
      </c>
      <c r="C187" s="51" t="s">
        <v>500</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1948.1583677231636</v>
      </c>
      <c r="P187" s="51"/>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1948.1583677231636</v>
      </c>
      <c r="AB187" s="51" t="s">
        <v>63</v>
      </c>
      <c r="AC187" s="111">
        <f>INDEX(Tab_Def_Flows[[Flow_ID]:[CC_DM_source]],MATCH(Tab_Data_Flows[[#This Row],[Name(EN)]],Tab_Def_Flows[Name(EN)],0),16)</f>
        <v>0.1521568689797187</v>
      </c>
      <c r="AD187" s="112">
        <f>IF(J187="Yes",AA187*Tab_Data_Flows[[#This Row],[WC_'[%']]],"N.A.")</f>
        <v>296.42567750939605</v>
      </c>
      <c r="AE187" s="61" t="str">
        <f>Tab_Data_Flows[[#This Row],[UoM_Flow_Py]]</f>
        <v>Mg</v>
      </c>
      <c r="AF187" s="111">
        <f>INDEX(Tab_Def_Flows[[Flow_ID]:[CC_DM_source]],MATCH(Tab_Data_Flows[[#This Row],[Name(EN)]],Tab_Def_Flows[Name(EN)],0),18)</f>
        <v>0.8478431310202813</v>
      </c>
      <c r="AG187" s="112">
        <f>IF(K187="Yes",AF187*Tab_Data_Flows[[#This Row],[Flow_Py]]-AJ303,"N.A.")</f>
        <v>1650.7384313676032</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hidden="1" x14ac:dyDescent="0.25">
      <c r="A188" s="60"/>
      <c r="B188" s="49" t="str">
        <f>_xlfn.XLOOKUP(C188,Tab_Def_Flows[Name(EN)],Tab_Def_Flows[Flow_ID],,0,)</f>
        <v>F_00_11</v>
      </c>
      <c r="C188" s="51" t="s">
        <v>500</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1987.121535077627</v>
      </c>
      <c r="P188" s="51"/>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1987.121535077627</v>
      </c>
      <c r="AB188" s="51" t="s">
        <v>63</v>
      </c>
      <c r="AC188" s="111">
        <f>INDEX(Tab_Def_Flows[[Flow_ID]:[CC_DM_source]],MATCH(Tab_Data_Flows[[#This Row],[Name(EN)]],Tab_Def_Flows[Name(EN)],0),16)</f>
        <v>0.1521568689797187</v>
      </c>
      <c r="AD188" s="112">
        <f>IF(J188="Yes",AA188*Tab_Data_Flows[[#This Row],[WC_'[%']]],"N.A.")</f>
        <v>302.35419105958397</v>
      </c>
      <c r="AE188" s="61" t="str">
        <f>Tab_Data_Flows[[#This Row],[UoM_Flow_Py]]</f>
        <v>Mg</v>
      </c>
      <c r="AF188" s="111">
        <f>INDEX(Tab_Def_Flows[[Flow_ID]:[CC_DM_source]],MATCH(Tab_Data_Flows[[#This Row],[Name(EN)]],Tab_Def_Flows[Name(EN)],0),18)</f>
        <v>0.8478431310202813</v>
      </c>
      <c r="AG188" s="112">
        <f>IF(K188="Yes",AF188*Tab_Data_Flows[[#This Row],[Flow_Py]]-AJ304,"N.A.")</f>
        <v>1683.7531999949554</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hidden="1" x14ac:dyDescent="0.25">
      <c r="A189" s="60"/>
      <c r="B189" s="49" t="str">
        <f>_xlfn.XLOOKUP(C189,Tab_Def_Flows[Name(EN)],Tab_Def_Flows[Flow_ID],,0,)</f>
        <v>F_00_11</v>
      </c>
      <c r="C189" s="51" t="s">
        <v>500</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2026.8639657791796</v>
      </c>
      <c r="P189" s="51"/>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2026.8639657791796</v>
      </c>
      <c r="AB189" s="51" t="s">
        <v>63</v>
      </c>
      <c r="AC189" s="111">
        <f>INDEX(Tab_Def_Flows[[Flow_ID]:[CC_DM_source]],MATCH(Tab_Data_Flows[[#This Row],[Name(EN)]],Tab_Def_Flows[Name(EN)],0),16)</f>
        <v>0.1521568689797187</v>
      </c>
      <c r="AD189" s="112">
        <f>IF(J189="Yes",AA189*Tab_Data_Flows[[#This Row],[WC_'[%']]],"N.A.")</f>
        <v>308.40127488077565</v>
      </c>
      <c r="AE189" s="61" t="str">
        <f>Tab_Data_Flows[[#This Row],[UoM_Flow_Py]]</f>
        <v>Mg</v>
      </c>
      <c r="AF189" s="111">
        <f>INDEX(Tab_Def_Flows[[Flow_ID]:[CC_DM_source]],MATCH(Tab_Data_Flows[[#This Row],[Name(EN)]],Tab_Def_Flows[Name(EN)],0),18)</f>
        <v>0.8478431310202813</v>
      </c>
      <c r="AG189" s="112">
        <f>IF(K189="Yes",AF189*Tab_Data_Flows[[#This Row],[Flow_Py]]-AJ305,"N.A.")</f>
        <v>1717.4282639948547</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hidden="1" x14ac:dyDescent="0.25">
      <c r="A190" s="60"/>
      <c r="B190" s="49" t="str">
        <f>_xlfn.XLOOKUP(C190,Tab_Def_Flows[Name(EN)],Tab_Def_Flows[Flow_ID],,0,)</f>
        <v>F_00_11</v>
      </c>
      <c r="C190" s="51" t="s">
        <v>500</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2067.401245094763</v>
      </c>
      <c r="P190" s="51"/>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2067.401245094763</v>
      </c>
      <c r="AB190" s="51" t="s">
        <v>63</v>
      </c>
      <c r="AC190" s="111">
        <f>INDEX(Tab_Def_Flows[[Flow_ID]:[CC_DM_source]],MATCH(Tab_Data_Flows[[#This Row],[Name(EN)]],Tab_Def_Flows[Name(EN)],0),16)</f>
        <v>0.1521568689797187</v>
      </c>
      <c r="AD190" s="112">
        <f>IF(J190="Yes",AA190*Tab_Data_Flows[[#This Row],[WC_'[%']]],"N.A.")</f>
        <v>314.56930037839118</v>
      </c>
      <c r="AE190" s="61" t="str">
        <f>Tab_Data_Flows[[#This Row],[UoM_Flow_Py]]</f>
        <v>Mg</v>
      </c>
      <c r="AF190" s="111">
        <f>INDEX(Tab_Def_Flows[[Flow_ID]:[CC_DM_source]],MATCH(Tab_Data_Flows[[#This Row],[Name(EN)]],Tab_Def_Flows[Name(EN)],0),18)</f>
        <v>0.8478431310202813</v>
      </c>
      <c r="AG190" s="112">
        <f>IF(K190="Yes",AF190*Tab_Data_Flows[[#This Row],[Flow_Py]]-AJ306,"N.A.")</f>
        <v>1751.7768292747517</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hidden="1" x14ac:dyDescent="0.25">
      <c r="A191" s="60"/>
      <c r="B191" s="49" t="str">
        <f>_xlfn.XLOOKUP(C191,Tab_Def_Flows[Name(EN)],Tab_Def_Flows[Flow_ID],,0,)</f>
        <v>F_00_11</v>
      </c>
      <c r="C191" s="51" t="s">
        <v>500</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2108.7492699966583</v>
      </c>
      <c r="P191" s="51"/>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2108.7492699966583</v>
      </c>
      <c r="AB191" s="51" t="s">
        <v>63</v>
      </c>
      <c r="AC191" s="111">
        <f>INDEX(Tab_Def_Flows[[Flow_ID]:[CC_DM_source]],MATCH(Tab_Data_Flows[[#This Row],[Name(EN)]],Tab_Def_Flows[Name(EN)],0),16)</f>
        <v>0.1521568689797187</v>
      </c>
      <c r="AD191" s="112">
        <f>IF(J191="Yes",AA191*Tab_Data_Flows[[#This Row],[WC_'[%']]],"N.A.")</f>
        <v>320.86068638595896</v>
      </c>
      <c r="AE191" s="61" t="str">
        <f>Tab_Data_Flows[[#This Row],[UoM_Flow_Py]]</f>
        <v>Mg</v>
      </c>
      <c r="AF191" s="111">
        <f>INDEX(Tab_Def_Flows[[Flow_ID]:[CC_DM_source]],MATCH(Tab_Data_Flows[[#This Row],[Name(EN)]],Tab_Def_Flows[Name(EN)],0),18)</f>
        <v>0.8478431310202813</v>
      </c>
      <c r="AG191" s="112">
        <f>IF(K191="Yes",AF191*Tab_Data_Flows[[#This Row],[Flow_Py]]-AJ307,"N.A.")</f>
        <v>1786.8123658602465</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hidden="1" x14ac:dyDescent="0.25">
      <c r="A192" s="60"/>
      <c r="B192" s="49" t="str">
        <f>_xlfn.XLOOKUP(C192,Tab_Def_Flows[Name(EN)],Tab_Def_Flows[Flow_ID],,0,)</f>
        <v>F_00_11</v>
      </c>
      <c r="C192" s="51" t="s">
        <v>500</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2150.9242553965914</v>
      </c>
      <c r="P192" s="51"/>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2150.9242553965914</v>
      </c>
      <c r="AB192" s="51" t="s">
        <v>63</v>
      </c>
      <c r="AC192" s="111">
        <f>INDEX(Tab_Def_Flows[[Flow_ID]:[CC_DM_source]],MATCH(Tab_Data_Flows[[#This Row],[Name(EN)]],Tab_Def_Flows[Name(EN)],0),16)</f>
        <v>0.1521568689797187</v>
      </c>
      <c r="AD192" s="112">
        <f>IF(J192="Yes",AA192*Tab_Data_Flows[[#This Row],[WC_'[%']]],"N.A.")</f>
        <v>327.27790011367813</v>
      </c>
      <c r="AE192" s="61" t="str">
        <f>Tab_Data_Flows[[#This Row],[UoM_Flow_Py]]</f>
        <v>Mg</v>
      </c>
      <c r="AF192" s="111">
        <f>INDEX(Tab_Def_Flows[[Flow_ID]:[CC_DM_source]],MATCH(Tab_Data_Flows[[#This Row],[Name(EN)]],Tab_Def_Flows[Name(EN)],0),18)</f>
        <v>0.8478431310202813</v>
      </c>
      <c r="AG192" s="112">
        <f>IF(K192="Yes",AF192*Tab_Data_Flows[[#This Row],[Flow_Py]]-AJ308,"N.A.")</f>
        <v>1822.5486131774514</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hidden="1" x14ac:dyDescent="0.25">
      <c r="A193" s="60"/>
      <c r="B193" s="49" t="str">
        <f>_xlfn.XLOOKUP(C193,Tab_Def_Flows[Name(EN)],Tab_Def_Flows[Flow_ID],,0,)</f>
        <v>F_00_11</v>
      </c>
      <c r="C193" s="51" t="s">
        <v>500</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2193.9427405045235</v>
      </c>
      <c r="P193" s="51"/>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2193.9427405045235</v>
      </c>
      <c r="AB193" s="51" t="s">
        <v>63</v>
      </c>
      <c r="AC193" s="111">
        <f>INDEX(Tab_Def_Flows[[Flow_ID]:[CC_DM_source]],MATCH(Tab_Data_Flows[[#This Row],[Name(EN)]],Tab_Def_Flows[Name(EN)],0),16)</f>
        <v>0.1521568689797187</v>
      </c>
      <c r="AD193" s="112">
        <f>IF(J193="Yes",AA193*Tab_Data_Flows[[#This Row],[WC_'[%']]],"N.A.")</f>
        <v>333.82345811595178</v>
      </c>
      <c r="AE193" s="61" t="str">
        <f>Tab_Data_Flows[[#This Row],[UoM_Flow_Py]]</f>
        <v>Mg</v>
      </c>
      <c r="AF193" s="111">
        <f>INDEX(Tab_Def_Flows[[Flow_ID]:[CC_DM_source]],MATCH(Tab_Data_Flows[[#This Row],[Name(EN)]],Tab_Def_Flows[Name(EN)],0),18)</f>
        <v>0.8478431310202813</v>
      </c>
      <c r="AG193" s="112">
        <f>IF(K193="Yes",AF193*Tab_Data_Flows[[#This Row],[Flow_Py]]-AJ309,"N.A.")</f>
        <v>1858.9995854410008</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hidden="1" x14ac:dyDescent="0.25">
      <c r="A194" s="60"/>
      <c r="B194" s="49" t="str">
        <f>_xlfn.XLOOKUP(C194,Tab_Def_Flows[Name(EN)],Tab_Def_Flows[Flow_ID],,0,)</f>
        <v>F_00_11</v>
      </c>
      <c r="C194" s="51" t="s">
        <v>500</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2237.8215953146141</v>
      </c>
      <c r="P194" s="51"/>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2237.8215953146141</v>
      </c>
      <c r="AB194" s="51" t="s">
        <v>63</v>
      </c>
      <c r="AC194" s="111">
        <f>INDEX(Tab_Def_Flows[[Flow_ID]:[CC_DM_source]],MATCH(Tab_Data_Flows[[#This Row],[Name(EN)]],Tab_Def_Flows[Name(EN)],0),16)</f>
        <v>0.1521568689797187</v>
      </c>
      <c r="AD194" s="112">
        <f>IF(J194="Yes",AA194*Tab_Data_Flows[[#This Row],[WC_'[%']]],"N.A.")</f>
        <v>340.49992727827083</v>
      </c>
      <c r="AE194" s="61" t="str">
        <f>Tab_Data_Flows[[#This Row],[UoM_Flow_Py]]</f>
        <v>Mg</v>
      </c>
      <c r="AF194" s="111">
        <f>INDEX(Tab_Def_Flows[[Flow_ID]:[CC_DM_source]],MATCH(Tab_Data_Flows[[#This Row],[Name(EN)]],Tab_Def_Flows[Name(EN)],0),18)</f>
        <v>0.8478431310202813</v>
      </c>
      <c r="AG194" s="112">
        <f>IF(K194="Yes",AF194*Tab_Data_Flows[[#This Row],[Flow_Py]]-AJ310,"N.A.")</f>
        <v>1896.1795771498207</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hidden="1" x14ac:dyDescent="0.25">
      <c r="A195" s="60"/>
      <c r="B195" s="49" t="str">
        <f>_xlfn.XLOOKUP(C195,Tab_Def_Flows[Name(EN)],Tab_Def_Flows[Flow_ID],,0,)</f>
        <v>F_00_11</v>
      </c>
      <c r="C195" s="51" t="s">
        <v>500</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2282.5780272209063</v>
      </c>
      <c r="P195" s="51"/>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2282.5780272209063</v>
      </c>
      <c r="AB195" s="51" t="s">
        <v>63</v>
      </c>
      <c r="AC195" s="111">
        <f>INDEX(Tab_Def_Flows[[Flow_ID]:[CC_DM_source]],MATCH(Tab_Data_Flows[[#This Row],[Name(EN)]],Tab_Def_Flows[Name(EN)],0),16)</f>
        <v>0.1521568689797187</v>
      </c>
      <c r="AD195" s="112">
        <f>IF(J195="Yes",AA195*Tab_Data_Flows[[#This Row],[WC_'[%']]],"N.A.")</f>
        <v>347.30992582383624</v>
      </c>
      <c r="AE195" s="61" t="str">
        <f>Tab_Data_Flows[[#This Row],[UoM_Flow_Py]]</f>
        <v>Mg</v>
      </c>
      <c r="AF195" s="111">
        <f>INDEX(Tab_Def_Flows[[Flow_ID]:[CC_DM_source]],MATCH(Tab_Data_Flows[[#This Row],[Name(EN)]],Tab_Def_Flows[Name(EN)],0),18)</f>
        <v>0.8478431310202813</v>
      </c>
      <c r="AG195" s="112">
        <f>IF(K195="Yes",AF195*Tab_Data_Flows[[#This Row],[Flow_Py]]-AJ311,"N.A.")</f>
        <v>1934.1031686928172</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hidden="1" x14ac:dyDescent="0.25">
      <c r="A196" s="60"/>
      <c r="B196" s="49" t="str">
        <f>_xlfn.XLOOKUP(C196,Tab_Def_Flows[Name(EN)],Tab_Def_Flows[Flow_ID],,0,)</f>
        <v>F_00_11</v>
      </c>
      <c r="C196" s="51" t="s">
        <v>500</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2328.2295877653246</v>
      </c>
      <c r="P196" s="51"/>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2328.2295877653246</v>
      </c>
      <c r="AB196" s="51" t="s">
        <v>63</v>
      </c>
      <c r="AC196" s="111">
        <f>INDEX(Tab_Def_Flows[[Flow_ID]:[CC_DM_source]],MATCH(Tab_Data_Flows[[#This Row],[Name(EN)]],Tab_Def_Flows[Name(EN)],0),16)</f>
        <v>0.1521568689797187</v>
      </c>
      <c r="AD196" s="112">
        <f>IF(J196="Yes",AA196*Tab_Data_Flows[[#This Row],[WC_'[%']]],"N.A.")</f>
        <v>354.25612434031297</v>
      </c>
      <c r="AE196" s="61" t="str">
        <f>Tab_Data_Flows[[#This Row],[UoM_Flow_Py]]</f>
        <v>Mg</v>
      </c>
      <c r="AF196" s="111">
        <f>INDEX(Tab_Def_Flows[[Flow_ID]:[CC_DM_source]],MATCH(Tab_Data_Flows[[#This Row],[Name(EN)]],Tab_Def_Flows[Name(EN)],0),18)</f>
        <v>0.8478431310202813</v>
      </c>
      <c r="AG196" s="112">
        <f>IF(K196="Yes",AF196*Tab_Data_Flows[[#This Row],[Flow_Py]]-AJ312,"N.A.")</f>
        <v>1972.7852320666739</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hidden="1" x14ac:dyDescent="0.25">
      <c r="A197" s="60"/>
      <c r="B197" s="49" t="str">
        <f>_xlfn.XLOOKUP(C197,Tab_Def_Flows[Name(EN)],Tab_Def_Flows[Flow_ID],,0,)</f>
        <v>F_00_11</v>
      </c>
      <c r="C197" s="51" t="s">
        <v>500</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2374.7941795206311</v>
      </c>
      <c r="P197" s="51"/>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2374.7941795206311</v>
      </c>
      <c r="AB197" s="51" t="s">
        <v>63</v>
      </c>
      <c r="AC197" s="111">
        <f>INDEX(Tab_Def_Flows[[Flow_ID]:[CC_DM_source]],MATCH(Tab_Data_Flows[[#This Row],[Name(EN)]],Tab_Def_Flows[Name(EN)],0),16)</f>
        <v>0.1521568689797187</v>
      </c>
      <c r="AD197" s="112">
        <f>IF(J197="Yes",AA197*Tab_Data_Flows[[#This Row],[WC_'[%']]],"N.A.")</f>
        <v>361.34124682711922</v>
      </c>
      <c r="AE197" s="61" t="str">
        <f>Tab_Data_Flows[[#This Row],[UoM_Flow_Py]]</f>
        <v>Mg</v>
      </c>
      <c r="AF197" s="111">
        <f>INDEX(Tab_Def_Flows[[Flow_ID]:[CC_DM_source]],MATCH(Tab_Data_Flows[[#This Row],[Name(EN)]],Tab_Def_Flows[Name(EN)],0),18)</f>
        <v>0.8478431310202813</v>
      </c>
      <c r="AG197" s="112">
        <f>IF(K197="Yes",AF197*Tab_Data_Flows[[#This Row],[Flow_Py]]-AJ313,"N.A.")</f>
        <v>2012.2409367080072</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hidden="1" x14ac:dyDescent="0.25">
      <c r="A198" s="60"/>
      <c r="B198" s="49" t="str">
        <f>_xlfn.XLOOKUP(C198,Tab_Def_Flows[Name(EN)],Tab_Def_Flows[Flow_ID],,0,)</f>
        <v>F_00_11</v>
      </c>
      <c r="C198" s="51" t="s">
        <v>500</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2422.2900631110438</v>
      </c>
      <c r="P198" s="51"/>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2422.2900631110438</v>
      </c>
      <c r="AB198" s="51" t="s">
        <v>63</v>
      </c>
      <c r="AC198" s="111">
        <f>INDEX(Tab_Def_Flows[[Flow_ID]:[CC_DM_source]],MATCH(Tab_Data_Flows[[#This Row],[Name(EN)]],Tab_Def_Flows[Name(EN)],0),16)</f>
        <v>0.1521568689797187</v>
      </c>
      <c r="AD198" s="112">
        <f>IF(J198="Yes",AA198*Tab_Data_Flows[[#This Row],[WC_'[%']]],"N.A.")</f>
        <v>368.56807176366164</v>
      </c>
      <c r="AE198" s="61" t="str">
        <f>Tab_Data_Flows[[#This Row],[UoM_Flow_Py]]</f>
        <v>Mg</v>
      </c>
      <c r="AF198" s="111">
        <f>INDEX(Tab_Def_Flows[[Flow_ID]:[CC_DM_source]],MATCH(Tab_Data_Flows[[#This Row],[Name(EN)]],Tab_Def_Flows[Name(EN)],0),18)</f>
        <v>0.8478431310202813</v>
      </c>
      <c r="AG198" s="112">
        <f>IF(K198="Yes",AF198*Tab_Data_Flows[[#This Row],[Flow_Py]]-AJ314,"N.A.")</f>
        <v>2052.4857554421674</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hidden="1" x14ac:dyDescent="0.25">
      <c r="A199" s="60"/>
      <c r="B199" s="49" t="str">
        <f>_xlfn.XLOOKUP(C199,Tab_Def_Flows[Name(EN)],Tab_Def_Flows[Flow_ID],,0,)</f>
        <v>F_00_11</v>
      </c>
      <c r="C199" s="51" t="s">
        <v>500</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2470.7358643732646</v>
      </c>
      <c r="P199" s="51"/>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2470.7358643732646</v>
      </c>
      <c r="AB199" s="51" t="s">
        <v>63</v>
      </c>
      <c r="AC199" s="111">
        <f>INDEX(Tab_Def_Flows[[Flow_ID]:[CC_DM_source]],MATCH(Tab_Data_Flows[[#This Row],[Name(EN)]],Tab_Def_Flows[Name(EN)],0),16)</f>
        <v>0.1521568689797187</v>
      </c>
      <c r="AD199" s="112">
        <f>IF(J199="Yes",AA199*Tab_Data_Flows[[#This Row],[WC_'[%']]],"N.A.")</f>
        <v>375.93943319893486</v>
      </c>
      <c r="AE199" s="61" t="str">
        <f>Tab_Data_Flows[[#This Row],[UoM_Flow_Py]]</f>
        <v>Mg</v>
      </c>
      <c r="AF199" s="111">
        <f>INDEX(Tab_Def_Flows[[Flow_ID]:[CC_DM_source]],MATCH(Tab_Data_Flows[[#This Row],[Name(EN)]],Tab_Def_Flows[Name(EN)],0),18)</f>
        <v>0.8478431310202813</v>
      </c>
      <c r="AG199" s="112">
        <f>IF(K199="Yes",AF199*Tab_Data_Flows[[#This Row],[Flow_Py]]-AJ315,"N.A.")</f>
        <v>2093.5354705510108</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hidden="1" x14ac:dyDescent="0.25">
      <c r="A200" s="60"/>
      <c r="B200" s="49" t="str">
        <f>_xlfn.XLOOKUP(C200,Tab_Def_Flows[Name(EN)],Tab_Def_Flows[Flow_ID],,0,)</f>
        <v>F_00_11</v>
      </c>
      <c r="C200" s="51" t="s">
        <v>500</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2520.15058166073</v>
      </c>
      <c r="P200" s="51"/>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2520.15058166073</v>
      </c>
      <c r="AB200" s="51" t="s">
        <v>63</v>
      </c>
      <c r="AC200" s="111">
        <f>INDEX(Tab_Def_Flows[[Flow_ID]:[CC_DM_source]],MATCH(Tab_Data_Flows[[#This Row],[Name(EN)]],Tab_Def_Flows[Name(EN)],0),16)</f>
        <v>0.1521568689797187</v>
      </c>
      <c r="AD200" s="112">
        <f>IF(J200="Yes",AA200*Tab_Data_Flows[[#This Row],[WC_'[%']]],"N.A.")</f>
        <v>383.45822186291355</v>
      </c>
      <c r="AE200" s="61" t="str">
        <f>Tab_Data_Flows[[#This Row],[UoM_Flow_Py]]</f>
        <v>Mg</v>
      </c>
      <c r="AF200" s="111">
        <f>INDEX(Tab_Def_Flows[[Flow_ID]:[CC_DM_source]],MATCH(Tab_Data_Flows[[#This Row],[Name(EN)]],Tab_Def_Flows[Name(EN)],0),18)</f>
        <v>0.8478431310202813</v>
      </c>
      <c r="AG200" s="112">
        <f>IF(K200="Yes",AF200*Tab_Data_Flows[[#This Row],[Flow_Py]]-AJ316,"N.A.")</f>
        <v>2135.4061799620313</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hidden="1" x14ac:dyDescent="0.25">
      <c r="A201" s="60"/>
      <c r="B201" s="49" t="str">
        <f>_xlfn.XLOOKUP(C201,Tab_Def_Flows[Name(EN)],Tab_Def_Flows[Flow_ID],,0,)</f>
        <v>F_00_11</v>
      </c>
      <c r="C201" s="51" t="s">
        <v>500</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2570.5535932939447</v>
      </c>
      <c r="P201" s="51"/>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2570.5535932939447</v>
      </c>
      <c r="AB201" s="51" t="s">
        <v>63</v>
      </c>
      <c r="AC201" s="111">
        <f>INDEX(Tab_Def_Flows[[Flow_ID]:[CC_DM_source]],MATCH(Tab_Data_Flows[[#This Row],[Name(EN)]],Tab_Def_Flows[Name(EN)],0),16)</f>
        <v>0.1521568689797187</v>
      </c>
      <c r="AD201" s="112">
        <f>IF(J201="Yes",AA201*Tab_Data_Flows[[#This Row],[WC_'[%']]],"N.A.")</f>
        <v>391.12738630017185</v>
      </c>
      <c r="AE201" s="61" t="str">
        <f>Tab_Data_Flows[[#This Row],[UoM_Flow_Py]]</f>
        <v>Mg</v>
      </c>
      <c r="AF201" s="111">
        <f>INDEX(Tab_Def_Flows[[Flow_ID]:[CC_DM_source]],MATCH(Tab_Data_Flows[[#This Row],[Name(EN)]],Tab_Def_Flows[Name(EN)],0),18)</f>
        <v>0.8478431310202813</v>
      </c>
      <c r="AG201" s="112">
        <f>IF(K201="Yes",AF201*Tab_Data_Flows[[#This Row],[Flow_Py]]-AJ317,"N.A.")</f>
        <v>2178.1143035612718</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hidden="1" x14ac:dyDescent="0.25">
      <c r="A202" s="60"/>
      <c r="B202" s="49" t="str">
        <f>_xlfn.XLOOKUP(C202,Tab_Def_Flows[Name(EN)],Tab_Def_Flows[Flow_ID],,0,)</f>
        <v>F_00_11</v>
      </c>
      <c r="C202" s="51" t="s">
        <v>500</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2621.9646651598237</v>
      </c>
      <c r="P202" s="51"/>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2621.9646651598237</v>
      </c>
      <c r="AB202" s="51" t="s">
        <v>63</v>
      </c>
      <c r="AC202" s="111">
        <f>INDEX(Tab_Def_Flows[[Flow_ID]:[CC_DM_source]],MATCH(Tab_Data_Flows[[#This Row],[Name(EN)]],Tab_Def_Flows[Name(EN)],0),16)</f>
        <v>0.1521568689797187</v>
      </c>
      <c r="AD202" s="112">
        <f>IF(J202="Yes",AA202*Tab_Data_Flows[[#This Row],[WC_'[%']]],"N.A.")</f>
        <v>398.9499340261753</v>
      </c>
      <c r="AE202" s="61" t="str">
        <f>Tab_Data_Flows[[#This Row],[UoM_Flow_Py]]</f>
        <v>Mg</v>
      </c>
      <c r="AF202" s="111">
        <f>INDEX(Tab_Def_Flows[[Flow_ID]:[CC_DM_source]],MATCH(Tab_Data_Flows[[#This Row],[Name(EN)]],Tab_Def_Flows[Name(EN)],0),18)</f>
        <v>0.8478431310202813</v>
      </c>
      <c r="AG202" s="112">
        <f>IF(K202="Yes",AF202*Tab_Data_Flows[[#This Row],[Flow_Py]]-AJ318,"N.A.")</f>
        <v>2221.6765896324969</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hidden="1" x14ac:dyDescent="0.25">
      <c r="A203" s="60"/>
      <c r="B203" s="49" t="str">
        <f>_xlfn.XLOOKUP(C203,Tab_Def_Flows[Name(EN)],Tab_Def_Flows[Flow_ID],,0,)</f>
        <v>F_00_11</v>
      </c>
      <c r="C203" s="51" t="s">
        <v>500</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2674.40395846302</v>
      </c>
      <c r="P203" s="51"/>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2674.40395846302</v>
      </c>
      <c r="AB203" s="51" t="s">
        <v>63</v>
      </c>
      <c r="AC203" s="111">
        <f>INDEX(Tab_Def_Flows[[Flow_ID]:[CC_DM_source]],MATCH(Tab_Data_Flows[[#This Row],[Name(EN)]],Tab_Def_Flows[Name(EN)],0),16)</f>
        <v>0.1521568689797187</v>
      </c>
      <c r="AD203" s="112">
        <f>IF(J203="Yes",AA203*Tab_Data_Flows[[#This Row],[WC_'[%']]],"N.A.")</f>
        <v>406.92893270669879</v>
      </c>
      <c r="AE203" s="61" t="str">
        <f>Tab_Data_Flows[[#This Row],[UoM_Flow_Py]]</f>
        <v>Mg</v>
      </c>
      <c r="AF203" s="111">
        <f>INDEX(Tab_Def_Flows[[Flow_ID]:[CC_DM_source]],MATCH(Tab_Data_Flows[[#This Row],[Name(EN)]],Tab_Def_Flows[Name(EN)],0),18)</f>
        <v>0.8478431310202813</v>
      </c>
      <c r="AG203" s="112">
        <f>IF(K203="Yes",AF203*Tab_Data_Flows[[#This Row],[Flow_Py]]-AJ319,"N.A.")</f>
        <v>2266.1101214251471</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hidden="1" thickBot="1" x14ac:dyDescent="0.3">
      <c r="A204" s="60"/>
      <c r="B204" s="49" t="str">
        <f>_xlfn.XLOOKUP(C204,Tab_Def_Flows[Name(EN)],Tab_Def_Flows[Flow_ID],,0,)</f>
        <v>F_00_11</v>
      </c>
      <c r="C204" s="51" t="s">
        <v>500</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2727.8920376322803</v>
      </c>
      <c r="P204" s="51"/>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2727.8920376322803</v>
      </c>
      <c r="AB204" s="51" t="s">
        <v>63</v>
      </c>
      <c r="AC204" s="111">
        <f>INDEX(Tab_Def_Flows[[Flow_ID]:[CC_DM_source]],MATCH(Tab_Data_Flows[[#This Row],[Name(EN)]],Tab_Def_Flows[Name(EN)],0),16)</f>
        <v>0.1521568689797187</v>
      </c>
      <c r="AD204" s="112">
        <f>IF(J204="Yes",AA204*Tab_Data_Flows[[#This Row],[WC_'[%']]],"N.A.")</f>
        <v>415.06751136083273</v>
      </c>
      <c r="AE204" s="61" t="str">
        <f>Tab_Data_Flows[[#This Row],[UoM_Flow_Py]]</f>
        <v>Mg</v>
      </c>
      <c r="AF204" s="111">
        <f>INDEX(Tab_Def_Flows[[Flow_ID]:[CC_DM_source]],MATCH(Tab_Data_Flows[[#This Row],[Name(EN)]],Tab_Def_Flows[Name(EN)],0),18)</f>
        <v>0.8478431310202813</v>
      </c>
      <c r="AG204" s="112">
        <f>IF(K204="Yes",AF204*Tab_Data_Flows[[#This Row],[Flow_Py]]-AJ320,"N.A.")</f>
        <v>2311.4323238536499</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501</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33826.459939200002</v>
      </c>
      <c r="P205" s="51" t="s">
        <v>389</v>
      </c>
      <c r="Q205" s="51"/>
      <c r="R205" s="51"/>
      <c r="S205" s="51"/>
      <c r="T205" s="51"/>
      <c r="U205" s="51"/>
      <c r="V205" s="51"/>
      <c r="W205" s="51"/>
      <c r="X205" s="51" t="s">
        <v>71</v>
      </c>
      <c r="Y205" s="106"/>
      <c r="Z205" s="51"/>
      <c r="AA205" s="86">
        <f t="shared" si="11"/>
        <v>33826.459939200002</v>
      </c>
      <c r="AB205" s="51" t="s">
        <v>63</v>
      </c>
      <c r="AC205" s="111">
        <f>INDEX(Tab_Def_Flows[[Flow_ID]:[CC_DM_source]],MATCH(Tab_Data_Flows[[#This Row],[Name(EN)]],Tab_Def_Flows[Name(EN)],0),16)</f>
        <v>1</v>
      </c>
      <c r="AD205" s="112">
        <f>IF(J205="Yes",AA205*Tab_Data_Flows[[#This Row],[WC_'[%']]],"N.A.")</f>
        <v>33826.459939200002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hidden="1" thickBot="1" x14ac:dyDescent="0.3">
      <c r="A206" s="60">
        <f t="shared" si="4"/>
        <v>205</v>
      </c>
      <c r="B206" s="49" t="str">
        <f>_xlfn.XLOOKUP(C206,Tab_Def_Flows[Name(EN)],Tab_Def_Flows[Flow_ID],,0,)</f>
        <v>F_00_08</v>
      </c>
      <c r="C206" s="51" t="s">
        <v>501</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34502.989137984005</v>
      </c>
      <c r="P206" s="51" t="s">
        <v>389</v>
      </c>
      <c r="Q206" s="51"/>
      <c r="R206" s="51"/>
      <c r="S206" s="51"/>
      <c r="T206" s="51"/>
      <c r="U206" s="51"/>
      <c r="V206" s="51"/>
      <c r="W206" s="51"/>
      <c r="X206" s="51" t="s">
        <v>71</v>
      </c>
      <c r="Y206" s="106"/>
      <c r="Z206" s="51"/>
      <c r="AA206" s="86">
        <f t="shared" si="11"/>
        <v>34502.989137984005</v>
      </c>
      <c r="AB206" s="51" t="s">
        <v>63</v>
      </c>
      <c r="AC206" s="111">
        <f>INDEX(Tab_Def_Flows[[Flow_ID]:[CC_DM_source]],MATCH(Tab_Data_Flows[[#This Row],[Name(EN)]],Tab_Def_Flows[Name(EN)],0),16)</f>
        <v>1</v>
      </c>
      <c r="AD206" s="112">
        <f>IF(J206="Yes",AA206*Tab_Data_Flows[[#This Row],[WC_'[%']]],"N.A.")</f>
        <v>34502.989137984005</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hidden="1" thickBot="1" x14ac:dyDescent="0.3">
      <c r="A207" s="60">
        <f t="shared" si="4"/>
        <v>206</v>
      </c>
      <c r="B207" s="49" t="str">
        <f>_xlfn.XLOOKUP(C207,Tab_Def_Flows[Name(EN)],Tab_Def_Flows[Flow_ID],,0,)</f>
        <v>F_00_08</v>
      </c>
      <c r="C207" s="51" t="s">
        <v>501</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35193.048920743684</v>
      </c>
      <c r="P207" s="51" t="s">
        <v>389</v>
      </c>
      <c r="Q207" s="51"/>
      <c r="R207" s="51"/>
      <c r="S207" s="51"/>
      <c r="T207" s="51"/>
      <c r="U207" s="51"/>
      <c r="V207" s="51"/>
      <c r="W207" s="51"/>
      <c r="X207" s="51" t="s">
        <v>71</v>
      </c>
      <c r="Y207" s="106"/>
      <c r="Z207" s="51"/>
      <c r="AA207" s="86">
        <f t="shared" si="11"/>
        <v>35193.048920743684</v>
      </c>
      <c r="AB207" s="51" t="s">
        <v>63</v>
      </c>
      <c r="AC207" s="111">
        <f>INDEX(Tab_Def_Flows[[Flow_ID]:[CC_DM_source]],MATCH(Tab_Data_Flows[[#This Row],[Name(EN)]],Tab_Def_Flows[Name(EN)],0),16)</f>
        <v>1</v>
      </c>
      <c r="AD207" s="112">
        <f>IF(J207="Yes",AA207*Tab_Data_Flows[[#This Row],[WC_'[%']]],"N.A.")</f>
        <v>35193.048920743684</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hidden="1" thickBot="1" x14ac:dyDescent="0.3">
      <c r="A208" s="60">
        <f t="shared" si="4"/>
        <v>207</v>
      </c>
      <c r="B208" s="49" t="str">
        <f>_xlfn.XLOOKUP(C208,Tab_Def_Flows[Name(EN)],Tab_Def_Flows[Flow_ID],,0,)</f>
        <v>F_00_08</v>
      </c>
      <c r="C208" s="51" t="s">
        <v>501</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35896.909899158556</v>
      </c>
      <c r="P208" s="51" t="s">
        <v>389</v>
      </c>
      <c r="Q208" s="51"/>
      <c r="R208" s="51"/>
      <c r="S208" s="51"/>
      <c r="T208" s="51"/>
      <c r="U208" s="51"/>
      <c r="V208" s="51"/>
      <c r="W208" s="51"/>
      <c r="X208" s="51" t="s">
        <v>71</v>
      </c>
      <c r="Y208" s="106"/>
      <c r="Z208" s="51"/>
      <c r="AA208" s="86">
        <f t="shared" si="11"/>
        <v>35896.909899158556</v>
      </c>
      <c r="AB208" s="51" t="s">
        <v>63</v>
      </c>
      <c r="AC208" s="111">
        <f>INDEX(Tab_Def_Flows[[Flow_ID]:[CC_DM_source]],MATCH(Tab_Data_Flows[[#This Row],[Name(EN)]],Tab_Def_Flows[Name(EN)],0),16)</f>
        <v>1</v>
      </c>
      <c r="AD208" s="112">
        <f>IF(J208="Yes",AA208*Tab_Data_Flows[[#This Row],[WC_'[%']]],"N.A.")</f>
        <v>35896.909899158556</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hidden="1" thickBot="1" x14ac:dyDescent="0.3">
      <c r="A209" s="60">
        <f t="shared" si="4"/>
        <v>208</v>
      </c>
      <c r="B209" s="49" t="str">
        <f>_xlfn.XLOOKUP(C209,Tab_Def_Flows[Name(EN)],Tab_Def_Flows[Flow_ID],,0,)</f>
        <v>F_00_08</v>
      </c>
      <c r="C209" s="51" t="s">
        <v>501</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36614.84809714173</v>
      </c>
      <c r="P209" s="51" t="s">
        <v>389</v>
      </c>
      <c r="Q209" s="51"/>
      <c r="R209" s="51"/>
      <c r="S209" s="51"/>
      <c r="T209" s="51"/>
      <c r="U209" s="51"/>
      <c r="V209" s="51"/>
      <c r="W209" s="51"/>
      <c r="X209" s="51" t="s">
        <v>71</v>
      </c>
      <c r="Y209" s="106"/>
      <c r="Z209" s="51"/>
      <c r="AA209" s="86">
        <f t="shared" si="11"/>
        <v>36614.84809714173</v>
      </c>
      <c r="AB209" s="51" t="s">
        <v>63</v>
      </c>
      <c r="AC209" s="111">
        <f>INDEX(Tab_Def_Flows[[Flow_ID]:[CC_DM_source]],MATCH(Tab_Data_Flows[[#This Row],[Name(EN)]],Tab_Def_Flows[Name(EN)],0),16)</f>
        <v>1</v>
      </c>
      <c r="AD209" s="112">
        <f>IF(J209="Yes",AA209*Tab_Data_Flows[[#This Row],[WC_'[%']]],"N.A.")</f>
        <v>36614.84809714173</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hidden="1" thickBot="1" x14ac:dyDescent="0.3">
      <c r="A210" s="60">
        <f t="shared" si="4"/>
        <v>209</v>
      </c>
      <c r="B210" s="49" t="str">
        <f>_xlfn.XLOOKUP(C210,Tab_Def_Flows[Name(EN)],Tab_Def_Flows[Flow_ID],,0,)</f>
        <v>F_00_08</v>
      </c>
      <c r="C210" s="51" t="s">
        <v>501</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37347.145059084563</v>
      </c>
      <c r="P210" s="51" t="s">
        <v>389</v>
      </c>
      <c r="Q210" s="51"/>
      <c r="R210" s="51"/>
      <c r="S210" s="51"/>
      <c r="T210" s="51"/>
      <c r="U210" s="51"/>
      <c r="V210" s="51"/>
      <c r="W210" s="51"/>
      <c r="X210" s="51" t="s">
        <v>71</v>
      </c>
      <c r="Y210" s="106"/>
      <c r="Z210" s="51"/>
      <c r="AA210" s="86">
        <f t="shared" si="11"/>
        <v>37347.145059084563</v>
      </c>
      <c r="AB210" s="51" t="s">
        <v>63</v>
      </c>
      <c r="AC210" s="111">
        <f>INDEX(Tab_Def_Flows[[Flow_ID]:[CC_DM_source]],MATCH(Tab_Data_Flows[[#This Row],[Name(EN)]],Tab_Def_Flows[Name(EN)],0),16)</f>
        <v>1</v>
      </c>
      <c r="AD210" s="112">
        <f>IF(J210="Yes",AA210*Tab_Data_Flows[[#This Row],[WC_'[%']]],"N.A.")</f>
        <v>37347.145059084563</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hidden="1" thickBot="1" x14ac:dyDescent="0.3">
      <c r="A211" s="60">
        <f t="shared" si="4"/>
        <v>210</v>
      </c>
      <c r="B211" s="49" t="str">
        <f>_xlfn.XLOOKUP(C211,Tab_Def_Flows[Name(EN)],Tab_Def_Flows[Flow_ID],,0,)</f>
        <v>F_00_08</v>
      </c>
      <c r="C211" s="51" t="s">
        <v>501</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38094.087960266254</v>
      </c>
      <c r="P211" s="51" t="s">
        <v>389</v>
      </c>
      <c r="Q211" s="51"/>
      <c r="R211" s="51"/>
      <c r="S211" s="51"/>
      <c r="T211" s="51"/>
      <c r="U211" s="51"/>
      <c r="V211" s="51"/>
      <c r="W211" s="51"/>
      <c r="X211" s="51" t="s">
        <v>71</v>
      </c>
      <c r="Y211" s="106"/>
      <c r="Z211" s="51"/>
      <c r="AA211" s="86">
        <f t="shared" si="11"/>
        <v>38094.087960266254</v>
      </c>
      <c r="AB211" s="51" t="s">
        <v>63</v>
      </c>
      <c r="AC211" s="111">
        <f>INDEX(Tab_Def_Flows[[Flow_ID]:[CC_DM_source]],MATCH(Tab_Data_Flows[[#This Row],[Name(EN)]],Tab_Def_Flows[Name(EN)],0),16)</f>
        <v>1</v>
      </c>
      <c r="AD211" s="112">
        <f>IF(J211="Yes",AA211*Tab_Data_Flows[[#This Row],[WC_'[%']]],"N.A.")</f>
        <v>38094.087960266254</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hidden="1" thickBot="1" x14ac:dyDescent="0.3">
      <c r="A212" s="60">
        <f t="shared" si="4"/>
        <v>211</v>
      </c>
      <c r="B212" s="49" t="str">
        <f>_xlfn.XLOOKUP(C212,Tab_Def_Flows[Name(EN)],Tab_Def_Flows[Flow_ID],,0,)</f>
        <v>F_00_08</v>
      </c>
      <c r="C212" s="51" t="s">
        <v>501</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38855.969719471577</v>
      </c>
      <c r="P212" s="51"/>
      <c r="Q212" s="51"/>
      <c r="R212" s="51"/>
      <c r="S212" s="51"/>
      <c r="T212" s="51"/>
      <c r="U212" s="51"/>
      <c r="V212" s="51"/>
      <c r="W212" s="51"/>
      <c r="X212" s="51" t="s">
        <v>71</v>
      </c>
      <c r="Y212" s="106"/>
      <c r="Z212" s="51"/>
      <c r="AA212" s="86">
        <f t="shared" si="11"/>
        <v>38855.969719471577</v>
      </c>
      <c r="AB212" s="51" t="s">
        <v>63</v>
      </c>
      <c r="AC212" s="111">
        <f>INDEX(Tab_Def_Flows[[Flow_ID]:[CC_DM_source]],MATCH(Tab_Data_Flows[[#This Row],[Name(EN)]],Tab_Def_Flows[Name(EN)],0),16)</f>
        <v>1</v>
      </c>
      <c r="AD212" s="112">
        <f>IF(J212="Yes",AA212*Tab_Data_Flows[[#This Row],[WC_'[%']]],"N.A.")</f>
        <v>38855.969719471577</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hidden="1" thickBot="1" x14ac:dyDescent="0.3">
      <c r="A213" s="60">
        <f t="shared" si="4"/>
        <v>212</v>
      </c>
      <c r="B213" s="49" t="str">
        <f>_xlfn.XLOOKUP(C213,Tab_Def_Flows[Name(EN)],Tab_Def_Flows[Flow_ID],,0,)</f>
        <v>F_00_08</v>
      </c>
      <c r="C213" s="51" t="s">
        <v>501</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39633.08911386101</v>
      </c>
      <c r="P213" s="51"/>
      <c r="Q213" s="51"/>
      <c r="R213" s="51"/>
      <c r="S213" s="51"/>
      <c r="T213" s="51"/>
      <c r="U213" s="51"/>
      <c r="V213" s="51"/>
      <c r="W213" s="51"/>
      <c r="X213" s="51" t="s">
        <v>71</v>
      </c>
      <c r="Y213" s="106"/>
      <c r="Z213" s="51"/>
      <c r="AA213" s="86">
        <f t="shared" si="11"/>
        <v>39633.08911386101</v>
      </c>
      <c r="AB213" s="51" t="s">
        <v>63</v>
      </c>
      <c r="AC213" s="111">
        <f>INDEX(Tab_Def_Flows[[Flow_ID]:[CC_DM_source]],MATCH(Tab_Data_Flows[[#This Row],[Name(EN)]],Tab_Def_Flows[Name(EN)],0),16)</f>
        <v>1</v>
      </c>
      <c r="AD213" s="112">
        <f>IF(J213="Yes",AA213*Tab_Data_Flows[[#This Row],[WC_'[%']]],"N.A.")</f>
        <v>39633.08911386101</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hidden="1" thickBot="1" x14ac:dyDescent="0.3">
      <c r="A214" s="60">
        <f t="shared" si="4"/>
        <v>213</v>
      </c>
      <c r="B214" s="49" t="str">
        <f>_xlfn.XLOOKUP(C214,Tab_Def_Flows[Name(EN)],Tab_Def_Flows[Flow_ID],,0,)</f>
        <v>F_00_08</v>
      </c>
      <c r="C214" s="51" t="s">
        <v>501</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40425.750896138234</v>
      </c>
      <c r="P214" s="51"/>
      <c r="Q214" s="51"/>
      <c r="R214" s="51"/>
      <c r="S214" s="51"/>
      <c r="T214" s="51"/>
      <c r="U214" s="51"/>
      <c r="V214" s="51"/>
      <c r="W214" s="51"/>
      <c r="X214" s="51" t="s">
        <v>71</v>
      </c>
      <c r="Y214" s="106"/>
      <c r="Z214" s="51"/>
      <c r="AA214" s="86">
        <f t="shared" si="11"/>
        <v>40425.750896138234</v>
      </c>
      <c r="AB214" s="51" t="s">
        <v>63</v>
      </c>
      <c r="AC214" s="111">
        <f>INDEX(Tab_Def_Flows[[Flow_ID]:[CC_DM_source]],MATCH(Tab_Data_Flows[[#This Row],[Name(EN)]],Tab_Def_Flows[Name(EN)],0),16)</f>
        <v>1</v>
      </c>
      <c r="AD214" s="112">
        <f>IF(J214="Yes",AA214*Tab_Data_Flows[[#This Row],[WC_'[%']]],"N.A.")</f>
        <v>40425.750896138234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hidden="1" thickBot="1" x14ac:dyDescent="0.3">
      <c r="A215" s="60">
        <f t="shared" si="4"/>
        <v>214</v>
      </c>
      <c r="B215" s="49" t="str">
        <f>_xlfn.XLOOKUP(C215,Tab_Def_Flows[Name(EN)],Tab_Def_Flows[Flow_ID],,0,)</f>
        <v>F_00_08</v>
      </c>
      <c r="C215" s="51" t="s">
        <v>501</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41234.265914060998</v>
      </c>
      <c r="P215" s="51"/>
      <c r="Q215" s="51"/>
      <c r="R215" s="51"/>
      <c r="S215" s="51"/>
      <c r="T215" s="51"/>
      <c r="U215" s="51"/>
      <c r="V215" s="51"/>
      <c r="W215" s="51"/>
      <c r="X215" s="51" t="s">
        <v>71</v>
      </c>
      <c r="Y215" s="106"/>
      <c r="Z215" s="51"/>
      <c r="AA215" s="86">
        <f t="shared" si="11"/>
        <v>41234.265914060998</v>
      </c>
      <c r="AB215" s="51" t="s">
        <v>63</v>
      </c>
      <c r="AC215" s="111">
        <f>INDEX(Tab_Def_Flows[[Flow_ID]:[CC_DM_source]],MATCH(Tab_Data_Flows[[#This Row],[Name(EN)]],Tab_Def_Flows[Name(EN)],0),16)</f>
        <v>1</v>
      </c>
      <c r="AD215" s="112">
        <f>IF(J215="Yes",AA215*Tab_Data_Flows[[#This Row],[WC_'[%']]],"N.A.")</f>
        <v>41234.265914060998</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hidden="1" thickBot="1" x14ac:dyDescent="0.3">
      <c r="A216" s="60">
        <f t="shared" si="4"/>
        <v>215</v>
      </c>
      <c r="B216" s="49" t="str">
        <f>_xlfn.XLOOKUP(C216,Tab_Def_Flows[Name(EN)],Tab_Def_Flows[Flow_ID],,0,)</f>
        <v>F_00_08</v>
      </c>
      <c r="C216" s="51" t="s">
        <v>501</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42058.951232342217</v>
      </c>
      <c r="P216" s="51"/>
      <c r="Q216" s="51"/>
      <c r="R216" s="51"/>
      <c r="S216" s="51"/>
      <c r="T216" s="51"/>
      <c r="U216" s="51"/>
      <c r="V216" s="51"/>
      <c r="W216" s="51"/>
      <c r="X216" s="51" t="s">
        <v>71</v>
      </c>
      <c r="Y216" s="106"/>
      <c r="Z216" s="51"/>
      <c r="AA216" s="86">
        <f t="shared" si="11"/>
        <v>42058.951232342217</v>
      </c>
      <c r="AB216" s="51" t="s">
        <v>63</v>
      </c>
      <c r="AC216" s="111">
        <f>INDEX(Tab_Def_Flows[[Flow_ID]:[CC_DM_source]],MATCH(Tab_Data_Flows[[#This Row],[Name(EN)]],Tab_Def_Flows[Name(EN)],0),16)</f>
        <v>1</v>
      </c>
      <c r="AD216" s="112">
        <f>IF(J216="Yes",AA216*Tab_Data_Flows[[#This Row],[WC_'[%']]],"N.A.")</f>
        <v>42058.951232342217</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hidden="1" thickBot="1" x14ac:dyDescent="0.3">
      <c r="A217" s="60">
        <f t="shared" si="4"/>
        <v>216</v>
      </c>
      <c r="B217" s="49" t="str">
        <f>_xlfn.XLOOKUP(C217,Tab_Def_Flows[Name(EN)],Tab_Def_Flows[Flow_ID],,0,)</f>
        <v>F_00_08</v>
      </c>
      <c r="C217" s="51" t="s">
        <v>501</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42900.130256989061</v>
      </c>
      <c r="P217" s="51"/>
      <c r="Q217" s="51"/>
      <c r="R217" s="51"/>
      <c r="S217" s="51"/>
      <c r="T217" s="51"/>
      <c r="U217" s="51"/>
      <c r="V217" s="51"/>
      <c r="W217" s="51"/>
      <c r="X217" s="51" t="s">
        <v>71</v>
      </c>
      <c r="Y217" s="106"/>
      <c r="Z217" s="51"/>
      <c r="AA217" s="86">
        <f t="shared" si="11"/>
        <v>42900.130256989061</v>
      </c>
      <c r="AB217" s="51" t="s">
        <v>63</v>
      </c>
      <c r="AC217" s="111">
        <f>INDEX(Tab_Def_Flows[[Flow_ID]:[CC_DM_source]],MATCH(Tab_Data_Flows[[#This Row],[Name(EN)]],Tab_Def_Flows[Name(EN)],0),16)</f>
        <v>1</v>
      </c>
      <c r="AD217" s="112">
        <f>IF(J217="Yes",AA217*Tab_Data_Flows[[#This Row],[WC_'[%']]],"N.A.")</f>
        <v>42900.130256989061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hidden="1" thickBot="1" x14ac:dyDescent="0.3">
      <c r="A218" s="60">
        <f t="shared" si="4"/>
        <v>217</v>
      </c>
      <c r="B218" s="49" t="str">
        <f>_xlfn.XLOOKUP(C218,Tab_Def_Flows[Name(EN)],Tab_Def_Flows[Flow_ID],,0,)</f>
        <v>F_00_08</v>
      </c>
      <c r="C218" s="51" t="s">
        <v>501</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43758.132862128841</v>
      </c>
      <c r="P218" s="51"/>
      <c r="Q218" s="51"/>
      <c r="R218" s="51"/>
      <c r="S218" s="51"/>
      <c r="T218" s="51"/>
      <c r="U218" s="51"/>
      <c r="V218" s="51"/>
      <c r="W218" s="51"/>
      <c r="X218" s="51" t="s">
        <v>71</v>
      </c>
      <c r="Y218" s="106"/>
      <c r="Z218" s="51"/>
      <c r="AA218" s="86">
        <f t="shared" si="11"/>
        <v>43758.132862128841</v>
      </c>
      <c r="AB218" s="51" t="s">
        <v>63</v>
      </c>
      <c r="AC218" s="111">
        <f>INDEX(Tab_Def_Flows[[Flow_ID]:[CC_DM_source]],MATCH(Tab_Data_Flows[[#This Row],[Name(EN)]],Tab_Def_Flows[Name(EN)],0),16)</f>
        <v>1</v>
      </c>
      <c r="AD218" s="112">
        <f>IF(J218="Yes",AA218*Tab_Data_Flows[[#This Row],[WC_'[%']]],"N.A.")</f>
        <v>43758.132862128841</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hidden="1" thickBot="1" x14ac:dyDescent="0.3">
      <c r="A219" s="60">
        <f t="shared" si="4"/>
        <v>218</v>
      </c>
      <c r="B219" s="49" t="str">
        <f>_xlfn.XLOOKUP(C219,Tab_Def_Flows[Name(EN)],Tab_Def_Flows[Flow_ID],,0,)</f>
        <v>F_00_08</v>
      </c>
      <c r="C219" s="51" t="s">
        <v>501</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44633.295519371422</v>
      </c>
      <c r="P219" s="51"/>
      <c r="Q219" s="51"/>
      <c r="R219" s="51"/>
      <c r="S219" s="51"/>
      <c r="T219" s="51"/>
      <c r="U219" s="51"/>
      <c r="V219" s="51"/>
      <c r="W219" s="51"/>
      <c r="X219" s="51" t="s">
        <v>71</v>
      </c>
      <c r="Y219" s="106"/>
      <c r="Z219" s="51"/>
      <c r="AA219" s="86">
        <f t="shared" si="11"/>
        <v>44633.295519371422</v>
      </c>
      <c r="AB219" s="51" t="s">
        <v>63</v>
      </c>
      <c r="AC219" s="111">
        <f>INDEX(Tab_Def_Flows[[Flow_ID]:[CC_DM_source]],MATCH(Tab_Data_Flows[[#This Row],[Name(EN)]],Tab_Def_Flows[Name(EN)],0),16)</f>
        <v>1</v>
      </c>
      <c r="AD219" s="112">
        <f>IF(J219="Yes",AA219*Tab_Data_Flows[[#This Row],[WC_'[%']]],"N.A.")</f>
        <v>44633.295519371422</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hidden="1" thickBot="1" x14ac:dyDescent="0.3">
      <c r="A220" s="60">
        <f t="shared" si="4"/>
        <v>219</v>
      </c>
      <c r="B220" s="49" t="str">
        <f>_xlfn.XLOOKUP(C220,Tab_Def_Flows[Name(EN)],Tab_Def_Flows[Flow_ID],,0,)</f>
        <v>F_00_08</v>
      </c>
      <c r="C220" s="51" t="s">
        <v>501</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45525.961429758849</v>
      </c>
      <c r="P220" s="51"/>
      <c r="Q220" s="51"/>
      <c r="R220" s="51"/>
      <c r="S220" s="51"/>
      <c r="T220" s="51"/>
      <c r="U220" s="51"/>
      <c r="V220" s="51"/>
      <c r="W220" s="51"/>
      <c r="X220" s="51" t="s">
        <v>71</v>
      </c>
      <c r="Y220" s="106"/>
      <c r="Z220" s="51"/>
      <c r="AA220" s="86">
        <f t="shared" si="11"/>
        <v>45525.961429758849</v>
      </c>
      <c r="AB220" s="51" t="s">
        <v>63</v>
      </c>
      <c r="AC220" s="111">
        <f>INDEX(Tab_Def_Flows[[Flow_ID]:[CC_DM_source]],MATCH(Tab_Data_Flows[[#This Row],[Name(EN)]],Tab_Def_Flows[Name(EN)],0),16)</f>
        <v>1</v>
      </c>
      <c r="AD220" s="112">
        <f>IF(J220="Yes",AA220*Tab_Data_Flows[[#This Row],[WC_'[%']]],"N.A.")</f>
        <v>45525.961429758849</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hidden="1" thickBot="1" x14ac:dyDescent="0.3">
      <c r="A221" s="60">
        <f t="shared" si="4"/>
        <v>220</v>
      </c>
      <c r="B221" s="49" t="str">
        <f>_xlfn.XLOOKUP(C221,Tab_Def_Flows[Name(EN)],Tab_Def_Flows[Flow_ID],,0,)</f>
        <v>F_00_08</v>
      </c>
      <c r="C221" s="51" t="s">
        <v>501</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46436.480658354027</v>
      </c>
      <c r="P221" s="51"/>
      <c r="Q221" s="51"/>
      <c r="R221" s="51"/>
      <c r="S221" s="51"/>
      <c r="T221" s="51"/>
      <c r="U221" s="51"/>
      <c r="V221" s="51"/>
      <c r="W221" s="51"/>
      <c r="X221" s="51" t="s">
        <v>71</v>
      </c>
      <c r="Y221" s="106"/>
      <c r="Z221" s="51"/>
      <c r="AA221" s="86">
        <f t="shared" si="11"/>
        <v>46436.480658354027</v>
      </c>
      <c r="AB221" s="51" t="s">
        <v>63</v>
      </c>
      <c r="AC221" s="111">
        <f>INDEX(Tab_Def_Flows[[Flow_ID]:[CC_DM_source]],MATCH(Tab_Data_Flows[[#This Row],[Name(EN)]],Tab_Def_Flows[Name(EN)],0),16)</f>
        <v>1</v>
      </c>
      <c r="AD221" s="112">
        <f>IF(J221="Yes",AA221*Tab_Data_Flows[[#This Row],[WC_'[%']]],"N.A.")</f>
        <v>46436.480658354027</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hidden="1" thickBot="1" x14ac:dyDescent="0.3">
      <c r="A222" s="60">
        <f t="shared" si="4"/>
        <v>221</v>
      </c>
      <c r="B222" s="49" t="str">
        <f>_xlfn.XLOOKUP(C222,Tab_Def_Flows[Name(EN)],Tab_Def_Flows[Flow_ID],,0,)</f>
        <v>F_00_08</v>
      </c>
      <c r="C222" s="51" t="s">
        <v>501</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47365.210271521108</v>
      </c>
      <c r="P222" s="51"/>
      <c r="Q222" s="51"/>
      <c r="R222" s="51"/>
      <c r="S222" s="51"/>
      <c r="T222" s="51"/>
      <c r="U222" s="51"/>
      <c r="V222" s="51"/>
      <c r="W222" s="51"/>
      <c r="X222" s="51" t="s">
        <v>71</v>
      </c>
      <c r="Y222" s="106"/>
      <c r="Z222" s="51"/>
      <c r="AA222" s="86">
        <f t="shared" si="11"/>
        <v>47365.210271521108</v>
      </c>
      <c r="AB222" s="51" t="s">
        <v>63</v>
      </c>
      <c r="AC222" s="111">
        <f>INDEX(Tab_Def_Flows[[Flow_ID]:[CC_DM_source]],MATCH(Tab_Data_Flows[[#This Row],[Name(EN)]],Tab_Def_Flows[Name(EN)],0),16)</f>
        <v>1</v>
      </c>
      <c r="AD222" s="112">
        <f>IF(J222="Yes",AA222*Tab_Data_Flows[[#This Row],[WC_'[%']]],"N.A.")</f>
        <v>47365.210271521108</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hidden="1" thickBot="1" x14ac:dyDescent="0.3">
      <c r="A223" s="60">
        <f t="shared" si="4"/>
        <v>222</v>
      </c>
      <c r="B223" s="49" t="str">
        <f>_xlfn.XLOOKUP(C223,Tab_Def_Flows[Name(EN)],Tab_Def_Flows[Flow_ID],,0,)</f>
        <v>F_00_08</v>
      </c>
      <c r="C223" s="51" t="s">
        <v>501</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48312.514476951532</v>
      </c>
      <c r="P223" s="51"/>
      <c r="Q223" s="51"/>
      <c r="R223" s="51"/>
      <c r="S223" s="51"/>
      <c r="T223" s="51"/>
      <c r="U223" s="51"/>
      <c r="V223" s="51"/>
      <c r="W223" s="51"/>
      <c r="X223" s="51" t="s">
        <v>71</v>
      </c>
      <c r="Y223" s="106"/>
      <c r="Z223" s="51"/>
      <c r="AA223" s="86">
        <f t="shared" si="11"/>
        <v>48312.514476951532</v>
      </c>
      <c r="AB223" s="51" t="s">
        <v>63</v>
      </c>
      <c r="AC223" s="111">
        <f>INDEX(Tab_Def_Flows[[Flow_ID]:[CC_DM_source]],MATCH(Tab_Data_Flows[[#This Row],[Name(EN)]],Tab_Def_Flows[Name(EN)],0),16)</f>
        <v>1</v>
      </c>
      <c r="AD223" s="112">
        <f>IF(J223="Yes",AA223*Tab_Data_Flows[[#This Row],[WC_'[%']]],"N.A.")</f>
        <v>48312.514476951532</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hidden="1" thickBot="1" x14ac:dyDescent="0.3">
      <c r="A224" s="60">
        <f t="shared" si="4"/>
        <v>223</v>
      </c>
      <c r="B224" s="49" t="str">
        <f>_xlfn.XLOOKUP(C224,Tab_Def_Flows[Name(EN)],Tab_Def_Flows[Flow_ID],,0,)</f>
        <v>F_00_08</v>
      </c>
      <c r="C224" s="51" t="s">
        <v>501</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49278.76476649056</v>
      </c>
      <c r="P224" s="51"/>
      <c r="Q224" s="51"/>
      <c r="R224" s="51"/>
      <c r="S224" s="51"/>
      <c r="T224" s="51"/>
      <c r="U224" s="51"/>
      <c r="V224" s="51"/>
      <c r="W224" s="51"/>
      <c r="X224" s="51" t="s">
        <v>71</v>
      </c>
      <c r="Y224" s="106"/>
      <c r="Z224" s="51"/>
      <c r="AA224" s="86">
        <f t="shared" si="11"/>
        <v>49278.76476649056</v>
      </c>
      <c r="AB224" s="51" t="s">
        <v>63</v>
      </c>
      <c r="AC224" s="111">
        <f>INDEX(Tab_Def_Flows[[Flow_ID]:[CC_DM_source]],MATCH(Tab_Data_Flows[[#This Row],[Name(EN)]],Tab_Def_Flows[Name(EN)],0),16)</f>
        <v>1</v>
      </c>
      <c r="AD224" s="112">
        <f>IF(J224="Yes",AA224*Tab_Data_Flows[[#This Row],[WC_'[%']]],"N.A.")</f>
        <v>49278.76476649056</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hidden="1" thickBot="1" x14ac:dyDescent="0.3">
      <c r="A225" s="60">
        <f t="shared" si="4"/>
        <v>224</v>
      </c>
      <c r="B225" s="49" t="str">
        <f>_xlfn.XLOOKUP(C225,Tab_Def_Flows[Name(EN)],Tab_Def_Flows[Flow_ID],,0,)</f>
        <v>F_00_08</v>
      </c>
      <c r="C225" s="51" t="s">
        <v>501</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50264.340061820374</v>
      </c>
      <c r="P225" s="51"/>
      <c r="Q225" s="51"/>
      <c r="R225" s="51"/>
      <c r="S225" s="51"/>
      <c r="T225" s="51"/>
      <c r="U225" s="51"/>
      <c r="V225" s="51"/>
      <c r="W225" s="51"/>
      <c r="X225" s="51" t="s">
        <v>71</v>
      </c>
      <c r="Y225" s="106"/>
      <c r="Z225" s="51"/>
      <c r="AA225" s="86">
        <f t="shared" si="11"/>
        <v>50264.340061820374</v>
      </c>
      <c r="AB225" s="51" t="s">
        <v>63</v>
      </c>
      <c r="AC225" s="111">
        <f>INDEX(Tab_Def_Flows[[Flow_ID]:[CC_DM_source]],MATCH(Tab_Data_Flows[[#This Row],[Name(EN)]],Tab_Def_Flows[Name(EN)],0),16)</f>
        <v>1</v>
      </c>
      <c r="AD225" s="112">
        <f>IF(J225="Yes",AA225*Tab_Data_Flows[[#This Row],[WC_'[%']]],"N.A.")</f>
        <v>50264.340061820374</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hidden="1" thickBot="1" x14ac:dyDescent="0.3">
      <c r="A226" s="60">
        <f t="shared" si="4"/>
        <v>225</v>
      </c>
      <c r="B226" s="49" t="str">
        <f>_xlfn.XLOOKUP(C226,Tab_Def_Flows[Name(EN)],Tab_Def_Flows[Flow_ID],,0,)</f>
        <v>F_00_08</v>
      </c>
      <c r="C226" s="51" t="s">
        <v>501</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51269.626863056779</v>
      </c>
      <c r="P226" s="51"/>
      <c r="Q226" s="51"/>
      <c r="R226" s="51"/>
      <c r="S226" s="51"/>
      <c r="T226" s="51"/>
      <c r="U226" s="51"/>
      <c r="V226" s="51"/>
      <c r="W226" s="51"/>
      <c r="X226" s="51" t="s">
        <v>71</v>
      </c>
      <c r="Y226" s="106"/>
      <c r="Z226" s="51"/>
      <c r="AA226" s="86">
        <f t="shared" si="11"/>
        <v>51269.626863056779</v>
      </c>
      <c r="AB226" s="51" t="s">
        <v>63</v>
      </c>
      <c r="AC226" s="111">
        <f>INDEX(Tab_Def_Flows[[Flow_ID]:[CC_DM_source]],MATCH(Tab_Data_Flows[[#This Row],[Name(EN)]],Tab_Def_Flows[Name(EN)],0),16)</f>
        <v>1</v>
      </c>
      <c r="AD226" s="112">
        <f>IF(J226="Yes",AA226*Tab_Data_Flows[[#This Row],[WC_'[%']]],"N.A.")</f>
        <v>51269.626863056779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hidden="1" thickBot="1" x14ac:dyDescent="0.3">
      <c r="A227" s="60">
        <f t="shared" si="4"/>
        <v>226</v>
      </c>
      <c r="B227" s="49" t="str">
        <f>_xlfn.XLOOKUP(C227,Tab_Def_Flows[Name(EN)],Tab_Def_Flows[Flow_ID],,0,)</f>
        <v>F_00_08</v>
      </c>
      <c r="C227" s="51" t="s">
        <v>501</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52295.019400317913</v>
      </c>
      <c r="P227" s="51"/>
      <c r="Q227" s="51"/>
      <c r="R227" s="51"/>
      <c r="S227" s="51"/>
      <c r="T227" s="51"/>
      <c r="U227" s="51"/>
      <c r="V227" s="51"/>
      <c r="W227" s="51"/>
      <c r="X227" s="51" t="s">
        <v>71</v>
      </c>
      <c r="Y227" s="106"/>
      <c r="Z227" s="51"/>
      <c r="AA227" s="86">
        <f t="shared" si="11"/>
        <v>52295.019400317913</v>
      </c>
      <c r="AB227" s="51" t="s">
        <v>63</v>
      </c>
      <c r="AC227" s="111">
        <f>INDEX(Tab_Def_Flows[[Flow_ID]:[CC_DM_source]],MATCH(Tab_Data_Flows[[#This Row],[Name(EN)]],Tab_Def_Flows[Name(EN)],0),16)</f>
        <v>1</v>
      </c>
      <c r="AD227" s="112">
        <f>IF(J227="Yes",AA227*Tab_Data_Flows[[#This Row],[WC_'[%']]],"N.A.")</f>
        <v>52295.019400317913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hidden="1" thickBot="1" x14ac:dyDescent="0.3">
      <c r="A228" s="60">
        <f t="shared" si="4"/>
        <v>227</v>
      </c>
      <c r="B228" s="49" t="str">
        <f>_xlfn.XLOOKUP(C228,Tab_Def_Flows[Name(EN)],Tab_Def_Flows[Flow_ID],,0,)</f>
        <v>F_00_08</v>
      </c>
      <c r="C228" s="51" t="s">
        <v>501</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53340.919788324274</v>
      </c>
      <c r="P228" s="51"/>
      <c r="Q228" s="51"/>
      <c r="R228" s="51"/>
      <c r="S228" s="51"/>
      <c r="T228" s="51"/>
      <c r="U228" s="51"/>
      <c r="V228" s="51"/>
      <c r="W228" s="51"/>
      <c r="X228" s="51" t="s">
        <v>71</v>
      </c>
      <c r="Y228" s="106"/>
      <c r="Z228" s="51"/>
      <c r="AA228" s="86">
        <f t="shared" si="11"/>
        <v>53340.919788324274</v>
      </c>
      <c r="AB228" s="51" t="s">
        <v>63</v>
      </c>
      <c r="AC228" s="111">
        <f>INDEX(Tab_Def_Flows[[Flow_ID]:[CC_DM_source]],MATCH(Tab_Data_Flows[[#This Row],[Name(EN)]],Tab_Def_Flows[Name(EN)],0),16)</f>
        <v>1</v>
      </c>
      <c r="AD228" s="112">
        <f>IF(J228="Yes",AA228*Tab_Data_Flows[[#This Row],[WC_'[%']]],"N.A.")</f>
        <v>53340.919788324274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hidden="1" thickBot="1" x14ac:dyDescent="0.3">
      <c r="A229" s="60">
        <f t="shared" si="4"/>
        <v>228</v>
      </c>
      <c r="B229" s="49" t="str">
        <f>_xlfn.XLOOKUP(C229,Tab_Def_Flows[Name(EN)],Tab_Def_Flows[Flow_ID],,0,)</f>
        <v>F_00_08</v>
      </c>
      <c r="C229" s="51" t="s">
        <v>501</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54407.738184090762</v>
      </c>
      <c r="P229" s="51"/>
      <c r="Q229" s="51"/>
      <c r="R229" s="51"/>
      <c r="S229" s="51"/>
      <c r="T229" s="51"/>
      <c r="U229" s="51"/>
      <c r="V229" s="51"/>
      <c r="W229" s="51"/>
      <c r="X229" s="51" t="s">
        <v>71</v>
      </c>
      <c r="Y229" s="106"/>
      <c r="Z229" s="51"/>
      <c r="AA229" s="86">
        <f t="shared" si="11"/>
        <v>54407.738184090762</v>
      </c>
      <c r="AB229" s="51" t="s">
        <v>63</v>
      </c>
      <c r="AC229" s="111">
        <f>INDEX(Tab_Def_Flows[[Flow_ID]:[CC_DM_source]],MATCH(Tab_Data_Flows[[#This Row],[Name(EN)]],Tab_Def_Flows[Name(EN)],0),16)</f>
        <v>1</v>
      </c>
      <c r="AD229" s="112">
        <f>IF(J229="Yes",AA229*Tab_Data_Flows[[#This Row],[WC_'[%']]],"N.A.")</f>
        <v>54407.738184090762</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hidden="1" thickBot="1" x14ac:dyDescent="0.3">
      <c r="A230" s="60">
        <f t="shared" si="4"/>
        <v>229</v>
      </c>
      <c r="B230" s="49" t="str">
        <f>_xlfn.XLOOKUP(C230,Tab_Def_Flows[Name(EN)],Tab_Def_Flows[Flow_ID],,0,)</f>
        <v>F_00_08</v>
      </c>
      <c r="C230" s="51" t="s">
        <v>501</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55495.892947772576</v>
      </c>
      <c r="P230" s="51"/>
      <c r="Q230" s="51"/>
      <c r="R230" s="51"/>
      <c r="S230" s="51"/>
      <c r="T230" s="51"/>
      <c r="U230" s="51"/>
      <c r="V230" s="51"/>
      <c r="W230" s="51"/>
      <c r="X230" s="51" t="s">
        <v>71</v>
      </c>
      <c r="Y230" s="106"/>
      <c r="Z230" s="51"/>
      <c r="AA230" s="86">
        <f t="shared" si="11"/>
        <v>55495.892947772576</v>
      </c>
      <c r="AB230" s="51" t="s">
        <v>63</v>
      </c>
      <c r="AC230" s="111">
        <f>INDEX(Tab_Def_Flows[[Flow_ID]:[CC_DM_source]],MATCH(Tab_Data_Flows[[#This Row],[Name(EN)]],Tab_Def_Flows[Name(EN)],0),16)</f>
        <v>1</v>
      </c>
      <c r="AD230" s="112">
        <f>IF(J230="Yes",AA230*Tab_Data_Flows[[#This Row],[WC_'[%']]],"N.A.")</f>
        <v>55495.892947772576</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hidden="1" thickBot="1" x14ac:dyDescent="0.3">
      <c r="A231" s="60">
        <f t="shared" si="4"/>
        <v>230</v>
      </c>
      <c r="B231" s="49" t="str">
        <f>_xlfn.XLOOKUP(C231,Tab_Def_Flows[Name(EN)],Tab_Def_Flows[Flow_ID],,0,)</f>
        <v>F_00_08</v>
      </c>
      <c r="C231" s="51" t="s">
        <v>501</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56605.810806728026</v>
      </c>
      <c r="P231" s="51"/>
      <c r="Q231" s="51"/>
      <c r="R231" s="51"/>
      <c r="S231" s="51"/>
      <c r="T231" s="51"/>
      <c r="U231" s="51"/>
      <c r="V231" s="51"/>
      <c r="W231" s="51"/>
      <c r="X231" s="51" t="s">
        <v>71</v>
      </c>
      <c r="Y231" s="106"/>
      <c r="Z231" s="51"/>
      <c r="AA231" s="86">
        <f t="shared" si="11"/>
        <v>56605.810806728026</v>
      </c>
      <c r="AB231" s="51" t="s">
        <v>63</v>
      </c>
      <c r="AC231" s="111">
        <f>INDEX(Tab_Def_Flows[[Flow_ID]:[CC_DM_source]],MATCH(Tab_Data_Flows[[#This Row],[Name(EN)]],Tab_Def_Flows[Name(EN)],0),16)</f>
        <v>1</v>
      </c>
      <c r="AD231" s="112">
        <f>IF(J231="Yes",AA231*Tab_Data_Flows[[#This Row],[WC_'[%']]],"N.A.")</f>
        <v>56605.810806728026</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hidden="1" thickBot="1" x14ac:dyDescent="0.3">
      <c r="A232" s="60">
        <f t="shared" si="4"/>
        <v>231</v>
      </c>
      <c r="B232" s="49" t="str">
        <f>_xlfn.XLOOKUP(C232,Tab_Def_Flows[Name(EN)],Tab_Def_Flows[Flow_ID],,0,)</f>
        <v>F_00_08</v>
      </c>
      <c r="C232" s="51" t="s">
        <v>501</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57737.92702286259</v>
      </c>
      <c r="P232" s="51"/>
      <c r="Q232" s="51"/>
      <c r="R232" s="51"/>
      <c r="S232" s="51"/>
      <c r="T232" s="51"/>
      <c r="U232" s="51"/>
      <c r="V232" s="51"/>
      <c r="W232" s="51"/>
      <c r="X232" s="51" t="s">
        <v>71</v>
      </c>
      <c r="Y232" s="106"/>
      <c r="Z232" s="51"/>
      <c r="AA232" s="86">
        <f t="shared" si="11"/>
        <v>57737.92702286259</v>
      </c>
      <c r="AB232" s="51" t="s">
        <v>63</v>
      </c>
      <c r="AC232" s="111">
        <f>INDEX(Tab_Def_Flows[[Flow_ID]:[CC_DM_source]],MATCH(Tab_Data_Flows[[#This Row],[Name(EN)]],Tab_Def_Flows[Name(EN)],0),16)</f>
        <v>1</v>
      </c>
      <c r="AD232" s="112">
        <f>IF(J232="Yes",AA232*Tab_Data_Flows[[#This Row],[WC_'[%']]],"N.A.")</f>
        <v>57737.92702286259</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hidden="1" thickBot="1" x14ac:dyDescent="0.3">
      <c r="A233" s="60">
        <f t="shared" si="4"/>
        <v>232</v>
      </c>
      <c r="B233" s="49" t="str">
        <f>_xlfn.XLOOKUP(C233,Tab_Def_Flows[Name(EN)],Tab_Def_Flows[Flow_ID],,0,)</f>
        <v>F_00_08</v>
      </c>
      <c r="C233" s="51" t="s">
        <v>501</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58892.685563319843</v>
      </c>
      <c r="P233" s="51"/>
      <c r="Q233" s="51"/>
      <c r="R233" s="51"/>
      <c r="S233" s="51"/>
      <c r="T233" s="51"/>
      <c r="U233" s="51"/>
      <c r="V233" s="51"/>
      <c r="W233" s="51"/>
      <c r="X233" s="51" t="s">
        <v>71</v>
      </c>
      <c r="Y233" s="106"/>
      <c r="Z233" s="51"/>
      <c r="AA233" s="86">
        <f t="shared" si="11"/>
        <v>58892.685563319843</v>
      </c>
      <c r="AB233" s="51" t="s">
        <v>63</v>
      </c>
      <c r="AC233" s="111">
        <f>INDEX(Tab_Def_Flows[[Flow_ID]:[CC_DM_source]],MATCH(Tab_Data_Flows[[#This Row],[Name(EN)]],Tab_Def_Flows[Name(EN)],0),16)</f>
        <v>1</v>
      </c>
      <c r="AD233" s="112">
        <f>IF(J233="Yes",AA233*Tab_Data_Flows[[#This Row],[WC_'[%']]],"N.A.")</f>
        <v>58892.685563319843</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551</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621970.52307692368</v>
      </c>
      <c r="P234" s="51"/>
      <c r="Q234" s="51"/>
      <c r="R234" s="51"/>
      <c r="S234" s="51"/>
      <c r="T234" s="51"/>
      <c r="U234" s="51"/>
      <c r="V234" s="51"/>
      <c r="W234" s="51"/>
      <c r="X234" s="51" t="s">
        <v>71</v>
      </c>
      <c r="Y234" s="106"/>
      <c r="Z234" s="51"/>
      <c r="AA234" s="86">
        <f t="shared" si="11"/>
        <v>621970.52307692368</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621970.52307692368</v>
      </c>
      <c r="AH234" s="61" t="str">
        <f>Tab_Data_Flows[[#This Row],[UoM_Flow_Py]]</f>
        <v>Mg</v>
      </c>
      <c r="AI234" s="111">
        <f>INDEX(Tab_Def_Flows[[Flow_ID]:[CC_DM_source]],MATCH(Tab_Data_Flows[[#This Row],[Name(EN)]],Tab_Def_Flows[Name(EN)],0),20)</f>
        <v>1</v>
      </c>
      <c r="AJ234" s="109">
        <f>IF(L234="Yes",AI234*Tab_Data_Flows[[#This Row],[Flow_Py]]*Tab_Data_Flows[[#This Row],[DM_'[%']]],"N.A.")</f>
        <v>621970.52307692368</v>
      </c>
      <c r="AK234" s="61" t="str">
        <f>Tab_Data_Flows[[#This Row],[UoM_Flow_Py]]</f>
        <v>Mg</v>
      </c>
    </row>
    <row r="235" spans="1:37" ht="15.75" hidden="1" thickBot="1" x14ac:dyDescent="0.3">
      <c r="A235" s="60">
        <f t="shared" si="4"/>
        <v>234</v>
      </c>
      <c r="B235" s="49" t="str">
        <f>_xlfn.XLOOKUP(C235,Tab_Def_Flows[Name(EN)],Tab_Def_Flows[Flow_ID],,0,)</f>
        <v>F_19_13</v>
      </c>
      <c r="C235" s="51" t="s">
        <v>551</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f>INDEX(Tab_Def_Flows[[Flow_ID]:[CC_DM_source]],MATCH(Tab_Data_Flows[[#This Row],[Name(EN)]],Tab_Def_Flows[Name(EN)],0),20)</f>
        <v>1</v>
      </c>
      <c r="AJ235" s="109">
        <f>IF(L235="Yes",AI235*Tab_Data_Flows[[#This Row],[Flow_Py]]*Tab_Data_Flows[[#This Row],[DM_'[%']]],"N.A.")</f>
        <v>124.87257792</v>
      </c>
      <c r="AK235" s="61" t="str">
        <f>Tab_Data_Flows[[#This Row],[UoM_Flow_Py]]</f>
        <v>Mg</v>
      </c>
    </row>
    <row r="236" spans="1:37" ht="15.75" hidden="1" thickBot="1" x14ac:dyDescent="0.3">
      <c r="A236" s="60">
        <f t="shared" si="4"/>
        <v>235</v>
      </c>
      <c r="B236" s="49" t="str">
        <f>_xlfn.XLOOKUP(C236,Tab_Def_Flows[Name(EN)],Tab_Def_Flows[Flow_ID],,0,)</f>
        <v>F_19_13</v>
      </c>
      <c r="C236" s="51" t="s">
        <v>551</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f>INDEX(Tab_Def_Flows[[Flow_ID]:[CC_DM_source]],MATCH(Tab_Data_Flows[[#This Row],[Name(EN)]],Tab_Def_Flows[Name(EN)],0),20)</f>
        <v>1</v>
      </c>
      <c r="AJ236" s="109">
        <f>IF(L236="Yes",AI236*Tab_Data_Flows[[#This Row],[Flow_Py]]*Tab_Data_Flows[[#This Row],[DM_'[%']]],"N.A.")</f>
        <v>127.3700294784</v>
      </c>
      <c r="AK236" s="61" t="str">
        <f>Tab_Data_Flows[[#This Row],[UoM_Flow_Py]]</f>
        <v>Mg</v>
      </c>
    </row>
    <row r="237" spans="1:37" ht="15.75" hidden="1" thickBot="1" x14ac:dyDescent="0.3">
      <c r="A237" s="60">
        <f t="shared" si="4"/>
        <v>236</v>
      </c>
      <c r="B237" s="49" t="str">
        <f>_xlfn.XLOOKUP(C237,Tab_Def_Flows[Name(EN)],Tab_Def_Flows[Flow_ID],,0,)</f>
        <v>F_19_13</v>
      </c>
      <c r="C237" s="51" t="s">
        <v>551</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f>INDEX(Tab_Def_Flows[[Flow_ID]:[CC_DM_source]],MATCH(Tab_Data_Flows[[#This Row],[Name(EN)]],Tab_Def_Flows[Name(EN)],0),20)</f>
        <v>1</v>
      </c>
      <c r="AJ237" s="109">
        <f>IF(L237="Yes",AI237*Tab_Data_Flows[[#This Row],[Flow_Py]]*Tab_Data_Flows[[#This Row],[DM_'[%']]],"N.A.")</f>
        <v>129.91743006796801</v>
      </c>
      <c r="AK237" s="61" t="str">
        <f>Tab_Data_Flows[[#This Row],[UoM_Flow_Py]]</f>
        <v>Mg</v>
      </c>
    </row>
    <row r="238" spans="1:37" ht="15.75" hidden="1" thickBot="1" x14ac:dyDescent="0.3">
      <c r="A238" s="60">
        <f t="shared" si="4"/>
        <v>237</v>
      </c>
      <c r="B238" s="49" t="str">
        <f>_xlfn.XLOOKUP(C238,Tab_Def_Flows[Name(EN)],Tab_Def_Flows[Flow_ID],,0,)</f>
        <v>F_19_13</v>
      </c>
      <c r="C238" s="51" t="s">
        <v>551</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f>INDEX(Tab_Def_Flows[[Flow_ID]:[CC_DM_source]],MATCH(Tab_Data_Flows[[#This Row],[Name(EN)]],Tab_Def_Flows[Name(EN)],0),20)</f>
        <v>1</v>
      </c>
      <c r="AJ238" s="109">
        <f>IF(L238="Yes",AI238*Tab_Data_Flows[[#This Row],[Flow_Py]]*Tab_Data_Flows[[#This Row],[DM_'[%']]],"N.A.")</f>
        <v>132.51577866932735</v>
      </c>
      <c r="AK238" s="61" t="str">
        <f>Tab_Data_Flows[[#This Row],[UoM_Flow_Py]]</f>
        <v>Mg</v>
      </c>
    </row>
    <row r="239" spans="1:37" ht="15.75" hidden="1" thickBot="1" x14ac:dyDescent="0.3">
      <c r="A239" s="60">
        <f t="shared" si="4"/>
        <v>238</v>
      </c>
      <c r="B239" s="49" t="str">
        <f>_xlfn.XLOOKUP(C239,Tab_Def_Flows[Name(EN)],Tab_Def_Flows[Flow_ID],,0,)</f>
        <v>F_19_13</v>
      </c>
      <c r="C239" s="51" t="s">
        <v>551</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f>INDEX(Tab_Def_Flows[[Flow_ID]:[CC_DM_source]],MATCH(Tab_Data_Flows[[#This Row],[Name(EN)]],Tab_Def_Flows[Name(EN)],0),20)</f>
        <v>1</v>
      </c>
      <c r="AJ239" s="109">
        <f>IF(L239="Yes",AI239*Tab_Data_Flows[[#This Row],[Flow_Py]]*Tab_Data_Flows[[#This Row],[DM_'[%']]],"N.A.")</f>
        <v>135.16609424271391</v>
      </c>
      <c r="AK239" s="61" t="str">
        <f>Tab_Data_Flows[[#This Row],[UoM_Flow_Py]]</f>
        <v>Mg</v>
      </c>
    </row>
    <row r="240" spans="1:37" ht="15.75" hidden="1" thickBot="1" x14ac:dyDescent="0.3">
      <c r="A240" s="60">
        <f t="shared" si="4"/>
        <v>239</v>
      </c>
      <c r="B240" s="49" t="str">
        <f>_xlfn.XLOOKUP(C240,Tab_Def_Flows[Name(EN)],Tab_Def_Flows[Flow_ID],,0,)</f>
        <v>F_19_13</v>
      </c>
      <c r="C240" s="51" t="s">
        <v>551</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f>INDEX(Tab_Def_Flows[[Flow_ID]:[CC_DM_source]],MATCH(Tab_Data_Flows[[#This Row],[Name(EN)]],Tab_Def_Flows[Name(EN)],0),20)</f>
        <v>1</v>
      </c>
      <c r="AJ240" s="109">
        <f>IF(L240="Yes",AI240*Tab_Data_Flows[[#This Row],[Flow_Py]]*Tab_Data_Flows[[#This Row],[DM_'[%']]],"N.A.")</f>
        <v>137.86941612756817</v>
      </c>
      <c r="AK240" s="61" t="str">
        <f>Tab_Data_Flows[[#This Row],[UoM_Flow_Py]]</f>
        <v>Mg</v>
      </c>
    </row>
    <row r="241" spans="1:37" ht="15.75" hidden="1" thickBot="1" x14ac:dyDescent="0.3">
      <c r="A241" s="60">
        <f t="shared" si="4"/>
        <v>240</v>
      </c>
      <c r="B241" s="49" t="str">
        <f>_xlfn.XLOOKUP(C241,Tab_Def_Flows[Name(EN)],Tab_Def_Flows[Flow_ID],,0,)</f>
        <v>F_19_13</v>
      </c>
      <c r="C241" s="51" t="s">
        <v>551</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f>INDEX(Tab_Def_Flows[[Flow_ID]:[CC_DM_source]],MATCH(Tab_Data_Flows[[#This Row],[Name(EN)]],Tab_Def_Flows[Name(EN)],0),20)</f>
        <v>1</v>
      </c>
      <c r="AJ241" s="109">
        <f>IF(L241="Yes",AI241*Tab_Data_Flows[[#This Row],[Flow_Py]]*Tab_Data_Flows[[#This Row],[DM_'[%']]],"N.A.")</f>
        <v>140.62680445011955</v>
      </c>
      <c r="AK241" s="61" t="str">
        <f>Tab_Data_Flows[[#This Row],[UoM_Flow_Py]]</f>
        <v>Mg</v>
      </c>
    </row>
    <row r="242" spans="1:37" ht="15.75" hidden="1" thickBot="1" x14ac:dyDescent="0.3">
      <c r="A242" s="60">
        <f t="shared" si="4"/>
        <v>241</v>
      </c>
      <c r="B242" s="49" t="str">
        <f>_xlfn.XLOOKUP(C242,Tab_Def_Flows[Name(EN)],Tab_Def_Flows[Flow_ID],,0,)</f>
        <v>F_19_13</v>
      </c>
      <c r="C242" s="51" t="s">
        <v>551</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f>INDEX(Tab_Def_Flows[[Flow_ID]:[CC_DM_source]],MATCH(Tab_Data_Flows[[#This Row],[Name(EN)]],Tab_Def_Flows[Name(EN)],0),20)</f>
        <v>1</v>
      </c>
      <c r="AJ242" s="109">
        <f>IF(L242="Yes",AI242*Tab_Data_Flows[[#This Row],[Flow_Py]]*Tab_Data_Flows[[#This Row],[DM_'[%']]],"N.A.")</f>
        <v>143.43934053912196</v>
      </c>
      <c r="AK242" s="61" t="str">
        <f>Tab_Data_Flows[[#This Row],[UoM_Flow_Py]]</f>
        <v>Mg</v>
      </c>
    </row>
    <row r="243" spans="1:37" ht="15.75" hidden="1" thickBot="1" x14ac:dyDescent="0.3">
      <c r="A243" s="60">
        <f t="shared" si="4"/>
        <v>242</v>
      </c>
      <c r="B243" s="49" t="str">
        <f>_xlfn.XLOOKUP(C243,Tab_Def_Flows[Name(EN)],Tab_Def_Flows[Flow_ID],,0,)</f>
        <v>F_19_13</v>
      </c>
      <c r="C243" s="51" t="s">
        <v>551</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f>INDEX(Tab_Def_Flows[[Flow_ID]:[CC_DM_source]],MATCH(Tab_Data_Flows[[#This Row],[Name(EN)]],Tab_Def_Flows[Name(EN)],0),20)</f>
        <v>1</v>
      </c>
      <c r="AJ243" s="109">
        <f>IF(L243="Yes",AI243*Tab_Data_Flows[[#This Row],[Flow_Py]]*Tab_Data_Flows[[#This Row],[DM_'[%']]],"N.A.")</f>
        <v>146.3081273499044</v>
      </c>
      <c r="AK243" s="61" t="str">
        <f>Tab_Data_Flows[[#This Row],[UoM_Flow_Py]]</f>
        <v>Mg</v>
      </c>
    </row>
    <row r="244" spans="1:37" ht="15.75" hidden="1" thickBot="1" x14ac:dyDescent="0.3">
      <c r="A244" s="60">
        <f t="shared" si="4"/>
        <v>243</v>
      </c>
      <c r="B244" s="49" t="str">
        <f>_xlfn.XLOOKUP(C244,Tab_Def_Flows[Name(EN)],Tab_Def_Flows[Flow_ID],,0,)</f>
        <v>F_19_13</v>
      </c>
      <c r="C244" s="51" t="s">
        <v>551</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f>INDEX(Tab_Def_Flows[[Flow_ID]:[CC_DM_source]],MATCH(Tab_Data_Flows[[#This Row],[Name(EN)]],Tab_Def_Flows[Name(EN)],0),20)</f>
        <v>1</v>
      </c>
      <c r="AJ244" s="109">
        <f>IF(L244="Yes",AI244*Tab_Data_Flows[[#This Row],[Flow_Py]]*Tab_Data_Flows[[#This Row],[DM_'[%']]],"N.A.")</f>
        <v>149.23428989690248</v>
      </c>
      <c r="AK244" s="61" t="str">
        <f>Tab_Data_Flows[[#This Row],[UoM_Flow_Py]]</f>
        <v>Mg</v>
      </c>
    </row>
    <row r="245" spans="1:37" ht="15.75" hidden="1" thickBot="1" x14ac:dyDescent="0.3">
      <c r="A245" s="60">
        <f t="shared" si="4"/>
        <v>244</v>
      </c>
      <c r="B245" s="49" t="str">
        <f>_xlfn.XLOOKUP(C245,Tab_Def_Flows[Name(EN)],Tab_Def_Flows[Flow_ID],,0,)</f>
        <v>F_19_13</v>
      </c>
      <c r="C245" s="51" t="s">
        <v>551</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f>INDEX(Tab_Def_Flows[[Flow_ID]:[CC_DM_source]],MATCH(Tab_Data_Flows[[#This Row],[Name(EN)]],Tab_Def_Flows[Name(EN)],0),20)</f>
        <v>1</v>
      </c>
      <c r="AJ245" s="109">
        <f>IF(L245="Yes",AI245*Tab_Data_Flows[[#This Row],[Flow_Py]]*Tab_Data_Flows[[#This Row],[DM_'[%']]],"N.A.")</f>
        <v>152.21897569484054</v>
      </c>
      <c r="AK245" s="61" t="str">
        <f>Tab_Data_Flows[[#This Row],[UoM_Flow_Py]]</f>
        <v>Mg</v>
      </c>
    </row>
    <row r="246" spans="1:37" ht="15.75" hidden="1" thickBot="1" x14ac:dyDescent="0.3">
      <c r="A246" s="60">
        <f t="shared" si="4"/>
        <v>245</v>
      </c>
      <c r="B246" s="49" t="str">
        <f>_xlfn.XLOOKUP(C246,Tab_Def_Flows[Name(EN)],Tab_Def_Flows[Flow_ID],,0,)</f>
        <v>F_19_13</v>
      </c>
      <c r="C246" s="51" t="s">
        <v>551</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f>INDEX(Tab_Def_Flows[[Flow_ID]:[CC_DM_source]],MATCH(Tab_Data_Flows[[#This Row],[Name(EN)]],Tab_Def_Flows[Name(EN)],0),20)</f>
        <v>1</v>
      </c>
      <c r="AJ246" s="109">
        <f>IF(L246="Yes",AI246*Tab_Data_Flows[[#This Row],[Flow_Py]]*Tab_Data_Flows[[#This Row],[DM_'[%']]],"N.A.")</f>
        <v>155.26335520873735</v>
      </c>
      <c r="AK246" s="61" t="str">
        <f>Tab_Data_Flows[[#This Row],[UoM_Flow_Py]]</f>
        <v>Mg</v>
      </c>
    </row>
    <row r="247" spans="1:37" ht="15.75" hidden="1" thickBot="1" x14ac:dyDescent="0.3">
      <c r="A247" s="60">
        <f t="shared" si="4"/>
        <v>246</v>
      </c>
      <c r="B247" s="49" t="str">
        <f>_xlfn.XLOOKUP(C247,Tab_Def_Flows[Name(EN)],Tab_Def_Flows[Flow_ID],,0,)</f>
        <v>F_19_13</v>
      </c>
      <c r="C247" s="51" t="s">
        <v>551</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f>INDEX(Tab_Def_Flows[[Flow_ID]:[CC_DM_source]],MATCH(Tab_Data_Flows[[#This Row],[Name(EN)]],Tab_Def_Flows[Name(EN)],0),20)</f>
        <v>1</v>
      </c>
      <c r="AJ247" s="109">
        <f>IF(L247="Yes",AI247*Tab_Data_Flows[[#This Row],[Flow_Py]]*Tab_Data_Flows[[#This Row],[DM_'[%']]],"N.A.")</f>
        <v>158.36862231291212</v>
      </c>
      <c r="AK247" s="61" t="str">
        <f>Tab_Data_Flows[[#This Row],[UoM_Flow_Py]]</f>
        <v>Mg</v>
      </c>
    </row>
    <row r="248" spans="1:37" ht="15.75" hidden="1" thickBot="1" x14ac:dyDescent="0.3">
      <c r="A248" s="60">
        <f t="shared" si="4"/>
        <v>247</v>
      </c>
      <c r="B248" s="49" t="str">
        <f>_xlfn.XLOOKUP(C248,Tab_Def_Flows[Name(EN)],Tab_Def_Flows[Flow_ID],,0,)</f>
        <v>F_19_13</v>
      </c>
      <c r="C248" s="51" t="s">
        <v>551</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f>INDEX(Tab_Def_Flows[[Flow_ID]:[CC_DM_source]],MATCH(Tab_Data_Flows[[#This Row],[Name(EN)]],Tab_Def_Flows[Name(EN)],0),20)</f>
        <v>1</v>
      </c>
      <c r="AJ248" s="109">
        <f>IF(L248="Yes",AI248*Tab_Data_Flows[[#This Row],[Flow_Py]]*Tab_Data_Flows[[#This Row],[DM_'[%']]],"N.A.")</f>
        <v>161.53599475917034</v>
      </c>
      <c r="AK248" s="61" t="str">
        <f>Tab_Data_Flows[[#This Row],[UoM_Flow_Py]]</f>
        <v>Mg</v>
      </c>
    </row>
    <row r="249" spans="1:37" ht="15.75" hidden="1" thickBot="1" x14ac:dyDescent="0.3">
      <c r="A249" s="60">
        <f t="shared" si="4"/>
        <v>248</v>
      </c>
      <c r="B249" s="49" t="str">
        <f>_xlfn.XLOOKUP(C249,Tab_Def_Flows[Name(EN)],Tab_Def_Flows[Flow_ID],,0,)</f>
        <v>F_19_13</v>
      </c>
      <c r="C249" s="51" t="s">
        <v>551</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f>INDEX(Tab_Def_Flows[[Flow_ID]:[CC_DM_source]],MATCH(Tab_Data_Flows[[#This Row],[Name(EN)]],Tab_Def_Flows[Name(EN)],0),20)</f>
        <v>1</v>
      </c>
      <c r="AJ249" s="109">
        <f>IF(L249="Yes",AI249*Tab_Data_Flows[[#This Row],[Flow_Py]]*Tab_Data_Flows[[#This Row],[DM_'[%']]],"N.A.")</f>
        <v>164.76671465435376</v>
      </c>
      <c r="AK249" s="61" t="str">
        <f>Tab_Data_Flows[[#This Row],[UoM_Flow_Py]]</f>
        <v>Mg</v>
      </c>
    </row>
    <row r="250" spans="1:37" ht="15.75" hidden="1" thickBot="1" x14ac:dyDescent="0.3">
      <c r="A250" s="60">
        <f t="shared" si="4"/>
        <v>249</v>
      </c>
      <c r="B250" s="49" t="str">
        <f>_xlfn.XLOOKUP(C250,Tab_Def_Flows[Name(EN)],Tab_Def_Flows[Flow_ID],,0,)</f>
        <v>F_19_13</v>
      </c>
      <c r="C250" s="51" t="s">
        <v>551</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f>INDEX(Tab_Def_Flows[[Flow_ID]:[CC_DM_source]],MATCH(Tab_Data_Flows[[#This Row],[Name(EN)]],Tab_Def_Flows[Name(EN)],0),20)</f>
        <v>1</v>
      </c>
      <c r="AJ250" s="109">
        <f>IF(L250="Yes",AI250*Tab_Data_Flows[[#This Row],[Flow_Py]]*Tab_Data_Flows[[#This Row],[DM_'[%']]],"N.A.")</f>
        <v>168.06204894744084</v>
      </c>
      <c r="AK250" s="61" t="str">
        <f>Tab_Data_Flows[[#This Row],[UoM_Flow_Py]]</f>
        <v>Mg</v>
      </c>
    </row>
    <row r="251" spans="1:37" ht="15.75" hidden="1" thickBot="1" x14ac:dyDescent="0.3">
      <c r="A251" s="60">
        <f t="shared" si="4"/>
        <v>250</v>
      </c>
      <c r="B251" s="49" t="str">
        <f>_xlfn.XLOOKUP(C251,Tab_Def_Flows[Name(EN)],Tab_Def_Flows[Flow_ID],,0,)</f>
        <v>F_19_13</v>
      </c>
      <c r="C251" s="51" t="s">
        <v>551</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f>INDEX(Tab_Def_Flows[[Flow_ID]:[CC_DM_source]],MATCH(Tab_Data_Flows[[#This Row],[Name(EN)]],Tab_Def_Flows[Name(EN)],0),20)</f>
        <v>1</v>
      </c>
      <c r="AJ251" s="109">
        <f>IF(L251="Yes",AI251*Tab_Data_Flows[[#This Row],[Flow_Py]]*Tab_Data_Flows[[#This Row],[DM_'[%']]],"N.A.")</f>
        <v>171.42328992638966</v>
      </c>
      <c r="AK251" s="61" t="str">
        <f>Tab_Data_Flows[[#This Row],[UoM_Flow_Py]]</f>
        <v>Mg</v>
      </c>
    </row>
    <row r="252" spans="1:37" ht="15.75" hidden="1" thickBot="1" x14ac:dyDescent="0.3">
      <c r="A252" s="60">
        <f t="shared" si="4"/>
        <v>251</v>
      </c>
      <c r="B252" s="49" t="str">
        <f>_xlfn.XLOOKUP(C252,Tab_Def_Flows[Name(EN)],Tab_Def_Flows[Flow_ID],,0,)</f>
        <v>F_19_13</v>
      </c>
      <c r="C252" s="51" t="s">
        <v>551</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f>INDEX(Tab_Def_Flows[[Flow_ID]:[CC_DM_source]],MATCH(Tab_Data_Flows[[#This Row],[Name(EN)]],Tab_Def_Flows[Name(EN)],0),20)</f>
        <v>1</v>
      </c>
      <c r="AJ252" s="109">
        <f>IF(L252="Yes",AI252*Tab_Data_Flows[[#This Row],[Flow_Py]]*Tab_Data_Flows[[#This Row],[DM_'[%']]],"N.A.")</f>
        <v>174.85175572491747</v>
      </c>
      <c r="AK252" s="61" t="str">
        <f>Tab_Data_Flows[[#This Row],[UoM_Flow_Py]]</f>
        <v>Mg</v>
      </c>
    </row>
    <row r="253" spans="1:37" ht="15.75" hidden="1" thickBot="1" x14ac:dyDescent="0.3">
      <c r="A253" s="60">
        <f t="shared" si="4"/>
        <v>252</v>
      </c>
      <c r="B253" s="49" t="str">
        <f>_xlfn.XLOOKUP(C253,Tab_Def_Flows[Name(EN)],Tab_Def_Flows[Flow_ID],,0,)</f>
        <v>F_19_13</v>
      </c>
      <c r="C253" s="51" t="s">
        <v>551</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f>INDEX(Tab_Def_Flows[[Flow_ID]:[CC_DM_source]],MATCH(Tab_Data_Flows[[#This Row],[Name(EN)]],Tab_Def_Flows[Name(EN)],0),20)</f>
        <v>1</v>
      </c>
      <c r="AJ253" s="109">
        <f>IF(L253="Yes",AI253*Tab_Data_Flows[[#This Row],[Flow_Py]]*Tab_Data_Flows[[#This Row],[DM_'[%']]],"N.A.")</f>
        <v>178.34879083941581</v>
      </c>
      <c r="AK253" s="61" t="str">
        <f>Tab_Data_Flows[[#This Row],[UoM_Flow_Py]]</f>
        <v>Mg</v>
      </c>
    </row>
    <row r="254" spans="1:37" ht="15.75" hidden="1" thickBot="1" x14ac:dyDescent="0.3">
      <c r="A254" s="60">
        <f t="shared" si="4"/>
        <v>253</v>
      </c>
      <c r="B254" s="49" t="str">
        <f>_xlfn.XLOOKUP(C254,Tab_Def_Flows[Name(EN)],Tab_Def_Flows[Flow_ID],,0,)</f>
        <v>F_19_13</v>
      </c>
      <c r="C254" s="51" t="s">
        <v>551</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f>INDEX(Tab_Def_Flows[[Flow_ID]:[CC_DM_source]],MATCH(Tab_Data_Flows[[#This Row],[Name(EN)]],Tab_Def_Flows[Name(EN)],0),20)</f>
        <v>1</v>
      </c>
      <c r="AJ254" s="109">
        <f>IF(L254="Yes",AI254*Tab_Data_Flows[[#This Row],[Flow_Py]]*Tab_Data_Flows[[#This Row],[DM_'[%']]],"N.A.")</f>
        <v>181.91576665620414</v>
      </c>
      <c r="AK254" s="61" t="str">
        <f>Tab_Data_Flows[[#This Row],[UoM_Flow_Py]]</f>
        <v>Mg</v>
      </c>
    </row>
    <row r="255" spans="1:37" ht="15.75" hidden="1" thickBot="1" x14ac:dyDescent="0.3">
      <c r="A255" s="60">
        <f t="shared" si="4"/>
        <v>254</v>
      </c>
      <c r="B255" s="49" t="str">
        <f>_xlfn.XLOOKUP(C255,Tab_Def_Flows[Name(EN)],Tab_Def_Flows[Flow_ID],,0,)</f>
        <v>F_19_13</v>
      </c>
      <c r="C255" s="51" t="s">
        <v>551</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f>INDEX(Tab_Def_Flows[[Flow_ID]:[CC_DM_source]],MATCH(Tab_Data_Flows[[#This Row],[Name(EN)]],Tab_Def_Flows[Name(EN)],0),20)</f>
        <v>1</v>
      </c>
      <c r="AJ255" s="109">
        <f>IF(L255="Yes",AI255*Tab_Data_Flows[[#This Row],[Flow_Py]]*Tab_Data_Flows[[#This Row],[DM_'[%']]],"N.A.")</f>
        <v>185.55408198932821</v>
      </c>
      <c r="AK255" s="61" t="str">
        <f>Tab_Data_Flows[[#This Row],[UoM_Flow_Py]]</f>
        <v>Mg</v>
      </c>
    </row>
    <row r="256" spans="1:37" ht="15.75" hidden="1" thickBot="1" x14ac:dyDescent="0.3">
      <c r="A256" s="60">
        <f t="shared" si="4"/>
        <v>255</v>
      </c>
      <c r="B256" s="49" t="str">
        <f>_xlfn.XLOOKUP(C256,Tab_Def_Flows[Name(EN)],Tab_Def_Flows[Flow_ID],,0,)</f>
        <v>F_19_13</v>
      </c>
      <c r="C256" s="51" t="s">
        <v>551</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f>INDEX(Tab_Def_Flows[[Flow_ID]:[CC_DM_source]],MATCH(Tab_Data_Flows[[#This Row],[Name(EN)]],Tab_Def_Flows[Name(EN)],0),20)</f>
        <v>1</v>
      </c>
      <c r="AJ256" s="109">
        <f>IF(L256="Yes",AI256*Tab_Data_Flows[[#This Row],[Flow_Py]]*Tab_Data_Flows[[#This Row],[DM_'[%']]],"N.A.")</f>
        <v>189.2651636291148</v>
      </c>
      <c r="AK256" s="61" t="str">
        <f>Tab_Data_Flows[[#This Row],[UoM_Flow_Py]]</f>
        <v>Mg</v>
      </c>
    </row>
    <row r="257" spans="1:37" ht="15.75" hidden="1" thickBot="1" x14ac:dyDescent="0.3">
      <c r="A257" s="60">
        <f t="shared" si="4"/>
        <v>256</v>
      </c>
      <c r="B257" s="49" t="str">
        <f>_xlfn.XLOOKUP(C257,Tab_Def_Flows[Name(EN)],Tab_Def_Flows[Flow_ID],,0,)</f>
        <v>F_19_13</v>
      </c>
      <c r="C257" s="51" t="s">
        <v>551</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f>INDEX(Tab_Def_Flows[[Flow_ID]:[CC_DM_source]],MATCH(Tab_Data_Flows[[#This Row],[Name(EN)]],Tab_Def_Flows[Name(EN)],0),20)</f>
        <v>1</v>
      </c>
      <c r="AJ257" s="109">
        <f>IF(L257="Yes",AI257*Tab_Data_Flows[[#This Row],[Flow_Py]]*Tab_Data_Flows[[#This Row],[DM_'[%']]],"N.A.")</f>
        <v>193.05046690169709</v>
      </c>
      <c r="AK257" s="61" t="str">
        <f>Tab_Data_Flows[[#This Row],[UoM_Flow_Py]]</f>
        <v>Mg</v>
      </c>
    </row>
    <row r="258" spans="1:37" ht="15.75" hidden="1" thickBot="1" x14ac:dyDescent="0.3">
      <c r="A258" s="60">
        <f t="shared" si="4"/>
        <v>257</v>
      </c>
      <c r="B258" s="49" t="str">
        <f>_xlfn.XLOOKUP(C258,Tab_Def_Flows[Name(EN)],Tab_Def_Flows[Flow_ID],,0,)</f>
        <v>F_19_13</v>
      </c>
      <c r="C258" s="51" t="s">
        <v>551</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f>INDEX(Tab_Def_Flows[[Flow_ID]:[CC_DM_source]],MATCH(Tab_Data_Flows[[#This Row],[Name(EN)]],Tab_Def_Flows[Name(EN)],0),20)</f>
        <v>1</v>
      </c>
      <c r="AJ258" s="109">
        <f>IF(L258="Yes",AI258*Tab_Data_Flows[[#This Row],[Flow_Py]]*Tab_Data_Flows[[#This Row],[DM_'[%']]],"N.A.")</f>
        <v>196.91147623973106</v>
      </c>
      <c r="AK258" s="61" t="str">
        <f>Tab_Data_Flows[[#This Row],[UoM_Flow_Py]]</f>
        <v>Mg</v>
      </c>
    </row>
    <row r="259" spans="1:37" ht="15.75" hidden="1" thickBot="1" x14ac:dyDescent="0.3">
      <c r="A259" s="60">
        <f t="shared" ref="A259:A322" si="13">ROW()-1</f>
        <v>258</v>
      </c>
      <c r="B259" s="49" t="str">
        <f>_xlfn.XLOOKUP(C259,Tab_Def_Flows[Name(EN)],Tab_Def_Flows[Flow_ID],,0,)</f>
        <v>F_19_13</v>
      </c>
      <c r="C259" s="51" t="s">
        <v>551</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f>INDEX(Tab_Def_Flows[[Flow_ID]:[CC_DM_source]],MATCH(Tab_Data_Flows[[#This Row],[Name(EN)]],Tab_Def_Flows[Name(EN)],0),20)</f>
        <v>1</v>
      </c>
      <c r="AJ259" s="109">
        <f>IF(L259="Yes",AI259*Tab_Data_Flows[[#This Row],[Flow_Py]]*Tab_Data_Flows[[#This Row],[DM_'[%']]],"N.A.")</f>
        <v>200.84970576452565</v>
      </c>
      <c r="AK259" s="61" t="str">
        <f>Tab_Data_Flows[[#This Row],[UoM_Flow_Py]]</f>
        <v>Mg</v>
      </c>
    </row>
    <row r="260" spans="1:37" ht="15.75" hidden="1" thickBot="1" x14ac:dyDescent="0.3">
      <c r="A260" s="60">
        <f t="shared" si="13"/>
        <v>259</v>
      </c>
      <c r="B260" s="49" t="str">
        <f>_xlfn.XLOOKUP(C260,Tab_Def_Flows[Name(EN)],Tab_Def_Flows[Flow_ID],,0,)</f>
        <v>F_19_13</v>
      </c>
      <c r="C260" s="51" t="s">
        <v>551</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f>INDEX(Tab_Def_Flows[[Flow_ID]:[CC_DM_source]],MATCH(Tab_Data_Flows[[#This Row],[Name(EN)]],Tab_Def_Flows[Name(EN)],0),20)</f>
        <v>1</v>
      </c>
      <c r="AJ260" s="109">
        <f>IF(L260="Yes",AI260*Tab_Data_Flows[[#This Row],[Flow_Py]]*Tab_Data_Flows[[#This Row],[DM_'[%']]],"N.A.")</f>
        <v>204.8666998798162</v>
      </c>
      <c r="AK260" s="61" t="str">
        <f>Tab_Data_Flows[[#This Row],[UoM_Flow_Py]]</f>
        <v>Mg</v>
      </c>
    </row>
    <row r="261" spans="1:37" ht="15.75" hidden="1" thickBot="1" x14ac:dyDescent="0.3">
      <c r="A261" s="60">
        <f t="shared" si="13"/>
        <v>260</v>
      </c>
      <c r="B261" s="49" t="str">
        <f>_xlfn.XLOOKUP(C261,Tab_Def_Flows[Name(EN)],Tab_Def_Flows[Flow_ID],,0,)</f>
        <v>F_19_13</v>
      </c>
      <c r="C261" s="51" t="s">
        <v>551</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f>INDEX(Tab_Def_Flows[[Flow_ID]:[CC_DM_source]],MATCH(Tab_Data_Flows[[#This Row],[Name(EN)]],Tab_Def_Flows[Name(EN)],0),20)</f>
        <v>1</v>
      </c>
      <c r="AJ261" s="109">
        <f>IF(L261="Yes",AI261*Tab_Data_Flows[[#This Row],[Flow_Py]]*Tab_Data_Flows[[#This Row],[DM_'[%']]],"N.A.")</f>
        <v>208.9640338774125</v>
      </c>
      <c r="AK261" s="61" t="str">
        <f>Tab_Data_Flows[[#This Row],[UoM_Flow_Py]]</f>
        <v>Mg</v>
      </c>
    </row>
    <row r="262" spans="1:37" ht="15.75" hidden="1" thickBot="1" x14ac:dyDescent="0.3">
      <c r="A262" s="60">
        <f t="shared" si="13"/>
        <v>261</v>
      </c>
      <c r="B262" s="49" t="str">
        <f>_xlfn.XLOOKUP(C262,Tab_Def_Flows[Name(EN)],Tab_Def_Flows[Flow_ID],,0,)</f>
        <v>F_19_13</v>
      </c>
      <c r="C262" s="51" t="s">
        <v>551</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f>INDEX(Tab_Def_Flows[[Flow_ID]:[CC_DM_source]],MATCH(Tab_Data_Flows[[#This Row],[Name(EN)]],Tab_Def_Flows[Name(EN)],0),20)</f>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F_19_04</v>
      </c>
      <c r="C263" s="51" t="s">
        <v>552</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1690.2102844619999</v>
      </c>
      <c r="P263" s="51"/>
      <c r="Q263" s="51"/>
      <c r="R263" s="51"/>
      <c r="S263" s="51"/>
      <c r="T263" s="51"/>
      <c r="U263" s="51"/>
      <c r="V263" s="51"/>
      <c r="W263" s="51"/>
      <c r="X263" s="51" t="s">
        <v>71</v>
      </c>
      <c r="Y263" s="106"/>
      <c r="Z263" s="51"/>
      <c r="AA263" s="86">
        <f t="shared" si="14"/>
        <v>1690.2102844619999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1690.2102844619999</v>
      </c>
      <c r="AH263" s="61" t="str">
        <f>Tab_Data_Flows[[#This Row],[UoM_Flow_Py]]</f>
        <v>Mg</v>
      </c>
      <c r="AI263" s="111">
        <f>INDEX(Tab_Def_Flows[[Flow_ID]:[CC_DM_source]],MATCH(Tab_Data_Flows[[#This Row],[Name(EN)]],Tab_Def_Flows[Name(EN)],0),20)</f>
        <v>1</v>
      </c>
      <c r="AJ263" s="109">
        <f>IF(L263="Yes",AI263*Tab_Data_Flows[[#This Row],[Flow_Py]]*Tab_Data_Flows[[#This Row],[DM_'[%']]],"N.A.")</f>
        <v>1690.2102844619999</v>
      </c>
      <c r="AK263" s="61" t="str">
        <f>Tab_Data_Flows[[#This Row],[UoM_Flow_Py]]</f>
        <v>Mg</v>
      </c>
    </row>
    <row r="264" spans="1:37" ht="15.75" hidden="1" thickBot="1" x14ac:dyDescent="0.3">
      <c r="A264" s="60">
        <f t="shared" si="13"/>
        <v>263</v>
      </c>
      <c r="B264" s="49" t="str">
        <f>_xlfn.XLOOKUP(C264,Tab_Def_Flows[Name(EN)],Tab_Def_Flows[Flow_ID],,0,)</f>
        <v>F_19_04</v>
      </c>
      <c r="C264" s="51" t="s">
        <v>552</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f>INDEX(Tab_Def_Flows[[Flow_ID]:[CC_DM_source]],MATCH(Tab_Data_Flows[[#This Row],[Name(EN)]],Tab_Def_Flows[Name(EN)],0),20)</f>
        <v>1</v>
      </c>
      <c r="AJ264" s="109">
        <f>IF(L264="Yes",AI264*Tab_Data_Flows[[#This Row],[Flow_Py]]*Tab_Data_Flows[[#This Row],[DM_'[%']]],"N.A.")</f>
        <v>1.2084840179580001</v>
      </c>
      <c r="AK264" s="61" t="str">
        <f>Tab_Data_Flows[[#This Row],[UoM_Flow_Py]]</f>
        <v>Mg</v>
      </c>
    </row>
    <row r="265" spans="1:37" ht="15.75" hidden="1" thickBot="1" x14ac:dyDescent="0.3">
      <c r="A265" s="60">
        <f t="shared" si="13"/>
        <v>264</v>
      </c>
      <c r="B265" s="49" t="str">
        <f>_xlfn.XLOOKUP(C265,Tab_Def_Flows[Name(EN)],Tab_Def_Flows[Flow_ID],,0,)</f>
        <v>F_19_04</v>
      </c>
      <c r="C265" s="51" t="s">
        <v>552</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f>INDEX(Tab_Def_Flows[[Flow_ID]:[CC_DM_source]],MATCH(Tab_Data_Flows[[#This Row],[Name(EN)]],Tab_Def_Flows[Name(EN)],0),20)</f>
        <v>1</v>
      </c>
      <c r="AJ265" s="109">
        <f>IF(L265="Yes",AI265*Tab_Data_Flows[[#This Row],[Flow_Py]]*Tab_Data_Flows[[#This Row],[DM_'[%']]],"N.A.")</f>
        <v>1.2326536983171599</v>
      </c>
      <c r="AK265" s="61" t="str">
        <f>Tab_Data_Flows[[#This Row],[UoM_Flow_Py]]</f>
        <v>Mg</v>
      </c>
    </row>
    <row r="266" spans="1:37" ht="15.75" hidden="1" thickBot="1" x14ac:dyDescent="0.3">
      <c r="A266" s="60">
        <f t="shared" si="13"/>
        <v>265</v>
      </c>
      <c r="B266" s="49" t="str">
        <f>_xlfn.XLOOKUP(C266,Tab_Def_Flows[Name(EN)],Tab_Def_Flows[Flow_ID],,0,)</f>
        <v>F_19_04</v>
      </c>
      <c r="C266" s="51" t="s">
        <v>552</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f>INDEX(Tab_Def_Flows[[Flow_ID]:[CC_DM_source]],MATCH(Tab_Data_Flows[[#This Row],[Name(EN)]],Tab_Def_Flows[Name(EN)],0),20)</f>
        <v>1</v>
      </c>
      <c r="AJ266" s="109">
        <f>IF(L266="Yes",AI266*Tab_Data_Flows[[#This Row],[Flow_Py]]*Tab_Data_Flows[[#This Row],[DM_'[%']]],"N.A.")</f>
        <v>1.2573067722835032</v>
      </c>
      <c r="AK266" s="61" t="str">
        <f>Tab_Data_Flows[[#This Row],[UoM_Flow_Py]]</f>
        <v>Mg</v>
      </c>
    </row>
    <row r="267" spans="1:37" ht="15.75" hidden="1" thickBot="1" x14ac:dyDescent="0.3">
      <c r="A267" s="60">
        <f t="shared" si="13"/>
        <v>266</v>
      </c>
      <c r="B267" s="49" t="str">
        <f>_xlfn.XLOOKUP(C267,Tab_Def_Flows[Name(EN)],Tab_Def_Flows[Flow_ID],,0,)</f>
        <v>F_19_04</v>
      </c>
      <c r="C267" s="51" t="s">
        <v>552</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f>INDEX(Tab_Def_Flows[[Flow_ID]:[CC_DM_source]],MATCH(Tab_Data_Flows[[#This Row],[Name(EN)]],Tab_Def_Flows[Name(EN)],0),20)</f>
        <v>1</v>
      </c>
      <c r="AJ267" s="109">
        <f>IF(L267="Yes",AI267*Tab_Data_Flows[[#This Row],[Flow_Py]]*Tab_Data_Flows[[#This Row],[DM_'[%']]],"N.A.")</f>
        <v>1.2824529077291733</v>
      </c>
      <c r="AK267" s="61" t="str">
        <f>Tab_Data_Flows[[#This Row],[UoM_Flow_Py]]</f>
        <v>Mg</v>
      </c>
    </row>
    <row r="268" spans="1:37" ht="15.75" hidden="1" thickBot="1" x14ac:dyDescent="0.3">
      <c r="A268" s="60">
        <f t="shared" si="13"/>
        <v>267</v>
      </c>
      <c r="B268" s="49" t="str">
        <f>_xlfn.XLOOKUP(C268,Tab_Def_Flows[Name(EN)],Tab_Def_Flows[Flow_ID],,0,)</f>
        <v>F_19_04</v>
      </c>
      <c r="C268" s="51" t="s">
        <v>552</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f>INDEX(Tab_Def_Flows[[Flow_ID]:[CC_DM_source]],MATCH(Tab_Data_Flows[[#This Row],[Name(EN)]],Tab_Def_Flows[Name(EN)],0),20)</f>
        <v>1</v>
      </c>
      <c r="AJ268" s="109">
        <f>IF(L268="Yes",AI268*Tab_Data_Flows[[#This Row],[Flow_Py]]*Tab_Data_Flows[[#This Row],[DM_'[%']]],"N.A.")</f>
        <v>1.3081019658837569</v>
      </c>
      <c r="AK268" s="61" t="str">
        <f>Tab_Data_Flows[[#This Row],[UoM_Flow_Py]]</f>
        <v>Mg</v>
      </c>
    </row>
    <row r="269" spans="1:37" ht="15.75" hidden="1" thickBot="1" x14ac:dyDescent="0.3">
      <c r="A269" s="60">
        <f t="shared" si="13"/>
        <v>268</v>
      </c>
      <c r="B269" s="49" t="str">
        <f>_xlfn.XLOOKUP(C269,Tab_Def_Flows[Name(EN)],Tab_Def_Flows[Flow_ID],,0,)</f>
        <v>F_19_04</v>
      </c>
      <c r="C269" s="51" t="s">
        <v>552</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f>INDEX(Tab_Def_Flows[[Flow_ID]:[CC_DM_source]],MATCH(Tab_Data_Flows[[#This Row],[Name(EN)]],Tab_Def_Flows[Name(EN)],0),20)</f>
        <v>1</v>
      </c>
      <c r="AJ269" s="109">
        <f>IF(L269="Yes",AI269*Tab_Data_Flows[[#This Row],[Flow_Py]]*Tab_Data_Flows[[#This Row],[DM_'[%']]],"N.A.")</f>
        <v>1.3342640052014321</v>
      </c>
      <c r="AK269" s="61" t="str">
        <f>Tab_Data_Flows[[#This Row],[UoM_Flow_Py]]</f>
        <v>Mg</v>
      </c>
    </row>
    <row r="270" spans="1:37" ht="15.75" hidden="1" thickBot="1" x14ac:dyDescent="0.3">
      <c r="A270" s="60">
        <f t="shared" si="13"/>
        <v>269</v>
      </c>
      <c r="B270" s="49" t="str">
        <f>_xlfn.XLOOKUP(C270,Tab_Def_Flows[Name(EN)],Tab_Def_Flows[Flow_ID],,0,)</f>
        <v>F_19_04</v>
      </c>
      <c r="C270" s="51" t="s">
        <v>552</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f>INDEX(Tab_Def_Flows[[Flow_ID]:[CC_DM_source]],MATCH(Tab_Data_Flows[[#This Row],[Name(EN)]],Tab_Def_Flows[Name(EN)],0),20)</f>
        <v>1</v>
      </c>
      <c r="AJ270" s="109">
        <f>IF(L270="Yes",AI270*Tab_Data_Flows[[#This Row],[Flow_Py]]*Tab_Data_Flows[[#This Row],[DM_'[%']]],"N.A.")</f>
        <v>1.3609492853054608</v>
      </c>
      <c r="AK270" s="61" t="str">
        <f>Tab_Data_Flows[[#This Row],[UoM_Flow_Py]]</f>
        <v>Mg</v>
      </c>
    </row>
    <row r="271" spans="1:37" ht="15.75" hidden="1" thickBot="1" x14ac:dyDescent="0.3">
      <c r="A271" s="60">
        <f t="shared" si="13"/>
        <v>270</v>
      </c>
      <c r="B271" s="49" t="str">
        <f>_xlfn.XLOOKUP(C271,Tab_Def_Flows[Name(EN)],Tab_Def_Flows[Flow_ID],,0,)</f>
        <v>F_19_04</v>
      </c>
      <c r="C271" s="51" t="s">
        <v>552</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f>INDEX(Tab_Def_Flows[[Flow_ID]:[CC_DM_source]],MATCH(Tab_Data_Flows[[#This Row],[Name(EN)]],Tab_Def_Flows[Name(EN)],0),20)</f>
        <v>1</v>
      </c>
      <c r="AJ271" s="109">
        <f>IF(L271="Yes",AI271*Tab_Data_Flows[[#This Row],[Flow_Py]]*Tab_Data_Flows[[#This Row],[DM_'[%']]],"N.A.")</f>
        <v>1.3881682710115699</v>
      </c>
      <c r="AK271" s="61" t="str">
        <f>Tab_Data_Flows[[#This Row],[UoM_Flow_Py]]</f>
        <v>Mg</v>
      </c>
    </row>
    <row r="272" spans="1:37" ht="15.75" hidden="1" thickBot="1" x14ac:dyDescent="0.3">
      <c r="A272" s="60">
        <f t="shared" si="13"/>
        <v>271</v>
      </c>
      <c r="B272" s="49" t="str">
        <f>_xlfn.XLOOKUP(C272,Tab_Def_Flows[Name(EN)],Tab_Def_Flows[Flow_ID],,0,)</f>
        <v>F_19_04</v>
      </c>
      <c r="C272" s="51" t="s">
        <v>552</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f>INDEX(Tab_Def_Flows[[Flow_ID]:[CC_DM_source]],MATCH(Tab_Data_Flows[[#This Row],[Name(EN)]],Tab_Def_Flows[Name(EN)],0),20)</f>
        <v>1</v>
      </c>
      <c r="AJ272" s="109">
        <f>IF(L272="Yes",AI272*Tab_Data_Flows[[#This Row],[Flow_Py]]*Tab_Data_Flows[[#This Row],[DM_'[%']]],"N.A.")</f>
        <v>1.4159316364318013</v>
      </c>
      <c r="AK272" s="61" t="str">
        <f>Tab_Data_Flows[[#This Row],[UoM_Flow_Py]]</f>
        <v>Mg</v>
      </c>
    </row>
    <row r="273" spans="1:37" ht="15.75" hidden="1" thickBot="1" x14ac:dyDescent="0.3">
      <c r="A273" s="60">
        <f t="shared" si="13"/>
        <v>272</v>
      </c>
      <c r="B273" s="49" t="str">
        <f>_xlfn.XLOOKUP(C273,Tab_Def_Flows[Name(EN)],Tab_Def_Flows[Flow_ID],,0,)</f>
        <v>F_19_04</v>
      </c>
      <c r="C273" s="51" t="s">
        <v>552</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f>INDEX(Tab_Def_Flows[[Flow_ID]:[CC_DM_source]],MATCH(Tab_Data_Flows[[#This Row],[Name(EN)]],Tab_Def_Flows[Name(EN)],0),20)</f>
        <v>1</v>
      </c>
      <c r="AJ273" s="109">
        <f>IF(L273="Yes",AI273*Tab_Data_Flows[[#This Row],[Flow_Py]]*Tab_Data_Flows[[#This Row],[DM_'[%']]],"N.A.")</f>
        <v>1.4442502691604373</v>
      </c>
      <c r="AK273" s="61" t="str">
        <f>Tab_Data_Flows[[#This Row],[UoM_Flow_Py]]</f>
        <v>Mg</v>
      </c>
    </row>
    <row r="274" spans="1:37" ht="15.75" hidden="1" thickBot="1" x14ac:dyDescent="0.3">
      <c r="A274" s="60">
        <f t="shared" si="13"/>
        <v>273</v>
      </c>
      <c r="B274" s="49" t="str">
        <f>_xlfn.XLOOKUP(C274,Tab_Def_Flows[Name(EN)],Tab_Def_Flows[Flow_ID],,0,)</f>
        <v>F_19_04</v>
      </c>
      <c r="C274" s="51" t="s">
        <v>552</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f>INDEX(Tab_Def_Flows[[Flow_ID]:[CC_DM_source]],MATCH(Tab_Data_Flows[[#This Row],[Name(EN)]],Tab_Def_Flows[Name(EN)],0),20)</f>
        <v>1</v>
      </c>
      <c r="AJ274" s="109">
        <f>IF(L274="Yes",AI274*Tab_Data_Flows[[#This Row],[Flow_Py]]*Tab_Data_Flows[[#This Row],[DM_'[%']]],"N.A.")</f>
        <v>1.4731352745436461</v>
      </c>
      <c r="AK274" s="61" t="str">
        <f>Tab_Data_Flows[[#This Row],[UoM_Flow_Py]]</f>
        <v>Mg</v>
      </c>
    </row>
    <row r="275" spans="1:37" ht="15.75" hidden="1" thickBot="1" x14ac:dyDescent="0.3">
      <c r="A275" s="60">
        <f t="shared" si="13"/>
        <v>274</v>
      </c>
      <c r="B275" s="49" t="str">
        <f>_xlfn.XLOOKUP(C275,Tab_Def_Flows[Name(EN)],Tab_Def_Flows[Flow_ID],,0,)</f>
        <v>F_19_04</v>
      </c>
      <c r="C275" s="51" t="s">
        <v>552</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f>INDEX(Tab_Def_Flows[[Flow_ID]:[CC_DM_source]],MATCH(Tab_Data_Flows[[#This Row],[Name(EN)]],Tab_Def_Flows[Name(EN)],0),20)</f>
        <v>1</v>
      </c>
      <c r="AJ275" s="109">
        <f>IF(L275="Yes",AI275*Tab_Data_Flows[[#This Row],[Flow_Py]]*Tab_Data_Flows[[#This Row],[DM_'[%']]],"N.A.")</f>
        <v>1.5025979800345193</v>
      </c>
      <c r="AK275" s="61" t="str">
        <f>Tab_Data_Flows[[#This Row],[UoM_Flow_Py]]</f>
        <v>Mg</v>
      </c>
    </row>
    <row r="276" spans="1:37" ht="15.75" hidden="1" thickBot="1" x14ac:dyDescent="0.3">
      <c r="A276" s="60">
        <f t="shared" si="13"/>
        <v>275</v>
      </c>
      <c r="B276" s="49" t="str">
        <f>_xlfn.XLOOKUP(C276,Tab_Def_Flows[Name(EN)],Tab_Def_Flows[Flow_ID],,0,)</f>
        <v>F_19_04</v>
      </c>
      <c r="C276" s="51" t="s">
        <v>552</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f>INDEX(Tab_Def_Flows[[Flow_ID]:[CC_DM_source]],MATCH(Tab_Data_Flows[[#This Row],[Name(EN)]],Tab_Def_Flows[Name(EN)],0),20)</f>
        <v>1</v>
      </c>
      <c r="AJ276" s="109">
        <f>IF(L276="Yes",AI276*Tab_Data_Flows[[#This Row],[Flow_Py]]*Tab_Data_Flows[[#This Row],[DM_'[%']]],"N.A.")</f>
        <v>1.5326499396352093</v>
      </c>
      <c r="AK276" s="61" t="str">
        <f>Tab_Data_Flows[[#This Row],[UoM_Flow_Py]]</f>
        <v>Mg</v>
      </c>
    </row>
    <row r="277" spans="1:37" ht="15.75" hidden="1" thickBot="1" x14ac:dyDescent="0.3">
      <c r="A277" s="60">
        <f t="shared" si="13"/>
        <v>276</v>
      </c>
      <c r="B277" s="49" t="str">
        <f>_xlfn.XLOOKUP(C277,Tab_Def_Flows[Name(EN)],Tab_Def_Flows[Flow_ID],,0,)</f>
        <v>F_19_04</v>
      </c>
      <c r="C277" s="51" t="s">
        <v>552</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f>INDEX(Tab_Def_Flows[[Flow_ID]:[CC_DM_source]],MATCH(Tab_Data_Flows[[#This Row],[Name(EN)]],Tab_Def_Flows[Name(EN)],0),20)</f>
        <v>1</v>
      </c>
      <c r="AJ277" s="109">
        <f>IF(L277="Yes",AI277*Tab_Data_Flows[[#This Row],[Flow_Py]]*Tab_Data_Flows[[#This Row],[DM_'[%']]],"N.A.")</f>
        <v>1.5633029384279138</v>
      </c>
      <c r="AK277" s="61" t="str">
        <f>Tab_Data_Flows[[#This Row],[UoM_Flow_Py]]</f>
        <v>Mg</v>
      </c>
    </row>
    <row r="278" spans="1:37" ht="15.75" hidden="1" thickBot="1" x14ac:dyDescent="0.3">
      <c r="A278" s="60">
        <f t="shared" si="13"/>
        <v>277</v>
      </c>
      <c r="B278" s="49" t="str">
        <f>_xlfn.XLOOKUP(C278,Tab_Def_Flows[Name(EN)],Tab_Def_Flows[Flow_ID],,0,)</f>
        <v>F_19_04</v>
      </c>
      <c r="C278" s="51" t="s">
        <v>552</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f>INDEX(Tab_Def_Flows[[Flow_ID]:[CC_DM_source]],MATCH(Tab_Data_Flows[[#This Row],[Name(EN)]],Tab_Def_Flows[Name(EN)],0),20)</f>
        <v>1</v>
      </c>
      <c r="AJ278" s="109">
        <f>IF(L278="Yes",AI278*Tab_Data_Flows[[#This Row],[Flow_Py]]*Tab_Data_Flows[[#This Row],[DM_'[%']]],"N.A.")</f>
        <v>1.594568997196472</v>
      </c>
      <c r="AK278" s="61" t="str">
        <f>Tab_Data_Flows[[#This Row],[UoM_Flow_Py]]</f>
        <v>Mg</v>
      </c>
    </row>
    <row r="279" spans="1:37" ht="15.75" hidden="1" thickBot="1" x14ac:dyDescent="0.3">
      <c r="A279" s="60">
        <f t="shared" si="13"/>
        <v>278</v>
      </c>
      <c r="B279" s="49" t="str">
        <f>_xlfn.XLOOKUP(C279,Tab_Def_Flows[Name(EN)],Tab_Def_Flows[Flow_ID],,0,)</f>
        <v>F_19_04</v>
      </c>
      <c r="C279" s="51" t="s">
        <v>552</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f>INDEX(Tab_Def_Flows[[Flow_ID]:[CC_DM_source]],MATCH(Tab_Data_Flows[[#This Row],[Name(EN)]],Tab_Def_Flows[Name(EN)],0),20)</f>
        <v>1</v>
      </c>
      <c r="AJ279" s="109">
        <f>IF(L279="Yes",AI279*Tab_Data_Flows[[#This Row],[Flow_Py]]*Tab_Data_Flows[[#This Row],[DM_'[%']]],"N.A.")</f>
        <v>1.6264603771404014</v>
      </c>
      <c r="AK279" s="61" t="str">
        <f>Tab_Data_Flows[[#This Row],[UoM_Flow_Py]]</f>
        <v>Mg</v>
      </c>
    </row>
    <row r="280" spans="1:37" ht="15.75" hidden="1" thickBot="1" x14ac:dyDescent="0.3">
      <c r="A280" s="60">
        <f t="shared" si="13"/>
        <v>279</v>
      </c>
      <c r="B280" s="49" t="str">
        <f>_xlfn.XLOOKUP(C280,Tab_Def_Flows[Name(EN)],Tab_Def_Flows[Flow_ID],,0,)</f>
        <v>F_19_04</v>
      </c>
      <c r="C280" s="51" t="s">
        <v>552</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f>INDEX(Tab_Def_Flows[[Flow_ID]:[CC_DM_source]],MATCH(Tab_Data_Flows[[#This Row],[Name(EN)]],Tab_Def_Flows[Name(EN)],0),20)</f>
        <v>1</v>
      </c>
      <c r="AJ280" s="109">
        <f>IF(L280="Yes",AI280*Tab_Data_Flows[[#This Row],[Flow_Py]]*Tab_Data_Flows[[#This Row],[DM_'[%']]],"N.A.")</f>
        <v>1.6589895846832095</v>
      </c>
      <c r="AK280" s="61" t="str">
        <f>Tab_Data_Flows[[#This Row],[UoM_Flow_Py]]</f>
        <v>Mg</v>
      </c>
    </row>
    <row r="281" spans="1:37" ht="15.75" hidden="1" thickBot="1" x14ac:dyDescent="0.3">
      <c r="A281" s="60">
        <f t="shared" si="13"/>
        <v>280</v>
      </c>
      <c r="B281" s="49" t="str">
        <f>_xlfn.XLOOKUP(C281,Tab_Def_Flows[Name(EN)],Tab_Def_Flows[Flow_ID],,0,)</f>
        <v>F_19_04</v>
      </c>
      <c r="C281" s="51" t="s">
        <v>552</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v>1.6921693763768737</v>
      </c>
      <c r="P281" s="51"/>
      <c r="Q281" s="51"/>
      <c r="R281" s="51"/>
      <c r="S281" s="69"/>
      <c r="T281" s="51"/>
      <c r="U281" s="51"/>
      <c r="V281" s="51"/>
      <c r="W281" s="51"/>
      <c r="X281" s="51" t="s">
        <v>71</v>
      </c>
      <c r="Y281" s="106"/>
      <c r="Z281" s="51"/>
      <c r="AA281" s="86">
        <f t="shared" ref="AA281: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f>INDEX(Tab_Def_Flows[[Flow_ID]:[CC_DM_source]],MATCH(Tab_Data_Flows[[#This Row],[Name(EN)]],Tab_Def_Flows[Name(EN)],0),20)</f>
        <v>1</v>
      </c>
      <c r="AJ281" s="109">
        <f>IF(L281="Yes",AI281*Tab_Data_Flows[[#This Row],[Flow_Py]]*Tab_Data_Flows[[#This Row],[DM_'[%']]],"N.A.")</f>
        <v>1.6921693763768737</v>
      </c>
      <c r="AK281" s="61" t="str">
        <f>Tab_Data_Flows[[#This Row],[UoM_Flow_Py]]</f>
        <v>Mg</v>
      </c>
    </row>
    <row r="282" spans="1:37" ht="15.75" hidden="1" thickBot="1" x14ac:dyDescent="0.3">
      <c r="A282" s="60">
        <f t="shared" si="13"/>
        <v>281</v>
      </c>
      <c r="B282" s="49" t="str">
        <f>_xlfn.XLOOKUP(C282,Tab_Def_Flows[Name(EN)],Tab_Def_Flows[Flow_ID],,0,)</f>
        <v>F_19_04</v>
      </c>
      <c r="C282" s="51" t="s">
        <v>552</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f>INDEX(Tab_Def_Flows[[Flow_ID]:[CC_DM_source]],MATCH(Tab_Data_Flows[[#This Row],[Name(EN)]],Tab_Def_Flows[Name(EN)],0),20)</f>
        <v>1</v>
      </c>
      <c r="AJ282" s="109">
        <f>IF(L282="Yes",AI282*Tab_Data_Flows[[#This Row],[Flow_Py]]*Tab_Data_Flows[[#This Row],[DM_'[%']]],"N.A.")</f>
        <v>1.7260127639044112</v>
      </c>
      <c r="AK282" s="61" t="str">
        <f>Tab_Data_Flows[[#This Row],[UoM_Flow_Py]]</f>
        <v>Mg</v>
      </c>
    </row>
    <row r="283" spans="1:37" ht="15.75" hidden="1" thickBot="1" x14ac:dyDescent="0.3">
      <c r="A283" s="60">
        <f t="shared" si="13"/>
        <v>282</v>
      </c>
      <c r="B283" s="49" t="str">
        <f>_xlfn.XLOOKUP(C283,Tab_Def_Flows[Name(EN)],Tab_Def_Flows[Flow_ID],,0,)</f>
        <v>F_19_04</v>
      </c>
      <c r="C283" s="51" t="s">
        <v>552</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f>INDEX(Tab_Def_Flows[[Flow_ID]:[CC_DM_source]],MATCH(Tab_Data_Flows[[#This Row],[Name(EN)]],Tab_Def_Flows[Name(EN)],0),20)</f>
        <v>1</v>
      </c>
      <c r="AJ283" s="109">
        <f>IF(L283="Yes",AI283*Tab_Data_Flows[[#This Row],[Flow_Py]]*Tab_Data_Flows[[#This Row],[DM_'[%']]],"N.A.")</f>
        <v>1.7605330191824995</v>
      </c>
      <c r="AK283" s="61" t="str">
        <f>Tab_Data_Flows[[#This Row],[UoM_Flow_Py]]</f>
        <v>Mg</v>
      </c>
    </row>
    <row r="284" spans="1:37" ht="15.75" hidden="1" thickBot="1" x14ac:dyDescent="0.3">
      <c r="A284" s="60">
        <f t="shared" si="13"/>
        <v>283</v>
      </c>
      <c r="B284" s="49" t="str">
        <f>_xlfn.XLOOKUP(C284,Tab_Def_Flows[Name(EN)],Tab_Def_Flows[Flow_ID],,0,)</f>
        <v>F_19_04</v>
      </c>
      <c r="C284" s="51" t="s">
        <v>552</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f>INDEX(Tab_Def_Flows[[Flow_ID]:[CC_DM_source]],MATCH(Tab_Data_Flows[[#This Row],[Name(EN)]],Tab_Def_Flows[Name(EN)],0),20)</f>
        <v>1</v>
      </c>
      <c r="AJ284" s="109">
        <f>IF(L284="Yes",AI284*Tab_Data_Flows[[#This Row],[Flow_Py]]*Tab_Data_Flows[[#This Row],[DM_'[%']]],"N.A.")</f>
        <v>1.7957436795661494</v>
      </c>
      <c r="AK284" s="61" t="str">
        <f>Tab_Data_Flows[[#This Row],[UoM_Flow_Py]]</f>
        <v>Mg</v>
      </c>
    </row>
    <row r="285" spans="1:37" ht="15.75" hidden="1" thickBot="1" x14ac:dyDescent="0.3">
      <c r="A285" s="60">
        <f t="shared" si="13"/>
        <v>284</v>
      </c>
      <c r="B285" s="49" t="str">
        <f>_xlfn.XLOOKUP(C285,Tab_Def_Flows[Name(EN)],Tab_Def_Flows[Flow_ID],,0,)</f>
        <v>F_19_04</v>
      </c>
      <c r="C285" s="51" t="s">
        <v>552</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f>INDEX(Tab_Def_Flows[[Flow_ID]:[CC_DM_source]],MATCH(Tab_Data_Flows[[#This Row],[Name(EN)]],Tab_Def_Flows[Name(EN)],0),20)</f>
        <v>1</v>
      </c>
      <c r="AJ285" s="109">
        <f>IF(L285="Yes",AI285*Tab_Data_Flows[[#This Row],[Flow_Py]]*Tab_Data_Flows[[#This Row],[DM_'[%']]],"N.A.")</f>
        <v>1.8316585531574725</v>
      </c>
      <c r="AK285" s="61" t="str">
        <f>Tab_Data_Flows[[#This Row],[UoM_Flow_Py]]</f>
        <v>Mg</v>
      </c>
    </row>
    <row r="286" spans="1:37" ht="15.75" hidden="1" thickBot="1" x14ac:dyDescent="0.3">
      <c r="A286" s="60">
        <f t="shared" si="13"/>
        <v>285</v>
      </c>
      <c r="B286" s="49" t="str">
        <f>_xlfn.XLOOKUP(C286,Tab_Def_Flows[Name(EN)],Tab_Def_Flows[Flow_ID],,0,)</f>
        <v>F_19_04</v>
      </c>
      <c r="C286" s="51" t="s">
        <v>552</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f>INDEX(Tab_Def_Flows[[Flow_ID]:[CC_DM_source]],MATCH(Tab_Data_Flows[[#This Row],[Name(EN)]],Tab_Def_Flows[Name(EN)],0),20)</f>
        <v>1</v>
      </c>
      <c r="AJ286" s="109">
        <f>IF(L286="Yes",AI286*Tab_Data_Flows[[#This Row],[Flow_Py]]*Tab_Data_Flows[[#This Row],[DM_'[%']]],"N.A.")</f>
        <v>1.8682917242206221</v>
      </c>
      <c r="AK286" s="61" t="str">
        <f>Tab_Data_Flows[[#This Row],[UoM_Flow_Py]]</f>
        <v>Mg</v>
      </c>
    </row>
    <row r="287" spans="1:37" ht="15.75" hidden="1" thickBot="1" x14ac:dyDescent="0.3">
      <c r="A287" s="60">
        <f t="shared" si="13"/>
        <v>286</v>
      </c>
      <c r="B287" s="49" t="str">
        <f>_xlfn.XLOOKUP(C287,Tab_Def_Flows[Name(EN)],Tab_Def_Flows[Flow_ID],,0,)</f>
        <v>F_19_04</v>
      </c>
      <c r="C287" s="51" t="s">
        <v>552</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f>INDEX(Tab_Def_Flows[[Flow_ID]:[CC_DM_source]],MATCH(Tab_Data_Flows[[#This Row],[Name(EN)]],Tab_Def_Flows[Name(EN)],0),20)</f>
        <v>1</v>
      </c>
      <c r="AJ287" s="109">
        <f>IF(L287="Yes",AI287*Tab_Data_Flows[[#This Row],[Flow_Py]]*Tab_Data_Flows[[#This Row],[DM_'[%']]],"N.A.")</f>
        <v>1.9056575587050346</v>
      </c>
      <c r="AK287" s="61" t="str">
        <f>Tab_Data_Flows[[#This Row],[UoM_Flow_Py]]</f>
        <v>Mg</v>
      </c>
    </row>
    <row r="288" spans="1:37" ht="15.75" hidden="1" thickBot="1" x14ac:dyDescent="0.3">
      <c r="A288" s="60">
        <f t="shared" si="13"/>
        <v>287</v>
      </c>
      <c r="B288" s="49" t="str">
        <f>_xlfn.XLOOKUP(C288,Tab_Def_Flows[Name(EN)],Tab_Def_Flows[Flow_ID],,0,)</f>
        <v>F_19_04</v>
      </c>
      <c r="C288" s="51" t="s">
        <v>552</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f>INDEX(Tab_Def_Flows[[Flow_ID]:[CC_DM_source]],MATCH(Tab_Data_Flows[[#This Row],[Name(EN)]],Tab_Def_Flows[Name(EN)],0),20)</f>
        <v>1</v>
      </c>
      <c r="AJ288" s="109">
        <f>IF(L288="Yes",AI288*Tab_Data_Flows[[#This Row],[Flow_Py]]*Tab_Data_Flows[[#This Row],[DM_'[%']]],"N.A.")</f>
        <v>1.943770709879135</v>
      </c>
      <c r="AK288" s="61" t="str">
        <f>Tab_Data_Flows[[#This Row],[UoM_Flow_Py]]</f>
        <v>Mg</v>
      </c>
    </row>
    <row r="289" spans="1:37" ht="15.75" hidden="1" thickBot="1" x14ac:dyDescent="0.3">
      <c r="A289" s="60">
        <f t="shared" si="13"/>
        <v>288</v>
      </c>
      <c r="B289" s="49" t="str">
        <f>_xlfn.XLOOKUP(C289,Tab_Def_Flows[Name(EN)],Tab_Def_Flows[Flow_ID],,0,)</f>
        <v>F_19_04</v>
      </c>
      <c r="C289" s="51" t="s">
        <v>552</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f>INDEX(Tab_Def_Flows[[Flow_ID]:[CC_DM_source]],MATCH(Tab_Data_Flows[[#This Row],[Name(EN)]],Tab_Def_Flows[Name(EN)],0),20)</f>
        <v>1</v>
      </c>
      <c r="AJ289" s="109">
        <f>IF(L289="Yes",AI289*Tab_Data_Flows[[#This Row],[Flow_Py]]*Tab_Data_Flows[[#This Row],[DM_'[%']]],"N.A.")</f>
        <v>1.9826461240767179</v>
      </c>
      <c r="AK289" s="61" t="str">
        <f>Tab_Data_Flows[[#This Row],[UoM_Flow_Py]]</f>
        <v>Mg</v>
      </c>
    </row>
    <row r="290" spans="1:37" ht="15.75" hidden="1" thickBot="1" x14ac:dyDescent="0.3">
      <c r="A290" s="60">
        <f t="shared" si="13"/>
        <v>289</v>
      </c>
      <c r="B290" s="49" t="str">
        <f>_xlfn.XLOOKUP(C290,Tab_Def_Flows[Name(EN)],Tab_Def_Flows[Flow_ID],,0,)</f>
        <v>F_19_04</v>
      </c>
      <c r="C290" s="51" t="s">
        <v>552</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f>INDEX(Tab_Def_Flows[[Flow_ID]:[CC_DM_source]],MATCH(Tab_Data_Flows[[#This Row],[Name(EN)]],Tab_Def_Flows[Name(EN)],0),20)</f>
        <v>1</v>
      </c>
      <c r="AJ290" s="109">
        <f>IF(L290="Yes",AI290*Tab_Data_Flows[[#This Row],[Flow_Py]]*Tab_Data_Flows[[#This Row],[DM_'[%']]],"N.A.")</f>
        <v>2.0222990465582522</v>
      </c>
      <c r="AK290" s="61" t="str">
        <f>Tab_Data_Flows[[#This Row],[UoM_Flow_Py]]</f>
        <v>Mg</v>
      </c>
    </row>
    <row r="291" spans="1:37" ht="15.75" hidden="1" thickBot="1" x14ac:dyDescent="0.3">
      <c r="A291" s="60">
        <f t="shared" si="13"/>
        <v>290</v>
      </c>
      <c r="B291" s="49" t="str">
        <f>_xlfn.XLOOKUP(C291,Tab_Def_Flows[Name(EN)],Tab_Def_Flows[Flow_ID],,0,)</f>
        <v>F_19_04</v>
      </c>
      <c r="C291" s="51" t="s">
        <v>552</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f>INDEX(Tab_Def_Flows[[Flow_ID]:[CC_DM_source]],MATCH(Tab_Data_Flows[[#This Row],[Name(EN)]],Tab_Def_Flows[Name(EN)],0),20)</f>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F_19_11</v>
      </c>
      <c r="C292" s="51" t="s">
        <v>553</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1140.7686423399471</v>
      </c>
      <c r="P292" s="51"/>
      <c r="Q292" s="51"/>
      <c r="R292" s="51"/>
      <c r="S292" s="69"/>
      <c r="T292" s="51"/>
      <c r="U292" s="51"/>
      <c r="V292" s="51"/>
      <c r="W292" s="51"/>
      <c r="X292" s="51" t="s">
        <v>71</v>
      </c>
      <c r="Y292" s="106"/>
      <c r="Z292" s="51"/>
      <c r="AA292" s="86">
        <f t="shared" si="15"/>
        <v>1140.7686423399471</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1140.7686423399471</v>
      </c>
      <c r="AH292" s="61" t="str">
        <f>Tab_Data_Flows[[#This Row],[UoM_Flow_Py]]</f>
        <v>Mg</v>
      </c>
      <c r="AI292" s="111">
        <f>INDEX(Tab_Def_Flows[[Flow_ID]:[CC_DM_source]],MATCH(Tab_Data_Flows[[#This Row],[Name(EN)]],Tab_Def_Flows[Name(EN)],0),20)</f>
        <v>1</v>
      </c>
      <c r="AJ292" s="109">
        <f>IF(L292="Yes",AI292*Tab_Data_Flows[[#This Row],[Flow_Py]]*Tab_Data_Flows[[#This Row],[DM_'[%']]],"N.A.")</f>
        <v>1140.7686423399471</v>
      </c>
      <c r="AK292" s="61" t="str">
        <f>Tab_Data_Flows[[#This Row],[UoM_Flow_Py]]</f>
        <v>Mg</v>
      </c>
    </row>
    <row r="293" spans="1:37" ht="15.75" hidden="1" thickBot="1" x14ac:dyDescent="0.3">
      <c r="A293" s="60">
        <f t="shared" si="13"/>
        <v>292</v>
      </c>
      <c r="B293" s="49" t="str">
        <f>_xlfn.XLOOKUP(C293,Tab_Def_Flows[Name(EN)],Tab_Def_Flows[Flow_ID],,0,)</f>
        <v>F_19_11</v>
      </c>
      <c r="C293" s="51" t="s">
        <v>553</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f>INDEX(Tab_Def_Flows[[Flow_ID]:[CC_DM_source]],MATCH(Tab_Data_Flows[[#This Row],[Name(EN)]],Tab_Def_Flows[Name(EN)],0),20)</f>
        <v>1</v>
      </c>
      <c r="AJ293" s="109">
        <f>IF(L293="Yes",AI293*Tab_Data_Flows[[#This Row],[Flow_Py]]*Tab_Data_Flows[[#This Row],[DM_'[%']]],"N.A.")</f>
        <v>0.81563855408668551</v>
      </c>
      <c r="AK293" s="61" t="str">
        <f>Tab_Data_Flows[[#This Row],[UoM_Flow_Py]]</f>
        <v>Mg</v>
      </c>
    </row>
    <row r="294" spans="1:37" ht="15.75" hidden="1" thickBot="1" x14ac:dyDescent="0.3">
      <c r="A294" s="60">
        <f t="shared" si="13"/>
        <v>293</v>
      </c>
      <c r="B294" s="49" t="str">
        <f>_xlfn.XLOOKUP(C294,Tab_Def_Flows[Name(EN)],Tab_Def_Flows[Flow_ID],,0,)</f>
        <v>F_19_11</v>
      </c>
      <c r="C294" s="51" t="s">
        <v>553</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f>INDEX(Tab_Def_Flows[[Flow_ID]:[CC_DM_source]],MATCH(Tab_Data_Flows[[#This Row],[Name(EN)]],Tab_Def_Flows[Name(EN)],0),20)</f>
        <v>1</v>
      </c>
      <c r="AJ294" s="109">
        <f>IF(L294="Yes",AI294*Tab_Data_Flows[[#This Row],[Flow_Py]]*Tab_Data_Flows[[#This Row],[DM_'[%']]],"N.A.")</f>
        <v>0.8319513251684193</v>
      </c>
      <c r="AK294" s="61" t="str">
        <f>Tab_Data_Flows[[#This Row],[UoM_Flow_Py]]</f>
        <v>Mg</v>
      </c>
    </row>
    <row r="295" spans="1:37" ht="15.75" hidden="1" thickBot="1" x14ac:dyDescent="0.3">
      <c r="A295" s="60">
        <f t="shared" si="13"/>
        <v>294</v>
      </c>
      <c r="B295" s="49" t="str">
        <f>_xlfn.XLOOKUP(C295,Tab_Def_Flows[Name(EN)],Tab_Def_Flows[Flow_ID],,0,)</f>
        <v>F_19_11</v>
      </c>
      <c r="C295" s="51" t="s">
        <v>553</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f>INDEX(Tab_Def_Flows[[Flow_ID]:[CC_DM_source]],MATCH(Tab_Data_Flows[[#This Row],[Name(EN)]],Tab_Def_Flows[Name(EN)],0),20)</f>
        <v>1</v>
      </c>
      <c r="AJ295" s="109">
        <f>IF(L295="Yes",AI295*Tab_Data_Flows[[#This Row],[Flow_Py]]*Tab_Data_Flows[[#This Row],[DM_'[%']]],"N.A.")</f>
        <v>0.84859035167178776</v>
      </c>
      <c r="AK295" s="61" t="str">
        <f>Tab_Data_Flows[[#This Row],[UoM_Flow_Py]]</f>
        <v>Mg</v>
      </c>
    </row>
    <row r="296" spans="1:37" ht="15.75" hidden="1" thickBot="1" x14ac:dyDescent="0.3">
      <c r="A296" s="60">
        <f t="shared" si="13"/>
        <v>295</v>
      </c>
      <c r="B296" s="49" t="str">
        <f>_xlfn.XLOOKUP(C296,Tab_Def_Flows[Name(EN)],Tab_Def_Flows[Flow_ID],,0,)</f>
        <v>F_19_11</v>
      </c>
      <c r="C296" s="51" t="s">
        <v>553</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f>INDEX(Tab_Def_Flows[[Flow_ID]:[CC_DM_source]],MATCH(Tab_Data_Flows[[#This Row],[Name(EN)]],Tab_Def_Flows[Name(EN)],0),20)</f>
        <v>1</v>
      </c>
      <c r="AJ296" s="109">
        <f>IF(L296="Yes",AI296*Tab_Data_Flows[[#This Row],[Flow_Py]]*Tab_Data_Flows[[#This Row],[DM_'[%']]],"N.A.")</f>
        <v>0.86556215870522335</v>
      </c>
      <c r="AK296" s="61" t="str">
        <f>Tab_Data_Flows[[#This Row],[UoM_Flow_Py]]</f>
        <v>Mg</v>
      </c>
    </row>
    <row r="297" spans="1:37" ht="15.75" hidden="1" thickBot="1" x14ac:dyDescent="0.3">
      <c r="A297" s="60">
        <f t="shared" si="13"/>
        <v>296</v>
      </c>
      <c r="B297" s="49" t="str">
        <f>_xlfn.XLOOKUP(C297,Tab_Def_Flows[Name(EN)],Tab_Def_Flows[Flow_ID],,0,)</f>
        <v>F_19_11</v>
      </c>
      <c r="C297" s="51" t="s">
        <v>553</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f>INDEX(Tab_Def_Flows[[Flow_ID]:[CC_DM_source]],MATCH(Tab_Data_Flows[[#This Row],[Name(EN)]],Tab_Def_Flows[Name(EN)],0),20)</f>
        <v>1</v>
      </c>
      <c r="AJ297" s="109">
        <f>IF(L297="Yes",AI297*Tab_Data_Flows[[#This Row],[Flow_Py]]*Tab_Data_Flows[[#This Row],[DM_'[%']]],"N.A.")</f>
        <v>0.88287340187932795</v>
      </c>
      <c r="AK297" s="61" t="str">
        <f>Tab_Data_Flows[[#This Row],[UoM_Flow_Py]]</f>
        <v>Mg</v>
      </c>
    </row>
    <row r="298" spans="1:37" ht="15.75" hidden="1" thickBot="1" x14ac:dyDescent="0.3">
      <c r="A298" s="60">
        <f t="shared" si="13"/>
        <v>297</v>
      </c>
      <c r="B298" s="49" t="str">
        <f>_xlfn.XLOOKUP(C298,Tab_Def_Flows[Name(EN)],Tab_Def_Flows[Flow_ID],,0,)</f>
        <v>F_19_11</v>
      </c>
      <c r="C298" s="51" t="s">
        <v>553</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f>INDEX(Tab_Def_Flows[[Flow_ID]:[CC_DM_source]],MATCH(Tab_Data_Flows[[#This Row],[Name(EN)]],Tab_Def_Flows[Name(EN)],0),20)</f>
        <v>1</v>
      </c>
      <c r="AJ298" s="109">
        <f>IF(L298="Yes",AI298*Tab_Data_Flows[[#This Row],[Flow_Py]]*Tab_Data_Flows[[#This Row],[DM_'[%']]],"N.A.")</f>
        <v>0.90053086991691467</v>
      </c>
      <c r="AK298" s="61" t="str">
        <f>Tab_Data_Flows[[#This Row],[UoM_Flow_Py]]</f>
        <v>Mg</v>
      </c>
    </row>
    <row r="299" spans="1:37" ht="15.75" hidden="1" thickBot="1" x14ac:dyDescent="0.3">
      <c r="A299" s="60">
        <f t="shared" si="13"/>
        <v>298</v>
      </c>
      <c r="B299" s="49" t="str">
        <f>_xlfn.XLOOKUP(C299,Tab_Def_Flows[Name(EN)],Tab_Def_Flows[Flow_ID],,0,)</f>
        <v>F_19_11</v>
      </c>
      <c r="C299" s="51" t="s">
        <v>553</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f>INDEX(Tab_Def_Flows[[Flow_ID]:[CC_DM_source]],MATCH(Tab_Data_Flows[[#This Row],[Name(EN)]],Tab_Def_Flows[Name(EN)],0),20)</f>
        <v>1</v>
      </c>
      <c r="AJ299" s="109">
        <f>IF(L299="Yes",AI299*Tab_Data_Flows[[#This Row],[Flow_Py]]*Tab_Data_Flows[[#This Row],[DM_'[%']]],"N.A.")</f>
        <v>0.91854148731525287</v>
      </c>
      <c r="AK299" s="61" t="str">
        <f>Tab_Data_Flows[[#This Row],[UoM_Flow_Py]]</f>
        <v>Mg</v>
      </c>
    </row>
    <row r="300" spans="1:37" ht="15.75" hidden="1" thickBot="1" x14ac:dyDescent="0.3">
      <c r="A300" s="60">
        <f t="shared" si="13"/>
        <v>299</v>
      </c>
      <c r="B300" s="49" t="str">
        <f>_xlfn.XLOOKUP(C300,Tab_Def_Flows[Name(EN)],Tab_Def_Flows[Flow_ID],,0,)</f>
        <v>F_19_11</v>
      </c>
      <c r="C300" s="51" t="s">
        <v>553</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f>INDEX(Tab_Def_Flows[[Flow_ID]:[CC_DM_source]],MATCH(Tab_Data_Flows[[#This Row],[Name(EN)]],Tab_Def_Flows[Name(EN)],0),20)</f>
        <v>1</v>
      </c>
      <c r="AJ300" s="109">
        <f>IF(L300="Yes",AI300*Tab_Data_Flows[[#This Row],[Flow_Py]]*Tab_Data_Flows[[#This Row],[DM_'[%']]],"N.A.")</f>
        <v>0.93691231706155798</v>
      </c>
      <c r="AK300" s="61" t="str">
        <f>Tab_Data_Flows[[#This Row],[UoM_Flow_Py]]</f>
        <v>Mg</v>
      </c>
    </row>
    <row r="301" spans="1:37" ht="15.75" hidden="1" thickBot="1" x14ac:dyDescent="0.3">
      <c r="A301" s="60">
        <f t="shared" si="13"/>
        <v>300</v>
      </c>
      <c r="B301" s="49" t="str">
        <f>_xlfn.XLOOKUP(C301,Tab_Def_Flows[Name(EN)],Tab_Def_Flows[Flow_ID],,0,)</f>
        <v>F_19_11</v>
      </c>
      <c r="C301" s="51" t="s">
        <v>553</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f>INDEX(Tab_Def_Flows[[Flow_ID]:[CC_DM_source]],MATCH(Tab_Data_Flows[[#This Row],[Name(EN)]],Tab_Def_Flows[Name(EN)],0),20)</f>
        <v>1</v>
      </c>
      <c r="AJ301" s="109">
        <f>IF(L301="Yes",AI301*Tab_Data_Flows[[#This Row],[Flow_Py]]*Tab_Data_Flows[[#This Row],[DM_'[%']]],"N.A.")</f>
        <v>0.95565056340278909</v>
      </c>
      <c r="AK301" s="61" t="str">
        <f>Tab_Data_Flows[[#This Row],[UoM_Flow_Py]]</f>
        <v>Mg</v>
      </c>
    </row>
    <row r="302" spans="1:37" ht="15.75" hidden="1" thickBot="1" x14ac:dyDescent="0.3">
      <c r="A302" s="60">
        <f t="shared" si="13"/>
        <v>301</v>
      </c>
      <c r="B302" s="49" t="str">
        <f>_xlfn.XLOOKUP(C302,Tab_Def_Flows[Name(EN)],Tab_Def_Flows[Flow_ID],,0,)</f>
        <v>F_19_11</v>
      </c>
      <c r="C302" s="51" t="s">
        <v>553</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f>INDEX(Tab_Def_Flows[[Flow_ID]:[CC_DM_source]],MATCH(Tab_Data_Flows[[#This Row],[Name(EN)]],Tab_Def_Flows[Name(EN)],0),20)</f>
        <v>1</v>
      </c>
      <c r="AJ302" s="109">
        <f>IF(L302="Yes",AI302*Tab_Data_Flows[[#This Row],[Flow_Py]]*Tab_Data_Flows[[#This Row],[DM_'[%']]],"N.A.")</f>
        <v>0.97476357467084485</v>
      </c>
      <c r="AK302" s="61" t="str">
        <f>Tab_Data_Flows[[#This Row],[UoM_Flow_Py]]</f>
        <v>Mg</v>
      </c>
    </row>
    <row r="303" spans="1:37" ht="15.75" hidden="1" thickBot="1" x14ac:dyDescent="0.3">
      <c r="A303" s="60">
        <f t="shared" si="13"/>
        <v>302</v>
      </c>
      <c r="B303" s="49" t="str">
        <f>_xlfn.XLOOKUP(C303,Tab_Def_Flows[Name(EN)],Tab_Def_Flows[Flow_ID],,0,)</f>
        <v>F_19_11</v>
      </c>
      <c r="C303" s="51" t="s">
        <v>553</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f>INDEX(Tab_Def_Flows[[Flow_ID]:[CC_DM_source]],MATCH(Tab_Data_Flows[[#This Row],[Name(EN)]],Tab_Def_Flows[Name(EN)],0),20)</f>
        <v>1</v>
      </c>
      <c r="AJ303" s="109">
        <f>IF(L303="Yes",AI303*Tab_Data_Flows[[#This Row],[Flow_Py]]*Tab_Data_Flows[[#This Row],[DM_'[%']]],"N.A.")</f>
        <v>0.99425884616426174</v>
      </c>
      <c r="AK303" s="61" t="str">
        <f>Tab_Data_Flows[[#This Row],[UoM_Flow_Py]]</f>
        <v>Mg</v>
      </c>
    </row>
    <row r="304" spans="1:37" ht="15.75" hidden="1" thickBot="1" x14ac:dyDescent="0.3">
      <c r="A304" s="60">
        <f t="shared" si="13"/>
        <v>303</v>
      </c>
      <c r="B304" s="49" t="str">
        <f>_xlfn.XLOOKUP(C304,Tab_Def_Flows[Name(EN)],Tab_Def_Flows[Flow_ID],,0,)</f>
        <v>F_19_11</v>
      </c>
      <c r="C304" s="51" t="s">
        <v>553</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f>INDEX(Tab_Def_Flows[[Flow_ID]:[CC_DM_source]],MATCH(Tab_Data_Flows[[#This Row],[Name(EN)]],Tab_Def_Flows[Name(EN)],0),20)</f>
        <v>1</v>
      </c>
      <c r="AJ304" s="109">
        <f>IF(L304="Yes",AI304*Tab_Data_Flows[[#This Row],[Flow_Py]]*Tab_Data_Flows[[#This Row],[DM_'[%']]],"N.A.")</f>
        <v>1.0141440230875469</v>
      </c>
      <c r="AK304" s="61" t="str">
        <f>Tab_Data_Flows[[#This Row],[UoM_Flow_Py]]</f>
        <v>Mg</v>
      </c>
    </row>
    <row r="305" spans="1:37" ht="15.75" hidden="1" thickBot="1" x14ac:dyDescent="0.3">
      <c r="A305" s="60">
        <f t="shared" si="13"/>
        <v>304</v>
      </c>
      <c r="B305" s="49" t="str">
        <f>_xlfn.XLOOKUP(C305,Tab_Def_Flows[Name(EN)],Tab_Def_Flows[Flow_ID],,0,)</f>
        <v>F_19_11</v>
      </c>
      <c r="C305" s="51" t="s">
        <v>553</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f>INDEX(Tab_Def_Flows[[Flow_ID]:[CC_DM_source]],MATCH(Tab_Data_Flows[[#This Row],[Name(EN)]],Tab_Def_Flows[Name(EN)],0),20)</f>
        <v>1</v>
      </c>
      <c r="AJ305" s="109">
        <f>IF(L305="Yes",AI305*Tab_Data_Flows[[#This Row],[Flow_Py]]*Tab_Data_Flows[[#This Row],[DM_'[%']]],"N.A.")</f>
        <v>1.0344269035492979</v>
      </c>
      <c r="AK305" s="61" t="str">
        <f>Tab_Data_Flows[[#This Row],[UoM_Flow_Py]]</f>
        <v>Mg</v>
      </c>
    </row>
    <row r="306" spans="1:37" ht="15.75" hidden="1" thickBot="1" x14ac:dyDescent="0.3">
      <c r="A306" s="60">
        <f t="shared" si="13"/>
        <v>305</v>
      </c>
      <c r="B306" s="49" t="str">
        <f>_xlfn.XLOOKUP(C306,Tab_Def_Flows[Name(EN)],Tab_Def_Flows[Flow_ID],,0,)</f>
        <v>F_19_11</v>
      </c>
      <c r="C306" s="51" t="s">
        <v>553</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f>INDEX(Tab_Def_Flows[[Flow_ID]:[CC_DM_source]],MATCH(Tab_Data_Flows[[#This Row],[Name(EN)]],Tab_Def_Flows[Name(EN)],0),20)</f>
        <v>1</v>
      </c>
      <c r="AJ306" s="109">
        <f>IF(L306="Yes",AI306*Tab_Data_Flows[[#This Row],[Flow_Py]]*Tab_Data_Flows[[#This Row],[DM_'[%']]],"N.A.")</f>
        <v>1.0551154416202839</v>
      </c>
      <c r="AK306" s="61" t="str">
        <f>Tab_Data_Flows[[#This Row],[UoM_Flow_Py]]</f>
        <v>Mg</v>
      </c>
    </row>
    <row r="307" spans="1:37" ht="15.75" hidden="1" thickBot="1" x14ac:dyDescent="0.3">
      <c r="A307" s="60">
        <f t="shared" si="13"/>
        <v>306</v>
      </c>
      <c r="B307" s="49" t="str">
        <f>_xlfn.XLOOKUP(C307,Tab_Def_Flows[Name(EN)],Tab_Def_Flows[Flow_ID],,0,)</f>
        <v>F_19_11</v>
      </c>
      <c r="C307" s="51" t="s">
        <v>553</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f>INDEX(Tab_Def_Flows[[Flow_ID]:[CC_DM_source]],MATCH(Tab_Data_Flows[[#This Row],[Name(EN)]],Tab_Def_Flows[Name(EN)],0),20)</f>
        <v>1</v>
      </c>
      <c r="AJ307" s="109">
        <f>IF(L307="Yes",AI307*Tab_Data_Flows[[#This Row],[Flow_Py]]*Tab_Data_Flows[[#This Row],[DM_'[%']]],"N.A.")</f>
        <v>1.0762177504526897</v>
      </c>
      <c r="AK307" s="61" t="str">
        <f>Tab_Data_Flows[[#This Row],[UoM_Flow_Py]]</f>
        <v>Mg</v>
      </c>
    </row>
    <row r="308" spans="1:37" ht="15.75" hidden="1" thickBot="1" x14ac:dyDescent="0.3">
      <c r="A308" s="60">
        <f t="shared" si="13"/>
        <v>307</v>
      </c>
      <c r="B308" s="49" t="str">
        <f>_xlfn.XLOOKUP(C308,Tab_Def_Flows[Name(EN)],Tab_Def_Flows[Flow_ID],,0,)</f>
        <v>F_19_11</v>
      </c>
      <c r="C308" s="51" t="s">
        <v>553</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f>INDEX(Tab_Def_Flows[[Flow_ID]:[CC_DM_source]],MATCH(Tab_Data_Flows[[#This Row],[Name(EN)]],Tab_Def_Flows[Name(EN)],0),20)</f>
        <v>1</v>
      </c>
      <c r="AJ308" s="109">
        <f>IF(L308="Yes",AI308*Tab_Data_Flows[[#This Row],[Flow_Py]]*Tab_Data_Flows[[#This Row],[DM_'[%']]],"N.A.")</f>
        <v>1.0977421054617436</v>
      </c>
      <c r="AK308" s="61" t="str">
        <f>Tab_Data_Flows[[#This Row],[UoM_Flow_Py]]</f>
        <v>Mg</v>
      </c>
    </row>
    <row r="309" spans="1:37" ht="15.75" hidden="1" thickBot="1" x14ac:dyDescent="0.3">
      <c r="A309" s="60">
        <f t="shared" si="13"/>
        <v>308</v>
      </c>
      <c r="B309" s="49" t="str">
        <f>_xlfn.XLOOKUP(C309,Tab_Def_Flows[Name(EN)],Tab_Def_Flows[Flow_ID],,0,)</f>
        <v>F_19_11</v>
      </c>
      <c r="C309" s="51" t="s">
        <v>553</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f>INDEX(Tab_Def_Flows[[Flow_ID]:[CC_DM_source]],MATCH(Tab_Data_Flows[[#This Row],[Name(EN)]],Tab_Def_Flows[Name(EN)],0),20)</f>
        <v>1</v>
      </c>
      <c r="AJ309" s="109">
        <f>IF(L309="Yes",AI309*Tab_Data_Flows[[#This Row],[Flow_Py]]*Tab_Data_Flows[[#This Row],[DM_'[%']]],"N.A.")</f>
        <v>1.1196969475709784</v>
      </c>
      <c r="AK309" s="61" t="str">
        <f>Tab_Data_Flows[[#This Row],[UoM_Flow_Py]]</f>
        <v>Mg</v>
      </c>
    </row>
    <row r="310" spans="1:37" ht="15.75" hidden="1" thickBot="1" x14ac:dyDescent="0.3">
      <c r="A310" s="60">
        <f t="shared" si="13"/>
        <v>309</v>
      </c>
      <c r="B310" s="49" t="str">
        <f>_xlfn.XLOOKUP(C310,Tab_Def_Flows[Name(EN)],Tab_Def_Flows[Flow_ID],,0,)</f>
        <v>F_19_11</v>
      </c>
      <c r="C310" s="51" t="s">
        <v>553</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f>INDEX(Tab_Def_Flows[[Flow_ID]:[CC_DM_source]],MATCH(Tab_Data_Flows[[#This Row],[Name(EN)]],Tab_Def_Flows[Name(EN)],0),20)</f>
        <v>1</v>
      </c>
      <c r="AJ310" s="109">
        <f>IF(L310="Yes",AI310*Tab_Data_Flows[[#This Row],[Flow_Py]]*Tab_Data_Flows[[#This Row],[DM_'[%']]],"N.A.")</f>
        <v>1.142090886522398</v>
      </c>
      <c r="AK310" s="61" t="str">
        <f>Tab_Data_Flows[[#This Row],[UoM_Flow_Py]]</f>
        <v>Mg</v>
      </c>
    </row>
    <row r="311" spans="1:37" ht="15.75" hidden="1" thickBot="1" x14ac:dyDescent="0.3">
      <c r="A311" s="60">
        <f t="shared" si="13"/>
        <v>310</v>
      </c>
      <c r="B311" s="49" t="str">
        <f>_xlfn.XLOOKUP(C311,Tab_Def_Flows[Name(EN)],Tab_Def_Flows[Flow_ID],,0,)</f>
        <v>F_19_11</v>
      </c>
      <c r="C311" s="51" t="s">
        <v>553</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f>INDEX(Tab_Def_Flows[[Flow_ID]:[CC_DM_source]],MATCH(Tab_Data_Flows[[#This Row],[Name(EN)]],Tab_Def_Flows[Name(EN)],0),20)</f>
        <v>1</v>
      </c>
      <c r="AJ311" s="109">
        <f>IF(L311="Yes",AI311*Tab_Data_Flows[[#This Row],[Flow_Py]]*Tab_Data_Flows[[#This Row],[DM_'[%']]],"N.A.")</f>
        <v>1.1649327042528459</v>
      </c>
      <c r="AK311" s="61" t="str">
        <f>Tab_Data_Flows[[#This Row],[UoM_Flow_Py]]</f>
        <v>Mg</v>
      </c>
    </row>
    <row r="312" spans="1:37" ht="15.75" hidden="1" thickBot="1" x14ac:dyDescent="0.3">
      <c r="A312" s="60">
        <f t="shared" si="13"/>
        <v>311</v>
      </c>
      <c r="B312" s="49" t="str">
        <f>_xlfn.XLOOKUP(C312,Tab_Def_Flows[Name(EN)],Tab_Def_Flows[Flow_ID],,0,)</f>
        <v>F_19_11</v>
      </c>
      <c r="C312" s="51" t="s">
        <v>553</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f>INDEX(Tab_Def_Flows[[Flow_ID]:[CC_DM_source]],MATCH(Tab_Data_Flows[[#This Row],[Name(EN)]],Tab_Def_Flows[Name(EN)],0),20)</f>
        <v>1</v>
      </c>
      <c r="AJ312" s="109">
        <f>IF(L312="Yes",AI312*Tab_Data_Flows[[#This Row],[Flow_Py]]*Tab_Data_Flows[[#This Row],[DM_'[%']]],"N.A.")</f>
        <v>1.1882313583379029</v>
      </c>
      <c r="AK312" s="61" t="str">
        <f>Tab_Data_Flows[[#This Row],[UoM_Flow_Py]]</f>
        <v>Mg</v>
      </c>
    </row>
    <row r="313" spans="1:37" ht="15.75" hidden="1" thickBot="1" x14ac:dyDescent="0.3">
      <c r="A313" s="60">
        <f t="shared" si="13"/>
        <v>312</v>
      </c>
      <c r="B313" s="49" t="str">
        <f>_xlfn.XLOOKUP(C313,Tab_Def_Flows[Name(EN)],Tab_Def_Flows[Flow_ID],,0,)</f>
        <v>F_19_11</v>
      </c>
      <c r="C313" s="51" t="s">
        <v>553</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f>INDEX(Tab_Def_Flows[[Flow_ID]:[CC_DM_source]],MATCH(Tab_Data_Flows[[#This Row],[Name(EN)]],Tab_Def_Flows[Name(EN)],0),20)</f>
        <v>1</v>
      </c>
      <c r="AJ313" s="109">
        <f>IF(L313="Yes",AI313*Tab_Data_Flows[[#This Row],[Flow_Py]]*Tab_Data_Flows[[#This Row],[DM_'[%']]],"N.A.")</f>
        <v>1.2119959855046609</v>
      </c>
      <c r="AK313" s="61" t="str">
        <f>Tab_Data_Flows[[#This Row],[UoM_Flow_Py]]</f>
        <v>Mg</v>
      </c>
    </row>
    <row r="314" spans="1:37" ht="15.75" hidden="1" thickBot="1" x14ac:dyDescent="0.3">
      <c r="A314" s="60">
        <f t="shared" si="13"/>
        <v>313</v>
      </c>
      <c r="B314" s="49" t="str">
        <f>_xlfn.XLOOKUP(C314,Tab_Def_Flows[Name(EN)],Tab_Def_Flows[Flow_ID],,0,)</f>
        <v>F_19_11</v>
      </c>
      <c r="C314" s="51" t="s">
        <v>553</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f>INDEX(Tab_Def_Flows[[Flow_ID]:[CC_DM_source]],MATCH(Tab_Data_Flows[[#This Row],[Name(EN)]],Tab_Def_Flows[Name(EN)],0),20)</f>
        <v>1</v>
      </c>
      <c r="AJ314" s="109">
        <f>IF(L314="Yes",AI314*Tab_Data_Flows[[#This Row],[Flow_Py]]*Tab_Data_Flows[[#This Row],[DM_'[%']]],"N.A.")</f>
        <v>1.2362359052147542</v>
      </c>
      <c r="AK314" s="61" t="str">
        <f>Tab_Data_Flows[[#This Row],[UoM_Flow_Py]]</f>
        <v>Mg</v>
      </c>
    </row>
    <row r="315" spans="1:37" ht="15.75" hidden="1" thickBot="1" x14ac:dyDescent="0.3">
      <c r="A315" s="60">
        <f t="shared" si="13"/>
        <v>314</v>
      </c>
      <c r="B315" s="49" t="str">
        <f>_xlfn.XLOOKUP(C315,Tab_Def_Flows[Name(EN)],Tab_Def_Flows[Flow_ID],,0,)</f>
        <v>F_19_11</v>
      </c>
      <c r="C315" s="51" t="s">
        <v>553</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f>INDEX(Tab_Def_Flows[[Flow_ID]:[CC_DM_source]],MATCH(Tab_Data_Flows[[#This Row],[Name(EN)]],Tab_Def_Flows[Name(EN)],0),20)</f>
        <v>1</v>
      </c>
      <c r="AJ315" s="109">
        <f>IF(L315="Yes",AI315*Tab_Data_Flows[[#This Row],[Flow_Py]]*Tab_Data_Flows[[#This Row],[DM_'[%']]],"N.A.")</f>
        <v>1.2609606233190491</v>
      </c>
      <c r="AK315" s="61" t="str">
        <f>Tab_Data_Flows[[#This Row],[UoM_Flow_Py]]</f>
        <v>Mg</v>
      </c>
    </row>
    <row r="316" spans="1:37" ht="15.75" hidden="1" thickBot="1" x14ac:dyDescent="0.3">
      <c r="A316" s="60">
        <f t="shared" si="13"/>
        <v>315</v>
      </c>
      <c r="B316" s="49" t="str">
        <f>_xlfn.XLOOKUP(C316,Tab_Def_Flows[Name(EN)],Tab_Def_Flows[Flow_ID],,0,)</f>
        <v>F_19_11</v>
      </c>
      <c r="C316" s="51" t="s">
        <v>553</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f>INDEX(Tab_Def_Flows[[Flow_ID]:[CC_DM_source]],MATCH(Tab_Data_Flows[[#This Row],[Name(EN)]],Tab_Def_Flows[Name(EN)],0),20)</f>
        <v>1</v>
      </c>
      <c r="AJ316" s="109">
        <f>IF(L316="Yes",AI316*Tab_Data_Flows[[#This Row],[Flow_Py]]*Tab_Data_Flows[[#This Row],[DM_'[%']]],"N.A.")</f>
        <v>1.2861798357854304</v>
      </c>
      <c r="AK316" s="61" t="str">
        <f>Tab_Data_Flows[[#This Row],[UoM_Flow_Py]]</f>
        <v>Mg</v>
      </c>
    </row>
    <row r="317" spans="1:37" ht="15.75" hidden="1" thickBot="1" x14ac:dyDescent="0.3">
      <c r="A317" s="60">
        <f t="shared" si="13"/>
        <v>316</v>
      </c>
      <c r="B317" s="49" t="str">
        <f>_xlfn.XLOOKUP(C317,Tab_Def_Flows[Name(EN)],Tab_Def_Flows[Flow_ID],,0,)</f>
        <v>F_19_11</v>
      </c>
      <c r="C317" s="51" t="s">
        <v>553</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f>INDEX(Tab_Def_Flows[[Flow_ID]:[CC_DM_source]],MATCH(Tab_Data_Flows[[#This Row],[Name(EN)]],Tab_Def_Flows[Name(EN)],0),20)</f>
        <v>1</v>
      </c>
      <c r="AJ317" s="109">
        <f>IF(L317="Yes",AI317*Tab_Data_Flows[[#This Row],[Flow_Py]]*Tab_Data_Flows[[#This Row],[DM_'[%']]],"N.A.")</f>
        <v>1.3119034325011387</v>
      </c>
      <c r="AK317" s="61" t="str">
        <f>Tab_Data_Flows[[#This Row],[UoM_Flow_Py]]</f>
        <v>Mg</v>
      </c>
    </row>
    <row r="318" spans="1:37" ht="15.75" hidden="1" thickBot="1" x14ac:dyDescent="0.3">
      <c r="A318" s="60">
        <f t="shared" si="13"/>
        <v>317</v>
      </c>
      <c r="B318" s="49" t="str">
        <f>_xlfn.XLOOKUP(C318,Tab_Def_Flows[Name(EN)],Tab_Def_Flows[Flow_ID],,0,)</f>
        <v>F_19_11</v>
      </c>
      <c r="C318" s="51" t="s">
        <v>553</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f>INDEX(Tab_Def_Flows[[Flow_ID]:[CC_DM_source]],MATCH(Tab_Data_Flows[[#This Row],[Name(EN)]],Tab_Def_Flows[Name(EN)],0),20)</f>
        <v>1</v>
      </c>
      <c r="AJ318" s="109">
        <f>IF(L318="Yes",AI318*Tab_Data_Flows[[#This Row],[Flow_Py]]*Tab_Data_Flows[[#This Row],[DM_'[%']]],"N.A.")</f>
        <v>1.3381415011511617</v>
      </c>
      <c r="AK318" s="61" t="str">
        <f>Tab_Data_Flows[[#This Row],[UoM_Flow_Py]]</f>
        <v>Mg</v>
      </c>
    </row>
    <row r="319" spans="1:37" ht="15.75" hidden="1" thickBot="1" x14ac:dyDescent="0.3">
      <c r="A319" s="60">
        <f t="shared" si="13"/>
        <v>318</v>
      </c>
      <c r="B319" s="49" t="str">
        <f>_xlfn.XLOOKUP(C319,Tab_Def_Flows[Name(EN)],Tab_Def_Flows[Flow_ID],,0,)</f>
        <v>F_19_11</v>
      </c>
      <c r="C319" s="51" t="s">
        <v>553</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f>INDEX(Tab_Def_Flows[[Flow_ID]:[CC_DM_source]],MATCH(Tab_Data_Flows[[#This Row],[Name(EN)]],Tab_Def_Flows[Name(EN)],0),20)</f>
        <v>1</v>
      </c>
      <c r="AJ319" s="109">
        <f>IF(L319="Yes",AI319*Tab_Data_Flows[[#This Row],[Flow_Py]]*Tab_Data_Flows[[#This Row],[DM_'[%']]],"N.A.")</f>
        <v>1.3649043311741849</v>
      </c>
      <c r="AK319" s="61" t="str">
        <f>Tab_Data_Flows[[#This Row],[UoM_Flow_Py]]</f>
        <v>Mg</v>
      </c>
    </row>
    <row r="320" spans="1:37" ht="15.75" hidden="1" thickBot="1" x14ac:dyDescent="0.3">
      <c r="A320" s="60">
        <f t="shared" si="13"/>
        <v>319</v>
      </c>
      <c r="B320" s="49" t="str">
        <f>_xlfn.XLOOKUP(C320,Tab_Def_Flows[Name(EN)],Tab_Def_Flows[Flow_ID],,0,)</f>
        <v>F_19_11</v>
      </c>
      <c r="C320" s="51" t="s">
        <v>553</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f>INDEX(Tab_Def_Flows[[Flow_ID]:[CC_DM_source]],MATCH(Tab_Data_Flows[[#This Row],[Name(EN)]],Tab_Def_Flows[Name(EN)],0),20)</f>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F_24_24</v>
      </c>
      <c r="C321" s="51"/>
      <c r="D321" s="49">
        <f>_xlfn.XLOOKUP(C321,Tab_Def_Flows[Name(EN)],Tab_Def_Flows[Type_Biomass],,0,)</f>
        <v>0</v>
      </c>
      <c r="E321" s="49">
        <f>_xlfn.XLOOKUP(C321,Tab_Def_Flows[Name(EN)],Tab_Def_Flows[Output_Process],,0,)</f>
        <v>0</v>
      </c>
      <c r="F321" s="49" t="str">
        <f>_xlfn.XLOOKUP(C321,Tab_Def_Flows[Name(EN)],Tab_Def_Flows[Process_ID_O],,0,)</f>
        <v>24__</v>
      </c>
      <c r="G321" s="49">
        <f>_xlfn.XLOOKUP(C321,Tab_Def_Flows[Name(EN)],Tab_Def_Flows[Input_Process],,0,)</f>
        <v>0</v>
      </c>
      <c r="H321" s="61" t="str">
        <f>_xlfn.XLOOKUP(C321,Tab_Def_Flows[Name(EN)],Tab_Def_Flows[Process_ID_I],,0,)</f>
        <v>24__</v>
      </c>
      <c r="I321" s="49">
        <f>_xlfn.XLOOKUP(C321,Tab_Def_Flows[Name(EN)],Tab_Def_Flows[Value_Source],,0,)</f>
        <v>0</v>
      </c>
      <c r="J321" s="61" t="str">
        <f>_xlfn.XLOOKUP(C321,Tab_Def_Flows[Name(EN)],Tab_Def_Flows[WC?],,0,)</f>
        <v>Yes</v>
      </c>
      <c r="K321" s="61" t="str">
        <f>_xlfn.XLOOKUP(C321,Tab_Def_Flows[Name(EN)],Tab_Def_Flows[DM?],,0,)</f>
        <v>Yes</v>
      </c>
      <c r="L321" s="61" t="str">
        <f>_xlfn.XLOOKUP(C321,Tab_Def_Flows[Name(EN)],Tab_Def_Flows[CC?],,0,)</f>
        <v>Yes</v>
      </c>
      <c r="M321" s="51"/>
      <c r="N321" s="51"/>
      <c r="O321" s="119"/>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e">
        <f>IF(J321="Yes",AA321*Tab_Data_Flows[[#This Row],[WC_'[%']]],"N.A.")</f>
        <v>#N/A</v>
      </c>
      <c r="AE321" s="61" t="str">
        <f>Tab_Data_Flows[[#This Row],[UoM_Flow_Py]]</f>
        <v>Mg</v>
      </c>
      <c r="AF321" s="111" t="e">
        <f>INDEX(Tab_Def_Flows[[Flow_ID]:[CC_DM_source]],MATCH(Tab_Data_Flows[[#This Row],[Name(EN)]],Tab_Def_Flows[Name(EN)],0),18)</f>
        <v>#N/A</v>
      </c>
      <c r="AG321" s="112" t="e">
        <f>IF(K321="Yes",AF321*Tab_Data_Flows[[#This Row],[Flow_Py]],"N.A.")</f>
        <v>#N/A</v>
      </c>
      <c r="AH321" s="61" t="str">
        <f>Tab_Data_Flows[[#This Row],[UoM_Flow_Py]]</f>
        <v>Mg</v>
      </c>
      <c r="AI321" s="111" t="e">
        <f>INDEX(Tab_Def_Flows[[Flow_ID]:[CC_DM_source]],MATCH(Tab_Data_Flows[[#This Row],[Name(EN)]],Tab_Def_Flows[Name(EN)],0),20)</f>
        <v>#N/A</v>
      </c>
      <c r="AJ321" s="109" t="e">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F_24_24</v>
      </c>
      <c r="C322" s="51"/>
      <c r="D322" s="49">
        <f>_xlfn.XLOOKUP(C322,Tab_Def_Flows[Name(EN)],Tab_Def_Flows[Type_Biomass],,0,)</f>
        <v>0</v>
      </c>
      <c r="E322" s="49">
        <f>_xlfn.XLOOKUP(C322,Tab_Def_Flows[Name(EN)],Tab_Def_Flows[Output_Process],,0,)</f>
        <v>0</v>
      </c>
      <c r="F322" s="49" t="str">
        <f>_xlfn.XLOOKUP(C322,Tab_Def_Flows[Name(EN)],Tab_Def_Flows[Process_ID_O],,0,)</f>
        <v>24__</v>
      </c>
      <c r="G322" s="49">
        <f>_xlfn.XLOOKUP(C322,Tab_Def_Flows[Name(EN)],Tab_Def_Flows[Input_Process],,0,)</f>
        <v>0</v>
      </c>
      <c r="H322" s="61" t="str">
        <f>_xlfn.XLOOKUP(C322,Tab_Def_Flows[Name(EN)],Tab_Def_Flows[Process_ID_I],,0,)</f>
        <v>24__</v>
      </c>
      <c r="I322" s="49">
        <f>_xlfn.XLOOKUP(C322,Tab_Def_Flows[Name(EN)],Tab_Def_Flows[Value_Source],,0,)</f>
        <v>0</v>
      </c>
      <c r="J322" s="61" t="str">
        <f>_xlfn.XLOOKUP(C322,Tab_Def_Flows[Name(EN)],Tab_Def_Flows[WC?],,0,)</f>
        <v>Yes</v>
      </c>
      <c r="K322" s="61" t="str">
        <f>_xlfn.XLOOKUP(C322,Tab_Def_Flows[Name(EN)],Tab_Def_Flows[DM?],,0,)</f>
        <v>Yes</v>
      </c>
      <c r="L322" s="61" t="str">
        <f>_xlfn.XLOOKUP(C322,Tab_Def_Flows[Name(EN)],Tab_Def_Flows[CC?],,0,)</f>
        <v>Yes</v>
      </c>
      <c r="M322" s="51"/>
      <c r="N322" s="51"/>
      <c r="O322" s="119"/>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e">
        <f>IF(J322="Yes",AA322*Tab_Data_Flows[[#This Row],[WC_'[%']]],"N.A.")</f>
        <v>#N/A</v>
      </c>
      <c r="AE322" s="61" t="str">
        <f>Tab_Data_Flows[[#This Row],[UoM_Flow_Py]]</f>
        <v>Mg</v>
      </c>
      <c r="AF322" s="111" t="e">
        <f>INDEX(Tab_Def_Flows[[Flow_ID]:[CC_DM_source]],MATCH(Tab_Data_Flows[[#This Row],[Name(EN)]],Tab_Def_Flows[Name(EN)],0),18)</f>
        <v>#N/A</v>
      </c>
      <c r="AG322" s="112" t="e">
        <f>IF(K322="Yes",AF322*Tab_Data_Flows[[#This Row],[Flow_Py]],"N.A.")</f>
        <v>#N/A</v>
      </c>
      <c r="AH322" s="61" t="str">
        <f>Tab_Data_Flows[[#This Row],[UoM_Flow_Py]]</f>
        <v>Mg</v>
      </c>
      <c r="AI322" s="111" t="e">
        <f>INDEX(Tab_Def_Flows[[Flow_ID]:[CC_DM_source]],MATCH(Tab_Data_Flows[[#This Row],[Name(EN)]],Tab_Def_Flows[Name(EN)],0),20)</f>
        <v>#N/A</v>
      </c>
      <c r="AJ322" s="109" t="e">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F_24_24</v>
      </c>
      <c r="C323" s="51"/>
      <c r="D323" s="49">
        <f>_xlfn.XLOOKUP(C323,Tab_Def_Flows[Name(EN)],Tab_Def_Flows[Type_Biomass],,0,)</f>
        <v>0</v>
      </c>
      <c r="E323" s="49">
        <f>_xlfn.XLOOKUP(C323,Tab_Def_Flows[Name(EN)],Tab_Def_Flows[Output_Process],,0,)</f>
        <v>0</v>
      </c>
      <c r="F323" s="49" t="str">
        <f>_xlfn.XLOOKUP(C323,Tab_Def_Flows[Name(EN)],Tab_Def_Flows[Process_ID_O],,0,)</f>
        <v>24__</v>
      </c>
      <c r="G323" s="49">
        <f>_xlfn.XLOOKUP(C323,Tab_Def_Flows[Name(EN)],Tab_Def_Flows[Input_Process],,0,)</f>
        <v>0</v>
      </c>
      <c r="H323" s="61" t="str">
        <f>_xlfn.XLOOKUP(C323,Tab_Def_Flows[Name(EN)],Tab_Def_Flows[Process_ID_I],,0,)</f>
        <v>24__</v>
      </c>
      <c r="I323" s="49">
        <f>_xlfn.XLOOKUP(C323,Tab_Def_Flows[Name(EN)],Tab_Def_Flows[Value_Source],,0,)</f>
        <v>0</v>
      </c>
      <c r="J323" s="61" t="str">
        <f>_xlfn.XLOOKUP(C323,Tab_Def_Flows[Name(EN)],Tab_Def_Flows[WC?],,0,)</f>
        <v>Yes</v>
      </c>
      <c r="K323" s="61" t="str">
        <f>_xlfn.XLOOKUP(C323,Tab_Def_Flows[Name(EN)],Tab_Def_Flows[DM?],,0,)</f>
        <v>Yes</v>
      </c>
      <c r="L323" s="61" t="str">
        <f>_xlfn.XLOOKUP(C323,Tab_Def_Flows[Name(EN)],Tab_Def_Flows[CC?],,0,)</f>
        <v>Yes</v>
      </c>
      <c r="M323" s="51"/>
      <c r="N323" s="51"/>
      <c r="O323" s="119"/>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e">
        <f>IF(J323="Yes",AA323*Tab_Data_Flows[[#This Row],[WC_'[%']]],"N.A.")</f>
        <v>#N/A</v>
      </c>
      <c r="AE323" s="61" t="str">
        <f>Tab_Data_Flows[[#This Row],[UoM_Flow_Py]]</f>
        <v>Mg</v>
      </c>
      <c r="AF323" s="111" t="e">
        <f>INDEX(Tab_Def_Flows[[Flow_ID]:[CC_DM_source]],MATCH(Tab_Data_Flows[[#This Row],[Name(EN)]],Tab_Def_Flows[Name(EN)],0),18)</f>
        <v>#N/A</v>
      </c>
      <c r="AG323" s="112" t="e">
        <f>IF(K323="Yes",AF323*Tab_Data_Flows[[#This Row],[Flow_Py]],"N.A.")</f>
        <v>#N/A</v>
      </c>
      <c r="AH323" s="61" t="str">
        <f>Tab_Data_Flows[[#This Row],[UoM_Flow_Py]]</f>
        <v>Mg</v>
      </c>
      <c r="AI323" s="111" t="e">
        <f>INDEX(Tab_Def_Flows[[Flow_ID]:[CC_DM_source]],MATCH(Tab_Data_Flows[[#This Row],[Name(EN)]],Tab_Def_Flows[Name(EN)],0),20)</f>
        <v>#N/A</v>
      </c>
      <c r="AJ323" s="109" t="e">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F_24_24</v>
      </c>
      <c r="C324" s="51"/>
      <c r="D324" s="49">
        <f>_xlfn.XLOOKUP(C324,Tab_Def_Flows[Name(EN)],Tab_Def_Flows[Type_Biomass],,0,)</f>
        <v>0</v>
      </c>
      <c r="E324" s="49">
        <f>_xlfn.XLOOKUP(C324,Tab_Def_Flows[Name(EN)],Tab_Def_Flows[Output_Process],,0,)</f>
        <v>0</v>
      </c>
      <c r="F324" s="49" t="str">
        <f>_xlfn.XLOOKUP(C324,Tab_Def_Flows[Name(EN)],Tab_Def_Flows[Process_ID_O],,0,)</f>
        <v>24__</v>
      </c>
      <c r="G324" s="49">
        <f>_xlfn.XLOOKUP(C324,Tab_Def_Flows[Name(EN)],Tab_Def_Flows[Input_Process],,0,)</f>
        <v>0</v>
      </c>
      <c r="H324" s="61" t="str">
        <f>_xlfn.XLOOKUP(C324,Tab_Def_Flows[Name(EN)],Tab_Def_Flows[Process_ID_I],,0,)</f>
        <v>24__</v>
      </c>
      <c r="I324" s="49">
        <f>_xlfn.XLOOKUP(C324,Tab_Def_Flows[Name(EN)],Tab_Def_Flows[Value_Source],,0,)</f>
        <v>0</v>
      </c>
      <c r="J324" s="61" t="str">
        <f>_xlfn.XLOOKUP(C324,Tab_Def_Flows[Name(EN)],Tab_Def_Flows[WC?],,0,)</f>
        <v>Yes</v>
      </c>
      <c r="K324" s="61" t="str">
        <f>_xlfn.XLOOKUP(C324,Tab_Def_Flows[Name(EN)],Tab_Def_Flows[DM?],,0,)</f>
        <v>Yes</v>
      </c>
      <c r="L324" s="61" t="str">
        <f>_xlfn.XLOOKUP(C324,Tab_Def_Flows[Name(EN)],Tab_Def_Flows[CC?],,0,)</f>
        <v>Yes</v>
      </c>
      <c r="M324" s="51"/>
      <c r="N324" s="51"/>
      <c r="O324" s="119"/>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e">
        <f>IF(J324="Yes",AA324*Tab_Data_Flows[[#This Row],[WC_'[%']]],"N.A.")</f>
        <v>#N/A</v>
      </c>
      <c r="AE324" s="61" t="str">
        <f>Tab_Data_Flows[[#This Row],[UoM_Flow_Py]]</f>
        <v>Mg</v>
      </c>
      <c r="AF324" s="111" t="e">
        <f>INDEX(Tab_Def_Flows[[Flow_ID]:[CC_DM_source]],MATCH(Tab_Data_Flows[[#This Row],[Name(EN)]],Tab_Def_Flows[Name(EN)],0),18)</f>
        <v>#N/A</v>
      </c>
      <c r="AG324" s="112" t="e">
        <f>IF(K324="Yes",AF324*Tab_Data_Flows[[#This Row],[Flow_Py]],"N.A.")</f>
        <v>#N/A</v>
      </c>
      <c r="AH324" s="61" t="str">
        <f>Tab_Data_Flows[[#This Row],[UoM_Flow_Py]]</f>
        <v>Mg</v>
      </c>
      <c r="AI324" s="111" t="e">
        <f>INDEX(Tab_Def_Flows[[Flow_ID]:[CC_DM_source]],MATCH(Tab_Data_Flows[[#This Row],[Name(EN)]],Tab_Def_Flows[Name(EN)],0),20)</f>
        <v>#N/A</v>
      </c>
      <c r="AJ324" s="109" t="e">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F_24_24</v>
      </c>
      <c r="C325" s="51"/>
      <c r="D325" s="49">
        <f>_xlfn.XLOOKUP(C325,Tab_Def_Flows[Name(EN)],Tab_Def_Flows[Type_Biomass],,0,)</f>
        <v>0</v>
      </c>
      <c r="E325" s="49">
        <f>_xlfn.XLOOKUP(C325,Tab_Def_Flows[Name(EN)],Tab_Def_Flows[Output_Process],,0,)</f>
        <v>0</v>
      </c>
      <c r="F325" s="49" t="str">
        <f>_xlfn.XLOOKUP(C325,Tab_Def_Flows[Name(EN)],Tab_Def_Flows[Process_ID_O],,0,)</f>
        <v>24__</v>
      </c>
      <c r="G325" s="49">
        <f>_xlfn.XLOOKUP(C325,Tab_Def_Flows[Name(EN)],Tab_Def_Flows[Input_Process],,0,)</f>
        <v>0</v>
      </c>
      <c r="H325" s="61" t="str">
        <f>_xlfn.XLOOKUP(C325,Tab_Def_Flows[Name(EN)],Tab_Def_Flows[Process_ID_I],,0,)</f>
        <v>24__</v>
      </c>
      <c r="I325" s="49">
        <f>_xlfn.XLOOKUP(C325,Tab_Def_Flows[Name(EN)],Tab_Def_Flows[Value_Source],,0,)</f>
        <v>0</v>
      </c>
      <c r="J325" s="61" t="str">
        <f>_xlfn.XLOOKUP(C325,Tab_Def_Flows[Name(EN)],Tab_Def_Flows[WC?],,0,)</f>
        <v>Yes</v>
      </c>
      <c r="K325" s="61" t="str">
        <f>_xlfn.XLOOKUP(C325,Tab_Def_Flows[Name(EN)],Tab_Def_Flows[DM?],,0,)</f>
        <v>Yes</v>
      </c>
      <c r="L325" s="61" t="str">
        <f>_xlfn.XLOOKUP(C325,Tab_Def_Flows[Name(EN)],Tab_Def_Flows[CC?],,0,)</f>
        <v>Yes</v>
      </c>
      <c r="M325" s="51"/>
      <c r="N325" s="51"/>
      <c r="O325" s="119"/>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e">
        <f>IF(J325="Yes",AA325*Tab_Data_Flows[[#This Row],[WC_'[%']]],"N.A.")</f>
        <v>#N/A</v>
      </c>
      <c r="AE325" s="61" t="str">
        <f>Tab_Data_Flows[[#This Row],[UoM_Flow_Py]]</f>
        <v>Mg</v>
      </c>
      <c r="AF325" s="111" t="e">
        <f>INDEX(Tab_Def_Flows[[Flow_ID]:[CC_DM_source]],MATCH(Tab_Data_Flows[[#This Row],[Name(EN)]],Tab_Def_Flows[Name(EN)],0),18)</f>
        <v>#N/A</v>
      </c>
      <c r="AG325" s="112" t="e">
        <f>IF(K325="Yes",AF325*Tab_Data_Flows[[#This Row],[Flow_Py]],"N.A.")</f>
        <v>#N/A</v>
      </c>
      <c r="AH325" s="61" t="str">
        <f>Tab_Data_Flows[[#This Row],[UoM_Flow_Py]]</f>
        <v>Mg</v>
      </c>
      <c r="AI325" s="111" t="e">
        <f>INDEX(Tab_Def_Flows[[Flow_ID]:[CC_DM_source]],MATCH(Tab_Data_Flows[[#This Row],[Name(EN)]],Tab_Def_Flows[Name(EN)],0),20)</f>
        <v>#N/A</v>
      </c>
      <c r="AJ325" s="109" t="e">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F_24_24</v>
      </c>
      <c r="C326" s="51"/>
      <c r="D326" s="49">
        <f>_xlfn.XLOOKUP(C326,Tab_Def_Flows[Name(EN)],Tab_Def_Flows[Type_Biomass],,0,)</f>
        <v>0</v>
      </c>
      <c r="E326" s="49">
        <f>_xlfn.XLOOKUP(C326,Tab_Def_Flows[Name(EN)],Tab_Def_Flows[Output_Process],,0,)</f>
        <v>0</v>
      </c>
      <c r="F326" s="49" t="str">
        <f>_xlfn.XLOOKUP(C326,Tab_Def_Flows[Name(EN)],Tab_Def_Flows[Process_ID_O],,0,)</f>
        <v>24__</v>
      </c>
      <c r="G326" s="49">
        <f>_xlfn.XLOOKUP(C326,Tab_Def_Flows[Name(EN)],Tab_Def_Flows[Input_Process],,0,)</f>
        <v>0</v>
      </c>
      <c r="H326" s="61" t="str">
        <f>_xlfn.XLOOKUP(C326,Tab_Def_Flows[Name(EN)],Tab_Def_Flows[Process_ID_I],,0,)</f>
        <v>24__</v>
      </c>
      <c r="I326" s="49">
        <f>_xlfn.XLOOKUP(C326,Tab_Def_Flows[Name(EN)],Tab_Def_Flows[Value_Source],,0,)</f>
        <v>0</v>
      </c>
      <c r="J326" s="61" t="str">
        <f>_xlfn.XLOOKUP(C326,Tab_Def_Flows[Name(EN)],Tab_Def_Flows[WC?],,0,)</f>
        <v>Yes</v>
      </c>
      <c r="K326" s="61" t="str">
        <f>_xlfn.XLOOKUP(C326,Tab_Def_Flows[Name(EN)],Tab_Def_Flows[DM?],,0,)</f>
        <v>Yes</v>
      </c>
      <c r="L326" s="61" t="str">
        <f>_xlfn.XLOOKUP(C326,Tab_Def_Flows[Name(EN)],Tab_Def_Flows[CC?],,0,)</f>
        <v>Yes</v>
      </c>
      <c r="M326" s="51"/>
      <c r="N326" s="51"/>
      <c r="O326" s="119"/>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e">
        <f>IF(J326="Yes",AA326*Tab_Data_Flows[[#This Row],[WC_'[%']]],"N.A.")</f>
        <v>#N/A</v>
      </c>
      <c r="AE326" s="61" t="str">
        <f>Tab_Data_Flows[[#This Row],[UoM_Flow_Py]]</f>
        <v>Mg</v>
      </c>
      <c r="AF326" s="111" t="e">
        <f>INDEX(Tab_Def_Flows[[Flow_ID]:[CC_DM_source]],MATCH(Tab_Data_Flows[[#This Row],[Name(EN)]],Tab_Def_Flows[Name(EN)],0),18)</f>
        <v>#N/A</v>
      </c>
      <c r="AG326" s="112" t="e">
        <f>IF(K326="Yes",AF326*Tab_Data_Flows[[#This Row],[Flow_Py]],"N.A.")</f>
        <v>#N/A</v>
      </c>
      <c r="AH326" s="61" t="str">
        <f>Tab_Data_Flows[[#This Row],[UoM_Flow_Py]]</f>
        <v>Mg</v>
      </c>
      <c r="AI326" s="111" t="e">
        <f>INDEX(Tab_Def_Flows[[Flow_ID]:[CC_DM_source]],MATCH(Tab_Data_Flows[[#This Row],[Name(EN)]],Tab_Def_Flows[Name(EN)],0),20)</f>
        <v>#N/A</v>
      </c>
      <c r="AJ326" s="109" t="e">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F_24_24</v>
      </c>
      <c r="C327" s="51"/>
      <c r="D327" s="49">
        <f>_xlfn.XLOOKUP(C327,Tab_Def_Flows[Name(EN)],Tab_Def_Flows[Type_Biomass],,0,)</f>
        <v>0</v>
      </c>
      <c r="E327" s="49">
        <f>_xlfn.XLOOKUP(C327,Tab_Def_Flows[Name(EN)],Tab_Def_Flows[Output_Process],,0,)</f>
        <v>0</v>
      </c>
      <c r="F327" s="49" t="str">
        <f>_xlfn.XLOOKUP(C327,Tab_Def_Flows[Name(EN)],Tab_Def_Flows[Process_ID_O],,0,)</f>
        <v>24__</v>
      </c>
      <c r="G327" s="49">
        <f>_xlfn.XLOOKUP(C327,Tab_Def_Flows[Name(EN)],Tab_Def_Flows[Input_Process],,0,)</f>
        <v>0</v>
      </c>
      <c r="H327" s="61" t="str">
        <f>_xlfn.XLOOKUP(C327,Tab_Def_Flows[Name(EN)],Tab_Def_Flows[Process_ID_I],,0,)</f>
        <v>24__</v>
      </c>
      <c r="I327" s="49">
        <f>_xlfn.XLOOKUP(C327,Tab_Def_Flows[Name(EN)],Tab_Def_Flows[Value_Source],,0,)</f>
        <v>0</v>
      </c>
      <c r="J327" s="61" t="str">
        <f>_xlfn.XLOOKUP(C327,Tab_Def_Flows[Name(EN)],Tab_Def_Flows[WC?],,0,)</f>
        <v>Yes</v>
      </c>
      <c r="K327" s="61" t="str">
        <f>_xlfn.XLOOKUP(C327,Tab_Def_Flows[Name(EN)],Tab_Def_Flows[DM?],,0,)</f>
        <v>Yes</v>
      </c>
      <c r="L327" s="61" t="str">
        <f>_xlfn.XLOOKUP(C327,Tab_Def_Flows[Name(EN)],Tab_Def_Flows[CC?],,0,)</f>
        <v>Yes</v>
      </c>
      <c r="M327" s="51"/>
      <c r="N327" s="51"/>
      <c r="O327" s="119"/>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e">
        <f>IF(J327="Yes",AA327*Tab_Data_Flows[[#This Row],[WC_'[%']]],"N.A.")</f>
        <v>#N/A</v>
      </c>
      <c r="AE327" s="61" t="str">
        <f>Tab_Data_Flows[[#This Row],[UoM_Flow_Py]]</f>
        <v>Mg</v>
      </c>
      <c r="AF327" s="111" t="e">
        <f>INDEX(Tab_Def_Flows[[Flow_ID]:[CC_DM_source]],MATCH(Tab_Data_Flows[[#This Row],[Name(EN)]],Tab_Def_Flows[Name(EN)],0),18)</f>
        <v>#N/A</v>
      </c>
      <c r="AG327" s="112" t="e">
        <f>IF(K327="Yes",AF327*Tab_Data_Flows[[#This Row],[Flow_Py]],"N.A.")</f>
        <v>#N/A</v>
      </c>
      <c r="AH327" s="61" t="str">
        <f>Tab_Data_Flows[[#This Row],[UoM_Flow_Py]]</f>
        <v>Mg</v>
      </c>
      <c r="AI327" s="111" t="e">
        <f>INDEX(Tab_Def_Flows[[Flow_ID]:[CC_DM_source]],MATCH(Tab_Data_Flows[[#This Row],[Name(EN)]],Tab_Def_Flows[Name(EN)],0),20)</f>
        <v>#N/A</v>
      </c>
      <c r="AJ327" s="109" t="e">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F_24_24</v>
      </c>
      <c r="C328" s="51"/>
      <c r="D328" s="49">
        <f>_xlfn.XLOOKUP(C328,Tab_Def_Flows[Name(EN)],Tab_Def_Flows[Type_Biomass],,0,)</f>
        <v>0</v>
      </c>
      <c r="E328" s="49">
        <f>_xlfn.XLOOKUP(C328,Tab_Def_Flows[Name(EN)],Tab_Def_Flows[Output_Process],,0,)</f>
        <v>0</v>
      </c>
      <c r="F328" s="49" t="str">
        <f>_xlfn.XLOOKUP(C328,Tab_Def_Flows[Name(EN)],Tab_Def_Flows[Process_ID_O],,0,)</f>
        <v>24__</v>
      </c>
      <c r="G328" s="49">
        <f>_xlfn.XLOOKUP(C328,Tab_Def_Flows[Name(EN)],Tab_Def_Flows[Input_Process],,0,)</f>
        <v>0</v>
      </c>
      <c r="H328" s="61" t="str">
        <f>_xlfn.XLOOKUP(C328,Tab_Def_Flows[Name(EN)],Tab_Def_Flows[Process_ID_I],,0,)</f>
        <v>24__</v>
      </c>
      <c r="I328" s="49">
        <f>_xlfn.XLOOKUP(C328,Tab_Def_Flows[Name(EN)],Tab_Def_Flows[Value_Source],,0,)</f>
        <v>0</v>
      </c>
      <c r="J328" s="61" t="str">
        <f>_xlfn.XLOOKUP(C328,Tab_Def_Flows[Name(EN)],Tab_Def_Flows[WC?],,0,)</f>
        <v>Yes</v>
      </c>
      <c r="K328" s="61" t="str">
        <f>_xlfn.XLOOKUP(C328,Tab_Def_Flows[Name(EN)],Tab_Def_Flows[DM?],,0,)</f>
        <v>Yes</v>
      </c>
      <c r="L328" s="61" t="str">
        <f>_xlfn.XLOOKUP(C328,Tab_Def_Flows[Name(EN)],Tab_Def_Flows[CC?],,0,)</f>
        <v>Yes</v>
      </c>
      <c r="M328" s="51"/>
      <c r="N328" s="51"/>
      <c r="O328" s="119"/>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e">
        <f>IF(J328="Yes",AA328*Tab_Data_Flows[[#This Row],[WC_'[%']]],"N.A.")</f>
        <v>#N/A</v>
      </c>
      <c r="AE328" s="61" t="str">
        <f>Tab_Data_Flows[[#This Row],[UoM_Flow_Py]]</f>
        <v>Mg</v>
      </c>
      <c r="AF328" s="111" t="e">
        <f>INDEX(Tab_Def_Flows[[Flow_ID]:[CC_DM_source]],MATCH(Tab_Data_Flows[[#This Row],[Name(EN)]],Tab_Def_Flows[Name(EN)],0),18)</f>
        <v>#N/A</v>
      </c>
      <c r="AG328" s="112" t="e">
        <f>IF(K328="Yes",AF328*Tab_Data_Flows[[#This Row],[Flow_Py]],"N.A.")</f>
        <v>#N/A</v>
      </c>
      <c r="AH328" s="61" t="str">
        <f>Tab_Data_Flows[[#This Row],[UoM_Flow_Py]]</f>
        <v>Mg</v>
      </c>
      <c r="AI328" s="111" t="e">
        <f>INDEX(Tab_Def_Flows[[Flow_ID]:[CC_DM_source]],MATCH(Tab_Data_Flows[[#This Row],[Name(EN)]],Tab_Def_Flows[Name(EN)],0),20)</f>
        <v>#N/A</v>
      </c>
      <c r="AJ328" s="109" t="e">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F_24_24</v>
      </c>
      <c r="C329" s="51"/>
      <c r="D329" s="49">
        <f>_xlfn.XLOOKUP(C329,Tab_Def_Flows[Name(EN)],Tab_Def_Flows[Type_Biomass],,0,)</f>
        <v>0</v>
      </c>
      <c r="E329" s="49">
        <f>_xlfn.XLOOKUP(C329,Tab_Def_Flows[Name(EN)],Tab_Def_Flows[Output_Process],,0,)</f>
        <v>0</v>
      </c>
      <c r="F329" s="49" t="str">
        <f>_xlfn.XLOOKUP(C329,Tab_Def_Flows[Name(EN)],Tab_Def_Flows[Process_ID_O],,0,)</f>
        <v>24__</v>
      </c>
      <c r="G329" s="49">
        <f>_xlfn.XLOOKUP(C329,Tab_Def_Flows[Name(EN)],Tab_Def_Flows[Input_Process],,0,)</f>
        <v>0</v>
      </c>
      <c r="H329" s="61" t="str">
        <f>_xlfn.XLOOKUP(C329,Tab_Def_Flows[Name(EN)],Tab_Def_Flows[Process_ID_I],,0,)</f>
        <v>24__</v>
      </c>
      <c r="I329" s="49">
        <f>_xlfn.XLOOKUP(C329,Tab_Def_Flows[Name(EN)],Tab_Def_Flows[Value_Source],,0,)</f>
        <v>0</v>
      </c>
      <c r="J329" s="61" t="str">
        <f>_xlfn.XLOOKUP(C329,Tab_Def_Flows[Name(EN)],Tab_Def_Flows[WC?],,0,)</f>
        <v>Yes</v>
      </c>
      <c r="K329" s="61" t="str">
        <f>_xlfn.XLOOKUP(C329,Tab_Def_Flows[Name(EN)],Tab_Def_Flows[DM?],,0,)</f>
        <v>Yes</v>
      </c>
      <c r="L329" s="61" t="str">
        <f>_xlfn.XLOOKUP(C329,Tab_Def_Flows[Name(EN)],Tab_Def_Flows[CC?],,0,)</f>
        <v>Yes</v>
      </c>
      <c r="M329" s="51"/>
      <c r="N329" s="51"/>
      <c r="O329" s="119"/>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e">
        <f>IF(J329="Yes",AA329*Tab_Data_Flows[[#This Row],[WC_'[%']]],"N.A.")</f>
        <v>#N/A</v>
      </c>
      <c r="AE329" s="61" t="str">
        <f>Tab_Data_Flows[[#This Row],[UoM_Flow_Py]]</f>
        <v>Mg</v>
      </c>
      <c r="AF329" s="111" t="e">
        <f>INDEX(Tab_Def_Flows[[Flow_ID]:[CC_DM_source]],MATCH(Tab_Data_Flows[[#This Row],[Name(EN)]],Tab_Def_Flows[Name(EN)],0),18)</f>
        <v>#N/A</v>
      </c>
      <c r="AG329" s="112" t="e">
        <f>IF(K329="Yes",AF329*Tab_Data_Flows[[#This Row],[Flow_Py]],"N.A.")</f>
        <v>#N/A</v>
      </c>
      <c r="AH329" s="61" t="str">
        <f>Tab_Data_Flows[[#This Row],[UoM_Flow_Py]]</f>
        <v>Mg</v>
      </c>
      <c r="AI329" s="111" t="e">
        <f>INDEX(Tab_Def_Flows[[Flow_ID]:[CC_DM_source]],MATCH(Tab_Data_Flows[[#This Row],[Name(EN)]],Tab_Def_Flows[Name(EN)],0),20)</f>
        <v>#N/A</v>
      </c>
      <c r="AJ329" s="109" t="e">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F_24_24</v>
      </c>
      <c r="C330" s="51"/>
      <c r="D330" s="49">
        <f>_xlfn.XLOOKUP(C330,Tab_Def_Flows[Name(EN)],Tab_Def_Flows[Type_Biomass],,0,)</f>
        <v>0</v>
      </c>
      <c r="E330" s="49">
        <f>_xlfn.XLOOKUP(C330,Tab_Def_Flows[Name(EN)],Tab_Def_Flows[Output_Process],,0,)</f>
        <v>0</v>
      </c>
      <c r="F330" s="49" t="str">
        <f>_xlfn.XLOOKUP(C330,Tab_Def_Flows[Name(EN)],Tab_Def_Flows[Process_ID_O],,0,)</f>
        <v>24__</v>
      </c>
      <c r="G330" s="49">
        <f>_xlfn.XLOOKUP(C330,Tab_Def_Flows[Name(EN)],Tab_Def_Flows[Input_Process],,0,)</f>
        <v>0</v>
      </c>
      <c r="H330" s="61" t="str">
        <f>_xlfn.XLOOKUP(C330,Tab_Def_Flows[Name(EN)],Tab_Def_Flows[Process_ID_I],,0,)</f>
        <v>24__</v>
      </c>
      <c r="I330" s="49">
        <f>_xlfn.XLOOKUP(C330,Tab_Def_Flows[Name(EN)],Tab_Def_Flows[Value_Source],,0,)</f>
        <v>0</v>
      </c>
      <c r="J330" s="61" t="str">
        <f>_xlfn.XLOOKUP(C330,Tab_Def_Flows[Name(EN)],Tab_Def_Flows[WC?],,0,)</f>
        <v>Yes</v>
      </c>
      <c r="K330" s="61" t="str">
        <f>_xlfn.XLOOKUP(C330,Tab_Def_Flows[Name(EN)],Tab_Def_Flows[DM?],,0,)</f>
        <v>Yes</v>
      </c>
      <c r="L330" s="61" t="str">
        <f>_xlfn.XLOOKUP(C330,Tab_Def_Flows[Name(EN)],Tab_Def_Flows[CC?],,0,)</f>
        <v>Yes</v>
      </c>
      <c r="M330" s="51"/>
      <c r="N330" s="51"/>
      <c r="O330" s="119"/>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e">
        <f>IF(J330="Yes",AA330*Tab_Data_Flows[[#This Row],[WC_'[%']]],"N.A.")</f>
        <v>#N/A</v>
      </c>
      <c r="AE330" s="61" t="str">
        <f>Tab_Data_Flows[[#This Row],[UoM_Flow_Py]]</f>
        <v>Mg</v>
      </c>
      <c r="AF330" s="111" t="e">
        <f>INDEX(Tab_Def_Flows[[Flow_ID]:[CC_DM_source]],MATCH(Tab_Data_Flows[[#This Row],[Name(EN)]],Tab_Def_Flows[Name(EN)],0),18)</f>
        <v>#N/A</v>
      </c>
      <c r="AG330" s="112" t="e">
        <f>IF(K330="Yes",AF330*Tab_Data_Flows[[#This Row],[Flow_Py]],"N.A.")</f>
        <v>#N/A</v>
      </c>
      <c r="AH330" s="61" t="str">
        <f>Tab_Data_Flows[[#This Row],[UoM_Flow_Py]]</f>
        <v>Mg</v>
      </c>
      <c r="AI330" s="111" t="e">
        <f>INDEX(Tab_Def_Flows[[Flow_ID]:[CC_DM_source]],MATCH(Tab_Data_Flows[[#This Row],[Name(EN)]],Tab_Def_Flows[Name(EN)],0),20)</f>
        <v>#N/A</v>
      </c>
      <c r="AJ330" s="109" t="e">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F_24_24</v>
      </c>
      <c r="C331" s="51"/>
      <c r="D331" s="49">
        <f>_xlfn.XLOOKUP(C331,Tab_Def_Flows[Name(EN)],Tab_Def_Flows[Type_Biomass],,0,)</f>
        <v>0</v>
      </c>
      <c r="E331" s="49">
        <f>_xlfn.XLOOKUP(C331,Tab_Def_Flows[Name(EN)],Tab_Def_Flows[Output_Process],,0,)</f>
        <v>0</v>
      </c>
      <c r="F331" s="49" t="str">
        <f>_xlfn.XLOOKUP(C331,Tab_Def_Flows[Name(EN)],Tab_Def_Flows[Process_ID_O],,0,)</f>
        <v>24__</v>
      </c>
      <c r="G331" s="49">
        <f>_xlfn.XLOOKUP(C331,Tab_Def_Flows[Name(EN)],Tab_Def_Flows[Input_Process],,0,)</f>
        <v>0</v>
      </c>
      <c r="H331" s="61" t="str">
        <f>_xlfn.XLOOKUP(C331,Tab_Def_Flows[Name(EN)],Tab_Def_Flows[Process_ID_I],,0,)</f>
        <v>24__</v>
      </c>
      <c r="I331" s="49">
        <f>_xlfn.XLOOKUP(C331,Tab_Def_Flows[Name(EN)],Tab_Def_Flows[Value_Source],,0,)</f>
        <v>0</v>
      </c>
      <c r="J331" s="61" t="str">
        <f>_xlfn.XLOOKUP(C331,Tab_Def_Flows[Name(EN)],Tab_Def_Flows[WC?],,0,)</f>
        <v>Yes</v>
      </c>
      <c r="K331" s="61" t="str">
        <f>_xlfn.XLOOKUP(C331,Tab_Def_Flows[Name(EN)],Tab_Def_Flows[DM?],,0,)</f>
        <v>Yes</v>
      </c>
      <c r="L331" s="61" t="str">
        <f>_xlfn.XLOOKUP(C331,Tab_Def_Flows[Name(EN)],Tab_Def_Flows[CC?],,0,)</f>
        <v>Yes</v>
      </c>
      <c r="M331" s="51"/>
      <c r="N331" s="51"/>
      <c r="O331" s="119"/>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e">
        <f>IF(J331="Yes",AA331*Tab_Data_Flows[[#This Row],[WC_'[%']]],"N.A.")</f>
        <v>#N/A</v>
      </c>
      <c r="AE331" s="61" t="str">
        <f>Tab_Data_Flows[[#This Row],[UoM_Flow_Py]]</f>
        <v>Mg</v>
      </c>
      <c r="AF331" s="111" t="e">
        <f>INDEX(Tab_Def_Flows[[Flow_ID]:[CC_DM_source]],MATCH(Tab_Data_Flows[[#This Row],[Name(EN)]],Tab_Def_Flows[Name(EN)],0),18)</f>
        <v>#N/A</v>
      </c>
      <c r="AG331" s="112" t="e">
        <f>IF(K331="Yes",AF331*Tab_Data_Flows[[#This Row],[Flow_Py]],"N.A.")</f>
        <v>#N/A</v>
      </c>
      <c r="AH331" s="61" t="str">
        <f>Tab_Data_Flows[[#This Row],[UoM_Flow_Py]]</f>
        <v>Mg</v>
      </c>
      <c r="AI331" s="111" t="e">
        <f>INDEX(Tab_Def_Flows[[Flow_ID]:[CC_DM_source]],MATCH(Tab_Data_Flows[[#This Row],[Name(EN)]],Tab_Def_Flows[Name(EN)],0),20)</f>
        <v>#N/A</v>
      </c>
      <c r="AJ331" s="109" t="e">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F_24_24</v>
      </c>
      <c r="C332" s="51"/>
      <c r="D332" s="49">
        <f>_xlfn.XLOOKUP(C332,Tab_Def_Flows[Name(EN)],Tab_Def_Flows[Type_Biomass],,0,)</f>
        <v>0</v>
      </c>
      <c r="E332" s="49">
        <f>_xlfn.XLOOKUP(C332,Tab_Def_Flows[Name(EN)],Tab_Def_Flows[Output_Process],,0,)</f>
        <v>0</v>
      </c>
      <c r="F332" s="49" t="str">
        <f>_xlfn.XLOOKUP(C332,Tab_Def_Flows[Name(EN)],Tab_Def_Flows[Process_ID_O],,0,)</f>
        <v>24__</v>
      </c>
      <c r="G332" s="49">
        <f>_xlfn.XLOOKUP(C332,Tab_Def_Flows[Name(EN)],Tab_Def_Flows[Input_Process],,0,)</f>
        <v>0</v>
      </c>
      <c r="H332" s="61" t="str">
        <f>_xlfn.XLOOKUP(C332,Tab_Def_Flows[Name(EN)],Tab_Def_Flows[Process_ID_I],,0,)</f>
        <v>24__</v>
      </c>
      <c r="I332" s="49">
        <f>_xlfn.XLOOKUP(C332,Tab_Def_Flows[Name(EN)],Tab_Def_Flows[Value_Source],,0,)</f>
        <v>0</v>
      </c>
      <c r="J332" s="61" t="str">
        <f>_xlfn.XLOOKUP(C332,Tab_Def_Flows[Name(EN)],Tab_Def_Flows[WC?],,0,)</f>
        <v>Yes</v>
      </c>
      <c r="K332" s="61" t="str">
        <f>_xlfn.XLOOKUP(C332,Tab_Def_Flows[Name(EN)],Tab_Def_Flows[DM?],,0,)</f>
        <v>Yes</v>
      </c>
      <c r="L332" s="61" t="str">
        <f>_xlfn.XLOOKUP(C332,Tab_Def_Flows[Name(EN)],Tab_Def_Flows[CC?],,0,)</f>
        <v>Yes</v>
      </c>
      <c r="M332" s="51"/>
      <c r="N332" s="51"/>
      <c r="O332" s="119"/>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e">
        <f>IF(J332="Yes",AA332*Tab_Data_Flows[[#This Row],[WC_'[%']]],"N.A.")</f>
        <v>#N/A</v>
      </c>
      <c r="AE332" s="61" t="str">
        <f>Tab_Data_Flows[[#This Row],[UoM_Flow_Py]]</f>
        <v>Mg</v>
      </c>
      <c r="AF332" s="111" t="e">
        <f>INDEX(Tab_Def_Flows[[Flow_ID]:[CC_DM_source]],MATCH(Tab_Data_Flows[[#This Row],[Name(EN)]],Tab_Def_Flows[Name(EN)],0),18)</f>
        <v>#N/A</v>
      </c>
      <c r="AG332" s="112" t="e">
        <f>IF(K332="Yes",AF332*Tab_Data_Flows[[#This Row],[Flow_Py]],"N.A.")</f>
        <v>#N/A</v>
      </c>
      <c r="AH332" s="61" t="str">
        <f>Tab_Data_Flows[[#This Row],[UoM_Flow_Py]]</f>
        <v>Mg</v>
      </c>
      <c r="AI332" s="111" t="e">
        <f>INDEX(Tab_Def_Flows[[Flow_ID]:[CC_DM_source]],MATCH(Tab_Data_Flows[[#This Row],[Name(EN)]],Tab_Def_Flows[Name(EN)],0),20)</f>
        <v>#N/A</v>
      </c>
      <c r="AJ332" s="109" t="e">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F_24_24</v>
      </c>
      <c r="C333" s="51"/>
      <c r="D333" s="49">
        <f>_xlfn.XLOOKUP(C333,Tab_Def_Flows[Name(EN)],Tab_Def_Flows[Type_Biomass],,0,)</f>
        <v>0</v>
      </c>
      <c r="E333" s="49">
        <f>_xlfn.XLOOKUP(C333,Tab_Def_Flows[Name(EN)],Tab_Def_Flows[Output_Process],,0,)</f>
        <v>0</v>
      </c>
      <c r="F333" s="49" t="str">
        <f>_xlfn.XLOOKUP(C333,Tab_Def_Flows[Name(EN)],Tab_Def_Flows[Process_ID_O],,0,)</f>
        <v>24__</v>
      </c>
      <c r="G333" s="49">
        <f>_xlfn.XLOOKUP(C333,Tab_Def_Flows[Name(EN)],Tab_Def_Flows[Input_Process],,0,)</f>
        <v>0</v>
      </c>
      <c r="H333" s="61" t="str">
        <f>_xlfn.XLOOKUP(C333,Tab_Def_Flows[Name(EN)],Tab_Def_Flows[Process_ID_I],,0,)</f>
        <v>24__</v>
      </c>
      <c r="I333" s="49">
        <f>_xlfn.XLOOKUP(C333,Tab_Def_Flows[Name(EN)],Tab_Def_Flows[Value_Source],,0,)</f>
        <v>0</v>
      </c>
      <c r="J333" s="61" t="str">
        <f>_xlfn.XLOOKUP(C333,Tab_Def_Flows[Name(EN)],Tab_Def_Flows[WC?],,0,)</f>
        <v>Yes</v>
      </c>
      <c r="K333" s="61" t="str">
        <f>_xlfn.XLOOKUP(C333,Tab_Def_Flows[Name(EN)],Tab_Def_Flows[DM?],,0,)</f>
        <v>Yes</v>
      </c>
      <c r="L333" s="61" t="str">
        <f>_xlfn.XLOOKUP(C333,Tab_Def_Flows[Name(EN)],Tab_Def_Flows[CC?],,0,)</f>
        <v>Yes</v>
      </c>
      <c r="M333" s="51"/>
      <c r="N333" s="51"/>
      <c r="O333" s="119"/>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e">
        <f>IF(J333="Yes",AA333*Tab_Data_Flows[[#This Row],[WC_'[%']]],"N.A.")</f>
        <v>#N/A</v>
      </c>
      <c r="AE333" s="61" t="str">
        <f>Tab_Data_Flows[[#This Row],[UoM_Flow_Py]]</f>
        <v>Mg</v>
      </c>
      <c r="AF333" s="111" t="e">
        <f>INDEX(Tab_Def_Flows[[Flow_ID]:[CC_DM_source]],MATCH(Tab_Data_Flows[[#This Row],[Name(EN)]],Tab_Def_Flows[Name(EN)],0),18)</f>
        <v>#N/A</v>
      </c>
      <c r="AG333" s="112" t="e">
        <f>IF(K333="Yes",AF333*Tab_Data_Flows[[#This Row],[Flow_Py]],"N.A.")</f>
        <v>#N/A</v>
      </c>
      <c r="AH333" s="61" t="str">
        <f>Tab_Data_Flows[[#This Row],[UoM_Flow_Py]]</f>
        <v>Mg</v>
      </c>
      <c r="AI333" s="111" t="e">
        <f>INDEX(Tab_Def_Flows[[Flow_ID]:[CC_DM_source]],MATCH(Tab_Data_Flows[[#This Row],[Name(EN)]],Tab_Def_Flows[Name(EN)],0),20)</f>
        <v>#N/A</v>
      </c>
      <c r="AJ333" s="109" t="e">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F_24_24</v>
      </c>
      <c r="C334" s="51"/>
      <c r="D334" s="49">
        <f>_xlfn.XLOOKUP(C334,Tab_Def_Flows[Name(EN)],Tab_Def_Flows[Type_Biomass],,0,)</f>
        <v>0</v>
      </c>
      <c r="E334" s="49">
        <f>_xlfn.XLOOKUP(C334,Tab_Def_Flows[Name(EN)],Tab_Def_Flows[Output_Process],,0,)</f>
        <v>0</v>
      </c>
      <c r="F334" s="49" t="str">
        <f>_xlfn.XLOOKUP(C334,Tab_Def_Flows[Name(EN)],Tab_Def_Flows[Process_ID_O],,0,)</f>
        <v>24__</v>
      </c>
      <c r="G334" s="49">
        <f>_xlfn.XLOOKUP(C334,Tab_Def_Flows[Name(EN)],Tab_Def_Flows[Input_Process],,0,)</f>
        <v>0</v>
      </c>
      <c r="H334" s="61" t="str">
        <f>_xlfn.XLOOKUP(C334,Tab_Def_Flows[Name(EN)],Tab_Def_Flows[Process_ID_I],,0,)</f>
        <v>24__</v>
      </c>
      <c r="I334" s="49">
        <f>_xlfn.XLOOKUP(C334,Tab_Def_Flows[Name(EN)],Tab_Def_Flows[Value_Source],,0,)</f>
        <v>0</v>
      </c>
      <c r="J334" s="61" t="str">
        <f>_xlfn.XLOOKUP(C334,Tab_Def_Flows[Name(EN)],Tab_Def_Flows[WC?],,0,)</f>
        <v>Yes</v>
      </c>
      <c r="K334" s="61" t="str">
        <f>_xlfn.XLOOKUP(C334,Tab_Def_Flows[Name(EN)],Tab_Def_Flows[DM?],,0,)</f>
        <v>Yes</v>
      </c>
      <c r="L334" s="61" t="str">
        <f>_xlfn.XLOOKUP(C334,Tab_Def_Flows[Name(EN)],Tab_Def_Flows[CC?],,0,)</f>
        <v>Yes</v>
      </c>
      <c r="M334" s="51"/>
      <c r="N334" s="51"/>
      <c r="O334" s="119"/>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e">
        <f>IF(J334="Yes",AA334*Tab_Data_Flows[[#This Row],[WC_'[%']]],"N.A.")</f>
        <v>#N/A</v>
      </c>
      <c r="AE334" s="61" t="str">
        <f>Tab_Data_Flows[[#This Row],[UoM_Flow_Py]]</f>
        <v>Mg</v>
      </c>
      <c r="AF334" s="111" t="e">
        <f>INDEX(Tab_Def_Flows[[Flow_ID]:[CC_DM_source]],MATCH(Tab_Data_Flows[[#This Row],[Name(EN)]],Tab_Def_Flows[Name(EN)],0),18)</f>
        <v>#N/A</v>
      </c>
      <c r="AG334" s="112" t="e">
        <f>IF(K334="Yes",AF334*Tab_Data_Flows[[#This Row],[Flow_Py]],"N.A.")</f>
        <v>#N/A</v>
      </c>
      <c r="AH334" s="61" t="str">
        <f>Tab_Data_Flows[[#This Row],[UoM_Flow_Py]]</f>
        <v>Mg</v>
      </c>
      <c r="AI334" s="111" t="e">
        <f>INDEX(Tab_Def_Flows[[Flow_ID]:[CC_DM_source]],MATCH(Tab_Data_Flows[[#This Row],[Name(EN)]],Tab_Def_Flows[Name(EN)],0),20)</f>
        <v>#N/A</v>
      </c>
      <c r="AJ334" s="109" t="e">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F_24_24</v>
      </c>
      <c r="C335" s="51"/>
      <c r="D335" s="49">
        <f>_xlfn.XLOOKUP(C335,Tab_Def_Flows[Name(EN)],Tab_Def_Flows[Type_Biomass],,0,)</f>
        <v>0</v>
      </c>
      <c r="E335" s="49">
        <f>_xlfn.XLOOKUP(C335,Tab_Def_Flows[Name(EN)],Tab_Def_Flows[Output_Process],,0,)</f>
        <v>0</v>
      </c>
      <c r="F335" s="49" t="str">
        <f>_xlfn.XLOOKUP(C335,Tab_Def_Flows[Name(EN)],Tab_Def_Flows[Process_ID_O],,0,)</f>
        <v>24__</v>
      </c>
      <c r="G335" s="49">
        <f>_xlfn.XLOOKUP(C335,Tab_Def_Flows[Name(EN)],Tab_Def_Flows[Input_Process],,0,)</f>
        <v>0</v>
      </c>
      <c r="H335" s="61" t="str">
        <f>_xlfn.XLOOKUP(C335,Tab_Def_Flows[Name(EN)],Tab_Def_Flows[Process_ID_I],,0,)</f>
        <v>24__</v>
      </c>
      <c r="I335" s="49">
        <f>_xlfn.XLOOKUP(C335,Tab_Def_Flows[Name(EN)],Tab_Def_Flows[Value_Source],,0,)</f>
        <v>0</v>
      </c>
      <c r="J335" s="61" t="str">
        <f>_xlfn.XLOOKUP(C335,Tab_Def_Flows[Name(EN)],Tab_Def_Flows[WC?],,0,)</f>
        <v>Yes</v>
      </c>
      <c r="K335" s="61" t="str">
        <f>_xlfn.XLOOKUP(C335,Tab_Def_Flows[Name(EN)],Tab_Def_Flows[DM?],,0,)</f>
        <v>Yes</v>
      </c>
      <c r="L335" s="61" t="str">
        <f>_xlfn.XLOOKUP(C335,Tab_Def_Flows[Name(EN)],Tab_Def_Flows[CC?],,0,)</f>
        <v>Yes</v>
      </c>
      <c r="M335" s="51"/>
      <c r="N335" s="51"/>
      <c r="O335" s="119"/>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e">
        <f>IF(J335="Yes",AA335*Tab_Data_Flows[[#This Row],[WC_'[%']]],"N.A.")</f>
        <v>#N/A</v>
      </c>
      <c r="AE335" s="61" t="str">
        <f>Tab_Data_Flows[[#This Row],[UoM_Flow_Py]]</f>
        <v>Mg</v>
      </c>
      <c r="AF335" s="111" t="e">
        <f>INDEX(Tab_Def_Flows[[Flow_ID]:[CC_DM_source]],MATCH(Tab_Data_Flows[[#This Row],[Name(EN)]],Tab_Def_Flows[Name(EN)],0),18)</f>
        <v>#N/A</v>
      </c>
      <c r="AG335" s="112" t="e">
        <f>IF(K335="Yes",AF335*Tab_Data_Flows[[#This Row],[Flow_Py]],"N.A.")</f>
        <v>#N/A</v>
      </c>
      <c r="AH335" s="61" t="str">
        <f>Tab_Data_Flows[[#This Row],[UoM_Flow_Py]]</f>
        <v>Mg</v>
      </c>
      <c r="AI335" s="111" t="e">
        <f>INDEX(Tab_Def_Flows[[Flow_ID]:[CC_DM_source]],MATCH(Tab_Data_Flows[[#This Row],[Name(EN)]],Tab_Def_Flows[Name(EN)],0),20)</f>
        <v>#N/A</v>
      </c>
      <c r="AJ335" s="109" t="e">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F_24_24</v>
      </c>
      <c r="C336" s="51"/>
      <c r="D336" s="49">
        <f>_xlfn.XLOOKUP(C336,Tab_Def_Flows[Name(EN)],Tab_Def_Flows[Type_Biomass],,0,)</f>
        <v>0</v>
      </c>
      <c r="E336" s="49">
        <f>_xlfn.XLOOKUP(C336,Tab_Def_Flows[Name(EN)],Tab_Def_Flows[Output_Process],,0,)</f>
        <v>0</v>
      </c>
      <c r="F336" s="49" t="str">
        <f>_xlfn.XLOOKUP(C336,Tab_Def_Flows[Name(EN)],Tab_Def_Flows[Process_ID_O],,0,)</f>
        <v>24__</v>
      </c>
      <c r="G336" s="49">
        <f>_xlfn.XLOOKUP(C336,Tab_Def_Flows[Name(EN)],Tab_Def_Flows[Input_Process],,0,)</f>
        <v>0</v>
      </c>
      <c r="H336" s="61" t="str">
        <f>_xlfn.XLOOKUP(C336,Tab_Def_Flows[Name(EN)],Tab_Def_Flows[Process_ID_I],,0,)</f>
        <v>24__</v>
      </c>
      <c r="I336" s="49">
        <f>_xlfn.XLOOKUP(C336,Tab_Def_Flows[Name(EN)],Tab_Def_Flows[Value_Source],,0,)</f>
        <v>0</v>
      </c>
      <c r="J336" s="61" t="str">
        <f>_xlfn.XLOOKUP(C336,Tab_Def_Flows[Name(EN)],Tab_Def_Flows[WC?],,0,)</f>
        <v>Yes</v>
      </c>
      <c r="K336" s="61" t="str">
        <f>_xlfn.XLOOKUP(C336,Tab_Def_Flows[Name(EN)],Tab_Def_Flows[DM?],,0,)</f>
        <v>Yes</v>
      </c>
      <c r="L336" s="61" t="str">
        <f>_xlfn.XLOOKUP(C336,Tab_Def_Flows[Name(EN)],Tab_Def_Flows[CC?],,0,)</f>
        <v>Yes</v>
      </c>
      <c r="M336" s="51"/>
      <c r="N336" s="51"/>
      <c r="O336" s="119"/>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e">
        <f>IF(J336="Yes",AA336*Tab_Data_Flows[[#This Row],[WC_'[%']]],"N.A.")</f>
        <v>#N/A</v>
      </c>
      <c r="AE336" s="61" t="str">
        <f>Tab_Data_Flows[[#This Row],[UoM_Flow_Py]]</f>
        <v>Mg</v>
      </c>
      <c r="AF336" s="111" t="e">
        <f>INDEX(Tab_Def_Flows[[Flow_ID]:[CC_DM_source]],MATCH(Tab_Data_Flows[[#This Row],[Name(EN)]],Tab_Def_Flows[Name(EN)],0),18)</f>
        <v>#N/A</v>
      </c>
      <c r="AG336" s="112" t="e">
        <f>IF(K336="Yes",AF336*Tab_Data_Flows[[#This Row],[Flow_Py]],"N.A.")</f>
        <v>#N/A</v>
      </c>
      <c r="AH336" s="61" t="str">
        <f>Tab_Data_Flows[[#This Row],[UoM_Flow_Py]]</f>
        <v>Mg</v>
      </c>
      <c r="AI336" s="111" t="e">
        <f>INDEX(Tab_Def_Flows[[Flow_ID]:[CC_DM_source]],MATCH(Tab_Data_Flows[[#This Row],[Name(EN)]],Tab_Def_Flows[Name(EN)],0),20)</f>
        <v>#N/A</v>
      </c>
      <c r="AJ336" s="109" t="e">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F_24_24</v>
      </c>
      <c r="C337" s="51"/>
      <c r="D337" s="49">
        <f>_xlfn.XLOOKUP(C337,Tab_Def_Flows[Name(EN)],Tab_Def_Flows[Type_Biomass],,0,)</f>
        <v>0</v>
      </c>
      <c r="E337" s="49">
        <f>_xlfn.XLOOKUP(C337,Tab_Def_Flows[Name(EN)],Tab_Def_Flows[Output_Process],,0,)</f>
        <v>0</v>
      </c>
      <c r="F337" s="49" t="str">
        <f>_xlfn.XLOOKUP(C337,Tab_Def_Flows[Name(EN)],Tab_Def_Flows[Process_ID_O],,0,)</f>
        <v>24__</v>
      </c>
      <c r="G337" s="49">
        <f>_xlfn.XLOOKUP(C337,Tab_Def_Flows[Name(EN)],Tab_Def_Flows[Input_Process],,0,)</f>
        <v>0</v>
      </c>
      <c r="H337" s="61" t="str">
        <f>_xlfn.XLOOKUP(C337,Tab_Def_Flows[Name(EN)],Tab_Def_Flows[Process_ID_I],,0,)</f>
        <v>24__</v>
      </c>
      <c r="I337" s="49">
        <f>_xlfn.XLOOKUP(C337,Tab_Def_Flows[Name(EN)],Tab_Def_Flows[Value_Source],,0,)</f>
        <v>0</v>
      </c>
      <c r="J337" s="61" t="str">
        <f>_xlfn.XLOOKUP(C337,Tab_Def_Flows[Name(EN)],Tab_Def_Flows[WC?],,0,)</f>
        <v>Yes</v>
      </c>
      <c r="K337" s="61" t="str">
        <f>_xlfn.XLOOKUP(C337,Tab_Def_Flows[Name(EN)],Tab_Def_Flows[DM?],,0,)</f>
        <v>Yes</v>
      </c>
      <c r="L337" s="61" t="str">
        <f>_xlfn.XLOOKUP(C337,Tab_Def_Flows[Name(EN)],Tab_Def_Flows[CC?],,0,)</f>
        <v>Yes</v>
      </c>
      <c r="M337" s="51"/>
      <c r="N337" s="51"/>
      <c r="O337" s="119"/>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e">
        <f>IF(J337="Yes",AA337*Tab_Data_Flows[[#This Row],[WC_'[%']]],"N.A.")</f>
        <v>#N/A</v>
      </c>
      <c r="AE337" s="61" t="str">
        <f>Tab_Data_Flows[[#This Row],[UoM_Flow_Py]]</f>
        <v>Mg</v>
      </c>
      <c r="AF337" s="111" t="e">
        <f>INDEX(Tab_Def_Flows[[Flow_ID]:[CC_DM_source]],MATCH(Tab_Data_Flows[[#This Row],[Name(EN)]],Tab_Def_Flows[Name(EN)],0),18)</f>
        <v>#N/A</v>
      </c>
      <c r="AG337" s="112" t="e">
        <f>IF(K337="Yes",AF337*Tab_Data_Flows[[#This Row],[Flow_Py]],"N.A.")</f>
        <v>#N/A</v>
      </c>
      <c r="AH337" s="61" t="str">
        <f>Tab_Data_Flows[[#This Row],[UoM_Flow_Py]]</f>
        <v>Mg</v>
      </c>
      <c r="AI337" s="111" t="e">
        <f>INDEX(Tab_Def_Flows[[Flow_ID]:[CC_DM_source]],MATCH(Tab_Data_Flows[[#This Row],[Name(EN)]],Tab_Def_Flows[Name(EN)],0),20)</f>
        <v>#N/A</v>
      </c>
      <c r="AJ337" s="109" t="e">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F_24_24</v>
      </c>
      <c r="C338" s="51"/>
      <c r="D338" s="49">
        <f>_xlfn.XLOOKUP(C338,Tab_Def_Flows[Name(EN)],Tab_Def_Flows[Type_Biomass],,0,)</f>
        <v>0</v>
      </c>
      <c r="E338" s="49">
        <f>_xlfn.XLOOKUP(C338,Tab_Def_Flows[Name(EN)],Tab_Def_Flows[Output_Process],,0,)</f>
        <v>0</v>
      </c>
      <c r="F338" s="49" t="str">
        <f>_xlfn.XLOOKUP(C338,Tab_Def_Flows[Name(EN)],Tab_Def_Flows[Process_ID_O],,0,)</f>
        <v>24__</v>
      </c>
      <c r="G338" s="49">
        <f>_xlfn.XLOOKUP(C338,Tab_Def_Flows[Name(EN)],Tab_Def_Flows[Input_Process],,0,)</f>
        <v>0</v>
      </c>
      <c r="H338" s="61" t="str">
        <f>_xlfn.XLOOKUP(C338,Tab_Def_Flows[Name(EN)],Tab_Def_Flows[Process_ID_I],,0,)</f>
        <v>24__</v>
      </c>
      <c r="I338" s="49">
        <f>_xlfn.XLOOKUP(C338,Tab_Def_Flows[Name(EN)],Tab_Def_Flows[Value_Source],,0,)</f>
        <v>0</v>
      </c>
      <c r="J338" s="61" t="str">
        <f>_xlfn.XLOOKUP(C338,Tab_Def_Flows[Name(EN)],Tab_Def_Flows[WC?],,0,)</f>
        <v>Yes</v>
      </c>
      <c r="K338" s="61" t="str">
        <f>_xlfn.XLOOKUP(C338,Tab_Def_Flows[Name(EN)],Tab_Def_Flows[DM?],,0,)</f>
        <v>Yes</v>
      </c>
      <c r="L338" s="61" t="str">
        <f>_xlfn.XLOOKUP(C338,Tab_Def_Flows[Name(EN)],Tab_Def_Flows[CC?],,0,)</f>
        <v>Yes</v>
      </c>
      <c r="M338" s="51"/>
      <c r="N338" s="51"/>
      <c r="O338" s="119"/>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e">
        <f>IF(J338="Yes",AA338*Tab_Data_Flows[[#This Row],[WC_'[%']]],"N.A.")</f>
        <v>#N/A</v>
      </c>
      <c r="AE338" s="61">
        <f>Tab_Data_Flows[[#This Row],[UoM_Flow_Py]]</f>
        <v>0</v>
      </c>
      <c r="AF338" s="111" t="e">
        <f>INDEX(Tab_Def_Flows[[Flow_ID]:[CC_DM_source]],MATCH(Tab_Data_Flows[[#This Row],[Name(EN)]],Tab_Def_Flows[Name(EN)],0),18)</f>
        <v>#N/A</v>
      </c>
      <c r="AG338" s="112" t="e">
        <f>IF(K338="Yes",AF338*Tab_Data_Flows[[#This Row],[Flow_Py]],"N.A.")</f>
        <v>#N/A</v>
      </c>
      <c r="AH338" s="61">
        <f>Tab_Data_Flows[[#This Row],[UoM_Flow_Py]]</f>
        <v>0</v>
      </c>
      <c r="AI338" s="111" t="e">
        <f>INDEX(Tab_Def_Flows[[Flow_ID]:[CC_DM_source]],MATCH(Tab_Data_Flows[[#This Row],[Name(EN)]],Tab_Def_Flows[Name(EN)],0),20)</f>
        <v>#N/A</v>
      </c>
      <c r="AJ338" s="109" t="e">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F_24_24</v>
      </c>
      <c r="C339" s="51"/>
      <c r="D339" s="49">
        <f>_xlfn.XLOOKUP(C339,Tab_Def_Flows[Name(EN)],Tab_Def_Flows[Type_Biomass],,0,)</f>
        <v>0</v>
      </c>
      <c r="E339" s="49">
        <f>_xlfn.XLOOKUP(C339,Tab_Def_Flows[Name(EN)],Tab_Def_Flows[Output_Process],,0,)</f>
        <v>0</v>
      </c>
      <c r="F339" s="49" t="str">
        <f>_xlfn.XLOOKUP(C339,Tab_Def_Flows[Name(EN)],Tab_Def_Flows[Process_ID_O],,0,)</f>
        <v>24__</v>
      </c>
      <c r="G339" s="49">
        <f>_xlfn.XLOOKUP(C339,Tab_Def_Flows[Name(EN)],Tab_Def_Flows[Input_Process],,0,)</f>
        <v>0</v>
      </c>
      <c r="H339" s="61" t="str">
        <f>_xlfn.XLOOKUP(C339,Tab_Def_Flows[Name(EN)],Tab_Def_Flows[Process_ID_I],,0,)</f>
        <v>24__</v>
      </c>
      <c r="I339" s="49">
        <f>_xlfn.XLOOKUP(C339,Tab_Def_Flows[Name(EN)],Tab_Def_Flows[Value_Source],,0,)</f>
        <v>0</v>
      </c>
      <c r="J339" s="61" t="str">
        <f>_xlfn.XLOOKUP(C339,Tab_Def_Flows[Name(EN)],Tab_Def_Flows[WC?],,0,)</f>
        <v>Yes</v>
      </c>
      <c r="K339" s="61" t="str">
        <f>_xlfn.XLOOKUP(C339,Tab_Def_Flows[Name(EN)],Tab_Def_Flows[DM?],,0,)</f>
        <v>Yes</v>
      </c>
      <c r="L339" s="61" t="str">
        <f>_xlfn.XLOOKUP(C339,Tab_Def_Flows[Name(EN)],Tab_Def_Flows[CC?],,0,)</f>
        <v>Yes</v>
      </c>
      <c r="M339" s="51"/>
      <c r="N339" s="51"/>
      <c r="O339" s="119"/>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e">
        <f>IF(J339="Yes",AA339*Tab_Data_Flows[[#This Row],[WC_'[%']]],"N.A.")</f>
        <v>#N/A</v>
      </c>
      <c r="AE339" s="61">
        <f>Tab_Data_Flows[[#This Row],[UoM_Flow_Py]]</f>
        <v>0</v>
      </c>
      <c r="AF339" s="111" t="e">
        <f>INDEX(Tab_Def_Flows[[Flow_ID]:[CC_DM_source]],MATCH(Tab_Data_Flows[[#This Row],[Name(EN)]],Tab_Def_Flows[Name(EN)],0),18)</f>
        <v>#N/A</v>
      </c>
      <c r="AG339" s="112" t="e">
        <f>IF(K339="Yes",AF339*Tab_Data_Flows[[#This Row],[Flow_Py]],"N.A.")</f>
        <v>#N/A</v>
      </c>
      <c r="AH339" s="61">
        <f>Tab_Data_Flows[[#This Row],[UoM_Flow_Py]]</f>
        <v>0</v>
      </c>
      <c r="AI339" s="111" t="e">
        <f>INDEX(Tab_Def_Flows[[Flow_ID]:[CC_DM_source]],MATCH(Tab_Data_Flows[[#This Row],[Name(EN)]],Tab_Def_Flows[Name(EN)],0),20)</f>
        <v>#N/A</v>
      </c>
      <c r="AJ339" s="109" t="e">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F_24_24</v>
      </c>
      <c r="C340" s="51"/>
      <c r="D340" s="49">
        <f>_xlfn.XLOOKUP(C340,Tab_Def_Flows[Name(EN)],Tab_Def_Flows[Type_Biomass],,0,)</f>
        <v>0</v>
      </c>
      <c r="E340" s="49">
        <f>_xlfn.XLOOKUP(C340,Tab_Def_Flows[Name(EN)],Tab_Def_Flows[Output_Process],,0,)</f>
        <v>0</v>
      </c>
      <c r="F340" s="49" t="str">
        <f>_xlfn.XLOOKUP(C340,Tab_Def_Flows[Name(EN)],Tab_Def_Flows[Process_ID_O],,0,)</f>
        <v>24__</v>
      </c>
      <c r="G340" s="49">
        <f>_xlfn.XLOOKUP(C340,Tab_Def_Flows[Name(EN)],Tab_Def_Flows[Input_Process],,0,)</f>
        <v>0</v>
      </c>
      <c r="H340" s="61" t="str">
        <f>_xlfn.XLOOKUP(C340,Tab_Def_Flows[Name(EN)],Tab_Def_Flows[Process_ID_I],,0,)</f>
        <v>24__</v>
      </c>
      <c r="I340" s="49">
        <f>_xlfn.XLOOKUP(C340,Tab_Def_Flows[Name(EN)],Tab_Def_Flows[Value_Source],,0,)</f>
        <v>0</v>
      </c>
      <c r="J340" s="61" t="str">
        <f>_xlfn.XLOOKUP(C340,Tab_Def_Flows[Name(EN)],Tab_Def_Flows[WC?],,0,)</f>
        <v>Yes</v>
      </c>
      <c r="K340" s="61" t="str">
        <f>_xlfn.XLOOKUP(C340,Tab_Def_Flows[Name(EN)],Tab_Def_Flows[DM?],,0,)</f>
        <v>Yes</v>
      </c>
      <c r="L340" s="61" t="str">
        <f>_xlfn.XLOOKUP(C340,Tab_Def_Flows[Name(EN)],Tab_Def_Flows[CC?],,0,)</f>
        <v>Yes</v>
      </c>
      <c r="M340" s="51"/>
      <c r="N340" s="51"/>
      <c r="O340" s="119"/>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e">
        <f>IF(J340="Yes",AA340*Tab_Data_Flows[[#This Row],[WC_'[%']]],"N.A.")</f>
        <v>#N/A</v>
      </c>
      <c r="AE340" s="61">
        <f>Tab_Data_Flows[[#This Row],[UoM_Flow_Py]]</f>
        <v>0</v>
      </c>
      <c r="AF340" s="111" t="e">
        <f>INDEX(Tab_Def_Flows[[Flow_ID]:[CC_DM_source]],MATCH(Tab_Data_Flows[[#This Row],[Name(EN)]],Tab_Def_Flows[Name(EN)],0),18)</f>
        <v>#N/A</v>
      </c>
      <c r="AG340" s="112" t="e">
        <f>IF(K340="Yes",AF340*Tab_Data_Flows[[#This Row],[Flow_Py]],"N.A.")</f>
        <v>#N/A</v>
      </c>
      <c r="AH340" s="61">
        <f>Tab_Data_Flows[[#This Row],[UoM_Flow_Py]]</f>
        <v>0</v>
      </c>
      <c r="AI340" s="111" t="e">
        <f>INDEX(Tab_Def_Flows[[Flow_ID]:[CC_DM_source]],MATCH(Tab_Data_Flows[[#This Row],[Name(EN)]],Tab_Def_Flows[Name(EN)],0),20)</f>
        <v>#N/A</v>
      </c>
      <c r="AJ340" s="109" t="e">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F_24_24</v>
      </c>
      <c r="C341" s="51"/>
      <c r="D341" s="49">
        <f>_xlfn.XLOOKUP(C341,Tab_Def_Flows[Name(EN)],Tab_Def_Flows[Type_Biomass],,0,)</f>
        <v>0</v>
      </c>
      <c r="E341" s="49">
        <f>_xlfn.XLOOKUP(C341,Tab_Def_Flows[Name(EN)],Tab_Def_Flows[Output_Process],,0,)</f>
        <v>0</v>
      </c>
      <c r="F341" s="49" t="str">
        <f>_xlfn.XLOOKUP(C341,Tab_Def_Flows[Name(EN)],Tab_Def_Flows[Process_ID_O],,0,)</f>
        <v>24__</v>
      </c>
      <c r="G341" s="49">
        <f>_xlfn.XLOOKUP(C341,Tab_Def_Flows[Name(EN)],Tab_Def_Flows[Input_Process],,0,)</f>
        <v>0</v>
      </c>
      <c r="H341" s="61" t="str">
        <f>_xlfn.XLOOKUP(C341,Tab_Def_Flows[Name(EN)],Tab_Def_Flows[Process_ID_I],,0,)</f>
        <v>24__</v>
      </c>
      <c r="I341" s="49">
        <f>_xlfn.XLOOKUP(C341,Tab_Def_Flows[Name(EN)],Tab_Def_Flows[Value_Source],,0,)</f>
        <v>0</v>
      </c>
      <c r="J341" s="61" t="str">
        <f>_xlfn.XLOOKUP(C341,Tab_Def_Flows[Name(EN)],Tab_Def_Flows[WC?],,0,)</f>
        <v>Yes</v>
      </c>
      <c r="K341" s="61" t="str">
        <f>_xlfn.XLOOKUP(C341,Tab_Def_Flows[Name(EN)],Tab_Def_Flows[DM?],,0,)</f>
        <v>Yes</v>
      </c>
      <c r="L341" s="61" t="str">
        <f>_xlfn.XLOOKUP(C341,Tab_Def_Flows[Name(EN)],Tab_Def_Flows[CC?],,0,)</f>
        <v>Yes</v>
      </c>
      <c r="M341" s="51"/>
      <c r="N341" s="51"/>
      <c r="O341" s="119"/>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e">
        <f>IF(J341="Yes",AA341*Tab_Data_Flows[[#This Row],[WC_'[%']]],"N.A.")</f>
        <v>#N/A</v>
      </c>
      <c r="AE341" s="61">
        <f>Tab_Data_Flows[[#This Row],[UoM_Flow_Py]]</f>
        <v>0</v>
      </c>
      <c r="AF341" s="111" t="e">
        <f>INDEX(Tab_Def_Flows[[Flow_ID]:[CC_DM_source]],MATCH(Tab_Data_Flows[[#This Row],[Name(EN)]],Tab_Def_Flows[Name(EN)],0),18)</f>
        <v>#N/A</v>
      </c>
      <c r="AG341" s="112" t="e">
        <f>IF(K341="Yes",AF341*Tab_Data_Flows[[#This Row],[Flow_Py]],"N.A.")</f>
        <v>#N/A</v>
      </c>
      <c r="AH341" s="61">
        <f>Tab_Data_Flows[[#This Row],[UoM_Flow_Py]]</f>
        <v>0</v>
      </c>
      <c r="AI341" s="111" t="e">
        <f>INDEX(Tab_Def_Flows[[Flow_ID]:[CC_DM_source]],MATCH(Tab_Data_Flows[[#This Row],[Name(EN)]],Tab_Def_Flows[Name(EN)],0),20)</f>
        <v>#N/A</v>
      </c>
      <c r="AJ341" s="109" t="e">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F_24_24</v>
      </c>
      <c r="C342" s="51"/>
      <c r="D342" s="49">
        <f>_xlfn.XLOOKUP(C342,Tab_Def_Flows[Name(EN)],Tab_Def_Flows[Type_Biomass],,0,)</f>
        <v>0</v>
      </c>
      <c r="E342" s="49">
        <f>_xlfn.XLOOKUP(C342,Tab_Def_Flows[Name(EN)],Tab_Def_Flows[Output_Process],,0,)</f>
        <v>0</v>
      </c>
      <c r="F342" s="49" t="str">
        <f>_xlfn.XLOOKUP(C342,Tab_Def_Flows[Name(EN)],Tab_Def_Flows[Process_ID_O],,0,)</f>
        <v>24__</v>
      </c>
      <c r="G342" s="49">
        <f>_xlfn.XLOOKUP(C342,Tab_Def_Flows[Name(EN)],Tab_Def_Flows[Input_Process],,0,)</f>
        <v>0</v>
      </c>
      <c r="H342" s="61" t="str">
        <f>_xlfn.XLOOKUP(C342,Tab_Def_Flows[Name(EN)],Tab_Def_Flows[Process_ID_I],,0,)</f>
        <v>24__</v>
      </c>
      <c r="I342" s="49">
        <f>_xlfn.XLOOKUP(C342,Tab_Def_Flows[Name(EN)],Tab_Def_Flows[Value_Source],,0,)</f>
        <v>0</v>
      </c>
      <c r="J342" s="61" t="str">
        <f>_xlfn.XLOOKUP(C342,Tab_Def_Flows[Name(EN)],Tab_Def_Flows[WC?],,0,)</f>
        <v>Yes</v>
      </c>
      <c r="K342" s="61" t="str">
        <f>_xlfn.XLOOKUP(C342,Tab_Def_Flows[Name(EN)],Tab_Def_Flows[DM?],,0,)</f>
        <v>Yes</v>
      </c>
      <c r="L342" s="61" t="str">
        <f>_xlfn.XLOOKUP(C342,Tab_Def_Flows[Name(EN)],Tab_Def_Flows[CC?],,0,)</f>
        <v>Yes</v>
      </c>
      <c r="M342" s="51"/>
      <c r="N342" s="51"/>
      <c r="O342" s="119"/>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e">
        <f>IF(J342="Yes",AA342*Tab_Data_Flows[[#This Row],[WC_'[%']]],"N.A.")</f>
        <v>#N/A</v>
      </c>
      <c r="AE342" s="61">
        <f>Tab_Data_Flows[[#This Row],[UoM_Flow_Py]]</f>
        <v>0</v>
      </c>
      <c r="AF342" s="111" t="e">
        <f>INDEX(Tab_Def_Flows[[Flow_ID]:[CC_DM_source]],MATCH(Tab_Data_Flows[[#This Row],[Name(EN)]],Tab_Def_Flows[Name(EN)],0),18)</f>
        <v>#N/A</v>
      </c>
      <c r="AG342" s="112" t="e">
        <f>IF(K342="Yes",AF342*Tab_Data_Flows[[#This Row],[Flow_Py]],"N.A.")</f>
        <v>#N/A</v>
      </c>
      <c r="AH342" s="61">
        <f>Tab_Data_Flows[[#This Row],[UoM_Flow_Py]]</f>
        <v>0</v>
      </c>
      <c r="AI342" s="111" t="e">
        <f>INDEX(Tab_Def_Flows[[Flow_ID]:[CC_DM_source]],MATCH(Tab_Data_Flows[[#This Row],[Name(EN)]],Tab_Def_Flows[Name(EN)],0),20)</f>
        <v>#N/A</v>
      </c>
      <c r="AJ342" s="109" t="e">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F_24_24</v>
      </c>
      <c r="C343" s="51"/>
      <c r="D343" s="49">
        <f>_xlfn.XLOOKUP(C343,Tab_Def_Flows[Name(EN)],Tab_Def_Flows[Type_Biomass],,0,)</f>
        <v>0</v>
      </c>
      <c r="E343" s="49">
        <f>_xlfn.XLOOKUP(C343,Tab_Def_Flows[Name(EN)],Tab_Def_Flows[Output_Process],,0,)</f>
        <v>0</v>
      </c>
      <c r="F343" s="49" t="str">
        <f>_xlfn.XLOOKUP(C343,Tab_Def_Flows[Name(EN)],Tab_Def_Flows[Process_ID_O],,0,)</f>
        <v>24__</v>
      </c>
      <c r="G343" s="49">
        <f>_xlfn.XLOOKUP(C343,Tab_Def_Flows[Name(EN)],Tab_Def_Flows[Input_Process],,0,)</f>
        <v>0</v>
      </c>
      <c r="H343" s="61" t="str">
        <f>_xlfn.XLOOKUP(C343,Tab_Def_Flows[Name(EN)],Tab_Def_Flows[Process_ID_I],,0,)</f>
        <v>24__</v>
      </c>
      <c r="I343" s="49">
        <f>_xlfn.XLOOKUP(C343,Tab_Def_Flows[Name(EN)],Tab_Def_Flows[Value_Source],,0,)</f>
        <v>0</v>
      </c>
      <c r="J343" s="61" t="str">
        <f>_xlfn.XLOOKUP(C343,Tab_Def_Flows[Name(EN)],Tab_Def_Flows[WC?],,0,)</f>
        <v>Yes</v>
      </c>
      <c r="K343" s="61" t="str">
        <f>_xlfn.XLOOKUP(C343,Tab_Def_Flows[Name(EN)],Tab_Def_Flows[DM?],,0,)</f>
        <v>Yes</v>
      </c>
      <c r="L343" s="61" t="str">
        <f>_xlfn.XLOOKUP(C343,Tab_Def_Flows[Name(EN)],Tab_Def_Flows[CC?],,0,)</f>
        <v>Yes</v>
      </c>
      <c r="M343" s="51"/>
      <c r="N343" s="51"/>
      <c r="O343" s="119"/>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e">
        <f>IF(J343="Yes",AA343*Tab_Data_Flows[[#This Row],[WC_'[%']]],"N.A.")</f>
        <v>#N/A</v>
      </c>
      <c r="AE343" s="61">
        <f>Tab_Data_Flows[[#This Row],[UoM_Flow_Py]]</f>
        <v>0</v>
      </c>
      <c r="AF343" s="111" t="e">
        <f>INDEX(Tab_Def_Flows[[Flow_ID]:[CC_DM_source]],MATCH(Tab_Data_Flows[[#This Row],[Name(EN)]],Tab_Def_Flows[Name(EN)],0),18)</f>
        <v>#N/A</v>
      </c>
      <c r="AG343" s="112" t="e">
        <f>IF(K343="Yes",AF343*Tab_Data_Flows[[#This Row],[Flow_Py]],"N.A.")</f>
        <v>#N/A</v>
      </c>
      <c r="AH343" s="61">
        <f>Tab_Data_Flows[[#This Row],[UoM_Flow_Py]]</f>
        <v>0</v>
      </c>
      <c r="AI343" s="111" t="e">
        <f>INDEX(Tab_Def_Flows[[Flow_ID]:[CC_DM_source]],MATCH(Tab_Data_Flows[[#This Row],[Name(EN)]],Tab_Def_Flows[Name(EN)],0),20)</f>
        <v>#N/A</v>
      </c>
      <c r="AJ343" s="109" t="e">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F_24_24</v>
      </c>
      <c r="C344" s="51"/>
      <c r="D344" s="49">
        <f>_xlfn.XLOOKUP(C344,Tab_Def_Flows[Name(EN)],Tab_Def_Flows[Type_Biomass],,0,)</f>
        <v>0</v>
      </c>
      <c r="E344" s="49">
        <f>_xlfn.XLOOKUP(C344,Tab_Def_Flows[Name(EN)],Tab_Def_Flows[Output_Process],,0,)</f>
        <v>0</v>
      </c>
      <c r="F344" s="49" t="str">
        <f>_xlfn.XLOOKUP(C344,Tab_Def_Flows[Name(EN)],Tab_Def_Flows[Process_ID_O],,0,)</f>
        <v>24__</v>
      </c>
      <c r="G344" s="49">
        <f>_xlfn.XLOOKUP(C344,Tab_Def_Flows[Name(EN)],Tab_Def_Flows[Input_Process],,0,)</f>
        <v>0</v>
      </c>
      <c r="H344" s="61" t="str">
        <f>_xlfn.XLOOKUP(C344,Tab_Def_Flows[Name(EN)],Tab_Def_Flows[Process_ID_I],,0,)</f>
        <v>24__</v>
      </c>
      <c r="I344" s="49">
        <f>_xlfn.XLOOKUP(C344,Tab_Def_Flows[Name(EN)],Tab_Def_Flows[Value_Source],,0,)</f>
        <v>0</v>
      </c>
      <c r="J344" s="61" t="str">
        <f>_xlfn.XLOOKUP(C344,Tab_Def_Flows[Name(EN)],Tab_Def_Flows[WC?],,0,)</f>
        <v>Yes</v>
      </c>
      <c r="K344" s="61" t="str">
        <f>_xlfn.XLOOKUP(C344,Tab_Def_Flows[Name(EN)],Tab_Def_Flows[DM?],,0,)</f>
        <v>Yes</v>
      </c>
      <c r="L344" s="61" t="str">
        <f>_xlfn.XLOOKUP(C344,Tab_Def_Flows[Name(EN)],Tab_Def_Flows[CC?],,0,)</f>
        <v>Yes</v>
      </c>
      <c r="M344" s="51"/>
      <c r="N344" s="51"/>
      <c r="O344" s="119"/>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e">
        <f>IF(J344="Yes",AA344*Tab_Data_Flows[[#This Row],[WC_'[%']]],"N.A.")</f>
        <v>#N/A</v>
      </c>
      <c r="AE344" s="61">
        <f>Tab_Data_Flows[[#This Row],[UoM_Flow_Py]]</f>
        <v>0</v>
      </c>
      <c r="AF344" s="111" t="e">
        <f>INDEX(Tab_Def_Flows[[Flow_ID]:[CC_DM_source]],MATCH(Tab_Data_Flows[[#This Row],[Name(EN)]],Tab_Def_Flows[Name(EN)],0),18)</f>
        <v>#N/A</v>
      </c>
      <c r="AG344" s="112" t="e">
        <f>IF(K344="Yes",AF344*Tab_Data_Flows[[#This Row],[Flow_Py]],"N.A.")</f>
        <v>#N/A</v>
      </c>
      <c r="AH344" s="61">
        <f>Tab_Data_Flows[[#This Row],[UoM_Flow_Py]]</f>
        <v>0</v>
      </c>
      <c r="AI344" s="111" t="e">
        <f>INDEX(Tab_Def_Flows[[Flow_ID]:[CC_DM_source]],MATCH(Tab_Data_Flows[[#This Row],[Name(EN)]],Tab_Def_Flows[Name(EN)],0),20)</f>
        <v>#N/A</v>
      </c>
      <c r="AJ344" s="109" t="e">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F_24_24</v>
      </c>
      <c r="C345" s="51"/>
      <c r="D345" s="49">
        <f>_xlfn.XLOOKUP(C345,Tab_Def_Flows[Name(EN)],Tab_Def_Flows[Type_Biomass],,0,)</f>
        <v>0</v>
      </c>
      <c r="E345" s="49">
        <f>_xlfn.XLOOKUP(C345,Tab_Def_Flows[Name(EN)],Tab_Def_Flows[Output_Process],,0,)</f>
        <v>0</v>
      </c>
      <c r="F345" s="49" t="str">
        <f>_xlfn.XLOOKUP(C345,Tab_Def_Flows[Name(EN)],Tab_Def_Flows[Process_ID_O],,0,)</f>
        <v>24__</v>
      </c>
      <c r="G345" s="49">
        <f>_xlfn.XLOOKUP(C345,Tab_Def_Flows[Name(EN)],Tab_Def_Flows[Input_Process],,0,)</f>
        <v>0</v>
      </c>
      <c r="H345" s="61" t="str">
        <f>_xlfn.XLOOKUP(C345,Tab_Def_Flows[Name(EN)],Tab_Def_Flows[Process_ID_I],,0,)</f>
        <v>24__</v>
      </c>
      <c r="I345" s="49">
        <f>_xlfn.XLOOKUP(C345,Tab_Def_Flows[Name(EN)],Tab_Def_Flows[Value_Source],,0,)</f>
        <v>0</v>
      </c>
      <c r="J345" s="61" t="str">
        <f>_xlfn.XLOOKUP(C345,Tab_Def_Flows[Name(EN)],Tab_Def_Flows[WC?],,0,)</f>
        <v>Yes</v>
      </c>
      <c r="K345" s="61" t="str">
        <f>_xlfn.XLOOKUP(C345,Tab_Def_Flows[Name(EN)],Tab_Def_Flows[DM?],,0,)</f>
        <v>Yes</v>
      </c>
      <c r="L345" s="61" t="str">
        <f>_xlfn.XLOOKUP(C345,Tab_Def_Flows[Name(EN)],Tab_Def_Flows[CC?],,0,)</f>
        <v>Yes</v>
      </c>
      <c r="M345" s="51"/>
      <c r="N345" s="51"/>
      <c r="O345" s="119"/>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e">
        <f>IF(J345="Yes",AA345*Tab_Data_Flows[[#This Row],[WC_'[%']]],"N.A.")</f>
        <v>#N/A</v>
      </c>
      <c r="AE345" s="61">
        <f>Tab_Data_Flows[[#This Row],[UoM_Flow_Py]]</f>
        <v>0</v>
      </c>
      <c r="AF345" s="111" t="e">
        <f>INDEX(Tab_Def_Flows[[Flow_ID]:[CC_DM_source]],MATCH(Tab_Data_Flows[[#This Row],[Name(EN)]],Tab_Def_Flows[Name(EN)],0),18)</f>
        <v>#N/A</v>
      </c>
      <c r="AG345" s="112" t="e">
        <f>IF(K345="Yes",AF345*Tab_Data_Flows[[#This Row],[Flow_Py]],"N.A.")</f>
        <v>#N/A</v>
      </c>
      <c r="AH345" s="61">
        <f>Tab_Data_Flows[[#This Row],[UoM_Flow_Py]]</f>
        <v>0</v>
      </c>
      <c r="AI345" s="111" t="e">
        <f>INDEX(Tab_Def_Flows[[Flow_ID]:[CC_DM_source]],MATCH(Tab_Data_Flows[[#This Row],[Name(EN)]],Tab_Def_Flows[Name(EN)],0),20)</f>
        <v>#N/A</v>
      </c>
      <c r="AJ345" s="109" t="e">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F_24_24</v>
      </c>
      <c r="C346" s="51"/>
      <c r="D346" s="49">
        <f>_xlfn.XLOOKUP(C346,Tab_Def_Flows[Name(EN)],Tab_Def_Flows[Type_Biomass],,0,)</f>
        <v>0</v>
      </c>
      <c r="E346" s="49">
        <f>_xlfn.XLOOKUP(C346,Tab_Def_Flows[Name(EN)],Tab_Def_Flows[Output_Process],,0,)</f>
        <v>0</v>
      </c>
      <c r="F346" s="49" t="str">
        <f>_xlfn.XLOOKUP(C346,Tab_Def_Flows[Name(EN)],Tab_Def_Flows[Process_ID_O],,0,)</f>
        <v>24__</v>
      </c>
      <c r="G346" s="49">
        <f>_xlfn.XLOOKUP(C346,Tab_Def_Flows[Name(EN)],Tab_Def_Flows[Input_Process],,0,)</f>
        <v>0</v>
      </c>
      <c r="H346" s="61" t="str">
        <f>_xlfn.XLOOKUP(C346,Tab_Def_Flows[Name(EN)],Tab_Def_Flows[Process_ID_I],,0,)</f>
        <v>24__</v>
      </c>
      <c r="I346" s="49">
        <f>_xlfn.XLOOKUP(C346,Tab_Def_Flows[Name(EN)],Tab_Def_Flows[Value_Source],,0,)</f>
        <v>0</v>
      </c>
      <c r="J346" s="61" t="str">
        <f>_xlfn.XLOOKUP(C346,Tab_Def_Flows[Name(EN)],Tab_Def_Flows[WC?],,0,)</f>
        <v>Yes</v>
      </c>
      <c r="K346" s="61" t="str">
        <f>_xlfn.XLOOKUP(C346,Tab_Def_Flows[Name(EN)],Tab_Def_Flows[DM?],,0,)</f>
        <v>Yes</v>
      </c>
      <c r="L346" s="61" t="str">
        <f>_xlfn.XLOOKUP(C346,Tab_Def_Flows[Name(EN)],Tab_Def_Flows[CC?],,0,)</f>
        <v>Yes</v>
      </c>
      <c r="M346" s="51"/>
      <c r="N346" s="51"/>
      <c r="O346" s="119"/>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e">
        <f>IF(J346="Yes",AA346*Tab_Data_Flows[[#This Row],[WC_'[%']]],"N.A.")</f>
        <v>#N/A</v>
      </c>
      <c r="AE346" s="61">
        <f>Tab_Data_Flows[[#This Row],[UoM_Flow_Py]]</f>
        <v>0</v>
      </c>
      <c r="AF346" s="111" t="e">
        <f>INDEX(Tab_Def_Flows[[Flow_ID]:[CC_DM_source]],MATCH(Tab_Data_Flows[[#This Row],[Name(EN)]],Tab_Def_Flows[Name(EN)],0),18)</f>
        <v>#N/A</v>
      </c>
      <c r="AG346" s="112" t="e">
        <f>IF(K346="Yes",AF346*Tab_Data_Flows[[#This Row],[Flow_Py]],"N.A.")</f>
        <v>#N/A</v>
      </c>
      <c r="AH346" s="61">
        <f>Tab_Data_Flows[[#This Row],[UoM_Flow_Py]]</f>
        <v>0</v>
      </c>
      <c r="AI346" s="111" t="e">
        <f>INDEX(Tab_Def_Flows[[Flow_ID]:[CC_DM_source]],MATCH(Tab_Data_Flows[[#This Row],[Name(EN)]],Tab_Def_Flows[Name(EN)],0),20)</f>
        <v>#N/A</v>
      </c>
      <c r="AJ346" s="109" t="e">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F_24_24</v>
      </c>
      <c r="C347" s="51"/>
      <c r="D347" s="49">
        <f>_xlfn.XLOOKUP(C347,Tab_Def_Flows[Name(EN)],Tab_Def_Flows[Type_Biomass],,0,)</f>
        <v>0</v>
      </c>
      <c r="E347" s="49">
        <f>_xlfn.XLOOKUP(C347,Tab_Def_Flows[Name(EN)],Tab_Def_Flows[Output_Process],,0,)</f>
        <v>0</v>
      </c>
      <c r="F347" s="49" t="str">
        <f>_xlfn.XLOOKUP(C347,Tab_Def_Flows[Name(EN)],Tab_Def_Flows[Process_ID_O],,0,)</f>
        <v>24__</v>
      </c>
      <c r="G347" s="49">
        <f>_xlfn.XLOOKUP(C347,Tab_Def_Flows[Name(EN)],Tab_Def_Flows[Input_Process],,0,)</f>
        <v>0</v>
      </c>
      <c r="H347" s="61" t="str">
        <f>_xlfn.XLOOKUP(C347,Tab_Def_Flows[Name(EN)],Tab_Def_Flows[Process_ID_I],,0,)</f>
        <v>24__</v>
      </c>
      <c r="I347" s="49">
        <f>_xlfn.XLOOKUP(C347,Tab_Def_Flows[Name(EN)],Tab_Def_Flows[Value_Source],,0,)</f>
        <v>0</v>
      </c>
      <c r="J347" s="61" t="str">
        <f>_xlfn.XLOOKUP(C347,Tab_Def_Flows[Name(EN)],Tab_Def_Flows[WC?],,0,)</f>
        <v>Yes</v>
      </c>
      <c r="K347" s="61" t="str">
        <f>_xlfn.XLOOKUP(C347,Tab_Def_Flows[Name(EN)],Tab_Def_Flows[DM?],,0,)</f>
        <v>Yes</v>
      </c>
      <c r="L347" s="61" t="str">
        <f>_xlfn.XLOOKUP(C347,Tab_Def_Flows[Name(EN)],Tab_Def_Flows[CC?],,0,)</f>
        <v>Yes</v>
      </c>
      <c r="M347" s="51"/>
      <c r="N347" s="51"/>
      <c r="O347" s="119"/>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e">
        <f>IF(J347="Yes",AA347*Tab_Data_Flows[[#This Row],[WC_'[%']]],"N.A.")</f>
        <v>#N/A</v>
      </c>
      <c r="AE347" s="61">
        <f>Tab_Data_Flows[[#This Row],[UoM_Flow_Py]]</f>
        <v>0</v>
      </c>
      <c r="AF347" s="111" t="e">
        <f>INDEX(Tab_Def_Flows[[Flow_ID]:[CC_DM_source]],MATCH(Tab_Data_Flows[[#This Row],[Name(EN)]],Tab_Def_Flows[Name(EN)],0),18)</f>
        <v>#N/A</v>
      </c>
      <c r="AG347" s="112" t="e">
        <f>IF(K347="Yes",AF347*Tab_Data_Flows[[#This Row],[Flow_Py]],"N.A.")</f>
        <v>#N/A</v>
      </c>
      <c r="AH347" s="61">
        <f>Tab_Data_Flows[[#This Row],[UoM_Flow_Py]]</f>
        <v>0</v>
      </c>
      <c r="AI347" s="111" t="e">
        <f>INDEX(Tab_Def_Flows[[Flow_ID]:[CC_DM_source]],MATCH(Tab_Data_Flows[[#This Row],[Name(EN)]],Tab_Def_Flows[Name(EN)],0),20)</f>
        <v>#N/A</v>
      </c>
      <c r="AJ347" s="109" t="e">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F_24_24</v>
      </c>
      <c r="C348" s="51"/>
      <c r="D348" s="49">
        <f>_xlfn.XLOOKUP(C348,Tab_Def_Flows[Name(EN)],Tab_Def_Flows[Type_Biomass],,0,)</f>
        <v>0</v>
      </c>
      <c r="E348" s="49">
        <f>_xlfn.XLOOKUP(C348,Tab_Def_Flows[Name(EN)],Tab_Def_Flows[Output_Process],,0,)</f>
        <v>0</v>
      </c>
      <c r="F348" s="49" t="str">
        <f>_xlfn.XLOOKUP(C348,Tab_Def_Flows[Name(EN)],Tab_Def_Flows[Process_ID_O],,0,)</f>
        <v>24__</v>
      </c>
      <c r="G348" s="49">
        <f>_xlfn.XLOOKUP(C348,Tab_Def_Flows[Name(EN)],Tab_Def_Flows[Input_Process],,0,)</f>
        <v>0</v>
      </c>
      <c r="H348" s="61" t="str">
        <f>_xlfn.XLOOKUP(C348,Tab_Def_Flows[Name(EN)],Tab_Def_Flows[Process_ID_I],,0,)</f>
        <v>24__</v>
      </c>
      <c r="I348" s="49">
        <f>_xlfn.XLOOKUP(C348,Tab_Def_Flows[Name(EN)],Tab_Def_Flows[Value_Source],,0,)</f>
        <v>0</v>
      </c>
      <c r="J348" s="61" t="str">
        <f>_xlfn.XLOOKUP(C348,Tab_Def_Flows[Name(EN)],Tab_Def_Flows[WC?],,0,)</f>
        <v>Yes</v>
      </c>
      <c r="K348" s="61" t="str">
        <f>_xlfn.XLOOKUP(C348,Tab_Def_Flows[Name(EN)],Tab_Def_Flows[DM?],,0,)</f>
        <v>Yes</v>
      </c>
      <c r="L348" s="61" t="str">
        <f>_xlfn.XLOOKUP(C348,Tab_Def_Flows[Name(EN)],Tab_Def_Flows[CC?],,0,)</f>
        <v>Yes</v>
      </c>
      <c r="M348" s="51"/>
      <c r="N348" s="51"/>
      <c r="O348" s="119"/>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e">
        <f>IF(J348="Yes",AA348*Tab_Data_Flows[[#This Row],[WC_'[%']]],"N.A.")</f>
        <v>#N/A</v>
      </c>
      <c r="AE348" s="61">
        <f>Tab_Data_Flows[[#This Row],[UoM_Flow_Py]]</f>
        <v>0</v>
      </c>
      <c r="AF348" s="111" t="e">
        <f>INDEX(Tab_Def_Flows[[Flow_ID]:[CC_DM_source]],MATCH(Tab_Data_Flows[[#This Row],[Name(EN)]],Tab_Def_Flows[Name(EN)],0),18)</f>
        <v>#N/A</v>
      </c>
      <c r="AG348" s="112" t="e">
        <f>IF(K348="Yes",AF348*Tab_Data_Flows[[#This Row],[Flow_Py]],"N.A.")</f>
        <v>#N/A</v>
      </c>
      <c r="AH348" s="61">
        <f>Tab_Data_Flows[[#This Row],[UoM_Flow_Py]]</f>
        <v>0</v>
      </c>
      <c r="AI348" s="111" t="e">
        <f>INDEX(Tab_Def_Flows[[Flow_ID]:[CC_DM_source]],MATCH(Tab_Data_Flows[[#This Row],[Name(EN)]],Tab_Def_Flows[Name(EN)],0),20)</f>
        <v>#N/A</v>
      </c>
      <c r="AJ348" s="109" t="e">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F_24_24</v>
      </c>
      <c r="C349" s="51"/>
      <c r="D349" s="49">
        <f>_xlfn.XLOOKUP(C349,Tab_Def_Flows[Name(EN)],Tab_Def_Flows[Type_Biomass],,0,)</f>
        <v>0</v>
      </c>
      <c r="E349" s="49">
        <f>_xlfn.XLOOKUP(C349,Tab_Def_Flows[Name(EN)],Tab_Def_Flows[Output_Process],,0,)</f>
        <v>0</v>
      </c>
      <c r="F349" s="49" t="str">
        <f>_xlfn.XLOOKUP(C349,Tab_Def_Flows[Name(EN)],Tab_Def_Flows[Process_ID_O],,0,)</f>
        <v>24__</v>
      </c>
      <c r="G349" s="49">
        <f>_xlfn.XLOOKUP(C349,Tab_Def_Flows[Name(EN)],Tab_Def_Flows[Input_Process],,0,)</f>
        <v>0</v>
      </c>
      <c r="H349" s="61" t="str">
        <f>_xlfn.XLOOKUP(C349,Tab_Def_Flows[Name(EN)],Tab_Def_Flows[Process_ID_I],,0,)</f>
        <v>24__</v>
      </c>
      <c r="I349" s="49">
        <f>_xlfn.XLOOKUP(C349,Tab_Def_Flows[Name(EN)],Tab_Def_Flows[Value_Source],,0,)</f>
        <v>0</v>
      </c>
      <c r="J349" s="61" t="str">
        <f>_xlfn.XLOOKUP(C349,Tab_Def_Flows[Name(EN)],Tab_Def_Flows[WC?],,0,)</f>
        <v>Yes</v>
      </c>
      <c r="K349" s="61" t="str">
        <f>_xlfn.XLOOKUP(C349,Tab_Def_Flows[Name(EN)],Tab_Def_Flows[DM?],,0,)</f>
        <v>Yes</v>
      </c>
      <c r="L349" s="61" t="str">
        <f>_xlfn.XLOOKUP(C349,Tab_Def_Flows[Name(EN)],Tab_Def_Flows[CC?],,0,)</f>
        <v>Yes</v>
      </c>
      <c r="M349" s="51"/>
      <c r="N349" s="51"/>
      <c r="O349" s="119"/>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e">
        <f>IF(J349="Yes",AA349*Tab_Data_Flows[[#This Row],[WC_'[%']]],"N.A.")</f>
        <v>#N/A</v>
      </c>
      <c r="AE349" s="61">
        <f>Tab_Data_Flows[[#This Row],[UoM_Flow_Py]]</f>
        <v>0</v>
      </c>
      <c r="AF349" s="111" t="e">
        <f>INDEX(Tab_Def_Flows[[Flow_ID]:[CC_DM_source]],MATCH(Tab_Data_Flows[[#This Row],[Name(EN)]],Tab_Def_Flows[Name(EN)],0),18)</f>
        <v>#N/A</v>
      </c>
      <c r="AG349" s="112" t="e">
        <f>IF(K349="Yes",AF349*Tab_Data_Flows[[#This Row],[Flow_Py]],"N.A.")</f>
        <v>#N/A</v>
      </c>
      <c r="AH349" s="61">
        <f>Tab_Data_Flows[[#This Row],[UoM_Flow_Py]]</f>
        <v>0</v>
      </c>
      <c r="AI349" s="111" t="e">
        <f>INDEX(Tab_Def_Flows[[Flow_ID]:[CC_DM_source]],MATCH(Tab_Data_Flows[[#This Row],[Name(EN)]],Tab_Def_Flows[Name(EN)],0),20)</f>
        <v>#N/A</v>
      </c>
      <c r="AJ349" s="109" t="e">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F_24_24</v>
      </c>
      <c r="C350" s="51"/>
      <c r="D350" s="49">
        <f>_xlfn.XLOOKUP(C350,Tab_Def_Flows[Name(EN)],Tab_Def_Flows[Type_Biomass],,0,)</f>
        <v>0</v>
      </c>
      <c r="E350" s="49">
        <f>_xlfn.XLOOKUP(C350,Tab_Def_Flows[Name(EN)],Tab_Def_Flows[Output_Process],,0,)</f>
        <v>0</v>
      </c>
      <c r="F350" s="49" t="str">
        <f>_xlfn.XLOOKUP(C350,Tab_Def_Flows[Name(EN)],Tab_Def_Flows[Process_ID_O],,0,)</f>
        <v>24__</v>
      </c>
      <c r="G350" s="49">
        <f>_xlfn.XLOOKUP(C350,Tab_Def_Flows[Name(EN)],Tab_Def_Flows[Input_Process],,0,)</f>
        <v>0</v>
      </c>
      <c r="H350" s="61" t="str">
        <f>_xlfn.XLOOKUP(C350,Tab_Def_Flows[Name(EN)],Tab_Def_Flows[Process_ID_I],,0,)</f>
        <v>24__</v>
      </c>
      <c r="I350" s="49">
        <f>_xlfn.XLOOKUP(C350,Tab_Def_Flows[Name(EN)],Tab_Def_Flows[Value_Source],,0,)</f>
        <v>0</v>
      </c>
      <c r="J350" s="61" t="str">
        <f>_xlfn.XLOOKUP(C350,Tab_Def_Flows[Name(EN)],Tab_Def_Flows[WC?],,0,)</f>
        <v>Yes</v>
      </c>
      <c r="K350" s="61" t="str">
        <f>_xlfn.XLOOKUP(C350,Tab_Def_Flows[Name(EN)],Tab_Def_Flows[DM?],,0,)</f>
        <v>Yes</v>
      </c>
      <c r="L350" s="61" t="str">
        <f>_xlfn.XLOOKUP(C350,Tab_Def_Flows[Name(EN)],Tab_Def_Flows[CC?],,0,)</f>
        <v>Yes</v>
      </c>
      <c r="M350" s="51"/>
      <c r="N350" s="51"/>
      <c r="O350" s="119"/>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e">
        <f>IF(J350="Yes",AA350*Tab_Data_Flows[[#This Row],[WC_'[%']]],"N.A.")</f>
        <v>#N/A</v>
      </c>
      <c r="AE350" s="61">
        <f>Tab_Data_Flows[[#This Row],[UoM_Flow_Py]]</f>
        <v>0</v>
      </c>
      <c r="AF350" s="111" t="e">
        <f>INDEX(Tab_Def_Flows[[Flow_ID]:[CC_DM_source]],MATCH(Tab_Data_Flows[[#This Row],[Name(EN)]],Tab_Def_Flows[Name(EN)],0),18)</f>
        <v>#N/A</v>
      </c>
      <c r="AG350" s="112" t="e">
        <f>IF(K350="Yes",AF350*Tab_Data_Flows[[#This Row],[Flow_Py]],"N.A.")</f>
        <v>#N/A</v>
      </c>
      <c r="AH350" s="61">
        <f>Tab_Data_Flows[[#This Row],[UoM_Flow_Py]]</f>
        <v>0</v>
      </c>
      <c r="AI350" s="111" t="e">
        <f>INDEX(Tab_Def_Flows[[Flow_ID]:[CC_DM_source]],MATCH(Tab_Data_Flows[[#This Row],[Name(EN)]],Tab_Def_Flows[Name(EN)],0),20)</f>
        <v>#N/A</v>
      </c>
      <c r="AJ350" s="109" t="e">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F_24_24</v>
      </c>
      <c r="C351" s="51"/>
      <c r="D351" s="49">
        <f>_xlfn.XLOOKUP(C351,Tab_Def_Flows[Name(EN)],Tab_Def_Flows[Type_Biomass],,0,)</f>
        <v>0</v>
      </c>
      <c r="E351" s="49">
        <f>_xlfn.XLOOKUP(C351,Tab_Def_Flows[Name(EN)],Tab_Def_Flows[Output_Process],,0,)</f>
        <v>0</v>
      </c>
      <c r="F351" s="49" t="str">
        <f>_xlfn.XLOOKUP(C351,Tab_Def_Flows[Name(EN)],Tab_Def_Flows[Process_ID_O],,0,)</f>
        <v>24__</v>
      </c>
      <c r="G351" s="49">
        <f>_xlfn.XLOOKUP(C351,Tab_Def_Flows[Name(EN)],Tab_Def_Flows[Input_Process],,0,)</f>
        <v>0</v>
      </c>
      <c r="H351" s="61" t="str">
        <f>_xlfn.XLOOKUP(C351,Tab_Def_Flows[Name(EN)],Tab_Def_Flows[Process_ID_I],,0,)</f>
        <v>24__</v>
      </c>
      <c r="I351" s="49">
        <f>_xlfn.XLOOKUP(C351,Tab_Def_Flows[Name(EN)],Tab_Def_Flows[Value_Source],,0,)</f>
        <v>0</v>
      </c>
      <c r="J351" s="61" t="str">
        <f>_xlfn.XLOOKUP(C351,Tab_Def_Flows[Name(EN)],Tab_Def_Flows[WC?],,0,)</f>
        <v>Yes</v>
      </c>
      <c r="K351" s="61" t="str">
        <f>_xlfn.XLOOKUP(C351,Tab_Def_Flows[Name(EN)],Tab_Def_Flows[DM?],,0,)</f>
        <v>Yes</v>
      </c>
      <c r="L351" s="61" t="str">
        <f>_xlfn.XLOOKUP(C351,Tab_Def_Flows[Name(EN)],Tab_Def_Flows[CC?],,0,)</f>
        <v>Yes</v>
      </c>
      <c r="M351" s="51"/>
      <c r="N351" s="51"/>
      <c r="O351" s="119"/>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e">
        <f>IF(J351="Yes",AA351*Tab_Data_Flows[[#This Row],[WC_'[%']]],"N.A.")</f>
        <v>#N/A</v>
      </c>
      <c r="AE351" s="61">
        <f>Tab_Data_Flows[[#This Row],[UoM_Flow_Py]]</f>
        <v>0</v>
      </c>
      <c r="AF351" s="111" t="e">
        <f>INDEX(Tab_Def_Flows[[Flow_ID]:[CC_DM_source]],MATCH(Tab_Data_Flows[[#This Row],[Name(EN)]],Tab_Def_Flows[Name(EN)],0),18)</f>
        <v>#N/A</v>
      </c>
      <c r="AG351" s="112" t="e">
        <f>IF(K351="Yes",AF351*Tab_Data_Flows[[#This Row],[Flow_Py]],"N.A.")</f>
        <v>#N/A</v>
      </c>
      <c r="AH351" s="61">
        <f>Tab_Data_Flows[[#This Row],[UoM_Flow_Py]]</f>
        <v>0</v>
      </c>
      <c r="AI351" s="111" t="e">
        <f>INDEX(Tab_Def_Flows[[Flow_ID]:[CC_DM_source]],MATCH(Tab_Data_Flows[[#This Row],[Name(EN)]],Tab_Def_Flows[Name(EN)],0),20)</f>
        <v>#N/A</v>
      </c>
      <c r="AJ351" s="109" t="e">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F_24_24</v>
      </c>
      <c r="C352" s="51"/>
      <c r="D352" s="49">
        <f>_xlfn.XLOOKUP(C352,Tab_Def_Flows[Name(EN)],Tab_Def_Flows[Type_Biomass],,0,)</f>
        <v>0</v>
      </c>
      <c r="E352" s="49">
        <f>_xlfn.XLOOKUP(C352,Tab_Def_Flows[Name(EN)],Tab_Def_Flows[Output_Process],,0,)</f>
        <v>0</v>
      </c>
      <c r="F352" s="49" t="str">
        <f>_xlfn.XLOOKUP(C352,Tab_Def_Flows[Name(EN)],Tab_Def_Flows[Process_ID_O],,0,)</f>
        <v>24__</v>
      </c>
      <c r="G352" s="49">
        <f>_xlfn.XLOOKUP(C352,Tab_Def_Flows[Name(EN)],Tab_Def_Flows[Input_Process],,0,)</f>
        <v>0</v>
      </c>
      <c r="H352" s="61" t="str">
        <f>_xlfn.XLOOKUP(C352,Tab_Def_Flows[Name(EN)],Tab_Def_Flows[Process_ID_I],,0,)</f>
        <v>24__</v>
      </c>
      <c r="I352" s="49">
        <f>_xlfn.XLOOKUP(C352,Tab_Def_Flows[Name(EN)],Tab_Def_Flows[Value_Source],,0,)</f>
        <v>0</v>
      </c>
      <c r="J352" s="61" t="str">
        <f>_xlfn.XLOOKUP(C352,Tab_Def_Flows[Name(EN)],Tab_Def_Flows[WC?],,0,)</f>
        <v>Yes</v>
      </c>
      <c r="K352" s="61" t="str">
        <f>_xlfn.XLOOKUP(C352,Tab_Def_Flows[Name(EN)],Tab_Def_Flows[DM?],,0,)</f>
        <v>Yes</v>
      </c>
      <c r="L352" s="61" t="str">
        <f>_xlfn.XLOOKUP(C352,Tab_Def_Flows[Name(EN)],Tab_Def_Flows[CC?],,0,)</f>
        <v>Yes</v>
      </c>
      <c r="M352" s="51"/>
      <c r="N352" s="51"/>
      <c r="O352" s="119"/>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e">
        <f>IF(J352="Yes",AA352*Tab_Data_Flows[[#This Row],[WC_'[%']]],"N.A.")</f>
        <v>#N/A</v>
      </c>
      <c r="AE352" s="61">
        <f>Tab_Data_Flows[[#This Row],[UoM_Flow_Py]]</f>
        <v>0</v>
      </c>
      <c r="AF352" s="111" t="e">
        <f>INDEX(Tab_Def_Flows[[Flow_ID]:[CC_DM_source]],MATCH(Tab_Data_Flows[[#This Row],[Name(EN)]],Tab_Def_Flows[Name(EN)],0),18)</f>
        <v>#N/A</v>
      </c>
      <c r="AG352" s="112" t="e">
        <f>IF(K352="Yes",AF352*Tab_Data_Flows[[#This Row],[Flow_Py]],"N.A.")</f>
        <v>#N/A</v>
      </c>
      <c r="AH352" s="61">
        <f>Tab_Data_Flows[[#This Row],[UoM_Flow_Py]]</f>
        <v>0</v>
      </c>
      <c r="AI352" s="111" t="e">
        <f>INDEX(Tab_Def_Flows[[Flow_ID]:[CC_DM_source]],MATCH(Tab_Data_Flows[[#This Row],[Name(EN)]],Tab_Def_Flows[Name(EN)],0),20)</f>
        <v>#N/A</v>
      </c>
      <c r="AJ352" s="109" t="e">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F_24_24</v>
      </c>
      <c r="C353" s="51"/>
      <c r="D353" s="49">
        <f>_xlfn.XLOOKUP(C353,Tab_Def_Flows[Name(EN)],Tab_Def_Flows[Type_Biomass],,0,)</f>
        <v>0</v>
      </c>
      <c r="E353" s="49">
        <f>_xlfn.XLOOKUP(C353,Tab_Def_Flows[Name(EN)],Tab_Def_Flows[Output_Process],,0,)</f>
        <v>0</v>
      </c>
      <c r="F353" s="49" t="str">
        <f>_xlfn.XLOOKUP(C353,Tab_Def_Flows[Name(EN)],Tab_Def_Flows[Process_ID_O],,0,)</f>
        <v>24__</v>
      </c>
      <c r="G353" s="49">
        <f>_xlfn.XLOOKUP(C353,Tab_Def_Flows[Name(EN)],Tab_Def_Flows[Input_Process],,0,)</f>
        <v>0</v>
      </c>
      <c r="H353" s="61" t="str">
        <f>_xlfn.XLOOKUP(C353,Tab_Def_Flows[Name(EN)],Tab_Def_Flows[Process_ID_I],,0,)</f>
        <v>24__</v>
      </c>
      <c r="I353" s="49">
        <f>_xlfn.XLOOKUP(C353,Tab_Def_Flows[Name(EN)],Tab_Def_Flows[Value_Source],,0,)</f>
        <v>0</v>
      </c>
      <c r="J353" s="61" t="str">
        <f>_xlfn.XLOOKUP(C353,Tab_Def_Flows[Name(EN)],Tab_Def_Flows[WC?],,0,)</f>
        <v>Yes</v>
      </c>
      <c r="K353" s="61" t="str">
        <f>_xlfn.XLOOKUP(C353,Tab_Def_Flows[Name(EN)],Tab_Def_Flows[DM?],,0,)</f>
        <v>Yes</v>
      </c>
      <c r="L353" s="61" t="str">
        <f>_xlfn.XLOOKUP(C353,Tab_Def_Flows[Name(EN)],Tab_Def_Flows[CC?],,0,)</f>
        <v>Yes</v>
      </c>
      <c r="M353" s="51"/>
      <c r="N353" s="51"/>
      <c r="O353" s="119"/>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e">
        <f>IF(J353="Yes",AA353*Tab_Data_Flows[[#This Row],[WC_'[%']]],"N.A.")</f>
        <v>#N/A</v>
      </c>
      <c r="AE353" s="61">
        <f>Tab_Data_Flows[[#This Row],[UoM_Flow_Py]]</f>
        <v>0</v>
      </c>
      <c r="AF353" s="111" t="e">
        <f>INDEX(Tab_Def_Flows[[Flow_ID]:[CC_DM_source]],MATCH(Tab_Data_Flows[[#This Row],[Name(EN)]],Tab_Def_Flows[Name(EN)],0),18)</f>
        <v>#N/A</v>
      </c>
      <c r="AG353" s="112" t="e">
        <f>IF(K353="Yes",AF353*Tab_Data_Flows[[#This Row],[Flow_Py]],"N.A.")</f>
        <v>#N/A</v>
      </c>
      <c r="AH353" s="61">
        <f>Tab_Data_Flows[[#This Row],[UoM_Flow_Py]]</f>
        <v>0</v>
      </c>
      <c r="AI353" s="111" t="e">
        <f>INDEX(Tab_Def_Flows[[Flow_ID]:[CC_DM_source]],MATCH(Tab_Data_Flows[[#This Row],[Name(EN)]],Tab_Def_Flows[Name(EN)],0),20)</f>
        <v>#N/A</v>
      </c>
      <c r="AJ353" s="109" t="e">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F_24_24</v>
      </c>
      <c r="C354" s="51"/>
      <c r="D354" s="49">
        <f>_xlfn.XLOOKUP(C354,Tab_Def_Flows[Name(EN)],Tab_Def_Flows[Type_Biomass],,0,)</f>
        <v>0</v>
      </c>
      <c r="E354" s="49">
        <f>_xlfn.XLOOKUP(C354,Tab_Def_Flows[Name(EN)],Tab_Def_Flows[Output_Process],,0,)</f>
        <v>0</v>
      </c>
      <c r="F354" s="49" t="str">
        <f>_xlfn.XLOOKUP(C354,Tab_Def_Flows[Name(EN)],Tab_Def_Flows[Process_ID_O],,0,)</f>
        <v>24__</v>
      </c>
      <c r="G354" s="49">
        <f>_xlfn.XLOOKUP(C354,Tab_Def_Flows[Name(EN)],Tab_Def_Flows[Input_Process],,0,)</f>
        <v>0</v>
      </c>
      <c r="H354" s="61" t="str">
        <f>_xlfn.XLOOKUP(C354,Tab_Def_Flows[Name(EN)],Tab_Def_Flows[Process_ID_I],,0,)</f>
        <v>24__</v>
      </c>
      <c r="I354" s="49">
        <f>_xlfn.XLOOKUP(C354,Tab_Def_Flows[Name(EN)],Tab_Def_Flows[Value_Source],,0,)</f>
        <v>0</v>
      </c>
      <c r="J354" s="61" t="str">
        <f>_xlfn.XLOOKUP(C354,Tab_Def_Flows[Name(EN)],Tab_Def_Flows[WC?],,0,)</f>
        <v>Yes</v>
      </c>
      <c r="K354" s="61" t="str">
        <f>_xlfn.XLOOKUP(C354,Tab_Def_Flows[Name(EN)],Tab_Def_Flows[DM?],,0,)</f>
        <v>Yes</v>
      </c>
      <c r="L354" s="61" t="str">
        <f>_xlfn.XLOOKUP(C354,Tab_Def_Flows[Name(EN)],Tab_Def_Flows[CC?],,0,)</f>
        <v>Yes</v>
      </c>
      <c r="M354" s="51"/>
      <c r="N354" s="51"/>
      <c r="O354" s="119"/>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e">
        <f>IF(J354="Yes",AA354*Tab_Data_Flows[[#This Row],[WC_'[%']]],"N.A.")</f>
        <v>#N/A</v>
      </c>
      <c r="AE354" s="61">
        <f>Tab_Data_Flows[[#This Row],[UoM_Flow_Py]]</f>
        <v>0</v>
      </c>
      <c r="AF354" s="111" t="e">
        <f>INDEX(Tab_Def_Flows[[Flow_ID]:[CC_DM_source]],MATCH(Tab_Data_Flows[[#This Row],[Name(EN)]],Tab_Def_Flows[Name(EN)],0),18)</f>
        <v>#N/A</v>
      </c>
      <c r="AG354" s="112" t="e">
        <f>IF(K354="Yes",AF354*Tab_Data_Flows[[#This Row],[Flow_Py]],"N.A.")</f>
        <v>#N/A</v>
      </c>
      <c r="AH354" s="61">
        <f>Tab_Data_Flows[[#This Row],[UoM_Flow_Py]]</f>
        <v>0</v>
      </c>
      <c r="AI354" s="111" t="e">
        <f>INDEX(Tab_Def_Flows[[Flow_ID]:[CC_DM_source]],MATCH(Tab_Data_Flows[[#This Row],[Name(EN)]],Tab_Def_Flows[Name(EN)],0),20)</f>
        <v>#N/A</v>
      </c>
      <c r="AJ354" s="109" t="e">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F_24_24</v>
      </c>
      <c r="C355" s="51"/>
      <c r="D355" s="49">
        <f>_xlfn.XLOOKUP(C355,Tab_Def_Flows[Name(EN)],Tab_Def_Flows[Type_Biomass],,0,)</f>
        <v>0</v>
      </c>
      <c r="E355" s="49">
        <f>_xlfn.XLOOKUP(C355,Tab_Def_Flows[Name(EN)],Tab_Def_Flows[Output_Process],,0,)</f>
        <v>0</v>
      </c>
      <c r="F355" s="49" t="str">
        <f>_xlfn.XLOOKUP(C355,Tab_Def_Flows[Name(EN)],Tab_Def_Flows[Process_ID_O],,0,)</f>
        <v>24__</v>
      </c>
      <c r="G355" s="49">
        <f>_xlfn.XLOOKUP(C355,Tab_Def_Flows[Name(EN)],Tab_Def_Flows[Input_Process],,0,)</f>
        <v>0</v>
      </c>
      <c r="H355" s="61" t="str">
        <f>_xlfn.XLOOKUP(C355,Tab_Def_Flows[Name(EN)],Tab_Def_Flows[Process_ID_I],,0,)</f>
        <v>24__</v>
      </c>
      <c r="I355" s="49">
        <f>_xlfn.XLOOKUP(C355,Tab_Def_Flows[Name(EN)],Tab_Def_Flows[Value_Source],,0,)</f>
        <v>0</v>
      </c>
      <c r="J355" s="61" t="str">
        <f>_xlfn.XLOOKUP(C355,Tab_Def_Flows[Name(EN)],Tab_Def_Flows[WC?],,0,)</f>
        <v>Yes</v>
      </c>
      <c r="K355" s="61" t="str">
        <f>_xlfn.XLOOKUP(C355,Tab_Def_Flows[Name(EN)],Tab_Def_Flows[DM?],,0,)</f>
        <v>Yes</v>
      </c>
      <c r="L355" s="61" t="str">
        <f>_xlfn.XLOOKUP(C355,Tab_Def_Flows[Name(EN)],Tab_Def_Flows[CC?],,0,)</f>
        <v>Yes</v>
      </c>
      <c r="M355" s="51"/>
      <c r="N355" s="51"/>
      <c r="O355" s="119"/>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e">
        <f>IF(J355="Yes",AA355*Tab_Data_Flows[[#This Row],[WC_'[%']]],"N.A.")</f>
        <v>#N/A</v>
      </c>
      <c r="AE355" s="61">
        <f>Tab_Data_Flows[[#This Row],[UoM_Flow_Py]]</f>
        <v>0</v>
      </c>
      <c r="AF355" s="111" t="e">
        <f>INDEX(Tab_Def_Flows[[Flow_ID]:[CC_DM_source]],MATCH(Tab_Data_Flows[[#This Row],[Name(EN)]],Tab_Def_Flows[Name(EN)],0),18)</f>
        <v>#N/A</v>
      </c>
      <c r="AG355" s="112" t="e">
        <f>IF(K355="Yes",AF355*Tab_Data_Flows[[#This Row],[Flow_Py]],"N.A.")</f>
        <v>#N/A</v>
      </c>
      <c r="AH355" s="61">
        <f>Tab_Data_Flows[[#This Row],[UoM_Flow_Py]]</f>
        <v>0</v>
      </c>
      <c r="AI355" s="111" t="e">
        <f>INDEX(Tab_Def_Flows[[Flow_ID]:[CC_DM_source]],MATCH(Tab_Data_Flows[[#This Row],[Name(EN)]],Tab_Def_Flows[Name(EN)],0),20)</f>
        <v>#N/A</v>
      </c>
      <c r="AJ355" s="109" t="e">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F_24_24</v>
      </c>
      <c r="C356" s="51"/>
      <c r="D356" s="49">
        <f>_xlfn.XLOOKUP(C356,Tab_Def_Flows[Name(EN)],Tab_Def_Flows[Type_Biomass],,0,)</f>
        <v>0</v>
      </c>
      <c r="E356" s="49">
        <f>_xlfn.XLOOKUP(C356,Tab_Def_Flows[Name(EN)],Tab_Def_Flows[Output_Process],,0,)</f>
        <v>0</v>
      </c>
      <c r="F356" s="49" t="str">
        <f>_xlfn.XLOOKUP(C356,Tab_Def_Flows[Name(EN)],Tab_Def_Flows[Process_ID_O],,0,)</f>
        <v>24__</v>
      </c>
      <c r="G356" s="49">
        <f>_xlfn.XLOOKUP(C356,Tab_Def_Flows[Name(EN)],Tab_Def_Flows[Input_Process],,0,)</f>
        <v>0</v>
      </c>
      <c r="H356" s="61" t="str">
        <f>_xlfn.XLOOKUP(C356,Tab_Def_Flows[Name(EN)],Tab_Def_Flows[Process_ID_I],,0,)</f>
        <v>24__</v>
      </c>
      <c r="I356" s="49">
        <f>_xlfn.XLOOKUP(C356,Tab_Def_Flows[Name(EN)],Tab_Def_Flows[Value_Source],,0,)</f>
        <v>0</v>
      </c>
      <c r="J356" s="61" t="str">
        <f>_xlfn.XLOOKUP(C356,Tab_Def_Flows[Name(EN)],Tab_Def_Flows[WC?],,0,)</f>
        <v>Yes</v>
      </c>
      <c r="K356" s="61" t="str">
        <f>_xlfn.XLOOKUP(C356,Tab_Def_Flows[Name(EN)],Tab_Def_Flows[DM?],,0,)</f>
        <v>Yes</v>
      </c>
      <c r="L356" s="61" t="str">
        <f>_xlfn.XLOOKUP(C356,Tab_Def_Flows[Name(EN)],Tab_Def_Flows[CC?],,0,)</f>
        <v>Yes</v>
      </c>
      <c r="M356" s="51"/>
      <c r="N356" s="51"/>
      <c r="O356" s="119"/>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e">
        <f>IF(J356="Yes",AA356*Tab_Data_Flows[[#This Row],[WC_'[%']]],"N.A.")</f>
        <v>#N/A</v>
      </c>
      <c r="AE356" s="61">
        <f>Tab_Data_Flows[[#This Row],[UoM_Flow_Py]]</f>
        <v>0</v>
      </c>
      <c r="AF356" s="111" t="e">
        <f>INDEX(Tab_Def_Flows[[Flow_ID]:[CC_DM_source]],MATCH(Tab_Data_Flows[[#This Row],[Name(EN)]],Tab_Def_Flows[Name(EN)],0),18)</f>
        <v>#N/A</v>
      </c>
      <c r="AG356" s="112" t="e">
        <f>IF(K356="Yes",AF356*Tab_Data_Flows[[#This Row],[Flow_Py]],"N.A.")</f>
        <v>#N/A</v>
      </c>
      <c r="AH356" s="61">
        <f>Tab_Data_Flows[[#This Row],[UoM_Flow_Py]]</f>
        <v>0</v>
      </c>
      <c r="AI356" s="111" t="e">
        <f>INDEX(Tab_Def_Flows[[Flow_ID]:[CC_DM_source]],MATCH(Tab_Data_Flows[[#This Row],[Name(EN)]],Tab_Def_Flows[Name(EN)],0),20)</f>
        <v>#N/A</v>
      </c>
      <c r="AJ356" s="109" t="e">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F_24_24</v>
      </c>
      <c r="C357" s="51"/>
      <c r="D357" s="49">
        <f>_xlfn.XLOOKUP(C357,Tab_Def_Flows[Name(EN)],Tab_Def_Flows[Type_Biomass],,0,)</f>
        <v>0</v>
      </c>
      <c r="E357" s="49">
        <f>_xlfn.XLOOKUP(C357,Tab_Def_Flows[Name(EN)],Tab_Def_Flows[Output_Process],,0,)</f>
        <v>0</v>
      </c>
      <c r="F357" s="49" t="str">
        <f>_xlfn.XLOOKUP(C357,Tab_Def_Flows[Name(EN)],Tab_Def_Flows[Process_ID_O],,0,)</f>
        <v>24__</v>
      </c>
      <c r="G357" s="49">
        <f>_xlfn.XLOOKUP(C357,Tab_Def_Flows[Name(EN)],Tab_Def_Flows[Input_Process],,0,)</f>
        <v>0</v>
      </c>
      <c r="H357" s="61" t="str">
        <f>_xlfn.XLOOKUP(C357,Tab_Def_Flows[Name(EN)],Tab_Def_Flows[Process_ID_I],,0,)</f>
        <v>24__</v>
      </c>
      <c r="I357" s="49">
        <f>_xlfn.XLOOKUP(C357,Tab_Def_Flows[Name(EN)],Tab_Def_Flows[Value_Source],,0,)</f>
        <v>0</v>
      </c>
      <c r="J357" s="61" t="str">
        <f>_xlfn.XLOOKUP(C357,Tab_Def_Flows[Name(EN)],Tab_Def_Flows[WC?],,0,)</f>
        <v>Yes</v>
      </c>
      <c r="K357" s="61" t="str">
        <f>_xlfn.XLOOKUP(C357,Tab_Def_Flows[Name(EN)],Tab_Def_Flows[DM?],,0,)</f>
        <v>Yes</v>
      </c>
      <c r="L357" s="61" t="str">
        <f>_xlfn.XLOOKUP(C357,Tab_Def_Flows[Name(EN)],Tab_Def_Flows[CC?],,0,)</f>
        <v>Yes</v>
      </c>
      <c r="M357" s="51"/>
      <c r="N357" s="51"/>
      <c r="O357" s="119"/>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e">
        <f>IF(J357="Yes",AA357*Tab_Data_Flows[[#This Row],[WC_'[%']]],"N.A.")</f>
        <v>#N/A</v>
      </c>
      <c r="AE357" s="61">
        <f>Tab_Data_Flows[[#This Row],[UoM_Flow_Py]]</f>
        <v>0</v>
      </c>
      <c r="AF357" s="111" t="e">
        <f>INDEX(Tab_Def_Flows[[Flow_ID]:[CC_DM_source]],MATCH(Tab_Data_Flows[[#This Row],[Name(EN)]],Tab_Def_Flows[Name(EN)],0),18)</f>
        <v>#N/A</v>
      </c>
      <c r="AG357" s="112" t="e">
        <f>IF(K357="Yes",AF357*Tab_Data_Flows[[#This Row],[Flow_Py]],"N.A.")</f>
        <v>#N/A</v>
      </c>
      <c r="AH357" s="61">
        <f>Tab_Data_Flows[[#This Row],[UoM_Flow_Py]]</f>
        <v>0</v>
      </c>
      <c r="AI357" s="111" t="e">
        <f>INDEX(Tab_Def_Flows[[Flow_ID]:[CC_DM_source]],MATCH(Tab_Data_Flows[[#This Row],[Name(EN)]],Tab_Def_Flows[Name(EN)],0),20)</f>
        <v>#N/A</v>
      </c>
      <c r="AJ357" s="109" t="e">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F_24_24</v>
      </c>
      <c r="C358" s="51"/>
      <c r="D358" s="49">
        <f>_xlfn.XLOOKUP(C358,Tab_Def_Flows[Name(EN)],Tab_Def_Flows[Type_Biomass],,0,)</f>
        <v>0</v>
      </c>
      <c r="E358" s="49">
        <f>_xlfn.XLOOKUP(C358,Tab_Def_Flows[Name(EN)],Tab_Def_Flows[Output_Process],,0,)</f>
        <v>0</v>
      </c>
      <c r="F358" s="49" t="str">
        <f>_xlfn.XLOOKUP(C358,Tab_Def_Flows[Name(EN)],Tab_Def_Flows[Process_ID_O],,0,)</f>
        <v>24__</v>
      </c>
      <c r="G358" s="49">
        <f>_xlfn.XLOOKUP(C358,Tab_Def_Flows[Name(EN)],Tab_Def_Flows[Input_Process],,0,)</f>
        <v>0</v>
      </c>
      <c r="H358" s="61" t="str">
        <f>_xlfn.XLOOKUP(C358,Tab_Def_Flows[Name(EN)],Tab_Def_Flows[Process_ID_I],,0,)</f>
        <v>24__</v>
      </c>
      <c r="I358" s="49">
        <f>_xlfn.XLOOKUP(C358,Tab_Def_Flows[Name(EN)],Tab_Def_Flows[Value_Source],,0,)</f>
        <v>0</v>
      </c>
      <c r="J358" s="61" t="str">
        <f>_xlfn.XLOOKUP(C358,Tab_Def_Flows[Name(EN)],Tab_Def_Flows[WC?],,0,)</f>
        <v>Yes</v>
      </c>
      <c r="K358" s="61" t="str">
        <f>_xlfn.XLOOKUP(C358,Tab_Def_Flows[Name(EN)],Tab_Def_Flows[DM?],,0,)</f>
        <v>Yes</v>
      </c>
      <c r="L358" s="61" t="str">
        <f>_xlfn.XLOOKUP(C358,Tab_Def_Flows[Name(EN)],Tab_Def_Flows[CC?],,0,)</f>
        <v>Yes</v>
      </c>
      <c r="M358" s="51"/>
      <c r="N358" s="51"/>
      <c r="O358" s="119"/>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e">
        <f>IF(J358="Yes",AA358*Tab_Data_Flows[[#This Row],[WC_'[%']]],"N.A.")</f>
        <v>#N/A</v>
      </c>
      <c r="AE358" s="61">
        <f>Tab_Data_Flows[[#This Row],[UoM_Flow_Py]]</f>
        <v>0</v>
      </c>
      <c r="AF358" s="111" t="e">
        <f>INDEX(Tab_Def_Flows[[Flow_ID]:[CC_DM_source]],MATCH(Tab_Data_Flows[[#This Row],[Name(EN)]],Tab_Def_Flows[Name(EN)],0),18)</f>
        <v>#N/A</v>
      </c>
      <c r="AG358" s="112" t="e">
        <f>IF(K358="Yes",AF358*Tab_Data_Flows[[#This Row],[Flow_Py]],"N.A.")</f>
        <v>#N/A</v>
      </c>
      <c r="AH358" s="61">
        <f>Tab_Data_Flows[[#This Row],[UoM_Flow_Py]]</f>
        <v>0</v>
      </c>
      <c r="AI358" s="111" t="e">
        <f>INDEX(Tab_Def_Flows[[Flow_ID]:[CC_DM_source]],MATCH(Tab_Data_Flows[[#This Row],[Name(EN)]],Tab_Def_Flows[Name(EN)],0),20)</f>
        <v>#N/A</v>
      </c>
      <c r="AJ358" s="109" t="e">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F_24_24</v>
      </c>
      <c r="C359" s="51"/>
      <c r="D359" s="49">
        <f>_xlfn.XLOOKUP(C359,Tab_Def_Flows[Name(EN)],Tab_Def_Flows[Type_Biomass],,0,)</f>
        <v>0</v>
      </c>
      <c r="E359" s="49">
        <f>_xlfn.XLOOKUP(C359,Tab_Def_Flows[Name(EN)],Tab_Def_Flows[Output_Process],,0,)</f>
        <v>0</v>
      </c>
      <c r="F359" s="49" t="str">
        <f>_xlfn.XLOOKUP(C359,Tab_Def_Flows[Name(EN)],Tab_Def_Flows[Process_ID_O],,0,)</f>
        <v>24__</v>
      </c>
      <c r="G359" s="49">
        <f>_xlfn.XLOOKUP(C359,Tab_Def_Flows[Name(EN)],Tab_Def_Flows[Input_Process],,0,)</f>
        <v>0</v>
      </c>
      <c r="H359" s="61" t="str">
        <f>_xlfn.XLOOKUP(C359,Tab_Def_Flows[Name(EN)],Tab_Def_Flows[Process_ID_I],,0,)</f>
        <v>24__</v>
      </c>
      <c r="I359" s="49">
        <f>_xlfn.XLOOKUP(C359,Tab_Def_Flows[Name(EN)],Tab_Def_Flows[Value_Source],,0,)</f>
        <v>0</v>
      </c>
      <c r="J359" s="61" t="str">
        <f>_xlfn.XLOOKUP(C359,Tab_Def_Flows[Name(EN)],Tab_Def_Flows[WC?],,0,)</f>
        <v>Yes</v>
      </c>
      <c r="K359" s="61" t="str">
        <f>_xlfn.XLOOKUP(C359,Tab_Def_Flows[Name(EN)],Tab_Def_Flows[DM?],,0,)</f>
        <v>Yes</v>
      </c>
      <c r="L359" s="61" t="str">
        <f>_xlfn.XLOOKUP(C359,Tab_Def_Flows[Name(EN)],Tab_Def_Flows[CC?],,0,)</f>
        <v>Yes</v>
      </c>
      <c r="M359" s="51"/>
      <c r="N359" s="51"/>
      <c r="O359" s="119"/>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e">
        <f>IF(J359="Yes",AA359*Tab_Data_Flows[[#This Row],[WC_'[%']]],"N.A.")</f>
        <v>#N/A</v>
      </c>
      <c r="AE359" s="61">
        <f>Tab_Data_Flows[[#This Row],[UoM_Flow_Py]]</f>
        <v>0</v>
      </c>
      <c r="AF359" s="111" t="e">
        <f>INDEX(Tab_Def_Flows[[Flow_ID]:[CC_DM_source]],MATCH(Tab_Data_Flows[[#This Row],[Name(EN)]],Tab_Def_Flows[Name(EN)],0),18)</f>
        <v>#N/A</v>
      </c>
      <c r="AG359" s="112" t="e">
        <f>IF(K359="Yes",AF359*Tab_Data_Flows[[#This Row],[Flow_Py]],"N.A.")</f>
        <v>#N/A</v>
      </c>
      <c r="AH359" s="61">
        <f>Tab_Data_Flows[[#This Row],[UoM_Flow_Py]]</f>
        <v>0</v>
      </c>
      <c r="AI359" s="111" t="e">
        <f>INDEX(Tab_Def_Flows[[Flow_ID]:[CC_DM_source]],MATCH(Tab_Data_Flows[[#This Row],[Name(EN)]],Tab_Def_Flows[Name(EN)],0),20)</f>
        <v>#N/A</v>
      </c>
      <c r="AJ359" s="109" t="e">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F_24_24</v>
      </c>
      <c r="C360" s="51"/>
      <c r="D360" s="49">
        <f>_xlfn.XLOOKUP(C360,Tab_Def_Flows[Name(EN)],Tab_Def_Flows[Type_Biomass],,0,)</f>
        <v>0</v>
      </c>
      <c r="E360" s="49">
        <f>_xlfn.XLOOKUP(C360,Tab_Def_Flows[Name(EN)],Tab_Def_Flows[Output_Process],,0,)</f>
        <v>0</v>
      </c>
      <c r="F360" s="49" t="str">
        <f>_xlfn.XLOOKUP(C360,Tab_Def_Flows[Name(EN)],Tab_Def_Flows[Process_ID_O],,0,)</f>
        <v>24__</v>
      </c>
      <c r="G360" s="49">
        <f>_xlfn.XLOOKUP(C360,Tab_Def_Flows[Name(EN)],Tab_Def_Flows[Input_Process],,0,)</f>
        <v>0</v>
      </c>
      <c r="H360" s="61" t="str">
        <f>_xlfn.XLOOKUP(C360,Tab_Def_Flows[Name(EN)],Tab_Def_Flows[Process_ID_I],,0,)</f>
        <v>24__</v>
      </c>
      <c r="I360" s="49">
        <f>_xlfn.XLOOKUP(C360,Tab_Def_Flows[Name(EN)],Tab_Def_Flows[Value_Source],,0,)</f>
        <v>0</v>
      </c>
      <c r="J360" s="61" t="str">
        <f>_xlfn.XLOOKUP(C360,Tab_Def_Flows[Name(EN)],Tab_Def_Flows[WC?],,0,)</f>
        <v>Yes</v>
      </c>
      <c r="K360" s="61" t="str">
        <f>_xlfn.XLOOKUP(C360,Tab_Def_Flows[Name(EN)],Tab_Def_Flows[DM?],,0,)</f>
        <v>Yes</v>
      </c>
      <c r="L360" s="61" t="str">
        <f>_xlfn.XLOOKUP(C360,Tab_Def_Flows[Name(EN)],Tab_Def_Flows[CC?],,0,)</f>
        <v>Yes</v>
      </c>
      <c r="M360" s="51"/>
      <c r="N360" s="51"/>
      <c r="O360" s="119"/>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e">
        <f>IF(J360="Yes",AA360*Tab_Data_Flows[[#This Row],[WC_'[%']]],"N.A.")</f>
        <v>#N/A</v>
      </c>
      <c r="AE360" s="61">
        <f>Tab_Data_Flows[[#This Row],[UoM_Flow_Py]]</f>
        <v>0</v>
      </c>
      <c r="AF360" s="111" t="e">
        <f>INDEX(Tab_Def_Flows[[Flow_ID]:[CC_DM_source]],MATCH(Tab_Data_Flows[[#This Row],[Name(EN)]],Tab_Def_Flows[Name(EN)],0),18)</f>
        <v>#N/A</v>
      </c>
      <c r="AG360" s="112" t="e">
        <f>IF(K360="Yes",AF360*Tab_Data_Flows[[#This Row],[Flow_Py]],"N.A.")</f>
        <v>#N/A</v>
      </c>
      <c r="AH360" s="61">
        <f>Tab_Data_Flows[[#This Row],[UoM_Flow_Py]]</f>
        <v>0</v>
      </c>
      <c r="AI360" s="111" t="e">
        <f>INDEX(Tab_Def_Flows[[Flow_ID]:[CC_DM_source]],MATCH(Tab_Data_Flows[[#This Row],[Name(EN)]],Tab_Def_Flows[Name(EN)],0),20)</f>
        <v>#N/A</v>
      </c>
      <c r="AJ360" s="109" t="e">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F_24_24</v>
      </c>
      <c r="C361" s="51"/>
      <c r="D361" s="49">
        <f>_xlfn.XLOOKUP(C361,Tab_Def_Flows[Name(EN)],Tab_Def_Flows[Type_Biomass],,0,)</f>
        <v>0</v>
      </c>
      <c r="E361" s="49">
        <f>_xlfn.XLOOKUP(C361,Tab_Def_Flows[Name(EN)],Tab_Def_Flows[Output_Process],,0,)</f>
        <v>0</v>
      </c>
      <c r="F361" s="49" t="str">
        <f>_xlfn.XLOOKUP(C361,Tab_Def_Flows[Name(EN)],Tab_Def_Flows[Process_ID_O],,0,)</f>
        <v>24__</v>
      </c>
      <c r="G361" s="49">
        <f>_xlfn.XLOOKUP(C361,Tab_Def_Flows[Name(EN)],Tab_Def_Flows[Input_Process],,0,)</f>
        <v>0</v>
      </c>
      <c r="H361" s="61" t="str">
        <f>_xlfn.XLOOKUP(C361,Tab_Def_Flows[Name(EN)],Tab_Def_Flows[Process_ID_I],,0,)</f>
        <v>24__</v>
      </c>
      <c r="I361" s="49">
        <f>_xlfn.XLOOKUP(C361,Tab_Def_Flows[Name(EN)],Tab_Def_Flows[Value_Source],,0,)</f>
        <v>0</v>
      </c>
      <c r="J361" s="61" t="str">
        <f>_xlfn.XLOOKUP(C361,Tab_Def_Flows[Name(EN)],Tab_Def_Flows[WC?],,0,)</f>
        <v>Yes</v>
      </c>
      <c r="K361" s="61" t="str">
        <f>_xlfn.XLOOKUP(C361,Tab_Def_Flows[Name(EN)],Tab_Def_Flows[DM?],,0,)</f>
        <v>Yes</v>
      </c>
      <c r="L361" s="61" t="str">
        <f>_xlfn.XLOOKUP(C361,Tab_Def_Flows[Name(EN)],Tab_Def_Flows[CC?],,0,)</f>
        <v>Yes</v>
      </c>
      <c r="M361" s="51"/>
      <c r="N361" s="51"/>
      <c r="O361" s="119"/>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e">
        <f>IF(J361="Yes",AA361*Tab_Data_Flows[[#This Row],[WC_'[%']]],"N.A.")</f>
        <v>#N/A</v>
      </c>
      <c r="AE361" s="61">
        <f>Tab_Data_Flows[[#This Row],[UoM_Flow_Py]]</f>
        <v>0</v>
      </c>
      <c r="AF361" s="111" t="e">
        <f>INDEX(Tab_Def_Flows[[Flow_ID]:[CC_DM_source]],MATCH(Tab_Data_Flows[[#This Row],[Name(EN)]],Tab_Def_Flows[Name(EN)],0),18)</f>
        <v>#N/A</v>
      </c>
      <c r="AG361" s="112" t="e">
        <f>IF(K361="Yes",AF361*Tab_Data_Flows[[#This Row],[Flow_Py]],"N.A.")</f>
        <v>#N/A</v>
      </c>
      <c r="AH361" s="61">
        <f>Tab_Data_Flows[[#This Row],[UoM_Flow_Py]]</f>
        <v>0</v>
      </c>
      <c r="AI361" s="111" t="e">
        <f>INDEX(Tab_Def_Flows[[Flow_ID]:[CC_DM_source]],MATCH(Tab_Data_Flows[[#This Row],[Name(EN)]],Tab_Def_Flows[Name(EN)],0),20)</f>
        <v>#N/A</v>
      </c>
      <c r="AJ361" s="109" t="e">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F_24_24</v>
      </c>
      <c r="C362" s="51"/>
      <c r="D362" s="49">
        <f>_xlfn.XLOOKUP(C362,Tab_Def_Flows[Name(EN)],Tab_Def_Flows[Type_Biomass],,0,)</f>
        <v>0</v>
      </c>
      <c r="E362" s="49">
        <f>_xlfn.XLOOKUP(C362,Tab_Def_Flows[Name(EN)],Tab_Def_Flows[Output_Process],,0,)</f>
        <v>0</v>
      </c>
      <c r="F362" s="49" t="str">
        <f>_xlfn.XLOOKUP(C362,Tab_Def_Flows[Name(EN)],Tab_Def_Flows[Process_ID_O],,0,)</f>
        <v>24__</v>
      </c>
      <c r="G362" s="49">
        <f>_xlfn.XLOOKUP(C362,Tab_Def_Flows[Name(EN)],Tab_Def_Flows[Input_Process],,0,)</f>
        <v>0</v>
      </c>
      <c r="H362" s="61" t="str">
        <f>_xlfn.XLOOKUP(C362,Tab_Def_Flows[Name(EN)],Tab_Def_Flows[Process_ID_I],,0,)</f>
        <v>24__</v>
      </c>
      <c r="I362" s="49">
        <f>_xlfn.XLOOKUP(C362,Tab_Def_Flows[Name(EN)],Tab_Def_Flows[Value_Source],,0,)</f>
        <v>0</v>
      </c>
      <c r="J362" s="61" t="str">
        <f>_xlfn.XLOOKUP(C362,Tab_Def_Flows[Name(EN)],Tab_Def_Flows[WC?],,0,)</f>
        <v>Yes</v>
      </c>
      <c r="K362" s="61" t="str">
        <f>_xlfn.XLOOKUP(C362,Tab_Def_Flows[Name(EN)],Tab_Def_Flows[DM?],,0,)</f>
        <v>Yes</v>
      </c>
      <c r="L362" s="61" t="str">
        <f>_xlfn.XLOOKUP(C362,Tab_Def_Flows[Name(EN)],Tab_Def_Flows[CC?],,0,)</f>
        <v>Yes</v>
      </c>
      <c r="M362" s="51"/>
      <c r="N362" s="51"/>
      <c r="O362" s="119"/>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e">
        <f>IF(J362="Yes",AA362*Tab_Data_Flows[[#This Row],[WC_'[%']]],"N.A.")</f>
        <v>#N/A</v>
      </c>
      <c r="AE362" s="61">
        <f>Tab_Data_Flows[[#This Row],[UoM_Flow_Py]]</f>
        <v>0</v>
      </c>
      <c r="AF362" s="111" t="e">
        <f>INDEX(Tab_Def_Flows[[Flow_ID]:[CC_DM_source]],MATCH(Tab_Data_Flows[[#This Row],[Name(EN)]],Tab_Def_Flows[Name(EN)],0),18)</f>
        <v>#N/A</v>
      </c>
      <c r="AG362" s="112" t="e">
        <f>IF(K362="Yes",AF362*Tab_Data_Flows[[#This Row],[Flow_Py]],"N.A.")</f>
        <v>#N/A</v>
      </c>
      <c r="AH362" s="61">
        <f>Tab_Data_Flows[[#This Row],[UoM_Flow_Py]]</f>
        <v>0</v>
      </c>
      <c r="AI362" s="111" t="e">
        <f>INDEX(Tab_Def_Flows[[Flow_ID]:[CC_DM_source]],MATCH(Tab_Data_Flows[[#This Row],[Name(EN)]],Tab_Def_Flows[Name(EN)],0),20)</f>
        <v>#N/A</v>
      </c>
      <c r="AJ362" s="109" t="e">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F_24_24</v>
      </c>
      <c r="C363" s="51"/>
      <c r="D363" s="49">
        <f>_xlfn.XLOOKUP(C363,Tab_Def_Flows[Name(EN)],Tab_Def_Flows[Type_Biomass],,0,)</f>
        <v>0</v>
      </c>
      <c r="E363" s="49">
        <f>_xlfn.XLOOKUP(C363,Tab_Def_Flows[Name(EN)],Tab_Def_Flows[Output_Process],,0,)</f>
        <v>0</v>
      </c>
      <c r="F363" s="49" t="str">
        <f>_xlfn.XLOOKUP(C363,Tab_Def_Flows[Name(EN)],Tab_Def_Flows[Process_ID_O],,0,)</f>
        <v>24__</v>
      </c>
      <c r="G363" s="49">
        <f>_xlfn.XLOOKUP(C363,Tab_Def_Flows[Name(EN)],Tab_Def_Flows[Input_Process],,0,)</f>
        <v>0</v>
      </c>
      <c r="H363" s="61" t="str">
        <f>_xlfn.XLOOKUP(C363,Tab_Def_Flows[Name(EN)],Tab_Def_Flows[Process_ID_I],,0,)</f>
        <v>24__</v>
      </c>
      <c r="I363" s="49">
        <f>_xlfn.XLOOKUP(C363,Tab_Def_Flows[Name(EN)],Tab_Def_Flows[Value_Source],,0,)</f>
        <v>0</v>
      </c>
      <c r="J363" s="61" t="str">
        <f>_xlfn.XLOOKUP(C363,Tab_Def_Flows[Name(EN)],Tab_Def_Flows[WC?],,0,)</f>
        <v>Yes</v>
      </c>
      <c r="K363" s="61" t="str">
        <f>_xlfn.XLOOKUP(C363,Tab_Def_Flows[Name(EN)],Tab_Def_Flows[DM?],,0,)</f>
        <v>Yes</v>
      </c>
      <c r="L363" s="61" t="str">
        <f>_xlfn.XLOOKUP(C363,Tab_Def_Flows[Name(EN)],Tab_Def_Flows[CC?],,0,)</f>
        <v>Yes</v>
      </c>
      <c r="M363" s="51"/>
      <c r="N363" s="51"/>
      <c r="O363" s="119"/>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e">
        <f>IF(J363="Yes",AA363*Tab_Data_Flows[[#This Row],[WC_'[%']]],"N.A.")</f>
        <v>#N/A</v>
      </c>
      <c r="AE363" s="61">
        <f>Tab_Data_Flows[[#This Row],[UoM_Flow_Py]]</f>
        <v>0</v>
      </c>
      <c r="AF363" s="111" t="e">
        <f>INDEX(Tab_Def_Flows[[Flow_ID]:[CC_DM_source]],MATCH(Tab_Data_Flows[[#This Row],[Name(EN)]],Tab_Def_Flows[Name(EN)],0),18)</f>
        <v>#N/A</v>
      </c>
      <c r="AG363" s="112" t="e">
        <f>IF(K363="Yes",AF363*Tab_Data_Flows[[#This Row],[Flow_Py]],"N.A.")</f>
        <v>#N/A</v>
      </c>
      <c r="AH363" s="61">
        <f>Tab_Data_Flows[[#This Row],[UoM_Flow_Py]]</f>
        <v>0</v>
      </c>
      <c r="AI363" s="111" t="e">
        <f>INDEX(Tab_Def_Flows[[Flow_ID]:[CC_DM_source]],MATCH(Tab_Data_Flows[[#This Row],[Name(EN)]],Tab_Def_Flows[Name(EN)],0),20)</f>
        <v>#N/A</v>
      </c>
      <c r="AJ363" s="109" t="e">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F_24_24</v>
      </c>
      <c r="C364" s="51"/>
      <c r="D364" s="49">
        <f>_xlfn.XLOOKUP(C364,Tab_Def_Flows[Name(EN)],Tab_Def_Flows[Type_Biomass],,0,)</f>
        <v>0</v>
      </c>
      <c r="E364" s="49">
        <f>_xlfn.XLOOKUP(C364,Tab_Def_Flows[Name(EN)],Tab_Def_Flows[Output_Process],,0,)</f>
        <v>0</v>
      </c>
      <c r="F364" s="49" t="str">
        <f>_xlfn.XLOOKUP(C364,Tab_Def_Flows[Name(EN)],Tab_Def_Flows[Process_ID_O],,0,)</f>
        <v>24__</v>
      </c>
      <c r="G364" s="49">
        <f>_xlfn.XLOOKUP(C364,Tab_Def_Flows[Name(EN)],Tab_Def_Flows[Input_Process],,0,)</f>
        <v>0</v>
      </c>
      <c r="H364" s="61" t="str">
        <f>_xlfn.XLOOKUP(C364,Tab_Def_Flows[Name(EN)],Tab_Def_Flows[Process_ID_I],,0,)</f>
        <v>24__</v>
      </c>
      <c r="I364" s="49">
        <f>_xlfn.XLOOKUP(C364,Tab_Def_Flows[Name(EN)],Tab_Def_Flows[Value_Source],,0,)</f>
        <v>0</v>
      </c>
      <c r="J364" s="61" t="str">
        <f>_xlfn.XLOOKUP(C364,Tab_Def_Flows[Name(EN)],Tab_Def_Flows[WC?],,0,)</f>
        <v>Yes</v>
      </c>
      <c r="K364" s="61" t="str">
        <f>_xlfn.XLOOKUP(C364,Tab_Def_Flows[Name(EN)],Tab_Def_Flows[DM?],,0,)</f>
        <v>Yes</v>
      </c>
      <c r="L364" s="61" t="str">
        <f>_xlfn.XLOOKUP(C364,Tab_Def_Flows[Name(EN)],Tab_Def_Flows[CC?],,0,)</f>
        <v>Yes</v>
      </c>
      <c r="M364" s="51"/>
      <c r="N364" s="51"/>
      <c r="O364" s="119"/>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e">
        <f>IF(J364="Yes",AA364*Tab_Data_Flows[[#This Row],[WC_'[%']]],"N.A.")</f>
        <v>#N/A</v>
      </c>
      <c r="AE364" s="61">
        <f>Tab_Data_Flows[[#This Row],[UoM_Flow_Py]]</f>
        <v>0</v>
      </c>
      <c r="AF364" s="111" t="e">
        <f>INDEX(Tab_Def_Flows[[Flow_ID]:[CC_DM_source]],MATCH(Tab_Data_Flows[[#This Row],[Name(EN)]],Tab_Def_Flows[Name(EN)],0),18)</f>
        <v>#N/A</v>
      </c>
      <c r="AG364" s="112" t="e">
        <f>IF(K364="Yes",AF364*Tab_Data_Flows[[#This Row],[Flow_Py]],"N.A.")</f>
        <v>#N/A</v>
      </c>
      <c r="AH364" s="61">
        <f>Tab_Data_Flows[[#This Row],[UoM_Flow_Py]]</f>
        <v>0</v>
      </c>
      <c r="AI364" s="111" t="e">
        <f>INDEX(Tab_Def_Flows[[Flow_ID]:[CC_DM_source]],MATCH(Tab_Data_Flows[[#This Row],[Name(EN)]],Tab_Def_Flows[Name(EN)],0),20)</f>
        <v>#N/A</v>
      </c>
      <c r="AJ364" s="109" t="e">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F_24_24</v>
      </c>
      <c r="C365" s="51"/>
      <c r="D365" s="49">
        <f>_xlfn.XLOOKUP(C365,Tab_Def_Flows[Name(EN)],Tab_Def_Flows[Type_Biomass],,0,)</f>
        <v>0</v>
      </c>
      <c r="E365" s="49">
        <f>_xlfn.XLOOKUP(C365,Tab_Def_Flows[Name(EN)],Tab_Def_Flows[Output_Process],,0,)</f>
        <v>0</v>
      </c>
      <c r="F365" s="49" t="str">
        <f>_xlfn.XLOOKUP(C365,Tab_Def_Flows[Name(EN)],Tab_Def_Flows[Process_ID_O],,0,)</f>
        <v>24__</v>
      </c>
      <c r="G365" s="49">
        <f>_xlfn.XLOOKUP(C365,Tab_Def_Flows[Name(EN)],Tab_Def_Flows[Input_Process],,0,)</f>
        <v>0</v>
      </c>
      <c r="H365" s="61" t="str">
        <f>_xlfn.XLOOKUP(C365,Tab_Def_Flows[Name(EN)],Tab_Def_Flows[Process_ID_I],,0,)</f>
        <v>24__</v>
      </c>
      <c r="I365" s="49">
        <f>_xlfn.XLOOKUP(C365,Tab_Def_Flows[Name(EN)],Tab_Def_Flows[Value_Source],,0,)</f>
        <v>0</v>
      </c>
      <c r="J365" s="61" t="str">
        <f>_xlfn.XLOOKUP(C365,Tab_Def_Flows[Name(EN)],Tab_Def_Flows[WC?],,0,)</f>
        <v>Yes</v>
      </c>
      <c r="K365" s="61" t="str">
        <f>_xlfn.XLOOKUP(C365,Tab_Def_Flows[Name(EN)],Tab_Def_Flows[DM?],,0,)</f>
        <v>Yes</v>
      </c>
      <c r="L365" s="61" t="str">
        <f>_xlfn.XLOOKUP(C365,Tab_Def_Flows[Name(EN)],Tab_Def_Flows[CC?],,0,)</f>
        <v>Yes</v>
      </c>
      <c r="M365" s="51"/>
      <c r="N365" s="51"/>
      <c r="O365" s="119"/>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e">
        <f>IF(J365="Yes",AA365*Tab_Data_Flows[[#This Row],[WC_'[%']]],"N.A.")</f>
        <v>#N/A</v>
      </c>
      <c r="AE365" s="61">
        <f>Tab_Data_Flows[[#This Row],[UoM_Flow_Py]]</f>
        <v>0</v>
      </c>
      <c r="AF365" s="111" t="e">
        <f>INDEX(Tab_Def_Flows[[Flow_ID]:[CC_DM_source]],MATCH(Tab_Data_Flows[[#This Row],[Name(EN)]],Tab_Def_Flows[Name(EN)],0),18)</f>
        <v>#N/A</v>
      </c>
      <c r="AG365" s="112" t="e">
        <f>IF(K365="Yes",AF365*Tab_Data_Flows[[#This Row],[Flow_Py]],"N.A.")</f>
        <v>#N/A</v>
      </c>
      <c r="AH365" s="61">
        <f>Tab_Data_Flows[[#This Row],[UoM_Flow_Py]]</f>
        <v>0</v>
      </c>
      <c r="AI365" s="111" t="e">
        <f>INDEX(Tab_Def_Flows[[Flow_ID]:[CC_DM_source]],MATCH(Tab_Data_Flows[[#This Row],[Name(EN)]],Tab_Def_Flows[Name(EN)],0),20)</f>
        <v>#N/A</v>
      </c>
      <c r="AJ365" s="109" t="e">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F_24_24</v>
      </c>
      <c r="C366" s="51"/>
      <c r="D366" s="49">
        <f>_xlfn.XLOOKUP(C366,Tab_Def_Flows[Name(EN)],Tab_Def_Flows[Type_Biomass],,0,)</f>
        <v>0</v>
      </c>
      <c r="E366" s="49">
        <f>_xlfn.XLOOKUP(C366,Tab_Def_Flows[Name(EN)],Tab_Def_Flows[Output_Process],,0,)</f>
        <v>0</v>
      </c>
      <c r="F366" s="49" t="str">
        <f>_xlfn.XLOOKUP(C366,Tab_Def_Flows[Name(EN)],Tab_Def_Flows[Process_ID_O],,0,)</f>
        <v>24__</v>
      </c>
      <c r="G366" s="49">
        <f>_xlfn.XLOOKUP(C366,Tab_Def_Flows[Name(EN)],Tab_Def_Flows[Input_Process],,0,)</f>
        <v>0</v>
      </c>
      <c r="H366" s="61" t="str">
        <f>_xlfn.XLOOKUP(C366,Tab_Def_Flows[Name(EN)],Tab_Def_Flows[Process_ID_I],,0,)</f>
        <v>24__</v>
      </c>
      <c r="I366" s="49">
        <f>_xlfn.XLOOKUP(C366,Tab_Def_Flows[Name(EN)],Tab_Def_Flows[Value_Source],,0,)</f>
        <v>0</v>
      </c>
      <c r="J366" s="61" t="str">
        <f>_xlfn.XLOOKUP(C366,Tab_Def_Flows[Name(EN)],Tab_Def_Flows[WC?],,0,)</f>
        <v>Yes</v>
      </c>
      <c r="K366" s="61" t="str">
        <f>_xlfn.XLOOKUP(C366,Tab_Def_Flows[Name(EN)],Tab_Def_Flows[DM?],,0,)</f>
        <v>Yes</v>
      </c>
      <c r="L366" s="61" t="str">
        <f>_xlfn.XLOOKUP(C366,Tab_Def_Flows[Name(EN)],Tab_Def_Flows[CC?],,0,)</f>
        <v>Yes</v>
      </c>
      <c r="M366" s="51"/>
      <c r="N366" s="51"/>
      <c r="O366" s="119"/>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e">
        <f>IF(J366="Yes",AA366*Tab_Data_Flows[[#This Row],[WC_'[%']]],"N.A.")</f>
        <v>#N/A</v>
      </c>
      <c r="AE366" s="61">
        <f>Tab_Data_Flows[[#This Row],[UoM_Flow_Py]]</f>
        <v>0</v>
      </c>
      <c r="AF366" s="111" t="e">
        <f>INDEX(Tab_Def_Flows[[Flow_ID]:[CC_DM_source]],MATCH(Tab_Data_Flows[[#This Row],[Name(EN)]],Tab_Def_Flows[Name(EN)],0),18)</f>
        <v>#N/A</v>
      </c>
      <c r="AG366" s="112" t="e">
        <f>IF(K366="Yes",AF366*Tab_Data_Flows[[#This Row],[Flow_Py]],"N.A.")</f>
        <v>#N/A</v>
      </c>
      <c r="AH366" s="61">
        <f>Tab_Data_Flows[[#This Row],[UoM_Flow_Py]]</f>
        <v>0</v>
      </c>
      <c r="AI366" s="111" t="e">
        <f>INDEX(Tab_Def_Flows[[Flow_ID]:[CC_DM_source]],MATCH(Tab_Data_Flows[[#This Row],[Name(EN)]],Tab_Def_Flows[Name(EN)],0),20)</f>
        <v>#N/A</v>
      </c>
      <c r="AJ366" s="109" t="e">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F_24_24</v>
      </c>
      <c r="C367" s="51"/>
      <c r="D367" s="49">
        <f>_xlfn.XLOOKUP(C367,Tab_Def_Flows[Name(EN)],Tab_Def_Flows[Type_Biomass],,0,)</f>
        <v>0</v>
      </c>
      <c r="E367" s="49">
        <f>_xlfn.XLOOKUP(C367,Tab_Def_Flows[Name(EN)],Tab_Def_Flows[Output_Process],,0,)</f>
        <v>0</v>
      </c>
      <c r="F367" s="49" t="str">
        <f>_xlfn.XLOOKUP(C367,Tab_Def_Flows[Name(EN)],Tab_Def_Flows[Process_ID_O],,0,)</f>
        <v>24__</v>
      </c>
      <c r="G367" s="49">
        <f>_xlfn.XLOOKUP(C367,Tab_Def_Flows[Name(EN)],Tab_Def_Flows[Input_Process],,0,)</f>
        <v>0</v>
      </c>
      <c r="H367" s="61" t="str">
        <f>_xlfn.XLOOKUP(C367,Tab_Def_Flows[Name(EN)],Tab_Def_Flows[Process_ID_I],,0,)</f>
        <v>24__</v>
      </c>
      <c r="I367" s="49">
        <f>_xlfn.XLOOKUP(C367,Tab_Def_Flows[Name(EN)],Tab_Def_Flows[Value_Source],,0,)</f>
        <v>0</v>
      </c>
      <c r="J367" s="61" t="str">
        <f>_xlfn.XLOOKUP(C367,Tab_Def_Flows[Name(EN)],Tab_Def_Flows[WC?],,0,)</f>
        <v>Yes</v>
      </c>
      <c r="K367" s="61" t="str">
        <f>_xlfn.XLOOKUP(C367,Tab_Def_Flows[Name(EN)],Tab_Def_Flows[DM?],,0,)</f>
        <v>Yes</v>
      </c>
      <c r="L367" s="61" t="str">
        <f>_xlfn.XLOOKUP(C367,Tab_Def_Flows[Name(EN)],Tab_Def_Flows[CC?],,0,)</f>
        <v>Yes</v>
      </c>
      <c r="M367" s="51"/>
      <c r="N367" s="51"/>
      <c r="O367" s="119"/>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e">
        <f>IF(J367="Yes",AA367*Tab_Data_Flows[[#This Row],[WC_'[%']]],"N.A.")</f>
        <v>#N/A</v>
      </c>
      <c r="AE367" s="61">
        <f>Tab_Data_Flows[[#This Row],[UoM_Flow_Py]]</f>
        <v>0</v>
      </c>
      <c r="AF367" s="111" t="e">
        <f>INDEX(Tab_Def_Flows[[Flow_ID]:[CC_DM_source]],MATCH(Tab_Data_Flows[[#This Row],[Name(EN)]],Tab_Def_Flows[Name(EN)],0),18)</f>
        <v>#N/A</v>
      </c>
      <c r="AG367" s="112" t="e">
        <f>IF(K367="Yes",AF367*Tab_Data_Flows[[#This Row],[Flow_Py]],"N.A.")</f>
        <v>#N/A</v>
      </c>
      <c r="AH367" s="61">
        <f>Tab_Data_Flows[[#This Row],[UoM_Flow_Py]]</f>
        <v>0</v>
      </c>
      <c r="AI367" s="111" t="e">
        <f>INDEX(Tab_Def_Flows[[Flow_ID]:[CC_DM_source]],MATCH(Tab_Data_Flows[[#This Row],[Name(EN)]],Tab_Def_Flows[Name(EN)],0),20)</f>
        <v>#N/A</v>
      </c>
      <c r="AJ367" s="109" t="e">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F_24_24</v>
      </c>
      <c r="C368" s="51"/>
      <c r="D368" s="49">
        <f>_xlfn.XLOOKUP(C368,Tab_Def_Flows[Name(EN)],Tab_Def_Flows[Type_Biomass],,0,)</f>
        <v>0</v>
      </c>
      <c r="E368" s="49">
        <f>_xlfn.XLOOKUP(C368,Tab_Def_Flows[Name(EN)],Tab_Def_Flows[Output_Process],,0,)</f>
        <v>0</v>
      </c>
      <c r="F368" s="49" t="str">
        <f>_xlfn.XLOOKUP(C368,Tab_Def_Flows[Name(EN)],Tab_Def_Flows[Process_ID_O],,0,)</f>
        <v>24__</v>
      </c>
      <c r="G368" s="49">
        <f>_xlfn.XLOOKUP(C368,Tab_Def_Flows[Name(EN)],Tab_Def_Flows[Input_Process],,0,)</f>
        <v>0</v>
      </c>
      <c r="H368" s="61" t="str">
        <f>_xlfn.XLOOKUP(C368,Tab_Def_Flows[Name(EN)],Tab_Def_Flows[Process_ID_I],,0,)</f>
        <v>24__</v>
      </c>
      <c r="I368" s="49">
        <f>_xlfn.XLOOKUP(C368,Tab_Def_Flows[Name(EN)],Tab_Def_Flows[Value_Source],,0,)</f>
        <v>0</v>
      </c>
      <c r="J368" s="61" t="str">
        <f>_xlfn.XLOOKUP(C368,Tab_Def_Flows[Name(EN)],Tab_Def_Flows[WC?],,0,)</f>
        <v>Yes</v>
      </c>
      <c r="K368" s="61" t="str">
        <f>_xlfn.XLOOKUP(C368,Tab_Def_Flows[Name(EN)],Tab_Def_Flows[DM?],,0,)</f>
        <v>Yes</v>
      </c>
      <c r="L368" s="61" t="str">
        <f>_xlfn.XLOOKUP(C368,Tab_Def_Flows[Name(EN)],Tab_Def_Flows[CC?],,0,)</f>
        <v>Yes</v>
      </c>
      <c r="M368" s="51"/>
      <c r="N368" s="51"/>
      <c r="O368" s="119"/>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e">
        <f>IF(J368="Yes",AA368*Tab_Data_Flows[[#This Row],[WC_'[%']]],"N.A.")</f>
        <v>#N/A</v>
      </c>
      <c r="AE368" s="61">
        <f>Tab_Data_Flows[[#This Row],[UoM_Flow_Py]]</f>
        <v>0</v>
      </c>
      <c r="AF368" s="111" t="e">
        <f>INDEX(Tab_Def_Flows[[Flow_ID]:[CC_DM_source]],MATCH(Tab_Data_Flows[[#This Row],[Name(EN)]],Tab_Def_Flows[Name(EN)],0),18)</f>
        <v>#N/A</v>
      </c>
      <c r="AG368" s="112" t="e">
        <f>IF(K368="Yes",AF368*Tab_Data_Flows[[#This Row],[Flow_Py]],"N.A.")</f>
        <v>#N/A</v>
      </c>
      <c r="AH368" s="61">
        <f>Tab_Data_Flows[[#This Row],[UoM_Flow_Py]]</f>
        <v>0</v>
      </c>
      <c r="AI368" s="111" t="e">
        <f>INDEX(Tab_Def_Flows[[Flow_ID]:[CC_DM_source]],MATCH(Tab_Data_Flows[[#This Row],[Name(EN)]],Tab_Def_Flows[Name(EN)],0),20)</f>
        <v>#N/A</v>
      </c>
      <c r="AJ368" s="109" t="e">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F_24_24</v>
      </c>
      <c r="C369" s="51"/>
      <c r="D369" s="49">
        <f>_xlfn.XLOOKUP(C369,Tab_Def_Flows[Name(EN)],Tab_Def_Flows[Type_Biomass],,0,)</f>
        <v>0</v>
      </c>
      <c r="E369" s="49">
        <f>_xlfn.XLOOKUP(C369,Tab_Def_Flows[Name(EN)],Tab_Def_Flows[Output_Process],,0,)</f>
        <v>0</v>
      </c>
      <c r="F369" s="49" t="str">
        <f>_xlfn.XLOOKUP(C369,Tab_Def_Flows[Name(EN)],Tab_Def_Flows[Process_ID_O],,0,)</f>
        <v>24__</v>
      </c>
      <c r="G369" s="49">
        <f>_xlfn.XLOOKUP(C369,Tab_Def_Flows[Name(EN)],Tab_Def_Flows[Input_Process],,0,)</f>
        <v>0</v>
      </c>
      <c r="H369" s="61" t="str">
        <f>_xlfn.XLOOKUP(C369,Tab_Def_Flows[Name(EN)],Tab_Def_Flows[Process_ID_I],,0,)</f>
        <v>24__</v>
      </c>
      <c r="I369" s="49">
        <f>_xlfn.XLOOKUP(C369,Tab_Def_Flows[Name(EN)],Tab_Def_Flows[Value_Source],,0,)</f>
        <v>0</v>
      </c>
      <c r="J369" s="61" t="str">
        <f>_xlfn.XLOOKUP(C369,Tab_Def_Flows[Name(EN)],Tab_Def_Flows[WC?],,0,)</f>
        <v>Yes</v>
      </c>
      <c r="K369" s="61" t="str">
        <f>_xlfn.XLOOKUP(C369,Tab_Def_Flows[Name(EN)],Tab_Def_Flows[DM?],,0,)</f>
        <v>Yes</v>
      </c>
      <c r="L369" s="61" t="str">
        <f>_xlfn.XLOOKUP(C369,Tab_Def_Flows[Name(EN)],Tab_Def_Flows[CC?],,0,)</f>
        <v>Yes</v>
      </c>
      <c r="M369" s="51"/>
      <c r="N369" s="51"/>
      <c r="O369" s="119"/>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e">
        <f>IF(J369="Yes",AA369*Tab_Data_Flows[[#This Row],[WC_'[%']]],"N.A.")</f>
        <v>#N/A</v>
      </c>
      <c r="AE369" s="61">
        <f>Tab_Data_Flows[[#This Row],[UoM_Flow_Py]]</f>
        <v>0</v>
      </c>
      <c r="AF369" s="111" t="e">
        <f>INDEX(Tab_Def_Flows[[Flow_ID]:[CC_DM_source]],MATCH(Tab_Data_Flows[[#This Row],[Name(EN)]],Tab_Def_Flows[Name(EN)],0),18)</f>
        <v>#N/A</v>
      </c>
      <c r="AG369" s="112" t="e">
        <f>IF(K369="Yes",AF369*Tab_Data_Flows[[#This Row],[Flow_Py]],"N.A.")</f>
        <v>#N/A</v>
      </c>
      <c r="AH369" s="61">
        <f>Tab_Data_Flows[[#This Row],[UoM_Flow_Py]]</f>
        <v>0</v>
      </c>
      <c r="AI369" s="111" t="e">
        <f>INDEX(Tab_Def_Flows[[Flow_ID]:[CC_DM_source]],MATCH(Tab_Data_Flows[[#This Row],[Name(EN)]],Tab_Def_Flows[Name(EN)],0),20)</f>
        <v>#N/A</v>
      </c>
      <c r="AJ369" s="109" t="e">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F_24_24</v>
      </c>
      <c r="C370" s="51"/>
      <c r="D370" s="49">
        <f>_xlfn.XLOOKUP(C370,Tab_Def_Flows[Name(EN)],Tab_Def_Flows[Type_Biomass],,0,)</f>
        <v>0</v>
      </c>
      <c r="E370" s="49">
        <f>_xlfn.XLOOKUP(C370,Tab_Def_Flows[Name(EN)],Tab_Def_Flows[Output_Process],,0,)</f>
        <v>0</v>
      </c>
      <c r="F370" s="49" t="str">
        <f>_xlfn.XLOOKUP(C370,Tab_Def_Flows[Name(EN)],Tab_Def_Flows[Process_ID_O],,0,)</f>
        <v>24__</v>
      </c>
      <c r="G370" s="49">
        <f>_xlfn.XLOOKUP(C370,Tab_Def_Flows[Name(EN)],Tab_Def_Flows[Input_Process],,0,)</f>
        <v>0</v>
      </c>
      <c r="H370" s="61" t="str">
        <f>_xlfn.XLOOKUP(C370,Tab_Def_Flows[Name(EN)],Tab_Def_Flows[Process_ID_I],,0,)</f>
        <v>24__</v>
      </c>
      <c r="I370" s="49">
        <f>_xlfn.XLOOKUP(C370,Tab_Def_Flows[Name(EN)],Tab_Def_Flows[Value_Source],,0,)</f>
        <v>0</v>
      </c>
      <c r="J370" s="61" t="str">
        <f>_xlfn.XLOOKUP(C370,Tab_Def_Flows[Name(EN)],Tab_Def_Flows[WC?],,0,)</f>
        <v>Yes</v>
      </c>
      <c r="K370" s="61" t="str">
        <f>_xlfn.XLOOKUP(C370,Tab_Def_Flows[Name(EN)],Tab_Def_Flows[DM?],,0,)</f>
        <v>Yes</v>
      </c>
      <c r="L370" s="61" t="str">
        <f>_xlfn.XLOOKUP(C370,Tab_Def_Flows[Name(EN)],Tab_Def_Flows[CC?],,0,)</f>
        <v>Yes</v>
      </c>
      <c r="M370" s="51"/>
      <c r="N370" s="51"/>
      <c r="O370" s="119"/>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e">
        <f>IF(J370="Yes",AA370*Tab_Data_Flows[[#This Row],[WC_'[%']]],"N.A.")</f>
        <v>#N/A</v>
      </c>
      <c r="AE370" s="61">
        <f>Tab_Data_Flows[[#This Row],[UoM_Flow_Py]]</f>
        <v>0</v>
      </c>
      <c r="AF370" s="111" t="e">
        <f>INDEX(Tab_Def_Flows[[Flow_ID]:[CC_DM_source]],MATCH(Tab_Data_Flows[[#This Row],[Name(EN)]],Tab_Def_Flows[Name(EN)],0),18)</f>
        <v>#N/A</v>
      </c>
      <c r="AG370" s="112" t="e">
        <f>IF(K370="Yes",AF370*Tab_Data_Flows[[#This Row],[Flow_Py]],"N.A.")</f>
        <v>#N/A</v>
      </c>
      <c r="AH370" s="61">
        <f>Tab_Data_Flows[[#This Row],[UoM_Flow_Py]]</f>
        <v>0</v>
      </c>
      <c r="AI370" s="111" t="e">
        <f>INDEX(Tab_Def_Flows[[Flow_ID]:[CC_DM_source]],MATCH(Tab_Data_Flows[[#This Row],[Name(EN)]],Tab_Def_Flows[Name(EN)],0),20)</f>
        <v>#N/A</v>
      </c>
      <c r="AJ370" s="109" t="e">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F_24_24</v>
      </c>
      <c r="C371" s="51"/>
      <c r="D371" s="49">
        <f>_xlfn.XLOOKUP(C371,Tab_Def_Flows[Name(EN)],Tab_Def_Flows[Type_Biomass],,0,)</f>
        <v>0</v>
      </c>
      <c r="E371" s="49">
        <f>_xlfn.XLOOKUP(C371,Tab_Def_Flows[Name(EN)],Tab_Def_Flows[Output_Process],,0,)</f>
        <v>0</v>
      </c>
      <c r="F371" s="49" t="str">
        <f>_xlfn.XLOOKUP(C371,Tab_Def_Flows[Name(EN)],Tab_Def_Flows[Process_ID_O],,0,)</f>
        <v>24__</v>
      </c>
      <c r="G371" s="49">
        <f>_xlfn.XLOOKUP(C371,Tab_Def_Flows[Name(EN)],Tab_Def_Flows[Input_Process],,0,)</f>
        <v>0</v>
      </c>
      <c r="H371" s="61" t="str">
        <f>_xlfn.XLOOKUP(C371,Tab_Def_Flows[Name(EN)],Tab_Def_Flows[Process_ID_I],,0,)</f>
        <v>24__</v>
      </c>
      <c r="I371" s="49">
        <f>_xlfn.XLOOKUP(C371,Tab_Def_Flows[Name(EN)],Tab_Def_Flows[Value_Source],,0,)</f>
        <v>0</v>
      </c>
      <c r="J371" s="61" t="str">
        <f>_xlfn.XLOOKUP(C371,Tab_Def_Flows[Name(EN)],Tab_Def_Flows[WC?],,0,)</f>
        <v>Yes</v>
      </c>
      <c r="K371" s="61" t="str">
        <f>_xlfn.XLOOKUP(C371,Tab_Def_Flows[Name(EN)],Tab_Def_Flows[DM?],,0,)</f>
        <v>Yes</v>
      </c>
      <c r="L371" s="61" t="str">
        <f>_xlfn.XLOOKUP(C371,Tab_Def_Flows[Name(EN)],Tab_Def_Flows[CC?],,0,)</f>
        <v>Yes</v>
      </c>
      <c r="M371" s="51"/>
      <c r="N371" s="51"/>
      <c r="O371" s="119"/>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e">
        <f>IF(J371="Yes",AA371*Tab_Data_Flows[[#This Row],[WC_'[%']]],"N.A.")</f>
        <v>#N/A</v>
      </c>
      <c r="AE371" s="61">
        <f>Tab_Data_Flows[[#This Row],[UoM_Flow_Py]]</f>
        <v>0</v>
      </c>
      <c r="AF371" s="111" t="e">
        <f>INDEX(Tab_Def_Flows[[Flow_ID]:[CC_DM_source]],MATCH(Tab_Data_Flows[[#This Row],[Name(EN)]],Tab_Def_Flows[Name(EN)],0),18)</f>
        <v>#N/A</v>
      </c>
      <c r="AG371" s="112" t="e">
        <f>IF(K371="Yes",AF371*Tab_Data_Flows[[#This Row],[Flow_Py]],"N.A.")</f>
        <v>#N/A</v>
      </c>
      <c r="AH371" s="61">
        <f>Tab_Data_Flows[[#This Row],[UoM_Flow_Py]]</f>
        <v>0</v>
      </c>
      <c r="AI371" s="111" t="e">
        <f>INDEX(Tab_Def_Flows[[Flow_ID]:[CC_DM_source]],MATCH(Tab_Data_Flows[[#This Row],[Name(EN)]],Tab_Def_Flows[Name(EN)],0),20)</f>
        <v>#N/A</v>
      </c>
      <c r="AJ371" s="109" t="e">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F_24_24</v>
      </c>
      <c r="C372" s="51"/>
      <c r="D372" s="49">
        <f>_xlfn.XLOOKUP(C372,Tab_Def_Flows[Name(EN)],Tab_Def_Flows[Type_Biomass],,0,)</f>
        <v>0</v>
      </c>
      <c r="E372" s="49">
        <f>_xlfn.XLOOKUP(C372,Tab_Def_Flows[Name(EN)],Tab_Def_Flows[Output_Process],,0,)</f>
        <v>0</v>
      </c>
      <c r="F372" s="49" t="str">
        <f>_xlfn.XLOOKUP(C372,Tab_Def_Flows[Name(EN)],Tab_Def_Flows[Process_ID_O],,0,)</f>
        <v>24__</v>
      </c>
      <c r="G372" s="49">
        <f>_xlfn.XLOOKUP(C372,Tab_Def_Flows[Name(EN)],Tab_Def_Flows[Input_Process],,0,)</f>
        <v>0</v>
      </c>
      <c r="H372" s="61" t="str">
        <f>_xlfn.XLOOKUP(C372,Tab_Def_Flows[Name(EN)],Tab_Def_Flows[Process_ID_I],,0,)</f>
        <v>24__</v>
      </c>
      <c r="I372" s="49">
        <f>_xlfn.XLOOKUP(C372,Tab_Def_Flows[Name(EN)],Tab_Def_Flows[Value_Source],,0,)</f>
        <v>0</v>
      </c>
      <c r="J372" s="61" t="str">
        <f>_xlfn.XLOOKUP(C372,Tab_Def_Flows[Name(EN)],Tab_Def_Flows[WC?],,0,)</f>
        <v>Yes</v>
      </c>
      <c r="K372" s="61" t="str">
        <f>_xlfn.XLOOKUP(C372,Tab_Def_Flows[Name(EN)],Tab_Def_Flows[DM?],,0,)</f>
        <v>Yes</v>
      </c>
      <c r="L372" s="61" t="str">
        <f>_xlfn.XLOOKUP(C372,Tab_Def_Flows[Name(EN)],Tab_Def_Flows[CC?],,0,)</f>
        <v>Yes</v>
      </c>
      <c r="M372" s="51"/>
      <c r="N372" s="51"/>
      <c r="O372" s="119"/>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e">
        <f>IF(J372="Yes",AA372*Tab_Data_Flows[[#This Row],[WC_'[%']]],"N.A.")</f>
        <v>#N/A</v>
      </c>
      <c r="AE372" s="61">
        <f>Tab_Data_Flows[[#This Row],[UoM_Flow_Py]]</f>
        <v>0</v>
      </c>
      <c r="AF372" s="111" t="e">
        <f>INDEX(Tab_Def_Flows[[Flow_ID]:[CC_DM_source]],MATCH(Tab_Data_Flows[[#This Row],[Name(EN)]],Tab_Def_Flows[Name(EN)],0),18)</f>
        <v>#N/A</v>
      </c>
      <c r="AG372" s="112" t="e">
        <f>IF(K372="Yes",AF372*Tab_Data_Flows[[#This Row],[Flow_Py]],"N.A.")</f>
        <v>#N/A</v>
      </c>
      <c r="AH372" s="61">
        <f>Tab_Data_Flows[[#This Row],[UoM_Flow_Py]]</f>
        <v>0</v>
      </c>
      <c r="AI372" s="111" t="e">
        <f>INDEX(Tab_Def_Flows[[Flow_ID]:[CC_DM_source]],MATCH(Tab_Data_Flows[[#This Row],[Name(EN)]],Tab_Def_Flows[Name(EN)],0),20)</f>
        <v>#N/A</v>
      </c>
      <c r="AJ372" s="109" t="e">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F_24_24</v>
      </c>
      <c r="C373" s="51"/>
      <c r="D373" s="49">
        <f>_xlfn.XLOOKUP(C373,Tab_Def_Flows[Name(EN)],Tab_Def_Flows[Type_Biomass],,0,)</f>
        <v>0</v>
      </c>
      <c r="E373" s="49">
        <f>_xlfn.XLOOKUP(C373,Tab_Def_Flows[Name(EN)],Tab_Def_Flows[Output_Process],,0,)</f>
        <v>0</v>
      </c>
      <c r="F373" s="49" t="str">
        <f>_xlfn.XLOOKUP(C373,Tab_Def_Flows[Name(EN)],Tab_Def_Flows[Process_ID_O],,0,)</f>
        <v>24__</v>
      </c>
      <c r="G373" s="49">
        <f>_xlfn.XLOOKUP(C373,Tab_Def_Flows[Name(EN)],Tab_Def_Flows[Input_Process],,0,)</f>
        <v>0</v>
      </c>
      <c r="H373" s="61" t="str">
        <f>_xlfn.XLOOKUP(C373,Tab_Def_Flows[Name(EN)],Tab_Def_Flows[Process_ID_I],,0,)</f>
        <v>24__</v>
      </c>
      <c r="I373" s="49">
        <f>_xlfn.XLOOKUP(C373,Tab_Def_Flows[Name(EN)],Tab_Def_Flows[Value_Source],,0,)</f>
        <v>0</v>
      </c>
      <c r="J373" s="61" t="str">
        <f>_xlfn.XLOOKUP(C373,Tab_Def_Flows[Name(EN)],Tab_Def_Flows[WC?],,0,)</f>
        <v>Yes</v>
      </c>
      <c r="K373" s="61" t="str">
        <f>_xlfn.XLOOKUP(C373,Tab_Def_Flows[Name(EN)],Tab_Def_Flows[DM?],,0,)</f>
        <v>Yes</v>
      </c>
      <c r="L373" s="61" t="str">
        <f>_xlfn.XLOOKUP(C373,Tab_Def_Flows[Name(EN)],Tab_Def_Flows[CC?],,0,)</f>
        <v>Yes</v>
      </c>
      <c r="M373" s="51"/>
      <c r="N373" s="51"/>
      <c r="O373" s="119"/>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e">
        <f>IF(J373="Yes",AA373*Tab_Data_Flows[[#This Row],[WC_'[%']]],"N.A.")</f>
        <v>#N/A</v>
      </c>
      <c r="AE373" s="61">
        <f>Tab_Data_Flows[[#This Row],[UoM_Flow_Py]]</f>
        <v>0</v>
      </c>
      <c r="AF373" s="111" t="e">
        <f>INDEX(Tab_Def_Flows[[Flow_ID]:[CC_DM_source]],MATCH(Tab_Data_Flows[[#This Row],[Name(EN)]],Tab_Def_Flows[Name(EN)],0),18)</f>
        <v>#N/A</v>
      </c>
      <c r="AG373" s="112" t="e">
        <f>IF(K373="Yes",AF373*Tab_Data_Flows[[#This Row],[Flow_Py]],"N.A.")</f>
        <v>#N/A</v>
      </c>
      <c r="AH373" s="61">
        <f>Tab_Data_Flows[[#This Row],[UoM_Flow_Py]]</f>
        <v>0</v>
      </c>
      <c r="AI373" s="111" t="e">
        <f>INDEX(Tab_Def_Flows[[Flow_ID]:[CC_DM_source]],MATCH(Tab_Data_Flows[[#This Row],[Name(EN)]],Tab_Def_Flows[Name(EN)],0),20)</f>
        <v>#N/A</v>
      </c>
      <c r="AJ373" s="109" t="e">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F_24_24</v>
      </c>
      <c r="C374" s="51"/>
      <c r="D374" s="49">
        <f>_xlfn.XLOOKUP(C374,Tab_Def_Flows[Name(EN)],Tab_Def_Flows[Type_Biomass],,0,)</f>
        <v>0</v>
      </c>
      <c r="E374" s="49">
        <f>_xlfn.XLOOKUP(C374,Tab_Def_Flows[Name(EN)],Tab_Def_Flows[Output_Process],,0,)</f>
        <v>0</v>
      </c>
      <c r="F374" s="49" t="str">
        <f>_xlfn.XLOOKUP(C374,Tab_Def_Flows[Name(EN)],Tab_Def_Flows[Process_ID_O],,0,)</f>
        <v>24__</v>
      </c>
      <c r="G374" s="49">
        <f>_xlfn.XLOOKUP(C374,Tab_Def_Flows[Name(EN)],Tab_Def_Flows[Input_Process],,0,)</f>
        <v>0</v>
      </c>
      <c r="H374" s="61" t="str">
        <f>_xlfn.XLOOKUP(C374,Tab_Def_Flows[Name(EN)],Tab_Def_Flows[Process_ID_I],,0,)</f>
        <v>24__</v>
      </c>
      <c r="I374" s="49">
        <f>_xlfn.XLOOKUP(C374,Tab_Def_Flows[Name(EN)],Tab_Def_Flows[Value_Source],,0,)</f>
        <v>0</v>
      </c>
      <c r="J374" s="61" t="str">
        <f>_xlfn.XLOOKUP(C374,Tab_Def_Flows[Name(EN)],Tab_Def_Flows[WC?],,0,)</f>
        <v>Yes</v>
      </c>
      <c r="K374" s="61" t="str">
        <f>_xlfn.XLOOKUP(C374,Tab_Def_Flows[Name(EN)],Tab_Def_Flows[DM?],,0,)</f>
        <v>Yes</v>
      </c>
      <c r="L374" s="61" t="str">
        <f>_xlfn.XLOOKUP(C374,Tab_Def_Flows[Name(EN)],Tab_Def_Flows[CC?],,0,)</f>
        <v>Yes</v>
      </c>
      <c r="M374" s="51"/>
      <c r="N374" s="51"/>
      <c r="O374" s="119"/>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e">
        <f>IF(J374="Yes",AA374*Tab_Data_Flows[[#This Row],[WC_'[%']]],"N.A.")</f>
        <v>#N/A</v>
      </c>
      <c r="AE374" s="61">
        <f>Tab_Data_Flows[[#This Row],[UoM_Flow_Py]]</f>
        <v>0</v>
      </c>
      <c r="AF374" s="111" t="e">
        <f>INDEX(Tab_Def_Flows[[Flow_ID]:[CC_DM_source]],MATCH(Tab_Data_Flows[[#This Row],[Name(EN)]],Tab_Def_Flows[Name(EN)],0),18)</f>
        <v>#N/A</v>
      </c>
      <c r="AG374" s="112" t="e">
        <f>IF(K374="Yes",AF374*Tab_Data_Flows[[#This Row],[Flow_Py]],"N.A.")</f>
        <v>#N/A</v>
      </c>
      <c r="AH374" s="61">
        <f>Tab_Data_Flows[[#This Row],[UoM_Flow_Py]]</f>
        <v>0</v>
      </c>
      <c r="AI374" s="111" t="e">
        <f>INDEX(Tab_Def_Flows[[Flow_ID]:[CC_DM_source]],MATCH(Tab_Data_Flows[[#This Row],[Name(EN)]],Tab_Def_Flows[Name(EN)],0),20)</f>
        <v>#N/A</v>
      </c>
      <c r="AJ374" s="109" t="e">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F_24_24</v>
      </c>
      <c r="C375" s="51"/>
      <c r="D375" s="49">
        <f>_xlfn.XLOOKUP(C375,Tab_Def_Flows[Name(EN)],Tab_Def_Flows[Type_Biomass],,0,)</f>
        <v>0</v>
      </c>
      <c r="E375" s="49">
        <f>_xlfn.XLOOKUP(C375,Tab_Def_Flows[Name(EN)],Tab_Def_Flows[Output_Process],,0,)</f>
        <v>0</v>
      </c>
      <c r="F375" s="49" t="str">
        <f>_xlfn.XLOOKUP(C375,Tab_Def_Flows[Name(EN)],Tab_Def_Flows[Process_ID_O],,0,)</f>
        <v>24__</v>
      </c>
      <c r="G375" s="49">
        <f>_xlfn.XLOOKUP(C375,Tab_Def_Flows[Name(EN)],Tab_Def_Flows[Input_Process],,0,)</f>
        <v>0</v>
      </c>
      <c r="H375" s="61" t="str">
        <f>_xlfn.XLOOKUP(C375,Tab_Def_Flows[Name(EN)],Tab_Def_Flows[Process_ID_I],,0,)</f>
        <v>24__</v>
      </c>
      <c r="I375" s="49">
        <f>_xlfn.XLOOKUP(C375,Tab_Def_Flows[Name(EN)],Tab_Def_Flows[Value_Source],,0,)</f>
        <v>0</v>
      </c>
      <c r="J375" s="61" t="str">
        <f>_xlfn.XLOOKUP(C375,Tab_Def_Flows[Name(EN)],Tab_Def_Flows[WC?],,0,)</f>
        <v>Yes</v>
      </c>
      <c r="K375" s="61" t="str">
        <f>_xlfn.XLOOKUP(C375,Tab_Def_Flows[Name(EN)],Tab_Def_Flows[DM?],,0,)</f>
        <v>Yes</v>
      </c>
      <c r="L375" s="61" t="str">
        <f>_xlfn.XLOOKUP(C375,Tab_Def_Flows[Name(EN)],Tab_Def_Flows[CC?],,0,)</f>
        <v>Yes</v>
      </c>
      <c r="M375" s="51"/>
      <c r="N375" s="51"/>
      <c r="O375" s="119"/>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e">
        <f>IF(J375="Yes",AA375*Tab_Data_Flows[[#This Row],[WC_'[%']]],"N.A.")</f>
        <v>#N/A</v>
      </c>
      <c r="AE375" s="61">
        <f>Tab_Data_Flows[[#This Row],[UoM_Flow_Py]]</f>
        <v>0</v>
      </c>
      <c r="AF375" s="111" t="e">
        <f>INDEX(Tab_Def_Flows[[Flow_ID]:[CC_DM_source]],MATCH(Tab_Data_Flows[[#This Row],[Name(EN)]],Tab_Def_Flows[Name(EN)],0),18)</f>
        <v>#N/A</v>
      </c>
      <c r="AG375" s="112" t="e">
        <f>IF(K375="Yes",AF375*Tab_Data_Flows[[#This Row],[Flow_Py]],"N.A.")</f>
        <v>#N/A</v>
      </c>
      <c r="AH375" s="61">
        <f>Tab_Data_Flows[[#This Row],[UoM_Flow_Py]]</f>
        <v>0</v>
      </c>
      <c r="AI375" s="111" t="e">
        <f>INDEX(Tab_Def_Flows[[Flow_ID]:[CC_DM_source]],MATCH(Tab_Data_Flows[[#This Row],[Name(EN)]],Tab_Def_Flows[Name(EN)],0),20)</f>
        <v>#N/A</v>
      </c>
      <c r="AJ375" s="109" t="e">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F_24_24</v>
      </c>
      <c r="C376" s="51"/>
      <c r="D376" s="49">
        <f>_xlfn.XLOOKUP(C376,Tab_Def_Flows[Name(EN)],Tab_Def_Flows[Type_Biomass],,0,)</f>
        <v>0</v>
      </c>
      <c r="E376" s="49">
        <f>_xlfn.XLOOKUP(C376,Tab_Def_Flows[Name(EN)],Tab_Def_Flows[Output_Process],,0,)</f>
        <v>0</v>
      </c>
      <c r="F376" s="49" t="str">
        <f>_xlfn.XLOOKUP(C376,Tab_Def_Flows[Name(EN)],Tab_Def_Flows[Process_ID_O],,0,)</f>
        <v>24__</v>
      </c>
      <c r="G376" s="49">
        <f>_xlfn.XLOOKUP(C376,Tab_Def_Flows[Name(EN)],Tab_Def_Flows[Input_Process],,0,)</f>
        <v>0</v>
      </c>
      <c r="H376" s="61" t="str">
        <f>_xlfn.XLOOKUP(C376,Tab_Def_Flows[Name(EN)],Tab_Def_Flows[Process_ID_I],,0,)</f>
        <v>24__</v>
      </c>
      <c r="I376" s="49">
        <f>_xlfn.XLOOKUP(C376,Tab_Def_Flows[Name(EN)],Tab_Def_Flows[Value_Source],,0,)</f>
        <v>0</v>
      </c>
      <c r="J376" s="61" t="str">
        <f>_xlfn.XLOOKUP(C376,Tab_Def_Flows[Name(EN)],Tab_Def_Flows[WC?],,0,)</f>
        <v>Yes</v>
      </c>
      <c r="K376" s="61" t="str">
        <f>_xlfn.XLOOKUP(C376,Tab_Def_Flows[Name(EN)],Tab_Def_Flows[DM?],,0,)</f>
        <v>Yes</v>
      </c>
      <c r="L376" s="61" t="str">
        <f>_xlfn.XLOOKUP(C376,Tab_Def_Flows[Name(EN)],Tab_Def_Flows[CC?],,0,)</f>
        <v>Yes</v>
      </c>
      <c r="M376" s="51"/>
      <c r="N376" s="51"/>
      <c r="O376" s="119"/>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e">
        <f>IF(J376="Yes",AA376*Tab_Data_Flows[[#This Row],[WC_'[%']]],"N.A.")</f>
        <v>#N/A</v>
      </c>
      <c r="AE376" s="61">
        <f>Tab_Data_Flows[[#This Row],[UoM_Flow_Py]]</f>
        <v>0</v>
      </c>
      <c r="AF376" s="111" t="e">
        <f>INDEX(Tab_Def_Flows[[Flow_ID]:[CC_DM_source]],MATCH(Tab_Data_Flows[[#This Row],[Name(EN)]],Tab_Def_Flows[Name(EN)],0),18)</f>
        <v>#N/A</v>
      </c>
      <c r="AG376" s="112" t="e">
        <f>IF(K376="Yes",AF376*Tab_Data_Flows[[#This Row],[Flow_Py]],"N.A.")</f>
        <v>#N/A</v>
      </c>
      <c r="AH376" s="61">
        <f>Tab_Data_Flows[[#This Row],[UoM_Flow_Py]]</f>
        <v>0</v>
      </c>
      <c r="AI376" s="111" t="e">
        <f>INDEX(Tab_Def_Flows[[Flow_ID]:[CC_DM_source]],MATCH(Tab_Data_Flows[[#This Row],[Name(EN)]],Tab_Def_Flows[Name(EN)],0),20)</f>
        <v>#N/A</v>
      </c>
      <c r="AJ376" s="109" t="e">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F_24_24</v>
      </c>
      <c r="C377" s="51"/>
      <c r="D377" s="49">
        <f>_xlfn.XLOOKUP(C377,Tab_Def_Flows[Name(EN)],Tab_Def_Flows[Type_Biomass],,0,)</f>
        <v>0</v>
      </c>
      <c r="E377" s="49">
        <f>_xlfn.XLOOKUP(C377,Tab_Def_Flows[Name(EN)],Tab_Def_Flows[Output_Process],,0,)</f>
        <v>0</v>
      </c>
      <c r="F377" s="49" t="str">
        <f>_xlfn.XLOOKUP(C377,Tab_Def_Flows[Name(EN)],Tab_Def_Flows[Process_ID_O],,0,)</f>
        <v>24__</v>
      </c>
      <c r="G377" s="49">
        <f>_xlfn.XLOOKUP(C377,Tab_Def_Flows[Name(EN)],Tab_Def_Flows[Input_Process],,0,)</f>
        <v>0</v>
      </c>
      <c r="H377" s="61" t="str">
        <f>_xlfn.XLOOKUP(C377,Tab_Def_Flows[Name(EN)],Tab_Def_Flows[Process_ID_I],,0,)</f>
        <v>24__</v>
      </c>
      <c r="I377" s="49">
        <f>_xlfn.XLOOKUP(C377,Tab_Def_Flows[Name(EN)],Tab_Def_Flows[Value_Source],,0,)</f>
        <v>0</v>
      </c>
      <c r="J377" s="61" t="str">
        <f>_xlfn.XLOOKUP(C377,Tab_Def_Flows[Name(EN)],Tab_Def_Flows[WC?],,0,)</f>
        <v>Yes</v>
      </c>
      <c r="K377" s="61" t="str">
        <f>_xlfn.XLOOKUP(C377,Tab_Def_Flows[Name(EN)],Tab_Def_Flows[DM?],,0,)</f>
        <v>Yes</v>
      </c>
      <c r="L377" s="61" t="str">
        <f>_xlfn.XLOOKUP(C377,Tab_Def_Flows[Name(EN)],Tab_Def_Flows[CC?],,0,)</f>
        <v>Yes</v>
      </c>
      <c r="M377" s="51"/>
      <c r="N377" s="51"/>
      <c r="O377" s="119"/>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e">
        <f>IF(J377="Yes",AA377*Tab_Data_Flows[[#This Row],[WC_'[%']]],"N.A.")</f>
        <v>#N/A</v>
      </c>
      <c r="AE377" s="61">
        <f>Tab_Data_Flows[[#This Row],[UoM_Flow_Py]]</f>
        <v>0</v>
      </c>
      <c r="AF377" s="111" t="e">
        <f>INDEX(Tab_Def_Flows[[Flow_ID]:[CC_DM_source]],MATCH(Tab_Data_Flows[[#This Row],[Name(EN)]],Tab_Def_Flows[Name(EN)],0),18)</f>
        <v>#N/A</v>
      </c>
      <c r="AG377" s="112" t="e">
        <f>IF(K377="Yes",AF377*Tab_Data_Flows[[#This Row],[Flow_Py]],"N.A.")</f>
        <v>#N/A</v>
      </c>
      <c r="AH377" s="61">
        <f>Tab_Data_Flows[[#This Row],[UoM_Flow_Py]]</f>
        <v>0</v>
      </c>
      <c r="AI377" s="111" t="e">
        <f>INDEX(Tab_Def_Flows[[Flow_ID]:[CC_DM_source]],MATCH(Tab_Data_Flows[[#This Row],[Name(EN)]],Tab_Def_Flows[Name(EN)],0),20)</f>
        <v>#N/A</v>
      </c>
      <c r="AJ377" s="109" t="e">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F_24_24</v>
      </c>
      <c r="C378" s="51"/>
      <c r="D378" s="49">
        <f>_xlfn.XLOOKUP(C378,Tab_Def_Flows[Name(EN)],Tab_Def_Flows[Type_Biomass],,0,)</f>
        <v>0</v>
      </c>
      <c r="E378" s="49">
        <f>_xlfn.XLOOKUP(C378,Tab_Def_Flows[Name(EN)],Tab_Def_Flows[Output_Process],,0,)</f>
        <v>0</v>
      </c>
      <c r="F378" s="49" t="str">
        <f>_xlfn.XLOOKUP(C378,Tab_Def_Flows[Name(EN)],Tab_Def_Flows[Process_ID_O],,0,)</f>
        <v>24__</v>
      </c>
      <c r="G378" s="49">
        <f>_xlfn.XLOOKUP(C378,Tab_Def_Flows[Name(EN)],Tab_Def_Flows[Input_Process],,0,)</f>
        <v>0</v>
      </c>
      <c r="H378" s="61" t="str">
        <f>_xlfn.XLOOKUP(C378,Tab_Def_Flows[Name(EN)],Tab_Def_Flows[Process_ID_I],,0,)</f>
        <v>24__</v>
      </c>
      <c r="I378" s="49">
        <f>_xlfn.XLOOKUP(C378,Tab_Def_Flows[Name(EN)],Tab_Def_Flows[Value_Source],,0,)</f>
        <v>0</v>
      </c>
      <c r="J378" s="61" t="str">
        <f>_xlfn.XLOOKUP(C378,Tab_Def_Flows[Name(EN)],Tab_Def_Flows[WC?],,0,)</f>
        <v>Yes</v>
      </c>
      <c r="K378" s="61" t="str">
        <f>_xlfn.XLOOKUP(C378,Tab_Def_Flows[Name(EN)],Tab_Def_Flows[DM?],,0,)</f>
        <v>Yes</v>
      </c>
      <c r="L378" s="61" t="str">
        <f>_xlfn.XLOOKUP(C378,Tab_Def_Flows[Name(EN)],Tab_Def_Flows[CC?],,0,)</f>
        <v>Yes</v>
      </c>
      <c r="M378" s="51"/>
      <c r="N378" s="51"/>
      <c r="O378" s="119"/>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e">
        <f>IF(J378="Yes",AA378*Tab_Data_Flows[[#This Row],[WC_'[%']]],"N.A.")</f>
        <v>#N/A</v>
      </c>
      <c r="AE378" s="61">
        <f>Tab_Data_Flows[[#This Row],[UoM_Flow_Py]]</f>
        <v>0</v>
      </c>
      <c r="AF378" s="111" t="e">
        <f>INDEX(Tab_Def_Flows[[Flow_ID]:[CC_DM_source]],MATCH(Tab_Data_Flows[[#This Row],[Name(EN)]],Tab_Def_Flows[Name(EN)],0),18)</f>
        <v>#N/A</v>
      </c>
      <c r="AG378" s="112" t="e">
        <f>IF(K378="Yes",AF378*Tab_Data_Flows[[#This Row],[Flow_Py]],"N.A.")</f>
        <v>#N/A</v>
      </c>
      <c r="AH378" s="61">
        <f>Tab_Data_Flows[[#This Row],[UoM_Flow_Py]]</f>
        <v>0</v>
      </c>
      <c r="AI378" s="111" t="e">
        <f>INDEX(Tab_Def_Flows[[Flow_ID]:[CC_DM_source]],MATCH(Tab_Data_Flows[[#This Row],[Name(EN)]],Tab_Def_Flows[Name(EN)],0),20)</f>
        <v>#N/A</v>
      </c>
      <c r="AJ378" s="109" t="e">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F_24_24</v>
      </c>
      <c r="C379" s="51"/>
      <c r="D379" s="49">
        <f>_xlfn.XLOOKUP(C379,Tab_Def_Flows[Name(EN)],Tab_Def_Flows[Type_Biomass],,0,)</f>
        <v>0</v>
      </c>
      <c r="E379" s="49">
        <f>_xlfn.XLOOKUP(C379,Tab_Def_Flows[Name(EN)],Tab_Def_Flows[Output_Process],,0,)</f>
        <v>0</v>
      </c>
      <c r="F379" s="49" t="str">
        <f>_xlfn.XLOOKUP(C379,Tab_Def_Flows[Name(EN)],Tab_Def_Flows[Process_ID_O],,0,)</f>
        <v>24__</v>
      </c>
      <c r="G379" s="49">
        <f>_xlfn.XLOOKUP(C379,Tab_Def_Flows[Name(EN)],Tab_Def_Flows[Input_Process],,0,)</f>
        <v>0</v>
      </c>
      <c r="H379" s="61" t="str">
        <f>_xlfn.XLOOKUP(C379,Tab_Def_Flows[Name(EN)],Tab_Def_Flows[Process_ID_I],,0,)</f>
        <v>24__</v>
      </c>
      <c r="I379" s="49">
        <f>_xlfn.XLOOKUP(C379,Tab_Def_Flows[Name(EN)],Tab_Def_Flows[Value_Source],,0,)</f>
        <v>0</v>
      </c>
      <c r="J379" s="61" t="str">
        <f>_xlfn.XLOOKUP(C379,Tab_Def_Flows[Name(EN)],Tab_Def_Flows[WC?],,0,)</f>
        <v>Yes</v>
      </c>
      <c r="K379" s="61" t="str">
        <f>_xlfn.XLOOKUP(C379,Tab_Def_Flows[Name(EN)],Tab_Def_Flows[DM?],,0,)</f>
        <v>Yes</v>
      </c>
      <c r="L379" s="61" t="str">
        <f>_xlfn.XLOOKUP(C379,Tab_Def_Flows[Name(EN)],Tab_Def_Flows[CC?],,0,)</f>
        <v>Yes</v>
      </c>
      <c r="M379" s="51"/>
      <c r="N379" s="51"/>
      <c r="O379" s="119"/>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e">
        <f>IF(J379="Yes",AA379*Tab_Data_Flows[[#This Row],[WC_'[%']]],"N.A.")</f>
        <v>#N/A</v>
      </c>
      <c r="AE379" s="61">
        <f>Tab_Data_Flows[[#This Row],[UoM_Flow_Py]]</f>
        <v>0</v>
      </c>
      <c r="AF379" s="111" t="e">
        <f>INDEX(Tab_Def_Flows[[Flow_ID]:[CC_DM_source]],MATCH(Tab_Data_Flows[[#This Row],[Name(EN)]],Tab_Def_Flows[Name(EN)],0),18)</f>
        <v>#N/A</v>
      </c>
      <c r="AG379" s="112" t="e">
        <f>IF(K379="Yes",AF379*Tab_Data_Flows[[#This Row],[Flow_Py]],"N.A.")</f>
        <v>#N/A</v>
      </c>
      <c r="AH379" s="61">
        <f>Tab_Data_Flows[[#This Row],[UoM_Flow_Py]]</f>
        <v>0</v>
      </c>
      <c r="AI379" s="111" t="e">
        <f>INDEX(Tab_Def_Flows[[Flow_ID]:[CC_DM_source]],MATCH(Tab_Data_Flows[[#This Row],[Name(EN)]],Tab_Def_Flows[Name(EN)],0),20)</f>
        <v>#N/A</v>
      </c>
      <c r="AJ379" s="109" t="e">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F_24_24</v>
      </c>
      <c r="C380" s="51"/>
      <c r="D380" s="49">
        <f>_xlfn.XLOOKUP(C380,Tab_Def_Flows[Name(EN)],Tab_Def_Flows[Type_Biomass],,0,)</f>
        <v>0</v>
      </c>
      <c r="E380" s="49">
        <f>_xlfn.XLOOKUP(C380,Tab_Def_Flows[Name(EN)],Tab_Def_Flows[Output_Process],,0,)</f>
        <v>0</v>
      </c>
      <c r="F380" s="49" t="str">
        <f>_xlfn.XLOOKUP(C380,Tab_Def_Flows[Name(EN)],Tab_Def_Flows[Process_ID_O],,0,)</f>
        <v>24__</v>
      </c>
      <c r="G380" s="49">
        <f>_xlfn.XLOOKUP(C380,Tab_Def_Flows[Name(EN)],Tab_Def_Flows[Input_Process],,0,)</f>
        <v>0</v>
      </c>
      <c r="H380" s="61" t="str">
        <f>_xlfn.XLOOKUP(C380,Tab_Def_Flows[Name(EN)],Tab_Def_Flows[Process_ID_I],,0,)</f>
        <v>24__</v>
      </c>
      <c r="I380" s="49">
        <f>_xlfn.XLOOKUP(C380,Tab_Def_Flows[Name(EN)],Tab_Def_Flows[Value_Source],,0,)</f>
        <v>0</v>
      </c>
      <c r="J380" s="61" t="str">
        <f>_xlfn.XLOOKUP(C380,Tab_Def_Flows[Name(EN)],Tab_Def_Flows[WC?],,0,)</f>
        <v>Yes</v>
      </c>
      <c r="K380" s="61" t="str">
        <f>_xlfn.XLOOKUP(C380,Tab_Def_Flows[Name(EN)],Tab_Def_Flows[DM?],,0,)</f>
        <v>Yes</v>
      </c>
      <c r="L380" s="61" t="str">
        <f>_xlfn.XLOOKUP(C380,Tab_Def_Flows[Name(EN)],Tab_Def_Flows[CC?],,0,)</f>
        <v>Yes</v>
      </c>
      <c r="M380" s="51"/>
      <c r="N380" s="51"/>
      <c r="O380" s="119"/>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e">
        <f>IF(J380="Yes",AA380*Tab_Data_Flows[[#This Row],[WC_'[%']]],"N.A.")</f>
        <v>#N/A</v>
      </c>
      <c r="AE380" s="61">
        <f>Tab_Data_Flows[[#This Row],[UoM_Flow_Py]]</f>
        <v>0</v>
      </c>
      <c r="AF380" s="111" t="e">
        <f>INDEX(Tab_Def_Flows[[Flow_ID]:[CC_DM_source]],MATCH(Tab_Data_Flows[[#This Row],[Name(EN)]],Tab_Def_Flows[Name(EN)],0),18)</f>
        <v>#N/A</v>
      </c>
      <c r="AG380" s="112" t="e">
        <f>IF(K380="Yes",AF380*Tab_Data_Flows[[#This Row],[Flow_Py]],"N.A.")</f>
        <v>#N/A</v>
      </c>
      <c r="AH380" s="61">
        <f>Tab_Data_Flows[[#This Row],[UoM_Flow_Py]]</f>
        <v>0</v>
      </c>
      <c r="AI380" s="111" t="e">
        <f>INDEX(Tab_Def_Flows[[Flow_ID]:[CC_DM_source]],MATCH(Tab_Data_Flows[[#This Row],[Name(EN)]],Tab_Def_Flows[Name(EN)],0),20)</f>
        <v>#N/A</v>
      </c>
      <c r="AJ380" s="109" t="e">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F_24_24</v>
      </c>
      <c r="C381" s="51"/>
      <c r="D381" s="49">
        <f>_xlfn.XLOOKUP(C381,Tab_Def_Flows[Name(EN)],Tab_Def_Flows[Type_Biomass],,0,)</f>
        <v>0</v>
      </c>
      <c r="E381" s="49">
        <f>_xlfn.XLOOKUP(C381,Tab_Def_Flows[Name(EN)],Tab_Def_Flows[Output_Process],,0,)</f>
        <v>0</v>
      </c>
      <c r="F381" s="49" t="str">
        <f>_xlfn.XLOOKUP(C381,Tab_Def_Flows[Name(EN)],Tab_Def_Flows[Process_ID_O],,0,)</f>
        <v>24__</v>
      </c>
      <c r="G381" s="49">
        <f>_xlfn.XLOOKUP(C381,Tab_Def_Flows[Name(EN)],Tab_Def_Flows[Input_Process],,0,)</f>
        <v>0</v>
      </c>
      <c r="H381" s="61" t="str">
        <f>_xlfn.XLOOKUP(C381,Tab_Def_Flows[Name(EN)],Tab_Def_Flows[Process_ID_I],,0,)</f>
        <v>24__</v>
      </c>
      <c r="I381" s="49">
        <f>_xlfn.XLOOKUP(C381,Tab_Def_Flows[Name(EN)],Tab_Def_Flows[Value_Source],,0,)</f>
        <v>0</v>
      </c>
      <c r="J381" s="61" t="str">
        <f>_xlfn.XLOOKUP(C381,Tab_Def_Flows[Name(EN)],Tab_Def_Flows[WC?],,0,)</f>
        <v>Yes</v>
      </c>
      <c r="K381" s="61" t="str">
        <f>_xlfn.XLOOKUP(C381,Tab_Def_Flows[Name(EN)],Tab_Def_Flows[DM?],,0,)</f>
        <v>Yes</v>
      </c>
      <c r="L381" s="61" t="str">
        <f>_xlfn.XLOOKUP(C381,Tab_Def_Flows[Name(EN)],Tab_Def_Flows[CC?],,0,)</f>
        <v>Yes</v>
      </c>
      <c r="M381" s="51"/>
      <c r="N381" s="51"/>
      <c r="O381" s="119"/>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e">
        <f>IF(J381="Yes",AA381*Tab_Data_Flows[[#This Row],[WC_'[%']]],"N.A.")</f>
        <v>#N/A</v>
      </c>
      <c r="AE381" s="61">
        <f>Tab_Data_Flows[[#This Row],[UoM_Flow_Py]]</f>
        <v>0</v>
      </c>
      <c r="AF381" s="111" t="e">
        <f>INDEX(Tab_Def_Flows[[Flow_ID]:[CC_DM_source]],MATCH(Tab_Data_Flows[[#This Row],[Name(EN)]],Tab_Def_Flows[Name(EN)],0),18)</f>
        <v>#N/A</v>
      </c>
      <c r="AG381" s="112" t="e">
        <f>IF(K381="Yes",AF381*Tab_Data_Flows[[#This Row],[Flow_Py]],"N.A.")</f>
        <v>#N/A</v>
      </c>
      <c r="AH381" s="61">
        <f>Tab_Data_Flows[[#This Row],[UoM_Flow_Py]]</f>
        <v>0</v>
      </c>
      <c r="AI381" s="111" t="e">
        <f>INDEX(Tab_Def_Flows[[Flow_ID]:[CC_DM_source]],MATCH(Tab_Data_Flows[[#This Row],[Name(EN)]],Tab_Def_Flows[Name(EN)],0),20)</f>
        <v>#N/A</v>
      </c>
      <c r="AJ381" s="109" t="e">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F_24_24</v>
      </c>
      <c r="C382" s="51"/>
      <c r="D382" s="49">
        <f>_xlfn.XLOOKUP(C382,Tab_Def_Flows[Name(EN)],Tab_Def_Flows[Type_Biomass],,0,)</f>
        <v>0</v>
      </c>
      <c r="E382" s="49">
        <f>_xlfn.XLOOKUP(C382,Tab_Def_Flows[Name(EN)],Tab_Def_Flows[Output_Process],,0,)</f>
        <v>0</v>
      </c>
      <c r="F382" s="49" t="str">
        <f>_xlfn.XLOOKUP(C382,Tab_Def_Flows[Name(EN)],Tab_Def_Flows[Process_ID_O],,0,)</f>
        <v>24__</v>
      </c>
      <c r="G382" s="49">
        <f>_xlfn.XLOOKUP(C382,Tab_Def_Flows[Name(EN)],Tab_Def_Flows[Input_Process],,0,)</f>
        <v>0</v>
      </c>
      <c r="H382" s="61" t="str">
        <f>_xlfn.XLOOKUP(C382,Tab_Def_Flows[Name(EN)],Tab_Def_Flows[Process_ID_I],,0,)</f>
        <v>24__</v>
      </c>
      <c r="I382" s="49">
        <f>_xlfn.XLOOKUP(C382,Tab_Def_Flows[Name(EN)],Tab_Def_Flows[Value_Source],,0,)</f>
        <v>0</v>
      </c>
      <c r="J382" s="61" t="str">
        <f>_xlfn.XLOOKUP(C382,Tab_Def_Flows[Name(EN)],Tab_Def_Flows[WC?],,0,)</f>
        <v>Yes</v>
      </c>
      <c r="K382" s="61" t="str">
        <f>_xlfn.XLOOKUP(C382,Tab_Def_Flows[Name(EN)],Tab_Def_Flows[DM?],,0,)</f>
        <v>Yes</v>
      </c>
      <c r="L382" s="61" t="str">
        <f>_xlfn.XLOOKUP(C382,Tab_Def_Flows[Name(EN)],Tab_Def_Flows[CC?],,0,)</f>
        <v>Yes</v>
      </c>
      <c r="M382" s="51"/>
      <c r="N382" s="51"/>
      <c r="O382" s="119"/>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e">
        <f>IF(J382="Yes",AA382*Tab_Data_Flows[[#This Row],[WC_'[%']]],"N.A.")</f>
        <v>#N/A</v>
      </c>
      <c r="AE382" s="61">
        <f>Tab_Data_Flows[[#This Row],[UoM_Flow_Py]]</f>
        <v>0</v>
      </c>
      <c r="AF382" s="111" t="e">
        <f>INDEX(Tab_Def_Flows[[Flow_ID]:[CC_DM_source]],MATCH(Tab_Data_Flows[[#This Row],[Name(EN)]],Tab_Def_Flows[Name(EN)],0),18)</f>
        <v>#N/A</v>
      </c>
      <c r="AG382" s="112" t="e">
        <f>IF(K382="Yes",AF382*Tab_Data_Flows[[#This Row],[Flow_Py]],"N.A.")</f>
        <v>#N/A</v>
      </c>
      <c r="AH382" s="61">
        <f>Tab_Data_Flows[[#This Row],[UoM_Flow_Py]]</f>
        <v>0</v>
      </c>
      <c r="AI382" s="111" t="e">
        <f>INDEX(Tab_Def_Flows[[Flow_ID]:[CC_DM_source]],MATCH(Tab_Data_Flows[[#This Row],[Name(EN)]],Tab_Def_Flows[Name(EN)],0),20)</f>
        <v>#N/A</v>
      </c>
      <c r="AJ382" s="109" t="e">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F_24_24</v>
      </c>
      <c r="C383" s="51"/>
      <c r="D383" s="49">
        <f>_xlfn.XLOOKUP(C383,Tab_Def_Flows[Name(EN)],Tab_Def_Flows[Type_Biomass],,0,)</f>
        <v>0</v>
      </c>
      <c r="E383" s="49">
        <f>_xlfn.XLOOKUP(C383,Tab_Def_Flows[Name(EN)],Tab_Def_Flows[Output_Process],,0,)</f>
        <v>0</v>
      </c>
      <c r="F383" s="49" t="str">
        <f>_xlfn.XLOOKUP(C383,Tab_Def_Flows[Name(EN)],Tab_Def_Flows[Process_ID_O],,0,)</f>
        <v>24__</v>
      </c>
      <c r="G383" s="49">
        <f>_xlfn.XLOOKUP(C383,Tab_Def_Flows[Name(EN)],Tab_Def_Flows[Input_Process],,0,)</f>
        <v>0</v>
      </c>
      <c r="H383" s="61" t="str">
        <f>_xlfn.XLOOKUP(C383,Tab_Def_Flows[Name(EN)],Tab_Def_Flows[Process_ID_I],,0,)</f>
        <v>24__</v>
      </c>
      <c r="I383" s="49">
        <f>_xlfn.XLOOKUP(C383,Tab_Def_Flows[Name(EN)],Tab_Def_Flows[Value_Source],,0,)</f>
        <v>0</v>
      </c>
      <c r="J383" s="61" t="str">
        <f>_xlfn.XLOOKUP(C383,Tab_Def_Flows[Name(EN)],Tab_Def_Flows[WC?],,0,)</f>
        <v>Yes</v>
      </c>
      <c r="K383" s="61" t="str">
        <f>_xlfn.XLOOKUP(C383,Tab_Def_Flows[Name(EN)],Tab_Def_Flows[DM?],,0,)</f>
        <v>Yes</v>
      </c>
      <c r="L383" s="61" t="str">
        <f>_xlfn.XLOOKUP(C383,Tab_Def_Flows[Name(EN)],Tab_Def_Flows[CC?],,0,)</f>
        <v>Yes</v>
      </c>
      <c r="M383" s="51"/>
      <c r="N383" s="51"/>
      <c r="O383" s="119"/>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e">
        <f>IF(J383="Yes",AA383*Tab_Data_Flows[[#This Row],[WC_'[%']]],"N.A.")</f>
        <v>#N/A</v>
      </c>
      <c r="AE383" s="61">
        <f>Tab_Data_Flows[[#This Row],[UoM_Flow_Py]]</f>
        <v>0</v>
      </c>
      <c r="AF383" s="111" t="e">
        <f>INDEX(Tab_Def_Flows[[Flow_ID]:[CC_DM_source]],MATCH(Tab_Data_Flows[[#This Row],[Name(EN)]],Tab_Def_Flows[Name(EN)],0),18)</f>
        <v>#N/A</v>
      </c>
      <c r="AG383" s="112" t="e">
        <f>IF(K383="Yes",AF383*Tab_Data_Flows[[#This Row],[Flow_Py]],"N.A.")</f>
        <v>#N/A</v>
      </c>
      <c r="AH383" s="61">
        <f>Tab_Data_Flows[[#This Row],[UoM_Flow_Py]]</f>
        <v>0</v>
      </c>
      <c r="AI383" s="111" t="e">
        <f>INDEX(Tab_Def_Flows[[Flow_ID]:[CC_DM_source]],MATCH(Tab_Data_Flows[[#This Row],[Name(EN)]],Tab_Def_Flows[Name(EN)],0),20)</f>
        <v>#N/A</v>
      </c>
      <c r="AJ383" s="109" t="e">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F_24_24</v>
      </c>
      <c r="C384" s="51"/>
      <c r="D384" s="49">
        <f>_xlfn.XLOOKUP(C384,Tab_Def_Flows[Name(EN)],Tab_Def_Flows[Type_Biomass],,0,)</f>
        <v>0</v>
      </c>
      <c r="E384" s="49">
        <f>_xlfn.XLOOKUP(C384,Tab_Def_Flows[Name(EN)],Tab_Def_Flows[Output_Process],,0,)</f>
        <v>0</v>
      </c>
      <c r="F384" s="49" t="str">
        <f>_xlfn.XLOOKUP(C384,Tab_Def_Flows[Name(EN)],Tab_Def_Flows[Process_ID_O],,0,)</f>
        <v>24__</v>
      </c>
      <c r="G384" s="49">
        <f>_xlfn.XLOOKUP(C384,Tab_Def_Flows[Name(EN)],Tab_Def_Flows[Input_Process],,0,)</f>
        <v>0</v>
      </c>
      <c r="H384" s="61" t="str">
        <f>_xlfn.XLOOKUP(C384,Tab_Def_Flows[Name(EN)],Tab_Def_Flows[Process_ID_I],,0,)</f>
        <v>24__</v>
      </c>
      <c r="I384" s="49">
        <f>_xlfn.XLOOKUP(C384,Tab_Def_Flows[Name(EN)],Tab_Def_Flows[Value_Source],,0,)</f>
        <v>0</v>
      </c>
      <c r="J384" s="61" t="str">
        <f>_xlfn.XLOOKUP(C384,Tab_Def_Flows[Name(EN)],Tab_Def_Flows[WC?],,0,)</f>
        <v>Yes</v>
      </c>
      <c r="K384" s="61" t="str">
        <f>_xlfn.XLOOKUP(C384,Tab_Def_Flows[Name(EN)],Tab_Def_Flows[DM?],,0,)</f>
        <v>Yes</v>
      </c>
      <c r="L384" s="61" t="str">
        <f>_xlfn.XLOOKUP(C384,Tab_Def_Flows[Name(EN)],Tab_Def_Flows[CC?],,0,)</f>
        <v>Yes</v>
      </c>
      <c r="M384" s="51"/>
      <c r="N384" s="51"/>
      <c r="O384" s="119"/>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e">
        <f>IF(J384="Yes",AA384*Tab_Data_Flows[[#This Row],[WC_'[%']]],"N.A.")</f>
        <v>#N/A</v>
      </c>
      <c r="AE384" s="61">
        <f>Tab_Data_Flows[[#This Row],[UoM_Flow_Py]]</f>
        <v>0</v>
      </c>
      <c r="AF384" s="111" t="e">
        <f>INDEX(Tab_Def_Flows[[Flow_ID]:[CC_DM_source]],MATCH(Tab_Data_Flows[[#This Row],[Name(EN)]],Tab_Def_Flows[Name(EN)],0),18)</f>
        <v>#N/A</v>
      </c>
      <c r="AG384" s="112" t="e">
        <f>IF(K384="Yes",AF384*Tab_Data_Flows[[#This Row],[Flow_Py]],"N.A.")</f>
        <v>#N/A</v>
      </c>
      <c r="AH384" s="61">
        <f>Tab_Data_Flows[[#This Row],[UoM_Flow_Py]]</f>
        <v>0</v>
      </c>
      <c r="AI384" s="111" t="e">
        <f>INDEX(Tab_Def_Flows[[Flow_ID]:[CC_DM_source]],MATCH(Tab_Data_Flows[[#This Row],[Name(EN)]],Tab_Def_Flows[Name(EN)],0),20)</f>
        <v>#N/A</v>
      </c>
      <c r="AJ384" s="109" t="e">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F_24_24</v>
      </c>
      <c r="C385" s="51"/>
      <c r="D385" s="49">
        <f>_xlfn.XLOOKUP(C385,Tab_Def_Flows[Name(EN)],Tab_Def_Flows[Type_Biomass],,0,)</f>
        <v>0</v>
      </c>
      <c r="E385" s="49">
        <f>_xlfn.XLOOKUP(C385,Tab_Def_Flows[Name(EN)],Tab_Def_Flows[Output_Process],,0,)</f>
        <v>0</v>
      </c>
      <c r="F385" s="49" t="str">
        <f>_xlfn.XLOOKUP(C385,Tab_Def_Flows[Name(EN)],Tab_Def_Flows[Process_ID_O],,0,)</f>
        <v>24__</v>
      </c>
      <c r="G385" s="49">
        <f>_xlfn.XLOOKUP(C385,Tab_Def_Flows[Name(EN)],Tab_Def_Flows[Input_Process],,0,)</f>
        <v>0</v>
      </c>
      <c r="H385" s="61" t="str">
        <f>_xlfn.XLOOKUP(C385,Tab_Def_Flows[Name(EN)],Tab_Def_Flows[Process_ID_I],,0,)</f>
        <v>24__</v>
      </c>
      <c r="I385" s="49">
        <f>_xlfn.XLOOKUP(C385,Tab_Def_Flows[Name(EN)],Tab_Def_Flows[Value_Source],,0,)</f>
        <v>0</v>
      </c>
      <c r="J385" s="61" t="str">
        <f>_xlfn.XLOOKUP(C385,Tab_Def_Flows[Name(EN)],Tab_Def_Flows[WC?],,0,)</f>
        <v>Yes</v>
      </c>
      <c r="K385" s="61" t="str">
        <f>_xlfn.XLOOKUP(C385,Tab_Def_Flows[Name(EN)],Tab_Def_Flows[DM?],,0,)</f>
        <v>Yes</v>
      </c>
      <c r="L385" s="61" t="str">
        <f>_xlfn.XLOOKUP(C385,Tab_Def_Flows[Name(EN)],Tab_Def_Flows[CC?],,0,)</f>
        <v>Yes</v>
      </c>
      <c r="M385" s="51"/>
      <c r="N385" s="51"/>
      <c r="O385" s="119"/>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e">
        <f>IF(J385="Yes",AA385*Tab_Data_Flows[[#This Row],[WC_'[%']]],"N.A.")</f>
        <v>#N/A</v>
      </c>
      <c r="AE385" s="61">
        <f>Tab_Data_Flows[[#This Row],[UoM_Flow_Py]]</f>
        <v>0</v>
      </c>
      <c r="AF385" s="111" t="e">
        <f>INDEX(Tab_Def_Flows[[Flow_ID]:[CC_DM_source]],MATCH(Tab_Data_Flows[[#This Row],[Name(EN)]],Tab_Def_Flows[Name(EN)],0),18)</f>
        <v>#N/A</v>
      </c>
      <c r="AG385" s="112" t="e">
        <f>IF(K385="Yes",AF385*Tab_Data_Flows[[#This Row],[Flow_Py]],"N.A.")</f>
        <v>#N/A</v>
      </c>
      <c r="AH385" s="61">
        <f>Tab_Data_Flows[[#This Row],[UoM_Flow_Py]]</f>
        <v>0</v>
      </c>
      <c r="AI385" s="111" t="e">
        <f>INDEX(Tab_Def_Flows[[Flow_ID]:[CC_DM_source]],MATCH(Tab_Data_Flows[[#This Row],[Name(EN)]],Tab_Def_Flows[Name(EN)],0),20)</f>
        <v>#N/A</v>
      </c>
      <c r="AJ385" s="109" t="e">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F_24_24</v>
      </c>
      <c r="C386" s="51"/>
      <c r="D386" s="49">
        <f>_xlfn.XLOOKUP(C386,Tab_Def_Flows[Name(EN)],Tab_Def_Flows[Type_Biomass],,0,)</f>
        <v>0</v>
      </c>
      <c r="E386" s="49">
        <f>_xlfn.XLOOKUP(C386,Tab_Def_Flows[Name(EN)],Tab_Def_Flows[Output_Process],,0,)</f>
        <v>0</v>
      </c>
      <c r="F386" s="49" t="str">
        <f>_xlfn.XLOOKUP(C386,Tab_Def_Flows[Name(EN)],Tab_Def_Flows[Process_ID_O],,0,)</f>
        <v>24__</v>
      </c>
      <c r="G386" s="49">
        <f>_xlfn.XLOOKUP(C386,Tab_Def_Flows[Name(EN)],Tab_Def_Flows[Input_Process],,0,)</f>
        <v>0</v>
      </c>
      <c r="H386" s="61" t="str">
        <f>_xlfn.XLOOKUP(C386,Tab_Def_Flows[Name(EN)],Tab_Def_Flows[Process_ID_I],,0,)</f>
        <v>24__</v>
      </c>
      <c r="I386" s="49">
        <f>_xlfn.XLOOKUP(C386,Tab_Def_Flows[Name(EN)],Tab_Def_Flows[Value_Source],,0,)</f>
        <v>0</v>
      </c>
      <c r="J386" s="61" t="str">
        <f>_xlfn.XLOOKUP(C386,Tab_Def_Flows[Name(EN)],Tab_Def_Flows[WC?],,0,)</f>
        <v>Yes</v>
      </c>
      <c r="K386" s="61" t="str">
        <f>_xlfn.XLOOKUP(C386,Tab_Def_Flows[Name(EN)],Tab_Def_Flows[DM?],,0,)</f>
        <v>Yes</v>
      </c>
      <c r="L386" s="61" t="str">
        <f>_xlfn.XLOOKUP(C386,Tab_Def_Flows[Name(EN)],Tab_Def_Flows[CC?],,0,)</f>
        <v>Yes</v>
      </c>
      <c r="M386" s="51"/>
      <c r="N386" s="51"/>
      <c r="O386" s="119"/>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e">
        <f>IF(J386="Yes",AA386*Tab_Data_Flows[[#This Row],[WC_'[%']]],"N.A.")</f>
        <v>#N/A</v>
      </c>
      <c r="AE386" s="61">
        <f>Tab_Data_Flows[[#This Row],[UoM_Flow_Py]]</f>
        <v>0</v>
      </c>
      <c r="AF386" s="111" t="e">
        <f>INDEX(Tab_Def_Flows[[Flow_ID]:[CC_DM_source]],MATCH(Tab_Data_Flows[[#This Row],[Name(EN)]],Tab_Def_Flows[Name(EN)],0),18)</f>
        <v>#N/A</v>
      </c>
      <c r="AG386" s="112" t="e">
        <f>IF(K386="Yes",AF386*Tab_Data_Flows[[#This Row],[Flow_Py]],"N.A.")</f>
        <v>#N/A</v>
      </c>
      <c r="AH386" s="61">
        <f>Tab_Data_Flows[[#This Row],[UoM_Flow_Py]]</f>
        <v>0</v>
      </c>
      <c r="AI386" s="111" t="e">
        <f>INDEX(Tab_Def_Flows[[Flow_ID]:[CC_DM_source]],MATCH(Tab_Data_Flows[[#This Row],[Name(EN)]],Tab_Def_Flows[Name(EN)],0),20)</f>
        <v>#N/A</v>
      </c>
      <c r="AJ386" s="109" t="e">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F_24_24</v>
      </c>
      <c r="C387" s="51"/>
      <c r="D387" s="49">
        <f>_xlfn.XLOOKUP(C387,Tab_Def_Flows[Name(EN)],Tab_Def_Flows[Type_Biomass],,0,)</f>
        <v>0</v>
      </c>
      <c r="E387" s="49">
        <f>_xlfn.XLOOKUP(C387,Tab_Def_Flows[Name(EN)],Tab_Def_Flows[Output_Process],,0,)</f>
        <v>0</v>
      </c>
      <c r="F387" s="49" t="str">
        <f>_xlfn.XLOOKUP(C387,Tab_Def_Flows[Name(EN)],Tab_Def_Flows[Process_ID_O],,0,)</f>
        <v>24__</v>
      </c>
      <c r="G387" s="49">
        <f>_xlfn.XLOOKUP(C387,Tab_Def_Flows[Name(EN)],Tab_Def_Flows[Input_Process],,0,)</f>
        <v>0</v>
      </c>
      <c r="H387" s="61" t="str">
        <f>_xlfn.XLOOKUP(C387,Tab_Def_Flows[Name(EN)],Tab_Def_Flows[Process_ID_I],,0,)</f>
        <v>24__</v>
      </c>
      <c r="I387" s="49">
        <f>_xlfn.XLOOKUP(C387,Tab_Def_Flows[Name(EN)],Tab_Def_Flows[Value_Source],,0,)</f>
        <v>0</v>
      </c>
      <c r="J387" s="61" t="str">
        <f>_xlfn.XLOOKUP(C387,Tab_Def_Flows[Name(EN)],Tab_Def_Flows[WC?],,0,)</f>
        <v>Yes</v>
      </c>
      <c r="K387" s="61" t="str">
        <f>_xlfn.XLOOKUP(C387,Tab_Def_Flows[Name(EN)],Tab_Def_Flows[DM?],,0,)</f>
        <v>Yes</v>
      </c>
      <c r="L387" s="61" t="str">
        <f>_xlfn.XLOOKUP(C387,Tab_Def_Flows[Name(EN)],Tab_Def_Flows[CC?],,0,)</f>
        <v>Yes</v>
      </c>
      <c r="M387" s="51"/>
      <c r="N387" s="51"/>
      <c r="O387" s="119"/>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e">
        <f>IF(J387="Yes",AA387*Tab_Data_Flows[[#This Row],[WC_'[%']]],"N.A.")</f>
        <v>#N/A</v>
      </c>
      <c r="AE387" s="61">
        <f>Tab_Data_Flows[[#This Row],[UoM_Flow_Py]]</f>
        <v>0</v>
      </c>
      <c r="AF387" s="111" t="e">
        <f>INDEX(Tab_Def_Flows[[Flow_ID]:[CC_DM_source]],MATCH(Tab_Data_Flows[[#This Row],[Name(EN)]],Tab_Def_Flows[Name(EN)],0),18)</f>
        <v>#N/A</v>
      </c>
      <c r="AG387" s="112" t="e">
        <f>IF(K387="Yes",AF387*Tab_Data_Flows[[#This Row],[Flow_Py]],"N.A.")</f>
        <v>#N/A</v>
      </c>
      <c r="AH387" s="61">
        <f>Tab_Data_Flows[[#This Row],[UoM_Flow_Py]]</f>
        <v>0</v>
      </c>
      <c r="AI387" s="111" t="e">
        <f>INDEX(Tab_Def_Flows[[Flow_ID]:[CC_DM_source]],MATCH(Tab_Data_Flows[[#This Row],[Name(EN)]],Tab_Def_Flows[Name(EN)],0),20)</f>
        <v>#N/A</v>
      </c>
      <c r="AJ387" s="109" t="e">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F_24_24</v>
      </c>
      <c r="C388" s="51"/>
      <c r="D388" s="49">
        <f>_xlfn.XLOOKUP(C388,Tab_Def_Flows[Name(EN)],Tab_Def_Flows[Type_Biomass],,0,)</f>
        <v>0</v>
      </c>
      <c r="E388" s="49">
        <f>_xlfn.XLOOKUP(C388,Tab_Def_Flows[Name(EN)],Tab_Def_Flows[Output_Process],,0,)</f>
        <v>0</v>
      </c>
      <c r="F388" s="49" t="str">
        <f>_xlfn.XLOOKUP(C388,Tab_Def_Flows[Name(EN)],Tab_Def_Flows[Process_ID_O],,0,)</f>
        <v>24__</v>
      </c>
      <c r="G388" s="49">
        <f>_xlfn.XLOOKUP(C388,Tab_Def_Flows[Name(EN)],Tab_Def_Flows[Input_Process],,0,)</f>
        <v>0</v>
      </c>
      <c r="H388" s="61" t="str">
        <f>_xlfn.XLOOKUP(C388,Tab_Def_Flows[Name(EN)],Tab_Def_Flows[Process_ID_I],,0,)</f>
        <v>24__</v>
      </c>
      <c r="I388" s="49">
        <f>_xlfn.XLOOKUP(C388,Tab_Def_Flows[Name(EN)],Tab_Def_Flows[Value_Source],,0,)</f>
        <v>0</v>
      </c>
      <c r="J388" s="61" t="str">
        <f>_xlfn.XLOOKUP(C388,Tab_Def_Flows[Name(EN)],Tab_Def_Flows[WC?],,0,)</f>
        <v>Yes</v>
      </c>
      <c r="K388" s="61" t="str">
        <f>_xlfn.XLOOKUP(C388,Tab_Def_Flows[Name(EN)],Tab_Def_Flows[DM?],,0,)</f>
        <v>Yes</v>
      </c>
      <c r="L388" s="61" t="str">
        <f>_xlfn.XLOOKUP(C388,Tab_Def_Flows[Name(EN)],Tab_Def_Flows[CC?],,0,)</f>
        <v>Yes</v>
      </c>
      <c r="M388" s="51"/>
      <c r="N388" s="51"/>
      <c r="O388" s="119"/>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e">
        <f>IF(J388="Yes",AA388*Tab_Data_Flows[[#This Row],[WC_'[%']]],"N.A.")</f>
        <v>#N/A</v>
      </c>
      <c r="AE388" s="61">
        <f>Tab_Data_Flows[[#This Row],[UoM_Flow_Py]]</f>
        <v>0</v>
      </c>
      <c r="AF388" s="111" t="e">
        <f>INDEX(Tab_Def_Flows[[Flow_ID]:[CC_DM_source]],MATCH(Tab_Data_Flows[[#This Row],[Name(EN)]],Tab_Def_Flows[Name(EN)],0),18)</f>
        <v>#N/A</v>
      </c>
      <c r="AG388" s="112" t="e">
        <f>IF(K388="Yes",AF388*Tab_Data_Flows[[#This Row],[Flow_Py]],"N.A.")</f>
        <v>#N/A</v>
      </c>
      <c r="AH388" s="61">
        <f>Tab_Data_Flows[[#This Row],[UoM_Flow_Py]]</f>
        <v>0</v>
      </c>
      <c r="AI388" s="111" t="e">
        <f>INDEX(Tab_Def_Flows[[Flow_ID]:[CC_DM_source]],MATCH(Tab_Data_Flows[[#This Row],[Name(EN)]],Tab_Def_Flows[Name(EN)],0),20)</f>
        <v>#N/A</v>
      </c>
      <c r="AJ388" s="109" t="e">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F_24_24</v>
      </c>
      <c r="C389" s="51"/>
      <c r="D389" s="49">
        <f>_xlfn.XLOOKUP(C389,Tab_Def_Flows[Name(EN)],Tab_Def_Flows[Type_Biomass],,0,)</f>
        <v>0</v>
      </c>
      <c r="E389" s="49">
        <f>_xlfn.XLOOKUP(C389,Tab_Def_Flows[Name(EN)],Tab_Def_Flows[Output_Process],,0,)</f>
        <v>0</v>
      </c>
      <c r="F389" s="49" t="str">
        <f>_xlfn.XLOOKUP(C389,Tab_Def_Flows[Name(EN)],Tab_Def_Flows[Process_ID_O],,0,)</f>
        <v>24__</v>
      </c>
      <c r="G389" s="49">
        <f>_xlfn.XLOOKUP(C389,Tab_Def_Flows[Name(EN)],Tab_Def_Flows[Input_Process],,0,)</f>
        <v>0</v>
      </c>
      <c r="H389" s="61" t="str">
        <f>_xlfn.XLOOKUP(C389,Tab_Def_Flows[Name(EN)],Tab_Def_Flows[Process_ID_I],,0,)</f>
        <v>24__</v>
      </c>
      <c r="I389" s="49">
        <f>_xlfn.XLOOKUP(C389,Tab_Def_Flows[Name(EN)],Tab_Def_Flows[Value_Source],,0,)</f>
        <v>0</v>
      </c>
      <c r="J389" s="61" t="str">
        <f>_xlfn.XLOOKUP(C389,Tab_Def_Flows[Name(EN)],Tab_Def_Flows[WC?],,0,)</f>
        <v>Yes</v>
      </c>
      <c r="K389" s="61" t="str">
        <f>_xlfn.XLOOKUP(C389,Tab_Def_Flows[Name(EN)],Tab_Def_Flows[DM?],,0,)</f>
        <v>Yes</v>
      </c>
      <c r="L389" s="61" t="str">
        <f>_xlfn.XLOOKUP(C389,Tab_Def_Flows[Name(EN)],Tab_Def_Flows[CC?],,0,)</f>
        <v>Yes</v>
      </c>
      <c r="M389" s="51"/>
      <c r="N389" s="51"/>
      <c r="O389" s="119"/>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e">
        <f>IF(J389="Yes",AA389*Tab_Data_Flows[[#This Row],[WC_'[%']]],"N.A.")</f>
        <v>#N/A</v>
      </c>
      <c r="AE389" s="61">
        <f>Tab_Data_Flows[[#This Row],[UoM_Flow_Py]]</f>
        <v>0</v>
      </c>
      <c r="AF389" s="111" t="e">
        <f>INDEX(Tab_Def_Flows[[Flow_ID]:[CC_DM_source]],MATCH(Tab_Data_Flows[[#This Row],[Name(EN)]],Tab_Def_Flows[Name(EN)],0),18)</f>
        <v>#N/A</v>
      </c>
      <c r="AG389" s="112" t="e">
        <f>IF(K389="Yes",AF389*Tab_Data_Flows[[#This Row],[Flow_Py]],"N.A.")</f>
        <v>#N/A</v>
      </c>
      <c r="AH389" s="61">
        <f>Tab_Data_Flows[[#This Row],[UoM_Flow_Py]]</f>
        <v>0</v>
      </c>
      <c r="AI389" s="111" t="e">
        <f>INDEX(Tab_Def_Flows[[Flow_ID]:[CC_DM_source]],MATCH(Tab_Data_Flows[[#This Row],[Name(EN)]],Tab_Def_Flows[Name(EN)],0),20)</f>
        <v>#N/A</v>
      </c>
      <c r="AJ389" s="109" t="e">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F_24_24</v>
      </c>
      <c r="C390" s="51"/>
      <c r="D390" s="49">
        <f>_xlfn.XLOOKUP(C390,Tab_Def_Flows[Name(EN)],Tab_Def_Flows[Type_Biomass],,0,)</f>
        <v>0</v>
      </c>
      <c r="E390" s="49">
        <f>_xlfn.XLOOKUP(C390,Tab_Def_Flows[Name(EN)],Tab_Def_Flows[Output_Process],,0,)</f>
        <v>0</v>
      </c>
      <c r="F390" s="49" t="str">
        <f>_xlfn.XLOOKUP(C390,Tab_Def_Flows[Name(EN)],Tab_Def_Flows[Process_ID_O],,0,)</f>
        <v>24__</v>
      </c>
      <c r="G390" s="49">
        <f>_xlfn.XLOOKUP(C390,Tab_Def_Flows[Name(EN)],Tab_Def_Flows[Input_Process],,0,)</f>
        <v>0</v>
      </c>
      <c r="H390" s="61" t="str">
        <f>_xlfn.XLOOKUP(C390,Tab_Def_Flows[Name(EN)],Tab_Def_Flows[Process_ID_I],,0,)</f>
        <v>24__</v>
      </c>
      <c r="I390" s="49">
        <f>_xlfn.XLOOKUP(C390,Tab_Def_Flows[Name(EN)],Tab_Def_Flows[Value_Source],,0,)</f>
        <v>0</v>
      </c>
      <c r="J390" s="61" t="str">
        <f>_xlfn.XLOOKUP(C390,Tab_Def_Flows[Name(EN)],Tab_Def_Flows[WC?],,0,)</f>
        <v>Yes</v>
      </c>
      <c r="K390" s="61" t="str">
        <f>_xlfn.XLOOKUP(C390,Tab_Def_Flows[Name(EN)],Tab_Def_Flows[DM?],,0,)</f>
        <v>Yes</v>
      </c>
      <c r="L390" s="61" t="str">
        <f>_xlfn.XLOOKUP(C390,Tab_Def_Flows[Name(EN)],Tab_Def_Flows[CC?],,0,)</f>
        <v>Yes</v>
      </c>
      <c r="M390" s="51"/>
      <c r="N390" s="51"/>
      <c r="O390" s="119"/>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e">
        <f>IF(J390="Yes",AA390*Tab_Data_Flows[[#This Row],[WC_'[%']]],"N.A.")</f>
        <v>#N/A</v>
      </c>
      <c r="AE390" s="61">
        <f>Tab_Data_Flows[[#This Row],[UoM_Flow_Py]]</f>
        <v>0</v>
      </c>
      <c r="AF390" s="111" t="e">
        <f>INDEX(Tab_Def_Flows[[Flow_ID]:[CC_DM_source]],MATCH(Tab_Data_Flows[[#This Row],[Name(EN)]],Tab_Def_Flows[Name(EN)],0),18)</f>
        <v>#N/A</v>
      </c>
      <c r="AG390" s="112" t="e">
        <f>IF(K390="Yes",AF390*Tab_Data_Flows[[#This Row],[Flow_Py]],"N.A.")</f>
        <v>#N/A</v>
      </c>
      <c r="AH390" s="61">
        <f>Tab_Data_Flows[[#This Row],[UoM_Flow_Py]]</f>
        <v>0</v>
      </c>
      <c r="AI390" s="111" t="e">
        <f>INDEX(Tab_Def_Flows[[Flow_ID]:[CC_DM_source]],MATCH(Tab_Data_Flows[[#This Row],[Name(EN)]],Tab_Def_Flows[Name(EN)],0),20)</f>
        <v>#N/A</v>
      </c>
      <c r="AJ390" s="109" t="e">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F_24_24</v>
      </c>
      <c r="C391" s="51"/>
      <c r="D391" s="49">
        <f>_xlfn.XLOOKUP(C391,Tab_Def_Flows[Name(EN)],Tab_Def_Flows[Type_Biomass],,0,)</f>
        <v>0</v>
      </c>
      <c r="E391" s="49">
        <f>_xlfn.XLOOKUP(C391,Tab_Def_Flows[Name(EN)],Tab_Def_Flows[Output_Process],,0,)</f>
        <v>0</v>
      </c>
      <c r="F391" s="49" t="str">
        <f>_xlfn.XLOOKUP(C391,Tab_Def_Flows[Name(EN)],Tab_Def_Flows[Process_ID_O],,0,)</f>
        <v>24__</v>
      </c>
      <c r="G391" s="49">
        <f>_xlfn.XLOOKUP(C391,Tab_Def_Flows[Name(EN)],Tab_Def_Flows[Input_Process],,0,)</f>
        <v>0</v>
      </c>
      <c r="H391" s="61" t="str">
        <f>_xlfn.XLOOKUP(C391,Tab_Def_Flows[Name(EN)],Tab_Def_Flows[Process_ID_I],,0,)</f>
        <v>24__</v>
      </c>
      <c r="I391" s="49">
        <f>_xlfn.XLOOKUP(C391,Tab_Def_Flows[Name(EN)],Tab_Def_Flows[Value_Source],,0,)</f>
        <v>0</v>
      </c>
      <c r="J391" s="61" t="str">
        <f>_xlfn.XLOOKUP(C391,Tab_Def_Flows[Name(EN)],Tab_Def_Flows[WC?],,0,)</f>
        <v>Yes</v>
      </c>
      <c r="K391" s="61" t="str">
        <f>_xlfn.XLOOKUP(C391,Tab_Def_Flows[Name(EN)],Tab_Def_Flows[DM?],,0,)</f>
        <v>Yes</v>
      </c>
      <c r="L391" s="61" t="str">
        <f>_xlfn.XLOOKUP(C391,Tab_Def_Flows[Name(EN)],Tab_Def_Flows[CC?],,0,)</f>
        <v>Yes</v>
      </c>
      <c r="M391" s="51"/>
      <c r="N391" s="51"/>
      <c r="O391" s="119"/>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e">
        <f>IF(J391="Yes",AA391*Tab_Data_Flows[[#This Row],[WC_'[%']]],"N.A.")</f>
        <v>#N/A</v>
      </c>
      <c r="AE391" s="61">
        <f>Tab_Data_Flows[[#This Row],[UoM_Flow_Py]]</f>
        <v>0</v>
      </c>
      <c r="AF391" s="111" t="e">
        <f>INDEX(Tab_Def_Flows[[Flow_ID]:[CC_DM_source]],MATCH(Tab_Data_Flows[[#This Row],[Name(EN)]],Tab_Def_Flows[Name(EN)],0),18)</f>
        <v>#N/A</v>
      </c>
      <c r="AG391" s="112" t="e">
        <f>IF(K391="Yes",AF391*Tab_Data_Flows[[#This Row],[Flow_Py]],"N.A.")</f>
        <v>#N/A</v>
      </c>
      <c r="AH391" s="61">
        <f>Tab_Data_Flows[[#This Row],[UoM_Flow_Py]]</f>
        <v>0</v>
      </c>
      <c r="AI391" s="111" t="e">
        <f>INDEX(Tab_Def_Flows[[Flow_ID]:[CC_DM_source]],MATCH(Tab_Data_Flows[[#This Row],[Name(EN)]],Tab_Def_Flows[Name(EN)],0),20)</f>
        <v>#N/A</v>
      </c>
      <c r="AJ391" s="109" t="e">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F_24_24</v>
      </c>
      <c r="C392" s="51"/>
      <c r="D392" s="49">
        <f>_xlfn.XLOOKUP(C392,Tab_Def_Flows[Name(EN)],Tab_Def_Flows[Type_Biomass],,0,)</f>
        <v>0</v>
      </c>
      <c r="E392" s="49">
        <f>_xlfn.XLOOKUP(C392,Tab_Def_Flows[Name(EN)],Tab_Def_Flows[Output_Process],,0,)</f>
        <v>0</v>
      </c>
      <c r="F392" s="49" t="str">
        <f>_xlfn.XLOOKUP(C392,Tab_Def_Flows[Name(EN)],Tab_Def_Flows[Process_ID_O],,0,)</f>
        <v>24__</v>
      </c>
      <c r="G392" s="49">
        <f>_xlfn.XLOOKUP(C392,Tab_Def_Flows[Name(EN)],Tab_Def_Flows[Input_Process],,0,)</f>
        <v>0</v>
      </c>
      <c r="H392" s="61" t="str">
        <f>_xlfn.XLOOKUP(C392,Tab_Def_Flows[Name(EN)],Tab_Def_Flows[Process_ID_I],,0,)</f>
        <v>24__</v>
      </c>
      <c r="I392" s="49">
        <f>_xlfn.XLOOKUP(C392,Tab_Def_Flows[Name(EN)],Tab_Def_Flows[Value_Source],,0,)</f>
        <v>0</v>
      </c>
      <c r="J392" s="61" t="str">
        <f>_xlfn.XLOOKUP(C392,Tab_Def_Flows[Name(EN)],Tab_Def_Flows[WC?],,0,)</f>
        <v>Yes</v>
      </c>
      <c r="K392" s="61" t="str">
        <f>_xlfn.XLOOKUP(C392,Tab_Def_Flows[Name(EN)],Tab_Def_Flows[DM?],,0,)</f>
        <v>Yes</v>
      </c>
      <c r="L392" s="61" t="str">
        <f>_xlfn.XLOOKUP(C392,Tab_Def_Flows[Name(EN)],Tab_Def_Flows[CC?],,0,)</f>
        <v>Yes</v>
      </c>
      <c r="M392" s="51"/>
      <c r="N392" s="51"/>
      <c r="O392" s="119"/>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e">
        <f>IF(J392="Yes",AA392*Tab_Data_Flows[[#This Row],[WC_'[%']]],"N.A.")</f>
        <v>#N/A</v>
      </c>
      <c r="AE392" s="61">
        <f>Tab_Data_Flows[[#This Row],[UoM_Flow_Py]]</f>
        <v>0</v>
      </c>
      <c r="AF392" s="111" t="e">
        <f>INDEX(Tab_Def_Flows[[Flow_ID]:[CC_DM_source]],MATCH(Tab_Data_Flows[[#This Row],[Name(EN)]],Tab_Def_Flows[Name(EN)],0),18)</f>
        <v>#N/A</v>
      </c>
      <c r="AG392" s="112" t="e">
        <f>IF(K392="Yes",AF392*Tab_Data_Flows[[#This Row],[Flow_Py]],"N.A.")</f>
        <v>#N/A</v>
      </c>
      <c r="AH392" s="61">
        <f>Tab_Data_Flows[[#This Row],[UoM_Flow_Py]]</f>
        <v>0</v>
      </c>
      <c r="AI392" s="111" t="e">
        <f>INDEX(Tab_Def_Flows[[Flow_ID]:[CC_DM_source]],MATCH(Tab_Data_Flows[[#This Row],[Name(EN)]],Tab_Def_Flows[Name(EN)],0),20)</f>
        <v>#N/A</v>
      </c>
      <c r="AJ392" s="109" t="e">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F_24_24</v>
      </c>
      <c r="C393" s="51"/>
      <c r="D393" s="49">
        <f>_xlfn.XLOOKUP(C393,Tab_Def_Flows[Name(EN)],Tab_Def_Flows[Type_Biomass],,0,)</f>
        <v>0</v>
      </c>
      <c r="E393" s="49">
        <f>_xlfn.XLOOKUP(C393,Tab_Def_Flows[Name(EN)],Tab_Def_Flows[Output_Process],,0,)</f>
        <v>0</v>
      </c>
      <c r="F393" s="49" t="str">
        <f>_xlfn.XLOOKUP(C393,Tab_Def_Flows[Name(EN)],Tab_Def_Flows[Process_ID_O],,0,)</f>
        <v>24__</v>
      </c>
      <c r="G393" s="49">
        <f>_xlfn.XLOOKUP(C393,Tab_Def_Flows[Name(EN)],Tab_Def_Flows[Input_Process],,0,)</f>
        <v>0</v>
      </c>
      <c r="H393" s="61" t="str">
        <f>_xlfn.XLOOKUP(C393,Tab_Def_Flows[Name(EN)],Tab_Def_Flows[Process_ID_I],,0,)</f>
        <v>24__</v>
      </c>
      <c r="I393" s="49">
        <f>_xlfn.XLOOKUP(C393,Tab_Def_Flows[Name(EN)],Tab_Def_Flows[Value_Source],,0,)</f>
        <v>0</v>
      </c>
      <c r="J393" s="61" t="str">
        <f>_xlfn.XLOOKUP(C393,Tab_Def_Flows[Name(EN)],Tab_Def_Flows[WC?],,0,)</f>
        <v>Yes</v>
      </c>
      <c r="K393" s="61" t="str">
        <f>_xlfn.XLOOKUP(C393,Tab_Def_Flows[Name(EN)],Tab_Def_Flows[DM?],,0,)</f>
        <v>Yes</v>
      </c>
      <c r="L393" s="61" t="str">
        <f>_xlfn.XLOOKUP(C393,Tab_Def_Flows[Name(EN)],Tab_Def_Flows[CC?],,0,)</f>
        <v>Yes</v>
      </c>
      <c r="M393" s="51"/>
      <c r="N393" s="51"/>
      <c r="O393" s="119"/>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e">
        <f>IF(J393="Yes",AA393*Tab_Data_Flows[[#This Row],[WC_'[%']]],"N.A.")</f>
        <v>#N/A</v>
      </c>
      <c r="AE393" s="61">
        <f>Tab_Data_Flows[[#This Row],[UoM_Flow_Py]]</f>
        <v>0</v>
      </c>
      <c r="AF393" s="111" t="e">
        <f>INDEX(Tab_Def_Flows[[Flow_ID]:[CC_DM_source]],MATCH(Tab_Data_Flows[[#This Row],[Name(EN)]],Tab_Def_Flows[Name(EN)],0),18)</f>
        <v>#N/A</v>
      </c>
      <c r="AG393" s="112" t="e">
        <f>IF(K393="Yes",AF393*Tab_Data_Flows[[#This Row],[Flow_Py]],"N.A.")</f>
        <v>#N/A</v>
      </c>
      <c r="AH393" s="61">
        <f>Tab_Data_Flows[[#This Row],[UoM_Flow_Py]]</f>
        <v>0</v>
      </c>
      <c r="AI393" s="111" t="e">
        <f>INDEX(Tab_Def_Flows[[Flow_ID]:[CC_DM_source]],MATCH(Tab_Data_Flows[[#This Row],[Name(EN)]],Tab_Def_Flows[Name(EN)],0),20)</f>
        <v>#N/A</v>
      </c>
      <c r="AJ393" s="109" t="e">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F_24_24</v>
      </c>
      <c r="C394" s="51"/>
      <c r="D394" s="49">
        <f>_xlfn.XLOOKUP(C394,Tab_Def_Flows[Name(EN)],Tab_Def_Flows[Type_Biomass],,0,)</f>
        <v>0</v>
      </c>
      <c r="E394" s="49">
        <f>_xlfn.XLOOKUP(C394,Tab_Def_Flows[Name(EN)],Tab_Def_Flows[Output_Process],,0,)</f>
        <v>0</v>
      </c>
      <c r="F394" s="49" t="str">
        <f>_xlfn.XLOOKUP(C394,Tab_Def_Flows[Name(EN)],Tab_Def_Flows[Process_ID_O],,0,)</f>
        <v>24__</v>
      </c>
      <c r="G394" s="49">
        <f>_xlfn.XLOOKUP(C394,Tab_Def_Flows[Name(EN)],Tab_Def_Flows[Input_Process],,0,)</f>
        <v>0</v>
      </c>
      <c r="H394" s="61" t="str">
        <f>_xlfn.XLOOKUP(C394,Tab_Def_Flows[Name(EN)],Tab_Def_Flows[Process_ID_I],,0,)</f>
        <v>24__</v>
      </c>
      <c r="I394" s="49">
        <f>_xlfn.XLOOKUP(C394,Tab_Def_Flows[Name(EN)],Tab_Def_Flows[Value_Source],,0,)</f>
        <v>0</v>
      </c>
      <c r="J394" s="61" t="str">
        <f>_xlfn.XLOOKUP(C394,Tab_Def_Flows[Name(EN)],Tab_Def_Flows[WC?],,0,)</f>
        <v>Yes</v>
      </c>
      <c r="K394" s="61" t="str">
        <f>_xlfn.XLOOKUP(C394,Tab_Def_Flows[Name(EN)],Tab_Def_Flows[DM?],,0,)</f>
        <v>Yes</v>
      </c>
      <c r="L394" s="61" t="str">
        <f>_xlfn.XLOOKUP(C394,Tab_Def_Flows[Name(EN)],Tab_Def_Flows[CC?],,0,)</f>
        <v>Yes</v>
      </c>
      <c r="M394" s="51"/>
      <c r="N394" s="51"/>
      <c r="O394" s="119"/>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e">
        <f>IF(J394="Yes",AA394*Tab_Data_Flows[[#This Row],[WC_'[%']]],"N.A.")</f>
        <v>#N/A</v>
      </c>
      <c r="AE394" s="61">
        <f>Tab_Data_Flows[[#This Row],[UoM_Flow_Py]]</f>
        <v>0</v>
      </c>
      <c r="AF394" s="111" t="e">
        <f>INDEX(Tab_Def_Flows[[Flow_ID]:[CC_DM_source]],MATCH(Tab_Data_Flows[[#This Row],[Name(EN)]],Tab_Def_Flows[Name(EN)],0),18)</f>
        <v>#N/A</v>
      </c>
      <c r="AG394" s="112" t="e">
        <f>IF(K394="Yes",AF394*Tab_Data_Flows[[#This Row],[Flow_Py]],"N.A.")</f>
        <v>#N/A</v>
      </c>
      <c r="AH394" s="61">
        <f>Tab_Data_Flows[[#This Row],[UoM_Flow_Py]]</f>
        <v>0</v>
      </c>
      <c r="AI394" s="111" t="e">
        <f>INDEX(Tab_Def_Flows[[Flow_ID]:[CC_DM_source]],MATCH(Tab_Data_Flows[[#This Row],[Name(EN)]],Tab_Def_Flows[Name(EN)],0),20)</f>
        <v>#N/A</v>
      </c>
      <c r="AJ394" s="109" t="e">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F_24_24</v>
      </c>
      <c r="C395" s="51"/>
      <c r="D395" s="49">
        <f>_xlfn.XLOOKUP(C395,Tab_Def_Flows[Name(EN)],Tab_Def_Flows[Type_Biomass],,0,)</f>
        <v>0</v>
      </c>
      <c r="E395" s="49">
        <f>_xlfn.XLOOKUP(C395,Tab_Def_Flows[Name(EN)],Tab_Def_Flows[Output_Process],,0,)</f>
        <v>0</v>
      </c>
      <c r="F395" s="49" t="str">
        <f>_xlfn.XLOOKUP(C395,Tab_Def_Flows[Name(EN)],Tab_Def_Flows[Process_ID_O],,0,)</f>
        <v>24__</v>
      </c>
      <c r="G395" s="49">
        <f>_xlfn.XLOOKUP(C395,Tab_Def_Flows[Name(EN)],Tab_Def_Flows[Input_Process],,0,)</f>
        <v>0</v>
      </c>
      <c r="H395" s="61" t="str">
        <f>_xlfn.XLOOKUP(C395,Tab_Def_Flows[Name(EN)],Tab_Def_Flows[Process_ID_I],,0,)</f>
        <v>24__</v>
      </c>
      <c r="I395" s="49">
        <f>_xlfn.XLOOKUP(C395,Tab_Def_Flows[Name(EN)],Tab_Def_Flows[Value_Source],,0,)</f>
        <v>0</v>
      </c>
      <c r="J395" s="61" t="str">
        <f>_xlfn.XLOOKUP(C395,Tab_Def_Flows[Name(EN)],Tab_Def_Flows[WC?],,0,)</f>
        <v>Yes</v>
      </c>
      <c r="K395" s="61" t="str">
        <f>_xlfn.XLOOKUP(C395,Tab_Def_Flows[Name(EN)],Tab_Def_Flows[DM?],,0,)</f>
        <v>Yes</v>
      </c>
      <c r="L395" s="61" t="str">
        <f>_xlfn.XLOOKUP(C395,Tab_Def_Flows[Name(EN)],Tab_Def_Flows[CC?],,0,)</f>
        <v>Yes</v>
      </c>
      <c r="M395" s="51"/>
      <c r="N395" s="51"/>
      <c r="O395" s="119"/>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e">
        <f>IF(J395="Yes",AA395*Tab_Data_Flows[[#This Row],[WC_'[%']]],"N.A.")</f>
        <v>#N/A</v>
      </c>
      <c r="AE395" s="61">
        <f>Tab_Data_Flows[[#This Row],[UoM_Flow_Py]]</f>
        <v>0</v>
      </c>
      <c r="AF395" s="111" t="e">
        <f>INDEX(Tab_Def_Flows[[Flow_ID]:[CC_DM_source]],MATCH(Tab_Data_Flows[[#This Row],[Name(EN)]],Tab_Def_Flows[Name(EN)],0),18)</f>
        <v>#N/A</v>
      </c>
      <c r="AG395" s="112" t="e">
        <f>IF(K395="Yes",AF395*Tab_Data_Flows[[#This Row],[Flow_Py]],"N.A.")</f>
        <v>#N/A</v>
      </c>
      <c r="AH395" s="61">
        <f>Tab_Data_Flows[[#This Row],[UoM_Flow_Py]]</f>
        <v>0</v>
      </c>
      <c r="AI395" s="111" t="e">
        <f>INDEX(Tab_Def_Flows[[Flow_ID]:[CC_DM_source]],MATCH(Tab_Data_Flows[[#This Row],[Name(EN)]],Tab_Def_Flows[Name(EN)],0),20)</f>
        <v>#N/A</v>
      </c>
      <c r="AJ395" s="109" t="e">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F_24_24</v>
      </c>
      <c r="C396" s="51"/>
      <c r="D396" s="49">
        <f>_xlfn.XLOOKUP(C396,Tab_Def_Flows[Name(EN)],Tab_Def_Flows[Type_Biomass],,0,)</f>
        <v>0</v>
      </c>
      <c r="E396" s="49">
        <f>_xlfn.XLOOKUP(C396,Tab_Def_Flows[Name(EN)],Tab_Def_Flows[Output_Process],,0,)</f>
        <v>0</v>
      </c>
      <c r="F396" s="49" t="str">
        <f>_xlfn.XLOOKUP(C396,Tab_Def_Flows[Name(EN)],Tab_Def_Flows[Process_ID_O],,0,)</f>
        <v>24__</v>
      </c>
      <c r="G396" s="49">
        <f>_xlfn.XLOOKUP(C396,Tab_Def_Flows[Name(EN)],Tab_Def_Flows[Input_Process],,0,)</f>
        <v>0</v>
      </c>
      <c r="H396" s="61" t="str">
        <f>_xlfn.XLOOKUP(C396,Tab_Def_Flows[Name(EN)],Tab_Def_Flows[Process_ID_I],,0,)</f>
        <v>24__</v>
      </c>
      <c r="I396" s="49">
        <f>_xlfn.XLOOKUP(C396,Tab_Def_Flows[Name(EN)],Tab_Def_Flows[Value_Source],,0,)</f>
        <v>0</v>
      </c>
      <c r="J396" s="61" t="str">
        <f>_xlfn.XLOOKUP(C396,Tab_Def_Flows[Name(EN)],Tab_Def_Flows[WC?],,0,)</f>
        <v>Yes</v>
      </c>
      <c r="K396" s="61" t="str">
        <f>_xlfn.XLOOKUP(C396,Tab_Def_Flows[Name(EN)],Tab_Def_Flows[DM?],,0,)</f>
        <v>Yes</v>
      </c>
      <c r="L396" s="61" t="str">
        <f>_xlfn.XLOOKUP(C396,Tab_Def_Flows[Name(EN)],Tab_Def_Flows[CC?],,0,)</f>
        <v>Yes</v>
      </c>
      <c r="M396" s="51"/>
      <c r="N396" s="51"/>
      <c r="O396" s="119"/>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e">
        <f>IF(J396="Yes",AA396*Tab_Data_Flows[[#This Row],[WC_'[%']]],"N.A.")</f>
        <v>#N/A</v>
      </c>
      <c r="AE396" s="61">
        <f>Tab_Data_Flows[[#This Row],[UoM_Flow_Py]]</f>
        <v>0</v>
      </c>
      <c r="AF396" s="111" t="e">
        <f>INDEX(Tab_Def_Flows[[Flow_ID]:[CC_DM_source]],MATCH(Tab_Data_Flows[[#This Row],[Name(EN)]],Tab_Def_Flows[Name(EN)],0),18)</f>
        <v>#N/A</v>
      </c>
      <c r="AG396" s="112" t="e">
        <f>IF(K396="Yes",AF396*Tab_Data_Flows[[#This Row],[Flow_Py]],"N.A.")</f>
        <v>#N/A</v>
      </c>
      <c r="AH396" s="61">
        <f>Tab_Data_Flows[[#This Row],[UoM_Flow_Py]]</f>
        <v>0</v>
      </c>
      <c r="AI396" s="111" t="e">
        <f>INDEX(Tab_Def_Flows[[Flow_ID]:[CC_DM_source]],MATCH(Tab_Data_Flows[[#This Row],[Name(EN)]],Tab_Def_Flows[Name(EN)],0),20)</f>
        <v>#N/A</v>
      </c>
      <c r="AJ396" s="109" t="e">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F_24_24</v>
      </c>
      <c r="C397" s="51"/>
      <c r="D397" s="49">
        <f>_xlfn.XLOOKUP(C397,Tab_Def_Flows[Name(EN)],Tab_Def_Flows[Type_Biomass],,0,)</f>
        <v>0</v>
      </c>
      <c r="E397" s="49">
        <f>_xlfn.XLOOKUP(C397,Tab_Def_Flows[Name(EN)],Tab_Def_Flows[Output_Process],,0,)</f>
        <v>0</v>
      </c>
      <c r="F397" s="49" t="str">
        <f>_xlfn.XLOOKUP(C397,Tab_Def_Flows[Name(EN)],Tab_Def_Flows[Process_ID_O],,0,)</f>
        <v>24__</v>
      </c>
      <c r="G397" s="49">
        <f>_xlfn.XLOOKUP(C397,Tab_Def_Flows[Name(EN)],Tab_Def_Flows[Input_Process],,0,)</f>
        <v>0</v>
      </c>
      <c r="H397" s="61" t="str">
        <f>_xlfn.XLOOKUP(C397,Tab_Def_Flows[Name(EN)],Tab_Def_Flows[Process_ID_I],,0,)</f>
        <v>24__</v>
      </c>
      <c r="I397" s="49">
        <f>_xlfn.XLOOKUP(C397,Tab_Def_Flows[Name(EN)],Tab_Def_Flows[Value_Source],,0,)</f>
        <v>0</v>
      </c>
      <c r="J397" s="61" t="str">
        <f>_xlfn.XLOOKUP(C397,Tab_Def_Flows[Name(EN)],Tab_Def_Flows[WC?],,0,)</f>
        <v>Yes</v>
      </c>
      <c r="K397" s="61" t="str">
        <f>_xlfn.XLOOKUP(C397,Tab_Def_Flows[Name(EN)],Tab_Def_Flows[DM?],,0,)</f>
        <v>Yes</v>
      </c>
      <c r="L397" s="61" t="str">
        <f>_xlfn.XLOOKUP(C397,Tab_Def_Flows[Name(EN)],Tab_Def_Flows[CC?],,0,)</f>
        <v>Yes</v>
      </c>
      <c r="M397" s="51"/>
      <c r="N397" s="51"/>
      <c r="O397" s="119"/>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e">
        <f>IF(J397="Yes",AA397*Tab_Data_Flows[[#This Row],[WC_'[%']]],"N.A.")</f>
        <v>#N/A</v>
      </c>
      <c r="AE397" s="61">
        <f>Tab_Data_Flows[[#This Row],[UoM_Flow_Py]]</f>
        <v>0</v>
      </c>
      <c r="AF397" s="111" t="e">
        <f>INDEX(Tab_Def_Flows[[Flow_ID]:[CC_DM_source]],MATCH(Tab_Data_Flows[[#This Row],[Name(EN)]],Tab_Def_Flows[Name(EN)],0),18)</f>
        <v>#N/A</v>
      </c>
      <c r="AG397" s="112" t="e">
        <f>IF(K397="Yes",AF397*Tab_Data_Flows[[#This Row],[Flow_Py]],"N.A.")</f>
        <v>#N/A</v>
      </c>
      <c r="AH397" s="61">
        <f>Tab_Data_Flows[[#This Row],[UoM_Flow_Py]]</f>
        <v>0</v>
      </c>
      <c r="AI397" s="111" t="e">
        <f>INDEX(Tab_Def_Flows[[Flow_ID]:[CC_DM_source]],MATCH(Tab_Data_Flows[[#This Row],[Name(EN)]],Tab_Def_Flows[Name(EN)],0),20)</f>
        <v>#N/A</v>
      </c>
      <c r="AJ397" s="109" t="e">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F_24_24</v>
      </c>
      <c r="C398" s="51"/>
      <c r="D398" s="49">
        <f>_xlfn.XLOOKUP(C398,Tab_Def_Flows[Name(EN)],Tab_Def_Flows[Type_Biomass],,0,)</f>
        <v>0</v>
      </c>
      <c r="E398" s="49">
        <f>_xlfn.XLOOKUP(C398,Tab_Def_Flows[Name(EN)],Tab_Def_Flows[Output_Process],,0,)</f>
        <v>0</v>
      </c>
      <c r="F398" s="49" t="str">
        <f>_xlfn.XLOOKUP(C398,Tab_Def_Flows[Name(EN)],Tab_Def_Flows[Process_ID_O],,0,)</f>
        <v>24__</v>
      </c>
      <c r="G398" s="49">
        <f>_xlfn.XLOOKUP(C398,Tab_Def_Flows[Name(EN)],Tab_Def_Flows[Input_Process],,0,)</f>
        <v>0</v>
      </c>
      <c r="H398" s="61" t="str">
        <f>_xlfn.XLOOKUP(C398,Tab_Def_Flows[Name(EN)],Tab_Def_Flows[Process_ID_I],,0,)</f>
        <v>24__</v>
      </c>
      <c r="I398" s="49">
        <f>_xlfn.XLOOKUP(C398,Tab_Def_Flows[Name(EN)],Tab_Def_Flows[Value_Source],,0,)</f>
        <v>0</v>
      </c>
      <c r="J398" s="61" t="str">
        <f>_xlfn.XLOOKUP(C398,Tab_Def_Flows[Name(EN)],Tab_Def_Flows[WC?],,0,)</f>
        <v>Yes</v>
      </c>
      <c r="K398" s="61" t="str">
        <f>_xlfn.XLOOKUP(C398,Tab_Def_Flows[Name(EN)],Tab_Def_Flows[DM?],,0,)</f>
        <v>Yes</v>
      </c>
      <c r="L398" s="61" t="str">
        <f>_xlfn.XLOOKUP(C398,Tab_Def_Flows[Name(EN)],Tab_Def_Flows[CC?],,0,)</f>
        <v>Yes</v>
      </c>
      <c r="M398" s="51"/>
      <c r="N398" s="51"/>
      <c r="O398" s="119"/>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e">
        <f>IF(J398="Yes",AA398*Tab_Data_Flows[[#This Row],[WC_'[%']]],"N.A.")</f>
        <v>#N/A</v>
      </c>
      <c r="AE398" s="61">
        <f>Tab_Data_Flows[[#This Row],[UoM_Flow_Py]]</f>
        <v>0</v>
      </c>
      <c r="AF398" s="111" t="e">
        <f>INDEX(Tab_Def_Flows[[Flow_ID]:[CC_DM_source]],MATCH(Tab_Data_Flows[[#This Row],[Name(EN)]],Tab_Def_Flows[Name(EN)],0),18)</f>
        <v>#N/A</v>
      </c>
      <c r="AG398" s="112" t="e">
        <f>IF(K398="Yes",AF398*Tab_Data_Flows[[#This Row],[Flow_Py]],"N.A.")</f>
        <v>#N/A</v>
      </c>
      <c r="AH398" s="61">
        <f>Tab_Data_Flows[[#This Row],[UoM_Flow_Py]]</f>
        <v>0</v>
      </c>
      <c r="AI398" s="111" t="e">
        <f>INDEX(Tab_Def_Flows[[Flow_ID]:[CC_DM_source]],MATCH(Tab_Data_Flows[[#This Row],[Name(EN)]],Tab_Def_Flows[Name(EN)],0),20)</f>
        <v>#N/A</v>
      </c>
      <c r="AJ398" s="109" t="e">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F_24_24</v>
      </c>
      <c r="C399" s="51"/>
      <c r="D399" s="49">
        <f>_xlfn.XLOOKUP(C399,Tab_Def_Flows[Name(EN)],Tab_Def_Flows[Type_Biomass],,0,)</f>
        <v>0</v>
      </c>
      <c r="E399" s="49">
        <f>_xlfn.XLOOKUP(C399,Tab_Def_Flows[Name(EN)],Tab_Def_Flows[Output_Process],,0,)</f>
        <v>0</v>
      </c>
      <c r="F399" s="49" t="str">
        <f>_xlfn.XLOOKUP(C399,Tab_Def_Flows[Name(EN)],Tab_Def_Flows[Process_ID_O],,0,)</f>
        <v>24__</v>
      </c>
      <c r="G399" s="49">
        <f>_xlfn.XLOOKUP(C399,Tab_Def_Flows[Name(EN)],Tab_Def_Flows[Input_Process],,0,)</f>
        <v>0</v>
      </c>
      <c r="H399" s="61" t="str">
        <f>_xlfn.XLOOKUP(C399,Tab_Def_Flows[Name(EN)],Tab_Def_Flows[Process_ID_I],,0,)</f>
        <v>24__</v>
      </c>
      <c r="I399" s="49">
        <f>_xlfn.XLOOKUP(C399,Tab_Def_Flows[Name(EN)],Tab_Def_Flows[Value_Source],,0,)</f>
        <v>0</v>
      </c>
      <c r="J399" s="61" t="str">
        <f>_xlfn.XLOOKUP(C399,Tab_Def_Flows[Name(EN)],Tab_Def_Flows[WC?],,0,)</f>
        <v>Yes</v>
      </c>
      <c r="K399" s="61" t="str">
        <f>_xlfn.XLOOKUP(C399,Tab_Def_Flows[Name(EN)],Tab_Def_Flows[DM?],,0,)</f>
        <v>Yes</v>
      </c>
      <c r="L399" s="61" t="str">
        <f>_xlfn.XLOOKUP(C399,Tab_Def_Flows[Name(EN)],Tab_Def_Flows[CC?],,0,)</f>
        <v>Yes</v>
      </c>
      <c r="M399" s="51"/>
      <c r="N399" s="51"/>
      <c r="O399" s="119"/>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e">
        <f>IF(J399="Yes",AA399*Tab_Data_Flows[[#This Row],[WC_'[%']]],"N.A.")</f>
        <v>#N/A</v>
      </c>
      <c r="AE399" s="61">
        <f>Tab_Data_Flows[[#This Row],[UoM_Flow_Py]]</f>
        <v>0</v>
      </c>
      <c r="AF399" s="111" t="e">
        <f>INDEX(Tab_Def_Flows[[Flow_ID]:[CC_DM_source]],MATCH(Tab_Data_Flows[[#This Row],[Name(EN)]],Tab_Def_Flows[Name(EN)],0),18)</f>
        <v>#N/A</v>
      </c>
      <c r="AG399" s="112" t="e">
        <f>IF(K399="Yes",AF399*Tab_Data_Flows[[#This Row],[Flow_Py]],"N.A.")</f>
        <v>#N/A</v>
      </c>
      <c r="AH399" s="61">
        <f>Tab_Data_Flows[[#This Row],[UoM_Flow_Py]]</f>
        <v>0</v>
      </c>
      <c r="AI399" s="111" t="e">
        <f>INDEX(Tab_Def_Flows[[Flow_ID]:[CC_DM_source]],MATCH(Tab_Data_Flows[[#This Row],[Name(EN)]],Tab_Def_Flows[Name(EN)],0),20)</f>
        <v>#N/A</v>
      </c>
      <c r="AJ399" s="109" t="e">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F_24_24</v>
      </c>
      <c r="C400" s="51"/>
      <c r="D400" s="49">
        <f>_xlfn.XLOOKUP(C400,Tab_Def_Flows[Name(EN)],Tab_Def_Flows[Type_Biomass],,0,)</f>
        <v>0</v>
      </c>
      <c r="E400" s="49">
        <f>_xlfn.XLOOKUP(C400,Tab_Def_Flows[Name(EN)],Tab_Def_Flows[Output_Process],,0,)</f>
        <v>0</v>
      </c>
      <c r="F400" s="49" t="str">
        <f>_xlfn.XLOOKUP(C400,Tab_Def_Flows[Name(EN)],Tab_Def_Flows[Process_ID_O],,0,)</f>
        <v>24__</v>
      </c>
      <c r="G400" s="49">
        <f>_xlfn.XLOOKUP(C400,Tab_Def_Flows[Name(EN)],Tab_Def_Flows[Input_Process],,0,)</f>
        <v>0</v>
      </c>
      <c r="H400" s="61" t="str">
        <f>_xlfn.XLOOKUP(C400,Tab_Def_Flows[Name(EN)],Tab_Def_Flows[Process_ID_I],,0,)</f>
        <v>24__</v>
      </c>
      <c r="I400" s="49">
        <f>_xlfn.XLOOKUP(C400,Tab_Def_Flows[Name(EN)],Tab_Def_Flows[Value_Source],,0,)</f>
        <v>0</v>
      </c>
      <c r="J400" s="61" t="str">
        <f>_xlfn.XLOOKUP(C400,Tab_Def_Flows[Name(EN)],Tab_Def_Flows[WC?],,0,)</f>
        <v>Yes</v>
      </c>
      <c r="K400" s="61" t="str">
        <f>_xlfn.XLOOKUP(C400,Tab_Def_Flows[Name(EN)],Tab_Def_Flows[DM?],,0,)</f>
        <v>Yes</v>
      </c>
      <c r="L400" s="61" t="str">
        <f>_xlfn.XLOOKUP(C400,Tab_Def_Flows[Name(EN)],Tab_Def_Flows[CC?],,0,)</f>
        <v>Yes</v>
      </c>
      <c r="M400" s="51"/>
      <c r="N400" s="51"/>
      <c r="O400" s="119"/>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e">
        <f>IF(J400="Yes",AA400*Tab_Data_Flows[[#This Row],[WC_'[%']]],"N.A.")</f>
        <v>#N/A</v>
      </c>
      <c r="AE400" s="61">
        <f>Tab_Data_Flows[[#This Row],[UoM_Flow_Py]]</f>
        <v>0</v>
      </c>
      <c r="AF400" s="111" t="e">
        <f>INDEX(Tab_Def_Flows[[Flow_ID]:[CC_DM_source]],MATCH(Tab_Data_Flows[[#This Row],[Name(EN)]],Tab_Def_Flows[Name(EN)],0),18)</f>
        <v>#N/A</v>
      </c>
      <c r="AG400" s="112" t="e">
        <f>IF(K400="Yes",AF400*Tab_Data_Flows[[#This Row],[Flow_Py]],"N.A.")</f>
        <v>#N/A</v>
      </c>
      <c r="AH400" s="61">
        <f>Tab_Data_Flows[[#This Row],[UoM_Flow_Py]]</f>
        <v>0</v>
      </c>
      <c r="AI400" s="111" t="e">
        <f>INDEX(Tab_Def_Flows[[Flow_ID]:[CC_DM_source]],MATCH(Tab_Data_Flows[[#This Row],[Name(EN)]],Tab_Def_Flows[Name(EN)],0),20)</f>
        <v>#N/A</v>
      </c>
      <c r="AJ400" s="109" t="e">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F_24_24</v>
      </c>
      <c r="C401" s="51"/>
      <c r="D401" s="49">
        <f>_xlfn.XLOOKUP(C401,Tab_Def_Flows[Name(EN)],Tab_Def_Flows[Type_Biomass],,0,)</f>
        <v>0</v>
      </c>
      <c r="E401" s="49">
        <f>_xlfn.XLOOKUP(C401,Tab_Def_Flows[Name(EN)],Tab_Def_Flows[Output_Process],,0,)</f>
        <v>0</v>
      </c>
      <c r="F401" s="49" t="str">
        <f>_xlfn.XLOOKUP(C401,Tab_Def_Flows[Name(EN)],Tab_Def_Flows[Process_ID_O],,0,)</f>
        <v>24__</v>
      </c>
      <c r="G401" s="49">
        <f>_xlfn.XLOOKUP(C401,Tab_Def_Flows[Name(EN)],Tab_Def_Flows[Input_Process],,0,)</f>
        <v>0</v>
      </c>
      <c r="H401" s="61" t="str">
        <f>_xlfn.XLOOKUP(C401,Tab_Def_Flows[Name(EN)],Tab_Def_Flows[Process_ID_I],,0,)</f>
        <v>24__</v>
      </c>
      <c r="I401" s="49">
        <f>_xlfn.XLOOKUP(C401,Tab_Def_Flows[Name(EN)],Tab_Def_Flows[Value_Source],,0,)</f>
        <v>0</v>
      </c>
      <c r="J401" s="61" t="str">
        <f>_xlfn.XLOOKUP(C401,Tab_Def_Flows[Name(EN)],Tab_Def_Flows[WC?],,0,)</f>
        <v>Yes</v>
      </c>
      <c r="K401" s="61" t="str">
        <f>_xlfn.XLOOKUP(C401,Tab_Def_Flows[Name(EN)],Tab_Def_Flows[DM?],,0,)</f>
        <v>Yes</v>
      </c>
      <c r="L401" s="61" t="str">
        <f>_xlfn.XLOOKUP(C401,Tab_Def_Flows[Name(EN)],Tab_Def_Flows[CC?],,0,)</f>
        <v>Yes</v>
      </c>
      <c r="M401" s="51"/>
      <c r="N401" s="51"/>
      <c r="O401" s="119"/>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e">
        <f>IF(J401="Yes",AA401*Tab_Data_Flows[[#This Row],[WC_'[%']]],"N.A.")</f>
        <v>#N/A</v>
      </c>
      <c r="AE401" s="61">
        <f>Tab_Data_Flows[[#This Row],[UoM_Flow_Py]]</f>
        <v>0</v>
      </c>
      <c r="AF401" s="111" t="e">
        <f>INDEX(Tab_Def_Flows[[Flow_ID]:[CC_DM_source]],MATCH(Tab_Data_Flows[[#This Row],[Name(EN)]],Tab_Def_Flows[Name(EN)],0),18)</f>
        <v>#N/A</v>
      </c>
      <c r="AG401" s="112" t="e">
        <f>IF(K401="Yes",AF401*Tab_Data_Flows[[#This Row],[Flow_Py]],"N.A.")</f>
        <v>#N/A</v>
      </c>
      <c r="AH401" s="61">
        <f>Tab_Data_Flows[[#This Row],[UoM_Flow_Py]]</f>
        <v>0</v>
      </c>
      <c r="AI401" s="111" t="e">
        <f>INDEX(Tab_Def_Flows[[Flow_ID]:[CC_DM_source]],MATCH(Tab_Data_Flows[[#This Row],[Name(EN)]],Tab_Def_Flows[Name(EN)],0),20)</f>
        <v>#N/A</v>
      </c>
      <c r="AJ401" s="109" t="e">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F_24_24</v>
      </c>
      <c r="C402" s="51"/>
      <c r="D402" s="49">
        <f>_xlfn.XLOOKUP(C402,Tab_Def_Flows[Name(EN)],Tab_Def_Flows[Type_Biomass],,0,)</f>
        <v>0</v>
      </c>
      <c r="E402" s="49">
        <f>_xlfn.XLOOKUP(C402,Tab_Def_Flows[Name(EN)],Tab_Def_Flows[Output_Process],,0,)</f>
        <v>0</v>
      </c>
      <c r="F402" s="49" t="str">
        <f>_xlfn.XLOOKUP(C402,Tab_Def_Flows[Name(EN)],Tab_Def_Flows[Process_ID_O],,0,)</f>
        <v>24__</v>
      </c>
      <c r="G402" s="49">
        <f>_xlfn.XLOOKUP(C402,Tab_Def_Flows[Name(EN)],Tab_Def_Flows[Input_Process],,0,)</f>
        <v>0</v>
      </c>
      <c r="H402" s="61" t="str">
        <f>_xlfn.XLOOKUP(C402,Tab_Def_Flows[Name(EN)],Tab_Def_Flows[Process_ID_I],,0,)</f>
        <v>24__</v>
      </c>
      <c r="I402" s="49">
        <f>_xlfn.XLOOKUP(C402,Tab_Def_Flows[Name(EN)],Tab_Def_Flows[Value_Source],,0,)</f>
        <v>0</v>
      </c>
      <c r="J402" s="61" t="str">
        <f>_xlfn.XLOOKUP(C402,Tab_Def_Flows[Name(EN)],Tab_Def_Flows[WC?],,0,)</f>
        <v>Yes</v>
      </c>
      <c r="K402" s="61" t="str">
        <f>_xlfn.XLOOKUP(C402,Tab_Def_Flows[Name(EN)],Tab_Def_Flows[DM?],,0,)</f>
        <v>Yes</v>
      </c>
      <c r="L402" s="61" t="str">
        <f>_xlfn.XLOOKUP(C402,Tab_Def_Flows[Name(EN)],Tab_Def_Flows[CC?],,0,)</f>
        <v>Yes</v>
      </c>
      <c r="M402" s="51"/>
      <c r="N402" s="51"/>
      <c r="O402" s="119"/>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e">
        <f>IF(J402="Yes",AA402*Tab_Data_Flows[[#This Row],[WC_'[%']]],"N.A.")</f>
        <v>#N/A</v>
      </c>
      <c r="AE402" s="61">
        <f>Tab_Data_Flows[[#This Row],[UoM_Flow_Py]]</f>
        <v>0</v>
      </c>
      <c r="AF402" s="111" t="e">
        <f>INDEX(Tab_Def_Flows[[Flow_ID]:[CC_DM_source]],MATCH(Tab_Data_Flows[[#This Row],[Name(EN)]],Tab_Def_Flows[Name(EN)],0),18)</f>
        <v>#N/A</v>
      </c>
      <c r="AG402" s="112" t="e">
        <f>IF(K402="Yes",AF402*Tab_Data_Flows[[#This Row],[Flow_Py]],"N.A.")</f>
        <v>#N/A</v>
      </c>
      <c r="AH402" s="61">
        <f>Tab_Data_Flows[[#This Row],[UoM_Flow_Py]]</f>
        <v>0</v>
      </c>
      <c r="AI402" s="111" t="e">
        <f>INDEX(Tab_Def_Flows[[Flow_ID]:[CC_DM_source]],MATCH(Tab_Data_Flows[[#This Row],[Name(EN)]],Tab_Def_Flows[Name(EN)],0),20)</f>
        <v>#N/A</v>
      </c>
      <c r="AJ402" s="109" t="e">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F_24_24</v>
      </c>
      <c r="C403" s="51"/>
      <c r="D403" s="49">
        <f>_xlfn.XLOOKUP(C403,Tab_Def_Flows[Name(EN)],Tab_Def_Flows[Type_Biomass],,0,)</f>
        <v>0</v>
      </c>
      <c r="E403" s="49">
        <f>_xlfn.XLOOKUP(C403,Tab_Def_Flows[Name(EN)],Tab_Def_Flows[Output_Process],,0,)</f>
        <v>0</v>
      </c>
      <c r="F403" s="49" t="str">
        <f>_xlfn.XLOOKUP(C403,Tab_Def_Flows[Name(EN)],Tab_Def_Flows[Process_ID_O],,0,)</f>
        <v>24__</v>
      </c>
      <c r="G403" s="49">
        <f>_xlfn.XLOOKUP(C403,Tab_Def_Flows[Name(EN)],Tab_Def_Flows[Input_Process],,0,)</f>
        <v>0</v>
      </c>
      <c r="H403" s="61" t="str">
        <f>_xlfn.XLOOKUP(C403,Tab_Def_Flows[Name(EN)],Tab_Def_Flows[Process_ID_I],,0,)</f>
        <v>24__</v>
      </c>
      <c r="I403" s="49">
        <f>_xlfn.XLOOKUP(C403,Tab_Def_Flows[Name(EN)],Tab_Def_Flows[Value_Source],,0,)</f>
        <v>0</v>
      </c>
      <c r="J403" s="61" t="str">
        <f>_xlfn.XLOOKUP(C403,Tab_Def_Flows[Name(EN)],Tab_Def_Flows[WC?],,0,)</f>
        <v>Yes</v>
      </c>
      <c r="K403" s="61" t="str">
        <f>_xlfn.XLOOKUP(C403,Tab_Def_Flows[Name(EN)],Tab_Def_Flows[DM?],,0,)</f>
        <v>Yes</v>
      </c>
      <c r="L403" s="61" t="str">
        <f>_xlfn.XLOOKUP(C403,Tab_Def_Flows[Name(EN)],Tab_Def_Flows[CC?],,0,)</f>
        <v>Yes</v>
      </c>
      <c r="M403" s="51"/>
      <c r="N403" s="51"/>
      <c r="O403" s="119"/>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e">
        <f>IF(J403="Yes",AA403*Tab_Data_Flows[[#This Row],[WC_'[%']]],"N.A.")</f>
        <v>#N/A</v>
      </c>
      <c r="AE403" s="61">
        <f>Tab_Data_Flows[[#This Row],[UoM_Flow_Py]]</f>
        <v>0</v>
      </c>
      <c r="AF403" s="111" t="e">
        <f>INDEX(Tab_Def_Flows[[Flow_ID]:[CC_DM_source]],MATCH(Tab_Data_Flows[[#This Row],[Name(EN)]],Tab_Def_Flows[Name(EN)],0),18)</f>
        <v>#N/A</v>
      </c>
      <c r="AG403" s="112" t="e">
        <f>IF(K403="Yes",AF403*Tab_Data_Flows[[#This Row],[Flow_Py]],"N.A.")</f>
        <v>#N/A</v>
      </c>
      <c r="AH403" s="61">
        <f>Tab_Data_Flows[[#This Row],[UoM_Flow_Py]]</f>
        <v>0</v>
      </c>
      <c r="AI403" s="111" t="e">
        <f>INDEX(Tab_Def_Flows[[Flow_ID]:[CC_DM_source]],MATCH(Tab_Data_Flows[[#This Row],[Name(EN)]],Tab_Def_Flows[Name(EN)],0),20)</f>
        <v>#N/A</v>
      </c>
      <c r="AJ403" s="109" t="e">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F_24_24</v>
      </c>
      <c r="C404" s="51"/>
      <c r="D404" s="49">
        <f>_xlfn.XLOOKUP(C404,Tab_Def_Flows[Name(EN)],Tab_Def_Flows[Type_Biomass],,0,)</f>
        <v>0</v>
      </c>
      <c r="E404" s="49">
        <f>_xlfn.XLOOKUP(C404,Tab_Def_Flows[Name(EN)],Tab_Def_Flows[Output_Process],,0,)</f>
        <v>0</v>
      </c>
      <c r="F404" s="49" t="str">
        <f>_xlfn.XLOOKUP(C404,Tab_Def_Flows[Name(EN)],Tab_Def_Flows[Process_ID_O],,0,)</f>
        <v>24__</v>
      </c>
      <c r="G404" s="49">
        <f>_xlfn.XLOOKUP(C404,Tab_Def_Flows[Name(EN)],Tab_Def_Flows[Input_Process],,0,)</f>
        <v>0</v>
      </c>
      <c r="H404" s="61" t="str">
        <f>_xlfn.XLOOKUP(C404,Tab_Def_Flows[Name(EN)],Tab_Def_Flows[Process_ID_I],,0,)</f>
        <v>24__</v>
      </c>
      <c r="I404" s="49">
        <f>_xlfn.XLOOKUP(C404,Tab_Def_Flows[Name(EN)],Tab_Def_Flows[Value_Source],,0,)</f>
        <v>0</v>
      </c>
      <c r="J404" s="61" t="str">
        <f>_xlfn.XLOOKUP(C404,Tab_Def_Flows[Name(EN)],Tab_Def_Flows[WC?],,0,)</f>
        <v>Yes</v>
      </c>
      <c r="K404" s="61" t="str">
        <f>_xlfn.XLOOKUP(C404,Tab_Def_Flows[Name(EN)],Tab_Def_Flows[DM?],,0,)</f>
        <v>Yes</v>
      </c>
      <c r="L404" s="61" t="str">
        <f>_xlfn.XLOOKUP(C404,Tab_Def_Flows[Name(EN)],Tab_Def_Flows[CC?],,0,)</f>
        <v>Yes</v>
      </c>
      <c r="M404" s="51"/>
      <c r="N404" s="51"/>
      <c r="O404" s="119"/>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e">
        <f>IF(J404="Yes",AA404*Tab_Data_Flows[[#This Row],[WC_'[%']]],"N.A.")</f>
        <v>#N/A</v>
      </c>
      <c r="AE404" s="61">
        <f>Tab_Data_Flows[[#This Row],[UoM_Flow_Py]]</f>
        <v>0</v>
      </c>
      <c r="AF404" s="111" t="e">
        <f>INDEX(Tab_Def_Flows[[Flow_ID]:[CC_DM_source]],MATCH(Tab_Data_Flows[[#This Row],[Name(EN)]],Tab_Def_Flows[Name(EN)],0),18)</f>
        <v>#N/A</v>
      </c>
      <c r="AG404" s="112" t="e">
        <f>IF(K404="Yes",AF404*Tab_Data_Flows[[#This Row],[Flow_Py]],"N.A.")</f>
        <v>#N/A</v>
      </c>
      <c r="AH404" s="61">
        <f>Tab_Data_Flows[[#This Row],[UoM_Flow_Py]]</f>
        <v>0</v>
      </c>
      <c r="AI404" s="111" t="e">
        <f>INDEX(Tab_Def_Flows[[Flow_ID]:[CC_DM_source]],MATCH(Tab_Data_Flows[[#This Row],[Name(EN)]],Tab_Def_Flows[Name(EN)],0),20)</f>
        <v>#N/A</v>
      </c>
      <c r="AJ404" s="109" t="e">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F_24_24</v>
      </c>
      <c r="C405" s="51"/>
      <c r="D405" s="49">
        <f>_xlfn.XLOOKUP(C405,Tab_Def_Flows[Name(EN)],Tab_Def_Flows[Type_Biomass],,0,)</f>
        <v>0</v>
      </c>
      <c r="E405" s="49">
        <f>_xlfn.XLOOKUP(C405,Tab_Def_Flows[Name(EN)],Tab_Def_Flows[Output_Process],,0,)</f>
        <v>0</v>
      </c>
      <c r="F405" s="49" t="str">
        <f>_xlfn.XLOOKUP(C405,Tab_Def_Flows[Name(EN)],Tab_Def_Flows[Process_ID_O],,0,)</f>
        <v>24__</v>
      </c>
      <c r="G405" s="49">
        <f>_xlfn.XLOOKUP(C405,Tab_Def_Flows[Name(EN)],Tab_Def_Flows[Input_Process],,0,)</f>
        <v>0</v>
      </c>
      <c r="H405" s="61" t="str">
        <f>_xlfn.XLOOKUP(C405,Tab_Def_Flows[Name(EN)],Tab_Def_Flows[Process_ID_I],,0,)</f>
        <v>24__</v>
      </c>
      <c r="I405" s="49">
        <f>_xlfn.XLOOKUP(C405,Tab_Def_Flows[Name(EN)],Tab_Def_Flows[Value_Source],,0,)</f>
        <v>0</v>
      </c>
      <c r="J405" s="61" t="str">
        <f>_xlfn.XLOOKUP(C405,Tab_Def_Flows[Name(EN)],Tab_Def_Flows[WC?],,0,)</f>
        <v>Yes</v>
      </c>
      <c r="K405" s="61" t="str">
        <f>_xlfn.XLOOKUP(C405,Tab_Def_Flows[Name(EN)],Tab_Def_Flows[DM?],,0,)</f>
        <v>Yes</v>
      </c>
      <c r="L405" s="61" t="str">
        <f>_xlfn.XLOOKUP(C405,Tab_Def_Flows[Name(EN)],Tab_Def_Flows[CC?],,0,)</f>
        <v>Yes</v>
      </c>
      <c r="M405" s="51"/>
      <c r="N405" s="51"/>
      <c r="O405" s="119"/>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e">
        <f>IF(J405="Yes",AA405*Tab_Data_Flows[[#This Row],[WC_'[%']]],"N.A.")</f>
        <v>#N/A</v>
      </c>
      <c r="AE405" s="61">
        <f>Tab_Data_Flows[[#This Row],[UoM_Flow_Py]]</f>
        <v>0</v>
      </c>
      <c r="AF405" s="111" t="e">
        <f>INDEX(Tab_Def_Flows[[Flow_ID]:[CC_DM_source]],MATCH(Tab_Data_Flows[[#This Row],[Name(EN)]],Tab_Def_Flows[Name(EN)],0),18)</f>
        <v>#N/A</v>
      </c>
      <c r="AG405" s="112" t="e">
        <f>IF(K405="Yes",AF405*Tab_Data_Flows[[#This Row],[Flow_Py]],"N.A.")</f>
        <v>#N/A</v>
      </c>
      <c r="AH405" s="61">
        <f>Tab_Data_Flows[[#This Row],[UoM_Flow_Py]]</f>
        <v>0</v>
      </c>
      <c r="AI405" s="111" t="e">
        <f>INDEX(Tab_Def_Flows[[Flow_ID]:[CC_DM_source]],MATCH(Tab_Data_Flows[[#This Row],[Name(EN)]],Tab_Def_Flows[Name(EN)],0),20)</f>
        <v>#N/A</v>
      </c>
      <c r="AJ405" s="109" t="e">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F_24_24</v>
      </c>
      <c r="C406" s="51"/>
      <c r="D406" s="49">
        <f>_xlfn.XLOOKUP(C406,Tab_Def_Flows[Name(EN)],Tab_Def_Flows[Type_Biomass],,0,)</f>
        <v>0</v>
      </c>
      <c r="E406" s="49">
        <f>_xlfn.XLOOKUP(C406,Tab_Def_Flows[Name(EN)],Tab_Def_Flows[Output_Process],,0,)</f>
        <v>0</v>
      </c>
      <c r="F406" s="49" t="str">
        <f>_xlfn.XLOOKUP(C406,Tab_Def_Flows[Name(EN)],Tab_Def_Flows[Process_ID_O],,0,)</f>
        <v>24__</v>
      </c>
      <c r="G406" s="49">
        <f>_xlfn.XLOOKUP(C406,Tab_Def_Flows[Name(EN)],Tab_Def_Flows[Input_Process],,0,)</f>
        <v>0</v>
      </c>
      <c r="H406" s="61" t="str">
        <f>_xlfn.XLOOKUP(C406,Tab_Def_Flows[Name(EN)],Tab_Def_Flows[Process_ID_I],,0,)</f>
        <v>24__</v>
      </c>
      <c r="I406" s="49">
        <f>_xlfn.XLOOKUP(C406,Tab_Def_Flows[Name(EN)],Tab_Def_Flows[Value_Source],,0,)</f>
        <v>0</v>
      </c>
      <c r="J406" s="61" t="str">
        <f>_xlfn.XLOOKUP(C406,Tab_Def_Flows[Name(EN)],Tab_Def_Flows[WC?],,0,)</f>
        <v>Yes</v>
      </c>
      <c r="K406" s="61" t="str">
        <f>_xlfn.XLOOKUP(C406,Tab_Def_Flows[Name(EN)],Tab_Def_Flows[DM?],,0,)</f>
        <v>Yes</v>
      </c>
      <c r="L406" s="61" t="str">
        <f>_xlfn.XLOOKUP(C406,Tab_Def_Flows[Name(EN)],Tab_Def_Flows[CC?],,0,)</f>
        <v>Yes</v>
      </c>
      <c r="M406" s="51"/>
      <c r="N406" s="51"/>
      <c r="O406" s="119"/>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e">
        <f>IF(J406="Yes",AA406*Tab_Data_Flows[[#This Row],[WC_'[%']]],"N.A.")</f>
        <v>#N/A</v>
      </c>
      <c r="AE406" s="61">
        <f>Tab_Data_Flows[[#This Row],[UoM_Flow_Py]]</f>
        <v>0</v>
      </c>
      <c r="AF406" s="111" t="e">
        <f>INDEX(Tab_Def_Flows[[Flow_ID]:[CC_DM_source]],MATCH(Tab_Data_Flows[[#This Row],[Name(EN)]],Tab_Def_Flows[Name(EN)],0),18)</f>
        <v>#N/A</v>
      </c>
      <c r="AG406" s="112" t="e">
        <f>IF(K406="Yes",AF406*Tab_Data_Flows[[#This Row],[Flow_Py]],"N.A.")</f>
        <v>#N/A</v>
      </c>
      <c r="AH406" s="61">
        <f>Tab_Data_Flows[[#This Row],[UoM_Flow_Py]]</f>
        <v>0</v>
      </c>
      <c r="AI406" s="111" t="e">
        <f>INDEX(Tab_Def_Flows[[Flow_ID]:[CC_DM_source]],MATCH(Tab_Data_Flows[[#This Row],[Name(EN)]],Tab_Def_Flows[Name(EN)],0),20)</f>
        <v>#N/A</v>
      </c>
      <c r="AJ406" s="109" t="e">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F_24_24</v>
      </c>
      <c r="C407" s="51"/>
      <c r="D407" s="49">
        <f>_xlfn.XLOOKUP(C407,Tab_Def_Flows[Name(EN)],Tab_Def_Flows[Type_Biomass],,0,)</f>
        <v>0</v>
      </c>
      <c r="E407" s="49">
        <f>_xlfn.XLOOKUP(C407,Tab_Def_Flows[Name(EN)],Tab_Def_Flows[Output_Process],,0,)</f>
        <v>0</v>
      </c>
      <c r="F407" s="49" t="str">
        <f>_xlfn.XLOOKUP(C407,Tab_Def_Flows[Name(EN)],Tab_Def_Flows[Process_ID_O],,0,)</f>
        <v>24__</v>
      </c>
      <c r="G407" s="49">
        <f>_xlfn.XLOOKUP(C407,Tab_Def_Flows[Name(EN)],Tab_Def_Flows[Input_Process],,0,)</f>
        <v>0</v>
      </c>
      <c r="H407" s="61" t="str">
        <f>_xlfn.XLOOKUP(C407,Tab_Def_Flows[Name(EN)],Tab_Def_Flows[Process_ID_I],,0,)</f>
        <v>24__</v>
      </c>
      <c r="I407" s="49">
        <f>_xlfn.XLOOKUP(C407,Tab_Def_Flows[Name(EN)],Tab_Def_Flows[Value_Source],,0,)</f>
        <v>0</v>
      </c>
      <c r="J407" s="61" t="str">
        <f>_xlfn.XLOOKUP(C407,Tab_Def_Flows[Name(EN)],Tab_Def_Flows[WC?],,0,)</f>
        <v>Yes</v>
      </c>
      <c r="K407" s="61" t="str">
        <f>_xlfn.XLOOKUP(C407,Tab_Def_Flows[Name(EN)],Tab_Def_Flows[DM?],,0,)</f>
        <v>Yes</v>
      </c>
      <c r="L407" s="61" t="str">
        <f>_xlfn.XLOOKUP(C407,Tab_Def_Flows[Name(EN)],Tab_Def_Flows[CC?],,0,)</f>
        <v>Yes</v>
      </c>
      <c r="M407" s="51"/>
      <c r="N407" s="51"/>
      <c r="O407" s="119"/>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e">
        <f>IF(J407="Yes",AA407*Tab_Data_Flows[[#This Row],[WC_'[%']]],"N.A.")</f>
        <v>#N/A</v>
      </c>
      <c r="AE407" s="61">
        <f>Tab_Data_Flows[[#This Row],[UoM_Flow_Py]]</f>
        <v>0</v>
      </c>
      <c r="AF407" s="111" t="e">
        <f>INDEX(Tab_Def_Flows[[Flow_ID]:[CC_DM_source]],MATCH(Tab_Data_Flows[[#This Row],[Name(EN)]],Tab_Def_Flows[Name(EN)],0),18)</f>
        <v>#N/A</v>
      </c>
      <c r="AG407" s="112" t="e">
        <f>IF(K407="Yes",AF407*Tab_Data_Flows[[#This Row],[Flow_Py]],"N.A.")</f>
        <v>#N/A</v>
      </c>
      <c r="AH407" s="61">
        <f>Tab_Data_Flows[[#This Row],[UoM_Flow_Py]]</f>
        <v>0</v>
      </c>
      <c r="AI407" s="111" t="e">
        <f>INDEX(Tab_Def_Flows[[Flow_ID]:[CC_DM_source]],MATCH(Tab_Data_Flows[[#This Row],[Name(EN)]],Tab_Def_Flows[Name(EN)],0),20)</f>
        <v>#N/A</v>
      </c>
      <c r="AJ407" s="109" t="e">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F_24_24</v>
      </c>
      <c r="C408" s="51"/>
      <c r="D408" s="49">
        <f>_xlfn.XLOOKUP(C408,Tab_Def_Flows[Name(EN)],Tab_Def_Flows[Type_Biomass],,0,)</f>
        <v>0</v>
      </c>
      <c r="E408" s="49">
        <f>_xlfn.XLOOKUP(C408,Tab_Def_Flows[Name(EN)],Tab_Def_Flows[Output_Process],,0,)</f>
        <v>0</v>
      </c>
      <c r="F408" s="49" t="str">
        <f>_xlfn.XLOOKUP(C408,Tab_Def_Flows[Name(EN)],Tab_Def_Flows[Process_ID_O],,0,)</f>
        <v>24__</v>
      </c>
      <c r="G408" s="49">
        <f>_xlfn.XLOOKUP(C408,Tab_Def_Flows[Name(EN)],Tab_Def_Flows[Input_Process],,0,)</f>
        <v>0</v>
      </c>
      <c r="H408" s="61" t="str">
        <f>_xlfn.XLOOKUP(C408,Tab_Def_Flows[Name(EN)],Tab_Def_Flows[Process_ID_I],,0,)</f>
        <v>24__</v>
      </c>
      <c r="I408" s="49">
        <f>_xlfn.XLOOKUP(C408,Tab_Def_Flows[Name(EN)],Tab_Def_Flows[Value_Source],,0,)</f>
        <v>0</v>
      </c>
      <c r="J408" s="61" t="str">
        <f>_xlfn.XLOOKUP(C408,Tab_Def_Flows[Name(EN)],Tab_Def_Flows[WC?],,0,)</f>
        <v>Yes</v>
      </c>
      <c r="K408" s="61" t="str">
        <f>_xlfn.XLOOKUP(C408,Tab_Def_Flows[Name(EN)],Tab_Def_Flows[DM?],,0,)</f>
        <v>Yes</v>
      </c>
      <c r="L408" s="61" t="str">
        <f>_xlfn.XLOOKUP(C408,Tab_Def_Flows[Name(EN)],Tab_Def_Flows[CC?],,0,)</f>
        <v>Yes</v>
      </c>
      <c r="M408" s="51"/>
      <c r="N408" s="51"/>
      <c r="O408" s="119"/>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e">
        <f>IF(J408="Yes",AA408*Tab_Data_Flows[[#This Row],[WC_'[%']]],"N.A.")</f>
        <v>#N/A</v>
      </c>
      <c r="AE408" s="61">
        <f>Tab_Data_Flows[[#This Row],[UoM_Flow_Py]]</f>
        <v>0</v>
      </c>
      <c r="AF408" s="111" t="e">
        <f>INDEX(Tab_Def_Flows[[Flow_ID]:[CC_DM_source]],MATCH(Tab_Data_Flows[[#This Row],[Name(EN)]],Tab_Def_Flows[Name(EN)],0),18)</f>
        <v>#N/A</v>
      </c>
      <c r="AG408" s="112" t="e">
        <f>IF(K408="Yes",AF408*Tab_Data_Flows[[#This Row],[Flow_Py]],"N.A.")</f>
        <v>#N/A</v>
      </c>
      <c r="AH408" s="61">
        <f>Tab_Data_Flows[[#This Row],[UoM_Flow_Py]]</f>
        <v>0</v>
      </c>
      <c r="AI408" s="111" t="e">
        <f>INDEX(Tab_Def_Flows[[Flow_ID]:[CC_DM_source]],MATCH(Tab_Data_Flows[[#This Row],[Name(EN)]],Tab_Def_Flows[Name(EN)],0),20)</f>
        <v>#N/A</v>
      </c>
      <c r="AJ408" s="109" t="e">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F_24_24</v>
      </c>
      <c r="C409" s="51"/>
      <c r="D409" s="49">
        <f>_xlfn.XLOOKUP(C409,Tab_Def_Flows[Name(EN)],Tab_Def_Flows[Type_Biomass],,0,)</f>
        <v>0</v>
      </c>
      <c r="E409" s="49">
        <f>_xlfn.XLOOKUP(C409,Tab_Def_Flows[Name(EN)],Tab_Def_Flows[Output_Process],,0,)</f>
        <v>0</v>
      </c>
      <c r="F409" s="49" t="str">
        <f>_xlfn.XLOOKUP(C409,Tab_Def_Flows[Name(EN)],Tab_Def_Flows[Process_ID_O],,0,)</f>
        <v>24__</v>
      </c>
      <c r="G409" s="49">
        <f>_xlfn.XLOOKUP(C409,Tab_Def_Flows[Name(EN)],Tab_Def_Flows[Input_Process],,0,)</f>
        <v>0</v>
      </c>
      <c r="H409" s="61" t="str">
        <f>_xlfn.XLOOKUP(C409,Tab_Def_Flows[Name(EN)],Tab_Def_Flows[Process_ID_I],,0,)</f>
        <v>24__</v>
      </c>
      <c r="I409" s="49">
        <f>_xlfn.XLOOKUP(C409,Tab_Def_Flows[Name(EN)],Tab_Def_Flows[Value_Source],,0,)</f>
        <v>0</v>
      </c>
      <c r="J409" s="61" t="str">
        <f>_xlfn.XLOOKUP(C409,Tab_Def_Flows[Name(EN)],Tab_Def_Flows[WC?],,0,)</f>
        <v>Yes</v>
      </c>
      <c r="K409" s="61" t="str">
        <f>_xlfn.XLOOKUP(C409,Tab_Def_Flows[Name(EN)],Tab_Def_Flows[DM?],,0,)</f>
        <v>Yes</v>
      </c>
      <c r="L409" s="61" t="str">
        <f>_xlfn.XLOOKUP(C409,Tab_Def_Flows[Name(EN)],Tab_Def_Flows[CC?],,0,)</f>
        <v>Yes</v>
      </c>
      <c r="M409" s="51"/>
      <c r="N409" s="51"/>
      <c r="O409" s="119"/>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e">
        <f>IF(J409="Yes",AA409*Tab_Data_Flows[[#This Row],[WC_'[%']]],"N.A.")</f>
        <v>#N/A</v>
      </c>
      <c r="AE409" s="61">
        <f>Tab_Data_Flows[[#This Row],[UoM_Flow_Py]]</f>
        <v>0</v>
      </c>
      <c r="AF409" s="111" t="e">
        <f>INDEX(Tab_Def_Flows[[Flow_ID]:[CC_DM_source]],MATCH(Tab_Data_Flows[[#This Row],[Name(EN)]],Tab_Def_Flows[Name(EN)],0),18)</f>
        <v>#N/A</v>
      </c>
      <c r="AG409" s="112" t="e">
        <f>IF(K409="Yes",AF409*Tab_Data_Flows[[#This Row],[Flow_Py]],"N.A.")</f>
        <v>#N/A</v>
      </c>
      <c r="AH409" s="61">
        <f>Tab_Data_Flows[[#This Row],[UoM_Flow_Py]]</f>
        <v>0</v>
      </c>
      <c r="AI409" s="111" t="e">
        <f>INDEX(Tab_Def_Flows[[Flow_ID]:[CC_DM_source]],MATCH(Tab_Data_Flows[[#This Row],[Name(EN)]],Tab_Def_Flows[Name(EN)],0),20)</f>
        <v>#N/A</v>
      </c>
      <c r="AJ409" s="109" t="e">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F_24_24</v>
      </c>
      <c r="C410" s="51"/>
      <c r="D410" s="49">
        <f>_xlfn.XLOOKUP(C410,Tab_Def_Flows[Name(EN)],Tab_Def_Flows[Type_Biomass],,0,)</f>
        <v>0</v>
      </c>
      <c r="E410" s="49">
        <f>_xlfn.XLOOKUP(C410,Tab_Def_Flows[Name(EN)],Tab_Def_Flows[Output_Process],,0,)</f>
        <v>0</v>
      </c>
      <c r="F410" s="49" t="str">
        <f>_xlfn.XLOOKUP(C410,Tab_Def_Flows[Name(EN)],Tab_Def_Flows[Process_ID_O],,0,)</f>
        <v>24__</v>
      </c>
      <c r="G410" s="49">
        <f>_xlfn.XLOOKUP(C410,Tab_Def_Flows[Name(EN)],Tab_Def_Flows[Input_Process],,0,)</f>
        <v>0</v>
      </c>
      <c r="H410" s="61" t="str">
        <f>_xlfn.XLOOKUP(C410,Tab_Def_Flows[Name(EN)],Tab_Def_Flows[Process_ID_I],,0,)</f>
        <v>24__</v>
      </c>
      <c r="I410" s="49">
        <f>_xlfn.XLOOKUP(C410,Tab_Def_Flows[Name(EN)],Tab_Def_Flows[Value_Source],,0,)</f>
        <v>0</v>
      </c>
      <c r="J410" s="61" t="str">
        <f>_xlfn.XLOOKUP(C410,Tab_Def_Flows[Name(EN)],Tab_Def_Flows[WC?],,0,)</f>
        <v>Yes</v>
      </c>
      <c r="K410" s="61" t="str">
        <f>_xlfn.XLOOKUP(C410,Tab_Def_Flows[Name(EN)],Tab_Def_Flows[DM?],,0,)</f>
        <v>Yes</v>
      </c>
      <c r="L410" s="61" t="str">
        <f>_xlfn.XLOOKUP(C410,Tab_Def_Flows[Name(EN)],Tab_Def_Flows[CC?],,0,)</f>
        <v>Yes</v>
      </c>
      <c r="M410" s="51"/>
      <c r="N410" s="51"/>
      <c r="O410" s="119"/>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e">
        <f>IF(J410="Yes",AA410*Tab_Data_Flows[[#This Row],[WC_'[%']]],"N.A.")</f>
        <v>#N/A</v>
      </c>
      <c r="AE410" s="61">
        <f>Tab_Data_Flows[[#This Row],[UoM_Flow_Py]]</f>
        <v>0</v>
      </c>
      <c r="AF410" s="111" t="e">
        <f>INDEX(Tab_Def_Flows[[Flow_ID]:[CC_DM_source]],MATCH(Tab_Data_Flows[[#This Row],[Name(EN)]],Tab_Def_Flows[Name(EN)],0),18)</f>
        <v>#N/A</v>
      </c>
      <c r="AG410" s="112" t="e">
        <f>IF(K410="Yes",AF410*Tab_Data_Flows[[#This Row],[Flow_Py]],"N.A.")</f>
        <v>#N/A</v>
      </c>
      <c r="AH410" s="61">
        <f>Tab_Data_Flows[[#This Row],[UoM_Flow_Py]]</f>
        <v>0</v>
      </c>
      <c r="AI410" s="111" t="e">
        <f>INDEX(Tab_Def_Flows[[Flow_ID]:[CC_DM_source]],MATCH(Tab_Data_Flows[[#This Row],[Name(EN)]],Tab_Def_Flows[Name(EN)],0),20)</f>
        <v>#N/A</v>
      </c>
      <c r="AJ410" s="109" t="e">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F_24_24</v>
      </c>
      <c r="C411" s="51"/>
      <c r="D411" s="49">
        <f>_xlfn.XLOOKUP(C411,Tab_Def_Flows[Name(EN)],Tab_Def_Flows[Type_Biomass],,0,)</f>
        <v>0</v>
      </c>
      <c r="E411" s="49">
        <f>_xlfn.XLOOKUP(C411,Tab_Def_Flows[Name(EN)],Tab_Def_Flows[Output_Process],,0,)</f>
        <v>0</v>
      </c>
      <c r="F411" s="49" t="str">
        <f>_xlfn.XLOOKUP(C411,Tab_Def_Flows[Name(EN)],Tab_Def_Flows[Process_ID_O],,0,)</f>
        <v>24__</v>
      </c>
      <c r="G411" s="49">
        <f>_xlfn.XLOOKUP(C411,Tab_Def_Flows[Name(EN)],Tab_Def_Flows[Input_Process],,0,)</f>
        <v>0</v>
      </c>
      <c r="H411" s="61" t="str">
        <f>_xlfn.XLOOKUP(C411,Tab_Def_Flows[Name(EN)],Tab_Def_Flows[Process_ID_I],,0,)</f>
        <v>24__</v>
      </c>
      <c r="I411" s="49">
        <f>_xlfn.XLOOKUP(C411,Tab_Def_Flows[Name(EN)],Tab_Def_Flows[Value_Source],,0,)</f>
        <v>0</v>
      </c>
      <c r="J411" s="61" t="str">
        <f>_xlfn.XLOOKUP(C411,Tab_Def_Flows[Name(EN)],Tab_Def_Flows[WC?],,0,)</f>
        <v>Yes</v>
      </c>
      <c r="K411" s="61" t="str">
        <f>_xlfn.XLOOKUP(C411,Tab_Def_Flows[Name(EN)],Tab_Def_Flows[DM?],,0,)</f>
        <v>Yes</v>
      </c>
      <c r="L411" s="61" t="str">
        <f>_xlfn.XLOOKUP(C411,Tab_Def_Flows[Name(EN)],Tab_Def_Flows[CC?],,0,)</f>
        <v>Yes</v>
      </c>
      <c r="M411" s="51"/>
      <c r="N411" s="51"/>
      <c r="O411" s="119"/>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e">
        <f>IF(J411="Yes",AA411*Tab_Data_Flows[[#This Row],[WC_'[%']]],"N.A.")</f>
        <v>#N/A</v>
      </c>
      <c r="AE411" s="61">
        <f>Tab_Data_Flows[[#This Row],[UoM_Flow_Py]]</f>
        <v>0</v>
      </c>
      <c r="AF411" s="111" t="e">
        <f>INDEX(Tab_Def_Flows[[Flow_ID]:[CC_DM_source]],MATCH(Tab_Data_Flows[[#This Row],[Name(EN)]],Tab_Def_Flows[Name(EN)],0),18)</f>
        <v>#N/A</v>
      </c>
      <c r="AG411" s="112" t="e">
        <f>IF(K411="Yes",AF411*Tab_Data_Flows[[#This Row],[Flow_Py]],"N.A.")</f>
        <v>#N/A</v>
      </c>
      <c r="AH411" s="61">
        <f>Tab_Data_Flows[[#This Row],[UoM_Flow_Py]]</f>
        <v>0</v>
      </c>
      <c r="AI411" s="111" t="e">
        <f>INDEX(Tab_Def_Flows[[Flow_ID]:[CC_DM_source]],MATCH(Tab_Data_Flows[[#This Row],[Name(EN)]],Tab_Def_Flows[Name(EN)],0),20)</f>
        <v>#N/A</v>
      </c>
      <c r="AJ411" s="109" t="e">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F_24_24</v>
      </c>
      <c r="C412" s="51"/>
      <c r="D412" s="49">
        <f>_xlfn.XLOOKUP(C412,Tab_Def_Flows[Name(EN)],Tab_Def_Flows[Type_Biomass],,0,)</f>
        <v>0</v>
      </c>
      <c r="E412" s="49">
        <f>_xlfn.XLOOKUP(C412,Tab_Def_Flows[Name(EN)],Tab_Def_Flows[Output_Process],,0,)</f>
        <v>0</v>
      </c>
      <c r="F412" s="49" t="str">
        <f>_xlfn.XLOOKUP(C412,Tab_Def_Flows[Name(EN)],Tab_Def_Flows[Process_ID_O],,0,)</f>
        <v>24__</v>
      </c>
      <c r="G412" s="49">
        <f>_xlfn.XLOOKUP(C412,Tab_Def_Flows[Name(EN)],Tab_Def_Flows[Input_Process],,0,)</f>
        <v>0</v>
      </c>
      <c r="H412" s="61" t="str">
        <f>_xlfn.XLOOKUP(C412,Tab_Def_Flows[Name(EN)],Tab_Def_Flows[Process_ID_I],,0,)</f>
        <v>24__</v>
      </c>
      <c r="I412" s="49">
        <f>_xlfn.XLOOKUP(C412,Tab_Def_Flows[Name(EN)],Tab_Def_Flows[Value_Source],,0,)</f>
        <v>0</v>
      </c>
      <c r="J412" s="61" t="str">
        <f>_xlfn.XLOOKUP(C412,Tab_Def_Flows[Name(EN)],Tab_Def_Flows[WC?],,0,)</f>
        <v>Yes</v>
      </c>
      <c r="K412" s="61" t="str">
        <f>_xlfn.XLOOKUP(C412,Tab_Def_Flows[Name(EN)],Tab_Def_Flows[DM?],,0,)</f>
        <v>Yes</v>
      </c>
      <c r="L412" s="61" t="str">
        <f>_xlfn.XLOOKUP(C412,Tab_Def_Flows[Name(EN)],Tab_Def_Flows[CC?],,0,)</f>
        <v>Yes</v>
      </c>
      <c r="M412" s="51"/>
      <c r="N412" s="51"/>
      <c r="O412" s="119"/>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e">
        <f>IF(J412="Yes",AA412*Tab_Data_Flows[[#This Row],[WC_'[%']]],"N.A.")</f>
        <v>#N/A</v>
      </c>
      <c r="AE412" s="61">
        <f>Tab_Data_Flows[[#This Row],[UoM_Flow_Py]]</f>
        <v>0</v>
      </c>
      <c r="AF412" s="111" t="e">
        <f>INDEX(Tab_Def_Flows[[Flow_ID]:[CC_DM_source]],MATCH(Tab_Data_Flows[[#This Row],[Name(EN)]],Tab_Def_Flows[Name(EN)],0),18)</f>
        <v>#N/A</v>
      </c>
      <c r="AG412" s="112" t="e">
        <f>IF(K412="Yes",AF412*Tab_Data_Flows[[#This Row],[Flow_Py]],"N.A.")</f>
        <v>#N/A</v>
      </c>
      <c r="AH412" s="61">
        <f>Tab_Data_Flows[[#This Row],[UoM_Flow_Py]]</f>
        <v>0</v>
      </c>
      <c r="AI412" s="111" t="e">
        <f>INDEX(Tab_Def_Flows[[Flow_ID]:[CC_DM_source]],MATCH(Tab_Data_Flows[[#This Row],[Name(EN)]],Tab_Def_Flows[Name(EN)],0),20)</f>
        <v>#N/A</v>
      </c>
      <c r="AJ412" s="109" t="e">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F_24_24</v>
      </c>
      <c r="C413" s="51"/>
      <c r="D413" s="49">
        <f>_xlfn.XLOOKUP(C413,Tab_Def_Flows[Name(EN)],Tab_Def_Flows[Type_Biomass],,0,)</f>
        <v>0</v>
      </c>
      <c r="E413" s="49">
        <f>_xlfn.XLOOKUP(C413,Tab_Def_Flows[Name(EN)],Tab_Def_Flows[Output_Process],,0,)</f>
        <v>0</v>
      </c>
      <c r="F413" s="49" t="str">
        <f>_xlfn.XLOOKUP(C413,Tab_Def_Flows[Name(EN)],Tab_Def_Flows[Process_ID_O],,0,)</f>
        <v>24__</v>
      </c>
      <c r="G413" s="49">
        <f>_xlfn.XLOOKUP(C413,Tab_Def_Flows[Name(EN)],Tab_Def_Flows[Input_Process],,0,)</f>
        <v>0</v>
      </c>
      <c r="H413" s="61" t="str">
        <f>_xlfn.XLOOKUP(C413,Tab_Def_Flows[Name(EN)],Tab_Def_Flows[Process_ID_I],,0,)</f>
        <v>24__</v>
      </c>
      <c r="I413" s="49">
        <f>_xlfn.XLOOKUP(C413,Tab_Def_Flows[Name(EN)],Tab_Def_Flows[Value_Source],,0,)</f>
        <v>0</v>
      </c>
      <c r="J413" s="61" t="str">
        <f>_xlfn.XLOOKUP(C413,Tab_Def_Flows[Name(EN)],Tab_Def_Flows[WC?],,0,)</f>
        <v>Yes</v>
      </c>
      <c r="K413" s="61" t="str">
        <f>_xlfn.XLOOKUP(C413,Tab_Def_Flows[Name(EN)],Tab_Def_Flows[DM?],,0,)</f>
        <v>Yes</v>
      </c>
      <c r="L413" s="61" t="str">
        <f>_xlfn.XLOOKUP(C413,Tab_Def_Flows[Name(EN)],Tab_Def_Flows[CC?],,0,)</f>
        <v>Yes</v>
      </c>
      <c r="M413" s="51"/>
      <c r="N413" s="51"/>
      <c r="O413" s="119"/>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e">
        <f>IF(J413="Yes",AA413*Tab_Data_Flows[[#This Row],[WC_'[%']]],"N.A.")</f>
        <v>#N/A</v>
      </c>
      <c r="AE413" s="61">
        <f>Tab_Data_Flows[[#This Row],[UoM_Flow_Py]]</f>
        <v>0</v>
      </c>
      <c r="AF413" s="111" t="e">
        <f>INDEX(Tab_Def_Flows[[Flow_ID]:[CC_DM_source]],MATCH(Tab_Data_Flows[[#This Row],[Name(EN)]],Tab_Def_Flows[Name(EN)],0),18)</f>
        <v>#N/A</v>
      </c>
      <c r="AG413" s="112" t="e">
        <f>IF(K413="Yes",AF413*Tab_Data_Flows[[#This Row],[Flow_Py]],"N.A.")</f>
        <v>#N/A</v>
      </c>
      <c r="AH413" s="61">
        <f>Tab_Data_Flows[[#This Row],[UoM_Flow_Py]]</f>
        <v>0</v>
      </c>
      <c r="AI413" s="111" t="e">
        <f>INDEX(Tab_Def_Flows[[Flow_ID]:[CC_DM_source]],MATCH(Tab_Data_Flows[[#This Row],[Name(EN)]],Tab_Def_Flows[Name(EN)],0),20)</f>
        <v>#N/A</v>
      </c>
      <c r="AJ413" s="109" t="e">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F_24_24</v>
      </c>
      <c r="C414" s="51"/>
      <c r="D414" s="49">
        <f>_xlfn.XLOOKUP(C414,Tab_Def_Flows[Name(EN)],Tab_Def_Flows[Type_Biomass],,0,)</f>
        <v>0</v>
      </c>
      <c r="E414" s="49">
        <f>_xlfn.XLOOKUP(C414,Tab_Def_Flows[Name(EN)],Tab_Def_Flows[Output_Process],,0,)</f>
        <v>0</v>
      </c>
      <c r="F414" s="49" t="str">
        <f>_xlfn.XLOOKUP(C414,Tab_Def_Flows[Name(EN)],Tab_Def_Flows[Process_ID_O],,0,)</f>
        <v>24__</v>
      </c>
      <c r="G414" s="49">
        <f>_xlfn.XLOOKUP(C414,Tab_Def_Flows[Name(EN)],Tab_Def_Flows[Input_Process],,0,)</f>
        <v>0</v>
      </c>
      <c r="H414" s="61" t="str">
        <f>_xlfn.XLOOKUP(C414,Tab_Def_Flows[Name(EN)],Tab_Def_Flows[Process_ID_I],,0,)</f>
        <v>24__</v>
      </c>
      <c r="I414" s="49">
        <f>_xlfn.XLOOKUP(C414,Tab_Def_Flows[Name(EN)],Tab_Def_Flows[Value_Source],,0,)</f>
        <v>0</v>
      </c>
      <c r="J414" s="61" t="str">
        <f>_xlfn.XLOOKUP(C414,Tab_Def_Flows[Name(EN)],Tab_Def_Flows[WC?],,0,)</f>
        <v>Yes</v>
      </c>
      <c r="K414" s="61" t="str">
        <f>_xlfn.XLOOKUP(C414,Tab_Def_Flows[Name(EN)],Tab_Def_Flows[DM?],,0,)</f>
        <v>Yes</v>
      </c>
      <c r="L414" s="61" t="str">
        <f>_xlfn.XLOOKUP(C414,Tab_Def_Flows[Name(EN)],Tab_Def_Flows[CC?],,0,)</f>
        <v>Yes</v>
      </c>
      <c r="M414" s="51"/>
      <c r="N414" s="51"/>
      <c r="O414" s="119"/>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e">
        <f>IF(J414="Yes",AA414*Tab_Data_Flows[[#This Row],[WC_'[%']]],"N.A.")</f>
        <v>#N/A</v>
      </c>
      <c r="AE414" s="61">
        <f>Tab_Data_Flows[[#This Row],[UoM_Flow_Py]]</f>
        <v>0</v>
      </c>
      <c r="AF414" s="111" t="e">
        <f>INDEX(Tab_Def_Flows[[Flow_ID]:[CC_DM_source]],MATCH(Tab_Data_Flows[[#This Row],[Name(EN)]],Tab_Def_Flows[Name(EN)],0),18)</f>
        <v>#N/A</v>
      </c>
      <c r="AG414" s="112" t="e">
        <f>IF(K414="Yes",AF414*Tab_Data_Flows[[#This Row],[Flow_Py]],"N.A.")</f>
        <v>#N/A</v>
      </c>
      <c r="AH414" s="61">
        <f>Tab_Data_Flows[[#This Row],[UoM_Flow_Py]]</f>
        <v>0</v>
      </c>
      <c r="AI414" s="111" t="e">
        <f>INDEX(Tab_Def_Flows[[Flow_ID]:[CC_DM_source]],MATCH(Tab_Data_Flows[[#This Row],[Name(EN)]],Tab_Def_Flows[Name(EN)],0),20)</f>
        <v>#N/A</v>
      </c>
      <c r="AJ414" s="109" t="e">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F_24_24</v>
      </c>
      <c r="C415" s="51"/>
      <c r="D415" s="49">
        <f>_xlfn.XLOOKUP(C415,Tab_Def_Flows[Name(EN)],Tab_Def_Flows[Type_Biomass],,0,)</f>
        <v>0</v>
      </c>
      <c r="E415" s="49">
        <f>_xlfn.XLOOKUP(C415,Tab_Def_Flows[Name(EN)],Tab_Def_Flows[Output_Process],,0,)</f>
        <v>0</v>
      </c>
      <c r="F415" s="49" t="str">
        <f>_xlfn.XLOOKUP(C415,Tab_Def_Flows[Name(EN)],Tab_Def_Flows[Process_ID_O],,0,)</f>
        <v>24__</v>
      </c>
      <c r="G415" s="49">
        <f>_xlfn.XLOOKUP(C415,Tab_Def_Flows[Name(EN)],Tab_Def_Flows[Input_Process],,0,)</f>
        <v>0</v>
      </c>
      <c r="H415" s="61" t="str">
        <f>_xlfn.XLOOKUP(C415,Tab_Def_Flows[Name(EN)],Tab_Def_Flows[Process_ID_I],,0,)</f>
        <v>24__</v>
      </c>
      <c r="I415" s="49">
        <f>_xlfn.XLOOKUP(C415,Tab_Def_Flows[Name(EN)],Tab_Def_Flows[Value_Source],,0,)</f>
        <v>0</v>
      </c>
      <c r="J415" s="61" t="str">
        <f>_xlfn.XLOOKUP(C415,Tab_Def_Flows[Name(EN)],Tab_Def_Flows[WC?],,0,)</f>
        <v>Yes</v>
      </c>
      <c r="K415" s="61" t="str">
        <f>_xlfn.XLOOKUP(C415,Tab_Def_Flows[Name(EN)],Tab_Def_Flows[DM?],,0,)</f>
        <v>Yes</v>
      </c>
      <c r="L415" s="61" t="str">
        <f>_xlfn.XLOOKUP(C415,Tab_Def_Flows[Name(EN)],Tab_Def_Flows[CC?],,0,)</f>
        <v>Yes</v>
      </c>
      <c r="M415" s="51"/>
      <c r="N415" s="51"/>
      <c r="O415" s="119"/>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e">
        <f>IF(J415="Yes",AA415*Tab_Data_Flows[[#This Row],[WC_'[%']]],"N.A.")</f>
        <v>#N/A</v>
      </c>
      <c r="AE415" s="61">
        <f>Tab_Data_Flows[[#This Row],[UoM_Flow_Py]]</f>
        <v>0</v>
      </c>
      <c r="AF415" s="111" t="e">
        <f>INDEX(Tab_Def_Flows[[Flow_ID]:[CC_DM_source]],MATCH(Tab_Data_Flows[[#This Row],[Name(EN)]],Tab_Def_Flows[Name(EN)],0),18)</f>
        <v>#N/A</v>
      </c>
      <c r="AG415" s="112" t="e">
        <f>IF(K415="Yes",AF415*Tab_Data_Flows[[#This Row],[Flow_Py]],"N.A.")</f>
        <v>#N/A</v>
      </c>
      <c r="AH415" s="61">
        <f>Tab_Data_Flows[[#This Row],[UoM_Flow_Py]]</f>
        <v>0</v>
      </c>
      <c r="AI415" s="111" t="e">
        <f>INDEX(Tab_Def_Flows[[Flow_ID]:[CC_DM_source]],MATCH(Tab_Data_Flows[[#This Row],[Name(EN)]],Tab_Def_Flows[Name(EN)],0),20)</f>
        <v>#N/A</v>
      </c>
      <c r="AJ415" s="109" t="e">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F_24_24</v>
      </c>
      <c r="C416" s="51"/>
      <c r="D416" s="49">
        <f>_xlfn.XLOOKUP(C416,Tab_Def_Flows[Name(EN)],Tab_Def_Flows[Type_Biomass],,0,)</f>
        <v>0</v>
      </c>
      <c r="E416" s="49">
        <f>_xlfn.XLOOKUP(C416,Tab_Def_Flows[Name(EN)],Tab_Def_Flows[Output_Process],,0,)</f>
        <v>0</v>
      </c>
      <c r="F416" s="49" t="str">
        <f>_xlfn.XLOOKUP(C416,Tab_Def_Flows[Name(EN)],Tab_Def_Flows[Process_ID_O],,0,)</f>
        <v>24__</v>
      </c>
      <c r="G416" s="49">
        <f>_xlfn.XLOOKUP(C416,Tab_Def_Flows[Name(EN)],Tab_Def_Flows[Input_Process],,0,)</f>
        <v>0</v>
      </c>
      <c r="H416" s="61" t="str">
        <f>_xlfn.XLOOKUP(C416,Tab_Def_Flows[Name(EN)],Tab_Def_Flows[Process_ID_I],,0,)</f>
        <v>24__</v>
      </c>
      <c r="I416" s="49">
        <f>_xlfn.XLOOKUP(C416,Tab_Def_Flows[Name(EN)],Tab_Def_Flows[Value_Source],,0,)</f>
        <v>0</v>
      </c>
      <c r="J416" s="61" t="str">
        <f>_xlfn.XLOOKUP(C416,Tab_Def_Flows[Name(EN)],Tab_Def_Flows[WC?],,0,)</f>
        <v>Yes</v>
      </c>
      <c r="K416" s="61" t="str">
        <f>_xlfn.XLOOKUP(C416,Tab_Def_Flows[Name(EN)],Tab_Def_Flows[DM?],,0,)</f>
        <v>Yes</v>
      </c>
      <c r="L416" s="61" t="str">
        <f>_xlfn.XLOOKUP(C416,Tab_Def_Flows[Name(EN)],Tab_Def_Flows[CC?],,0,)</f>
        <v>Yes</v>
      </c>
      <c r="M416" s="51"/>
      <c r="N416" s="51"/>
      <c r="O416" s="119"/>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e">
        <f>IF(J416="Yes",AA416*Tab_Data_Flows[[#This Row],[WC_'[%']]],"N.A.")</f>
        <v>#N/A</v>
      </c>
      <c r="AE416" s="61">
        <f>Tab_Data_Flows[[#This Row],[UoM_Flow_Py]]</f>
        <v>0</v>
      </c>
      <c r="AF416" s="111" t="e">
        <f>INDEX(Tab_Def_Flows[[Flow_ID]:[CC_DM_source]],MATCH(Tab_Data_Flows[[#This Row],[Name(EN)]],Tab_Def_Flows[Name(EN)],0),18)</f>
        <v>#N/A</v>
      </c>
      <c r="AG416" s="112" t="e">
        <f>IF(K416="Yes",AF416*Tab_Data_Flows[[#This Row],[Flow_Py]],"N.A.")</f>
        <v>#N/A</v>
      </c>
      <c r="AH416" s="61">
        <f>Tab_Data_Flows[[#This Row],[UoM_Flow_Py]]</f>
        <v>0</v>
      </c>
      <c r="AI416" s="111" t="e">
        <f>INDEX(Tab_Def_Flows[[Flow_ID]:[CC_DM_source]],MATCH(Tab_Data_Flows[[#This Row],[Name(EN)]],Tab_Def_Flows[Name(EN)],0),20)</f>
        <v>#N/A</v>
      </c>
      <c r="AJ416" s="109" t="e">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F_24_24</v>
      </c>
      <c r="C417" s="51"/>
      <c r="D417" s="49">
        <f>_xlfn.XLOOKUP(C417,Tab_Def_Flows[Name(EN)],Tab_Def_Flows[Type_Biomass],,0,)</f>
        <v>0</v>
      </c>
      <c r="E417" s="49">
        <f>_xlfn.XLOOKUP(C417,Tab_Def_Flows[Name(EN)],Tab_Def_Flows[Output_Process],,0,)</f>
        <v>0</v>
      </c>
      <c r="F417" s="49" t="str">
        <f>_xlfn.XLOOKUP(C417,Tab_Def_Flows[Name(EN)],Tab_Def_Flows[Process_ID_O],,0,)</f>
        <v>24__</v>
      </c>
      <c r="G417" s="49">
        <f>_xlfn.XLOOKUP(C417,Tab_Def_Flows[Name(EN)],Tab_Def_Flows[Input_Process],,0,)</f>
        <v>0</v>
      </c>
      <c r="H417" s="61" t="str">
        <f>_xlfn.XLOOKUP(C417,Tab_Def_Flows[Name(EN)],Tab_Def_Flows[Process_ID_I],,0,)</f>
        <v>24__</v>
      </c>
      <c r="I417" s="49">
        <f>_xlfn.XLOOKUP(C417,Tab_Def_Flows[Name(EN)],Tab_Def_Flows[Value_Source],,0,)</f>
        <v>0</v>
      </c>
      <c r="J417" s="61" t="str">
        <f>_xlfn.XLOOKUP(C417,Tab_Def_Flows[Name(EN)],Tab_Def_Flows[WC?],,0,)</f>
        <v>Yes</v>
      </c>
      <c r="K417" s="61" t="str">
        <f>_xlfn.XLOOKUP(C417,Tab_Def_Flows[Name(EN)],Tab_Def_Flows[DM?],,0,)</f>
        <v>Yes</v>
      </c>
      <c r="L417" s="61" t="str">
        <f>_xlfn.XLOOKUP(C417,Tab_Def_Flows[Name(EN)],Tab_Def_Flows[CC?],,0,)</f>
        <v>Yes</v>
      </c>
      <c r="M417" s="51"/>
      <c r="N417" s="51"/>
      <c r="O417" s="119"/>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e">
        <f>IF(J417="Yes",AA417*Tab_Data_Flows[[#This Row],[WC_'[%']]],"N.A.")</f>
        <v>#N/A</v>
      </c>
      <c r="AE417" s="61">
        <f>Tab_Data_Flows[[#This Row],[UoM_Flow_Py]]</f>
        <v>0</v>
      </c>
      <c r="AF417" s="111" t="e">
        <f>INDEX(Tab_Def_Flows[[Flow_ID]:[CC_DM_source]],MATCH(Tab_Data_Flows[[#This Row],[Name(EN)]],Tab_Def_Flows[Name(EN)],0),18)</f>
        <v>#N/A</v>
      </c>
      <c r="AG417" s="112" t="e">
        <f>IF(K417="Yes",AF417*Tab_Data_Flows[[#This Row],[Flow_Py]],"N.A.")</f>
        <v>#N/A</v>
      </c>
      <c r="AH417" s="61">
        <f>Tab_Data_Flows[[#This Row],[UoM_Flow_Py]]</f>
        <v>0</v>
      </c>
      <c r="AI417" s="111" t="e">
        <f>INDEX(Tab_Def_Flows[[Flow_ID]:[CC_DM_source]],MATCH(Tab_Data_Flows[[#This Row],[Name(EN)]],Tab_Def_Flows[Name(EN)],0),20)</f>
        <v>#N/A</v>
      </c>
      <c r="AJ417" s="109" t="e">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F_24_24</v>
      </c>
      <c r="C418" s="51"/>
      <c r="D418" s="49">
        <f>_xlfn.XLOOKUP(C418,Tab_Def_Flows[Name(EN)],Tab_Def_Flows[Type_Biomass],,0,)</f>
        <v>0</v>
      </c>
      <c r="E418" s="49">
        <f>_xlfn.XLOOKUP(C418,Tab_Def_Flows[Name(EN)],Tab_Def_Flows[Output_Process],,0,)</f>
        <v>0</v>
      </c>
      <c r="F418" s="49" t="str">
        <f>_xlfn.XLOOKUP(C418,Tab_Def_Flows[Name(EN)],Tab_Def_Flows[Process_ID_O],,0,)</f>
        <v>24__</v>
      </c>
      <c r="G418" s="49">
        <f>_xlfn.XLOOKUP(C418,Tab_Def_Flows[Name(EN)],Tab_Def_Flows[Input_Process],,0,)</f>
        <v>0</v>
      </c>
      <c r="H418" s="61" t="str">
        <f>_xlfn.XLOOKUP(C418,Tab_Def_Flows[Name(EN)],Tab_Def_Flows[Process_ID_I],,0,)</f>
        <v>24__</v>
      </c>
      <c r="I418" s="49">
        <f>_xlfn.XLOOKUP(C418,Tab_Def_Flows[Name(EN)],Tab_Def_Flows[Value_Source],,0,)</f>
        <v>0</v>
      </c>
      <c r="J418" s="61" t="str">
        <f>_xlfn.XLOOKUP(C418,Tab_Def_Flows[Name(EN)],Tab_Def_Flows[WC?],,0,)</f>
        <v>Yes</v>
      </c>
      <c r="K418" s="61" t="str">
        <f>_xlfn.XLOOKUP(C418,Tab_Def_Flows[Name(EN)],Tab_Def_Flows[DM?],,0,)</f>
        <v>Yes</v>
      </c>
      <c r="L418" s="61" t="str">
        <f>_xlfn.XLOOKUP(C418,Tab_Def_Flows[Name(EN)],Tab_Def_Flows[CC?],,0,)</f>
        <v>Yes</v>
      </c>
      <c r="M418" s="51"/>
      <c r="N418" s="51"/>
      <c r="O418" s="119"/>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e">
        <f>IF(J418="Yes",AA418*Tab_Data_Flows[[#This Row],[WC_'[%']]],"N.A.")</f>
        <v>#N/A</v>
      </c>
      <c r="AE418" s="61">
        <f>Tab_Data_Flows[[#This Row],[UoM_Flow_Py]]</f>
        <v>0</v>
      </c>
      <c r="AF418" s="111" t="e">
        <f>INDEX(Tab_Def_Flows[[Flow_ID]:[CC_DM_source]],MATCH(Tab_Data_Flows[[#This Row],[Name(EN)]],Tab_Def_Flows[Name(EN)],0),18)</f>
        <v>#N/A</v>
      </c>
      <c r="AG418" s="112" t="e">
        <f>IF(K418="Yes",AF418*Tab_Data_Flows[[#This Row],[Flow_Py]],"N.A.")</f>
        <v>#N/A</v>
      </c>
      <c r="AH418" s="61">
        <f>Tab_Data_Flows[[#This Row],[UoM_Flow_Py]]</f>
        <v>0</v>
      </c>
      <c r="AI418" s="111" t="e">
        <f>INDEX(Tab_Def_Flows[[Flow_ID]:[CC_DM_source]],MATCH(Tab_Data_Flows[[#This Row],[Name(EN)]],Tab_Def_Flows[Name(EN)],0),20)</f>
        <v>#N/A</v>
      </c>
      <c r="AJ418" s="109" t="e">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F_24_24</v>
      </c>
      <c r="C419" s="51"/>
      <c r="D419" s="49">
        <f>_xlfn.XLOOKUP(C419,Tab_Def_Flows[Name(EN)],Tab_Def_Flows[Type_Biomass],,0,)</f>
        <v>0</v>
      </c>
      <c r="E419" s="49">
        <f>_xlfn.XLOOKUP(C419,Tab_Def_Flows[Name(EN)],Tab_Def_Flows[Output_Process],,0,)</f>
        <v>0</v>
      </c>
      <c r="F419" s="49" t="str">
        <f>_xlfn.XLOOKUP(C419,Tab_Def_Flows[Name(EN)],Tab_Def_Flows[Process_ID_O],,0,)</f>
        <v>24__</v>
      </c>
      <c r="G419" s="49">
        <f>_xlfn.XLOOKUP(C419,Tab_Def_Flows[Name(EN)],Tab_Def_Flows[Input_Process],,0,)</f>
        <v>0</v>
      </c>
      <c r="H419" s="61" t="str">
        <f>_xlfn.XLOOKUP(C419,Tab_Def_Flows[Name(EN)],Tab_Def_Flows[Process_ID_I],,0,)</f>
        <v>24__</v>
      </c>
      <c r="I419" s="49">
        <f>_xlfn.XLOOKUP(C419,Tab_Def_Flows[Name(EN)],Tab_Def_Flows[Value_Source],,0,)</f>
        <v>0</v>
      </c>
      <c r="J419" s="61" t="str">
        <f>_xlfn.XLOOKUP(C419,Tab_Def_Flows[Name(EN)],Tab_Def_Flows[WC?],,0,)</f>
        <v>Yes</v>
      </c>
      <c r="K419" s="61" t="str">
        <f>_xlfn.XLOOKUP(C419,Tab_Def_Flows[Name(EN)],Tab_Def_Flows[DM?],,0,)</f>
        <v>Yes</v>
      </c>
      <c r="L419" s="61" t="str">
        <f>_xlfn.XLOOKUP(C419,Tab_Def_Flows[Name(EN)],Tab_Def_Flows[CC?],,0,)</f>
        <v>Yes</v>
      </c>
      <c r="M419" s="51"/>
      <c r="N419" s="51"/>
      <c r="O419" s="119"/>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e">
        <f>IF(J419="Yes",AA419*Tab_Data_Flows[[#This Row],[WC_'[%']]],"N.A.")</f>
        <v>#N/A</v>
      </c>
      <c r="AE419" s="61">
        <f>Tab_Data_Flows[[#This Row],[UoM_Flow_Py]]</f>
        <v>0</v>
      </c>
      <c r="AF419" s="111" t="e">
        <f>INDEX(Tab_Def_Flows[[Flow_ID]:[CC_DM_source]],MATCH(Tab_Data_Flows[[#This Row],[Name(EN)]],Tab_Def_Flows[Name(EN)],0),18)</f>
        <v>#N/A</v>
      </c>
      <c r="AG419" s="112" t="e">
        <f>IF(K419="Yes",AF419*Tab_Data_Flows[[#This Row],[Flow_Py]],"N.A.")</f>
        <v>#N/A</v>
      </c>
      <c r="AH419" s="61">
        <f>Tab_Data_Flows[[#This Row],[UoM_Flow_Py]]</f>
        <v>0</v>
      </c>
      <c r="AI419" s="111" t="e">
        <f>INDEX(Tab_Def_Flows[[Flow_ID]:[CC_DM_source]],MATCH(Tab_Data_Flows[[#This Row],[Name(EN)]],Tab_Def_Flows[Name(EN)],0),20)</f>
        <v>#N/A</v>
      </c>
      <c r="AJ419" s="109" t="e">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F_24_24</v>
      </c>
      <c r="C420" s="51"/>
      <c r="D420" s="49">
        <f>_xlfn.XLOOKUP(C420,Tab_Def_Flows[Name(EN)],Tab_Def_Flows[Type_Biomass],,0,)</f>
        <v>0</v>
      </c>
      <c r="E420" s="49">
        <f>_xlfn.XLOOKUP(C420,Tab_Def_Flows[Name(EN)],Tab_Def_Flows[Output_Process],,0,)</f>
        <v>0</v>
      </c>
      <c r="F420" s="49" t="str">
        <f>_xlfn.XLOOKUP(C420,Tab_Def_Flows[Name(EN)],Tab_Def_Flows[Process_ID_O],,0,)</f>
        <v>24__</v>
      </c>
      <c r="G420" s="49">
        <f>_xlfn.XLOOKUP(C420,Tab_Def_Flows[Name(EN)],Tab_Def_Flows[Input_Process],,0,)</f>
        <v>0</v>
      </c>
      <c r="H420" s="61" t="str">
        <f>_xlfn.XLOOKUP(C420,Tab_Def_Flows[Name(EN)],Tab_Def_Flows[Process_ID_I],,0,)</f>
        <v>24__</v>
      </c>
      <c r="I420" s="49">
        <f>_xlfn.XLOOKUP(C420,Tab_Def_Flows[Name(EN)],Tab_Def_Flows[Value_Source],,0,)</f>
        <v>0</v>
      </c>
      <c r="J420" s="61" t="str">
        <f>_xlfn.XLOOKUP(C420,Tab_Def_Flows[Name(EN)],Tab_Def_Flows[WC?],,0,)</f>
        <v>Yes</v>
      </c>
      <c r="K420" s="61" t="str">
        <f>_xlfn.XLOOKUP(C420,Tab_Def_Flows[Name(EN)],Tab_Def_Flows[DM?],,0,)</f>
        <v>Yes</v>
      </c>
      <c r="L420" s="61" t="str">
        <f>_xlfn.XLOOKUP(C420,Tab_Def_Flows[Name(EN)],Tab_Def_Flows[CC?],,0,)</f>
        <v>Yes</v>
      </c>
      <c r="M420" s="51"/>
      <c r="N420" s="51"/>
      <c r="O420" s="119"/>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e">
        <f>IF(J420="Yes",AA420*Tab_Data_Flows[[#This Row],[WC_'[%']]],"N.A.")</f>
        <v>#N/A</v>
      </c>
      <c r="AE420" s="61">
        <f>Tab_Data_Flows[[#This Row],[UoM_Flow_Py]]</f>
        <v>0</v>
      </c>
      <c r="AF420" s="111" t="e">
        <f>INDEX(Tab_Def_Flows[[Flow_ID]:[CC_DM_source]],MATCH(Tab_Data_Flows[[#This Row],[Name(EN)]],Tab_Def_Flows[Name(EN)],0),18)</f>
        <v>#N/A</v>
      </c>
      <c r="AG420" s="112" t="e">
        <f>IF(K420="Yes",AF420*Tab_Data_Flows[[#This Row],[Flow_Py]],"N.A.")</f>
        <v>#N/A</v>
      </c>
      <c r="AH420" s="61">
        <f>Tab_Data_Flows[[#This Row],[UoM_Flow_Py]]</f>
        <v>0</v>
      </c>
      <c r="AI420" s="111" t="e">
        <f>INDEX(Tab_Def_Flows[[Flow_ID]:[CC_DM_source]],MATCH(Tab_Data_Flows[[#This Row],[Name(EN)]],Tab_Def_Flows[Name(EN)],0),20)</f>
        <v>#N/A</v>
      </c>
      <c r="AJ420" s="109" t="e">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F_24_24</v>
      </c>
      <c r="C421" s="51"/>
      <c r="D421" s="49">
        <f>_xlfn.XLOOKUP(C421,Tab_Def_Flows[Name(EN)],Tab_Def_Flows[Type_Biomass],,0,)</f>
        <v>0</v>
      </c>
      <c r="E421" s="49">
        <f>_xlfn.XLOOKUP(C421,Tab_Def_Flows[Name(EN)],Tab_Def_Flows[Output_Process],,0,)</f>
        <v>0</v>
      </c>
      <c r="F421" s="49" t="str">
        <f>_xlfn.XLOOKUP(C421,Tab_Def_Flows[Name(EN)],Tab_Def_Flows[Process_ID_O],,0,)</f>
        <v>24__</v>
      </c>
      <c r="G421" s="49">
        <f>_xlfn.XLOOKUP(C421,Tab_Def_Flows[Name(EN)],Tab_Def_Flows[Input_Process],,0,)</f>
        <v>0</v>
      </c>
      <c r="H421" s="61" t="str">
        <f>_xlfn.XLOOKUP(C421,Tab_Def_Flows[Name(EN)],Tab_Def_Flows[Process_ID_I],,0,)</f>
        <v>24__</v>
      </c>
      <c r="I421" s="49">
        <f>_xlfn.XLOOKUP(C421,Tab_Def_Flows[Name(EN)],Tab_Def_Flows[Value_Source],,0,)</f>
        <v>0</v>
      </c>
      <c r="J421" s="61" t="str">
        <f>_xlfn.XLOOKUP(C421,Tab_Def_Flows[Name(EN)],Tab_Def_Flows[WC?],,0,)</f>
        <v>Yes</v>
      </c>
      <c r="K421" s="61" t="str">
        <f>_xlfn.XLOOKUP(C421,Tab_Def_Flows[Name(EN)],Tab_Def_Flows[DM?],,0,)</f>
        <v>Yes</v>
      </c>
      <c r="L421" s="61" t="str">
        <f>_xlfn.XLOOKUP(C421,Tab_Def_Flows[Name(EN)],Tab_Def_Flows[CC?],,0,)</f>
        <v>Yes</v>
      </c>
      <c r="M421" s="51"/>
      <c r="N421" s="51"/>
      <c r="O421" s="119"/>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e">
        <f>IF(J421="Yes",AA421*Tab_Data_Flows[[#This Row],[WC_'[%']]],"N.A.")</f>
        <v>#N/A</v>
      </c>
      <c r="AE421" s="61">
        <f>Tab_Data_Flows[[#This Row],[UoM_Flow_Py]]</f>
        <v>0</v>
      </c>
      <c r="AF421" s="111" t="e">
        <f>INDEX(Tab_Def_Flows[[Flow_ID]:[CC_DM_source]],MATCH(Tab_Data_Flows[[#This Row],[Name(EN)]],Tab_Def_Flows[Name(EN)],0),18)</f>
        <v>#N/A</v>
      </c>
      <c r="AG421" s="112" t="e">
        <f>IF(K421="Yes",AF421*Tab_Data_Flows[[#This Row],[Flow_Py]],"N.A.")</f>
        <v>#N/A</v>
      </c>
      <c r="AH421" s="61">
        <f>Tab_Data_Flows[[#This Row],[UoM_Flow_Py]]</f>
        <v>0</v>
      </c>
      <c r="AI421" s="111" t="e">
        <f>INDEX(Tab_Def_Flows[[Flow_ID]:[CC_DM_source]],MATCH(Tab_Data_Flows[[#This Row],[Name(EN)]],Tab_Def_Flows[Name(EN)],0),20)</f>
        <v>#N/A</v>
      </c>
      <c r="AJ421" s="109" t="e">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F_24_24</v>
      </c>
      <c r="C422" s="51"/>
      <c r="D422" s="49">
        <f>_xlfn.XLOOKUP(C422,Tab_Def_Flows[Name(EN)],Tab_Def_Flows[Type_Biomass],,0,)</f>
        <v>0</v>
      </c>
      <c r="E422" s="49">
        <f>_xlfn.XLOOKUP(C422,Tab_Def_Flows[Name(EN)],Tab_Def_Flows[Output_Process],,0,)</f>
        <v>0</v>
      </c>
      <c r="F422" s="49" t="str">
        <f>_xlfn.XLOOKUP(C422,Tab_Def_Flows[Name(EN)],Tab_Def_Flows[Process_ID_O],,0,)</f>
        <v>24__</v>
      </c>
      <c r="G422" s="49">
        <f>_xlfn.XLOOKUP(C422,Tab_Def_Flows[Name(EN)],Tab_Def_Flows[Input_Process],,0,)</f>
        <v>0</v>
      </c>
      <c r="H422" s="61" t="str">
        <f>_xlfn.XLOOKUP(C422,Tab_Def_Flows[Name(EN)],Tab_Def_Flows[Process_ID_I],,0,)</f>
        <v>24__</v>
      </c>
      <c r="I422" s="49">
        <f>_xlfn.XLOOKUP(C422,Tab_Def_Flows[Name(EN)],Tab_Def_Flows[Value_Source],,0,)</f>
        <v>0</v>
      </c>
      <c r="J422" s="61" t="str">
        <f>_xlfn.XLOOKUP(C422,Tab_Def_Flows[Name(EN)],Tab_Def_Flows[WC?],,0,)</f>
        <v>Yes</v>
      </c>
      <c r="K422" s="61" t="str">
        <f>_xlfn.XLOOKUP(C422,Tab_Def_Flows[Name(EN)],Tab_Def_Flows[DM?],,0,)</f>
        <v>Yes</v>
      </c>
      <c r="L422" s="61" t="str">
        <f>_xlfn.XLOOKUP(C422,Tab_Def_Flows[Name(EN)],Tab_Def_Flows[CC?],,0,)</f>
        <v>Yes</v>
      </c>
      <c r="M422" s="51"/>
      <c r="N422" s="51"/>
      <c r="O422" s="119"/>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e">
        <f>IF(J422="Yes",AA422*Tab_Data_Flows[[#This Row],[WC_'[%']]],"N.A.")</f>
        <v>#N/A</v>
      </c>
      <c r="AE422" s="61">
        <f>Tab_Data_Flows[[#This Row],[UoM_Flow_Py]]</f>
        <v>0</v>
      </c>
      <c r="AF422" s="111" t="e">
        <f>INDEX(Tab_Def_Flows[[Flow_ID]:[CC_DM_source]],MATCH(Tab_Data_Flows[[#This Row],[Name(EN)]],Tab_Def_Flows[Name(EN)],0),18)</f>
        <v>#N/A</v>
      </c>
      <c r="AG422" s="112" t="e">
        <f>IF(K422="Yes",AF422*Tab_Data_Flows[[#This Row],[Flow_Py]],"N.A.")</f>
        <v>#N/A</v>
      </c>
      <c r="AH422" s="61">
        <f>Tab_Data_Flows[[#This Row],[UoM_Flow_Py]]</f>
        <v>0</v>
      </c>
      <c r="AI422" s="111" t="e">
        <f>INDEX(Tab_Def_Flows[[Flow_ID]:[CC_DM_source]],MATCH(Tab_Data_Flows[[#This Row],[Name(EN)]],Tab_Def_Flows[Name(EN)],0),20)</f>
        <v>#N/A</v>
      </c>
      <c r="AJ422" s="109" t="e">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F_24_24</v>
      </c>
      <c r="C423" s="51"/>
      <c r="D423" s="49">
        <f>_xlfn.XLOOKUP(C423,Tab_Def_Flows[Name(EN)],Tab_Def_Flows[Type_Biomass],,0,)</f>
        <v>0</v>
      </c>
      <c r="E423" s="49">
        <f>_xlfn.XLOOKUP(C423,Tab_Def_Flows[Name(EN)],Tab_Def_Flows[Output_Process],,0,)</f>
        <v>0</v>
      </c>
      <c r="F423" s="49" t="str">
        <f>_xlfn.XLOOKUP(C423,Tab_Def_Flows[Name(EN)],Tab_Def_Flows[Process_ID_O],,0,)</f>
        <v>24__</v>
      </c>
      <c r="G423" s="49">
        <f>_xlfn.XLOOKUP(C423,Tab_Def_Flows[Name(EN)],Tab_Def_Flows[Input_Process],,0,)</f>
        <v>0</v>
      </c>
      <c r="H423" s="61" t="str">
        <f>_xlfn.XLOOKUP(C423,Tab_Def_Flows[Name(EN)],Tab_Def_Flows[Process_ID_I],,0,)</f>
        <v>24__</v>
      </c>
      <c r="I423" s="49">
        <f>_xlfn.XLOOKUP(C423,Tab_Def_Flows[Name(EN)],Tab_Def_Flows[Value_Source],,0,)</f>
        <v>0</v>
      </c>
      <c r="J423" s="61" t="str">
        <f>_xlfn.XLOOKUP(C423,Tab_Def_Flows[Name(EN)],Tab_Def_Flows[WC?],,0,)</f>
        <v>Yes</v>
      </c>
      <c r="K423" s="61" t="str">
        <f>_xlfn.XLOOKUP(C423,Tab_Def_Flows[Name(EN)],Tab_Def_Flows[DM?],,0,)</f>
        <v>Yes</v>
      </c>
      <c r="L423" s="61" t="str">
        <f>_xlfn.XLOOKUP(C423,Tab_Def_Flows[Name(EN)],Tab_Def_Flows[CC?],,0,)</f>
        <v>Yes</v>
      </c>
      <c r="M423" s="51"/>
      <c r="N423" s="51"/>
      <c r="O423" s="119"/>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e">
        <f>IF(J423="Yes",AA423*Tab_Data_Flows[[#This Row],[WC_'[%']]],"N.A.")</f>
        <v>#N/A</v>
      </c>
      <c r="AE423" s="61">
        <f>Tab_Data_Flows[[#This Row],[UoM_Flow_Py]]</f>
        <v>0</v>
      </c>
      <c r="AF423" s="111" t="e">
        <f>INDEX(Tab_Def_Flows[[Flow_ID]:[CC_DM_source]],MATCH(Tab_Data_Flows[[#This Row],[Name(EN)]],Tab_Def_Flows[Name(EN)],0),18)</f>
        <v>#N/A</v>
      </c>
      <c r="AG423" s="112" t="e">
        <f>IF(K423="Yes",AF423*Tab_Data_Flows[[#This Row],[Flow_Py]],"N.A.")</f>
        <v>#N/A</v>
      </c>
      <c r="AH423" s="61">
        <f>Tab_Data_Flows[[#This Row],[UoM_Flow_Py]]</f>
        <v>0</v>
      </c>
      <c r="AI423" s="111" t="e">
        <f>INDEX(Tab_Def_Flows[[Flow_ID]:[CC_DM_source]],MATCH(Tab_Data_Flows[[#This Row],[Name(EN)]],Tab_Def_Flows[Name(EN)],0),20)</f>
        <v>#N/A</v>
      </c>
      <c r="AJ423" s="109" t="e">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F_24_24</v>
      </c>
      <c r="C424" s="51"/>
      <c r="D424" s="49">
        <f>_xlfn.XLOOKUP(C424,Tab_Def_Flows[Name(EN)],Tab_Def_Flows[Type_Biomass],,0,)</f>
        <v>0</v>
      </c>
      <c r="E424" s="49">
        <f>_xlfn.XLOOKUP(C424,Tab_Def_Flows[Name(EN)],Tab_Def_Flows[Output_Process],,0,)</f>
        <v>0</v>
      </c>
      <c r="F424" s="49" t="str">
        <f>_xlfn.XLOOKUP(C424,Tab_Def_Flows[Name(EN)],Tab_Def_Flows[Process_ID_O],,0,)</f>
        <v>24__</v>
      </c>
      <c r="G424" s="49">
        <f>_xlfn.XLOOKUP(C424,Tab_Def_Flows[Name(EN)],Tab_Def_Flows[Input_Process],,0,)</f>
        <v>0</v>
      </c>
      <c r="H424" s="61" t="str">
        <f>_xlfn.XLOOKUP(C424,Tab_Def_Flows[Name(EN)],Tab_Def_Flows[Process_ID_I],,0,)</f>
        <v>24__</v>
      </c>
      <c r="I424" s="49">
        <f>_xlfn.XLOOKUP(C424,Tab_Def_Flows[Name(EN)],Tab_Def_Flows[Value_Source],,0,)</f>
        <v>0</v>
      </c>
      <c r="J424" s="61" t="str">
        <f>_xlfn.XLOOKUP(C424,Tab_Def_Flows[Name(EN)],Tab_Def_Flows[WC?],,0,)</f>
        <v>Yes</v>
      </c>
      <c r="K424" s="61" t="str">
        <f>_xlfn.XLOOKUP(C424,Tab_Def_Flows[Name(EN)],Tab_Def_Flows[DM?],,0,)</f>
        <v>Yes</v>
      </c>
      <c r="L424" s="61" t="str">
        <f>_xlfn.XLOOKUP(C424,Tab_Def_Flows[Name(EN)],Tab_Def_Flows[CC?],,0,)</f>
        <v>Yes</v>
      </c>
      <c r="M424" s="51"/>
      <c r="N424" s="51"/>
      <c r="O424" s="119"/>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e">
        <f>IF(J424="Yes",AA424*Tab_Data_Flows[[#This Row],[WC_'[%']]],"N.A.")</f>
        <v>#N/A</v>
      </c>
      <c r="AE424" s="61">
        <f>Tab_Data_Flows[[#This Row],[UoM_Flow_Py]]</f>
        <v>0</v>
      </c>
      <c r="AF424" s="111" t="e">
        <f>INDEX(Tab_Def_Flows[[Flow_ID]:[CC_DM_source]],MATCH(Tab_Data_Flows[[#This Row],[Name(EN)]],Tab_Def_Flows[Name(EN)],0),18)</f>
        <v>#N/A</v>
      </c>
      <c r="AG424" s="112" t="e">
        <f>IF(K424="Yes",AF424*Tab_Data_Flows[[#This Row],[Flow_Py]],"N.A.")</f>
        <v>#N/A</v>
      </c>
      <c r="AH424" s="61">
        <f>Tab_Data_Flows[[#This Row],[UoM_Flow_Py]]</f>
        <v>0</v>
      </c>
      <c r="AI424" s="111" t="e">
        <f>INDEX(Tab_Def_Flows[[Flow_ID]:[CC_DM_source]],MATCH(Tab_Data_Flows[[#This Row],[Name(EN)]],Tab_Def_Flows[Name(EN)],0),20)</f>
        <v>#N/A</v>
      </c>
      <c r="AJ424" s="109" t="e">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F_24_24</v>
      </c>
      <c r="C425" s="51"/>
      <c r="D425" s="49">
        <f>_xlfn.XLOOKUP(C425,Tab_Def_Flows[Name(EN)],Tab_Def_Flows[Type_Biomass],,0,)</f>
        <v>0</v>
      </c>
      <c r="E425" s="49">
        <f>_xlfn.XLOOKUP(C425,Tab_Def_Flows[Name(EN)],Tab_Def_Flows[Output_Process],,0,)</f>
        <v>0</v>
      </c>
      <c r="F425" s="49" t="str">
        <f>_xlfn.XLOOKUP(C425,Tab_Def_Flows[Name(EN)],Tab_Def_Flows[Process_ID_O],,0,)</f>
        <v>24__</v>
      </c>
      <c r="G425" s="49">
        <f>_xlfn.XLOOKUP(C425,Tab_Def_Flows[Name(EN)],Tab_Def_Flows[Input_Process],,0,)</f>
        <v>0</v>
      </c>
      <c r="H425" s="61" t="str">
        <f>_xlfn.XLOOKUP(C425,Tab_Def_Flows[Name(EN)],Tab_Def_Flows[Process_ID_I],,0,)</f>
        <v>24__</v>
      </c>
      <c r="I425" s="49">
        <f>_xlfn.XLOOKUP(C425,Tab_Def_Flows[Name(EN)],Tab_Def_Flows[Value_Source],,0,)</f>
        <v>0</v>
      </c>
      <c r="J425" s="61" t="str">
        <f>_xlfn.XLOOKUP(C425,Tab_Def_Flows[Name(EN)],Tab_Def_Flows[WC?],,0,)</f>
        <v>Yes</v>
      </c>
      <c r="K425" s="61" t="str">
        <f>_xlfn.XLOOKUP(C425,Tab_Def_Flows[Name(EN)],Tab_Def_Flows[DM?],,0,)</f>
        <v>Yes</v>
      </c>
      <c r="L425" s="61" t="str">
        <f>_xlfn.XLOOKUP(C425,Tab_Def_Flows[Name(EN)],Tab_Def_Flows[CC?],,0,)</f>
        <v>Yes</v>
      </c>
      <c r="M425" s="51"/>
      <c r="N425" s="51"/>
      <c r="O425" s="119"/>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e">
        <f>IF(J425="Yes",AA425*Tab_Data_Flows[[#This Row],[WC_'[%']]],"N.A.")</f>
        <v>#N/A</v>
      </c>
      <c r="AE425" s="61">
        <f>Tab_Data_Flows[[#This Row],[UoM_Flow_Py]]</f>
        <v>0</v>
      </c>
      <c r="AF425" s="111" t="e">
        <f>INDEX(Tab_Def_Flows[[Flow_ID]:[CC_DM_source]],MATCH(Tab_Data_Flows[[#This Row],[Name(EN)]],Tab_Def_Flows[Name(EN)],0),18)</f>
        <v>#N/A</v>
      </c>
      <c r="AG425" s="112" t="e">
        <f>IF(K425="Yes",AF425*Tab_Data_Flows[[#This Row],[Flow_Py]],"N.A.")</f>
        <v>#N/A</v>
      </c>
      <c r="AH425" s="61">
        <f>Tab_Data_Flows[[#This Row],[UoM_Flow_Py]]</f>
        <v>0</v>
      </c>
      <c r="AI425" s="111" t="e">
        <f>INDEX(Tab_Def_Flows[[Flow_ID]:[CC_DM_source]],MATCH(Tab_Data_Flows[[#This Row],[Name(EN)]],Tab_Def_Flows[Name(EN)],0),20)</f>
        <v>#N/A</v>
      </c>
      <c r="AJ425" s="109" t="e">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F_24_24</v>
      </c>
      <c r="C426" s="51"/>
      <c r="D426" s="49">
        <f>_xlfn.XLOOKUP(C426,Tab_Def_Flows[Name(EN)],Tab_Def_Flows[Type_Biomass],,0,)</f>
        <v>0</v>
      </c>
      <c r="E426" s="49">
        <f>_xlfn.XLOOKUP(C426,Tab_Def_Flows[Name(EN)],Tab_Def_Flows[Output_Process],,0,)</f>
        <v>0</v>
      </c>
      <c r="F426" s="49" t="str">
        <f>_xlfn.XLOOKUP(C426,Tab_Def_Flows[Name(EN)],Tab_Def_Flows[Process_ID_O],,0,)</f>
        <v>24__</v>
      </c>
      <c r="G426" s="49">
        <f>_xlfn.XLOOKUP(C426,Tab_Def_Flows[Name(EN)],Tab_Def_Flows[Input_Process],,0,)</f>
        <v>0</v>
      </c>
      <c r="H426" s="61" t="str">
        <f>_xlfn.XLOOKUP(C426,Tab_Def_Flows[Name(EN)],Tab_Def_Flows[Process_ID_I],,0,)</f>
        <v>24__</v>
      </c>
      <c r="I426" s="49">
        <f>_xlfn.XLOOKUP(C426,Tab_Def_Flows[Name(EN)],Tab_Def_Flows[Value_Source],,0,)</f>
        <v>0</v>
      </c>
      <c r="J426" s="61" t="str">
        <f>_xlfn.XLOOKUP(C426,Tab_Def_Flows[Name(EN)],Tab_Def_Flows[WC?],,0,)</f>
        <v>Yes</v>
      </c>
      <c r="K426" s="61" t="str">
        <f>_xlfn.XLOOKUP(C426,Tab_Def_Flows[Name(EN)],Tab_Def_Flows[DM?],,0,)</f>
        <v>Yes</v>
      </c>
      <c r="L426" s="61" t="str">
        <f>_xlfn.XLOOKUP(C426,Tab_Def_Flows[Name(EN)],Tab_Def_Flows[CC?],,0,)</f>
        <v>Yes</v>
      </c>
      <c r="M426" s="51"/>
      <c r="N426" s="51"/>
      <c r="O426" s="119"/>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e">
        <f>IF(J426="Yes",AA426*Tab_Data_Flows[[#This Row],[WC_'[%']]],"N.A.")</f>
        <v>#N/A</v>
      </c>
      <c r="AE426" s="61">
        <f>Tab_Data_Flows[[#This Row],[UoM_Flow_Py]]</f>
        <v>0</v>
      </c>
      <c r="AF426" s="111" t="e">
        <f>INDEX(Tab_Def_Flows[[Flow_ID]:[CC_DM_source]],MATCH(Tab_Data_Flows[[#This Row],[Name(EN)]],Tab_Def_Flows[Name(EN)],0),18)</f>
        <v>#N/A</v>
      </c>
      <c r="AG426" s="112" t="e">
        <f>IF(K426="Yes",AF426*Tab_Data_Flows[[#This Row],[Flow_Py]],"N.A.")</f>
        <v>#N/A</v>
      </c>
      <c r="AH426" s="61">
        <f>Tab_Data_Flows[[#This Row],[UoM_Flow_Py]]</f>
        <v>0</v>
      </c>
      <c r="AI426" s="111" t="e">
        <f>INDEX(Tab_Def_Flows[[Flow_ID]:[CC_DM_source]],MATCH(Tab_Data_Flows[[#This Row],[Name(EN)]],Tab_Def_Flows[Name(EN)],0),20)</f>
        <v>#N/A</v>
      </c>
      <c r="AJ426" s="109" t="e">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F_24_24</v>
      </c>
      <c r="C427" s="51"/>
      <c r="D427" s="49">
        <f>_xlfn.XLOOKUP(C427,Tab_Def_Flows[Name(EN)],Tab_Def_Flows[Type_Biomass],,0,)</f>
        <v>0</v>
      </c>
      <c r="E427" s="49">
        <f>_xlfn.XLOOKUP(C427,Tab_Def_Flows[Name(EN)],Tab_Def_Flows[Output_Process],,0,)</f>
        <v>0</v>
      </c>
      <c r="F427" s="49" t="str">
        <f>_xlfn.XLOOKUP(C427,Tab_Def_Flows[Name(EN)],Tab_Def_Flows[Process_ID_O],,0,)</f>
        <v>24__</v>
      </c>
      <c r="G427" s="49">
        <f>_xlfn.XLOOKUP(C427,Tab_Def_Flows[Name(EN)],Tab_Def_Flows[Input_Process],,0,)</f>
        <v>0</v>
      </c>
      <c r="H427" s="61" t="str">
        <f>_xlfn.XLOOKUP(C427,Tab_Def_Flows[Name(EN)],Tab_Def_Flows[Process_ID_I],,0,)</f>
        <v>24__</v>
      </c>
      <c r="I427" s="49">
        <f>_xlfn.XLOOKUP(C427,Tab_Def_Flows[Name(EN)],Tab_Def_Flows[Value_Source],,0,)</f>
        <v>0</v>
      </c>
      <c r="J427" s="61" t="str">
        <f>_xlfn.XLOOKUP(C427,Tab_Def_Flows[Name(EN)],Tab_Def_Flows[WC?],,0,)</f>
        <v>Yes</v>
      </c>
      <c r="K427" s="61" t="str">
        <f>_xlfn.XLOOKUP(C427,Tab_Def_Flows[Name(EN)],Tab_Def_Flows[DM?],,0,)</f>
        <v>Yes</v>
      </c>
      <c r="L427" s="61" t="str">
        <f>_xlfn.XLOOKUP(C427,Tab_Def_Flows[Name(EN)],Tab_Def_Flows[CC?],,0,)</f>
        <v>Yes</v>
      </c>
      <c r="M427" s="51"/>
      <c r="N427" s="51"/>
      <c r="O427" s="119"/>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e">
        <f>IF(J427="Yes",AA427*Tab_Data_Flows[[#This Row],[WC_'[%']]],"N.A.")</f>
        <v>#N/A</v>
      </c>
      <c r="AE427" s="61">
        <f>Tab_Data_Flows[[#This Row],[UoM_Flow_Py]]</f>
        <v>0</v>
      </c>
      <c r="AF427" s="111" t="e">
        <f>INDEX(Tab_Def_Flows[[Flow_ID]:[CC_DM_source]],MATCH(Tab_Data_Flows[[#This Row],[Name(EN)]],Tab_Def_Flows[Name(EN)],0),18)</f>
        <v>#N/A</v>
      </c>
      <c r="AG427" s="112" t="e">
        <f>IF(K427="Yes",AF427*Tab_Data_Flows[[#This Row],[Flow_Py]],"N.A.")</f>
        <v>#N/A</v>
      </c>
      <c r="AH427" s="61">
        <f>Tab_Data_Flows[[#This Row],[UoM_Flow_Py]]</f>
        <v>0</v>
      </c>
      <c r="AI427" s="111" t="e">
        <f>INDEX(Tab_Def_Flows[[Flow_ID]:[CC_DM_source]],MATCH(Tab_Data_Flows[[#This Row],[Name(EN)]],Tab_Def_Flows[Name(EN)],0),20)</f>
        <v>#N/A</v>
      </c>
      <c r="AJ427" s="109" t="e">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F_24_24</v>
      </c>
      <c r="C428" s="51"/>
      <c r="D428" s="49">
        <f>_xlfn.XLOOKUP(C428,Tab_Def_Flows[Name(EN)],Tab_Def_Flows[Type_Biomass],,0,)</f>
        <v>0</v>
      </c>
      <c r="E428" s="49">
        <f>_xlfn.XLOOKUP(C428,Tab_Def_Flows[Name(EN)],Tab_Def_Flows[Output_Process],,0,)</f>
        <v>0</v>
      </c>
      <c r="F428" s="49" t="str">
        <f>_xlfn.XLOOKUP(C428,Tab_Def_Flows[Name(EN)],Tab_Def_Flows[Process_ID_O],,0,)</f>
        <v>24__</v>
      </c>
      <c r="G428" s="49">
        <f>_xlfn.XLOOKUP(C428,Tab_Def_Flows[Name(EN)],Tab_Def_Flows[Input_Process],,0,)</f>
        <v>0</v>
      </c>
      <c r="H428" s="61" t="str">
        <f>_xlfn.XLOOKUP(C428,Tab_Def_Flows[Name(EN)],Tab_Def_Flows[Process_ID_I],,0,)</f>
        <v>24__</v>
      </c>
      <c r="I428" s="49">
        <f>_xlfn.XLOOKUP(C428,Tab_Def_Flows[Name(EN)],Tab_Def_Flows[Value_Source],,0,)</f>
        <v>0</v>
      </c>
      <c r="J428" s="61" t="str">
        <f>_xlfn.XLOOKUP(C428,Tab_Def_Flows[Name(EN)],Tab_Def_Flows[WC?],,0,)</f>
        <v>Yes</v>
      </c>
      <c r="K428" s="61" t="str">
        <f>_xlfn.XLOOKUP(C428,Tab_Def_Flows[Name(EN)],Tab_Def_Flows[DM?],,0,)</f>
        <v>Yes</v>
      </c>
      <c r="L428" s="61" t="str">
        <f>_xlfn.XLOOKUP(C428,Tab_Def_Flows[Name(EN)],Tab_Def_Flows[CC?],,0,)</f>
        <v>Yes</v>
      </c>
      <c r="M428" s="51"/>
      <c r="N428" s="51"/>
      <c r="O428" s="119"/>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e">
        <f>IF(J428="Yes",AA428*Tab_Data_Flows[[#This Row],[WC_'[%']]],"N.A.")</f>
        <v>#N/A</v>
      </c>
      <c r="AE428" s="61">
        <f>Tab_Data_Flows[[#This Row],[UoM_Flow_Py]]</f>
        <v>0</v>
      </c>
      <c r="AF428" s="111" t="e">
        <f>INDEX(Tab_Def_Flows[[Flow_ID]:[CC_DM_source]],MATCH(Tab_Data_Flows[[#This Row],[Name(EN)]],Tab_Def_Flows[Name(EN)],0),18)</f>
        <v>#N/A</v>
      </c>
      <c r="AG428" s="112" t="e">
        <f>IF(K428="Yes",AF428*Tab_Data_Flows[[#This Row],[Flow_Py]],"N.A.")</f>
        <v>#N/A</v>
      </c>
      <c r="AH428" s="61">
        <f>Tab_Data_Flows[[#This Row],[UoM_Flow_Py]]</f>
        <v>0</v>
      </c>
      <c r="AI428" s="111" t="e">
        <f>INDEX(Tab_Def_Flows[[Flow_ID]:[CC_DM_source]],MATCH(Tab_Data_Flows[[#This Row],[Name(EN)]],Tab_Def_Flows[Name(EN)],0),20)</f>
        <v>#N/A</v>
      </c>
      <c r="AJ428" s="109" t="e">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F_24_24</v>
      </c>
      <c r="C429" s="51"/>
      <c r="D429" s="49">
        <f>_xlfn.XLOOKUP(C429,Tab_Def_Flows[Name(EN)],Tab_Def_Flows[Type_Biomass],,0,)</f>
        <v>0</v>
      </c>
      <c r="E429" s="49">
        <f>_xlfn.XLOOKUP(C429,Tab_Def_Flows[Name(EN)],Tab_Def_Flows[Output_Process],,0,)</f>
        <v>0</v>
      </c>
      <c r="F429" s="49" t="str">
        <f>_xlfn.XLOOKUP(C429,Tab_Def_Flows[Name(EN)],Tab_Def_Flows[Process_ID_O],,0,)</f>
        <v>24__</v>
      </c>
      <c r="G429" s="49">
        <f>_xlfn.XLOOKUP(C429,Tab_Def_Flows[Name(EN)],Tab_Def_Flows[Input_Process],,0,)</f>
        <v>0</v>
      </c>
      <c r="H429" s="61" t="str">
        <f>_xlfn.XLOOKUP(C429,Tab_Def_Flows[Name(EN)],Tab_Def_Flows[Process_ID_I],,0,)</f>
        <v>24__</v>
      </c>
      <c r="I429" s="49">
        <f>_xlfn.XLOOKUP(C429,Tab_Def_Flows[Name(EN)],Tab_Def_Flows[Value_Source],,0,)</f>
        <v>0</v>
      </c>
      <c r="J429" s="61" t="str">
        <f>_xlfn.XLOOKUP(C429,Tab_Def_Flows[Name(EN)],Tab_Def_Flows[WC?],,0,)</f>
        <v>Yes</v>
      </c>
      <c r="K429" s="61" t="str">
        <f>_xlfn.XLOOKUP(C429,Tab_Def_Flows[Name(EN)],Tab_Def_Flows[DM?],,0,)</f>
        <v>Yes</v>
      </c>
      <c r="L429" s="61" t="str">
        <f>_xlfn.XLOOKUP(C429,Tab_Def_Flows[Name(EN)],Tab_Def_Flows[CC?],,0,)</f>
        <v>Yes</v>
      </c>
      <c r="M429" s="51"/>
      <c r="N429" s="51"/>
      <c r="O429" s="119"/>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e">
        <f>IF(J429="Yes",AA429*Tab_Data_Flows[[#This Row],[WC_'[%']]],"N.A.")</f>
        <v>#N/A</v>
      </c>
      <c r="AE429" s="61">
        <f>Tab_Data_Flows[[#This Row],[UoM_Flow_Py]]</f>
        <v>0</v>
      </c>
      <c r="AF429" s="111" t="e">
        <f>INDEX(Tab_Def_Flows[[Flow_ID]:[CC_DM_source]],MATCH(Tab_Data_Flows[[#This Row],[Name(EN)]],Tab_Def_Flows[Name(EN)],0),18)</f>
        <v>#N/A</v>
      </c>
      <c r="AG429" s="112" t="e">
        <f>IF(K429="Yes",AF429*Tab_Data_Flows[[#This Row],[Flow_Py]],"N.A.")</f>
        <v>#N/A</v>
      </c>
      <c r="AH429" s="61">
        <f>Tab_Data_Flows[[#This Row],[UoM_Flow_Py]]</f>
        <v>0</v>
      </c>
      <c r="AI429" s="111" t="e">
        <f>INDEX(Tab_Def_Flows[[Flow_ID]:[CC_DM_source]],MATCH(Tab_Data_Flows[[#This Row],[Name(EN)]],Tab_Def_Flows[Name(EN)],0),20)</f>
        <v>#N/A</v>
      </c>
      <c r="AJ429" s="109" t="e">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F_24_24</v>
      </c>
      <c r="C430" s="51"/>
      <c r="D430" s="49">
        <f>_xlfn.XLOOKUP(C430,Tab_Def_Flows[Name(EN)],Tab_Def_Flows[Type_Biomass],,0,)</f>
        <v>0</v>
      </c>
      <c r="E430" s="49">
        <f>_xlfn.XLOOKUP(C430,Tab_Def_Flows[Name(EN)],Tab_Def_Flows[Output_Process],,0,)</f>
        <v>0</v>
      </c>
      <c r="F430" s="49" t="str">
        <f>_xlfn.XLOOKUP(C430,Tab_Def_Flows[Name(EN)],Tab_Def_Flows[Process_ID_O],,0,)</f>
        <v>24__</v>
      </c>
      <c r="G430" s="49">
        <f>_xlfn.XLOOKUP(C430,Tab_Def_Flows[Name(EN)],Tab_Def_Flows[Input_Process],,0,)</f>
        <v>0</v>
      </c>
      <c r="H430" s="61" t="str">
        <f>_xlfn.XLOOKUP(C430,Tab_Def_Flows[Name(EN)],Tab_Def_Flows[Process_ID_I],,0,)</f>
        <v>24__</v>
      </c>
      <c r="I430" s="49">
        <f>_xlfn.XLOOKUP(C430,Tab_Def_Flows[Name(EN)],Tab_Def_Flows[Value_Source],,0,)</f>
        <v>0</v>
      </c>
      <c r="J430" s="61" t="str">
        <f>_xlfn.XLOOKUP(C430,Tab_Def_Flows[Name(EN)],Tab_Def_Flows[WC?],,0,)</f>
        <v>Yes</v>
      </c>
      <c r="K430" s="61" t="str">
        <f>_xlfn.XLOOKUP(C430,Tab_Def_Flows[Name(EN)],Tab_Def_Flows[DM?],,0,)</f>
        <v>Yes</v>
      </c>
      <c r="L430" s="61" t="str">
        <f>_xlfn.XLOOKUP(C430,Tab_Def_Flows[Name(EN)],Tab_Def_Flows[CC?],,0,)</f>
        <v>Yes</v>
      </c>
      <c r="M430" s="51"/>
      <c r="N430" s="51"/>
      <c r="O430" s="119"/>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e">
        <f>IF(J430="Yes",AA430*Tab_Data_Flows[[#This Row],[WC_'[%']]],"N.A.")</f>
        <v>#N/A</v>
      </c>
      <c r="AE430" s="61">
        <f>Tab_Data_Flows[[#This Row],[UoM_Flow_Py]]</f>
        <v>0</v>
      </c>
      <c r="AF430" s="111" t="e">
        <f>INDEX(Tab_Def_Flows[[Flow_ID]:[CC_DM_source]],MATCH(Tab_Data_Flows[[#This Row],[Name(EN)]],Tab_Def_Flows[Name(EN)],0),18)</f>
        <v>#N/A</v>
      </c>
      <c r="AG430" s="112" t="e">
        <f>IF(K430="Yes",AF430*Tab_Data_Flows[[#This Row],[Flow_Py]],"N.A.")</f>
        <v>#N/A</v>
      </c>
      <c r="AH430" s="61">
        <f>Tab_Data_Flows[[#This Row],[UoM_Flow_Py]]</f>
        <v>0</v>
      </c>
      <c r="AI430" s="111" t="e">
        <f>INDEX(Tab_Def_Flows[[Flow_ID]:[CC_DM_source]],MATCH(Tab_Data_Flows[[#This Row],[Name(EN)]],Tab_Def_Flows[Name(EN)],0),20)</f>
        <v>#N/A</v>
      </c>
      <c r="AJ430" s="109" t="e">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F_24_24</v>
      </c>
      <c r="C431" s="51"/>
      <c r="D431" s="49">
        <f>_xlfn.XLOOKUP(C431,Tab_Def_Flows[Name(EN)],Tab_Def_Flows[Type_Biomass],,0,)</f>
        <v>0</v>
      </c>
      <c r="E431" s="49">
        <f>_xlfn.XLOOKUP(C431,Tab_Def_Flows[Name(EN)],Tab_Def_Flows[Output_Process],,0,)</f>
        <v>0</v>
      </c>
      <c r="F431" s="49" t="str">
        <f>_xlfn.XLOOKUP(C431,Tab_Def_Flows[Name(EN)],Tab_Def_Flows[Process_ID_O],,0,)</f>
        <v>24__</v>
      </c>
      <c r="G431" s="49">
        <f>_xlfn.XLOOKUP(C431,Tab_Def_Flows[Name(EN)],Tab_Def_Flows[Input_Process],,0,)</f>
        <v>0</v>
      </c>
      <c r="H431" s="61" t="str">
        <f>_xlfn.XLOOKUP(C431,Tab_Def_Flows[Name(EN)],Tab_Def_Flows[Process_ID_I],,0,)</f>
        <v>24__</v>
      </c>
      <c r="I431" s="49">
        <f>_xlfn.XLOOKUP(C431,Tab_Def_Flows[Name(EN)],Tab_Def_Flows[Value_Source],,0,)</f>
        <v>0</v>
      </c>
      <c r="J431" s="61" t="str">
        <f>_xlfn.XLOOKUP(C431,Tab_Def_Flows[Name(EN)],Tab_Def_Flows[WC?],,0,)</f>
        <v>Yes</v>
      </c>
      <c r="K431" s="61" t="str">
        <f>_xlfn.XLOOKUP(C431,Tab_Def_Flows[Name(EN)],Tab_Def_Flows[DM?],,0,)</f>
        <v>Yes</v>
      </c>
      <c r="L431" s="61" t="str">
        <f>_xlfn.XLOOKUP(C431,Tab_Def_Flows[Name(EN)],Tab_Def_Flows[CC?],,0,)</f>
        <v>Yes</v>
      </c>
      <c r="M431" s="51"/>
      <c r="N431" s="51"/>
      <c r="O431" s="119"/>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e">
        <f>IF(J431="Yes",AA431*Tab_Data_Flows[[#This Row],[WC_'[%']]],"N.A.")</f>
        <v>#N/A</v>
      </c>
      <c r="AE431" s="61">
        <f>Tab_Data_Flows[[#This Row],[UoM_Flow_Py]]</f>
        <v>0</v>
      </c>
      <c r="AF431" s="111" t="e">
        <f>INDEX(Tab_Def_Flows[[Flow_ID]:[CC_DM_source]],MATCH(Tab_Data_Flows[[#This Row],[Name(EN)]],Tab_Def_Flows[Name(EN)],0),18)</f>
        <v>#N/A</v>
      </c>
      <c r="AG431" s="112" t="e">
        <f>IF(K431="Yes",AF431*Tab_Data_Flows[[#This Row],[Flow_Py]],"N.A.")</f>
        <v>#N/A</v>
      </c>
      <c r="AH431" s="61">
        <f>Tab_Data_Flows[[#This Row],[UoM_Flow_Py]]</f>
        <v>0</v>
      </c>
      <c r="AI431" s="111" t="e">
        <f>INDEX(Tab_Def_Flows[[Flow_ID]:[CC_DM_source]],MATCH(Tab_Data_Flows[[#This Row],[Name(EN)]],Tab_Def_Flows[Name(EN)],0),20)</f>
        <v>#N/A</v>
      </c>
      <c r="AJ431" s="109" t="e">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F_24_24</v>
      </c>
      <c r="C432" s="51"/>
      <c r="D432" s="49">
        <f>_xlfn.XLOOKUP(C432,Tab_Def_Flows[Name(EN)],Tab_Def_Flows[Type_Biomass],,0,)</f>
        <v>0</v>
      </c>
      <c r="E432" s="49">
        <f>_xlfn.XLOOKUP(C432,Tab_Def_Flows[Name(EN)],Tab_Def_Flows[Output_Process],,0,)</f>
        <v>0</v>
      </c>
      <c r="F432" s="49" t="str">
        <f>_xlfn.XLOOKUP(C432,Tab_Def_Flows[Name(EN)],Tab_Def_Flows[Process_ID_O],,0,)</f>
        <v>24__</v>
      </c>
      <c r="G432" s="49">
        <f>_xlfn.XLOOKUP(C432,Tab_Def_Flows[Name(EN)],Tab_Def_Flows[Input_Process],,0,)</f>
        <v>0</v>
      </c>
      <c r="H432" s="61" t="str">
        <f>_xlfn.XLOOKUP(C432,Tab_Def_Flows[Name(EN)],Tab_Def_Flows[Process_ID_I],,0,)</f>
        <v>24__</v>
      </c>
      <c r="I432" s="49">
        <f>_xlfn.XLOOKUP(C432,Tab_Def_Flows[Name(EN)],Tab_Def_Flows[Value_Source],,0,)</f>
        <v>0</v>
      </c>
      <c r="J432" s="61" t="str">
        <f>_xlfn.XLOOKUP(C432,Tab_Def_Flows[Name(EN)],Tab_Def_Flows[WC?],,0,)</f>
        <v>Yes</v>
      </c>
      <c r="K432" s="61" t="str">
        <f>_xlfn.XLOOKUP(C432,Tab_Def_Flows[Name(EN)],Tab_Def_Flows[DM?],,0,)</f>
        <v>Yes</v>
      </c>
      <c r="L432" s="61" t="str">
        <f>_xlfn.XLOOKUP(C432,Tab_Def_Flows[Name(EN)],Tab_Def_Flows[CC?],,0,)</f>
        <v>Yes</v>
      </c>
      <c r="M432" s="51"/>
      <c r="N432" s="51"/>
      <c r="O432" s="119"/>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e">
        <f>IF(J432="Yes",AA432*Tab_Data_Flows[[#This Row],[WC_'[%']]],"N.A.")</f>
        <v>#N/A</v>
      </c>
      <c r="AE432" s="61">
        <f>Tab_Data_Flows[[#This Row],[UoM_Flow_Py]]</f>
        <v>0</v>
      </c>
      <c r="AF432" s="111" t="e">
        <f>INDEX(Tab_Def_Flows[[Flow_ID]:[CC_DM_source]],MATCH(Tab_Data_Flows[[#This Row],[Name(EN)]],Tab_Def_Flows[Name(EN)],0),18)</f>
        <v>#N/A</v>
      </c>
      <c r="AG432" s="112" t="e">
        <f>IF(K432="Yes",AF432*Tab_Data_Flows[[#This Row],[Flow_Py]],"N.A.")</f>
        <v>#N/A</v>
      </c>
      <c r="AH432" s="61">
        <f>Tab_Data_Flows[[#This Row],[UoM_Flow_Py]]</f>
        <v>0</v>
      </c>
      <c r="AI432" s="111" t="e">
        <f>INDEX(Tab_Def_Flows[[Flow_ID]:[CC_DM_source]],MATCH(Tab_Data_Flows[[#This Row],[Name(EN)]],Tab_Def_Flows[Name(EN)],0),20)</f>
        <v>#N/A</v>
      </c>
      <c r="AJ432" s="109" t="e">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F_24_24</v>
      </c>
      <c r="C433" s="51"/>
      <c r="D433" s="49">
        <f>_xlfn.XLOOKUP(C433,Tab_Def_Flows[Name(EN)],Tab_Def_Flows[Type_Biomass],,0,)</f>
        <v>0</v>
      </c>
      <c r="E433" s="49">
        <f>_xlfn.XLOOKUP(C433,Tab_Def_Flows[Name(EN)],Tab_Def_Flows[Output_Process],,0,)</f>
        <v>0</v>
      </c>
      <c r="F433" s="49" t="str">
        <f>_xlfn.XLOOKUP(C433,Tab_Def_Flows[Name(EN)],Tab_Def_Flows[Process_ID_O],,0,)</f>
        <v>24__</v>
      </c>
      <c r="G433" s="49">
        <f>_xlfn.XLOOKUP(C433,Tab_Def_Flows[Name(EN)],Tab_Def_Flows[Input_Process],,0,)</f>
        <v>0</v>
      </c>
      <c r="H433" s="61" t="str">
        <f>_xlfn.XLOOKUP(C433,Tab_Def_Flows[Name(EN)],Tab_Def_Flows[Process_ID_I],,0,)</f>
        <v>24__</v>
      </c>
      <c r="I433" s="49">
        <f>_xlfn.XLOOKUP(C433,Tab_Def_Flows[Name(EN)],Tab_Def_Flows[Value_Source],,0,)</f>
        <v>0</v>
      </c>
      <c r="J433" s="61" t="str">
        <f>_xlfn.XLOOKUP(C433,Tab_Def_Flows[Name(EN)],Tab_Def_Flows[WC?],,0,)</f>
        <v>Yes</v>
      </c>
      <c r="K433" s="61" t="str">
        <f>_xlfn.XLOOKUP(C433,Tab_Def_Flows[Name(EN)],Tab_Def_Flows[DM?],,0,)</f>
        <v>Yes</v>
      </c>
      <c r="L433" s="61" t="str">
        <f>_xlfn.XLOOKUP(C433,Tab_Def_Flows[Name(EN)],Tab_Def_Flows[CC?],,0,)</f>
        <v>Yes</v>
      </c>
      <c r="M433" s="51"/>
      <c r="N433" s="51"/>
      <c r="O433" s="119"/>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e">
        <f>IF(J433="Yes",AA433*Tab_Data_Flows[[#This Row],[WC_'[%']]],"N.A.")</f>
        <v>#N/A</v>
      </c>
      <c r="AE433" s="61">
        <f>Tab_Data_Flows[[#This Row],[UoM_Flow_Py]]</f>
        <v>0</v>
      </c>
      <c r="AF433" s="111" t="e">
        <f>INDEX(Tab_Def_Flows[[Flow_ID]:[CC_DM_source]],MATCH(Tab_Data_Flows[[#This Row],[Name(EN)]],Tab_Def_Flows[Name(EN)],0),18)</f>
        <v>#N/A</v>
      </c>
      <c r="AG433" s="112" t="e">
        <f>IF(K433="Yes",AF433*Tab_Data_Flows[[#This Row],[Flow_Py]],"N.A.")</f>
        <v>#N/A</v>
      </c>
      <c r="AH433" s="61">
        <f>Tab_Data_Flows[[#This Row],[UoM_Flow_Py]]</f>
        <v>0</v>
      </c>
      <c r="AI433" s="111" t="e">
        <f>INDEX(Tab_Def_Flows[[Flow_ID]:[CC_DM_source]],MATCH(Tab_Data_Flows[[#This Row],[Name(EN)]],Tab_Def_Flows[Name(EN)],0),20)</f>
        <v>#N/A</v>
      </c>
      <c r="AJ433" s="109" t="e">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F_24_24</v>
      </c>
      <c r="C434" s="51"/>
      <c r="D434" s="49">
        <f>_xlfn.XLOOKUP(C434,Tab_Def_Flows[Name(EN)],Tab_Def_Flows[Type_Biomass],,0,)</f>
        <v>0</v>
      </c>
      <c r="E434" s="49">
        <f>_xlfn.XLOOKUP(C434,Tab_Def_Flows[Name(EN)],Tab_Def_Flows[Output_Process],,0,)</f>
        <v>0</v>
      </c>
      <c r="F434" s="49" t="str">
        <f>_xlfn.XLOOKUP(C434,Tab_Def_Flows[Name(EN)],Tab_Def_Flows[Process_ID_O],,0,)</f>
        <v>24__</v>
      </c>
      <c r="G434" s="49">
        <f>_xlfn.XLOOKUP(C434,Tab_Def_Flows[Name(EN)],Tab_Def_Flows[Input_Process],,0,)</f>
        <v>0</v>
      </c>
      <c r="H434" s="61" t="str">
        <f>_xlfn.XLOOKUP(C434,Tab_Def_Flows[Name(EN)],Tab_Def_Flows[Process_ID_I],,0,)</f>
        <v>24__</v>
      </c>
      <c r="I434" s="49">
        <f>_xlfn.XLOOKUP(C434,Tab_Def_Flows[Name(EN)],Tab_Def_Flows[Value_Source],,0,)</f>
        <v>0</v>
      </c>
      <c r="J434" s="61" t="str">
        <f>_xlfn.XLOOKUP(C434,Tab_Def_Flows[Name(EN)],Tab_Def_Flows[WC?],,0,)</f>
        <v>Yes</v>
      </c>
      <c r="K434" s="61" t="str">
        <f>_xlfn.XLOOKUP(C434,Tab_Def_Flows[Name(EN)],Tab_Def_Flows[DM?],,0,)</f>
        <v>Yes</v>
      </c>
      <c r="L434" s="61" t="str">
        <f>_xlfn.XLOOKUP(C434,Tab_Def_Flows[Name(EN)],Tab_Def_Flows[CC?],,0,)</f>
        <v>Yes</v>
      </c>
      <c r="M434" s="51"/>
      <c r="N434" s="51"/>
      <c r="O434" s="119"/>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e">
        <f>IF(J434="Yes",AA434*Tab_Data_Flows[[#This Row],[WC_'[%']]],"N.A.")</f>
        <v>#N/A</v>
      </c>
      <c r="AE434" s="61">
        <f>Tab_Data_Flows[[#This Row],[UoM_Flow_Py]]</f>
        <v>0</v>
      </c>
      <c r="AF434" s="111" t="e">
        <f>INDEX(Tab_Def_Flows[[Flow_ID]:[CC_DM_source]],MATCH(Tab_Data_Flows[[#This Row],[Name(EN)]],Tab_Def_Flows[Name(EN)],0),18)</f>
        <v>#N/A</v>
      </c>
      <c r="AG434" s="112" t="e">
        <f>IF(K434="Yes",AF434*Tab_Data_Flows[[#This Row],[Flow_Py]],"N.A.")</f>
        <v>#N/A</v>
      </c>
      <c r="AH434" s="61">
        <f>Tab_Data_Flows[[#This Row],[UoM_Flow_Py]]</f>
        <v>0</v>
      </c>
      <c r="AI434" s="111" t="e">
        <f>INDEX(Tab_Def_Flows[[Flow_ID]:[CC_DM_source]],MATCH(Tab_Data_Flows[[#This Row],[Name(EN)]],Tab_Def_Flows[Name(EN)],0),20)</f>
        <v>#N/A</v>
      </c>
      <c r="AJ434" s="109" t="e">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F_24_24</v>
      </c>
      <c r="C435" s="51"/>
      <c r="D435" s="49">
        <f>_xlfn.XLOOKUP(C435,Tab_Def_Flows[Name(EN)],Tab_Def_Flows[Type_Biomass],,0,)</f>
        <v>0</v>
      </c>
      <c r="E435" s="49">
        <f>_xlfn.XLOOKUP(C435,Tab_Def_Flows[Name(EN)],Tab_Def_Flows[Output_Process],,0,)</f>
        <v>0</v>
      </c>
      <c r="F435" s="49" t="str">
        <f>_xlfn.XLOOKUP(C435,Tab_Def_Flows[Name(EN)],Tab_Def_Flows[Process_ID_O],,0,)</f>
        <v>24__</v>
      </c>
      <c r="G435" s="49">
        <f>_xlfn.XLOOKUP(C435,Tab_Def_Flows[Name(EN)],Tab_Def_Flows[Input_Process],,0,)</f>
        <v>0</v>
      </c>
      <c r="H435" s="61" t="str">
        <f>_xlfn.XLOOKUP(C435,Tab_Def_Flows[Name(EN)],Tab_Def_Flows[Process_ID_I],,0,)</f>
        <v>24__</v>
      </c>
      <c r="I435" s="49">
        <f>_xlfn.XLOOKUP(C435,Tab_Def_Flows[Name(EN)],Tab_Def_Flows[Value_Source],,0,)</f>
        <v>0</v>
      </c>
      <c r="J435" s="61" t="str">
        <f>_xlfn.XLOOKUP(C435,Tab_Def_Flows[Name(EN)],Tab_Def_Flows[WC?],,0,)</f>
        <v>Yes</v>
      </c>
      <c r="K435" s="61" t="str">
        <f>_xlfn.XLOOKUP(C435,Tab_Def_Flows[Name(EN)],Tab_Def_Flows[DM?],,0,)</f>
        <v>Yes</v>
      </c>
      <c r="L435" s="61" t="str">
        <f>_xlfn.XLOOKUP(C435,Tab_Def_Flows[Name(EN)],Tab_Def_Flows[CC?],,0,)</f>
        <v>Yes</v>
      </c>
      <c r="M435" s="51"/>
      <c r="N435" s="51"/>
      <c r="O435" s="119"/>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e">
        <f>IF(J435="Yes",AA435*Tab_Data_Flows[[#This Row],[WC_'[%']]],"N.A.")</f>
        <v>#N/A</v>
      </c>
      <c r="AE435" s="61">
        <f>Tab_Data_Flows[[#This Row],[UoM_Flow_Py]]</f>
        <v>0</v>
      </c>
      <c r="AF435" s="111" t="e">
        <f>INDEX(Tab_Def_Flows[[Flow_ID]:[CC_DM_source]],MATCH(Tab_Data_Flows[[#This Row],[Name(EN)]],Tab_Def_Flows[Name(EN)],0),18)</f>
        <v>#N/A</v>
      </c>
      <c r="AG435" s="112" t="e">
        <f>IF(K435="Yes",AF435*Tab_Data_Flows[[#This Row],[Flow_Py]],"N.A.")</f>
        <v>#N/A</v>
      </c>
      <c r="AH435" s="61">
        <f>Tab_Data_Flows[[#This Row],[UoM_Flow_Py]]</f>
        <v>0</v>
      </c>
      <c r="AI435" s="111" t="e">
        <f>INDEX(Tab_Def_Flows[[Flow_ID]:[CC_DM_source]],MATCH(Tab_Data_Flows[[#This Row],[Name(EN)]],Tab_Def_Flows[Name(EN)],0),20)</f>
        <v>#N/A</v>
      </c>
      <c r="AJ435" s="109" t="e">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F_24_24</v>
      </c>
      <c r="C436" s="51"/>
      <c r="D436" s="49">
        <f>_xlfn.XLOOKUP(C436,Tab_Def_Flows[Name(EN)],Tab_Def_Flows[Type_Biomass],,0,)</f>
        <v>0</v>
      </c>
      <c r="E436" s="49">
        <f>_xlfn.XLOOKUP(C436,Tab_Def_Flows[Name(EN)],Tab_Def_Flows[Output_Process],,0,)</f>
        <v>0</v>
      </c>
      <c r="F436" s="49" t="str">
        <f>_xlfn.XLOOKUP(C436,Tab_Def_Flows[Name(EN)],Tab_Def_Flows[Process_ID_O],,0,)</f>
        <v>24__</v>
      </c>
      <c r="G436" s="49">
        <f>_xlfn.XLOOKUP(C436,Tab_Def_Flows[Name(EN)],Tab_Def_Flows[Input_Process],,0,)</f>
        <v>0</v>
      </c>
      <c r="H436" s="61" t="str">
        <f>_xlfn.XLOOKUP(C436,Tab_Def_Flows[Name(EN)],Tab_Def_Flows[Process_ID_I],,0,)</f>
        <v>24__</v>
      </c>
      <c r="I436" s="49">
        <f>_xlfn.XLOOKUP(C436,Tab_Def_Flows[Name(EN)],Tab_Def_Flows[Value_Source],,0,)</f>
        <v>0</v>
      </c>
      <c r="J436" s="61" t="str">
        <f>_xlfn.XLOOKUP(C436,Tab_Def_Flows[Name(EN)],Tab_Def_Flows[WC?],,0,)</f>
        <v>Yes</v>
      </c>
      <c r="K436" s="61" t="str">
        <f>_xlfn.XLOOKUP(C436,Tab_Def_Flows[Name(EN)],Tab_Def_Flows[DM?],,0,)</f>
        <v>Yes</v>
      </c>
      <c r="L436" s="61" t="str">
        <f>_xlfn.XLOOKUP(C436,Tab_Def_Flows[Name(EN)],Tab_Def_Flows[CC?],,0,)</f>
        <v>Yes</v>
      </c>
      <c r="M436" s="51"/>
      <c r="N436" s="51"/>
      <c r="O436" s="119"/>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e">
        <f>IF(J436="Yes",AA436*Tab_Data_Flows[[#This Row],[WC_'[%']]],"N.A.")</f>
        <v>#N/A</v>
      </c>
      <c r="AE436" s="61">
        <f>Tab_Data_Flows[[#This Row],[UoM_Flow_Py]]</f>
        <v>0</v>
      </c>
      <c r="AF436" s="111" t="e">
        <f>INDEX(Tab_Def_Flows[[Flow_ID]:[CC_DM_source]],MATCH(Tab_Data_Flows[[#This Row],[Name(EN)]],Tab_Def_Flows[Name(EN)],0),18)</f>
        <v>#N/A</v>
      </c>
      <c r="AG436" s="112" t="e">
        <f>IF(K436="Yes",AF436*Tab_Data_Flows[[#This Row],[Flow_Py]],"N.A.")</f>
        <v>#N/A</v>
      </c>
      <c r="AH436" s="61">
        <f>Tab_Data_Flows[[#This Row],[UoM_Flow_Py]]</f>
        <v>0</v>
      </c>
      <c r="AI436" s="111" t="e">
        <f>INDEX(Tab_Def_Flows[[Flow_ID]:[CC_DM_source]],MATCH(Tab_Data_Flows[[#This Row],[Name(EN)]],Tab_Def_Flows[Name(EN)],0),20)</f>
        <v>#N/A</v>
      </c>
      <c r="AJ436" s="109" t="e">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F_24_24</v>
      </c>
      <c r="C437" s="51"/>
      <c r="D437" s="49">
        <f>_xlfn.XLOOKUP(C437,Tab_Def_Flows[Name(EN)],Tab_Def_Flows[Type_Biomass],,0,)</f>
        <v>0</v>
      </c>
      <c r="E437" s="49">
        <f>_xlfn.XLOOKUP(C437,Tab_Def_Flows[Name(EN)],Tab_Def_Flows[Output_Process],,0,)</f>
        <v>0</v>
      </c>
      <c r="F437" s="49" t="str">
        <f>_xlfn.XLOOKUP(C437,Tab_Def_Flows[Name(EN)],Tab_Def_Flows[Process_ID_O],,0,)</f>
        <v>24__</v>
      </c>
      <c r="G437" s="49">
        <f>_xlfn.XLOOKUP(C437,Tab_Def_Flows[Name(EN)],Tab_Def_Flows[Input_Process],,0,)</f>
        <v>0</v>
      </c>
      <c r="H437" s="61" t="str">
        <f>_xlfn.XLOOKUP(C437,Tab_Def_Flows[Name(EN)],Tab_Def_Flows[Process_ID_I],,0,)</f>
        <v>24__</v>
      </c>
      <c r="I437" s="49">
        <f>_xlfn.XLOOKUP(C437,Tab_Def_Flows[Name(EN)],Tab_Def_Flows[Value_Source],,0,)</f>
        <v>0</v>
      </c>
      <c r="J437" s="61" t="str">
        <f>_xlfn.XLOOKUP(C437,Tab_Def_Flows[Name(EN)],Tab_Def_Flows[WC?],,0,)</f>
        <v>Yes</v>
      </c>
      <c r="K437" s="61" t="str">
        <f>_xlfn.XLOOKUP(C437,Tab_Def_Flows[Name(EN)],Tab_Def_Flows[DM?],,0,)</f>
        <v>Yes</v>
      </c>
      <c r="L437" s="61" t="str">
        <f>_xlfn.XLOOKUP(C437,Tab_Def_Flows[Name(EN)],Tab_Def_Flows[CC?],,0,)</f>
        <v>Yes</v>
      </c>
      <c r="M437" s="51"/>
      <c r="N437" s="51"/>
      <c r="O437" s="119"/>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e">
        <f>IF(J437="Yes",AA437*Tab_Data_Flows[[#This Row],[WC_'[%']]],"N.A.")</f>
        <v>#N/A</v>
      </c>
      <c r="AE437" s="61">
        <f>Tab_Data_Flows[[#This Row],[UoM_Flow_Py]]</f>
        <v>0</v>
      </c>
      <c r="AF437" s="111" t="e">
        <f>INDEX(Tab_Def_Flows[[Flow_ID]:[CC_DM_source]],MATCH(Tab_Data_Flows[[#This Row],[Name(EN)]],Tab_Def_Flows[Name(EN)],0),18)</f>
        <v>#N/A</v>
      </c>
      <c r="AG437" s="112" t="e">
        <f>IF(K437="Yes",AF437*Tab_Data_Flows[[#This Row],[Flow_Py]],"N.A.")</f>
        <v>#N/A</v>
      </c>
      <c r="AH437" s="61">
        <f>Tab_Data_Flows[[#This Row],[UoM_Flow_Py]]</f>
        <v>0</v>
      </c>
      <c r="AI437" s="111" t="e">
        <f>INDEX(Tab_Def_Flows[[Flow_ID]:[CC_DM_source]],MATCH(Tab_Data_Flows[[#This Row],[Name(EN)]],Tab_Def_Flows[Name(EN)],0),20)</f>
        <v>#N/A</v>
      </c>
      <c r="AJ437" s="109" t="e">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F_24_24</v>
      </c>
      <c r="C438" s="51"/>
      <c r="D438" s="49">
        <f>_xlfn.XLOOKUP(C438,Tab_Def_Flows[Name(EN)],Tab_Def_Flows[Type_Biomass],,0,)</f>
        <v>0</v>
      </c>
      <c r="E438" s="49">
        <f>_xlfn.XLOOKUP(C438,Tab_Def_Flows[Name(EN)],Tab_Def_Flows[Output_Process],,0,)</f>
        <v>0</v>
      </c>
      <c r="F438" s="49" t="str">
        <f>_xlfn.XLOOKUP(C438,Tab_Def_Flows[Name(EN)],Tab_Def_Flows[Process_ID_O],,0,)</f>
        <v>24__</v>
      </c>
      <c r="G438" s="49">
        <f>_xlfn.XLOOKUP(C438,Tab_Def_Flows[Name(EN)],Tab_Def_Flows[Input_Process],,0,)</f>
        <v>0</v>
      </c>
      <c r="H438" s="61" t="str">
        <f>_xlfn.XLOOKUP(C438,Tab_Def_Flows[Name(EN)],Tab_Def_Flows[Process_ID_I],,0,)</f>
        <v>24__</v>
      </c>
      <c r="I438" s="49">
        <f>_xlfn.XLOOKUP(C438,Tab_Def_Flows[Name(EN)],Tab_Def_Flows[Value_Source],,0,)</f>
        <v>0</v>
      </c>
      <c r="J438" s="61" t="str">
        <f>_xlfn.XLOOKUP(C438,Tab_Def_Flows[Name(EN)],Tab_Def_Flows[WC?],,0,)</f>
        <v>Yes</v>
      </c>
      <c r="K438" s="61" t="str">
        <f>_xlfn.XLOOKUP(C438,Tab_Def_Flows[Name(EN)],Tab_Def_Flows[DM?],,0,)</f>
        <v>Yes</v>
      </c>
      <c r="L438" s="61" t="str">
        <f>_xlfn.XLOOKUP(C438,Tab_Def_Flows[Name(EN)],Tab_Def_Flows[CC?],,0,)</f>
        <v>Yes</v>
      </c>
      <c r="M438" s="51"/>
      <c r="N438" s="51"/>
      <c r="O438" s="119"/>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e">
        <f>IF(J438="Yes",AA438*Tab_Data_Flows[[#This Row],[WC_'[%']]],"N.A.")</f>
        <v>#N/A</v>
      </c>
      <c r="AE438" s="61">
        <f>Tab_Data_Flows[[#This Row],[UoM_Flow_Py]]</f>
        <v>0</v>
      </c>
      <c r="AF438" s="111" t="e">
        <f>INDEX(Tab_Def_Flows[[Flow_ID]:[CC_DM_source]],MATCH(Tab_Data_Flows[[#This Row],[Name(EN)]],Tab_Def_Flows[Name(EN)],0),18)</f>
        <v>#N/A</v>
      </c>
      <c r="AG438" s="112" t="e">
        <f>IF(K438="Yes",AF438*Tab_Data_Flows[[#This Row],[Flow_Py]],"N.A.")</f>
        <v>#N/A</v>
      </c>
      <c r="AH438" s="61">
        <f>Tab_Data_Flows[[#This Row],[UoM_Flow_Py]]</f>
        <v>0</v>
      </c>
      <c r="AI438" s="111" t="e">
        <f>INDEX(Tab_Def_Flows[[Flow_ID]:[CC_DM_source]],MATCH(Tab_Data_Flows[[#This Row],[Name(EN)]],Tab_Def_Flows[Name(EN)],0),20)</f>
        <v>#N/A</v>
      </c>
      <c r="AJ438" s="109" t="e">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F_24_24</v>
      </c>
      <c r="C439" s="51"/>
      <c r="D439" s="49">
        <f>_xlfn.XLOOKUP(C439,Tab_Def_Flows[Name(EN)],Tab_Def_Flows[Type_Biomass],,0,)</f>
        <v>0</v>
      </c>
      <c r="E439" s="49">
        <f>_xlfn.XLOOKUP(C439,Tab_Def_Flows[Name(EN)],Tab_Def_Flows[Output_Process],,0,)</f>
        <v>0</v>
      </c>
      <c r="F439" s="49" t="str">
        <f>_xlfn.XLOOKUP(C439,Tab_Def_Flows[Name(EN)],Tab_Def_Flows[Process_ID_O],,0,)</f>
        <v>24__</v>
      </c>
      <c r="G439" s="49">
        <f>_xlfn.XLOOKUP(C439,Tab_Def_Flows[Name(EN)],Tab_Def_Flows[Input_Process],,0,)</f>
        <v>0</v>
      </c>
      <c r="H439" s="61" t="str">
        <f>_xlfn.XLOOKUP(C439,Tab_Def_Flows[Name(EN)],Tab_Def_Flows[Process_ID_I],,0,)</f>
        <v>24__</v>
      </c>
      <c r="I439" s="49">
        <f>_xlfn.XLOOKUP(C439,Tab_Def_Flows[Name(EN)],Tab_Def_Flows[Value_Source],,0,)</f>
        <v>0</v>
      </c>
      <c r="J439" s="61" t="str">
        <f>_xlfn.XLOOKUP(C439,Tab_Def_Flows[Name(EN)],Tab_Def_Flows[WC?],,0,)</f>
        <v>Yes</v>
      </c>
      <c r="K439" s="61" t="str">
        <f>_xlfn.XLOOKUP(C439,Tab_Def_Flows[Name(EN)],Tab_Def_Flows[DM?],,0,)</f>
        <v>Yes</v>
      </c>
      <c r="L439" s="61" t="str">
        <f>_xlfn.XLOOKUP(C439,Tab_Def_Flows[Name(EN)],Tab_Def_Flows[CC?],,0,)</f>
        <v>Yes</v>
      </c>
      <c r="M439" s="51"/>
      <c r="N439" s="51"/>
      <c r="O439" s="119"/>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e">
        <f>IF(J439="Yes",AA439*Tab_Data_Flows[[#This Row],[WC_'[%']]],"N.A.")</f>
        <v>#N/A</v>
      </c>
      <c r="AE439" s="61">
        <f>Tab_Data_Flows[[#This Row],[UoM_Flow_Py]]</f>
        <v>0</v>
      </c>
      <c r="AF439" s="111" t="e">
        <f>INDEX(Tab_Def_Flows[[Flow_ID]:[CC_DM_source]],MATCH(Tab_Data_Flows[[#This Row],[Name(EN)]],Tab_Def_Flows[Name(EN)],0),18)</f>
        <v>#N/A</v>
      </c>
      <c r="AG439" s="112" t="e">
        <f>IF(K439="Yes",AF439*Tab_Data_Flows[[#This Row],[Flow_Py]],"N.A.")</f>
        <v>#N/A</v>
      </c>
      <c r="AH439" s="61">
        <f>Tab_Data_Flows[[#This Row],[UoM_Flow_Py]]</f>
        <v>0</v>
      </c>
      <c r="AI439" s="111" t="e">
        <f>INDEX(Tab_Def_Flows[[Flow_ID]:[CC_DM_source]],MATCH(Tab_Data_Flows[[#This Row],[Name(EN)]],Tab_Def_Flows[Name(EN)],0),20)</f>
        <v>#N/A</v>
      </c>
      <c r="AJ439" s="109" t="e">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F_24_24</v>
      </c>
      <c r="C440" s="51"/>
      <c r="D440" s="49">
        <f>_xlfn.XLOOKUP(C440,Tab_Def_Flows[Name(EN)],Tab_Def_Flows[Type_Biomass],,0,)</f>
        <v>0</v>
      </c>
      <c r="E440" s="49">
        <f>_xlfn.XLOOKUP(C440,Tab_Def_Flows[Name(EN)],Tab_Def_Flows[Output_Process],,0,)</f>
        <v>0</v>
      </c>
      <c r="F440" s="49" t="str">
        <f>_xlfn.XLOOKUP(C440,Tab_Def_Flows[Name(EN)],Tab_Def_Flows[Process_ID_O],,0,)</f>
        <v>24__</v>
      </c>
      <c r="G440" s="49">
        <f>_xlfn.XLOOKUP(C440,Tab_Def_Flows[Name(EN)],Tab_Def_Flows[Input_Process],,0,)</f>
        <v>0</v>
      </c>
      <c r="H440" s="61" t="str">
        <f>_xlfn.XLOOKUP(C440,Tab_Def_Flows[Name(EN)],Tab_Def_Flows[Process_ID_I],,0,)</f>
        <v>24__</v>
      </c>
      <c r="I440" s="49">
        <f>_xlfn.XLOOKUP(C440,Tab_Def_Flows[Name(EN)],Tab_Def_Flows[Value_Source],,0,)</f>
        <v>0</v>
      </c>
      <c r="J440" s="61" t="str">
        <f>_xlfn.XLOOKUP(C440,Tab_Def_Flows[Name(EN)],Tab_Def_Flows[WC?],,0,)</f>
        <v>Yes</v>
      </c>
      <c r="K440" s="61" t="str">
        <f>_xlfn.XLOOKUP(C440,Tab_Def_Flows[Name(EN)],Tab_Def_Flows[DM?],,0,)</f>
        <v>Yes</v>
      </c>
      <c r="L440" s="61" t="str">
        <f>_xlfn.XLOOKUP(C440,Tab_Def_Flows[Name(EN)],Tab_Def_Flows[CC?],,0,)</f>
        <v>Yes</v>
      </c>
      <c r="M440" s="51"/>
      <c r="N440" s="51"/>
      <c r="O440" s="119"/>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e">
        <f>IF(J440="Yes",AA440*Tab_Data_Flows[[#This Row],[WC_'[%']]],"N.A.")</f>
        <v>#N/A</v>
      </c>
      <c r="AE440" s="61">
        <f>Tab_Data_Flows[[#This Row],[UoM_Flow_Py]]</f>
        <v>0</v>
      </c>
      <c r="AF440" s="111" t="e">
        <f>INDEX(Tab_Def_Flows[[Flow_ID]:[CC_DM_source]],MATCH(Tab_Data_Flows[[#This Row],[Name(EN)]],Tab_Def_Flows[Name(EN)],0),18)</f>
        <v>#N/A</v>
      </c>
      <c r="AG440" s="112" t="e">
        <f>IF(K440="Yes",AF440*Tab_Data_Flows[[#This Row],[Flow_Py]],"N.A.")</f>
        <v>#N/A</v>
      </c>
      <c r="AH440" s="61">
        <f>Tab_Data_Flows[[#This Row],[UoM_Flow_Py]]</f>
        <v>0</v>
      </c>
      <c r="AI440" s="111" t="e">
        <f>INDEX(Tab_Def_Flows[[Flow_ID]:[CC_DM_source]],MATCH(Tab_Data_Flows[[#This Row],[Name(EN)]],Tab_Def_Flows[Name(EN)],0),20)</f>
        <v>#N/A</v>
      </c>
      <c r="AJ440" s="109" t="e">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F_24_24</v>
      </c>
      <c r="C441" s="51"/>
      <c r="D441" s="49">
        <f>_xlfn.XLOOKUP(C441,Tab_Def_Flows[Name(EN)],Tab_Def_Flows[Type_Biomass],,0,)</f>
        <v>0</v>
      </c>
      <c r="E441" s="49">
        <f>_xlfn.XLOOKUP(C441,Tab_Def_Flows[Name(EN)],Tab_Def_Flows[Output_Process],,0,)</f>
        <v>0</v>
      </c>
      <c r="F441" s="49" t="str">
        <f>_xlfn.XLOOKUP(C441,Tab_Def_Flows[Name(EN)],Tab_Def_Flows[Process_ID_O],,0,)</f>
        <v>24__</v>
      </c>
      <c r="G441" s="49">
        <f>_xlfn.XLOOKUP(C441,Tab_Def_Flows[Name(EN)],Tab_Def_Flows[Input_Process],,0,)</f>
        <v>0</v>
      </c>
      <c r="H441" s="61" t="str">
        <f>_xlfn.XLOOKUP(C441,Tab_Def_Flows[Name(EN)],Tab_Def_Flows[Process_ID_I],,0,)</f>
        <v>24__</v>
      </c>
      <c r="I441" s="49">
        <f>_xlfn.XLOOKUP(C441,Tab_Def_Flows[Name(EN)],Tab_Def_Flows[Value_Source],,0,)</f>
        <v>0</v>
      </c>
      <c r="J441" s="61" t="str">
        <f>_xlfn.XLOOKUP(C441,Tab_Def_Flows[Name(EN)],Tab_Def_Flows[WC?],,0,)</f>
        <v>Yes</v>
      </c>
      <c r="K441" s="61" t="str">
        <f>_xlfn.XLOOKUP(C441,Tab_Def_Flows[Name(EN)],Tab_Def_Flows[DM?],,0,)</f>
        <v>Yes</v>
      </c>
      <c r="L441" s="61" t="str">
        <f>_xlfn.XLOOKUP(C441,Tab_Def_Flows[Name(EN)],Tab_Def_Flows[CC?],,0,)</f>
        <v>Yes</v>
      </c>
      <c r="M441" s="51"/>
      <c r="N441" s="51"/>
      <c r="O441" s="119"/>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e">
        <f>IF(J441="Yes",AA441*Tab_Data_Flows[[#This Row],[WC_'[%']]],"N.A.")</f>
        <v>#N/A</v>
      </c>
      <c r="AE441" s="61">
        <f>Tab_Data_Flows[[#This Row],[UoM_Flow_Py]]</f>
        <v>0</v>
      </c>
      <c r="AF441" s="111" t="e">
        <f>INDEX(Tab_Def_Flows[[Flow_ID]:[CC_DM_source]],MATCH(Tab_Data_Flows[[#This Row],[Name(EN)]],Tab_Def_Flows[Name(EN)],0),18)</f>
        <v>#N/A</v>
      </c>
      <c r="AG441" s="112" t="e">
        <f>IF(K441="Yes",AF441*Tab_Data_Flows[[#This Row],[Flow_Py]],"N.A.")</f>
        <v>#N/A</v>
      </c>
      <c r="AH441" s="61">
        <f>Tab_Data_Flows[[#This Row],[UoM_Flow_Py]]</f>
        <v>0</v>
      </c>
      <c r="AI441" s="111" t="e">
        <f>INDEX(Tab_Def_Flows[[Flow_ID]:[CC_DM_source]],MATCH(Tab_Data_Flows[[#This Row],[Name(EN)]],Tab_Def_Flows[Name(EN)],0),20)</f>
        <v>#N/A</v>
      </c>
      <c r="AJ441" s="109" t="e">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F_24_24</v>
      </c>
      <c r="C442" s="51"/>
      <c r="D442" s="49">
        <f>_xlfn.XLOOKUP(C442,Tab_Def_Flows[Name(EN)],Tab_Def_Flows[Type_Biomass],,0,)</f>
        <v>0</v>
      </c>
      <c r="E442" s="49">
        <f>_xlfn.XLOOKUP(C442,Tab_Def_Flows[Name(EN)],Tab_Def_Flows[Output_Process],,0,)</f>
        <v>0</v>
      </c>
      <c r="F442" s="49" t="str">
        <f>_xlfn.XLOOKUP(C442,Tab_Def_Flows[Name(EN)],Tab_Def_Flows[Process_ID_O],,0,)</f>
        <v>24__</v>
      </c>
      <c r="G442" s="49">
        <f>_xlfn.XLOOKUP(C442,Tab_Def_Flows[Name(EN)],Tab_Def_Flows[Input_Process],,0,)</f>
        <v>0</v>
      </c>
      <c r="H442" s="61" t="str">
        <f>_xlfn.XLOOKUP(C442,Tab_Def_Flows[Name(EN)],Tab_Def_Flows[Process_ID_I],,0,)</f>
        <v>24__</v>
      </c>
      <c r="I442" s="49">
        <f>_xlfn.XLOOKUP(C442,Tab_Def_Flows[Name(EN)],Tab_Def_Flows[Value_Source],,0,)</f>
        <v>0</v>
      </c>
      <c r="J442" s="61" t="str">
        <f>_xlfn.XLOOKUP(C442,Tab_Def_Flows[Name(EN)],Tab_Def_Flows[WC?],,0,)</f>
        <v>Yes</v>
      </c>
      <c r="K442" s="61" t="str">
        <f>_xlfn.XLOOKUP(C442,Tab_Def_Flows[Name(EN)],Tab_Def_Flows[DM?],,0,)</f>
        <v>Yes</v>
      </c>
      <c r="L442" s="61" t="str">
        <f>_xlfn.XLOOKUP(C442,Tab_Def_Flows[Name(EN)],Tab_Def_Flows[CC?],,0,)</f>
        <v>Yes</v>
      </c>
      <c r="M442" s="51"/>
      <c r="N442" s="51"/>
      <c r="O442" s="119"/>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e">
        <f>IF(J442="Yes",AA442*Tab_Data_Flows[[#This Row],[WC_'[%']]],"N.A.")</f>
        <v>#N/A</v>
      </c>
      <c r="AE442" s="61">
        <f>Tab_Data_Flows[[#This Row],[UoM_Flow_Py]]</f>
        <v>0</v>
      </c>
      <c r="AF442" s="111" t="e">
        <f>INDEX(Tab_Def_Flows[[Flow_ID]:[CC_DM_source]],MATCH(Tab_Data_Flows[[#This Row],[Name(EN)]],Tab_Def_Flows[Name(EN)],0),18)</f>
        <v>#N/A</v>
      </c>
      <c r="AG442" s="112" t="e">
        <f>IF(K442="Yes",AF442*Tab_Data_Flows[[#This Row],[Flow_Py]],"N.A.")</f>
        <v>#N/A</v>
      </c>
      <c r="AH442" s="61">
        <f>Tab_Data_Flows[[#This Row],[UoM_Flow_Py]]</f>
        <v>0</v>
      </c>
      <c r="AI442" s="111" t="e">
        <f>INDEX(Tab_Def_Flows[[Flow_ID]:[CC_DM_source]],MATCH(Tab_Data_Flows[[#This Row],[Name(EN)]],Tab_Def_Flows[Name(EN)],0),20)</f>
        <v>#N/A</v>
      </c>
      <c r="AJ442" s="109" t="e">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F_24_24</v>
      </c>
      <c r="C443" s="51"/>
      <c r="D443" s="49">
        <f>_xlfn.XLOOKUP(C443,Tab_Def_Flows[Name(EN)],Tab_Def_Flows[Type_Biomass],,0,)</f>
        <v>0</v>
      </c>
      <c r="E443" s="49">
        <f>_xlfn.XLOOKUP(C443,Tab_Def_Flows[Name(EN)],Tab_Def_Flows[Output_Process],,0,)</f>
        <v>0</v>
      </c>
      <c r="F443" s="49" t="str">
        <f>_xlfn.XLOOKUP(C443,Tab_Def_Flows[Name(EN)],Tab_Def_Flows[Process_ID_O],,0,)</f>
        <v>24__</v>
      </c>
      <c r="G443" s="49">
        <f>_xlfn.XLOOKUP(C443,Tab_Def_Flows[Name(EN)],Tab_Def_Flows[Input_Process],,0,)</f>
        <v>0</v>
      </c>
      <c r="H443" s="61" t="str">
        <f>_xlfn.XLOOKUP(C443,Tab_Def_Flows[Name(EN)],Tab_Def_Flows[Process_ID_I],,0,)</f>
        <v>24__</v>
      </c>
      <c r="I443" s="49">
        <f>_xlfn.XLOOKUP(C443,Tab_Def_Flows[Name(EN)],Tab_Def_Flows[Value_Source],,0,)</f>
        <v>0</v>
      </c>
      <c r="J443" s="61" t="str">
        <f>_xlfn.XLOOKUP(C443,Tab_Def_Flows[Name(EN)],Tab_Def_Flows[WC?],,0,)</f>
        <v>Yes</v>
      </c>
      <c r="K443" s="61" t="str">
        <f>_xlfn.XLOOKUP(C443,Tab_Def_Flows[Name(EN)],Tab_Def_Flows[DM?],,0,)</f>
        <v>Yes</v>
      </c>
      <c r="L443" s="61" t="str">
        <f>_xlfn.XLOOKUP(C443,Tab_Def_Flows[Name(EN)],Tab_Def_Flows[CC?],,0,)</f>
        <v>Yes</v>
      </c>
      <c r="M443" s="51"/>
      <c r="N443" s="51"/>
      <c r="O443" s="119"/>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e">
        <f>IF(J443="Yes",AA443*Tab_Data_Flows[[#This Row],[WC_'[%']]],"N.A.")</f>
        <v>#N/A</v>
      </c>
      <c r="AE443" s="61">
        <f>Tab_Data_Flows[[#This Row],[UoM_Flow_Py]]</f>
        <v>0</v>
      </c>
      <c r="AF443" s="111" t="e">
        <f>INDEX(Tab_Def_Flows[[Flow_ID]:[CC_DM_source]],MATCH(Tab_Data_Flows[[#This Row],[Name(EN)]],Tab_Def_Flows[Name(EN)],0),18)</f>
        <v>#N/A</v>
      </c>
      <c r="AG443" s="112" t="e">
        <f>IF(K443="Yes",AF443*Tab_Data_Flows[[#This Row],[Flow_Py]],"N.A.")</f>
        <v>#N/A</v>
      </c>
      <c r="AH443" s="61">
        <f>Tab_Data_Flows[[#This Row],[UoM_Flow_Py]]</f>
        <v>0</v>
      </c>
      <c r="AI443" s="111" t="e">
        <f>INDEX(Tab_Def_Flows[[Flow_ID]:[CC_DM_source]],MATCH(Tab_Data_Flows[[#This Row],[Name(EN)]],Tab_Def_Flows[Name(EN)],0),20)</f>
        <v>#N/A</v>
      </c>
      <c r="AJ443" s="109" t="e">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F_24_24</v>
      </c>
      <c r="C444" s="51"/>
      <c r="D444" s="49">
        <f>_xlfn.XLOOKUP(C444,Tab_Def_Flows[Name(EN)],Tab_Def_Flows[Type_Biomass],,0,)</f>
        <v>0</v>
      </c>
      <c r="E444" s="49">
        <f>_xlfn.XLOOKUP(C444,Tab_Def_Flows[Name(EN)],Tab_Def_Flows[Output_Process],,0,)</f>
        <v>0</v>
      </c>
      <c r="F444" s="49" t="str">
        <f>_xlfn.XLOOKUP(C444,Tab_Def_Flows[Name(EN)],Tab_Def_Flows[Process_ID_O],,0,)</f>
        <v>24__</v>
      </c>
      <c r="G444" s="49">
        <f>_xlfn.XLOOKUP(C444,Tab_Def_Flows[Name(EN)],Tab_Def_Flows[Input_Process],,0,)</f>
        <v>0</v>
      </c>
      <c r="H444" s="61" t="str">
        <f>_xlfn.XLOOKUP(C444,Tab_Def_Flows[Name(EN)],Tab_Def_Flows[Process_ID_I],,0,)</f>
        <v>24__</v>
      </c>
      <c r="I444" s="49">
        <f>_xlfn.XLOOKUP(C444,Tab_Def_Flows[Name(EN)],Tab_Def_Flows[Value_Source],,0,)</f>
        <v>0</v>
      </c>
      <c r="J444" s="61" t="str">
        <f>_xlfn.XLOOKUP(C444,Tab_Def_Flows[Name(EN)],Tab_Def_Flows[WC?],,0,)</f>
        <v>Yes</v>
      </c>
      <c r="K444" s="61" t="str">
        <f>_xlfn.XLOOKUP(C444,Tab_Def_Flows[Name(EN)],Tab_Def_Flows[DM?],,0,)</f>
        <v>Yes</v>
      </c>
      <c r="L444" s="61" t="str">
        <f>_xlfn.XLOOKUP(C444,Tab_Def_Flows[Name(EN)],Tab_Def_Flows[CC?],,0,)</f>
        <v>Yes</v>
      </c>
      <c r="M444" s="51"/>
      <c r="N444" s="51"/>
      <c r="O444" s="119"/>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e">
        <f>IF(J444="Yes",AA444*Tab_Data_Flows[[#This Row],[WC_'[%']]],"N.A.")</f>
        <v>#N/A</v>
      </c>
      <c r="AE444" s="61">
        <f>Tab_Data_Flows[[#This Row],[UoM_Flow_Py]]</f>
        <v>0</v>
      </c>
      <c r="AF444" s="111" t="e">
        <f>INDEX(Tab_Def_Flows[[Flow_ID]:[CC_DM_source]],MATCH(Tab_Data_Flows[[#This Row],[Name(EN)]],Tab_Def_Flows[Name(EN)],0),18)</f>
        <v>#N/A</v>
      </c>
      <c r="AG444" s="112" t="e">
        <f>IF(K444="Yes",AF444*Tab_Data_Flows[[#This Row],[Flow_Py]],"N.A.")</f>
        <v>#N/A</v>
      </c>
      <c r="AH444" s="61">
        <f>Tab_Data_Flows[[#This Row],[UoM_Flow_Py]]</f>
        <v>0</v>
      </c>
      <c r="AI444" s="111" t="e">
        <f>INDEX(Tab_Def_Flows[[Flow_ID]:[CC_DM_source]],MATCH(Tab_Data_Flows[[#This Row],[Name(EN)]],Tab_Def_Flows[Name(EN)],0),20)</f>
        <v>#N/A</v>
      </c>
      <c r="AJ444" s="109" t="e">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F_24_24</v>
      </c>
      <c r="C445" s="51"/>
      <c r="D445" s="49">
        <f>_xlfn.XLOOKUP(C445,Tab_Def_Flows[Name(EN)],Tab_Def_Flows[Type_Biomass],,0,)</f>
        <v>0</v>
      </c>
      <c r="E445" s="49">
        <f>_xlfn.XLOOKUP(C445,Tab_Def_Flows[Name(EN)],Tab_Def_Flows[Output_Process],,0,)</f>
        <v>0</v>
      </c>
      <c r="F445" s="49" t="str">
        <f>_xlfn.XLOOKUP(C445,Tab_Def_Flows[Name(EN)],Tab_Def_Flows[Process_ID_O],,0,)</f>
        <v>24__</v>
      </c>
      <c r="G445" s="49">
        <f>_xlfn.XLOOKUP(C445,Tab_Def_Flows[Name(EN)],Tab_Def_Flows[Input_Process],,0,)</f>
        <v>0</v>
      </c>
      <c r="H445" s="61" t="str">
        <f>_xlfn.XLOOKUP(C445,Tab_Def_Flows[Name(EN)],Tab_Def_Flows[Process_ID_I],,0,)</f>
        <v>24__</v>
      </c>
      <c r="I445" s="49">
        <f>_xlfn.XLOOKUP(C445,Tab_Def_Flows[Name(EN)],Tab_Def_Flows[Value_Source],,0,)</f>
        <v>0</v>
      </c>
      <c r="J445" s="61" t="str">
        <f>_xlfn.XLOOKUP(C445,Tab_Def_Flows[Name(EN)],Tab_Def_Flows[WC?],,0,)</f>
        <v>Yes</v>
      </c>
      <c r="K445" s="61" t="str">
        <f>_xlfn.XLOOKUP(C445,Tab_Def_Flows[Name(EN)],Tab_Def_Flows[DM?],,0,)</f>
        <v>Yes</v>
      </c>
      <c r="L445" s="61" t="str">
        <f>_xlfn.XLOOKUP(C445,Tab_Def_Flows[Name(EN)],Tab_Def_Flows[CC?],,0,)</f>
        <v>Yes</v>
      </c>
      <c r="M445" s="51"/>
      <c r="N445" s="51"/>
      <c r="O445" s="119"/>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e">
        <f>IF(J445="Yes",AA445*Tab_Data_Flows[[#This Row],[WC_'[%']]],"N.A.")</f>
        <v>#N/A</v>
      </c>
      <c r="AE445" s="61">
        <f>Tab_Data_Flows[[#This Row],[UoM_Flow_Py]]</f>
        <v>0</v>
      </c>
      <c r="AF445" s="111" t="e">
        <f>INDEX(Tab_Def_Flows[[Flow_ID]:[CC_DM_source]],MATCH(Tab_Data_Flows[[#This Row],[Name(EN)]],Tab_Def_Flows[Name(EN)],0),18)</f>
        <v>#N/A</v>
      </c>
      <c r="AG445" s="112" t="e">
        <f>IF(K445="Yes",AF445*Tab_Data_Flows[[#This Row],[Flow_Py]],"N.A.")</f>
        <v>#N/A</v>
      </c>
      <c r="AH445" s="61">
        <f>Tab_Data_Flows[[#This Row],[UoM_Flow_Py]]</f>
        <v>0</v>
      </c>
      <c r="AI445" s="111" t="e">
        <f>INDEX(Tab_Def_Flows[[Flow_ID]:[CC_DM_source]],MATCH(Tab_Data_Flows[[#This Row],[Name(EN)]],Tab_Def_Flows[Name(EN)],0),20)</f>
        <v>#N/A</v>
      </c>
      <c r="AJ445" s="109" t="e">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F_24_24</v>
      </c>
      <c r="C446" s="51"/>
      <c r="D446" s="49">
        <f>_xlfn.XLOOKUP(C446,Tab_Def_Flows[Name(EN)],Tab_Def_Flows[Type_Biomass],,0,)</f>
        <v>0</v>
      </c>
      <c r="E446" s="49">
        <f>_xlfn.XLOOKUP(C446,Tab_Def_Flows[Name(EN)],Tab_Def_Flows[Output_Process],,0,)</f>
        <v>0</v>
      </c>
      <c r="F446" s="49" t="str">
        <f>_xlfn.XLOOKUP(C446,Tab_Def_Flows[Name(EN)],Tab_Def_Flows[Process_ID_O],,0,)</f>
        <v>24__</v>
      </c>
      <c r="G446" s="49">
        <f>_xlfn.XLOOKUP(C446,Tab_Def_Flows[Name(EN)],Tab_Def_Flows[Input_Process],,0,)</f>
        <v>0</v>
      </c>
      <c r="H446" s="61" t="str">
        <f>_xlfn.XLOOKUP(C446,Tab_Def_Flows[Name(EN)],Tab_Def_Flows[Process_ID_I],,0,)</f>
        <v>24__</v>
      </c>
      <c r="I446" s="49">
        <f>_xlfn.XLOOKUP(C446,Tab_Def_Flows[Name(EN)],Tab_Def_Flows[Value_Source],,0,)</f>
        <v>0</v>
      </c>
      <c r="J446" s="61" t="str">
        <f>_xlfn.XLOOKUP(C446,Tab_Def_Flows[Name(EN)],Tab_Def_Flows[WC?],,0,)</f>
        <v>Yes</v>
      </c>
      <c r="K446" s="61" t="str">
        <f>_xlfn.XLOOKUP(C446,Tab_Def_Flows[Name(EN)],Tab_Def_Flows[DM?],,0,)</f>
        <v>Yes</v>
      </c>
      <c r="L446" s="61" t="str">
        <f>_xlfn.XLOOKUP(C446,Tab_Def_Flows[Name(EN)],Tab_Def_Flows[CC?],,0,)</f>
        <v>Yes</v>
      </c>
      <c r="M446" s="51"/>
      <c r="N446" s="51"/>
      <c r="O446" s="119"/>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e">
        <f>IF(J446="Yes",AA446*Tab_Data_Flows[[#This Row],[WC_'[%']]],"N.A.")</f>
        <v>#N/A</v>
      </c>
      <c r="AE446" s="61">
        <f>Tab_Data_Flows[[#This Row],[UoM_Flow_Py]]</f>
        <v>0</v>
      </c>
      <c r="AF446" s="111" t="e">
        <f>INDEX(Tab_Def_Flows[[Flow_ID]:[CC_DM_source]],MATCH(Tab_Data_Flows[[#This Row],[Name(EN)]],Tab_Def_Flows[Name(EN)],0),18)</f>
        <v>#N/A</v>
      </c>
      <c r="AG446" s="112" t="e">
        <f>IF(K446="Yes",AF446*Tab_Data_Flows[[#This Row],[Flow_Py]],"N.A.")</f>
        <v>#N/A</v>
      </c>
      <c r="AH446" s="61">
        <f>Tab_Data_Flows[[#This Row],[UoM_Flow_Py]]</f>
        <v>0</v>
      </c>
      <c r="AI446" s="111" t="e">
        <f>INDEX(Tab_Def_Flows[[Flow_ID]:[CC_DM_source]],MATCH(Tab_Data_Flows[[#This Row],[Name(EN)]],Tab_Def_Flows[Name(EN)],0),20)</f>
        <v>#N/A</v>
      </c>
      <c r="AJ446" s="109" t="e">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F_24_24</v>
      </c>
      <c r="C447" s="51"/>
      <c r="D447" s="49">
        <f>_xlfn.XLOOKUP(C447,Tab_Def_Flows[Name(EN)],Tab_Def_Flows[Type_Biomass],,0,)</f>
        <v>0</v>
      </c>
      <c r="E447" s="49">
        <f>_xlfn.XLOOKUP(C447,Tab_Def_Flows[Name(EN)],Tab_Def_Flows[Output_Process],,0,)</f>
        <v>0</v>
      </c>
      <c r="F447" s="49" t="str">
        <f>_xlfn.XLOOKUP(C447,Tab_Def_Flows[Name(EN)],Tab_Def_Flows[Process_ID_O],,0,)</f>
        <v>24__</v>
      </c>
      <c r="G447" s="49">
        <f>_xlfn.XLOOKUP(C447,Tab_Def_Flows[Name(EN)],Tab_Def_Flows[Input_Process],,0,)</f>
        <v>0</v>
      </c>
      <c r="H447" s="61" t="str">
        <f>_xlfn.XLOOKUP(C447,Tab_Def_Flows[Name(EN)],Tab_Def_Flows[Process_ID_I],,0,)</f>
        <v>24__</v>
      </c>
      <c r="I447" s="49">
        <f>_xlfn.XLOOKUP(C447,Tab_Def_Flows[Name(EN)],Tab_Def_Flows[Value_Source],,0,)</f>
        <v>0</v>
      </c>
      <c r="J447" s="61" t="str">
        <f>_xlfn.XLOOKUP(C447,Tab_Def_Flows[Name(EN)],Tab_Def_Flows[WC?],,0,)</f>
        <v>Yes</v>
      </c>
      <c r="K447" s="61" t="str">
        <f>_xlfn.XLOOKUP(C447,Tab_Def_Flows[Name(EN)],Tab_Def_Flows[DM?],,0,)</f>
        <v>Yes</v>
      </c>
      <c r="L447" s="61" t="str">
        <f>_xlfn.XLOOKUP(C447,Tab_Def_Flows[Name(EN)],Tab_Def_Flows[CC?],,0,)</f>
        <v>Yes</v>
      </c>
      <c r="M447" s="51"/>
      <c r="N447" s="51"/>
      <c r="O447" s="119"/>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e">
        <f>IF(J447="Yes",AA447*Tab_Data_Flows[[#This Row],[WC_'[%']]],"N.A.")</f>
        <v>#N/A</v>
      </c>
      <c r="AE447" s="61">
        <f>Tab_Data_Flows[[#This Row],[UoM_Flow_Py]]</f>
        <v>0</v>
      </c>
      <c r="AF447" s="111" t="e">
        <f>INDEX(Tab_Def_Flows[[Flow_ID]:[CC_DM_source]],MATCH(Tab_Data_Flows[[#This Row],[Name(EN)]],Tab_Def_Flows[Name(EN)],0),18)</f>
        <v>#N/A</v>
      </c>
      <c r="AG447" s="112" t="e">
        <f>IF(K447="Yes",AF447*Tab_Data_Flows[[#This Row],[Flow_Py]],"N.A.")</f>
        <v>#N/A</v>
      </c>
      <c r="AH447" s="61">
        <f>Tab_Data_Flows[[#This Row],[UoM_Flow_Py]]</f>
        <v>0</v>
      </c>
      <c r="AI447" s="111" t="e">
        <f>INDEX(Tab_Def_Flows[[Flow_ID]:[CC_DM_source]],MATCH(Tab_Data_Flows[[#This Row],[Name(EN)]],Tab_Def_Flows[Name(EN)],0),20)</f>
        <v>#N/A</v>
      </c>
      <c r="AJ447" s="109" t="e">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F_24_24</v>
      </c>
      <c r="C448" s="51"/>
      <c r="D448" s="49">
        <f>_xlfn.XLOOKUP(C448,Tab_Def_Flows[Name(EN)],Tab_Def_Flows[Type_Biomass],,0,)</f>
        <v>0</v>
      </c>
      <c r="E448" s="49">
        <f>_xlfn.XLOOKUP(C448,Tab_Def_Flows[Name(EN)],Tab_Def_Flows[Output_Process],,0,)</f>
        <v>0</v>
      </c>
      <c r="F448" s="49" t="str">
        <f>_xlfn.XLOOKUP(C448,Tab_Def_Flows[Name(EN)],Tab_Def_Flows[Process_ID_O],,0,)</f>
        <v>24__</v>
      </c>
      <c r="G448" s="49">
        <f>_xlfn.XLOOKUP(C448,Tab_Def_Flows[Name(EN)],Tab_Def_Flows[Input_Process],,0,)</f>
        <v>0</v>
      </c>
      <c r="H448" s="61" t="str">
        <f>_xlfn.XLOOKUP(C448,Tab_Def_Flows[Name(EN)],Tab_Def_Flows[Process_ID_I],,0,)</f>
        <v>24__</v>
      </c>
      <c r="I448" s="49">
        <f>_xlfn.XLOOKUP(C448,Tab_Def_Flows[Name(EN)],Tab_Def_Flows[Value_Source],,0,)</f>
        <v>0</v>
      </c>
      <c r="J448" s="61" t="str">
        <f>_xlfn.XLOOKUP(C448,Tab_Def_Flows[Name(EN)],Tab_Def_Flows[WC?],,0,)</f>
        <v>Yes</v>
      </c>
      <c r="K448" s="61" t="str">
        <f>_xlfn.XLOOKUP(C448,Tab_Def_Flows[Name(EN)],Tab_Def_Flows[DM?],,0,)</f>
        <v>Yes</v>
      </c>
      <c r="L448" s="61" t="str">
        <f>_xlfn.XLOOKUP(C448,Tab_Def_Flows[Name(EN)],Tab_Def_Flows[CC?],,0,)</f>
        <v>Yes</v>
      </c>
      <c r="M448" s="51"/>
      <c r="N448" s="51"/>
      <c r="O448" s="119"/>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e">
        <f>IF(J448="Yes",AA448*Tab_Data_Flows[[#This Row],[WC_'[%']]],"N.A.")</f>
        <v>#N/A</v>
      </c>
      <c r="AE448" s="61">
        <f>Tab_Data_Flows[[#This Row],[UoM_Flow_Py]]</f>
        <v>0</v>
      </c>
      <c r="AF448" s="111" t="e">
        <f>INDEX(Tab_Def_Flows[[Flow_ID]:[CC_DM_source]],MATCH(Tab_Data_Flows[[#This Row],[Name(EN)]],Tab_Def_Flows[Name(EN)],0),18)</f>
        <v>#N/A</v>
      </c>
      <c r="AG448" s="112" t="e">
        <f>IF(K448="Yes",AF448*Tab_Data_Flows[[#This Row],[Flow_Py]],"N.A.")</f>
        <v>#N/A</v>
      </c>
      <c r="AH448" s="61">
        <f>Tab_Data_Flows[[#This Row],[UoM_Flow_Py]]</f>
        <v>0</v>
      </c>
      <c r="AI448" s="111" t="e">
        <f>INDEX(Tab_Def_Flows[[Flow_ID]:[CC_DM_source]],MATCH(Tab_Data_Flows[[#This Row],[Name(EN)]],Tab_Def_Flows[Name(EN)],0),20)</f>
        <v>#N/A</v>
      </c>
      <c r="AJ448" s="109" t="e">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F_24_24</v>
      </c>
      <c r="C449" s="51"/>
      <c r="D449" s="49">
        <f>_xlfn.XLOOKUP(C449,Tab_Def_Flows[Name(EN)],Tab_Def_Flows[Type_Biomass],,0,)</f>
        <v>0</v>
      </c>
      <c r="E449" s="49">
        <f>_xlfn.XLOOKUP(C449,Tab_Def_Flows[Name(EN)],Tab_Def_Flows[Output_Process],,0,)</f>
        <v>0</v>
      </c>
      <c r="F449" s="49" t="str">
        <f>_xlfn.XLOOKUP(C449,Tab_Def_Flows[Name(EN)],Tab_Def_Flows[Process_ID_O],,0,)</f>
        <v>24__</v>
      </c>
      <c r="G449" s="49">
        <f>_xlfn.XLOOKUP(C449,Tab_Def_Flows[Name(EN)],Tab_Def_Flows[Input_Process],,0,)</f>
        <v>0</v>
      </c>
      <c r="H449" s="61" t="str">
        <f>_xlfn.XLOOKUP(C449,Tab_Def_Flows[Name(EN)],Tab_Def_Flows[Process_ID_I],,0,)</f>
        <v>24__</v>
      </c>
      <c r="I449" s="49">
        <f>_xlfn.XLOOKUP(C449,Tab_Def_Flows[Name(EN)],Tab_Def_Flows[Value_Source],,0,)</f>
        <v>0</v>
      </c>
      <c r="J449" s="61" t="str">
        <f>_xlfn.XLOOKUP(C449,Tab_Def_Flows[Name(EN)],Tab_Def_Flows[WC?],,0,)</f>
        <v>Yes</v>
      </c>
      <c r="K449" s="61" t="str">
        <f>_xlfn.XLOOKUP(C449,Tab_Def_Flows[Name(EN)],Tab_Def_Flows[DM?],,0,)</f>
        <v>Yes</v>
      </c>
      <c r="L449" s="61" t="str">
        <f>_xlfn.XLOOKUP(C449,Tab_Def_Flows[Name(EN)],Tab_Def_Flows[CC?],,0,)</f>
        <v>Yes</v>
      </c>
      <c r="M449" s="51"/>
      <c r="N449" s="51"/>
      <c r="O449" s="119"/>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e">
        <f>IF(J449="Yes",AA449*Tab_Data_Flows[[#This Row],[WC_'[%']]],"N.A.")</f>
        <v>#N/A</v>
      </c>
      <c r="AE449" s="61">
        <f>Tab_Data_Flows[[#This Row],[UoM_Flow_Py]]</f>
        <v>0</v>
      </c>
      <c r="AF449" s="111" t="e">
        <f>INDEX(Tab_Def_Flows[[Flow_ID]:[CC_DM_source]],MATCH(Tab_Data_Flows[[#This Row],[Name(EN)]],Tab_Def_Flows[Name(EN)],0),18)</f>
        <v>#N/A</v>
      </c>
      <c r="AG449" s="112" t="e">
        <f>IF(K449="Yes",AF449*Tab_Data_Flows[[#This Row],[Flow_Py]],"N.A.")</f>
        <v>#N/A</v>
      </c>
      <c r="AH449" s="61">
        <f>Tab_Data_Flows[[#This Row],[UoM_Flow_Py]]</f>
        <v>0</v>
      </c>
      <c r="AI449" s="111" t="e">
        <f>INDEX(Tab_Def_Flows[[Flow_ID]:[CC_DM_source]],MATCH(Tab_Data_Flows[[#This Row],[Name(EN)]],Tab_Def_Flows[Name(EN)],0),20)</f>
        <v>#N/A</v>
      </c>
      <c r="AJ449" s="109" t="e">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F_24_24</v>
      </c>
      <c r="C450" s="51"/>
      <c r="D450" s="49">
        <f>_xlfn.XLOOKUP(C450,Tab_Def_Flows[Name(EN)],Tab_Def_Flows[Type_Biomass],,0,)</f>
        <v>0</v>
      </c>
      <c r="E450" s="49">
        <f>_xlfn.XLOOKUP(C450,Tab_Def_Flows[Name(EN)],Tab_Def_Flows[Output_Process],,0,)</f>
        <v>0</v>
      </c>
      <c r="F450" s="49" t="str">
        <f>_xlfn.XLOOKUP(C450,Tab_Def_Flows[Name(EN)],Tab_Def_Flows[Process_ID_O],,0,)</f>
        <v>24__</v>
      </c>
      <c r="G450" s="49">
        <f>_xlfn.XLOOKUP(C450,Tab_Def_Flows[Name(EN)],Tab_Def_Flows[Input_Process],,0,)</f>
        <v>0</v>
      </c>
      <c r="H450" s="61" t="str">
        <f>_xlfn.XLOOKUP(C450,Tab_Def_Flows[Name(EN)],Tab_Def_Flows[Process_ID_I],,0,)</f>
        <v>24__</v>
      </c>
      <c r="I450" s="49">
        <f>_xlfn.XLOOKUP(C450,Tab_Def_Flows[Name(EN)],Tab_Def_Flows[Value_Source],,0,)</f>
        <v>0</v>
      </c>
      <c r="J450" s="61" t="str">
        <f>_xlfn.XLOOKUP(C450,Tab_Def_Flows[Name(EN)],Tab_Def_Flows[WC?],,0,)</f>
        <v>Yes</v>
      </c>
      <c r="K450" s="61" t="str">
        <f>_xlfn.XLOOKUP(C450,Tab_Def_Flows[Name(EN)],Tab_Def_Flows[DM?],,0,)</f>
        <v>Yes</v>
      </c>
      <c r="L450" s="61" t="str">
        <f>_xlfn.XLOOKUP(C450,Tab_Def_Flows[Name(EN)],Tab_Def_Flows[CC?],,0,)</f>
        <v>Yes</v>
      </c>
      <c r="M450" s="51"/>
      <c r="N450" s="51"/>
      <c r="O450" s="119"/>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e">
        <f>IF(J450="Yes",AA450*Tab_Data_Flows[[#This Row],[WC_'[%']]],"N.A.")</f>
        <v>#N/A</v>
      </c>
      <c r="AE450" s="61">
        <f>Tab_Data_Flows[[#This Row],[UoM_Flow_Py]]</f>
        <v>0</v>
      </c>
      <c r="AF450" s="111" t="e">
        <f>INDEX(Tab_Def_Flows[[Flow_ID]:[CC_DM_source]],MATCH(Tab_Data_Flows[[#This Row],[Name(EN)]],Tab_Def_Flows[Name(EN)],0),18)</f>
        <v>#N/A</v>
      </c>
      <c r="AG450" s="112" t="e">
        <f>IF(K450="Yes",AF450*Tab_Data_Flows[[#This Row],[Flow_Py]],"N.A.")</f>
        <v>#N/A</v>
      </c>
      <c r="AH450" s="61">
        <f>Tab_Data_Flows[[#This Row],[UoM_Flow_Py]]</f>
        <v>0</v>
      </c>
      <c r="AI450" s="111" t="e">
        <f>INDEX(Tab_Def_Flows[[Flow_ID]:[CC_DM_source]],MATCH(Tab_Data_Flows[[#This Row],[Name(EN)]],Tab_Def_Flows[Name(EN)],0),20)</f>
        <v>#N/A</v>
      </c>
      <c r="AJ450" s="109" t="e">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F_24_24</v>
      </c>
      <c r="C451" s="51"/>
      <c r="D451" s="49">
        <f>_xlfn.XLOOKUP(C451,Tab_Def_Flows[Name(EN)],Tab_Def_Flows[Type_Biomass],,0,)</f>
        <v>0</v>
      </c>
      <c r="E451" s="49">
        <f>_xlfn.XLOOKUP(C451,Tab_Def_Flows[Name(EN)],Tab_Def_Flows[Output_Process],,0,)</f>
        <v>0</v>
      </c>
      <c r="F451" s="49" t="str">
        <f>_xlfn.XLOOKUP(C451,Tab_Def_Flows[Name(EN)],Tab_Def_Flows[Process_ID_O],,0,)</f>
        <v>24__</v>
      </c>
      <c r="G451" s="49">
        <f>_xlfn.XLOOKUP(C451,Tab_Def_Flows[Name(EN)],Tab_Def_Flows[Input_Process],,0,)</f>
        <v>0</v>
      </c>
      <c r="H451" s="61" t="str">
        <f>_xlfn.XLOOKUP(C451,Tab_Def_Flows[Name(EN)],Tab_Def_Flows[Process_ID_I],,0,)</f>
        <v>24__</v>
      </c>
      <c r="I451" s="49">
        <f>_xlfn.XLOOKUP(C451,Tab_Def_Flows[Name(EN)],Tab_Def_Flows[Value_Source],,0,)</f>
        <v>0</v>
      </c>
      <c r="J451" s="61" t="str">
        <f>_xlfn.XLOOKUP(C451,Tab_Def_Flows[Name(EN)],Tab_Def_Flows[WC?],,0,)</f>
        <v>Yes</v>
      </c>
      <c r="K451" s="61" t="str">
        <f>_xlfn.XLOOKUP(C451,Tab_Def_Flows[Name(EN)],Tab_Def_Flows[DM?],,0,)</f>
        <v>Yes</v>
      </c>
      <c r="L451" s="61" t="str">
        <f>_xlfn.XLOOKUP(C451,Tab_Def_Flows[Name(EN)],Tab_Def_Flows[CC?],,0,)</f>
        <v>Yes</v>
      </c>
      <c r="M451" s="51"/>
      <c r="N451" s="51"/>
      <c r="O451" s="119"/>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e">
        <f>IF(J451="Yes",AA451*Tab_Data_Flows[[#This Row],[WC_'[%']]],"N.A.")</f>
        <v>#N/A</v>
      </c>
      <c r="AE451" s="61">
        <f>Tab_Data_Flows[[#This Row],[UoM_Flow_Py]]</f>
        <v>0</v>
      </c>
      <c r="AF451" s="111" t="e">
        <f>INDEX(Tab_Def_Flows[[Flow_ID]:[CC_DM_source]],MATCH(Tab_Data_Flows[[#This Row],[Name(EN)]],Tab_Def_Flows[Name(EN)],0),18)</f>
        <v>#N/A</v>
      </c>
      <c r="AG451" s="112" t="e">
        <f>IF(K451="Yes",AF451*Tab_Data_Flows[[#This Row],[Flow_Py]],"N.A.")</f>
        <v>#N/A</v>
      </c>
      <c r="AH451" s="61">
        <f>Tab_Data_Flows[[#This Row],[UoM_Flow_Py]]</f>
        <v>0</v>
      </c>
      <c r="AI451" s="111" t="e">
        <f>INDEX(Tab_Def_Flows[[Flow_ID]:[CC_DM_source]],MATCH(Tab_Data_Flows[[#This Row],[Name(EN)]],Tab_Def_Flows[Name(EN)],0),20)</f>
        <v>#N/A</v>
      </c>
      <c r="AJ451" s="109" t="e">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F_24_24</v>
      </c>
      <c r="C452" s="51"/>
      <c r="D452" s="49">
        <f>_xlfn.XLOOKUP(C452,Tab_Def_Flows[Name(EN)],Tab_Def_Flows[Type_Biomass],,0,)</f>
        <v>0</v>
      </c>
      <c r="E452" s="49">
        <f>_xlfn.XLOOKUP(C452,Tab_Def_Flows[Name(EN)],Tab_Def_Flows[Output_Process],,0,)</f>
        <v>0</v>
      </c>
      <c r="F452" s="49" t="str">
        <f>_xlfn.XLOOKUP(C452,Tab_Def_Flows[Name(EN)],Tab_Def_Flows[Process_ID_O],,0,)</f>
        <v>24__</v>
      </c>
      <c r="G452" s="49">
        <f>_xlfn.XLOOKUP(C452,Tab_Def_Flows[Name(EN)],Tab_Def_Flows[Input_Process],,0,)</f>
        <v>0</v>
      </c>
      <c r="H452" s="61" t="str">
        <f>_xlfn.XLOOKUP(C452,Tab_Def_Flows[Name(EN)],Tab_Def_Flows[Process_ID_I],,0,)</f>
        <v>24__</v>
      </c>
      <c r="I452" s="49">
        <f>_xlfn.XLOOKUP(C452,Tab_Def_Flows[Name(EN)],Tab_Def_Flows[Value_Source],,0,)</f>
        <v>0</v>
      </c>
      <c r="J452" s="61" t="str">
        <f>_xlfn.XLOOKUP(C452,Tab_Def_Flows[Name(EN)],Tab_Def_Flows[WC?],,0,)</f>
        <v>Yes</v>
      </c>
      <c r="K452" s="61" t="str">
        <f>_xlfn.XLOOKUP(C452,Tab_Def_Flows[Name(EN)],Tab_Def_Flows[DM?],,0,)</f>
        <v>Yes</v>
      </c>
      <c r="L452" s="61" t="str">
        <f>_xlfn.XLOOKUP(C452,Tab_Def_Flows[Name(EN)],Tab_Def_Flows[CC?],,0,)</f>
        <v>Yes</v>
      </c>
      <c r="M452" s="51"/>
      <c r="N452" s="51"/>
      <c r="O452" s="119"/>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e">
        <f>IF(J452="Yes",AA452*Tab_Data_Flows[[#This Row],[WC_'[%']]],"N.A.")</f>
        <v>#N/A</v>
      </c>
      <c r="AE452" s="61">
        <f>Tab_Data_Flows[[#This Row],[UoM_Flow_Py]]</f>
        <v>0</v>
      </c>
      <c r="AF452" s="111" t="e">
        <f>INDEX(Tab_Def_Flows[[Flow_ID]:[CC_DM_source]],MATCH(Tab_Data_Flows[[#This Row],[Name(EN)]],Tab_Def_Flows[Name(EN)],0),18)</f>
        <v>#N/A</v>
      </c>
      <c r="AG452" s="112" t="e">
        <f>IF(K452="Yes",AF452*Tab_Data_Flows[[#This Row],[Flow_Py]],"N.A.")</f>
        <v>#N/A</v>
      </c>
      <c r="AH452" s="61">
        <f>Tab_Data_Flows[[#This Row],[UoM_Flow_Py]]</f>
        <v>0</v>
      </c>
      <c r="AI452" s="111" t="e">
        <f>INDEX(Tab_Def_Flows[[Flow_ID]:[CC_DM_source]],MATCH(Tab_Data_Flows[[#This Row],[Name(EN)]],Tab_Def_Flows[Name(EN)],0),20)</f>
        <v>#N/A</v>
      </c>
      <c r="AJ452" s="109" t="e">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F_24_24</v>
      </c>
      <c r="C453" s="51"/>
      <c r="D453" s="49">
        <f>_xlfn.XLOOKUP(C453,Tab_Def_Flows[Name(EN)],Tab_Def_Flows[Type_Biomass],,0,)</f>
        <v>0</v>
      </c>
      <c r="E453" s="49">
        <f>_xlfn.XLOOKUP(C453,Tab_Def_Flows[Name(EN)],Tab_Def_Flows[Output_Process],,0,)</f>
        <v>0</v>
      </c>
      <c r="F453" s="49" t="str">
        <f>_xlfn.XLOOKUP(C453,Tab_Def_Flows[Name(EN)],Tab_Def_Flows[Process_ID_O],,0,)</f>
        <v>24__</v>
      </c>
      <c r="G453" s="49">
        <f>_xlfn.XLOOKUP(C453,Tab_Def_Flows[Name(EN)],Tab_Def_Flows[Input_Process],,0,)</f>
        <v>0</v>
      </c>
      <c r="H453" s="61" t="str">
        <f>_xlfn.XLOOKUP(C453,Tab_Def_Flows[Name(EN)],Tab_Def_Flows[Process_ID_I],,0,)</f>
        <v>24__</v>
      </c>
      <c r="I453" s="49">
        <f>_xlfn.XLOOKUP(C453,Tab_Def_Flows[Name(EN)],Tab_Def_Flows[Value_Source],,0,)</f>
        <v>0</v>
      </c>
      <c r="J453" s="61" t="str">
        <f>_xlfn.XLOOKUP(C453,Tab_Def_Flows[Name(EN)],Tab_Def_Flows[WC?],,0,)</f>
        <v>Yes</v>
      </c>
      <c r="K453" s="61" t="str">
        <f>_xlfn.XLOOKUP(C453,Tab_Def_Flows[Name(EN)],Tab_Def_Flows[DM?],,0,)</f>
        <v>Yes</v>
      </c>
      <c r="L453" s="61" t="str">
        <f>_xlfn.XLOOKUP(C453,Tab_Def_Flows[Name(EN)],Tab_Def_Flows[CC?],,0,)</f>
        <v>Yes</v>
      </c>
      <c r="M453" s="51"/>
      <c r="N453" s="51"/>
      <c r="O453" s="119"/>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e">
        <f>IF(J453="Yes",AA453*Tab_Data_Flows[[#This Row],[WC_'[%']]],"N.A.")</f>
        <v>#N/A</v>
      </c>
      <c r="AE453" s="61">
        <f>Tab_Data_Flows[[#This Row],[UoM_Flow_Py]]</f>
        <v>0</v>
      </c>
      <c r="AF453" s="111" t="e">
        <f>INDEX(Tab_Def_Flows[[Flow_ID]:[CC_DM_source]],MATCH(Tab_Data_Flows[[#This Row],[Name(EN)]],Tab_Def_Flows[Name(EN)],0),18)</f>
        <v>#N/A</v>
      </c>
      <c r="AG453" s="112" t="e">
        <f>IF(K453="Yes",AF453*Tab_Data_Flows[[#This Row],[Flow_Py]],"N.A.")</f>
        <v>#N/A</v>
      </c>
      <c r="AH453" s="61">
        <f>Tab_Data_Flows[[#This Row],[UoM_Flow_Py]]</f>
        <v>0</v>
      </c>
      <c r="AI453" s="111" t="e">
        <f>INDEX(Tab_Def_Flows[[Flow_ID]:[CC_DM_source]],MATCH(Tab_Data_Flows[[#This Row],[Name(EN)]],Tab_Def_Flows[Name(EN)],0),20)</f>
        <v>#N/A</v>
      </c>
      <c r="AJ453" s="109" t="e">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F_24_24</v>
      </c>
      <c r="C454" s="51"/>
      <c r="D454" s="49">
        <f>_xlfn.XLOOKUP(C454,Tab_Def_Flows[Name(EN)],Tab_Def_Flows[Type_Biomass],,0,)</f>
        <v>0</v>
      </c>
      <c r="E454" s="49">
        <f>_xlfn.XLOOKUP(C454,Tab_Def_Flows[Name(EN)],Tab_Def_Flows[Output_Process],,0,)</f>
        <v>0</v>
      </c>
      <c r="F454" s="49" t="str">
        <f>_xlfn.XLOOKUP(C454,Tab_Def_Flows[Name(EN)],Tab_Def_Flows[Process_ID_O],,0,)</f>
        <v>24__</v>
      </c>
      <c r="G454" s="49">
        <f>_xlfn.XLOOKUP(C454,Tab_Def_Flows[Name(EN)],Tab_Def_Flows[Input_Process],,0,)</f>
        <v>0</v>
      </c>
      <c r="H454" s="61" t="str">
        <f>_xlfn.XLOOKUP(C454,Tab_Def_Flows[Name(EN)],Tab_Def_Flows[Process_ID_I],,0,)</f>
        <v>24__</v>
      </c>
      <c r="I454" s="49">
        <f>_xlfn.XLOOKUP(C454,Tab_Def_Flows[Name(EN)],Tab_Def_Flows[Value_Source],,0,)</f>
        <v>0</v>
      </c>
      <c r="J454" s="61" t="str">
        <f>_xlfn.XLOOKUP(C454,Tab_Def_Flows[Name(EN)],Tab_Def_Flows[WC?],,0,)</f>
        <v>Yes</v>
      </c>
      <c r="K454" s="61" t="str">
        <f>_xlfn.XLOOKUP(C454,Tab_Def_Flows[Name(EN)],Tab_Def_Flows[DM?],,0,)</f>
        <v>Yes</v>
      </c>
      <c r="L454" s="61" t="str">
        <f>_xlfn.XLOOKUP(C454,Tab_Def_Flows[Name(EN)],Tab_Def_Flows[CC?],,0,)</f>
        <v>Yes</v>
      </c>
      <c r="M454" s="51"/>
      <c r="N454" s="51"/>
      <c r="O454" s="119"/>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e">
        <f>IF(J454="Yes",AA454*Tab_Data_Flows[[#This Row],[WC_'[%']]],"N.A.")</f>
        <v>#N/A</v>
      </c>
      <c r="AE454" s="61">
        <f>Tab_Data_Flows[[#This Row],[UoM_Flow_Py]]</f>
        <v>0</v>
      </c>
      <c r="AF454" s="111" t="e">
        <f>INDEX(Tab_Def_Flows[[Flow_ID]:[CC_DM_source]],MATCH(Tab_Data_Flows[[#This Row],[Name(EN)]],Tab_Def_Flows[Name(EN)],0),18)</f>
        <v>#N/A</v>
      </c>
      <c r="AG454" s="112" t="e">
        <f>IF(K454="Yes",AF454*Tab_Data_Flows[[#This Row],[Flow_Py]],"N.A.")</f>
        <v>#N/A</v>
      </c>
      <c r="AH454" s="61">
        <f>Tab_Data_Flows[[#This Row],[UoM_Flow_Py]]</f>
        <v>0</v>
      </c>
      <c r="AI454" s="111" t="e">
        <f>INDEX(Tab_Def_Flows[[Flow_ID]:[CC_DM_source]],MATCH(Tab_Data_Flows[[#This Row],[Name(EN)]],Tab_Def_Flows[Name(EN)],0),20)</f>
        <v>#N/A</v>
      </c>
      <c r="AJ454" s="109" t="e">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F_24_24</v>
      </c>
      <c r="C455" s="51"/>
      <c r="D455" s="49">
        <f>_xlfn.XLOOKUP(C455,Tab_Def_Flows[Name(EN)],Tab_Def_Flows[Type_Biomass],,0,)</f>
        <v>0</v>
      </c>
      <c r="E455" s="49">
        <f>_xlfn.XLOOKUP(C455,Tab_Def_Flows[Name(EN)],Tab_Def_Flows[Output_Process],,0,)</f>
        <v>0</v>
      </c>
      <c r="F455" s="49" t="str">
        <f>_xlfn.XLOOKUP(C455,Tab_Def_Flows[Name(EN)],Tab_Def_Flows[Process_ID_O],,0,)</f>
        <v>24__</v>
      </c>
      <c r="G455" s="49">
        <f>_xlfn.XLOOKUP(C455,Tab_Def_Flows[Name(EN)],Tab_Def_Flows[Input_Process],,0,)</f>
        <v>0</v>
      </c>
      <c r="H455" s="61" t="str">
        <f>_xlfn.XLOOKUP(C455,Tab_Def_Flows[Name(EN)],Tab_Def_Flows[Process_ID_I],,0,)</f>
        <v>24__</v>
      </c>
      <c r="I455" s="49">
        <f>_xlfn.XLOOKUP(C455,Tab_Def_Flows[Name(EN)],Tab_Def_Flows[Value_Source],,0,)</f>
        <v>0</v>
      </c>
      <c r="J455" s="61" t="str">
        <f>_xlfn.XLOOKUP(C455,Tab_Def_Flows[Name(EN)],Tab_Def_Flows[WC?],,0,)</f>
        <v>Yes</v>
      </c>
      <c r="K455" s="61" t="str">
        <f>_xlfn.XLOOKUP(C455,Tab_Def_Flows[Name(EN)],Tab_Def_Flows[DM?],,0,)</f>
        <v>Yes</v>
      </c>
      <c r="L455" s="61" t="str">
        <f>_xlfn.XLOOKUP(C455,Tab_Def_Flows[Name(EN)],Tab_Def_Flows[CC?],,0,)</f>
        <v>Yes</v>
      </c>
      <c r="M455" s="51"/>
      <c r="N455" s="51"/>
      <c r="O455" s="119"/>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e">
        <f>IF(J455="Yes",AA455*Tab_Data_Flows[[#This Row],[WC_'[%']]],"N.A.")</f>
        <v>#N/A</v>
      </c>
      <c r="AE455" s="61">
        <f>Tab_Data_Flows[[#This Row],[UoM_Flow_Py]]</f>
        <v>0</v>
      </c>
      <c r="AF455" s="111" t="e">
        <f>INDEX(Tab_Def_Flows[[Flow_ID]:[CC_DM_source]],MATCH(Tab_Data_Flows[[#This Row],[Name(EN)]],Tab_Def_Flows[Name(EN)],0),18)</f>
        <v>#N/A</v>
      </c>
      <c r="AG455" s="112" t="e">
        <f>IF(K455="Yes",AF455*Tab_Data_Flows[[#This Row],[Flow_Py]],"N.A.")</f>
        <v>#N/A</v>
      </c>
      <c r="AH455" s="61">
        <f>Tab_Data_Flows[[#This Row],[UoM_Flow_Py]]</f>
        <v>0</v>
      </c>
      <c r="AI455" s="111" t="e">
        <f>INDEX(Tab_Def_Flows[[Flow_ID]:[CC_DM_source]],MATCH(Tab_Data_Flows[[#This Row],[Name(EN)]],Tab_Def_Flows[Name(EN)],0),20)</f>
        <v>#N/A</v>
      </c>
      <c r="AJ455" s="109" t="e">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F_24_24</v>
      </c>
      <c r="C456" s="51"/>
      <c r="D456" s="49">
        <f>_xlfn.XLOOKUP(C456,Tab_Def_Flows[Name(EN)],Tab_Def_Flows[Type_Biomass],,0,)</f>
        <v>0</v>
      </c>
      <c r="E456" s="49">
        <f>_xlfn.XLOOKUP(C456,Tab_Def_Flows[Name(EN)],Tab_Def_Flows[Output_Process],,0,)</f>
        <v>0</v>
      </c>
      <c r="F456" s="49" t="str">
        <f>_xlfn.XLOOKUP(C456,Tab_Def_Flows[Name(EN)],Tab_Def_Flows[Process_ID_O],,0,)</f>
        <v>24__</v>
      </c>
      <c r="G456" s="49">
        <f>_xlfn.XLOOKUP(C456,Tab_Def_Flows[Name(EN)],Tab_Def_Flows[Input_Process],,0,)</f>
        <v>0</v>
      </c>
      <c r="H456" s="61" t="str">
        <f>_xlfn.XLOOKUP(C456,Tab_Def_Flows[Name(EN)],Tab_Def_Flows[Process_ID_I],,0,)</f>
        <v>24__</v>
      </c>
      <c r="I456" s="49">
        <f>_xlfn.XLOOKUP(C456,Tab_Def_Flows[Name(EN)],Tab_Def_Flows[Value_Source],,0,)</f>
        <v>0</v>
      </c>
      <c r="J456" s="61" t="str">
        <f>_xlfn.XLOOKUP(C456,Tab_Def_Flows[Name(EN)],Tab_Def_Flows[WC?],,0,)</f>
        <v>Yes</v>
      </c>
      <c r="K456" s="61" t="str">
        <f>_xlfn.XLOOKUP(C456,Tab_Def_Flows[Name(EN)],Tab_Def_Flows[DM?],,0,)</f>
        <v>Yes</v>
      </c>
      <c r="L456" s="61" t="str">
        <f>_xlfn.XLOOKUP(C456,Tab_Def_Flows[Name(EN)],Tab_Def_Flows[CC?],,0,)</f>
        <v>Yes</v>
      </c>
      <c r="M456" s="51"/>
      <c r="N456" s="51"/>
      <c r="O456" s="119"/>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e">
        <f>IF(J456="Yes",AA456*Tab_Data_Flows[[#This Row],[WC_'[%']]],"N.A.")</f>
        <v>#N/A</v>
      </c>
      <c r="AE456" s="61">
        <f>Tab_Data_Flows[[#This Row],[UoM_Flow_Py]]</f>
        <v>0</v>
      </c>
      <c r="AF456" s="111" t="e">
        <f>INDEX(Tab_Def_Flows[[Flow_ID]:[CC_DM_source]],MATCH(Tab_Data_Flows[[#This Row],[Name(EN)]],Tab_Def_Flows[Name(EN)],0),18)</f>
        <v>#N/A</v>
      </c>
      <c r="AG456" s="112" t="e">
        <f>IF(K456="Yes",AF456*Tab_Data_Flows[[#This Row],[Flow_Py]],"N.A.")</f>
        <v>#N/A</v>
      </c>
      <c r="AH456" s="61">
        <f>Tab_Data_Flows[[#This Row],[UoM_Flow_Py]]</f>
        <v>0</v>
      </c>
      <c r="AI456" s="111" t="e">
        <f>INDEX(Tab_Def_Flows[[Flow_ID]:[CC_DM_source]],MATCH(Tab_Data_Flows[[#This Row],[Name(EN)]],Tab_Def_Flows[Name(EN)],0),20)</f>
        <v>#N/A</v>
      </c>
      <c r="AJ456" s="109" t="e">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F_24_24</v>
      </c>
      <c r="C457" s="51"/>
      <c r="D457" s="49">
        <f>_xlfn.XLOOKUP(C457,Tab_Def_Flows[Name(EN)],Tab_Def_Flows[Type_Biomass],,0,)</f>
        <v>0</v>
      </c>
      <c r="E457" s="49">
        <f>_xlfn.XLOOKUP(C457,Tab_Def_Flows[Name(EN)],Tab_Def_Flows[Output_Process],,0,)</f>
        <v>0</v>
      </c>
      <c r="F457" s="49" t="str">
        <f>_xlfn.XLOOKUP(C457,Tab_Def_Flows[Name(EN)],Tab_Def_Flows[Process_ID_O],,0,)</f>
        <v>24__</v>
      </c>
      <c r="G457" s="49">
        <f>_xlfn.XLOOKUP(C457,Tab_Def_Flows[Name(EN)],Tab_Def_Flows[Input_Process],,0,)</f>
        <v>0</v>
      </c>
      <c r="H457" s="61" t="str">
        <f>_xlfn.XLOOKUP(C457,Tab_Def_Flows[Name(EN)],Tab_Def_Flows[Process_ID_I],,0,)</f>
        <v>24__</v>
      </c>
      <c r="I457" s="49">
        <f>_xlfn.XLOOKUP(C457,Tab_Def_Flows[Name(EN)],Tab_Def_Flows[Value_Source],,0,)</f>
        <v>0</v>
      </c>
      <c r="J457" s="61" t="str">
        <f>_xlfn.XLOOKUP(C457,Tab_Def_Flows[Name(EN)],Tab_Def_Flows[WC?],,0,)</f>
        <v>Yes</v>
      </c>
      <c r="K457" s="61" t="str">
        <f>_xlfn.XLOOKUP(C457,Tab_Def_Flows[Name(EN)],Tab_Def_Flows[DM?],,0,)</f>
        <v>Yes</v>
      </c>
      <c r="L457" s="61" t="str">
        <f>_xlfn.XLOOKUP(C457,Tab_Def_Flows[Name(EN)],Tab_Def_Flows[CC?],,0,)</f>
        <v>Yes</v>
      </c>
      <c r="M457" s="51"/>
      <c r="N457" s="51"/>
      <c r="O457" s="119"/>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e">
        <f>IF(J457="Yes",AA457*Tab_Data_Flows[[#This Row],[WC_'[%']]],"N.A.")</f>
        <v>#N/A</v>
      </c>
      <c r="AE457" s="61">
        <f>Tab_Data_Flows[[#This Row],[UoM_Flow_Py]]</f>
        <v>0</v>
      </c>
      <c r="AF457" s="111" t="e">
        <f>INDEX(Tab_Def_Flows[[Flow_ID]:[CC_DM_source]],MATCH(Tab_Data_Flows[[#This Row],[Name(EN)]],Tab_Def_Flows[Name(EN)],0),18)</f>
        <v>#N/A</v>
      </c>
      <c r="AG457" s="112" t="e">
        <f>IF(K457="Yes",AF457*Tab_Data_Flows[[#This Row],[Flow_Py]],"N.A.")</f>
        <v>#N/A</v>
      </c>
      <c r="AH457" s="61">
        <f>Tab_Data_Flows[[#This Row],[UoM_Flow_Py]]</f>
        <v>0</v>
      </c>
      <c r="AI457" s="111" t="e">
        <f>INDEX(Tab_Def_Flows[[Flow_ID]:[CC_DM_source]],MATCH(Tab_Data_Flows[[#This Row],[Name(EN)]],Tab_Def_Flows[Name(EN)],0),20)</f>
        <v>#N/A</v>
      </c>
      <c r="AJ457" s="109" t="e">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F_24_24</v>
      </c>
      <c r="C458" s="51"/>
      <c r="D458" s="49">
        <f>_xlfn.XLOOKUP(C458,Tab_Def_Flows[Name(EN)],Tab_Def_Flows[Type_Biomass],,0,)</f>
        <v>0</v>
      </c>
      <c r="E458" s="49">
        <f>_xlfn.XLOOKUP(C458,Tab_Def_Flows[Name(EN)],Tab_Def_Flows[Output_Process],,0,)</f>
        <v>0</v>
      </c>
      <c r="F458" s="49" t="str">
        <f>_xlfn.XLOOKUP(C458,Tab_Def_Flows[Name(EN)],Tab_Def_Flows[Process_ID_O],,0,)</f>
        <v>24__</v>
      </c>
      <c r="G458" s="49">
        <f>_xlfn.XLOOKUP(C458,Tab_Def_Flows[Name(EN)],Tab_Def_Flows[Input_Process],,0,)</f>
        <v>0</v>
      </c>
      <c r="H458" s="61" t="str">
        <f>_xlfn.XLOOKUP(C458,Tab_Def_Flows[Name(EN)],Tab_Def_Flows[Process_ID_I],,0,)</f>
        <v>24__</v>
      </c>
      <c r="I458" s="49">
        <f>_xlfn.XLOOKUP(C458,Tab_Def_Flows[Name(EN)],Tab_Def_Flows[Value_Source],,0,)</f>
        <v>0</v>
      </c>
      <c r="J458" s="61" t="str">
        <f>_xlfn.XLOOKUP(C458,Tab_Def_Flows[Name(EN)],Tab_Def_Flows[WC?],,0,)</f>
        <v>Yes</v>
      </c>
      <c r="K458" s="61" t="str">
        <f>_xlfn.XLOOKUP(C458,Tab_Def_Flows[Name(EN)],Tab_Def_Flows[DM?],,0,)</f>
        <v>Yes</v>
      </c>
      <c r="L458" s="61" t="str">
        <f>_xlfn.XLOOKUP(C458,Tab_Def_Flows[Name(EN)],Tab_Def_Flows[CC?],,0,)</f>
        <v>Yes</v>
      </c>
      <c r="M458" s="51"/>
      <c r="N458" s="51"/>
      <c r="O458" s="119"/>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e">
        <f>IF(J458="Yes",AA458*Tab_Data_Flows[[#This Row],[WC_'[%']]],"N.A.")</f>
        <v>#N/A</v>
      </c>
      <c r="AE458" s="61">
        <f>Tab_Data_Flows[[#This Row],[UoM_Flow_Py]]</f>
        <v>0</v>
      </c>
      <c r="AF458" s="111" t="e">
        <f>INDEX(Tab_Def_Flows[[Flow_ID]:[CC_DM_source]],MATCH(Tab_Data_Flows[[#This Row],[Name(EN)]],Tab_Def_Flows[Name(EN)],0),18)</f>
        <v>#N/A</v>
      </c>
      <c r="AG458" s="112" t="e">
        <f>IF(K458="Yes",AF458*Tab_Data_Flows[[#This Row],[Flow_Py]],"N.A.")</f>
        <v>#N/A</v>
      </c>
      <c r="AH458" s="61">
        <f>Tab_Data_Flows[[#This Row],[UoM_Flow_Py]]</f>
        <v>0</v>
      </c>
      <c r="AI458" s="111" t="e">
        <f>INDEX(Tab_Def_Flows[[Flow_ID]:[CC_DM_source]],MATCH(Tab_Data_Flows[[#This Row],[Name(EN)]],Tab_Def_Flows[Name(EN)],0),20)</f>
        <v>#N/A</v>
      </c>
      <c r="AJ458" s="109" t="e">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F_24_24</v>
      </c>
      <c r="C459" s="51"/>
      <c r="D459" s="49">
        <f>_xlfn.XLOOKUP(C459,Tab_Def_Flows[Name(EN)],Tab_Def_Flows[Type_Biomass],,0,)</f>
        <v>0</v>
      </c>
      <c r="E459" s="49">
        <f>_xlfn.XLOOKUP(C459,Tab_Def_Flows[Name(EN)],Tab_Def_Flows[Output_Process],,0,)</f>
        <v>0</v>
      </c>
      <c r="F459" s="49" t="str">
        <f>_xlfn.XLOOKUP(C459,Tab_Def_Flows[Name(EN)],Tab_Def_Flows[Process_ID_O],,0,)</f>
        <v>24__</v>
      </c>
      <c r="G459" s="49">
        <f>_xlfn.XLOOKUP(C459,Tab_Def_Flows[Name(EN)],Tab_Def_Flows[Input_Process],,0,)</f>
        <v>0</v>
      </c>
      <c r="H459" s="61" t="str">
        <f>_xlfn.XLOOKUP(C459,Tab_Def_Flows[Name(EN)],Tab_Def_Flows[Process_ID_I],,0,)</f>
        <v>24__</v>
      </c>
      <c r="I459" s="49">
        <f>_xlfn.XLOOKUP(C459,Tab_Def_Flows[Name(EN)],Tab_Def_Flows[Value_Source],,0,)</f>
        <v>0</v>
      </c>
      <c r="J459" s="61" t="str">
        <f>_xlfn.XLOOKUP(C459,Tab_Def_Flows[Name(EN)],Tab_Def_Flows[WC?],,0,)</f>
        <v>Yes</v>
      </c>
      <c r="K459" s="61" t="str">
        <f>_xlfn.XLOOKUP(C459,Tab_Def_Flows[Name(EN)],Tab_Def_Flows[DM?],,0,)</f>
        <v>Yes</v>
      </c>
      <c r="L459" s="61" t="str">
        <f>_xlfn.XLOOKUP(C459,Tab_Def_Flows[Name(EN)],Tab_Def_Flows[CC?],,0,)</f>
        <v>Yes</v>
      </c>
      <c r="M459" s="51"/>
      <c r="N459" s="51"/>
      <c r="O459" s="119"/>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e">
        <f>IF(J459="Yes",AA459*Tab_Data_Flows[[#This Row],[WC_'[%']]],"N.A.")</f>
        <v>#N/A</v>
      </c>
      <c r="AE459" s="61">
        <f>Tab_Data_Flows[[#This Row],[UoM_Flow_Py]]</f>
        <v>0</v>
      </c>
      <c r="AF459" s="111" t="e">
        <f>INDEX(Tab_Def_Flows[[Flow_ID]:[CC_DM_source]],MATCH(Tab_Data_Flows[[#This Row],[Name(EN)]],Tab_Def_Flows[Name(EN)],0),18)</f>
        <v>#N/A</v>
      </c>
      <c r="AG459" s="112" t="e">
        <f>IF(K459="Yes",AF459*Tab_Data_Flows[[#This Row],[Flow_Py]],"N.A.")</f>
        <v>#N/A</v>
      </c>
      <c r="AH459" s="61">
        <f>Tab_Data_Flows[[#This Row],[UoM_Flow_Py]]</f>
        <v>0</v>
      </c>
      <c r="AI459" s="111" t="e">
        <f>INDEX(Tab_Def_Flows[[Flow_ID]:[CC_DM_source]],MATCH(Tab_Data_Flows[[#This Row],[Name(EN)]],Tab_Def_Flows[Name(EN)],0),20)</f>
        <v>#N/A</v>
      </c>
      <c r="AJ459" s="109" t="e">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F_24_24</v>
      </c>
      <c r="C460" s="51"/>
      <c r="D460" s="49">
        <f>_xlfn.XLOOKUP(C460,Tab_Def_Flows[Name(EN)],Tab_Def_Flows[Type_Biomass],,0,)</f>
        <v>0</v>
      </c>
      <c r="E460" s="49">
        <f>_xlfn.XLOOKUP(C460,Tab_Def_Flows[Name(EN)],Tab_Def_Flows[Output_Process],,0,)</f>
        <v>0</v>
      </c>
      <c r="F460" s="49" t="str">
        <f>_xlfn.XLOOKUP(C460,Tab_Def_Flows[Name(EN)],Tab_Def_Flows[Process_ID_O],,0,)</f>
        <v>24__</v>
      </c>
      <c r="G460" s="49">
        <f>_xlfn.XLOOKUP(C460,Tab_Def_Flows[Name(EN)],Tab_Def_Flows[Input_Process],,0,)</f>
        <v>0</v>
      </c>
      <c r="H460" s="61" t="str">
        <f>_xlfn.XLOOKUP(C460,Tab_Def_Flows[Name(EN)],Tab_Def_Flows[Process_ID_I],,0,)</f>
        <v>24__</v>
      </c>
      <c r="I460" s="49">
        <f>_xlfn.XLOOKUP(C460,Tab_Def_Flows[Name(EN)],Tab_Def_Flows[Value_Source],,0,)</f>
        <v>0</v>
      </c>
      <c r="J460" s="61" t="str">
        <f>_xlfn.XLOOKUP(C460,Tab_Def_Flows[Name(EN)],Tab_Def_Flows[WC?],,0,)</f>
        <v>Yes</v>
      </c>
      <c r="K460" s="61" t="str">
        <f>_xlfn.XLOOKUP(C460,Tab_Def_Flows[Name(EN)],Tab_Def_Flows[DM?],,0,)</f>
        <v>Yes</v>
      </c>
      <c r="L460" s="61" t="str">
        <f>_xlfn.XLOOKUP(C460,Tab_Def_Flows[Name(EN)],Tab_Def_Flows[CC?],,0,)</f>
        <v>Yes</v>
      </c>
      <c r="M460" s="51"/>
      <c r="N460" s="51"/>
      <c r="O460" s="119"/>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e">
        <f>IF(J460="Yes",AA460*Tab_Data_Flows[[#This Row],[WC_'[%']]],"N.A.")</f>
        <v>#N/A</v>
      </c>
      <c r="AE460" s="61">
        <f>Tab_Data_Flows[[#This Row],[UoM_Flow_Py]]</f>
        <v>0</v>
      </c>
      <c r="AF460" s="111" t="e">
        <f>INDEX(Tab_Def_Flows[[Flow_ID]:[CC_DM_source]],MATCH(Tab_Data_Flows[[#This Row],[Name(EN)]],Tab_Def_Flows[Name(EN)],0),18)</f>
        <v>#N/A</v>
      </c>
      <c r="AG460" s="112" t="e">
        <f>IF(K460="Yes",AF460*Tab_Data_Flows[[#This Row],[Flow_Py]],"N.A.")</f>
        <v>#N/A</v>
      </c>
      <c r="AH460" s="61">
        <f>Tab_Data_Flows[[#This Row],[UoM_Flow_Py]]</f>
        <v>0</v>
      </c>
      <c r="AI460" s="111" t="e">
        <f>INDEX(Tab_Def_Flows[[Flow_ID]:[CC_DM_source]],MATCH(Tab_Data_Flows[[#This Row],[Name(EN)]],Tab_Def_Flows[Name(EN)],0),20)</f>
        <v>#N/A</v>
      </c>
      <c r="AJ460" s="109" t="e">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F_24_24</v>
      </c>
      <c r="C461" s="51"/>
      <c r="D461" s="49">
        <f>_xlfn.XLOOKUP(C461,Tab_Def_Flows[Name(EN)],Tab_Def_Flows[Type_Biomass],,0,)</f>
        <v>0</v>
      </c>
      <c r="E461" s="49">
        <f>_xlfn.XLOOKUP(C461,Tab_Def_Flows[Name(EN)],Tab_Def_Flows[Output_Process],,0,)</f>
        <v>0</v>
      </c>
      <c r="F461" s="49" t="str">
        <f>_xlfn.XLOOKUP(C461,Tab_Def_Flows[Name(EN)],Tab_Def_Flows[Process_ID_O],,0,)</f>
        <v>24__</v>
      </c>
      <c r="G461" s="49">
        <f>_xlfn.XLOOKUP(C461,Tab_Def_Flows[Name(EN)],Tab_Def_Flows[Input_Process],,0,)</f>
        <v>0</v>
      </c>
      <c r="H461" s="61" t="str">
        <f>_xlfn.XLOOKUP(C461,Tab_Def_Flows[Name(EN)],Tab_Def_Flows[Process_ID_I],,0,)</f>
        <v>24__</v>
      </c>
      <c r="I461" s="49">
        <f>_xlfn.XLOOKUP(C461,Tab_Def_Flows[Name(EN)],Tab_Def_Flows[Value_Source],,0,)</f>
        <v>0</v>
      </c>
      <c r="J461" s="61" t="str">
        <f>_xlfn.XLOOKUP(C461,Tab_Def_Flows[Name(EN)],Tab_Def_Flows[WC?],,0,)</f>
        <v>Yes</v>
      </c>
      <c r="K461" s="61" t="str">
        <f>_xlfn.XLOOKUP(C461,Tab_Def_Flows[Name(EN)],Tab_Def_Flows[DM?],,0,)</f>
        <v>Yes</v>
      </c>
      <c r="L461" s="61" t="str">
        <f>_xlfn.XLOOKUP(C461,Tab_Def_Flows[Name(EN)],Tab_Def_Flows[CC?],,0,)</f>
        <v>Yes</v>
      </c>
      <c r="M461" s="51"/>
      <c r="N461" s="51"/>
      <c r="O461" s="119"/>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e">
        <f>IF(J461="Yes",AA461*Tab_Data_Flows[[#This Row],[WC_'[%']]],"N.A.")</f>
        <v>#N/A</v>
      </c>
      <c r="AE461" s="61">
        <f>Tab_Data_Flows[[#This Row],[UoM_Flow_Py]]</f>
        <v>0</v>
      </c>
      <c r="AF461" s="111" t="e">
        <f>INDEX(Tab_Def_Flows[[Flow_ID]:[CC_DM_source]],MATCH(Tab_Data_Flows[[#This Row],[Name(EN)]],Tab_Def_Flows[Name(EN)],0),18)</f>
        <v>#N/A</v>
      </c>
      <c r="AG461" s="112" t="e">
        <f>IF(K461="Yes",AF461*Tab_Data_Flows[[#This Row],[Flow_Py]],"N.A.")</f>
        <v>#N/A</v>
      </c>
      <c r="AH461" s="61">
        <f>Tab_Data_Flows[[#This Row],[UoM_Flow_Py]]</f>
        <v>0</v>
      </c>
      <c r="AI461" s="111" t="e">
        <f>INDEX(Tab_Def_Flows[[Flow_ID]:[CC_DM_source]],MATCH(Tab_Data_Flows[[#This Row],[Name(EN)]],Tab_Def_Flows[Name(EN)],0),20)</f>
        <v>#N/A</v>
      </c>
      <c r="AJ461" s="109" t="e">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F_24_24</v>
      </c>
      <c r="C462" s="51"/>
      <c r="D462" s="49">
        <f>_xlfn.XLOOKUP(C462,Tab_Def_Flows[Name(EN)],Tab_Def_Flows[Type_Biomass],,0,)</f>
        <v>0</v>
      </c>
      <c r="E462" s="49">
        <f>_xlfn.XLOOKUP(C462,Tab_Def_Flows[Name(EN)],Tab_Def_Flows[Output_Process],,0,)</f>
        <v>0</v>
      </c>
      <c r="F462" s="49" t="str">
        <f>_xlfn.XLOOKUP(C462,Tab_Def_Flows[Name(EN)],Tab_Def_Flows[Process_ID_O],,0,)</f>
        <v>24__</v>
      </c>
      <c r="G462" s="49">
        <f>_xlfn.XLOOKUP(C462,Tab_Def_Flows[Name(EN)],Tab_Def_Flows[Input_Process],,0,)</f>
        <v>0</v>
      </c>
      <c r="H462" s="61" t="str">
        <f>_xlfn.XLOOKUP(C462,Tab_Def_Flows[Name(EN)],Tab_Def_Flows[Process_ID_I],,0,)</f>
        <v>24__</v>
      </c>
      <c r="I462" s="49">
        <f>_xlfn.XLOOKUP(C462,Tab_Def_Flows[Name(EN)],Tab_Def_Flows[Value_Source],,0,)</f>
        <v>0</v>
      </c>
      <c r="J462" s="61" t="str">
        <f>_xlfn.XLOOKUP(C462,Tab_Def_Flows[Name(EN)],Tab_Def_Flows[WC?],,0,)</f>
        <v>Yes</v>
      </c>
      <c r="K462" s="61" t="str">
        <f>_xlfn.XLOOKUP(C462,Tab_Def_Flows[Name(EN)],Tab_Def_Flows[DM?],,0,)</f>
        <v>Yes</v>
      </c>
      <c r="L462" s="61" t="str">
        <f>_xlfn.XLOOKUP(C462,Tab_Def_Flows[Name(EN)],Tab_Def_Flows[CC?],,0,)</f>
        <v>Yes</v>
      </c>
      <c r="M462" s="51"/>
      <c r="N462" s="51"/>
      <c r="O462" s="119"/>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e">
        <f>IF(J462="Yes",AA462*Tab_Data_Flows[[#This Row],[WC_'[%']]],"N.A.")</f>
        <v>#N/A</v>
      </c>
      <c r="AE462" s="61">
        <f>Tab_Data_Flows[[#This Row],[UoM_Flow_Py]]</f>
        <v>0</v>
      </c>
      <c r="AF462" s="111" t="e">
        <f>INDEX(Tab_Def_Flows[[Flow_ID]:[CC_DM_source]],MATCH(Tab_Data_Flows[[#This Row],[Name(EN)]],Tab_Def_Flows[Name(EN)],0),18)</f>
        <v>#N/A</v>
      </c>
      <c r="AG462" s="112" t="e">
        <f>IF(K462="Yes",AF462*Tab_Data_Flows[[#This Row],[Flow_Py]],"N.A.")</f>
        <v>#N/A</v>
      </c>
      <c r="AH462" s="61">
        <f>Tab_Data_Flows[[#This Row],[UoM_Flow_Py]]</f>
        <v>0</v>
      </c>
      <c r="AI462" s="111" t="e">
        <f>INDEX(Tab_Def_Flows[[Flow_ID]:[CC_DM_source]],MATCH(Tab_Data_Flows[[#This Row],[Name(EN)]],Tab_Def_Flows[Name(EN)],0),20)</f>
        <v>#N/A</v>
      </c>
      <c r="AJ462" s="109" t="e">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F_24_24</v>
      </c>
      <c r="C463" s="51"/>
      <c r="D463" s="49">
        <f>_xlfn.XLOOKUP(C463,Tab_Def_Flows[Name(EN)],Tab_Def_Flows[Type_Biomass],,0,)</f>
        <v>0</v>
      </c>
      <c r="E463" s="49">
        <f>_xlfn.XLOOKUP(C463,Tab_Def_Flows[Name(EN)],Tab_Def_Flows[Output_Process],,0,)</f>
        <v>0</v>
      </c>
      <c r="F463" s="49" t="str">
        <f>_xlfn.XLOOKUP(C463,Tab_Def_Flows[Name(EN)],Tab_Def_Flows[Process_ID_O],,0,)</f>
        <v>24__</v>
      </c>
      <c r="G463" s="49">
        <f>_xlfn.XLOOKUP(C463,Tab_Def_Flows[Name(EN)],Tab_Def_Flows[Input_Process],,0,)</f>
        <v>0</v>
      </c>
      <c r="H463" s="61" t="str">
        <f>_xlfn.XLOOKUP(C463,Tab_Def_Flows[Name(EN)],Tab_Def_Flows[Process_ID_I],,0,)</f>
        <v>24__</v>
      </c>
      <c r="I463" s="49">
        <f>_xlfn.XLOOKUP(C463,Tab_Def_Flows[Name(EN)],Tab_Def_Flows[Value_Source],,0,)</f>
        <v>0</v>
      </c>
      <c r="J463" s="61" t="str">
        <f>_xlfn.XLOOKUP(C463,Tab_Def_Flows[Name(EN)],Tab_Def_Flows[WC?],,0,)</f>
        <v>Yes</v>
      </c>
      <c r="K463" s="61" t="str">
        <f>_xlfn.XLOOKUP(C463,Tab_Def_Flows[Name(EN)],Tab_Def_Flows[DM?],,0,)</f>
        <v>Yes</v>
      </c>
      <c r="L463" s="61" t="str">
        <f>_xlfn.XLOOKUP(C463,Tab_Def_Flows[Name(EN)],Tab_Def_Flows[CC?],,0,)</f>
        <v>Yes</v>
      </c>
      <c r="M463" s="51"/>
      <c r="N463" s="51"/>
      <c r="O463" s="119"/>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e">
        <f>IF(J463="Yes",AA463*Tab_Data_Flows[[#This Row],[WC_'[%']]],"N.A.")</f>
        <v>#N/A</v>
      </c>
      <c r="AE463" s="61">
        <f>Tab_Data_Flows[[#This Row],[UoM_Flow_Py]]</f>
        <v>0</v>
      </c>
      <c r="AF463" s="111" t="e">
        <f>INDEX(Tab_Def_Flows[[Flow_ID]:[CC_DM_source]],MATCH(Tab_Data_Flows[[#This Row],[Name(EN)]],Tab_Def_Flows[Name(EN)],0),18)</f>
        <v>#N/A</v>
      </c>
      <c r="AG463" s="112" t="e">
        <f>IF(K463="Yes",AF463*Tab_Data_Flows[[#This Row],[Flow_Py]],"N.A.")</f>
        <v>#N/A</v>
      </c>
      <c r="AH463" s="61">
        <f>Tab_Data_Flows[[#This Row],[UoM_Flow_Py]]</f>
        <v>0</v>
      </c>
      <c r="AI463" s="111" t="e">
        <f>INDEX(Tab_Def_Flows[[Flow_ID]:[CC_DM_source]],MATCH(Tab_Data_Flows[[#This Row],[Name(EN)]],Tab_Def_Flows[Name(EN)],0),20)</f>
        <v>#N/A</v>
      </c>
      <c r="AJ463" s="109" t="e">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F_24_24</v>
      </c>
      <c r="C464" s="51"/>
      <c r="D464" s="49">
        <f>_xlfn.XLOOKUP(C464,Tab_Def_Flows[Name(EN)],Tab_Def_Flows[Type_Biomass],,0,)</f>
        <v>0</v>
      </c>
      <c r="E464" s="49">
        <f>_xlfn.XLOOKUP(C464,Tab_Def_Flows[Name(EN)],Tab_Def_Flows[Output_Process],,0,)</f>
        <v>0</v>
      </c>
      <c r="F464" s="49" t="str">
        <f>_xlfn.XLOOKUP(C464,Tab_Def_Flows[Name(EN)],Tab_Def_Flows[Process_ID_O],,0,)</f>
        <v>24__</v>
      </c>
      <c r="G464" s="49">
        <f>_xlfn.XLOOKUP(C464,Tab_Def_Flows[Name(EN)],Tab_Def_Flows[Input_Process],,0,)</f>
        <v>0</v>
      </c>
      <c r="H464" s="61" t="str">
        <f>_xlfn.XLOOKUP(C464,Tab_Def_Flows[Name(EN)],Tab_Def_Flows[Process_ID_I],,0,)</f>
        <v>24__</v>
      </c>
      <c r="I464" s="49">
        <f>_xlfn.XLOOKUP(C464,Tab_Def_Flows[Name(EN)],Tab_Def_Flows[Value_Source],,0,)</f>
        <v>0</v>
      </c>
      <c r="J464" s="61" t="str">
        <f>_xlfn.XLOOKUP(C464,Tab_Def_Flows[Name(EN)],Tab_Def_Flows[WC?],,0,)</f>
        <v>Yes</v>
      </c>
      <c r="K464" s="61" t="str">
        <f>_xlfn.XLOOKUP(C464,Tab_Def_Flows[Name(EN)],Tab_Def_Flows[DM?],,0,)</f>
        <v>Yes</v>
      </c>
      <c r="L464" s="61" t="str">
        <f>_xlfn.XLOOKUP(C464,Tab_Def_Flows[Name(EN)],Tab_Def_Flows[CC?],,0,)</f>
        <v>Yes</v>
      </c>
      <c r="M464" s="51"/>
      <c r="N464" s="51"/>
      <c r="O464" s="119"/>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e">
        <f>IF(J464="Yes",AA464*Tab_Data_Flows[[#This Row],[WC_'[%']]],"N.A.")</f>
        <v>#N/A</v>
      </c>
      <c r="AE464" s="61">
        <f>Tab_Data_Flows[[#This Row],[UoM_Flow_Py]]</f>
        <v>0</v>
      </c>
      <c r="AF464" s="111" t="e">
        <f>INDEX(Tab_Def_Flows[[Flow_ID]:[CC_DM_source]],MATCH(Tab_Data_Flows[[#This Row],[Name(EN)]],Tab_Def_Flows[Name(EN)],0),18)</f>
        <v>#N/A</v>
      </c>
      <c r="AG464" s="112" t="e">
        <f>IF(K464="Yes",AF464*Tab_Data_Flows[[#This Row],[Flow_Py]],"N.A.")</f>
        <v>#N/A</v>
      </c>
      <c r="AH464" s="61">
        <f>Tab_Data_Flows[[#This Row],[UoM_Flow_Py]]</f>
        <v>0</v>
      </c>
      <c r="AI464" s="111" t="e">
        <f>INDEX(Tab_Def_Flows[[Flow_ID]:[CC_DM_source]],MATCH(Tab_Data_Flows[[#This Row],[Name(EN)]],Tab_Def_Flows[Name(EN)],0),20)</f>
        <v>#N/A</v>
      </c>
      <c r="AJ464" s="109" t="e">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F_24_24</v>
      </c>
      <c r="C465" s="51"/>
      <c r="D465" s="49">
        <f>_xlfn.XLOOKUP(C465,Tab_Def_Flows[Name(EN)],Tab_Def_Flows[Type_Biomass],,0,)</f>
        <v>0</v>
      </c>
      <c r="E465" s="49">
        <f>_xlfn.XLOOKUP(C465,Tab_Def_Flows[Name(EN)],Tab_Def_Flows[Output_Process],,0,)</f>
        <v>0</v>
      </c>
      <c r="F465" s="49" t="str">
        <f>_xlfn.XLOOKUP(C465,Tab_Def_Flows[Name(EN)],Tab_Def_Flows[Process_ID_O],,0,)</f>
        <v>24__</v>
      </c>
      <c r="G465" s="49">
        <f>_xlfn.XLOOKUP(C465,Tab_Def_Flows[Name(EN)],Tab_Def_Flows[Input_Process],,0,)</f>
        <v>0</v>
      </c>
      <c r="H465" s="61" t="str">
        <f>_xlfn.XLOOKUP(C465,Tab_Def_Flows[Name(EN)],Tab_Def_Flows[Process_ID_I],,0,)</f>
        <v>24__</v>
      </c>
      <c r="I465" s="49">
        <f>_xlfn.XLOOKUP(C465,Tab_Def_Flows[Name(EN)],Tab_Def_Flows[Value_Source],,0,)</f>
        <v>0</v>
      </c>
      <c r="J465" s="61" t="str">
        <f>_xlfn.XLOOKUP(C465,Tab_Def_Flows[Name(EN)],Tab_Def_Flows[WC?],,0,)</f>
        <v>Yes</v>
      </c>
      <c r="K465" s="61" t="str">
        <f>_xlfn.XLOOKUP(C465,Tab_Def_Flows[Name(EN)],Tab_Def_Flows[DM?],,0,)</f>
        <v>Yes</v>
      </c>
      <c r="L465" s="61" t="str">
        <f>_xlfn.XLOOKUP(C465,Tab_Def_Flows[Name(EN)],Tab_Def_Flows[CC?],,0,)</f>
        <v>Yes</v>
      </c>
      <c r="M465" s="51"/>
      <c r="N465" s="51"/>
      <c r="O465" s="119"/>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e">
        <f>IF(J465="Yes",AA465*Tab_Data_Flows[[#This Row],[WC_'[%']]],"N.A.")</f>
        <v>#N/A</v>
      </c>
      <c r="AE465" s="61">
        <f>Tab_Data_Flows[[#This Row],[UoM_Flow_Py]]</f>
        <v>0</v>
      </c>
      <c r="AF465" s="111" t="e">
        <f>INDEX(Tab_Def_Flows[[Flow_ID]:[CC_DM_source]],MATCH(Tab_Data_Flows[[#This Row],[Name(EN)]],Tab_Def_Flows[Name(EN)],0),18)</f>
        <v>#N/A</v>
      </c>
      <c r="AG465" s="112" t="e">
        <f>IF(K465="Yes",AF465*Tab_Data_Flows[[#This Row],[Flow_Py]],"N.A.")</f>
        <v>#N/A</v>
      </c>
      <c r="AH465" s="61">
        <f>Tab_Data_Flows[[#This Row],[UoM_Flow_Py]]</f>
        <v>0</v>
      </c>
      <c r="AI465" s="111" t="e">
        <f>INDEX(Tab_Def_Flows[[Flow_ID]:[CC_DM_source]],MATCH(Tab_Data_Flows[[#This Row],[Name(EN)]],Tab_Def_Flows[Name(EN)],0),20)</f>
        <v>#N/A</v>
      </c>
      <c r="AJ465" s="109" t="e">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F_24_24</v>
      </c>
      <c r="C466" s="51"/>
      <c r="D466" s="49">
        <f>_xlfn.XLOOKUP(C466,Tab_Def_Flows[Name(EN)],Tab_Def_Flows[Type_Biomass],,0,)</f>
        <v>0</v>
      </c>
      <c r="E466" s="49">
        <f>_xlfn.XLOOKUP(C466,Tab_Def_Flows[Name(EN)],Tab_Def_Flows[Output_Process],,0,)</f>
        <v>0</v>
      </c>
      <c r="F466" s="49" t="str">
        <f>_xlfn.XLOOKUP(C466,Tab_Def_Flows[Name(EN)],Tab_Def_Flows[Process_ID_O],,0,)</f>
        <v>24__</v>
      </c>
      <c r="G466" s="49">
        <f>_xlfn.XLOOKUP(C466,Tab_Def_Flows[Name(EN)],Tab_Def_Flows[Input_Process],,0,)</f>
        <v>0</v>
      </c>
      <c r="H466" s="61" t="str">
        <f>_xlfn.XLOOKUP(C466,Tab_Def_Flows[Name(EN)],Tab_Def_Flows[Process_ID_I],,0,)</f>
        <v>24__</v>
      </c>
      <c r="I466" s="49">
        <f>_xlfn.XLOOKUP(C466,Tab_Def_Flows[Name(EN)],Tab_Def_Flows[Value_Source],,0,)</f>
        <v>0</v>
      </c>
      <c r="J466" s="61" t="str">
        <f>_xlfn.XLOOKUP(C466,Tab_Def_Flows[Name(EN)],Tab_Def_Flows[WC?],,0,)</f>
        <v>Yes</v>
      </c>
      <c r="K466" s="61" t="str">
        <f>_xlfn.XLOOKUP(C466,Tab_Def_Flows[Name(EN)],Tab_Def_Flows[DM?],,0,)</f>
        <v>Yes</v>
      </c>
      <c r="L466" s="61" t="str">
        <f>_xlfn.XLOOKUP(C466,Tab_Def_Flows[Name(EN)],Tab_Def_Flows[CC?],,0,)</f>
        <v>Yes</v>
      </c>
      <c r="M466" s="51"/>
      <c r="N466" s="51"/>
      <c r="O466" s="119"/>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e">
        <f>IF(J466="Yes",AA466*Tab_Data_Flows[[#This Row],[WC_'[%']]],"N.A.")</f>
        <v>#N/A</v>
      </c>
      <c r="AE466" s="61">
        <f>Tab_Data_Flows[[#This Row],[UoM_Flow_Py]]</f>
        <v>0</v>
      </c>
      <c r="AF466" s="111" t="e">
        <f>INDEX(Tab_Def_Flows[[Flow_ID]:[CC_DM_source]],MATCH(Tab_Data_Flows[[#This Row],[Name(EN)]],Tab_Def_Flows[Name(EN)],0),18)</f>
        <v>#N/A</v>
      </c>
      <c r="AG466" s="112" t="e">
        <f>IF(K466="Yes",AF466*Tab_Data_Flows[[#This Row],[Flow_Py]],"N.A.")</f>
        <v>#N/A</v>
      </c>
      <c r="AH466" s="61">
        <f>Tab_Data_Flows[[#This Row],[UoM_Flow_Py]]</f>
        <v>0</v>
      </c>
      <c r="AI466" s="111" t="e">
        <f>INDEX(Tab_Def_Flows[[Flow_ID]:[CC_DM_source]],MATCH(Tab_Data_Flows[[#This Row],[Name(EN)]],Tab_Def_Flows[Name(EN)],0),20)</f>
        <v>#N/A</v>
      </c>
      <c r="AJ466" s="109" t="e">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F_24_24</v>
      </c>
      <c r="C467" s="51"/>
      <c r="D467" s="49">
        <f>_xlfn.XLOOKUP(C467,Tab_Def_Flows[Name(EN)],Tab_Def_Flows[Type_Biomass],,0,)</f>
        <v>0</v>
      </c>
      <c r="E467" s="49">
        <f>_xlfn.XLOOKUP(C467,Tab_Def_Flows[Name(EN)],Tab_Def_Flows[Output_Process],,0,)</f>
        <v>0</v>
      </c>
      <c r="F467" s="49" t="str">
        <f>_xlfn.XLOOKUP(C467,Tab_Def_Flows[Name(EN)],Tab_Def_Flows[Process_ID_O],,0,)</f>
        <v>24__</v>
      </c>
      <c r="G467" s="49">
        <f>_xlfn.XLOOKUP(C467,Tab_Def_Flows[Name(EN)],Tab_Def_Flows[Input_Process],,0,)</f>
        <v>0</v>
      </c>
      <c r="H467" s="61" t="str">
        <f>_xlfn.XLOOKUP(C467,Tab_Def_Flows[Name(EN)],Tab_Def_Flows[Process_ID_I],,0,)</f>
        <v>24__</v>
      </c>
      <c r="I467" s="49">
        <f>_xlfn.XLOOKUP(C467,Tab_Def_Flows[Name(EN)],Tab_Def_Flows[Value_Source],,0,)</f>
        <v>0</v>
      </c>
      <c r="J467" s="61" t="str">
        <f>_xlfn.XLOOKUP(C467,Tab_Def_Flows[Name(EN)],Tab_Def_Flows[WC?],,0,)</f>
        <v>Yes</v>
      </c>
      <c r="K467" s="61" t="str">
        <f>_xlfn.XLOOKUP(C467,Tab_Def_Flows[Name(EN)],Tab_Def_Flows[DM?],,0,)</f>
        <v>Yes</v>
      </c>
      <c r="L467" s="61" t="str">
        <f>_xlfn.XLOOKUP(C467,Tab_Def_Flows[Name(EN)],Tab_Def_Flows[CC?],,0,)</f>
        <v>Yes</v>
      </c>
      <c r="M467" s="51"/>
      <c r="N467" s="51"/>
      <c r="O467" s="119"/>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e">
        <f>IF(J467="Yes",AA467*Tab_Data_Flows[[#This Row],[WC_'[%']]],"N.A.")</f>
        <v>#N/A</v>
      </c>
      <c r="AE467" s="61">
        <f>Tab_Data_Flows[[#This Row],[UoM_Flow_Py]]</f>
        <v>0</v>
      </c>
      <c r="AF467" s="111" t="e">
        <f>INDEX(Tab_Def_Flows[[Flow_ID]:[CC_DM_source]],MATCH(Tab_Data_Flows[[#This Row],[Name(EN)]],Tab_Def_Flows[Name(EN)],0),18)</f>
        <v>#N/A</v>
      </c>
      <c r="AG467" s="112" t="e">
        <f>IF(K467="Yes",AF467*Tab_Data_Flows[[#This Row],[Flow_Py]],"N.A.")</f>
        <v>#N/A</v>
      </c>
      <c r="AH467" s="61">
        <f>Tab_Data_Flows[[#This Row],[UoM_Flow_Py]]</f>
        <v>0</v>
      </c>
      <c r="AI467" s="111" t="e">
        <f>INDEX(Tab_Def_Flows[[Flow_ID]:[CC_DM_source]],MATCH(Tab_Data_Flows[[#This Row],[Name(EN)]],Tab_Def_Flows[Name(EN)],0),20)</f>
        <v>#N/A</v>
      </c>
      <c r="AJ467" s="109" t="e">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F_24_24</v>
      </c>
      <c r="C468" s="51"/>
      <c r="D468" s="49">
        <f>_xlfn.XLOOKUP(C468,Tab_Def_Flows[Name(EN)],Tab_Def_Flows[Type_Biomass],,0,)</f>
        <v>0</v>
      </c>
      <c r="E468" s="49">
        <f>_xlfn.XLOOKUP(C468,Tab_Def_Flows[Name(EN)],Tab_Def_Flows[Output_Process],,0,)</f>
        <v>0</v>
      </c>
      <c r="F468" s="49" t="str">
        <f>_xlfn.XLOOKUP(C468,Tab_Def_Flows[Name(EN)],Tab_Def_Flows[Process_ID_O],,0,)</f>
        <v>24__</v>
      </c>
      <c r="G468" s="49">
        <f>_xlfn.XLOOKUP(C468,Tab_Def_Flows[Name(EN)],Tab_Def_Flows[Input_Process],,0,)</f>
        <v>0</v>
      </c>
      <c r="H468" s="61" t="str">
        <f>_xlfn.XLOOKUP(C468,Tab_Def_Flows[Name(EN)],Tab_Def_Flows[Process_ID_I],,0,)</f>
        <v>24__</v>
      </c>
      <c r="I468" s="49">
        <f>_xlfn.XLOOKUP(C468,Tab_Def_Flows[Name(EN)],Tab_Def_Flows[Value_Source],,0,)</f>
        <v>0</v>
      </c>
      <c r="J468" s="61" t="str">
        <f>_xlfn.XLOOKUP(C468,Tab_Def_Flows[Name(EN)],Tab_Def_Flows[WC?],,0,)</f>
        <v>Yes</v>
      </c>
      <c r="K468" s="61" t="str">
        <f>_xlfn.XLOOKUP(C468,Tab_Def_Flows[Name(EN)],Tab_Def_Flows[DM?],,0,)</f>
        <v>Yes</v>
      </c>
      <c r="L468" s="61" t="str">
        <f>_xlfn.XLOOKUP(C468,Tab_Def_Flows[Name(EN)],Tab_Def_Flows[CC?],,0,)</f>
        <v>Yes</v>
      </c>
      <c r="M468" s="51"/>
      <c r="N468" s="51"/>
      <c r="O468" s="119"/>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e">
        <f>IF(J468="Yes",AA468*Tab_Data_Flows[[#This Row],[WC_'[%']]],"N.A.")</f>
        <v>#N/A</v>
      </c>
      <c r="AE468" s="61">
        <f>Tab_Data_Flows[[#This Row],[UoM_Flow_Py]]</f>
        <v>0</v>
      </c>
      <c r="AF468" s="111" t="e">
        <f>INDEX(Tab_Def_Flows[[Flow_ID]:[CC_DM_source]],MATCH(Tab_Data_Flows[[#This Row],[Name(EN)]],Tab_Def_Flows[Name(EN)],0),18)</f>
        <v>#N/A</v>
      </c>
      <c r="AG468" s="112" t="e">
        <f>IF(K468="Yes",AF468*Tab_Data_Flows[[#This Row],[Flow_Py]],"N.A.")</f>
        <v>#N/A</v>
      </c>
      <c r="AH468" s="61">
        <f>Tab_Data_Flows[[#This Row],[UoM_Flow_Py]]</f>
        <v>0</v>
      </c>
      <c r="AI468" s="111" t="e">
        <f>INDEX(Tab_Def_Flows[[Flow_ID]:[CC_DM_source]],MATCH(Tab_Data_Flows[[#This Row],[Name(EN)]],Tab_Def_Flows[Name(EN)],0),20)</f>
        <v>#N/A</v>
      </c>
      <c r="AJ468" s="109" t="e">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F_24_24</v>
      </c>
      <c r="C469" s="51"/>
      <c r="D469" s="49">
        <f>_xlfn.XLOOKUP(C469,Tab_Def_Flows[Name(EN)],Tab_Def_Flows[Type_Biomass],,0,)</f>
        <v>0</v>
      </c>
      <c r="E469" s="49">
        <f>_xlfn.XLOOKUP(C469,Tab_Def_Flows[Name(EN)],Tab_Def_Flows[Output_Process],,0,)</f>
        <v>0</v>
      </c>
      <c r="F469" s="49" t="str">
        <f>_xlfn.XLOOKUP(C469,Tab_Def_Flows[Name(EN)],Tab_Def_Flows[Process_ID_O],,0,)</f>
        <v>24__</v>
      </c>
      <c r="G469" s="49">
        <f>_xlfn.XLOOKUP(C469,Tab_Def_Flows[Name(EN)],Tab_Def_Flows[Input_Process],,0,)</f>
        <v>0</v>
      </c>
      <c r="H469" s="61" t="str">
        <f>_xlfn.XLOOKUP(C469,Tab_Def_Flows[Name(EN)],Tab_Def_Flows[Process_ID_I],,0,)</f>
        <v>24__</v>
      </c>
      <c r="I469" s="49">
        <f>_xlfn.XLOOKUP(C469,Tab_Def_Flows[Name(EN)],Tab_Def_Flows[Value_Source],,0,)</f>
        <v>0</v>
      </c>
      <c r="J469" s="61" t="str">
        <f>_xlfn.XLOOKUP(C469,Tab_Def_Flows[Name(EN)],Tab_Def_Flows[WC?],,0,)</f>
        <v>Yes</v>
      </c>
      <c r="K469" s="61" t="str">
        <f>_xlfn.XLOOKUP(C469,Tab_Def_Flows[Name(EN)],Tab_Def_Flows[DM?],,0,)</f>
        <v>Yes</v>
      </c>
      <c r="L469" s="61" t="str">
        <f>_xlfn.XLOOKUP(C469,Tab_Def_Flows[Name(EN)],Tab_Def_Flows[CC?],,0,)</f>
        <v>Yes</v>
      </c>
      <c r="M469" s="51"/>
      <c r="N469" s="51"/>
      <c r="O469" s="119"/>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e">
        <f>IF(J469="Yes",AA469*Tab_Data_Flows[[#This Row],[WC_'[%']]],"N.A.")</f>
        <v>#N/A</v>
      </c>
      <c r="AE469" s="61">
        <f>Tab_Data_Flows[[#This Row],[UoM_Flow_Py]]</f>
        <v>0</v>
      </c>
      <c r="AF469" s="111" t="e">
        <f>INDEX(Tab_Def_Flows[[Flow_ID]:[CC_DM_source]],MATCH(Tab_Data_Flows[[#This Row],[Name(EN)]],Tab_Def_Flows[Name(EN)],0),18)</f>
        <v>#N/A</v>
      </c>
      <c r="AG469" s="112" t="e">
        <f>IF(K469="Yes",AF469*Tab_Data_Flows[[#This Row],[Flow_Py]],"N.A.")</f>
        <v>#N/A</v>
      </c>
      <c r="AH469" s="61">
        <f>Tab_Data_Flows[[#This Row],[UoM_Flow_Py]]</f>
        <v>0</v>
      </c>
      <c r="AI469" s="111" t="e">
        <f>INDEX(Tab_Def_Flows[[Flow_ID]:[CC_DM_source]],MATCH(Tab_Data_Flows[[#This Row],[Name(EN)]],Tab_Def_Flows[Name(EN)],0),20)</f>
        <v>#N/A</v>
      </c>
      <c r="AJ469" s="109" t="e">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F_24_24</v>
      </c>
      <c r="C470" s="51"/>
      <c r="D470" s="49">
        <f>_xlfn.XLOOKUP(C470,Tab_Def_Flows[Name(EN)],Tab_Def_Flows[Type_Biomass],,0,)</f>
        <v>0</v>
      </c>
      <c r="E470" s="49">
        <f>_xlfn.XLOOKUP(C470,Tab_Def_Flows[Name(EN)],Tab_Def_Flows[Output_Process],,0,)</f>
        <v>0</v>
      </c>
      <c r="F470" s="49" t="str">
        <f>_xlfn.XLOOKUP(C470,Tab_Def_Flows[Name(EN)],Tab_Def_Flows[Process_ID_O],,0,)</f>
        <v>24__</v>
      </c>
      <c r="G470" s="49">
        <f>_xlfn.XLOOKUP(C470,Tab_Def_Flows[Name(EN)],Tab_Def_Flows[Input_Process],,0,)</f>
        <v>0</v>
      </c>
      <c r="H470" s="61" t="str">
        <f>_xlfn.XLOOKUP(C470,Tab_Def_Flows[Name(EN)],Tab_Def_Flows[Process_ID_I],,0,)</f>
        <v>24__</v>
      </c>
      <c r="I470" s="49">
        <f>_xlfn.XLOOKUP(C470,Tab_Def_Flows[Name(EN)],Tab_Def_Flows[Value_Source],,0,)</f>
        <v>0</v>
      </c>
      <c r="J470" s="61" t="str">
        <f>_xlfn.XLOOKUP(C470,Tab_Def_Flows[Name(EN)],Tab_Def_Flows[WC?],,0,)</f>
        <v>Yes</v>
      </c>
      <c r="K470" s="61" t="str">
        <f>_xlfn.XLOOKUP(C470,Tab_Def_Flows[Name(EN)],Tab_Def_Flows[DM?],,0,)</f>
        <v>Yes</v>
      </c>
      <c r="L470" s="61" t="str">
        <f>_xlfn.XLOOKUP(C470,Tab_Def_Flows[Name(EN)],Tab_Def_Flows[CC?],,0,)</f>
        <v>Yes</v>
      </c>
      <c r="M470" s="51"/>
      <c r="N470" s="51"/>
      <c r="O470" s="119"/>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e">
        <f>IF(J470="Yes",AA470*Tab_Data_Flows[[#This Row],[WC_'[%']]],"N.A.")</f>
        <v>#N/A</v>
      </c>
      <c r="AE470" s="61">
        <f>Tab_Data_Flows[[#This Row],[UoM_Flow_Py]]</f>
        <v>0</v>
      </c>
      <c r="AF470" s="111" t="e">
        <f>INDEX(Tab_Def_Flows[[Flow_ID]:[CC_DM_source]],MATCH(Tab_Data_Flows[[#This Row],[Name(EN)]],Tab_Def_Flows[Name(EN)],0),18)</f>
        <v>#N/A</v>
      </c>
      <c r="AG470" s="112" t="e">
        <f>IF(K470="Yes",AF470*Tab_Data_Flows[[#This Row],[Flow_Py]],"N.A.")</f>
        <v>#N/A</v>
      </c>
      <c r="AH470" s="61">
        <f>Tab_Data_Flows[[#This Row],[UoM_Flow_Py]]</f>
        <v>0</v>
      </c>
      <c r="AI470" s="111" t="e">
        <f>INDEX(Tab_Def_Flows[[Flow_ID]:[CC_DM_source]],MATCH(Tab_Data_Flows[[#This Row],[Name(EN)]],Tab_Def_Flows[Name(EN)],0),20)</f>
        <v>#N/A</v>
      </c>
      <c r="AJ470" s="109" t="e">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F_24_24</v>
      </c>
      <c r="C471" s="51"/>
      <c r="D471" s="49">
        <f>_xlfn.XLOOKUP(C471,Tab_Def_Flows[Name(EN)],Tab_Def_Flows[Type_Biomass],,0,)</f>
        <v>0</v>
      </c>
      <c r="E471" s="49">
        <f>_xlfn.XLOOKUP(C471,Tab_Def_Flows[Name(EN)],Tab_Def_Flows[Output_Process],,0,)</f>
        <v>0</v>
      </c>
      <c r="F471" s="49" t="str">
        <f>_xlfn.XLOOKUP(C471,Tab_Def_Flows[Name(EN)],Tab_Def_Flows[Process_ID_O],,0,)</f>
        <v>24__</v>
      </c>
      <c r="G471" s="49">
        <f>_xlfn.XLOOKUP(C471,Tab_Def_Flows[Name(EN)],Tab_Def_Flows[Input_Process],,0,)</f>
        <v>0</v>
      </c>
      <c r="H471" s="61" t="str">
        <f>_xlfn.XLOOKUP(C471,Tab_Def_Flows[Name(EN)],Tab_Def_Flows[Process_ID_I],,0,)</f>
        <v>24__</v>
      </c>
      <c r="I471" s="49">
        <f>_xlfn.XLOOKUP(C471,Tab_Def_Flows[Name(EN)],Tab_Def_Flows[Value_Source],,0,)</f>
        <v>0</v>
      </c>
      <c r="J471" s="61" t="str">
        <f>_xlfn.XLOOKUP(C471,Tab_Def_Flows[Name(EN)],Tab_Def_Flows[WC?],,0,)</f>
        <v>Yes</v>
      </c>
      <c r="K471" s="61" t="str">
        <f>_xlfn.XLOOKUP(C471,Tab_Def_Flows[Name(EN)],Tab_Def_Flows[DM?],,0,)</f>
        <v>Yes</v>
      </c>
      <c r="L471" s="61" t="str">
        <f>_xlfn.XLOOKUP(C471,Tab_Def_Flows[Name(EN)],Tab_Def_Flows[CC?],,0,)</f>
        <v>Yes</v>
      </c>
      <c r="M471" s="51"/>
      <c r="N471" s="51"/>
      <c r="O471" s="119"/>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e">
        <f>IF(J471="Yes",AA471*Tab_Data_Flows[[#This Row],[WC_'[%']]],"N.A.")</f>
        <v>#N/A</v>
      </c>
      <c r="AE471" s="61">
        <f>Tab_Data_Flows[[#This Row],[UoM_Flow_Py]]</f>
        <v>0</v>
      </c>
      <c r="AF471" s="111" t="e">
        <f>INDEX(Tab_Def_Flows[[Flow_ID]:[CC_DM_source]],MATCH(Tab_Data_Flows[[#This Row],[Name(EN)]],Tab_Def_Flows[Name(EN)],0),18)</f>
        <v>#N/A</v>
      </c>
      <c r="AG471" s="112" t="e">
        <f>IF(K471="Yes",AF471*Tab_Data_Flows[[#This Row],[Flow_Py]],"N.A.")</f>
        <v>#N/A</v>
      </c>
      <c r="AH471" s="61">
        <f>Tab_Data_Flows[[#This Row],[UoM_Flow_Py]]</f>
        <v>0</v>
      </c>
      <c r="AI471" s="111" t="e">
        <f>INDEX(Tab_Def_Flows[[Flow_ID]:[CC_DM_source]],MATCH(Tab_Data_Flows[[#This Row],[Name(EN)]],Tab_Def_Flows[Name(EN)],0),20)</f>
        <v>#N/A</v>
      </c>
      <c r="AJ471" s="109" t="e">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F_24_24</v>
      </c>
      <c r="C472" s="51"/>
      <c r="D472" s="49">
        <f>_xlfn.XLOOKUP(C472,Tab_Def_Flows[Name(EN)],Tab_Def_Flows[Type_Biomass],,0,)</f>
        <v>0</v>
      </c>
      <c r="E472" s="49">
        <f>_xlfn.XLOOKUP(C472,Tab_Def_Flows[Name(EN)],Tab_Def_Flows[Output_Process],,0,)</f>
        <v>0</v>
      </c>
      <c r="F472" s="49" t="str">
        <f>_xlfn.XLOOKUP(C472,Tab_Def_Flows[Name(EN)],Tab_Def_Flows[Process_ID_O],,0,)</f>
        <v>24__</v>
      </c>
      <c r="G472" s="49">
        <f>_xlfn.XLOOKUP(C472,Tab_Def_Flows[Name(EN)],Tab_Def_Flows[Input_Process],,0,)</f>
        <v>0</v>
      </c>
      <c r="H472" s="61" t="str">
        <f>_xlfn.XLOOKUP(C472,Tab_Def_Flows[Name(EN)],Tab_Def_Flows[Process_ID_I],,0,)</f>
        <v>24__</v>
      </c>
      <c r="I472" s="49">
        <f>_xlfn.XLOOKUP(C472,Tab_Def_Flows[Name(EN)],Tab_Def_Flows[Value_Source],,0,)</f>
        <v>0</v>
      </c>
      <c r="J472" s="61" t="str">
        <f>_xlfn.XLOOKUP(C472,Tab_Def_Flows[Name(EN)],Tab_Def_Flows[WC?],,0,)</f>
        <v>Yes</v>
      </c>
      <c r="K472" s="61" t="str">
        <f>_xlfn.XLOOKUP(C472,Tab_Def_Flows[Name(EN)],Tab_Def_Flows[DM?],,0,)</f>
        <v>Yes</v>
      </c>
      <c r="L472" s="61" t="str">
        <f>_xlfn.XLOOKUP(C472,Tab_Def_Flows[Name(EN)],Tab_Def_Flows[CC?],,0,)</f>
        <v>Yes</v>
      </c>
      <c r="M472" s="51"/>
      <c r="N472" s="51"/>
      <c r="O472" s="119"/>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e">
        <f>IF(J472="Yes",AA472*Tab_Data_Flows[[#This Row],[WC_'[%']]],"N.A.")</f>
        <v>#N/A</v>
      </c>
      <c r="AE472" s="61">
        <f>Tab_Data_Flows[[#This Row],[UoM_Flow_Py]]</f>
        <v>0</v>
      </c>
      <c r="AF472" s="111" t="e">
        <f>INDEX(Tab_Def_Flows[[Flow_ID]:[CC_DM_source]],MATCH(Tab_Data_Flows[[#This Row],[Name(EN)]],Tab_Def_Flows[Name(EN)],0),18)</f>
        <v>#N/A</v>
      </c>
      <c r="AG472" s="112" t="e">
        <f>IF(K472="Yes",AF472*Tab_Data_Flows[[#This Row],[Flow_Py]],"N.A.")</f>
        <v>#N/A</v>
      </c>
      <c r="AH472" s="61">
        <f>Tab_Data_Flows[[#This Row],[UoM_Flow_Py]]</f>
        <v>0</v>
      </c>
      <c r="AI472" s="111" t="e">
        <f>INDEX(Tab_Def_Flows[[Flow_ID]:[CC_DM_source]],MATCH(Tab_Data_Flows[[#This Row],[Name(EN)]],Tab_Def_Flows[Name(EN)],0),20)</f>
        <v>#N/A</v>
      </c>
      <c r="AJ472" s="109" t="e">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F_24_24</v>
      </c>
      <c r="C473" s="51"/>
      <c r="D473" s="49">
        <f>_xlfn.XLOOKUP(C473,Tab_Def_Flows[Name(EN)],Tab_Def_Flows[Type_Biomass],,0,)</f>
        <v>0</v>
      </c>
      <c r="E473" s="49">
        <f>_xlfn.XLOOKUP(C473,Tab_Def_Flows[Name(EN)],Tab_Def_Flows[Output_Process],,0,)</f>
        <v>0</v>
      </c>
      <c r="F473" s="49" t="str">
        <f>_xlfn.XLOOKUP(C473,Tab_Def_Flows[Name(EN)],Tab_Def_Flows[Process_ID_O],,0,)</f>
        <v>24__</v>
      </c>
      <c r="G473" s="49">
        <f>_xlfn.XLOOKUP(C473,Tab_Def_Flows[Name(EN)],Tab_Def_Flows[Input_Process],,0,)</f>
        <v>0</v>
      </c>
      <c r="H473" s="61" t="str">
        <f>_xlfn.XLOOKUP(C473,Tab_Def_Flows[Name(EN)],Tab_Def_Flows[Process_ID_I],,0,)</f>
        <v>24__</v>
      </c>
      <c r="I473" s="49">
        <f>_xlfn.XLOOKUP(C473,Tab_Def_Flows[Name(EN)],Tab_Def_Flows[Value_Source],,0,)</f>
        <v>0</v>
      </c>
      <c r="J473" s="61" t="str">
        <f>_xlfn.XLOOKUP(C473,Tab_Def_Flows[Name(EN)],Tab_Def_Flows[WC?],,0,)</f>
        <v>Yes</v>
      </c>
      <c r="K473" s="61" t="str">
        <f>_xlfn.XLOOKUP(C473,Tab_Def_Flows[Name(EN)],Tab_Def_Flows[DM?],,0,)</f>
        <v>Yes</v>
      </c>
      <c r="L473" s="61" t="str">
        <f>_xlfn.XLOOKUP(C473,Tab_Def_Flows[Name(EN)],Tab_Def_Flows[CC?],,0,)</f>
        <v>Yes</v>
      </c>
      <c r="M473" s="51"/>
      <c r="N473" s="51"/>
      <c r="O473" s="119"/>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e">
        <f>IF(J473="Yes",AA473*Tab_Data_Flows[[#This Row],[WC_'[%']]],"N.A.")</f>
        <v>#N/A</v>
      </c>
      <c r="AE473" s="61">
        <f>Tab_Data_Flows[[#This Row],[UoM_Flow_Py]]</f>
        <v>0</v>
      </c>
      <c r="AF473" s="111" t="e">
        <f>INDEX(Tab_Def_Flows[[Flow_ID]:[CC_DM_source]],MATCH(Tab_Data_Flows[[#This Row],[Name(EN)]],Tab_Def_Flows[Name(EN)],0),18)</f>
        <v>#N/A</v>
      </c>
      <c r="AG473" s="112" t="e">
        <f>IF(K473="Yes",AF473*Tab_Data_Flows[[#This Row],[Flow_Py]],"N.A.")</f>
        <v>#N/A</v>
      </c>
      <c r="AH473" s="61">
        <f>Tab_Data_Flows[[#This Row],[UoM_Flow_Py]]</f>
        <v>0</v>
      </c>
      <c r="AI473" s="111" t="e">
        <f>INDEX(Tab_Def_Flows[[Flow_ID]:[CC_DM_source]],MATCH(Tab_Data_Flows[[#This Row],[Name(EN)]],Tab_Def_Flows[Name(EN)],0),20)</f>
        <v>#N/A</v>
      </c>
      <c r="AJ473" s="109" t="e">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F_24_24</v>
      </c>
      <c r="C474" s="51"/>
      <c r="D474" s="49">
        <f>_xlfn.XLOOKUP(C474,Tab_Def_Flows[Name(EN)],Tab_Def_Flows[Type_Biomass],,0,)</f>
        <v>0</v>
      </c>
      <c r="E474" s="49">
        <f>_xlfn.XLOOKUP(C474,Tab_Def_Flows[Name(EN)],Tab_Def_Flows[Output_Process],,0,)</f>
        <v>0</v>
      </c>
      <c r="F474" s="49" t="str">
        <f>_xlfn.XLOOKUP(C474,Tab_Def_Flows[Name(EN)],Tab_Def_Flows[Process_ID_O],,0,)</f>
        <v>24__</v>
      </c>
      <c r="G474" s="49">
        <f>_xlfn.XLOOKUP(C474,Tab_Def_Flows[Name(EN)],Tab_Def_Flows[Input_Process],,0,)</f>
        <v>0</v>
      </c>
      <c r="H474" s="61" t="str">
        <f>_xlfn.XLOOKUP(C474,Tab_Def_Flows[Name(EN)],Tab_Def_Flows[Process_ID_I],,0,)</f>
        <v>24__</v>
      </c>
      <c r="I474" s="49">
        <f>_xlfn.XLOOKUP(C474,Tab_Def_Flows[Name(EN)],Tab_Def_Flows[Value_Source],,0,)</f>
        <v>0</v>
      </c>
      <c r="J474" s="61" t="str">
        <f>_xlfn.XLOOKUP(C474,Tab_Def_Flows[Name(EN)],Tab_Def_Flows[WC?],,0,)</f>
        <v>Yes</v>
      </c>
      <c r="K474" s="61" t="str">
        <f>_xlfn.XLOOKUP(C474,Tab_Def_Flows[Name(EN)],Tab_Def_Flows[DM?],,0,)</f>
        <v>Yes</v>
      </c>
      <c r="L474" s="61" t="str">
        <f>_xlfn.XLOOKUP(C474,Tab_Def_Flows[Name(EN)],Tab_Def_Flows[CC?],,0,)</f>
        <v>Yes</v>
      </c>
      <c r="M474" s="51"/>
      <c r="N474" s="51"/>
      <c r="O474" s="119"/>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e">
        <f>IF(J474="Yes",AA474*Tab_Data_Flows[[#This Row],[WC_'[%']]],"N.A.")</f>
        <v>#N/A</v>
      </c>
      <c r="AE474" s="61">
        <f>Tab_Data_Flows[[#This Row],[UoM_Flow_Py]]</f>
        <v>0</v>
      </c>
      <c r="AF474" s="111" t="e">
        <f>INDEX(Tab_Def_Flows[[Flow_ID]:[CC_DM_source]],MATCH(Tab_Data_Flows[[#This Row],[Name(EN)]],Tab_Def_Flows[Name(EN)],0),18)</f>
        <v>#N/A</v>
      </c>
      <c r="AG474" s="112" t="e">
        <f>IF(K474="Yes",AF474*Tab_Data_Flows[[#This Row],[Flow_Py]],"N.A.")</f>
        <v>#N/A</v>
      </c>
      <c r="AH474" s="61">
        <f>Tab_Data_Flows[[#This Row],[UoM_Flow_Py]]</f>
        <v>0</v>
      </c>
      <c r="AI474" s="111" t="e">
        <f>INDEX(Tab_Def_Flows[[Flow_ID]:[CC_DM_source]],MATCH(Tab_Data_Flows[[#This Row],[Name(EN)]],Tab_Def_Flows[Name(EN)],0),20)</f>
        <v>#N/A</v>
      </c>
      <c r="AJ474" s="109" t="e">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F_24_24</v>
      </c>
      <c r="C475" s="51"/>
      <c r="D475" s="49">
        <f>_xlfn.XLOOKUP(C475,Tab_Def_Flows[Name(EN)],Tab_Def_Flows[Type_Biomass],,0,)</f>
        <v>0</v>
      </c>
      <c r="E475" s="49">
        <f>_xlfn.XLOOKUP(C475,Tab_Def_Flows[Name(EN)],Tab_Def_Flows[Output_Process],,0,)</f>
        <v>0</v>
      </c>
      <c r="F475" s="49" t="str">
        <f>_xlfn.XLOOKUP(C475,Tab_Def_Flows[Name(EN)],Tab_Def_Flows[Process_ID_O],,0,)</f>
        <v>24__</v>
      </c>
      <c r="G475" s="49">
        <f>_xlfn.XLOOKUP(C475,Tab_Def_Flows[Name(EN)],Tab_Def_Flows[Input_Process],,0,)</f>
        <v>0</v>
      </c>
      <c r="H475" s="61" t="str">
        <f>_xlfn.XLOOKUP(C475,Tab_Def_Flows[Name(EN)],Tab_Def_Flows[Process_ID_I],,0,)</f>
        <v>24__</v>
      </c>
      <c r="I475" s="49">
        <f>_xlfn.XLOOKUP(C475,Tab_Def_Flows[Name(EN)],Tab_Def_Flows[Value_Source],,0,)</f>
        <v>0</v>
      </c>
      <c r="J475" s="61" t="str">
        <f>_xlfn.XLOOKUP(C475,Tab_Def_Flows[Name(EN)],Tab_Def_Flows[WC?],,0,)</f>
        <v>Yes</v>
      </c>
      <c r="K475" s="61" t="str">
        <f>_xlfn.XLOOKUP(C475,Tab_Def_Flows[Name(EN)],Tab_Def_Flows[DM?],,0,)</f>
        <v>Yes</v>
      </c>
      <c r="L475" s="61" t="str">
        <f>_xlfn.XLOOKUP(C475,Tab_Def_Flows[Name(EN)],Tab_Def_Flows[CC?],,0,)</f>
        <v>Yes</v>
      </c>
      <c r="M475" s="51"/>
      <c r="N475" s="51"/>
      <c r="O475" s="119"/>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e">
        <f>IF(J475="Yes",AA475*Tab_Data_Flows[[#This Row],[WC_'[%']]],"N.A.")</f>
        <v>#N/A</v>
      </c>
      <c r="AE475" s="61">
        <f>Tab_Data_Flows[[#This Row],[UoM_Flow_Py]]</f>
        <v>0</v>
      </c>
      <c r="AF475" s="111" t="e">
        <f>INDEX(Tab_Def_Flows[[Flow_ID]:[CC_DM_source]],MATCH(Tab_Data_Flows[[#This Row],[Name(EN)]],Tab_Def_Flows[Name(EN)],0),18)</f>
        <v>#N/A</v>
      </c>
      <c r="AG475" s="112" t="e">
        <f>IF(K475="Yes",AF475*Tab_Data_Flows[[#This Row],[Flow_Py]],"N.A.")</f>
        <v>#N/A</v>
      </c>
      <c r="AH475" s="61">
        <f>Tab_Data_Flows[[#This Row],[UoM_Flow_Py]]</f>
        <v>0</v>
      </c>
      <c r="AI475" s="111" t="e">
        <f>INDEX(Tab_Def_Flows[[Flow_ID]:[CC_DM_source]],MATCH(Tab_Data_Flows[[#This Row],[Name(EN)]],Tab_Def_Flows[Name(EN)],0),20)</f>
        <v>#N/A</v>
      </c>
      <c r="AJ475" s="109" t="e">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F_24_24</v>
      </c>
      <c r="C476" s="51"/>
      <c r="D476" s="49">
        <f>_xlfn.XLOOKUP(C476,Tab_Def_Flows[Name(EN)],Tab_Def_Flows[Type_Biomass],,0,)</f>
        <v>0</v>
      </c>
      <c r="E476" s="49">
        <f>_xlfn.XLOOKUP(C476,Tab_Def_Flows[Name(EN)],Tab_Def_Flows[Output_Process],,0,)</f>
        <v>0</v>
      </c>
      <c r="F476" s="49" t="str">
        <f>_xlfn.XLOOKUP(C476,Tab_Def_Flows[Name(EN)],Tab_Def_Flows[Process_ID_O],,0,)</f>
        <v>24__</v>
      </c>
      <c r="G476" s="49">
        <f>_xlfn.XLOOKUP(C476,Tab_Def_Flows[Name(EN)],Tab_Def_Flows[Input_Process],,0,)</f>
        <v>0</v>
      </c>
      <c r="H476" s="61" t="str">
        <f>_xlfn.XLOOKUP(C476,Tab_Def_Flows[Name(EN)],Tab_Def_Flows[Process_ID_I],,0,)</f>
        <v>24__</v>
      </c>
      <c r="I476" s="49">
        <f>_xlfn.XLOOKUP(C476,Tab_Def_Flows[Name(EN)],Tab_Def_Flows[Value_Source],,0,)</f>
        <v>0</v>
      </c>
      <c r="J476" s="61" t="str">
        <f>_xlfn.XLOOKUP(C476,Tab_Def_Flows[Name(EN)],Tab_Def_Flows[WC?],,0,)</f>
        <v>Yes</v>
      </c>
      <c r="K476" s="61" t="str">
        <f>_xlfn.XLOOKUP(C476,Tab_Def_Flows[Name(EN)],Tab_Def_Flows[DM?],,0,)</f>
        <v>Yes</v>
      </c>
      <c r="L476" s="61" t="str">
        <f>_xlfn.XLOOKUP(C476,Tab_Def_Flows[Name(EN)],Tab_Def_Flows[CC?],,0,)</f>
        <v>Yes</v>
      </c>
      <c r="M476" s="51"/>
      <c r="N476" s="51"/>
      <c r="O476" s="119"/>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e">
        <f>IF(J476="Yes",AA476*Tab_Data_Flows[[#This Row],[WC_'[%']]],"N.A.")</f>
        <v>#N/A</v>
      </c>
      <c r="AE476" s="61">
        <f>Tab_Data_Flows[[#This Row],[UoM_Flow_Py]]</f>
        <v>0</v>
      </c>
      <c r="AF476" s="111" t="e">
        <f>INDEX(Tab_Def_Flows[[Flow_ID]:[CC_DM_source]],MATCH(Tab_Data_Flows[[#This Row],[Name(EN)]],Tab_Def_Flows[Name(EN)],0),18)</f>
        <v>#N/A</v>
      </c>
      <c r="AG476" s="112" t="e">
        <f>IF(K476="Yes",AF476*Tab_Data_Flows[[#This Row],[Flow_Py]],"N.A.")</f>
        <v>#N/A</v>
      </c>
      <c r="AH476" s="61">
        <f>Tab_Data_Flows[[#This Row],[UoM_Flow_Py]]</f>
        <v>0</v>
      </c>
      <c r="AI476" s="111" t="e">
        <f>INDEX(Tab_Def_Flows[[Flow_ID]:[CC_DM_source]],MATCH(Tab_Data_Flows[[#This Row],[Name(EN)]],Tab_Def_Flows[Name(EN)],0),20)</f>
        <v>#N/A</v>
      </c>
      <c r="AJ476" s="109" t="e">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F_24_24</v>
      </c>
      <c r="C477" s="51"/>
      <c r="D477" s="49">
        <f>_xlfn.XLOOKUP(C477,Tab_Def_Flows[Name(EN)],Tab_Def_Flows[Type_Biomass],,0,)</f>
        <v>0</v>
      </c>
      <c r="E477" s="49">
        <f>_xlfn.XLOOKUP(C477,Tab_Def_Flows[Name(EN)],Tab_Def_Flows[Output_Process],,0,)</f>
        <v>0</v>
      </c>
      <c r="F477" s="49" t="str">
        <f>_xlfn.XLOOKUP(C477,Tab_Def_Flows[Name(EN)],Tab_Def_Flows[Process_ID_O],,0,)</f>
        <v>24__</v>
      </c>
      <c r="G477" s="49">
        <f>_xlfn.XLOOKUP(C477,Tab_Def_Flows[Name(EN)],Tab_Def_Flows[Input_Process],,0,)</f>
        <v>0</v>
      </c>
      <c r="H477" s="61" t="str">
        <f>_xlfn.XLOOKUP(C477,Tab_Def_Flows[Name(EN)],Tab_Def_Flows[Process_ID_I],,0,)</f>
        <v>24__</v>
      </c>
      <c r="I477" s="49">
        <f>_xlfn.XLOOKUP(C477,Tab_Def_Flows[Name(EN)],Tab_Def_Flows[Value_Source],,0,)</f>
        <v>0</v>
      </c>
      <c r="J477" s="61" t="str">
        <f>_xlfn.XLOOKUP(C477,Tab_Def_Flows[Name(EN)],Tab_Def_Flows[WC?],,0,)</f>
        <v>Yes</v>
      </c>
      <c r="K477" s="61" t="str">
        <f>_xlfn.XLOOKUP(C477,Tab_Def_Flows[Name(EN)],Tab_Def_Flows[DM?],,0,)</f>
        <v>Yes</v>
      </c>
      <c r="L477" s="61" t="str">
        <f>_xlfn.XLOOKUP(C477,Tab_Def_Flows[Name(EN)],Tab_Def_Flows[CC?],,0,)</f>
        <v>Yes</v>
      </c>
      <c r="M477" s="51"/>
      <c r="N477" s="51"/>
      <c r="O477" s="119"/>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e">
        <f>IF(J477="Yes",AA477*Tab_Data_Flows[[#This Row],[WC_'[%']]],"N.A.")</f>
        <v>#N/A</v>
      </c>
      <c r="AE477" s="61">
        <f>Tab_Data_Flows[[#This Row],[UoM_Flow_Py]]</f>
        <v>0</v>
      </c>
      <c r="AF477" s="111" t="e">
        <f>INDEX(Tab_Def_Flows[[Flow_ID]:[CC_DM_source]],MATCH(Tab_Data_Flows[[#This Row],[Name(EN)]],Tab_Def_Flows[Name(EN)],0),18)</f>
        <v>#N/A</v>
      </c>
      <c r="AG477" s="112" t="e">
        <f>IF(K477="Yes",AF477*Tab_Data_Flows[[#This Row],[Flow_Py]],"N.A.")</f>
        <v>#N/A</v>
      </c>
      <c r="AH477" s="61">
        <f>Tab_Data_Flows[[#This Row],[UoM_Flow_Py]]</f>
        <v>0</v>
      </c>
      <c r="AI477" s="111" t="e">
        <f>INDEX(Tab_Def_Flows[[Flow_ID]:[CC_DM_source]],MATCH(Tab_Data_Flows[[#This Row],[Name(EN)]],Tab_Def_Flows[Name(EN)],0),20)</f>
        <v>#N/A</v>
      </c>
      <c r="AJ477" s="109" t="e">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F_24_24</v>
      </c>
      <c r="C478" s="51"/>
      <c r="D478" s="49">
        <f>_xlfn.XLOOKUP(C478,Tab_Def_Flows[Name(EN)],Tab_Def_Flows[Type_Biomass],,0,)</f>
        <v>0</v>
      </c>
      <c r="E478" s="49">
        <f>_xlfn.XLOOKUP(C478,Tab_Def_Flows[Name(EN)],Tab_Def_Flows[Output_Process],,0,)</f>
        <v>0</v>
      </c>
      <c r="F478" s="49" t="str">
        <f>_xlfn.XLOOKUP(C478,Tab_Def_Flows[Name(EN)],Tab_Def_Flows[Process_ID_O],,0,)</f>
        <v>24__</v>
      </c>
      <c r="G478" s="49">
        <f>_xlfn.XLOOKUP(C478,Tab_Def_Flows[Name(EN)],Tab_Def_Flows[Input_Process],,0,)</f>
        <v>0</v>
      </c>
      <c r="H478" s="61" t="str">
        <f>_xlfn.XLOOKUP(C478,Tab_Def_Flows[Name(EN)],Tab_Def_Flows[Process_ID_I],,0,)</f>
        <v>24__</v>
      </c>
      <c r="I478" s="49">
        <f>_xlfn.XLOOKUP(C478,Tab_Def_Flows[Name(EN)],Tab_Def_Flows[Value_Source],,0,)</f>
        <v>0</v>
      </c>
      <c r="J478" s="61" t="str">
        <f>_xlfn.XLOOKUP(C478,Tab_Def_Flows[Name(EN)],Tab_Def_Flows[WC?],,0,)</f>
        <v>Yes</v>
      </c>
      <c r="K478" s="61" t="str">
        <f>_xlfn.XLOOKUP(C478,Tab_Def_Flows[Name(EN)],Tab_Def_Flows[DM?],,0,)</f>
        <v>Yes</v>
      </c>
      <c r="L478" s="61" t="str">
        <f>_xlfn.XLOOKUP(C478,Tab_Def_Flows[Name(EN)],Tab_Def_Flows[CC?],,0,)</f>
        <v>Yes</v>
      </c>
      <c r="M478" s="51"/>
      <c r="N478" s="51"/>
      <c r="O478" s="119"/>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e">
        <f>IF(J478="Yes",AA478*Tab_Data_Flows[[#This Row],[WC_'[%']]],"N.A.")</f>
        <v>#N/A</v>
      </c>
      <c r="AE478" s="61">
        <f>Tab_Data_Flows[[#This Row],[UoM_Flow_Py]]</f>
        <v>0</v>
      </c>
      <c r="AF478" s="111" t="e">
        <f>INDEX(Tab_Def_Flows[[Flow_ID]:[CC_DM_source]],MATCH(Tab_Data_Flows[[#This Row],[Name(EN)]],Tab_Def_Flows[Name(EN)],0),18)</f>
        <v>#N/A</v>
      </c>
      <c r="AG478" s="112" t="e">
        <f>IF(K478="Yes",AF478*Tab_Data_Flows[[#This Row],[Flow_Py]],"N.A.")</f>
        <v>#N/A</v>
      </c>
      <c r="AH478" s="61">
        <f>Tab_Data_Flows[[#This Row],[UoM_Flow_Py]]</f>
        <v>0</v>
      </c>
      <c r="AI478" s="111" t="e">
        <f>INDEX(Tab_Def_Flows[[Flow_ID]:[CC_DM_source]],MATCH(Tab_Data_Flows[[#This Row],[Name(EN)]],Tab_Def_Flows[Name(EN)],0),20)</f>
        <v>#N/A</v>
      </c>
      <c r="AJ478" s="109" t="e">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F_24_24</v>
      </c>
      <c r="C479" s="51"/>
      <c r="D479" s="49">
        <f>_xlfn.XLOOKUP(C479,Tab_Def_Flows[Name(EN)],Tab_Def_Flows[Type_Biomass],,0,)</f>
        <v>0</v>
      </c>
      <c r="E479" s="49">
        <f>_xlfn.XLOOKUP(C479,Tab_Def_Flows[Name(EN)],Tab_Def_Flows[Output_Process],,0,)</f>
        <v>0</v>
      </c>
      <c r="F479" s="49" t="str">
        <f>_xlfn.XLOOKUP(C479,Tab_Def_Flows[Name(EN)],Tab_Def_Flows[Process_ID_O],,0,)</f>
        <v>24__</v>
      </c>
      <c r="G479" s="49">
        <f>_xlfn.XLOOKUP(C479,Tab_Def_Flows[Name(EN)],Tab_Def_Flows[Input_Process],,0,)</f>
        <v>0</v>
      </c>
      <c r="H479" s="61" t="str">
        <f>_xlfn.XLOOKUP(C479,Tab_Def_Flows[Name(EN)],Tab_Def_Flows[Process_ID_I],,0,)</f>
        <v>24__</v>
      </c>
      <c r="I479" s="49">
        <f>_xlfn.XLOOKUP(C479,Tab_Def_Flows[Name(EN)],Tab_Def_Flows[Value_Source],,0,)</f>
        <v>0</v>
      </c>
      <c r="J479" s="61" t="str">
        <f>_xlfn.XLOOKUP(C479,Tab_Def_Flows[Name(EN)],Tab_Def_Flows[WC?],,0,)</f>
        <v>Yes</v>
      </c>
      <c r="K479" s="61" t="str">
        <f>_xlfn.XLOOKUP(C479,Tab_Def_Flows[Name(EN)],Tab_Def_Flows[DM?],,0,)</f>
        <v>Yes</v>
      </c>
      <c r="L479" s="61" t="str">
        <f>_xlfn.XLOOKUP(C479,Tab_Def_Flows[Name(EN)],Tab_Def_Flows[CC?],,0,)</f>
        <v>Yes</v>
      </c>
      <c r="M479" s="51"/>
      <c r="N479" s="51"/>
      <c r="O479" s="119"/>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e">
        <f>IF(J479="Yes",AA479*Tab_Data_Flows[[#This Row],[WC_'[%']]],"N.A.")</f>
        <v>#N/A</v>
      </c>
      <c r="AE479" s="61">
        <f>Tab_Data_Flows[[#This Row],[UoM_Flow_Py]]</f>
        <v>0</v>
      </c>
      <c r="AF479" s="111" t="e">
        <f>INDEX(Tab_Def_Flows[[Flow_ID]:[CC_DM_source]],MATCH(Tab_Data_Flows[[#This Row],[Name(EN)]],Tab_Def_Flows[Name(EN)],0),18)</f>
        <v>#N/A</v>
      </c>
      <c r="AG479" s="112" t="e">
        <f>IF(K479="Yes",AF479*Tab_Data_Flows[[#This Row],[Flow_Py]],"N.A.")</f>
        <v>#N/A</v>
      </c>
      <c r="AH479" s="61">
        <f>Tab_Data_Flows[[#This Row],[UoM_Flow_Py]]</f>
        <v>0</v>
      </c>
      <c r="AI479" s="111" t="e">
        <f>INDEX(Tab_Def_Flows[[Flow_ID]:[CC_DM_source]],MATCH(Tab_Data_Flows[[#This Row],[Name(EN)]],Tab_Def_Flows[Name(EN)],0),20)</f>
        <v>#N/A</v>
      </c>
      <c r="AJ479" s="109" t="e">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F_24_24</v>
      </c>
      <c r="C480" s="51"/>
      <c r="D480" s="49">
        <f>_xlfn.XLOOKUP(C480,Tab_Def_Flows[Name(EN)],Tab_Def_Flows[Type_Biomass],,0,)</f>
        <v>0</v>
      </c>
      <c r="E480" s="49">
        <f>_xlfn.XLOOKUP(C480,Tab_Def_Flows[Name(EN)],Tab_Def_Flows[Output_Process],,0,)</f>
        <v>0</v>
      </c>
      <c r="F480" s="49" t="str">
        <f>_xlfn.XLOOKUP(C480,Tab_Def_Flows[Name(EN)],Tab_Def_Flows[Process_ID_O],,0,)</f>
        <v>24__</v>
      </c>
      <c r="G480" s="49">
        <f>_xlfn.XLOOKUP(C480,Tab_Def_Flows[Name(EN)],Tab_Def_Flows[Input_Process],,0,)</f>
        <v>0</v>
      </c>
      <c r="H480" s="61" t="str">
        <f>_xlfn.XLOOKUP(C480,Tab_Def_Flows[Name(EN)],Tab_Def_Flows[Process_ID_I],,0,)</f>
        <v>24__</v>
      </c>
      <c r="I480" s="49">
        <f>_xlfn.XLOOKUP(C480,Tab_Def_Flows[Name(EN)],Tab_Def_Flows[Value_Source],,0,)</f>
        <v>0</v>
      </c>
      <c r="J480" s="61" t="str">
        <f>_xlfn.XLOOKUP(C480,Tab_Def_Flows[Name(EN)],Tab_Def_Flows[WC?],,0,)</f>
        <v>Yes</v>
      </c>
      <c r="K480" s="61" t="str">
        <f>_xlfn.XLOOKUP(C480,Tab_Def_Flows[Name(EN)],Tab_Def_Flows[DM?],,0,)</f>
        <v>Yes</v>
      </c>
      <c r="L480" s="61" t="str">
        <f>_xlfn.XLOOKUP(C480,Tab_Def_Flows[Name(EN)],Tab_Def_Flows[CC?],,0,)</f>
        <v>Yes</v>
      </c>
      <c r="M480" s="51"/>
      <c r="N480" s="51"/>
      <c r="O480" s="119"/>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e">
        <f>IF(J480="Yes",AA480*Tab_Data_Flows[[#This Row],[WC_'[%']]],"N.A.")</f>
        <v>#N/A</v>
      </c>
      <c r="AE480" s="61">
        <f>Tab_Data_Flows[[#This Row],[UoM_Flow_Py]]</f>
        <v>0</v>
      </c>
      <c r="AF480" s="111" t="e">
        <f>INDEX(Tab_Def_Flows[[Flow_ID]:[CC_DM_source]],MATCH(Tab_Data_Flows[[#This Row],[Name(EN)]],Tab_Def_Flows[Name(EN)],0),18)</f>
        <v>#N/A</v>
      </c>
      <c r="AG480" s="112" t="e">
        <f>IF(K480="Yes",AF480*Tab_Data_Flows[[#This Row],[Flow_Py]],"N.A.")</f>
        <v>#N/A</v>
      </c>
      <c r="AH480" s="61">
        <f>Tab_Data_Flows[[#This Row],[UoM_Flow_Py]]</f>
        <v>0</v>
      </c>
      <c r="AI480" s="111" t="e">
        <f>INDEX(Tab_Def_Flows[[Flow_ID]:[CC_DM_source]],MATCH(Tab_Data_Flows[[#This Row],[Name(EN)]],Tab_Def_Flows[Name(EN)],0),20)</f>
        <v>#N/A</v>
      </c>
      <c r="AJ480" s="109" t="e">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F_24_24</v>
      </c>
      <c r="C481" s="51"/>
      <c r="D481" s="49">
        <f>_xlfn.XLOOKUP(C481,Tab_Def_Flows[Name(EN)],Tab_Def_Flows[Type_Biomass],,0,)</f>
        <v>0</v>
      </c>
      <c r="E481" s="49">
        <f>_xlfn.XLOOKUP(C481,Tab_Def_Flows[Name(EN)],Tab_Def_Flows[Output_Process],,0,)</f>
        <v>0</v>
      </c>
      <c r="F481" s="49" t="str">
        <f>_xlfn.XLOOKUP(C481,Tab_Def_Flows[Name(EN)],Tab_Def_Flows[Process_ID_O],,0,)</f>
        <v>24__</v>
      </c>
      <c r="G481" s="49">
        <f>_xlfn.XLOOKUP(C481,Tab_Def_Flows[Name(EN)],Tab_Def_Flows[Input_Process],,0,)</f>
        <v>0</v>
      </c>
      <c r="H481" s="61" t="str">
        <f>_xlfn.XLOOKUP(C481,Tab_Def_Flows[Name(EN)],Tab_Def_Flows[Process_ID_I],,0,)</f>
        <v>24__</v>
      </c>
      <c r="I481" s="49">
        <f>_xlfn.XLOOKUP(C481,Tab_Def_Flows[Name(EN)],Tab_Def_Flows[Value_Source],,0,)</f>
        <v>0</v>
      </c>
      <c r="J481" s="61" t="str">
        <f>_xlfn.XLOOKUP(C481,Tab_Def_Flows[Name(EN)],Tab_Def_Flows[WC?],,0,)</f>
        <v>Yes</v>
      </c>
      <c r="K481" s="61" t="str">
        <f>_xlfn.XLOOKUP(C481,Tab_Def_Flows[Name(EN)],Tab_Def_Flows[DM?],,0,)</f>
        <v>Yes</v>
      </c>
      <c r="L481" s="61" t="str">
        <f>_xlfn.XLOOKUP(C481,Tab_Def_Flows[Name(EN)],Tab_Def_Flows[CC?],,0,)</f>
        <v>Yes</v>
      </c>
      <c r="M481" s="51"/>
      <c r="N481" s="51"/>
      <c r="O481" s="119"/>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e">
        <f>IF(J481="Yes",AA481*Tab_Data_Flows[[#This Row],[WC_'[%']]],"N.A.")</f>
        <v>#N/A</v>
      </c>
      <c r="AE481" s="61">
        <f>Tab_Data_Flows[[#This Row],[UoM_Flow_Py]]</f>
        <v>0</v>
      </c>
      <c r="AF481" s="111" t="e">
        <f>INDEX(Tab_Def_Flows[[Flow_ID]:[CC_DM_source]],MATCH(Tab_Data_Flows[[#This Row],[Name(EN)]],Tab_Def_Flows[Name(EN)],0),18)</f>
        <v>#N/A</v>
      </c>
      <c r="AG481" s="112" t="e">
        <f>IF(K481="Yes",AF481*Tab_Data_Flows[[#This Row],[Flow_Py]],"N.A.")</f>
        <v>#N/A</v>
      </c>
      <c r="AH481" s="61">
        <f>Tab_Data_Flows[[#This Row],[UoM_Flow_Py]]</f>
        <v>0</v>
      </c>
      <c r="AI481" s="111" t="e">
        <f>INDEX(Tab_Def_Flows[[Flow_ID]:[CC_DM_source]],MATCH(Tab_Data_Flows[[#This Row],[Name(EN)]],Tab_Def_Flows[Name(EN)],0),20)</f>
        <v>#N/A</v>
      </c>
      <c r="AJ481" s="109" t="e">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F_24_24</v>
      </c>
      <c r="C482" s="51"/>
      <c r="D482" s="49">
        <f>_xlfn.XLOOKUP(C482,Tab_Def_Flows[Name(EN)],Tab_Def_Flows[Type_Biomass],,0,)</f>
        <v>0</v>
      </c>
      <c r="E482" s="49">
        <f>_xlfn.XLOOKUP(C482,Tab_Def_Flows[Name(EN)],Tab_Def_Flows[Output_Process],,0,)</f>
        <v>0</v>
      </c>
      <c r="F482" s="49" t="str">
        <f>_xlfn.XLOOKUP(C482,Tab_Def_Flows[Name(EN)],Tab_Def_Flows[Process_ID_O],,0,)</f>
        <v>24__</v>
      </c>
      <c r="G482" s="49">
        <f>_xlfn.XLOOKUP(C482,Tab_Def_Flows[Name(EN)],Tab_Def_Flows[Input_Process],,0,)</f>
        <v>0</v>
      </c>
      <c r="H482" s="61" t="str">
        <f>_xlfn.XLOOKUP(C482,Tab_Def_Flows[Name(EN)],Tab_Def_Flows[Process_ID_I],,0,)</f>
        <v>24__</v>
      </c>
      <c r="I482" s="49">
        <f>_xlfn.XLOOKUP(C482,Tab_Def_Flows[Name(EN)],Tab_Def_Flows[Value_Source],,0,)</f>
        <v>0</v>
      </c>
      <c r="J482" s="61" t="str">
        <f>_xlfn.XLOOKUP(C482,Tab_Def_Flows[Name(EN)],Tab_Def_Flows[WC?],,0,)</f>
        <v>Yes</v>
      </c>
      <c r="K482" s="61" t="str">
        <f>_xlfn.XLOOKUP(C482,Tab_Def_Flows[Name(EN)],Tab_Def_Flows[DM?],,0,)</f>
        <v>Yes</v>
      </c>
      <c r="L482" s="61" t="str">
        <f>_xlfn.XLOOKUP(C482,Tab_Def_Flows[Name(EN)],Tab_Def_Flows[CC?],,0,)</f>
        <v>Yes</v>
      </c>
      <c r="M482" s="51"/>
      <c r="N482" s="51"/>
      <c r="O482" s="119"/>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e">
        <f>IF(J482="Yes",AA482*Tab_Data_Flows[[#This Row],[WC_'[%']]],"N.A.")</f>
        <v>#N/A</v>
      </c>
      <c r="AE482" s="61">
        <f>Tab_Data_Flows[[#This Row],[UoM_Flow_Py]]</f>
        <v>0</v>
      </c>
      <c r="AF482" s="111" t="e">
        <f>INDEX(Tab_Def_Flows[[Flow_ID]:[CC_DM_source]],MATCH(Tab_Data_Flows[[#This Row],[Name(EN)]],Tab_Def_Flows[Name(EN)],0),18)</f>
        <v>#N/A</v>
      </c>
      <c r="AG482" s="112" t="e">
        <f>IF(K482="Yes",AF482*Tab_Data_Flows[[#This Row],[Flow_Py]],"N.A.")</f>
        <v>#N/A</v>
      </c>
      <c r="AH482" s="61">
        <f>Tab_Data_Flows[[#This Row],[UoM_Flow_Py]]</f>
        <v>0</v>
      </c>
      <c r="AI482" s="111" t="e">
        <f>INDEX(Tab_Def_Flows[[Flow_ID]:[CC_DM_source]],MATCH(Tab_Data_Flows[[#This Row],[Name(EN)]],Tab_Def_Flows[Name(EN)],0),20)</f>
        <v>#N/A</v>
      </c>
      <c r="AJ482" s="109" t="e">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F_24_24</v>
      </c>
      <c r="C483" s="51"/>
      <c r="D483" s="49">
        <f>_xlfn.XLOOKUP(C483,Tab_Def_Flows[Name(EN)],Tab_Def_Flows[Type_Biomass],,0,)</f>
        <v>0</v>
      </c>
      <c r="E483" s="49">
        <f>_xlfn.XLOOKUP(C483,Tab_Def_Flows[Name(EN)],Tab_Def_Flows[Output_Process],,0,)</f>
        <v>0</v>
      </c>
      <c r="F483" s="49" t="str">
        <f>_xlfn.XLOOKUP(C483,Tab_Def_Flows[Name(EN)],Tab_Def_Flows[Process_ID_O],,0,)</f>
        <v>24__</v>
      </c>
      <c r="G483" s="49">
        <f>_xlfn.XLOOKUP(C483,Tab_Def_Flows[Name(EN)],Tab_Def_Flows[Input_Process],,0,)</f>
        <v>0</v>
      </c>
      <c r="H483" s="61" t="str">
        <f>_xlfn.XLOOKUP(C483,Tab_Def_Flows[Name(EN)],Tab_Def_Flows[Process_ID_I],,0,)</f>
        <v>24__</v>
      </c>
      <c r="I483" s="49">
        <f>_xlfn.XLOOKUP(C483,Tab_Def_Flows[Name(EN)],Tab_Def_Flows[Value_Source],,0,)</f>
        <v>0</v>
      </c>
      <c r="J483" s="61" t="str">
        <f>_xlfn.XLOOKUP(C483,Tab_Def_Flows[Name(EN)],Tab_Def_Flows[WC?],,0,)</f>
        <v>Yes</v>
      </c>
      <c r="K483" s="61" t="str">
        <f>_xlfn.XLOOKUP(C483,Tab_Def_Flows[Name(EN)],Tab_Def_Flows[DM?],,0,)</f>
        <v>Yes</v>
      </c>
      <c r="L483" s="61" t="str">
        <f>_xlfn.XLOOKUP(C483,Tab_Def_Flows[Name(EN)],Tab_Def_Flows[CC?],,0,)</f>
        <v>Yes</v>
      </c>
      <c r="M483" s="51"/>
      <c r="N483" s="51"/>
      <c r="O483" s="119"/>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e">
        <f>IF(J483="Yes",AA483*Tab_Data_Flows[[#This Row],[WC_'[%']]],"N.A.")</f>
        <v>#N/A</v>
      </c>
      <c r="AE483" s="61">
        <f>Tab_Data_Flows[[#This Row],[UoM_Flow_Py]]</f>
        <v>0</v>
      </c>
      <c r="AF483" s="111" t="e">
        <f>INDEX(Tab_Def_Flows[[Flow_ID]:[CC_DM_source]],MATCH(Tab_Data_Flows[[#This Row],[Name(EN)]],Tab_Def_Flows[Name(EN)],0),18)</f>
        <v>#N/A</v>
      </c>
      <c r="AG483" s="112" t="e">
        <f>IF(K483="Yes",AF483*Tab_Data_Flows[[#This Row],[Flow_Py]],"N.A.")</f>
        <v>#N/A</v>
      </c>
      <c r="AH483" s="61">
        <f>Tab_Data_Flows[[#This Row],[UoM_Flow_Py]]</f>
        <v>0</v>
      </c>
      <c r="AI483" s="111" t="e">
        <f>INDEX(Tab_Def_Flows[[Flow_ID]:[CC_DM_source]],MATCH(Tab_Data_Flows[[#This Row],[Name(EN)]],Tab_Def_Flows[Name(EN)],0),20)</f>
        <v>#N/A</v>
      </c>
      <c r="AJ483" s="109" t="e">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F_24_24</v>
      </c>
      <c r="C484" s="51"/>
      <c r="D484" s="49">
        <f>_xlfn.XLOOKUP(C484,Tab_Def_Flows[Name(EN)],Tab_Def_Flows[Type_Biomass],,0,)</f>
        <v>0</v>
      </c>
      <c r="E484" s="49">
        <f>_xlfn.XLOOKUP(C484,Tab_Def_Flows[Name(EN)],Tab_Def_Flows[Output_Process],,0,)</f>
        <v>0</v>
      </c>
      <c r="F484" s="49" t="str">
        <f>_xlfn.XLOOKUP(C484,Tab_Def_Flows[Name(EN)],Tab_Def_Flows[Process_ID_O],,0,)</f>
        <v>24__</v>
      </c>
      <c r="G484" s="49">
        <f>_xlfn.XLOOKUP(C484,Tab_Def_Flows[Name(EN)],Tab_Def_Flows[Input_Process],,0,)</f>
        <v>0</v>
      </c>
      <c r="H484" s="61" t="str">
        <f>_xlfn.XLOOKUP(C484,Tab_Def_Flows[Name(EN)],Tab_Def_Flows[Process_ID_I],,0,)</f>
        <v>24__</v>
      </c>
      <c r="I484" s="49">
        <f>_xlfn.XLOOKUP(C484,Tab_Def_Flows[Name(EN)],Tab_Def_Flows[Value_Source],,0,)</f>
        <v>0</v>
      </c>
      <c r="J484" s="61" t="str">
        <f>_xlfn.XLOOKUP(C484,Tab_Def_Flows[Name(EN)],Tab_Def_Flows[WC?],,0,)</f>
        <v>Yes</v>
      </c>
      <c r="K484" s="61" t="str">
        <f>_xlfn.XLOOKUP(C484,Tab_Def_Flows[Name(EN)],Tab_Def_Flows[DM?],,0,)</f>
        <v>Yes</v>
      </c>
      <c r="L484" s="61" t="str">
        <f>_xlfn.XLOOKUP(C484,Tab_Def_Flows[Name(EN)],Tab_Def_Flows[CC?],,0,)</f>
        <v>Yes</v>
      </c>
      <c r="M484" s="51"/>
      <c r="N484" s="51"/>
      <c r="O484" s="119"/>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e">
        <f>IF(J484="Yes",AA484*Tab_Data_Flows[[#This Row],[WC_'[%']]],"N.A.")</f>
        <v>#N/A</v>
      </c>
      <c r="AE484" s="61">
        <f>Tab_Data_Flows[[#This Row],[UoM_Flow_Py]]</f>
        <v>0</v>
      </c>
      <c r="AF484" s="111" t="e">
        <f>INDEX(Tab_Def_Flows[[Flow_ID]:[CC_DM_source]],MATCH(Tab_Data_Flows[[#This Row],[Name(EN)]],Tab_Def_Flows[Name(EN)],0),18)</f>
        <v>#N/A</v>
      </c>
      <c r="AG484" s="112" t="e">
        <f>IF(K484="Yes",AF484*Tab_Data_Flows[[#This Row],[Flow_Py]],"N.A.")</f>
        <v>#N/A</v>
      </c>
      <c r="AH484" s="61">
        <f>Tab_Data_Flows[[#This Row],[UoM_Flow_Py]]</f>
        <v>0</v>
      </c>
      <c r="AI484" s="111" t="e">
        <f>INDEX(Tab_Def_Flows[[Flow_ID]:[CC_DM_source]],MATCH(Tab_Data_Flows[[#This Row],[Name(EN)]],Tab_Def_Flows[Name(EN)],0),20)</f>
        <v>#N/A</v>
      </c>
      <c r="AJ484" s="109" t="e">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F_24_24</v>
      </c>
      <c r="C485" s="51"/>
      <c r="D485" s="49">
        <f>_xlfn.XLOOKUP(C485,Tab_Def_Flows[Name(EN)],Tab_Def_Flows[Type_Biomass],,0,)</f>
        <v>0</v>
      </c>
      <c r="E485" s="49">
        <f>_xlfn.XLOOKUP(C485,Tab_Def_Flows[Name(EN)],Tab_Def_Flows[Output_Process],,0,)</f>
        <v>0</v>
      </c>
      <c r="F485" s="49" t="str">
        <f>_xlfn.XLOOKUP(C485,Tab_Def_Flows[Name(EN)],Tab_Def_Flows[Process_ID_O],,0,)</f>
        <v>24__</v>
      </c>
      <c r="G485" s="49">
        <f>_xlfn.XLOOKUP(C485,Tab_Def_Flows[Name(EN)],Tab_Def_Flows[Input_Process],,0,)</f>
        <v>0</v>
      </c>
      <c r="H485" s="61" t="str">
        <f>_xlfn.XLOOKUP(C485,Tab_Def_Flows[Name(EN)],Tab_Def_Flows[Process_ID_I],,0,)</f>
        <v>24__</v>
      </c>
      <c r="I485" s="49">
        <f>_xlfn.XLOOKUP(C485,Tab_Def_Flows[Name(EN)],Tab_Def_Flows[Value_Source],,0,)</f>
        <v>0</v>
      </c>
      <c r="J485" s="61" t="str">
        <f>_xlfn.XLOOKUP(C485,Tab_Def_Flows[Name(EN)],Tab_Def_Flows[WC?],,0,)</f>
        <v>Yes</v>
      </c>
      <c r="K485" s="61" t="str">
        <f>_xlfn.XLOOKUP(C485,Tab_Def_Flows[Name(EN)],Tab_Def_Flows[DM?],,0,)</f>
        <v>Yes</v>
      </c>
      <c r="L485" s="61" t="str">
        <f>_xlfn.XLOOKUP(C485,Tab_Def_Flows[Name(EN)],Tab_Def_Flows[CC?],,0,)</f>
        <v>Yes</v>
      </c>
      <c r="M485" s="51"/>
      <c r="N485" s="51"/>
      <c r="O485" s="119"/>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e">
        <f>IF(J485="Yes",AA485*Tab_Data_Flows[[#This Row],[WC_'[%']]],"N.A.")</f>
        <v>#N/A</v>
      </c>
      <c r="AE485" s="61">
        <f>Tab_Data_Flows[[#This Row],[UoM_Flow_Py]]</f>
        <v>0</v>
      </c>
      <c r="AF485" s="111" t="e">
        <f>INDEX(Tab_Def_Flows[[Flow_ID]:[CC_DM_source]],MATCH(Tab_Data_Flows[[#This Row],[Name(EN)]],Tab_Def_Flows[Name(EN)],0),18)</f>
        <v>#N/A</v>
      </c>
      <c r="AG485" s="112" t="e">
        <f>IF(K485="Yes",AF485*Tab_Data_Flows[[#This Row],[Flow_Py]],"N.A.")</f>
        <v>#N/A</v>
      </c>
      <c r="AH485" s="61">
        <f>Tab_Data_Flows[[#This Row],[UoM_Flow_Py]]</f>
        <v>0</v>
      </c>
      <c r="AI485" s="111" t="e">
        <f>INDEX(Tab_Def_Flows[[Flow_ID]:[CC_DM_source]],MATCH(Tab_Data_Flows[[#This Row],[Name(EN)]],Tab_Def_Flows[Name(EN)],0),20)</f>
        <v>#N/A</v>
      </c>
      <c r="AJ485" s="109" t="e">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F_24_24</v>
      </c>
      <c r="C486" s="51"/>
      <c r="D486" s="49">
        <f>_xlfn.XLOOKUP(C486,Tab_Def_Flows[Name(EN)],Tab_Def_Flows[Type_Biomass],,0,)</f>
        <v>0</v>
      </c>
      <c r="E486" s="49">
        <f>_xlfn.XLOOKUP(C486,Tab_Def_Flows[Name(EN)],Tab_Def_Flows[Output_Process],,0,)</f>
        <v>0</v>
      </c>
      <c r="F486" s="49" t="str">
        <f>_xlfn.XLOOKUP(C486,Tab_Def_Flows[Name(EN)],Tab_Def_Flows[Process_ID_O],,0,)</f>
        <v>24__</v>
      </c>
      <c r="G486" s="49">
        <f>_xlfn.XLOOKUP(C486,Tab_Def_Flows[Name(EN)],Tab_Def_Flows[Input_Process],,0,)</f>
        <v>0</v>
      </c>
      <c r="H486" s="61" t="str">
        <f>_xlfn.XLOOKUP(C486,Tab_Def_Flows[Name(EN)],Tab_Def_Flows[Process_ID_I],,0,)</f>
        <v>24__</v>
      </c>
      <c r="I486" s="49">
        <f>_xlfn.XLOOKUP(C486,Tab_Def_Flows[Name(EN)],Tab_Def_Flows[Value_Source],,0,)</f>
        <v>0</v>
      </c>
      <c r="J486" s="61" t="str">
        <f>_xlfn.XLOOKUP(C486,Tab_Def_Flows[Name(EN)],Tab_Def_Flows[WC?],,0,)</f>
        <v>Yes</v>
      </c>
      <c r="K486" s="61" t="str">
        <f>_xlfn.XLOOKUP(C486,Tab_Def_Flows[Name(EN)],Tab_Def_Flows[DM?],,0,)</f>
        <v>Yes</v>
      </c>
      <c r="L486" s="61" t="str">
        <f>_xlfn.XLOOKUP(C486,Tab_Def_Flows[Name(EN)],Tab_Def_Flows[CC?],,0,)</f>
        <v>Yes</v>
      </c>
      <c r="M486" s="51"/>
      <c r="N486" s="51"/>
      <c r="O486" s="119"/>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e">
        <f>IF(J486="Yes",AA486*Tab_Data_Flows[[#This Row],[WC_'[%']]],"N.A.")</f>
        <v>#N/A</v>
      </c>
      <c r="AE486" s="61">
        <f>Tab_Data_Flows[[#This Row],[UoM_Flow_Py]]</f>
        <v>0</v>
      </c>
      <c r="AF486" s="111" t="e">
        <f>INDEX(Tab_Def_Flows[[Flow_ID]:[CC_DM_source]],MATCH(Tab_Data_Flows[[#This Row],[Name(EN)]],Tab_Def_Flows[Name(EN)],0),18)</f>
        <v>#N/A</v>
      </c>
      <c r="AG486" s="112" t="e">
        <f>IF(K486="Yes",AF486*Tab_Data_Flows[[#This Row],[Flow_Py]],"N.A.")</f>
        <v>#N/A</v>
      </c>
      <c r="AH486" s="61">
        <f>Tab_Data_Flows[[#This Row],[UoM_Flow_Py]]</f>
        <v>0</v>
      </c>
      <c r="AI486" s="111" t="e">
        <f>INDEX(Tab_Def_Flows[[Flow_ID]:[CC_DM_source]],MATCH(Tab_Data_Flows[[#This Row],[Name(EN)]],Tab_Def_Flows[Name(EN)],0),20)</f>
        <v>#N/A</v>
      </c>
      <c r="AJ486" s="109" t="e">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F_24_24</v>
      </c>
      <c r="C487" s="51"/>
      <c r="D487" s="49">
        <f>_xlfn.XLOOKUP(C487,Tab_Def_Flows[Name(EN)],Tab_Def_Flows[Type_Biomass],,0,)</f>
        <v>0</v>
      </c>
      <c r="E487" s="49">
        <f>_xlfn.XLOOKUP(C487,Tab_Def_Flows[Name(EN)],Tab_Def_Flows[Output_Process],,0,)</f>
        <v>0</v>
      </c>
      <c r="F487" s="49" t="str">
        <f>_xlfn.XLOOKUP(C487,Tab_Def_Flows[Name(EN)],Tab_Def_Flows[Process_ID_O],,0,)</f>
        <v>24__</v>
      </c>
      <c r="G487" s="49">
        <f>_xlfn.XLOOKUP(C487,Tab_Def_Flows[Name(EN)],Tab_Def_Flows[Input_Process],,0,)</f>
        <v>0</v>
      </c>
      <c r="H487" s="61" t="str">
        <f>_xlfn.XLOOKUP(C487,Tab_Def_Flows[Name(EN)],Tab_Def_Flows[Process_ID_I],,0,)</f>
        <v>24__</v>
      </c>
      <c r="I487" s="49">
        <f>_xlfn.XLOOKUP(C487,Tab_Def_Flows[Name(EN)],Tab_Def_Flows[Value_Source],,0,)</f>
        <v>0</v>
      </c>
      <c r="J487" s="61" t="str">
        <f>_xlfn.XLOOKUP(C487,Tab_Def_Flows[Name(EN)],Tab_Def_Flows[WC?],,0,)</f>
        <v>Yes</v>
      </c>
      <c r="K487" s="61" t="str">
        <f>_xlfn.XLOOKUP(C487,Tab_Def_Flows[Name(EN)],Tab_Def_Flows[DM?],,0,)</f>
        <v>Yes</v>
      </c>
      <c r="L487" s="61" t="str">
        <f>_xlfn.XLOOKUP(C487,Tab_Def_Flows[Name(EN)],Tab_Def_Flows[CC?],,0,)</f>
        <v>Yes</v>
      </c>
      <c r="M487" s="51"/>
      <c r="N487" s="51"/>
      <c r="O487" s="119"/>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e">
        <f>IF(J487="Yes",AA487*Tab_Data_Flows[[#This Row],[WC_'[%']]],"N.A.")</f>
        <v>#N/A</v>
      </c>
      <c r="AE487" s="61">
        <f>Tab_Data_Flows[[#This Row],[UoM_Flow_Py]]</f>
        <v>0</v>
      </c>
      <c r="AF487" s="111" t="e">
        <f>INDEX(Tab_Def_Flows[[Flow_ID]:[CC_DM_source]],MATCH(Tab_Data_Flows[[#This Row],[Name(EN)]],Tab_Def_Flows[Name(EN)],0),18)</f>
        <v>#N/A</v>
      </c>
      <c r="AG487" s="112" t="e">
        <f>IF(K487="Yes",AF487*Tab_Data_Flows[[#This Row],[Flow_Py]],"N.A.")</f>
        <v>#N/A</v>
      </c>
      <c r="AH487" s="61">
        <f>Tab_Data_Flows[[#This Row],[UoM_Flow_Py]]</f>
        <v>0</v>
      </c>
      <c r="AI487" s="111" t="e">
        <f>INDEX(Tab_Def_Flows[[Flow_ID]:[CC_DM_source]],MATCH(Tab_Data_Flows[[#This Row],[Name(EN)]],Tab_Def_Flows[Name(EN)],0),20)</f>
        <v>#N/A</v>
      </c>
      <c r="AJ487" s="109" t="e">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F_24_24</v>
      </c>
      <c r="C488" s="51"/>
      <c r="D488" s="49">
        <f>_xlfn.XLOOKUP(C488,Tab_Def_Flows[Name(EN)],Tab_Def_Flows[Type_Biomass],,0,)</f>
        <v>0</v>
      </c>
      <c r="E488" s="49">
        <f>_xlfn.XLOOKUP(C488,Tab_Def_Flows[Name(EN)],Tab_Def_Flows[Output_Process],,0,)</f>
        <v>0</v>
      </c>
      <c r="F488" s="49" t="str">
        <f>_xlfn.XLOOKUP(C488,Tab_Def_Flows[Name(EN)],Tab_Def_Flows[Process_ID_O],,0,)</f>
        <v>24__</v>
      </c>
      <c r="G488" s="49">
        <f>_xlfn.XLOOKUP(C488,Tab_Def_Flows[Name(EN)],Tab_Def_Flows[Input_Process],,0,)</f>
        <v>0</v>
      </c>
      <c r="H488" s="61" t="str">
        <f>_xlfn.XLOOKUP(C488,Tab_Def_Flows[Name(EN)],Tab_Def_Flows[Process_ID_I],,0,)</f>
        <v>24__</v>
      </c>
      <c r="I488" s="49">
        <f>_xlfn.XLOOKUP(C488,Tab_Def_Flows[Name(EN)],Tab_Def_Flows[Value_Source],,0,)</f>
        <v>0</v>
      </c>
      <c r="J488" s="61" t="str">
        <f>_xlfn.XLOOKUP(C488,Tab_Def_Flows[Name(EN)],Tab_Def_Flows[WC?],,0,)</f>
        <v>Yes</v>
      </c>
      <c r="K488" s="61" t="str">
        <f>_xlfn.XLOOKUP(C488,Tab_Def_Flows[Name(EN)],Tab_Def_Flows[DM?],,0,)</f>
        <v>Yes</v>
      </c>
      <c r="L488" s="61" t="str">
        <f>_xlfn.XLOOKUP(C488,Tab_Def_Flows[Name(EN)],Tab_Def_Flows[CC?],,0,)</f>
        <v>Yes</v>
      </c>
      <c r="M488" s="51"/>
      <c r="N488" s="51"/>
      <c r="O488" s="119"/>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e">
        <f>IF(J488="Yes",AA488*Tab_Data_Flows[[#This Row],[WC_'[%']]],"N.A.")</f>
        <v>#N/A</v>
      </c>
      <c r="AE488" s="61">
        <f>Tab_Data_Flows[[#This Row],[UoM_Flow_Py]]</f>
        <v>0</v>
      </c>
      <c r="AF488" s="111" t="e">
        <f>INDEX(Tab_Def_Flows[[Flow_ID]:[CC_DM_source]],MATCH(Tab_Data_Flows[[#This Row],[Name(EN)]],Tab_Def_Flows[Name(EN)],0),18)</f>
        <v>#N/A</v>
      </c>
      <c r="AG488" s="112" t="e">
        <f>IF(K488="Yes",AF488*Tab_Data_Flows[[#This Row],[Flow_Py]],"N.A.")</f>
        <v>#N/A</v>
      </c>
      <c r="AH488" s="61">
        <f>Tab_Data_Flows[[#This Row],[UoM_Flow_Py]]</f>
        <v>0</v>
      </c>
      <c r="AI488" s="111" t="e">
        <f>INDEX(Tab_Def_Flows[[Flow_ID]:[CC_DM_source]],MATCH(Tab_Data_Flows[[#This Row],[Name(EN)]],Tab_Def_Flows[Name(EN)],0),20)</f>
        <v>#N/A</v>
      </c>
      <c r="AJ488" s="109" t="e">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F_24_24</v>
      </c>
      <c r="C489" s="51"/>
      <c r="D489" s="49">
        <f>_xlfn.XLOOKUP(C489,Tab_Def_Flows[Name(EN)],Tab_Def_Flows[Type_Biomass],,0,)</f>
        <v>0</v>
      </c>
      <c r="E489" s="49">
        <f>_xlfn.XLOOKUP(C489,Tab_Def_Flows[Name(EN)],Tab_Def_Flows[Output_Process],,0,)</f>
        <v>0</v>
      </c>
      <c r="F489" s="49" t="str">
        <f>_xlfn.XLOOKUP(C489,Tab_Def_Flows[Name(EN)],Tab_Def_Flows[Process_ID_O],,0,)</f>
        <v>24__</v>
      </c>
      <c r="G489" s="49">
        <f>_xlfn.XLOOKUP(C489,Tab_Def_Flows[Name(EN)],Tab_Def_Flows[Input_Process],,0,)</f>
        <v>0</v>
      </c>
      <c r="H489" s="61" t="str">
        <f>_xlfn.XLOOKUP(C489,Tab_Def_Flows[Name(EN)],Tab_Def_Flows[Process_ID_I],,0,)</f>
        <v>24__</v>
      </c>
      <c r="I489" s="49">
        <f>_xlfn.XLOOKUP(C489,Tab_Def_Flows[Name(EN)],Tab_Def_Flows[Value_Source],,0,)</f>
        <v>0</v>
      </c>
      <c r="J489" s="61" t="str">
        <f>_xlfn.XLOOKUP(C489,Tab_Def_Flows[Name(EN)],Tab_Def_Flows[WC?],,0,)</f>
        <v>Yes</v>
      </c>
      <c r="K489" s="61" t="str">
        <f>_xlfn.XLOOKUP(C489,Tab_Def_Flows[Name(EN)],Tab_Def_Flows[DM?],,0,)</f>
        <v>Yes</v>
      </c>
      <c r="L489" s="61" t="str">
        <f>_xlfn.XLOOKUP(C489,Tab_Def_Flows[Name(EN)],Tab_Def_Flows[CC?],,0,)</f>
        <v>Yes</v>
      </c>
      <c r="M489" s="51"/>
      <c r="N489" s="51"/>
      <c r="O489" s="119"/>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e">
        <f>IF(J489="Yes",AA489*Tab_Data_Flows[[#This Row],[WC_'[%']]],"N.A.")</f>
        <v>#N/A</v>
      </c>
      <c r="AE489" s="61">
        <f>Tab_Data_Flows[[#This Row],[UoM_Flow_Py]]</f>
        <v>0</v>
      </c>
      <c r="AF489" s="111" t="e">
        <f>INDEX(Tab_Def_Flows[[Flow_ID]:[CC_DM_source]],MATCH(Tab_Data_Flows[[#This Row],[Name(EN)]],Tab_Def_Flows[Name(EN)],0),18)</f>
        <v>#N/A</v>
      </c>
      <c r="AG489" s="112" t="e">
        <f>IF(K489="Yes",AF489*Tab_Data_Flows[[#This Row],[Flow_Py]],"N.A.")</f>
        <v>#N/A</v>
      </c>
      <c r="AH489" s="61">
        <f>Tab_Data_Flows[[#This Row],[UoM_Flow_Py]]</f>
        <v>0</v>
      </c>
      <c r="AI489" s="111" t="e">
        <f>INDEX(Tab_Def_Flows[[Flow_ID]:[CC_DM_source]],MATCH(Tab_Data_Flows[[#This Row],[Name(EN)]],Tab_Def_Flows[Name(EN)],0),20)</f>
        <v>#N/A</v>
      </c>
      <c r="AJ489" s="109" t="e">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F_24_24</v>
      </c>
      <c r="C490" s="51"/>
      <c r="D490" s="49">
        <f>_xlfn.XLOOKUP(C490,Tab_Def_Flows[Name(EN)],Tab_Def_Flows[Type_Biomass],,0,)</f>
        <v>0</v>
      </c>
      <c r="E490" s="49">
        <f>_xlfn.XLOOKUP(C490,Tab_Def_Flows[Name(EN)],Tab_Def_Flows[Output_Process],,0,)</f>
        <v>0</v>
      </c>
      <c r="F490" s="49" t="str">
        <f>_xlfn.XLOOKUP(C490,Tab_Def_Flows[Name(EN)],Tab_Def_Flows[Process_ID_O],,0,)</f>
        <v>24__</v>
      </c>
      <c r="G490" s="49">
        <f>_xlfn.XLOOKUP(C490,Tab_Def_Flows[Name(EN)],Tab_Def_Flows[Input_Process],,0,)</f>
        <v>0</v>
      </c>
      <c r="H490" s="61" t="str">
        <f>_xlfn.XLOOKUP(C490,Tab_Def_Flows[Name(EN)],Tab_Def_Flows[Process_ID_I],,0,)</f>
        <v>24__</v>
      </c>
      <c r="I490" s="49">
        <f>_xlfn.XLOOKUP(C490,Tab_Def_Flows[Name(EN)],Tab_Def_Flows[Value_Source],,0,)</f>
        <v>0</v>
      </c>
      <c r="J490" s="61" t="str">
        <f>_xlfn.XLOOKUP(C490,Tab_Def_Flows[Name(EN)],Tab_Def_Flows[WC?],,0,)</f>
        <v>Yes</v>
      </c>
      <c r="K490" s="61" t="str">
        <f>_xlfn.XLOOKUP(C490,Tab_Def_Flows[Name(EN)],Tab_Def_Flows[DM?],,0,)</f>
        <v>Yes</v>
      </c>
      <c r="L490" s="61" t="str">
        <f>_xlfn.XLOOKUP(C490,Tab_Def_Flows[Name(EN)],Tab_Def_Flows[CC?],,0,)</f>
        <v>Yes</v>
      </c>
      <c r="M490" s="51"/>
      <c r="N490" s="51"/>
      <c r="O490" s="119"/>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e">
        <f>IF(J490="Yes",AA490*Tab_Data_Flows[[#This Row],[WC_'[%']]],"N.A.")</f>
        <v>#N/A</v>
      </c>
      <c r="AE490" s="61">
        <f>Tab_Data_Flows[[#This Row],[UoM_Flow_Py]]</f>
        <v>0</v>
      </c>
      <c r="AF490" s="111" t="e">
        <f>INDEX(Tab_Def_Flows[[Flow_ID]:[CC_DM_source]],MATCH(Tab_Data_Flows[[#This Row],[Name(EN)]],Tab_Def_Flows[Name(EN)],0),18)</f>
        <v>#N/A</v>
      </c>
      <c r="AG490" s="112" t="e">
        <f>IF(K490="Yes",AF490*Tab_Data_Flows[[#This Row],[Flow_Py]],"N.A.")</f>
        <v>#N/A</v>
      </c>
      <c r="AH490" s="61">
        <f>Tab_Data_Flows[[#This Row],[UoM_Flow_Py]]</f>
        <v>0</v>
      </c>
      <c r="AI490" s="111" t="e">
        <f>INDEX(Tab_Def_Flows[[Flow_ID]:[CC_DM_source]],MATCH(Tab_Data_Flows[[#This Row],[Name(EN)]],Tab_Def_Flows[Name(EN)],0),20)</f>
        <v>#N/A</v>
      </c>
      <c r="AJ490" s="109" t="e">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F_24_24</v>
      </c>
      <c r="C491" s="51"/>
      <c r="D491" s="49">
        <f>_xlfn.XLOOKUP(C491,Tab_Def_Flows[Name(EN)],Tab_Def_Flows[Type_Biomass],,0,)</f>
        <v>0</v>
      </c>
      <c r="E491" s="49">
        <f>_xlfn.XLOOKUP(C491,Tab_Def_Flows[Name(EN)],Tab_Def_Flows[Output_Process],,0,)</f>
        <v>0</v>
      </c>
      <c r="F491" s="49" t="str">
        <f>_xlfn.XLOOKUP(C491,Tab_Def_Flows[Name(EN)],Tab_Def_Flows[Process_ID_O],,0,)</f>
        <v>24__</v>
      </c>
      <c r="G491" s="49">
        <f>_xlfn.XLOOKUP(C491,Tab_Def_Flows[Name(EN)],Tab_Def_Flows[Input_Process],,0,)</f>
        <v>0</v>
      </c>
      <c r="H491" s="61" t="str">
        <f>_xlfn.XLOOKUP(C491,Tab_Def_Flows[Name(EN)],Tab_Def_Flows[Process_ID_I],,0,)</f>
        <v>24__</v>
      </c>
      <c r="I491" s="49">
        <f>_xlfn.XLOOKUP(C491,Tab_Def_Flows[Name(EN)],Tab_Def_Flows[Value_Source],,0,)</f>
        <v>0</v>
      </c>
      <c r="J491" s="61" t="str">
        <f>_xlfn.XLOOKUP(C491,Tab_Def_Flows[Name(EN)],Tab_Def_Flows[WC?],,0,)</f>
        <v>Yes</v>
      </c>
      <c r="K491" s="61" t="str">
        <f>_xlfn.XLOOKUP(C491,Tab_Def_Flows[Name(EN)],Tab_Def_Flows[DM?],,0,)</f>
        <v>Yes</v>
      </c>
      <c r="L491" s="61" t="str">
        <f>_xlfn.XLOOKUP(C491,Tab_Def_Flows[Name(EN)],Tab_Def_Flows[CC?],,0,)</f>
        <v>Yes</v>
      </c>
      <c r="M491" s="51"/>
      <c r="N491" s="51"/>
      <c r="O491" s="119"/>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e">
        <f>IF(J491="Yes",AA491*Tab_Data_Flows[[#This Row],[WC_'[%']]],"N.A.")</f>
        <v>#N/A</v>
      </c>
      <c r="AE491" s="61">
        <f>Tab_Data_Flows[[#This Row],[UoM_Flow_Py]]</f>
        <v>0</v>
      </c>
      <c r="AF491" s="111" t="e">
        <f>INDEX(Tab_Def_Flows[[Flow_ID]:[CC_DM_source]],MATCH(Tab_Data_Flows[[#This Row],[Name(EN)]],Tab_Def_Flows[Name(EN)],0),18)</f>
        <v>#N/A</v>
      </c>
      <c r="AG491" s="112" t="e">
        <f>IF(K491="Yes",AF491*Tab_Data_Flows[[#This Row],[Flow_Py]],"N.A.")</f>
        <v>#N/A</v>
      </c>
      <c r="AH491" s="61">
        <f>Tab_Data_Flows[[#This Row],[UoM_Flow_Py]]</f>
        <v>0</v>
      </c>
      <c r="AI491" s="111" t="e">
        <f>INDEX(Tab_Def_Flows[[Flow_ID]:[CC_DM_source]],MATCH(Tab_Data_Flows[[#This Row],[Name(EN)]],Tab_Def_Flows[Name(EN)],0),20)</f>
        <v>#N/A</v>
      </c>
      <c r="AJ491" s="109" t="e">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F_24_24</v>
      </c>
      <c r="C492" s="51"/>
      <c r="D492" s="49">
        <f>_xlfn.XLOOKUP(C492,Tab_Def_Flows[Name(EN)],Tab_Def_Flows[Type_Biomass],,0,)</f>
        <v>0</v>
      </c>
      <c r="E492" s="49">
        <f>_xlfn.XLOOKUP(C492,Tab_Def_Flows[Name(EN)],Tab_Def_Flows[Output_Process],,0,)</f>
        <v>0</v>
      </c>
      <c r="F492" s="49" t="str">
        <f>_xlfn.XLOOKUP(C492,Tab_Def_Flows[Name(EN)],Tab_Def_Flows[Process_ID_O],,0,)</f>
        <v>24__</v>
      </c>
      <c r="G492" s="49">
        <f>_xlfn.XLOOKUP(C492,Tab_Def_Flows[Name(EN)],Tab_Def_Flows[Input_Process],,0,)</f>
        <v>0</v>
      </c>
      <c r="H492" s="61" t="str">
        <f>_xlfn.XLOOKUP(C492,Tab_Def_Flows[Name(EN)],Tab_Def_Flows[Process_ID_I],,0,)</f>
        <v>24__</v>
      </c>
      <c r="I492" s="49">
        <f>_xlfn.XLOOKUP(C492,Tab_Def_Flows[Name(EN)],Tab_Def_Flows[Value_Source],,0,)</f>
        <v>0</v>
      </c>
      <c r="J492" s="61" t="str">
        <f>_xlfn.XLOOKUP(C492,Tab_Def_Flows[Name(EN)],Tab_Def_Flows[WC?],,0,)</f>
        <v>Yes</v>
      </c>
      <c r="K492" s="61" t="str">
        <f>_xlfn.XLOOKUP(C492,Tab_Def_Flows[Name(EN)],Tab_Def_Flows[DM?],,0,)</f>
        <v>Yes</v>
      </c>
      <c r="L492" s="61" t="str">
        <f>_xlfn.XLOOKUP(C492,Tab_Def_Flows[Name(EN)],Tab_Def_Flows[CC?],,0,)</f>
        <v>Yes</v>
      </c>
      <c r="M492" s="51"/>
      <c r="N492" s="51"/>
      <c r="O492" s="119"/>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e">
        <f>IF(J492="Yes",AA492*Tab_Data_Flows[[#This Row],[WC_'[%']]],"N.A.")</f>
        <v>#N/A</v>
      </c>
      <c r="AE492" s="61">
        <f>Tab_Data_Flows[[#This Row],[UoM_Flow_Py]]</f>
        <v>0</v>
      </c>
      <c r="AF492" s="111" t="e">
        <f>INDEX(Tab_Def_Flows[[Flow_ID]:[CC_DM_source]],MATCH(Tab_Data_Flows[[#This Row],[Name(EN)]],Tab_Def_Flows[Name(EN)],0),18)</f>
        <v>#N/A</v>
      </c>
      <c r="AG492" s="112" t="e">
        <f>IF(K492="Yes",AF492*Tab_Data_Flows[[#This Row],[Flow_Py]],"N.A.")</f>
        <v>#N/A</v>
      </c>
      <c r="AH492" s="61">
        <f>Tab_Data_Flows[[#This Row],[UoM_Flow_Py]]</f>
        <v>0</v>
      </c>
      <c r="AI492" s="111" t="e">
        <f>INDEX(Tab_Def_Flows[[Flow_ID]:[CC_DM_source]],MATCH(Tab_Data_Flows[[#This Row],[Name(EN)]],Tab_Def_Flows[Name(EN)],0),20)</f>
        <v>#N/A</v>
      </c>
      <c r="AJ492" s="109" t="e">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F_24_24</v>
      </c>
      <c r="C493" s="51"/>
      <c r="D493" s="49">
        <f>_xlfn.XLOOKUP(C493,Tab_Def_Flows[Name(EN)],Tab_Def_Flows[Type_Biomass],,0,)</f>
        <v>0</v>
      </c>
      <c r="E493" s="49">
        <f>_xlfn.XLOOKUP(C493,Tab_Def_Flows[Name(EN)],Tab_Def_Flows[Output_Process],,0,)</f>
        <v>0</v>
      </c>
      <c r="F493" s="49" t="str">
        <f>_xlfn.XLOOKUP(C493,Tab_Def_Flows[Name(EN)],Tab_Def_Flows[Process_ID_O],,0,)</f>
        <v>24__</v>
      </c>
      <c r="G493" s="49">
        <f>_xlfn.XLOOKUP(C493,Tab_Def_Flows[Name(EN)],Tab_Def_Flows[Input_Process],,0,)</f>
        <v>0</v>
      </c>
      <c r="H493" s="61" t="str">
        <f>_xlfn.XLOOKUP(C493,Tab_Def_Flows[Name(EN)],Tab_Def_Flows[Process_ID_I],,0,)</f>
        <v>24__</v>
      </c>
      <c r="I493" s="49">
        <f>_xlfn.XLOOKUP(C493,Tab_Def_Flows[Name(EN)],Tab_Def_Flows[Value_Source],,0,)</f>
        <v>0</v>
      </c>
      <c r="J493" s="61" t="str">
        <f>_xlfn.XLOOKUP(C493,Tab_Def_Flows[Name(EN)],Tab_Def_Flows[WC?],,0,)</f>
        <v>Yes</v>
      </c>
      <c r="K493" s="61" t="str">
        <f>_xlfn.XLOOKUP(C493,Tab_Def_Flows[Name(EN)],Tab_Def_Flows[DM?],,0,)</f>
        <v>Yes</v>
      </c>
      <c r="L493" s="61" t="str">
        <f>_xlfn.XLOOKUP(C493,Tab_Def_Flows[Name(EN)],Tab_Def_Flows[CC?],,0,)</f>
        <v>Yes</v>
      </c>
      <c r="M493" s="51"/>
      <c r="N493" s="51"/>
      <c r="O493" s="119"/>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e">
        <f>IF(J493="Yes",AA493*Tab_Data_Flows[[#This Row],[WC_'[%']]],"N.A.")</f>
        <v>#N/A</v>
      </c>
      <c r="AE493" s="61">
        <f>Tab_Data_Flows[[#This Row],[UoM_Flow_Py]]</f>
        <v>0</v>
      </c>
      <c r="AF493" s="111" t="e">
        <f>INDEX(Tab_Def_Flows[[Flow_ID]:[CC_DM_source]],MATCH(Tab_Data_Flows[[#This Row],[Name(EN)]],Tab_Def_Flows[Name(EN)],0),18)</f>
        <v>#N/A</v>
      </c>
      <c r="AG493" s="112" t="e">
        <f>IF(K493="Yes",AF493*Tab_Data_Flows[[#This Row],[Flow_Py]],"N.A.")</f>
        <v>#N/A</v>
      </c>
      <c r="AH493" s="61">
        <f>Tab_Data_Flows[[#This Row],[UoM_Flow_Py]]</f>
        <v>0</v>
      </c>
      <c r="AI493" s="111" t="e">
        <f>INDEX(Tab_Def_Flows[[Flow_ID]:[CC_DM_source]],MATCH(Tab_Data_Flows[[#This Row],[Name(EN)]],Tab_Def_Flows[Name(EN)],0),20)</f>
        <v>#N/A</v>
      </c>
      <c r="AJ493" s="109" t="e">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F_24_24</v>
      </c>
      <c r="C494" s="51"/>
      <c r="D494" s="49">
        <f>_xlfn.XLOOKUP(C494,Tab_Def_Flows[Name(EN)],Tab_Def_Flows[Type_Biomass],,0,)</f>
        <v>0</v>
      </c>
      <c r="E494" s="49">
        <f>_xlfn.XLOOKUP(C494,Tab_Def_Flows[Name(EN)],Tab_Def_Flows[Output_Process],,0,)</f>
        <v>0</v>
      </c>
      <c r="F494" s="49" t="str">
        <f>_xlfn.XLOOKUP(C494,Tab_Def_Flows[Name(EN)],Tab_Def_Flows[Process_ID_O],,0,)</f>
        <v>24__</v>
      </c>
      <c r="G494" s="49">
        <f>_xlfn.XLOOKUP(C494,Tab_Def_Flows[Name(EN)],Tab_Def_Flows[Input_Process],,0,)</f>
        <v>0</v>
      </c>
      <c r="H494" s="61" t="str">
        <f>_xlfn.XLOOKUP(C494,Tab_Def_Flows[Name(EN)],Tab_Def_Flows[Process_ID_I],,0,)</f>
        <v>24__</v>
      </c>
      <c r="I494" s="49">
        <f>_xlfn.XLOOKUP(C494,Tab_Def_Flows[Name(EN)],Tab_Def_Flows[Value_Source],,0,)</f>
        <v>0</v>
      </c>
      <c r="J494" s="61" t="str">
        <f>_xlfn.XLOOKUP(C494,Tab_Def_Flows[Name(EN)],Tab_Def_Flows[WC?],,0,)</f>
        <v>Yes</v>
      </c>
      <c r="K494" s="61" t="str">
        <f>_xlfn.XLOOKUP(C494,Tab_Def_Flows[Name(EN)],Tab_Def_Flows[DM?],,0,)</f>
        <v>Yes</v>
      </c>
      <c r="L494" s="61" t="str">
        <f>_xlfn.XLOOKUP(C494,Tab_Def_Flows[Name(EN)],Tab_Def_Flows[CC?],,0,)</f>
        <v>Yes</v>
      </c>
      <c r="M494" s="51"/>
      <c r="N494" s="51"/>
      <c r="O494" s="119"/>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e">
        <f>IF(J494="Yes",AA494*Tab_Data_Flows[[#This Row],[WC_'[%']]],"N.A.")</f>
        <v>#N/A</v>
      </c>
      <c r="AE494" s="61">
        <f>Tab_Data_Flows[[#This Row],[UoM_Flow_Py]]</f>
        <v>0</v>
      </c>
      <c r="AF494" s="111" t="e">
        <f>INDEX(Tab_Def_Flows[[Flow_ID]:[CC_DM_source]],MATCH(Tab_Data_Flows[[#This Row],[Name(EN)]],Tab_Def_Flows[Name(EN)],0),18)</f>
        <v>#N/A</v>
      </c>
      <c r="AG494" s="112" t="e">
        <f>IF(K494="Yes",AF494*Tab_Data_Flows[[#This Row],[Flow_Py]],"N.A.")</f>
        <v>#N/A</v>
      </c>
      <c r="AH494" s="61">
        <f>Tab_Data_Flows[[#This Row],[UoM_Flow_Py]]</f>
        <v>0</v>
      </c>
      <c r="AI494" s="111" t="e">
        <f>INDEX(Tab_Def_Flows[[Flow_ID]:[CC_DM_source]],MATCH(Tab_Data_Flows[[#This Row],[Name(EN)]],Tab_Def_Flows[Name(EN)],0),20)</f>
        <v>#N/A</v>
      </c>
      <c r="AJ494" s="109" t="e">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F_24_24</v>
      </c>
      <c r="C495" s="51"/>
      <c r="D495" s="49">
        <f>_xlfn.XLOOKUP(C495,Tab_Def_Flows[Name(EN)],Tab_Def_Flows[Type_Biomass],,0,)</f>
        <v>0</v>
      </c>
      <c r="E495" s="49">
        <f>_xlfn.XLOOKUP(C495,Tab_Def_Flows[Name(EN)],Tab_Def_Flows[Output_Process],,0,)</f>
        <v>0</v>
      </c>
      <c r="F495" s="49" t="str">
        <f>_xlfn.XLOOKUP(C495,Tab_Def_Flows[Name(EN)],Tab_Def_Flows[Process_ID_O],,0,)</f>
        <v>24__</v>
      </c>
      <c r="G495" s="49">
        <f>_xlfn.XLOOKUP(C495,Tab_Def_Flows[Name(EN)],Tab_Def_Flows[Input_Process],,0,)</f>
        <v>0</v>
      </c>
      <c r="H495" s="61" t="str">
        <f>_xlfn.XLOOKUP(C495,Tab_Def_Flows[Name(EN)],Tab_Def_Flows[Process_ID_I],,0,)</f>
        <v>24__</v>
      </c>
      <c r="I495" s="49">
        <f>_xlfn.XLOOKUP(C495,Tab_Def_Flows[Name(EN)],Tab_Def_Flows[Value_Source],,0,)</f>
        <v>0</v>
      </c>
      <c r="J495" s="61" t="str">
        <f>_xlfn.XLOOKUP(C495,Tab_Def_Flows[Name(EN)],Tab_Def_Flows[WC?],,0,)</f>
        <v>Yes</v>
      </c>
      <c r="K495" s="61" t="str">
        <f>_xlfn.XLOOKUP(C495,Tab_Def_Flows[Name(EN)],Tab_Def_Flows[DM?],,0,)</f>
        <v>Yes</v>
      </c>
      <c r="L495" s="61" t="str">
        <f>_xlfn.XLOOKUP(C495,Tab_Def_Flows[Name(EN)],Tab_Def_Flows[CC?],,0,)</f>
        <v>Yes</v>
      </c>
      <c r="M495" s="51"/>
      <c r="N495" s="51"/>
      <c r="O495" s="119"/>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e">
        <f>IF(J495="Yes",AA495*Tab_Data_Flows[[#This Row],[WC_'[%']]],"N.A.")</f>
        <v>#N/A</v>
      </c>
      <c r="AE495" s="61">
        <f>Tab_Data_Flows[[#This Row],[UoM_Flow_Py]]</f>
        <v>0</v>
      </c>
      <c r="AF495" s="111" t="e">
        <f>INDEX(Tab_Def_Flows[[Flow_ID]:[CC_DM_source]],MATCH(Tab_Data_Flows[[#This Row],[Name(EN)]],Tab_Def_Flows[Name(EN)],0),18)</f>
        <v>#N/A</v>
      </c>
      <c r="AG495" s="112" t="e">
        <f>IF(K495="Yes",AF495*Tab_Data_Flows[[#This Row],[Flow_Py]],"N.A.")</f>
        <v>#N/A</v>
      </c>
      <c r="AH495" s="61">
        <f>Tab_Data_Flows[[#This Row],[UoM_Flow_Py]]</f>
        <v>0</v>
      </c>
      <c r="AI495" s="111" t="e">
        <f>INDEX(Tab_Def_Flows[[Flow_ID]:[CC_DM_source]],MATCH(Tab_Data_Flows[[#This Row],[Name(EN)]],Tab_Def_Flows[Name(EN)],0),20)</f>
        <v>#N/A</v>
      </c>
      <c r="AJ495" s="109" t="e">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F_24_24</v>
      </c>
      <c r="C496" s="51"/>
      <c r="D496" s="49">
        <f>_xlfn.XLOOKUP(C496,Tab_Def_Flows[Name(EN)],Tab_Def_Flows[Type_Biomass],,0,)</f>
        <v>0</v>
      </c>
      <c r="E496" s="49">
        <f>_xlfn.XLOOKUP(C496,Tab_Def_Flows[Name(EN)],Tab_Def_Flows[Output_Process],,0,)</f>
        <v>0</v>
      </c>
      <c r="F496" s="49" t="str">
        <f>_xlfn.XLOOKUP(C496,Tab_Def_Flows[Name(EN)],Tab_Def_Flows[Process_ID_O],,0,)</f>
        <v>24__</v>
      </c>
      <c r="G496" s="49">
        <f>_xlfn.XLOOKUP(C496,Tab_Def_Flows[Name(EN)],Tab_Def_Flows[Input_Process],,0,)</f>
        <v>0</v>
      </c>
      <c r="H496" s="61" t="str">
        <f>_xlfn.XLOOKUP(C496,Tab_Def_Flows[Name(EN)],Tab_Def_Flows[Process_ID_I],,0,)</f>
        <v>24__</v>
      </c>
      <c r="I496" s="49">
        <f>_xlfn.XLOOKUP(C496,Tab_Def_Flows[Name(EN)],Tab_Def_Flows[Value_Source],,0,)</f>
        <v>0</v>
      </c>
      <c r="J496" s="61" t="str">
        <f>_xlfn.XLOOKUP(C496,Tab_Def_Flows[Name(EN)],Tab_Def_Flows[WC?],,0,)</f>
        <v>Yes</v>
      </c>
      <c r="K496" s="61" t="str">
        <f>_xlfn.XLOOKUP(C496,Tab_Def_Flows[Name(EN)],Tab_Def_Flows[DM?],,0,)</f>
        <v>Yes</v>
      </c>
      <c r="L496" s="61" t="str">
        <f>_xlfn.XLOOKUP(C496,Tab_Def_Flows[Name(EN)],Tab_Def_Flows[CC?],,0,)</f>
        <v>Yes</v>
      </c>
      <c r="M496" s="51"/>
      <c r="N496" s="51"/>
      <c r="O496" s="119"/>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e">
        <f>IF(J496="Yes",AA496*Tab_Data_Flows[[#This Row],[WC_'[%']]],"N.A.")</f>
        <v>#N/A</v>
      </c>
      <c r="AE496" s="61">
        <f>Tab_Data_Flows[[#This Row],[UoM_Flow_Py]]</f>
        <v>0</v>
      </c>
      <c r="AF496" s="111" t="e">
        <f>INDEX(Tab_Def_Flows[[Flow_ID]:[CC_DM_source]],MATCH(Tab_Data_Flows[[#This Row],[Name(EN)]],Tab_Def_Flows[Name(EN)],0),18)</f>
        <v>#N/A</v>
      </c>
      <c r="AG496" s="112" t="e">
        <f>IF(K496="Yes",AF496*Tab_Data_Flows[[#This Row],[Flow_Py]],"N.A.")</f>
        <v>#N/A</v>
      </c>
      <c r="AH496" s="61">
        <f>Tab_Data_Flows[[#This Row],[UoM_Flow_Py]]</f>
        <v>0</v>
      </c>
      <c r="AI496" s="111" t="e">
        <f>INDEX(Tab_Def_Flows[[Flow_ID]:[CC_DM_source]],MATCH(Tab_Data_Flows[[#This Row],[Name(EN)]],Tab_Def_Flows[Name(EN)],0),20)</f>
        <v>#N/A</v>
      </c>
      <c r="AJ496" s="109" t="e">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F_24_24</v>
      </c>
      <c r="C497" s="51"/>
      <c r="D497" s="49">
        <f>_xlfn.XLOOKUP(C497,Tab_Def_Flows[Name(EN)],Tab_Def_Flows[Type_Biomass],,0,)</f>
        <v>0</v>
      </c>
      <c r="E497" s="49">
        <f>_xlfn.XLOOKUP(C497,Tab_Def_Flows[Name(EN)],Tab_Def_Flows[Output_Process],,0,)</f>
        <v>0</v>
      </c>
      <c r="F497" s="49" t="str">
        <f>_xlfn.XLOOKUP(C497,Tab_Def_Flows[Name(EN)],Tab_Def_Flows[Process_ID_O],,0,)</f>
        <v>24__</v>
      </c>
      <c r="G497" s="49">
        <f>_xlfn.XLOOKUP(C497,Tab_Def_Flows[Name(EN)],Tab_Def_Flows[Input_Process],,0,)</f>
        <v>0</v>
      </c>
      <c r="H497" s="61" t="str">
        <f>_xlfn.XLOOKUP(C497,Tab_Def_Flows[Name(EN)],Tab_Def_Flows[Process_ID_I],,0,)</f>
        <v>24__</v>
      </c>
      <c r="I497" s="49">
        <f>_xlfn.XLOOKUP(C497,Tab_Def_Flows[Name(EN)],Tab_Def_Flows[Value_Source],,0,)</f>
        <v>0</v>
      </c>
      <c r="J497" s="61" t="str">
        <f>_xlfn.XLOOKUP(C497,Tab_Def_Flows[Name(EN)],Tab_Def_Flows[WC?],,0,)</f>
        <v>Yes</v>
      </c>
      <c r="K497" s="61" t="str">
        <f>_xlfn.XLOOKUP(C497,Tab_Def_Flows[Name(EN)],Tab_Def_Flows[DM?],,0,)</f>
        <v>Yes</v>
      </c>
      <c r="L497" s="61" t="str">
        <f>_xlfn.XLOOKUP(C497,Tab_Def_Flows[Name(EN)],Tab_Def_Flows[CC?],,0,)</f>
        <v>Yes</v>
      </c>
      <c r="M497" s="51"/>
      <c r="N497" s="51"/>
      <c r="O497" s="119"/>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e">
        <f>IF(J497="Yes",AA497*Tab_Data_Flows[[#This Row],[WC_'[%']]],"N.A.")</f>
        <v>#N/A</v>
      </c>
      <c r="AE497" s="61">
        <f>Tab_Data_Flows[[#This Row],[UoM_Flow_Py]]</f>
        <v>0</v>
      </c>
      <c r="AF497" s="111" t="e">
        <f>INDEX(Tab_Def_Flows[[Flow_ID]:[CC_DM_source]],MATCH(Tab_Data_Flows[[#This Row],[Name(EN)]],Tab_Def_Flows[Name(EN)],0),18)</f>
        <v>#N/A</v>
      </c>
      <c r="AG497" s="112" t="e">
        <f>IF(K497="Yes",AF497*Tab_Data_Flows[[#This Row],[Flow_Py]],"N.A.")</f>
        <v>#N/A</v>
      </c>
      <c r="AH497" s="61">
        <f>Tab_Data_Flows[[#This Row],[UoM_Flow_Py]]</f>
        <v>0</v>
      </c>
      <c r="AI497" s="111" t="e">
        <f>INDEX(Tab_Def_Flows[[Flow_ID]:[CC_DM_source]],MATCH(Tab_Data_Flows[[#This Row],[Name(EN)]],Tab_Def_Flows[Name(EN)],0),20)</f>
        <v>#N/A</v>
      </c>
      <c r="AJ497" s="109" t="e">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F_24_24</v>
      </c>
      <c r="C498" s="51"/>
      <c r="D498" s="49">
        <f>_xlfn.XLOOKUP(C498,Tab_Def_Flows[Name(EN)],Tab_Def_Flows[Type_Biomass],,0,)</f>
        <v>0</v>
      </c>
      <c r="E498" s="49">
        <f>_xlfn.XLOOKUP(C498,Tab_Def_Flows[Name(EN)],Tab_Def_Flows[Output_Process],,0,)</f>
        <v>0</v>
      </c>
      <c r="F498" s="49" t="str">
        <f>_xlfn.XLOOKUP(C498,Tab_Def_Flows[Name(EN)],Tab_Def_Flows[Process_ID_O],,0,)</f>
        <v>24__</v>
      </c>
      <c r="G498" s="49">
        <f>_xlfn.XLOOKUP(C498,Tab_Def_Flows[Name(EN)],Tab_Def_Flows[Input_Process],,0,)</f>
        <v>0</v>
      </c>
      <c r="H498" s="61" t="str">
        <f>_xlfn.XLOOKUP(C498,Tab_Def_Flows[Name(EN)],Tab_Def_Flows[Process_ID_I],,0,)</f>
        <v>24__</v>
      </c>
      <c r="I498" s="49">
        <f>_xlfn.XLOOKUP(C498,Tab_Def_Flows[Name(EN)],Tab_Def_Flows[Value_Source],,0,)</f>
        <v>0</v>
      </c>
      <c r="J498" s="61" t="str">
        <f>_xlfn.XLOOKUP(C498,Tab_Def_Flows[Name(EN)],Tab_Def_Flows[WC?],,0,)</f>
        <v>Yes</v>
      </c>
      <c r="K498" s="61" t="str">
        <f>_xlfn.XLOOKUP(C498,Tab_Def_Flows[Name(EN)],Tab_Def_Flows[DM?],,0,)</f>
        <v>Yes</v>
      </c>
      <c r="L498" s="61" t="str">
        <f>_xlfn.XLOOKUP(C498,Tab_Def_Flows[Name(EN)],Tab_Def_Flows[CC?],,0,)</f>
        <v>Yes</v>
      </c>
      <c r="M498" s="51"/>
      <c r="N498" s="51"/>
      <c r="O498" s="119"/>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e">
        <f>IF(J498="Yes",AA498*Tab_Data_Flows[[#This Row],[WC_'[%']]],"N.A.")</f>
        <v>#N/A</v>
      </c>
      <c r="AE498" s="61">
        <f>Tab_Data_Flows[[#This Row],[UoM_Flow_Py]]</f>
        <v>0</v>
      </c>
      <c r="AF498" s="111" t="e">
        <f>INDEX(Tab_Def_Flows[[Flow_ID]:[CC_DM_source]],MATCH(Tab_Data_Flows[[#This Row],[Name(EN)]],Tab_Def_Flows[Name(EN)],0),18)</f>
        <v>#N/A</v>
      </c>
      <c r="AG498" s="112" t="e">
        <f>IF(K498="Yes",AF498*Tab_Data_Flows[[#This Row],[Flow_Py]],"N.A.")</f>
        <v>#N/A</v>
      </c>
      <c r="AH498" s="61">
        <f>Tab_Data_Flows[[#This Row],[UoM_Flow_Py]]</f>
        <v>0</v>
      </c>
      <c r="AI498" s="111" t="e">
        <f>INDEX(Tab_Def_Flows[[Flow_ID]:[CC_DM_source]],MATCH(Tab_Data_Flows[[#This Row],[Name(EN)]],Tab_Def_Flows[Name(EN)],0),20)</f>
        <v>#N/A</v>
      </c>
      <c r="AJ498" s="109" t="e">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F_24_24</v>
      </c>
      <c r="C499" s="51"/>
      <c r="D499" s="49">
        <f>_xlfn.XLOOKUP(C499,Tab_Def_Flows[Name(EN)],Tab_Def_Flows[Type_Biomass],,0,)</f>
        <v>0</v>
      </c>
      <c r="E499" s="49">
        <f>_xlfn.XLOOKUP(C499,Tab_Def_Flows[Name(EN)],Tab_Def_Flows[Output_Process],,0,)</f>
        <v>0</v>
      </c>
      <c r="F499" s="49" t="str">
        <f>_xlfn.XLOOKUP(C499,Tab_Def_Flows[Name(EN)],Tab_Def_Flows[Process_ID_O],,0,)</f>
        <v>24__</v>
      </c>
      <c r="G499" s="49">
        <f>_xlfn.XLOOKUP(C499,Tab_Def_Flows[Name(EN)],Tab_Def_Flows[Input_Process],,0,)</f>
        <v>0</v>
      </c>
      <c r="H499" s="61" t="str">
        <f>_xlfn.XLOOKUP(C499,Tab_Def_Flows[Name(EN)],Tab_Def_Flows[Process_ID_I],,0,)</f>
        <v>24__</v>
      </c>
      <c r="I499" s="49">
        <f>_xlfn.XLOOKUP(C499,Tab_Def_Flows[Name(EN)],Tab_Def_Flows[Value_Source],,0,)</f>
        <v>0</v>
      </c>
      <c r="J499" s="61" t="str">
        <f>_xlfn.XLOOKUP(C499,Tab_Def_Flows[Name(EN)],Tab_Def_Flows[WC?],,0,)</f>
        <v>Yes</v>
      </c>
      <c r="K499" s="61" t="str">
        <f>_xlfn.XLOOKUP(C499,Tab_Def_Flows[Name(EN)],Tab_Def_Flows[DM?],,0,)</f>
        <v>Yes</v>
      </c>
      <c r="L499" s="61" t="str">
        <f>_xlfn.XLOOKUP(C499,Tab_Def_Flows[Name(EN)],Tab_Def_Flows[CC?],,0,)</f>
        <v>Yes</v>
      </c>
      <c r="M499" s="51"/>
      <c r="N499" s="51"/>
      <c r="O499" s="119"/>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e">
        <f>IF(J499="Yes",AA499*Tab_Data_Flows[[#This Row],[WC_'[%']]],"N.A.")</f>
        <v>#N/A</v>
      </c>
      <c r="AE499" s="61">
        <f>Tab_Data_Flows[[#This Row],[UoM_Flow_Py]]</f>
        <v>0</v>
      </c>
      <c r="AF499" s="111" t="e">
        <f>INDEX(Tab_Def_Flows[[Flow_ID]:[CC_DM_source]],MATCH(Tab_Data_Flows[[#This Row],[Name(EN)]],Tab_Def_Flows[Name(EN)],0),18)</f>
        <v>#N/A</v>
      </c>
      <c r="AG499" s="112" t="e">
        <f>IF(K499="Yes",AF499*Tab_Data_Flows[[#This Row],[Flow_Py]],"N.A.")</f>
        <v>#N/A</v>
      </c>
      <c r="AH499" s="61">
        <f>Tab_Data_Flows[[#This Row],[UoM_Flow_Py]]</f>
        <v>0</v>
      </c>
      <c r="AI499" s="111" t="e">
        <f>INDEX(Tab_Def_Flows[[Flow_ID]:[CC_DM_source]],MATCH(Tab_Data_Flows[[#This Row],[Name(EN)]],Tab_Def_Flows[Name(EN)],0),20)</f>
        <v>#N/A</v>
      </c>
      <c r="AJ499" s="109" t="e">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F_24_24</v>
      </c>
      <c r="C500" s="51"/>
      <c r="D500" s="49">
        <f>_xlfn.XLOOKUP(C500,Tab_Def_Flows[Name(EN)],Tab_Def_Flows[Type_Biomass],,0,)</f>
        <v>0</v>
      </c>
      <c r="E500" s="49">
        <f>_xlfn.XLOOKUP(C500,Tab_Def_Flows[Name(EN)],Tab_Def_Flows[Output_Process],,0,)</f>
        <v>0</v>
      </c>
      <c r="F500" s="49" t="str">
        <f>_xlfn.XLOOKUP(C500,Tab_Def_Flows[Name(EN)],Tab_Def_Flows[Process_ID_O],,0,)</f>
        <v>24__</v>
      </c>
      <c r="G500" s="49">
        <f>_xlfn.XLOOKUP(C500,Tab_Def_Flows[Name(EN)],Tab_Def_Flows[Input_Process],,0,)</f>
        <v>0</v>
      </c>
      <c r="H500" s="61" t="str">
        <f>_xlfn.XLOOKUP(C500,Tab_Def_Flows[Name(EN)],Tab_Def_Flows[Process_ID_I],,0,)</f>
        <v>24__</v>
      </c>
      <c r="I500" s="49">
        <f>_xlfn.XLOOKUP(C500,Tab_Def_Flows[Name(EN)],Tab_Def_Flows[Value_Source],,0,)</f>
        <v>0</v>
      </c>
      <c r="J500" s="61" t="str">
        <f>_xlfn.XLOOKUP(C500,Tab_Def_Flows[Name(EN)],Tab_Def_Flows[WC?],,0,)</f>
        <v>Yes</v>
      </c>
      <c r="K500" s="61" t="str">
        <f>_xlfn.XLOOKUP(C500,Tab_Def_Flows[Name(EN)],Tab_Def_Flows[DM?],,0,)</f>
        <v>Yes</v>
      </c>
      <c r="L500" s="61" t="str">
        <f>_xlfn.XLOOKUP(C500,Tab_Def_Flows[Name(EN)],Tab_Def_Flows[CC?],,0,)</f>
        <v>Yes</v>
      </c>
      <c r="M500" s="51"/>
      <c r="N500" s="51"/>
      <c r="O500" s="119"/>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e">
        <f>IF(J500="Yes",AA500*Tab_Data_Flows[[#This Row],[WC_'[%']]],"N.A.")</f>
        <v>#N/A</v>
      </c>
      <c r="AE500" s="61">
        <f>Tab_Data_Flows[[#This Row],[UoM_Flow_Py]]</f>
        <v>0</v>
      </c>
      <c r="AF500" s="111" t="e">
        <f>INDEX(Tab_Def_Flows[[Flow_ID]:[CC_DM_source]],MATCH(Tab_Data_Flows[[#This Row],[Name(EN)]],Tab_Def_Flows[Name(EN)],0),18)</f>
        <v>#N/A</v>
      </c>
      <c r="AG500" s="112" t="e">
        <f>IF(K500="Yes",AF500*Tab_Data_Flows[[#This Row],[Flow_Py]],"N.A.")</f>
        <v>#N/A</v>
      </c>
      <c r="AH500" s="61">
        <f>Tab_Data_Flows[[#This Row],[UoM_Flow_Py]]</f>
        <v>0</v>
      </c>
      <c r="AI500" s="111" t="e">
        <f>INDEX(Tab_Def_Flows[[Flow_ID]:[CC_DM_source]],MATCH(Tab_Data_Flows[[#This Row],[Name(EN)]],Tab_Def_Flows[Name(EN)],0),20)</f>
        <v>#N/A</v>
      </c>
      <c r="AJ500" s="109" t="e">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F_24_24</v>
      </c>
      <c r="C501" s="51"/>
      <c r="D501" s="49">
        <f>_xlfn.XLOOKUP(C501,Tab_Def_Flows[Name(EN)],Tab_Def_Flows[Type_Biomass],,0,)</f>
        <v>0</v>
      </c>
      <c r="E501" s="49">
        <f>_xlfn.XLOOKUP(C501,Tab_Def_Flows[Name(EN)],Tab_Def_Flows[Output_Process],,0,)</f>
        <v>0</v>
      </c>
      <c r="F501" s="49" t="str">
        <f>_xlfn.XLOOKUP(C501,Tab_Def_Flows[Name(EN)],Tab_Def_Flows[Process_ID_O],,0,)</f>
        <v>24__</v>
      </c>
      <c r="G501" s="49">
        <f>_xlfn.XLOOKUP(C501,Tab_Def_Flows[Name(EN)],Tab_Def_Flows[Input_Process],,0,)</f>
        <v>0</v>
      </c>
      <c r="H501" s="61" t="str">
        <f>_xlfn.XLOOKUP(C501,Tab_Def_Flows[Name(EN)],Tab_Def_Flows[Process_ID_I],,0,)</f>
        <v>24__</v>
      </c>
      <c r="I501" s="49">
        <f>_xlfn.XLOOKUP(C501,Tab_Def_Flows[Name(EN)],Tab_Def_Flows[Value_Source],,0,)</f>
        <v>0</v>
      </c>
      <c r="J501" s="61" t="str">
        <f>_xlfn.XLOOKUP(C501,Tab_Def_Flows[Name(EN)],Tab_Def_Flows[WC?],,0,)</f>
        <v>Yes</v>
      </c>
      <c r="K501" s="61" t="str">
        <f>_xlfn.XLOOKUP(C501,Tab_Def_Flows[Name(EN)],Tab_Def_Flows[DM?],,0,)</f>
        <v>Yes</v>
      </c>
      <c r="L501" s="61" t="str">
        <f>_xlfn.XLOOKUP(C501,Tab_Def_Flows[Name(EN)],Tab_Def_Flows[CC?],,0,)</f>
        <v>Yes</v>
      </c>
      <c r="M501" s="51"/>
      <c r="N501" s="51"/>
      <c r="O501" s="119"/>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e">
        <f>IF(J501="Yes",AA501*Tab_Data_Flows[[#This Row],[WC_'[%']]],"N.A.")</f>
        <v>#N/A</v>
      </c>
      <c r="AE501" s="61">
        <f>Tab_Data_Flows[[#This Row],[UoM_Flow_Py]]</f>
        <v>0</v>
      </c>
      <c r="AF501" s="111" t="e">
        <f>INDEX(Tab_Def_Flows[[Flow_ID]:[CC_DM_source]],MATCH(Tab_Data_Flows[[#This Row],[Name(EN)]],Tab_Def_Flows[Name(EN)],0),18)</f>
        <v>#N/A</v>
      </c>
      <c r="AG501" s="112" t="e">
        <f>IF(K501="Yes",AF501*Tab_Data_Flows[[#This Row],[Flow_Py]],"N.A.")</f>
        <v>#N/A</v>
      </c>
      <c r="AH501" s="61">
        <f>Tab_Data_Flows[[#This Row],[UoM_Flow_Py]]</f>
        <v>0</v>
      </c>
      <c r="AI501" s="111" t="e">
        <f>INDEX(Tab_Def_Flows[[Flow_ID]:[CC_DM_source]],MATCH(Tab_Data_Flows[[#This Row],[Name(EN)]],Tab_Def_Flows[Name(EN)],0),20)</f>
        <v>#N/A</v>
      </c>
      <c r="AJ501" s="109" t="e">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F_24_24</v>
      </c>
      <c r="C502" s="51"/>
      <c r="D502" s="49">
        <f>_xlfn.XLOOKUP(C502,Tab_Def_Flows[Name(EN)],Tab_Def_Flows[Type_Biomass],,0,)</f>
        <v>0</v>
      </c>
      <c r="E502" s="49">
        <f>_xlfn.XLOOKUP(C502,Tab_Def_Flows[Name(EN)],Tab_Def_Flows[Output_Process],,0,)</f>
        <v>0</v>
      </c>
      <c r="F502" s="49" t="str">
        <f>_xlfn.XLOOKUP(C502,Tab_Def_Flows[Name(EN)],Tab_Def_Flows[Process_ID_O],,0,)</f>
        <v>24__</v>
      </c>
      <c r="G502" s="49">
        <f>_xlfn.XLOOKUP(C502,Tab_Def_Flows[Name(EN)],Tab_Def_Flows[Input_Process],,0,)</f>
        <v>0</v>
      </c>
      <c r="H502" s="61" t="str">
        <f>_xlfn.XLOOKUP(C502,Tab_Def_Flows[Name(EN)],Tab_Def_Flows[Process_ID_I],,0,)</f>
        <v>24__</v>
      </c>
      <c r="I502" s="49">
        <f>_xlfn.XLOOKUP(C502,Tab_Def_Flows[Name(EN)],Tab_Def_Flows[Value_Source],,0,)</f>
        <v>0</v>
      </c>
      <c r="J502" s="61" t="str">
        <f>_xlfn.XLOOKUP(C502,Tab_Def_Flows[Name(EN)],Tab_Def_Flows[WC?],,0,)</f>
        <v>Yes</v>
      </c>
      <c r="K502" s="61" t="str">
        <f>_xlfn.XLOOKUP(C502,Tab_Def_Flows[Name(EN)],Tab_Def_Flows[DM?],,0,)</f>
        <v>Yes</v>
      </c>
      <c r="L502" s="61" t="str">
        <f>_xlfn.XLOOKUP(C502,Tab_Def_Flows[Name(EN)],Tab_Def_Flows[CC?],,0,)</f>
        <v>Yes</v>
      </c>
      <c r="M502" s="51"/>
      <c r="N502" s="51"/>
      <c r="O502" s="119"/>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e">
        <f>IF(J502="Yes",AA502*Tab_Data_Flows[[#This Row],[WC_'[%']]],"N.A.")</f>
        <v>#N/A</v>
      </c>
      <c r="AE502" s="61">
        <f>Tab_Data_Flows[[#This Row],[UoM_Flow_Py]]</f>
        <v>0</v>
      </c>
      <c r="AF502" s="111" t="e">
        <f>INDEX(Tab_Def_Flows[[Flow_ID]:[CC_DM_source]],MATCH(Tab_Data_Flows[[#This Row],[Name(EN)]],Tab_Def_Flows[Name(EN)],0),18)</f>
        <v>#N/A</v>
      </c>
      <c r="AG502" s="112" t="e">
        <f>IF(K502="Yes",AF502*Tab_Data_Flows[[#This Row],[Flow_Py]],"N.A.")</f>
        <v>#N/A</v>
      </c>
      <c r="AH502" s="61">
        <f>Tab_Data_Flows[[#This Row],[UoM_Flow_Py]]</f>
        <v>0</v>
      </c>
      <c r="AI502" s="111" t="e">
        <f>INDEX(Tab_Def_Flows[[Flow_ID]:[CC_DM_source]],MATCH(Tab_Data_Flows[[#This Row],[Name(EN)]],Tab_Def_Flows[Name(EN)],0),20)</f>
        <v>#N/A</v>
      </c>
      <c r="AJ502" s="109" t="e">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F_24_24</v>
      </c>
      <c r="C503" s="51"/>
      <c r="D503" s="49">
        <f>_xlfn.XLOOKUP(C503,Tab_Def_Flows[Name(EN)],Tab_Def_Flows[Type_Biomass],,0,)</f>
        <v>0</v>
      </c>
      <c r="E503" s="49">
        <f>_xlfn.XLOOKUP(C503,Tab_Def_Flows[Name(EN)],Tab_Def_Flows[Output_Process],,0,)</f>
        <v>0</v>
      </c>
      <c r="F503" s="49" t="str">
        <f>_xlfn.XLOOKUP(C503,Tab_Def_Flows[Name(EN)],Tab_Def_Flows[Process_ID_O],,0,)</f>
        <v>24__</v>
      </c>
      <c r="G503" s="49">
        <f>_xlfn.XLOOKUP(C503,Tab_Def_Flows[Name(EN)],Tab_Def_Flows[Input_Process],,0,)</f>
        <v>0</v>
      </c>
      <c r="H503" s="61" t="str">
        <f>_xlfn.XLOOKUP(C503,Tab_Def_Flows[Name(EN)],Tab_Def_Flows[Process_ID_I],,0,)</f>
        <v>24__</v>
      </c>
      <c r="I503" s="49">
        <f>_xlfn.XLOOKUP(C503,Tab_Def_Flows[Name(EN)],Tab_Def_Flows[Value_Source],,0,)</f>
        <v>0</v>
      </c>
      <c r="J503" s="61" t="str">
        <f>_xlfn.XLOOKUP(C503,Tab_Def_Flows[Name(EN)],Tab_Def_Flows[WC?],,0,)</f>
        <v>Yes</v>
      </c>
      <c r="K503" s="61" t="str">
        <f>_xlfn.XLOOKUP(C503,Tab_Def_Flows[Name(EN)],Tab_Def_Flows[DM?],,0,)</f>
        <v>Yes</v>
      </c>
      <c r="L503" s="61" t="str">
        <f>_xlfn.XLOOKUP(C503,Tab_Def_Flows[Name(EN)],Tab_Def_Flows[CC?],,0,)</f>
        <v>Yes</v>
      </c>
      <c r="M503" s="51"/>
      <c r="N503" s="51"/>
      <c r="O503" s="119"/>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e">
        <f>IF(J503="Yes",AA503*Tab_Data_Flows[[#This Row],[WC_'[%']]],"N.A.")</f>
        <v>#N/A</v>
      </c>
      <c r="AE503" s="61">
        <f>Tab_Data_Flows[[#This Row],[UoM_Flow_Py]]</f>
        <v>0</v>
      </c>
      <c r="AF503" s="111" t="e">
        <f>INDEX(Tab_Def_Flows[[Flow_ID]:[CC_DM_source]],MATCH(Tab_Data_Flows[[#This Row],[Name(EN)]],Tab_Def_Flows[Name(EN)],0),18)</f>
        <v>#N/A</v>
      </c>
      <c r="AG503" s="112" t="e">
        <f>IF(K503="Yes",AF503*Tab_Data_Flows[[#This Row],[Flow_Py]],"N.A.")</f>
        <v>#N/A</v>
      </c>
      <c r="AH503" s="61">
        <f>Tab_Data_Flows[[#This Row],[UoM_Flow_Py]]</f>
        <v>0</v>
      </c>
      <c r="AI503" s="111" t="e">
        <f>INDEX(Tab_Def_Flows[[Flow_ID]:[CC_DM_source]],MATCH(Tab_Data_Flows[[#This Row],[Name(EN)]],Tab_Def_Flows[Name(EN)],0),20)</f>
        <v>#N/A</v>
      </c>
      <c r="AJ503" s="109" t="e">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F_24_24</v>
      </c>
      <c r="C504" s="51"/>
      <c r="D504" s="49">
        <f>_xlfn.XLOOKUP(C504,Tab_Def_Flows[Name(EN)],Tab_Def_Flows[Type_Biomass],,0,)</f>
        <v>0</v>
      </c>
      <c r="E504" s="49">
        <f>_xlfn.XLOOKUP(C504,Tab_Def_Flows[Name(EN)],Tab_Def_Flows[Output_Process],,0,)</f>
        <v>0</v>
      </c>
      <c r="F504" s="49" t="str">
        <f>_xlfn.XLOOKUP(C504,Tab_Def_Flows[Name(EN)],Tab_Def_Flows[Process_ID_O],,0,)</f>
        <v>24__</v>
      </c>
      <c r="G504" s="49">
        <f>_xlfn.XLOOKUP(C504,Tab_Def_Flows[Name(EN)],Tab_Def_Flows[Input_Process],,0,)</f>
        <v>0</v>
      </c>
      <c r="H504" s="61" t="str">
        <f>_xlfn.XLOOKUP(C504,Tab_Def_Flows[Name(EN)],Tab_Def_Flows[Process_ID_I],,0,)</f>
        <v>24__</v>
      </c>
      <c r="I504" s="49">
        <f>_xlfn.XLOOKUP(C504,Tab_Def_Flows[Name(EN)],Tab_Def_Flows[Value_Source],,0,)</f>
        <v>0</v>
      </c>
      <c r="J504" s="61" t="str">
        <f>_xlfn.XLOOKUP(C504,Tab_Def_Flows[Name(EN)],Tab_Def_Flows[WC?],,0,)</f>
        <v>Yes</v>
      </c>
      <c r="K504" s="61" t="str">
        <f>_xlfn.XLOOKUP(C504,Tab_Def_Flows[Name(EN)],Tab_Def_Flows[DM?],,0,)</f>
        <v>Yes</v>
      </c>
      <c r="L504" s="61" t="str">
        <f>_xlfn.XLOOKUP(C504,Tab_Def_Flows[Name(EN)],Tab_Def_Flows[CC?],,0,)</f>
        <v>Yes</v>
      </c>
      <c r="M504" s="51"/>
      <c r="N504" s="51"/>
      <c r="O504" s="119"/>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e">
        <f>IF(J504="Yes",AA504*Tab_Data_Flows[[#This Row],[WC_'[%']]],"N.A.")</f>
        <v>#N/A</v>
      </c>
      <c r="AE504" s="61">
        <f>Tab_Data_Flows[[#This Row],[UoM_Flow_Py]]</f>
        <v>0</v>
      </c>
      <c r="AF504" s="111" t="e">
        <f>INDEX(Tab_Def_Flows[[Flow_ID]:[CC_DM_source]],MATCH(Tab_Data_Flows[[#This Row],[Name(EN)]],Tab_Def_Flows[Name(EN)],0),18)</f>
        <v>#N/A</v>
      </c>
      <c r="AG504" s="112" t="e">
        <f>IF(K504="Yes",AF504*Tab_Data_Flows[[#This Row],[Flow_Py]],"N.A.")</f>
        <v>#N/A</v>
      </c>
      <c r="AH504" s="61">
        <f>Tab_Data_Flows[[#This Row],[UoM_Flow_Py]]</f>
        <v>0</v>
      </c>
      <c r="AI504" s="111" t="e">
        <f>INDEX(Tab_Def_Flows[[Flow_ID]:[CC_DM_source]],MATCH(Tab_Data_Flows[[#This Row],[Name(EN)]],Tab_Def_Flows[Name(EN)],0),20)</f>
        <v>#N/A</v>
      </c>
      <c r="AJ504" s="109" t="e">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F_24_24</v>
      </c>
      <c r="C505" s="51"/>
      <c r="D505" s="49">
        <f>_xlfn.XLOOKUP(C505,Tab_Def_Flows[Name(EN)],Tab_Def_Flows[Type_Biomass],,0,)</f>
        <v>0</v>
      </c>
      <c r="E505" s="49">
        <f>_xlfn.XLOOKUP(C505,Tab_Def_Flows[Name(EN)],Tab_Def_Flows[Output_Process],,0,)</f>
        <v>0</v>
      </c>
      <c r="F505" s="49" t="str">
        <f>_xlfn.XLOOKUP(C505,Tab_Def_Flows[Name(EN)],Tab_Def_Flows[Process_ID_O],,0,)</f>
        <v>24__</v>
      </c>
      <c r="G505" s="49">
        <f>_xlfn.XLOOKUP(C505,Tab_Def_Flows[Name(EN)],Tab_Def_Flows[Input_Process],,0,)</f>
        <v>0</v>
      </c>
      <c r="H505" s="61" t="str">
        <f>_xlfn.XLOOKUP(C505,Tab_Def_Flows[Name(EN)],Tab_Def_Flows[Process_ID_I],,0,)</f>
        <v>24__</v>
      </c>
      <c r="I505" s="49">
        <f>_xlfn.XLOOKUP(C505,Tab_Def_Flows[Name(EN)],Tab_Def_Flows[Value_Source],,0,)</f>
        <v>0</v>
      </c>
      <c r="J505" s="61" t="str">
        <f>_xlfn.XLOOKUP(C505,Tab_Def_Flows[Name(EN)],Tab_Def_Flows[WC?],,0,)</f>
        <v>Yes</v>
      </c>
      <c r="K505" s="61" t="str">
        <f>_xlfn.XLOOKUP(C505,Tab_Def_Flows[Name(EN)],Tab_Def_Flows[DM?],,0,)</f>
        <v>Yes</v>
      </c>
      <c r="L505" s="61" t="str">
        <f>_xlfn.XLOOKUP(C505,Tab_Def_Flows[Name(EN)],Tab_Def_Flows[CC?],,0,)</f>
        <v>Yes</v>
      </c>
      <c r="M505" s="51"/>
      <c r="N505" s="51"/>
      <c r="O505" s="119"/>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e">
        <f>IF(J505="Yes",AA505*Tab_Data_Flows[[#This Row],[WC_'[%']]],"N.A.")</f>
        <v>#N/A</v>
      </c>
      <c r="AE505" s="61">
        <f>Tab_Data_Flows[[#This Row],[UoM_Flow_Py]]</f>
        <v>0</v>
      </c>
      <c r="AF505" s="111" t="e">
        <f>INDEX(Tab_Def_Flows[[Flow_ID]:[CC_DM_source]],MATCH(Tab_Data_Flows[[#This Row],[Name(EN)]],Tab_Def_Flows[Name(EN)],0),18)</f>
        <v>#N/A</v>
      </c>
      <c r="AG505" s="112" t="e">
        <f>IF(K505="Yes",AF505*Tab_Data_Flows[[#This Row],[Flow_Py]],"N.A.")</f>
        <v>#N/A</v>
      </c>
      <c r="AH505" s="61">
        <f>Tab_Data_Flows[[#This Row],[UoM_Flow_Py]]</f>
        <v>0</v>
      </c>
      <c r="AI505" s="111" t="e">
        <f>INDEX(Tab_Def_Flows[[Flow_ID]:[CC_DM_source]],MATCH(Tab_Data_Flows[[#This Row],[Name(EN)]],Tab_Def_Flows[Name(EN)],0),20)</f>
        <v>#N/A</v>
      </c>
      <c r="AJ505" s="109" t="e">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F_24_24</v>
      </c>
      <c r="C506" s="51"/>
      <c r="D506" s="49">
        <f>_xlfn.XLOOKUP(C506,Tab_Def_Flows[Name(EN)],Tab_Def_Flows[Type_Biomass],,0,)</f>
        <v>0</v>
      </c>
      <c r="E506" s="49">
        <f>_xlfn.XLOOKUP(C506,Tab_Def_Flows[Name(EN)],Tab_Def_Flows[Output_Process],,0,)</f>
        <v>0</v>
      </c>
      <c r="F506" s="49" t="str">
        <f>_xlfn.XLOOKUP(C506,Tab_Def_Flows[Name(EN)],Tab_Def_Flows[Process_ID_O],,0,)</f>
        <v>24__</v>
      </c>
      <c r="G506" s="49">
        <f>_xlfn.XLOOKUP(C506,Tab_Def_Flows[Name(EN)],Tab_Def_Flows[Input_Process],,0,)</f>
        <v>0</v>
      </c>
      <c r="H506" s="61" t="str">
        <f>_xlfn.XLOOKUP(C506,Tab_Def_Flows[Name(EN)],Tab_Def_Flows[Process_ID_I],,0,)</f>
        <v>24__</v>
      </c>
      <c r="I506" s="49">
        <f>_xlfn.XLOOKUP(C506,Tab_Def_Flows[Name(EN)],Tab_Def_Flows[Value_Source],,0,)</f>
        <v>0</v>
      </c>
      <c r="J506" s="61" t="str">
        <f>_xlfn.XLOOKUP(C506,Tab_Def_Flows[Name(EN)],Tab_Def_Flows[WC?],,0,)</f>
        <v>Yes</v>
      </c>
      <c r="K506" s="61" t="str">
        <f>_xlfn.XLOOKUP(C506,Tab_Def_Flows[Name(EN)],Tab_Def_Flows[DM?],,0,)</f>
        <v>Yes</v>
      </c>
      <c r="L506" s="61" t="str">
        <f>_xlfn.XLOOKUP(C506,Tab_Def_Flows[Name(EN)],Tab_Def_Flows[CC?],,0,)</f>
        <v>Yes</v>
      </c>
      <c r="M506" s="51"/>
      <c r="N506" s="51"/>
      <c r="O506" s="119"/>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e">
        <f>IF(J506="Yes",AA506*Tab_Data_Flows[[#This Row],[WC_'[%']]],"N.A.")</f>
        <v>#N/A</v>
      </c>
      <c r="AE506" s="61">
        <f>Tab_Data_Flows[[#This Row],[UoM_Flow_Py]]</f>
        <v>0</v>
      </c>
      <c r="AF506" s="111" t="e">
        <f>INDEX(Tab_Def_Flows[[Flow_ID]:[CC_DM_source]],MATCH(Tab_Data_Flows[[#This Row],[Name(EN)]],Tab_Def_Flows[Name(EN)],0),18)</f>
        <v>#N/A</v>
      </c>
      <c r="AG506" s="112" t="e">
        <f>IF(K506="Yes",AF506*Tab_Data_Flows[[#This Row],[Flow_Py]],"N.A.")</f>
        <v>#N/A</v>
      </c>
      <c r="AH506" s="61">
        <f>Tab_Data_Flows[[#This Row],[UoM_Flow_Py]]</f>
        <v>0</v>
      </c>
      <c r="AI506" s="111" t="e">
        <f>INDEX(Tab_Def_Flows[[Flow_ID]:[CC_DM_source]],MATCH(Tab_Data_Flows[[#This Row],[Name(EN)]],Tab_Def_Flows[Name(EN)],0),20)</f>
        <v>#N/A</v>
      </c>
      <c r="AJ506" s="109" t="e">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F_24_24</v>
      </c>
      <c r="C507" s="51"/>
      <c r="D507" s="49">
        <f>_xlfn.XLOOKUP(C507,Tab_Def_Flows[Name(EN)],Tab_Def_Flows[Type_Biomass],,0,)</f>
        <v>0</v>
      </c>
      <c r="E507" s="49">
        <f>_xlfn.XLOOKUP(C507,Tab_Def_Flows[Name(EN)],Tab_Def_Flows[Output_Process],,0,)</f>
        <v>0</v>
      </c>
      <c r="F507" s="63" t="str">
        <f>_xlfn.XLOOKUP(C507,Tab_Def_Flows[Name(EN)],Tab_Def_Flows[Process_ID_O],,0,)</f>
        <v>24__</v>
      </c>
      <c r="G507" s="49">
        <f>_xlfn.XLOOKUP(C507,Tab_Def_Flows[Name(EN)],Tab_Def_Flows[Input_Process],,0,)</f>
        <v>0</v>
      </c>
      <c r="H507" s="64" t="str">
        <f>_xlfn.XLOOKUP(C507,Tab_Def_Flows[Name(EN)],Tab_Def_Flows[Process_ID_I],,0,)</f>
        <v>24__</v>
      </c>
      <c r="I507" s="105">
        <f>_xlfn.XLOOKUP(C507,Tab_Def_Flows[Name(EN)],Tab_Def_Flows[Value_Source],,0,)</f>
        <v>0</v>
      </c>
      <c r="J507" s="61" t="str">
        <f>_xlfn.XLOOKUP(C507,Tab_Def_Flows[Name(EN)],Tab_Def_Flows[WC?],,0,)</f>
        <v>Yes</v>
      </c>
      <c r="K507" s="61" t="str">
        <f>_xlfn.XLOOKUP(C507,Tab_Def_Flows[Name(EN)],Tab_Def_Flows[DM?],,0,)</f>
        <v>Yes</v>
      </c>
      <c r="L507" s="61" t="str">
        <f>_xlfn.XLOOKUP(C507,Tab_Def_Flows[Name(EN)],Tab_Def_Flows[CC?],,0,)</f>
        <v>Yes</v>
      </c>
      <c r="M507" s="51"/>
      <c r="N507" s="51"/>
      <c r="O507" s="119"/>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e">
        <f>IF(J507="Yes",AA507*Tab_Data_Flows[[#This Row],[WC_'[%']]],"N.A.")</f>
        <v>#N/A</v>
      </c>
      <c r="AE507" s="64">
        <f>Tab_Data_Flows[[#This Row],[UoM_Flow_Py]]</f>
        <v>0</v>
      </c>
      <c r="AF507" s="111" t="e">
        <f>INDEX(Tab_Def_Flows[[Flow_ID]:[CC_DM_source]],MATCH(Tab_Data_Flows[[#This Row],[Name(EN)]],Tab_Def_Flows[Name(EN)],0),18)</f>
        <v>#N/A</v>
      </c>
      <c r="AG507" s="113" t="e">
        <f>IF(K507="Yes",AF507*Tab_Data_Flows[[#This Row],[Flow_Py]],"N.A.")</f>
        <v>#N/A</v>
      </c>
      <c r="AH507" s="64">
        <f>Tab_Data_Flows[[#This Row],[UoM_Flow_Py]]</f>
        <v>0</v>
      </c>
      <c r="AI507" s="111" t="e">
        <f>INDEX(Tab_Def_Flows[[Flow_ID]:[CC_DM_source]],MATCH(Tab_Data_Flows[[#This Row],[Name(EN)]],Tab_Def_Flows[Name(EN)],0),20)</f>
        <v>#N/A</v>
      </c>
      <c r="AJ507" s="109" t="e">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M1" activePane="topRight" state="frozen"/>
      <selection pane="topRight" activeCell="M25" sqref="M25"/>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518</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498</v>
      </c>
      <c r="X2" s="52" t="str">
        <f>_xlfn.XLOOKUP(W2,Tab_Def_Flows[Name(EN)],Tab_Def_Flows[Flow_ID],,0,)</f>
        <v>F_00_13</v>
      </c>
      <c r="Y2" s="51" t="s">
        <v>499</v>
      </c>
      <c r="Z2" s="52" t="str">
        <f>_xlfn.XLOOKUP(Y2,Tab_Def_Flows[Name(EN)],Tab_Def_Flows[Flow_ID],,0,)</f>
        <v>F_00_04</v>
      </c>
      <c r="AA2" s="51" t="s">
        <v>500</v>
      </c>
      <c r="AB2" s="52" t="str">
        <f>_xlfn.XLOOKUP(AA2,Tab_Def_Flows[Name(EN)],Tab_Def_Flows[Flow_ID],,0,)</f>
        <v>F_00_11</v>
      </c>
      <c r="AC2" s="51" t="s">
        <v>501</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507</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506</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508</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509</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510</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511</v>
      </c>
      <c r="E7" s="89"/>
      <c r="F7" s="51" t="s">
        <v>350</v>
      </c>
      <c r="G7" s="51" t="s">
        <v>347</v>
      </c>
      <c r="H7" s="51"/>
      <c r="I7" s="89"/>
      <c r="J7" s="92" t="s">
        <v>384</v>
      </c>
      <c r="K7" s="51" t="s">
        <v>68</v>
      </c>
      <c r="L7" s="96" t="s">
        <v>71</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556</v>
      </c>
      <c r="X7" s="49" t="str">
        <f>_xlfn.XLOOKUP(W7,Tab_Def_Flows[Name(EN)],Tab_Def_Flows[Flow_ID],,0,)</f>
        <v>F_05_19</v>
      </c>
      <c r="Y7" s="51" t="s">
        <v>569</v>
      </c>
      <c r="Z7" s="49" t="str">
        <f>_xlfn.XLOOKUP(Y7,Tab_Def_Flows[Name(EN)],Tab_Def_Flows[Flow_ID],,0,)</f>
        <v>F_05_22</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512</v>
      </c>
      <c r="E8" s="89"/>
      <c r="F8" s="51" t="s">
        <v>350</v>
      </c>
      <c r="G8" s="51" t="s">
        <v>347</v>
      </c>
      <c r="H8" s="51"/>
      <c r="I8" s="89"/>
      <c r="J8" s="92" t="s">
        <v>384</v>
      </c>
      <c r="K8" s="51" t="s">
        <v>68</v>
      </c>
      <c r="L8" s="96" t="s">
        <v>71</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562</v>
      </c>
      <c r="X8" s="49" t="str">
        <f>_xlfn.XLOOKUP(W8,Tab_Def_Flows[Name(EN)],Tab_Def_Flows[Flow_ID],,0,)</f>
        <v>F_06_19</v>
      </c>
      <c r="Y8" s="51" t="s">
        <v>563</v>
      </c>
      <c r="Z8" s="49" t="str">
        <f>_xlfn.XLOOKUP(Y8,Tab_Def_Flows[Name(EN)],Tab_Def_Flows[Flow_ID],,0,)</f>
        <v>F_06_22</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513</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514</v>
      </c>
      <c r="E10" s="89"/>
      <c r="F10" s="51" t="s">
        <v>350</v>
      </c>
      <c r="G10" s="51" t="s">
        <v>347</v>
      </c>
      <c r="H10" s="51"/>
      <c r="I10" s="89"/>
      <c r="J10" s="92" t="s">
        <v>381</v>
      </c>
      <c r="K10" s="51" t="s">
        <v>71</v>
      </c>
      <c r="L10" s="96" t="s">
        <v>71</v>
      </c>
      <c r="M10" s="51" t="s">
        <v>501</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515</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567</v>
      </c>
      <c r="Z11" s="49" t="str">
        <f>_xlfn.XLOOKUP(Y11,Tab_Def_Flows[Name(EN)],Tab_Def_Flows[Flow_ID],,0,)</f>
        <v>F_09_19</v>
      </c>
      <c r="AA11" s="51" t="s">
        <v>568</v>
      </c>
      <c r="AB11" s="49" t="str">
        <f>_xlfn.XLOOKUP(AA11,Tab_Def_Flows[Name(EN)],Tab_Def_Flows[Flow_ID],,0,)</f>
        <v>F_09_22</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516</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570</v>
      </c>
      <c r="X12" s="49" t="str">
        <f>_xlfn.XLOOKUP(W12,Tab_Def_Flows[Name(EN)],Tab_Def_Flows[Flow_ID],,0,)</f>
        <v>F_10_22</v>
      </c>
      <c r="Y12" s="51" t="s">
        <v>566</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517</v>
      </c>
      <c r="E13" s="89"/>
      <c r="F13" s="51" t="s">
        <v>350</v>
      </c>
      <c r="G13" s="51" t="s">
        <v>347</v>
      </c>
      <c r="H13" s="51"/>
      <c r="I13" s="89"/>
      <c r="J13" s="92" t="s">
        <v>381</v>
      </c>
      <c r="K13" s="51" t="s">
        <v>68</v>
      </c>
      <c r="L13" s="96" t="s">
        <v>71</v>
      </c>
      <c r="M13" s="51" t="s">
        <v>500</v>
      </c>
      <c r="N13" s="49" t="str">
        <f>_xlfn.XLOOKUP(M13,Tab_Def_Flows[Name(EN)],Tab_Def_Flows[Flow_ID],,0,)</f>
        <v>F_00_11</v>
      </c>
      <c r="O13" s="51" t="s">
        <v>553</v>
      </c>
      <c r="P13" s="49" t="str">
        <f>_xlfn.XLOOKUP(O13,Tab_Def_Flows[Name(EN)],Tab_Def_Flows[Flow_ID],,0,)</f>
        <v>F_19_11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519</v>
      </c>
      <c r="E14" s="89"/>
      <c r="F14" s="51" t="s">
        <v>350</v>
      </c>
      <c r="G14" s="51" t="s">
        <v>347</v>
      </c>
      <c r="H14" s="51"/>
      <c r="I14" s="89"/>
      <c r="J14" s="92" t="s">
        <v>384</v>
      </c>
      <c r="K14" s="51" t="s">
        <v>68</v>
      </c>
      <c r="L14" s="96" t="s">
        <v>71</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561</v>
      </c>
      <c r="X14" s="49" t="str">
        <f>_xlfn.XLOOKUP(W14,Tab_Def_Flows[Name(EN)],Tab_Def_Flows[Flow_ID],,0,)</f>
        <v>F_12_19</v>
      </c>
      <c r="Y14" s="51" t="s">
        <v>560</v>
      </c>
      <c r="Z14" s="49" t="str">
        <f>_xlfn.XLOOKUP(Y14,Tab_Def_Flows[Name(EN)],Tab_Def_Flows[Flow_ID],,0,)</f>
        <v>F_12_22</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520</v>
      </c>
      <c r="E15" s="89"/>
      <c r="F15" s="51" t="s">
        <v>350</v>
      </c>
      <c r="G15" s="51" t="s">
        <v>347</v>
      </c>
      <c r="H15" s="51"/>
      <c r="I15" s="89"/>
      <c r="J15" s="92" t="s">
        <v>381</v>
      </c>
      <c r="K15" s="51" t="s">
        <v>68</v>
      </c>
      <c r="L15" s="96" t="s">
        <v>71</v>
      </c>
      <c r="M15" s="51" t="s">
        <v>498</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521</v>
      </c>
      <c r="E16" s="89"/>
      <c r="F16" s="51" t="s">
        <v>350</v>
      </c>
      <c r="G16" s="51" t="s">
        <v>347</v>
      </c>
      <c r="H16" s="51"/>
      <c r="I16" s="89"/>
      <c r="J16" s="92" t="s">
        <v>384</v>
      </c>
      <c r="K16" s="51" t="s">
        <v>71</v>
      </c>
      <c r="L16" s="96" t="s">
        <v>68</v>
      </c>
      <c r="M16" s="51" t="s">
        <v>492</v>
      </c>
      <c r="N16" s="52" t="str">
        <f>_xlfn.XLOOKUP(M16,Tab_Def_Flows[Name(EN)],Tab_Def_Flows[Flow_ID],,0,)</f>
        <v>F_02_14</v>
      </c>
      <c r="O16" s="51" t="s">
        <v>505</v>
      </c>
      <c r="P16" s="52" t="e">
        <f>_xlfn.XLOOKUP(O16,Tab_Def_Flows[Name(EN)],Tab_Def_Flows[Flow_ID],,0,)</f>
        <v>#N/A</v>
      </c>
      <c r="Q16" s="51" t="s">
        <v>504</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522</v>
      </c>
      <c r="E17" s="89"/>
      <c r="F17" s="51" t="s">
        <v>350</v>
      </c>
      <c r="G17" s="51" t="s">
        <v>347</v>
      </c>
      <c r="H17" s="51"/>
      <c r="I17" s="89"/>
      <c r="J17" s="92" t="s">
        <v>381</v>
      </c>
      <c r="K17" s="51" t="s">
        <v>68</v>
      </c>
      <c r="L17" s="96" t="s">
        <v>71</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554</v>
      </c>
      <c r="X17" s="52" t="str">
        <f>_xlfn.XLOOKUP(W17,Tab_Def_Flows[Name(EN)],Tab_Def_Flows[Flow_ID],,0,)</f>
        <v>F_15_19</v>
      </c>
      <c r="Y17" s="51" t="s">
        <v>558</v>
      </c>
      <c r="Z17" s="52" t="str">
        <f>_xlfn.XLOOKUP(Y17,Tab_Def_Flows[Name(EN)],Tab_Def_Flows[Flow_ID],,0,)</f>
        <v>F_15_22</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523</v>
      </c>
      <c r="E18" s="89"/>
      <c r="F18" s="51" t="s">
        <v>350</v>
      </c>
      <c r="G18" s="51" t="s">
        <v>347</v>
      </c>
      <c r="H18" s="51"/>
      <c r="I18" s="89"/>
      <c r="J18" s="92" t="s">
        <v>384</v>
      </c>
      <c r="K18" s="51" t="s">
        <v>68</v>
      </c>
      <c r="L18" s="96" t="s">
        <v>71</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555</v>
      </c>
      <c r="X18" s="52" t="str">
        <f>_xlfn.XLOOKUP(W18,Tab_Def_Flows[Name(EN)],Tab_Def_Flows[Flow_ID],,0,)</f>
        <v>F_16_19</v>
      </c>
      <c r="Y18" s="51" t="s">
        <v>559</v>
      </c>
      <c r="Z18" s="52" t="str">
        <f>_xlfn.XLOOKUP(Y18,Tab_Def_Flows[Name(EN)],Tab_Def_Flows[Flow_ID],,0,)</f>
        <v>F_16_22</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524</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525</v>
      </c>
      <c r="E20" s="89"/>
      <c r="F20" s="51" t="s">
        <v>350</v>
      </c>
      <c r="G20" s="51" t="s">
        <v>347</v>
      </c>
      <c r="H20" s="51"/>
      <c r="I20" s="89"/>
      <c r="J20" s="92" t="s">
        <v>384</v>
      </c>
      <c r="K20" s="51" t="s">
        <v>71</v>
      </c>
      <c r="L20" s="96" t="s">
        <v>71</v>
      </c>
      <c r="M20" s="51" t="s">
        <v>231</v>
      </c>
      <c r="N20" s="52" t="e">
        <f>_xlfn.XLOOKUP(M20,Tab_Def_Flows[Name(EN)],Tab_Def_Flows[Flow_ID],,0,)</f>
        <v>#N/A</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526</v>
      </c>
      <c r="E21" s="89"/>
      <c r="F21" s="51" t="s">
        <v>350</v>
      </c>
      <c r="G21" s="51" t="s">
        <v>345</v>
      </c>
      <c r="H21" s="51"/>
      <c r="I21" s="89"/>
      <c r="J21" s="92" t="s">
        <v>384</v>
      </c>
      <c r="K21" s="51" t="s">
        <v>71</v>
      </c>
      <c r="L21" s="96" t="s">
        <v>68</v>
      </c>
      <c r="M21" s="51" t="s">
        <v>566</v>
      </c>
      <c r="N21" s="52" t="str">
        <f>_xlfn.XLOOKUP(M21,Tab_Def_Flows[Name(EN)],Tab_Def_Flows[Flow_ID],,0,)</f>
        <v>F_10_19</v>
      </c>
      <c r="O21" s="51" t="s">
        <v>502</v>
      </c>
      <c r="P21" s="52" t="e">
        <f>_xlfn.XLOOKUP(O21,Tab_Def_Flows[Name(EN)],Tab_Def_Flows[Flow_ID],,0,)</f>
        <v>#N/A</v>
      </c>
      <c r="Q21" s="51" t="s">
        <v>554</v>
      </c>
      <c r="R21" s="52" t="str">
        <f>_xlfn.XLOOKUP(Q21,Tab_Def_Flows[Name(EN)],Tab_Def_Flows[Flow_ID],,0,)</f>
        <v>F_15_19</v>
      </c>
      <c r="S21" s="51" t="s">
        <v>555</v>
      </c>
      <c r="T21" s="52" t="str">
        <f>_xlfn.XLOOKUP(S21,Tab_Def_Flows[Name(EN)],Tab_Def_Flows[Flow_ID],,0,)</f>
        <v>F_16_19</v>
      </c>
      <c r="U21" s="51" t="s">
        <v>231</v>
      </c>
      <c r="V21" s="53" t="e">
        <f>_xlfn.XLOOKUP(U21,Tab_Def_Flows[Name(EN)],Tab_Def_Flows[Flow_ID],,0,)</f>
        <v>#N/A</v>
      </c>
      <c r="W21" s="51" t="s">
        <v>551</v>
      </c>
      <c r="X21" s="52" t="str">
        <f>_xlfn.XLOOKUP(W21,Tab_Def_Flows[Name(EN)],Tab_Def_Flows[Flow_ID],,0,)</f>
        <v>F_19_13</v>
      </c>
      <c r="Y21" s="51" t="s">
        <v>552</v>
      </c>
      <c r="Z21" s="52" t="str">
        <f>_xlfn.XLOOKUP(Y21,Tab_Def_Flows[Name(EN)],Tab_Def_Flows[Flow_ID],,0,)</f>
        <v>F_19_04</v>
      </c>
      <c r="AA21" s="51" t="s">
        <v>553</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527</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528</v>
      </c>
      <c r="E23" s="89"/>
      <c r="F23" s="51" t="s">
        <v>350</v>
      </c>
      <c r="G23" s="51" t="s">
        <v>347</v>
      </c>
      <c r="H23" s="51"/>
      <c r="I23" s="89"/>
      <c r="J23" s="92" t="s">
        <v>384</v>
      </c>
      <c r="K23" s="96" t="s">
        <v>68</v>
      </c>
      <c r="L23" s="96" t="s">
        <v>71</v>
      </c>
      <c r="M23" s="51" t="s">
        <v>506</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565</v>
      </c>
      <c r="X23" s="52" t="str">
        <f>_xlfn.XLOOKUP(W23,Tab_Def_Flows[Name(EN)],Tab_Def_Flows[Flow_ID],,0,)</f>
        <v>F_21_19</v>
      </c>
      <c r="Y23" s="51" t="s">
        <v>564</v>
      </c>
      <c r="Z23" s="52" t="str">
        <f>_xlfn.XLOOKUP(Y23,Tab_Def_Flows[Name(EN)],Tab_Def_Flows[Flow_ID],,0,)</f>
        <v>F_21_22</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22_Env_BB</v>
      </c>
      <c r="D24" s="51" t="s">
        <v>557</v>
      </c>
      <c r="E24" s="89"/>
      <c r="F24" s="51" t="s">
        <v>350</v>
      </c>
      <c r="G24" s="51"/>
      <c r="H24" s="51"/>
      <c r="I24" s="89"/>
      <c r="J24" s="92" t="s">
        <v>384</v>
      </c>
      <c r="K24" s="51" t="s">
        <v>71</v>
      </c>
      <c r="L24" s="96" t="s">
        <v>68</v>
      </c>
      <c r="M24" s="51" t="s">
        <v>558</v>
      </c>
      <c r="N24" s="52" t="str">
        <f>_xlfn.XLOOKUP(M24,Tab_Def_Flows[Name(EN)],Tab_Def_Flows[Flow_ID],,0,)</f>
        <v>F_15_22</v>
      </c>
      <c r="O24" s="51" t="s">
        <v>559</v>
      </c>
      <c r="P24" s="52" t="str">
        <f>_xlfn.XLOOKUP(O24,Tab_Def_Flows[Name(EN)],Tab_Def_Flows[Flow_ID],,0,)</f>
        <v>F_16_22</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23_Rye_</v>
      </c>
      <c r="D25" s="51" t="s">
        <v>571</v>
      </c>
      <c r="E25" s="89"/>
      <c r="F25" s="51"/>
      <c r="G25" s="51"/>
      <c r="H25" s="51"/>
      <c r="I25" s="89"/>
      <c r="J25" s="92" t="s">
        <v>384</v>
      </c>
      <c r="K25" s="51" t="s">
        <v>71</v>
      </c>
      <c r="L25" s="96" t="s">
        <v>68</v>
      </c>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F_24_24</v>
      </c>
      <c r="O56" s="51"/>
      <c r="P56" s="49" t="str">
        <f>_xlfn.XLOOKUP(O56,Tab_Def_Flows[Name(EN)],Tab_Def_Flows[Flow_ID],,0,)</f>
        <v>F_24_24</v>
      </c>
      <c r="Q56" s="51"/>
      <c r="R56" s="49" t="str">
        <f>_xlfn.XLOOKUP(Q56,Tab_Def_Flows[Name(EN)],Tab_Def_Flows[Flow_ID],,0,)</f>
        <v>F_24_24</v>
      </c>
      <c r="S56" s="51"/>
      <c r="T56" s="49" t="str">
        <f>_xlfn.XLOOKUP(S56,Tab_Def_Flows[Name(EN)],Tab_Def_Flows[Flow_ID],,0,)</f>
        <v>F_24_24</v>
      </c>
      <c r="U56" s="51"/>
      <c r="V56" s="65" t="str">
        <f>_xlfn.XLOOKUP(U56,Tab_Def_Flows[Name(EN)],Tab_Def_Flows[Flow_ID],,0,)</f>
        <v>F_24_24</v>
      </c>
      <c r="W56" s="51"/>
      <c r="X56" s="49" t="str">
        <f>_xlfn.XLOOKUP(W56,Tab_Def_Flows[Name(EN)],Tab_Def_Flows[Flow_ID],,0,)</f>
        <v>F_24_24</v>
      </c>
      <c r="Y56" s="51"/>
      <c r="Z56" s="49" t="str">
        <f>_xlfn.XLOOKUP(Y56,Tab_Def_Flows[Name(EN)],Tab_Def_Flows[Flow_ID],,0,)</f>
        <v>F_24_24</v>
      </c>
      <c r="AA56" s="51" t="s">
        <v>231</v>
      </c>
      <c r="AB56" s="49" t="e">
        <f>_xlfn.XLOOKUP(AA56,Tab_Def_Flows[Name(EN)],Tab_Def_Flows[Flow_ID],,0,)</f>
        <v>#N/A</v>
      </c>
      <c r="AC56" s="51"/>
      <c r="AD56" s="49" t="str">
        <f>_xlfn.XLOOKUP(AC56,Tab_Def_Flows[Name(EN)],Tab_Def_Flows[Flow_ID],,0,)</f>
        <v>F_24_24</v>
      </c>
      <c r="AE56" s="51"/>
      <c r="AF56" s="49" t="str">
        <f>_xlfn.XLOOKUP(AE56,Tab_Def_Flows[Name(EN)],Tab_Def_Flows[Flow_ID],,0,)</f>
        <v>F_24_24</v>
      </c>
      <c r="AG56" s="51"/>
      <c r="AH56" s="53" t="str">
        <f>_xlfn.XLOOKUP(AG56,Tab_Def_Flows[Name(EN)],Tab_Def_Flows[Flow_ID],,0,)</f>
        <v>F_24_24</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F_24_24</v>
      </c>
      <c r="O57" s="51"/>
      <c r="P57" s="49" t="str">
        <f>_xlfn.XLOOKUP(O57,Tab_Def_Flows[Name(EN)],Tab_Def_Flows[Flow_ID],,0,)</f>
        <v>F_24_24</v>
      </c>
      <c r="Q57" s="51"/>
      <c r="R57" s="49" t="str">
        <f>_xlfn.XLOOKUP(Q57,Tab_Def_Flows[Name(EN)],Tab_Def_Flows[Flow_ID],,0,)</f>
        <v>F_24_24</v>
      </c>
      <c r="S57" s="51"/>
      <c r="T57" s="49" t="str">
        <f>_xlfn.XLOOKUP(S57,Tab_Def_Flows[Name(EN)],Tab_Def_Flows[Flow_ID],,0,)</f>
        <v>F_24_24</v>
      </c>
      <c r="U57" s="51"/>
      <c r="V57" s="66" t="str">
        <f>_xlfn.XLOOKUP(U57,Tab_Def_Flows[Name(EN)],Tab_Def_Flows[Flow_ID],,0,)</f>
        <v>F_24_24</v>
      </c>
      <c r="W57" s="51"/>
      <c r="X57" s="49" t="str">
        <f>_xlfn.XLOOKUP(W57,Tab_Def_Flows[Name(EN)],Tab_Def_Flows[Flow_ID],,0,)</f>
        <v>F_24_24</v>
      </c>
      <c r="Y57" s="51"/>
      <c r="Z57" s="49" t="str">
        <f>_xlfn.XLOOKUP(Y57,Tab_Def_Flows[Name(EN)],Tab_Def_Flows[Flow_ID],,0,)</f>
        <v>F_24_24</v>
      </c>
      <c r="AA57" s="51" t="s">
        <v>231</v>
      </c>
      <c r="AB57" s="49" t="e">
        <f>_xlfn.XLOOKUP(AA57,Tab_Def_Flows[Name(EN)],Tab_Def_Flows[Flow_ID],,0,)</f>
        <v>#N/A</v>
      </c>
      <c r="AC57" s="51"/>
      <c r="AD57" s="49" t="str">
        <f>_xlfn.XLOOKUP(AC57,Tab_Def_Flows[Name(EN)],Tab_Def_Flows[Flow_ID],,0,)</f>
        <v>F_24_24</v>
      </c>
      <c r="AE57" s="51"/>
      <c r="AF57" s="49" t="str">
        <f>_xlfn.XLOOKUP(AE57,Tab_Def_Flows[Name(EN)],Tab_Def_Flows[Flow_ID],,0,)</f>
        <v>F_24_24</v>
      </c>
      <c r="AG57" s="51"/>
      <c r="AH57" s="53" t="str">
        <f>_xlfn.XLOOKUP(AG57,Tab_Def_Flows[Name(EN)],Tab_Def_Flows[Flow_ID],,0,)</f>
        <v>F_24_24</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M2:M58 AC2:AC58 AG2:AG58 W2:W58 Y1:Y58 AE2:AE58 U1:U1048576 Q1:Q1048576 O1:O1048576 AA2:AA58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45" zoomScaleNormal="145" workbookViewId="0">
      <pane xSplit="5" topLeftCell="F1" activePane="topRight" state="frozen"/>
      <selection pane="topRight" activeCell="C14" sqref="C14"/>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30.5703125"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527</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(technical usable)</v>
      </c>
      <c r="AG2" s="124" t="str">
        <f>_xlfn.XLOOKUP($E2,Tab_Def_Processes[Name(EN)],Tab_Def_Processes[Flow_ID_O_2],,0,)</f>
        <v>F_20_01</v>
      </c>
      <c r="AH2" s="120">
        <v>0.26300000000000001</v>
      </c>
      <c r="AI2" s="124" t="str">
        <f>_xlfn.XLOOKUP($E2,Tab_Def_Processes[Name(EN)],Tab_Def_Processes[Output_Flow_O_3],,0,)</f>
        <v>Rye-Straw (non-technical usable)</v>
      </c>
      <c r="AJ2" s="124" t="str">
        <f>_xlfn.XLOOKUP($E2,Tab_Def_Processes[Name(EN)],Tab_Def_Processes[Flow_ID_O_3],,0,)</f>
        <v>F_20_16</v>
      </c>
      <c r="AK2" s="120">
        <v>0.26300000000000001</v>
      </c>
      <c r="AL2" s="124" t="str">
        <f>_xlfn.XLOOKUP($E2,Tab_Def_Processes[Name(EN)],Tab_Def_Processes[Output_Flow_O_4],,0,)</f>
        <v>N.A.</v>
      </c>
      <c r="AM2" s="124" t="e">
        <f>_xlfn.XLOOKUP($E2,Tab_Def_Processes[Name(EN)],Tab_Def_Processes[Flow_ID_O_4],,0,)</f>
        <v>#N/A</v>
      </c>
      <c r="AN2" s="120"/>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507</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508</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513</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509</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515</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0.11745</v>
      </c>
      <c r="AF7" s="126" t="str">
        <f>_xlfn.XLOOKUP($E7,Tab_Def_Processes[Name(EN)],Tab_Def_Processes[Output_Flow_O_2],,0,)</f>
        <v>C-from MBC (EoL)-Pyrolysis</v>
      </c>
      <c r="AG7" s="126" t="str">
        <f>_xlfn.XLOOKUP($E7,Tab_Def_Processes[Name(EN)],Tab_Def_Processes[Flow_ID_O_2],,0,)</f>
        <v>F_09_19</v>
      </c>
      <c r="AH7" s="120">
        <v>4.4356949999999999E-2</v>
      </c>
      <c r="AI7" s="126" t="str">
        <f>_xlfn.XLOOKUP($E7,Tab_Def_Processes[Name(EN)],Tab_Def_Processes[Output_Flow_O_3],,0,)</f>
        <v>Environment-from MBC (EoL)-Pyrolysis</v>
      </c>
      <c r="AJ7" s="126" t="str">
        <f>_xlfn.XLOOKUP($E7,Tab_Def_Processes[Name(EN)],Tab_Def_Processes[Flow_ID_O_3],,0,)</f>
        <v>F_09_22</v>
      </c>
      <c r="AK7" s="120">
        <v>0.83819305</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516</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Environment-from MBC (EoL)-Incineration</v>
      </c>
      <c r="AD8" s="49" t="str">
        <f>_xlfn.XLOOKUP($E8,Tab_Def_Processes[Name(EN)],Tab_Def_Processes[Flow_ID_O_1],,0,)</f>
        <v>F_10_22</v>
      </c>
      <c r="AE8" s="120">
        <v>0.8480979999999998</v>
      </c>
      <c r="AF8" s="126" t="str">
        <f>_xlfn.XLOOKUP($E8,Tab_Def_Processes[Name(EN)],Tab_Def_Processes[Output_Flow_O_2],,0,)</f>
        <v>C-from MBC (EoL)-Incineration</v>
      </c>
      <c r="AG8" s="126" t="str">
        <f>_xlfn.XLOOKUP($E8,Tab_Def_Processes[Name(EN)],Tab_Def_Processes[Flow_ID_O_2],,0,)</f>
        <v>F_10_19</v>
      </c>
      <c r="AH8" s="120">
        <v>0.15190199999999998</v>
      </c>
      <c r="AI8" s="126" t="str">
        <f>_xlfn.XLOOKUP($E8,Tab_Def_Processes[Name(EN)],Tab_Def_Processes[Output_Flow_O_3],,0,)</f>
        <v>N.A.</v>
      </c>
      <c r="AJ8" s="126" t="e">
        <f>_xlfn.XLOOKUP($E8,Tab_Def_Processes[Name(EN)],Tab_Def_Processes[Flow_ID_O_3],,0,)</f>
        <v>#N/A</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1.6084999999999998</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520</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523</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No</v>
      </c>
      <c r="M10" s="60" t="str">
        <f>_xlfn.XLOOKUP($E10,Tab_Def_Processes[Name(EN)],Tab_Def_Processes[Input_Flow_I_1],,0,)</f>
        <v>Rye-Straw (non-technical usable)</v>
      </c>
      <c r="N10" s="49" t="str">
        <f>_xlfn.XLOOKUP($E10,Tab_Def_Processes[Name(EN)],Tab_Def_Processes[Flow_ID_I_1],,0,)</f>
        <v>F_20_16</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0.4128</v>
      </c>
      <c r="AF10" s="126" t="str">
        <f>_xlfn.XLOOKUP($E10,Tab_Def_Processes[Name(EN)],Tab_Def_Processes[Output_Flow_O_2],,0,)</f>
        <v>Environment-from Rye-Straw (non-mobilizable)_Degradation</v>
      </c>
      <c r="AG10" s="126" t="str">
        <f>_xlfn.XLOOKUP($E10,Tab_Def_Processes[Name(EN)],Tab_Def_Processes[Flow_ID_O_2],,0,)</f>
        <v>F_16_22</v>
      </c>
      <c r="AH10" s="120">
        <v>0.58720000000000017</v>
      </c>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1.0000000000000002</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522</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No</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0.41279999999999989</v>
      </c>
      <c r="AF11" s="126" t="str">
        <f>_xlfn.XLOOKUP($E11,Tab_Def_Processes[Name(EN)],Tab_Def_Processes[Output_Flow_O_2],,0,)</f>
        <v>Environment-from Rye-Grain_Processing &amp; Consumption</v>
      </c>
      <c r="AG11" s="126" t="str">
        <f>_xlfn.XLOOKUP($E11,Tab_Def_Processes[Name(EN)],Tab_Def_Processes[Flow_ID_O_2],,0,)</f>
        <v>F_15_22</v>
      </c>
      <c r="AH11" s="120">
        <v>0.58720000000000017</v>
      </c>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511</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No</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0.38000000000000006</v>
      </c>
      <c r="AF12" s="126" t="str">
        <f>_xlfn.XLOOKUP($E12,Tab_Def_Processes[Name(EN)],Tab_Def_Processes[Output_Flow_O_2],,0,)</f>
        <v>Environment-from Biogas-Incineration</v>
      </c>
      <c r="AG12" s="126" t="str">
        <f>_xlfn.XLOOKUP($E12,Tab_Def_Processes[Name(EN)],Tab_Def_Processes[Flow_ID_O_2],,0,)</f>
        <v>F_05_22</v>
      </c>
      <c r="AH12" s="120">
        <v>0.62</v>
      </c>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517</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F_19_11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str">
        <f t="shared" si="1"/>
        <v>TC13_12_MBC__Ant</v>
      </c>
      <c r="D14" s="118" t="str">
        <f>_xlfn.XLOOKUP($E14,Tab_Def_Processes[Name(EN)],Tab_Def_Processes[ID],,0,)</f>
        <v>12</v>
      </c>
      <c r="E14" s="51" t="s">
        <v>519</v>
      </c>
      <c r="F14" s="49"/>
      <c r="G14" s="49" t="str">
        <f>_xlfn.XLOOKUP(E14,Tab_Def_Processes[Name(EN)],Tab_Def_Processes[Carbon_Stock],,0,)</f>
        <v>Anthroposphere</v>
      </c>
      <c r="H14" s="49">
        <f>_xlfn.XLOOKUP(E14,Tab_Def_Processes[Name(EN)],Tab_Def_Processes[Life_Phase],,0,)</f>
        <v>0</v>
      </c>
      <c r="I14" s="49">
        <f>_xlfn.XLOOKUP(E14,Tab_Def_Processes[Name(EN)],Tab_Def_Processes[Description],,0,)</f>
        <v>0</v>
      </c>
      <c r="J14" s="49" t="str">
        <f>_xlfn.XLOOKUP($E14,Tab_Def_Processes[Name(EN)],Tab_Def_Processes[Process_Type],,0,)</f>
        <v>Export</v>
      </c>
      <c r="K14" s="49" t="str">
        <f>_xlfn.XLOOKUP($E14,Tab_Def_Processes[Name(EN)],Tab_Def_Processes[TC?],,0,)</f>
        <v>Yes</v>
      </c>
      <c r="L14" s="49" t="str">
        <f>_xlfn.XLOOKUP($E14,Tab_Def_Processes[Name(EN)],Tab_Def_Processes[Stock?],,0,)</f>
        <v>No</v>
      </c>
      <c r="M14" s="60" t="str">
        <f>_xlfn.XLOOKUP($E14,Tab_Def_Processes[Name(EN)],Tab_Def_Processes[Input_Flow_I_1],,0,)</f>
        <v>MBC-Production-Delta</v>
      </c>
      <c r="N14" s="49" t="str">
        <f>_xlfn.XLOOKUP($E14,Tab_Def_Processes[Name(EN)],Tab_Def_Processes[Flow_ID_I_1],,0,)</f>
        <v>F_02_12</v>
      </c>
      <c r="O14" s="81"/>
      <c r="P14" s="76" t="str">
        <f>_xlfn.XLOOKUP($E14,Tab_Def_Processes[Name(EN)],Tab_Def_Processes[Input_Flow_I_2],,0,)</f>
        <v>N.A.</v>
      </c>
      <c r="Q14" s="49" t="e">
        <f>_xlfn.XLOOKUP($E14,Tab_Def_Processes[Name(EN)],Tab_Def_Processes[Flow_ID_I_2],,0,)</f>
        <v>#N/A</v>
      </c>
      <c r="R14" s="81"/>
      <c r="S14" s="76" t="str">
        <f>_xlfn.XLOOKUP($E14,Tab_Def_Processes[Name(EN)],Tab_Def_Processes[Input_Flow_I_3],,0,)</f>
        <v>N.A.</v>
      </c>
      <c r="T14" s="49" t="e">
        <f>_xlfn.XLOOKUP($E14,Tab_Def_Processes[Name(EN)],Tab_Def_Processes[Flow_ID_I_3],,0,)</f>
        <v>#N/A</v>
      </c>
      <c r="U14" s="81"/>
      <c r="V14" s="76" t="str">
        <f>_xlfn.XLOOKUP($E14,Tab_Def_Processes[Name(EN)],Tab_Def_Processes[Input_Flow_I_4],,0,)</f>
        <v>N.A.</v>
      </c>
      <c r="W14" s="49" t="e">
        <f>_xlfn.XLOOKUP($E14,Tab_Def_Processes[Name(EN)],Tab_Def_Processes[Flow_ID_I_4],,0,)</f>
        <v>#N/A</v>
      </c>
      <c r="X14" s="81"/>
      <c r="Y14" s="76" t="str">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str">
        <f>_xlfn.XLOOKUP($E14,Tab_Def_Processes[Name(EN)],Tab_Def_Processes[Output_Flow_O_1],,0,)</f>
        <v>CO2-from MBC-Production-Delta</v>
      </c>
      <c r="AD14" s="49" t="str">
        <f>_xlfn.XLOOKUP($E14,Tab_Def_Processes[Name(EN)],Tab_Def_Processes[Flow_ID_O_1],,0,)</f>
        <v>F_12_19</v>
      </c>
      <c r="AE14" s="120">
        <v>0.36707297009657097</v>
      </c>
      <c r="AF14" s="126" t="str">
        <f>_xlfn.XLOOKUP($E14,Tab_Def_Processes[Name(EN)],Tab_Def_Processes[Output_Flow_O_2],,0,)</f>
        <v>Environment-from MBC-Production-Delta</v>
      </c>
      <c r="AG14" s="126" t="str">
        <f>_xlfn.XLOOKUP($E14,Tab_Def_Processes[Name(EN)],Tab_Def_Processes[Flow_ID_O_2],,0,)</f>
        <v>F_12_22</v>
      </c>
      <c r="AH14" s="120">
        <v>0.63292702990342897</v>
      </c>
      <c r="AI14" s="126" t="str">
        <f>_xlfn.XLOOKUP($E14,Tab_Def_Processes[Name(EN)],Tab_Def_Processes[Output_Flow_O_3],,0,)</f>
        <v>N.A.</v>
      </c>
      <c r="AJ14" s="126" t="e">
        <f>_xlfn.XLOOKUP($E14,Tab_Def_Processes[Name(EN)],Tab_Def_Processes[Flow_ID_O_3],,0,)</f>
        <v>#N/A</v>
      </c>
      <c r="AK14" s="120"/>
      <c r="AL14" s="126" t="str">
        <f>_xlfn.XLOOKUP($E14,Tab_Def_Processes[Name(EN)],Tab_Def_Processes[Output_Flow_O_4],,0,)</f>
        <v>N.A.</v>
      </c>
      <c r="AM14" s="126" t="e">
        <f>_xlfn.XLOOKUP($E14,Tab_Def_Processes[Name(EN)],Tab_Def_Processes[Flow_ID_O_4],,0,)</f>
        <v>#N/A</v>
      </c>
      <c r="AN14" s="120"/>
      <c r="AO14" s="126" t="str">
        <f>_xlfn.XLOOKUP($E14,Tab_Def_Processes[Name(EN)],Tab_Def_Processes[Output_Flow_O_5],,0,)</f>
        <v>N.A.</v>
      </c>
      <c r="AP14" s="126" t="e">
        <f>_xlfn.XLOOKUP($E14,Tab_Def_Processes[Name(EN)],Tab_Def_Processes[Flow_ID_O_5],,0,)</f>
        <v>#N/A</v>
      </c>
      <c r="AQ14" s="120"/>
      <c r="AR14" s="126" t="str">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1</v>
      </c>
      <c r="AV14" s="51"/>
      <c r="AW14" s="51"/>
      <c r="AX14" s="51"/>
      <c r="AY14" s="51"/>
      <c r="AZ14" s="51"/>
    </row>
    <row r="15" spans="1:61" x14ac:dyDescent="0.25">
      <c r="A15" s="94" t="b">
        <v>0</v>
      </c>
      <c r="B15" s="49">
        <f t="shared" si="0"/>
        <v>14</v>
      </c>
      <c r="C15" s="49" t="str">
        <f t="shared" si="1"/>
        <v>TC14_06_MBC__Ant</v>
      </c>
      <c r="D15" s="118" t="str">
        <f>_xlfn.XLOOKUP($E15,Tab_Def_Processes[Name(EN)],Tab_Def_Processes[ID],,0,)</f>
        <v>06</v>
      </c>
      <c r="E15" s="51" t="s">
        <v>512</v>
      </c>
      <c r="F15" s="49"/>
      <c r="G15" s="49" t="str">
        <f>_xlfn.XLOOKUP(E15,Tab_Def_Processes[Name(EN)],Tab_Def_Processes[Carbon_Stock],,0,)</f>
        <v>Anthroposphere</v>
      </c>
      <c r="H15" s="49">
        <f>_xlfn.XLOOKUP(E15,Tab_Def_Processes[Name(EN)],Tab_Def_Processes[Life_Phase],,0,)</f>
        <v>0</v>
      </c>
      <c r="I15" s="49">
        <f>_xlfn.XLOOKUP(E15,Tab_Def_Processes[Name(EN)],Tab_Def_Processes[Description],,0,)</f>
        <v>0</v>
      </c>
      <c r="J15" s="49" t="str">
        <f>_xlfn.XLOOKUP($E15,Tab_Def_Processes[Name(EN)],Tab_Def_Processes[Process_Type],,0,)</f>
        <v>Export</v>
      </c>
      <c r="K15" s="49" t="str">
        <f>_xlfn.XLOOKUP($E15,Tab_Def_Processes[Name(EN)],Tab_Def_Processes[TC?],,0,)</f>
        <v>Yes</v>
      </c>
      <c r="L15" s="49" t="str">
        <f>_xlfn.XLOOKUP($E15,Tab_Def_Processes[Name(EN)],Tab_Def_Processes[Stock?],,0,)</f>
        <v>No</v>
      </c>
      <c r="M15" s="60" t="str">
        <f>_xlfn.XLOOKUP($E15,Tab_Def_Processes[Name(EN)],Tab_Def_Processes[Input_Flow_I_1],,0,)</f>
        <v>MBC-Production waste</v>
      </c>
      <c r="N15" s="49" t="str">
        <f>_xlfn.XLOOKUP($E15,Tab_Def_Processes[Name(EN)],Tab_Def_Processes[Flow_ID_I_1],,0,)</f>
        <v>F_02_06</v>
      </c>
      <c r="O15" s="81"/>
      <c r="P15" s="76" t="str">
        <f>_xlfn.XLOOKUP($E15,Tab_Def_Processes[Name(EN)],Tab_Def_Processes[Input_Flow_I_2],,0,)</f>
        <v>N.A.</v>
      </c>
      <c r="Q15" s="49" t="e">
        <f>_xlfn.XLOOKUP($E15,Tab_Def_Processes[Name(EN)],Tab_Def_Processes[Flow_ID_I_2],,0,)</f>
        <v>#N/A</v>
      </c>
      <c r="R15" s="81"/>
      <c r="S15" s="76" t="str">
        <f>_xlfn.XLOOKUP($E15,Tab_Def_Processes[Name(EN)],Tab_Def_Processes[Input_Flow_I_3],,0,)</f>
        <v>N.A.</v>
      </c>
      <c r="T15" s="49" t="e">
        <f>_xlfn.XLOOKUP($E15,Tab_Def_Processes[Name(EN)],Tab_Def_Processes[Flow_ID_I_3],,0,)</f>
        <v>#N/A</v>
      </c>
      <c r="U15" s="81"/>
      <c r="V15" s="76" t="str">
        <f>_xlfn.XLOOKUP($E15,Tab_Def_Processes[Name(EN)],Tab_Def_Processes[Input_Flow_I_4],,0,)</f>
        <v>N.A.</v>
      </c>
      <c r="W15" s="49" t="e">
        <f>_xlfn.XLOOKUP($E15,Tab_Def_Processes[Name(EN)],Tab_Def_Processes[Flow_ID_I_4],,0,)</f>
        <v>#N/A</v>
      </c>
      <c r="X15" s="81"/>
      <c r="Y15" s="76" t="str">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str">
        <f>_xlfn.XLOOKUP($E15,Tab_Def_Processes[Name(EN)],Tab_Def_Processes[Output_Flow_O_1],,0,)</f>
        <v>CO2-from MBC-Production waste</v>
      </c>
      <c r="AD15" s="49" t="str">
        <f>_xlfn.XLOOKUP($E15,Tab_Def_Processes[Name(EN)],Tab_Def_Processes[Flow_ID_O_1],,0,)</f>
        <v>F_06_19</v>
      </c>
      <c r="AE15" s="120">
        <v>0.16044000000000061</v>
      </c>
      <c r="AF15" s="126" t="str">
        <f>_xlfn.XLOOKUP($E15,Tab_Def_Processes[Name(EN)],Tab_Def_Processes[Output_Flow_O_2],,0,)</f>
        <v>Environment-from MBC-Production waste</v>
      </c>
      <c r="AG15" s="126" t="str">
        <f>_xlfn.XLOOKUP($E15,Tab_Def_Processes[Name(EN)],Tab_Def_Processes[Flow_ID_O_2],,0,)</f>
        <v>F_06_22</v>
      </c>
      <c r="AH15" s="120">
        <v>0.83955999999999942</v>
      </c>
      <c r="AI15" s="126" t="str">
        <f>_xlfn.XLOOKUP($E15,Tab_Def_Processes[Name(EN)],Tab_Def_Processes[Output_Flow_O_3],,0,)</f>
        <v>N.A.</v>
      </c>
      <c r="AJ15" s="126" t="e">
        <f>_xlfn.XLOOKUP($E15,Tab_Def_Processes[Name(EN)],Tab_Def_Processes[Flow_ID_O_3],,0,)</f>
        <v>#N/A</v>
      </c>
      <c r="AK15" s="120"/>
      <c r="AL15" s="126" t="str">
        <f>_xlfn.XLOOKUP($E15,Tab_Def_Processes[Name(EN)],Tab_Def_Processes[Output_Flow_O_4],,0,)</f>
        <v>N.A.</v>
      </c>
      <c r="AM15" s="126" t="e">
        <f>_xlfn.XLOOKUP($E15,Tab_Def_Processes[Name(EN)],Tab_Def_Processes[Flow_ID_O_4],,0,)</f>
        <v>#N/A</v>
      </c>
      <c r="AN15" s="120"/>
      <c r="AO15" s="126" t="str">
        <f>_xlfn.XLOOKUP($E15,Tab_Def_Processes[Name(EN)],Tab_Def_Processes[Output_Flow_O_5],,0,)</f>
        <v>N.A.</v>
      </c>
      <c r="AP15" s="126" t="e">
        <f>_xlfn.XLOOKUP($E15,Tab_Def_Processes[Name(EN)],Tab_Def_Processes[Flow_ID_O_5],,0,)</f>
        <v>#N/A</v>
      </c>
      <c r="AQ15" s="120"/>
      <c r="AR15" s="126" t="str">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1</v>
      </c>
      <c r="AV15" s="51"/>
      <c r="AW15" s="51"/>
      <c r="AX15" s="51"/>
      <c r="AY15" s="51"/>
      <c r="AZ15" s="51"/>
    </row>
    <row r="16" spans="1:61" x14ac:dyDescent="0.25">
      <c r="A16" s="94" t="b">
        <v>0</v>
      </c>
      <c r="B16" s="49">
        <f t="shared" si="0"/>
        <v>15</v>
      </c>
      <c r="C16" s="49" t="str">
        <f t="shared" si="1"/>
        <v>TC15_21_Bio__Ant</v>
      </c>
      <c r="D16" s="118" t="str">
        <f>_xlfn.XLOOKUP($E16,Tab_Def_Processes[Name(EN)],Tab_Def_Processes[ID],,0,)</f>
        <v>21</v>
      </c>
      <c r="E16" s="51" t="s">
        <v>528</v>
      </c>
      <c r="F16" s="49"/>
      <c r="G16" s="49" t="str">
        <f>_xlfn.XLOOKUP(E16,Tab_Def_Processes[Name(EN)],Tab_Def_Processes[Carbon_Stock],,0,)</f>
        <v>Anthroposphere</v>
      </c>
      <c r="H16" s="49">
        <f>_xlfn.XLOOKUP(E16,Tab_Def_Processes[Name(EN)],Tab_Def_Processes[Life_Phase],,0,)</f>
        <v>0</v>
      </c>
      <c r="I16" s="49">
        <f>_xlfn.XLOOKUP(E16,Tab_Def_Processes[Name(EN)],Tab_Def_Processes[Description],,0,)</f>
        <v>0</v>
      </c>
      <c r="J16" s="49" t="str">
        <f>_xlfn.XLOOKUP($E16,Tab_Def_Processes[Name(EN)],Tab_Def_Processes[Process_Type],,0,)</f>
        <v>Export</v>
      </c>
      <c r="K16" s="49" t="str">
        <f>_xlfn.XLOOKUP($E16,Tab_Def_Processes[Name(EN)],Tab_Def_Processes[TC?],,0,)</f>
        <v>Yes</v>
      </c>
      <c r="L16" s="49" t="str">
        <f>_xlfn.XLOOKUP($E16,Tab_Def_Processes[Name(EN)],Tab_Def_Processes[Stock?],,0,)</f>
        <v>No</v>
      </c>
      <c r="M16" s="60" t="str">
        <f>_xlfn.XLOOKUP($E16,Tab_Def_Processes[Name(EN)],Tab_Def_Processes[Input_Flow_I_1],,0,)</f>
        <v>Biogas-Production-Delta</v>
      </c>
      <c r="N16" s="49" t="str">
        <f>_xlfn.XLOOKUP($E16,Tab_Def_Processes[Name(EN)],Tab_Def_Processes[Flow_ID_I_1],,0,)</f>
        <v>F_01_21</v>
      </c>
      <c r="O16" s="81"/>
      <c r="P16" s="76" t="str">
        <f>_xlfn.XLOOKUP($E16,Tab_Def_Processes[Name(EN)],Tab_Def_Processes[Input_Flow_I_2],,0,)</f>
        <v>N.A.</v>
      </c>
      <c r="Q16" s="49" t="e">
        <f>_xlfn.XLOOKUP($E16,Tab_Def_Processes[Name(EN)],Tab_Def_Processes[Flow_ID_I_2],,0,)</f>
        <v>#N/A</v>
      </c>
      <c r="R16" s="81"/>
      <c r="S16" s="76" t="str">
        <f>_xlfn.XLOOKUP($E16,Tab_Def_Processes[Name(EN)],Tab_Def_Processes[Input_Flow_I_3],,0,)</f>
        <v>N.A.</v>
      </c>
      <c r="T16" s="49" t="e">
        <f>_xlfn.XLOOKUP($E16,Tab_Def_Processes[Name(EN)],Tab_Def_Processes[Flow_ID_I_3],,0,)</f>
        <v>#N/A</v>
      </c>
      <c r="U16" s="81"/>
      <c r="V16" s="76" t="str">
        <f>_xlfn.XLOOKUP($E16,Tab_Def_Processes[Name(EN)],Tab_Def_Processes[Input_Flow_I_4],,0,)</f>
        <v>N.A.</v>
      </c>
      <c r="W16" s="49" t="e">
        <f>_xlfn.XLOOKUP($E16,Tab_Def_Processes[Name(EN)],Tab_Def_Processes[Flow_ID_I_4],,0,)</f>
        <v>#N/A</v>
      </c>
      <c r="X16" s="81"/>
      <c r="Y16" s="76" t="str">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str">
        <f>_xlfn.XLOOKUP($E16,Tab_Def_Processes[Name(EN)],Tab_Def_Processes[Output_Flow_O_1],,0,)</f>
        <v>CO2-from Biogas-Production-Delta</v>
      </c>
      <c r="AD16" s="49" t="str">
        <f>_xlfn.XLOOKUP($E16,Tab_Def_Processes[Name(EN)],Tab_Def_Processes[Flow_ID_O_1],,0,)</f>
        <v>F_21_19</v>
      </c>
      <c r="AE16" s="120">
        <v>0.85418505338078254</v>
      </c>
      <c r="AF16" s="126" t="str">
        <f>_xlfn.XLOOKUP($E16,Tab_Def_Processes[Name(EN)],Tab_Def_Processes[Output_Flow_O_2],,0,)</f>
        <v>Environment-from Biogas-Production-Delta</v>
      </c>
      <c r="AG16" s="126" t="str">
        <f>_xlfn.XLOOKUP($E16,Tab_Def_Processes[Name(EN)],Tab_Def_Processes[Flow_ID_O_2],,0,)</f>
        <v>F_21_22</v>
      </c>
      <c r="AH16" s="120">
        <v>0.14581494661921746</v>
      </c>
      <c r="AI16" s="126" t="str">
        <f>_xlfn.XLOOKUP($E16,Tab_Def_Processes[Name(EN)],Tab_Def_Processes[Output_Flow_O_3],,0,)</f>
        <v>N.A.</v>
      </c>
      <c r="AJ16" s="126" t="e">
        <f>_xlfn.XLOOKUP($E16,Tab_Def_Processes[Name(EN)],Tab_Def_Processes[Flow_ID_O_3],,0,)</f>
        <v>#N/A</v>
      </c>
      <c r="AK16" s="120"/>
      <c r="AL16" s="126" t="str">
        <f>_xlfn.XLOOKUP($E16,Tab_Def_Processes[Name(EN)],Tab_Def_Processes[Output_Flow_O_4],,0,)</f>
        <v>N.A.</v>
      </c>
      <c r="AM16" s="126" t="e">
        <f>_xlfn.XLOOKUP($E16,Tab_Def_Processes[Name(EN)],Tab_Def_Processes[Flow_ID_O_4],,0,)</f>
        <v>#N/A</v>
      </c>
      <c r="AN16" s="120"/>
      <c r="AO16" s="126" t="str">
        <f>_xlfn.XLOOKUP($E16,Tab_Def_Processes[Name(EN)],Tab_Def_Processes[Output_Flow_O_5],,0,)</f>
        <v>N.A.</v>
      </c>
      <c r="AP16" s="126" t="e">
        <f>_xlfn.XLOOKUP($E16,Tab_Def_Processes[Name(EN)],Tab_Def_Processes[Flow_ID_O_5],,0,)</f>
        <v>#N/A</v>
      </c>
      <c r="AQ16" s="120"/>
      <c r="AR16" s="126" t="str">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1</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0"/>
      <c r="AF17" s="126" t="e">
        <f>_xlfn.XLOOKUP($E17,Tab_Def_Processes[Name(EN)],Tab_Def_Processes[Output_Flow_O_2],,0,)</f>
        <v>#N/A</v>
      </c>
      <c r="AG17" s="126" t="e">
        <f>_xlfn.XLOOKUP($E17,Tab_Def_Processes[Name(EN)],Tab_Def_Processes[Flow_ID_O_2],,0,)</f>
        <v>#N/A</v>
      </c>
      <c r="AH17" s="120"/>
      <c r="AI17" s="126" t="e">
        <f>_xlfn.XLOOKUP($E17,Tab_Def_Processes[Name(EN)],Tab_Def_Processes[Output_Flow_O_3],,0,)</f>
        <v>#N/A</v>
      </c>
      <c r="AJ17" s="126" t="e">
        <f>_xlfn.XLOOKUP($E17,Tab_Def_Processes[Name(EN)],Tab_Def_Processes[Flow_ID_O_3],,0,)</f>
        <v>#N/A</v>
      </c>
      <c r="AK17" s="120"/>
      <c r="AL17" s="126" t="e">
        <f>_xlfn.XLOOKUP($E17,Tab_Def_Processes[Name(EN)],Tab_Def_Processes[Output_Flow_O_4],,0,)</f>
        <v>#N/A</v>
      </c>
      <c r="AM17" s="126" t="e">
        <f>_xlfn.XLOOKUP($E17,Tab_Def_Processes[Name(EN)],Tab_Def_Processes[Flow_ID_O_4],,0,)</f>
        <v>#N/A</v>
      </c>
      <c r="AN17" s="120"/>
      <c r="AO17" s="126" t="e">
        <f>_xlfn.XLOOKUP($E17,Tab_Def_Processes[Name(EN)],Tab_Def_Processes[Output_Flow_O_5],,0,)</f>
        <v>#N/A</v>
      </c>
      <c r="AP17" s="126" t="e">
        <f>_xlfn.XLOOKUP($E17,Tab_Def_Processes[Name(EN)],Tab_Def_Processes[Flow_ID_O_5],,0,)</f>
        <v>#N/A</v>
      </c>
      <c r="AQ17" s="120"/>
      <c r="AR17" s="126" t="e">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TC51_24___0</v>
      </c>
      <c r="D52" s="118" t="str">
        <f>_xlfn.XLOOKUP($E52,Tab_Def_Processes[Name(EN)],Tab_Def_Processes[ID],,0,)</f>
        <v>24</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TC52_24___0</v>
      </c>
      <c r="D53" s="118" t="str">
        <f>_xlfn.XLOOKUP($E53,Tab_Def_Processes[Name(EN)],Tab_Def_Processes[ID],,0,)</f>
        <v>24</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TC53_24___0</v>
      </c>
      <c r="D54" s="118" t="str">
        <f>_xlfn.XLOOKUP($E54,Tab_Def_Processes[Name(EN)],Tab_Def_Processes[ID],,0,)</f>
        <v>24</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TC54_24___0</v>
      </c>
      <c r="D55" s="118" t="str">
        <f>_xlfn.XLOOKUP($E55,Tab_Def_Processes[Name(EN)],Tab_Def_Processes[ID],,0,)</f>
        <v>24</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TC55_24___0</v>
      </c>
      <c r="D56" s="118" t="str">
        <f>_xlfn.XLOOKUP($E56,Tab_Def_Processes[Name(EN)],Tab_Def_Processes[ID],,0,)</f>
        <v>24</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TC56_24___0</v>
      </c>
      <c r="D57" s="118" t="str">
        <f>_xlfn.XLOOKUP($E57,Tab_Def_Processes[Name(EN)],Tab_Def_Processes[ID],,0,)</f>
        <v>24</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TC57_24___0</v>
      </c>
      <c r="D58" s="118" t="str">
        <f>_xlfn.XLOOKUP($E58,Tab_Def_Processes[Name(EN)],Tab_Def_Processes[ID],,0,)</f>
        <v>24</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TC58_24___0</v>
      </c>
      <c r="D59" s="118" t="str">
        <f>_xlfn.XLOOKUP($E59,Tab_Def_Processes[Name(EN)],Tab_Def_Processes[ID],,0,)</f>
        <v>24</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TC59_24___0</v>
      </c>
      <c r="D60" s="118" t="str">
        <f>_xlfn.XLOOKUP($E60,Tab_Def_Processes[Name(EN)],Tab_Def_Processes[ID],,0,)</f>
        <v>24</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TC60_24___0</v>
      </c>
      <c r="D61" s="118" t="str">
        <f>_xlfn.XLOOKUP($E61,Tab_Def_Processes[Name(EN)],Tab_Def_Processes[ID],,0,)</f>
        <v>24</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TC61_24___0</v>
      </c>
      <c r="D62" s="118" t="str">
        <f>_xlfn.XLOOKUP($E62,Tab_Def_Processes[Name(EN)],Tab_Def_Processes[ID],,0,)</f>
        <v>24</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TC62_24___0</v>
      </c>
      <c r="D63" s="118" t="str">
        <f>_xlfn.XLOOKUP($E63,Tab_Def_Processes[Name(EN)],Tab_Def_Processes[ID],,0,)</f>
        <v>24</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509</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51__24__</v>
      </c>
      <c r="D52" s="49" t="str">
        <f>_xlfn.XLOOKUP($E52,Tab_Def_Processes[Name(EN)],Tab_Def_Processes[Process_ID],,0,)</f>
        <v>24__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52__24__</v>
      </c>
      <c r="D53" s="49" t="str">
        <f>_xlfn.XLOOKUP($E53,Tab_Def_Processes[Name(EN)],Tab_Def_Processes[Process_ID],,0,)</f>
        <v>24__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53__24__</v>
      </c>
      <c r="D54" s="49" t="str">
        <f>_xlfn.XLOOKUP($E54,Tab_Def_Processes[Name(EN)],Tab_Def_Processes[Process_ID],,0,)</f>
        <v>24__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54__24__</v>
      </c>
      <c r="D55" s="49" t="str">
        <f>_xlfn.XLOOKUP($E55,Tab_Def_Processes[Name(EN)],Tab_Def_Processes[Process_ID],,0,)</f>
        <v>24__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55__24__</v>
      </c>
      <c r="D56" s="49" t="str">
        <f>_xlfn.XLOOKUP($E56,Tab_Def_Processes[Name(EN)],Tab_Def_Processes[Process_ID],,0,)</f>
        <v>24__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56__24__</v>
      </c>
      <c r="D57" s="49" t="str">
        <f>_xlfn.XLOOKUP($E57,Tab_Def_Processes[Name(EN)],Tab_Def_Processes[Process_ID],,0,)</f>
        <v>24__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57__24__</v>
      </c>
      <c r="D58" s="49" t="str">
        <f>_xlfn.XLOOKUP($E58,Tab_Def_Processes[Name(EN)],Tab_Def_Processes[Process_ID],,0,)</f>
        <v>24__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58__24__</v>
      </c>
      <c r="D59" s="49" t="str">
        <f>_xlfn.XLOOKUP($E59,Tab_Def_Processes[Name(EN)],Tab_Def_Processes[Process_ID],,0,)</f>
        <v>24__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59__24__</v>
      </c>
      <c r="D60" s="49" t="str">
        <f>_xlfn.XLOOKUP($E60,Tab_Def_Processes[Name(EN)],Tab_Def_Processes[Process_ID],,0,)</f>
        <v>24__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60__24__</v>
      </c>
      <c r="D61" s="49" t="str">
        <f>_xlfn.XLOOKUP($E61,Tab_Def_Processes[Name(EN)],Tab_Def_Processes[Process_ID],,0,)</f>
        <v>24__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61__24__</v>
      </c>
      <c r="D62" s="49" t="str">
        <f>_xlfn.XLOOKUP($E62,Tab_Def_Processes[Name(EN)],Tab_Def_Processes[Process_ID],,0,)</f>
        <v>24__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62__24__</v>
      </c>
      <c r="D63" s="49" t="str">
        <f>_xlfn.XLOOKUP($E63,Tab_Def_Processes[Name(EN)],Tab_Def_Processes[Process_ID],,0,)</f>
        <v>24__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6" t="s">
        <v>224</v>
      </c>
      <c r="C2" s="146"/>
      <c r="D2" s="146"/>
      <c r="F2" s="146" t="s">
        <v>292</v>
      </c>
      <c r="G2" s="146"/>
      <c r="H2" s="146"/>
      <c r="J2" s="147" t="s">
        <v>291</v>
      </c>
      <c r="K2" s="147"/>
      <c r="L2" s="147"/>
      <c r="Q2" s="147" t="s">
        <v>291</v>
      </c>
      <c r="R2" s="147"/>
      <c r="S2" s="147"/>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6" t="s">
        <v>382</v>
      </c>
      <c r="C14" s="146"/>
      <c r="D14" s="146"/>
      <c r="F14" s="146" t="s">
        <v>399</v>
      </c>
      <c r="G14" s="146"/>
      <c r="H14" s="146"/>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D51_24____0</v>
      </c>
      <c r="D52" s="49" t="str">
        <f>_xlfn.XLOOKUP($F52,Tab_Def_Processes[Name(EN)],Tab_Def_Processes[Process_ID],,0,)</f>
        <v>24__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D52_24____0</v>
      </c>
      <c r="D53" s="49" t="str">
        <f>_xlfn.XLOOKUP($F53,Tab_Def_Processes[Name(EN)],Tab_Def_Processes[Process_ID],,0,)</f>
        <v>24__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D53_24____0</v>
      </c>
      <c r="D54" s="49" t="str">
        <f>_xlfn.XLOOKUP($F54,Tab_Def_Processes[Name(EN)],Tab_Def_Processes[Process_ID],,0,)</f>
        <v>24__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D54_24____0</v>
      </c>
      <c r="D55" s="49" t="str">
        <f>_xlfn.XLOOKUP($F55,Tab_Def_Processes[Name(EN)],Tab_Def_Processes[Process_ID],,0,)</f>
        <v>24__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D55_24____0</v>
      </c>
      <c r="D56" s="49" t="str">
        <f>_xlfn.XLOOKUP($F56,Tab_Def_Processes[Name(EN)],Tab_Def_Processes[Process_ID],,0,)</f>
        <v>24__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D56_24____0</v>
      </c>
      <c r="D57" s="49" t="str">
        <f>_xlfn.XLOOKUP($F57,Tab_Def_Processes[Name(EN)],Tab_Def_Processes[Process_ID],,0,)</f>
        <v>24__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D57_24____0</v>
      </c>
      <c r="D58" s="49" t="str">
        <f>_xlfn.XLOOKUP($F58,Tab_Def_Processes[Name(EN)],Tab_Def_Processes[Process_ID],,0,)</f>
        <v>24__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D58_24____0</v>
      </c>
      <c r="D59" s="49" t="str">
        <f>_xlfn.XLOOKUP($F59,Tab_Def_Processes[Name(EN)],Tab_Def_Processes[Process_ID],,0,)</f>
        <v>24__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D59_24____0</v>
      </c>
      <c r="D60" s="49" t="str">
        <f>_xlfn.XLOOKUP($F60,Tab_Def_Processes[Name(EN)],Tab_Def_Processes[Process_ID],,0,)</f>
        <v>24__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D60_24____0</v>
      </c>
      <c r="D61" s="49" t="str">
        <f>_xlfn.XLOOKUP($F61,Tab_Def_Processes[Name(EN)],Tab_Def_Processes[Process_ID],,0,)</f>
        <v>24__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D61_24____0</v>
      </c>
      <c r="D62" s="49" t="str">
        <f>_xlfn.XLOOKUP($F62,Tab_Def_Processes[Name(EN)],Tab_Def_Processes[Process_ID],,0,)</f>
        <v>24__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D62_24____0</v>
      </c>
      <c r="D63" s="49" t="str">
        <f>_xlfn.XLOOKUP($F63,Tab_Def_Processes[Name(EN)],Tab_Def_Processes[Process_ID],,0,)</f>
        <v>24__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6" t="s">
        <v>2</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F_24_24</v>
      </c>
      <c r="D22" s="51"/>
      <c r="E22" s="49">
        <f>_xlfn.XLOOKUP(D22,Tab_Def_Flows[Name(EN)],Tab_Def_Flows[Type_Biomass],,0,)</f>
        <v>0</v>
      </c>
      <c r="F22" s="49">
        <f>_xlfn.XLOOKUP(D22,Tab_Def_Flows[Name(EN)],Tab_Def_Flows[Output_Process],,0,)</f>
        <v>0</v>
      </c>
      <c r="G22" s="49" t="str">
        <f>_xlfn.XLOOKUP(D22,Tab_Def_Flows[Name(EN)],Tab_Def_Flows[Process_ID_O],,0,)</f>
        <v>24__</v>
      </c>
      <c r="H22" s="49">
        <f>_xlfn.XLOOKUP(D22,Tab_Def_Flows[Name(EN)],Tab_Def_Flows[Input_Process],,0,)</f>
        <v>0</v>
      </c>
      <c r="I22" s="61" t="str">
        <f>_xlfn.XLOOKUP(D22,Tab_Def_Flows[Name(EN)],Tab_Def_Flows[Process_ID_I],,0,)</f>
        <v>24__</v>
      </c>
      <c r="J22" s="61">
        <f>_xlfn.XLOOKUP(D22,Tab_Def_Flows[Name(EN)],Tab_Def_Flows[Value_Source],,0,)</f>
        <v>0</v>
      </c>
      <c r="K22" s="61" t="str">
        <f>_xlfn.XLOOKUP(D22,Tab_Def_Flows[Name(EN)],Tab_Def_Flows[WC?],,0,)</f>
        <v>Yes</v>
      </c>
      <c r="L22" s="61" t="str">
        <f>_xlfn.XLOOKUP(D22,Tab_Def_Flows[Name(EN)],Tab_Def_Flows[DM?],,0,)</f>
        <v>Yes</v>
      </c>
      <c r="M22" s="61" t="str">
        <f>_xlfn.XLOOKUP(D22,Tab_Def_Flows[Name(EN)],Tab_Def_Flows[CC?],,0,)</f>
        <v>Yes</v>
      </c>
      <c r="N22" s="103"/>
      <c r="O22" s="96"/>
      <c r="P22" s="100"/>
      <c r="Q22" s="96"/>
      <c r="R22" s="103"/>
      <c r="S22" s="96"/>
    </row>
    <row r="23" spans="1:23" x14ac:dyDescent="0.25">
      <c r="A23" s="90" t="b">
        <v>0</v>
      </c>
      <c r="B23" s="49">
        <f t="shared" si="0"/>
        <v>22</v>
      </c>
      <c r="C23" s="49" t="str">
        <f>_xlfn.XLOOKUP(D23,Tab_Def_Flows[Name(EN)],Tab_Def_Flows[Flow_ID],,0,)</f>
        <v>F_24_24</v>
      </c>
      <c r="D23" s="51"/>
      <c r="E23" s="49">
        <f>_xlfn.XLOOKUP(D23,Tab_Def_Flows[Name(EN)],Tab_Def_Flows[Type_Biomass],,0,)</f>
        <v>0</v>
      </c>
      <c r="F23" s="49">
        <f>_xlfn.XLOOKUP(D23,Tab_Def_Flows[Name(EN)],Tab_Def_Flows[Output_Process],,0,)</f>
        <v>0</v>
      </c>
      <c r="G23" s="49" t="str">
        <f>_xlfn.XLOOKUP(D23,Tab_Def_Flows[Name(EN)],Tab_Def_Flows[Process_ID_O],,0,)</f>
        <v>24__</v>
      </c>
      <c r="H23" s="49">
        <f>_xlfn.XLOOKUP(D23,Tab_Def_Flows[Name(EN)],Tab_Def_Flows[Input_Process],,0,)</f>
        <v>0</v>
      </c>
      <c r="I23" s="61" t="str">
        <f>_xlfn.XLOOKUP(D23,Tab_Def_Flows[Name(EN)],Tab_Def_Flows[Process_ID_I],,0,)</f>
        <v>24__</v>
      </c>
      <c r="J23" s="61">
        <f>_xlfn.XLOOKUP(D23,Tab_Def_Flows[Name(EN)],Tab_Def_Flows[Value_Source],,0,)</f>
        <v>0</v>
      </c>
      <c r="K23" s="61" t="str">
        <f>_xlfn.XLOOKUP(D23,Tab_Def_Flows[Name(EN)],Tab_Def_Flows[WC?],,0,)</f>
        <v>Yes</v>
      </c>
      <c r="L23" s="61" t="str">
        <f>_xlfn.XLOOKUP(D23,Tab_Def_Flows[Name(EN)],Tab_Def_Flows[DM?],,0,)</f>
        <v>Yes</v>
      </c>
      <c r="M23" s="61" t="str">
        <f>_xlfn.XLOOKUP(D23,Tab_Def_Flows[Name(EN)],Tab_Def_Flows[CC?],,0,)</f>
        <v>Yes</v>
      </c>
      <c r="N23" s="103"/>
      <c r="O23" s="96"/>
      <c r="P23" s="100"/>
      <c r="Q23" s="96"/>
      <c r="R23" s="103"/>
      <c r="S23" s="96"/>
    </row>
    <row r="24" spans="1:23" x14ac:dyDescent="0.25">
      <c r="A24" s="90" t="b">
        <v>0</v>
      </c>
      <c r="B24" s="49">
        <f t="shared" si="0"/>
        <v>23</v>
      </c>
      <c r="C24" s="49" t="str">
        <f>_xlfn.XLOOKUP(D24,Tab_Def_Flows[Name(EN)],Tab_Def_Flows[Flow_ID],,0,)</f>
        <v>F_24_24</v>
      </c>
      <c r="D24" s="51"/>
      <c r="E24" s="49">
        <f>_xlfn.XLOOKUP(D24,Tab_Def_Flows[Name(EN)],Tab_Def_Flows[Type_Biomass],,0,)</f>
        <v>0</v>
      </c>
      <c r="F24" s="49">
        <f>_xlfn.XLOOKUP(D24,Tab_Def_Flows[Name(EN)],Tab_Def_Flows[Output_Process],,0,)</f>
        <v>0</v>
      </c>
      <c r="G24" s="49" t="str">
        <f>_xlfn.XLOOKUP(D24,Tab_Def_Flows[Name(EN)],Tab_Def_Flows[Process_ID_O],,0,)</f>
        <v>24__</v>
      </c>
      <c r="H24" s="49">
        <f>_xlfn.XLOOKUP(D24,Tab_Def_Flows[Name(EN)],Tab_Def_Flows[Input_Process],,0,)</f>
        <v>0</v>
      </c>
      <c r="I24" s="61" t="str">
        <f>_xlfn.XLOOKUP(D24,Tab_Def_Flows[Name(EN)],Tab_Def_Flows[Process_ID_I],,0,)</f>
        <v>24__</v>
      </c>
      <c r="J24" s="61">
        <f>_xlfn.XLOOKUP(D24,Tab_Def_Flows[Name(EN)],Tab_Def_Flows[Value_Source],,0,)</f>
        <v>0</v>
      </c>
      <c r="K24" s="61" t="str">
        <f>_xlfn.XLOOKUP(D24,Tab_Def_Flows[Name(EN)],Tab_Def_Flows[WC?],,0,)</f>
        <v>Yes</v>
      </c>
      <c r="L24" s="61" t="str">
        <f>_xlfn.XLOOKUP(D24,Tab_Def_Flows[Name(EN)],Tab_Def_Flows[DM?],,0,)</f>
        <v>Yes</v>
      </c>
      <c r="M24" s="61" t="str">
        <f>_xlfn.XLOOKUP(D24,Tab_Def_Flows[Name(EN)],Tab_Def_Flows[CC?],,0,)</f>
        <v>Yes</v>
      </c>
      <c r="N24" s="103"/>
      <c r="O24" s="96"/>
      <c r="P24" s="100"/>
      <c r="Q24" s="96"/>
      <c r="R24" s="103"/>
      <c r="S24" s="96"/>
    </row>
    <row r="25" spans="1:23" x14ac:dyDescent="0.25">
      <c r="A25" s="90" t="b">
        <v>0</v>
      </c>
      <c r="B25" s="49">
        <f t="shared" si="0"/>
        <v>24</v>
      </c>
      <c r="C25" s="49" t="str">
        <f>_xlfn.XLOOKUP(D25,Tab_Def_Flows[Name(EN)],Tab_Def_Flows[Flow_ID],,0,)</f>
        <v>F_24_24</v>
      </c>
      <c r="D25" s="51"/>
      <c r="E25" s="49">
        <f>_xlfn.XLOOKUP(D25,Tab_Def_Flows[Name(EN)],Tab_Def_Flows[Type_Biomass],,0,)</f>
        <v>0</v>
      </c>
      <c r="F25" s="49">
        <f>_xlfn.XLOOKUP(D25,Tab_Def_Flows[Name(EN)],Tab_Def_Flows[Output_Process],,0,)</f>
        <v>0</v>
      </c>
      <c r="G25" s="49" t="str">
        <f>_xlfn.XLOOKUP(D25,Tab_Def_Flows[Name(EN)],Tab_Def_Flows[Process_ID_O],,0,)</f>
        <v>24__</v>
      </c>
      <c r="H25" s="49">
        <f>_xlfn.XLOOKUP(D25,Tab_Def_Flows[Name(EN)],Tab_Def_Flows[Input_Process],,0,)</f>
        <v>0</v>
      </c>
      <c r="I25" s="61" t="str">
        <f>_xlfn.XLOOKUP(D25,Tab_Def_Flows[Name(EN)],Tab_Def_Flows[Process_ID_I],,0,)</f>
        <v>24__</v>
      </c>
      <c r="J25" s="61">
        <f>_xlfn.XLOOKUP(D25,Tab_Def_Flows[Name(EN)],Tab_Def_Flows[Value_Source],,0,)</f>
        <v>0</v>
      </c>
      <c r="K25" s="61" t="str">
        <f>_xlfn.XLOOKUP(D25,Tab_Def_Flows[Name(EN)],Tab_Def_Flows[WC?],,0,)</f>
        <v>Yes</v>
      </c>
      <c r="L25" s="61" t="str">
        <f>_xlfn.XLOOKUP(D25,Tab_Def_Flows[Name(EN)],Tab_Def_Flows[DM?],,0,)</f>
        <v>Yes</v>
      </c>
      <c r="M25" s="61" t="str">
        <f>_xlfn.XLOOKUP(D25,Tab_Def_Flows[Name(EN)],Tab_Def_Flows[CC?],,0,)</f>
        <v>Yes</v>
      </c>
      <c r="N25" s="103"/>
      <c r="O25" s="96"/>
      <c r="P25" s="100"/>
      <c r="Q25" s="96"/>
      <c r="R25" s="103"/>
      <c r="S25" s="96"/>
    </row>
    <row r="26" spans="1:23" x14ac:dyDescent="0.25">
      <c r="A26" s="90" t="b">
        <v>0</v>
      </c>
      <c r="B26" s="49">
        <f t="shared" si="0"/>
        <v>25</v>
      </c>
      <c r="C26" s="49" t="str">
        <f>_xlfn.XLOOKUP(D26,Tab_Def_Flows[Name(EN)],Tab_Def_Flows[Flow_ID],,0,)</f>
        <v>F_24_24</v>
      </c>
      <c r="D26" s="51"/>
      <c r="E26" s="49">
        <f>_xlfn.XLOOKUP(D26,Tab_Def_Flows[Name(EN)],Tab_Def_Flows[Type_Biomass],,0,)</f>
        <v>0</v>
      </c>
      <c r="F26" s="49">
        <f>_xlfn.XLOOKUP(D26,Tab_Def_Flows[Name(EN)],Tab_Def_Flows[Output_Process],,0,)</f>
        <v>0</v>
      </c>
      <c r="G26" s="49" t="str">
        <f>_xlfn.XLOOKUP(D26,Tab_Def_Flows[Name(EN)],Tab_Def_Flows[Process_ID_O],,0,)</f>
        <v>24__</v>
      </c>
      <c r="H26" s="49">
        <f>_xlfn.XLOOKUP(D26,Tab_Def_Flows[Name(EN)],Tab_Def_Flows[Input_Process],,0,)</f>
        <v>0</v>
      </c>
      <c r="I26" s="61" t="str">
        <f>_xlfn.XLOOKUP(D26,Tab_Def_Flows[Name(EN)],Tab_Def_Flows[Process_ID_I],,0,)</f>
        <v>24__</v>
      </c>
      <c r="J26" s="61">
        <f>_xlfn.XLOOKUP(D26,Tab_Def_Flows[Name(EN)],Tab_Def_Flows[Value_Source],,0,)</f>
        <v>0</v>
      </c>
      <c r="K26" s="61" t="str">
        <f>_xlfn.XLOOKUP(D26,Tab_Def_Flows[Name(EN)],Tab_Def_Flows[WC?],,0,)</f>
        <v>Yes</v>
      </c>
      <c r="L26" s="61" t="str">
        <f>_xlfn.XLOOKUP(D26,Tab_Def_Flows[Name(EN)],Tab_Def_Flows[DM?],,0,)</f>
        <v>Yes</v>
      </c>
      <c r="M26" s="61" t="str">
        <f>_xlfn.XLOOKUP(D26,Tab_Def_Flows[Name(EN)],Tab_Def_Flows[CC?],,0,)</f>
        <v>Yes</v>
      </c>
      <c r="N26" s="103"/>
      <c r="O26" s="96"/>
      <c r="P26" s="100"/>
      <c r="Q26" s="96"/>
      <c r="R26" s="103"/>
      <c r="S26" s="96"/>
    </row>
    <row r="27" spans="1:23" x14ac:dyDescent="0.25">
      <c r="A27" s="90" t="b">
        <v>0</v>
      </c>
      <c r="B27" s="49">
        <f t="shared" si="0"/>
        <v>26</v>
      </c>
      <c r="C27" s="49" t="str">
        <f>_xlfn.XLOOKUP(D27,Tab_Def_Flows[Name(EN)],Tab_Def_Flows[Flow_ID],,0,)</f>
        <v>F_24_24</v>
      </c>
      <c r="D27" s="51"/>
      <c r="E27" s="49">
        <f>_xlfn.XLOOKUP(D27,Tab_Def_Flows[Name(EN)],Tab_Def_Flows[Type_Biomass],,0,)</f>
        <v>0</v>
      </c>
      <c r="F27" s="49">
        <f>_xlfn.XLOOKUP(D27,Tab_Def_Flows[Name(EN)],Tab_Def_Flows[Output_Process],,0,)</f>
        <v>0</v>
      </c>
      <c r="G27" s="49" t="str">
        <f>_xlfn.XLOOKUP(D27,Tab_Def_Flows[Name(EN)],Tab_Def_Flows[Process_ID_O],,0,)</f>
        <v>24__</v>
      </c>
      <c r="H27" s="49">
        <f>_xlfn.XLOOKUP(D27,Tab_Def_Flows[Name(EN)],Tab_Def_Flows[Input_Process],,0,)</f>
        <v>0</v>
      </c>
      <c r="I27" s="61" t="str">
        <f>_xlfn.XLOOKUP(D27,Tab_Def_Flows[Name(EN)],Tab_Def_Flows[Process_ID_I],,0,)</f>
        <v>24__</v>
      </c>
      <c r="J27" s="61">
        <f>_xlfn.XLOOKUP(D27,Tab_Def_Flows[Name(EN)],Tab_Def_Flows[Value_Source],,0,)</f>
        <v>0</v>
      </c>
      <c r="K27" s="61" t="str">
        <f>_xlfn.XLOOKUP(D27,Tab_Def_Flows[Name(EN)],Tab_Def_Flows[WC?],,0,)</f>
        <v>Yes</v>
      </c>
      <c r="L27" s="61" t="str">
        <f>_xlfn.XLOOKUP(D27,Tab_Def_Flows[Name(EN)],Tab_Def_Flows[DM?],,0,)</f>
        <v>Yes</v>
      </c>
      <c r="M27" s="61" t="str">
        <f>_xlfn.XLOOKUP(D27,Tab_Def_Flows[Name(EN)],Tab_Def_Flows[CC?],,0,)</f>
        <v>Yes</v>
      </c>
      <c r="N27" s="103"/>
      <c r="O27" s="96"/>
      <c r="P27" s="100"/>
      <c r="Q27" s="96"/>
      <c r="R27" s="103"/>
      <c r="S27" s="96"/>
    </row>
    <row r="28" spans="1:23" x14ac:dyDescent="0.25">
      <c r="A28" s="90" t="b">
        <v>0</v>
      </c>
      <c r="B28" s="49">
        <f t="shared" si="0"/>
        <v>27</v>
      </c>
      <c r="C28" s="49" t="str">
        <f>_xlfn.XLOOKUP(D28,Tab_Def_Flows[Name(EN)],Tab_Def_Flows[Flow_ID],,0,)</f>
        <v>F_24_24</v>
      </c>
      <c r="D28" s="51"/>
      <c r="E28" s="49">
        <f>_xlfn.XLOOKUP(D28,Tab_Def_Flows[Name(EN)],Tab_Def_Flows[Type_Biomass],,0,)</f>
        <v>0</v>
      </c>
      <c r="F28" s="49">
        <f>_xlfn.XLOOKUP(D28,Tab_Def_Flows[Name(EN)],Tab_Def_Flows[Output_Process],,0,)</f>
        <v>0</v>
      </c>
      <c r="G28" s="49" t="str">
        <f>_xlfn.XLOOKUP(D28,Tab_Def_Flows[Name(EN)],Tab_Def_Flows[Process_ID_O],,0,)</f>
        <v>24__</v>
      </c>
      <c r="H28" s="49">
        <f>_xlfn.XLOOKUP(D28,Tab_Def_Flows[Name(EN)],Tab_Def_Flows[Input_Process],,0,)</f>
        <v>0</v>
      </c>
      <c r="I28" s="61" t="str">
        <f>_xlfn.XLOOKUP(D28,Tab_Def_Flows[Name(EN)],Tab_Def_Flows[Process_ID_I],,0,)</f>
        <v>24__</v>
      </c>
      <c r="J28" s="61">
        <f>_xlfn.XLOOKUP(D28,Tab_Def_Flows[Name(EN)],Tab_Def_Flows[Value_Source],,0,)</f>
        <v>0</v>
      </c>
      <c r="K28" s="61" t="str">
        <f>_xlfn.XLOOKUP(D28,Tab_Def_Flows[Name(EN)],Tab_Def_Flows[WC?],,0,)</f>
        <v>Yes</v>
      </c>
      <c r="L28" s="61" t="str">
        <f>_xlfn.XLOOKUP(D28,Tab_Def_Flows[Name(EN)],Tab_Def_Flows[DM?],,0,)</f>
        <v>Yes</v>
      </c>
      <c r="M28" s="61" t="str">
        <f>_xlfn.XLOOKUP(D28,Tab_Def_Flows[Name(EN)],Tab_Def_Flows[CC?],,0,)</f>
        <v>Yes</v>
      </c>
      <c r="N28" s="103"/>
      <c r="O28" s="96"/>
      <c r="P28" s="100"/>
      <c r="Q28" s="96"/>
      <c r="R28" s="103"/>
      <c r="S28" s="96"/>
    </row>
    <row r="29" spans="1:23" x14ac:dyDescent="0.25">
      <c r="A29" s="90" t="b">
        <v>0</v>
      </c>
      <c r="B29" s="49">
        <f t="shared" si="0"/>
        <v>28</v>
      </c>
      <c r="C29" s="49" t="str">
        <f>_xlfn.XLOOKUP(D29,Tab_Def_Flows[Name(EN)],Tab_Def_Flows[Flow_ID],,0,)</f>
        <v>F_24_24</v>
      </c>
      <c r="D29" s="51"/>
      <c r="E29" s="49">
        <f>_xlfn.XLOOKUP(D29,Tab_Def_Flows[Name(EN)],Tab_Def_Flows[Type_Biomass],,0,)</f>
        <v>0</v>
      </c>
      <c r="F29" s="49">
        <f>_xlfn.XLOOKUP(D29,Tab_Def_Flows[Name(EN)],Tab_Def_Flows[Output_Process],,0,)</f>
        <v>0</v>
      </c>
      <c r="G29" s="49" t="str">
        <f>_xlfn.XLOOKUP(D29,Tab_Def_Flows[Name(EN)],Tab_Def_Flows[Process_ID_O],,0,)</f>
        <v>24__</v>
      </c>
      <c r="H29" s="49">
        <f>_xlfn.XLOOKUP(D29,Tab_Def_Flows[Name(EN)],Tab_Def_Flows[Input_Process],,0,)</f>
        <v>0</v>
      </c>
      <c r="I29" s="61" t="str">
        <f>_xlfn.XLOOKUP(D29,Tab_Def_Flows[Name(EN)],Tab_Def_Flows[Process_ID_I],,0,)</f>
        <v>24__</v>
      </c>
      <c r="J29" s="61">
        <f>_xlfn.XLOOKUP(D29,Tab_Def_Flows[Name(EN)],Tab_Def_Flows[Value_Source],,0,)</f>
        <v>0</v>
      </c>
      <c r="K29" s="61" t="str">
        <f>_xlfn.XLOOKUP(D29,Tab_Def_Flows[Name(EN)],Tab_Def_Flows[WC?],,0,)</f>
        <v>Yes</v>
      </c>
      <c r="L29" s="61" t="str">
        <f>_xlfn.XLOOKUP(D29,Tab_Def_Flows[Name(EN)],Tab_Def_Flows[DM?],,0,)</f>
        <v>Yes</v>
      </c>
      <c r="M29" s="61" t="str">
        <f>_xlfn.XLOOKUP(D29,Tab_Def_Flows[Name(EN)],Tab_Def_Flows[CC?],,0,)</f>
        <v>Yes</v>
      </c>
      <c r="N29" s="103"/>
      <c r="O29" s="96"/>
      <c r="P29" s="100"/>
      <c r="Q29" s="96"/>
      <c r="R29" s="103"/>
      <c r="S29" s="96"/>
    </row>
    <row r="30" spans="1:23" x14ac:dyDescent="0.25">
      <c r="A30" s="90" t="b">
        <v>0</v>
      </c>
      <c r="B30" s="49">
        <f t="shared" si="0"/>
        <v>29</v>
      </c>
      <c r="C30" s="49" t="str">
        <f>_xlfn.XLOOKUP(D30,Tab_Def_Flows[Name(EN)],Tab_Def_Flows[Flow_ID],,0,)</f>
        <v>F_24_24</v>
      </c>
      <c r="D30" s="51"/>
      <c r="E30" s="49">
        <f>_xlfn.XLOOKUP(D30,Tab_Def_Flows[Name(EN)],Tab_Def_Flows[Type_Biomass],,0,)</f>
        <v>0</v>
      </c>
      <c r="F30" s="49">
        <f>_xlfn.XLOOKUP(D30,Tab_Def_Flows[Name(EN)],Tab_Def_Flows[Output_Process],,0,)</f>
        <v>0</v>
      </c>
      <c r="G30" s="49" t="str">
        <f>_xlfn.XLOOKUP(D30,Tab_Def_Flows[Name(EN)],Tab_Def_Flows[Process_ID_O],,0,)</f>
        <v>24__</v>
      </c>
      <c r="H30" s="49">
        <f>_xlfn.XLOOKUP(D30,Tab_Def_Flows[Name(EN)],Tab_Def_Flows[Input_Process],,0,)</f>
        <v>0</v>
      </c>
      <c r="I30" s="61" t="str">
        <f>_xlfn.XLOOKUP(D30,Tab_Def_Flows[Name(EN)],Tab_Def_Flows[Process_ID_I],,0,)</f>
        <v>24__</v>
      </c>
      <c r="J30" s="61">
        <f>_xlfn.XLOOKUP(D30,Tab_Def_Flows[Name(EN)],Tab_Def_Flows[Value_Source],,0,)</f>
        <v>0</v>
      </c>
      <c r="K30" s="61" t="str">
        <f>_xlfn.XLOOKUP(D30,Tab_Def_Flows[Name(EN)],Tab_Def_Flows[WC?],,0,)</f>
        <v>Yes</v>
      </c>
      <c r="L30" s="61" t="str">
        <f>_xlfn.XLOOKUP(D30,Tab_Def_Flows[Name(EN)],Tab_Def_Flows[DM?],,0,)</f>
        <v>Yes</v>
      </c>
      <c r="M30" s="61" t="str">
        <f>_xlfn.XLOOKUP(D30,Tab_Def_Flows[Name(EN)],Tab_Def_Flows[CC?],,0,)</f>
        <v>Yes</v>
      </c>
      <c r="N30" s="103"/>
      <c r="O30" s="96"/>
      <c r="P30" s="100"/>
      <c r="Q30" s="96"/>
      <c r="R30" s="103"/>
      <c r="S30" s="96"/>
    </row>
    <row r="31" spans="1:23" x14ac:dyDescent="0.25">
      <c r="A31" s="90" t="b">
        <v>0</v>
      </c>
      <c r="B31" s="49">
        <f t="shared" si="0"/>
        <v>30</v>
      </c>
      <c r="C31" s="49" t="str">
        <f>_xlfn.XLOOKUP(D31,Tab_Def_Flows[Name(EN)],Tab_Def_Flows[Flow_ID],,0,)</f>
        <v>F_24_24</v>
      </c>
      <c r="D31" s="51"/>
      <c r="E31" s="49">
        <f>_xlfn.XLOOKUP(D31,Tab_Def_Flows[Name(EN)],Tab_Def_Flows[Type_Biomass],,0,)</f>
        <v>0</v>
      </c>
      <c r="F31" s="49">
        <f>_xlfn.XLOOKUP(D31,Tab_Def_Flows[Name(EN)],Tab_Def_Flows[Output_Process],,0,)</f>
        <v>0</v>
      </c>
      <c r="G31" s="49" t="str">
        <f>_xlfn.XLOOKUP(D31,Tab_Def_Flows[Name(EN)],Tab_Def_Flows[Process_ID_O],,0,)</f>
        <v>24__</v>
      </c>
      <c r="H31" s="49">
        <f>_xlfn.XLOOKUP(D31,Tab_Def_Flows[Name(EN)],Tab_Def_Flows[Input_Process],,0,)</f>
        <v>0</v>
      </c>
      <c r="I31" s="61" t="str">
        <f>_xlfn.XLOOKUP(D31,Tab_Def_Flows[Name(EN)],Tab_Def_Flows[Process_ID_I],,0,)</f>
        <v>24__</v>
      </c>
      <c r="J31" s="61">
        <f>_xlfn.XLOOKUP(D31,Tab_Def_Flows[Name(EN)],Tab_Def_Flows[Value_Source],,0,)</f>
        <v>0</v>
      </c>
      <c r="K31" s="61" t="str">
        <f>_xlfn.XLOOKUP(D31,Tab_Def_Flows[Name(EN)],Tab_Def_Flows[WC?],,0,)</f>
        <v>Yes</v>
      </c>
      <c r="L31" s="61" t="str">
        <f>_xlfn.XLOOKUP(D31,Tab_Def_Flows[Name(EN)],Tab_Def_Flows[DM?],,0,)</f>
        <v>Yes</v>
      </c>
      <c r="M31" s="61" t="str">
        <f>_xlfn.XLOOKUP(D31,Tab_Def_Flows[Name(EN)],Tab_Def_Flows[CC?],,0,)</f>
        <v>Yes</v>
      </c>
      <c r="N31" s="103"/>
      <c r="O31" s="96"/>
      <c r="P31" s="100"/>
      <c r="Q31" s="96"/>
      <c r="R31" s="103"/>
      <c r="S31" s="96"/>
    </row>
    <row r="32" spans="1:23" x14ac:dyDescent="0.25">
      <c r="A32" s="90" t="b">
        <v>0</v>
      </c>
      <c r="B32" s="49">
        <f t="shared" si="0"/>
        <v>31</v>
      </c>
      <c r="C32" s="49" t="str">
        <f>_xlfn.XLOOKUP(D32,Tab_Def_Flows[Name(EN)],Tab_Def_Flows[Flow_ID],,0,)</f>
        <v>F_24_24</v>
      </c>
      <c r="D32" s="51"/>
      <c r="E32" s="49">
        <f>_xlfn.XLOOKUP(D32,Tab_Def_Flows[Name(EN)],Tab_Def_Flows[Type_Biomass],,0,)</f>
        <v>0</v>
      </c>
      <c r="F32" s="49">
        <f>_xlfn.XLOOKUP(D32,Tab_Def_Flows[Name(EN)],Tab_Def_Flows[Output_Process],,0,)</f>
        <v>0</v>
      </c>
      <c r="G32" s="49" t="str">
        <f>_xlfn.XLOOKUP(D32,Tab_Def_Flows[Name(EN)],Tab_Def_Flows[Process_ID_O],,0,)</f>
        <v>24__</v>
      </c>
      <c r="H32" s="49">
        <f>_xlfn.XLOOKUP(D32,Tab_Def_Flows[Name(EN)],Tab_Def_Flows[Input_Process],,0,)</f>
        <v>0</v>
      </c>
      <c r="I32" s="61" t="str">
        <f>_xlfn.XLOOKUP(D32,Tab_Def_Flows[Name(EN)],Tab_Def_Flows[Process_ID_I],,0,)</f>
        <v>24__</v>
      </c>
      <c r="J32" s="61">
        <f>_xlfn.XLOOKUP(D32,Tab_Def_Flows[Name(EN)],Tab_Def_Flows[Value_Source],,0,)</f>
        <v>0</v>
      </c>
      <c r="K32" s="61" t="str">
        <f>_xlfn.XLOOKUP(D32,Tab_Def_Flows[Name(EN)],Tab_Def_Flows[WC?],,0,)</f>
        <v>Yes</v>
      </c>
      <c r="L32" s="61" t="str">
        <f>_xlfn.XLOOKUP(D32,Tab_Def_Flows[Name(EN)],Tab_Def_Flows[DM?],,0,)</f>
        <v>Yes</v>
      </c>
      <c r="M32" s="61" t="str">
        <f>_xlfn.XLOOKUP(D32,Tab_Def_Flows[Name(EN)],Tab_Def_Flows[CC?],,0,)</f>
        <v>Yes</v>
      </c>
      <c r="N32" s="103"/>
      <c r="O32" s="96"/>
      <c r="P32" s="100"/>
      <c r="Q32" s="96"/>
      <c r="R32" s="103"/>
      <c r="S32" s="96"/>
    </row>
    <row r="33" spans="1:19" x14ac:dyDescent="0.25">
      <c r="A33" s="90" t="b">
        <v>0</v>
      </c>
      <c r="B33" s="49">
        <f t="shared" si="0"/>
        <v>32</v>
      </c>
      <c r="C33" s="49" t="str">
        <f>_xlfn.XLOOKUP(D33,Tab_Def_Flows[Name(EN)],Tab_Def_Flows[Flow_ID],,0,)</f>
        <v>F_24_24</v>
      </c>
      <c r="D33" s="51"/>
      <c r="E33" s="49">
        <f>_xlfn.XLOOKUP(D33,Tab_Def_Flows[Name(EN)],Tab_Def_Flows[Type_Biomass],,0,)</f>
        <v>0</v>
      </c>
      <c r="F33" s="49">
        <f>_xlfn.XLOOKUP(D33,Tab_Def_Flows[Name(EN)],Tab_Def_Flows[Output_Process],,0,)</f>
        <v>0</v>
      </c>
      <c r="G33" s="49" t="str">
        <f>_xlfn.XLOOKUP(D33,Tab_Def_Flows[Name(EN)],Tab_Def_Flows[Process_ID_O],,0,)</f>
        <v>24__</v>
      </c>
      <c r="H33" s="49">
        <f>_xlfn.XLOOKUP(D33,Tab_Def_Flows[Name(EN)],Tab_Def_Flows[Input_Process],,0,)</f>
        <v>0</v>
      </c>
      <c r="I33" s="61" t="str">
        <f>_xlfn.XLOOKUP(D33,Tab_Def_Flows[Name(EN)],Tab_Def_Flows[Process_ID_I],,0,)</f>
        <v>24__</v>
      </c>
      <c r="J33" s="61">
        <f>_xlfn.XLOOKUP(D33,Tab_Def_Flows[Name(EN)],Tab_Def_Flows[Value_Source],,0,)</f>
        <v>0</v>
      </c>
      <c r="K33" s="61" t="str">
        <f>_xlfn.XLOOKUP(D33,Tab_Def_Flows[Name(EN)],Tab_Def_Flows[WC?],,0,)</f>
        <v>Yes</v>
      </c>
      <c r="L33" s="61" t="str">
        <f>_xlfn.XLOOKUP(D33,Tab_Def_Flows[Name(EN)],Tab_Def_Flows[DM?],,0,)</f>
        <v>Yes</v>
      </c>
      <c r="M33" s="61" t="str">
        <f>_xlfn.XLOOKUP(D33,Tab_Def_Flows[Name(EN)],Tab_Def_Flows[CC?],,0,)</f>
        <v>Yes</v>
      </c>
      <c r="N33" s="103"/>
      <c r="O33" s="96"/>
      <c r="P33" s="100"/>
      <c r="Q33" s="96"/>
      <c r="R33" s="103"/>
      <c r="S33" s="96"/>
    </row>
    <row r="34" spans="1:19" x14ac:dyDescent="0.25">
      <c r="A34" s="90" t="b">
        <v>0</v>
      </c>
      <c r="B34" s="49">
        <f t="shared" si="0"/>
        <v>33</v>
      </c>
      <c r="C34" s="49" t="str">
        <f>_xlfn.XLOOKUP(D34,Tab_Def_Flows[Name(EN)],Tab_Def_Flows[Flow_ID],,0,)</f>
        <v>F_24_24</v>
      </c>
      <c r="D34" s="51"/>
      <c r="E34" s="49">
        <f>_xlfn.XLOOKUP(D34,Tab_Def_Flows[Name(EN)],Tab_Def_Flows[Type_Biomass],,0,)</f>
        <v>0</v>
      </c>
      <c r="F34" s="49">
        <f>_xlfn.XLOOKUP(D34,Tab_Def_Flows[Name(EN)],Tab_Def_Flows[Output_Process],,0,)</f>
        <v>0</v>
      </c>
      <c r="G34" s="49" t="str">
        <f>_xlfn.XLOOKUP(D34,Tab_Def_Flows[Name(EN)],Tab_Def_Flows[Process_ID_O],,0,)</f>
        <v>24__</v>
      </c>
      <c r="H34" s="49">
        <f>_xlfn.XLOOKUP(D34,Tab_Def_Flows[Name(EN)],Tab_Def_Flows[Input_Process],,0,)</f>
        <v>0</v>
      </c>
      <c r="I34" s="61" t="str">
        <f>_xlfn.XLOOKUP(D34,Tab_Def_Flows[Name(EN)],Tab_Def_Flows[Process_ID_I],,0,)</f>
        <v>24__</v>
      </c>
      <c r="J34" s="61">
        <f>_xlfn.XLOOKUP(D34,Tab_Def_Flows[Name(EN)],Tab_Def_Flows[Value_Source],,0,)</f>
        <v>0</v>
      </c>
      <c r="K34" s="61" t="str">
        <f>_xlfn.XLOOKUP(D34,Tab_Def_Flows[Name(EN)],Tab_Def_Flows[WC?],,0,)</f>
        <v>Yes</v>
      </c>
      <c r="L34" s="61" t="str">
        <f>_xlfn.XLOOKUP(D34,Tab_Def_Flows[Name(EN)],Tab_Def_Flows[DM?],,0,)</f>
        <v>Yes</v>
      </c>
      <c r="M34" s="61" t="str">
        <f>_xlfn.XLOOKUP(D34,Tab_Def_Flows[Name(EN)],Tab_Def_Flows[CC?],,0,)</f>
        <v>Yes</v>
      </c>
      <c r="N34" s="103"/>
      <c r="O34" s="96"/>
      <c r="P34" s="100"/>
      <c r="Q34" s="96"/>
      <c r="R34" s="103"/>
      <c r="S34" s="96"/>
    </row>
    <row r="35" spans="1:19" x14ac:dyDescent="0.25">
      <c r="A35" s="90" t="b">
        <v>0</v>
      </c>
      <c r="B35" s="49">
        <f t="shared" si="0"/>
        <v>34</v>
      </c>
      <c r="C35" s="49" t="str">
        <f>_xlfn.XLOOKUP(D35,Tab_Def_Flows[Name(EN)],Tab_Def_Flows[Flow_ID],,0,)</f>
        <v>F_24_24</v>
      </c>
      <c r="D35" s="51"/>
      <c r="E35" s="49">
        <f>_xlfn.XLOOKUP(D35,Tab_Def_Flows[Name(EN)],Tab_Def_Flows[Type_Biomass],,0,)</f>
        <v>0</v>
      </c>
      <c r="F35" s="49">
        <f>_xlfn.XLOOKUP(D35,Tab_Def_Flows[Name(EN)],Tab_Def_Flows[Output_Process],,0,)</f>
        <v>0</v>
      </c>
      <c r="G35" s="49" t="str">
        <f>_xlfn.XLOOKUP(D35,Tab_Def_Flows[Name(EN)],Tab_Def_Flows[Process_ID_O],,0,)</f>
        <v>24__</v>
      </c>
      <c r="H35" s="49">
        <f>_xlfn.XLOOKUP(D35,Tab_Def_Flows[Name(EN)],Tab_Def_Flows[Input_Process],,0,)</f>
        <v>0</v>
      </c>
      <c r="I35" s="61" t="str">
        <f>_xlfn.XLOOKUP(D35,Tab_Def_Flows[Name(EN)],Tab_Def_Flows[Process_ID_I],,0,)</f>
        <v>24__</v>
      </c>
      <c r="J35" s="61">
        <f>_xlfn.XLOOKUP(D35,Tab_Def_Flows[Name(EN)],Tab_Def_Flows[Value_Source],,0,)</f>
        <v>0</v>
      </c>
      <c r="K35" s="61" t="str">
        <f>_xlfn.XLOOKUP(D35,Tab_Def_Flows[Name(EN)],Tab_Def_Flows[WC?],,0,)</f>
        <v>Yes</v>
      </c>
      <c r="L35" s="61" t="str">
        <f>_xlfn.XLOOKUP(D35,Tab_Def_Flows[Name(EN)],Tab_Def_Flows[DM?],,0,)</f>
        <v>Yes</v>
      </c>
      <c r="M35" s="61" t="str">
        <f>_xlfn.XLOOKUP(D35,Tab_Def_Flows[Name(EN)],Tab_Def_Flows[CC?],,0,)</f>
        <v>Yes</v>
      </c>
      <c r="N35" s="103"/>
      <c r="O35" s="96"/>
      <c r="P35" s="100"/>
      <c r="Q35" s="96"/>
      <c r="R35" s="103"/>
      <c r="S35" s="96"/>
    </row>
    <row r="36" spans="1:19" x14ac:dyDescent="0.25">
      <c r="A36" s="90" t="b">
        <v>0</v>
      </c>
      <c r="B36" s="49">
        <f t="shared" si="0"/>
        <v>35</v>
      </c>
      <c r="C36" s="49" t="str">
        <f>_xlfn.XLOOKUP(D36,Tab_Def_Flows[Name(EN)],Tab_Def_Flows[Flow_ID],,0,)</f>
        <v>F_24_24</v>
      </c>
      <c r="D36" s="51"/>
      <c r="E36" s="49">
        <f>_xlfn.XLOOKUP(D36,Tab_Def_Flows[Name(EN)],Tab_Def_Flows[Type_Biomass],,0,)</f>
        <v>0</v>
      </c>
      <c r="F36" s="49">
        <f>_xlfn.XLOOKUP(D36,Tab_Def_Flows[Name(EN)],Tab_Def_Flows[Output_Process],,0,)</f>
        <v>0</v>
      </c>
      <c r="G36" s="49" t="str">
        <f>_xlfn.XLOOKUP(D36,Tab_Def_Flows[Name(EN)],Tab_Def_Flows[Process_ID_O],,0,)</f>
        <v>24__</v>
      </c>
      <c r="H36" s="49">
        <f>_xlfn.XLOOKUP(D36,Tab_Def_Flows[Name(EN)],Tab_Def_Flows[Input_Process],,0,)</f>
        <v>0</v>
      </c>
      <c r="I36" s="61" t="str">
        <f>_xlfn.XLOOKUP(D36,Tab_Def_Flows[Name(EN)],Tab_Def_Flows[Process_ID_I],,0,)</f>
        <v>24__</v>
      </c>
      <c r="J36" s="61">
        <f>_xlfn.XLOOKUP(D36,Tab_Def_Flows[Name(EN)],Tab_Def_Flows[Value_Source],,0,)</f>
        <v>0</v>
      </c>
      <c r="K36" s="61" t="str">
        <f>_xlfn.XLOOKUP(D36,Tab_Def_Flows[Name(EN)],Tab_Def_Flows[WC?],,0,)</f>
        <v>Yes</v>
      </c>
      <c r="L36" s="61" t="str">
        <f>_xlfn.XLOOKUP(D36,Tab_Def_Flows[Name(EN)],Tab_Def_Flows[DM?],,0,)</f>
        <v>Yes</v>
      </c>
      <c r="M36" s="61" t="str">
        <f>_xlfn.XLOOKUP(D36,Tab_Def_Flows[Name(EN)],Tab_Def_Flows[CC?],,0,)</f>
        <v>Yes</v>
      </c>
      <c r="N36" s="103"/>
      <c r="O36" s="96"/>
      <c r="P36" s="100"/>
      <c r="Q36" s="96"/>
      <c r="R36" s="103"/>
      <c r="S36" s="96"/>
    </row>
    <row r="37" spans="1:19" x14ac:dyDescent="0.25">
      <c r="A37" s="90" t="b">
        <v>0</v>
      </c>
      <c r="B37" s="49">
        <f t="shared" si="0"/>
        <v>36</v>
      </c>
      <c r="C37" s="49" t="str">
        <f>_xlfn.XLOOKUP(D37,Tab_Def_Flows[Name(EN)],Tab_Def_Flows[Flow_ID],,0,)</f>
        <v>F_24_24</v>
      </c>
      <c r="D37" s="51"/>
      <c r="E37" s="49">
        <f>_xlfn.XLOOKUP(D37,Tab_Def_Flows[Name(EN)],Tab_Def_Flows[Type_Biomass],,0,)</f>
        <v>0</v>
      </c>
      <c r="F37" s="49">
        <f>_xlfn.XLOOKUP(D37,Tab_Def_Flows[Name(EN)],Tab_Def_Flows[Output_Process],,0,)</f>
        <v>0</v>
      </c>
      <c r="G37" s="49" t="str">
        <f>_xlfn.XLOOKUP(D37,Tab_Def_Flows[Name(EN)],Tab_Def_Flows[Process_ID_O],,0,)</f>
        <v>24__</v>
      </c>
      <c r="H37" s="49">
        <f>_xlfn.XLOOKUP(D37,Tab_Def_Flows[Name(EN)],Tab_Def_Flows[Input_Process],,0,)</f>
        <v>0</v>
      </c>
      <c r="I37" s="61" t="str">
        <f>_xlfn.XLOOKUP(D37,Tab_Def_Flows[Name(EN)],Tab_Def_Flows[Process_ID_I],,0,)</f>
        <v>24__</v>
      </c>
      <c r="J37" s="61">
        <f>_xlfn.XLOOKUP(D37,Tab_Def_Flows[Name(EN)],Tab_Def_Flows[Value_Source],,0,)</f>
        <v>0</v>
      </c>
      <c r="K37" s="61" t="str">
        <f>_xlfn.XLOOKUP(D37,Tab_Def_Flows[Name(EN)],Tab_Def_Flows[WC?],,0,)</f>
        <v>Yes</v>
      </c>
      <c r="L37" s="61" t="str">
        <f>_xlfn.XLOOKUP(D37,Tab_Def_Flows[Name(EN)],Tab_Def_Flows[DM?],,0,)</f>
        <v>Yes</v>
      </c>
      <c r="M37" s="61" t="str">
        <f>_xlfn.XLOOKUP(D37,Tab_Def_Flows[Name(EN)],Tab_Def_Flows[CC?],,0,)</f>
        <v>Yes</v>
      </c>
      <c r="N37" s="103"/>
      <c r="O37" s="96"/>
      <c r="P37" s="100"/>
      <c r="Q37" s="96"/>
      <c r="R37" s="103"/>
      <c r="S37" s="96"/>
    </row>
    <row r="38" spans="1:19" x14ac:dyDescent="0.25">
      <c r="A38" s="90" t="b">
        <v>0</v>
      </c>
      <c r="B38" s="49">
        <f t="shared" si="0"/>
        <v>37</v>
      </c>
      <c r="C38" s="49" t="str">
        <f>_xlfn.XLOOKUP(D38,Tab_Def_Flows[Name(EN)],Tab_Def_Flows[Flow_ID],,0,)</f>
        <v>F_24_24</v>
      </c>
      <c r="D38" s="51"/>
      <c r="E38" s="49">
        <f>_xlfn.XLOOKUP(D38,Tab_Def_Flows[Name(EN)],Tab_Def_Flows[Type_Biomass],,0,)</f>
        <v>0</v>
      </c>
      <c r="F38" s="49">
        <f>_xlfn.XLOOKUP(D38,Tab_Def_Flows[Name(EN)],Tab_Def_Flows[Output_Process],,0,)</f>
        <v>0</v>
      </c>
      <c r="G38" s="49" t="str">
        <f>_xlfn.XLOOKUP(D38,Tab_Def_Flows[Name(EN)],Tab_Def_Flows[Process_ID_O],,0,)</f>
        <v>24__</v>
      </c>
      <c r="H38" s="49">
        <f>_xlfn.XLOOKUP(D38,Tab_Def_Flows[Name(EN)],Tab_Def_Flows[Input_Process],,0,)</f>
        <v>0</v>
      </c>
      <c r="I38" s="61" t="str">
        <f>_xlfn.XLOOKUP(D38,Tab_Def_Flows[Name(EN)],Tab_Def_Flows[Process_ID_I],,0,)</f>
        <v>24__</v>
      </c>
      <c r="J38" s="61">
        <f>_xlfn.XLOOKUP(D38,Tab_Def_Flows[Name(EN)],Tab_Def_Flows[Value_Source],,0,)</f>
        <v>0</v>
      </c>
      <c r="K38" s="61" t="str">
        <f>_xlfn.XLOOKUP(D38,Tab_Def_Flows[Name(EN)],Tab_Def_Flows[WC?],,0,)</f>
        <v>Yes</v>
      </c>
      <c r="L38" s="61" t="str">
        <f>_xlfn.XLOOKUP(D38,Tab_Def_Flows[Name(EN)],Tab_Def_Flows[DM?],,0,)</f>
        <v>Yes</v>
      </c>
      <c r="M38" s="61" t="str">
        <f>_xlfn.XLOOKUP(D38,Tab_Def_Flows[Name(EN)],Tab_Def_Flows[CC?],,0,)</f>
        <v>Yes</v>
      </c>
      <c r="N38" s="103"/>
      <c r="O38" s="96"/>
      <c r="P38" s="100"/>
      <c r="Q38" s="96"/>
      <c r="R38" s="103"/>
      <c r="S38" s="96"/>
    </row>
    <row r="39" spans="1:19" x14ac:dyDescent="0.25">
      <c r="A39" s="90" t="b">
        <v>0</v>
      </c>
      <c r="B39" s="49">
        <f t="shared" si="0"/>
        <v>38</v>
      </c>
      <c r="C39" s="49" t="str">
        <f>_xlfn.XLOOKUP(D39,Tab_Def_Flows[Name(EN)],Tab_Def_Flows[Flow_ID],,0,)</f>
        <v>F_24_24</v>
      </c>
      <c r="D39" s="51"/>
      <c r="E39" s="49">
        <f>_xlfn.XLOOKUP(D39,Tab_Def_Flows[Name(EN)],Tab_Def_Flows[Type_Biomass],,0,)</f>
        <v>0</v>
      </c>
      <c r="F39" s="49">
        <f>_xlfn.XLOOKUP(D39,Tab_Def_Flows[Name(EN)],Tab_Def_Flows[Output_Process],,0,)</f>
        <v>0</v>
      </c>
      <c r="G39" s="49" t="str">
        <f>_xlfn.XLOOKUP(D39,Tab_Def_Flows[Name(EN)],Tab_Def_Flows[Process_ID_O],,0,)</f>
        <v>24__</v>
      </c>
      <c r="H39" s="49">
        <f>_xlfn.XLOOKUP(D39,Tab_Def_Flows[Name(EN)],Tab_Def_Flows[Input_Process],,0,)</f>
        <v>0</v>
      </c>
      <c r="I39" s="61" t="str">
        <f>_xlfn.XLOOKUP(D39,Tab_Def_Flows[Name(EN)],Tab_Def_Flows[Process_ID_I],,0,)</f>
        <v>24__</v>
      </c>
      <c r="J39" s="61">
        <f>_xlfn.XLOOKUP(D39,Tab_Def_Flows[Name(EN)],Tab_Def_Flows[Value_Source],,0,)</f>
        <v>0</v>
      </c>
      <c r="K39" s="61" t="str">
        <f>_xlfn.XLOOKUP(D39,Tab_Def_Flows[Name(EN)],Tab_Def_Flows[WC?],,0,)</f>
        <v>Yes</v>
      </c>
      <c r="L39" s="61" t="str">
        <f>_xlfn.XLOOKUP(D39,Tab_Def_Flows[Name(EN)],Tab_Def_Flows[DM?],,0,)</f>
        <v>Yes</v>
      </c>
      <c r="M39" s="61" t="str">
        <f>_xlfn.XLOOKUP(D39,Tab_Def_Flows[Name(EN)],Tab_Def_Flows[CC?],,0,)</f>
        <v>Yes</v>
      </c>
      <c r="N39" s="103"/>
      <c r="O39" s="96"/>
      <c r="P39" s="100"/>
      <c r="Q39" s="96"/>
      <c r="R39" s="103"/>
      <c r="S39" s="96"/>
    </row>
    <row r="40" spans="1:19" x14ac:dyDescent="0.25">
      <c r="A40" s="90" t="b">
        <v>0</v>
      </c>
      <c r="B40" s="49">
        <f t="shared" si="0"/>
        <v>39</v>
      </c>
      <c r="C40" s="49" t="str">
        <f>_xlfn.XLOOKUP(D40,Tab_Def_Flows[Name(EN)],Tab_Def_Flows[Flow_ID],,0,)</f>
        <v>F_24_24</v>
      </c>
      <c r="D40" s="51"/>
      <c r="E40" s="49">
        <f>_xlfn.XLOOKUP(D40,Tab_Def_Flows[Name(EN)],Tab_Def_Flows[Type_Biomass],,0,)</f>
        <v>0</v>
      </c>
      <c r="F40" s="49">
        <f>_xlfn.XLOOKUP(D40,Tab_Def_Flows[Name(EN)],Tab_Def_Flows[Output_Process],,0,)</f>
        <v>0</v>
      </c>
      <c r="G40" s="49" t="str">
        <f>_xlfn.XLOOKUP(D40,Tab_Def_Flows[Name(EN)],Tab_Def_Flows[Process_ID_O],,0,)</f>
        <v>24__</v>
      </c>
      <c r="H40" s="49">
        <f>_xlfn.XLOOKUP(D40,Tab_Def_Flows[Name(EN)],Tab_Def_Flows[Input_Process],,0,)</f>
        <v>0</v>
      </c>
      <c r="I40" s="61" t="str">
        <f>_xlfn.XLOOKUP(D40,Tab_Def_Flows[Name(EN)],Tab_Def_Flows[Process_ID_I],,0,)</f>
        <v>24__</v>
      </c>
      <c r="J40" s="61">
        <f>_xlfn.XLOOKUP(D40,Tab_Def_Flows[Name(EN)],Tab_Def_Flows[Value_Source],,0,)</f>
        <v>0</v>
      </c>
      <c r="K40" s="61" t="str">
        <f>_xlfn.XLOOKUP(D40,Tab_Def_Flows[Name(EN)],Tab_Def_Flows[WC?],,0,)</f>
        <v>Yes</v>
      </c>
      <c r="L40" s="61" t="str">
        <f>_xlfn.XLOOKUP(D40,Tab_Def_Flows[Name(EN)],Tab_Def_Flows[DM?],,0,)</f>
        <v>Yes</v>
      </c>
      <c r="M40" s="61" t="str">
        <f>_xlfn.XLOOKUP(D40,Tab_Def_Flows[Name(EN)],Tab_Def_Flows[CC?],,0,)</f>
        <v>Yes</v>
      </c>
      <c r="N40" s="103"/>
      <c r="O40" s="96"/>
      <c r="P40" s="100"/>
      <c r="Q40" s="96"/>
      <c r="R40" s="103"/>
      <c r="S40" s="96"/>
    </row>
    <row r="41" spans="1:19" ht="15.75" thickBot="1" x14ac:dyDescent="0.3">
      <c r="A41" s="90" t="b">
        <v>0</v>
      </c>
      <c r="B41" s="49">
        <f t="shared" si="0"/>
        <v>40</v>
      </c>
      <c r="C41" s="49" t="str">
        <f>_xlfn.XLOOKUP(D41,Tab_Def_Flows[Name(EN)],Tab_Def_Flows[Flow_ID],,0,)</f>
        <v>F_24_24</v>
      </c>
      <c r="D41" s="51"/>
      <c r="E41" s="49">
        <f>_xlfn.XLOOKUP(D41,Tab_Def_Flows[Name(EN)],Tab_Def_Flows[Type_Biomass],,0,)</f>
        <v>0</v>
      </c>
      <c r="F41" s="49">
        <f>_xlfn.XLOOKUP(D41,Tab_Def_Flows[Name(EN)],Tab_Def_Flows[Output_Process],,0,)</f>
        <v>0</v>
      </c>
      <c r="G41" s="49" t="str">
        <f>_xlfn.XLOOKUP(D41,Tab_Def_Flows[Name(EN)],Tab_Def_Flows[Process_ID_O],,0,)</f>
        <v>24__</v>
      </c>
      <c r="H41" s="49">
        <f>_xlfn.XLOOKUP(D41,Tab_Def_Flows[Name(EN)],Tab_Def_Flows[Input_Process],,0,)</f>
        <v>0</v>
      </c>
      <c r="I41" s="61" t="str">
        <f>_xlfn.XLOOKUP(D41,Tab_Def_Flows[Name(EN)],Tab_Def_Flows[Process_ID_I],,0,)</f>
        <v>24__</v>
      </c>
      <c r="J41" s="61">
        <f>_xlfn.XLOOKUP(D41,Tab_Def_Flows[Name(EN)],Tab_Def_Flows[Value_Source],,0,)</f>
        <v>0</v>
      </c>
      <c r="K41" s="61" t="str">
        <f>_xlfn.XLOOKUP(D41,Tab_Def_Flows[Name(EN)],Tab_Def_Flows[WC?],,0,)</f>
        <v>Yes</v>
      </c>
      <c r="L41" s="61" t="str">
        <f>_xlfn.XLOOKUP(D41,Tab_Def_Flows[Name(EN)],Tab_Def_Flows[DM?],,0,)</f>
        <v>Yes</v>
      </c>
      <c r="M41" s="61" t="str">
        <f>_xlfn.XLOOKUP(D41,Tab_Def_Flows[Name(EN)],Tab_Def_Flows[CC?],,0,)</f>
        <v>Yes</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6" t="s">
        <v>2</v>
      </c>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t="s">
        <v>91</v>
      </c>
      <c r="AF4" s="146"/>
      <c r="AG4" s="146"/>
      <c r="AH4" s="146"/>
      <c r="AI4" s="146"/>
      <c r="AJ4" s="146"/>
      <c r="AK4" s="146"/>
      <c r="AL4" s="146"/>
      <c r="AM4" s="146"/>
      <c r="AN4" s="146"/>
      <c r="AO4" s="1"/>
      <c r="AP4" s="8"/>
      <c r="AQ4" s="8"/>
      <c r="AR4" s="146" t="s">
        <v>18</v>
      </c>
      <c r="AS4" s="146"/>
      <c r="AT4" s="146"/>
      <c r="AU4" s="146"/>
      <c r="AV4" s="146"/>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8" t="s">
        <v>90</v>
      </c>
      <c r="AH2" s="149"/>
      <c r="AI2" s="149"/>
      <c r="AJ2" s="149"/>
      <c r="AK2" s="150"/>
      <c r="AL2" s="148" t="s">
        <v>192</v>
      </c>
      <c r="AM2" s="149"/>
      <c r="AN2" s="149"/>
      <c r="AO2" s="149"/>
      <c r="AP2" s="150"/>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1" t="s">
        <v>91</v>
      </c>
      <c r="AH2" s="151"/>
      <c r="AI2" s="151"/>
      <c r="AJ2" s="151"/>
      <c r="AK2" s="151"/>
      <c r="AL2" s="151"/>
      <c r="AM2" s="151"/>
      <c r="AN2" s="151"/>
      <c r="AO2" s="151"/>
      <c r="AP2" s="151"/>
      <c r="AQ2" s="151"/>
      <c r="AR2" s="151"/>
      <c r="AS2" s="151"/>
      <c r="AT2" s="146" t="s">
        <v>18</v>
      </c>
      <c r="AU2" s="146"/>
      <c r="AV2" s="146"/>
      <c r="AW2" s="146"/>
      <c r="AX2" s="146"/>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6" t="s">
        <v>2</v>
      </c>
      <c r="B3" s="146"/>
      <c r="C3" s="146"/>
      <c r="D3" s="146"/>
      <c r="E3" s="146"/>
      <c r="F3" s="146"/>
      <c r="G3" s="146"/>
      <c r="H3" s="146"/>
      <c r="I3" s="146"/>
      <c r="J3" s="146"/>
      <c r="K3" s="146"/>
      <c r="L3" s="146" t="s">
        <v>90</v>
      </c>
      <c r="M3" s="146"/>
      <c r="N3" s="146"/>
      <c r="O3" s="146"/>
      <c r="P3" s="146"/>
      <c r="Q3" s="146" t="s">
        <v>192</v>
      </c>
      <c r="R3" s="146"/>
      <c r="S3" s="146"/>
      <c r="T3" s="146"/>
      <c r="U3" s="146"/>
      <c r="Y3" s="146" t="s">
        <v>4</v>
      </c>
      <c r="Z3" s="146"/>
      <c r="AA3" s="146"/>
      <c r="AB3" s="146"/>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2025-05-09T15:21:53Z</dcterms:modified>
</cp:coreProperties>
</file>