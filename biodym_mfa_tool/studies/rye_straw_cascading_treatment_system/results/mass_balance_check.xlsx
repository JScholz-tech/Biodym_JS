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as\Desktop\"/>
    </mc:Choice>
  </mc:AlternateContent>
  <xr:revisionPtr revIDLastSave="0" documentId="13_ncr:1_{1298D520-564D-4FC0-88C7-B9EF47D2266C}" xr6:coauthVersionLast="47" xr6:coauthVersionMax="47" xr10:uidLastSave="{00000000-0000-0000-0000-000000000000}"/>
  <bookViews>
    <workbookView xWindow="-110" yWindow="-110" windowWidth="19420" windowHeight="10560" firstSheet="1" activeTab="4" xr2:uid="{00000000-000D-0000-FFFF-FFFF00000000}"/>
  </bookViews>
  <sheets>
    <sheet name="Mass_balance_material" sheetId="9" r:id="rId1"/>
    <sheet name="Mass_balance_WC" sheetId="11" r:id="rId2"/>
    <sheet name="Mass_balance_DM" sheetId="12" r:id="rId3"/>
    <sheet name="Mass_balance_CC" sheetId="14" r:id="rId4"/>
    <sheet name="python_balance_error_comparison" sheetId="15" r:id="rId5"/>
    <sheet name="FlowDict_material" sheetId="1" r:id="rId6"/>
    <sheet name="StockDict_material" sheetId="2" r:id="rId7"/>
    <sheet name="FlowDict_WC" sheetId="3" r:id="rId8"/>
    <sheet name="StockDict_WC" sheetId="4" r:id="rId9"/>
    <sheet name="FlowDict_DM" sheetId="5" r:id="rId10"/>
    <sheet name="StockDict_DM" sheetId="6" r:id="rId11"/>
    <sheet name="FlowDict_CC" sheetId="7" r:id="rId12"/>
    <sheet name="StockDict_CC" sheetId="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4" l="1"/>
  <c r="A6" i="14"/>
  <c r="A9" i="14"/>
  <c r="A10" i="14"/>
  <c r="A13" i="14"/>
  <c r="A14" i="14"/>
  <c r="A23" i="14"/>
  <c r="A3" i="14" s="1"/>
  <c r="A24" i="14"/>
  <c r="A4" i="14" s="1"/>
  <c r="A25" i="14"/>
  <c r="A26" i="14"/>
  <c r="A27" i="14"/>
  <c r="A7" i="14" s="1"/>
  <c r="A28" i="14"/>
  <c r="A8" i="14" s="1"/>
  <c r="A29" i="14"/>
  <c r="A30" i="14"/>
  <c r="A31" i="14"/>
  <c r="A11" i="14" s="1"/>
  <c r="A32" i="14"/>
  <c r="A12" i="14" s="1"/>
  <c r="A33" i="14"/>
  <c r="A34" i="14"/>
  <c r="A35" i="14"/>
  <c r="A15" i="14" s="1"/>
  <c r="A36" i="14"/>
  <c r="A16" i="14" s="1"/>
  <c r="A22" i="14"/>
  <c r="A2" i="14" s="1"/>
  <c r="A4" i="12"/>
  <c r="A36" i="12"/>
  <c r="A16" i="12" s="1"/>
  <c r="A23" i="12"/>
  <c r="A3" i="12" s="1"/>
  <c r="A24" i="12"/>
  <c r="A25" i="12"/>
  <c r="A5" i="12" s="1"/>
  <c r="A26" i="12"/>
  <c r="A6" i="12" s="1"/>
  <c r="A27" i="12"/>
  <c r="A7" i="12" s="1"/>
  <c r="A28" i="12"/>
  <c r="A8" i="12" s="1"/>
  <c r="A29" i="12"/>
  <c r="A9" i="12" s="1"/>
  <c r="A30" i="12"/>
  <c r="A10" i="12" s="1"/>
  <c r="A31" i="12"/>
  <c r="A11" i="12" s="1"/>
  <c r="A32" i="12"/>
  <c r="A12" i="12" s="1"/>
  <c r="A33" i="12"/>
  <c r="A13" i="12" s="1"/>
  <c r="A34" i="12"/>
  <c r="A14" i="12" s="1"/>
  <c r="A35" i="12"/>
  <c r="A15" i="12" s="1"/>
  <c r="A22" i="12"/>
  <c r="A2" i="12" s="1"/>
  <c r="A22" i="9"/>
  <c r="A2" i="9" s="1"/>
  <c r="A3" i="9"/>
  <c r="A4" i="9"/>
  <c r="A7" i="9"/>
  <c r="A8" i="9"/>
  <c r="A11" i="9"/>
  <c r="A12" i="9"/>
  <c r="A15" i="9"/>
  <c r="A16" i="9"/>
  <c r="A3" i="11"/>
  <c r="A4" i="11"/>
  <c r="A7" i="11"/>
  <c r="A8" i="11"/>
  <c r="A11" i="11"/>
  <c r="A12" i="11"/>
  <c r="A16" i="11"/>
  <c r="A23" i="9"/>
  <c r="A24" i="9"/>
  <c r="A25" i="9"/>
  <c r="A5" i="9" s="1"/>
  <c r="A26" i="9"/>
  <c r="A6" i="9" s="1"/>
  <c r="A27" i="9"/>
  <c r="A28" i="9"/>
  <c r="A29" i="9"/>
  <c r="A9" i="9" s="1"/>
  <c r="A30" i="9"/>
  <c r="A10" i="9" s="1"/>
  <c r="A31" i="9"/>
  <c r="A32" i="9"/>
  <c r="A33" i="9"/>
  <c r="A13" i="9" s="1"/>
  <c r="A34" i="9"/>
  <c r="A14" i="9" s="1"/>
  <c r="A35" i="9"/>
  <c r="A36" i="9"/>
  <c r="A35" i="11"/>
  <c r="A15" i="11" s="1"/>
  <c r="A36" i="11"/>
  <c r="A23" i="11"/>
  <c r="A24" i="11"/>
  <c r="A25" i="11"/>
  <c r="A5" i="11" s="1"/>
  <c r="A26" i="11"/>
  <c r="A6" i="11" s="1"/>
  <c r="A27" i="11"/>
  <c r="A28" i="11"/>
  <c r="A29" i="11"/>
  <c r="A9" i="11" s="1"/>
  <c r="A30" i="11"/>
  <c r="A10" i="11" s="1"/>
  <c r="A31" i="11"/>
  <c r="A32" i="11"/>
  <c r="A33" i="11"/>
  <c r="A13" i="11" s="1"/>
  <c r="A34" i="11"/>
  <c r="A14" i="11" s="1"/>
  <c r="A22" i="11"/>
  <c r="A2" i="11" s="1"/>
  <c r="T3" i="14"/>
  <c r="T4" i="14"/>
  <c r="T5" i="14"/>
  <c r="T6" i="14"/>
  <c r="T7" i="14"/>
  <c r="T8" i="14"/>
  <c r="T9" i="14"/>
  <c r="T10" i="14"/>
  <c r="T11" i="14"/>
  <c r="T12" i="14"/>
  <c r="T13" i="14"/>
  <c r="T14" i="14"/>
  <c r="T15" i="14"/>
  <c r="T16" i="14"/>
  <c r="T2" i="14"/>
  <c r="T3" i="12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2" i="12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2" i="11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2" i="9"/>
  <c r="R3" i="14"/>
  <c r="R4" i="14"/>
  <c r="R5" i="14"/>
  <c r="R6" i="14"/>
  <c r="R7" i="14"/>
  <c r="R8" i="14"/>
  <c r="R9" i="14"/>
  <c r="R10" i="14"/>
  <c r="R11" i="14"/>
  <c r="R12" i="14"/>
  <c r="R13" i="14"/>
  <c r="R14" i="14"/>
  <c r="R15" i="14"/>
  <c r="R16" i="14"/>
  <c r="R2" i="14"/>
  <c r="R3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2" i="12"/>
  <c r="R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2" i="9"/>
  <c r="S16" i="14"/>
  <c r="Q16" i="14"/>
  <c r="P16" i="14"/>
  <c r="O16" i="14"/>
  <c r="M16" i="14"/>
  <c r="G16" i="14"/>
  <c r="F16" i="14"/>
  <c r="D16" i="14"/>
  <c r="S15" i="14"/>
  <c r="Q15" i="14"/>
  <c r="P15" i="14"/>
  <c r="O15" i="14"/>
  <c r="M15" i="14"/>
  <c r="G15" i="14"/>
  <c r="F15" i="14"/>
  <c r="D15" i="14"/>
  <c r="S14" i="14"/>
  <c r="Q14" i="14"/>
  <c r="P14" i="14"/>
  <c r="O14" i="14"/>
  <c r="M14" i="14"/>
  <c r="G14" i="14"/>
  <c r="F14" i="14"/>
  <c r="D14" i="14"/>
  <c r="S13" i="14"/>
  <c r="Q13" i="14"/>
  <c r="P13" i="14"/>
  <c r="O13" i="14"/>
  <c r="M13" i="14"/>
  <c r="G13" i="14"/>
  <c r="F13" i="14"/>
  <c r="D13" i="14"/>
  <c r="S12" i="14"/>
  <c r="Q12" i="14"/>
  <c r="P12" i="14"/>
  <c r="O12" i="14"/>
  <c r="M12" i="14"/>
  <c r="G12" i="14"/>
  <c r="F12" i="14"/>
  <c r="D12" i="14"/>
  <c r="S11" i="14"/>
  <c r="Q11" i="14"/>
  <c r="P11" i="14"/>
  <c r="O11" i="14"/>
  <c r="M11" i="14"/>
  <c r="G11" i="14"/>
  <c r="F11" i="14"/>
  <c r="D11" i="14"/>
  <c r="S10" i="14"/>
  <c r="Q10" i="14"/>
  <c r="P10" i="14"/>
  <c r="O10" i="14"/>
  <c r="M10" i="14"/>
  <c r="G10" i="14"/>
  <c r="F10" i="14"/>
  <c r="D10" i="14"/>
  <c r="S9" i="14"/>
  <c r="Q9" i="14"/>
  <c r="P9" i="14"/>
  <c r="O9" i="14"/>
  <c r="M9" i="14"/>
  <c r="G9" i="14"/>
  <c r="F9" i="14"/>
  <c r="D9" i="14"/>
  <c r="S8" i="14"/>
  <c r="Q8" i="14"/>
  <c r="P8" i="14"/>
  <c r="O8" i="14"/>
  <c r="M8" i="14"/>
  <c r="G8" i="14"/>
  <c r="F8" i="14"/>
  <c r="D8" i="14"/>
  <c r="S7" i="14"/>
  <c r="Q7" i="14"/>
  <c r="P7" i="14"/>
  <c r="O7" i="14"/>
  <c r="M7" i="14"/>
  <c r="G7" i="14"/>
  <c r="F7" i="14"/>
  <c r="D7" i="14"/>
  <c r="S6" i="14"/>
  <c r="Q6" i="14"/>
  <c r="P6" i="14"/>
  <c r="O6" i="14"/>
  <c r="M6" i="14"/>
  <c r="G6" i="14"/>
  <c r="F6" i="14"/>
  <c r="D6" i="14"/>
  <c r="S5" i="14"/>
  <c r="Q5" i="14"/>
  <c r="P5" i="14"/>
  <c r="O5" i="14"/>
  <c r="M5" i="14"/>
  <c r="G5" i="14"/>
  <c r="F5" i="14"/>
  <c r="D5" i="14"/>
  <c r="S4" i="14"/>
  <c r="Q4" i="14"/>
  <c r="P4" i="14"/>
  <c r="O4" i="14"/>
  <c r="M4" i="14"/>
  <c r="G4" i="14"/>
  <c r="F4" i="14"/>
  <c r="D4" i="14"/>
  <c r="S3" i="14"/>
  <c r="Q3" i="14"/>
  <c r="P3" i="14"/>
  <c r="O3" i="14"/>
  <c r="M3" i="14"/>
  <c r="G3" i="14"/>
  <c r="F3" i="14"/>
  <c r="D3" i="14"/>
  <c r="S2" i="14"/>
  <c r="Q2" i="14"/>
  <c r="P2" i="14"/>
  <c r="O2" i="14"/>
  <c r="M2" i="14"/>
  <c r="G2" i="14"/>
  <c r="F2" i="14"/>
  <c r="D2" i="14"/>
  <c r="U16" i="14"/>
  <c r="N16" i="14"/>
  <c r="L16" i="14"/>
  <c r="K16" i="14"/>
  <c r="J16" i="14"/>
  <c r="I16" i="14"/>
  <c r="H16" i="14"/>
  <c r="E16" i="14"/>
  <c r="C16" i="14"/>
  <c r="B16" i="14"/>
  <c r="U15" i="14"/>
  <c r="N15" i="14"/>
  <c r="L15" i="14"/>
  <c r="K15" i="14"/>
  <c r="J15" i="14"/>
  <c r="I15" i="14"/>
  <c r="H15" i="14"/>
  <c r="E15" i="14"/>
  <c r="C15" i="14"/>
  <c r="B15" i="14"/>
  <c r="U14" i="14"/>
  <c r="N14" i="14"/>
  <c r="L14" i="14"/>
  <c r="K14" i="14"/>
  <c r="J14" i="14"/>
  <c r="I14" i="14"/>
  <c r="H14" i="14"/>
  <c r="E14" i="14"/>
  <c r="C14" i="14"/>
  <c r="B14" i="14"/>
  <c r="U13" i="14"/>
  <c r="N13" i="14"/>
  <c r="L13" i="14"/>
  <c r="K13" i="14"/>
  <c r="J13" i="14"/>
  <c r="I13" i="14"/>
  <c r="H13" i="14"/>
  <c r="E13" i="14"/>
  <c r="C13" i="14"/>
  <c r="B13" i="14"/>
  <c r="U12" i="14"/>
  <c r="N12" i="14"/>
  <c r="L12" i="14"/>
  <c r="K12" i="14"/>
  <c r="J12" i="14"/>
  <c r="I12" i="14"/>
  <c r="H12" i="14"/>
  <c r="E12" i="14"/>
  <c r="C12" i="14"/>
  <c r="B12" i="14"/>
  <c r="U11" i="14"/>
  <c r="N11" i="14"/>
  <c r="L11" i="14"/>
  <c r="K11" i="14"/>
  <c r="J11" i="14"/>
  <c r="I11" i="14"/>
  <c r="H11" i="14"/>
  <c r="E11" i="14"/>
  <c r="C11" i="14"/>
  <c r="B11" i="14"/>
  <c r="U10" i="14"/>
  <c r="N10" i="14"/>
  <c r="L10" i="14"/>
  <c r="K10" i="14"/>
  <c r="J10" i="14"/>
  <c r="I10" i="14"/>
  <c r="H10" i="14"/>
  <c r="E10" i="14"/>
  <c r="C10" i="14"/>
  <c r="B10" i="14"/>
  <c r="U9" i="14"/>
  <c r="N9" i="14"/>
  <c r="L9" i="14"/>
  <c r="K9" i="14"/>
  <c r="J9" i="14"/>
  <c r="I9" i="14"/>
  <c r="H9" i="14"/>
  <c r="E9" i="14"/>
  <c r="C9" i="14"/>
  <c r="B9" i="14"/>
  <c r="U8" i="14"/>
  <c r="N8" i="14"/>
  <c r="L8" i="14"/>
  <c r="K8" i="14"/>
  <c r="J8" i="14"/>
  <c r="I8" i="14"/>
  <c r="H8" i="14"/>
  <c r="E8" i="14"/>
  <c r="C8" i="14"/>
  <c r="B8" i="14"/>
  <c r="U7" i="14"/>
  <c r="N7" i="14"/>
  <c r="L7" i="14"/>
  <c r="K7" i="14"/>
  <c r="J7" i="14"/>
  <c r="I7" i="14"/>
  <c r="H7" i="14"/>
  <c r="E7" i="14"/>
  <c r="C7" i="14"/>
  <c r="B7" i="14"/>
  <c r="U6" i="14"/>
  <c r="N6" i="14"/>
  <c r="L6" i="14"/>
  <c r="K6" i="14"/>
  <c r="J6" i="14"/>
  <c r="I6" i="14"/>
  <c r="H6" i="14"/>
  <c r="E6" i="14"/>
  <c r="C6" i="14"/>
  <c r="B6" i="14"/>
  <c r="U5" i="14"/>
  <c r="N5" i="14"/>
  <c r="L5" i="14"/>
  <c r="K5" i="14"/>
  <c r="J5" i="14"/>
  <c r="I5" i="14"/>
  <c r="H5" i="14"/>
  <c r="E5" i="14"/>
  <c r="C5" i="14"/>
  <c r="B5" i="14"/>
  <c r="U4" i="14"/>
  <c r="N4" i="14"/>
  <c r="L4" i="14"/>
  <c r="K4" i="14"/>
  <c r="J4" i="14"/>
  <c r="I4" i="14"/>
  <c r="H4" i="14"/>
  <c r="E4" i="14"/>
  <c r="C4" i="14"/>
  <c r="B4" i="14"/>
  <c r="U3" i="14"/>
  <c r="N3" i="14"/>
  <c r="L3" i="14"/>
  <c r="K3" i="14"/>
  <c r="J3" i="14"/>
  <c r="I3" i="14"/>
  <c r="H3" i="14"/>
  <c r="E3" i="14"/>
  <c r="C3" i="14"/>
  <c r="B3" i="14"/>
  <c r="U2" i="14"/>
  <c r="N2" i="14"/>
  <c r="L2" i="14"/>
  <c r="K2" i="14"/>
  <c r="J2" i="14"/>
  <c r="I2" i="14"/>
  <c r="H2" i="14"/>
  <c r="E2" i="14"/>
  <c r="C2" i="14"/>
  <c r="B2" i="14"/>
  <c r="U16" i="12"/>
  <c r="S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U15" i="12"/>
  <c r="S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U14" i="12"/>
  <c r="S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U13" i="12"/>
  <c r="S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U12" i="12"/>
  <c r="S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U11" i="12"/>
  <c r="S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U10" i="12"/>
  <c r="S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U9" i="12"/>
  <c r="S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U8" i="12"/>
  <c r="S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B8" i="12"/>
  <c r="U7" i="12"/>
  <c r="S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U6" i="12"/>
  <c r="S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6" i="12"/>
  <c r="U5" i="12"/>
  <c r="S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B5" i="12"/>
  <c r="U4" i="12"/>
  <c r="S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B4" i="12"/>
  <c r="U3" i="12"/>
  <c r="S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U2" i="12"/>
  <c r="S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B2" i="12"/>
  <c r="S16" i="11"/>
  <c r="Q16" i="11"/>
  <c r="P16" i="11"/>
  <c r="O16" i="11"/>
  <c r="M16" i="11"/>
  <c r="G16" i="11"/>
  <c r="F16" i="11"/>
  <c r="D16" i="11"/>
  <c r="S15" i="11"/>
  <c r="Q15" i="11"/>
  <c r="P15" i="11"/>
  <c r="O15" i="11"/>
  <c r="M15" i="11"/>
  <c r="G15" i="11"/>
  <c r="F15" i="11"/>
  <c r="D15" i="11"/>
  <c r="S14" i="11"/>
  <c r="Q14" i="11"/>
  <c r="P14" i="11"/>
  <c r="O14" i="11"/>
  <c r="M14" i="11"/>
  <c r="G14" i="11"/>
  <c r="F14" i="11"/>
  <c r="D14" i="11"/>
  <c r="S13" i="11"/>
  <c r="Q13" i="11"/>
  <c r="P13" i="11"/>
  <c r="O13" i="11"/>
  <c r="M13" i="11"/>
  <c r="G13" i="11"/>
  <c r="F13" i="11"/>
  <c r="D13" i="11"/>
  <c r="S12" i="11"/>
  <c r="Q12" i="11"/>
  <c r="P12" i="11"/>
  <c r="O12" i="11"/>
  <c r="M12" i="11"/>
  <c r="G12" i="11"/>
  <c r="F12" i="11"/>
  <c r="D12" i="11"/>
  <c r="S11" i="11"/>
  <c r="Q11" i="11"/>
  <c r="P11" i="11"/>
  <c r="O11" i="11"/>
  <c r="M11" i="11"/>
  <c r="G11" i="11"/>
  <c r="F11" i="11"/>
  <c r="D11" i="11"/>
  <c r="S10" i="11"/>
  <c r="Q10" i="11"/>
  <c r="P10" i="11"/>
  <c r="O10" i="11"/>
  <c r="M10" i="11"/>
  <c r="G10" i="11"/>
  <c r="F10" i="11"/>
  <c r="D10" i="11"/>
  <c r="S9" i="11"/>
  <c r="Q9" i="11"/>
  <c r="P9" i="11"/>
  <c r="O9" i="11"/>
  <c r="M9" i="11"/>
  <c r="G9" i="11"/>
  <c r="F9" i="11"/>
  <c r="D9" i="11"/>
  <c r="S8" i="11"/>
  <c r="Q8" i="11"/>
  <c r="P8" i="11"/>
  <c r="O8" i="11"/>
  <c r="M8" i="11"/>
  <c r="G8" i="11"/>
  <c r="F8" i="11"/>
  <c r="D8" i="11"/>
  <c r="S7" i="11"/>
  <c r="Q7" i="11"/>
  <c r="P7" i="11"/>
  <c r="O7" i="11"/>
  <c r="M7" i="11"/>
  <c r="G7" i="11"/>
  <c r="F7" i="11"/>
  <c r="D7" i="11"/>
  <c r="S6" i="11"/>
  <c r="Q6" i="11"/>
  <c r="P6" i="11"/>
  <c r="O6" i="11"/>
  <c r="M6" i="11"/>
  <c r="G6" i="11"/>
  <c r="F6" i="11"/>
  <c r="D6" i="11"/>
  <c r="S5" i="11"/>
  <c r="Q5" i="11"/>
  <c r="P5" i="11"/>
  <c r="O5" i="11"/>
  <c r="M5" i="11"/>
  <c r="G5" i="11"/>
  <c r="F5" i="11"/>
  <c r="D5" i="11"/>
  <c r="S4" i="11"/>
  <c r="Q4" i="11"/>
  <c r="P4" i="11"/>
  <c r="O4" i="11"/>
  <c r="M4" i="11"/>
  <c r="G4" i="11"/>
  <c r="F4" i="11"/>
  <c r="D4" i="11"/>
  <c r="S3" i="11"/>
  <c r="Q3" i="11"/>
  <c r="P3" i="11"/>
  <c r="O3" i="11"/>
  <c r="M3" i="11"/>
  <c r="G3" i="11"/>
  <c r="F3" i="11"/>
  <c r="D3" i="11"/>
  <c r="S2" i="11"/>
  <c r="Q2" i="11"/>
  <c r="P2" i="11"/>
  <c r="O2" i="11"/>
  <c r="M2" i="11"/>
  <c r="G2" i="11"/>
  <c r="F2" i="11"/>
  <c r="D2" i="11"/>
  <c r="U16" i="11"/>
  <c r="N16" i="11"/>
  <c r="L16" i="11"/>
  <c r="K16" i="11"/>
  <c r="J16" i="11"/>
  <c r="I16" i="11"/>
  <c r="H16" i="11"/>
  <c r="E16" i="11"/>
  <c r="C16" i="11"/>
  <c r="B16" i="11"/>
  <c r="U15" i="11"/>
  <c r="N15" i="11"/>
  <c r="L15" i="11"/>
  <c r="K15" i="11"/>
  <c r="J15" i="11"/>
  <c r="I15" i="11"/>
  <c r="H15" i="11"/>
  <c r="E15" i="11"/>
  <c r="C15" i="11"/>
  <c r="B15" i="11"/>
  <c r="U14" i="11"/>
  <c r="N14" i="11"/>
  <c r="L14" i="11"/>
  <c r="K14" i="11"/>
  <c r="J14" i="11"/>
  <c r="I14" i="11"/>
  <c r="H14" i="11"/>
  <c r="E14" i="11"/>
  <c r="C14" i="11"/>
  <c r="B14" i="11"/>
  <c r="U13" i="11"/>
  <c r="N13" i="11"/>
  <c r="L13" i="11"/>
  <c r="K13" i="11"/>
  <c r="J13" i="11"/>
  <c r="I13" i="11"/>
  <c r="H13" i="11"/>
  <c r="E13" i="11"/>
  <c r="C13" i="11"/>
  <c r="B13" i="11"/>
  <c r="U12" i="11"/>
  <c r="N12" i="11"/>
  <c r="L12" i="11"/>
  <c r="K12" i="11"/>
  <c r="J12" i="11"/>
  <c r="I12" i="11"/>
  <c r="H12" i="11"/>
  <c r="E12" i="11"/>
  <c r="C12" i="11"/>
  <c r="B12" i="11"/>
  <c r="U11" i="11"/>
  <c r="N11" i="11"/>
  <c r="L11" i="11"/>
  <c r="K11" i="11"/>
  <c r="J11" i="11"/>
  <c r="I11" i="11"/>
  <c r="H11" i="11"/>
  <c r="E11" i="11"/>
  <c r="C11" i="11"/>
  <c r="B11" i="11"/>
  <c r="U10" i="11"/>
  <c r="N10" i="11"/>
  <c r="L10" i="11"/>
  <c r="K10" i="11"/>
  <c r="J10" i="11"/>
  <c r="I10" i="11"/>
  <c r="H10" i="11"/>
  <c r="E10" i="11"/>
  <c r="C10" i="11"/>
  <c r="B10" i="11"/>
  <c r="U9" i="11"/>
  <c r="N9" i="11"/>
  <c r="L9" i="11"/>
  <c r="K9" i="11"/>
  <c r="J9" i="11"/>
  <c r="I9" i="11"/>
  <c r="H9" i="11"/>
  <c r="E9" i="11"/>
  <c r="C9" i="11"/>
  <c r="B9" i="11"/>
  <c r="U8" i="11"/>
  <c r="N8" i="11"/>
  <c r="L8" i="11"/>
  <c r="K8" i="11"/>
  <c r="J8" i="11"/>
  <c r="I8" i="11"/>
  <c r="H8" i="11"/>
  <c r="E8" i="11"/>
  <c r="C8" i="11"/>
  <c r="B8" i="11"/>
  <c r="U7" i="11"/>
  <c r="N7" i="11"/>
  <c r="L7" i="11"/>
  <c r="K7" i="11"/>
  <c r="J7" i="11"/>
  <c r="I7" i="11"/>
  <c r="H7" i="11"/>
  <c r="E7" i="11"/>
  <c r="C7" i="11"/>
  <c r="B7" i="11"/>
  <c r="U6" i="11"/>
  <c r="N6" i="11"/>
  <c r="L6" i="11"/>
  <c r="K6" i="11"/>
  <c r="J6" i="11"/>
  <c r="I6" i="11"/>
  <c r="H6" i="11"/>
  <c r="E6" i="11"/>
  <c r="C6" i="11"/>
  <c r="B6" i="11"/>
  <c r="U5" i="11"/>
  <c r="N5" i="11"/>
  <c r="L5" i="11"/>
  <c r="K5" i="11"/>
  <c r="J5" i="11"/>
  <c r="I5" i="11"/>
  <c r="H5" i="11"/>
  <c r="E5" i="11"/>
  <c r="C5" i="11"/>
  <c r="B5" i="11"/>
  <c r="U4" i="11"/>
  <c r="N4" i="11"/>
  <c r="L4" i="11"/>
  <c r="K4" i="11"/>
  <c r="J4" i="11"/>
  <c r="I4" i="11"/>
  <c r="H4" i="11"/>
  <c r="E4" i="11"/>
  <c r="C4" i="11"/>
  <c r="B4" i="11"/>
  <c r="U3" i="11"/>
  <c r="N3" i="11"/>
  <c r="L3" i="11"/>
  <c r="K3" i="11"/>
  <c r="J3" i="11"/>
  <c r="I3" i="11"/>
  <c r="H3" i="11"/>
  <c r="E3" i="11"/>
  <c r="C3" i="11"/>
  <c r="B3" i="11"/>
  <c r="U2" i="11"/>
  <c r="N2" i="11"/>
  <c r="L2" i="11"/>
  <c r="K2" i="11"/>
  <c r="J2" i="11"/>
  <c r="I2" i="11"/>
  <c r="H2" i="11"/>
  <c r="E2" i="11"/>
  <c r="C2" i="11"/>
  <c r="B2" i="11"/>
  <c r="U3" i="9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2" i="9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2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2" i="9"/>
  <c r="B40" i="11" l="1" a="1"/>
  <c r="B40" i="11" s="1"/>
  <c r="A2" i="15" a="1"/>
  <c r="A2" i="15" s="1"/>
  <c r="B2" i="15"/>
  <c r="C2" i="15"/>
  <c r="J2" i="15"/>
  <c r="H2" i="15"/>
  <c r="I2" i="15"/>
  <c r="E2" i="15"/>
  <c r="N2" i="15"/>
  <c r="D2" i="15"/>
  <c r="R2" i="15"/>
  <c r="F2" i="15"/>
  <c r="P2" i="15"/>
  <c r="T2" i="15"/>
  <c r="K2" i="15"/>
  <c r="O2" i="15"/>
  <c r="S2" i="15"/>
  <c r="L2" i="15"/>
  <c r="G2" i="15"/>
  <c r="Q2" i="15"/>
  <c r="M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tc={40C47BB1-2062-4F8B-8418-C056AEE06DDA}</author>
  </authors>
  <commentList>
    <comment ref="A1" authorId="0" shapeId="0" xr:uid="{40C47BB1-2062-4F8B-8418-C056AEE06DDA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 sum of outflows of P0 - stock_change of all stocks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tc={CE49BA1E-A8EE-4780-950D-83A16BC167A1}</author>
  </authors>
  <commentList>
    <comment ref="A1" authorId="0" shapeId="0" xr:uid="{CE49BA1E-A8EE-4780-950D-83A16BC167A1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 sum of outflows of P0 - stock_change of all stocks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tc={46FD179E-ADD9-41E5-8305-2CF50D3DEBCD}</author>
  </authors>
  <commentList>
    <comment ref="A1" authorId="0" shapeId="0" xr:uid="{46FD179E-ADD9-41E5-8305-2CF50D3DEBCD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 sum of outflows of P0 - stock_change of all stocks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tc={1FB6DC09-1F32-4530-8E03-82F52957AECC}</author>
  </authors>
  <commentList>
    <comment ref="A1" authorId="0" shapeId="0" xr:uid="{1FB6DC09-1F32-4530-8E03-82F52957AECC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 sum of outflows of P0 - stock_change of all stocks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<sst xmlns="http://schemas.openxmlformats.org/spreadsheetml/2006/main" count="296" uniqueCount="68">
  <si>
    <t>F_13_20</t>
  </si>
  <si>
    <t>F_20_15</t>
  </si>
  <si>
    <t>F_20_01</t>
  </si>
  <si>
    <t>F_20_16</t>
  </si>
  <si>
    <t>F_04_01</t>
  </si>
  <si>
    <t>F_01_05</t>
  </si>
  <si>
    <t>F_01_02</t>
  </si>
  <si>
    <t>F_02_03</t>
  </si>
  <si>
    <t>F_03_07</t>
  </si>
  <si>
    <t>F_02_06</t>
  </si>
  <si>
    <t>F_11_02</t>
  </si>
  <si>
    <t>F_08_02</t>
  </si>
  <si>
    <t>F_02_14</t>
  </si>
  <si>
    <t>F_02_12</t>
  </si>
  <si>
    <t>F_07_09</t>
  </si>
  <si>
    <t>F_07_10</t>
  </si>
  <si>
    <t>F_09_17</t>
  </si>
  <si>
    <t>F_10_18</t>
  </si>
  <si>
    <t>F_10_19</t>
  </si>
  <si>
    <t>F_00_13</t>
  </si>
  <si>
    <t>F_00_04</t>
  </si>
  <si>
    <t>F_00_11</t>
  </si>
  <si>
    <t>F_00_08</t>
  </si>
  <si>
    <t>F_09_19</t>
  </si>
  <si>
    <t>Years</t>
  </si>
  <si>
    <t>dS_3</t>
  </si>
  <si>
    <t>S_3</t>
  </si>
  <si>
    <t>dS_5</t>
  </si>
  <si>
    <t>S_5</t>
  </si>
  <si>
    <t>dS_6</t>
  </si>
  <si>
    <t>S_6</t>
  </si>
  <si>
    <t>dS_12</t>
  </si>
  <si>
    <t>S_12</t>
  </si>
  <si>
    <t>dS_14</t>
  </si>
  <si>
    <t>S_14</t>
  </si>
  <si>
    <t>dS_15</t>
  </si>
  <si>
    <t>S_15</t>
  </si>
  <si>
    <t>dS_16</t>
  </si>
  <si>
    <t>S_16</t>
  </si>
  <si>
    <t>dS_17</t>
  </si>
  <si>
    <t>S_17</t>
  </si>
  <si>
    <t>dS_18</t>
  </si>
  <si>
    <t>S_18</t>
  </si>
  <si>
    <t>dS_19</t>
  </si>
  <si>
    <t>S_19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</si>
  <si>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</si>
  <si>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</si>
  <si>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</si>
  <si>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</si>
  <si>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</si>
  <si>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</si>
  <si>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</si>
  <si>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</si>
  <si>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</si>
  <si>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</si>
  <si>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</si>
  <si>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</si>
  <si>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</si>
  <si>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</si>
  <si>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</si>
  <si>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</si>
  <si>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</si>
  <si>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</si>
  <si>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</si>
  <si>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</si>
  <si>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P0</t>
  </si>
  <si>
    <t>F_17_19</t>
  </si>
  <si>
    <t>Sum outflows of 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</si>
</sst>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0"/>
    <numFmt numFmtId="165" formatCode="0.0000000"/>
    <numFmt numFmtId="166" formatCode="0.00000000000000"/>
    <numFmt numFmtId="167" formatCode="0.00000"/>
    <numFmt numFmtId="168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U-Pseudonym 9055540188463204" id="{1C222DEA-4611-44B3-AEED-EBB58CC7C604}" userId="S::9055540188463204@msopseudo.tu-berlin.de::f91bf609-7611-46e6-9fb8-36b89ba70c44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3-05T12:09:09.79" personId="{1C222DEA-4611-44B3-AEED-EBB58CC7C604}" id="{40C47BB1-2062-4F8B-8418-C056AEE06DDA}">
    <text>Calculate sum of outflows of P0 - stock_change of all stocks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5-03-05T12:09:27.37" personId="{1C222DEA-4611-44B3-AEED-EBB58CC7C604}" id="{CE49BA1E-A8EE-4780-950D-83A16BC167A1}">
    <text>Calculate sum of outflows of P0 - stock_change of all stocks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5-03-05T12:09:37.07" personId="{1C222DEA-4611-44B3-AEED-EBB58CC7C604}" id="{46FD179E-ADD9-41E5-8305-2CF50D3DEBCD}">
    <text>Calculate sum of outflows of P0 - stock_change of all stocks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5-03-05T12:10:08.20" personId="{1C222DEA-4611-44B3-AEED-EBB58CC7C604}" id="{1FB6DC09-1F32-4530-8E03-82F52957AECC}">
    <text>Calculate sum of outflows of P0 - stock_change of all stocks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931C0-D1F7-48AA-ABD7-123993D861DF}">
  <dimension ref="A1:U36"/>
  <sheetViews>
    <sheetView workbookViewId="0">
      <selection activeCell="E20" sqref="E20"/>
    </sheetView>
  </sheetViews>
  <sheetFormatPr defaultRowHeight="14.5" x14ac:dyDescent="0.35"/>
  <cols>
    <col min="5" max="5" width="11.81640625" bestFit="1" customWidth="1"/>
    <col min="10" max="10" width="12.453125" bestFit="1" customWidth="1"/>
  </cols>
  <sheetData>
    <row r="1" spans="1:21" x14ac:dyDescent="0.35">
      <c r="A1" t="s">
        <v>65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</row>
    <row r="2" spans="1:21" x14ac:dyDescent="0.35">
      <c r="A2">
        <f>A22-StockDict_material!B2-StockDict_material!D2-StockDict_material!F2-StockDict_material!H2-StockDict_material!J2-StockDict_material!L2-StockDict_material!N2-StockDict_material!P2-StockDict_material!R2-StockDict_material!T2</f>
        <v>2.8421712818535796E-14</v>
      </c>
      <c r="B2">
        <f>FlowDict_material!D2+FlowDict_material!F2-FlowDict_material!H2-FlowDict_material!G2</f>
        <v>0</v>
      </c>
      <c r="C2">
        <f>FlowDict_material!H2+FlowDict_material!M2+FlowDict_material!L2-FlowDict_material!N2-FlowDict_material!I2-FlowDict_material!O2-FlowDict_material!K2</f>
        <v>0</v>
      </c>
      <c r="D2">
        <f>FlowDict_material!I2-FlowDict_material!J2-StockDict_material!B2</f>
        <v>0</v>
      </c>
      <c r="E2">
        <f>FlowDict_material!V2-FlowDict_material!F2</f>
        <v>0</v>
      </c>
      <c r="F2">
        <f>FlowDict_material!G2-StockDict_material!D2</f>
        <v>0</v>
      </c>
      <c r="G2">
        <f>FlowDict_material!K2-StockDict_material!F2</f>
        <v>0</v>
      </c>
      <c r="H2">
        <f>FlowDict_material!J2-FlowDict_material!P2-FlowDict_material!Q2</f>
        <v>0</v>
      </c>
      <c r="I2">
        <f>FlowDict_material!X2-FlowDict_material!M2</f>
        <v>0</v>
      </c>
      <c r="J2">
        <f>FlowDict_material!P2-FlowDict_material!R2-FlowDict_material!Y2</f>
        <v>0</v>
      </c>
      <c r="K2">
        <f>FlowDict_material!Q2-FlowDict_material!T2-FlowDict_material!S2</f>
        <v>5.2939559203393771E-21</v>
      </c>
      <c r="L2">
        <f>FlowDict_material!W2-FlowDict_material!L2</f>
        <v>0</v>
      </c>
      <c r="M2">
        <f>FlowDict_material!O2-StockDict_material!H2</f>
        <v>0</v>
      </c>
      <c r="N2">
        <f>FlowDict_material!U2-FlowDict_material!B2</f>
        <v>0</v>
      </c>
      <c r="O2">
        <f>FlowDict_material!N2-StockDict_material!J2</f>
        <v>0</v>
      </c>
      <c r="P2">
        <f>FlowDict_material!C2-StockDict_material!L2</f>
        <v>0</v>
      </c>
      <c r="Q2">
        <f>FlowDict_material!E2-StockDict_material!N2</f>
        <v>0</v>
      </c>
      <c r="R2">
        <f>FlowDict_material!R2-StockDict_material!P2-FlowDict_material!Z2</f>
        <v>0</v>
      </c>
      <c r="S2">
        <f>FlowDict_material!S2-StockDict_material!R2</f>
        <v>0</v>
      </c>
      <c r="T2">
        <f>FlowDict_material!Y2+FlowDict_material!Z2+FlowDict_material!T2-StockDict_material!T2</f>
        <v>0</v>
      </c>
      <c r="U2">
        <f>FlowDict_material!B2-FlowDict_material!D2-FlowDict_material!C2-FlowDict_material!E2</f>
        <v>0</v>
      </c>
    </row>
    <row r="3" spans="1:21" x14ac:dyDescent="0.35">
      <c r="A3">
        <f>A23-StockDict_material!B3-StockDict_material!D3-StockDict_material!F3-StockDict_material!H3-StockDict_material!J3-StockDict_material!L3-StockDict_material!N3-StockDict_material!P3-StockDict_material!R3-StockDict_material!T3</f>
        <v>-4.6185277824406512E-14</v>
      </c>
      <c r="B3">
        <f>FlowDict_material!D3+FlowDict_material!F3-FlowDict_material!H3-FlowDict_material!G3</f>
        <v>0</v>
      </c>
      <c r="C3">
        <f>FlowDict_material!H3+FlowDict_material!M3+FlowDict_material!L3-FlowDict_material!N3-FlowDict_material!I3-FlowDict_material!O3-FlowDict_material!K3</f>
        <v>0</v>
      </c>
      <c r="D3">
        <f>FlowDict_material!I3-FlowDict_material!J3-StockDict_material!B3</f>
        <v>0</v>
      </c>
      <c r="E3">
        <f>FlowDict_material!V3-FlowDict_material!F3</f>
        <v>0</v>
      </c>
      <c r="F3">
        <f>FlowDict_material!G3-StockDict_material!D3</f>
        <v>0</v>
      </c>
      <c r="G3">
        <f>FlowDict_material!K3-StockDict_material!F3</f>
        <v>0</v>
      </c>
      <c r="H3">
        <f>FlowDict_material!J3-FlowDict_material!P3-FlowDict_material!Q3</f>
        <v>0</v>
      </c>
      <c r="I3">
        <f>FlowDict_material!X3-FlowDict_material!M3</f>
        <v>0</v>
      </c>
      <c r="J3">
        <f>FlowDict_material!P3-FlowDict_material!R3-FlowDict_material!Y3</f>
        <v>0</v>
      </c>
      <c r="K3">
        <f>FlowDict_material!Q3-FlowDict_material!T3-FlowDict_material!S3</f>
        <v>-4.4408920985006262E-15</v>
      </c>
      <c r="L3">
        <f>FlowDict_material!W3-FlowDict_material!L3</f>
        <v>0</v>
      </c>
      <c r="M3">
        <f>FlowDict_material!O3-StockDict_material!H3</f>
        <v>0</v>
      </c>
      <c r="N3">
        <f>FlowDict_material!U3-FlowDict_material!B3</f>
        <v>0</v>
      </c>
      <c r="O3">
        <f>FlowDict_material!N3-StockDict_material!J3</f>
        <v>0</v>
      </c>
      <c r="P3">
        <f>FlowDict_material!C3-StockDict_material!L3</f>
        <v>0</v>
      </c>
      <c r="Q3">
        <f>FlowDict_material!E3-StockDict_material!N3</f>
        <v>0</v>
      </c>
      <c r="R3">
        <f>FlowDict_material!R3-StockDict_material!P3-FlowDict_material!Z3</f>
        <v>0</v>
      </c>
      <c r="S3">
        <f>FlowDict_material!S3-StockDict_material!R3</f>
        <v>0</v>
      </c>
      <c r="T3">
        <f>FlowDict_material!Y3+FlowDict_material!Z3+FlowDict_material!T3-StockDict_material!T3</f>
        <v>0</v>
      </c>
      <c r="U3">
        <f>FlowDict_material!B3-FlowDict_material!D3-FlowDict_material!C3-FlowDict_material!E3</f>
        <v>0</v>
      </c>
    </row>
    <row r="4" spans="1:21" x14ac:dyDescent="0.35">
      <c r="A4">
        <f>A24-StockDict_material!B4-StockDict_material!D4-StockDict_material!F4-StockDict_material!H4-StockDict_material!J4-StockDict_material!L4-StockDict_material!N4-StockDict_material!P4-StockDict_material!R4-StockDict_material!T4</f>
        <v>0</v>
      </c>
      <c r="B4">
        <f>FlowDict_material!D4+FlowDict_material!F4-FlowDict_material!H4-FlowDict_material!G4</f>
        <v>0</v>
      </c>
      <c r="C4">
        <f>FlowDict_material!H4+FlowDict_material!M4+FlowDict_material!L4-FlowDict_material!N4-FlowDict_material!I4-FlowDict_material!O4-FlowDict_material!K4</f>
        <v>0</v>
      </c>
      <c r="D4">
        <f>FlowDict_material!I4-FlowDict_material!J4-StockDict_material!B4</f>
        <v>0</v>
      </c>
      <c r="E4">
        <f>FlowDict_material!V4-FlowDict_material!F4</f>
        <v>0</v>
      </c>
      <c r="F4">
        <f>FlowDict_material!G4-StockDict_material!D4</f>
        <v>0</v>
      </c>
      <c r="G4">
        <f>FlowDict_material!K4-StockDict_material!F4</f>
        <v>0</v>
      </c>
      <c r="H4">
        <f>FlowDict_material!J4-FlowDict_material!P4-FlowDict_material!Q4</f>
        <v>0</v>
      </c>
      <c r="I4">
        <f>FlowDict_material!X4-FlowDict_material!M4</f>
        <v>0</v>
      </c>
      <c r="J4">
        <f>FlowDict_material!P4-FlowDict_material!R4-FlowDict_material!Y4</f>
        <v>0</v>
      </c>
      <c r="K4">
        <f>FlowDict_material!Q4-FlowDict_material!T4-FlowDict_material!S4</f>
        <v>-3.5527136788005009E-15</v>
      </c>
      <c r="L4">
        <f>FlowDict_material!W4-FlowDict_material!L4</f>
        <v>0</v>
      </c>
      <c r="M4">
        <f>FlowDict_material!O4-StockDict_material!H4</f>
        <v>0</v>
      </c>
      <c r="N4">
        <f>FlowDict_material!U4-FlowDict_material!B4</f>
        <v>0</v>
      </c>
      <c r="O4">
        <f>FlowDict_material!N4-StockDict_material!J4</f>
        <v>0</v>
      </c>
      <c r="P4">
        <f>FlowDict_material!C4-StockDict_material!L4</f>
        <v>0</v>
      </c>
      <c r="Q4">
        <f>FlowDict_material!E4-StockDict_material!N4</f>
        <v>0</v>
      </c>
      <c r="R4">
        <f>FlowDict_material!R4-StockDict_material!P4-FlowDict_material!Z4</f>
        <v>0</v>
      </c>
      <c r="S4">
        <f>FlowDict_material!S4-StockDict_material!R4</f>
        <v>0</v>
      </c>
      <c r="T4">
        <f>FlowDict_material!Y4+FlowDict_material!Z4+FlowDict_material!T4-StockDict_material!T4</f>
        <v>0</v>
      </c>
      <c r="U4">
        <f>FlowDict_material!B4-FlowDict_material!D4-FlowDict_material!C4-FlowDict_material!E4</f>
        <v>0</v>
      </c>
    </row>
    <row r="5" spans="1:21" x14ac:dyDescent="0.35">
      <c r="A5">
        <f>A25-StockDict_material!B5-StockDict_material!D5-StockDict_material!F5-StockDict_material!H5-StockDict_material!J5-StockDict_material!L5-StockDict_material!N5-StockDict_material!P5-StockDict_material!R5-StockDict_material!T5</f>
        <v>0</v>
      </c>
      <c r="B5">
        <f>FlowDict_material!D5+FlowDict_material!F5-FlowDict_material!H5-FlowDict_material!G5</f>
        <v>0</v>
      </c>
      <c r="C5">
        <f>FlowDict_material!H5+FlowDict_material!M5+FlowDict_material!L5-FlowDict_material!N5-FlowDict_material!I5-FlowDict_material!O5-FlowDict_material!K5</f>
        <v>0</v>
      </c>
      <c r="D5">
        <f>FlowDict_material!I5-FlowDict_material!J5-StockDict_material!B5</f>
        <v>0</v>
      </c>
      <c r="E5">
        <f>FlowDict_material!V5-FlowDict_material!F5</f>
        <v>0</v>
      </c>
      <c r="F5">
        <f>FlowDict_material!G5-StockDict_material!D5</f>
        <v>0</v>
      </c>
      <c r="G5">
        <f>FlowDict_material!K5-StockDict_material!F5</f>
        <v>0</v>
      </c>
      <c r="H5">
        <f>FlowDict_material!J5-FlowDict_material!P5-FlowDict_material!Q5</f>
        <v>0</v>
      </c>
      <c r="I5">
        <f>FlowDict_material!X5-FlowDict_material!M5</f>
        <v>0</v>
      </c>
      <c r="J5">
        <f>FlowDict_material!P5-FlowDict_material!R5-FlowDict_material!Y5</f>
        <v>0</v>
      </c>
      <c r="K5">
        <f>FlowDict_material!Q5-FlowDict_material!T5-FlowDict_material!S5</f>
        <v>-4.4408920985006262E-15</v>
      </c>
      <c r="L5">
        <f>FlowDict_material!W5-FlowDict_material!L5</f>
        <v>0</v>
      </c>
      <c r="M5">
        <f>FlowDict_material!O5-StockDict_material!H5</f>
        <v>0</v>
      </c>
      <c r="N5">
        <f>FlowDict_material!U5-FlowDict_material!B5</f>
        <v>0</v>
      </c>
      <c r="O5">
        <f>FlowDict_material!N5-StockDict_material!J5</f>
        <v>0</v>
      </c>
      <c r="P5">
        <f>FlowDict_material!C5-StockDict_material!L5</f>
        <v>0</v>
      </c>
      <c r="Q5">
        <f>FlowDict_material!E5-StockDict_material!N5</f>
        <v>0</v>
      </c>
      <c r="R5">
        <f>FlowDict_material!R5-StockDict_material!P5-FlowDict_material!Z5</f>
        <v>8.8817841970012523E-16</v>
      </c>
      <c r="S5">
        <f>FlowDict_material!S5-StockDict_material!R5</f>
        <v>0</v>
      </c>
      <c r="T5">
        <f>FlowDict_material!Y5+FlowDict_material!Z5+FlowDict_material!T5-StockDict_material!T5</f>
        <v>0</v>
      </c>
      <c r="U5">
        <f>FlowDict_material!B5-FlowDict_material!D5-FlowDict_material!C5-FlowDict_material!E5</f>
        <v>0</v>
      </c>
    </row>
    <row r="6" spans="1:21" x14ac:dyDescent="0.35">
      <c r="A6">
        <f>A26-StockDict_material!B6-StockDict_material!D6-StockDict_material!F6-StockDict_material!H6-StockDict_material!J6-StockDict_material!L6-StockDict_material!N6-StockDict_material!P6-StockDict_material!R6-StockDict_material!T6</f>
        <v>0</v>
      </c>
      <c r="B6">
        <f>FlowDict_material!D6+FlowDict_material!F6-FlowDict_material!H6-FlowDict_material!G6</f>
        <v>0</v>
      </c>
      <c r="C6">
        <f>FlowDict_material!H6+FlowDict_material!M6+FlowDict_material!L6-FlowDict_material!N6-FlowDict_material!I6-FlowDict_material!O6-FlowDict_material!K6</f>
        <v>1.7763568394002505E-14</v>
      </c>
      <c r="D6">
        <f>FlowDict_material!I6-FlowDict_material!J6-StockDict_material!B6</f>
        <v>0</v>
      </c>
      <c r="E6">
        <f>FlowDict_material!V6-FlowDict_material!F6</f>
        <v>0</v>
      </c>
      <c r="F6">
        <f>FlowDict_material!G6-StockDict_material!D6</f>
        <v>0</v>
      </c>
      <c r="G6">
        <f>FlowDict_material!K6-StockDict_material!F6</f>
        <v>0</v>
      </c>
      <c r="H6">
        <f>FlowDict_material!J6-FlowDict_material!P6-FlowDict_material!Q6</f>
        <v>0</v>
      </c>
      <c r="I6">
        <f>FlowDict_material!X6-FlowDict_material!M6</f>
        <v>0</v>
      </c>
      <c r="J6">
        <f>FlowDict_material!P6-FlowDict_material!R6-FlowDict_material!Y6</f>
        <v>0</v>
      </c>
      <c r="K6">
        <f>FlowDict_material!Q6-FlowDict_material!T6-FlowDict_material!S6</f>
        <v>0</v>
      </c>
      <c r="L6">
        <f>FlowDict_material!W6-FlowDict_material!L6</f>
        <v>0</v>
      </c>
      <c r="M6">
        <f>FlowDict_material!O6-StockDict_material!H6</f>
        <v>0</v>
      </c>
      <c r="N6">
        <f>FlowDict_material!U6-FlowDict_material!B6</f>
        <v>0</v>
      </c>
      <c r="O6">
        <f>FlowDict_material!N6-StockDict_material!J6</f>
        <v>0</v>
      </c>
      <c r="P6">
        <f>FlowDict_material!C6-StockDict_material!L6</f>
        <v>0</v>
      </c>
      <c r="Q6">
        <f>FlowDict_material!E6-StockDict_material!N6</f>
        <v>0</v>
      </c>
      <c r="R6">
        <f>FlowDict_material!R6-StockDict_material!P6-FlowDict_material!Z6</f>
        <v>0</v>
      </c>
      <c r="S6">
        <f>FlowDict_material!S6-StockDict_material!R6</f>
        <v>0</v>
      </c>
      <c r="T6">
        <f>FlowDict_material!Y6+FlowDict_material!Z6+FlowDict_material!T6-StockDict_material!T6</f>
        <v>0</v>
      </c>
      <c r="U6">
        <f>FlowDict_material!B6-FlowDict_material!D6-FlowDict_material!C6-FlowDict_material!E6</f>
        <v>0</v>
      </c>
    </row>
    <row r="7" spans="1:21" x14ac:dyDescent="0.35">
      <c r="A7">
        <f>A27-StockDict_material!B7-StockDict_material!D7-StockDict_material!F7-StockDict_material!H7-StockDict_material!J7-StockDict_material!L7-StockDict_material!N7-StockDict_material!P7-StockDict_material!R7-StockDict_material!T7</f>
        <v>0</v>
      </c>
      <c r="B7">
        <f>FlowDict_material!D7+FlowDict_material!F7-FlowDict_material!H7-FlowDict_material!G7</f>
        <v>0</v>
      </c>
      <c r="C7">
        <f>FlowDict_material!H7+FlowDict_material!M7+FlowDict_material!L7-FlowDict_material!N7-FlowDict_material!I7-FlowDict_material!O7-FlowDict_material!K7</f>
        <v>1.4210854715202004E-14</v>
      </c>
      <c r="D7">
        <f>FlowDict_material!I7-FlowDict_material!J7-StockDict_material!B7</f>
        <v>0</v>
      </c>
      <c r="E7">
        <f>FlowDict_material!V7-FlowDict_material!F7</f>
        <v>0</v>
      </c>
      <c r="F7">
        <f>FlowDict_material!G7-StockDict_material!D7</f>
        <v>0</v>
      </c>
      <c r="G7">
        <f>FlowDict_material!K7-StockDict_material!F7</f>
        <v>0</v>
      </c>
      <c r="H7">
        <f>FlowDict_material!J7-FlowDict_material!P7-FlowDict_material!Q7</f>
        <v>0</v>
      </c>
      <c r="I7">
        <f>FlowDict_material!X7-FlowDict_material!M7</f>
        <v>0</v>
      </c>
      <c r="J7">
        <f>FlowDict_material!P7-FlowDict_material!R7-FlowDict_material!Y7</f>
        <v>0</v>
      </c>
      <c r="K7">
        <f>FlowDict_material!Q7-FlowDict_material!T7-FlowDict_material!S7</f>
        <v>0</v>
      </c>
      <c r="L7">
        <f>FlowDict_material!W7-FlowDict_material!L7</f>
        <v>0</v>
      </c>
      <c r="M7">
        <f>FlowDict_material!O7-StockDict_material!H7</f>
        <v>0</v>
      </c>
      <c r="N7">
        <f>FlowDict_material!U7-FlowDict_material!B7</f>
        <v>0</v>
      </c>
      <c r="O7">
        <f>FlowDict_material!N7-StockDict_material!J7</f>
        <v>0</v>
      </c>
      <c r="P7">
        <f>FlowDict_material!C7-StockDict_material!L7</f>
        <v>0</v>
      </c>
      <c r="Q7">
        <f>FlowDict_material!E7-StockDict_material!N7</f>
        <v>0</v>
      </c>
      <c r="R7">
        <f>FlowDict_material!R7-StockDict_material!P7-FlowDict_material!Z7</f>
        <v>4.163336342344337E-16</v>
      </c>
      <c r="S7">
        <f>FlowDict_material!S7-StockDict_material!R7</f>
        <v>0</v>
      </c>
      <c r="T7">
        <f>FlowDict_material!Y7+FlowDict_material!Z7+FlowDict_material!T7-StockDict_material!T7</f>
        <v>0</v>
      </c>
      <c r="U7">
        <f>FlowDict_material!B7-FlowDict_material!D7-FlowDict_material!C7-FlowDict_material!E7</f>
        <v>-4.9737991503207013E-14</v>
      </c>
    </row>
    <row r="8" spans="1:21" x14ac:dyDescent="0.35">
      <c r="A8">
        <f>A28-StockDict_material!B8-StockDict_material!D8-StockDict_material!F8-StockDict_material!H8-StockDict_material!J8-StockDict_material!L8-StockDict_material!N8-StockDict_material!P8-StockDict_material!R8-StockDict_material!T8</f>
        <v>-6.3948846218409017E-14</v>
      </c>
      <c r="B8">
        <f>FlowDict_material!D8+FlowDict_material!F8-FlowDict_material!H8-FlowDict_material!G8</f>
        <v>0</v>
      </c>
      <c r="C8">
        <f>FlowDict_material!H8+FlowDict_material!M8+FlowDict_material!L8-FlowDict_material!N8-FlowDict_material!I8-FlowDict_material!O8-FlowDict_material!K8</f>
        <v>0</v>
      </c>
      <c r="D8">
        <f>FlowDict_material!I8-FlowDict_material!J8-StockDict_material!B8</f>
        <v>0</v>
      </c>
      <c r="E8">
        <f>FlowDict_material!V8-FlowDict_material!F8</f>
        <v>0</v>
      </c>
      <c r="F8">
        <f>FlowDict_material!G8-StockDict_material!D8</f>
        <v>0</v>
      </c>
      <c r="G8">
        <f>FlowDict_material!K8-StockDict_material!F8</f>
        <v>0</v>
      </c>
      <c r="H8">
        <f>FlowDict_material!J8-FlowDict_material!P8-FlowDict_material!Q8</f>
        <v>0</v>
      </c>
      <c r="I8">
        <f>FlowDict_material!X8-FlowDict_material!M8</f>
        <v>0</v>
      </c>
      <c r="J8">
        <f>FlowDict_material!P8-FlowDict_material!R8-FlowDict_material!Y8</f>
        <v>0</v>
      </c>
      <c r="K8">
        <f>FlowDict_material!Q8-FlowDict_material!T8-FlowDict_material!S8</f>
        <v>-9.3258734068513149E-15</v>
      </c>
      <c r="L8">
        <f>FlowDict_material!W8-FlowDict_material!L8</f>
        <v>0</v>
      </c>
      <c r="M8">
        <f>FlowDict_material!O8-StockDict_material!H8</f>
        <v>0</v>
      </c>
      <c r="N8">
        <f>FlowDict_material!U8-FlowDict_material!B8</f>
        <v>0</v>
      </c>
      <c r="O8">
        <f>FlowDict_material!N8-StockDict_material!J8</f>
        <v>0</v>
      </c>
      <c r="P8">
        <f>FlowDict_material!C8-StockDict_material!L8</f>
        <v>0</v>
      </c>
      <c r="Q8">
        <f>FlowDict_material!E8-StockDict_material!N8</f>
        <v>0</v>
      </c>
      <c r="R8">
        <f>FlowDict_material!R8-StockDict_material!P8-FlowDict_material!Z8</f>
        <v>0</v>
      </c>
      <c r="S8">
        <f>FlowDict_material!S8-StockDict_material!R8</f>
        <v>0</v>
      </c>
      <c r="T8">
        <f>FlowDict_material!Y8+FlowDict_material!Z8+FlowDict_material!T8-StockDict_material!T8</f>
        <v>0</v>
      </c>
      <c r="U8">
        <f>FlowDict_material!B8-FlowDict_material!D8-FlowDict_material!C8-FlowDict_material!E8</f>
        <v>-3.1974423109204508E-14</v>
      </c>
    </row>
    <row r="9" spans="1:21" x14ac:dyDescent="0.35">
      <c r="A9">
        <f>A29-StockDict_material!B9-StockDict_material!D9-StockDict_material!F9-StockDict_material!H9-StockDict_material!J9-StockDict_material!L9-StockDict_material!N9-StockDict_material!P9-StockDict_material!R9-StockDict_material!T9</f>
        <v>-5.6843418860808015E-14</v>
      </c>
      <c r="B9">
        <f>FlowDict_material!D9+FlowDict_material!F9-FlowDict_material!H9-FlowDict_material!G9</f>
        <v>0</v>
      </c>
      <c r="C9">
        <f>FlowDict_material!H9+FlowDict_material!M9+FlowDict_material!L9-FlowDict_material!N9-FlowDict_material!I9-FlowDict_material!O9-FlowDict_material!K9</f>
        <v>0</v>
      </c>
      <c r="D9">
        <f>FlowDict_material!I9-FlowDict_material!J9-StockDict_material!B9</f>
        <v>0</v>
      </c>
      <c r="E9">
        <f>FlowDict_material!V9-FlowDict_material!F9</f>
        <v>0</v>
      </c>
      <c r="F9">
        <f>FlowDict_material!G9-StockDict_material!D9</f>
        <v>0</v>
      </c>
      <c r="G9">
        <f>FlowDict_material!K9-StockDict_material!F9</f>
        <v>0</v>
      </c>
      <c r="H9">
        <f>FlowDict_material!J9-FlowDict_material!P9-FlowDict_material!Q9</f>
        <v>0</v>
      </c>
      <c r="I9">
        <f>FlowDict_material!X9-FlowDict_material!M9</f>
        <v>0</v>
      </c>
      <c r="J9">
        <f>FlowDict_material!P9-FlowDict_material!R9-FlowDict_material!Y9</f>
        <v>0</v>
      </c>
      <c r="K9">
        <f>FlowDict_material!Q9-FlowDict_material!T9-FlowDict_material!S9</f>
        <v>7.5495165674510645E-15</v>
      </c>
      <c r="L9">
        <f>FlowDict_material!W9-FlowDict_material!L9</f>
        <v>0</v>
      </c>
      <c r="M9">
        <f>FlowDict_material!O9-StockDict_material!H9</f>
        <v>0</v>
      </c>
      <c r="N9">
        <f>FlowDict_material!U9-FlowDict_material!B9</f>
        <v>0</v>
      </c>
      <c r="O9">
        <f>FlowDict_material!N9-StockDict_material!J9</f>
        <v>0</v>
      </c>
      <c r="P9">
        <f>FlowDict_material!C9-StockDict_material!L9</f>
        <v>0</v>
      </c>
      <c r="Q9">
        <f>FlowDict_material!E9-StockDict_material!N9</f>
        <v>0</v>
      </c>
      <c r="R9">
        <f>FlowDict_material!R9-StockDict_material!P9-FlowDict_material!Z9</f>
        <v>0</v>
      </c>
      <c r="S9">
        <f>FlowDict_material!S9-StockDict_material!R9</f>
        <v>0</v>
      </c>
      <c r="T9">
        <f>FlowDict_material!Y9+FlowDict_material!Z9+FlowDict_material!T9-StockDict_material!T9</f>
        <v>0</v>
      </c>
      <c r="U9">
        <f>FlowDict_material!B9-FlowDict_material!D9-FlowDict_material!C9-FlowDict_material!E9</f>
        <v>-4.9737991503207013E-14</v>
      </c>
    </row>
    <row r="10" spans="1:21" x14ac:dyDescent="0.35">
      <c r="A10">
        <f>A30-StockDict_material!B10-StockDict_material!D10-StockDict_material!F10-StockDict_material!H10-StockDict_material!J10-StockDict_material!L10-StockDict_material!N10-StockDict_material!P10-StockDict_material!R10-StockDict_material!T10</f>
        <v>0</v>
      </c>
      <c r="B10">
        <f>FlowDict_material!D10+FlowDict_material!F10-FlowDict_material!H10-FlowDict_material!G10</f>
        <v>0</v>
      </c>
      <c r="C10">
        <f>FlowDict_material!H10+FlowDict_material!M10+FlowDict_material!L10-FlowDict_material!N10-FlowDict_material!I10-FlowDict_material!O10-FlowDict_material!K10</f>
        <v>0</v>
      </c>
      <c r="D10">
        <f>FlowDict_material!I10-FlowDict_material!J10-StockDict_material!B10</f>
        <v>0</v>
      </c>
      <c r="E10">
        <f>FlowDict_material!V10-FlowDict_material!F10</f>
        <v>0</v>
      </c>
      <c r="F10">
        <f>FlowDict_material!G10-StockDict_material!D10</f>
        <v>0</v>
      </c>
      <c r="G10">
        <f>FlowDict_material!K10-StockDict_material!F10</f>
        <v>0</v>
      </c>
      <c r="H10">
        <f>FlowDict_material!J10-FlowDict_material!P10-FlowDict_material!Q10</f>
        <v>0</v>
      </c>
      <c r="I10">
        <f>FlowDict_material!X10-FlowDict_material!M10</f>
        <v>0</v>
      </c>
      <c r="J10">
        <f>FlowDict_material!P10-FlowDict_material!R10-FlowDict_material!Y10</f>
        <v>0</v>
      </c>
      <c r="K10">
        <f>FlowDict_material!Q10-FlowDict_material!T10-FlowDict_material!S10</f>
        <v>0</v>
      </c>
      <c r="L10">
        <f>FlowDict_material!W10-FlowDict_material!L10</f>
        <v>0</v>
      </c>
      <c r="M10">
        <f>FlowDict_material!O10-StockDict_material!H10</f>
        <v>0</v>
      </c>
      <c r="N10">
        <f>FlowDict_material!U10-FlowDict_material!B10</f>
        <v>0</v>
      </c>
      <c r="O10">
        <f>FlowDict_material!N10-StockDict_material!J10</f>
        <v>0</v>
      </c>
      <c r="P10">
        <f>FlowDict_material!C10-StockDict_material!L10</f>
        <v>0</v>
      </c>
      <c r="Q10">
        <f>FlowDict_material!E10-StockDict_material!N10</f>
        <v>0</v>
      </c>
      <c r="R10">
        <f>FlowDict_material!R10-StockDict_material!P10-FlowDict_material!Z10</f>
        <v>0</v>
      </c>
      <c r="S10">
        <f>FlowDict_material!S10-StockDict_material!R10</f>
        <v>0</v>
      </c>
      <c r="T10">
        <f>FlowDict_material!Y10+FlowDict_material!Z10+FlowDict_material!T10-StockDict_material!T10</f>
        <v>0</v>
      </c>
      <c r="U10">
        <f>FlowDict_material!B10-FlowDict_material!D10-FlowDict_material!C10-FlowDict_material!E10</f>
        <v>0</v>
      </c>
    </row>
    <row r="11" spans="1:21" x14ac:dyDescent="0.35">
      <c r="A11">
        <f>A31-StockDict_material!B11-StockDict_material!D11-StockDict_material!F11-StockDict_material!H11-StockDict_material!J11-StockDict_material!L11-StockDict_material!N11-StockDict_material!P11-StockDict_material!R11-StockDict_material!T11</f>
        <v>0</v>
      </c>
      <c r="B11">
        <f>FlowDict_material!D11+FlowDict_material!F11-FlowDict_material!H11-FlowDict_material!G11</f>
        <v>0</v>
      </c>
      <c r="C11">
        <f>FlowDict_material!H11+FlowDict_material!M11+FlowDict_material!L11-FlowDict_material!N11-FlowDict_material!I11-FlowDict_material!O11-FlowDict_material!K11</f>
        <v>0</v>
      </c>
      <c r="D11">
        <f>FlowDict_material!I11-FlowDict_material!J11-StockDict_material!B11</f>
        <v>0</v>
      </c>
      <c r="E11">
        <f>FlowDict_material!V11-FlowDict_material!F11</f>
        <v>0</v>
      </c>
      <c r="F11">
        <f>FlowDict_material!G11-StockDict_material!D11</f>
        <v>0</v>
      </c>
      <c r="G11">
        <f>FlowDict_material!K11-StockDict_material!F11</f>
        <v>0</v>
      </c>
      <c r="H11">
        <f>FlowDict_material!J11-FlowDict_material!P11-FlowDict_material!Q11</f>
        <v>0</v>
      </c>
      <c r="I11">
        <f>FlowDict_material!X11-FlowDict_material!M11</f>
        <v>0</v>
      </c>
      <c r="J11">
        <f>FlowDict_material!P11-FlowDict_material!R11-FlowDict_material!Y11</f>
        <v>0</v>
      </c>
      <c r="K11">
        <f>FlowDict_material!Q11-FlowDict_material!T11-FlowDict_material!S11</f>
        <v>0</v>
      </c>
      <c r="L11">
        <f>FlowDict_material!W11-FlowDict_material!L11</f>
        <v>0</v>
      </c>
      <c r="M11">
        <f>FlowDict_material!O11-StockDict_material!H11</f>
        <v>0</v>
      </c>
      <c r="N11">
        <f>FlowDict_material!U11-FlowDict_material!B11</f>
        <v>0</v>
      </c>
      <c r="O11">
        <f>FlowDict_material!N11-StockDict_material!J11</f>
        <v>0</v>
      </c>
      <c r="P11">
        <f>FlowDict_material!C11-StockDict_material!L11</f>
        <v>0</v>
      </c>
      <c r="Q11">
        <f>FlowDict_material!E11-StockDict_material!N11</f>
        <v>0</v>
      </c>
      <c r="R11">
        <f>FlowDict_material!R11-StockDict_material!P11-FlowDict_material!Z11</f>
        <v>-8.8817841970012523E-16</v>
      </c>
      <c r="S11">
        <f>FlowDict_material!S11-StockDict_material!R11</f>
        <v>0</v>
      </c>
      <c r="T11">
        <f>FlowDict_material!Y11+FlowDict_material!Z11+FlowDict_material!T11-StockDict_material!T11</f>
        <v>0</v>
      </c>
      <c r="U11">
        <f>FlowDict_material!B11-FlowDict_material!D11-FlowDict_material!C11-FlowDict_material!E11</f>
        <v>-4.9737991503207013E-14</v>
      </c>
    </row>
    <row r="12" spans="1:21" x14ac:dyDescent="0.35">
      <c r="A12">
        <f>A32-StockDict_material!B12-StockDict_material!D12-StockDict_material!F12-StockDict_material!H12-StockDict_material!J12-StockDict_material!L12-StockDict_material!N12-StockDict_material!P12-StockDict_material!R12-StockDict_material!T12</f>
        <v>0</v>
      </c>
      <c r="B12">
        <f>FlowDict_material!D12+FlowDict_material!F12-FlowDict_material!H12-FlowDict_material!G12</f>
        <v>0</v>
      </c>
      <c r="C12">
        <f>FlowDict_material!H12+FlowDict_material!M12+FlowDict_material!L12-FlowDict_material!N12-FlowDict_material!I12-FlowDict_material!O12-FlowDict_material!K12</f>
        <v>1.5987211554602254E-14</v>
      </c>
      <c r="D12">
        <f>FlowDict_material!I12-FlowDict_material!J12-StockDict_material!B12</f>
        <v>0</v>
      </c>
      <c r="E12">
        <f>FlowDict_material!V12-FlowDict_material!F12</f>
        <v>0</v>
      </c>
      <c r="F12">
        <f>FlowDict_material!G12-StockDict_material!D12</f>
        <v>0</v>
      </c>
      <c r="G12">
        <f>FlowDict_material!K12-StockDict_material!F12</f>
        <v>0</v>
      </c>
      <c r="H12">
        <f>FlowDict_material!J12-FlowDict_material!P12-FlowDict_material!Q12</f>
        <v>0</v>
      </c>
      <c r="I12">
        <f>FlowDict_material!X12-FlowDict_material!M12</f>
        <v>0</v>
      </c>
      <c r="J12">
        <f>FlowDict_material!P12-FlowDict_material!R12-FlowDict_material!Y12</f>
        <v>0</v>
      </c>
      <c r="K12">
        <f>FlowDict_material!Q12-FlowDict_material!T12-FlowDict_material!S12</f>
        <v>0</v>
      </c>
      <c r="L12">
        <f>FlowDict_material!W12-FlowDict_material!L12</f>
        <v>0</v>
      </c>
      <c r="M12">
        <f>FlowDict_material!O12-StockDict_material!H12</f>
        <v>0</v>
      </c>
      <c r="N12">
        <f>FlowDict_material!U12-FlowDict_material!B12</f>
        <v>0</v>
      </c>
      <c r="O12">
        <f>FlowDict_material!N12-StockDict_material!J12</f>
        <v>0</v>
      </c>
      <c r="P12">
        <f>FlowDict_material!C12-StockDict_material!L12</f>
        <v>0</v>
      </c>
      <c r="Q12">
        <f>FlowDict_material!E12-StockDict_material!N12</f>
        <v>0</v>
      </c>
      <c r="R12">
        <f>FlowDict_material!R12-StockDict_material!P12-FlowDict_material!Z12</f>
        <v>0</v>
      </c>
      <c r="S12">
        <f>FlowDict_material!S12-StockDict_material!R12</f>
        <v>0</v>
      </c>
      <c r="T12">
        <f>FlowDict_material!Y12+FlowDict_material!Z12+FlowDict_material!T12-StockDict_material!T12</f>
        <v>0</v>
      </c>
      <c r="U12">
        <f>FlowDict_material!B12-FlowDict_material!D12-FlowDict_material!C12-FlowDict_material!E12</f>
        <v>3.5527136788005009E-14</v>
      </c>
    </row>
    <row r="13" spans="1:21" x14ac:dyDescent="0.35">
      <c r="A13">
        <f>A33-StockDict_material!B13-StockDict_material!D13-StockDict_material!F13-StockDict_material!H13-StockDict_material!J13-StockDict_material!L13-StockDict_material!N13-StockDict_material!P13-StockDict_material!R13-StockDict_material!T13</f>
        <v>0</v>
      </c>
      <c r="B13">
        <f>FlowDict_material!D13+FlowDict_material!F13-FlowDict_material!H13-FlowDict_material!G13</f>
        <v>0</v>
      </c>
      <c r="C13">
        <f>FlowDict_material!H13+FlowDict_material!M13+FlowDict_material!L13-FlowDict_material!N13-FlowDict_material!I13-FlowDict_material!O13-FlowDict_material!K13</f>
        <v>0</v>
      </c>
      <c r="D13">
        <f>FlowDict_material!I13-FlowDict_material!J13-StockDict_material!B13</f>
        <v>0</v>
      </c>
      <c r="E13">
        <f>FlowDict_material!V13-FlowDict_material!F13</f>
        <v>0</v>
      </c>
      <c r="F13">
        <f>FlowDict_material!G13-StockDict_material!D13</f>
        <v>0</v>
      </c>
      <c r="G13">
        <f>FlowDict_material!K13-StockDict_material!F13</f>
        <v>0</v>
      </c>
      <c r="H13">
        <f>FlowDict_material!J13-FlowDict_material!P13-FlowDict_material!Q13</f>
        <v>0</v>
      </c>
      <c r="I13">
        <f>FlowDict_material!X13-FlowDict_material!M13</f>
        <v>0</v>
      </c>
      <c r="J13">
        <f>FlowDict_material!P13-FlowDict_material!R13-FlowDict_material!Y13</f>
        <v>0</v>
      </c>
      <c r="K13">
        <f>FlowDict_material!Q13-FlowDict_material!T13-FlowDict_material!S13</f>
        <v>0</v>
      </c>
      <c r="L13">
        <f>FlowDict_material!W13-FlowDict_material!L13</f>
        <v>0</v>
      </c>
      <c r="M13">
        <f>FlowDict_material!O13-StockDict_material!H13</f>
        <v>0</v>
      </c>
      <c r="N13">
        <f>FlowDict_material!U13-FlowDict_material!B13</f>
        <v>0</v>
      </c>
      <c r="O13">
        <f>FlowDict_material!N13-StockDict_material!J13</f>
        <v>0</v>
      </c>
      <c r="P13">
        <f>FlowDict_material!C13-StockDict_material!L13</f>
        <v>0</v>
      </c>
      <c r="Q13">
        <f>FlowDict_material!E13-StockDict_material!N13</f>
        <v>0</v>
      </c>
      <c r="R13">
        <f>FlowDict_material!R13-StockDict_material!P13-FlowDict_material!Z13</f>
        <v>8.8817841970012523E-16</v>
      </c>
      <c r="S13">
        <f>FlowDict_material!S13-StockDict_material!R13</f>
        <v>0</v>
      </c>
      <c r="T13">
        <f>FlowDict_material!Y13+FlowDict_material!Z13+FlowDict_material!T13-StockDict_material!T13</f>
        <v>0</v>
      </c>
      <c r="U13">
        <f>FlowDict_material!B13-FlowDict_material!D13-FlowDict_material!C13-FlowDict_material!E13</f>
        <v>0</v>
      </c>
    </row>
    <row r="14" spans="1:21" x14ac:dyDescent="0.35">
      <c r="A14">
        <f>A34-StockDict_material!B14-StockDict_material!D14-StockDict_material!F14-StockDict_material!H14-StockDict_material!J14-StockDict_material!L14-StockDict_material!N14-StockDict_material!P14-StockDict_material!R14-StockDict_material!T14</f>
        <v>-7.815970093361102E-14</v>
      </c>
      <c r="B14">
        <f>FlowDict_material!D14+FlowDict_material!F14-FlowDict_material!H14-FlowDict_material!G14</f>
        <v>0</v>
      </c>
      <c r="C14">
        <f>FlowDict_material!H14+FlowDict_material!M14+FlowDict_material!L14-FlowDict_material!N14-FlowDict_material!I14-FlowDict_material!O14-FlowDict_material!K14</f>
        <v>0</v>
      </c>
      <c r="D14">
        <f>FlowDict_material!I14-FlowDict_material!J14-StockDict_material!B14</f>
        <v>0</v>
      </c>
      <c r="E14">
        <f>FlowDict_material!V14-FlowDict_material!F14</f>
        <v>0</v>
      </c>
      <c r="F14">
        <f>FlowDict_material!G14-StockDict_material!D14</f>
        <v>0</v>
      </c>
      <c r="G14">
        <f>FlowDict_material!K14-StockDict_material!F14</f>
        <v>0</v>
      </c>
      <c r="H14">
        <f>FlowDict_material!J14-FlowDict_material!P14-FlowDict_material!Q14</f>
        <v>0</v>
      </c>
      <c r="I14">
        <f>FlowDict_material!X14-FlowDict_material!M14</f>
        <v>0</v>
      </c>
      <c r="J14">
        <f>FlowDict_material!P14-FlowDict_material!R14-FlowDict_material!Y14</f>
        <v>0</v>
      </c>
      <c r="K14">
        <f>FlowDict_material!Q14-FlowDict_material!T14-FlowDict_material!S14</f>
        <v>0</v>
      </c>
      <c r="L14">
        <f>FlowDict_material!W14-FlowDict_material!L14</f>
        <v>0</v>
      </c>
      <c r="M14">
        <f>FlowDict_material!O14-StockDict_material!H14</f>
        <v>0</v>
      </c>
      <c r="N14">
        <f>FlowDict_material!U14-FlowDict_material!B14</f>
        <v>0</v>
      </c>
      <c r="O14">
        <f>FlowDict_material!N14-StockDict_material!J14</f>
        <v>0</v>
      </c>
      <c r="P14">
        <f>FlowDict_material!C14-StockDict_material!L14</f>
        <v>0</v>
      </c>
      <c r="Q14">
        <f>FlowDict_material!E14-StockDict_material!N14</f>
        <v>0</v>
      </c>
      <c r="R14">
        <f>FlowDict_material!R14-StockDict_material!P14-FlowDict_material!Z14</f>
        <v>0</v>
      </c>
      <c r="S14">
        <f>FlowDict_material!S14-StockDict_material!R14</f>
        <v>0</v>
      </c>
      <c r="T14">
        <f>FlowDict_material!Y14+FlowDict_material!Z14+FlowDict_material!T14-StockDict_material!T14</f>
        <v>0</v>
      </c>
      <c r="U14">
        <f>FlowDict_material!B14-FlowDict_material!D14-FlowDict_material!C14-FlowDict_material!E14</f>
        <v>-5.6843418860808015E-14</v>
      </c>
    </row>
    <row r="15" spans="1:21" x14ac:dyDescent="0.35">
      <c r="A15">
        <f>A35-StockDict_material!B15-StockDict_material!D15-StockDict_material!F15-StockDict_material!H15-StockDict_material!J15-StockDict_material!L15-StockDict_material!N15-StockDict_material!P15-StockDict_material!R15-StockDict_material!T15</f>
        <v>0</v>
      </c>
      <c r="B15">
        <f>FlowDict_material!D15+FlowDict_material!F15-FlowDict_material!H15-FlowDict_material!G15</f>
        <v>0</v>
      </c>
      <c r="C15">
        <f>FlowDict_material!H15+FlowDict_material!M15+FlowDict_material!L15-FlowDict_material!N15-FlowDict_material!I15-FlowDict_material!O15-FlowDict_material!K15</f>
        <v>0</v>
      </c>
      <c r="D15">
        <f>FlowDict_material!I15-FlowDict_material!J15-StockDict_material!B15</f>
        <v>0</v>
      </c>
      <c r="E15">
        <f>FlowDict_material!V15-FlowDict_material!F15</f>
        <v>0</v>
      </c>
      <c r="F15">
        <f>FlowDict_material!G15-StockDict_material!D15</f>
        <v>0</v>
      </c>
      <c r="G15">
        <f>FlowDict_material!K15-StockDict_material!F15</f>
        <v>0</v>
      </c>
      <c r="H15">
        <f>FlowDict_material!J15-FlowDict_material!P15-FlowDict_material!Q15</f>
        <v>0</v>
      </c>
      <c r="I15">
        <f>FlowDict_material!X15-FlowDict_material!M15</f>
        <v>0</v>
      </c>
      <c r="J15">
        <f>FlowDict_material!P15-FlowDict_material!R15-FlowDict_material!Y15</f>
        <v>0</v>
      </c>
      <c r="K15">
        <f>FlowDict_material!Q15-FlowDict_material!T15-FlowDict_material!S15</f>
        <v>0</v>
      </c>
      <c r="L15">
        <f>FlowDict_material!W15-FlowDict_material!L15</f>
        <v>0</v>
      </c>
      <c r="M15">
        <f>FlowDict_material!O15-StockDict_material!H15</f>
        <v>0</v>
      </c>
      <c r="N15">
        <f>FlowDict_material!U15-FlowDict_material!B15</f>
        <v>0</v>
      </c>
      <c r="O15">
        <f>FlowDict_material!N15-StockDict_material!J15</f>
        <v>0</v>
      </c>
      <c r="P15">
        <f>FlowDict_material!C15-StockDict_material!L15</f>
        <v>0</v>
      </c>
      <c r="Q15">
        <f>FlowDict_material!E15-StockDict_material!N15</f>
        <v>0</v>
      </c>
      <c r="R15">
        <f>FlowDict_material!R15-StockDict_material!P15-FlowDict_material!Z15</f>
        <v>0</v>
      </c>
      <c r="S15">
        <f>FlowDict_material!S15-StockDict_material!R15</f>
        <v>0</v>
      </c>
      <c r="T15">
        <f>FlowDict_material!Y15+FlowDict_material!Z15+FlowDict_material!T15-StockDict_material!T15</f>
        <v>0</v>
      </c>
      <c r="U15">
        <f>FlowDict_material!B15-FlowDict_material!D15-FlowDict_material!C15-FlowDict_material!E15</f>
        <v>0</v>
      </c>
    </row>
    <row r="16" spans="1:21" x14ac:dyDescent="0.35">
      <c r="A16">
        <f>A36-StockDict_material!B16-StockDict_material!D16-StockDict_material!F16-StockDict_material!H16-StockDict_material!J16-StockDict_material!L16-StockDict_material!N16-StockDict_material!P16-StockDict_material!R16-StockDict_material!T16</f>
        <v>0</v>
      </c>
      <c r="B16">
        <f>FlowDict_material!D16+FlowDict_material!F16-FlowDict_material!H16-FlowDict_material!G16</f>
        <v>0</v>
      </c>
      <c r="C16">
        <f>FlowDict_material!H16+FlowDict_material!M16+FlowDict_material!L16-FlowDict_material!N16-FlowDict_material!I16-FlowDict_material!O16-FlowDict_material!K16</f>
        <v>0</v>
      </c>
      <c r="D16">
        <f>FlowDict_material!I16-FlowDict_material!J16-StockDict_material!B16</f>
        <v>0</v>
      </c>
      <c r="E16">
        <f>FlowDict_material!V16-FlowDict_material!F16</f>
        <v>0</v>
      </c>
      <c r="F16">
        <f>FlowDict_material!G16-StockDict_material!D16</f>
        <v>0</v>
      </c>
      <c r="G16">
        <f>FlowDict_material!K16-StockDict_material!F16</f>
        <v>0</v>
      </c>
      <c r="H16">
        <f>FlowDict_material!J16-FlowDict_material!P16-FlowDict_material!Q16</f>
        <v>0</v>
      </c>
      <c r="I16">
        <f>FlowDict_material!X16-FlowDict_material!M16</f>
        <v>0</v>
      </c>
      <c r="J16">
        <f>FlowDict_material!P16-FlowDict_material!R16-FlowDict_material!Y16</f>
        <v>0</v>
      </c>
      <c r="K16">
        <f>FlowDict_material!Q16-FlowDict_material!T16-FlowDict_material!S16</f>
        <v>0</v>
      </c>
      <c r="L16">
        <f>FlowDict_material!W16-FlowDict_material!L16</f>
        <v>0</v>
      </c>
      <c r="M16">
        <f>FlowDict_material!O16-StockDict_material!H16</f>
        <v>0</v>
      </c>
      <c r="N16">
        <f>FlowDict_material!U16-FlowDict_material!B16</f>
        <v>0</v>
      </c>
      <c r="O16">
        <f>FlowDict_material!N16-StockDict_material!J16</f>
        <v>0</v>
      </c>
      <c r="P16">
        <f>FlowDict_material!C16-StockDict_material!L16</f>
        <v>0</v>
      </c>
      <c r="Q16">
        <f>FlowDict_material!E16-StockDict_material!N16</f>
        <v>0</v>
      </c>
      <c r="R16">
        <f>FlowDict_material!R16-StockDict_material!P16-FlowDict_material!Z16</f>
        <v>0</v>
      </c>
      <c r="S16">
        <f>FlowDict_material!S16-StockDict_material!R16</f>
        <v>0</v>
      </c>
      <c r="T16">
        <f>FlowDict_material!Y16+FlowDict_material!Z16+FlowDict_material!T16-StockDict_material!T16</f>
        <v>0</v>
      </c>
      <c r="U16">
        <f>FlowDict_material!B16-FlowDict_material!D16-FlowDict_material!C16-FlowDict_material!E16</f>
        <v>0</v>
      </c>
    </row>
    <row r="21" spans="1:1" x14ac:dyDescent="0.35">
      <c r="A21" t="s">
        <v>67</v>
      </c>
    </row>
    <row r="22" spans="1:1" x14ac:dyDescent="0.35">
      <c r="A22">
        <f>SUM(FlowDict_material!U2:X2)</f>
        <v>243</v>
      </c>
    </row>
    <row r="23" spans="1:1" x14ac:dyDescent="0.35">
      <c r="A23">
        <f>SUM(FlowDict_material!U3:X3)</f>
        <v>247.86</v>
      </c>
    </row>
    <row r="24" spans="1:1" x14ac:dyDescent="0.35">
      <c r="A24">
        <f>SUM(FlowDict_material!U4:X4)</f>
        <v>252.81720000000001</v>
      </c>
    </row>
    <row r="25" spans="1:1" x14ac:dyDescent="0.35">
      <c r="A25">
        <f>SUM(FlowDict_material!U5:X5)</f>
        <v>257.87354400000004</v>
      </c>
    </row>
    <row r="26" spans="1:1" x14ac:dyDescent="0.35">
      <c r="A26">
        <f>SUM(FlowDict_material!U6:X6)</f>
        <v>263.03101487999999</v>
      </c>
    </row>
    <row r="27" spans="1:1" x14ac:dyDescent="0.35">
      <c r="A27">
        <f>SUM(FlowDict_material!U7:X7)</f>
        <v>268.29163517760003</v>
      </c>
    </row>
    <row r="28" spans="1:1" x14ac:dyDescent="0.35">
      <c r="A28">
        <f>SUM(FlowDict_material!U8:X8)</f>
        <v>273.657467881152</v>
      </c>
    </row>
    <row r="29" spans="1:1" x14ac:dyDescent="0.35">
      <c r="A29">
        <f>SUM(FlowDict_material!U9:X9)</f>
        <v>279.13061723877507</v>
      </c>
    </row>
    <row r="30" spans="1:1" x14ac:dyDescent="0.35">
      <c r="A30">
        <f>SUM(FlowDict_material!U10:X10)</f>
        <v>284.71322958355057</v>
      </c>
    </row>
    <row r="31" spans="1:1" x14ac:dyDescent="0.35">
      <c r="A31">
        <f>SUM(FlowDict_material!U11:X11)</f>
        <v>290.40749417522159</v>
      </c>
    </row>
    <row r="32" spans="1:1" x14ac:dyDescent="0.35">
      <c r="A32">
        <f>SUM(FlowDict_material!U12:X12)</f>
        <v>296.21564405872607</v>
      </c>
    </row>
    <row r="33" spans="1:1" x14ac:dyDescent="0.35">
      <c r="A33">
        <f>SUM(FlowDict_material!U13:X13)</f>
        <v>302.13995693990057</v>
      </c>
    </row>
    <row r="34" spans="1:1" x14ac:dyDescent="0.35">
      <c r="A34">
        <f>SUM(FlowDict_material!U14:X14)</f>
        <v>308.1827560786985</v>
      </c>
    </row>
    <row r="35" spans="1:1" x14ac:dyDescent="0.35">
      <c r="A35">
        <f>SUM(FlowDict_material!U15:X15)</f>
        <v>314.34641120027254</v>
      </c>
    </row>
    <row r="36" spans="1:1" x14ac:dyDescent="0.35">
      <c r="A36">
        <f>SUM(FlowDict_material!U16:X16)</f>
        <v>320.63333942427801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F575A-B285-4037-8601-D8D510DF2929}">
  <dimension ref="A1:U40"/>
  <sheetViews>
    <sheetView workbookViewId="0">
      <selection activeCell="A21" sqref="A21"/>
    </sheetView>
  </sheetViews>
  <sheetFormatPr defaultRowHeight="14.5" x14ac:dyDescent="0.35"/>
  <cols>
    <col min="10" max="10" width="12.453125" bestFit="1" customWidth="1"/>
    <col min="19" max="19" width="12.453125" bestFit="1" customWidth="1"/>
  </cols>
  <sheetData>
    <row r="1" spans="1:21" x14ac:dyDescent="0.35">
      <c r="A1" t="s">
        <v>65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</row>
    <row r="2" spans="1:21" x14ac:dyDescent="0.35">
      <c r="A2">
        <f>A22-StockDict_WC!B2-StockDict_WC!F2-StockDict_WC!D2-StockDict_WC!H2-StockDict_WC!J2-StockDict_WC!L2-StockDict_WC!N2-StockDict_WC!P2-StockDict_WC!R2-StockDict_WC!T2</f>
        <v>-2.4945075996279602</v>
      </c>
      <c r="B2">
        <f>FlowDict_WC!D2+FlowDict_WC!F2-FlowDict_WC!H2-FlowDict_WC!G2</f>
        <v>-3.5580479999999923</v>
      </c>
      <c r="C2">
        <f>FlowDict_WC!H2+FlowDict_WC!M2+FlowDict_WC!L2-FlowDict_WC!N2-FlowDict_WC!I2-FlowDict_WC!O2-FlowDict_WC!K2</f>
        <v>1.0635309199999909</v>
      </c>
      <c r="D2">
        <f>FlowDict_WC!I2-FlowDict_WC!J2-StockDict_WC!B2</f>
        <v>0</v>
      </c>
      <c r="E2">
        <f>FlowDict_WC!V2-FlowDict_WC!F2</f>
        <v>0</v>
      </c>
      <c r="F2">
        <f>FlowDict_WC!G2-StockDict_WC!D2</f>
        <v>0</v>
      </c>
      <c r="G2">
        <f>FlowDict_WC!K2-StockDict_WC!F2</f>
        <v>0</v>
      </c>
      <c r="H2">
        <f>FlowDict_WC!J2-FlowDict_WC!P2-FlowDict_WC!Q2</f>
        <v>0</v>
      </c>
      <c r="I2">
        <f>FlowDict_WC!X2-FlowDict_WC!M2</f>
        <v>0</v>
      </c>
      <c r="J2">
        <f>FlowDict_WC!P2-FlowDict_WC!R2-FlowDict_WC!Y2</f>
        <v>1.896074408968218E-6</v>
      </c>
      <c r="K2">
        <f>FlowDict_WC!Q2-FlowDict_WC!T2-FlowDict_WC!S2</f>
        <v>7.5842976358728721E-6</v>
      </c>
      <c r="L2">
        <f>FlowDict_WC!W2-FlowDict_WC!L2</f>
        <v>0</v>
      </c>
      <c r="M2">
        <f>FlowDict_WC!O2-StockDict_WC!H2</f>
        <v>0</v>
      </c>
      <c r="N2">
        <f>FlowDict_WC!U2-FlowDict_WC!B2</f>
        <v>0</v>
      </c>
      <c r="O2">
        <f>FlowDict_WC!N2-StockDict_WC!J2</f>
        <v>0</v>
      </c>
      <c r="P2">
        <f>FlowDict_WC!C2-StockDict_WC!L2</f>
        <v>0</v>
      </c>
      <c r="Q2">
        <f>FlowDict_WC!E2-StockDict_WC!N2</f>
        <v>0</v>
      </c>
      <c r="R2">
        <f>FlowDict_WC!R2-StockDict_WC!P2-FlowDict_WC!Z2</f>
        <v>0</v>
      </c>
      <c r="S2">
        <f>FlowDict_WC!S2-StockDict_WC!R2</f>
        <v>0</v>
      </c>
      <c r="T2">
        <f>FlowDict_WC!Y2+FlowDict_WC!Z2+FlowDict_WC!T2-StockDict_WC!T2</f>
        <v>0</v>
      </c>
      <c r="U2">
        <f>FlowDict_WC!B2-FlowDict_WC!D2-FlowDict_WC!C2-FlowDict_WC!E2</f>
        <v>0</v>
      </c>
    </row>
    <row r="3" spans="1:21" x14ac:dyDescent="0.35">
      <c r="A3">
        <f>A23-StockDict_WC!B3-StockDict_WC!F3-StockDict_WC!D3-StockDict_WC!H3-StockDict_WC!J3-StockDict_WC!L3-StockDict_WC!N3-StockDict_WC!P3-StockDict_WC!R3-StockDict_WC!T3</f>
        <v>7.3776667614969664</v>
      </c>
      <c r="B3">
        <f>FlowDict_WC!D3+FlowDict_WC!F3-FlowDict_WC!H3-FlowDict_WC!G3</f>
        <v>-3.6292089599999997</v>
      </c>
      <c r="C3">
        <f>FlowDict_WC!H3+FlowDict_WC!M3+FlowDict_WC!L3-FlowDict_WC!N3-FlowDict_WC!I3-FlowDict_WC!O3-FlowDict_WC!K3</f>
        <v>1.0848015383999741</v>
      </c>
      <c r="D3">
        <f>FlowDict_WC!I3-FlowDict_WC!J3-StockDict_WC!B3</f>
        <v>0</v>
      </c>
      <c r="E3">
        <f>FlowDict_WC!V3-FlowDict_WC!F3</f>
        <v>0</v>
      </c>
      <c r="F3">
        <f>FlowDict_WC!G3-StockDict_WC!D3</f>
        <v>0</v>
      </c>
      <c r="G3">
        <f>FlowDict_WC!K3-StockDict_WC!F3</f>
        <v>0</v>
      </c>
      <c r="H3">
        <f>FlowDict_WC!J3-FlowDict_WC!P3-FlowDict_WC!Q3</f>
        <v>0</v>
      </c>
      <c r="I3">
        <f>FlowDict_WC!X3-FlowDict_WC!M3</f>
        <v>0</v>
      </c>
      <c r="J3">
        <f>FlowDict_WC!P3-FlowDict_WC!R3-FlowDict_WC!Y3</f>
        <v>1.984414836619395</v>
      </c>
      <c r="K3">
        <f>FlowDict_WC!Q3-FlowDict_WC!T3-FlowDict_WC!S3</f>
        <v>7.9376593464775818</v>
      </c>
      <c r="L3">
        <f>FlowDict_WC!W3-FlowDict_WC!L3</f>
        <v>0</v>
      </c>
      <c r="M3">
        <f>FlowDict_WC!O3-StockDict_WC!H3</f>
        <v>0</v>
      </c>
      <c r="N3">
        <f>FlowDict_WC!U3-FlowDict_WC!B3</f>
        <v>0</v>
      </c>
      <c r="O3">
        <f>FlowDict_WC!N3-StockDict_WC!J3</f>
        <v>0</v>
      </c>
      <c r="P3">
        <f>FlowDict_WC!C3-StockDict_WC!L3</f>
        <v>0</v>
      </c>
      <c r="Q3">
        <f>FlowDict_WC!E3-StockDict_WC!N3</f>
        <v>0</v>
      </c>
      <c r="R3">
        <f>FlowDict_WC!R3-StockDict_WC!P3-FlowDict_WC!Z3</f>
        <v>0</v>
      </c>
      <c r="S3">
        <f>FlowDict_WC!S3-StockDict_WC!R3</f>
        <v>0</v>
      </c>
      <c r="T3">
        <f>FlowDict_WC!Y3+FlowDict_WC!Z3+FlowDict_WC!T3-StockDict_WC!T3</f>
        <v>0</v>
      </c>
      <c r="U3">
        <f>FlowDict_WC!B3-FlowDict_WC!D3-FlowDict_WC!C3-FlowDict_WC!E3</f>
        <v>0</v>
      </c>
    </row>
    <row r="4" spans="1:21" x14ac:dyDescent="0.35">
      <c r="A4">
        <f>A24-StockDict_WC!B4-StockDict_WC!F4-StockDict_WC!D4-StockDict_WC!H4-StockDict_WC!J4-StockDict_WC!L4-StockDict_WC!N4-StockDict_WC!P4-StockDict_WC!R4-StockDict_WC!T4</f>
        <v>17.455962945735521</v>
      </c>
      <c r="B4">
        <f>FlowDict_WC!D4+FlowDict_WC!F4-FlowDict_WC!H4-FlowDict_WC!G4</f>
        <v>-3.7017931391999994</v>
      </c>
      <c r="C4">
        <f>FlowDict_WC!H4+FlowDict_WC!M4+FlowDict_WC!L4-FlowDict_WC!N4-FlowDict_WC!I4-FlowDict_WC!O4-FlowDict_WC!K4</f>
        <v>1.1064975691680008</v>
      </c>
      <c r="D4">
        <f>FlowDict_WC!I4-FlowDict_WC!J4-StockDict_WC!B4</f>
        <v>0</v>
      </c>
      <c r="E4">
        <f>FlowDict_WC!V4-FlowDict_WC!F4</f>
        <v>0</v>
      </c>
      <c r="F4">
        <f>FlowDict_WC!G4-StockDict_WC!D4</f>
        <v>0</v>
      </c>
      <c r="G4">
        <f>FlowDict_WC!K4-StockDict_WC!F4</f>
        <v>0</v>
      </c>
      <c r="H4">
        <f>FlowDict_WC!J4-FlowDict_WC!P4-FlowDict_WC!Q4</f>
        <v>0</v>
      </c>
      <c r="I4">
        <f>FlowDict_WC!X4-FlowDict_WC!M4</f>
        <v>0</v>
      </c>
      <c r="J4">
        <f>FlowDict_WC!P4-FlowDict_WC!R4-FlowDict_WC!Y4</f>
        <v>4.0102517031535028</v>
      </c>
      <c r="K4">
        <f>FlowDict_WC!Q4-FlowDict_WC!T4-FlowDict_WC!S4</f>
        <v>16.041006812614011</v>
      </c>
      <c r="L4">
        <f>FlowDict_WC!W4-FlowDict_WC!L4</f>
        <v>0</v>
      </c>
      <c r="M4">
        <f>FlowDict_WC!O4-StockDict_WC!H4</f>
        <v>0</v>
      </c>
      <c r="N4">
        <f>FlowDict_WC!U4-FlowDict_WC!B4</f>
        <v>0</v>
      </c>
      <c r="O4">
        <f>FlowDict_WC!N4-StockDict_WC!J4</f>
        <v>0</v>
      </c>
      <c r="P4">
        <f>FlowDict_WC!C4-StockDict_WC!L4</f>
        <v>0</v>
      </c>
      <c r="Q4">
        <f>FlowDict_WC!E4-StockDict_WC!N4</f>
        <v>0</v>
      </c>
      <c r="R4">
        <f>FlowDict_WC!R4-StockDict_WC!P4-FlowDict_WC!Z4</f>
        <v>0</v>
      </c>
      <c r="S4">
        <f>FlowDict_WC!S4-StockDict_WC!R4</f>
        <v>0</v>
      </c>
      <c r="T4">
        <f>FlowDict_WC!Y4+FlowDict_WC!Z4+FlowDict_WC!T4-StockDict_WC!T4</f>
        <v>0</v>
      </c>
      <c r="U4">
        <f>FlowDict_WC!B4-FlowDict_WC!D4-FlowDict_WC!C4-FlowDict_WC!E4</f>
        <v>0</v>
      </c>
    </row>
    <row r="5" spans="1:21" x14ac:dyDescent="0.35">
      <c r="A5">
        <f>A25-StockDict_WC!B5-StockDict_WC!F5-StockDict_WC!D5-StockDict_WC!H5-StockDict_WC!J5-StockDict_WC!L5-StockDict_WC!N5-StockDict_WC!P5-StockDict_WC!R5-StockDict_WC!T5</f>
        <v>17.947970301004972</v>
      </c>
      <c r="B5">
        <f>FlowDict_WC!D5+FlowDict_WC!F5-FlowDict_WC!H5-FlowDict_WC!G5</f>
        <v>-3.7758290019840075</v>
      </c>
      <c r="C5">
        <f>FlowDict_WC!H5+FlowDict_WC!M5+FlowDict_WC!L5-FlowDict_WC!N5-FlowDict_WC!I5-FlowDict_WC!O5-FlowDict_WC!K5</f>
        <v>1.1286275205513849</v>
      </c>
      <c r="D5">
        <f>FlowDict_WC!I5-FlowDict_WC!J5-StockDict_WC!B5</f>
        <v>0</v>
      </c>
      <c r="E5">
        <f>FlowDict_WC!V5-FlowDict_WC!F5</f>
        <v>0</v>
      </c>
      <c r="F5">
        <f>FlowDict_WC!G5-StockDict_WC!D5</f>
        <v>0</v>
      </c>
      <c r="G5">
        <f>FlowDict_WC!K5-StockDict_WC!F5</f>
        <v>0</v>
      </c>
      <c r="H5">
        <f>FlowDict_WC!J5-FlowDict_WC!P5-FlowDict_WC!Q5</f>
        <v>0</v>
      </c>
      <c r="I5">
        <f>FlowDict_WC!X5-FlowDict_WC!M5</f>
        <v>0</v>
      </c>
      <c r="J5">
        <f>FlowDict_WC!P5-FlowDict_WC!R5-FlowDict_WC!Y5</f>
        <v>4.1190343564875196</v>
      </c>
      <c r="K5">
        <f>FlowDict_WC!Q5-FlowDict_WC!T5-FlowDict_WC!S5</f>
        <v>16.476137425950078</v>
      </c>
      <c r="L5">
        <f>FlowDict_WC!W5-FlowDict_WC!L5</f>
        <v>0</v>
      </c>
      <c r="M5">
        <f>FlowDict_WC!O5-StockDict_WC!H5</f>
        <v>0</v>
      </c>
      <c r="N5">
        <f>FlowDict_WC!U5-FlowDict_WC!B5</f>
        <v>0</v>
      </c>
      <c r="O5">
        <f>FlowDict_WC!N5-StockDict_WC!J5</f>
        <v>0</v>
      </c>
      <c r="P5">
        <f>FlowDict_WC!C5-StockDict_WC!L5</f>
        <v>0</v>
      </c>
      <c r="Q5">
        <f>FlowDict_WC!E5-StockDict_WC!N5</f>
        <v>0</v>
      </c>
      <c r="R5">
        <f>FlowDict_WC!R5-StockDict_WC!P5-FlowDict_WC!Z5</f>
        <v>0</v>
      </c>
      <c r="S5">
        <f>FlowDict_WC!S5-StockDict_WC!R5</f>
        <v>0</v>
      </c>
      <c r="T5">
        <f>FlowDict_WC!Y5+FlowDict_WC!Z5+FlowDict_WC!T5-StockDict_WC!T5</f>
        <v>0</v>
      </c>
      <c r="U5">
        <f>FlowDict_WC!B5-FlowDict_WC!D5-FlowDict_WC!C5-FlowDict_WC!E5</f>
        <v>0</v>
      </c>
    </row>
    <row r="6" spans="1:21" x14ac:dyDescent="0.35">
      <c r="A6">
        <f>A26-StockDict_WC!B6-StockDict_WC!F6-StockDict_WC!D6-StockDict_WC!H6-StockDict_WC!J6-StockDict_WC!L6-StockDict_WC!N6-StockDict_WC!P6-StockDict_WC!R6-StockDict_WC!T6</f>
        <v>19.213272718468129</v>
      </c>
      <c r="B6">
        <f>FlowDict_WC!D6+FlowDict_WC!F6-FlowDict_WC!H6-FlowDict_WC!G6</f>
        <v>-3.8513455820236757</v>
      </c>
      <c r="C6">
        <f>FlowDict_WC!H6+FlowDict_WC!M6+FlowDict_WC!L6-FlowDict_WC!N6-FlowDict_WC!I6-FlowDict_WC!O6-FlowDict_WC!K6</f>
        <v>1.1512000709624122</v>
      </c>
      <c r="D6">
        <f>FlowDict_WC!I6-FlowDict_WC!J6-StockDict_WC!B6</f>
        <v>0</v>
      </c>
      <c r="E6">
        <f>FlowDict_WC!V6-FlowDict_WC!F6</f>
        <v>0</v>
      </c>
      <c r="F6">
        <f>FlowDict_WC!G6-StockDict_WC!D6</f>
        <v>0</v>
      </c>
      <c r="G6">
        <f>FlowDict_WC!K6-StockDict_WC!F6</f>
        <v>0</v>
      </c>
      <c r="H6">
        <f>FlowDict_WC!J6-FlowDict_WC!P6-FlowDict_WC!Q6</f>
        <v>0</v>
      </c>
      <c r="I6">
        <f>FlowDict_WC!X6-FlowDict_WC!M6</f>
        <v>0</v>
      </c>
      <c r="J6">
        <f>FlowDict_WC!P6-FlowDict_WC!R6-FlowDict_WC!Y6</f>
        <v>4.3826836459058809</v>
      </c>
      <c r="K6">
        <f>FlowDict_WC!Q6-FlowDict_WC!T6-FlowDict_WC!S6</f>
        <v>17.53073458362352</v>
      </c>
      <c r="L6">
        <f>FlowDict_WC!W6-FlowDict_WC!L6</f>
        <v>0</v>
      </c>
      <c r="M6">
        <f>FlowDict_WC!O6-StockDict_WC!H6</f>
        <v>0</v>
      </c>
      <c r="N6">
        <f>FlowDict_WC!U6-FlowDict_WC!B6</f>
        <v>0</v>
      </c>
      <c r="O6">
        <f>FlowDict_WC!N6-StockDict_WC!J6</f>
        <v>0</v>
      </c>
      <c r="P6">
        <f>FlowDict_WC!C6-StockDict_WC!L6</f>
        <v>0</v>
      </c>
      <c r="Q6">
        <f>FlowDict_WC!E6-StockDict_WC!N6</f>
        <v>0</v>
      </c>
      <c r="R6">
        <f>FlowDict_WC!R6-StockDict_WC!P6-FlowDict_WC!Z6</f>
        <v>0</v>
      </c>
      <c r="S6">
        <f>FlowDict_WC!S6-StockDict_WC!R6</f>
        <v>0</v>
      </c>
      <c r="T6">
        <f>FlowDict_WC!Y6+FlowDict_WC!Z6+FlowDict_WC!T6-StockDict_WC!T6</f>
        <v>0</v>
      </c>
      <c r="U6">
        <f>FlowDict_WC!B6-FlowDict_WC!D6-FlowDict_WC!C6-FlowDict_WC!E6</f>
        <v>0</v>
      </c>
    </row>
    <row r="7" spans="1:21" x14ac:dyDescent="0.35">
      <c r="A7">
        <f>A27-StockDict_WC!B7-StockDict_WC!F7-StockDict_WC!D7-StockDict_WC!H7-StockDict_WC!J7-StockDict_WC!L7-StockDict_WC!N7-StockDict_WC!P7-StockDict_WC!R7-StockDict_WC!T7</f>
        <v>21.887529166814286</v>
      </c>
      <c r="B7">
        <f>FlowDict_WC!D7+FlowDict_WC!F7-FlowDict_WC!H7-FlowDict_WC!G7</f>
        <v>-3.9283724936641491</v>
      </c>
      <c r="C7">
        <f>FlowDict_WC!H7+FlowDict_WC!M7+FlowDict_WC!L7-FlowDict_WC!N7-FlowDict_WC!I7-FlowDict_WC!O7-FlowDict_WC!K7</f>
        <v>1.1742240723816622</v>
      </c>
      <c r="D7">
        <f>FlowDict_WC!I7-FlowDict_WC!J7-StockDict_WC!B7</f>
        <v>0</v>
      </c>
      <c r="E7">
        <f>FlowDict_WC!V7-FlowDict_WC!F7</f>
        <v>0</v>
      </c>
      <c r="F7">
        <f>FlowDict_WC!G7-StockDict_WC!D7</f>
        <v>0</v>
      </c>
      <c r="G7">
        <f>FlowDict_WC!K7-StockDict_WC!F7</f>
        <v>0</v>
      </c>
      <c r="H7">
        <f>FlowDict_WC!J7-FlowDict_WC!P7-FlowDict_WC!Q7</f>
        <v>0</v>
      </c>
      <c r="I7">
        <f>FlowDict_WC!X7-FlowDict_WC!M7</f>
        <v>0</v>
      </c>
      <c r="J7">
        <f>FlowDict_WC!P7-FlowDict_WC!R7-FlowDict_WC!Y7</f>
        <v>4.9283355176193613</v>
      </c>
      <c r="K7">
        <f>FlowDict_WC!Q7-FlowDict_WC!T7-FlowDict_WC!S7</f>
        <v>19.713342070477449</v>
      </c>
      <c r="L7">
        <f>FlowDict_WC!W7-FlowDict_WC!L7</f>
        <v>0</v>
      </c>
      <c r="M7">
        <f>FlowDict_WC!O7-StockDict_WC!H7</f>
        <v>0</v>
      </c>
      <c r="N7">
        <f>FlowDict_WC!U7-FlowDict_WC!B7</f>
        <v>0</v>
      </c>
      <c r="O7">
        <f>FlowDict_WC!N7-StockDict_WC!J7</f>
        <v>0</v>
      </c>
      <c r="P7">
        <f>FlowDict_WC!C7-StockDict_WC!L7</f>
        <v>0</v>
      </c>
      <c r="Q7">
        <f>FlowDict_WC!E7-StockDict_WC!N7</f>
        <v>0</v>
      </c>
      <c r="R7">
        <f>FlowDict_WC!R7-StockDict_WC!P7-FlowDict_WC!Z7</f>
        <v>0</v>
      </c>
      <c r="S7">
        <f>FlowDict_WC!S7-StockDict_WC!R7</f>
        <v>0</v>
      </c>
      <c r="T7">
        <f>FlowDict_WC!Y7+FlowDict_WC!Z7+FlowDict_WC!T7-StockDict_WC!T7</f>
        <v>0</v>
      </c>
      <c r="U7">
        <f>FlowDict_WC!B7-FlowDict_WC!D7-FlowDict_WC!C7-FlowDict_WC!E7</f>
        <v>0</v>
      </c>
    </row>
    <row r="8" spans="1:21" x14ac:dyDescent="0.35">
      <c r="A8">
        <f>A28-StockDict_WC!B8-StockDict_WC!F8-StockDict_WC!D8-StockDict_WC!H8-StockDict_WC!J8-StockDict_WC!L8-StockDict_WC!N8-StockDict_WC!P8-StockDict_WC!R8-StockDict_WC!T8</f>
        <v>24.692533446468399</v>
      </c>
      <c r="B8">
        <f>FlowDict_WC!D8+FlowDict_WC!F8-FlowDict_WC!H8-FlowDict_WC!G8</f>
        <v>-4.0069399435374322</v>
      </c>
      <c r="C8">
        <f>FlowDict_WC!H8+FlowDict_WC!M8+FlowDict_WC!L8-FlowDict_WC!N8-FlowDict_WC!I8-FlowDict_WC!O8-FlowDict_WC!K8</f>
        <v>1.1977085538292691</v>
      </c>
      <c r="D8">
        <f>FlowDict_WC!I8-FlowDict_WC!J8-StockDict_WC!B8</f>
        <v>0</v>
      </c>
      <c r="E8">
        <f>FlowDict_WC!V8-FlowDict_WC!F8</f>
        <v>0</v>
      </c>
      <c r="F8">
        <f>FlowDict_WC!G8-StockDict_WC!D8</f>
        <v>0</v>
      </c>
      <c r="G8">
        <f>FlowDict_WC!K8-StockDict_WC!F8</f>
        <v>0</v>
      </c>
      <c r="H8">
        <f>FlowDict_WC!J8-FlowDict_WC!P8-FlowDict_WC!Q8</f>
        <v>0</v>
      </c>
      <c r="I8">
        <f>FlowDict_WC!X8-FlowDict_WC!M8</f>
        <v>0</v>
      </c>
      <c r="J8">
        <f>FlowDict_WC!P8-FlowDict_WC!R8-FlowDict_WC!Y8</f>
        <v>5.5003529672353153</v>
      </c>
      <c r="K8">
        <f>FlowDict_WC!Q8-FlowDict_WC!T8-FlowDict_WC!S8</f>
        <v>22.001411868941261</v>
      </c>
      <c r="L8">
        <f>FlowDict_WC!W8-FlowDict_WC!L8</f>
        <v>0</v>
      </c>
      <c r="M8">
        <f>FlowDict_WC!O8-StockDict_WC!H8</f>
        <v>0</v>
      </c>
      <c r="N8">
        <f>FlowDict_WC!U8-FlowDict_WC!B8</f>
        <v>0</v>
      </c>
      <c r="O8">
        <f>FlowDict_WC!N8-StockDict_WC!J8</f>
        <v>0</v>
      </c>
      <c r="P8">
        <f>FlowDict_WC!C8-StockDict_WC!L8</f>
        <v>0</v>
      </c>
      <c r="Q8">
        <f>FlowDict_WC!E8-StockDict_WC!N8</f>
        <v>0</v>
      </c>
      <c r="R8">
        <f>FlowDict_WC!R8-StockDict_WC!P8-FlowDict_WC!Z8</f>
        <v>0</v>
      </c>
      <c r="S8">
        <f>FlowDict_WC!S8-StockDict_WC!R8</f>
        <v>0</v>
      </c>
      <c r="T8">
        <f>FlowDict_WC!Y8+FlowDict_WC!Z8+FlowDict_WC!T8-StockDict_WC!T8</f>
        <v>0</v>
      </c>
      <c r="U8">
        <f>FlowDict_WC!B8-FlowDict_WC!D8-FlowDict_WC!C8-FlowDict_WC!E8</f>
        <v>0</v>
      </c>
    </row>
    <row r="9" spans="1:21" x14ac:dyDescent="0.35">
      <c r="A9">
        <f>A29-StockDict_WC!B9-StockDict_WC!F9-StockDict_WC!D9-StockDict_WC!H9-StockDict_WC!J9-StockDict_WC!L9-StockDict_WC!N9-StockDict_WC!P9-StockDict_WC!R9-StockDict_WC!T9</f>
        <v>26.37675507081816</v>
      </c>
      <c r="B9">
        <f>FlowDict_WC!D9+FlowDict_WC!F9-FlowDict_WC!H9-FlowDict_WC!G9</f>
        <v>-4.0870787424081882</v>
      </c>
      <c r="C9">
        <f>FlowDict_WC!H9+FlowDict_WC!M9+FlowDict_WC!L9-FlowDict_WC!N9-FlowDict_WC!I9-FlowDict_WC!O9-FlowDict_WC!K9</f>
        <v>1.2216627249058671</v>
      </c>
      <c r="D9">
        <f>FlowDict_WC!I9-FlowDict_WC!J9-StockDict_WC!B9</f>
        <v>0</v>
      </c>
      <c r="E9">
        <f>FlowDict_WC!V9-FlowDict_WC!F9</f>
        <v>0</v>
      </c>
      <c r="F9">
        <f>FlowDict_WC!G9-StockDict_WC!D9</f>
        <v>0</v>
      </c>
      <c r="G9">
        <f>FlowDict_WC!K9-StockDict_WC!F9</f>
        <v>0</v>
      </c>
      <c r="H9">
        <f>FlowDict_WC!J9-FlowDict_WC!P9-FlowDict_WC!Q9</f>
        <v>0</v>
      </c>
      <c r="I9">
        <f>FlowDict_WC!X9-FlowDict_WC!M9</f>
        <v>0</v>
      </c>
      <c r="J9">
        <f>FlowDict_WC!P9-FlowDict_WC!R9-FlowDict_WC!Y9</f>
        <v>5.8484342176640984</v>
      </c>
      <c r="K9">
        <f>FlowDict_WC!Q9-FlowDict_WC!T9-FlowDict_WC!S9</f>
        <v>23.39373687065639</v>
      </c>
      <c r="L9">
        <f>FlowDict_WC!W9-FlowDict_WC!L9</f>
        <v>0</v>
      </c>
      <c r="M9">
        <f>FlowDict_WC!O9-StockDict_WC!H9</f>
        <v>0</v>
      </c>
      <c r="N9">
        <f>FlowDict_WC!U9-FlowDict_WC!B9</f>
        <v>0</v>
      </c>
      <c r="O9">
        <f>FlowDict_WC!N9-StockDict_WC!J9</f>
        <v>0</v>
      </c>
      <c r="P9">
        <f>FlowDict_WC!C9-StockDict_WC!L9</f>
        <v>0</v>
      </c>
      <c r="Q9">
        <f>FlowDict_WC!E9-StockDict_WC!N9</f>
        <v>0</v>
      </c>
      <c r="R9">
        <f>FlowDict_WC!R9-StockDict_WC!P9-FlowDict_WC!Z9</f>
        <v>0</v>
      </c>
      <c r="S9">
        <f>FlowDict_WC!S9-StockDict_WC!R9</f>
        <v>0</v>
      </c>
      <c r="T9">
        <f>FlowDict_WC!Y9+FlowDict_WC!Z9+FlowDict_WC!T9-StockDict_WC!T9</f>
        <v>0</v>
      </c>
      <c r="U9">
        <f>FlowDict_WC!B9-FlowDict_WC!D9-FlowDict_WC!C9-FlowDict_WC!E9</f>
        <v>0</v>
      </c>
    </row>
    <row r="10" spans="1:21" x14ac:dyDescent="0.35">
      <c r="A10">
        <f>A30-StockDict_WC!B10-StockDict_WC!F10-StockDict_WC!D10-StockDict_WC!H10-StockDict_WC!J10-StockDict_WC!L10-StockDict_WC!N10-StockDict_WC!P10-StockDict_WC!R10-StockDict_WC!T10</f>
        <v>27.653377911821163</v>
      </c>
      <c r="B10">
        <f>FlowDict_WC!D10+FlowDict_WC!F10-FlowDict_WC!H10-FlowDict_WC!G10</f>
        <v>-4.1688203172563618</v>
      </c>
      <c r="C10">
        <f>FlowDict_WC!H10+FlowDict_WC!M10+FlowDict_WC!L10-FlowDict_WC!N10-FlowDict_WC!I10-FlowDict_WC!O10-FlowDict_WC!K10</f>
        <v>1.2460959794039947</v>
      </c>
      <c r="D10">
        <f>FlowDict_WC!I10-FlowDict_WC!J10-StockDict_WC!B10</f>
        <v>0</v>
      </c>
      <c r="E10">
        <f>FlowDict_WC!V10-FlowDict_WC!F10</f>
        <v>0</v>
      </c>
      <c r="F10">
        <f>FlowDict_WC!G10-StockDict_WC!D10</f>
        <v>0</v>
      </c>
      <c r="G10">
        <f>FlowDict_WC!K10-StockDict_WC!F10</f>
        <v>0</v>
      </c>
      <c r="H10">
        <f>FlowDict_WC!J10-FlowDict_WC!P10-FlowDict_WC!Q10</f>
        <v>0</v>
      </c>
      <c r="I10">
        <f>FlowDict_WC!X10-FlowDict_WC!M10</f>
        <v>0</v>
      </c>
      <c r="J10">
        <f>FlowDict_WC!P10-FlowDict_WC!R10-FlowDict_WC!Y10</f>
        <v>6.1152204499347107</v>
      </c>
      <c r="K10">
        <f>FlowDict_WC!Q10-FlowDict_WC!T10-FlowDict_WC!S10</f>
        <v>24.460881799738839</v>
      </c>
      <c r="L10">
        <f>FlowDict_WC!W10-FlowDict_WC!L10</f>
        <v>0</v>
      </c>
      <c r="M10">
        <f>FlowDict_WC!O10-StockDict_WC!H10</f>
        <v>0</v>
      </c>
      <c r="N10">
        <f>FlowDict_WC!U10-FlowDict_WC!B10</f>
        <v>0</v>
      </c>
      <c r="O10">
        <f>FlowDict_WC!N10-StockDict_WC!J10</f>
        <v>0</v>
      </c>
      <c r="P10">
        <f>FlowDict_WC!C10-StockDict_WC!L10</f>
        <v>0</v>
      </c>
      <c r="Q10">
        <f>FlowDict_WC!E10-StockDict_WC!N10</f>
        <v>0</v>
      </c>
      <c r="R10">
        <f>FlowDict_WC!R10-StockDict_WC!P10-FlowDict_WC!Z10</f>
        <v>0</v>
      </c>
      <c r="S10">
        <f>FlowDict_WC!S10-StockDict_WC!R10</f>
        <v>0</v>
      </c>
      <c r="T10">
        <f>FlowDict_WC!Y10+FlowDict_WC!Z10+FlowDict_WC!T10-StockDict_WC!T10</f>
        <v>0</v>
      </c>
      <c r="U10">
        <f>FlowDict_WC!B10-FlowDict_WC!D10-FlowDict_WC!C10-FlowDict_WC!E10</f>
        <v>1.9984014443252818E-15</v>
      </c>
    </row>
    <row r="11" spans="1:21" x14ac:dyDescent="0.35">
      <c r="A11">
        <f>A31-StockDict_WC!B11-StockDict_WC!F11-StockDict_WC!D11-StockDict_WC!H11-StockDict_WC!J11-StockDict_WC!L11-StockDict_WC!N11-StockDict_WC!P11-StockDict_WC!R11-StockDict_WC!T11</f>
        <v>29.20657053038596</v>
      </c>
      <c r="B11">
        <f>FlowDict_WC!D11+FlowDict_WC!F11-FlowDict_WC!H11-FlowDict_WC!G11</f>
        <v>-4.2521967236014788</v>
      </c>
      <c r="C11">
        <f>FlowDict_WC!H11+FlowDict_WC!M11+FlowDict_WC!L11-FlowDict_WC!N11-FlowDict_WC!I11-FlowDict_WC!O11-FlowDict_WC!K11</f>
        <v>1.2710178989920937</v>
      </c>
      <c r="D11">
        <f>FlowDict_WC!I11-FlowDict_WC!J11-StockDict_WC!B11</f>
        <v>7.1054273576010019E-15</v>
      </c>
      <c r="E11">
        <f>FlowDict_WC!V11-FlowDict_WC!F11</f>
        <v>0</v>
      </c>
      <c r="F11">
        <f>FlowDict_WC!G11-StockDict_WC!D11</f>
        <v>0</v>
      </c>
      <c r="G11">
        <f>FlowDict_WC!K11-StockDict_WC!F11</f>
        <v>0</v>
      </c>
      <c r="H11">
        <f>FlowDict_WC!J11-FlowDict_WC!P11-FlowDict_WC!Q11</f>
        <v>0</v>
      </c>
      <c r="I11">
        <f>FlowDict_WC!X11-FlowDict_WC!M11</f>
        <v>0</v>
      </c>
      <c r="J11">
        <f>FlowDict_WC!P11-FlowDict_WC!R11-FlowDict_WC!Y11</f>
        <v>6.4375498709990682</v>
      </c>
      <c r="K11">
        <f>FlowDict_WC!Q11-FlowDict_WC!T11-FlowDict_WC!S11</f>
        <v>25.750199483996269</v>
      </c>
      <c r="L11">
        <f>FlowDict_WC!W11-FlowDict_WC!L11</f>
        <v>0</v>
      </c>
      <c r="M11">
        <f>FlowDict_WC!O11-StockDict_WC!H11</f>
        <v>0</v>
      </c>
      <c r="N11">
        <f>FlowDict_WC!U11-FlowDict_WC!B11</f>
        <v>0</v>
      </c>
      <c r="O11">
        <f>FlowDict_WC!N11-StockDict_WC!J11</f>
        <v>0</v>
      </c>
      <c r="P11">
        <f>FlowDict_WC!C11-StockDict_WC!L11</f>
        <v>0</v>
      </c>
      <c r="Q11">
        <f>FlowDict_WC!E11-StockDict_WC!N11</f>
        <v>0</v>
      </c>
      <c r="R11">
        <f>FlowDict_WC!R11-StockDict_WC!P11-FlowDict_WC!Z11</f>
        <v>0</v>
      </c>
      <c r="S11">
        <f>FlowDict_WC!S11-StockDict_WC!R11</f>
        <v>0</v>
      </c>
      <c r="T11">
        <f>FlowDict_WC!Y11+FlowDict_WC!Z11+FlowDict_WC!T11-StockDict_WC!T11</f>
        <v>0</v>
      </c>
      <c r="U11">
        <f>FlowDict_WC!B11-FlowDict_WC!D11-FlowDict_WC!C11-FlowDict_WC!E11</f>
        <v>0</v>
      </c>
    </row>
    <row r="12" spans="1:21" x14ac:dyDescent="0.35">
      <c r="A12">
        <f>A32-StockDict_WC!B12-StockDict_WC!F12-StockDict_WC!D12-StockDict_WC!H12-StockDict_WC!J12-StockDict_WC!L12-StockDict_WC!N12-StockDict_WC!P12-StockDict_WC!R12-StockDict_WC!T12</f>
        <v>31.057349732993327</v>
      </c>
      <c r="B12">
        <f>FlowDict_WC!D12+FlowDict_WC!F12-FlowDict_WC!H12-FlowDict_WC!G12</f>
        <v>-4.3372406580735117</v>
      </c>
      <c r="C12">
        <f>FlowDict_WC!H12+FlowDict_WC!M12+FlowDict_WC!L12-FlowDict_WC!N12-FlowDict_WC!I12-FlowDict_WC!O12-FlowDict_WC!K12</f>
        <v>1.2964382569719213</v>
      </c>
      <c r="D12">
        <f>FlowDict_WC!I12-FlowDict_WC!J12-StockDict_WC!B12</f>
        <v>7.1054273576010019E-15</v>
      </c>
      <c r="E12">
        <f>FlowDict_WC!V12-FlowDict_WC!F12</f>
        <v>0</v>
      </c>
      <c r="F12">
        <f>FlowDict_WC!G12-StockDict_WC!D12</f>
        <v>0</v>
      </c>
      <c r="G12">
        <f>FlowDict_WC!K12-StockDict_WC!F12</f>
        <v>0</v>
      </c>
      <c r="H12">
        <f>FlowDict_WC!J12-FlowDict_WC!P12-FlowDict_WC!Q12</f>
        <v>0</v>
      </c>
      <c r="I12">
        <f>FlowDict_WC!X12-FlowDict_WC!M12</f>
        <v>0</v>
      </c>
      <c r="J12">
        <f>FlowDict_WC!P12-FlowDict_WC!R12-FlowDict_WC!Y12</f>
        <v>6.8196304268189847</v>
      </c>
      <c r="K12">
        <f>FlowDict_WC!Q12-FlowDict_WC!T12-FlowDict_WC!S12</f>
        <v>27.278521707275939</v>
      </c>
      <c r="L12">
        <f>FlowDict_WC!W12-FlowDict_WC!L12</f>
        <v>0</v>
      </c>
      <c r="M12">
        <f>FlowDict_WC!O12-StockDict_WC!H12</f>
        <v>0</v>
      </c>
      <c r="N12">
        <f>FlowDict_WC!U12-FlowDict_WC!B12</f>
        <v>0</v>
      </c>
      <c r="O12">
        <f>FlowDict_WC!N12-StockDict_WC!J12</f>
        <v>0</v>
      </c>
      <c r="P12">
        <f>FlowDict_WC!C12-StockDict_WC!L12</f>
        <v>0</v>
      </c>
      <c r="Q12">
        <f>FlowDict_WC!E12-StockDict_WC!N12</f>
        <v>0</v>
      </c>
      <c r="R12">
        <f>FlowDict_WC!R12-StockDict_WC!P12-FlowDict_WC!Z12</f>
        <v>0</v>
      </c>
      <c r="S12">
        <f>FlowDict_WC!S12-StockDict_WC!R12</f>
        <v>0</v>
      </c>
      <c r="T12">
        <f>FlowDict_WC!Y12+FlowDict_WC!Z12+FlowDict_WC!T12-StockDict_WC!T12</f>
        <v>0</v>
      </c>
      <c r="U12">
        <f>FlowDict_WC!B12-FlowDict_WC!D12-FlowDict_WC!C12-FlowDict_WC!E12</f>
        <v>0</v>
      </c>
    </row>
    <row r="13" spans="1:21" x14ac:dyDescent="0.35">
      <c r="A13">
        <f>A33-StockDict_WC!B13-StockDict_WC!F13-StockDict_WC!D13-StockDict_WC!H13-StockDict_WC!J13-StockDict_WC!L13-StockDict_WC!N13-StockDict_WC!P13-StockDict_WC!R13-StockDict_WC!T13</f>
        <v>32.94493881390359</v>
      </c>
      <c r="B13">
        <f>FlowDict_WC!D13+FlowDict_WC!F13-FlowDict_WC!H13-FlowDict_WC!G13</f>
        <v>-4.4239854712349711</v>
      </c>
      <c r="C13">
        <f>FlowDict_WC!H13+FlowDict_WC!M13+FlowDict_WC!L13-FlowDict_WC!N13-FlowDict_WC!I13-FlowDict_WC!O13-FlowDict_WC!K13</f>
        <v>1.3223670221113064</v>
      </c>
      <c r="D13">
        <f>FlowDict_WC!I13-FlowDict_WC!J13-StockDict_WC!B13</f>
        <v>7.1054273576010019E-15</v>
      </c>
      <c r="E13">
        <f>FlowDict_WC!V13-FlowDict_WC!F13</f>
        <v>0</v>
      </c>
      <c r="F13">
        <f>FlowDict_WC!G13-StockDict_WC!D13</f>
        <v>0</v>
      </c>
      <c r="G13">
        <f>FlowDict_WC!K13-StockDict_WC!F13</f>
        <v>0</v>
      </c>
      <c r="H13">
        <f>FlowDict_WC!J13-FlowDict_WC!P13-FlowDict_WC!Q13</f>
        <v>0</v>
      </c>
      <c r="I13">
        <f>FlowDict_WC!X13-FlowDict_WC!M13</f>
        <v>0</v>
      </c>
      <c r="J13">
        <f>FlowDict_WC!P13-FlowDict_WC!R13-FlowDict_WC!Y13</f>
        <v>7.2093114526054549</v>
      </c>
      <c r="K13">
        <f>FlowDict_WC!Q13-FlowDict_WC!T13-FlowDict_WC!S13</f>
        <v>28.83724581042182</v>
      </c>
      <c r="L13">
        <f>FlowDict_WC!W13-FlowDict_WC!L13</f>
        <v>0</v>
      </c>
      <c r="M13">
        <f>FlowDict_WC!O13-StockDict_WC!H13</f>
        <v>0</v>
      </c>
      <c r="N13">
        <f>FlowDict_WC!U13-FlowDict_WC!B13</f>
        <v>0</v>
      </c>
      <c r="O13">
        <f>FlowDict_WC!N13-StockDict_WC!J13</f>
        <v>0</v>
      </c>
      <c r="P13">
        <f>FlowDict_WC!C13-StockDict_WC!L13</f>
        <v>0</v>
      </c>
      <c r="Q13">
        <f>FlowDict_WC!E13-StockDict_WC!N13</f>
        <v>0</v>
      </c>
      <c r="R13">
        <f>FlowDict_WC!R13-StockDict_WC!P13-FlowDict_WC!Z13</f>
        <v>0</v>
      </c>
      <c r="S13">
        <f>FlowDict_WC!S13-StockDict_WC!R13</f>
        <v>0</v>
      </c>
      <c r="T13">
        <f>FlowDict_WC!Y13+FlowDict_WC!Z13+FlowDict_WC!T13-StockDict_WC!T13</f>
        <v>0</v>
      </c>
      <c r="U13">
        <f>FlowDict_WC!B13-FlowDict_WC!D13-FlowDict_WC!C13-FlowDict_WC!E13</f>
        <v>0</v>
      </c>
    </row>
    <row r="14" spans="1:21" x14ac:dyDescent="0.35">
      <c r="A14">
        <f>A34-StockDict_WC!B14-StockDict_WC!F14-StockDict_WC!D14-StockDict_WC!H14-StockDict_WC!J14-StockDict_WC!L14-StockDict_WC!N14-StockDict_WC!P14-StockDict_WC!R14-StockDict_WC!T14</f>
        <v>34.595243165050455</v>
      </c>
      <c r="B14">
        <f>FlowDict_WC!D14+FlowDict_WC!F14-FlowDict_WC!H14-FlowDict_WC!G14</f>
        <v>-4.5124651806596816</v>
      </c>
      <c r="C14">
        <f>FlowDict_WC!H14+FlowDict_WC!M14+FlowDict_WC!L14-FlowDict_WC!N14-FlowDict_WC!I14-FlowDict_WC!O14-FlowDict_WC!K14</f>
        <v>1.3488143625535649</v>
      </c>
      <c r="D14">
        <f>FlowDict_WC!I14-FlowDict_WC!J14-StockDict_WC!B14</f>
        <v>-7.1054273576010019E-15</v>
      </c>
      <c r="E14">
        <f>FlowDict_WC!V14-FlowDict_WC!F14</f>
        <v>0</v>
      </c>
      <c r="F14">
        <f>FlowDict_WC!G14-StockDict_WC!D14</f>
        <v>0</v>
      </c>
      <c r="G14">
        <f>FlowDict_WC!K14-StockDict_WC!F14</f>
        <v>0</v>
      </c>
      <c r="H14">
        <f>FlowDict_WC!J14-FlowDict_WC!P14-FlowDict_WC!Q14</f>
        <v>0</v>
      </c>
      <c r="I14">
        <f>FlowDict_WC!X14-FlowDict_WC!M14</f>
        <v>0</v>
      </c>
      <c r="J14">
        <f>FlowDict_WC!P14-FlowDict_WC!R14-FlowDict_WC!Y14</f>
        <v>7.5517787966313108</v>
      </c>
      <c r="K14">
        <f>FlowDict_WC!Q14-FlowDict_WC!T14-FlowDict_WC!S14</f>
        <v>30.20711518652524</v>
      </c>
      <c r="L14">
        <f>FlowDict_WC!W14-FlowDict_WC!L14</f>
        <v>0</v>
      </c>
      <c r="M14">
        <f>FlowDict_WC!O14-StockDict_WC!H14</f>
        <v>0</v>
      </c>
      <c r="N14">
        <f>FlowDict_WC!U14-FlowDict_WC!B14</f>
        <v>0</v>
      </c>
      <c r="O14">
        <f>FlowDict_WC!N14-StockDict_WC!J14</f>
        <v>0</v>
      </c>
      <c r="P14">
        <f>FlowDict_WC!C14-StockDict_WC!L14</f>
        <v>0</v>
      </c>
      <c r="Q14">
        <f>FlowDict_WC!E14-StockDict_WC!N14</f>
        <v>0</v>
      </c>
      <c r="R14">
        <f>FlowDict_WC!R14-StockDict_WC!P14-FlowDict_WC!Z14</f>
        <v>0</v>
      </c>
      <c r="S14">
        <f>FlowDict_WC!S14-StockDict_WC!R14</f>
        <v>0</v>
      </c>
      <c r="T14">
        <f>FlowDict_WC!Y14+FlowDict_WC!Z14+FlowDict_WC!T14-StockDict_WC!T14</f>
        <v>0</v>
      </c>
      <c r="U14">
        <f>FlowDict_WC!B14-FlowDict_WC!D14-FlowDict_WC!C14-FlowDict_WC!E14</f>
        <v>0</v>
      </c>
    </row>
    <row r="15" spans="1:21" x14ac:dyDescent="0.35">
      <c r="A15">
        <f>A35-StockDict_WC!B15-StockDict_WC!F15-StockDict_WC!D15-StockDict_WC!H15-StockDict_WC!J15-StockDict_WC!L15-StockDict_WC!N15-StockDict_WC!P15-StockDict_WC!R15-StockDict_WC!T15</f>
        <v>35.894682607758391</v>
      </c>
      <c r="B15">
        <f>FlowDict_WC!D15+FlowDict_WC!F15-FlowDict_WC!H15-FlowDict_WC!G15</f>
        <v>-4.602714484272866</v>
      </c>
      <c r="C15">
        <f>FlowDict_WC!H15+FlowDict_WC!M15+FlowDict_WC!L15-FlowDict_WC!N15-FlowDict_WC!I15-FlowDict_WC!O15-FlowDict_WC!K15</f>
        <v>1.3757906498046122</v>
      </c>
      <c r="D15">
        <f>FlowDict_WC!I15-FlowDict_WC!J15-StockDict_WC!B15</f>
        <v>0</v>
      </c>
      <c r="E15">
        <f>FlowDict_WC!V15-FlowDict_WC!F15</f>
        <v>0</v>
      </c>
      <c r="F15">
        <f>FlowDict_WC!G15-StockDict_WC!D15</f>
        <v>0</v>
      </c>
      <c r="G15">
        <f>FlowDict_WC!K15-StockDict_WC!F15</f>
        <v>0</v>
      </c>
      <c r="H15">
        <f>FlowDict_WC!J15-FlowDict_WC!P15-FlowDict_WC!Q15</f>
        <v>0</v>
      </c>
      <c r="I15">
        <f>FlowDict_WC!X15-FlowDict_WC!M15</f>
        <v>0</v>
      </c>
      <c r="J15">
        <f>FlowDict_WC!P15-FlowDict_WC!R15-FlowDict_WC!Y15</f>
        <v>7.8243212884453266</v>
      </c>
      <c r="K15">
        <f>FlowDict_WC!Q15-FlowDict_WC!T15-FlowDict_WC!S15</f>
        <v>31.29728515378131</v>
      </c>
      <c r="L15">
        <f>FlowDict_WC!W15-FlowDict_WC!L15</f>
        <v>0</v>
      </c>
      <c r="M15">
        <f>FlowDict_WC!O15-StockDict_WC!H15</f>
        <v>0</v>
      </c>
      <c r="N15">
        <f>FlowDict_WC!U15-FlowDict_WC!B15</f>
        <v>0</v>
      </c>
      <c r="O15">
        <f>FlowDict_WC!N15-StockDict_WC!J15</f>
        <v>0</v>
      </c>
      <c r="P15">
        <f>FlowDict_WC!C15-StockDict_WC!L15</f>
        <v>0</v>
      </c>
      <c r="Q15">
        <f>FlowDict_WC!E15-StockDict_WC!N15</f>
        <v>0</v>
      </c>
      <c r="R15">
        <f>FlowDict_WC!R15-StockDict_WC!P15-FlowDict_WC!Z15</f>
        <v>0</v>
      </c>
      <c r="S15">
        <f>FlowDict_WC!S15-StockDict_WC!R15</f>
        <v>0</v>
      </c>
      <c r="T15">
        <f>FlowDict_WC!Y15+FlowDict_WC!Z15+FlowDict_WC!T15-StockDict_WC!T15</f>
        <v>0</v>
      </c>
      <c r="U15">
        <f>FlowDict_WC!B15-FlowDict_WC!D15-FlowDict_WC!C15-FlowDict_WC!E15</f>
        <v>-3.5527136788005009E-15</v>
      </c>
    </row>
    <row r="16" spans="1:21" x14ac:dyDescent="0.35">
      <c r="A16">
        <f>A36-StockDict_WC!B16-StockDict_WC!F16-StockDict_WC!D16-StockDict_WC!H16-StockDict_WC!J16-StockDict_WC!L16-StockDict_WC!N16-StockDict_WC!P16-StockDict_WC!R16-StockDict_WC!T16</f>
        <v>36.903994447924525</v>
      </c>
      <c r="B16">
        <f>FlowDict_WC!D16+FlowDict_WC!F16-FlowDict_WC!H16-FlowDict_WC!G16</f>
        <v>-4.6947687739583159</v>
      </c>
      <c r="C16">
        <f>FlowDict_WC!H16+FlowDict_WC!M16+FlowDict_WC!L16-FlowDict_WC!N16-FlowDict_WC!I16-FlowDict_WC!O16-FlowDict_WC!K16</f>
        <v>1.4033064628007033</v>
      </c>
      <c r="D16">
        <f>FlowDict_WC!I16-FlowDict_WC!J16-StockDict_WC!B16</f>
        <v>-7.1054273576010019E-15</v>
      </c>
      <c r="E16">
        <f>FlowDict_WC!V16-FlowDict_WC!F16</f>
        <v>0</v>
      </c>
      <c r="F16">
        <f>FlowDict_WC!G16-StockDict_WC!D16</f>
        <v>0</v>
      </c>
      <c r="G16">
        <f>FlowDict_WC!K16-StockDict_WC!F16</f>
        <v>0</v>
      </c>
      <c r="H16">
        <f>FlowDict_WC!J16-FlowDict_WC!P16-FlowDict_WC!Q16</f>
        <v>0</v>
      </c>
      <c r="I16">
        <f>FlowDict_WC!X16-FlowDict_WC!M16</f>
        <v>0</v>
      </c>
      <c r="J16">
        <f>FlowDict_WC!P16-FlowDict_WC!R16-FlowDict_WC!Y16</f>
        <v>8.0390913518164258</v>
      </c>
      <c r="K16">
        <f>FlowDict_WC!Q16-FlowDict_WC!T16-FlowDict_WC!S16</f>
        <v>32.156365407265703</v>
      </c>
      <c r="L16">
        <f>FlowDict_WC!W16-FlowDict_WC!L16</f>
        <v>0</v>
      </c>
      <c r="M16">
        <f>FlowDict_WC!O16-StockDict_WC!H16</f>
        <v>0</v>
      </c>
      <c r="N16">
        <f>FlowDict_WC!U16-FlowDict_WC!B16</f>
        <v>0</v>
      </c>
      <c r="O16">
        <f>FlowDict_WC!N16-StockDict_WC!J16</f>
        <v>0</v>
      </c>
      <c r="P16">
        <f>FlowDict_WC!C16-StockDict_WC!L16</f>
        <v>0</v>
      </c>
      <c r="Q16">
        <f>FlowDict_WC!E16-StockDict_WC!N16</f>
        <v>0</v>
      </c>
      <c r="R16">
        <f>FlowDict_WC!R16-StockDict_WC!P16-FlowDict_WC!Z16</f>
        <v>0</v>
      </c>
      <c r="S16">
        <f>FlowDict_WC!S16-StockDict_WC!R16</f>
        <v>0</v>
      </c>
      <c r="T16">
        <f>FlowDict_WC!Y16+FlowDict_WC!Z16+FlowDict_WC!T16-StockDict_WC!T16</f>
        <v>0</v>
      </c>
      <c r="U16">
        <f>FlowDict_WC!B16-FlowDict_WC!D16-FlowDict_WC!C16-FlowDict_WC!E16</f>
        <v>0</v>
      </c>
    </row>
    <row r="21" spans="1:1" x14ac:dyDescent="0.35">
      <c r="A21" t="s">
        <v>67</v>
      </c>
    </row>
    <row r="22" spans="1:1" x14ac:dyDescent="0.35">
      <c r="A22">
        <f>SUM(FlowDict_WC!U2:X2)</f>
        <v>119.06</v>
      </c>
    </row>
    <row r="23" spans="1:1" x14ac:dyDescent="0.35">
      <c r="A23">
        <f>SUM(FlowDict_WC!U3:X3)</f>
        <v>121.44120000000001</v>
      </c>
    </row>
    <row r="24" spans="1:1" x14ac:dyDescent="0.35">
      <c r="A24">
        <f>SUM(FlowDict_WC!U4:X4)</f>
        <v>123.870024</v>
      </c>
    </row>
    <row r="25" spans="1:1" x14ac:dyDescent="0.35">
      <c r="A25">
        <f>SUM(FlowDict_WC!U5:X5)</f>
        <v>126.34742448</v>
      </c>
    </row>
    <row r="26" spans="1:1" x14ac:dyDescent="0.35">
      <c r="A26">
        <f>SUM(FlowDict_WC!U6:X6)</f>
        <v>128.87437296960002</v>
      </c>
    </row>
    <row r="27" spans="1:1" x14ac:dyDescent="0.35">
      <c r="A27">
        <f>SUM(FlowDict_WC!U7:X7)</f>
        <v>131.45186042899201</v>
      </c>
    </row>
    <row r="28" spans="1:1" x14ac:dyDescent="0.35">
      <c r="A28">
        <f>SUM(FlowDict_WC!U8:X8)</f>
        <v>134.08089763757187</v>
      </c>
    </row>
    <row r="29" spans="1:1" x14ac:dyDescent="0.35">
      <c r="A29">
        <f>SUM(FlowDict_WC!U9:X9)</f>
        <v>136.76251559032329</v>
      </c>
    </row>
    <row r="30" spans="1:1" x14ac:dyDescent="0.35">
      <c r="A30">
        <f>SUM(FlowDict_WC!U10:X10)</f>
        <v>139.49776590212974</v>
      </c>
    </row>
    <row r="31" spans="1:1" x14ac:dyDescent="0.35">
      <c r="A31">
        <f>SUM(FlowDict_WC!U11:X11)</f>
        <v>142.28772122017239</v>
      </c>
    </row>
    <row r="32" spans="1:1" x14ac:dyDescent="0.35">
      <c r="A32">
        <f>SUM(FlowDict_WC!U12:X12)</f>
        <v>145.13347564457581</v>
      </c>
    </row>
    <row r="33" spans="1:2" x14ac:dyDescent="0.35">
      <c r="A33">
        <f>SUM(FlowDict_WC!U13:X13)</f>
        <v>148.03614515746733</v>
      </c>
    </row>
    <row r="34" spans="1:2" x14ac:dyDescent="0.35">
      <c r="A34">
        <f>SUM(FlowDict_WC!U14:X14)</f>
        <v>150.99686806061669</v>
      </c>
    </row>
    <row r="35" spans="1:2" x14ac:dyDescent="0.35">
      <c r="A35">
        <f>SUM(FlowDict_WC!U15:X15)</f>
        <v>154.01680542182902</v>
      </c>
    </row>
    <row r="36" spans="1:2" x14ac:dyDescent="0.35">
      <c r="A36">
        <f>SUM(FlowDict_WC!U16:X16)</f>
        <v>157.09714153026562</v>
      </c>
    </row>
    <row r="40" spans="1:2" x14ac:dyDescent="0.35">
      <c r="B40" cm="1">
        <f t="array" ref="B40">SUM(ABS(A2:A16))</f>
        <v>365.70235522027178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71FE-3D5E-4DDB-B80F-0E8ED6FBF2DC}">
  <dimension ref="A1:U36"/>
  <sheetViews>
    <sheetView workbookViewId="0">
      <selection activeCell="A21" sqref="A21"/>
    </sheetView>
  </sheetViews>
  <sheetFormatPr defaultRowHeight="14.5" x14ac:dyDescent="0.35"/>
  <cols>
    <col min="10" max="10" width="12.453125" bestFit="1" customWidth="1"/>
  </cols>
  <sheetData>
    <row r="1" spans="1:21" x14ac:dyDescent="0.35">
      <c r="A1" t="s">
        <v>65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</row>
    <row r="2" spans="1:21" x14ac:dyDescent="0.35">
      <c r="A2">
        <f>A22-StockDict_DM!B2-StockDict_DM!D2-StockDict_DM!F2-StockDict_DM!H2-StockDict_DM!J2-StockDict_DM!L2-StockDict_DM!N2-StockDict_DM!P2-StockDict_DM!R2-StockDict_DM!T2</f>
        <v>2.4945075996279655</v>
      </c>
      <c r="B2">
        <f>FlowDict_DM!D2+FlowDict_DM!F2-FlowDict_DM!H2-FlowDict_DM!G2</f>
        <v>3.5580479999999923</v>
      </c>
      <c r="C2">
        <f>FlowDict_DM!H2+FlowDict_DM!M2+FlowDict_DM!L2-FlowDict_DM!N2-FlowDict_DM!I2-FlowDict_DM!O2-FlowDict_DM!K2</f>
        <v>-1.0635309199999998</v>
      </c>
      <c r="D2">
        <f>FlowDict_DM!I2-FlowDict_DM!J2-StockDict_DM!B2</f>
        <v>0</v>
      </c>
      <c r="E2">
        <f>FlowDict_DM!V2-FlowDict_DM!F2</f>
        <v>0</v>
      </c>
      <c r="F2">
        <f>FlowDict_DM!G2-StockDict_DM!D2</f>
        <v>0</v>
      </c>
      <c r="G2">
        <f>FlowDict_DM!K2-StockDict_DM!F2</f>
        <v>0</v>
      </c>
      <c r="H2">
        <f>FlowDict_DM!J2-FlowDict_DM!P2-FlowDict_DM!Q2</f>
        <v>0</v>
      </c>
      <c r="I2">
        <f>FlowDict_DM!X2-FlowDict_DM!M2</f>
        <v>0</v>
      </c>
      <c r="J2">
        <f>FlowDict_DM!P2-FlowDict_DM!R2-FlowDict_DM!Y2</f>
        <v>-1.896074408968218E-6</v>
      </c>
      <c r="K2">
        <f>FlowDict_DM!Q2-FlowDict_DM!T2-FlowDict_DM!S2</f>
        <v>-7.5842976358728687E-6</v>
      </c>
      <c r="L2">
        <f>FlowDict_DM!W2-FlowDict_DM!L2</f>
        <v>0</v>
      </c>
      <c r="M2">
        <f>FlowDict_DM!O2-StockDict_DM!H2</f>
        <v>0</v>
      </c>
      <c r="N2">
        <f>FlowDict_DM!U2-FlowDict_DM!B2</f>
        <v>0</v>
      </c>
      <c r="O2">
        <f>FlowDict_DM!N2-StockDict_DM!J2</f>
        <v>0</v>
      </c>
      <c r="P2">
        <f>FlowDict_DM!C2-StockDict_DM!L2</f>
        <v>0</v>
      </c>
      <c r="Q2">
        <f>FlowDict_DM!E2-StockDict_DM!N2</f>
        <v>0</v>
      </c>
      <c r="R2">
        <f>FlowDict_DM!R2-StockDict_DM!P2-FlowDict_DM!Z2</f>
        <v>0</v>
      </c>
      <c r="S2">
        <f>FlowDict_DM!S2-StockDict_DM!R2</f>
        <v>0</v>
      </c>
      <c r="T2">
        <f>FlowDict_DM!Y2+FlowDict_DM!Z2+FlowDict_DM!T2-StockDict_DM!T2</f>
        <v>0</v>
      </c>
      <c r="U2">
        <f>FlowDict_DM!B2-FlowDict_DM!D2-FlowDict_DM!C2-FlowDict_DM!E2</f>
        <v>0</v>
      </c>
    </row>
    <row r="3" spans="1:21" x14ac:dyDescent="0.35">
      <c r="A3">
        <f>A23-StockDict_DM!B3-StockDict_DM!D3-StockDict_DM!F3-StockDict_DM!H3-StockDict_DM!J3-StockDict_DM!L3-StockDict_DM!N3-StockDict_DM!P3-StockDict_DM!R3-StockDict_DM!T3</f>
        <v>-7.3776667614970028</v>
      </c>
      <c r="B3">
        <f>FlowDict_DM!D3+FlowDict_DM!F3-FlowDict_DM!H3-FlowDict_DM!G3</f>
        <v>3.6292089600000033</v>
      </c>
      <c r="C3">
        <f>FlowDict_DM!H3+FlowDict_DM!M3+FlowDict_DM!L3-FlowDict_DM!N3-FlowDict_DM!I3-FlowDict_DM!O3-FlowDict_DM!K3</f>
        <v>-1.0848015384000096</v>
      </c>
      <c r="D3">
        <f>FlowDict_DM!I3-FlowDict_DM!J3-StockDict_DM!B3</f>
        <v>0</v>
      </c>
      <c r="E3">
        <f>FlowDict_DM!V3-FlowDict_DM!F3</f>
        <v>0</v>
      </c>
      <c r="F3">
        <f>FlowDict_DM!G3-StockDict_DM!D3</f>
        <v>0</v>
      </c>
      <c r="G3">
        <f>FlowDict_DM!K3-StockDict_DM!F3</f>
        <v>0</v>
      </c>
      <c r="H3">
        <f>FlowDict_DM!J3-FlowDict_DM!P3-FlowDict_DM!Q3</f>
        <v>0</v>
      </c>
      <c r="I3">
        <f>FlowDict_DM!X3-FlowDict_DM!M3</f>
        <v>0</v>
      </c>
      <c r="J3">
        <f>FlowDict_DM!P3-FlowDict_DM!R3-FlowDict_DM!Y3</f>
        <v>-1.9844148366193954</v>
      </c>
      <c r="K3">
        <f>FlowDict_DM!Q3-FlowDict_DM!T3-FlowDict_DM!S3</f>
        <v>-7.9376593464775826</v>
      </c>
      <c r="L3">
        <f>FlowDict_DM!W3-FlowDict_DM!L3</f>
        <v>0</v>
      </c>
      <c r="M3">
        <f>FlowDict_DM!O3-StockDict_DM!H3</f>
        <v>0</v>
      </c>
      <c r="N3">
        <f>FlowDict_DM!U3-FlowDict_DM!B3</f>
        <v>0</v>
      </c>
      <c r="O3">
        <f>FlowDict_DM!N3-StockDict_DM!J3</f>
        <v>0</v>
      </c>
      <c r="P3">
        <f>FlowDict_DM!C3-StockDict_DM!L3</f>
        <v>0</v>
      </c>
      <c r="Q3">
        <f>FlowDict_DM!E3-StockDict_DM!N3</f>
        <v>0</v>
      </c>
      <c r="R3">
        <f>FlowDict_DM!R3-StockDict_DM!P3-FlowDict_DM!Z3</f>
        <v>0</v>
      </c>
      <c r="S3">
        <f>FlowDict_DM!S3-StockDict_DM!R3</f>
        <v>0</v>
      </c>
      <c r="T3">
        <f>FlowDict_DM!Y3+FlowDict_DM!Z3+FlowDict_DM!T3-StockDict_DM!T3</f>
        <v>0</v>
      </c>
      <c r="U3">
        <f>FlowDict_DM!B3-FlowDict_DM!D3-FlowDict_DM!C3-FlowDict_DM!E3</f>
        <v>0</v>
      </c>
    </row>
    <row r="4" spans="1:21" x14ac:dyDescent="0.35">
      <c r="A4">
        <f>A24-StockDict_DM!B4-StockDict_DM!D4-StockDict_DM!F4-StockDict_DM!H4-StockDict_DM!J4-StockDict_DM!L4-StockDict_DM!N4-StockDict_DM!P4-StockDict_DM!R4-StockDict_DM!T4</f>
        <v>-17.455962945735514</v>
      </c>
      <c r="B4">
        <f>FlowDict_DM!D4+FlowDict_DM!F4-FlowDict_DM!H4-FlowDict_DM!G4</f>
        <v>3.7017931391999994</v>
      </c>
      <c r="C4">
        <f>FlowDict_DM!H4+FlowDict_DM!M4+FlowDict_DM!L4-FlowDict_DM!N4-FlowDict_DM!I4-FlowDict_DM!O4-FlowDict_DM!K4</f>
        <v>-1.1064975691680079</v>
      </c>
      <c r="D4">
        <f>FlowDict_DM!I4-FlowDict_DM!J4-StockDict_DM!B4</f>
        <v>0</v>
      </c>
      <c r="E4">
        <f>FlowDict_DM!V4-FlowDict_DM!F4</f>
        <v>0</v>
      </c>
      <c r="F4">
        <f>FlowDict_DM!G4-StockDict_DM!D4</f>
        <v>0</v>
      </c>
      <c r="G4">
        <f>FlowDict_DM!K4-StockDict_DM!F4</f>
        <v>0</v>
      </c>
      <c r="H4">
        <f>FlowDict_DM!J4-FlowDict_DM!P4-FlowDict_DM!Q4</f>
        <v>0</v>
      </c>
      <c r="I4">
        <f>FlowDict_DM!X4-FlowDict_DM!M4</f>
        <v>0</v>
      </c>
      <c r="J4">
        <f>FlowDict_DM!P4-FlowDict_DM!R4-FlowDict_DM!Y4</f>
        <v>-4.0102517031535028</v>
      </c>
      <c r="K4">
        <f>FlowDict_DM!Q4-FlowDict_DM!T4-FlowDict_DM!S4</f>
        <v>-16.041006812614011</v>
      </c>
      <c r="L4">
        <f>FlowDict_DM!W4-FlowDict_DM!L4</f>
        <v>0</v>
      </c>
      <c r="M4">
        <f>FlowDict_DM!O4-StockDict_DM!H4</f>
        <v>0</v>
      </c>
      <c r="N4">
        <f>FlowDict_DM!U4-FlowDict_DM!B4</f>
        <v>0</v>
      </c>
      <c r="O4">
        <f>FlowDict_DM!N4-StockDict_DM!J4</f>
        <v>0</v>
      </c>
      <c r="P4">
        <f>FlowDict_DM!C4-StockDict_DM!L4</f>
        <v>0</v>
      </c>
      <c r="Q4">
        <f>FlowDict_DM!E4-StockDict_DM!N4</f>
        <v>0</v>
      </c>
      <c r="R4">
        <f>FlowDict_DM!R4-StockDict_DM!P4-FlowDict_DM!Z4</f>
        <v>0</v>
      </c>
      <c r="S4">
        <f>FlowDict_DM!S4-StockDict_DM!R4</f>
        <v>0</v>
      </c>
      <c r="T4">
        <f>FlowDict_DM!Y4+FlowDict_DM!Z4+FlowDict_DM!T4-StockDict_DM!T4</f>
        <v>0</v>
      </c>
      <c r="U4">
        <f>FlowDict_DM!B4-FlowDict_DM!D4-FlowDict_DM!C4-FlowDict_DM!E4</f>
        <v>0</v>
      </c>
    </row>
    <row r="5" spans="1:21" x14ac:dyDescent="0.35">
      <c r="A5">
        <f>A25-StockDict_DM!B5-StockDict_DM!D5-StockDict_DM!F5-StockDict_DM!H5-StockDict_DM!J5-StockDict_DM!L5-StockDict_DM!N5-StockDict_DM!P5-StockDict_DM!R5-StockDict_DM!T5</f>
        <v>-17.947970301004993</v>
      </c>
      <c r="B5">
        <f>FlowDict_DM!D5+FlowDict_DM!F5-FlowDict_DM!H5-FlowDict_DM!G5</f>
        <v>3.7758290019840004</v>
      </c>
      <c r="C5">
        <f>FlowDict_DM!H5+FlowDict_DM!M5+FlowDict_DM!L5-FlowDict_DM!N5-FlowDict_DM!I5-FlowDict_DM!O5-FlowDict_DM!K5</f>
        <v>-1.1286275205513574</v>
      </c>
      <c r="D5">
        <f>FlowDict_DM!I5-FlowDict_DM!J5-StockDict_DM!B5</f>
        <v>0</v>
      </c>
      <c r="E5">
        <f>FlowDict_DM!V5-FlowDict_DM!F5</f>
        <v>0</v>
      </c>
      <c r="F5">
        <f>FlowDict_DM!G5-StockDict_DM!D5</f>
        <v>0</v>
      </c>
      <c r="G5">
        <f>FlowDict_DM!K5-StockDict_DM!F5</f>
        <v>0</v>
      </c>
      <c r="H5">
        <f>FlowDict_DM!J5-FlowDict_DM!P5-FlowDict_DM!Q5</f>
        <v>0</v>
      </c>
      <c r="I5">
        <f>FlowDict_DM!X5-FlowDict_DM!M5</f>
        <v>0</v>
      </c>
      <c r="J5">
        <f>FlowDict_DM!P5-FlowDict_DM!R5-FlowDict_DM!Y5</f>
        <v>-4.1190343564875196</v>
      </c>
      <c r="K5">
        <f>FlowDict_DM!Q5-FlowDict_DM!T5-FlowDict_DM!S5</f>
        <v>-16.476137425950082</v>
      </c>
      <c r="L5">
        <f>FlowDict_DM!W5-FlowDict_DM!L5</f>
        <v>0</v>
      </c>
      <c r="M5">
        <f>FlowDict_DM!O5-StockDict_DM!H5</f>
        <v>0</v>
      </c>
      <c r="N5">
        <f>FlowDict_DM!U5-FlowDict_DM!B5</f>
        <v>0</v>
      </c>
      <c r="O5">
        <f>FlowDict_DM!N5-StockDict_DM!J5</f>
        <v>0</v>
      </c>
      <c r="P5">
        <f>FlowDict_DM!C5-StockDict_DM!L5</f>
        <v>0</v>
      </c>
      <c r="Q5">
        <f>FlowDict_DM!E5-StockDict_DM!N5</f>
        <v>0</v>
      </c>
      <c r="R5">
        <f>FlowDict_DM!R5-StockDict_DM!P5-FlowDict_DM!Z5</f>
        <v>8.8817841970012523E-16</v>
      </c>
      <c r="S5">
        <f>FlowDict_DM!S5-StockDict_DM!R5</f>
        <v>0</v>
      </c>
      <c r="T5">
        <f>FlowDict_DM!Y5+FlowDict_DM!Z5+FlowDict_DM!T5-StockDict_DM!T5</f>
        <v>0</v>
      </c>
      <c r="U5">
        <f>FlowDict_DM!B5-FlowDict_DM!D5-FlowDict_DM!C5-FlowDict_DM!E5</f>
        <v>0</v>
      </c>
    </row>
    <row r="6" spans="1:21" x14ac:dyDescent="0.35">
      <c r="A6">
        <f>A26-StockDict_DM!B6-StockDict_DM!D6-StockDict_DM!F6-StockDict_DM!H6-StockDict_DM!J6-StockDict_DM!L6-StockDict_DM!N6-StockDict_DM!P6-StockDict_DM!R6-StockDict_DM!T6</f>
        <v>-19.213272718468119</v>
      </c>
      <c r="B6">
        <f>FlowDict_DM!D6+FlowDict_DM!F6-FlowDict_DM!H6-FlowDict_DM!G6</f>
        <v>3.8513455820236793</v>
      </c>
      <c r="C6">
        <f>FlowDict_DM!H6+FlowDict_DM!M6+FlowDict_DM!L6-FlowDict_DM!N6-FlowDict_DM!I6-FlowDict_DM!O6-FlowDict_DM!K6</f>
        <v>-1.1512000709623882</v>
      </c>
      <c r="D6">
        <f>FlowDict_DM!I6-FlowDict_DM!J6-StockDict_DM!B6</f>
        <v>0</v>
      </c>
      <c r="E6">
        <f>FlowDict_DM!V6-FlowDict_DM!F6</f>
        <v>0</v>
      </c>
      <c r="F6">
        <f>FlowDict_DM!G6-StockDict_DM!D6</f>
        <v>0</v>
      </c>
      <c r="G6">
        <f>FlowDict_DM!K6-StockDict_DM!F6</f>
        <v>0</v>
      </c>
      <c r="H6">
        <f>FlowDict_DM!J6-FlowDict_DM!P6-FlowDict_DM!Q6</f>
        <v>0</v>
      </c>
      <c r="I6">
        <f>FlowDict_DM!X6-FlowDict_DM!M6</f>
        <v>0</v>
      </c>
      <c r="J6">
        <f>FlowDict_DM!P6-FlowDict_DM!R6-FlowDict_DM!Y6</f>
        <v>-4.38268364590588</v>
      </c>
      <c r="K6">
        <f>FlowDict_DM!Q6-FlowDict_DM!T6-FlowDict_DM!S6</f>
        <v>-17.530734583623531</v>
      </c>
      <c r="L6">
        <f>FlowDict_DM!W6-FlowDict_DM!L6</f>
        <v>0</v>
      </c>
      <c r="M6">
        <f>FlowDict_DM!O6-StockDict_DM!H6</f>
        <v>0</v>
      </c>
      <c r="N6">
        <f>FlowDict_DM!U6-FlowDict_DM!B6</f>
        <v>0</v>
      </c>
      <c r="O6">
        <f>FlowDict_DM!N6-StockDict_DM!J6</f>
        <v>0</v>
      </c>
      <c r="P6">
        <f>FlowDict_DM!C6-StockDict_DM!L6</f>
        <v>0</v>
      </c>
      <c r="Q6">
        <f>FlowDict_DM!E6-StockDict_DM!N6</f>
        <v>0</v>
      </c>
      <c r="R6">
        <f>FlowDict_DM!R6-StockDict_DM!P6-FlowDict_DM!Z6</f>
        <v>0</v>
      </c>
      <c r="S6">
        <f>FlowDict_DM!S6-StockDict_DM!R6</f>
        <v>0</v>
      </c>
      <c r="T6">
        <f>FlowDict_DM!Y6+FlowDict_DM!Z6+FlowDict_DM!T6-StockDict_DM!T6</f>
        <v>0</v>
      </c>
      <c r="U6">
        <f>FlowDict_DM!B6-FlowDict_DM!D6-FlowDict_DM!C6-FlowDict_DM!E6</f>
        <v>0</v>
      </c>
    </row>
    <row r="7" spans="1:21" x14ac:dyDescent="0.35">
      <c r="A7">
        <f>A27-StockDict_DM!B7-StockDict_DM!D7-StockDict_DM!F7-StockDict_DM!H7-StockDict_DM!J7-StockDict_DM!L7-StockDict_DM!N7-StockDict_DM!P7-StockDict_DM!R7-StockDict_DM!T7</f>
        <v>-21.887529166814325</v>
      </c>
      <c r="B7">
        <f>FlowDict_DM!D7+FlowDict_DM!F7-FlowDict_DM!H7-FlowDict_DM!G7</f>
        <v>3.9283724936641633</v>
      </c>
      <c r="C7">
        <f>FlowDict_DM!H7+FlowDict_DM!M7+FlowDict_DM!L7-FlowDict_DM!N7-FlowDict_DM!I7-FlowDict_DM!O7-FlowDict_DM!K7</f>
        <v>-1.1742240723816311</v>
      </c>
      <c r="D7">
        <f>FlowDict_DM!I7-FlowDict_DM!J7-StockDict_DM!B7</f>
        <v>0</v>
      </c>
      <c r="E7">
        <f>FlowDict_DM!V7-FlowDict_DM!F7</f>
        <v>0</v>
      </c>
      <c r="F7">
        <f>FlowDict_DM!G7-StockDict_DM!D7</f>
        <v>0</v>
      </c>
      <c r="G7">
        <f>FlowDict_DM!K7-StockDict_DM!F7</f>
        <v>0</v>
      </c>
      <c r="H7">
        <f>FlowDict_DM!J7-FlowDict_DM!P7-FlowDict_DM!Q7</f>
        <v>0</v>
      </c>
      <c r="I7">
        <f>FlowDict_DM!X7-FlowDict_DM!M7</f>
        <v>0</v>
      </c>
      <c r="J7">
        <f>FlowDict_DM!P7-FlowDict_DM!R7-FlowDict_DM!Y7</f>
        <v>-4.9283355176193613</v>
      </c>
      <c r="K7">
        <f>FlowDict_DM!Q7-FlowDict_DM!T7-FlowDict_DM!S7</f>
        <v>-19.713342070477445</v>
      </c>
      <c r="L7">
        <f>FlowDict_DM!W7-FlowDict_DM!L7</f>
        <v>0</v>
      </c>
      <c r="M7">
        <f>FlowDict_DM!O7-StockDict_DM!H7</f>
        <v>0</v>
      </c>
      <c r="N7">
        <f>FlowDict_DM!U7-FlowDict_DM!B7</f>
        <v>0</v>
      </c>
      <c r="O7">
        <f>FlowDict_DM!N7-StockDict_DM!J7</f>
        <v>0</v>
      </c>
      <c r="P7">
        <f>FlowDict_DM!C7-StockDict_DM!L7</f>
        <v>0</v>
      </c>
      <c r="Q7">
        <f>FlowDict_DM!E7-StockDict_DM!N7</f>
        <v>0</v>
      </c>
      <c r="R7">
        <f>FlowDict_DM!R7-StockDict_DM!P7-FlowDict_DM!Z7</f>
        <v>4.163336342344337E-16</v>
      </c>
      <c r="S7">
        <f>FlowDict_DM!S7-StockDict_DM!R7</f>
        <v>0</v>
      </c>
      <c r="T7">
        <f>FlowDict_DM!Y7+FlowDict_DM!Z7+FlowDict_DM!T7-StockDict_DM!T7</f>
        <v>0</v>
      </c>
      <c r="U7">
        <f>FlowDict_DM!B7-FlowDict_DM!D7-FlowDict_DM!C7-FlowDict_DM!E7</f>
        <v>-4.6185277824406512E-14</v>
      </c>
    </row>
    <row r="8" spans="1:21" x14ac:dyDescent="0.35">
      <c r="A8">
        <f>A28-StockDict_DM!B8-StockDict_DM!D8-StockDict_DM!F8-StockDict_DM!H8-StockDict_DM!J8-StockDict_DM!L8-StockDict_DM!N8-StockDict_DM!P8-StockDict_DM!R8-StockDict_DM!T8</f>
        <v>-24.692533446468381</v>
      </c>
      <c r="B8">
        <f>FlowDict_DM!D8+FlowDict_DM!F8-FlowDict_DM!H8-FlowDict_DM!G8</f>
        <v>4.0069399435374429</v>
      </c>
      <c r="C8">
        <f>FlowDict_DM!H8+FlowDict_DM!M8+FlowDict_DM!L8-FlowDict_DM!N8-FlowDict_DM!I8-FlowDict_DM!O8-FlowDict_DM!K8</f>
        <v>-1.1977085538292744</v>
      </c>
      <c r="D8">
        <f>FlowDict_DM!I8-FlowDict_DM!J8-StockDict_DM!B8</f>
        <v>-7.1054273576010019E-15</v>
      </c>
      <c r="E8">
        <f>FlowDict_DM!V8-FlowDict_DM!F8</f>
        <v>0</v>
      </c>
      <c r="F8">
        <f>FlowDict_DM!G8-StockDict_DM!D8</f>
        <v>0</v>
      </c>
      <c r="G8">
        <f>FlowDict_DM!K8-StockDict_DM!F8</f>
        <v>0</v>
      </c>
      <c r="H8">
        <f>FlowDict_DM!J8-FlowDict_DM!P8-FlowDict_DM!Q8</f>
        <v>0</v>
      </c>
      <c r="I8">
        <f>FlowDict_DM!X8-FlowDict_DM!M8</f>
        <v>0</v>
      </c>
      <c r="J8">
        <f>FlowDict_DM!P8-FlowDict_DM!R8-FlowDict_DM!Y8</f>
        <v>-5.5003529672353144</v>
      </c>
      <c r="K8">
        <f>FlowDict_DM!Q8-FlowDict_DM!T8-FlowDict_DM!S8</f>
        <v>-22.001411868941272</v>
      </c>
      <c r="L8">
        <f>FlowDict_DM!W8-FlowDict_DM!L8</f>
        <v>0</v>
      </c>
      <c r="M8">
        <f>FlowDict_DM!O8-StockDict_DM!H8</f>
        <v>0</v>
      </c>
      <c r="N8">
        <f>FlowDict_DM!U8-FlowDict_DM!B8</f>
        <v>0</v>
      </c>
      <c r="O8">
        <f>FlowDict_DM!N8-StockDict_DM!J8</f>
        <v>0</v>
      </c>
      <c r="P8">
        <f>FlowDict_DM!C8-StockDict_DM!L8</f>
        <v>0</v>
      </c>
      <c r="Q8">
        <f>FlowDict_DM!E8-StockDict_DM!N8</f>
        <v>0</v>
      </c>
      <c r="R8">
        <f>FlowDict_DM!R8-StockDict_DM!P8-FlowDict_DM!Z8</f>
        <v>0</v>
      </c>
      <c r="S8">
        <f>FlowDict_DM!S8-StockDict_DM!R8</f>
        <v>0</v>
      </c>
      <c r="T8">
        <f>FlowDict_DM!Y8+FlowDict_DM!Z8+FlowDict_DM!T8-StockDict_DM!T8</f>
        <v>0</v>
      </c>
      <c r="U8">
        <f>FlowDict_DM!B8-FlowDict_DM!D8-FlowDict_DM!C8-FlowDict_DM!E8</f>
        <v>5.6843418860808015E-14</v>
      </c>
    </row>
    <row r="9" spans="1:21" x14ac:dyDescent="0.35">
      <c r="A9">
        <f>A29-StockDict_DM!B9-StockDict_DM!D9-StockDict_DM!F9-StockDict_DM!H9-StockDict_DM!J9-StockDict_DM!L9-StockDict_DM!N9-StockDict_DM!P9-StockDict_DM!R9-StockDict_DM!T9</f>
        <v>-26.376755070818177</v>
      </c>
      <c r="B9">
        <f>FlowDict_DM!D9+FlowDict_DM!F9-FlowDict_DM!H9-FlowDict_DM!G9</f>
        <v>4.0870787424081847</v>
      </c>
      <c r="C9">
        <f>FlowDict_DM!H9+FlowDict_DM!M9+FlowDict_DM!L9-FlowDict_DM!N9-FlowDict_DM!I9-FlowDict_DM!O9-FlowDict_DM!K9</f>
        <v>-1.2216627249058565</v>
      </c>
      <c r="D9">
        <f>FlowDict_DM!I9-FlowDict_DM!J9-StockDict_DM!B9</f>
        <v>0</v>
      </c>
      <c r="E9">
        <f>FlowDict_DM!V9-FlowDict_DM!F9</f>
        <v>0</v>
      </c>
      <c r="F9">
        <f>FlowDict_DM!G9-StockDict_DM!D9</f>
        <v>0</v>
      </c>
      <c r="G9">
        <f>FlowDict_DM!K9-StockDict_DM!F9</f>
        <v>0</v>
      </c>
      <c r="H9">
        <f>FlowDict_DM!J9-FlowDict_DM!P9-FlowDict_DM!Q9</f>
        <v>0</v>
      </c>
      <c r="I9">
        <f>FlowDict_DM!X9-FlowDict_DM!M9</f>
        <v>0</v>
      </c>
      <c r="J9">
        <f>FlowDict_DM!P9-FlowDict_DM!R9-FlowDict_DM!Y9</f>
        <v>-5.8484342176640975</v>
      </c>
      <c r="K9">
        <f>FlowDict_DM!Q9-FlowDict_DM!T9-FlowDict_DM!S9</f>
        <v>-23.393736870656397</v>
      </c>
      <c r="L9">
        <f>FlowDict_DM!W9-FlowDict_DM!L9</f>
        <v>0</v>
      </c>
      <c r="M9">
        <f>FlowDict_DM!O9-StockDict_DM!H9</f>
        <v>0</v>
      </c>
      <c r="N9">
        <f>FlowDict_DM!U9-FlowDict_DM!B9</f>
        <v>0</v>
      </c>
      <c r="O9">
        <f>FlowDict_DM!N9-StockDict_DM!J9</f>
        <v>0</v>
      </c>
      <c r="P9">
        <f>FlowDict_DM!C9-StockDict_DM!L9</f>
        <v>0</v>
      </c>
      <c r="Q9">
        <f>FlowDict_DM!E9-StockDict_DM!N9</f>
        <v>0</v>
      </c>
      <c r="R9">
        <f>FlowDict_DM!R9-StockDict_DM!P9-FlowDict_DM!Z9</f>
        <v>0</v>
      </c>
      <c r="S9">
        <f>FlowDict_DM!S9-StockDict_DM!R9</f>
        <v>0</v>
      </c>
      <c r="T9">
        <f>FlowDict_DM!Y9+FlowDict_DM!Z9+FlowDict_DM!T9-StockDict_DM!T9</f>
        <v>0</v>
      </c>
      <c r="U9">
        <f>FlowDict_DM!B9-FlowDict_DM!D9-FlowDict_DM!C9-FlowDict_DM!E9</f>
        <v>0</v>
      </c>
    </row>
    <row r="10" spans="1:21" x14ac:dyDescent="0.35">
      <c r="A10">
        <f>A30-StockDict_DM!B10-StockDict_DM!D10-StockDict_DM!F10-StockDict_DM!H10-StockDict_DM!J10-StockDict_DM!L10-StockDict_DM!N10-StockDict_DM!P10-StockDict_DM!R10-StockDict_DM!T10</f>
        <v>-27.653377911821249</v>
      </c>
      <c r="B10">
        <f>FlowDict_DM!D10+FlowDict_DM!F10-FlowDict_DM!H10-FlowDict_DM!G10</f>
        <v>4.1688203172563476</v>
      </c>
      <c r="C10">
        <f>FlowDict_DM!H10+FlowDict_DM!M10+FlowDict_DM!L10-FlowDict_DM!N10-FlowDict_DM!I10-FlowDict_DM!O10-FlowDict_DM!K10</f>
        <v>-1.2460959794039725</v>
      </c>
      <c r="D10">
        <f>FlowDict_DM!I10-FlowDict_DM!J10-StockDict_DM!B10</f>
        <v>0</v>
      </c>
      <c r="E10">
        <f>FlowDict_DM!V10-FlowDict_DM!F10</f>
        <v>0</v>
      </c>
      <c r="F10">
        <f>FlowDict_DM!G10-StockDict_DM!D10</f>
        <v>0</v>
      </c>
      <c r="G10">
        <f>FlowDict_DM!K10-StockDict_DM!F10</f>
        <v>0</v>
      </c>
      <c r="H10">
        <f>FlowDict_DM!J10-FlowDict_DM!P10-FlowDict_DM!Q10</f>
        <v>0</v>
      </c>
      <c r="I10">
        <f>FlowDict_DM!X10-FlowDict_DM!M10</f>
        <v>0</v>
      </c>
      <c r="J10">
        <f>FlowDict_DM!P10-FlowDict_DM!R10-FlowDict_DM!Y10</f>
        <v>-6.1152204499347089</v>
      </c>
      <c r="K10">
        <f>FlowDict_DM!Q10-FlowDict_DM!T10-FlowDict_DM!S10</f>
        <v>-24.460881799738846</v>
      </c>
      <c r="L10">
        <f>FlowDict_DM!W10-FlowDict_DM!L10</f>
        <v>0</v>
      </c>
      <c r="M10">
        <f>FlowDict_DM!O10-StockDict_DM!H10</f>
        <v>0</v>
      </c>
      <c r="N10">
        <f>FlowDict_DM!U10-FlowDict_DM!B10</f>
        <v>0</v>
      </c>
      <c r="O10">
        <f>FlowDict_DM!N10-StockDict_DM!J10</f>
        <v>0</v>
      </c>
      <c r="P10">
        <f>FlowDict_DM!C10-StockDict_DM!L10</f>
        <v>0</v>
      </c>
      <c r="Q10">
        <f>FlowDict_DM!E10-StockDict_DM!N10</f>
        <v>0</v>
      </c>
      <c r="R10">
        <f>FlowDict_DM!R10-StockDict_DM!P10-FlowDict_DM!Z10</f>
        <v>0</v>
      </c>
      <c r="S10">
        <f>FlowDict_DM!S10-StockDict_DM!R10</f>
        <v>0</v>
      </c>
      <c r="T10">
        <f>FlowDict_DM!Y10+FlowDict_DM!Z10+FlowDict_DM!T10-StockDict_DM!T10</f>
        <v>0</v>
      </c>
      <c r="U10">
        <f>FlowDict_DM!B10-FlowDict_DM!D10-FlowDict_DM!C10-FlowDict_DM!E10</f>
        <v>-3.1974423109204508E-14</v>
      </c>
    </row>
    <row r="11" spans="1:21" x14ac:dyDescent="0.35">
      <c r="A11">
        <f>A31-StockDict_DM!B11-StockDict_DM!D11-StockDict_DM!F11-StockDict_DM!H11-StockDict_DM!J11-StockDict_DM!L11-StockDict_DM!N11-StockDict_DM!P11-StockDict_DM!R11-StockDict_DM!T11</f>
        <v>-29.206570530385967</v>
      </c>
      <c r="B11">
        <f>FlowDict_DM!D11+FlowDict_DM!F11-FlowDict_DM!H11-FlowDict_DM!G11</f>
        <v>4.2521967236014682</v>
      </c>
      <c r="C11">
        <f>FlowDict_DM!H11+FlowDict_DM!M11+FlowDict_DM!L11-FlowDict_DM!N11-FlowDict_DM!I11-FlowDict_DM!O11-FlowDict_DM!K11</f>
        <v>-1.2710178989920475</v>
      </c>
      <c r="D11">
        <f>FlowDict_DM!I11-FlowDict_DM!J11-StockDict_DM!B11</f>
        <v>0</v>
      </c>
      <c r="E11">
        <f>FlowDict_DM!V11-FlowDict_DM!F11</f>
        <v>0</v>
      </c>
      <c r="F11">
        <f>FlowDict_DM!G11-StockDict_DM!D11</f>
        <v>0</v>
      </c>
      <c r="G11">
        <f>FlowDict_DM!K11-StockDict_DM!F11</f>
        <v>0</v>
      </c>
      <c r="H11">
        <f>FlowDict_DM!J11-FlowDict_DM!P11-FlowDict_DM!Q11</f>
        <v>0</v>
      </c>
      <c r="I11">
        <f>FlowDict_DM!X11-FlowDict_DM!M11</f>
        <v>0</v>
      </c>
      <c r="J11">
        <f>FlowDict_DM!P11-FlowDict_DM!R11-FlowDict_DM!Y11</f>
        <v>-6.4375498709990673</v>
      </c>
      <c r="K11">
        <f>FlowDict_DM!Q11-FlowDict_DM!T11-FlowDict_DM!S11</f>
        <v>-25.750199483996276</v>
      </c>
      <c r="L11">
        <f>FlowDict_DM!W11-FlowDict_DM!L11</f>
        <v>0</v>
      </c>
      <c r="M11">
        <f>FlowDict_DM!O11-StockDict_DM!H11</f>
        <v>0</v>
      </c>
      <c r="N11">
        <f>FlowDict_DM!U11-FlowDict_DM!B11</f>
        <v>0</v>
      </c>
      <c r="O11">
        <f>FlowDict_DM!N11-StockDict_DM!J11</f>
        <v>0</v>
      </c>
      <c r="P11">
        <f>FlowDict_DM!C11-StockDict_DM!L11</f>
        <v>0</v>
      </c>
      <c r="Q11">
        <f>FlowDict_DM!E11-StockDict_DM!N11</f>
        <v>0</v>
      </c>
      <c r="R11">
        <f>FlowDict_DM!R11-StockDict_DM!P11-FlowDict_DM!Z11</f>
        <v>-8.8817841970012523E-16</v>
      </c>
      <c r="S11">
        <f>FlowDict_DM!S11-StockDict_DM!R11</f>
        <v>0</v>
      </c>
      <c r="T11">
        <f>FlowDict_DM!Y11+FlowDict_DM!Z11+FlowDict_DM!T11-StockDict_DM!T11</f>
        <v>0</v>
      </c>
      <c r="U11">
        <f>FlowDict_DM!B11-FlowDict_DM!D11-FlowDict_DM!C11-FlowDict_DM!E11</f>
        <v>-4.6185277824406512E-14</v>
      </c>
    </row>
    <row r="12" spans="1:21" x14ac:dyDescent="0.35">
      <c r="A12">
        <f>A32-StockDict_DM!B12-StockDict_DM!D12-StockDict_DM!F12-StockDict_DM!H12-StockDict_DM!J12-StockDict_DM!L12-StockDict_DM!N12-StockDict_DM!P12-StockDict_DM!R12-StockDict_DM!T12</f>
        <v>-31.057349732993377</v>
      </c>
      <c r="B12">
        <f>FlowDict_DM!D12+FlowDict_DM!F12-FlowDict_DM!H12-FlowDict_DM!G12</f>
        <v>4.3372406580734939</v>
      </c>
      <c r="C12">
        <f>FlowDict_DM!H12+FlowDict_DM!M12+FlowDict_DM!L12-FlowDict_DM!N12-FlowDict_DM!I12-FlowDict_DM!O12-FlowDict_DM!K12</f>
        <v>-1.2964382569719035</v>
      </c>
      <c r="D12">
        <f>FlowDict_DM!I12-FlowDict_DM!J12-StockDict_DM!B12</f>
        <v>7.1054273576010019E-15</v>
      </c>
      <c r="E12">
        <f>FlowDict_DM!V12-FlowDict_DM!F12</f>
        <v>0</v>
      </c>
      <c r="F12">
        <f>FlowDict_DM!G12-StockDict_DM!D12</f>
        <v>0</v>
      </c>
      <c r="G12">
        <f>FlowDict_DM!K12-StockDict_DM!F12</f>
        <v>0</v>
      </c>
      <c r="H12">
        <f>FlowDict_DM!J12-FlowDict_DM!P12-FlowDict_DM!Q12</f>
        <v>0</v>
      </c>
      <c r="I12">
        <f>FlowDict_DM!X12-FlowDict_DM!M12</f>
        <v>0</v>
      </c>
      <c r="J12">
        <f>FlowDict_DM!P12-FlowDict_DM!R12-FlowDict_DM!Y12</f>
        <v>-6.8196304268189838</v>
      </c>
      <c r="K12">
        <f>FlowDict_DM!Q12-FlowDict_DM!T12-FlowDict_DM!S12</f>
        <v>-27.278521707275946</v>
      </c>
      <c r="L12">
        <f>FlowDict_DM!W12-FlowDict_DM!L12</f>
        <v>0</v>
      </c>
      <c r="M12">
        <f>FlowDict_DM!O12-StockDict_DM!H12</f>
        <v>0</v>
      </c>
      <c r="N12">
        <f>FlowDict_DM!U12-FlowDict_DM!B12</f>
        <v>0</v>
      </c>
      <c r="O12">
        <f>FlowDict_DM!N12-StockDict_DM!J12</f>
        <v>0</v>
      </c>
      <c r="P12">
        <f>FlowDict_DM!C12-StockDict_DM!L12</f>
        <v>0</v>
      </c>
      <c r="Q12">
        <f>FlowDict_DM!E12-StockDict_DM!N12</f>
        <v>0</v>
      </c>
      <c r="R12">
        <f>FlowDict_DM!R12-StockDict_DM!P12-FlowDict_DM!Z12</f>
        <v>0</v>
      </c>
      <c r="S12">
        <f>FlowDict_DM!S12-StockDict_DM!R12</f>
        <v>0</v>
      </c>
      <c r="T12">
        <f>FlowDict_DM!Y12+FlowDict_DM!Z12+FlowDict_DM!T12-StockDict_DM!T12</f>
        <v>0</v>
      </c>
      <c r="U12">
        <f>FlowDict_DM!B12-FlowDict_DM!D12-FlowDict_DM!C12-FlowDict_DM!E12</f>
        <v>-5.3290705182007514E-14</v>
      </c>
    </row>
    <row r="13" spans="1:21" x14ac:dyDescent="0.35">
      <c r="A13">
        <f>A33-StockDict_DM!B13-StockDict_DM!D13-StockDict_DM!F13-StockDict_DM!H13-StockDict_DM!J13-StockDict_DM!L13-StockDict_DM!N13-StockDict_DM!P13-StockDict_DM!R13-StockDict_DM!T13</f>
        <v>-32.944938813903676</v>
      </c>
      <c r="B13">
        <f>FlowDict_DM!D13+FlowDict_DM!F13-FlowDict_DM!H13-FlowDict_DM!G13</f>
        <v>4.4239854712349747</v>
      </c>
      <c r="C13">
        <f>FlowDict_DM!H13+FlowDict_DM!M13+FlowDict_DM!L13-FlowDict_DM!N13-FlowDict_DM!I13-FlowDict_DM!O13-FlowDict_DM!K13</f>
        <v>-1.3223670221113455</v>
      </c>
      <c r="D13">
        <f>FlowDict_DM!I13-FlowDict_DM!J13-StockDict_DM!B13</f>
        <v>6.6613381477509392E-15</v>
      </c>
      <c r="E13">
        <f>FlowDict_DM!V13-FlowDict_DM!F13</f>
        <v>0</v>
      </c>
      <c r="F13">
        <f>FlowDict_DM!G13-StockDict_DM!D13</f>
        <v>0</v>
      </c>
      <c r="G13">
        <f>FlowDict_DM!K13-StockDict_DM!F13</f>
        <v>0</v>
      </c>
      <c r="H13">
        <f>FlowDict_DM!J13-FlowDict_DM!P13-FlowDict_DM!Q13</f>
        <v>0</v>
      </c>
      <c r="I13">
        <f>FlowDict_DM!X13-FlowDict_DM!M13</f>
        <v>0</v>
      </c>
      <c r="J13">
        <f>FlowDict_DM!P13-FlowDict_DM!R13-FlowDict_DM!Y13</f>
        <v>-7.2093114526054549</v>
      </c>
      <c r="K13">
        <f>FlowDict_DM!Q13-FlowDict_DM!T13-FlowDict_DM!S13</f>
        <v>-28.83724581042182</v>
      </c>
      <c r="L13">
        <f>FlowDict_DM!W13-FlowDict_DM!L13</f>
        <v>0</v>
      </c>
      <c r="M13">
        <f>FlowDict_DM!O13-StockDict_DM!H13</f>
        <v>0</v>
      </c>
      <c r="N13">
        <f>FlowDict_DM!U13-FlowDict_DM!B13</f>
        <v>0</v>
      </c>
      <c r="O13">
        <f>FlowDict_DM!N13-StockDict_DM!J13</f>
        <v>0</v>
      </c>
      <c r="P13">
        <f>FlowDict_DM!C13-StockDict_DM!L13</f>
        <v>0</v>
      </c>
      <c r="Q13">
        <f>FlowDict_DM!E13-StockDict_DM!N13</f>
        <v>0</v>
      </c>
      <c r="R13">
        <f>FlowDict_DM!R13-StockDict_DM!P13-FlowDict_DM!Z13</f>
        <v>8.8817841970012523E-16</v>
      </c>
      <c r="S13">
        <f>FlowDict_DM!S13-StockDict_DM!R13</f>
        <v>0</v>
      </c>
      <c r="T13">
        <f>FlowDict_DM!Y13+FlowDict_DM!Z13+FlowDict_DM!T13-StockDict_DM!T13</f>
        <v>0</v>
      </c>
      <c r="U13">
        <f>FlowDict_DM!B13-FlowDict_DM!D13-FlowDict_DM!C13-FlowDict_DM!E13</f>
        <v>-4.9737991503207013E-14</v>
      </c>
    </row>
    <row r="14" spans="1:21" x14ac:dyDescent="0.35">
      <c r="A14">
        <f>A34-StockDict_DM!B14-StockDict_DM!D14-StockDict_DM!F14-StockDict_DM!H14-StockDict_DM!J14-StockDict_DM!L14-StockDict_DM!N14-StockDict_DM!P14-StockDict_DM!R14-StockDict_DM!T14</f>
        <v>-34.595243165050505</v>
      </c>
      <c r="B14">
        <f>FlowDict_DM!D14+FlowDict_DM!F14-FlowDict_DM!H14-FlowDict_DM!G14</f>
        <v>4.5124651806596532</v>
      </c>
      <c r="C14">
        <f>FlowDict_DM!H14+FlowDict_DM!M14+FlowDict_DM!L14-FlowDict_DM!N14-FlowDict_DM!I14-FlowDict_DM!O14-FlowDict_DM!K14</f>
        <v>-1.3488143625535658</v>
      </c>
      <c r="D14">
        <f>FlowDict_DM!I14-FlowDict_DM!J14-StockDict_DM!B14</f>
        <v>7.1054273576010019E-15</v>
      </c>
      <c r="E14">
        <f>FlowDict_DM!V14-FlowDict_DM!F14</f>
        <v>0</v>
      </c>
      <c r="F14">
        <f>FlowDict_DM!G14-StockDict_DM!D14</f>
        <v>0</v>
      </c>
      <c r="G14">
        <f>FlowDict_DM!K14-StockDict_DM!F14</f>
        <v>0</v>
      </c>
      <c r="H14">
        <f>FlowDict_DM!J14-FlowDict_DM!P14-FlowDict_DM!Q14</f>
        <v>0</v>
      </c>
      <c r="I14">
        <f>FlowDict_DM!X14-FlowDict_DM!M14</f>
        <v>0</v>
      </c>
      <c r="J14">
        <f>FlowDict_DM!P14-FlowDict_DM!R14-FlowDict_DM!Y14</f>
        <v>-7.551778796631309</v>
      </c>
      <c r="K14">
        <f>FlowDict_DM!Q14-FlowDict_DM!T14-FlowDict_DM!S14</f>
        <v>-30.20711518652524</v>
      </c>
      <c r="L14">
        <f>FlowDict_DM!W14-FlowDict_DM!L14</f>
        <v>0</v>
      </c>
      <c r="M14">
        <f>FlowDict_DM!O14-StockDict_DM!H14</f>
        <v>0</v>
      </c>
      <c r="N14">
        <f>FlowDict_DM!U14-FlowDict_DM!B14</f>
        <v>0</v>
      </c>
      <c r="O14">
        <f>FlowDict_DM!N14-StockDict_DM!J14</f>
        <v>0</v>
      </c>
      <c r="P14">
        <f>FlowDict_DM!C14-StockDict_DM!L14</f>
        <v>0</v>
      </c>
      <c r="Q14">
        <f>FlowDict_DM!E14-StockDict_DM!N14</f>
        <v>0</v>
      </c>
      <c r="R14">
        <f>FlowDict_DM!R14-StockDict_DM!P14-FlowDict_DM!Z14</f>
        <v>0</v>
      </c>
      <c r="S14">
        <f>FlowDict_DM!S14-StockDict_DM!R14</f>
        <v>0</v>
      </c>
      <c r="T14">
        <f>FlowDict_DM!Y14+FlowDict_DM!Z14+FlowDict_DM!T14-StockDict_DM!T14</f>
        <v>0</v>
      </c>
      <c r="U14">
        <f>FlowDict_DM!B14-FlowDict_DM!D14-FlowDict_DM!C14-FlowDict_DM!E14</f>
        <v>-3.5527136788005009E-14</v>
      </c>
    </row>
    <row r="15" spans="1:21" x14ac:dyDescent="0.35">
      <c r="A15">
        <f>A35-StockDict_DM!B15-StockDict_DM!D15-StockDict_DM!F15-StockDict_DM!H15-StockDict_DM!J15-StockDict_DM!L15-StockDict_DM!N15-StockDict_DM!P15-StockDict_DM!R15-StockDict_DM!T15</f>
        <v>-35.894682607758412</v>
      </c>
      <c r="B15">
        <f>FlowDict_DM!D15+FlowDict_DM!F15-FlowDict_DM!H15-FlowDict_DM!G15</f>
        <v>4.6027144842728624</v>
      </c>
      <c r="C15">
        <f>FlowDict_DM!H15+FlowDict_DM!M15+FlowDict_DM!L15-FlowDict_DM!N15-FlowDict_DM!I15-FlowDict_DM!O15-FlowDict_DM!K15</f>
        <v>-1.3757906498046255</v>
      </c>
      <c r="D15">
        <f>FlowDict_DM!I15-FlowDict_DM!J15-StockDict_DM!B15</f>
        <v>0</v>
      </c>
      <c r="E15">
        <f>FlowDict_DM!V15-FlowDict_DM!F15</f>
        <v>0</v>
      </c>
      <c r="F15">
        <f>FlowDict_DM!G15-StockDict_DM!D15</f>
        <v>0</v>
      </c>
      <c r="G15">
        <f>FlowDict_DM!K15-StockDict_DM!F15</f>
        <v>0</v>
      </c>
      <c r="H15">
        <f>FlowDict_DM!J15-FlowDict_DM!P15-FlowDict_DM!Q15</f>
        <v>0</v>
      </c>
      <c r="I15">
        <f>FlowDict_DM!X15-FlowDict_DM!M15</f>
        <v>0</v>
      </c>
      <c r="J15">
        <f>FlowDict_DM!P15-FlowDict_DM!R15-FlowDict_DM!Y15</f>
        <v>-7.8243212884453257</v>
      </c>
      <c r="K15">
        <f>FlowDict_DM!Q15-FlowDict_DM!T15-FlowDict_DM!S15</f>
        <v>-31.297285153781313</v>
      </c>
      <c r="L15">
        <f>FlowDict_DM!W15-FlowDict_DM!L15</f>
        <v>0</v>
      </c>
      <c r="M15">
        <f>FlowDict_DM!O15-StockDict_DM!H15</f>
        <v>0</v>
      </c>
      <c r="N15">
        <f>FlowDict_DM!U15-FlowDict_DM!B15</f>
        <v>0</v>
      </c>
      <c r="O15">
        <f>FlowDict_DM!N15-StockDict_DM!J15</f>
        <v>0</v>
      </c>
      <c r="P15">
        <f>FlowDict_DM!C15-StockDict_DM!L15</f>
        <v>0</v>
      </c>
      <c r="Q15">
        <f>FlowDict_DM!E15-StockDict_DM!N15</f>
        <v>0</v>
      </c>
      <c r="R15">
        <f>FlowDict_DM!R15-StockDict_DM!P15-FlowDict_DM!Z15</f>
        <v>0</v>
      </c>
      <c r="S15">
        <f>FlowDict_DM!S15-StockDict_DM!R15</f>
        <v>0</v>
      </c>
      <c r="T15">
        <f>FlowDict_DM!Y15+FlowDict_DM!Z15+FlowDict_DM!T15-StockDict_DM!T15</f>
        <v>0</v>
      </c>
      <c r="U15">
        <f>FlowDict_DM!B15-FlowDict_DM!D15-FlowDict_DM!C15-FlowDict_DM!E15</f>
        <v>-3.1974423109204508E-14</v>
      </c>
    </row>
    <row r="16" spans="1:21" x14ac:dyDescent="0.35">
      <c r="A16">
        <f>A36-StockDict_DM!B16-StockDict_DM!D16-StockDict_DM!F16-StockDict_DM!H16-StockDict_DM!J16-StockDict_DM!L16-StockDict_DM!N16-StockDict_DM!P16-StockDict_DM!R16-StockDict_DM!T16</f>
        <v>-36.903994447924497</v>
      </c>
      <c r="B16">
        <f>FlowDict_DM!D16+FlowDict_DM!F16-FlowDict_DM!H16-FlowDict_DM!G16</f>
        <v>4.6947687739583266</v>
      </c>
      <c r="C16">
        <f>FlowDict_DM!H16+FlowDict_DM!M16+FlowDict_DM!L16-FlowDict_DM!N16-FlowDict_DM!I16-FlowDict_DM!O16-FlowDict_DM!K16</f>
        <v>-1.4033064628007317</v>
      </c>
      <c r="D16">
        <f>FlowDict_DM!I16-FlowDict_DM!J16-StockDict_DM!B16</f>
        <v>3.9968028886505635E-15</v>
      </c>
      <c r="E16">
        <f>FlowDict_DM!V16-FlowDict_DM!F16</f>
        <v>0</v>
      </c>
      <c r="F16">
        <f>FlowDict_DM!G16-StockDict_DM!D16</f>
        <v>0</v>
      </c>
      <c r="G16">
        <f>FlowDict_DM!K16-StockDict_DM!F16</f>
        <v>0</v>
      </c>
      <c r="H16">
        <f>FlowDict_DM!J16-FlowDict_DM!P16-FlowDict_DM!Q16</f>
        <v>0</v>
      </c>
      <c r="I16">
        <f>FlowDict_DM!X16-FlowDict_DM!M16</f>
        <v>0</v>
      </c>
      <c r="J16">
        <f>FlowDict_DM!P16-FlowDict_DM!R16-FlowDict_DM!Y16</f>
        <v>-8.039091351816424</v>
      </c>
      <c r="K16">
        <f>FlowDict_DM!Q16-FlowDict_DM!T16-FlowDict_DM!S16</f>
        <v>-32.15636540726571</v>
      </c>
      <c r="L16">
        <f>FlowDict_DM!W16-FlowDict_DM!L16</f>
        <v>0</v>
      </c>
      <c r="M16">
        <f>FlowDict_DM!O16-StockDict_DM!H16</f>
        <v>0</v>
      </c>
      <c r="N16">
        <f>FlowDict_DM!U16-FlowDict_DM!B16</f>
        <v>0</v>
      </c>
      <c r="O16">
        <f>FlowDict_DM!N16-StockDict_DM!J16</f>
        <v>0</v>
      </c>
      <c r="P16">
        <f>FlowDict_DM!C16-StockDict_DM!L16</f>
        <v>0</v>
      </c>
      <c r="Q16">
        <f>FlowDict_DM!E16-StockDict_DM!N16</f>
        <v>0</v>
      </c>
      <c r="R16">
        <f>FlowDict_DM!R16-StockDict_DM!P16-FlowDict_DM!Z16</f>
        <v>0</v>
      </c>
      <c r="S16">
        <f>FlowDict_DM!S16-StockDict_DM!R16</f>
        <v>0</v>
      </c>
      <c r="T16">
        <f>FlowDict_DM!Y16+FlowDict_DM!Z16+FlowDict_DM!T16-StockDict_DM!T16</f>
        <v>0</v>
      </c>
      <c r="U16">
        <f>FlowDict_DM!B16-FlowDict_DM!D16-FlowDict_DM!C16-FlowDict_DM!E16</f>
        <v>4.9737991503207013E-14</v>
      </c>
    </row>
    <row r="21" spans="1:1" x14ac:dyDescent="0.35">
      <c r="A21" t="s">
        <v>67</v>
      </c>
    </row>
    <row r="22" spans="1:1" x14ac:dyDescent="0.35">
      <c r="A22">
        <f>SUM(FlowDict_DM!U2:X2)</f>
        <v>123.94000000000001</v>
      </c>
    </row>
    <row r="23" spans="1:1" x14ac:dyDescent="0.35">
      <c r="A23">
        <f>SUM(FlowDict_DM!U3:X3)</f>
        <v>126.41879999999999</v>
      </c>
    </row>
    <row r="24" spans="1:1" x14ac:dyDescent="0.35">
      <c r="A24">
        <f>SUM(FlowDict_DM!U4:X4)</f>
        <v>128.94717600000001</v>
      </c>
    </row>
    <row r="25" spans="1:1" x14ac:dyDescent="0.35">
      <c r="A25">
        <f>SUM(FlowDict_DM!U5:X5)</f>
        <v>131.52611951999998</v>
      </c>
    </row>
    <row r="26" spans="1:1" x14ac:dyDescent="0.35">
      <c r="A26">
        <f>SUM(FlowDict_DM!U6:X6)</f>
        <v>134.1566419104</v>
      </c>
    </row>
    <row r="27" spans="1:1" x14ac:dyDescent="0.35">
      <c r="A27">
        <f>SUM(FlowDict_DM!U7:X7)</f>
        <v>136.83977474860799</v>
      </c>
    </row>
    <row r="28" spans="1:1" x14ac:dyDescent="0.35">
      <c r="A28">
        <f>SUM(FlowDict_DM!U8:X8)</f>
        <v>139.57657024358022</v>
      </c>
    </row>
    <row r="29" spans="1:1" x14ac:dyDescent="0.35">
      <c r="A29">
        <f>SUM(FlowDict_DM!U9:X9)</f>
        <v>142.36810164845176</v>
      </c>
    </row>
    <row r="30" spans="1:1" x14ac:dyDescent="0.35">
      <c r="A30">
        <f>SUM(FlowDict_DM!U10:X10)</f>
        <v>145.21546368142074</v>
      </c>
    </row>
    <row r="31" spans="1:1" x14ac:dyDescent="0.35">
      <c r="A31">
        <f>SUM(FlowDict_DM!U11:X11)</f>
        <v>148.1197729550492</v>
      </c>
    </row>
    <row r="32" spans="1:1" x14ac:dyDescent="0.35">
      <c r="A32">
        <f>SUM(FlowDict_DM!U12:X12)</f>
        <v>151.08216841415015</v>
      </c>
    </row>
    <row r="33" spans="1:1" x14ac:dyDescent="0.35">
      <c r="A33">
        <f>SUM(FlowDict_DM!U13:X13)</f>
        <v>154.10381178243318</v>
      </c>
    </row>
    <row r="34" spans="1:1" x14ac:dyDescent="0.35">
      <c r="A34">
        <f>SUM(FlowDict_DM!U14:X14)</f>
        <v>157.18588801808181</v>
      </c>
    </row>
    <row r="35" spans="1:1" x14ac:dyDescent="0.35">
      <c r="A35">
        <f>SUM(FlowDict_DM!U15:X15)</f>
        <v>160.32960577844349</v>
      </c>
    </row>
    <row r="36" spans="1:1" x14ac:dyDescent="0.35">
      <c r="A36">
        <f>SUM(FlowDict_DM!U16:X16)</f>
        <v>163.53619789401239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BB29-A2C9-4548-9E76-B285157C0E2E}">
  <dimension ref="A1:U50"/>
  <sheetViews>
    <sheetView workbookViewId="0">
      <selection activeCell="A21" sqref="A21"/>
    </sheetView>
  </sheetViews>
  <sheetFormatPr defaultRowHeight="14.5" x14ac:dyDescent="0.35"/>
  <cols>
    <col min="1" max="1" width="11.90625" bestFit="1" customWidth="1"/>
    <col min="4" max="4" width="11.26953125" bestFit="1" customWidth="1"/>
    <col min="10" max="10" width="12.453125" bestFit="1" customWidth="1"/>
  </cols>
  <sheetData>
    <row r="1" spans="1:21" x14ac:dyDescent="0.35">
      <c r="A1" t="s">
        <v>65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</row>
    <row r="2" spans="1:21" x14ac:dyDescent="0.35">
      <c r="A2">
        <f>A22-StockDict_CC!B2-StockDict_CC!D2-StockDict_CC!F2-StockDict_CC!H2-StockDict_CC!J2-StockDict_CC!L2-StockDict_CC!N2-StockDict_CC!P2-StockDict_CC!R2-StockDict_CC!T2</f>
        <v>8.6698446494048387</v>
      </c>
      <c r="B2">
        <f>FlowDict_CC!D2+FlowDict_CC!F2-FlowDict_CC!H2-FlowDict_CC!G2</f>
        <v>9.4662962400000019</v>
      </c>
      <c r="C2">
        <f>FlowDict_CC!H2+FlowDict_CC!M2+FlowDict_CC!L2-FlowDict_CC!N2-FlowDict_CC!I2-FlowDict_CC!O2-FlowDict_CC!K2</f>
        <v>-0.79643993440000305</v>
      </c>
      <c r="D2">
        <f>FlowDict_CC!I2-FlowDict_CC!J2-StockDict_CC!B2</f>
        <v>0</v>
      </c>
      <c r="E2">
        <f>FlowDict_CC!V2-FlowDict_CC!F2</f>
        <v>0</v>
      </c>
      <c r="F2">
        <f>FlowDict_CC!G2-StockDict_CC!D2</f>
        <v>0</v>
      </c>
      <c r="G2">
        <f>FlowDict_CC!K2-StockDict_CC!F2</f>
        <v>0</v>
      </c>
      <c r="H2">
        <f>FlowDict_CC!J2-FlowDict_CC!P2-FlowDict_CC!Q2</f>
        <v>0</v>
      </c>
      <c r="I2">
        <f>FlowDict_CC!X2-FlowDict_CC!M2</f>
        <v>0</v>
      </c>
      <c r="J2">
        <f>FlowDict_CC!P2-FlowDict_CC!R2-FlowDict_CC!Y2</f>
        <v>-2.4680050503619095E-6</v>
      </c>
      <c r="K2">
        <f>FlowDict_CC!Q2-FlowDict_CC!T2-FlowDict_CC!S2</f>
        <v>-9.1881900867377939E-6</v>
      </c>
      <c r="L2">
        <f>FlowDict_CC!W2-FlowDict_CC!L2</f>
        <v>0</v>
      </c>
      <c r="M2">
        <f>FlowDict_CC!O2-StockDict_CC!H2</f>
        <v>0</v>
      </c>
      <c r="N2">
        <f>FlowDict_CC!U2-FlowDict_CC!B2</f>
        <v>0</v>
      </c>
      <c r="O2">
        <f>FlowDict_CC!N2-StockDict_CC!J2</f>
        <v>0</v>
      </c>
      <c r="P2">
        <f>FlowDict_CC!C2-StockDict_CC!L2</f>
        <v>0</v>
      </c>
      <c r="Q2">
        <f>FlowDict_CC!E2-StockDict_CC!N2</f>
        <v>0</v>
      </c>
      <c r="R2">
        <f>FlowDict_CC!R2-StockDict_CC!P2-FlowDict_CC!Z2</f>
        <v>0</v>
      </c>
      <c r="S2">
        <f>FlowDict_CC!S2-StockDict_CC!R2</f>
        <v>0</v>
      </c>
      <c r="T2">
        <f>FlowDict_CC!Y2+FlowDict_CC!Z2+FlowDict_CC!T2-StockDict_CC!T2</f>
        <v>0</v>
      </c>
      <c r="U2">
        <f>FlowDict_CC!B2-FlowDict_CC!D2-FlowDict_CC!C2-FlowDict_CC!E2</f>
        <v>0</v>
      </c>
    </row>
    <row r="3" spans="1:21" x14ac:dyDescent="0.35">
      <c r="A3">
        <f>A23-StockDict_CC!B3-StockDict_CC!D3-StockDict_CC!F3-StockDict_CC!H3-StockDict_CC!J3-StockDict_CC!L3-StockDict_CC!N3-StockDict_CC!P3-StockDict_CC!R3-StockDict_CC!T3</f>
        <v>-3.3560181048826632</v>
      </c>
      <c r="B3">
        <f>FlowDict_CC!D3+FlowDict_CC!F3-FlowDict_CC!H3-FlowDict_CC!G3</f>
        <v>9.6556221647999969</v>
      </c>
      <c r="C3">
        <f>FlowDict_CC!H3+FlowDict_CC!M3+FlowDict_CC!L3-FlowDict_CC!N3-FlowDict_CC!I3-FlowDict_CC!O3-FlowDict_CC!K3</f>
        <v>-0.81236873308800361</v>
      </c>
      <c r="D3">
        <f>FlowDict_CC!I3-FlowDict_CC!J3-StockDict_CC!B3</f>
        <v>0</v>
      </c>
      <c r="E3">
        <f>FlowDict_CC!V3-FlowDict_CC!F3</f>
        <v>0</v>
      </c>
      <c r="F3">
        <f>FlowDict_CC!G3-StockDict_CC!D3</f>
        <v>0</v>
      </c>
      <c r="G3">
        <f>FlowDict_CC!K3-StockDict_CC!F3</f>
        <v>0</v>
      </c>
      <c r="H3">
        <f>FlowDict_CC!J3-FlowDict_CC!P3-FlowDict_CC!Q3</f>
        <v>0</v>
      </c>
      <c r="I3">
        <f>FlowDict_CC!X3-FlowDict_CC!M3</f>
        <v>0</v>
      </c>
      <c r="J3">
        <f>FlowDict_CC!P3-FlowDict_CC!R3-FlowDict_CC!Y3</f>
        <v>-2.5829924266816389</v>
      </c>
      <c r="K3">
        <f>FlowDict_CC!Q3-FlowDict_CC!T3-FlowDict_CC!S3</f>
        <v>-9.6162791099130089</v>
      </c>
      <c r="L3">
        <f>FlowDict_CC!W3-FlowDict_CC!L3</f>
        <v>0</v>
      </c>
      <c r="M3">
        <f>FlowDict_CC!O3-StockDict_CC!H3</f>
        <v>0</v>
      </c>
      <c r="N3">
        <f>FlowDict_CC!U3-FlowDict_CC!B3</f>
        <v>0</v>
      </c>
      <c r="O3">
        <f>FlowDict_CC!N3-StockDict_CC!J3</f>
        <v>0</v>
      </c>
      <c r="P3">
        <f>FlowDict_CC!C3-StockDict_CC!L3</f>
        <v>0</v>
      </c>
      <c r="Q3">
        <f>FlowDict_CC!E3-StockDict_CC!N3</f>
        <v>0</v>
      </c>
      <c r="R3">
        <f>FlowDict_CC!R3-StockDict_CC!P3-FlowDict_CC!Z3</f>
        <v>0</v>
      </c>
      <c r="S3">
        <f>FlowDict_CC!S3-StockDict_CC!R3</f>
        <v>0</v>
      </c>
      <c r="T3">
        <f>FlowDict_CC!Y3+FlowDict_CC!Z3+FlowDict_CC!T3-StockDict_CC!T3</f>
        <v>0</v>
      </c>
      <c r="U3">
        <f>FlowDict_CC!B3-FlowDict_CC!D3-FlowDict_CC!C3-FlowDict_CC!E3</f>
        <v>0</v>
      </c>
    </row>
    <row r="4" spans="1:21" x14ac:dyDescent="0.35">
      <c r="A4">
        <f>A24-StockDict_CC!B4-StockDict_CC!D4-StockDict_CC!F4-StockDict_CC!H4-StockDict_CC!J4-StockDict_CC!L4-StockDict_CC!N4-StockDict_CC!P4-StockDict_CC!R4-StockDict_CC!T4</f>
        <v>-15.63306819936793</v>
      </c>
      <c r="B4">
        <f>FlowDict_CC!D4+FlowDict_CC!F4-FlowDict_CC!H4-FlowDict_CC!G4</f>
        <v>9.848734608095997</v>
      </c>
      <c r="C4">
        <f>FlowDict_CC!H4+FlowDict_CC!M4+FlowDict_CC!L4-FlowDict_CC!N4-FlowDict_CC!I4-FlowDict_CC!O4-FlowDict_CC!K4</f>
        <v>-0.82861610774976269</v>
      </c>
      <c r="D4">
        <f>FlowDict_CC!I4-FlowDict_CC!J4-StockDict_CC!B4</f>
        <v>0</v>
      </c>
      <c r="E4">
        <f>FlowDict_CC!V4-FlowDict_CC!F4</f>
        <v>0</v>
      </c>
      <c r="F4">
        <f>FlowDict_CC!G4-StockDict_CC!D4</f>
        <v>0</v>
      </c>
      <c r="G4">
        <f>FlowDict_CC!K4-StockDict_CC!F4</f>
        <v>0</v>
      </c>
      <c r="H4">
        <f>FlowDict_CC!J4-FlowDict_CC!P4-FlowDict_CC!Q4</f>
        <v>0</v>
      </c>
      <c r="I4">
        <f>FlowDict_CC!X4-FlowDict_CC!M4</f>
        <v>0</v>
      </c>
      <c r="J4">
        <f>FlowDict_CC!P4-FlowDict_CC!R4-FlowDict_CC!Y4</f>
        <v>-5.219901397219477</v>
      </c>
      <c r="K4">
        <f>FlowDict_CC!Q4-FlowDict_CC!T4-FlowDict_CC!S4</f>
        <v>-19.433285302494678</v>
      </c>
      <c r="L4">
        <f>FlowDict_CC!W4-FlowDict_CC!L4</f>
        <v>0</v>
      </c>
      <c r="M4">
        <f>FlowDict_CC!O4-StockDict_CC!H4</f>
        <v>0</v>
      </c>
      <c r="N4">
        <f>FlowDict_CC!U4-FlowDict_CC!B4</f>
        <v>0</v>
      </c>
      <c r="O4">
        <f>FlowDict_CC!N4-StockDict_CC!J4</f>
        <v>0</v>
      </c>
      <c r="P4">
        <f>FlowDict_CC!C4-StockDict_CC!L4</f>
        <v>0</v>
      </c>
      <c r="Q4">
        <f>FlowDict_CC!E4-StockDict_CC!N4</f>
        <v>0</v>
      </c>
      <c r="R4">
        <f>FlowDict_CC!R4-StockDict_CC!P4-FlowDict_CC!Z4</f>
        <v>0</v>
      </c>
      <c r="S4">
        <f>FlowDict_CC!S4-StockDict_CC!R4</f>
        <v>0</v>
      </c>
      <c r="T4">
        <f>FlowDict_CC!Y4+FlowDict_CC!Z4+FlowDict_CC!T4-StockDict_CC!T4</f>
        <v>0</v>
      </c>
      <c r="U4">
        <f>FlowDict_CC!B4-FlowDict_CC!D4-FlowDict_CC!C4-FlowDict_CC!E4</f>
        <v>0</v>
      </c>
    </row>
    <row r="5" spans="1:21" x14ac:dyDescent="0.35">
      <c r="A5">
        <f>A25-StockDict_CC!B5-StockDict_CC!D5-StockDict_CC!F5-StockDict_CC!H5-StockDict_CC!J5-StockDict_CC!L5-StockDict_CC!N5-StockDict_CC!P5-StockDict_CC!R5-StockDict_CC!T5</f>
        <v>-16.121411649037334</v>
      </c>
      <c r="B5">
        <f>FlowDict_CC!D5+FlowDict_CC!F5-FlowDict_CC!H5-FlowDict_CC!G5</f>
        <v>10.045709300257922</v>
      </c>
      <c r="C5">
        <f>FlowDict_CC!H5+FlowDict_CC!M5+FlowDict_CC!L5-FlowDict_CC!N5-FlowDict_CC!I5-FlowDict_CC!O5-FlowDict_CC!K5</f>
        <v>-0.84518842990475473</v>
      </c>
      <c r="D5">
        <f>FlowDict_CC!I5-FlowDict_CC!J5-StockDict_CC!B5</f>
        <v>0</v>
      </c>
      <c r="E5">
        <f>FlowDict_CC!V5-FlowDict_CC!F5</f>
        <v>0</v>
      </c>
      <c r="F5">
        <f>FlowDict_CC!G5-StockDict_CC!D5</f>
        <v>0</v>
      </c>
      <c r="G5">
        <f>FlowDict_CC!K5-StockDict_CC!F5</f>
        <v>0</v>
      </c>
      <c r="H5">
        <f>FlowDict_CC!J5-FlowDict_CC!P5-FlowDict_CC!Q5</f>
        <v>0</v>
      </c>
      <c r="I5">
        <f>FlowDict_CC!X5-FlowDict_CC!M5</f>
        <v>0</v>
      </c>
      <c r="J5">
        <f>FlowDict_CC!P5-FlowDict_CC!R5-FlowDict_CC!Y5</f>
        <v>-5.3614971787722787</v>
      </c>
      <c r="K5">
        <f>FlowDict_CC!Q5-FlowDict_CC!T5-FlowDict_CC!S5</f>
        <v>-19.960435340618215</v>
      </c>
      <c r="L5">
        <f>FlowDict_CC!W5-FlowDict_CC!L5</f>
        <v>0</v>
      </c>
      <c r="M5">
        <f>FlowDict_CC!O5-StockDict_CC!H5</f>
        <v>0</v>
      </c>
      <c r="N5">
        <f>FlowDict_CC!U5-FlowDict_CC!B5</f>
        <v>0</v>
      </c>
      <c r="O5">
        <f>FlowDict_CC!N5-StockDict_CC!J5</f>
        <v>0</v>
      </c>
      <c r="P5">
        <f>FlowDict_CC!C5-StockDict_CC!L5</f>
        <v>0</v>
      </c>
      <c r="Q5">
        <f>FlowDict_CC!E5-StockDict_CC!N5</f>
        <v>0</v>
      </c>
      <c r="R5">
        <f>FlowDict_CC!R5-StockDict_CC!P5-FlowDict_CC!Z5</f>
        <v>0</v>
      </c>
      <c r="S5">
        <f>FlowDict_CC!S5-StockDict_CC!R5</f>
        <v>0</v>
      </c>
      <c r="T5">
        <f>FlowDict_CC!Y5+FlowDict_CC!Z5+FlowDict_CC!T5-StockDict_CC!T5</f>
        <v>0</v>
      </c>
      <c r="U5">
        <f>FlowDict_CC!B5-FlowDict_CC!D5-FlowDict_CC!C5-FlowDict_CC!E5</f>
        <v>0</v>
      </c>
    </row>
    <row r="6" spans="1:21" x14ac:dyDescent="0.35">
      <c r="A6">
        <f>A26-StockDict_CC!B6-StockDict_CC!D6-StockDict_CC!F6-StockDict_CC!H6-StockDict_CC!J6-StockDict_CC!L6-StockDict_CC!N6-StockDict_CC!P6-StockDict_CC!R6-StockDict_CC!T6</f>
        <v>-17.558196043628399</v>
      </c>
      <c r="B6">
        <f>FlowDict_CC!D6+FlowDict_CC!F6-FlowDict_CC!H6-FlowDict_CC!G6</f>
        <v>10.246623486263079</v>
      </c>
      <c r="C6">
        <f>FlowDict_CC!H6+FlowDict_CC!M6+FlowDict_CC!L6-FlowDict_CC!N6-FlowDict_CC!I6-FlowDict_CC!O6-FlowDict_CC!K6</f>
        <v>-0.86209219850285423</v>
      </c>
      <c r="D6">
        <f>FlowDict_CC!I6-FlowDict_CC!J6-StockDict_CC!B6</f>
        <v>0</v>
      </c>
      <c r="E6">
        <f>FlowDict_CC!V6-FlowDict_CC!F6</f>
        <v>0</v>
      </c>
      <c r="F6">
        <f>FlowDict_CC!G6-StockDict_CC!D6</f>
        <v>0</v>
      </c>
      <c r="G6">
        <f>FlowDict_CC!K6-StockDict_CC!F6</f>
        <v>0</v>
      </c>
      <c r="H6">
        <f>FlowDict_CC!J6-FlowDict_CC!P6-FlowDict_CC!Q6</f>
        <v>0</v>
      </c>
      <c r="I6">
        <f>FlowDict_CC!X6-FlowDict_CC!M6</f>
        <v>0</v>
      </c>
      <c r="J6">
        <f>FlowDict_CC!P6-FlowDict_CC!R6-FlowDict_CC!Y6</f>
        <v>-5.7046734669660166</v>
      </c>
      <c r="K6">
        <f>FlowDict_CC!Q6-FlowDict_CC!T6-FlowDict_CC!S6</f>
        <v>-21.238053864422604</v>
      </c>
      <c r="L6">
        <f>FlowDict_CC!W6-FlowDict_CC!L6</f>
        <v>0</v>
      </c>
      <c r="M6">
        <f>FlowDict_CC!O6-StockDict_CC!H6</f>
        <v>0</v>
      </c>
      <c r="N6">
        <f>FlowDict_CC!U6-FlowDict_CC!B6</f>
        <v>0</v>
      </c>
      <c r="O6">
        <f>FlowDict_CC!N6-StockDict_CC!J6</f>
        <v>0</v>
      </c>
      <c r="P6">
        <f>FlowDict_CC!C6-StockDict_CC!L6</f>
        <v>0</v>
      </c>
      <c r="Q6">
        <f>FlowDict_CC!E6-StockDict_CC!N6</f>
        <v>0</v>
      </c>
      <c r="R6">
        <f>FlowDict_CC!R6-StockDict_CC!P6-FlowDict_CC!Z6</f>
        <v>2.2204460492503131E-16</v>
      </c>
      <c r="S6">
        <f>FlowDict_CC!S6-StockDict_CC!R6</f>
        <v>0</v>
      </c>
      <c r="T6">
        <f>FlowDict_CC!Y6+FlowDict_CC!Z6+FlowDict_CC!T6-StockDict_CC!T6</f>
        <v>0</v>
      </c>
      <c r="U6">
        <f>FlowDict_CC!B6-FlowDict_CC!D6-FlowDict_CC!C6-FlowDict_CC!E6</f>
        <v>0</v>
      </c>
    </row>
    <row r="7" spans="1:21" x14ac:dyDescent="0.35">
      <c r="A7">
        <f>A27-StockDict_CC!B7-StockDict_CC!D7-StockDict_CC!F7-StockDict_CC!H7-StockDict_CC!J7-StockDict_CC!L7-StockDict_CC!N7-StockDict_CC!P7-StockDict_CC!R7-StockDict_CC!T7</f>
        <v>-20.724922662013419</v>
      </c>
      <c r="B7">
        <f>FlowDict_CC!D7+FlowDict_CC!F7-FlowDict_CC!H7-FlowDict_CC!G7</f>
        <v>10.451555955988335</v>
      </c>
      <c r="C7">
        <f>FlowDict_CC!H7+FlowDict_CC!M7+FlowDict_CC!L7-FlowDict_CC!N7-FlowDict_CC!I7-FlowDict_CC!O7-FlowDict_CC!K7</f>
        <v>-0.87933404247290592</v>
      </c>
      <c r="D7">
        <f>FlowDict_CC!I7-FlowDict_CC!J7-StockDict_CC!B7</f>
        <v>0</v>
      </c>
      <c r="E7">
        <f>FlowDict_CC!V7-FlowDict_CC!F7</f>
        <v>0</v>
      </c>
      <c r="F7">
        <f>FlowDict_CC!G7-StockDict_CC!D7</f>
        <v>0</v>
      </c>
      <c r="G7">
        <f>FlowDict_CC!K7-StockDict_CC!F7</f>
        <v>0</v>
      </c>
      <c r="H7">
        <f>FlowDict_CC!J7-FlowDict_CC!P7-FlowDict_CC!Q7</f>
        <v>0</v>
      </c>
      <c r="I7">
        <f>FlowDict_CC!X7-FlowDict_CC!M7</f>
        <v>0</v>
      </c>
      <c r="J7">
        <f>FlowDict_CC!P7-FlowDict_CC!R7-FlowDict_CC!Y7</f>
        <v>-6.414915411458642</v>
      </c>
      <c r="K7">
        <f>FlowDict_CC!Q7-FlowDict_CC!T7-FlowDict_CC!S7</f>
        <v>-23.882229164070214</v>
      </c>
      <c r="L7">
        <f>FlowDict_CC!W7-FlowDict_CC!L7</f>
        <v>0</v>
      </c>
      <c r="M7">
        <f>FlowDict_CC!O7-StockDict_CC!H7</f>
        <v>0</v>
      </c>
      <c r="N7">
        <f>FlowDict_CC!U7-FlowDict_CC!B7</f>
        <v>0</v>
      </c>
      <c r="O7">
        <f>FlowDict_CC!N7-StockDict_CC!J7</f>
        <v>0</v>
      </c>
      <c r="P7">
        <f>FlowDict_CC!C7-StockDict_CC!L7</f>
        <v>0</v>
      </c>
      <c r="Q7">
        <f>FlowDict_CC!E7-StockDict_CC!N7</f>
        <v>0</v>
      </c>
      <c r="R7">
        <f>FlowDict_CC!R7-StockDict_CC!P7-FlowDict_CC!Z7</f>
        <v>-9.1593399531575415E-16</v>
      </c>
      <c r="S7">
        <f>FlowDict_CC!S7-StockDict_CC!R7</f>
        <v>0</v>
      </c>
      <c r="T7">
        <f>FlowDict_CC!Y7+FlowDict_CC!Z7+FlowDict_CC!T7-StockDict_CC!T7</f>
        <v>0</v>
      </c>
      <c r="U7">
        <f>FlowDict_CC!B7-FlowDict_CC!D7-FlowDict_CC!C7-FlowDict_CC!E7</f>
        <v>0</v>
      </c>
    </row>
    <row r="8" spans="1:21" x14ac:dyDescent="0.35">
      <c r="A8">
        <f>A28-StockDict_CC!B8-StockDict_CC!D8-StockDict_CC!F8-StockDict_CC!H8-StockDict_CC!J8-StockDict_CC!L8-StockDict_CC!N8-StockDict_CC!P8-StockDict_CC!R8-StockDict_CC!T8</f>
        <v>-24.049978938595309</v>
      </c>
      <c r="B8">
        <f>FlowDict_CC!D8+FlowDict_CC!F8-FlowDict_CC!H8-FlowDict_CC!G8</f>
        <v>10.660587075108115</v>
      </c>
      <c r="C8">
        <f>FlowDict_CC!H8+FlowDict_CC!M8+FlowDict_CC!L8-FlowDict_CC!N8-FlowDict_CC!I8-FlowDict_CC!O8-FlowDict_CC!K8</f>
        <v>-0.89692072332237371</v>
      </c>
      <c r="D8">
        <f>FlowDict_CC!I8-FlowDict_CC!J8-StockDict_CC!B8</f>
        <v>0</v>
      </c>
      <c r="E8">
        <f>FlowDict_CC!V8-FlowDict_CC!F8</f>
        <v>0</v>
      </c>
      <c r="F8">
        <f>FlowDict_CC!G8-StockDict_CC!D8</f>
        <v>0</v>
      </c>
      <c r="G8">
        <f>FlowDict_CC!K8-StockDict_CC!F8</f>
        <v>0</v>
      </c>
      <c r="H8">
        <f>FlowDict_CC!J8-FlowDict_CC!P8-FlowDict_CC!Q8</f>
        <v>0</v>
      </c>
      <c r="I8">
        <f>FlowDict_CC!X8-FlowDict_CC!M8</f>
        <v>0</v>
      </c>
      <c r="J8">
        <f>FlowDict_CC!P8-FlowDict_CC!R8-FlowDict_CC!Y8</f>
        <v>-7.1594758294833429</v>
      </c>
      <c r="K8">
        <f>FlowDict_CC!Q8-FlowDict_CC!T8-FlowDict_CC!S8</f>
        <v>-26.654169460897688</v>
      </c>
      <c r="L8">
        <f>FlowDict_CC!W8-FlowDict_CC!L8</f>
        <v>0</v>
      </c>
      <c r="M8">
        <f>FlowDict_CC!O8-StockDict_CC!H8</f>
        <v>0</v>
      </c>
      <c r="N8">
        <f>FlowDict_CC!U8-FlowDict_CC!B8</f>
        <v>0</v>
      </c>
      <c r="O8">
        <f>FlowDict_CC!N8-StockDict_CC!J8</f>
        <v>0</v>
      </c>
      <c r="P8">
        <f>FlowDict_CC!C8-StockDict_CC!L8</f>
        <v>0</v>
      </c>
      <c r="Q8">
        <f>FlowDict_CC!E8-StockDict_CC!N8</f>
        <v>0</v>
      </c>
      <c r="R8">
        <f>FlowDict_CC!R8-StockDict_CC!P8-FlowDict_CC!Z8</f>
        <v>-9.4368957093138306E-16</v>
      </c>
      <c r="S8">
        <f>FlowDict_CC!S8-StockDict_CC!R8</f>
        <v>0</v>
      </c>
      <c r="T8">
        <f>FlowDict_CC!Y8+FlowDict_CC!Z8+FlowDict_CC!T8-StockDict_CC!T8</f>
        <v>0</v>
      </c>
      <c r="U8">
        <f>FlowDict_CC!B8-FlowDict_CC!D8-FlowDict_CC!C8-FlowDict_CC!E8</f>
        <v>0</v>
      </c>
    </row>
    <row r="9" spans="1:21" x14ac:dyDescent="0.35">
      <c r="A9">
        <f>A29-StockDict_CC!B9-StockDict_CC!D9-StockDict_CC!F9-StockDict_CC!H9-StockDict_CC!J9-StockDict_CC!L9-StockDict_CC!N9-StockDict_CC!P9-StockDict_CC!R9-StockDict_CC!T9</f>
        <v>-25.994549364195542</v>
      </c>
      <c r="B9">
        <f>FlowDict_CC!D9+FlowDict_CC!F9-FlowDict_CC!H9-FlowDict_CC!G9</f>
        <v>10.873798816610263</v>
      </c>
      <c r="C9">
        <f>FlowDict_CC!H9+FlowDict_CC!M9+FlowDict_CC!L9-FlowDict_CC!N9-FlowDict_CC!I9-FlowDict_CC!O9-FlowDict_CC!K9</f>
        <v>-0.91485913778881178</v>
      </c>
      <c r="D9">
        <f>FlowDict_CC!I9-FlowDict_CC!J9-StockDict_CC!B9</f>
        <v>0</v>
      </c>
      <c r="E9">
        <f>FlowDict_CC!V9-FlowDict_CC!F9</f>
        <v>0</v>
      </c>
      <c r="F9">
        <f>FlowDict_CC!G9-StockDict_CC!D9</f>
        <v>0</v>
      </c>
      <c r="G9">
        <f>FlowDict_CC!K9-StockDict_CC!F9</f>
        <v>0</v>
      </c>
      <c r="H9">
        <f>FlowDict_CC!J9-FlowDict_CC!P9-FlowDict_CC!Q9</f>
        <v>0</v>
      </c>
      <c r="I9">
        <f>FlowDict_CC!X9-FlowDict_CC!M9</f>
        <v>0</v>
      </c>
      <c r="J9">
        <f>FlowDict_CC!P9-FlowDict_CC!R9-FlowDict_CC!Y9</f>
        <v>-7.612552080041465</v>
      </c>
      <c r="K9">
        <f>FlowDict_CC!Q9-FlowDict_CC!T9-FlowDict_CC!S9</f>
        <v>-28.340936962975533</v>
      </c>
      <c r="L9">
        <f>FlowDict_CC!W9-FlowDict_CC!L9</f>
        <v>0</v>
      </c>
      <c r="M9">
        <f>FlowDict_CC!O9-StockDict_CC!H9</f>
        <v>0</v>
      </c>
      <c r="N9">
        <f>FlowDict_CC!U9-FlowDict_CC!B9</f>
        <v>0</v>
      </c>
      <c r="O9">
        <f>FlowDict_CC!N9-StockDict_CC!J9</f>
        <v>0</v>
      </c>
      <c r="P9">
        <f>FlowDict_CC!C9-StockDict_CC!L9</f>
        <v>0</v>
      </c>
      <c r="Q9">
        <f>FlowDict_CC!E9-StockDict_CC!N9</f>
        <v>0</v>
      </c>
      <c r="R9">
        <f>FlowDict_CC!R9-StockDict_CC!P9-FlowDict_CC!Z9</f>
        <v>0</v>
      </c>
      <c r="S9">
        <f>FlowDict_CC!S9-StockDict_CC!R9</f>
        <v>0</v>
      </c>
      <c r="T9">
        <f>FlowDict_CC!Y9+FlowDict_CC!Z9+FlowDict_CC!T9-StockDict_CC!T9</f>
        <v>0</v>
      </c>
      <c r="U9">
        <f>FlowDict_CC!B9-FlowDict_CC!D9-FlowDict_CC!C9-FlowDict_CC!E9</f>
        <v>0</v>
      </c>
    </row>
    <row r="10" spans="1:21" x14ac:dyDescent="0.35">
      <c r="A10">
        <f>A30-StockDict_CC!B10-StockDict_CC!D10-StockDict_CC!F10-StockDict_CC!H10-StockDict_CC!J10-StockDict_CC!L10-StockDict_CC!N10-StockDict_CC!P10-StockDict_CC!R10-StockDict_CC!T10</f>
        <v>-27.435449867364689</v>
      </c>
      <c r="B10">
        <f>FlowDict_CC!D10+FlowDict_CC!F10-FlowDict_CC!H10-FlowDict_CC!G10</f>
        <v>11.091274792942484</v>
      </c>
      <c r="C10">
        <f>FlowDict_CC!H10+FlowDict_CC!M10+FlowDict_CC!L10-FlowDict_CC!N10-FlowDict_CC!I10-FlowDict_CC!O10-FlowDict_CC!K10</f>
        <v>-0.93315632054459563</v>
      </c>
      <c r="D10">
        <f>FlowDict_CC!I10-FlowDict_CC!J10-StockDict_CC!B10</f>
        <v>0</v>
      </c>
      <c r="E10">
        <f>FlowDict_CC!V10-FlowDict_CC!F10</f>
        <v>0</v>
      </c>
      <c r="F10">
        <f>FlowDict_CC!G10-StockDict_CC!D10</f>
        <v>0</v>
      </c>
      <c r="G10">
        <f>FlowDict_CC!K10-StockDict_CC!F10</f>
        <v>0</v>
      </c>
      <c r="H10">
        <f>FlowDict_CC!J10-FlowDict_CC!P10-FlowDict_CC!Q10</f>
        <v>0</v>
      </c>
      <c r="I10">
        <f>FlowDict_CC!X10-FlowDict_CC!M10</f>
        <v>0</v>
      </c>
      <c r="J10">
        <f>FlowDict_CC!P10-FlowDict_CC!R10-FlowDict_CC!Y10</f>
        <v>-7.9598115364723929</v>
      </c>
      <c r="K10">
        <f>FlowDict_CC!Q10-FlowDict_CC!T10-FlowDict_CC!S10</f>
        <v>-29.633756803290176</v>
      </c>
      <c r="L10">
        <f>FlowDict_CC!W10-FlowDict_CC!L10</f>
        <v>0</v>
      </c>
      <c r="M10">
        <f>FlowDict_CC!O10-StockDict_CC!H10</f>
        <v>0</v>
      </c>
      <c r="N10">
        <f>FlowDict_CC!U10-FlowDict_CC!B10</f>
        <v>0</v>
      </c>
      <c r="O10">
        <f>FlowDict_CC!N10-StockDict_CC!J10</f>
        <v>0</v>
      </c>
      <c r="P10">
        <f>FlowDict_CC!C10-StockDict_CC!L10</f>
        <v>0</v>
      </c>
      <c r="Q10">
        <f>FlowDict_CC!E10-StockDict_CC!N10</f>
        <v>0</v>
      </c>
      <c r="R10">
        <f>FlowDict_CC!R10-StockDict_CC!P10-FlowDict_CC!Z10</f>
        <v>0</v>
      </c>
      <c r="S10">
        <f>FlowDict_CC!S10-StockDict_CC!R10</f>
        <v>0</v>
      </c>
      <c r="T10">
        <f>FlowDict_CC!Y10+FlowDict_CC!Z10+FlowDict_CC!T10-StockDict_CC!T10</f>
        <v>0</v>
      </c>
      <c r="U10">
        <f>FlowDict_CC!B10-FlowDict_CC!D10-FlowDict_CC!C10-FlowDict_CC!E10</f>
        <v>0</v>
      </c>
    </row>
    <row r="11" spans="1:21" x14ac:dyDescent="0.35">
      <c r="A11">
        <f>A31-StockDict_CC!B11-StockDict_CC!D11-StockDict_CC!F11-StockDict_CC!H11-StockDict_CC!J11-StockDict_CC!L11-StockDict_CC!N11-StockDict_CC!P11-StockDict_CC!R11-StockDict_CC!T11</f>
        <v>-29.21382082413205</v>
      </c>
      <c r="B11">
        <f>FlowDict_CC!D11+FlowDict_CC!F11-FlowDict_CC!H11-FlowDict_CC!G11</f>
        <v>11.313100288801319</v>
      </c>
      <c r="C11">
        <f>FlowDict_CC!H11+FlowDict_CC!M11+FlowDict_CC!L11-FlowDict_CC!N11-FlowDict_CC!I11-FlowDict_CC!O11-FlowDict_CC!K11</f>
        <v>-0.95181944695548459</v>
      </c>
      <c r="D11">
        <f>FlowDict_CC!I11-FlowDict_CC!J11-StockDict_CC!B11</f>
        <v>3.3306690738754696E-15</v>
      </c>
      <c r="E11">
        <f>FlowDict_CC!V11-FlowDict_CC!F11</f>
        <v>0</v>
      </c>
      <c r="F11">
        <f>FlowDict_CC!G11-StockDict_CC!D11</f>
        <v>0</v>
      </c>
      <c r="G11">
        <f>FlowDict_CC!K11-StockDict_CC!F11</f>
        <v>0</v>
      </c>
      <c r="H11">
        <f>FlowDict_CC!J11-FlowDict_CC!P11-FlowDict_CC!Q11</f>
        <v>0</v>
      </c>
      <c r="I11">
        <f>FlowDict_CC!X11-FlowDict_CC!M11</f>
        <v>0</v>
      </c>
      <c r="J11">
        <f>FlowDict_CC!P11-FlowDict_CC!R11-FlowDict_CC!Y11</f>
        <v>-8.3793681927430494</v>
      </c>
      <c r="K11">
        <f>FlowDict_CC!Q11-FlowDict_CC!T11-FlowDict_CC!S11</f>
        <v>-31.195733473234835</v>
      </c>
      <c r="L11">
        <f>FlowDict_CC!W11-FlowDict_CC!L11</f>
        <v>0</v>
      </c>
      <c r="M11">
        <f>FlowDict_CC!O11-StockDict_CC!H11</f>
        <v>0</v>
      </c>
      <c r="N11">
        <f>FlowDict_CC!U11-FlowDict_CC!B11</f>
        <v>0</v>
      </c>
      <c r="O11">
        <f>FlowDict_CC!N11-StockDict_CC!J11</f>
        <v>0</v>
      </c>
      <c r="P11">
        <f>FlowDict_CC!C11-StockDict_CC!L11</f>
        <v>0</v>
      </c>
      <c r="Q11">
        <f>FlowDict_CC!E11-StockDict_CC!N11</f>
        <v>0</v>
      </c>
      <c r="R11">
        <f>FlowDict_CC!R11-StockDict_CC!P11-FlowDict_CC!Z11</f>
        <v>0</v>
      </c>
      <c r="S11">
        <f>FlowDict_CC!S11-StockDict_CC!R11</f>
        <v>0</v>
      </c>
      <c r="T11">
        <f>FlowDict_CC!Y11+FlowDict_CC!Z11+FlowDict_CC!T11-StockDict_CC!T11</f>
        <v>0</v>
      </c>
      <c r="U11">
        <f>FlowDict_CC!B11-FlowDict_CC!D11-FlowDict_CC!C11-FlowDict_CC!E11</f>
        <v>0</v>
      </c>
    </row>
    <row r="12" spans="1:21" x14ac:dyDescent="0.35">
      <c r="A12">
        <f>A32-StockDict_CC!B12-StockDict_CC!D12-StockDict_CC!F12-StockDict_CC!H12-StockDict_CC!J12-StockDict_CC!L12-StockDict_CC!N12-StockDict_CC!P12-StockDict_CC!R12-StockDict_CC!T12</f>
        <v>-31.355451083237242</v>
      </c>
      <c r="B12">
        <f>FlowDict_CC!D12+FlowDict_CC!F12-FlowDict_CC!H12-FlowDict_CC!G12</f>
        <v>11.539362294577344</v>
      </c>
      <c r="C12">
        <f>FlowDict_CC!H12+FlowDict_CC!M12+FlowDict_CC!L12-FlowDict_CC!N12-FlowDict_CC!I12-FlowDict_CC!O12-FlowDict_CC!K12</f>
        <v>-0.97085583589459779</v>
      </c>
      <c r="D12">
        <f>FlowDict_CC!I12-FlowDict_CC!J12-StockDict_CC!B12</f>
        <v>5.773159728050814E-15</v>
      </c>
      <c r="E12">
        <f>FlowDict_CC!V12-FlowDict_CC!F12</f>
        <v>0</v>
      </c>
      <c r="F12">
        <f>FlowDict_CC!G12-StockDict_CC!D12</f>
        <v>0</v>
      </c>
      <c r="G12">
        <f>FlowDict_CC!K12-StockDict_CC!F12</f>
        <v>0</v>
      </c>
      <c r="H12">
        <f>FlowDict_CC!J12-FlowDict_CC!P12-FlowDict_CC!Q12</f>
        <v>0</v>
      </c>
      <c r="I12">
        <f>FlowDict_CC!X12-FlowDict_CC!M12</f>
        <v>0</v>
      </c>
      <c r="J12">
        <f>FlowDict_CC!P12-FlowDict_CC!R12-FlowDict_CC!Y12</f>
        <v>-8.8766992768758577</v>
      </c>
      <c r="K12">
        <f>FlowDict_CC!Q12-FlowDict_CC!T12-FlowDict_CC!S12</f>
        <v>-33.047258265044128</v>
      </c>
      <c r="L12">
        <f>FlowDict_CC!W12-FlowDict_CC!L12</f>
        <v>0</v>
      </c>
      <c r="M12">
        <f>FlowDict_CC!O12-StockDict_CC!H12</f>
        <v>0</v>
      </c>
      <c r="N12">
        <f>FlowDict_CC!U12-FlowDict_CC!B12</f>
        <v>0</v>
      </c>
      <c r="O12">
        <f>FlowDict_CC!N12-StockDict_CC!J12</f>
        <v>0</v>
      </c>
      <c r="P12">
        <f>FlowDict_CC!C12-StockDict_CC!L12</f>
        <v>0</v>
      </c>
      <c r="Q12">
        <f>FlowDict_CC!E12-StockDict_CC!N12</f>
        <v>0</v>
      </c>
      <c r="R12">
        <f>FlowDict_CC!R12-StockDict_CC!P12-FlowDict_CC!Z12</f>
        <v>0</v>
      </c>
      <c r="S12">
        <f>FlowDict_CC!S12-StockDict_CC!R12</f>
        <v>0</v>
      </c>
      <c r="T12">
        <f>FlowDict_CC!Y12+FlowDict_CC!Z12+FlowDict_CC!T12-StockDict_CC!T12</f>
        <v>0</v>
      </c>
      <c r="U12">
        <f>FlowDict_CC!B12-FlowDict_CC!D12-FlowDict_CC!C12-FlowDict_CC!E12</f>
        <v>0</v>
      </c>
    </row>
    <row r="13" spans="1:21" x14ac:dyDescent="0.35">
      <c r="A13">
        <f>A33-StockDict_CC!B13-StockDict_CC!D13-StockDict_CC!F13-StockDict_CC!H13-StockDict_CC!J13-StockDict_CC!L13-StockDict_CC!N13-StockDict_CC!P13-StockDict_CC!R13-StockDict_CC!T13</f>
        <v>-33.53966103061974</v>
      </c>
      <c r="B13">
        <f>FlowDict_CC!D13+FlowDict_CC!F13-FlowDict_CC!H13-FlowDict_CC!G13</f>
        <v>11.770149540468889</v>
      </c>
      <c r="C13">
        <f>FlowDict_CC!H13+FlowDict_CC!M13+FlowDict_CC!L13-FlowDict_CC!N13-FlowDict_CC!I13-FlowDict_CC!O13-FlowDict_CC!K13</f>
        <v>-0.99027295261248582</v>
      </c>
      <c r="D13">
        <f>FlowDict_CC!I13-FlowDict_CC!J13-StockDict_CC!B13</f>
        <v>-3.5527136788005009E-15</v>
      </c>
      <c r="E13">
        <f>FlowDict_CC!V13-FlowDict_CC!F13</f>
        <v>0</v>
      </c>
      <c r="F13">
        <f>FlowDict_CC!G13-StockDict_CC!D13</f>
        <v>0</v>
      </c>
      <c r="G13">
        <f>FlowDict_CC!K13-StockDict_CC!F13</f>
        <v>0</v>
      </c>
      <c r="H13">
        <f>FlowDict_CC!J13-FlowDict_CC!P13-FlowDict_CC!Q13</f>
        <v>0</v>
      </c>
      <c r="I13">
        <f>FlowDict_CC!X13-FlowDict_CC!M13</f>
        <v>0</v>
      </c>
      <c r="J13">
        <f>FlowDict_CC!P13-FlowDict_CC!R13-FlowDict_CC!Y13</f>
        <v>-9.3839234317520184</v>
      </c>
      <c r="K13">
        <f>FlowDict_CC!Q13-FlowDict_CC!T13-FlowDict_CC!S13</f>
        <v>-34.935614186724131</v>
      </c>
      <c r="L13">
        <f>FlowDict_CC!W13-FlowDict_CC!L13</f>
        <v>0</v>
      </c>
      <c r="M13">
        <f>FlowDict_CC!O13-StockDict_CC!H13</f>
        <v>0</v>
      </c>
      <c r="N13">
        <f>FlowDict_CC!U13-FlowDict_CC!B13</f>
        <v>0</v>
      </c>
      <c r="O13">
        <f>FlowDict_CC!N13-StockDict_CC!J13</f>
        <v>0</v>
      </c>
      <c r="P13">
        <f>FlowDict_CC!C13-StockDict_CC!L13</f>
        <v>0</v>
      </c>
      <c r="Q13">
        <f>FlowDict_CC!E13-StockDict_CC!N13</f>
        <v>0</v>
      </c>
      <c r="R13">
        <f>FlowDict_CC!R13-StockDict_CC!P13-FlowDict_CC!Z13</f>
        <v>0</v>
      </c>
      <c r="S13">
        <f>FlowDict_CC!S13-StockDict_CC!R13</f>
        <v>0</v>
      </c>
      <c r="T13">
        <f>FlowDict_CC!Y13+FlowDict_CC!Z13+FlowDict_CC!T13-StockDict_CC!T13</f>
        <v>0</v>
      </c>
      <c r="U13">
        <f>FlowDict_CC!B13-FlowDict_CC!D13-FlowDict_CC!C13-FlowDict_CC!E13</f>
        <v>1.4210854715202004E-14</v>
      </c>
    </row>
    <row r="14" spans="1:21" x14ac:dyDescent="0.35">
      <c r="A14">
        <f>A34-StockDict_CC!B14-StockDict_CC!D14-StockDict_CC!F14-StockDict_CC!H14-StockDict_CC!J14-StockDict_CC!L14-StockDict_CC!N14-StockDict_CC!P14-StockDict_CC!R14-StockDict_CC!T14</f>
        <v>-35.429395531808417</v>
      </c>
      <c r="B14">
        <f>FlowDict_CC!D14+FlowDict_CC!F14-FlowDict_CC!H14-FlowDict_CC!G14</f>
        <v>12.005552531278274</v>
      </c>
      <c r="C14">
        <f>FlowDict_CC!H14+FlowDict_CC!M14+FlowDict_CC!L14-FlowDict_CC!N14-FlowDict_CC!I14-FlowDict_CC!O14-FlowDict_CC!K14</f>
        <v>-1.0100784116647339</v>
      </c>
      <c r="D14">
        <f>FlowDict_CC!I14-FlowDict_CC!J14-StockDict_CC!B14</f>
        <v>-3.1086244689504383E-15</v>
      </c>
      <c r="E14">
        <f>FlowDict_CC!V14-FlowDict_CC!F14</f>
        <v>0</v>
      </c>
      <c r="F14">
        <f>FlowDict_CC!G14-StockDict_CC!D14</f>
        <v>0</v>
      </c>
      <c r="G14">
        <f>FlowDict_CC!K14-StockDict_CC!F14</f>
        <v>0</v>
      </c>
      <c r="H14">
        <f>FlowDict_CC!J14-FlowDict_CC!P14-FlowDict_CC!Q14</f>
        <v>0</v>
      </c>
      <c r="I14">
        <f>FlowDict_CC!X14-FlowDict_CC!M14</f>
        <v>0</v>
      </c>
      <c r="J14">
        <f>FlowDict_CC!P14-FlowDict_CC!R14-FlowDict_CC!Y14</f>
        <v>-9.8296924008610809</v>
      </c>
      <c r="K14">
        <f>FlowDict_CC!Q14-FlowDict_CC!T14-FlowDict_CC!S14</f>
        <v>-36.595177250560916</v>
      </c>
      <c r="L14">
        <f>FlowDict_CC!W14-FlowDict_CC!L14</f>
        <v>0</v>
      </c>
      <c r="M14">
        <f>FlowDict_CC!O14-StockDict_CC!H14</f>
        <v>0</v>
      </c>
      <c r="N14">
        <f>FlowDict_CC!U14-FlowDict_CC!B14</f>
        <v>0</v>
      </c>
      <c r="O14">
        <f>FlowDict_CC!N14-StockDict_CC!J14</f>
        <v>0</v>
      </c>
      <c r="P14">
        <f>FlowDict_CC!C14-StockDict_CC!L14</f>
        <v>0</v>
      </c>
      <c r="Q14">
        <f>FlowDict_CC!E14-StockDict_CC!N14</f>
        <v>0</v>
      </c>
      <c r="R14">
        <f>FlowDict_CC!R14-StockDict_CC!P14-FlowDict_CC!Z14</f>
        <v>0</v>
      </c>
      <c r="S14">
        <f>FlowDict_CC!S14-StockDict_CC!R14</f>
        <v>0</v>
      </c>
      <c r="T14">
        <f>FlowDict_CC!Y14+FlowDict_CC!Z14+FlowDict_CC!T14-StockDict_CC!T14</f>
        <v>0</v>
      </c>
      <c r="U14">
        <f>FlowDict_CC!B14-FlowDict_CC!D14-FlowDict_CC!C14-FlowDict_CC!E14</f>
        <v>0</v>
      </c>
    </row>
    <row r="15" spans="1:21" x14ac:dyDescent="0.35">
      <c r="A15">
        <f>A35-StockDict_CC!B15-StockDict_CC!D15-StockDict_CC!F15-StockDict_CC!H15-StockDict_CC!J15-StockDict_CC!L15-StockDict_CC!N15-StockDict_CC!P15-StockDict_CC!R15-StockDict_CC!T15</f>
        <v>-36.884952187617117</v>
      </c>
      <c r="B15">
        <f>FlowDict_CC!D15+FlowDict_CC!F15-FlowDict_CC!H15-FlowDict_CC!G15</f>
        <v>12.245663581903825</v>
      </c>
      <c r="C15">
        <f>FlowDict_CC!H15+FlowDict_CC!M15+FlowDict_CC!L15-FlowDict_CC!N15-FlowDict_CC!I15-FlowDict_CC!O15-FlowDict_CC!K15</f>
        <v>-1.0302799798980273</v>
      </c>
      <c r="D15">
        <f>FlowDict_CC!I15-FlowDict_CC!J15-StockDict_CC!B15</f>
        <v>-5.3290705182007514E-15</v>
      </c>
      <c r="E15">
        <f>FlowDict_CC!V15-FlowDict_CC!F15</f>
        <v>0</v>
      </c>
      <c r="F15">
        <f>FlowDict_CC!G15-StockDict_CC!D15</f>
        <v>0</v>
      </c>
      <c r="G15">
        <f>FlowDict_CC!K15-StockDict_CC!F15</f>
        <v>0</v>
      </c>
      <c r="H15">
        <f>FlowDict_CC!J15-FlowDict_CC!P15-FlowDict_CC!Q15</f>
        <v>0</v>
      </c>
      <c r="I15">
        <f>FlowDict_CC!X15-FlowDict_CC!M15</f>
        <v>0</v>
      </c>
      <c r="J15">
        <f>FlowDict_CC!P15-FlowDict_CC!R15-FlowDict_CC!Y15</f>
        <v>-10.18444443118949</v>
      </c>
      <c r="K15">
        <f>FlowDict_CC!Q15-FlowDict_CC!T15-FlowDict_CC!S15</f>
        <v>-37.915891358433413</v>
      </c>
      <c r="L15">
        <f>FlowDict_CC!W15-FlowDict_CC!L15</f>
        <v>0</v>
      </c>
      <c r="M15">
        <f>FlowDict_CC!O15-StockDict_CC!H15</f>
        <v>0</v>
      </c>
      <c r="N15">
        <f>FlowDict_CC!U15-FlowDict_CC!B15</f>
        <v>0</v>
      </c>
      <c r="O15">
        <f>FlowDict_CC!N15-StockDict_CC!J15</f>
        <v>0</v>
      </c>
      <c r="P15">
        <f>FlowDict_CC!C15-StockDict_CC!L15</f>
        <v>0</v>
      </c>
      <c r="Q15">
        <f>FlowDict_CC!E15-StockDict_CC!N15</f>
        <v>0</v>
      </c>
      <c r="R15">
        <f>FlowDict_CC!R15-StockDict_CC!P15-FlowDict_CC!Z15</f>
        <v>-8.8817841970012523E-16</v>
      </c>
      <c r="S15">
        <f>FlowDict_CC!S15-StockDict_CC!R15</f>
        <v>0</v>
      </c>
      <c r="T15">
        <f>FlowDict_CC!Y15+FlowDict_CC!Z15+FlowDict_CC!T15-StockDict_CC!T15</f>
        <v>0</v>
      </c>
      <c r="U15">
        <f>FlowDict_CC!B15-FlowDict_CC!D15-FlowDict_CC!C15-FlowDict_CC!E15</f>
        <v>0</v>
      </c>
    </row>
    <row r="16" spans="1:21" x14ac:dyDescent="0.35">
      <c r="A16">
        <f>A36-StockDict_CC!B16-StockDict_CC!D16-StockDict_CC!F16-StockDict_CC!H16-StockDict_CC!J16-StockDict_CC!L16-StockDict_CC!N16-StockDict_CC!P16-StockDict_CC!R16-StockDict_CC!T16</f>
        <v>-37.980952282202601</v>
      </c>
      <c r="B16">
        <f>FlowDict_CC!D16+FlowDict_CC!F16-FlowDict_CC!H16-FlowDict_CC!G16</f>
        <v>12.490576853541917</v>
      </c>
      <c r="C16">
        <f>FlowDict_CC!H16+FlowDict_CC!M16+FlowDict_CC!L16-FlowDict_CC!N16-FlowDict_CC!I16-FlowDict_CC!O16-FlowDict_CC!K16</f>
        <v>-1.0508855794959864</v>
      </c>
      <c r="D16">
        <f>FlowDict_CC!I16-FlowDict_CC!J16-StockDict_CC!B16</f>
        <v>0</v>
      </c>
      <c r="E16">
        <f>FlowDict_CC!V16-FlowDict_CC!F16</f>
        <v>0</v>
      </c>
      <c r="F16">
        <f>FlowDict_CC!G16-StockDict_CC!D16</f>
        <v>0</v>
      </c>
      <c r="G16">
        <f>FlowDict_CC!K16-StockDict_CC!F16</f>
        <v>0</v>
      </c>
      <c r="H16">
        <f>FlowDict_CC!J16-FlowDict_CC!P16-FlowDict_CC!Q16</f>
        <v>0</v>
      </c>
      <c r="I16">
        <f>FlowDict_CC!X16-FlowDict_CC!M16</f>
        <v>0</v>
      </c>
      <c r="J16">
        <f>FlowDict_CC!P16-FlowDict_CC!R16-FlowDict_CC!Y16</f>
        <v>-10.463997595643018</v>
      </c>
      <c r="K16">
        <f>FlowDict_CC!Q16-FlowDict_CC!T16-FlowDict_CC!S16</f>
        <v>-38.956645960605485</v>
      </c>
      <c r="L16">
        <f>FlowDict_CC!W16-FlowDict_CC!L16</f>
        <v>0</v>
      </c>
      <c r="M16">
        <f>FlowDict_CC!O16-StockDict_CC!H16</f>
        <v>0</v>
      </c>
      <c r="N16">
        <f>FlowDict_CC!U16-FlowDict_CC!B16</f>
        <v>0</v>
      </c>
      <c r="O16">
        <f>FlowDict_CC!N16-StockDict_CC!J16</f>
        <v>0</v>
      </c>
      <c r="P16">
        <f>FlowDict_CC!C16-StockDict_CC!L16</f>
        <v>0</v>
      </c>
      <c r="Q16">
        <f>FlowDict_CC!E16-StockDict_CC!N16</f>
        <v>0</v>
      </c>
      <c r="R16">
        <f>FlowDict_CC!R16-StockDict_CC!P16-FlowDict_CC!Z16</f>
        <v>0</v>
      </c>
      <c r="S16">
        <f>FlowDict_CC!S16-StockDict_CC!R16</f>
        <v>0</v>
      </c>
      <c r="T16">
        <f>FlowDict_CC!Y16+FlowDict_CC!Z16+FlowDict_CC!T16-StockDict_CC!T16</f>
        <v>0</v>
      </c>
      <c r="U16">
        <f>FlowDict_CC!B16-FlowDict_CC!D16-FlowDict_CC!C16-FlowDict_CC!E16</f>
        <v>0</v>
      </c>
    </row>
    <row r="21" spans="1:1" x14ac:dyDescent="0.35">
      <c r="A21" t="s">
        <v>67</v>
      </c>
    </row>
    <row r="22" spans="1:1" x14ac:dyDescent="0.35">
      <c r="A22">
        <f>SUM(FlowDict_CC!U2:X2)</f>
        <v>60.723799999999983</v>
      </c>
    </row>
    <row r="23" spans="1:1" x14ac:dyDescent="0.35">
      <c r="A23">
        <f>SUM(FlowDict_CC!U3:X3)</f>
        <v>61.938275999999995</v>
      </c>
    </row>
    <row r="24" spans="1:1" x14ac:dyDescent="0.35">
      <c r="A24">
        <f>SUM(FlowDict_CC!U4:X4)</f>
        <v>63.177041519999989</v>
      </c>
    </row>
    <row r="25" spans="1:1" x14ac:dyDescent="0.35">
      <c r="A25">
        <f>SUM(FlowDict_CC!U5:X5)</f>
        <v>64.440582350399993</v>
      </c>
    </row>
    <row r="26" spans="1:1" x14ac:dyDescent="0.35">
      <c r="A26">
        <f>SUM(FlowDict_CC!U6:X6)</f>
        <v>65.729393997407996</v>
      </c>
    </row>
    <row r="27" spans="1:1" x14ac:dyDescent="0.35">
      <c r="A27">
        <f>SUM(FlowDict_CC!U7:X7)</f>
        <v>67.043981877356174</v>
      </c>
    </row>
    <row r="28" spans="1:1" x14ac:dyDescent="0.35">
      <c r="A28">
        <f>SUM(FlowDict_CC!U8:X8)</f>
        <v>68.384861514903278</v>
      </c>
    </row>
    <row r="29" spans="1:1" x14ac:dyDescent="0.35">
      <c r="A29">
        <f>SUM(FlowDict_CC!U9:X9)</f>
        <v>69.752558745201355</v>
      </c>
    </row>
    <row r="30" spans="1:1" x14ac:dyDescent="0.35">
      <c r="A30">
        <f>SUM(FlowDict_CC!U10:X10)</f>
        <v>71.147609920105381</v>
      </c>
    </row>
    <row r="31" spans="1:1" x14ac:dyDescent="0.35">
      <c r="A31">
        <f>SUM(FlowDict_CC!U11:X11)</f>
        <v>72.570562118507482</v>
      </c>
    </row>
    <row r="32" spans="1:1" x14ac:dyDescent="0.35">
      <c r="A32">
        <f>SUM(FlowDict_CC!U12:X12)</f>
        <v>74.021973360877638</v>
      </c>
    </row>
    <row r="33" spans="1:1" x14ac:dyDescent="0.35">
      <c r="A33">
        <f>SUM(FlowDict_CC!U13:X13)</f>
        <v>75.502412828095189</v>
      </c>
    </row>
    <row r="34" spans="1:1" x14ac:dyDescent="0.35">
      <c r="A34">
        <f>SUM(FlowDict_CC!U14:X14)</f>
        <v>77.012461084657104</v>
      </c>
    </row>
    <row r="35" spans="1:1" x14ac:dyDescent="0.35">
      <c r="A35">
        <f>SUM(FlowDict_CC!U15:X15)</f>
        <v>78.552710306350207</v>
      </c>
    </row>
    <row r="36" spans="1:1" x14ac:dyDescent="0.35">
      <c r="A36">
        <f>SUM(FlowDict_CC!U16:X16)</f>
        <v>80.123764512477237</v>
      </c>
    </row>
    <row r="50" spans="4:4" x14ac:dyDescent="0.35">
      <c r="D50" s="6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4AE8E-3D31-428A-AAF9-E68FE2440629}">
  <dimension ref="A1:T4"/>
  <sheetViews>
    <sheetView tabSelected="1" topLeftCell="E1" workbookViewId="0">
      <selection activeCell="R11" sqref="R9:U11"/>
    </sheetView>
  </sheetViews>
  <sheetFormatPr defaultRowHeight="14.5" x14ac:dyDescent="0.35"/>
  <cols>
    <col min="1" max="1" width="19.453125" bestFit="1" customWidth="1"/>
    <col min="3" max="3" width="11.26953125" bestFit="1" customWidth="1"/>
    <col min="11" max="11" width="12.26953125" bestFit="1" customWidth="1"/>
  </cols>
  <sheetData>
    <row r="1" spans="1:20" x14ac:dyDescent="0.35">
      <c r="A1" t="s">
        <v>65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</row>
    <row r="2" spans="1:20" x14ac:dyDescent="0.35">
      <c r="A2" s="2" cm="1">
        <f t="array" ref="A2">SUM(ABS(Mass_balance_CC!A2:A16))+SUM(ABS(Mass_balance_DM!A2:A16))+SUM(ABS(Mass_balance_WC!A2:A16))+SUM(ABS(Mass_balance_material!A2:A16))</f>
        <v>1095.3523828586515</v>
      </c>
      <c r="B2">
        <f>(-SUM(Mass_balance_WC!B2:B16))+SUM(Mass_balance_DM!B2:B16)+SUM(Mass_balance_CC!B2:B16)</f>
        <v>286.76622247438695</v>
      </c>
      <c r="C2" s="3">
        <f>SUM(Mass_balance_WC!C2:C16)+(-SUM(Mass_balance_DM!C2:C16))+(-SUM(Mass_balance_CC!C2:C16))</f>
        <v>50.557335039968848</v>
      </c>
      <c r="D2">
        <f>SUM(Mass_balance_WC!D2:D16)+SUM(Mass_balance_DM!D2:D16)+SUM(Mass_balance_CC!D2:D16)</f>
        <v>2.19824158875781E-14</v>
      </c>
      <c r="E2">
        <f>SUM(Mass_balance_WC!E2:E16)+SUM(Mass_balance_DM!E2:E16)+SUM(Mass_balance_CC!E2:E16)</f>
        <v>0</v>
      </c>
      <c r="F2">
        <f>SUM(Mass_balance_WC!F2:F16)+SUM(Mass_balance_DM!F2:F16)+SUM(Mass_balance_CC!F2:F16)</f>
        <v>0</v>
      </c>
      <c r="G2">
        <f>SUM(Mass_balance_WC!G2:G16)+SUM(Mass_balance_DM!G2:G16)+SUM(Mass_balance_CC!G2:G16)</f>
        <v>0</v>
      </c>
      <c r="H2">
        <f>SUM(Mass_balance_WC!H2:H16)+SUM(Mass_balance_DM!H2:H16)+SUM(Mass_balance_CC!H2:H16)</f>
        <v>0</v>
      </c>
      <c r="I2">
        <f>SUM(Mass_balance_WC!I2:I16)+SUM(Mass_balance_DM!I2:I16)+SUM(Mass_balance_CC!I2:I16)</f>
        <v>0</v>
      </c>
      <c r="J2">
        <f>SUM(Mass_balance_WC!J2:J16)+(-SUM(Mass_balance_DM!J2:J16))+(-SUM(Mass_balance_CC!J2:J16))</f>
        <v>266.67477268018638</v>
      </c>
      <c r="K2" s="5">
        <f>SUM(Mass_balance_WC!K2:K16)+(-SUM(Mass_balance_DM!K2:K16))+(-SUM(Mass_balance_CC!K2:K16))</f>
        <v>1037.5687779155614</v>
      </c>
      <c r="L2">
        <f>SUM(Mass_balance_WC!L2:L16)+SUM(Mass_balance_DM!L2:L16)+SUM(Mass_balance_CC!L2:L16)</f>
        <v>0</v>
      </c>
      <c r="M2">
        <f>SUM(Mass_balance_WC!M2:M16)+SUM(Mass_balance_DM!M2:M16)+SUM(Mass_balance_CC!M2:M16)</f>
        <v>0</v>
      </c>
      <c r="N2">
        <f>SUM(Mass_balance_WC!N2:N16)+SUM(Mass_balance_DM!N2:N16)+SUM(Mass_balance_CC!N2:N16)</f>
        <v>0</v>
      </c>
      <c r="O2">
        <f>SUM(Mass_balance_WC!O2:O16)+SUM(Mass_balance_DM!O2:O16)+SUM(Mass_balance_CC!O2:O16)</f>
        <v>0</v>
      </c>
      <c r="P2">
        <f>SUM(Mass_balance_WC!P2:P16)+SUM(Mass_balance_DM!P2:P16)+SUM(Mass_balance_CC!P2:P16)</f>
        <v>0</v>
      </c>
      <c r="Q2">
        <f>SUM(Mass_balance_WC!Q2:Q16)+SUM(Mass_balance_DM!Q2:Q16)+SUM(Mass_balance_CC!Q2:Q16)</f>
        <v>0</v>
      </c>
      <c r="R2">
        <f>SUM(Mass_balance_WC!R2:R16)+SUM(Mass_balance_DM!R2:R16)+SUM(Mass_balance_CC!R2:R16)</f>
        <v>-1.2212453270876722E-15</v>
      </c>
      <c r="S2">
        <f>SUM(Mass_balance_WC!S2:S16)+SUM(Mass_balance_DM!S2:S16)+SUM(Mass_balance_CC!S2:S16)</f>
        <v>0</v>
      </c>
      <c r="T2">
        <f>SUM(Mass_balance_WC!T2:T16)+SUM(Mass_balance_DM!T2:T16)+SUM(Mass_balance_CC!T2:T16)</f>
        <v>0</v>
      </c>
    </row>
    <row r="4" spans="1:20" x14ac:dyDescent="0.35">
      <c r="A4" s="4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workbookViewId="0">
      <selection activeCell="B2" sqref="B2:Z16"/>
    </sheetView>
  </sheetViews>
  <sheetFormatPr defaultRowHeight="14.5" x14ac:dyDescent="0.35"/>
  <sheetData>
    <row r="1" spans="1:26" x14ac:dyDescent="0.3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66</v>
      </c>
    </row>
    <row r="2" spans="1:26" x14ac:dyDescent="0.35">
      <c r="A2" s="1">
        <v>2022</v>
      </c>
      <c r="B2">
        <v>129</v>
      </c>
      <c r="C2">
        <v>51.6</v>
      </c>
      <c r="D2">
        <v>51.6</v>
      </c>
      <c r="E2">
        <v>25.8</v>
      </c>
      <c r="F2">
        <v>39</v>
      </c>
      <c r="G2">
        <v>22.921800000000001</v>
      </c>
      <c r="H2">
        <v>67.67819999999999</v>
      </c>
      <c r="I2">
        <v>54.217716000000003</v>
      </c>
      <c r="J2">
        <v>1.5541593516132931E-5</v>
      </c>
      <c r="K2">
        <v>12.841037999999999</v>
      </c>
      <c r="L2">
        <v>1</v>
      </c>
      <c r="M2">
        <v>74</v>
      </c>
      <c r="N2">
        <v>67.058753999999993</v>
      </c>
      <c r="O2">
        <v>8.5606919999999995</v>
      </c>
      <c r="P2">
        <v>3.108318703226587E-6</v>
      </c>
      <c r="Q2">
        <v>1.243327481290635E-5</v>
      </c>
      <c r="R2">
        <v>9.3249561096797605E-7</v>
      </c>
      <c r="S2">
        <v>1.2433274812906351E-6</v>
      </c>
      <c r="T2">
        <v>1.1189947331615709E-5</v>
      </c>
      <c r="U2">
        <v>129</v>
      </c>
      <c r="V2">
        <v>39</v>
      </c>
      <c r="W2">
        <v>1</v>
      </c>
      <c r="X2">
        <v>74</v>
      </c>
      <c r="Y2">
        <v>2.1758230922586109E-6</v>
      </c>
      <c r="Z2">
        <v>0</v>
      </c>
    </row>
    <row r="3" spans="1:26" x14ac:dyDescent="0.35">
      <c r="A3" s="1">
        <v>2023</v>
      </c>
      <c r="B3">
        <v>131.58000000000001</v>
      </c>
      <c r="C3">
        <v>52.632000000000012</v>
      </c>
      <c r="D3">
        <v>52.632000000000012</v>
      </c>
      <c r="E3">
        <v>26.315999999999999</v>
      </c>
      <c r="F3">
        <v>39.78</v>
      </c>
      <c r="G3">
        <v>23.380236</v>
      </c>
      <c r="H3">
        <v>69.03176400000001</v>
      </c>
      <c r="I3">
        <v>55.302070320000013</v>
      </c>
      <c r="J3">
        <v>16.265695382126189</v>
      </c>
      <c r="K3">
        <v>13.097858759999999</v>
      </c>
      <c r="L3">
        <v>1.02</v>
      </c>
      <c r="M3">
        <v>75.48</v>
      </c>
      <c r="N3">
        <v>68.399929080000021</v>
      </c>
      <c r="O3">
        <v>8.7319058400000014</v>
      </c>
      <c r="P3">
        <v>3.253139076425239</v>
      </c>
      <c r="Q3">
        <v>13.012556305700951</v>
      </c>
      <c r="R3">
        <v>0.97594172292757153</v>
      </c>
      <c r="S3">
        <v>1.301255630570096</v>
      </c>
      <c r="T3">
        <v>11.711300675130859</v>
      </c>
      <c r="U3">
        <v>131.58000000000001</v>
      </c>
      <c r="V3">
        <v>39.78</v>
      </c>
      <c r="W3">
        <v>1.02</v>
      </c>
      <c r="X3">
        <v>75.48</v>
      </c>
      <c r="Y3">
        <v>2.2771973534976668</v>
      </c>
      <c r="Z3">
        <v>2.8002050789233121E-8</v>
      </c>
    </row>
    <row r="4" spans="1:26" x14ac:dyDescent="0.35">
      <c r="A4" s="1">
        <v>2024</v>
      </c>
      <c r="B4">
        <v>134.2116</v>
      </c>
      <c r="C4">
        <v>53.684640000000002</v>
      </c>
      <c r="D4">
        <v>53.684640000000002</v>
      </c>
      <c r="E4">
        <v>26.842320000000001</v>
      </c>
      <c r="F4">
        <v>40.575600000000001</v>
      </c>
      <c r="G4">
        <v>23.847840720000001</v>
      </c>
      <c r="H4">
        <v>70.412399280000002</v>
      </c>
      <c r="I4">
        <v>56.408111726400008</v>
      </c>
      <c r="J4">
        <v>32.870915599618883</v>
      </c>
      <c r="K4">
        <v>13.3598159352</v>
      </c>
      <c r="L4">
        <v>1.0404</v>
      </c>
      <c r="M4">
        <v>76.98960000000001</v>
      </c>
      <c r="N4">
        <v>69.767927661599998</v>
      </c>
      <c r="O4">
        <v>8.9065439568000002</v>
      </c>
      <c r="P4">
        <v>6.5741831199237746</v>
      </c>
      <c r="Q4">
        <v>26.296732479695098</v>
      </c>
      <c r="R4">
        <v>1.9722549359771331</v>
      </c>
      <c r="S4">
        <v>2.6296732479695102</v>
      </c>
      <c r="T4">
        <v>23.667059231725592</v>
      </c>
      <c r="U4">
        <v>134.2116</v>
      </c>
      <c r="V4">
        <v>40.575600000000001</v>
      </c>
      <c r="W4">
        <v>1.0404</v>
      </c>
      <c r="X4">
        <v>76.98960000000001</v>
      </c>
      <c r="Y4">
        <v>4.6019281839466428</v>
      </c>
      <c r="Z4">
        <v>2.9306727653138021E-2</v>
      </c>
    </row>
    <row r="5" spans="1:26" x14ac:dyDescent="0.35">
      <c r="A5" s="1">
        <v>2025</v>
      </c>
      <c r="B5">
        <v>136.89583200000001</v>
      </c>
      <c r="C5">
        <v>54.758332800000012</v>
      </c>
      <c r="D5">
        <v>54.758332800000012</v>
      </c>
      <c r="E5">
        <v>27.379166399999999</v>
      </c>
      <c r="F5">
        <v>41.387112000000002</v>
      </c>
      <c r="G5">
        <v>24.324797534399998</v>
      </c>
      <c r="H5">
        <v>71.820647265600002</v>
      </c>
      <c r="I5">
        <v>57.536273960928</v>
      </c>
      <c r="J5">
        <v>33.762576692520661</v>
      </c>
      <c r="K5">
        <v>13.627012253904001</v>
      </c>
      <c r="L5">
        <v>1.0612079999999999</v>
      </c>
      <c r="M5">
        <v>78.529392000000016</v>
      </c>
      <c r="N5">
        <v>71.163286214831999</v>
      </c>
      <c r="O5">
        <v>9.0846748359359992</v>
      </c>
      <c r="P5">
        <v>6.7525153385041321</v>
      </c>
      <c r="Q5">
        <v>27.010061354016528</v>
      </c>
      <c r="R5">
        <v>2.02575460155124</v>
      </c>
      <c r="S5">
        <v>2.701006135401653</v>
      </c>
      <c r="T5">
        <v>24.30905521861488</v>
      </c>
      <c r="U5">
        <v>136.89583200000001</v>
      </c>
      <c r="V5">
        <v>41.387112000000002</v>
      </c>
      <c r="W5">
        <v>1.0612079999999999</v>
      </c>
      <c r="X5">
        <v>78.529392000000016</v>
      </c>
      <c r="Y5">
        <v>4.7267607369528921</v>
      </c>
      <c r="Z5">
        <v>8.7605492392698103E-2</v>
      </c>
    </row>
    <row r="6" spans="1:26" x14ac:dyDescent="0.35">
      <c r="A6" s="1">
        <v>2026</v>
      </c>
      <c r="B6">
        <v>139.63374863999999</v>
      </c>
      <c r="C6">
        <v>55.853499456000009</v>
      </c>
      <c r="D6">
        <v>55.853499456000009</v>
      </c>
      <c r="E6">
        <v>27.926749728000001</v>
      </c>
      <c r="F6">
        <v>42.214854240000001</v>
      </c>
      <c r="G6">
        <v>24.811293485088001</v>
      </c>
      <c r="H6">
        <v>73.257060210912002</v>
      </c>
      <c r="I6">
        <v>58.686999440146558</v>
      </c>
      <c r="J6">
        <v>35.923636441851492</v>
      </c>
      <c r="K6">
        <v>13.89955249898208</v>
      </c>
      <c r="L6">
        <v>1.08243216</v>
      </c>
      <c r="M6">
        <v>80.099979840000017</v>
      </c>
      <c r="N6">
        <v>72.58655193912864</v>
      </c>
      <c r="O6">
        <v>9.2663683326547197</v>
      </c>
      <c r="P6">
        <v>7.1847272883702971</v>
      </c>
      <c r="Q6">
        <v>28.738909153481188</v>
      </c>
      <c r="R6">
        <v>2.1554181865110889</v>
      </c>
      <c r="S6">
        <v>2.8738909153481189</v>
      </c>
      <c r="T6">
        <v>25.865018238133072</v>
      </c>
      <c r="U6">
        <v>139.63374863999999</v>
      </c>
      <c r="V6">
        <v>42.214854240000001</v>
      </c>
      <c r="W6">
        <v>1.08243216</v>
      </c>
      <c r="X6">
        <v>80.099979840000017</v>
      </c>
      <c r="Y6">
        <v>5.0293091018592078</v>
      </c>
      <c r="Z6">
        <v>0.14566800413862069</v>
      </c>
    </row>
    <row r="7" spans="1:26" x14ac:dyDescent="0.35">
      <c r="A7" s="1">
        <v>2027</v>
      </c>
      <c r="B7">
        <v>142.42642361279999</v>
      </c>
      <c r="C7">
        <v>56.970569445120013</v>
      </c>
      <c r="D7">
        <v>56.970569445120013</v>
      </c>
      <c r="E7">
        <v>28.48528472256001</v>
      </c>
      <c r="F7">
        <v>43.059151324799998</v>
      </c>
      <c r="G7">
        <v>25.307519354789761</v>
      </c>
      <c r="H7">
        <v>74.722201415130243</v>
      </c>
      <c r="I7">
        <v>59.860739428949493</v>
      </c>
      <c r="J7">
        <v>40.396192767371822</v>
      </c>
      <c r="K7">
        <v>14.177543548961721</v>
      </c>
      <c r="L7">
        <v>1.1040808032</v>
      </c>
      <c r="M7">
        <v>81.701979436800016</v>
      </c>
      <c r="N7">
        <v>74.038282977911209</v>
      </c>
      <c r="O7">
        <v>9.4516956993078143</v>
      </c>
      <c r="P7">
        <v>8.0792385534743634</v>
      </c>
      <c r="Q7">
        <v>32.316954213897453</v>
      </c>
      <c r="R7">
        <v>2.4237715660423089</v>
      </c>
      <c r="S7">
        <v>3.231695421389746</v>
      </c>
      <c r="T7">
        <v>29.085258792507709</v>
      </c>
      <c r="U7">
        <v>142.42642361279999</v>
      </c>
      <c r="V7">
        <v>43.059151324799998</v>
      </c>
      <c r="W7">
        <v>1.1040808032</v>
      </c>
      <c r="X7">
        <v>81.701979436800016</v>
      </c>
      <c r="Y7">
        <v>5.655466987432054</v>
      </c>
      <c r="Z7">
        <v>0.20578886853234171</v>
      </c>
    </row>
    <row r="8" spans="1:26" x14ac:dyDescent="0.35">
      <c r="A8" s="1">
        <v>2028</v>
      </c>
      <c r="B8">
        <v>145.27495208505599</v>
      </c>
      <c r="C8">
        <v>58.109980834022409</v>
      </c>
      <c r="D8">
        <v>58.109980834022409</v>
      </c>
      <c r="E8">
        <v>29.054990417011201</v>
      </c>
      <c r="F8">
        <v>43.920334351295999</v>
      </c>
      <c r="G8">
        <v>25.813669741885558</v>
      </c>
      <c r="H8">
        <v>76.216645443432853</v>
      </c>
      <c r="I8">
        <v>61.057954217528497</v>
      </c>
      <c r="J8">
        <v>45.084860387174707</v>
      </c>
      <c r="K8">
        <v>14.461094419940959</v>
      </c>
      <c r="L8">
        <v>1.1261624192640001</v>
      </c>
      <c r="M8">
        <v>83.336019025536018</v>
      </c>
      <c r="N8">
        <v>75.519048637469453</v>
      </c>
      <c r="O8">
        <v>9.6407296132939724</v>
      </c>
      <c r="P8">
        <v>9.0169720774349429</v>
      </c>
      <c r="Q8">
        <v>36.067888309739772</v>
      </c>
      <c r="R8">
        <v>2.7050916232304831</v>
      </c>
      <c r="S8">
        <v>3.606788830973978</v>
      </c>
      <c r="T8">
        <v>32.461099478765803</v>
      </c>
      <c r="U8">
        <v>145.27495208505599</v>
      </c>
      <c r="V8">
        <v>43.920334351295999</v>
      </c>
      <c r="W8">
        <v>1.1261624192640001</v>
      </c>
      <c r="X8">
        <v>83.336019025536018</v>
      </c>
      <c r="Y8">
        <v>6.3118804542044593</v>
      </c>
      <c r="Z8">
        <v>0.27206775847024162</v>
      </c>
    </row>
    <row r="9" spans="1:26" x14ac:dyDescent="0.35">
      <c r="A9" s="1">
        <v>2029</v>
      </c>
      <c r="B9">
        <v>148.18045112675711</v>
      </c>
      <c r="C9">
        <v>59.272180450702862</v>
      </c>
      <c r="D9">
        <v>59.272180450702862</v>
      </c>
      <c r="E9">
        <v>29.636090225351431</v>
      </c>
      <c r="F9">
        <v>44.798741038321921</v>
      </c>
      <c r="G9">
        <v>26.329943136723269</v>
      </c>
      <c r="H9">
        <v>77.740978352301511</v>
      </c>
      <c r="I9">
        <v>62.279113301879057</v>
      </c>
      <c r="J9">
        <v>47.937985390689327</v>
      </c>
      <c r="K9">
        <v>14.75031630833978</v>
      </c>
      <c r="L9">
        <v>1.14868566764928</v>
      </c>
      <c r="M9">
        <v>85.002739406046743</v>
      </c>
      <c r="N9">
        <v>77.029429610218841</v>
      </c>
      <c r="O9">
        <v>9.8335442055598516</v>
      </c>
      <c r="P9">
        <v>9.5875970781378665</v>
      </c>
      <c r="Q9">
        <v>38.350388312551473</v>
      </c>
      <c r="R9">
        <v>2.8762791234413601</v>
      </c>
      <c r="S9">
        <v>3.8350388312551469</v>
      </c>
      <c r="T9">
        <v>34.515349481296319</v>
      </c>
      <c r="U9">
        <v>148.18045112675711</v>
      </c>
      <c r="V9">
        <v>44.798741038321921</v>
      </c>
      <c r="W9">
        <v>1.14868566764928</v>
      </c>
      <c r="X9">
        <v>85.002739406046743</v>
      </c>
      <c r="Y9">
        <v>6.711317954696506</v>
      </c>
      <c r="Z9">
        <v>0.34469939934295812</v>
      </c>
    </row>
    <row r="10" spans="1:26" x14ac:dyDescent="0.35">
      <c r="A10" s="1">
        <v>2030</v>
      </c>
      <c r="B10">
        <v>151.1440601492923</v>
      </c>
      <c r="C10">
        <v>60.457624059716913</v>
      </c>
      <c r="D10">
        <v>60.457624059716913</v>
      </c>
      <c r="E10">
        <v>30.22881202985846</v>
      </c>
      <c r="F10">
        <v>45.694715859088362</v>
      </c>
      <c r="G10">
        <v>26.856541999457729</v>
      </c>
      <c r="H10">
        <v>79.295797919347535</v>
      </c>
      <c r="I10">
        <v>63.524695567916638</v>
      </c>
      <c r="J10">
        <v>50.124757786350088</v>
      </c>
      <c r="K10">
        <v>15.04532263450657</v>
      </c>
      <c r="L10">
        <v>1.171659381002266</v>
      </c>
      <c r="M10">
        <v>86.70279419416768</v>
      </c>
      <c r="N10">
        <v>78.570018202423199</v>
      </c>
      <c r="O10">
        <v>10.030215089671049</v>
      </c>
      <c r="P10">
        <v>10.02495155727002</v>
      </c>
      <c r="Q10">
        <v>40.099806229080073</v>
      </c>
      <c r="R10">
        <v>3.007485467181005</v>
      </c>
      <c r="S10">
        <v>4.0099806229080066</v>
      </c>
      <c r="T10">
        <v>36.08982560617207</v>
      </c>
      <c r="U10">
        <v>151.1440601492923</v>
      </c>
      <c r="V10">
        <v>45.694715859088362</v>
      </c>
      <c r="W10">
        <v>1.171659381002266</v>
      </c>
      <c r="X10">
        <v>86.70279419416768</v>
      </c>
      <c r="Y10">
        <v>7.0174660900890116</v>
      </c>
      <c r="Z10">
        <v>0.42017579594295418</v>
      </c>
    </row>
    <row r="11" spans="1:26" x14ac:dyDescent="0.35">
      <c r="A11" s="1">
        <v>2031</v>
      </c>
      <c r="B11">
        <v>154.16694135227809</v>
      </c>
      <c r="C11">
        <v>61.66677654091125</v>
      </c>
      <c r="D11">
        <v>61.66677654091125</v>
      </c>
      <c r="E11">
        <v>30.833388270455629</v>
      </c>
      <c r="F11">
        <v>46.608610176270133</v>
      </c>
      <c r="G11">
        <v>27.393672839446889</v>
      </c>
      <c r="H11">
        <v>80.881713877734498</v>
      </c>
      <c r="I11">
        <v>64.795189479274967</v>
      </c>
      <c r="J11">
        <v>52.766802221303827</v>
      </c>
      <c r="K11">
        <v>15.346229087196701</v>
      </c>
      <c r="L11">
        <v>1.1950925686223111</v>
      </c>
      <c r="M11">
        <v>88.436850078051037</v>
      </c>
      <c r="N11">
        <v>80.141418566471671</v>
      </c>
      <c r="O11">
        <v>10.23081939146447</v>
      </c>
      <c r="P11">
        <v>10.55336044426077</v>
      </c>
      <c r="Q11">
        <v>42.213441777043073</v>
      </c>
      <c r="R11">
        <v>3.1660081332782299</v>
      </c>
      <c r="S11">
        <v>4.2213441777043066</v>
      </c>
      <c r="T11">
        <v>37.99209759933877</v>
      </c>
      <c r="U11">
        <v>154.16694135227809</v>
      </c>
      <c r="V11">
        <v>46.608610176270133</v>
      </c>
      <c r="W11">
        <v>1.1950925686223111</v>
      </c>
      <c r="X11">
        <v>88.436850078051037</v>
      </c>
      <c r="Y11">
        <v>7.3873523109825374</v>
      </c>
      <c r="Z11">
        <v>0.49720642643843682</v>
      </c>
    </row>
    <row r="12" spans="1:26" x14ac:dyDescent="0.35">
      <c r="A12" s="1">
        <v>2032</v>
      </c>
      <c r="B12">
        <v>157.25028017932371</v>
      </c>
      <c r="C12">
        <v>62.900112071729467</v>
      </c>
      <c r="D12">
        <v>62.900112071729467</v>
      </c>
      <c r="E12">
        <v>31.450056035864741</v>
      </c>
      <c r="F12">
        <v>47.540782379795537</v>
      </c>
      <c r="G12">
        <v>27.941546296235831</v>
      </c>
      <c r="H12">
        <v>82.499348155289184</v>
      </c>
      <c r="I12">
        <v>66.091093268860476</v>
      </c>
      <c r="J12">
        <v>55.898610055893307</v>
      </c>
      <c r="K12">
        <v>15.653153668940639</v>
      </c>
      <c r="L12">
        <v>1.2189944199947571</v>
      </c>
      <c r="M12">
        <v>90.205587079612059</v>
      </c>
      <c r="N12">
        <v>81.744246937801108</v>
      </c>
      <c r="O12">
        <v>10.43543577929376</v>
      </c>
      <c r="P12">
        <v>11.17972201117866</v>
      </c>
      <c r="Q12">
        <v>44.718888044714653</v>
      </c>
      <c r="R12">
        <v>3.353916603353599</v>
      </c>
      <c r="S12">
        <v>4.4718888044714653</v>
      </c>
      <c r="T12">
        <v>40.246999240243191</v>
      </c>
      <c r="U12">
        <v>157.25028017932371</v>
      </c>
      <c r="V12">
        <v>47.540782379795537</v>
      </c>
      <c r="W12">
        <v>1.2189944199947571</v>
      </c>
      <c r="X12">
        <v>90.205587079612059</v>
      </c>
      <c r="Y12">
        <v>7.8258054078250634</v>
      </c>
      <c r="Z12">
        <v>0.57656244801397305</v>
      </c>
    </row>
    <row r="13" spans="1:26" x14ac:dyDescent="0.35">
      <c r="A13" s="1">
        <v>2033</v>
      </c>
      <c r="B13">
        <v>160.39528578291021</v>
      </c>
      <c r="C13">
        <v>64.158114313164063</v>
      </c>
      <c r="D13">
        <v>64.158114313164063</v>
      </c>
      <c r="E13">
        <v>32.079057156582031</v>
      </c>
      <c r="F13">
        <v>48.491598027391447</v>
      </c>
      <c r="G13">
        <v>28.500377222160541</v>
      </c>
      <c r="H13">
        <v>84.149335118394973</v>
      </c>
      <c r="I13">
        <v>67.412915134237707</v>
      </c>
      <c r="J13">
        <v>59.092716824634877</v>
      </c>
      <c r="K13">
        <v>15.96621674231945</v>
      </c>
      <c r="L13">
        <v>1.243374308394652</v>
      </c>
      <c r="M13">
        <v>92.009698821204296</v>
      </c>
      <c r="N13">
        <v>83.379131876557153</v>
      </c>
      <c r="O13">
        <v>10.64414449487964</v>
      </c>
      <c r="P13">
        <v>11.818543364926979</v>
      </c>
      <c r="Q13">
        <v>47.274173459707903</v>
      </c>
      <c r="R13">
        <v>3.545563009478093</v>
      </c>
      <c r="S13">
        <v>4.7274173459707907</v>
      </c>
      <c r="T13">
        <v>42.546756113737111</v>
      </c>
      <c r="U13">
        <v>160.39528578291021</v>
      </c>
      <c r="V13">
        <v>48.491598027391447</v>
      </c>
      <c r="W13">
        <v>1.243374308394652</v>
      </c>
      <c r="X13">
        <v>92.009698821204296</v>
      </c>
      <c r="Y13">
        <v>8.2729803554488832</v>
      </c>
      <c r="Z13">
        <v>0.65905278663383626</v>
      </c>
    </row>
    <row r="14" spans="1:26" x14ac:dyDescent="0.35">
      <c r="A14" s="1">
        <v>2034</v>
      </c>
      <c r="B14">
        <v>163.60319149856829</v>
      </c>
      <c r="C14">
        <v>65.44127659942734</v>
      </c>
      <c r="D14">
        <v>65.44127659942734</v>
      </c>
      <c r="E14">
        <v>32.72063829971367</v>
      </c>
      <c r="F14">
        <v>49.461429987939283</v>
      </c>
      <c r="G14">
        <v>29.070384766603759</v>
      </c>
      <c r="H14">
        <v>85.832321820762871</v>
      </c>
      <c r="I14">
        <v>68.761173436922448</v>
      </c>
      <c r="J14">
        <v>61.899826201895984</v>
      </c>
      <c r="K14">
        <v>16.285541077165838</v>
      </c>
      <c r="L14">
        <v>1.268241794562545</v>
      </c>
      <c r="M14">
        <v>93.849892797628385</v>
      </c>
      <c r="N14">
        <v>85.046714514088279</v>
      </c>
      <c r="O14">
        <v>10.857027384777229</v>
      </c>
      <c r="P14">
        <v>12.3799652403792</v>
      </c>
      <c r="Q14">
        <v>49.519860961516791</v>
      </c>
      <c r="R14">
        <v>3.7139895721137588</v>
      </c>
      <c r="S14">
        <v>4.9519860961516793</v>
      </c>
      <c r="T14">
        <v>44.567874865365113</v>
      </c>
      <c r="U14">
        <v>163.60319149856829</v>
      </c>
      <c r="V14">
        <v>49.461429987939283</v>
      </c>
      <c r="W14">
        <v>1.268241794562545</v>
      </c>
      <c r="X14">
        <v>93.849892797628385</v>
      </c>
      <c r="Y14">
        <v>8.6659756682654372</v>
      </c>
      <c r="Z14">
        <v>0.74469061473338138</v>
      </c>
    </row>
    <row r="15" spans="1:26" x14ac:dyDescent="0.35">
      <c r="A15" s="1">
        <v>2035</v>
      </c>
      <c r="B15">
        <v>166.87525532853971</v>
      </c>
      <c r="C15">
        <v>66.750102131415886</v>
      </c>
      <c r="D15">
        <v>66.750102131415886</v>
      </c>
      <c r="E15">
        <v>33.375051065707943</v>
      </c>
      <c r="F15">
        <v>50.450658587698072</v>
      </c>
      <c r="G15">
        <v>29.65179246193583</v>
      </c>
      <c r="H15">
        <v>87.548968257178132</v>
      </c>
      <c r="I15">
        <v>70.136396905660902</v>
      </c>
      <c r="J15">
        <v>64.133781052830543</v>
      </c>
      <c r="K15">
        <v>16.61125189870916</v>
      </c>
      <c r="L15">
        <v>1.2936066304537961</v>
      </c>
      <c r="M15">
        <v>95.726890653580952</v>
      </c>
      <c r="N15">
        <v>86.747648804370058</v>
      </c>
      <c r="O15">
        <v>11.07416793247277</v>
      </c>
      <c r="P15">
        <v>12.82675621056611</v>
      </c>
      <c r="Q15">
        <v>51.30702484226444</v>
      </c>
      <c r="R15">
        <v>3.8480268631698329</v>
      </c>
      <c r="S15">
        <v>5.1307024842264441</v>
      </c>
      <c r="T15">
        <v>46.176322358038</v>
      </c>
      <c r="U15">
        <v>166.87525532853971</v>
      </c>
      <c r="V15">
        <v>50.450658587698072</v>
      </c>
      <c r="W15">
        <v>1.2936066304537961</v>
      </c>
      <c r="X15">
        <v>95.726890653580952</v>
      </c>
      <c r="Y15">
        <v>8.9787293473962766</v>
      </c>
      <c r="Z15">
        <v>0.8326791691626596</v>
      </c>
    </row>
    <row r="16" spans="1:26" x14ac:dyDescent="0.35">
      <c r="A16" s="1">
        <v>2036</v>
      </c>
      <c r="B16">
        <v>170.21276043511051</v>
      </c>
      <c r="C16">
        <v>68.085104174044204</v>
      </c>
      <c r="D16">
        <v>68.085104174044204</v>
      </c>
      <c r="E16">
        <v>34.042552087022102</v>
      </c>
      <c r="F16">
        <v>51.459671759452029</v>
      </c>
      <c r="G16">
        <v>30.24482831117454</v>
      </c>
      <c r="H16">
        <v>89.299947622321682</v>
      </c>
      <c r="I16">
        <v>71.539124843774118</v>
      </c>
      <c r="J16">
        <v>65.894191408331352</v>
      </c>
      <c r="K16">
        <v>16.943476936683339</v>
      </c>
      <c r="L16">
        <v>1.3194787630628719</v>
      </c>
      <c r="M16">
        <v>97.64142846665257</v>
      </c>
      <c r="N16">
        <v>88.482601780457458</v>
      </c>
      <c r="O16">
        <v>11.29565129112223</v>
      </c>
      <c r="P16">
        <v>13.17883828166627</v>
      </c>
      <c r="Q16">
        <v>52.715353126665093</v>
      </c>
      <c r="R16">
        <v>3.9536514844998809</v>
      </c>
      <c r="S16">
        <v>5.2715353126665088</v>
      </c>
      <c r="T16">
        <v>47.443817813998578</v>
      </c>
      <c r="U16">
        <v>170.21276043511051</v>
      </c>
      <c r="V16">
        <v>51.459671759452029</v>
      </c>
      <c r="W16">
        <v>1.3194787630628719</v>
      </c>
      <c r="X16">
        <v>97.64142846665257</v>
      </c>
      <c r="Y16">
        <v>9.2251867971663888</v>
      </c>
      <c r="Z16">
        <v>0.92191146372822486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"/>
  <sheetViews>
    <sheetView workbookViewId="0">
      <selection activeCell="B2" sqref="B2:U16"/>
    </sheetView>
  </sheetViews>
  <sheetFormatPr defaultRowHeight="14.5" x14ac:dyDescent="0.35"/>
  <sheetData>
    <row r="1" spans="1:21" x14ac:dyDescent="0.3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</row>
    <row r="2" spans="1:21" x14ac:dyDescent="0.35">
      <c r="A2" s="1">
        <v>2022</v>
      </c>
      <c r="B2">
        <v>54.217700458406483</v>
      </c>
      <c r="C2">
        <v>54.217700458406483</v>
      </c>
      <c r="D2">
        <v>22.921800000000001</v>
      </c>
      <c r="E2">
        <v>22.921800000000001</v>
      </c>
      <c r="F2">
        <v>12.841037999999999</v>
      </c>
      <c r="G2">
        <v>12.841037999999999</v>
      </c>
      <c r="H2">
        <v>8.5606919999999995</v>
      </c>
      <c r="I2">
        <v>8.5606919999999995</v>
      </c>
      <c r="J2">
        <v>67.058753999999993</v>
      </c>
      <c r="K2">
        <v>67.058753999999993</v>
      </c>
      <c r="L2">
        <v>51.6</v>
      </c>
      <c r="M2">
        <v>51.6</v>
      </c>
      <c r="N2">
        <v>25.8</v>
      </c>
      <c r="O2">
        <v>25.8</v>
      </c>
      <c r="P2">
        <v>9.3249561096797605E-7</v>
      </c>
      <c r="Q2">
        <v>9.3249561096797605E-7</v>
      </c>
      <c r="R2">
        <v>1.2433274812906351E-6</v>
      </c>
      <c r="S2">
        <v>1.2433274812906351E-6</v>
      </c>
      <c r="T2">
        <v>1.3365770423874319E-5</v>
      </c>
      <c r="U2">
        <v>1.3365770423874319E-5</v>
      </c>
    </row>
    <row r="3" spans="1:21" x14ac:dyDescent="0.35">
      <c r="A3" s="1">
        <v>2023</v>
      </c>
      <c r="B3">
        <v>39.036374937873823</v>
      </c>
      <c r="C3">
        <v>93.2540753962803</v>
      </c>
      <c r="D3">
        <v>23.380236</v>
      </c>
      <c r="E3">
        <v>46.302036000000001</v>
      </c>
      <c r="F3">
        <v>13.097858759999999</v>
      </c>
      <c r="G3">
        <v>25.938896759999999</v>
      </c>
      <c r="H3">
        <v>8.7319058400000014</v>
      </c>
      <c r="I3">
        <v>17.292597839999999</v>
      </c>
      <c r="J3">
        <v>68.399929080000021</v>
      </c>
      <c r="K3">
        <v>135.45868307999999</v>
      </c>
      <c r="L3">
        <v>52.632000000000012</v>
      </c>
      <c r="M3">
        <v>104.232</v>
      </c>
      <c r="N3">
        <v>26.315999999999999</v>
      </c>
      <c r="O3">
        <v>52.116</v>
      </c>
      <c r="P3">
        <v>0.97594169492552074</v>
      </c>
      <c r="Q3">
        <v>0.97594262742113169</v>
      </c>
      <c r="R3">
        <v>1.301255630570096</v>
      </c>
      <c r="S3">
        <v>1.3012568738975769</v>
      </c>
      <c r="T3">
        <v>13.988498056630579</v>
      </c>
      <c r="U3">
        <v>13.988511422401</v>
      </c>
    </row>
    <row r="4" spans="1:21" x14ac:dyDescent="0.35">
      <c r="A4" s="1">
        <v>2024</v>
      </c>
      <c r="B4">
        <v>23.537196126781129</v>
      </c>
      <c r="C4">
        <v>116.7912715230614</v>
      </c>
      <c r="D4">
        <v>23.847840720000001</v>
      </c>
      <c r="E4">
        <v>70.149876720000009</v>
      </c>
      <c r="F4">
        <v>13.3598159352</v>
      </c>
      <c r="G4">
        <v>39.298712695200003</v>
      </c>
      <c r="H4">
        <v>8.9065439568000002</v>
      </c>
      <c r="I4">
        <v>26.199141796799999</v>
      </c>
      <c r="J4">
        <v>69.767927661599998</v>
      </c>
      <c r="K4">
        <v>205.22661074160001</v>
      </c>
      <c r="L4">
        <v>53.684640000000002</v>
      </c>
      <c r="M4">
        <v>157.91664</v>
      </c>
      <c r="N4">
        <v>26.842320000000001</v>
      </c>
      <c r="O4">
        <v>78.958320000000001</v>
      </c>
      <c r="P4">
        <v>1.9429482083239951</v>
      </c>
      <c r="Q4">
        <v>2.9188908357451262</v>
      </c>
      <c r="R4">
        <v>2.6296732479695102</v>
      </c>
      <c r="S4">
        <v>3.9309301218670871</v>
      </c>
      <c r="T4">
        <v>28.298294143325371</v>
      </c>
      <c r="U4">
        <v>42.286805565726382</v>
      </c>
    </row>
    <row r="5" spans="1:21" x14ac:dyDescent="0.35">
      <c r="A5" s="1">
        <v>2025</v>
      </c>
      <c r="B5">
        <v>23.773697268407339</v>
      </c>
      <c r="C5">
        <v>140.5649687914688</v>
      </c>
      <c r="D5">
        <v>24.324797534399998</v>
      </c>
      <c r="E5">
        <v>94.474674254400014</v>
      </c>
      <c r="F5">
        <v>13.627012253904001</v>
      </c>
      <c r="G5">
        <v>52.925724949104001</v>
      </c>
      <c r="H5">
        <v>9.0846748359359992</v>
      </c>
      <c r="I5">
        <v>35.283816632735999</v>
      </c>
      <c r="J5">
        <v>71.163286214831999</v>
      </c>
      <c r="K5">
        <v>276.38989695643198</v>
      </c>
      <c r="L5">
        <v>54.758332800000012</v>
      </c>
      <c r="M5">
        <v>212.67497280000001</v>
      </c>
      <c r="N5">
        <v>27.379166399999999</v>
      </c>
      <c r="O5">
        <v>106.3374864</v>
      </c>
      <c r="P5">
        <v>1.938149109158541</v>
      </c>
      <c r="Q5">
        <v>4.8570399449036676</v>
      </c>
      <c r="R5">
        <v>2.701006135401653</v>
      </c>
      <c r="S5">
        <v>6.6319362572687401</v>
      </c>
      <c r="T5">
        <v>29.123421447960471</v>
      </c>
      <c r="U5">
        <v>71.410227013686836</v>
      </c>
    </row>
    <row r="6" spans="1:21" x14ac:dyDescent="0.35">
      <c r="A6" s="1">
        <v>2026</v>
      </c>
      <c r="B6">
        <v>22.763362998295079</v>
      </c>
      <c r="C6">
        <v>163.32833178976389</v>
      </c>
      <c r="D6">
        <v>24.811293485088001</v>
      </c>
      <c r="E6">
        <v>119.285967739488</v>
      </c>
      <c r="F6">
        <v>13.89955249898208</v>
      </c>
      <c r="G6">
        <v>66.825277448086084</v>
      </c>
      <c r="H6">
        <v>9.2663683326547197</v>
      </c>
      <c r="I6">
        <v>44.55018496539072</v>
      </c>
      <c r="J6">
        <v>72.58655193912864</v>
      </c>
      <c r="K6">
        <v>348.97644889556068</v>
      </c>
      <c r="L6">
        <v>55.853499456000009</v>
      </c>
      <c r="M6">
        <v>268.52847225599999</v>
      </c>
      <c r="N6">
        <v>27.926749728000001</v>
      </c>
      <c r="O6">
        <v>134.26423612799999</v>
      </c>
      <c r="P6">
        <v>2.0097501823724682</v>
      </c>
      <c r="Q6">
        <v>6.8667901272761362</v>
      </c>
      <c r="R6">
        <v>2.8738909153481189</v>
      </c>
      <c r="S6">
        <v>9.5058271726168595</v>
      </c>
      <c r="T6">
        <v>31.039995344130901</v>
      </c>
      <c r="U6">
        <v>102.45022235781769</v>
      </c>
    </row>
    <row r="7" spans="1:21" x14ac:dyDescent="0.35">
      <c r="A7" s="1">
        <v>2027</v>
      </c>
      <c r="B7">
        <v>19.464546661577678</v>
      </c>
      <c r="C7">
        <v>182.79287845134161</v>
      </c>
      <c r="D7">
        <v>25.307519354789761</v>
      </c>
      <c r="E7">
        <v>144.5934870942778</v>
      </c>
      <c r="F7">
        <v>14.177543548961721</v>
      </c>
      <c r="G7">
        <v>81.002820997047806</v>
      </c>
      <c r="H7">
        <v>9.4516956993078143</v>
      </c>
      <c r="I7">
        <v>54.001880664698533</v>
      </c>
      <c r="J7">
        <v>74.038282977911209</v>
      </c>
      <c r="K7">
        <v>423.01473187347187</v>
      </c>
      <c r="L7">
        <v>56.970569445120013</v>
      </c>
      <c r="M7">
        <v>325.49904170112001</v>
      </c>
      <c r="N7">
        <v>28.48528472256001</v>
      </c>
      <c r="O7">
        <v>162.74952085056</v>
      </c>
      <c r="P7">
        <v>2.2179826975099668</v>
      </c>
      <c r="Q7">
        <v>9.0847728247861035</v>
      </c>
      <c r="R7">
        <v>3.231695421389746</v>
      </c>
      <c r="S7">
        <v>12.737522594006609</v>
      </c>
      <c r="T7">
        <v>34.946514648472103</v>
      </c>
      <c r="U7">
        <v>137.39673700628981</v>
      </c>
    </row>
    <row r="8" spans="1:21" x14ac:dyDescent="0.35">
      <c r="A8" s="1">
        <v>2028</v>
      </c>
      <c r="B8">
        <v>15.973093830353781</v>
      </c>
      <c r="C8">
        <v>198.7659722816953</v>
      </c>
      <c r="D8">
        <v>25.813669741885558</v>
      </c>
      <c r="E8">
        <v>170.4071568361633</v>
      </c>
      <c r="F8">
        <v>14.461094419940959</v>
      </c>
      <c r="G8">
        <v>95.463915416988769</v>
      </c>
      <c r="H8">
        <v>9.6407296132939724</v>
      </c>
      <c r="I8">
        <v>63.642610277992503</v>
      </c>
      <c r="J8">
        <v>75.519048637469453</v>
      </c>
      <c r="K8">
        <v>498.53378051094131</v>
      </c>
      <c r="L8">
        <v>58.109980834022409</v>
      </c>
      <c r="M8">
        <v>383.6090225351424</v>
      </c>
      <c r="N8">
        <v>29.054990417011201</v>
      </c>
      <c r="O8">
        <v>191.8045112675712</v>
      </c>
      <c r="P8">
        <v>2.4330238647602411</v>
      </c>
      <c r="Q8">
        <v>11.517796689546341</v>
      </c>
      <c r="R8">
        <v>3.606788830973978</v>
      </c>
      <c r="S8">
        <v>16.344311424980582</v>
      </c>
      <c r="T8">
        <v>39.045047691440502</v>
      </c>
      <c r="U8">
        <v>176.4417846977303</v>
      </c>
    </row>
    <row r="9" spans="1:21" x14ac:dyDescent="0.35">
      <c r="A9" s="1">
        <v>2029</v>
      </c>
      <c r="B9">
        <v>14.34112791118973</v>
      </c>
      <c r="C9">
        <v>213.1071001928851</v>
      </c>
      <c r="D9">
        <v>26.329943136723269</v>
      </c>
      <c r="E9">
        <v>196.7370999728866</v>
      </c>
      <c r="F9">
        <v>14.75031630833978</v>
      </c>
      <c r="G9">
        <v>110.2142317253285</v>
      </c>
      <c r="H9">
        <v>9.8335442055598516</v>
      </c>
      <c r="I9">
        <v>73.476154483552349</v>
      </c>
      <c r="J9">
        <v>77.029429610218841</v>
      </c>
      <c r="K9">
        <v>575.56321012116018</v>
      </c>
      <c r="L9">
        <v>59.272180450702862</v>
      </c>
      <c r="M9">
        <v>442.88120298584528</v>
      </c>
      <c r="N9">
        <v>29.636090225351431</v>
      </c>
      <c r="O9">
        <v>221.44060149292261</v>
      </c>
      <c r="P9">
        <v>2.5315797240984019</v>
      </c>
      <c r="Q9">
        <v>14.049376413644749</v>
      </c>
      <c r="R9">
        <v>3.8350388312551469</v>
      </c>
      <c r="S9">
        <v>20.179350256235729</v>
      </c>
      <c r="T9">
        <v>41.57136683533578</v>
      </c>
      <c r="U9">
        <v>218.01315153306609</v>
      </c>
    </row>
    <row r="10" spans="1:21" x14ac:dyDescent="0.35">
      <c r="A10" s="1">
        <v>2030</v>
      </c>
      <c r="B10">
        <v>13.39993778156655</v>
      </c>
      <c r="C10">
        <v>226.50703797445161</v>
      </c>
      <c r="D10">
        <v>26.856541999457729</v>
      </c>
      <c r="E10">
        <v>223.5936419723443</v>
      </c>
      <c r="F10">
        <v>15.04532263450657</v>
      </c>
      <c r="G10">
        <v>125.25955435983509</v>
      </c>
      <c r="H10">
        <v>10.030215089671049</v>
      </c>
      <c r="I10">
        <v>83.506369573223395</v>
      </c>
      <c r="J10">
        <v>78.570018202423199</v>
      </c>
      <c r="K10">
        <v>654.13322832358335</v>
      </c>
      <c r="L10">
        <v>60.457624059716913</v>
      </c>
      <c r="M10">
        <v>503.3388270455622</v>
      </c>
      <c r="N10">
        <v>30.22881202985846</v>
      </c>
      <c r="O10">
        <v>251.6694135227811</v>
      </c>
      <c r="P10">
        <v>2.5873096712380508</v>
      </c>
      <c r="Q10">
        <v>16.6366860848828</v>
      </c>
      <c r="R10">
        <v>4.0099806229080066</v>
      </c>
      <c r="S10">
        <v>24.189330879143739</v>
      </c>
      <c r="T10">
        <v>43.527467492204039</v>
      </c>
      <c r="U10">
        <v>261.54061902527008</v>
      </c>
    </row>
    <row r="11" spans="1:21" x14ac:dyDescent="0.35">
      <c r="A11" s="1">
        <v>2031</v>
      </c>
      <c r="B11">
        <v>12.028387257971129</v>
      </c>
      <c r="C11">
        <v>238.5354252324228</v>
      </c>
      <c r="D11">
        <v>27.393672839446889</v>
      </c>
      <c r="E11">
        <v>250.98731481179121</v>
      </c>
      <c r="F11">
        <v>15.346229087196701</v>
      </c>
      <c r="G11">
        <v>140.6057834470318</v>
      </c>
      <c r="H11">
        <v>10.23081939146447</v>
      </c>
      <c r="I11">
        <v>93.73718896468786</v>
      </c>
      <c r="J11">
        <v>80.141418566471671</v>
      </c>
      <c r="K11">
        <v>734.27464689005501</v>
      </c>
      <c r="L11">
        <v>61.66677654091125</v>
      </c>
      <c r="M11">
        <v>565.0056035864734</v>
      </c>
      <c r="N11">
        <v>30.833388270455629</v>
      </c>
      <c r="O11">
        <v>282.5028017932367</v>
      </c>
      <c r="P11">
        <v>2.668801706839794</v>
      </c>
      <c r="Q11">
        <v>19.305487791722591</v>
      </c>
      <c r="R11">
        <v>4.2213441777043066</v>
      </c>
      <c r="S11">
        <v>28.410675056848039</v>
      </c>
      <c r="T11">
        <v>45.876656336759737</v>
      </c>
      <c r="U11">
        <v>307.4172753620299</v>
      </c>
    </row>
    <row r="12" spans="1:21" x14ac:dyDescent="0.35">
      <c r="A12" s="1">
        <v>2032</v>
      </c>
      <c r="B12">
        <v>10.19248321296716</v>
      </c>
      <c r="C12">
        <v>248.72790844538989</v>
      </c>
      <c r="D12">
        <v>27.941546296235831</v>
      </c>
      <c r="E12">
        <v>278.92886110802698</v>
      </c>
      <c r="F12">
        <v>15.653153668940639</v>
      </c>
      <c r="G12">
        <v>156.25893711597249</v>
      </c>
      <c r="H12">
        <v>10.43543577929376</v>
      </c>
      <c r="I12">
        <v>104.1726247439816</v>
      </c>
      <c r="J12">
        <v>81.744246937801108</v>
      </c>
      <c r="K12">
        <v>816.01889382785612</v>
      </c>
      <c r="L12">
        <v>62.900112071729467</v>
      </c>
      <c r="M12">
        <v>627.90571565820289</v>
      </c>
      <c r="N12">
        <v>31.450056035864741</v>
      </c>
      <c r="O12">
        <v>313.95285782910139</v>
      </c>
      <c r="P12">
        <v>2.7773541553396259</v>
      </c>
      <c r="Q12">
        <v>22.082841947062221</v>
      </c>
      <c r="R12">
        <v>4.4718888044714653</v>
      </c>
      <c r="S12">
        <v>32.882563861319511</v>
      </c>
      <c r="T12">
        <v>48.64936709608223</v>
      </c>
      <c r="U12">
        <v>356.06664245811209</v>
      </c>
    </row>
    <row r="13" spans="1:21" x14ac:dyDescent="0.35">
      <c r="A13" s="1">
        <v>2033</v>
      </c>
      <c r="B13">
        <v>8.32019830960283</v>
      </c>
      <c r="C13">
        <v>257.04810675499277</v>
      </c>
      <c r="D13">
        <v>28.500377222160541</v>
      </c>
      <c r="E13">
        <v>307.42923833018762</v>
      </c>
      <c r="F13">
        <v>15.96621674231945</v>
      </c>
      <c r="G13">
        <v>172.22515385829189</v>
      </c>
      <c r="H13">
        <v>10.64414449487964</v>
      </c>
      <c r="I13">
        <v>114.8167692388613</v>
      </c>
      <c r="J13">
        <v>83.379131876557153</v>
      </c>
      <c r="K13">
        <v>899.39802570441327</v>
      </c>
      <c r="L13">
        <v>64.158114313164063</v>
      </c>
      <c r="M13">
        <v>692.063829971367</v>
      </c>
      <c r="N13">
        <v>32.079057156582031</v>
      </c>
      <c r="O13">
        <v>346.0319149856835</v>
      </c>
      <c r="P13">
        <v>2.8865102228442558</v>
      </c>
      <c r="Q13">
        <v>24.969352169906472</v>
      </c>
      <c r="R13">
        <v>4.7274173459707907</v>
      </c>
      <c r="S13">
        <v>37.609981207290303</v>
      </c>
      <c r="T13">
        <v>51.478789255819827</v>
      </c>
      <c r="U13">
        <v>407.54543171393198</v>
      </c>
    </row>
    <row r="14" spans="1:21" x14ac:dyDescent="0.35">
      <c r="A14" s="1">
        <v>2034</v>
      </c>
      <c r="B14">
        <v>6.8613472350264644</v>
      </c>
      <c r="C14">
        <v>263.90945399001919</v>
      </c>
      <c r="D14">
        <v>29.070384766603759</v>
      </c>
      <c r="E14">
        <v>336.49962309679131</v>
      </c>
      <c r="F14">
        <v>16.285541077165838</v>
      </c>
      <c r="G14">
        <v>188.51069493545779</v>
      </c>
      <c r="H14">
        <v>10.857027384777229</v>
      </c>
      <c r="I14">
        <v>125.67379662363849</v>
      </c>
      <c r="J14">
        <v>85.046714514088279</v>
      </c>
      <c r="K14">
        <v>984.44474021850158</v>
      </c>
      <c r="L14">
        <v>65.44127659942734</v>
      </c>
      <c r="M14">
        <v>757.5051065707944</v>
      </c>
      <c r="N14">
        <v>32.72063829971367</v>
      </c>
      <c r="O14">
        <v>378.7525532853972</v>
      </c>
      <c r="P14">
        <v>2.9692989573803779</v>
      </c>
      <c r="Q14">
        <v>27.93865112728685</v>
      </c>
      <c r="R14">
        <v>4.9519860961516793</v>
      </c>
      <c r="S14">
        <v>42.561967303441982</v>
      </c>
      <c r="T14">
        <v>53.978541148363931</v>
      </c>
      <c r="U14">
        <v>461.52397286229592</v>
      </c>
    </row>
    <row r="15" spans="1:21" x14ac:dyDescent="0.35">
      <c r="A15" s="1">
        <v>2035</v>
      </c>
      <c r="B15">
        <v>6.0026158528303597</v>
      </c>
      <c r="C15">
        <v>269.91206984284958</v>
      </c>
      <c r="D15">
        <v>29.65179246193583</v>
      </c>
      <c r="E15">
        <v>366.15141555872708</v>
      </c>
      <c r="F15">
        <v>16.61125189870916</v>
      </c>
      <c r="G15">
        <v>205.12194683416689</v>
      </c>
      <c r="H15">
        <v>11.07416793247277</v>
      </c>
      <c r="I15">
        <v>136.74796455611121</v>
      </c>
      <c r="J15">
        <v>86.747648804370058</v>
      </c>
      <c r="K15">
        <v>1071.192389022872</v>
      </c>
      <c r="L15">
        <v>66.750102131415886</v>
      </c>
      <c r="M15">
        <v>824.25520870221033</v>
      </c>
      <c r="N15">
        <v>33.375051065707943</v>
      </c>
      <c r="O15">
        <v>412.12760435110522</v>
      </c>
      <c r="P15">
        <v>3.0153476940071728</v>
      </c>
      <c r="Q15">
        <v>30.953998821294022</v>
      </c>
      <c r="R15">
        <v>5.1307024842264441</v>
      </c>
      <c r="S15">
        <v>47.692669787668429</v>
      </c>
      <c r="T15">
        <v>55.987730874596927</v>
      </c>
      <c r="U15">
        <v>517.51170373689285</v>
      </c>
    </row>
    <row r="16" spans="1:21" x14ac:dyDescent="0.35">
      <c r="A16" s="1">
        <v>2036</v>
      </c>
      <c r="B16">
        <v>5.6449334354427663</v>
      </c>
      <c r="C16">
        <v>275.55700327829243</v>
      </c>
      <c r="D16">
        <v>30.24482831117454</v>
      </c>
      <c r="E16">
        <v>396.3962438699017</v>
      </c>
      <c r="F16">
        <v>16.943476936683339</v>
      </c>
      <c r="G16">
        <v>222.06542377085029</v>
      </c>
      <c r="H16">
        <v>11.29565129112223</v>
      </c>
      <c r="I16">
        <v>148.0436158472335</v>
      </c>
      <c r="J16">
        <v>88.482601780457458</v>
      </c>
      <c r="K16">
        <v>1159.6749908033289</v>
      </c>
      <c r="L16">
        <v>68.085104174044204</v>
      </c>
      <c r="M16">
        <v>892.34031287625453</v>
      </c>
      <c r="N16">
        <v>34.042552087022102</v>
      </c>
      <c r="O16">
        <v>446.17015643812732</v>
      </c>
      <c r="P16">
        <v>3.0317400207716561</v>
      </c>
      <c r="Q16">
        <v>33.985738842065679</v>
      </c>
      <c r="R16">
        <v>5.2715353126665088</v>
      </c>
      <c r="S16">
        <v>52.964205100334937</v>
      </c>
      <c r="T16">
        <v>57.590916074893187</v>
      </c>
      <c r="U16">
        <v>575.1026198117861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6"/>
  <sheetViews>
    <sheetView workbookViewId="0">
      <selection activeCell="B2" sqref="B2:Z16"/>
    </sheetView>
  </sheetViews>
  <sheetFormatPr defaultRowHeight="14.5" x14ac:dyDescent="0.35"/>
  <sheetData>
    <row r="1" spans="1:26" x14ac:dyDescent="0.3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66</v>
      </c>
    </row>
    <row r="2" spans="1:26" x14ac:dyDescent="0.35">
      <c r="A2" s="1">
        <v>2022</v>
      </c>
      <c r="B2">
        <v>7.7399999999999993</v>
      </c>
      <c r="C2">
        <v>3.0960000000000001</v>
      </c>
      <c r="D2">
        <v>3.0960000000000001</v>
      </c>
      <c r="E2">
        <v>1.548</v>
      </c>
      <c r="F2">
        <v>36.659999999999997</v>
      </c>
      <c r="G2">
        <v>0</v>
      </c>
      <c r="H2">
        <v>43.314047999999993</v>
      </c>
      <c r="I2">
        <v>33.072806759999999</v>
      </c>
      <c r="J2">
        <v>9.480372044841089E-6</v>
      </c>
      <c r="K2">
        <v>8.2182643199999994</v>
      </c>
      <c r="L2">
        <v>0.66</v>
      </c>
      <c r="M2">
        <v>74</v>
      </c>
      <c r="N2">
        <v>67.058753999999993</v>
      </c>
      <c r="O2">
        <v>8.5606919999999995</v>
      </c>
      <c r="P2">
        <v>1.896074408968218E-6</v>
      </c>
      <c r="Q2">
        <v>7.5842976358728721E-6</v>
      </c>
      <c r="R2">
        <v>0</v>
      </c>
      <c r="S2">
        <v>0</v>
      </c>
      <c r="T2">
        <v>0</v>
      </c>
      <c r="U2">
        <v>7.7399999999999993</v>
      </c>
      <c r="V2">
        <v>36.659999999999997</v>
      </c>
      <c r="W2">
        <v>0.66</v>
      </c>
      <c r="X2">
        <v>74</v>
      </c>
      <c r="Y2">
        <v>0</v>
      </c>
      <c r="Z2">
        <v>0</v>
      </c>
    </row>
    <row r="3" spans="1:26" x14ac:dyDescent="0.35">
      <c r="A3" s="1">
        <v>2023</v>
      </c>
      <c r="B3">
        <v>7.8948</v>
      </c>
      <c r="C3">
        <v>3.1579199999999998</v>
      </c>
      <c r="D3">
        <v>3.1579199999999998</v>
      </c>
      <c r="E3">
        <v>1.5789599999999999</v>
      </c>
      <c r="F3">
        <v>37.3932</v>
      </c>
      <c r="G3">
        <v>0</v>
      </c>
      <c r="H3">
        <v>44.180328959999997</v>
      </c>
      <c r="I3">
        <v>33.734262895199997</v>
      </c>
      <c r="J3">
        <v>9.9220741830969779</v>
      </c>
      <c r="K3">
        <v>8.3826296064000019</v>
      </c>
      <c r="L3">
        <v>0.67320000000000002</v>
      </c>
      <c r="M3">
        <v>75.48</v>
      </c>
      <c r="N3">
        <v>68.399929080000021</v>
      </c>
      <c r="O3">
        <v>8.7319058400000014</v>
      </c>
      <c r="P3">
        <v>1.984414836619395</v>
      </c>
      <c r="Q3">
        <v>7.9376593464775818</v>
      </c>
      <c r="R3">
        <v>0</v>
      </c>
      <c r="S3">
        <v>0</v>
      </c>
      <c r="T3">
        <v>0</v>
      </c>
      <c r="U3">
        <v>7.8948</v>
      </c>
      <c r="V3">
        <v>37.3932</v>
      </c>
      <c r="W3">
        <v>0.67320000000000002</v>
      </c>
      <c r="X3">
        <v>75.48</v>
      </c>
      <c r="Y3">
        <v>0</v>
      </c>
      <c r="Z3">
        <v>0</v>
      </c>
    </row>
    <row r="4" spans="1:26" x14ac:dyDescent="0.35">
      <c r="A4" s="1">
        <v>2024</v>
      </c>
      <c r="B4">
        <v>8.0526959999999992</v>
      </c>
      <c r="C4">
        <v>3.2210784000000001</v>
      </c>
      <c r="D4">
        <v>3.2210784000000001</v>
      </c>
      <c r="E4">
        <v>1.6105392000000001</v>
      </c>
      <c r="F4">
        <v>38.141064</v>
      </c>
      <c r="G4">
        <v>0</v>
      </c>
      <c r="H4">
        <v>45.063935539200003</v>
      </c>
      <c r="I4">
        <v>34.408948153104006</v>
      </c>
      <c r="J4">
        <v>20.051258515767511</v>
      </c>
      <c r="K4">
        <v>8.5502821985280004</v>
      </c>
      <c r="L4">
        <v>0.68666400000000005</v>
      </c>
      <c r="M4">
        <v>76.98960000000001</v>
      </c>
      <c r="N4">
        <v>69.767927661599998</v>
      </c>
      <c r="O4">
        <v>8.9065439568000002</v>
      </c>
      <c r="P4">
        <v>4.0102517031535028</v>
      </c>
      <c r="Q4">
        <v>16.041006812614011</v>
      </c>
      <c r="R4">
        <v>0</v>
      </c>
      <c r="S4">
        <v>0</v>
      </c>
      <c r="T4">
        <v>0</v>
      </c>
      <c r="U4">
        <v>8.0526959999999992</v>
      </c>
      <c r="V4">
        <v>38.141064</v>
      </c>
      <c r="W4">
        <v>0.68666400000000005</v>
      </c>
      <c r="X4">
        <v>76.98960000000001</v>
      </c>
      <c r="Y4">
        <v>0</v>
      </c>
      <c r="Z4">
        <v>0</v>
      </c>
    </row>
    <row r="5" spans="1:26" x14ac:dyDescent="0.35">
      <c r="A5" s="1">
        <v>2025</v>
      </c>
      <c r="B5">
        <v>8.2137499199999997</v>
      </c>
      <c r="C5">
        <v>3.2854999679999999</v>
      </c>
      <c r="D5">
        <v>3.2854999679999999</v>
      </c>
      <c r="E5">
        <v>1.6427499839999999</v>
      </c>
      <c r="F5">
        <v>38.903885279999997</v>
      </c>
      <c r="G5">
        <v>0</v>
      </c>
      <c r="H5">
        <v>45.965214249984001</v>
      </c>
      <c r="I5">
        <v>35.097127116166078</v>
      </c>
      <c r="J5">
        <v>20.5951717824376</v>
      </c>
      <c r="K5">
        <v>8.72128784249856</v>
      </c>
      <c r="L5">
        <v>0.70039728000000001</v>
      </c>
      <c r="M5">
        <v>78.529392000000016</v>
      </c>
      <c r="N5">
        <v>71.163286214831999</v>
      </c>
      <c r="O5">
        <v>9.0846748359359992</v>
      </c>
      <c r="P5">
        <v>4.1190343564875196</v>
      </c>
      <c r="Q5">
        <v>16.476137425950078</v>
      </c>
      <c r="R5">
        <v>0</v>
      </c>
      <c r="S5">
        <v>0</v>
      </c>
      <c r="T5">
        <v>0</v>
      </c>
      <c r="U5">
        <v>8.2137499199999997</v>
      </c>
      <c r="V5">
        <v>38.903885279999997</v>
      </c>
      <c r="W5">
        <v>0.70039728000000001</v>
      </c>
      <c r="X5">
        <v>78.529392000000016</v>
      </c>
      <c r="Y5">
        <v>0</v>
      </c>
      <c r="Z5">
        <v>0</v>
      </c>
    </row>
    <row r="6" spans="1:26" x14ac:dyDescent="0.35">
      <c r="A6" s="1">
        <v>2026</v>
      </c>
      <c r="B6">
        <v>8.3780249184000013</v>
      </c>
      <c r="C6">
        <v>3.35120996736</v>
      </c>
      <c r="D6">
        <v>3.35120996736</v>
      </c>
      <c r="E6">
        <v>1.67560498368</v>
      </c>
      <c r="F6">
        <v>39.681962985600002</v>
      </c>
      <c r="G6">
        <v>0</v>
      </c>
      <c r="H6">
        <v>46.884518534983677</v>
      </c>
      <c r="I6">
        <v>35.799069658489401</v>
      </c>
      <c r="J6">
        <v>21.913418229529409</v>
      </c>
      <c r="K6">
        <v>8.8957135993485323</v>
      </c>
      <c r="L6">
        <v>0.71440522559999997</v>
      </c>
      <c r="M6">
        <v>80.099979840000017</v>
      </c>
      <c r="N6">
        <v>72.58655193912864</v>
      </c>
      <c r="O6">
        <v>9.2663683326547197</v>
      </c>
      <c r="P6">
        <v>4.3826836459058809</v>
      </c>
      <c r="Q6">
        <v>17.53073458362352</v>
      </c>
      <c r="R6">
        <v>0</v>
      </c>
      <c r="S6">
        <v>0</v>
      </c>
      <c r="T6">
        <v>0</v>
      </c>
      <c r="U6">
        <v>8.3780249184000013</v>
      </c>
      <c r="V6">
        <v>39.681962985600002</v>
      </c>
      <c r="W6">
        <v>0.71440522559999997</v>
      </c>
      <c r="X6">
        <v>80.099979840000017</v>
      </c>
      <c r="Y6">
        <v>0</v>
      </c>
      <c r="Z6">
        <v>0</v>
      </c>
    </row>
    <row r="7" spans="1:26" x14ac:dyDescent="0.35">
      <c r="A7" s="1">
        <v>2027</v>
      </c>
      <c r="B7">
        <v>8.5455854167680005</v>
      </c>
      <c r="C7">
        <v>3.4182341667072</v>
      </c>
      <c r="D7">
        <v>3.4182341667072</v>
      </c>
      <c r="E7">
        <v>1.7091170833536</v>
      </c>
      <c r="F7">
        <v>40.475602245311997</v>
      </c>
      <c r="G7">
        <v>0</v>
      </c>
      <c r="H7">
        <v>47.822208905683347</v>
      </c>
      <c r="I7">
        <v>36.515051051659192</v>
      </c>
      <c r="J7">
        <v>24.641677588096812</v>
      </c>
      <c r="K7">
        <v>9.0736278713355016</v>
      </c>
      <c r="L7">
        <v>0.72869333011199999</v>
      </c>
      <c r="M7">
        <v>81.701979436800016</v>
      </c>
      <c r="N7">
        <v>74.038282977911209</v>
      </c>
      <c r="O7">
        <v>9.4516956993078143</v>
      </c>
      <c r="P7">
        <v>4.9283355176193613</v>
      </c>
      <c r="Q7">
        <v>19.713342070477449</v>
      </c>
      <c r="R7">
        <v>0</v>
      </c>
      <c r="S7">
        <v>0</v>
      </c>
      <c r="T7">
        <v>0</v>
      </c>
      <c r="U7">
        <v>8.5455854167680005</v>
      </c>
      <c r="V7">
        <v>40.475602245311997</v>
      </c>
      <c r="W7">
        <v>0.72869333011199999</v>
      </c>
      <c r="X7">
        <v>81.701979436800016</v>
      </c>
      <c r="Y7">
        <v>0</v>
      </c>
      <c r="Z7">
        <v>0</v>
      </c>
    </row>
    <row r="8" spans="1:26" x14ac:dyDescent="0.35">
      <c r="A8" s="1">
        <v>2028</v>
      </c>
      <c r="B8">
        <v>8.7164971251033609</v>
      </c>
      <c r="C8">
        <v>3.4865988500413438</v>
      </c>
      <c r="D8">
        <v>3.4865988500413438</v>
      </c>
      <c r="E8">
        <v>1.7432994250206719</v>
      </c>
      <c r="F8">
        <v>41.285114290218239</v>
      </c>
      <c r="G8">
        <v>0</v>
      </c>
      <c r="H8">
        <v>48.778653083797018</v>
      </c>
      <c r="I8">
        <v>37.245352072692377</v>
      </c>
      <c r="J8">
        <v>27.50176483617658</v>
      </c>
      <c r="K8">
        <v>9.2551004287622138</v>
      </c>
      <c r="L8">
        <v>0.74326719671424013</v>
      </c>
      <c r="M8">
        <v>83.336019025536018</v>
      </c>
      <c r="N8">
        <v>75.519048637469453</v>
      </c>
      <c r="O8">
        <v>9.6407296132939724</v>
      </c>
      <c r="P8">
        <v>5.5003529672353153</v>
      </c>
      <c r="Q8">
        <v>22.001411868941261</v>
      </c>
      <c r="R8">
        <v>0</v>
      </c>
      <c r="S8">
        <v>0</v>
      </c>
      <c r="T8">
        <v>0</v>
      </c>
      <c r="U8">
        <v>8.7164971251033609</v>
      </c>
      <c r="V8">
        <v>41.285114290218239</v>
      </c>
      <c r="W8">
        <v>0.74326719671424013</v>
      </c>
      <c r="X8">
        <v>83.336019025536018</v>
      </c>
      <c r="Y8">
        <v>0</v>
      </c>
      <c r="Z8">
        <v>0</v>
      </c>
    </row>
    <row r="9" spans="1:26" x14ac:dyDescent="0.35">
      <c r="A9" s="1">
        <v>2029</v>
      </c>
      <c r="B9">
        <v>8.8908270676054268</v>
      </c>
      <c r="C9">
        <v>3.5563308270421712</v>
      </c>
      <c r="D9">
        <v>3.5563308270421712</v>
      </c>
      <c r="E9">
        <v>1.778165413521086</v>
      </c>
      <c r="F9">
        <v>42.110816576022607</v>
      </c>
      <c r="G9">
        <v>0</v>
      </c>
      <c r="H9">
        <v>49.75422614547297</v>
      </c>
      <c r="I9">
        <v>37.990259114146227</v>
      </c>
      <c r="J9">
        <v>29.24217108832049</v>
      </c>
      <c r="K9">
        <v>9.440202437337458</v>
      </c>
      <c r="L9">
        <v>0.75813254064852487</v>
      </c>
      <c r="M9">
        <v>85.002739406046743</v>
      </c>
      <c r="N9">
        <v>77.029429610218841</v>
      </c>
      <c r="O9">
        <v>9.8335442055598516</v>
      </c>
      <c r="P9">
        <v>5.8484342176640984</v>
      </c>
      <c r="Q9">
        <v>23.39373687065639</v>
      </c>
      <c r="R9">
        <v>0</v>
      </c>
      <c r="S9">
        <v>0</v>
      </c>
      <c r="T9">
        <v>0</v>
      </c>
      <c r="U9">
        <v>8.8908270676054268</v>
      </c>
      <c r="V9">
        <v>42.110816576022607</v>
      </c>
      <c r="W9">
        <v>0.75813254064852487</v>
      </c>
      <c r="X9">
        <v>85.002739406046743</v>
      </c>
      <c r="Y9">
        <v>0</v>
      </c>
      <c r="Z9">
        <v>0</v>
      </c>
    </row>
    <row r="10" spans="1:26" x14ac:dyDescent="0.35">
      <c r="A10" s="1">
        <v>2030</v>
      </c>
      <c r="B10">
        <v>9.0686436089575366</v>
      </c>
      <c r="C10">
        <v>3.627457443583014</v>
      </c>
      <c r="D10">
        <v>3.627457443583014</v>
      </c>
      <c r="E10">
        <v>1.813728721791507</v>
      </c>
      <c r="F10">
        <v>42.953032907543047</v>
      </c>
      <c r="G10">
        <v>0</v>
      </c>
      <c r="H10">
        <v>50.749310668382421</v>
      </c>
      <c r="I10">
        <v>38.750064296429152</v>
      </c>
      <c r="J10">
        <v>30.57610224967355</v>
      </c>
      <c r="K10">
        <v>9.6290064860842062</v>
      </c>
      <c r="L10">
        <v>0.77329519146149539</v>
      </c>
      <c r="M10">
        <v>86.70279419416768</v>
      </c>
      <c r="N10">
        <v>78.570018202423199</v>
      </c>
      <c r="O10">
        <v>10.030215089671049</v>
      </c>
      <c r="P10">
        <v>6.1152204499347107</v>
      </c>
      <c r="Q10">
        <v>24.460881799738839</v>
      </c>
      <c r="R10">
        <v>0</v>
      </c>
      <c r="S10">
        <v>0</v>
      </c>
      <c r="T10">
        <v>0</v>
      </c>
      <c r="U10">
        <v>9.0686436089575366</v>
      </c>
      <c r="V10">
        <v>42.953032907543047</v>
      </c>
      <c r="W10">
        <v>0.77329519146149539</v>
      </c>
      <c r="X10">
        <v>86.70279419416768</v>
      </c>
      <c r="Y10">
        <v>0</v>
      </c>
      <c r="Z10">
        <v>0</v>
      </c>
    </row>
    <row r="11" spans="1:26" x14ac:dyDescent="0.35">
      <c r="A11" s="1">
        <v>2031</v>
      </c>
      <c r="B11">
        <v>9.2500164811366865</v>
      </c>
      <c r="C11">
        <v>3.7000065924546748</v>
      </c>
      <c r="D11">
        <v>3.7000065924546748</v>
      </c>
      <c r="E11">
        <v>1.8500032962273369</v>
      </c>
      <c r="F11">
        <v>43.812093565693921</v>
      </c>
      <c r="G11">
        <v>0</v>
      </c>
      <c r="H11">
        <v>51.764296881750077</v>
      </c>
      <c r="I11">
        <v>39.525065582357733</v>
      </c>
      <c r="J11">
        <v>32.18774935499534</v>
      </c>
      <c r="K11">
        <v>9.8215866158058915</v>
      </c>
      <c r="L11">
        <v>0.78876109529072536</v>
      </c>
      <c r="M11">
        <v>88.436850078051037</v>
      </c>
      <c r="N11">
        <v>80.141418566471671</v>
      </c>
      <c r="O11">
        <v>10.23081939146447</v>
      </c>
      <c r="P11">
        <v>6.4375498709990682</v>
      </c>
      <c r="Q11">
        <v>25.750199483996269</v>
      </c>
      <c r="R11">
        <v>0</v>
      </c>
      <c r="S11">
        <v>0</v>
      </c>
      <c r="T11">
        <v>0</v>
      </c>
      <c r="U11">
        <v>9.2500164811366865</v>
      </c>
      <c r="V11">
        <v>43.812093565693921</v>
      </c>
      <c r="W11">
        <v>0.78876109529072536</v>
      </c>
      <c r="X11">
        <v>88.436850078051037</v>
      </c>
      <c r="Y11">
        <v>0</v>
      </c>
      <c r="Z11">
        <v>0</v>
      </c>
    </row>
    <row r="12" spans="1:26" x14ac:dyDescent="0.35">
      <c r="A12" s="1">
        <v>2032</v>
      </c>
      <c r="B12">
        <v>9.4350168107594197</v>
      </c>
      <c r="C12">
        <v>3.774006724303768</v>
      </c>
      <c r="D12">
        <v>3.774006724303768</v>
      </c>
      <c r="E12">
        <v>1.887003362151884</v>
      </c>
      <c r="F12">
        <v>44.688335437007801</v>
      </c>
      <c r="G12">
        <v>0</v>
      </c>
      <c r="H12">
        <v>52.79958281938508</v>
      </c>
      <c r="I12">
        <v>40.315566894004888</v>
      </c>
      <c r="J12">
        <v>34.098152134094917</v>
      </c>
      <c r="K12">
        <v>10.018018348122011</v>
      </c>
      <c r="L12">
        <v>0.80453631719653984</v>
      </c>
      <c r="M12">
        <v>90.205587079612059</v>
      </c>
      <c r="N12">
        <v>81.744246937801108</v>
      </c>
      <c r="O12">
        <v>10.43543577929376</v>
      </c>
      <c r="P12">
        <v>6.8196304268189847</v>
      </c>
      <c r="Q12">
        <v>27.278521707275939</v>
      </c>
      <c r="R12">
        <v>0</v>
      </c>
      <c r="S12">
        <v>0</v>
      </c>
      <c r="T12">
        <v>0</v>
      </c>
      <c r="U12">
        <v>9.4350168107594197</v>
      </c>
      <c r="V12">
        <v>44.688335437007801</v>
      </c>
      <c r="W12">
        <v>0.80453631719653984</v>
      </c>
      <c r="X12">
        <v>90.205587079612059</v>
      </c>
      <c r="Y12">
        <v>0</v>
      </c>
      <c r="Z12">
        <v>0</v>
      </c>
    </row>
    <row r="13" spans="1:26" x14ac:dyDescent="0.35">
      <c r="A13" s="1">
        <v>2033</v>
      </c>
      <c r="B13">
        <v>9.6237171469746094</v>
      </c>
      <c r="C13">
        <v>3.849486858789843</v>
      </c>
      <c r="D13">
        <v>3.849486858789843</v>
      </c>
      <c r="E13">
        <v>1.9247434293949219</v>
      </c>
      <c r="F13">
        <v>45.58210214574796</v>
      </c>
      <c r="G13">
        <v>0</v>
      </c>
      <c r="H13">
        <v>53.855574475772777</v>
      </c>
      <c r="I13">
        <v>41.121878231884999</v>
      </c>
      <c r="J13">
        <v>36.046557263027267</v>
      </c>
      <c r="K13">
        <v>10.21837871508445</v>
      </c>
      <c r="L13">
        <v>0.82062704354047067</v>
      </c>
      <c r="M13">
        <v>92.009698821204296</v>
      </c>
      <c r="N13">
        <v>83.379131876557153</v>
      </c>
      <c r="O13">
        <v>10.64414449487964</v>
      </c>
      <c r="P13">
        <v>7.2093114526054549</v>
      </c>
      <c r="Q13">
        <v>28.83724581042182</v>
      </c>
      <c r="R13">
        <v>0</v>
      </c>
      <c r="S13">
        <v>0</v>
      </c>
      <c r="T13">
        <v>0</v>
      </c>
      <c r="U13">
        <v>9.6237171469746094</v>
      </c>
      <c r="V13">
        <v>45.58210214574796</v>
      </c>
      <c r="W13">
        <v>0.82062704354047067</v>
      </c>
      <c r="X13">
        <v>92.009698821204296</v>
      </c>
      <c r="Y13">
        <v>0</v>
      </c>
      <c r="Z13">
        <v>0</v>
      </c>
    </row>
    <row r="14" spans="1:26" x14ac:dyDescent="0.35">
      <c r="A14" s="1">
        <v>2034</v>
      </c>
      <c r="B14">
        <v>9.8161914899141003</v>
      </c>
      <c r="C14">
        <v>3.92647659596564</v>
      </c>
      <c r="D14">
        <v>3.92647659596564</v>
      </c>
      <c r="E14">
        <v>1.96323829798282</v>
      </c>
      <c r="F14">
        <v>46.493744188662923</v>
      </c>
      <c r="G14">
        <v>0</v>
      </c>
      <c r="H14">
        <v>54.932685965288243</v>
      </c>
      <c r="I14">
        <v>41.944315796522687</v>
      </c>
      <c r="J14">
        <v>37.758893983156547</v>
      </c>
      <c r="K14">
        <v>10.42274628938614</v>
      </c>
      <c r="L14">
        <v>0.83703958441128001</v>
      </c>
      <c r="M14">
        <v>93.849892797628385</v>
      </c>
      <c r="N14">
        <v>85.046714514088279</v>
      </c>
      <c r="O14">
        <v>10.857027384777229</v>
      </c>
      <c r="P14">
        <v>7.5517787966313108</v>
      </c>
      <c r="Q14">
        <v>30.20711518652524</v>
      </c>
      <c r="R14">
        <v>0</v>
      </c>
      <c r="S14">
        <v>0</v>
      </c>
      <c r="T14">
        <v>0</v>
      </c>
      <c r="U14">
        <v>9.8161914899141003</v>
      </c>
      <c r="V14">
        <v>46.493744188662923</v>
      </c>
      <c r="W14">
        <v>0.83703958441128001</v>
      </c>
      <c r="X14">
        <v>93.849892797628385</v>
      </c>
      <c r="Y14">
        <v>0</v>
      </c>
      <c r="Z14">
        <v>0</v>
      </c>
    </row>
    <row r="15" spans="1:26" x14ac:dyDescent="0.35">
      <c r="A15" s="1">
        <v>2035</v>
      </c>
      <c r="B15">
        <v>10.01251531971238</v>
      </c>
      <c r="C15">
        <v>4.0050061278849531</v>
      </c>
      <c r="D15">
        <v>4.0050061278849531</v>
      </c>
      <c r="E15">
        <v>2.002503063942477</v>
      </c>
      <c r="F15">
        <v>47.423619072436182</v>
      </c>
      <c r="G15">
        <v>0</v>
      </c>
      <c r="H15">
        <v>56.031339684594002</v>
      </c>
      <c r="I15">
        <v>42.783202112453147</v>
      </c>
      <c r="J15">
        <v>39.121606442226629</v>
      </c>
      <c r="K15">
        <v>10.63120121517386</v>
      </c>
      <c r="L15">
        <v>0.85378037609950563</v>
      </c>
      <c r="M15">
        <v>95.726890653580952</v>
      </c>
      <c r="N15">
        <v>86.747648804370058</v>
      </c>
      <c r="O15">
        <v>11.07416793247277</v>
      </c>
      <c r="P15">
        <v>7.8243212884453266</v>
      </c>
      <c r="Q15">
        <v>31.29728515378131</v>
      </c>
      <c r="R15">
        <v>0</v>
      </c>
      <c r="S15">
        <v>0</v>
      </c>
      <c r="T15">
        <v>0</v>
      </c>
      <c r="U15">
        <v>10.01251531971238</v>
      </c>
      <c r="V15">
        <v>47.423619072436182</v>
      </c>
      <c r="W15">
        <v>0.85378037609950563</v>
      </c>
      <c r="X15">
        <v>95.726890653580952</v>
      </c>
      <c r="Y15">
        <v>0</v>
      </c>
      <c r="Z15">
        <v>0</v>
      </c>
    </row>
    <row r="16" spans="1:26" x14ac:dyDescent="0.35">
      <c r="A16" s="1">
        <v>2036</v>
      </c>
      <c r="B16">
        <v>10.212765626106631</v>
      </c>
      <c r="C16">
        <v>4.0851062504426521</v>
      </c>
      <c r="D16">
        <v>4.0851062504426521</v>
      </c>
      <c r="E16">
        <v>2.042553125221326</v>
      </c>
      <c r="F16">
        <v>48.372091453884913</v>
      </c>
      <c r="G16">
        <v>0</v>
      </c>
      <c r="H16">
        <v>57.151966478285878</v>
      </c>
      <c r="I16">
        <v>43.638866154702207</v>
      </c>
      <c r="J16">
        <v>40.195456759082127</v>
      </c>
      <c r="K16">
        <v>10.84382523947734</v>
      </c>
      <c r="L16">
        <v>0.87085598362149585</v>
      </c>
      <c r="M16">
        <v>97.64142846665257</v>
      </c>
      <c r="N16">
        <v>88.482601780457458</v>
      </c>
      <c r="O16">
        <v>11.29565129112223</v>
      </c>
      <c r="P16">
        <v>8.0390913518164258</v>
      </c>
      <c r="Q16">
        <v>32.156365407265703</v>
      </c>
      <c r="R16">
        <v>0</v>
      </c>
      <c r="S16">
        <v>0</v>
      </c>
      <c r="T16">
        <v>0</v>
      </c>
      <c r="U16">
        <v>10.212765626106631</v>
      </c>
      <c r="V16">
        <v>48.372091453884913</v>
      </c>
      <c r="W16">
        <v>0.87085598362149585</v>
      </c>
      <c r="X16">
        <v>97.64142846665257</v>
      </c>
      <c r="Y16">
        <v>0</v>
      </c>
      <c r="Z16">
        <v>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"/>
  <sheetViews>
    <sheetView workbookViewId="0">
      <selection activeCell="B2" sqref="B2:U16"/>
    </sheetView>
  </sheetViews>
  <sheetFormatPr defaultRowHeight="14.5" x14ac:dyDescent="0.35"/>
  <sheetData>
    <row r="1" spans="1:21" x14ac:dyDescent="0.3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</row>
    <row r="2" spans="1:21" x14ac:dyDescent="0.35">
      <c r="A2" s="1">
        <v>2022</v>
      </c>
      <c r="B2">
        <v>33.072797279627963</v>
      </c>
      <c r="C2">
        <v>33.072797279627963</v>
      </c>
      <c r="D2">
        <v>0</v>
      </c>
      <c r="E2">
        <v>0</v>
      </c>
      <c r="F2">
        <v>8.2182643199999994</v>
      </c>
      <c r="G2">
        <v>8.2182643199999994</v>
      </c>
      <c r="H2">
        <v>8.5606919999999995</v>
      </c>
      <c r="I2">
        <v>8.5606919999999995</v>
      </c>
      <c r="J2">
        <v>67.058753999999993</v>
      </c>
      <c r="K2">
        <v>67.058753999999993</v>
      </c>
      <c r="L2">
        <v>3.0960000000000001</v>
      </c>
      <c r="M2">
        <v>3.0960000000000001</v>
      </c>
      <c r="N2">
        <v>1.548</v>
      </c>
      <c r="O2">
        <v>1.548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5">
      <c r="A3" s="1">
        <v>2023</v>
      </c>
      <c r="B3">
        <v>23.81218871210303</v>
      </c>
      <c r="C3">
        <v>56.884985991730993</v>
      </c>
      <c r="D3">
        <v>0</v>
      </c>
      <c r="E3">
        <v>0</v>
      </c>
      <c r="F3">
        <v>8.3826296064000019</v>
      </c>
      <c r="G3">
        <v>16.600893926400001</v>
      </c>
      <c r="H3">
        <v>8.7319058400000014</v>
      </c>
      <c r="I3">
        <v>17.292597839999999</v>
      </c>
      <c r="J3">
        <v>68.399929080000021</v>
      </c>
      <c r="K3">
        <v>135.45868307999999</v>
      </c>
      <c r="L3">
        <v>3.1579199999999998</v>
      </c>
      <c r="M3">
        <v>6.2539200000000008</v>
      </c>
      <c r="N3">
        <v>1.5789599999999999</v>
      </c>
      <c r="O3">
        <v>3.12696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5">
      <c r="A4" s="1">
        <v>2024</v>
      </c>
      <c r="B4">
        <v>14.35768963733649</v>
      </c>
      <c r="C4">
        <v>71.242675629067477</v>
      </c>
      <c r="D4">
        <v>0</v>
      </c>
      <c r="E4">
        <v>0</v>
      </c>
      <c r="F4">
        <v>8.5502821985280004</v>
      </c>
      <c r="G4">
        <v>25.151176124928</v>
      </c>
      <c r="H4">
        <v>8.9065439568000002</v>
      </c>
      <c r="I4">
        <v>26.199141796799999</v>
      </c>
      <c r="J4">
        <v>69.767927661599998</v>
      </c>
      <c r="K4">
        <v>205.22661074160001</v>
      </c>
      <c r="L4">
        <v>3.2210784000000001</v>
      </c>
      <c r="M4">
        <v>9.4749984000000005</v>
      </c>
      <c r="N4">
        <v>1.6105392000000001</v>
      </c>
      <c r="O4">
        <v>4.7374992000000002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5">
      <c r="A5" s="1">
        <v>2025</v>
      </c>
      <c r="B5">
        <v>14.501955333728469</v>
      </c>
      <c r="C5">
        <v>85.744630962795952</v>
      </c>
      <c r="D5">
        <v>0</v>
      </c>
      <c r="E5">
        <v>0</v>
      </c>
      <c r="F5">
        <v>8.72128784249856</v>
      </c>
      <c r="G5">
        <v>33.872463967426562</v>
      </c>
      <c r="H5">
        <v>9.0846748359359992</v>
      </c>
      <c r="I5">
        <v>35.283816632735999</v>
      </c>
      <c r="J5">
        <v>71.163286214831999</v>
      </c>
      <c r="K5">
        <v>276.38989695643198</v>
      </c>
      <c r="L5">
        <v>3.2854999679999999</v>
      </c>
      <c r="M5">
        <v>12.760498368</v>
      </c>
      <c r="N5">
        <v>1.6427499839999999</v>
      </c>
      <c r="O5">
        <v>6.3802491840000002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5">
      <c r="A6" s="1">
        <v>2026</v>
      </c>
      <c r="B6">
        <v>13.885651428959999</v>
      </c>
      <c r="C6">
        <v>99.630282391755941</v>
      </c>
      <c r="D6">
        <v>0</v>
      </c>
      <c r="E6">
        <v>0</v>
      </c>
      <c r="F6">
        <v>8.8957135993485323</v>
      </c>
      <c r="G6">
        <v>42.768177566775087</v>
      </c>
      <c r="H6">
        <v>9.2663683326547197</v>
      </c>
      <c r="I6">
        <v>44.55018496539072</v>
      </c>
      <c r="J6">
        <v>72.58655193912864</v>
      </c>
      <c r="K6">
        <v>348.97644889556068</v>
      </c>
      <c r="L6">
        <v>3.35120996736</v>
      </c>
      <c r="M6">
        <v>16.111708335359999</v>
      </c>
      <c r="N6">
        <v>1.67560498368</v>
      </c>
      <c r="O6">
        <v>8.0558541676799997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5">
      <c r="A7" s="1">
        <v>2027</v>
      </c>
      <c r="B7">
        <v>11.87337346356238</v>
      </c>
      <c r="C7">
        <v>111.5036558553183</v>
      </c>
      <c r="D7">
        <v>0</v>
      </c>
      <c r="E7">
        <v>0</v>
      </c>
      <c r="F7">
        <v>9.0736278713355016</v>
      </c>
      <c r="G7">
        <v>51.841805438110597</v>
      </c>
      <c r="H7">
        <v>9.4516956993078143</v>
      </c>
      <c r="I7">
        <v>54.001880664698533</v>
      </c>
      <c r="J7">
        <v>74.038282977911209</v>
      </c>
      <c r="K7">
        <v>423.01473187347187</v>
      </c>
      <c r="L7">
        <v>3.4182341667072</v>
      </c>
      <c r="M7">
        <v>19.5299425020672</v>
      </c>
      <c r="N7">
        <v>1.7091170833536</v>
      </c>
      <c r="O7">
        <v>9.7649712510336002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5">
      <c r="A8" s="1">
        <v>2028</v>
      </c>
      <c r="B8">
        <v>9.7435872365158076</v>
      </c>
      <c r="C8">
        <v>121.24724309183409</v>
      </c>
      <c r="D8">
        <v>0</v>
      </c>
      <c r="E8">
        <v>0</v>
      </c>
      <c r="F8">
        <v>9.2551004287622138</v>
      </c>
      <c r="G8">
        <v>61.09690586687281</v>
      </c>
      <c r="H8">
        <v>9.6407296132939724</v>
      </c>
      <c r="I8">
        <v>63.642610277992503</v>
      </c>
      <c r="J8">
        <v>75.519048637469453</v>
      </c>
      <c r="K8">
        <v>498.53378051094131</v>
      </c>
      <c r="L8">
        <v>3.4865988500413438</v>
      </c>
      <c r="M8">
        <v>23.01654135210854</v>
      </c>
      <c r="N8">
        <v>1.7432994250206719</v>
      </c>
      <c r="O8">
        <v>11.50827067605427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5">
      <c r="A9" s="1">
        <v>2029</v>
      </c>
      <c r="B9">
        <v>8.7480880258257336</v>
      </c>
      <c r="C9">
        <v>129.9953311176599</v>
      </c>
      <c r="D9">
        <v>0</v>
      </c>
      <c r="E9">
        <v>0</v>
      </c>
      <c r="F9">
        <v>9.440202437337458</v>
      </c>
      <c r="G9">
        <v>70.537108304210264</v>
      </c>
      <c r="H9">
        <v>9.8335442055598516</v>
      </c>
      <c r="I9">
        <v>73.476154483552349</v>
      </c>
      <c r="J9">
        <v>77.029429610218841</v>
      </c>
      <c r="K9">
        <v>575.56321012116018</v>
      </c>
      <c r="L9">
        <v>3.5563308270421712</v>
      </c>
      <c r="M9">
        <v>26.572872179150711</v>
      </c>
      <c r="N9">
        <v>1.778165413521086</v>
      </c>
      <c r="O9">
        <v>13.286436089575361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5">
      <c r="A10" s="1">
        <v>2030</v>
      </c>
      <c r="B10">
        <v>8.173962046755598</v>
      </c>
      <c r="C10">
        <v>138.16929316441551</v>
      </c>
      <c r="D10">
        <v>0</v>
      </c>
      <c r="E10">
        <v>0</v>
      </c>
      <c r="F10">
        <v>9.6290064860842062</v>
      </c>
      <c r="G10">
        <v>80.166114790294472</v>
      </c>
      <c r="H10">
        <v>10.030215089671049</v>
      </c>
      <c r="I10">
        <v>83.506369573223395</v>
      </c>
      <c r="J10">
        <v>78.570018202423199</v>
      </c>
      <c r="K10">
        <v>654.13322832358335</v>
      </c>
      <c r="L10">
        <v>3.627457443583014</v>
      </c>
      <c r="M10">
        <v>30.200329622733729</v>
      </c>
      <c r="N10">
        <v>1.813728721791507</v>
      </c>
      <c r="O10">
        <v>15.100164811366859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 s="1">
        <v>2031</v>
      </c>
      <c r="B11">
        <v>7.3373162273623862</v>
      </c>
      <c r="C11">
        <v>145.50660939177791</v>
      </c>
      <c r="D11">
        <v>0</v>
      </c>
      <c r="E11">
        <v>0</v>
      </c>
      <c r="F11">
        <v>9.8215866158058915</v>
      </c>
      <c r="G11">
        <v>89.987701406100371</v>
      </c>
      <c r="H11">
        <v>10.23081939146447</v>
      </c>
      <c r="I11">
        <v>93.73718896468786</v>
      </c>
      <c r="J11">
        <v>80.141418566471671</v>
      </c>
      <c r="K11">
        <v>734.27464689005501</v>
      </c>
      <c r="L11">
        <v>3.7000065924546748</v>
      </c>
      <c r="M11">
        <v>33.900336215188403</v>
      </c>
      <c r="N11">
        <v>1.8500032962273369</v>
      </c>
      <c r="O11">
        <v>16.950168107594202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 s="1">
        <v>2032</v>
      </c>
      <c r="B12">
        <v>6.2174147599099641</v>
      </c>
      <c r="C12">
        <v>151.72402415168779</v>
      </c>
      <c r="D12">
        <v>0</v>
      </c>
      <c r="E12">
        <v>0</v>
      </c>
      <c r="F12">
        <v>10.018018348122011</v>
      </c>
      <c r="G12">
        <v>100.0057197542224</v>
      </c>
      <c r="H12">
        <v>10.43543577929376</v>
      </c>
      <c r="I12">
        <v>104.1726247439816</v>
      </c>
      <c r="J12">
        <v>81.744246937801108</v>
      </c>
      <c r="K12">
        <v>816.01889382785612</v>
      </c>
      <c r="L12">
        <v>3.774006724303768</v>
      </c>
      <c r="M12">
        <v>37.674342939492171</v>
      </c>
      <c r="N12">
        <v>1.887003362151884</v>
      </c>
      <c r="O12">
        <v>18.837171469746089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 s="1">
        <v>2033</v>
      </c>
      <c r="B13">
        <v>5.0753209688577243</v>
      </c>
      <c r="C13">
        <v>156.7993451205455</v>
      </c>
      <c r="D13">
        <v>0</v>
      </c>
      <c r="E13">
        <v>0</v>
      </c>
      <c r="F13">
        <v>10.21837871508445</v>
      </c>
      <c r="G13">
        <v>110.2240984693068</v>
      </c>
      <c r="H13">
        <v>10.64414449487964</v>
      </c>
      <c r="I13">
        <v>114.8167692388613</v>
      </c>
      <c r="J13">
        <v>83.379131876557153</v>
      </c>
      <c r="K13">
        <v>899.39802570441327</v>
      </c>
      <c r="L13">
        <v>3.849486858789843</v>
      </c>
      <c r="M13">
        <v>41.523829798282023</v>
      </c>
      <c r="N13">
        <v>1.9247434293949219</v>
      </c>
      <c r="O13">
        <v>20.761914899141011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5">
      <c r="A14" s="1">
        <v>2034</v>
      </c>
      <c r="B14">
        <v>4.1854218133661476</v>
      </c>
      <c r="C14">
        <v>160.98476693391169</v>
      </c>
      <c r="D14">
        <v>0</v>
      </c>
      <c r="E14">
        <v>0</v>
      </c>
      <c r="F14">
        <v>10.42274628938614</v>
      </c>
      <c r="G14">
        <v>120.64684475869301</v>
      </c>
      <c r="H14">
        <v>10.857027384777229</v>
      </c>
      <c r="I14">
        <v>125.67379662363849</v>
      </c>
      <c r="J14">
        <v>85.046714514088279</v>
      </c>
      <c r="K14">
        <v>984.44474021850158</v>
      </c>
      <c r="L14">
        <v>3.92647659596564</v>
      </c>
      <c r="M14">
        <v>45.450306394247647</v>
      </c>
      <c r="N14">
        <v>1.96323829798282</v>
      </c>
      <c r="O14">
        <v>22.725153197123831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5">
      <c r="A15" s="1">
        <v>2035</v>
      </c>
      <c r="B15">
        <v>3.661595670226518</v>
      </c>
      <c r="C15">
        <v>164.6463626041382</v>
      </c>
      <c r="D15">
        <v>0</v>
      </c>
      <c r="E15">
        <v>0</v>
      </c>
      <c r="F15">
        <v>10.63120121517386</v>
      </c>
      <c r="G15">
        <v>131.27804597386691</v>
      </c>
      <c r="H15">
        <v>11.07416793247277</v>
      </c>
      <c r="I15">
        <v>136.74796455611121</v>
      </c>
      <c r="J15">
        <v>86.747648804370058</v>
      </c>
      <c r="K15">
        <v>1071.192389022872</v>
      </c>
      <c r="L15">
        <v>4.0050061278849531</v>
      </c>
      <c r="M15">
        <v>49.455312522132608</v>
      </c>
      <c r="N15">
        <v>2.002503063942477</v>
      </c>
      <c r="O15">
        <v>24.727656261066301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 s="1">
        <v>2036</v>
      </c>
      <c r="B16">
        <v>3.4434093956200869</v>
      </c>
      <c r="C16">
        <v>168.08977199975831</v>
      </c>
      <c r="D16">
        <v>0</v>
      </c>
      <c r="E16">
        <v>0</v>
      </c>
      <c r="F16">
        <v>10.84382523947734</v>
      </c>
      <c r="G16">
        <v>142.12187121334421</v>
      </c>
      <c r="H16">
        <v>11.29565129112223</v>
      </c>
      <c r="I16">
        <v>148.0436158472335</v>
      </c>
      <c r="J16">
        <v>88.482601780457458</v>
      </c>
      <c r="K16">
        <v>1159.6749908033289</v>
      </c>
      <c r="L16">
        <v>4.0851062504426521</v>
      </c>
      <c r="M16">
        <v>53.540418772575258</v>
      </c>
      <c r="N16">
        <v>2.042553125221326</v>
      </c>
      <c r="O16">
        <v>26.770209386287629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6"/>
  <sheetViews>
    <sheetView workbookViewId="0">
      <selection activeCell="B2" sqref="B2:Z16"/>
    </sheetView>
  </sheetViews>
  <sheetFormatPr defaultRowHeight="14.5" x14ac:dyDescent="0.35"/>
  <sheetData>
    <row r="1" spans="1:26" x14ac:dyDescent="0.3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66</v>
      </c>
    </row>
    <row r="2" spans="1:26" x14ac:dyDescent="0.35">
      <c r="A2" s="1">
        <v>2022</v>
      </c>
      <c r="B2">
        <v>121.26</v>
      </c>
      <c r="C2">
        <v>48.503999999999998</v>
      </c>
      <c r="D2">
        <v>48.503999999999998</v>
      </c>
      <c r="E2">
        <v>24.251999999999999</v>
      </c>
      <c r="F2">
        <v>2.34</v>
      </c>
      <c r="G2">
        <v>22.921800000000001</v>
      </c>
      <c r="H2">
        <v>24.364152000000001</v>
      </c>
      <c r="I2">
        <v>21.14490924</v>
      </c>
      <c r="J2">
        <v>6.0612214712918454E-6</v>
      </c>
      <c r="K2">
        <v>4.6227736799999999</v>
      </c>
      <c r="L2">
        <v>0.34</v>
      </c>
      <c r="M2">
        <v>0</v>
      </c>
      <c r="N2">
        <v>0</v>
      </c>
      <c r="O2">
        <v>0</v>
      </c>
      <c r="P2">
        <v>1.2122442942583689E-6</v>
      </c>
      <c r="Q2">
        <v>4.8489771770334758E-6</v>
      </c>
      <c r="R2">
        <v>9.3249561096797605E-7</v>
      </c>
      <c r="S2">
        <v>1.2433274812906351E-6</v>
      </c>
      <c r="T2">
        <v>1.1189947331615709E-5</v>
      </c>
      <c r="U2">
        <v>121.26</v>
      </c>
      <c r="V2">
        <v>2.34</v>
      </c>
      <c r="W2">
        <v>0.34</v>
      </c>
      <c r="X2">
        <v>0</v>
      </c>
      <c r="Y2">
        <v>2.1758230922586109E-6</v>
      </c>
      <c r="Z2">
        <v>0</v>
      </c>
    </row>
    <row r="3" spans="1:26" x14ac:dyDescent="0.35">
      <c r="A3" s="1">
        <v>2023</v>
      </c>
      <c r="B3">
        <v>123.68519999999999</v>
      </c>
      <c r="C3">
        <v>49.474080000000001</v>
      </c>
      <c r="D3">
        <v>49.474080000000001</v>
      </c>
      <c r="E3">
        <v>24.73704</v>
      </c>
      <c r="F3">
        <v>2.3868</v>
      </c>
      <c r="G3">
        <v>23.380236</v>
      </c>
      <c r="H3">
        <v>24.851435039999998</v>
      </c>
      <c r="I3">
        <v>21.567807424800009</v>
      </c>
      <c r="J3">
        <v>6.3436211990292151</v>
      </c>
      <c r="K3">
        <v>4.7152291536000011</v>
      </c>
      <c r="L3">
        <v>0.34680000000000011</v>
      </c>
      <c r="M3">
        <v>0</v>
      </c>
      <c r="N3">
        <v>0</v>
      </c>
      <c r="O3">
        <v>0</v>
      </c>
      <c r="P3">
        <v>1.2687242398058429</v>
      </c>
      <c r="Q3">
        <v>5.0748969592233726</v>
      </c>
      <c r="R3">
        <v>0.97594172292757153</v>
      </c>
      <c r="S3">
        <v>1.301255630570096</v>
      </c>
      <c r="T3">
        <v>11.711300675130859</v>
      </c>
      <c r="U3">
        <v>123.68519999999999</v>
      </c>
      <c r="V3">
        <v>2.3868</v>
      </c>
      <c r="W3">
        <v>0.34680000000000011</v>
      </c>
      <c r="X3">
        <v>0</v>
      </c>
      <c r="Y3">
        <v>2.2771973534976668</v>
      </c>
      <c r="Z3">
        <v>2.8002050789233121E-8</v>
      </c>
    </row>
    <row r="4" spans="1:26" x14ac:dyDescent="0.35">
      <c r="A4" s="1">
        <v>2024</v>
      </c>
      <c r="B4">
        <v>126.15890400000001</v>
      </c>
      <c r="C4">
        <v>50.463561599999998</v>
      </c>
      <c r="D4">
        <v>50.463561599999998</v>
      </c>
      <c r="E4">
        <v>25.231780799999999</v>
      </c>
      <c r="F4">
        <v>2.434536</v>
      </c>
      <c r="G4">
        <v>23.847840720000001</v>
      </c>
      <c r="H4">
        <v>25.3484637408</v>
      </c>
      <c r="I4">
        <v>21.999163573296009</v>
      </c>
      <c r="J4">
        <v>12.819657083851361</v>
      </c>
      <c r="K4">
        <v>4.8095337366719999</v>
      </c>
      <c r="L4">
        <v>0.35373599999999999</v>
      </c>
      <c r="M4">
        <v>0</v>
      </c>
      <c r="N4">
        <v>0</v>
      </c>
      <c r="O4">
        <v>0</v>
      </c>
      <c r="P4">
        <v>2.5639314167702731</v>
      </c>
      <c r="Q4">
        <v>10.255725667081091</v>
      </c>
      <c r="R4">
        <v>1.9722549359771331</v>
      </c>
      <c r="S4">
        <v>2.6296732479695102</v>
      </c>
      <c r="T4">
        <v>23.667059231725592</v>
      </c>
      <c r="U4">
        <v>126.15890400000001</v>
      </c>
      <c r="V4">
        <v>2.434536</v>
      </c>
      <c r="W4">
        <v>0.35373599999999999</v>
      </c>
      <c r="X4">
        <v>0</v>
      </c>
      <c r="Y4">
        <v>4.6019281839466428</v>
      </c>
      <c r="Z4">
        <v>2.9306727653138021E-2</v>
      </c>
    </row>
    <row r="5" spans="1:26" x14ac:dyDescent="0.35">
      <c r="A5" s="1">
        <v>2025</v>
      </c>
      <c r="B5">
        <v>128.68208207999999</v>
      </c>
      <c r="C5">
        <v>51.472832832000002</v>
      </c>
      <c r="D5">
        <v>51.472832832000002</v>
      </c>
      <c r="E5">
        <v>25.736416416000001</v>
      </c>
      <c r="F5">
        <v>2.4832267200000002</v>
      </c>
      <c r="G5">
        <v>24.324797534399998</v>
      </c>
      <c r="H5">
        <v>25.855433015616001</v>
      </c>
      <c r="I5">
        <v>22.439146844761918</v>
      </c>
      <c r="J5">
        <v>13.167404910083061</v>
      </c>
      <c r="K5">
        <v>4.9057244114054397</v>
      </c>
      <c r="L5">
        <v>0.36081071999999997</v>
      </c>
      <c r="M5">
        <v>0</v>
      </c>
      <c r="N5">
        <v>0</v>
      </c>
      <c r="O5">
        <v>0</v>
      </c>
      <c r="P5">
        <v>2.6334809820166121</v>
      </c>
      <c r="Q5">
        <v>10.53392392806645</v>
      </c>
      <c r="R5">
        <v>2.02575460155124</v>
      </c>
      <c r="S5">
        <v>2.701006135401653</v>
      </c>
      <c r="T5">
        <v>24.30905521861488</v>
      </c>
      <c r="U5">
        <v>128.68208207999999</v>
      </c>
      <c r="V5">
        <v>2.4832267200000002</v>
      </c>
      <c r="W5">
        <v>0.36081071999999997</v>
      </c>
      <c r="X5">
        <v>0</v>
      </c>
      <c r="Y5">
        <v>4.7267607369528921</v>
      </c>
      <c r="Z5">
        <v>8.7605492392698103E-2</v>
      </c>
    </row>
    <row r="6" spans="1:26" x14ac:dyDescent="0.35">
      <c r="A6" s="1">
        <v>2026</v>
      </c>
      <c r="B6">
        <v>131.25572372159999</v>
      </c>
      <c r="C6">
        <v>52.502289488640002</v>
      </c>
      <c r="D6">
        <v>52.502289488640002</v>
      </c>
      <c r="E6">
        <v>26.251144744320001</v>
      </c>
      <c r="F6">
        <v>2.5328912544</v>
      </c>
      <c r="G6">
        <v>24.811293485088001</v>
      </c>
      <c r="H6">
        <v>26.372541675928321</v>
      </c>
      <c r="I6">
        <v>22.88792978165716</v>
      </c>
      <c r="J6">
        <v>14.01021821232208</v>
      </c>
      <c r="K6">
        <v>5.003838899633549</v>
      </c>
      <c r="L6">
        <v>0.36802693440000001</v>
      </c>
      <c r="M6">
        <v>0</v>
      </c>
      <c r="N6">
        <v>0</v>
      </c>
      <c r="O6">
        <v>0</v>
      </c>
      <c r="P6">
        <v>2.8020436424644162</v>
      </c>
      <c r="Q6">
        <v>11.208174569857659</v>
      </c>
      <c r="R6">
        <v>2.1554181865110889</v>
      </c>
      <c r="S6">
        <v>2.8738909153481189</v>
      </c>
      <c r="T6">
        <v>25.865018238133072</v>
      </c>
      <c r="U6">
        <v>131.25572372159999</v>
      </c>
      <c r="V6">
        <v>2.5328912544</v>
      </c>
      <c r="W6">
        <v>0.36802693440000001</v>
      </c>
      <c r="X6">
        <v>0</v>
      </c>
      <c r="Y6">
        <v>5.0293091018592078</v>
      </c>
      <c r="Z6">
        <v>0.14566800413862069</v>
      </c>
    </row>
    <row r="7" spans="1:26" x14ac:dyDescent="0.35">
      <c r="A7" s="1">
        <v>2027</v>
      </c>
      <c r="B7">
        <v>133.88083819603199</v>
      </c>
      <c r="C7">
        <v>53.552335278412812</v>
      </c>
      <c r="D7">
        <v>53.552335278412812</v>
      </c>
      <c r="E7">
        <v>26.77616763920641</v>
      </c>
      <c r="F7">
        <v>2.5835490794879998</v>
      </c>
      <c r="G7">
        <v>25.307519354789761</v>
      </c>
      <c r="H7">
        <v>26.899992509446889</v>
      </c>
      <c r="I7">
        <v>23.345688377290301</v>
      </c>
      <c r="J7">
        <v>15.75451517927501</v>
      </c>
      <c r="K7">
        <v>5.1039156776262198</v>
      </c>
      <c r="L7">
        <v>0.37538747308800002</v>
      </c>
      <c r="M7">
        <v>0</v>
      </c>
      <c r="N7">
        <v>0</v>
      </c>
      <c r="O7">
        <v>0</v>
      </c>
      <c r="P7">
        <v>3.1509030358550021</v>
      </c>
      <c r="Q7">
        <v>12.60361214342001</v>
      </c>
      <c r="R7">
        <v>2.4237715660423089</v>
      </c>
      <c r="S7">
        <v>3.231695421389746</v>
      </c>
      <c r="T7">
        <v>29.085258792507709</v>
      </c>
      <c r="U7">
        <v>133.88083819603199</v>
      </c>
      <c r="V7">
        <v>2.5835490794879998</v>
      </c>
      <c r="W7">
        <v>0.37538747308800002</v>
      </c>
      <c r="X7">
        <v>0</v>
      </c>
      <c r="Y7">
        <v>5.655466987432054</v>
      </c>
      <c r="Z7">
        <v>0.20578886853234171</v>
      </c>
    </row>
    <row r="8" spans="1:26" x14ac:dyDescent="0.35">
      <c r="A8" s="1">
        <v>2028</v>
      </c>
      <c r="B8">
        <v>136.55845495995271</v>
      </c>
      <c r="C8">
        <v>54.623381983981062</v>
      </c>
      <c r="D8">
        <v>54.623381983981062</v>
      </c>
      <c r="E8">
        <v>27.311690991990531</v>
      </c>
      <c r="F8">
        <v>2.6352200610777601</v>
      </c>
      <c r="G8">
        <v>25.813669741885558</v>
      </c>
      <c r="H8">
        <v>27.437992359635821</v>
      </c>
      <c r="I8">
        <v>23.812602144836109</v>
      </c>
      <c r="J8">
        <v>17.583095550998141</v>
      </c>
      <c r="K8">
        <v>5.2059939911787456</v>
      </c>
      <c r="L8">
        <v>0.38289522254976011</v>
      </c>
      <c r="M8">
        <v>0</v>
      </c>
      <c r="N8">
        <v>0</v>
      </c>
      <c r="O8">
        <v>0</v>
      </c>
      <c r="P8">
        <v>3.516619110199628</v>
      </c>
      <c r="Q8">
        <v>14.06647644079851</v>
      </c>
      <c r="R8">
        <v>2.7050916232304831</v>
      </c>
      <c r="S8">
        <v>3.606788830973978</v>
      </c>
      <c r="T8">
        <v>32.461099478765803</v>
      </c>
      <c r="U8">
        <v>136.55845495995271</v>
      </c>
      <c r="V8">
        <v>2.6352200610777601</v>
      </c>
      <c r="W8">
        <v>0.38289522254976011</v>
      </c>
      <c r="X8">
        <v>0</v>
      </c>
      <c r="Y8">
        <v>6.3118804542044593</v>
      </c>
      <c r="Z8">
        <v>0.27206775847024162</v>
      </c>
    </row>
    <row r="9" spans="1:26" x14ac:dyDescent="0.35">
      <c r="A9" s="1">
        <v>2029</v>
      </c>
      <c r="B9">
        <v>139.28962405915169</v>
      </c>
      <c r="C9">
        <v>55.715849623660681</v>
      </c>
      <c r="D9">
        <v>55.715849623660681</v>
      </c>
      <c r="E9">
        <v>27.85792481183034</v>
      </c>
      <c r="F9">
        <v>2.687924462299315</v>
      </c>
      <c r="G9">
        <v>26.329943136723269</v>
      </c>
      <c r="H9">
        <v>27.986752206828541</v>
      </c>
      <c r="I9">
        <v>24.288854187732831</v>
      </c>
      <c r="J9">
        <v>18.695814302368841</v>
      </c>
      <c r="K9">
        <v>5.3101138710023204</v>
      </c>
      <c r="L9">
        <v>0.39055312700075517</v>
      </c>
      <c r="M9">
        <v>0</v>
      </c>
      <c r="N9">
        <v>0</v>
      </c>
      <c r="O9">
        <v>0</v>
      </c>
      <c r="P9">
        <v>3.7391628604737681</v>
      </c>
      <c r="Q9">
        <v>14.956651441895071</v>
      </c>
      <c r="R9">
        <v>2.8762791234413601</v>
      </c>
      <c r="S9">
        <v>3.8350388312551469</v>
      </c>
      <c r="T9">
        <v>34.515349481296319</v>
      </c>
      <c r="U9">
        <v>139.28962405915169</v>
      </c>
      <c r="V9">
        <v>2.687924462299315</v>
      </c>
      <c r="W9">
        <v>0.39055312700075517</v>
      </c>
      <c r="X9">
        <v>0</v>
      </c>
      <c r="Y9">
        <v>6.711317954696506</v>
      </c>
      <c r="Z9">
        <v>0.34469939934295812</v>
      </c>
    </row>
    <row r="10" spans="1:26" x14ac:dyDescent="0.35">
      <c r="A10" s="1">
        <v>2030</v>
      </c>
      <c r="B10">
        <v>142.07541654033469</v>
      </c>
      <c r="C10">
        <v>56.830166616133887</v>
      </c>
      <c r="D10">
        <v>56.830166616133887</v>
      </c>
      <c r="E10">
        <v>28.415083308066951</v>
      </c>
      <c r="F10">
        <v>2.7416829515453021</v>
      </c>
      <c r="G10">
        <v>26.856541999457729</v>
      </c>
      <c r="H10">
        <v>28.546487250965111</v>
      </c>
      <c r="I10">
        <v>24.77463127148749</v>
      </c>
      <c r="J10">
        <v>19.548655536676531</v>
      </c>
      <c r="K10">
        <v>5.4163161484223652</v>
      </c>
      <c r="L10">
        <v>0.39836418954077041</v>
      </c>
      <c r="M10">
        <v>0</v>
      </c>
      <c r="N10">
        <v>0</v>
      </c>
      <c r="O10">
        <v>0</v>
      </c>
      <c r="P10">
        <v>3.9097311073353072</v>
      </c>
      <c r="Q10">
        <v>15.63892442934123</v>
      </c>
      <c r="R10">
        <v>3.007485467181005</v>
      </c>
      <c r="S10">
        <v>4.0099806229080066</v>
      </c>
      <c r="T10">
        <v>36.08982560617207</v>
      </c>
      <c r="U10">
        <v>142.07541654033469</v>
      </c>
      <c r="V10">
        <v>2.7416829515453021</v>
      </c>
      <c r="W10">
        <v>0.39836418954077041</v>
      </c>
      <c r="X10">
        <v>0</v>
      </c>
      <c r="Y10">
        <v>7.0174660900890116</v>
      </c>
      <c r="Z10">
        <v>0.42017579594295418</v>
      </c>
    </row>
    <row r="11" spans="1:26" x14ac:dyDescent="0.35">
      <c r="A11" s="1">
        <v>2031</v>
      </c>
      <c r="B11">
        <v>144.91692487114139</v>
      </c>
      <c r="C11">
        <v>57.966769948456573</v>
      </c>
      <c r="D11">
        <v>57.966769948456573</v>
      </c>
      <c r="E11">
        <v>28.98338497422829</v>
      </c>
      <c r="F11">
        <v>2.7965166105762078</v>
      </c>
      <c r="G11">
        <v>27.393672839446889</v>
      </c>
      <c r="H11">
        <v>29.117416995984421</v>
      </c>
      <c r="I11">
        <v>25.270123896917241</v>
      </c>
      <c r="J11">
        <v>20.579052866308501</v>
      </c>
      <c r="K11">
        <v>5.5246424713908144</v>
      </c>
      <c r="L11">
        <v>0.40633147333158581</v>
      </c>
      <c r="M11">
        <v>0</v>
      </c>
      <c r="N11">
        <v>0</v>
      </c>
      <c r="O11">
        <v>0</v>
      </c>
      <c r="P11">
        <v>4.1158105732617001</v>
      </c>
      <c r="Q11">
        <v>16.4632422930468</v>
      </c>
      <c r="R11">
        <v>3.1660081332782299</v>
      </c>
      <c r="S11">
        <v>4.2213441777043066</v>
      </c>
      <c r="T11">
        <v>37.99209759933877</v>
      </c>
      <c r="U11">
        <v>144.91692487114139</v>
      </c>
      <c r="V11">
        <v>2.7965166105762078</v>
      </c>
      <c r="W11">
        <v>0.40633147333158581</v>
      </c>
      <c r="X11">
        <v>0</v>
      </c>
      <c r="Y11">
        <v>7.3873523109825374</v>
      </c>
      <c r="Z11">
        <v>0.49720642643843682</v>
      </c>
    </row>
    <row r="12" spans="1:26" x14ac:dyDescent="0.35">
      <c r="A12" s="1">
        <v>2032</v>
      </c>
      <c r="B12">
        <v>147.81526336856419</v>
      </c>
      <c r="C12">
        <v>59.1261053474257</v>
      </c>
      <c r="D12">
        <v>59.1261053474257</v>
      </c>
      <c r="E12">
        <v>29.56305267371285</v>
      </c>
      <c r="F12">
        <v>2.8524469427877319</v>
      </c>
      <c r="G12">
        <v>27.941546296235831</v>
      </c>
      <c r="H12">
        <v>29.6997653359041</v>
      </c>
      <c r="I12">
        <v>25.775526374855591</v>
      </c>
      <c r="J12">
        <v>21.80045792179839</v>
      </c>
      <c r="K12">
        <v>5.6351353208186303</v>
      </c>
      <c r="L12">
        <v>0.41445810279821749</v>
      </c>
      <c r="M12">
        <v>0</v>
      </c>
      <c r="N12">
        <v>0</v>
      </c>
      <c r="O12">
        <v>0</v>
      </c>
      <c r="P12">
        <v>4.3600915843596786</v>
      </c>
      <c r="Q12">
        <v>17.440366337438711</v>
      </c>
      <c r="R12">
        <v>3.353916603353599</v>
      </c>
      <c r="S12">
        <v>4.4718888044714653</v>
      </c>
      <c r="T12">
        <v>40.246999240243191</v>
      </c>
      <c r="U12">
        <v>147.81526336856419</v>
      </c>
      <c r="V12">
        <v>2.8524469427877319</v>
      </c>
      <c r="W12">
        <v>0.41445810279821749</v>
      </c>
      <c r="X12">
        <v>0</v>
      </c>
      <c r="Y12">
        <v>7.8258054078250634</v>
      </c>
      <c r="Z12">
        <v>0.57656244801397305</v>
      </c>
    </row>
    <row r="13" spans="1:26" x14ac:dyDescent="0.35">
      <c r="A13" s="1">
        <v>2033</v>
      </c>
      <c r="B13">
        <v>150.77156863593549</v>
      </c>
      <c r="C13">
        <v>60.308627454374218</v>
      </c>
      <c r="D13">
        <v>60.308627454374218</v>
      </c>
      <c r="E13">
        <v>30.154313727187109</v>
      </c>
      <c r="F13">
        <v>2.9094958816434868</v>
      </c>
      <c r="G13">
        <v>28.500377222160541</v>
      </c>
      <c r="H13">
        <v>30.293760642622189</v>
      </c>
      <c r="I13">
        <v>26.291036902352712</v>
      </c>
      <c r="J13">
        <v>23.046159561607599</v>
      </c>
      <c r="K13">
        <v>5.7478380272350034</v>
      </c>
      <c r="L13">
        <v>0.42274726485418179</v>
      </c>
      <c r="M13">
        <v>0</v>
      </c>
      <c r="N13">
        <v>0</v>
      </c>
      <c r="O13">
        <v>0</v>
      </c>
      <c r="P13">
        <v>4.6092319123215209</v>
      </c>
      <c r="Q13">
        <v>18.43692764928608</v>
      </c>
      <c r="R13">
        <v>3.545563009478093</v>
      </c>
      <c r="S13">
        <v>4.7274173459707907</v>
      </c>
      <c r="T13">
        <v>42.546756113737111</v>
      </c>
      <c r="U13">
        <v>150.77156863593549</v>
      </c>
      <c r="V13">
        <v>2.9094958816434868</v>
      </c>
      <c r="W13">
        <v>0.42274726485418179</v>
      </c>
      <c r="X13">
        <v>0</v>
      </c>
      <c r="Y13">
        <v>8.2729803554488832</v>
      </c>
      <c r="Z13">
        <v>0.65905278663383626</v>
      </c>
    </row>
    <row r="14" spans="1:26" x14ac:dyDescent="0.35">
      <c r="A14" s="1">
        <v>2034</v>
      </c>
      <c r="B14">
        <v>153.78700000865419</v>
      </c>
      <c r="C14">
        <v>61.514800003461687</v>
      </c>
      <c r="D14">
        <v>61.514800003461687</v>
      </c>
      <c r="E14">
        <v>30.757400001730851</v>
      </c>
      <c r="F14">
        <v>2.967685799276357</v>
      </c>
      <c r="G14">
        <v>29.070384766603759</v>
      </c>
      <c r="H14">
        <v>30.899635855474632</v>
      </c>
      <c r="I14">
        <v>26.81685764039976</v>
      </c>
      <c r="J14">
        <v>24.14093221873943</v>
      </c>
      <c r="K14">
        <v>5.8627947877797029</v>
      </c>
      <c r="L14">
        <v>0.43120221015126547</v>
      </c>
      <c r="M14">
        <v>0</v>
      </c>
      <c r="N14">
        <v>0</v>
      </c>
      <c r="O14">
        <v>0</v>
      </c>
      <c r="P14">
        <v>4.828186443747887</v>
      </c>
      <c r="Q14">
        <v>19.312745774991551</v>
      </c>
      <c r="R14">
        <v>3.7139895721137588</v>
      </c>
      <c r="S14">
        <v>4.9519860961516793</v>
      </c>
      <c r="T14">
        <v>44.567874865365113</v>
      </c>
      <c r="U14">
        <v>153.78700000865419</v>
      </c>
      <c r="V14">
        <v>2.967685799276357</v>
      </c>
      <c r="W14">
        <v>0.43120221015126547</v>
      </c>
      <c r="X14">
        <v>0</v>
      </c>
      <c r="Y14">
        <v>8.6659756682654372</v>
      </c>
      <c r="Z14">
        <v>0.74469061473338138</v>
      </c>
    </row>
    <row r="15" spans="1:26" x14ac:dyDescent="0.35">
      <c r="A15" s="1">
        <v>2035</v>
      </c>
      <c r="B15">
        <v>156.8627400088273</v>
      </c>
      <c r="C15">
        <v>62.745096003530932</v>
      </c>
      <c r="D15">
        <v>62.745096003530932</v>
      </c>
      <c r="E15">
        <v>31.37254800176547</v>
      </c>
      <c r="F15">
        <v>3.0270395152618841</v>
      </c>
      <c r="G15">
        <v>29.65179246193583</v>
      </c>
      <c r="H15">
        <v>31.51762857258413</v>
      </c>
      <c r="I15">
        <v>27.353194793207749</v>
      </c>
      <c r="J15">
        <v>25.01217461060391</v>
      </c>
      <c r="K15">
        <v>5.9800506835352971</v>
      </c>
      <c r="L15">
        <v>0.43982625435429079</v>
      </c>
      <c r="M15">
        <v>0</v>
      </c>
      <c r="N15">
        <v>0</v>
      </c>
      <c r="O15">
        <v>0</v>
      </c>
      <c r="P15">
        <v>5.0024349221207833</v>
      </c>
      <c r="Q15">
        <v>20.00973968848313</v>
      </c>
      <c r="R15">
        <v>3.8480268631698329</v>
      </c>
      <c r="S15">
        <v>5.1307024842264441</v>
      </c>
      <c r="T15">
        <v>46.176322358038</v>
      </c>
      <c r="U15">
        <v>156.8627400088273</v>
      </c>
      <c r="V15">
        <v>3.0270395152618841</v>
      </c>
      <c r="W15">
        <v>0.43982625435429079</v>
      </c>
      <c r="X15">
        <v>0</v>
      </c>
      <c r="Y15">
        <v>8.9787293473962766</v>
      </c>
      <c r="Z15">
        <v>0.8326791691626596</v>
      </c>
    </row>
    <row r="16" spans="1:26" x14ac:dyDescent="0.35">
      <c r="A16" s="1">
        <v>2036</v>
      </c>
      <c r="B16">
        <v>159.99999480900391</v>
      </c>
      <c r="C16">
        <v>63.999997923601548</v>
      </c>
      <c r="D16">
        <v>63.999997923601548</v>
      </c>
      <c r="E16">
        <v>31.99999896180077</v>
      </c>
      <c r="F16">
        <v>3.0875803055671218</v>
      </c>
      <c r="G16">
        <v>30.24482831117454</v>
      </c>
      <c r="H16">
        <v>32.147981144035803</v>
      </c>
      <c r="I16">
        <v>27.900258689071912</v>
      </c>
      <c r="J16">
        <v>25.698734649249229</v>
      </c>
      <c r="K16">
        <v>6.0996516972060029</v>
      </c>
      <c r="L16">
        <v>0.44862277944137657</v>
      </c>
      <c r="M16">
        <v>0</v>
      </c>
      <c r="N16">
        <v>0</v>
      </c>
      <c r="O16">
        <v>0</v>
      </c>
      <c r="P16">
        <v>5.1397469298498457</v>
      </c>
      <c r="Q16">
        <v>20.558987719399379</v>
      </c>
      <c r="R16">
        <v>3.9536514844998809</v>
      </c>
      <c r="S16">
        <v>5.2715353126665088</v>
      </c>
      <c r="T16">
        <v>47.443817813998578</v>
      </c>
      <c r="U16">
        <v>159.99999480900391</v>
      </c>
      <c r="V16">
        <v>3.0875803055671218</v>
      </c>
      <c r="W16">
        <v>0.44862277944137657</v>
      </c>
      <c r="X16">
        <v>0</v>
      </c>
      <c r="Y16">
        <v>9.2251867971663888</v>
      </c>
      <c r="Z16">
        <v>0.92191146372822486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6"/>
  <sheetViews>
    <sheetView workbookViewId="0">
      <selection activeCell="B2" sqref="B2:U16"/>
    </sheetView>
  </sheetViews>
  <sheetFormatPr defaultRowHeight="14.5" x14ac:dyDescent="0.35"/>
  <sheetData>
    <row r="1" spans="1:21" x14ac:dyDescent="0.3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</row>
    <row r="2" spans="1:21" x14ac:dyDescent="0.35">
      <c r="A2" s="1">
        <v>2022</v>
      </c>
      <c r="B2">
        <v>21.144903178778531</v>
      </c>
      <c r="C2">
        <v>21.144903178778531</v>
      </c>
      <c r="D2">
        <v>22.921800000000001</v>
      </c>
      <c r="E2">
        <v>22.921800000000001</v>
      </c>
      <c r="F2">
        <v>4.6227736799999999</v>
      </c>
      <c r="G2">
        <v>4.6227736799999999</v>
      </c>
      <c r="H2">
        <v>0</v>
      </c>
      <c r="I2">
        <v>0</v>
      </c>
      <c r="J2">
        <v>0</v>
      </c>
      <c r="K2">
        <v>0</v>
      </c>
      <c r="L2">
        <v>48.503999999999998</v>
      </c>
      <c r="M2">
        <v>48.503999999999998</v>
      </c>
      <c r="N2">
        <v>24.251999999999999</v>
      </c>
      <c r="O2">
        <v>24.251999999999999</v>
      </c>
      <c r="P2">
        <v>9.3249561096797605E-7</v>
      </c>
      <c r="Q2">
        <v>9.3249561096797605E-7</v>
      </c>
      <c r="R2">
        <v>1.2433274812906351E-6</v>
      </c>
      <c r="S2">
        <v>1.2433274812906351E-6</v>
      </c>
      <c r="T2">
        <v>1.3365770423874319E-5</v>
      </c>
      <c r="U2">
        <v>1.3365770423874319E-5</v>
      </c>
    </row>
    <row r="3" spans="1:21" x14ac:dyDescent="0.35">
      <c r="A3" s="1">
        <v>2023</v>
      </c>
      <c r="B3">
        <v>15.22418622577079</v>
      </c>
      <c r="C3">
        <v>36.369089404549321</v>
      </c>
      <c r="D3">
        <v>23.380236</v>
      </c>
      <c r="E3">
        <v>46.302036000000001</v>
      </c>
      <c r="F3">
        <v>4.7152291536000011</v>
      </c>
      <c r="G3">
        <v>9.3380028336000009</v>
      </c>
      <c r="H3">
        <v>0</v>
      </c>
      <c r="I3">
        <v>0</v>
      </c>
      <c r="J3">
        <v>0</v>
      </c>
      <c r="K3">
        <v>0</v>
      </c>
      <c r="L3">
        <v>49.474080000000001</v>
      </c>
      <c r="M3">
        <v>97.978080000000006</v>
      </c>
      <c r="N3">
        <v>24.73704</v>
      </c>
      <c r="O3">
        <v>48.989040000000003</v>
      </c>
      <c r="P3">
        <v>0.97594169492552074</v>
      </c>
      <c r="Q3">
        <v>0.97594262742113169</v>
      </c>
      <c r="R3">
        <v>1.301255630570096</v>
      </c>
      <c r="S3">
        <v>1.3012568738975769</v>
      </c>
      <c r="T3">
        <v>13.988498056630579</v>
      </c>
      <c r="U3">
        <v>13.988511422401</v>
      </c>
    </row>
    <row r="4" spans="1:21" x14ac:dyDescent="0.35">
      <c r="A4" s="1">
        <v>2024</v>
      </c>
      <c r="B4">
        <v>9.179506489444643</v>
      </c>
      <c r="C4">
        <v>45.548595893993962</v>
      </c>
      <c r="D4">
        <v>23.847840720000001</v>
      </c>
      <c r="E4">
        <v>70.149876720000009</v>
      </c>
      <c r="F4">
        <v>4.8095337366719999</v>
      </c>
      <c r="G4">
        <v>14.147536570272001</v>
      </c>
      <c r="H4">
        <v>0</v>
      </c>
      <c r="I4">
        <v>0</v>
      </c>
      <c r="J4">
        <v>0</v>
      </c>
      <c r="K4">
        <v>0</v>
      </c>
      <c r="L4">
        <v>50.463561599999998</v>
      </c>
      <c r="M4">
        <v>148.4416416</v>
      </c>
      <c r="N4">
        <v>25.231780799999999</v>
      </c>
      <c r="O4">
        <v>74.220820799999998</v>
      </c>
      <c r="P4">
        <v>1.9429482083239951</v>
      </c>
      <c r="Q4">
        <v>2.9188908357451262</v>
      </c>
      <c r="R4">
        <v>2.6296732479695102</v>
      </c>
      <c r="S4">
        <v>3.9309301218670871</v>
      </c>
      <c r="T4">
        <v>28.298294143325371</v>
      </c>
      <c r="U4">
        <v>42.286805565726382</v>
      </c>
    </row>
    <row r="5" spans="1:21" x14ac:dyDescent="0.35">
      <c r="A5" s="1">
        <v>2025</v>
      </c>
      <c r="B5">
        <v>9.2717419346788645</v>
      </c>
      <c r="C5">
        <v>54.820337828672827</v>
      </c>
      <c r="D5">
        <v>24.324797534399998</v>
      </c>
      <c r="E5">
        <v>94.474674254400014</v>
      </c>
      <c r="F5">
        <v>4.9057244114054397</v>
      </c>
      <c r="G5">
        <v>19.05326098167744</v>
      </c>
      <c r="H5">
        <v>0</v>
      </c>
      <c r="I5">
        <v>0</v>
      </c>
      <c r="J5">
        <v>0</v>
      </c>
      <c r="K5">
        <v>0</v>
      </c>
      <c r="L5">
        <v>51.472832832000002</v>
      </c>
      <c r="M5">
        <v>199.91447443199999</v>
      </c>
      <c r="N5">
        <v>25.736416416000001</v>
      </c>
      <c r="O5">
        <v>99.957237215999996</v>
      </c>
      <c r="P5">
        <v>1.938149109158541</v>
      </c>
      <c r="Q5">
        <v>4.8570399449036676</v>
      </c>
      <c r="R5">
        <v>2.701006135401653</v>
      </c>
      <c r="S5">
        <v>6.6319362572687401</v>
      </c>
      <c r="T5">
        <v>29.123421447960471</v>
      </c>
      <c r="U5">
        <v>71.410227013686836</v>
      </c>
    </row>
    <row r="6" spans="1:21" x14ac:dyDescent="0.35">
      <c r="A6" s="1">
        <v>2026</v>
      </c>
      <c r="B6">
        <v>8.8777115693350801</v>
      </c>
      <c r="C6">
        <v>63.69804939800791</v>
      </c>
      <c r="D6">
        <v>24.811293485088001</v>
      </c>
      <c r="E6">
        <v>119.285967739488</v>
      </c>
      <c r="F6">
        <v>5.003838899633549</v>
      </c>
      <c r="G6">
        <v>24.05709988131099</v>
      </c>
      <c r="H6">
        <v>0</v>
      </c>
      <c r="I6">
        <v>0</v>
      </c>
      <c r="J6">
        <v>0</v>
      </c>
      <c r="K6">
        <v>0</v>
      </c>
      <c r="L6">
        <v>52.502289488640002</v>
      </c>
      <c r="M6">
        <v>252.41676392063999</v>
      </c>
      <c r="N6">
        <v>26.251144744320001</v>
      </c>
      <c r="O6">
        <v>126.20838196032</v>
      </c>
      <c r="P6">
        <v>2.0097501823724682</v>
      </c>
      <c r="Q6">
        <v>6.8667901272761362</v>
      </c>
      <c r="R6">
        <v>2.8738909153481189</v>
      </c>
      <c r="S6">
        <v>9.5058271726168595</v>
      </c>
      <c r="T6">
        <v>31.039995344130901</v>
      </c>
      <c r="U6">
        <v>102.45022235781769</v>
      </c>
    </row>
    <row r="7" spans="1:21" x14ac:dyDescent="0.35">
      <c r="A7" s="1">
        <v>2027</v>
      </c>
      <c r="B7">
        <v>7.5911731980152961</v>
      </c>
      <c r="C7">
        <v>71.289222596023208</v>
      </c>
      <c r="D7">
        <v>25.307519354789761</v>
      </c>
      <c r="E7">
        <v>144.5934870942778</v>
      </c>
      <c r="F7">
        <v>5.1039156776262198</v>
      </c>
      <c r="G7">
        <v>29.161015558937208</v>
      </c>
      <c r="H7">
        <v>0</v>
      </c>
      <c r="I7">
        <v>0</v>
      </c>
      <c r="J7">
        <v>0</v>
      </c>
      <c r="K7">
        <v>0</v>
      </c>
      <c r="L7">
        <v>53.552335278412812</v>
      </c>
      <c r="M7">
        <v>305.96909919905278</v>
      </c>
      <c r="N7">
        <v>26.77616763920641</v>
      </c>
      <c r="O7">
        <v>152.98454959952639</v>
      </c>
      <c r="P7">
        <v>2.2179826975099668</v>
      </c>
      <c r="Q7">
        <v>9.0847728247861035</v>
      </c>
      <c r="R7">
        <v>3.231695421389746</v>
      </c>
      <c r="S7">
        <v>12.737522594006609</v>
      </c>
      <c r="T7">
        <v>34.946514648472103</v>
      </c>
      <c r="U7">
        <v>137.39673700628981</v>
      </c>
    </row>
    <row r="8" spans="1:21" x14ac:dyDescent="0.35">
      <c r="A8" s="1">
        <v>2028</v>
      </c>
      <c r="B8">
        <v>6.229506593837975</v>
      </c>
      <c r="C8">
        <v>77.518729189861176</v>
      </c>
      <c r="D8">
        <v>25.813669741885558</v>
      </c>
      <c r="E8">
        <v>170.4071568361633</v>
      </c>
      <c r="F8">
        <v>5.2059939911787456</v>
      </c>
      <c r="G8">
        <v>34.367009550115952</v>
      </c>
      <c r="H8">
        <v>0</v>
      </c>
      <c r="I8">
        <v>0</v>
      </c>
      <c r="J8">
        <v>0</v>
      </c>
      <c r="K8">
        <v>0</v>
      </c>
      <c r="L8">
        <v>54.623381983981062</v>
      </c>
      <c r="M8">
        <v>360.5924811830339</v>
      </c>
      <c r="N8">
        <v>27.311690991990531</v>
      </c>
      <c r="O8">
        <v>180.29624059151689</v>
      </c>
      <c r="P8">
        <v>2.4330238647602411</v>
      </c>
      <c r="Q8">
        <v>11.517796689546341</v>
      </c>
      <c r="R8">
        <v>3.606788830973978</v>
      </c>
      <c r="S8">
        <v>16.344311424980582</v>
      </c>
      <c r="T8">
        <v>39.045047691440502</v>
      </c>
      <c r="U8">
        <v>176.4417846977303</v>
      </c>
    </row>
    <row r="9" spans="1:21" x14ac:dyDescent="0.35">
      <c r="A9" s="1">
        <v>2029</v>
      </c>
      <c r="B9">
        <v>5.5930398853639929</v>
      </c>
      <c r="C9">
        <v>83.111769075225169</v>
      </c>
      <c r="D9">
        <v>26.329943136723269</v>
      </c>
      <c r="E9">
        <v>196.7370999728866</v>
      </c>
      <c r="F9">
        <v>5.3101138710023204</v>
      </c>
      <c r="G9">
        <v>39.677123421118267</v>
      </c>
      <c r="H9">
        <v>0</v>
      </c>
      <c r="I9">
        <v>0</v>
      </c>
      <c r="J9">
        <v>0</v>
      </c>
      <c r="K9">
        <v>0</v>
      </c>
      <c r="L9">
        <v>55.715849623660681</v>
      </c>
      <c r="M9">
        <v>416.30833080669458</v>
      </c>
      <c r="N9">
        <v>27.85792481183034</v>
      </c>
      <c r="O9">
        <v>208.15416540334729</v>
      </c>
      <c r="P9">
        <v>2.5315797240984019</v>
      </c>
      <c r="Q9">
        <v>14.049376413644749</v>
      </c>
      <c r="R9">
        <v>3.8350388312551469</v>
      </c>
      <c r="S9">
        <v>20.179350256235729</v>
      </c>
      <c r="T9">
        <v>41.57136683533578</v>
      </c>
      <c r="U9">
        <v>218.01315153306609</v>
      </c>
    </row>
    <row r="10" spans="1:21" x14ac:dyDescent="0.35">
      <c r="A10" s="1">
        <v>2030</v>
      </c>
      <c r="B10">
        <v>5.2259757348109552</v>
      </c>
      <c r="C10">
        <v>88.337744810036128</v>
      </c>
      <c r="D10">
        <v>26.856541999457729</v>
      </c>
      <c r="E10">
        <v>223.5936419723443</v>
      </c>
      <c r="F10">
        <v>5.4163161484223652</v>
      </c>
      <c r="G10">
        <v>45.093439569540642</v>
      </c>
      <c r="H10">
        <v>0</v>
      </c>
      <c r="I10">
        <v>0</v>
      </c>
      <c r="J10">
        <v>0</v>
      </c>
      <c r="K10">
        <v>0</v>
      </c>
      <c r="L10">
        <v>56.830166616133887</v>
      </c>
      <c r="M10">
        <v>473.13849742282849</v>
      </c>
      <c r="N10">
        <v>28.415083308066951</v>
      </c>
      <c r="O10">
        <v>236.56924871141419</v>
      </c>
      <c r="P10">
        <v>2.5873096712380508</v>
      </c>
      <c r="Q10">
        <v>16.6366860848828</v>
      </c>
      <c r="R10">
        <v>4.0099806229080066</v>
      </c>
      <c r="S10">
        <v>24.189330879143739</v>
      </c>
      <c r="T10">
        <v>43.527467492204039</v>
      </c>
      <c r="U10">
        <v>261.54061902527008</v>
      </c>
    </row>
    <row r="11" spans="1:21" x14ac:dyDescent="0.35">
      <c r="A11" s="1">
        <v>2031</v>
      </c>
      <c r="B11">
        <v>4.6910710306087404</v>
      </c>
      <c r="C11">
        <v>93.028815840644867</v>
      </c>
      <c r="D11">
        <v>27.393672839446889</v>
      </c>
      <c r="E11">
        <v>250.98731481179121</v>
      </c>
      <c r="F11">
        <v>5.5246424713908144</v>
      </c>
      <c r="G11">
        <v>50.618082040931448</v>
      </c>
      <c r="H11">
        <v>0</v>
      </c>
      <c r="I11">
        <v>0</v>
      </c>
      <c r="J11">
        <v>0</v>
      </c>
      <c r="K11">
        <v>0</v>
      </c>
      <c r="L11">
        <v>57.966769948456573</v>
      </c>
      <c r="M11">
        <v>531.10526737128509</v>
      </c>
      <c r="N11">
        <v>28.98338497422829</v>
      </c>
      <c r="O11">
        <v>265.55263368564249</v>
      </c>
      <c r="P11">
        <v>2.668801706839794</v>
      </c>
      <c r="Q11">
        <v>19.305487791722591</v>
      </c>
      <c r="R11">
        <v>4.2213441777043066</v>
      </c>
      <c r="S11">
        <v>28.410675056848039</v>
      </c>
      <c r="T11">
        <v>45.876656336759737</v>
      </c>
      <c r="U11">
        <v>307.4172753620299</v>
      </c>
    </row>
    <row r="12" spans="1:21" x14ac:dyDescent="0.35">
      <c r="A12" s="1">
        <v>2032</v>
      </c>
      <c r="B12">
        <v>3.9750684530571938</v>
      </c>
      <c r="C12">
        <v>97.003884293702058</v>
      </c>
      <c r="D12">
        <v>27.941546296235831</v>
      </c>
      <c r="E12">
        <v>278.92886110802698</v>
      </c>
      <c r="F12">
        <v>5.6351353208186303</v>
      </c>
      <c r="G12">
        <v>56.253217361750089</v>
      </c>
      <c r="H12">
        <v>0</v>
      </c>
      <c r="I12">
        <v>0</v>
      </c>
      <c r="J12">
        <v>0</v>
      </c>
      <c r="K12">
        <v>0</v>
      </c>
      <c r="L12">
        <v>59.1261053474257</v>
      </c>
      <c r="M12">
        <v>590.23137271871076</v>
      </c>
      <c r="N12">
        <v>29.56305267371285</v>
      </c>
      <c r="O12">
        <v>295.11568635935538</v>
      </c>
      <c r="P12">
        <v>2.7773541553396259</v>
      </c>
      <c r="Q12">
        <v>22.082841947062221</v>
      </c>
      <c r="R12">
        <v>4.4718888044714653</v>
      </c>
      <c r="S12">
        <v>32.882563861319511</v>
      </c>
      <c r="T12">
        <v>48.64936709608223</v>
      </c>
      <c r="U12">
        <v>356.06664245811209</v>
      </c>
    </row>
    <row r="13" spans="1:21" x14ac:dyDescent="0.35">
      <c r="A13" s="1">
        <v>2033</v>
      </c>
      <c r="B13">
        <v>3.2448773407451061</v>
      </c>
      <c r="C13">
        <v>100.24876163444721</v>
      </c>
      <c r="D13">
        <v>28.500377222160541</v>
      </c>
      <c r="E13">
        <v>307.42923833018762</v>
      </c>
      <c r="F13">
        <v>5.7478380272350034</v>
      </c>
      <c r="G13">
        <v>62.001055388985087</v>
      </c>
      <c r="H13">
        <v>0</v>
      </c>
      <c r="I13">
        <v>0</v>
      </c>
      <c r="J13">
        <v>0</v>
      </c>
      <c r="K13">
        <v>0</v>
      </c>
      <c r="L13">
        <v>60.308627454374218</v>
      </c>
      <c r="M13">
        <v>650.54000017308499</v>
      </c>
      <c r="N13">
        <v>30.154313727187109</v>
      </c>
      <c r="O13">
        <v>325.2700000865425</v>
      </c>
      <c r="P13">
        <v>2.8865102228442558</v>
      </c>
      <c r="Q13">
        <v>24.969352169906472</v>
      </c>
      <c r="R13">
        <v>4.7274173459707907</v>
      </c>
      <c r="S13">
        <v>37.609981207290303</v>
      </c>
      <c r="T13">
        <v>51.478789255819827</v>
      </c>
      <c r="U13">
        <v>407.54543171393198</v>
      </c>
    </row>
    <row r="14" spans="1:21" x14ac:dyDescent="0.35">
      <c r="A14" s="1">
        <v>2034</v>
      </c>
      <c r="B14">
        <v>2.6759254216603239</v>
      </c>
      <c r="C14">
        <v>102.9246870561075</v>
      </c>
      <c r="D14">
        <v>29.070384766603759</v>
      </c>
      <c r="E14">
        <v>336.49962309679131</v>
      </c>
      <c r="F14">
        <v>5.8627947877797029</v>
      </c>
      <c r="G14">
        <v>67.863850176764799</v>
      </c>
      <c r="H14">
        <v>0</v>
      </c>
      <c r="I14">
        <v>0</v>
      </c>
      <c r="J14">
        <v>0</v>
      </c>
      <c r="K14">
        <v>0</v>
      </c>
      <c r="L14">
        <v>61.514800003461687</v>
      </c>
      <c r="M14">
        <v>712.05480017654668</v>
      </c>
      <c r="N14">
        <v>30.757400001730851</v>
      </c>
      <c r="O14">
        <v>356.02740008827328</v>
      </c>
      <c r="P14">
        <v>2.9692989573803779</v>
      </c>
      <c r="Q14">
        <v>27.93865112728685</v>
      </c>
      <c r="R14">
        <v>4.9519860961516793</v>
      </c>
      <c r="S14">
        <v>42.561967303441982</v>
      </c>
      <c r="T14">
        <v>53.978541148363931</v>
      </c>
      <c r="U14">
        <v>461.52397286229592</v>
      </c>
    </row>
    <row r="15" spans="1:21" x14ac:dyDescent="0.35">
      <c r="A15" s="1">
        <v>2035</v>
      </c>
      <c r="B15">
        <v>2.3410201826038382</v>
      </c>
      <c r="C15">
        <v>105.2657072387113</v>
      </c>
      <c r="D15">
        <v>29.65179246193583</v>
      </c>
      <c r="E15">
        <v>366.15141555872708</v>
      </c>
      <c r="F15">
        <v>5.9800506835352971</v>
      </c>
      <c r="G15">
        <v>73.843900860300096</v>
      </c>
      <c r="H15">
        <v>0</v>
      </c>
      <c r="I15">
        <v>0</v>
      </c>
      <c r="J15">
        <v>0</v>
      </c>
      <c r="K15">
        <v>0</v>
      </c>
      <c r="L15">
        <v>62.745096003530932</v>
      </c>
      <c r="M15">
        <v>774.79989618007767</v>
      </c>
      <c r="N15">
        <v>31.37254800176547</v>
      </c>
      <c r="O15">
        <v>387.39994809003878</v>
      </c>
      <c r="P15">
        <v>3.0153476940071728</v>
      </c>
      <c r="Q15">
        <v>30.953998821294022</v>
      </c>
      <c r="R15">
        <v>5.1307024842264441</v>
      </c>
      <c r="S15">
        <v>47.692669787668429</v>
      </c>
      <c r="T15">
        <v>55.987730874596927</v>
      </c>
      <c r="U15">
        <v>517.51170373689285</v>
      </c>
    </row>
    <row r="16" spans="1:21" x14ac:dyDescent="0.35">
      <c r="A16" s="1">
        <v>2036</v>
      </c>
      <c r="B16">
        <v>2.201524039822679</v>
      </c>
      <c r="C16">
        <v>107.467231278534</v>
      </c>
      <c r="D16">
        <v>30.24482831117454</v>
      </c>
      <c r="E16">
        <v>396.3962438699017</v>
      </c>
      <c r="F16">
        <v>6.0996516972060029</v>
      </c>
      <c r="G16">
        <v>79.943552557506095</v>
      </c>
      <c r="H16">
        <v>0</v>
      </c>
      <c r="I16">
        <v>0</v>
      </c>
      <c r="J16">
        <v>0</v>
      </c>
      <c r="K16">
        <v>0</v>
      </c>
      <c r="L16">
        <v>63.999997923601548</v>
      </c>
      <c r="M16">
        <v>838.79989410367921</v>
      </c>
      <c r="N16">
        <v>31.99999896180077</v>
      </c>
      <c r="O16">
        <v>419.3999470518396</v>
      </c>
      <c r="P16">
        <v>3.0317400207716561</v>
      </c>
      <c r="Q16">
        <v>33.985738842065679</v>
      </c>
      <c r="R16">
        <v>5.2715353126665088</v>
      </c>
      <c r="S16">
        <v>52.964205100334937</v>
      </c>
      <c r="T16">
        <v>57.590916074893187</v>
      </c>
      <c r="U16">
        <v>575.1026198117861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6"/>
  <sheetViews>
    <sheetView workbookViewId="0">
      <selection activeCell="B2" sqref="B2:Z16"/>
    </sheetView>
  </sheetViews>
  <sheetFormatPr defaultRowHeight="14.5" x14ac:dyDescent="0.35"/>
  <sheetData>
    <row r="1" spans="1:26" x14ac:dyDescent="0.3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66</v>
      </c>
    </row>
    <row r="2" spans="1:26" x14ac:dyDescent="0.35">
      <c r="A2" s="1">
        <v>2022</v>
      </c>
      <c r="B2">
        <v>59.417399999999986</v>
      </c>
      <c r="C2">
        <v>23.766960000000001</v>
      </c>
      <c r="D2">
        <v>23.766960000000001</v>
      </c>
      <c r="E2">
        <v>11.88348</v>
      </c>
      <c r="F2">
        <v>1.1466000000000001</v>
      </c>
      <c r="G2">
        <v>6.1888860000000001</v>
      </c>
      <c r="H2">
        <v>9.2583777599999983</v>
      </c>
      <c r="I2">
        <v>8.457963696000002</v>
      </c>
      <c r="J2">
        <v>2.4244885885167379E-6</v>
      </c>
      <c r="K2">
        <v>1.7566539984</v>
      </c>
      <c r="L2">
        <v>0.1598</v>
      </c>
      <c r="M2">
        <v>0</v>
      </c>
      <c r="N2">
        <v>0</v>
      </c>
      <c r="O2">
        <v>0</v>
      </c>
      <c r="P2">
        <v>4.8489771770334766E-7</v>
      </c>
      <c r="Q2">
        <v>1.9395908708133911E-6</v>
      </c>
      <c r="R2">
        <v>8.8587083041957716E-7</v>
      </c>
      <c r="S2">
        <v>4.9733099251625395E-7</v>
      </c>
      <c r="T2">
        <v>1.063044996503493E-5</v>
      </c>
      <c r="U2">
        <v>59.417399999999986</v>
      </c>
      <c r="V2">
        <v>1.1466000000000001</v>
      </c>
      <c r="W2">
        <v>0.1598</v>
      </c>
      <c r="X2">
        <v>0</v>
      </c>
      <c r="Y2">
        <v>2.0670319376456801E-6</v>
      </c>
      <c r="Z2">
        <v>0</v>
      </c>
    </row>
    <row r="3" spans="1:26" x14ac:dyDescent="0.35">
      <c r="A3" s="1">
        <v>2023</v>
      </c>
      <c r="B3">
        <v>60.605747999999998</v>
      </c>
      <c r="C3">
        <v>24.242299200000001</v>
      </c>
      <c r="D3">
        <v>24.242299200000001</v>
      </c>
      <c r="E3">
        <v>12.121149600000001</v>
      </c>
      <c r="F3">
        <v>1.169532</v>
      </c>
      <c r="G3">
        <v>6.3126637200000024</v>
      </c>
      <c r="H3">
        <v>9.4435453152000015</v>
      </c>
      <c r="I3">
        <v>8.6271229699200038</v>
      </c>
      <c r="J3">
        <v>2.5374484796116872</v>
      </c>
      <c r="K3">
        <v>1.791787078368001</v>
      </c>
      <c r="L3">
        <v>0.162996</v>
      </c>
      <c r="M3">
        <v>0</v>
      </c>
      <c r="N3">
        <v>0</v>
      </c>
      <c r="O3">
        <v>0</v>
      </c>
      <c r="P3">
        <v>0.50748969592233728</v>
      </c>
      <c r="Q3">
        <v>2.0299587836893491</v>
      </c>
      <c r="R3">
        <v>0.92714463678119297</v>
      </c>
      <c r="S3">
        <v>0.52050225222803825</v>
      </c>
      <c r="T3">
        <v>11.12573564137432</v>
      </c>
      <c r="U3">
        <v>60.605747999999998</v>
      </c>
      <c r="V3">
        <v>1.169532</v>
      </c>
      <c r="W3">
        <v>0.162996</v>
      </c>
      <c r="X3">
        <v>0</v>
      </c>
      <c r="Y3">
        <v>2.1633374858227832</v>
      </c>
      <c r="Z3">
        <v>2.8002050789233121E-8</v>
      </c>
    </row>
    <row r="4" spans="1:26" x14ac:dyDescent="0.35">
      <c r="A4" s="1">
        <v>2024</v>
      </c>
      <c r="B4">
        <v>61.817862959999992</v>
      </c>
      <c r="C4">
        <v>24.727145184000001</v>
      </c>
      <c r="D4">
        <v>24.727145184000001</v>
      </c>
      <c r="E4">
        <v>12.363572592000001</v>
      </c>
      <c r="F4">
        <v>1.1929226399999999</v>
      </c>
      <c r="G4">
        <v>6.4389169944000013</v>
      </c>
      <c r="H4">
        <v>9.6324162215040001</v>
      </c>
      <c r="I4">
        <v>8.7996654293184022</v>
      </c>
      <c r="J4">
        <v>5.1278628335405454</v>
      </c>
      <c r="K4">
        <v>1.8276228199353599</v>
      </c>
      <c r="L4">
        <v>0.16625592</v>
      </c>
      <c r="M4">
        <v>0</v>
      </c>
      <c r="N4">
        <v>0</v>
      </c>
      <c r="O4">
        <v>0</v>
      </c>
      <c r="P4">
        <v>1.025572566708109</v>
      </c>
      <c r="Q4">
        <v>4.102290266832437</v>
      </c>
      <c r="R4">
        <v>1.873642189178276</v>
      </c>
      <c r="S4">
        <v>1.051869299187804</v>
      </c>
      <c r="T4">
        <v>22.483706270139312</v>
      </c>
      <c r="U4">
        <v>61.817862959999992</v>
      </c>
      <c r="V4">
        <v>1.1929226399999999</v>
      </c>
      <c r="W4">
        <v>0.16625592</v>
      </c>
      <c r="X4">
        <v>0</v>
      </c>
      <c r="Y4">
        <v>4.3718317747493103</v>
      </c>
      <c r="Z4">
        <v>2.9306727653138021E-2</v>
      </c>
    </row>
    <row r="5" spans="1:26" x14ac:dyDescent="0.35">
      <c r="A5" s="1">
        <v>2025</v>
      </c>
      <c r="B5">
        <v>63.054220219199998</v>
      </c>
      <c r="C5">
        <v>25.22168808768</v>
      </c>
      <c r="D5">
        <v>25.22168808768</v>
      </c>
      <c r="E5">
        <v>12.61084404384</v>
      </c>
      <c r="F5">
        <v>1.2167810928</v>
      </c>
      <c r="G5">
        <v>6.5676953342880013</v>
      </c>
      <c r="H5">
        <v>9.8250645459340813</v>
      </c>
      <c r="I5">
        <v>8.9756587379047694</v>
      </c>
      <c r="J5">
        <v>5.2669619640332241</v>
      </c>
      <c r="K5">
        <v>1.8641752763340671</v>
      </c>
      <c r="L5">
        <v>0.16958103839999999</v>
      </c>
      <c r="M5">
        <v>0</v>
      </c>
      <c r="N5">
        <v>0</v>
      </c>
      <c r="O5">
        <v>0</v>
      </c>
      <c r="P5">
        <v>1.0533923928066451</v>
      </c>
      <c r="Q5">
        <v>4.2135695712265786</v>
      </c>
      <c r="R5">
        <v>1.924466871473677</v>
      </c>
      <c r="S5">
        <v>1.0804024541606609</v>
      </c>
      <c r="T5">
        <v>23.093602457684131</v>
      </c>
      <c r="U5">
        <v>63.054220219199998</v>
      </c>
      <c r="V5">
        <v>1.2167810928</v>
      </c>
      <c r="W5">
        <v>0.16958103839999999</v>
      </c>
      <c r="X5">
        <v>0</v>
      </c>
      <c r="Y5">
        <v>4.4904227001052472</v>
      </c>
      <c r="Z5">
        <v>8.7605492392698103E-2</v>
      </c>
    </row>
    <row r="6" spans="1:26" x14ac:dyDescent="0.35">
      <c r="A6" s="1">
        <v>2026</v>
      </c>
      <c r="B6">
        <v>64.315304623583998</v>
      </c>
      <c r="C6">
        <v>25.7261218494336</v>
      </c>
      <c r="D6">
        <v>25.7261218494336</v>
      </c>
      <c r="E6">
        <v>12.8630609247168</v>
      </c>
      <c r="F6">
        <v>1.241116714656</v>
      </c>
      <c r="G6">
        <v>6.6990492409737614</v>
      </c>
      <c r="H6">
        <v>10.02156583685276</v>
      </c>
      <c r="I6">
        <v>9.1551719126628655</v>
      </c>
      <c r="J6">
        <v>5.6040872849288323</v>
      </c>
      <c r="K6">
        <v>1.9014587818607489</v>
      </c>
      <c r="L6">
        <v>0.172972659168</v>
      </c>
      <c r="M6">
        <v>0</v>
      </c>
      <c r="N6">
        <v>0</v>
      </c>
      <c r="O6">
        <v>0</v>
      </c>
      <c r="P6">
        <v>1.120817456985767</v>
      </c>
      <c r="Q6">
        <v>4.4832698279430661</v>
      </c>
      <c r="R6">
        <v>2.047647277185535</v>
      </c>
      <c r="S6">
        <v>1.1495563661392481</v>
      </c>
      <c r="T6">
        <v>24.571767326226421</v>
      </c>
      <c r="U6">
        <v>64.315304623583998</v>
      </c>
      <c r="V6">
        <v>1.241116714656</v>
      </c>
      <c r="W6">
        <v>0.172972659168</v>
      </c>
      <c r="X6">
        <v>0</v>
      </c>
      <c r="Y6">
        <v>4.7778436467662484</v>
      </c>
      <c r="Z6">
        <v>0.14566800413862069</v>
      </c>
    </row>
    <row r="7" spans="1:26" x14ac:dyDescent="0.35">
      <c r="A7" s="1">
        <v>2027</v>
      </c>
      <c r="B7">
        <v>65.601610716055688</v>
      </c>
      <c r="C7">
        <v>26.24064428642227</v>
      </c>
      <c r="D7">
        <v>26.24064428642227</v>
      </c>
      <c r="E7">
        <v>13.120322143211141</v>
      </c>
      <c r="F7">
        <v>1.26593904894912</v>
      </c>
      <c r="G7">
        <v>6.8330302257932356</v>
      </c>
      <c r="H7">
        <v>10.22199715358982</v>
      </c>
      <c r="I7">
        <v>9.3382753509161223</v>
      </c>
      <c r="J7">
        <v>6.3018060717100042</v>
      </c>
      <c r="K7">
        <v>1.939487957497964</v>
      </c>
      <c r="L7">
        <v>0.17643211235136</v>
      </c>
      <c r="M7">
        <v>0</v>
      </c>
      <c r="N7">
        <v>0</v>
      </c>
      <c r="O7">
        <v>0</v>
      </c>
      <c r="P7">
        <v>1.2603612143420011</v>
      </c>
      <c r="Q7">
        <v>5.0414448573680044</v>
      </c>
      <c r="R7">
        <v>2.3025829877401929</v>
      </c>
      <c r="S7">
        <v>1.2926781685558979</v>
      </c>
      <c r="T7">
        <v>27.630995852882322</v>
      </c>
      <c r="U7">
        <v>65.601610716055688</v>
      </c>
      <c r="V7">
        <v>1.26593904894912</v>
      </c>
      <c r="W7">
        <v>0.17643211235136</v>
      </c>
      <c r="X7">
        <v>0</v>
      </c>
      <c r="Y7">
        <v>5.3726936380604506</v>
      </c>
      <c r="Z7">
        <v>0.20578886853234171</v>
      </c>
    </row>
    <row r="8" spans="1:26" x14ac:dyDescent="0.35">
      <c r="A8" s="1">
        <v>2028</v>
      </c>
      <c r="B8">
        <v>66.913642930376795</v>
      </c>
      <c r="C8">
        <v>26.765457172150722</v>
      </c>
      <c r="D8">
        <v>26.765457172150722</v>
      </c>
      <c r="E8">
        <v>13.382728586075361</v>
      </c>
      <c r="F8">
        <v>1.2912578299281019</v>
      </c>
      <c r="G8">
        <v>6.9696908303091014</v>
      </c>
      <c r="H8">
        <v>10.42643709666161</v>
      </c>
      <c r="I8">
        <v>9.5250408579344477</v>
      </c>
      <c r="J8">
        <v>7.0332382203992569</v>
      </c>
      <c r="K8">
        <v>1.9782777166479231</v>
      </c>
      <c r="L8">
        <v>0.1799607545983872</v>
      </c>
      <c r="M8">
        <v>0</v>
      </c>
      <c r="N8">
        <v>0</v>
      </c>
      <c r="O8">
        <v>0</v>
      </c>
      <c r="P8">
        <v>1.406647644079851</v>
      </c>
      <c r="Q8">
        <v>5.6265905763194057</v>
      </c>
      <c r="R8">
        <v>2.5698370420689578</v>
      </c>
      <c r="S8">
        <v>1.442715532389591</v>
      </c>
      <c r="T8">
        <v>30.838044504827501</v>
      </c>
      <c r="U8">
        <v>66.913642930376795</v>
      </c>
      <c r="V8">
        <v>1.2912578299281019</v>
      </c>
      <c r="W8">
        <v>0.1799607545983872</v>
      </c>
      <c r="X8">
        <v>0</v>
      </c>
      <c r="Y8">
        <v>5.9962864314942363</v>
      </c>
      <c r="Z8">
        <v>0.27206775847024162</v>
      </c>
    </row>
    <row r="9" spans="1:26" x14ac:dyDescent="0.35">
      <c r="A9" s="1">
        <v>2029</v>
      </c>
      <c r="B9">
        <v>68.251915788984334</v>
      </c>
      <c r="C9">
        <v>27.30076631559373</v>
      </c>
      <c r="D9">
        <v>27.30076631559373</v>
      </c>
      <c r="E9">
        <v>13.65038315779687</v>
      </c>
      <c r="F9">
        <v>1.317082986526664</v>
      </c>
      <c r="G9">
        <v>7.1090846469152833</v>
      </c>
      <c r="H9">
        <v>10.63496583859485</v>
      </c>
      <c r="I9">
        <v>9.7155416750931352</v>
      </c>
      <c r="J9">
        <v>7.4783257209475371</v>
      </c>
      <c r="K9">
        <v>2.0178432709808818</v>
      </c>
      <c r="L9">
        <v>0.18355996969035501</v>
      </c>
      <c r="M9">
        <v>0</v>
      </c>
      <c r="N9">
        <v>0</v>
      </c>
      <c r="O9">
        <v>0</v>
      </c>
      <c r="P9">
        <v>1.495665144189507</v>
      </c>
      <c r="Q9">
        <v>5.9826605767580299</v>
      </c>
      <c r="R9">
        <v>2.7324651672692921</v>
      </c>
      <c r="S9">
        <v>1.534015532502059</v>
      </c>
      <c r="T9">
        <v>32.789582007231502</v>
      </c>
      <c r="U9">
        <v>68.251915788984334</v>
      </c>
      <c r="V9">
        <v>1.317082986526664</v>
      </c>
      <c r="W9">
        <v>0.18355996969035501</v>
      </c>
      <c r="X9">
        <v>0</v>
      </c>
      <c r="Y9">
        <v>6.3757520569616801</v>
      </c>
      <c r="Z9">
        <v>0.34469939934295812</v>
      </c>
    </row>
    <row r="10" spans="1:26" x14ac:dyDescent="0.35">
      <c r="A10" s="1">
        <v>2030</v>
      </c>
      <c r="B10">
        <v>69.616954104764019</v>
      </c>
      <c r="C10">
        <v>27.846781641905611</v>
      </c>
      <c r="D10">
        <v>27.846781641905611</v>
      </c>
      <c r="E10">
        <v>13.9233908209528</v>
      </c>
      <c r="F10">
        <v>1.3434246462571979</v>
      </c>
      <c r="G10">
        <v>7.2512663398535881</v>
      </c>
      <c r="H10">
        <v>10.847665155366739</v>
      </c>
      <c r="I10">
        <v>9.909852508594998</v>
      </c>
      <c r="J10">
        <v>7.8194622146706152</v>
      </c>
      <c r="K10">
        <v>2.0582001364004991</v>
      </c>
      <c r="L10">
        <v>0.1872311690841621</v>
      </c>
      <c r="M10">
        <v>0</v>
      </c>
      <c r="N10">
        <v>0</v>
      </c>
      <c r="O10">
        <v>0</v>
      </c>
      <c r="P10">
        <v>1.563892442934123</v>
      </c>
      <c r="Q10">
        <v>6.2555697717364929</v>
      </c>
      <c r="R10">
        <v>2.8571111938219551</v>
      </c>
      <c r="S10">
        <v>1.603992249163203</v>
      </c>
      <c r="T10">
        <v>34.285334325863467</v>
      </c>
      <c r="U10">
        <v>69.616954104764019</v>
      </c>
      <c r="V10">
        <v>1.3434246462571979</v>
      </c>
      <c r="W10">
        <v>0.1872311690841621</v>
      </c>
      <c r="X10">
        <v>0</v>
      </c>
      <c r="Y10">
        <v>6.6665927855845606</v>
      </c>
      <c r="Z10">
        <v>0.42017579594295418</v>
      </c>
    </row>
    <row r="11" spans="1:26" x14ac:dyDescent="0.35">
      <c r="A11" s="1">
        <v>2031</v>
      </c>
      <c r="B11">
        <v>71.009293186859296</v>
      </c>
      <c r="C11">
        <v>28.40371727474372</v>
      </c>
      <c r="D11">
        <v>28.40371727474372</v>
      </c>
      <c r="E11">
        <v>14.20185863737186</v>
      </c>
      <c r="F11">
        <v>1.3702931391823421</v>
      </c>
      <c r="G11">
        <v>7.3962916666506624</v>
      </c>
      <c r="H11">
        <v>11.064618458474079</v>
      </c>
      <c r="I11">
        <v>10.108049558766901</v>
      </c>
      <c r="J11">
        <v>8.2316211465234002</v>
      </c>
      <c r="K11">
        <v>2.0993641391285092</v>
      </c>
      <c r="L11">
        <v>0.19097579246584531</v>
      </c>
      <c r="M11">
        <v>0</v>
      </c>
      <c r="N11">
        <v>0</v>
      </c>
      <c r="O11">
        <v>0</v>
      </c>
      <c r="P11">
        <v>1.64632422930468</v>
      </c>
      <c r="Q11">
        <v>6.5852969172187201</v>
      </c>
      <c r="R11">
        <v>3.0077077266143188</v>
      </c>
      <c r="S11">
        <v>1.688537671081723</v>
      </c>
      <c r="T11">
        <v>36.092492719371833</v>
      </c>
      <c r="U11">
        <v>71.009293186859296</v>
      </c>
      <c r="V11">
        <v>1.3702931391823421</v>
      </c>
      <c r="W11">
        <v>0.19097579246584531</v>
      </c>
      <c r="X11">
        <v>0</v>
      </c>
      <c r="Y11">
        <v>7.0179846954334106</v>
      </c>
      <c r="Z11">
        <v>0.49720642643843682</v>
      </c>
    </row>
    <row r="12" spans="1:26" x14ac:dyDescent="0.35">
      <c r="A12" s="1">
        <v>2032</v>
      </c>
      <c r="B12">
        <v>72.429479050596484</v>
      </c>
      <c r="C12">
        <v>28.971791620238591</v>
      </c>
      <c r="D12">
        <v>28.971791620238591</v>
      </c>
      <c r="E12">
        <v>14.485895810119301</v>
      </c>
      <c r="F12">
        <v>1.397699001965989</v>
      </c>
      <c r="G12">
        <v>7.5442174999836737</v>
      </c>
      <c r="H12">
        <v>11.28591082764356</v>
      </c>
      <c r="I12">
        <v>10.310210549942241</v>
      </c>
      <c r="J12">
        <v>8.7201831687193589</v>
      </c>
      <c r="K12">
        <v>2.1413514219110801</v>
      </c>
      <c r="L12">
        <v>0.1947953083151622</v>
      </c>
      <c r="M12">
        <v>0</v>
      </c>
      <c r="N12">
        <v>0</v>
      </c>
      <c r="O12">
        <v>0</v>
      </c>
      <c r="P12">
        <v>1.744036633743872</v>
      </c>
      <c r="Q12">
        <v>6.976146534975487</v>
      </c>
      <c r="R12">
        <v>3.1862207731859189</v>
      </c>
      <c r="S12">
        <v>1.788755521788586</v>
      </c>
      <c r="T12">
        <v>38.234649278231032</v>
      </c>
      <c r="U12">
        <v>72.429479050596484</v>
      </c>
      <c r="V12">
        <v>1.397699001965989</v>
      </c>
      <c r="W12">
        <v>0.1947953083151622</v>
      </c>
      <c r="X12">
        <v>0</v>
      </c>
      <c r="Y12">
        <v>7.4345151374338103</v>
      </c>
      <c r="Z12">
        <v>0.57656244801397305</v>
      </c>
    </row>
    <row r="13" spans="1:26" x14ac:dyDescent="0.35">
      <c r="A13" s="1">
        <v>2033</v>
      </c>
      <c r="B13">
        <v>73.878068631608414</v>
      </c>
      <c r="C13">
        <v>29.55122745264336</v>
      </c>
      <c r="D13">
        <v>29.55122745264336</v>
      </c>
      <c r="E13">
        <v>14.77561372632168</v>
      </c>
      <c r="F13">
        <v>1.425652982005309</v>
      </c>
      <c r="G13">
        <v>7.6951018499833479</v>
      </c>
      <c r="H13">
        <v>11.511629044196431</v>
      </c>
      <c r="I13">
        <v>10.51641476094108</v>
      </c>
      <c r="J13">
        <v>9.2184638246430417</v>
      </c>
      <c r="K13">
        <v>2.184178450349302</v>
      </c>
      <c r="L13">
        <v>0.19869121448146551</v>
      </c>
      <c r="M13">
        <v>0</v>
      </c>
      <c r="N13">
        <v>0</v>
      </c>
      <c r="O13">
        <v>0</v>
      </c>
      <c r="P13">
        <v>1.843692764928609</v>
      </c>
      <c r="Q13">
        <v>7.3747710597144343</v>
      </c>
      <c r="R13">
        <v>3.3682848590041878</v>
      </c>
      <c r="S13">
        <v>1.8909669383883161</v>
      </c>
      <c r="T13">
        <v>40.419418308050247</v>
      </c>
      <c r="U13">
        <v>73.878068631608414</v>
      </c>
      <c r="V13">
        <v>1.425652982005309</v>
      </c>
      <c r="W13">
        <v>0.19869121448146551</v>
      </c>
      <c r="X13">
        <v>0</v>
      </c>
      <c r="Y13">
        <v>7.8593313376764389</v>
      </c>
      <c r="Z13">
        <v>0.65905278663383626</v>
      </c>
    </row>
    <row r="14" spans="1:26" x14ac:dyDescent="0.35">
      <c r="A14" s="1">
        <v>2034</v>
      </c>
      <c r="B14">
        <v>75.355630004240581</v>
      </c>
      <c r="C14">
        <v>30.142252001696232</v>
      </c>
      <c r="D14">
        <v>30.142252001696232</v>
      </c>
      <c r="E14">
        <v>15.07112600084811</v>
      </c>
      <c r="F14">
        <v>1.454166041645415</v>
      </c>
      <c r="G14">
        <v>7.8490038869830148</v>
      </c>
      <c r="H14">
        <v>11.741861625080359</v>
      </c>
      <c r="I14">
        <v>10.726743056159901</v>
      </c>
      <c r="J14">
        <v>9.6563728874957757</v>
      </c>
      <c r="K14">
        <v>2.2278620193562868</v>
      </c>
      <c r="L14">
        <v>0.20266503877109479</v>
      </c>
      <c r="M14">
        <v>0</v>
      </c>
      <c r="N14">
        <v>0</v>
      </c>
      <c r="O14">
        <v>0</v>
      </c>
      <c r="P14">
        <v>1.9312745774991551</v>
      </c>
      <c r="Q14">
        <v>7.7250983099966204</v>
      </c>
      <c r="R14">
        <v>3.5282900935080712</v>
      </c>
      <c r="S14">
        <v>1.9807944384606719</v>
      </c>
      <c r="T14">
        <v>42.339481122096863</v>
      </c>
      <c r="U14">
        <v>75.355630004240581</v>
      </c>
      <c r="V14">
        <v>1.454166041645415</v>
      </c>
      <c r="W14">
        <v>0.20266503877109479</v>
      </c>
      <c r="X14">
        <v>0</v>
      </c>
      <c r="Y14">
        <v>8.2326768848521645</v>
      </c>
      <c r="Z14">
        <v>0.74469061473338138</v>
      </c>
    </row>
    <row r="15" spans="1:26" x14ac:dyDescent="0.35">
      <c r="A15" s="1">
        <v>2035</v>
      </c>
      <c r="B15">
        <v>76.862742604325376</v>
      </c>
      <c r="C15">
        <v>30.745097041730151</v>
      </c>
      <c r="D15">
        <v>30.745097041730151</v>
      </c>
      <c r="E15">
        <v>15.372548520865079</v>
      </c>
      <c r="F15">
        <v>1.483249362478323</v>
      </c>
      <c r="G15">
        <v>8.0059839647226756</v>
      </c>
      <c r="H15">
        <v>11.976698857581971</v>
      </c>
      <c r="I15">
        <v>10.941277917283101</v>
      </c>
      <c r="J15">
        <v>10.00486984424157</v>
      </c>
      <c r="K15">
        <v>2.2724192597434132</v>
      </c>
      <c r="L15">
        <v>0.20671833954651661</v>
      </c>
      <c r="M15">
        <v>0</v>
      </c>
      <c r="N15">
        <v>0</v>
      </c>
      <c r="O15">
        <v>0</v>
      </c>
      <c r="P15">
        <v>2.0009739688483141</v>
      </c>
      <c r="Q15">
        <v>8.0038958753932548</v>
      </c>
      <c r="R15">
        <v>3.6556255200113408</v>
      </c>
      <c r="S15">
        <v>2.0522809936905779</v>
      </c>
      <c r="T15">
        <v>43.867506240136088</v>
      </c>
      <c r="U15">
        <v>76.862742604325376</v>
      </c>
      <c r="V15">
        <v>1.483249362478323</v>
      </c>
      <c r="W15">
        <v>0.20671833954651661</v>
      </c>
      <c r="X15">
        <v>0</v>
      </c>
      <c r="Y15">
        <v>8.5297928800264629</v>
      </c>
      <c r="Z15">
        <v>0.8326791691626596</v>
      </c>
    </row>
    <row r="16" spans="1:26" x14ac:dyDescent="0.35">
      <c r="A16" s="1">
        <v>2036</v>
      </c>
      <c r="B16">
        <v>78.399997456411896</v>
      </c>
      <c r="C16">
        <v>31.359998982564761</v>
      </c>
      <c r="D16">
        <v>31.359998982564761</v>
      </c>
      <c r="E16">
        <v>15.679999491282381</v>
      </c>
      <c r="F16">
        <v>1.5129143497278901</v>
      </c>
      <c r="G16">
        <v>8.1661036440171273</v>
      </c>
      <c r="H16">
        <v>12.21623283473361</v>
      </c>
      <c r="I16">
        <v>11.160103475628761</v>
      </c>
      <c r="J16">
        <v>10.27949385969969</v>
      </c>
      <c r="K16">
        <v>2.317867644938282</v>
      </c>
      <c r="L16">
        <v>0.21085270633744699</v>
      </c>
      <c r="M16">
        <v>0</v>
      </c>
      <c r="N16">
        <v>0</v>
      </c>
      <c r="O16">
        <v>0</v>
      </c>
      <c r="P16">
        <v>2.0558987719399391</v>
      </c>
      <c r="Q16">
        <v>8.2235950877597546</v>
      </c>
      <c r="R16">
        <v>3.7559689102748872</v>
      </c>
      <c r="S16">
        <v>2.108614125066604</v>
      </c>
      <c r="T16">
        <v>45.071626923298638</v>
      </c>
      <c r="U16">
        <v>78.399997456411896</v>
      </c>
      <c r="V16">
        <v>1.5129143497278901</v>
      </c>
      <c r="W16">
        <v>0.21085270633744699</v>
      </c>
      <c r="X16">
        <v>0</v>
      </c>
      <c r="Y16">
        <v>8.7639274573080694</v>
      </c>
      <c r="Z16">
        <v>0.92191146372822486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6"/>
  <sheetViews>
    <sheetView workbookViewId="0">
      <selection activeCell="B2" sqref="B2:U16"/>
    </sheetView>
  </sheetViews>
  <sheetFormatPr defaultRowHeight="14.5" x14ac:dyDescent="0.35"/>
  <sheetData>
    <row r="1" spans="1:21" x14ac:dyDescent="0.3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</row>
    <row r="2" spans="1:21" x14ac:dyDescent="0.35">
      <c r="A2" s="1">
        <v>2022</v>
      </c>
      <c r="B2">
        <v>8.4579612715114134</v>
      </c>
      <c r="C2">
        <v>8.4579612715114134</v>
      </c>
      <c r="D2">
        <v>6.1888860000000001</v>
      </c>
      <c r="E2">
        <v>6.1888860000000001</v>
      </c>
      <c r="F2">
        <v>1.7566539984</v>
      </c>
      <c r="G2">
        <v>1.7566539984</v>
      </c>
      <c r="H2">
        <v>0</v>
      </c>
      <c r="I2">
        <v>0</v>
      </c>
      <c r="J2">
        <v>0</v>
      </c>
      <c r="K2">
        <v>0</v>
      </c>
      <c r="L2">
        <v>23.766960000000001</v>
      </c>
      <c r="M2">
        <v>23.766960000000001</v>
      </c>
      <c r="N2">
        <v>11.88348</v>
      </c>
      <c r="O2">
        <v>11.88348</v>
      </c>
      <c r="P2">
        <v>8.8587083041957716E-7</v>
      </c>
      <c r="Q2">
        <v>8.8587083041957716E-7</v>
      </c>
      <c r="R2">
        <v>4.9733099251625395E-7</v>
      </c>
      <c r="S2">
        <v>4.9733099251625395E-7</v>
      </c>
      <c r="T2">
        <v>1.2697481902680609E-5</v>
      </c>
      <c r="U2">
        <v>1.2697481902680609E-5</v>
      </c>
    </row>
    <row r="3" spans="1:21" x14ac:dyDescent="0.35">
      <c r="A3" s="1">
        <v>2023</v>
      </c>
      <c r="B3">
        <v>6.0896744903083171</v>
      </c>
      <c r="C3">
        <v>14.547635761819731</v>
      </c>
      <c r="D3">
        <v>6.3126637200000024</v>
      </c>
      <c r="E3">
        <v>12.50154972</v>
      </c>
      <c r="F3">
        <v>1.791787078368001</v>
      </c>
      <c r="G3">
        <v>3.5484410767679999</v>
      </c>
      <c r="H3">
        <v>0</v>
      </c>
      <c r="I3">
        <v>0</v>
      </c>
      <c r="J3">
        <v>0</v>
      </c>
      <c r="K3">
        <v>0</v>
      </c>
      <c r="L3">
        <v>24.242299200000001</v>
      </c>
      <c r="M3">
        <v>48.009259200000002</v>
      </c>
      <c r="N3">
        <v>12.121149600000001</v>
      </c>
      <c r="O3">
        <v>24.004629600000001</v>
      </c>
      <c r="P3">
        <v>0.92714460877914218</v>
      </c>
      <c r="Q3">
        <v>0.92714549464997265</v>
      </c>
      <c r="R3">
        <v>0.52050225222803825</v>
      </c>
      <c r="S3">
        <v>0.52050274955903075</v>
      </c>
      <c r="T3">
        <v>13.28907315519915</v>
      </c>
      <c r="U3">
        <v>13.289085852681049</v>
      </c>
    </row>
    <row r="4" spans="1:21" x14ac:dyDescent="0.35">
      <c r="A4" s="1">
        <v>2024</v>
      </c>
      <c r="B4">
        <v>3.6718025957778568</v>
      </c>
      <c r="C4">
        <v>18.219438357597589</v>
      </c>
      <c r="D4">
        <v>6.4389169944000013</v>
      </c>
      <c r="E4">
        <v>18.940466714399999</v>
      </c>
      <c r="F4">
        <v>1.8276228199353599</v>
      </c>
      <c r="G4">
        <v>5.3760638967033607</v>
      </c>
      <c r="H4">
        <v>0</v>
      </c>
      <c r="I4">
        <v>0</v>
      </c>
      <c r="J4">
        <v>0</v>
      </c>
      <c r="K4">
        <v>0</v>
      </c>
      <c r="L4">
        <v>24.727145184000001</v>
      </c>
      <c r="M4">
        <v>72.736404383999997</v>
      </c>
      <c r="N4">
        <v>12.363572592000001</v>
      </c>
      <c r="O4">
        <v>36.368202191999998</v>
      </c>
      <c r="P4">
        <v>1.8443354615251379</v>
      </c>
      <c r="Q4">
        <v>2.771480956175111</v>
      </c>
      <c r="R4">
        <v>1.051869299187804</v>
      </c>
      <c r="S4">
        <v>1.5723720487468349</v>
      </c>
      <c r="T4">
        <v>26.884844772541761</v>
      </c>
      <c r="U4">
        <v>40.173930625222823</v>
      </c>
    </row>
    <row r="5" spans="1:21" x14ac:dyDescent="0.35">
      <c r="A5" s="1">
        <v>2025</v>
      </c>
      <c r="B5">
        <v>3.7086967738715448</v>
      </c>
      <c r="C5">
        <v>21.92813513146913</v>
      </c>
      <c r="D5">
        <v>6.5676953342880013</v>
      </c>
      <c r="E5">
        <v>25.508162048688</v>
      </c>
      <c r="F5">
        <v>1.8641752763340671</v>
      </c>
      <c r="G5">
        <v>7.2402391730374278</v>
      </c>
      <c r="H5">
        <v>0</v>
      </c>
      <c r="I5">
        <v>0</v>
      </c>
      <c r="J5">
        <v>0</v>
      </c>
      <c r="K5">
        <v>0</v>
      </c>
      <c r="L5">
        <v>25.22168808768</v>
      </c>
      <c r="M5">
        <v>97.958092471680004</v>
      </c>
      <c r="N5">
        <v>12.61084404384</v>
      </c>
      <c r="O5">
        <v>48.979046235840002</v>
      </c>
      <c r="P5">
        <v>1.8368613790809789</v>
      </c>
      <c r="Q5">
        <v>4.6083423352560899</v>
      </c>
      <c r="R5">
        <v>1.0804024541606609</v>
      </c>
      <c r="S5">
        <v>2.6527745029074961</v>
      </c>
      <c r="T5">
        <v>27.67163065018207</v>
      </c>
      <c r="U5">
        <v>67.84556127540489</v>
      </c>
    </row>
    <row r="6" spans="1:21" x14ac:dyDescent="0.35">
      <c r="A6" s="1">
        <v>2026</v>
      </c>
      <c r="B6">
        <v>3.5510846277340331</v>
      </c>
      <c r="C6">
        <v>25.479219759203168</v>
      </c>
      <c r="D6">
        <v>6.6990492409737614</v>
      </c>
      <c r="E6">
        <v>32.207211289661757</v>
      </c>
      <c r="F6">
        <v>1.9014587818607489</v>
      </c>
      <c r="G6">
        <v>9.1416979548981772</v>
      </c>
      <c r="H6">
        <v>0</v>
      </c>
      <c r="I6">
        <v>0</v>
      </c>
      <c r="J6">
        <v>0</v>
      </c>
      <c r="K6">
        <v>0</v>
      </c>
      <c r="L6">
        <v>25.7261218494336</v>
      </c>
      <c r="M6">
        <v>123.6842143211136</v>
      </c>
      <c r="N6">
        <v>12.8630609247168</v>
      </c>
      <c r="O6">
        <v>61.8421071605568</v>
      </c>
      <c r="P6">
        <v>1.9019792730469141</v>
      </c>
      <c r="Q6">
        <v>6.5103216083030038</v>
      </c>
      <c r="R6">
        <v>1.1495563661392481</v>
      </c>
      <c r="S6">
        <v>3.802330869046743</v>
      </c>
      <c r="T6">
        <v>29.495278977131289</v>
      </c>
      <c r="U6">
        <v>97.340840252536168</v>
      </c>
    </row>
    <row r="7" spans="1:21" x14ac:dyDescent="0.35">
      <c r="A7" s="1">
        <v>2027</v>
      </c>
      <c r="B7">
        <v>3.0364692792061181</v>
      </c>
      <c r="C7">
        <v>28.515689038409281</v>
      </c>
      <c r="D7">
        <v>6.8330302257932356</v>
      </c>
      <c r="E7">
        <v>39.040241515455001</v>
      </c>
      <c r="F7">
        <v>1.939487957497964</v>
      </c>
      <c r="G7">
        <v>11.08118591239614</v>
      </c>
      <c r="H7">
        <v>0</v>
      </c>
      <c r="I7">
        <v>0</v>
      </c>
      <c r="J7">
        <v>0</v>
      </c>
      <c r="K7">
        <v>0</v>
      </c>
      <c r="L7">
        <v>26.24064428642227</v>
      </c>
      <c r="M7">
        <v>149.9248586075359</v>
      </c>
      <c r="N7">
        <v>13.120322143211141</v>
      </c>
      <c r="O7">
        <v>74.962429303767934</v>
      </c>
      <c r="P7">
        <v>2.0967941192078521</v>
      </c>
      <c r="Q7">
        <v>8.6071157275108554</v>
      </c>
      <c r="R7">
        <v>1.2926781685558979</v>
      </c>
      <c r="S7">
        <v>5.095009037602642</v>
      </c>
      <c r="T7">
        <v>33.209478359475114</v>
      </c>
      <c r="U7">
        <v>130.5503186120113</v>
      </c>
    </row>
    <row r="8" spans="1:21" x14ac:dyDescent="0.35">
      <c r="A8" s="1">
        <v>2028</v>
      </c>
      <c r="B8">
        <v>2.4918026375351912</v>
      </c>
      <c r="C8">
        <v>31.007491675944479</v>
      </c>
      <c r="D8">
        <v>6.9696908303091014</v>
      </c>
      <c r="E8">
        <v>46.009932345764099</v>
      </c>
      <c r="F8">
        <v>1.9782777166479231</v>
      </c>
      <c r="G8">
        <v>13.05946362904406</v>
      </c>
      <c r="H8">
        <v>0</v>
      </c>
      <c r="I8">
        <v>0</v>
      </c>
      <c r="J8">
        <v>0</v>
      </c>
      <c r="K8">
        <v>0</v>
      </c>
      <c r="L8">
        <v>26.765457172150722</v>
      </c>
      <c r="M8">
        <v>176.69031577968661</v>
      </c>
      <c r="N8">
        <v>13.382728586075361</v>
      </c>
      <c r="O8">
        <v>88.345157889843293</v>
      </c>
      <c r="P8">
        <v>2.2977692835987171</v>
      </c>
      <c r="Q8">
        <v>10.90488501110957</v>
      </c>
      <c r="R8">
        <v>1.442715532389591</v>
      </c>
      <c r="S8">
        <v>6.5377245699922328</v>
      </c>
      <c r="T8">
        <v>37.106398694791977</v>
      </c>
      <c r="U8">
        <v>167.65671730680319</v>
      </c>
    </row>
    <row r="9" spans="1:21" x14ac:dyDescent="0.35">
      <c r="A9" s="1">
        <v>2029</v>
      </c>
      <c r="B9">
        <v>2.237215954145598</v>
      </c>
      <c r="C9">
        <v>33.244707630090083</v>
      </c>
      <c r="D9">
        <v>7.1090846469152833</v>
      </c>
      <c r="E9">
        <v>53.119016992679377</v>
      </c>
      <c r="F9">
        <v>2.0178432709808818</v>
      </c>
      <c r="G9">
        <v>15.077306900024951</v>
      </c>
      <c r="H9">
        <v>0</v>
      </c>
      <c r="I9">
        <v>0</v>
      </c>
      <c r="J9">
        <v>0</v>
      </c>
      <c r="K9">
        <v>0</v>
      </c>
      <c r="L9">
        <v>27.30076631559373</v>
      </c>
      <c r="M9">
        <v>203.99108209528029</v>
      </c>
      <c r="N9">
        <v>13.65038315779687</v>
      </c>
      <c r="O9">
        <v>101.9955410476402</v>
      </c>
      <c r="P9">
        <v>2.387765767926334</v>
      </c>
      <c r="Q9">
        <v>13.29265077903591</v>
      </c>
      <c r="R9">
        <v>1.534015532502059</v>
      </c>
      <c r="S9">
        <v>8.0717401024942923</v>
      </c>
      <c r="T9">
        <v>39.510033463536139</v>
      </c>
      <c r="U9">
        <v>207.16675077033941</v>
      </c>
    </row>
    <row r="10" spans="1:21" x14ac:dyDescent="0.35">
      <c r="A10" s="1">
        <v>2030</v>
      </c>
      <c r="B10">
        <v>2.0903902939243828</v>
      </c>
      <c r="C10">
        <v>35.335097924014462</v>
      </c>
      <c r="D10">
        <v>7.2512663398535881</v>
      </c>
      <c r="E10">
        <v>60.370283332532971</v>
      </c>
      <c r="F10">
        <v>2.0582001364004991</v>
      </c>
      <c r="G10">
        <v>17.135507036425441</v>
      </c>
      <c r="H10">
        <v>0</v>
      </c>
      <c r="I10">
        <v>0</v>
      </c>
      <c r="J10">
        <v>0</v>
      </c>
      <c r="K10">
        <v>0</v>
      </c>
      <c r="L10">
        <v>27.846781641905611</v>
      </c>
      <c r="M10">
        <v>231.8378637371859</v>
      </c>
      <c r="N10">
        <v>13.9233908209528</v>
      </c>
      <c r="O10">
        <v>115.91893186859301</v>
      </c>
      <c r="P10">
        <v>2.4369353978790009</v>
      </c>
      <c r="Q10">
        <v>15.729586176914911</v>
      </c>
      <c r="R10">
        <v>1.603992249163203</v>
      </c>
      <c r="S10">
        <v>9.675732351657496</v>
      </c>
      <c r="T10">
        <v>41.372102907390982</v>
      </c>
      <c r="U10">
        <v>248.53885367773029</v>
      </c>
    </row>
    <row r="11" spans="1:21" x14ac:dyDescent="0.35">
      <c r="A11" s="1">
        <v>2031</v>
      </c>
      <c r="B11">
        <v>1.8764284122434971</v>
      </c>
      <c r="C11">
        <v>37.211526336257961</v>
      </c>
      <c r="D11">
        <v>7.3962916666506624</v>
      </c>
      <c r="E11">
        <v>67.766574999183632</v>
      </c>
      <c r="F11">
        <v>2.0993641391285092</v>
      </c>
      <c r="G11">
        <v>19.234871175553959</v>
      </c>
      <c r="H11">
        <v>0</v>
      </c>
      <c r="I11">
        <v>0</v>
      </c>
      <c r="J11">
        <v>0</v>
      </c>
      <c r="K11">
        <v>0</v>
      </c>
      <c r="L11">
        <v>28.40371727474372</v>
      </c>
      <c r="M11">
        <v>260.24158101192972</v>
      </c>
      <c r="N11">
        <v>14.20185863737186</v>
      </c>
      <c r="O11">
        <v>130.12079050596481</v>
      </c>
      <c r="P11">
        <v>2.510501300175882</v>
      </c>
      <c r="Q11">
        <v>18.240087477090789</v>
      </c>
      <c r="R11">
        <v>1.688537671081723</v>
      </c>
      <c r="S11">
        <v>11.36427002273922</v>
      </c>
      <c r="T11">
        <v>43.607683841243677</v>
      </c>
      <c r="U11">
        <v>292.14653751897401</v>
      </c>
    </row>
    <row r="12" spans="1:21" x14ac:dyDescent="0.35">
      <c r="A12" s="1">
        <v>2032</v>
      </c>
      <c r="B12">
        <v>1.590027381222876</v>
      </c>
      <c r="C12">
        <v>38.801553717480843</v>
      </c>
      <c r="D12">
        <v>7.5442174999836737</v>
      </c>
      <c r="E12">
        <v>75.310792499167306</v>
      </c>
      <c r="F12">
        <v>2.1413514219110801</v>
      </c>
      <c r="G12">
        <v>21.376222597465031</v>
      </c>
      <c r="H12">
        <v>0</v>
      </c>
      <c r="I12">
        <v>0</v>
      </c>
      <c r="J12">
        <v>0</v>
      </c>
      <c r="K12">
        <v>0</v>
      </c>
      <c r="L12">
        <v>28.971791620238591</v>
      </c>
      <c r="M12">
        <v>289.21337263216827</v>
      </c>
      <c r="N12">
        <v>14.485895810119301</v>
      </c>
      <c r="O12">
        <v>144.60668631608411</v>
      </c>
      <c r="P12">
        <v>2.6096583251719458</v>
      </c>
      <c r="Q12">
        <v>20.849745802262731</v>
      </c>
      <c r="R12">
        <v>1.788755521788586</v>
      </c>
      <c r="S12">
        <v>13.153025544527811</v>
      </c>
      <c r="T12">
        <v>46.245726863678819</v>
      </c>
      <c r="U12">
        <v>338.39226438265291</v>
      </c>
    </row>
    <row r="13" spans="1:21" x14ac:dyDescent="0.35">
      <c r="A13" s="1">
        <v>2033</v>
      </c>
      <c r="B13">
        <v>1.2979509362980419</v>
      </c>
      <c r="C13">
        <v>40.09950465377888</v>
      </c>
      <c r="D13">
        <v>7.6951018499833479</v>
      </c>
      <c r="E13">
        <v>83.005894349150651</v>
      </c>
      <c r="F13">
        <v>2.184178450349302</v>
      </c>
      <c r="G13">
        <v>23.560401047814331</v>
      </c>
      <c r="H13">
        <v>0</v>
      </c>
      <c r="I13">
        <v>0</v>
      </c>
      <c r="J13">
        <v>0</v>
      </c>
      <c r="K13">
        <v>0</v>
      </c>
      <c r="L13">
        <v>29.55122745264336</v>
      </c>
      <c r="M13">
        <v>318.76460008481172</v>
      </c>
      <c r="N13">
        <v>14.77561372632168</v>
      </c>
      <c r="O13">
        <v>159.3823000424058</v>
      </c>
      <c r="P13">
        <v>2.709232072370352</v>
      </c>
      <c r="Q13">
        <v>23.55897787463309</v>
      </c>
      <c r="R13">
        <v>1.8909669383883161</v>
      </c>
      <c r="S13">
        <v>15.043992482916121</v>
      </c>
      <c r="T13">
        <v>48.937802432360527</v>
      </c>
      <c r="U13">
        <v>387.33006681501342</v>
      </c>
    </row>
    <row r="14" spans="1:21" x14ac:dyDescent="0.35">
      <c r="A14" s="1">
        <v>2034</v>
      </c>
      <c r="B14">
        <v>1.070370168664128</v>
      </c>
      <c r="C14">
        <v>41.169874822443013</v>
      </c>
      <c r="D14">
        <v>7.8490038869830148</v>
      </c>
      <c r="E14">
        <v>90.854898236133664</v>
      </c>
      <c r="F14">
        <v>2.2278620193562868</v>
      </c>
      <c r="G14">
        <v>25.788263067170622</v>
      </c>
      <c r="H14">
        <v>0</v>
      </c>
      <c r="I14">
        <v>0</v>
      </c>
      <c r="J14">
        <v>0</v>
      </c>
      <c r="K14">
        <v>0</v>
      </c>
      <c r="L14">
        <v>30.142252001696232</v>
      </c>
      <c r="M14">
        <v>348.90685208650791</v>
      </c>
      <c r="N14">
        <v>15.07112600084811</v>
      </c>
      <c r="O14">
        <v>174.45342604325401</v>
      </c>
      <c r="P14">
        <v>2.7835994787746898</v>
      </c>
      <c r="Q14">
        <v>26.34257735340778</v>
      </c>
      <c r="R14">
        <v>1.9807944384606719</v>
      </c>
      <c r="S14">
        <v>17.024786921376791</v>
      </c>
      <c r="T14">
        <v>51.316848621682396</v>
      </c>
      <c r="U14">
        <v>438.64691543669568</v>
      </c>
    </row>
    <row r="15" spans="1:21" x14ac:dyDescent="0.35">
      <c r="A15" s="1">
        <v>2035</v>
      </c>
      <c r="B15">
        <v>0.93640807304153562</v>
      </c>
      <c r="C15">
        <v>42.10628289548454</v>
      </c>
      <c r="D15">
        <v>8.0059839647226756</v>
      </c>
      <c r="E15">
        <v>98.860882200856338</v>
      </c>
      <c r="F15">
        <v>2.2724192597434132</v>
      </c>
      <c r="G15">
        <v>28.06068232691403</v>
      </c>
      <c r="H15">
        <v>0</v>
      </c>
      <c r="I15">
        <v>0</v>
      </c>
      <c r="J15">
        <v>0</v>
      </c>
      <c r="K15">
        <v>0</v>
      </c>
      <c r="L15">
        <v>30.745097041730151</v>
      </c>
      <c r="M15">
        <v>379.65194912823807</v>
      </c>
      <c r="N15">
        <v>15.372548520865079</v>
      </c>
      <c r="O15">
        <v>189.82597456411901</v>
      </c>
      <c r="P15">
        <v>2.8229463508486821</v>
      </c>
      <c r="Q15">
        <v>29.165523704256461</v>
      </c>
      <c r="R15">
        <v>2.0522809936905779</v>
      </c>
      <c r="S15">
        <v>19.077067915067371</v>
      </c>
      <c r="T15">
        <v>53.229978289325217</v>
      </c>
      <c r="U15">
        <v>491.87689372602102</v>
      </c>
    </row>
    <row r="16" spans="1:21" x14ac:dyDescent="0.35">
      <c r="A16" s="1">
        <v>2036</v>
      </c>
      <c r="B16">
        <v>0.88060961592907105</v>
      </c>
      <c r="C16">
        <v>42.986892511413608</v>
      </c>
      <c r="D16">
        <v>8.1661036440171273</v>
      </c>
      <c r="E16">
        <v>107.02698584487349</v>
      </c>
      <c r="F16">
        <v>2.317867644938282</v>
      </c>
      <c r="G16">
        <v>30.378549971852319</v>
      </c>
      <c r="H16">
        <v>0</v>
      </c>
      <c r="I16">
        <v>0</v>
      </c>
      <c r="J16">
        <v>0</v>
      </c>
      <c r="K16">
        <v>0</v>
      </c>
      <c r="L16">
        <v>31.359998982564761</v>
      </c>
      <c r="M16">
        <v>411.01194811080279</v>
      </c>
      <c r="N16">
        <v>15.679999491282381</v>
      </c>
      <c r="O16">
        <v>205.5059740554014</v>
      </c>
      <c r="P16">
        <v>2.8340574465466619</v>
      </c>
      <c r="Q16">
        <v>31.99958115080312</v>
      </c>
      <c r="R16">
        <v>2.108614125066604</v>
      </c>
      <c r="S16">
        <v>21.18568204013398</v>
      </c>
      <c r="T16">
        <v>54.757465844334938</v>
      </c>
      <c r="U16">
        <v>546.63435957035585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Mass_balance_material</vt:lpstr>
      <vt:lpstr>Mass_balance_WC</vt:lpstr>
      <vt:lpstr>Mass_balance_DM</vt:lpstr>
      <vt:lpstr>Mass_balance_CC</vt:lpstr>
      <vt:lpstr>python_balance_error_comparison</vt:lpstr>
      <vt:lpstr>FlowDict_material</vt:lpstr>
      <vt:lpstr>StockDict_material</vt:lpstr>
      <vt:lpstr>FlowDict_WC</vt:lpstr>
      <vt:lpstr>StockDict_WC</vt:lpstr>
      <vt:lpstr>FlowDict_DM</vt:lpstr>
      <vt:lpstr>StockDict_DM</vt:lpstr>
      <vt:lpstr>FlowDict_CC</vt:lpstr>
      <vt:lpstr>StockDict_CC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TU-Pseudonym 9055540188463204</cp:lastModifiedBy>
  <dcterms:created xsi:type="dcterms:W3CDTF">2025-02-24T10:04:24Z</dcterms:created>
  <dcterms:modified xsi:type="dcterms:W3CDTF">2025-03-11T15:58:38Z</dcterms:modified>
</cp:coreProperties>
</file>