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Lukas\Desktop\"/>
    </mc:Choice>
  </mc:AlternateContent>
  <xr:revisionPtr revIDLastSave="0" documentId="13_ncr:1_{3854100E-15F0-4F7E-9B0C-EC30B1834D83}" xr6:coauthVersionLast="47" xr6:coauthVersionMax="47" xr10:uidLastSave="{00000000-0000-0000-0000-000000000000}"/>
  <bookViews>
    <workbookView xWindow="28680" yWindow="-120" windowWidth="25440" windowHeight="15540" tabRatio="840" firstSheet="2" activeTab="6" xr2:uid="{00000000-000D-0000-FFFF-FFFF00000000}"/>
  </bookViews>
  <sheets>
    <sheet name="Intro" sheetId="1" r:id="rId1"/>
    <sheet name="dynamic stock model" sheetId="32" r:id="rId2"/>
    <sheet name="survival functions" sheetId="33" r:id="rId3"/>
    <sheet name="Solution_material" sheetId="27" r:id="rId4"/>
    <sheet name="Solution_WC" sheetId="28" r:id="rId5"/>
    <sheet name="Solution_DM" sheetId="29" r:id="rId6"/>
    <sheet name="Solution_CC" sheetId="30" r:id="rId7"/>
    <sheet name="mineralization" sheetId="31" r:id="rId8"/>
    <sheet name="Version_20.02." sheetId="26" r:id="rId9"/>
    <sheet name="1_Flows&gt;&gt;&gt;&gt;" sheetId="11" r:id="rId10"/>
    <sheet name="1_1_Definition_Flows" sheetId="15" r:id="rId11"/>
    <sheet name="1_2_Data_Flows" sheetId="2" r:id="rId12"/>
    <sheet name="2. Processes&gt;&gt;&gt;&gt;" sheetId="12" r:id="rId13"/>
    <sheet name="2_1_Definition_Processes" sheetId="16" r:id="rId14"/>
    <sheet name="2_3_Process_TCs" sheetId="22" r:id="rId15"/>
    <sheet name="2_4_Process_Stock_" sheetId="21" r:id="rId16"/>
    <sheet name="3. Calculation_factors&gt;&gt;&gt;&gt;" sheetId="13" r:id="rId17"/>
    <sheet name="3_1_Calculation_factors (Waste)" sheetId="5" r:id="rId18"/>
    <sheet name="3_1_Calculation_factors (Wood)" sheetId="6" r:id="rId19"/>
    <sheet name="4. Codelists&gt;&gt;&gt;&gt;" sheetId="3" r:id="rId20"/>
    <sheet name="4_1 Codelists" sheetId="17" r:id="rId21"/>
    <sheet name="5. Wastefiles &gt;&gt;&gt;&gt;" sheetId="14" r:id="rId22"/>
    <sheet name="2_2_Process_Data" sheetId="18" r:id="rId23"/>
    <sheet name="Data_Processes" sheetId="8" r:id="rId24"/>
    <sheet name="1_2_WC_DM_CC_Flows" sheetId="25" r:id="rId25"/>
    <sheet name="Data_Processes_TCs" sheetId="7" r:id="rId26"/>
    <sheet name="2_3_Process_TC" sheetId="19" r:id="rId27"/>
    <sheet name="Tabelle2" sheetId="9" r:id="rId28"/>
    <sheet name="Tabelle3" sheetId="10" r:id="rId29"/>
    <sheet name="Data_Processes_Stocks" sheetId="4" r:id="rId30"/>
  </sheets>
  <externalReferences>
    <externalReference r:id="rId31"/>
    <externalReference r:id="rId32"/>
  </externalReferences>
  <definedNames>
    <definedName name="Baumart_" localSheetId="18">[1]!Baumart[Baumart]</definedName>
    <definedName name="Baumart_">[2]!Baumart[Baumart]</definedName>
    <definedName name="Cluster_" localSheetId="18">[1]!Cluster[Cluster]</definedName>
    <definedName name="Cluster_">[2]!Cluster[Cluster]</definedName>
    <definedName name="einheit" localSheetId="18">[1]!Tabelle14[Einheit]</definedName>
    <definedName name="einheit">[2]!Tabelle14[Einheit]</definedName>
    <definedName name="Erhebungsart_" localSheetId="18">[1]!Erhebungsart[Erhebungsart]</definedName>
    <definedName name="Erhebungsart_">[2]!Erhebungsart[Erhebungsart]</definedName>
    <definedName name="Herkunft_" localSheetId="18">[1]!Herkunft[Herkunft]</definedName>
    <definedName name="Herkunft_">[2]!Herkunft[Herkunft]</definedName>
    <definedName name="Holzstrom_" localSheetId="18">[1]!Holzstrom[Holzstrom]</definedName>
    <definedName name="Holzstrom_">[2]!Holzstrom[Holzstrom]</definedName>
    <definedName name="In_Out_" localSheetId="18">[1]!Tabelleinput[In/Out]</definedName>
    <definedName name="In_Out_">[2]!Tabelleinput[In/Out]</definedName>
    <definedName name="Inhaltsverzeichnis">"MTRANS(ERSETZEN(Inhalt;1;FINDEN(""]"";Inhalt);""))"</definedName>
    <definedName name="Klassifizierung" localSheetId="18">[1]!Tabelle9[Klassifizierung]</definedName>
    <definedName name="Klassifizierung">[2]!Tabelle9[Klassifizierung]</definedName>
    <definedName name="Ort_" localSheetId="18">[1]!Ort[Ort]</definedName>
    <definedName name="Ort_">[2]!Ort[Ort]</definedName>
    <definedName name="Ziel_" localSheetId="18">[1]!Ziel[Ziel]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29" l="1" a="1"/>
  <c r="C25" i="29" l="1"/>
  <c r="R37" i="27"/>
  <c r="R38" i="27"/>
  <c r="D38" i="27"/>
  <c r="E38" i="27" s="1"/>
  <c r="F38" i="27" s="1"/>
  <c r="G38" i="27" s="1"/>
  <c r="H38" i="27" s="1"/>
  <c r="I38" i="27" s="1"/>
  <c r="J38" i="27" s="1"/>
  <c r="K38" i="27" s="1"/>
  <c r="L38" i="27" s="1"/>
  <c r="M38" i="27" s="1"/>
  <c r="N38" i="27" s="1"/>
  <c r="O38" i="27" s="1"/>
  <c r="P38" i="27" s="1"/>
  <c r="C38" i="27"/>
  <c r="B38" i="27"/>
  <c r="C37" i="27"/>
  <c r="D37" i="27"/>
  <c r="E37" i="27"/>
  <c r="F37" i="27"/>
  <c r="G37" i="27"/>
  <c r="H37" i="27"/>
  <c r="I37" i="27"/>
  <c r="J37" i="27"/>
  <c r="K37" i="27"/>
  <c r="L37" i="27"/>
  <c r="M37" i="27"/>
  <c r="N37" i="27"/>
  <c r="O37" i="27"/>
  <c r="P37" i="27"/>
  <c r="B37" i="27"/>
  <c r="B2" i="27"/>
  <c r="C2" i="27" s="1"/>
  <c r="B6" i="27"/>
  <c r="C6" i="27" s="1"/>
  <c r="D6" i="27" s="1"/>
  <c r="E6" i="27" s="1"/>
  <c r="F6" i="27" s="1"/>
  <c r="G6" i="27" s="1"/>
  <c r="H6" i="27" s="1"/>
  <c r="I6" i="27" s="1"/>
  <c r="J6" i="27" s="1"/>
  <c r="K6" i="27" s="1"/>
  <c r="L6" i="27" s="1"/>
  <c r="M6" i="27" s="1"/>
  <c r="N6" i="27" s="1"/>
  <c r="O6" i="27" s="1"/>
  <c r="P6" i="27" s="1"/>
  <c r="B12" i="27"/>
  <c r="C12" i="27" s="1"/>
  <c r="D12" i="27" s="1"/>
  <c r="E12" i="27" s="1"/>
  <c r="F12" i="27" s="1"/>
  <c r="G12" i="27" s="1"/>
  <c r="H12" i="27" s="1"/>
  <c r="I12" i="27" s="1"/>
  <c r="J12" i="27" s="1"/>
  <c r="K12" i="27" s="1"/>
  <c r="L12" i="27" s="1"/>
  <c r="M12" i="27" s="1"/>
  <c r="N12" i="27" s="1"/>
  <c r="O12" i="27" s="1"/>
  <c r="P12" i="27" s="1"/>
  <c r="B13" i="27"/>
  <c r="C13" i="27" s="1"/>
  <c r="B21" i="27"/>
  <c r="C21" i="27" s="1"/>
  <c r="D21" i="27" s="1"/>
  <c r="E21" i="27" s="1"/>
  <c r="F21" i="27" s="1"/>
  <c r="G21" i="27" s="1"/>
  <c r="H21" i="27" s="1"/>
  <c r="I21" i="27" s="1"/>
  <c r="J21" i="27" s="1"/>
  <c r="K21" i="27" s="1"/>
  <c r="L21" i="27" s="1"/>
  <c r="M21" i="27" s="1"/>
  <c r="N21" i="27" s="1"/>
  <c r="O21" i="27" s="1"/>
  <c r="P21" i="27" s="1"/>
  <c r="B22" i="27"/>
  <c r="C22" i="27" s="1"/>
  <c r="D22" i="27" s="1"/>
  <c r="E22" i="27" s="1"/>
  <c r="F22" i="27" s="1"/>
  <c r="G22" i="27" s="1"/>
  <c r="H22" i="27" s="1"/>
  <c r="I22" i="27" s="1"/>
  <c r="J22" i="27" s="1"/>
  <c r="K22" i="27" s="1"/>
  <c r="L22" i="27" s="1"/>
  <c r="M22" i="27" s="1"/>
  <c r="N22" i="27" s="1"/>
  <c r="O22" i="27" s="1"/>
  <c r="P22" i="27" s="1"/>
  <c r="B23" i="27"/>
  <c r="C23" i="27"/>
  <c r="D23" i="27" s="1"/>
  <c r="E23" i="27" s="1"/>
  <c r="F23" i="27" s="1"/>
  <c r="G23" i="27" s="1"/>
  <c r="H23" i="27" s="1"/>
  <c r="I23" i="27" s="1"/>
  <c r="J23" i="27" s="1"/>
  <c r="K23" i="27" s="1"/>
  <c r="L23" i="27" s="1"/>
  <c r="M23" i="27" s="1"/>
  <c r="N23" i="27" s="1"/>
  <c r="O23" i="27" s="1"/>
  <c r="P23" i="27" s="1"/>
  <c r="B24" i="27"/>
  <c r="C24" i="27" s="1"/>
  <c r="D24" i="27" s="1"/>
  <c r="E24" i="27" s="1"/>
  <c r="F24" i="27" s="1"/>
  <c r="G24" i="27" s="1"/>
  <c r="H24" i="27" s="1"/>
  <c r="I24" i="27" s="1"/>
  <c r="J24" i="27" s="1"/>
  <c r="K24" i="27" s="1"/>
  <c r="L24" i="27" s="1"/>
  <c r="M24" i="27" s="1"/>
  <c r="N24" i="27" s="1"/>
  <c r="O24" i="27" s="1"/>
  <c r="P24" i="27" s="1"/>
  <c r="X26" i="15"/>
  <c r="X2" i="15"/>
  <c r="X25" i="15"/>
  <c r="B2" i="30" a="1"/>
  <c r="B22" i="28" a="1"/>
  <c r="B22" i="29" a="1"/>
  <c r="C24" i="29" a="1"/>
  <c r="B21" i="28" a="1"/>
  <c r="B6" i="29" a="1"/>
  <c r="C23" i="28" a="1"/>
  <c r="B23" i="28" a="1"/>
  <c r="B13" i="29" a="1"/>
  <c r="B21" i="29" a="1"/>
  <c r="B2" i="29" a="1"/>
  <c r="B13" i="28" a="1"/>
  <c r="B2" i="28" a="1"/>
  <c r="B12" i="29" a="1"/>
  <c r="B12" i="28" a="1"/>
  <c r="C24" i="28" a="1"/>
  <c r="D24" i="28" a="1"/>
  <c r="C12" i="28" a="1"/>
  <c r="B6" i="28" a="1"/>
  <c r="B4" i="27" l="1"/>
  <c r="B8" i="27" s="1"/>
  <c r="B9" i="27" s="1"/>
  <c r="B3" i="27"/>
  <c r="B14" i="27"/>
  <c r="D13" i="27"/>
  <c r="E13" i="27" s="1"/>
  <c r="F13" i="27" s="1"/>
  <c r="G13" i="27" s="1"/>
  <c r="H13" i="27" s="1"/>
  <c r="I13" i="27" s="1"/>
  <c r="J13" i="27" s="1"/>
  <c r="K13" i="27" s="1"/>
  <c r="L13" i="27" s="1"/>
  <c r="M13" i="27" s="1"/>
  <c r="N13" i="27" s="1"/>
  <c r="O13" i="27" s="1"/>
  <c r="P13" i="27" s="1"/>
  <c r="C4" i="27"/>
  <c r="C3" i="27"/>
  <c r="D2" i="27"/>
  <c r="B5" i="27"/>
  <c r="B7" i="27"/>
  <c r="B2" i="30"/>
  <c r="C24" i="29"/>
  <c r="B21" i="29"/>
  <c r="B22" i="29"/>
  <c r="B12" i="29"/>
  <c r="B13" i="29"/>
  <c r="B6" i="29"/>
  <c r="B2" i="29"/>
  <c r="D24" i="28"/>
  <c r="C24" i="28"/>
  <c r="C23" i="28"/>
  <c r="C12" i="28"/>
  <c r="B22" i="28"/>
  <c r="B12" i="28"/>
  <c r="B6" i="28"/>
  <c r="B23" i="28"/>
  <c r="B21" i="28"/>
  <c r="B13" i="28"/>
  <c r="B2" i="28"/>
  <c r="X24" i="15"/>
  <c r="X23" i="15"/>
  <c r="X22" i="15"/>
  <c r="X21" i="15"/>
  <c r="X3" i="15"/>
  <c r="X4" i="15"/>
  <c r="X5" i="15"/>
  <c r="X6" i="15"/>
  <c r="X7" i="15"/>
  <c r="X8" i="15"/>
  <c r="X9" i="15"/>
  <c r="X10" i="15"/>
  <c r="X11" i="15"/>
  <c r="X12" i="15"/>
  <c r="X13" i="15"/>
  <c r="X14" i="15"/>
  <c r="X15" i="15"/>
  <c r="X16" i="15"/>
  <c r="X17" i="15"/>
  <c r="X18" i="15"/>
  <c r="X19" i="15"/>
  <c r="X20" i="15"/>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2" i="2"/>
  <c r="B24" i="28" a="1"/>
  <c r="B23" i="29" a="1"/>
  <c r="C12" i="29" a="1"/>
  <c r="D24" i="30" a="1"/>
  <c r="B24" i="30" a="1"/>
  <c r="B12" i="30" a="1"/>
  <c r="B24" i="29" a="1"/>
  <c r="D24" i="29" a="1"/>
  <c r="B6" i="30" a="1"/>
  <c r="B23" i="30" a="1"/>
  <c r="C12" i="30" a="1"/>
  <c r="B22" i="30" a="1"/>
  <c r="B13" i="30" a="1"/>
  <c r="B21" i="30" a="1"/>
  <c r="C24" i="30" a="1"/>
  <c r="C23" i="30" a="1"/>
  <c r="C23" i="29" a="1"/>
  <c r="B15" i="27" l="1"/>
  <c r="B11" i="27"/>
  <c r="C5" i="27"/>
  <c r="C8" i="27"/>
  <c r="C7" i="27"/>
  <c r="D4" i="27"/>
  <c r="D3" i="27"/>
  <c r="E2" i="27"/>
  <c r="B24" i="29"/>
  <c r="B23" i="29"/>
  <c r="B24" i="28"/>
  <c r="B43" i="27"/>
  <c r="B12" i="30"/>
  <c r="B23" i="30"/>
  <c r="C23" i="30"/>
  <c r="C24" i="30"/>
  <c r="B24" i="30"/>
  <c r="C12" i="30"/>
  <c r="B6" i="30"/>
  <c r="B21" i="30"/>
  <c r="D24" i="30"/>
  <c r="B13" i="30"/>
  <c r="B22" i="30"/>
  <c r="D24" i="29"/>
  <c r="C12" i="29"/>
  <c r="C23" i="29"/>
  <c r="B41" i="27"/>
  <c r="D6" i="22"/>
  <c r="C3" i="16"/>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K26" i="15" s="1"/>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A6" i="2"/>
  <c r="AA7" i="2"/>
  <c r="AA8" i="2"/>
  <c r="AA9"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K2" i="2"/>
  <c r="AK3" i="2"/>
  <c r="AK4" i="2"/>
  <c r="AK5" i="2"/>
  <c r="AK6" i="2"/>
  <c r="AK7" i="2"/>
  <c r="AK8" i="2"/>
  <c r="AK9" i="2"/>
  <c r="AK10" i="2"/>
  <c r="AK11" i="2"/>
  <c r="AK12" i="2"/>
  <c r="AK13" i="2"/>
  <c r="AK14" i="2"/>
  <c r="AK15" i="2"/>
  <c r="AK16" i="2"/>
  <c r="AK17" i="2"/>
  <c r="AK18" i="2"/>
  <c r="AK19" i="2"/>
  <c r="AK20" i="2"/>
  <c r="AK21" i="2"/>
  <c r="AK22" i="2"/>
  <c r="AK23" i="2"/>
  <c r="AK24" i="2"/>
  <c r="AK25" i="2"/>
  <c r="AK26" i="2"/>
  <c r="AK27" i="2"/>
  <c r="AK28" i="2"/>
  <c r="AK29" i="2"/>
  <c r="AK30" i="2"/>
  <c r="AK31" i="2"/>
  <c r="AK32" i="2"/>
  <c r="AK33" i="2"/>
  <c r="AK34" i="2"/>
  <c r="AK35" i="2"/>
  <c r="AK36" i="2"/>
  <c r="AK37" i="2"/>
  <c r="AK38" i="2"/>
  <c r="AK39" i="2"/>
  <c r="AK40" i="2"/>
  <c r="AK41" i="2"/>
  <c r="AK42" i="2"/>
  <c r="AK43" i="2"/>
  <c r="AK44" i="2"/>
  <c r="AK45" i="2"/>
  <c r="AK46" i="2"/>
  <c r="AK47" i="2"/>
  <c r="AK48" i="2"/>
  <c r="AK49" i="2"/>
  <c r="AK50" i="2"/>
  <c r="AK51" i="2"/>
  <c r="AK52" i="2"/>
  <c r="AK53" i="2"/>
  <c r="AK54" i="2"/>
  <c r="AK55" i="2"/>
  <c r="AK56" i="2"/>
  <c r="AK57" i="2"/>
  <c r="AK58" i="2"/>
  <c r="AK59" i="2"/>
  <c r="AK60" i="2"/>
  <c r="AK61" i="2"/>
  <c r="AK62" i="2"/>
  <c r="AK63" i="2"/>
  <c r="AK64" i="2"/>
  <c r="AK65" i="2"/>
  <c r="AK66" i="2"/>
  <c r="AK67" i="2"/>
  <c r="AK68" i="2"/>
  <c r="AK69" i="2"/>
  <c r="AK70" i="2"/>
  <c r="AK71" i="2"/>
  <c r="AK72" i="2"/>
  <c r="AK73" i="2"/>
  <c r="AK74" i="2"/>
  <c r="AK75" i="2"/>
  <c r="AK76" i="2"/>
  <c r="AK77" i="2"/>
  <c r="AK78" i="2"/>
  <c r="AK79" i="2"/>
  <c r="AK80" i="2"/>
  <c r="AK81" i="2"/>
  <c r="AK82" i="2"/>
  <c r="AK83" i="2"/>
  <c r="AK84" i="2"/>
  <c r="AK85" i="2"/>
  <c r="AK86" i="2"/>
  <c r="AK87" i="2"/>
  <c r="AK88" i="2"/>
  <c r="AK89" i="2"/>
  <c r="AK90" i="2"/>
  <c r="AK91" i="2"/>
  <c r="AK92" i="2"/>
  <c r="AK93" i="2"/>
  <c r="AK94" i="2"/>
  <c r="AK95" i="2"/>
  <c r="AK96" i="2"/>
  <c r="AK97" i="2"/>
  <c r="AK98" i="2"/>
  <c r="AK99" i="2"/>
  <c r="AK100" i="2"/>
  <c r="AK101" i="2"/>
  <c r="AK102" i="2"/>
  <c r="AK103" i="2"/>
  <c r="AK104" i="2"/>
  <c r="AK105" i="2"/>
  <c r="AK106" i="2"/>
  <c r="AK107" i="2"/>
  <c r="AK108" i="2"/>
  <c r="AK109" i="2"/>
  <c r="AK110" i="2"/>
  <c r="AK111" i="2"/>
  <c r="AK112" i="2"/>
  <c r="AK113" i="2"/>
  <c r="AK114" i="2"/>
  <c r="AK115" i="2"/>
  <c r="AK116" i="2"/>
  <c r="AK117" i="2"/>
  <c r="AK118" i="2"/>
  <c r="AK119" i="2"/>
  <c r="AK120" i="2"/>
  <c r="AK121" i="2"/>
  <c r="AK122" i="2"/>
  <c r="AK123" i="2"/>
  <c r="AK124" i="2"/>
  <c r="AK125" i="2"/>
  <c r="AK126" i="2"/>
  <c r="AK127" i="2"/>
  <c r="AK128" i="2"/>
  <c r="AK129" i="2"/>
  <c r="AK130" i="2"/>
  <c r="AK131" i="2"/>
  <c r="AK132" i="2"/>
  <c r="AK133" i="2"/>
  <c r="AK134" i="2"/>
  <c r="AK135" i="2"/>
  <c r="AK136" i="2"/>
  <c r="AK137" i="2"/>
  <c r="AK138" i="2"/>
  <c r="AK139" i="2"/>
  <c r="AK140" i="2"/>
  <c r="AK141" i="2"/>
  <c r="AK142" i="2"/>
  <c r="AK143" i="2"/>
  <c r="AK144" i="2"/>
  <c r="AK145" i="2"/>
  <c r="AK146" i="2"/>
  <c r="AK147" i="2"/>
  <c r="AK148" i="2"/>
  <c r="AK149" i="2"/>
  <c r="AK150" i="2"/>
  <c r="AK151" i="2"/>
  <c r="AK152" i="2"/>
  <c r="AK153" i="2"/>
  <c r="AK154" i="2"/>
  <c r="AK155" i="2"/>
  <c r="AK156" i="2"/>
  <c r="AK157" i="2"/>
  <c r="AK158" i="2"/>
  <c r="AK159" i="2"/>
  <c r="AK160" i="2"/>
  <c r="AK161" i="2"/>
  <c r="AK162" i="2"/>
  <c r="AK163" i="2"/>
  <c r="AK164" i="2"/>
  <c r="AK165" i="2"/>
  <c r="AK166" i="2"/>
  <c r="AK167" i="2"/>
  <c r="AK168" i="2"/>
  <c r="AK169" i="2"/>
  <c r="AK170" i="2"/>
  <c r="AK171" i="2"/>
  <c r="AK172" i="2"/>
  <c r="AK173" i="2"/>
  <c r="AK174" i="2"/>
  <c r="AK175" i="2"/>
  <c r="AK176" i="2"/>
  <c r="AK177" i="2"/>
  <c r="AK178" i="2"/>
  <c r="AK179" i="2"/>
  <c r="AK180" i="2"/>
  <c r="AK181" i="2"/>
  <c r="AK182" i="2"/>
  <c r="AK183" i="2"/>
  <c r="AK184" i="2"/>
  <c r="AK185" i="2"/>
  <c r="AK186" i="2"/>
  <c r="AK187" i="2"/>
  <c r="AK188" i="2"/>
  <c r="AK189" i="2"/>
  <c r="AK190" i="2"/>
  <c r="AK191" i="2"/>
  <c r="AK192" i="2"/>
  <c r="AK193" i="2"/>
  <c r="AK194" i="2"/>
  <c r="AK195" i="2"/>
  <c r="AK196" i="2"/>
  <c r="AK197" i="2"/>
  <c r="AK198" i="2"/>
  <c r="AK199" i="2"/>
  <c r="AK200" i="2"/>
  <c r="AK201" i="2"/>
  <c r="AK202" i="2"/>
  <c r="AK203" i="2"/>
  <c r="AK204" i="2"/>
  <c r="AK205" i="2"/>
  <c r="AK206" i="2"/>
  <c r="AK207" i="2"/>
  <c r="AK208" i="2"/>
  <c r="AK209" i="2"/>
  <c r="AK210" i="2"/>
  <c r="AK211"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E2" i="2"/>
  <c r="AE3" i="2"/>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R302" i="2"/>
  <c r="R303" i="2"/>
  <c r="R304" i="2"/>
  <c r="R305" i="2"/>
  <c r="R306" i="2"/>
  <c r="R307" i="2"/>
  <c r="R308" i="2"/>
  <c r="R309" i="2"/>
  <c r="R310" i="2"/>
  <c r="R311" i="2"/>
  <c r="R312" i="2"/>
  <c r="S302" i="2"/>
  <c r="S303" i="2"/>
  <c r="S304" i="2"/>
  <c r="S305" i="2"/>
  <c r="S306" i="2"/>
  <c r="S307" i="2"/>
  <c r="S308" i="2"/>
  <c r="S309" i="2"/>
  <c r="S310" i="2"/>
  <c r="S311" i="2"/>
  <c r="S312" i="2"/>
  <c r="B10" i="25"/>
  <c r="E10" i="25"/>
  <c r="F10" i="25"/>
  <c r="H10" i="25"/>
  <c r="J10" i="25"/>
  <c r="K10" i="25"/>
  <c r="L10" i="25"/>
  <c r="M10" i="25"/>
  <c r="B10" i="15"/>
  <c r="B5" i="28" a="1"/>
  <c r="C2" i="28" a="1"/>
  <c r="B3" i="30" a="1"/>
  <c r="B4" i="30" a="1"/>
  <c r="D12" i="28" a="1"/>
  <c r="E24" i="28" a="1"/>
  <c r="B5" i="29" a="1"/>
  <c r="B4" i="28" a="1"/>
  <c r="B3" i="29" a="1"/>
  <c r="C21" i="28" a="1"/>
  <c r="E24" i="30" a="1"/>
  <c r="D23" i="29" a="1"/>
  <c r="E24" i="29" a="1"/>
  <c r="C21" i="30" a="1"/>
  <c r="D23" i="30" a="1"/>
  <c r="C6" i="28" a="1"/>
  <c r="C21" i="29" a="1"/>
  <c r="C13" i="28" a="1"/>
  <c r="C6" i="30" a="1"/>
  <c r="D12" i="29" a="1"/>
  <c r="C2" i="29" a="1"/>
  <c r="C13" i="29" a="1"/>
  <c r="B4" i="29" a="1"/>
  <c r="C2" i="30" a="1"/>
  <c r="C22" i="28" a="1"/>
  <c r="B5" i="30" a="1"/>
  <c r="B3" i="28" a="1"/>
  <c r="C22" i="29" a="1"/>
  <c r="C13" i="30" a="1"/>
  <c r="C6" i="29" a="1"/>
  <c r="C22" i="30" a="1"/>
  <c r="D23" i="28" a="1"/>
  <c r="D12" i="30" a="1"/>
  <c r="D5" i="27" l="1"/>
  <c r="D8" i="27"/>
  <c r="D7" i="27"/>
  <c r="F2" i="27"/>
  <c r="E4" i="27"/>
  <c r="E3" i="27"/>
  <c r="C14" i="27"/>
  <c r="C15" i="27"/>
  <c r="C11" i="27"/>
  <c r="C9" i="27"/>
  <c r="D23" i="28"/>
  <c r="E24" i="29"/>
  <c r="B4" i="28"/>
  <c r="C2" i="30"/>
  <c r="C21" i="29"/>
  <c r="B3" i="28"/>
  <c r="B5" i="29"/>
  <c r="D12" i="30"/>
  <c r="C22" i="30"/>
  <c r="D23" i="29"/>
  <c r="E24" i="28"/>
  <c r="B4" i="29"/>
  <c r="C6" i="28"/>
  <c r="B5" i="30"/>
  <c r="D12" i="28"/>
  <c r="C13" i="29"/>
  <c r="D23" i="30"/>
  <c r="E24" i="30"/>
  <c r="B4" i="30"/>
  <c r="C2" i="29"/>
  <c r="C6" i="29"/>
  <c r="C21" i="28"/>
  <c r="B3" i="30"/>
  <c r="D12" i="29"/>
  <c r="C13" i="30"/>
  <c r="C22" i="28"/>
  <c r="C2" i="28"/>
  <c r="C6" i="30"/>
  <c r="C21" i="30"/>
  <c r="B3" i="29"/>
  <c r="B5" i="28"/>
  <c r="C13" i="28"/>
  <c r="C22" i="29"/>
  <c r="M26" i="15"/>
  <c r="M25" i="15"/>
  <c r="C43" i="27"/>
  <c r="B42" i="27"/>
  <c r="B33" i="27"/>
  <c r="C41" i="27"/>
  <c r="B44" i="27"/>
  <c r="C12" i="16"/>
  <c r="C23" i="16"/>
  <c r="C11" i="16"/>
  <c r="K25" i="15" s="1"/>
  <c r="D9" i="22"/>
  <c r="D20" i="22"/>
  <c r="D2" i="22"/>
  <c r="D31" i="22"/>
  <c r="D19" i="22"/>
  <c r="D29" i="22"/>
  <c r="D17" i="22"/>
  <c r="D27" i="22"/>
  <c r="D60" i="22"/>
  <c r="D56" i="22"/>
  <c r="D52" i="22"/>
  <c r="D63" i="22"/>
  <c r="D55" i="22"/>
  <c r="D62" i="22"/>
  <c r="D58" i="22"/>
  <c r="D54" i="22"/>
  <c r="D59" i="22"/>
  <c r="D61" i="22"/>
  <c r="D57" i="22"/>
  <c r="D13" i="30" a="1"/>
  <c r="E23" i="29" a="1"/>
  <c r="C5" i="29" a="1"/>
  <c r="D21" i="30" a="1"/>
  <c r="F24" i="30" a="1"/>
  <c r="D13" i="28" a="1"/>
  <c r="E23" i="30" a="1"/>
  <c r="C5" i="28" a="1"/>
  <c r="F24" i="28" a="1"/>
  <c r="D22" i="29" a="1"/>
  <c r="C5" i="30" a="1"/>
  <c r="C4" i="28" a="1"/>
  <c r="D22" i="28" a="1"/>
  <c r="D2" i="30" a="1"/>
  <c r="D6" i="29" a="1"/>
  <c r="B8" i="29" a="1"/>
  <c r="D2" i="28" a="1"/>
  <c r="E12" i="30" a="1"/>
  <c r="B8" i="30" a="1"/>
  <c r="C4" i="30" a="1"/>
  <c r="E12" i="28" a="1"/>
  <c r="B8" i="28" a="1"/>
  <c r="D2" i="29" a="1"/>
  <c r="B7" i="29" a="1"/>
  <c r="D6" i="28" a="1"/>
  <c r="B7" i="28" a="1"/>
  <c r="D21" i="28" a="1"/>
  <c r="F24" i="29" a="1"/>
  <c r="D6" i="30" a="1"/>
  <c r="B7" i="30" a="1"/>
  <c r="D21" i="29" a="1"/>
  <c r="C3" i="30" a="1"/>
  <c r="D13" i="29" a="1"/>
  <c r="C3" i="28" a="1"/>
  <c r="E12" i="29" a="1"/>
  <c r="C3" i="29" a="1"/>
  <c r="D22" i="30" a="1"/>
  <c r="E23" i="28" a="1"/>
  <c r="C4" i="29" a="1"/>
  <c r="E5" i="27" l="1"/>
  <c r="G2" i="27"/>
  <c r="F4" i="27"/>
  <c r="F3" i="27"/>
  <c r="F5" i="27" s="1"/>
  <c r="E8" i="27"/>
  <c r="E7" i="27"/>
  <c r="D14" i="27"/>
  <c r="D11" i="27"/>
  <c r="D9" i="27"/>
  <c r="D15" i="27"/>
  <c r="B2" i="32"/>
  <c r="B4" i="32"/>
  <c r="B3" i="32"/>
  <c r="E12" i="28"/>
  <c r="C3" i="29"/>
  <c r="C41" i="29" s="1"/>
  <c r="B7" i="30"/>
  <c r="F24" i="28"/>
  <c r="C4" i="30"/>
  <c r="D2" i="30"/>
  <c r="D6" i="30"/>
  <c r="C5" i="28"/>
  <c r="C43" i="28" s="1"/>
  <c r="B8" i="30"/>
  <c r="E12" i="29"/>
  <c r="F24" i="29"/>
  <c r="E23" i="30"/>
  <c r="C4" i="29"/>
  <c r="D22" i="28"/>
  <c r="D21" i="28"/>
  <c r="D13" i="28"/>
  <c r="E12" i="30"/>
  <c r="C3" i="28"/>
  <c r="C41" i="28" s="1"/>
  <c r="B7" i="28"/>
  <c r="F24" i="30"/>
  <c r="E23" i="28"/>
  <c r="C4" i="28"/>
  <c r="D22" i="29"/>
  <c r="D21" i="30"/>
  <c r="D2" i="28"/>
  <c r="D13" i="29"/>
  <c r="D6" i="28"/>
  <c r="C5" i="29"/>
  <c r="C43" i="29" s="1"/>
  <c r="B8" i="29"/>
  <c r="C3" i="30"/>
  <c r="C41" i="30" s="1"/>
  <c r="B7" i="29"/>
  <c r="E23" i="29"/>
  <c r="D22" i="30"/>
  <c r="D21" i="29"/>
  <c r="D2" i="29"/>
  <c r="D13" i="30"/>
  <c r="D6" i="29"/>
  <c r="C5" i="30"/>
  <c r="C43" i="30" s="1"/>
  <c r="B8" i="28"/>
  <c r="D43" i="27"/>
  <c r="C44" i="27"/>
  <c r="D41" i="27"/>
  <c r="B43" i="28"/>
  <c r="B41" i="30"/>
  <c r="B43" i="29"/>
  <c r="B34" i="27"/>
  <c r="C42" i="27"/>
  <c r="D42" i="27" s="1"/>
  <c r="B39" i="27"/>
  <c r="B41" i="29"/>
  <c r="B43" i="30"/>
  <c r="B41" i="28"/>
  <c r="K27" i="15"/>
  <c r="M27" i="15"/>
  <c r="M28" i="15"/>
  <c r="C33" i="27"/>
  <c r="B35" i="27"/>
  <c r="C45" i="28"/>
  <c r="AA3" i="2"/>
  <c r="AA4" i="2"/>
  <c r="AA5" i="2"/>
  <c r="AG6"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J2" i="2"/>
  <c r="J3" i="2"/>
  <c r="J4" i="2"/>
  <c r="J5" i="2"/>
  <c r="AD6" i="2"/>
  <c r="AD7" i="2"/>
  <c r="AD8" i="2"/>
  <c r="AD9" i="2"/>
  <c r="J10" i="2"/>
  <c r="AD10" i="2" s="1"/>
  <c r="J11" i="2"/>
  <c r="J12" i="2"/>
  <c r="J13" i="2"/>
  <c r="AD13" i="2" s="1"/>
  <c r="J14" i="2"/>
  <c r="AD14" i="2" s="1"/>
  <c r="J15" i="2"/>
  <c r="AD15" i="2" s="1"/>
  <c r="J16" i="2"/>
  <c r="AD16" i="2" s="1"/>
  <c r="J17" i="2"/>
  <c r="AD17" i="2" s="1"/>
  <c r="J18" i="2"/>
  <c r="AD18" i="2" s="1"/>
  <c r="J19" i="2"/>
  <c r="AD19" i="2" s="1"/>
  <c r="J20" i="2"/>
  <c r="AD20" i="2" s="1"/>
  <c r="J21" i="2"/>
  <c r="AD21" i="2" s="1"/>
  <c r="J22" i="2"/>
  <c r="AD22" i="2" s="1"/>
  <c r="J23" i="2"/>
  <c r="AD23" i="2" s="1"/>
  <c r="J24" i="2"/>
  <c r="AD24" i="2" s="1"/>
  <c r="J25" i="2"/>
  <c r="AD25" i="2" s="1"/>
  <c r="J26" i="2"/>
  <c r="AD26" i="2" s="1"/>
  <c r="J27" i="2"/>
  <c r="AD27" i="2" s="1"/>
  <c r="J28" i="2"/>
  <c r="AD28" i="2" s="1"/>
  <c r="J29" i="2"/>
  <c r="AD29" i="2" s="1"/>
  <c r="J30" i="2"/>
  <c r="AD30" i="2" s="1"/>
  <c r="J31" i="2"/>
  <c r="AD31" i="2" s="1"/>
  <c r="J32" i="2"/>
  <c r="AD32" i="2" s="1"/>
  <c r="J33" i="2"/>
  <c r="AD33" i="2" s="1"/>
  <c r="J34" i="2"/>
  <c r="AD34" i="2" s="1"/>
  <c r="J35" i="2"/>
  <c r="AD35" i="2" s="1"/>
  <c r="J36" i="2"/>
  <c r="AD36" i="2" s="1"/>
  <c r="J37" i="2"/>
  <c r="AD37" i="2" s="1"/>
  <c r="J38" i="2"/>
  <c r="AD38" i="2" s="1"/>
  <c r="J39" i="2"/>
  <c r="AD39" i="2" s="1"/>
  <c r="J40" i="2"/>
  <c r="AD40" i="2" s="1"/>
  <c r="J41" i="2"/>
  <c r="AD41" i="2" s="1"/>
  <c r="J42" i="2"/>
  <c r="AD42" i="2" s="1"/>
  <c r="J43" i="2"/>
  <c r="AD43" i="2" s="1"/>
  <c r="J44" i="2"/>
  <c r="AD44" i="2" s="1"/>
  <c r="J45" i="2"/>
  <c r="AD45" i="2" s="1"/>
  <c r="J46" i="2"/>
  <c r="AD46" i="2" s="1"/>
  <c r="J47" i="2"/>
  <c r="AD47" i="2" s="1"/>
  <c r="J48" i="2"/>
  <c r="AD48" i="2" s="1"/>
  <c r="J49" i="2"/>
  <c r="AD49" i="2" s="1"/>
  <c r="J50" i="2"/>
  <c r="AD50" i="2" s="1"/>
  <c r="J51" i="2"/>
  <c r="AD51" i="2" s="1"/>
  <c r="J52" i="2"/>
  <c r="AD52" i="2" s="1"/>
  <c r="J53" i="2"/>
  <c r="AD53" i="2" s="1"/>
  <c r="J54" i="2"/>
  <c r="AD54" i="2" s="1"/>
  <c r="J55" i="2"/>
  <c r="AD55" i="2" s="1"/>
  <c r="J56" i="2"/>
  <c r="AD56" i="2" s="1"/>
  <c r="J57" i="2"/>
  <c r="AD57" i="2" s="1"/>
  <c r="J58" i="2"/>
  <c r="AD58" i="2" s="1"/>
  <c r="J59" i="2"/>
  <c r="AD59" i="2" s="1"/>
  <c r="J60" i="2"/>
  <c r="AD60" i="2" s="1"/>
  <c r="J61" i="2"/>
  <c r="AD61" i="2" s="1"/>
  <c r="J62" i="2"/>
  <c r="AD62" i="2" s="1"/>
  <c r="J63" i="2"/>
  <c r="AD63" i="2" s="1"/>
  <c r="J64" i="2"/>
  <c r="AD64" i="2" s="1"/>
  <c r="J65" i="2"/>
  <c r="AD65" i="2" s="1"/>
  <c r="J66" i="2"/>
  <c r="AD66" i="2" s="1"/>
  <c r="J67" i="2"/>
  <c r="AD67" i="2" s="1"/>
  <c r="J68" i="2"/>
  <c r="AD68" i="2" s="1"/>
  <c r="J69" i="2"/>
  <c r="AD69" i="2" s="1"/>
  <c r="J70" i="2"/>
  <c r="AD70" i="2" s="1"/>
  <c r="J71" i="2"/>
  <c r="AD71" i="2" s="1"/>
  <c r="J72" i="2"/>
  <c r="AD72" i="2" s="1"/>
  <c r="J73" i="2"/>
  <c r="AD73" i="2" s="1"/>
  <c r="J74" i="2"/>
  <c r="AD74" i="2" s="1"/>
  <c r="J75" i="2"/>
  <c r="AD75" i="2" s="1"/>
  <c r="J76" i="2"/>
  <c r="AD76" i="2" s="1"/>
  <c r="J77" i="2"/>
  <c r="AD77" i="2" s="1"/>
  <c r="J78" i="2"/>
  <c r="AD78" i="2" s="1"/>
  <c r="J79" i="2"/>
  <c r="AD79" i="2" s="1"/>
  <c r="J80" i="2"/>
  <c r="AD80" i="2" s="1"/>
  <c r="J81" i="2"/>
  <c r="AD81" i="2" s="1"/>
  <c r="J82" i="2"/>
  <c r="AD82" i="2" s="1"/>
  <c r="J83" i="2"/>
  <c r="AD83" i="2" s="1"/>
  <c r="J84" i="2"/>
  <c r="AD84" i="2" s="1"/>
  <c r="J85" i="2"/>
  <c r="AD85" i="2" s="1"/>
  <c r="J86" i="2"/>
  <c r="AD86" i="2" s="1"/>
  <c r="J87" i="2"/>
  <c r="AD87" i="2" s="1"/>
  <c r="J88" i="2"/>
  <c r="AD88" i="2" s="1"/>
  <c r="J89" i="2"/>
  <c r="AD89" i="2" s="1"/>
  <c r="J90" i="2"/>
  <c r="AD90" i="2" s="1"/>
  <c r="J91" i="2"/>
  <c r="AD91" i="2" s="1"/>
  <c r="J92" i="2"/>
  <c r="AD92" i="2" s="1"/>
  <c r="J93" i="2"/>
  <c r="AD93" i="2" s="1"/>
  <c r="J94" i="2"/>
  <c r="AD94" i="2" s="1"/>
  <c r="J95" i="2"/>
  <c r="AD95" i="2" s="1"/>
  <c r="J96" i="2"/>
  <c r="AD96" i="2" s="1"/>
  <c r="J97" i="2"/>
  <c r="AD97" i="2" s="1"/>
  <c r="J98" i="2"/>
  <c r="AD98" i="2" s="1"/>
  <c r="J99" i="2"/>
  <c r="AD99" i="2" s="1"/>
  <c r="J100" i="2"/>
  <c r="AD100" i="2" s="1"/>
  <c r="J101" i="2"/>
  <c r="AD101" i="2" s="1"/>
  <c r="J102" i="2"/>
  <c r="AD102" i="2" s="1"/>
  <c r="J103" i="2"/>
  <c r="AD103" i="2" s="1"/>
  <c r="J104" i="2"/>
  <c r="AD104" i="2" s="1"/>
  <c r="J105" i="2"/>
  <c r="AD105" i="2" s="1"/>
  <c r="J106" i="2"/>
  <c r="AD106" i="2" s="1"/>
  <c r="J107" i="2"/>
  <c r="AD107" i="2" s="1"/>
  <c r="J108" i="2"/>
  <c r="AD108" i="2" s="1"/>
  <c r="J109" i="2"/>
  <c r="AD109" i="2" s="1"/>
  <c r="J110" i="2"/>
  <c r="AD110" i="2" s="1"/>
  <c r="J111" i="2"/>
  <c r="AD111" i="2" s="1"/>
  <c r="J112" i="2"/>
  <c r="AD112" i="2" s="1"/>
  <c r="J113" i="2"/>
  <c r="AD113" i="2" s="1"/>
  <c r="J114" i="2"/>
  <c r="AD114" i="2" s="1"/>
  <c r="J115" i="2"/>
  <c r="AD115" i="2" s="1"/>
  <c r="J116" i="2"/>
  <c r="AD116" i="2" s="1"/>
  <c r="J117" i="2"/>
  <c r="AD117" i="2" s="1"/>
  <c r="J118" i="2"/>
  <c r="AD118" i="2" s="1"/>
  <c r="J119" i="2"/>
  <c r="AD119" i="2" s="1"/>
  <c r="J120" i="2"/>
  <c r="AD120" i="2" s="1"/>
  <c r="J121" i="2"/>
  <c r="AD121" i="2" s="1"/>
  <c r="J122" i="2"/>
  <c r="AD122" i="2" s="1"/>
  <c r="J123" i="2"/>
  <c r="AD123" i="2" s="1"/>
  <c r="J124" i="2"/>
  <c r="AD124" i="2" s="1"/>
  <c r="J125" i="2"/>
  <c r="AD125" i="2" s="1"/>
  <c r="J126" i="2"/>
  <c r="AD126" i="2" s="1"/>
  <c r="J127" i="2"/>
  <c r="AD127" i="2" s="1"/>
  <c r="J128" i="2"/>
  <c r="AD128" i="2" s="1"/>
  <c r="J129" i="2"/>
  <c r="AD129" i="2" s="1"/>
  <c r="J130" i="2"/>
  <c r="AD130" i="2" s="1"/>
  <c r="J131" i="2"/>
  <c r="AD131" i="2" s="1"/>
  <c r="J132" i="2"/>
  <c r="AD132" i="2" s="1"/>
  <c r="J133" i="2"/>
  <c r="AD133" i="2" s="1"/>
  <c r="J134" i="2"/>
  <c r="AD134" i="2" s="1"/>
  <c r="J135" i="2"/>
  <c r="AD135" i="2" s="1"/>
  <c r="J136" i="2"/>
  <c r="AD136" i="2" s="1"/>
  <c r="J137" i="2"/>
  <c r="AD137" i="2" s="1"/>
  <c r="J138" i="2"/>
  <c r="AD138" i="2" s="1"/>
  <c r="J139" i="2"/>
  <c r="AD139" i="2" s="1"/>
  <c r="J140" i="2"/>
  <c r="AD140" i="2" s="1"/>
  <c r="J141" i="2"/>
  <c r="AD141" i="2" s="1"/>
  <c r="J142" i="2"/>
  <c r="AD142" i="2" s="1"/>
  <c r="J143" i="2"/>
  <c r="AD143" i="2" s="1"/>
  <c r="J144" i="2"/>
  <c r="AD144" i="2" s="1"/>
  <c r="J145" i="2"/>
  <c r="AD145" i="2" s="1"/>
  <c r="J146" i="2"/>
  <c r="AD146" i="2" s="1"/>
  <c r="J147" i="2"/>
  <c r="AD147" i="2" s="1"/>
  <c r="J148" i="2"/>
  <c r="AD148" i="2" s="1"/>
  <c r="J149" i="2"/>
  <c r="AD149" i="2" s="1"/>
  <c r="J150" i="2"/>
  <c r="AD150" i="2" s="1"/>
  <c r="J151" i="2"/>
  <c r="AD151" i="2" s="1"/>
  <c r="J152" i="2"/>
  <c r="AD152" i="2" s="1"/>
  <c r="J153" i="2"/>
  <c r="AD153" i="2" s="1"/>
  <c r="J154" i="2"/>
  <c r="AD154" i="2" s="1"/>
  <c r="J155" i="2"/>
  <c r="AD155" i="2" s="1"/>
  <c r="J156" i="2"/>
  <c r="AD156" i="2" s="1"/>
  <c r="J157" i="2"/>
  <c r="AD157" i="2" s="1"/>
  <c r="J158" i="2"/>
  <c r="AD158" i="2" s="1"/>
  <c r="J159" i="2"/>
  <c r="AD159" i="2" s="1"/>
  <c r="J160" i="2"/>
  <c r="AD160" i="2" s="1"/>
  <c r="J161" i="2"/>
  <c r="AD161" i="2" s="1"/>
  <c r="J162" i="2"/>
  <c r="AD162" i="2" s="1"/>
  <c r="J163" i="2"/>
  <c r="AD163" i="2" s="1"/>
  <c r="J164" i="2"/>
  <c r="AD164" i="2" s="1"/>
  <c r="J165" i="2"/>
  <c r="AD165" i="2" s="1"/>
  <c r="J166" i="2"/>
  <c r="AD166" i="2" s="1"/>
  <c r="J167" i="2"/>
  <c r="AD167" i="2" s="1"/>
  <c r="J168" i="2"/>
  <c r="AD168" i="2" s="1"/>
  <c r="J169" i="2"/>
  <c r="AD169" i="2" s="1"/>
  <c r="J170" i="2"/>
  <c r="AD170" i="2" s="1"/>
  <c r="J171" i="2"/>
  <c r="AD171" i="2" s="1"/>
  <c r="J172" i="2"/>
  <c r="AD172" i="2" s="1"/>
  <c r="J173" i="2"/>
  <c r="AD173" i="2" s="1"/>
  <c r="J174" i="2"/>
  <c r="AD174" i="2" s="1"/>
  <c r="J175" i="2"/>
  <c r="AD175" i="2" s="1"/>
  <c r="J176" i="2"/>
  <c r="AD176" i="2" s="1"/>
  <c r="J177" i="2"/>
  <c r="AD177" i="2" s="1"/>
  <c r="J178" i="2"/>
  <c r="AD178" i="2" s="1"/>
  <c r="J179" i="2"/>
  <c r="AD179" i="2" s="1"/>
  <c r="J180" i="2"/>
  <c r="AD180" i="2" s="1"/>
  <c r="J181" i="2"/>
  <c r="AD181" i="2" s="1"/>
  <c r="J182" i="2"/>
  <c r="AD182" i="2" s="1"/>
  <c r="J183" i="2"/>
  <c r="AD183" i="2" s="1"/>
  <c r="J184" i="2"/>
  <c r="AD184" i="2" s="1"/>
  <c r="J185" i="2"/>
  <c r="AD185" i="2" s="1"/>
  <c r="J186" i="2"/>
  <c r="AD186" i="2" s="1"/>
  <c r="J187" i="2"/>
  <c r="AD187" i="2" s="1"/>
  <c r="J188" i="2"/>
  <c r="AD188" i="2" s="1"/>
  <c r="J189" i="2"/>
  <c r="AD189" i="2" s="1"/>
  <c r="J190" i="2"/>
  <c r="AD190" i="2" s="1"/>
  <c r="J191" i="2"/>
  <c r="AD191" i="2" s="1"/>
  <c r="J192" i="2"/>
  <c r="AD192" i="2" s="1"/>
  <c r="J193" i="2"/>
  <c r="AD193" i="2" s="1"/>
  <c r="J194" i="2"/>
  <c r="AD194" i="2" s="1"/>
  <c r="J195" i="2"/>
  <c r="AD195" i="2" s="1"/>
  <c r="J196" i="2"/>
  <c r="AD196" i="2" s="1"/>
  <c r="J197" i="2"/>
  <c r="AD197" i="2" s="1"/>
  <c r="J198" i="2"/>
  <c r="AD198" i="2" s="1"/>
  <c r="J199" i="2"/>
  <c r="AD199" i="2" s="1"/>
  <c r="J200" i="2"/>
  <c r="AD200" i="2" s="1"/>
  <c r="J201" i="2"/>
  <c r="AD201" i="2" s="1"/>
  <c r="J202" i="2"/>
  <c r="AD202" i="2" s="1"/>
  <c r="J203" i="2"/>
  <c r="AD203" i="2" s="1"/>
  <c r="J204" i="2"/>
  <c r="AD204" i="2" s="1"/>
  <c r="J205" i="2"/>
  <c r="AD205" i="2" s="1"/>
  <c r="J206" i="2"/>
  <c r="AD206" i="2" s="1"/>
  <c r="J207" i="2"/>
  <c r="AD207" i="2" s="1"/>
  <c r="J208" i="2"/>
  <c r="AD208" i="2" s="1"/>
  <c r="J209" i="2"/>
  <c r="AD209" i="2" s="1"/>
  <c r="J210" i="2"/>
  <c r="AD210" i="2" s="1"/>
  <c r="J211" i="2"/>
  <c r="AD211" i="2" s="1"/>
  <c r="J212" i="2"/>
  <c r="AD212" i="2" s="1"/>
  <c r="J213" i="2"/>
  <c r="AD213" i="2" s="1"/>
  <c r="J214" i="2"/>
  <c r="AD214" i="2" s="1"/>
  <c r="J215" i="2"/>
  <c r="AD215" i="2" s="1"/>
  <c r="J216" i="2"/>
  <c r="AD216" i="2" s="1"/>
  <c r="J217" i="2"/>
  <c r="AD217" i="2" s="1"/>
  <c r="J218" i="2"/>
  <c r="AD218" i="2" s="1"/>
  <c r="J219" i="2"/>
  <c r="AD219" i="2" s="1"/>
  <c r="J220" i="2"/>
  <c r="AD220" i="2" s="1"/>
  <c r="J221" i="2"/>
  <c r="AD221" i="2" s="1"/>
  <c r="J222" i="2"/>
  <c r="AD222" i="2" s="1"/>
  <c r="J223" i="2"/>
  <c r="AD223" i="2" s="1"/>
  <c r="J224" i="2"/>
  <c r="AD224" i="2" s="1"/>
  <c r="J225" i="2"/>
  <c r="AD225" i="2" s="1"/>
  <c r="J226" i="2"/>
  <c r="AD226" i="2" s="1"/>
  <c r="J227" i="2"/>
  <c r="AD227" i="2" s="1"/>
  <c r="J228" i="2"/>
  <c r="AD228" i="2" s="1"/>
  <c r="J229" i="2"/>
  <c r="AD229" i="2" s="1"/>
  <c r="J230" i="2"/>
  <c r="AD230" i="2" s="1"/>
  <c r="J231" i="2"/>
  <c r="AD231" i="2" s="1"/>
  <c r="J232" i="2"/>
  <c r="AD232" i="2" s="1"/>
  <c r="J233" i="2"/>
  <c r="AD233" i="2" s="1"/>
  <c r="J234" i="2"/>
  <c r="AD234" i="2" s="1"/>
  <c r="J235" i="2"/>
  <c r="AD235" i="2" s="1"/>
  <c r="J236" i="2"/>
  <c r="AD236" i="2" s="1"/>
  <c r="J237" i="2"/>
  <c r="AD237" i="2" s="1"/>
  <c r="J238" i="2"/>
  <c r="AD238" i="2" s="1"/>
  <c r="J239" i="2"/>
  <c r="AD239" i="2" s="1"/>
  <c r="J240" i="2"/>
  <c r="AD240" i="2" s="1"/>
  <c r="J241" i="2"/>
  <c r="AD241" i="2" s="1"/>
  <c r="J242" i="2"/>
  <c r="AD242" i="2" s="1"/>
  <c r="J243" i="2"/>
  <c r="AD243" i="2" s="1"/>
  <c r="J244" i="2"/>
  <c r="AD244" i="2" s="1"/>
  <c r="J245" i="2"/>
  <c r="AD245" i="2" s="1"/>
  <c r="J246" i="2"/>
  <c r="AD246" i="2" s="1"/>
  <c r="J247" i="2"/>
  <c r="AD247" i="2" s="1"/>
  <c r="J248" i="2"/>
  <c r="AD248" i="2" s="1"/>
  <c r="J249" i="2"/>
  <c r="AD249" i="2" s="1"/>
  <c r="J250" i="2"/>
  <c r="AD250" i="2" s="1"/>
  <c r="J251" i="2"/>
  <c r="AD251" i="2" s="1"/>
  <c r="J252" i="2"/>
  <c r="AD252" i="2" s="1"/>
  <c r="J253" i="2"/>
  <c r="AD253" i="2" s="1"/>
  <c r="J254" i="2"/>
  <c r="AD254" i="2" s="1"/>
  <c r="J255" i="2"/>
  <c r="AD255" i="2" s="1"/>
  <c r="J256" i="2"/>
  <c r="AD256" i="2" s="1"/>
  <c r="J257" i="2"/>
  <c r="AD257" i="2" s="1"/>
  <c r="J258" i="2"/>
  <c r="AD258" i="2" s="1"/>
  <c r="J259" i="2"/>
  <c r="AD259" i="2" s="1"/>
  <c r="J260" i="2"/>
  <c r="AD260" i="2" s="1"/>
  <c r="J261" i="2"/>
  <c r="AD261" i="2" s="1"/>
  <c r="J262" i="2"/>
  <c r="AD262" i="2" s="1"/>
  <c r="J263" i="2"/>
  <c r="AD263" i="2" s="1"/>
  <c r="J264" i="2"/>
  <c r="AD264" i="2" s="1"/>
  <c r="J265" i="2"/>
  <c r="AD265" i="2" s="1"/>
  <c r="J266" i="2"/>
  <c r="AD266" i="2" s="1"/>
  <c r="J267" i="2"/>
  <c r="AD267" i="2" s="1"/>
  <c r="J268" i="2"/>
  <c r="AD268" i="2" s="1"/>
  <c r="J269" i="2"/>
  <c r="AD269" i="2" s="1"/>
  <c r="J270" i="2"/>
  <c r="AD270" i="2" s="1"/>
  <c r="J271" i="2"/>
  <c r="AD271" i="2" s="1"/>
  <c r="J272" i="2"/>
  <c r="AD272" i="2" s="1"/>
  <c r="J273" i="2"/>
  <c r="AD273" i="2" s="1"/>
  <c r="J274" i="2"/>
  <c r="AD274" i="2" s="1"/>
  <c r="J275" i="2"/>
  <c r="AD275" i="2" s="1"/>
  <c r="J276" i="2"/>
  <c r="AD276" i="2" s="1"/>
  <c r="J277" i="2"/>
  <c r="AD277" i="2" s="1"/>
  <c r="J278" i="2"/>
  <c r="AD278" i="2" s="1"/>
  <c r="J279" i="2"/>
  <c r="AD279" i="2" s="1"/>
  <c r="J280" i="2"/>
  <c r="AD280" i="2" s="1"/>
  <c r="J281" i="2"/>
  <c r="AD281" i="2" s="1"/>
  <c r="J282" i="2"/>
  <c r="AD282" i="2" s="1"/>
  <c r="J283" i="2"/>
  <c r="AD283" i="2" s="1"/>
  <c r="J284" i="2"/>
  <c r="AD284" i="2" s="1"/>
  <c r="J285" i="2"/>
  <c r="AD285" i="2" s="1"/>
  <c r="J286" i="2"/>
  <c r="AD286" i="2" s="1"/>
  <c r="J287" i="2"/>
  <c r="AD287" i="2" s="1"/>
  <c r="J288" i="2"/>
  <c r="AD288" i="2" s="1"/>
  <c r="J289" i="2"/>
  <c r="AD289" i="2" s="1"/>
  <c r="J290" i="2"/>
  <c r="AD290" i="2" s="1"/>
  <c r="J291" i="2"/>
  <c r="AD291" i="2" s="1"/>
  <c r="J292" i="2"/>
  <c r="AD292" i="2" s="1"/>
  <c r="J293" i="2"/>
  <c r="AD293" i="2" s="1"/>
  <c r="J294" i="2"/>
  <c r="AD294" i="2" s="1"/>
  <c r="J295" i="2"/>
  <c r="AD295" i="2" s="1"/>
  <c r="J296" i="2"/>
  <c r="AD296" i="2" s="1"/>
  <c r="J297" i="2"/>
  <c r="AD297" i="2" s="1"/>
  <c r="J298" i="2"/>
  <c r="AD298" i="2" s="1"/>
  <c r="J299" i="2"/>
  <c r="AD299" i="2" s="1"/>
  <c r="J300" i="2"/>
  <c r="AD300" i="2" s="1"/>
  <c r="J301" i="2"/>
  <c r="AD301" i="2" s="1"/>
  <c r="J302" i="2"/>
  <c r="AD302" i="2" s="1"/>
  <c r="J303" i="2"/>
  <c r="AD303" i="2" s="1"/>
  <c r="J304" i="2"/>
  <c r="AD304" i="2" s="1"/>
  <c r="J305" i="2"/>
  <c r="AD305" i="2" s="1"/>
  <c r="J306" i="2"/>
  <c r="AD306" i="2" s="1"/>
  <c r="J307" i="2"/>
  <c r="AD307" i="2" s="1"/>
  <c r="J308" i="2"/>
  <c r="AD308" i="2" s="1"/>
  <c r="J309" i="2"/>
  <c r="AD309" i="2" s="1"/>
  <c r="J310" i="2"/>
  <c r="AD310" i="2" s="1"/>
  <c r="J311" i="2"/>
  <c r="AD311" i="2" s="1"/>
  <c r="J312" i="2"/>
  <c r="AD312" i="2" s="1"/>
  <c r="K2" i="2"/>
  <c r="K3" i="2"/>
  <c r="K4" i="2"/>
  <c r="AG4" i="2" s="1"/>
  <c r="K5" i="2"/>
  <c r="AG7" i="2"/>
  <c r="AG8" i="2"/>
  <c r="AG9" i="2"/>
  <c r="K10" i="2"/>
  <c r="AG10" i="2" s="1"/>
  <c r="K11" i="2"/>
  <c r="AG11" i="2" s="1"/>
  <c r="K12" i="2"/>
  <c r="K13" i="2"/>
  <c r="AG13" i="2" s="1"/>
  <c r="K14" i="2"/>
  <c r="AG14" i="2" s="1"/>
  <c r="K15" i="2"/>
  <c r="AG15" i="2" s="1"/>
  <c r="K16" i="2"/>
  <c r="AG16" i="2" s="1"/>
  <c r="K17" i="2"/>
  <c r="AG17" i="2" s="1"/>
  <c r="K18" i="2"/>
  <c r="AG18" i="2" s="1"/>
  <c r="K19" i="2"/>
  <c r="AG19" i="2" s="1"/>
  <c r="K20" i="2"/>
  <c r="AG20" i="2" s="1"/>
  <c r="K21" i="2"/>
  <c r="AG21" i="2" s="1"/>
  <c r="K22" i="2"/>
  <c r="AG22" i="2" s="1"/>
  <c r="K23" i="2"/>
  <c r="AG23" i="2" s="1"/>
  <c r="K24" i="2"/>
  <c r="AG24" i="2" s="1"/>
  <c r="K25" i="2"/>
  <c r="AG25" i="2" s="1"/>
  <c r="K26" i="2"/>
  <c r="AG26" i="2" s="1"/>
  <c r="K27" i="2"/>
  <c r="AG27" i="2" s="1"/>
  <c r="K28" i="2"/>
  <c r="AG28" i="2" s="1"/>
  <c r="K29" i="2"/>
  <c r="AG29" i="2" s="1"/>
  <c r="K30" i="2"/>
  <c r="AG30" i="2" s="1"/>
  <c r="K31" i="2"/>
  <c r="AG31" i="2" s="1"/>
  <c r="K32" i="2"/>
  <c r="AG32" i="2" s="1"/>
  <c r="K33" i="2"/>
  <c r="AG33" i="2" s="1"/>
  <c r="K34" i="2"/>
  <c r="AG34" i="2" s="1"/>
  <c r="K35" i="2"/>
  <c r="AG35" i="2" s="1"/>
  <c r="K36" i="2"/>
  <c r="AG36" i="2" s="1"/>
  <c r="K37" i="2"/>
  <c r="AG37" i="2" s="1"/>
  <c r="K38" i="2"/>
  <c r="AG38" i="2" s="1"/>
  <c r="K39" i="2"/>
  <c r="AG39" i="2" s="1"/>
  <c r="K40" i="2"/>
  <c r="AG40" i="2" s="1"/>
  <c r="K41" i="2"/>
  <c r="AG41" i="2" s="1"/>
  <c r="K42" i="2"/>
  <c r="AG42" i="2" s="1"/>
  <c r="K43" i="2"/>
  <c r="AG43" i="2" s="1"/>
  <c r="K44" i="2"/>
  <c r="AG44" i="2" s="1"/>
  <c r="K45" i="2"/>
  <c r="AG45" i="2" s="1"/>
  <c r="K46" i="2"/>
  <c r="AG46" i="2" s="1"/>
  <c r="K47" i="2"/>
  <c r="AG47" i="2" s="1"/>
  <c r="K48" i="2"/>
  <c r="AG48" i="2" s="1"/>
  <c r="K49" i="2"/>
  <c r="AG49" i="2" s="1"/>
  <c r="K50" i="2"/>
  <c r="AG50" i="2" s="1"/>
  <c r="K51" i="2"/>
  <c r="AG51" i="2" s="1"/>
  <c r="K52" i="2"/>
  <c r="AG52" i="2" s="1"/>
  <c r="K53" i="2"/>
  <c r="AG53" i="2" s="1"/>
  <c r="K54" i="2"/>
  <c r="AG54" i="2" s="1"/>
  <c r="K55" i="2"/>
  <c r="AG55" i="2" s="1"/>
  <c r="K56" i="2"/>
  <c r="AG56" i="2" s="1"/>
  <c r="K57" i="2"/>
  <c r="AG57" i="2" s="1"/>
  <c r="K58" i="2"/>
  <c r="AG58" i="2" s="1"/>
  <c r="K59" i="2"/>
  <c r="AG59" i="2" s="1"/>
  <c r="K60" i="2"/>
  <c r="AG60" i="2" s="1"/>
  <c r="K61" i="2"/>
  <c r="AG61" i="2" s="1"/>
  <c r="K62" i="2"/>
  <c r="AG62" i="2" s="1"/>
  <c r="K63" i="2"/>
  <c r="AG63" i="2" s="1"/>
  <c r="K64" i="2"/>
  <c r="AG64" i="2" s="1"/>
  <c r="K65" i="2"/>
  <c r="AG65" i="2" s="1"/>
  <c r="K66" i="2"/>
  <c r="AG66" i="2" s="1"/>
  <c r="K67" i="2"/>
  <c r="AG67" i="2" s="1"/>
  <c r="K68" i="2"/>
  <c r="AG68" i="2" s="1"/>
  <c r="K69" i="2"/>
  <c r="AG69" i="2" s="1"/>
  <c r="K70" i="2"/>
  <c r="AG70" i="2" s="1"/>
  <c r="K71" i="2"/>
  <c r="AG71" i="2" s="1"/>
  <c r="K72" i="2"/>
  <c r="AG72" i="2" s="1"/>
  <c r="K73" i="2"/>
  <c r="AG73" i="2" s="1"/>
  <c r="K74" i="2"/>
  <c r="AG74" i="2" s="1"/>
  <c r="K75" i="2"/>
  <c r="AG75" i="2" s="1"/>
  <c r="K76" i="2"/>
  <c r="AG76" i="2" s="1"/>
  <c r="K77" i="2"/>
  <c r="AG77" i="2" s="1"/>
  <c r="K78" i="2"/>
  <c r="AG78" i="2" s="1"/>
  <c r="K79" i="2"/>
  <c r="AG79" i="2" s="1"/>
  <c r="K80" i="2"/>
  <c r="AG80" i="2" s="1"/>
  <c r="K81" i="2"/>
  <c r="AG81" i="2" s="1"/>
  <c r="K82" i="2"/>
  <c r="AG82" i="2" s="1"/>
  <c r="K83" i="2"/>
  <c r="AG83" i="2" s="1"/>
  <c r="K84" i="2"/>
  <c r="AG84" i="2" s="1"/>
  <c r="K85" i="2"/>
  <c r="AG85" i="2" s="1"/>
  <c r="K86" i="2"/>
  <c r="AG86" i="2" s="1"/>
  <c r="K87" i="2"/>
  <c r="AG87" i="2" s="1"/>
  <c r="K88" i="2"/>
  <c r="AG88" i="2" s="1"/>
  <c r="K89" i="2"/>
  <c r="AG89" i="2" s="1"/>
  <c r="K90" i="2"/>
  <c r="AG90" i="2" s="1"/>
  <c r="K91" i="2"/>
  <c r="AG91" i="2" s="1"/>
  <c r="K92" i="2"/>
  <c r="AG92" i="2" s="1"/>
  <c r="K93" i="2"/>
  <c r="AG93" i="2" s="1"/>
  <c r="K94" i="2"/>
  <c r="AG94" i="2" s="1"/>
  <c r="K95" i="2"/>
  <c r="AG95" i="2" s="1"/>
  <c r="K96" i="2"/>
  <c r="AG96" i="2" s="1"/>
  <c r="K97" i="2"/>
  <c r="AG97" i="2" s="1"/>
  <c r="K98" i="2"/>
  <c r="AG98" i="2" s="1"/>
  <c r="K99" i="2"/>
  <c r="AG99" i="2" s="1"/>
  <c r="K100" i="2"/>
  <c r="AG100" i="2" s="1"/>
  <c r="K101" i="2"/>
  <c r="AG101" i="2" s="1"/>
  <c r="K102" i="2"/>
  <c r="AG102" i="2" s="1"/>
  <c r="K103" i="2"/>
  <c r="AG103" i="2" s="1"/>
  <c r="K104" i="2"/>
  <c r="AG104" i="2" s="1"/>
  <c r="K105" i="2"/>
  <c r="AG105" i="2" s="1"/>
  <c r="K106" i="2"/>
  <c r="AG106" i="2" s="1"/>
  <c r="K107" i="2"/>
  <c r="AG107" i="2" s="1"/>
  <c r="K108" i="2"/>
  <c r="AG108" i="2" s="1"/>
  <c r="K109" i="2"/>
  <c r="AG109" i="2" s="1"/>
  <c r="K110" i="2"/>
  <c r="AG110" i="2" s="1"/>
  <c r="K111" i="2"/>
  <c r="AG111" i="2" s="1"/>
  <c r="K112" i="2"/>
  <c r="AG112" i="2" s="1"/>
  <c r="K113" i="2"/>
  <c r="AG113" i="2" s="1"/>
  <c r="K114" i="2"/>
  <c r="AG114" i="2" s="1"/>
  <c r="K115" i="2"/>
  <c r="AG115" i="2" s="1"/>
  <c r="K116" i="2"/>
  <c r="AG116" i="2" s="1"/>
  <c r="K117" i="2"/>
  <c r="AG117" i="2" s="1"/>
  <c r="K118" i="2"/>
  <c r="AG118" i="2" s="1"/>
  <c r="K119" i="2"/>
  <c r="AG119" i="2" s="1"/>
  <c r="K120" i="2"/>
  <c r="AG120" i="2" s="1"/>
  <c r="K121" i="2"/>
  <c r="AG121" i="2" s="1"/>
  <c r="K122" i="2"/>
  <c r="AG122" i="2" s="1"/>
  <c r="K123" i="2"/>
  <c r="AG123" i="2" s="1"/>
  <c r="K124" i="2"/>
  <c r="AG124" i="2" s="1"/>
  <c r="K125" i="2"/>
  <c r="AG125" i="2" s="1"/>
  <c r="K126" i="2"/>
  <c r="AG126" i="2" s="1"/>
  <c r="K127" i="2"/>
  <c r="AG127" i="2" s="1"/>
  <c r="K128" i="2"/>
  <c r="AG128" i="2" s="1"/>
  <c r="K129" i="2"/>
  <c r="AG129" i="2" s="1"/>
  <c r="K130" i="2"/>
  <c r="AG130" i="2" s="1"/>
  <c r="K131" i="2"/>
  <c r="AG131" i="2" s="1"/>
  <c r="K132" i="2"/>
  <c r="AG132" i="2" s="1"/>
  <c r="K133" i="2"/>
  <c r="AG133" i="2" s="1"/>
  <c r="K134" i="2"/>
  <c r="AG134" i="2" s="1"/>
  <c r="K135" i="2"/>
  <c r="AG135" i="2" s="1"/>
  <c r="K136" i="2"/>
  <c r="AG136" i="2" s="1"/>
  <c r="K137" i="2"/>
  <c r="AG137" i="2" s="1"/>
  <c r="K138" i="2"/>
  <c r="AG138" i="2" s="1"/>
  <c r="K139" i="2"/>
  <c r="AG139" i="2" s="1"/>
  <c r="K140" i="2"/>
  <c r="AG140" i="2" s="1"/>
  <c r="K141" i="2"/>
  <c r="AG141" i="2" s="1"/>
  <c r="K142" i="2"/>
  <c r="AG142" i="2" s="1"/>
  <c r="K143" i="2"/>
  <c r="AG143" i="2" s="1"/>
  <c r="K144" i="2"/>
  <c r="AG144" i="2" s="1"/>
  <c r="K145" i="2"/>
  <c r="AG145" i="2" s="1"/>
  <c r="K146" i="2"/>
  <c r="AG146" i="2" s="1"/>
  <c r="K147" i="2"/>
  <c r="AG147" i="2" s="1"/>
  <c r="K148" i="2"/>
  <c r="AG148" i="2" s="1"/>
  <c r="K149" i="2"/>
  <c r="AG149" i="2" s="1"/>
  <c r="K150" i="2"/>
  <c r="AG150" i="2" s="1"/>
  <c r="K151" i="2"/>
  <c r="AG151" i="2" s="1"/>
  <c r="K152" i="2"/>
  <c r="AG152" i="2" s="1"/>
  <c r="K153" i="2"/>
  <c r="AG153" i="2" s="1"/>
  <c r="K154" i="2"/>
  <c r="AG154" i="2" s="1"/>
  <c r="K155" i="2"/>
  <c r="AG155" i="2" s="1"/>
  <c r="K156" i="2"/>
  <c r="AG156" i="2" s="1"/>
  <c r="K157" i="2"/>
  <c r="AG157" i="2" s="1"/>
  <c r="K158" i="2"/>
  <c r="AG158" i="2" s="1"/>
  <c r="K159" i="2"/>
  <c r="AG159" i="2" s="1"/>
  <c r="K160" i="2"/>
  <c r="AG160" i="2" s="1"/>
  <c r="K161" i="2"/>
  <c r="AG161" i="2" s="1"/>
  <c r="K162" i="2"/>
  <c r="AG162" i="2" s="1"/>
  <c r="K163" i="2"/>
  <c r="AG163" i="2" s="1"/>
  <c r="K164" i="2"/>
  <c r="AG164" i="2" s="1"/>
  <c r="K165" i="2"/>
  <c r="AG165" i="2" s="1"/>
  <c r="K166" i="2"/>
  <c r="AG166" i="2" s="1"/>
  <c r="K167" i="2"/>
  <c r="AG167" i="2" s="1"/>
  <c r="K168" i="2"/>
  <c r="AG168" i="2" s="1"/>
  <c r="K169" i="2"/>
  <c r="AG169" i="2" s="1"/>
  <c r="K170" i="2"/>
  <c r="AG170" i="2" s="1"/>
  <c r="K171" i="2"/>
  <c r="AG171" i="2" s="1"/>
  <c r="K172" i="2"/>
  <c r="AG172" i="2" s="1"/>
  <c r="K173" i="2"/>
  <c r="AG173" i="2" s="1"/>
  <c r="K174" i="2"/>
  <c r="AG174" i="2" s="1"/>
  <c r="K175" i="2"/>
  <c r="AG175" i="2" s="1"/>
  <c r="K176" i="2"/>
  <c r="AG176" i="2" s="1"/>
  <c r="K177" i="2"/>
  <c r="AG177" i="2" s="1"/>
  <c r="K178" i="2"/>
  <c r="AG178" i="2" s="1"/>
  <c r="K179" i="2"/>
  <c r="AG179" i="2" s="1"/>
  <c r="K180" i="2"/>
  <c r="AG180" i="2" s="1"/>
  <c r="K181" i="2"/>
  <c r="AG181" i="2" s="1"/>
  <c r="K182" i="2"/>
  <c r="AG182" i="2" s="1"/>
  <c r="K183" i="2"/>
  <c r="AG183" i="2" s="1"/>
  <c r="K184" i="2"/>
  <c r="AG184" i="2" s="1"/>
  <c r="K185" i="2"/>
  <c r="AG185" i="2" s="1"/>
  <c r="K186" i="2"/>
  <c r="AG186" i="2" s="1"/>
  <c r="K187" i="2"/>
  <c r="AG187" i="2" s="1"/>
  <c r="K188" i="2"/>
  <c r="AG188" i="2" s="1"/>
  <c r="K189" i="2"/>
  <c r="AG189" i="2" s="1"/>
  <c r="K190" i="2"/>
  <c r="AG190" i="2" s="1"/>
  <c r="K191" i="2"/>
  <c r="AG191" i="2" s="1"/>
  <c r="K192" i="2"/>
  <c r="AG192" i="2" s="1"/>
  <c r="K193" i="2"/>
  <c r="AG193" i="2" s="1"/>
  <c r="K194" i="2"/>
  <c r="AG194" i="2" s="1"/>
  <c r="K195" i="2"/>
  <c r="AG195" i="2" s="1"/>
  <c r="K196" i="2"/>
  <c r="AG196" i="2" s="1"/>
  <c r="K197" i="2"/>
  <c r="AG197" i="2" s="1"/>
  <c r="K198" i="2"/>
  <c r="AG198" i="2" s="1"/>
  <c r="K199" i="2"/>
  <c r="AG199" i="2" s="1"/>
  <c r="K200" i="2"/>
  <c r="AG200" i="2" s="1"/>
  <c r="K201" i="2"/>
  <c r="AG201" i="2" s="1"/>
  <c r="K202" i="2"/>
  <c r="AG202" i="2" s="1"/>
  <c r="K203" i="2"/>
  <c r="AG203" i="2" s="1"/>
  <c r="K204" i="2"/>
  <c r="AG204" i="2" s="1"/>
  <c r="K205" i="2"/>
  <c r="AG205" i="2" s="1"/>
  <c r="K206" i="2"/>
  <c r="AG206" i="2" s="1"/>
  <c r="K207" i="2"/>
  <c r="AG207" i="2" s="1"/>
  <c r="K208" i="2"/>
  <c r="AG208" i="2" s="1"/>
  <c r="K209" i="2"/>
  <c r="AG209" i="2" s="1"/>
  <c r="K210" i="2"/>
  <c r="AG210" i="2" s="1"/>
  <c r="K211" i="2"/>
  <c r="AG211" i="2" s="1"/>
  <c r="K212" i="2"/>
  <c r="AG212" i="2" s="1"/>
  <c r="K213" i="2"/>
  <c r="AG213" i="2" s="1"/>
  <c r="K214" i="2"/>
  <c r="AG214" i="2" s="1"/>
  <c r="K215" i="2"/>
  <c r="AG215" i="2" s="1"/>
  <c r="K216" i="2"/>
  <c r="AG216" i="2" s="1"/>
  <c r="K217" i="2"/>
  <c r="AG217" i="2" s="1"/>
  <c r="K218" i="2"/>
  <c r="AG218" i="2" s="1"/>
  <c r="K219" i="2"/>
  <c r="AG219" i="2" s="1"/>
  <c r="K220" i="2"/>
  <c r="AG220" i="2" s="1"/>
  <c r="K221" i="2"/>
  <c r="AG221" i="2" s="1"/>
  <c r="K222" i="2"/>
  <c r="AG222" i="2" s="1"/>
  <c r="K223" i="2"/>
  <c r="AG223" i="2" s="1"/>
  <c r="K224" i="2"/>
  <c r="AG224" i="2" s="1"/>
  <c r="K225" i="2"/>
  <c r="AG225" i="2" s="1"/>
  <c r="K226" i="2"/>
  <c r="AG226" i="2" s="1"/>
  <c r="K227" i="2"/>
  <c r="AG227" i="2" s="1"/>
  <c r="K228" i="2"/>
  <c r="AG228" i="2" s="1"/>
  <c r="K229" i="2"/>
  <c r="AG229" i="2" s="1"/>
  <c r="K230" i="2"/>
  <c r="AG230" i="2" s="1"/>
  <c r="K231" i="2"/>
  <c r="AG231" i="2" s="1"/>
  <c r="K232" i="2"/>
  <c r="AG232" i="2" s="1"/>
  <c r="K233" i="2"/>
  <c r="AG233" i="2" s="1"/>
  <c r="K234" i="2"/>
  <c r="AG234" i="2" s="1"/>
  <c r="K235" i="2"/>
  <c r="AG235" i="2" s="1"/>
  <c r="K236" i="2"/>
  <c r="AG236" i="2" s="1"/>
  <c r="K237" i="2"/>
  <c r="AG237" i="2" s="1"/>
  <c r="K238" i="2"/>
  <c r="AG238" i="2" s="1"/>
  <c r="K239" i="2"/>
  <c r="AG239" i="2" s="1"/>
  <c r="K240" i="2"/>
  <c r="AG240" i="2" s="1"/>
  <c r="K241" i="2"/>
  <c r="AG241" i="2" s="1"/>
  <c r="K242" i="2"/>
  <c r="AG242" i="2" s="1"/>
  <c r="K243" i="2"/>
  <c r="AG243" i="2" s="1"/>
  <c r="K244" i="2"/>
  <c r="AG244" i="2" s="1"/>
  <c r="K245" i="2"/>
  <c r="AG245" i="2" s="1"/>
  <c r="K246" i="2"/>
  <c r="AG246" i="2" s="1"/>
  <c r="K247" i="2"/>
  <c r="AG247" i="2" s="1"/>
  <c r="K248" i="2"/>
  <c r="AG248" i="2" s="1"/>
  <c r="K249" i="2"/>
  <c r="AG249" i="2" s="1"/>
  <c r="K250" i="2"/>
  <c r="AG250" i="2" s="1"/>
  <c r="K251" i="2"/>
  <c r="AG251" i="2" s="1"/>
  <c r="K252" i="2"/>
  <c r="AG252" i="2" s="1"/>
  <c r="K253" i="2"/>
  <c r="AG253" i="2" s="1"/>
  <c r="K254" i="2"/>
  <c r="AG254" i="2" s="1"/>
  <c r="K255" i="2"/>
  <c r="AG255" i="2" s="1"/>
  <c r="K256" i="2"/>
  <c r="AG256" i="2" s="1"/>
  <c r="K257" i="2"/>
  <c r="AG257" i="2" s="1"/>
  <c r="K258" i="2"/>
  <c r="AG258" i="2" s="1"/>
  <c r="K259" i="2"/>
  <c r="AG259" i="2" s="1"/>
  <c r="K260" i="2"/>
  <c r="AG260" i="2" s="1"/>
  <c r="K261" i="2"/>
  <c r="AG261" i="2" s="1"/>
  <c r="K262" i="2"/>
  <c r="AG262" i="2" s="1"/>
  <c r="K263" i="2"/>
  <c r="AG263" i="2" s="1"/>
  <c r="K264" i="2"/>
  <c r="AG264" i="2" s="1"/>
  <c r="K265" i="2"/>
  <c r="AG265" i="2" s="1"/>
  <c r="K266" i="2"/>
  <c r="AG266" i="2" s="1"/>
  <c r="K267" i="2"/>
  <c r="AG267" i="2" s="1"/>
  <c r="K268" i="2"/>
  <c r="AG268" i="2" s="1"/>
  <c r="K269" i="2"/>
  <c r="AG269" i="2" s="1"/>
  <c r="K270" i="2"/>
  <c r="AG270" i="2" s="1"/>
  <c r="K271" i="2"/>
  <c r="AG271" i="2" s="1"/>
  <c r="K272" i="2"/>
  <c r="AG272" i="2" s="1"/>
  <c r="K273" i="2"/>
  <c r="AG273" i="2" s="1"/>
  <c r="K274" i="2"/>
  <c r="AG274" i="2" s="1"/>
  <c r="K275" i="2"/>
  <c r="AG275" i="2" s="1"/>
  <c r="K276" i="2"/>
  <c r="AG276" i="2" s="1"/>
  <c r="K277" i="2"/>
  <c r="AG277" i="2" s="1"/>
  <c r="K278" i="2"/>
  <c r="AG278" i="2" s="1"/>
  <c r="K279" i="2"/>
  <c r="AG279" i="2" s="1"/>
  <c r="K280" i="2"/>
  <c r="AG280" i="2" s="1"/>
  <c r="K281" i="2"/>
  <c r="AG281" i="2" s="1"/>
  <c r="K282" i="2"/>
  <c r="AG282" i="2" s="1"/>
  <c r="K283" i="2"/>
  <c r="AG283" i="2" s="1"/>
  <c r="K284" i="2"/>
  <c r="AG284" i="2" s="1"/>
  <c r="K285" i="2"/>
  <c r="AG285" i="2" s="1"/>
  <c r="K286" i="2"/>
  <c r="AG286" i="2" s="1"/>
  <c r="K287" i="2"/>
  <c r="AG287" i="2" s="1"/>
  <c r="K288" i="2"/>
  <c r="AG288" i="2" s="1"/>
  <c r="K289" i="2"/>
  <c r="AG289" i="2" s="1"/>
  <c r="K290" i="2"/>
  <c r="AG290" i="2" s="1"/>
  <c r="K291" i="2"/>
  <c r="AG291" i="2" s="1"/>
  <c r="K292" i="2"/>
  <c r="AG292" i="2" s="1"/>
  <c r="K293" i="2"/>
  <c r="AG293" i="2" s="1"/>
  <c r="K294" i="2"/>
  <c r="AG294" i="2" s="1"/>
  <c r="K295" i="2"/>
  <c r="AG295" i="2" s="1"/>
  <c r="K296" i="2"/>
  <c r="AG296" i="2" s="1"/>
  <c r="K297" i="2"/>
  <c r="AG297" i="2" s="1"/>
  <c r="K298" i="2"/>
  <c r="AG298" i="2" s="1"/>
  <c r="K299" i="2"/>
  <c r="AG299" i="2" s="1"/>
  <c r="K300" i="2"/>
  <c r="AG300" i="2" s="1"/>
  <c r="K301" i="2"/>
  <c r="AG301" i="2" s="1"/>
  <c r="K302" i="2"/>
  <c r="AG302" i="2" s="1"/>
  <c r="K303" i="2"/>
  <c r="AG303" i="2" s="1"/>
  <c r="K304" i="2"/>
  <c r="AG304" i="2" s="1"/>
  <c r="K305" i="2"/>
  <c r="AG305" i="2" s="1"/>
  <c r="K306" i="2"/>
  <c r="AG306" i="2" s="1"/>
  <c r="K307" i="2"/>
  <c r="AG307" i="2" s="1"/>
  <c r="K308" i="2"/>
  <c r="AG308" i="2" s="1"/>
  <c r="K309" i="2"/>
  <c r="AG309" i="2" s="1"/>
  <c r="K310" i="2"/>
  <c r="AG310" i="2" s="1"/>
  <c r="K311" i="2"/>
  <c r="AG311" i="2" s="1"/>
  <c r="K312" i="2"/>
  <c r="AG312" i="2" s="1"/>
  <c r="L2" i="2"/>
  <c r="L3" i="2"/>
  <c r="L4" i="2"/>
  <c r="AJ4" i="2" s="1"/>
  <c r="L5" i="2"/>
  <c r="AJ7" i="2"/>
  <c r="AJ8" i="2"/>
  <c r="AJ9" i="2"/>
  <c r="L10" i="2"/>
  <c r="AJ10" i="2" s="1"/>
  <c r="L11" i="2"/>
  <c r="AJ11" i="2" s="1"/>
  <c r="L12" i="2"/>
  <c r="AJ12" i="2" s="1"/>
  <c r="L13" i="2"/>
  <c r="AJ13" i="2" s="1"/>
  <c r="L14" i="2"/>
  <c r="AJ14" i="2" s="1"/>
  <c r="L15" i="2"/>
  <c r="AJ15" i="2" s="1"/>
  <c r="L16" i="2"/>
  <c r="AJ16" i="2" s="1"/>
  <c r="L17" i="2"/>
  <c r="AJ17" i="2" s="1"/>
  <c r="L18" i="2"/>
  <c r="AJ18" i="2" s="1"/>
  <c r="L19" i="2"/>
  <c r="AJ19" i="2" s="1"/>
  <c r="L20" i="2"/>
  <c r="AJ20" i="2" s="1"/>
  <c r="L21" i="2"/>
  <c r="AJ21" i="2" s="1"/>
  <c r="L22" i="2"/>
  <c r="AJ22" i="2" s="1"/>
  <c r="L23" i="2"/>
  <c r="AJ23" i="2" s="1"/>
  <c r="L24" i="2"/>
  <c r="AJ24" i="2" s="1"/>
  <c r="L25" i="2"/>
  <c r="AJ25" i="2" s="1"/>
  <c r="L26" i="2"/>
  <c r="AJ26" i="2" s="1"/>
  <c r="L27" i="2"/>
  <c r="AJ27" i="2" s="1"/>
  <c r="L28" i="2"/>
  <c r="AJ28" i="2" s="1"/>
  <c r="L29" i="2"/>
  <c r="AJ29" i="2" s="1"/>
  <c r="L30" i="2"/>
  <c r="AJ30" i="2" s="1"/>
  <c r="L31" i="2"/>
  <c r="AJ31" i="2" s="1"/>
  <c r="L32" i="2"/>
  <c r="AJ32" i="2" s="1"/>
  <c r="L33" i="2"/>
  <c r="AJ33" i="2" s="1"/>
  <c r="L34" i="2"/>
  <c r="AJ34" i="2" s="1"/>
  <c r="L35" i="2"/>
  <c r="AJ35" i="2" s="1"/>
  <c r="L36" i="2"/>
  <c r="AJ36" i="2" s="1"/>
  <c r="L37" i="2"/>
  <c r="AJ37" i="2" s="1"/>
  <c r="L38" i="2"/>
  <c r="AJ38" i="2" s="1"/>
  <c r="L39" i="2"/>
  <c r="AJ39" i="2" s="1"/>
  <c r="L40" i="2"/>
  <c r="AJ40" i="2" s="1"/>
  <c r="L41" i="2"/>
  <c r="AJ41" i="2" s="1"/>
  <c r="L42" i="2"/>
  <c r="AJ42" i="2" s="1"/>
  <c r="L43" i="2"/>
  <c r="AJ43" i="2" s="1"/>
  <c r="L44" i="2"/>
  <c r="AJ44" i="2" s="1"/>
  <c r="L45" i="2"/>
  <c r="AJ45" i="2" s="1"/>
  <c r="L46" i="2"/>
  <c r="AJ46" i="2" s="1"/>
  <c r="L47" i="2"/>
  <c r="AJ47" i="2" s="1"/>
  <c r="L48" i="2"/>
  <c r="AJ48" i="2" s="1"/>
  <c r="L49" i="2"/>
  <c r="AJ49" i="2" s="1"/>
  <c r="L50" i="2"/>
  <c r="AJ50" i="2" s="1"/>
  <c r="L51" i="2"/>
  <c r="AJ51" i="2" s="1"/>
  <c r="L52" i="2"/>
  <c r="AJ52" i="2" s="1"/>
  <c r="L53" i="2"/>
  <c r="AJ53" i="2" s="1"/>
  <c r="L54" i="2"/>
  <c r="AJ54" i="2" s="1"/>
  <c r="L55" i="2"/>
  <c r="AJ55" i="2" s="1"/>
  <c r="L56" i="2"/>
  <c r="AJ56" i="2" s="1"/>
  <c r="L57" i="2"/>
  <c r="AJ57" i="2" s="1"/>
  <c r="L58" i="2"/>
  <c r="AJ58" i="2" s="1"/>
  <c r="L59" i="2"/>
  <c r="AJ59" i="2" s="1"/>
  <c r="L60" i="2"/>
  <c r="AJ60" i="2" s="1"/>
  <c r="L61" i="2"/>
  <c r="AJ61" i="2" s="1"/>
  <c r="L62" i="2"/>
  <c r="AJ62" i="2" s="1"/>
  <c r="L63" i="2"/>
  <c r="AJ63" i="2" s="1"/>
  <c r="L64" i="2"/>
  <c r="AJ64" i="2" s="1"/>
  <c r="L65" i="2"/>
  <c r="AJ65" i="2" s="1"/>
  <c r="L66" i="2"/>
  <c r="AJ66" i="2" s="1"/>
  <c r="L67" i="2"/>
  <c r="AJ67" i="2" s="1"/>
  <c r="L68" i="2"/>
  <c r="AJ68" i="2" s="1"/>
  <c r="L69" i="2"/>
  <c r="AJ69" i="2" s="1"/>
  <c r="L70" i="2"/>
  <c r="AJ70" i="2" s="1"/>
  <c r="L71" i="2"/>
  <c r="AJ71" i="2" s="1"/>
  <c r="L72" i="2"/>
  <c r="AJ72" i="2" s="1"/>
  <c r="L73" i="2"/>
  <c r="AJ73" i="2" s="1"/>
  <c r="L74" i="2"/>
  <c r="AJ74" i="2" s="1"/>
  <c r="L75" i="2"/>
  <c r="AJ75" i="2" s="1"/>
  <c r="L76" i="2"/>
  <c r="AJ76" i="2" s="1"/>
  <c r="L77" i="2"/>
  <c r="AJ77" i="2" s="1"/>
  <c r="L78" i="2"/>
  <c r="AJ78" i="2" s="1"/>
  <c r="L79" i="2"/>
  <c r="AJ79" i="2" s="1"/>
  <c r="L80" i="2"/>
  <c r="AJ80" i="2" s="1"/>
  <c r="L81" i="2"/>
  <c r="AJ81" i="2" s="1"/>
  <c r="L82" i="2"/>
  <c r="AJ82" i="2" s="1"/>
  <c r="L83" i="2"/>
  <c r="AJ83" i="2" s="1"/>
  <c r="L84" i="2"/>
  <c r="AJ84" i="2" s="1"/>
  <c r="L85" i="2"/>
  <c r="AJ85" i="2" s="1"/>
  <c r="L86" i="2"/>
  <c r="AJ86" i="2" s="1"/>
  <c r="L87" i="2"/>
  <c r="AJ87" i="2" s="1"/>
  <c r="L88" i="2"/>
  <c r="AJ88" i="2" s="1"/>
  <c r="L89" i="2"/>
  <c r="AJ89" i="2" s="1"/>
  <c r="L90" i="2"/>
  <c r="AJ90" i="2" s="1"/>
  <c r="L91" i="2"/>
  <c r="AJ91" i="2" s="1"/>
  <c r="L92" i="2"/>
  <c r="AJ92" i="2" s="1"/>
  <c r="L93" i="2"/>
  <c r="AJ93" i="2" s="1"/>
  <c r="L94" i="2"/>
  <c r="AJ94" i="2" s="1"/>
  <c r="L95" i="2"/>
  <c r="AJ95" i="2" s="1"/>
  <c r="L96" i="2"/>
  <c r="AJ96" i="2" s="1"/>
  <c r="L97" i="2"/>
  <c r="AJ97" i="2" s="1"/>
  <c r="L98" i="2"/>
  <c r="AJ98" i="2" s="1"/>
  <c r="L99" i="2"/>
  <c r="AJ99" i="2" s="1"/>
  <c r="L100" i="2"/>
  <c r="AJ100" i="2" s="1"/>
  <c r="L101" i="2"/>
  <c r="AJ101" i="2" s="1"/>
  <c r="L102" i="2"/>
  <c r="AJ102" i="2" s="1"/>
  <c r="L103" i="2"/>
  <c r="AJ103" i="2" s="1"/>
  <c r="L104" i="2"/>
  <c r="AJ104" i="2" s="1"/>
  <c r="L105" i="2"/>
  <c r="AJ105" i="2" s="1"/>
  <c r="L106" i="2"/>
  <c r="AJ106" i="2" s="1"/>
  <c r="L107" i="2"/>
  <c r="AJ107" i="2" s="1"/>
  <c r="L108" i="2"/>
  <c r="AJ108" i="2" s="1"/>
  <c r="L109" i="2"/>
  <c r="AJ109" i="2" s="1"/>
  <c r="L110" i="2"/>
  <c r="AJ110" i="2" s="1"/>
  <c r="L111" i="2"/>
  <c r="AJ111" i="2" s="1"/>
  <c r="L112" i="2"/>
  <c r="AJ112" i="2" s="1"/>
  <c r="L113" i="2"/>
  <c r="AJ113" i="2" s="1"/>
  <c r="L114" i="2"/>
  <c r="AJ114" i="2" s="1"/>
  <c r="L115" i="2"/>
  <c r="AJ115" i="2" s="1"/>
  <c r="L116" i="2"/>
  <c r="AJ116" i="2" s="1"/>
  <c r="L117" i="2"/>
  <c r="AJ117" i="2" s="1"/>
  <c r="L118" i="2"/>
  <c r="AJ118" i="2" s="1"/>
  <c r="L119" i="2"/>
  <c r="AJ119" i="2" s="1"/>
  <c r="L120" i="2"/>
  <c r="AJ120" i="2" s="1"/>
  <c r="L121" i="2"/>
  <c r="AJ121" i="2" s="1"/>
  <c r="L122" i="2"/>
  <c r="AJ122" i="2" s="1"/>
  <c r="L123" i="2"/>
  <c r="AJ123" i="2" s="1"/>
  <c r="L124" i="2"/>
  <c r="AJ124" i="2" s="1"/>
  <c r="L125" i="2"/>
  <c r="AJ125" i="2" s="1"/>
  <c r="L126" i="2"/>
  <c r="AJ126" i="2" s="1"/>
  <c r="L127" i="2"/>
  <c r="AJ127" i="2" s="1"/>
  <c r="L128" i="2"/>
  <c r="AJ128" i="2" s="1"/>
  <c r="L129" i="2"/>
  <c r="AJ129" i="2" s="1"/>
  <c r="L130" i="2"/>
  <c r="AJ130" i="2" s="1"/>
  <c r="L131" i="2"/>
  <c r="AJ131" i="2" s="1"/>
  <c r="L132" i="2"/>
  <c r="AJ132" i="2" s="1"/>
  <c r="L133" i="2"/>
  <c r="AJ133" i="2" s="1"/>
  <c r="L134" i="2"/>
  <c r="AJ134" i="2" s="1"/>
  <c r="L135" i="2"/>
  <c r="AJ135" i="2" s="1"/>
  <c r="L136" i="2"/>
  <c r="AJ136" i="2" s="1"/>
  <c r="L137" i="2"/>
  <c r="AJ137" i="2" s="1"/>
  <c r="L138" i="2"/>
  <c r="AJ138" i="2" s="1"/>
  <c r="L139" i="2"/>
  <c r="AJ139" i="2" s="1"/>
  <c r="L140" i="2"/>
  <c r="AJ140" i="2" s="1"/>
  <c r="L141" i="2"/>
  <c r="AJ141" i="2" s="1"/>
  <c r="L142" i="2"/>
  <c r="AJ142" i="2" s="1"/>
  <c r="L143" i="2"/>
  <c r="AJ143" i="2" s="1"/>
  <c r="L144" i="2"/>
  <c r="AJ144" i="2" s="1"/>
  <c r="L145" i="2"/>
  <c r="AJ145" i="2" s="1"/>
  <c r="L146" i="2"/>
  <c r="AJ146" i="2" s="1"/>
  <c r="L147" i="2"/>
  <c r="AJ147" i="2" s="1"/>
  <c r="L148" i="2"/>
  <c r="AJ148" i="2" s="1"/>
  <c r="L149" i="2"/>
  <c r="AJ149" i="2" s="1"/>
  <c r="L150" i="2"/>
  <c r="AJ150" i="2" s="1"/>
  <c r="L151" i="2"/>
  <c r="AJ151" i="2" s="1"/>
  <c r="L152" i="2"/>
  <c r="AJ152" i="2" s="1"/>
  <c r="L153" i="2"/>
  <c r="AJ153" i="2" s="1"/>
  <c r="L154" i="2"/>
  <c r="AJ154" i="2" s="1"/>
  <c r="L155" i="2"/>
  <c r="AJ155" i="2" s="1"/>
  <c r="L156" i="2"/>
  <c r="AJ156" i="2" s="1"/>
  <c r="L157" i="2"/>
  <c r="AJ157" i="2" s="1"/>
  <c r="L158" i="2"/>
  <c r="AJ158" i="2" s="1"/>
  <c r="L159" i="2"/>
  <c r="AJ159" i="2" s="1"/>
  <c r="L160" i="2"/>
  <c r="AJ160" i="2" s="1"/>
  <c r="L161" i="2"/>
  <c r="AJ161" i="2" s="1"/>
  <c r="L162" i="2"/>
  <c r="AJ162" i="2" s="1"/>
  <c r="L163" i="2"/>
  <c r="AJ163" i="2" s="1"/>
  <c r="L164" i="2"/>
  <c r="AJ164" i="2" s="1"/>
  <c r="L165" i="2"/>
  <c r="AJ165" i="2" s="1"/>
  <c r="L166" i="2"/>
  <c r="AJ166" i="2" s="1"/>
  <c r="L167" i="2"/>
  <c r="AJ167" i="2" s="1"/>
  <c r="L168" i="2"/>
  <c r="AJ168" i="2" s="1"/>
  <c r="L169" i="2"/>
  <c r="AJ169" i="2" s="1"/>
  <c r="L170" i="2"/>
  <c r="AJ170" i="2" s="1"/>
  <c r="L171" i="2"/>
  <c r="AJ171" i="2" s="1"/>
  <c r="L172" i="2"/>
  <c r="AJ172" i="2" s="1"/>
  <c r="L173" i="2"/>
  <c r="AJ173" i="2" s="1"/>
  <c r="L174" i="2"/>
  <c r="AJ174" i="2" s="1"/>
  <c r="L175" i="2"/>
  <c r="AJ175" i="2" s="1"/>
  <c r="L176" i="2"/>
  <c r="AJ176" i="2" s="1"/>
  <c r="L177" i="2"/>
  <c r="AJ177" i="2" s="1"/>
  <c r="L178" i="2"/>
  <c r="AJ178" i="2" s="1"/>
  <c r="L179" i="2"/>
  <c r="AJ179" i="2" s="1"/>
  <c r="L180" i="2"/>
  <c r="AJ180" i="2" s="1"/>
  <c r="L181" i="2"/>
  <c r="AJ181" i="2" s="1"/>
  <c r="L182" i="2"/>
  <c r="AJ182" i="2" s="1"/>
  <c r="L183" i="2"/>
  <c r="AJ183" i="2" s="1"/>
  <c r="L184" i="2"/>
  <c r="AJ184" i="2" s="1"/>
  <c r="L185" i="2"/>
  <c r="AJ185" i="2" s="1"/>
  <c r="L186" i="2"/>
  <c r="AJ186" i="2" s="1"/>
  <c r="L187" i="2"/>
  <c r="AJ187" i="2" s="1"/>
  <c r="L188" i="2"/>
  <c r="AJ188" i="2" s="1"/>
  <c r="L189" i="2"/>
  <c r="AJ189" i="2" s="1"/>
  <c r="L190" i="2"/>
  <c r="AJ190" i="2" s="1"/>
  <c r="L191" i="2"/>
  <c r="AJ191" i="2" s="1"/>
  <c r="L192" i="2"/>
  <c r="AJ192" i="2" s="1"/>
  <c r="L193" i="2"/>
  <c r="AJ193" i="2" s="1"/>
  <c r="L194" i="2"/>
  <c r="AJ194" i="2" s="1"/>
  <c r="L195" i="2"/>
  <c r="AJ195" i="2" s="1"/>
  <c r="L196" i="2"/>
  <c r="AJ196" i="2" s="1"/>
  <c r="L197" i="2"/>
  <c r="AJ197" i="2" s="1"/>
  <c r="L198" i="2"/>
  <c r="AJ198" i="2" s="1"/>
  <c r="L199" i="2"/>
  <c r="AJ199" i="2" s="1"/>
  <c r="L200" i="2"/>
  <c r="AJ200" i="2" s="1"/>
  <c r="L201" i="2"/>
  <c r="AJ201" i="2" s="1"/>
  <c r="L202" i="2"/>
  <c r="AJ202" i="2" s="1"/>
  <c r="L203" i="2"/>
  <c r="AJ203" i="2" s="1"/>
  <c r="L204" i="2"/>
  <c r="AJ204" i="2" s="1"/>
  <c r="L205" i="2"/>
  <c r="AJ205" i="2" s="1"/>
  <c r="L206" i="2"/>
  <c r="AJ206" i="2" s="1"/>
  <c r="L207" i="2"/>
  <c r="AJ207" i="2" s="1"/>
  <c r="L208" i="2"/>
  <c r="AJ208" i="2" s="1"/>
  <c r="L209" i="2"/>
  <c r="AJ209" i="2" s="1"/>
  <c r="L210" i="2"/>
  <c r="AJ210" i="2" s="1"/>
  <c r="L211" i="2"/>
  <c r="AJ211" i="2" s="1"/>
  <c r="L212" i="2"/>
  <c r="AJ212" i="2" s="1"/>
  <c r="L213" i="2"/>
  <c r="AJ213" i="2" s="1"/>
  <c r="L214" i="2"/>
  <c r="AJ214" i="2" s="1"/>
  <c r="L215" i="2"/>
  <c r="AJ215" i="2" s="1"/>
  <c r="L216" i="2"/>
  <c r="AJ216" i="2" s="1"/>
  <c r="L217" i="2"/>
  <c r="AJ217" i="2" s="1"/>
  <c r="L218" i="2"/>
  <c r="AJ218" i="2" s="1"/>
  <c r="L219" i="2"/>
  <c r="AJ219" i="2" s="1"/>
  <c r="L220" i="2"/>
  <c r="AJ220" i="2" s="1"/>
  <c r="L221" i="2"/>
  <c r="AJ221" i="2" s="1"/>
  <c r="L222" i="2"/>
  <c r="AJ222" i="2" s="1"/>
  <c r="L223" i="2"/>
  <c r="AJ223" i="2" s="1"/>
  <c r="L224" i="2"/>
  <c r="AJ224" i="2" s="1"/>
  <c r="L225" i="2"/>
  <c r="AJ225" i="2" s="1"/>
  <c r="L226" i="2"/>
  <c r="AJ226" i="2" s="1"/>
  <c r="L227" i="2"/>
  <c r="AJ227" i="2" s="1"/>
  <c r="L228" i="2"/>
  <c r="AJ228" i="2" s="1"/>
  <c r="L229" i="2"/>
  <c r="AJ229" i="2" s="1"/>
  <c r="L230" i="2"/>
  <c r="AJ230" i="2" s="1"/>
  <c r="L231" i="2"/>
  <c r="AJ231" i="2" s="1"/>
  <c r="L232" i="2"/>
  <c r="AJ232" i="2" s="1"/>
  <c r="L233" i="2"/>
  <c r="AJ233" i="2" s="1"/>
  <c r="L234" i="2"/>
  <c r="AJ234" i="2" s="1"/>
  <c r="L235" i="2"/>
  <c r="AJ235" i="2" s="1"/>
  <c r="L236" i="2"/>
  <c r="AJ236" i="2" s="1"/>
  <c r="L237" i="2"/>
  <c r="AJ237" i="2" s="1"/>
  <c r="L238" i="2"/>
  <c r="AJ238" i="2" s="1"/>
  <c r="L239" i="2"/>
  <c r="AJ239" i="2" s="1"/>
  <c r="L240" i="2"/>
  <c r="AJ240" i="2" s="1"/>
  <c r="L241" i="2"/>
  <c r="AJ241" i="2" s="1"/>
  <c r="L242" i="2"/>
  <c r="AJ242" i="2" s="1"/>
  <c r="L243" i="2"/>
  <c r="AJ243" i="2" s="1"/>
  <c r="L244" i="2"/>
  <c r="AJ244" i="2" s="1"/>
  <c r="L245" i="2"/>
  <c r="AJ245" i="2" s="1"/>
  <c r="L246" i="2"/>
  <c r="AJ246" i="2" s="1"/>
  <c r="L247" i="2"/>
  <c r="AJ247" i="2" s="1"/>
  <c r="L248" i="2"/>
  <c r="AJ248" i="2" s="1"/>
  <c r="L249" i="2"/>
  <c r="AJ249" i="2" s="1"/>
  <c r="L250" i="2"/>
  <c r="AJ250" i="2" s="1"/>
  <c r="L251" i="2"/>
  <c r="AJ251" i="2" s="1"/>
  <c r="L252" i="2"/>
  <c r="AJ252" i="2" s="1"/>
  <c r="L253" i="2"/>
  <c r="AJ253" i="2" s="1"/>
  <c r="L254" i="2"/>
  <c r="AJ254" i="2" s="1"/>
  <c r="L255" i="2"/>
  <c r="AJ255" i="2" s="1"/>
  <c r="L256" i="2"/>
  <c r="AJ256" i="2" s="1"/>
  <c r="L257" i="2"/>
  <c r="AJ257" i="2" s="1"/>
  <c r="L258" i="2"/>
  <c r="AJ258" i="2" s="1"/>
  <c r="L259" i="2"/>
  <c r="AJ259" i="2" s="1"/>
  <c r="L260" i="2"/>
  <c r="AJ260" i="2" s="1"/>
  <c r="L261" i="2"/>
  <c r="AJ261" i="2" s="1"/>
  <c r="L262" i="2"/>
  <c r="AJ262" i="2" s="1"/>
  <c r="L263" i="2"/>
  <c r="AJ263" i="2" s="1"/>
  <c r="L264" i="2"/>
  <c r="AJ264" i="2" s="1"/>
  <c r="L265" i="2"/>
  <c r="AJ265" i="2" s="1"/>
  <c r="L266" i="2"/>
  <c r="AJ266" i="2" s="1"/>
  <c r="L267" i="2"/>
  <c r="AJ267" i="2" s="1"/>
  <c r="L268" i="2"/>
  <c r="AJ268" i="2" s="1"/>
  <c r="L269" i="2"/>
  <c r="AJ269" i="2" s="1"/>
  <c r="L270" i="2"/>
  <c r="AJ270" i="2" s="1"/>
  <c r="L271" i="2"/>
  <c r="AJ271" i="2" s="1"/>
  <c r="L272" i="2"/>
  <c r="AJ272" i="2" s="1"/>
  <c r="L273" i="2"/>
  <c r="AJ273" i="2" s="1"/>
  <c r="L274" i="2"/>
  <c r="AJ274" i="2" s="1"/>
  <c r="L275" i="2"/>
  <c r="AJ275" i="2" s="1"/>
  <c r="L276" i="2"/>
  <c r="AJ276" i="2" s="1"/>
  <c r="L277" i="2"/>
  <c r="AJ277" i="2" s="1"/>
  <c r="L278" i="2"/>
  <c r="AJ278" i="2" s="1"/>
  <c r="L279" i="2"/>
  <c r="AJ279" i="2" s="1"/>
  <c r="L280" i="2"/>
  <c r="AJ280" i="2" s="1"/>
  <c r="L281" i="2"/>
  <c r="AJ281" i="2" s="1"/>
  <c r="L282" i="2"/>
  <c r="AJ282" i="2" s="1"/>
  <c r="L283" i="2"/>
  <c r="AJ283" i="2" s="1"/>
  <c r="L284" i="2"/>
  <c r="AJ284" i="2" s="1"/>
  <c r="L285" i="2"/>
  <c r="AJ285" i="2" s="1"/>
  <c r="L286" i="2"/>
  <c r="AJ286" i="2" s="1"/>
  <c r="L287" i="2"/>
  <c r="AJ287" i="2" s="1"/>
  <c r="L288" i="2"/>
  <c r="AJ288" i="2" s="1"/>
  <c r="L289" i="2"/>
  <c r="AJ289" i="2" s="1"/>
  <c r="L290" i="2"/>
  <c r="AJ290" i="2" s="1"/>
  <c r="L291" i="2"/>
  <c r="AJ291" i="2" s="1"/>
  <c r="L292" i="2"/>
  <c r="AJ292" i="2" s="1"/>
  <c r="L293" i="2"/>
  <c r="AJ293" i="2" s="1"/>
  <c r="L294" i="2"/>
  <c r="AJ294" i="2" s="1"/>
  <c r="L295" i="2"/>
  <c r="AJ295" i="2" s="1"/>
  <c r="L296" i="2"/>
  <c r="AJ296" i="2" s="1"/>
  <c r="L297" i="2"/>
  <c r="AJ297" i="2" s="1"/>
  <c r="L298" i="2"/>
  <c r="AJ298" i="2" s="1"/>
  <c r="L299" i="2"/>
  <c r="AJ299" i="2" s="1"/>
  <c r="L300" i="2"/>
  <c r="AJ300" i="2" s="1"/>
  <c r="L301" i="2"/>
  <c r="AJ301" i="2" s="1"/>
  <c r="L302" i="2"/>
  <c r="AJ302" i="2" s="1"/>
  <c r="L303" i="2"/>
  <c r="AJ303" i="2" s="1"/>
  <c r="L304" i="2"/>
  <c r="AJ304" i="2" s="1"/>
  <c r="L305" i="2"/>
  <c r="AJ305" i="2" s="1"/>
  <c r="L306" i="2"/>
  <c r="AJ306" i="2" s="1"/>
  <c r="L307" i="2"/>
  <c r="AJ307" i="2" s="1"/>
  <c r="L308" i="2"/>
  <c r="AJ308" i="2" s="1"/>
  <c r="L309" i="2"/>
  <c r="AJ309" i="2" s="1"/>
  <c r="L310" i="2"/>
  <c r="AJ310" i="2" s="1"/>
  <c r="L311" i="2"/>
  <c r="AJ311" i="2" s="1"/>
  <c r="L312" i="2"/>
  <c r="AJ312" i="2" s="1"/>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B2" i="15"/>
  <c r="B3" i="15"/>
  <c r="B4" i="15"/>
  <c r="B5" i="15"/>
  <c r="B6" i="15"/>
  <c r="B7" i="15"/>
  <c r="B8" i="15"/>
  <c r="B9"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2"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D5" i="28" a="1"/>
  <c r="E21" i="30" a="1"/>
  <c r="E6" i="29" a="1"/>
  <c r="B11" i="30" a="1"/>
  <c r="E22" i="29" a="1"/>
  <c r="E6" i="30" a="1"/>
  <c r="F12" i="30" a="1"/>
  <c r="D5" i="29" a="1"/>
  <c r="E13" i="29" a="1"/>
  <c r="B14" i="28" a="1"/>
  <c r="D4" i="29" a="1"/>
  <c r="D3" i="29" a="1"/>
  <c r="G24" i="28" a="1"/>
  <c r="E2" i="30" a="1"/>
  <c r="B15" i="30" a="1"/>
  <c r="D5" i="30" a="1"/>
  <c r="E21" i="29" a="1"/>
  <c r="B9" i="29" a="1"/>
  <c r="F23" i="29" a="1"/>
  <c r="D3" i="30" a="1"/>
  <c r="F12" i="28" a="1"/>
  <c r="E6" i="28" a="1"/>
  <c r="C7" i="29" a="1"/>
  <c r="E13" i="28" a="1"/>
  <c r="B14" i="30" a="1"/>
  <c r="E2" i="28" a="1"/>
  <c r="C7" i="30" a="1"/>
  <c r="G24" i="30" a="1"/>
  <c r="C8" i="30" a="1"/>
  <c r="D4" i="30" a="1"/>
  <c r="E22" i="28" a="1"/>
  <c r="C8" i="28" a="1"/>
  <c r="B14" i="29" a="1"/>
  <c r="E2" i="29" a="1"/>
  <c r="C7" i="28" a="1"/>
  <c r="F23" i="30" a="1"/>
  <c r="G24" i="29" a="1"/>
  <c r="B11" i="28" a="1"/>
  <c r="E21" i="28" a="1"/>
  <c r="D4" i="28" a="1"/>
  <c r="B15" i="28" a="1"/>
  <c r="C8" i="29" a="1"/>
  <c r="F23" i="28" a="1"/>
  <c r="B15" i="29" a="1"/>
  <c r="B9" i="30" a="1"/>
  <c r="B9" i="28" a="1"/>
  <c r="D3" i="28" a="1"/>
  <c r="E13" i="30" a="1"/>
  <c r="B11" i="29" a="1"/>
  <c r="E22" i="30" a="1"/>
  <c r="F12" i="29" a="1"/>
  <c r="E9" i="27" l="1"/>
  <c r="E11" i="27"/>
  <c r="E15" i="27"/>
  <c r="E14" i="27"/>
  <c r="F7" i="27"/>
  <c r="F8" i="27"/>
  <c r="G4" i="27"/>
  <c r="G3" i="27"/>
  <c r="H2" i="27"/>
  <c r="C4" i="32"/>
  <c r="C3" i="32"/>
  <c r="C2" i="32"/>
  <c r="B61" i="32"/>
  <c r="B10" i="32"/>
  <c r="B62" i="32"/>
  <c r="B64" i="32"/>
  <c r="B65" i="32"/>
  <c r="B66" i="32"/>
  <c r="B63" i="32"/>
  <c r="B53" i="32"/>
  <c r="B56" i="32"/>
  <c r="B59" i="32"/>
  <c r="B60" i="32"/>
  <c r="B67" i="32"/>
  <c r="B54" i="32"/>
  <c r="B55" i="32"/>
  <c r="B58" i="32"/>
  <c r="B57" i="32"/>
  <c r="AJ5" i="2"/>
  <c r="AD2" i="2"/>
  <c r="B18" i="32"/>
  <c r="B8" i="32"/>
  <c r="B25" i="32"/>
  <c r="B19" i="32"/>
  <c r="B15" i="32"/>
  <c r="B28" i="32"/>
  <c r="B23" i="32"/>
  <c r="B16" i="32"/>
  <c r="B26" i="32"/>
  <c r="B29" i="32"/>
  <c r="B27" i="32"/>
  <c r="B20" i="32"/>
  <c r="B17" i="32"/>
  <c r="B21" i="32"/>
  <c r="B24" i="32"/>
  <c r="B22" i="32"/>
  <c r="B9" i="32"/>
  <c r="B42" i="32"/>
  <c r="B34" i="32"/>
  <c r="B36" i="32"/>
  <c r="B45" i="32"/>
  <c r="B46" i="32"/>
  <c r="B48" i="32"/>
  <c r="B47" i="32"/>
  <c r="B37" i="32"/>
  <c r="B35" i="32"/>
  <c r="B40" i="32"/>
  <c r="B39" i="32"/>
  <c r="B38" i="32"/>
  <c r="B41" i="32"/>
  <c r="B44" i="32"/>
  <c r="B43" i="32"/>
  <c r="D44" i="27"/>
  <c r="D4" i="30"/>
  <c r="C7" i="29"/>
  <c r="C33" i="29" s="1"/>
  <c r="G24" i="28"/>
  <c r="F12" i="29"/>
  <c r="B9" i="28"/>
  <c r="E6" i="28"/>
  <c r="D3" i="29"/>
  <c r="E22" i="30"/>
  <c r="C8" i="30"/>
  <c r="B11" i="28"/>
  <c r="D4" i="29"/>
  <c r="C7" i="28"/>
  <c r="C33" i="28" s="1"/>
  <c r="G24" i="30"/>
  <c r="F12" i="28"/>
  <c r="B14" i="28"/>
  <c r="B15" i="28"/>
  <c r="B37" i="28" s="1"/>
  <c r="B38" i="28" s="1"/>
  <c r="B9" i="30"/>
  <c r="D3" i="30"/>
  <c r="E13" i="29"/>
  <c r="E2" i="29"/>
  <c r="E21" i="28"/>
  <c r="F23" i="29"/>
  <c r="D5" i="29"/>
  <c r="B11" i="29"/>
  <c r="C7" i="30"/>
  <c r="C33" i="30" s="1"/>
  <c r="G24" i="29"/>
  <c r="F12" i="30"/>
  <c r="B14" i="29"/>
  <c r="B39" i="29" s="1"/>
  <c r="B15" i="29"/>
  <c r="B37" i="29" s="1"/>
  <c r="B38" i="29" s="1"/>
  <c r="B9" i="29"/>
  <c r="E6" i="30"/>
  <c r="E13" i="30"/>
  <c r="E2" i="28"/>
  <c r="E21" i="29"/>
  <c r="E22" i="29"/>
  <c r="C8" i="28"/>
  <c r="F23" i="28"/>
  <c r="D5" i="30"/>
  <c r="B11" i="30"/>
  <c r="D4" i="28"/>
  <c r="B14" i="30"/>
  <c r="B39" i="30" s="1"/>
  <c r="B40" i="30" s="1"/>
  <c r="B15" i="30"/>
  <c r="B37" i="30" s="1"/>
  <c r="E6" i="29"/>
  <c r="D3" i="28"/>
  <c r="E13" i="28"/>
  <c r="E2" i="30"/>
  <c r="E21" i="30"/>
  <c r="E22" i="28"/>
  <c r="C8" i="29"/>
  <c r="F23" i="30"/>
  <c r="D5" i="28"/>
  <c r="E43" i="27"/>
  <c r="B36" i="27"/>
  <c r="B42" i="28"/>
  <c r="C42" i="28" s="1"/>
  <c r="B42" i="29"/>
  <c r="C42" i="29" s="1"/>
  <c r="B40" i="27"/>
  <c r="B44" i="29"/>
  <c r="B44" i="28"/>
  <c r="C44" i="28" s="1"/>
  <c r="C34" i="27"/>
  <c r="B42" i="30"/>
  <c r="C42" i="30" s="1"/>
  <c r="C39" i="27"/>
  <c r="B33" i="29"/>
  <c r="B33" i="28"/>
  <c r="B33" i="30"/>
  <c r="D33" i="27"/>
  <c r="E41" i="27"/>
  <c r="C35" i="27"/>
  <c r="E44" i="27"/>
  <c r="B44" i="30"/>
  <c r="C44" i="30" s="1"/>
  <c r="E42" i="27"/>
  <c r="L45" i="28"/>
  <c r="R46" i="28"/>
  <c r="N45" i="28"/>
  <c r="E45" i="28"/>
  <c r="P45" i="28"/>
  <c r="J45" i="28"/>
  <c r="H45" i="28"/>
  <c r="M45" i="28"/>
  <c r="D45" i="28"/>
  <c r="K45" i="28"/>
  <c r="I45" i="28"/>
  <c r="G45" i="28"/>
  <c r="O45" i="28"/>
  <c r="F45" i="28"/>
  <c r="AD12" i="2"/>
  <c r="AG12" i="2"/>
  <c r="AD11" i="2"/>
  <c r="AJ6" i="2"/>
  <c r="AG5" i="2"/>
  <c r="AD5" i="2"/>
  <c r="AJ3" i="2"/>
  <c r="AG3" i="2"/>
  <c r="AD3" i="2"/>
  <c r="AD4" i="2"/>
  <c r="AJ2" i="2"/>
  <c r="AG2"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F6" i="30" a="1"/>
  <c r="D8" i="29" a="1"/>
  <c r="E5" i="29" a="1"/>
  <c r="F6" i="28" a="1"/>
  <c r="E3" i="29" a="1"/>
  <c r="G12" i="29" a="1"/>
  <c r="F13" i="29" a="1"/>
  <c r="F6" i="29" a="1"/>
  <c r="D7" i="30" a="1"/>
  <c r="F13" i="28" a="1"/>
  <c r="D7" i="29" a="1"/>
  <c r="H24" i="29" a="1"/>
  <c r="F13" i="30" a="1"/>
  <c r="D7" i="28" a="1"/>
  <c r="C15" i="29" a="1"/>
  <c r="E4" i="30" a="1"/>
  <c r="C11" i="28" a="1"/>
  <c r="F2" i="29" a="1"/>
  <c r="E4" i="29" a="1"/>
  <c r="G12" i="28" a="1"/>
  <c r="E4" i="28" a="1"/>
  <c r="E3" i="28" a="1"/>
  <c r="C9" i="29" a="1"/>
  <c r="C14" i="29" a="1"/>
  <c r="H24" i="28" a="1"/>
  <c r="E5" i="30" a="1"/>
  <c r="D8" i="30" a="1"/>
  <c r="H24" i="30" a="1"/>
  <c r="F21" i="30" a="1"/>
  <c r="F21" i="28" a="1"/>
  <c r="F2" i="30" a="1"/>
  <c r="C11" i="29" a="1"/>
  <c r="G23" i="29" a="1"/>
  <c r="G23" i="28" a="1"/>
  <c r="F21" i="29" a="1"/>
  <c r="E3" i="30" a="1"/>
  <c r="G12" i="30" a="1"/>
  <c r="G23" i="30" a="1"/>
  <c r="F22" i="30" a="1"/>
  <c r="D8" i="28" a="1"/>
  <c r="C9" i="28" a="1"/>
  <c r="C15" i="28" a="1"/>
  <c r="F22" i="29" a="1"/>
  <c r="F2" i="28" a="1"/>
  <c r="C15" i="30" a="1"/>
  <c r="F22" i="28" a="1"/>
  <c r="C11" i="30" a="1"/>
  <c r="C9" i="30" a="1"/>
  <c r="E5" i="28" a="1"/>
  <c r="C14" i="30" a="1"/>
  <c r="C14" i="28" a="1"/>
  <c r="B40" i="29" l="1"/>
  <c r="B38" i="30"/>
  <c r="G5" i="27"/>
  <c r="G7" i="27"/>
  <c r="G8" i="27"/>
  <c r="F15" i="27"/>
  <c r="F9" i="27"/>
  <c r="F14" i="27"/>
  <c r="F11" i="27"/>
  <c r="C40" i="27"/>
  <c r="B10" i="27"/>
  <c r="B31" i="27" s="1"/>
  <c r="B32" i="27" s="1"/>
  <c r="H3" i="27"/>
  <c r="I2" i="27"/>
  <c r="H5" i="27"/>
  <c r="H4" i="27"/>
  <c r="D2" i="32"/>
  <c r="D4" i="32"/>
  <c r="D3" i="32"/>
  <c r="C15" i="32"/>
  <c r="C8" i="32"/>
  <c r="C24" i="32"/>
  <c r="C16" i="32"/>
  <c r="C27" i="32"/>
  <c r="C19" i="32"/>
  <c r="C28" i="32"/>
  <c r="C26" i="32"/>
  <c r="C22" i="32"/>
  <c r="C20" i="32"/>
  <c r="C18" i="32"/>
  <c r="C25" i="32"/>
  <c r="C23" i="32"/>
  <c r="C29" i="32"/>
  <c r="C17" i="32"/>
  <c r="C21" i="32"/>
  <c r="C9" i="32"/>
  <c r="C41" i="32"/>
  <c r="C35" i="32"/>
  <c r="C42" i="32"/>
  <c r="C39" i="32"/>
  <c r="C36" i="32"/>
  <c r="C46" i="32"/>
  <c r="C43" i="32"/>
  <c r="C38" i="32"/>
  <c r="C48" i="32"/>
  <c r="C40" i="32"/>
  <c r="C34" i="32"/>
  <c r="C45" i="32"/>
  <c r="C37" i="32"/>
  <c r="C47" i="32"/>
  <c r="C44" i="32"/>
  <c r="C10" i="32"/>
  <c r="C60" i="32"/>
  <c r="C53" i="32"/>
  <c r="C61" i="32"/>
  <c r="C56" i="32"/>
  <c r="C66" i="32"/>
  <c r="C63" i="32"/>
  <c r="C58" i="32"/>
  <c r="C55" i="32"/>
  <c r="C65" i="32"/>
  <c r="C62" i="32"/>
  <c r="C57" i="32"/>
  <c r="C67" i="32"/>
  <c r="C64" i="32"/>
  <c r="C59" i="32"/>
  <c r="C54" i="32"/>
  <c r="C9" i="30"/>
  <c r="F2" i="30"/>
  <c r="H24" i="29"/>
  <c r="D8" i="30"/>
  <c r="C11" i="30"/>
  <c r="C35" i="30" s="1"/>
  <c r="E3" i="28"/>
  <c r="E41" i="28" s="1"/>
  <c r="D7" i="29"/>
  <c r="C14" i="28"/>
  <c r="C39" i="28" s="1"/>
  <c r="F22" i="28"/>
  <c r="E4" i="28"/>
  <c r="G23" i="28"/>
  <c r="C15" i="30"/>
  <c r="C37" i="30" s="1"/>
  <c r="F21" i="28"/>
  <c r="F13" i="28"/>
  <c r="E5" i="30"/>
  <c r="E43" i="30" s="1"/>
  <c r="F2" i="28"/>
  <c r="G12" i="28"/>
  <c r="D7" i="30"/>
  <c r="C14" i="30"/>
  <c r="C39" i="30" s="1"/>
  <c r="C40" i="30" s="1"/>
  <c r="F22" i="29"/>
  <c r="E4" i="29"/>
  <c r="F6" i="29"/>
  <c r="G23" i="29"/>
  <c r="C15" i="28"/>
  <c r="C37" i="28" s="1"/>
  <c r="C38" i="28" s="1"/>
  <c r="F21" i="30"/>
  <c r="F13" i="29"/>
  <c r="E5" i="28"/>
  <c r="E43" i="28" s="1"/>
  <c r="C9" i="28"/>
  <c r="F2" i="29"/>
  <c r="G12" i="29"/>
  <c r="H24" i="28"/>
  <c r="D8" i="28"/>
  <c r="C11" i="28"/>
  <c r="C35" i="28" s="1"/>
  <c r="E3" i="29"/>
  <c r="E41" i="29" s="1"/>
  <c r="C14" i="29"/>
  <c r="C39" i="29" s="1"/>
  <c r="C40" i="29" s="1"/>
  <c r="F22" i="30"/>
  <c r="E4" i="30"/>
  <c r="F6" i="28"/>
  <c r="G23" i="30"/>
  <c r="C15" i="29"/>
  <c r="C37" i="29" s="1"/>
  <c r="C38" i="29" s="1"/>
  <c r="E5" i="29"/>
  <c r="E43" i="29" s="1"/>
  <c r="C9" i="29"/>
  <c r="G12" i="30"/>
  <c r="H24" i="30"/>
  <c r="D8" i="29"/>
  <c r="C11" i="29"/>
  <c r="C35" i="29" s="1"/>
  <c r="E3" i="30"/>
  <c r="E41" i="30" s="1"/>
  <c r="D7" i="28"/>
  <c r="F6" i="30"/>
  <c r="F21" i="29"/>
  <c r="F13" i="30"/>
  <c r="D39" i="27"/>
  <c r="D40" i="27" s="1"/>
  <c r="B34" i="30"/>
  <c r="D41" i="28"/>
  <c r="D42" i="28" s="1"/>
  <c r="B35" i="29"/>
  <c r="F41" i="27"/>
  <c r="F42" i="27" s="1"/>
  <c r="D35" i="27"/>
  <c r="B34" i="29"/>
  <c r="C44" i="29"/>
  <c r="D43" i="28"/>
  <c r="B35" i="30"/>
  <c r="D43" i="29"/>
  <c r="B39" i="28"/>
  <c r="D41" i="29"/>
  <c r="D42" i="29" s="1"/>
  <c r="D34" i="27"/>
  <c r="C36" i="27"/>
  <c r="D43" i="30"/>
  <c r="D41" i="30"/>
  <c r="D42" i="30" s="1"/>
  <c r="B35" i="28"/>
  <c r="F43" i="27"/>
  <c r="F44" i="27" s="1"/>
  <c r="B34" i="28"/>
  <c r="E33" i="27"/>
  <c r="R45" i="28"/>
  <c r="M10" i="15"/>
  <c r="I10" i="25" s="1"/>
  <c r="K10" i="15"/>
  <c r="B10" i="28" a="1"/>
  <c r="B10" i="29" a="1"/>
  <c r="F4" i="29" a="1"/>
  <c r="G6" i="30" a="1"/>
  <c r="D11" i="28" a="1"/>
  <c r="F5" i="28" a="1"/>
  <c r="E8" i="30" a="1"/>
  <c r="I24" i="28" a="1"/>
  <c r="E7" i="28" a="1"/>
  <c r="G6" i="29" a="1"/>
  <c r="G2" i="28" a="1"/>
  <c r="F5" i="30" a="1"/>
  <c r="H23" i="30" a="1"/>
  <c r="D14" i="28" a="1"/>
  <c r="G2" i="29" a="1"/>
  <c r="G13" i="30" a="1"/>
  <c r="B10" i="30" a="1"/>
  <c r="H12" i="29" a="1"/>
  <c r="D9" i="28" a="1"/>
  <c r="G22" i="30" a="1"/>
  <c r="G6" i="28" a="1"/>
  <c r="D11" i="30" a="1"/>
  <c r="G13" i="28" a="1"/>
  <c r="H12" i="30" a="1"/>
  <c r="D9" i="30" a="1"/>
  <c r="D15" i="28" a="1"/>
  <c r="E7" i="30" a="1"/>
  <c r="I24" i="30" a="1"/>
  <c r="D9" i="29" a="1"/>
  <c r="F5" i="29" a="1"/>
  <c r="D14" i="29" a="1"/>
  <c r="F3" i="30" a="1"/>
  <c r="G21" i="29" a="1"/>
  <c r="H23" i="28" a="1"/>
  <c r="D15" i="30" a="1"/>
  <c r="D14" i="30" a="1"/>
  <c r="F3" i="28" a="1"/>
  <c r="G22" i="29" a="1"/>
  <c r="F4" i="30" a="1"/>
  <c r="D11" i="29" a="1"/>
  <c r="D15" i="29" a="1"/>
  <c r="E8" i="29" a="1"/>
  <c r="I24" i="29" a="1"/>
  <c r="G13" i="29" a="1"/>
  <c r="F4" i="28" a="1"/>
  <c r="F3" i="29" a="1"/>
  <c r="G2" i="30" a="1"/>
  <c r="G22" i="28" a="1"/>
  <c r="E8" i="28" a="1"/>
  <c r="G21" i="30" a="1"/>
  <c r="E7" i="29" a="1"/>
  <c r="H12" i="28" a="1"/>
  <c r="G21" i="28" a="1"/>
  <c r="H23" i="29" a="1"/>
  <c r="C38" i="30" l="1"/>
  <c r="D36" i="27"/>
  <c r="C10" i="27"/>
  <c r="C17" i="27" s="1"/>
  <c r="B10" i="29"/>
  <c r="B31" i="29" s="1"/>
  <c r="B32" i="29" s="1"/>
  <c r="B10" i="28"/>
  <c r="B31" i="28" s="1"/>
  <c r="I4" i="27"/>
  <c r="I3" i="27"/>
  <c r="J2" i="27"/>
  <c r="G9" i="27"/>
  <c r="G11" i="27"/>
  <c r="G15" i="27"/>
  <c r="G14" i="27"/>
  <c r="H8" i="27"/>
  <c r="H7" i="27"/>
  <c r="B17" i="27"/>
  <c r="B16" i="27"/>
  <c r="B10" i="30"/>
  <c r="B31" i="30" s="1"/>
  <c r="D61" i="32"/>
  <c r="D10" i="32"/>
  <c r="D64" i="32"/>
  <c r="D67" i="32"/>
  <c r="D62" i="32"/>
  <c r="D56" i="32"/>
  <c r="D63" i="32"/>
  <c r="D66" i="32"/>
  <c r="D60" i="32"/>
  <c r="D53" i="32"/>
  <c r="D65" i="32"/>
  <c r="D55" i="32"/>
  <c r="D57" i="32"/>
  <c r="D54" i="32"/>
  <c r="D59" i="32"/>
  <c r="D58" i="32"/>
  <c r="D15" i="32"/>
  <c r="D8" i="32"/>
  <c r="D28" i="32"/>
  <c r="D22" i="32"/>
  <c r="D20" i="32"/>
  <c r="D24" i="32"/>
  <c r="D18" i="32"/>
  <c r="D26" i="32"/>
  <c r="D27" i="32"/>
  <c r="D16" i="32"/>
  <c r="D19" i="32"/>
  <c r="D25" i="32"/>
  <c r="D17" i="32"/>
  <c r="D23" i="32"/>
  <c r="D29" i="32"/>
  <c r="D21" i="32"/>
  <c r="C31" i="27"/>
  <c r="C32" i="27" s="1"/>
  <c r="E2" i="32"/>
  <c r="E4" i="32"/>
  <c r="E3" i="32"/>
  <c r="D38" i="32"/>
  <c r="D9" i="32"/>
  <c r="D44" i="32"/>
  <c r="D36" i="32"/>
  <c r="D34" i="32"/>
  <c r="D43" i="32"/>
  <c r="D48" i="32"/>
  <c r="D42" i="32"/>
  <c r="D35" i="32"/>
  <c r="D45" i="32"/>
  <c r="D37" i="32"/>
  <c r="D47" i="32"/>
  <c r="D39" i="32"/>
  <c r="D41" i="32"/>
  <c r="D40" i="32"/>
  <c r="D46" i="32"/>
  <c r="H23" i="29"/>
  <c r="D15" i="29"/>
  <c r="D37" i="29" s="1"/>
  <c r="D38" i="29" s="1"/>
  <c r="F5" i="29"/>
  <c r="G13" i="30"/>
  <c r="G21" i="28"/>
  <c r="D9" i="29"/>
  <c r="G2" i="29"/>
  <c r="D11" i="29"/>
  <c r="I24" i="30"/>
  <c r="D14" i="28"/>
  <c r="H12" i="28"/>
  <c r="F4" i="30"/>
  <c r="E7" i="30"/>
  <c r="E33" i="30" s="1"/>
  <c r="H23" i="30"/>
  <c r="E7" i="29"/>
  <c r="E33" i="29" s="1"/>
  <c r="G22" i="29"/>
  <c r="D15" i="28"/>
  <c r="D37" i="28" s="1"/>
  <c r="D38" i="28" s="1"/>
  <c r="F5" i="30"/>
  <c r="G21" i="30"/>
  <c r="D9" i="30"/>
  <c r="G2" i="28"/>
  <c r="F3" i="28"/>
  <c r="G6" i="29"/>
  <c r="E8" i="28"/>
  <c r="D14" i="30"/>
  <c r="D39" i="30" s="1"/>
  <c r="D40" i="30" s="1"/>
  <c r="H12" i="30"/>
  <c r="E7" i="28"/>
  <c r="E33" i="28" s="1"/>
  <c r="G22" i="28"/>
  <c r="D15" i="30"/>
  <c r="D37" i="30" s="1"/>
  <c r="G13" i="28"/>
  <c r="G2" i="30"/>
  <c r="D11" i="30"/>
  <c r="I24" i="28"/>
  <c r="F3" i="29"/>
  <c r="G6" i="28"/>
  <c r="E8" i="30"/>
  <c r="F4" i="28"/>
  <c r="H23" i="28"/>
  <c r="G22" i="30"/>
  <c r="F5" i="28"/>
  <c r="G13" i="29"/>
  <c r="G21" i="29"/>
  <c r="D9" i="28"/>
  <c r="D11" i="28"/>
  <c r="I24" i="29"/>
  <c r="F3" i="30"/>
  <c r="G6" i="30"/>
  <c r="E8" i="29"/>
  <c r="D14" i="29"/>
  <c r="D39" i="29" s="1"/>
  <c r="D40" i="29" s="1"/>
  <c r="H12" i="29"/>
  <c r="F4" i="29"/>
  <c r="E42" i="29"/>
  <c r="G41" i="27"/>
  <c r="B40" i="28"/>
  <c r="B36" i="30"/>
  <c r="E39" i="27"/>
  <c r="E40" i="27" s="1"/>
  <c r="C34" i="30"/>
  <c r="F33" i="27"/>
  <c r="D33" i="30"/>
  <c r="D33" i="29"/>
  <c r="D44" i="28"/>
  <c r="E44" i="28" s="1"/>
  <c r="B36" i="28"/>
  <c r="D44" i="29"/>
  <c r="E44" i="29" s="1"/>
  <c r="C34" i="29"/>
  <c r="B36" i="29"/>
  <c r="E35" i="27"/>
  <c r="E36" i="27" s="1"/>
  <c r="D33" i="28"/>
  <c r="C34" i="28"/>
  <c r="D44" i="30"/>
  <c r="E34" i="27"/>
  <c r="E42" i="30"/>
  <c r="G42" i="27"/>
  <c r="E42" i="28"/>
  <c r="G10" i="25"/>
  <c r="C10" i="15"/>
  <c r="K13" i="15"/>
  <c r="G125" i="2"/>
  <c r="G126" i="2"/>
  <c r="G127" i="2"/>
  <c r="G128" i="2"/>
  <c r="G129" i="2"/>
  <c r="G130" i="2"/>
  <c r="G131" i="2"/>
  <c r="G132" i="2"/>
  <c r="G133" i="2"/>
  <c r="G134" i="2"/>
  <c r="G135" i="2"/>
  <c r="G136" i="2"/>
  <c r="E125" i="2"/>
  <c r="E126" i="2"/>
  <c r="E127" i="2"/>
  <c r="E128" i="2"/>
  <c r="E129" i="2"/>
  <c r="E130" i="2"/>
  <c r="E131" i="2"/>
  <c r="E132" i="2"/>
  <c r="E133" i="2"/>
  <c r="E134" i="2"/>
  <c r="E135" i="2"/>
  <c r="E136" i="2"/>
  <c r="D125" i="2"/>
  <c r="D126" i="2"/>
  <c r="D127" i="2"/>
  <c r="D128" i="2"/>
  <c r="D129" i="2"/>
  <c r="D130" i="2"/>
  <c r="D131" i="2"/>
  <c r="D132" i="2"/>
  <c r="D133" i="2"/>
  <c r="D134" i="2"/>
  <c r="D135" i="2"/>
  <c r="D136"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37" i="2"/>
  <c r="G138" i="2"/>
  <c r="E84"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37" i="2"/>
  <c r="D138" i="2"/>
  <c r="E69" i="2"/>
  <c r="E70" i="2"/>
  <c r="E71" i="2"/>
  <c r="E72" i="2"/>
  <c r="E73" i="2"/>
  <c r="E74" i="2"/>
  <c r="E75" i="2"/>
  <c r="E76" i="2"/>
  <c r="E77" i="2"/>
  <c r="E78" i="2"/>
  <c r="E79" i="2"/>
  <c r="E80" i="2"/>
  <c r="E81" i="2"/>
  <c r="E82" i="2"/>
  <c r="E83"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37" i="2"/>
  <c r="E138" i="2"/>
  <c r="C10" i="28" a="1"/>
  <c r="B17" i="29" a="1"/>
  <c r="B17" i="28" a="1"/>
  <c r="B17" i="30" a="1"/>
  <c r="B16" i="28" a="1"/>
  <c r="B16" i="29" a="1"/>
  <c r="B16" i="30" a="1"/>
  <c r="C10" i="29" a="1"/>
  <c r="H22" i="28" a="1"/>
  <c r="H13" i="28" a="1"/>
  <c r="E14" i="29" a="1"/>
  <c r="E11" i="30" a="1"/>
  <c r="C17" i="30" a="1"/>
  <c r="J24" i="29" a="1"/>
  <c r="H21" i="29" a="1"/>
  <c r="G3" i="28" a="1"/>
  <c r="I23" i="28" a="1"/>
  <c r="I12" i="30" a="1"/>
  <c r="E9" i="28" a="1"/>
  <c r="F7" i="30" a="1"/>
  <c r="I12" i="29" a="1"/>
  <c r="E15" i="29" a="1"/>
  <c r="C10" i="30" a="1"/>
  <c r="I23" i="29" a="1"/>
  <c r="I12" i="28" a="1"/>
  <c r="E15" i="30" a="1"/>
  <c r="H6" i="29" a="1"/>
  <c r="E14" i="28" a="1"/>
  <c r="E15" i="28" a="1"/>
  <c r="C17" i="29" a="1"/>
  <c r="J24" i="28" a="1"/>
  <c r="H21" i="30" a="1"/>
  <c r="F8" i="30" a="1"/>
  <c r="H22" i="29" a="1"/>
  <c r="H13" i="29" a="1"/>
  <c r="H21" i="28" a="1"/>
  <c r="F8" i="29" a="1"/>
  <c r="G3" i="30" a="1"/>
  <c r="J24" i="30" a="1"/>
  <c r="F8" i="28" a="1"/>
  <c r="E9" i="30" a="1"/>
  <c r="E11" i="29" a="1"/>
  <c r="H22" i="30" a="1"/>
  <c r="H2" i="28" a="1"/>
  <c r="G4" i="28" a="1"/>
  <c r="I23" i="30" a="1"/>
  <c r="F7" i="28" a="1"/>
  <c r="G4" i="30" a="1"/>
  <c r="E14" i="30" a="1"/>
  <c r="H2" i="29" a="1"/>
  <c r="F7" i="29" a="1"/>
  <c r="E9" i="29" a="1"/>
  <c r="H2" i="30" a="1"/>
  <c r="C17" i="28" a="1"/>
  <c r="H6" i="28" a="1"/>
  <c r="G3" i="29" a="1"/>
  <c r="H13" i="30" a="1"/>
  <c r="E11" i="28" a="1"/>
  <c r="H6" i="30" a="1"/>
  <c r="G4" i="29" a="1"/>
  <c r="D38" i="30" l="1"/>
  <c r="B32" i="30"/>
  <c r="B32" i="28"/>
  <c r="C16" i="27"/>
  <c r="F34" i="27"/>
  <c r="C10" i="28"/>
  <c r="C31" i="28" s="1"/>
  <c r="I5" i="27"/>
  <c r="B16" i="30"/>
  <c r="B16" i="29"/>
  <c r="B16" i="28"/>
  <c r="B17" i="30"/>
  <c r="B17" i="28"/>
  <c r="B17" i="29"/>
  <c r="D10" i="27"/>
  <c r="B18" i="27"/>
  <c r="B25" i="27"/>
  <c r="C19" i="27"/>
  <c r="C47" i="27" s="1"/>
  <c r="C20" i="27"/>
  <c r="I8" i="27"/>
  <c r="I7" i="27"/>
  <c r="B19" i="27"/>
  <c r="B20" i="27"/>
  <c r="C18" i="27"/>
  <c r="C25" i="27"/>
  <c r="K2" i="27"/>
  <c r="J3" i="27"/>
  <c r="J4" i="27"/>
  <c r="H9" i="27"/>
  <c r="H14" i="27"/>
  <c r="H11" i="27"/>
  <c r="H15" i="27"/>
  <c r="C10" i="30"/>
  <c r="C31" i="30" s="1"/>
  <c r="C10" i="29"/>
  <c r="C31" i="29" s="1"/>
  <c r="C32" i="29" s="1"/>
  <c r="E16" i="32"/>
  <c r="E8" i="32"/>
  <c r="E25" i="32"/>
  <c r="E17" i="32"/>
  <c r="E19" i="32"/>
  <c r="E28" i="32"/>
  <c r="E20" i="32"/>
  <c r="E22" i="32"/>
  <c r="E23" i="32"/>
  <c r="E29" i="32"/>
  <c r="E27" i="32"/>
  <c r="E21" i="32"/>
  <c r="E15" i="32"/>
  <c r="E26" i="32"/>
  <c r="E24" i="32"/>
  <c r="E18" i="32"/>
  <c r="F2" i="32"/>
  <c r="F4" i="32"/>
  <c r="F3" i="32"/>
  <c r="E9" i="32"/>
  <c r="E36" i="32"/>
  <c r="E44" i="32"/>
  <c r="E37" i="32"/>
  <c r="E45" i="32"/>
  <c r="E38" i="32"/>
  <c r="E48" i="32"/>
  <c r="E43" i="32"/>
  <c r="E42" i="32"/>
  <c r="E41" i="32"/>
  <c r="E46" i="32"/>
  <c r="E47" i="32"/>
  <c r="E35" i="32"/>
  <c r="E34" i="32"/>
  <c r="E40" i="32"/>
  <c r="E39" i="32"/>
  <c r="E10" i="32"/>
  <c r="E59" i="32"/>
  <c r="E67" i="32"/>
  <c r="E60" i="32"/>
  <c r="E57" i="32"/>
  <c r="E54" i="32"/>
  <c r="E64" i="32"/>
  <c r="E61" i="32"/>
  <c r="E58" i="32"/>
  <c r="E63" i="32"/>
  <c r="E62" i="32"/>
  <c r="E66" i="32"/>
  <c r="E53" i="32"/>
  <c r="E65" i="32"/>
  <c r="E55" i="32"/>
  <c r="E56" i="32"/>
  <c r="D34" i="29"/>
  <c r="E34" i="29" s="1"/>
  <c r="D34" i="28"/>
  <c r="E34" i="28" s="1"/>
  <c r="E15" i="29"/>
  <c r="E37" i="29" s="1"/>
  <c r="E38" i="29" s="1"/>
  <c r="G4" i="29"/>
  <c r="F8" i="29"/>
  <c r="I12" i="29"/>
  <c r="H2" i="29"/>
  <c r="H21" i="28"/>
  <c r="F7" i="30"/>
  <c r="E14" i="30"/>
  <c r="E39" i="30" s="1"/>
  <c r="E40" i="30" s="1"/>
  <c r="H13" i="29"/>
  <c r="E9" i="28"/>
  <c r="H6" i="30"/>
  <c r="C17" i="28"/>
  <c r="H22" i="29"/>
  <c r="G4" i="30"/>
  <c r="F8" i="30"/>
  <c r="I12" i="30"/>
  <c r="E11" i="28"/>
  <c r="E35" i="28" s="1"/>
  <c r="H2" i="30"/>
  <c r="H21" i="30"/>
  <c r="I23" i="28"/>
  <c r="F7" i="28"/>
  <c r="J24" i="28"/>
  <c r="H13" i="30"/>
  <c r="E9" i="29"/>
  <c r="C17" i="29"/>
  <c r="G3" i="28"/>
  <c r="G41" i="28" s="1"/>
  <c r="H22" i="30"/>
  <c r="E15" i="28"/>
  <c r="E37" i="28" s="1"/>
  <c r="E38" i="28" s="1"/>
  <c r="E11" i="29"/>
  <c r="E35" i="29" s="1"/>
  <c r="H21" i="29"/>
  <c r="I23" i="30"/>
  <c r="F7" i="29"/>
  <c r="E14" i="28"/>
  <c r="E39" i="28" s="1"/>
  <c r="J24" i="29"/>
  <c r="E9" i="30"/>
  <c r="H6" i="29"/>
  <c r="C17" i="30"/>
  <c r="G3" i="29"/>
  <c r="G41" i="29" s="1"/>
  <c r="E15" i="30"/>
  <c r="E37" i="30" s="1"/>
  <c r="G4" i="28"/>
  <c r="F8" i="28"/>
  <c r="I12" i="28"/>
  <c r="E11" i="30"/>
  <c r="E35" i="30" s="1"/>
  <c r="H2" i="28"/>
  <c r="I23" i="29"/>
  <c r="E14" i="29"/>
  <c r="E39" i="29" s="1"/>
  <c r="E40" i="29" s="1"/>
  <c r="J24" i="30"/>
  <c r="H13" i="28"/>
  <c r="H6" i="28"/>
  <c r="G3" i="30"/>
  <c r="G41" i="30" s="1"/>
  <c r="H22" i="28"/>
  <c r="C40" i="28"/>
  <c r="D35" i="28"/>
  <c r="F43" i="28"/>
  <c r="F43" i="30"/>
  <c r="D39" i="28"/>
  <c r="F35" i="27"/>
  <c r="F36" i="27" s="1"/>
  <c r="D34" i="30"/>
  <c r="G43" i="27"/>
  <c r="G44" i="27" s="1"/>
  <c r="D35" i="30"/>
  <c r="F43" i="29"/>
  <c r="G33" i="27"/>
  <c r="G34" i="27" s="1"/>
  <c r="C36" i="29"/>
  <c r="H41" i="27"/>
  <c r="H42" i="27" s="1"/>
  <c r="C36" i="28"/>
  <c r="C36" i="30"/>
  <c r="F41" i="30"/>
  <c r="F41" i="28"/>
  <c r="F42" i="28" s="1"/>
  <c r="D35" i="29"/>
  <c r="C10" i="25"/>
  <c r="A10" i="29"/>
  <c r="A10" i="30"/>
  <c r="A10" i="28"/>
  <c r="A10" i="27"/>
  <c r="E44" i="30"/>
  <c r="F39" i="27"/>
  <c r="F40" i="27" s="1"/>
  <c r="F41" i="29"/>
  <c r="M3" i="15"/>
  <c r="C16" i="28" a="1"/>
  <c r="C16" i="30" a="1"/>
  <c r="C16" i="29" a="1"/>
  <c r="B25" i="28" a="1"/>
  <c r="B25" i="30" a="1"/>
  <c r="B25" i="29" a="1"/>
  <c r="B19" i="30" a="1"/>
  <c r="B19" i="29" a="1"/>
  <c r="B19" i="28" a="1"/>
  <c r="B20" i="28" a="1"/>
  <c r="B20" i="29" a="1"/>
  <c r="B20" i="30" a="1"/>
  <c r="B18" i="30" a="1"/>
  <c r="B18" i="28" a="1"/>
  <c r="B18" i="29" a="1"/>
  <c r="J23" i="28" a="1"/>
  <c r="F9" i="28" a="1"/>
  <c r="I13" i="28" a="1"/>
  <c r="C20" i="29" a="1"/>
  <c r="G5" i="28" a="1"/>
  <c r="C25" i="28" a="1"/>
  <c r="I21" i="29" a="1"/>
  <c r="J23" i="30" a="1"/>
  <c r="F15" i="29" a="1"/>
  <c r="G5" i="29" a="1"/>
  <c r="J12" i="30" a="1"/>
  <c r="F14" i="30" a="1"/>
  <c r="C19" i="29" a="1"/>
  <c r="I22" i="28" a="1"/>
  <c r="J12" i="28" a="1"/>
  <c r="I22" i="29" a="1"/>
  <c r="I13" i="29" a="1"/>
  <c r="F11" i="29" a="1"/>
  <c r="I22" i="30" a="1"/>
  <c r="C18" i="30" a="1"/>
  <c r="H4" i="30" a="1"/>
  <c r="C19" i="30" a="1"/>
  <c r="I6" i="28" a="1"/>
  <c r="I21" i="28" a="1"/>
  <c r="I21" i="30" a="1"/>
  <c r="F15" i="30" a="1"/>
  <c r="C19" i="28" a="1"/>
  <c r="I6" i="29" a="1"/>
  <c r="H3" i="30" a="1"/>
  <c r="G8" i="30" a="1"/>
  <c r="G7" i="28" a="1"/>
  <c r="C20" i="30" a="1"/>
  <c r="I2" i="29" a="1"/>
  <c r="H3" i="29" a="1"/>
  <c r="G8" i="28" a="1"/>
  <c r="C20" i="28" a="1"/>
  <c r="G8" i="29" a="1"/>
  <c r="J23" i="29" a="1"/>
  <c r="F11" i="28" a="1"/>
  <c r="G7" i="29" a="1"/>
  <c r="C18" i="29" a="1"/>
  <c r="F9" i="29" a="1"/>
  <c r="F11" i="30" a="1"/>
  <c r="J12" i="29" a="1"/>
  <c r="F15" i="28" a="1"/>
  <c r="C18" i="28" a="1"/>
  <c r="I2" i="30" a="1"/>
  <c r="K24" i="30" a="1"/>
  <c r="K24" i="29" a="1"/>
  <c r="G5" i="30" a="1"/>
  <c r="I6" i="30" a="1"/>
  <c r="H3" i="28" a="1"/>
  <c r="I2" i="28" a="1"/>
  <c r="H4" i="28" a="1"/>
  <c r="G7" i="30" a="1"/>
  <c r="F14" i="29" a="1"/>
  <c r="F14" i="28" a="1"/>
  <c r="H4" i="29" a="1"/>
  <c r="K24" i="28" a="1"/>
  <c r="F9" i="30" a="1"/>
  <c r="I13" i="30" a="1"/>
  <c r="C25" i="30" a="1"/>
  <c r="E38" i="30" l="1"/>
  <c r="C32" i="30"/>
  <c r="C32" i="28"/>
  <c r="F44" i="28"/>
  <c r="C16" i="29"/>
  <c r="C16" i="30"/>
  <c r="C16" i="28"/>
  <c r="J5" i="27"/>
  <c r="B18" i="29"/>
  <c r="B18" i="28"/>
  <c r="B18" i="30"/>
  <c r="B20" i="30"/>
  <c r="B20" i="29"/>
  <c r="B20" i="28"/>
  <c r="B19" i="28"/>
  <c r="B47" i="28" s="1"/>
  <c r="B19" i="29"/>
  <c r="B47" i="29" s="1"/>
  <c r="B19" i="30"/>
  <c r="B47" i="30" s="1"/>
  <c r="B25" i="29"/>
  <c r="B25" i="30"/>
  <c r="B25" i="28"/>
  <c r="K3" i="27"/>
  <c r="L2" i="27"/>
  <c r="K4" i="27"/>
  <c r="J7" i="27"/>
  <c r="J8" i="27"/>
  <c r="I9" i="27"/>
  <c r="I14" i="27"/>
  <c r="I15" i="27"/>
  <c r="I11" i="27"/>
  <c r="D17" i="27"/>
  <c r="D16" i="27"/>
  <c r="B47" i="27"/>
  <c r="B48" i="27" s="1"/>
  <c r="E10" i="27"/>
  <c r="G4" i="32"/>
  <c r="G3" i="32"/>
  <c r="G2" i="32"/>
  <c r="F37" i="32"/>
  <c r="F9" i="32"/>
  <c r="F43" i="32"/>
  <c r="F38" i="32"/>
  <c r="F46" i="32"/>
  <c r="F42" i="32"/>
  <c r="F35" i="32"/>
  <c r="F48" i="32"/>
  <c r="F36" i="32"/>
  <c r="F34" i="32"/>
  <c r="F45" i="32"/>
  <c r="F40" i="32"/>
  <c r="F39" i="32"/>
  <c r="F47" i="32"/>
  <c r="F41" i="32"/>
  <c r="F44" i="32"/>
  <c r="F58" i="32"/>
  <c r="F10" i="32"/>
  <c r="F54" i="32"/>
  <c r="F65" i="32"/>
  <c r="F55" i="32"/>
  <c r="F61" i="32"/>
  <c r="F59" i="32"/>
  <c r="F66" i="32"/>
  <c r="F56" i="32"/>
  <c r="F63" i="32"/>
  <c r="F62" i="32"/>
  <c r="F67" i="32"/>
  <c r="F53" i="32"/>
  <c r="F60" i="32"/>
  <c r="F57" i="32"/>
  <c r="F64" i="32"/>
  <c r="D31" i="27"/>
  <c r="D32" i="27" s="1"/>
  <c r="F16" i="32"/>
  <c r="F8" i="32"/>
  <c r="F10" i="27" s="1"/>
  <c r="F27" i="32"/>
  <c r="F19" i="32"/>
  <c r="F23" i="32"/>
  <c r="F29" i="32"/>
  <c r="F15" i="32"/>
  <c r="F20" i="32"/>
  <c r="F25" i="32"/>
  <c r="F22" i="32"/>
  <c r="F26" i="32"/>
  <c r="F21" i="32"/>
  <c r="F28" i="32"/>
  <c r="F17" i="32"/>
  <c r="F24" i="32"/>
  <c r="F18" i="32"/>
  <c r="F44" i="30"/>
  <c r="D36" i="28"/>
  <c r="E36" i="28" s="1"/>
  <c r="D36" i="30"/>
  <c r="E36" i="30" s="1"/>
  <c r="I21" i="30"/>
  <c r="I22" i="28"/>
  <c r="C25" i="30"/>
  <c r="F9" i="29"/>
  <c r="I2" i="28"/>
  <c r="C19" i="29"/>
  <c r="C47" i="29" s="1"/>
  <c r="K24" i="30"/>
  <c r="C18" i="29"/>
  <c r="I21" i="28"/>
  <c r="F14" i="30"/>
  <c r="F39" i="30" s="1"/>
  <c r="F40" i="30" s="1"/>
  <c r="I13" i="30"/>
  <c r="H3" i="28"/>
  <c r="J12" i="30"/>
  <c r="F9" i="30"/>
  <c r="G7" i="29"/>
  <c r="G33" i="29" s="1"/>
  <c r="I6" i="28"/>
  <c r="G5" i="29"/>
  <c r="I2" i="30"/>
  <c r="F11" i="28"/>
  <c r="C19" i="30"/>
  <c r="C47" i="30" s="1"/>
  <c r="K24" i="28"/>
  <c r="J23" i="29"/>
  <c r="H4" i="30"/>
  <c r="F15" i="29"/>
  <c r="F37" i="29" s="1"/>
  <c r="F38" i="29" s="1"/>
  <c r="C18" i="28"/>
  <c r="G8" i="29"/>
  <c r="J23" i="30"/>
  <c r="H4" i="29"/>
  <c r="C20" i="28"/>
  <c r="C18" i="30"/>
  <c r="I21" i="29"/>
  <c r="F14" i="28"/>
  <c r="G8" i="28"/>
  <c r="I22" i="30"/>
  <c r="C25" i="28"/>
  <c r="H3" i="29"/>
  <c r="I6" i="30"/>
  <c r="G5" i="28"/>
  <c r="I2" i="29"/>
  <c r="F11" i="29"/>
  <c r="F15" i="28"/>
  <c r="F37" i="28" s="1"/>
  <c r="F38" i="28" s="1"/>
  <c r="C20" i="30"/>
  <c r="I13" i="29"/>
  <c r="J12" i="29"/>
  <c r="G7" i="28"/>
  <c r="G33" i="28" s="1"/>
  <c r="C20" i="29"/>
  <c r="F14" i="29"/>
  <c r="F39" i="29" s="1"/>
  <c r="F40" i="29" s="1"/>
  <c r="G8" i="30"/>
  <c r="I22" i="29"/>
  <c r="I13" i="28"/>
  <c r="H3" i="30"/>
  <c r="J12" i="28"/>
  <c r="F9" i="28"/>
  <c r="G7" i="30"/>
  <c r="G33" i="30" s="1"/>
  <c r="I6" i="29"/>
  <c r="G5" i="30"/>
  <c r="F11" i="30"/>
  <c r="C19" i="28"/>
  <c r="C47" i="28" s="1"/>
  <c r="K24" i="29"/>
  <c r="J23" i="28"/>
  <c r="H4" i="28"/>
  <c r="F15" i="30"/>
  <c r="F37" i="30" s="1"/>
  <c r="H43" i="27"/>
  <c r="H44" i="27" s="1"/>
  <c r="C48" i="27"/>
  <c r="G39" i="27"/>
  <c r="G40" i="27" s="1"/>
  <c r="G42" i="28"/>
  <c r="I41" i="27"/>
  <c r="I42" i="27" s="1"/>
  <c r="D40" i="28"/>
  <c r="E40" i="28" s="1"/>
  <c r="F33" i="29"/>
  <c r="G35" i="27"/>
  <c r="G36" i="27" s="1"/>
  <c r="F42" i="29"/>
  <c r="D36" i="29"/>
  <c r="E34" i="30"/>
  <c r="H33" i="27"/>
  <c r="H34" i="27" s="1"/>
  <c r="F33" i="28"/>
  <c r="F42" i="30"/>
  <c r="F44" i="29"/>
  <c r="F33" i="30"/>
  <c r="K5" i="15"/>
  <c r="K9" i="15"/>
  <c r="K6" i="15"/>
  <c r="K12" i="15"/>
  <c r="D10" i="30" a="1"/>
  <c r="J13" i="30" a="1"/>
  <c r="K23" i="28" a="1"/>
  <c r="G9" i="28" a="1"/>
  <c r="G14" i="28" a="1"/>
  <c r="G11" i="30" a="1"/>
  <c r="J2" i="30" a="1"/>
  <c r="G14" i="29" a="1"/>
  <c r="I4" i="30" a="1"/>
  <c r="H7" i="29" a="1"/>
  <c r="G9" i="29" a="1"/>
  <c r="H5" i="29" a="1"/>
  <c r="I4" i="29" a="1"/>
  <c r="H7" i="30" a="1"/>
  <c r="H8" i="30" a="1"/>
  <c r="G14" i="30" a="1"/>
  <c r="L24" i="28" a="1"/>
  <c r="J21" i="28" a="1"/>
  <c r="H8" i="29" a="1"/>
  <c r="I3" i="30" a="1"/>
  <c r="J21" i="30" a="1"/>
  <c r="J21" i="29" a="1"/>
  <c r="G15" i="29" a="1"/>
  <c r="I3" i="28" a="1"/>
  <c r="K12" i="30" a="1"/>
  <c r="H7" i="28" a="1"/>
  <c r="J22" i="29" a="1"/>
  <c r="J13" i="29" a="1"/>
  <c r="J6" i="30" a="1"/>
  <c r="H8" i="28" a="1"/>
  <c r="J22" i="30" a="1"/>
  <c r="G11" i="28" a="1"/>
  <c r="J2" i="28" a="1"/>
  <c r="J6" i="29" a="1"/>
  <c r="J22" i="28" a="1"/>
  <c r="G11" i="29" a="1"/>
  <c r="J2" i="29" a="1"/>
  <c r="J6" i="28" a="1"/>
  <c r="K12" i="28" a="1"/>
  <c r="L24" i="29" a="1"/>
  <c r="D10" i="28" a="1"/>
  <c r="K12" i="29" a="1"/>
  <c r="G15" i="28" a="1"/>
  <c r="K23" i="29" a="1"/>
  <c r="D10" i="29" a="1"/>
  <c r="H5" i="28" a="1"/>
  <c r="G9" i="30" a="1"/>
  <c r="G15" i="30" a="1"/>
  <c r="J13" i="28" a="1"/>
  <c r="L24" i="30" a="1"/>
  <c r="I3" i="29" a="1"/>
  <c r="I4" i="28" a="1"/>
  <c r="H5" i="30" a="1"/>
  <c r="K23" i="30" a="1"/>
  <c r="C4" i="31" l="1"/>
  <c r="C6" i="31"/>
  <c r="C8" i="31"/>
  <c r="C10" i="31"/>
  <c r="C12" i="31"/>
  <c r="C14" i="31"/>
  <c r="C16" i="31"/>
  <c r="C7" i="31"/>
  <c r="C11" i="31"/>
  <c r="C15" i="31"/>
  <c r="C3" i="31"/>
  <c r="C5" i="31"/>
  <c r="C9" i="31"/>
  <c r="C13" i="31"/>
  <c r="B3" i="31"/>
  <c r="B7" i="31"/>
  <c r="B11" i="31"/>
  <c r="B15" i="31"/>
  <c r="B9" i="31"/>
  <c r="B10" i="31"/>
  <c r="B14" i="31"/>
  <c r="B4" i="31"/>
  <c r="B8" i="31"/>
  <c r="B12" i="31"/>
  <c r="B16" i="31"/>
  <c r="B5" i="31"/>
  <c r="B13" i="31"/>
  <c r="B6" i="31"/>
  <c r="B2" i="31"/>
  <c r="F38" i="30"/>
  <c r="K5" i="27"/>
  <c r="F16" i="27"/>
  <c r="F17" i="27"/>
  <c r="D25" i="27"/>
  <c r="D18" i="27"/>
  <c r="K7" i="27"/>
  <c r="K8" i="27"/>
  <c r="D19" i="27"/>
  <c r="D20" i="27"/>
  <c r="L3" i="27"/>
  <c r="L4" i="27"/>
  <c r="M2" i="27"/>
  <c r="E17" i="27"/>
  <c r="E16" i="27"/>
  <c r="J11" i="27"/>
  <c r="J15" i="27"/>
  <c r="J14" i="27"/>
  <c r="J9" i="27"/>
  <c r="D10" i="29"/>
  <c r="D31" i="29" s="1"/>
  <c r="D32" i="29" s="1"/>
  <c r="D10" i="28"/>
  <c r="D31" i="28" s="1"/>
  <c r="D10" i="30"/>
  <c r="D31" i="30" s="1"/>
  <c r="H2" i="32"/>
  <c r="H4" i="32"/>
  <c r="H3" i="32"/>
  <c r="E31" i="27"/>
  <c r="E32" i="27" s="1"/>
  <c r="G34" i="32"/>
  <c r="G9" i="32"/>
  <c r="G39" i="32"/>
  <c r="G47" i="32"/>
  <c r="G40" i="32"/>
  <c r="G48" i="32"/>
  <c r="G37" i="32"/>
  <c r="G35" i="32"/>
  <c r="G44" i="32"/>
  <c r="G41" i="32"/>
  <c r="G36" i="32"/>
  <c r="G46" i="32"/>
  <c r="G38" i="32"/>
  <c r="G43" i="32"/>
  <c r="G45" i="32"/>
  <c r="G42" i="32"/>
  <c r="G15" i="32"/>
  <c r="G8" i="32"/>
  <c r="G26" i="32"/>
  <c r="G18" i="32"/>
  <c r="G28" i="32"/>
  <c r="G22" i="32"/>
  <c r="G16" i="32"/>
  <c r="G29" i="32"/>
  <c r="G21" i="32"/>
  <c r="G24" i="32"/>
  <c r="G25" i="32"/>
  <c r="G19" i="32"/>
  <c r="G23" i="32"/>
  <c r="G17" i="32"/>
  <c r="G27" i="32"/>
  <c r="G20" i="32"/>
  <c r="G10" i="32"/>
  <c r="G58" i="32"/>
  <c r="G66" i="32"/>
  <c r="G59" i="32"/>
  <c r="G67" i="32"/>
  <c r="G54" i="32"/>
  <c r="G64" i="32"/>
  <c r="G61" i="32"/>
  <c r="G56" i="32"/>
  <c r="G53" i="32"/>
  <c r="G63" i="32"/>
  <c r="G55" i="32"/>
  <c r="G60" i="32"/>
  <c r="G65" i="32"/>
  <c r="G62" i="32"/>
  <c r="G57" i="32"/>
  <c r="H8" i="30"/>
  <c r="J21" i="29"/>
  <c r="J6" i="28"/>
  <c r="H7" i="30"/>
  <c r="K23" i="29"/>
  <c r="L24" i="29"/>
  <c r="J2" i="29"/>
  <c r="K12" i="28"/>
  <c r="G11" i="29"/>
  <c r="G35" i="29" s="1"/>
  <c r="I4" i="29"/>
  <c r="I3" i="29"/>
  <c r="I41" i="29" s="1"/>
  <c r="J22" i="28"/>
  <c r="H5" i="29"/>
  <c r="H43" i="29" s="1"/>
  <c r="G15" i="28"/>
  <c r="G37" i="28" s="1"/>
  <c r="G38" i="28" s="1"/>
  <c r="G9" i="29"/>
  <c r="J21" i="30"/>
  <c r="J6" i="29"/>
  <c r="H7" i="29"/>
  <c r="K23" i="30"/>
  <c r="L24" i="30"/>
  <c r="J2" i="28"/>
  <c r="K12" i="29"/>
  <c r="J13" i="28"/>
  <c r="G11" i="28"/>
  <c r="G35" i="28" s="1"/>
  <c r="I4" i="30"/>
  <c r="I3" i="30"/>
  <c r="I41" i="30" s="1"/>
  <c r="J22" i="30"/>
  <c r="G14" i="29"/>
  <c r="G39" i="29" s="1"/>
  <c r="G40" i="29" s="1"/>
  <c r="H5" i="30"/>
  <c r="H43" i="30" s="1"/>
  <c r="G15" i="30"/>
  <c r="G37" i="30" s="1"/>
  <c r="H8" i="28"/>
  <c r="G9" i="30"/>
  <c r="J6" i="30"/>
  <c r="J2" i="30"/>
  <c r="J13" i="29"/>
  <c r="G11" i="30"/>
  <c r="G35" i="30" s="1"/>
  <c r="J22" i="29"/>
  <c r="G14" i="28"/>
  <c r="G39" i="28" s="1"/>
  <c r="H8" i="29"/>
  <c r="G9" i="28"/>
  <c r="J21" i="28"/>
  <c r="H7" i="28"/>
  <c r="K23" i="28"/>
  <c r="L24" i="28"/>
  <c r="K12" i="30"/>
  <c r="J13" i="30"/>
  <c r="I4" i="28"/>
  <c r="I3" i="28"/>
  <c r="I41" i="28" s="1"/>
  <c r="G14" i="30"/>
  <c r="G39" i="30" s="1"/>
  <c r="G40" i="30" s="1"/>
  <c r="H5" i="28"/>
  <c r="H43" i="28" s="1"/>
  <c r="G15" i="29"/>
  <c r="G37" i="29" s="1"/>
  <c r="G38" i="29" s="1"/>
  <c r="H39" i="27"/>
  <c r="H40" i="27" s="1"/>
  <c r="F34" i="30"/>
  <c r="B48" i="29"/>
  <c r="H41" i="30"/>
  <c r="H41" i="29"/>
  <c r="F35" i="28"/>
  <c r="H35" i="27"/>
  <c r="H36" i="27" s="1"/>
  <c r="F34" i="28"/>
  <c r="J41" i="27"/>
  <c r="J42" i="27" s="1"/>
  <c r="F35" i="30"/>
  <c r="F39" i="28"/>
  <c r="G42" i="30"/>
  <c r="G42" i="29"/>
  <c r="I33" i="27"/>
  <c r="I34" i="27" s="1"/>
  <c r="F34" i="29"/>
  <c r="G43" i="28"/>
  <c r="G43" i="29"/>
  <c r="G44" i="29" s="1"/>
  <c r="I43" i="27"/>
  <c r="I44" i="27" s="1"/>
  <c r="B48" i="30"/>
  <c r="J43" i="27"/>
  <c r="E36" i="29"/>
  <c r="B48" i="28"/>
  <c r="G43" i="30"/>
  <c r="F35" i="29"/>
  <c r="H41" i="28"/>
  <c r="H42" i="28" s="1"/>
  <c r="M12" i="15"/>
  <c r="C12" i="15" s="1"/>
  <c r="K8" i="15"/>
  <c r="K3" i="15"/>
  <c r="C3" i="15" s="1"/>
  <c r="D16" i="28" a="1"/>
  <c r="J3" i="28" a="1"/>
  <c r="L23" i="29" a="1"/>
  <c r="L12" i="30" a="1"/>
  <c r="K6" i="28" a="1"/>
  <c r="H14" i="28" a="1"/>
  <c r="H11" i="29" a="1"/>
  <c r="L12" i="29" a="1"/>
  <c r="H9" i="30" a="1"/>
  <c r="J5" i="28" a="1"/>
  <c r="K21" i="29" a="1"/>
  <c r="K2" i="28" a="1"/>
  <c r="I5" i="29" a="1"/>
  <c r="K22" i="30" a="1"/>
  <c r="L23" i="30" a="1"/>
  <c r="K6" i="29" a="1"/>
  <c r="K21" i="30" a="1"/>
  <c r="K13" i="30" a="1"/>
  <c r="H11" i="28" a="1"/>
  <c r="K21" i="28" a="1"/>
  <c r="I7" i="29" a="1"/>
  <c r="I8" i="28" a="1"/>
  <c r="E10" i="30" a="1"/>
  <c r="E10" i="28" a="1"/>
  <c r="D16" i="29" a="1"/>
  <c r="D17" i="28" a="1"/>
  <c r="J4" i="29" a="1"/>
  <c r="M24" i="28" a="1"/>
  <c r="I7" i="30" a="1"/>
  <c r="J5" i="30" a="1"/>
  <c r="L23" i="28" a="1"/>
  <c r="H9" i="29" a="1"/>
  <c r="J4" i="28" a="1"/>
  <c r="J3" i="30" a="1"/>
  <c r="K2" i="30" a="1"/>
  <c r="I5" i="30" a="1"/>
  <c r="I8" i="29" a="1"/>
  <c r="K13" i="29" a="1"/>
  <c r="H15" i="28" a="1"/>
  <c r="J3" i="29" a="1"/>
  <c r="I7" i="28" a="1"/>
  <c r="D16" i="30" a="1"/>
  <c r="H9" i="28" a="1"/>
  <c r="E10" i="29" a="1"/>
  <c r="D17" i="29" a="1"/>
  <c r="H14" i="30" a="1"/>
  <c r="H11" i="30" a="1"/>
  <c r="H15" i="30" a="1"/>
  <c r="K2" i="29" a="1"/>
  <c r="I5" i="28" a="1"/>
  <c r="I8" i="30" a="1"/>
  <c r="J4" i="30" a="1"/>
  <c r="M24" i="29" a="1"/>
  <c r="J5" i="29" a="1"/>
  <c r="K13" i="28" a="1"/>
  <c r="L12" i="28" a="1"/>
  <c r="H14" i="29" a="1"/>
  <c r="D17" i="30" a="1"/>
  <c r="K22" i="29" a="1"/>
  <c r="H15" i="29" a="1"/>
  <c r="K22" i="28" a="1"/>
  <c r="K6" i="30" a="1"/>
  <c r="M24" i="30" a="1"/>
  <c r="G38" i="30" l="1"/>
  <c r="D32" i="30"/>
  <c r="G44" i="28"/>
  <c r="H44" i="28" s="1"/>
  <c r="F40" i="28"/>
  <c r="G40" i="28" s="1"/>
  <c r="D32" i="28"/>
  <c r="L5" i="27"/>
  <c r="E19" i="27"/>
  <c r="E20" i="27"/>
  <c r="N2" i="27"/>
  <c r="M3" i="27"/>
  <c r="M4" i="27"/>
  <c r="G10" i="27"/>
  <c r="L7" i="27"/>
  <c r="L8" i="27"/>
  <c r="K9" i="27"/>
  <c r="K15" i="27"/>
  <c r="K14" i="27"/>
  <c r="K11" i="27"/>
  <c r="F20" i="27"/>
  <c r="F19" i="27"/>
  <c r="E18" i="27"/>
  <c r="E25" i="27"/>
  <c r="F18" i="27"/>
  <c r="F25" i="27"/>
  <c r="D17" i="30"/>
  <c r="D17" i="29"/>
  <c r="E10" i="29"/>
  <c r="E31" i="29" s="1"/>
  <c r="E32" i="29" s="1"/>
  <c r="D16" i="30"/>
  <c r="D17" i="28"/>
  <c r="D16" i="29"/>
  <c r="E10" i="28"/>
  <c r="E31" i="28" s="1"/>
  <c r="E10" i="30"/>
  <c r="E31" i="30" s="1"/>
  <c r="D16" i="28"/>
  <c r="I3" i="32"/>
  <c r="I2" i="32"/>
  <c r="I4" i="32"/>
  <c r="H38" i="32"/>
  <c r="H9" i="32"/>
  <c r="H34" i="32"/>
  <c r="H43" i="32"/>
  <c r="H46" i="32"/>
  <c r="H39" i="32"/>
  <c r="H35" i="32"/>
  <c r="H48" i="32"/>
  <c r="H36" i="32"/>
  <c r="H41" i="32"/>
  <c r="H44" i="32"/>
  <c r="H45" i="32"/>
  <c r="H40" i="32"/>
  <c r="H42" i="32"/>
  <c r="H47" i="32"/>
  <c r="H37" i="32"/>
  <c r="J44" i="27"/>
  <c r="H53" i="32"/>
  <c r="H10" i="32"/>
  <c r="H58" i="32"/>
  <c r="H61" i="32"/>
  <c r="H64" i="32"/>
  <c r="H59" i="32"/>
  <c r="H67" i="32"/>
  <c r="H66" i="32"/>
  <c r="H60" i="32"/>
  <c r="H57" i="32"/>
  <c r="H65" i="32"/>
  <c r="H63" i="32"/>
  <c r="H54" i="32"/>
  <c r="H62" i="32"/>
  <c r="H56" i="32"/>
  <c r="H55" i="32"/>
  <c r="H15" i="32"/>
  <c r="H8" i="32"/>
  <c r="H28" i="32"/>
  <c r="H20" i="32"/>
  <c r="H21" i="32"/>
  <c r="H24" i="32"/>
  <c r="H27" i="32"/>
  <c r="H22" i="32"/>
  <c r="H29" i="32"/>
  <c r="H26" i="32"/>
  <c r="H25" i="32"/>
  <c r="H19" i="32"/>
  <c r="H23" i="32"/>
  <c r="H17" i="32"/>
  <c r="H16" i="32"/>
  <c r="H18" i="32"/>
  <c r="F31" i="27"/>
  <c r="F32" i="27" s="1"/>
  <c r="D47" i="27"/>
  <c r="D48" i="27" s="1"/>
  <c r="H42" i="30"/>
  <c r="I42" i="30" s="1"/>
  <c r="H44" i="29"/>
  <c r="H42" i="29"/>
  <c r="I42" i="29" s="1"/>
  <c r="K22" i="30"/>
  <c r="I8" i="28"/>
  <c r="K6" i="29"/>
  <c r="I5" i="29"/>
  <c r="H9" i="28"/>
  <c r="I7" i="28"/>
  <c r="I33" i="28" s="1"/>
  <c r="K2" i="28"/>
  <c r="M24" i="30"/>
  <c r="L23" i="30"/>
  <c r="K21" i="29"/>
  <c r="J3" i="29"/>
  <c r="K13" i="29"/>
  <c r="H14" i="29"/>
  <c r="H39" i="29" s="1"/>
  <c r="H40" i="29" s="1"/>
  <c r="I8" i="29"/>
  <c r="J5" i="28"/>
  <c r="J43" i="28" s="1"/>
  <c r="K6" i="30"/>
  <c r="I5" i="30"/>
  <c r="H9" i="30"/>
  <c r="I7" i="29"/>
  <c r="I33" i="29" s="1"/>
  <c r="L12" i="28"/>
  <c r="K2" i="30"/>
  <c r="K21" i="28"/>
  <c r="H15" i="28"/>
  <c r="H37" i="28" s="1"/>
  <c r="H38" i="28" s="1"/>
  <c r="J3" i="30"/>
  <c r="H11" i="28"/>
  <c r="K13" i="28"/>
  <c r="J4" i="28"/>
  <c r="K22" i="28"/>
  <c r="J5" i="29"/>
  <c r="J43" i="29" s="1"/>
  <c r="H9" i="29"/>
  <c r="L12" i="29"/>
  <c r="M24" i="29"/>
  <c r="L23" i="28"/>
  <c r="H15" i="29"/>
  <c r="H37" i="29" s="1"/>
  <c r="H38" i="29" s="1"/>
  <c r="H11" i="29"/>
  <c r="K13" i="30"/>
  <c r="J4" i="30"/>
  <c r="H14" i="28"/>
  <c r="K22" i="29"/>
  <c r="I8" i="30"/>
  <c r="J5" i="30"/>
  <c r="J43" i="30" s="1"/>
  <c r="K6" i="28"/>
  <c r="I5" i="28"/>
  <c r="I7" i="30"/>
  <c r="I33" i="30" s="1"/>
  <c r="L12" i="30"/>
  <c r="K2" i="29"/>
  <c r="M24" i="28"/>
  <c r="L23" i="29"/>
  <c r="K21" i="30"/>
  <c r="H15" i="30"/>
  <c r="H37" i="30" s="1"/>
  <c r="J3" i="28"/>
  <c r="H11" i="30"/>
  <c r="J4" i="29"/>
  <c r="H14" i="30"/>
  <c r="H39" i="30" s="1"/>
  <c r="H40" i="30" s="1"/>
  <c r="I42" i="28"/>
  <c r="K43" i="27"/>
  <c r="A3" i="30"/>
  <c r="A3" i="28"/>
  <c r="A3" i="29"/>
  <c r="A3" i="27"/>
  <c r="I35" i="27"/>
  <c r="I36" i="27" s="1"/>
  <c r="G34" i="28"/>
  <c r="F36" i="28"/>
  <c r="G34" i="30"/>
  <c r="J33" i="27"/>
  <c r="J34" i="27" s="1"/>
  <c r="H33" i="28"/>
  <c r="C48" i="28"/>
  <c r="C48" i="30"/>
  <c r="A12" i="30"/>
  <c r="A12" i="28"/>
  <c r="A12" i="29"/>
  <c r="A12" i="27"/>
  <c r="G34" i="29"/>
  <c r="F36" i="30"/>
  <c r="G44" i="30"/>
  <c r="I39" i="27"/>
  <c r="I40" i="27" s="1"/>
  <c r="F36" i="29"/>
  <c r="G36" i="29" s="1"/>
  <c r="K41" i="27"/>
  <c r="K42" i="27" s="1"/>
  <c r="C48" i="29"/>
  <c r="H33" i="29"/>
  <c r="H33" i="30"/>
  <c r="C12" i="25"/>
  <c r="X13" i="16"/>
  <c r="C3" i="25"/>
  <c r="X22" i="16"/>
  <c r="D151" i="2"/>
  <c r="D152" i="2"/>
  <c r="D153"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206" i="2"/>
  <c r="D207" i="2"/>
  <c r="D208" i="2"/>
  <c r="D209" i="2"/>
  <c r="D210" i="2"/>
  <c r="D211" i="2"/>
  <c r="D216" i="2"/>
  <c r="D217" i="2"/>
  <c r="D218"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G151" i="2"/>
  <c r="G152" i="2"/>
  <c r="G153" i="2"/>
  <c r="G157" i="2"/>
  <c r="G158" i="2"/>
  <c r="G159" i="2"/>
  <c r="G160" i="2"/>
  <c r="G161" i="2"/>
  <c r="G162" i="2"/>
  <c r="G163" i="2"/>
  <c r="G164" i="2"/>
  <c r="G165" i="2"/>
  <c r="G166" i="2"/>
  <c r="G167" i="2"/>
  <c r="G168" i="2"/>
  <c r="G169" i="2"/>
  <c r="G170" i="2"/>
  <c r="G171" i="2"/>
  <c r="G172" i="2"/>
  <c r="G173" i="2"/>
  <c r="G174" i="2"/>
  <c r="G175" i="2"/>
  <c r="G176" i="2"/>
  <c r="E151" i="2"/>
  <c r="E152" i="2"/>
  <c r="E153" i="2"/>
  <c r="E157" i="2"/>
  <c r="E158" i="2"/>
  <c r="E159" i="2"/>
  <c r="E160" i="2"/>
  <c r="E161" i="2"/>
  <c r="E162" i="2"/>
  <c r="E163" i="2"/>
  <c r="E164" i="2"/>
  <c r="E165" i="2"/>
  <c r="E166" i="2"/>
  <c r="E167" i="2"/>
  <c r="E168" i="2"/>
  <c r="E169" i="2"/>
  <c r="E170" i="2"/>
  <c r="E171" i="2"/>
  <c r="E172" i="2"/>
  <c r="E173" i="2"/>
  <c r="E174" i="2"/>
  <c r="E175" i="2"/>
  <c r="E176" i="2"/>
  <c r="D54" i="5"/>
  <c r="AA199" i="2"/>
  <c r="AA198" i="2"/>
  <c r="AA197" i="2"/>
  <c r="AA196" i="2"/>
  <c r="AA195" i="2"/>
  <c r="AA194" i="2"/>
  <c r="AA177" i="2"/>
  <c r="AA178" i="2"/>
  <c r="AA179" i="2"/>
  <c r="AA180" i="2"/>
  <c r="AA181" i="2"/>
  <c r="AA182" i="2"/>
  <c r="AA183" i="2"/>
  <c r="AA184" i="2"/>
  <c r="AA185" i="2"/>
  <c r="AA186" i="2"/>
  <c r="AA187" i="2"/>
  <c r="AA188" i="2"/>
  <c r="AA189" i="2"/>
  <c r="AA190" i="2"/>
  <c r="AA191" i="2"/>
  <c r="AA192" i="2"/>
  <c r="AA193"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D37" i="5"/>
  <c r="D19" i="5"/>
  <c r="G139" i="2"/>
  <c r="G140" i="2"/>
  <c r="G141" i="2"/>
  <c r="G145" i="2"/>
  <c r="G146" i="2"/>
  <c r="G147" i="2"/>
  <c r="G177" i="2"/>
  <c r="G178" i="2"/>
  <c r="G179" i="2"/>
  <c r="G180" i="2"/>
  <c r="G181" i="2"/>
  <c r="G182" i="2"/>
  <c r="G183" i="2"/>
  <c r="G184" i="2"/>
  <c r="G185" i="2"/>
  <c r="G186" i="2"/>
  <c r="G187" i="2"/>
  <c r="G188" i="2"/>
  <c r="G189" i="2"/>
  <c r="G190" i="2"/>
  <c r="G191" i="2"/>
  <c r="G192" i="2"/>
  <c r="G193" i="2"/>
  <c r="G206" i="2"/>
  <c r="G207" i="2"/>
  <c r="G208" i="2"/>
  <c r="G209" i="2"/>
  <c r="G210" i="2"/>
  <c r="G211" i="2"/>
  <c r="G216" i="2"/>
  <c r="G217" i="2"/>
  <c r="G218"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E139" i="2"/>
  <c r="E140" i="2"/>
  <c r="E141" i="2"/>
  <c r="E145" i="2"/>
  <c r="E146" i="2"/>
  <c r="E147" i="2"/>
  <c r="E177" i="2"/>
  <c r="E178" i="2"/>
  <c r="E179" i="2"/>
  <c r="E180" i="2"/>
  <c r="E181" i="2"/>
  <c r="E182" i="2"/>
  <c r="E183" i="2"/>
  <c r="E184" i="2"/>
  <c r="E185" i="2"/>
  <c r="E186" i="2"/>
  <c r="E187" i="2"/>
  <c r="E188" i="2"/>
  <c r="E189" i="2"/>
  <c r="E190" i="2"/>
  <c r="E191" i="2"/>
  <c r="E192" i="2"/>
  <c r="E193" i="2"/>
  <c r="E206" i="2"/>
  <c r="E207" i="2"/>
  <c r="E208" i="2"/>
  <c r="E209" i="2"/>
  <c r="E210" i="2"/>
  <c r="E211" i="2"/>
  <c r="E216" i="2"/>
  <c r="E217" i="2"/>
  <c r="E218"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D139" i="2"/>
  <c r="D140" i="2"/>
  <c r="D141" i="2"/>
  <c r="D145" i="2"/>
  <c r="D146" i="2"/>
  <c r="D147"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AS10" i="10"/>
  <c r="AS11" i="10"/>
  <c r="AS12" i="10"/>
  <c r="AS13" i="10"/>
  <c r="AE13" i="10"/>
  <c r="R13" i="10"/>
  <c r="AG13" i="10" s="1"/>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3" i="5"/>
  <c r="C53" i="5"/>
  <c r="C42" i="5"/>
  <c r="C52" i="5"/>
  <c r="C51" i="5"/>
  <c r="C50" i="5"/>
  <c r="C49" i="5"/>
  <c r="C48" i="5"/>
  <c r="C47" i="5"/>
  <c r="C46" i="5"/>
  <c r="C45" i="5"/>
  <c r="C44" i="5"/>
  <c r="C25" i="5"/>
  <c r="C36" i="5"/>
  <c r="C24" i="5"/>
  <c r="C35" i="5"/>
  <c r="C34" i="5"/>
  <c r="C33" i="5"/>
  <c r="C32" i="5"/>
  <c r="C28" i="5"/>
  <c r="C31" i="5"/>
  <c r="C30" i="5"/>
  <c r="C29" i="5"/>
  <c r="C27" i="5"/>
  <c r="C26" i="5"/>
  <c r="C7" i="5"/>
  <c r="C8" i="5"/>
  <c r="C9" i="5"/>
  <c r="C10" i="5"/>
  <c r="C11" i="5"/>
  <c r="C12" i="5"/>
  <c r="C13" i="5"/>
  <c r="C15" i="5"/>
  <c r="C14" i="5"/>
  <c r="C16" i="5"/>
  <c r="C17" i="5"/>
  <c r="C18" i="5"/>
  <c r="C6" i="5"/>
  <c r="D25" i="30" a="1"/>
  <c r="D20" i="29" a="1"/>
  <c r="D18" i="28" a="1"/>
  <c r="E16" i="29" a="1"/>
  <c r="E17" i="30" a="1"/>
  <c r="D25" i="28" a="1"/>
  <c r="F10" i="29" a="1"/>
  <c r="D19" i="29" a="1"/>
  <c r="D18" i="30" a="1"/>
  <c r="M12" i="30" a="1"/>
  <c r="K3" i="28" a="1"/>
  <c r="M12" i="28" a="1"/>
  <c r="M23" i="30" a="1"/>
  <c r="I11" i="28" a="1"/>
  <c r="L2" i="29" a="1"/>
  <c r="J8" i="28" a="1"/>
  <c r="K4" i="29" a="1"/>
  <c r="J7" i="29" a="1"/>
  <c r="L2" i="28" a="1"/>
  <c r="J8" i="29" a="1"/>
  <c r="I14" i="29" a="1"/>
  <c r="L13" i="28" a="1"/>
  <c r="I15" i="28" a="1"/>
  <c r="J8" i="30" a="1"/>
  <c r="K4" i="30" a="1"/>
  <c r="J7" i="30" a="1"/>
  <c r="N24" i="28" a="1"/>
  <c r="L13" i="29" a="1"/>
  <c r="L22" i="28" a="1"/>
  <c r="N24" i="29" a="1"/>
  <c r="K4" i="28" a="1"/>
  <c r="K3" i="29" a="1"/>
  <c r="D20" i="30" a="1"/>
  <c r="F10" i="28" a="1"/>
  <c r="D19" i="28" a="1"/>
  <c r="D18" i="29" a="1"/>
  <c r="E16" i="30" a="1"/>
  <c r="E17" i="28" a="1"/>
  <c r="J7" i="28" a="1"/>
  <c r="L21" i="29" a="1"/>
  <c r="K5" i="29" a="1"/>
  <c r="I9" i="29" a="1"/>
  <c r="L21" i="28" a="1"/>
  <c r="M23" i="28" a="1"/>
  <c r="I15" i="30" a="1"/>
  <c r="I9" i="28" a="1"/>
  <c r="L13" i="30" a="1"/>
  <c r="I15" i="29" a="1"/>
  <c r="I11" i="29" a="1"/>
  <c r="L6" i="29" a="1"/>
  <c r="K5" i="28" a="1"/>
  <c r="I14" i="30" a="1"/>
  <c r="M12" i="29" a="1"/>
  <c r="D25" i="29" a="1"/>
  <c r="D20" i="28" a="1"/>
  <c r="F10" i="30" a="1"/>
  <c r="D19" i="30" a="1"/>
  <c r="E16" i="28" a="1"/>
  <c r="E17" i="29" a="1"/>
  <c r="L22" i="29" a="1"/>
  <c r="I14" i="28" a="1"/>
  <c r="L2" i="30" a="1"/>
  <c r="K3" i="30" a="1"/>
  <c r="L22" i="30" a="1"/>
  <c r="I9" i="30" a="1"/>
  <c r="I11" i="30" a="1"/>
  <c r="M23" i="29" a="1"/>
  <c r="L21" i="30" a="1"/>
  <c r="K5" i="30" a="1"/>
  <c r="N24" i="30" a="1"/>
  <c r="L6" i="28" a="1"/>
  <c r="L6" i="30" a="1"/>
  <c r="H38" i="30" l="1"/>
  <c r="E32" i="30"/>
  <c r="E32" i="28"/>
  <c r="L11" i="27"/>
  <c r="L15" i="27"/>
  <c r="L14" i="27"/>
  <c r="L9" i="27"/>
  <c r="M5" i="27"/>
  <c r="N4" i="27"/>
  <c r="N3" i="27"/>
  <c r="O2" i="27"/>
  <c r="G16" i="27"/>
  <c r="G17" i="27"/>
  <c r="K44" i="27"/>
  <c r="H10" i="27"/>
  <c r="M8" i="27"/>
  <c r="M7" i="27"/>
  <c r="E17" i="29"/>
  <c r="E16" i="28"/>
  <c r="D19" i="30"/>
  <c r="D47" i="30" s="1"/>
  <c r="D48" i="30" s="1"/>
  <c r="F10" i="30"/>
  <c r="F31" i="30" s="1"/>
  <c r="D20" i="28"/>
  <c r="D25" i="29"/>
  <c r="E17" i="28"/>
  <c r="E16" i="30"/>
  <c r="D18" i="29"/>
  <c r="D19" i="28"/>
  <c r="D47" i="28" s="1"/>
  <c r="D48" i="28" s="1"/>
  <c r="F10" i="28"/>
  <c r="F31" i="28" s="1"/>
  <c r="D20" i="30"/>
  <c r="D18" i="30"/>
  <c r="D19" i="29"/>
  <c r="D47" i="29" s="1"/>
  <c r="D48" i="29" s="1"/>
  <c r="F10" i="29"/>
  <c r="F31" i="29" s="1"/>
  <c r="F32" i="29" s="1"/>
  <c r="D25" i="28"/>
  <c r="E17" i="30"/>
  <c r="E16" i="29"/>
  <c r="D18" i="28"/>
  <c r="D20" i="29"/>
  <c r="D25" i="30"/>
  <c r="I16" i="32"/>
  <c r="I8" i="32"/>
  <c r="I27" i="32"/>
  <c r="I19" i="32"/>
  <c r="I25" i="32"/>
  <c r="I22" i="32"/>
  <c r="I28" i="32"/>
  <c r="I29" i="32"/>
  <c r="I23" i="32"/>
  <c r="I21" i="32"/>
  <c r="I17" i="32"/>
  <c r="I15" i="32"/>
  <c r="I26" i="32"/>
  <c r="I20" i="32"/>
  <c r="I24" i="32"/>
  <c r="I18" i="32"/>
  <c r="I9" i="32"/>
  <c r="I38" i="32"/>
  <c r="I46" i="32"/>
  <c r="I43" i="32"/>
  <c r="I48" i="32"/>
  <c r="I42" i="32"/>
  <c r="I41" i="32"/>
  <c r="I34" i="32"/>
  <c r="I44" i="32"/>
  <c r="I36" i="32"/>
  <c r="I45" i="32"/>
  <c r="I40" i="32"/>
  <c r="I47" i="32"/>
  <c r="I37" i="32"/>
  <c r="I35" i="32"/>
  <c r="I39" i="32"/>
  <c r="G31" i="27"/>
  <c r="G32" i="27" s="1"/>
  <c r="J3" i="32"/>
  <c r="J2" i="32"/>
  <c r="J4" i="32"/>
  <c r="E47" i="27"/>
  <c r="E48" i="27" s="1"/>
  <c r="I10" i="32"/>
  <c r="I57" i="32"/>
  <c r="I65" i="32"/>
  <c r="I58" i="32"/>
  <c r="I66" i="32"/>
  <c r="I55" i="32"/>
  <c r="I67" i="32"/>
  <c r="I62" i="32"/>
  <c r="I61" i="32"/>
  <c r="I60" i="32"/>
  <c r="I63" i="32"/>
  <c r="I64" i="32"/>
  <c r="I53" i="32"/>
  <c r="I54" i="32"/>
  <c r="I59" i="32"/>
  <c r="I56" i="32"/>
  <c r="L13" i="30"/>
  <c r="K3" i="29"/>
  <c r="K41" i="29" s="1"/>
  <c r="I14" i="29"/>
  <c r="I39" i="29" s="1"/>
  <c r="I40" i="29" s="1"/>
  <c r="L21" i="30"/>
  <c r="K4" i="28"/>
  <c r="L6" i="30"/>
  <c r="I9" i="28"/>
  <c r="J8" i="29"/>
  <c r="M23" i="29"/>
  <c r="N24" i="29"/>
  <c r="L2" i="28"/>
  <c r="I15" i="30"/>
  <c r="I37" i="30" s="1"/>
  <c r="L22" i="28"/>
  <c r="J7" i="29"/>
  <c r="M12" i="29"/>
  <c r="I11" i="30"/>
  <c r="I35" i="30" s="1"/>
  <c r="L13" i="29"/>
  <c r="I14" i="30"/>
  <c r="I39" i="30" s="1"/>
  <c r="I40" i="30" s="1"/>
  <c r="L21" i="29"/>
  <c r="K4" i="29"/>
  <c r="L6" i="28"/>
  <c r="I9" i="30"/>
  <c r="J8" i="28"/>
  <c r="M23" i="28"/>
  <c r="N24" i="28"/>
  <c r="L2" i="29"/>
  <c r="L22" i="30"/>
  <c r="J7" i="30"/>
  <c r="I11" i="28"/>
  <c r="I35" i="28" s="1"/>
  <c r="K5" i="28"/>
  <c r="K43" i="28" s="1"/>
  <c r="K3" i="30"/>
  <c r="K41" i="30" s="1"/>
  <c r="L21" i="28"/>
  <c r="K4" i="30"/>
  <c r="L6" i="29"/>
  <c r="I9" i="29"/>
  <c r="J8" i="30"/>
  <c r="M23" i="30"/>
  <c r="N24" i="30"/>
  <c r="L2" i="30"/>
  <c r="I15" i="28"/>
  <c r="I37" i="28" s="1"/>
  <c r="I38" i="28" s="1"/>
  <c r="M12" i="28"/>
  <c r="I11" i="29"/>
  <c r="I35" i="29" s="1"/>
  <c r="K5" i="29"/>
  <c r="K43" i="29" s="1"/>
  <c r="L13" i="28"/>
  <c r="K3" i="28"/>
  <c r="K41" i="28" s="1"/>
  <c r="I14" i="28"/>
  <c r="I39" i="28" s="1"/>
  <c r="I15" i="29"/>
  <c r="I37" i="29" s="1"/>
  <c r="I38" i="29" s="1"/>
  <c r="L22" i="29"/>
  <c r="J7" i="28"/>
  <c r="M12" i="30"/>
  <c r="K5" i="30"/>
  <c r="K43" i="30" s="1"/>
  <c r="L43" i="27"/>
  <c r="L44" i="27" s="1"/>
  <c r="J39" i="27"/>
  <c r="J40" i="27" s="1"/>
  <c r="H34" i="30"/>
  <c r="J41" i="30"/>
  <c r="J42" i="30" s="1"/>
  <c r="I43" i="30"/>
  <c r="A9" i="30"/>
  <c r="A9" i="28"/>
  <c r="A9" i="29"/>
  <c r="A9" i="27"/>
  <c r="J35" i="27"/>
  <c r="J36" i="27" s="1"/>
  <c r="G36" i="28"/>
  <c r="H34" i="28"/>
  <c r="H35" i="30"/>
  <c r="I43" i="28"/>
  <c r="J41" i="29"/>
  <c r="J42" i="29" s="1"/>
  <c r="H44" i="30"/>
  <c r="G36" i="30"/>
  <c r="H34" i="29"/>
  <c r="H35" i="28"/>
  <c r="K33" i="27"/>
  <c r="K34" i="27" s="1"/>
  <c r="L41" i="27"/>
  <c r="L42" i="27" s="1"/>
  <c r="J41" i="28"/>
  <c r="J42" i="28" s="1"/>
  <c r="H39" i="28"/>
  <c r="H35" i="29"/>
  <c r="H36" i="29" s="1"/>
  <c r="I43" i="29"/>
  <c r="I44" i="29" s="1"/>
  <c r="J44" i="29" s="1"/>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C13" i="15" s="1"/>
  <c r="M22" i="15"/>
  <c r="M20" i="15"/>
  <c r="M21" i="15"/>
  <c r="K34" i="15"/>
  <c r="C2" i="22"/>
  <c r="K31" i="15"/>
  <c r="M38" i="15"/>
  <c r="K20" i="15"/>
  <c r="M24" i="15"/>
  <c r="K21" i="15"/>
  <c r="M23" i="15"/>
  <c r="C25" i="15"/>
  <c r="K22" i="15"/>
  <c r="K33" i="15"/>
  <c r="M42" i="15"/>
  <c r="K39" i="15"/>
  <c r="D214" i="2"/>
  <c r="E212" i="2"/>
  <c r="D215" i="2"/>
  <c r="E213" i="2"/>
  <c r="G212" i="2"/>
  <c r="E214" i="2"/>
  <c r="G213" i="2"/>
  <c r="E215" i="2"/>
  <c r="D219" i="2"/>
  <c r="G215" i="2"/>
  <c r="G219" i="2"/>
  <c r="G214" i="2"/>
  <c r="E219" i="2"/>
  <c r="D212" i="2"/>
  <c r="D213" i="2"/>
  <c r="D155" i="2"/>
  <c r="G142" i="2"/>
  <c r="E142" i="2"/>
  <c r="D142" i="2"/>
  <c r="G155" i="2"/>
  <c r="E155" i="2"/>
  <c r="G148" i="2"/>
  <c r="E148" i="2"/>
  <c r="D148" i="2"/>
  <c r="P4" i="16"/>
  <c r="X4" i="16"/>
  <c r="K2" i="15"/>
  <c r="M7" i="15"/>
  <c r="M8" i="15"/>
  <c r="C8" i="15" s="1"/>
  <c r="G10" i="2"/>
  <c r="D3" i="2"/>
  <c r="G3" i="2"/>
  <c r="E7" i="2"/>
  <c r="E2" i="2"/>
  <c r="G11" i="2"/>
  <c r="D4" i="2"/>
  <c r="E5" i="2"/>
  <c r="D7" i="2"/>
  <c r="D9" i="2"/>
  <c r="D10" i="2"/>
  <c r="G12" i="2"/>
  <c r="E3" i="2"/>
  <c r="D5" i="2"/>
  <c r="D2" i="2"/>
  <c r="E4" i="2"/>
  <c r="D6" i="2"/>
  <c r="E6" i="2"/>
  <c r="D8" i="2"/>
  <c r="G4" i="2"/>
  <c r="E8" i="2"/>
  <c r="G6" i="2"/>
  <c r="E9" i="2"/>
  <c r="G2" i="2"/>
  <c r="D11" i="2"/>
  <c r="D12" i="2"/>
  <c r="E12" i="2"/>
  <c r="G7" i="2"/>
  <c r="E10" i="2"/>
  <c r="G8" i="2"/>
  <c r="G5" i="2"/>
  <c r="E11" i="2"/>
  <c r="G9" i="2"/>
  <c r="D200" i="2"/>
  <c r="E156" i="2"/>
  <c r="D201" i="2"/>
  <c r="D154" i="2"/>
  <c r="D202" i="2"/>
  <c r="D203" i="2"/>
  <c r="D156" i="2"/>
  <c r="D204" i="2"/>
  <c r="D205" i="2"/>
  <c r="D197" i="2"/>
  <c r="D194" i="2"/>
  <c r="D195" i="2"/>
  <c r="D196" i="2"/>
  <c r="G154" i="2"/>
  <c r="D149" i="2"/>
  <c r="D150" i="2"/>
  <c r="D198" i="2"/>
  <c r="G156" i="2"/>
  <c r="E154" i="2"/>
  <c r="D19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149" i="2"/>
  <c r="G199" i="2"/>
  <c r="E195" i="2"/>
  <c r="E197" i="2"/>
  <c r="D143" i="2"/>
  <c r="E198" i="2"/>
  <c r="D144" i="2"/>
  <c r="G150" i="2"/>
  <c r="G200" i="2"/>
  <c r="E196" i="2"/>
  <c r="G201" i="2"/>
  <c r="G202" i="2"/>
  <c r="G203" i="2"/>
  <c r="E149" i="2"/>
  <c r="E199" i="2"/>
  <c r="G204" i="2"/>
  <c r="E150" i="2"/>
  <c r="E200" i="2"/>
  <c r="G143" i="2"/>
  <c r="G205" i="2"/>
  <c r="E201" i="2"/>
  <c r="G144" i="2"/>
  <c r="G194" i="2"/>
  <c r="E202" i="2"/>
  <c r="E203" i="2"/>
  <c r="G195" i="2"/>
  <c r="G196" i="2"/>
  <c r="E204" i="2"/>
  <c r="G197" i="2"/>
  <c r="E143" i="2"/>
  <c r="E205" i="2"/>
  <c r="G198" i="2"/>
  <c r="E144" i="2"/>
  <c r="E194"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X5"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M2" i="15"/>
  <c r="I2" i="25" s="1"/>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B4" i="2"/>
  <c r="H10" i="30" a="1"/>
  <c r="H10" i="29" a="1"/>
  <c r="H10" i="28" a="1"/>
  <c r="E18" i="29" a="1"/>
  <c r="E25" i="28" a="1"/>
  <c r="G10" i="28" a="1"/>
  <c r="J14" i="28" a="1"/>
  <c r="K7" i="30" a="1"/>
  <c r="J11" i="30" a="1"/>
  <c r="J15" i="30" a="1"/>
  <c r="M6" i="30" a="1"/>
  <c r="O24" i="28" a="1"/>
  <c r="K8" i="29" a="1"/>
  <c r="M21" i="28" a="1"/>
  <c r="J9" i="30" a="1"/>
  <c r="L5" i="29" a="1"/>
  <c r="J11" i="29" a="1"/>
  <c r="M22" i="28" a="1"/>
  <c r="L3" i="28" a="1"/>
  <c r="E18" i="30" a="1"/>
  <c r="E20" i="28" a="1"/>
  <c r="G10" i="29" a="1"/>
  <c r="E19" i="28" a="1"/>
  <c r="L4" i="29" a="1"/>
  <c r="N12" i="28" a="1"/>
  <c r="L5" i="30" a="1"/>
  <c r="N12" i="30" a="1"/>
  <c r="M6" i="28" a="1"/>
  <c r="E20" i="29" a="1"/>
  <c r="E19" i="29" a="1"/>
  <c r="K7" i="29" a="1"/>
  <c r="M22" i="29" a="1"/>
  <c r="L3" i="29" a="1"/>
  <c r="O24" i="30" a="1"/>
  <c r="F16" i="30" a="1"/>
  <c r="F16" i="29" a="1"/>
  <c r="F17" i="30" a="1"/>
  <c r="E20" i="30" a="1"/>
  <c r="E25" i="30" a="1"/>
  <c r="G10" i="30" a="1"/>
  <c r="E19" i="30" a="1"/>
  <c r="L5" i="28" a="1"/>
  <c r="J11" i="28" a="1"/>
  <c r="M2" i="28" a="1"/>
  <c r="M6" i="29" a="1"/>
  <c r="K8" i="30" a="1"/>
  <c r="L4" i="30" a="1"/>
  <c r="M2" i="30" a="1"/>
  <c r="L3" i="30" a="1"/>
  <c r="L4" i="28" a="1"/>
  <c r="J15" i="29" a="1"/>
  <c r="K7" i="28" a="1"/>
  <c r="N23" i="29" a="1"/>
  <c r="J14" i="29" a="1"/>
  <c r="N12" i="29" a="1"/>
  <c r="J9" i="28" a="1"/>
  <c r="E25" i="29" a="1"/>
  <c r="M22" i="30" a="1"/>
  <c r="M21" i="29" a="1"/>
  <c r="J14" i="30" a="1"/>
  <c r="M2" i="29" a="1"/>
  <c r="O24" i="29" a="1"/>
  <c r="N23" i="28" a="1"/>
  <c r="E18" i="28" a="1"/>
  <c r="F17" i="28" a="1"/>
  <c r="M13" i="29" a="1"/>
  <c r="M13" i="30" a="1"/>
  <c r="K8" i="28" a="1"/>
  <c r="F16" i="28" a="1"/>
  <c r="F17" i="29" a="1"/>
  <c r="J9" i="29" a="1"/>
  <c r="M21" i="30" a="1"/>
  <c r="N23" i="30" a="1"/>
  <c r="M13" i="28" a="1"/>
  <c r="J15" i="28" a="1"/>
  <c r="D4" i="31" l="1"/>
  <c r="D6" i="31"/>
  <c r="D8" i="31"/>
  <c r="D10" i="31"/>
  <c r="D12" i="31"/>
  <c r="D14" i="31"/>
  <c r="D16" i="31"/>
  <c r="D5" i="31"/>
  <c r="D9" i="31"/>
  <c r="D11" i="31"/>
  <c r="D7" i="31"/>
  <c r="D15" i="31"/>
  <c r="D13" i="31"/>
  <c r="I38" i="30"/>
  <c r="F32" i="30"/>
  <c r="I44" i="28"/>
  <c r="J44" i="28" s="1"/>
  <c r="K44" i="28" s="1"/>
  <c r="H40" i="28"/>
  <c r="I40" i="28" s="1"/>
  <c r="F32" i="28"/>
  <c r="N5" i="27"/>
  <c r="H10" i="28"/>
  <c r="H31" i="28" s="1"/>
  <c r="H10" i="29"/>
  <c r="H31" i="29" s="1"/>
  <c r="H10" i="30"/>
  <c r="H31" i="30" s="1"/>
  <c r="M11" i="27"/>
  <c r="M15" i="27"/>
  <c r="M14" i="27"/>
  <c r="M9" i="27"/>
  <c r="G19" i="27"/>
  <c r="G20" i="27"/>
  <c r="N8" i="27"/>
  <c r="N7" i="27"/>
  <c r="H17" i="27"/>
  <c r="H16" i="27"/>
  <c r="G18" i="27"/>
  <c r="G25" i="27"/>
  <c r="I10" i="27"/>
  <c r="I31" i="27" s="1"/>
  <c r="H31" i="27"/>
  <c r="H32" i="27" s="1"/>
  <c r="O3" i="27"/>
  <c r="O4" i="27"/>
  <c r="P2" i="27"/>
  <c r="F17" i="29"/>
  <c r="F16" i="28"/>
  <c r="F17" i="28"/>
  <c r="E18" i="28"/>
  <c r="E25" i="29"/>
  <c r="E19" i="30"/>
  <c r="E47" i="30" s="1"/>
  <c r="E48" i="30" s="1"/>
  <c r="G10" i="30"/>
  <c r="G31" i="30" s="1"/>
  <c r="E25" i="30"/>
  <c r="E20" i="30"/>
  <c r="F17" i="30"/>
  <c r="F16" i="29"/>
  <c r="F16" i="30"/>
  <c r="E19" i="29"/>
  <c r="E47" i="29" s="1"/>
  <c r="E48" i="29" s="1"/>
  <c r="E20" i="29"/>
  <c r="E19" i="28"/>
  <c r="E47" i="28" s="1"/>
  <c r="E48" i="28" s="1"/>
  <c r="G10" i="29"/>
  <c r="G31" i="29" s="1"/>
  <c r="G32" i="29" s="1"/>
  <c r="E20" i="28"/>
  <c r="E18" i="30"/>
  <c r="G10" i="28"/>
  <c r="G31" i="28" s="1"/>
  <c r="E25" i="28"/>
  <c r="E18" i="29"/>
  <c r="J16" i="32"/>
  <c r="J8" i="32"/>
  <c r="J27" i="32"/>
  <c r="J15" i="32"/>
  <c r="J19" i="32"/>
  <c r="J28" i="32"/>
  <c r="J23" i="32"/>
  <c r="J22" i="32"/>
  <c r="J29" i="32"/>
  <c r="J21" i="32"/>
  <c r="J25" i="32"/>
  <c r="J17" i="32"/>
  <c r="J26" i="32"/>
  <c r="J20" i="32"/>
  <c r="J24" i="32"/>
  <c r="J18" i="32"/>
  <c r="J41" i="32"/>
  <c r="J9" i="32"/>
  <c r="J37" i="32"/>
  <c r="J39" i="32"/>
  <c r="J38" i="32"/>
  <c r="J46" i="32"/>
  <c r="J43" i="32"/>
  <c r="J45" i="32"/>
  <c r="J34" i="32"/>
  <c r="J44" i="32"/>
  <c r="J47" i="32"/>
  <c r="J36" i="32"/>
  <c r="J48" i="32"/>
  <c r="J40" i="32"/>
  <c r="J35" i="32"/>
  <c r="J42" i="32"/>
  <c r="K42" i="28"/>
  <c r="K4" i="32"/>
  <c r="K3" i="32"/>
  <c r="K2" i="32"/>
  <c r="F47" i="27"/>
  <c r="F48" i="27" s="1"/>
  <c r="J10" i="32"/>
  <c r="J53" i="32"/>
  <c r="J67" i="32"/>
  <c r="J66" i="32"/>
  <c r="J56" i="32"/>
  <c r="J63" i="32"/>
  <c r="J57" i="32"/>
  <c r="J54" i="32"/>
  <c r="J61" i="32"/>
  <c r="J55" i="32"/>
  <c r="J65" i="32"/>
  <c r="J64" i="32"/>
  <c r="J59" i="32"/>
  <c r="J58" i="32"/>
  <c r="J60" i="32"/>
  <c r="J62" i="32"/>
  <c r="H36" i="30"/>
  <c r="I36" i="30" s="1"/>
  <c r="K42" i="30"/>
  <c r="K44" i="29"/>
  <c r="I44" i="30"/>
  <c r="J44" i="30" s="1"/>
  <c r="K44" i="30" s="1"/>
  <c r="L3" i="28"/>
  <c r="L41" i="28" s="1"/>
  <c r="O24" i="30"/>
  <c r="N23" i="28"/>
  <c r="J9" i="28"/>
  <c r="M22" i="28"/>
  <c r="J15" i="28"/>
  <c r="J37" i="28" s="1"/>
  <c r="J38" i="28" s="1"/>
  <c r="N12" i="29"/>
  <c r="J11" i="29"/>
  <c r="J35" i="29" s="1"/>
  <c r="J14" i="29"/>
  <c r="J39" i="29" s="1"/>
  <c r="J40" i="29" s="1"/>
  <c r="K8" i="28"/>
  <c r="L5" i="29"/>
  <c r="L43" i="29" s="1"/>
  <c r="L3" i="29"/>
  <c r="L41" i="29" s="1"/>
  <c r="O24" i="29"/>
  <c r="N23" i="29"/>
  <c r="J9" i="30"/>
  <c r="M6" i="28"/>
  <c r="K7" i="28"/>
  <c r="K33" i="28" s="1"/>
  <c r="M21" i="28"/>
  <c r="M22" i="29"/>
  <c r="M2" i="29"/>
  <c r="J15" i="29"/>
  <c r="J37" i="29" s="1"/>
  <c r="J38" i="29" s="1"/>
  <c r="M13" i="28"/>
  <c r="N12" i="30"/>
  <c r="L4" i="28"/>
  <c r="J14" i="30"/>
  <c r="J39" i="30" s="1"/>
  <c r="J40" i="30" s="1"/>
  <c r="K8" i="29"/>
  <c r="L5" i="30"/>
  <c r="L43" i="30" s="1"/>
  <c r="L3" i="30"/>
  <c r="L41" i="30" s="1"/>
  <c r="O24" i="28"/>
  <c r="N23" i="30"/>
  <c r="J9" i="29"/>
  <c r="M6" i="30"/>
  <c r="K7" i="29"/>
  <c r="K33" i="29" s="1"/>
  <c r="M21" i="29"/>
  <c r="M2" i="30"/>
  <c r="J15" i="30"/>
  <c r="J37" i="30" s="1"/>
  <c r="M13" i="30"/>
  <c r="N12" i="28"/>
  <c r="L4" i="30"/>
  <c r="J11" i="30"/>
  <c r="K8" i="30"/>
  <c r="M6" i="29"/>
  <c r="K7" i="30"/>
  <c r="K33" i="30" s="1"/>
  <c r="M21" i="30"/>
  <c r="M22" i="30"/>
  <c r="M2" i="28"/>
  <c r="M13" i="29"/>
  <c r="L4" i="29"/>
  <c r="J11" i="28"/>
  <c r="J14" i="28"/>
  <c r="L5" i="28"/>
  <c r="L43" i="28" s="1"/>
  <c r="M43" i="27"/>
  <c r="M44" i="27" s="1"/>
  <c r="L33" i="27"/>
  <c r="L34" i="27" s="1"/>
  <c r="K35" i="27"/>
  <c r="K36" i="27" s="1"/>
  <c r="I34" i="28"/>
  <c r="J33" i="29"/>
  <c r="C8" i="25"/>
  <c r="A8" i="28"/>
  <c r="A8" i="29"/>
  <c r="A8" i="30"/>
  <c r="A8" i="27"/>
  <c r="M41" i="27"/>
  <c r="M42" i="27" s="1"/>
  <c r="I34" i="29"/>
  <c r="K42" i="29"/>
  <c r="I34" i="30"/>
  <c r="J33" i="28"/>
  <c r="J33" i="30"/>
  <c r="A25" i="30"/>
  <c r="A25" i="28"/>
  <c r="A25" i="29"/>
  <c r="A25" i="27"/>
  <c r="A13" i="30"/>
  <c r="A13" i="28"/>
  <c r="A13" i="29"/>
  <c r="A13" i="27"/>
  <c r="R24" i="27"/>
  <c r="I36" i="29"/>
  <c r="H36" i="28"/>
  <c r="I36" i="28" s="1"/>
  <c r="K39" i="27"/>
  <c r="K40" i="27" s="1"/>
  <c r="C75" i="15"/>
  <c r="C13" i="25"/>
  <c r="C34" i="15"/>
  <c r="Z3" i="16"/>
  <c r="AG3" i="22" s="1"/>
  <c r="C22" i="15"/>
  <c r="C30" i="15"/>
  <c r="C54" i="15"/>
  <c r="C29" i="15"/>
  <c r="V8" i="16"/>
  <c r="C73" i="15"/>
  <c r="C26" i="15"/>
  <c r="C65" i="15"/>
  <c r="C50" i="15"/>
  <c r="C64" i="15"/>
  <c r="C47" i="15"/>
  <c r="C51" i="15"/>
  <c r="C56" i="15"/>
  <c r="C72" i="15"/>
  <c r="C77" i="15"/>
  <c r="C43" i="15"/>
  <c r="C61" i="15"/>
  <c r="C71" i="15"/>
  <c r="C62" i="15"/>
  <c r="C52" i="15"/>
  <c r="C19" i="15"/>
  <c r="C76" i="15"/>
  <c r="C69" i="15"/>
  <c r="T29" i="16"/>
  <c r="C32" i="15"/>
  <c r="C35" i="15"/>
  <c r="C55" i="15"/>
  <c r="X20" i="16"/>
  <c r="P12" i="16"/>
  <c r="Q8" i="22" s="1"/>
  <c r="C33" i="15"/>
  <c r="C40" i="15"/>
  <c r="C67" i="15"/>
  <c r="C46" i="15"/>
  <c r="P2" i="16"/>
  <c r="C27" i="15"/>
  <c r="B183" i="2" s="1"/>
  <c r="C74" i="15"/>
  <c r="AH31" i="16"/>
  <c r="C57" i="15"/>
  <c r="C48" i="15"/>
  <c r="P19" i="16"/>
  <c r="C21" i="15"/>
  <c r="C45" i="15"/>
  <c r="C66" i="15"/>
  <c r="C58" i="15"/>
  <c r="P35" i="16"/>
  <c r="AB52" i="16"/>
  <c r="C36" i="15"/>
  <c r="G2" i="25"/>
  <c r="C2" i="15"/>
  <c r="T13" i="16"/>
  <c r="AH10" i="16"/>
  <c r="C60" i="15"/>
  <c r="X29" i="16"/>
  <c r="P40" i="16"/>
  <c r="C49" i="15"/>
  <c r="C20" i="15"/>
  <c r="C28" i="15"/>
  <c r="C44" i="15"/>
  <c r="C70" i="15"/>
  <c r="T33" i="16"/>
  <c r="AF33" i="16"/>
  <c r="AF30" i="16"/>
  <c r="N52" i="16"/>
  <c r="AH49" i="16"/>
  <c r="V24" i="16"/>
  <c r="AH17" i="16"/>
  <c r="C17" i="15"/>
  <c r="R3" i="16"/>
  <c r="T3" i="22" s="1"/>
  <c r="C42" i="15"/>
  <c r="C41" i="15"/>
  <c r="T21" i="16"/>
  <c r="Z21" i="16"/>
  <c r="AF21" i="16"/>
  <c r="P20" i="16"/>
  <c r="V20" i="16"/>
  <c r="AH20" i="16"/>
  <c r="AD27" i="16"/>
  <c r="AF26" i="16"/>
  <c r="X48" i="16"/>
  <c r="N41" i="16"/>
  <c r="Z41" i="16"/>
  <c r="X38" i="16"/>
  <c r="Z37" i="16"/>
  <c r="T12" i="16"/>
  <c r="W8" i="22" s="1"/>
  <c r="N4" i="16"/>
  <c r="N4" i="22" s="1"/>
  <c r="C31" i="15"/>
  <c r="C53" i="15"/>
  <c r="C68" i="15"/>
  <c r="C59" i="15"/>
  <c r="AH23" i="16"/>
  <c r="AS59" i="22" s="1"/>
  <c r="V47" i="16"/>
  <c r="AB35" i="16"/>
  <c r="AH5" i="16"/>
  <c r="AS6" i="22" s="1"/>
  <c r="AS48" i="22"/>
  <c r="X58" i="16"/>
  <c r="AD58" i="16"/>
  <c r="N55" i="16"/>
  <c r="T55" i="16"/>
  <c r="Z55" i="16"/>
  <c r="V54" i="16"/>
  <c r="AB54" i="16"/>
  <c r="N36" i="16"/>
  <c r="AB53" i="16"/>
  <c r="Z28" i="16"/>
  <c r="T51" i="16"/>
  <c r="AF51" i="16"/>
  <c r="X49" i="16"/>
  <c r="P36" i="16"/>
  <c r="X24" i="16"/>
  <c r="Z17" i="16"/>
  <c r="X39" i="16"/>
  <c r="Z38" i="16"/>
  <c r="AB37" i="16"/>
  <c r="C18" i="15"/>
  <c r="R9" i="16"/>
  <c r="T5" i="22" s="1"/>
  <c r="AH4" i="16"/>
  <c r="AS4" i="22" s="1"/>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154" i="2"/>
  <c r="H28" i="2"/>
  <c r="F151" i="2"/>
  <c r="H155" i="2"/>
  <c r="AD2" i="22"/>
  <c r="H10" i="2"/>
  <c r="H77" i="2"/>
  <c r="H82" i="2"/>
  <c r="H70" i="2"/>
  <c r="H80" i="2"/>
  <c r="H69" i="2"/>
  <c r="H75" i="2"/>
  <c r="H72" i="2"/>
  <c r="H71" i="2"/>
  <c r="H81" i="2"/>
  <c r="H79" i="2"/>
  <c r="H78" i="2"/>
  <c r="H74" i="2"/>
  <c r="H73" i="2"/>
  <c r="H76" i="2"/>
  <c r="H137" i="2"/>
  <c r="H125" i="2"/>
  <c r="H127" i="2"/>
  <c r="H131" i="2"/>
  <c r="H133" i="2"/>
  <c r="H130" i="2"/>
  <c r="H135" i="2"/>
  <c r="H138" i="2"/>
  <c r="H136" i="2"/>
  <c r="H128" i="2"/>
  <c r="H129" i="2"/>
  <c r="H132" i="2"/>
  <c r="H126" i="2"/>
  <c r="H134" i="2"/>
  <c r="H31" i="2"/>
  <c r="H153" i="2"/>
  <c r="H40" i="2"/>
  <c r="H152" i="2"/>
  <c r="H154" i="2"/>
  <c r="H51" i="2"/>
  <c r="H156" i="2"/>
  <c r="F130" i="2"/>
  <c r="F89" i="2"/>
  <c r="F84" i="2"/>
  <c r="F85" i="2"/>
  <c r="F131" i="2"/>
  <c r="F93" i="2"/>
  <c r="F136" i="2"/>
  <c r="F125" i="2"/>
  <c r="F134" i="2"/>
  <c r="F90" i="2"/>
  <c r="F126" i="2"/>
  <c r="F94" i="2"/>
  <c r="F127" i="2"/>
  <c r="F129" i="2"/>
  <c r="F122" i="2"/>
  <c r="F69" i="2"/>
  <c r="F119" i="2"/>
  <c r="F105" i="2"/>
  <c r="F72" i="2"/>
  <c r="F79" i="2"/>
  <c r="F75" i="2"/>
  <c r="F101" i="2"/>
  <c r="F116" i="2"/>
  <c r="F113" i="2"/>
  <c r="F121" i="2"/>
  <c r="F110" i="2"/>
  <c r="F82" i="2"/>
  <c r="F112" i="2"/>
  <c r="F114" i="2"/>
  <c r="F108" i="2"/>
  <c r="F73" i="2"/>
  <c r="F124" i="2"/>
  <c r="F100" i="2"/>
  <c r="F102" i="2"/>
  <c r="F106" i="2"/>
  <c r="K38" i="15"/>
  <c r="C38" i="15" s="1"/>
  <c r="M37" i="15"/>
  <c r="H151" i="2" s="1"/>
  <c r="K16" i="15"/>
  <c r="C16" i="15" s="1"/>
  <c r="M39" i="15"/>
  <c r="C39" i="15" s="1"/>
  <c r="K14" i="15"/>
  <c r="G14" i="25" s="1"/>
  <c r="M14" i="15"/>
  <c r="I15" i="25" s="1"/>
  <c r="K63" i="15"/>
  <c r="C63" i="15" s="1"/>
  <c r="K15" i="15"/>
  <c r="K24" i="15"/>
  <c r="C24" i="15" s="1"/>
  <c r="K23" i="15"/>
  <c r="C23" i="15" s="1"/>
  <c r="M5" i="15"/>
  <c r="M6" i="15"/>
  <c r="M4" i="15"/>
  <c r="I4" i="25" s="1"/>
  <c r="H42" i="2"/>
  <c r="H39" i="2"/>
  <c r="H30" i="2"/>
  <c r="H29" i="2"/>
  <c r="H44" i="2"/>
  <c r="H46" i="2"/>
  <c r="H47" i="2"/>
  <c r="H41" i="2"/>
  <c r="H53" i="2"/>
  <c r="H54" i="2"/>
  <c r="H43" i="2"/>
  <c r="H52" i="2"/>
  <c r="H49" i="2"/>
  <c r="K7" i="15"/>
  <c r="H50" i="2"/>
  <c r="H48" i="2"/>
  <c r="H45" i="2"/>
  <c r="F50" i="2"/>
  <c r="M11" i="15"/>
  <c r="H64" i="2" s="1"/>
  <c r="K4" i="15"/>
  <c r="H36" i="2"/>
  <c r="H38" i="2"/>
  <c r="H35" i="2"/>
  <c r="H27" i="2"/>
  <c r="H33" i="2"/>
  <c r="H34" i="2"/>
  <c r="H37" i="2"/>
  <c r="H32" i="2"/>
  <c r="H107" i="2"/>
  <c r="H110" i="2"/>
  <c r="H108" i="2"/>
  <c r="H105" i="2"/>
  <c r="H106" i="2"/>
  <c r="H99" i="2"/>
  <c r="H102" i="2"/>
  <c r="H103" i="2"/>
  <c r="H97" i="2"/>
  <c r="H98" i="2"/>
  <c r="H100" i="2"/>
  <c r="H109" i="2"/>
  <c r="H101" i="2"/>
  <c r="H104" i="2"/>
  <c r="H122" i="2"/>
  <c r="H114" i="2"/>
  <c r="H111" i="2"/>
  <c r="H124" i="2"/>
  <c r="H119" i="2"/>
  <c r="H113" i="2"/>
  <c r="H112" i="2"/>
  <c r="H115" i="2"/>
  <c r="H123" i="2"/>
  <c r="H121" i="2"/>
  <c r="H120" i="2"/>
  <c r="H118" i="2"/>
  <c r="H116" i="2"/>
  <c r="H117" i="2"/>
  <c r="AD5" i="16"/>
  <c r="AM6" i="22" s="1"/>
  <c r="F173" i="2"/>
  <c r="F162" i="2"/>
  <c r="F175" i="2"/>
  <c r="F164" i="2"/>
  <c r="F176" i="2"/>
  <c r="F165" i="2"/>
  <c r="F166" i="2"/>
  <c r="F168" i="2"/>
  <c r="F158" i="2"/>
  <c r="F170" i="2"/>
  <c r="F171" i="2"/>
  <c r="F160" i="2"/>
  <c r="F172" i="2"/>
  <c r="H159" i="2"/>
  <c r="H171" i="2"/>
  <c r="H160" i="2"/>
  <c r="H172" i="2"/>
  <c r="H161" i="2"/>
  <c r="H173" i="2"/>
  <c r="H162" i="2"/>
  <c r="H174" i="2"/>
  <c r="H163" i="2"/>
  <c r="H175" i="2"/>
  <c r="H164" i="2"/>
  <c r="H176" i="2"/>
  <c r="H166" i="2"/>
  <c r="H167" i="2"/>
  <c r="H168" i="2"/>
  <c r="H165" i="2"/>
  <c r="H157" i="2"/>
  <c r="H169" i="2"/>
  <c r="H158" i="2"/>
  <c r="H170" i="2"/>
  <c r="F2" i="2"/>
  <c r="F248" i="2"/>
  <c r="H141" i="2"/>
  <c r="AD4" i="22"/>
  <c r="AD6" i="22"/>
  <c r="N6" i="22"/>
  <c r="N5" i="22"/>
  <c r="Q4" i="22"/>
  <c r="F3" i="2"/>
  <c r="F4" i="2"/>
  <c r="F6" i="2"/>
  <c r="F10" i="2"/>
  <c r="F5" i="2"/>
  <c r="F11" i="2"/>
  <c r="F262" i="2"/>
  <c r="F228" i="2"/>
  <c r="F204" i="2"/>
  <c r="H240" i="2"/>
  <c r="F178" i="2"/>
  <c r="H228" i="2"/>
  <c r="H252" i="2"/>
  <c r="H299" i="2"/>
  <c r="H311" i="2"/>
  <c r="H302" i="2"/>
  <c r="H139" i="2"/>
  <c r="H304" i="2"/>
  <c r="F274" i="2"/>
  <c r="H281" i="2"/>
  <c r="H140" i="2"/>
  <c r="F286" i="2"/>
  <c r="H178" i="2"/>
  <c r="H269" i="2"/>
  <c r="H190" i="2"/>
  <c r="H265" i="2"/>
  <c r="H277" i="2"/>
  <c r="H148" i="2"/>
  <c r="H204" i="2"/>
  <c r="H289" i="2"/>
  <c r="H194" i="2"/>
  <c r="H179" i="2"/>
  <c r="H216" i="2"/>
  <c r="H301" i="2"/>
  <c r="H290" i="2"/>
  <c r="H284" i="2"/>
  <c r="H4" i="2"/>
  <c r="H11" i="2"/>
  <c r="F239" i="2"/>
  <c r="F263" i="2"/>
  <c r="H303" i="2"/>
  <c r="F298" i="2"/>
  <c r="F216" i="2"/>
  <c r="H200" i="2"/>
  <c r="H9" i="2"/>
  <c r="H291" i="2"/>
  <c r="H245" i="2"/>
  <c r="H292" i="2"/>
  <c r="H145" i="2"/>
  <c r="H177" i="2"/>
  <c r="H218" i="2"/>
  <c r="H189" i="2"/>
  <c r="H198" i="2"/>
  <c r="H184" i="2"/>
  <c r="H215" i="2"/>
  <c r="H288" i="2"/>
  <c r="H181" i="2"/>
  <c r="H230" i="2"/>
  <c r="H195" i="2"/>
  <c r="H185" i="2"/>
  <c r="H222" i="2"/>
  <c r="H236" i="2"/>
  <c r="H196" i="2"/>
  <c r="H293" i="2"/>
  <c r="H201" i="2"/>
  <c r="H226" i="2"/>
  <c r="H199" i="2"/>
  <c r="H264" i="2"/>
  <c r="H206" i="2"/>
  <c r="H276" i="2"/>
  <c r="H210" i="2"/>
  <c r="H300" i="2"/>
  <c r="H147" i="2"/>
  <c r="H193" i="2"/>
  <c r="H242" i="2"/>
  <c r="H207" i="2"/>
  <c r="H197" i="2"/>
  <c r="H234" i="2"/>
  <c r="H248" i="2"/>
  <c r="H223" i="2"/>
  <c r="H285" i="2"/>
  <c r="H306" i="2"/>
  <c r="H310" i="2"/>
  <c r="H187" i="2"/>
  <c r="H146" i="2"/>
  <c r="H143" i="2"/>
  <c r="H183" i="2"/>
  <c r="H263" i="2"/>
  <c r="H254" i="2"/>
  <c r="H231" i="2"/>
  <c r="H260" i="2"/>
  <c r="H232" i="2"/>
  <c r="H149" i="2"/>
  <c r="H247" i="2"/>
  <c r="H297" i="2"/>
  <c r="H191" i="2"/>
  <c r="H212" i="2"/>
  <c r="H202" i="2"/>
  <c r="H214" i="2"/>
  <c r="H312" i="2"/>
  <c r="H258" i="2"/>
  <c r="H275" i="2"/>
  <c r="H241" i="2"/>
  <c r="H266" i="2"/>
  <c r="H243" i="2"/>
  <c r="H221" i="2"/>
  <c r="H270" i="2"/>
  <c r="H296" i="2"/>
  <c r="H244" i="2"/>
  <c r="H259" i="2"/>
  <c r="H309" i="2"/>
  <c r="H150" i="2"/>
  <c r="H203" i="2"/>
  <c r="H224" i="2"/>
  <c r="H227" i="2"/>
  <c r="H205" i="2"/>
  <c r="H209" i="2"/>
  <c r="H287" i="2"/>
  <c r="H142" i="2"/>
  <c r="H253" i="2"/>
  <c r="H278" i="2"/>
  <c r="H186" i="2"/>
  <c r="H279" i="2"/>
  <c r="H233" i="2"/>
  <c r="H294" i="2"/>
  <c r="H308" i="2"/>
  <c r="H280" i="2"/>
  <c r="H307" i="2"/>
  <c r="F260" i="2"/>
  <c r="F193" i="2"/>
  <c r="F144" i="2"/>
  <c r="H235" i="2"/>
  <c r="H271" i="2"/>
  <c r="H213" i="2"/>
  <c r="F199" i="2"/>
  <c r="H238" i="2"/>
  <c r="F308" i="2"/>
  <c r="F187" i="2"/>
  <c r="F189" i="2"/>
  <c r="F213" i="2"/>
  <c r="H12" i="2"/>
  <c r="H219" i="2"/>
  <c r="F205" i="2"/>
  <c r="H257" i="2"/>
  <c r="H282" i="2"/>
  <c r="H272" i="2"/>
  <c r="H220" i="2"/>
  <c r="F266" i="2"/>
  <c r="H283" i="2"/>
  <c r="H225" i="2"/>
  <c r="F211" i="2"/>
  <c r="H188" i="2"/>
  <c r="H250" i="2"/>
  <c r="F177" i="2"/>
  <c r="F217" i="2"/>
  <c r="F278" i="2"/>
  <c r="H246" i="2"/>
  <c r="H295" i="2"/>
  <c r="H237" i="2"/>
  <c r="F235" i="2"/>
  <c r="H262" i="2"/>
  <c r="F272" i="2"/>
  <c r="F264" i="2"/>
  <c r="F284" i="2"/>
  <c r="F297" i="2"/>
  <c r="F309" i="2"/>
  <c r="H180" i="2"/>
  <c r="F253" i="2"/>
  <c r="F203" i="2"/>
  <c r="F229" i="2"/>
  <c r="F290" i="2"/>
  <c r="H249" i="2"/>
  <c r="H274" i="2"/>
  <c r="H239" i="2"/>
  <c r="H217" i="2"/>
  <c r="F215" i="2"/>
  <c r="H144" i="2"/>
  <c r="H255" i="2"/>
  <c r="H305" i="2"/>
  <c r="H256" i="2"/>
  <c r="H261" i="2"/>
  <c r="H286" i="2"/>
  <c r="H251" i="2"/>
  <c r="H192" i="2"/>
  <c r="H229" i="2"/>
  <c r="F227" i="2"/>
  <c r="H182" i="2"/>
  <c r="H211" i="2"/>
  <c r="H267" i="2"/>
  <c r="H268" i="2"/>
  <c r="H273" i="2"/>
  <c r="H298" i="2"/>
  <c r="F254" i="2"/>
  <c r="F149" i="2"/>
  <c r="F38" i="2"/>
  <c r="F30" i="2"/>
  <c r="F29" i="2"/>
  <c r="F57" i="2"/>
  <c r="F58" i="2"/>
  <c r="F59" i="2"/>
  <c r="F60" i="2"/>
  <c r="F66" i="2"/>
  <c r="F61" i="2"/>
  <c r="F62" i="2"/>
  <c r="F63" i="2"/>
  <c r="F64" i="2"/>
  <c r="F65" i="2"/>
  <c r="F55" i="2"/>
  <c r="F67" i="2"/>
  <c r="F68" i="2"/>
  <c r="F56" i="2"/>
  <c r="F139" i="2"/>
  <c r="F145" i="2"/>
  <c r="F207" i="2"/>
  <c r="F243" i="2"/>
  <c r="F279" i="2"/>
  <c r="F270" i="2"/>
  <c r="F146" i="2"/>
  <c r="F208" i="2"/>
  <c r="F244" i="2"/>
  <c r="F280" i="2"/>
  <c r="F147" i="2"/>
  <c r="F209" i="2"/>
  <c r="F245" i="2"/>
  <c r="F281" i="2"/>
  <c r="F148" i="2"/>
  <c r="F210" i="2"/>
  <c r="F246" i="2"/>
  <c r="F282" i="2"/>
  <c r="F268" i="2"/>
  <c r="F183" i="2"/>
  <c r="F219" i="2"/>
  <c r="F255" i="2"/>
  <c r="F291" i="2"/>
  <c r="F234" i="2"/>
  <c r="F184" i="2"/>
  <c r="F220" i="2"/>
  <c r="F256" i="2"/>
  <c r="F292" i="2"/>
  <c r="F196" i="2"/>
  <c r="F304" i="2"/>
  <c r="F185" i="2"/>
  <c r="F221" i="2"/>
  <c r="F257" i="2"/>
  <c r="F293" i="2"/>
  <c r="F186" i="2"/>
  <c r="F222" i="2"/>
  <c r="F258" i="2"/>
  <c r="F294" i="2"/>
  <c r="F198" i="2"/>
  <c r="F195" i="2"/>
  <c r="F231" i="2"/>
  <c r="F267" i="2"/>
  <c r="F303" i="2"/>
  <c r="F232" i="2"/>
  <c r="F197" i="2"/>
  <c r="F233" i="2"/>
  <c r="F269" i="2"/>
  <c r="F305" i="2"/>
  <c r="F306" i="2"/>
  <c r="F201" i="2"/>
  <c r="F140" i="2"/>
  <c r="F310" i="2"/>
  <c r="F251" i="2"/>
  <c r="F252" i="2"/>
  <c r="F241" i="2"/>
  <c r="F302" i="2"/>
  <c r="F223" i="2"/>
  <c r="F296" i="2"/>
  <c r="H2" i="2"/>
  <c r="H5" i="2"/>
  <c r="H6" i="2"/>
  <c r="H7" i="2"/>
  <c r="H8" i="2"/>
  <c r="F225" i="2"/>
  <c r="F190" i="2"/>
  <c r="F265" i="2"/>
  <c r="F182" i="2"/>
  <c r="F247" i="2"/>
  <c r="F150" i="2"/>
  <c r="F275" i="2"/>
  <c r="F276" i="2"/>
  <c r="F237" i="2"/>
  <c r="F202" i="2"/>
  <c r="F287" i="2"/>
  <c r="F288" i="2"/>
  <c r="F277" i="2"/>
  <c r="F194" i="2"/>
  <c r="F259" i="2"/>
  <c r="F188" i="2"/>
  <c r="F214" i="2"/>
  <c r="F289" i="2"/>
  <c r="F206" i="2"/>
  <c r="F271" i="2"/>
  <c r="F200" i="2"/>
  <c r="F249" i="2"/>
  <c r="F299" i="2"/>
  <c r="F300" i="2"/>
  <c r="F261" i="2"/>
  <c r="F226" i="2"/>
  <c r="F141" i="2"/>
  <c r="F311" i="2"/>
  <c r="F142" i="2"/>
  <c r="F312" i="2"/>
  <c r="F301" i="2"/>
  <c r="F218" i="2"/>
  <c r="F283" i="2"/>
  <c r="F212" i="2"/>
  <c r="F273" i="2"/>
  <c r="F238" i="2"/>
  <c r="F179" i="2"/>
  <c r="F180" i="2"/>
  <c r="F143" i="2"/>
  <c r="F230" i="2"/>
  <c r="F295" i="2"/>
  <c r="F224" i="2"/>
  <c r="F285" i="2"/>
  <c r="F250" i="2"/>
  <c r="F191" i="2"/>
  <c r="F192" i="2"/>
  <c r="F181" i="2"/>
  <c r="F242" i="2"/>
  <c r="F307" i="2"/>
  <c r="F236" i="2"/>
  <c r="H17" i="28" a="1"/>
  <c r="H17" i="29" a="1"/>
  <c r="H17" i="30" a="1"/>
  <c r="H16" i="28" a="1"/>
  <c r="H16" i="30" a="1"/>
  <c r="H16" i="29" a="1"/>
  <c r="I10" i="28" a="1"/>
  <c r="G16" i="29" a="1"/>
  <c r="G17" i="30" a="1"/>
  <c r="F25" i="28" a="1"/>
  <c r="F20" i="28" a="1"/>
  <c r="N6" i="28" a="1"/>
  <c r="K11" i="29" a="1"/>
  <c r="N21" i="28" a="1"/>
  <c r="L8" i="30" a="1"/>
  <c r="N2" i="29" a="1"/>
  <c r="N21" i="29" a="1"/>
  <c r="K15" i="30" a="1"/>
  <c r="N2" i="30" a="1"/>
  <c r="K14" i="29" a="1"/>
  <c r="K15" i="29" a="1"/>
  <c r="M4" i="28" a="1"/>
  <c r="K15" i="28" a="1"/>
  <c r="M5" i="29" a="1"/>
  <c r="K9" i="29" a="1"/>
  <c r="M5" i="30" a="1"/>
  <c r="K11" i="30" a="1"/>
  <c r="N22" i="29" a="1"/>
  <c r="O12" i="29" a="1"/>
  <c r="M5" i="28" a="1"/>
  <c r="N22" i="28" a="1"/>
  <c r="K14" i="30" a="1"/>
  <c r="N6" i="30" a="1"/>
  <c r="L7" i="29" a="1"/>
  <c r="K9" i="30" a="1"/>
  <c r="O23" i="28" a="1"/>
  <c r="G16" i="28" a="1"/>
  <c r="G17" i="29" a="1"/>
  <c r="F19" i="28" a="1"/>
  <c r="F25" i="30" a="1"/>
  <c r="I10" i="30" a="1"/>
  <c r="F18" i="28" a="1"/>
  <c r="N21" i="30" a="1"/>
  <c r="O12" i="30" a="1"/>
  <c r="M4" i="29" a="1"/>
  <c r="N2" i="28" a="1"/>
  <c r="O23" i="29" a="1"/>
  <c r="G16" i="30" a="1"/>
  <c r="I10" i="29" a="1"/>
  <c r="F19" i="30" a="1"/>
  <c r="F25" i="29" a="1"/>
  <c r="F20" i="29" a="1"/>
  <c r="F18" i="29" a="1"/>
  <c r="N13" i="28" a="1"/>
  <c r="K9" i="28" a="1"/>
  <c r="K14" i="28" a="1"/>
  <c r="N22" i="30" a="1"/>
  <c r="P24" i="30" a="1"/>
  <c r="N13" i="29" a="1"/>
  <c r="M4" i="30" a="1"/>
  <c r="M3" i="28" a="1"/>
  <c r="P24" i="29" a="1"/>
  <c r="N13" i="30" a="1"/>
  <c r="L8" i="29" a="1"/>
  <c r="M3" i="29" a="1"/>
  <c r="P24" i="28" a="1"/>
  <c r="O12" i="28" a="1"/>
  <c r="G17" i="28" a="1"/>
  <c r="F19" i="29" a="1"/>
  <c r="F20" i="30" a="1"/>
  <c r="F18" i="30" a="1"/>
  <c r="L7" i="28" a="1"/>
  <c r="O23" i="30" a="1"/>
  <c r="K11" i="28" a="1"/>
  <c r="M3" i="30" a="1"/>
  <c r="N6" i="29" a="1"/>
  <c r="L8" i="28" a="1"/>
  <c r="L7" i="30" a="1"/>
  <c r="E5" i="31" l="1"/>
  <c r="E7" i="31"/>
  <c r="E9" i="31"/>
  <c r="E11" i="31"/>
  <c r="E13" i="31"/>
  <c r="E15" i="31"/>
  <c r="E8" i="31"/>
  <c r="E12" i="31"/>
  <c r="E16" i="31"/>
  <c r="E6" i="31"/>
  <c r="E10" i="31"/>
  <c r="E14" i="31"/>
  <c r="G32" i="30"/>
  <c r="J38" i="30"/>
  <c r="G32" i="28"/>
  <c r="H32" i="28" s="1"/>
  <c r="H32" i="29"/>
  <c r="O5" i="27"/>
  <c r="I32" i="27"/>
  <c r="I10" i="28"/>
  <c r="I31" i="28" s="1"/>
  <c r="H16" i="29"/>
  <c r="H16" i="30"/>
  <c r="H16" i="28"/>
  <c r="H17" i="30"/>
  <c r="H17" i="29"/>
  <c r="H17" i="28"/>
  <c r="J10" i="27"/>
  <c r="P4" i="27"/>
  <c r="P3" i="27"/>
  <c r="N11" i="27"/>
  <c r="N15" i="27"/>
  <c r="N14" i="27"/>
  <c r="N9" i="27"/>
  <c r="O7" i="27"/>
  <c r="O8" i="27"/>
  <c r="I17" i="27"/>
  <c r="I16" i="27"/>
  <c r="H18" i="27"/>
  <c r="H25" i="27"/>
  <c r="H19" i="27"/>
  <c r="H20" i="27"/>
  <c r="F18" i="30"/>
  <c r="F20" i="30"/>
  <c r="F19" i="29"/>
  <c r="F47" i="29" s="1"/>
  <c r="F48" i="29" s="1"/>
  <c r="G17" i="28"/>
  <c r="F18" i="29"/>
  <c r="F20" i="29"/>
  <c r="F25" i="29"/>
  <c r="F19" i="30"/>
  <c r="F47" i="30" s="1"/>
  <c r="F48" i="30" s="1"/>
  <c r="I10" i="29"/>
  <c r="I31" i="29" s="1"/>
  <c r="G16" i="30"/>
  <c r="F18" i="28"/>
  <c r="I10" i="30"/>
  <c r="I31" i="30" s="1"/>
  <c r="F25" i="30"/>
  <c r="F19" i="28"/>
  <c r="F47" i="28" s="1"/>
  <c r="F48" i="28" s="1"/>
  <c r="G17" i="29"/>
  <c r="G16" i="28"/>
  <c r="F20" i="28"/>
  <c r="F25" i="28"/>
  <c r="G17" i="30"/>
  <c r="G16" i="29"/>
  <c r="G47" i="27"/>
  <c r="G48" i="27" s="1"/>
  <c r="L2" i="32"/>
  <c r="L4" i="32"/>
  <c r="L3" i="32"/>
  <c r="K15" i="32"/>
  <c r="K8" i="32"/>
  <c r="K28" i="32"/>
  <c r="K20" i="32"/>
  <c r="K23" i="32"/>
  <c r="K17" i="32"/>
  <c r="K29" i="32"/>
  <c r="K27" i="32"/>
  <c r="K21" i="32"/>
  <c r="K22" i="32"/>
  <c r="K25" i="32"/>
  <c r="K19" i="32"/>
  <c r="K26" i="32"/>
  <c r="K18" i="32"/>
  <c r="K24" i="32"/>
  <c r="K16" i="32"/>
  <c r="K9" i="32"/>
  <c r="K35" i="32"/>
  <c r="K43" i="32"/>
  <c r="K36" i="32"/>
  <c r="K44" i="32"/>
  <c r="K45" i="32"/>
  <c r="K40" i="32"/>
  <c r="K37" i="32"/>
  <c r="K47" i="32"/>
  <c r="K42" i="32"/>
  <c r="K46" i="32"/>
  <c r="K39" i="32"/>
  <c r="K34" i="32"/>
  <c r="K38" i="32"/>
  <c r="K48" i="32"/>
  <c r="K41" i="32"/>
  <c r="L42" i="28"/>
  <c r="K10" i="32"/>
  <c r="K56" i="32"/>
  <c r="K64" i="32"/>
  <c r="K57" i="32"/>
  <c r="K65" i="32"/>
  <c r="K62" i="32"/>
  <c r="K59" i="32"/>
  <c r="K54" i="32"/>
  <c r="K66" i="32"/>
  <c r="K61" i="32"/>
  <c r="K53" i="32"/>
  <c r="K58" i="32"/>
  <c r="K63" i="32"/>
  <c r="K67" i="32"/>
  <c r="K60" i="32"/>
  <c r="K55" i="32"/>
  <c r="J34" i="29"/>
  <c r="K34" i="29" s="1"/>
  <c r="L42" i="29"/>
  <c r="L42" i="30"/>
  <c r="L44" i="30"/>
  <c r="L44" i="28"/>
  <c r="L44" i="29"/>
  <c r="J36" i="29"/>
  <c r="J34" i="30"/>
  <c r="K34" i="30" s="1"/>
  <c r="K14" i="30"/>
  <c r="K39" i="30" s="1"/>
  <c r="K40" i="30" s="1"/>
  <c r="O12" i="28"/>
  <c r="N2" i="28"/>
  <c r="O23" i="28"/>
  <c r="P24" i="28"/>
  <c r="R24" i="28" s="1"/>
  <c r="K15" i="29"/>
  <c r="K37" i="29" s="1"/>
  <c r="K38" i="29" s="1"/>
  <c r="M3" i="29"/>
  <c r="M41" i="29" s="1"/>
  <c r="N22" i="28"/>
  <c r="K9" i="30"/>
  <c r="L8" i="29"/>
  <c r="M4" i="29"/>
  <c r="L7" i="30"/>
  <c r="L33" i="30" s="1"/>
  <c r="N13" i="30"/>
  <c r="M5" i="28"/>
  <c r="M43" i="28" s="1"/>
  <c r="K14" i="29"/>
  <c r="K39" i="29" s="1"/>
  <c r="K40" i="29" s="1"/>
  <c r="O12" i="29"/>
  <c r="N2" i="30"/>
  <c r="O23" i="29"/>
  <c r="P24" i="29"/>
  <c r="R24" i="29" s="1"/>
  <c r="K15" i="30"/>
  <c r="K37" i="30" s="1"/>
  <c r="M3" i="28"/>
  <c r="M41" i="28" s="1"/>
  <c r="N22" i="29"/>
  <c r="L8" i="28"/>
  <c r="M4" i="30"/>
  <c r="K11" i="30"/>
  <c r="K35" i="30" s="1"/>
  <c r="L7" i="29"/>
  <c r="L33" i="29" s="1"/>
  <c r="N13" i="29"/>
  <c r="M5" i="30"/>
  <c r="M43" i="30" s="1"/>
  <c r="N21" i="29"/>
  <c r="N6" i="29"/>
  <c r="O12" i="30"/>
  <c r="N2" i="29"/>
  <c r="P24" i="30"/>
  <c r="R24" i="30" s="1"/>
  <c r="M3" i="30"/>
  <c r="M41" i="30" s="1"/>
  <c r="N22" i="30"/>
  <c r="K9" i="29"/>
  <c r="L8" i="30"/>
  <c r="K11" i="28"/>
  <c r="K35" i="28" s="1"/>
  <c r="M5" i="29"/>
  <c r="M43" i="29" s="1"/>
  <c r="N21" i="28"/>
  <c r="N6" i="30"/>
  <c r="K14" i="28"/>
  <c r="K39" i="28" s="1"/>
  <c r="O23" i="30"/>
  <c r="K15" i="28"/>
  <c r="K37" i="28" s="1"/>
  <c r="K38" i="28" s="1"/>
  <c r="K9" i="28"/>
  <c r="M4" i="28"/>
  <c r="K11" i="29"/>
  <c r="K35" i="29" s="1"/>
  <c r="L7" i="28"/>
  <c r="L33" i="28" s="1"/>
  <c r="N13" i="28"/>
  <c r="N21" i="30"/>
  <c r="N6" i="28"/>
  <c r="A24" i="29"/>
  <c r="A24" i="28"/>
  <c r="A24" i="30"/>
  <c r="A24" i="27"/>
  <c r="A17" i="30"/>
  <c r="A17" i="28"/>
  <c r="A17" i="29"/>
  <c r="A17" i="27"/>
  <c r="A26" i="29"/>
  <c r="A26" i="30"/>
  <c r="A26" i="28"/>
  <c r="A26" i="27"/>
  <c r="J34" i="28"/>
  <c r="J35" i="28"/>
  <c r="A18" i="29"/>
  <c r="A18" i="28"/>
  <c r="A18" i="30"/>
  <c r="A18" i="27"/>
  <c r="N41" i="27"/>
  <c r="N42" i="27" s="1"/>
  <c r="A16" i="29"/>
  <c r="A16" i="30"/>
  <c r="A16" i="28"/>
  <c r="A16" i="27"/>
  <c r="A2" i="29"/>
  <c r="A2" i="28"/>
  <c r="A2" i="30"/>
  <c r="A2" i="27"/>
  <c r="Z11" i="16"/>
  <c r="AG7" i="22" s="1"/>
  <c r="A21" i="30"/>
  <c r="A21" i="29"/>
  <c r="A21" i="28"/>
  <c r="A21" i="27"/>
  <c r="A19" i="30"/>
  <c r="A19" i="28"/>
  <c r="A19" i="29"/>
  <c r="A19" i="27"/>
  <c r="A22" i="29"/>
  <c r="A22" i="30"/>
  <c r="A22" i="28"/>
  <c r="A22" i="27"/>
  <c r="R23" i="27"/>
  <c r="L39" i="27"/>
  <c r="L40" i="27" s="1"/>
  <c r="M33" i="27"/>
  <c r="M34" i="27" s="1"/>
  <c r="A23" i="30"/>
  <c r="A23" i="28"/>
  <c r="A23" i="29"/>
  <c r="A23" i="27"/>
  <c r="A20" i="29"/>
  <c r="A20" i="28"/>
  <c r="A20" i="30"/>
  <c r="A20" i="27"/>
  <c r="R12" i="27"/>
  <c r="L35" i="27"/>
  <c r="L36" i="27" s="1"/>
  <c r="J39" i="28"/>
  <c r="J35" i="30"/>
  <c r="J36" i="30" s="1"/>
  <c r="B89" i="2"/>
  <c r="B7" i="2"/>
  <c r="F7" i="2"/>
  <c r="T14" i="16"/>
  <c r="AD15" i="16"/>
  <c r="AB49" i="16"/>
  <c r="R16" i="16"/>
  <c r="AH41" i="16"/>
  <c r="X51" i="16"/>
  <c r="P41" i="16"/>
  <c r="V49" i="16"/>
  <c r="R6" i="16"/>
  <c r="P39" i="16"/>
  <c r="V29" i="16"/>
  <c r="R54" i="16"/>
  <c r="AH48" i="16"/>
  <c r="P14" i="16"/>
  <c r="AF54" i="16"/>
  <c r="AD21" i="16"/>
  <c r="AB33" i="16"/>
  <c r="V48" i="16"/>
  <c r="AH13" i="16"/>
  <c r="AB58" i="16"/>
  <c r="V51" i="16"/>
  <c r="V26" i="16"/>
  <c r="N28" i="16"/>
  <c r="R58" i="16"/>
  <c r="T26" i="16"/>
  <c r="Z33" i="16"/>
  <c r="AF25" i="16"/>
  <c r="R10" i="16"/>
  <c r="AG42" i="22"/>
  <c r="P53" i="16"/>
  <c r="AJ44" i="22"/>
  <c r="V3" i="16"/>
  <c r="Z3" i="22" s="1"/>
  <c r="R27" i="16"/>
  <c r="AH7" i="16"/>
  <c r="N33" i="16"/>
  <c r="AH36" i="16"/>
  <c r="AB14" i="16"/>
  <c r="AF32" i="16"/>
  <c r="AD39" i="16"/>
  <c r="X25" i="16"/>
  <c r="Z28" i="22"/>
  <c r="AF15" i="16"/>
  <c r="N51" i="16"/>
  <c r="T2" i="16"/>
  <c r="AF45" i="16"/>
  <c r="AD13" i="16"/>
  <c r="R52" i="16"/>
  <c r="V40" i="16"/>
  <c r="AH54" i="16"/>
  <c r="Q25" i="22"/>
  <c r="Z15" i="16"/>
  <c r="Z29" i="16"/>
  <c r="X17" i="16"/>
  <c r="T45" i="16"/>
  <c r="V16" i="16"/>
  <c r="AF19" i="16"/>
  <c r="X41" i="16"/>
  <c r="N45" i="16"/>
  <c r="X14" i="16"/>
  <c r="T24" i="16"/>
  <c r="Z27" i="16"/>
  <c r="AH12" i="16"/>
  <c r="AS8" i="22" s="1"/>
  <c r="Z39" i="16"/>
  <c r="AF42" i="16"/>
  <c r="AF16" i="16"/>
  <c r="N6" i="16"/>
  <c r="T15" i="16"/>
  <c r="P55" i="16"/>
  <c r="P46" i="16"/>
  <c r="Z44" i="16"/>
  <c r="N29" i="16"/>
  <c r="AH11" i="16"/>
  <c r="AS7" i="22" s="1"/>
  <c r="Z30" i="16"/>
  <c r="T3" i="16"/>
  <c r="W3" i="22" s="1"/>
  <c r="Z42" i="16"/>
  <c r="AD6" i="16"/>
  <c r="V13" i="16"/>
  <c r="P37" i="16"/>
  <c r="AF2" i="16"/>
  <c r="V39" i="16"/>
  <c r="N53" i="16"/>
  <c r="R8" i="16"/>
  <c r="T30" i="16"/>
  <c r="P11" i="16"/>
  <c r="Q7" i="22" s="1"/>
  <c r="T42" i="16"/>
  <c r="AD22" i="16"/>
  <c r="AM2" i="22" s="1"/>
  <c r="R49" i="16"/>
  <c r="P23" i="16"/>
  <c r="Q62" i="22" s="1"/>
  <c r="T40" i="16"/>
  <c r="AF18" i="16"/>
  <c r="R7" i="16"/>
  <c r="N30" i="16"/>
  <c r="P7" i="16"/>
  <c r="P44" i="16"/>
  <c r="AF22" i="16"/>
  <c r="AP2" i="22" s="1"/>
  <c r="N50" i="16"/>
  <c r="AF11" i="16"/>
  <c r="AP7" i="22" s="1"/>
  <c r="Z36" i="16"/>
  <c r="F117" i="2"/>
  <c r="F76" i="2"/>
  <c r="F71" i="2"/>
  <c r="F98" i="2"/>
  <c r="F83" i="2"/>
  <c r="F135" i="2"/>
  <c r="F156" i="2"/>
  <c r="G30" i="25"/>
  <c r="G27" i="25"/>
  <c r="B106" i="2"/>
  <c r="G36" i="25"/>
  <c r="C38" i="25"/>
  <c r="G29" i="25"/>
  <c r="C26" i="25"/>
  <c r="G22" i="25"/>
  <c r="I14" i="25"/>
  <c r="F12" i="2"/>
  <c r="F159" i="2"/>
  <c r="F163" i="2"/>
  <c r="F115" i="2"/>
  <c r="F120" i="2"/>
  <c r="F107" i="2"/>
  <c r="F128" i="2"/>
  <c r="F88" i="2"/>
  <c r="F87" i="2"/>
  <c r="G37" i="25"/>
  <c r="C20" i="25"/>
  <c r="F167" i="2"/>
  <c r="F174" i="2"/>
  <c r="F104" i="2"/>
  <c r="F74" i="2"/>
  <c r="F118" i="2"/>
  <c r="F138" i="2"/>
  <c r="F133" i="2"/>
  <c r="F86" i="2"/>
  <c r="G24" i="25"/>
  <c r="G23" i="25"/>
  <c r="G28" i="25"/>
  <c r="Z2" i="16"/>
  <c r="G35" i="25"/>
  <c r="G34" i="25"/>
  <c r="G31" i="25"/>
  <c r="G38" i="25"/>
  <c r="F169" i="2"/>
  <c r="F161" i="2"/>
  <c r="F77" i="2"/>
  <c r="F103" i="2"/>
  <c r="F109" i="2"/>
  <c r="F95" i="2"/>
  <c r="F132" i="2"/>
  <c r="G40" i="25"/>
  <c r="G39" i="25"/>
  <c r="F155" i="2"/>
  <c r="T43" i="16"/>
  <c r="F240" i="2"/>
  <c r="F157" i="2"/>
  <c r="F81" i="2"/>
  <c r="F78" i="2"/>
  <c r="F97" i="2"/>
  <c r="F123" i="2"/>
  <c r="F137" i="2"/>
  <c r="F96" i="2"/>
  <c r="F153" i="2"/>
  <c r="G25" i="25"/>
  <c r="X26" i="16"/>
  <c r="N35" i="16"/>
  <c r="F99" i="2"/>
  <c r="F70" i="2"/>
  <c r="F80" i="2"/>
  <c r="F111" i="2"/>
  <c r="F91" i="2"/>
  <c r="F92" i="2"/>
  <c r="F152" i="2"/>
  <c r="B159" i="2"/>
  <c r="X6" i="16"/>
  <c r="R22" i="16"/>
  <c r="T2" i="22" s="1"/>
  <c r="N40" i="16"/>
  <c r="X53" i="16"/>
  <c r="V58" i="16"/>
  <c r="R37" i="16"/>
  <c r="N27" i="16"/>
  <c r="AF20" i="16"/>
  <c r="X7" i="16"/>
  <c r="AB50" i="16"/>
  <c r="AB31" i="16"/>
  <c r="AH3" i="16"/>
  <c r="AS3" i="22" s="1"/>
  <c r="P49" i="16"/>
  <c r="AH55" i="16"/>
  <c r="P34" i="16"/>
  <c r="AB3" i="16"/>
  <c r="AJ3" i="22" s="1"/>
  <c r="AH26" i="16"/>
  <c r="Z19" i="16"/>
  <c r="AD47" i="16"/>
  <c r="AH30" i="16"/>
  <c r="AD37" i="16"/>
  <c r="T27" i="16"/>
  <c r="Z45" i="16"/>
  <c r="T6" i="16"/>
  <c r="R13" i="16"/>
  <c r="AB16" i="16"/>
  <c r="P13" i="16"/>
  <c r="V10" i="16"/>
  <c r="V17" i="16"/>
  <c r="AF36" i="16"/>
  <c r="P58" i="16"/>
  <c r="P38" i="16"/>
  <c r="V52" i="16"/>
  <c r="Z20" i="16"/>
  <c r="AB8" i="16"/>
  <c r="P50" i="16"/>
  <c r="V31" i="16"/>
  <c r="AD7" i="16"/>
  <c r="Z50" i="16"/>
  <c r="AB55" i="16"/>
  <c r="AD35" i="16"/>
  <c r="AH37" i="16"/>
  <c r="V27" i="16"/>
  <c r="T19" i="16"/>
  <c r="V5" i="16"/>
  <c r="Z6" i="22" s="1"/>
  <c r="AF31" i="16"/>
  <c r="AB41" i="16"/>
  <c r="P29" i="16"/>
  <c r="P17" i="16"/>
  <c r="AH51" i="16"/>
  <c r="AF24" i="16"/>
  <c r="N2" i="16"/>
  <c r="AP37" i="22"/>
  <c r="N39" i="16"/>
  <c r="AH29" i="16"/>
  <c r="T20" i="16"/>
  <c r="AH9" i="16"/>
  <c r="AS5" i="22" s="1"/>
  <c r="Z51" i="16"/>
  <c r="P31" i="16"/>
  <c r="AB9" i="16"/>
  <c r="AJ5" i="22" s="1"/>
  <c r="N49" i="16"/>
  <c r="V55" i="16"/>
  <c r="X47" i="16"/>
  <c r="AF38" i="16"/>
  <c r="AD28" i="16"/>
  <c r="AD20" i="16"/>
  <c r="P47" i="16"/>
  <c r="AD32" i="16"/>
  <c r="Z49" i="16"/>
  <c r="T36" i="16"/>
  <c r="AB43" i="16"/>
  <c r="P25" i="16"/>
  <c r="AB38" i="16"/>
  <c r="AF46" i="16"/>
  <c r="T9" i="16"/>
  <c r="W5" i="22" s="1"/>
  <c r="AH50" i="16"/>
  <c r="P54" i="16"/>
  <c r="AD34" i="16"/>
  <c r="AF8" i="16"/>
  <c r="AH24" i="16"/>
  <c r="Z18" i="16"/>
  <c r="AD46" i="16"/>
  <c r="AD9" i="16"/>
  <c r="AM5" i="22" s="1"/>
  <c r="AF50" i="16"/>
  <c r="AD31" i="16"/>
  <c r="AH47" i="16"/>
  <c r="Z8" i="16"/>
  <c r="T25" i="16"/>
  <c r="N42" i="16"/>
  <c r="AB34" i="16"/>
  <c r="N13" i="16"/>
  <c r="P10" i="16"/>
  <c r="X16" i="16"/>
  <c r="AF13" i="16"/>
  <c r="T10" i="16"/>
  <c r="P9" i="16"/>
  <c r="Q5" i="22" s="1"/>
  <c r="AF49" i="16"/>
  <c r="Z54" i="16"/>
  <c r="W34" i="22"/>
  <c r="V41" i="16"/>
  <c r="AD36" i="16"/>
  <c r="X21" i="16"/>
  <c r="N38" i="16"/>
  <c r="T28" i="16"/>
  <c r="Z32" i="16"/>
  <c r="AH38" i="16"/>
  <c r="AF52" i="16"/>
  <c r="AF58" i="16"/>
  <c r="AB40" i="16"/>
  <c r="AD29" i="16"/>
  <c r="R20" i="16"/>
  <c r="Z34" i="16"/>
  <c r="R53" i="16"/>
  <c r="P45" i="16"/>
  <c r="X45" i="16"/>
  <c r="AB30" i="16"/>
  <c r="N34" i="16"/>
  <c r="P52" i="16"/>
  <c r="V12" i="16"/>
  <c r="Z8" i="22" s="1"/>
  <c r="V50" i="16"/>
  <c r="AF55" i="16"/>
  <c r="V34" i="16"/>
  <c r="AD12" i="16"/>
  <c r="AM8" i="22" s="1"/>
  <c r="V25" i="16"/>
  <c r="T18" i="16"/>
  <c r="V46" i="16"/>
  <c r="V15" i="16"/>
  <c r="T50" i="16"/>
  <c r="X31" i="16"/>
  <c r="Z5" i="16"/>
  <c r="AG6" i="22" s="1"/>
  <c r="T11" i="16"/>
  <c r="W7" i="22" s="1"/>
  <c r="AD26" i="16"/>
  <c r="AD43" i="16"/>
  <c r="T34" i="16"/>
  <c r="V14" i="16"/>
  <c r="P16" i="16"/>
  <c r="AF6" i="16"/>
  <c r="Z14" i="16"/>
  <c r="AH6" i="16"/>
  <c r="AH8" i="16"/>
  <c r="T49" i="16"/>
  <c r="T54" i="16"/>
  <c r="N43" i="22"/>
  <c r="AF48" i="16"/>
  <c r="AD18" i="16"/>
  <c r="R21" i="16"/>
  <c r="AH40" i="16"/>
  <c r="AH53" i="16"/>
  <c r="T32" i="16"/>
  <c r="AF39" i="16"/>
  <c r="R28" i="16"/>
  <c r="Z58" i="16"/>
  <c r="AD41" i="16"/>
  <c r="R29" i="16"/>
  <c r="AH21" i="16"/>
  <c r="AF9" i="16"/>
  <c r="AP5" i="22" s="1"/>
  <c r="AB5" i="16"/>
  <c r="AJ6" i="22" s="1"/>
  <c r="AH42" i="16"/>
  <c r="N43" i="16"/>
  <c r="X46" i="16"/>
  <c r="Z31" i="16"/>
  <c r="AH25" i="16"/>
  <c r="P43" i="16"/>
  <c r="AD19" i="16"/>
  <c r="AH35" i="16"/>
  <c r="AD51" i="16"/>
  <c r="R31" i="16"/>
  <c r="T35" i="16"/>
  <c r="AF12" i="16"/>
  <c r="AP8" i="22" s="1"/>
  <c r="R26" i="16"/>
  <c r="X43" i="16"/>
  <c r="AF5" i="16"/>
  <c r="AP6" i="22" s="1"/>
  <c r="Z6" i="16"/>
  <c r="V6" i="16"/>
  <c r="Z13" i="16"/>
  <c r="AD16" i="16"/>
  <c r="AB13" i="16"/>
  <c r="AB11" i="16"/>
  <c r="AJ7" i="22" s="1"/>
  <c r="AD50" i="16"/>
  <c r="N54" i="16"/>
  <c r="AB46" i="16"/>
  <c r="T4" i="16"/>
  <c r="W4" i="22" s="1"/>
  <c r="T48" i="16"/>
  <c r="X18" i="16"/>
  <c r="AH2" i="16"/>
  <c r="AF17" i="16"/>
  <c r="V53" i="16"/>
  <c r="N32" i="16"/>
  <c r="AD40" i="16"/>
  <c r="AF53" i="16"/>
  <c r="T58" i="16"/>
  <c r="R41" i="16"/>
  <c r="V36" i="16"/>
  <c r="AB21" i="16"/>
  <c r="Z43" i="16"/>
  <c r="AF43" i="16"/>
  <c r="N47" i="16"/>
  <c r="Z47" i="16"/>
  <c r="X32" i="16"/>
  <c r="AB28" i="16"/>
  <c r="X19" i="16"/>
  <c r="AB47" i="16"/>
  <c r="X37" i="16"/>
  <c r="R51" i="16"/>
  <c r="AH32" i="16"/>
  <c r="T5" i="16"/>
  <c r="W6" i="22" s="1"/>
  <c r="AB27" i="16"/>
  <c r="R43" i="16"/>
  <c r="Z23" i="16"/>
  <c r="AG58" i="22" s="1"/>
  <c r="AD14" i="16"/>
  <c r="Z16" i="16"/>
  <c r="AF14" i="16"/>
  <c r="P6" i="16"/>
  <c r="AH22" i="16"/>
  <c r="AS2" i="22" s="1"/>
  <c r="AH15" i="16"/>
  <c r="R50" i="16"/>
  <c r="AD55" i="16"/>
  <c r="T46" i="16"/>
  <c r="R12" i="16"/>
  <c r="T8" i="22" s="1"/>
  <c r="AD25" i="16"/>
  <c r="R18" i="16"/>
  <c r="T17" i="16"/>
  <c r="AB36" i="16"/>
  <c r="AD33" i="16"/>
  <c r="AD17" i="16"/>
  <c r="T53" i="16"/>
  <c r="N58" i="16"/>
  <c r="AB48" i="16"/>
  <c r="AH18" i="16"/>
  <c r="V21" i="16"/>
  <c r="AF37" i="16"/>
  <c r="R2" i="16"/>
  <c r="AD44" i="16"/>
  <c r="AD23" i="16"/>
  <c r="AM52" i="22" s="1"/>
  <c r="AH28" i="16"/>
  <c r="V2" i="16"/>
  <c r="X42" i="16"/>
  <c r="R19" i="16"/>
  <c r="T23" i="16"/>
  <c r="W56" i="22" s="1"/>
  <c r="V38" i="16"/>
  <c r="X28" i="16"/>
  <c r="AB32" i="16"/>
  <c r="V37" i="16"/>
  <c r="P27" i="16"/>
  <c r="AH44" i="16"/>
  <c r="T47" i="16"/>
  <c r="V22" i="16"/>
  <c r="Z2" i="22" s="1"/>
  <c r="T16" i="16"/>
  <c r="T22" i="16"/>
  <c r="W2" i="22" s="1"/>
  <c r="AF10" i="16"/>
  <c r="N10" i="16"/>
  <c r="AB12" i="16"/>
  <c r="AJ8" i="22" s="1"/>
  <c r="AB51" i="16"/>
  <c r="X55" i="16"/>
  <c r="AF23" i="16"/>
  <c r="AP59" i="22" s="1"/>
  <c r="AF7" i="16"/>
  <c r="R25" i="16"/>
  <c r="AH19" i="16"/>
  <c r="AD24" i="16"/>
  <c r="AD30" i="16"/>
  <c r="X33" i="16"/>
  <c r="R17" i="16"/>
  <c r="X36" i="16"/>
  <c r="AM13" i="22"/>
  <c r="P8" i="16"/>
  <c r="P48" i="16"/>
  <c r="AB18" i="16"/>
  <c r="P21" i="16"/>
  <c r="AB17" i="16"/>
  <c r="AF41" i="16"/>
  <c r="AB45" i="16"/>
  <c r="V7" i="16"/>
  <c r="X44" i="16"/>
  <c r="T44" i="16"/>
  <c r="T39" i="16"/>
  <c r="AH27" i="16"/>
  <c r="V32" i="16"/>
  <c r="T38" i="16"/>
  <c r="X52" i="16"/>
  <c r="AB44" i="16"/>
  <c r="R23" i="16"/>
  <c r="T60" i="22" s="1"/>
  <c r="P22" i="16"/>
  <c r="Q2" i="22" s="1"/>
  <c r="AB10" i="16"/>
  <c r="AH16" i="16"/>
  <c r="AD10" i="16"/>
  <c r="T37" i="16"/>
  <c r="P51" i="16"/>
  <c r="R55" i="16"/>
  <c r="Z35" i="16"/>
  <c r="AF3" i="16"/>
  <c r="AP3" i="22" s="1"/>
  <c r="AB26" i="16"/>
  <c r="AB19" i="16"/>
  <c r="AF4" i="16"/>
  <c r="AP4" i="22" s="1"/>
  <c r="R24" i="16"/>
  <c r="X30" i="16"/>
  <c r="R33" i="16"/>
  <c r="AB24" i="16"/>
  <c r="AD54" i="16"/>
  <c r="AD11" i="22"/>
  <c r="V11" i="16"/>
  <c r="Z7" i="22" s="1"/>
  <c r="Z25" i="16"/>
  <c r="V18" i="16"/>
  <c r="AF34" i="16"/>
  <c r="AB25" i="16"/>
  <c r="AH43" i="16"/>
  <c r="Z46" i="16"/>
  <c r="N37" i="16"/>
  <c r="R35" i="16"/>
  <c r="R45" i="16"/>
  <c r="Z52" i="16"/>
  <c r="AB20" i="16"/>
  <c r="R40" i="16"/>
  <c r="Z53" i="16"/>
  <c r="P32" i="16"/>
  <c r="R39" i="16"/>
  <c r="AH52" i="16"/>
  <c r="V44" i="16"/>
  <c r="Z10" i="16"/>
  <c r="AB6" i="16"/>
  <c r="AH14" i="16"/>
  <c r="R14" i="16"/>
  <c r="R38" i="16"/>
  <c r="V28" i="16"/>
  <c r="AH58" i="16"/>
  <c r="R5" i="16"/>
  <c r="T6" i="22" s="1"/>
  <c r="T8" i="16"/>
  <c r="P26" i="16"/>
  <c r="V19" i="16"/>
  <c r="AD8" i="16"/>
  <c r="AD49" i="16"/>
  <c r="R30" i="16"/>
  <c r="P24" i="16"/>
  <c r="X54" i="16"/>
  <c r="AB15" i="16"/>
  <c r="N25" i="16"/>
  <c r="P18" i="16"/>
  <c r="X34" i="16"/>
  <c r="X27" i="16"/>
  <c r="V4" i="16"/>
  <c r="Z4" i="22" s="1"/>
  <c r="AB23" i="16"/>
  <c r="T41" i="16"/>
  <c r="N23" i="16"/>
  <c r="N55" i="22" s="1"/>
  <c r="V45" i="16"/>
  <c r="R34" i="16"/>
  <c r="AD3" i="16"/>
  <c r="AM3" i="22" s="1"/>
  <c r="N48" i="16"/>
  <c r="R15" i="16"/>
  <c r="N31" i="16"/>
  <c r="X23" i="16"/>
  <c r="AD58" i="22" s="1"/>
  <c r="X35" i="16"/>
  <c r="V42" i="16"/>
  <c r="P28" i="16"/>
  <c r="R11" i="16"/>
  <c r="T7" i="22" s="1"/>
  <c r="AD52" i="16"/>
  <c r="AD45" i="16"/>
  <c r="R46" i="16"/>
  <c r="AD42" i="16"/>
  <c r="AD38" i="16"/>
  <c r="AB42" i="16"/>
  <c r="Z7" i="16"/>
  <c r="T52" i="16"/>
  <c r="AF28" i="16"/>
  <c r="Z24" i="16"/>
  <c r="AH39" i="16"/>
  <c r="V30" i="16"/>
  <c r="B51" i="2"/>
  <c r="B179" i="2"/>
  <c r="B104" i="2"/>
  <c r="B119" i="2"/>
  <c r="B46" i="2"/>
  <c r="B184" i="2"/>
  <c r="B138" i="2"/>
  <c r="B73" i="2"/>
  <c r="B44" i="2"/>
  <c r="B88" i="2"/>
  <c r="C34" i="25"/>
  <c r="B45" i="2"/>
  <c r="B134" i="2"/>
  <c r="C41" i="25"/>
  <c r="B208" i="2"/>
  <c r="B135" i="2"/>
  <c r="C31" i="25"/>
  <c r="B180" i="2"/>
  <c r="B130" i="2"/>
  <c r="B118" i="2"/>
  <c r="B120" i="2"/>
  <c r="B70" i="2"/>
  <c r="B74" i="2"/>
  <c r="AF35" i="16"/>
  <c r="B101" i="2"/>
  <c r="B110" i="2"/>
  <c r="T31" i="16"/>
  <c r="B48" i="2"/>
  <c r="B182" i="2"/>
  <c r="B77" i="2"/>
  <c r="B117" i="2"/>
  <c r="P33" i="16"/>
  <c r="AH33" i="16"/>
  <c r="P15" i="16"/>
  <c r="T7" i="16"/>
  <c r="Z40" i="16"/>
  <c r="AF40" i="16"/>
  <c r="R48" i="16"/>
  <c r="V23" i="16"/>
  <c r="Z54" i="22" s="1"/>
  <c r="R32" i="16"/>
  <c r="Z48" i="16"/>
  <c r="N26" i="16"/>
  <c r="AD53" i="16"/>
  <c r="V35" i="16"/>
  <c r="R42" i="16"/>
  <c r="AH46" i="16"/>
  <c r="N44" i="16"/>
  <c r="P5" i="16"/>
  <c r="Q6" i="22" s="1"/>
  <c r="P42" i="16"/>
  <c r="V33" i="16"/>
  <c r="AB7" i="16"/>
  <c r="R36" i="16"/>
  <c r="AB39" i="16"/>
  <c r="X8" i="16"/>
  <c r="R47" i="16"/>
  <c r="AD48" i="16"/>
  <c r="X50" i="16"/>
  <c r="N15" i="16"/>
  <c r="V43" i="16"/>
  <c r="Z26" i="16"/>
  <c r="R44" i="16"/>
  <c r="N24" i="16"/>
  <c r="Q46" i="22"/>
  <c r="Q20" i="22"/>
  <c r="AF44" i="16"/>
  <c r="AF47" i="16"/>
  <c r="AJ16" i="22"/>
  <c r="AJ43" i="22"/>
  <c r="AJ37" i="22"/>
  <c r="AJ25" i="22"/>
  <c r="AJ23" i="22"/>
  <c r="AJ11" i="22"/>
  <c r="AJ49" i="22"/>
  <c r="AS57" i="22"/>
  <c r="AJ35" i="22"/>
  <c r="AJ32" i="22"/>
  <c r="AJ20" i="22"/>
  <c r="Q50" i="22"/>
  <c r="V9" i="16"/>
  <c r="Z5" i="22" s="1"/>
  <c r="AB29" i="16"/>
  <c r="AS44" i="22"/>
  <c r="AS41" i="22"/>
  <c r="AS39" i="22"/>
  <c r="AS27" i="22"/>
  <c r="AS36" i="22"/>
  <c r="AS24" i="22"/>
  <c r="Q47" i="22"/>
  <c r="Q21" i="22"/>
  <c r="Q42" i="22"/>
  <c r="Q51" i="22"/>
  <c r="B181" i="2"/>
  <c r="B43" i="2"/>
  <c r="B192" i="2"/>
  <c r="B93" i="2"/>
  <c r="B96" i="2"/>
  <c r="B115" i="2"/>
  <c r="B111" i="2"/>
  <c r="B90" i="2"/>
  <c r="B125" i="2"/>
  <c r="C36" i="25"/>
  <c r="C24" i="25"/>
  <c r="B175" i="2"/>
  <c r="Q34" i="22"/>
  <c r="Q22" i="22"/>
  <c r="Q35" i="22"/>
  <c r="Q9" i="22"/>
  <c r="Q30" i="22"/>
  <c r="Q39" i="22"/>
  <c r="B139" i="2"/>
  <c r="B52" i="2"/>
  <c r="B191" i="2"/>
  <c r="B178" i="2"/>
  <c r="B79" i="2"/>
  <c r="B76" i="2"/>
  <c r="B87" i="2"/>
  <c r="B95" i="2"/>
  <c r="B107" i="2"/>
  <c r="B92" i="2"/>
  <c r="C25" i="25"/>
  <c r="C28" i="25"/>
  <c r="Z56" i="16"/>
  <c r="Q38" i="22"/>
  <c r="Q23" i="22"/>
  <c r="Q44" i="22"/>
  <c r="Q18" i="22"/>
  <c r="Q27" i="22"/>
  <c r="B145" i="2"/>
  <c r="B54" i="2"/>
  <c r="B141" i="2"/>
  <c r="B209" i="2"/>
  <c r="B99" i="2"/>
  <c r="B97" i="2"/>
  <c r="B133" i="2"/>
  <c r="B127" i="2"/>
  <c r="B136" i="2"/>
  <c r="B108" i="2"/>
  <c r="C23" i="25"/>
  <c r="C22" i="25"/>
  <c r="Q11" i="22"/>
  <c r="Q32" i="22"/>
  <c r="Q48" i="22"/>
  <c r="Q15" i="22"/>
  <c r="B151" i="2"/>
  <c r="B50" i="2"/>
  <c r="B148" i="2"/>
  <c r="B187" i="2"/>
  <c r="B137" i="2"/>
  <c r="B80" i="2"/>
  <c r="B122" i="2"/>
  <c r="B91" i="2"/>
  <c r="B71" i="2"/>
  <c r="B78" i="2"/>
  <c r="C35" i="25"/>
  <c r="C32" i="25"/>
  <c r="Q29" i="22"/>
  <c r="Q10" i="22"/>
  <c r="Q36" i="22"/>
  <c r="B154" i="2"/>
  <c r="B210" i="2"/>
  <c r="B129" i="2"/>
  <c r="B114" i="2"/>
  <c r="B105" i="2"/>
  <c r="B113" i="2"/>
  <c r="B109" i="2"/>
  <c r="B103" i="2"/>
  <c r="C29" i="25"/>
  <c r="Q12" i="22"/>
  <c r="Q14" i="22"/>
  <c r="B41" i="2"/>
  <c r="B193" i="2"/>
  <c r="B140" i="2"/>
  <c r="Q49" i="22"/>
  <c r="Q43" i="22"/>
  <c r="Q40" i="22"/>
  <c r="B149" i="2"/>
  <c r="B49" i="2"/>
  <c r="B189" i="2"/>
  <c r="B142" i="2"/>
  <c r="B146" i="2"/>
  <c r="B123" i="2"/>
  <c r="B100" i="2"/>
  <c r="B75" i="2"/>
  <c r="B82" i="2"/>
  <c r="B131" i="2"/>
  <c r="B132" i="2"/>
  <c r="C33" i="25"/>
  <c r="Q17" i="22"/>
  <c r="Q24" i="22"/>
  <c r="Q31" i="22"/>
  <c r="Q28" i="22"/>
  <c r="B206" i="2"/>
  <c r="B47" i="2"/>
  <c r="B188" i="2"/>
  <c r="B207" i="2"/>
  <c r="B186" i="2"/>
  <c r="B72" i="2"/>
  <c r="B98" i="2"/>
  <c r="B128" i="2"/>
  <c r="B124" i="2"/>
  <c r="B112" i="2"/>
  <c r="B85" i="2"/>
  <c r="C40" i="25"/>
  <c r="AD11" i="16"/>
  <c r="AM7" i="22" s="1"/>
  <c r="Q13" i="22"/>
  <c r="Q45" i="22"/>
  <c r="Q16" i="22"/>
  <c r="B53" i="2"/>
  <c r="B147" i="2"/>
  <c r="B126" i="2"/>
  <c r="B116" i="2"/>
  <c r="B121" i="2"/>
  <c r="B84" i="2"/>
  <c r="B83" i="2"/>
  <c r="C30" i="25"/>
  <c r="C39" i="25"/>
  <c r="Q26" i="22"/>
  <c r="Q19" i="22"/>
  <c r="Q37" i="22"/>
  <c r="Q33" i="22"/>
  <c r="B211" i="2"/>
  <c r="B42" i="2"/>
  <c r="B190" i="2"/>
  <c r="B69" i="2"/>
  <c r="B86" i="2"/>
  <c r="B81" i="2"/>
  <c r="B102" i="2"/>
  <c r="B94" i="2"/>
  <c r="C37" i="25"/>
  <c r="C27" i="25"/>
  <c r="X40" i="16"/>
  <c r="AH56" i="16"/>
  <c r="AH34" i="16"/>
  <c r="AF29" i="16"/>
  <c r="AH45" i="16"/>
  <c r="N46" i="16"/>
  <c r="P30" i="16"/>
  <c r="AF27" i="16"/>
  <c r="AS32" i="22"/>
  <c r="AS58" i="22"/>
  <c r="X12" i="16"/>
  <c r="AD8" i="22" s="1"/>
  <c r="N20" i="16"/>
  <c r="B161" i="2"/>
  <c r="B158" i="2"/>
  <c r="AF56" i="16"/>
  <c r="P56" i="16"/>
  <c r="B28" i="2"/>
  <c r="B66" i="2"/>
  <c r="B261" i="2"/>
  <c r="B216" i="2"/>
  <c r="B287" i="2"/>
  <c r="B262" i="2"/>
  <c r="B258" i="2"/>
  <c r="B293" i="2"/>
  <c r="B304" i="2"/>
  <c r="B236" i="2"/>
  <c r="B214" i="2"/>
  <c r="B194" i="2"/>
  <c r="B277" i="2"/>
  <c r="B213" i="2"/>
  <c r="B265" i="2"/>
  <c r="B267" i="2"/>
  <c r="B37" i="2"/>
  <c r="B238" i="2"/>
  <c r="B16" i="2"/>
  <c r="AD56" i="16"/>
  <c r="B250" i="2"/>
  <c r="B228" i="2"/>
  <c r="B218" i="2"/>
  <c r="B169" i="2"/>
  <c r="N56" i="16"/>
  <c r="Z57" i="16"/>
  <c r="B27" i="2"/>
  <c r="B55" i="2"/>
  <c r="B248" i="2"/>
  <c r="B204" i="2"/>
  <c r="B275" i="2"/>
  <c r="B309" i="2"/>
  <c r="B246" i="2"/>
  <c r="B281" i="2"/>
  <c r="B292" i="2"/>
  <c r="B247" i="2"/>
  <c r="B144" i="2"/>
  <c r="B233" i="2"/>
  <c r="B197" i="2"/>
  <c r="B17" i="2"/>
  <c r="B199" i="2"/>
  <c r="B10" i="2"/>
  <c r="B15" i="2"/>
  <c r="B152" i="2"/>
  <c r="B157" i="2"/>
  <c r="P57" i="16"/>
  <c r="B13" i="2"/>
  <c r="B67" i="2"/>
  <c r="B150" i="2"/>
  <c r="B24" i="2"/>
  <c r="B263" i="2"/>
  <c r="B272" i="2"/>
  <c r="B234" i="2"/>
  <c r="B269" i="2"/>
  <c r="B280" i="2"/>
  <c r="B303" i="2"/>
  <c r="B212" i="2"/>
  <c r="B26" i="2"/>
  <c r="B253" i="2"/>
  <c r="B241" i="2"/>
  <c r="B217" i="2"/>
  <c r="B235" i="2"/>
  <c r="B284" i="2"/>
  <c r="B311" i="2"/>
  <c r="AD57" i="16"/>
  <c r="B35" i="2"/>
  <c r="B305" i="2"/>
  <c r="B177" i="2"/>
  <c r="N57" i="16"/>
  <c r="B21" i="2"/>
  <c r="B56" i="2"/>
  <c r="B259" i="2"/>
  <c r="B12" i="2"/>
  <c r="B251" i="2"/>
  <c r="B224" i="2"/>
  <c r="B222" i="2"/>
  <c r="B257" i="2"/>
  <c r="B268" i="2"/>
  <c r="B291" i="2"/>
  <c r="B283" i="2"/>
  <c r="B14" i="2"/>
  <c r="B202" i="2"/>
  <c r="B63" i="2"/>
  <c r="B203" i="2"/>
  <c r="B260" i="2"/>
  <c r="B294" i="2"/>
  <c r="B301" i="2"/>
  <c r="B155" i="2"/>
  <c r="B156" i="2"/>
  <c r="B40" i="2"/>
  <c r="B60" i="2"/>
  <c r="B22" i="2"/>
  <c r="B68" i="2"/>
  <c r="B312" i="2"/>
  <c r="B310" i="2"/>
  <c r="B239" i="2"/>
  <c r="B225" i="2"/>
  <c r="B198" i="2"/>
  <c r="B245" i="2"/>
  <c r="B256" i="2"/>
  <c r="B279" i="2"/>
  <c r="B302" i="2"/>
  <c r="B286" i="2"/>
  <c r="B229" i="2"/>
  <c r="B300" i="2"/>
  <c r="B227" i="2"/>
  <c r="B274" i="2"/>
  <c r="B244" i="2"/>
  <c r="T56" i="16"/>
  <c r="B308" i="2"/>
  <c r="B243" i="2"/>
  <c r="B25" i="2"/>
  <c r="B223" i="2"/>
  <c r="B242" i="2"/>
  <c r="B173" i="2"/>
  <c r="B32" i="2"/>
  <c r="B271" i="2"/>
  <c r="B170" i="2"/>
  <c r="B33" i="2"/>
  <c r="B297" i="2"/>
  <c r="B200" i="2"/>
  <c r="B143" i="2"/>
  <c r="B167" i="2"/>
  <c r="R56" i="16"/>
  <c r="X57" i="16"/>
  <c r="B62" i="2"/>
  <c r="B20" i="2"/>
  <c r="B57" i="2"/>
  <c r="B226" i="2"/>
  <c r="B18" i="2"/>
  <c r="B290" i="2"/>
  <c r="B276" i="2"/>
  <c r="B266" i="2"/>
  <c r="B11" i="2"/>
  <c r="B163" i="2"/>
  <c r="B39" i="2"/>
  <c r="B240" i="2"/>
  <c r="B153" i="2"/>
  <c r="B166" i="2"/>
  <c r="R57" i="16"/>
  <c r="AH57" i="16"/>
  <c r="B61" i="2"/>
  <c r="B34" i="2"/>
  <c r="B59" i="2"/>
  <c r="B288" i="2"/>
  <c r="B201" i="2"/>
  <c r="B215" i="2"/>
  <c r="B249" i="2"/>
  <c r="B298" i="2"/>
  <c r="B221" i="2"/>
  <c r="B232" i="2"/>
  <c r="B255" i="2"/>
  <c r="B278" i="2"/>
  <c r="B273" i="2"/>
  <c r="B205" i="2"/>
  <c r="B38" i="2"/>
  <c r="B165" i="2"/>
  <c r="V57" i="16"/>
  <c r="B29" i="2"/>
  <c r="B220" i="2"/>
  <c r="B219" i="2"/>
  <c r="T57" i="16"/>
  <c r="B282" i="2"/>
  <c r="B230" i="2"/>
  <c r="B172" i="2"/>
  <c r="AB56" i="16"/>
  <c r="B270" i="2"/>
  <c r="B160" i="2"/>
  <c r="B174" i="2"/>
  <c r="B176" i="2"/>
  <c r="X56" i="16"/>
  <c r="V56" i="16"/>
  <c r="B64" i="2"/>
  <c r="B30" i="2"/>
  <c r="B58" i="2"/>
  <c r="B264" i="2"/>
  <c r="B295" i="2"/>
  <c r="B23" i="2"/>
  <c r="B306" i="2"/>
  <c r="B285" i="2"/>
  <c r="B185" i="2"/>
  <c r="B196" i="2"/>
  <c r="B231" i="2"/>
  <c r="B254" i="2"/>
  <c r="B307" i="2"/>
  <c r="B252" i="2"/>
  <c r="B171" i="2"/>
  <c r="B296" i="2"/>
  <c r="B237" i="2"/>
  <c r="B168" i="2"/>
  <c r="B162" i="2"/>
  <c r="B164" i="2"/>
  <c r="AB57" i="16"/>
  <c r="AF57" i="16"/>
  <c r="B65" i="2"/>
  <c r="B31" i="2"/>
  <c r="B36" i="2"/>
  <c r="B19" i="2"/>
  <c r="B195" i="2"/>
  <c r="B299" i="2"/>
  <c r="B289" i="2"/>
  <c r="F8" i="2"/>
  <c r="AS56" i="22"/>
  <c r="AS55" i="22"/>
  <c r="C11" i="15"/>
  <c r="AS54" i="22"/>
  <c r="AS53" i="22"/>
  <c r="AS63" i="22"/>
  <c r="AS62" i="22"/>
  <c r="AS52" i="22"/>
  <c r="AS61" i="22"/>
  <c r="AS60" i="22"/>
  <c r="AS47" i="22"/>
  <c r="AS17" i="22"/>
  <c r="AS50" i="22"/>
  <c r="AJ19" i="22"/>
  <c r="AJ30" i="22"/>
  <c r="AJ13" i="22"/>
  <c r="AJ46" i="22"/>
  <c r="I5" i="25"/>
  <c r="C5" i="15"/>
  <c r="AS35" i="22"/>
  <c r="AS34" i="22"/>
  <c r="AS38" i="22"/>
  <c r="AJ51" i="22"/>
  <c r="AJ31" i="22"/>
  <c r="AJ34" i="22"/>
  <c r="B8" i="2"/>
  <c r="AB2" i="16"/>
  <c r="C21" i="25"/>
  <c r="N21" i="16"/>
  <c r="Z12" i="16"/>
  <c r="AG8" i="22" s="1"/>
  <c r="AS12" i="22"/>
  <c r="I6" i="25"/>
  <c r="C6" i="15"/>
  <c r="AJ41" i="22"/>
  <c r="AJ22" i="22"/>
  <c r="AD2" i="16"/>
  <c r="B9" i="2"/>
  <c r="AS20" i="22"/>
  <c r="AS22" i="22"/>
  <c r="AS11" i="22"/>
  <c r="AS31" i="22"/>
  <c r="AS40" i="22"/>
  <c r="AS14" i="22"/>
  <c r="AJ29" i="22"/>
  <c r="AJ27" i="22"/>
  <c r="AJ10" i="22"/>
  <c r="G16" i="25"/>
  <c r="C15" i="15"/>
  <c r="AS26" i="22"/>
  <c r="AS28" i="22"/>
  <c r="AS49" i="22"/>
  <c r="AJ15" i="22"/>
  <c r="AJ48" i="22"/>
  <c r="AJ45" i="22"/>
  <c r="AS23" i="22"/>
  <c r="AJ42" i="22"/>
  <c r="AS10" i="22"/>
  <c r="AJ17" i="22"/>
  <c r="H3" i="2"/>
  <c r="AS45" i="22"/>
  <c r="AS16" i="22"/>
  <c r="AS37" i="22"/>
  <c r="AJ50" i="22"/>
  <c r="AJ36" i="22"/>
  <c r="AJ33" i="22"/>
  <c r="F9" i="2"/>
  <c r="G4" i="25"/>
  <c r="C4" i="15"/>
  <c r="C19" i="25"/>
  <c r="X11" i="16"/>
  <c r="AD7" i="22" s="1"/>
  <c r="N19" i="16"/>
  <c r="C18" i="25"/>
  <c r="Z9" i="16"/>
  <c r="AG5" i="22" s="1"/>
  <c r="N12" i="16"/>
  <c r="N8" i="22" s="1"/>
  <c r="AS15" i="22"/>
  <c r="AJ39" i="22"/>
  <c r="AS19" i="22"/>
  <c r="AS33" i="22"/>
  <c r="AS42" i="22"/>
  <c r="AS25" i="22"/>
  <c r="AJ18" i="22"/>
  <c r="AJ38" i="22"/>
  <c r="AJ24" i="22"/>
  <c r="AJ21" i="22"/>
  <c r="G15" i="25"/>
  <c r="C14" i="15"/>
  <c r="B6" i="2"/>
  <c r="X2" i="16"/>
  <c r="AS29" i="22"/>
  <c r="AS43" i="22"/>
  <c r="AS21" i="22"/>
  <c r="AS30" i="22"/>
  <c r="AS46" i="22"/>
  <c r="AS13" i="22"/>
  <c r="AJ40" i="22"/>
  <c r="AJ26" i="22"/>
  <c r="AJ12" i="22"/>
  <c r="AJ9" i="22"/>
  <c r="F37" i="2"/>
  <c r="C7" i="15"/>
  <c r="AS9" i="22"/>
  <c r="AS18" i="22"/>
  <c r="AS51" i="22"/>
  <c r="AJ28" i="22"/>
  <c r="AJ14" i="22"/>
  <c r="AJ47" i="22"/>
  <c r="C17" i="25"/>
  <c r="X9" i="16"/>
  <c r="AD5" i="22" s="1"/>
  <c r="N11" i="16"/>
  <c r="N7" i="22" s="1"/>
  <c r="C2" i="25"/>
  <c r="N22" i="16"/>
  <c r="N2" i="22" s="1"/>
  <c r="X15" i="16"/>
  <c r="B2" i="2"/>
  <c r="C37" i="15"/>
  <c r="I11" i="25"/>
  <c r="G7" i="25"/>
  <c r="G17" i="25"/>
  <c r="G18" i="25"/>
  <c r="G13" i="25"/>
  <c r="H208" i="2"/>
  <c r="F32" i="2"/>
  <c r="F33" i="2"/>
  <c r="H19" i="2"/>
  <c r="H20" i="2"/>
  <c r="H22" i="2"/>
  <c r="H15" i="2"/>
  <c r="H26" i="2"/>
  <c r="H24" i="2"/>
  <c r="H14" i="2"/>
  <c r="H18" i="2"/>
  <c r="H16" i="2"/>
  <c r="H25" i="2"/>
  <c r="H23" i="2"/>
  <c r="H13" i="2"/>
  <c r="H17" i="2"/>
  <c r="H21" i="2"/>
  <c r="H93" i="2"/>
  <c r="H94" i="2"/>
  <c r="H83" i="2"/>
  <c r="H89" i="2"/>
  <c r="H96" i="2"/>
  <c r="H95" i="2"/>
  <c r="H90" i="2"/>
  <c r="H91" i="2"/>
  <c r="H92" i="2"/>
  <c r="H84" i="2"/>
  <c r="H86" i="2"/>
  <c r="H87" i="2"/>
  <c r="H85" i="2"/>
  <c r="H88" i="2"/>
  <c r="F49" i="2"/>
  <c r="F36" i="2"/>
  <c r="F28" i="2"/>
  <c r="F40" i="2"/>
  <c r="F39" i="2"/>
  <c r="F27" i="2"/>
  <c r="F35" i="2"/>
  <c r="F31" i="2"/>
  <c r="F34" i="2"/>
  <c r="F48" i="2"/>
  <c r="F47" i="2"/>
  <c r="F54" i="2"/>
  <c r="F46" i="2"/>
  <c r="F44" i="2"/>
  <c r="F43" i="2"/>
  <c r="F42" i="2"/>
  <c r="F53" i="2"/>
  <c r="F45" i="2"/>
  <c r="F52" i="2"/>
  <c r="F41" i="2"/>
  <c r="F51" i="2"/>
  <c r="H57" i="2"/>
  <c r="H65" i="2"/>
  <c r="H62" i="2"/>
  <c r="H58" i="2"/>
  <c r="H55" i="2"/>
  <c r="H59" i="2"/>
  <c r="H66" i="2"/>
  <c r="H60" i="2"/>
  <c r="H61" i="2"/>
  <c r="H68" i="2"/>
  <c r="H67" i="2"/>
  <c r="H56" i="2"/>
  <c r="H63" i="2"/>
  <c r="F16" i="2"/>
  <c r="F17" i="2"/>
  <c r="F22" i="2"/>
  <c r="F13" i="2"/>
  <c r="F18" i="2"/>
  <c r="F25" i="2"/>
  <c r="F19" i="2"/>
  <c r="F23" i="2"/>
  <c r="F26" i="2"/>
  <c r="F20" i="2"/>
  <c r="F14" i="2"/>
  <c r="F21" i="2"/>
  <c r="F24" i="2"/>
  <c r="F15" i="2"/>
  <c r="I17" i="29" a="1"/>
  <c r="I17" i="30" a="1"/>
  <c r="I17" i="28" a="1"/>
  <c r="H19" i="28" a="1"/>
  <c r="H19" i="30" a="1"/>
  <c r="H19" i="29" a="1"/>
  <c r="I16" i="29" a="1"/>
  <c r="I16" i="30" a="1"/>
  <c r="I16" i="28" a="1"/>
  <c r="H20" i="28" a="1"/>
  <c r="H20" i="30" a="1"/>
  <c r="H20" i="29" a="1"/>
  <c r="H18" i="30" a="1"/>
  <c r="H18" i="29" a="1"/>
  <c r="H18" i="28" a="1"/>
  <c r="H25" i="28" a="1"/>
  <c r="H25" i="29" a="1"/>
  <c r="H25" i="30" a="1"/>
  <c r="G25" i="29" a="1"/>
  <c r="G20" i="29" a="1"/>
  <c r="G18" i="29" a="1"/>
  <c r="G19" i="29" a="1"/>
  <c r="G25" i="28" a="1"/>
  <c r="G18" i="28" a="1"/>
  <c r="O21" i="30" a="1"/>
  <c r="P23" i="29" a="1"/>
  <c r="P12" i="29" a="1"/>
  <c r="O21" i="29" a="1"/>
  <c r="L15" i="28" a="1"/>
  <c r="L9" i="30" a="1"/>
  <c r="O2" i="30" a="1"/>
  <c r="L11" i="29" a="1"/>
  <c r="O2" i="28" a="1"/>
  <c r="L14" i="28" a="1"/>
  <c r="P12" i="30" a="1"/>
  <c r="L14" i="30" a="1"/>
  <c r="M8" i="29" a="1"/>
  <c r="O22" i="29" a="1"/>
  <c r="L11" i="28" a="1"/>
  <c r="L15" i="30" a="1"/>
  <c r="L9" i="29" a="1"/>
  <c r="P23" i="30" a="1"/>
  <c r="O13" i="30" a="1"/>
  <c r="G19" i="28" a="1"/>
  <c r="G25" i="30" a="1"/>
  <c r="G20" i="30" a="1"/>
  <c r="O6" i="29" a="1"/>
  <c r="L15" i="29" a="1"/>
  <c r="O22" i="28" a="1"/>
  <c r="O6" i="30" a="1"/>
  <c r="L14" i="29" a="1"/>
  <c r="P12" i="28" a="1"/>
  <c r="O21" i="28" a="1"/>
  <c r="M7" i="30" a="1"/>
  <c r="N4" i="30" a="1"/>
  <c r="O2" i="29" a="1"/>
  <c r="O13" i="29" a="1"/>
  <c r="M7" i="28" a="1"/>
  <c r="M8" i="30" a="1"/>
  <c r="M7" i="29" a="1"/>
  <c r="O13" i="28" a="1"/>
  <c r="P23" i="28" a="1"/>
  <c r="N3" i="28" a="1"/>
  <c r="O22" i="30" a="1"/>
  <c r="M8" i="28" a="1"/>
  <c r="G19" i="30" a="1"/>
  <c r="G20" i="28" a="1"/>
  <c r="G18" i="30" a="1"/>
  <c r="N3" i="29" a="1"/>
  <c r="O6" i="28" a="1"/>
  <c r="L11" i="30" a="1"/>
  <c r="L9" i="28" a="1"/>
  <c r="N4" i="28" a="1"/>
  <c r="N4" i="29" a="1"/>
  <c r="N3" i="30" a="1"/>
  <c r="F7" i="31" l="1"/>
  <c r="F9" i="31"/>
  <c r="F11" i="31"/>
  <c r="F13" i="31"/>
  <c r="F15" i="31"/>
  <c r="F10" i="31"/>
  <c r="F14" i="31"/>
  <c r="F12" i="31"/>
  <c r="F8" i="31"/>
  <c r="F16" i="31"/>
  <c r="F6" i="31"/>
  <c r="K38" i="30"/>
  <c r="H32" i="30"/>
  <c r="I32" i="30" s="1"/>
  <c r="J40" i="28"/>
  <c r="K40" i="28" s="1"/>
  <c r="J36" i="28"/>
  <c r="K36" i="28" s="1"/>
  <c r="I32" i="28"/>
  <c r="I32" i="29"/>
  <c r="P5" i="27"/>
  <c r="H25" i="30"/>
  <c r="H25" i="29"/>
  <c r="H25" i="28"/>
  <c r="H18" i="28"/>
  <c r="H18" i="29"/>
  <c r="H18" i="30"/>
  <c r="H20" i="29"/>
  <c r="H20" i="30"/>
  <c r="H20" i="28"/>
  <c r="I16" i="28"/>
  <c r="I16" i="30"/>
  <c r="I16" i="29"/>
  <c r="H19" i="29"/>
  <c r="H47" i="29" s="1"/>
  <c r="H19" i="30"/>
  <c r="H47" i="30" s="1"/>
  <c r="H19" i="28"/>
  <c r="H47" i="28" s="1"/>
  <c r="I17" i="28"/>
  <c r="I17" i="30"/>
  <c r="I17" i="29"/>
  <c r="K10" i="27"/>
  <c r="O11" i="27"/>
  <c r="O15" i="27"/>
  <c r="O14" i="27"/>
  <c r="O9" i="27"/>
  <c r="J17" i="27"/>
  <c r="J16" i="27"/>
  <c r="I18" i="27"/>
  <c r="I25" i="27"/>
  <c r="H47" i="27"/>
  <c r="H48" i="27" s="1"/>
  <c r="I19" i="27"/>
  <c r="I20" i="27"/>
  <c r="P8" i="27"/>
  <c r="P7" i="27"/>
  <c r="M42" i="28"/>
  <c r="G18" i="30"/>
  <c r="G20" i="28"/>
  <c r="G19" i="30"/>
  <c r="G47" i="30" s="1"/>
  <c r="G48" i="30" s="1"/>
  <c r="G20" i="30"/>
  <c r="G25" i="30"/>
  <c r="G19" i="28"/>
  <c r="G47" i="28" s="1"/>
  <c r="G48" i="28" s="1"/>
  <c r="G18" i="28"/>
  <c r="G25" i="28"/>
  <c r="G19" i="29"/>
  <c r="G47" i="29" s="1"/>
  <c r="G48" i="29" s="1"/>
  <c r="G18" i="29"/>
  <c r="G20" i="29"/>
  <c r="G25" i="29"/>
  <c r="M4" i="32"/>
  <c r="M2" i="32"/>
  <c r="M3" i="32"/>
  <c r="L15" i="32"/>
  <c r="L8" i="32"/>
  <c r="L18" i="32"/>
  <c r="L24" i="32"/>
  <c r="L27" i="32"/>
  <c r="L26" i="32"/>
  <c r="L23" i="32"/>
  <c r="L16" i="32"/>
  <c r="L20" i="32"/>
  <c r="L17" i="32"/>
  <c r="L22" i="32"/>
  <c r="L21" i="32"/>
  <c r="L29" i="32"/>
  <c r="L28" i="32"/>
  <c r="L25" i="32"/>
  <c r="L19" i="32"/>
  <c r="J31" i="27"/>
  <c r="J32" i="27" s="1"/>
  <c r="L42" i="32"/>
  <c r="L9" i="32"/>
  <c r="L48" i="32"/>
  <c r="L38" i="32"/>
  <c r="L34" i="32"/>
  <c r="L41" i="32"/>
  <c r="L46" i="32"/>
  <c r="L40" i="32"/>
  <c r="L37" i="32"/>
  <c r="L47" i="32"/>
  <c r="L44" i="32"/>
  <c r="L39" i="32"/>
  <c r="L36" i="32"/>
  <c r="L43" i="32"/>
  <c r="L45" i="32"/>
  <c r="L35" i="32"/>
  <c r="L65" i="32"/>
  <c r="L10" i="32"/>
  <c r="L56" i="32"/>
  <c r="L59" i="32"/>
  <c r="L58" i="32"/>
  <c r="L61" i="32"/>
  <c r="L55" i="32"/>
  <c r="L62" i="32"/>
  <c r="L63" i="32"/>
  <c r="L53" i="32"/>
  <c r="L67" i="32"/>
  <c r="L60" i="32"/>
  <c r="L54" i="32"/>
  <c r="L57" i="32"/>
  <c r="L64" i="32"/>
  <c r="L66" i="32"/>
  <c r="M42" i="29"/>
  <c r="M42" i="30"/>
  <c r="M44" i="29"/>
  <c r="M44" i="30"/>
  <c r="K36" i="29"/>
  <c r="M44" i="28"/>
  <c r="L34" i="29"/>
  <c r="L34" i="30"/>
  <c r="M8" i="28"/>
  <c r="L11" i="30"/>
  <c r="L35" i="30" s="1"/>
  <c r="O22" i="29"/>
  <c r="P12" i="30"/>
  <c r="R12" i="30" s="1"/>
  <c r="O13" i="28"/>
  <c r="M7" i="30"/>
  <c r="M33" i="30" s="1"/>
  <c r="L14" i="28"/>
  <c r="L39" i="28" s="1"/>
  <c r="P23" i="30"/>
  <c r="R23" i="30" s="1"/>
  <c r="O2" i="28"/>
  <c r="N3" i="30"/>
  <c r="N41" i="30" s="1"/>
  <c r="L9" i="29"/>
  <c r="M8" i="29"/>
  <c r="L11" i="29"/>
  <c r="L35" i="29" s="1"/>
  <c r="O22" i="30"/>
  <c r="M7" i="29"/>
  <c r="M33" i="29" s="1"/>
  <c r="L14" i="30"/>
  <c r="L39" i="30" s="1"/>
  <c r="L40" i="30" s="1"/>
  <c r="O2" i="30"/>
  <c r="L15" i="30"/>
  <c r="L37" i="30" s="1"/>
  <c r="N3" i="28"/>
  <c r="N41" i="28" s="1"/>
  <c r="O6" i="28"/>
  <c r="O21" i="28"/>
  <c r="L9" i="30"/>
  <c r="N4" i="29"/>
  <c r="M8" i="30"/>
  <c r="P12" i="28"/>
  <c r="R12" i="28" s="1"/>
  <c r="O13" i="30"/>
  <c r="M7" i="28"/>
  <c r="M33" i="28" s="1"/>
  <c r="L14" i="29"/>
  <c r="L39" i="29" s="1"/>
  <c r="L40" i="29" s="1"/>
  <c r="P23" i="28"/>
  <c r="R23" i="28" s="1"/>
  <c r="L15" i="28"/>
  <c r="L37" i="28" s="1"/>
  <c r="L38" i="28" s="1"/>
  <c r="O6" i="30"/>
  <c r="O21" i="29"/>
  <c r="N4" i="28"/>
  <c r="L11" i="28"/>
  <c r="L35" i="28" s="1"/>
  <c r="O22" i="28"/>
  <c r="P12" i="29"/>
  <c r="R12" i="29" s="1"/>
  <c r="O13" i="29"/>
  <c r="P23" i="29"/>
  <c r="R23" i="29" s="1"/>
  <c r="O2" i="29"/>
  <c r="L15" i="29"/>
  <c r="L37" i="29" s="1"/>
  <c r="L38" i="29" s="1"/>
  <c r="N3" i="29"/>
  <c r="N41" i="29" s="1"/>
  <c r="O6" i="29"/>
  <c r="O21" i="30"/>
  <c r="L9" i="28"/>
  <c r="N4" i="30"/>
  <c r="A5" i="30"/>
  <c r="A5" i="29"/>
  <c r="A5" i="28"/>
  <c r="A5" i="27"/>
  <c r="A7" i="30"/>
  <c r="A7" i="28"/>
  <c r="A7" i="29"/>
  <c r="A7" i="27"/>
  <c r="A4" i="28"/>
  <c r="A4" i="30"/>
  <c r="A4" i="29"/>
  <c r="A4" i="27"/>
  <c r="A15" i="30"/>
  <c r="A15" i="28"/>
  <c r="A15" i="29"/>
  <c r="A15" i="27"/>
  <c r="M39" i="27"/>
  <c r="M40" i="27" s="1"/>
  <c r="N43" i="27"/>
  <c r="N44" i="27" s="1"/>
  <c r="O43" i="27"/>
  <c r="R6" i="27"/>
  <c r="R21" i="27"/>
  <c r="N33" i="27"/>
  <c r="N34" i="27" s="1"/>
  <c r="M35" i="27"/>
  <c r="M36" i="27" s="1"/>
  <c r="R13" i="27"/>
  <c r="R2" i="27"/>
  <c r="K36" i="30"/>
  <c r="R22" i="27"/>
  <c r="K34" i="28"/>
  <c r="Z4" i="16"/>
  <c r="AG4" i="22" s="1"/>
  <c r="A11" i="30"/>
  <c r="A11" i="28"/>
  <c r="A11" i="29"/>
  <c r="A11" i="27"/>
  <c r="A14" i="29"/>
  <c r="A14" i="30"/>
  <c r="A14" i="28"/>
  <c r="A14" i="27"/>
  <c r="A6" i="29"/>
  <c r="A6" i="30"/>
  <c r="A6" i="28"/>
  <c r="A6" i="27"/>
  <c r="O41" i="27"/>
  <c r="O42" i="27" s="1"/>
  <c r="Z48" i="22"/>
  <c r="W13" i="22"/>
  <c r="AM46" i="22"/>
  <c r="Z10" i="22"/>
  <c r="AM31" i="22"/>
  <c r="AM34" i="22"/>
  <c r="AM23" i="22"/>
  <c r="AG10" i="22"/>
  <c r="AM43" i="22"/>
  <c r="AG48" i="22"/>
  <c r="AM41" i="22"/>
  <c r="AM9" i="22"/>
  <c r="Q59" i="22"/>
  <c r="AM28" i="22"/>
  <c r="AM51" i="22"/>
  <c r="AM38" i="22"/>
  <c r="AG33" i="22"/>
  <c r="AM14" i="22"/>
  <c r="AM36" i="22"/>
  <c r="Z23" i="22"/>
  <c r="AG17" i="22"/>
  <c r="AM29" i="22"/>
  <c r="AG30" i="22"/>
  <c r="AM40" i="22"/>
  <c r="AM17" i="22"/>
  <c r="Z38" i="22"/>
  <c r="AM11" i="22"/>
  <c r="AM32" i="22"/>
  <c r="AM33" i="22"/>
  <c r="AM49" i="22"/>
  <c r="AM35" i="22"/>
  <c r="AM47" i="22"/>
  <c r="AM24" i="22"/>
  <c r="Z27" i="22"/>
  <c r="Q60"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D52" i="22"/>
  <c r="AM25" i="22"/>
  <c r="AM37" i="22"/>
  <c r="AM48" i="22"/>
  <c r="AM21" i="22"/>
  <c r="AD54" i="22"/>
  <c r="AP34" i="22"/>
  <c r="AD59" i="22"/>
  <c r="AG53" i="22"/>
  <c r="T61" i="22"/>
  <c r="AP18" i="22"/>
  <c r="AP25" i="22"/>
  <c r="AG54" i="22"/>
  <c r="AP12" i="22"/>
  <c r="AD57" i="22"/>
  <c r="AP10" i="22"/>
  <c r="AG60" i="22"/>
  <c r="AG61" i="22"/>
  <c r="AG62" i="22"/>
  <c r="AP19" i="22"/>
  <c r="AG63" i="22"/>
  <c r="AP13" i="22"/>
  <c r="AM57" i="22"/>
  <c r="AD63" i="22"/>
  <c r="AM58" i="22"/>
  <c r="AM60" i="22"/>
  <c r="AD60" i="22"/>
  <c r="AM62" i="22"/>
  <c r="T55" i="22"/>
  <c r="AM61" i="22"/>
  <c r="AM63" i="22"/>
  <c r="AM53" i="22"/>
  <c r="T52" i="22"/>
  <c r="N63" i="22"/>
  <c r="T59" i="22"/>
  <c r="T57" i="22"/>
  <c r="AM56" i="22"/>
  <c r="Q55" i="22"/>
  <c r="Q53" i="22"/>
  <c r="AP53" i="22"/>
  <c r="AD55" i="22"/>
  <c r="Q63" i="22"/>
  <c r="Q54" i="22"/>
  <c r="W27" i="22"/>
  <c r="AP62" i="22"/>
  <c r="W25" i="22"/>
  <c r="Q56" i="22"/>
  <c r="Q61" i="22"/>
  <c r="Q57" i="22"/>
  <c r="Q58" i="22"/>
  <c r="Q52"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AG59" i="22"/>
  <c r="W20" i="22"/>
  <c r="W35" i="22"/>
  <c r="W47" i="22"/>
  <c r="W21" i="22"/>
  <c r="AM59" i="22"/>
  <c r="W23" i="22"/>
  <c r="AD62" i="22"/>
  <c r="AD61" i="22"/>
  <c r="AP36" i="22"/>
  <c r="AP40" i="22"/>
  <c r="T63" i="22"/>
  <c r="AP15" i="22"/>
  <c r="AP22" i="22"/>
  <c r="AM45" i="22"/>
  <c r="AM20" i="22"/>
  <c r="AM15" i="22"/>
  <c r="AM18" i="22"/>
  <c r="AM30" i="22"/>
  <c r="AG55" i="22"/>
  <c r="AP24" i="22"/>
  <c r="AP39" i="22"/>
  <c r="AP30" i="22"/>
  <c r="AP48" i="22"/>
  <c r="AP27" i="22"/>
  <c r="AP9" i="22"/>
  <c r="B5" i="2"/>
  <c r="R4" i="16"/>
  <c r="T4" i="22" s="1"/>
  <c r="C14" i="25"/>
  <c r="X10" i="16"/>
  <c r="Z53" i="22"/>
  <c r="Z60" i="22"/>
  <c r="N57" i="22"/>
  <c r="AG57" i="22"/>
  <c r="AP50" i="22"/>
  <c r="AP45" i="22"/>
  <c r="AP43" i="22"/>
  <c r="AP51" i="22"/>
  <c r="AP32" i="22"/>
  <c r="AP44" i="22"/>
  <c r="AP47" i="22"/>
  <c r="AP49" i="22"/>
  <c r="AP23" i="22"/>
  <c r="AP35" i="22"/>
  <c r="AP38" i="22"/>
  <c r="AP28" i="22"/>
  <c r="AP14" i="22"/>
  <c r="AP26" i="22"/>
  <c r="AP41" i="22"/>
  <c r="AP16" i="22"/>
  <c r="AP42" i="22"/>
  <c r="AP31" i="22"/>
  <c r="AP20" i="22"/>
  <c r="AP17" i="22"/>
  <c r="AP29" i="22"/>
  <c r="N52" i="22"/>
  <c r="AP33" i="22"/>
  <c r="AP11" i="22"/>
  <c r="N61" i="22"/>
  <c r="N62" i="22"/>
  <c r="AP61" i="22"/>
  <c r="N58" i="22"/>
  <c r="N53" i="22"/>
  <c r="N54" i="22"/>
  <c r="N56" i="22"/>
  <c r="N59" i="22"/>
  <c r="AP60" i="22"/>
  <c r="AP58" i="22"/>
  <c r="AG52" i="22"/>
  <c r="T62" i="22"/>
  <c r="N37" i="22"/>
  <c r="N38" i="22"/>
  <c r="N13" i="22"/>
  <c r="AD49" i="22"/>
  <c r="AD33" i="22"/>
  <c r="N15" i="22"/>
  <c r="AD31" i="22"/>
  <c r="AD26" i="22"/>
  <c r="N44" i="22"/>
  <c r="W52" i="22"/>
  <c r="W53" i="22"/>
  <c r="N10" i="22"/>
  <c r="N60" i="22"/>
  <c r="AD39" i="22"/>
  <c r="AD22" i="22"/>
  <c r="N41" i="22"/>
  <c r="N35" i="22"/>
  <c r="N48" i="22"/>
  <c r="T58" i="22"/>
  <c r="T56" i="22"/>
  <c r="AG56" i="22"/>
  <c r="T53" i="22"/>
  <c r="AD40" i="22"/>
  <c r="AD18" i="22"/>
  <c r="AD23" i="22"/>
  <c r="N14" i="22"/>
  <c r="N21" i="22"/>
  <c r="N18" i="22"/>
  <c r="N16" i="22"/>
  <c r="N31" i="22"/>
  <c r="N39" i="22"/>
  <c r="N12"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M55" i="22"/>
  <c r="AM54" i="22"/>
  <c r="AJ63" i="22"/>
  <c r="AJ53" i="22"/>
  <c r="AJ54" i="22"/>
  <c r="AJ59" i="22"/>
  <c r="AJ55" i="22"/>
  <c r="AJ58" i="22"/>
  <c r="AJ60" i="22"/>
  <c r="AJ56" i="22"/>
  <c r="AJ57" i="22"/>
  <c r="AJ62" i="22"/>
  <c r="AJ52" i="22"/>
  <c r="AJ61" i="22"/>
  <c r="AP21" i="22"/>
  <c r="AP46" i="22"/>
  <c r="AD34" i="22"/>
  <c r="AM27" i="22"/>
  <c r="W61" i="22"/>
  <c r="W59" i="22"/>
  <c r="Z52" i="22"/>
  <c r="AD56" i="22"/>
  <c r="AD53" i="22"/>
  <c r="Z57" i="22"/>
  <c r="Z61" i="22"/>
  <c r="Z63" i="22"/>
  <c r="Z58" i="22"/>
  <c r="Z55" i="22"/>
  <c r="Z59" i="22"/>
  <c r="Z62" i="22"/>
  <c r="Z56" i="22"/>
  <c r="N8" i="16"/>
  <c r="C11" i="25"/>
  <c r="C7" i="25"/>
  <c r="X3" i="16"/>
  <c r="AD3" i="22" s="1"/>
  <c r="N7" i="16"/>
  <c r="AB22" i="16"/>
  <c r="AJ2" i="22" s="1"/>
  <c r="C5" i="25"/>
  <c r="N18" i="16"/>
  <c r="C16" i="25"/>
  <c r="N14" i="16"/>
  <c r="AD4" i="16"/>
  <c r="AM4" i="22" s="1"/>
  <c r="C15" i="25"/>
  <c r="N16" i="16"/>
  <c r="AB4" i="16"/>
  <c r="AJ4" i="22" s="1"/>
  <c r="C6" i="25"/>
  <c r="B3" i="2"/>
  <c r="P3" i="16"/>
  <c r="Q3" i="22" s="1"/>
  <c r="Z22" i="16"/>
  <c r="AG2" i="22" s="1"/>
  <c r="C4" i="25"/>
  <c r="N3" i="16"/>
  <c r="N3" i="22" s="1"/>
  <c r="I19" i="30" a="1"/>
  <c r="I19" i="29" a="1"/>
  <c r="I19" i="28" a="1"/>
  <c r="I18" i="29" a="1"/>
  <c r="I18" i="28" a="1"/>
  <c r="I18" i="30" a="1"/>
  <c r="I20" i="28" a="1"/>
  <c r="I20" i="30" a="1"/>
  <c r="I20" i="29" a="1"/>
  <c r="I25" i="29" a="1"/>
  <c r="I25" i="30" a="1"/>
  <c r="I25" i="28" a="1"/>
  <c r="J10" i="29" a="1"/>
  <c r="N7" i="29" a="1"/>
  <c r="N8" i="29" a="1"/>
  <c r="M9" i="30" a="1"/>
  <c r="O5" i="28" a="1"/>
  <c r="N7" i="28" a="1"/>
  <c r="P2" i="28" a="1"/>
  <c r="P22" i="28" a="1"/>
  <c r="P13" i="28" a="1"/>
  <c r="M11" i="30" a="1"/>
  <c r="M15" i="28" a="1"/>
  <c r="N8" i="30" a="1"/>
  <c r="M14" i="29" a="1"/>
  <c r="N8" i="28" a="1"/>
  <c r="M9" i="28" a="1"/>
  <c r="P21" i="30" a="1"/>
  <c r="O4" i="28" a="1"/>
  <c r="P6" i="28" a="1"/>
  <c r="J10" i="30" a="1"/>
  <c r="O5" i="29" a="1"/>
  <c r="N5" i="28" a="1"/>
  <c r="M15" i="30" a="1"/>
  <c r="P2" i="29" a="1"/>
  <c r="O3" i="30" a="1"/>
  <c r="M14" i="28" a="1"/>
  <c r="M11" i="28" a="1"/>
  <c r="M15" i="29" a="1"/>
  <c r="O3" i="28" a="1"/>
  <c r="N5" i="30" a="1"/>
  <c r="P6" i="29" a="1"/>
  <c r="P13" i="29" a="1"/>
  <c r="N7" i="30" a="1"/>
  <c r="O4" i="30" a="1"/>
  <c r="O3" i="29" a="1"/>
  <c r="P2" i="30" a="1"/>
  <c r="P22" i="29" a="1"/>
  <c r="P13" i="30" a="1"/>
  <c r="O4" i="29" a="1"/>
  <c r="P21" i="28" a="1"/>
  <c r="M9" i="29" a="1"/>
  <c r="M14" i="30" a="1"/>
  <c r="P21" i="29" a="1"/>
  <c r="M11" i="29" a="1"/>
  <c r="O5" i="30" a="1"/>
  <c r="P22" i="30" a="1"/>
  <c r="J10" i="28" a="1"/>
  <c r="N5" i="29" a="1"/>
  <c r="P6" i="30" a="1"/>
  <c r="G8" i="31" l="1"/>
  <c r="G10" i="31"/>
  <c r="G12" i="31"/>
  <c r="G14" i="31"/>
  <c r="G16" i="31"/>
  <c r="G9" i="31"/>
  <c r="G13" i="31"/>
  <c r="G7" i="31"/>
  <c r="G11" i="31"/>
  <c r="G15" i="31"/>
  <c r="H8" i="31"/>
  <c r="H10" i="31"/>
  <c r="H12" i="31"/>
  <c r="H14" i="31"/>
  <c r="H16" i="31"/>
  <c r="H11" i="31"/>
  <c r="H9" i="31"/>
  <c r="H15" i="31"/>
  <c r="H13" i="31"/>
  <c r="L38" i="30"/>
  <c r="L34" i="28"/>
  <c r="M34" i="28" s="1"/>
  <c r="I25" i="28"/>
  <c r="I25" i="30"/>
  <c r="I25" i="29"/>
  <c r="I20" i="29"/>
  <c r="I20" i="30"/>
  <c r="I20" i="28"/>
  <c r="I18" i="30"/>
  <c r="I18" i="28"/>
  <c r="I18" i="29"/>
  <c r="I19" i="28"/>
  <c r="I47" i="28" s="1"/>
  <c r="I19" i="29"/>
  <c r="I47" i="29" s="1"/>
  <c r="I19" i="30"/>
  <c r="I47" i="30" s="1"/>
  <c r="J20" i="27"/>
  <c r="J19" i="27"/>
  <c r="P15" i="27"/>
  <c r="P14" i="27"/>
  <c r="P9" i="27"/>
  <c r="P11" i="27"/>
  <c r="K16" i="27"/>
  <c r="K17" i="27"/>
  <c r="L10" i="27"/>
  <c r="I47" i="27"/>
  <c r="I48" i="27" s="1"/>
  <c r="J18" i="27"/>
  <c r="J25" i="27"/>
  <c r="N42" i="28"/>
  <c r="H48" i="28"/>
  <c r="L36" i="28"/>
  <c r="J10" i="28"/>
  <c r="J31" i="28" s="1"/>
  <c r="J10" i="30"/>
  <c r="J31" i="30" s="1"/>
  <c r="J10" i="29"/>
  <c r="J31" i="29" s="1"/>
  <c r="J32" i="29" s="1"/>
  <c r="K31" i="27"/>
  <c r="M10" i="32"/>
  <c r="M55" i="32"/>
  <c r="M63" i="32"/>
  <c r="M56" i="32"/>
  <c r="M64" i="32"/>
  <c r="M53" i="32"/>
  <c r="M65" i="32"/>
  <c r="M60" i="32"/>
  <c r="M61" i="32"/>
  <c r="M62" i="32"/>
  <c r="M67" i="32"/>
  <c r="M66" i="32"/>
  <c r="M54" i="32"/>
  <c r="M57" i="32"/>
  <c r="M59" i="32"/>
  <c r="M58" i="32"/>
  <c r="M9" i="32"/>
  <c r="M42" i="32"/>
  <c r="M37" i="32"/>
  <c r="M45" i="32"/>
  <c r="M38" i="32"/>
  <c r="M35" i="32"/>
  <c r="M47" i="32"/>
  <c r="M40" i="32"/>
  <c r="M39" i="32"/>
  <c r="M44" i="32"/>
  <c r="M46" i="32"/>
  <c r="M34" i="32"/>
  <c r="M48" i="32"/>
  <c r="M41" i="32"/>
  <c r="M36" i="32"/>
  <c r="M43" i="32"/>
  <c r="N2" i="32"/>
  <c r="N4" i="32"/>
  <c r="N3" i="32"/>
  <c r="K32" i="27"/>
  <c r="M16" i="32"/>
  <c r="M8" i="32"/>
  <c r="M29" i="32"/>
  <c r="M21" i="32"/>
  <c r="M23" i="32"/>
  <c r="M17" i="32"/>
  <c r="M24" i="32"/>
  <c r="M15" i="32"/>
  <c r="M26" i="32"/>
  <c r="M20" i="32"/>
  <c r="M27" i="32"/>
  <c r="M25" i="32"/>
  <c r="M19" i="32"/>
  <c r="M18" i="32"/>
  <c r="M28" i="32"/>
  <c r="M22" i="32"/>
  <c r="N42" i="29"/>
  <c r="N42" i="30"/>
  <c r="L36" i="29"/>
  <c r="M34" i="29"/>
  <c r="M34" i="30"/>
  <c r="L36" i="30"/>
  <c r="L40" i="28"/>
  <c r="O3" i="29"/>
  <c r="O41" i="29" s="1"/>
  <c r="P22" i="30"/>
  <c r="R22" i="30" s="1"/>
  <c r="P6" i="28"/>
  <c r="R6" i="28" s="1"/>
  <c r="O4" i="30"/>
  <c r="N8" i="30"/>
  <c r="N7" i="30"/>
  <c r="N33" i="30" s="1"/>
  <c r="O5" i="30"/>
  <c r="O43" i="30" s="1"/>
  <c r="M14" i="30"/>
  <c r="M39" i="30" s="1"/>
  <c r="M40" i="30" s="1"/>
  <c r="O3" i="30"/>
  <c r="O41" i="30" s="1"/>
  <c r="M9" i="29"/>
  <c r="O4" i="28"/>
  <c r="M15" i="28"/>
  <c r="M37" i="28" s="1"/>
  <c r="M38" i="28" s="1"/>
  <c r="P2" i="29"/>
  <c r="R2" i="29" s="1"/>
  <c r="P13" i="29"/>
  <c r="R13" i="29" s="1"/>
  <c r="M11" i="30"/>
  <c r="M35" i="30" s="1"/>
  <c r="P21" i="30"/>
  <c r="R21" i="30" s="1"/>
  <c r="P6" i="29"/>
  <c r="R6" i="29" s="1"/>
  <c r="P13" i="28"/>
  <c r="R13" i="28" s="1"/>
  <c r="M11" i="29"/>
  <c r="M35" i="29" s="1"/>
  <c r="P21" i="28"/>
  <c r="R21" i="28" s="1"/>
  <c r="N5" i="30"/>
  <c r="N43" i="30" s="1"/>
  <c r="M9" i="28"/>
  <c r="O4" i="29"/>
  <c r="P22" i="28"/>
  <c r="R22" i="28" s="1"/>
  <c r="M15" i="30"/>
  <c r="M37" i="30" s="1"/>
  <c r="N8" i="28"/>
  <c r="P2" i="28"/>
  <c r="R2" i="28" s="1"/>
  <c r="P13" i="30"/>
  <c r="R13" i="30" s="1"/>
  <c r="N7" i="28"/>
  <c r="N33" i="28" s="1"/>
  <c r="P21" i="29"/>
  <c r="R21" i="29" s="1"/>
  <c r="P6" i="30"/>
  <c r="R6" i="30" s="1"/>
  <c r="O5" i="28"/>
  <c r="O43" i="28" s="1"/>
  <c r="N5" i="28"/>
  <c r="N43" i="28" s="1"/>
  <c r="M14" i="29"/>
  <c r="M39" i="29" s="1"/>
  <c r="M40" i="29" s="1"/>
  <c r="O3" i="28"/>
  <c r="O41" i="28" s="1"/>
  <c r="M9" i="30"/>
  <c r="P22" i="29"/>
  <c r="R22" i="29" s="1"/>
  <c r="M15" i="29"/>
  <c r="M37" i="29" s="1"/>
  <c r="M38" i="29" s="1"/>
  <c r="N8" i="29"/>
  <c r="P2" i="30"/>
  <c r="R2" i="30" s="1"/>
  <c r="M11" i="28"/>
  <c r="M35" i="28" s="1"/>
  <c r="N7" i="29"/>
  <c r="N33" i="29" s="1"/>
  <c r="O5" i="29"/>
  <c r="O43" i="29" s="1"/>
  <c r="N5" i="29"/>
  <c r="N43" i="29" s="1"/>
  <c r="N44" i="29" s="1"/>
  <c r="M14" i="28"/>
  <c r="M39" i="28" s="1"/>
  <c r="P43" i="27"/>
  <c r="R43" i="27" s="1"/>
  <c r="R5" i="27"/>
  <c r="H48" i="30"/>
  <c r="O44" i="27"/>
  <c r="N35" i="27"/>
  <c r="N36" i="27" s="1"/>
  <c r="P41" i="27"/>
  <c r="R41" i="27" s="1"/>
  <c r="R3" i="27"/>
  <c r="N39" i="27"/>
  <c r="N40" i="27" s="1"/>
  <c r="R4" i="27"/>
  <c r="H48" i="29"/>
  <c r="O33" i="27"/>
  <c r="O34" i="27" s="1"/>
  <c r="J17" i="30" a="1"/>
  <c r="J16" i="29" a="1"/>
  <c r="K10" i="28" a="1"/>
  <c r="J17" i="29" a="1"/>
  <c r="J16" i="28" a="1"/>
  <c r="O7" i="28" a="1"/>
  <c r="P5" i="30" a="1"/>
  <c r="N9" i="29" a="1"/>
  <c r="N14" i="29" a="1"/>
  <c r="N11" i="30" a="1"/>
  <c r="N14" i="28" a="1"/>
  <c r="N15" i="30" a="1"/>
  <c r="N9" i="28" a="1"/>
  <c r="K10" i="29" a="1"/>
  <c r="N11" i="29" a="1"/>
  <c r="P3" i="28" a="1"/>
  <c r="N9" i="30" a="1"/>
  <c r="O8" i="29" a="1"/>
  <c r="O7" i="30" a="1"/>
  <c r="K10" i="30" a="1"/>
  <c r="N14" i="30" a="1"/>
  <c r="N15" i="28" a="1"/>
  <c r="O8" i="28" a="1"/>
  <c r="N11" i="28" a="1"/>
  <c r="P4" i="30" a="1"/>
  <c r="P5" i="29" a="1"/>
  <c r="P4" i="29" a="1"/>
  <c r="P3" i="30" a="1"/>
  <c r="O7" i="29" a="1"/>
  <c r="J17" i="28" a="1"/>
  <c r="J16" i="30" a="1"/>
  <c r="P5" i="28" a="1"/>
  <c r="O8" i="30" a="1"/>
  <c r="P4" i="28" a="1"/>
  <c r="N15" i="29" a="1"/>
  <c r="P3" i="29" a="1"/>
  <c r="I9" i="31" l="1"/>
  <c r="I11" i="31"/>
  <c r="I13" i="31"/>
  <c r="I15" i="31"/>
  <c r="I10" i="31"/>
  <c r="I14" i="31"/>
  <c r="I12" i="31"/>
  <c r="I16" i="31"/>
  <c r="M38" i="30"/>
  <c r="N44" i="30"/>
  <c r="O44" i="30" s="1"/>
  <c r="J32" i="30"/>
  <c r="I48" i="28"/>
  <c r="N44" i="28"/>
  <c r="O44" i="28" s="1"/>
  <c r="J32" i="28"/>
  <c r="M36" i="28"/>
  <c r="O42" i="28"/>
  <c r="M10" i="27"/>
  <c r="K20" i="27"/>
  <c r="K19" i="27"/>
  <c r="I48" i="30"/>
  <c r="K18" i="27"/>
  <c r="K25" i="27"/>
  <c r="L17" i="27"/>
  <c r="L16" i="27"/>
  <c r="J16" i="30"/>
  <c r="J17" i="28"/>
  <c r="K10" i="30"/>
  <c r="K31" i="30" s="1"/>
  <c r="K10" i="29"/>
  <c r="K31" i="29" s="1"/>
  <c r="K32" i="29" s="1"/>
  <c r="J16" i="28"/>
  <c r="J17" i="29"/>
  <c r="K10" i="28"/>
  <c r="K31" i="28" s="1"/>
  <c r="J16" i="29"/>
  <c r="J17" i="30"/>
  <c r="L31" i="27"/>
  <c r="L32" i="27" s="1"/>
  <c r="N16" i="32"/>
  <c r="N8" i="32"/>
  <c r="N17" i="32"/>
  <c r="N21" i="32"/>
  <c r="N24" i="32"/>
  <c r="N15" i="32"/>
  <c r="N23" i="32"/>
  <c r="N19" i="32"/>
  <c r="N26" i="32"/>
  <c r="N20" i="32"/>
  <c r="N25" i="32"/>
  <c r="N18" i="32"/>
  <c r="N29" i="32"/>
  <c r="N28" i="32"/>
  <c r="N27" i="32"/>
  <c r="N22" i="32"/>
  <c r="J47" i="27"/>
  <c r="J48" i="27" s="1"/>
  <c r="N9" i="32"/>
  <c r="N38" i="32"/>
  <c r="N46" i="32"/>
  <c r="N40" i="32"/>
  <c r="N47" i="32"/>
  <c r="N43" i="32"/>
  <c r="N35" i="32"/>
  <c r="N42" i="32"/>
  <c r="N34" i="32"/>
  <c r="N37" i="32"/>
  <c r="N36" i="32"/>
  <c r="N44" i="32"/>
  <c r="N48" i="32"/>
  <c r="N39" i="32"/>
  <c r="N45" i="32"/>
  <c r="N41" i="32"/>
  <c r="N62" i="32"/>
  <c r="N10" i="32"/>
  <c r="N54" i="32"/>
  <c r="N61" i="32"/>
  <c r="N64" i="32"/>
  <c r="N67" i="32"/>
  <c r="N65" i="32"/>
  <c r="N59" i="32"/>
  <c r="N56" i="32"/>
  <c r="N63" i="32"/>
  <c r="N60" i="32"/>
  <c r="N53" i="32"/>
  <c r="N55" i="32"/>
  <c r="N58" i="32"/>
  <c r="N66" i="32"/>
  <c r="N57" i="32"/>
  <c r="O4" i="32"/>
  <c r="O3" i="32"/>
  <c r="O2" i="32"/>
  <c r="O42" i="30"/>
  <c r="O42" i="29"/>
  <c r="M36" i="29"/>
  <c r="N34" i="29"/>
  <c r="N34" i="30"/>
  <c r="M40" i="28"/>
  <c r="M36" i="30"/>
  <c r="N34" i="28"/>
  <c r="N15" i="29"/>
  <c r="N37" i="29" s="1"/>
  <c r="N38" i="29" s="1"/>
  <c r="O7" i="29"/>
  <c r="O33" i="29" s="1"/>
  <c r="P4" i="28"/>
  <c r="R4" i="28" s="1"/>
  <c r="P3" i="30"/>
  <c r="N9" i="28"/>
  <c r="N15" i="30"/>
  <c r="N37" i="30" s="1"/>
  <c r="O7" i="30"/>
  <c r="O33" i="30" s="1"/>
  <c r="P4" i="29"/>
  <c r="R4" i="29" s="1"/>
  <c r="N14" i="28"/>
  <c r="N39" i="28" s="1"/>
  <c r="N9" i="30"/>
  <c r="O8" i="30"/>
  <c r="P5" i="29"/>
  <c r="N11" i="30"/>
  <c r="N35" i="30" s="1"/>
  <c r="P4" i="30"/>
  <c r="R4" i="30" s="1"/>
  <c r="N14" i="29"/>
  <c r="N39" i="29" s="1"/>
  <c r="N40" i="29" s="1"/>
  <c r="P3" i="28"/>
  <c r="N11" i="28"/>
  <c r="N35" i="28" s="1"/>
  <c r="N9" i="29"/>
  <c r="O8" i="28"/>
  <c r="P5" i="30"/>
  <c r="N15" i="28"/>
  <c r="N37" i="28" s="1"/>
  <c r="N38" i="28" s="1"/>
  <c r="O7" i="28"/>
  <c r="O33" i="28" s="1"/>
  <c r="N14" i="30"/>
  <c r="N39" i="30" s="1"/>
  <c r="N40" i="30" s="1"/>
  <c r="P3" i="29"/>
  <c r="N11" i="29"/>
  <c r="N35" i="29" s="1"/>
  <c r="O8" i="29"/>
  <c r="P5" i="28"/>
  <c r="O39" i="27"/>
  <c r="O40" i="27" s="1"/>
  <c r="P44" i="27"/>
  <c r="R44" i="27" s="1"/>
  <c r="O35" i="27"/>
  <c r="O36" i="27" s="1"/>
  <c r="P42" i="27"/>
  <c r="R42" i="27" s="1"/>
  <c r="O44" i="29"/>
  <c r="R8" i="27"/>
  <c r="I48" i="29"/>
  <c r="P33" i="27"/>
  <c r="R33" i="27" s="1"/>
  <c r="R7" i="27"/>
  <c r="M10" i="30" a="1"/>
  <c r="M10" i="28" a="1"/>
  <c r="M10" i="29" a="1"/>
  <c r="L10" i="29" a="1"/>
  <c r="J25" i="29" a="1"/>
  <c r="J19" i="28" a="1"/>
  <c r="J18" i="30" a="1"/>
  <c r="J20" i="29" a="1"/>
  <c r="K16" i="30" a="1"/>
  <c r="P8" i="28" a="1"/>
  <c r="O11" i="29" a="1"/>
  <c r="P8" i="30" a="1"/>
  <c r="P8" i="29" a="1"/>
  <c r="P7" i="28" a="1"/>
  <c r="O15" i="28" a="1"/>
  <c r="J20" i="28" a="1"/>
  <c r="K16" i="28" a="1"/>
  <c r="K17" i="28" a="1"/>
  <c r="O14" i="29" a="1"/>
  <c r="J19" i="30" a="1"/>
  <c r="J20" i="30" a="1"/>
  <c r="K17" i="30" a="1"/>
  <c r="O14" i="30" a="1"/>
  <c r="P7" i="29" a="1"/>
  <c r="O9" i="30" a="1"/>
  <c r="J25" i="30" a="1"/>
  <c r="J19" i="29" a="1"/>
  <c r="J18" i="28" a="1"/>
  <c r="K16" i="29" a="1"/>
  <c r="P7" i="30" a="1"/>
  <c r="O9" i="29" a="1"/>
  <c r="L10" i="30" a="1"/>
  <c r="K17" i="29" a="1"/>
  <c r="O14" i="28" a="1"/>
  <c r="O15" i="29" a="1"/>
  <c r="L10" i="28" a="1"/>
  <c r="J25" i="28" a="1"/>
  <c r="J18" i="29" a="1"/>
  <c r="O11" i="28" a="1"/>
  <c r="O9" i="28" a="1"/>
  <c r="O15" i="30" a="1"/>
  <c r="O11" i="30" a="1"/>
  <c r="N38" i="30" l="1"/>
  <c r="K32" i="30"/>
  <c r="N36" i="29"/>
  <c r="K32" i="28"/>
  <c r="N36" i="28"/>
  <c r="M10" i="29"/>
  <c r="M31" i="29" s="1"/>
  <c r="M10" i="28"/>
  <c r="M31" i="28" s="1"/>
  <c r="M10" i="30"/>
  <c r="M31" i="30" s="1"/>
  <c r="L19" i="27"/>
  <c r="L20" i="27"/>
  <c r="N10" i="27"/>
  <c r="M17" i="27"/>
  <c r="M16" i="27"/>
  <c r="L25" i="27"/>
  <c r="L18" i="27"/>
  <c r="M31" i="27"/>
  <c r="M32" i="27" s="1"/>
  <c r="N36" i="30"/>
  <c r="J18" i="29"/>
  <c r="J25" i="28"/>
  <c r="L10" i="28"/>
  <c r="L31" i="28" s="1"/>
  <c r="K17" i="29"/>
  <c r="L10" i="30"/>
  <c r="L31" i="30" s="1"/>
  <c r="K16" i="29"/>
  <c r="J18" i="28"/>
  <c r="J19" i="29"/>
  <c r="J47" i="29" s="1"/>
  <c r="J48" i="29" s="1"/>
  <c r="J25" i="30"/>
  <c r="K17" i="30"/>
  <c r="J20" i="30"/>
  <c r="J19" i="30"/>
  <c r="J47" i="30" s="1"/>
  <c r="J48" i="30" s="1"/>
  <c r="K17" i="28"/>
  <c r="K16" i="28"/>
  <c r="J20" i="28"/>
  <c r="K16" i="30"/>
  <c r="J20" i="29"/>
  <c r="J18" i="30"/>
  <c r="J19" i="28"/>
  <c r="J47" i="28" s="1"/>
  <c r="J48" i="28" s="1"/>
  <c r="J25" i="29"/>
  <c r="L10" i="29"/>
  <c r="L31" i="29" s="1"/>
  <c r="L32" i="29" s="1"/>
  <c r="O15" i="32"/>
  <c r="O8" i="32"/>
  <c r="O22" i="32"/>
  <c r="O26" i="32"/>
  <c r="O20" i="32"/>
  <c r="O25" i="32"/>
  <c r="O17" i="32"/>
  <c r="O29" i="32"/>
  <c r="O23" i="32"/>
  <c r="O27" i="32"/>
  <c r="O21" i="32"/>
  <c r="O18" i="32"/>
  <c r="O24" i="32"/>
  <c r="O16" i="32"/>
  <c r="O19" i="32"/>
  <c r="O28" i="32"/>
  <c r="O10" i="32"/>
  <c r="O54" i="32"/>
  <c r="O62" i="32"/>
  <c r="O55" i="32"/>
  <c r="O63" i="32"/>
  <c r="O60" i="32"/>
  <c r="O57" i="32"/>
  <c r="O67" i="32"/>
  <c r="O64" i="32"/>
  <c r="O59" i="32"/>
  <c r="O61" i="32"/>
  <c r="O56" i="32"/>
  <c r="O66" i="32"/>
  <c r="O53" i="32"/>
  <c r="O65" i="32"/>
  <c r="O58" i="32"/>
  <c r="P2" i="32"/>
  <c r="P4" i="32"/>
  <c r="P3" i="32"/>
  <c r="K47" i="27"/>
  <c r="K48" i="27" s="1"/>
  <c r="O9" i="32"/>
  <c r="O41" i="32"/>
  <c r="O34" i="32"/>
  <c r="O42" i="32"/>
  <c r="O43" i="32"/>
  <c r="O38" i="32"/>
  <c r="O48" i="32"/>
  <c r="O35" i="32"/>
  <c r="O45" i="32"/>
  <c r="O40" i="32"/>
  <c r="O44" i="32"/>
  <c r="O37" i="32"/>
  <c r="O47" i="32"/>
  <c r="O39" i="32"/>
  <c r="O36" i="32"/>
  <c r="O46" i="32"/>
  <c r="O34" i="29"/>
  <c r="O34" i="30"/>
  <c r="N40" i="28"/>
  <c r="O34" i="28"/>
  <c r="O15" i="28"/>
  <c r="O37" i="28" s="1"/>
  <c r="O38" i="28" s="1"/>
  <c r="P7" i="28"/>
  <c r="O9" i="30"/>
  <c r="P8" i="29"/>
  <c r="R8" i="29" s="1"/>
  <c r="O11" i="30"/>
  <c r="O35" i="30" s="1"/>
  <c r="O14" i="29"/>
  <c r="O39" i="29" s="1"/>
  <c r="O40" i="29" s="1"/>
  <c r="O15" i="30"/>
  <c r="O37" i="30" s="1"/>
  <c r="P7" i="29"/>
  <c r="O9" i="29"/>
  <c r="P8" i="30"/>
  <c r="R8" i="30" s="1"/>
  <c r="P7" i="30"/>
  <c r="O9" i="28"/>
  <c r="O11" i="29"/>
  <c r="O35" i="29" s="1"/>
  <c r="O14" i="30"/>
  <c r="O39" i="30" s="1"/>
  <c r="O40" i="30" s="1"/>
  <c r="O15" i="29"/>
  <c r="O37" i="29" s="1"/>
  <c r="O38" i="29" s="1"/>
  <c r="P8" i="28"/>
  <c r="R8" i="28" s="1"/>
  <c r="O11" i="28"/>
  <c r="O35" i="28" s="1"/>
  <c r="O14" i="28"/>
  <c r="O39" i="28" s="1"/>
  <c r="R9" i="27"/>
  <c r="P43" i="30"/>
  <c r="R5" i="30"/>
  <c r="P39" i="27"/>
  <c r="R39" i="27" s="1"/>
  <c r="R14" i="27"/>
  <c r="P43" i="29"/>
  <c r="R43" i="29" s="1"/>
  <c r="R5" i="29"/>
  <c r="P41" i="30"/>
  <c r="R3" i="30"/>
  <c r="P35" i="27"/>
  <c r="R35" i="27" s="1"/>
  <c r="R11" i="27"/>
  <c r="P43" i="28"/>
  <c r="R5" i="28"/>
  <c r="P41" i="28"/>
  <c r="R3" i="28"/>
  <c r="R15" i="27"/>
  <c r="P34" i="27"/>
  <c r="R34" i="27" s="1"/>
  <c r="P41" i="29"/>
  <c r="R3" i="29"/>
  <c r="M16" i="30" a="1"/>
  <c r="M16" i="29" a="1"/>
  <c r="M16" i="28" a="1"/>
  <c r="M17" i="30" a="1"/>
  <c r="M17" i="29" a="1"/>
  <c r="M17" i="28" a="1"/>
  <c r="K25" i="28" a="1"/>
  <c r="K18" i="30" a="1"/>
  <c r="L17" i="29" a="1"/>
  <c r="K19" i="30" a="1"/>
  <c r="P14" i="29" a="1"/>
  <c r="P9" i="29" a="1"/>
  <c r="P11" i="29" a="1"/>
  <c r="P11" i="30" a="1"/>
  <c r="P15" i="28" a="1"/>
  <c r="K20" i="28" a="1"/>
  <c r="L17" i="28" a="1"/>
  <c r="P15" i="30" a="1"/>
  <c r="K20" i="29" a="1"/>
  <c r="K18" i="29" a="1"/>
  <c r="L16" i="30" a="1"/>
  <c r="K19" i="29" a="1"/>
  <c r="P15" i="29" a="1"/>
  <c r="P14" i="28" a="1"/>
  <c r="P9" i="28" a="1"/>
  <c r="P11" i="28" a="1"/>
  <c r="K25" i="30" a="1"/>
  <c r="K18" i="28" a="1"/>
  <c r="L16" i="29" a="1"/>
  <c r="K19" i="28" a="1"/>
  <c r="P9" i="30" a="1"/>
  <c r="K25" i="29" a="1"/>
  <c r="K20" i="30" a="1"/>
  <c r="L17" i="30" a="1"/>
  <c r="L16" i="28" a="1"/>
  <c r="P14" i="30" a="1"/>
  <c r="J11" i="31" l="1"/>
  <c r="J13" i="31"/>
  <c r="J15" i="31"/>
  <c r="J12" i="31"/>
  <c r="J16" i="31"/>
  <c r="J14" i="31"/>
  <c r="J10" i="31"/>
  <c r="R43" i="30"/>
  <c r="L32" i="30"/>
  <c r="M32" i="30" s="1"/>
  <c r="O38" i="30"/>
  <c r="M32" i="29"/>
  <c r="O36" i="29"/>
  <c r="O36" i="28"/>
  <c r="L32" i="28"/>
  <c r="M32" i="28" s="1"/>
  <c r="O36" i="30"/>
  <c r="M17" i="28"/>
  <c r="M17" i="29"/>
  <c r="M17" i="30"/>
  <c r="M16" i="28"/>
  <c r="M16" i="29"/>
  <c r="M16" i="30"/>
  <c r="O10" i="27"/>
  <c r="M19" i="27"/>
  <c r="M20" i="27"/>
  <c r="N16" i="27"/>
  <c r="N17" i="27"/>
  <c r="M18" i="27"/>
  <c r="M25" i="27"/>
  <c r="O40" i="28"/>
  <c r="L16" i="28"/>
  <c r="L17" i="30"/>
  <c r="K20" i="30"/>
  <c r="K25" i="29"/>
  <c r="K19" i="28"/>
  <c r="K47" i="28" s="1"/>
  <c r="K48" i="28" s="1"/>
  <c r="L16" i="29"/>
  <c r="K18" i="28"/>
  <c r="K25" i="30"/>
  <c r="K19" i="29"/>
  <c r="K47" i="29" s="1"/>
  <c r="K48" i="29" s="1"/>
  <c r="L16" i="30"/>
  <c r="K18" i="29"/>
  <c r="K20" i="29"/>
  <c r="L17" i="28"/>
  <c r="K20" i="28"/>
  <c r="K19" i="30"/>
  <c r="K47" i="30" s="1"/>
  <c r="K48" i="30" s="1"/>
  <c r="L17" i="29"/>
  <c r="K18" i="30"/>
  <c r="K25" i="28"/>
  <c r="P67" i="32"/>
  <c r="R67" i="32" s="1"/>
  <c r="P10" i="32"/>
  <c r="P63" i="32"/>
  <c r="R63" i="32" s="1"/>
  <c r="P54" i="32"/>
  <c r="R54" i="32" s="1"/>
  <c r="P53" i="32"/>
  <c r="R53" i="32" s="1"/>
  <c r="S53" i="32" s="1"/>
  <c r="P56" i="32"/>
  <c r="R56" i="32" s="1"/>
  <c r="P57" i="32"/>
  <c r="R57" i="32" s="1"/>
  <c r="P64" i="32"/>
  <c r="R64" i="32" s="1"/>
  <c r="P55" i="32"/>
  <c r="R55" i="32" s="1"/>
  <c r="P59" i="32"/>
  <c r="R59" i="32" s="1"/>
  <c r="P62" i="32"/>
  <c r="R62" i="32" s="1"/>
  <c r="P60" i="32"/>
  <c r="R60" i="32" s="1"/>
  <c r="P66" i="32"/>
  <c r="R66" i="32" s="1"/>
  <c r="P61" i="32"/>
  <c r="R61" i="32" s="1"/>
  <c r="P58" i="32"/>
  <c r="R58" i="32" s="1"/>
  <c r="S58" i="32" s="1"/>
  <c r="P65" i="32"/>
  <c r="R65" i="32" s="1"/>
  <c r="S65" i="32" s="1"/>
  <c r="L47" i="27"/>
  <c r="L48" i="27" s="1"/>
  <c r="P42" i="32"/>
  <c r="R42" i="32" s="1"/>
  <c r="P9" i="32"/>
  <c r="P34" i="32"/>
  <c r="R34" i="32" s="1"/>
  <c r="S34" i="32" s="1"/>
  <c r="P41" i="32"/>
  <c r="R41" i="32" s="1"/>
  <c r="P43" i="32"/>
  <c r="R43" i="32" s="1"/>
  <c r="S43" i="32" s="1"/>
  <c r="P38" i="32"/>
  <c r="R38" i="32" s="1"/>
  <c r="P39" i="32"/>
  <c r="R39" i="32" s="1"/>
  <c r="P44" i="32"/>
  <c r="R44" i="32" s="1"/>
  <c r="P45" i="32"/>
  <c r="R45" i="32" s="1"/>
  <c r="P48" i="32"/>
  <c r="R48" i="32" s="1"/>
  <c r="P47" i="32"/>
  <c r="R47" i="32" s="1"/>
  <c r="P40" i="32"/>
  <c r="R40" i="32" s="1"/>
  <c r="P35" i="32"/>
  <c r="R35" i="32" s="1"/>
  <c r="P46" i="32"/>
  <c r="R46" i="32" s="1"/>
  <c r="P37" i="32"/>
  <c r="R37" i="32" s="1"/>
  <c r="P36" i="32"/>
  <c r="R36" i="32" s="1"/>
  <c r="N31" i="27"/>
  <c r="N32" i="27" s="1"/>
  <c r="P15" i="32"/>
  <c r="R15" i="32" s="1"/>
  <c r="S15" i="32" s="1"/>
  <c r="P8" i="32"/>
  <c r="P28" i="32"/>
  <c r="R28" i="32" s="1"/>
  <c r="P27" i="32"/>
  <c r="R27" i="32" s="1"/>
  <c r="P29" i="32"/>
  <c r="R29" i="32" s="1"/>
  <c r="P25" i="32"/>
  <c r="R25" i="32" s="1"/>
  <c r="P17" i="32"/>
  <c r="R17" i="32" s="1"/>
  <c r="P20" i="32"/>
  <c r="R20" i="32" s="1"/>
  <c r="P26" i="32"/>
  <c r="R26" i="32" s="1"/>
  <c r="P24" i="32"/>
  <c r="R24" i="32" s="1"/>
  <c r="P23" i="32"/>
  <c r="R23" i="32" s="1"/>
  <c r="P16" i="32"/>
  <c r="R16" i="32" s="1"/>
  <c r="P22" i="32"/>
  <c r="R22" i="32" s="1"/>
  <c r="P21" i="32"/>
  <c r="R21" i="32" s="1"/>
  <c r="P19" i="32"/>
  <c r="R19" i="32" s="1"/>
  <c r="P18" i="32"/>
  <c r="R18" i="32" s="1"/>
  <c r="P44" i="30"/>
  <c r="R44" i="30" s="1"/>
  <c r="P11" i="28"/>
  <c r="P14" i="30"/>
  <c r="P39" i="30" s="1"/>
  <c r="R39" i="30" s="1"/>
  <c r="P15" i="28"/>
  <c r="P11" i="30"/>
  <c r="P9" i="28"/>
  <c r="P15" i="30"/>
  <c r="P11" i="29"/>
  <c r="P14" i="28"/>
  <c r="P9" i="29"/>
  <c r="P15" i="29"/>
  <c r="P14" i="29"/>
  <c r="P39" i="29" s="1"/>
  <c r="P9" i="30"/>
  <c r="R41" i="28"/>
  <c r="P42" i="28"/>
  <c r="R42" i="28" s="1"/>
  <c r="R41" i="29"/>
  <c r="P42" i="29"/>
  <c r="R42" i="29" s="1"/>
  <c r="R43" i="28"/>
  <c r="P44" i="28"/>
  <c r="R44" i="28" s="1"/>
  <c r="P40" i="27"/>
  <c r="R40" i="27" s="1"/>
  <c r="P33" i="29"/>
  <c r="R7" i="29"/>
  <c r="P33" i="28"/>
  <c r="R7" i="28"/>
  <c r="R41" i="30"/>
  <c r="P42" i="30"/>
  <c r="R42" i="30" s="1"/>
  <c r="P44" i="29"/>
  <c r="R44" i="29" s="1"/>
  <c r="P36" i="27"/>
  <c r="R36" i="27" s="1"/>
  <c r="P33" i="30"/>
  <c r="R7" i="30"/>
  <c r="M20" i="28" a="1"/>
  <c r="M20" i="29" a="1"/>
  <c r="M20" i="30" a="1"/>
  <c r="M25" i="28" a="1"/>
  <c r="M25" i="29" a="1"/>
  <c r="M25" i="30" a="1"/>
  <c r="M19" i="28" a="1"/>
  <c r="M19" i="30" a="1"/>
  <c r="M19" i="29" a="1"/>
  <c r="M18" i="29" a="1"/>
  <c r="M18" i="28" a="1"/>
  <c r="M18" i="30" a="1"/>
  <c r="L18" i="29" a="1"/>
  <c r="L20" i="29" a="1"/>
  <c r="L19" i="29" a="1"/>
  <c r="N10" i="28" a="1"/>
  <c r="L25" i="30" a="1"/>
  <c r="N10" i="29" a="1"/>
  <c r="L25" i="28" a="1"/>
  <c r="L18" i="28" a="1"/>
  <c r="L19" i="30" a="1"/>
  <c r="N10" i="30" a="1"/>
  <c r="L20" i="30" a="1"/>
  <c r="L19" i="28" a="1"/>
  <c r="L18" i="30" a="1"/>
  <c r="L20" i="28" a="1"/>
  <c r="L25" i="29" a="1"/>
  <c r="P40" i="30" l="1"/>
  <c r="R40" i="30" s="1"/>
  <c r="P40" i="29"/>
  <c r="R40" i="29" s="1"/>
  <c r="R39" i="29"/>
  <c r="K12" i="31"/>
  <c r="K14" i="31"/>
  <c r="K16" i="31"/>
  <c r="K11" i="31"/>
  <c r="K15" i="31"/>
  <c r="K13" i="31"/>
  <c r="R15" i="30"/>
  <c r="P37" i="30"/>
  <c r="R15" i="29"/>
  <c r="P37" i="29"/>
  <c r="R15" i="28"/>
  <c r="P37" i="28"/>
  <c r="S61" i="32"/>
  <c r="S55" i="32"/>
  <c r="S46" i="32"/>
  <c r="S45" i="32"/>
  <c r="S42" i="32"/>
  <c r="S56" i="32"/>
  <c r="S37" i="32"/>
  <c r="M18" i="30"/>
  <c r="M18" i="28"/>
  <c r="M18" i="29"/>
  <c r="M19" i="29"/>
  <c r="M47" i="29" s="1"/>
  <c r="M19" i="30"/>
  <c r="M47" i="30" s="1"/>
  <c r="M19" i="28"/>
  <c r="M47" i="28" s="1"/>
  <c r="M25" i="30"/>
  <c r="M25" i="29"/>
  <c r="M25" i="28"/>
  <c r="M20" i="30"/>
  <c r="M20" i="29"/>
  <c r="M20" i="28"/>
  <c r="S19" i="32"/>
  <c r="S23" i="32"/>
  <c r="S17" i="32"/>
  <c r="S28" i="32"/>
  <c r="S66" i="32"/>
  <c r="M47" i="27"/>
  <c r="M48" i="27" s="1"/>
  <c r="S21" i="32"/>
  <c r="P10" i="27"/>
  <c r="S47" i="32"/>
  <c r="S39" i="32"/>
  <c r="S64" i="32"/>
  <c r="N20" i="27"/>
  <c r="N19" i="27"/>
  <c r="O16" i="27"/>
  <c r="O17" i="27"/>
  <c r="N18" i="27"/>
  <c r="N25" i="27"/>
  <c r="S59" i="32"/>
  <c r="L25" i="29"/>
  <c r="L20" i="28"/>
  <c r="L18" i="30"/>
  <c r="L19" i="28"/>
  <c r="L47" i="28" s="1"/>
  <c r="L48" i="28" s="1"/>
  <c r="L20" i="30"/>
  <c r="N10" i="30"/>
  <c r="N31" i="30" s="1"/>
  <c r="L19" i="30"/>
  <c r="L47" i="30" s="1"/>
  <c r="L48" i="30" s="1"/>
  <c r="L18" i="28"/>
  <c r="L25" i="28"/>
  <c r="N10" i="29"/>
  <c r="N31" i="29" s="1"/>
  <c r="N32" i="29" s="1"/>
  <c r="L25" i="30"/>
  <c r="N10" i="28"/>
  <c r="N31" i="28" s="1"/>
  <c r="L19" i="29"/>
  <c r="L47" i="29" s="1"/>
  <c r="L48" i="29" s="1"/>
  <c r="L20" i="29"/>
  <c r="L18" i="29"/>
  <c r="S24" i="32"/>
  <c r="S38" i="32"/>
  <c r="S67" i="32"/>
  <c r="O31" i="27"/>
  <c r="O32" i="27" s="1"/>
  <c r="S22" i="32"/>
  <c r="S26" i="32"/>
  <c r="S29" i="32"/>
  <c r="S35" i="32"/>
  <c r="S60" i="32"/>
  <c r="S54" i="32"/>
  <c r="S25" i="32"/>
  <c r="S48" i="32"/>
  <c r="R10" i="27"/>
  <c r="S18" i="32"/>
  <c r="S16" i="32"/>
  <c r="S20" i="32"/>
  <c r="S27" i="32"/>
  <c r="S36" i="32"/>
  <c r="S40" i="32"/>
  <c r="S44" i="32"/>
  <c r="S41" i="32"/>
  <c r="S62" i="32"/>
  <c r="S57" i="32"/>
  <c r="S63" i="32"/>
  <c r="P39" i="28"/>
  <c r="R14" i="28"/>
  <c r="R9" i="28"/>
  <c r="P35" i="28"/>
  <c r="R11" i="28"/>
  <c r="R9" i="30"/>
  <c r="R33" i="28"/>
  <c r="P34" i="28"/>
  <c r="R34" i="28" s="1"/>
  <c r="R14" i="30"/>
  <c r="R33" i="30"/>
  <c r="P34" i="30"/>
  <c r="R34" i="30" s="1"/>
  <c r="R33" i="29"/>
  <c r="P34" i="29"/>
  <c r="R34" i="29" s="1"/>
  <c r="R14" i="29"/>
  <c r="R9" i="29"/>
  <c r="P35" i="29"/>
  <c r="R11" i="29"/>
  <c r="P35" i="30"/>
  <c r="R11" i="30"/>
  <c r="O10" i="29" a="1"/>
  <c r="N17" i="29" a="1"/>
  <c r="N17" i="30" a="1"/>
  <c r="N17" i="28" a="1"/>
  <c r="N16" i="30" a="1"/>
  <c r="O10" i="30" a="1"/>
  <c r="N16" i="28" a="1"/>
  <c r="N16" i="29" a="1"/>
  <c r="O10" i="28" a="1"/>
  <c r="L12" i="31" l="1"/>
  <c r="L14" i="31"/>
  <c r="L16" i="31"/>
  <c r="L13" i="31"/>
  <c r="L15" i="31"/>
  <c r="M13" i="31"/>
  <c r="M15" i="31"/>
  <c r="M14" i="31"/>
  <c r="M16" i="31"/>
  <c r="N32" i="30"/>
  <c r="P38" i="30"/>
  <c r="R38" i="30" s="1"/>
  <c r="R37" i="30"/>
  <c r="R37" i="29"/>
  <c r="P38" i="29"/>
  <c r="R38" i="29" s="1"/>
  <c r="N32" i="28"/>
  <c r="R37" i="28"/>
  <c r="P38" i="28"/>
  <c r="M48" i="28"/>
  <c r="M48" i="30"/>
  <c r="O18" i="27"/>
  <c r="O25" i="27"/>
  <c r="O20" i="27"/>
  <c r="O19" i="27"/>
  <c r="M48" i="29"/>
  <c r="P17" i="27"/>
  <c r="P16" i="27"/>
  <c r="O10" i="28"/>
  <c r="O31" i="28" s="1"/>
  <c r="N16" i="29"/>
  <c r="N16" i="28"/>
  <c r="O10" i="30"/>
  <c r="O31" i="30" s="1"/>
  <c r="N16" i="30"/>
  <c r="N17" i="28"/>
  <c r="N17" i="30"/>
  <c r="N17" i="29"/>
  <c r="O10" i="29"/>
  <c r="O31" i="29" s="1"/>
  <c r="O32" i="29" s="1"/>
  <c r="P31" i="27"/>
  <c r="R31" i="27" s="1"/>
  <c r="N47" i="27"/>
  <c r="N48" i="27" s="1"/>
  <c r="R35" i="29"/>
  <c r="P36" i="29"/>
  <c r="R36" i="29" s="1"/>
  <c r="R65" i="29"/>
  <c r="R66" i="29"/>
  <c r="R65" i="30"/>
  <c r="R66" i="30"/>
  <c r="R35" i="28"/>
  <c r="P36" i="28"/>
  <c r="R36" i="28" s="1"/>
  <c r="R39" i="28"/>
  <c r="P40" i="28"/>
  <c r="R40" i="28" s="1"/>
  <c r="R35" i="30"/>
  <c r="P36" i="30"/>
  <c r="R36" i="30" s="1"/>
  <c r="N20" i="28" a="1"/>
  <c r="N19" i="30" a="1"/>
  <c r="N25" i="29" a="1"/>
  <c r="O17" i="29" a="1"/>
  <c r="P10" i="28" a="1"/>
  <c r="N19" i="28" a="1"/>
  <c r="N25" i="28" a="1"/>
  <c r="O17" i="30" a="1"/>
  <c r="P10" i="30" a="1"/>
  <c r="P10" i="29" a="1"/>
  <c r="O16" i="29" a="1"/>
  <c r="O16" i="30" a="1"/>
  <c r="N18" i="30" a="1"/>
  <c r="N20" i="30" a="1"/>
  <c r="N18" i="28" a="1"/>
  <c r="N20" i="29" a="1"/>
  <c r="O17" i="28" a="1"/>
  <c r="N19" i="29" a="1"/>
  <c r="N25" i="30" a="1"/>
  <c r="N18" i="29" a="1"/>
  <c r="O16" i="28" a="1"/>
  <c r="O32" i="30" l="1"/>
  <c r="O32" i="28"/>
  <c r="R38" i="28"/>
  <c r="P32" i="27"/>
  <c r="R32" i="27" s="1"/>
  <c r="P25" i="27"/>
  <c r="P18" i="27"/>
  <c r="P20" i="27"/>
  <c r="P19" i="27"/>
  <c r="O16" i="28"/>
  <c r="N18" i="29"/>
  <c r="N25" i="30"/>
  <c r="N19" i="29"/>
  <c r="N47" i="29" s="1"/>
  <c r="N48" i="29" s="1"/>
  <c r="O17" i="28"/>
  <c r="N20" i="29"/>
  <c r="N18" i="28"/>
  <c r="N20" i="30"/>
  <c r="N18" i="30"/>
  <c r="O16" i="30"/>
  <c r="O16" i="29"/>
  <c r="P10" i="29"/>
  <c r="P10" i="30"/>
  <c r="O17" i="30"/>
  <c r="N25" i="28"/>
  <c r="N19" i="28"/>
  <c r="N47" i="28" s="1"/>
  <c r="N48" i="28" s="1"/>
  <c r="P10" i="28"/>
  <c r="O17" i="29"/>
  <c r="N25" i="29"/>
  <c r="N19" i="30"/>
  <c r="N47" i="30" s="1"/>
  <c r="N48" i="30" s="1"/>
  <c r="N20" i="28"/>
  <c r="R17" i="27"/>
  <c r="R16" i="27"/>
  <c r="O47" i="27"/>
  <c r="O48" i="27" s="1"/>
  <c r="O18" i="30" a="1"/>
  <c r="P17" i="30" a="1"/>
  <c r="O20" i="29" a="1"/>
  <c r="O25" i="29" a="1"/>
  <c r="P16" i="30" a="1"/>
  <c r="O19" i="29" a="1"/>
  <c r="P16" i="29" a="1"/>
  <c r="O25" i="28" a="1"/>
  <c r="O19" i="28" a="1"/>
  <c r="O18" i="29" a="1"/>
  <c r="P17" i="28" a="1"/>
  <c r="O20" i="28" a="1"/>
  <c r="O19" i="30" a="1"/>
  <c r="O25" i="30" a="1"/>
  <c r="P16" i="28" a="1"/>
  <c r="O18" i="28" a="1"/>
  <c r="P17" i="29" a="1"/>
  <c r="O20" i="30" a="1"/>
  <c r="N15" i="31" l="1"/>
  <c r="N14" i="31"/>
  <c r="N16" i="31"/>
  <c r="O20" i="30"/>
  <c r="P17" i="29"/>
  <c r="R17" i="29" s="1"/>
  <c r="O18" i="28"/>
  <c r="P16" i="28"/>
  <c r="R16" i="28" s="1"/>
  <c r="O25" i="30"/>
  <c r="O19" i="30"/>
  <c r="O47" i="30" s="1"/>
  <c r="O48" i="30" s="1"/>
  <c r="O20" i="28"/>
  <c r="P17" i="28"/>
  <c r="R17" i="28" s="1"/>
  <c r="O18" i="29"/>
  <c r="O19" i="28"/>
  <c r="O47" i="28" s="1"/>
  <c r="O48" i="28" s="1"/>
  <c r="O25" i="28"/>
  <c r="P16" i="29"/>
  <c r="R16" i="29" s="1"/>
  <c r="O19" i="29"/>
  <c r="O47" i="29" s="1"/>
  <c r="O48" i="29" s="1"/>
  <c r="P16" i="30"/>
  <c r="R16" i="30" s="1"/>
  <c r="O25" i="29"/>
  <c r="O20" i="29"/>
  <c r="P17" i="30"/>
  <c r="R17" i="30" s="1"/>
  <c r="O18" i="30"/>
  <c r="R25" i="27"/>
  <c r="R10" i="28"/>
  <c r="P31" i="28"/>
  <c r="R18" i="27"/>
  <c r="R10" i="29"/>
  <c r="P31" i="29"/>
  <c r="R20" i="27"/>
  <c r="R19" i="27"/>
  <c r="P47" i="27"/>
  <c r="R47" i="27" s="1"/>
  <c r="R10" i="30"/>
  <c r="P31" i="30"/>
  <c r="P25" i="28" a="1"/>
  <c r="P18" i="28" a="1"/>
  <c r="P19" i="28" a="1"/>
  <c r="P25" i="30" a="1"/>
  <c r="P18" i="29" a="1"/>
  <c r="P20" i="28" a="1"/>
  <c r="P25" i="29" a="1"/>
  <c r="P20" i="29" a="1"/>
  <c r="P19" i="29" a="1"/>
  <c r="P18" i="30" a="1"/>
  <c r="P20" i="30" a="1"/>
  <c r="P19" i="30" a="1"/>
  <c r="O16" i="31" l="1"/>
  <c r="O15" i="31"/>
  <c r="P19" i="30"/>
  <c r="P20" i="30"/>
  <c r="R20" i="30" s="1"/>
  <c r="P18" i="30"/>
  <c r="P19" i="29"/>
  <c r="P20" i="29"/>
  <c r="R20" i="29" s="1"/>
  <c r="P25" i="29"/>
  <c r="R25" i="29" s="1"/>
  <c r="P20" i="28"/>
  <c r="R20" i="28" s="1"/>
  <c r="P18" i="29"/>
  <c r="R18" i="29" s="1"/>
  <c r="P25" i="30"/>
  <c r="P19" i="28"/>
  <c r="P18" i="28"/>
  <c r="R18" i="28" s="1"/>
  <c r="P25" i="28"/>
  <c r="R25" i="28" s="1"/>
  <c r="P48" i="27"/>
  <c r="R48" i="27" s="1"/>
  <c r="R31" i="29"/>
  <c r="P32" i="29"/>
  <c r="R32" i="29" s="1"/>
  <c r="R31" i="28"/>
  <c r="P32" i="28"/>
  <c r="R32" i="28" s="1"/>
  <c r="R31" i="30"/>
  <c r="P32" i="30"/>
  <c r="R32" i="30" s="1"/>
  <c r="R6" i="31" l="1"/>
  <c r="F46" i="30" s="1"/>
  <c r="R8" i="31"/>
  <c r="H46" i="30" s="1"/>
  <c r="R14" i="31"/>
  <c r="N46" i="30" s="1"/>
  <c r="P16" i="31"/>
  <c r="R16" i="31" s="1"/>
  <c r="P46" i="30" s="1"/>
  <c r="R7" i="31"/>
  <c r="G46" i="30" s="1"/>
  <c r="R5" i="31"/>
  <c r="E46" i="30" s="1"/>
  <c r="R13" i="31"/>
  <c r="M46" i="30" s="1"/>
  <c r="R25" i="30"/>
  <c r="R4" i="31"/>
  <c r="D46" i="30" s="1"/>
  <c r="R10" i="31"/>
  <c r="J46" i="30" s="1"/>
  <c r="R12" i="31"/>
  <c r="L46" i="30" s="1"/>
  <c r="R2" i="31"/>
  <c r="B46" i="30" s="1"/>
  <c r="B45" i="30" s="1"/>
  <c r="B26" i="30" s="1"/>
  <c r="B26" i="27" s="1"/>
  <c r="B26" i="29" s="1"/>
  <c r="R15" i="31"/>
  <c r="O46" i="30" s="1"/>
  <c r="R3" i="31"/>
  <c r="C46" i="30" s="1"/>
  <c r="R11" i="31"/>
  <c r="K46" i="30" s="1"/>
  <c r="R9" i="31"/>
  <c r="I46" i="30" s="1"/>
  <c r="R18" i="30"/>
  <c r="P47" i="28"/>
  <c r="R19" i="28"/>
  <c r="P47" i="30"/>
  <c r="R19" i="30"/>
  <c r="P47" i="29"/>
  <c r="R19" i="29"/>
  <c r="I45" i="30" l="1"/>
  <c r="I26" i="30" s="1"/>
  <c r="I26" i="27" s="1"/>
  <c r="I26" i="29" s="1"/>
  <c r="M45" i="30"/>
  <c r="M26" i="30" s="1"/>
  <c r="M49" i="30" s="1"/>
  <c r="G45" i="30"/>
  <c r="G26" i="30" s="1"/>
  <c r="G26" i="27" s="1"/>
  <c r="G26" i="29" s="1"/>
  <c r="C45" i="30"/>
  <c r="C26" i="30" s="1"/>
  <c r="C26" i="27" s="1"/>
  <c r="C26" i="29" s="1"/>
  <c r="J45" i="30"/>
  <c r="J26" i="30" s="1"/>
  <c r="J26" i="27" s="1"/>
  <c r="J26" i="29" s="1"/>
  <c r="N45" i="30"/>
  <c r="N26" i="30" s="1"/>
  <c r="H45" i="30"/>
  <c r="H26" i="30" s="1"/>
  <c r="L45" i="30"/>
  <c r="L26" i="30" s="1"/>
  <c r="L26" i="27" s="1"/>
  <c r="L26" i="29" s="1"/>
  <c r="B49" i="30"/>
  <c r="B45" i="29"/>
  <c r="B46" i="29" s="1"/>
  <c r="F45" i="30"/>
  <c r="F26" i="30" s="1"/>
  <c r="F26" i="27" s="1"/>
  <c r="F26" i="29" s="1"/>
  <c r="D45" i="30"/>
  <c r="D26" i="30" s="1"/>
  <c r="D26" i="27" s="1"/>
  <c r="D26" i="29" s="1"/>
  <c r="I45" i="29"/>
  <c r="O45" i="30"/>
  <c r="O26" i="30" s="1"/>
  <c r="O26" i="27" s="1"/>
  <c r="O26" i="29" s="1"/>
  <c r="K45" i="30"/>
  <c r="K26" i="30" s="1"/>
  <c r="K26" i="27" s="1"/>
  <c r="K26" i="29" s="1"/>
  <c r="E45" i="30"/>
  <c r="E26" i="30" s="1"/>
  <c r="E26" i="27" s="1"/>
  <c r="E26" i="29" s="1"/>
  <c r="R47" i="29"/>
  <c r="P48" i="29"/>
  <c r="R48" i="29" s="1"/>
  <c r="R47" i="30"/>
  <c r="P48" i="30"/>
  <c r="R48" i="30" s="1"/>
  <c r="R46" i="30"/>
  <c r="P45" i="30"/>
  <c r="P48" i="28"/>
  <c r="R48" i="28" s="1"/>
  <c r="R47" i="28"/>
  <c r="C26" i="28" a="1"/>
  <c r="G26" i="28" a="1"/>
  <c r="I26" i="28" a="1"/>
  <c r="B26" i="28" a="1"/>
  <c r="J26" i="28" a="1"/>
  <c r="L26" i="28" a="1"/>
  <c r="I49" i="30" l="1"/>
  <c r="B50" i="30"/>
  <c r="G45" i="29"/>
  <c r="C45" i="29"/>
  <c r="C46" i="29" s="1"/>
  <c r="C49" i="30"/>
  <c r="H49" i="30"/>
  <c r="H26" i="27"/>
  <c r="H26" i="29" s="1"/>
  <c r="N45" i="29"/>
  <c r="N26" i="27"/>
  <c r="M45" i="29"/>
  <c r="M26" i="27"/>
  <c r="H45" i="29"/>
  <c r="J49" i="30"/>
  <c r="L49" i="30"/>
  <c r="J45" i="29"/>
  <c r="G49" i="30"/>
  <c r="N49" i="30"/>
  <c r="L45" i="29"/>
  <c r="L26" i="28"/>
  <c r="L49" i="28" s="1"/>
  <c r="L49" i="29"/>
  <c r="J49" i="29"/>
  <c r="J26" i="28"/>
  <c r="J49" i="28" s="1"/>
  <c r="B26" i="28"/>
  <c r="B49" i="28" s="1"/>
  <c r="B49" i="29"/>
  <c r="B50" i="29" s="1"/>
  <c r="I26" i="28"/>
  <c r="I49" i="28" s="1"/>
  <c r="I49" i="29"/>
  <c r="G26" i="28"/>
  <c r="G49" i="28" s="1"/>
  <c r="G49" i="29"/>
  <c r="C49" i="29"/>
  <c r="C26" i="28"/>
  <c r="C49" i="28" s="1"/>
  <c r="K45" i="29"/>
  <c r="K49" i="30"/>
  <c r="L49" i="27"/>
  <c r="L45" i="27"/>
  <c r="F49" i="30"/>
  <c r="F45" i="29"/>
  <c r="J49" i="27"/>
  <c r="J45" i="27"/>
  <c r="E49" i="30"/>
  <c r="E45" i="29"/>
  <c r="O45" i="29"/>
  <c r="O49" i="30"/>
  <c r="D49" i="30"/>
  <c r="D45" i="29"/>
  <c r="B45" i="27"/>
  <c r="B46" i="27" s="1"/>
  <c r="B49" i="27"/>
  <c r="B50" i="27" s="1"/>
  <c r="I49" i="27"/>
  <c r="I45" i="27"/>
  <c r="G49" i="27"/>
  <c r="G45" i="27"/>
  <c r="C45" i="27"/>
  <c r="C49" i="27"/>
  <c r="P26" i="30"/>
  <c r="P26" i="27" s="1"/>
  <c r="P26" i="29" s="1"/>
  <c r="R45" i="30"/>
  <c r="M26" i="28" a="1"/>
  <c r="H26" i="28" a="1"/>
  <c r="N26" i="28" a="1"/>
  <c r="F26" i="28" a="1"/>
  <c r="D26" i="28" a="1"/>
  <c r="K26" i="28" a="1"/>
  <c r="E26" i="28" a="1"/>
  <c r="O26" i="28" a="1"/>
  <c r="N45" i="27" l="1"/>
  <c r="N26" i="29"/>
  <c r="N49" i="29" s="1"/>
  <c r="M45" i="27"/>
  <c r="M26" i="29"/>
  <c r="M49" i="29" s="1"/>
  <c r="C50" i="30"/>
  <c r="D50" i="30" s="1"/>
  <c r="E50" i="30" s="1"/>
  <c r="F50" i="30" s="1"/>
  <c r="G50" i="30" s="1"/>
  <c r="H50" i="30" s="1"/>
  <c r="I50" i="30" s="1"/>
  <c r="B50" i="28"/>
  <c r="C50" i="28" s="1"/>
  <c r="M49" i="27"/>
  <c r="N49" i="27"/>
  <c r="M26" i="28"/>
  <c r="M49" i="28" s="1"/>
  <c r="D46" i="29"/>
  <c r="E46" i="29" s="1"/>
  <c r="F46" i="29" s="1"/>
  <c r="G46" i="29" s="1"/>
  <c r="H46" i="29" s="1"/>
  <c r="I46" i="29" s="1"/>
  <c r="J46" i="29" s="1"/>
  <c r="K46" i="29" s="1"/>
  <c r="L46" i="29" s="1"/>
  <c r="M46" i="29" s="1"/>
  <c r="N46" i="29" s="1"/>
  <c r="O46" i="29" s="1"/>
  <c r="H49" i="29"/>
  <c r="H26" i="28"/>
  <c r="H49" i="28" s="1"/>
  <c r="H45" i="27"/>
  <c r="H49" i="27"/>
  <c r="N26" i="28"/>
  <c r="N49" i="28" s="1"/>
  <c r="O26" i="28"/>
  <c r="O49" i="28" s="1"/>
  <c r="O49" i="29"/>
  <c r="E26" i="28"/>
  <c r="E49" i="28" s="1"/>
  <c r="E49" i="29"/>
  <c r="K26" i="28"/>
  <c r="K49" i="28" s="1"/>
  <c r="K49" i="29"/>
  <c r="D49" i="29"/>
  <c r="D26" i="28"/>
  <c r="D49" i="28" s="1"/>
  <c r="F26" i="28"/>
  <c r="F49" i="28" s="1"/>
  <c r="F49" i="29"/>
  <c r="O45" i="27"/>
  <c r="O49" i="27"/>
  <c r="C50" i="27"/>
  <c r="C46" i="27"/>
  <c r="E49" i="27"/>
  <c r="E45" i="27"/>
  <c r="K49" i="27"/>
  <c r="K45" i="27"/>
  <c r="C50" i="29"/>
  <c r="D45" i="27"/>
  <c r="D49" i="27"/>
  <c r="F49" i="27"/>
  <c r="F45" i="27"/>
  <c r="P49" i="30"/>
  <c r="P45" i="29"/>
  <c r="R26" i="30"/>
  <c r="D50" i="29" l="1"/>
  <c r="E50" i="29" s="1"/>
  <c r="F50" i="29" s="1"/>
  <c r="G50" i="29" s="1"/>
  <c r="H50" i="29" s="1"/>
  <c r="I50" i="29" s="1"/>
  <c r="J50" i="29" s="1"/>
  <c r="K50" i="29" s="1"/>
  <c r="L50" i="29" s="1"/>
  <c r="M50" i="29" s="1"/>
  <c r="N50" i="29" s="1"/>
  <c r="O50" i="29" s="1"/>
  <c r="J50" i="30"/>
  <c r="D46" i="27"/>
  <c r="E46" i="27" s="1"/>
  <c r="F46" i="27" s="1"/>
  <c r="G46" i="27" s="1"/>
  <c r="H46" i="27" s="1"/>
  <c r="I46" i="27" s="1"/>
  <c r="J46" i="27" s="1"/>
  <c r="K46" i="27" s="1"/>
  <c r="L46" i="27" s="1"/>
  <c r="M46" i="27" s="1"/>
  <c r="N46" i="27" s="1"/>
  <c r="O46" i="27" s="1"/>
  <c r="D50" i="27"/>
  <c r="E50" i="27" s="1"/>
  <c r="F50" i="27" s="1"/>
  <c r="G50" i="27" s="1"/>
  <c r="H50" i="27" s="1"/>
  <c r="I50" i="27" s="1"/>
  <c r="J50" i="27" s="1"/>
  <c r="K50" i="27" s="1"/>
  <c r="L50" i="27" s="1"/>
  <c r="M50" i="27" s="1"/>
  <c r="N50" i="27" s="1"/>
  <c r="O50" i="27" s="1"/>
  <c r="D50" i="28"/>
  <c r="E50" i="28" s="1"/>
  <c r="F50" i="28" s="1"/>
  <c r="G50" i="28" s="1"/>
  <c r="P49" i="27"/>
  <c r="R26" i="27"/>
  <c r="P45" i="27"/>
  <c r="R45" i="29"/>
  <c r="P46" i="29"/>
  <c r="R46" i="29" s="1"/>
  <c r="R49" i="30"/>
  <c r="P26" i="28" a="1"/>
  <c r="K50" i="30" l="1"/>
  <c r="H50" i="28"/>
  <c r="P26" i="28"/>
  <c r="P46" i="27"/>
  <c r="R46" i="27" s="1"/>
  <c r="R45" i="27"/>
  <c r="R49" i="27"/>
  <c r="P50" i="27"/>
  <c r="R50" i="27" s="1"/>
  <c r="L50" i="30" l="1"/>
  <c r="I50" i="28"/>
  <c r="R26" i="29"/>
  <c r="P49" i="29"/>
  <c r="P49" i="28"/>
  <c r="R26" i="28"/>
  <c r="M50" i="30" l="1"/>
  <c r="J50" i="28"/>
  <c r="R49" i="28"/>
  <c r="P50" i="29"/>
  <c r="R50" i="29" s="1"/>
  <c r="R49" i="29"/>
  <c r="N50" i="30" l="1"/>
  <c r="K50" i="28"/>
  <c r="O50" i="30" l="1"/>
  <c r="L50" i="28"/>
  <c r="P50" i="30" l="1"/>
  <c r="M50" i="28"/>
  <c r="R50" i="30" l="1"/>
  <c r="N50" i="28"/>
  <c r="O50" i="28" l="1"/>
  <c r="P50" i="28" l="1"/>
  <c r="R50"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tc={92D7D62B-CC24-4F60-8994-F95612AA623A}</author>
  </authors>
  <commentList>
    <comment ref="A1" authorId="0" shapeId="0" xr:uid="{92D7D62B-CC24-4F60-8994-F95612AA623A}">
      <text>
        <t>[Threaded comment]
Your version of Excel allows you to read this threaded comment; however, any edits to it will get removed if the file is opened in a newer version of Excel. Learn more: https://go.microsoft.com/fwlink/?linkid=870924
Comment:
    Used scipy.stats.norm.sf to generate function</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<sst xmlns="http://schemas.openxmlformats.org/spreadsheetml/2006/main" count="2696" uniqueCount="544">
  <si>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</si>
  <si>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</si>
  <si>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</si>
  <si>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</si>
  <si>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</si>
  <si>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</si>
  <si>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</si>
  <si>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</si>
  <si>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</si>
  <si>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</si>
  <si>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</si>
  <si>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</si>
  <si>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</si>
  <si>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</si>
  <si>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</si>
  <si>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</si>
  <si>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</si>
  <si>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</si>
  <si>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</si>
  <si>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</si>
  <si>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</si>
  <si>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</si>
  <si>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</si>
  <si>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</si>
  <si>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</si>
  <si>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</si>
  <si>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</si>
  <si>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</si>
  <si>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</si>
  <si>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</si>
  <si>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</si>
  <si>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</si>
  <si>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</si>
  <si>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</si>
  <si>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</si>
  <si>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</si>
  <si>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</si>
  <si>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</si>
  <si>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</si>
  <si>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</si>
  <si>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</si>
  <si>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</si>
  <si>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</si>
  <si>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</si>
  <si>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</si>
  <si>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</si>
  <si>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</si>
  <si>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</si>
  <si>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</si>
  <si>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</si>
  <si>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</si>
  <si>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</si>
  <si>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</si>
  <si>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</si>
  <si>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</si>
  <si>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</si>
  <si>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</si>
  <si>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</si>
  <si>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</si>
  <si>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</si>
  <si>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</si>
  <si>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</si>
  <si>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</si>
  <si>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Mg</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</si>
  <si>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</si>
  <si>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</si>
  <si>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</si>
  <si>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</si>
  <si>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</si>
  <si>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</si>
  <si>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</si>
  <si>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</si>
  <si>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</si>
  <si>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</si>
  <si>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</si>
  <si>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</si>
  <si>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</si>
  <si>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</si>
  <si>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</si>
  <si>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</si>
  <si>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</si>
  <si>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</si>
  <si>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</si>
  <si>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</si>
  <si>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</si>
  <si>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</si>
  <si>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</si>
  <si>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</si>
  <si>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</si>
  <si>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</si>
  <si>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</si>
  <si>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</si>
  <si>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</si>
  <si>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</si>
  <si>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</si>
  <si>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</si>
  <si>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</si>
  <si>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</si>
  <si>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</si>
  <si>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</si>
  <si>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</si>
  <si>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</si>
  <si>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</si>
  <si>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</si>
  <si>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</si>
  <si>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</si>
  <si>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</si>
  <si>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</si>
  <si>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</si>
  <si>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</si>
  <si>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</si>
  <si>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</si>
  <si>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</si>
  <si>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</si>
  <si>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</si>
  <si>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</si>
  <si>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</si>
  <si>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</si>
  <si>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</si>
  <si>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</si>
  <si>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</si>
  <si>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</si>
  <si>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</si>
  <si>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</si>
  <si>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</si>
  <si>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</si>
  <si>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</si>
  <si>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</si>
  <si>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</si>
  <si>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</si>
  <si>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</si>
  <si>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</si>
  <si>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</si>
  <si>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</si>
  <si>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</si>
  <si>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</si>
  <si>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</si>
  <si>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</si>
  <si>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</si>
  <si>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</si>
  <si>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</si>
  <si>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</si>
  <si>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</si>
  <si>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</si>
  <si>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</si>
  <si>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</si>
  <si>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</si>
  <si>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</si>
  <si>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</si>
  <si>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</si>
  <si>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</si>
  <si>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</si>
  <si>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</si>
  <si>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</si>
  <si>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</si>
  <si>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</si>
  <si>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</si>
  <si>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</si>
  <si>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</si>
  <si>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</si>
  <si>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</si>
  <si>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</si>
  <si>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</si>
  <si>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</si>
  <si>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</si>
  <si>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</si>
  <si>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</si>
  <si>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</si>
  <si>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</si>
  <si>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</si>
  <si>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</si>
  <si>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</si>
  <si>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</si>
  <si>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</si>
  <si>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</si>
  <si>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</si>
  <si>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</si>
  <si>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</si>
  <si>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</si>
  <si>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</si>
  <si>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</si>
  <si>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</si>
  <si>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</si>
  <si>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</si>
  <si>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</si>
  <si>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</si>
  <si>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</si>
  <si>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</si>
  <si>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</si>
  <si>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</si>
  <si>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</si>
  <si>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</si>
  <si>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</si>
  <si>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</si>
  <si>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</si>
  <si>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</si>
  <si>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</si>
  <si>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</si>
  <si>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</si>
  <si>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</si>
  <si>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</si>
  <si>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</si>
  <si>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</si>
  <si>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</si>
  <si>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</si>
  <si>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</si>
  <si>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</si>
  <si>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</si>
  <si>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</si>
  <si>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</si>
  <si>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</si>
  <si>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</si>
  <si>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</si>
  <si>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</si>
  <si>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</si>
  <si>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</si>
  <si>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</si>
  <si>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</si>
  <si>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</si>
  <si>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</si>
  <si>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</si>
  <si>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</si>
  <si>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</si>
  <si>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</si>
  <si>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</si>
  <si>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</si>
  <si>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</si>
  <si>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</si>
  <si>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</si>
  <si>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</si>
  <si>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</si>
  <si>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</si>
  <si>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</si>
  <si>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</si>
  <si>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</si>
  <si>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</si>
  <si>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</si>
  <si>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</si>
  <si>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</si>
  <si>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</si>
  <si>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</si>
  <si>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</si>
  <si>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</si>
  <si>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</si>
  <si>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</si>
  <si>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</si>
  <si>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</si>
  <si>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</si>
  <si>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</si>
  <si>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</si>
  <si>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</si>
  <si>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</si>
  <si>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</si>
  <si>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</si>
  <si>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</si>
  <si>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</si>
  <si>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</si>
  <si>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</si>
  <si>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</si>
  <si>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</si>
  <si>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</si>
  <si>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</si>
  <si>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</si>
  <si>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</si>
  <si>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</si>
  <si>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</si>
  <si>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</si>
  <si>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</si>
  <si>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</si>
  <si>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</si>
  <si>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</si>
  <si>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</si>
  <si>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</si>
  <si>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</si>
  <si>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</si>
  <si>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</si>
  <si>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</si>
  <si>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</si>
  <si>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</si>
  <si>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</si>
  <si>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</si>
  <si>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</si>
  <si>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</si>
  <si>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</si>
  <si>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</si>
  <si>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</si>
  <si>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</si>
  <si>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</si>
  <si>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</si>
  <si>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</si>
  <si>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</si>
  <si>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</si>
  <si>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</si>
  <si>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</si>
  <si>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</si>
  <si>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</si>
  <si>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</si>
  <si>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</si>
  <si>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</si>
  <si>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</si>
  <si>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</si>
  <si>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</si>
  <si>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</si>
  <si>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</si>
  <si>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</si>
  <si>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</si>
  <si>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</si>
  <si>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</si>
  <si>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</si>
  <si>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</si>
  <si>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</si>
  <si>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</si>
  <si>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</si>
  <si>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</si>
  <si>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</si>
  <si>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</si>
  <si>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</si>
  <si>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</si>
  <si>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</si>
  <si>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</si>
  <si>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</si>
  <si>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</si>
  <si>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</si>
  <si>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</si>
  <si>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</si>
  <si>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</si>
  <si>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</si>
  <si>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</si>
  <si>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</si>
  <si>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</si>
  <si>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</si>
  <si>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</si>
  <si>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</si>
  <si>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</si>
  <si>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</si>
  <si>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</si>
  <si>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</si>
  <si>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</si>
  <si>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</si>
  <si>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</si>
  <si>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</si>
  <si>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</si>
  <si>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</si>
  <si>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</si>
  <si>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</si>
  <si>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Rye cultivation and harvest</t>
  </si>
  <si>
    <t>Biogas production</t>
  </si>
  <si>
    <t>MBC production</t>
  </si>
  <si>
    <t>Athmosphere</t>
  </si>
  <si>
    <t>Lithosphere</t>
  </si>
  <si>
    <t>Anthroposphere</t>
  </si>
  <si>
    <t>Hydrosphere</t>
  </si>
  <si>
    <t>Recycling/disposal</t>
  </si>
  <si>
    <t>BB</t>
  </si>
  <si>
    <t>WC?</t>
  </si>
  <si>
    <t>CC?</t>
  </si>
  <si>
    <t>DM?</t>
  </si>
  <si>
    <t>WC_[%]</t>
  </si>
  <si>
    <t>WC_source</t>
  </si>
  <si>
    <t>DM_[%]</t>
  </si>
  <si>
    <t>DM_source</t>
  </si>
  <si>
    <t>CC_[%]</t>
  </si>
  <si>
    <t>CC_source</t>
  </si>
  <si>
    <t>EoL-Treatment (MBC)</t>
  </si>
  <si>
    <t>Biomass Pyrolysis</t>
  </si>
  <si>
    <t>Biomass Incineration</t>
  </si>
  <si>
    <t>Millet production</t>
  </si>
  <si>
    <t>Mass Delta MBC production</t>
  </si>
  <si>
    <t>Stramento</t>
  </si>
  <si>
    <t>WC_Flow_Py</t>
  </si>
  <si>
    <t>DM_Flow_Py2</t>
  </si>
  <si>
    <t>UoM_CC_Flow_Py</t>
  </si>
  <si>
    <t>UoM_DM_Flow_Py</t>
  </si>
  <si>
    <t>UoM_WC_Flow_Py</t>
  </si>
  <si>
    <t>CC_Flow_Py</t>
  </si>
  <si>
    <t>Roggen</t>
  </si>
  <si>
    <t>Roggen Körner</t>
  </si>
  <si>
    <t>Technische nutzbares Roggenstroh</t>
  </si>
  <si>
    <t>Nicht technische nutzbares Roggenstroh</t>
  </si>
  <si>
    <t>Product</t>
  </si>
  <si>
    <t>By-Product</t>
  </si>
  <si>
    <t>Rindergülle</t>
  </si>
  <si>
    <t>Waste</t>
  </si>
  <si>
    <t>Roggenstroh Gärrest</t>
  </si>
  <si>
    <t>Mycel basierter composit</t>
  </si>
  <si>
    <t>MBC Produktionsabfall</t>
  </si>
  <si>
    <t>Process_Type</t>
  </si>
  <si>
    <t>Process</t>
  </si>
  <si>
    <t>Process Type</t>
  </si>
  <si>
    <t>Import</t>
  </si>
  <si>
    <t>Export</t>
  </si>
  <si>
    <t>Rye cultivation</t>
  </si>
  <si>
    <t>Delta (MBC)</t>
  </si>
  <si>
    <t>MBC (new)</t>
  </si>
  <si>
    <t>MBC (used)</t>
  </si>
  <si>
    <t>Not mobilizable Rye Straw</t>
  </si>
  <si>
    <t>EoL-MBC (Pyro)</t>
  </si>
  <si>
    <t>EoL-MBC (Inci)</t>
  </si>
  <si>
    <t>Mg/a</t>
  </si>
  <si>
    <t>Pyrolisis Char</t>
  </si>
  <si>
    <t>MBC verwendet</t>
  </si>
  <si>
    <t>Hirsekörner</t>
  </si>
  <si>
    <t>Wasser Input MBC</t>
  </si>
  <si>
    <t>Wasser Output MBC</t>
  </si>
  <si>
    <t>Mass Delta</t>
  </si>
  <si>
    <t>Pyrolyse Kohle</t>
  </si>
  <si>
    <t>Verbresnnungsasche</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</si>
  <si>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</si>
  <si>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</si>
  <si>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</si>
  <si>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</si>
  <si>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</si>
  <si>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</si>
  <si>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</si>
  <si>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</si>
  <si>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</si>
  <si>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</si>
  <si>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</si>
  <si>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Rauchgas</t>
  </si>
  <si>
    <t>A review of pyrolysis technologies and feedstock: A blending approach for plastic and biomass towards optimum biochar yield</t>
  </si>
  <si>
    <t>Flow_TC_O_1_[%]</t>
  </si>
  <si>
    <t>Flow_TC_O_2_[%]</t>
  </si>
  <si>
    <t>Flow_TC_O_3_[%]</t>
  </si>
  <si>
    <t>Flow_TC O_5_[%]</t>
  </si>
  <si>
    <t>Flow_TC O_6_[%]</t>
  </si>
  <si>
    <t>Flow_TC_O_4_[%]</t>
  </si>
  <si>
    <t>Environment</t>
  </si>
  <si>
    <t>Rye Environment</t>
  </si>
  <si>
    <t>Cow Manure Environment</t>
  </si>
  <si>
    <t>Millet grain Environment</t>
  </si>
  <si>
    <t>Water Environment</t>
  </si>
  <si>
    <t>01</t>
  </si>
  <si>
    <t>02</t>
  </si>
  <si>
    <t>03</t>
  </si>
  <si>
    <t>04</t>
  </si>
  <si>
    <t>05</t>
  </si>
  <si>
    <t>06</t>
  </si>
  <si>
    <t>07</t>
  </si>
  <si>
    <t>08</t>
  </si>
  <si>
    <t>09</t>
  </si>
  <si>
    <t>MBC Use phase</t>
  </si>
  <si>
    <t>Life stock farming</t>
  </si>
  <si>
    <t>Biogas Incineration</t>
  </si>
  <si>
    <t>EoL-Treatment</t>
  </si>
  <si>
    <t>Water System (Import)</t>
  </si>
  <si>
    <t>Millet Production</t>
  </si>
  <si>
    <t>Water System (Export)</t>
  </si>
  <si>
    <t>Rye processing and consumption</t>
  </si>
  <si>
    <t>Ash Treatment</t>
  </si>
  <si>
    <t>Atmosphere</t>
  </si>
  <si>
    <t>Rye plant</t>
  </si>
  <si>
    <t>assumption</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</si>
  <si>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</si>
  <si>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</si>
  <si>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</si>
  <si>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</si>
  <si>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</si>
  <si>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</si>
  <si>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</si>
  <si>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</si>
  <si>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</si>
  <si>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</si>
  <si>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</si>
  <si>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</si>
  <si>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</si>
  <si>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</si>
  <si>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</si>
  <si>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</si>
  <si>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</si>
  <si>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</si>
  <si>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</si>
  <si>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</si>
  <si>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</si>
  <si>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</si>
  <si>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</si>
  <si>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</si>
  <si>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</si>
  <si>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</si>
  <si>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</si>
  <si>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</si>
  <si>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</si>
  <si>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</si>
  <si>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</si>
  <si>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</si>
  <si>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</si>
  <si>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</si>
  <si>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</si>
  <si>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</si>
  <si>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</si>
  <si>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</si>
  <si>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</si>
  <si>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</si>
  <si>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</si>
  <si>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</si>
  <si>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</si>
  <si>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</si>
  <si>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</si>
  <si>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</si>
  <si>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</si>
  <si>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</si>
  <si>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</si>
  <si>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</si>
  <si>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</si>
  <si>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Flue Gas from Biomass Pyrolysis</t>
  </si>
  <si>
    <t>WC</t>
  </si>
  <si>
    <t>DM</t>
  </si>
  <si>
    <t>CC</t>
  </si>
  <si>
    <t>CO2 Sequestration</t>
  </si>
  <si>
    <t>dS_15</t>
  </si>
  <si>
    <t>S_15</t>
  </si>
  <si>
    <t>dS_16</t>
  </si>
  <si>
    <t>S_16</t>
  </si>
  <si>
    <t>dS_5</t>
  </si>
  <si>
    <t>S_5</t>
  </si>
  <si>
    <t>dS_3</t>
  </si>
  <si>
    <t>S_3</t>
  </si>
  <si>
    <t>dS_17</t>
  </si>
  <si>
    <t>S_17</t>
  </si>
  <si>
    <t>dS_18</t>
  </si>
  <si>
    <t>S_18</t>
  </si>
  <si>
    <t>dS_19</t>
  </si>
  <si>
    <t>S_19</t>
  </si>
  <si>
    <t>dS_6</t>
  </si>
  <si>
    <t>S_6</t>
  </si>
  <si>
    <t>dS_14</t>
  </si>
  <si>
    <t>S_14</t>
  </si>
  <si>
    <t>MBC_short_in</t>
  </si>
  <si>
    <t>MBC_medium_in</t>
  </si>
  <si>
    <t>MBC_long_out</t>
  </si>
  <si>
    <t>MBC_long_in</t>
  </si>
  <si>
    <t>MBC_medium_out</t>
  </si>
  <si>
    <t>MBC_short_out</t>
  </si>
  <si>
    <t>mean = 5 years, stdev = 0.2 * 5</t>
  </si>
  <si>
    <t>mean = 10 years, stdev = 0.2 * 10</t>
  </si>
  <si>
    <t>mean = 1 year, stdev = 0.2 * 1</t>
  </si>
  <si>
    <t>Stock MBC long</t>
  </si>
  <si>
    <t>Stock MBC medium</t>
  </si>
  <si>
    <t>Stock MBC short</t>
  </si>
  <si>
    <t>dS</t>
  </si>
  <si>
    <t>MBC_long_dS</t>
  </si>
  <si>
    <t>MBC_medium_dS</t>
  </si>
  <si>
    <t>MBC_short_dS</t>
  </si>
  <si>
    <t>dS_12</t>
  </si>
  <si>
    <t>S_12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</si>
</sst>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00%"/>
    <numFmt numFmtId="166" formatCode="#,##0.000"/>
    <numFmt numFmtId="167" formatCode="#,##0.0000"/>
    <numFmt numFmtId="171" formatCode="#,##0.00000000"/>
  </numFmts>
  <fonts count="12"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s>
  <fills count="12">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s>
  <borders count="40">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right/>
      <top style="dotted">
        <color auto="1"/>
      </top>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137">
    <xf numFmtId="0" fontId="0" fillId="0" borderId="0" xfId="0"/>
    <xf numFmtId="0" fontId="0" fillId="0" borderId="0" xfId="0" applyAlignment="1">
      <alignment horizontal="center"/>
    </xf>
    <xf numFmtId="0" fontId="1" fillId="0" borderId="0" xfId="1"/>
    <xf numFmtId="0" fontId="0" fillId="0" borderId="0" xfId="0" applyAlignment="1">
      <alignment wrapText="1"/>
    </xf>
    <xf numFmtId="164"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6"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8" borderId="31"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4" fillId="8" borderId="30"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3" fontId="8" fillId="7" borderId="21" xfId="7" applyNumberFormat="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7" xfId="3" applyFont="1" applyFill="1" applyBorder="1"/>
    <xf numFmtId="9" fontId="8" fillId="7" borderId="22" xfId="3" applyFont="1" applyFill="1" applyBorder="1"/>
    <xf numFmtId="9" fontId="8" fillId="7" borderId="24" xfId="3" applyFont="1" applyFill="1" applyBorder="1"/>
    <xf numFmtId="0" fontId="8" fillId="6" borderId="36" xfId="6"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8" xfId="6" applyBorder="1"/>
    <xf numFmtId="4" fontId="11" fillId="11" borderId="4" xfId="9" applyBorder="1"/>
    <xf numFmtId="0" fontId="8" fillId="6" borderId="39" xfId="6" applyBorder="1"/>
    <xf numFmtId="9" fontId="8" fillId="6" borderId="22" xfId="3" applyFont="1" applyFill="1" applyBorder="1"/>
    <xf numFmtId="4" fontId="11" fillId="11" borderId="0" xfId="9"/>
    <xf numFmtId="4" fontId="11" fillId="11" borderId="9" xfId="9" applyBorder="1"/>
    <xf numFmtId="49" fontId="8" fillId="6" borderId="21" xfId="6" applyNumberFormat="1" applyAlignment="1">
      <alignment horizontal="right"/>
    </xf>
    <xf numFmtId="9" fontId="8" fillId="6" borderId="38"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9" fontId="8" fillId="7" borderId="23" xfId="3" applyFont="1" applyFill="1" applyBorder="1"/>
    <xf numFmtId="9" fontId="8" fillId="7" borderId="21" xfId="7" applyNumberFormat="1"/>
    <xf numFmtId="165" fontId="8" fillId="7" borderId="21" xfId="7" applyNumberFormat="1"/>
    <xf numFmtId="10" fontId="8" fillId="7" borderId="21" xfId="7" applyNumberFormat="1"/>
    <xf numFmtId="166" fontId="0" fillId="0" borderId="0" xfId="0" applyNumberFormat="1"/>
    <xf numFmtId="167" fontId="0" fillId="0" borderId="0" xfId="0" applyNumberFormat="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171" fontId="0" fillId="0" borderId="0" xfId="0" applyNumberFormat="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1">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06/relationships/rdRichValueTypes" Target="richData/rdRichValueTypes.xml"/><Relationship Id="rId21" Type="http://schemas.openxmlformats.org/officeDocument/2006/relationships/worksheet" Target="worksheets/sheet21.xml"/><Relationship Id="rId34" Type="http://schemas.openxmlformats.org/officeDocument/2006/relationships/styles" Target="styles.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06/relationships/rdRichValue" Target="richData/rdrichvalue.xml"/><Relationship Id="rId40"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microsoft.com/office/2017/06/relationships/rdRichValueStructure" Target="richData/rdrichvaluestructure.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TU-Pseudonym 9055540188463204" id="{AD614AFA-3734-44CC-8AA3-0FF2B3FFB847}" userId="S::9055540188463204@msopseudo.tu-berlin.de::f91bf609-7611-46e6-9fb8-36b89ba70c44"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0">
  <autoFilter ref="A1:Y77" xr:uid="{DA5E02B4-C3D5-4EC6-A468-E6098B9805CF}"/>
  <tableColumns count="25">
    <tableColumn id="13" xr3:uid="{660990D7-F8E8-451E-A19A-9F23873E1903}" name="Complete?" dataDxfId="169" dataCellStyle="Automatisch"/>
    <tableColumn id="1" xr3:uid="{23E8F131-81B2-4705-927A-A42C393BEDCE}" name="ID" dataDxfId="168" dataCellStyle="Automatisch">
      <calculatedColumnFormula>ROW()-1</calculatedColumnFormula>
    </tableColumn>
    <tableColumn id="2" xr3:uid="{D694ED25-71D4-4BD1-B627-FBE0FAE9FC8B}" name="Flow_ID" dataDxfId="167" dataCellStyle="Automatisch">
      <calculatedColumnFormula>"F_"&amp;LEFT(K2,2)&amp;"_"&amp;LEFT(M2,2)</calculatedColumnFormula>
    </tableColumn>
    <tableColumn id="3" xr3:uid="{CA1C6FA9-65CA-47E1-94EA-BBB750256C84}" name="Name(EN)" dataDxfId="166" dataCellStyle="Ausfüllen"/>
    <tableColumn id="11" xr3:uid="{74AD7FDD-156D-4405-9C17-4423AEB0AA79}" name="Name(DE)" dataCellStyle="Comments"/>
    <tableColumn id="12" xr3:uid="{8B1851D6-89A3-4DB1-94D9-FFBFE2BC386F}" name="Region" dataCellStyle="Ausfüllen"/>
    <tableColumn id="4" xr3:uid="{3A1FFD35-0ED3-4CA9-B353-18F0DE827ABA}" name="Type_Biomass" dataCellStyle="Comments"/>
    <tableColumn id="14" xr3:uid="{3A4CA6C3-2BC1-4616-84C2-B9A61EF54A0B}" name="Product/By-product/waste" dataCellStyle="Ausfüllen"/>
    <tableColumn id="10" xr3:uid="{40A37E4E-7E04-4C53-AA50-149FCE53747E}" name="Comment" dataCellStyle="Comments"/>
    <tableColumn id="5" xr3:uid="{E4010E64-B53A-47D0-A7D2-47D03F95861B}" name="Output_Process" dataDxfId="165"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64"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63" dataCellStyle="Ausfüllen"/>
    <tableColumn id="15" xr3:uid="{6E0C6841-1496-4DDD-9174-61F6DC51267E}" name="DM?" dataCellStyle="Ausfüllen"/>
    <tableColumn id="16" xr3:uid="{D89EDA50-0A29-4075-BBFF-DF622660740A}" name="CC?" dataDxfId="162" dataCellStyle="Ausfüllen"/>
    <tableColumn id="18" xr3:uid="{AFBC221B-4B6A-49DF-8BB0-8E40EB019E1C}" name="WC" dataDxfId="161"/>
    <tableColumn id="22" xr3:uid="{ABA27704-56CF-4C30-88CB-BB6E944F7F08}" name="WC_source" dataDxfId="160" dataCellStyle="Ausfüllen"/>
    <tableColumn id="23" xr3:uid="{5CA0D08F-32C9-451C-A223-78F9E163EE87}" name="DM" dataDxfId="159"/>
    <tableColumn id="19" xr3:uid="{B3649430-F3A4-4F10-84D0-61D5F3B7C06D}" name="DM_source" dataDxfId="158" dataCellStyle="Ausfüllen"/>
    <tableColumn id="20" xr3:uid="{826B197D-7E74-49DB-8367-DD0E48B963C3}" name="CC_DM[%]" dataDxfId="157"/>
    <tableColumn id="21" xr3:uid="{D903DE25-FD16-43E6-ADC2-67C346513E4D}" name="CC_DM_source" dataDxfId="156" dataCellStyle="Ausfüllen"/>
    <tableColumn id="24" xr3:uid="{97A60092-8CFB-4931-B347-B7F41423089C}" name="CC" dataCellStyle="Ausfüllen"/>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12" totalsRowShown="0">
  <autoFilter ref="A1:AK312" xr:uid="{323CB71B-2A7B-4CEF-9473-A7F5A1E6FAAA}"/>
  <tableColumns count="37">
    <tableColumn id="1" xr3:uid="{4E4AA63C-992A-498F-9D6C-B8B8E27D6E01}" name="ID" dataDxfId="15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54" dataCellStyle="Automatisch">
      <calculatedColumnFormula>_xlfn.XLOOKUP(C2,Tab_Def_Flows[Name(EN)],Tab_Def_Flows[Process_ID_I],,0,)</calculatedColumnFormula>
    </tableColumn>
    <tableColumn id="34" xr3:uid="{1EF5EFE9-B149-4960-A691-8F1B8725DE37}" name="TC?" dataDxfId="153" dataCellStyle="Automatisch">
      <calculatedColumnFormula>_xlfn.XLOOKUP(C2,Tab_Def_Flows[Name(EN)],Tab_Def_Flows[Value_Source],,0,)</calculatedColumnFormula>
    </tableColumn>
    <tableColumn id="30" xr3:uid="{F13B49C3-7111-4C57-A913-01AB03549B56}" name="WC?" dataDxfId="152" dataCellStyle="Automatisch">
      <calculatedColumnFormula>_xlfn.XLOOKUP(C2,Tab_Def_Flows[Name(EN)],Tab_Def_Flows[WC?],,0,)</calculatedColumnFormula>
    </tableColumn>
    <tableColumn id="31" xr3:uid="{24B36152-385D-4D3C-A274-72EA56B6819A}" name="DM?" dataDxfId="151" dataCellStyle="Automatisch">
      <calculatedColumnFormula>_xlfn.XLOOKUP(C2,Tab_Def_Flows[Name(EN)],Tab_Def_Flows[DM?],,0,)</calculatedColumnFormula>
    </tableColumn>
    <tableColumn id="32" xr3:uid="{A086924B-597B-4B7A-B9B2-8397025FD97B}" name="CC?" dataDxfId="15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4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48" dataCellStyle="Ausfüllen">
      <calculatedColumnFormula>INDEX(Tab_WC_DM_CC[[Flow_ID]:[CC_source]],MATCH(Tab_Data_Flows[[#This Row],[Name(EN)]],Tab_WC_DM_CC[Name(EN)],0),12)</calculatedColumnFormula>
    </tableColumn>
    <tableColumn id="27" xr3:uid="{0FD99FBB-FEDB-4B73-A541-FB8A676D64E7}" name="Titel_Source" dataDxfId="14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46" dataCellStyle="Ausfüllen"/>
    <tableColumn id="25" xr3:uid="{94996270-9A62-4B8C-B04B-D56A7F9FDE30}" name="Name_CF" dataDxfId="145" dataCellStyle="Ausfüllen">
      <calculatedColumnFormula>'3_1_Calculation_factors (Wood)'!$A$14</calculatedColumnFormula>
    </tableColumn>
    <tableColumn id="17" xr3:uid="{E761CF85-B508-4386-AFDF-6ABE121824EE}" name="Flow_Py" dataDxfId="144" dataCellStyle="Automatisch"/>
    <tableColumn id="18" xr3:uid="{9637D90E-56CA-40AA-A989-2B3406B7446B}" name="UoM_Flow_Py" dataCellStyle="Ausfüllen"/>
    <tableColumn id="35" xr3:uid="{D533411F-8317-4C7A-82C5-6CC35DCA0045}" name="WC_[%]" dataDxfId="14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2" dataCellStyle="Automatisch">
      <calculatedColumnFormula>Tab_Data_Flows[[#This Row],[UoM_Flow_Py]]</calculatedColumnFormula>
    </tableColumn>
    <tableColumn id="36" xr3:uid="{B0BEC211-F9B4-42EF-AC89-C039D617733A}" name="DM_[%]" dataDxfId="141">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0" dataCellStyle="Automatisch">
      <calculatedColumnFormula>Tab_Data_Flows[[#This Row],[UoM_Flow_Py]]</calculatedColumnFormula>
    </tableColumn>
    <tableColumn id="37" xr3:uid="{7058A0AA-4684-4D9A-936D-EC68E6F28D3A}" name="CC_[%]" dataDxfId="139">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Row],[Flow_Py]],"N.A.")</calculatedColumnFormula>
    </tableColumn>
    <tableColumn id="29" xr3:uid="{1891F07F-F500-4F38-84AE-0CF9BF7F81C5}" name="UoM_CC_Flow_Py" dataDxfId="13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37">
  <autoFilter ref="A1:AH58" xr:uid="{CEDB6F7C-CFD3-4534-80A6-FB20E3898B22}"/>
  <tableColumns count="34">
    <tableColumn id="39" xr3:uid="{488AB972-9613-4DA9-9600-5BFBE3896251}" name="Complete?" dataDxfId="136" dataCellStyle="Ausfüllen"/>
    <tableColumn id="1" xr3:uid="{A63F92FA-2376-4B5A-A2DF-588878E604E1}" name="ID" dataCellStyle="Automatisch">
      <calculatedColumnFormula>ROW()-1</calculatedColumnFormula>
    </tableColumn>
    <tableColumn id="2" xr3:uid="{6D346BEA-29CA-401C-8ABB-6C62791A731A}" name="Process_ID" dataDxfId="135"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34" dataCellStyle="Ausfüllen"/>
    <tableColumn id="36" xr3:uid="{0AFFEA74-933D-4970-BF8A-28076123C1C8}" name="TC?" dataCellStyle="Ausfüllen"/>
    <tableColumn id="37" xr3:uid="{891365CA-9AE8-450C-981B-51AB3AAC0B42}" name="Stock?" dataDxfId="133" dataCellStyle="Ausfüllen"/>
    <tableColumn id="14" xr3:uid="{334FD543-CE98-4427-87D5-A79F68872B3C}" name="Input_Flow_I_1" dataDxfId="132"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1"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0"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29" headerRowBorderDxfId="128" tableBorderDxfId="127">
  <autoFilter ref="A1:AZ63" xr:uid="{7602A998-85E6-499A-B1A3-C584F22BB41F}"/>
  <tableColumns count="52">
    <tableColumn id="33" xr3:uid="{2E42D0C1-7FF5-458C-AABB-EC4821727C76}" name="Spalte1" dataDxfId="126" dataCellStyle="Ausfüllen"/>
    <tableColumn id="1" xr3:uid="{50777A4F-600F-43DA-AECB-19F4017C77C8}" name="ID" dataDxfId="125" dataCellStyle="Automatisch">
      <calculatedColumnFormula>ROW()-1</calculatedColumnFormula>
    </tableColumn>
    <tableColumn id="53" xr3:uid="{461E9AFE-A4B9-41F4-A2C5-D26B0479899D}" name="TC_ID" dataDxfId="124" dataCellStyle="Automatisch">
      <calculatedColumnFormula>"TC"&amp;LEFT(B2,2)&amp;"_"&amp;LEFT(D2,3)&amp;"_"&amp;LEFT(E2,3)&amp;"_"&amp;LEFT(F2,3)&amp;"_"&amp;LEFT(G2,3)</calculatedColumnFormula>
    </tableColumn>
    <tableColumn id="2" xr3:uid="{B009CEDB-A0BA-4BFE-9656-4F45ABD775FF}" name="Process_ID" dataDxfId="123"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2" dataCellStyle="Automatisch">
      <calculatedColumnFormula>_xlfn.XLOOKUP($E2,Tab_Def_Processes[Name(EN)],Tab_Def_Processes[Input_Flow_I_1],,0,)</calculatedColumnFormula>
    </tableColumn>
    <tableColumn id="12" xr3:uid="{90818226-A0A4-4F57-9BA1-6A637D778FA7}" name="Flow_ID_I_1" dataDxfId="121"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0" dataCellStyle="Automatisch">
      <calculatedColumnFormula>_xlfn.XLOOKUP($E2,Tab_Def_Processes[Name(EN)],Tab_Def_Processes[Input_Flow_I_2],,0,)</calculatedColumnFormula>
    </tableColumn>
    <tableColumn id="14" xr3:uid="{79B6519E-CED2-4996-8413-8ED818FBA67B}" name="Flow_ID_I_3" dataDxfId="119"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18" dataCellStyle="Automatisch">
      <calculatedColumnFormula>_xlfn.XLOOKUP($E2,Tab_Def_Processes[Name(EN)],Tab_Def_Processes[Input_Flow_I_3],,0,)</calculatedColumnFormula>
    </tableColumn>
    <tableColumn id="16" xr3:uid="{A81E0966-45DB-4BF2-8519-54AB06D35821}" name="Flow ID I_3" dataDxfId="117"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16" dataCellStyle="Automatisch">
      <calculatedColumnFormula>_xlfn.XLOOKUP($E2,Tab_Def_Processes[Name(EN)],Tab_Def_Processes[Input_Flow_I_4],,0,)</calculatedColumnFormula>
    </tableColumn>
    <tableColumn id="18" xr3:uid="{8462671B-87DF-487F-932D-125BE07DD6C5}" name="Flow ID I_4" dataDxfId="115"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14" dataCellStyle="Automatisch">
      <calculatedColumnFormula>_xlfn.XLOOKUP($E2,Tab_Def_Processes[Name(EN)],Tab_Def_Processes[Input_Flow_I_5],,0,)</calculatedColumnFormula>
    </tableColumn>
    <tableColumn id="20" xr3:uid="{CF2F8133-A62C-4899-B489-92524730DAD8}" name="Flow ID I_5" dataDxfId="113"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2">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1" dataCellStyle="Automatisch">
      <calculatedColumnFormula>_xlfn.XLOOKUP($E2,Tab_Def_Processes[Name(EN)],Tab_Def_Processes[Output_Flow_O_1],,0,)</calculatedColumnFormula>
    </tableColumn>
    <tableColumn id="22" xr3:uid="{858063F1-EC66-43D6-9A80-961AA2AEACA8}" name="Flow_ID_O_1" dataDxfId="110" dataCellStyle="Automatisch">
      <calculatedColumnFormula>_xlfn.XLOOKUP($E2,Tab_Def_Processes[Name(EN)],Tab_Def_Processes[Flow_ID_O_1],,0,)</calculatedColumnFormula>
    </tableColumn>
    <tableColumn id="40" xr3:uid="{89332A06-704C-427B-926D-A4F2CD46D116}" name="Flow_TC_O_1_[%]"/>
    <tableColumn id="23" xr3:uid="{8F186982-6AEE-48FE-A3E8-23DE9BA9203B}" name="Output_Flow_O_2" dataDxfId="109" dataCellStyle="Automatisch">
      <calculatedColumnFormula>_xlfn.XLOOKUP($E2,Tab_Def_Processes[Name(EN)],Tab_Def_Processes[Output_Flow_O_2],,0,)</calculatedColumnFormula>
    </tableColumn>
    <tableColumn id="24" xr3:uid="{A690522C-9F92-493F-BD4E-C5851A505DC4}" name="Flow_ID_O_2" dataDxfId="108" dataCellStyle="Automatisch">
      <calculatedColumnFormula>_xlfn.XLOOKUP($E2,Tab_Def_Processes[Name(EN)],Tab_Def_Processes[Flow_ID_O_2],,0,)</calculatedColumnFormula>
    </tableColumn>
    <tableColumn id="41" xr3:uid="{BBDD1124-B4C9-48C4-95C4-ED06DAD4697D}" name="Flow_TC_O_2_[%]"/>
    <tableColumn id="25" xr3:uid="{46987B53-D7D9-4621-B8D7-B8DC7F6BB65B}" name="Output_Flow_O_3" dataDxfId="107" dataCellStyle="Automatisch">
      <calculatedColumnFormula>_xlfn.XLOOKUP($E2,Tab_Def_Processes[Name(EN)],Tab_Def_Processes[Output_Flow_O_3],,0,)</calculatedColumnFormula>
    </tableColumn>
    <tableColumn id="26" xr3:uid="{B1F55BB4-B5DF-4809-9841-CE667A275BBB}" name="Flow_ID_O_3" dataDxfId="106" dataCellStyle="Automatisch">
      <calculatedColumnFormula>_xlfn.XLOOKUP($E2,Tab_Def_Processes[Name(EN)],Tab_Def_Processes[Flow_ID_O_3],,0,)</calculatedColumnFormula>
    </tableColumn>
    <tableColumn id="42" xr3:uid="{837386A2-5F76-437C-AB05-32F4D8FD5400}" name="Flow_TC_O_3_[%]"/>
    <tableColumn id="27" xr3:uid="{603B7AC3-EE11-4549-A4FD-5CF3C5384AF2}" name="Output_Flow_O_4" dataDxfId="105" dataCellStyle="Automatisch">
      <calculatedColumnFormula>_xlfn.XLOOKUP($E2,Tab_Def_Processes[Name(EN)],Tab_Def_Processes[Output_Flow_O_4],,0,)</calculatedColumnFormula>
    </tableColumn>
    <tableColumn id="28" xr3:uid="{BEDA4421-DE3E-45B7-AA23-39A96ABFBA03}" name="Flow_ID_O_4" dataDxfId="104" dataCellStyle="Automatisch">
      <calculatedColumnFormula>_xlfn.XLOOKUP($E2,Tab_Def_Processes[Name(EN)],Tab_Def_Processes[Flow_ID_O_4],,0,)</calculatedColumnFormula>
    </tableColumn>
    <tableColumn id="43" xr3:uid="{48277668-18B6-4219-841F-F7039B42C8E8}" name="Flow_TC_O_4_[%]"/>
    <tableColumn id="29" xr3:uid="{8270DAB7-5A5A-4119-A994-FF979E725477}" name="Output_Flow_O_5" dataDxfId="103" dataCellStyle="Automatisch">
      <calculatedColumnFormula>_xlfn.XLOOKUP($E2,Tab_Def_Processes[Name(EN)],Tab_Def_Processes[Output_Flow_O_5],,0,)</calculatedColumnFormula>
    </tableColumn>
    <tableColumn id="30" xr3:uid="{EF7AD72E-CEBC-42E7-9DE6-1419D3BC99A4}" name="Flow_ID_O_5" dataDxfId="102" dataCellStyle="Automatisch">
      <calculatedColumnFormula>_xlfn.XLOOKUP($E2,Tab_Def_Processes[Name(EN)],Tab_Def_Processes[Flow_ID_O_5],,0,)</calculatedColumnFormula>
    </tableColumn>
    <tableColumn id="44" xr3:uid="{5E8341F4-511D-4736-8507-794276C93A04}" name="Flow_TC O_5_[%]"/>
    <tableColumn id="31" xr3:uid="{531B757D-2D85-4544-AC12-18B8CB9EBF08}" name="Output_Flow_O_6" dataDxfId="101" dataCellStyle="Automatisch">
      <calculatedColumnFormula>_xlfn.XLOOKUP($E2,Tab_Def_Processes[Name(EN)],Tab_Def_Processes[Output_Flow_O_6],,0,)</calculatedColumnFormula>
    </tableColumn>
    <tableColumn id="46" xr3:uid="{3929BAB4-5D36-49B1-B1BB-2B0F804D087D}" name="Flow_ID_O_6" dataDxfId="100" dataCellStyle="Automatisch">
      <calculatedColumnFormula>_xlfn.XLOOKUP($E2,Tab_Def_Processes[Name(EN)],Tab_Def_Processes[Flow_ID_O_6],,0,)</calculatedColumnFormula>
    </tableColumn>
    <tableColumn id="45" xr3:uid="{64379744-43F6-4C79-B48A-98D8B0E4370B}" name="Flow_TC O_6_[%]"/>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3-05T08:33:31.38" personId="{AD614AFA-3734-44CC-8AA3-0FF2B3FFB847}" id="{92D7D62B-CC24-4F60-8994-F95612AA623A}">
    <text>Used scipy.stats.norm.sf to generate function</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9.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M36"/>
  <sheetViews>
    <sheetView topLeftCell="A4" zoomScale="205" zoomScaleNormal="205" workbookViewId="0">
      <selection activeCell="C27" sqref="C27"/>
    </sheetView>
  </sheetViews>
  <sheetFormatPr defaultColWidth="9.1796875" defaultRowHeight="14.5" x14ac:dyDescent="0.35"/>
  <sheetData>
    <row r="3" spans="2:13" x14ac:dyDescent="0.35">
      <c r="B3" t="s">
        <v>207</v>
      </c>
    </row>
    <row r="5" spans="2:13" x14ac:dyDescent="0.35">
      <c r="B5" t="s">
        <v>215</v>
      </c>
    </row>
    <row r="6" spans="2:13" x14ac:dyDescent="0.35">
      <c r="C6" t="s">
        <v>216</v>
      </c>
      <c r="F6" t="s">
        <v>217</v>
      </c>
    </row>
    <row r="7" spans="2:13" x14ac:dyDescent="0.35">
      <c r="C7" t="s">
        <v>218</v>
      </c>
      <c r="F7" t="s">
        <v>81</v>
      </c>
    </row>
    <row r="8" spans="2:13" x14ac:dyDescent="0.35">
      <c r="F8" t="s">
        <v>79</v>
      </c>
    </row>
    <row r="9" spans="2:13" x14ac:dyDescent="0.35">
      <c r="F9" t="s">
        <v>219</v>
      </c>
    </row>
    <row r="11" spans="2:13" x14ac:dyDescent="0.35">
      <c r="B11" s="128" t="s">
        <v>220</v>
      </c>
      <c r="C11" s="128"/>
      <c r="D11" s="128"/>
      <c r="E11" s="128"/>
      <c r="F11" s="128"/>
      <c r="G11" s="128"/>
      <c r="H11" s="128"/>
      <c r="I11" s="128"/>
      <c r="J11" s="128"/>
      <c r="K11" s="128"/>
      <c r="L11" s="128"/>
      <c r="M11" s="128"/>
    </row>
    <row r="12" spans="2:13" x14ac:dyDescent="0.35">
      <c r="B12" s="128"/>
      <c r="C12" s="128"/>
      <c r="D12" s="128"/>
      <c r="E12" s="128"/>
      <c r="F12" s="128"/>
      <c r="G12" s="128"/>
      <c r="H12" s="128"/>
      <c r="I12" s="128"/>
      <c r="J12" s="128"/>
      <c r="K12" s="128"/>
      <c r="L12" s="128"/>
      <c r="M12" s="128"/>
    </row>
    <row r="13" spans="2:13" x14ac:dyDescent="0.35">
      <c r="B13" s="128"/>
      <c r="C13" s="128"/>
      <c r="D13" s="128"/>
      <c r="E13" s="128"/>
      <c r="F13" s="128"/>
      <c r="G13" s="128"/>
      <c r="H13" s="128"/>
      <c r="I13" s="128"/>
      <c r="J13" s="128"/>
      <c r="K13" s="128"/>
      <c r="L13" s="128"/>
      <c r="M13" s="128"/>
    </row>
    <row r="14" spans="2:13" x14ac:dyDescent="0.35">
      <c r="B14" s="129" t="s">
        <v>221</v>
      </c>
      <c r="C14" s="129"/>
      <c r="D14" s="129"/>
      <c r="E14" s="129"/>
      <c r="F14" s="129"/>
      <c r="G14" s="129"/>
      <c r="H14" s="129"/>
      <c r="I14" s="129"/>
      <c r="J14" s="129"/>
      <c r="K14" s="129"/>
      <c r="L14" s="129"/>
    </row>
    <row r="15" spans="2:13" x14ac:dyDescent="0.35">
      <c r="B15" s="129"/>
      <c r="C15" s="129"/>
      <c r="D15" s="129"/>
      <c r="E15" s="129"/>
      <c r="F15" s="129"/>
      <c r="G15" s="129"/>
      <c r="H15" s="129"/>
      <c r="I15" s="129"/>
      <c r="J15" s="129"/>
      <c r="K15" s="129"/>
      <c r="L15" s="129"/>
    </row>
    <row r="16" spans="2:13" x14ac:dyDescent="0.35">
      <c r="B16" s="129"/>
      <c r="C16" s="129"/>
      <c r="D16" s="129"/>
      <c r="E16" s="129"/>
      <c r="F16" s="129"/>
      <c r="G16" s="129"/>
      <c r="H16" s="129"/>
      <c r="I16" s="129"/>
      <c r="J16" s="129"/>
      <c r="K16" s="129"/>
      <c r="L16" s="129"/>
    </row>
    <row r="17" spans="2:12" x14ac:dyDescent="0.35">
      <c r="B17" s="129"/>
      <c r="C17" s="129"/>
      <c r="D17" s="129"/>
      <c r="E17" s="129"/>
      <c r="F17" s="129"/>
      <c r="G17" s="129"/>
      <c r="H17" s="129"/>
      <c r="I17" s="129"/>
      <c r="J17" s="129"/>
      <c r="K17" s="129"/>
      <c r="L17" s="129"/>
    </row>
    <row r="21" spans="2:12" x14ac:dyDescent="0.35">
      <c r="B21" t="s">
        <v>208</v>
      </c>
    </row>
    <row r="23" spans="2:12" x14ac:dyDescent="0.35">
      <c r="C23" t="s">
        <v>214</v>
      </c>
    </row>
    <row r="32" spans="2:12" x14ac:dyDescent="0.35">
      <c r="B32" t="s">
        <v>209</v>
      </c>
    </row>
    <row r="33" spans="2:2" x14ac:dyDescent="0.35">
      <c r="B33" t="s">
        <v>210</v>
      </c>
    </row>
    <row r="34" spans="2:2" x14ac:dyDescent="0.35">
      <c r="B34" t="s">
        <v>211</v>
      </c>
    </row>
    <row r="35" spans="2:2" x14ac:dyDescent="0.35">
      <c r="B35" t="s">
        <v>212</v>
      </c>
    </row>
    <row r="36" spans="2:2" x14ac:dyDescent="0.35">
      <c r="B36" t="s">
        <v>213</v>
      </c>
    </row>
  </sheetData>
  <mergeCells count="2">
    <mergeCell ref="B11:M13"/>
    <mergeCell ref="B14:L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DEFFD-F7FE-4B8C-9428-306A6CBFD868}">
  <dimension ref="A1:S67"/>
  <sheetViews>
    <sheetView workbookViewId="0">
      <selection activeCell="B15" sqref="B15"/>
    </sheetView>
  </sheetViews>
  <sheetFormatPr defaultRowHeight="14.5" x14ac:dyDescent="0.35"/>
  <cols>
    <col min="1" max="1" width="18" customWidth="1"/>
    <col min="2" max="2" width="11.81640625" bestFit="1" customWidth="1"/>
  </cols>
  <sheetData>
    <row r="1" spans="1:19" x14ac:dyDescent="0.35">
      <c r="B1">
        <v>2022</v>
      </c>
      <c r="C1">
        <v>2023</v>
      </c>
      <c r="D1">
        <v>2024</v>
      </c>
      <c r="E1">
        <v>2025</v>
      </c>
      <c r="F1">
        <v>2026</v>
      </c>
      <c r="G1">
        <v>2027</v>
      </c>
      <c r="H1">
        <v>2028</v>
      </c>
      <c r="I1">
        <v>2029</v>
      </c>
      <c r="J1">
        <v>2030</v>
      </c>
      <c r="K1">
        <v>2031</v>
      </c>
      <c r="L1">
        <v>2032</v>
      </c>
      <c r="M1">
        <v>2033</v>
      </c>
      <c r="N1">
        <v>2034</v>
      </c>
      <c r="O1">
        <v>2035</v>
      </c>
      <c r="P1">
        <v>2036</v>
      </c>
    </row>
    <row r="2" spans="1:19" x14ac:dyDescent="0.35">
      <c r="A2" t="s">
        <v>529</v>
      </c>
      <c r="B2">
        <f>Solution_material!B9*0.2</f>
        <v>10.843543200000001</v>
      </c>
      <c r="C2">
        <f>Solution_material!C9*0.2</f>
        <v>11.060414064000001</v>
      </c>
      <c r="D2">
        <f>Solution_material!D9*0.2</f>
        <v>11.281622345280002</v>
      </c>
      <c r="E2">
        <f>Solution_material!E9*0.2</f>
        <v>11.507254792185602</v>
      </c>
      <c r="F2">
        <f>Solution_material!F9*0.2</f>
        <v>11.737399888029314</v>
      </c>
      <c r="G2">
        <f>Solution_material!G9*0.2</f>
        <v>11.972147885789902</v>
      </c>
      <c r="H2">
        <f>Solution_material!H9*0.2</f>
        <v>12.2115908435057</v>
      </c>
      <c r="I2">
        <f>Solution_material!I9*0.2</f>
        <v>12.455822660375814</v>
      </c>
      <c r="J2">
        <f>Solution_material!J9*0.2</f>
        <v>12.704939113583329</v>
      </c>
      <c r="K2">
        <f>Solution_material!K9*0.2</f>
        <v>12.959037895854998</v>
      </c>
      <c r="L2">
        <f>Solution_material!L9*0.2</f>
        <v>13.218218653772096</v>
      </c>
      <c r="M2">
        <f>Solution_material!M9*0.2</f>
        <v>13.482583026847539</v>
      </c>
      <c r="N2">
        <f>Solution_material!N9*0.2</f>
        <v>13.75223468738449</v>
      </c>
      <c r="O2">
        <f>Solution_material!O9*0.2</f>
        <v>14.027279381132178</v>
      </c>
      <c r="P2">
        <f>Solution_material!P9*0.2</f>
        <v>14.307824968754824</v>
      </c>
    </row>
    <row r="3" spans="1:19" x14ac:dyDescent="0.35">
      <c r="A3" t="s">
        <v>527</v>
      </c>
      <c r="B3">
        <f>Solution_material!B9*0.2</f>
        <v>10.843543200000001</v>
      </c>
      <c r="C3">
        <f>Solution_material!C9*0.2</f>
        <v>11.060414064000001</v>
      </c>
      <c r="D3">
        <f>Solution_material!D9*0.2</f>
        <v>11.281622345280002</v>
      </c>
      <c r="E3">
        <f>Solution_material!E9*0.2</f>
        <v>11.507254792185602</v>
      </c>
      <c r="F3">
        <f>Solution_material!F9*0.2</f>
        <v>11.737399888029314</v>
      </c>
      <c r="G3">
        <f>Solution_material!G9*0.2</f>
        <v>11.972147885789902</v>
      </c>
      <c r="H3">
        <f>Solution_material!H9*0.2</f>
        <v>12.2115908435057</v>
      </c>
      <c r="I3">
        <f>Solution_material!I9*0.2</f>
        <v>12.455822660375814</v>
      </c>
      <c r="J3">
        <f>Solution_material!J9*0.2</f>
        <v>12.704939113583329</v>
      </c>
      <c r="K3">
        <f>Solution_material!K9*0.2</f>
        <v>12.959037895854998</v>
      </c>
      <c r="L3">
        <f>Solution_material!L9*0.2</f>
        <v>13.218218653772096</v>
      </c>
      <c r="M3">
        <f>Solution_material!M9*0.2</f>
        <v>13.482583026847539</v>
      </c>
      <c r="N3">
        <f>Solution_material!N9*0.2</f>
        <v>13.75223468738449</v>
      </c>
      <c r="O3">
        <f>Solution_material!O9*0.2</f>
        <v>14.027279381132178</v>
      </c>
      <c r="P3">
        <f>Solution_material!P9*0.2</f>
        <v>14.307824968754824</v>
      </c>
    </row>
    <row r="4" spans="1:19" x14ac:dyDescent="0.35">
      <c r="A4" t="s">
        <v>526</v>
      </c>
      <c r="B4">
        <f>Solution_material!B9*0.6</f>
        <v>32.530629599999997</v>
      </c>
      <c r="C4">
        <f>Solution_material!C9*0.6</f>
        <v>33.181242191999999</v>
      </c>
      <c r="D4">
        <f>Solution_material!D9*0.6</f>
        <v>33.844867035840004</v>
      </c>
      <c r="E4">
        <f>Solution_material!E9*0.6</f>
        <v>34.521764376556803</v>
      </c>
      <c r="F4">
        <f>Solution_material!F9*0.6</f>
        <v>35.21219966408794</v>
      </c>
      <c r="G4">
        <f>Solution_material!G9*0.6</f>
        <v>35.916443657369705</v>
      </c>
      <c r="H4">
        <f>Solution_material!H9*0.6</f>
        <v>36.634772530517097</v>
      </c>
      <c r="I4">
        <f>Solution_material!I9*0.6</f>
        <v>37.36746798112744</v>
      </c>
      <c r="J4">
        <f>Solution_material!J9*0.6</f>
        <v>38.114817340749987</v>
      </c>
      <c r="K4">
        <f>Solution_material!K9*0.6</f>
        <v>38.877113687564986</v>
      </c>
      <c r="L4">
        <f>Solution_material!L9*0.6</f>
        <v>39.654655961316287</v>
      </c>
      <c r="M4">
        <f>Solution_material!M9*0.6</f>
        <v>40.447749080542614</v>
      </c>
      <c r="N4">
        <f>Solution_material!N9*0.6</f>
        <v>41.256704062153467</v>
      </c>
      <c r="O4">
        <f>Solution_material!O9*0.6</f>
        <v>42.081838143396531</v>
      </c>
      <c r="P4">
        <f>Solution_material!P9*0.6</f>
        <v>42.923474906264467</v>
      </c>
    </row>
    <row r="5" spans="1:19" x14ac:dyDescent="0.35">
      <c r="A5" t="s">
        <v>539</v>
      </c>
      <c r="B5">
        <v>10.843540091681298</v>
      </c>
      <c r="C5">
        <v>11.060377159018319</v>
      </c>
      <c r="D5">
        <v>11.281278116534981</v>
      </c>
      <c r="E5">
        <v>11.504724583876595</v>
      </c>
      <c r="F5">
        <v>11.722703921400651</v>
      </c>
      <c r="G5">
        <v>11.904460903232646</v>
      </c>
      <c r="H5">
        <v>11.963192856929098</v>
      </c>
      <c r="I5">
        <v>11.724721979623538</v>
      </c>
      <c r="J5">
        <v>10.963258092333206</v>
      </c>
      <c r="K5">
        <v>9.5572682240956937</v>
      </c>
      <c r="L5">
        <v>7.6722821185745289</v>
      </c>
      <c r="M5">
        <v>5.7495962909429181</v>
      </c>
      <c r="N5">
        <v>4.2393331866776123</v>
      </c>
      <c r="O5">
        <v>3.3281615235283937</v>
      </c>
      <c r="P5">
        <v>2.9169900195547314</v>
      </c>
    </row>
    <row r="6" spans="1:19" x14ac:dyDescent="0.35">
      <c r="A6" t="s">
        <v>540</v>
      </c>
      <c r="B6">
        <v>10.843540091681298</v>
      </c>
      <c r="C6">
        <v>11.060070573354611</v>
      </c>
      <c r="D6">
        <v>11.266977735679145</v>
      </c>
      <c r="E6">
        <v>11.260262929428521</v>
      </c>
      <c r="F6">
        <v>10.011775126690146</v>
      </c>
      <c r="G6">
        <v>6.51062412913668</v>
      </c>
      <c r="H6">
        <v>2.9394501116321408</v>
      </c>
      <c r="I6">
        <v>1.5245460525378363</v>
      </c>
      <c r="J6">
        <v>1.3229826126243864</v>
      </c>
      <c r="K6">
        <v>1.3351480157342905</v>
      </c>
      <c r="L6">
        <v>1.3615106558886936</v>
      </c>
      <c r="M6">
        <v>1.3887377713858626</v>
      </c>
      <c r="N6">
        <v>1.4165125161293588</v>
      </c>
      <c r="O6">
        <v>1.4448427664380574</v>
      </c>
      <c r="P6">
        <v>1.4737396217668248</v>
      </c>
    </row>
    <row r="7" spans="1:19" x14ac:dyDescent="0.35">
      <c r="A7" t="s">
        <v>541</v>
      </c>
      <c r="B7">
        <v>32.530620275043887</v>
      </c>
      <c r="C7">
        <v>16.915927205500878</v>
      </c>
      <c r="D7">
        <v>0.98894027456701394</v>
      </c>
      <c r="E7">
        <v>1.008709755102231</v>
      </c>
      <c r="F7">
        <v>1.0288839502042819</v>
      </c>
      <c r="G7">
        <v>1.0494616292083734</v>
      </c>
      <c r="H7">
        <v>1.070450861792537</v>
      </c>
      <c r="I7">
        <v>1.0918598790283767</v>
      </c>
      <c r="J7">
        <v>1.1136970766089576</v>
      </c>
      <c r="K7">
        <v>1.1359710181411273</v>
      </c>
      <c r="L7">
        <v>1.158690438503946</v>
      </c>
      <c r="M7">
        <v>1.1818642472740351</v>
      </c>
      <c r="N7">
        <v>1.2055015322195217</v>
      </c>
      <c r="O7">
        <v>1.2296115628639015</v>
      </c>
      <c r="P7">
        <v>1.2542037941211817</v>
      </c>
    </row>
    <row r="8" spans="1:19" x14ac:dyDescent="0.35">
      <c r="A8" t="s">
        <v>528</v>
      </c>
      <c r="B8">
        <f>B2-B5</f>
        <v>3.1083187028713155E-6</v>
      </c>
      <c r="C8">
        <f t="shared" ref="C8:P8" si="0">C2-C5</f>
        <v>3.6904981682184257E-5</v>
      </c>
      <c r="D8">
        <f t="shared" si="0"/>
        <v>3.4422874502126888E-4</v>
      </c>
      <c r="E8">
        <f t="shared" si="0"/>
        <v>2.53020830900752E-3</v>
      </c>
      <c r="F8">
        <f t="shared" si="0"/>
        <v>1.4695966628663015E-2</v>
      </c>
      <c r="G8">
        <f t="shared" si="0"/>
        <v>6.7686982557255249E-2</v>
      </c>
      <c r="H8">
        <f t="shared" si="0"/>
        <v>0.24839798657660239</v>
      </c>
      <c r="I8">
        <f t="shared" si="0"/>
        <v>0.73110068075227552</v>
      </c>
      <c r="J8">
        <f t="shared" si="0"/>
        <v>1.7416810212501233</v>
      </c>
      <c r="K8">
        <f t="shared" si="0"/>
        <v>3.401769671759304</v>
      </c>
      <c r="L8">
        <f t="shared" si="0"/>
        <v>5.5459365351975674</v>
      </c>
      <c r="M8">
        <f t="shared" si="0"/>
        <v>7.7329867359046212</v>
      </c>
      <c r="N8">
        <f t="shared" si="0"/>
        <v>9.512901500706878</v>
      </c>
      <c r="O8">
        <f t="shared" si="0"/>
        <v>10.699117857603785</v>
      </c>
      <c r="P8">
        <f t="shared" si="0"/>
        <v>11.390834949200093</v>
      </c>
    </row>
    <row r="9" spans="1:19" x14ac:dyDescent="0.35">
      <c r="A9" t="s">
        <v>530</v>
      </c>
      <c r="B9">
        <f>B3-B6</f>
        <v>3.1083187028713155E-6</v>
      </c>
      <c r="C9">
        <f t="shared" ref="C9:P9" si="1">C3-C6</f>
        <v>3.4349064539007657E-4</v>
      </c>
      <c r="D9">
        <f t="shared" si="1"/>
        <v>1.464460960085745E-2</v>
      </c>
      <c r="E9">
        <f t="shared" si="1"/>
        <v>0.24699186275708129</v>
      </c>
      <c r="F9">
        <f t="shared" si="1"/>
        <v>1.7256247613391675</v>
      </c>
      <c r="G9">
        <f t="shared" si="1"/>
        <v>5.4615237566532215</v>
      </c>
      <c r="H9">
        <f t="shared" si="1"/>
        <v>9.2721407318735594</v>
      </c>
      <c r="I9">
        <f t="shared" si="1"/>
        <v>10.931276607837978</v>
      </c>
      <c r="J9">
        <f t="shared" si="1"/>
        <v>11.381956500958943</v>
      </c>
      <c r="K9">
        <f t="shared" si="1"/>
        <v>11.623889880120707</v>
      </c>
      <c r="L9">
        <f t="shared" si="1"/>
        <v>11.856707997883403</v>
      </c>
      <c r="M9">
        <f t="shared" si="1"/>
        <v>12.093845255461677</v>
      </c>
      <c r="N9">
        <f t="shared" si="1"/>
        <v>12.335722171255131</v>
      </c>
      <c r="O9">
        <f t="shared" si="1"/>
        <v>12.582436614694121</v>
      </c>
      <c r="P9">
        <f t="shared" si="1"/>
        <v>12.834085346987999</v>
      </c>
    </row>
    <row r="10" spans="1:19" x14ac:dyDescent="0.35">
      <c r="A10" t="s">
        <v>531</v>
      </c>
      <c r="B10">
        <f>B4-B7</f>
        <v>9.3249561103903034E-6</v>
      </c>
      <c r="C10">
        <f t="shared" ref="C10:P10" si="2">C4-C7</f>
        <v>16.265314986499121</v>
      </c>
      <c r="D10">
        <f t="shared" si="2"/>
        <v>32.85592676127299</v>
      </c>
      <c r="E10">
        <f t="shared" si="2"/>
        <v>33.513054621454572</v>
      </c>
      <c r="F10">
        <f t="shared" si="2"/>
        <v>34.183315713883658</v>
      </c>
      <c r="G10">
        <f t="shared" si="2"/>
        <v>34.866982028161331</v>
      </c>
      <c r="H10">
        <f t="shared" si="2"/>
        <v>35.56432166872456</v>
      </c>
      <c r="I10">
        <f t="shared" si="2"/>
        <v>36.275608102099064</v>
      </c>
      <c r="J10">
        <f t="shared" si="2"/>
        <v>37.001120264141029</v>
      </c>
      <c r="K10">
        <f t="shared" si="2"/>
        <v>37.741142669423859</v>
      </c>
      <c r="L10">
        <f t="shared" si="2"/>
        <v>38.495965522812341</v>
      </c>
      <c r="M10">
        <f t="shared" si="2"/>
        <v>39.265884833268579</v>
      </c>
      <c r="N10">
        <f t="shared" si="2"/>
        <v>40.051202529933946</v>
      </c>
      <c r="O10">
        <f t="shared" si="2"/>
        <v>40.85222658053263</v>
      </c>
      <c r="P10">
        <f t="shared" si="2"/>
        <v>41.669271112143285</v>
      </c>
    </row>
    <row r="14" spans="1:19" x14ac:dyDescent="0.35">
      <c r="A14" t="s">
        <v>535</v>
      </c>
      <c r="B14">
        <v>2022</v>
      </c>
      <c r="C14">
        <v>2023</v>
      </c>
      <c r="D14">
        <v>2024</v>
      </c>
      <c r="E14">
        <v>2025</v>
      </c>
      <c r="F14">
        <v>2026</v>
      </c>
      <c r="G14">
        <v>2027</v>
      </c>
      <c r="H14">
        <v>2028</v>
      </c>
      <c r="I14">
        <v>2029</v>
      </c>
      <c r="J14">
        <v>2030</v>
      </c>
      <c r="K14">
        <v>2031</v>
      </c>
      <c r="L14">
        <v>2032</v>
      </c>
      <c r="M14">
        <v>2033</v>
      </c>
      <c r="N14">
        <v>2034</v>
      </c>
      <c r="O14">
        <v>2035</v>
      </c>
      <c r="P14">
        <v>2036</v>
      </c>
      <c r="R14" t="s">
        <v>535</v>
      </c>
      <c r="S14" t="s">
        <v>538</v>
      </c>
    </row>
    <row r="15" spans="1:19" x14ac:dyDescent="0.35">
      <c r="A15">
        <v>2022</v>
      </c>
      <c r="B15">
        <f>B$2*'survival functions'!B2</f>
        <v>10.843540091681298</v>
      </c>
      <c r="C15">
        <f>C$2*'survival functions'!C2</f>
        <v>0</v>
      </c>
      <c r="D15">
        <f>D$2*'survival functions'!D2</f>
        <v>0</v>
      </c>
      <c r="E15">
        <f>E$2*'survival functions'!E2</f>
        <v>0</v>
      </c>
      <c r="F15">
        <f>F$2*'survival functions'!F2</f>
        <v>0</v>
      </c>
      <c r="G15">
        <f>G$2*'survival functions'!G2</f>
        <v>0</v>
      </c>
      <c r="H15">
        <f>H$2*'survival functions'!H2</f>
        <v>0</v>
      </c>
      <c r="I15">
        <f>I$2*'survival functions'!I2</f>
        <v>0</v>
      </c>
      <c r="J15">
        <f>J$2*'survival functions'!J2</f>
        <v>0</v>
      </c>
      <c r="K15">
        <f>K$2*'survival functions'!K2</f>
        <v>0</v>
      </c>
      <c r="L15">
        <f>L$2*'survival functions'!L2</f>
        <v>0</v>
      </c>
      <c r="M15">
        <f>M$2*'survival functions'!M2</f>
        <v>0</v>
      </c>
      <c r="N15">
        <f>N$2*'survival functions'!N2</f>
        <v>0</v>
      </c>
      <c r="O15">
        <f>O$2*'survival functions'!O2</f>
        <v>0</v>
      </c>
      <c r="P15">
        <f>P$2*'survival functions'!P2</f>
        <v>0</v>
      </c>
      <c r="R15">
        <f t="shared" ref="R15:R29" si="3">SUM(B15:P15)</f>
        <v>10.843540091681298</v>
      </c>
      <c r="S15">
        <f>R15</f>
        <v>10.843540091681298</v>
      </c>
    </row>
    <row r="16" spans="1:19" x14ac:dyDescent="0.35">
      <c r="A16">
        <v>2023</v>
      </c>
      <c r="B16">
        <f>B$2*'survival functions'!B3</f>
        <v>10.843506357184694</v>
      </c>
      <c r="C16">
        <f>C$2*'survival functions'!C3</f>
        <v>11.060410893514923</v>
      </c>
      <c r="D16">
        <f>D$2*'survival functions'!D3</f>
        <v>0</v>
      </c>
      <c r="E16">
        <f>E$2*'survival functions'!E3</f>
        <v>0</v>
      </c>
      <c r="F16">
        <f>F$2*'survival functions'!F3</f>
        <v>0</v>
      </c>
      <c r="G16">
        <f>G$2*'survival functions'!G3</f>
        <v>0</v>
      </c>
      <c r="H16">
        <f>H$2*'survival functions'!H3</f>
        <v>0</v>
      </c>
      <c r="I16">
        <f>I$2*'survival functions'!I3</f>
        <v>0</v>
      </c>
      <c r="J16">
        <f>J$2*'survival functions'!J3</f>
        <v>0</v>
      </c>
      <c r="K16">
        <f>K$2*'survival functions'!K3</f>
        <v>0</v>
      </c>
      <c r="L16">
        <f>L$2*'survival functions'!L3</f>
        <v>0</v>
      </c>
      <c r="M16">
        <f>M$2*'survival functions'!M3</f>
        <v>0</v>
      </c>
      <c r="N16">
        <f>N$2*'survival functions'!N3</f>
        <v>0</v>
      </c>
      <c r="O16">
        <f>O$2*'survival functions'!O3</f>
        <v>0</v>
      </c>
      <c r="P16">
        <f>P$2*'survival functions'!P3</f>
        <v>0</v>
      </c>
      <c r="R16">
        <f t="shared" si="3"/>
        <v>21.903917250699617</v>
      </c>
      <c r="S16">
        <f>R16-R15</f>
        <v>11.060377159018319</v>
      </c>
    </row>
    <row r="17" spans="1:19" x14ac:dyDescent="0.35">
      <c r="A17">
        <v>2024</v>
      </c>
      <c r="B17">
        <f>B$2*'survival functions'!B4</f>
        <v>10.843199771520986</v>
      </c>
      <c r="C17">
        <f>C$2*'survival functions'!C4</f>
        <v>11.060376484328387</v>
      </c>
      <c r="D17">
        <f>D$2*'survival functions'!D4</f>
        <v>11.281619111385224</v>
      </c>
      <c r="E17">
        <f>E$2*'survival functions'!E4</f>
        <v>0</v>
      </c>
      <c r="F17">
        <f>F$2*'survival functions'!F4</f>
        <v>0</v>
      </c>
      <c r="G17">
        <f>G$2*'survival functions'!G4</f>
        <v>0</v>
      </c>
      <c r="H17">
        <f>H$2*'survival functions'!H4</f>
        <v>0</v>
      </c>
      <c r="I17">
        <f>I$2*'survival functions'!I4</f>
        <v>0</v>
      </c>
      <c r="J17">
        <f>J$2*'survival functions'!J4</f>
        <v>0</v>
      </c>
      <c r="K17">
        <f>K$2*'survival functions'!K4</f>
        <v>0</v>
      </c>
      <c r="L17">
        <f>L$2*'survival functions'!L4</f>
        <v>0</v>
      </c>
      <c r="M17">
        <f>M$2*'survival functions'!M4</f>
        <v>0</v>
      </c>
      <c r="N17">
        <f>N$2*'survival functions'!N4</f>
        <v>0</v>
      </c>
      <c r="O17">
        <f>O$2*'survival functions'!O4</f>
        <v>0</v>
      </c>
      <c r="P17">
        <f>P$2*'survival functions'!P4</f>
        <v>0</v>
      </c>
      <c r="R17">
        <f t="shared" si="3"/>
        <v>33.185195367234599</v>
      </c>
      <c r="S17">
        <f t="shared" ref="S17:S29" si="4">R17-R16</f>
        <v>11.281278116534981</v>
      </c>
    </row>
    <row r="18" spans="1:19" x14ac:dyDescent="0.35">
      <c r="A18">
        <v>2025</v>
      </c>
      <c r="B18">
        <f>B$2*'survival functions'!B5</f>
        <v>10.841020676531903</v>
      </c>
      <c r="C18">
        <f>C$2*'survival functions'!C5</f>
        <v>11.060063766951407</v>
      </c>
      <c r="D18">
        <f>D$2*'survival functions'!D5</f>
        <v>11.281584014014957</v>
      </c>
      <c r="E18">
        <f>E$2*'survival functions'!E5</f>
        <v>11.507251493612927</v>
      </c>
      <c r="F18">
        <f>F$2*'survival functions'!F5</f>
        <v>0</v>
      </c>
      <c r="G18">
        <f>G$2*'survival functions'!G5</f>
        <v>0</v>
      </c>
      <c r="H18">
        <f>H$2*'survival functions'!H5</f>
        <v>0</v>
      </c>
      <c r="I18">
        <f>I$2*'survival functions'!I5</f>
        <v>0</v>
      </c>
      <c r="J18">
        <f>J$2*'survival functions'!J5</f>
        <v>0</v>
      </c>
      <c r="K18">
        <f>K$2*'survival functions'!K5</f>
        <v>0</v>
      </c>
      <c r="L18">
        <f>L$2*'survival functions'!L5</f>
        <v>0</v>
      </c>
      <c r="M18">
        <f>M$2*'survival functions'!M5</f>
        <v>0</v>
      </c>
      <c r="N18">
        <f>N$2*'survival functions'!N5</f>
        <v>0</v>
      </c>
      <c r="O18">
        <f>O$2*'survival functions'!O5</f>
        <v>0</v>
      </c>
      <c r="P18">
        <f>P$2*'survival functions'!P5</f>
        <v>0</v>
      </c>
      <c r="R18">
        <f t="shared" si="3"/>
        <v>44.689919951111193</v>
      </c>
      <c r="S18">
        <f t="shared" si="4"/>
        <v>11.504724583876595</v>
      </c>
    </row>
    <row r="19" spans="1:19" x14ac:dyDescent="0.35">
      <c r="A19">
        <v>2026</v>
      </c>
      <c r="B19">
        <f>B$2*'survival functions'!B6</f>
        <v>10.828905522378426</v>
      </c>
      <c r="C19">
        <f>C$2*'survival functions'!C6</f>
        <v>11.057841090062542</v>
      </c>
      <c r="D19">
        <f>D$2*'survival functions'!D6</f>
        <v>11.281265042290435</v>
      </c>
      <c r="E19">
        <f>E$2*'survival functions'!E6</f>
        <v>11.507215694295255</v>
      </c>
      <c r="F19">
        <f>F$2*'survival functions'!F6</f>
        <v>11.737396523485186</v>
      </c>
      <c r="G19">
        <f>G$2*'survival functions'!G6</f>
        <v>0</v>
      </c>
      <c r="H19">
        <f>H$2*'survival functions'!H6</f>
        <v>0</v>
      </c>
      <c r="I19">
        <f>I$2*'survival functions'!I6</f>
        <v>0</v>
      </c>
      <c r="J19">
        <f>J$2*'survival functions'!J6</f>
        <v>0</v>
      </c>
      <c r="K19">
        <f>K$2*'survival functions'!K6</f>
        <v>0</v>
      </c>
      <c r="L19">
        <f>L$2*'survival functions'!L6</f>
        <v>0</v>
      </c>
      <c r="M19">
        <f>M$2*'survival functions'!M6</f>
        <v>0</v>
      </c>
      <c r="N19">
        <f>N$2*'survival functions'!N6</f>
        <v>0</v>
      </c>
      <c r="O19">
        <f>O$2*'survival functions'!O6</f>
        <v>0</v>
      </c>
      <c r="P19">
        <f>P$2*'survival functions'!P6</f>
        <v>0</v>
      </c>
      <c r="R19">
        <f t="shared" si="3"/>
        <v>56.412623872511844</v>
      </c>
      <c r="S19">
        <f t="shared" si="4"/>
        <v>11.722703921400651</v>
      </c>
    </row>
    <row r="20" spans="1:19" x14ac:dyDescent="0.35">
      <c r="A20">
        <v>2027</v>
      </c>
      <c r="B20">
        <f>B$2*'survival functions'!B7</f>
        <v>10.776208425782405</v>
      </c>
      <c r="C20">
        <f>C$2*'survival functions'!C7</f>
        <v>11.045483632825993</v>
      </c>
      <c r="D20">
        <f>D$2*'survival functions'!D7</f>
        <v>11.278997911863794</v>
      </c>
      <c r="E20">
        <f>E$2*'survival functions'!E7</f>
        <v>11.506890343136243</v>
      </c>
      <c r="F20">
        <f>F$2*'survival functions'!F7</f>
        <v>11.73736000818116</v>
      </c>
      <c r="G20">
        <f>G$2*'survival functions'!G7</f>
        <v>11.972144453954892</v>
      </c>
      <c r="H20">
        <f>H$2*'survival functions'!H7</f>
        <v>0</v>
      </c>
      <c r="I20">
        <f>I$2*'survival functions'!I7</f>
        <v>0</v>
      </c>
      <c r="J20">
        <f>J$2*'survival functions'!J7</f>
        <v>0</v>
      </c>
      <c r="K20">
        <f>K$2*'survival functions'!K7</f>
        <v>0</v>
      </c>
      <c r="L20">
        <f>L$2*'survival functions'!L7</f>
        <v>0</v>
      </c>
      <c r="M20">
        <f>M$2*'survival functions'!M7</f>
        <v>0</v>
      </c>
      <c r="N20">
        <f>N$2*'survival functions'!N7</f>
        <v>0</v>
      </c>
      <c r="O20">
        <f>O$2*'survival functions'!O7</f>
        <v>0</v>
      </c>
      <c r="P20">
        <f>P$2*'survival functions'!P7</f>
        <v>0</v>
      </c>
      <c r="R20">
        <f t="shared" si="3"/>
        <v>68.31708477574449</v>
      </c>
      <c r="S20">
        <f t="shared" si="4"/>
        <v>11.904460903232646</v>
      </c>
    </row>
    <row r="21" spans="1:19" x14ac:dyDescent="0.35">
      <c r="A21">
        <v>2028</v>
      </c>
      <c r="B21">
        <f>B$2*'survival functions'!B8</f>
        <v>10.59685116141422</v>
      </c>
      <c r="C21">
        <f>C$2*'survival functions'!C8</f>
        <v>10.991732594298053</v>
      </c>
      <c r="D21">
        <f>D$2*'survival functions'!D8</f>
        <v>11.266393305482515</v>
      </c>
      <c r="E21">
        <f>E$2*'survival functions'!E8</f>
        <v>11.504577870101068</v>
      </c>
      <c r="F21">
        <f>F$2*'survival functions'!F8</f>
        <v>11.737028149998968</v>
      </c>
      <c r="G21">
        <f>G$2*'survival functions'!G8</f>
        <v>11.972107208344784</v>
      </c>
      <c r="H21">
        <f>H$2*'survival functions'!H8</f>
        <v>12.211587343033989</v>
      </c>
      <c r="I21">
        <f>I$2*'survival functions'!I8</f>
        <v>0</v>
      </c>
      <c r="J21">
        <f>J$2*'survival functions'!J8</f>
        <v>0</v>
      </c>
      <c r="K21">
        <f>K$2*'survival functions'!K8</f>
        <v>0</v>
      </c>
      <c r="L21">
        <f>L$2*'survival functions'!L8</f>
        <v>0</v>
      </c>
      <c r="M21">
        <f>M$2*'survival functions'!M8</f>
        <v>0</v>
      </c>
      <c r="N21">
        <f>N$2*'survival functions'!N8</f>
        <v>0</v>
      </c>
      <c r="O21">
        <f>O$2*'survival functions'!O8</f>
        <v>0</v>
      </c>
      <c r="P21">
        <f>P$2*'survival functions'!P8</f>
        <v>0</v>
      </c>
      <c r="R21">
        <f t="shared" si="3"/>
        <v>80.280277632673588</v>
      </c>
      <c r="S21">
        <f t="shared" si="4"/>
        <v>11.963192856929098</v>
      </c>
    </row>
    <row r="22" spans="1:19" x14ac:dyDescent="0.35">
      <c r="A22">
        <v>2029</v>
      </c>
      <c r="B22">
        <f>B$2*'survival functions'!B9</f>
        <v>10.119116426970043</v>
      </c>
      <c r="C22">
        <f>C$2*'survival functions'!C9</f>
        <v>10.808788184642504</v>
      </c>
      <c r="D22">
        <f>D$2*'survival functions'!D9</f>
        <v>11.211567246184016</v>
      </c>
      <c r="E22">
        <f>E$2*'survival functions'!E9</f>
        <v>11.491721171592165</v>
      </c>
      <c r="F22">
        <f>F$2*'survival functions'!F9</f>
        <v>11.734669427503089</v>
      </c>
      <c r="G22">
        <f>G$2*'survival functions'!G9</f>
        <v>11.97176871299895</v>
      </c>
      <c r="H22">
        <f>H$2*'survival functions'!H9</f>
        <v>12.21154935251168</v>
      </c>
      <c r="I22">
        <f>I$2*'survival functions'!I9</f>
        <v>12.455819089894669</v>
      </c>
      <c r="J22">
        <f>J$2*'survival functions'!J9</f>
        <v>0</v>
      </c>
      <c r="K22">
        <f>K$2*'survival functions'!K9</f>
        <v>0</v>
      </c>
      <c r="L22">
        <f>L$2*'survival functions'!L9</f>
        <v>0</v>
      </c>
      <c r="M22">
        <f>M$2*'survival functions'!M9</f>
        <v>0</v>
      </c>
      <c r="N22">
        <f>N$2*'survival functions'!N9</f>
        <v>0</v>
      </c>
      <c r="O22">
        <f>O$2*'survival functions'!O9</f>
        <v>0</v>
      </c>
      <c r="P22">
        <f>P$2*'survival functions'!P9</f>
        <v>0</v>
      </c>
      <c r="R22">
        <f t="shared" si="3"/>
        <v>92.004999612297127</v>
      </c>
      <c r="S22">
        <f t="shared" si="4"/>
        <v>11.724721979623538</v>
      </c>
    </row>
    <row r="23" spans="1:19" x14ac:dyDescent="0.35">
      <c r="A23">
        <v>2030</v>
      </c>
      <c r="B23">
        <f>B$2*'survival functions'!B10</f>
        <v>9.1231581000872755</v>
      </c>
      <c r="C23">
        <f>C$2*'survival functions'!C10</f>
        <v>10.321498755509445</v>
      </c>
      <c r="D23">
        <f>D$2*'survival functions'!D10</f>
        <v>11.024963948335355</v>
      </c>
      <c r="E23">
        <f>E$2*'survival functions'!E10</f>
        <v>11.435798591107696</v>
      </c>
      <c r="F23">
        <f>F$2*'survival functions'!F10</f>
        <v>11.721555595024007</v>
      </c>
      <c r="G23">
        <f>G$2*'survival functions'!G10</f>
        <v>11.969362816053152</v>
      </c>
      <c r="H23">
        <f>H$2*'survival functions'!H10</f>
        <v>12.211204087258928</v>
      </c>
      <c r="I23">
        <f>I$2*'survival functions'!I10</f>
        <v>12.455780339561914</v>
      </c>
      <c r="J23">
        <f>J$2*'survival functions'!J10</f>
        <v>12.704935471692561</v>
      </c>
      <c r="K23">
        <f>K$2*'survival functions'!K10</f>
        <v>0</v>
      </c>
      <c r="L23">
        <f>L$2*'survival functions'!L10</f>
        <v>0</v>
      </c>
      <c r="M23">
        <f>M$2*'survival functions'!M10</f>
        <v>0</v>
      </c>
      <c r="N23">
        <f>N$2*'survival functions'!N10</f>
        <v>0</v>
      </c>
      <c r="O23">
        <f>O$2*'survival functions'!O10</f>
        <v>0</v>
      </c>
      <c r="P23">
        <f>P$2*'survival functions'!P10</f>
        <v>0</v>
      </c>
      <c r="R23">
        <f t="shared" si="3"/>
        <v>102.96825770463033</v>
      </c>
      <c r="S23">
        <f t="shared" si="4"/>
        <v>10.963258092333206</v>
      </c>
    </row>
    <row r="24" spans="1:19" x14ac:dyDescent="0.35">
      <c r="A24">
        <v>2031</v>
      </c>
      <c r="B24">
        <f>B$2*'survival functions'!B11</f>
        <v>7.4979030700030886</v>
      </c>
      <c r="C24">
        <f>C$2*'survival functions'!C11</f>
        <v>9.3056212620890228</v>
      </c>
      <c r="D24">
        <f>D$2*'survival functions'!D11</f>
        <v>10.527928730619635</v>
      </c>
      <c r="E24">
        <f>E$2*'survival functions'!E11</f>
        <v>11.245463227302062</v>
      </c>
      <c r="F24">
        <f>F$2*'survival functions'!F11</f>
        <v>11.664514562929849</v>
      </c>
      <c r="G24">
        <f>G$2*'survival functions'!G11</f>
        <v>11.95598670692449</v>
      </c>
      <c r="H24">
        <f>H$2*'survival functions'!H11</f>
        <v>12.208750072374217</v>
      </c>
      <c r="I24">
        <f>I$2*'survival functions'!I11</f>
        <v>12.455428169004106</v>
      </c>
      <c r="J24">
        <f>J$2*'survival functions'!J11</f>
        <v>12.704895946353151</v>
      </c>
      <c r="K24">
        <f>K$2*'survival functions'!K11</f>
        <v>12.959034181126414</v>
      </c>
      <c r="L24">
        <f>L$2*'survival functions'!L11</f>
        <v>0</v>
      </c>
      <c r="M24">
        <f>M$2*'survival functions'!M11</f>
        <v>0</v>
      </c>
      <c r="N24">
        <f>N$2*'survival functions'!N11</f>
        <v>0</v>
      </c>
      <c r="O24">
        <f>O$2*'survival functions'!O11</f>
        <v>0</v>
      </c>
      <c r="P24">
        <f>P$2*'survival functions'!P11</f>
        <v>0</v>
      </c>
      <c r="R24">
        <f t="shared" si="3"/>
        <v>112.52552592872603</v>
      </c>
      <c r="S24">
        <f t="shared" si="4"/>
        <v>9.5572682240956937</v>
      </c>
    </row>
    <row r="25" spans="1:19" x14ac:dyDescent="0.35">
      <c r="A25">
        <v>2032</v>
      </c>
      <c r="B25">
        <f>B$2*'survival functions'!B12</f>
        <v>5.4217716000000005</v>
      </c>
      <c r="C25">
        <f>C$2*'survival functions'!C12</f>
        <v>7.6478611314031513</v>
      </c>
      <c r="D25">
        <f>D$2*'survival functions'!D12</f>
        <v>9.4917336873308038</v>
      </c>
      <c r="E25">
        <f>E$2*'survival functions'!E12</f>
        <v>10.738487305232027</v>
      </c>
      <c r="F25">
        <f>F$2*'survival functions'!F12</f>
        <v>11.470372491848103</v>
      </c>
      <c r="G25">
        <f>G$2*'survival functions'!G12</f>
        <v>11.897804854188447</v>
      </c>
      <c r="H25">
        <f>H$2*'survival functions'!H12</f>
        <v>12.195106441062979</v>
      </c>
      <c r="I25">
        <f>I$2*'survival functions'!I12</f>
        <v>12.452925073821701</v>
      </c>
      <c r="J25">
        <f>J$2*'survival functions'!J12</f>
        <v>12.704536732384188</v>
      </c>
      <c r="K25">
        <f>K$2*'survival functions'!K12</f>
        <v>12.958993865280217</v>
      </c>
      <c r="L25">
        <f>L$2*'survival functions'!L12</f>
        <v>13.218214864748941</v>
      </c>
      <c r="M25">
        <f>M$2*'survival functions'!M12</f>
        <v>0</v>
      </c>
      <c r="N25">
        <f>N$2*'survival functions'!N12</f>
        <v>0</v>
      </c>
      <c r="O25">
        <f>O$2*'survival functions'!O12</f>
        <v>0</v>
      </c>
      <c r="P25">
        <f>P$2*'survival functions'!P12</f>
        <v>0</v>
      </c>
      <c r="R25">
        <f t="shared" si="3"/>
        <v>120.19780804730055</v>
      </c>
      <c r="S25">
        <f t="shared" si="4"/>
        <v>7.6722821185745289</v>
      </c>
    </row>
    <row r="26" spans="1:19" x14ac:dyDescent="0.35">
      <c r="A26">
        <v>2033</v>
      </c>
      <c r="B26">
        <f>B$2*'survival functions'!B13</f>
        <v>3.3456401299969118</v>
      </c>
      <c r="C26">
        <f>C$2*'survival functions'!C13</f>
        <v>5.5302070320000007</v>
      </c>
      <c r="D26">
        <f>D$2*'survival functions'!D13</f>
        <v>7.8008183540312146</v>
      </c>
      <c r="E26">
        <f>E$2*'survival functions'!E13</f>
        <v>9.681568361077419</v>
      </c>
      <c r="F26">
        <f>F$2*'survival functions'!F13</f>
        <v>10.953257051336667</v>
      </c>
      <c r="G26">
        <f>G$2*'survival functions'!G13</f>
        <v>11.699779941685067</v>
      </c>
      <c r="H26">
        <f>H$2*'survival functions'!H13</f>
        <v>12.135760951272218</v>
      </c>
      <c r="I26">
        <f>I$2*'survival functions'!I13</f>
        <v>12.439008569884239</v>
      </c>
      <c r="J26">
        <f>J$2*'survival functions'!J13</f>
        <v>12.701983575298133</v>
      </c>
      <c r="K26">
        <f>K$2*'survival functions'!K13</f>
        <v>12.958627467031873</v>
      </c>
      <c r="L26">
        <f>L$2*'survival functions'!L13</f>
        <v>13.218173742585819</v>
      </c>
      <c r="M26">
        <f>M$2*'survival functions'!M13</f>
        <v>13.482579162043921</v>
      </c>
      <c r="N26">
        <f>N$2*'survival functions'!N13</f>
        <v>0</v>
      </c>
      <c r="O26">
        <f>O$2*'survival functions'!O13</f>
        <v>0</v>
      </c>
      <c r="P26">
        <f>P$2*'survival functions'!P13</f>
        <v>0</v>
      </c>
      <c r="R26">
        <f t="shared" si="3"/>
        <v>125.94740433824347</v>
      </c>
      <c r="S26">
        <f t="shared" si="4"/>
        <v>5.7495962909429181</v>
      </c>
    </row>
    <row r="27" spans="1:19" x14ac:dyDescent="0.35">
      <c r="A27">
        <v>2034</v>
      </c>
      <c r="B27">
        <f>B$2*'survival functions'!B14</f>
        <v>1.720385099912725</v>
      </c>
      <c r="C27">
        <f>C$2*'survival functions'!C14</f>
        <v>3.4125529325968502</v>
      </c>
      <c r="D27">
        <f>D$2*'survival functions'!D14</f>
        <v>5.6408111726400012</v>
      </c>
      <c r="E27">
        <f>E$2*'survival functions'!E14</f>
        <v>7.9568347211118384</v>
      </c>
      <c r="F27">
        <f>F$2*'survival functions'!F14</f>
        <v>9.8751997282989681</v>
      </c>
      <c r="G27">
        <f>G$2*'survival functions'!G14</f>
        <v>11.172322192363401</v>
      </c>
      <c r="H27">
        <f>H$2*'survival functions'!H14</f>
        <v>11.933775540518768</v>
      </c>
      <c r="I27">
        <f>I$2*'survival functions'!I14</f>
        <v>12.378476170297661</v>
      </c>
      <c r="J27">
        <f>J$2*'survival functions'!J14</f>
        <v>12.687788741281922</v>
      </c>
      <c r="K27">
        <f>K$2*'survival functions'!K14</f>
        <v>12.956023246804099</v>
      </c>
      <c r="L27">
        <f>L$2*'survival functions'!L14</f>
        <v>13.217800016372509</v>
      </c>
      <c r="M27">
        <f>M$2*'survival functions'!M14</f>
        <v>13.482537217437537</v>
      </c>
      <c r="N27">
        <f>N$2*'survival functions'!N14</f>
        <v>13.7522307452848</v>
      </c>
      <c r="O27">
        <f>O$2*'survival functions'!O14</f>
        <v>0</v>
      </c>
      <c r="P27">
        <f>P$2*'survival functions'!P14</f>
        <v>0</v>
      </c>
      <c r="R27">
        <f t="shared" si="3"/>
        <v>130.18673752492109</v>
      </c>
      <c r="S27">
        <f t="shared" si="4"/>
        <v>4.2393331866776123</v>
      </c>
    </row>
    <row r="28" spans="1:19" x14ac:dyDescent="0.35">
      <c r="A28">
        <v>2035</v>
      </c>
      <c r="B28">
        <f>B$2*'survival functions'!B15</f>
        <v>0.72442677302995739</v>
      </c>
      <c r="C28">
        <f>C$2*'survival functions'!C15</f>
        <v>1.7547928019109797</v>
      </c>
      <c r="D28">
        <f>D$2*'survival functions'!D15</f>
        <v>3.4808039912487878</v>
      </c>
      <c r="E28">
        <f>E$2*'survival functions'!E15</f>
        <v>5.753627396092801</v>
      </c>
      <c r="F28">
        <f>F$2*'survival functions'!F15</f>
        <v>8.1159714155340748</v>
      </c>
      <c r="G28">
        <f>G$2*'survival functions'!G15</f>
        <v>10.072703722864947</v>
      </c>
      <c r="H28">
        <f>H$2*'survival functions'!H15</f>
        <v>11.39576863621067</v>
      </c>
      <c r="I28">
        <f>I$2*'survival functions'!I15</f>
        <v>12.172451051329144</v>
      </c>
      <c r="J28">
        <f>J$2*'survival functions'!J15</f>
        <v>12.626045693703613</v>
      </c>
      <c r="K28">
        <f>K$2*'survival functions'!K15</f>
        <v>12.941544516107562</v>
      </c>
      <c r="L28">
        <f>L$2*'survival functions'!L15</f>
        <v>13.215143711740179</v>
      </c>
      <c r="M28">
        <f>M$2*'survival functions'!M15</f>
        <v>13.48215601669996</v>
      </c>
      <c r="N28">
        <f>N$2*'survival functions'!N15</f>
        <v>13.752187961786287</v>
      </c>
      <c r="O28">
        <f>O$2*'survival functions'!O15</f>
        <v>14.027275360190494</v>
      </c>
      <c r="P28">
        <f>P$2*'survival functions'!P15</f>
        <v>0</v>
      </c>
      <c r="R28">
        <f t="shared" si="3"/>
        <v>133.51489904844948</v>
      </c>
      <c r="S28">
        <f t="shared" si="4"/>
        <v>3.3281615235283937</v>
      </c>
    </row>
    <row r="29" spans="1:19" x14ac:dyDescent="0.35">
      <c r="A29">
        <v>2036</v>
      </c>
      <c r="B29">
        <f>B$2*'survival functions'!B16</f>
        <v>0.24669203858578123</v>
      </c>
      <c r="C29">
        <f>C$2*'survival functions'!C16</f>
        <v>0.73891530849055653</v>
      </c>
      <c r="D29">
        <f>D$2*'survival functions'!D16</f>
        <v>1.7898886579491995</v>
      </c>
      <c r="E29">
        <f>E$2*'survival functions'!E16</f>
        <v>3.5504200710737632</v>
      </c>
      <c r="F29">
        <f>F$2*'survival functions'!F16</f>
        <v>5.868699944014657</v>
      </c>
      <c r="G29">
        <f>G$2*'survival functions'!G16</f>
        <v>8.2782908438447578</v>
      </c>
      <c r="H29">
        <f>H$2*'survival functions'!H16</f>
        <v>10.274157797322248</v>
      </c>
      <c r="I29">
        <f>I$2*'survival functions'!I16</f>
        <v>11.623684008934884</v>
      </c>
      <c r="J29">
        <f>J$2*'survival functions'!J16</f>
        <v>12.415900072355726</v>
      </c>
      <c r="K29">
        <f>K$2*'survival functions'!K16</f>
        <v>12.878566607577687</v>
      </c>
      <c r="L29">
        <f>L$2*'survival functions'!L16</f>
        <v>13.200375406429712</v>
      </c>
      <c r="M29">
        <f>M$2*'survival functions'!M16</f>
        <v>13.479446585974983</v>
      </c>
      <c r="N29">
        <f>N$2*'survival functions'!N16</f>
        <v>13.751799137033961</v>
      </c>
      <c r="O29">
        <f>O$2*'survival functions'!O16</f>
        <v>14.027231721022012</v>
      </c>
      <c r="P29">
        <f>P$2*'survival functions'!P16</f>
        <v>14.307820867394305</v>
      </c>
      <c r="R29">
        <f t="shared" si="3"/>
        <v>136.43188906800421</v>
      </c>
      <c r="S29">
        <f t="shared" si="4"/>
        <v>2.9169900195547314</v>
      </c>
    </row>
    <row r="33" spans="1:19" x14ac:dyDescent="0.35">
      <c r="A33" t="s">
        <v>536</v>
      </c>
      <c r="B33">
        <v>2022</v>
      </c>
      <c r="C33">
        <v>2023</v>
      </c>
      <c r="D33">
        <v>2024</v>
      </c>
      <c r="E33">
        <v>2025</v>
      </c>
      <c r="F33">
        <v>2026</v>
      </c>
      <c r="G33">
        <v>2027</v>
      </c>
      <c r="H33">
        <v>2028</v>
      </c>
      <c r="I33">
        <v>2029</v>
      </c>
      <c r="J33">
        <v>2030</v>
      </c>
      <c r="K33">
        <v>2031</v>
      </c>
      <c r="L33">
        <v>2032</v>
      </c>
      <c r="M33">
        <v>2033</v>
      </c>
      <c r="N33">
        <v>2034</v>
      </c>
      <c r="O33">
        <v>2035</v>
      </c>
      <c r="P33">
        <v>2036</v>
      </c>
      <c r="R33" t="s">
        <v>536</v>
      </c>
      <c r="S33" t="s">
        <v>538</v>
      </c>
    </row>
    <row r="34" spans="1:19" x14ac:dyDescent="0.35">
      <c r="A34">
        <v>2022</v>
      </c>
      <c r="B34">
        <f>B$3*'survival functions'!B22</f>
        <v>10.843540091681298</v>
      </c>
      <c r="C34">
        <f>C$3*'survival functions'!C22</f>
        <v>0</v>
      </c>
      <c r="D34">
        <f>D$3*'survival functions'!D22</f>
        <v>0</v>
      </c>
      <c r="E34">
        <f>E$3*'survival functions'!E22</f>
        <v>0</v>
      </c>
      <c r="F34">
        <f>F$3*'survival functions'!F22</f>
        <v>0</v>
      </c>
      <c r="G34">
        <f>G$3*'survival functions'!G22</f>
        <v>0</v>
      </c>
      <c r="H34">
        <f>H$3*'survival functions'!H22</f>
        <v>0</v>
      </c>
      <c r="I34">
        <f>I$3*'survival functions'!I22</f>
        <v>0</v>
      </c>
      <c r="J34">
        <f>J$3*'survival functions'!J22</f>
        <v>0</v>
      </c>
      <c r="K34">
        <f>K$3*'survival functions'!K22</f>
        <v>0</v>
      </c>
      <c r="L34">
        <f>L$3*'survival functions'!L22</f>
        <v>0</v>
      </c>
      <c r="M34">
        <f>M$3*'survival functions'!M22</f>
        <v>0</v>
      </c>
      <c r="N34">
        <f>N$3*'survival functions'!N22</f>
        <v>0</v>
      </c>
      <c r="O34">
        <f>O$3*'survival functions'!O22</f>
        <v>0</v>
      </c>
      <c r="P34">
        <f>P$3*'survival functions'!P22</f>
        <v>0</v>
      </c>
      <c r="R34">
        <f t="shared" ref="R34:R48" si="5">SUM(B34:P34)</f>
        <v>10.843540091681298</v>
      </c>
      <c r="S34">
        <f>R34</f>
        <v>10.843540091681298</v>
      </c>
    </row>
    <row r="35" spans="1:19" x14ac:dyDescent="0.35">
      <c r="A35">
        <v>2023</v>
      </c>
      <c r="B35">
        <f>B$3*'survival functions'!B23</f>
        <v>10.843199771520986</v>
      </c>
      <c r="C35">
        <f>C$3*'survival functions'!C23</f>
        <v>11.060410893514923</v>
      </c>
      <c r="D35">
        <f>D$3*'survival functions'!D23</f>
        <v>0</v>
      </c>
      <c r="E35">
        <f>E$3*'survival functions'!E23</f>
        <v>0</v>
      </c>
      <c r="F35">
        <f>F$3*'survival functions'!F23</f>
        <v>0</v>
      </c>
      <c r="G35">
        <f>G$3*'survival functions'!G23</f>
        <v>0</v>
      </c>
      <c r="H35">
        <f>H$3*'survival functions'!H23</f>
        <v>0</v>
      </c>
      <c r="I35">
        <f>I$3*'survival functions'!I23</f>
        <v>0</v>
      </c>
      <c r="J35">
        <f>J$3*'survival functions'!J23</f>
        <v>0</v>
      </c>
      <c r="K35">
        <f>K$3*'survival functions'!K23</f>
        <v>0</v>
      </c>
      <c r="L35">
        <f>L$3*'survival functions'!L23</f>
        <v>0</v>
      </c>
      <c r="M35">
        <f>M$3*'survival functions'!M23</f>
        <v>0</v>
      </c>
      <c r="N35">
        <f>N$3*'survival functions'!N23</f>
        <v>0</v>
      </c>
      <c r="O35">
        <f>O$3*'survival functions'!O23</f>
        <v>0</v>
      </c>
      <c r="P35">
        <f>P$3*'survival functions'!P23</f>
        <v>0</v>
      </c>
      <c r="R35">
        <f t="shared" si="5"/>
        <v>21.903610665035909</v>
      </c>
      <c r="S35">
        <f>R35-R34</f>
        <v>11.060070573354611</v>
      </c>
    </row>
    <row r="36" spans="1:19" x14ac:dyDescent="0.35">
      <c r="A36">
        <v>2024</v>
      </c>
      <c r="B36">
        <f>B$3*'survival functions'!B24</f>
        <v>10.828905522378426</v>
      </c>
      <c r="C36">
        <f>C$3*'survival functions'!C24</f>
        <v>11.060063766951407</v>
      </c>
      <c r="D36">
        <f>D$3*'survival functions'!D24</f>
        <v>11.281619111385224</v>
      </c>
      <c r="E36">
        <f>E$3*'survival functions'!E24</f>
        <v>0</v>
      </c>
      <c r="F36">
        <f>F$3*'survival functions'!F24</f>
        <v>0</v>
      </c>
      <c r="G36">
        <f>G$3*'survival functions'!G24</f>
        <v>0</v>
      </c>
      <c r="H36">
        <f>H$3*'survival functions'!H24</f>
        <v>0</v>
      </c>
      <c r="I36">
        <f>I$3*'survival functions'!I24</f>
        <v>0</v>
      </c>
      <c r="J36">
        <f>J$3*'survival functions'!J24</f>
        <v>0</v>
      </c>
      <c r="K36">
        <f>K$3*'survival functions'!K24</f>
        <v>0</v>
      </c>
      <c r="L36">
        <f>L$3*'survival functions'!L24</f>
        <v>0</v>
      </c>
      <c r="M36">
        <f>M$3*'survival functions'!M24</f>
        <v>0</v>
      </c>
      <c r="N36">
        <f>N$3*'survival functions'!N24</f>
        <v>0</v>
      </c>
      <c r="O36">
        <f>O$3*'survival functions'!O24</f>
        <v>0</v>
      </c>
      <c r="P36">
        <f>P$3*'survival functions'!P24</f>
        <v>0</v>
      </c>
      <c r="R36">
        <f t="shared" si="5"/>
        <v>33.170588400715054</v>
      </c>
      <c r="S36">
        <f t="shared" ref="S36:S48" si="6">R36-R35</f>
        <v>11.266977735679145</v>
      </c>
    </row>
    <row r="37" spans="1:19" x14ac:dyDescent="0.35">
      <c r="A37">
        <v>2025</v>
      </c>
      <c r="B37">
        <f>B$3*'survival functions'!B25</f>
        <v>10.59685116141422</v>
      </c>
      <c r="C37">
        <f>C$3*'survival functions'!C25</f>
        <v>11.045483632825993</v>
      </c>
      <c r="D37">
        <f>D$3*'survival functions'!D25</f>
        <v>11.281265042290435</v>
      </c>
      <c r="E37">
        <f>E$3*'survival functions'!E25</f>
        <v>11.507251493612927</v>
      </c>
      <c r="F37">
        <f>F$3*'survival functions'!F25</f>
        <v>0</v>
      </c>
      <c r="G37">
        <f>G$3*'survival functions'!G25</f>
        <v>0</v>
      </c>
      <c r="H37">
        <f>H$3*'survival functions'!H25</f>
        <v>0</v>
      </c>
      <c r="I37">
        <f>I$3*'survival functions'!I25</f>
        <v>0</v>
      </c>
      <c r="J37">
        <f>J$3*'survival functions'!J25</f>
        <v>0</v>
      </c>
      <c r="K37">
        <f>K$3*'survival functions'!K25</f>
        <v>0</v>
      </c>
      <c r="L37">
        <f>L$3*'survival functions'!L25</f>
        <v>0</v>
      </c>
      <c r="M37">
        <f>M$3*'survival functions'!M25</f>
        <v>0</v>
      </c>
      <c r="N37">
        <f>N$3*'survival functions'!N25</f>
        <v>0</v>
      </c>
      <c r="O37">
        <f>O$3*'survival functions'!O25</f>
        <v>0</v>
      </c>
      <c r="P37">
        <f>P$3*'survival functions'!P25</f>
        <v>0</v>
      </c>
      <c r="R37">
        <f t="shared" si="5"/>
        <v>44.430851330143575</v>
      </c>
      <c r="S37">
        <f t="shared" si="6"/>
        <v>11.260262929428521</v>
      </c>
    </row>
    <row r="38" spans="1:19" x14ac:dyDescent="0.35">
      <c r="A38">
        <v>2026</v>
      </c>
      <c r="B38">
        <f>B$3*'survival functions'!B26</f>
        <v>9.1231581000872755</v>
      </c>
      <c r="C38">
        <f>C$3*'survival functions'!C26</f>
        <v>10.808788184642504</v>
      </c>
      <c r="D38">
        <f>D$3*'survival functions'!D26</f>
        <v>11.266393305482515</v>
      </c>
      <c r="E38">
        <f>E$3*'survival functions'!E26</f>
        <v>11.506890343136243</v>
      </c>
      <c r="F38">
        <f>F$3*'survival functions'!F26</f>
        <v>11.737396523485186</v>
      </c>
      <c r="G38">
        <f>G$3*'survival functions'!G26</f>
        <v>0</v>
      </c>
      <c r="H38">
        <f>H$3*'survival functions'!H26</f>
        <v>0</v>
      </c>
      <c r="I38">
        <f>I$3*'survival functions'!I26</f>
        <v>0</v>
      </c>
      <c r="J38">
        <f>J$3*'survival functions'!J26</f>
        <v>0</v>
      </c>
      <c r="K38">
        <f>K$3*'survival functions'!K26</f>
        <v>0</v>
      </c>
      <c r="L38">
        <f>L$3*'survival functions'!L26</f>
        <v>0</v>
      </c>
      <c r="M38">
        <f>M$3*'survival functions'!M26</f>
        <v>0</v>
      </c>
      <c r="N38">
        <f>N$3*'survival functions'!N26</f>
        <v>0</v>
      </c>
      <c r="O38">
        <f>O$3*'survival functions'!O26</f>
        <v>0</v>
      </c>
      <c r="P38">
        <f>P$3*'survival functions'!P26</f>
        <v>0</v>
      </c>
      <c r="R38">
        <f t="shared" si="5"/>
        <v>54.442626456833722</v>
      </c>
      <c r="S38">
        <f t="shared" si="6"/>
        <v>10.011775126690146</v>
      </c>
    </row>
    <row r="39" spans="1:19" x14ac:dyDescent="0.35">
      <c r="A39">
        <v>2027</v>
      </c>
      <c r="B39">
        <f>B$3*'survival functions'!B27</f>
        <v>5.4217716000000005</v>
      </c>
      <c r="C39">
        <f>C$3*'survival functions'!C27</f>
        <v>9.3056212620890228</v>
      </c>
      <c r="D39">
        <f>D$3*'survival functions'!D27</f>
        <v>11.024963948335355</v>
      </c>
      <c r="E39">
        <f>E$3*'survival functions'!E27</f>
        <v>11.491721171592165</v>
      </c>
      <c r="F39">
        <f>F$3*'survival functions'!F27</f>
        <v>11.737028149998968</v>
      </c>
      <c r="G39">
        <f>G$3*'survival functions'!G27</f>
        <v>11.972144453954892</v>
      </c>
      <c r="H39">
        <f>H$3*'survival functions'!H27</f>
        <v>0</v>
      </c>
      <c r="I39">
        <f>I$3*'survival functions'!I27</f>
        <v>0</v>
      </c>
      <c r="J39">
        <f>J$3*'survival functions'!J27</f>
        <v>0</v>
      </c>
      <c r="K39">
        <f>K$3*'survival functions'!K27</f>
        <v>0</v>
      </c>
      <c r="L39">
        <f>L$3*'survival functions'!L27</f>
        <v>0</v>
      </c>
      <c r="M39">
        <f>M$3*'survival functions'!M27</f>
        <v>0</v>
      </c>
      <c r="N39">
        <f>N$3*'survival functions'!N27</f>
        <v>0</v>
      </c>
      <c r="O39">
        <f>O$3*'survival functions'!O27</f>
        <v>0</v>
      </c>
      <c r="P39">
        <f>P$3*'survival functions'!P27</f>
        <v>0</v>
      </c>
      <c r="R39">
        <f t="shared" si="5"/>
        <v>60.953250585970402</v>
      </c>
      <c r="S39">
        <f t="shared" si="6"/>
        <v>6.51062412913668</v>
      </c>
    </row>
    <row r="40" spans="1:19" x14ac:dyDescent="0.35">
      <c r="A40">
        <v>2028</v>
      </c>
      <c r="B40">
        <f>B$3*'survival functions'!B28</f>
        <v>1.720385099912725</v>
      </c>
      <c r="C40">
        <f>C$3*'survival functions'!C28</f>
        <v>5.5302070320000007</v>
      </c>
      <c r="D40">
        <f>D$3*'survival functions'!D28</f>
        <v>9.4917336873308038</v>
      </c>
      <c r="E40">
        <f>E$3*'survival functions'!E28</f>
        <v>11.245463227302062</v>
      </c>
      <c r="F40">
        <f>F$3*'survival functions'!F28</f>
        <v>11.721555595024007</v>
      </c>
      <c r="G40">
        <f>G$3*'survival functions'!G28</f>
        <v>11.97176871299895</v>
      </c>
      <c r="H40">
        <f>H$3*'survival functions'!H28</f>
        <v>12.211587343033989</v>
      </c>
      <c r="I40">
        <f>I$3*'survival functions'!I28</f>
        <v>0</v>
      </c>
      <c r="J40">
        <f>J$3*'survival functions'!J28</f>
        <v>0</v>
      </c>
      <c r="K40">
        <f>K$3*'survival functions'!K28</f>
        <v>0</v>
      </c>
      <c r="L40">
        <f>L$3*'survival functions'!L28</f>
        <v>0</v>
      </c>
      <c r="M40">
        <f>M$3*'survival functions'!M28</f>
        <v>0</v>
      </c>
      <c r="N40">
        <f>N$3*'survival functions'!N28</f>
        <v>0</v>
      </c>
      <c r="O40">
        <f>O$3*'survival functions'!O28</f>
        <v>0</v>
      </c>
      <c r="P40">
        <f>P$3*'survival functions'!P28</f>
        <v>0</v>
      </c>
      <c r="R40">
        <f t="shared" si="5"/>
        <v>63.892700697602542</v>
      </c>
      <c r="S40">
        <f t="shared" si="6"/>
        <v>2.9394501116321408</v>
      </c>
    </row>
    <row r="41" spans="1:19" x14ac:dyDescent="0.35">
      <c r="A41">
        <v>2029</v>
      </c>
      <c r="B41">
        <f>B$3*'survival functions'!B29</f>
        <v>0.24669203858578123</v>
      </c>
      <c r="C41">
        <f>C$3*'survival functions'!C29</f>
        <v>1.7547928019109797</v>
      </c>
      <c r="D41">
        <f>D$3*'survival functions'!D29</f>
        <v>5.6408111726400012</v>
      </c>
      <c r="E41">
        <f>E$3*'survival functions'!E29</f>
        <v>9.681568361077419</v>
      </c>
      <c r="F41">
        <f>F$3*'survival functions'!F29</f>
        <v>11.470372491848103</v>
      </c>
      <c r="G41">
        <f>G$3*'survival functions'!G29</f>
        <v>11.95598670692449</v>
      </c>
      <c r="H41">
        <f>H$3*'survival functions'!H29</f>
        <v>12.211204087258928</v>
      </c>
      <c r="I41">
        <f>I$3*'survival functions'!I29</f>
        <v>12.455819089894669</v>
      </c>
      <c r="J41">
        <f>J$3*'survival functions'!J29</f>
        <v>0</v>
      </c>
      <c r="K41">
        <f>K$3*'survival functions'!K29</f>
        <v>0</v>
      </c>
      <c r="L41">
        <f>L$3*'survival functions'!L29</f>
        <v>0</v>
      </c>
      <c r="M41">
        <f>M$3*'survival functions'!M29</f>
        <v>0</v>
      </c>
      <c r="N41">
        <f>N$3*'survival functions'!N29</f>
        <v>0</v>
      </c>
      <c r="O41">
        <f>O$3*'survival functions'!O29</f>
        <v>0</v>
      </c>
      <c r="P41">
        <f>P$3*'survival functions'!P29</f>
        <v>0</v>
      </c>
      <c r="R41">
        <f t="shared" si="5"/>
        <v>65.417246750140379</v>
      </c>
      <c r="S41">
        <f t="shared" si="6"/>
        <v>1.5245460525378363</v>
      </c>
    </row>
    <row r="42" spans="1:19" x14ac:dyDescent="0.35">
      <c r="A42">
        <v>2030</v>
      </c>
      <c r="B42">
        <f>B$3*'survival functions'!B30</f>
        <v>1.4637677621575881E-2</v>
      </c>
      <c r="C42">
        <f>C$3*'survival functions'!C30</f>
        <v>0.25162587935749686</v>
      </c>
      <c r="D42">
        <f>D$3*'survival functions'!D30</f>
        <v>1.7898886579491995</v>
      </c>
      <c r="E42">
        <f>E$3*'survival functions'!E30</f>
        <v>5.753627396092801</v>
      </c>
      <c r="F42">
        <f>F$3*'survival functions'!F30</f>
        <v>9.8751997282989681</v>
      </c>
      <c r="G42">
        <f>G$3*'survival functions'!G30</f>
        <v>11.699779941685067</v>
      </c>
      <c r="H42">
        <f>H$3*'survival functions'!H30</f>
        <v>12.195106441062979</v>
      </c>
      <c r="I42">
        <f>I$3*'survival functions'!I30</f>
        <v>12.455428169004106</v>
      </c>
      <c r="J42">
        <f>J$3*'survival functions'!J30</f>
        <v>12.704935471692561</v>
      </c>
      <c r="K42">
        <f>K$3*'survival functions'!K30</f>
        <v>0</v>
      </c>
      <c r="L42">
        <f>L$3*'survival functions'!L30</f>
        <v>0</v>
      </c>
      <c r="M42">
        <f>M$3*'survival functions'!M30</f>
        <v>0</v>
      </c>
      <c r="N42">
        <f>N$3*'survival functions'!N30</f>
        <v>0</v>
      </c>
      <c r="O42">
        <f>O$3*'survival functions'!O30</f>
        <v>0</v>
      </c>
      <c r="P42">
        <f>P$3*'survival functions'!P30</f>
        <v>0</v>
      </c>
      <c r="R42">
        <f t="shared" si="5"/>
        <v>66.740229362764765</v>
      </c>
      <c r="S42">
        <f t="shared" si="6"/>
        <v>1.3229826126243864</v>
      </c>
    </row>
    <row r="43" spans="1:19" x14ac:dyDescent="0.35">
      <c r="A43">
        <v>2031</v>
      </c>
      <c r="B43">
        <f>B$3*'survival functions'!B31</f>
        <v>3.4342847901508243E-4</v>
      </c>
      <c r="C43">
        <f>C$3*'survival functions'!C31</f>
        <v>1.49304311740074E-2</v>
      </c>
      <c r="D43">
        <f>D$3*'survival functions'!D31</f>
        <v>0.25665839694464682</v>
      </c>
      <c r="E43">
        <f>E$3*'survival functions'!E31</f>
        <v>1.8256864311081833</v>
      </c>
      <c r="F43">
        <f>F$3*'survival functions'!F31</f>
        <v>5.868699944014657</v>
      </c>
      <c r="G43">
        <f>G$3*'survival functions'!G31</f>
        <v>10.072703722864947</v>
      </c>
      <c r="H43">
        <f>H$3*'survival functions'!H31</f>
        <v>11.933775540518768</v>
      </c>
      <c r="I43">
        <f>I$3*'survival functions'!I31</f>
        <v>12.439008569884239</v>
      </c>
      <c r="J43">
        <f>J$3*'survival functions'!J31</f>
        <v>12.704536732384188</v>
      </c>
      <c r="K43">
        <f>K$3*'survival functions'!K31</f>
        <v>12.959034181126414</v>
      </c>
      <c r="L43">
        <f>L$3*'survival functions'!L31</f>
        <v>0</v>
      </c>
      <c r="M43">
        <f>M$3*'survival functions'!M31</f>
        <v>0</v>
      </c>
      <c r="N43">
        <f>N$3*'survival functions'!N31</f>
        <v>0</v>
      </c>
      <c r="O43">
        <f>O$3*'survival functions'!O31</f>
        <v>0</v>
      </c>
      <c r="P43">
        <f>P$3*'survival functions'!P31</f>
        <v>0</v>
      </c>
      <c r="R43">
        <f t="shared" si="5"/>
        <v>68.075377378499056</v>
      </c>
      <c r="S43">
        <f t="shared" si="6"/>
        <v>1.3351480157342905</v>
      </c>
    </row>
    <row r="44" spans="1:19" x14ac:dyDescent="0.35">
      <c r="A44">
        <v>2032</v>
      </c>
      <c r="B44">
        <f>B$3*'survival functions'!B32</f>
        <v>3.1083187030199376E-6</v>
      </c>
      <c r="C44">
        <f>C$3*'survival functions'!C32</f>
        <v>3.5029704859538413E-4</v>
      </c>
      <c r="D44">
        <f>D$3*'survival functions'!D32</f>
        <v>1.522903979748755E-2</v>
      </c>
      <c r="E44">
        <f>E$3*'survival functions'!E32</f>
        <v>0.26179156488353977</v>
      </c>
      <c r="F44">
        <f>F$3*'survival functions'!F32</f>
        <v>1.862200159730347</v>
      </c>
      <c r="G44">
        <f>G$3*'survival functions'!G32</f>
        <v>5.9860739428949508</v>
      </c>
      <c r="H44">
        <f>H$3*'survival functions'!H32</f>
        <v>10.274157797322248</v>
      </c>
      <c r="I44">
        <f>I$3*'survival functions'!I32</f>
        <v>12.172451051329144</v>
      </c>
      <c r="J44">
        <f>J$3*'survival functions'!J32</f>
        <v>12.687788741281922</v>
      </c>
      <c r="K44">
        <f>K$3*'survival functions'!K32</f>
        <v>12.958627467031873</v>
      </c>
      <c r="L44">
        <f>L$3*'survival functions'!L32</f>
        <v>13.218214864748941</v>
      </c>
      <c r="M44">
        <f>M$3*'survival functions'!M32</f>
        <v>0</v>
      </c>
      <c r="N44">
        <f>N$3*'survival functions'!N32</f>
        <v>0</v>
      </c>
      <c r="O44">
        <f>O$3*'survival functions'!O32</f>
        <v>0</v>
      </c>
      <c r="P44">
        <f>P$3*'survival functions'!P32</f>
        <v>0</v>
      </c>
      <c r="R44">
        <f t="shared" si="5"/>
        <v>69.436888034387749</v>
      </c>
      <c r="S44">
        <f t="shared" si="6"/>
        <v>1.3615106558886936</v>
      </c>
    </row>
    <row r="45" spans="1:19" x14ac:dyDescent="0.35">
      <c r="A45">
        <v>2033</v>
      </c>
      <c r="B45">
        <f>B$3*'survival functions'!B33</f>
        <v>1.0698105749552508E-8</v>
      </c>
      <c r="C45">
        <f>C$3*'survival functions'!C33</f>
        <v>3.1704850770803368E-6</v>
      </c>
      <c r="D45">
        <f>D$3*'survival functions'!D33</f>
        <v>3.5730298956729181E-4</v>
      </c>
      <c r="E45">
        <f>E$3*'survival functions'!E33</f>
        <v>1.5533620593437299E-2</v>
      </c>
      <c r="F45">
        <f>F$3*'survival functions'!F33</f>
        <v>0.26702739618121057</v>
      </c>
      <c r="G45">
        <f>G$3*'survival functions'!G33</f>
        <v>1.8994441629249541</v>
      </c>
      <c r="H45">
        <f>H$3*'survival functions'!H33</f>
        <v>6.1057954217528501</v>
      </c>
      <c r="I45">
        <f>I$3*'survival functions'!I33</f>
        <v>10.479640953268692</v>
      </c>
      <c r="J45">
        <f>J$3*'survival functions'!J33</f>
        <v>12.415900072355726</v>
      </c>
      <c r="K45">
        <f>K$3*'survival functions'!K33</f>
        <v>12.941544516107562</v>
      </c>
      <c r="L45">
        <f>L$3*'survival functions'!L33</f>
        <v>13.217800016372509</v>
      </c>
      <c r="M45">
        <f>M$3*'survival functions'!M33</f>
        <v>13.482579162043921</v>
      </c>
      <c r="N45">
        <f>N$3*'survival functions'!N33</f>
        <v>0</v>
      </c>
      <c r="O45">
        <f>O$3*'survival functions'!O33</f>
        <v>0</v>
      </c>
      <c r="P45">
        <f>P$3*'survival functions'!P33</f>
        <v>0</v>
      </c>
      <c r="R45">
        <f t="shared" si="5"/>
        <v>70.825625805773612</v>
      </c>
      <c r="S45">
        <f t="shared" si="6"/>
        <v>1.3887377713858626</v>
      </c>
    </row>
    <row r="46" spans="1:19" x14ac:dyDescent="0.35">
      <c r="A46">
        <v>2034</v>
      </c>
      <c r="B46">
        <f>B$3*'survival functions'!B34</f>
        <v>1.3877702607527948E-11</v>
      </c>
      <c r="C46">
        <f>C$3*'survival functions'!C34</f>
        <v>1.0912067864543559E-8</v>
      </c>
      <c r="D46">
        <f>D$3*'survival functions'!D34</f>
        <v>3.2338947786219437E-6</v>
      </c>
      <c r="E46">
        <f>E$3*'survival functions'!E34</f>
        <v>3.6444904935863765E-4</v>
      </c>
      <c r="F46">
        <f>F$3*'survival functions'!F34</f>
        <v>1.5844293005306046E-2</v>
      </c>
      <c r="G46">
        <f>G$3*'survival functions'!G34</f>
        <v>0.27236794410483478</v>
      </c>
      <c r="H46">
        <f>H$3*'survival functions'!H34</f>
        <v>1.9374330461834532</v>
      </c>
      <c r="I46">
        <f>I$3*'survival functions'!I34</f>
        <v>6.227911330187907</v>
      </c>
      <c r="J46">
        <f>J$3*'survival functions'!J34</f>
        <v>10.689233772334065</v>
      </c>
      <c r="K46">
        <f>K$3*'survival functions'!K34</f>
        <v>12.664218073802841</v>
      </c>
      <c r="L46">
        <f>L$3*'survival functions'!L34</f>
        <v>13.200375406429712</v>
      </c>
      <c r="M46">
        <f>M$3*'survival functions'!M34</f>
        <v>13.48215601669996</v>
      </c>
      <c r="N46">
        <f>N$3*'survival functions'!N34</f>
        <v>13.7522307452848</v>
      </c>
      <c r="O46">
        <f>O$3*'survival functions'!O34</f>
        <v>0</v>
      </c>
      <c r="P46">
        <f>P$3*'survival functions'!P34</f>
        <v>0</v>
      </c>
      <c r="R46">
        <f t="shared" si="5"/>
        <v>72.242138321902971</v>
      </c>
      <c r="S46">
        <f t="shared" si="6"/>
        <v>1.4165125161293588</v>
      </c>
    </row>
    <row r="47" spans="1:19" x14ac:dyDescent="0.35">
      <c r="A47">
        <v>2035</v>
      </c>
      <c r="B47">
        <f>B$3*'survival functions'!B35</f>
        <v>6.7457254732612434E-15</v>
      </c>
      <c r="C47">
        <f>C$3*'survival functions'!C35</f>
        <v>1.4155256659678509E-11</v>
      </c>
      <c r="D47">
        <f>D$3*'survival functions'!D35</f>
        <v>1.113030922183443E-8</v>
      </c>
      <c r="E47">
        <f>E$3*'survival functions'!E35</f>
        <v>3.2985726741943825E-6</v>
      </c>
      <c r="F47">
        <f>F$3*'survival functions'!F35</f>
        <v>3.7173803034581043E-4</v>
      </c>
      <c r="G47">
        <f>G$3*'survival functions'!G35</f>
        <v>1.6161178865412167E-2</v>
      </c>
      <c r="H47">
        <f>H$3*'survival functions'!H35</f>
        <v>0.27781530298693152</v>
      </c>
      <c r="I47">
        <f>I$3*'survival functions'!I35</f>
        <v>1.9761817071071224</v>
      </c>
      <c r="J47">
        <f>J$3*'survival functions'!J35</f>
        <v>6.3524695567916645</v>
      </c>
      <c r="K47">
        <f>K$3*'survival functions'!K35</f>
        <v>10.903018447780747</v>
      </c>
      <c r="L47">
        <f>L$3*'survival functions'!L35</f>
        <v>12.917502435278898</v>
      </c>
      <c r="M47">
        <f>M$3*'survival functions'!M35</f>
        <v>13.464382914558309</v>
      </c>
      <c r="N47">
        <f>N$3*'survival functions'!N35</f>
        <v>13.751799137033961</v>
      </c>
      <c r="O47">
        <f>O$3*'survival functions'!O35</f>
        <v>14.027275360190494</v>
      </c>
      <c r="P47">
        <f>P$3*'survival functions'!P35</f>
        <v>0</v>
      </c>
      <c r="R47">
        <f t="shared" si="5"/>
        <v>73.686981088341028</v>
      </c>
      <c r="S47">
        <f t="shared" si="6"/>
        <v>1.4448427664380574</v>
      </c>
    </row>
    <row r="48" spans="1:19" x14ac:dyDescent="0.35">
      <c r="A48">
        <v>2036</v>
      </c>
      <c r="B48">
        <f>B$3*'survival functions'!B36</f>
        <v>1.2237897134979516E-18</v>
      </c>
      <c r="C48">
        <f>C$3*'survival functions'!C36</f>
        <v>6.8806399827264687E-15</v>
      </c>
      <c r="D48">
        <f>D$3*'survival functions'!D36</f>
        <v>1.443836179287208E-11</v>
      </c>
      <c r="E48">
        <f>E$3*'survival functions'!E36</f>
        <v>1.1352915406271118E-8</v>
      </c>
      <c r="F48">
        <f>F$3*'survival functions'!F36</f>
        <v>3.3645441276782699E-6</v>
      </c>
      <c r="G48">
        <f>G$3*'survival functions'!G36</f>
        <v>3.7917279095272665E-4</v>
      </c>
      <c r="H48">
        <f>H$3*'survival functions'!H36</f>
        <v>1.6484402442720411E-2</v>
      </c>
      <c r="I48">
        <f>I$3*'survival functions'!I36</f>
        <v>0.28337160904667014</v>
      </c>
      <c r="J48">
        <f>J$3*'survival functions'!J36</f>
        <v>2.0157053412492645</v>
      </c>
      <c r="K48">
        <f>K$3*'survival functions'!K36</f>
        <v>6.4795189479274988</v>
      </c>
      <c r="L48">
        <f>L$3*'survival functions'!L36</f>
        <v>11.121078816736361</v>
      </c>
      <c r="M48">
        <f>M$3*'survival functions'!M36</f>
        <v>13.175852483984476</v>
      </c>
      <c r="N48">
        <f>N$3*'survival functions'!N36</f>
        <v>13.733670572849475</v>
      </c>
      <c r="O48">
        <f>O$3*'survival functions'!O36</f>
        <v>14.026835119774638</v>
      </c>
      <c r="P48">
        <f>P$3*'survival functions'!P36</f>
        <v>14.307820867394305</v>
      </c>
      <c r="R48">
        <f t="shared" si="5"/>
        <v>75.160720710107853</v>
      </c>
      <c r="S48">
        <f t="shared" si="6"/>
        <v>1.4737396217668248</v>
      </c>
    </row>
    <row r="52" spans="1:19" x14ac:dyDescent="0.35">
      <c r="A52" t="s">
        <v>537</v>
      </c>
      <c r="B52">
        <v>2022</v>
      </c>
      <c r="C52">
        <v>2023</v>
      </c>
      <c r="D52">
        <v>2024</v>
      </c>
      <c r="E52">
        <v>2025</v>
      </c>
      <c r="F52">
        <v>2026</v>
      </c>
      <c r="G52">
        <v>2027</v>
      </c>
      <c r="H52">
        <v>2028</v>
      </c>
      <c r="I52">
        <v>2029</v>
      </c>
      <c r="J52">
        <v>2030</v>
      </c>
      <c r="K52">
        <v>2031</v>
      </c>
      <c r="L52">
        <v>2032</v>
      </c>
      <c r="M52">
        <v>2033</v>
      </c>
      <c r="N52">
        <v>2034</v>
      </c>
      <c r="O52">
        <v>2035</v>
      </c>
      <c r="P52">
        <v>2036</v>
      </c>
      <c r="R52" t="s">
        <v>537</v>
      </c>
      <c r="S52" t="s">
        <v>538</v>
      </c>
    </row>
    <row r="53" spans="1:19" x14ac:dyDescent="0.35">
      <c r="A53">
        <v>2022</v>
      </c>
      <c r="B53">
        <f>B$4*'survival functions'!B42</f>
        <v>32.530620275043887</v>
      </c>
      <c r="C53">
        <f>C$4*'survival functions'!C42</f>
        <v>0</v>
      </c>
      <c r="D53">
        <f>D$4*'survival functions'!D42</f>
        <v>0</v>
      </c>
      <c r="E53">
        <f>E$4*'survival functions'!E42</f>
        <v>0</v>
      </c>
      <c r="F53">
        <f>F$4*'survival functions'!F42</f>
        <v>0</v>
      </c>
      <c r="G53">
        <f>G$4*'survival functions'!G42</f>
        <v>0</v>
      </c>
      <c r="H53">
        <f>H$4*'survival functions'!H42</f>
        <v>0</v>
      </c>
      <c r="I53">
        <f>I$4*'survival functions'!I42</f>
        <v>0</v>
      </c>
      <c r="J53">
        <f>J$4*'survival functions'!J42</f>
        <v>0</v>
      </c>
      <c r="K53">
        <f>K$4*'survival functions'!K42</f>
        <v>0</v>
      </c>
      <c r="L53">
        <f>L$4*'survival functions'!L42</f>
        <v>0</v>
      </c>
      <c r="M53">
        <f>M$4*'survival functions'!M42</f>
        <v>0</v>
      </c>
      <c r="N53">
        <f>N$4*'survival functions'!N42</f>
        <v>0</v>
      </c>
      <c r="O53">
        <f>O$4*'survival functions'!O42</f>
        <v>0</v>
      </c>
      <c r="P53">
        <f>P$4*'survival functions'!P42</f>
        <v>0</v>
      </c>
      <c r="R53">
        <f t="shared" ref="R53:R67" si="7">SUM(B53:P53)</f>
        <v>32.530620275043887</v>
      </c>
      <c r="S53">
        <f>R53</f>
        <v>32.530620275043887</v>
      </c>
    </row>
    <row r="54" spans="1:19" x14ac:dyDescent="0.35">
      <c r="A54">
        <v>2023</v>
      </c>
      <c r="B54">
        <f>B$4*'survival functions'!B43</f>
        <v>16.265314799999999</v>
      </c>
      <c r="C54">
        <f>C$4*'survival functions'!C43</f>
        <v>33.181232680544767</v>
      </c>
      <c r="D54">
        <f>D$4*'survival functions'!D43</f>
        <v>0</v>
      </c>
      <c r="E54">
        <f>E$4*'survival functions'!E43</f>
        <v>0</v>
      </c>
      <c r="F54">
        <f>F$4*'survival functions'!F43</f>
        <v>0</v>
      </c>
      <c r="G54">
        <f>G$4*'survival functions'!G43</f>
        <v>0</v>
      </c>
      <c r="H54">
        <f>H$4*'survival functions'!H43</f>
        <v>0</v>
      </c>
      <c r="I54">
        <f>I$4*'survival functions'!I43</f>
        <v>0</v>
      </c>
      <c r="J54">
        <f>J$4*'survival functions'!J43</f>
        <v>0</v>
      </c>
      <c r="K54">
        <f>K$4*'survival functions'!K43</f>
        <v>0</v>
      </c>
      <c r="L54">
        <f>L$4*'survival functions'!L43</f>
        <v>0</v>
      </c>
      <c r="M54">
        <f>M$4*'survival functions'!M43</f>
        <v>0</v>
      </c>
      <c r="N54">
        <f>N$4*'survival functions'!N43</f>
        <v>0</v>
      </c>
      <c r="O54">
        <f>O$4*'survival functions'!O43</f>
        <v>0</v>
      </c>
      <c r="P54">
        <f>P$4*'survival functions'!P43</f>
        <v>0</v>
      </c>
      <c r="R54">
        <f t="shared" si="7"/>
        <v>49.446547480544766</v>
      </c>
      <c r="S54">
        <f>R54-R53</f>
        <v>16.915927205500878</v>
      </c>
    </row>
    <row r="55" spans="1:19" x14ac:dyDescent="0.35">
      <c r="A55">
        <v>2024</v>
      </c>
      <c r="B55">
        <f>B$4*'survival functions'!B44</f>
        <v>9.3249561090598111E-6</v>
      </c>
      <c r="C55">
        <f>C$4*'survival functions'!C44</f>
        <v>16.590621096</v>
      </c>
      <c r="D55">
        <f>D$4*'survival functions'!D44</f>
        <v>33.84485733415567</v>
      </c>
      <c r="E55">
        <f>E$4*'survival functions'!E44</f>
        <v>0</v>
      </c>
      <c r="F55">
        <f>F$4*'survival functions'!F44</f>
        <v>0</v>
      </c>
      <c r="G55">
        <f>G$4*'survival functions'!G44</f>
        <v>0</v>
      </c>
      <c r="H55">
        <f>H$4*'survival functions'!H44</f>
        <v>0</v>
      </c>
      <c r="I55">
        <f>I$4*'survival functions'!I44</f>
        <v>0</v>
      </c>
      <c r="J55">
        <f>J$4*'survival functions'!J44</f>
        <v>0</v>
      </c>
      <c r="K55">
        <f>K$4*'survival functions'!K44</f>
        <v>0</v>
      </c>
      <c r="L55">
        <f>L$4*'survival functions'!L44</f>
        <v>0</v>
      </c>
      <c r="M55">
        <f>M$4*'survival functions'!M44</f>
        <v>0</v>
      </c>
      <c r="N55">
        <f>N$4*'survival functions'!N44</f>
        <v>0</v>
      </c>
      <c r="O55">
        <f>O$4*'survival functions'!O44</f>
        <v>0</v>
      </c>
      <c r="P55">
        <f>P$4*'survival functions'!P44</f>
        <v>0</v>
      </c>
      <c r="R55">
        <f t="shared" si="7"/>
        <v>50.43548775511178</v>
      </c>
      <c r="S55">
        <f t="shared" ref="S55:S67" si="8">R55-R54</f>
        <v>0.98894027456701394</v>
      </c>
    </row>
    <row r="56" spans="1:19" x14ac:dyDescent="0.35">
      <c r="A56">
        <v>2025</v>
      </c>
      <c r="B56">
        <f>B$4*'survival functions'!B45</f>
        <v>2.4787861633540406E-22</v>
      </c>
      <c r="C56">
        <f>C$4*'survival functions'!C45</f>
        <v>9.5114552312410082E-6</v>
      </c>
      <c r="D56">
        <f>D$4*'survival functions'!D45</f>
        <v>16.922433517920002</v>
      </c>
      <c r="E56">
        <f>E$4*'survival functions'!E45</f>
        <v>34.52175448083878</v>
      </c>
      <c r="F56">
        <f>F$4*'survival functions'!F45</f>
        <v>0</v>
      </c>
      <c r="G56">
        <f>G$4*'survival functions'!G45</f>
        <v>0</v>
      </c>
      <c r="H56">
        <f>H$4*'survival functions'!H45</f>
        <v>0</v>
      </c>
      <c r="I56">
        <f>I$4*'survival functions'!I45</f>
        <v>0</v>
      </c>
      <c r="J56">
        <f>J$4*'survival functions'!J45</f>
        <v>0</v>
      </c>
      <c r="K56">
        <f>K$4*'survival functions'!K45</f>
        <v>0</v>
      </c>
      <c r="L56">
        <f>L$4*'survival functions'!L45</f>
        <v>0</v>
      </c>
      <c r="M56">
        <f>M$4*'survival functions'!M45</f>
        <v>0</v>
      </c>
      <c r="N56">
        <f>N$4*'survival functions'!N45</f>
        <v>0</v>
      </c>
      <c r="O56">
        <f>O$4*'survival functions'!O45</f>
        <v>0</v>
      </c>
      <c r="P56">
        <f>P$4*'survival functions'!P45</f>
        <v>0</v>
      </c>
      <c r="R56">
        <f t="shared" si="7"/>
        <v>51.444197510214011</v>
      </c>
      <c r="S56">
        <f t="shared" si="8"/>
        <v>1.008709755102231</v>
      </c>
    </row>
    <row r="57" spans="1:19" x14ac:dyDescent="0.35">
      <c r="A57">
        <v>2026</v>
      </c>
      <c r="B57">
        <f>B$4*'survival functions'!B46</f>
        <v>1.1941884170396118E-49</v>
      </c>
      <c r="C57">
        <f>C$4*'survival functions'!C46</f>
        <v>2.5283618866211219E-22</v>
      </c>
      <c r="D57">
        <f>D$4*'survival functions'!D46</f>
        <v>9.7016843358658297E-6</v>
      </c>
      <c r="E57">
        <f>E$4*'survival functions'!E46</f>
        <v>17.260882188278401</v>
      </c>
      <c r="F57">
        <f>F$4*'survival functions'!F46</f>
        <v>35.212189570455557</v>
      </c>
      <c r="G57">
        <f>G$4*'survival functions'!G46</f>
        <v>0</v>
      </c>
      <c r="H57">
        <f>H$4*'survival functions'!H46</f>
        <v>0</v>
      </c>
      <c r="I57">
        <f>I$4*'survival functions'!I46</f>
        <v>0</v>
      </c>
      <c r="J57">
        <f>J$4*'survival functions'!J46</f>
        <v>0</v>
      </c>
      <c r="K57">
        <f>K$4*'survival functions'!K46</f>
        <v>0</v>
      </c>
      <c r="L57">
        <f>L$4*'survival functions'!L46</f>
        <v>0</v>
      </c>
      <c r="M57">
        <f>M$4*'survival functions'!M46</f>
        <v>0</v>
      </c>
      <c r="N57">
        <f>N$4*'survival functions'!N46</f>
        <v>0</v>
      </c>
      <c r="O57">
        <f>O$4*'survival functions'!O46</f>
        <v>0</v>
      </c>
      <c r="P57">
        <f>P$4*'survival functions'!P46</f>
        <v>0</v>
      </c>
      <c r="R57">
        <f t="shared" si="7"/>
        <v>52.473081460418292</v>
      </c>
      <c r="S57">
        <f t="shared" si="8"/>
        <v>1.0288839502042819</v>
      </c>
    </row>
    <row r="58" spans="1:19" x14ac:dyDescent="0.35">
      <c r="A58">
        <v>2027</v>
      </c>
      <c r="B58">
        <f>B$4*'survival functions'!B47</f>
        <v>8.957712626000332E-88</v>
      </c>
      <c r="C58">
        <f>C$4*'survival functions'!C47</f>
        <v>1.2180721853804041E-49</v>
      </c>
      <c r="D58">
        <f>D$4*'survival functions'!D47</f>
        <v>2.5789291243535445E-22</v>
      </c>
      <c r="E58">
        <f>E$4*'survival functions'!E47</f>
        <v>9.8957180225831469E-6</v>
      </c>
      <c r="F58">
        <f>F$4*'survival functions'!F47</f>
        <v>17.60609983204397</v>
      </c>
      <c r="G58">
        <f>G$4*'survival functions'!G47</f>
        <v>35.916433361864669</v>
      </c>
      <c r="H58">
        <f>H$4*'survival functions'!H47</f>
        <v>0</v>
      </c>
      <c r="I58">
        <f>I$4*'survival functions'!I47</f>
        <v>0</v>
      </c>
      <c r="J58">
        <f>J$4*'survival functions'!J47</f>
        <v>0</v>
      </c>
      <c r="K58">
        <f>K$4*'survival functions'!K47</f>
        <v>0</v>
      </c>
      <c r="L58">
        <f>L$4*'survival functions'!L47</f>
        <v>0</v>
      </c>
      <c r="M58">
        <f>M$4*'survival functions'!M47</f>
        <v>0</v>
      </c>
      <c r="N58">
        <f>N$4*'survival functions'!N47</f>
        <v>0</v>
      </c>
      <c r="O58">
        <f>O$4*'survival functions'!O47</f>
        <v>0</v>
      </c>
      <c r="P58">
        <f>P$4*'survival functions'!P47</f>
        <v>0</v>
      </c>
      <c r="R58">
        <f t="shared" si="7"/>
        <v>53.522543089626666</v>
      </c>
      <c r="S58">
        <f t="shared" si="8"/>
        <v>1.0494616292083734</v>
      </c>
    </row>
    <row r="59" spans="1:19" x14ac:dyDescent="0.35">
      <c r="A59">
        <v>2028</v>
      </c>
      <c r="B59">
        <f>B$4*'survival functions'!B48</f>
        <v>9.9436268354871034E-137</v>
      </c>
      <c r="C59">
        <f>C$4*'survival functions'!C48</f>
        <v>9.1368668785203388E-88</v>
      </c>
      <c r="D59">
        <f>D$4*'survival functions'!D48</f>
        <v>1.2424336290880124E-49</v>
      </c>
      <c r="E59">
        <f>E$4*'survival functions'!E48</f>
        <v>2.6305077068406154E-22</v>
      </c>
      <c r="F59">
        <f>F$4*'survival functions'!F48</f>
        <v>1.0093632383034809E-5</v>
      </c>
      <c r="G59">
        <f>G$4*'survival functions'!G48</f>
        <v>17.958221828684852</v>
      </c>
      <c r="H59">
        <f>H$4*'survival functions'!H48</f>
        <v>36.634762029101964</v>
      </c>
      <c r="I59">
        <f>I$4*'survival functions'!I48</f>
        <v>0</v>
      </c>
      <c r="J59">
        <f>J$4*'survival functions'!J48</f>
        <v>0</v>
      </c>
      <c r="K59">
        <f>K$4*'survival functions'!K48</f>
        <v>0</v>
      </c>
      <c r="L59">
        <f>L$4*'survival functions'!L48</f>
        <v>0</v>
      </c>
      <c r="M59">
        <f>M$4*'survival functions'!M48</f>
        <v>0</v>
      </c>
      <c r="N59">
        <f>N$4*'survival functions'!N48</f>
        <v>0</v>
      </c>
      <c r="O59">
        <f>O$4*'survival functions'!O48</f>
        <v>0</v>
      </c>
      <c r="P59">
        <f>P$4*'survival functions'!P48</f>
        <v>0</v>
      </c>
      <c r="R59">
        <f t="shared" si="7"/>
        <v>54.592993951419203</v>
      </c>
      <c r="S59">
        <f t="shared" si="8"/>
        <v>1.070450861792537</v>
      </c>
    </row>
    <row r="60" spans="1:19" x14ac:dyDescent="0.35">
      <c r="A60">
        <v>2029</v>
      </c>
      <c r="B60">
        <f>B$4*'survival functions'!B49</f>
        <v>1.5961849331720996E-196</v>
      </c>
      <c r="C60">
        <f>C$4*'survival functions'!C49</f>
        <v>1.0142499372196847E-136</v>
      </c>
      <c r="D60">
        <f>D$4*'survival functions'!D49</f>
        <v>9.3196042160907471E-88</v>
      </c>
      <c r="E60">
        <f>E$4*'survival functions'!E49</f>
        <v>1.2672823016697725E-49</v>
      </c>
      <c r="F60">
        <f>F$4*'survival functions'!F49</f>
        <v>2.6831178609774278E-22</v>
      </c>
      <c r="G60">
        <f>G$4*'survival functions'!G49</f>
        <v>1.0295505030695507E-5</v>
      </c>
      <c r="H60">
        <f>H$4*'survival functions'!H49</f>
        <v>18.317386265258548</v>
      </c>
      <c r="I60">
        <f>I$4*'survival functions'!I49</f>
        <v>37.367457269684003</v>
      </c>
      <c r="J60">
        <f>J$4*'survival functions'!J49</f>
        <v>0</v>
      </c>
      <c r="K60">
        <f>K$4*'survival functions'!K49</f>
        <v>0</v>
      </c>
      <c r="L60">
        <f>L$4*'survival functions'!L49</f>
        <v>0</v>
      </c>
      <c r="M60">
        <f>M$4*'survival functions'!M49</f>
        <v>0</v>
      </c>
      <c r="N60">
        <f>N$4*'survival functions'!N49</f>
        <v>0</v>
      </c>
      <c r="O60">
        <f>O$4*'survival functions'!O49</f>
        <v>0</v>
      </c>
      <c r="P60">
        <f>P$4*'survival functions'!P49</f>
        <v>0</v>
      </c>
      <c r="R60">
        <f t="shared" si="7"/>
        <v>55.68485383044758</v>
      </c>
      <c r="S60">
        <f t="shared" si="8"/>
        <v>1.0918598790283767</v>
      </c>
    </row>
    <row r="61" spans="1:19" x14ac:dyDescent="0.35">
      <c r="A61">
        <v>2030</v>
      </c>
      <c r="B61">
        <f>B$4*'survival functions'!B50</f>
        <v>3.6594053525328161E-267</v>
      </c>
      <c r="C61">
        <f>C$4*'survival functions'!C50</f>
        <v>1.6281086318355417E-196</v>
      </c>
      <c r="D61">
        <f>D$4*'survival functions'!D50</f>
        <v>1.0345349359640785E-136</v>
      </c>
      <c r="E61">
        <f>E$4*'survival functions'!E50</f>
        <v>9.5059963004125623E-88</v>
      </c>
      <c r="F61">
        <f>F$4*'survival functions'!F50</f>
        <v>1.2926279477031681E-49</v>
      </c>
      <c r="G61">
        <f>G$4*'survival functions'!G50</f>
        <v>2.7367802181969765E-22</v>
      </c>
      <c r="H61">
        <f>H$4*'survival functions'!H50</f>
        <v>1.0501415131309418E-5</v>
      </c>
      <c r="I61">
        <f>I$4*'survival functions'!I50</f>
        <v>18.68373399056372</v>
      </c>
      <c r="J61">
        <f>J$4*'survival functions'!J50</f>
        <v>38.11480641507768</v>
      </c>
      <c r="K61">
        <f>K$4*'survival functions'!K50</f>
        <v>0</v>
      </c>
      <c r="L61">
        <f>L$4*'survival functions'!L50</f>
        <v>0</v>
      </c>
      <c r="M61">
        <f>M$4*'survival functions'!M50</f>
        <v>0</v>
      </c>
      <c r="N61">
        <f>N$4*'survival functions'!N50</f>
        <v>0</v>
      </c>
      <c r="O61">
        <f>O$4*'survival functions'!O50</f>
        <v>0</v>
      </c>
      <c r="P61">
        <f>P$4*'survival functions'!P50</f>
        <v>0</v>
      </c>
      <c r="R61">
        <f t="shared" si="7"/>
        <v>56.798550907056537</v>
      </c>
      <c r="S61">
        <f t="shared" si="8"/>
        <v>1.1136970766089576</v>
      </c>
    </row>
    <row r="62" spans="1:19" x14ac:dyDescent="0.35">
      <c r="A62">
        <v>2031</v>
      </c>
      <c r="B62">
        <f>B$4*'survival functions'!B51</f>
        <v>0</v>
      </c>
      <c r="C62">
        <f>C$4*'survival functions'!C51</f>
        <v>3.7325934595834724E-267</v>
      </c>
      <c r="D62">
        <f>D$4*'survival functions'!D51</f>
        <v>1.6606708044722528E-196</v>
      </c>
      <c r="E62">
        <f>E$4*'survival functions'!E51</f>
        <v>1.0552256346833601E-136</v>
      </c>
      <c r="F62">
        <f>F$4*'survival functions'!F51</f>
        <v>9.696116226420814E-88</v>
      </c>
      <c r="G62">
        <f>G$4*'survival functions'!G51</f>
        <v>1.3184805066572317E-49</v>
      </c>
      <c r="H62">
        <f>H$4*'survival functions'!H51</f>
        <v>2.7915158225609162E-22</v>
      </c>
      <c r="I62">
        <f>I$4*'survival functions'!I51</f>
        <v>1.0711443433935605E-5</v>
      </c>
      <c r="J62">
        <f>J$4*'survival functions'!J51</f>
        <v>19.057408670374993</v>
      </c>
      <c r="K62">
        <f>K$4*'survival functions'!K51</f>
        <v>38.877102543379237</v>
      </c>
      <c r="L62">
        <f>L$4*'survival functions'!L51</f>
        <v>0</v>
      </c>
      <c r="M62">
        <f>M$4*'survival functions'!M51</f>
        <v>0</v>
      </c>
      <c r="N62">
        <f>N$4*'survival functions'!N51</f>
        <v>0</v>
      </c>
      <c r="O62">
        <f>O$4*'survival functions'!O51</f>
        <v>0</v>
      </c>
      <c r="P62">
        <f>P$4*'survival functions'!P51</f>
        <v>0</v>
      </c>
      <c r="R62">
        <f t="shared" si="7"/>
        <v>57.934521925197664</v>
      </c>
      <c r="S62">
        <f t="shared" si="8"/>
        <v>1.1359710181411273</v>
      </c>
    </row>
    <row r="63" spans="1:19" x14ac:dyDescent="0.35">
      <c r="A63">
        <v>2032</v>
      </c>
      <c r="B63">
        <f>B$4*'survival functions'!B52</f>
        <v>0</v>
      </c>
      <c r="C63">
        <f>C$4*'survival functions'!C52</f>
        <v>0</v>
      </c>
      <c r="D63">
        <f>D$4*'survival functions'!D52</f>
        <v>3.8072453287751423E-267</v>
      </c>
      <c r="E63">
        <f>E$4*'survival functions'!E52</f>
        <v>1.6938842205616978E-196</v>
      </c>
      <c r="F63">
        <f>F$4*'survival functions'!F52</f>
        <v>1.0763301473770273E-136</v>
      </c>
      <c r="G63">
        <f>G$4*'survival functions'!G52</f>
        <v>9.8900385509492311E-88</v>
      </c>
      <c r="H63">
        <f>H$4*'survival functions'!H52</f>
        <v>1.3448501167903762E-49</v>
      </c>
      <c r="I63">
        <f>I$4*'survival functions'!I52</f>
        <v>2.8473461390121346E-22</v>
      </c>
      <c r="J63">
        <f>J$4*'survival functions'!J52</f>
        <v>1.0925672302614317E-5</v>
      </c>
      <c r="K63">
        <f>K$4*'survival functions'!K52</f>
        <v>19.438556843782493</v>
      </c>
      <c r="L63">
        <f>L$4*'survival functions'!L52</f>
        <v>39.654644594246818</v>
      </c>
      <c r="M63">
        <f>M$4*'survival functions'!M52</f>
        <v>0</v>
      </c>
      <c r="N63">
        <f>N$4*'survival functions'!N52</f>
        <v>0</v>
      </c>
      <c r="O63">
        <f>O$4*'survival functions'!O52</f>
        <v>0</v>
      </c>
      <c r="P63">
        <f>P$4*'survival functions'!P52</f>
        <v>0</v>
      </c>
      <c r="R63">
        <f t="shared" si="7"/>
        <v>59.09321236370161</v>
      </c>
      <c r="S63">
        <f t="shared" si="8"/>
        <v>1.158690438503946</v>
      </c>
    </row>
    <row r="64" spans="1:19" x14ac:dyDescent="0.35">
      <c r="A64">
        <v>2033</v>
      </c>
      <c r="B64">
        <f>B$4*'survival functions'!B53</f>
        <v>0</v>
      </c>
      <c r="C64">
        <f>C$4*'survival functions'!C53</f>
        <v>0</v>
      </c>
      <c r="D64">
        <f>D$4*'survival functions'!D53</f>
        <v>0</v>
      </c>
      <c r="E64">
        <f>E$4*'survival functions'!E53</f>
        <v>3.8833902353506454E-267</v>
      </c>
      <c r="F64">
        <f>F$4*'survival functions'!F53</f>
        <v>1.7277619049729317E-196</v>
      </c>
      <c r="G64">
        <f>G$4*'survival functions'!G53</f>
        <v>1.097856750324568E-136</v>
      </c>
      <c r="H64">
        <f>H$4*'survival functions'!H53</f>
        <v>1.0087839321968215E-87</v>
      </c>
      <c r="I64">
        <f>I$4*'survival functions'!I53</f>
        <v>1.3717471191261837E-49</v>
      </c>
      <c r="J64">
        <f>J$4*'survival functions'!J53</f>
        <v>2.904293061792377E-22</v>
      </c>
      <c r="K64">
        <f>K$4*'survival functions'!K53</f>
        <v>1.1144185748666603E-5</v>
      </c>
      <c r="L64">
        <f>L$4*'survival functions'!L53</f>
        <v>19.827327980658144</v>
      </c>
      <c r="M64">
        <f>M$4*'survival functions'!M53</f>
        <v>40.447737486131757</v>
      </c>
      <c r="N64">
        <f>N$4*'survival functions'!N53</f>
        <v>0</v>
      </c>
      <c r="O64">
        <f>O$4*'survival functions'!O53</f>
        <v>0</v>
      </c>
      <c r="P64">
        <f>P$4*'survival functions'!P53</f>
        <v>0</v>
      </c>
      <c r="R64">
        <f t="shared" si="7"/>
        <v>60.275076610975646</v>
      </c>
      <c r="S64">
        <f t="shared" si="8"/>
        <v>1.1818642472740351</v>
      </c>
    </row>
    <row r="65" spans="1:19" x14ac:dyDescent="0.35">
      <c r="A65">
        <v>2034</v>
      </c>
      <c r="B65">
        <f>B$4*'survival functions'!B54</f>
        <v>0</v>
      </c>
      <c r="C65">
        <f>C$4*'survival functions'!C54</f>
        <v>0</v>
      </c>
      <c r="D65">
        <f>D$4*'survival functions'!D54</f>
        <v>0</v>
      </c>
      <c r="E65">
        <f>E$4*'survival functions'!E54</f>
        <v>0</v>
      </c>
      <c r="F65">
        <f>F$4*'survival functions'!F54</f>
        <v>3.9610580400576584E-267</v>
      </c>
      <c r="G65">
        <f>G$4*'survival functions'!G54</f>
        <v>1.7623171430723907E-196</v>
      </c>
      <c r="H65">
        <f>H$4*'survival functions'!H54</f>
        <v>1.1198138853310594E-136</v>
      </c>
      <c r="I65">
        <f>I$4*'survival functions'!I54</f>
        <v>1.0289596108407581E-87</v>
      </c>
      <c r="J65">
        <f>J$4*'survival functions'!J54</f>
        <v>1.3991820615087074E-49</v>
      </c>
      <c r="K65">
        <f>K$4*'survival functions'!K54</f>
        <v>2.9623789230282245E-22</v>
      </c>
      <c r="L65">
        <f>L$4*'survival functions'!L54</f>
        <v>1.1367069463639937E-5</v>
      </c>
      <c r="M65">
        <f>M$4*'survival functions'!M54</f>
        <v>20.223874540271307</v>
      </c>
      <c r="N65">
        <f>N$4*'survival functions'!N54</f>
        <v>41.256692235854395</v>
      </c>
      <c r="O65">
        <f>O$4*'survival functions'!O54</f>
        <v>0</v>
      </c>
      <c r="P65">
        <f>P$4*'survival functions'!P54</f>
        <v>0</v>
      </c>
      <c r="R65">
        <f t="shared" si="7"/>
        <v>61.480578143195167</v>
      </c>
      <c r="S65">
        <f t="shared" si="8"/>
        <v>1.2055015322195217</v>
      </c>
    </row>
    <row r="66" spans="1:19" x14ac:dyDescent="0.35">
      <c r="A66">
        <v>2035</v>
      </c>
      <c r="B66">
        <f>B$4*'survival functions'!B55</f>
        <v>0</v>
      </c>
      <c r="C66">
        <f>C$4*'survival functions'!C55</f>
        <v>0</v>
      </c>
      <c r="D66">
        <f>D$4*'survival functions'!D55</f>
        <v>0</v>
      </c>
      <c r="E66">
        <f>E$4*'survival functions'!E55</f>
        <v>0</v>
      </c>
      <c r="F66">
        <f>F$4*'survival functions'!F55</f>
        <v>0</v>
      </c>
      <c r="G66">
        <f>G$4*'survival functions'!G55</f>
        <v>4.0402792008588121E-267</v>
      </c>
      <c r="H66">
        <f>H$4*'survival functions'!H55</f>
        <v>1.7975634859338385E-196</v>
      </c>
      <c r="I66">
        <f>I$4*'survival functions'!I55</f>
        <v>1.1422101630376805E-136</v>
      </c>
      <c r="J66">
        <f>J$4*'survival functions'!J55</f>
        <v>1.0495388030575732E-87</v>
      </c>
      <c r="K66">
        <f>K$4*'survival functions'!K55</f>
        <v>1.4271657027388816E-49</v>
      </c>
      <c r="L66">
        <f>L$4*'survival functions'!L55</f>
        <v>3.0216265014887889E-22</v>
      </c>
      <c r="M66">
        <f>M$4*'survival functions'!M55</f>
        <v>1.1594410852912734E-5</v>
      </c>
      <c r="N66">
        <f>N$4*'survival functions'!N55</f>
        <v>20.628352031076734</v>
      </c>
      <c r="O66">
        <f>O$4*'survival functions'!O55</f>
        <v>42.081826080571481</v>
      </c>
      <c r="P66">
        <f>P$4*'survival functions'!P55</f>
        <v>0</v>
      </c>
      <c r="R66">
        <f t="shared" si="7"/>
        <v>62.710189706059069</v>
      </c>
      <c r="S66">
        <f t="shared" si="8"/>
        <v>1.2296115628639015</v>
      </c>
    </row>
    <row r="67" spans="1:19" x14ac:dyDescent="0.35">
      <c r="A67">
        <v>2036</v>
      </c>
      <c r="B67">
        <f>B$4*'survival functions'!B56</f>
        <v>0</v>
      </c>
      <c r="C67">
        <f>C$4*'survival functions'!C56</f>
        <v>0</v>
      </c>
      <c r="D67">
        <f>D$4*'survival functions'!D56</f>
        <v>0</v>
      </c>
      <c r="E67">
        <f>E$4*'survival functions'!E56</f>
        <v>0</v>
      </c>
      <c r="F67">
        <f>F$4*'survival functions'!F56</f>
        <v>0</v>
      </c>
      <c r="G67">
        <f>G$4*'survival functions'!G56</f>
        <v>0</v>
      </c>
      <c r="H67">
        <f>H$4*'survival functions'!H56</f>
        <v>4.121084784875988E-267</v>
      </c>
      <c r="I67">
        <f>I$4*'survival functions'!I56</f>
        <v>1.8335147556525152E-196</v>
      </c>
      <c r="J67">
        <f>J$4*'survival functions'!J56</f>
        <v>1.1650543662984341E-136</v>
      </c>
      <c r="K67">
        <f>K$4*'survival functions'!K56</f>
        <v>1.0705295791187246E-87</v>
      </c>
      <c r="L67">
        <f>L$4*'survival functions'!L56</f>
        <v>1.4557090167936591E-49</v>
      </c>
      <c r="M67">
        <f>M$4*'survival functions'!M56</f>
        <v>3.0820590315185647E-22</v>
      </c>
      <c r="N67">
        <f>N$4*'survival functions'!N56</f>
        <v>1.1826299069970989E-5</v>
      </c>
      <c r="O67">
        <f>O$4*'survival functions'!O56</f>
        <v>21.040919071698266</v>
      </c>
      <c r="P67">
        <f>P$4*'survival functions'!P56</f>
        <v>42.923462602182916</v>
      </c>
      <c r="R67">
        <f t="shared" si="7"/>
        <v>63.96439350018025</v>
      </c>
      <c r="S67">
        <f t="shared" si="8"/>
        <v>1.2542037941211817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C763-06BB-4418-ADFE-465B8F5AF82F}">
  <dimension ref="A1:P56"/>
  <sheetViews>
    <sheetView workbookViewId="0">
      <selection activeCell="A2" sqref="A2:A16"/>
    </sheetView>
  </sheetViews>
  <sheetFormatPr defaultRowHeight="14.5" x14ac:dyDescent="0.35"/>
  <cols>
    <col min="1" max="1" width="31.08984375" customWidth="1"/>
  </cols>
  <sheetData>
    <row r="1" spans="1:16" x14ac:dyDescent="0.35">
      <c r="A1" t="s">
        <v>533</v>
      </c>
      <c r="B1">
        <v>2022</v>
      </c>
      <c r="C1">
        <v>2023</v>
      </c>
      <c r="D1">
        <v>2024</v>
      </c>
      <c r="E1">
        <v>2025</v>
      </c>
      <c r="F1">
        <v>2026</v>
      </c>
      <c r="G1">
        <v>2027</v>
      </c>
      <c r="H1">
        <v>2028</v>
      </c>
      <c r="I1">
        <v>2029</v>
      </c>
      <c r="J1">
        <v>2030</v>
      </c>
      <c r="K1">
        <v>2031</v>
      </c>
      <c r="L1">
        <v>2032</v>
      </c>
      <c r="M1">
        <v>2033</v>
      </c>
      <c r="N1">
        <v>2034</v>
      </c>
      <c r="O1">
        <v>2035</v>
      </c>
      <c r="P1">
        <v>2036</v>
      </c>
    </row>
    <row r="2" spans="1:16" x14ac:dyDescent="0.35">
      <c r="A2">
        <v>2022</v>
      </c>
      <c r="B2">
        <v>0.99999971334842808</v>
      </c>
      <c r="C2">
        <v>0</v>
      </c>
      <c r="D2">
        <v>0</v>
      </c>
      <c r="E2">
        <v>0</v>
      </c>
      <c r="F2">
        <v>0</v>
      </c>
      <c r="G2">
        <v>0</v>
      </c>
      <c r="H2">
        <v>0</v>
      </c>
      <c r="I2">
        <v>0</v>
      </c>
      <c r="J2">
        <v>0</v>
      </c>
      <c r="K2">
        <v>0</v>
      </c>
      <c r="L2">
        <v>0</v>
      </c>
      <c r="M2">
        <v>0</v>
      </c>
      <c r="N2">
        <v>0</v>
      </c>
      <c r="O2">
        <v>0</v>
      </c>
      <c r="P2">
        <v>0</v>
      </c>
    </row>
    <row r="3" spans="1:16" x14ac:dyDescent="0.35">
      <c r="A3">
        <v>2023</v>
      </c>
      <c r="B3">
        <v>0.99999660232687526</v>
      </c>
      <c r="C3">
        <v>0.99999971334842808</v>
      </c>
      <c r="D3">
        <v>0</v>
      </c>
      <c r="E3">
        <v>0</v>
      </c>
      <c r="F3">
        <v>0</v>
      </c>
      <c r="G3">
        <v>0</v>
      </c>
      <c r="H3">
        <v>0</v>
      </c>
      <c r="I3">
        <v>0</v>
      </c>
      <c r="J3">
        <v>0</v>
      </c>
      <c r="K3">
        <v>0</v>
      </c>
      <c r="L3">
        <v>0</v>
      </c>
      <c r="M3">
        <v>0</v>
      </c>
      <c r="N3">
        <v>0</v>
      </c>
      <c r="O3">
        <v>0</v>
      </c>
      <c r="P3">
        <v>0</v>
      </c>
    </row>
    <row r="4" spans="1:16" x14ac:dyDescent="0.35">
      <c r="A4">
        <v>2024</v>
      </c>
      <c r="B4">
        <v>0.99996832875816688</v>
      </c>
      <c r="C4">
        <v>0.99999660232687526</v>
      </c>
      <c r="D4">
        <v>0.99999971334842808</v>
      </c>
      <c r="E4">
        <v>0</v>
      </c>
      <c r="F4">
        <v>0</v>
      </c>
      <c r="G4">
        <v>0</v>
      </c>
      <c r="H4">
        <v>0</v>
      </c>
      <c r="I4">
        <v>0</v>
      </c>
      <c r="J4">
        <v>0</v>
      </c>
      <c r="K4">
        <v>0</v>
      </c>
      <c r="L4">
        <v>0</v>
      </c>
      <c r="M4">
        <v>0</v>
      </c>
      <c r="N4">
        <v>0</v>
      </c>
      <c r="O4">
        <v>0</v>
      </c>
      <c r="P4">
        <v>0</v>
      </c>
    </row>
    <row r="5" spans="1:16" x14ac:dyDescent="0.35">
      <c r="A5">
        <v>2025</v>
      </c>
      <c r="B5">
        <v>0.99976737092096446</v>
      </c>
      <c r="C5">
        <v>0.99996832875816688</v>
      </c>
      <c r="D5">
        <v>0.99999660232687526</v>
      </c>
      <c r="E5">
        <v>0.99999971334842808</v>
      </c>
      <c r="F5">
        <v>0</v>
      </c>
      <c r="G5">
        <v>0</v>
      </c>
      <c r="H5">
        <v>0</v>
      </c>
      <c r="I5">
        <v>0</v>
      </c>
      <c r="J5">
        <v>0</v>
      </c>
      <c r="K5">
        <v>0</v>
      </c>
      <c r="L5">
        <v>0</v>
      </c>
      <c r="M5">
        <v>0</v>
      </c>
      <c r="N5">
        <v>0</v>
      </c>
      <c r="O5">
        <v>0</v>
      </c>
      <c r="P5">
        <v>0</v>
      </c>
    </row>
    <row r="6" spans="1:16" x14ac:dyDescent="0.35">
      <c r="A6">
        <v>2026</v>
      </c>
      <c r="B6">
        <v>0.9986501019683699</v>
      </c>
      <c r="C6">
        <v>0.99976737092096446</v>
      </c>
      <c r="D6">
        <v>0.99996832875816688</v>
      </c>
      <c r="E6">
        <v>0.99999660232687526</v>
      </c>
      <c r="F6">
        <v>0.99999971334842808</v>
      </c>
      <c r="G6">
        <v>0</v>
      </c>
      <c r="H6">
        <v>0</v>
      </c>
      <c r="I6">
        <v>0</v>
      </c>
      <c r="J6">
        <v>0</v>
      </c>
      <c r="K6">
        <v>0</v>
      </c>
      <c r="L6">
        <v>0</v>
      </c>
      <c r="M6">
        <v>0</v>
      </c>
      <c r="N6">
        <v>0</v>
      </c>
      <c r="O6">
        <v>0</v>
      </c>
      <c r="P6">
        <v>0</v>
      </c>
    </row>
    <row r="7" spans="1:16" x14ac:dyDescent="0.35">
      <c r="A7">
        <v>2027</v>
      </c>
      <c r="B7">
        <v>0.99379033467422384</v>
      </c>
      <c r="C7">
        <v>0.9986501019683699</v>
      </c>
      <c r="D7">
        <v>0.99976737092096446</v>
      </c>
      <c r="E7">
        <v>0.99996832875816688</v>
      </c>
      <c r="F7">
        <v>0.99999660232687526</v>
      </c>
      <c r="G7">
        <v>0.99999971334842808</v>
      </c>
      <c r="H7">
        <v>0</v>
      </c>
      <c r="I7">
        <v>0</v>
      </c>
      <c r="J7">
        <v>0</v>
      </c>
      <c r="K7">
        <v>0</v>
      </c>
      <c r="L7">
        <v>0</v>
      </c>
      <c r="M7">
        <v>0</v>
      </c>
      <c r="N7">
        <v>0</v>
      </c>
      <c r="O7">
        <v>0</v>
      </c>
      <c r="P7">
        <v>0</v>
      </c>
    </row>
    <row r="8" spans="1:16" x14ac:dyDescent="0.35">
      <c r="A8">
        <v>2028</v>
      </c>
      <c r="B8">
        <v>0.97724986805182079</v>
      </c>
      <c r="C8">
        <v>0.99379033467422384</v>
      </c>
      <c r="D8">
        <v>0.9986501019683699</v>
      </c>
      <c r="E8">
        <v>0.99976737092096446</v>
      </c>
      <c r="F8">
        <v>0.99996832875816688</v>
      </c>
      <c r="G8">
        <v>0.99999660232687526</v>
      </c>
      <c r="H8">
        <v>0.99999971334842808</v>
      </c>
      <c r="I8">
        <v>0</v>
      </c>
      <c r="J8">
        <v>0</v>
      </c>
      <c r="K8">
        <v>0</v>
      </c>
      <c r="L8">
        <v>0</v>
      </c>
      <c r="M8">
        <v>0</v>
      </c>
      <c r="N8">
        <v>0</v>
      </c>
      <c r="O8">
        <v>0</v>
      </c>
      <c r="P8">
        <v>0</v>
      </c>
    </row>
    <row r="9" spans="1:16" x14ac:dyDescent="0.35">
      <c r="A9">
        <v>2029</v>
      </c>
      <c r="B9">
        <v>0.93319279873114191</v>
      </c>
      <c r="C9">
        <v>0.97724986805182079</v>
      </c>
      <c r="D9">
        <v>0.99379033467422384</v>
      </c>
      <c r="E9">
        <v>0.9986501019683699</v>
      </c>
      <c r="F9">
        <v>0.99976737092096446</v>
      </c>
      <c r="G9">
        <v>0.99996832875816688</v>
      </c>
      <c r="H9">
        <v>0.99999660232687526</v>
      </c>
      <c r="I9">
        <v>0.99999971334842808</v>
      </c>
      <c r="J9">
        <v>0</v>
      </c>
      <c r="K9">
        <v>0</v>
      </c>
      <c r="L9">
        <v>0</v>
      </c>
      <c r="M9">
        <v>0</v>
      </c>
      <c r="N9">
        <v>0</v>
      </c>
      <c r="O9">
        <v>0</v>
      </c>
      <c r="P9">
        <v>0</v>
      </c>
    </row>
    <row r="10" spans="1:16" x14ac:dyDescent="0.35">
      <c r="A10">
        <v>2030</v>
      </c>
      <c r="B10">
        <v>0.84134474606854293</v>
      </c>
      <c r="C10">
        <v>0.93319279873114191</v>
      </c>
      <c r="D10">
        <v>0.97724986805182079</v>
      </c>
      <c r="E10">
        <v>0.99379033467422384</v>
      </c>
      <c r="F10">
        <v>0.9986501019683699</v>
      </c>
      <c r="G10">
        <v>0.99976737092096446</v>
      </c>
      <c r="H10">
        <v>0.99996832875816688</v>
      </c>
      <c r="I10">
        <v>0.99999660232687526</v>
      </c>
      <c r="J10">
        <v>0.99999971334842808</v>
      </c>
      <c r="K10">
        <v>0</v>
      </c>
      <c r="L10">
        <v>0</v>
      </c>
      <c r="M10">
        <v>0</v>
      </c>
      <c r="N10">
        <v>0</v>
      </c>
      <c r="O10">
        <v>0</v>
      </c>
      <c r="P10">
        <v>0</v>
      </c>
    </row>
    <row r="11" spans="1:16" x14ac:dyDescent="0.35">
      <c r="A11">
        <v>2031</v>
      </c>
      <c r="B11">
        <v>0.69146246127401312</v>
      </c>
      <c r="C11">
        <v>0.84134474606854293</v>
      </c>
      <c r="D11">
        <v>0.93319279873114191</v>
      </c>
      <c r="E11">
        <v>0.97724986805182079</v>
      </c>
      <c r="F11">
        <v>0.99379033467422384</v>
      </c>
      <c r="G11">
        <v>0.9986501019683699</v>
      </c>
      <c r="H11">
        <v>0.99976737092096446</v>
      </c>
      <c r="I11">
        <v>0.99996832875816688</v>
      </c>
      <c r="J11">
        <v>0.99999660232687526</v>
      </c>
      <c r="K11">
        <v>0.99999971334842808</v>
      </c>
      <c r="L11">
        <v>0</v>
      </c>
      <c r="M11">
        <v>0</v>
      </c>
      <c r="N11">
        <v>0</v>
      </c>
      <c r="O11">
        <v>0</v>
      </c>
      <c r="P11">
        <v>0</v>
      </c>
    </row>
    <row r="12" spans="1:16" x14ac:dyDescent="0.35">
      <c r="A12">
        <v>2032</v>
      </c>
      <c r="B12">
        <v>0.5</v>
      </c>
      <c r="C12">
        <v>0.69146246127401312</v>
      </c>
      <c r="D12">
        <v>0.84134474606854293</v>
      </c>
      <c r="E12">
        <v>0.93319279873114191</v>
      </c>
      <c r="F12">
        <v>0.97724986805182079</v>
      </c>
      <c r="G12">
        <v>0.99379033467422384</v>
      </c>
      <c r="H12">
        <v>0.9986501019683699</v>
      </c>
      <c r="I12">
        <v>0.99976737092096446</v>
      </c>
      <c r="J12">
        <v>0.99996832875816688</v>
      </c>
      <c r="K12">
        <v>0.99999660232687526</v>
      </c>
      <c r="L12">
        <v>0.99999971334842808</v>
      </c>
      <c r="M12">
        <v>0</v>
      </c>
      <c r="N12">
        <v>0</v>
      </c>
      <c r="O12">
        <v>0</v>
      </c>
      <c r="P12">
        <v>0</v>
      </c>
    </row>
    <row r="13" spans="1:16" x14ac:dyDescent="0.35">
      <c r="A13">
        <v>2033</v>
      </c>
      <c r="B13">
        <v>0.30853753872598688</v>
      </c>
      <c r="C13">
        <v>0.5</v>
      </c>
      <c r="D13">
        <v>0.69146246127401312</v>
      </c>
      <c r="E13">
        <v>0.84134474606854293</v>
      </c>
      <c r="F13">
        <v>0.93319279873114191</v>
      </c>
      <c r="G13">
        <v>0.97724986805182079</v>
      </c>
      <c r="H13">
        <v>0.99379033467422384</v>
      </c>
      <c r="I13">
        <v>0.9986501019683699</v>
      </c>
      <c r="J13">
        <v>0.99976737092096446</v>
      </c>
      <c r="K13">
        <v>0.99996832875816688</v>
      </c>
      <c r="L13">
        <v>0.99999660232687526</v>
      </c>
      <c r="M13">
        <v>0.99999971334842808</v>
      </c>
      <c r="N13">
        <v>0</v>
      </c>
      <c r="O13">
        <v>0</v>
      </c>
      <c r="P13">
        <v>0</v>
      </c>
    </row>
    <row r="14" spans="1:16" x14ac:dyDescent="0.35">
      <c r="A14">
        <v>2034</v>
      </c>
      <c r="B14">
        <v>0.1586552539314571</v>
      </c>
      <c r="C14">
        <v>0.30853753872598688</v>
      </c>
      <c r="D14">
        <v>0.5</v>
      </c>
      <c r="E14">
        <v>0.69146246127401312</v>
      </c>
      <c r="F14">
        <v>0.84134474606854293</v>
      </c>
      <c r="G14">
        <v>0.93319279873114191</v>
      </c>
      <c r="H14">
        <v>0.97724986805182079</v>
      </c>
      <c r="I14">
        <v>0.99379033467422384</v>
      </c>
      <c r="J14">
        <v>0.9986501019683699</v>
      </c>
      <c r="K14">
        <v>0.99976737092096446</v>
      </c>
      <c r="L14">
        <v>0.99996832875816688</v>
      </c>
      <c r="M14">
        <v>0.99999660232687526</v>
      </c>
      <c r="N14">
        <v>0.99999971334842808</v>
      </c>
      <c r="O14">
        <v>0</v>
      </c>
      <c r="P14">
        <v>0</v>
      </c>
    </row>
    <row r="15" spans="1:16" x14ac:dyDescent="0.35">
      <c r="A15">
        <v>2035</v>
      </c>
      <c r="B15">
        <v>6.6807201268858071E-2</v>
      </c>
      <c r="C15">
        <v>0.1586552539314571</v>
      </c>
      <c r="D15">
        <v>0.30853753872598688</v>
      </c>
      <c r="E15">
        <v>0.5</v>
      </c>
      <c r="F15">
        <v>0.69146246127401312</v>
      </c>
      <c r="G15">
        <v>0.84134474606854293</v>
      </c>
      <c r="H15">
        <v>0.93319279873114191</v>
      </c>
      <c r="I15">
        <v>0.97724986805182079</v>
      </c>
      <c r="J15">
        <v>0.99379033467422384</v>
      </c>
      <c r="K15">
        <v>0.9986501019683699</v>
      </c>
      <c r="L15">
        <v>0.99976737092096446</v>
      </c>
      <c r="M15">
        <v>0.99996832875816688</v>
      </c>
      <c r="N15">
        <v>0.99999660232687526</v>
      </c>
      <c r="O15">
        <v>0.99999971334842808</v>
      </c>
      <c r="P15">
        <v>0</v>
      </c>
    </row>
    <row r="16" spans="1:16" x14ac:dyDescent="0.35">
      <c r="A16">
        <v>2036</v>
      </c>
      <c r="B16">
        <v>2.2750131948179191E-2</v>
      </c>
      <c r="C16">
        <v>6.6807201268858071E-2</v>
      </c>
      <c r="D16">
        <v>0.1586552539314571</v>
      </c>
      <c r="E16">
        <v>0.30853753872598688</v>
      </c>
      <c r="F16">
        <v>0.5</v>
      </c>
      <c r="G16">
        <v>0.69146246127401312</v>
      </c>
      <c r="H16">
        <v>0.84134474606854293</v>
      </c>
      <c r="I16">
        <v>0.93319279873114191</v>
      </c>
      <c r="J16">
        <v>0.97724986805182079</v>
      </c>
      <c r="K16">
        <v>0.99379033467422384</v>
      </c>
      <c r="L16">
        <v>0.9986501019683699</v>
      </c>
      <c r="M16">
        <v>0.99976737092096446</v>
      </c>
      <c r="N16">
        <v>0.99996832875816688</v>
      </c>
      <c r="O16">
        <v>0.99999660232687526</v>
      </c>
      <c r="P16">
        <v>0.99999971334842808</v>
      </c>
    </row>
    <row r="21" spans="1:16" x14ac:dyDescent="0.35">
      <c r="A21" t="s">
        <v>532</v>
      </c>
      <c r="B21">
        <v>2022</v>
      </c>
      <c r="C21">
        <v>2023</v>
      </c>
      <c r="D21">
        <v>2024</v>
      </c>
      <c r="E21">
        <v>2025</v>
      </c>
      <c r="F21">
        <v>2026</v>
      </c>
      <c r="G21">
        <v>2027</v>
      </c>
      <c r="H21">
        <v>2028</v>
      </c>
      <c r="I21">
        <v>2029</v>
      </c>
      <c r="J21">
        <v>2030</v>
      </c>
      <c r="K21">
        <v>2031</v>
      </c>
      <c r="L21">
        <v>2032</v>
      </c>
      <c r="M21">
        <v>2033</v>
      </c>
      <c r="N21">
        <v>2034</v>
      </c>
      <c r="O21">
        <v>2035</v>
      </c>
      <c r="P21">
        <v>2036</v>
      </c>
    </row>
    <row r="22" spans="1:16" x14ac:dyDescent="0.35">
      <c r="A22">
        <v>2022</v>
      </c>
      <c r="B22">
        <v>0.99999971334842808</v>
      </c>
      <c r="C22">
        <v>0</v>
      </c>
      <c r="D22">
        <v>0</v>
      </c>
      <c r="E22">
        <v>0</v>
      </c>
      <c r="F22">
        <v>0</v>
      </c>
      <c r="G22">
        <v>0</v>
      </c>
      <c r="H22">
        <v>0</v>
      </c>
      <c r="I22">
        <v>0</v>
      </c>
      <c r="J22">
        <v>0</v>
      </c>
      <c r="K22">
        <v>0</v>
      </c>
      <c r="L22">
        <v>0</v>
      </c>
      <c r="M22">
        <v>0</v>
      </c>
      <c r="N22">
        <v>0</v>
      </c>
      <c r="O22">
        <v>0</v>
      </c>
      <c r="P22">
        <v>0</v>
      </c>
    </row>
    <row r="23" spans="1:16" x14ac:dyDescent="0.35">
      <c r="A23">
        <v>2023</v>
      </c>
      <c r="B23">
        <v>0.99996832875816688</v>
      </c>
      <c r="C23">
        <v>0.99999971334842808</v>
      </c>
      <c r="D23">
        <v>0</v>
      </c>
      <c r="E23">
        <v>0</v>
      </c>
      <c r="F23">
        <v>0</v>
      </c>
      <c r="G23">
        <v>0</v>
      </c>
      <c r="H23">
        <v>0</v>
      </c>
      <c r="I23">
        <v>0</v>
      </c>
      <c r="J23">
        <v>0</v>
      </c>
      <c r="K23">
        <v>0</v>
      </c>
      <c r="L23">
        <v>0</v>
      </c>
      <c r="M23">
        <v>0</v>
      </c>
      <c r="N23">
        <v>0</v>
      </c>
      <c r="O23">
        <v>0</v>
      </c>
      <c r="P23">
        <v>0</v>
      </c>
    </row>
    <row r="24" spans="1:16" x14ac:dyDescent="0.35">
      <c r="A24">
        <v>2024</v>
      </c>
      <c r="B24">
        <v>0.9986501019683699</v>
      </c>
      <c r="C24">
        <v>0.99996832875816688</v>
      </c>
      <c r="D24">
        <v>0.99999971334842808</v>
      </c>
      <c r="E24">
        <v>0</v>
      </c>
      <c r="F24">
        <v>0</v>
      </c>
      <c r="G24">
        <v>0</v>
      </c>
      <c r="H24">
        <v>0</v>
      </c>
      <c r="I24">
        <v>0</v>
      </c>
      <c r="J24">
        <v>0</v>
      </c>
      <c r="K24">
        <v>0</v>
      </c>
      <c r="L24">
        <v>0</v>
      </c>
      <c r="M24">
        <v>0</v>
      </c>
      <c r="N24">
        <v>0</v>
      </c>
      <c r="O24">
        <v>0</v>
      </c>
      <c r="P24">
        <v>0</v>
      </c>
    </row>
    <row r="25" spans="1:16" x14ac:dyDescent="0.35">
      <c r="A25">
        <v>2025</v>
      </c>
      <c r="B25">
        <v>0.97724986805182079</v>
      </c>
      <c r="C25">
        <v>0.9986501019683699</v>
      </c>
      <c r="D25">
        <v>0.99996832875816688</v>
      </c>
      <c r="E25">
        <v>0.99999971334842808</v>
      </c>
      <c r="F25">
        <v>0</v>
      </c>
      <c r="G25">
        <v>0</v>
      </c>
      <c r="H25">
        <v>0</v>
      </c>
      <c r="I25">
        <v>0</v>
      </c>
      <c r="J25">
        <v>0</v>
      </c>
      <c r="K25">
        <v>0</v>
      </c>
      <c r="L25">
        <v>0</v>
      </c>
      <c r="M25">
        <v>0</v>
      </c>
      <c r="N25">
        <v>0</v>
      </c>
      <c r="O25">
        <v>0</v>
      </c>
      <c r="P25">
        <v>0</v>
      </c>
    </row>
    <row r="26" spans="1:16" x14ac:dyDescent="0.35">
      <c r="A26">
        <v>2026</v>
      </c>
      <c r="B26">
        <v>0.84134474606854293</v>
      </c>
      <c r="C26">
        <v>0.97724986805182079</v>
      </c>
      <c r="D26">
        <v>0.9986501019683699</v>
      </c>
      <c r="E26">
        <v>0.99996832875816688</v>
      </c>
      <c r="F26">
        <v>0.99999971334842808</v>
      </c>
      <c r="G26">
        <v>0</v>
      </c>
      <c r="H26">
        <v>0</v>
      </c>
      <c r="I26">
        <v>0</v>
      </c>
      <c r="J26">
        <v>0</v>
      </c>
      <c r="K26">
        <v>0</v>
      </c>
      <c r="L26">
        <v>0</v>
      </c>
      <c r="M26">
        <v>0</v>
      </c>
      <c r="N26">
        <v>0</v>
      </c>
      <c r="O26">
        <v>0</v>
      </c>
      <c r="P26">
        <v>0</v>
      </c>
    </row>
    <row r="27" spans="1:16" x14ac:dyDescent="0.35">
      <c r="A27">
        <v>2027</v>
      </c>
      <c r="B27">
        <v>0.5</v>
      </c>
      <c r="C27">
        <v>0.84134474606854293</v>
      </c>
      <c r="D27">
        <v>0.97724986805182079</v>
      </c>
      <c r="E27">
        <v>0.9986501019683699</v>
      </c>
      <c r="F27">
        <v>0.99996832875816688</v>
      </c>
      <c r="G27">
        <v>0.99999971334842808</v>
      </c>
      <c r="H27">
        <v>0</v>
      </c>
      <c r="I27">
        <v>0</v>
      </c>
      <c r="J27">
        <v>0</v>
      </c>
      <c r="K27">
        <v>0</v>
      </c>
      <c r="L27">
        <v>0</v>
      </c>
      <c r="M27">
        <v>0</v>
      </c>
      <c r="N27">
        <v>0</v>
      </c>
      <c r="O27">
        <v>0</v>
      </c>
      <c r="P27">
        <v>0</v>
      </c>
    </row>
    <row r="28" spans="1:16" x14ac:dyDescent="0.35">
      <c r="A28">
        <v>2028</v>
      </c>
      <c r="B28">
        <v>0.1586552539314571</v>
      </c>
      <c r="C28">
        <v>0.5</v>
      </c>
      <c r="D28">
        <v>0.84134474606854293</v>
      </c>
      <c r="E28">
        <v>0.97724986805182079</v>
      </c>
      <c r="F28">
        <v>0.9986501019683699</v>
      </c>
      <c r="G28">
        <v>0.99996832875816688</v>
      </c>
      <c r="H28">
        <v>0.99999971334842808</v>
      </c>
      <c r="I28">
        <v>0</v>
      </c>
      <c r="J28">
        <v>0</v>
      </c>
      <c r="K28">
        <v>0</v>
      </c>
      <c r="L28">
        <v>0</v>
      </c>
      <c r="M28">
        <v>0</v>
      </c>
      <c r="N28">
        <v>0</v>
      </c>
      <c r="O28">
        <v>0</v>
      </c>
      <c r="P28">
        <v>0</v>
      </c>
    </row>
    <row r="29" spans="1:16" x14ac:dyDescent="0.35">
      <c r="A29">
        <v>2029</v>
      </c>
      <c r="B29">
        <v>2.2750131948179191E-2</v>
      </c>
      <c r="C29">
        <v>0.1586552539314571</v>
      </c>
      <c r="D29">
        <v>0.5</v>
      </c>
      <c r="E29">
        <v>0.84134474606854293</v>
      </c>
      <c r="F29">
        <v>0.97724986805182079</v>
      </c>
      <c r="G29">
        <v>0.9986501019683699</v>
      </c>
      <c r="H29">
        <v>0.99996832875816688</v>
      </c>
      <c r="I29">
        <v>0.99999971334842808</v>
      </c>
      <c r="J29">
        <v>0</v>
      </c>
      <c r="K29">
        <v>0</v>
      </c>
      <c r="L29">
        <v>0</v>
      </c>
      <c r="M29">
        <v>0</v>
      </c>
      <c r="N29">
        <v>0</v>
      </c>
      <c r="O29">
        <v>0</v>
      </c>
      <c r="P29">
        <v>0</v>
      </c>
    </row>
    <row r="30" spans="1:16" x14ac:dyDescent="0.35">
      <c r="A30">
        <v>2030</v>
      </c>
      <c r="B30">
        <v>1.3498980316300931E-3</v>
      </c>
      <c r="C30">
        <v>2.2750131948179191E-2</v>
      </c>
      <c r="D30">
        <v>0.1586552539314571</v>
      </c>
      <c r="E30">
        <v>0.5</v>
      </c>
      <c r="F30">
        <v>0.84134474606854293</v>
      </c>
      <c r="G30">
        <v>0.97724986805182079</v>
      </c>
      <c r="H30">
        <v>0.9986501019683699</v>
      </c>
      <c r="I30">
        <v>0.99996832875816688</v>
      </c>
      <c r="J30">
        <v>0.99999971334842808</v>
      </c>
      <c r="K30">
        <v>0</v>
      </c>
      <c r="L30">
        <v>0</v>
      </c>
      <c r="M30">
        <v>0</v>
      </c>
      <c r="N30">
        <v>0</v>
      </c>
      <c r="O30">
        <v>0</v>
      </c>
      <c r="P30">
        <v>0</v>
      </c>
    </row>
    <row r="31" spans="1:16" x14ac:dyDescent="0.35">
      <c r="A31">
        <v>2031</v>
      </c>
      <c r="B31">
        <v>3.1671241833119863E-5</v>
      </c>
      <c r="C31">
        <v>1.3498980316300931E-3</v>
      </c>
      <c r="D31">
        <v>2.2750131948179191E-2</v>
      </c>
      <c r="E31">
        <v>0.1586552539314571</v>
      </c>
      <c r="F31">
        <v>0.5</v>
      </c>
      <c r="G31">
        <v>0.84134474606854293</v>
      </c>
      <c r="H31">
        <v>0.97724986805182079</v>
      </c>
      <c r="I31">
        <v>0.9986501019683699</v>
      </c>
      <c r="J31">
        <v>0.99996832875816688</v>
      </c>
      <c r="K31">
        <v>0.99999971334842808</v>
      </c>
      <c r="L31">
        <v>0</v>
      </c>
      <c r="M31">
        <v>0</v>
      </c>
      <c r="N31">
        <v>0</v>
      </c>
      <c r="O31">
        <v>0</v>
      </c>
      <c r="P31">
        <v>0</v>
      </c>
    </row>
    <row r="32" spans="1:16" x14ac:dyDescent="0.35">
      <c r="A32">
        <v>2032</v>
      </c>
      <c r="B32">
        <v>2.8665157187919328E-7</v>
      </c>
      <c r="C32">
        <v>3.1671241833119863E-5</v>
      </c>
      <c r="D32">
        <v>1.3498980316300931E-3</v>
      </c>
      <c r="E32">
        <v>2.2750131948179191E-2</v>
      </c>
      <c r="F32">
        <v>0.1586552539314571</v>
      </c>
      <c r="G32">
        <v>0.5</v>
      </c>
      <c r="H32">
        <v>0.84134474606854293</v>
      </c>
      <c r="I32">
        <v>0.97724986805182079</v>
      </c>
      <c r="J32">
        <v>0.9986501019683699</v>
      </c>
      <c r="K32">
        <v>0.99996832875816688</v>
      </c>
      <c r="L32">
        <v>0.99999971334842808</v>
      </c>
      <c r="M32">
        <v>0</v>
      </c>
      <c r="N32">
        <v>0</v>
      </c>
      <c r="O32">
        <v>0</v>
      </c>
      <c r="P32">
        <v>0</v>
      </c>
    </row>
    <row r="33" spans="1:16" x14ac:dyDescent="0.35">
      <c r="A33">
        <v>2033</v>
      </c>
      <c r="B33">
        <v>9.8658764503769458E-10</v>
      </c>
      <c r="C33">
        <v>2.8665157187919328E-7</v>
      </c>
      <c r="D33">
        <v>3.1671241833119863E-5</v>
      </c>
      <c r="E33">
        <v>1.3498980316300931E-3</v>
      </c>
      <c r="F33">
        <v>2.2750131948179191E-2</v>
      </c>
      <c r="G33">
        <v>0.1586552539314571</v>
      </c>
      <c r="H33">
        <v>0.5</v>
      </c>
      <c r="I33">
        <v>0.84134474606854293</v>
      </c>
      <c r="J33">
        <v>0.97724986805182079</v>
      </c>
      <c r="K33">
        <v>0.9986501019683699</v>
      </c>
      <c r="L33">
        <v>0.99996832875816688</v>
      </c>
      <c r="M33">
        <v>0.99999971334842808</v>
      </c>
      <c r="N33">
        <v>0</v>
      </c>
      <c r="O33">
        <v>0</v>
      </c>
      <c r="P33">
        <v>0</v>
      </c>
    </row>
    <row r="34" spans="1:16" x14ac:dyDescent="0.35">
      <c r="A34">
        <v>2034</v>
      </c>
      <c r="B34">
        <v>1.279812543885835E-12</v>
      </c>
      <c r="C34">
        <v>9.8658764503769458E-10</v>
      </c>
      <c r="D34">
        <v>2.8665157187919328E-7</v>
      </c>
      <c r="E34">
        <v>3.1671241833119863E-5</v>
      </c>
      <c r="F34">
        <v>1.3498980316300931E-3</v>
      </c>
      <c r="G34">
        <v>2.2750131948179191E-2</v>
      </c>
      <c r="H34">
        <v>0.1586552539314571</v>
      </c>
      <c r="I34">
        <v>0.5</v>
      </c>
      <c r="J34">
        <v>0.84134474606854293</v>
      </c>
      <c r="K34">
        <v>0.97724986805182079</v>
      </c>
      <c r="L34">
        <v>0.9986501019683699</v>
      </c>
      <c r="M34">
        <v>0.99996832875816688</v>
      </c>
      <c r="N34">
        <v>0.99999971334842808</v>
      </c>
      <c r="O34">
        <v>0</v>
      </c>
      <c r="P34">
        <v>0</v>
      </c>
    </row>
    <row r="35" spans="1:16" x14ac:dyDescent="0.35">
      <c r="A35">
        <v>2035</v>
      </c>
      <c r="B35">
        <v>6.2209605742717405E-16</v>
      </c>
      <c r="C35">
        <v>1.279812543885835E-12</v>
      </c>
      <c r="D35">
        <v>9.8658764503769458E-10</v>
      </c>
      <c r="E35">
        <v>2.8665157187919328E-7</v>
      </c>
      <c r="F35">
        <v>3.1671241833119863E-5</v>
      </c>
      <c r="G35">
        <v>1.3498980316300931E-3</v>
      </c>
      <c r="H35">
        <v>2.2750131948179191E-2</v>
      </c>
      <c r="I35">
        <v>0.1586552539314571</v>
      </c>
      <c r="J35">
        <v>0.5</v>
      </c>
      <c r="K35">
        <v>0.84134474606854293</v>
      </c>
      <c r="L35">
        <v>0.97724986805182079</v>
      </c>
      <c r="M35">
        <v>0.9986501019683699</v>
      </c>
      <c r="N35">
        <v>0.99996832875816688</v>
      </c>
      <c r="O35">
        <v>0.99999971334842808</v>
      </c>
      <c r="P35">
        <v>0</v>
      </c>
    </row>
    <row r="36" spans="1:16" x14ac:dyDescent="0.35">
      <c r="A36">
        <v>2036</v>
      </c>
      <c r="B36">
        <v>1.1285884059538321E-19</v>
      </c>
      <c r="C36">
        <v>6.2209605742717405E-16</v>
      </c>
      <c r="D36">
        <v>1.279812543885835E-12</v>
      </c>
      <c r="E36">
        <v>9.8658764503769458E-10</v>
      </c>
      <c r="F36">
        <v>2.8665157187919328E-7</v>
      </c>
      <c r="G36">
        <v>3.1671241833119863E-5</v>
      </c>
      <c r="H36">
        <v>1.3498980316300931E-3</v>
      </c>
      <c r="I36">
        <v>2.2750131948179191E-2</v>
      </c>
      <c r="J36">
        <v>0.1586552539314571</v>
      </c>
      <c r="K36">
        <v>0.5</v>
      </c>
      <c r="L36">
        <v>0.84134474606854293</v>
      </c>
      <c r="M36">
        <v>0.97724986805182079</v>
      </c>
      <c r="N36">
        <v>0.9986501019683699</v>
      </c>
      <c r="O36">
        <v>0.99996832875816688</v>
      </c>
      <c r="P36">
        <v>0.99999971334842808</v>
      </c>
    </row>
    <row r="41" spans="1:16" x14ac:dyDescent="0.35">
      <c r="A41" t="s">
        <v>534</v>
      </c>
      <c r="B41">
        <v>2022</v>
      </c>
      <c r="C41">
        <v>2023</v>
      </c>
      <c r="D41">
        <v>2024</v>
      </c>
      <c r="E41">
        <v>2025</v>
      </c>
      <c r="F41">
        <v>2026</v>
      </c>
      <c r="G41">
        <v>2027</v>
      </c>
      <c r="H41">
        <v>2028</v>
      </c>
      <c r="I41">
        <v>2029</v>
      </c>
      <c r="J41">
        <v>2030</v>
      </c>
      <c r="K41">
        <v>2031</v>
      </c>
      <c r="L41">
        <v>2032</v>
      </c>
      <c r="M41">
        <v>2033</v>
      </c>
      <c r="N41">
        <v>2034</v>
      </c>
      <c r="O41">
        <v>2035</v>
      </c>
      <c r="P41">
        <v>2036</v>
      </c>
    </row>
    <row r="42" spans="1:16" x14ac:dyDescent="0.35">
      <c r="A42">
        <v>2022</v>
      </c>
      <c r="B42">
        <v>0.99999971334842808</v>
      </c>
      <c r="C42">
        <v>0</v>
      </c>
      <c r="D42">
        <v>0</v>
      </c>
      <c r="E42">
        <v>0</v>
      </c>
      <c r="F42">
        <v>0</v>
      </c>
      <c r="G42">
        <v>0</v>
      </c>
      <c r="H42">
        <v>0</v>
      </c>
      <c r="I42">
        <v>0</v>
      </c>
      <c r="J42">
        <v>0</v>
      </c>
      <c r="K42">
        <v>0</v>
      </c>
      <c r="L42">
        <v>0</v>
      </c>
      <c r="M42">
        <v>0</v>
      </c>
      <c r="N42">
        <v>0</v>
      </c>
      <c r="O42">
        <v>0</v>
      </c>
      <c r="P42">
        <v>0</v>
      </c>
    </row>
    <row r="43" spans="1:16" x14ac:dyDescent="0.35">
      <c r="A43">
        <v>2023</v>
      </c>
      <c r="B43">
        <v>0.5</v>
      </c>
      <c r="C43">
        <v>0.99999971334842808</v>
      </c>
      <c r="D43">
        <v>0</v>
      </c>
      <c r="E43">
        <v>0</v>
      </c>
      <c r="F43">
        <v>0</v>
      </c>
      <c r="G43">
        <v>0</v>
      </c>
      <c r="H43">
        <v>0</v>
      </c>
      <c r="I43">
        <v>0</v>
      </c>
      <c r="J43">
        <v>0</v>
      </c>
      <c r="K43">
        <v>0</v>
      </c>
      <c r="L43">
        <v>0</v>
      </c>
      <c r="M43">
        <v>0</v>
      </c>
      <c r="N43">
        <v>0</v>
      </c>
      <c r="O43">
        <v>0</v>
      </c>
      <c r="P43">
        <v>0</v>
      </c>
    </row>
    <row r="44" spans="1:16" x14ac:dyDescent="0.35">
      <c r="A44">
        <v>2024</v>
      </c>
      <c r="B44">
        <v>2.8665157187919328E-7</v>
      </c>
      <c r="C44">
        <v>0.5</v>
      </c>
      <c r="D44">
        <v>0.99999971334842808</v>
      </c>
      <c r="E44">
        <v>0</v>
      </c>
      <c r="F44">
        <v>0</v>
      </c>
      <c r="G44">
        <v>0</v>
      </c>
      <c r="H44">
        <v>0</v>
      </c>
      <c r="I44">
        <v>0</v>
      </c>
      <c r="J44">
        <v>0</v>
      </c>
      <c r="K44">
        <v>0</v>
      </c>
      <c r="L44">
        <v>0</v>
      </c>
      <c r="M44">
        <v>0</v>
      </c>
      <c r="N44">
        <v>0</v>
      </c>
      <c r="O44">
        <v>0</v>
      </c>
      <c r="P44">
        <v>0</v>
      </c>
    </row>
    <row r="45" spans="1:16" x14ac:dyDescent="0.35">
      <c r="A45">
        <v>2025</v>
      </c>
      <c r="B45">
        <v>7.6198530241604696E-24</v>
      </c>
      <c r="C45">
        <v>2.8665157187919328E-7</v>
      </c>
      <c r="D45">
        <v>0.5</v>
      </c>
      <c r="E45">
        <v>0.99999971334842808</v>
      </c>
      <c r="F45">
        <v>0</v>
      </c>
      <c r="G45">
        <v>0</v>
      </c>
      <c r="H45">
        <v>0</v>
      </c>
      <c r="I45">
        <v>0</v>
      </c>
      <c r="J45">
        <v>0</v>
      </c>
      <c r="K45">
        <v>0</v>
      </c>
      <c r="L45">
        <v>0</v>
      </c>
      <c r="M45">
        <v>0</v>
      </c>
      <c r="N45">
        <v>0</v>
      </c>
      <c r="O45">
        <v>0</v>
      </c>
      <c r="P45">
        <v>0</v>
      </c>
    </row>
    <row r="46" spans="1:16" x14ac:dyDescent="0.35">
      <c r="A46">
        <v>2026</v>
      </c>
      <c r="B46">
        <v>3.6709661993126992E-51</v>
      </c>
      <c r="C46">
        <v>7.6198530241604696E-24</v>
      </c>
      <c r="D46">
        <v>2.8665157187919328E-7</v>
      </c>
      <c r="E46">
        <v>0.5</v>
      </c>
      <c r="F46">
        <v>0.99999971334842808</v>
      </c>
      <c r="G46">
        <v>0</v>
      </c>
      <c r="H46">
        <v>0</v>
      </c>
      <c r="I46">
        <v>0</v>
      </c>
      <c r="J46">
        <v>0</v>
      </c>
      <c r="K46">
        <v>0</v>
      </c>
      <c r="L46">
        <v>0</v>
      </c>
      <c r="M46">
        <v>0</v>
      </c>
      <c r="N46">
        <v>0</v>
      </c>
      <c r="O46">
        <v>0</v>
      </c>
      <c r="P46">
        <v>0</v>
      </c>
    </row>
    <row r="47" spans="1:16" x14ac:dyDescent="0.35">
      <c r="A47">
        <v>2027</v>
      </c>
      <c r="B47">
        <v>2.753624118606156E-89</v>
      </c>
      <c r="C47">
        <v>3.6709661993126992E-51</v>
      </c>
      <c r="D47">
        <v>7.6198530241604696E-24</v>
      </c>
      <c r="E47">
        <v>2.8665157187919328E-7</v>
      </c>
      <c r="F47">
        <v>0.5</v>
      </c>
      <c r="G47">
        <v>0.99999971334842808</v>
      </c>
      <c r="H47">
        <v>0</v>
      </c>
      <c r="I47">
        <v>0</v>
      </c>
      <c r="J47">
        <v>0</v>
      </c>
      <c r="K47">
        <v>0</v>
      </c>
      <c r="L47">
        <v>0</v>
      </c>
      <c r="M47">
        <v>0</v>
      </c>
      <c r="N47">
        <v>0</v>
      </c>
      <c r="O47">
        <v>0</v>
      </c>
      <c r="P47">
        <v>0</v>
      </c>
    </row>
    <row r="48" spans="1:16" x14ac:dyDescent="0.35">
      <c r="A48">
        <v>2028</v>
      </c>
      <c r="B48">
        <v>3.056696706382561E-138</v>
      </c>
      <c r="C48">
        <v>2.753624118606156E-89</v>
      </c>
      <c r="D48">
        <v>3.6709661993126992E-51</v>
      </c>
      <c r="E48">
        <v>7.6198530241604696E-24</v>
      </c>
      <c r="F48">
        <v>2.8665157187919328E-7</v>
      </c>
      <c r="G48">
        <v>0.5</v>
      </c>
      <c r="H48">
        <v>0.99999971334842808</v>
      </c>
      <c r="I48">
        <v>0</v>
      </c>
      <c r="J48">
        <v>0</v>
      </c>
      <c r="K48">
        <v>0</v>
      </c>
      <c r="L48">
        <v>0</v>
      </c>
      <c r="M48">
        <v>0</v>
      </c>
      <c r="N48">
        <v>0</v>
      </c>
      <c r="O48">
        <v>0</v>
      </c>
      <c r="P48">
        <v>0</v>
      </c>
    </row>
    <row r="49" spans="1:16" x14ac:dyDescent="0.35">
      <c r="A49">
        <v>2029</v>
      </c>
      <c r="B49">
        <v>4.906713927147908E-198</v>
      </c>
      <c r="C49">
        <v>3.056696706382561E-138</v>
      </c>
      <c r="D49">
        <v>2.753624118606156E-89</v>
      </c>
      <c r="E49">
        <v>3.6709661993126992E-51</v>
      </c>
      <c r="F49">
        <v>7.6198530241604696E-24</v>
      </c>
      <c r="G49">
        <v>2.8665157187919328E-7</v>
      </c>
      <c r="H49">
        <v>0.5</v>
      </c>
      <c r="I49">
        <v>0.99999971334842808</v>
      </c>
      <c r="J49">
        <v>0</v>
      </c>
      <c r="K49">
        <v>0</v>
      </c>
      <c r="L49">
        <v>0</v>
      </c>
      <c r="M49">
        <v>0</v>
      </c>
      <c r="N49">
        <v>0</v>
      </c>
      <c r="O49">
        <v>0</v>
      </c>
      <c r="P49">
        <v>0</v>
      </c>
    </row>
    <row r="50" spans="1:16" x14ac:dyDescent="0.35">
      <c r="A50">
        <v>2030</v>
      </c>
      <c r="B50">
        <v>1.124910706472406E-268</v>
      </c>
      <c r="C50">
        <v>4.906713927147908E-198</v>
      </c>
      <c r="D50">
        <v>3.056696706382561E-138</v>
      </c>
      <c r="E50">
        <v>2.753624118606156E-89</v>
      </c>
      <c r="F50">
        <v>3.6709661993126992E-51</v>
      </c>
      <c r="G50">
        <v>7.6198530241604696E-24</v>
      </c>
      <c r="H50">
        <v>2.8665157187919328E-7</v>
      </c>
      <c r="I50">
        <v>0.5</v>
      </c>
      <c r="J50">
        <v>0.99999971334842808</v>
      </c>
      <c r="K50">
        <v>0</v>
      </c>
      <c r="L50">
        <v>0</v>
      </c>
      <c r="M50">
        <v>0</v>
      </c>
      <c r="N50">
        <v>0</v>
      </c>
      <c r="O50">
        <v>0</v>
      </c>
      <c r="P50">
        <v>0</v>
      </c>
    </row>
    <row r="51" spans="1:16" x14ac:dyDescent="0.35">
      <c r="A51">
        <v>2031</v>
      </c>
      <c r="B51">
        <v>0</v>
      </c>
      <c r="C51">
        <v>1.124910706472406E-268</v>
      </c>
      <c r="D51">
        <v>4.906713927147908E-198</v>
      </c>
      <c r="E51">
        <v>3.056696706382561E-138</v>
      </c>
      <c r="F51">
        <v>2.753624118606156E-89</v>
      </c>
      <c r="G51">
        <v>3.6709661993126992E-51</v>
      </c>
      <c r="H51">
        <v>7.6198530241604696E-24</v>
      </c>
      <c r="I51">
        <v>2.8665157187919328E-7</v>
      </c>
      <c r="J51">
        <v>0.5</v>
      </c>
      <c r="K51">
        <v>0.99999971334842808</v>
      </c>
      <c r="L51">
        <v>0</v>
      </c>
      <c r="M51">
        <v>0</v>
      </c>
      <c r="N51">
        <v>0</v>
      </c>
      <c r="O51">
        <v>0</v>
      </c>
      <c r="P51">
        <v>0</v>
      </c>
    </row>
    <row r="52" spans="1:16" x14ac:dyDescent="0.35">
      <c r="A52">
        <v>2032</v>
      </c>
      <c r="B52">
        <v>0</v>
      </c>
      <c r="C52">
        <v>0</v>
      </c>
      <c r="D52">
        <v>1.124910706472406E-268</v>
      </c>
      <c r="E52">
        <v>4.906713927147908E-198</v>
      </c>
      <c r="F52">
        <v>3.056696706382561E-138</v>
      </c>
      <c r="G52">
        <v>2.753624118606156E-89</v>
      </c>
      <c r="H52">
        <v>3.6709661993126992E-51</v>
      </c>
      <c r="I52">
        <v>7.6198530241604696E-24</v>
      </c>
      <c r="J52">
        <v>2.8665157187919328E-7</v>
      </c>
      <c r="K52">
        <v>0.5</v>
      </c>
      <c r="L52">
        <v>0.99999971334842808</v>
      </c>
      <c r="M52">
        <v>0</v>
      </c>
      <c r="N52">
        <v>0</v>
      </c>
      <c r="O52">
        <v>0</v>
      </c>
      <c r="P52">
        <v>0</v>
      </c>
    </row>
    <row r="53" spans="1:16" x14ac:dyDescent="0.35">
      <c r="A53">
        <v>2033</v>
      </c>
      <c r="B53">
        <v>0</v>
      </c>
      <c r="C53">
        <v>0</v>
      </c>
      <c r="D53">
        <v>0</v>
      </c>
      <c r="E53">
        <v>1.124910706472406E-268</v>
      </c>
      <c r="F53">
        <v>4.906713927147908E-198</v>
      </c>
      <c r="G53">
        <v>3.056696706382561E-138</v>
      </c>
      <c r="H53">
        <v>2.753624118606156E-89</v>
      </c>
      <c r="I53">
        <v>3.6709661993126992E-51</v>
      </c>
      <c r="J53">
        <v>7.6198530241604696E-24</v>
      </c>
      <c r="K53">
        <v>2.8665157187919328E-7</v>
      </c>
      <c r="L53">
        <v>0.5</v>
      </c>
      <c r="M53">
        <v>0.99999971334842808</v>
      </c>
      <c r="N53">
        <v>0</v>
      </c>
      <c r="O53">
        <v>0</v>
      </c>
      <c r="P53">
        <v>0</v>
      </c>
    </row>
    <row r="54" spans="1:16" x14ac:dyDescent="0.35">
      <c r="A54">
        <v>2034</v>
      </c>
      <c r="B54">
        <v>0</v>
      </c>
      <c r="C54">
        <v>0</v>
      </c>
      <c r="D54">
        <v>0</v>
      </c>
      <c r="E54">
        <v>0</v>
      </c>
      <c r="F54">
        <v>1.124910706472406E-268</v>
      </c>
      <c r="G54">
        <v>4.906713927147908E-198</v>
      </c>
      <c r="H54">
        <v>3.056696706382561E-138</v>
      </c>
      <c r="I54">
        <v>2.753624118606156E-89</v>
      </c>
      <c r="J54">
        <v>3.6709661993126992E-51</v>
      </c>
      <c r="K54">
        <v>7.6198530241604696E-24</v>
      </c>
      <c r="L54">
        <v>2.8665157187919328E-7</v>
      </c>
      <c r="M54">
        <v>0.5</v>
      </c>
      <c r="N54">
        <v>0.99999971334842808</v>
      </c>
      <c r="O54">
        <v>0</v>
      </c>
      <c r="P54">
        <v>0</v>
      </c>
    </row>
    <row r="55" spans="1:16" x14ac:dyDescent="0.35">
      <c r="A55">
        <v>2035</v>
      </c>
      <c r="B55">
        <v>0</v>
      </c>
      <c r="C55">
        <v>0</v>
      </c>
      <c r="D55">
        <v>0</v>
      </c>
      <c r="E55">
        <v>0</v>
      </c>
      <c r="F55">
        <v>0</v>
      </c>
      <c r="G55">
        <v>1.124910706472406E-268</v>
      </c>
      <c r="H55">
        <v>4.906713927147908E-198</v>
      </c>
      <c r="I55">
        <v>3.056696706382561E-138</v>
      </c>
      <c r="J55">
        <v>2.753624118606156E-89</v>
      </c>
      <c r="K55">
        <v>3.6709661993126992E-51</v>
      </c>
      <c r="L55">
        <v>7.6198530241604696E-24</v>
      </c>
      <c r="M55">
        <v>2.8665157187919328E-7</v>
      </c>
      <c r="N55">
        <v>0.5</v>
      </c>
      <c r="O55">
        <v>0.99999971334842808</v>
      </c>
      <c r="P55">
        <v>0</v>
      </c>
    </row>
    <row r="56" spans="1:16" x14ac:dyDescent="0.35">
      <c r="A56">
        <v>2036</v>
      </c>
      <c r="B56">
        <v>0</v>
      </c>
      <c r="C56">
        <v>0</v>
      </c>
      <c r="D56">
        <v>0</v>
      </c>
      <c r="E56">
        <v>0</v>
      </c>
      <c r="F56">
        <v>0</v>
      </c>
      <c r="G56">
        <v>0</v>
      </c>
      <c r="H56">
        <v>1.124910706472406E-268</v>
      </c>
      <c r="I56">
        <v>4.906713927147908E-198</v>
      </c>
      <c r="J56">
        <v>3.056696706382561E-138</v>
      </c>
      <c r="K56">
        <v>2.753624118606156E-89</v>
      </c>
      <c r="L56">
        <v>3.6709661993126992E-51</v>
      </c>
      <c r="M56">
        <v>7.6198530241604696E-24</v>
      </c>
      <c r="N56">
        <v>2.8665157187919328E-7</v>
      </c>
      <c r="O56">
        <v>0.5</v>
      </c>
      <c r="P56">
        <v>0.99999971334842808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5CA1C-4B2C-44C0-833C-45044C4BDD4D}">
  <dimension ref="A1:AI50"/>
  <sheetViews>
    <sheetView topLeftCell="A15" workbookViewId="0">
      <selection activeCell="U31" sqref="U31:AI50"/>
    </sheetView>
  </sheetViews>
  <sheetFormatPr defaultRowHeight="14.5" x14ac:dyDescent="0.35"/>
  <cols>
    <col min="2" max="2" width="11.81640625" bestFit="1" customWidth="1"/>
    <col min="18" max="18" width="9.81640625" bestFit="1" customWidth="1"/>
  </cols>
  <sheetData>
    <row r="1" spans="1:34" x14ac:dyDescent="0.35">
      <c r="B1">
        <v>2022</v>
      </c>
      <c r="C1">
        <v>2023</v>
      </c>
      <c r="D1">
        <v>2024</v>
      </c>
      <c r="E1">
        <v>2025</v>
      </c>
      <c r="F1">
        <v>2026</v>
      </c>
      <c r="G1">
        <v>2027</v>
      </c>
      <c r="H1">
        <v>2028</v>
      </c>
      <c r="I1">
        <v>2029</v>
      </c>
      <c r="J1">
        <v>2030</v>
      </c>
      <c r="K1">
        <v>2031</v>
      </c>
      <c r="L1">
        <v>2032</v>
      </c>
      <c r="M1">
        <v>2033</v>
      </c>
      <c r="N1">
        <v>2034</v>
      </c>
      <c r="O1">
        <v>2035</v>
      </c>
      <c r="P1">
        <v>2036</v>
      </c>
    </row>
    <row r="2" spans="1:34" x14ac:dyDescent="0.35">
      <c r="A2" t="str">
        <f>'1_1_Definition_Flows'!C2</f>
        <v>F_13_20</v>
      </c>
      <c r="B2" s="5">
        <f>Tab_Data_Flows[[#This Row],[Flow_Source]]</f>
        <v>129</v>
      </c>
      <c r="C2">
        <f>B2*1.02</f>
        <v>131.58000000000001</v>
      </c>
      <c r="D2">
        <f t="shared" ref="D2:P2" si="0">C2*1.02</f>
        <v>134.2116</v>
      </c>
      <c r="E2">
        <f t="shared" si="0"/>
        <v>136.89583200000001</v>
      </c>
      <c r="F2">
        <f t="shared" si="0"/>
        <v>139.63374864000002</v>
      </c>
      <c r="G2">
        <f t="shared" si="0"/>
        <v>142.42642361280002</v>
      </c>
      <c r="H2">
        <f t="shared" si="0"/>
        <v>145.27495208505601</v>
      </c>
      <c r="I2">
        <f t="shared" si="0"/>
        <v>148.18045112675713</v>
      </c>
      <c r="J2">
        <f t="shared" si="0"/>
        <v>151.14406014929227</v>
      </c>
      <c r="K2">
        <f t="shared" si="0"/>
        <v>154.16694135227812</v>
      </c>
      <c r="L2">
        <f t="shared" si="0"/>
        <v>157.25028017932368</v>
      </c>
      <c r="M2">
        <f t="shared" si="0"/>
        <v>160.39528578291015</v>
      </c>
      <c r="N2">
        <f t="shared" si="0"/>
        <v>163.60319149856835</v>
      </c>
      <c r="O2">
        <f t="shared" si="0"/>
        <v>166.87525532853971</v>
      </c>
      <c r="P2">
        <f t="shared" si="0"/>
        <v>170.21276043511051</v>
      </c>
      <c r="R2" s="127">
        <f>SUM(B2:P2)</f>
        <v>2230.850782190636</v>
      </c>
      <c r="T2" s="5"/>
    </row>
    <row r="3" spans="1:34" x14ac:dyDescent="0.35">
      <c r="A3" t="str">
        <f>'1_1_Definition_Flows'!C3</f>
        <v>F_20_15</v>
      </c>
      <c r="B3">
        <f>B2*'2_3_Process_TCs'!$AE$2</f>
        <v>51.6</v>
      </c>
      <c r="C3">
        <f>C2*'2_3_Process_TCs'!$AE$2</f>
        <v>52.632000000000005</v>
      </c>
      <c r="D3">
        <f>D2*'2_3_Process_TCs'!$AE$2</f>
        <v>53.684640000000002</v>
      </c>
      <c r="E3">
        <f>E2*'2_3_Process_TCs'!$AE$2</f>
        <v>54.758332800000005</v>
      </c>
      <c r="F3">
        <f>F2*'2_3_Process_TCs'!$AE$2</f>
        <v>55.853499456000009</v>
      </c>
      <c r="G3">
        <f>G2*'2_3_Process_TCs'!$AE$2</f>
        <v>56.970569445120013</v>
      </c>
      <c r="H3">
        <f>H2*'2_3_Process_TCs'!$AE$2</f>
        <v>58.109980834022409</v>
      </c>
      <c r="I3">
        <f>I2*'2_3_Process_TCs'!$AE$2</f>
        <v>59.272180450702855</v>
      </c>
      <c r="J3">
        <f>J2*'2_3_Process_TCs'!$AE$2</f>
        <v>60.457624059716913</v>
      </c>
      <c r="K3">
        <f>K2*'2_3_Process_TCs'!$AE$2</f>
        <v>61.66677654091125</v>
      </c>
      <c r="L3">
        <f>L2*'2_3_Process_TCs'!$AE$2</f>
        <v>62.900112071729474</v>
      </c>
      <c r="M3">
        <f>M2*'2_3_Process_TCs'!$AE$2</f>
        <v>64.158114313164063</v>
      </c>
      <c r="N3">
        <f>N2*'2_3_Process_TCs'!$AE$2</f>
        <v>65.44127659942734</v>
      </c>
      <c r="O3">
        <f>O2*'2_3_Process_TCs'!$AE$2</f>
        <v>66.750102131415886</v>
      </c>
      <c r="P3">
        <f>P2*'2_3_Process_TCs'!$AE$2</f>
        <v>68.085104174044204</v>
      </c>
      <c r="R3" s="127">
        <f t="shared" ref="R3:R26" si="1">SUM(B3:P3)</f>
        <v>892.34031287625453</v>
      </c>
    </row>
    <row r="4" spans="1:34" x14ac:dyDescent="0.35">
      <c r="A4" t="str">
        <f>'1_1_Definition_Flows'!C4</f>
        <v>F_20_01</v>
      </c>
      <c r="B4">
        <f>B2*'2_3_Process_TCs'!$AH$2</f>
        <v>51.6</v>
      </c>
      <c r="C4">
        <f>C2*'2_3_Process_TCs'!$AH$2</f>
        <v>52.632000000000005</v>
      </c>
      <c r="D4">
        <f>D2*'2_3_Process_TCs'!$AH$2</f>
        <v>53.684640000000002</v>
      </c>
      <c r="E4">
        <f>E2*'2_3_Process_TCs'!$AH$2</f>
        <v>54.758332800000005</v>
      </c>
      <c r="F4">
        <f>F2*'2_3_Process_TCs'!$AH$2</f>
        <v>55.853499456000009</v>
      </c>
      <c r="G4">
        <f>G2*'2_3_Process_TCs'!$AH$2</f>
        <v>56.970569445120013</v>
      </c>
      <c r="H4">
        <f>H2*'2_3_Process_TCs'!$AH$2</f>
        <v>58.109980834022409</v>
      </c>
      <c r="I4">
        <f>I2*'2_3_Process_TCs'!$AH$2</f>
        <v>59.272180450702855</v>
      </c>
      <c r="J4">
        <f>J2*'2_3_Process_TCs'!$AH$2</f>
        <v>60.457624059716913</v>
      </c>
      <c r="K4">
        <f>K2*'2_3_Process_TCs'!$AH$2</f>
        <v>61.66677654091125</v>
      </c>
      <c r="L4">
        <f>L2*'2_3_Process_TCs'!$AH$2</f>
        <v>62.900112071729474</v>
      </c>
      <c r="M4">
        <f>M2*'2_3_Process_TCs'!$AH$2</f>
        <v>64.158114313164063</v>
      </c>
      <c r="N4">
        <f>N2*'2_3_Process_TCs'!$AH$2</f>
        <v>65.44127659942734</v>
      </c>
      <c r="O4">
        <f>O2*'2_3_Process_TCs'!$AH$2</f>
        <v>66.750102131415886</v>
      </c>
      <c r="P4">
        <f>P2*'2_3_Process_TCs'!$AH$2</f>
        <v>68.085104174044204</v>
      </c>
      <c r="R4" s="127">
        <f t="shared" si="1"/>
        <v>892.34031287625453</v>
      </c>
    </row>
    <row r="5" spans="1:34" x14ac:dyDescent="0.35">
      <c r="A5" t="str">
        <f>'1_1_Definition_Flows'!C5</f>
        <v>F_20_16</v>
      </c>
      <c r="B5" s="5">
        <f>B2-B3-B4</f>
        <v>25.800000000000004</v>
      </c>
      <c r="C5" s="5">
        <f t="shared" ref="C5:P5" si="2">C2-C3-C4</f>
        <v>26.316000000000003</v>
      </c>
      <c r="D5" s="5">
        <f t="shared" si="2"/>
        <v>26.842320000000001</v>
      </c>
      <c r="E5" s="5">
        <f t="shared" si="2"/>
        <v>27.379166400000003</v>
      </c>
      <c r="F5" s="5">
        <f t="shared" si="2"/>
        <v>27.926749728000004</v>
      </c>
      <c r="G5" s="5">
        <f t="shared" si="2"/>
        <v>28.485284722559989</v>
      </c>
      <c r="H5" s="5">
        <f t="shared" si="2"/>
        <v>29.054990417011197</v>
      </c>
      <c r="I5" s="5">
        <f t="shared" si="2"/>
        <v>29.636090225351431</v>
      </c>
      <c r="J5" s="5">
        <f t="shared" si="2"/>
        <v>30.228812029858439</v>
      </c>
      <c r="K5" s="5">
        <f t="shared" si="2"/>
        <v>30.833388270455607</v>
      </c>
      <c r="L5" s="5">
        <f t="shared" si="2"/>
        <v>31.450056035864741</v>
      </c>
      <c r="M5" s="5">
        <f t="shared" si="2"/>
        <v>32.079057156582024</v>
      </c>
      <c r="N5" s="5">
        <f t="shared" si="2"/>
        <v>32.72063829971367</v>
      </c>
      <c r="O5" s="5">
        <f t="shared" si="2"/>
        <v>33.375051065707936</v>
      </c>
      <c r="P5" s="5">
        <f t="shared" si="2"/>
        <v>34.042552087022102</v>
      </c>
      <c r="R5" s="127">
        <f t="shared" si="1"/>
        <v>446.17015643812709</v>
      </c>
      <c r="T5" s="5"/>
      <c r="U5" s="5"/>
      <c r="V5" s="5"/>
      <c r="W5" s="5"/>
      <c r="X5" s="5"/>
      <c r="Y5" s="5"/>
      <c r="Z5" s="5"/>
      <c r="AA5" s="5"/>
      <c r="AB5" s="5"/>
      <c r="AC5" s="5"/>
      <c r="AD5" s="5"/>
      <c r="AE5" s="5"/>
      <c r="AF5" s="5"/>
      <c r="AG5" s="5"/>
      <c r="AH5" s="5"/>
    </row>
    <row r="6" spans="1:34" x14ac:dyDescent="0.35">
      <c r="A6" t="str">
        <f>'1_1_Definition_Flows'!C6</f>
        <v>F_04_01</v>
      </c>
      <c r="B6" s="5">
        <f>'1_2_Data_Flows'!O3</f>
        <v>39</v>
      </c>
      <c r="C6">
        <f>B6*1.02</f>
        <v>39.78</v>
      </c>
      <c r="D6">
        <f t="shared" ref="D6:P6" si="3">C6*1.02</f>
        <v>40.575600000000001</v>
      </c>
      <c r="E6">
        <f t="shared" si="3"/>
        <v>41.387112000000002</v>
      </c>
      <c r="F6">
        <f t="shared" si="3"/>
        <v>42.214854240000001</v>
      </c>
      <c r="G6">
        <f t="shared" si="3"/>
        <v>43.059151324799998</v>
      </c>
      <c r="H6">
        <f t="shared" si="3"/>
        <v>43.920334351295999</v>
      </c>
      <c r="I6">
        <f t="shared" si="3"/>
        <v>44.798741038321921</v>
      </c>
      <c r="J6">
        <f t="shared" si="3"/>
        <v>45.694715859088362</v>
      </c>
      <c r="K6">
        <f t="shared" si="3"/>
        <v>46.608610176270133</v>
      </c>
      <c r="L6">
        <f t="shared" si="3"/>
        <v>47.540782379795537</v>
      </c>
      <c r="M6">
        <f t="shared" si="3"/>
        <v>48.491598027391447</v>
      </c>
      <c r="N6">
        <f t="shared" si="3"/>
        <v>49.461429987939276</v>
      </c>
      <c r="O6">
        <f t="shared" si="3"/>
        <v>50.450658587698065</v>
      </c>
      <c r="P6">
        <f t="shared" si="3"/>
        <v>51.459671759452029</v>
      </c>
      <c r="R6" s="127">
        <f t="shared" si="1"/>
        <v>674.44325973205275</v>
      </c>
      <c r="T6" s="5"/>
    </row>
    <row r="7" spans="1:34" x14ac:dyDescent="0.35">
      <c r="A7" t="str">
        <f>'1_1_Definition_Flows'!C7</f>
        <v>F_01_05</v>
      </c>
      <c r="B7">
        <f>(B4+B6)*'2_3_Process_TCs'!$AE$3</f>
        <v>22.921799999999998</v>
      </c>
      <c r="C7">
        <f>(C4+C6)*'2_3_Process_TCs'!$AE$3</f>
        <v>23.380236000000004</v>
      </c>
      <c r="D7">
        <f>(D4+D6)*'2_3_Process_TCs'!$AE$3</f>
        <v>23.847840720000004</v>
      </c>
      <c r="E7">
        <f>(E4+E6)*'2_3_Process_TCs'!$AE$3</f>
        <v>24.324797534400002</v>
      </c>
      <c r="F7">
        <f>(F4+F6)*'2_3_Process_TCs'!$AE$3</f>
        <v>24.811293485088001</v>
      </c>
      <c r="G7">
        <f>(G4+G6)*'2_3_Process_TCs'!$AE$3</f>
        <v>25.307519354789761</v>
      </c>
      <c r="H7">
        <f>(H4+H6)*'2_3_Process_TCs'!$AE$3</f>
        <v>25.813669741885558</v>
      </c>
      <c r="I7">
        <f>(I4+I6)*'2_3_Process_TCs'!$AE$3</f>
        <v>26.329943136723269</v>
      </c>
      <c r="J7">
        <f>(J4+J6)*'2_3_Process_TCs'!$AE$3</f>
        <v>26.856541999457733</v>
      </c>
      <c r="K7">
        <f>(K4+K6)*'2_3_Process_TCs'!$AE$3</f>
        <v>27.393672839446893</v>
      </c>
      <c r="L7">
        <f>(L4+L6)*'2_3_Process_TCs'!$AE$3</f>
        <v>27.941546296235828</v>
      </c>
      <c r="M7">
        <f>(M4+M6)*'2_3_Process_TCs'!$AE$3</f>
        <v>28.500377222160544</v>
      </c>
      <c r="N7">
        <f>(N4+N6)*'2_3_Process_TCs'!$AE$3</f>
        <v>29.070384766603755</v>
      </c>
      <c r="O7">
        <f>(O4+O6)*'2_3_Process_TCs'!$AE$3</f>
        <v>29.65179246193583</v>
      </c>
      <c r="P7">
        <f>(P4+P6)*'2_3_Process_TCs'!$AE$3</f>
        <v>30.244828311174544</v>
      </c>
      <c r="R7" s="127">
        <f t="shared" si="1"/>
        <v>396.3962438699017</v>
      </c>
    </row>
    <row r="8" spans="1:34" x14ac:dyDescent="0.35">
      <c r="A8" t="str">
        <f>'1_1_Definition_Flows'!C8</f>
        <v>F_01_02</v>
      </c>
      <c r="B8">
        <f>(B4+B6)*'2_3_Process_TCs'!$AH$3</f>
        <v>67.67819999999999</v>
      </c>
      <c r="C8">
        <f>(C4+C6)*'2_3_Process_TCs'!$AH$3</f>
        <v>69.03176400000001</v>
      </c>
      <c r="D8">
        <f>(D4+D6)*'2_3_Process_TCs'!$AH$3</f>
        <v>70.412399280000002</v>
      </c>
      <c r="E8">
        <f>(E4+E6)*'2_3_Process_TCs'!$AH$3</f>
        <v>71.820647265600002</v>
      </c>
      <c r="F8">
        <f>(F4+F6)*'2_3_Process_TCs'!$AH$3</f>
        <v>73.257060210912002</v>
      </c>
      <c r="G8">
        <f>(G4+G6)*'2_3_Process_TCs'!$AH$3</f>
        <v>74.722201415130243</v>
      </c>
      <c r="H8">
        <f>(H4+H6)*'2_3_Process_TCs'!$AH$3</f>
        <v>76.216645443432853</v>
      </c>
      <c r="I8">
        <f>(I4+I6)*'2_3_Process_TCs'!$AH$3</f>
        <v>77.740978352301511</v>
      </c>
      <c r="J8">
        <f>(J4+J6)*'2_3_Process_TCs'!$AH$3</f>
        <v>79.295797919347535</v>
      </c>
      <c r="K8">
        <f>(K4+K6)*'2_3_Process_TCs'!$AH$3</f>
        <v>80.881713877734498</v>
      </c>
      <c r="L8">
        <f>(L4+L6)*'2_3_Process_TCs'!$AH$3</f>
        <v>82.499348155289184</v>
      </c>
      <c r="M8">
        <f>(M4+M6)*'2_3_Process_TCs'!$AH$3</f>
        <v>84.149335118394973</v>
      </c>
      <c r="N8">
        <f>(N4+N6)*'2_3_Process_TCs'!$AH$3</f>
        <v>85.832321820762871</v>
      </c>
      <c r="O8">
        <f>(O4+O6)*'2_3_Process_TCs'!$AH$3</f>
        <v>87.548968257178132</v>
      </c>
      <c r="P8">
        <f>(P4+P6)*'2_3_Process_TCs'!$AH$3</f>
        <v>89.299947622321682</v>
      </c>
      <c r="R8" s="127">
        <f t="shared" si="1"/>
        <v>1170.3873287384058</v>
      </c>
    </row>
    <row r="9" spans="1:34" x14ac:dyDescent="0.35">
      <c r="A9" t="str">
        <f>'1_1_Definition_Flows'!C9</f>
        <v>F_02_03</v>
      </c>
      <c r="B9">
        <f>(B8+B12+B13)*'2_3_Process_TCs'!$AE$4</f>
        <v>54.217716000000003</v>
      </c>
      <c r="C9">
        <f>(C8+C12+C13)*'2_3_Process_TCs'!$AE$4</f>
        <v>55.302070320000006</v>
      </c>
      <c r="D9">
        <f>(D8+D12+D13)*'2_3_Process_TCs'!$AE$4</f>
        <v>56.408111726400008</v>
      </c>
      <c r="E9">
        <f>(E8+E12+E13)*'2_3_Process_TCs'!$AE$4</f>
        <v>57.536273960928007</v>
      </c>
      <c r="F9">
        <f>(F8+F12+F13)*'2_3_Process_TCs'!$AE$4</f>
        <v>58.686999440146565</v>
      </c>
      <c r="G9">
        <f>(G8+G12+G13)*'2_3_Process_TCs'!$AE$4</f>
        <v>59.860739428949508</v>
      </c>
      <c r="H9">
        <f>(H8+H12+H13)*'2_3_Process_TCs'!$AE$4</f>
        <v>61.057954217528497</v>
      </c>
      <c r="I9">
        <f>(I8+I12+I13)*'2_3_Process_TCs'!$AE$4</f>
        <v>62.279113301879065</v>
      </c>
      <c r="J9">
        <f>(J8+J12+J13)*'2_3_Process_TCs'!$AE$4</f>
        <v>63.524695567916645</v>
      </c>
      <c r="K9">
        <f>(K8+K12+K13)*'2_3_Process_TCs'!$AE$4</f>
        <v>64.795189479274981</v>
      </c>
      <c r="L9">
        <f>(L8+L12+L13)*'2_3_Process_TCs'!$AE$4</f>
        <v>66.091093268860476</v>
      </c>
      <c r="M9">
        <f>(M8+M12+M13)*'2_3_Process_TCs'!$AE$4</f>
        <v>67.412915134237693</v>
      </c>
      <c r="N9">
        <f>(N8+N12+N13)*'2_3_Process_TCs'!$AE$4</f>
        <v>68.761173436922448</v>
      </c>
      <c r="O9">
        <f>(O8+O12+O13)*'2_3_Process_TCs'!$AE$4</f>
        <v>70.136396905660888</v>
      </c>
      <c r="P9">
        <f>(P8+P12+P13)*'2_3_Process_TCs'!$AE$4</f>
        <v>71.539124843774118</v>
      </c>
      <c r="R9" s="127">
        <f t="shared" si="1"/>
        <v>937.60956703247894</v>
      </c>
    </row>
    <row r="10" spans="1:34" x14ac:dyDescent="0.35">
      <c r="A10" t="str">
        <f>'1_1_Definition_Flows'!C10</f>
        <v>F_03_07</v>
      </c>
      <c r="B10">
        <f>'dynamic stock model'!B8+'dynamic stock model'!B9+'dynamic stock model'!B10</f>
        <v>1.5541593516132934E-5</v>
      </c>
      <c r="C10">
        <f>'dynamic stock model'!C8+'dynamic stock model'!C9+'dynamic stock model'!C10</f>
        <v>16.265695382126193</v>
      </c>
      <c r="D10">
        <f>'dynamic stock model'!D8+'dynamic stock model'!D9+'dynamic stock model'!D10</f>
        <v>32.870915599618868</v>
      </c>
      <c r="E10">
        <f>'dynamic stock model'!E8+'dynamic stock model'!E9+'dynamic stock model'!E10</f>
        <v>33.762576692520661</v>
      </c>
      <c r="F10">
        <f>'dynamic stock model'!F8+'dynamic stock model'!F9+'dynamic stock model'!F10</f>
        <v>35.923636441851485</v>
      </c>
      <c r="G10">
        <f>'dynamic stock model'!G8+'dynamic stock model'!G9+'dynamic stock model'!G10</f>
        <v>40.396192767371808</v>
      </c>
      <c r="H10">
        <f>'dynamic stock model'!H8+'dynamic stock model'!H9+'dynamic stock model'!H10</f>
        <v>45.084860387174722</v>
      </c>
      <c r="I10">
        <f>'dynamic stock model'!I8+'dynamic stock model'!I9+'dynamic stock model'!I10</f>
        <v>47.93798539068932</v>
      </c>
      <c r="J10">
        <f>'dynamic stock model'!J8+'dynamic stock model'!J9+'dynamic stock model'!J10</f>
        <v>50.124757786350095</v>
      </c>
      <c r="K10">
        <f>'dynamic stock model'!K8+'dynamic stock model'!K9+'dynamic stock model'!K10</f>
        <v>52.76680222130387</v>
      </c>
      <c r="L10">
        <f>'dynamic stock model'!L8+'dynamic stock model'!L9+'dynamic stock model'!L10</f>
        <v>55.898610055893315</v>
      </c>
      <c r="M10">
        <f>'dynamic stock model'!M8+'dynamic stock model'!M9+'dynamic stock model'!M10</f>
        <v>59.092716824634877</v>
      </c>
      <c r="N10">
        <f>'dynamic stock model'!N8+'dynamic stock model'!N9+'dynamic stock model'!N10</f>
        <v>61.899826201895955</v>
      </c>
      <c r="O10">
        <f>'dynamic stock model'!O8+'dynamic stock model'!O9+'dynamic stock model'!O10</f>
        <v>64.133781052830528</v>
      </c>
      <c r="P10">
        <f>'dynamic stock model'!P8+'dynamic stock model'!P9+'dynamic stock model'!P10</f>
        <v>65.89419140833138</v>
      </c>
      <c r="R10" s="127">
        <f t="shared" si="1"/>
        <v>662.05256375418651</v>
      </c>
    </row>
    <row r="11" spans="1:34" x14ac:dyDescent="0.35">
      <c r="A11" t="str">
        <f>'1_1_Definition_Flows'!C11</f>
        <v>F_02_06</v>
      </c>
      <c r="B11">
        <f>(B8+B12+B13)*'2_3_Process_TCs'!$AH$4</f>
        <v>12.841037999999999</v>
      </c>
      <c r="C11">
        <f>(C8+C12+C13)*'2_3_Process_TCs'!$AH$4</f>
        <v>13.097858760000001</v>
      </c>
      <c r="D11">
        <f>(D8+D12+D13)*'2_3_Process_TCs'!$AH$4</f>
        <v>13.3598159352</v>
      </c>
      <c r="E11">
        <f>(E8+E12+E13)*'2_3_Process_TCs'!$AH$4</f>
        <v>13.627012253904002</v>
      </c>
      <c r="F11">
        <f>(F8+F12+F13)*'2_3_Process_TCs'!$AH$4</f>
        <v>13.89955249898208</v>
      </c>
      <c r="G11">
        <f>(G8+G12+G13)*'2_3_Process_TCs'!$AH$4</f>
        <v>14.177543548961724</v>
      </c>
      <c r="H11">
        <f>(H8+H12+H13)*'2_3_Process_TCs'!$AH$4</f>
        <v>14.461094419940959</v>
      </c>
      <c r="I11">
        <f>(I8+I12+I13)*'2_3_Process_TCs'!$AH$4</f>
        <v>14.750316308339778</v>
      </c>
      <c r="J11">
        <f>(J8+J12+J13)*'2_3_Process_TCs'!$AH$4</f>
        <v>15.045322634506574</v>
      </c>
      <c r="K11">
        <f>(K8+K12+K13)*'2_3_Process_TCs'!$AH$4</f>
        <v>15.346229087196706</v>
      </c>
      <c r="L11">
        <f>(L8+L12+L13)*'2_3_Process_TCs'!$AH$4</f>
        <v>15.653153668940639</v>
      </c>
      <c r="M11">
        <f>(M8+M12+M13)*'2_3_Process_TCs'!$AH$4</f>
        <v>15.966216742319451</v>
      </c>
      <c r="N11">
        <f>(N8+N12+N13)*'2_3_Process_TCs'!$AH$4</f>
        <v>16.285541077165842</v>
      </c>
      <c r="O11">
        <f>(O8+O12+O13)*'2_3_Process_TCs'!$AH$4</f>
        <v>16.61125189870916</v>
      </c>
      <c r="P11">
        <f>(P8+P12+P13)*'2_3_Process_TCs'!$AH$4</f>
        <v>16.943476936683343</v>
      </c>
      <c r="R11" s="127">
        <f t="shared" si="1"/>
        <v>222.06542377085026</v>
      </c>
    </row>
    <row r="12" spans="1:34" x14ac:dyDescent="0.35">
      <c r="A12" t="str">
        <f>'1_1_Definition_Flows'!C12</f>
        <v>F_11_02</v>
      </c>
      <c r="B12" s="5">
        <f>'1_2_Data_Flows'!O4</f>
        <v>1</v>
      </c>
      <c r="C12">
        <f>B12*1.02</f>
        <v>1.02</v>
      </c>
      <c r="D12">
        <f t="shared" ref="D12:P12" si="4">C12*1.02</f>
        <v>1.0404</v>
      </c>
      <c r="E12">
        <f t="shared" si="4"/>
        <v>1.0612079999999999</v>
      </c>
      <c r="F12">
        <f t="shared" si="4"/>
        <v>1.08243216</v>
      </c>
      <c r="G12">
        <f t="shared" si="4"/>
        <v>1.1040808032</v>
      </c>
      <c r="H12">
        <f t="shared" si="4"/>
        <v>1.1261624192640001</v>
      </c>
      <c r="I12">
        <f t="shared" si="4"/>
        <v>1.14868566764928</v>
      </c>
      <c r="J12">
        <f t="shared" si="4"/>
        <v>1.1716593810022657</v>
      </c>
      <c r="K12">
        <f t="shared" si="4"/>
        <v>1.1950925686223111</v>
      </c>
      <c r="L12">
        <f t="shared" si="4"/>
        <v>1.2189944199947573</v>
      </c>
      <c r="M12">
        <f t="shared" si="4"/>
        <v>1.2433743083946525</v>
      </c>
      <c r="N12">
        <f t="shared" si="4"/>
        <v>1.2682417945625455</v>
      </c>
      <c r="O12">
        <f t="shared" si="4"/>
        <v>1.2936066304537963</v>
      </c>
      <c r="P12">
        <f t="shared" si="4"/>
        <v>1.3194787630628724</v>
      </c>
      <c r="R12" s="127">
        <f t="shared" si="1"/>
        <v>17.293416916206482</v>
      </c>
      <c r="T12" s="5"/>
    </row>
    <row r="13" spans="1:34" x14ac:dyDescent="0.35">
      <c r="A13" t="str">
        <f>'1_1_Definition_Flows'!C13</f>
        <v>F_08_02</v>
      </c>
      <c r="B13" s="5">
        <f>'1_2_Data_Flows'!O5</f>
        <v>74</v>
      </c>
      <c r="C13">
        <f>B13*1.02</f>
        <v>75.48</v>
      </c>
      <c r="D13">
        <f t="shared" ref="D13:P13" si="5">C13*1.02</f>
        <v>76.98960000000001</v>
      </c>
      <c r="E13">
        <f t="shared" si="5"/>
        <v>78.529392000000016</v>
      </c>
      <c r="F13">
        <f t="shared" si="5"/>
        <v>80.099979840000017</v>
      </c>
      <c r="G13">
        <f t="shared" si="5"/>
        <v>81.701979436800016</v>
      </c>
      <c r="H13">
        <f t="shared" si="5"/>
        <v>83.336019025536018</v>
      </c>
      <c r="I13">
        <f t="shared" si="5"/>
        <v>85.002739406046743</v>
      </c>
      <c r="J13">
        <f t="shared" si="5"/>
        <v>86.70279419416768</v>
      </c>
      <c r="K13">
        <f t="shared" si="5"/>
        <v>88.436850078051037</v>
      </c>
      <c r="L13">
        <f t="shared" si="5"/>
        <v>90.205587079612059</v>
      </c>
      <c r="M13">
        <f t="shared" si="5"/>
        <v>92.009698821204296</v>
      </c>
      <c r="N13">
        <f t="shared" si="5"/>
        <v>93.849892797628385</v>
      </c>
      <c r="O13">
        <f t="shared" si="5"/>
        <v>95.726890653580952</v>
      </c>
      <c r="P13">
        <f t="shared" si="5"/>
        <v>97.64142846665257</v>
      </c>
      <c r="R13" s="127">
        <f t="shared" si="1"/>
        <v>1279.7128517992799</v>
      </c>
      <c r="T13" s="5"/>
    </row>
    <row r="14" spans="1:34" x14ac:dyDescent="0.35">
      <c r="A14" t="str">
        <f>'1_1_Definition_Flows'!C14</f>
        <v>F_02_14</v>
      </c>
      <c r="B14">
        <f>(B8+B12+B13)*'2_3_Process_TCs'!$AK$4</f>
        <v>67.058753999999993</v>
      </c>
      <c r="C14">
        <f>(C8+C12+C13)*'2_3_Process_TCs'!$AK$4</f>
        <v>68.399929080000007</v>
      </c>
      <c r="D14">
        <f>(D8+D12+D13)*'2_3_Process_TCs'!$AK$4</f>
        <v>69.767927661599998</v>
      </c>
      <c r="E14">
        <f>(E8+E12+E13)*'2_3_Process_TCs'!$AK$4</f>
        <v>71.163286214832013</v>
      </c>
      <c r="F14">
        <f>(F8+F12+F13)*'2_3_Process_TCs'!$AK$4</f>
        <v>72.58655193912864</v>
      </c>
      <c r="G14">
        <f>(G8+G12+G13)*'2_3_Process_TCs'!$AK$4</f>
        <v>74.038282977911223</v>
      </c>
      <c r="H14">
        <f>(H8+H12+H13)*'2_3_Process_TCs'!$AK$4</f>
        <v>75.519048637469453</v>
      </c>
      <c r="I14">
        <f>(I8+I12+I13)*'2_3_Process_TCs'!$AK$4</f>
        <v>77.029429610218841</v>
      </c>
      <c r="J14">
        <f>(J8+J12+J13)*'2_3_Process_TCs'!$AK$4</f>
        <v>78.570018202423213</v>
      </c>
      <c r="K14">
        <f>(K8+K12+K13)*'2_3_Process_TCs'!$AK$4</f>
        <v>80.141418566471685</v>
      </c>
      <c r="L14">
        <f>(L8+L12+L13)*'2_3_Process_TCs'!$AK$4</f>
        <v>81.744246937801108</v>
      </c>
      <c r="M14">
        <f>(M8+M12+M13)*'2_3_Process_TCs'!$AK$4</f>
        <v>83.379131876557139</v>
      </c>
      <c r="N14">
        <f>(N8+N12+N13)*'2_3_Process_TCs'!$AK$4</f>
        <v>85.046714514088279</v>
      </c>
      <c r="O14">
        <f>(O8+O12+O13)*'2_3_Process_TCs'!$AK$4</f>
        <v>86.747648804370044</v>
      </c>
      <c r="P14">
        <f>(P8+P12+P13)*'2_3_Process_TCs'!$AK$4</f>
        <v>88.482601780457458</v>
      </c>
      <c r="R14" s="127">
        <f t="shared" si="1"/>
        <v>1159.6749908033289</v>
      </c>
    </row>
    <row r="15" spans="1:34" x14ac:dyDescent="0.35">
      <c r="A15" t="str">
        <f>'1_1_Definition_Flows'!C15</f>
        <v>F_02_12</v>
      </c>
      <c r="B15">
        <f>(B8+B12+B13)*'2_3_Process_TCs'!$AN$4</f>
        <v>8.5606919999999995</v>
      </c>
      <c r="C15">
        <f>(C8+C12+C13)*'2_3_Process_TCs'!$AN$4</f>
        <v>8.7319058399999996</v>
      </c>
      <c r="D15">
        <f>(D8+D12+D13)*'2_3_Process_TCs'!$AN$4</f>
        <v>8.9065439568000002</v>
      </c>
      <c r="E15">
        <f>(E8+E12+E13)*'2_3_Process_TCs'!$AN$4</f>
        <v>9.084674835936001</v>
      </c>
      <c r="F15">
        <f>(F8+F12+F13)*'2_3_Process_TCs'!$AN$4</f>
        <v>9.2663683326547197</v>
      </c>
      <c r="G15">
        <f>(G8+G12+G13)*'2_3_Process_TCs'!$AN$4</f>
        <v>9.4516956993078161</v>
      </c>
      <c r="H15">
        <f>(H8+H12+H13)*'2_3_Process_TCs'!$AN$4</f>
        <v>9.6407296132939724</v>
      </c>
      <c r="I15">
        <f>(I8+I12+I13)*'2_3_Process_TCs'!$AN$4</f>
        <v>9.8335442055598516</v>
      </c>
      <c r="J15">
        <f>(J8+J12+J13)*'2_3_Process_TCs'!$AN$4</f>
        <v>10.030215089671049</v>
      </c>
      <c r="K15">
        <f>(K8+K12+K13)*'2_3_Process_TCs'!$AN$4</f>
        <v>10.23081939146447</v>
      </c>
      <c r="L15">
        <f>(L8+L12+L13)*'2_3_Process_TCs'!$AN$4</f>
        <v>10.43543577929376</v>
      </c>
      <c r="M15">
        <f>(M8+M12+M13)*'2_3_Process_TCs'!$AN$4</f>
        <v>10.644144494879635</v>
      </c>
      <c r="N15">
        <f>(N8+N12+N13)*'2_3_Process_TCs'!$AN$4</f>
        <v>10.857027384777227</v>
      </c>
      <c r="O15">
        <f>(O8+O12+O13)*'2_3_Process_TCs'!$AN$4</f>
        <v>11.074167932472772</v>
      </c>
      <c r="P15">
        <f>(P8+P12+P13)*'2_3_Process_TCs'!$AN$4</f>
        <v>11.295651291122228</v>
      </c>
      <c r="R15" s="127">
        <f t="shared" si="1"/>
        <v>148.04361584723347</v>
      </c>
    </row>
    <row r="16" spans="1:34" x14ac:dyDescent="0.35">
      <c r="A16" t="str">
        <f>'1_1_Definition_Flows'!C16</f>
        <v>F_07_09</v>
      </c>
      <c r="B16">
        <f>B10*'2_3_Process_TCs'!$AE$5</f>
        <v>3.108318703226587E-6</v>
      </c>
      <c r="C16">
        <f>C10*'2_3_Process_TCs'!$AE$5</f>
        <v>3.2531390764252386</v>
      </c>
      <c r="D16">
        <f>D10*'2_3_Process_TCs'!$AE$5</f>
        <v>6.5741831199237737</v>
      </c>
      <c r="E16">
        <f>E10*'2_3_Process_TCs'!$AE$5</f>
        <v>6.7525153385041321</v>
      </c>
      <c r="F16">
        <f>F10*'2_3_Process_TCs'!$AE$5</f>
        <v>7.1847272883702971</v>
      </c>
      <c r="G16">
        <f>G10*'2_3_Process_TCs'!$AE$5</f>
        <v>8.0792385534743616</v>
      </c>
      <c r="H16">
        <f>H10*'2_3_Process_TCs'!$AE$5</f>
        <v>9.0169720774349447</v>
      </c>
      <c r="I16">
        <f>I10*'2_3_Process_TCs'!$AE$5</f>
        <v>9.5875970781378648</v>
      </c>
      <c r="J16">
        <f>J10*'2_3_Process_TCs'!$AE$5</f>
        <v>10.02495155727002</v>
      </c>
      <c r="K16">
        <f>K10*'2_3_Process_TCs'!$AE$5</f>
        <v>10.553360444260775</v>
      </c>
      <c r="L16">
        <f>L10*'2_3_Process_TCs'!$AE$5</f>
        <v>11.179722011178663</v>
      </c>
      <c r="M16">
        <f>M10*'2_3_Process_TCs'!$AE$5</f>
        <v>11.818543364926976</v>
      </c>
      <c r="N16">
        <f>N10*'2_3_Process_TCs'!$AE$5</f>
        <v>12.379965240379192</v>
      </c>
      <c r="O16">
        <f>O10*'2_3_Process_TCs'!$AE$5</f>
        <v>12.826756210566106</v>
      </c>
      <c r="P16">
        <f>P10*'2_3_Process_TCs'!$AE$5</f>
        <v>13.178838281666277</v>
      </c>
      <c r="R16" s="127">
        <f t="shared" si="1"/>
        <v>132.41051275083734</v>
      </c>
    </row>
    <row r="17" spans="1:20" x14ac:dyDescent="0.35">
      <c r="A17" t="str">
        <f>'1_1_Definition_Flows'!C17</f>
        <v>F_07_10</v>
      </c>
      <c r="B17">
        <f>B10*'2_3_Process_TCs'!$AH$5</f>
        <v>1.2433274812906348E-5</v>
      </c>
      <c r="C17">
        <f>C10*'2_3_Process_TCs'!$AH$5</f>
        <v>13.012556305700954</v>
      </c>
      <c r="D17">
        <f>D10*'2_3_Process_TCs'!$AH$5</f>
        <v>26.296732479695095</v>
      </c>
      <c r="E17">
        <f>E10*'2_3_Process_TCs'!$AH$5</f>
        <v>27.010061354016528</v>
      </c>
      <c r="F17">
        <f>F10*'2_3_Process_TCs'!$AH$5</f>
        <v>28.738909153481188</v>
      </c>
      <c r="G17">
        <f>G10*'2_3_Process_TCs'!$AH$5</f>
        <v>32.316954213897446</v>
      </c>
      <c r="H17">
        <f>H10*'2_3_Process_TCs'!$AH$5</f>
        <v>36.067888309739779</v>
      </c>
      <c r="I17">
        <f>I10*'2_3_Process_TCs'!$AH$5</f>
        <v>38.350388312551459</v>
      </c>
      <c r="J17">
        <f>J10*'2_3_Process_TCs'!$AH$5</f>
        <v>40.09980622908008</v>
      </c>
      <c r="K17">
        <f>K10*'2_3_Process_TCs'!$AH$5</f>
        <v>42.213441777043101</v>
      </c>
      <c r="L17">
        <f>L10*'2_3_Process_TCs'!$AH$5</f>
        <v>44.718888044714653</v>
      </c>
      <c r="M17">
        <f>M10*'2_3_Process_TCs'!$AH$5</f>
        <v>47.274173459707903</v>
      </c>
      <c r="N17">
        <f>N10*'2_3_Process_TCs'!$AH$5</f>
        <v>49.51986096151677</v>
      </c>
      <c r="O17">
        <f>O10*'2_3_Process_TCs'!$AH$5</f>
        <v>51.307024842264426</v>
      </c>
      <c r="P17">
        <f>P10*'2_3_Process_TCs'!$AH$5</f>
        <v>52.715353126665107</v>
      </c>
      <c r="R17" s="127">
        <f t="shared" si="1"/>
        <v>529.64205100334937</v>
      </c>
    </row>
    <row r="18" spans="1:20" x14ac:dyDescent="0.35">
      <c r="A18" t="str">
        <f>'1_1_Definition_Flows'!C18</f>
        <v>F_09_17</v>
      </c>
      <c r="B18">
        <f>B16*'2_3_Process_TCs'!$AE$7</f>
        <v>9.3249561096797605E-7</v>
      </c>
      <c r="C18">
        <f>C16*'2_3_Process_TCs'!$AE$7</f>
        <v>0.97594172292757153</v>
      </c>
      <c r="D18">
        <f>D16*'2_3_Process_TCs'!$AE$7</f>
        <v>1.972254935977132</v>
      </c>
      <c r="E18">
        <f>E16*'2_3_Process_TCs'!$AE$7</f>
        <v>2.0257546015512395</v>
      </c>
      <c r="F18">
        <f>F16*'2_3_Process_TCs'!$AE$7</f>
        <v>2.1554181865110889</v>
      </c>
      <c r="G18">
        <f>G16*'2_3_Process_TCs'!$AE$7</f>
        <v>2.4237715660423085</v>
      </c>
      <c r="H18">
        <f>H16*'2_3_Process_TCs'!$AE$7</f>
        <v>2.7050916232304831</v>
      </c>
      <c r="I18">
        <f>I16*'2_3_Process_TCs'!$AE$7</f>
        <v>2.8762791234413592</v>
      </c>
      <c r="J18">
        <f>J16*'2_3_Process_TCs'!$AE$7</f>
        <v>3.0074854671810058</v>
      </c>
      <c r="K18">
        <f>K16*'2_3_Process_TCs'!$AE$7</f>
        <v>3.1660081332782326</v>
      </c>
      <c r="L18">
        <f>L16*'2_3_Process_TCs'!$AE$7</f>
        <v>3.353916603353599</v>
      </c>
      <c r="M18">
        <f>M16*'2_3_Process_TCs'!$AE$7</f>
        <v>3.5455630094780926</v>
      </c>
      <c r="N18">
        <f>N16*'2_3_Process_TCs'!$AE$7</f>
        <v>3.7139895721137575</v>
      </c>
      <c r="O18">
        <f>O16*'2_3_Process_TCs'!$AE$7</f>
        <v>3.8480268631698316</v>
      </c>
      <c r="P18">
        <f>P16*'2_3_Process_TCs'!$AE$7</f>
        <v>3.9536514844998827</v>
      </c>
      <c r="R18" s="127">
        <f t="shared" si="1"/>
        <v>39.723153825251188</v>
      </c>
    </row>
    <row r="19" spans="1:20" x14ac:dyDescent="0.35">
      <c r="A19" t="str">
        <f>'1_1_Definition_Flows'!C19</f>
        <v>F_10_18</v>
      </c>
      <c r="B19">
        <f>B17*'2_3_Process_TCs'!$AE$8</f>
        <v>1.2433274812906349E-6</v>
      </c>
      <c r="C19">
        <f>C17*'2_3_Process_TCs'!$AE$8</f>
        <v>1.3012556305700955</v>
      </c>
      <c r="D19">
        <f>D17*'2_3_Process_TCs'!$AE$8</f>
        <v>2.6296732479695097</v>
      </c>
      <c r="E19">
        <f>E17*'2_3_Process_TCs'!$AE$8</f>
        <v>2.701006135401653</v>
      </c>
      <c r="F19">
        <f>F17*'2_3_Process_TCs'!$AE$8</f>
        <v>2.8738909153481189</v>
      </c>
      <c r="G19">
        <f>G17*'2_3_Process_TCs'!$AE$8</f>
        <v>3.2316954213897446</v>
      </c>
      <c r="H19">
        <f>H17*'2_3_Process_TCs'!$AE$8</f>
        <v>3.606788830973978</v>
      </c>
      <c r="I19">
        <f>I17*'2_3_Process_TCs'!$AE$8</f>
        <v>3.835038831255146</v>
      </c>
      <c r="J19">
        <f>J17*'2_3_Process_TCs'!$AE$8</f>
        <v>4.0099806229080084</v>
      </c>
      <c r="K19">
        <f>K17*'2_3_Process_TCs'!$AE$8</f>
        <v>4.2213441777043101</v>
      </c>
      <c r="L19">
        <f>L17*'2_3_Process_TCs'!$AE$8</f>
        <v>4.4718888044714653</v>
      </c>
      <c r="M19">
        <f>M17*'2_3_Process_TCs'!$AE$8</f>
        <v>4.7274173459707907</v>
      </c>
      <c r="N19">
        <f>N17*'2_3_Process_TCs'!$AE$8</f>
        <v>4.9519860961516775</v>
      </c>
      <c r="O19">
        <f>O17*'2_3_Process_TCs'!$AE$8</f>
        <v>5.1307024842264433</v>
      </c>
      <c r="P19">
        <f>P17*'2_3_Process_TCs'!$AE$8</f>
        <v>5.2715353126665114</v>
      </c>
      <c r="R19" s="127">
        <f t="shared" si="1"/>
        <v>52.964205100334937</v>
      </c>
    </row>
    <row r="20" spans="1:20" x14ac:dyDescent="0.35">
      <c r="A20" t="str">
        <f>'1_1_Definition_Flows'!C20</f>
        <v>F_10_19</v>
      </c>
      <c r="B20">
        <f>B17*'2_3_Process_TCs'!$AH$8</f>
        <v>1.1189947331615713E-5</v>
      </c>
      <c r="C20">
        <f>C17*'2_3_Process_TCs'!$AH$8</f>
        <v>11.711300675130859</v>
      </c>
      <c r="D20">
        <f>D17*'2_3_Process_TCs'!$AH$8</f>
        <v>23.667059231725585</v>
      </c>
      <c r="E20">
        <f>E17*'2_3_Process_TCs'!$AH$8</f>
        <v>24.309055218614876</v>
      </c>
      <c r="F20">
        <f>F17*'2_3_Process_TCs'!$AH$8</f>
        <v>25.865018238133072</v>
      </c>
      <c r="G20">
        <f>G17*'2_3_Process_TCs'!$AH$8</f>
        <v>29.085258792507702</v>
      </c>
      <c r="H20">
        <f>H17*'2_3_Process_TCs'!$AH$8</f>
        <v>32.461099478765803</v>
      </c>
      <c r="I20">
        <f>I17*'2_3_Process_TCs'!$AH$8</f>
        <v>34.515349481296312</v>
      </c>
      <c r="J20">
        <f>J17*'2_3_Process_TCs'!$AH$8</f>
        <v>36.08982560617207</v>
      </c>
      <c r="K20">
        <f>K17*'2_3_Process_TCs'!$AH$8</f>
        <v>37.992097599338791</v>
      </c>
      <c r="L20">
        <f>L17*'2_3_Process_TCs'!$AH$8</f>
        <v>40.246999240243191</v>
      </c>
      <c r="M20">
        <f>M17*'2_3_Process_TCs'!$AH$8</f>
        <v>42.546756113737111</v>
      </c>
      <c r="N20">
        <f>N17*'2_3_Process_TCs'!$AH$8</f>
        <v>44.567874865365091</v>
      </c>
      <c r="O20">
        <f>O17*'2_3_Process_TCs'!$AH$8</f>
        <v>46.176322358037986</v>
      </c>
      <c r="P20">
        <f>P17*'2_3_Process_TCs'!$AH$8</f>
        <v>47.443817813998599</v>
      </c>
      <c r="R20" s="127">
        <f t="shared" si="1"/>
        <v>476.67784590301432</v>
      </c>
    </row>
    <row r="21" spans="1:20" x14ac:dyDescent="0.35">
      <c r="A21" t="str">
        <f>'1_1_Definition_Flows'!C21</f>
        <v>F_00_13</v>
      </c>
      <c r="B21" s="5">
        <f>'1_2_Data_Flows'!O6</f>
        <v>129</v>
      </c>
      <c r="C21">
        <f>B21*1.02</f>
        <v>131.58000000000001</v>
      </c>
      <c r="D21">
        <f t="shared" ref="D21:P21" si="6">C21*1.02</f>
        <v>134.2116</v>
      </c>
      <c r="E21">
        <f t="shared" si="6"/>
        <v>136.89583200000001</v>
      </c>
      <c r="F21">
        <f t="shared" si="6"/>
        <v>139.63374864000002</v>
      </c>
      <c r="G21">
        <f t="shared" si="6"/>
        <v>142.42642361280002</v>
      </c>
      <c r="H21">
        <f t="shared" si="6"/>
        <v>145.27495208505601</v>
      </c>
      <c r="I21">
        <f t="shared" si="6"/>
        <v>148.18045112675713</v>
      </c>
      <c r="J21">
        <f t="shared" si="6"/>
        <v>151.14406014929227</v>
      </c>
      <c r="K21">
        <f t="shared" si="6"/>
        <v>154.16694135227812</v>
      </c>
      <c r="L21">
        <f t="shared" si="6"/>
        <v>157.25028017932368</v>
      </c>
      <c r="M21">
        <f t="shared" si="6"/>
        <v>160.39528578291015</v>
      </c>
      <c r="N21">
        <f t="shared" si="6"/>
        <v>163.60319149856835</v>
      </c>
      <c r="O21">
        <f t="shared" si="6"/>
        <v>166.87525532853971</v>
      </c>
      <c r="P21">
        <f t="shared" si="6"/>
        <v>170.21276043511051</v>
      </c>
      <c r="R21" s="127">
        <f t="shared" si="1"/>
        <v>2230.850782190636</v>
      </c>
      <c r="T21" s="5"/>
    </row>
    <row r="22" spans="1:20" x14ac:dyDescent="0.35">
      <c r="A22" t="str">
        <f>'1_1_Definition_Flows'!C22</f>
        <v>F_00_04</v>
      </c>
      <c r="B22" s="5">
        <f>'1_2_Data_Flows'!O7</f>
        <v>39</v>
      </c>
      <c r="C22">
        <f>B22*1.02</f>
        <v>39.78</v>
      </c>
      <c r="D22">
        <f t="shared" ref="D22:P22" si="7">C22*1.02</f>
        <v>40.575600000000001</v>
      </c>
      <c r="E22">
        <f t="shared" si="7"/>
        <v>41.387112000000002</v>
      </c>
      <c r="F22">
        <f t="shared" si="7"/>
        <v>42.214854240000001</v>
      </c>
      <c r="G22">
        <f t="shared" si="7"/>
        <v>43.059151324799998</v>
      </c>
      <c r="H22">
        <f t="shared" si="7"/>
        <v>43.920334351295999</v>
      </c>
      <c r="I22">
        <f t="shared" si="7"/>
        <v>44.798741038321921</v>
      </c>
      <c r="J22">
        <f t="shared" si="7"/>
        <v>45.694715859088362</v>
      </c>
      <c r="K22">
        <f t="shared" si="7"/>
        <v>46.608610176270133</v>
      </c>
      <c r="L22">
        <f t="shared" si="7"/>
        <v>47.540782379795537</v>
      </c>
      <c r="M22">
        <f t="shared" si="7"/>
        <v>48.491598027391447</v>
      </c>
      <c r="N22">
        <f t="shared" si="7"/>
        <v>49.461429987939276</v>
      </c>
      <c r="O22">
        <f t="shared" si="7"/>
        <v>50.450658587698065</v>
      </c>
      <c r="P22">
        <f t="shared" si="7"/>
        <v>51.459671759452029</v>
      </c>
      <c r="R22" s="127">
        <f t="shared" si="1"/>
        <v>674.44325973205275</v>
      </c>
      <c r="T22" s="5"/>
    </row>
    <row r="23" spans="1:20" x14ac:dyDescent="0.35">
      <c r="A23" t="str">
        <f>'1_1_Definition_Flows'!C23</f>
        <v>F_00_11</v>
      </c>
      <c r="B23" s="5">
        <f>'1_2_Data_Flows'!O8</f>
        <v>1</v>
      </c>
      <c r="C23">
        <f>B23*1.02</f>
        <v>1.02</v>
      </c>
      <c r="D23">
        <f t="shared" ref="D23:P23" si="8">C23*1.02</f>
        <v>1.0404</v>
      </c>
      <c r="E23">
        <f t="shared" si="8"/>
        <v>1.0612079999999999</v>
      </c>
      <c r="F23">
        <f t="shared" si="8"/>
        <v>1.08243216</v>
      </c>
      <c r="G23">
        <f t="shared" si="8"/>
        <v>1.1040808032</v>
      </c>
      <c r="H23">
        <f t="shared" si="8"/>
        <v>1.1261624192640001</v>
      </c>
      <c r="I23">
        <f t="shared" si="8"/>
        <v>1.14868566764928</v>
      </c>
      <c r="J23">
        <f t="shared" si="8"/>
        <v>1.1716593810022657</v>
      </c>
      <c r="K23">
        <f t="shared" si="8"/>
        <v>1.1950925686223111</v>
      </c>
      <c r="L23">
        <f t="shared" si="8"/>
        <v>1.2189944199947573</v>
      </c>
      <c r="M23">
        <f t="shared" si="8"/>
        <v>1.2433743083946525</v>
      </c>
      <c r="N23">
        <f t="shared" si="8"/>
        <v>1.2682417945625455</v>
      </c>
      <c r="O23">
        <f t="shared" si="8"/>
        <v>1.2936066304537963</v>
      </c>
      <c r="P23">
        <f t="shared" si="8"/>
        <v>1.3194787630628724</v>
      </c>
      <c r="R23" s="127">
        <f t="shared" si="1"/>
        <v>17.293416916206482</v>
      </c>
      <c r="T23" s="5"/>
    </row>
    <row r="24" spans="1:20" x14ac:dyDescent="0.35">
      <c r="A24" t="str">
        <f>'1_1_Definition_Flows'!C24</f>
        <v>F_00_08</v>
      </c>
      <c r="B24" s="5">
        <f>'1_2_Data_Flows'!O9</f>
        <v>74</v>
      </c>
      <c r="C24">
        <f>B24*1.02</f>
        <v>75.48</v>
      </c>
      <c r="D24">
        <f t="shared" ref="D24:P24" si="9">C24*1.02</f>
        <v>76.98960000000001</v>
      </c>
      <c r="E24">
        <f t="shared" si="9"/>
        <v>78.529392000000016</v>
      </c>
      <c r="F24">
        <f t="shared" si="9"/>
        <v>80.099979840000017</v>
      </c>
      <c r="G24">
        <f t="shared" si="9"/>
        <v>81.701979436800016</v>
      </c>
      <c r="H24">
        <f t="shared" si="9"/>
        <v>83.336019025536018</v>
      </c>
      <c r="I24">
        <f t="shared" si="9"/>
        <v>85.002739406046743</v>
      </c>
      <c r="J24">
        <f t="shared" si="9"/>
        <v>86.70279419416768</v>
      </c>
      <c r="K24">
        <f t="shared" si="9"/>
        <v>88.436850078051037</v>
      </c>
      <c r="L24">
        <f t="shared" si="9"/>
        <v>90.205587079612059</v>
      </c>
      <c r="M24">
        <f t="shared" si="9"/>
        <v>92.009698821204296</v>
      </c>
      <c r="N24">
        <f t="shared" si="9"/>
        <v>93.849892797628385</v>
      </c>
      <c r="O24">
        <f t="shared" si="9"/>
        <v>95.726890653580952</v>
      </c>
      <c r="P24">
        <f t="shared" si="9"/>
        <v>97.64142846665257</v>
      </c>
      <c r="R24" s="127">
        <f t="shared" si="1"/>
        <v>1279.7128517992799</v>
      </c>
      <c r="T24" s="5"/>
    </row>
    <row r="25" spans="1:20" x14ac:dyDescent="0.35">
      <c r="A25" t="str">
        <f>'1_1_Definition_Flows'!C25</f>
        <v>F_09_19</v>
      </c>
      <c r="B25">
        <f>B16*'2_3_Process_TCs'!$AH$7</f>
        <v>2.1758230922586109E-6</v>
      </c>
      <c r="C25">
        <f>C16*'2_3_Process_TCs'!$AH$7</f>
        <v>2.2771973534976668</v>
      </c>
      <c r="D25">
        <f>D16*'2_3_Process_TCs'!$AH$7</f>
        <v>4.601928183946641</v>
      </c>
      <c r="E25">
        <f>E16*'2_3_Process_TCs'!$AH$7</f>
        <v>4.7267607369528921</v>
      </c>
      <c r="F25">
        <f>F16*'2_3_Process_TCs'!$AH$7</f>
        <v>5.0293091018592078</v>
      </c>
      <c r="G25">
        <f>G16*'2_3_Process_TCs'!$AH$7</f>
        <v>5.6554669874320531</v>
      </c>
      <c r="H25">
        <f>H16*'2_3_Process_TCs'!$AH$7</f>
        <v>6.3118804542044611</v>
      </c>
      <c r="I25">
        <f>I16*'2_3_Process_TCs'!$AH$7</f>
        <v>6.7113179546965052</v>
      </c>
      <c r="J25">
        <f>J16*'2_3_Process_TCs'!$AH$7</f>
        <v>7.0174660900890133</v>
      </c>
      <c r="K25">
        <f>K16*'2_3_Process_TCs'!$AH$7</f>
        <v>7.3873523109825419</v>
      </c>
      <c r="L25">
        <f>L16*'2_3_Process_TCs'!$AH$7</f>
        <v>7.8258054078250634</v>
      </c>
      <c r="M25">
        <f>M16*'2_3_Process_TCs'!$AH$7</f>
        <v>8.2729803554488832</v>
      </c>
      <c r="N25">
        <f>N16*'2_3_Process_TCs'!$AH$7</f>
        <v>8.6659756682654336</v>
      </c>
      <c r="O25">
        <f>O16*'2_3_Process_TCs'!$AH$7</f>
        <v>8.978729347396273</v>
      </c>
      <c r="P25">
        <f>P16*'2_3_Process_TCs'!$AH$7</f>
        <v>9.2251867971663923</v>
      </c>
      <c r="R25" s="127">
        <f t="shared" si="1"/>
        <v>92.687358925586111</v>
      </c>
    </row>
    <row r="26" spans="1:20" x14ac:dyDescent="0.35">
      <c r="A26" t="str">
        <f>'1_1_Definition_Flows'!C26</f>
        <v>F_17_19</v>
      </c>
      <c r="B26">
        <f ca="1">Solution_CC!B26</f>
        <v>0</v>
      </c>
      <c r="C26">
        <f ca="1">Solution_CC!C26</f>
        <v>2.8002050789233124E-8</v>
      </c>
      <c r="D26">
        <f ca="1">Solution_CC!D26</f>
        <v>2.9306727653137798E-2</v>
      </c>
      <c r="E26">
        <f ca="1">Solution_CC!E26</f>
        <v>8.7605492392697659E-2</v>
      </c>
      <c r="F26">
        <f ca="1">Solution_CC!F26</f>
        <v>0.14566800413862246</v>
      </c>
      <c r="G26">
        <f ca="1">Solution_CC!G26</f>
        <v>0.20578886853233946</v>
      </c>
      <c r="H26">
        <f ca="1">Solution_CC!H26</f>
        <v>0.27206775847024378</v>
      </c>
      <c r="I26">
        <f ca="1">Solution_CC!I26</f>
        <v>0.34469939934295724</v>
      </c>
      <c r="J26">
        <f ca="1">Solution_CC!J26</f>
        <v>0.4201757959429564</v>
      </c>
      <c r="K26">
        <f ca="1">Solution_CC!K26</f>
        <v>0.49720642643843505</v>
      </c>
      <c r="L26">
        <f ca="1">Solution_CC!L26</f>
        <v>0.5765624480139695</v>
      </c>
      <c r="M26">
        <f ca="1">Solution_CC!M26</f>
        <v>0.65905278663383982</v>
      </c>
      <c r="N26">
        <f ca="1">Solution_CC!N26</f>
        <v>0.74469061473338316</v>
      </c>
      <c r="O26">
        <f ca="1">Solution_CC!O26</f>
        <v>0.83267916916265827</v>
      </c>
      <c r="P26">
        <f ca="1">Solution_CC!P26</f>
        <v>0.92191146372823329</v>
      </c>
      <c r="R26" s="127">
        <f t="shared" ca="1" si="1"/>
        <v>5.7374149831855243</v>
      </c>
    </row>
    <row r="31" spans="1:20" x14ac:dyDescent="0.35">
      <c r="A31" t="s">
        <v>514</v>
      </c>
      <c r="B31">
        <f>B9-B10</f>
        <v>54.217700458406483</v>
      </c>
      <c r="C31">
        <f>C9-C10</f>
        <v>39.036374937873816</v>
      </c>
      <c r="D31">
        <f>D9-D10</f>
        <v>23.53719612678114</v>
      </c>
      <c r="E31">
        <f>E9-E10</f>
        <v>23.773697268407346</v>
      </c>
      <c r="F31">
        <f>F9-F10</f>
        <v>22.763362998295079</v>
      </c>
      <c r="G31">
        <f>G9-G10</f>
        <v>19.4645466615777</v>
      </c>
      <c r="H31">
        <f>H9-H10</f>
        <v>15.973093830353776</v>
      </c>
      <c r="I31">
        <f>I9-I10</f>
        <v>14.341127911189744</v>
      </c>
      <c r="J31">
        <f>J9-J10</f>
        <v>13.39993778156655</v>
      </c>
      <c r="K31">
        <f>K9-K10</f>
        <v>12.028387257971112</v>
      </c>
      <c r="L31">
        <f>L9-L10</f>
        <v>10.192483212967161</v>
      </c>
      <c r="M31">
        <f>M9-M10</f>
        <v>8.3201983096028158</v>
      </c>
      <c r="N31">
        <f>N9-N10</f>
        <v>6.8613472350264928</v>
      </c>
      <c r="O31">
        <f>O9-O10</f>
        <v>6.0026158528303597</v>
      </c>
      <c r="P31">
        <f>P9-P10</f>
        <v>5.6449334354427378</v>
      </c>
      <c r="R31">
        <f>SUM(B31:P31)</f>
        <v>275.55700327829226</v>
      </c>
    </row>
    <row r="32" spans="1:20" x14ac:dyDescent="0.35">
      <c r="A32" t="s">
        <v>515</v>
      </c>
      <c r="B32">
        <f>B31</f>
        <v>54.217700458406483</v>
      </c>
      <c r="C32">
        <f>B32+C31</f>
        <v>93.2540753962803</v>
      </c>
      <c r="D32">
        <f t="shared" ref="D32:P32" si="10">C32+D31</f>
        <v>116.79127152306144</v>
      </c>
      <c r="E32">
        <f t="shared" si="10"/>
        <v>140.5649687914688</v>
      </c>
      <c r="F32">
        <f t="shared" si="10"/>
        <v>163.32833178976387</v>
      </c>
      <c r="G32">
        <f t="shared" si="10"/>
        <v>182.79287845134155</v>
      </c>
      <c r="H32">
        <f t="shared" si="10"/>
        <v>198.76597228169533</v>
      </c>
      <c r="I32">
        <f t="shared" si="10"/>
        <v>213.10710019288507</v>
      </c>
      <c r="J32">
        <f t="shared" si="10"/>
        <v>226.50703797445163</v>
      </c>
      <c r="K32">
        <f t="shared" si="10"/>
        <v>238.53542523242274</v>
      </c>
      <c r="L32">
        <f t="shared" si="10"/>
        <v>248.72790844538991</v>
      </c>
      <c r="M32">
        <f t="shared" si="10"/>
        <v>257.04810675499272</v>
      </c>
      <c r="N32">
        <f t="shared" si="10"/>
        <v>263.90945399001919</v>
      </c>
      <c r="O32">
        <f t="shared" si="10"/>
        <v>269.91206984284952</v>
      </c>
      <c r="P32">
        <f t="shared" si="10"/>
        <v>275.55700327829226</v>
      </c>
      <c r="R32">
        <f>SUM(B32:P32)</f>
        <v>2943.0193044033208</v>
      </c>
    </row>
    <row r="33" spans="1:35" x14ac:dyDescent="0.35">
      <c r="A33" t="s">
        <v>512</v>
      </c>
      <c r="B33">
        <f>B7</f>
        <v>22.921799999999998</v>
      </c>
      <c r="C33">
        <f>C7</f>
        <v>23.380236000000004</v>
      </c>
      <c r="D33">
        <f>D7</f>
        <v>23.847840720000004</v>
      </c>
      <c r="E33">
        <f>E7</f>
        <v>24.324797534400002</v>
      </c>
      <c r="F33">
        <f>F7</f>
        <v>24.811293485088001</v>
      </c>
      <c r="G33">
        <f>G7</f>
        <v>25.307519354789761</v>
      </c>
      <c r="H33">
        <f>H7</f>
        <v>25.813669741885558</v>
      </c>
      <c r="I33">
        <f>I7</f>
        <v>26.329943136723269</v>
      </c>
      <c r="J33">
        <f>J7</f>
        <v>26.856541999457733</v>
      </c>
      <c r="K33">
        <f>K7</f>
        <v>27.393672839446893</v>
      </c>
      <c r="L33">
        <f>L7</f>
        <v>27.941546296235828</v>
      </c>
      <c r="M33">
        <f>M7</f>
        <v>28.500377222160544</v>
      </c>
      <c r="N33">
        <f>N7</f>
        <v>29.070384766603755</v>
      </c>
      <c r="O33">
        <f>O7</f>
        <v>29.65179246193583</v>
      </c>
      <c r="P33">
        <f>P7</f>
        <v>30.244828311174544</v>
      </c>
      <c r="R33">
        <f>SUM(B33:P33)</f>
        <v>396.3962438699017</v>
      </c>
    </row>
    <row r="34" spans="1:35" x14ac:dyDescent="0.35">
      <c r="A34" t="s">
        <v>513</v>
      </c>
      <c r="B34">
        <f>B33</f>
        <v>22.921799999999998</v>
      </c>
      <c r="C34">
        <f>B34+C33</f>
        <v>46.302036000000001</v>
      </c>
      <c r="D34">
        <f t="shared" ref="D34:P34" si="11">C34+D33</f>
        <v>70.149876720000009</v>
      </c>
      <c r="E34">
        <f t="shared" si="11"/>
        <v>94.474674254400014</v>
      </c>
      <c r="F34">
        <f t="shared" si="11"/>
        <v>119.28596773948802</v>
      </c>
      <c r="G34">
        <f t="shared" si="11"/>
        <v>144.59348709427778</v>
      </c>
      <c r="H34">
        <f t="shared" si="11"/>
        <v>170.40715683616332</v>
      </c>
      <c r="I34">
        <f t="shared" si="11"/>
        <v>196.7370999728866</v>
      </c>
      <c r="J34">
        <f t="shared" si="11"/>
        <v>223.59364197234433</v>
      </c>
      <c r="K34">
        <f t="shared" si="11"/>
        <v>250.98731481179124</v>
      </c>
      <c r="L34">
        <f t="shared" si="11"/>
        <v>278.92886110802704</v>
      </c>
      <c r="M34">
        <f t="shared" si="11"/>
        <v>307.42923833018756</v>
      </c>
      <c r="N34">
        <f t="shared" si="11"/>
        <v>336.49962309679131</v>
      </c>
      <c r="O34">
        <f t="shared" si="11"/>
        <v>366.15141555872714</v>
      </c>
      <c r="P34">
        <f t="shared" si="11"/>
        <v>396.3962438699017</v>
      </c>
      <c r="R34">
        <f>SUM(B34:P34)</f>
        <v>3024.8584373649865</v>
      </c>
    </row>
    <row r="35" spans="1:35" x14ac:dyDescent="0.35">
      <c r="A35" t="s">
        <v>522</v>
      </c>
      <c r="B35">
        <f>B11</f>
        <v>12.841037999999999</v>
      </c>
      <c r="C35">
        <f>C11</f>
        <v>13.097858760000001</v>
      </c>
      <c r="D35">
        <f>D11</f>
        <v>13.3598159352</v>
      </c>
      <c r="E35">
        <f>E11</f>
        <v>13.627012253904002</v>
      </c>
      <c r="F35">
        <f>F11</f>
        <v>13.89955249898208</v>
      </c>
      <c r="G35">
        <f>G11</f>
        <v>14.177543548961724</v>
      </c>
      <c r="H35">
        <f>H11</f>
        <v>14.461094419940959</v>
      </c>
      <c r="I35">
        <f>I11</f>
        <v>14.750316308339778</v>
      </c>
      <c r="J35">
        <f>J11</f>
        <v>15.045322634506574</v>
      </c>
      <c r="K35">
        <f>K11</f>
        <v>15.346229087196706</v>
      </c>
      <c r="L35">
        <f>L11</f>
        <v>15.653153668940639</v>
      </c>
      <c r="M35">
        <f>M11</f>
        <v>15.966216742319451</v>
      </c>
      <c r="N35">
        <f>N11</f>
        <v>16.285541077165842</v>
      </c>
      <c r="O35">
        <f>O11</f>
        <v>16.61125189870916</v>
      </c>
      <c r="P35">
        <f>P11</f>
        <v>16.943476936683343</v>
      </c>
      <c r="R35">
        <f>SUM(B35:P35)</f>
        <v>222.06542377085026</v>
      </c>
    </row>
    <row r="36" spans="1:35" x14ac:dyDescent="0.35">
      <c r="A36" t="s">
        <v>523</v>
      </c>
      <c r="B36">
        <f>B35</f>
        <v>12.841037999999999</v>
      </c>
      <c r="C36">
        <f>B36+C35</f>
        <v>25.938896759999999</v>
      </c>
      <c r="D36">
        <f t="shared" ref="D36:P36" si="12">C36+D35</f>
        <v>39.298712695199995</v>
      </c>
      <c r="E36">
        <f t="shared" si="12"/>
        <v>52.925724949103994</v>
      </c>
      <c r="F36">
        <f t="shared" si="12"/>
        <v>66.825277448086069</v>
      </c>
      <c r="G36">
        <f t="shared" si="12"/>
        <v>81.002820997047792</v>
      </c>
      <c r="H36">
        <f t="shared" si="12"/>
        <v>95.463915416988755</v>
      </c>
      <c r="I36">
        <f t="shared" si="12"/>
        <v>110.21423172532853</v>
      </c>
      <c r="J36">
        <f t="shared" si="12"/>
        <v>125.25955435983511</v>
      </c>
      <c r="K36">
        <f t="shared" si="12"/>
        <v>140.60578344703183</v>
      </c>
      <c r="L36">
        <f t="shared" si="12"/>
        <v>156.25893711597246</v>
      </c>
      <c r="M36">
        <f t="shared" si="12"/>
        <v>172.22515385829192</v>
      </c>
      <c r="N36">
        <f t="shared" si="12"/>
        <v>188.51069493545776</v>
      </c>
      <c r="O36">
        <f t="shared" si="12"/>
        <v>205.12194683416692</v>
      </c>
      <c r="P36">
        <f t="shared" si="12"/>
        <v>222.06542377085026</v>
      </c>
      <c r="R36">
        <f>SUM(B36:P36)</f>
        <v>1694.5581123133613</v>
      </c>
    </row>
    <row r="37" spans="1:35" x14ac:dyDescent="0.35">
      <c r="A37" t="s">
        <v>542</v>
      </c>
      <c r="B37">
        <f>B15</f>
        <v>8.5606919999999995</v>
      </c>
      <c r="C37">
        <f t="shared" ref="C37:P37" si="13">C15</f>
        <v>8.7319058399999996</v>
      </c>
      <c r="D37">
        <f t="shared" si="13"/>
        <v>8.9065439568000002</v>
      </c>
      <c r="E37">
        <f t="shared" si="13"/>
        <v>9.084674835936001</v>
      </c>
      <c r="F37">
        <f t="shared" si="13"/>
        <v>9.2663683326547197</v>
      </c>
      <c r="G37">
        <f t="shared" si="13"/>
        <v>9.4516956993078161</v>
      </c>
      <c r="H37">
        <f t="shared" si="13"/>
        <v>9.6407296132939724</v>
      </c>
      <c r="I37">
        <f t="shared" si="13"/>
        <v>9.8335442055598516</v>
      </c>
      <c r="J37">
        <f t="shared" si="13"/>
        <v>10.030215089671049</v>
      </c>
      <c r="K37">
        <f t="shared" si="13"/>
        <v>10.23081939146447</v>
      </c>
      <c r="L37">
        <f t="shared" si="13"/>
        <v>10.43543577929376</v>
      </c>
      <c r="M37">
        <f t="shared" si="13"/>
        <v>10.644144494879635</v>
      </c>
      <c r="N37">
        <f t="shared" si="13"/>
        <v>10.857027384777227</v>
      </c>
      <c r="O37">
        <f t="shared" si="13"/>
        <v>11.074167932472772</v>
      </c>
      <c r="P37">
        <f t="shared" si="13"/>
        <v>11.295651291122228</v>
      </c>
      <c r="R37">
        <f t="shared" ref="R37:R38" si="14">SUM(B37:P37)</f>
        <v>148.04361584723347</v>
      </c>
    </row>
    <row r="38" spans="1:35" x14ac:dyDescent="0.35">
      <c r="A38" t="s">
        <v>543</v>
      </c>
      <c r="B38">
        <f>B37</f>
        <v>8.5606919999999995</v>
      </c>
      <c r="C38">
        <f>B38+C37</f>
        <v>17.292597839999999</v>
      </c>
      <c r="D38">
        <f t="shared" ref="D38:P38" si="15">C38+D37</f>
        <v>26.199141796799999</v>
      </c>
      <c r="E38">
        <f t="shared" si="15"/>
        <v>35.283816632735999</v>
      </c>
      <c r="F38">
        <f t="shared" si="15"/>
        <v>44.55018496539072</v>
      </c>
      <c r="G38">
        <f t="shared" si="15"/>
        <v>54.001880664698533</v>
      </c>
      <c r="H38">
        <f t="shared" si="15"/>
        <v>63.642610277992503</v>
      </c>
      <c r="I38">
        <f t="shared" si="15"/>
        <v>73.476154483552349</v>
      </c>
      <c r="J38">
        <f t="shared" si="15"/>
        <v>83.506369573223395</v>
      </c>
      <c r="K38">
        <f t="shared" si="15"/>
        <v>93.73718896468786</v>
      </c>
      <c r="L38">
        <f t="shared" si="15"/>
        <v>104.17262474398161</v>
      </c>
      <c r="M38">
        <f t="shared" si="15"/>
        <v>114.81676923886126</v>
      </c>
      <c r="N38">
        <f t="shared" si="15"/>
        <v>125.67379662363848</v>
      </c>
      <c r="O38">
        <f t="shared" si="15"/>
        <v>136.74796455611124</v>
      </c>
      <c r="P38">
        <f t="shared" si="15"/>
        <v>148.04361584723347</v>
      </c>
      <c r="R38">
        <f t="shared" si="14"/>
        <v>1129.7054082089076</v>
      </c>
    </row>
    <row r="39" spans="1:35" x14ac:dyDescent="0.35">
      <c r="A39" t="s">
        <v>524</v>
      </c>
      <c r="B39">
        <f>B14</f>
        <v>67.058753999999993</v>
      </c>
      <c r="C39">
        <f>C14</f>
        <v>68.399929080000007</v>
      </c>
      <c r="D39">
        <f>D14</f>
        <v>69.767927661599998</v>
      </c>
      <c r="E39">
        <f>E14</f>
        <v>71.163286214832013</v>
      </c>
      <c r="F39">
        <f>F14</f>
        <v>72.58655193912864</v>
      </c>
      <c r="G39">
        <f>G14</f>
        <v>74.038282977911223</v>
      </c>
      <c r="H39">
        <f>H14</f>
        <v>75.519048637469453</v>
      </c>
      <c r="I39">
        <f>I14</f>
        <v>77.029429610218841</v>
      </c>
      <c r="J39">
        <f>J14</f>
        <v>78.570018202423213</v>
      </c>
      <c r="K39">
        <f>K14</f>
        <v>80.141418566471685</v>
      </c>
      <c r="L39">
        <f>L14</f>
        <v>81.744246937801108</v>
      </c>
      <c r="M39">
        <f>M14</f>
        <v>83.379131876557139</v>
      </c>
      <c r="N39">
        <f>N14</f>
        <v>85.046714514088279</v>
      </c>
      <c r="O39">
        <f>O14</f>
        <v>86.747648804370044</v>
      </c>
      <c r="P39">
        <f>P14</f>
        <v>88.482601780457458</v>
      </c>
      <c r="R39">
        <f>SUM(B39:P39)</f>
        <v>1159.6749908033289</v>
      </c>
    </row>
    <row r="40" spans="1:35" x14ac:dyDescent="0.35">
      <c r="A40" t="s">
        <v>525</v>
      </c>
      <c r="B40">
        <f>B39</f>
        <v>67.058753999999993</v>
      </c>
      <c r="C40">
        <f>C39+B40</f>
        <v>135.45868308000001</v>
      </c>
      <c r="D40">
        <f t="shared" ref="D40:P40" si="16">D39+C40</f>
        <v>205.22661074160001</v>
      </c>
      <c r="E40">
        <f t="shared" si="16"/>
        <v>276.38989695643204</v>
      </c>
      <c r="F40">
        <f t="shared" si="16"/>
        <v>348.97644889556068</v>
      </c>
      <c r="G40">
        <f t="shared" si="16"/>
        <v>423.01473187347187</v>
      </c>
      <c r="H40">
        <f t="shared" si="16"/>
        <v>498.53378051094131</v>
      </c>
      <c r="I40">
        <f t="shared" si="16"/>
        <v>575.56321012116018</v>
      </c>
      <c r="J40">
        <f t="shared" si="16"/>
        <v>654.13322832358335</v>
      </c>
      <c r="K40">
        <f t="shared" si="16"/>
        <v>734.27464689005501</v>
      </c>
      <c r="L40">
        <f t="shared" si="16"/>
        <v>816.01889382785612</v>
      </c>
      <c r="M40">
        <f t="shared" si="16"/>
        <v>899.39802570441327</v>
      </c>
      <c r="N40">
        <f t="shared" si="16"/>
        <v>984.44474021850158</v>
      </c>
      <c r="O40">
        <f t="shared" si="16"/>
        <v>1071.1923890228716</v>
      </c>
      <c r="P40">
        <f t="shared" si="16"/>
        <v>1159.6749908033289</v>
      </c>
      <c r="R40">
        <f>SUM(B40:P40)</f>
        <v>8849.3590309697756</v>
      </c>
    </row>
    <row r="41" spans="1:35" x14ac:dyDescent="0.35">
      <c r="A41" t="s">
        <v>508</v>
      </c>
      <c r="B41">
        <f>B3</f>
        <v>51.6</v>
      </c>
      <c r="C41">
        <f>C3</f>
        <v>52.632000000000005</v>
      </c>
      <c r="D41">
        <f>D3</f>
        <v>53.684640000000002</v>
      </c>
      <c r="E41">
        <f>E3</f>
        <v>54.758332800000005</v>
      </c>
      <c r="F41">
        <f>F3</f>
        <v>55.853499456000009</v>
      </c>
      <c r="G41">
        <f>G3</f>
        <v>56.970569445120013</v>
      </c>
      <c r="H41">
        <f>H3</f>
        <v>58.109980834022409</v>
      </c>
      <c r="I41">
        <f>I3</f>
        <v>59.272180450702855</v>
      </c>
      <c r="J41">
        <f>J3</f>
        <v>60.457624059716913</v>
      </c>
      <c r="K41">
        <f>K3</f>
        <v>61.66677654091125</v>
      </c>
      <c r="L41">
        <f>L3</f>
        <v>62.900112071729474</v>
      </c>
      <c r="M41">
        <f>M3</f>
        <v>64.158114313164063</v>
      </c>
      <c r="N41">
        <f>N3</f>
        <v>65.44127659942734</v>
      </c>
      <c r="O41">
        <f>O3</f>
        <v>66.750102131415886</v>
      </c>
      <c r="P41">
        <f>P3</f>
        <v>68.085104174044204</v>
      </c>
      <c r="R41">
        <f>SUM(B41:P41)</f>
        <v>892.34031287625453</v>
      </c>
    </row>
    <row r="42" spans="1:35" x14ac:dyDescent="0.35">
      <c r="A42" t="s">
        <v>509</v>
      </c>
      <c r="B42">
        <f>B41</f>
        <v>51.6</v>
      </c>
      <c r="C42">
        <f>B42+C41</f>
        <v>104.232</v>
      </c>
      <c r="D42">
        <f t="shared" ref="D42:O42" si="17">C42+D41</f>
        <v>157.91664</v>
      </c>
      <c r="E42">
        <f t="shared" si="17"/>
        <v>212.67497280000001</v>
      </c>
      <c r="F42">
        <f t="shared" si="17"/>
        <v>268.52847225599999</v>
      </c>
      <c r="G42">
        <f t="shared" si="17"/>
        <v>325.49904170112001</v>
      </c>
      <c r="H42">
        <f t="shared" si="17"/>
        <v>383.6090225351424</v>
      </c>
      <c r="I42">
        <f t="shared" si="17"/>
        <v>442.88120298584528</v>
      </c>
      <c r="J42">
        <f t="shared" si="17"/>
        <v>503.3388270455622</v>
      </c>
      <c r="K42">
        <f t="shared" si="17"/>
        <v>565.0056035864734</v>
      </c>
      <c r="L42">
        <f t="shared" si="17"/>
        <v>627.90571565820289</v>
      </c>
      <c r="M42">
        <f t="shared" si="17"/>
        <v>692.063829971367</v>
      </c>
      <c r="N42">
        <f t="shared" si="17"/>
        <v>757.5051065707944</v>
      </c>
      <c r="O42">
        <f t="shared" si="17"/>
        <v>824.25520870221033</v>
      </c>
      <c r="P42">
        <f>O42+P41</f>
        <v>892.34031287625453</v>
      </c>
      <c r="R42">
        <f>SUM(B42:P42)</f>
        <v>6809.3559566889726</v>
      </c>
    </row>
    <row r="43" spans="1:35" x14ac:dyDescent="0.35">
      <c r="A43" t="s">
        <v>510</v>
      </c>
      <c r="B43" s="5">
        <f>B5</f>
        <v>25.800000000000004</v>
      </c>
      <c r="C43" s="5">
        <f>C5</f>
        <v>26.316000000000003</v>
      </c>
      <c r="D43" s="5">
        <f>D5</f>
        <v>26.842320000000001</v>
      </c>
      <c r="E43" s="5">
        <f>E5</f>
        <v>27.379166400000003</v>
      </c>
      <c r="F43" s="5">
        <f>F5</f>
        <v>27.926749728000004</v>
      </c>
      <c r="G43" s="5">
        <f>G5</f>
        <v>28.485284722559989</v>
      </c>
      <c r="H43" s="5">
        <f>H5</f>
        <v>29.054990417011197</v>
      </c>
      <c r="I43" s="5">
        <f>I5</f>
        <v>29.636090225351431</v>
      </c>
      <c r="J43" s="5">
        <f>J5</f>
        <v>30.228812029858439</v>
      </c>
      <c r="K43" s="5">
        <f>K5</f>
        <v>30.833388270455607</v>
      </c>
      <c r="L43" s="5">
        <f>L5</f>
        <v>31.450056035864741</v>
      </c>
      <c r="M43" s="5">
        <f>M5</f>
        <v>32.079057156582024</v>
      </c>
      <c r="N43" s="5">
        <f>N5</f>
        <v>32.72063829971367</v>
      </c>
      <c r="O43" s="5">
        <f>O5</f>
        <v>33.375051065707936</v>
      </c>
      <c r="P43" s="5">
        <f>P5</f>
        <v>34.042552087022102</v>
      </c>
      <c r="R43">
        <f>SUM(B43:P43)</f>
        <v>446.17015643812709</v>
      </c>
      <c r="T43" s="5"/>
      <c r="U43" s="5"/>
      <c r="V43" s="5"/>
      <c r="W43" s="5"/>
      <c r="X43" s="5"/>
      <c r="Y43" s="5"/>
      <c r="Z43" s="5"/>
      <c r="AA43" s="5"/>
      <c r="AB43" s="5"/>
      <c r="AC43" s="5"/>
      <c r="AD43" s="5"/>
      <c r="AE43" s="5"/>
      <c r="AF43" s="5"/>
      <c r="AG43" s="5"/>
      <c r="AH43" s="5"/>
      <c r="AI43" s="5"/>
    </row>
    <row r="44" spans="1:35" x14ac:dyDescent="0.35">
      <c r="A44" t="s">
        <v>511</v>
      </c>
      <c r="B44" s="5">
        <f>B43</f>
        <v>25.800000000000004</v>
      </c>
      <c r="C44" s="5">
        <f>B44+C43</f>
        <v>52.116000000000007</v>
      </c>
      <c r="D44" s="5">
        <f t="shared" ref="D44:P44" si="18">C44+D43</f>
        <v>78.958320000000015</v>
      </c>
      <c r="E44" s="5">
        <f t="shared" si="18"/>
        <v>106.33748640000002</v>
      </c>
      <c r="F44" s="5">
        <f t="shared" si="18"/>
        <v>134.26423612800002</v>
      </c>
      <c r="G44" s="5">
        <f t="shared" si="18"/>
        <v>162.74952085056</v>
      </c>
      <c r="H44" s="5">
        <f t="shared" si="18"/>
        <v>191.8045112675712</v>
      </c>
      <c r="I44" s="5">
        <f t="shared" si="18"/>
        <v>221.44060149292264</v>
      </c>
      <c r="J44" s="5">
        <f t="shared" si="18"/>
        <v>251.66941352278107</v>
      </c>
      <c r="K44" s="5">
        <f t="shared" si="18"/>
        <v>282.5028017932367</v>
      </c>
      <c r="L44" s="5">
        <f t="shared" si="18"/>
        <v>313.95285782910145</v>
      </c>
      <c r="M44" s="5">
        <f t="shared" si="18"/>
        <v>346.03191498568344</v>
      </c>
      <c r="N44" s="5">
        <f t="shared" si="18"/>
        <v>378.75255328539708</v>
      </c>
      <c r="O44" s="5">
        <f t="shared" si="18"/>
        <v>412.12760435110499</v>
      </c>
      <c r="P44" s="5">
        <f t="shared" si="18"/>
        <v>446.17015643812709</v>
      </c>
      <c r="R44" s="126">
        <f>SUM(B44:P44)</f>
        <v>3404.6779783444858</v>
      </c>
      <c r="T44" s="5"/>
      <c r="U44" s="5"/>
      <c r="V44" s="5"/>
      <c r="W44" s="5"/>
      <c r="X44" s="5"/>
      <c r="Y44" s="5"/>
      <c r="Z44" s="5"/>
      <c r="AA44" s="5"/>
      <c r="AB44" s="5"/>
      <c r="AC44" s="5"/>
      <c r="AD44" s="5"/>
      <c r="AE44" s="5"/>
      <c r="AF44" s="5"/>
      <c r="AG44" s="5"/>
      <c r="AH44" s="5"/>
      <c r="AI44" s="5"/>
    </row>
    <row r="45" spans="1:35" x14ac:dyDescent="0.35">
      <c r="A45" t="s">
        <v>516</v>
      </c>
      <c r="B45">
        <f ca="1">B18-B26</f>
        <v>9.3249561096797605E-7</v>
      </c>
      <c r="C45">
        <f ca="1">C18-C26</f>
        <v>0.97594169492552074</v>
      </c>
      <c r="D45">
        <f ca="1">D18-D26</f>
        <v>1.9429482083239942</v>
      </c>
      <c r="E45">
        <f ca="1">E18-E26</f>
        <v>1.9381491091585419</v>
      </c>
      <c r="F45">
        <f ca="1">F18-F26</f>
        <v>2.0097501823724664</v>
      </c>
      <c r="G45">
        <f ca="1">G18-G26</f>
        <v>2.217982697509969</v>
      </c>
      <c r="H45">
        <f ca="1">H18-H26</f>
        <v>2.4330238647602394</v>
      </c>
      <c r="I45">
        <f ca="1">I18-I26</f>
        <v>2.5315797240984019</v>
      </c>
      <c r="J45">
        <f ca="1">J18-J26</f>
        <v>2.5873096712380494</v>
      </c>
      <c r="K45">
        <f ca="1">K18-K26</f>
        <v>2.6688017068397976</v>
      </c>
      <c r="L45">
        <f ca="1">L18-L26</f>
        <v>2.7773541553396295</v>
      </c>
      <c r="M45">
        <f ca="1">M18-M26</f>
        <v>2.8865102228442527</v>
      </c>
      <c r="N45">
        <f ca="1">N18-N26</f>
        <v>2.9692989573803743</v>
      </c>
      <c r="O45">
        <f ca="1">O18-O26</f>
        <v>3.0153476940071733</v>
      </c>
      <c r="P45">
        <f ca="1">P18-P26</f>
        <v>3.0317400207716494</v>
      </c>
      <c r="R45">
        <f ca="1">SUM(B45:P45)</f>
        <v>33.985738842065665</v>
      </c>
    </row>
    <row r="46" spans="1:35" x14ac:dyDescent="0.35">
      <c r="A46" t="s">
        <v>517</v>
      </c>
      <c r="B46">
        <f ca="1">B45</f>
        <v>9.3249561096797605E-7</v>
      </c>
      <c r="C46">
        <f ca="1">B46+C45</f>
        <v>0.97594262742113169</v>
      </c>
      <c r="D46">
        <f t="shared" ref="D46:P46" ca="1" si="19">C46+D45</f>
        <v>2.9188908357451258</v>
      </c>
      <c r="E46">
        <f t="shared" ca="1" si="19"/>
        <v>4.8570399449036676</v>
      </c>
      <c r="F46">
        <f t="shared" ca="1" si="19"/>
        <v>6.8667901272761345</v>
      </c>
      <c r="G46">
        <f t="shared" ca="1" si="19"/>
        <v>9.0847728247861035</v>
      </c>
      <c r="H46">
        <f t="shared" ca="1" si="19"/>
        <v>11.517796689546342</v>
      </c>
      <c r="I46">
        <f t="shared" ca="1" si="19"/>
        <v>14.049376413644744</v>
      </c>
      <c r="J46">
        <f t="shared" ca="1" si="19"/>
        <v>16.636686084882793</v>
      </c>
      <c r="K46">
        <f t="shared" ca="1" si="19"/>
        <v>19.305487791722591</v>
      </c>
      <c r="L46">
        <f t="shared" ca="1" si="19"/>
        <v>22.082841947062221</v>
      </c>
      <c r="M46">
        <f t="shared" ca="1" si="19"/>
        <v>24.969352169906472</v>
      </c>
      <c r="N46">
        <f t="shared" ca="1" si="19"/>
        <v>27.938651127286846</v>
      </c>
      <c r="O46">
        <f t="shared" ca="1" si="19"/>
        <v>30.953998821294018</v>
      </c>
      <c r="P46">
        <f t="shared" ca="1" si="19"/>
        <v>33.985738842065665</v>
      </c>
      <c r="R46">
        <f ca="1">SUM(B46:P46)</f>
        <v>226.14336718003946</v>
      </c>
    </row>
    <row r="47" spans="1:35" x14ac:dyDescent="0.35">
      <c r="A47" t="s">
        <v>518</v>
      </c>
      <c r="B47">
        <f>B19</f>
        <v>1.2433274812906349E-6</v>
      </c>
      <c r="C47">
        <f>C19</f>
        <v>1.3012556305700955</v>
      </c>
      <c r="D47">
        <f>D19</f>
        <v>2.6296732479695097</v>
      </c>
      <c r="E47">
        <f>E19</f>
        <v>2.701006135401653</v>
      </c>
      <c r="F47">
        <f>F19</f>
        <v>2.8738909153481189</v>
      </c>
      <c r="G47">
        <f>G19</f>
        <v>3.2316954213897446</v>
      </c>
      <c r="H47">
        <f>H19</f>
        <v>3.606788830973978</v>
      </c>
      <c r="I47">
        <f>I19</f>
        <v>3.835038831255146</v>
      </c>
      <c r="J47">
        <f>J19</f>
        <v>4.0099806229080084</v>
      </c>
      <c r="K47">
        <f>K19</f>
        <v>4.2213441777043101</v>
      </c>
      <c r="L47">
        <f>L19</f>
        <v>4.4718888044714653</v>
      </c>
      <c r="M47">
        <f>M19</f>
        <v>4.7274173459707907</v>
      </c>
      <c r="N47">
        <f>N19</f>
        <v>4.9519860961516775</v>
      </c>
      <c r="O47">
        <f>O19</f>
        <v>5.1307024842264433</v>
      </c>
      <c r="P47">
        <f>P19</f>
        <v>5.2715353126665114</v>
      </c>
      <c r="R47">
        <f>SUM(B47:P47)</f>
        <v>52.964205100334937</v>
      </c>
    </row>
    <row r="48" spans="1:35" x14ac:dyDescent="0.35">
      <c r="A48" t="s">
        <v>519</v>
      </c>
      <c r="B48">
        <f>B47</f>
        <v>1.2433274812906349E-6</v>
      </c>
      <c r="C48">
        <f>B48+C47</f>
        <v>1.3012568738975767</v>
      </c>
      <c r="D48">
        <f t="shared" ref="D48:P48" si="20">C48+D47</f>
        <v>3.9309301218670862</v>
      </c>
      <c r="E48">
        <f t="shared" si="20"/>
        <v>6.6319362572687393</v>
      </c>
      <c r="F48">
        <f t="shared" si="20"/>
        <v>9.5058271726168577</v>
      </c>
      <c r="G48">
        <f t="shared" si="20"/>
        <v>12.737522594006602</v>
      </c>
      <c r="H48">
        <f t="shared" si="20"/>
        <v>16.344311424980582</v>
      </c>
      <c r="I48">
        <f t="shared" si="20"/>
        <v>20.179350256235729</v>
      </c>
      <c r="J48">
        <f t="shared" si="20"/>
        <v>24.189330879143739</v>
      </c>
      <c r="K48">
        <f t="shared" si="20"/>
        <v>28.410675056848049</v>
      </c>
      <c r="L48">
        <f t="shared" si="20"/>
        <v>32.882563861319511</v>
      </c>
      <c r="M48">
        <f t="shared" si="20"/>
        <v>37.609981207290303</v>
      </c>
      <c r="N48">
        <f t="shared" si="20"/>
        <v>42.561967303441982</v>
      </c>
      <c r="O48">
        <f t="shared" si="20"/>
        <v>47.692669787668422</v>
      </c>
      <c r="P48">
        <f t="shared" si="20"/>
        <v>52.964205100334937</v>
      </c>
      <c r="R48">
        <f>SUM(B48:P48)</f>
        <v>336.94252914024759</v>
      </c>
    </row>
    <row r="49" spans="1:18" x14ac:dyDescent="0.35">
      <c r="A49" t="s">
        <v>520</v>
      </c>
      <c r="B49">
        <f ca="1">B25+B26+B20</f>
        <v>1.3365770423874323E-5</v>
      </c>
      <c r="C49">
        <f ca="1">C25+C26+C20</f>
        <v>13.988498056630577</v>
      </c>
      <c r="D49">
        <f ca="1">D25+D26+D20</f>
        <v>28.298294143325364</v>
      </c>
      <c r="E49">
        <f ca="1">E25+E26+E20</f>
        <v>29.123421447960467</v>
      </c>
      <c r="F49">
        <f ca="1">F25+F26+F20</f>
        <v>31.039995344130901</v>
      </c>
      <c r="G49">
        <f ca="1">G25+G26+G20</f>
        <v>34.946514648472096</v>
      </c>
      <c r="H49">
        <f ca="1">H25+H26+H20</f>
        <v>39.045047691440509</v>
      </c>
      <c r="I49">
        <f ca="1">I25+I26+I20</f>
        <v>41.571366835335773</v>
      </c>
      <c r="J49">
        <f ca="1">J25+J26+J20</f>
        <v>43.527467492204039</v>
      </c>
      <c r="K49">
        <f ca="1">K25+K26+K20</f>
        <v>45.876656336759766</v>
      </c>
      <c r="L49">
        <f ca="1">L25+L26+L20</f>
        <v>48.649367096082223</v>
      </c>
      <c r="M49">
        <f ca="1">M25+M26+M20</f>
        <v>51.478789255819834</v>
      </c>
      <c r="N49">
        <f ca="1">N25+N26+N20</f>
        <v>53.978541148363909</v>
      </c>
      <c r="O49">
        <f ca="1">O25+O26+O20</f>
        <v>55.98773087459692</v>
      </c>
      <c r="P49">
        <f ca="1">P25+P26+P20</f>
        <v>57.590916074893229</v>
      </c>
      <c r="R49">
        <f ca="1">SUM(B49:P49)</f>
        <v>575.1026198117861</v>
      </c>
    </row>
    <row r="50" spans="1:18" x14ac:dyDescent="0.35">
      <c r="A50" t="s">
        <v>521</v>
      </c>
      <c r="B50">
        <f ca="1">B49</f>
        <v>1.3365770423874323E-5</v>
      </c>
      <c r="C50">
        <f ca="1">B50+C49</f>
        <v>13.988511422401002</v>
      </c>
      <c r="D50">
        <f t="shared" ref="D50:O50" ca="1" si="21">C50+D49</f>
        <v>42.286805565726368</v>
      </c>
      <c r="E50">
        <f t="shared" ca="1" si="21"/>
        <v>71.410227013686836</v>
      </c>
      <c r="F50">
        <f t="shared" ca="1" si="21"/>
        <v>102.45022235781774</v>
      </c>
      <c r="G50">
        <f t="shared" ca="1" si="21"/>
        <v>137.39673700628984</v>
      </c>
      <c r="H50">
        <f t="shared" ca="1" si="21"/>
        <v>176.44178469773036</v>
      </c>
      <c r="I50">
        <f t="shared" ca="1" si="21"/>
        <v>218.01315153306612</v>
      </c>
      <c r="J50">
        <f t="shared" ca="1" si="21"/>
        <v>261.54061902527019</v>
      </c>
      <c r="K50">
        <f t="shared" ca="1" si="21"/>
        <v>307.41727536202995</v>
      </c>
      <c r="L50">
        <f t="shared" ca="1" si="21"/>
        <v>356.0666424581122</v>
      </c>
      <c r="M50">
        <f t="shared" ca="1" si="21"/>
        <v>407.54543171393203</v>
      </c>
      <c r="N50">
        <f t="shared" ca="1" si="21"/>
        <v>461.52397286229592</v>
      </c>
      <c r="O50">
        <f t="shared" ca="1" si="21"/>
        <v>517.51170373689285</v>
      </c>
      <c r="P50">
        <f ca="1">O50+P49</f>
        <v>575.1026198117861</v>
      </c>
      <c r="R50">
        <f ca="1">SUM(B50:P50)</f>
        <v>3648.6957179328078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B67C4-DC2C-4C09-8158-5E98D5A5D530}">
  <dimension ref="A1:AH50"/>
  <sheetViews>
    <sheetView topLeftCell="A16" workbookViewId="0">
      <selection activeCell="T31" sqref="T31:AH50"/>
    </sheetView>
  </sheetViews>
  <sheetFormatPr defaultRowHeight="14.5" x14ac:dyDescent="0.35"/>
  <cols>
    <col min="18" max="18" width="11.7265625" customWidth="1"/>
  </cols>
  <sheetData>
    <row r="1" spans="1:18" x14ac:dyDescent="0.35">
      <c r="B1">
        <v>2022</v>
      </c>
      <c r="C1">
        <v>2023</v>
      </c>
      <c r="D1">
        <v>2024</v>
      </c>
      <c r="E1">
        <v>2025</v>
      </c>
      <c r="F1">
        <v>2026</v>
      </c>
      <c r="G1">
        <v>2027</v>
      </c>
      <c r="H1">
        <v>2028</v>
      </c>
      <c r="I1">
        <v>2029</v>
      </c>
      <c r="J1">
        <v>2030</v>
      </c>
      <c r="K1">
        <v>2031</v>
      </c>
      <c r="L1">
        <v>2032</v>
      </c>
      <c r="M1">
        <v>2033</v>
      </c>
      <c r="N1">
        <v>2034</v>
      </c>
      <c r="O1">
        <v>2035</v>
      </c>
      <c r="P1">
        <v>2036</v>
      </c>
    </row>
    <row r="2" spans="1:18" x14ac:dyDescent="0.35">
      <c r="A2" t="str">
        <f>'1_1_Definition_Flows'!C2</f>
        <v>F_13_20</v>
      </c>
      <c r="B2" s="127" cm="1">
        <f t="array" aca="1" ref="B2" ca="1">Solution_material!B2*INDIRECT("Tab_Def_Flows[@WC]")</f>
        <v>7.7399999999999993</v>
      </c>
      <c r="C2" s="127" cm="1">
        <f t="array" aca="1" ref="C2" ca="1">Solution_material!C2*INDIRECT("Tab_Def_Flows[@WC]")</f>
        <v>7.8948</v>
      </c>
      <c r="D2" s="127" cm="1">
        <f t="array" aca="1" ref="D2" ca="1">Solution_material!D2*INDIRECT("Tab_Def_Flows[@WC]")</f>
        <v>8.0526959999999992</v>
      </c>
      <c r="E2" s="127" cm="1">
        <f t="array" aca="1" ref="E2" ca="1">Solution_material!E2*INDIRECT("Tab_Def_Flows[@WC]")</f>
        <v>8.2137499199999997</v>
      </c>
      <c r="F2" s="127" cm="1">
        <f t="array" aca="1" ref="F2" ca="1">Solution_material!F2*INDIRECT("Tab_Def_Flows[@WC]")</f>
        <v>8.3780249184000013</v>
      </c>
      <c r="G2" s="127" cm="1">
        <f t="array" aca="1" ref="G2" ca="1">Solution_material!G2*INDIRECT("Tab_Def_Flows[@WC]")</f>
        <v>8.5455854167680005</v>
      </c>
      <c r="H2" s="127" cm="1">
        <f t="array" aca="1" ref="H2" ca="1">Solution_material!H2*INDIRECT("Tab_Def_Flows[@WC]")</f>
        <v>8.7164971251033609</v>
      </c>
      <c r="I2" s="127" cm="1">
        <f t="array" aca="1" ref="I2" ca="1">Solution_material!I2*INDIRECT("Tab_Def_Flows[@WC]")</f>
        <v>8.8908270676054268</v>
      </c>
      <c r="J2" s="127" cm="1">
        <f t="array" aca="1" ref="J2" ca="1">Solution_material!J2*INDIRECT("Tab_Def_Flows[@WC]")</f>
        <v>9.0686436089575366</v>
      </c>
      <c r="K2" s="127" cm="1">
        <f t="array" aca="1" ref="K2" ca="1">Solution_material!K2*INDIRECT("Tab_Def_Flows[@WC]")</f>
        <v>9.2500164811366865</v>
      </c>
      <c r="L2" s="127" cm="1">
        <f t="array" aca="1" ref="L2" ca="1">Solution_material!L2*INDIRECT("Tab_Def_Flows[@WC]")</f>
        <v>9.4350168107594197</v>
      </c>
      <c r="M2" s="127" cm="1">
        <f t="array" aca="1" ref="M2" ca="1">Solution_material!M2*INDIRECT("Tab_Def_Flows[@WC]")</f>
        <v>9.6237171469746094</v>
      </c>
      <c r="N2" s="127" cm="1">
        <f t="array" aca="1" ref="N2" ca="1">Solution_material!N2*INDIRECT("Tab_Def_Flows[@WC]")</f>
        <v>9.8161914899141003</v>
      </c>
      <c r="O2" s="127" cm="1">
        <f t="array" aca="1" ref="O2" ca="1">Solution_material!O2*INDIRECT("Tab_Def_Flows[@WC]")</f>
        <v>10.012515319712382</v>
      </c>
      <c r="P2" s="127" cm="1">
        <f t="array" aca="1" ref="P2" ca="1">Solution_material!P2*INDIRECT("Tab_Def_Flows[@WC]")</f>
        <v>10.212765626106631</v>
      </c>
      <c r="R2" s="126">
        <f ca="1">SUM(B2:P2)</f>
        <v>133.85104693143813</v>
      </c>
    </row>
    <row r="3" spans="1:18" x14ac:dyDescent="0.35">
      <c r="A3" t="str">
        <f>'1_1_Definition_Flows'!C3</f>
        <v>F_20_15</v>
      </c>
      <c r="B3" s="127" cm="1">
        <f t="array" aca="1" ref="B3" ca="1">Solution_material!B3*INDIRECT("Tab_Def_Flows[@WC]")</f>
        <v>3.0960000000000001</v>
      </c>
      <c r="C3" s="127" cm="1">
        <f t="array" aca="1" ref="C3" ca="1">Solution_material!C3*INDIRECT("Tab_Def_Flows[@WC]")</f>
        <v>3.1579200000000003</v>
      </c>
      <c r="D3" s="127" cm="1">
        <f t="array" aca="1" ref="D3" ca="1">Solution_material!D3*INDIRECT("Tab_Def_Flows[@WC]")</f>
        <v>3.2210784000000001</v>
      </c>
      <c r="E3" s="127" cm="1">
        <f t="array" aca="1" ref="E3" ca="1">Solution_material!E3*INDIRECT("Tab_Def_Flows[@WC]")</f>
        <v>3.2854999680000003</v>
      </c>
      <c r="F3" s="127" cm="1">
        <f t="array" aca="1" ref="F3" ca="1">Solution_material!F3*INDIRECT("Tab_Def_Flows[@WC]")</f>
        <v>3.3512099673600004</v>
      </c>
      <c r="G3" s="127" cm="1">
        <f t="array" aca="1" ref="G3" ca="1">Solution_material!G3*INDIRECT("Tab_Def_Flows[@WC]")</f>
        <v>3.4182341667072005</v>
      </c>
      <c r="H3" s="127" cm="1">
        <f t="array" aca="1" ref="H3" ca="1">Solution_material!H3*INDIRECT("Tab_Def_Flows[@WC]")</f>
        <v>3.4865988500413443</v>
      </c>
      <c r="I3" s="127" cm="1">
        <f t="array" aca="1" ref="I3" ca="1">Solution_material!I3*INDIRECT("Tab_Def_Flows[@WC]")</f>
        <v>3.5563308270421712</v>
      </c>
      <c r="J3" s="127" cm="1">
        <f t="array" aca="1" ref="J3" ca="1">Solution_material!J3*INDIRECT("Tab_Def_Flows[@WC]")</f>
        <v>3.6274574435830145</v>
      </c>
      <c r="K3" s="127" cm="1">
        <f t="array" aca="1" ref="K3" ca="1">Solution_material!K3*INDIRECT("Tab_Def_Flows[@WC]")</f>
        <v>3.7000065924546748</v>
      </c>
      <c r="L3" s="127" cm="1">
        <f t="array" aca="1" ref="L3" ca="1">Solution_material!L3*INDIRECT("Tab_Def_Flows[@WC]")</f>
        <v>3.7740067243037685</v>
      </c>
      <c r="M3" s="127" cm="1">
        <f t="array" aca="1" ref="M3" ca="1">Solution_material!M3*INDIRECT("Tab_Def_Flows[@WC]")</f>
        <v>3.8494868587898434</v>
      </c>
      <c r="N3" s="127" cm="1">
        <f t="array" aca="1" ref="N3" ca="1">Solution_material!N3*INDIRECT("Tab_Def_Flows[@WC]")</f>
        <v>3.9264765959656405</v>
      </c>
      <c r="O3" s="127" cm="1">
        <f t="array" aca="1" ref="O3" ca="1">Solution_material!O3*INDIRECT("Tab_Def_Flows[@WC]")</f>
        <v>4.0050061278849531</v>
      </c>
      <c r="P3" s="127" cm="1">
        <f t="array" aca="1" ref="P3" ca="1">Solution_material!P3*INDIRECT("Tab_Def_Flows[@WC]")</f>
        <v>4.0851062504426521</v>
      </c>
      <c r="R3" s="126">
        <f t="shared" ref="R3:R47" ca="1" si="0">SUM(B3:P3)</f>
        <v>53.540418772575258</v>
      </c>
    </row>
    <row r="4" spans="1:18" x14ac:dyDescent="0.35">
      <c r="A4" t="str">
        <f>'1_1_Definition_Flows'!C4</f>
        <v>F_20_01</v>
      </c>
      <c r="B4" s="127" cm="1">
        <f t="array" aca="1" ref="B4" ca="1">Solution_material!B4*INDIRECT("Tab_Def_Flows[@WC]")</f>
        <v>3.0960000000000001</v>
      </c>
      <c r="C4" s="127" cm="1">
        <f t="array" aca="1" ref="C4" ca="1">Solution_material!C4*INDIRECT("Tab_Def_Flows[@WC]")</f>
        <v>3.1579200000000003</v>
      </c>
      <c r="D4" s="127" cm="1">
        <f t="array" aca="1" ref="D4" ca="1">Solution_material!D4*INDIRECT("Tab_Def_Flows[@WC]")</f>
        <v>3.2210784000000001</v>
      </c>
      <c r="E4" s="127" cm="1">
        <f t="array" aca="1" ref="E4" ca="1">Solution_material!E4*INDIRECT("Tab_Def_Flows[@WC]")</f>
        <v>3.2854999680000003</v>
      </c>
      <c r="F4" s="127" cm="1">
        <f t="array" aca="1" ref="F4" ca="1">Solution_material!F4*INDIRECT("Tab_Def_Flows[@WC]")</f>
        <v>3.3512099673600004</v>
      </c>
      <c r="G4" s="127" cm="1">
        <f t="array" aca="1" ref="G4" ca="1">Solution_material!G4*INDIRECT("Tab_Def_Flows[@WC]")</f>
        <v>3.4182341667072005</v>
      </c>
      <c r="H4" s="127" cm="1">
        <f t="array" aca="1" ref="H4" ca="1">Solution_material!H4*INDIRECT("Tab_Def_Flows[@WC]")</f>
        <v>3.4865988500413443</v>
      </c>
      <c r="I4" s="127" cm="1">
        <f t="array" aca="1" ref="I4" ca="1">Solution_material!I4*INDIRECT("Tab_Def_Flows[@WC]")</f>
        <v>3.5563308270421712</v>
      </c>
      <c r="J4" s="127" cm="1">
        <f t="array" aca="1" ref="J4" ca="1">Solution_material!J4*INDIRECT("Tab_Def_Flows[@WC]")</f>
        <v>3.6274574435830145</v>
      </c>
      <c r="K4" s="127" cm="1">
        <f t="array" aca="1" ref="K4" ca="1">Solution_material!K4*INDIRECT("Tab_Def_Flows[@WC]")</f>
        <v>3.7000065924546748</v>
      </c>
      <c r="L4" s="127" cm="1">
        <f t="array" aca="1" ref="L4" ca="1">Solution_material!L4*INDIRECT("Tab_Def_Flows[@WC]")</f>
        <v>3.7740067243037685</v>
      </c>
      <c r="M4" s="127" cm="1">
        <f t="array" aca="1" ref="M4" ca="1">Solution_material!M4*INDIRECT("Tab_Def_Flows[@WC]")</f>
        <v>3.8494868587898434</v>
      </c>
      <c r="N4" s="127" cm="1">
        <f t="array" aca="1" ref="N4" ca="1">Solution_material!N4*INDIRECT("Tab_Def_Flows[@WC]")</f>
        <v>3.9264765959656405</v>
      </c>
      <c r="O4" s="127" cm="1">
        <f t="array" aca="1" ref="O4" ca="1">Solution_material!O4*INDIRECT("Tab_Def_Flows[@WC]")</f>
        <v>4.0050061278849531</v>
      </c>
      <c r="P4" s="127" cm="1">
        <f t="array" aca="1" ref="P4" ca="1">Solution_material!P4*INDIRECT("Tab_Def_Flows[@WC]")</f>
        <v>4.0851062504426521</v>
      </c>
      <c r="R4" s="126">
        <f t="shared" ca="1" si="0"/>
        <v>53.540418772575258</v>
      </c>
    </row>
    <row r="5" spans="1:18" x14ac:dyDescent="0.35">
      <c r="A5" t="str">
        <f>'1_1_Definition_Flows'!C5</f>
        <v>F_20_16</v>
      </c>
      <c r="B5" s="127" cm="1">
        <f t="array" aca="1" ref="B5" ca="1">Solution_material!B5*INDIRECT("Tab_Def_Flows[@WC]")</f>
        <v>1.5480000000000003</v>
      </c>
      <c r="C5" s="127" cm="1">
        <f t="array" aca="1" ref="C5" ca="1">Solution_material!C5*INDIRECT("Tab_Def_Flows[@WC]")</f>
        <v>1.5789600000000001</v>
      </c>
      <c r="D5" s="127" cm="1">
        <f t="array" aca="1" ref="D5" ca="1">Solution_material!D5*INDIRECT("Tab_Def_Flows[@WC]")</f>
        <v>1.6105392000000001</v>
      </c>
      <c r="E5" s="127" cm="1">
        <f t="array" aca="1" ref="E5" ca="1">Solution_material!E5*INDIRECT("Tab_Def_Flows[@WC]")</f>
        <v>1.6427499840000002</v>
      </c>
      <c r="F5" s="127" cm="1">
        <f t="array" aca="1" ref="F5" ca="1">Solution_material!F5*INDIRECT("Tab_Def_Flows[@WC]")</f>
        <v>1.6756049836800002</v>
      </c>
      <c r="G5" s="127" cm="1">
        <f t="array" aca="1" ref="G5" ca="1">Solution_material!G5*INDIRECT("Tab_Def_Flows[@WC]")</f>
        <v>1.7091170833535994</v>
      </c>
      <c r="H5" s="127" cm="1">
        <f t="array" aca="1" ref="H5" ca="1">Solution_material!H5*INDIRECT("Tab_Def_Flows[@WC]")</f>
        <v>1.7432994250206717</v>
      </c>
      <c r="I5" s="127" cm="1">
        <f t="array" aca="1" ref="I5" ca="1">Solution_material!I5*INDIRECT("Tab_Def_Flows[@WC]")</f>
        <v>1.7781654135210858</v>
      </c>
      <c r="J5" s="127" cm="1">
        <f t="array" aca="1" ref="J5" ca="1">Solution_material!J5*INDIRECT("Tab_Def_Flows[@WC]")</f>
        <v>1.8137287217915063</v>
      </c>
      <c r="K5" s="127" cm="1">
        <f t="array" aca="1" ref="K5" ca="1">Solution_material!K5*INDIRECT("Tab_Def_Flows[@WC]")</f>
        <v>1.8500032962273363</v>
      </c>
      <c r="L5" s="127" cm="1">
        <f t="array" aca="1" ref="L5" ca="1">Solution_material!L5*INDIRECT("Tab_Def_Flows[@WC]")</f>
        <v>1.8870033621518845</v>
      </c>
      <c r="M5" s="127" cm="1">
        <f t="array" aca="1" ref="M5" ca="1">Solution_material!M5*INDIRECT("Tab_Def_Flows[@WC]")</f>
        <v>1.9247434293949215</v>
      </c>
      <c r="N5" s="127" cm="1">
        <f t="array" aca="1" ref="N5" ca="1">Solution_material!N5*INDIRECT("Tab_Def_Flows[@WC]")</f>
        <v>1.9632382979828202</v>
      </c>
      <c r="O5" s="127" cm="1">
        <f t="array" aca="1" ref="O5" ca="1">Solution_material!O5*INDIRECT("Tab_Def_Flows[@WC]")</f>
        <v>2.0025030639424761</v>
      </c>
      <c r="P5" s="127" cm="1">
        <f t="array" aca="1" ref="P5" ca="1">Solution_material!P5*INDIRECT("Tab_Def_Flows[@WC]")</f>
        <v>2.042553125221326</v>
      </c>
      <c r="R5" s="126">
        <f t="shared" ca="1" si="0"/>
        <v>26.770209386287625</v>
      </c>
    </row>
    <row r="6" spans="1:18" x14ac:dyDescent="0.35">
      <c r="A6" t="str">
        <f>'1_1_Definition_Flows'!C6</f>
        <v>F_04_01</v>
      </c>
      <c r="B6" s="127" cm="1">
        <f t="array" aca="1" ref="B6" ca="1">Solution_material!B6*INDIRECT("Tab_Def_Flows[@WC]")</f>
        <v>36.659999999999997</v>
      </c>
      <c r="C6" s="127" cm="1">
        <f t="array" aca="1" ref="C6" ca="1">Solution_material!C6*INDIRECT("Tab_Def_Flows[@WC]")</f>
        <v>37.3932</v>
      </c>
      <c r="D6" s="127" cm="1">
        <f t="array" aca="1" ref="D6" ca="1">Solution_material!D6*INDIRECT("Tab_Def_Flows[@WC]")</f>
        <v>38.141064</v>
      </c>
      <c r="E6" s="127" cm="1">
        <f t="array" aca="1" ref="E6" ca="1">Solution_material!E6*INDIRECT("Tab_Def_Flows[@WC]")</f>
        <v>38.903885279999997</v>
      </c>
      <c r="F6" s="127" cm="1">
        <f t="array" aca="1" ref="F6" ca="1">Solution_material!F6*INDIRECT("Tab_Def_Flows[@WC]")</f>
        <v>39.681962985600002</v>
      </c>
      <c r="G6" s="127" cm="1">
        <f t="array" aca="1" ref="G6" ca="1">Solution_material!G6*INDIRECT("Tab_Def_Flows[@WC]")</f>
        <v>40.475602245311997</v>
      </c>
      <c r="H6" s="127" cm="1">
        <f t="array" aca="1" ref="H6" ca="1">Solution_material!H6*INDIRECT("Tab_Def_Flows[@WC]")</f>
        <v>41.285114290218239</v>
      </c>
      <c r="I6" s="127" cm="1">
        <f t="array" aca="1" ref="I6" ca="1">Solution_material!I6*INDIRECT("Tab_Def_Flows[@WC]")</f>
        <v>42.110816576022607</v>
      </c>
      <c r="J6" s="127" cm="1">
        <f t="array" aca="1" ref="J6" ca="1">Solution_material!J6*INDIRECT("Tab_Def_Flows[@WC]")</f>
        <v>42.953032907543054</v>
      </c>
      <c r="K6" s="127" cm="1">
        <f t="array" aca="1" ref="K6" ca="1">Solution_material!K6*INDIRECT("Tab_Def_Flows[@WC]")</f>
        <v>43.812093565693921</v>
      </c>
      <c r="L6" s="127" cm="1">
        <f t="array" aca="1" ref="L6" ca="1">Solution_material!L6*INDIRECT("Tab_Def_Flows[@WC]")</f>
        <v>44.688335437007801</v>
      </c>
      <c r="M6" s="127" cm="1">
        <f t="array" aca="1" ref="M6" ca="1">Solution_material!M6*INDIRECT("Tab_Def_Flows[@WC]")</f>
        <v>45.58210214574796</v>
      </c>
      <c r="N6" s="127" cm="1">
        <f t="array" aca="1" ref="N6" ca="1">Solution_material!N6*INDIRECT("Tab_Def_Flows[@WC]")</f>
        <v>46.493744188662916</v>
      </c>
      <c r="O6" s="127" cm="1">
        <f t="array" aca="1" ref="O6" ca="1">Solution_material!O6*INDIRECT("Tab_Def_Flows[@WC]")</f>
        <v>47.423619072436182</v>
      </c>
      <c r="P6" s="127" cm="1">
        <f t="array" aca="1" ref="P6" ca="1">Solution_material!P6*INDIRECT("Tab_Def_Flows[@WC]")</f>
        <v>48.372091453884906</v>
      </c>
      <c r="R6" s="126">
        <f t="shared" ca="1" si="0"/>
        <v>633.97666414812954</v>
      </c>
    </row>
    <row r="7" spans="1:18" x14ac:dyDescent="0.35">
      <c r="A7" t="str">
        <f>'1_1_Definition_Flows'!C7</f>
        <v>F_01_05</v>
      </c>
      <c r="B7" s="127" cm="1">
        <f t="array" aca="1" ref="B7" ca="1">Solution_material!B7*INDIRECT("Tab_Def_Flows[@WC]")</f>
        <v>0</v>
      </c>
      <c r="C7" s="127" cm="1">
        <f t="array" aca="1" ref="C7" ca="1">Solution_material!C7*INDIRECT("Tab_Def_Flows[@WC]")</f>
        <v>0</v>
      </c>
      <c r="D7" s="127" cm="1">
        <f t="array" aca="1" ref="D7" ca="1">Solution_material!D7*INDIRECT("Tab_Def_Flows[@WC]")</f>
        <v>0</v>
      </c>
      <c r="E7" s="127" cm="1">
        <f t="array" aca="1" ref="E7" ca="1">Solution_material!E7*INDIRECT("Tab_Def_Flows[@WC]")</f>
        <v>0</v>
      </c>
      <c r="F7" s="127" cm="1">
        <f t="array" aca="1" ref="F7" ca="1">Solution_material!F7*INDIRECT("Tab_Def_Flows[@WC]")</f>
        <v>0</v>
      </c>
      <c r="G7" s="127" cm="1">
        <f t="array" aca="1" ref="G7" ca="1">Solution_material!G7*INDIRECT("Tab_Def_Flows[@WC]")</f>
        <v>0</v>
      </c>
      <c r="H7" s="127" cm="1">
        <f t="array" aca="1" ref="H7" ca="1">Solution_material!H7*INDIRECT("Tab_Def_Flows[@WC]")</f>
        <v>0</v>
      </c>
      <c r="I7" s="127" cm="1">
        <f t="array" aca="1" ref="I7" ca="1">Solution_material!I7*INDIRECT("Tab_Def_Flows[@WC]")</f>
        <v>0</v>
      </c>
      <c r="J7" s="127" cm="1">
        <f t="array" aca="1" ref="J7" ca="1">Solution_material!J7*INDIRECT("Tab_Def_Flows[@WC]")</f>
        <v>0</v>
      </c>
      <c r="K7" s="127" cm="1">
        <f t="array" aca="1" ref="K7" ca="1">Solution_material!K7*INDIRECT("Tab_Def_Flows[@WC]")</f>
        <v>0</v>
      </c>
      <c r="L7" s="127" cm="1">
        <f t="array" aca="1" ref="L7" ca="1">Solution_material!L7*INDIRECT("Tab_Def_Flows[@WC]")</f>
        <v>0</v>
      </c>
      <c r="M7" s="127" cm="1">
        <f t="array" aca="1" ref="M7" ca="1">Solution_material!M7*INDIRECT("Tab_Def_Flows[@WC]")</f>
        <v>0</v>
      </c>
      <c r="N7" s="127" cm="1">
        <f t="array" aca="1" ref="N7" ca="1">Solution_material!N7*INDIRECT("Tab_Def_Flows[@WC]")</f>
        <v>0</v>
      </c>
      <c r="O7" s="127" cm="1">
        <f t="array" aca="1" ref="O7" ca="1">Solution_material!O7*INDIRECT("Tab_Def_Flows[@WC]")</f>
        <v>0</v>
      </c>
      <c r="P7" s="127" cm="1">
        <f t="array" aca="1" ref="P7" ca="1">Solution_material!P7*INDIRECT("Tab_Def_Flows[@WC]")</f>
        <v>0</v>
      </c>
      <c r="R7" s="126">
        <f t="shared" ca="1" si="0"/>
        <v>0</v>
      </c>
    </row>
    <row r="8" spans="1:18" x14ac:dyDescent="0.35">
      <c r="A8" t="str">
        <f>'1_1_Definition_Flows'!C8</f>
        <v>F_01_02</v>
      </c>
      <c r="B8" s="127" cm="1">
        <f t="array" aca="1" ref="B8" ca="1">Solution_material!B8*INDIRECT("Tab_Def_Flows[@WC]")</f>
        <v>43.314047999999993</v>
      </c>
      <c r="C8" s="127" cm="1">
        <f t="array" aca="1" ref="C8" ca="1">Solution_material!C8*INDIRECT("Tab_Def_Flows[@WC]")</f>
        <v>44.180328960000004</v>
      </c>
      <c r="D8" s="127" cm="1">
        <f t="array" aca="1" ref="D8" ca="1">Solution_material!D8*INDIRECT("Tab_Def_Flows[@WC]")</f>
        <v>45.063935539200003</v>
      </c>
      <c r="E8" s="127" cm="1">
        <f t="array" aca="1" ref="E8" ca="1">Solution_material!E8*INDIRECT("Tab_Def_Flows[@WC]")</f>
        <v>45.965214249984001</v>
      </c>
      <c r="F8" s="127" cm="1">
        <f t="array" aca="1" ref="F8" ca="1">Solution_material!F8*INDIRECT("Tab_Def_Flows[@WC]")</f>
        <v>46.884518534983684</v>
      </c>
      <c r="G8" s="127" cm="1">
        <f t="array" aca="1" ref="G8" ca="1">Solution_material!G8*INDIRECT("Tab_Def_Flows[@WC]")</f>
        <v>47.822208905683354</v>
      </c>
      <c r="H8" s="127" cm="1">
        <f t="array" aca="1" ref="H8" ca="1">Solution_material!H8*INDIRECT("Tab_Def_Flows[@WC]")</f>
        <v>48.778653083797025</v>
      </c>
      <c r="I8" s="127" cm="1">
        <f t="array" aca="1" ref="I8" ca="1">Solution_material!I8*INDIRECT("Tab_Def_Flows[@WC]")</f>
        <v>49.75422614547297</v>
      </c>
      <c r="J8" s="127" cm="1">
        <f t="array" aca="1" ref="J8" ca="1">Solution_material!J8*INDIRECT("Tab_Def_Flows[@WC]")</f>
        <v>50.749310668382421</v>
      </c>
      <c r="K8" s="127" cm="1">
        <f t="array" aca="1" ref="K8" ca="1">Solution_material!K8*INDIRECT("Tab_Def_Flows[@WC]")</f>
        <v>51.764296881750077</v>
      </c>
      <c r="L8" s="127" cm="1">
        <f t="array" aca="1" ref="L8" ca="1">Solution_material!L8*INDIRECT("Tab_Def_Flows[@WC]")</f>
        <v>52.79958281938508</v>
      </c>
      <c r="M8" s="127" cm="1">
        <f t="array" aca="1" ref="M8" ca="1">Solution_material!M8*INDIRECT("Tab_Def_Flows[@WC]")</f>
        <v>53.855574475772784</v>
      </c>
      <c r="N8" s="127" cm="1">
        <f t="array" aca="1" ref="N8" ca="1">Solution_material!N8*INDIRECT("Tab_Def_Flows[@WC]")</f>
        <v>54.932685965288236</v>
      </c>
      <c r="O8" s="127" cm="1">
        <f t="array" aca="1" ref="O8" ca="1">Solution_material!O8*INDIRECT("Tab_Def_Flows[@WC]")</f>
        <v>56.031339684594002</v>
      </c>
      <c r="P8" s="127" cm="1">
        <f t="array" aca="1" ref="P8" ca="1">Solution_material!P8*INDIRECT("Tab_Def_Flows[@WC]")</f>
        <v>57.151966478285878</v>
      </c>
      <c r="R8" s="126">
        <f t="shared" ca="1" si="0"/>
        <v>749.04789039257935</v>
      </c>
    </row>
    <row r="9" spans="1:18" x14ac:dyDescent="0.35">
      <c r="A9" t="str">
        <f>'1_1_Definition_Flows'!C9</f>
        <v>F_02_03</v>
      </c>
      <c r="B9" s="127" cm="1">
        <f t="array" aca="1" ref="B9" ca="1">Solution_material!B9*INDIRECT("Tab_Def_Flows[@WC]")</f>
        <v>33.072806759999999</v>
      </c>
      <c r="C9" s="127" cm="1">
        <f t="array" aca="1" ref="C9" ca="1">Solution_material!C9*INDIRECT("Tab_Def_Flows[@WC]")</f>
        <v>33.734262895200004</v>
      </c>
      <c r="D9" s="127" cm="1">
        <f t="array" aca="1" ref="D9" ca="1">Solution_material!D9*INDIRECT("Tab_Def_Flows[@WC]")</f>
        <v>34.408948153104006</v>
      </c>
      <c r="E9" s="127" cm="1">
        <f t="array" aca="1" ref="E9" ca="1">Solution_material!E9*INDIRECT("Tab_Def_Flows[@WC]")</f>
        <v>35.097127116166085</v>
      </c>
      <c r="F9" s="127" cm="1">
        <f t="array" aca="1" ref="F9" ca="1">Solution_material!F9*INDIRECT("Tab_Def_Flows[@WC]")</f>
        <v>35.799069658489401</v>
      </c>
      <c r="G9" s="127" cm="1">
        <f t="array" aca="1" ref="G9" ca="1">Solution_material!G9*INDIRECT("Tab_Def_Flows[@WC]")</f>
        <v>36.515051051659199</v>
      </c>
      <c r="H9" s="127" cm="1">
        <f t="array" aca="1" ref="H9" ca="1">Solution_material!H9*INDIRECT("Tab_Def_Flows[@WC]")</f>
        <v>37.245352072692384</v>
      </c>
      <c r="I9" s="127" cm="1">
        <f t="array" aca="1" ref="I9" ca="1">Solution_material!I9*INDIRECT("Tab_Def_Flows[@WC]")</f>
        <v>37.990259114146227</v>
      </c>
      <c r="J9" s="127" cm="1">
        <f t="array" aca="1" ref="J9" ca="1">Solution_material!J9*INDIRECT("Tab_Def_Flows[@WC]")</f>
        <v>38.750064296429152</v>
      </c>
      <c r="K9" s="127" cm="1">
        <f t="array" aca="1" ref="K9" ca="1">Solution_material!K9*INDIRECT("Tab_Def_Flows[@WC]")</f>
        <v>39.52506558235774</v>
      </c>
      <c r="L9" s="127" cm="1">
        <f t="array" aca="1" ref="L9" ca="1">Solution_material!L9*INDIRECT("Tab_Def_Flows[@WC]")</f>
        <v>40.315566894004888</v>
      </c>
      <c r="M9" s="127" cm="1">
        <f t="array" aca="1" ref="M9" ca="1">Solution_material!M9*INDIRECT("Tab_Def_Flows[@WC]")</f>
        <v>41.121878231884992</v>
      </c>
      <c r="N9" s="127" cm="1">
        <f t="array" aca="1" ref="N9" ca="1">Solution_material!N9*INDIRECT("Tab_Def_Flows[@WC]")</f>
        <v>41.944315796522694</v>
      </c>
      <c r="O9" s="127" cm="1">
        <f t="array" aca="1" ref="O9" ca="1">Solution_material!O9*INDIRECT("Tab_Def_Flows[@WC]")</f>
        <v>42.783202112453139</v>
      </c>
      <c r="P9" s="127" cm="1">
        <f t="array" aca="1" ref="P9" ca="1">Solution_material!P9*INDIRECT("Tab_Def_Flows[@WC]")</f>
        <v>43.638866154702214</v>
      </c>
      <c r="R9" s="126">
        <f t="shared" ca="1" si="0"/>
        <v>571.94183588981218</v>
      </c>
    </row>
    <row r="10" spans="1:18" x14ac:dyDescent="0.35">
      <c r="A10" t="str">
        <f>'1_1_Definition_Flows'!C10</f>
        <v>F_03_07</v>
      </c>
      <c r="B10" s="127" cm="1">
        <f t="array" aca="1" ref="B10" ca="1">Solution_material!B10*INDIRECT("Tab_Def_Flows[@WC]")</f>
        <v>9.480372044841089E-6</v>
      </c>
      <c r="C10" s="127" cm="1">
        <f t="array" aca="1" ref="C10" ca="1">Solution_material!C10*INDIRECT("Tab_Def_Flows[@WC]")</f>
        <v>9.9220741830969779</v>
      </c>
      <c r="D10" s="127" cm="1">
        <f t="array" aca="1" ref="D10" ca="1">Solution_material!D10*INDIRECT("Tab_Def_Flows[@WC]")</f>
        <v>20.051258515767508</v>
      </c>
      <c r="E10" s="127" cm="1">
        <f t="array" aca="1" ref="E10" ca="1">Solution_material!E10*INDIRECT("Tab_Def_Flows[@WC]")</f>
        <v>20.595171782437603</v>
      </c>
      <c r="F10" s="127" cm="1">
        <f t="array" aca="1" ref="F10" ca="1">Solution_material!F10*INDIRECT("Tab_Def_Flows[@WC]")</f>
        <v>21.913418229529405</v>
      </c>
      <c r="G10" s="127" cm="1">
        <f t="array" aca="1" ref="G10" ca="1">Solution_material!G10*INDIRECT("Tab_Def_Flows[@WC]")</f>
        <v>24.641677588096801</v>
      </c>
      <c r="H10" s="127" cm="1">
        <f t="array" aca="1" ref="H10" ca="1">Solution_material!H10*INDIRECT("Tab_Def_Flows[@WC]")</f>
        <v>27.50176483617658</v>
      </c>
      <c r="I10" s="127" cm="1">
        <f t="array" aca="1" ref="I10" ca="1">Solution_material!I10*INDIRECT("Tab_Def_Flows[@WC]")</f>
        <v>29.242171088320486</v>
      </c>
      <c r="J10" s="127" cm="1">
        <f t="array" aca="1" ref="J10" ca="1">Solution_material!J10*INDIRECT("Tab_Def_Flows[@WC]")</f>
        <v>30.576102249673557</v>
      </c>
      <c r="K10" s="127" cm="1">
        <f t="array" aca="1" ref="K10" ca="1">Solution_material!K10*INDIRECT("Tab_Def_Flows[@WC]")</f>
        <v>32.187749354995361</v>
      </c>
      <c r="L10" s="127" cm="1">
        <f t="array" aca="1" ref="L10" ca="1">Solution_material!L10*INDIRECT("Tab_Def_Flows[@WC]")</f>
        <v>34.098152134094924</v>
      </c>
      <c r="M10" s="127" cm="1">
        <f t="array" aca="1" ref="M10" ca="1">Solution_material!M10*INDIRECT("Tab_Def_Flows[@WC]")</f>
        <v>36.046557263027275</v>
      </c>
      <c r="N10" s="127" cm="1">
        <f t="array" aca="1" ref="N10" ca="1">Solution_material!N10*INDIRECT("Tab_Def_Flows[@WC]")</f>
        <v>37.758893983156533</v>
      </c>
      <c r="O10" s="127" cm="1">
        <f t="array" aca="1" ref="O10" ca="1">Solution_material!O10*INDIRECT("Tab_Def_Flows[@WC]")</f>
        <v>39.121606442226621</v>
      </c>
      <c r="P10" s="127" cm="1">
        <f t="array" aca="1" ref="P10" ca="1">Solution_material!P10*INDIRECT("Tab_Def_Flows[@WC]")</f>
        <v>40.195456759082141</v>
      </c>
      <c r="R10" s="126">
        <f t="shared" ca="1" si="0"/>
        <v>403.85206389005384</v>
      </c>
    </row>
    <row r="11" spans="1:18" x14ac:dyDescent="0.35">
      <c r="A11" t="str">
        <f>'1_1_Definition_Flows'!C11</f>
        <v>F_02_06</v>
      </c>
      <c r="B11" s="127" cm="1">
        <f t="array" aca="1" ref="B11" ca="1">Solution_material!B11*INDIRECT("Tab_Def_Flows[@WC]")</f>
        <v>8.2182643199999994</v>
      </c>
      <c r="C11" s="127" cm="1">
        <f t="array" aca="1" ref="C11" ca="1">Solution_material!C11*INDIRECT("Tab_Def_Flows[@WC]")</f>
        <v>8.3826296064000001</v>
      </c>
      <c r="D11" s="127" cm="1">
        <f t="array" aca="1" ref="D11" ca="1">Solution_material!D11*INDIRECT("Tab_Def_Flows[@WC]")</f>
        <v>8.5502821985280004</v>
      </c>
      <c r="E11" s="127" cm="1">
        <f t="array" aca="1" ref="E11" ca="1">Solution_material!E11*INDIRECT("Tab_Def_Flows[@WC]")</f>
        <v>8.7212878424985618</v>
      </c>
      <c r="F11" s="127" cm="1">
        <f t="array" aca="1" ref="F11" ca="1">Solution_material!F11*INDIRECT("Tab_Def_Flows[@WC]")</f>
        <v>8.8957135993485323</v>
      </c>
      <c r="G11" s="127" cm="1">
        <f t="array" aca="1" ref="G11" ca="1">Solution_material!G11*INDIRECT("Tab_Def_Flows[@WC]")</f>
        <v>9.0736278713355034</v>
      </c>
      <c r="H11" s="127" cm="1">
        <f t="array" aca="1" ref="H11" ca="1">Solution_material!H11*INDIRECT("Tab_Def_Flows[@WC]")</f>
        <v>9.2551004287622138</v>
      </c>
      <c r="I11" s="127" cm="1">
        <f t="array" aca="1" ref="I11" ca="1">Solution_material!I11*INDIRECT("Tab_Def_Flows[@WC]")</f>
        <v>9.440202437337458</v>
      </c>
      <c r="J11" s="127" cm="1">
        <f t="array" aca="1" ref="J11" ca="1">Solution_material!J11*INDIRECT("Tab_Def_Flows[@WC]")</f>
        <v>9.6290064860842079</v>
      </c>
      <c r="K11" s="127" cm="1">
        <f t="array" aca="1" ref="K11" ca="1">Solution_material!K11*INDIRECT("Tab_Def_Flows[@WC]")</f>
        <v>9.8215866158058915</v>
      </c>
      <c r="L11" s="127" cm="1">
        <f t="array" aca="1" ref="L11" ca="1">Solution_material!L11*INDIRECT("Tab_Def_Flows[@WC]")</f>
        <v>10.018018348122009</v>
      </c>
      <c r="M11" s="127" cm="1">
        <f t="array" aca="1" ref="M11" ca="1">Solution_material!M11*INDIRECT("Tab_Def_Flows[@WC]")</f>
        <v>10.21837871508445</v>
      </c>
      <c r="N11" s="127" cm="1">
        <f t="array" aca="1" ref="N11" ca="1">Solution_material!N11*INDIRECT("Tab_Def_Flows[@WC]")</f>
        <v>10.422746289386138</v>
      </c>
      <c r="O11" s="127" cm="1">
        <f t="array" aca="1" ref="O11" ca="1">Solution_material!O11*INDIRECT("Tab_Def_Flows[@WC]")</f>
        <v>10.631201215173862</v>
      </c>
      <c r="P11" s="127" cm="1">
        <f t="array" aca="1" ref="P11" ca="1">Solution_material!P11*INDIRECT("Tab_Def_Flows[@WC]")</f>
        <v>10.84382523947734</v>
      </c>
      <c r="R11" s="126">
        <f t="shared" ca="1" si="0"/>
        <v>142.12187121334421</v>
      </c>
    </row>
    <row r="12" spans="1:18" x14ac:dyDescent="0.35">
      <c r="A12" t="str">
        <f>'1_1_Definition_Flows'!C12</f>
        <v>F_11_02</v>
      </c>
      <c r="B12" s="127" cm="1">
        <f t="array" aca="1" ref="B12" ca="1">Solution_material!B12*INDIRECT("Tab_Def_Flows[@WC]")</f>
        <v>0.66</v>
      </c>
      <c r="C12" s="127" cm="1">
        <f t="array" aca="1" ref="C12" ca="1">Solution_material!C12*INDIRECT("Tab_Def_Flows[@WC]")</f>
        <v>0.67320000000000002</v>
      </c>
      <c r="D12" s="127" cm="1">
        <f t="array" aca="1" ref="D12" ca="1">Solution_material!D12*INDIRECT("Tab_Def_Flows[@WC]")</f>
        <v>0.68666400000000005</v>
      </c>
      <c r="E12" s="127" cm="1">
        <f t="array" aca="1" ref="E12" ca="1">Solution_material!E12*INDIRECT("Tab_Def_Flows[@WC]")</f>
        <v>0.70039728000000001</v>
      </c>
      <c r="F12" s="127" cm="1">
        <f t="array" aca="1" ref="F12" ca="1">Solution_material!F12*INDIRECT("Tab_Def_Flows[@WC]")</f>
        <v>0.71440522559999997</v>
      </c>
      <c r="G12" s="127" cm="1">
        <f t="array" aca="1" ref="G12" ca="1">Solution_material!G12*INDIRECT("Tab_Def_Flows[@WC]")</f>
        <v>0.72869333011199999</v>
      </c>
      <c r="H12" s="127" cm="1">
        <f t="array" aca="1" ref="H12" ca="1">Solution_material!H12*INDIRECT("Tab_Def_Flows[@WC]")</f>
        <v>0.74326719671424013</v>
      </c>
      <c r="I12" s="127" cm="1">
        <f t="array" aca="1" ref="I12" ca="1">Solution_material!I12*INDIRECT("Tab_Def_Flows[@WC]")</f>
        <v>0.75813254064852487</v>
      </c>
      <c r="J12" s="127" cm="1">
        <f t="array" aca="1" ref="J12" ca="1">Solution_material!J12*INDIRECT("Tab_Def_Flows[@WC]")</f>
        <v>0.77329519146149539</v>
      </c>
      <c r="K12" s="127" cm="1">
        <f t="array" aca="1" ref="K12" ca="1">Solution_material!K12*INDIRECT("Tab_Def_Flows[@WC]")</f>
        <v>0.78876109529072536</v>
      </c>
      <c r="L12" s="127" cm="1">
        <f t="array" aca="1" ref="L12" ca="1">Solution_material!L12*INDIRECT("Tab_Def_Flows[@WC]")</f>
        <v>0.80453631719653984</v>
      </c>
      <c r="M12" s="127" cm="1">
        <f t="array" aca="1" ref="M12" ca="1">Solution_material!M12*INDIRECT("Tab_Def_Flows[@WC]")</f>
        <v>0.82062704354047067</v>
      </c>
      <c r="N12" s="127" cm="1">
        <f t="array" aca="1" ref="N12" ca="1">Solution_material!N12*INDIRECT("Tab_Def_Flows[@WC]")</f>
        <v>0.83703958441128001</v>
      </c>
      <c r="O12" s="127" cm="1">
        <f t="array" aca="1" ref="O12" ca="1">Solution_material!O12*INDIRECT("Tab_Def_Flows[@WC]")</f>
        <v>0.85378037609950563</v>
      </c>
      <c r="P12" s="127" cm="1">
        <f t="array" aca="1" ref="P12" ca="1">Solution_material!P12*INDIRECT("Tab_Def_Flows[@WC]")</f>
        <v>0.87085598362149585</v>
      </c>
      <c r="R12" s="126">
        <f t="shared" ca="1" si="0"/>
        <v>11.413655164696277</v>
      </c>
    </row>
    <row r="13" spans="1:18" x14ac:dyDescent="0.35">
      <c r="A13" t="str">
        <f>'1_1_Definition_Flows'!C13</f>
        <v>F_08_02</v>
      </c>
      <c r="B13" s="127" cm="1">
        <f t="array" aca="1" ref="B13" ca="1">Solution_material!B13*INDIRECT("Tab_Def_Flows[@WC]")</f>
        <v>74</v>
      </c>
      <c r="C13" s="127" cm="1">
        <f t="array" aca="1" ref="C13" ca="1">Solution_material!C13*INDIRECT("Tab_Def_Flows[@WC]")</f>
        <v>75.48</v>
      </c>
      <c r="D13" s="127" cm="1">
        <f t="array" aca="1" ref="D13" ca="1">Solution_material!D13*INDIRECT("Tab_Def_Flows[@WC]")</f>
        <v>76.98960000000001</v>
      </c>
      <c r="E13" s="127" cm="1">
        <f t="array" aca="1" ref="E13" ca="1">Solution_material!E13*INDIRECT("Tab_Def_Flows[@WC]")</f>
        <v>78.529392000000016</v>
      </c>
      <c r="F13" s="127" cm="1">
        <f t="array" aca="1" ref="F13" ca="1">Solution_material!F13*INDIRECT("Tab_Def_Flows[@WC]")</f>
        <v>80.099979840000017</v>
      </c>
      <c r="G13" s="127" cm="1">
        <f t="array" aca="1" ref="G13" ca="1">Solution_material!G13*INDIRECT("Tab_Def_Flows[@WC]")</f>
        <v>81.701979436800016</v>
      </c>
      <c r="H13" s="127" cm="1">
        <f t="array" aca="1" ref="H13" ca="1">Solution_material!H13*INDIRECT("Tab_Def_Flows[@WC]")</f>
        <v>83.336019025536018</v>
      </c>
      <c r="I13" s="127" cm="1">
        <f t="array" aca="1" ref="I13" ca="1">Solution_material!I13*INDIRECT("Tab_Def_Flows[@WC]")</f>
        <v>85.002739406046743</v>
      </c>
      <c r="J13" s="127" cm="1">
        <f t="array" aca="1" ref="J13" ca="1">Solution_material!J13*INDIRECT("Tab_Def_Flows[@WC]")</f>
        <v>86.70279419416768</v>
      </c>
      <c r="K13" s="127" cm="1">
        <f t="array" aca="1" ref="K13" ca="1">Solution_material!K13*INDIRECT("Tab_Def_Flows[@WC]")</f>
        <v>88.436850078051037</v>
      </c>
      <c r="L13" s="127" cm="1">
        <f t="array" aca="1" ref="L13" ca="1">Solution_material!L13*INDIRECT("Tab_Def_Flows[@WC]")</f>
        <v>90.205587079612059</v>
      </c>
      <c r="M13" s="127" cm="1">
        <f t="array" aca="1" ref="M13" ca="1">Solution_material!M13*INDIRECT("Tab_Def_Flows[@WC]")</f>
        <v>92.009698821204296</v>
      </c>
      <c r="N13" s="127" cm="1">
        <f t="array" aca="1" ref="N13" ca="1">Solution_material!N13*INDIRECT("Tab_Def_Flows[@WC]")</f>
        <v>93.849892797628385</v>
      </c>
      <c r="O13" s="127" cm="1">
        <f t="array" aca="1" ref="O13" ca="1">Solution_material!O13*INDIRECT("Tab_Def_Flows[@WC]")</f>
        <v>95.726890653580952</v>
      </c>
      <c r="P13" s="127" cm="1">
        <f t="array" aca="1" ref="P13" ca="1">Solution_material!P13*INDIRECT("Tab_Def_Flows[@WC]")</f>
        <v>97.64142846665257</v>
      </c>
      <c r="R13" s="126">
        <f t="shared" ca="1" si="0"/>
        <v>1279.7128517992799</v>
      </c>
    </row>
    <row r="14" spans="1:18" x14ac:dyDescent="0.35">
      <c r="A14" t="str">
        <f>'1_1_Definition_Flows'!C14</f>
        <v>F_02_14</v>
      </c>
      <c r="B14" s="127" cm="1">
        <f t="array" aca="1" ref="B14" ca="1">Solution_material!B14*INDIRECT("Tab_Def_Flows[@WC]")</f>
        <v>67.058753999999993</v>
      </c>
      <c r="C14" s="127" cm="1">
        <f t="array" aca="1" ref="C14" ca="1">Solution_material!C14*INDIRECT("Tab_Def_Flows[@WC]")</f>
        <v>68.399929080000007</v>
      </c>
      <c r="D14" s="127" cm="1">
        <f t="array" aca="1" ref="D14" ca="1">Solution_material!D14*INDIRECT("Tab_Def_Flows[@WC]")</f>
        <v>69.767927661599998</v>
      </c>
      <c r="E14" s="127" cm="1">
        <f t="array" aca="1" ref="E14" ca="1">Solution_material!E14*INDIRECT("Tab_Def_Flows[@WC]")</f>
        <v>71.163286214832013</v>
      </c>
      <c r="F14" s="127" cm="1">
        <f t="array" aca="1" ref="F14" ca="1">Solution_material!F14*INDIRECT("Tab_Def_Flows[@WC]")</f>
        <v>72.58655193912864</v>
      </c>
      <c r="G14" s="127" cm="1">
        <f t="array" aca="1" ref="G14" ca="1">Solution_material!G14*INDIRECT("Tab_Def_Flows[@WC]")</f>
        <v>74.038282977911223</v>
      </c>
      <c r="H14" s="127" cm="1">
        <f t="array" aca="1" ref="H14" ca="1">Solution_material!H14*INDIRECT("Tab_Def_Flows[@WC]")</f>
        <v>75.519048637469453</v>
      </c>
      <c r="I14" s="127" cm="1">
        <f t="array" aca="1" ref="I14" ca="1">Solution_material!I14*INDIRECT("Tab_Def_Flows[@WC]")</f>
        <v>77.029429610218841</v>
      </c>
      <c r="J14" s="127" cm="1">
        <f t="array" aca="1" ref="J14" ca="1">Solution_material!J14*INDIRECT("Tab_Def_Flows[@WC]")</f>
        <v>78.570018202423213</v>
      </c>
      <c r="K14" s="127" cm="1">
        <f t="array" aca="1" ref="K14" ca="1">Solution_material!K14*INDIRECT("Tab_Def_Flows[@WC]")</f>
        <v>80.141418566471685</v>
      </c>
      <c r="L14" s="127" cm="1">
        <f t="array" aca="1" ref="L14" ca="1">Solution_material!L14*INDIRECT("Tab_Def_Flows[@WC]")</f>
        <v>81.744246937801108</v>
      </c>
      <c r="M14" s="127" cm="1">
        <f t="array" aca="1" ref="M14" ca="1">Solution_material!M14*INDIRECT("Tab_Def_Flows[@WC]")</f>
        <v>83.379131876557139</v>
      </c>
      <c r="N14" s="127" cm="1">
        <f t="array" aca="1" ref="N14" ca="1">Solution_material!N14*INDIRECT("Tab_Def_Flows[@WC]")</f>
        <v>85.046714514088279</v>
      </c>
      <c r="O14" s="127" cm="1">
        <f t="array" aca="1" ref="O14" ca="1">Solution_material!O14*INDIRECT("Tab_Def_Flows[@WC]")</f>
        <v>86.747648804370044</v>
      </c>
      <c r="P14" s="127" cm="1">
        <f t="array" aca="1" ref="P14" ca="1">Solution_material!P14*INDIRECT("Tab_Def_Flows[@WC]")</f>
        <v>88.482601780457458</v>
      </c>
      <c r="R14" s="126">
        <f t="shared" ca="1" si="0"/>
        <v>1159.6749908033289</v>
      </c>
    </row>
    <row r="15" spans="1:18" x14ac:dyDescent="0.35">
      <c r="A15" t="str">
        <f>'1_1_Definition_Flows'!C15</f>
        <v>F_02_12</v>
      </c>
      <c r="B15" s="127" cm="1">
        <f t="array" aca="1" ref="B15" ca="1">Solution_material!B15*INDIRECT("Tab_Def_Flows[@WC]")</f>
        <v>8.5606919999999995</v>
      </c>
      <c r="C15" s="127" cm="1">
        <f t="array" aca="1" ref="C15" ca="1">Solution_material!C15*INDIRECT("Tab_Def_Flows[@WC]")</f>
        <v>8.7319058399999996</v>
      </c>
      <c r="D15" s="127" cm="1">
        <f t="array" aca="1" ref="D15" ca="1">Solution_material!D15*INDIRECT("Tab_Def_Flows[@WC]")</f>
        <v>8.9065439568000002</v>
      </c>
      <c r="E15" s="127" cm="1">
        <f t="array" aca="1" ref="E15" ca="1">Solution_material!E15*INDIRECT("Tab_Def_Flows[@WC]")</f>
        <v>9.084674835936001</v>
      </c>
      <c r="F15" s="127" cm="1">
        <f t="array" aca="1" ref="F15" ca="1">Solution_material!F15*INDIRECT("Tab_Def_Flows[@WC]")</f>
        <v>9.2663683326547197</v>
      </c>
      <c r="G15" s="127" cm="1">
        <f t="array" aca="1" ref="G15" ca="1">Solution_material!G15*INDIRECT("Tab_Def_Flows[@WC]")</f>
        <v>9.4516956993078161</v>
      </c>
      <c r="H15" s="127" cm="1">
        <f t="array" aca="1" ref="H15" ca="1">Solution_material!H15*INDIRECT("Tab_Def_Flows[@WC]")</f>
        <v>9.6407296132939724</v>
      </c>
      <c r="I15" s="127" cm="1">
        <f t="array" aca="1" ref="I15" ca="1">Solution_material!I15*INDIRECT("Tab_Def_Flows[@WC]")</f>
        <v>9.8335442055598516</v>
      </c>
      <c r="J15" s="127" cm="1">
        <f t="array" aca="1" ref="J15" ca="1">Solution_material!J15*INDIRECT("Tab_Def_Flows[@WC]")</f>
        <v>10.030215089671049</v>
      </c>
      <c r="K15" s="127" cm="1">
        <f t="array" aca="1" ref="K15" ca="1">Solution_material!K15*INDIRECT("Tab_Def_Flows[@WC]")</f>
        <v>10.23081939146447</v>
      </c>
      <c r="L15" s="127" cm="1">
        <f t="array" aca="1" ref="L15" ca="1">Solution_material!L15*INDIRECT("Tab_Def_Flows[@WC]")</f>
        <v>10.43543577929376</v>
      </c>
      <c r="M15" s="127" cm="1">
        <f t="array" aca="1" ref="M15" ca="1">Solution_material!M15*INDIRECT("Tab_Def_Flows[@WC]")</f>
        <v>10.644144494879635</v>
      </c>
      <c r="N15" s="127" cm="1">
        <f t="array" aca="1" ref="N15" ca="1">Solution_material!N15*INDIRECT("Tab_Def_Flows[@WC]")</f>
        <v>10.857027384777227</v>
      </c>
      <c r="O15" s="127" cm="1">
        <f t="array" aca="1" ref="O15" ca="1">Solution_material!O15*INDIRECT("Tab_Def_Flows[@WC]")</f>
        <v>11.074167932472772</v>
      </c>
      <c r="P15" s="127" cm="1">
        <f t="array" aca="1" ref="P15" ca="1">Solution_material!P15*INDIRECT("Tab_Def_Flows[@WC]")</f>
        <v>11.295651291122228</v>
      </c>
      <c r="R15" s="126">
        <f t="shared" ca="1" si="0"/>
        <v>148.04361584723347</v>
      </c>
    </row>
    <row r="16" spans="1:18" x14ac:dyDescent="0.35">
      <c r="A16" t="str">
        <f>'1_1_Definition_Flows'!C16</f>
        <v>F_07_09</v>
      </c>
      <c r="B16" s="127" cm="1">
        <f t="array" aca="1" ref="B16" ca="1">Solution_material!B16*INDIRECT("Tab_Def_Flows[@WC]")</f>
        <v>1.896074408968218E-6</v>
      </c>
      <c r="C16" s="127" cm="1">
        <f t="array" aca="1" ref="C16" ca="1">Solution_material!C16*INDIRECT("Tab_Def_Flows[@WC]")</f>
        <v>1.9844148366193954</v>
      </c>
      <c r="D16" s="127" cm="1">
        <f t="array" aca="1" ref="D16" ca="1">Solution_material!D16*INDIRECT("Tab_Def_Flows[@WC]")</f>
        <v>4.0102517031535019</v>
      </c>
      <c r="E16" s="127" cm="1">
        <f t="array" aca="1" ref="E16" ca="1">Solution_material!E16*INDIRECT("Tab_Def_Flows[@WC]")</f>
        <v>4.1190343564875205</v>
      </c>
      <c r="F16" s="127" cm="1">
        <f t="array" aca="1" ref="F16" ca="1">Solution_material!F16*INDIRECT("Tab_Def_Flows[@WC]")</f>
        <v>4.3826836459058809</v>
      </c>
      <c r="G16" s="127" cm="1">
        <f t="array" aca="1" ref="G16" ca="1">Solution_material!G16*INDIRECT("Tab_Def_Flows[@WC]")</f>
        <v>4.9283355176193604</v>
      </c>
      <c r="H16" s="127" cm="1">
        <f t="array" aca="1" ref="H16" ca="1">Solution_material!H16*INDIRECT("Tab_Def_Flows[@WC]")</f>
        <v>5.5003529672353162</v>
      </c>
      <c r="I16" s="127" cm="1">
        <f t="array" aca="1" ref="I16" ca="1">Solution_material!I16*INDIRECT("Tab_Def_Flows[@WC]")</f>
        <v>5.8484342176640975</v>
      </c>
      <c r="J16" s="127" cm="1">
        <f t="array" aca="1" ref="J16" ca="1">Solution_material!J16*INDIRECT("Tab_Def_Flows[@WC]")</f>
        <v>6.1152204499347125</v>
      </c>
      <c r="K16" s="127" cm="1">
        <f t="array" aca="1" ref="K16" ca="1">Solution_material!K16*INDIRECT("Tab_Def_Flows[@WC]")</f>
        <v>6.4375498709990726</v>
      </c>
      <c r="L16" s="127" cm="1">
        <f t="array" aca="1" ref="L16" ca="1">Solution_material!L16*INDIRECT("Tab_Def_Flows[@WC]")</f>
        <v>6.8196304268189847</v>
      </c>
      <c r="M16" s="127" cm="1">
        <f t="array" aca="1" ref="M16" ca="1">Solution_material!M16*INDIRECT("Tab_Def_Flows[@WC]")</f>
        <v>7.2093114526054549</v>
      </c>
      <c r="N16" s="127" cm="1">
        <f t="array" aca="1" ref="N16" ca="1">Solution_material!N16*INDIRECT("Tab_Def_Flows[@WC]")</f>
        <v>7.5517787966313072</v>
      </c>
      <c r="O16" s="127" cm="1">
        <f t="array" aca="1" ref="O16" ca="1">Solution_material!O16*INDIRECT("Tab_Def_Flows[@WC]")</f>
        <v>7.8243212884453248</v>
      </c>
      <c r="P16" s="127" cm="1">
        <f t="array" aca="1" ref="P16" ca="1">Solution_material!P16*INDIRECT("Tab_Def_Flows[@WC]")</f>
        <v>8.0390913518164293</v>
      </c>
      <c r="R16" s="126">
        <f t="shared" ca="1" si="0"/>
        <v>80.770412778010751</v>
      </c>
    </row>
    <row r="17" spans="1:18" x14ac:dyDescent="0.35">
      <c r="A17" t="str">
        <f>'1_1_Definition_Flows'!C17</f>
        <v>F_07_10</v>
      </c>
      <c r="B17" s="127" cm="1">
        <f t="array" aca="1" ref="B17" ca="1">Solution_material!B17*INDIRECT("Tab_Def_Flows[@WC]")</f>
        <v>7.5842976358728721E-6</v>
      </c>
      <c r="C17" s="127" cm="1">
        <f t="array" aca="1" ref="C17" ca="1">Solution_material!C17*INDIRECT("Tab_Def_Flows[@WC]")</f>
        <v>7.9376593464775818</v>
      </c>
      <c r="D17" s="127" cm="1">
        <f t="array" aca="1" ref="D17" ca="1">Solution_material!D17*INDIRECT("Tab_Def_Flows[@WC]")</f>
        <v>16.041006812614008</v>
      </c>
      <c r="E17" s="127" cm="1">
        <f t="array" aca="1" ref="E17" ca="1">Solution_material!E17*INDIRECT("Tab_Def_Flows[@WC]")</f>
        <v>16.476137425950082</v>
      </c>
      <c r="F17" s="127" cm="1">
        <f t="array" aca="1" ref="F17" ca="1">Solution_material!F17*INDIRECT("Tab_Def_Flows[@WC]")</f>
        <v>17.530734583623524</v>
      </c>
      <c r="G17" s="127" cm="1">
        <f t="array" aca="1" ref="G17" ca="1">Solution_material!G17*INDIRECT("Tab_Def_Flows[@WC]")</f>
        <v>19.713342070477442</v>
      </c>
      <c r="H17" s="127" cm="1">
        <f t="array" aca="1" ref="H17" ca="1">Solution_material!H17*INDIRECT("Tab_Def_Flows[@WC]")</f>
        <v>22.001411868941265</v>
      </c>
      <c r="I17" s="127" cm="1">
        <f t="array" aca="1" ref="I17" ca="1">Solution_material!I17*INDIRECT("Tab_Def_Flows[@WC]")</f>
        <v>23.39373687065639</v>
      </c>
      <c r="J17" s="127" cm="1">
        <f t="array" aca="1" ref="J17" ca="1">Solution_material!J17*INDIRECT("Tab_Def_Flows[@WC]")</f>
        <v>24.46088179973885</v>
      </c>
      <c r="K17" s="127" cm="1">
        <f t="array" aca="1" ref="K17" ca="1">Solution_material!K17*INDIRECT("Tab_Def_Flows[@WC]")</f>
        <v>25.75019948399629</v>
      </c>
      <c r="L17" s="127" cm="1">
        <f t="array" aca="1" ref="L17" ca="1">Solution_material!L17*INDIRECT("Tab_Def_Flows[@WC]")</f>
        <v>27.278521707275939</v>
      </c>
      <c r="M17" s="127" cm="1">
        <f t="array" aca="1" ref="M17" ca="1">Solution_material!M17*INDIRECT("Tab_Def_Flows[@WC]")</f>
        <v>28.83724581042182</v>
      </c>
      <c r="N17" s="127" cm="1">
        <f t="array" aca="1" ref="N17" ca="1">Solution_material!N17*INDIRECT("Tab_Def_Flows[@WC]")</f>
        <v>30.207115186525229</v>
      </c>
      <c r="O17" s="127" cm="1">
        <f t="array" aca="1" ref="O17" ca="1">Solution_material!O17*INDIRECT("Tab_Def_Flows[@WC]")</f>
        <v>31.297285153781299</v>
      </c>
      <c r="P17" s="127" cm="1">
        <f t="array" aca="1" ref="P17" ca="1">Solution_material!P17*INDIRECT("Tab_Def_Flows[@WC]")</f>
        <v>32.156365407265717</v>
      </c>
      <c r="R17" s="126">
        <f t="shared" ca="1" si="0"/>
        <v>323.08165111204301</v>
      </c>
    </row>
    <row r="18" spans="1:18" x14ac:dyDescent="0.35">
      <c r="A18" t="str">
        <f>'1_1_Definition_Flows'!C18</f>
        <v>F_09_17</v>
      </c>
      <c r="B18" s="127" cm="1">
        <f t="array" aca="1" ref="B18" ca="1">Solution_material!B18*INDIRECT("Tab_Def_Flows[@WC]")</f>
        <v>0</v>
      </c>
      <c r="C18" s="127" cm="1">
        <f t="array" aca="1" ref="C18" ca="1">Solution_material!C18*INDIRECT("Tab_Def_Flows[@WC]")</f>
        <v>0</v>
      </c>
      <c r="D18" s="127" cm="1">
        <f t="array" aca="1" ref="D18" ca="1">Solution_material!D18*INDIRECT("Tab_Def_Flows[@WC]")</f>
        <v>0</v>
      </c>
      <c r="E18" s="127" cm="1">
        <f t="array" aca="1" ref="E18" ca="1">Solution_material!E18*INDIRECT("Tab_Def_Flows[@WC]")</f>
        <v>0</v>
      </c>
      <c r="F18" s="127" cm="1">
        <f t="array" aca="1" ref="F18" ca="1">Solution_material!F18*INDIRECT("Tab_Def_Flows[@WC]")</f>
        <v>0</v>
      </c>
      <c r="G18" s="127" cm="1">
        <f t="array" aca="1" ref="G18" ca="1">Solution_material!G18*INDIRECT("Tab_Def_Flows[@WC]")</f>
        <v>0</v>
      </c>
      <c r="H18" s="127" cm="1">
        <f t="array" aca="1" ref="H18" ca="1">Solution_material!H18*INDIRECT("Tab_Def_Flows[@WC]")</f>
        <v>0</v>
      </c>
      <c r="I18" s="127" cm="1">
        <f t="array" aca="1" ref="I18" ca="1">Solution_material!I18*INDIRECT("Tab_Def_Flows[@WC]")</f>
        <v>0</v>
      </c>
      <c r="J18" s="127" cm="1">
        <f t="array" aca="1" ref="J18" ca="1">Solution_material!J18*INDIRECT("Tab_Def_Flows[@WC]")</f>
        <v>0</v>
      </c>
      <c r="K18" s="127" cm="1">
        <f t="array" aca="1" ref="K18" ca="1">Solution_material!K18*INDIRECT("Tab_Def_Flows[@WC]")</f>
        <v>0</v>
      </c>
      <c r="L18" s="127" cm="1">
        <f t="array" aca="1" ref="L18" ca="1">Solution_material!L18*INDIRECT("Tab_Def_Flows[@WC]")</f>
        <v>0</v>
      </c>
      <c r="M18" s="127" cm="1">
        <f t="array" aca="1" ref="M18" ca="1">Solution_material!M18*INDIRECT("Tab_Def_Flows[@WC]")</f>
        <v>0</v>
      </c>
      <c r="N18" s="127" cm="1">
        <f t="array" aca="1" ref="N18" ca="1">Solution_material!N18*INDIRECT("Tab_Def_Flows[@WC]")</f>
        <v>0</v>
      </c>
      <c r="O18" s="127" cm="1">
        <f t="array" aca="1" ref="O18" ca="1">Solution_material!O18*INDIRECT("Tab_Def_Flows[@WC]")</f>
        <v>0</v>
      </c>
      <c r="P18" s="127" cm="1">
        <f t="array" aca="1" ref="P18" ca="1">Solution_material!P18*INDIRECT("Tab_Def_Flows[@WC]")</f>
        <v>0</v>
      </c>
      <c r="R18" s="126">
        <f t="shared" ca="1" si="0"/>
        <v>0</v>
      </c>
    </row>
    <row r="19" spans="1:18" x14ac:dyDescent="0.35">
      <c r="A19" t="str">
        <f>'1_1_Definition_Flows'!C19</f>
        <v>F_10_18</v>
      </c>
      <c r="B19" s="127" cm="1">
        <f t="array" aca="1" ref="B19" ca="1">Solution_material!B19*INDIRECT("Tab_Def_Flows[@WC]")</f>
        <v>0</v>
      </c>
      <c r="C19" s="127" cm="1">
        <f t="array" aca="1" ref="C19" ca="1">Solution_material!C19*INDIRECT("Tab_Def_Flows[@WC]")</f>
        <v>0</v>
      </c>
      <c r="D19" s="127" cm="1">
        <f t="array" aca="1" ref="D19" ca="1">Solution_material!D19*INDIRECT("Tab_Def_Flows[@WC]")</f>
        <v>0</v>
      </c>
      <c r="E19" s="127" cm="1">
        <f t="array" aca="1" ref="E19" ca="1">Solution_material!E19*INDIRECT("Tab_Def_Flows[@WC]")</f>
        <v>0</v>
      </c>
      <c r="F19" s="127" cm="1">
        <f t="array" aca="1" ref="F19" ca="1">Solution_material!F19*INDIRECT("Tab_Def_Flows[@WC]")</f>
        <v>0</v>
      </c>
      <c r="G19" s="127" cm="1">
        <f t="array" aca="1" ref="G19" ca="1">Solution_material!G19*INDIRECT("Tab_Def_Flows[@WC]")</f>
        <v>0</v>
      </c>
      <c r="H19" s="127" cm="1">
        <f t="array" aca="1" ref="H19" ca="1">Solution_material!H19*INDIRECT("Tab_Def_Flows[@WC]")</f>
        <v>0</v>
      </c>
      <c r="I19" s="127" cm="1">
        <f t="array" aca="1" ref="I19" ca="1">Solution_material!I19*INDIRECT("Tab_Def_Flows[@WC]")</f>
        <v>0</v>
      </c>
      <c r="J19" s="127" cm="1">
        <f t="array" aca="1" ref="J19" ca="1">Solution_material!J19*INDIRECT("Tab_Def_Flows[@WC]")</f>
        <v>0</v>
      </c>
      <c r="K19" s="127" cm="1">
        <f t="array" aca="1" ref="K19" ca="1">Solution_material!K19*INDIRECT("Tab_Def_Flows[@WC]")</f>
        <v>0</v>
      </c>
      <c r="L19" s="127" cm="1">
        <f t="array" aca="1" ref="L19" ca="1">Solution_material!L19*INDIRECT("Tab_Def_Flows[@WC]")</f>
        <v>0</v>
      </c>
      <c r="M19" s="127" cm="1">
        <f t="array" aca="1" ref="M19" ca="1">Solution_material!M19*INDIRECT("Tab_Def_Flows[@WC]")</f>
        <v>0</v>
      </c>
      <c r="N19" s="127" cm="1">
        <f t="array" aca="1" ref="N19" ca="1">Solution_material!N19*INDIRECT("Tab_Def_Flows[@WC]")</f>
        <v>0</v>
      </c>
      <c r="O19" s="127" cm="1">
        <f t="array" aca="1" ref="O19" ca="1">Solution_material!O19*INDIRECT("Tab_Def_Flows[@WC]")</f>
        <v>0</v>
      </c>
      <c r="P19" s="127" cm="1">
        <f t="array" aca="1" ref="P19" ca="1">Solution_material!P19*INDIRECT("Tab_Def_Flows[@WC]")</f>
        <v>0</v>
      </c>
      <c r="R19" s="126">
        <f t="shared" ca="1" si="0"/>
        <v>0</v>
      </c>
    </row>
    <row r="20" spans="1:18" x14ac:dyDescent="0.35">
      <c r="A20" t="str">
        <f>'1_1_Definition_Flows'!C20</f>
        <v>F_10_19</v>
      </c>
      <c r="B20" s="127" cm="1">
        <f t="array" aca="1" ref="B20" ca="1">Solution_material!B20*INDIRECT("Tab_Def_Flows[@WC]")</f>
        <v>0</v>
      </c>
      <c r="C20" s="127" cm="1">
        <f t="array" aca="1" ref="C20" ca="1">Solution_material!C20*INDIRECT("Tab_Def_Flows[@WC]")</f>
        <v>0</v>
      </c>
      <c r="D20" s="127" cm="1">
        <f t="array" aca="1" ref="D20" ca="1">Solution_material!D20*INDIRECT("Tab_Def_Flows[@WC]")</f>
        <v>0</v>
      </c>
      <c r="E20" s="127" cm="1">
        <f t="array" aca="1" ref="E20" ca="1">Solution_material!E20*INDIRECT("Tab_Def_Flows[@WC]")</f>
        <v>0</v>
      </c>
      <c r="F20" s="127" cm="1">
        <f t="array" aca="1" ref="F20" ca="1">Solution_material!F20*INDIRECT("Tab_Def_Flows[@WC]")</f>
        <v>0</v>
      </c>
      <c r="G20" s="127" cm="1">
        <f t="array" aca="1" ref="G20" ca="1">Solution_material!G20*INDIRECT("Tab_Def_Flows[@WC]")</f>
        <v>0</v>
      </c>
      <c r="H20" s="127" cm="1">
        <f t="array" aca="1" ref="H20" ca="1">Solution_material!H20*INDIRECT("Tab_Def_Flows[@WC]")</f>
        <v>0</v>
      </c>
      <c r="I20" s="127" cm="1">
        <f t="array" aca="1" ref="I20" ca="1">Solution_material!I20*INDIRECT("Tab_Def_Flows[@WC]")</f>
        <v>0</v>
      </c>
      <c r="J20" s="127" cm="1">
        <f t="array" aca="1" ref="J20" ca="1">Solution_material!J20*INDIRECT("Tab_Def_Flows[@WC]")</f>
        <v>0</v>
      </c>
      <c r="K20" s="127" cm="1">
        <f t="array" aca="1" ref="K20" ca="1">Solution_material!K20*INDIRECT("Tab_Def_Flows[@WC]")</f>
        <v>0</v>
      </c>
      <c r="L20" s="127" cm="1">
        <f t="array" aca="1" ref="L20" ca="1">Solution_material!L20*INDIRECT("Tab_Def_Flows[@WC]")</f>
        <v>0</v>
      </c>
      <c r="M20" s="127" cm="1">
        <f t="array" aca="1" ref="M20" ca="1">Solution_material!M20*INDIRECT("Tab_Def_Flows[@WC]")</f>
        <v>0</v>
      </c>
      <c r="N20" s="127" cm="1">
        <f t="array" aca="1" ref="N20" ca="1">Solution_material!N20*INDIRECT("Tab_Def_Flows[@WC]")</f>
        <v>0</v>
      </c>
      <c r="O20" s="127" cm="1">
        <f t="array" aca="1" ref="O20" ca="1">Solution_material!O20*INDIRECT("Tab_Def_Flows[@WC]")</f>
        <v>0</v>
      </c>
      <c r="P20" s="127" cm="1">
        <f t="array" aca="1" ref="P20" ca="1">Solution_material!P20*INDIRECT("Tab_Def_Flows[@WC]")</f>
        <v>0</v>
      </c>
      <c r="R20" s="126">
        <f t="shared" ca="1" si="0"/>
        <v>0</v>
      </c>
    </row>
    <row r="21" spans="1:18" x14ac:dyDescent="0.35">
      <c r="A21" t="str">
        <f>'1_1_Definition_Flows'!C21</f>
        <v>F_00_13</v>
      </c>
      <c r="B21" s="127" cm="1">
        <f t="array" aca="1" ref="B21" ca="1">Solution_material!B21*INDIRECT("Tab_Def_Flows[@WC]")</f>
        <v>7.7399999999999993</v>
      </c>
      <c r="C21" s="127" cm="1">
        <f t="array" aca="1" ref="C21" ca="1">Solution_material!C21*INDIRECT("Tab_Def_Flows[@WC]")</f>
        <v>7.8948</v>
      </c>
      <c r="D21" s="127" cm="1">
        <f t="array" aca="1" ref="D21" ca="1">Solution_material!D21*INDIRECT("Tab_Def_Flows[@WC]")</f>
        <v>8.0526959999999992</v>
      </c>
      <c r="E21" s="127" cm="1">
        <f t="array" aca="1" ref="E21" ca="1">Solution_material!E21*INDIRECT("Tab_Def_Flows[@WC]")</f>
        <v>8.2137499199999997</v>
      </c>
      <c r="F21" s="127" cm="1">
        <f t="array" aca="1" ref="F21" ca="1">Solution_material!F21*INDIRECT("Tab_Def_Flows[@WC]")</f>
        <v>8.3780249184000013</v>
      </c>
      <c r="G21" s="127" cm="1">
        <f t="array" aca="1" ref="G21" ca="1">Solution_material!G21*INDIRECT("Tab_Def_Flows[@WC]")</f>
        <v>8.5455854167680005</v>
      </c>
      <c r="H21" s="127" cm="1">
        <f t="array" aca="1" ref="H21" ca="1">Solution_material!H21*INDIRECT("Tab_Def_Flows[@WC]")</f>
        <v>8.7164971251033609</v>
      </c>
      <c r="I21" s="127" cm="1">
        <f t="array" aca="1" ref="I21" ca="1">Solution_material!I21*INDIRECT("Tab_Def_Flows[@WC]")</f>
        <v>8.8908270676054268</v>
      </c>
      <c r="J21" s="127" cm="1">
        <f t="array" aca="1" ref="J21" ca="1">Solution_material!J21*INDIRECT("Tab_Def_Flows[@WC]")</f>
        <v>9.0686436089575366</v>
      </c>
      <c r="K21" s="127" cm="1">
        <f t="array" aca="1" ref="K21" ca="1">Solution_material!K21*INDIRECT("Tab_Def_Flows[@WC]")</f>
        <v>9.2500164811366865</v>
      </c>
      <c r="L21" s="127" cm="1">
        <f t="array" aca="1" ref="L21" ca="1">Solution_material!L21*INDIRECT("Tab_Def_Flows[@WC]")</f>
        <v>9.4350168107594197</v>
      </c>
      <c r="M21" s="127" cm="1">
        <f t="array" aca="1" ref="M21" ca="1">Solution_material!M21*INDIRECT("Tab_Def_Flows[@WC]")</f>
        <v>9.6237171469746094</v>
      </c>
      <c r="N21" s="127" cm="1">
        <f t="array" aca="1" ref="N21" ca="1">Solution_material!N21*INDIRECT("Tab_Def_Flows[@WC]")</f>
        <v>9.8161914899141003</v>
      </c>
      <c r="O21" s="127" cm="1">
        <f t="array" aca="1" ref="O21" ca="1">Solution_material!O21*INDIRECT("Tab_Def_Flows[@WC]")</f>
        <v>10.012515319712382</v>
      </c>
      <c r="P21" s="127" cm="1">
        <f t="array" aca="1" ref="P21" ca="1">Solution_material!P21*INDIRECT("Tab_Def_Flows[@WC]")</f>
        <v>10.212765626106631</v>
      </c>
      <c r="R21" s="126">
        <f t="shared" ca="1" si="0"/>
        <v>133.85104693143813</v>
      </c>
    </row>
    <row r="22" spans="1:18" x14ac:dyDescent="0.35">
      <c r="A22" t="str">
        <f>'1_1_Definition_Flows'!C22</f>
        <v>F_00_04</v>
      </c>
      <c r="B22" s="127" cm="1">
        <f t="array" aca="1" ref="B22" ca="1">Solution_material!B22*INDIRECT("Tab_Def_Flows[@WC]")</f>
        <v>36.659999999999997</v>
      </c>
      <c r="C22" s="127" cm="1">
        <f t="array" aca="1" ref="C22" ca="1">Solution_material!C22*INDIRECT("Tab_Def_Flows[@WC]")</f>
        <v>37.3932</v>
      </c>
      <c r="D22" s="127" cm="1">
        <f t="array" aca="1" ref="D22" ca="1">Solution_material!D22*INDIRECT("Tab_Def_Flows[@WC]")</f>
        <v>38.141064</v>
      </c>
      <c r="E22" s="127" cm="1">
        <f t="array" aca="1" ref="E22" ca="1">Solution_material!E22*INDIRECT("Tab_Def_Flows[@WC]")</f>
        <v>38.903885279999997</v>
      </c>
      <c r="F22" s="127" cm="1">
        <f t="array" aca="1" ref="F22" ca="1">Solution_material!F22*INDIRECT("Tab_Def_Flows[@WC]")</f>
        <v>39.681962985600002</v>
      </c>
      <c r="G22" s="127" cm="1">
        <f t="array" aca="1" ref="G22" ca="1">Solution_material!G22*INDIRECT("Tab_Def_Flows[@WC]")</f>
        <v>40.475602245311997</v>
      </c>
      <c r="H22" s="127" cm="1">
        <f t="array" aca="1" ref="H22" ca="1">Solution_material!H22*INDIRECT("Tab_Def_Flows[@WC]")</f>
        <v>41.285114290218239</v>
      </c>
      <c r="I22" s="127" cm="1">
        <f t="array" aca="1" ref="I22" ca="1">Solution_material!I22*INDIRECT("Tab_Def_Flows[@WC]")</f>
        <v>42.110816576022607</v>
      </c>
      <c r="J22" s="127" cm="1">
        <f t="array" aca="1" ref="J22" ca="1">Solution_material!J22*INDIRECT("Tab_Def_Flows[@WC]")</f>
        <v>42.953032907543054</v>
      </c>
      <c r="K22" s="127" cm="1">
        <f t="array" aca="1" ref="K22" ca="1">Solution_material!K22*INDIRECT("Tab_Def_Flows[@WC]")</f>
        <v>43.812093565693921</v>
      </c>
      <c r="L22" s="127" cm="1">
        <f t="array" aca="1" ref="L22" ca="1">Solution_material!L22*INDIRECT("Tab_Def_Flows[@WC]")</f>
        <v>44.688335437007801</v>
      </c>
      <c r="M22" s="127" cm="1">
        <f t="array" aca="1" ref="M22" ca="1">Solution_material!M22*INDIRECT("Tab_Def_Flows[@WC]")</f>
        <v>45.58210214574796</v>
      </c>
      <c r="N22" s="127" cm="1">
        <f t="array" aca="1" ref="N22" ca="1">Solution_material!N22*INDIRECT("Tab_Def_Flows[@WC]")</f>
        <v>46.493744188662916</v>
      </c>
      <c r="O22" s="127" cm="1">
        <f t="array" aca="1" ref="O22" ca="1">Solution_material!O22*INDIRECT("Tab_Def_Flows[@WC]")</f>
        <v>47.423619072436182</v>
      </c>
      <c r="P22" s="127" cm="1">
        <f t="array" aca="1" ref="P22" ca="1">Solution_material!P22*INDIRECT("Tab_Def_Flows[@WC]")</f>
        <v>48.372091453884906</v>
      </c>
      <c r="R22" s="126">
        <f t="shared" ca="1" si="0"/>
        <v>633.97666414812954</v>
      </c>
    </row>
    <row r="23" spans="1:18" x14ac:dyDescent="0.35">
      <c r="A23" t="str">
        <f>'1_1_Definition_Flows'!C23</f>
        <v>F_00_11</v>
      </c>
      <c r="B23" s="127" cm="1">
        <f t="array" aca="1" ref="B23" ca="1">Solution_material!B23*INDIRECT("Tab_Def_Flows[@WC]")</f>
        <v>0.66</v>
      </c>
      <c r="C23" s="127" cm="1">
        <f t="array" aca="1" ref="C23" ca="1">Solution_material!C23*INDIRECT("Tab_Def_Flows[@WC]")</f>
        <v>0.67320000000000002</v>
      </c>
      <c r="D23" s="127" cm="1">
        <f t="array" aca="1" ref="D23" ca="1">Solution_material!D23*INDIRECT("Tab_Def_Flows[@WC]")</f>
        <v>0.68666400000000005</v>
      </c>
      <c r="E23" s="127" cm="1">
        <f t="array" aca="1" ref="E23" ca="1">Solution_material!E23*INDIRECT("Tab_Def_Flows[@WC]")</f>
        <v>0.70039728000000001</v>
      </c>
      <c r="F23" s="127" cm="1">
        <f t="array" aca="1" ref="F23" ca="1">Solution_material!F23*INDIRECT("Tab_Def_Flows[@WC]")</f>
        <v>0.71440522559999997</v>
      </c>
      <c r="G23" s="127" cm="1">
        <f t="array" aca="1" ref="G23" ca="1">Solution_material!G23*INDIRECT("Tab_Def_Flows[@WC]")</f>
        <v>0.72869333011199999</v>
      </c>
      <c r="H23" s="127" cm="1">
        <f t="array" aca="1" ref="H23" ca="1">Solution_material!H23*INDIRECT("Tab_Def_Flows[@WC]")</f>
        <v>0.74326719671424013</v>
      </c>
      <c r="I23" s="127" cm="1">
        <f t="array" aca="1" ref="I23" ca="1">Solution_material!I23*INDIRECT("Tab_Def_Flows[@WC]")</f>
        <v>0.75813254064852487</v>
      </c>
      <c r="J23" s="127" cm="1">
        <f t="array" aca="1" ref="J23" ca="1">Solution_material!J23*INDIRECT("Tab_Def_Flows[@WC]")</f>
        <v>0.77329519146149539</v>
      </c>
      <c r="K23" s="127" cm="1">
        <f t="array" aca="1" ref="K23" ca="1">Solution_material!K23*INDIRECT("Tab_Def_Flows[@WC]")</f>
        <v>0.78876109529072536</v>
      </c>
      <c r="L23" s="127" cm="1">
        <f t="array" aca="1" ref="L23" ca="1">Solution_material!L23*INDIRECT("Tab_Def_Flows[@WC]")</f>
        <v>0.80453631719653984</v>
      </c>
      <c r="M23" s="127" cm="1">
        <f t="array" aca="1" ref="M23" ca="1">Solution_material!M23*INDIRECT("Tab_Def_Flows[@WC]")</f>
        <v>0.82062704354047067</v>
      </c>
      <c r="N23" s="127" cm="1">
        <f t="array" aca="1" ref="N23" ca="1">Solution_material!N23*INDIRECT("Tab_Def_Flows[@WC]")</f>
        <v>0.83703958441128001</v>
      </c>
      <c r="O23" s="127" cm="1">
        <f t="array" aca="1" ref="O23" ca="1">Solution_material!O23*INDIRECT("Tab_Def_Flows[@WC]")</f>
        <v>0.85378037609950563</v>
      </c>
      <c r="P23" s="127" cm="1">
        <f t="array" aca="1" ref="P23" ca="1">Solution_material!P23*INDIRECT("Tab_Def_Flows[@WC]")</f>
        <v>0.87085598362149585</v>
      </c>
      <c r="R23" s="126">
        <f t="shared" ca="1" si="0"/>
        <v>11.413655164696277</v>
      </c>
    </row>
    <row r="24" spans="1:18" x14ac:dyDescent="0.35">
      <c r="A24" t="str">
        <f>'1_1_Definition_Flows'!C24</f>
        <v>F_00_08</v>
      </c>
      <c r="B24" s="127" cm="1">
        <f t="array" aca="1" ref="B24" ca="1">Solution_material!B24*INDIRECT("Tab_Def_Flows[@WC]")</f>
        <v>74</v>
      </c>
      <c r="C24" s="127" cm="1">
        <f t="array" aca="1" ref="C24" ca="1">Solution_material!C24*INDIRECT("Tab_Def_Flows[@WC]")</f>
        <v>75.48</v>
      </c>
      <c r="D24" s="127" cm="1">
        <f t="array" aca="1" ref="D24" ca="1">Solution_material!D24*INDIRECT("Tab_Def_Flows[@WC]")</f>
        <v>76.98960000000001</v>
      </c>
      <c r="E24" s="127" cm="1">
        <f t="array" aca="1" ref="E24" ca="1">Solution_material!E24*INDIRECT("Tab_Def_Flows[@WC]")</f>
        <v>78.529392000000016</v>
      </c>
      <c r="F24" s="127" cm="1">
        <f t="array" aca="1" ref="F24" ca="1">Solution_material!F24*INDIRECT("Tab_Def_Flows[@WC]")</f>
        <v>80.099979840000017</v>
      </c>
      <c r="G24" s="127" cm="1">
        <f t="array" aca="1" ref="G24" ca="1">Solution_material!G24*INDIRECT("Tab_Def_Flows[@WC]")</f>
        <v>81.701979436800016</v>
      </c>
      <c r="H24" s="127" cm="1">
        <f t="array" aca="1" ref="H24" ca="1">Solution_material!H24*INDIRECT("Tab_Def_Flows[@WC]")</f>
        <v>83.336019025536018</v>
      </c>
      <c r="I24" s="127" cm="1">
        <f t="array" aca="1" ref="I24" ca="1">Solution_material!I24*INDIRECT("Tab_Def_Flows[@WC]")</f>
        <v>85.002739406046743</v>
      </c>
      <c r="J24" s="127" cm="1">
        <f t="array" aca="1" ref="J24" ca="1">Solution_material!J24*INDIRECT("Tab_Def_Flows[@WC]")</f>
        <v>86.70279419416768</v>
      </c>
      <c r="K24" s="127" cm="1">
        <f t="array" aca="1" ref="K24" ca="1">Solution_material!K24*INDIRECT("Tab_Def_Flows[@WC]")</f>
        <v>88.436850078051037</v>
      </c>
      <c r="L24" s="127" cm="1">
        <f t="array" aca="1" ref="L24" ca="1">Solution_material!L24*INDIRECT("Tab_Def_Flows[@WC]")</f>
        <v>90.205587079612059</v>
      </c>
      <c r="M24" s="127" cm="1">
        <f t="array" aca="1" ref="M24" ca="1">Solution_material!M24*INDIRECT("Tab_Def_Flows[@WC]")</f>
        <v>92.009698821204296</v>
      </c>
      <c r="N24" s="127" cm="1">
        <f t="array" aca="1" ref="N24" ca="1">Solution_material!N24*INDIRECT("Tab_Def_Flows[@WC]")</f>
        <v>93.849892797628385</v>
      </c>
      <c r="O24" s="127" cm="1">
        <f t="array" aca="1" ref="O24" ca="1">Solution_material!O24*INDIRECT("Tab_Def_Flows[@WC]")</f>
        <v>95.726890653580952</v>
      </c>
      <c r="P24" s="127" cm="1">
        <f t="array" aca="1" ref="P24" ca="1">Solution_material!P24*INDIRECT("Tab_Def_Flows[@WC]")</f>
        <v>97.64142846665257</v>
      </c>
      <c r="R24" s="126">
        <f t="shared" ca="1" si="0"/>
        <v>1279.7128517992799</v>
      </c>
    </row>
    <row r="25" spans="1:18" x14ac:dyDescent="0.35">
      <c r="A25" t="str">
        <f>'1_1_Definition_Flows'!C25</f>
        <v>F_09_19</v>
      </c>
      <c r="B25" s="127" cm="1">
        <f t="array" aca="1" ref="B25" ca="1">Solution_material!B25*INDIRECT("Tab_Def_Flows[@WC]")</f>
        <v>0</v>
      </c>
      <c r="C25" s="127" cm="1">
        <f t="array" aca="1" ref="C25" ca="1">Solution_material!C25*INDIRECT("Tab_Def_Flows[@WC]")</f>
        <v>0</v>
      </c>
      <c r="D25" s="127" cm="1">
        <f t="array" aca="1" ref="D25" ca="1">Solution_material!D25*INDIRECT("Tab_Def_Flows[@WC]")</f>
        <v>0</v>
      </c>
      <c r="E25" s="127" cm="1">
        <f t="array" aca="1" ref="E25" ca="1">Solution_material!E25*INDIRECT("Tab_Def_Flows[@WC]")</f>
        <v>0</v>
      </c>
      <c r="F25" s="127" cm="1">
        <f t="array" aca="1" ref="F25" ca="1">Solution_material!F25*INDIRECT("Tab_Def_Flows[@WC]")</f>
        <v>0</v>
      </c>
      <c r="G25" s="127" cm="1">
        <f t="array" aca="1" ref="G25" ca="1">Solution_material!G25*INDIRECT("Tab_Def_Flows[@WC]")</f>
        <v>0</v>
      </c>
      <c r="H25" s="127" cm="1">
        <f t="array" aca="1" ref="H25" ca="1">Solution_material!H25*INDIRECT("Tab_Def_Flows[@WC]")</f>
        <v>0</v>
      </c>
      <c r="I25" s="127" cm="1">
        <f t="array" aca="1" ref="I25" ca="1">Solution_material!I25*INDIRECT("Tab_Def_Flows[@WC]")</f>
        <v>0</v>
      </c>
      <c r="J25" s="127" cm="1">
        <f t="array" aca="1" ref="J25" ca="1">Solution_material!J25*INDIRECT("Tab_Def_Flows[@WC]")</f>
        <v>0</v>
      </c>
      <c r="K25" s="127" cm="1">
        <f t="array" aca="1" ref="K25" ca="1">Solution_material!K25*INDIRECT("Tab_Def_Flows[@WC]")</f>
        <v>0</v>
      </c>
      <c r="L25" s="127" cm="1">
        <f t="array" aca="1" ref="L25" ca="1">Solution_material!L25*INDIRECT("Tab_Def_Flows[@WC]")</f>
        <v>0</v>
      </c>
      <c r="M25" s="127" cm="1">
        <f t="array" aca="1" ref="M25" ca="1">Solution_material!M25*INDIRECT("Tab_Def_Flows[@WC]")</f>
        <v>0</v>
      </c>
      <c r="N25" s="127" cm="1">
        <f t="array" aca="1" ref="N25" ca="1">Solution_material!N25*INDIRECT("Tab_Def_Flows[@WC]")</f>
        <v>0</v>
      </c>
      <c r="O25" s="127" cm="1">
        <f t="array" aca="1" ref="O25" ca="1">Solution_material!O25*INDIRECT("Tab_Def_Flows[@WC]")</f>
        <v>0</v>
      </c>
      <c r="P25" s="127" cm="1">
        <f t="array" aca="1" ref="P25" ca="1">Solution_material!P25*INDIRECT("Tab_Def_Flows[@WC]")</f>
        <v>0</v>
      </c>
      <c r="R25" s="126">
        <f t="shared" ca="1" si="0"/>
        <v>0</v>
      </c>
    </row>
    <row r="26" spans="1:18" x14ac:dyDescent="0.35">
      <c r="A26" t="str">
        <f>'1_1_Definition_Flows'!C26</f>
        <v>F_17_19</v>
      </c>
      <c r="B26" s="127" cm="1">
        <f t="array" aca="1" ref="B26" ca="1">Solution_material!B26*INDIRECT("Tab_Def_Flows[@WC]")</f>
        <v>0</v>
      </c>
      <c r="C26" s="127" cm="1">
        <f t="array" aca="1" ref="C26" ca="1">Solution_material!C26*INDIRECT("Tab_Def_Flows[@WC]")</f>
        <v>0</v>
      </c>
      <c r="D26" s="127" cm="1">
        <f t="array" aca="1" ref="D26" ca="1">Solution_material!D26*INDIRECT("Tab_Def_Flows[@WC]")</f>
        <v>0</v>
      </c>
      <c r="E26" s="127" cm="1">
        <f t="array" aca="1" ref="E26" ca="1">Solution_material!E26*INDIRECT("Tab_Def_Flows[@WC]")</f>
        <v>0</v>
      </c>
      <c r="F26" s="127" cm="1">
        <f t="array" aca="1" ref="F26" ca="1">Solution_material!F26*INDIRECT("Tab_Def_Flows[@WC]")</f>
        <v>0</v>
      </c>
      <c r="G26" s="127" cm="1">
        <f t="array" aca="1" ref="G26" ca="1">Solution_material!G26*INDIRECT("Tab_Def_Flows[@WC]")</f>
        <v>0</v>
      </c>
      <c r="H26" s="127" cm="1">
        <f t="array" aca="1" ref="H26" ca="1">Solution_material!H26*INDIRECT("Tab_Def_Flows[@WC]")</f>
        <v>0</v>
      </c>
      <c r="I26" s="127" cm="1">
        <f t="array" aca="1" ref="I26" ca="1">Solution_material!I26*INDIRECT("Tab_Def_Flows[@WC]")</f>
        <v>0</v>
      </c>
      <c r="J26" s="127" cm="1">
        <f t="array" aca="1" ref="J26" ca="1">Solution_material!J26*INDIRECT("Tab_Def_Flows[@WC]")</f>
        <v>0</v>
      </c>
      <c r="K26" s="127" cm="1">
        <f t="array" aca="1" ref="K26" ca="1">Solution_material!K26*INDIRECT("Tab_Def_Flows[@WC]")</f>
        <v>0</v>
      </c>
      <c r="L26" s="127" cm="1">
        <f t="array" aca="1" ref="L26" ca="1">Solution_material!L26*INDIRECT("Tab_Def_Flows[@WC]")</f>
        <v>0</v>
      </c>
      <c r="M26" s="127" cm="1">
        <f t="array" aca="1" ref="M26" ca="1">Solution_material!M26*INDIRECT("Tab_Def_Flows[@WC]")</f>
        <v>0</v>
      </c>
      <c r="N26" s="127" cm="1">
        <f t="array" aca="1" ref="N26" ca="1">Solution_material!N26*INDIRECT("Tab_Def_Flows[@WC]")</f>
        <v>0</v>
      </c>
      <c r="O26" s="127" cm="1">
        <f t="array" aca="1" ref="O26" ca="1">Solution_material!O26*INDIRECT("Tab_Def_Flows[@WC]")</f>
        <v>0</v>
      </c>
      <c r="P26" s="127" cm="1">
        <f t="array" aca="1" ref="P26" ca="1">Solution_material!P26*INDIRECT("Tab_Def_Flows[@WC]")</f>
        <v>0</v>
      </c>
      <c r="R26" s="126">
        <f t="shared" ca="1" si="0"/>
        <v>0</v>
      </c>
    </row>
    <row r="27" spans="1:18" x14ac:dyDescent="0.35">
      <c r="R27" s="126"/>
    </row>
    <row r="28" spans="1:18" x14ac:dyDescent="0.35">
      <c r="R28" s="126"/>
    </row>
    <row r="29" spans="1:18" x14ac:dyDescent="0.35">
      <c r="R29" s="126"/>
    </row>
    <row r="30" spans="1:18" x14ac:dyDescent="0.35">
      <c r="R30" s="126"/>
    </row>
    <row r="31" spans="1:18" x14ac:dyDescent="0.35">
      <c r="A31" t="s">
        <v>514</v>
      </c>
      <c r="B31">
        <f ca="1">B9-B10</f>
        <v>33.072797279627956</v>
      </c>
      <c r="C31">
        <f ca="1">C9-C10</f>
        <v>23.812188712103026</v>
      </c>
      <c r="D31">
        <f ca="1">D9-D10</f>
        <v>14.357689637336499</v>
      </c>
      <c r="E31">
        <f ca="1">E9-E10</f>
        <v>14.501955333728482</v>
      </c>
      <c r="F31">
        <f ca="1">F9-F10</f>
        <v>13.885651428959996</v>
      </c>
      <c r="G31">
        <f ca="1">G9-G10</f>
        <v>11.873373463562398</v>
      </c>
      <c r="H31">
        <f ca="1">H9-H10</f>
        <v>9.7435872365158041</v>
      </c>
      <c r="I31">
        <f ca="1">I9-I10</f>
        <v>8.7480880258257407</v>
      </c>
      <c r="J31">
        <f ca="1">J9-J10</f>
        <v>8.1739620467555945</v>
      </c>
      <c r="K31">
        <f ca="1">K9-K10</f>
        <v>7.3373162273623791</v>
      </c>
      <c r="L31">
        <f ca="1">L9-L10</f>
        <v>6.2174147599099641</v>
      </c>
      <c r="M31">
        <f ca="1">M9-M10</f>
        <v>5.0753209688577172</v>
      </c>
      <c r="N31">
        <f ca="1">N9-N10</f>
        <v>4.1854218133661618</v>
      </c>
      <c r="O31">
        <f ca="1">O9-O10</f>
        <v>3.661595670226518</v>
      </c>
      <c r="P31">
        <f ca="1">P9-P10</f>
        <v>3.4434093956200726</v>
      </c>
      <c r="R31" s="126">
        <f ca="1">SUM(B31:P31)</f>
        <v>168.08977199975834</v>
      </c>
    </row>
    <row r="32" spans="1:18" x14ac:dyDescent="0.35">
      <c r="A32" t="s">
        <v>515</v>
      </c>
      <c r="B32">
        <f ca="1">B31</f>
        <v>33.072797279627956</v>
      </c>
      <c r="C32">
        <f ca="1">B32+C31</f>
        <v>56.884985991730986</v>
      </c>
      <c r="D32">
        <f t="shared" ref="D32:P32" ca="1" si="1">C32+D31</f>
        <v>71.242675629067492</v>
      </c>
      <c r="E32">
        <f t="shared" ca="1" si="1"/>
        <v>85.744630962795981</v>
      </c>
      <c r="F32">
        <f t="shared" ca="1" si="1"/>
        <v>99.630282391755969</v>
      </c>
      <c r="G32">
        <f t="shared" ca="1" si="1"/>
        <v>111.50365585531837</v>
      </c>
      <c r="H32">
        <f t="shared" ca="1" si="1"/>
        <v>121.24724309183418</v>
      </c>
      <c r="I32">
        <f t="shared" ca="1" si="1"/>
        <v>129.99533111765993</v>
      </c>
      <c r="J32">
        <f t="shared" ca="1" si="1"/>
        <v>138.16929316441554</v>
      </c>
      <c r="K32">
        <f t="shared" ca="1" si="1"/>
        <v>145.50660939177791</v>
      </c>
      <c r="L32">
        <f t="shared" ca="1" si="1"/>
        <v>151.72402415168787</v>
      </c>
      <c r="M32">
        <f t="shared" ca="1" si="1"/>
        <v>156.79934512054558</v>
      </c>
      <c r="N32">
        <f t="shared" ca="1" si="1"/>
        <v>160.98476693391174</v>
      </c>
      <c r="O32">
        <f t="shared" ca="1" si="1"/>
        <v>164.64636260413826</v>
      </c>
      <c r="P32">
        <f t="shared" ca="1" si="1"/>
        <v>168.08977199975834</v>
      </c>
      <c r="R32" s="126">
        <f ca="1">SUM(B32:P32)</f>
        <v>1795.2417756860261</v>
      </c>
    </row>
    <row r="33" spans="1:34" x14ac:dyDescent="0.35">
      <c r="A33" t="s">
        <v>512</v>
      </c>
      <c r="B33">
        <f ca="1">B7</f>
        <v>0</v>
      </c>
      <c r="C33">
        <f ca="1">C7</f>
        <v>0</v>
      </c>
      <c r="D33">
        <f ca="1">D7</f>
        <v>0</v>
      </c>
      <c r="E33">
        <f ca="1">E7</f>
        <v>0</v>
      </c>
      <c r="F33">
        <f ca="1">F7</f>
        <v>0</v>
      </c>
      <c r="G33">
        <f ca="1">G7</f>
        <v>0</v>
      </c>
      <c r="H33">
        <f ca="1">H7</f>
        <v>0</v>
      </c>
      <c r="I33">
        <f ca="1">I7</f>
        <v>0</v>
      </c>
      <c r="J33">
        <f ca="1">J7</f>
        <v>0</v>
      </c>
      <c r="K33">
        <f ca="1">K7</f>
        <v>0</v>
      </c>
      <c r="L33">
        <f ca="1">L7</f>
        <v>0</v>
      </c>
      <c r="M33">
        <f ca="1">M7</f>
        <v>0</v>
      </c>
      <c r="N33">
        <f ca="1">N7</f>
        <v>0</v>
      </c>
      <c r="O33">
        <f ca="1">O7</f>
        <v>0</v>
      </c>
      <c r="P33">
        <f ca="1">P7</f>
        <v>0</v>
      </c>
      <c r="R33" s="126">
        <f ca="1">SUM(B33:P33)</f>
        <v>0</v>
      </c>
    </row>
    <row r="34" spans="1:34" x14ac:dyDescent="0.35">
      <c r="A34" t="s">
        <v>513</v>
      </c>
      <c r="B34">
        <f ca="1">B33</f>
        <v>0</v>
      </c>
      <c r="C34">
        <f ca="1">B34+C33</f>
        <v>0</v>
      </c>
      <c r="D34">
        <f t="shared" ref="D34:P34" ca="1" si="2">C34+D33</f>
        <v>0</v>
      </c>
      <c r="E34">
        <f t="shared" ca="1" si="2"/>
        <v>0</v>
      </c>
      <c r="F34">
        <f t="shared" ca="1" si="2"/>
        <v>0</v>
      </c>
      <c r="G34">
        <f t="shared" ca="1" si="2"/>
        <v>0</v>
      </c>
      <c r="H34">
        <f t="shared" ca="1" si="2"/>
        <v>0</v>
      </c>
      <c r="I34">
        <f t="shared" ca="1" si="2"/>
        <v>0</v>
      </c>
      <c r="J34">
        <f t="shared" ca="1" si="2"/>
        <v>0</v>
      </c>
      <c r="K34">
        <f t="shared" ca="1" si="2"/>
        <v>0</v>
      </c>
      <c r="L34">
        <f t="shared" ca="1" si="2"/>
        <v>0</v>
      </c>
      <c r="M34">
        <f t="shared" ca="1" si="2"/>
        <v>0</v>
      </c>
      <c r="N34">
        <f t="shared" ca="1" si="2"/>
        <v>0</v>
      </c>
      <c r="O34">
        <f t="shared" ca="1" si="2"/>
        <v>0</v>
      </c>
      <c r="P34">
        <f t="shared" ca="1" si="2"/>
        <v>0</v>
      </c>
      <c r="R34" s="126">
        <f ca="1">SUM(B34:P34)</f>
        <v>0</v>
      </c>
    </row>
    <row r="35" spans="1:34" x14ac:dyDescent="0.35">
      <c r="A35" t="s">
        <v>522</v>
      </c>
      <c r="B35">
        <f ca="1">B11</f>
        <v>8.2182643199999994</v>
      </c>
      <c r="C35">
        <f ca="1">C11</f>
        <v>8.3826296064000001</v>
      </c>
      <c r="D35">
        <f ca="1">D11</f>
        <v>8.5502821985280004</v>
      </c>
      <c r="E35">
        <f ca="1">E11</f>
        <v>8.7212878424985618</v>
      </c>
      <c r="F35">
        <f ca="1">F11</f>
        <v>8.8957135993485323</v>
      </c>
      <c r="G35">
        <f ca="1">G11</f>
        <v>9.0736278713355034</v>
      </c>
      <c r="H35">
        <f ca="1">H11</f>
        <v>9.2551004287622138</v>
      </c>
      <c r="I35">
        <f ca="1">I11</f>
        <v>9.440202437337458</v>
      </c>
      <c r="J35">
        <f ca="1">J11</f>
        <v>9.6290064860842079</v>
      </c>
      <c r="K35">
        <f ca="1">K11</f>
        <v>9.8215866158058915</v>
      </c>
      <c r="L35">
        <f ca="1">L11</f>
        <v>10.018018348122009</v>
      </c>
      <c r="M35">
        <f ca="1">M11</f>
        <v>10.21837871508445</v>
      </c>
      <c r="N35">
        <f ca="1">N11</f>
        <v>10.422746289386138</v>
      </c>
      <c r="O35">
        <f ca="1">O11</f>
        <v>10.631201215173862</v>
      </c>
      <c r="P35">
        <f ca="1">P11</f>
        <v>10.84382523947734</v>
      </c>
      <c r="R35" s="126">
        <f ca="1">SUM(B35:P35)</f>
        <v>142.12187121334421</v>
      </c>
    </row>
    <row r="36" spans="1:34" x14ac:dyDescent="0.35">
      <c r="A36" t="s">
        <v>523</v>
      </c>
      <c r="B36">
        <f ca="1">B35</f>
        <v>8.2182643199999994</v>
      </c>
      <c r="C36">
        <f ca="1">B36+C35</f>
        <v>16.600893926399998</v>
      </c>
      <c r="D36">
        <f t="shared" ref="D36:P36" ca="1" si="3">C36+D35</f>
        <v>25.151176124928</v>
      </c>
      <c r="E36">
        <f t="shared" ca="1" si="3"/>
        <v>33.872463967426562</v>
      </c>
      <c r="F36">
        <f t="shared" ca="1" si="3"/>
        <v>42.768177566775094</v>
      </c>
      <c r="G36">
        <f t="shared" ca="1" si="3"/>
        <v>51.841805438110597</v>
      </c>
      <c r="H36">
        <f t="shared" ca="1" si="3"/>
        <v>61.09690586687281</v>
      </c>
      <c r="I36">
        <f t="shared" ca="1" si="3"/>
        <v>70.537108304210264</v>
      </c>
      <c r="J36">
        <f t="shared" ca="1" si="3"/>
        <v>80.166114790294472</v>
      </c>
      <c r="K36">
        <f t="shared" ca="1" si="3"/>
        <v>89.987701406100371</v>
      </c>
      <c r="L36">
        <f t="shared" ca="1" si="3"/>
        <v>100.00571975422238</v>
      </c>
      <c r="M36">
        <f t="shared" ca="1" si="3"/>
        <v>110.22409846930684</v>
      </c>
      <c r="N36">
        <f t="shared" ca="1" si="3"/>
        <v>120.64684475869298</v>
      </c>
      <c r="O36">
        <f t="shared" ca="1" si="3"/>
        <v>131.27804597386685</v>
      </c>
      <c r="P36">
        <f t="shared" ca="1" si="3"/>
        <v>142.12187121334421</v>
      </c>
      <c r="R36" s="126">
        <f ca="1">SUM(B36:P36)</f>
        <v>1084.5171918805513</v>
      </c>
    </row>
    <row r="37" spans="1:34" x14ac:dyDescent="0.35">
      <c r="A37" t="s">
        <v>542</v>
      </c>
      <c r="B37" s="127">
        <f ca="1">B15</f>
        <v>8.5606919999999995</v>
      </c>
      <c r="C37" s="127">
        <f t="shared" ref="C37:P37" ca="1" si="4">C15</f>
        <v>8.7319058399999996</v>
      </c>
      <c r="D37" s="127">
        <f t="shared" ca="1" si="4"/>
        <v>8.9065439568000002</v>
      </c>
      <c r="E37" s="127">
        <f t="shared" ca="1" si="4"/>
        <v>9.084674835936001</v>
      </c>
      <c r="F37" s="127">
        <f t="shared" ca="1" si="4"/>
        <v>9.2663683326547197</v>
      </c>
      <c r="G37" s="127">
        <f t="shared" ca="1" si="4"/>
        <v>9.4516956993078161</v>
      </c>
      <c r="H37" s="127">
        <f t="shared" ca="1" si="4"/>
        <v>9.6407296132939724</v>
      </c>
      <c r="I37" s="127">
        <f t="shared" ca="1" si="4"/>
        <v>9.8335442055598516</v>
      </c>
      <c r="J37" s="127">
        <f t="shared" ca="1" si="4"/>
        <v>10.030215089671049</v>
      </c>
      <c r="K37" s="127">
        <f t="shared" ca="1" si="4"/>
        <v>10.23081939146447</v>
      </c>
      <c r="L37" s="127">
        <f t="shared" ca="1" si="4"/>
        <v>10.43543577929376</v>
      </c>
      <c r="M37" s="127">
        <f t="shared" ca="1" si="4"/>
        <v>10.644144494879635</v>
      </c>
      <c r="N37" s="127">
        <f t="shared" ca="1" si="4"/>
        <v>10.857027384777227</v>
      </c>
      <c r="O37" s="127">
        <f t="shared" ca="1" si="4"/>
        <v>11.074167932472772</v>
      </c>
      <c r="P37" s="127">
        <f t="shared" ca="1" si="4"/>
        <v>11.295651291122228</v>
      </c>
      <c r="R37" s="126">
        <f t="shared" ref="R37:R38" ca="1" si="5">SUM(B37:P37)</f>
        <v>148.04361584723347</v>
      </c>
      <c r="T37" s="127"/>
      <c r="U37" s="127"/>
      <c r="V37" s="127"/>
      <c r="W37" s="127"/>
      <c r="X37" s="127"/>
      <c r="Y37" s="127"/>
      <c r="Z37" s="127"/>
      <c r="AA37" s="127"/>
      <c r="AB37" s="127"/>
      <c r="AC37" s="127"/>
      <c r="AD37" s="127"/>
      <c r="AE37" s="127"/>
      <c r="AF37" s="127"/>
      <c r="AG37" s="127"/>
      <c r="AH37" s="127"/>
    </row>
    <row r="38" spans="1:34" x14ac:dyDescent="0.35">
      <c r="A38" t="s">
        <v>543</v>
      </c>
      <c r="B38" s="127">
        <f ca="1">B37</f>
        <v>8.5606919999999995</v>
      </c>
      <c r="C38" s="127">
        <f ca="1">B38+C37</f>
        <v>17.292597839999999</v>
      </c>
      <c r="D38" s="127">
        <f t="shared" ref="D38:P38" ca="1" si="6">C38+D37</f>
        <v>26.199141796799999</v>
      </c>
      <c r="E38" s="127">
        <f t="shared" ca="1" si="6"/>
        <v>35.283816632735999</v>
      </c>
      <c r="F38" s="127">
        <f t="shared" ca="1" si="6"/>
        <v>44.55018496539072</v>
      </c>
      <c r="G38" s="127">
        <f t="shared" ca="1" si="6"/>
        <v>54.001880664698533</v>
      </c>
      <c r="H38" s="127">
        <f t="shared" ca="1" si="6"/>
        <v>63.642610277992503</v>
      </c>
      <c r="I38" s="127">
        <f t="shared" ca="1" si="6"/>
        <v>73.476154483552349</v>
      </c>
      <c r="J38" s="127">
        <f t="shared" ca="1" si="6"/>
        <v>83.506369573223395</v>
      </c>
      <c r="K38" s="127">
        <f t="shared" ca="1" si="6"/>
        <v>93.73718896468786</v>
      </c>
      <c r="L38" s="127">
        <f t="shared" ca="1" si="6"/>
        <v>104.17262474398161</v>
      </c>
      <c r="M38" s="127">
        <f t="shared" ca="1" si="6"/>
        <v>114.81676923886126</v>
      </c>
      <c r="N38" s="127">
        <f t="shared" ca="1" si="6"/>
        <v>125.67379662363848</v>
      </c>
      <c r="O38" s="127">
        <f t="shared" ca="1" si="6"/>
        <v>136.74796455611124</v>
      </c>
      <c r="P38" s="127">
        <f t="shared" ca="1" si="6"/>
        <v>148.04361584723347</v>
      </c>
      <c r="R38" s="126">
        <f t="shared" ca="1" si="5"/>
        <v>1129.7054082089076</v>
      </c>
      <c r="T38" s="127"/>
      <c r="U38" s="127"/>
      <c r="V38" s="127"/>
      <c r="W38" s="127"/>
      <c r="X38" s="127"/>
      <c r="Y38" s="127"/>
      <c r="Z38" s="127"/>
      <c r="AA38" s="127"/>
      <c r="AB38" s="127"/>
      <c r="AC38" s="127"/>
      <c r="AD38" s="127"/>
      <c r="AE38" s="127"/>
      <c r="AF38" s="127"/>
      <c r="AG38" s="127"/>
      <c r="AH38" s="127"/>
    </row>
    <row r="39" spans="1:34" x14ac:dyDescent="0.35">
      <c r="A39" t="s">
        <v>524</v>
      </c>
      <c r="B39">
        <f ca="1">B14</f>
        <v>67.058753999999993</v>
      </c>
      <c r="C39">
        <f ca="1">C14</f>
        <v>68.399929080000007</v>
      </c>
      <c r="D39">
        <f ca="1">D14</f>
        <v>69.767927661599998</v>
      </c>
      <c r="E39">
        <f ca="1">E14</f>
        <v>71.163286214832013</v>
      </c>
      <c r="F39">
        <f ca="1">F14</f>
        <v>72.58655193912864</v>
      </c>
      <c r="G39">
        <f ca="1">G14</f>
        <v>74.038282977911223</v>
      </c>
      <c r="H39">
        <f ca="1">H14</f>
        <v>75.519048637469453</v>
      </c>
      <c r="I39">
        <f ca="1">I14</f>
        <v>77.029429610218841</v>
      </c>
      <c r="J39">
        <f ca="1">J14</f>
        <v>78.570018202423213</v>
      </c>
      <c r="K39">
        <f ca="1">K14</f>
        <v>80.141418566471685</v>
      </c>
      <c r="L39">
        <f ca="1">L14</f>
        <v>81.744246937801108</v>
      </c>
      <c r="M39">
        <f ca="1">M14</f>
        <v>83.379131876557139</v>
      </c>
      <c r="N39">
        <f ca="1">N14</f>
        <v>85.046714514088279</v>
      </c>
      <c r="O39">
        <f ca="1">O14</f>
        <v>86.747648804370044</v>
      </c>
      <c r="P39">
        <f ca="1">P14</f>
        <v>88.482601780457458</v>
      </c>
      <c r="R39" s="126">
        <f ca="1">SUM(B39:P39)</f>
        <v>1159.6749908033289</v>
      </c>
    </row>
    <row r="40" spans="1:34" x14ac:dyDescent="0.35">
      <c r="A40" t="s">
        <v>525</v>
      </c>
      <c r="B40">
        <f ca="1">B39</f>
        <v>67.058753999999993</v>
      </c>
      <c r="C40">
        <f ca="1">C39+B40</f>
        <v>135.45868308000001</v>
      </c>
      <c r="D40">
        <f t="shared" ref="D40:P40" ca="1" si="7">D39+C40</f>
        <v>205.22661074160001</v>
      </c>
      <c r="E40">
        <f t="shared" ca="1" si="7"/>
        <v>276.38989695643204</v>
      </c>
      <c r="F40">
        <f t="shared" ca="1" si="7"/>
        <v>348.97644889556068</v>
      </c>
      <c r="G40">
        <f t="shared" ca="1" si="7"/>
        <v>423.01473187347187</v>
      </c>
      <c r="H40">
        <f t="shared" ca="1" si="7"/>
        <v>498.53378051094131</v>
      </c>
      <c r="I40">
        <f t="shared" ca="1" si="7"/>
        <v>575.56321012116018</v>
      </c>
      <c r="J40">
        <f t="shared" ca="1" si="7"/>
        <v>654.13322832358335</v>
      </c>
      <c r="K40">
        <f t="shared" ca="1" si="7"/>
        <v>734.27464689005501</v>
      </c>
      <c r="L40">
        <f t="shared" ca="1" si="7"/>
        <v>816.01889382785612</v>
      </c>
      <c r="M40">
        <f t="shared" ca="1" si="7"/>
        <v>899.39802570441327</v>
      </c>
      <c r="N40">
        <f t="shared" ca="1" si="7"/>
        <v>984.44474021850158</v>
      </c>
      <c r="O40">
        <f t="shared" ca="1" si="7"/>
        <v>1071.1923890228716</v>
      </c>
      <c r="P40">
        <f t="shared" ca="1" si="7"/>
        <v>1159.6749908033289</v>
      </c>
      <c r="R40" s="126">
        <f ca="1">SUM(B40:P40)</f>
        <v>8849.3590309697756</v>
      </c>
    </row>
    <row r="41" spans="1:34" x14ac:dyDescent="0.35">
      <c r="A41" t="s">
        <v>508</v>
      </c>
      <c r="B41">
        <f ca="1">B3</f>
        <v>3.0960000000000001</v>
      </c>
      <c r="C41">
        <f ca="1">C3</f>
        <v>3.1579200000000003</v>
      </c>
      <c r="D41">
        <f ca="1">D3</f>
        <v>3.2210784000000001</v>
      </c>
      <c r="E41">
        <f ca="1">E3</f>
        <v>3.2854999680000003</v>
      </c>
      <c r="F41">
        <f ca="1">F3</f>
        <v>3.3512099673600004</v>
      </c>
      <c r="G41">
        <f ca="1">G3</f>
        <v>3.4182341667072005</v>
      </c>
      <c r="H41">
        <f ca="1">H3</f>
        <v>3.4865988500413443</v>
      </c>
      <c r="I41">
        <f ca="1">I3</f>
        <v>3.5563308270421712</v>
      </c>
      <c r="J41">
        <f ca="1">J3</f>
        <v>3.6274574435830145</v>
      </c>
      <c r="K41">
        <f ca="1">K3</f>
        <v>3.7000065924546748</v>
      </c>
      <c r="L41">
        <f ca="1">L3</f>
        <v>3.7740067243037685</v>
      </c>
      <c r="M41">
        <f ca="1">M3</f>
        <v>3.8494868587898434</v>
      </c>
      <c r="N41">
        <f ca="1">N3</f>
        <v>3.9264765959656405</v>
      </c>
      <c r="O41">
        <f ca="1">O3</f>
        <v>4.0050061278849531</v>
      </c>
      <c r="P41">
        <f ca="1">P3</f>
        <v>4.0851062504426521</v>
      </c>
      <c r="R41" s="126">
        <f ca="1">SUM(B41:P41)</f>
        <v>53.540418772575258</v>
      </c>
    </row>
    <row r="42" spans="1:34" x14ac:dyDescent="0.35">
      <c r="A42" t="s">
        <v>509</v>
      </c>
      <c r="B42">
        <f ca="1">B41</f>
        <v>3.0960000000000001</v>
      </c>
      <c r="C42">
        <f ca="1">B42+C41</f>
        <v>6.2539200000000008</v>
      </c>
      <c r="D42">
        <f t="shared" ref="D42:O42" ca="1" si="8">C42+D41</f>
        <v>9.4749984000000005</v>
      </c>
      <c r="E42">
        <f t="shared" ca="1" si="8"/>
        <v>12.760498368</v>
      </c>
      <c r="F42">
        <f t="shared" ca="1" si="8"/>
        <v>16.111708335359999</v>
      </c>
      <c r="G42">
        <f t="shared" ca="1" si="8"/>
        <v>19.5299425020672</v>
      </c>
      <c r="H42">
        <f t="shared" ca="1" si="8"/>
        <v>23.016541352108543</v>
      </c>
      <c r="I42">
        <f t="shared" ca="1" si="8"/>
        <v>26.572872179150714</v>
      </c>
      <c r="J42">
        <f t="shared" ca="1" si="8"/>
        <v>30.200329622733729</v>
      </c>
      <c r="K42">
        <f t="shared" ca="1" si="8"/>
        <v>33.900336215188403</v>
      </c>
      <c r="L42">
        <f t="shared" ca="1" si="8"/>
        <v>37.674342939492171</v>
      </c>
      <c r="M42">
        <f t="shared" ca="1" si="8"/>
        <v>41.523829798282016</v>
      </c>
      <c r="N42">
        <f t="shared" ca="1" si="8"/>
        <v>45.450306394247654</v>
      </c>
      <c r="O42">
        <f t="shared" ca="1" si="8"/>
        <v>49.455312522132608</v>
      </c>
      <c r="P42">
        <f ca="1">O42+P41</f>
        <v>53.540418772575258</v>
      </c>
      <c r="R42" s="126">
        <f ca="1">SUM(B42:P42)</f>
        <v>408.56135740133834</v>
      </c>
    </row>
    <row r="43" spans="1:34" x14ac:dyDescent="0.35">
      <c r="A43" t="s">
        <v>510</v>
      </c>
      <c r="B43" s="126">
        <f ca="1">B5</f>
        <v>1.5480000000000003</v>
      </c>
      <c r="C43" s="126">
        <f ca="1">C5</f>
        <v>1.5789600000000001</v>
      </c>
      <c r="D43" s="126">
        <f ca="1">D5</f>
        <v>1.6105392000000001</v>
      </c>
      <c r="E43" s="126">
        <f ca="1">E5</f>
        <v>1.6427499840000002</v>
      </c>
      <c r="F43" s="126">
        <f ca="1">F5</f>
        <v>1.6756049836800002</v>
      </c>
      <c r="G43" s="126">
        <f ca="1">G5</f>
        <v>1.7091170833535994</v>
      </c>
      <c r="H43" s="126">
        <f ca="1">H5</f>
        <v>1.7432994250206717</v>
      </c>
      <c r="I43" s="126">
        <f ca="1">I5</f>
        <v>1.7781654135210858</v>
      </c>
      <c r="J43" s="126">
        <f ca="1">J5</f>
        <v>1.8137287217915063</v>
      </c>
      <c r="K43" s="126">
        <f ca="1">K5</f>
        <v>1.8500032962273363</v>
      </c>
      <c r="L43" s="126">
        <f ca="1">L5</f>
        <v>1.8870033621518845</v>
      </c>
      <c r="M43" s="126">
        <f ca="1">M5</f>
        <v>1.9247434293949215</v>
      </c>
      <c r="N43" s="126">
        <f ca="1">N5</f>
        <v>1.9632382979828202</v>
      </c>
      <c r="O43" s="126">
        <f ca="1">O5</f>
        <v>2.0025030639424761</v>
      </c>
      <c r="P43" s="126">
        <f ca="1">P5</f>
        <v>2.042553125221326</v>
      </c>
      <c r="R43" s="126">
        <f ca="1">SUM(B43:P43)</f>
        <v>26.770209386287625</v>
      </c>
      <c r="T43" s="126"/>
      <c r="U43" s="126"/>
      <c r="V43" s="126"/>
      <c r="W43" s="126"/>
      <c r="X43" s="126"/>
      <c r="Y43" s="126"/>
      <c r="Z43" s="126"/>
      <c r="AA43" s="126"/>
      <c r="AB43" s="126"/>
      <c r="AC43" s="126"/>
      <c r="AD43" s="126"/>
      <c r="AE43" s="126"/>
      <c r="AF43" s="126"/>
      <c r="AG43" s="126"/>
      <c r="AH43" s="126"/>
    </row>
    <row r="44" spans="1:34" x14ac:dyDescent="0.35">
      <c r="A44" t="s">
        <v>511</v>
      </c>
      <c r="B44" s="126">
        <f ca="1">B43</f>
        <v>1.5480000000000003</v>
      </c>
      <c r="C44" s="126">
        <f ca="1">B44+C43</f>
        <v>3.1269600000000004</v>
      </c>
      <c r="D44" s="126">
        <f ca="1">C44+D43</f>
        <v>4.7374992000000002</v>
      </c>
      <c r="E44" s="126">
        <f t="shared" ref="E44:P44" ca="1" si="9">D44+E43</f>
        <v>6.3802491840000002</v>
      </c>
      <c r="F44" s="126">
        <f t="shared" ca="1" si="9"/>
        <v>8.0558541676799997</v>
      </c>
      <c r="G44" s="126">
        <f t="shared" ca="1" si="9"/>
        <v>9.7649712510335984</v>
      </c>
      <c r="H44" s="126">
        <f t="shared" ca="1" si="9"/>
        <v>11.50827067605427</v>
      </c>
      <c r="I44" s="126">
        <f t="shared" ca="1" si="9"/>
        <v>13.286436089575355</v>
      </c>
      <c r="J44" s="126">
        <f t="shared" ca="1" si="9"/>
        <v>15.100164811366861</v>
      </c>
      <c r="K44" s="126">
        <f t="shared" ca="1" si="9"/>
        <v>16.950168107594198</v>
      </c>
      <c r="L44" s="126">
        <f t="shared" ca="1" si="9"/>
        <v>18.837171469746082</v>
      </c>
      <c r="M44" s="126">
        <f t="shared" ca="1" si="9"/>
        <v>20.761914899141004</v>
      </c>
      <c r="N44" s="126">
        <f t="shared" ca="1" si="9"/>
        <v>22.725153197123824</v>
      </c>
      <c r="O44" s="126">
        <f t="shared" ca="1" si="9"/>
        <v>24.727656261066301</v>
      </c>
      <c r="P44" s="126">
        <f t="shared" ca="1" si="9"/>
        <v>26.770209386287625</v>
      </c>
      <c r="Q44" s="5"/>
      <c r="R44" s="126">
        <f ca="1">SUM(B44:P44)</f>
        <v>204.28067870066914</v>
      </c>
      <c r="T44" s="126"/>
      <c r="U44" s="126"/>
      <c r="V44" s="126"/>
      <c r="W44" s="126"/>
      <c r="X44" s="126"/>
      <c r="Y44" s="126"/>
      <c r="Z44" s="126"/>
      <c r="AA44" s="126"/>
      <c r="AB44" s="126"/>
      <c r="AC44" s="126"/>
      <c r="AD44" s="126"/>
      <c r="AE44" s="126"/>
      <c r="AF44" s="126"/>
      <c r="AG44" s="126"/>
      <c r="AH44" s="126"/>
    </row>
    <row r="45" spans="1:34" x14ac:dyDescent="0.35">
      <c r="A45" t="s">
        <v>516</v>
      </c>
      <c r="B45">
        <v>0</v>
      </c>
      <c r="C45">
        <f>C46-B46</f>
        <v>0</v>
      </c>
      <c r="D45">
        <f t="shared" ref="D45:P45" si="10">D46-C46</f>
        <v>0</v>
      </c>
      <c r="E45">
        <f t="shared" si="10"/>
        <v>0</v>
      </c>
      <c r="F45">
        <f t="shared" si="10"/>
        <v>0</v>
      </c>
      <c r="G45">
        <f t="shared" si="10"/>
        <v>0</v>
      </c>
      <c r="H45">
        <f t="shared" si="10"/>
        <v>0</v>
      </c>
      <c r="I45">
        <f t="shared" si="10"/>
        <v>0</v>
      </c>
      <c r="J45">
        <f t="shared" si="10"/>
        <v>0</v>
      </c>
      <c r="K45">
        <f t="shared" si="10"/>
        <v>0</v>
      </c>
      <c r="L45">
        <f t="shared" si="10"/>
        <v>0</v>
      </c>
      <c r="M45">
        <f t="shared" si="10"/>
        <v>0</v>
      </c>
      <c r="N45">
        <f t="shared" si="10"/>
        <v>0</v>
      </c>
      <c r="O45">
        <f t="shared" si="10"/>
        <v>0</v>
      </c>
      <c r="P45">
        <f t="shared" si="10"/>
        <v>0</v>
      </c>
      <c r="R45" s="126">
        <f>SUM(B45:P45)</f>
        <v>0</v>
      </c>
    </row>
    <row r="46" spans="1:34" x14ac:dyDescent="0.35">
      <c r="A46" t="s">
        <v>517</v>
      </c>
      <c r="B46">
        <v>0</v>
      </c>
      <c r="C46">
        <v>0</v>
      </c>
      <c r="D46">
        <v>0</v>
      </c>
      <c r="E46">
        <v>0</v>
      </c>
      <c r="F46">
        <v>0</v>
      </c>
      <c r="G46">
        <v>0</v>
      </c>
      <c r="H46">
        <v>0</v>
      </c>
      <c r="I46">
        <v>0</v>
      </c>
      <c r="J46">
        <v>0</v>
      </c>
      <c r="K46">
        <v>0</v>
      </c>
      <c r="L46">
        <v>0</v>
      </c>
      <c r="M46">
        <v>0</v>
      </c>
      <c r="N46">
        <v>0</v>
      </c>
      <c r="O46">
        <v>0</v>
      </c>
      <c r="P46">
        <v>0</v>
      </c>
      <c r="R46" s="126">
        <f>SUM(B46:P46)</f>
        <v>0</v>
      </c>
    </row>
    <row r="47" spans="1:34" x14ac:dyDescent="0.35">
      <c r="A47" t="s">
        <v>518</v>
      </c>
      <c r="B47">
        <f ca="1">B19</f>
        <v>0</v>
      </c>
      <c r="C47">
        <f ca="1">C19</f>
        <v>0</v>
      </c>
      <c r="D47">
        <f ca="1">D19</f>
        <v>0</v>
      </c>
      <c r="E47">
        <f ca="1">E19</f>
        <v>0</v>
      </c>
      <c r="F47">
        <f ca="1">F19</f>
        <v>0</v>
      </c>
      <c r="G47">
        <f ca="1">G19</f>
        <v>0</v>
      </c>
      <c r="H47">
        <f ca="1">H19</f>
        <v>0</v>
      </c>
      <c r="I47">
        <f ca="1">I19</f>
        <v>0</v>
      </c>
      <c r="J47">
        <f ca="1">J19</f>
        <v>0</v>
      </c>
      <c r="K47">
        <f ca="1">K19</f>
        <v>0</v>
      </c>
      <c r="L47">
        <f ca="1">L19</f>
        <v>0</v>
      </c>
      <c r="M47">
        <f ca="1">M19</f>
        <v>0</v>
      </c>
      <c r="N47">
        <f ca="1">N19</f>
        <v>0</v>
      </c>
      <c r="O47">
        <f ca="1">O19</f>
        <v>0</v>
      </c>
      <c r="P47">
        <f ca="1">P19</f>
        <v>0</v>
      </c>
      <c r="R47" s="126">
        <f ca="1">SUM(B47:P47)</f>
        <v>0</v>
      </c>
    </row>
    <row r="48" spans="1:34" x14ac:dyDescent="0.35">
      <c r="A48" t="s">
        <v>519</v>
      </c>
      <c r="B48">
        <f ca="1">B47</f>
        <v>0</v>
      </c>
      <c r="C48">
        <f ca="1">B48+C47</f>
        <v>0</v>
      </c>
      <c r="D48">
        <f t="shared" ref="D48:P48" ca="1" si="11">C48+D47</f>
        <v>0</v>
      </c>
      <c r="E48">
        <f t="shared" ca="1" si="11"/>
        <v>0</v>
      </c>
      <c r="F48">
        <f t="shared" ca="1" si="11"/>
        <v>0</v>
      </c>
      <c r="G48">
        <f t="shared" ca="1" si="11"/>
        <v>0</v>
      </c>
      <c r="H48">
        <f t="shared" ca="1" si="11"/>
        <v>0</v>
      </c>
      <c r="I48">
        <f t="shared" ca="1" si="11"/>
        <v>0</v>
      </c>
      <c r="J48">
        <f t="shared" ca="1" si="11"/>
        <v>0</v>
      </c>
      <c r="K48">
        <f t="shared" ca="1" si="11"/>
        <v>0</v>
      </c>
      <c r="L48">
        <f t="shared" ca="1" si="11"/>
        <v>0</v>
      </c>
      <c r="M48">
        <f t="shared" ca="1" si="11"/>
        <v>0</v>
      </c>
      <c r="N48">
        <f t="shared" ca="1" si="11"/>
        <v>0</v>
      </c>
      <c r="O48">
        <f t="shared" ca="1" si="11"/>
        <v>0</v>
      </c>
      <c r="P48">
        <f t="shared" ca="1" si="11"/>
        <v>0</v>
      </c>
      <c r="R48" s="126">
        <f ca="1">SUM(B48:P48)</f>
        <v>0</v>
      </c>
    </row>
    <row r="49" spans="1:18" x14ac:dyDescent="0.35">
      <c r="A49" t="s">
        <v>520</v>
      </c>
      <c r="B49">
        <f ca="1">B25+B26+B20</f>
        <v>0</v>
      </c>
      <c r="C49">
        <f ca="1">C25+C26+C20</f>
        <v>0</v>
      </c>
      <c r="D49">
        <f ca="1">D25+D26+D20</f>
        <v>0</v>
      </c>
      <c r="E49">
        <f ca="1">E25+E26+E20</f>
        <v>0</v>
      </c>
      <c r="F49">
        <f ca="1">F25+F26+F20</f>
        <v>0</v>
      </c>
      <c r="G49">
        <f ca="1">G25+G26+G20</f>
        <v>0</v>
      </c>
      <c r="H49">
        <f ca="1">H25+H26+H20</f>
        <v>0</v>
      </c>
      <c r="I49">
        <f ca="1">I25+I26+I20</f>
        <v>0</v>
      </c>
      <c r="J49">
        <f ca="1">J25+J26+J20</f>
        <v>0</v>
      </c>
      <c r="K49">
        <f ca="1">K25+K26+K20</f>
        <v>0</v>
      </c>
      <c r="L49">
        <f ca="1">L25+L26+L20</f>
        <v>0</v>
      </c>
      <c r="M49">
        <f ca="1">M25+M26+M20</f>
        <v>0</v>
      </c>
      <c r="N49">
        <f ca="1">N25+N26+N20</f>
        <v>0</v>
      </c>
      <c r="O49">
        <f ca="1">O25+O26+O20</f>
        <v>0</v>
      </c>
      <c r="P49">
        <f ca="1">P25+P26+P20</f>
        <v>0</v>
      </c>
      <c r="R49" s="126">
        <f ca="1">SUM(B49:P49)</f>
        <v>0</v>
      </c>
    </row>
    <row r="50" spans="1:18" x14ac:dyDescent="0.35">
      <c r="A50" t="s">
        <v>521</v>
      </c>
      <c r="B50">
        <f ca="1">B49</f>
        <v>0</v>
      </c>
      <c r="C50">
        <f ca="1">B50+C49</f>
        <v>0</v>
      </c>
      <c r="D50">
        <f t="shared" ref="D50:O50" ca="1" si="12">C50+D49</f>
        <v>0</v>
      </c>
      <c r="E50">
        <f t="shared" ca="1" si="12"/>
        <v>0</v>
      </c>
      <c r="F50">
        <f t="shared" ca="1" si="12"/>
        <v>0</v>
      </c>
      <c r="G50">
        <f t="shared" ca="1" si="12"/>
        <v>0</v>
      </c>
      <c r="H50">
        <f t="shared" ca="1" si="12"/>
        <v>0</v>
      </c>
      <c r="I50">
        <f t="shared" ca="1" si="12"/>
        <v>0</v>
      </c>
      <c r="J50">
        <f t="shared" ca="1" si="12"/>
        <v>0</v>
      </c>
      <c r="K50">
        <f t="shared" ca="1" si="12"/>
        <v>0</v>
      </c>
      <c r="L50">
        <f t="shared" ca="1" si="12"/>
        <v>0</v>
      </c>
      <c r="M50">
        <f t="shared" ca="1" si="12"/>
        <v>0</v>
      </c>
      <c r="N50">
        <f t="shared" ca="1" si="12"/>
        <v>0</v>
      </c>
      <c r="O50">
        <f t="shared" ca="1" si="12"/>
        <v>0</v>
      </c>
      <c r="P50">
        <f ca="1">O50+P49</f>
        <v>0</v>
      </c>
      <c r="R50" s="126">
        <f ca="1">SUM(B50:P50)</f>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50C51-6AF2-44A3-BDF7-CA10DD28C8DD}">
  <dimension ref="A1:AI66"/>
  <sheetViews>
    <sheetView topLeftCell="A22" workbookViewId="0">
      <selection activeCell="T31" sqref="T31:AH50"/>
    </sheetView>
  </sheetViews>
  <sheetFormatPr defaultRowHeight="14.5" x14ac:dyDescent="0.35"/>
  <cols>
    <col min="2" max="2" width="10.26953125" bestFit="1" customWidth="1"/>
    <col min="3" max="3" width="16.36328125" bestFit="1" customWidth="1"/>
    <col min="18" max="18" width="9.81640625" bestFit="1" customWidth="1"/>
  </cols>
  <sheetData>
    <row r="1" spans="1:35" x14ac:dyDescent="0.35">
      <c r="B1">
        <v>2022</v>
      </c>
      <c r="C1">
        <v>2023</v>
      </c>
      <c r="D1">
        <v>2024</v>
      </c>
      <c r="E1">
        <v>2025</v>
      </c>
      <c r="F1">
        <v>2026</v>
      </c>
      <c r="G1">
        <v>2027</v>
      </c>
      <c r="H1">
        <v>2028</v>
      </c>
      <c r="I1">
        <v>2029</v>
      </c>
      <c r="J1">
        <v>2030</v>
      </c>
      <c r="K1">
        <v>2031</v>
      </c>
      <c r="L1">
        <v>2032</v>
      </c>
      <c r="M1">
        <v>2033</v>
      </c>
      <c r="N1">
        <v>2034</v>
      </c>
      <c r="O1">
        <v>2035</v>
      </c>
      <c r="P1">
        <v>2036</v>
      </c>
    </row>
    <row r="2" spans="1:35" x14ac:dyDescent="0.35">
      <c r="A2" t="str">
        <f>'1_1_Definition_Flows'!C2</f>
        <v>F_13_20</v>
      </c>
      <c r="B2" s="127" cm="1">
        <f t="array" aca="1" ref="B2" ca="1">Solution_material!B2*INDIRECT("Tab_Def_Flows[@DM]")</f>
        <v>121.25999999999999</v>
      </c>
      <c r="C2" s="127" cm="1">
        <f t="array" aca="1" ref="C2" ca="1">Solution_material!C2*INDIRECT("Tab_Def_Flows[@DM]")</f>
        <v>123.68520000000001</v>
      </c>
      <c r="D2" s="127" cm="1">
        <f t="array" aca="1" ref="D2" ca="1">Solution_material!D2*INDIRECT("Tab_Def_Flows[@DM]")</f>
        <v>126.15890399999999</v>
      </c>
      <c r="E2" s="127" cm="1">
        <f t="array" aca="1" ref="E2" ca="1">Solution_material!E2*INDIRECT("Tab_Def_Flows[@DM]")</f>
        <v>128.68208208000001</v>
      </c>
      <c r="F2" s="127" cm="1">
        <f t="array" aca="1" ref="F2" ca="1">Solution_material!F2*INDIRECT("Tab_Def_Flows[@DM]")</f>
        <v>131.25572372160002</v>
      </c>
      <c r="G2" s="127" cm="1">
        <f t="array" aca="1" ref="G2" ca="1">Solution_material!G2*INDIRECT("Tab_Def_Flows[@DM]")</f>
        <v>133.88083819603202</v>
      </c>
      <c r="H2" s="127" cm="1">
        <f t="array" aca="1" ref="H2" ca="1">Solution_material!H2*INDIRECT("Tab_Def_Flows[@DM]")</f>
        <v>136.55845495995266</v>
      </c>
      <c r="I2" s="127" cm="1">
        <f t="array" aca="1" ref="I2" ca="1">Solution_material!I2*INDIRECT("Tab_Def_Flows[@DM]")</f>
        <v>139.28962405915169</v>
      </c>
      <c r="J2" s="127" cm="1">
        <f t="array" aca="1" ref="J2" ca="1">Solution_material!J2*INDIRECT("Tab_Def_Flows[@DM]")</f>
        <v>142.07541654033471</v>
      </c>
      <c r="K2" s="127" cm="1">
        <f t="array" aca="1" ref="K2" ca="1">Solution_material!K2*INDIRECT("Tab_Def_Flows[@DM]")</f>
        <v>144.91692487114142</v>
      </c>
      <c r="L2" s="127" cm="1">
        <f t="array" aca="1" ref="L2" ca="1">Solution_material!L2*INDIRECT("Tab_Def_Flows[@DM]")</f>
        <v>147.81526336856425</v>
      </c>
      <c r="M2" s="127" cm="1">
        <f t="array" aca="1" ref="M2" ca="1">Solution_material!M2*INDIRECT("Tab_Def_Flows[@DM]")</f>
        <v>150.77156863593552</v>
      </c>
      <c r="N2" s="127" cm="1">
        <f t="array" aca="1" ref="N2" ca="1">Solution_material!N2*INDIRECT("Tab_Def_Flows[@DM]")</f>
        <v>153.78700000865425</v>
      </c>
      <c r="O2" s="127" cm="1">
        <f t="array" aca="1" ref="O2" ca="1">Solution_material!O2*INDIRECT("Tab_Def_Flows[@DM]")</f>
        <v>156.86274000882733</v>
      </c>
      <c r="P2" s="127" cm="1">
        <f t="array" aca="1" ref="P2" ca="1">Solution_material!P2*INDIRECT("Tab_Def_Flows[@DM]")</f>
        <v>159.99999480900388</v>
      </c>
      <c r="R2" s="126">
        <f ca="1">SUM(B2:P2)</f>
        <v>2096.9997352591981</v>
      </c>
      <c r="T2" s="127"/>
      <c r="U2" s="127"/>
      <c r="V2" s="127"/>
      <c r="W2" s="127"/>
      <c r="X2" s="127"/>
      <c r="Y2" s="127"/>
      <c r="Z2" s="127"/>
      <c r="AA2" s="127"/>
      <c r="AB2" s="127"/>
      <c r="AC2" s="127"/>
      <c r="AD2" s="127"/>
      <c r="AE2" s="127"/>
      <c r="AF2" s="127"/>
      <c r="AG2" s="127"/>
      <c r="AH2" s="127"/>
      <c r="AI2" s="127"/>
    </row>
    <row r="3" spans="1:35" x14ac:dyDescent="0.35">
      <c r="A3" t="str">
        <f>'1_1_Definition_Flows'!C3</f>
        <v>F_20_15</v>
      </c>
      <c r="B3" s="127" cm="1">
        <f t="array" aca="1" ref="B3" ca="1">Solution_material!B3*INDIRECT("Tab_Def_Flows[@DM]")</f>
        <v>48.503999999999998</v>
      </c>
      <c r="C3" s="127" cm="1">
        <f t="array" aca="1" ref="C3" ca="1">Solution_material!C3*INDIRECT("Tab_Def_Flows[@DM]")</f>
        <v>49.474080000000001</v>
      </c>
      <c r="D3" s="127" cm="1">
        <f t="array" aca="1" ref="D3" ca="1">Solution_material!D3*INDIRECT("Tab_Def_Flows[@DM]")</f>
        <v>50.463561599999998</v>
      </c>
      <c r="E3" s="127" cm="1">
        <f t="array" aca="1" ref="E3" ca="1">Solution_material!E3*INDIRECT("Tab_Def_Flows[@DM]")</f>
        <v>51.472832832000002</v>
      </c>
      <c r="F3" s="127" cm="1">
        <f t="array" aca="1" ref="F3" ca="1">Solution_material!F3*INDIRECT("Tab_Def_Flows[@DM]")</f>
        <v>52.502289488640002</v>
      </c>
      <c r="G3" s="127" cm="1">
        <f t="array" aca="1" ref="G3" ca="1">Solution_material!G3*INDIRECT("Tab_Def_Flows[@DM]")</f>
        <v>53.552335278412812</v>
      </c>
      <c r="H3" s="127" cm="1">
        <f t="array" aca="1" ref="H3" ca="1">Solution_material!H3*INDIRECT("Tab_Def_Flows[@DM]")</f>
        <v>54.623381983981062</v>
      </c>
      <c r="I3" s="127" cm="1">
        <f t="array" aca="1" ref="I3" ca="1">Solution_material!I3*INDIRECT("Tab_Def_Flows[@DM]")</f>
        <v>55.715849623660681</v>
      </c>
      <c r="J3" s="127" cm="1">
        <f t="array" aca="1" ref="J3" ca="1">Solution_material!J3*INDIRECT("Tab_Def_Flows[@DM]")</f>
        <v>56.830166616133894</v>
      </c>
      <c r="K3" s="127" cm="1">
        <f t="array" aca="1" ref="K3" ca="1">Solution_material!K3*INDIRECT("Tab_Def_Flows[@DM]")</f>
        <v>57.966769948456573</v>
      </c>
      <c r="L3" s="127" cm="1">
        <f t="array" aca="1" ref="L3" ca="1">Solution_material!L3*INDIRECT("Tab_Def_Flows[@DM]")</f>
        <v>59.1261053474257</v>
      </c>
      <c r="M3" s="127" cm="1">
        <f t="array" aca="1" ref="M3" ca="1">Solution_material!M3*INDIRECT("Tab_Def_Flows[@DM]")</f>
        <v>60.308627454374218</v>
      </c>
      <c r="N3" s="127" cm="1">
        <f t="array" aca="1" ref="N3" ca="1">Solution_material!N3*INDIRECT("Tab_Def_Flows[@DM]")</f>
        <v>61.514800003461694</v>
      </c>
      <c r="O3" s="127" cm="1">
        <f t="array" aca="1" ref="O3" ca="1">Solution_material!O3*INDIRECT("Tab_Def_Flows[@DM]")</f>
        <v>62.745096003530932</v>
      </c>
      <c r="P3" s="127" cm="1">
        <f t="array" aca="1" ref="P3" ca="1">Solution_material!P3*INDIRECT("Tab_Def_Flows[@DM]")</f>
        <v>63.999997923601548</v>
      </c>
      <c r="R3" s="126">
        <f t="shared" ref="R3:R26" ca="1" si="0">SUM(B3:P3)</f>
        <v>838.79989410367921</v>
      </c>
      <c r="T3" s="127"/>
      <c r="U3" s="127"/>
      <c r="V3" s="127"/>
      <c r="W3" s="127"/>
      <c r="X3" s="127"/>
      <c r="Y3" s="127"/>
      <c r="Z3" s="127"/>
      <c r="AA3" s="127"/>
      <c r="AB3" s="127"/>
      <c r="AC3" s="127"/>
      <c r="AD3" s="127"/>
      <c r="AE3" s="127"/>
      <c r="AF3" s="127"/>
      <c r="AG3" s="127"/>
      <c r="AH3" s="127"/>
      <c r="AI3" s="127"/>
    </row>
    <row r="4" spans="1:35" x14ac:dyDescent="0.35">
      <c r="A4" t="str">
        <f>'1_1_Definition_Flows'!C4</f>
        <v>F_20_01</v>
      </c>
      <c r="B4" s="127" cm="1">
        <f t="array" aca="1" ref="B4" ca="1">Solution_material!B4*INDIRECT("Tab_Def_Flows[@DM]")</f>
        <v>48.503999999999998</v>
      </c>
      <c r="C4" s="127" cm="1">
        <f t="array" aca="1" ref="C4" ca="1">Solution_material!C4*INDIRECT("Tab_Def_Flows[@DM]")</f>
        <v>49.474080000000001</v>
      </c>
      <c r="D4" s="127" cm="1">
        <f t="array" aca="1" ref="D4" ca="1">Solution_material!D4*INDIRECT("Tab_Def_Flows[@DM]")</f>
        <v>50.463561599999998</v>
      </c>
      <c r="E4" s="127" cm="1">
        <f t="array" aca="1" ref="E4" ca="1">Solution_material!E4*INDIRECT("Tab_Def_Flows[@DM]")</f>
        <v>51.472832832000002</v>
      </c>
      <c r="F4" s="127" cm="1">
        <f t="array" aca="1" ref="F4" ca="1">Solution_material!F4*INDIRECT("Tab_Def_Flows[@DM]")</f>
        <v>52.502289488640002</v>
      </c>
      <c r="G4" s="127" cm="1">
        <f t="array" aca="1" ref="G4" ca="1">Solution_material!G4*INDIRECT("Tab_Def_Flows[@DM]")</f>
        <v>53.552335278412812</v>
      </c>
      <c r="H4" s="127" cm="1">
        <f t="array" aca="1" ref="H4" ca="1">Solution_material!H4*INDIRECT("Tab_Def_Flows[@DM]")</f>
        <v>54.623381983981062</v>
      </c>
      <c r="I4" s="127" cm="1">
        <f t="array" aca="1" ref="I4" ca="1">Solution_material!I4*INDIRECT("Tab_Def_Flows[@DM]")</f>
        <v>55.715849623660681</v>
      </c>
      <c r="J4" s="127" cm="1">
        <f t="array" aca="1" ref="J4" ca="1">Solution_material!J4*INDIRECT("Tab_Def_Flows[@DM]")</f>
        <v>56.830166616133894</v>
      </c>
      <c r="K4" s="127" cm="1">
        <f t="array" aca="1" ref="K4" ca="1">Solution_material!K4*INDIRECT("Tab_Def_Flows[@DM]")</f>
        <v>57.966769948456573</v>
      </c>
      <c r="L4" s="127" cm="1">
        <f t="array" aca="1" ref="L4" ca="1">Solution_material!L4*INDIRECT("Tab_Def_Flows[@DM]")</f>
        <v>59.1261053474257</v>
      </c>
      <c r="M4" s="127" cm="1">
        <f t="array" aca="1" ref="M4" ca="1">Solution_material!M4*INDIRECT("Tab_Def_Flows[@DM]")</f>
        <v>60.308627454374218</v>
      </c>
      <c r="N4" s="127" cm="1">
        <f t="array" aca="1" ref="N4" ca="1">Solution_material!N4*INDIRECT("Tab_Def_Flows[@DM]")</f>
        <v>61.514800003461694</v>
      </c>
      <c r="O4" s="127" cm="1">
        <f t="array" aca="1" ref="O4" ca="1">Solution_material!O4*INDIRECT("Tab_Def_Flows[@DM]")</f>
        <v>62.745096003530932</v>
      </c>
      <c r="P4" s="127" cm="1">
        <f t="array" aca="1" ref="P4" ca="1">Solution_material!P4*INDIRECT("Tab_Def_Flows[@DM]")</f>
        <v>63.999997923601548</v>
      </c>
      <c r="R4" s="126">
        <f t="shared" ca="1" si="0"/>
        <v>838.79989410367921</v>
      </c>
      <c r="T4" s="127"/>
      <c r="U4" s="127"/>
      <c r="V4" s="127"/>
      <c r="W4" s="127"/>
      <c r="X4" s="127"/>
      <c r="Y4" s="127"/>
      <c r="Z4" s="127"/>
      <c r="AA4" s="127"/>
      <c r="AB4" s="127"/>
      <c r="AC4" s="127"/>
      <c r="AD4" s="127"/>
      <c r="AE4" s="127"/>
      <c r="AF4" s="127"/>
      <c r="AG4" s="127"/>
      <c r="AH4" s="127"/>
      <c r="AI4" s="127"/>
    </row>
    <row r="5" spans="1:35" x14ac:dyDescent="0.35">
      <c r="A5" t="str">
        <f>'1_1_Definition_Flows'!C5</f>
        <v>F_20_16</v>
      </c>
      <c r="B5" s="127" cm="1">
        <f t="array" aca="1" ref="B5" ca="1">Solution_material!B5*INDIRECT("Tab_Def_Flows[@DM]")</f>
        <v>24.252000000000002</v>
      </c>
      <c r="C5" s="127" cm="1">
        <f t="array" aca="1" ref="C5" ca="1">Solution_material!C5*INDIRECT("Tab_Def_Flows[@DM]")</f>
        <v>24.73704</v>
      </c>
      <c r="D5" s="127" cm="1">
        <f t="array" aca="1" ref="D5" ca="1">Solution_material!D5*INDIRECT("Tab_Def_Flows[@DM]")</f>
        <v>25.231780799999999</v>
      </c>
      <c r="E5" s="127" cm="1">
        <f t="array" aca="1" ref="E5" ca="1">Solution_material!E5*INDIRECT("Tab_Def_Flows[@DM]")</f>
        <v>25.736416416000001</v>
      </c>
      <c r="F5" s="127" cm="1">
        <f t="array" aca="1" ref="F5" ca="1">Solution_material!F5*INDIRECT("Tab_Def_Flows[@DM]")</f>
        <v>26.251144744320001</v>
      </c>
      <c r="G5" s="127" cm="1">
        <f t="array" aca="1" ref="G5" ca="1">Solution_material!G5*INDIRECT("Tab_Def_Flows[@DM]")</f>
        <v>26.776167639206388</v>
      </c>
      <c r="H5" s="127" cm="1">
        <f t="array" aca="1" ref="H5" ca="1">Solution_material!H5*INDIRECT("Tab_Def_Flows[@DM]")</f>
        <v>27.311690991990524</v>
      </c>
      <c r="I5" s="127" cm="1">
        <f t="array" aca="1" ref="I5" ca="1">Solution_material!I5*INDIRECT("Tab_Def_Flows[@DM]")</f>
        <v>27.857924811830344</v>
      </c>
      <c r="J5" s="127" cm="1">
        <f t="array" aca="1" ref="J5" ca="1">Solution_material!J5*INDIRECT("Tab_Def_Flows[@DM]")</f>
        <v>28.415083308066929</v>
      </c>
      <c r="K5" s="127" cm="1">
        <f t="array" aca="1" ref="K5" ca="1">Solution_material!K5*INDIRECT("Tab_Def_Flows[@DM]")</f>
        <v>28.983384974228269</v>
      </c>
      <c r="L5" s="127" cm="1">
        <f t="array" aca="1" ref="L5" ca="1">Solution_material!L5*INDIRECT("Tab_Def_Flows[@DM]")</f>
        <v>29.563052673712853</v>
      </c>
      <c r="M5" s="127" cm="1">
        <f t="array" aca="1" ref="M5" ca="1">Solution_material!M5*INDIRECT("Tab_Def_Flows[@DM]")</f>
        <v>30.154313727187102</v>
      </c>
      <c r="N5" s="127" cm="1">
        <f t="array" aca="1" ref="N5" ca="1">Solution_material!N5*INDIRECT("Tab_Def_Flows[@DM]")</f>
        <v>30.757400001730847</v>
      </c>
      <c r="O5" s="127" cm="1">
        <f t="array" aca="1" ref="O5" ca="1">Solution_material!O5*INDIRECT("Tab_Def_Flows[@DM]")</f>
        <v>31.372548001765459</v>
      </c>
      <c r="P5" s="127" cm="1">
        <f t="array" aca="1" ref="P5" ca="1">Solution_material!P5*INDIRECT("Tab_Def_Flows[@DM]")</f>
        <v>31.999998961800774</v>
      </c>
      <c r="R5" s="126">
        <f t="shared" ca="1" si="0"/>
        <v>419.39994705183943</v>
      </c>
      <c r="T5" s="127"/>
      <c r="U5" s="127"/>
      <c r="V5" s="127"/>
      <c r="W5" s="127"/>
      <c r="X5" s="127"/>
      <c r="Y5" s="127"/>
      <c r="Z5" s="127"/>
      <c r="AA5" s="127"/>
      <c r="AB5" s="127"/>
      <c r="AC5" s="127"/>
      <c r="AD5" s="127"/>
      <c r="AE5" s="127"/>
      <c r="AF5" s="127"/>
      <c r="AG5" s="127"/>
      <c r="AH5" s="127"/>
      <c r="AI5" s="127"/>
    </row>
    <row r="6" spans="1:35" x14ac:dyDescent="0.35">
      <c r="A6" t="str">
        <f>'1_1_Definition_Flows'!C6</f>
        <v>F_04_01</v>
      </c>
      <c r="B6" s="127" cm="1">
        <f t="array" aca="1" ref="B6" ca="1">Solution_material!B6*INDIRECT("Tab_Def_Flows[@DM]")</f>
        <v>2.34</v>
      </c>
      <c r="C6" s="127" cm="1">
        <f t="array" aca="1" ref="C6" ca="1">Solution_material!C6*INDIRECT("Tab_Def_Flows[@DM]")</f>
        <v>2.3868</v>
      </c>
      <c r="D6" s="127" cm="1">
        <f t="array" aca="1" ref="D6" ca="1">Solution_material!D6*INDIRECT("Tab_Def_Flows[@DM]")</f>
        <v>2.434536</v>
      </c>
      <c r="E6" s="127" cm="1">
        <f t="array" aca="1" ref="E6" ca="1">Solution_material!E6*INDIRECT("Tab_Def_Flows[@DM]")</f>
        <v>2.4832267200000002</v>
      </c>
      <c r="F6" s="127" cm="1">
        <f t="array" aca="1" ref="F6" ca="1">Solution_material!F6*INDIRECT("Tab_Def_Flows[@DM]")</f>
        <v>2.5328912544</v>
      </c>
      <c r="G6" s="127" cm="1">
        <f t="array" aca="1" ref="G6" ca="1">Solution_material!G6*INDIRECT("Tab_Def_Flows[@DM]")</f>
        <v>2.5835490794879998</v>
      </c>
      <c r="H6" s="127" cm="1">
        <f t="array" aca="1" ref="H6" ca="1">Solution_material!H6*INDIRECT("Tab_Def_Flows[@DM]")</f>
        <v>2.6352200610777596</v>
      </c>
      <c r="I6" s="127" cm="1">
        <f t="array" aca="1" ref="I6" ca="1">Solution_material!I6*INDIRECT("Tab_Def_Flows[@DM]")</f>
        <v>2.687924462299315</v>
      </c>
      <c r="J6" s="127" cm="1">
        <f t="array" aca="1" ref="J6" ca="1">Solution_material!J6*INDIRECT("Tab_Def_Flows[@DM]")</f>
        <v>2.7416829515453016</v>
      </c>
      <c r="K6" s="127" cm="1">
        <f t="array" aca="1" ref="K6" ca="1">Solution_material!K6*INDIRECT("Tab_Def_Flows[@DM]")</f>
        <v>2.7965166105762078</v>
      </c>
      <c r="L6" s="127" cm="1">
        <f t="array" aca="1" ref="L6" ca="1">Solution_material!L6*INDIRECT("Tab_Def_Flows[@DM]")</f>
        <v>2.8524469427877319</v>
      </c>
      <c r="M6" s="127" cm="1">
        <f t="array" aca="1" ref="M6" ca="1">Solution_material!M6*INDIRECT("Tab_Def_Flows[@DM]")</f>
        <v>2.9094958816434868</v>
      </c>
      <c r="N6" s="127" cm="1">
        <f t="array" aca="1" ref="N6" ca="1">Solution_material!N6*INDIRECT("Tab_Def_Flows[@DM]")</f>
        <v>2.9676857992763566</v>
      </c>
      <c r="O6" s="127" cm="1">
        <f t="array" aca="1" ref="O6" ca="1">Solution_material!O6*INDIRECT("Tab_Def_Flows[@DM]")</f>
        <v>3.0270395152618836</v>
      </c>
      <c r="P6" s="127" cm="1">
        <f t="array" aca="1" ref="P6" ca="1">Solution_material!P6*INDIRECT("Tab_Def_Flows[@DM]")</f>
        <v>3.0875803055671218</v>
      </c>
      <c r="R6" s="126">
        <f t="shared" ca="1" si="0"/>
        <v>40.466595583923166</v>
      </c>
      <c r="T6" s="127"/>
      <c r="U6" s="127"/>
      <c r="V6" s="127"/>
      <c r="W6" s="127"/>
      <c r="X6" s="127"/>
      <c r="Y6" s="127"/>
      <c r="Z6" s="127"/>
      <c r="AA6" s="127"/>
      <c r="AB6" s="127"/>
      <c r="AC6" s="127"/>
      <c r="AD6" s="127"/>
      <c r="AE6" s="127"/>
      <c r="AF6" s="127"/>
      <c r="AG6" s="127"/>
      <c r="AH6" s="127"/>
      <c r="AI6" s="127"/>
    </row>
    <row r="7" spans="1:35" x14ac:dyDescent="0.35">
      <c r="A7" t="str">
        <f>'1_1_Definition_Flows'!C7</f>
        <v>F_01_05</v>
      </c>
      <c r="B7" s="127" cm="1">
        <f t="array" aca="1" ref="B7" ca="1">Solution_material!B7*INDIRECT("Tab_Def_Flows[@DM]")</f>
        <v>22.921799999999998</v>
      </c>
      <c r="C7" s="127" cm="1">
        <f t="array" aca="1" ref="C7" ca="1">Solution_material!C7*INDIRECT("Tab_Def_Flows[@DM]")</f>
        <v>23.380236000000004</v>
      </c>
      <c r="D7" s="127" cm="1">
        <f t="array" aca="1" ref="D7" ca="1">Solution_material!D7*INDIRECT("Tab_Def_Flows[@DM]")</f>
        <v>23.847840720000004</v>
      </c>
      <c r="E7" s="127" cm="1">
        <f t="array" aca="1" ref="E7" ca="1">Solution_material!E7*INDIRECT("Tab_Def_Flows[@DM]")</f>
        <v>24.324797534400002</v>
      </c>
      <c r="F7" s="127" cm="1">
        <f t="array" aca="1" ref="F7" ca="1">Solution_material!F7*INDIRECT("Tab_Def_Flows[@DM]")</f>
        <v>24.811293485088001</v>
      </c>
      <c r="G7" s="127" cm="1">
        <f t="array" aca="1" ref="G7" ca="1">Solution_material!G7*INDIRECT("Tab_Def_Flows[@DM]")</f>
        <v>25.307519354789761</v>
      </c>
      <c r="H7" s="127" cm="1">
        <f t="array" aca="1" ref="H7" ca="1">Solution_material!H7*INDIRECT("Tab_Def_Flows[@DM]")</f>
        <v>25.813669741885558</v>
      </c>
      <c r="I7" s="127" cm="1">
        <f t="array" aca="1" ref="I7" ca="1">Solution_material!I7*INDIRECT("Tab_Def_Flows[@DM]")</f>
        <v>26.329943136723269</v>
      </c>
      <c r="J7" s="127" cm="1">
        <f t="array" aca="1" ref="J7" ca="1">Solution_material!J7*INDIRECT("Tab_Def_Flows[@DM]")</f>
        <v>26.856541999457733</v>
      </c>
      <c r="K7" s="127" cm="1">
        <f t="array" aca="1" ref="K7" ca="1">Solution_material!K7*INDIRECT("Tab_Def_Flows[@DM]")</f>
        <v>27.393672839446893</v>
      </c>
      <c r="L7" s="127" cm="1">
        <f t="array" aca="1" ref="L7" ca="1">Solution_material!L7*INDIRECT("Tab_Def_Flows[@DM]")</f>
        <v>27.941546296235828</v>
      </c>
      <c r="M7" s="127" cm="1">
        <f t="array" aca="1" ref="M7" ca="1">Solution_material!M7*INDIRECT("Tab_Def_Flows[@DM]")</f>
        <v>28.500377222160544</v>
      </c>
      <c r="N7" s="127" cm="1">
        <f t="array" aca="1" ref="N7" ca="1">Solution_material!N7*INDIRECT("Tab_Def_Flows[@DM]")</f>
        <v>29.070384766603755</v>
      </c>
      <c r="O7" s="127" cm="1">
        <f t="array" aca="1" ref="O7" ca="1">Solution_material!O7*INDIRECT("Tab_Def_Flows[@DM]")</f>
        <v>29.65179246193583</v>
      </c>
      <c r="P7" s="127" cm="1">
        <f t="array" aca="1" ref="P7" ca="1">Solution_material!P7*INDIRECT("Tab_Def_Flows[@DM]")</f>
        <v>30.244828311174544</v>
      </c>
      <c r="R7" s="126">
        <f t="shared" ca="1" si="0"/>
        <v>396.3962438699017</v>
      </c>
      <c r="T7" s="127"/>
      <c r="U7" s="127"/>
      <c r="V7" s="127"/>
      <c r="W7" s="127"/>
      <c r="X7" s="127"/>
      <c r="Y7" s="127"/>
      <c r="Z7" s="127"/>
      <c r="AA7" s="127"/>
      <c r="AB7" s="127"/>
      <c r="AC7" s="127"/>
      <c r="AD7" s="127"/>
      <c r="AE7" s="127"/>
      <c r="AF7" s="127"/>
      <c r="AG7" s="127"/>
      <c r="AH7" s="127"/>
      <c r="AI7" s="127"/>
    </row>
    <row r="8" spans="1:35" x14ac:dyDescent="0.35">
      <c r="A8" t="str">
        <f>'1_1_Definition_Flows'!C8</f>
        <v>F_01_02</v>
      </c>
      <c r="B8" s="127" cm="1">
        <f t="array" aca="1" ref="B8" ca="1">Solution_material!B8*INDIRECT("Tab_Def_Flows[@DM]")</f>
        <v>24.364151999999997</v>
      </c>
      <c r="C8" s="127" cm="1">
        <f t="array" aca="1" ref="C8" ca="1">Solution_material!C8*INDIRECT("Tab_Def_Flows[@DM]")</f>
        <v>24.851435040000002</v>
      </c>
      <c r="D8" s="127" cm="1">
        <f t="array" aca="1" ref="D8" ca="1">Solution_material!D8*INDIRECT("Tab_Def_Flows[@DM]")</f>
        <v>25.3484637408</v>
      </c>
      <c r="E8" s="127" cm="1">
        <f t="array" aca="1" ref="E8" ca="1">Solution_material!E8*INDIRECT("Tab_Def_Flows[@DM]")</f>
        <v>25.855433015616001</v>
      </c>
      <c r="F8" s="127" cm="1">
        <f t="array" aca="1" ref="F8" ca="1">Solution_material!F8*INDIRECT("Tab_Def_Flows[@DM]")</f>
        <v>26.372541675928321</v>
      </c>
      <c r="G8" s="127" cm="1">
        <f t="array" aca="1" ref="G8" ca="1">Solution_material!G8*INDIRECT("Tab_Def_Flows[@DM]")</f>
        <v>26.899992509446886</v>
      </c>
      <c r="H8" s="127" cm="1">
        <f t="array" aca="1" ref="H8" ca="1">Solution_material!H8*INDIRECT("Tab_Def_Flows[@DM]")</f>
        <v>27.437992359635825</v>
      </c>
      <c r="I8" s="127" cm="1">
        <f t="array" aca="1" ref="I8" ca="1">Solution_material!I8*INDIRECT("Tab_Def_Flows[@DM]")</f>
        <v>27.986752206828545</v>
      </c>
      <c r="J8" s="127" cm="1">
        <f t="array" aca="1" ref="J8" ca="1">Solution_material!J8*INDIRECT("Tab_Def_Flows[@DM]")</f>
        <v>28.546487250965111</v>
      </c>
      <c r="K8" s="127" cm="1">
        <f t="array" aca="1" ref="K8" ca="1">Solution_material!K8*INDIRECT("Tab_Def_Flows[@DM]")</f>
        <v>29.117416995984417</v>
      </c>
      <c r="L8" s="127" cm="1">
        <f t="array" aca="1" ref="L8" ca="1">Solution_material!L8*INDIRECT("Tab_Def_Flows[@DM]")</f>
        <v>29.699765335904104</v>
      </c>
      <c r="M8" s="127" cm="1">
        <f t="array" aca="1" ref="M8" ca="1">Solution_material!M8*INDIRECT("Tab_Def_Flows[@DM]")</f>
        <v>30.293760642622189</v>
      </c>
      <c r="N8" s="127" cm="1">
        <f t="array" aca="1" ref="N8" ca="1">Solution_material!N8*INDIRECT("Tab_Def_Flows[@DM]")</f>
        <v>30.899635855474632</v>
      </c>
      <c r="O8" s="127" cm="1">
        <f t="array" aca="1" ref="O8" ca="1">Solution_material!O8*INDIRECT("Tab_Def_Flows[@DM]")</f>
        <v>31.517628572584126</v>
      </c>
      <c r="P8" s="127" cm="1">
        <f t="array" aca="1" ref="P8" ca="1">Solution_material!P8*INDIRECT("Tab_Def_Flows[@DM]")</f>
        <v>32.147981144035803</v>
      </c>
      <c r="R8" s="126">
        <f t="shared" ca="1" si="0"/>
        <v>421.3394383458259</v>
      </c>
      <c r="T8" s="127"/>
      <c r="U8" s="127"/>
      <c r="V8" s="127"/>
      <c r="W8" s="127"/>
      <c r="X8" s="127"/>
      <c r="Y8" s="127"/>
      <c r="Z8" s="127"/>
      <c r="AA8" s="127"/>
      <c r="AB8" s="127"/>
      <c r="AC8" s="127"/>
      <c r="AD8" s="127"/>
      <c r="AE8" s="127"/>
      <c r="AF8" s="127"/>
      <c r="AG8" s="127"/>
      <c r="AH8" s="127"/>
      <c r="AI8" s="127"/>
    </row>
    <row r="9" spans="1:35" x14ac:dyDescent="0.35">
      <c r="A9" t="str">
        <f>'1_1_Definition_Flows'!C9</f>
        <v>F_02_03</v>
      </c>
      <c r="B9" s="127" cm="1">
        <f t="array" aca="1" ref="B9" ca="1">Solution_material!B9*INDIRECT("Tab_Def_Flows[@DM]")</f>
        <v>21.14490924</v>
      </c>
      <c r="C9" s="127" cm="1">
        <f t="array" aca="1" ref="C9" ca="1">Solution_material!C9*INDIRECT("Tab_Def_Flows[@DM]")</f>
        <v>21.567807424800002</v>
      </c>
      <c r="D9" s="127" cm="1">
        <f t="array" aca="1" ref="D9" ca="1">Solution_material!D9*INDIRECT("Tab_Def_Flows[@DM]")</f>
        <v>21.999163573296006</v>
      </c>
      <c r="E9" s="127" cm="1">
        <f t="array" aca="1" ref="E9" ca="1">Solution_material!E9*INDIRECT("Tab_Def_Flows[@DM]")</f>
        <v>22.439146844761922</v>
      </c>
      <c r="F9" s="127" cm="1">
        <f t="array" aca="1" ref="F9" ca="1">Solution_material!F9*INDIRECT("Tab_Def_Flows[@DM]")</f>
        <v>22.88792978165716</v>
      </c>
      <c r="G9" s="127" cm="1">
        <f t="array" aca="1" ref="G9" ca="1">Solution_material!G9*INDIRECT("Tab_Def_Flows[@DM]")</f>
        <v>23.345688377290308</v>
      </c>
      <c r="H9" s="127" cm="1">
        <f t="array" aca="1" ref="H9" ca="1">Solution_material!H9*INDIRECT("Tab_Def_Flows[@DM]")</f>
        <v>23.812602144836113</v>
      </c>
      <c r="I9" s="127" cm="1">
        <f t="array" aca="1" ref="I9" ca="1">Solution_material!I9*INDIRECT("Tab_Def_Flows[@DM]")</f>
        <v>24.288854187732834</v>
      </c>
      <c r="J9" s="127" cm="1">
        <f t="array" aca="1" ref="J9" ca="1">Solution_material!J9*INDIRECT("Tab_Def_Flows[@DM]")</f>
        <v>24.774631271487493</v>
      </c>
      <c r="K9" s="127" cm="1">
        <f t="array" aca="1" ref="K9" ca="1">Solution_material!K9*INDIRECT("Tab_Def_Flows[@DM]")</f>
        <v>25.270123896917244</v>
      </c>
      <c r="L9" s="127" cm="1">
        <f t="array" aca="1" ref="L9" ca="1">Solution_material!L9*INDIRECT("Tab_Def_Flows[@DM]")</f>
        <v>25.775526374855588</v>
      </c>
      <c r="M9" s="127" cm="1">
        <f t="array" aca="1" ref="M9" ca="1">Solution_material!M9*INDIRECT("Tab_Def_Flows[@DM]")</f>
        <v>26.291036902352701</v>
      </c>
      <c r="N9" s="127" cm="1">
        <f t="array" aca="1" ref="N9" ca="1">Solution_material!N9*INDIRECT("Tab_Def_Flows[@DM]")</f>
        <v>26.816857640399757</v>
      </c>
      <c r="O9" s="127" cm="1">
        <f t="array" aca="1" ref="O9" ca="1">Solution_material!O9*INDIRECT("Tab_Def_Flows[@DM]")</f>
        <v>27.353194793207749</v>
      </c>
      <c r="P9" s="127" cm="1">
        <f t="array" aca="1" ref="P9" ca="1">Solution_material!P9*INDIRECT("Tab_Def_Flows[@DM]")</f>
        <v>27.900258689071908</v>
      </c>
      <c r="R9" s="126">
        <f t="shared" ca="1" si="0"/>
        <v>365.66773114266681</v>
      </c>
      <c r="T9" s="127"/>
      <c r="U9" s="127"/>
      <c r="V9" s="127"/>
      <c r="W9" s="127"/>
      <c r="X9" s="127"/>
      <c r="Y9" s="127"/>
      <c r="Z9" s="127"/>
      <c r="AA9" s="127"/>
      <c r="AB9" s="127"/>
      <c r="AC9" s="127"/>
      <c r="AD9" s="127"/>
      <c r="AE9" s="127"/>
      <c r="AF9" s="127"/>
      <c r="AG9" s="127"/>
      <c r="AH9" s="127"/>
      <c r="AI9" s="127"/>
    </row>
    <row r="10" spans="1:35" x14ac:dyDescent="0.35">
      <c r="A10" t="str">
        <f>'1_1_Definition_Flows'!C10</f>
        <v>F_03_07</v>
      </c>
      <c r="B10" s="127" cm="1">
        <f t="array" aca="1" ref="B10" ca="1">Solution_material!B10*INDIRECT("Tab_Def_Flows[@DM]")</f>
        <v>6.0612214712918445E-6</v>
      </c>
      <c r="C10" s="127" cm="1">
        <f t="array" aca="1" ref="C10" ca="1">Solution_material!C10*INDIRECT("Tab_Def_Flows[@DM]")</f>
        <v>6.3436211990292151</v>
      </c>
      <c r="D10" s="127" cm="1">
        <f t="array" aca="1" ref="D10" ca="1">Solution_material!D10*INDIRECT("Tab_Def_Flows[@DM]")</f>
        <v>12.819657083851359</v>
      </c>
      <c r="E10" s="127" cm="1">
        <f t="array" aca="1" ref="E10" ca="1">Solution_material!E10*INDIRECT("Tab_Def_Flows[@DM]")</f>
        <v>13.167404910083057</v>
      </c>
      <c r="F10" s="127" cm="1">
        <f t="array" aca="1" ref="F10" ca="1">Solution_material!F10*INDIRECT("Tab_Def_Flows[@DM]")</f>
        <v>14.01021821232208</v>
      </c>
      <c r="G10" s="127" cm="1">
        <f t="array" aca="1" ref="G10" ca="1">Solution_material!G10*INDIRECT("Tab_Def_Flows[@DM]")</f>
        <v>15.754515179275005</v>
      </c>
      <c r="H10" s="127" cm="1">
        <f t="array" aca="1" ref="H10" ca="1">Solution_material!H10*INDIRECT("Tab_Def_Flows[@DM]")</f>
        <v>17.583095550998141</v>
      </c>
      <c r="I10" s="127" cm="1">
        <f t="array" aca="1" ref="I10" ca="1">Solution_material!I10*INDIRECT("Tab_Def_Flows[@DM]")</f>
        <v>18.695814302368834</v>
      </c>
      <c r="J10" s="127" cm="1">
        <f t="array" aca="1" ref="J10" ca="1">Solution_material!J10*INDIRECT("Tab_Def_Flows[@DM]")</f>
        <v>19.548655536676538</v>
      </c>
      <c r="K10" s="127" cm="1">
        <f t="array" aca="1" ref="K10" ca="1">Solution_material!K10*INDIRECT("Tab_Def_Flows[@DM]")</f>
        <v>20.579052866308508</v>
      </c>
      <c r="L10" s="127" cm="1">
        <f t="array" aca="1" ref="L10" ca="1">Solution_material!L10*INDIRECT("Tab_Def_Flows[@DM]")</f>
        <v>21.800457921798394</v>
      </c>
      <c r="M10" s="127" cm="1">
        <f t="array" aca="1" ref="M10" ca="1">Solution_material!M10*INDIRECT("Tab_Def_Flows[@DM]")</f>
        <v>23.046159561607602</v>
      </c>
      <c r="N10" s="127" cm="1">
        <f t="array" aca="1" ref="N10" ca="1">Solution_material!N10*INDIRECT("Tab_Def_Flows[@DM]")</f>
        <v>24.140932218739422</v>
      </c>
      <c r="O10" s="127" cm="1">
        <f t="array" aca="1" ref="O10" ca="1">Solution_material!O10*INDIRECT("Tab_Def_Flows[@DM]")</f>
        <v>25.012174610603907</v>
      </c>
      <c r="P10" s="127" cm="1">
        <f t="array" aca="1" ref="P10" ca="1">Solution_material!P10*INDIRECT("Tab_Def_Flows[@DM]")</f>
        <v>25.698734649249239</v>
      </c>
      <c r="R10" s="126">
        <f t="shared" ca="1" si="0"/>
        <v>258.20049986413272</v>
      </c>
      <c r="T10" s="127"/>
      <c r="U10" s="127"/>
      <c r="V10" s="127"/>
      <c r="W10" s="127"/>
      <c r="X10" s="127"/>
      <c r="Y10" s="127"/>
      <c r="Z10" s="127"/>
      <c r="AA10" s="127"/>
      <c r="AB10" s="127"/>
      <c r="AC10" s="127"/>
      <c r="AD10" s="127"/>
      <c r="AE10" s="127"/>
      <c r="AF10" s="127"/>
      <c r="AG10" s="127"/>
      <c r="AH10" s="127"/>
      <c r="AI10" s="127"/>
    </row>
    <row r="11" spans="1:35" x14ac:dyDescent="0.35">
      <c r="A11" t="str">
        <f>'1_1_Definition_Flows'!C11</f>
        <v>F_02_06</v>
      </c>
      <c r="B11" s="127" cm="1">
        <f t="array" aca="1" ref="B11" ca="1">Solution_material!B11*INDIRECT("Tab_Def_Flows[@DM]")</f>
        <v>4.6227736799999999</v>
      </c>
      <c r="C11" s="127" cm="1">
        <f t="array" aca="1" ref="C11" ca="1">Solution_material!C11*INDIRECT("Tab_Def_Flows[@DM]")</f>
        <v>4.7152291536000002</v>
      </c>
      <c r="D11" s="127" cm="1">
        <f t="array" aca="1" ref="D11" ca="1">Solution_material!D11*INDIRECT("Tab_Def_Flows[@DM]")</f>
        <v>4.8095337366719999</v>
      </c>
      <c r="E11" s="127" cm="1">
        <f t="array" aca="1" ref="E11" ca="1">Solution_material!E11*INDIRECT("Tab_Def_Flows[@DM]")</f>
        <v>4.9057244114054406</v>
      </c>
      <c r="F11" s="127" cm="1">
        <f t="array" aca="1" ref="F11" ca="1">Solution_material!F11*INDIRECT("Tab_Def_Flows[@DM]")</f>
        <v>5.003838899633549</v>
      </c>
      <c r="G11" s="127" cm="1">
        <f t="array" aca="1" ref="G11" ca="1">Solution_material!G11*INDIRECT("Tab_Def_Flows[@DM]")</f>
        <v>5.1039156776262207</v>
      </c>
      <c r="H11" s="127" cm="1">
        <f t="array" aca="1" ref="H11" ca="1">Solution_material!H11*INDIRECT("Tab_Def_Flows[@DM]")</f>
        <v>5.2059939911787456</v>
      </c>
      <c r="I11" s="127" cm="1">
        <f t="array" aca="1" ref="I11" ca="1">Solution_material!I11*INDIRECT("Tab_Def_Flows[@DM]")</f>
        <v>5.3101138710023204</v>
      </c>
      <c r="J11" s="127" cm="1">
        <f t="array" aca="1" ref="J11" ca="1">Solution_material!J11*INDIRECT("Tab_Def_Flows[@DM]")</f>
        <v>5.4163161484223661</v>
      </c>
      <c r="K11" s="127" cm="1">
        <f t="array" aca="1" ref="K11" ca="1">Solution_material!K11*INDIRECT("Tab_Def_Flows[@DM]")</f>
        <v>5.5246424713908135</v>
      </c>
      <c r="L11" s="127" cm="1">
        <f t="array" aca="1" ref="L11" ca="1">Solution_material!L11*INDIRECT("Tab_Def_Flows[@DM]")</f>
        <v>5.6351353208186303</v>
      </c>
      <c r="M11" s="127" cm="1">
        <f t="array" aca="1" ref="M11" ca="1">Solution_material!M11*INDIRECT("Tab_Def_Flows[@DM]")</f>
        <v>5.7478380272350025</v>
      </c>
      <c r="N11" s="127" cm="1">
        <f t="array" aca="1" ref="N11" ca="1">Solution_material!N11*INDIRECT("Tab_Def_Flows[@DM]")</f>
        <v>5.8627947877797029</v>
      </c>
      <c r="O11" s="127" cm="1">
        <f t="array" aca="1" ref="O11" ca="1">Solution_material!O11*INDIRECT("Tab_Def_Flows[@DM]")</f>
        <v>5.9800506835352971</v>
      </c>
      <c r="P11" s="127" cm="1">
        <f t="array" aca="1" ref="P11" ca="1">Solution_material!P11*INDIRECT("Tab_Def_Flows[@DM]")</f>
        <v>6.0996516972060029</v>
      </c>
      <c r="R11" s="126">
        <f t="shared" ca="1" si="0"/>
        <v>79.943552557506095</v>
      </c>
      <c r="T11" s="127"/>
      <c r="U11" s="127"/>
      <c r="V11" s="127"/>
      <c r="W11" s="127"/>
      <c r="X11" s="127"/>
      <c r="Y11" s="127"/>
      <c r="Z11" s="127"/>
      <c r="AA11" s="127"/>
      <c r="AB11" s="127"/>
      <c r="AC11" s="127"/>
      <c r="AD11" s="127"/>
      <c r="AE11" s="127"/>
      <c r="AF11" s="127"/>
      <c r="AG11" s="127"/>
      <c r="AH11" s="127"/>
      <c r="AI11" s="127"/>
    </row>
    <row r="12" spans="1:35" x14ac:dyDescent="0.35">
      <c r="A12" t="str">
        <f>'1_1_Definition_Flows'!C12</f>
        <v>F_11_02</v>
      </c>
      <c r="B12" s="127" cm="1">
        <f t="array" aca="1" ref="B12" ca="1">Solution_material!B12*INDIRECT("Tab_Def_Flows[@DM]")</f>
        <v>0.34</v>
      </c>
      <c r="C12" s="127" cm="1">
        <f t="array" aca="1" ref="C12" ca="1">Solution_material!C12*INDIRECT("Tab_Def_Flows[@DM]")</f>
        <v>0.34680000000000005</v>
      </c>
      <c r="D12" s="127" cm="1">
        <f t="array" aca="1" ref="D12" ca="1">Solution_material!D12*INDIRECT("Tab_Def_Flows[@DM]")</f>
        <v>0.35373599999999999</v>
      </c>
      <c r="E12" s="127" cm="1">
        <f t="array" aca="1" ref="E12" ca="1">Solution_material!E12*INDIRECT("Tab_Def_Flows[@DM]")</f>
        <v>0.36081072000000003</v>
      </c>
      <c r="F12" s="127" cm="1">
        <f t="array" aca="1" ref="F12" ca="1">Solution_material!F12*INDIRECT("Tab_Def_Flows[@DM]")</f>
        <v>0.36802693440000001</v>
      </c>
      <c r="G12" s="127" cm="1">
        <f t="array" aca="1" ref="G12" ca="1">Solution_material!G12*INDIRECT("Tab_Def_Flows[@DM]")</f>
        <v>0.37538747308800002</v>
      </c>
      <c r="H12" s="127" cm="1">
        <f t="array" aca="1" ref="H12" ca="1">Solution_material!H12*INDIRECT("Tab_Def_Flows[@DM]")</f>
        <v>0.38289522254976005</v>
      </c>
      <c r="I12" s="127" cm="1">
        <f t="array" aca="1" ref="I12" ca="1">Solution_material!I12*INDIRECT("Tab_Def_Flows[@DM]")</f>
        <v>0.39055312700075523</v>
      </c>
      <c r="J12" s="127" cm="1">
        <f t="array" aca="1" ref="J12" ca="1">Solution_material!J12*INDIRECT("Tab_Def_Flows[@DM]")</f>
        <v>0.39836418954077041</v>
      </c>
      <c r="K12" s="127" cm="1">
        <f t="array" aca="1" ref="K12" ca="1">Solution_material!K12*INDIRECT("Tab_Def_Flows[@DM]")</f>
        <v>0.40633147333158581</v>
      </c>
      <c r="L12" s="127" cm="1">
        <f t="array" aca="1" ref="L12" ca="1">Solution_material!L12*INDIRECT("Tab_Def_Flows[@DM]")</f>
        <v>0.41445810279821754</v>
      </c>
      <c r="M12" s="127" cm="1">
        <f t="array" aca="1" ref="M12" ca="1">Solution_material!M12*INDIRECT("Tab_Def_Flows[@DM]")</f>
        <v>0.42274726485418185</v>
      </c>
      <c r="N12" s="127" cm="1">
        <f t="array" aca="1" ref="N12" ca="1">Solution_material!N12*INDIRECT("Tab_Def_Flows[@DM]")</f>
        <v>0.43120221015126547</v>
      </c>
      <c r="O12" s="127" cm="1">
        <f t="array" aca="1" ref="O12" ca="1">Solution_material!O12*INDIRECT("Tab_Def_Flows[@DM]")</f>
        <v>0.43982625435429079</v>
      </c>
      <c r="P12" s="127" cm="1">
        <f t="array" aca="1" ref="P12" ca="1">Solution_material!P12*INDIRECT("Tab_Def_Flows[@DM]")</f>
        <v>0.44862277944137663</v>
      </c>
      <c r="R12" s="126">
        <f t="shared" ca="1" si="0"/>
        <v>5.8797617515102036</v>
      </c>
      <c r="T12" s="127"/>
      <c r="U12" s="127"/>
      <c r="V12" s="127"/>
      <c r="W12" s="127"/>
      <c r="X12" s="127"/>
      <c r="Y12" s="127"/>
      <c r="Z12" s="127"/>
      <c r="AA12" s="127"/>
      <c r="AB12" s="127"/>
      <c r="AC12" s="127"/>
      <c r="AD12" s="127"/>
      <c r="AE12" s="127"/>
      <c r="AF12" s="127"/>
      <c r="AG12" s="127"/>
      <c r="AH12" s="127"/>
      <c r="AI12" s="127"/>
    </row>
    <row r="13" spans="1:35" x14ac:dyDescent="0.35">
      <c r="A13" t="str">
        <f>'1_1_Definition_Flows'!C13</f>
        <v>F_08_02</v>
      </c>
      <c r="B13" s="127" cm="1">
        <f t="array" aca="1" ref="B13" ca="1">Solution_material!B13*INDIRECT("Tab_Def_Flows[@DM]")</f>
        <v>0</v>
      </c>
      <c r="C13" s="127" cm="1">
        <f t="array" aca="1" ref="C13" ca="1">Solution_material!C13*INDIRECT("Tab_Def_Flows[@DM]")</f>
        <v>0</v>
      </c>
      <c r="D13" s="127" cm="1">
        <f t="array" aca="1" ref="D13" ca="1">Solution_material!D13*INDIRECT("Tab_Def_Flows[@DM]")</f>
        <v>0</v>
      </c>
      <c r="E13" s="127" cm="1">
        <f t="array" aca="1" ref="E13" ca="1">Solution_material!E13*INDIRECT("Tab_Def_Flows[@DM]")</f>
        <v>0</v>
      </c>
      <c r="F13" s="127" cm="1">
        <f t="array" aca="1" ref="F13" ca="1">Solution_material!F13*INDIRECT("Tab_Def_Flows[@DM]")</f>
        <v>0</v>
      </c>
      <c r="G13" s="127" cm="1">
        <f t="array" aca="1" ref="G13" ca="1">Solution_material!G13*INDIRECT("Tab_Def_Flows[@DM]")</f>
        <v>0</v>
      </c>
      <c r="H13" s="127" cm="1">
        <f t="array" aca="1" ref="H13" ca="1">Solution_material!H13*INDIRECT("Tab_Def_Flows[@DM]")</f>
        <v>0</v>
      </c>
      <c r="I13" s="127" cm="1">
        <f t="array" aca="1" ref="I13" ca="1">Solution_material!I13*INDIRECT("Tab_Def_Flows[@DM]")</f>
        <v>0</v>
      </c>
      <c r="J13" s="127" cm="1">
        <f t="array" aca="1" ref="J13" ca="1">Solution_material!J13*INDIRECT("Tab_Def_Flows[@DM]")</f>
        <v>0</v>
      </c>
      <c r="K13" s="127" cm="1">
        <f t="array" aca="1" ref="K13" ca="1">Solution_material!K13*INDIRECT("Tab_Def_Flows[@DM]")</f>
        <v>0</v>
      </c>
      <c r="L13" s="127" cm="1">
        <f t="array" aca="1" ref="L13" ca="1">Solution_material!L13*INDIRECT("Tab_Def_Flows[@DM]")</f>
        <v>0</v>
      </c>
      <c r="M13" s="127" cm="1">
        <f t="array" aca="1" ref="M13" ca="1">Solution_material!M13*INDIRECT("Tab_Def_Flows[@DM]")</f>
        <v>0</v>
      </c>
      <c r="N13" s="127" cm="1">
        <f t="array" aca="1" ref="N13" ca="1">Solution_material!N13*INDIRECT("Tab_Def_Flows[@DM]")</f>
        <v>0</v>
      </c>
      <c r="O13" s="127" cm="1">
        <f t="array" aca="1" ref="O13" ca="1">Solution_material!O13*INDIRECT("Tab_Def_Flows[@DM]")</f>
        <v>0</v>
      </c>
      <c r="P13" s="127" cm="1">
        <f t="array" aca="1" ref="P13" ca="1">Solution_material!P13*INDIRECT("Tab_Def_Flows[@DM]")</f>
        <v>0</v>
      </c>
      <c r="R13" s="126">
        <f t="shared" ca="1" si="0"/>
        <v>0</v>
      </c>
      <c r="T13" s="127"/>
      <c r="U13" s="127"/>
      <c r="V13" s="127"/>
      <c r="W13" s="127"/>
      <c r="X13" s="127"/>
      <c r="Y13" s="127"/>
      <c r="Z13" s="127"/>
      <c r="AA13" s="127"/>
      <c r="AB13" s="127"/>
      <c r="AC13" s="127"/>
      <c r="AD13" s="127"/>
      <c r="AE13" s="127"/>
      <c r="AF13" s="127"/>
      <c r="AG13" s="127"/>
      <c r="AH13" s="127"/>
      <c r="AI13" s="127"/>
    </row>
    <row r="14" spans="1:35" x14ac:dyDescent="0.35">
      <c r="A14" t="str">
        <f>'1_1_Definition_Flows'!C14</f>
        <v>F_02_14</v>
      </c>
      <c r="B14" s="127" cm="1">
        <f t="array" aca="1" ref="B14" ca="1">Solution_material!B14*INDIRECT("Tab_Def_Flows[@DM]")</f>
        <v>0</v>
      </c>
      <c r="C14" s="127" cm="1">
        <f t="array" aca="1" ref="C14" ca="1">Solution_material!C14*INDIRECT("Tab_Def_Flows[@DM]")</f>
        <v>0</v>
      </c>
      <c r="D14" s="127" cm="1">
        <f t="array" aca="1" ref="D14" ca="1">Solution_material!D14*INDIRECT("Tab_Def_Flows[@DM]")</f>
        <v>0</v>
      </c>
      <c r="E14" s="127" cm="1">
        <f t="array" aca="1" ref="E14" ca="1">Solution_material!E14*INDIRECT("Tab_Def_Flows[@DM]")</f>
        <v>0</v>
      </c>
      <c r="F14" s="127" cm="1">
        <f t="array" aca="1" ref="F14" ca="1">Solution_material!F14*INDIRECT("Tab_Def_Flows[@DM]")</f>
        <v>0</v>
      </c>
      <c r="G14" s="127" cm="1">
        <f t="array" aca="1" ref="G14" ca="1">Solution_material!G14*INDIRECT("Tab_Def_Flows[@DM]")</f>
        <v>0</v>
      </c>
      <c r="H14" s="127" cm="1">
        <f t="array" aca="1" ref="H14" ca="1">Solution_material!H14*INDIRECT("Tab_Def_Flows[@DM]")</f>
        <v>0</v>
      </c>
      <c r="I14" s="127" cm="1">
        <f t="array" aca="1" ref="I14" ca="1">Solution_material!I14*INDIRECT("Tab_Def_Flows[@DM]")</f>
        <v>0</v>
      </c>
      <c r="J14" s="127" cm="1">
        <f t="array" aca="1" ref="J14" ca="1">Solution_material!J14*INDIRECT("Tab_Def_Flows[@DM]")</f>
        <v>0</v>
      </c>
      <c r="K14" s="127" cm="1">
        <f t="array" aca="1" ref="K14" ca="1">Solution_material!K14*INDIRECT("Tab_Def_Flows[@DM]")</f>
        <v>0</v>
      </c>
      <c r="L14" s="127" cm="1">
        <f t="array" aca="1" ref="L14" ca="1">Solution_material!L14*INDIRECT("Tab_Def_Flows[@DM]")</f>
        <v>0</v>
      </c>
      <c r="M14" s="127" cm="1">
        <f t="array" aca="1" ref="M14" ca="1">Solution_material!M14*INDIRECT("Tab_Def_Flows[@DM]")</f>
        <v>0</v>
      </c>
      <c r="N14" s="127" cm="1">
        <f t="array" aca="1" ref="N14" ca="1">Solution_material!N14*INDIRECT("Tab_Def_Flows[@DM]")</f>
        <v>0</v>
      </c>
      <c r="O14" s="127" cm="1">
        <f t="array" aca="1" ref="O14" ca="1">Solution_material!O14*INDIRECT("Tab_Def_Flows[@DM]")</f>
        <v>0</v>
      </c>
      <c r="P14" s="127" cm="1">
        <f t="array" aca="1" ref="P14" ca="1">Solution_material!P14*INDIRECT("Tab_Def_Flows[@DM]")</f>
        <v>0</v>
      </c>
      <c r="R14" s="126">
        <f t="shared" ca="1" si="0"/>
        <v>0</v>
      </c>
      <c r="T14" s="127"/>
      <c r="U14" s="127"/>
      <c r="V14" s="127"/>
      <c r="W14" s="127"/>
      <c r="X14" s="127"/>
      <c r="Y14" s="127"/>
      <c r="Z14" s="127"/>
      <c r="AA14" s="127"/>
      <c r="AB14" s="127"/>
      <c r="AC14" s="127"/>
      <c r="AD14" s="127"/>
      <c r="AE14" s="127"/>
      <c r="AF14" s="127"/>
      <c r="AG14" s="127"/>
      <c r="AH14" s="127"/>
      <c r="AI14" s="127"/>
    </row>
    <row r="15" spans="1:35" x14ac:dyDescent="0.35">
      <c r="A15" t="str">
        <f>'1_1_Definition_Flows'!C15</f>
        <v>F_02_12</v>
      </c>
      <c r="B15" s="127" cm="1">
        <f t="array" aca="1" ref="B15" ca="1">Solution_material!B15*INDIRECT("Tab_Def_Flows[@DM]")</f>
        <v>0</v>
      </c>
      <c r="C15" s="127" cm="1">
        <f t="array" aca="1" ref="C15" ca="1">Solution_material!C15*INDIRECT("Tab_Def_Flows[@DM]")</f>
        <v>0</v>
      </c>
      <c r="D15" s="127" cm="1">
        <f t="array" aca="1" ref="D15" ca="1">Solution_material!D15*INDIRECT("Tab_Def_Flows[@DM]")</f>
        <v>0</v>
      </c>
      <c r="E15" s="127" cm="1">
        <f t="array" aca="1" ref="E15" ca="1">Solution_material!E15*INDIRECT("Tab_Def_Flows[@DM]")</f>
        <v>0</v>
      </c>
      <c r="F15" s="127" cm="1">
        <f t="array" aca="1" ref="F15" ca="1">Solution_material!F15*INDIRECT("Tab_Def_Flows[@DM]")</f>
        <v>0</v>
      </c>
      <c r="G15" s="127" cm="1">
        <f t="array" aca="1" ref="G15" ca="1">Solution_material!G15*INDIRECT("Tab_Def_Flows[@DM]")</f>
        <v>0</v>
      </c>
      <c r="H15" s="127" cm="1">
        <f t="array" aca="1" ref="H15" ca="1">Solution_material!H15*INDIRECT("Tab_Def_Flows[@DM]")</f>
        <v>0</v>
      </c>
      <c r="I15" s="127" cm="1">
        <f t="array" aca="1" ref="I15" ca="1">Solution_material!I15*INDIRECT("Tab_Def_Flows[@DM]")</f>
        <v>0</v>
      </c>
      <c r="J15" s="127" cm="1">
        <f t="array" aca="1" ref="J15" ca="1">Solution_material!J15*INDIRECT("Tab_Def_Flows[@DM]")</f>
        <v>0</v>
      </c>
      <c r="K15" s="127" cm="1">
        <f t="array" aca="1" ref="K15" ca="1">Solution_material!K15*INDIRECT("Tab_Def_Flows[@DM]")</f>
        <v>0</v>
      </c>
      <c r="L15" s="127" cm="1">
        <f t="array" aca="1" ref="L15" ca="1">Solution_material!L15*INDIRECT("Tab_Def_Flows[@DM]")</f>
        <v>0</v>
      </c>
      <c r="M15" s="127" cm="1">
        <f t="array" aca="1" ref="M15" ca="1">Solution_material!M15*INDIRECT("Tab_Def_Flows[@DM]")</f>
        <v>0</v>
      </c>
      <c r="N15" s="127" cm="1">
        <f t="array" aca="1" ref="N15" ca="1">Solution_material!N15*INDIRECT("Tab_Def_Flows[@DM]")</f>
        <v>0</v>
      </c>
      <c r="O15" s="127" cm="1">
        <f t="array" aca="1" ref="O15" ca="1">Solution_material!O15*INDIRECT("Tab_Def_Flows[@DM]")</f>
        <v>0</v>
      </c>
      <c r="P15" s="127" cm="1">
        <f t="array" aca="1" ref="P15" ca="1">Solution_material!P15*INDIRECT("Tab_Def_Flows[@DM]")</f>
        <v>0</v>
      </c>
      <c r="R15" s="126">
        <f t="shared" ca="1" si="0"/>
        <v>0</v>
      </c>
      <c r="T15" s="127"/>
      <c r="U15" s="127"/>
      <c r="V15" s="127"/>
      <c r="W15" s="127"/>
      <c r="X15" s="127"/>
      <c r="Y15" s="127"/>
      <c r="Z15" s="127"/>
      <c r="AA15" s="127"/>
      <c r="AB15" s="127"/>
      <c r="AC15" s="127"/>
      <c r="AD15" s="127"/>
      <c r="AE15" s="127"/>
      <c r="AF15" s="127"/>
      <c r="AG15" s="127"/>
      <c r="AH15" s="127"/>
      <c r="AI15" s="127"/>
    </row>
    <row r="16" spans="1:35" x14ac:dyDescent="0.35">
      <c r="A16" t="str">
        <f>'1_1_Definition_Flows'!C16</f>
        <v>F_07_09</v>
      </c>
      <c r="B16" s="127" cm="1">
        <f t="array" aca="1" ref="B16" ca="1">Solution_material!B16*INDIRECT("Tab_Def_Flows[@DM]")</f>
        <v>1.2122442942583689E-6</v>
      </c>
      <c r="C16" s="127" cm="1">
        <f t="array" aca="1" ref="C16" ca="1">Solution_material!C16*INDIRECT("Tab_Def_Flows[@DM]")</f>
        <v>1.2687242398058431</v>
      </c>
      <c r="D16" s="127" cm="1">
        <f t="array" aca="1" ref="D16" ca="1">Solution_material!D16*INDIRECT("Tab_Def_Flows[@DM]")</f>
        <v>2.5639314167702718</v>
      </c>
      <c r="E16" s="127" cm="1">
        <f t="array" aca="1" ref="E16" ca="1">Solution_material!E16*INDIRECT("Tab_Def_Flows[@DM]")</f>
        <v>2.6334809820166116</v>
      </c>
      <c r="F16" s="127" cm="1">
        <f t="array" aca="1" ref="F16" ca="1">Solution_material!F16*INDIRECT("Tab_Def_Flows[@DM]")</f>
        <v>2.8020436424644157</v>
      </c>
      <c r="G16" s="127" cm="1">
        <f t="array" aca="1" ref="G16" ca="1">Solution_material!G16*INDIRECT("Tab_Def_Flows[@DM]")</f>
        <v>3.1509030358550012</v>
      </c>
      <c r="H16" s="127" cm="1">
        <f t="array" aca="1" ref="H16" ca="1">Solution_material!H16*INDIRECT("Tab_Def_Flows[@DM]")</f>
        <v>3.5166191101996285</v>
      </c>
      <c r="I16" s="127" cm="1">
        <f t="array" aca="1" ref="I16" ca="1">Solution_material!I16*INDIRECT("Tab_Def_Flows[@DM]")</f>
        <v>3.7391628604737672</v>
      </c>
      <c r="J16" s="127" cm="1">
        <f t="array" aca="1" ref="J16" ca="1">Solution_material!J16*INDIRECT("Tab_Def_Flows[@DM]")</f>
        <v>3.909731107335308</v>
      </c>
      <c r="K16" s="127" cm="1">
        <f t="array" aca="1" ref="K16" ca="1">Solution_material!K16*INDIRECT("Tab_Def_Flows[@DM]")</f>
        <v>4.1158105732617027</v>
      </c>
      <c r="L16" s="127" cm="1">
        <f t="array" aca="1" ref="L16" ca="1">Solution_material!L16*INDIRECT("Tab_Def_Flows[@DM]")</f>
        <v>4.3600915843596786</v>
      </c>
      <c r="M16" s="127" cm="1">
        <f t="array" aca="1" ref="M16" ca="1">Solution_material!M16*INDIRECT("Tab_Def_Flows[@DM]")</f>
        <v>4.6092319123215209</v>
      </c>
      <c r="N16" s="127" cm="1">
        <f t="array" aca="1" ref="N16" ca="1">Solution_material!N16*INDIRECT("Tab_Def_Flows[@DM]")</f>
        <v>4.8281864437478852</v>
      </c>
      <c r="O16" s="127" cm="1">
        <f t="array" aca="1" ref="O16" ca="1">Solution_material!O16*INDIRECT("Tab_Def_Flows[@DM]")</f>
        <v>5.0024349221207816</v>
      </c>
      <c r="P16" s="127" cm="1">
        <f t="array" aca="1" ref="P16" ca="1">Solution_material!P16*INDIRECT("Tab_Def_Flows[@DM]")</f>
        <v>5.1397469298498484</v>
      </c>
      <c r="R16" s="126">
        <f t="shared" ca="1" si="0"/>
        <v>51.640099972826562</v>
      </c>
      <c r="T16" s="127"/>
      <c r="U16" s="127"/>
      <c r="V16" s="127"/>
      <c r="W16" s="127"/>
      <c r="X16" s="127"/>
      <c r="Y16" s="127"/>
      <c r="Z16" s="127"/>
      <c r="AA16" s="127"/>
      <c r="AB16" s="127"/>
      <c r="AC16" s="127"/>
      <c r="AD16" s="127"/>
      <c r="AE16" s="127"/>
      <c r="AF16" s="127"/>
      <c r="AG16" s="127"/>
      <c r="AH16" s="127"/>
      <c r="AI16" s="127"/>
    </row>
    <row r="17" spans="1:35" x14ac:dyDescent="0.35">
      <c r="A17" t="str">
        <f>'1_1_Definition_Flows'!C17</f>
        <v>F_07_10</v>
      </c>
      <c r="B17" s="127" cm="1">
        <f t="array" aca="1" ref="B17" ca="1">Solution_material!B17*INDIRECT("Tab_Def_Flows[@DM]")</f>
        <v>4.8489771770334758E-6</v>
      </c>
      <c r="C17" s="127" cm="1">
        <f t="array" aca="1" ref="C17" ca="1">Solution_material!C17*INDIRECT("Tab_Def_Flows[@DM]")</f>
        <v>5.0748969592233726</v>
      </c>
      <c r="D17" s="127" cm="1">
        <f t="array" aca="1" ref="D17" ca="1">Solution_material!D17*INDIRECT("Tab_Def_Flows[@DM]")</f>
        <v>10.255725667081087</v>
      </c>
      <c r="E17" s="127" cm="1">
        <f t="array" aca="1" ref="E17" ca="1">Solution_material!E17*INDIRECT("Tab_Def_Flows[@DM]")</f>
        <v>10.533923928066447</v>
      </c>
      <c r="F17" s="127" cm="1">
        <f t="array" aca="1" ref="F17" ca="1">Solution_material!F17*INDIRECT("Tab_Def_Flows[@DM]")</f>
        <v>11.208174569857663</v>
      </c>
      <c r="G17" s="127" cm="1">
        <f t="array" aca="1" ref="G17" ca="1">Solution_material!G17*INDIRECT("Tab_Def_Flows[@DM]")</f>
        <v>12.603612143420005</v>
      </c>
      <c r="H17" s="127" cm="1">
        <f t="array" aca="1" ref="H17" ca="1">Solution_material!H17*INDIRECT("Tab_Def_Flows[@DM]")</f>
        <v>14.066476440798514</v>
      </c>
      <c r="I17" s="127" cm="1">
        <f t="array" aca="1" ref="I17" ca="1">Solution_material!I17*INDIRECT("Tab_Def_Flows[@DM]")</f>
        <v>14.956651441895069</v>
      </c>
      <c r="J17" s="127" cm="1">
        <f t="array" aca="1" ref="J17" ca="1">Solution_material!J17*INDIRECT("Tab_Def_Flows[@DM]")</f>
        <v>15.638924429341232</v>
      </c>
      <c r="K17" s="127" cm="1">
        <f t="array" aca="1" ref="K17" ca="1">Solution_material!K17*INDIRECT("Tab_Def_Flows[@DM]")</f>
        <v>16.463242293046811</v>
      </c>
      <c r="L17" s="127" cm="1">
        <f t="array" aca="1" ref="L17" ca="1">Solution_material!L17*INDIRECT("Tab_Def_Flows[@DM]")</f>
        <v>17.440366337438714</v>
      </c>
      <c r="M17" s="127" cm="1">
        <f t="array" aca="1" ref="M17" ca="1">Solution_material!M17*INDIRECT("Tab_Def_Flows[@DM]")</f>
        <v>18.436927649286083</v>
      </c>
      <c r="N17" s="127" cm="1">
        <f t="array" aca="1" ref="N17" ca="1">Solution_material!N17*INDIRECT("Tab_Def_Flows[@DM]")</f>
        <v>19.312745774991541</v>
      </c>
      <c r="O17" s="127" cm="1">
        <f t="array" aca="1" ref="O17" ca="1">Solution_material!O17*INDIRECT("Tab_Def_Flows[@DM]")</f>
        <v>20.009739688483126</v>
      </c>
      <c r="P17" s="127" cm="1">
        <f t="array" aca="1" ref="P17" ca="1">Solution_material!P17*INDIRECT("Tab_Def_Flows[@DM]")</f>
        <v>20.558987719399394</v>
      </c>
      <c r="R17" s="126">
        <f t="shared" ca="1" si="0"/>
        <v>206.56039989130625</v>
      </c>
      <c r="T17" s="127"/>
      <c r="U17" s="127"/>
      <c r="V17" s="127"/>
      <c r="W17" s="127"/>
      <c r="X17" s="127"/>
      <c r="Y17" s="127"/>
      <c r="Z17" s="127"/>
      <c r="AA17" s="127"/>
      <c r="AB17" s="127"/>
      <c r="AC17" s="127"/>
      <c r="AD17" s="127"/>
      <c r="AE17" s="127"/>
      <c r="AF17" s="127"/>
      <c r="AG17" s="127"/>
      <c r="AH17" s="127"/>
      <c r="AI17" s="127"/>
    </row>
    <row r="18" spans="1:35" x14ac:dyDescent="0.35">
      <c r="A18" t="str">
        <f>'1_1_Definition_Flows'!C18</f>
        <v>F_09_17</v>
      </c>
      <c r="B18" s="127" cm="1">
        <f t="array" aca="1" ref="B18" ca="1">Solution_material!B18*INDIRECT("Tab_Def_Flows[@DM]")</f>
        <v>9.3249561096797605E-7</v>
      </c>
      <c r="C18" s="127" cm="1">
        <f t="array" aca="1" ref="C18" ca="1">Solution_material!C18*INDIRECT("Tab_Def_Flows[@DM]")</f>
        <v>0.97594172292757153</v>
      </c>
      <c r="D18" s="127" cm="1">
        <f t="array" aca="1" ref="D18" ca="1">Solution_material!D18*INDIRECT("Tab_Def_Flows[@DM]")</f>
        <v>1.972254935977132</v>
      </c>
      <c r="E18" s="127" cm="1">
        <f t="array" aca="1" ref="E18" ca="1">Solution_material!E18*INDIRECT("Tab_Def_Flows[@DM]")</f>
        <v>2.0257546015512395</v>
      </c>
      <c r="F18" s="127" cm="1">
        <f t="array" aca="1" ref="F18" ca="1">Solution_material!F18*INDIRECT("Tab_Def_Flows[@DM]")</f>
        <v>2.1554181865110889</v>
      </c>
      <c r="G18" s="127" cm="1">
        <f t="array" aca="1" ref="G18" ca="1">Solution_material!G18*INDIRECT("Tab_Def_Flows[@DM]")</f>
        <v>2.4237715660423085</v>
      </c>
      <c r="H18" s="127" cm="1">
        <f t="array" aca="1" ref="H18" ca="1">Solution_material!H18*INDIRECT("Tab_Def_Flows[@DM]")</f>
        <v>2.7050916232304831</v>
      </c>
      <c r="I18" s="127" cm="1">
        <f t="array" aca="1" ref="I18" ca="1">Solution_material!I18*INDIRECT("Tab_Def_Flows[@DM]")</f>
        <v>2.8762791234413592</v>
      </c>
      <c r="J18" s="127" cm="1">
        <f t="array" aca="1" ref="J18" ca="1">Solution_material!J18*INDIRECT("Tab_Def_Flows[@DM]")</f>
        <v>3.0074854671810058</v>
      </c>
      <c r="K18" s="127" cm="1">
        <f t="array" aca="1" ref="K18" ca="1">Solution_material!K18*INDIRECT("Tab_Def_Flows[@DM]")</f>
        <v>3.1660081332782326</v>
      </c>
      <c r="L18" s="127" cm="1">
        <f t="array" aca="1" ref="L18" ca="1">Solution_material!L18*INDIRECT("Tab_Def_Flows[@DM]")</f>
        <v>3.353916603353599</v>
      </c>
      <c r="M18" s="127" cm="1">
        <f t="array" aca="1" ref="M18" ca="1">Solution_material!M18*INDIRECT("Tab_Def_Flows[@DM]")</f>
        <v>3.5455630094780926</v>
      </c>
      <c r="N18" s="127" cm="1">
        <f t="array" aca="1" ref="N18" ca="1">Solution_material!N18*INDIRECT("Tab_Def_Flows[@DM]")</f>
        <v>3.7139895721137575</v>
      </c>
      <c r="O18" s="127" cm="1">
        <f t="array" aca="1" ref="O18" ca="1">Solution_material!O18*INDIRECT("Tab_Def_Flows[@DM]")</f>
        <v>3.8480268631698316</v>
      </c>
      <c r="P18" s="127" cm="1">
        <f t="array" aca="1" ref="P18" ca="1">Solution_material!P18*INDIRECT("Tab_Def_Flows[@DM]")</f>
        <v>3.9536514844998827</v>
      </c>
      <c r="R18" s="126">
        <f t="shared" ca="1" si="0"/>
        <v>39.723153825251188</v>
      </c>
      <c r="T18" s="127"/>
      <c r="U18" s="127"/>
      <c r="V18" s="127"/>
      <c r="W18" s="127"/>
      <c r="X18" s="127"/>
      <c r="Y18" s="127"/>
      <c r="Z18" s="127"/>
      <c r="AA18" s="127"/>
      <c r="AB18" s="127"/>
      <c r="AC18" s="127"/>
      <c r="AD18" s="127"/>
      <c r="AE18" s="127"/>
      <c r="AF18" s="127"/>
      <c r="AG18" s="127"/>
      <c r="AH18" s="127"/>
      <c r="AI18" s="127"/>
    </row>
    <row r="19" spans="1:35" x14ac:dyDescent="0.35">
      <c r="A19" t="str">
        <f>'1_1_Definition_Flows'!C19</f>
        <v>F_10_18</v>
      </c>
      <c r="B19" s="127" cm="1">
        <f t="array" aca="1" ref="B19" ca="1">Solution_material!B19*INDIRECT("Tab_Def_Flows[@DM]")</f>
        <v>1.2433274812906349E-6</v>
      </c>
      <c r="C19" s="127" cm="1">
        <f t="array" aca="1" ref="C19" ca="1">Solution_material!C19*INDIRECT("Tab_Def_Flows[@DM]")</f>
        <v>1.3012556305700955</v>
      </c>
      <c r="D19" s="127" cm="1">
        <f t="array" aca="1" ref="D19" ca="1">Solution_material!D19*INDIRECT("Tab_Def_Flows[@DM]")</f>
        <v>2.6296732479695097</v>
      </c>
      <c r="E19" s="127" cm="1">
        <f t="array" aca="1" ref="E19" ca="1">Solution_material!E19*INDIRECT("Tab_Def_Flows[@DM]")</f>
        <v>2.701006135401653</v>
      </c>
      <c r="F19" s="127" cm="1">
        <f t="array" aca="1" ref="F19" ca="1">Solution_material!F19*INDIRECT("Tab_Def_Flows[@DM]")</f>
        <v>2.8738909153481189</v>
      </c>
      <c r="G19" s="127" cm="1">
        <f t="array" aca="1" ref="G19" ca="1">Solution_material!G19*INDIRECT("Tab_Def_Flows[@DM]")</f>
        <v>3.2316954213897446</v>
      </c>
      <c r="H19" s="127" cm="1">
        <f t="array" aca="1" ref="H19" ca="1">Solution_material!H19*INDIRECT("Tab_Def_Flows[@DM]")</f>
        <v>3.606788830973978</v>
      </c>
      <c r="I19" s="127" cm="1">
        <f t="array" aca="1" ref="I19" ca="1">Solution_material!I19*INDIRECT("Tab_Def_Flows[@DM]")</f>
        <v>3.835038831255146</v>
      </c>
      <c r="J19" s="127" cm="1">
        <f t="array" aca="1" ref="J19" ca="1">Solution_material!J19*INDIRECT("Tab_Def_Flows[@DM]")</f>
        <v>4.0099806229080084</v>
      </c>
      <c r="K19" s="127" cm="1">
        <f t="array" aca="1" ref="K19" ca="1">Solution_material!K19*INDIRECT("Tab_Def_Flows[@DM]")</f>
        <v>4.2213441777043101</v>
      </c>
      <c r="L19" s="127" cm="1">
        <f t="array" aca="1" ref="L19" ca="1">Solution_material!L19*INDIRECT("Tab_Def_Flows[@DM]")</f>
        <v>4.4718888044714653</v>
      </c>
      <c r="M19" s="127" cm="1">
        <f t="array" aca="1" ref="M19" ca="1">Solution_material!M19*INDIRECT("Tab_Def_Flows[@DM]")</f>
        <v>4.7274173459707907</v>
      </c>
      <c r="N19" s="127" cm="1">
        <f t="array" aca="1" ref="N19" ca="1">Solution_material!N19*INDIRECT("Tab_Def_Flows[@DM]")</f>
        <v>4.9519860961516775</v>
      </c>
      <c r="O19" s="127" cm="1">
        <f t="array" aca="1" ref="O19" ca="1">Solution_material!O19*INDIRECT("Tab_Def_Flows[@DM]")</f>
        <v>5.1307024842264433</v>
      </c>
      <c r="P19" s="127" cm="1">
        <f t="array" aca="1" ref="P19" ca="1">Solution_material!P19*INDIRECT("Tab_Def_Flows[@DM]")</f>
        <v>5.2715353126665114</v>
      </c>
      <c r="R19" s="126">
        <f t="shared" ca="1" si="0"/>
        <v>52.964205100334937</v>
      </c>
      <c r="T19" s="127"/>
      <c r="U19" s="127"/>
      <c r="V19" s="127"/>
      <c r="W19" s="127"/>
      <c r="X19" s="127"/>
      <c r="Y19" s="127"/>
      <c r="Z19" s="127"/>
      <c r="AA19" s="127"/>
      <c r="AB19" s="127"/>
      <c r="AC19" s="127"/>
      <c r="AD19" s="127"/>
      <c r="AE19" s="127"/>
      <c r="AF19" s="127"/>
      <c r="AG19" s="127"/>
      <c r="AH19" s="127"/>
      <c r="AI19" s="127"/>
    </row>
    <row r="20" spans="1:35" x14ac:dyDescent="0.35">
      <c r="A20" t="str">
        <f>'1_1_Definition_Flows'!C20</f>
        <v>F_10_19</v>
      </c>
      <c r="B20" s="127" cm="1">
        <f t="array" aca="1" ref="B20" ca="1">Solution_material!B20*INDIRECT("Tab_Def_Flows[@DM]")</f>
        <v>1.1189947331615713E-5</v>
      </c>
      <c r="C20" s="127" cm="1">
        <f t="array" aca="1" ref="C20" ca="1">Solution_material!C20*INDIRECT("Tab_Def_Flows[@DM]")</f>
        <v>11.711300675130859</v>
      </c>
      <c r="D20" s="127" cm="1">
        <f t="array" aca="1" ref="D20" ca="1">Solution_material!D20*INDIRECT("Tab_Def_Flows[@DM]")</f>
        <v>23.667059231725585</v>
      </c>
      <c r="E20" s="127" cm="1">
        <f t="array" aca="1" ref="E20" ca="1">Solution_material!E20*INDIRECT("Tab_Def_Flows[@DM]")</f>
        <v>24.309055218614876</v>
      </c>
      <c r="F20" s="127" cm="1">
        <f t="array" aca="1" ref="F20" ca="1">Solution_material!F20*INDIRECT("Tab_Def_Flows[@DM]")</f>
        <v>25.865018238133072</v>
      </c>
      <c r="G20" s="127" cm="1">
        <f t="array" aca="1" ref="G20" ca="1">Solution_material!G20*INDIRECT("Tab_Def_Flows[@DM]")</f>
        <v>29.085258792507702</v>
      </c>
      <c r="H20" s="127" cm="1">
        <f t="array" aca="1" ref="H20" ca="1">Solution_material!H20*INDIRECT("Tab_Def_Flows[@DM]")</f>
        <v>32.461099478765803</v>
      </c>
      <c r="I20" s="127" cm="1">
        <f t="array" aca="1" ref="I20" ca="1">Solution_material!I20*INDIRECT("Tab_Def_Flows[@DM]")</f>
        <v>34.515349481296312</v>
      </c>
      <c r="J20" s="127" cm="1">
        <f t="array" aca="1" ref="J20" ca="1">Solution_material!J20*INDIRECT("Tab_Def_Flows[@DM]")</f>
        <v>36.08982560617207</v>
      </c>
      <c r="K20" s="127" cm="1">
        <f t="array" aca="1" ref="K20" ca="1">Solution_material!K20*INDIRECT("Tab_Def_Flows[@DM]")</f>
        <v>37.992097599338791</v>
      </c>
      <c r="L20" s="127" cm="1">
        <f t="array" aca="1" ref="L20" ca="1">Solution_material!L20*INDIRECT("Tab_Def_Flows[@DM]")</f>
        <v>40.246999240243191</v>
      </c>
      <c r="M20" s="127" cm="1">
        <f t="array" aca="1" ref="M20" ca="1">Solution_material!M20*INDIRECT("Tab_Def_Flows[@DM]")</f>
        <v>42.546756113737111</v>
      </c>
      <c r="N20" s="127" cm="1">
        <f t="array" aca="1" ref="N20" ca="1">Solution_material!N20*INDIRECT("Tab_Def_Flows[@DM]")</f>
        <v>44.567874865365091</v>
      </c>
      <c r="O20" s="127" cm="1">
        <f t="array" aca="1" ref="O20" ca="1">Solution_material!O20*INDIRECT("Tab_Def_Flows[@DM]")</f>
        <v>46.176322358037986</v>
      </c>
      <c r="P20" s="127" cm="1">
        <f t="array" aca="1" ref="P20" ca="1">Solution_material!P20*INDIRECT("Tab_Def_Flows[@DM]")</f>
        <v>47.443817813998599</v>
      </c>
      <c r="R20" s="126">
        <f t="shared" ca="1" si="0"/>
        <v>476.67784590301432</v>
      </c>
      <c r="T20" s="127"/>
      <c r="U20" s="127"/>
      <c r="V20" s="127"/>
      <c r="W20" s="127"/>
      <c r="X20" s="127"/>
      <c r="Y20" s="127"/>
      <c r="Z20" s="127"/>
      <c r="AA20" s="127"/>
      <c r="AB20" s="127"/>
      <c r="AC20" s="127"/>
      <c r="AD20" s="127"/>
      <c r="AE20" s="127"/>
      <c r="AF20" s="127"/>
      <c r="AG20" s="127"/>
      <c r="AH20" s="127"/>
      <c r="AI20" s="127"/>
    </row>
    <row r="21" spans="1:35" x14ac:dyDescent="0.35">
      <c r="A21" t="str">
        <f>'1_1_Definition_Flows'!C21</f>
        <v>F_00_13</v>
      </c>
      <c r="B21" s="127" cm="1">
        <f t="array" aca="1" ref="B21" ca="1">Solution_material!B21*INDIRECT("Tab_Def_Flows[@DM]")</f>
        <v>121.25999999999999</v>
      </c>
      <c r="C21" s="127" cm="1">
        <f t="array" aca="1" ref="C21" ca="1">Solution_material!C21*INDIRECT("Tab_Def_Flows[@DM]")</f>
        <v>123.68520000000001</v>
      </c>
      <c r="D21" s="127" cm="1">
        <f t="array" aca="1" ref="D21" ca="1">Solution_material!D21*INDIRECT("Tab_Def_Flows[@DM]")</f>
        <v>126.15890399999999</v>
      </c>
      <c r="E21" s="127" cm="1">
        <f t="array" aca="1" ref="E21" ca="1">Solution_material!E21*INDIRECT("Tab_Def_Flows[@DM]")</f>
        <v>128.68208208000001</v>
      </c>
      <c r="F21" s="127" cm="1">
        <f t="array" aca="1" ref="F21" ca="1">Solution_material!F21*INDIRECT("Tab_Def_Flows[@DM]")</f>
        <v>131.25572372160002</v>
      </c>
      <c r="G21" s="127" cm="1">
        <f t="array" aca="1" ref="G21" ca="1">Solution_material!G21*INDIRECT("Tab_Def_Flows[@DM]")</f>
        <v>133.88083819603202</v>
      </c>
      <c r="H21" s="127" cm="1">
        <f t="array" aca="1" ref="H21" ca="1">Solution_material!H21*INDIRECT("Tab_Def_Flows[@DM]")</f>
        <v>136.55845495995266</v>
      </c>
      <c r="I21" s="127" cm="1">
        <f t="array" aca="1" ref="I21" ca="1">Solution_material!I21*INDIRECT("Tab_Def_Flows[@DM]")</f>
        <v>139.28962405915169</v>
      </c>
      <c r="J21" s="127" cm="1">
        <f t="array" aca="1" ref="J21" ca="1">Solution_material!J21*INDIRECT("Tab_Def_Flows[@DM]")</f>
        <v>142.07541654033471</v>
      </c>
      <c r="K21" s="127" cm="1">
        <f t="array" aca="1" ref="K21" ca="1">Solution_material!K21*INDIRECT("Tab_Def_Flows[@DM]")</f>
        <v>144.91692487114142</v>
      </c>
      <c r="L21" s="127" cm="1">
        <f t="array" aca="1" ref="L21" ca="1">Solution_material!L21*INDIRECT("Tab_Def_Flows[@DM]")</f>
        <v>147.81526336856425</v>
      </c>
      <c r="M21" s="127" cm="1">
        <f t="array" aca="1" ref="M21" ca="1">Solution_material!M21*INDIRECT("Tab_Def_Flows[@DM]")</f>
        <v>150.77156863593552</v>
      </c>
      <c r="N21" s="127" cm="1">
        <f t="array" aca="1" ref="N21" ca="1">Solution_material!N21*INDIRECT("Tab_Def_Flows[@DM]")</f>
        <v>153.78700000865425</v>
      </c>
      <c r="O21" s="127" cm="1">
        <f t="array" aca="1" ref="O21" ca="1">Solution_material!O21*INDIRECT("Tab_Def_Flows[@DM]")</f>
        <v>156.86274000882733</v>
      </c>
      <c r="P21" s="127" cm="1">
        <f t="array" aca="1" ref="P21" ca="1">Solution_material!P21*INDIRECT("Tab_Def_Flows[@DM]")</f>
        <v>159.99999480900388</v>
      </c>
      <c r="R21" s="126">
        <f t="shared" ca="1" si="0"/>
        <v>2096.9997352591981</v>
      </c>
      <c r="T21" s="127"/>
      <c r="U21" s="127"/>
      <c r="V21" s="127"/>
      <c r="W21" s="127"/>
      <c r="X21" s="127"/>
      <c r="Y21" s="127"/>
      <c r="Z21" s="127"/>
      <c r="AA21" s="127"/>
      <c r="AB21" s="127"/>
      <c r="AC21" s="127"/>
      <c r="AD21" s="127"/>
      <c r="AE21" s="127"/>
      <c r="AF21" s="127"/>
      <c r="AG21" s="127"/>
      <c r="AH21" s="127"/>
      <c r="AI21" s="127"/>
    </row>
    <row r="22" spans="1:35" x14ac:dyDescent="0.35">
      <c r="A22" t="str">
        <f>'1_1_Definition_Flows'!C22</f>
        <v>F_00_04</v>
      </c>
      <c r="B22" s="127" cm="1">
        <f t="array" aca="1" ref="B22" ca="1">Solution_material!B22*INDIRECT("Tab_Def_Flows[@DM]")</f>
        <v>2.34</v>
      </c>
      <c r="C22" s="127" cm="1">
        <f t="array" aca="1" ref="C22" ca="1">Solution_material!C22*INDIRECT("Tab_Def_Flows[@DM]")</f>
        <v>2.3868</v>
      </c>
      <c r="D22" s="127" cm="1">
        <f t="array" aca="1" ref="D22" ca="1">Solution_material!D22*INDIRECT("Tab_Def_Flows[@DM]")</f>
        <v>2.434536</v>
      </c>
      <c r="E22" s="127" cm="1">
        <f t="array" aca="1" ref="E22" ca="1">Solution_material!E22*INDIRECT("Tab_Def_Flows[@DM]")</f>
        <v>2.4832267200000002</v>
      </c>
      <c r="F22" s="127" cm="1">
        <f t="array" aca="1" ref="F22" ca="1">Solution_material!F22*INDIRECT("Tab_Def_Flows[@DM]")</f>
        <v>2.5328912544</v>
      </c>
      <c r="G22" s="127" cm="1">
        <f t="array" aca="1" ref="G22" ca="1">Solution_material!G22*INDIRECT("Tab_Def_Flows[@DM]")</f>
        <v>2.5835490794879998</v>
      </c>
      <c r="H22" s="127" cm="1">
        <f t="array" aca="1" ref="H22" ca="1">Solution_material!H22*INDIRECT("Tab_Def_Flows[@DM]")</f>
        <v>2.6352200610777596</v>
      </c>
      <c r="I22" s="127" cm="1">
        <f t="array" aca="1" ref="I22" ca="1">Solution_material!I22*INDIRECT("Tab_Def_Flows[@DM]")</f>
        <v>2.687924462299315</v>
      </c>
      <c r="J22" s="127" cm="1">
        <f t="array" aca="1" ref="J22" ca="1">Solution_material!J22*INDIRECT("Tab_Def_Flows[@DM]")</f>
        <v>2.7416829515453016</v>
      </c>
      <c r="K22" s="127" cm="1">
        <f t="array" aca="1" ref="K22" ca="1">Solution_material!K22*INDIRECT("Tab_Def_Flows[@DM]")</f>
        <v>2.7965166105762078</v>
      </c>
      <c r="L22" s="127" cm="1">
        <f t="array" aca="1" ref="L22" ca="1">Solution_material!L22*INDIRECT("Tab_Def_Flows[@DM]")</f>
        <v>2.8524469427877319</v>
      </c>
      <c r="M22" s="127" cm="1">
        <f t="array" aca="1" ref="M22" ca="1">Solution_material!M22*INDIRECT("Tab_Def_Flows[@DM]")</f>
        <v>2.9094958816434868</v>
      </c>
      <c r="N22" s="127" cm="1">
        <f t="array" aca="1" ref="N22" ca="1">Solution_material!N22*INDIRECT("Tab_Def_Flows[@DM]")</f>
        <v>2.9676857992763566</v>
      </c>
      <c r="O22" s="127" cm="1">
        <f t="array" aca="1" ref="O22" ca="1">Solution_material!O22*INDIRECT("Tab_Def_Flows[@DM]")</f>
        <v>3.0270395152618836</v>
      </c>
      <c r="P22" s="127" cm="1">
        <f t="array" aca="1" ref="P22" ca="1">Solution_material!P22*INDIRECT("Tab_Def_Flows[@DM]")</f>
        <v>3.0875803055671218</v>
      </c>
      <c r="R22" s="126">
        <f t="shared" ca="1" si="0"/>
        <v>40.466595583923166</v>
      </c>
      <c r="T22" s="127"/>
      <c r="U22" s="127"/>
      <c r="V22" s="127"/>
      <c r="W22" s="127"/>
      <c r="X22" s="127"/>
      <c r="Y22" s="127"/>
      <c r="Z22" s="127"/>
      <c r="AA22" s="127"/>
      <c r="AB22" s="127"/>
      <c r="AC22" s="127"/>
      <c r="AD22" s="127"/>
      <c r="AE22" s="127"/>
      <c r="AF22" s="127"/>
      <c r="AG22" s="127"/>
      <c r="AH22" s="127"/>
      <c r="AI22" s="127"/>
    </row>
    <row r="23" spans="1:35" x14ac:dyDescent="0.35">
      <c r="A23" t="str">
        <f>'1_1_Definition_Flows'!C23</f>
        <v>F_00_11</v>
      </c>
      <c r="B23" s="127" cm="1">
        <f t="array" aca="1" ref="B23" ca="1">Solution_material!B23*INDIRECT("Tab_Def_Flows[@DM]")</f>
        <v>0.34</v>
      </c>
      <c r="C23" s="127" cm="1">
        <f t="array" aca="1" ref="C23" ca="1">Solution_material!C23*INDIRECT("Tab_Def_Flows[@DM]")</f>
        <v>0.34680000000000005</v>
      </c>
      <c r="D23" s="127" cm="1">
        <f t="array" aca="1" ref="D23" ca="1">Solution_material!D23*INDIRECT("Tab_Def_Flows[@DM]")</f>
        <v>0.35373599999999999</v>
      </c>
      <c r="E23" s="127" cm="1">
        <f t="array" aca="1" ref="E23" ca="1">Solution_material!E23*INDIRECT("Tab_Def_Flows[@DM]")</f>
        <v>0.36081072000000003</v>
      </c>
      <c r="F23" s="127" cm="1">
        <f t="array" aca="1" ref="F23" ca="1">Solution_material!F23*INDIRECT("Tab_Def_Flows[@DM]")</f>
        <v>0.36802693440000001</v>
      </c>
      <c r="G23" s="127" cm="1">
        <f t="array" aca="1" ref="G23" ca="1">Solution_material!G23*INDIRECT("Tab_Def_Flows[@DM]")</f>
        <v>0.37538747308800002</v>
      </c>
      <c r="H23" s="127" cm="1">
        <f t="array" aca="1" ref="H23" ca="1">Solution_material!H23*INDIRECT("Tab_Def_Flows[@DM]")</f>
        <v>0.38289522254976005</v>
      </c>
      <c r="I23" s="127" cm="1">
        <f t="array" aca="1" ref="I23" ca="1">Solution_material!I23*INDIRECT("Tab_Def_Flows[@DM]")</f>
        <v>0.39055312700075523</v>
      </c>
      <c r="J23" s="127" cm="1">
        <f t="array" aca="1" ref="J23" ca="1">Solution_material!J23*INDIRECT("Tab_Def_Flows[@DM]")</f>
        <v>0.39836418954077041</v>
      </c>
      <c r="K23" s="127" cm="1">
        <f t="array" aca="1" ref="K23" ca="1">Solution_material!K23*INDIRECT("Tab_Def_Flows[@DM]")</f>
        <v>0.40633147333158581</v>
      </c>
      <c r="L23" s="127" cm="1">
        <f t="array" aca="1" ref="L23" ca="1">Solution_material!L23*INDIRECT("Tab_Def_Flows[@DM]")</f>
        <v>0.41445810279821754</v>
      </c>
      <c r="M23" s="127" cm="1">
        <f t="array" aca="1" ref="M23" ca="1">Solution_material!M23*INDIRECT("Tab_Def_Flows[@DM]")</f>
        <v>0.42274726485418185</v>
      </c>
      <c r="N23" s="127" cm="1">
        <f t="array" aca="1" ref="N23" ca="1">Solution_material!N23*INDIRECT("Tab_Def_Flows[@DM]")</f>
        <v>0.43120221015126547</v>
      </c>
      <c r="O23" s="127" cm="1">
        <f t="array" aca="1" ref="O23" ca="1">Solution_material!O23*INDIRECT("Tab_Def_Flows[@DM]")</f>
        <v>0.43982625435429079</v>
      </c>
      <c r="P23" s="127" cm="1">
        <f t="array" aca="1" ref="P23" ca="1">Solution_material!P23*INDIRECT("Tab_Def_Flows[@DM]")</f>
        <v>0.44862277944137663</v>
      </c>
      <c r="R23" s="126">
        <f t="shared" ca="1" si="0"/>
        <v>5.8797617515102036</v>
      </c>
      <c r="T23" s="127"/>
      <c r="U23" s="127"/>
      <c r="V23" s="127"/>
      <c r="W23" s="127"/>
      <c r="X23" s="127"/>
      <c r="Y23" s="127"/>
      <c r="Z23" s="127"/>
      <c r="AA23" s="127"/>
      <c r="AB23" s="127"/>
      <c r="AC23" s="127"/>
      <c r="AD23" s="127"/>
      <c r="AE23" s="127"/>
      <c r="AF23" s="127"/>
      <c r="AG23" s="127"/>
      <c r="AH23" s="127"/>
      <c r="AI23" s="127"/>
    </row>
    <row r="24" spans="1:35" x14ac:dyDescent="0.35">
      <c r="A24" t="str">
        <f>'1_1_Definition_Flows'!C24</f>
        <v>F_00_08</v>
      </c>
      <c r="B24" s="127" cm="1">
        <f t="array" aca="1" ref="B24" ca="1">Solution_material!B24*INDIRECT("Tab_Def_Flows[@DM]")</f>
        <v>0</v>
      </c>
      <c r="C24" s="127" cm="1">
        <f t="array" aca="1" ref="C24" ca="1">Solution_material!C24*INDIRECT("Tab_Def_Flows[@DM]")</f>
        <v>0</v>
      </c>
      <c r="D24" s="127" cm="1">
        <f t="array" aca="1" ref="D24" ca="1">Solution_material!D24*INDIRECT("Tab_Def_Flows[@DM]")</f>
        <v>0</v>
      </c>
      <c r="E24" s="127" cm="1">
        <f t="array" aca="1" ref="E24" ca="1">Solution_material!E24*INDIRECT("Tab_Def_Flows[@DM]")</f>
        <v>0</v>
      </c>
      <c r="F24" s="127" cm="1">
        <f t="array" aca="1" ref="F24" ca="1">Solution_material!F24*INDIRECT("Tab_Def_Flows[@DM]")</f>
        <v>0</v>
      </c>
      <c r="G24" s="127" cm="1">
        <f t="array" aca="1" ref="G24" ca="1">Solution_material!G24*INDIRECT("Tab_Def_Flows[@DM]")</f>
        <v>0</v>
      </c>
      <c r="H24" s="127" cm="1">
        <f t="array" aca="1" ref="H24" ca="1">Solution_material!H24*INDIRECT("Tab_Def_Flows[@DM]")</f>
        <v>0</v>
      </c>
      <c r="I24" s="127" cm="1">
        <f t="array" aca="1" ref="I24" ca="1">Solution_material!I24*INDIRECT("Tab_Def_Flows[@DM]")</f>
        <v>0</v>
      </c>
      <c r="J24" s="127" cm="1">
        <f t="array" aca="1" ref="J24" ca="1">Solution_material!J24*INDIRECT("Tab_Def_Flows[@DM]")</f>
        <v>0</v>
      </c>
      <c r="K24" s="127" cm="1">
        <f t="array" aca="1" ref="K24" ca="1">Solution_material!K24*INDIRECT("Tab_Def_Flows[@DM]")</f>
        <v>0</v>
      </c>
      <c r="L24" s="127" cm="1">
        <f t="array" aca="1" ref="L24" ca="1">Solution_material!L24*INDIRECT("Tab_Def_Flows[@DM]")</f>
        <v>0</v>
      </c>
      <c r="M24" s="127" cm="1">
        <f t="array" aca="1" ref="M24" ca="1">Solution_material!M24*INDIRECT("Tab_Def_Flows[@DM]")</f>
        <v>0</v>
      </c>
      <c r="N24" s="127" cm="1">
        <f t="array" aca="1" ref="N24" ca="1">Solution_material!N24*INDIRECT("Tab_Def_Flows[@DM]")</f>
        <v>0</v>
      </c>
      <c r="O24" s="127" cm="1">
        <f t="array" aca="1" ref="O24" ca="1">Solution_material!O24*INDIRECT("Tab_Def_Flows[@DM]")</f>
        <v>0</v>
      </c>
      <c r="P24" s="127" cm="1">
        <f t="array" aca="1" ref="P24" ca="1">Solution_material!P24*INDIRECT("Tab_Def_Flows[@DM]")</f>
        <v>0</v>
      </c>
      <c r="R24" s="126">
        <f t="shared" ca="1" si="0"/>
        <v>0</v>
      </c>
      <c r="T24" s="127"/>
      <c r="U24" s="127"/>
      <c r="V24" s="127"/>
      <c r="W24" s="127"/>
      <c r="X24" s="127"/>
      <c r="Y24" s="127"/>
      <c r="Z24" s="127"/>
      <c r="AA24" s="127"/>
      <c r="AB24" s="127"/>
      <c r="AC24" s="127"/>
      <c r="AD24" s="127"/>
      <c r="AE24" s="127"/>
      <c r="AF24" s="127"/>
      <c r="AG24" s="127"/>
      <c r="AH24" s="127"/>
      <c r="AI24" s="127"/>
    </row>
    <row r="25" spans="1:35" x14ac:dyDescent="0.35">
      <c r="A25" t="str">
        <f>'1_1_Definition_Flows'!C25</f>
        <v>F_09_19</v>
      </c>
      <c r="B25" s="136" cm="1">
        <f t="array" aca="1" ref="B25" ca="1">Solution_material!B25*INDIRECT("Tab_Def_Flows[@DM]")</f>
        <v>2.1758230922586109E-6</v>
      </c>
      <c r="C25" s="127" cm="1">
        <f t="array" aca="1" ref="C25" ca="1">Solution_material!C25*INDIRECT("Tab_Def_Flows[@DM]")</f>
        <v>2.2771973534976668</v>
      </c>
      <c r="D25" s="127" cm="1">
        <f t="array" aca="1" ref="D25" ca="1">Solution_material!D25*INDIRECT("Tab_Def_Flows[@DM]")</f>
        <v>4.601928183946641</v>
      </c>
      <c r="E25" s="127" cm="1">
        <f t="array" aca="1" ref="E25" ca="1">Solution_material!E25*INDIRECT("Tab_Def_Flows[@DM]")</f>
        <v>4.7267607369528921</v>
      </c>
      <c r="F25" s="127" cm="1">
        <f t="array" aca="1" ref="F25" ca="1">Solution_material!F25*INDIRECT("Tab_Def_Flows[@DM]")</f>
        <v>5.0293091018592078</v>
      </c>
      <c r="G25" s="127" cm="1">
        <f t="array" aca="1" ref="G25" ca="1">Solution_material!G25*INDIRECT("Tab_Def_Flows[@DM]")</f>
        <v>5.6554669874320531</v>
      </c>
      <c r="H25" s="127" cm="1">
        <f t="array" aca="1" ref="H25" ca="1">Solution_material!H25*INDIRECT("Tab_Def_Flows[@DM]")</f>
        <v>6.3118804542044611</v>
      </c>
      <c r="I25" s="127" cm="1">
        <f t="array" aca="1" ref="I25" ca="1">Solution_material!I25*INDIRECT("Tab_Def_Flows[@DM]")</f>
        <v>6.7113179546965052</v>
      </c>
      <c r="J25" s="127" cm="1">
        <f t="array" aca="1" ref="J25" ca="1">Solution_material!J25*INDIRECT("Tab_Def_Flows[@DM]")</f>
        <v>7.0174660900890133</v>
      </c>
      <c r="K25" s="127" cm="1">
        <f t="array" aca="1" ref="K25" ca="1">Solution_material!K25*INDIRECT("Tab_Def_Flows[@DM]")</f>
        <v>7.3873523109825419</v>
      </c>
      <c r="L25" s="127" cm="1">
        <f t="array" aca="1" ref="L25" ca="1">Solution_material!L25*INDIRECT("Tab_Def_Flows[@DM]")</f>
        <v>7.8258054078250634</v>
      </c>
      <c r="M25" s="127" cm="1">
        <f t="array" aca="1" ref="M25" ca="1">Solution_material!M25*INDIRECT("Tab_Def_Flows[@DM]")</f>
        <v>8.2729803554488832</v>
      </c>
      <c r="N25" s="127" cm="1">
        <f t="array" aca="1" ref="N25" ca="1">Solution_material!N25*INDIRECT("Tab_Def_Flows[@DM]")</f>
        <v>8.6659756682654336</v>
      </c>
      <c r="O25" s="127" cm="1">
        <f t="array" aca="1" ref="O25" ca="1">Solution_material!O25*INDIRECT("Tab_Def_Flows[@DM]")</f>
        <v>8.978729347396273</v>
      </c>
      <c r="P25" s="127" cm="1">
        <f t="array" aca="1" ref="P25" ca="1">Solution_material!P25*INDIRECT("Tab_Def_Flows[@DM]")</f>
        <v>9.2251867971663923</v>
      </c>
      <c r="R25" s="126">
        <f t="shared" ca="1" si="0"/>
        <v>92.687358925586111</v>
      </c>
      <c r="T25" s="127"/>
      <c r="U25" s="136"/>
      <c r="V25" s="127"/>
      <c r="W25" s="127"/>
      <c r="X25" s="127"/>
      <c r="Y25" s="127"/>
      <c r="Z25" s="127"/>
      <c r="AA25" s="127"/>
      <c r="AB25" s="127"/>
      <c r="AC25" s="127"/>
      <c r="AD25" s="127"/>
      <c r="AE25" s="127"/>
      <c r="AF25" s="127"/>
      <c r="AG25" s="127"/>
      <c r="AH25" s="127"/>
      <c r="AI25" s="127"/>
    </row>
    <row r="26" spans="1:35" x14ac:dyDescent="0.35">
      <c r="A26" t="str">
        <f>'1_1_Definition_Flows'!C26</f>
        <v>F_17_19</v>
      </c>
      <c r="B26" s="127">
        <f ca="1">Solution_material!B26</f>
        <v>0</v>
      </c>
      <c r="C26" s="127">
        <f ca="1">Solution_material!C26</f>
        <v>2.8002050789233124E-8</v>
      </c>
      <c r="D26" s="127">
        <f ca="1">Solution_material!D26</f>
        <v>2.9306727653137798E-2</v>
      </c>
      <c r="E26" s="127">
        <f ca="1">Solution_material!E26</f>
        <v>8.7605492392697659E-2</v>
      </c>
      <c r="F26" s="127">
        <f ca="1">Solution_material!F26</f>
        <v>0.14566800413862246</v>
      </c>
      <c r="G26" s="127">
        <f ca="1">Solution_material!G26</f>
        <v>0.20578886853233946</v>
      </c>
      <c r="H26" s="127">
        <f ca="1">Solution_material!H26</f>
        <v>0.27206775847024378</v>
      </c>
      <c r="I26" s="127">
        <f ca="1">Solution_material!I26</f>
        <v>0.34469939934295724</v>
      </c>
      <c r="J26" s="127">
        <f ca="1">Solution_material!J26</f>
        <v>0.4201757959429564</v>
      </c>
      <c r="K26" s="127">
        <f ca="1">Solution_material!K26</f>
        <v>0.49720642643843505</v>
      </c>
      <c r="L26" s="127">
        <f ca="1">Solution_material!L26</f>
        <v>0.5765624480139695</v>
      </c>
      <c r="M26" s="127">
        <f ca="1">Solution_material!M26</f>
        <v>0.65905278663383982</v>
      </c>
      <c r="N26" s="127">
        <f ca="1">Solution_material!N26</f>
        <v>0.74469061473338316</v>
      </c>
      <c r="O26" s="127">
        <f ca="1">Solution_material!O26</f>
        <v>0.83267916916265827</v>
      </c>
      <c r="P26" s="127">
        <f ca="1">Solution_material!P26</f>
        <v>0.92191146372823329</v>
      </c>
      <c r="R26" s="126">
        <f t="shared" ca="1" si="0"/>
        <v>5.7374149831855243</v>
      </c>
      <c r="T26" s="127"/>
      <c r="U26" s="127"/>
      <c r="V26" s="127"/>
      <c r="W26" s="127"/>
      <c r="X26" s="127"/>
      <c r="Y26" s="127"/>
      <c r="Z26" s="127"/>
      <c r="AA26" s="127"/>
      <c r="AB26" s="127"/>
      <c r="AC26" s="127"/>
      <c r="AD26" s="127"/>
      <c r="AE26" s="127"/>
      <c r="AF26" s="127"/>
      <c r="AG26" s="127"/>
      <c r="AH26" s="127"/>
      <c r="AI26" s="127"/>
    </row>
    <row r="27" spans="1:35" x14ac:dyDescent="0.35">
      <c r="R27" s="127"/>
    </row>
    <row r="28" spans="1:35" x14ac:dyDescent="0.35">
      <c r="R28" s="127"/>
    </row>
    <row r="29" spans="1:35" x14ac:dyDescent="0.35">
      <c r="R29" s="127"/>
    </row>
    <row r="30" spans="1:35" x14ac:dyDescent="0.35">
      <c r="R30" s="127"/>
    </row>
    <row r="31" spans="1:35" x14ac:dyDescent="0.35">
      <c r="A31" t="s">
        <v>514</v>
      </c>
      <c r="B31">
        <f ca="1">B9-B10</f>
        <v>21.144903178778531</v>
      </c>
      <c r="C31">
        <f ca="1">C9-C10</f>
        <v>15.224186225770787</v>
      </c>
      <c r="D31">
        <f ca="1">D9-D10</f>
        <v>9.1795064894446465</v>
      </c>
      <c r="E31">
        <f ca="1">E9-E10</f>
        <v>9.2717419346788645</v>
      </c>
      <c r="F31">
        <f ca="1">F9-F10</f>
        <v>8.8777115693350801</v>
      </c>
      <c r="G31">
        <f ca="1">G9-G10</f>
        <v>7.5911731980153032</v>
      </c>
      <c r="H31">
        <f ca="1">H9-H10</f>
        <v>6.2295065938379715</v>
      </c>
      <c r="I31">
        <f ca="1">I9-I10</f>
        <v>5.593039885364</v>
      </c>
      <c r="J31">
        <f ca="1">J9-J10</f>
        <v>5.2259757348109552</v>
      </c>
      <c r="K31">
        <f ca="1">K9-K10</f>
        <v>4.691071030608736</v>
      </c>
      <c r="L31">
        <f ca="1">L9-L10</f>
        <v>3.9750684530571938</v>
      </c>
      <c r="M31">
        <f ca="1">M9-M10</f>
        <v>3.2448773407450986</v>
      </c>
      <c r="N31">
        <f ca="1">N9-N10</f>
        <v>2.6759254216603345</v>
      </c>
      <c r="O31">
        <f ca="1">O9-O10</f>
        <v>2.3410201826038417</v>
      </c>
      <c r="P31">
        <f ca="1">P9-P10</f>
        <v>2.2015240398226688</v>
      </c>
      <c r="R31" s="126">
        <f ca="1">SUM(B31:P31)</f>
        <v>107.46723127853402</v>
      </c>
    </row>
    <row r="32" spans="1:35" x14ac:dyDescent="0.35">
      <c r="A32" t="s">
        <v>515</v>
      </c>
      <c r="B32">
        <f ca="1">B31</f>
        <v>21.144903178778531</v>
      </c>
      <c r="C32">
        <f ca="1">B32+C31</f>
        <v>36.369089404549314</v>
      </c>
      <c r="D32">
        <f t="shared" ref="D32:P32" ca="1" si="1">C32+D31</f>
        <v>45.548595893993962</v>
      </c>
      <c r="E32">
        <f t="shared" ca="1" si="1"/>
        <v>54.820337828672827</v>
      </c>
      <c r="F32">
        <f t="shared" ca="1" si="1"/>
        <v>63.69804939800791</v>
      </c>
      <c r="G32">
        <f t="shared" ca="1" si="1"/>
        <v>71.289222596023208</v>
      </c>
      <c r="H32">
        <f t="shared" ca="1" si="1"/>
        <v>77.518729189861176</v>
      </c>
      <c r="I32">
        <f t="shared" ca="1" si="1"/>
        <v>83.111769075225169</v>
      </c>
      <c r="J32">
        <f t="shared" ca="1" si="1"/>
        <v>88.337744810036128</v>
      </c>
      <c r="K32">
        <f t="shared" ca="1" si="1"/>
        <v>93.028815840644867</v>
      </c>
      <c r="L32">
        <f t="shared" ca="1" si="1"/>
        <v>97.003884293702058</v>
      </c>
      <c r="M32">
        <f t="shared" ca="1" si="1"/>
        <v>100.24876163444716</v>
      </c>
      <c r="N32">
        <f t="shared" ca="1" si="1"/>
        <v>102.9246870561075</v>
      </c>
      <c r="O32">
        <f t="shared" ca="1" si="1"/>
        <v>105.26570723871134</v>
      </c>
      <c r="P32">
        <f t="shared" ca="1" si="1"/>
        <v>107.46723127853402</v>
      </c>
      <c r="R32" s="126">
        <f ca="1">SUM(B32:P32)</f>
        <v>1147.7775287172951</v>
      </c>
    </row>
    <row r="33" spans="1:34" x14ac:dyDescent="0.35">
      <c r="A33" t="s">
        <v>512</v>
      </c>
      <c r="B33">
        <f ca="1">B7</f>
        <v>22.921799999999998</v>
      </c>
      <c r="C33">
        <f ca="1">C7</f>
        <v>23.380236000000004</v>
      </c>
      <c r="D33">
        <f ca="1">D7</f>
        <v>23.847840720000004</v>
      </c>
      <c r="E33">
        <f ca="1">E7</f>
        <v>24.324797534400002</v>
      </c>
      <c r="F33">
        <f ca="1">F7</f>
        <v>24.811293485088001</v>
      </c>
      <c r="G33">
        <f ca="1">G7</f>
        <v>25.307519354789761</v>
      </c>
      <c r="H33">
        <f ca="1">H7</f>
        <v>25.813669741885558</v>
      </c>
      <c r="I33">
        <f ca="1">I7</f>
        <v>26.329943136723269</v>
      </c>
      <c r="J33">
        <f ca="1">J7</f>
        <v>26.856541999457733</v>
      </c>
      <c r="K33">
        <f ca="1">K7</f>
        <v>27.393672839446893</v>
      </c>
      <c r="L33">
        <f ca="1">L7</f>
        <v>27.941546296235828</v>
      </c>
      <c r="M33">
        <f ca="1">M7</f>
        <v>28.500377222160544</v>
      </c>
      <c r="N33">
        <f ca="1">N7</f>
        <v>29.070384766603755</v>
      </c>
      <c r="O33">
        <f ca="1">O7</f>
        <v>29.65179246193583</v>
      </c>
      <c r="P33">
        <f ca="1">P7</f>
        <v>30.244828311174544</v>
      </c>
      <c r="R33" s="126">
        <f ca="1">SUM(B33:P33)</f>
        <v>396.3962438699017</v>
      </c>
    </row>
    <row r="34" spans="1:34" x14ac:dyDescent="0.35">
      <c r="A34" t="s">
        <v>513</v>
      </c>
      <c r="B34">
        <f ca="1">B33</f>
        <v>22.921799999999998</v>
      </c>
      <c r="C34">
        <f ca="1">B34+C33</f>
        <v>46.302036000000001</v>
      </c>
      <c r="D34">
        <f t="shared" ref="D34:P34" ca="1" si="2">C34+D33</f>
        <v>70.149876720000009</v>
      </c>
      <c r="E34">
        <f t="shared" ca="1" si="2"/>
        <v>94.474674254400014</v>
      </c>
      <c r="F34">
        <f t="shared" ca="1" si="2"/>
        <v>119.28596773948802</v>
      </c>
      <c r="G34">
        <f t="shared" ca="1" si="2"/>
        <v>144.59348709427778</v>
      </c>
      <c r="H34">
        <f t="shared" ca="1" si="2"/>
        <v>170.40715683616332</v>
      </c>
      <c r="I34">
        <f t="shared" ca="1" si="2"/>
        <v>196.7370999728866</v>
      </c>
      <c r="J34">
        <f t="shared" ca="1" si="2"/>
        <v>223.59364197234433</v>
      </c>
      <c r="K34">
        <f t="shared" ca="1" si="2"/>
        <v>250.98731481179124</v>
      </c>
      <c r="L34">
        <f t="shared" ca="1" si="2"/>
        <v>278.92886110802704</v>
      </c>
      <c r="M34">
        <f t="shared" ca="1" si="2"/>
        <v>307.42923833018756</v>
      </c>
      <c r="N34">
        <f t="shared" ca="1" si="2"/>
        <v>336.49962309679131</v>
      </c>
      <c r="O34">
        <f t="shared" ca="1" si="2"/>
        <v>366.15141555872714</v>
      </c>
      <c r="P34">
        <f t="shared" ca="1" si="2"/>
        <v>396.3962438699017</v>
      </c>
      <c r="R34" s="126">
        <f ca="1">SUM(B34:P34)</f>
        <v>3024.8584373649865</v>
      </c>
    </row>
    <row r="35" spans="1:34" x14ac:dyDescent="0.35">
      <c r="A35" t="s">
        <v>522</v>
      </c>
      <c r="B35">
        <f ca="1">B11</f>
        <v>4.6227736799999999</v>
      </c>
      <c r="C35">
        <f ca="1">C11</f>
        <v>4.7152291536000002</v>
      </c>
      <c r="D35">
        <f ca="1">D11</f>
        <v>4.8095337366719999</v>
      </c>
      <c r="E35">
        <f ca="1">E11</f>
        <v>4.9057244114054406</v>
      </c>
      <c r="F35">
        <f ca="1">F11</f>
        <v>5.003838899633549</v>
      </c>
      <c r="G35">
        <f ca="1">G11</f>
        <v>5.1039156776262207</v>
      </c>
      <c r="H35">
        <f ca="1">H11</f>
        <v>5.2059939911787456</v>
      </c>
      <c r="I35">
        <f ca="1">I11</f>
        <v>5.3101138710023204</v>
      </c>
      <c r="J35">
        <f ca="1">J11</f>
        <v>5.4163161484223661</v>
      </c>
      <c r="K35">
        <f ca="1">K11</f>
        <v>5.5246424713908135</v>
      </c>
      <c r="L35">
        <f ca="1">L11</f>
        <v>5.6351353208186303</v>
      </c>
      <c r="M35">
        <f ca="1">M11</f>
        <v>5.7478380272350025</v>
      </c>
      <c r="N35">
        <f ca="1">N11</f>
        <v>5.8627947877797029</v>
      </c>
      <c r="O35">
        <f ca="1">O11</f>
        <v>5.9800506835352971</v>
      </c>
      <c r="P35">
        <f ca="1">P11</f>
        <v>6.0996516972060029</v>
      </c>
      <c r="R35" s="126">
        <f ca="1">SUM(B35:P35)</f>
        <v>79.943552557506095</v>
      </c>
    </row>
    <row r="36" spans="1:34" x14ac:dyDescent="0.35">
      <c r="A36" t="s">
        <v>523</v>
      </c>
      <c r="B36">
        <f ca="1">B35</f>
        <v>4.6227736799999999</v>
      </c>
      <c r="C36">
        <f ca="1">B36+C35</f>
        <v>9.3380028336000009</v>
      </c>
      <c r="D36">
        <f t="shared" ref="D36:P36" ca="1" si="3">C36+D35</f>
        <v>14.147536570272001</v>
      </c>
      <c r="E36">
        <f t="shared" ca="1" si="3"/>
        <v>19.05326098167744</v>
      </c>
      <c r="F36">
        <f t="shared" ca="1" si="3"/>
        <v>24.05709988131099</v>
      </c>
      <c r="G36">
        <f t="shared" ca="1" si="3"/>
        <v>29.161015558937208</v>
      </c>
      <c r="H36">
        <f t="shared" ca="1" si="3"/>
        <v>34.367009550115952</v>
      </c>
      <c r="I36">
        <f t="shared" ca="1" si="3"/>
        <v>39.677123421118274</v>
      </c>
      <c r="J36">
        <f t="shared" ca="1" si="3"/>
        <v>45.093439569540642</v>
      </c>
      <c r="K36">
        <f t="shared" ca="1" si="3"/>
        <v>50.618082040931455</v>
      </c>
      <c r="L36">
        <f t="shared" ca="1" si="3"/>
        <v>56.253217361750089</v>
      </c>
      <c r="M36">
        <f t="shared" ca="1" si="3"/>
        <v>62.001055388985094</v>
      </c>
      <c r="N36">
        <f t="shared" ca="1" si="3"/>
        <v>67.863850176764799</v>
      </c>
      <c r="O36">
        <f t="shared" ca="1" si="3"/>
        <v>73.843900860300096</v>
      </c>
      <c r="P36">
        <f t="shared" ca="1" si="3"/>
        <v>79.943552557506095</v>
      </c>
      <c r="R36" s="126">
        <f ca="1">SUM(B36:P36)</f>
        <v>610.04092043281025</v>
      </c>
    </row>
    <row r="37" spans="1:34" x14ac:dyDescent="0.35">
      <c r="A37" t="s">
        <v>542</v>
      </c>
      <c r="B37" s="127">
        <f ca="1">B15</f>
        <v>0</v>
      </c>
      <c r="C37" s="127">
        <f t="shared" ref="C37:P37" ca="1" si="4">C15</f>
        <v>0</v>
      </c>
      <c r="D37" s="127">
        <f t="shared" ca="1" si="4"/>
        <v>0</v>
      </c>
      <c r="E37" s="127">
        <f t="shared" ca="1" si="4"/>
        <v>0</v>
      </c>
      <c r="F37" s="127">
        <f t="shared" ca="1" si="4"/>
        <v>0</v>
      </c>
      <c r="G37" s="127">
        <f t="shared" ca="1" si="4"/>
        <v>0</v>
      </c>
      <c r="H37" s="127">
        <f t="shared" ca="1" si="4"/>
        <v>0</v>
      </c>
      <c r="I37" s="127">
        <f t="shared" ca="1" si="4"/>
        <v>0</v>
      </c>
      <c r="J37" s="127">
        <f t="shared" ca="1" si="4"/>
        <v>0</v>
      </c>
      <c r="K37" s="127">
        <f t="shared" ca="1" si="4"/>
        <v>0</v>
      </c>
      <c r="L37" s="127">
        <f t="shared" ca="1" si="4"/>
        <v>0</v>
      </c>
      <c r="M37" s="127">
        <f t="shared" ca="1" si="4"/>
        <v>0</v>
      </c>
      <c r="N37" s="127">
        <f t="shared" ca="1" si="4"/>
        <v>0</v>
      </c>
      <c r="O37" s="127">
        <f t="shared" ca="1" si="4"/>
        <v>0</v>
      </c>
      <c r="P37" s="127">
        <f t="shared" ca="1" si="4"/>
        <v>0</v>
      </c>
      <c r="R37" s="126">
        <f t="shared" ref="R37:R40" ca="1" si="5">SUM(B37:P37)</f>
        <v>0</v>
      </c>
      <c r="T37" s="127"/>
      <c r="U37" s="127"/>
      <c r="V37" s="127"/>
      <c r="W37" s="127"/>
      <c r="X37" s="127"/>
      <c r="Y37" s="127"/>
      <c r="Z37" s="127"/>
      <c r="AA37" s="127"/>
      <c r="AB37" s="127"/>
      <c r="AC37" s="127"/>
      <c r="AD37" s="127"/>
      <c r="AE37" s="127"/>
      <c r="AF37" s="127"/>
      <c r="AG37" s="127"/>
      <c r="AH37" s="127"/>
    </row>
    <row r="38" spans="1:34" x14ac:dyDescent="0.35">
      <c r="A38" t="s">
        <v>543</v>
      </c>
      <c r="B38" s="127">
        <f ca="1">B37</f>
        <v>0</v>
      </c>
      <c r="C38" s="127">
        <f ca="1">C37+B38</f>
        <v>0</v>
      </c>
      <c r="D38" s="127">
        <f t="shared" ref="D38:O38" ca="1" si="6">D37+C38</f>
        <v>0</v>
      </c>
      <c r="E38" s="127">
        <f t="shared" ca="1" si="6"/>
        <v>0</v>
      </c>
      <c r="F38" s="127">
        <f t="shared" ca="1" si="6"/>
        <v>0</v>
      </c>
      <c r="G38" s="127">
        <f t="shared" ca="1" si="6"/>
        <v>0</v>
      </c>
      <c r="H38" s="127">
        <f t="shared" ca="1" si="6"/>
        <v>0</v>
      </c>
      <c r="I38" s="127">
        <f t="shared" ca="1" si="6"/>
        <v>0</v>
      </c>
      <c r="J38" s="127">
        <f t="shared" ca="1" si="6"/>
        <v>0</v>
      </c>
      <c r="K38" s="127">
        <f t="shared" ca="1" si="6"/>
        <v>0</v>
      </c>
      <c r="L38" s="127">
        <f t="shared" ca="1" si="6"/>
        <v>0</v>
      </c>
      <c r="M38" s="127">
        <f t="shared" ca="1" si="6"/>
        <v>0</v>
      </c>
      <c r="N38" s="127">
        <f t="shared" ca="1" si="6"/>
        <v>0</v>
      </c>
      <c r="O38" s="127">
        <f t="shared" ca="1" si="6"/>
        <v>0</v>
      </c>
      <c r="P38" s="127">
        <f ca="1">P37+O38</f>
        <v>0</v>
      </c>
      <c r="R38" s="126">
        <f t="shared" ca="1" si="5"/>
        <v>0</v>
      </c>
      <c r="T38" s="127"/>
      <c r="U38" s="127"/>
      <c r="V38" s="127"/>
      <c r="W38" s="127"/>
      <c r="X38" s="127"/>
      <c r="Y38" s="127"/>
      <c r="Z38" s="127"/>
      <c r="AA38" s="127"/>
      <c r="AB38" s="127"/>
      <c r="AC38" s="127"/>
      <c r="AD38" s="127"/>
      <c r="AE38" s="127"/>
      <c r="AF38" s="127"/>
      <c r="AG38" s="127"/>
      <c r="AH38" s="127"/>
    </row>
    <row r="39" spans="1:34" x14ac:dyDescent="0.35">
      <c r="A39" t="s">
        <v>524</v>
      </c>
      <c r="B39" s="127">
        <f ca="1">B14</f>
        <v>0</v>
      </c>
      <c r="C39" s="127">
        <f t="shared" ref="C39:P39" ca="1" si="7">C14</f>
        <v>0</v>
      </c>
      <c r="D39" s="127">
        <f t="shared" ca="1" si="7"/>
        <v>0</v>
      </c>
      <c r="E39" s="127">
        <f t="shared" ca="1" si="7"/>
        <v>0</v>
      </c>
      <c r="F39" s="127">
        <f t="shared" ca="1" si="7"/>
        <v>0</v>
      </c>
      <c r="G39" s="127">
        <f t="shared" ca="1" si="7"/>
        <v>0</v>
      </c>
      <c r="H39" s="127">
        <f t="shared" ca="1" si="7"/>
        <v>0</v>
      </c>
      <c r="I39" s="127">
        <f t="shared" ca="1" si="7"/>
        <v>0</v>
      </c>
      <c r="J39" s="127">
        <f t="shared" ca="1" si="7"/>
        <v>0</v>
      </c>
      <c r="K39" s="127">
        <f t="shared" ca="1" si="7"/>
        <v>0</v>
      </c>
      <c r="L39" s="127">
        <f t="shared" ca="1" si="7"/>
        <v>0</v>
      </c>
      <c r="M39" s="127">
        <f t="shared" ca="1" si="7"/>
        <v>0</v>
      </c>
      <c r="N39" s="127">
        <f t="shared" ca="1" si="7"/>
        <v>0</v>
      </c>
      <c r="O39" s="127">
        <f t="shared" ca="1" si="7"/>
        <v>0</v>
      </c>
      <c r="P39" s="127">
        <f t="shared" ca="1" si="7"/>
        <v>0</v>
      </c>
      <c r="R39" s="126">
        <f t="shared" ca="1" si="5"/>
        <v>0</v>
      </c>
      <c r="T39" s="127"/>
      <c r="U39" s="127"/>
      <c r="V39" s="127"/>
      <c r="W39" s="127"/>
      <c r="X39" s="127"/>
      <c r="Y39" s="127"/>
      <c r="Z39" s="127"/>
      <c r="AA39" s="127"/>
      <c r="AB39" s="127"/>
      <c r="AC39" s="127"/>
      <c r="AD39" s="127"/>
      <c r="AE39" s="127"/>
      <c r="AF39" s="127"/>
      <c r="AG39" s="127"/>
      <c r="AH39" s="127"/>
    </row>
    <row r="40" spans="1:34" x14ac:dyDescent="0.35">
      <c r="A40" t="s">
        <v>525</v>
      </c>
      <c r="B40" s="127">
        <f ca="1">B39</f>
        <v>0</v>
      </c>
      <c r="C40" s="127">
        <f ca="1">B40+C39</f>
        <v>0</v>
      </c>
      <c r="D40" s="127">
        <f t="shared" ref="D40:P40" ca="1" si="8">C40+D39</f>
        <v>0</v>
      </c>
      <c r="E40" s="127">
        <f t="shared" ca="1" si="8"/>
        <v>0</v>
      </c>
      <c r="F40" s="127">
        <f t="shared" ca="1" si="8"/>
        <v>0</v>
      </c>
      <c r="G40" s="127">
        <f t="shared" ca="1" si="8"/>
        <v>0</v>
      </c>
      <c r="H40" s="127">
        <f t="shared" ca="1" si="8"/>
        <v>0</v>
      </c>
      <c r="I40" s="127">
        <f t="shared" ca="1" si="8"/>
        <v>0</v>
      </c>
      <c r="J40" s="127">
        <f t="shared" ca="1" si="8"/>
        <v>0</v>
      </c>
      <c r="K40" s="127">
        <f t="shared" ca="1" si="8"/>
        <v>0</v>
      </c>
      <c r="L40" s="127">
        <f t="shared" ca="1" si="8"/>
        <v>0</v>
      </c>
      <c r="M40" s="127">
        <f t="shared" ca="1" si="8"/>
        <v>0</v>
      </c>
      <c r="N40" s="127">
        <f t="shared" ca="1" si="8"/>
        <v>0</v>
      </c>
      <c r="O40" s="127">
        <f t="shared" ca="1" si="8"/>
        <v>0</v>
      </c>
      <c r="P40" s="127">
        <f t="shared" ca="1" si="8"/>
        <v>0</v>
      </c>
      <c r="R40" s="126">
        <f t="shared" ca="1" si="5"/>
        <v>0</v>
      </c>
      <c r="T40" s="127"/>
      <c r="U40" s="127"/>
      <c r="V40" s="127"/>
      <c r="W40" s="127"/>
      <c r="X40" s="127"/>
      <c r="Y40" s="127"/>
      <c r="Z40" s="127"/>
      <c r="AA40" s="127"/>
      <c r="AB40" s="127"/>
      <c r="AC40" s="127"/>
      <c r="AD40" s="127"/>
      <c r="AE40" s="127"/>
      <c r="AF40" s="127"/>
      <c r="AG40" s="127"/>
      <c r="AH40" s="127"/>
    </row>
    <row r="41" spans="1:34" x14ac:dyDescent="0.35">
      <c r="A41" t="s">
        <v>508</v>
      </c>
      <c r="B41" s="127">
        <f ca="1">B3</f>
        <v>48.503999999999998</v>
      </c>
      <c r="C41">
        <f ca="1">C3</f>
        <v>49.474080000000001</v>
      </c>
      <c r="D41">
        <f ca="1">D3</f>
        <v>50.463561599999998</v>
      </c>
      <c r="E41">
        <f ca="1">E3</f>
        <v>51.472832832000002</v>
      </c>
      <c r="F41">
        <f ca="1">F3</f>
        <v>52.502289488640002</v>
      </c>
      <c r="G41">
        <f ca="1">G3</f>
        <v>53.552335278412812</v>
      </c>
      <c r="H41">
        <f ca="1">H3</f>
        <v>54.623381983981062</v>
      </c>
      <c r="I41">
        <f ca="1">I3</f>
        <v>55.715849623660681</v>
      </c>
      <c r="J41">
        <f ca="1">J3</f>
        <v>56.830166616133894</v>
      </c>
      <c r="K41">
        <f ca="1">K3</f>
        <v>57.966769948456573</v>
      </c>
      <c r="L41">
        <f ca="1">L3</f>
        <v>59.1261053474257</v>
      </c>
      <c r="M41">
        <f ca="1">M3</f>
        <v>60.308627454374218</v>
      </c>
      <c r="N41">
        <f ca="1">N3</f>
        <v>61.514800003461694</v>
      </c>
      <c r="O41">
        <f ca="1">O3</f>
        <v>62.745096003530932</v>
      </c>
      <c r="P41">
        <f ca="1">P3</f>
        <v>63.999997923601548</v>
      </c>
      <c r="R41" s="126">
        <f ca="1">SUM(B41:P41)</f>
        <v>838.79989410367921</v>
      </c>
      <c r="T41" s="127"/>
    </row>
    <row r="42" spans="1:34" x14ac:dyDescent="0.35">
      <c r="A42" t="s">
        <v>509</v>
      </c>
      <c r="B42">
        <f ca="1">B41</f>
        <v>48.503999999999998</v>
      </c>
      <c r="C42">
        <f ca="1">B42+C41</f>
        <v>97.978080000000006</v>
      </c>
      <c r="D42">
        <f t="shared" ref="D42:O42" ca="1" si="9">C42+D41</f>
        <v>148.4416416</v>
      </c>
      <c r="E42">
        <f t="shared" ca="1" si="9"/>
        <v>199.91447443199999</v>
      </c>
      <c r="F42">
        <f t="shared" ca="1" si="9"/>
        <v>252.41676392063999</v>
      </c>
      <c r="G42">
        <f t="shared" ca="1" si="9"/>
        <v>305.96909919905283</v>
      </c>
      <c r="H42">
        <f t="shared" ca="1" si="9"/>
        <v>360.5924811830339</v>
      </c>
      <c r="I42">
        <f t="shared" ca="1" si="9"/>
        <v>416.30833080669458</v>
      </c>
      <c r="J42">
        <f t="shared" ca="1" si="9"/>
        <v>473.13849742282849</v>
      </c>
      <c r="K42">
        <f t="shared" ca="1" si="9"/>
        <v>531.10526737128509</v>
      </c>
      <c r="L42">
        <f t="shared" ca="1" si="9"/>
        <v>590.23137271871076</v>
      </c>
      <c r="M42">
        <f t="shared" ca="1" si="9"/>
        <v>650.54000017308499</v>
      </c>
      <c r="N42">
        <f t="shared" ca="1" si="9"/>
        <v>712.05480017654668</v>
      </c>
      <c r="O42">
        <f t="shared" ca="1" si="9"/>
        <v>774.79989618007767</v>
      </c>
      <c r="P42">
        <f ca="1">O42+P41</f>
        <v>838.79989410367921</v>
      </c>
      <c r="R42" s="126">
        <f ca="1">SUM(B42:P42)</f>
        <v>6400.7945992876348</v>
      </c>
    </row>
    <row r="43" spans="1:34" x14ac:dyDescent="0.35">
      <c r="A43" t="s">
        <v>510</v>
      </c>
      <c r="B43" s="5">
        <f ca="1">B5</f>
        <v>24.252000000000002</v>
      </c>
      <c r="C43" s="5">
        <f ca="1">C5</f>
        <v>24.73704</v>
      </c>
      <c r="D43" s="5">
        <f ca="1">D5</f>
        <v>25.231780799999999</v>
      </c>
      <c r="E43" s="5">
        <f ca="1">E5</f>
        <v>25.736416416000001</v>
      </c>
      <c r="F43" s="5">
        <f ca="1">F5</f>
        <v>26.251144744320001</v>
      </c>
      <c r="G43" s="5">
        <f ca="1">G5</f>
        <v>26.776167639206388</v>
      </c>
      <c r="H43" s="5">
        <f ca="1">H5</f>
        <v>27.311690991990524</v>
      </c>
      <c r="I43" s="5">
        <f ca="1">I5</f>
        <v>27.857924811830344</v>
      </c>
      <c r="J43" s="5">
        <f ca="1">J5</f>
        <v>28.415083308066929</v>
      </c>
      <c r="K43" s="5">
        <f ca="1">K5</f>
        <v>28.983384974228269</v>
      </c>
      <c r="L43" s="5">
        <f ca="1">L5</f>
        <v>29.563052673712853</v>
      </c>
      <c r="M43" s="5">
        <f ca="1">M5</f>
        <v>30.154313727187102</v>
      </c>
      <c r="N43" s="5">
        <f ca="1">N5</f>
        <v>30.757400001730847</v>
      </c>
      <c r="O43" s="5">
        <f ca="1">O5</f>
        <v>31.372548001765459</v>
      </c>
      <c r="P43" s="5">
        <f ca="1">P5</f>
        <v>31.999998961800774</v>
      </c>
      <c r="R43" s="126">
        <f ca="1">SUM(B43:P43)</f>
        <v>419.39994705183943</v>
      </c>
      <c r="T43" s="5"/>
      <c r="U43" s="5"/>
      <c r="V43" s="5"/>
      <c r="W43" s="5"/>
      <c r="X43" s="5"/>
      <c r="Y43" s="5"/>
      <c r="Z43" s="5"/>
      <c r="AA43" s="5"/>
      <c r="AB43" s="5"/>
      <c r="AC43" s="5"/>
      <c r="AD43" s="5"/>
      <c r="AE43" s="5"/>
      <c r="AF43" s="5"/>
      <c r="AG43" s="5"/>
      <c r="AH43" s="5"/>
    </row>
    <row r="44" spans="1:34" x14ac:dyDescent="0.35">
      <c r="A44" t="s">
        <v>511</v>
      </c>
      <c r="B44" s="5">
        <f ca="1">B43</f>
        <v>24.252000000000002</v>
      </c>
      <c r="C44" s="5">
        <f ca="1">B44+C43</f>
        <v>48.989040000000003</v>
      </c>
      <c r="D44" s="5">
        <f t="shared" ref="D44:P44" ca="1" si="10">C44+D43</f>
        <v>74.220820799999998</v>
      </c>
      <c r="E44" s="5">
        <f t="shared" ca="1" si="10"/>
        <v>99.957237215999996</v>
      </c>
      <c r="F44" s="5">
        <f t="shared" ca="1" si="10"/>
        <v>126.20838196032</v>
      </c>
      <c r="G44" s="5">
        <f t="shared" ca="1" si="10"/>
        <v>152.98454959952639</v>
      </c>
      <c r="H44" s="5">
        <f t="shared" ca="1" si="10"/>
        <v>180.29624059151692</v>
      </c>
      <c r="I44" s="5">
        <f t="shared" ca="1" si="10"/>
        <v>208.15416540334726</v>
      </c>
      <c r="J44" s="5">
        <f t="shared" ca="1" si="10"/>
        <v>236.56924871141419</v>
      </c>
      <c r="K44" s="5">
        <f t="shared" ca="1" si="10"/>
        <v>265.55263368564243</v>
      </c>
      <c r="L44" s="5">
        <f t="shared" ca="1" si="10"/>
        <v>295.11568635935527</v>
      </c>
      <c r="M44" s="5">
        <f t="shared" ca="1" si="10"/>
        <v>325.27000008654238</v>
      </c>
      <c r="N44" s="5">
        <f t="shared" ca="1" si="10"/>
        <v>356.02740008827323</v>
      </c>
      <c r="O44" s="5">
        <f t="shared" ca="1" si="10"/>
        <v>387.39994809003866</v>
      </c>
      <c r="P44" s="5">
        <f t="shared" ca="1" si="10"/>
        <v>419.39994705183943</v>
      </c>
      <c r="R44" s="126">
        <f ca="1">SUM(B44:P44)</f>
        <v>3200.3972996438165</v>
      </c>
      <c r="T44" s="5"/>
      <c r="U44" s="5"/>
      <c r="V44" s="5"/>
      <c r="W44" s="5"/>
      <c r="X44" s="5"/>
      <c r="Y44" s="5"/>
      <c r="Z44" s="5"/>
      <c r="AA44" s="5"/>
      <c r="AB44" s="5"/>
      <c r="AC44" s="5"/>
      <c r="AD44" s="5"/>
      <c r="AE44" s="5"/>
      <c r="AF44" s="5"/>
      <c r="AG44" s="5"/>
      <c r="AH44" s="5"/>
    </row>
    <row r="45" spans="1:34" x14ac:dyDescent="0.35">
      <c r="A45" t="s">
        <v>516</v>
      </c>
      <c r="B45" s="127">
        <f ca="1">B18-Solution_CC!B26</f>
        <v>9.3249561096797605E-7</v>
      </c>
      <c r="C45" s="127">
        <f ca="1">C18-Solution_CC!C26</f>
        <v>0.97594169492552074</v>
      </c>
      <c r="D45" s="127">
        <f ca="1">D18-Solution_CC!D26</f>
        <v>1.9429482083239942</v>
      </c>
      <c r="E45" s="127">
        <f ca="1">E18-Solution_CC!E26</f>
        <v>1.9381491091585419</v>
      </c>
      <c r="F45" s="127">
        <f ca="1">F18-Solution_CC!F26</f>
        <v>2.0097501823724664</v>
      </c>
      <c r="G45" s="127">
        <f ca="1">G18-Solution_CC!G26</f>
        <v>2.217982697509969</v>
      </c>
      <c r="H45" s="127">
        <f ca="1">H18-Solution_CC!H26</f>
        <v>2.4330238647602394</v>
      </c>
      <c r="I45" s="127">
        <f ca="1">I18-Solution_CC!I26</f>
        <v>2.5315797240984019</v>
      </c>
      <c r="J45" s="127">
        <f ca="1">J18-Solution_CC!J26</f>
        <v>2.5873096712380494</v>
      </c>
      <c r="K45" s="127">
        <f ca="1">K18-Solution_CC!K26</f>
        <v>2.6688017068397976</v>
      </c>
      <c r="L45" s="127">
        <f ca="1">L18-Solution_CC!L26</f>
        <v>2.7773541553396295</v>
      </c>
      <c r="M45" s="127">
        <f ca="1">M18-Solution_CC!M26</f>
        <v>2.8865102228442527</v>
      </c>
      <c r="N45" s="127">
        <f ca="1">N18-Solution_CC!N26</f>
        <v>2.9692989573803743</v>
      </c>
      <c r="O45" s="127">
        <f ca="1">O18-Solution_CC!O26</f>
        <v>3.0153476940071733</v>
      </c>
      <c r="P45" s="127">
        <f ca="1">P18-Solution_CC!P26</f>
        <v>3.0317400207716494</v>
      </c>
      <c r="R45" s="126">
        <f ca="1">SUM(B45:P45)</f>
        <v>33.985738842065665</v>
      </c>
      <c r="T45" s="127"/>
      <c r="U45" s="127"/>
      <c r="V45" s="127"/>
      <c r="W45" s="127"/>
      <c r="X45" s="127"/>
      <c r="Y45" s="127"/>
      <c r="Z45" s="127"/>
      <c r="AA45" s="127"/>
      <c r="AB45" s="127"/>
      <c r="AC45" s="127"/>
      <c r="AD45" s="127"/>
      <c r="AE45" s="127"/>
      <c r="AF45" s="127"/>
      <c r="AG45" s="127"/>
      <c r="AH45" s="127"/>
    </row>
    <row r="46" spans="1:34" x14ac:dyDescent="0.35">
      <c r="A46" t="s">
        <v>517</v>
      </c>
      <c r="B46" s="127">
        <f ca="1">B45</f>
        <v>9.3249561096797605E-7</v>
      </c>
      <c r="C46" s="127">
        <f ca="1">B46+C45</f>
        <v>0.97594262742113169</v>
      </c>
      <c r="D46" s="127">
        <f t="shared" ref="D46:P46" ca="1" si="11">C46+D45</f>
        <v>2.9188908357451258</v>
      </c>
      <c r="E46" s="127">
        <f t="shared" ca="1" si="11"/>
        <v>4.8570399449036676</v>
      </c>
      <c r="F46" s="127">
        <f t="shared" ca="1" si="11"/>
        <v>6.8667901272761345</v>
      </c>
      <c r="G46" s="127">
        <f t="shared" ca="1" si="11"/>
        <v>9.0847728247861035</v>
      </c>
      <c r="H46" s="127">
        <f t="shared" ca="1" si="11"/>
        <v>11.517796689546342</v>
      </c>
      <c r="I46" s="127">
        <f t="shared" ca="1" si="11"/>
        <v>14.049376413644744</v>
      </c>
      <c r="J46" s="127">
        <f t="shared" ca="1" si="11"/>
        <v>16.636686084882793</v>
      </c>
      <c r="K46" s="127">
        <f t="shared" ca="1" si="11"/>
        <v>19.305487791722591</v>
      </c>
      <c r="L46" s="127">
        <f t="shared" ca="1" si="11"/>
        <v>22.082841947062221</v>
      </c>
      <c r="M46" s="127">
        <f t="shared" ca="1" si="11"/>
        <v>24.969352169906472</v>
      </c>
      <c r="N46" s="127">
        <f t="shared" ca="1" si="11"/>
        <v>27.938651127286846</v>
      </c>
      <c r="O46" s="127">
        <f t="shared" ca="1" si="11"/>
        <v>30.953998821294018</v>
      </c>
      <c r="P46" s="127">
        <f t="shared" ca="1" si="11"/>
        <v>33.985738842065665</v>
      </c>
      <c r="R46" s="126">
        <f ca="1">SUM(B46:P46)</f>
        <v>226.14336718003946</v>
      </c>
      <c r="T46" s="127"/>
      <c r="U46" s="127"/>
      <c r="V46" s="127"/>
      <c r="W46" s="127"/>
      <c r="X46" s="127"/>
      <c r="Y46" s="127"/>
      <c r="Z46" s="127"/>
      <c r="AA46" s="127"/>
      <c r="AB46" s="127"/>
      <c r="AC46" s="127"/>
      <c r="AD46" s="127"/>
      <c r="AE46" s="127"/>
      <c r="AF46" s="127"/>
      <c r="AG46" s="127"/>
      <c r="AH46" s="127"/>
    </row>
    <row r="47" spans="1:34" x14ac:dyDescent="0.35">
      <c r="A47" t="s">
        <v>518</v>
      </c>
      <c r="B47">
        <f ca="1">B19</f>
        <v>1.2433274812906349E-6</v>
      </c>
      <c r="C47">
        <f ca="1">C19</f>
        <v>1.3012556305700955</v>
      </c>
      <c r="D47">
        <f ca="1">D19</f>
        <v>2.6296732479695097</v>
      </c>
      <c r="E47">
        <f ca="1">E19</f>
        <v>2.701006135401653</v>
      </c>
      <c r="F47">
        <f ca="1">F19</f>
        <v>2.8738909153481189</v>
      </c>
      <c r="G47">
        <f ca="1">G19</f>
        <v>3.2316954213897446</v>
      </c>
      <c r="H47">
        <f ca="1">H19</f>
        <v>3.606788830973978</v>
      </c>
      <c r="I47">
        <f ca="1">I19</f>
        <v>3.835038831255146</v>
      </c>
      <c r="J47">
        <f ca="1">J19</f>
        <v>4.0099806229080084</v>
      </c>
      <c r="K47">
        <f ca="1">K19</f>
        <v>4.2213441777043101</v>
      </c>
      <c r="L47">
        <f ca="1">L19</f>
        <v>4.4718888044714653</v>
      </c>
      <c r="M47">
        <f ca="1">M19</f>
        <v>4.7274173459707907</v>
      </c>
      <c r="N47">
        <f ca="1">N19</f>
        <v>4.9519860961516775</v>
      </c>
      <c r="O47">
        <f ca="1">O19</f>
        <v>5.1307024842264433</v>
      </c>
      <c r="P47">
        <f ca="1">P19</f>
        <v>5.2715353126665114</v>
      </c>
      <c r="R47" s="126">
        <f ca="1">SUM(B47:P47)</f>
        <v>52.964205100334937</v>
      </c>
    </row>
    <row r="48" spans="1:34" x14ac:dyDescent="0.35">
      <c r="A48" t="s">
        <v>519</v>
      </c>
      <c r="B48">
        <f ca="1">B47</f>
        <v>1.2433274812906349E-6</v>
      </c>
      <c r="C48">
        <f ca="1">B48+C47</f>
        <v>1.3012568738975767</v>
      </c>
      <c r="D48">
        <f t="shared" ref="D48:P48" ca="1" si="12">C48+D47</f>
        <v>3.9309301218670862</v>
      </c>
      <c r="E48">
        <f t="shared" ca="1" si="12"/>
        <v>6.6319362572687393</v>
      </c>
      <c r="F48">
        <f t="shared" ca="1" si="12"/>
        <v>9.5058271726168577</v>
      </c>
      <c r="G48">
        <f t="shared" ca="1" si="12"/>
        <v>12.737522594006602</v>
      </c>
      <c r="H48">
        <f t="shared" ca="1" si="12"/>
        <v>16.344311424980582</v>
      </c>
      <c r="I48">
        <f t="shared" ca="1" si="12"/>
        <v>20.179350256235729</v>
      </c>
      <c r="J48">
        <f t="shared" ca="1" si="12"/>
        <v>24.189330879143739</v>
      </c>
      <c r="K48">
        <f t="shared" ca="1" si="12"/>
        <v>28.410675056848049</v>
      </c>
      <c r="L48">
        <f t="shared" ca="1" si="12"/>
        <v>32.882563861319511</v>
      </c>
      <c r="M48">
        <f t="shared" ca="1" si="12"/>
        <v>37.609981207290303</v>
      </c>
      <c r="N48">
        <f t="shared" ca="1" si="12"/>
        <v>42.561967303441982</v>
      </c>
      <c r="O48">
        <f t="shared" ca="1" si="12"/>
        <v>47.692669787668422</v>
      </c>
      <c r="P48">
        <f t="shared" ca="1" si="12"/>
        <v>52.964205100334937</v>
      </c>
      <c r="R48" s="126">
        <f ca="1">SUM(B48:P48)</f>
        <v>336.94252914024759</v>
      </c>
    </row>
    <row r="49" spans="1:20" x14ac:dyDescent="0.35">
      <c r="A49" t="s">
        <v>520</v>
      </c>
      <c r="B49" s="127">
        <f ca="1">B25+B26+B20</f>
        <v>1.3365770423874323E-5</v>
      </c>
      <c r="C49">
        <f ca="1">C25+C26+C20</f>
        <v>13.988498056630577</v>
      </c>
      <c r="D49">
        <f ca="1">D25+D26+D20</f>
        <v>28.298294143325364</v>
      </c>
      <c r="E49">
        <f ca="1">E25+E26+E20</f>
        <v>29.123421447960467</v>
      </c>
      <c r="F49">
        <f ca="1">F25+F26+F20</f>
        <v>31.039995344130901</v>
      </c>
      <c r="G49">
        <f ca="1">G25+G26+G20</f>
        <v>34.946514648472096</v>
      </c>
      <c r="H49">
        <f ca="1">H25+H26+H20</f>
        <v>39.045047691440509</v>
      </c>
      <c r="I49">
        <f ca="1">I25+I26+I20</f>
        <v>41.571366835335773</v>
      </c>
      <c r="J49">
        <f ca="1">J25+J26+J20</f>
        <v>43.527467492204039</v>
      </c>
      <c r="K49">
        <f ca="1">K25+K26+K20</f>
        <v>45.876656336759766</v>
      </c>
      <c r="L49">
        <f ca="1">L25+L26+L20</f>
        <v>48.649367096082223</v>
      </c>
      <c r="M49">
        <f ca="1">M25+M26+M20</f>
        <v>51.478789255819834</v>
      </c>
      <c r="N49">
        <f ca="1">N25+N26+N20</f>
        <v>53.978541148363909</v>
      </c>
      <c r="O49">
        <f ca="1">O25+O26+O20</f>
        <v>55.98773087459692</v>
      </c>
      <c r="P49">
        <f ca="1">P25+P26+P20</f>
        <v>57.590916074893229</v>
      </c>
      <c r="R49" s="126">
        <f ca="1">SUM(B49:P49)</f>
        <v>575.1026198117861</v>
      </c>
      <c r="T49" s="127"/>
    </row>
    <row r="50" spans="1:20" x14ac:dyDescent="0.35">
      <c r="A50" t="s">
        <v>521</v>
      </c>
      <c r="B50">
        <f ca="1">B49</f>
        <v>1.3365770423874323E-5</v>
      </c>
      <c r="C50">
        <f ca="1">B50+C49</f>
        <v>13.988511422401002</v>
      </c>
      <c r="D50">
        <f t="shared" ref="D50:O50" ca="1" si="13">C50+D49</f>
        <v>42.286805565726368</v>
      </c>
      <c r="E50">
        <f t="shared" ca="1" si="13"/>
        <v>71.410227013686836</v>
      </c>
      <c r="F50">
        <f t="shared" ca="1" si="13"/>
        <v>102.45022235781774</v>
      </c>
      <c r="G50">
        <f t="shared" ca="1" si="13"/>
        <v>137.39673700628984</v>
      </c>
      <c r="H50">
        <f t="shared" ca="1" si="13"/>
        <v>176.44178469773036</v>
      </c>
      <c r="I50">
        <f t="shared" ca="1" si="13"/>
        <v>218.01315153306612</v>
      </c>
      <c r="J50">
        <f t="shared" ca="1" si="13"/>
        <v>261.54061902527019</v>
      </c>
      <c r="K50">
        <f t="shared" ca="1" si="13"/>
        <v>307.41727536202995</v>
      </c>
      <c r="L50">
        <f t="shared" ca="1" si="13"/>
        <v>356.0666424581122</v>
      </c>
      <c r="M50">
        <f t="shared" ca="1" si="13"/>
        <v>407.54543171393203</v>
      </c>
      <c r="N50">
        <f t="shared" ca="1" si="13"/>
        <v>461.52397286229592</v>
      </c>
      <c r="O50">
        <f t="shared" ca="1" si="13"/>
        <v>517.51170373689285</v>
      </c>
      <c r="P50">
        <f ca="1">O50+P49</f>
        <v>575.1026198117861</v>
      </c>
      <c r="R50" s="126">
        <f ca="1">SUM(B50:P50)</f>
        <v>3648.6957179328078</v>
      </c>
    </row>
    <row r="65" spans="1:18" x14ac:dyDescent="0.35">
      <c r="A65" t="s">
        <v>524</v>
      </c>
      <c r="R65" s="126">
        <f>SUM(B65:P65)</f>
        <v>0</v>
      </c>
    </row>
    <row r="66" spans="1:18" x14ac:dyDescent="0.35">
      <c r="A66" t="s">
        <v>525</v>
      </c>
      <c r="R66" s="126">
        <f>SUM(B66:P66)</f>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877A-1E3F-418F-B63B-DF5AECAE7488}">
  <dimension ref="A1:AH66"/>
  <sheetViews>
    <sheetView tabSelected="1" topLeftCell="A19" workbookViewId="0">
      <selection activeCell="U31" sqref="U31:AI50"/>
    </sheetView>
  </sheetViews>
  <sheetFormatPr defaultRowHeight="14.5" x14ac:dyDescent="0.35"/>
  <cols>
    <col min="18" max="18" width="10.81640625" bestFit="1" customWidth="1"/>
  </cols>
  <sheetData>
    <row r="1" spans="1:34" x14ac:dyDescent="0.35">
      <c r="B1">
        <v>2022</v>
      </c>
      <c r="C1">
        <v>2023</v>
      </c>
      <c r="D1">
        <v>2024</v>
      </c>
      <c r="E1">
        <v>2025</v>
      </c>
      <c r="F1">
        <v>2026</v>
      </c>
      <c r="G1">
        <v>2027</v>
      </c>
      <c r="H1">
        <v>2028</v>
      </c>
      <c r="I1">
        <v>2029</v>
      </c>
      <c r="J1">
        <v>2030</v>
      </c>
      <c r="K1">
        <v>2031</v>
      </c>
      <c r="L1">
        <v>2032</v>
      </c>
      <c r="M1">
        <v>2033</v>
      </c>
      <c r="N1">
        <v>2034</v>
      </c>
      <c r="O1">
        <v>2035</v>
      </c>
      <c r="P1">
        <v>2036</v>
      </c>
    </row>
    <row r="2" spans="1:34" x14ac:dyDescent="0.35">
      <c r="A2" t="str">
        <f>'1_1_Definition_Flows'!C2</f>
        <v>F_13_20</v>
      </c>
      <c r="B2" s="127" cm="1">
        <f t="array" aca="1" ref="B2" ca="1">Solution_material!B2*INDIRECT("Tab_Def_Flows[@CC]")</f>
        <v>59.417399999999994</v>
      </c>
      <c r="C2" s="127" cm="1">
        <f t="array" aca="1" ref="C2" ca="1">Solution_material!C2*INDIRECT("Tab_Def_Flows[@CC]")</f>
        <v>60.605747999999998</v>
      </c>
      <c r="D2" s="127" cm="1">
        <f t="array" aca="1" ref="D2" ca="1">Solution_material!D2*INDIRECT("Tab_Def_Flows[@CC]")</f>
        <v>61.817862959999992</v>
      </c>
      <c r="E2" s="127" cm="1">
        <f t="array" aca="1" ref="E2" ca="1">Solution_material!E2*INDIRECT("Tab_Def_Flows[@CC]")</f>
        <v>63.054220219199998</v>
      </c>
      <c r="F2" s="127" cm="1">
        <f t="array" aca="1" ref="F2" ca="1">Solution_material!F2*INDIRECT("Tab_Def_Flows[@CC]")</f>
        <v>64.315304623583998</v>
      </c>
      <c r="G2" s="127" cm="1">
        <f t="array" aca="1" ref="G2" ca="1">Solution_material!G2*INDIRECT("Tab_Def_Flows[@CC]")</f>
        <v>65.601610716055688</v>
      </c>
      <c r="H2" s="127" cm="1">
        <f t="array" aca="1" ref="H2" ca="1">Solution_material!H2*INDIRECT("Tab_Def_Flows[@CC]")</f>
        <v>66.913642930376795</v>
      </c>
      <c r="I2" s="127" cm="1">
        <f t="array" aca="1" ref="I2" ca="1">Solution_material!I2*INDIRECT("Tab_Def_Flows[@CC]")</f>
        <v>68.251915788984334</v>
      </c>
      <c r="J2" s="127" cm="1">
        <f t="array" aca="1" ref="J2" ca="1">Solution_material!J2*INDIRECT("Tab_Def_Flows[@CC]")</f>
        <v>69.616954104764019</v>
      </c>
      <c r="K2" s="127" cm="1">
        <f t="array" aca="1" ref="K2" ca="1">Solution_material!K2*INDIRECT("Tab_Def_Flows[@CC]")</f>
        <v>71.009293186859296</v>
      </c>
      <c r="L2" s="127" cm="1">
        <f t="array" aca="1" ref="L2" ca="1">Solution_material!L2*INDIRECT("Tab_Def_Flows[@CC]")</f>
        <v>72.429479050596484</v>
      </c>
      <c r="M2" s="127" cm="1">
        <f t="array" aca="1" ref="M2" ca="1">Solution_material!M2*INDIRECT("Tab_Def_Flows[@CC]")</f>
        <v>73.878068631608414</v>
      </c>
      <c r="N2" s="127" cm="1">
        <f t="array" aca="1" ref="N2" ca="1">Solution_material!N2*INDIRECT("Tab_Def_Flows[@CC]")</f>
        <v>75.355630004240581</v>
      </c>
      <c r="O2" s="127" cm="1">
        <f t="array" aca="1" ref="O2" ca="1">Solution_material!O2*INDIRECT("Tab_Def_Flows[@CC]")</f>
        <v>76.862742604325376</v>
      </c>
      <c r="P2" s="127" cm="1">
        <f t="array" aca="1" ref="P2" ca="1">Solution_material!P2*INDIRECT("Tab_Def_Flows[@CC]")</f>
        <v>78.399997456411896</v>
      </c>
      <c r="R2" s="126">
        <f ca="1">SUM(B2:P2)</f>
        <v>1027.5298702770067</v>
      </c>
      <c r="T2" s="127"/>
      <c r="U2" s="127"/>
      <c r="V2" s="127"/>
      <c r="W2" s="127"/>
      <c r="X2" s="127"/>
      <c r="Y2" s="127"/>
      <c r="Z2" s="127"/>
      <c r="AA2" s="127"/>
      <c r="AB2" s="127"/>
      <c r="AC2" s="127"/>
      <c r="AD2" s="127"/>
      <c r="AE2" s="127"/>
      <c r="AF2" s="127"/>
      <c r="AG2" s="127"/>
      <c r="AH2" s="127"/>
    </row>
    <row r="3" spans="1:34" x14ac:dyDescent="0.35">
      <c r="A3" t="str">
        <f>'1_1_Definition_Flows'!C3</f>
        <v>F_20_15</v>
      </c>
      <c r="B3" s="127" cm="1">
        <f t="array" aca="1" ref="B3" ca="1">Solution_material!B3*INDIRECT("Tab_Def_Flows[@CC]")</f>
        <v>23.766959999999997</v>
      </c>
      <c r="C3" s="127" cm="1">
        <f t="array" aca="1" ref="C3" ca="1">Solution_material!C3*INDIRECT("Tab_Def_Flows[@CC]")</f>
        <v>24.242299200000001</v>
      </c>
      <c r="D3" s="127" cm="1">
        <f t="array" aca="1" ref="D3" ca="1">Solution_material!D3*INDIRECT("Tab_Def_Flows[@CC]")</f>
        <v>24.727145183999998</v>
      </c>
      <c r="E3" s="127" cm="1">
        <f t="array" aca="1" ref="E3" ca="1">Solution_material!E3*INDIRECT("Tab_Def_Flows[@CC]")</f>
        <v>25.22168808768</v>
      </c>
      <c r="F3" s="127" cm="1">
        <f t="array" aca="1" ref="F3" ca="1">Solution_material!F3*INDIRECT("Tab_Def_Flows[@CC]")</f>
        <v>25.7261218494336</v>
      </c>
      <c r="G3" s="127" cm="1">
        <f t="array" aca="1" ref="G3" ca="1">Solution_material!G3*INDIRECT("Tab_Def_Flows[@CC]")</f>
        <v>26.240644286422274</v>
      </c>
      <c r="H3" s="127" cm="1">
        <f t="array" aca="1" ref="H3" ca="1">Solution_material!H3*INDIRECT("Tab_Def_Flows[@CC]")</f>
        <v>26.765457172150718</v>
      </c>
      <c r="I3" s="127" cm="1">
        <f t="array" aca="1" ref="I3" ca="1">Solution_material!I3*INDIRECT("Tab_Def_Flows[@CC]")</f>
        <v>27.300766315593734</v>
      </c>
      <c r="J3" s="127" cm="1">
        <f t="array" aca="1" ref="J3" ca="1">Solution_material!J3*INDIRECT("Tab_Def_Flows[@CC]")</f>
        <v>27.846781641905608</v>
      </c>
      <c r="K3" s="127" cm="1">
        <f t="array" aca="1" ref="K3" ca="1">Solution_material!K3*INDIRECT("Tab_Def_Flows[@CC]")</f>
        <v>28.40371727474372</v>
      </c>
      <c r="L3" s="127" cm="1">
        <f t="array" aca="1" ref="L3" ca="1">Solution_material!L3*INDIRECT("Tab_Def_Flows[@CC]")</f>
        <v>28.971791620238594</v>
      </c>
      <c r="M3" s="127" cm="1">
        <f t="array" aca="1" ref="M3" ca="1">Solution_material!M3*INDIRECT("Tab_Def_Flows[@CC]")</f>
        <v>29.551227452643364</v>
      </c>
      <c r="N3" s="127" cm="1">
        <f t="array" aca="1" ref="N3" ca="1">Solution_material!N3*INDIRECT("Tab_Def_Flows[@CC]")</f>
        <v>30.142252001696228</v>
      </c>
      <c r="O3" s="127" cm="1">
        <f t="array" aca="1" ref="O3" ca="1">Solution_material!O3*INDIRECT("Tab_Def_Flows[@CC]")</f>
        <v>30.745097041730155</v>
      </c>
      <c r="P3" s="127" cm="1">
        <f t="array" aca="1" ref="P3" ca="1">Solution_material!P3*INDIRECT("Tab_Def_Flows[@CC]")</f>
        <v>31.359998982564758</v>
      </c>
      <c r="R3" s="126">
        <f t="shared" ref="R3:R26" ca="1" si="0">SUM(B3:P3)</f>
        <v>411.01194811080285</v>
      </c>
      <c r="T3" s="127"/>
      <c r="U3" s="127"/>
      <c r="V3" s="127"/>
      <c r="W3" s="127"/>
      <c r="X3" s="127"/>
      <c r="Y3" s="127"/>
      <c r="Z3" s="127"/>
      <c r="AA3" s="127"/>
      <c r="AB3" s="127"/>
      <c r="AC3" s="127"/>
      <c r="AD3" s="127"/>
      <c r="AE3" s="127"/>
      <c r="AF3" s="127"/>
      <c r="AG3" s="127"/>
      <c r="AH3" s="127"/>
    </row>
    <row r="4" spans="1:34" x14ac:dyDescent="0.35">
      <c r="A4" t="str">
        <f>'1_1_Definition_Flows'!C4</f>
        <v>F_20_01</v>
      </c>
      <c r="B4" s="127" cm="1">
        <f t="array" aca="1" ref="B4" ca="1">Solution_material!B4*INDIRECT("Tab_Def_Flows[@CC]")</f>
        <v>23.766959999999997</v>
      </c>
      <c r="C4" s="127" cm="1">
        <f t="array" aca="1" ref="C4" ca="1">Solution_material!C4*INDIRECT("Tab_Def_Flows[@CC]")</f>
        <v>24.242299200000001</v>
      </c>
      <c r="D4" s="127" cm="1">
        <f t="array" aca="1" ref="D4" ca="1">Solution_material!D4*INDIRECT("Tab_Def_Flows[@CC]")</f>
        <v>24.727145183999998</v>
      </c>
      <c r="E4" s="127" cm="1">
        <f t="array" aca="1" ref="E4" ca="1">Solution_material!E4*INDIRECT("Tab_Def_Flows[@CC]")</f>
        <v>25.22168808768</v>
      </c>
      <c r="F4" s="127" cm="1">
        <f t="array" aca="1" ref="F4" ca="1">Solution_material!F4*INDIRECT("Tab_Def_Flows[@CC]")</f>
        <v>25.7261218494336</v>
      </c>
      <c r="G4" s="127" cm="1">
        <f t="array" aca="1" ref="G4" ca="1">Solution_material!G4*INDIRECT("Tab_Def_Flows[@CC]")</f>
        <v>26.240644286422274</v>
      </c>
      <c r="H4" s="127" cm="1">
        <f t="array" aca="1" ref="H4" ca="1">Solution_material!H4*INDIRECT("Tab_Def_Flows[@CC]")</f>
        <v>26.765457172150718</v>
      </c>
      <c r="I4" s="127" cm="1">
        <f t="array" aca="1" ref="I4" ca="1">Solution_material!I4*INDIRECT("Tab_Def_Flows[@CC]")</f>
        <v>27.300766315593734</v>
      </c>
      <c r="J4" s="127" cm="1">
        <f t="array" aca="1" ref="J4" ca="1">Solution_material!J4*INDIRECT("Tab_Def_Flows[@CC]")</f>
        <v>27.846781641905608</v>
      </c>
      <c r="K4" s="127" cm="1">
        <f t="array" aca="1" ref="K4" ca="1">Solution_material!K4*INDIRECT("Tab_Def_Flows[@CC]")</f>
        <v>28.40371727474372</v>
      </c>
      <c r="L4" s="127" cm="1">
        <f t="array" aca="1" ref="L4" ca="1">Solution_material!L4*INDIRECT("Tab_Def_Flows[@CC]")</f>
        <v>28.971791620238594</v>
      </c>
      <c r="M4" s="127" cm="1">
        <f t="array" aca="1" ref="M4" ca="1">Solution_material!M4*INDIRECT("Tab_Def_Flows[@CC]")</f>
        <v>29.551227452643364</v>
      </c>
      <c r="N4" s="127" cm="1">
        <f t="array" aca="1" ref="N4" ca="1">Solution_material!N4*INDIRECT("Tab_Def_Flows[@CC]")</f>
        <v>30.142252001696228</v>
      </c>
      <c r="O4" s="127" cm="1">
        <f t="array" aca="1" ref="O4" ca="1">Solution_material!O4*INDIRECT("Tab_Def_Flows[@CC]")</f>
        <v>30.745097041730155</v>
      </c>
      <c r="P4" s="127" cm="1">
        <f t="array" aca="1" ref="P4" ca="1">Solution_material!P4*INDIRECT("Tab_Def_Flows[@CC]")</f>
        <v>31.359998982564758</v>
      </c>
      <c r="R4" s="126">
        <f t="shared" ca="1" si="0"/>
        <v>411.01194811080285</v>
      </c>
      <c r="T4" s="127"/>
      <c r="U4" s="127"/>
      <c r="V4" s="127"/>
      <c r="W4" s="127"/>
      <c r="X4" s="127"/>
      <c r="Y4" s="127"/>
      <c r="Z4" s="127"/>
      <c r="AA4" s="127"/>
      <c r="AB4" s="127"/>
      <c r="AC4" s="127"/>
      <c r="AD4" s="127"/>
      <c r="AE4" s="127"/>
      <c r="AF4" s="127"/>
      <c r="AG4" s="127"/>
      <c r="AH4" s="127"/>
    </row>
    <row r="5" spans="1:34" x14ac:dyDescent="0.35">
      <c r="A5" t="str">
        <f>'1_1_Definition_Flows'!C5</f>
        <v>F_20_16</v>
      </c>
      <c r="B5" s="127" cm="1">
        <f t="array" aca="1" ref="B5" ca="1">Solution_material!B5*INDIRECT("Tab_Def_Flows[@CC]")</f>
        <v>11.88348</v>
      </c>
      <c r="C5" s="127" cm="1">
        <f t="array" aca="1" ref="C5" ca="1">Solution_material!C5*INDIRECT("Tab_Def_Flows[@CC]")</f>
        <v>12.121149600000001</v>
      </c>
      <c r="D5" s="127" cm="1">
        <f t="array" aca="1" ref="D5" ca="1">Solution_material!D5*INDIRECT("Tab_Def_Flows[@CC]")</f>
        <v>12.363572591999999</v>
      </c>
      <c r="E5" s="127" cm="1">
        <f t="array" aca="1" ref="E5" ca="1">Solution_material!E5*INDIRECT("Tab_Def_Flows[@CC]")</f>
        <v>12.61084404384</v>
      </c>
      <c r="F5" s="127" cm="1">
        <f t="array" aca="1" ref="F5" ca="1">Solution_material!F5*INDIRECT("Tab_Def_Flows[@CC]")</f>
        <v>12.8630609247168</v>
      </c>
      <c r="G5" s="127" cm="1">
        <f t="array" aca="1" ref="G5" ca="1">Solution_material!G5*INDIRECT("Tab_Def_Flows[@CC]")</f>
        <v>13.12032214321113</v>
      </c>
      <c r="H5" s="127" cm="1">
        <f t="array" aca="1" ref="H5" ca="1">Solution_material!H5*INDIRECT("Tab_Def_Flows[@CC]")</f>
        <v>13.382728586075356</v>
      </c>
      <c r="I5" s="127" cm="1">
        <f t="array" aca="1" ref="I5" ca="1">Solution_material!I5*INDIRECT("Tab_Def_Flows[@CC]")</f>
        <v>13.650383157796869</v>
      </c>
      <c r="J5" s="127" cm="1">
        <f t="array" aca="1" ref="J5" ca="1">Solution_material!J5*INDIRECT("Tab_Def_Flows[@CC]")</f>
        <v>13.923390820952795</v>
      </c>
      <c r="K5" s="127" cm="1">
        <f t="array" aca="1" ref="K5" ca="1">Solution_material!K5*INDIRECT("Tab_Def_Flows[@CC]")</f>
        <v>14.201858637371851</v>
      </c>
      <c r="L5" s="127" cm="1">
        <f t="array" aca="1" ref="L5" ca="1">Solution_material!L5*INDIRECT("Tab_Def_Flows[@CC]")</f>
        <v>14.485895810119297</v>
      </c>
      <c r="M5" s="127" cm="1">
        <f t="array" aca="1" ref="M5" ca="1">Solution_material!M5*INDIRECT("Tab_Def_Flows[@CC]")</f>
        <v>14.775613726321678</v>
      </c>
      <c r="N5" s="127" cm="1">
        <f t="array" aca="1" ref="N5" ca="1">Solution_material!N5*INDIRECT("Tab_Def_Flows[@CC]")</f>
        <v>15.071126000848114</v>
      </c>
      <c r="O5" s="127" cm="1">
        <f t="array" aca="1" ref="O5" ca="1">Solution_material!O5*INDIRECT("Tab_Def_Flows[@CC]")</f>
        <v>15.372548520865074</v>
      </c>
      <c r="P5" s="127" cm="1">
        <f t="array" aca="1" ref="P5" ca="1">Solution_material!P5*INDIRECT("Tab_Def_Flows[@CC]")</f>
        <v>15.679999491282379</v>
      </c>
      <c r="R5" s="126">
        <f t="shared" ca="1" si="0"/>
        <v>205.50597405540137</v>
      </c>
      <c r="T5" s="127"/>
      <c r="U5" s="127"/>
      <c r="V5" s="127"/>
      <c r="W5" s="127"/>
      <c r="X5" s="127"/>
      <c r="Y5" s="127"/>
      <c r="Z5" s="127"/>
      <c r="AA5" s="127"/>
      <c r="AB5" s="127"/>
      <c r="AC5" s="127"/>
      <c r="AD5" s="127"/>
      <c r="AE5" s="127"/>
      <c r="AF5" s="127"/>
      <c r="AG5" s="127"/>
      <c r="AH5" s="127"/>
    </row>
    <row r="6" spans="1:34" x14ac:dyDescent="0.35">
      <c r="A6" t="str">
        <f>'1_1_Definition_Flows'!C6</f>
        <v>F_04_01</v>
      </c>
      <c r="B6" s="127" cm="1">
        <f t="array" aca="1" ref="B6" ca="1">Solution_material!B6*INDIRECT("Tab_Def_Flows[@CC]")</f>
        <v>1.1466000000000001</v>
      </c>
      <c r="C6" s="127" cm="1">
        <f t="array" aca="1" ref="C6" ca="1">Solution_material!C6*INDIRECT("Tab_Def_Flows[@CC]")</f>
        <v>1.169532</v>
      </c>
      <c r="D6" s="127" cm="1">
        <f t="array" aca="1" ref="D6" ca="1">Solution_material!D6*INDIRECT("Tab_Def_Flows[@CC]")</f>
        <v>1.1929226399999999</v>
      </c>
      <c r="E6" s="127" cm="1">
        <f t="array" aca="1" ref="E6" ca="1">Solution_material!E6*INDIRECT("Tab_Def_Flows[@CC]")</f>
        <v>1.2167810928</v>
      </c>
      <c r="F6" s="127" cm="1">
        <f t="array" aca="1" ref="F6" ca="1">Solution_material!F6*INDIRECT("Tab_Def_Flows[@CC]")</f>
        <v>1.241116714656</v>
      </c>
      <c r="G6" s="127" cm="1">
        <f t="array" aca="1" ref="G6" ca="1">Solution_material!G6*INDIRECT("Tab_Def_Flows[@CC]")</f>
        <v>1.26593904894912</v>
      </c>
      <c r="H6" s="127" cm="1">
        <f t="array" aca="1" ref="H6" ca="1">Solution_material!H6*INDIRECT("Tab_Def_Flows[@CC]")</f>
        <v>1.2912578299281023</v>
      </c>
      <c r="I6" s="127" cm="1">
        <f t="array" aca="1" ref="I6" ca="1">Solution_material!I6*INDIRECT("Tab_Def_Flows[@CC]")</f>
        <v>1.3170829865266644</v>
      </c>
      <c r="J6" s="127" cm="1">
        <f t="array" aca="1" ref="J6" ca="1">Solution_material!J6*INDIRECT("Tab_Def_Flows[@CC]")</f>
        <v>1.3434246462571977</v>
      </c>
      <c r="K6" s="127" cm="1">
        <f t="array" aca="1" ref="K6" ca="1">Solution_material!K6*INDIRECT("Tab_Def_Flows[@CC]")</f>
        <v>1.3702931391823419</v>
      </c>
      <c r="L6" s="127" cm="1">
        <f t="array" aca="1" ref="L6" ca="1">Solution_material!L6*INDIRECT("Tab_Def_Flows[@CC]")</f>
        <v>1.3976990019659887</v>
      </c>
      <c r="M6" s="127" cm="1">
        <f t="array" aca="1" ref="M6" ca="1">Solution_material!M6*INDIRECT("Tab_Def_Flows[@CC]")</f>
        <v>1.4256529820053085</v>
      </c>
      <c r="N6" s="127" cm="1">
        <f t="array" aca="1" ref="N6" ca="1">Solution_material!N6*INDIRECT("Tab_Def_Flows[@CC]")</f>
        <v>1.4541660416454147</v>
      </c>
      <c r="O6" s="127" cm="1">
        <f t="array" aca="1" ref="O6" ca="1">Solution_material!O6*INDIRECT("Tab_Def_Flows[@CC]")</f>
        <v>1.4832493624783232</v>
      </c>
      <c r="P6" s="127" cm="1">
        <f t="array" aca="1" ref="P6" ca="1">Solution_material!P6*INDIRECT("Tab_Def_Flows[@CC]")</f>
        <v>1.5129143497278896</v>
      </c>
      <c r="R6" s="126">
        <f t="shared" ca="1" si="0"/>
        <v>19.828631836122351</v>
      </c>
      <c r="T6" s="127"/>
      <c r="U6" s="127"/>
      <c r="V6" s="127"/>
      <c r="W6" s="127"/>
      <c r="X6" s="127"/>
      <c r="Y6" s="127"/>
      <c r="Z6" s="127"/>
      <c r="AA6" s="127"/>
      <c r="AB6" s="127"/>
      <c r="AC6" s="127"/>
      <c r="AD6" s="127"/>
      <c r="AE6" s="127"/>
      <c r="AF6" s="127"/>
      <c r="AG6" s="127"/>
      <c r="AH6" s="127"/>
    </row>
    <row r="7" spans="1:34" x14ac:dyDescent="0.35">
      <c r="A7" t="str">
        <f>'1_1_Definition_Flows'!C7</f>
        <v>F_01_05</v>
      </c>
      <c r="B7" s="127" cm="1">
        <f t="array" aca="1" ref="B7" ca="1">Solution_material!B7*INDIRECT("Tab_Def_Flows[@CC]")</f>
        <v>6.1888860000000001</v>
      </c>
      <c r="C7" s="127" cm="1">
        <f t="array" aca="1" ref="C7" ca="1">Solution_material!C7*INDIRECT("Tab_Def_Flows[@CC]")</f>
        <v>6.3126637200000015</v>
      </c>
      <c r="D7" s="127" cm="1">
        <f t="array" aca="1" ref="D7" ca="1">Solution_material!D7*INDIRECT("Tab_Def_Flows[@CC]")</f>
        <v>6.4389169944000013</v>
      </c>
      <c r="E7" s="127" cm="1">
        <f t="array" aca="1" ref="E7" ca="1">Solution_material!E7*INDIRECT("Tab_Def_Flows[@CC]")</f>
        <v>6.5676953342880013</v>
      </c>
      <c r="F7" s="127" cm="1">
        <f t="array" aca="1" ref="F7" ca="1">Solution_material!F7*INDIRECT("Tab_Def_Flows[@CC]")</f>
        <v>6.6990492409737605</v>
      </c>
      <c r="G7" s="127" cm="1">
        <f t="array" aca="1" ref="G7" ca="1">Solution_material!G7*INDIRECT("Tab_Def_Flows[@CC]")</f>
        <v>6.8330302257932356</v>
      </c>
      <c r="H7" s="127" cm="1">
        <f t="array" aca="1" ref="H7" ca="1">Solution_material!H7*INDIRECT("Tab_Def_Flows[@CC]")</f>
        <v>6.9696908303091014</v>
      </c>
      <c r="I7" s="127" cm="1">
        <f t="array" aca="1" ref="I7" ca="1">Solution_material!I7*INDIRECT("Tab_Def_Flows[@CC]")</f>
        <v>7.1090846469152833</v>
      </c>
      <c r="J7" s="127" cm="1">
        <f t="array" aca="1" ref="J7" ca="1">Solution_material!J7*INDIRECT("Tab_Def_Flows[@CC]")</f>
        <v>7.2512663398535881</v>
      </c>
      <c r="K7" s="127" cm="1">
        <f t="array" aca="1" ref="K7" ca="1">Solution_material!K7*INDIRECT("Tab_Def_Flows[@CC]")</f>
        <v>7.3962916666506615</v>
      </c>
      <c r="L7" s="127" cm="1">
        <f t="array" aca="1" ref="L7" ca="1">Solution_material!L7*INDIRECT("Tab_Def_Flows[@CC]")</f>
        <v>7.5442174999836737</v>
      </c>
      <c r="M7" s="127" cm="1">
        <f t="array" aca="1" ref="M7" ca="1">Solution_material!M7*INDIRECT("Tab_Def_Flows[@CC]")</f>
        <v>7.6951018499833479</v>
      </c>
      <c r="N7" s="127" cm="1">
        <f t="array" aca="1" ref="N7" ca="1">Solution_material!N7*INDIRECT("Tab_Def_Flows[@CC]")</f>
        <v>7.8490038869830148</v>
      </c>
      <c r="O7" s="127" cm="1">
        <f t="array" aca="1" ref="O7" ca="1">Solution_material!O7*INDIRECT("Tab_Def_Flows[@CC]")</f>
        <v>8.0059839647226756</v>
      </c>
      <c r="P7" s="127" cm="1">
        <f t="array" aca="1" ref="P7" ca="1">Solution_material!P7*INDIRECT("Tab_Def_Flows[@CC]")</f>
        <v>8.1661036440171273</v>
      </c>
      <c r="R7" s="126">
        <f t="shared" ca="1" si="0"/>
        <v>107.02698584487347</v>
      </c>
      <c r="T7" s="127"/>
      <c r="U7" s="127"/>
      <c r="V7" s="127"/>
      <c r="W7" s="127"/>
      <c r="X7" s="127"/>
      <c r="Y7" s="127"/>
      <c r="Z7" s="127"/>
      <c r="AA7" s="127"/>
      <c r="AB7" s="127"/>
      <c r="AC7" s="127"/>
      <c r="AD7" s="127"/>
      <c r="AE7" s="127"/>
      <c r="AF7" s="127"/>
      <c r="AG7" s="127"/>
      <c r="AH7" s="127"/>
    </row>
    <row r="8" spans="1:34" x14ac:dyDescent="0.35">
      <c r="A8" t="str">
        <f>'1_1_Definition_Flows'!C8</f>
        <v>F_01_02</v>
      </c>
      <c r="B8" s="127" cm="1">
        <f t="array" aca="1" ref="B8" ca="1">Solution_material!B8*INDIRECT("Tab_Def_Flows[@CC]")</f>
        <v>9.2583777599999983</v>
      </c>
      <c r="C8" s="127" cm="1">
        <f t="array" aca="1" ref="C8" ca="1">Solution_material!C8*INDIRECT("Tab_Def_Flows[@CC]")</f>
        <v>9.4435453152000015</v>
      </c>
      <c r="D8" s="127" cm="1">
        <f t="array" aca="1" ref="D8" ca="1">Solution_material!D8*INDIRECT("Tab_Def_Flows[@CC]")</f>
        <v>9.6324162215040001</v>
      </c>
      <c r="E8" s="127" cm="1">
        <f t="array" aca="1" ref="E8" ca="1">Solution_material!E8*INDIRECT("Tab_Def_Flows[@CC]")</f>
        <v>9.8250645459340813</v>
      </c>
      <c r="F8" s="127" cm="1">
        <f t="array" aca="1" ref="F8" ca="1">Solution_material!F8*INDIRECT("Tab_Def_Flows[@CC]")</f>
        <v>10.021565836852762</v>
      </c>
      <c r="G8" s="127" cm="1">
        <f t="array" aca="1" ref="G8" ca="1">Solution_material!G8*INDIRECT("Tab_Def_Flows[@CC]")</f>
        <v>10.221997153589818</v>
      </c>
      <c r="H8" s="127" cm="1">
        <f t="array" aca="1" ref="H8" ca="1">Solution_material!H8*INDIRECT("Tab_Def_Flows[@CC]")</f>
        <v>10.426437096661614</v>
      </c>
      <c r="I8" s="127" cm="1">
        <f t="array" aca="1" ref="I8" ca="1">Solution_material!I8*INDIRECT("Tab_Def_Flows[@CC]")</f>
        <v>10.634965838594846</v>
      </c>
      <c r="J8" s="127" cm="1">
        <f t="array" aca="1" ref="J8" ca="1">Solution_material!J8*INDIRECT("Tab_Def_Flows[@CC]")</f>
        <v>10.847665155366743</v>
      </c>
      <c r="K8" s="127" cm="1">
        <f t="array" aca="1" ref="K8" ca="1">Solution_material!K8*INDIRECT("Tab_Def_Flows[@CC]")</f>
        <v>11.064618458474079</v>
      </c>
      <c r="L8" s="127" cm="1">
        <f t="array" aca="1" ref="L8" ca="1">Solution_material!L8*INDIRECT("Tab_Def_Flows[@CC]")</f>
        <v>11.28591082764356</v>
      </c>
      <c r="M8" s="127" cm="1">
        <f t="array" aca="1" ref="M8" ca="1">Solution_material!M8*INDIRECT("Tab_Def_Flows[@CC]")</f>
        <v>11.511629044196432</v>
      </c>
      <c r="N8" s="127" cm="1">
        <f t="array" aca="1" ref="N8" ca="1">Solution_material!N8*INDIRECT("Tab_Def_Flows[@CC]")</f>
        <v>11.741861625080361</v>
      </c>
      <c r="O8" s="127" cm="1">
        <f t="array" aca="1" ref="O8" ca="1">Solution_material!O8*INDIRECT("Tab_Def_Flows[@CC]")</f>
        <v>11.976698857581969</v>
      </c>
      <c r="P8" s="127" cm="1">
        <f t="array" aca="1" ref="P8" ca="1">Solution_material!P8*INDIRECT("Tab_Def_Flows[@CC]")</f>
        <v>12.216232834733606</v>
      </c>
      <c r="R8" s="126">
        <f t="shared" ca="1" si="0"/>
        <v>160.10898657141388</v>
      </c>
      <c r="T8" s="127"/>
      <c r="U8" s="127"/>
      <c r="V8" s="127"/>
      <c r="W8" s="127"/>
      <c r="X8" s="127"/>
      <c r="Y8" s="127"/>
      <c r="Z8" s="127"/>
      <c r="AA8" s="127"/>
      <c r="AB8" s="127"/>
      <c r="AC8" s="127"/>
      <c r="AD8" s="127"/>
      <c r="AE8" s="127"/>
      <c r="AF8" s="127"/>
      <c r="AG8" s="127"/>
      <c r="AH8" s="127"/>
    </row>
    <row r="9" spans="1:34" x14ac:dyDescent="0.35">
      <c r="A9" t="str">
        <f>'1_1_Definition_Flows'!C9</f>
        <v>F_02_03</v>
      </c>
      <c r="B9" s="127" cm="1">
        <f t="array" aca="1" ref="B9" ca="1">Solution_material!B9*INDIRECT("Tab_Def_Flows[@CC]")</f>
        <v>8.457963696000002</v>
      </c>
      <c r="C9" s="127" cm="1">
        <f t="array" aca="1" ref="C9" ca="1">Solution_material!C9*INDIRECT("Tab_Def_Flows[@CC]")</f>
        <v>8.627122969920002</v>
      </c>
      <c r="D9" s="127" cm="1">
        <f t="array" aca="1" ref="D9" ca="1">Solution_material!D9*INDIRECT("Tab_Def_Flows[@CC]")</f>
        <v>8.7996654293184022</v>
      </c>
      <c r="E9" s="127" cm="1">
        <f t="array" aca="1" ref="E9" ca="1">Solution_material!E9*INDIRECT("Tab_Def_Flows[@CC]")</f>
        <v>8.9756587379047712</v>
      </c>
      <c r="F9" s="127" cm="1">
        <f t="array" aca="1" ref="F9" ca="1">Solution_material!F9*INDIRECT("Tab_Def_Flows[@CC]")</f>
        <v>9.1551719126628655</v>
      </c>
      <c r="G9" s="127" cm="1">
        <f t="array" aca="1" ref="G9" ca="1">Solution_material!G9*INDIRECT("Tab_Def_Flows[@CC]")</f>
        <v>9.338275350916124</v>
      </c>
      <c r="H9" s="127" cm="1">
        <f t="array" aca="1" ref="H9" ca="1">Solution_material!H9*INDIRECT("Tab_Def_Flows[@CC]")</f>
        <v>9.5250408579344477</v>
      </c>
      <c r="I9" s="127" cm="1">
        <f t="array" aca="1" ref="I9" ca="1">Solution_material!I9*INDIRECT("Tab_Def_Flows[@CC]")</f>
        <v>9.7155416750931352</v>
      </c>
      <c r="J9" s="127" cm="1">
        <f t="array" aca="1" ref="J9" ca="1">Solution_material!J9*INDIRECT("Tab_Def_Flows[@CC]")</f>
        <v>9.909852508594998</v>
      </c>
      <c r="K9" s="127" cm="1">
        <f t="array" aca="1" ref="K9" ca="1">Solution_material!K9*INDIRECT("Tab_Def_Flows[@CC]")</f>
        <v>10.108049558766899</v>
      </c>
      <c r="L9" s="127" cm="1">
        <f t="array" aca="1" ref="L9" ca="1">Solution_material!L9*INDIRECT("Tab_Def_Flows[@CC]")</f>
        <v>10.310210549942235</v>
      </c>
      <c r="M9" s="127" cm="1">
        <f t="array" aca="1" ref="M9" ca="1">Solution_material!M9*INDIRECT("Tab_Def_Flows[@CC]")</f>
        <v>10.516414760941082</v>
      </c>
      <c r="N9" s="127" cm="1">
        <f t="array" aca="1" ref="N9" ca="1">Solution_material!N9*INDIRECT("Tab_Def_Flows[@CC]")</f>
        <v>10.726743056159904</v>
      </c>
      <c r="O9" s="127" cm="1">
        <f t="array" aca="1" ref="O9" ca="1">Solution_material!O9*INDIRECT("Tab_Def_Flows[@CC]")</f>
        <v>10.941277917283101</v>
      </c>
      <c r="P9" s="127" cm="1">
        <f t="array" aca="1" ref="P9" ca="1">Solution_material!P9*INDIRECT("Tab_Def_Flows[@CC]")</f>
        <v>11.160103475628764</v>
      </c>
      <c r="R9" s="126">
        <f t="shared" ca="1" si="0"/>
        <v>146.26709245706672</v>
      </c>
      <c r="T9" s="127"/>
      <c r="U9" s="127"/>
      <c r="V9" s="127"/>
      <c r="W9" s="127"/>
      <c r="X9" s="127"/>
      <c r="Y9" s="127"/>
      <c r="Z9" s="127"/>
      <c r="AA9" s="127"/>
      <c r="AB9" s="127"/>
      <c r="AC9" s="127"/>
      <c r="AD9" s="127"/>
      <c r="AE9" s="127"/>
      <c r="AF9" s="127"/>
      <c r="AG9" s="127"/>
      <c r="AH9" s="127"/>
    </row>
    <row r="10" spans="1:34" x14ac:dyDescent="0.35">
      <c r="A10" t="str">
        <f>'1_1_Definition_Flows'!C10</f>
        <v>F_03_07</v>
      </c>
      <c r="B10" s="127" cm="1">
        <f t="array" aca="1" ref="B10" ca="1">Solution_material!B10*INDIRECT("Tab_Def_Flows[@CC]")</f>
        <v>2.4244885885167383E-6</v>
      </c>
      <c r="C10" s="127" cm="1">
        <f t="array" aca="1" ref="C10" ca="1">Solution_material!C10*INDIRECT("Tab_Def_Flows[@CC]")</f>
        <v>2.5374484796116867</v>
      </c>
      <c r="D10" s="127" cm="1">
        <f t="array" aca="1" ref="D10" ca="1">Solution_material!D10*INDIRECT("Tab_Def_Flows[@CC]")</f>
        <v>5.1278628335405445</v>
      </c>
      <c r="E10" s="127" cm="1">
        <f t="array" aca="1" ref="E10" ca="1">Solution_material!E10*INDIRECT("Tab_Def_Flows[@CC]")</f>
        <v>5.2669619640332241</v>
      </c>
      <c r="F10" s="127" cm="1">
        <f t="array" aca="1" ref="F10" ca="1">Solution_material!F10*INDIRECT("Tab_Def_Flows[@CC]")</f>
        <v>5.6040872849288323</v>
      </c>
      <c r="G10" s="127" cm="1">
        <f t="array" aca="1" ref="G10" ca="1">Solution_material!G10*INDIRECT("Tab_Def_Flows[@CC]")</f>
        <v>6.3018060717100033</v>
      </c>
      <c r="H10" s="127" cm="1">
        <f t="array" aca="1" ref="H10" ca="1">Solution_material!H10*INDIRECT("Tab_Def_Flows[@CC]")</f>
        <v>7.0332382203992578</v>
      </c>
      <c r="I10" s="127" cm="1">
        <f t="array" aca="1" ref="I10" ca="1">Solution_material!I10*INDIRECT("Tab_Def_Flows[@CC]")</f>
        <v>7.4783257209475353</v>
      </c>
      <c r="J10" s="127" cm="1">
        <f t="array" aca="1" ref="J10" ca="1">Solution_material!J10*INDIRECT("Tab_Def_Flows[@CC]")</f>
        <v>7.8194622146706161</v>
      </c>
      <c r="K10" s="127" cm="1">
        <f t="array" aca="1" ref="K10" ca="1">Solution_material!K10*INDIRECT("Tab_Def_Flows[@CC]")</f>
        <v>8.2316211465234055</v>
      </c>
      <c r="L10" s="127" cm="1">
        <f t="array" aca="1" ref="L10" ca="1">Solution_material!L10*INDIRECT("Tab_Def_Flows[@CC]")</f>
        <v>8.7201831687193589</v>
      </c>
      <c r="M10" s="127" cm="1">
        <f t="array" aca="1" ref="M10" ca="1">Solution_material!M10*INDIRECT("Tab_Def_Flows[@CC]")</f>
        <v>9.2184638246430417</v>
      </c>
      <c r="N10" s="127" cm="1">
        <f t="array" aca="1" ref="N10" ca="1">Solution_material!N10*INDIRECT("Tab_Def_Flows[@CC]")</f>
        <v>9.6563728874957704</v>
      </c>
      <c r="O10" s="127" cm="1">
        <f t="array" aca="1" ref="O10" ca="1">Solution_material!O10*INDIRECT("Tab_Def_Flows[@CC]")</f>
        <v>10.004869844241565</v>
      </c>
      <c r="P10" s="127" cm="1">
        <f t="array" aca="1" ref="P10" ca="1">Solution_material!P10*INDIRECT("Tab_Def_Flows[@CC]")</f>
        <v>10.279493859699697</v>
      </c>
      <c r="R10" s="126">
        <f t="shared" ca="1" si="0"/>
        <v>103.28019994565312</v>
      </c>
      <c r="T10" s="127"/>
      <c r="U10" s="127"/>
      <c r="V10" s="127"/>
      <c r="W10" s="127"/>
      <c r="X10" s="127"/>
      <c r="Y10" s="127"/>
      <c r="Z10" s="127"/>
      <c r="AA10" s="127"/>
      <c r="AB10" s="127"/>
      <c r="AC10" s="127"/>
      <c r="AD10" s="127"/>
      <c r="AE10" s="127"/>
      <c r="AF10" s="127"/>
      <c r="AG10" s="127"/>
      <c r="AH10" s="127"/>
    </row>
    <row r="11" spans="1:34" x14ac:dyDescent="0.35">
      <c r="A11" t="str">
        <f>'1_1_Definition_Flows'!C11</f>
        <v>F_02_06</v>
      </c>
      <c r="B11" s="127" cm="1">
        <f t="array" aca="1" ref="B11" ca="1">Solution_material!B11*INDIRECT("Tab_Def_Flows[@CC]")</f>
        <v>1.7566539984</v>
      </c>
      <c r="C11" s="127" cm="1">
        <f t="array" aca="1" ref="C11" ca="1">Solution_material!C11*INDIRECT("Tab_Def_Flows[@CC]")</f>
        <v>1.7917870783680003</v>
      </c>
      <c r="D11" s="127" cm="1">
        <f t="array" aca="1" ref="D11" ca="1">Solution_material!D11*INDIRECT("Tab_Def_Flows[@CC]")</f>
        <v>1.8276228199353601</v>
      </c>
      <c r="E11" s="127" cm="1">
        <f t="array" aca="1" ref="E11" ca="1">Solution_material!E11*INDIRECT("Tab_Def_Flows[@CC]")</f>
        <v>1.8641752763340675</v>
      </c>
      <c r="F11" s="127" cm="1">
        <f t="array" aca="1" ref="F11" ca="1">Solution_material!F11*INDIRECT("Tab_Def_Flows[@CC]")</f>
        <v>1.9014587818607487</v>
      </c>
      <c r="G11" s="127" cm="1">
        <f t="array" aca="1" ref="G11" ca="1">Solution_material!G11*INDIRECT("Tab_Def_Flows[@CC]")</f>
        <v>1.939487957497964</v>
      </c>
      <c r="H11" s="127" cm="1">
        <f t="array" aca="1" ref="H11" ca="1">Solution_material!H11*INDIRECT("Tab_Def_Flows[@CC]")</f>
        <v>1.9782777166479233</v>
      </c>
      <c r="I11" s="127" cm="1">
        <f t="array" aca="1" ref="I11" ca="1">Solution_material!I11*INDIRECT("Tab_Def_Flows[@CC]")</f>
        <v>2.0178432709808818</v>
      </c>
      <c r="J11" s="127" cm="1">
        <f t="array" aca="1" ref="J11" ca="1">Solution_material!J11*INDIRECT("Tab_Def_Flows[@CC]")</f>
        <v>2.0582001364004996</v>
      </c>
      <c r="K11" s="127" cm="1">
        <f t="array" aca="1" ref="K11" ca="1">Solution_material!K11*INDIRECT("Tab_Def_Flows[@CC]")</f>
        <v>2.0993641391285096</v>
      </c>
      <c r="L11" s="127" cm="1">
        <f t="array" aca="1" ref="L11" ca="1">Solution_material!L11*INDIRECT("Tab_Def_Flows[@CC]")</f>
        <v>2.1413514219110796</v>
      </c>
      <c r="M11" s="127" cm="1">
        <f t="array" aca="1" ref="M11" ca="1">Solution_material!M11*INDIRECT("Tab_Def_Flows[@CC]")</f>
        <v>2.1841784503493011</v>
      </c>
      <c r="N11" s="127" cm="1">
        <f t="array" aca="1" ref="N11" ca="1">Solution_material!N11*INDIRECT("Tab_Def_Flows[@CC]")</f>
        <v>2.2278620193562872</v>
      </c>
      <c r="O11" s="127" cm="1">
        <f t="array" aca="1" ref="O11" ca="1">Solution_material!O11*INDIRECT("Tab_Def_Flows[@CC]")</f>
        <v>2.2724192597434132</v>
      </c>
      <c r="P11" s="127" cm="1">
        <f t="array" aca="1" ref="P11" ca="1">Solution_material!P11*INDIRECT("Tab_Def_Flows[@CC]")</f>
        <v>2.3178676449382816</v>
      </c>
      <c r="R11" s="126">
        <f t="shared" ca="1" si="0"/>
        <v>30.378549971852316</v>
      </c>
      <c r="T11" s="127"/>
      <c r="U11" s="127"/>
      <c r="V11" s="127"/>
      <c r="W11" s="127"/>
      <c r="X11" s="127"/>
      <c r="Y11" s="127"/>
      <c r="Z11" s="127"/>
      <c r="AA11" s="127"/>
      <c r="AB11" s="127"/>
      <c r="AC11" s="127"/>
      <c r="AD11" s="127"/>
      <c r="AE11" s="127"/>
      <c r="AF11" s="127"/>
      <c r="AG11" s="127"/>
      <c r="AH11" s="127"/>
    </row>
    <row r="12" spans="1:34" x14ac:dyDescent="0.35">
      <c r="A12" t="str">
        <f>'1_1_Definition_Flows'!C12</f>
        <v>F_11_02</v>
      </c>
      <c r="B12" s="127" cm="1">
        <f t="array" aca="1" ref="B12" ca="1">Solution_material!B12*INDIRECT("Tab_Def_Flows[@CC]")</f>
        <v>0.1598</v>
      </c>
      <c r="C12" s="127" cm="1">
        <f t="array" aca="1" ref="C12" ca="1">Solution_material!C12*INDIRECT("Tab_Def_Flows[@CC]")</f>
        <v>0.162996</v>
      </c>
      <c r="D12" s="127" cm="1">
        <f t="array" aca="1" ref="D12" ca="1">Solution_material!D12*INDIRECT("Tab_Def_Flows[@CC]")</f>
        <v>0.16625592</v>
      </c>
      <c r="E12" s="127" cm="1">
        <f t="array" aca="1" ref="E12" ca="1">Solution_material!E12*INDIRECT("Tab_Def_Flows[@CC]")</f>
        <v>0.16958103839999999</v>
      </c>
      <c r="F12" s="127" cm="1">
        <f t="array" aca="1" ref="F12" ca="1">Solution_material!F12*INDIRECT("Tab_Def_Flows[@CC]")</f>
        <v>0.172972659168</v>
      </c>
      <c r="G12" s="127" cm="1">
        <f t="array" aca="1" ref="G12" ca="1">Solution_material!G12*INDIRECT("Tab_Def_Flows[@CC]")</f>
        <v>0.17643211235136</v>
      </c>
      <c r="H12" s="127" cm="1">
        <f t="array" aca="1" ref="H12" ca="1">Solution_material!H12*INDIRECT("Tab_Def_Flows[@CC]")</f>
        <v>0.1799607545983872</v>
      </c>
      <c r="I12" s="127" cm="1">
        <f t="array" aca="1" ref="I12" ca="1">Solution_material!I12*INDIRECT("Tab_Def_Flows[@CC]")</f>
        <v>0.18355996969035496</v>
      </c>
      <c r="J12" s="127" cm="1">
        <f t="array" aca="1" ref="J12" ca="1">Solution_material!J12*INDIRECT("Tab_Def_Flows[@CC]")</f>
        <v>0.18723116908416207</v>
      </c>
      <c r="K12" s="127" cm="1">
        <f t="array" aca="1" ref="K12" ca="1">Solution_material!K12*INDIRECT("Tab_Def_Flows[@CC]")</f>
        <v>0.19097579246584531</v>
      </c>
      <c r="L12" s="127" cm="1">
        <f t="array" aca="1" ref="L12" ca="1">Solution_material!L12*INDIRECT("Tab_Def_Flows[@CC]")</f>
        <v>0.19479530831516223</v>
      </c>
      <c r="M12" s="127" cm="1">
        <f t="array" aca="1" ref="M12" ca="1">Solution_material!M12*INDIRECT("Tab_Def_Flows[@CC]")</f>
        <v>0.19869121448146546</v>
      </c>
      <c r="N12" s="127" cm="1">
        <f t="array" aca="1" ref="N12" ca="1">Solution_material!N12*INDIRECT("Tab_Def_Flows[@CC]")</f>
        <v>0.20266503877109476</v>
      </c>
      <c r="O12" s="127" cm="1">
        <f t="array" aca="1" ref="O12" ca="1">Solution_material!O12*INDIRECT("Tab_Def_Flows[@CC]")</f>
        <v>0.20671833954651664</v>
      </c>
      <c r="P12" s="127" cm="1">
        <f t="array" aca="1" ref="P12" ca="1">Solution_material!P12*INDIRECT("Tab_Def_Flows[@CC]")</f>
        <v>0.21085270633744702</v>
      </c>
      <c r="R12" s="126">
        <f t="shared" ca="1" si="0"/>
        <v>2.7634880232097956</v>
      </c>
      <c r="T12" s="127"/>
      <c r="U12" s="127"/>
      <c r="V12" s="127"/>
      <c r="W12" s="127"/>
      <c r="X12" s="127"/>
      <c r="Y12" s="127"/>
      <c r="Z12" s="127"/>
      <c r="AA12" s="127"/>
      <c r="AB12" s="127"/>
      <c r="AC12" s="127"/>
      <c r="AD12" s="127"/>
      <c r="AE12" s="127"/>
      <c r="AF12" s="127"/>
      <c r="AG12" s="127"/>
      <c r="AH12" s="127"/>
    </row>
    <row r="13" spans="1:34" x14ac:dyDescent="0.35">
      <c r="A13" t="str">
        <f>'1_1_Definition_Flows'!C13</f>
        <v>F_08_02</v>
      </c>
      <c r="B13" s="127" cm="1">
        <f t="array" aca="1" ref="B13" ca="1">Solution_material!B13*INDIRECT("Tab_Def_Flows[@CC]")</f>
        <v>0</v>
      </c>
      <c r="C13" s="127" cm="1">
        <f t="array" aca="1" ref="C13" ca="1">Solution_material!C13*INDIRECT("Tab_Def_Flows[@CC]")</f>
        <v>0</v>
      </c>
      <c r="D13" s="127" cm="1">
        <f t="array" aca="1" ref="D13" ca="1">Solution_material!D13*INDIRECT("Tab_Def_Flows[@CC]")</f>
        <v>0</v>
      </c>
      <c r="E13" s="127" cm="1">
        <f t="array" aca="1" ref="E13" ca="1">Solution_material!E13*INDIRECT("Tab_Def_Flows[@CC]")</f>
        <v>0</v>
      </c>
      <c r="F13" s="127" cm="1">
        <f t="array" aca="1" ref="F13" ca="1">Solution_material!F13*INDIRECT("Tab_Def_Flows[@CC]")</f>
        <v>0</v>
      </c>
      <c r="G13" s="127" cm="1">
        <f t="array" aca="1" ref="G13" ca="1">Solution_material!G13*INDIRECT("Tab_Def_Flows[@CC]")</f>
        <v>0</v>
      </c>
      <c r="H13" s="127" cm="1">
        <f t="array" aca="1" ref="H13" ca="1">Solution_material!H13*INDIRECT("Tab_Def_Flows[@CC]")</f>
        <v>0</v>
      </c>
      <c r="I13" s="127" cm="1">
        <f t="array" aca="1" ref="I13" ca="1">Solution_material!I13*INDIRECT("Tab_Def_Flows[@CC]")</f>
        <v>0</v>
      </c>
      <c r="J13" s="127" cm="1">
        <f t="array" aca="1" ref="J13" ca="1">Solution_material!J13*INDIRECT("Tab_Def_Flows[@CC]")</f>
        <v>0</v>
      </c>
      <c r="K13" s="127" cm="1">
        <f t="array" aca="1" ref="K13" ca="1">Solution_material!K13*INDIRECT("Tab_Def_Flows[@CC]")</f>
        <v>0</v>
      </c>
      <c r="L13" s="127" cm="1">
        <f t="array" aca="1" ref="L13" ca="1">Solution_material!L13*INDIRECT("Tab_Def_Flows[@CC]")</f>
        <v>0</v>
      </c>
      <c r="M13" s="127" cm="1">
        <f t="array" aca="1" ref="M13" ca="1">Solution_material!M13*INDIRECT("Tab_Def_Flows[@CC]")</f>
        <v>0</v>
      </c>
      <c r="N13" s="127" cm="1">
        <f t="array" aca="1" ref="N13" ca="1">Solution_material!N13*INDIRECT("Tab_Def_Flows[@CC]")</f>
        <v>0</v>
      </c>
      <c r="O13" s="127" cm="1">
        <f t="array" aca="1" ref="O13" ca="1">Solution_material!O13*INDIRECT("Tab_Def_Flows[@CC]")</f>
        <v>0</v>
      </c>
      <c r="P13" s="127" cm="1">
        <f t="array" aca="1" ref="P13" ca="1">Solution_material!P13*INDIRECT("Tab_Def_Flows[@CC]")</f>
        <v>0</v>
      </c>
      <c r="R13" s="126">
        <f t="shared" ca="1" si="0"/>
        <v>0</v>
      </c>
      <c r="T13" s="127"/>
      <c r="U13" s="127"/>
      <c r="V13" s="127"/>
      <c r="W13" s="127"/>
      <c r="X13" s="127"/>
      <c r="Y13" s="127"/>
      <c r="Z13" s="127"/>
      <c r="AA13" s="127"/>
      <c r="AB13" s="127"/>
      <c r="AC13" s="127"/>
      <c r="AD13" s="127"/>
      <c r="AE13" s="127"/>
      <c r="AF13" s="127"/>
      <c r="AG13" s="127"/>
      <c r="AH13" s="127"/>
    </row>
    <row r="14" spans="1:34" x14ac:dyDescent="0.35">
      <c r="A14" t="str">
        <f>'1_1_Definition_Flows'!C14</f>
        <v>F_02_14</v>
      </c>
      <c r="B14" s="127" cm="1">
        <f t="array" aca="1" ref="B14" ca="1">Solution_material!B14*INDIRECT("Tab_Def_Flows[@CC]")</f>
        <v>0</v>
      </c>
      <c r="C14" s="127" cm="1">
        <f t="array" aca="1" ref="C14" ca="1">Solution_material!C14*INDIRECT("Tab_Def_Flows[@CC]")</f>
        <v>0</v>
      </c>
      <c r="D14" s="127" cm="1">
        <f t="array" aca="1" ref="D14" ca="1">Solution_material!D14*INDIRECT("Tab_Def_Flows[@CC]")</f>
        <v>0</v>
      </c>
      <c r="E14" s="127" cm="1">
        <f t="array" aca="1" ref="E14" ca="1">Solution_material!E14*INDIRECT("Tab_Def_Flows[@CC]")</f>
        <v>0</v>
      </c>
      <c r="F14" s="127" cm="1">
        <f t="array" aca="1" ref="F14" ca="1">Solution_material!F14*INDIRECT("Tab_Def_Flows[@CC]")</f>
        <v>0</v>
      </c>
      <c r="G14" s="127" cm="1">
        <f t="array" aca="1" ref="G14" ca="1">Solution_material!G14*INDIRECT("Tab_Def_Flows[@CC]")</f>
        <v>0</v>
      </c>
      <c r="H14" s="127" cm="1">
        <f t="array" aca="1" ref="H14" ca="1">Solution_material!H14*INDIRECT("Tab_Def_Flows[@CC]")</f>
        <v>0</v>
      </c>
      <c r="I14" s="127" cm="1">
        <f t="array" aca="1" ref="I14" ca="1">Solution_material!I14*INDIRECT("Tab_Def_Flows[@CC]")</f>
        <v>0</v>
      </c>
      <c r="J14" s="127" cm="1">
        <f t="array" aca="1" ref="J14" ca="1">Solution_material!J14*INDIRECT("Tab_Def_Flows[@CC]")</f>
        <v>0</v>
      </c>
      <c r="K14" s="127" cm="1">
        <f t="array" aca="1" ref="K14" ca="1">Solution_material!K14*INDIRECT("Tab_Def_Flows[@CC]")</f>
        <v>0</v>
      </c>
      <c r="L14" s="127" cm="1">
        <f t="array" aca="1" ref="L14" ca="1">Solution_material!L14*INDIRECT("Tab_Def_Flows[@CC]")</f>
        <v>0</v>
      </c>
      <c r="M14" s="127" cm="1">
        <f t="array" aca="1" ref="M14" ca="1">Solution_material!M14*INDIRECT("Tab_Def_Flows[@CC]")</f>
        <v>0</v>
      </c>
      <c r="N14" s="127" cm="1">
        <f t="array" aca="1" ref="N14" ca="1">Solution_material!N14*INDIRECT("Tab_Def_Flows[@CC]")</f>
        <v>0</v>
      </c>
      <c r="O14" s="127" cm="1">
        <f t="array" aca="1" ref="O14" ca="1">Solution_material!O14*INDIRECT("Tab_Def_Flows[@CC]")</f>
        <v>0</v>
      </c>
      <c r="P14" s="127" cm="1">
        <f t="array" aca="1" ref="P14" ca="1">Solution_material!P14*INDIRECT("Tab_Def_Flows[@CC]")</f>
        <v>0</v>
      </c>
      <c r="R14" s="126">
        <f t="shared" ca="1" si="0"/>
        <v>0</v>
      </c>
      <c r="T14" s="127"/>
      <c r="U14" s="127"/>
      <c r="V14" s="127"/>
      <c r="W14" s="127"/>
      <c r="X14" s="127"/>
      <c r="Y14" s="127"/>
      <c r="Z14" s="127"/>
      <c r="AA14" s="127"/>
      <c r="AB14" s="127"/>
      <c r="AC14" s="127"/>
      <c r="AD14" s="127"/>
      <c r="AE14" s="127"/>
      <c r="AF14" s="127"/>
      <c r="AG14" s="127"/>
      <c r="AH14" s="127"/>
    </row>
    <row r="15" spans="1:34" x14ac:dyDescent="0.35">
      <c r="A15" t="str">
        <f>'1_1_Definition_Flows'!C15</f>
        <v>F_02_12</v>
      </c>
      <c r="B15" s="127" cm="1">
        <f t="array" aca="1" ref="B15" ca="1">Solution_material!B15*INDIRECT("Tab_Def_Flows[@CC]")</f>
        <v>0</v>
      </c>
      <c r="C15" s="127" cm="1">
        <f t="array" aca="1" ref="C15" ca="1">Solution_material!C15*INDIRECT("Tab_Def_Flows[@CC]")</f>
        <v>0</v>
      </c>
      <c r="D15" s="127" cm="1">
        <f t="array" aca="1" ref="D15" ca="1">Solution_material!D15*INDIRECT("Tab_Def_Flows[@CC]")</f>
        <v>0</v>
      </c>
      <c r="E15" s="127" cm="1">
        <f t="array" aca="1" ref="E15" ca="1">Solution_material!E15*INDIRECT("Tab_Def_Flows[@CC]")</f>
        <v>0</v>
      </c>
      <c r="F15" s="127" cm="1">
        <f t="array" aca="1" ref="F15" ca="1">Solution_material!F15*INDIRECT("Tab_Def_Flows[@CC]")</f>
        <v>0</v>
      </c>
      <c r="G15" s="127" cm="1">
        <f t="array" aca="1" ref="G15" ca="1">Solution_material!G15*INDIRECT("Tab_Def_Flows[@CC]")</f>
        <v>0</v>
      </c>
      <c r="H15" s="127" cm="1">
        <f t="array" aca="1" ref="H15" ca="1">Solution_material!H15*INDIRECT("Tab_Def_Flows[@CC]")</f>
        <v>0</v>
      </c>
      <c r="I15" s="127" cm="1">
        <f t="array" aca="1" ref="I15" ca="1">Solution_material!I15*INDIRECT("Tab_Def_Flows[@CC]")</f>
        <v>0</v>
      </c>
      <c r="J15" s="127" cm="1">
        <f t="array" aca="1" ref="J15" ca="1">Solution_material!J15*INDIRECT("Tab_Def_Flows[@CC]")</f>
        <v>0</v>
      </c>
      <c r="K15" s="127" cm="1">
        <f t="array" aca="1" ref="K15" ca="1">Solution_material!K15*INDIRECT("Tab_Def_Flows[@CC]")</f>
        <v>0</v>
      </c>
      <c r="L15" s="127" cm="1">
        <f t="array" aca="1" ref="L15" ca="1">Solution_material!L15*INDIRECT("Tab_Def_Flows[@CC]")</f>
        <v>0</v>
      </c>
      <c r="M15" s="127" cm="1">
        <f t="array" aca="1" ref="M15" ca="1">Solution_material!M15*INDIRECT("Tab_Def_Flows[@CC]")</f>
        <v>0</v>
      </c>
      <c r="N15" s="127" cm="1">
        <f t="array" aca="1" ref="N15" ca="1">Solution_material!N15*INDIRECT("Tab_Def_Flows[@CC]")</f>
        <v>0</v>
      </c>
      <c r="O15" s="127" cm="1">
        <f t="array" aca="1" ref="O15" ca="1">Solution_material!O15*INDIRECT("Tab_Def_Flows[@CC]")</f>
        <v>0</v>
      </c>
      <c r="P15" s="127" cm="1">
        <f t="array" aca="1" ref="P15" ca="1">Solution_material!P15*INDIRECT("Tab_Def_Flows[@CC]")</f>
        <v>0</v>
      </c>
      <c r="R15" s="126">
        <f t="shared" ca="1" si="0"/>
        <v>0</v>
      </c>
      <c r="T15" s="127"/>
      <c r="U15" s="127"/>
      <c r="V15" s="127"/>
      <c r="W15" s="127"/>
      <c r="X15" s="127"/>
      <c r="Y15" s="127"/>
      <c r="Z15" s="127"/>
      <c r="AA15" s="127"/>
      <c r="AB15" s="127"/>
      <c r="AC15" s="127"/>
      <c r="AD15" s="127"/>
      <c r="AE15" s="127"/>
      <c r="AF15" s="127"/>
      <c r="AG15" s="127"/>
      <c r="AH15" s="127"/>
    </row>
    <row r="16" spans="1:34" x14ac:dyDescent="0.35">
      <c r="A16" t="str">
        <f>'1_1_Definition_Flows'!C16</f>
        <v>F_07_09</v>
      </c>
      <c r="B16" s="127" cm="1">
        <f t="array" aca="1" ref="B16" ca="1">Solution_material!B16*INDIRECT("Tab_Def_Flows[@CC]")</f>
        <v>4.8489771770334766E-7</v>
      </c>
      <c r="C16" s="127" cm="1">
        <f t="array" aca="1" ref="C16" ca="1">Solution_material!C16*INDIRECT("Tab_Def_Flows[@CC]")</f>
        <v>0.50748969592233728</v>
      </c>
      <c r="D16" s="127" cm="1">
        <f t="array" aca="1" ref="D16" ca="1">Solution_material!D16*INDIRECT("Tab_Def_Flows[@CC]")</f>
        <v>1.0255725667081088</v>
      </c>
      <c r="E16" s="127" cm="1">
        <f t="array" aca="1" ref="E16" ca="1">Solution_material!E16*INDIRECT("Tab_Def_Flows[@CC]")</f>
        <v>1.0533923928066449</v>
      </c>
      <c r="F16" s="127" cm="1">
        <f t="array" aca="1" ref="F16" ca="1">Solution_material!F16*INDIRECT("Tab_Def_Flows[@CC]")</f>
        <v>1.1208174569857665</v>
      </c>
      <c r="G16" s="127" cm="1">
        <f t="array" aca="1" ref="G16" ca="1">Solution_material!G16*INDIRECT("Tab_Def_Flows[@CC]")</f>
        <v>1.2603612143420007</v>
      </c>
      <c r="H16" s="127" cm="1">
        <f t="array" aca="1" ref="H16" ca="1">Solution_material!H16*INDIRECT("Tab_Def_Flows[@CC]")</f>
        <v>1.4066476440798517</v>
      </c>
      <c r="I16" s="127" cm="1">
        <f t="array" aca="1" ref="I16" ca="1">Solution_material!I16*INDIRECT("Tab_Def_Flows[@CC]")</f>
        <v>1.4956651441895072</v>
      </c>
      <c r="J16" s="127" cm="1">
        <f t="array" aca="1" ref="J16" ca="1">Solution_material!J16*INDIRECT("Tab_Def_Flows[@CC]")</f>
        <v>1.5638924429341234</v>
      </c>
      <c r="K16" s="127" cm="1">
        <f t="array" aca="1" ref="K16" ca="1">Solution_material!K16*INDIRECT("Tab_Def_Flows[@CC]")</f>
        <v>1.6463242293046811</v>
      </c>
      <c r="L16" s="127" cm="1">
        <f t="array" aca="1" ref="L16" ca="1">Solution_material!L16*INDIRECT("Tab_Def_Flows[@CC]")</f>
        <v>1.7440366337438717</v>
      </c>
      <c r="M16" s="127" cm="1">
        <f t="array" aca="1" ref="M16" ca="1">Solution_material!M16*INDIRECT("Tab_Def_Flows[@CC]")</f>
        <v>1.8436927649286086</v>
      </c>
      <c r="N16" s="127" cm="1">
        <f t="array" aca="1" ref="N16" ca="1">Solution_material!N16*INDIRECT("Tab_Def_Flows[@CC]")</f>
        <v>1.9312745774991544</v>
      </c>
      <c r="O16" s="127" cm="1">
        <f t="array" aca="1" ref="O16" ca="1">Solution_material!O16*INDIRECT("Tab_Def_Flows[@CC]")</f>
        <v>2.0009739688483128</v>
      </c>
      <c r="P16" s="127" cm="1">
        <f t="array" aca="1" ref="P16" ca="1">Solution_material!P16*INDIRECT("Tab_Def_Flows[@CC]")</f>
        <v>2.0558987719399395</v>
      </c>
      <c r="R16" s="126">
        <f t="shared" ca="1" si="0"/>
        <v>20.65603998913063</v>
      </c>
      <c r="T16" s="127"/>
      <c r="U16" s="127"/>
      <c r="V16" s="127"/>
      <c r="W16" s="127"/>
      <c r="X16" s="127"/>
      <c r="Y16" s="127"/>
      <c r="Z16" s="127"/>
      <c r="AA16" s="127"/>
      <c r="AB16" s="127"/>
      <c r="AC16" s="127"/>
      <c r="AD16" s="127"/>
      <c r="AE16" s="127"/>
      <c r="AF16" s="127"/>
      <c r="AG16" s="127"/>
      <c r="AH16" s="127"/>
    </row>
    <row r="17" spans="1:34" x14ac:dyDescent="0.35">
      <c r="A17" t="str">
        <f>'1_1_Definition_Flows'!C17</f>
        <v>F_07_10</v>
      </c>
      <c r="B17" s="127" cm="1">
        <f t="array" aca="1" ref="B17" ca="1">Solution_material!B17*INDIRECT("Tab_Def_Flows[@CC]")</f>
        <v>1.9395908708133907E-6</v>
      </c>
      <c r="C17" s="127" cm="1">
        <f t="array" aca="1" ref="C17" ca="1">Solution_material!C17*INDIRECT("Tab_Def_Flows[@CC]")</f>
        <v>2.0299587836893491</v>
      </c>
      <c r="D17" s="127" cm="1">
        <f t="array" aca="1" ref="D17" ca="1">Solution_material!D17*INDIRECT("Tab_Def_Flows[@CC]")</f>
        <v>4.1022902668324353</v>
      </c>
      <c r="E17" s="127" cm="1">
        <f t="array" aca="1" ref="E17" ca="1">Solution_material!E17*INDIRECT("Tab_Def_Flows[@CC]")</f>
        <v>4.2135695712265795</v>
      </c>
      <c r="F17" s="127" cm="1">
        <f t="array" aca="1" ref="F17" ca="1">Solution_material!F17*INDIRECT("Tab_Def_Flows[@CC]")</f>
        <v>4.4832698279430661</v>
      </c>
      <c r="G17" s="127" cm="1">
        <f t="array" aca="1" ref="G17" ca="1">Solution_material!G17*INDIRECT("Tab_Def_Flows[@CC]")</f>
        <v>5.0414448573680026</v>
      </c>
      <c r="H17" s="127" cm="1">
        <f t="array" aca="1" ref="H17" ca="1">Solution_material!H17*INDIRECT("Tab_Def_Flows[@CC]")</f>
        <v>5.6265905763194066</v>
      </c>
      <c r="I17" s="127" cm="1">
        <f t="array" aca="1" ref="I17" ca="1">Solution_material!I17*INDIRECT("Tab_Def_Flows[@CC]")</f>
        <v>5.982660576758029</v>
      </c>
      <c r="J17" s="127" cm="1">
        <f t="array" aca="1" ref="J17" ca="1">Solution_material!J17*INDIRECT("Tab_Def_Flows[@CC]")</f>
        <v>6.2555697717364938</v>
      </c>
      <c r="K17" s="127" cm="1">
        <f t="array" aca="1" ref="K17" ca="1">Solution_material!K17*INDIRECT("Tab_Def_Flows[@CC]")</f>
        <v>6.5852969172187246</v>
      </c>
      <c r="L17" s="127" cm="1">
        <f t="array" aca="1" ref="L17" ca="1">Solution_material!L17*INDIRECT("Tab_Def_Flows[@CC]")</f>
        <v>6.976146534975487</v>
      </c>
      <c r="M17" s="127" cm="1">
        <f t="array" aca="1" ref="M17" ca="1">Solution_material!M17*INDIRECT("Tab_Def_Flows[@CC]")</f>
        <v>7.3747710597144343</v>
      </c>
      <c r="N17" s="127" cm="1">
        <f t="array" aca="1" ref="N17" ca="1">Solution_material!N17*INDIRECT("Tab_Def_Flows[@CC]")</f>
        <v>7.7250983099966177</v>
      </c>
      <c r="O17" s="127" cm="1">
        <f t="array" aca="1" ref="O17" ca="1">Solution_material!O17*INDIRECT("Tab_Def_Flows[@CC]")</f>
        <v>8.0038958753932512</v>
      </c>
      <c r="P17" s="127" cm="1">
        <f t="array" aca="1" ref="P17" ca="1">Solution_material!P17*INDIRECT("Tab_Def_Flows[@CC]")</f>
        <v>8.2235950877597581</v>
      </c>
      <c r="R17" s="126">
        <f t="shared" ca="1" si="0"/>
        <v>82.624159956522519</v>
      </c>
      <c r="T17" s="127"/>
      <c r="U17" s="127"/>
      <c r="V17" s="127"/>
      <c r="W17" s="127"/>
      <c r="X17" s="127"/>
      <c r="Y17" s="127"/>
      <c r="Z17" s="127"/>
      <c r="AA17" s="127"/>
      <c r="AB17" s="127"/>
      <c r="AC17" s="127"/>
      <c r="AD17" s="127"/>
      <c r="AE17" s="127"/>
      <c r="AF17" s="127"/>
      <c r="AG17" s="127"/>
      <c r="AH17" s="127"/>
    </row>
    <row r="18" spans="1:34" x14ac:dyDescent="0.35">
      <c r="A18" t="str">
        <f>'1_1_Definition_Flows'!C18</f>
        <v>F_09_17</v>
      </c>
      <c r="B18" s="127" cm="1">
        <f t="array" aca="1" ref="B18" ca="1">Solution_material!B18*INDIRECT("Tab_Def_Flows[@CC]")</f>
        <v>8.8587083041957716E-7</v>
      </c>
      <c r="C18" s="127" cm="1">
        <f t="array" aca="1" ref="C18" ca="1">Solution_material!C18*INDIRECT("Tab_Def_Flows[@CC]")</f>
        <v>0.92714463678119297</v>
      </c>
      <c r="D18" s="127" cm="1">
        <f t="array" aca="1" ref="D18" ca="1">Solution_material!D18*INDIRECT("Tab_Def_Flows[@CC]")</f>
        <v>1.8736421891782753</v>
      </c>
      <c r="E18" s="127" cm="1">
        <f t="array" aca="1" ref="E18" ca="1">Solution_material!E18*INDIRECT("Tab_Def_Flows[@CC]")</f>
        <v>1.9244668714736775</v>
      </c>
      <c r="F18" s="127" cm="1">
        <f t="array" aca="1" ref="F18" ca="1">Solution_material!F18*INDIRECT("Tab_Def_Flows[@CC]")</f>
        <v>2.0476472771855345</v>
      </c>
      <c r="G18" s="127" cm="1">
        <f t="array" aca="1" ref="G18" ca="1">Solution_material!G18*INDIRECT("Tab_Def_Flows[@CC]")</f>
        <v>2.3025829877401929</v>
      </c>
      <c r="H18" s="127" cm="1">
        <f t="array" aca="1" ref="H18" ca="1">Solution_material!H18*INDIRECT("Tab_Def_Flows[@CC]")</f>
        <v>2.5698370420689587</v>
      </c>
      <c r="I18" s="127" cm="1">
        <f t="array" aca="1" ref="I18" ca="1">Solution_material!I18*INDIRECT("Tab_Def_Flows[@CC]")</f>
        <v>2.7324651672692912</v>
      </c>
      <c r="J18" s="127" cm="1">
        <f t="array" aca="1" ref="J18" ca="1">Solution_material!J18*INDIRECT("Tab_Def_Flows[@CC]")</f>
        <v>2.8571111938219556</v>
      </c>
      <c r="K18" s="127" cm="1">
        <f t="array" aca="1" ref="K18" ca="1">Solution_material!K18*INDIRECT("Tab_Def_Flows[@CC]")</f>
        <v>3.0077077266143206</v>
      </c>
      <c r="L18" s="127" cm="1">
        <f t="array" aca="1" ref="L18" ca="1">Solution_material!L18*INDIRECT("Tab_Def_Flows[@CC]")</f>
        <v>3.1862207731859189</v>
      </c>
      <c r="M18" s="127" cm="1">
        <f t="array" aca="1" ref="M18" ca="1">Solution_material!M18*INDIRECT("Tab_Def_Flows[@CC]")</f>
        <v>3.3682848590041878</v>
      </c>
      <c r="N18" s="127" cm="1">
        <f t="array" aca="1" ref="N18" ca="1">Solution_material!N18*INDIRECT("Tab_Def_Flows[@CC]")</f>
        <v>3.5282900935080694</v>
      </c>
      <c r="O18" s="127" cm="1">
        <f t="array" aca="1" ref="O18" ca="1">Solution_material!O18*INDIRECT("Tab_Def_Flows[@CC]")</f>
        <v>3.6556255200113399</v>
      </c>
      <c r="P18" s="127" cm="1">
        <f t="array" aca="1" ref="P18" ca="1">Solution_material!P18*INDIRECT("Tab_Def_Flows[@CC]")</f>
        <v>3.7559689102748886</v>
      </c>
      <c r="R18" s="126">
        <f t="shared" ca="1" si="0"/>
        <v>37.736996133988633</v>
      </c>
      <c r="T18" s="127"/>
      <c r="U18" s="127"/>
      <c r="V18" s="127"/>
      <c r="W18" s="127"/>
      <c r="X18" s="127"/>
      <c r="Y18" s="127"/>
      <c r="Z18" s="127"/>
      <c r="AA18" s="127"/>
      <c r="AB18" s="127"/>
      <c r="AC18" s="127"/>
      <c r="AD18" s="127"/>
      <c r="AE18" s="127"/>
      <c r="AF18" s="127"/>
      <c r="AG18" s="127"/>
      <c r="AH18" s="127"/>
    </row>
    <row r="19" spans="1:34" x14ac:dyDescent="0.35">
      <c r="A19" t="str">
        <f>'1_1_Definition_Flows'!C19</f>
        <v>F_10_18</v>
      </c>
      <c r="B19" s="127" cm="1">
        <f t="array" aca="1" ref="B19" ca="1">Solution_material!B19*INDIRECT("Tab_Def_Flows[@CC]")</f>
        <v>4.9733099251625395E-7</v>
      </c>
      <c r="C19" s="127" cm="1">
        <f t="array" aca="1" ref="C19" ca="1">Solution_material!C19*INDIRECT("Tab_Def_Flows[@CC]")</f>
        <v>0.52050225222803825</v>
      </c>
      <c r="D19" s="127" cm="1">
        <f t="array" aca="1" ref="D19" ca="1">Solution_material!D19*INDIRECT("Tab_Def_Flows[@CC]")</f>
        <v>1.051869299187804</v>
      </c>
      <c r="E19" s="127" cm="1">
        <f t="array" aca="1" ref="E19" ca="1">Solution_material!E19*INDIRECT("Tab_Def_Flows[@CC]")</f>
        <v>1.0804024541606612</v>
      </c>
      <c r="F19" s="127" cm="1">
        <f t="array" aca="1" ref="F19" ca="1">Solution_material!F19*INDIRECT("Tab_Def_Flows[@CC]")</f>
        <v>1.1495563661392476</v>
      </c>
      <c r="G19" s="127" cm="1">
        <f t="array" aca="1" ref="G19" ca="1">Solution_material!G19*INDIRECT("Tab_Def_Flows[@CC]")</f>
        <v>1.2926781685558979</v>
      </c>
      <c r="H19" s="127" cm="1">
        <f t="array" aca="1" ref="H19" ca="1">Solution_material!H19*INDIRECT("Tab_Def_Flows[@CC]")</f>
        <v>1.4427155323895913</v>
      </c>
      <c r="I19" s="127" cm="1">
        <f t="array" aca="1" ref="I19" ca="1">Solution_material!I19*INDIRECT("Tab_Def_Flows[@CC]")</f>
        <v>1.5340155325020586</v>
      </c>
      <c r="J19" s="127" cm="1">
        <f t="array" aca="1" ref="J19" ca="1">Solution_material!J19*INDIRECT("Tab_Def_Flows[@CC]")</f>
        <v>1.6039922491632035</v>
      </c>
      <c r="K19" s="127" cm="1">
        <f t="array" aca="1" ref="K19" ca="1">Solution_material!K19*INDIRECT("Tab_Def_Flows[@CC]")</f>
        <v>1.6885376710817241</v>
      </c>
      <c r="L19" s="127" cm="1">
        <f t="array" aca="1" ref="L19" ca="1">Solution_material!L19*INDIRECT("Tab_Def_Flows[@CC]")</f>
        <v>1.7887555217885862</v>
      </c>
      <c r="M19" s="127" cm="1">
        <f t="array" aca="1" ref="M19" ca="1">Solution_material!M19*INDIRECT("Tab_Def_Flows[@CC]")</f>
        <v>1.8909669383883163</v>
      </c>
      <c r="N19" s="127" cm="1">
        <f t="array" aca="1" ref="N19" ca="1">Solution_material!N19*INDIRECT("Tab_Def_Flows[@CC]")</f>
        <v>1.980794438460671</v>
      </c>
      <c r="O19" s="127" cm="1">
        <f t="array" aca="1" ref="O19" ca="1">Solution_material!O19*INDIRECT("Tab_Def_Flows[@CC]")</f>
        <v>2.0522809936905775</v>
      </c>
      <c r="P19" s="127" cm="1">
        <f t="array" aca="1" ref="P19" ca="1">Solution_material!P19*INDIRECT("Tab_Def_Flows[@CC]")</f>
        <v>2.1086141250666048</v>
      </c>
      <c r="R19" s="126">
        <f t="shared" ca="1" si="0"/>
        <v>21.185682040133972</v>
      </c>
      <c r="T19" s="127"/>
      <c r="U19" s="127"/>
      <c r="V19" s="127"/>
      <c r="W19" s="127"/>
      <c r="X19" s="127"/>
      <c r="Y19" s="127"/>
      <c r="Z19" s="127"/>
      <c r="AA19" s="127"/>
      <c r="AB19" s="127"/>
      <c r="AC19" s="127"/>
      <c r="AD19" s="127"/>
      <c r="AE19" s="127"/>
      <c r="AF19" s="127"/>
      <c r="AG19" s="127"/>
      <c r="AH19" s="127"/>
    </row>
    <row r="20" spans="1:34" x14ac:dyDescent="0.35">
      <c r="A20" t="str">
        <f>'1_1_Definition_Flows'!C20</f>
        <v>F_10_19</v>
      </c>
      <c r="B20" s="127" cm="1">
        <f t="array" aca="1" ref="B20" ca="1">Solution_material!B20*INDIRECT("Tab_Def_Flows[@CC]")</f>
        <v>1.0630449965034926E-5</v>
      </c>
      <c r="C20" s="127" cm="1">
        <f t="array" aca="1" ref="C20" ca="1">Solution_material!C20*INDIRECT("Tab_Def_Flows[@CC]")</f>
        <v>11.125735641374316</v>
      </c>
      <c r="D20" s="127" cm="1">
        <f t="array" aca="1" ref="D20" ca="1">Solution_material!D20*INDIRECT("Tab_Def_Flows[@CC]")</f>
        <v>22.483706270139304</v>
      </c>
      <c r="E20" s="127" cm="1">
        <f t="array" aca="1" ref="E20" ca="1">Solution_material!E20*INDIRECT("Tab_Def_Flows[@CC]")</f>
        <v>23.093602457684131</v>
      </c>
      <c r="F20" s="127" cm="1">
        <f t="array" aca="1" ref="F20" ca="1">Solution_material!F20*INDIRECT("Tab_Def_Flows[@CC]")</f>
        <v>24.571767326226418</v>
      </c>
      <c r="G20" s="127" cm="1">
        <f t="array" aca="1" ref="G20" ca="1">Solution_material!G20*INDIRECT("Tab_Def_Flows[@CC]")</f>
        <v>27.630995852882315</v>
      </c>
      <c r="H20" s="127" cm="1">
        <f t="array" aca="1" ref="H20" ca="1">Solution_material!H20*INDIRECT("Tab_Def_Flows[@CC]")</f>
        <v>30.838044504827511</v>
      </c>
      <c r="I20" s="127" cm="1">
        <f t="array" aca="1" ref="I20" ca="1">Solution_material!I20*INDIRECT("Tab_Def_Flows[@CC]")</f>
        <v>32.789582007231495</v>
      </c>
      <c r="J20" s="127" cm="1">
        <f t="array" aca="1" ref="J20" ca="1">Solution_material!J20*INDIRECT("Tab_Def_Flows[@CC]")</f>
        <v>34.285334325863467</v>
      </c>
      <c r="K20" s="127" cm="1">
        <f t="array" aca="1" ref="K20" ca="1">Solution_material!K20*INDIRECT("Tab_Def_Flows[@CC]")</f>
        <v>36.092492719371847</v>
      </c>
      <c r="L20" s="127" cm="1">
        <f t="array" aca="1" ref="L20" ca="1">Solution_material!L20*INDIRECT("Tab_Def_Flows[@CC]")</f>
        <v>38.234649278231032</v>
      </c>
      <c r="M20" s="127" cm="1">
        <f t="array" aca="1" ref="M20" ca="1">Solution_material!M20*INDIRECT("Tab_Def_Flows[@CC]")</f>
        <v>40.419418308050254</v>
      </c>
      <c r="N20" s="127" cm="1">
        <f t="array" aca="1" ref="N20" ca="1">Solution_material!N20*INDIRECT("Tab_Def_Flows[@CC]")</f>
        <v>42.339481122096835</v>
      </c>
      <c r="O20" s="127" cm="1">
        <f t="array" aca="1" ref="O20" ca="1">Solution_material!O20*INDIRECT("Tab_Def_Flows[@CC]")</f>
        <v>43.867506240136088</v>
      </c>
      <c r="P20" s="127" cm="1">
        <f t="array" aca="1" ref="P20" ca="1">Solution_material!P20*INDIRECT("Tab_Def_Flows[@CC]")</f>
        <v>45.071626923298666</v>
      </c>
      <c r="R20" s="126">
        <f t="shared" ca="1" si="0"/>
        <v>452.84395360786363</v>
      </c>
      <c r="T20" s="127"/>
      <c r="U20" s="127"/>
      <c r="V20" s="127"/>
      <c r="W20" s="127"/>
      <c r="X20" s="127"/>
      <c r="Y20" s="127"/>
      <c r="Z20" s="127"/>
      <c r="AA20" s="127"/>
      <c r="AB20" s="127"/>
      <c r="AC20" s="127"/>
      <c r="AD20" s="127"/>
      <c r="AE20" s="127"/>
      <c r="AF20" s="127"/>
      <c r="AG20" s="127"/>
      <c r="AH20" s="127"/>
    </row>
    <row r="21" spans="1:34" x14ac:dyDescent="0.35">
      <c r="A21" t="str">
        <f>'1_1_Definition_Flows'!C21</f>
        <v>F_00_13</v>
      </c>
      <c r="B21" s="127" cm="1">
        <f t="array" aca="1" ref="B21" ca="1">Solution_material!B21*INDIRECT("Tab_Def_Flows[@CC]")</f>
        <v>59.417399999999994</v>
      </c>
      <c r="C21" s="127" cm="1">
        <f t="array" aca="1" ref="C21" ca="1">Solution_material!C21*INDIRECT("Tab_Def_Flows[@CC]")</f>
        <v>60.605747999999998</v>
      </c>
      <c r="D21" s="127" cm="1">
        <f t="array" aca="1" ref="D21" ca="1">Solution_material!D21*INDIRECT("Tab_Def_Flows[@CC]")</f>
        <v>61.817862959999992</v>
      </c>
      <c r="E21" s="127" cm="1">
        <f t="array" aca="1" ref="E21" ca="1">Solution_material!E21*INDIRECT("Tab_Def_Flows[@CC]")</f>
        <v>63.054220219199998</v>
      </c>
      <c r="F21" s="127" cm="1">
        <f t="array" aca="1" ref="F21" ca="1">Solution_material!F21*INDIRECT("Tab_Def_Flows[@CC]")</f>
        <v>64.315304623583998</v>
      </c>
      <c r="G21" s="127" cm="1">
        <f t="array" aca="1" ref="G21" ca="1">Solution_material!G21*INDIRECT("Tab_Def_Flows[@CC]")</f>
        <v>65.601610716055688</v>
      </c>
      <c r="H21" s="127" cm="1">
        <f t="array" aca="1" ref="H21" ca="1">Solution_material!H21*INDIRECT("Tab_Def_Flows[@CC]")</f>
        <v>66.913642930376795</v>
      </c>
      <c r="I21" s="127" cm="1">
        <f t="array" aca="1" ref="I21" ca="1">Solution_material!I21*INDIRECT("Tab_Def_Flows[@CC]")</f>
        <v>68.251915788984334</v>
      </c>
      <c r="J21" s="127" cm="1">
        <f t="array" aca="1" ref="J21" ca="1">Solution_material!J21*INDIRECT("Tab_Def_Flows[@CC]")</f>
        <v>69.616954104764019</v>
      </c>
      <c r="K21" s="127" cm="1">
        <f t="array" aca="1" ref="K21" ca="1">Solution_material!K21*INDIRECT("Tab_Def_Flows[@CC]")</f>
        <v>71.009293186859296</v>
      </c>
      <c r="L21" s="127" cm="1">
        <f t="array" aca="1" ref="L21" ca="1">Solution_material!L21*INDIRECT("Tab_Def_Flows[@CC]")</f>
        <v>72.429479050596484</v>
      </c>
      <c r="M21" s="127" cm="1">
        <f t="array" aca="1" ref="M21" ca="1">Solution_material!M21*INDIRECT("Tab_Def_Flows[@CC]")</f>
        <v>73.878068631608414</v>
      </c>
      <c r="N21" s="127" cm="1">
        <f t="array" aca="1" ref="N21" ca="1">Solution_material!N21*INDIRECT("Tab_Def_Flows[@CC]")</f>
        <v>75.355630004240581</v>
      </c>
      <c r="O21" s="127" cm="1">
        <f t="array" aca="1" ref="O21" ca="1">Solution_material!O21*INDIRECT("Tab_Def_Flows[@CC]")</f>
        <v>76.862742604325376</v>
      </c>
      <c r="P21" s="127" cm="1">
        <f t="array" aca="1" ref="P21" ca="1">Solution_material!P21*INDIRECT("Tab_Def_Flows[@CC]")</f>
        <v>78.399997456411896</v>
      </c>
      <c r="R21" s="126">
        <f t="shared" ca="1" si="0"/>
        <v>1027.5298702770067</v>
      </c>
      <c r="T21" s="127"/>
      <c r="U21" s="127"/>
      <c r="V21" s="127"/>
      <c r="W21" s="127"/>
      <c r="X21" s="127"/>
      <c r="Y21" s="127"/>
      <c r="Z21" s="127"/>
      <c r="AA21" s="127"/>
      <c r="AB21" s="127"/>
      <c r="AC21" s="127"/>
      <c r="AD21" s="127"/>
      <c r="AE21" s="127"/>
      <c r="AF21" s="127"/>
      <c r="AG21" s="127"/>
      <c r="AH21" s="127"/>
    </row>
    <row r="22" spans="1:34" x14ac:dyDescent="0.35">
      <c r="A22" t="str">
        <f>'1_1_Definition_Flows'!C22</f>
        <v>F_00_04</v>
      </c>
      <c r="B22" s="127" cm="1">
        <f t="array" aca="1" ref="B22" ca="1">Solution_material!B22*INDIRECT("Tab_Def_Flows[@CC]")</f>
        <v>1.1466000000000001</v>
      </c>
      <c r="C22" s="127" cm="1">
        <f t="array" aca="1" ref="C22" ca="1">Solution_material!C22*INDIRECT("Tab_Def_Flows[@CC]")</f>
        <v>1.169532</v>
      </c>
      <c r="D22" s="127" cm="1">
        <f t="array" aca="1" ref="D22" ca="1">Solution_material!D22*INDIRECT("Tab_Def_Flows[@CC]")</f>
        <v>1.1929226399999999</v>
      </c>
      <c r="E22" s="127" cm="1">
        <f t="array" aca="1" ref="E22" ca="1">Solution_material!E22*INDIRECT("Tab_Def_Flows[@CC]")</f>
        <v>1.2167810928</v>
      </c>
      <c r="F22" s="127" cm="1">
        <f t="array" aca="1" ref="F22" ca="1">Solution_material!F22*INDIRECT("Tab_Def_Flows[@CC]")</f>
        <v>1.241116714656</v>
      </c>
      <c r="G22" s="127" cm="1">
        <f t="array" aca="1" ref="G22" ca="1">Solution_material!G22*INDIRECT("Tab_Def_Flows[@CC]")</f>
        <v>1.26593904894912</v>
      </c>
      <c r="H22" s="127" cm="1">
        <f t="array" aca="1" ref="H22" ca="1">Solution_material!H22*INDIRECT("Tab_Def_Flows[@CC]")</f>
        <v>1.2912578299281023</v>
      </c>
      <c r="I22" s="127" cm="1">
        <f t="array" aca="1" ref="I22" ca="1">Solution_material!I22*INDIRECT("Tab_Def_Flows[@CC]")</f>
        <v>1.3170829865266644</v>
      </c>
      <c r="J22" s="127" cm="1">
        <f t="array" aca="1" ref="J22" ca="1">Solution_material!J22*INDIRECT("Tab_Def_Flows[@CC]")</f>
        <v>1.3434246462571977</v>
      </c>
      <c r="K22" s="127" cm="1">
        <f t="array" aca="1" ref="K22" ca="1">Solution_material!K22*INDIRECT("Tab_Def_Flows[@CC]")</f>
        <v>1.3702931391823419</v>
      </c>
      <c r="L22" s="127" cm="1">
        <f t="array" aca="1" ref="L22" ca="1">Solution_material!L22*INDIRECT("Tab_Def_Flows[@CC]")</f>
        <v>1.3976990019659887</v>
      </c>
      <c r="M22" s="127" cm="1">
        <f t="array" aca="1" ref="M22" ca="1">Solution_material!M22*INDIRECT("Tab_Def_Flows[@CC]")</f>
        <v>1.4256529820053085</v>
      </c>
      <c r="N22" s="127" cm="1">
        <f t="array" aca="1" ref="N22" ca="1">Solution_material!N22*INDIRECT("Tab_Def_Flows[@CC]")</f>
        <v>1.4541660416454147</v>
      </c>
      <c r="O22" s="127" cm="1">
        <f t="array" aca="1" ref="O22" ca="1">Solution_material!O22*INDIRECT("Tab_Def_Flows[@CC]")</f>
        <v>1.4832493624783232</v>
      </c>
      <c r="P22" s="127" cm="1">
        <f t="array" aca="1" ref="P22" ca="1">Solution_material!P22*INDIRECT("Tab_Def_Flows[@CC]")</f>
        <v>1.5129143497278896</v>
      </c>
      <c r="R22" s="126">
        <f t="shared" ca="1" si="0"/>
        <v>19.828631836122351</v>
      </c>
      <c r="T22" s="127"/>
      <c r="U22" s="127"/>
      <c r="V22" s="127"/>
      <c r="W22" s="127"/>
      <c r="X22" s="127"/>
      <c r="Y22" s="127"/>
      <c r="Z22" s="127"/>
      <c r="AA22" s="127"/>
      <c r="AB22" s="127"/>
      <c r="AC22" s="127"/>
      <c r="AD22" s="127"/>
      <c r="AE22" s="127"/>
      <c r="AF22" s="127"/>
      <c r="AG22" s="127"/>
      <c r="AH22" s="127"/>
    </row>
    <row r="23" spans="1:34" x14ac:dyDescent="0.35">
      <c r="A23" t="str">
        <f>'1_1_Definition_Flows'!C23</f>
        <v>F_00_11</v>
      </c>
      <c r="B23" s="127" cm="1">
        <f t="array" aca="1" ref="B23" ca="1">Solution_material!B23*INDIRECT("Tab_Def_Flows[@CC]")</f>
        <v>0.1598</v>
      </c>
      <c r="C23" s="127" cm="1">
        <f t="array" aca="1" ref="C23" ca="1">Solution_material!C23*INDIRECT("Tab_Def_Flows[@CC]")</f>
        <v>0.162996</v>
      </c>
      <c r="D23" s="127" cm="1">
        <f t="array" aca="1" ref="D23" ca="1">Solution_material!D23*INDIRECT("Tab_Def_Flows[@CC]")</f>
        <v>0.16625592</v>
      </c>
      <c r="E23" s="127" cm="1">
        <f t="array" aca="1" ref="E23" ca="1">Solution_material!E23*INDIRECT("Tab_Def_Flows[@CC]")</f>
        <v>0.16958103839999999</v>
      </c>
      <c r="F23" s="127" cm="1">
        <f t="array" aca="1" ref="F23" ca="1">Solution_material!F23*INDIRECT("Tab_Def_Flows[@CC]")</f>
        <v>0.172972659168</v>
      </c>
      <c r="G23" s="127" cm="1">
        <f t="array" aca="1" ref="G23" ca="1">Solution_material!G23*INDIRECT("Tab_Def_Flows[@CC]")</f>
        <v>0.17643211235136</v>
      </c>
      <c r="H23" s="127" cm="1">
        <f t="array" aca="1" ref="H23" ca="1">Solution_material!H23*INDIRECT("Tab_Def_Flows[@CC]")</f>
        <v>0.1799607545983872</v>
      </c>
      <c r="I23" s="127" cm="1">
        <f t="array" aca="1" ref="I23" ca="1">Solution_material!I23*INDIRECT("Tab_Def_Flows[@CC]")</f>
        <v>0.18355996969035496</v>
      </c>
      <c r="J23" s="127" cm="1">
        <f t="array" aca="1" ref="J23" ca="1">Solution_material!J23*INDIRECT("Tab_Def_Flows[@CC]")</f>
        <v>0.18723116908416207</v>
      </c>
      <c r="K23" s="127" cm="1">
        <f t="array" aca="1" ref="K23" ca="1">Solution_material!K23*INDIRECT("Tab_Def_Flows[@CC]")</f>
        <v>0.19097579246584531</v>
      </c>
      <c r="L23" s="127" cm="1">
        <f t="array" aca="1" ref="L23" ca="1">Solution_material!L23*INDIRECT("Tab_Def_Flows[@CC]")</f>
        <v>0.19479530831516223</v>
      </c>
      <c r="M23" s="127" cm="1">
        <f t="array" aca="1" ref="M23" ca="1">Solution_material!M23*INDIRECT("Tab_Def_Flows[@CC]")</f>
        <v>0.19869121448146546</v>
      </c>
      <c r="N23" s="127" cm="1">
        <f t="array" aca="1" ref="N23" ca="1">Solution_material!N23*INDIRECT("Tab_Def_Flows[@CC]")</f>
        <v>0.20266503877109476</v>
      </c>
      <c r="O23" s="127" cm="1">
        <f t="array" aca="1" ref="O23" ca="1">Solution_material!O23*INDIRECT("Tab_Def_Flows[@CC]")</f>
        <v>0.20671833954651664</v>
      </c>
      <c r="P23" s="127" cm="1">
        <f t="array" aca="1" ref="P23" ca="1">Solution_material!P23*INDIRECT("Tab_Def_Flows[@CC]")</f>
        <v>0.21085270633744702</v>
      </c>
      <c r="R23" s="126">
        <f t="shared" ca="1" si="0"/>
        <v>2.7634880232097956</v>
      </c>
      <c r="T23" s="127"/>
      <c r="U23" s="127"/>
      <c r="V23" s="127"/>
      <c r="W23" s="127"/>
      <c r="X23" s="127"/>
      <c r="Y23" s="127"/>
      <c r="Z23" s="127"/>
      <c r="AA23" s="127"/>
      <c r="AB23" s="127"/>
      <c r="AC23" s="127"/>
      <c r="AD23" s="127"/>
      <c r="AE23" s="127"/>
      <c r="AF23" s="127"/>
      <c r="AG23" s="127"/>
      <c r="AH23" s="127"/>
    </row>
    <row r="24" spans="1:34" x14ac:dyDescent="0.35">
      <c r="A24" t="str">
        <f>'1_1_Definition_Flows'!C24</f>
        <v>F_00_08</v>
      </c>
      <c r="B24" s="127" cm="1">
        <f t="array" aca="1" ref="B24" ca="1">Solution_material!B24*INDIRECT("Tab_Def_Flows[@CC]")</f>
        <v>0</v>
      </c>
      <c r="C24" s="127" cm="1">
        <f t="array" aca="1" ref="C24" ca="1">Solution_material!C24*INDIRECT("Tab_Def_Flows[@CC]")</f>
        <v>0</v>
      </c>
      <c r="D24" s="127" cm="1">
        <f t="array" aca="1" ref="D24" ca="1">Solution_material!D24*INDIRECT("Tab_Def_Flows[@CC]")</f>
        <v>0</v>
      </c>
      <c r="E24" s="127" cm="1">
        <f t="array" aca="1" ref="E24" ca="1">Solution_material!E24*INDIRECT("Tab_Def_Flows[@CC]")</f>
        <v>0</v>
      </c>
      <c r="F24" s="127" cm="1">
        <f t="array" aca="1" ref="F24" ca="1">Solution_material!F24*INDIRECT("Tab_Def_Flows[@CC]")</f>
        <v>0</v>
      </c>
      <c r="G24" s="127" cm="1">
        <f t="array" aca="1" ref="G24" ca="1">Solution_material!G24*INDIRECT("Tab_Def_Flows[@CC]")</f>
        <v>0</v>
      </c>
      <c r="H24" s="127" cm="1">
        <f t="array" aca="1" ref="H24" ca="1">Solution_material!H24*INDIRECT("Tab_Def_Flows[@CC]")</f>
        <v>0</v>
      </c>
      <c r="I24" s="127" cm="1">
        <f t="array" aca="1" ref="I24" ca="1">Solution_material!I24*INDIRECT("Tab_Def_Flows[@CC]")</f>
        <v>0</v>
      </c>
      <c r="J24" s="127" cm="1">
        <f t="array" aca="1" ref="J24" ca="1">Solution_material!J24*INDIRECT("Tab_Def_Flows[@CC]")</f>
        <v>0</v>
      </c>
      <c r="K24" s="127" cm="1">
        <f t="array" aca="1" ref="K24" ca="1">Solution_material!K24*INDIRECT("Tab_Def_Flows[@CC]")</f>
        <v>0</v>
      </c>
      <c r="L24" s="127" cm="1">
        <f t="array" aca="1" ref="L24" ca="1">Solution_material!L24*INDIRECT("Tab_Def_Flows[@CC]")</f>
        <v>0</v>
      </c>
      <c r="M24" s="127" cm="1">
        <f t="array" aca="1" ref="M24" ca="1">Solution_material!M24*INDIRECT("Tab_Def_Flows[@CC]")</f>
        <v>0</v>
      </c>
      <c r="N24" s="127" cm="1">
        <f t="array" aca="1" ref="N24" ca="1">Solution_material!N24*INDIRECT("Tab_Def_Flows[@CC]")</f>
        <v>0</v>
      </c>
      <c r="O24" s="127" cm="1">
        <f t="array" aca="1" ref="O24" ca="1">Solution_material!O24*INDIRECT("Tab_Def_Flows[@CC]")</f>
        <v>0</v>
      </c>
      <c r="P24" s="127" cm="1">
        <f t="array" aca="1" ref="P24" ca="1">Solution_material!P24*INDIRECT("Tab_Def_Flows[@CC]")</f>
        <v>0</v>
      </c>
      <c r="R24" s="126">
        <f t="shared" ca="1" si="0"/>
        <v>0</v>
      </c>
      <c r="T24" s="127"/>
      <c r="U24" s="127"/>
      <c r="V24" s="127"/>
      <c r="W24" s="127"/>
      <c r="X24" s="127"/>
      <c r="Y24" s="127"/>
      <c r="Z24" s="127"/>
      <c r="AA24" s="127"/>
      <c r="AB24" s="127"/>
      <c r="AC24" s="127"/>
      <c r="AD24" s="127"/>
      <c r="AE24" s="127"/>
      <c r="AF24" s="127"/>
      <c r="AG24" s="127"/>
      <c r="AH24" s="127"/>
    </row>
    <row r="25" spans="1:34" x14ac:dyDescent="0.35">
      <c r="A25" t="str">
        <f>'1_1_Definition_Flows'!C25</f>
        <v>F_09_19</v>
      </c>
      <c r="B25" s="127" cm="1">
        <f t="array" aca="1" ref="B25" ca="1">Solution_material!B25*INDIRECT("Tab_Def_Flows[@CC]")</f>
        <v>2.0670319376456801E-6</v>
      </c>
      <c r="C25" s="127" cm="1">
        <f t="array" aca="1" ref="C25" ca="1">Solution_material!C25*INDIRECT("Tab_Def_Flows[@CC]")</f>
        <v>2.1633374858227832</v>
      </c>
      <c r="D25" s="127" cm="1">
        <f t="array" aca="1" ref="D25" ca="1">Solution_material!D25*INDIRECT("Tab_Def_Flows[@CC]")</f>
        <v>4.3718317747493085</v>
      </c>
      <c r="E25" s="127" cm="1">
        <f t="array" aca="1" ref="E25" ca="1">Solution_material!E25*INDIRECT("Tab_Def_Flows[@CC]")</f>
        <v>4.4904227001052472</v>
      </c>
      <c r="F25" s="127" cm="1">
        <f t="array" aca="1" ref="F25" ca="1">Solution_material!F25*INDIRECT("Tab_Def_Flows[@CC]")</f>
        <v>4.7778436467662475</v>
      </c>
      <c r="G25" s="127" cm="1">
        <f t="array" aca="1" ref="G25" ca="1">Solution_material!G25*INDIRECT("Tab_Def_Flows[@CC]")</f>
        <v>5.3726936380604506</v>
      </c>
      <c r="H25" s="127" cm="1">
        <f t="array" aca="1" ref="H25" ca="1">Solution_material!H25*INDIRECT("Tab_Def_Flows[@CC]")</f>
        <v>5.9962864314942381</v>
      </c>
      <c r="I25" s="127" cm="1">
        <f t="array" aca="1" ref="I25" ca="1">Solution_material!I25*INDIRECT("Tab_Def_Flows[@CC]")</f>
        <v>6.3757520569616792</v>
      </c>
      <c r="J25" s="127" cm="1">
        <f t="array" aca="1" ref="J25" ca="1">Solution_material!J25*INDIRECT("Tab_Def_Flows[@CC]")</f>
        <v>6.6665927855845624</v>
      </c>
      <c r="K25" s="127" cm="1">
        <f t="array" aca="1" ref="K25" ca="1">Solution_material!K25*INDIRECT("Tab_Def_Flows[@CC]")</f>
        <v>7.0179846954334142</v>
      </c>
      <c r="L25" s="127" cm="1">
        <f t="array" aca="1" ref="L25" ca="1">Solution_material!L25*INDIRECT("Tab_Def_Flows[@CC]")</f>
        <v>7.4345151374338103</v>
      </c>
      <c r="M25" s="127" cm="1">
        <f t="array" aca="1" ref="M25" ca="1">Solution_material!M25*INDIRECT("Tab_Def_Flows[@CC]")</f>
        <v>7.8593313376764389</v>
      </c>
      <c r="N25" s="127" cm="1">
        <f t="array" aca="1" ref="N25" ca="1">Solution_material!N25*INDIRECT("Tab_Def_Flows[@CC]")</f>
        <v>8.232676884852161</v>
      </c>
      <c r="O25" s="127" cm="1">
        <f t="array" aca="1" ref="O25" ca="1">Solution_material!O25*INDIRECT("Tab_Def_Flows[@CC]")</f>
        <v>8.5297928800264593</v>
      </c>
      <c r="P25" s="127" cm="1">
        <f t="array" aca="1" ref="P25" ca="1">Solution_material!P25*INDIRECT("Tab_Def_Flows[@CC]")</f>
        <v>8.763927457308073</v>
      </c>
      <c r="R25" s="126">
        <f t="shared" ca="1" si="0"/>
        <v>88.052990979306813</v>
      </c>
      <c r="T25" s="127"/>
      <c r="U25" s="127"/>
      <c r="V25" s="127"/>
      <c r="W25" s="127"/>
      <c r="X25" s="127"/>
      <c r="Y25" s="127"/>
      <c r="Z25" s="127"/>
      <c r="AA25" s="127"/>
      <c r="AB25" s="127"/>
      <c r="AC25" s="127"/>
      <c r="AD25" s="127"/>
      <c r="AE25" s="127"/>
      <c r="AF25" s="127"/>
      <c r="AG25" s="127"/>
      <c r="AH25" s="127"/>
    </row>
    <row r="26" spans="1:34" x14ac:dyDescent="0.35">
      <c r="A26" t="str">
        <f>'1_1_Definition_Flows'!C26</f>
        <v>F_17_19</v>
      </c>
      <c r="B26" s="127">
        <f ca="1">B18-B45</f>
        <v>0</v>
      </c>
      <c r="C26" s="127">
        <f ca="1">C18-C45</f>
        <v>2.8002050789233124E-8</v>
      </c>
      <c r="D26" s="127">
        <f ca="1">D18-D45</f>
        <v>2.9306727653137798E-2</v>
      </c>
      <c r="E26" s="127">
        <f ca="1">E18-E45</f>
        <v>8.7605492392697659E-2</v>
      </c>
      <c r="F26" s="127">
        <f ca="1">F18-F45</f>
        <v>0.14566800413862246</v>
      </c>
      <c r="G26" s="127">
        <f ca="1">G18-G45</f>
        <v>0.20578886853233946</v>
      </c>
      <c r="H26" s="127">
        <f ca="1">H18-H45</f>
        <v>0.27206775847024378</v>
      </c>
      <c r="I26" s="127">
        <f ca="1">I18-I45</f>
        <v>0.34469939934295724</v>
      </c>
      <c r="J26" s="127">
        <f ca="1">J18-J45</f>
        <v>0.4201757959429564</v>
      </c>
      <c r="K26" s="127">
        <f ca="1">K18-K45</f>
        <v>0.49720642643843505</v>
      </c>
      <c r="L26" s="127">
        <f ca="1">L18-L45</f>
        <v>0.5765624480139695</v>
      </c>
      <c r="M26" s="127">
        <f ca="1">M18-M45</f>
        <v>0.65905278663383982</v>
      </c>
      <c r="N26" s="127">
        <f ca="1">N18-N45</f>
        <v>0.74469061473338316</v>
      </c>
      <c r="O26" s="127">
        <f ca="1">O18-O45</f>
        <v>0.83267916916265827</v>
      </c>
      <c r="P26" s="127">
        <f ca="1">P18-P45</f>
        <v>0.92191146372823329</v>
      </c>
      <c r="R26" s="126">
        <f t="shared" ca="1" si="0"/>
        <v>5.7374149831855243</v>
      </c>
      <c r="T26" s="127"/>
      <c r="U26" s="127"/>
      <c r="V26" s="127"/>
      <c r="W26" s="127"/>
      <c r="X26" s="127"/>
      <c r="Y26" s="127"/>
      <c r="Z26" s="127"/>
      <c r="AA26" s="127"/>
      <c r="AB26" s="127"/>
      <c r="AC26" s="127"/>
      <c r="AD26" s="127"/>
      <c r="AE26" s="127"/>
      <c r="AF26" s="127"/>
      <c r="AG26" s="127"/>
      <c r="AH26" s="127"/>
    </row>
    <row r="27" spans="1:34" x14ac:dyDescent="0.35">
      <c r="R27" s="127"/>
    </row>
    <row r="28" spans="1:34" x14ac:dyDescent="0.35">
      <c r="R28" s="127"/>
    </row>
    <row r="29" spans="1:34" x14ac:dyDescent="0.35">
      <c r="R29" s="127"/>
    </row>
    <row r="30" spans="1:34" x14ac:dyDescent="0.35">
      <c r="R30" s="127"/>
    </row>
    <row r="31" spans="1:34" x14ac:dyDescent="0.35">
      <c r="A31" t="s">
        <v>514</v>
      </c>
      <c r="B31">
        <f ca="1">B9-B10</f>
        <v>8.4579612715114134</v>
      </c>
      <c r="C31">
        <f ca="1">C9-C10</f>
        <v>6.0896744903083153</v>
      </c>
      <c r="D31">
        <f ca="1">D9-D10</f>
        <v>3.6718025957778577</v>
      </c>
      <c r="E31">
        <f ca="1">E9-E10</f>
        <v>3.7086967738715471</v>
      </c>
      <c r="F31">
        <f ca="1">F9-F10</f>
        <v>3.5510846277340331</v>
      </c>
      <c r="G31">
        <f ca="1">G9-G10</f>
        <v>3.0364692792061208</v>
      </c>
      <c r="H31">
        <f ca="1">H9-H10</f>
        <v>2.4918026375351898</v>
      </c>
      <c r="I31">
        <f ca="1">I9-I10</f>
        <v>2.2372159541455998</v>
      </c>
      <c r="J31">
        <f ca="1">J9-J10</f>
        <v>2.0903902939243819</v>
      </c>
      <c r="K31">
        <f ca="1">K9-K10</f>
        <v>1.8764284122434933</v>
      </c>
      <c r="L31">
        <f ca="1">L9-L10</f>
        <v>1.5900273812228765</v>
      </c>
      <c r="M31">
        <f ca="1">M9-M10</f>
        <v>1.2979509362980401</v>
      </c>
      <c r="N31">
        <f ca="1">N9-N10</f>
        <v>1.0703701686641338</v>
      </c>
      <c r="O31">
        <f ca="1">O9-O10</f>
        <v>0.93640807304153562</v>
      </c>
      <c r="P31">
        <f ca="1">P9-P10</f>
        <v>0.8806096159290675</v>
      </c>
      <c r="R31" s="126">
        <f ca="1">SUM(B31:P31)</f>
        <v>42.9868925114136</v>
      </c>
    </row>
    <row r="32" spans="1:34" x14ac:dyDescent="0.35">
      <c r="A32" t="s">
        <v>515</v>
      </c>
      <c r="B32">
        <f ca="1">B31</f>
        <v>8.4579612715114134</v>
      </c>
      <c r="C32">
        <f ca="1">B32+C31</f>
        <v>14.547635761819729</v>
      </c>
      <c r="D32">
        <f t="shared" ref="D32:P32" ca="1" si="1">C32+D31</f>
        <v>18.219438357597586</v>
      </c>
      <c r="E32">
        <f t="shared" ca="1" si="1"/>
        <v>21.928135131469134</v>
      </c>
      <c r="F32">
        <f t="shared" ca="1" si="1"/>
        <v>25.479219759203168</v>
      </c>
      <c r="G32">
        <f t="shared" ca="1" si="1"/>
        <v>28.515689038409288</v>
      </c>
      <c r="H32">
        <f t="shared" ca="1" si="1"/>
        <v>31.007491675944479</v>
      </c>
      <c r="I32">
        <f t="shared" ca="1" si="1"/>
        <v>33.244707630090076</v>
      </c>
      <c r="J32">
        <f t="shared" ca="1" si="1"/>
        <v>35.335097924014455</v>
      </c>
      <c r="K32">
        <f t="shared" ca="1" si="1"/>
        <v>37.211526336257947</v>
      </c>
      <c r="L32">
        <f t="shared" ca="1" si="1"/>
        <v>38.801553717480822</v>
      </c>
      <c r="M32">
        <f t="shared" ca="1" si="1"/>
        <v>40.099504653778865</v>
      </c>
      <c r="N32">
        <f t="shared" ca="1" si="1"/>
        <v>41.169874822442999</v>
      </c>
      <c r="O32">
        <f t="shared" ca="1" si="1"/>
        <v>42.106282895484533</v>
      </c>
      <c r="P32">
        <f t="shared" ca="1" si="1"/>
        <v>42.9868925114136</v>
      </c>
      <c r="R32" s="126">
        <f ca="1">SUM(B32:P32)</f>
        <v>459.11101148691807</v>
      </c>
    </row>
    <row r="33" spans="1:34" x14ac:dyDescent="0.35">
      <c r="A33" t="s">
        <v>512</v>
      </c>
      <c r="B33">
        <f ca="1">B7</f>
        <v>6.1888860000000001</v>
      </c>
      <c r="C33">
        <f ca="1">C7</f>
        <v>6.3126637200000015</v>
      </c>
      <c r="D33">
        <f ca="1">D7</f>
        <v>6.4389169944000013</v>
      </c>
      <c r="E33">
        <f ca="1">E7</f>
        <v>6.5676953342880013</v>
      </c>
      <c r="F33">
        <f ca="1">F7</f>
        <v>6.6990492409737605</v>
      </c>
      <c r="G33">
        <f ca="1">G7</f>
        <v>6.8330302257932356</v>
      </c>
      <c r="H33">
        <f ca="1">H7</f>
        <v>6.9696908303091014</v>
      </c>
      <c r="I33">
        <f ca="1">I7</f>
        <v>7.1090846469152833</v>
      </c>
      <c r="J33">
        <f ca="1">J7</f>
        <v>7.2512663398535881</v>
      </c>
      <c r="K33">
        <f ca="1">K7</f>
        <v>7.3962916666506615</v>
      </c>
      <c r="L33">
        <f ca="1">L7</f>
        <v>7.5442174999836737</v>
      </c>
      <c r="M33">
        <f ca="1">M7</f>
        <v>7.6951018499833479</v>
      </c>
      <c r="N33">
        <f ca="1">N7</f>
        <v>7.8490038869830148</v>
      </c>
      <c r="O33">
        <f ca="1">O7</f>
        <v>8.0059839647226756</v>
      </c>
      <c r="P33">
        <f ca="1">P7</f>
        <v>8.1661036440171273</v>
      </c>
      <c r="R33" s="126">
        <f ca="1">SUM(B33:P33)</f>
        <v>107.02698584487347</v>
      </c>
    </row>
    <row r="34" spans="1:34" x14ac:dyDescent="0.35">
      <c r="A34" t="s">
        <v>513</v>
      </c>
      <c r="B34">
        <f ca="1">B33</f>
        <v>6.1888860000000001</v>
      </c>
      <c r="C34">
        <f ca="1">B34+C33</f>
        <v>12.501549720000002</v>
      </c>
      <c r="D34">
        <f t="shared" ref="D34:P34" ca="1" si="2">C34+D33</f>
        <v>18.940466714400003</v>
      </c>
      <c r="E34">
        <f t="shared" ca="1" si="2"/>
        <v>25.508162048688003</v>
      </c>
      <c r="F34">
        <f t="shared" ca="1" si="2"/>
        <v>32.207211289661764</v>
      </c>
      <c r="G34">
        <f t="shared" ca="1" si="2"/>
        <v>39.040241515455001</v>
      </c>
      <c r="H34">
        <f t="shared" ca="1" si="2"/>
        <v>46.009932345764099</v>
      </c>
      <c r="I34">
        <f t="shared" ca="1" si="2"/>
        <v>53.119016992679384</v>
      </c>
      <c r="J34">
        <f t="shared" ca="1" si="2"/>
        <v>60.370283332532971</v>
      </c>
      <c r="K34">
        <f t="shared" ca="1" si="2"/>
        <v>67.766574999183632</v>
      </c>
      <c r="L34">
        <f t="shared" ca="1" si="2"/>
        <v>75.310792499167306</v>
      </c>
      <c r="M34">
        <f t="shared" ca="1" si="2"/>
        <v>83.005894349150651</v>
      </c>
      <c r="N34">
        <f t="shared" ca="1" si="2"/>
        <v>90.854898236133664</v>
      </c>
      <c r="O34">
        <f t="shared" ca="1" si="2"/>
        <v>98.860882200856338</v>
      </c>
      <c r="P34">
        <f t="shared" ca="1" si="2"/>
        <v>107.02698584487347</v>
      </c>
      <c r="R34" s="126">
        <f ca="1">SUM(B34:P34)</f>
        <v>816.71177808854623</v>
      </c>
    </row>
    <row r="35" spans="1:34" x14ac:dyDescent="0.35">
      <c r="A35" t="s">
        <v>522</v>
      </c>
      <c r="B35">
        <f ca="1">B11</f>
        <v>1.7566539984</v>
      </c>
      <c r="C35">
        <f ca="1">C11</f>
        <v>1.7917870783680003</v>
      </c>
      <c r="D35">
        <f ca="1">D11</f>
        <v>1.8276228199353601</v>
      </c>
      <c r="E35">
        <f ca="1">E11</f>
        <v>1.8641752763340675</v>
      </c>
      <c r="F35">
        <f ca="1">F11</f>
        <v>1.9014587818607487</v>
      </c>
      <c r="G35">
        <f ca="1">G11</f>
        <v>1.939487957497964</v>
      </c>
      <c r="H35">
        <f ca="1">H11</f>
        <v>1.9782777166479233</v>
      </c>
      <c r="I35">
        <f ca="1">I11</f>
        <v>2.0178432709808818</v>
      </c>
      <c r="J35">
        <f ca="1">J11</f>
        <v>2.0582001364004996</v>
      </c>
      <c r="K35">
        <f ca="1">K11</f>
        <v>2.0993641391285096</v>
      </c>
      <c r="L35">
        <f ca="1">L11</f>
        <v>2.1413514219110796</v>
      </c>
      <c r="M35">
        <f ca="1">M11</f>
        <v>2.1841784503493011</v>
      </c>
      <c r="N35">
        <f ca="1">N11</f>
        <v>2.2278620193562872</v>
      </c>
      <c r="O35">
        <f ca="1">O11</f>
        <v>2.2724192597434132</v>
      </c>
      <c r="P35">
        <f ca="1">P11</f>
        <v>2.3178676449382816</v>
      </c>
      <c r="R35" s="126">
        <f ca="1">SUM(B35:P35)</f>
        <v>30.378549971852316</v>
      </c>
    </row>
    <row r="36" spans="1:34" x14ac:dyDescent="0.35">
      <c r="A36" t="s">
        <v>523</v>
      </c>
      <c r="B36">
        <f ca="1">B35</f>
        <v>1.7566539984</v>
      </c>
      <c r="C36">
        <f ca="1">B36+C35</f>
        <v>3.5484410767680004</v>
      </c>
      <c r="D36">
        <f t="shared" ref="D36:P36" ca="1" si="3">C36+D35</f>
        <v>5.3760638967033607</v>
      </c>
      <c r="E36">
        <f t="shared" ca="1" si="3"/>
        <v>7.2402391730374287</v>
      </c>
      <c r="F36">
        <f t="shared" ca="1" si="3"/>
        <v>9.1416979548981772</v>
      </c>
      <c r="G36">
        <f t="shared" ca="1" si="3"/>
        <v>11.08118591239614</v>
      </c>
      <c r="H36">
        <f t="shared" ca="1" si="3"/>
        <v>13.059463629044064</v>
      </c>
      <c r="I36">
        <f t="shared" ca="1" si="3"/>
        <v>15.077306900024945</v>
      </c>
      <c r="J36">
        <f t="shared" ca="1" si="3"/>
        <v>17.135507036425444</v>
      </c>
      <c r="K36">
        <f t="shared" ca="1" si="3"/>
        <v>19.234871175553955</v>
      </c>
      <c r="L36">
        <f t="shared" ca="1" si="3"/>
        <v>21.376222597465034</v>
      </c>
      <c r="M36">
        <f t="shared" ca="1" si="3"/>
        <v>23.560401047814334</v>
      </c>
      <c r="N36">
        <f t="shared" ca="1" si="3"/>
        <v>25.788263067170622</v>
      </c>
      <c r="O36">
        <f t="shared" ca="1" si="3"/>
        <v>28.060682326914034</v>
      </c>
      <c r="P36">
        <f t="shared" ca="1" si="3"/>
        <v>30.378549971852316</v>
      </c>
      <c r="R36" s="126">
        <f ca="1">SUM(B36:P36)</f>
        <v>231.81554976446787</v>
      </c>
    </row>
    <row r="37" spans="1:34" x14ac:dyDescent="0.35">
      <c r="A37" t="s">
        <v>542</v>
      </c>
      <c r="B37" s="127">
        <f ca="1">B15</f>
        <v>0</v>
      </c>
      <c r="C37" s="127">
        <f t="shared" ref="C37:P37" ca="1" si="4">C15</f>
        <v>0</v>
      </c>
      <c r="D37" s="127">
        <f t="shared" ca="1" si="4"/>
        <v>0</v>
      </c>
      <c r="E37" s="127">
        <f t="shared" ca="1" si="4"/>
        <v>0</v>
      </c>
      <c r="F37" s="127">
        <f t="shared" ca="1" si="4"/>
        <v>0</v>
      </c>
      <c r="G37" s="127">
        <f t="shared" ca="1" si="4"/>
        <v>0</v>
      </c>
      <c r="H37" s="127">
        <f t="shared" ca="1" si="4"/>
        <v>0</v>
      </c>
      <c r="I37" s="127">
        <f t="shared" ca="1" si="4"/>
        <v>0</v>
      </c>
      <c r="J37" s="127">
        <f t="shared" ca="1" si="4"/>
        <v>0</v>
      </c>
      <c r="K37" s="127">
        <f t="shared" ca="1" si="4"/>
        <v>0</v>
      </c>
      <c r="L37" s="127">
        <f t="shared" ca="1" si="4"/>
        <v>0</v>
      </c>
      <c r="M37" s="127">
        <f t="shared" ca="1" si="4"/>
        <v>0</v>
      </c>
      <c r="N37" s="127">
        <f t="shared" ca="1" si="4"/>
        <v>0</v>
      </c>
      <c r="O37" s="127">
        <f t="shared" ca="1" si="4"/>
        <v>0</v>
      </c>
      <c r="P37" s="127">
        <f t="shared" ca="1" si="4"/>
        <v>0</v>
      </c>
      <c r="R37" s="126">
        <f t="shared" ref="R37:R40" ca="1" si="5">SUM(B37:P37)</f>
        <v>0</v>
      </c>
      <c r="T37" s="127"/>
      <c r="U37" s="127"/>
      <c r="V37" s="127"/>
      <c r="W37" s="127"/>
      <c r="X37" s="127"/>
      <c r="Y37" s="127"/>
      <c r="Z37" s="127"/>
      <c r="AA37" s="127"/>
      <c r="AB37" s="127"/>
      <c r="AC37" s="127"/>
      <c r="AD37" s="127"/>
      <c r="AE37" s="127"/>
      <c r="AF37" s="127"/>
      <c r="AG37" s="127"/>
      <c r="AH37" s="127"/>
    </row>
    <row r="38" spans="1:34" x14ac:dyDescent="0.35">
      <c r="A38" t="s">
        <v>543</v>
      </c>
      <c r="B38" s="127">
        <f ca="1">B37</f>
        <v>0</v>
      </c>
      <c r="C38" s="127">
        <f ca="1">C37+B38</f>
        <v>0</v>
      </c>
      <c r="D38" s="127">
        <f t="shared" ref="D38:P38" ca="1" si="6">D37+C38</f>
        <v>0</v>
      </c>
      <c r="E38" s="127">
        <f t="shared" ca="1" si="6"/>
        <v>0</v>
      </c>
      <c r="F38" s="127">
        <f t="shared" ca="1" si="6"/>
        <v>0</v>
      </c>
      <c r="G38" s="127">
        <f t="shared" ca="1" si="6"/>
        <v>0</v>
      </c>
      <c r="H38" s="127">
        <f t="shared" ca="1" si="6"/>
        <v>0</v>
      </c>
      <c r="I38" s="127">
        <f t="shared" ca="1" si="6"/>
        <v>0</v>
      </c>
      <c r="J38" s="127">
        <f t="shared" ca="1" si="6"/>
        <v>0</v>
      </c>
      <c r="K38" s="127">
        <f t="shared" ca="1" si="6"/>
        <v>0</v>
      </c>
      <c r="L38" s="127">
        <f t="shared" ca="1" si="6"/>
        <v>0</v>
      </c>
      <c r="M38" s="127">
        <f t="shared" ca="1" si="6"/>
        <v>0</v>
      </c>
      <c r="N38" s="127">
        <f t="shared" ca="1" si="6"/>
        <v>0</v>
      </c>
      <c r="O38" s="127">
        <f t="shared" ca="1" si="6"/>
        <v>0</v>
      </c>
      <c r="P38" s="127">
        <f t="shared" ca="1" si="6"/>
        <v>0</v>
      </c>
      <c r="R38" s="126">
        <f t="shared" ca="1" si="5"/>
        <v>0</v>
      </c>
      <c r="T38" s="127"/>
      <c r="U38" s="127"/>
      <c r="V38" s="127"/>
      <c r="W38" s="127"/>
      <c r="X38" s="127"/>
      <c r="Y38" s="127"/>
      <c r="Z38" s="127"/>
      <c r="AA38" s="127"/>
      <c r="AB38" s="127"/>
      <c r="AC38" s="127"/>
      <c r="AD38" s="127"/>
      <c r="AE38" s="127"/>
      <c r="AF38" s="127"/>
      <c r="AG38" s="127"/>
      <c r="AH38" s="127"/>
    </row>
    <row r="39" spans="1:34" x14ac:dyDescent="0.35">
      <c r="A39" t="s">
        <v>524</v>
      </c>
      <c r="B39" s="127">
        <f ca="1">B14</f>
        <v>0</v>
      </c>
      <c r="C39" s="127">
        <f t="shared" ref="C39:P39" ca="1" si="7">C14</f>
        <v>0</v>
      </c>
      <c r="D39" s="127">
        <f t="shared" ca="1" si="7"/>
        <v>0</v>
      </c>
      <c r="E39" s="127">
        <f t="shared" ca="1" si="7"/>
        <v>0</v>
      </c>
      <c r="F39" s="127">
        <f t="shared" ca="1" si="7"/>
        <v>0</v>
      </c>
      <c r="G39" s="127">
        <f t="shared" ca="1" si="7"/>
        <v>0</v>
      </c>
      <c r="H39" s="127">
        <f t="shared" ca="1" si="7"/>
        <v>0</v>
      </c>
      <c r="I39" s="127">
        <f t="shared" ca="1" si="7"/>
        <v>0</v>
      </c>
      <c r="J39" s="127">
        <f t="shared" ca="1" si="7"/>
        <v>0</v>
      </c>
      <c r="K39" s="127">
        <f t="shared" ca="1" si="7"/>
        <v>0</v>
      </c>
      <c r="L39" s="127">
        <f t="shared" ca="1" si="7"/>
        <v>0</v>
      </c>
      <c r="M39" s="127">
        <f t="shared" ca="1" si="7"/>
        <v>0</v>
      </c>
      <c r="N39" s="127">
        <f t="shared" ca="1" si="7"/>
        <v>0</v>
      </c>
      <c r="O39" s="127">
        <f t="shared" ca="1" si="7"/>
        <v>0</v>
      </c>
      <c r="P39" s="127">
        <f t="shared" ca="1" si="7"/>
        <v>0</v>
      </c>
      <c r="R39" s="126">
        <f t="shared" ca="1" si="5"/>
        <v>0</v>
      </c>
      <c r="T39" s="127"/>
      <c r="U39" s="127"/>
      <c r="V39" s="127"/>
      <c r="W39" s="127"/>
      <c r="X39" s="127"/>
      <c r="Y39" s="127"/>
      <c r="Z39" s="127"/>
      <c r="AA39" s="127"/>
      <c r="AB39" s="127"/>
      <c r="AC39" s="127"/>
      <c r="AD39" s="127"/>
      <c r="AE39" s="127"/>
      <c r="AF39" s="127"/>
      <c r="AG39" s="127"/>
      <c r="AH39" s="127"/>
    </row>
    <row r="40" spans="1:34" x14ac:dyDescent="0.35">
      <c r="A40" t="s">
        <v>525</v>
      </c>
      <c r="B40" s="127">
        <f ca="1">B39</f>
        <v>0</v>
      </c>
      <c r="C40" s="127">
        <f ca="1">B40+C39</f>
        <v>0</v>
      </c>
      <c r="D40" s="127">
        <f t="shared" ref="D40:P40" ca="1" si="8">C40+D39</f>
        <v>0</v>
      </c>
      <c r="E40" s="127">
        <f t="shared" ca="1" si="8"/>
        <v>0</v>
      </c>
      <c r="F40" s="127">
        <f t="shared" ca="1" si="8"/>
        <v>0</v>
      </c>
      <c r="G40" s="127">
        <f t="shared" ca="1" si="8"/>
        <v>0</v>
      </c>
      <c r="H40" s="127">
        <f t="shared" ca="1" si="8"/>
        <v>0</v>
      </c>
      <c r="I40" s="127">
        <f t="shared" ca="1" si="8"/>
        <v>0</v>
      </c>
      <c r="J40" s="127">
        <f t="shared" ca="1" si="8"/>
        <v>0</v>
      </c>
      <c r="K40" s="127">
        <f t="shared" ca="1" si="8"/>
        <v>0</v>
      </c>
      <c r="L40" s="127">
        <f t="shared" ca="1" si="8"/>
        <v>0</v>
      </c>
      <c r="M40" s="127">
        <f t="shared" ca="1" si="8"/>
        <v>0</v>
      </c>
      <c r="N40" s="127">
        <f t="shared" ca="1" si="8"/>
        <v>0</v>
      </c>
      <c r="O40" s="127">
        <f t="shared" ca="1" si="8"/>
        <v>0</v>
      </c>
      <c r="P40" s="127">
        <f t="shared" ca="1" si="8"/>
        <v>0</v>
      </c>
      <c r="R40" s="126">
        <f t="shared" ca="1" si="5"/>
        <v>0</v>
      </c>
      <c r="T40" s="127"/>
      <c r="U40" s="127"/>
      <c r="V40" s="127"/>
      <c r="W40" s="127"/>
      <c r="X40" s="127"/>
      <c r="Y40" s="127"/>
      <c r="Z40" s="127"/>
      <c r="AA40" s="127"/>
      <c r="AB40" s="127"/>
      <c r="AC40" s="127"/>
      <c r="AD40" s="127"/>
      <c r="AE40" s="127"/>
      <c r="AF40" s="127"/>
      <c r="AG40" s="127"/>
      <c r="AH40" s="127"/>
    </row>
    <row r="41" spans="1:34" x14ac:dyDescent="0.35">
      <c r="A41" t="s">
        <v>508</v>
      </c>
      <c r="B41">
        <f ca="1">B3</f>
        <v>23.766959999999997</v>
      </c>
      <c r="C41">
        <f ca="1">C3</f>
        <v>24.242299200000001</v>
      </c>
      <c r="D41">
        <f ca="1">D3</f>
        <v>24.727145183999998</v>
      </c>
      <c r="E41">
        <f ca="1">E3</f>
        <v>25.22168808768</v>
      </c>
      <c r="F41">
        <f ca="1">F3</f>
        <v>25.7261218494336</v>
      </c>
      <c r="G41">
        <f ca="1">G3</f>
        <v>26.240644286422274</v>
      </c>
      <c r="H41">
        <f ca="1">H3</f>
        <v>26.765457172150718</v>
      </c>
      <c r="I41">
        <f ca="1">I3</f>
        <v>27.300766315593734</v>
      </c>
      <c r="J41">
        <f ca="1">J3</f>
        <v>27.846781641905608</v>
      </c>
      <c r="K41">
        <f ca="1">K3</f>
        <v>28.40371727474372</v>
      </c>
      <c r="L41">
        <f ca="1">L3</f>
        <v>28.971791620238594</v>
      </c>
      <c r="M41">
        <f ca="1">M3</f>
        <v>29.551227452643364</v>
      </c>
      <c r="N41">
        <f ca="1">N3</f>
        <v>30.142252001696228</v>
      </c>
      <c r="O41">
        <f ca="1">O3</f>
        <v>30.745097041730155</v>
      </c>
      <c r="P41">
        <f ca="1">P3</f>
        <v>31.359998982564758</v>
      </c>
      <c r="R41" s="126">
        <f ca="1">SUM(B41:P41)</f>
        <v>411.01194811080285</v>
      </c>
    </row>
    <row r="42" spans="1:34" x14ac:dyDescent="0.35">
      <c r="A42" t="s">
        <v>509</v>
      </c>
      <c r="B42">
        <f ca="1">B41</f>
        <v>23.766959999999997</v>
      </c>
      <c r="C42">
        <f ca="1">B42+C41</f>
        <v>48.009259200000002</v>
      </c>
      <c r="D42">
        <f t="shared" ref="D42:O42" ca="1" si="9">C42+D41</f>
        <v>72.736404383999997</v>
      </c>
      <c r="E42">
        <f t="shared" ca="1" si="9"/>
        <v>97.958092471680004</v>
      </c>
      <c r="F42">
        <f t="shared" ca="1" si="9"/>
        <v>123.6842143211136</v>
      </c>
      <c r="G42">
        <f t="shared" ca="1" si="9"/>
        <v>149.92485860753587</v>
      </c>
      <c r="H42">
        <f t="shared" ca="1" si="9"/>
        <v>176.69031577968659</v>
      </c>
      <c r="I42">
        <f t="shared" ca="1" si="9"/>
        <v>203.99108209528032</v>
      </c>
      <c r="J42">
        <f t="shared" ca="1" si="9"/>
        <v>231.83786373718593</v>
      </c>
      <c r="K42">
        <f t="shared" ca="1" si="9"/>
        <v>260.24158101192967</v>
      </c>
      <c r="L42">
        <f t="shared" ca="1" si="9"/>
        <v>289.21337263216827</v>
      </c>
      <c r="M42">
        <f t="shared" ca="1" si="9"/>
        <v>318.76460008481166</v>
      </c>
      <c r="N42">
        <f t="shared" ca="1" si="9"/>
        <v>348.90685208650791</v>
      </c>
      <c r="O42">
        <f t="shared" ca="1" si="9"/>
        <v>379.65194912823807</v>
      </c>
      <c r="P42">
        <f ca="1">O42+P41</f>
        <v>411.01194811080285</v>
      </c>
      <c r="R42" s="126">
        <f ca="1">SUM(B42:P42)</f>
        <v>3136.3893536509404</v>
      </c>
    </row>
    <row r="43" spans="1:34" x14ac:dyDescent="0.35">
      <c r="A43" t="s">
        <v>510</v>
      </c>
      <c r="B43" s="5">
        <f ca="1">B5</f>
        <v>11.88348</v>
      </c>
      <c r="C43" s="5">
        <f ca="1">C5</f>
        <v>12.121149600000001</v>
      </c>
      <c r="D43" s="5">
        <f ca="1">D5</f>
        <v>12.363572591999999</v>
      </c>
      <c r="E43" s="5">
        <f ca="1">E5</f>
        <v>12.61084404384</v>
      </c>
      <c r="F43" s="5">
        <f ca="1">F5</f>
        <v>12.8630609247168</v>
      </c>
      <c r="G43" s="5">
        <f ca="1">G5</f>
        <v>13.12032214321113</v>
      </c>
      <c r="H43" s="5">
        <f ca="1">H5</f>
        <v>13.382728586075356</v>
      </c>
      <c r="I43" s="5">
        <f ca="1">I5</f>
        <v>13.650383157796869</v>
      </c>
      <c r="J43" s="5">
        <f ca="1">J5</f>
        <v>13.923390820952795</v>
      </c>
      <c r="K43" s="5">
        <f ca="1">K5</f>
        <v>14.201858637371851</v>
      </c>
      <c r="L43" s="5">
        <f ca="1">L5</f>
        <v>14.485895810119297</v>
      </c>
      <c r="M43" s="5">
        <f ca="1">M5</f>
        <v>14.775613726321678</v>
      </c>
      <c r="N43" s="5">
        <f ca="1">N5</f>
        <v>15.071126000848114</v>
      </c>
      <c r="O43" s="5">
        <f ca="1">O5</f>
        <v>15.372548520865074</v>
      </c>
      <c r="P43" s="5">
        <f ca="1">P5</f>
        <v>15.679999491282379</v>
      </c>
      <c r="R43" s="126">
        <f ca="1">SUM(B43:P43)</f>
        <v>205.50597405540137</v>
      </c>
      <c r="T43" s="5"/>
      <c r="U43" s="5"/>
      <c r="V43" s="5"/>
      <c r="W43" s="5"/>
      <c r="X43" s="5"/>
      <c r="Y43" s="5"/>
      <c r="Z43" s="5"/>
      <c r="AA43" s="5"/>
      <c r="AB43" s="5"/>
      <c r="AC43" s="5"/>
      <c r="AD43" s="5"/>
      <c r="AE43" s="5"/>
      <c r="AF43" s="5"/>
      <c r="AG43" s="5"/>
      <c r="AH43" s="5"/>
    </row>
    <row r="44" spans="1:34" x14ac:dyDescent="0.35">
      <c r="A44" t="s">
        <v>511</v>
      </c>
      <c r="B44" s="5">
        <f ca="1">B43</f>
        <v>11.88348</v>
      </c>
      <c r="C44" s="5">
        <f ca="1">B44+C43</f>
        <v>24.004629600000001</v>
      </c>
      <c r="D44" s="5">
        <f t="shared" ref="D44:P44" ca="1" si="10">C44+D43</f>
        <v>36.368202191999998</v>
      </c>
      <c r="E44" s="5">
        <f t="shared" ca="1" si="10"/>
        <v>48.979046235840002</v>
      </c>
      <c r="F44" s="5">
        <f t="shared" ca="1" si="10"/>
        <v>61.8421071605568</v>
      </c>
      <c r="G44" s="5">
        <f t="shared" ca="1" si="10"/>
        <v>74.962429303767934</v>
      </c>
      <c r="H44" s="5">
        <f t="shared" ca="1" si="10"/>
        <v>88.345157889843293</v>
      </c>
      <c r="I44" s="5">
        <f t="shared" ca="1" si="10"/>
        <v>101.99554104764016</v>
      </c>
      <c r="J44" s="5">
        <f t="shared" ca="1" si="10"/>
        <v>115.91893186859295</v>
      </c>
      <c r="K44" s="5">
        <f t="shared" ca="1" si="10"/>
        <v>130.12079050596481</v>
      </c>
      <c r="L44" s="5">
        <f t="shared" ca="1" si="10"/>
        <v>144.60668631608411</v>
      </c>
      <c r="M44" s="5">
        <f t="shared" ca="1" si="10"/>
        <v>159.38230004240577</v>
      </c>
      <c r="N44" s="5">
        <f t="shared" ca="1" si="10"/>
        <v>174.4534260432539</v>
      </c>
      <c r="O44" s="5">
        <f t="shared" ca="1" si="10"/>
        <v>189.82597456411898</v>
      </c>
      <c r="P44" s="5">
        <f t="shared" ca="1" si="10"/>
        <v>205.50597405540137</v>
      </c>
      <c r="R44" s="126">
        <f ca="1">SUM(B44:P44)</f>
        <v>1568.19467682547</v>
      </c>
      <c r="T44" s="5"/>
      <c r="U44" s="5"/>
      <c r="V44" s="5"/>
      <c r="W44" s="5"/>
      <c r="X44" s="5"/>
      <c r="Y44" s="5"/>
      <c r="Z44" s="5"/>
      <c r="AA44" s="5"/>
      <c r="AB44" s="5"/>
      <c r="AC44" s="5"/>
      <c r="AD44" s="5"/>
      <c r="AE44" s="5"/>
      <c r="AF44" s="5"/>
      <c r="AG44" s="5"/>
      <c r="AH44" s="5"/>
    </row>
    <row r="45" spans="1:34" x14ac:dyDescent="0.35">
      <c r="A45" t="s">
        <v>516</v>
      </c>
      <c r="B45">
        <f ca="1">B46</f>
        <v>8.8587083041957716E-7</v>
      </c>
      <c r="C45">
        <f ca="1">C46-B46</f>
        <v>0.92714460877914218</v>
      </c>
      <c r="D45">
        <f t="shared" ref="D45:P45" ca="1" si="11">D46-C46</f>
        <v>1.8443354615251375</v>
      </c>
      <c r="E45">
        <f t="shared" ca="1" si="11"/>
        <v>1.8368613790809798</v>
      </c>
      <c r="F45">
        <f t="shared" ca="1" si="11"/>
        <v>1.9019792730469121</v>
      </c>
      <c r="G45">
        <f t="shared" ca="1" si="11"/>
        <v>2.0967941192078534</v>
      </c>
      <c r="H45">
        <f t="shared" ca="1" si="11"/>
        <v>2.2977692835987149</v>
      </c>
      <c r="I45">
        <f t="shared" ca="1" si="11"/>
        <v>2.387765767926334</v>
      </c>
      <c r="J45">
        <f t="shared" ca="1" si="11"/>
        <v>2.4369353978789992</v>
      </c>
      <c r="K45">
        <f t="shared" ca="1" si="11"/>
        <v>2.5105013001758856</v>
      </c>
      <c r="L45">
        <f t="shared" ca="1" si="11"/>
        <v>2.6096583251719494</v>
      </c>
      <c r="M45">
        <f t="shared" ca="1" si="11"/>
        <v>2.709232072370348</v>
      </c>
      <c r="N45">
        <f t="shared" ca="1" si="11"/>
        <v>2.7835994787746863</v>
      </c>
      <c r="O45">
        <f t="shared" ca="1" si="11"/>
        <v>2.8229463508486816</v>
      </c>
      <c r="P45">
        <f t="shared" ca="1" si="11"/>
        <v>2.8340574465466553</v>
      </c>
      <c r="R45" s="126">
        <f ca="1">SUM(B45:P45)</f>
        <v>31.99958115080311</v>
      </c>
    </row>
    <row r="46" spans="1:34" x14ac:dyDescent="0.35">
      <c r="A46" t="s">
        <v>517</v>
      </c>
      <c r="B46">
        <f ca="1">mineralization!R2</f>
        <v>8.8587083041957716E-7</v>
      </c>
      <c r="C46">
        <f ca="1">mineralization!R3</f>
        <v>0.92714549464997265</v>
      </c>
      <c r="D46">
        <f ca="1">mineralization!R4</f>
        <v>2.7714809561751101</v>
      </c>
      <c r="E46">
        <f ca="1">mineralization!R5</f>
        <v>4.6083423352560899</v>
      </c>
      <c r="F46">
        <f ca="1">mineralization!R6</f>
        <v>6.510321608303002</v>
      </c>
      <c r="G46">
        <f ca="1">mineralization!R7</f>
        <v>8.6071157275108554</v>
      </c>
      <c r="H46">
        <f ca="1">mineralization!R8</f>
        <v>10.90488501110957</v>
      </c>
      <c r="I46">
        <f ca="1">mineralization!R9</f>
        <v>13.292650779035904</v>
      </c>
      <c r="J46">
        <f ca="1">mineralization!R10</f>
        <v>15.729586176914903</v>
      </c>
      <c r="K46">
        <f ca="1">mineralization!R11</f>
        <v>18.240087477090789</v>
      </c>
      <c r="L46">
        <f ca="1">mineralization!R12</f>
        <v>20.849745802262738</v>
      </c>
      <c r="M46">
        <f ca="1">mineralization!R13</f>
        <v>23.558977874633086</v>
      </c>
      <c r="N46">
        <f ca="1">mineralization!R14</f>
        <v>26.342577353407773</v>
      </c>
      <c r="O46">
        <f ca="1">mineralization!R15</f>
        <v>29.165523704256454</v>
      </c>
      <c r="P46">
        <f ca="1">mineralization!R16</f>
        <v>31.99958115080311</v>
      </c>
      <c r="R46" s="126">
        <f ca="1">SUM(B46:P46)</f>
        <v>213.50802233728018</v>
      </c>
    </row>
    <row r="47" spans="1:34" x14ac:dyDescent="0.35">
      <c r="A47" t="s">
        <v>518</v>
      </c>
      <c r="B47">
        <f ca="1">B19</f>
        <v>4.9733099251625395E-7</v>
      </c>
      <c r="C47">
        <f ca="1">C19</f>
        <v>0.52050225222803825</v>
      </c>
      <c r="D47">
        <f ca="1">D19</f>
        <v>1.051869299187804</v>
      </c>
      <c r="E47">
        <f ca="1">E19</f>
        <v>1.0804024541606612</v>
      </c>
      <c r="F47">
        <f ca="1">F19</f>
        <v>1.1495563661392476</v>
      </c>
      <c r="G47">
        <f ca="1">G19</f>
        <v>1.2926781685558979</v>
      </c>
      <c r="H47">
        <f ca="1">H19</f>
        <v>1.4427155323895913</v>
      </c>
      <c r="I47">
        <f ca="1">I19</f>
        <v>1.5340155325020586</v>
      </c>
      <c r="J47">
        <f ca="1">J19</f>
        <v>1.6039922491632035</v>
      </c>
      <c r="K47">
        <f ca="1">K19</f>
        <v>1.6885376710817241</v>
      </c>
      <c r="L47">
        <f ca="1">L19</f>
        <v>1.7887555217885862</v>
      </c>
      <c r="M47">
        <f ca="1">M19</f>
        <v>1.8909669383883163</v>
      </c>
      <c r="N47">
        <f ca="1">N19</f>
        <v>1.980794438460671</v>
      </c>
      <c r="O47">
        <f ca="1">O19</f>
        <v>2.0522809936905775</v>
      </c>
      <c r="P47">
        <f ca="1">P19</f>
        <v>2.1086141250666048</v>
      </c>
      <c r="R47" s="126">
        <f ca="1">SUM(B47:P47)</f>
        <v>21.185682040133972</v>
      </c>
    </row>
    <row r="48" spans="1:34" x14ac:dyDescent="0.35">
      <c r="A48" t="s">
        <v>519</v>
      </c>
      <c r="B48">
        <f ca="1">B47</f>
        <v>4.9733099251625395E-7</v>
      </c>
      <c r="C48">
        <f ca="1">B48+C47</f>
        <v>0.52050274955903075</v>
      </c>
      <c r="D48">
        <f t="shared" ref="D48:P48" ca="1" si="12">C48+D47</f>
        <v>1.5723720487468347</v>
      </c>
      <c r="E48">
        <f t="shared" ca="1" si="12"/>
        <v>2.6527745029074961</v>
      </c>
      <c r="F48">
        <f t="shared" ca="1" si="12"/>
        <v>3.8023308690467434</v>
      </c>
      <c r="G48">
        <f t="shared" ca="1" si="12"/>
        <v>5.0950090376026411</v>
      </c>
      <c r="H48">
        <f t="shared" ca="1" si="12"/>
        <v>6.5377245699922319</v>
      </c>
      <c r="I48">
        <f t="shared" ca="1" si="12"/>
        <v>8.0717401024942905</v>
      </c>
      <c r="J48">
        <f t="shared" ca="1" si="12"/>
        <v>9.6757323516574942</v>
      </c>
      <c r="K48">
        <f t="shared" ca="1" si="12"/>
        <v>11.364270022739218</v>
      </c>
      <c r="L48">
        <f t="shared" ca="1" si="12"/>
        <v>13.153025544527804</v>
      </c>
      <c r="M48">
        <f t="shared" ca="1" si="12"/>
        <v>15.043992482916121</v>
      </c>
      <c r="N48">
        <f t="shared" ca="1" si="12"/>
        <v>17.024786921376791</v>
      </c>
      <c r="O48">
        <f t="shared" ca="1" si="12"/>
        <v>19.077067915067367</v>
      </c>
      <c r="P48">
        <f t="shared" ca="1" si="12"/>
        <v>21.185682040133972</v>
      </c>
      <c r="R48" s="126">
        <f ca="1">SUM(B48:P48)</f>
        <v>134.77701165609903</v>
      </c>
    </row>
    <row r="49" spans="1:18" x14ac:dyDescent="0.35">
      <c r="A49" t="s">
        <v>520</v>
      </c>
      <c r="B49">
        <f ca="1">B25+B26+B20</f>
        <v>1.2697481902680606E-5</v>
      </c>
      <c r="C49">
        <f ca="1">C25+C26+C20</f>
        <v>13.28907315519915</v>
      </c>
      <c r="D49">
        <f ca="1">D25+D26+D20</f>
        <v>26.884844772541751</v>
      </c>
      <c r="E49">
        <f ca="1">E25+E26+E20</f>
        <v>27.671630650182074</v>
      </c>
      <c r="F49">
        <f ca="1">F25+F26+F20</f>
        <v>29.495278977131289</v>
      </c>
      <c r="G49">
        <f ca="1">G25+G26+G20</f>
        <v>33.209478359475106</v>
      </c>
      <c r="H49">
        <f ca="1">H25+H26+H20</f>
        <v>37.106398694791991</v>
      </c>
      <c r="I49">
        <f ca="1">I25+I26+I20</f>
        <v>39.510033463536132</v>
      </c>
      <c r="J49">
        <f ca="1">J25+J26+J20</f>
        <v>41.372102907390982</v>
      </c>
      <c r="K49">
        <f ca="1">K25+K26+K20</f>
        <v>43.607683841243698</v>
      </c>
      <c r="L49">
        <f ca="1">L25+L26+L20</f>
        <v>46.245726863678811</v>
      </c>
      <c r="M49">
        <f ca="1">M25+M26+M20</f>
        <v>48.937802432360535</v>
      </c>
      <c r="N49">
        <f ca="1">N25+N26+N20</f>
        <v>51.316848621682382</v>
      </c>
      <c r="O49">
        <f ca="1">O25+O26+O20</f>
        <v>53.229978289325203</v>
      </c>
      <c r="P49">
        <f ca="1">P25+P26+P20</f>
        <v>54.757465844334973</v>
      </c>
      <c r="R49" s="126">
        <f ca="1">SUM(B49:P49)</f>
        <v>546.63435957035597</v>
      </c>
    </row>
    <row r="50" spans="1:18" x14ac:dyDescent="0.35">
      <c r="A50" t="s">
        <v>521</v>
      </c>
      <c r="B50">
        <f ca="1">B49</f>
        <v>1.2697481902680606E-5</v>
      </c>
      <c r="C50">
        <f ca="1">B50+C49</f>
        <v>13.289085852681053</v>
      </c>
      <c r="D50">
        <f t="shared" ref="D50:O50" ca="1" si="13">C50+D49</f>
        <v>40.173930625222802</v>
      </c>
      <c r="E50">
        <f t="shared" ca="1" si="13"/>
        <v>67.845561275404876</v>
      </c>
      <c r="F50">
        <f t="shared" ca="1" si="13"/>
        <v>97.340840252536168</v>
      </c>
      <c r="G50">
        <f t="shared" ca="1" si="13"/>
        <v>130.55031861201127</v>
      </c>
      <c r="H50">
        <f t="shared" ca="1" si="13"/>
        <v>167.65671730680327</v>
      </c>
      <c r="I50">
        <f t="shared" ca="1" si="13"/>
        <v>207.16675077033941</v>
      </c>
      <c r="J50">
        <f t="shared" ca="1" si="13"/>
        <v>248.5388536777304</v>
      </c>
      <c r="K50">
        <f t="shared" ca="1" si="13"/>
        <v>292.14653751897413</v>
      </c>
      <c r="L50">
        <f t="shared" ca="1" si="13"/>
        <v>338.39226438265291</v>
      </c>
      <c r="M50">
        <f t="shared" ca="1" si="13"/>
        <v>387.33006681501342</v>
      </c>
      <c r="N50">
        <f t="shared" ca="1" si="13"/>
        <v>438.64691543669579</v>
      </c>
      <c r="O50">
        <f t="shared" ca="1" si="13"/>
        <v>491.87689372602097</v>
      </c>
      <c r="P50">
        <f ca="1">O50+P49</f>
        <v>546.63435957035597</v>
      </c>
      <c r="R50" s="126">
        <f ca="1">SUM(B50:P50)</f>
        <v>3467.5891085199246</v>
      </c>
    </row>
    <row r="61" spans="1:18" x14ac:dyDescent="0.35">
      <c r="B61" s="127"/>
      <c r="C61" s="127"/>
      <c r="D61" s="127"/>
      <c r="E61" s="127"/>
      <c r="F61" s="127"/>
      <c r="G61" s="127"/>
      <c r="H61" s="127"/>
      <c r="I61" s="127"/>
      <c r="J61" s="127"/>
      <c r="K61" s="127"/>
      <c r="L61" s="127"/>
      <c r="M61" s="127"/>
      <c r="N61" s="127"/>
      <c r="O61" s="127"/>
      <c r="P61" s="127"/>
    </row>
    <row r="62" spans="1:18" x14ac:dyDescent="0.35">
      <c r="B62" s="127"/>
      <c r="C62" s="127"/>
      <c r="D62" s="127"/>
      <c r="E62" s="127"/>
      <c r="F62" s="127"/>
      <c r="G62" s="127"/>
      <c r="H62" s="127"/>
      <c r="I62" s="127"/>
      <c r="J62" s="127"/>
      <c r="K62" s="127"/>
      <c r="L62" s="127"/>
      <c r="M62" s="127"/>
      <c r="N62" s="127"/>
      <c r="O62" s="127"/>
      <c r="P62" s="127"/>
    </row>
    <row r="65" spans="1:18" x14ac:dyDescent="0.35">
      <c r="A65" t="s">
        <v>524</v>
      </c>
      <c r="B65" s="5"/>
      <c r="C65" s="5"/>
      <c r="D65" s="5"/>
      <c r="E65" s="5"/>
      <c r="F65" s="5"/>
      <c r="G65" s="5"/>
      <c r="H65" s="5"/>
      <c r="I65" s="5"/>
      <c r="J65" s="5"/>
      <c r="K65" s="5"/>
      <c r="L65" s="5"/>
      <c r="M65" s="5"/>
      <c r="N65" s="5"/>
      <c r="O65" s="5"/>
      <c r="P65" s="5"/>
      <c r="R65" s="126">
        <f>SUM(B65:P65)</f>
        <v>0</v>
      </c>
    </row>
    <row r="66" spans="1:18" x14ac:dyDescent="0.35">
      <c r="A66" t="s">
        <v>525</v>
      </c>
      <c r="B66" s="5"/>
      <c r="C66" s="5"/>
      <c r="D66" s="5"/>
      <c r="E66" s="5"/>
      <c r="F66" s="5"/>
      <c r="G66" s="5"/>
      <c r="H66" s="5"/>
      <c r="I66" s="5"/>
      <c r="J66" s="5"/>
      <c r="K66" s="5"/>
      <c r="L66" s="5"/>
      <c r="M66" s="5"/>
      <c r="N66" s="5"/>
      <c r="O66" s="5"/>
      <c r="P66" s="5"/>
      <c r="R66" s="126">
        <f>SUM(B66:P66)</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FCC24-C921-4A39-AA3C-40B35EA875FC}">
  <dimension ref="A1:R16"/>
  <sheetViews>
    <sheetView workbookViewId="0">
      <selection activeCell="G5" sqref="G5"/>
    </sheetView>
  </sheetViews>
  <sheetFormatPr defaultRowHeight="14.5" x14ac:dyDescent="0.35"/>
  <cols>
    <col min="2" max="3" width="11.81640625" bestFit="1" customWidth="1"/>
  </cols>
  <sheetData>
    <row r="1" spans="1:18" x14ac:dyDescent="0.35">
      <c r="B1">
        <v>2022</v>
      </c>
      <c r="C1">
        <v>2023</v>
      </c>
      <c r="D1">
        <v>2024</v>
      </c>
      <c r="E1">
        <v>2025</v>
      </c>
      <c r="F1">
        <v>2026</v>
      </c>
      <c r="G1">
        <v>2027</v>
      </c>
      <c r="H1">
        <v>2028</v>
      </c>
      <c r="I1">
        <v>2029</v>
      </c>
      <c r="J1">
        <v>2030</v>
      </c>
      <c r="K1">
        <v>2031</v>
      </c>
      <c r="L1">
        <v>2032</v>
      </c>
      <c r="M1">
        <v>2033</v>
      </c>
      <c r="N1">
        <v>2034</v>
      </c>
      <c r="O1">
        <v>2035</v>
      </c>
      <c r="P1">
        <v>2036</v>
      </c>
    </row>
    <row r="2" spans="1:18" x14ac:dyDescent="0.35">
      <c r="A2">
        <v>2022</v>
      </c>
      <c r="B2">
        <f ca="1">Solution_CC!B$18*(0*EXP(0*($A2-B$1))+(1)*EXP(-0.03212*($A2-B$1)))</f>
        <v>8.8587083041957716E-7</v>
      </c>
      <c r="R2">
        <f ca="1">SUM(B2:P2)</f>
        <v>8.8587083041957716E-7</v>
      </c>
    </row>
    <row r="3" spans="1:18" x14ac:dyDescent="0.35">
      <c r="A3">
        <v>2023</v>
      </c>
      <c r="B3">
        <f ca="1">Solution_CC!B$18*(0*EXP(0*($A3-B$1))+(1)*EXP(-0.03212*($A3-B$1)))</f>
        <v>8.5786877970285842E-7</v>
      </c>
      <c r="C3">
        <f ca="1">Solution_CC!C$18*(0*EXP(0*($A3-C$1))+(1)*EXP(-0.03212*($A3-C$1)))</f>
        <v>0.92714463678119297</v>
      </c>
      <c r="R3">
        <f t="shared" ref="R3:R16" ca="1" si="0">SUM(B3:P3)</f>
        <v>0.92714549464997265</v>
      </c>
    </row>
    <row r="4" spans="1:18" x14ac:dyDescent="0.35">
      <c r="A4">
        <v>2024</v>
      </c>
      <c r="B4">
        <f ca="1">Solution_CC!B$18*(0*EXP(0*($A4-B$1))+(1)*EXP(-0.03212*($A4-B$1)))</f>
        <v>8.3075186349719524E-7</v>
      </c>
      <c r="C4">
        <f ca="1">Solution_CC!C$18*(0*EXP(0*($A4-C$1))+(1)*EXP(-0.03212*($A4-C$1)))</f>
        <v>0.8978379362449711</v>
      </c>
      <c r="D4">
        <f ca="1">Solution_CC!D$18*(0*EXP(0*($A4-D$1))+(1)*EXP(-0.03212*($A4-D$1)))</f>
        <v>1.8736421891782753</v>
      </c>
      <c r="R4">
        <f t="shared" ca="1" si="0"/>
        <v>2.7714809561751101</v>
      </c>
    </row>
    <row r="5" spans="1:18" x14ac:dyDescent="0.35">
      <c r="A5">
        <v>2025</v>
      </c>
      <c r="B5">
        <f ca="1">Solution_CC!B$18*(0*EXP(0*($A5-B$1))+(1)*EXP(-0.03212*($A5-B$1)))</f>
        <v>8.0449210302665457E-7</v>
      </c>
      <c r="C5">
        <f ca="1">Solution_CC!C$18*(0*EXP(0*($A5-C$1))+(1)*EXP(-0.03212*($A5-C$1)))</f>
        <v>0.86945760972014596</v>
      </c>
      <c r="D5">
        <f ca="1">Solution_CC!D$18*(0*EXP(0*($A5-D$1))+(1)*EXP(-0.03212*($A5-D$1)))</f>
        <v>1.8144170495701628</v>
      </c>
      <c r="E5">
        <f ca="1">Solution_CC!E$18*(0*EXP(0*($A5-E$1))+(1)*EXP(-0.03212*($A5-E$1)))</f>
        <v>1.9244668714736775</v>
      </c>
      <c r="R5">
        <f t="shared" ca="1" si="0"/>
        <v>4.6083423352560899</v>
      </c>
    </row>
    <row r="6" spans="1:18" x14ac:dyDescent="0.35">
      <c r="A6">
        <v>2026</v>
      </c>
      <c r="B6">
        <f ca="1">Solution_CC!B$18*(0*EXP(0*($A6-B$1))+(1)*EXP(-0.03212*($A6-B$1)))</f>
        <v>7.7906240391410755E-7</v>
      </c>
      <c r="C6">
        <f ca="1">Solution_CC!C$18*(0*EXP(0*($A6-C$1))+(1)*EXP(-0.03212*($A6-C$1)))</f>
        <v>0.84197437486536553</v>
      </c>
      <c r="D6">
        <f ca="1">Solution_CC!D$18*(0*EXP(0*($A6-D$1))+(1)*EXP(-0.03212*($A6-D$1)))</f>
        <v>1.757063994814676</v>
      </c>
      <c r="E6">
        <f ca="1">Solution_CC!E$18*(0*EXP(0*($A6-E$1))+(1)*EXP(-0.03212*($A6-E$1)))</f>
        <v>1.8636351823750226</v>
      </c>
      <c r="F6">
        <f ca="1">Solution_CC!F$18*(0*EXP(0*($A6-F$1))+(1)*EXP(-0.03212*($A6-F$1)))</f>
        <v>2.0476472771855345</v>
      </c>
      <c r="R6">
        <f t="shared" ca="1" si="0"/>
        <v>6.510321608303002</v>
      </c>
    </row>
    <row r="7" spans="1:18" x14ac:dyDescent="0.35">
      <c r="A7">
        <v>2027</v>
      </c>
      <c r="B7">
        <f ca="1">Solution_CC!B$18*(0*EXP(0*($A7-B$1))+(1)*EXP(-0.03212*($A7-B$1)))</f>
        <v>7.5443652822570821E-7</v>
      </c>
      <c r="C7">
        <f ca="1">Solution_CC!C$18*(0*EXP(0*($A7-C$1))+(1)*EXP(-0.03212*($A7-C$1)))</f>
        <v>0.81535987494330509</v>
      </c>
      <c r="D7">
        <f ca="1">Solution_CC!D$18*(0*EXP(0*($A7-D$1))+(1)*EXP(-0.03212*($A7-D$1)))</f>
        <v>1.7015238489990412</v>
      </c>
      <c r="E7">
        <f ca="1">Solution_CC!E$18*(0*EXP(0*($A7-E$1))+(1)*EXP(-0.03212*($A7-E$1)))</f>
        <v>1.8047263605667578</v>
      </c>
      <c r="F7">
        <f ca="1">Solution_CC!F$18*(0*EXP(0*($A7-F$1))+(1)*EXP(-0.03212*($A7-F$1)))</f>
        <v>1.9829219008250294</v>
      </c>
      <c r="G7">
        <f ca="1">Solution_CC!G$18*(0*EXP(0*($A7-G$1))+(1)*EXP(-0.03212*($A7-G$1)))</f>
        <v>2.3025829877401929</v>
      </c>
      <c r="R7">
        <f t="shared" ca="1" si="0"/>
        <v>8.6071157275108554</v>
      </c>
    </row>
    <row r="8" spans="1:18" x14ac:dyDescent="0.35">
      <c r="A8">
        <v>2028</v>
      </c>
      <c r="B8">
        <f ca="1">Solution_CC!B$18*(0*EXP(0*($A8-B$1))+(1)*EXP(-0.03212*($A8-B$1)))</f>
        <v>7.305890673990372E-7</v>
      </c>
      <c r="C8">
        <f ca="1">Solution_CC!C$18*(0*EXP(0*($A8-C$1))+(1)*EXP(-0.03212*($A8-C$1)))</f>
        <v>0.78958664956266367</v>
      </c>
      <c r="D8">
        <f ca="1">Solution_CC!D$18*(0*EXP(0*($A8-D$1))+(1)*EXP(-0.03212*($A8-D$1)))</f>
        <v>1.6477393067392956</v>
      </c>
      <c r="E8">
        <f ca="1">Solution_CC!E$18*(0*EXP(0*($A8-E$1))+(1)*EXP(-0.03212*($A8-E$1)))</f>
        <v>1.7476796249219528</v>
      </c>
      <c r="F8">
        <f ca="1">Solution_CC!F$18*(0*EXP(0*($A8-F$1))+(1)*EXP(-0.03212*($A8-F$1)))</f>
        <v>1.9202424697753631</v>
      </c>
      <c r="G8">
        <f ca="1">Solution_CC!G$18*(0*EXP(0*($A8-G$1))+(1)*EXP(-0.03212*($A8-G$1)))</f>
        <v>2.2297991874522705</v>
      </c>
      <c r="H8">
        <f ca="1">Solution_CC!H$18*(0*EXP(0*($A8-H$1))+(1)*EXP(-0.03212*($A8-H$1)))</f>
        <v>2.5698370420689587</v>
      </c>
      <c r="R8">
        <f t="shared" ca="1" si="0"/>
        <v>10.90488501110957</v>
      </c>
    </row>
    <row r="9" spans="1:18" x14ac:dyDescent="0.35">
      <c r="A9">
        <v>2029</v>
      </c>
      <c r="B9">
        <f ca="1">Solution_CC!B$18*(0*EXP(0*($A9-B$1))+(1)*EXP(-0.03212*($A9-B$1)))</f>
        <v>7.0749541602697598E-7</v>
      </c>
      <c r="C9">
        <f ca="1">Solution_CC!C$18*(0*EXP(0*($A9-C$1))+(1)*EXP(-0.03212*($A9-C$1)))</f>
        <v>0.76462810634499656</v>
      </c>
      <c r="D9">
        <f ca="1">Solution_CC!D$18*(0*EXP(0*($A9-D$1))+(1)*EXP(-0.03212*($A9-D$1)))</f>
        <v>1.5956548740535608</v>
      </c>
      <c r="E9">
        <f ca="1">Solution_CC!E$18*(0*EXP(0*($A9-E$1))+(1)*EXP(-0.03212*($A9-E$1)))</f>
        <v>1.692436115582717</v>
      </c>
      <c r="F9">
        <f ca="1">Solution_CC!F$18*(0*EXP(0*($A9-F$1))+(1)*EXP(-0.03212*($A9-F$1)))</f>
        <v>1.8595443124587041</v>
      </c>
      <c r="G9">
        <f ca="1">Solution_CC!G$18*(0*EXP(0*($A9-G$1))+(1)*EXP(-0.03212*($A9-G$1)))</f>
        <v>2.1593160562879183</v>
      </c>
      <c r="H9">
        <f ca="1">Solution_CC!H$18*(0*EXP(0*($A9-H$1))+(1)*EXP(-0.03212*($A9-H$1)))</f>
        <v>2.488605439543301</v>
      </c>
      <c r="I9">
        <f ca="1">Solution_CC!I$18*(0*EXP(0*($A9-I$1))+(1)*EXP(-0.03212*($A9-I$1)))</f>
        <v>2.7324651672692912</v>
      </c>
      <c r="R9">
        <f t="shared" ca="1" si="0"/>
        <v>13.292650779035904</v>
      </c>
    </row>
    <row r="10" spans="1:18" x14ac:dyDescent="0.35">
      <c r="A10">
        <v>2030</v>
      </c>
      <c r="B10">
        <f ca="1">Solution_CC!B$18*(0*EXP(0*($A10-B$1))+(1)*EXP(-0.03212*($A10-B$1)))</f>
        <v>6.8513174647026409E-7</v>
      </c>
      <c r="C10">
        <f ca="1">Solution_CC!C$18*(0*EXP(0*($A10-C$1))+(1)*EXP(-0.03212*($A10-C$1)))</f>
        <v>0.74045849348714887</v>
      </c>
      <c r="D10">
        <f ca="1">Solution_CC!D$18*(0*EXP(0*($A10-D$1))+(1)*EXP(-0.03212*($A10-D$1)))</f>
        <v>1.5452168111042881</v>
      </c>
      <c r="E10">
        <f ca="1">Solution_CC!E$18*(0*EXP(0*($A10-E$1))+(1)*EXP(-0.03212*($A10-E$1)))</f>
        <v>1.638938833229592</v>
      </c>
      <c r="F10">
        <f ca="1">Solution_CC!F$18*(0*EXP(0*($A10-F$1))+(1)*EXP(-0.03212*($A10-F$1)))</f>
        <v>1.8007648015419806</v>
      </c>
      <c r="G10">
        <f ca="1">Solution_CC!G$18*(0*EXP(0*($A10-G$1))+(1)*EXP(-0.03212*($A10-G$1)))</f>
        <v>2.0910608709433904</v>
      </c>
      <c r="H10">
        <f ca="1">Solution_CC!H$18*(0*EXP(0*($A10-H$1))+(1)*EXP(-0.03212*($A10-H$1)))</f>
        <v>2.4099415380589417</v>
      </c>
      <c r="I10">
        <f ca="1">Solution_CC!I$18*(0*EXP(0*($A10-I$1))+(1)*EXP(-0.03212*($A10-I$1)))</f>
        <v>2.6460929495958614</v>
      </c>
      <c r="J10">
        <f ca="1">Solution_CC!J$18*(0*EXP(0*($A10-J$1))+(1)*EXP(-0.03212*($A10-J$1)))</f>
        <v>2.8571111938219556</v>
      </c>
      <c r="R10">
        <f t="shared" ca="1" si="0"/>
        <v>15.729586176914903</v>
      </c>
    </row>
    <row r="11" spans="1:18" x14ac:dyDescent="0.35">
      <c r="A11">
        <v>2031</v>
      </c>
      <c r="B11">
        <f ca="1">Solution_CC!B$18*(0*EXP(0*($A11-B$1))+(1)*EXP(-0.03212*($A11-B$1)))</f>
        <v>6.634749842725432E-7</v>
      </c>
      <c r="C11">
        <f ca="1">Solution_CC!C$18*(0*EXP(0*($A11-C$1))+(1)*EXP(-0.03212*($A11-C$1)))</f>
        <v>0.71705287319098021</v>
      </c>
      <c r="D11">
        <f ca="1">Solution_CC!D$18*(0*EXP(0*($A11-D$1))+(1)*EXP(-0.03212*($A11-D$1)))</f>
        <v>1.4963730767504038</v>
      </c>
      <c r="E11">
        <f ca="1">Solution_CC!E$18*(0*EXP(0*($A11-E$1))+(1)*EXP(-0.03212*($A11-E$1)))</f>
        <v>1.587132580270616</v>
      </c>
      <c r="F11">
        <f ca="1">Solution_CC!F$18*(0*EXP(0*($A11-F$1))+(1)*EXP(-0.03212*($A11-F$1)))</f>
        <v>1.7438432893190561</v>
      </c>
      <c r="G11">
        <f ca="1">Solution_CC!G$18*(0*EXP(0*($A11-G$1))+(1)*EXP(-0.03212*($A11-G$1)))</f>
        <v>2.02496320687179</v>
      </c>
      <c r="H11">
        <f ca="1">Solution_CC!H$18*(0*EXP(0*($A11-H$1))+(1)*EXP(-0.03212*($A11-H$1)))</f>
        <v>2.3337641735315517</v>
      </c>
      <c r="I11">
        <f ca="1">Solution_CC!I$18*(0*EXP(0*($A11-I$1))+(1)*EXP(-0.03212*($A11-I$1)))</f>
        <v>2.5624509259154555</v>
      </c>
      <c r="J11">
        <f ca="1">Solution_CC!J$18*(0*EXP(0*($A11-J$1))+(1)*EXP(-0.03212*($A11-J$1)))</f>
        <v>2.7667989611516304</v>
      </c>
      <c r="K11">
        <f ca="1">Solution_CC!K$18*(0*EXP(0*($A11-K$1))+(1)*EXP(-0.03212*($A11-K$1)))</f>
        <v>3.0077077266143206</v>
      </c>
      <c r="R11">
        <f t="shared" ca="1" si="0"/>
        <v>18.240087477090789</v>
      </c>
    </row>
    <row r="12" spans="1:18" x14ac:dyDescent="0.35">
      <c r="A12">
        <v>2032</v>
      </c>
      <c r="B12">
        <f ca="1">Solution_CC!B$18*(0*EXP(0*($A12-B$1))+(1)*EXP(-0.03212*($A12-B$1)))</f>
        <v>6.4250278435252286E-7</v>
      </c>
      <c r="C12">
        <f ca="1">Solution_CC!C$18*(0*EXP(0*($A12-C$1))+(1)*EXP(-0.03212*($A12-C$1)))</f>
        <v>0.69438709593296555</v>
      </c>
      <c r="D12">
        <f ca="1">Solution_CC!D$18*(0*EXP(0*($A12-D$1))+(1)*EXP(-0.03212*($A12-D$1)))</f>
        <v>1.4490732748521393</v>
      </c>
      <c r="E12">
        <f ca="1">Solution_CC!E$18*(0*EXP(0*($A12-E$1))+(1)*EXP(-0.03212*($A12-E$1)))</f>
        <v>1.5369639038893823</v>
      </c>
      <c r="F12">
        <f ca="1">Solution_CC!F$18*(0*EXP(0*($A12-F$1))+(1)*EXP(-0.03212*($A12-F$1)))</f>
        <v>1.6887210451354502</v>
      </c>
      <c r="G12">
        <f ca="1">Solution_CC!G$18*(0*EXP(0*($A12-G$1))+(1)*EXP(-0.03212*($A12-G$1)))</f>
        <v>1.9609548656202145</v>
      </c>
      <c r="H12">
        <f ca="1">Solution_CC!H$18*(0*EXP(0*($A12-H$1))+(1)*EXP(-0.03212*($A12-H$1)))</f>
        <v>2.2599947474436202</v>
      </c>
      <c r="I12">
        <f ca="1">Solution_CC!I$18*(0*EXP(0*($A12-I$1))+(1)*EXP(-0.03212*($A12-I$1)))</f>
        <v>2.4814527958013821</v>
      </c>
      <c r="J12">
        <f ca="1">Solution_CC!J$18*(0*EXP(0*($A12-J$1))+(1)*EXP(-0.03212*($A12-J$1)))</f>
        <v>2.6793414648974223</v>
      </c>
      <c r="K12">
        <f ca="1">Solution_CC!K$18*(0*EXP(0*($A12-K$1))+(1)*EXP(-0.03212*($A12-K$1)))</f>
        <v>2.9126351930014569</v>
      </c>
      <c r="L12">
        <f ca="1">Solution_CC!L$18*(0*EXP(0*($A12-L$1))+(1)*EXP(-0.03212*($A12-L$1)))</f>
        <v>3.1862207731859189</v>
      </c>
      <c r="R12">
        <f t="shared" ca="1" si="0"/>
        <v>20.849745802262738</v>
      </c>
    </row>
    <row r="13" spans="1:18" x14ac:dyDescent="0.35">
      <c r="A13">
        <v>2033</v>
      </c>
      <c r="B13">
        <f ca="1">Solution_CC!B$18*(0*EXP(0*($A13-B$1))+(1)*EXP(-0.03212*($A13-B$1)))</f>
        <v>6.2219350794870327E-7</v>
      </c>
      <c r="C13">
        <f ca="1">Solution_CC!C$18*(0*EXP(0*($A13-C$1))+(1)*EXP(-0.03212*($A13-C$1)))</f>
        <v>0.67243777554712503</v>
      </c>
      <c r="D13">
        <f ca="1">Solution_CC!D$18*(0*EXP(0*($A13-D$1))+(1)*EXP(-0.03212*($A13-D$1)))</f>
        <v>1.4032686022731442</v>
      </c>
      <c r="E13">
        <f ca="1">Solution_CC!E$18*(0*EXP(0*($A13-E$1))+(1)*EXP(-0.03212*($A13-E$1)))</f>
        <v>1.4883810408933267</v>
      </c>
      <c r="F13">
        <f ca="1">Solution_CC!F$18*(0*EXP(0*($A13-F$1))+(1)*EXP(-0.03212*($A13-F$1)))</f>
        <v>1.6353411947910426</v>
      </c>
      <c r="G13">
        <f ca="1">Solution_CC!G$18*(0*EXP(0*($A13-G$1))+(1)*EXP(-0.03212*($A13-G$1)))</f>
        <v>1.8989698044637409</v>
      </c>
      <c r="H13">
        <f ca="1">Solution_CC!H$18*(0*EXP(0*($A13-H$1))+(1)*EXP(-0.03212*($A13-H$1)))</f>
        <v>2.1885571457478288</v>
      </c>
      <c r="I13">
        <f ca="1">Solution_CC!I$18*(0*EXP(0*($A13-I$1))+(1)*EXP(-0.03212*($A13-I$1)))</f>
        <v>2.4030149867516553</v>
      </c>
      <c r="J13">
        <f ca="1">Solution_CC!J$18*(0*EXP(0*($A13-J$1))+(1)*EXP(-0.03212*($A13-J$1)))</f>
        <v>2.5946484678925095</v>
      </c>
      <c r="K13">
        <f ca="1">Solution_CC!K$18*(0*EXP(0*($A13-K$1))+(1)*EXP(-0.03212*($A13-K$1)))</f>
        <v>2.8205678671644643</v>
      </c>
      <c r="L13">
        <f ca="1">Solution_CC!L$18*(0*EXP(0*($A13-L$1))+(1)*EXP(-0.03212*($A13-L$1)))</f>
        <v>3.0855055079105549</v>
      </c>
      <c r="M13">
        <f ca="1">Solution_CC!M$18*(0*EXP(0*($A13-M$1))+(1)*EXP(-0.03212*($A13-M$1)))</f>
        <v>3.3682848590041878</v>
      </c>
      <c r="R13">
        <f t="shared" ca="1" si="0"/>
        <v>23.558977874633086</v>
      </c>
    </row>
    <row r="14" spans="1:18" x14ac:dyDescent="0.35">
      <c r="A14">
        <v>2034</v>
      </c>
      <c r="B14">
        <f ca="1">Solution_CC!B$18*(0*EXP(0*($A14-B$1))+(1)*EXP(-0.03212*($A14-B$1)))</f>
        <v>6.0252620029286737E-7</v>
      </c>
      <c r="C14">
        <f ca="1">Solution_CC!C$18*(0*EXP(0*($A14-C$1))+(1)*EXP(-0.03212*($A14-C$1)))</f>
        <v>0.65118226509557342</v>
      </c>
      <c r="D14">
        <f ca="1">Solution_CC!D$18*(0*EXP(0*($A14-D$1))+(1)*EXP(-0.03212*($A14-D$1)))</f>
        <v>1.3589117985262364</v>
      </c>
      <c r="E14">
        <f ca="1">Solution_CC!E$18*(0*EXP(0*($A14-E$1))+(1)*EXP(-0.03212*($A14-E$1)))</f>
        <v>1.4413338643053388</v>
      </c>
      <c r="F14">
        <f ca="1">Solution_CC!F$18*(0*EXP(0*($A14-F$1))+(1)*EXP(-0.03212*($A14-F$1)))</f>
        <v>1.5836486618582344</v>
      </c>
      <c r="G14">
        <f ca="1">Solution_CC!G$18*(0*EXP(0*($A14-G$1))+(1)*EXP(-0.03212*($A14-G$1)))</f>
        <v>1.8389440682636613</v>
      </c>
      <c r="H14">
        <f ca="1">Solution_CC!H$18*(0*EXP(0*($A14-H$1))+(1)*EXP(-0.03212*($A14-H$1)))</f>
        <v>2.1193776603338641</v>
      </c>
      <c r="I14">
        <f ca="1">Solution_CC!I$18*(0*EXP(0*($A14-I$1))+(1)*EXP(-0.03212*($A14-I$1)))</f>
        <v>2.3270565679603012</v>
      </c>
      <c r="J14">
        <f ca="1">Solution_CC!J$18*(0*EXP(0*($A14-J$1))+(1)*EXP(-0.03212*($A14-J$1)))</f>
        <v>2.5126325853336824</v>
      </c>
      <c r="K14">
        <f ca="1">Solution_CC!K$18*(0*EXP(0*($A14-K$1))+(1)*EXP(-0.03212*($A14-K$1)))</f>
        <v>2.7314107555922522</v>
      </c>
      <c r="L14">
        <f ca="1">Solution_CC!L$18*(0*EXP(0*($A14-L$1))+(1)*EXP(-0.03212*($A14-L$1)))</f>
        <v>2.9879738150809083</v>
      </c>
      <c r="M14">
        <f ca="1">Solution_CC!M$18*(0*EXP(0*($A14-M$1))+(1)*EXP(-0.03212*($A14-M$1)))</f>
        <v>3.2618146150234502</v>
      </c>
      <c r="N14">
        <f ca="1">Solution_CC!N$18*(0*EXP(0*($A14-N$1))+(1)*EXP(-0.03212*($A14-N$1)))</f>
        <v>3.5282900935080694</v>
      </c>
      <c r="R14">
        <f t="shared" ca="1" si="0"/>
        <v>26.342577353407773</v>
      </c>
    </row>
    <row r="15" spans="1:18" x14ac:dyDescent="0.35">
      <c r="A15">
        <v>2035</v>
      </c>
      <c r="B15">
        <f ca="1">Solution_CC!B$18*(0*EXP(0*($A15-B$1))+(1)*EXP(-0.03212*($A15-B$1)))</f>
        <v>5.8348056898930412E-7</v>
      </c>
      <c r="C15">
        <f ca="1">Solution_CC!C$18*(0*EXP(0*($A15-C$1))+(1)*EXP(-0.03212*($A15-C$1)))</f>
        <v>0.63059863350179179</v>
      </c>
      <c r="D15">
        <f ca="1">Solution_CC!D$18*(0*EXP(0*($A15-D$1))+(1)*EXP(-0.03212*($A15-D$1)))</f>
        <v>1.315957097010829</v>
      </c>
      <c r="E15">
        <f ca="1">Solution_CC!E$18*(0*EXP(0*($A15-E$1))+(1)*EXP(-0.03212*($A15-E$1)))</f>
        <v>1.3957738316435948</v>
      </c>
      <c r="F15">
        <f ca="1">Solution_CC!F$18*(0*EXP(0*($A15-F$1))+(1)*EXP(-0.03212*($A15-F$1)))</f>
        <v>1.5335901108550205</v>
      </c>
      <c r="G15">
        <f ca="1">Solution_CC!G$18*(0*EXP(0*($A15-G$1))+(1)*EXP(-0.03212*($A15-G$1)))</f>
        <v>1.7808157234796493</v>
      </c>
      <c r="H15">
        <f ca="1">Solution_CC!H$18*(0*EXP(0*($A15-H$1))+(1)*EXP(-0.03212*($A15-H$1)))</f>
        <v>2.0523849129776375</v>
      </c>
      <c r="I15">
        <f ca="1">Solution_CC!I$18*(0*EXP(0*($A15-I$1))+(1)*EXP(-0.03212*($A15-I$1)))</f>
        <v>2.2534991668143185</v>
      </c>
      <c r="J15">
        <f ca="1">Solution_CC!J$18*(0*EXP(0*($A15-J$1))+(1)*EXP(-0.03212*($A15-J$1)))</f>
        <v>2.4332091946191814</v>
      </c>
      <c r="K15">
        <f ca="1">Solution_CC!K$18*(0*EXP(0*($A15-K$1))+(1)*EXP(-0.03212*($A15-K$1)))</f>
        <v>2.6450718674836335</v>
      </c>
      <c r="L15">
        <f ca="1">Solution_CC!L$18*(0*EXP(0*($A15-L$1))+(1)*EXP(-0.03212*($A15-L$1)))</f>
        <v>2.8935250631443599</v>
      </c>
      <c r="M15">
        <f ca="1">Solution_CC!M$18*(0*EXP(0*($A15-M$1))+(1)*EXP(-0.03212*($A15-M$1)))</f>
        <v>3.1587098562459657</v>
      </c>
      <c r="N15">
        <f ca="1">Solution_CC!N$18*(0*EXP(0*($A15-N$1))+(1)*EXP(-0.03212*($A15-N$1)))</f>
        <v>3.4167621429885626</v>
      </c>
      <c r="O15">
        <f ca="1">Solution_CC!O$18*(0*EXP(0*($A15-O$1))+(1)*EXP(-0.03212*($A15-O$1)))</f>
        <v>3.6556255200113399</v>
      </c>
      <c r="R15">
        <f t="shared" ca="1" si="0"/>
        <v>29.165523704256454</v>
      </c>
    </row>
    <row r="16" spans="1:18" x14ac:dyDescent="0.35">
      <c r="A16">
        <v>2036</v>
      </c>
      <c r="B16">
        <f ca="1">Solution_CC!B$18*(0*EXP(0*($A16-B$1))+(1)*EXP(-0.03212*($A16-B$1)))</f>
        <v>5.6503696307745823E-7</v>
      </c>
      <c r="C16">
        <f ca="1">Solution_CC!C$18*(0*EXP(0*($A16-C$1))+(1)*EXP(-0.03212*($A16-C$1)))</f>
        <v>0.61066564292251369</v>
      </c>
      <c r="D16">
        <f ca="1">Solution_CC!D$18*(0*EXP(0*($A16-D$1))+(1)*EXP(-0.03212*($A16-D$1)))</f>
        <v>1.2743601777917257</v>
      </c>
      <c r="E16">
        <f ca="1">Solution_CC!E$18*(0*EXP(0*($A16-E$1))+(1)*EXP(-0.03212*($A16-E$1)))</f>
        <v>1.3516539348362453</v>
      </c>
      <c r="F16">
        <f ca="1">Solution_CC!F$18*(0*EXP(0*($A16-F$1))+(1)*EXP(-0.03212*($A16-F$1)))</f>
        <v>1.4851138922143403</v>
      </c>
      <c r="G16">
        <f ca="1">Solution_CC!G$18*(0*EXP(0*($A16-G$1))+(1)*EXP(-0.03212*($A16-G$1)))</f>
        <v>1.7245247942677815</v>
      </c>
      <c r="H16">
        <f ca="1">Solution_CC!H$18*(0*EXP(0*($A16-H$1))+(1)*EXP(-0.03212*($A16-H$1)))</f>
        <v>1.9875097816944369</v>
      </c>
      <c r="I16">
        <f ca="1">Solution_CC!I$18*(0*EXP(0*($A16-I$1))+(1)*EXP(-0.03212*($A16-I$1)))</f>
        <v>2.1822668880301412</v>
      </c>
      <c r="J16">
        <f ca="1">Solution_CC!J$18*(0*EXP(0*($A16-J$1))+(1)*EXP(-0.03212*($A16-J$1)))</f>
        <v>2.3562963480365235</v>
      </c>
      <c r="K16">
        <f ca="1">Solution_CC!K$18*(0*EXP(0*($A16-K$1))+(1)*EXP(-0.03212*($A16-K$1)))</f>
        <v>2.5614621198327692</v>
      </c>
      <c r="L16">
        <f ca="1">Solution_CC!L$18*(0*EXP(0*($A16-L$1))+(1)*EXP(-0.03212*($A16-L$1)))</f>
        <v>2.802061801474609</v>
      </c>
      <c r="M16">
        <f ca="1">Solution_CC!M$18*(0*EXP(0*($A16-M$1))+(1)*EXP(-0.03212*($A16-M$1)))</f>
        <v>3.0588642009238391</v>
      </c>
      <c r="N16">
        <f ca="1">Solution_CC!N$18*(0*EXP(0*($A16-N$1))+(1)*EXP(-0.03212*($A16-N$1)))</f>
        <v>3.3087595499134363</v>
      </c>
      <c r="O16">
        <f ca="1">Solution_CC!O$18*(0*EXP(0*($A16-O$1))+(1)*EXP(-0.03212*($A16-O$1)))</f>
        <v>3.5400725435529039</v>
      </c>
      <c r="P16">
        <f ca="1">Solution_CC!P$18*(0*EXP(0*($A16-P$1))+(1)*EXP(-0.03212*($A16-P$1)))</f>
        <v>3.7559689102748886</v>
      </c>
      <c r="R16">
        <f t="shared" ca="1" si="0"/>
        <v>31.99958115080311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40" sqref="F40"/>
    </sheetView>
  </sheetViews>
  <sheetFormatPr defaultColWidth="10.90625" defaultRowHeight="14.5" x14ac:dyDescent="0.35"/>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tint="0.79998168889431442"/>
  </sheetPr>
  <dimension ref="A1"/>
  <sheetViews>
    <sheetView workbookViewId="0">
      <selection activeCell="E44" sqref="E44"/>
    </sheetView>
  </sheetViews>
  <sheetFormatPr defaultColWidth="10.81640625" defaultRowHeight="14.5" x14ac:dyDescent="0.35"/>
  <sheetData/>
  <pageMargins left="0.7" right="0.7" top="0.78740157499999996" bottom="0.78740157499999996"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70" zoomScaleNormal="70" workbookViewId="0">
      <pane xSplit="4" ySplit="13" topLeftCell="J14" activePane="bottomRight" state="frozen"/>
      <selection pane="topRight" activeCell="E1" sqref="E1"/>
      <selection pane="bottomLeft" activeCell="A14" sqref="A14"/>
      <selection pane="bottomRight" activeCell="M24" sqref="E23:M24"/>
    </sheetView>
  </sheetViews>
  <sheetFormatPr defaultColWidth="10.81640625" defaultRowHeight="14.5" x14ac:dyDescent="0.35"/>
  <cols>
    <col min="2" max="2" width="7.26953125" customWidth="1"/>
    <col min="3" max="3" width="10.7265625" customWidth="1"/>
    <col min="4" max="4" width="26.1796875" customWidth="1"/>
    <col min="5" max="5" width="40" customWidth="1"/>
    <col min="6" max="7" width="16.453125" customWidth="1"/>
    <col min="8" max="8" width="26.453125" customWidth="1"/>
    <col min="9" max="9" width="40.1796875" customWidth="1"/>
    <col min="10" max="10" width="30.453125" customWidth="1"/>
    <col min="11" max="11" width="32.26953125" customWidth="1"/>
    <col min="12" max="12" width="23.1796875" customWidth="1"/>
    <col min="13" max="14" width="20.26953125" customWidth="1"/>
    <col min="23" max="23" width="15.453125" customWidth="1"/>
    <col min="24" max="24" width="13" customWidth="1"/>
    <col min="25" max="25" width="15.7265625" customWidth="1"/>
  </cols>
  <sheetData>
    <row r="1" spans="1:25" x14ac:dyDescent="0.35">
      <c r="A1" s="48" t="s">
        <v>316</v>
      </c>
      <c r="B1" s="9" t="s">
        <v>225</v>
      </c>
      <c r="C1" t="s">
        <v>268</v>
      </c>
      <c r="D1" t="s">
        <v>320</v>
      </c>
      <c r="E1" t="s">
        <v>321</v>
      </c>
      <c r="F1" t="s">
        <v>234</v>
      </c>
      <c r="G1" t="s">
        <v>269</v>
      </c>
      <c r="H1" t="s">
        <v>270</v>
      </c>
      <c r="I1" t="s">
        <v>271</v>
      </c>
      <c r="J1" s="25" t="s">
        <v>272</v>
      </c>
      <c r="K1" s="26" t="s">
        <v>273</v>
      </c>
      <c r="L1" s="26" t="s">
        <v>274</v>
      </c>
      <c r="M1" s="32" t="s">
        <v>275</v>
      </c>
      <c r="N1" s="26" t="s">
        <v>408</v>
      </c>
      <c r="O1" s="25" t="s">
        <v>354</v>
      </c>
      <c r="P1" s="26" t="s">
        <v>356</v>
      </c>
      <c r="Q1" s="32" t="s">
        <v>355</v>
      </c>
      <c r="R1" s="21" t="s">
        <v>504</v>
      </c>
      <c r="S1" s="23" t="s">
        <v>358</v>
      </c>
      <c r="T1" s="21" t="s">
        <v>505</v>
      </c>
      <c r="U1" s="23" t="s">
        <v>360</v>
      </c>
      <c r="V1" s="21" t="s">
        <v>453</v>
      </c>
      <c r="W1" s="23" t="s">
        <v>454</v>
      </c>
      <c r="X1" s="21" t="s">
        <v>506</v>
      </c>
      <c r="Y1" s="23" t="s">
        <v>452</v>
      </c>
    </row>
    <row r="2" spans="1:25" x14ac:dyDescent="0.35">
      <c r="A2" s="93" t="b">
        <v>1</v>
      </c>
      <c r="B2" s="49">
        <f t="shared" ref="B2:B32" si="0">ROW()-1</f>
        <v>1</v>
      </c>
      <c r="C2" s="49" t="str">
        <f>"F_"&amp;LEFT(K2,2)&amp;"_"&amp;LEFT(M2,2)</f>
        <v>F_13_20</v>
      </c>
      <c r="D2" s="51" t="s">
        <v>450</v>
      </c>
      <c r="E2" s="92" t="s">
        <v>375</v>
      </c>
      <c r="F2" s="51" t="s">
        <v>353</v>
      </c>
      <c r="G2" s="92"/>
      <c r="H2" s="51" t="s">
        <v>379</v>
      </c>
      <c r="I2" s="92"/>
      <c r="J2" s="95" t="s">
        <v>391</v>
      </c>
      <c r="K2" s="49" t="str">
        <f>_xlfn.XLOOKUP(J2,Tab_Def_Processes[Name(EN)],Tab_Def_Processes[Process_ID],,0,)</f>
        <v>13_Rye_BB</v>
      </c>
      <c r="L2" s="51" t="s">
        <v>345</v>
      </c>
      <c r="M2" s="61" t="str">
        <f>_xlfn.XLOOKUP(L2,Tab_Def_Processes[Name(EN)],Tab_Def_Processes[Process_ID],,0,)</f>
        <v>20_Rye_BB</v>
      </c>
      <c r="N2" s="51" t="s">
        <v>415</v>
      </c>
      <c r="O2" s="95" t="s">
        <v>68</v>
      </c>
      <c r="P2" s="51" t="s">
        <v>68</v>
      </c>
      <c r="Q2" s="99" t="s">
        <v>68</v>
      </c>
      <c r="R2" s="106">
        <v>0.06</v>
      </c>
      <c r="S2" s="99"/>
      <c r="T2" s="106">
        <v>0.94</v>
      </c>
      <c r="U2" s="99" t="s">
        <v>451</v>
      </c>
      <c r="V2" s="105">
        <v>0.49</v>
      </c>
      <c r="W2" s="99" t="s">
        <v>451</v>
      </c>
      <c r="X2" s="123">
        <f>Tab_Def_Flows[[#This Row],[CC_DM'[%']]]*Tab_Def_Flows[[#This Row],[DM]]</f>
        <v>0.46059999999999995</v>
      </c>
      <c r="Y2" s="51"/>
    </row>
    <row r="3" spans="1:25" x14ac:dyDescent="0.35">
      <c r="A3" s="93" t="b">
        <v>1</v>
      </c>
      <c r="B3" s="49">
        <f t="shared" si="0"/>
        <v>2</v>
      </c>
      <c r="C3" s="49" t="str">
        <f t="shared" ref="C3:C66" si="1">"F_"&amp;LEFT(K3,2)&amp;"_"&amp;LEFT(M3,2)</f>
        <v>F_20_15</v>
      </c>
      <c r="D3" s="51" t="s">
        <v>334</v>
      </c>
      <c r="E3" s="92" t="s">
        <v>376</v>
      </c>
      <c r="F3" s="51" t="s">
        <v>353</v>
      </c>
      <c r="G3" s="92"/>
      <c r="H3" s="51" t="s">
        <v>379</v>
      </c>
      <c r="I3" s="92"/>
      <c r="J3" s="95" t="s">
        <v>345</v>
      </c>
      <c r="K3" s="49" t="str">
        <f>_xlfn.XLOOKUP(J3,Tab_Def_Processes[Name(EN)],Tab_Def_Processes[Process_ID],,0,)</f>
        <v>20_Rye_BB</v>
      </c>
      <c r="L3" s="51" t="s">
        <v>447</v>
      </c>
      <c r="M3" s="61" t="str">
        <f>_xlfn.XLOOKUP(L3,Tab_Def_Processes[Name(EN)],Tab_Def_Processes[Process_ID],,0,)</f>
        <v>15_Rye_BB</v>
      </c>
      <c r="N3" s="51" t="s">
        <v>410</v>
      </c>
      <c r="O3" s="95" t="s">
        <v>68</v>
      </c>
      <c r="P3" s="51" t="s">
        <v>68</v>
      </c>
      <c r="Q3" s="99" t="s">
        <v>68</v>
      </c>
      <c r="R3" s="106">
        <v>0.06</v>
      </c>
      <c r="S3" s="99"/>
      <c r="T3" s="106">
        <v>0.94</v>
      </c>
      <c r="U3" s="99" t="s">
        <v>451</v>
      </c>
      <c r="V3" s="106">
        <v>0.49</v>
      </c>
      <c r="W3" s="99" t="s">
        <v>451</v>
      </c>
      <c r="X3" s="123">
        <f>Tab_Def_Flows[[#This Row],[CC_DM'[%']]]*Tab_Def_Flows[[#This Row],[DM]]</f>
        <v>0.46059999999999995</v>
      </c>
      <c r="Y3" s="51"/>
    </row>
    <row r="4" spans="1:25" x14ac:dyDescent="0.35">
      <c r="A4" s="93" t="b">
        <v>1</v>
      </c>
      <c r="B4" s="49">
        <f t="shared" si="0"/>
        <v>3</v>
      </c>
      <c r="C4" s="49" t="str">
        <f t="shared" si="1"/>
        <v>F_20_01</v>
      </c>
      <c r="D4" s="51" t="s">
        <v>335</v>
      </c>
      <c r="E4" s="92" t="s">
        <v>377</v>
      </c>
      <c r="F4" s="51" t="s">
        <v>353</v>
      </c>
      <c r="G4" s="92"/>
      <c r="H4" s="51" t="s">
        <v>380</v>
      </c>
      <c r="I4" s="92"/>
      <c r="J4" s="95" t="s">
        <v>345</v>
      </c>
      <c r="K4" s="49" t="str">
        <f>_xlfn.XLOOKUP(J4,Tab_Def_Processes[Name(EN)],Tab_Def_Processes[Process_ID],,0,)</f>
        <v>20_Rye_BB</v>
      </c>
      <c r="L4" s="51" t="s">
        <v>346</v>
      </c>
      <c r="M4" s="61" t="str">
        <f>_xlfn.XLOOKUP(L4,Tab_Def_Processes[Name(EN)],Tab_Def_Processes[Process_ID],,0,)</f>
        <v>01_Bio_BB</v>
      </c>
      <c r="N4" s="51" t="s">
        <v>410</v>
      </c>
      <c r="O4" s="95" t="s">
        <v>68</v>
      </c>
      <c r="P4" s="51" t="s">
        <v>68</v>
      </c>
      <c r="Q4" s="99" t="s">
        <v>68</v>
      </c>
      <c r="R4" s="106">
        <v>0.06</v>
      </c>
      <c r="S4" s="99"/>
      <c r="T4" s="106">
        <v>0.94</v>
      </c>
      <c r="U4" s="99" t="s">
        <v>451</v>
      </c>
      <c r="V4" s="106">
        <v>0.49</v>
      </c>
      <c r="W4" s="99" t="s">
        <v>451</v>
      </c>
      <c r="X4" s="123">
        <f>Tab_Def_Flows[[#This Row],[CC_DM'[%']]]*Tab_Def_Flows[[#This Row],[DM]]</f>
        <v>0.46059999999999995</v>
      </c>
      <c r="Y4" s="51"/>
    </row>
    <row r="5" spans="1:25" x14ac:dyDescent="0.35">
      <c r="A5" s="93" t="b">
        <v>1</v>
      </c>
      <c r="B5" s="49">
        <f t="shared" si="0"/>
        <v>4</v>
      </c>
      <c r="C5" s="49" t="str">
        <f t="shared" si="1"/>
        <v>F_20_16</v>
      </c>
      <c r="D5" s="51" t="s">
        <v>336</v>
      </c>
      <c r="E5" s="92" t="s">
        <v>378</v>
      </c>
      <c r="F5" s="51" t="s">
        <v>353</v>
      </c>
      <c r="G5" s="92"/>
      <c r="H5" s="51" t="s">
        <v>380</v>
      </c>
      <c r="I5" s="92"/>
      <c r="J5" s="95" t="s">
        <v>345</v>
      </c>
      <c r="K5" s="49" t="str">
        <f>_xlfn.XLOOKUP(J5,Tab_Def_Processes[Name(EN)],Tab_Def_Processes[Process_ID],,0,)</f>
        <v>20_Rye_BB</v>
      </c>
      <c r="L5" s="51" t="s">
        <v>395</v>
      </c>
      <c r="M5" s="61" t="str">
        <f>_xlfn.XLOOKUP(L5,Tab_Def_Processes[Name(EN)],Tab_Def_Processes[Process_ID],,0,)</f>
        <v>16_Not_BB</v>
      </c>
      <c r="N5" s="51" t="s">
        <v>410</v>
      </c>
      <c r="O5" s="95" t="s">
        <v>68</v>
      </c>
      <c r="P5" s="51" t="s">
        <v>68</v>
      </c>
      <c r="Q5" s="99" t="s">
        <v>68</v>
      </c>
      <c r="R5" s="106">
        <v>0.06</v>
      </c>
      <c r="S5" s="99"/>
      <c r="T5" s="106">
        <v>0.94</v>
      </c>
      <c r="U5" s="99" t="s">
        <v>451</v>
      </c>
      <c r="V5" s="106">
        <v>0.49</v>
      </c>
      <c r="W5" s="99" t="s">
        <v>451</v>
      </c>
      <c r="X5" s="123">
        <f>Tab_Def_Flows[[#This Row],[CC_DM'[%']]]*Tab_Def_Flows[[#This Row],[DM]]</f>
        <v>0.46059999999999995</v>
      </c>
      <c r="Y5" s="51"/>
    </row>
    <row r="6" spans="1:25" x14ac:dyDescent="0.35">
      <c r="A6" s="93" t="b">
        <v>1</v>
      </c>
      <c r="B6" s="49">
        <f t="shared" si="0"/>
        <v>5</v>
      </c>
      <c r="C6" s="49" t="str">
        <f t="shared" si="1"/>
        <v>F_04_01</v>
      </c>
      <c r="D6" s="51" t="s">
        <v>337</v>
      </c>
      <c r="E6" s="92" t="s">
        <v>381</v>
      </c>
      <c r="F6" s="51" t="s">
        <v>353</v>
      </c>
      <c r="G6" s="92"/>
      <c r="H6" s="51" t="s">
        <v>380</v>
      </c>
      <c r="I6" s="92"/>
      <c r="J6" s="95" t="s">
        <v>441</v>
      </c>
      <c r="K6" s="49" t="str">
        <f>_xlfn.XLOOKUP(J6,Tab_Def_Processes[Name(EN)],Tab_Def_Processes[Process_ID],,0,)</f>
        <v>04_Lif_BB</v>
      </c>
      <c r="L6" s="51" t="s">
        <v>346</v>
      </c>
      <c r="M6" s="61" t="str">
        <f>_xlfn.XLOOKUP(L6,Tab_Def_Processes[Name(EN)],Tab_Def_Processes[Process_ID],,0,)</f>
        <v>01_Bio_BB</v>
      </c>
      <c r="N6" s="51"/>
      <c r="O6" s="95" t="s">
        <v>68</v>
      </c>
      <c r="P6" s="51" t="s">
        <v>68</v>
      </c>
      <c r="Q6" s="99" t="s">
        <v>68</v>
      </c>
      <c r="R6" s="106">
        <v>0.94</v>
      </c>
      <c r="S6" s="99"/>
      <c r="T6" s="106">
        <v>0.06</v>
      </c>
      <c r="U6" s="99" t="s">
        <v>368</v>
      </c>
      <c r="V6" s="106">
        <v>0.49</v>
      </c>
      <c r="W6" s="99" t="s">
        <v>368</v>
      </c>
      <c r="X6" s="123">
        <f>Tab_Def_Flows[[#This Row],[CC_DM'[%']]]*Tab_Def_Flows[[#This Row],[DM]]</f>
        <v>2.9399999999999999E-2</v>
      </c>
      <c r="Y6" s="51"/>
    </row>
    <row r="7" spans="1:25" x14ac:dyDescent="0.35">
      <c r="A7" s="93" t="b">
        <v>0</v>
      </c>
      <c r="B7" s="49">
        <f t="shared" si="0"/>
        <v>6</v>
      </c>
      <c r="C7" s="49" t="str">
        <f t="shared" si="1"/>
        <v>F_01_05</v>
      </c>
      <c r="D7" s="51" t="s">
        <v>338</v>
      </c>
      <c r="E7" s="92" t="s">
        <v>338</v>
      </c>
      <c r="F7" s="51" t="s">
        <v>353</v>
      </c>
      <c r="G7" s="92"/>
      <c r="H7" s="51" t="s">
        <v>379</v>
      </c>
      <c r="I7" s="92"/>
      <c r="J7" s="95" t="s">
        <v>346</v>
      </c>
      <c r="K7" s="49" t="str">
        <f>_xlfn.XLOOKUP(J7,Tab_Def_Processes[Name(EN)],Tab_Def_Processes[Process_ID],,0,)</f>
        <v>01_Bio_BB</v>
      </c>
      <c r="L7" s="51" t="s">
        <v>442</v>
      </c>
      <c r="M7" s="61" t="str">
        <f>_xlfn.XLOOKUP(L7,Tab_Def_Processes[Name(EN)],Tab_Def_Processes[Process_ID],,0,)</f>
        <v>05_Bio_BB</v>
      </c>
      <c r="N7" s="51" t="s">
        <v>409</v>
      </c>
      <c r="O7" s="95" t="s">
        <v>68</v>
      </c>
      <c r="P7" s="51" t="s">
        <v>68</v>
      </c>
      <c r="Q7" s="99" t="s">
        <v>68</v>
      </c>
      <c r="R7" s="106">
        <v>0</v>
      </c>
      <c r="S7" s="99"/>
      <c r="T7" s="106">
        <v>1</v>
      </c>
      <c r="U7" s="99" t="s">
        <v>368</v>
      </c>
      <c r="V7" s="106">
        <v>0.27</v>
      </c>
      <c r="W7" s="99" t="s">
        <v>368</v>
      </c>
      <c r="X7" s="123">
        <f>Tab_Def_Flows[[#This Row],[CC_DM'[%']]]*Tab_Def_Flows[[#This Row],[DM]]</f>
        <v>0.27</v>
      </c>
      <c r="Y7" s="51"/>
    </row>
    <row r="8" spans="1:25" x14ac:dyDescent="0.35">
      <c r="A8" s="93" t="b">
        <v>0</v>
      </c>
      <c r="B8" s="49">
        <f t="shared" si="0"/>
        <v>7</v>
      </c>
      <c r="C8" s="49" t="str">
        <f t="shared" si="1"/>
        <v>F_01_02</v>
      </c>
      <c r="D8" s="51" t="s">
        <v>339</v>
      </c>
      <c r="E8" s="92" t="s">
        <v>383</v>
      </c>
      <c r="F8" s="51" t="s">
        <v>353</v>
      </c>
      <c r="G8" s="92"/>
      <c r="H8" s="51" t="s">
        <v>380</v>
      </c>
      <c r="I8" s="92"/>
      <c r="J8" s="95" t="s">
        <v>346</v>
      </c>
      <c r="K8" s="49" t="str">
        <f>_xlfn.XLOOKUP(J8,Tab_Def_Processes[Name(EN)],Tab_Def_Processes[Process_ID],,0,)</f>
        <v>01_Bio_BB</v>
      </c>
      <c r="L8" s="51" t="s">
        <v>347</v>
      </c>
      <c r="M8" s="61" t="str">
        <f>_xlfn.XLOOKUP(L8,Tab_Def_Processes[Name(EN)],Tab_Def_Processes[Process_ID],,0,)</f>
        <v>02_MBC_BB</v>
      </c>
      <c r="N8" s="51" t="s">
        <v>411</v>
      </c>
      <c r="O8" s="95" t="s">
        <v>68</v>
      </c>
      <c r="P8" s="51" t="s">
        <v>68</v>
      </c>
      <c r="Q8" s="99" t="s">
        <v>68</v>
      </c>
      <c r="R8" s="106">
        <v>0.64</v>
      </c>
      <c r="S8" s="99"/>
      <c r="T8" s="106">
        <v>0.36</v>
      </c>
      <c r="U8" s="99" t="s">
        <v>368</v>
      </c>
      <c r="V8" s="106">
        <v>0.38</v>
      </c>
      <c r="W8" s="99" t="s">
        <v>368</v>
      </c>
      <c r="X8" s="123">
        <f>Tab_Def_Flows[[#This Row],[CC_DM'[%']]]*Tab_Def_Flows[[#This Row],[DM]]</f>
        <v>0.1368</v>
      </c>
      <c r="Y8" s="51"/>
    </row>
    <row r="9" spans="1:25" x14ac:dyDescent="0.35">
      <c r="A9" s="93" t="b">
        <v>0</v>
      </c>
      <c r="B9" s="49">
        <f t="shared" si="0"/>
        <v>8</v>
      </c>
      <c r="C9" s="49" t="str">
        <f t="shared" si="1"/>
        <v>F_02_03</v>
      </c>
      <c r="D9" s="51" t="s">
        <v>393</v>
      </c>
      <c r="E9" s="92" t="s">
        <v>384</v>
      </c>
      <c r="F9" s="51" t="s">
        <v>353</v>
      </c>
      <c r="G9" s="92"/>
      <c r="H9" s="51" t="s">
        <v>379</v>
      </c>
      <c r="I9" s="92"/>
      <c r="J9" s="95" t="s">
        <v>347</v>
      </c>
      <c r="K9" s="49" t="str">
        <f>_xlfn.XLOOKUP(J9,Tab_Def_Processes[Name(EN)],Tab_Def_Processes[Process_ID],,0,)</f>
        <v>02_MBC_BB</v>
      </c>
      <c r="L9" s="51" t="s">
        <v>440</v>
      </c>
      <c r="M9" s="61" t="str">
        <f>_xlfn.XLOOKUP(L9,Tab_Def_Processes[Name(EN)],Tab_Def_Processes[Process_ID],,0,)</f>
        <v>03_MBC_BB</v>
      </c>
      <c r="N9" s="51"/>
      <c r="O9" s="95" t="s">
        <v>68</v>
      </c>
      <c r="P9" s="51" t="s">
        <v>68</v>
      </c>
      <c r="Q9" s="99" t="s">
        <v>68</v>
      </c>
      <c r="R9" s="106">
        <v>0.61</v>
      </c>
      <c r="S9" s="99"/>
      <c r="T9" s="106">
        <v>0.39</v>
      </c>
      <c r="U9" s="99"/>
      <c r="V9" s="106">
        <v>0.4</v>
      </c>
      <c r="W9" s="99"/>
      <c r="X9" s="124">
        <f>Tab_Def_Flows[[#This Row],[CC_DM'[%']]]*Tab_Def_Flows[[#This Row],[DM]]</f>
        <v>0.15600000000000003</v>
      </c>
      <c r="Y9" s="51"/>
    </row>
    <row r="10" spans="1:25" x14ac:dyDescent="0.35">
      <c r="A10" s="93" t="b">
        <v>0</v>
      </c>
      <c r="B10" s="49">
        <f>ROW()-1</f>
        <v>9</v>
      </c>
      <c r="C10" s="49" t="str">
        <f t="shared" si="1"/>
        <v>F_03_07</v>
      </c>
      <c r="D10" s="51" t="s">
        <v>394</v>
      </c>
      <c r="E10" s="92" t="s">
        <v>400</v>
      </c>
      <c r="F10" s="51" t="s">
        <v>353</v>
      </c>
      <c r="G10" s="92"/>
      <c r="H10" s="51" t="s">
        <v>382</v>
      </c>
      <c r="I10" s="92"/>
      <c r="J10" s="95" t="s">
        <v>440</v>
      </c>
      <c r="K10" s="49" t="str">
        <f>_xlfn.XLOOKUP(J10,Tab_Def_Processes[Name(EN)],Tab_Def_Processes[Process_ID],,0,)</f>
        <v>03_MBC_BB</v>
      </c>
      <c r="L10" s="51" t="s">
        <v>363</v>
      </c>
      <c r="M10" s="61" t="str">
        <f>_xlfn.XLOOKUP(L10,Tab_Def_Processes[Name(EN)],Tab_Def_Processes[Process_ID],,0,)</f>
        <v>07_EoL_BB</v>
      </c>
      <c r="N10" s="51"/>
      <c r="O10" s="95" t="s">
        <v>68</v>
      </c>
      <c r="P10" s="51" t="s">
        <v>68</v>
      </c>
      <c r="Q10" s="99" t="s">
        <v>68</v>
      </c>
      <c r="R10" s="106">
        <v>0.61</v>
      </c>
      <c r="S10" s="99"/>
      <c r="T10" s="106">
        <v>0.39</v>
      </c>
      <c r="U10" s="99"/>
      <c r="V10" s="106">
        <v>0.4</v>
      </c>
      <c r="W10" s="99"/>
      <c r="X10" s="124">
        <f>Tab_Def_Flows[[#This Row],[CC_DM'[%']]]*Tab_Def_Flows[[#This Row],[DM]]</f>
        <v>0.15600000000000003</v>
      </c>
      <c r="Y10" s="51"/>
    </row>
    <row r="11" spans="1:25" x14ac:dyDescent="0.35">
      <c r="A11" s="93" t="b">
        <v>0</v>
      </c>
      <c r="B11" s="49">
        <f t="shared" si="0"/>
        <v>10</v>
      </c>
      <c r="C11" s="49" t="str">
        <f t="shared" si="1"/>
        <v>F_02_06</v>
      </c>
      <c r="D11" s="51" t="s">
        <v>340</v>
      </c>
      <c r="E11" s="96" t="s">
        <v>385</v>
      </c>
      <c r="F11" s="51" t="s">
        <v>353</v>
      </c>
      <c r="G11" s="92"/>
      <c r="H11" s="51" t="s">
        <v>382</v>
      </c>
      <c r="I11" s="92"/>
      <c r="J11" s="95" t="s">
        <v>347</v>
      </c>
      <c r="K11" s="49" t="str">
        <f>_xlfn.XLOOKUP(J11,Tab_Def_Processes[Name(EN)],Tab_Def_Processes[Process_ID],,0,)</f>
        <v>02_MBC_BB</v>
      </c>
      <c r="L11" s="51" t="s">
        <v>443</v>
      </c>
      <c r="M11" s="61" t="str">
        <f>_xlfn.XLOOKUP(L11,Tab_Def_Processes[Name(EN)],Tab_Def_Processes[Process_ID],,0,)</f>
        <v>06_EoL_BB</v>
      </c>
      <c r="N11" s="51"/>
      <c r="O11" s="95" t="s">
        <v>68</v>
      </c>
      <c r="P11" s="51" t="s">
        <v>68</v>
      </c>
      <c r="Q11" s="99" t="s">
        <v>68</v>
      </c>
      <c r="R11" s="106">
        <v>0.64</v>
      </c>
      <c r="S11" s="99"/>
      <c r="T11" s="106">
        <v>0.36</v>
      </c>
      <c r="U11" s="99"/>
      <c r="V11" s="106">
        <v>0.38</v>
      </c>
      <c r="W11" s="99"/>
      <c r="X11" s="123">
        <f>Tab_Def_Flows[[#This Row],[CC_DM'[%']]]*Tab_Def_Flows[[#This Row],[DM]]</f>
        <v>0.1368</v>
      </c>
      <c r="Y11" s="51"/>
    </row>
    <row r="12" spans="1:25" x14ac:dyDescent="0.35">
      <c r="A12" s="93" t="b">
        <v>0</v>
      </c>
      <c r="B12" s="49">
        <f t="shared" si="0"/>
        <v>11</v>
      </c>
      <c r="C12" s="49" t="str">
        <f t="shared" si="1"/>
        <v>F_11_02</v>
      </c>
      <c r="D12" s="51" t="s">
        <v>341</v>
      </c>
      <c r="E12" s="96" t="s">
        <v>401</v>
      </c>
      <c r="F12" s="51" t="s">
        <v>353</v>
      </c>
      <c r="G12" s="92"/>
      <c r="H12" s="51" t="s">
        <v>379</v>
      </c>
      <c r="I12" s="92"/>
      <c r="J12" s="95" t="s">
        <v>366</v>
      </c>
      <c r="K12" s="49" t="str">
        <f>_xlfn.XLOOKUP(J12,Tab_Def_Processes[Name(EN)],Tab_Def_Processes[Process_ID],,0,)</f>
        <v>11_Mil_BB</v>
      </c>
      <c r="L12" s="51" t="s">
        <v>347</v>
      </c>
      <c r="M12" s="61" t="str">
        <f>_xlfn.XLOOKUP(L12,Tab_Def_Processes[Name(EN)],Tab_Def_Processes[Process_ID],,0,)</f>
        <v>02_MBC_BB</v>
      </c>
      <c r="N12" s="51"/>
      <c r="O12" s="95" t="s">
        <v>68</v>
      </c>
      <c r="P12" s="51" t="s">
        <v>68</v>
      </c>
      <c r="Q12" s="99" t="s">
        <v>68</v>
      </c>
      <c r="R12" s="106">
        <v>0.66</v>
      </c>
      <c r="S12" s="99"/>
      <c r="T12" s="106">
        <v>0.34</v>
      </c>
      <c r="U12" s="99"/>
      <c r="V12" s="106">
        <v>0.47</v>
      </c>
      <c r="W12" s="99"/>
      <c r="X12" s="123">
        <f>Tab_Def_Flows[[#This Row],[CC_DM'[%']]]*Tab_Def_Flows[[#This Row],[DM]]</f>
        <v>0.1598</v>
      </c>
      <c r="Y12" s="51"/>
    </row>
    <row r="13" spans="1:25" x14ac:dyDescent="0.35">
      <c r="A13" s="93" t="b">
        <v>0</v>
      </c>
      <c r="B13" s="49">
        <f t="shared" si="0"/>
        <v>12</v>
      </c>
      <c r="C13" s="49" t="str">
        <f t="shared" si="1"/>
        <v>F_08_02</v>
      </c>
      <c r="D13" s="51" t="s">
        <v>343</v>
      </c>
      <c r="E13" s="92" t="s">
        <v>402</v>
      </c>
      <c r="F13" s="51" t="s">
        <v>353</v>
      </c>
      <c r="G13" s="92"/>
      <c r="H13" s="51" t="s">
        <v>379</v>
      </c>
      <c r="I13" s="92"/>
      <c r="J13" s="95" t="s">
        <v>444</v>
      </c>
      <c r="K13" s="49" t="str">
        <f>_xlfn.XLOOKUP(J13,Tab_Def_Processes[Name(EN)],Tab_Def_Processes[Process_ID],,0,)</f>
        <v>08_Wat_BB</v>
      </c>
      <c r="L13" s="51" t="s">
        <v>347</v>
      </c>
      <c r="M13" s="61" t="str">
        <f>_xlfn.XLOOKUP(L13,Tab_Def_Processes[Name(EN)],Tab_Def_Processes[Process_ID],,0,)</f>
        <v>02_MBC_BB</v>
      </c>
      <c r="N13" s="51"/>
      <c r="O13" s="95" t="s">
        <v>68</v>
      </c>
      <c r="P13" s="51" t="s">
        <v>68</v>
      </c>
      <c r="Q13" s="99" t="s">
        <v>68</v>
      </c>
      <c r="R13" s="106">
        <v>1</v>
      </c>
      <c r="S13" s="99"/>
      <c r="T13" s="106">
        <v>0</v>
      </c>
      <c r="U13" s="99"/>
      <c r="V13" s="106">
        <v>0</v>
      </c>
      <c r="W13" s="99"/>
      <c r="X13" s="123">
        <f>Tab_Def_Flows[[#This Row],[CC_DM'[%']]]*Tab_Def_Flows[[#This Row],[DM]]</f>
        <v>0</v>
      </c>
      <c r="Y13" s="51"/>
    </row>
    <row r="14" spans="1:25" x14ac:dyDescent="0.35">
      <c r="A14" s="93" t="b">
        <v>0</v>
      </c>
      <c r="B14" s="49">
        <f t="shared" si="0"/>
        <v>13</v>
      </c>
      <c r="C14" s="49" t="str">
        <f t="shared" si="1"/>
        <v>F_02_14</v>
      </c>
      <c r="D14" s="51" t="s">
        <v>344</v>
      </c>
      <c r="E14" s="92" t="s">
        <v>403</v>
      </c>
      <c r="F14" s="51" t="s">
        <v>353</v>
      </c>
      <c r="G14" s="92"/>
      <c r="H14" s="51" t="s">
        <v>382</v>
      </c>
      <c r="I14" s="92"/>
      <c r="J14" s="95" t="s">
        <v>347</v>
      </c>
      <c r="K14" s="49" t="str">
        <f>_xlfn.XLOOKUP(J14,Tab_Def_Processes[Name(EN)],Tab_Def_Processes[Process_ID],,0,)</f>
        <v>02_MBC_BB</v>
      </c>
      <c r="L14" s="51" t="s">
        <v>446</v>
      </c>
      <c r="M14" s="61" t="str">
        <f>_xlfn.XLOOKUP(L14,Tab_Def_Processes[Name(EN)],Tab_Def_Processes[Process_ID],,0,)</f>
        <v>14_Wat_BB</v>
      </c>
      <c r="N14" s="51"/>
      <c r="O14" s="95" t="s">
        <v>68</v>
      </c>
      <c r="P14" s="51" t="s">
        <v>68</v>
      </c>
      <c r="Q14" s="99" t="s">
        <v>68</v>
      </c>
      <c r="R14" s="106">
        <v>1</v>
      </c>
      <c r="S14" s="99"/>
      <c r="T14" s="106">
        <v>0</v>
      </c>
      <c r="U14" s="99"/>
      <c r="V14" s="106">
        <v>0</v>
      </c>
      <c r="W14" s="99"/>
      <c r="X14" s="123">
        <f>Tab_Def_Flows[[#This Row],[CC_DM'[%']]]*Tab_Def_Flows[[#This Row],[DM]]</f>
        <v>0</v>
      </c>
      <c r="Y14" s="51"/>
    </row>
    <row r="15" spans="1:25" x14ac:dyDescent="0.35">
      <c r="A15" s="93" t="b">
        <v>0</v>
      </c>
      <c r="B15" s="49">
        <f t="shared" si="0"/>
        <v>14</v>
      </c>
      <c r="C15" s="49" t="str">
        <f t="shared" si="1"/>
        <v>F_02_12</v>
      </c>
      <c r="D15" s="51" t="s">
        <v>367</v>
      </c>
      <c r="E15" s="92" t="s">
        <v>404</v>
      </c>
      <c r="F15" s="51" t="s">
        <v>353</v>
      </c>
      <c r="G15" s="92"/>
      <c r="H15" s="51" t="s">
        <v>382</v>
      </c>
      <c r="I15" s="92"/>
      <c r="J15" s="95" t="s">
        <v>347</v>
      </c>
      <c r="K15" s="49" t="str">
        <f>_xlfn.XLOOKUP(J15,Tab_Def_Processes[Name(EN)],Tab_Def_Processes[Process_ID],,0,)</f>
        <v>02_MBC_BB</v>
      </c>
      <c r="L15" s="51" t="s">
        <v>392</v>
      </c>
      <c r="M15" s="61" t="str">
        <f>_xlfn.XLOOKUP(L15,Tab_Def_Processes[Name(EN)],Tab_Def_Processes[Process_ID],,0,)</f>
        <v>12_Del_BB</v>
      </c>
      <c r="N15" s="51"/>
      <c r="O15" s="95" t="s">
        <v>68</v>
      </c>
      <c r="P15" s="51" t="s">
        <v>68</v>
      </c>
      <c r="Q15" s="99" t="s">
        <v>68</v>
      </c>
      <c r="R15" s="106">
        <v>1</v>
      </c>
      <c r="S15" s="99"/>
      <c r="T15" s="106">
        <v>0</v>
      </c>
      <c r="U15" s="99"/>
      <c r="V15" s="106">
        <v>0</v>
      </c>
      <c r="W15" s="99"/>
      <c r="X15" s="123">
        <f>Tab_Def_Flows[[#This Row],[CC_DM'[%']]]*Tab_Def_Flows[[#This Row],[DM]]</f>
        <v>0</v>
      </c>
      <c r="Y15" s="51"/>
    </row>
    <row r="16" spans="1:25" x14ac:dyDescent="0.35">
      <c r="A16" s="93" t="b">
        <v>0</v>
      </c>
      <c r="B16" s="49">
        <f t="shared" si="0"/>
        <v>15</v>
      </c>
      <c r="C16" s="49" t="str">
        <f t="shared" si="1"/>
        <v>F_07_09</v>
      </c>
      <c r="D16" s="51" t="s">
        <v>396</v>
      </c>
      <c r="E16" s="92" t="s">
        <v>396</v>
      </c>
      <c r="F16" s="51" t="s">
        <v>353</v>
      </c>
      <c r="G16" s="92"/>
      <c r="H16" s="51" t="s">
        <v>382</v>
      </c>
      <c r="I16" s="92"/>
      <c r="J16" s="95" t="s">
        <v>363</v>
      </c>
      <c r="K16" s="49" t="str">
        <f>_xlfn.XLOOKUP(J16,Tab_Def_Processes[Name(EN)],Tab_Def_Processes[Process_ID],,0,)</f>
        <v>07_EoL_BB</v>
      </c>
      <c r="L16" s="51" t="s">
        <v>364</v>
      </c>
      <c r="M16" s="61" t="str">
        <f>_xlfn.XLOOKUP(L16,Tab_Def_Processes[Name(EN)],Tab_Def_Processes[Process_ID],,0,)</f>
        <v>09_Bio_BB</v>
      </c>
      <c r="N16" s="51"/>
      <c r="O16" s="95" t="s">
        <v>68</v>
      </c>
      <c r="P16" s="51" t="s">
        <v>68</v>
      </c>
      <c r="Q16" s="99" t="s">
        <v>68</v>
      </c>
      <c r="R16" s="106">
        <v>0.61</v>
      </c>
      <c r="S16" s="99"/>
      <c r="T16" s="106">
        <v>0.39</v>
      </c>
      <c r="U16" s="99"/>
      <c r="V16" s="106">
        <v>0.4</v>
      </c>
      <c r="W16" s="99"/>
      <c r="X16" s="123">
        <f>Tab_Def_Flows[[#This Row],[CC_DM'[%']]]*Tab_Def_Flows[[#This Row],[DM]]</f>
        <v>0.15600000000000003</v>
      </c>
      <c r="Y16" s="51"/>
    </row>
    <row r="17" spans="1:25" x14ac:dyDescent="0.35">
      <c r="A17" s="93" t="b">
        <v>0</v>
      </c>
      <c r="B17" s="49">
        <f t="shared" si="0"/>
        <v>16</v>
      </c>
      <c r="C17" s="49" t="str">
        <f t="shared" si="1"/>
        <v>F_07_10</v>
      </c>
      <c r="D17" s="51" t="s">
        <v>397</v>
      </c>
      <c r="E17" s="92" t="s">
        <v>397</v>
      </c>
      <c r="F17" s="51" t="s">
        <v>353</v>
      </c>
      <c r="G17" s="92"/>
      <c r="H17" s="51" t="s">
        <v>382</v>
      </c>
      <c r="I17" s="92"/>
      <c r="J17" s="95" t="s">
        <v>363</v>
      </c>
      <c r="K17" s="49" t="str">
        <f>_xlfn.XLOOKUP(J17,Tab_Def_Processes[Name(EN)],Tab_Def_Processes[Process_ID],,0,)</f>
        <v>07_EoL_BB</v>
      </c>
      <c r="L17" s="51" t="s">
        <v>365</v>
      </c>
      <c r="M17" s="61" t="str">
        <f>_xlfn.XLOOKUP(L17,Tab_Def_Processes[Name(EN)],Tab_Def_Processes[Process_ID],,0,)</f>
        <v>10_Bio_BB</v>
      </c>
      <c r="N17" s="51"/>
      <c r="O17" s="95" t="s">
        <v>68</v>
      </c>
      <c r="P17" s="51" t="s">
        <v>68</v>
      </c>
      <c r="Q17" s="99" t="s">
        <v>68</v>
      </c>
      <c r="R17" s="106">
        <v>0.61</v>
      </c>
      <c r="S17" s="99"/>
      <c r="T17" s="106">
        <v>0.39</v>
      </c>
      <c r="U17" s="99"/>
      <c r="V17" s="106">
        <v>0.4</v>
      </c>
      <c r="W17" s="99"/>
      <c r="X17" s="123">
        <f>Tab_Def_Flows[[#This Row],[CC_DM'[%']]]*Tab_Def_Flows[[#This Row],[DM]]</f>
        <v>0.15600000000000003</v>
      </c>
      <c r="Y17" s="51"/>
    </row>
    <row r="18" spans="1:25" x14ac:dyDescent="0.35">
      <c r="A18" s="93" t="b">
        <v>0</v>
      </c>
      <c r="B18" s="49">
        <f t="shared" si="0"/>
        <v>17</v>
      </c>
      <c r="C18" s="49" t="str">
        <f t="shared" si="1"/>
        <v>F_09_17</v>
      </c>
      <c r="D18" s="51" t="s">
        <v>399</v>
      </c>
      <c r="E18" s="92" t="s">
        <v>405</v>
      </c>
      <c r="F18" s="51" t="s">
        <v>353</v>
      </c>
      <c r="G18" s="92"/>
      <c r="H18" s="51" t="s">
        <v>379</v>
      </c>
      <c r="I18" s="92"/>
      <c r="J18" s="95" t="s">
        <v>364</v>
      </c>
      <c r="K18" s="49" t="str">
        <f>_xlfn.XLOOKUP(J18,Tab_Def_Processes[Name(EN)],Tab_Def_Processes[Process_ID],,0,)</f>
        <v>09_Bio_BB</v>
      </c>
      <c r="L18" s="51" t="s">
        <v>349</v>
      </c>
      <c r="M18" s="61" t="str">
        <f>_xlfn.XLOOKUP(L18,Tab_Def_Processes[Name(EN)],Tab_Def_Processes[Process_ID],,0,)</f>
        <v>17_Lit_BB</v>
      </c>
      <c r="N18" s="51"/>
      <c r="O18" s="95" t="s">
        <v>68</v>
      </c>
      <c r="P18" s="51" t="s">
        <v>68</v>
      </c>
      <c r="Q18" s="99" t="s">
        <v>68</v>
      </c>
      <c r="R18" s="106">
        <v>0</v>
      </c>
      <c r="S18" s="99"/>
      <c r="T18" s="106">
        <v>1</v>
      </c>
      <c r="U18" s="99"/>
      <c r="V18" s="106">
        <v>0.95</v>
      </c>
      <c r="W18" s="99" t="s">
        <v>419</v>
      </c>
      <c r="X18" s="123">
        <f>Tab_Def_Flows[[#This Row],[CC_DM'[%']]]*Tab_Def_Flows[[#This Row],[DM]]</f>
        <v>0.95</v>
      </c>
      <c r="Y18" s="51"/>
    </row>
    <row r="19" spans="1:25" x14ac:dyDescent="0.35">
      <c r="A19" s="93" t="b">
        <v>0</v>
      </c>
      <c r="B19" s="49">
        <f t="shared" si="0"/>
        <v>18</v>
      </c>
      <c r="C19" s="49" t="str">
        <f t="shared" si="1"/>
        <v>F_10_18</v>
      </c>
      <c r="D19" s="51" t="s">
        <v>189</v>
      </c>
      <c r="E19" s="92" t="s">
        <v>406</v>
      </c>
      <c r="F19" s="51" t="s">
        <v>353</v>
      </c>
      <c r="G19" s="92"/>
      <c r="H19" s="51" t="s">
        <v>382</v>
      </c>
      <c r="I19" s="92"/>
      <c r="J19" s="95" t="s">
        <v>365</v>
      </c>
      <c r="K19" s="49" t="str">
        <f>_xlfn.XLOOKUP(J19,Tab_Def_Processes[Name(EN)],Tab_Def_Processes[Process_ID],,0,)</f>
        <v>10_Bio_BB</v>
      </c>
      <c r="L19" s="51" t="s">
        <v>448</v>
      </c>
      <c r="M19" s="61" t="str">
        <f>_xlfn.XLOOKUP(L19,Tab_Def_Processes[Name(EN)],Tab_Def_Processes[Process_ID],,0,)</f>
        <v>18_Ash_BB</v>
      </c>
      <c r="N19" s="51"/>
      <c r="O19" s="95" t="s">
        <v>68</v>
      </c>
      <c r="P19" s="51" t="s">
        <v>68</v>
      </c>
      <c r="Q19" s="99" t="s">
        <v>68</v>
      </c>
      <c r="R19" s="106">
        <v>0</v>
      </c>
      <c r="S19" s="99"/>
      <c r="T19" s="106">
        <v>1</v>
      </c>
      <c r="U19" s="99"/>
      <c r="V19" s="106">
        <v>0.4</v>
      </c>
      <c r="W19" s="99"/>
      <c r="X19" s="123">
        <f>Tab_Def_Flows[[#This Row],[CC_DM'[%']]]*Tab_Def_Flows[[#This Row],[DM]]</f>
        <v>0.4</v>
      </c>
      <c r="Y19" s="51"/>
    </row>
    <row r="20" spans="1:25" x14ac:dyDescent="0.35">
      <c r="A20" s="93" t="b">
        <v>0</v>
      </c>
      <c r="B20" s="49">
        <f t="shared" si="0"/>
        <v>19</v>
      </c>
      <c r="C20" s="49" t="str">
        <f t="shared" si="1"/>
        <v>F_10_19</v>
      </c>
      <c r="D20" s="51" t="s">
        <v>417</v>
      </c>
      <c r="E20" s="92" t="s">
        <v>418</v>
      </c>
      <c r="F20" s="51" t="s">
        <v>353</v>
      </c>
      <c r="G20" s="92"/>
      <c r="H20" s="51" t="s">
        <v>382</v>
      </c>
      <c r="I20" s="92"/>
      <c r="J20" s="95" t="s">
        <v>365</v>
      </c>
      <c r="K20" s="49" t="str">
        <f>_xlfn.XLOOKUP(J20,Tab_Def_Processes[Name(EN)],Tab_Def_Processes[Process_ID],,0,)</f>
        <v>10_Bio_BB</v>
      </c>
      <c r="L20" s="51" t="s">
        <v>449</v>
      </c>
      <c r="M20" s="61" t="str">
        <f>_xlfn.XLOOKUP(L20,Tab_Def_Processes[Name(EN)],Tab_Def_Processes[Process_ID],,0,)</f>
        <v>19_Atm_BB</v>
      </c>
      <c r="N20" s="51" t="s">
        <v>409</v>
      </c>
      <c r="O20" s="95" t="s">
        <v>68</v>
      </c>
      <c r="P20" s="51" t="s">
        <v>68</v>
      </c>
      <c r="Q20" s="99" t="s">
        <v>68</v>
      </c>
      <c r="R20" s="106">
        <v>0</v>
      </c>
      <c r="S20" s="99"/>
      <c r="T20" s="106">
        <v>1</v>
      </c>
      <c r="U20" s="99"/>
      <c r="V20" s="106">
        <v>0.95</v>
      </c>
      <c r="W20" s="99" t="s">
        <v>419</v>
      </c>
      <c r="X20" s="123">
        <f>Tab_Def_Flows[[#This Row],[CC_DM'[%']]]*Tab_Def_Flows[[#This Row],[DM]]</f>
        <v>0.95</v>
      </c>
      <c r="Y20" s="51"/>
    </row>
    <row r="21" spans="1:25" x14ac:dyDescent="0.35">
      <c r="A21" s="93" t="b">
        <v>0</v>
      </c>
      <c r="B21" s="49">
        <f t="shared" si="0"/>
        <v>20</v>
      </c>
      <c r="C21" s="49" t="str">
        <f t="shared" si="1"/>
        <v>F_00_13</v>
      </c>
      <c r="D21" s="51" t="s">
        <v>427</v>
      </c>
      <c r="E21" s="92"/>
      <c r="F21" s="51" t="s">
        <v>353</v>
      </c>
      <c r="G21" s="92"/>
      <c r="H21" s="51" t="s">
        <v>379</v>
      </c>
      <c r="I21" s="92"/>
      <c r="J21" s="95" t="s">
        <v>426</v>
      </c>
      <c r="K21" s="49" t="str">
        <f>_xlfn.XLOOKUP(J21,Tab_Def_Processes[Name(EN)],Tab_Def_Processes[Process_ID],,0,)</f>
        <v>00_Env_BB</v>
      </c>
      <c r="L21" s="51" t="s">
        <v>391</v>
      </c>
      <c r="M21" s="61" t="str">
        <f>_xlfn.XLOOKUP(L21,Tab_Def_Processes[Name(EN)],Tab_Def_Processes[Process_ID],,0,)</f>
        <v>13_Rye_BB</v>
      </c>
      <c r="N21" s="51"/>
      <c r="O21" s="95" t="s">
        <v>68</v>
      </c>
      <c r="P21" s="51" t="s">
        <v>68</v>
      </c>
      <c r="Q21" s="99" t="s">
        <v>68</v>
      </c>
      <c r="R21" s="106">
        <v>0.06</v>
      </c>
      <c r="S21" s="99"/>
      <c r="T21" s="106">
        <v>0.94</v>
      </c>
      <c r="U21" s="99" t="s">
        <v>451</v>
      </c>
      <c r="V21" s="105">
        <v>0.49</v>
      </c>
      <c r="W21" s="99" t="s">
        <v>451</v>
      </c>
      <c r="X21" s="123">
        <f>Tab_Def_Flows[[#This Row],[CC_DM'[%']]]*Tab_Def_Flows[[#This Row],[DM]]</f>
        <v>0.46059999999999995</v>
      </c>
      <c r="Y21" s="51"/>
    </row>
    <row r="22" spans="1:25" x14ac:dyDescent="0.35">
      <c r="A22" s="93" t="b">
        <v>0</v>
      </c>
      <c r="B22" s="49">
        <f t="shared" si="0"/>
        <v>21</v>
      </c>
      <c r="C22" s="49" t="str">
        <f t="shared" si="1"/>
        <v>F_00_04</v>
      </c>
      <c r="D22" s="51" t="s">
        <v>428</v>
      </c>
      <c r="E22" s="92"/>
      <c r="F22" s="51" t="s">
        <v>353</v>
      </c>
      <c r="G22" s="92"/>
      <c r="H22" s="51" t="s">
        <v>380</v>
      </c>
      <c r="I22" s="92"/>
      <c r="J22" s="95" t="s">
        <v>426</v>
      </c>
      <c r="K22" s="49" t="str">
        <f>_xlfn.XLOOKUP(J22,Tab_Def_Processes[Name(EN)],Tab_Def_Processes[Process_ID],,0,)</f>
        <v>00_Env_BB</v>
      </c>
      <c r="L22" s="51" t="s">
        <v>441</v>
      </c>
      <c r="M22" s="61" t="str">
        <f>_xlfn.XLOOKUP(L22,Tab_Def_Processes[Name(EN)],Tab_Def_Processes[Process_ID],,0,)</f>
        <v>04_Lif_BB</v>
      </c>
      <c r="N22" s="51"/>
      <c r="O22" s="95" t="s">
        <v>68</v>
      </c>
      <c r="P22" s="51" t="s">
        <v>68</v>
      </c>
      <c r="Q22" s="99" t="s">
        <v>68</v>
      </c>
      <c r="R22" s="106">
        <v>0.94</v>
      </c>
      <c r="S22" s="99"/>
      <c r="T22" s="106">
        <v>0.06</v>
      </c>
      <c r="U22" s="99" t="s">
        <v>368</v>
      </c>
      <c r="V22" s="106">
        <v>0.49</v>
      </c>
      <c r="W22" s="99" t="s">
        <v>368</v>
      </c>
      <c r="X22" s="123">
        <f>Tab_Def_Flows[[#This Row],[CC_DM'[%']]]*Tab_Def_Flows[[#This Row],[DM]]</f>
        <v>2.9399999999999999E-2</v>
      </c>
      <c r="Y22" s="51"/>
    </row>
    <row r="23" spans="1:25" x14ac:dyDescent="0.35">
      <c r="A23" s="93" t="b">
        <v>0</v>
      </c>
      <c r="B23" s="49">
        <f t="shared" si="0"/>
        <v>22</v>
      </c>
      <c r="C23" s="49" t="str">
        <f t="shared" si="1"/>
        <v>F_00_11</v>
      </c>
      <c r="D23" s="51" t="s">
        <v>429</v>
      </c>
      <c r="E23" s="92"/>
      <c r="F23" s="51" t="s">
        <v>353</v>
      </c>
      <c r="G23" s="92"/>
      <c r="H23" s="51" t="s">
        <v>379</v>
      </c>
      <c r="I23" s="92"/>
      <c r="J23" s="95" t="s">
        <v>426</v>
      </c>
      <c r="K23" s="49" t="str">
        <f>_xlfn.XLOOKUP(J23,Tab_Def_Processes[Name(EN)],Tab_Def_Processes[Process_ID],,0,)</f>
        <v>00_Env_BB</v>
      </c>
      <c r="L23" s="51" t="s">
        <v>366</v>
      </c>
      <c r="M23" s="61" t="str">
        <f>_xlfn.XLOOKUP(L23,Tab_Def_Processes[Name(EN)],Tab_Def_Processes[Process_ID],,0,)</f>
        <v>11_Mil_BB</v>
      </c>
      <c r="N23" s="51"/>
      <c r="O23" s="95" t="s">
        <v>68</v>
      </c>
      <c r="P23" s="51" t="s">
        <v>68</v>
      </c>
      <c r="Q23" s="99" t="s">
        <v>68</v>
      </c>
      <c r="R23" s="106">
        <v>0.66</v>
      </c>
      <c r="S23" s="99"/>
      <c r="T23" s="106">
        <v>0.34</v>
      </c>
      <c r="U23" s="99"/>
      <c r="V23" s="106">
        <v>0.47</v>
      </c>
      <c r="W23" s="99"/>
      <c r="X23" s="123">
        <f>Tab_Def_Flows[[#This Row],[CC_DM'[%']]]*Tab_Def_Flows[[#This Row],[DM]]</f>
        <v>0.1598</v>
      </c>
      <c r="Y23" s="51"/>
    </row>
    <row r="24" spans="1:25" x14ac:dyDescent="0.35">
      <c r="A24" s="93" t="b">
        <v>0</v>
      </c>
      <c r="B24" s="49">
        <f t="shared" si="0"/>
        <v>23</v>
      </c>
      <c r="C24" s="49" t="str">
        <f t="shared" si="1"/>
        <v>F_00_08</v>
      </c>
      <c r="D24" s="51" t="s">
        <v>430</v>
      </c>
      <c r="E24" s="92"/>
      <c r="F24" s="51" t="s">
        <v>353</v>
      </c>
      <c r="G24" s="92"/>
      <c r="H24" s="51" t="s">
        <v>379</v>
      </c>
      <c r="I24" s="92"/>
      <c r="J24" s="95" t="s">
        <v>426</v>
      </c>
      <c r="K24" s="49" t="str">
        <f>_xlfn.XLOOKUP(J24,Tab_Def_Processes[Name(EN)],Tab_Def_Processes[Process_ID],,0,)</f>
        <v>00_Env_BB</v>
      </c>
      <c r="L24" s="51" t="s">
        <v>444</v>
      </c>
      <c r="M24" s="61" t="str">
        <f>_xlfn.XLOOKUP(L24,Tab_Def_Processes[Name(EN)],Tab_Def_Processes[Process_ID],,0,)</f>
        <v>08_Wat_BB</v>
      </c>
      <c r="N24" s="51"/>
      <c r="O24" s="95" t="s">
        <v>68</v>
      </c>
      <c r="P24" s="51" t="s">
        <v>68</v>
      </c>
      <c r="Q24" s="99" t="s">
        <v>68</v>
      </c>
      <c r="R24" s="106">
        <v>1</v>
      </c>
      <c r="S24" s="99"/>
      <c r="T24" s="106">
        <v>0</v>
      </c>
      <c r="U24" s="99"/>
      <c r="V24" s="106">
        <v>0</v>
      </c>
      <c r="W24" s="99"/>
      <c r="X24" s="123">
        <f>Tab_Def_Flows[[#This Row],[CC_DM'[%']]]*Tab_Def_Flows[[#This Row],[DM]]</f>
        <v>0</v>
      </c>
      <c r="Y24" s="51"/>
    </row>
    <row r="25" spans="1:25" x14ac:dyDescent="0.35">
      <c r="A25" s="93" t="b">
        <v>0</v>
      </c>
      <c r="B25" s="49">
        <f t="shared" si="0"/>
        <v>24</v>
      </c>
      <c r="C25" s="49" t="str">
        <f t="shared" si="1"/>
        <v>F_09_19</v>
      </c>
      <c r="D25" s="51" t="s">
        <v>503</v>
      </c>
      <c r="E25" s="92"/>
      <c r="F25" s="51" t="s">
        <v>353</v>
      </c>
      <c r="G25" s="92"/>
      <c r="H25" s="51" t="s">
        <v>364</v>
      </c>
      <c r="I25" s="92"/>
      <c r="J25" s="95" t="s">
        <v>364</v>
      </c>
      <c r="K25" s="49" t="str">
        <f>_xlfn.XLOOKUP(J25,Tab_Def_Processes[Name(EN)],Tab_Def_Processes[Process_ID],,0,)</f>
        <v>09_Bio_BB</v>
      </c>
      <c r="L25" s="51" t="s">
        <v>449</v>
      </c>
      <c r="M25" s="61" t="str">
        <f>_xlfn.XLOOKUP(L25,Tab_Def_Processes[Name(EN)],Tab_Def_Processes[Process_ID],,0,)</f>
        <v>19_Atm_BB</v>
      </c>
      <c r="N25" s="51"/>
      <c r="O25" s="95" t="s">
        <v>68</v>
      </c>
      <c r="P25" s="51" t="s">
        <v>68</v>
      </c>
      <c r="Q25" s="99" t="s">
        <v>68</v>
      </c>
      <c r="R25" s="106">
        <v>0</v>
      </c>
      <c r="S25" s="99"/>
      <c r="T25" s="106">
        <v>1</v>
      </c>
      <c r="U25" s="99"/>
      <c r="V25" s="106">
        <v>0.95</v>
      </c>
      <c r="W25" s="99" t="s">
        <v>419</v>
      </c>
      <c r="X25" s="123">
        <f>Tab_Def_Flows[[#This Row],[CC_DM'[%']]]*Tab_Def_Flows[[#This Row],[DM]]</f>
        <v>0.95</v>
      </c>
      <c r="Y25" s="51"/>
    </row>
    <row r="26" spans="1:25" x14ac:dyDescent="0.35">
      <c r="A26" s="93" t="b">
        <v>0</v>
      </c>
      <c r="B26" s="49">
        <f t="shared" si="0"/>
        <v>25</v>
      </c>
      <c r="C26" s="49" t="str">
        <f t="shared" si="1"/>
        <v>F_17_19</v>
      </c>
      <c r="D26" s="51" t="s">
        <v>507</v>
      </c>
      <c r="E26" s="92"/>
      <c r="F26" s="51" t="s">
        <v>353</v>
      </c>
      <c r="G26" s="92"/>
      <c r="H26" s="51" t="s">
        <v>382</v>
      </c>
      <c r="I26" s="92"/>
      <c r="J26" s="95" t="s">
        <v>349</v>
      </c>
      <c r="K26" s="49" t="str">
        <f>_xlfn.XLOOKUP(J26,Tab_Def_Processes[Name(EN)],Tab_Def_Processes[Process_ID],,0,)</f>
        <v>17_Lit_BB</v>
      </c>
      <c r="L26" s="51" t="s">
        <v>449</v>
      </c>
      <c r="M26" s="61" t="str">
        <f>_xlfn.XLOOKUP(L26,Tab_Def_Processes[Name(EN)],Tab_Def_Processes[Process_ID],,0,)</f>
        <v>19_Atm_BB</v>
      </c>
      <c r="N26" s="51"/>
      <c r="O26" s="95" t="s">
        <v>68</v>
      </c>
      <c r="P26" s="51" t="s">
        <v>68</v>
      </c>
      <c r="Q26" s="99" t="s">
        <v>68</v>
      </c>
      <c r="R26" s="106">
        <v>0</v>
      </c>
      <c r="S26" s="99"/>
      <c r="T26" s="106">
        <v>0</v>
      </c>
      <c r="U26" s="99"/>
      <c r="V26" s="106">
        <v>0</v>
      </c>
      <c r="W26" s="99"/>
      <c r="X26" s="125">
        <f>12.011/(12.011+2*15.999)</f>
        <v>0.27292144788565975</v>
      </c>
      <c r="Y26" s="51"/>
    </row>
    <row r="27" spans="1:25" x14ac:dyDescent="0.35">
      <c r="A27" s="93" t="b">
        <v>0</v>
      </c>
      <c r="B27" s="49">
        <f t="shared" si="0"/>
        <v>26</v>
      </c>
      <c r="C27" s="49" t="str">
        <f t="shared" si="1"/>
        <v>F_21_21</v>
      </c>
      <c r="D27" s="51"/>
      <c r="E27" s="92"/>
      <c r="F27" s="51"/>
      <c r="G27" s="92"/>
      <c r="H27" s="51"/>
      <c r="I27" s="92"/>
      <c r="J27" s="95"/>
      <c r="K27" s="49" t="str">
        <f>_xlfn.XLOOKUP(J27,Tab_Def_Processes[Name(EN)],Tab_Def_Processes[Process_ID],,0,)</f>
        <v>21__</v>
      </c>
      <c r="L27" s="51"/>
      <c r="M27" s="61" t="str">
        <f>_xlfn.XLOOKUP(L27,Tab_Def_Processes[Name(EN)],Tab_Def_Processes[Process_ID],,0,)</f>
        <v>21__</v>
      </c>
      <c r="N27" s="51"/>
      <c r="O27" s="95"/>
      <c r="P27" s="51"/>
      <c r="Q27" s="99"/>
      <c r="R27" s="106"/>
      <c r="S27" s="99"/>
      <c r="T27" s="106"/>
      <c r="U27" s="99"/>
      <c r="V27" s="106"/>
      <c r="W27" s="99"/>
      <c r="X27" s="51"/>
      <c r="Y27" s="51"/>
    </row>
    <row r="28" spans="1:25" x14ac:dyDescent="0.35">
      <c r="A28" s="93" t="b">
        <v>0</v>
      </c>
      <c r="B28" s="49">
        <f t="shared" si="0"/>
        <v>27</v>
      </c>
      <c r="C28" s="49" t="str">
        <f t="shared" si="1"/>
        <v>F_21_21</v>
      </c>
      <c r="D28" s="51"/>
      <c r="E28" s="92"/>
      <c r="F28" s="51"/>
      <c r="G28" s="92"/>
      <c r="H28" s="51"/>
      <c r="I28" s="92"/>
      <c r="J28" s="95"/>
      <c r="K28" s="49" t="str">
        <f>_xlfn.XLOOKUP(J28,Tab_Def_Processes[Name(EN)],Tab_Def_Processes[Process_ID],,0,)</f>
        <v>21__</v>
      </c>
      <c r="L28" s="51"/>
      <c r="M28" s="61" t="str">
        <f>_xlfn.XLOOKUP(L28,Tab_Def_Processes[Name(EN)],Tab_Def_Processes[Process_ID],,0,)</f>
        <v>21__</v>
      </c>
      <c r="N28" s="51"/>
      <c r="O28" s="95"/>
      <c r="P28" s="51"/>
      <c r="Q28" s="99"/>
      <c r="R28" s="106"/>
      <c r="S28" s="99"/>
      <c r="T28" s="106"/>
      <c r="U28" s="99"/>
      <c r="V28" s="106"/>
      <c r="W28" s="99"/>
      <c r="X28" s="51"/>
      <c r="Y28" s="51"/>
    </row>
    <row r="29" spans="1:25" x14ac:dyDescent="0.35">
      <c r="A29" s="93" t="b">
        <v>0</v>
      </c>
      <c r="B29" s="49">
        <f t="shared" si="0"/>
        <v>28</v>
      </c>
      <c r="C29" s="49" t="str">
        <f t="shared" si="1"/>
        <v>F_21_21</v>
      </c>
      <c r="D29" s="51"/>
      <c r="E29" s="92"/>
      <c r="F29" s="51"/>
      <c r="G29" s="92"/>
      <c r="H29" s="51"/>
      <c r="I29" s="92"/>
      <c r="J29" s="95"/>
      <c r="K29" s="49" t="str">
        <f>_xlfn.XLOOKUP(J29,Tab_Def_Processes[Name(EN)],Tab_Def_Processes[Process_ID],,0,)</f>
        <v>21__</v>
      </c>
      <c r="L29" s="51"/>
      <c r="M29" s="61" t="str">
        <f>_xlfn.XLOOKUP(L29,Tab_Def_Processes[Name(EN)],Tab_Def_Processes[Process_ID],,0,)</f>
        <v>21__</v>
      </c>
      <c r="N29" s="51"/>
      <c r="O29" s="95"/>
      <c r="P29" s="51"/>
      <c r="Q29" s="99"/>
      <c r="R29" s="106"/>
      <c r="S29" s="99"/>
      <c r="T29" s="106"/>
      <c r="U29" s="99"/>
      <c r="V29" s="106"/>
      <c r="W29" s="99"/>
      <c r="X29" s="51"/>
      <c r="Y29" s="51"/>
    </row>
    <row r="30" spans="1:25" x14ac:dyDescent="0.35">
      <c r="A30" s="93" t="b">
        <v>0</v>
      </c>
      <c r="B30" s="49">
        <f t="shared" si="0"/>
        <v>29</v>
      </c>
      <c r="C30" s="49" t="str">
        <f t="shared" si="1"/>
        <v>F_21_21</v>
      </c>
      <c r="D30" s="51"/>
      <c r="E30" s="92"/>
      <c r="F30" s="51"/>
      <c r="G30" s="92"/>
      <c r="H30" s="51"/>
      <c r="I30" s="92"/>
      <c r="J30" s="95"/>
      <c r="K30" s="49" t="str">
        <f>_xlfn.XLOOKUP(J30,Tab_Def_Processes[Name(EN)],Tab_Def_Processes[Process_ID],,0,)</f>
        <v>21__</v>
      </c>
      <c r="L30" s="51"/>
      <c r="M30" s="61" t="str">
        <f>_xlfn.XLOOKUP(L30,Tab_Def_Processes[Name(EN)],Tab_Def_Processes[Process_ID],,0,)</f>
        <v>21__</v>
      </c>
      <c r="N30" s="51"/>
      <c r="O30" s="95"/>
      <c r="P30" s="51"/>
      <c r="Q30" s="99"/>
      <c r="R30" s="106"/>
      <c r="S30" s="99"/>
      <c r="T30" s="106"/>
      <c r="U30" s="99"/>
      <c r="V30" s="106"/>
      <c r="W30" s="99"/>
      <c r="X30" s="51"/>
      <c r="Y30" s="51"/>
    </row>
    <row r="31" spans="1:25" x14ac:dyDescent="0.35">
      <c r="A31" s="93" t="b">
        <v>0</v>
      </c>
      <c r="B31" s="49">
        <f t="shared" si="0"/>
        <v>30</v>
      </c>
      <c r="C31" s="49" t="str">
        <f t="shared" si="1"/>
        <v>F_21_21</v>
      </c>
      <c r="D31" s="51"/>
      <c r="E31" s="92"/>
      <c r="F31" s="51"/>
      <c r="G31" s="92"/>
      <c r="H31" s="51"/>
      <c r="I31" s="92"/>
      <c r="J31" s="95"/>
      <c r="K31" s="49" t="str">
        <f>_xlfn.XLOOKUP(J31,Tab_Def_Processes[Name(EN)],Tab_Def_Processes[Process_ID],,0,)</f>
        <v>21__</v>
      </c>
      <c r="L31" s="51"/>
      <c r="M31" s="61" t="str">
        <f>_xlfn.XLOOKUP(L31,Tab_Def_Processes[Name(EN)],Tab_Def_Processes[Process_ID],,0,)</f>
        <v>21__</v>
      </c>
      <c r="N31" s="51"/>
      <c r="O31" s="95"/>
      <c r="P31" s="51"/>
      <c r="Q31" s="99"/>
      <c r="R31" s="106"/>
      <c r="S31" s="99"/>
      <c r="T31" s="106"/>
      <c r="U31" s="99"/>
      <c r="V31" s="106"/>
      <c r="W31" s="99"/>
      <c r="X31" s="51"/>
      <c r="Y31" s="51"/>
    </row>
    <row r="32" spans="1:25" x14ac:dyDescent="0.35">
      <c r="A32" s="93" t="b">
        <v>0</v>
      </c>
      <c r="B32" s="49">
        <f t="shared" si="0"/>
        <v>31</v>
      </c>
      <c r="C32" s="49" t="str">
        <f t="shared" si="1"/>
        <v>F_21_21</v>
      </c>
      <c r="D32" s="51"/>
      <c r="E32" s="92"/>
      <c r="F32" s="51"/>
      <c r="G32" s="92"/>
      <c r="H32" s="51"/>
      <c r="I32" s="92"/>
      <c r="J32" s="95"/>
      <c r="K32" s="49" t="str">
        <f>_xlfn.XLOOKUP(J32,Tab_Def_Processes[Name(EN)],Tab_Def_Processes[Process_ID],,0,)</f>
        <v>21__</v>
      </c>
      <c r="L32" s="51"/>
      <c r="M32" s="61" t="str">
        <f>_xlfn.XLOOKUP(L32,Tab_Def_Processes[Name(EN)],Tab_Def_Processes[Process_ID],,0,)</f>
        <v>21__</v>
      </c>
      <c r="N32" s="51"/>
      <c r="O32" s="95"/>
      <c r="P32" s="51"/>
      <c r="Q32" s="99"/>
      <c r="R32" s="106"/>
      <c r="S32" s="99"/>
      <c r="T32" s="106"/>
      <c r="U32" s="99"/>
      <c r="V32" s="106"/>
      <c r="W32" s="99"/>
      <c r="X32" s="51"/>
      <c r="Y32" s="51"/>
    </row>
    <row r="33" spans="1:25" x14ac:dyDescent="0.35">
      <c r="A33" s="93" t="b">
        <v>0</v>
      </c>
      <c r="B33" s="49">
        <f t="shared" ref="B33:B64" si="2">ROW()-1</f>
        <v>32</v>
      </c>
      <c r="C33" s="49" t="str">
        <f t="shared" si="1"/>
        <v>F_21_21</v>
      </c>
      <c r="D33" s="51"/>
      <c r="E33" s="92"/>
      <c r="F33" s="51"/>
      <c r="G33" s="92"/>
      <c r="H33" s="51"/>
      <c r="I33" s="92"/>
      <c r="J33" s="95"/>
      <c r="K33" s="49" t="str">
        <f>_xlfn.XLOOKUP(J33,Tab_Def_Processes[Name(EN)],Tab_Def_Processes[Process_ID],,0,)</f>
        <v>21__</v>
      </c>
      <c r="L33" s="51"/>
      <c r="M33" s="61" t="str">
        <f>_xlfn.XLOOKUP(L33,Tab_Def_Processes[Name(EN)],Tab_Def_Processes[Process_ID],,0,)</f>
        <v>21__</v>
      </c>
      <c r="N33" s="51"/>
      <c r="O33" s="95"/>
      <c r="P33" s="51"/>
      <c r="Q33" s="99"/>
      <c r="R33" s="122"/>
      <c r="S33" s="99"/>
      <c r="T33" s="122"/>
      <c r="U33" s="99"/>
      <c r="V33" s="122"/>
      <c r="W33" s="99"/>
      <c r="X33" s="51"/>
      <c r="Y33" s="51"/>
    </row>
    <row r="34" spans="1:25" x14ac:dyDescent="0.35">
      <c r="A34" s="93" t="b">
        <v>0</v>
      </c>
      <c r="B34" s="49">
        <f t="shared" si="2"/>
        <v>33</v>
      </c>
      <c r="C34" s="49" t="str">
        <f t="shared" si="1"/>
        <v>F_21_21</v>
      </c>
      <c r="D34" s="51"/>
      <c r="E34" s="92"/>
      <c r="F34" s="51"/>
      <c r="G34" s="92"/>
      <c r="H34" s="51"/>
      <c r="I34" s="92"/>
      <c r="J34" s="95"/>
      <c r="K34" s="49" t="str">
        <f>_xlfn.XLOOKUP(J34,Tab_Def_Processes[Name(EN)],Tab_Def_Processes[Process_ID],,0,)</f>
        <v>21__</v>
      </c>
      <c r="L34" s="51"/>
      <c r="M34" s="61" t="str">
        <f>_xlfn.XLOOKUP(L34,Tab_Def_Processes[Name(EN)],Tab_Def_Processes[Process_ID],,0,)</f>
        <v>21__</v>
      </c>
      <c r="N34" s="51"/>
      <c r="O34" s="95"/>
      <c r="P34" s="51"/>
      <c r="Q34" s="99"/>
      <c r="R34" s="122"/>
      <c r="S34" s="99"/>
      <c r="T34" s="122"/>
      <c r="U34" s="99"/>
      <c r="V34" s="122"/>
      <c r="W34" s="99"/>
      <c r="X34" s="51"/>
      <c r="Y34" s="51"/>
    </row>
    <row r="35" spans="1:25" x14ac:dyDescent="0.35">
      <c r="A35" s="93" t="b">
        <v>0</v>
      </c>
      <c r="B35" s="49">
        <f t="shared" si="2"/>
        <v>34</v>
      </c>
      <c r="C35" s="49" t="str">
        <f t="shared" si="1"/>
        <v>F_21_21</v>
      </c>
      <c r="D35" s="51"/>
      <c r="E35" s="92"/>
      <c r="F35" s="51"/>
      <c r="G35" s="92"/>
      <c r="H35" s="51"/>
      <c r="I35" s="92"/>
      <c r="J35" s="95"/>
      <c r="K35" s="49" t="str">
        <f>_xlfn.XLOOKUP(J35,Tab_Def_Processes[Name(EN)],Tab_Def_Processes[Process_ID],,0,)</f>
        <v>21__</v>
      </c>
      <c r="L35" s="51"/>
      <c r="M35" s="61" t="str">
        <f>_xlfn.XLOOKUP(L35,Tab_Def_Processes[Name(EN)],Tab_Def_Processes[Process_ID],,0,)</f>
        <v>21__</v>
      </c>
      <c r="N35" s="51"/>
      <c r="O35" s="95"/>
      <c r="P35" s="51"/>
      <c r="Q35" s="99"/>
      <c r="R35" s="122"/>
      <c r="S35" s="99"/>
      <c r="T35" s="122"/>
      <c r="U35" s="99"/>
      <c r="V35" s="122"/>
      <c r="W35" s="99"/>
      <c r="X35" s="51"/>
      <c r="Y35" s="51"/>
    </row>
    <row r="36" spans="1:25" x14ac:dyDescent="0.35">
      <c r="A36" s="93" t="b">
        <v>0</v>
      </c>
      <c r="B36" s="49">
        <f t="shared" si="2"/>
        <v>35</v>
      </c>
      <c r="C36" s="49" t="str">
        <f t="shared" si="1"/>
        <v>F_21_21</v>
      </c>
      <c r="D36" s="51"/>
      <c r="E36" s="92"/>
      <c r="F36" s="51"/>
      <c r="G36" s="92"/>
      <c r="H36" s="51"/>
      <c r="I36" s="92"/>
      <c r="J36" s="95"/>
      <c r="K36" s="49" t="str">
        <f>_xlfn.XLOOKUP(J36,Tab_Def_Processes[Name(EN)],Tab_Def_Processes[Process_ID],,0,)</f>
        <v>21__</v>
      </c>
      <c r="L36" s="51"/>
      <c r="M36" s="61" t="str">
        <f>_xlfn.XLOOKUP(L36,Tab_Def_Processes[Name(EN)],Tab_Def_Processes[Process_ID],,0,)</f>
        <v>21__</v>
      </c>
      <c r="N36" s="51"/>
      <c r="O36" s="95"/>
      <c r="P36" s="51"/>
      <c r="Q36" s="99"/>
      <c r="R36" s="122"/>
      <c r="S36" s="99"/>
      <c r="T36" s="122"/>
      <c r="U36" s="99"/>
      <c r="V36" s="122"/>
      <c r="W36" s="99"/>
      <c r="X36" s="51"/>
      <c r="Y36" s="51"/>
    </row>
    <row r="37" spans="1:25" x14ac:dyDescent="0.35">
      <c r="A37" s="93" t="b">
        <v>0</v>
      </c>
      <c r="B37" s="49">
        <f t="shared" si="2"/>
        <v>36</v>
      </c>
      <c r="C37" s="49" t="str">
        <f t="shared" si="1"/>
        <v>F_21_21</v>
      </c>
      <c r="D37" s="51"/>
      <c r="E37" s="92"/>
      <c r="F37" s="51"/>
      <c r="G37" s="92"/>
      <c r="H37" s="51"/>
      <c r="I37" s="92"/>
      <c r="J37" s="95"/>
      <c r="K37" s="49" t="str">
        <f>_xlfn.XLOOKUP(J37,Tab_Def_Processes[Name(EN)],Tab_Def_Processes[Process_ID],,0,)</f>
        <v>21__</v>
      </c>
      <c r="L37" s="51"/>
      <c r="M37" s="61" t="str">
        <f>_xlfn.XLOOKUP(L37,Tab_Def_Processes[Name(EN)],Tab_Def_Processes[Process_ID],,0,)</f>
        <v>21__</v>
      </c>
      <c r="N37" s="51"/>
      <c r="O37" s="95"/>
      <c r="P37" s="51"/>
      <c r="Q37" s="99"/>
      <c r="R37" s="122"/>
      <c r="S37" s="99"/>
      <c r="T37" s="122"/>
      <c r="U37" s="99"/>
      <c r="V37" s="122"/>
      <c r="W37" s="99"/>
      <c r="X37" s="51"/>
      <c r="Y37" s="51"/>
    </row>
    <row r="38" spans="1:25" x14ac:dyDescent="0.35">
      <c r="A38" s="93" t="b">
        <v>0</v>
      </c>
      <c r="B38" s="49">
        <f t="shared" si="2"/>
        <v>37</v>
      </c>
      <c r="C38" s="49" t="str">
        <f t="shared" si="1"/>
        <v>F_21_21</v>
      </c>
      <c r="D38" s="51"/>
      <c r="E38" s="92"/>
      <c r="F38" s="51"/>
      <c r="G38" s="92"/>
      <c r="H38" s="51"/>
      <c r="I38" s="92"/>
      <c r="J38" s="95"/>
      <c r="K38" s="49" t="str">
        <f>_xlfn.XLOOKUP(J38,Tab_Def_Processes[Name(EN)],Tab_Def_Processes[Process_ID],,0,)</f>
        <v>21__</v>
      </c>
      <c r="L38" s="51"/>
      <c r="M38" s="61" t="str">
        <f>_xlfn.XLOOKUP(L38,Tab_Def_Processes[Name(EN)],Tab_Def_Processes[Process_ID],,0,)</f>
        <v>21__</v>
      </c>
      <c r="N38" s="51"/>
      <c r="O38" s="95"/>
      <c r="P38" s="51"/>
      <c r="Q38" s="99"/>
      <c r="R38" s="122"/>
      <c r="S38" s="99"/>
      <c r="T38" s="122"/>
      <c r="U38" s="99"/>
      <c r="V38" s="122"/>
      <c r="W38" s="99"/>
      <c r="X38" s="51"/>
      <c r="Y38" s="51"/>
    </row>
    <row r="39" spans="1:25" x14ac:dyDescent="0.35">
      <c r="A39" s="93" t="b">
        <v>0</v>
      </c>
      <c r="B39" s="49">
        <f t="shared" si="2"/>
        <v>38</v>
      </c>
      <c r="C39" s="49" t="str">
        <f t="shared" si="1"/>
        <v>F_21_21</v>
      </c>
      <c r="D39" s="51"/>
      <c r="E39" s="92"/>
      <c r="F39" s="51"/>
      <c r="G39" s="92"/>
      <c r="H39" s="51"/>
      <c r="I39" s="92"/>
      <c r="J39" s="95"/>
      <c r="K39" s="49" t="str">
        <f>_xlfn.XLOOKUP(J39,Tab_Def_Processes[Name(EN)],Tab_Def_Processes[Process_ID],,0,)</f>
        <v>21__</v>
      </c>
      <c r="L39" s="51"/>
      <c r="M39" s="61" t="str">
        <f>_xlfn.XLOOKUP(L39,Tab_Def_Processes[Name(EN)],Tab_Def_Processes[Process_ID],,0,)</f>
        <v>21__</v>
      </c>
      <c r="N39" s="51"/>
      <c r="O39" s="95"/>
      <c r="P39" s="51"/>
      <c r="Q39" s="99"/>
      <c r="R39" s="122"/>
      <c r="S39" s="99"/>
      <c r="T39" s="122"/>
      <c r="U39" s="99"/>
      <c r="V39" s="122"/>
      <c r="W39" s="99"/>
      <c r="X39" s="51"/>
      <c r="Y39" s="51"/>
    </row>
    <row r="40" spans="1:25" x14ac:dyDescent="0.35">
      <c r="A40" s="93" t="b">
        <v>0</v>
      </c>
      <c r="B40" s="49">
        <f t="shared" si="2"/>
        <v>39</v>
      </c>
      <c r="C40" s="49" t="str">
        <f t="shared" si="1"/>
        <v>F_21_21</v>
      </c>
      <c r="D40" s="51"/>
      <c r="E40" s="92"/>
      <c r="F40" s="51"/>
      <c r="G40" s="92"/>
      <c r="H40" s="51"/>
      <c r="I40" s="92"/>
      <c r="J40" s="95"/>
      <c r="K40" s="49" t="str">
        <f>_xlfn.XLOOKUP(J40,Tab_Def_Processes[Name(EN)],Tab_Def_Processes[Process_ID],,0,)</f>
        <v>21__</v>
      </c>
      <c r="L40" s="51"/>
      <c r="M40" s="61" t="str">
        <f>_xlfn.XLOOKUP(L40,Tab_Def_Processes[Name(EN)],Tab_Def_Processes[Process_ID],,0,)</f>
        <v>21__</v>
      </c>
      <c r="N40" s="51"/>
      <c r="O40" s="95"/>
      <c r="P40" s="51"/>
      <c r="Q40" s="99"/>
      <c r="R40" s="122"/>
      <c r="S40" s="99"/>
      <c r="T40" s="122"/>
      <c r="U40" s="99"/>
      <c r="V40" s="122"/>
      <c r="W40" s="99"/>
      <c r="X40" s="51"/>
      <c r="Y40" s="51"/>
    </row>
    <row r="41" spans="1:25" x14ac:dyDescent="0.35">
      <c r="A41" s="93" t="b">
        <v>0</v>
      </c>
      <c r="B41" s="49">
        <f t="shared" si="2"/>
        <v>40</v>
      </c>
      <c r="C41" s="49" t="str">
        <f t="shared" si="1"/>
        <v>F_21_21</v>
      </c>
      <c r="D41" s="51"/>
      <c r="E41" s="92"/>
      <c r="F41" s="51"/>
      <c r="G41" s="92"/>
      <c r="H41" s="51"/>
      <c r="I41" s="92"/>
      <c r="J41" s="95"/>
      <c r="K41" s="49" t="str">
        <f>_xlfn.XLOOKUP(J41,Tab_Def_Processes[Name(EN)],Tab_Def_Processes[Process_ID],,0,)</f>
        <v>21__</v>
      </c>
      <c r="L41" s="51"/>
      <c r="M41" s="61" t="str">
        <f>_xlfn.XLOOKUP(L41,Tab_Def_Processes[Name(EN)],Tab_Def_Processes[Process_ID],,0,)</f>
        <v>21__</v>
      </c>
      <c r="N41" s="51"/>
      <c r="O41" s="95"/>
      <c r="P41" s="51"/>
      <c r="Q41" s="99"/>
      <c r="R41" s="122"/>
      <c r="S41" s="99"/>
      <c r="T41" s="122"/>
      <c r="U41" s="99"/>
      <c r="V41" s="122"/>
      <c r="W41" s="99"/>
      <c r="X41" s="51"/>
      <c r="Y41" s="51"/>
    </row>
    <row r="42" spans="1:25" x14ac:dyDescent="0.35">
      <c r="A42" s="93" t="b">
        <v>0</v>
      </c>
      <c r="B42" s="49">
        <f t="shared" si="2"/>
        <v>41</v>
      </c>
      <c r="C42" s="49" t="str">
        <f t="shared" si="1"/>
        <v>F_21_21</v>
      </c>
      <c r="D42" s="51"/>
      <c r="E42" s="92"/>
      <c r="F42" s="51"/>
      <c r="G42" s="92"/>
      <c r="H42" s="51"/>
      <c r="I42" s="92"/>
      <c r="J42" s="95"/>
      <c r="K42" s="49" t="str">
        <f>_xlfn.XLOOKUP(J42,Tab_Def_Processes[Name(EN)],Tab_Def_Processes[Process_ID],,0,)</f>
        <v>21__</v>
      </c>
      <c r="L42" s="51"/>
      <c r="M42" s="61" t="str">
        <f>_xlfn.XLOOKUP(L42,Tab_Def_Processes[Name(EN)],Tab_Def_Processes[Process_ID],,0,)</f>
        <v>21__</v>
      </c>
      <c r="N42" s="51"/>
      <c r="O42" s="95"/>
      <c r="P42" s="51"/>
      <c r="Q42" s="99"/>
      <c r="R42" s="122"/>
      <c r="S42" s="99"/>
      <c r="T42" s="122"/>
      <c r="U42" s="99"/>
      <c r="V42" s="122"/>
      <c r="W42" s="99"/>
      <c r="X42" s="51"/>
      <c r="Y42" s="51"/>
    </row>
    <row r="43" spans="1:25" x14ac:dyDescent="0.35">
      <c r="A43" s="93" t="b">
        <v>0</v>
      </c>
      <c r="B43" s="49">
        <f t="shared" si="2"/>
        <v>42</v>
      </c>
      <c r="C43" s="49" t="str">
        <f t="shared" si="1"/>
        <v>F_21_21</v>
      </c>
      <c r="D43" s="51"/>
      <c r="E43" s="92"/>
      <c r="F43" s="51"/>
      <c r="G43" s="92"/>
      <c r="H43" s="51"/>
      <c r="I43" s="92"/>
      <c r="J43" s="95"/>
      <c r="K43" s="49" t="str">
        <f>_xlfn.XLOOKUP(J43,Tab_Def_Processes[Name(EN)],Tab_Def_Processes[Process_ID],,0,)</f>
        <v>21__</v>
      </c>
      <c r="L43" s="51"/>
      <c r="M43" s="61" t="str">
        <f>_xlfn.XLOOKUP(L43,Tab_Def_Processes[Name(EN)],Tab_Def_Processes[Process_ID],,0,)</f>
        <v>21__</v>
      </c>
      <c r="N43" s="51"/>
      <c r="O43" s="95"/>
      <c r="P43" s="51"/>
      <c r="Q43" s="99"/>
      <c r="R43" s="122"/>
      <c r="S43" s="99"/>
      <c r="T43" s="122"/>
      <c r="U43" s="99"/>
      <c r="V43" s="122"/>
      <c r="W43" s="99"/>
      <c r="X43" s="51"/>
      <c r="Y43" s="51"/>
    </row>
    <row r="44" spans="1:25" x14ac:dyDescent="0.35">
      <c r="A44" s="93" t="b">
        <v>0</v>
      </c>
      <c r="B44" s="49">
        <f t="shared" si="2"/>
        <v>43</v>
      </c>
      <c r="C44" s="49" t="str">
        <f t="shared" si="1"/>
        <v>F_21_21</v>
      </c>
      <c r="D44" s="51"/>
      <c r="E44" s="92"/>
      <c r="F44" s="51"/>
      <c r="G44" s="92"/>
      <c r="H44" s="51"/>
      <c r="I44" s="92"/>
      <c r="J44" s="95"/>
      <c r="K44" s="49" t="str">
        <f>_xlfn.XLOOKUP(J44,Tab_Def_Processes[Name(EN)],Tab_Def_Processes[Process_ID],,0,)</f>
        <v>21__</v>
      </c>
      <c r="L44" s="51"/>
      <c r="M44" s="61" t="str">
        <f>_xlfn.XLOOKUP(L44,Tab_Def_Processes[Name(EN)],Tab_Def_Processes[Process_ID],,0,)</f>
        <v>21__</v>
      </c>
      <c r="N44" s="51"/>
      <c r="O44" s="95"/>
      <c r="P44" s="51"/>
      <c r="Q44" s="99"/>
      <c r="R44" s="122"/>
      <c r="S44" s="99"/>
      <c r="T44" s="122"/>
      <c r="U44" s="99"/>
      <c r="V44" s="122"/>
      <c r="W44" s="99"/>
      <c r="X44" s="51"/>
      <c r="Y44" s="51"/>
    </row>
    <row r="45" spans="1:25" x14ac:dyDescent="0.35">
      <c r="A45" s="93" t="b">
        <v>0</v>
      </c>
      <c r="B45" s="49">
        <f t="shared" si="2"/>
        <v>44</v>
      </c>
      <c r="C45" s="49" t="str">
        <f t="shared" si="1"/>
        <v>F_21_21</v>
      </c>
      <c r="D45" s="51"/>
      <c r="E45" s="92"/>
      <c r="F45" s="51"/>
      <c r="G45" s="92"/>
      <c r="H45" s="51"/>
      <c r="I45" s="92"/>
      <c r="J45" s="95"/>
      <c r="K45" s="49" t="str">
        <f>_xlfn.XLOOKUP(J45,Tab_Def_Processes[Name(EN)],Tab_Def_Processes[Process_ID],,0,)</f>
        <v>21__</v>
      </c>
      <c r="L45" s="51"/>
      <c r="M45" s="61" t="str">
        <f>_xlfn.XLOOKUP(L45,Tab_Def_Processes[Name(EN)],Tab_Def_Processes[Process_ID],,0,)</f>
        <v>21__</v>
      </c>
      <c r="N45" s="51"/>
      <c r="O45" s="95"/>
      <c r="P45" s="51"/>
      <c r="Q45" s="99"/>
      <c r="R45" s="122"/>
      <c r="S45" s="99"/>
      <c r="T45" s="122"/>
      <c r="U45" s="99"/>
      <c r="V45" s="122"/>
      <c r="W45" s="99"/>
      <c r="X45" s="51"/>
      <c r="Y45" s="51"/>
    </row>
    <row r="46" spans="1:25" x14ac:dyDescent="0.35">
      <c r="A46" s="93" t="b">
        <v>0</v>
      </c>
      <c r="B46" s="49">
        <f t="shared" si="2"/>
        <v>45</v>
      </c>
      <c r="C46" s="49" t="str">
        <f t="shared" si="1"/>
        <v>F_21_21</v>
      </c>
      <c r="D46" s="51"/>
      <c r="E46" s="92"/>
      <c r="F46" s="51"/>
      <c r="G46" s="92"/>
      <c r="H46" s="51"/>
      <c r="I46" s="92"/>
      <c r="J46" s="95"/>
      <c r="K46" s="49" t="str">
        <f>_xlfn.XLOOKUP(J46,Tab_Def_Processes[Name(EN)],Tab_Def_Processes[Process_ID],,0,)</f>
        <v>21__</v>
      </c>
      <c r="L46" s="51"/>
      <c r="M46" s="61" t="str">
        <f>_xlfn.XLOOKUP(L46,Tab_Def_Processes[Name(EN)],Tab_Def_Processes[Process_ID],,0,)</f>
        <v>21__</v>
      </c>
      <c r="N46" s="51"/>
      <c r="O46" s="95"/>
      <c r="P46" s="51"/>
      <c r="Q46" s="99"/>
      <c r="R46" s="122"/>
      <c r="S46" s="99"/>
      <c r="T46" s="122"/>
      <c r="U46" s="99"/>
      <c r="V46" s="122"/>
      <c r="W46" s="99"/>
      <c r="X46" s="51"/>
      <c r="Y46" s="51"/>
    </row>
    <row r="47" spans="1:25" x14ac:dyDescent="0.35">
      <c r="A47" s="93" t="b">
        <v>0</v>
      </c>
      <c r="B47" s="49">
        <f t="shared" si="2"/>
        <v>46</v>
      </c>
      <c r="C47" s="49" t="str">
        <f t="shared" si="1"/>
        <v>F_21_21</v>
      </c>
      <c r="D47" s="51"/>
      <c r="E47" s="92"/>
      <c r="F47" s="51"/>
      <c r="G47" s="92"/>
      <c r="H47" s="51"/>
      <c r="I47" s="92"/>
      <c r="J47" s="95"/>
      <c r="K47" s="49" t="str">
        <f>_xlfn.XLOOKUP(J47,Tab_Def_Processes[Name(EN)],Tab_Def_Processes[Process_ID],,0,)</f>
        <v>21__</v>
      </c>
      <c r="L47" s="51"/>
      <c r="M47" s="61" t="str">
        <f>_xlfn.XLOOKUP(L47,Tab_Def_Processes[Name(EN)],Tab_Def_Processes[Process_ID],,0,)</f>
        <v>21__</v>
      </c>
      <c r="N47" s="51"/>
      <c r="O47" s="95"/>
      <c r="P47" s="51"/>
      <c r="Q47" s="99"/>
      <c r="R47" s="122"/>
      <c r="S47" s="99"/>
      <c r="T47" s="122"/>
      <c r="U47" s="99"/>
      <c r="V47" s="122"/>
      <c r="W47" s="99"/>
      <c r="X47" s="51"/>
      <c r="Y47" s="51"/>
    </row>
    <row r="48" spans="1:25" x14ac:dyDescent="0.35">
      <c r="A48" s="93" t="b">
        <v>0</v>
      </c>
      <c r="B48" s="49">
        <f t="shared" si="2"/>
        <v>47</v>
      </c>
      <c r="C48" s="49" t="str">
        <f t="shared" si="1"/>
        <v>F_21_21</v>
      </c>
      <c r="D48" s="51"/>
      <c r="E48" s="92"/>
      <c r="F48" s="51"/>
      <c r="G48" s="92"/>
      <c r="H48" s="51"/>
      <c r="I48" s="92"/>
      <c r="J48" s="95"/>
      <c r="K48" s="49" t="str">
        <f>_xlfn.XLOOKUP(J48,Tab_Def_Processes[Name(EN)],Tab_Def_Processes[Process_ID],,0,)</f>
        <v>21__</v>
      </c>
      <c r="L48" s="51"/>
      <c r="M48" s="61" t="str">
        <f>_xlfn.XLOOKUP(L48,Tab_Def_Processes[Name(EN)],Tab_Def_Processes[Process_ID],,0,)</f>
        <v>21__</v>
      </c>
      <c r="N48" s="51"/>
      <c r="O48" s="95"/>
      <c r="P48" s="51"/>
      <c r="Q48" s="99"/>
      <c r="R48" s="122"/>
      <c r="S48" s="99"/>
      <c r="T48" s="122"/>
      <c r="U48" s="99"/>
      <c r="V48" s="122"/>
      <c r="W48" s="99"/>
      <c r="X48" s="51"/>
      <c r="Y48" s="51"/>
    </row>
    <row r="49" spans="1:25" x14ac:dyDescent="0.35">
      <c r="A49" s="93" t="b">
        <v>0</v>
      </c>
      <c r="B49" s="49">
        <f t="shared" si="2"/>
        <v>48</v>
      </c>
      <c r="C49" s="49" t="str">
        <f t="shared" si="1"/>
        <v>F_21_21</v>
      </c>
      <c r="D49" s="51"/>
      <c r="E49" s="92"/>
      <c r="F49" s="51"/>
      <c r="G49" s="92"/>
      <c r="H49" s="51"/>
      <c r="I49" s="92"/>
      <c r="J49" s="95"/>
      <c r="K49" s="49" t="str">
        <f>_xlfn.XLOOKUP(J49,Tab_Def_Processes[Name(EN)],Tab_Def_Processes[Process_ID],,0,)</f>
        <v>21__</v>
      </c>
      <c r="L49" s="51"/>
      <c r="M49" s="61" t="str">
        <f>_xlfn.XLOOKUP(L49,Tab_Def_Processes[Name(EN)],Tab_Def_Processes[Process_ID],,0,)</f>
        <v>21__</v>
      </c>
      <c r="N49" s="51"/>
      <c r="O49" s="95"/>
      <c r="P49" s="51"/>
      <c r="Q49" s="99"/>
      <c r="R49" s="122"/>
      <c r="S49" s="99"/>
      <c r="T49" s="122"/>
      <c r="U49" s="99"/>
      <c r="V49" s="122"/>
      <c r="W49" s="99"/>
      <c r="X49" s="51"/>
      <c r="Y49" s="51"/>
    </row>
    <row r="50" spans="1:25" x14ac:dyDescent="0.35">
      <c r="A50" s="93" t="b">
        <v>0</v>
      </c>
      <c r="B50" s="49">
        <f t="shared" si="2"/>
        <v>49</v>
      </c>
      <c r="C50" s="49" t="str">
        <f t="shared" si="1"/>
        <v>F_21_21</v>
      </c>
      <c r="D50" s="51"/>
      <c r="E50" s="92"/>
      <c r="F50" s="51"/>
      <c r="G50" s="92"/>
      <c r="H50" s="51"/>
      <c r="I50" s="92"/>
      <c r="J50" s="95"/>
      <c r="K50" s="49" t="str">
        <f>_xlfn.XLOOKUP(J50,Tab_Def_Processes[Name(EN)],Tab_Def_Processes[Process_ID],,0,)</f>
        <v>21__</v>
      </c>
      <c r="L50" s="51"/>
      <c r="M50" s="61" t="str">
        <f>_xlfn.XLOOKUP(L50,Tab_Def_Processes[Name(EN)],Tab_Def_Processes[Process_ID],,0,)</f>
        <v>21__</v>
      </c>
      <c r="N50" s="51"/>
      <c r="O50" s="95"/>
      <c r="P50" s="51"/>
      <c r="Q50" s="99"/>
      <c r="R50" s="122"/>
      <c r="S50" s="99"/>
      <c r="T50" s="122"/>
      <c r="U50" s="99"/>
      <c r="V50" s="122"/>
      <c r="W50" s="99"/>
      <c r="X50" s="51"/>
      <c r="Y50" s="51"/>
    </row>
    <row r="51" spans="1:25" x14ac:dyDescent="0.35">
      <c r="A51" s="93" t="b">
        <v>0</v>
      </c>
      <c r="B51" s="49">
        <f t="shared" si="2"/>
        <v>50</v>
      </c>
      <c r="C51" s="49" t="str">
        <f t="shared" si="1"/>
        <v>F_21_21</v>
      </c>
      <c r="D51" s="51"/>
      <c r="E51" s="92"/>
      <c r="F51" s="51"/>
      <c r="G51" s="92"/>
      <c r="H51" s="51"/>
      <c r="I51" s="92"/>
      <c r="J51" s="95"/>
      <c r="K51" s="49" t="str">
        <f>_xlfn.XLOOKUP(J51,Tab_Def_Processes[Name(EN)],Tab_Def_Processes[Process_ID],,0,)</f>
        <v>21__</v>
      </c>
      <c r="L51" s="51"/>
      <c r="M51" s="61" t="str">
        <f>_xlfn.XLOOKUP(L51,Tab_Def_Processes[Name(EN)],Tab_Def_Processes[Process_ID],,0,)</f>
        <v>21__</v>
      </c>
      <c r="N51" s="51"/>
      <c r="O51" s="95"/>
      <c r="P51" s="51"/>
      <c r="Q51" s="99"/>
      <c r="R51" s="122"/>
      <c r="S51" s="99"/>
      <c r="T51" s="122"/>
      <c r="U51" s="99"/>
      <c r="V51" s="122"/>
      <c r="W51" s="99"/>
      <c r="X51" s="51"/>
      <c r="Y51" s="51"/>
    </row>
    <row r="52" spans="1:25" ht="15" customHeight="1" x14ac:dyDescent="0.35">
      <c r="A52" s="93" t="b">
        <v>0</v>
      </c>
      <c r="B52" s="49">
        <f t="shared" si="2"/>
        <v>51</v>
      </c>
      <c r="C52" s="49" t="str">
        <f t="shared" si="1"/>
        <v>F_21_21</v>
      </c>
      <c r="D52" s="51"/>
      <c r="E52" s="96"/>
      <c r="F52" s="69"/>
      <c r="G52" s="92"/>
      <c r="H52" s="51"/>
      <c r="I52" s="96"/>
      <c r="J52" s="95"/>
      <c r="K52" s="49" t="str">
        <f>_xlfn.XLOOKUP(J52,Tab_Def_Processes[Name(EN)],Tab_Def_Processes[Process_ID],,0,)</f>
        <v>21__</v>
      </c>
      <c r="L52" s="51"/>
      <c r="M52" s="61" t="str">
        <f>_xlfn.XLOOKUP(L52,Tab_Def_Processes[Name(EN)],Tab_Def_Processes[Process_ID],,0,)</f>
        <v>21__</v>
      </c>
      <c r="N52" s="51"/>
      <c r="O52" s="95"/>
      <c r="P52" s="51"/>
      <c r="Q52" s="99"/>
      <c r="R52" s="122"/>
      <c r="S52" s="99"/>
      <c r="T52" s="122"/>
      <c r="U52" s="99"/>
      <c r="V52" s="122"/>
      <c r="W52" s="99"/>
      <c r="X52" s="51"/>
      <c r="Y52" s="51"/>
    </row>
    <row r="53" spans="1:25" ht="15" customHeight="1" x14ac:dyDescent="0.35">
      <c r="A53" s="93" t="b">
        <v>0</v>
      </c>
      <c r="B53" s="49">
        <f t="shared" si="2"/>
        <v>52</v>
      </c>
      <c r="C53" s="49" t="str">
        <f t="shared" si="1"/>
        <v>F_21_21</v>
      </c>
      <c r="D53" s="51"/>
      <c r="E53" s="96"/>
      <c r="F53" s="69"/>
      <c r="G53" s="92"/>
      <c r="H53" s="51"/>
      <c r="I53" s="96"/>
      <c r="J53" s="95"/>
      <c r="K53" s="49" t="str">
        <f>_xlfn.XLOOKUP(J53,Tab_Def_Processes[Name(EN)],Tab_Def_Processes[Process_ID],,0,)</f>
        <v>21__</v>
      </c>
      <c r="L53" s="51"/>
      <c r="M53" s="61" t="str">
        <f>_xlfn.XLOOKUP(L53,Tab_Def_Processes[Name(EN)],Tab_Def_Processes[Process_ID],,0,)</f>
        <v>21__</v>
      </c>
      <c r="N53" s="51"/>
      <c r="O53" s="95"/>
      <c r="P53" s="51"/>
      <c r="Q53" s="99"/>
      <c r="R53" s="122"/>
      <c r="S53" s="99"/>
      <c r="T53" s="122"/>
      <c r="U53" s="99"/>
      <c r="V53" s="122"/>
      <c r="W53" s="99"/>
      <c r="X53" s="51"/>
      <c r="Y53" s="51"/>
    </row>
    <row r="54" spans="1:25" ht="15" customHeight="1" x14ac:dyDescent="0.35">
      <c r="A54" s="93" t="b">
        <v>0</v>
      </c>
      <c r="B54" s="49">
        <f t="shared" si="2"/>
        <v>53</v>
      </c>
      <c r="C54" s="49" t="str">
        <f t="shared" si="1"/>
        <v>F_21_21</v>
      </c>
      <c r="D54" s="51"/>
      <c r="E54" s="96"/>
      <c r="F54" s="69"/>
      <c r="G54" s="92"/>
      <c r="H54" s="51"/>
      <c r="I54" s="96"/>
      <c r="J54" s="95"/>
      <c r="K54" s="49" t="str">
        <f>_xlfn.XLOOKUP(J54,Tab_Def_Processes[Name(EN)],Tab_Def_Processes[Process_ID],,0,)</f>
        <v>21__</v>
      </c>
      <c r="L54" s="51"/>
      <c r="M54" s="61" t="str">
        <f>_xlfn.XLOOKUP(L54,Tab_Def_Processes[Name(EN)],Tab_Def_Processes[Process_ID],,0,)</f>
        <v>21__</v>
      </c>
      <c r="N54" s="51"/>
      <c r="O54" s="95"/>
      <c r="P54" s="51"/>
      <c r="Q54" s="99"/>
      <c r="R54" s="122"/>
      <c r="S54" s="99"/>
      <c r="T54" s="122"/>
      <c r="U54" s="99"/>
      <c r="V54" s="122"/>
      <c r="W54" s="99"/>
      <c r="X54" s="51"/>
      <c r="Y54" s="51"/>
    </row>
    <row r="55" spans="1:25" ht="15" customHeight="1" x14ac:dyDescent="0.35">
      <c r="A55" s="93" t="b">
        <v>0</v>
      </c>
      <c r="B55" s="49">
        <f t="shared" si="2"/>
        <v>54</v>
      </c>
      <c r="C55" s="49" t="str">
        <f t="shared" si="1"/>
        <v>F_21_21</v>
      </c>
      <c r="D55" s="51"/>
      <c r="E55" s="96"/>
      <c r="F55" s="69"/>
      <c r="G55" s="92"/>
      <c r="H55" s="51"/>
      <c r="I55" s="96"/>
      <c r="J55" s="95"/>
      <c r="K55" s="49" t="str">
        <f>_xlfn.XLOOKUP(J55,Tab_Def_Processes[Name(EN)],Tab_Def_Processes[Process_ID],,0,)</f>
        <v>21__</v>
      </c>
      <c r="L55" s="51"/>
      <c r="M55" s="61" t="str">
        <f>_xlfn.XLOOKUP(L55,Tab_Def_Processes[Name(EN)],Tab_Def_Processes[Process_ID],,0,)</f>
        <v>21__</v>
      </c>
      <c r="N55" s="51"/>
      <c r="O55" s="95"/>
      <c r="P55" s="51"/>
      <c r="Q55" s="99"/>
      <c r="R55" s="122"/>
      <c r="S55" s="99"/>
      <c r="T55" s="122"/>
      <c r="U55" s="99"/>
      <c r="V55" s="122"/>
      <c r="W55" s="99"/>
      <c r="X55" s="51"/>
      <c r="Y55" s="51"/>
    </row>
    <row r="56" spans="1:25" ht="15" customHeight="1" x14ac:dyDescent="0.35">
      <c r="A56" s="93" t="b">
        <v>0</v>
      </c>
      <c r="B56" s="49">
        <f t="shared" si="2"/>
        <v>55</v>
      </c>
      <c r="C56" s="49" t="str">
        <f t="shared" si="1"/>
        <v>F_21_21</v>
      </c>
      <c r="D56" s="51"/>
      <c r="E56" s="96"/>
      <c r="F56" s="51"/>
      <c r="G56" s="92"/>
      <c r="H56" s="51"/>
      <c r="I56" s="96"/>
      <c r="J56" s="95"/>
      <c r="K56" s="49" t="str">
        <f>_xlfn.XLOOKUP(J56,Tab_Def_Processes[Name(EN)],Tab_Def_Processes[Process_ID],,0,)</f>
        <v>21__</v>
      </c>
      <c r="L56" s="51"/>
      <c r="M56" s="61" t="str">
        <f>_xlfn.XLOOKUP(L56,Tab_Def_Processes[Name(EN)],Tab_Def_Processes[Process_ID],,0,)</f>
        <v>21__</v>
      </c>
      <c r="N56" s="51"/>
      <c r="O56" s="95"/>
      <c r="P56" s="51"/>
      <c r="Q56" s="99"/>
      <c r="R56" s="122"/>
      <c r="S56" s="99"/>
      <c r="T56" s="122"/>
      <c r="U56" s="99"/>
      <c r="V56" s="122"/>
      <c r="W56" s="99"/>
      <c r="X56" s="51"/>
      <c r="Y56" s="51"/>
    </row>
    <row r="57" spans="1:25" ht="15" customHeight="1" x14ac:dyDescent="0.35">
      <c r="A57" s="93" t="b">
        <v>0</v>
      </c>
      <c r="B57" s="49">
        <f t="shared" si="2"/>
        <v>56</v>
      </c>
      <c r="C57" s="49" t="str">
        <f t="shared" si="1"/>
        <v>F_21_21</v>
      </c>
      <c r="D57" s="51"/>
      <c r="E57" s="96"/>
      <c r="F57" s="51"/>
      <c r="G57" s="92"/>
      <c r="H57" s="51"/>
      <c r="I57" s="96"/>
      <c r="J57" s="95"/>
      <c r="K57" s="49" t="str">
        <f>_xlfn.XLOOKUP(J57,Tab_Def_Processes[Name(EN)],Tab_Def_Processes[Process_ID],,0,)</f>
        <v>21__</v>
      </c>
      <c r="L57" s="51"/>
      <c r="M57" s="61" t="str">
        <f>_xlfn.XLOOKUP(L57,Tab_Def_Processes[Name(EN)],Tab_Def_Processes[Process_ID],,0,)</f>
        <v>21__</v>
      </c>
      <c r="N57" s="51"/>
      <c r="O57" s="95"/>
      <c r="P57" s="51"/>
      <c r="Q57" s="99"/>
      <c r="R57" s="122"/>
      <c r="S57" s="99"/>
      <c r="T57" s="122"/>
      <c r="U57" s="99"/>
      <c r="V57" s="122"/>
      <c r="W57" s="99"/>
      <c r="X57" s="51"/>
      <c r="Y57" s="51"/>
    </row>
    <row r="58" spans="1:25" ht="15" customHeight="1" x14ac:dyDescent="0.35">
      <c r="A58" s="93" t="b">
        <v>0</v>
      </c>
      <c r="B58" s="49">
        <f t="shared" si="2"/>
        <v>57</v>
      </c>
      <c r="C58" s="49" t="str">
        <f t="shared" si="1"/>
        <v>F_21_21</v>
      </c>
      <c r="D58" s="51"/>
      <c r="E58" s="96"/>
      <c r="F58" s="51"/>
      <c r="G58" s="92"/>
      <c r="H58" s="51"/>
      <c r="I58" s="96"/>
      <c r="J58" s="95"/>
      <c r="K58" s="49" t="str">
        <f>_xlfn.XLOOKUP(J58,Tab_Def_Processes[Name(EN)],Tab_Def_Processes[Process_ID],,0,)</f>
        <v>21__</v>
      </c>
      <c r="L58" s="51"/>
      <c r="M58" s="61" t="str">
        <f>_xlfn.XLOOKUP(L58,Tab_Def_Processes[Name(EN)],Tab_Def_Processes[Process_ID],,0,)</f>
        <v>21__</v>
      </c>
      <c r="N58" s="51"/>
      <c r="O58" s="95"/>
      <c r="P58" s="51"/>
      <c r="Q58" s="99"/>
      <c r="R58" s="122"/>
      <c r="S58" s="99"/>
      <c r="T58" s="122"/>
      <c r="U58" s="99"/>
      <c r="V58" s="122"/>
      <c r="W58" s="99"/>
      <c r="X58" s="51"/>
      <c r="Y58" s="51"/>
    </row>
    <row r="59" spans="1:25" ht="15" customHeight="1" x14ac:dyDescent="0.35">
      <c r="A59" s="93" t="b">
        <v>0</v>
      </c>
      <c r="B59" s="49">
        <f t="shared" si="2"/>
        <v>58</v>
      </c>
      <c r="C59" s="49" t="str">
        <f t="shared" si="1"/>
        <v>F_21_21</v>
      </c>
      <c r="D59" s="51"/>
      <c r="E59" s="96"/>
      <c r="F59" s="51"/>
      <c r="G59" s="92"/>
      <c r="H59" s="51"/>
      <c r="I59" s="96"/>
      <c r="J59" s="95"/>
      <c r="K59" s="49" t="str">
        <f>_xlfn.XLOOKUP(J59,Tab_Def_Processes[Name(EN)],Tab_Def_Processes[Process_ID],,0,)</f>
        <v>21__</v>
      </c>
      <c r="L59" s="51"/>
      <c r="M59" s="61" t="str">
        <f>_xlfn.XLOOKUP(L59,Tab_Def_Processes[Name(EN)],Tab_Def_Processes[Process_ID],,0,)</f>
        <v>21__</v>
      </c>
      <c r="N59" s="51"/>
      <c r="O59" s="95"/>
      <c r="P59" s="51"/>
      <c r="Q59" s="99"/>
      <c r="R59" s="122"/>
      <c r="S59" s="99"/>
      <c r="T59" s="122"/>
      <c r="U59" s="99"/>
      <c r="V59" s="122"/>
      <c r="W59" s="99"/>
      <c r="X59" s="51"/>
      <c r="Y59" s="51"/>
    </row>
    <row r="60" spans="1:25" x14ac:dyDescent="0.35">
      <c r="A60" s="93" t="b">
        <v>0</v>
      </c>
      <c r="B60" s="49">
        <f t="shared" si="2"/>
        <v>59</v>
      </c>
      <c r="C60" s="49" t="str">
        <f t="shared" si="1"/>
        <v>F_21_21</v>
      </c>
      <c r="D60" s="51"/>
      <c r="E60" s="96"/>
      <c r="F60" s="51"/>
      <c r="G60" s="92"/>
      <c r="H60" s="51"/>
      <c r="I60" s="92"/>
      <c r="J60" s="95"/>
      <c r="K60" s="49" t="str">
        <f>_xlfn.XLOOKUP(J60,Tab_Def_Processes[Name(EN)],Tab_Def_Processes[Process_ID],,0,)</f>
        <v>21__</v>
      </c>
      <c r="L60" s="51"/>
      <c r="M60" s="61" t="str">
        <f>_xlfn.XLOOKUP(L60,Tab_Def_Processes[Name(EN)],Tab_Def_Processes[Process_ID],,0,)</f>
        <v>21__</v>
      </c>
      <c r="N60" s="51"/>
      <c r="O60" s="95"/>
      <c r="P60" s="51"/>
      <c r="Q60" s="99"/>
      <c r="R60" s="122"/>
      <c r="S60" s="99"/>
      <c r="T60" s="122"/>
      <c r="U60" s="99"/>
      <c r="V60" s="122"/>
      <c r="W60" s="99"/>
      <c r="X60" s="51"/>
      <c r="Y60" s="51"/>
    </row>
    <row r="61" spans="1:25" x14ac:dyDescent="0.35">
      <c r="A61" s="93" t="b">
        <v>0</v>
      </c>
      <c r="B61" s="49">
        <f t="shared" si="2"/>
        <v>60</v>
      </c>
      <c r="C61" s="49" t="str">
        <f t="shared" si="1"/>
        <v>F_21_21</v>
      </c>
      <c r="D61" s="51"/>
      <c r="E61" s="96"/>
      <c r="F61" s="51"/>
      <c r="G61" s="92"/>
      <c r="H61" s="51"/>
      <c r="I61" s="92"/>
      <c r="J61" s="95"/>
      <c r="K61" s="49" t="str">
        <f>_xlfn.XLOOKUP(J61,Tab_Def_Processes[Name(EN)],Tab_Def_Processes[Process_ID],,0,)</f>
        <v>21__</v>
      </c>
      <c r="L61" s="51"/>
      <c r="M61" s="61" t="str">
        <f>_xlfn.XLOOKUP(L61,Tab_Def_Processes[Name(EN)],Tab_Def_Processes[Process_ID],,0,)</f>
        <v>21__</v>
      </c>
      <c r="N61" s="51"/>
      <c r="O61" s="95"/>
      <c r="P61" s="51"/>
      <c r="Q61" s="99"/>
      <c r="R61" s="122"/>
      <c r="S61" s="99"/>
      <c r="T61" s="122"/>
      <c r="U61" s="99"/>
      <c r="V61" s="122"/>
      <c r="W61" s="99"/>
      <c r="X61" s="51"/>
      <c r="Y61" s="51"/>
    </row>
    <row r="62" spans="1:25" x14ac:dyDescent="0.35">
      <c r="A62" s="93" t="b">
        <v>0</v>
      </c>
      <c r="B62" s="49">
        <f t="shared" si="2"/>
        <v>61</v>
      </c>
      <c r="C62" s="49" t="str">
        <f t="shared" si="1"/>
        <v>F_21_21</v>
      </c>
      <c r="D62" s="51"/>
      <c r="E62" s="96"/>
      <c r="F62" s="51"/>
      <c r="G62" s="92"/>
      <c r="H62" s="51"/>
      <c r="I62" s="92"/>
      <c r="J62" s="95"/>
      <c r="K62" s="49" t="str">
        <f>_xlfn.XLOOKUP(J62,Tab_Def_Processes[Name(EN)],Tab_Def_Processes[Process_ID],,0,)</f>
        <v>21__</v>
      </c>
      <c r="L62" s="51"/>
      <c r="M62" s="61" t="str">
        <f>_xlfn.XLOOKUP(L62,Tab_Def_Processes[Name(EN)],Tab_Def_Processes[Process_ID],,0,)</f>
        <v>21__</v>
      </c>
      <c r="N62" s="51"/>
      <c r="O62" s="95"/>
      <c r="P62" s="51"/>
      <c r="Q62" s="99"/>
      <c r="R62" s="122"/>
      <c r="S62" s="99"/>
      <c r="T62" s="122"/>
      <c r="U62" s="99"/>
      <c r="V62" s="122"/>
      <c r="W62" s="99"/>
      <c r="X62" s="51"/>
      <c r="Y62" s="51"/>
    </row>
    <row r="63" spans="1:25" x14ac:dyDescent="0.35">
      <c r="A63" s="93" t="b">
        <v>0</v>
      </c>
      <c r="B63" s="49">
        <f t="shared" si="2"/>
        <v>62</v>
      </c>
      <c r="C63" s="49" t="str">
        <f t="shared" si="1"/>
        <v>F_21_21</v>
      </c>
      <c r="D63" s="51"/>
      <c r="E63" s="96"/>
      <c r="F63" s="51"/>
      <c r="G63" s="92"/>
      <c r="H63" s="51"/>
      <c r="I63" s="92"/>
      <c r="J63" s="95"/>
      <c r="K63" s="49" t="str">
        <f>_xlfn.XLOOKUP(J63,Tab_Def_Processes[Name(EN)],Tab_Def_Processes[Process_ID],,0,)</f>
        <v>21__</v>
      </c>
      <c r="L63" s="51"/>
      <c r="M63" s="61" t="str">
        <f>_xlfn.XLOOKUP(L63,Tab_Def_Processes[Name(EN)],Tab_Def_Processes[Process_ID],,0,)</f>
        <v>21__</v>
      </c>
      <c r="N63" s="51"/>
      <c r="O63" s="95" t="s">
        <v>68</v>
      </c>
      <c r="P63" s="51"/>
      <c r="Q63" s="99"/>
      <c r="R63" s="122"/>
      <c r="S63" s="99"/>
      <c r="T63" s="122"/>
      <c r="U63" s="99"/>
      <c r="V63" s="122"/>
      <c r="W63" s="99"/>
      <c r="X63" s="51"/>
      <c r="Y63" s="51"/>
    </row>
    <row r="64" spans="1:25" x14ac:dyDescent="0.35">
      <c r="A64" s="93" t="b">
        <v>0</v>
      </c>
      <c r="B64" s="49">
        <f t="shared" si="2"/>
        <v>63</v>
      </c>
      <c r="C64" s="49" t="str">
        <f t="shared" si="1"/>
        <v>F_21_21</v>
      </c>
      <c r="D64" s="51"/>
      <c r="E64" s="92"/>
      <c r="F64" s="51"/>
      <c r="G64" s="92"/>
      <c r="H64" s="51"/>
      <c r="I64" s="92"/>
      <c r="J64" s="95"/>
      <c r="K64" s="49" t="str">
        <f>_xlfn.XLOOKUP(J64,Tab_Def_Processes[Name(EN)],Tab_Def_Processes[Process_ID],,0,)</f>
        <v>21__</v>
      </c>
      <c r="L64" s="51"/>
      <c r="M64" s="61" t="str">
        <f>_xlfn.XLOOKUP(L64,Tab_Def_Processes[Name(EN)],Tab_Def_Processes[Process_ID],,0,)</f>
        <v>21__</v>
      </c>
      <c r="N64" s="51"/>
      <c r="O64" s="95" t="s">
        <v>68</v>
      </c>
      <c r="P64" s="51"/>
      <c r="Q64" s="99"/>
      <c r="R64" s="122"/>
      <c r="S64" s="99"/>
      <c r="T64" s="122"/>
      <c r="U64" s="99"/>
      <c r="V64" s="122"/>
      <c r="W64" s="99"/>
      <c r="X64" s="51"/>
      <c r="Y64" s="51"/>
    </row>
    <row r="65" spans="1:25" x14ac:dyDescent="0.35">
      <c r="A65" s="93" t="b">
        <v>0</v>
      </c>
      <c r="B65" s="49">
        <f t="shared" ref="B65:B77" si="3">ROW()-1</f>
        <v>64</v>
      </c>
      <c r="C65" s="49" t="str">
        <f t="shared" si="1"/>
        <v>F_21_21</v>
      </c>
      <c r="D65" s="51"/>
      <c r="E65" s="92"/>
      <c r="F65" s="51"/>
      <c r="G65" s="92"/>
      <c r="H65" s="51"/>
      <c r="I65" s="92"/>
      <c r="J65" s="95"/>
      <c r="K65" s="49" t="str">
        <f>_xlfn.XLOOKUP(J65,Tab_Def_Processes[Name(EN)],Tab_Def_Processes[Process_ID],,0,)</f>
        <v>21__</v>
      </c>
      <c r="L65" s="51"/>
      <c r="M65" s="61" t="str">
        <f>_xlfn.XLOOKUP(L65,Tab_Def_Processes[Name(EN)],Tab_Def_Processes[Process_ID],,0,)</f>
        <v>21__</v>
      </c>
      <c r="N65" s="51"/>
      <c r="O65" s="95" t="s">
        <v>68</v>
      </c>
      <c r="P65" s="51"/>
      <c r="Q65" s="99"/>
      <c r="R65" s="122"/>
      <c r="S65" s="99"/>
      <c r="T65" s="122"/>
      <c r="U65" s="99"/>
      <c r="V65" s="122"/>
      <c r="W65" s="99"/>
      <c r="X65" s="51"/>
      <c r="Y65" s="51"/>
    </row>
    <row r="66" spans="1:25" x14ac:dyDescent="0.35">
      <c r="A66" s="93" t="b">
        <v>0</v>
      </c>
      <c r="B66" s="49">
        <f t="shared" si="3"/>
        <v>65</v>
      </c>
      <c r="C66" s="49" t="str">
        <f t="shared" si="1"/>
        <v>F_21_21</v>
      </c>
      <c r="D66" s="51"/>
      <c r="E66" s="92"/>
      <c r="F66" s="51"/>
      <c r="G66" s="92"/>
      <c r="H66" s="51"/>
      <c r="I66" s="92"/>
      <c r="J66" s="95"/>
      <c r="K66" s="49" t="str">
        <f>_xlfn.XLOOKUP(J66,Tab_Def_Processes[Name(EN)],Tab_Def_Processes[Process_ID],,0,)</f>
        <v>21__</v>
      </c>
      <c r="L66" s="51"/>
      <c r="M66" s="61" t="str">
        <f>_xlfn.XLOOKUP(L66,Tab_Def_Processes[Name(EN)],Tab_Def_Processes[Process_ID],,0,)</f>
        <v>21__</v>
      </c>
      <c r="N66" s="51"/>
      <c r="O66" s="95" t="s">
        <v>68</v>
      </c>
      <c r="P66" s="51"/>
      <c r="Q66" s="99"/>
      <c r="R66" s="122"/>
      <c r="S66" s="99"/>
      <c r="T66" s="122"/>
      <c r="U66" s="99"/>
      <c r="V66" s="122"/>
      <c r="W66" s="99"/>
      <c r="X66" s="51"/>
      <c r="Y66" s="51"/>
    </row>
    <row r="67" spans="1:25" x14ac:dyDescent="0.35">
      <c r="A67" s="93" t="b">
        <v>0</v>
      </c>
      <c r="B67" s="49">
        <f t="shared" si="3"/>
        <v>66</v>
      </c>
      <c r="C67" s="49" t="str">
        <f t="shared" ref="C67:C77" si="4">"F_"&amp;LEFT(K67,2)&amp;"_"&amp;LEFT(M67,2)</f>
        <v>F_21_21</v>
      </c>
      <c r="D67" s="51"/>
      <c r="E67" s="92"/>
      <c r="F67" s="51"/>
      <c r="G67" s="92"/>
      <c r="H67" s="51"/>
      <c r="I67" s="92"/>
      <c r="J67" s="95"/>
      <c r="K67" s="49" t="str">
        <f>_xlfn.XLOOKUP(J67,Tab_Def_Processes[Name(EN)],Tab_Def_Processes[Process_ID],,0,)</f>
        <v>21__</v>
      </c>
      <c r="L67" s="51"/>
      <c r="M67" s="61" t="str">
        <f>_xlfn.XLOOKUP(L67,Tab_Def_Processes[Name(EN)],Tab_Def_Processes[Process_ID],,0,)</f>
        <v>21__</v>
      </c>
      <c r="N67" s="51"/>
      <c r="O67" s="95" t="s">
        <v>68</v>
      </c>
      <c r="P67" s="51"/>
      <c r="Q67" s="99"/>
      <c r="R67" s="122"/>
      <c r="S67" s="99"/>
      <c r="T67" s="122"/>
      <c r="U67" s="99"/>
      <c r="V67" s="122"/>
      <c r="W67" s="99"/>
      <c r="X67" s="51"/>
      <c r="Y67" s="51"/>
    </row>
    <row r="68" spans="1:25" x14ac:dyDescent="0.35">
      <c r="A68" s="93" t="b">
        <v>0</v>
      </c>
      <c r="B68" s="49">
        <f t="shared" si="3"/>
        <v>67</v>
      </c>
      <c r="C68" s="49" t="str">
        <f t="shared" si="4"/>
        <v>F_21_21</v>
      </c>
      <c r="D68" s="51"/>
      <c r="E68" s="92"/>
      <c r="F68" s="51"/>
      <c r="G68" s="92"/>
      <c r="H68" s="51"/>
      <c r="I68" s="92"/>
      <c r="J68" s="95"/>
      <c r="K68" s="49" t="str">
        <f>_xlfn.XLOOKUP(J68,Tab_Def_Processes[Name(EN)],Tab_Def_Processes[Process_ID],,0,)</f>
        <v>21__</v>
      </c>
      <c r="L68" s="51"/>
      <c r="M68" s="61" t="str">
        <f>_xlfn.XLOOKUP(L68,Tab_Def_Processes[Name(EN)],Tab_Def_Processes[Process_ID],,0,)</f>
        <v>21__</v>
      </c>
      <c r="N68" s="51"/>
      <c r="O68" s="95" t="s">
        <v>68</v>
      </c>
      <c r="P68" s="51"/>
      <c r="Q68" s="99"/>
      <c r="R68" s="122"/>
      <c r="S68" s="99"/>
      <c r="T68" s="122"/>
      <c r="U68" s="99"/>
      <c r="V68" s="122"/>
      <c r="W68" s="99"/>
      <c r="X68" s="51"/>
      <c r="Y68" s="51"/>
    </row>
    <row r="69" spans="1:25" x14ac:dyDescent="0.35">
      <c r="A69" s="93" t="b">
        <v>0</v>
      </c>
      <c r="B69" s="49">
        <f t="shared" si="3"/>
        <v>68</v>
      </c>
      <c r="C69" s="49" t="str">
        <f t="shared" si="4"/>
        <v>F_21_21</v>
      </c>
      <c r="D69" s="51"/>
      <c r="E69" s="92"/>
      <c r="F69" s="51"/>
      <c r="G69" s="92"/>
      <c r="H69" s="51"/>
      <c r="I69" s="92"/>
      <c r="J69" s="95"/>
      <c r="K69" s="49" t="str">
        <f>_xlfn.XLOOKUP(J69,Tab_Def_Processes[Name(EN)],Tab_Def_Processes[Process_ID],,0,)</f>
        <v>21__</v>
      </c>
      <c r="L69" s="51"/>
      <c r="M69" s="61" t="str">
        <f>_xlfn.XLOOKUP(L69,Tab_Def_Processes[Name(EN)],Tab_Def_Processes[Process_ID],,0,)</f>
        <v>21__</v>
      </c>
      <c r="N69" s="51"/>
      <c r="O69" s="95" t="s">
        <v>68</v>
      </c>
      <c r="P69" s="51"/>
      <c r="Q69" s="99"/>
      <c r="R69" s="122"/>
      <c r="S69" s="99"/>
      <c r="T69" s="122"/>
      <c r="U69" s="99"/>
      <c r="V69" s="122"/>
      <c r="W69" s="99"/>
      <c r="X69" s="51"/>
      <c r="Y69" s="51"/>
    </row>
    <row r="70" spans="1:25" x14ac:dyDescent="0.35">
      <c r="A70" s="93" t="b">
        <v>0</v>
      </c>
      <c r="B70" s="49">
        <f t="shared" si="3"/>
        <v>69</v>
      </c>
      <c r="C70" s="49" t="str">
        <f t="shared" si="4"/>
        <v>F_21_21</v>
      </c>
      <c r="D70" s="51"/>
      <c r="E70" s="92"/>
      <c r="F70" s="51"/>
      <c r="G70" s="92"/>
      <c r="H70" s="51"/>
      <c r="I70" s="92"/>
      <c r="J70" s="95"/>
      <c r="K70" s="49" t="str">
        <f>_xlfn.XLOOKUP(J70,Tab_Def_Processes[Name(EN)],Tab_Def_Processes[Process_ID],,0,)</f>
        <v>21__</v>
      </c>
      <c r="L70" s="51"/>
      <c r="M70" s="61" t="str">
        <f>_xlfn.XLOOKUP(L70,Tab_Def_Processes[Name(EN)],Tab_Def_Processes[Process_ID],,0,)</f>
        <v>21__</v>
      </c>
      <c r="N70" s="51"/>
      <c r="O70" s="95" t="s">
        <v>68</v>
      </c>
      <c r="P70" s="51"/>
      <c r="Q70" s="99"/>
      <c r="R70" s="122"/>
      <c r="S70" s="99"/>
      <c r="T70" s="122"/>
      <c r="U70" s="99"/>
      <c r="V70" s="122"/>
      <c r="W70" s="99"/>
      <c r="X70" s="51"/>
      <c r="Y70" s="51"/>
    </row>
    <row r="71" spans="1:25" x14ac:dyDescent="0.35">
      <c r="A71" s="93" t="b">
        <v>0</v>
      </c>
      <c r="B71" s="49">
        <f t="shared" si="3"/>
        <v>70</v>
      </c>
      <c r="C71" s="49" t="str">
        <f t="shared" si="4"/>
        <v>F_21_21</v>
      </c>
      <c r="D71" s="51"/>
      <c r="E71" s="92"/>
      <c r="F71" s="51"/>
      <c r="G71" s="92"/>
      <c r="H71" s="51"/>
      <c r="I71" s="92"/>
      <c r="J71" s="95"/>
      <c r="K71" s="49" t="str">
        <f>_xlfn.XLOOKUP(J71,Tab_Def_Processes[Name(EN)],Tab_Def_Processes[Process_ID],,0,)</f>
        <v>21__</v>
      </c>
      <c r="L71" s="51"/>
      <c r="M71" s="61" t="str">
        <f>_xlfn.XLOOKUP(L71,Tab_Def_Processes[Name(EN)],Tab_Def_Processes[Process_ID],,0,)</f>
        <v>21__</v>
      </c>
      <c r="N71" s="51"/>
      <c r="O71" s="95" t="s">
        <v>68</v>
      </c>
      <c r="P71" s="51"/>
      <c r="Q71" s="99"/>
      <c r="R71" s="122"/>
      <c r="S71" s="99"/>
      <c r="T71" s="122"/>
      <c r="U71" s="99"/>
      <c r="V71" s="122"/>
      <c r="W71" s="99"/>
      <c r="X71" s="51"/>
      <c r="Y71" s="51"/>
    </row>
    <row r="72" spans="1:25" x14ac:dyDescent="0.35">
      <c r="A72" s="93" t="b">
        <v>0</v>
      </c>
      <c r="B72" s="49">
        <f t="shared" si="3"/>
        <v>71</v>
      </c>
      <c r="C72" s="49" t="str">
        <f t="shared" si="4"/>
        <v>F_21_21</v>
      </c>
      <c r="D72" s="51"/>
      <c r="E72" s="92"/>
      <c r="F72" s="51"/>
      <c r="G72" s="92"/>
      <c r="H72" s="51"/>
      <c r="I72" s="92"/>
      <c r="J72" s="95"/>
      <c r="K72" s="49" t="str">
        <f>_xlfn.XLOOKUP(J72,Tab_Def_Processes[Name(EN)],Tab_Def_Processes[Process_ID],,0,)</f>
        <v>21__</v>
      </c>
      <c r="L72" s="51"/>
      <c r="M72" s="61" t="str">
        <f>_xlfn.XLOOKUP(L72,Tab_Def_Processes[Name(EN)],Tab_Def_Processes[Process_ID],,0,)</f>
        <v>21__</v>
      </c>
      <c r="N72" s="51"/>
      <c r="O72" s="95" t="s">
        <v>68</v>
      </c>
      <c r="P72" s="51"/>
      <c r="Q72" s="99"/>
      <c r="R72" s="122"/>
      <c r="S72" s="99"/>
      <c r="T72" s="122"/>
      <c r="U72" s="99"/>
      <c r="V72" s="122"/>
      <c r="W72" s="99"/>
      <c r="X72" s="51"/>
      <c r="Y72" s="51"/>
    </row>
    <row r="73" spans="1:25" x14ac:dyDescent="0.35">
      <c r="A73" s="93" t="b">
        <v>0</v>
      </c>
      <c r="B73" s="49">
        <f t="shared" si="3"/>
        <v>72</v>
      </c>
      <c r="C73" s="49" t="str">
        <f t="shared" si="4"/>
        <v>F_21_21</v>
      </c>
      <c r="D73" s="51"/>
      <c r="E73" s="92"/>
      <c r="F73" s="51"/>
      <c r="G73" s="92"/>
      <c r="H73" s="51"/>
      <c r="I73" s="92"/>
      <c r="J73" s="95"/>
      <c r="K73" s="49" t="str">
        <f>_xlfn.XLOOKUP(J73,Tab_Def_Processes[Name(EN)],Tab_Def_Processes[Process_ID],,0,)</f>
        <v>21__</v>
      </c>
      <c r="L73" s="51"/>
      <c r="M73" s="61" t="str">
        <f>_xlfn.XLOOKUP(L73,Tab_Def_Processes[Name(EN)],Tab_Def_Processes[Process_ID],,0,)</f>
        <v>21__</v>
      </c>
      <c r="N73" s="51"/>
      <c r="O73" s="95" t="s">
        <v>68</v>
      </c>
      <c r="P73" s="51"/>
      <c r="Q73" s="99"/>
      <c r="R73" s="122"/>
      <c r="S73" s="99"/>
      <c r="T73" s="122"/>
      <c r="U73" s="99"/>
      <c r="V73" s="122"/>
      <c r="W73" s="99"/>
      <c r="X73" s="51"/>
      <c r="Y73" s="51"/>
    </row>
    <row r="74" spans="1:25" x14ac:dyDescent="0.35">
      <c r="A74" s="93" t="b">
        <v>0</v>
      </c>
      <c r="B74" s="49">
        <f t="shared" si="3"/>
        <v>73</v>
      </c>
      <c r="C74" s="49" t="str">
        <f t="shared" si="4"/>
        <v>F_21_21</v>
      </c>
      <c r="D74" s="51"/>
      <c r="E74" s="92"/>
      <c r="F74" s="51"/>
      <c r="G74" s="92"/>
      <c r="H74" s="51"/>
      <c r="I74" s="92"/>
      <c r="J74" s="95"/>
      <c r="K74" s="49" t="str">
        <f>_xlfn.XLOOKUP(J74,Tab_Def_Processes[Name(EN)],Tab_Def_Processes[Process_ID],,0,)</f>
        <v>21__</v>
      </c>
      <c r="L74" s="51"/>
      <c r="M74" s="61" t="str">
        <f>_xlfn.XLOOKUP(L74,Tab_Def_Processes[Name(EN)],Tab_Def_Processes[Process_ID],,0,)</f>
        <v>21__</v>
      </c>
      <c r="N74" s="51"/>
      <c r="O74" s="95" t="s">
        <v>68</v>
      </c>
      <c r="P74" s="51"/>
      <c r="Q74" s="99"/>
      <c r="R74" s="122"/>
      <c r="S74" s="99"/>
      <c r="T74" s="122"/>
      <c r="U74" s="99"/>
      <c r="V74" s="122"/>
      <c r="W74" s="99"/>
      <c r="X74" s="51"/>
      <c r="Y74" s="51"/>
    </row>
    <row r="75" spans="1:25" x14ac:dyDescent="0.35">
      <c r="A75" s="93" t="b">
        <v>0</v>
      </c>
      <c r="B75" s="49">
        <f t="shared" si="3"/>
        <v>74</v>
      </c>
      <c r="C75" s="49" t="str">
        <f t="shared" si="4"/>
        <v>F_21_21</v>
      </c>
      <c r="D75" s="51"/>
      <c r="E75" s="92"/>
      <c r="F75" s="51"/>
      <c r="G75" s="92"/>
      <c r="H75" s="51"/>
      <c r="I75" s="92"/>
      <c r="J75" s="95"/>
      <c r="K75" s="49" t="str">
        <f>_xlfn.XLOOKUP(J75,Tab_Def_Processes[Name(EN)],Tab_Def_Processes[Process_ID],,0,)</f>
        <v>21__</v>
      </c>
      <c r="L75" s="51"/>
      <c r="M75" s="61" t="str">
        <f>_xlfn.XLOOKUP(L75,Tab_Def_Processes[Name(EN)],Tab_Def_Processes[Process_ID],,0,)</f>
        <v>21__</v>
      </c>
      <c r="N75" s="51"/>
      <c r="O75" s="95" t="s">
        <v>68</v>
      </c>
      <c r="P75" s="51"/>
      <c r="Q75" s="99"/>
      <c r="R75" s="122"/>
      <c r="S75" s="99"/>
      <c r="T75" s="122"/>
      <c r="U75" s="99"/>
      <c r="V75" s="122"/>
      <c r="W75" s="99"/>
      <c r="X75" s="51"/>
      <c r="Y75" s="51"/>
    </row>
    <row r="76" spans="1:25" x14ac:dyDescent="0.35">
      <c r="A76" s="93" t="b">
        <v>0</v>
      </c>
      <c r="B76" s="49">
        <f t="shared" si="3"/>
        <v>75</v>
      </c>
      <c r="C76" s="49" t="str">
        <f t="shared" si="4"/>
        <v>F_21_21</v>
      </c>
      <c r="D76" s="51"/>
      <c r="E76" s="92"/>
      <c r="F76" s="51"/>
      <c r="G76" s="92"/>
      <c r="H76" s="51"/>
      <c r="I76" s="92"/>
      <c r="J76" s="95"/>
      <c r="K76" s="49" t="str">
        <f>_xlfn.XLOOKUP(J76,Tab_Def_Processes[Name(EN)],Tab_Def_Processes[Process_ID],,0,)</f>
        <v>21__</v>
      </c>
      <c r="L76" s="51"/>
      <c r="M76" s="61" t="str">
        <f>_xlfn.XLOOKUP(L76,Tab_Def_Processes[Name(EN)],Tab_Def_Processes[Process_ID],,0,)</f>
        <v>21__</v>
      </c>
      <c r="N76" s="51"/>
      <c r="O76" s="95" t="s">
        <v>68</v>
      </c>
      <c r="P76" s="51"/>
      <c r="Q76" s="99"/>
      <c r="R76" s="122"/>
      <c r="S76" s="99"/>
      <c r="T76" s="122"/>
      <c r="U76" s="99"/>
      <c r="V76" s="122"/>
      <c r="W76" s="99"/>
      <c r="X76" s="51"/>
      <c r="Y76" s="51"/>
    </row>
    <row r="77" spans="1:25" x14ac:dyDescent="0.35">
      <c r="A77" s="93" t="b">
        <v>0</v>
      </c>
      <c r="B77" s="49">
        <f t="shared" si="3"/>
        <v>76</v>
      </c>
      <c r="C77" s="49" t="str">
        <f t="shared" si="4"/>
        <v>F_21_21</v>
      </c>
      <c r="D77" s="51"/>
      <c r="E77" s="92"/>
      <c r="F77" s="51"/>
      <c r="G77" s="92"/>
      <c r="H77" s="51"/>
      <c r="I77" s="92"/>
      <c r="J77" s="95"/>
      <c r="K77" s="49" t="str">
        <f>_xlfn.XLOOKUP(J77,Tab_Def_Processes[Name(EN)],Tab_Def_Processes[Process_ID],,0,)</f>
        <v>21__</v>
      </c>
      <c r="L77" s="51"/>
      <c r="M77" s="61" t="str">
        <f>_xlfn.XLOOKUP(L77,Tab_Def_Processes[Name(EN)],Tab_Def_Processes[Process_ID],,0,)</f>
        <v>21__</v>
      </c>
      <c r="N77" s="51"/>
      <c r="O77" s="95" t="s">
        <v>68</v>
      </c>
      <c r="P77" s="51"/>
      <c r="Q77" s="99"/>
      <c r="R77" s="122"/>
      <c r="S77" s="99"/>
      <c r="T77" s="122"/>
      <c r="U77" s="99"/>
      <c r="V77" s="122"/>
      <c r="W77" s="99"/>
      <c r="X77" s="51"/>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R33:W77 O2:Q77</xm:sqref>
        </x14:dataValidation>
        <x14:dataValidation type="list" allowBlank="1" showInputMessage="1" showErrorMessage="1" xr:uid="{4802C009-D5CD-4ED0-AC7A-55F162A86DD7}">
          <x14:formula1>
            <xm:f>'2_1_Definition_Processes'!$D$2:$D$58</xm:f>
          </x14:formula1>
          <xm:sqref>L2:L77 J2:J77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13"/>
  <sheetViews>
    <sheetView zoomScaleNormal="100" workbookViewId="0">
      <pane xSplit="3" ySplit="8" topLeftCell="J9" activePane="bottomRight" state="frozen"/>
      <selection pane="topRight" activeCell="D1" sqref="D1"/>
      <selection pane="bottomLeft" activeCell="A12" sqref="A12"/>
      <selection pane="bottomRight" activeCell="M24" sqref="M24"/>
    </sheetView>
  </sheetViews>
  <sheetFormatPr defaultColWidth="10.81640625" defaultRowHeight="14.5" x14ac:dyDescent="0.35"/>
  <cols>
    <col min="2" max="2" width="18.7265625" customWidth="1"/>
    <col min="3" max="3" width="28.54296875" customWidth="1"/>
    <col min="4" max="4" width="15.26953125" customWidth="1"/>
    <col min="5" max="5" width="14.26953125" customWidth="1"/>
    <col min="6" max="6" width="16" customWidth="1"/>
    <col min="7" max="7" width="26.54296875" customWidth="1"/>
    <col min="8" max="12" width="18.1796875" customWidth="1"/>
    <col min="13" max="13" width="15.26953125" customWidth="1"/>
    <col min="14" max="14" width="17" customWidth="1"/>
    <col min="15" max="15" width="16.453125" customWidth="1"/>
    <col min="16" max="16" width="17.54296875" customWidth="1"/>
    <col min="17" max="17" width="28.1796875" customWidth="1"/>
    <col min="19" max="19" width="50.7265625" customWidth="1"/>
    <col min="20" max="20" width="22.81640625" customWidth="1"/>
    <col min="21" max="21" width="16.7265625" customWidth="1"/>
    <col min="22" max="22" width="15.81640625" customWidth="1"/>
    <col min="23" max="23" width="8.81640625" customWidth="1"/>
    <col min="24" max="24" width="14.1796875" customWidth="1"/>
    <col min="25" max="25" width="6.54296875" customWidth="1"/>
    <col min="27" max="27" width="15.453125" customWidth="1"/>
    <col min="28" max="29" width="15.1796875" customWidth="1"/>
    <col min="30" max="30" width="14.1796875" customWidth="1"/>
    <col min="31" max="31" width="19.81640625" customWidth="1"/>
    <col min="32" max="32" width="19.81640625" style="119" customWidth="1"/>
    <col min="33" max="33" width="16.54296875" customWidth="1"/>
    <col min="34" max="35" width="19.7265625" customWidth="1"/>
    <col min="36" max="36" width="15.26953125" customWidth="1"/>
    <col min="37" max="37" width="19" style="49" customWidth="1"/>
  </cols>
  <sheetData>
    <row r="1" spans="1:37" ht="15" thickBot="1" x14ac:dyDescent="0.4">
      <c r="A1" s="12" t="s">
        <v>225</v>
      </c>
      <c r="B1" s="13" t="s">
        <v>268</v>
      </c>
      <c r="C1" t="s">
        <v>320</v>
      </c>
      <c r="D1" s="13" t="s">
        <v>269</v>
      </c>
      <c r="E1" s="48" t="s">
        <v>272</v>
      </c>
      <c r="F1" s="48" t="s">
        <v>273</v>
      </c>
      <c r="G1" s="48" t="s">
        <v>274</v>
      </c>
      <c r="H1" s="48" t="s">
        <v>275</v>
      </c>
      <c r="I1" s="48" t="s">
        <v>293</v>
      </c>
      <c r="J1" s="21" t="s">
        <v>354</v>
      </c>
      <c r="K1" s="22" t="s">
        <v>356</v>
      </c>
      <c r="L1" s="23" t="s">
        <v>355</v>
      </c>
      <c r="M1" t="s">
        <v>287</v>
      </c>
      <c r="N1" t="s">
        <v>286</v>
      </c>
      <c r="O1" t="s">
        <v>284</v>
      </c>
      <c r="P1" t="s">
        <v>285</v>
      </c>
      <c r="Q1" t="s">
        <v>276</v>
      </c>
      <c r="R1" t="s">
        <v>258</v>
      </c>
      <c r="S1" t="s">
        <v>277</v>
      </c>
      <c r="T1" t="s">
        <v>278</v>
      </c>
      <c r="U1" t="s">
        <v>279</v>
      </c>
      <c r="V1" t="s">
        <v>280</v>
      </c>
      <c r="W1" t="s">
        <v>10</v>
      </c>
      <c r="X1" t="s">
        <v>281</v>
      </c>
      <c r="Y1" t="s">
        <v>282</v>
      </c>
      <c r="Z1" t="s">
        <v>283</v>
      </c>
      <c r="AA1" t="s">
        <v>288</v>
      </c>
      <c r="AB1" t="s">
        <v>289</v>
      </c>
      <c r="AC1" t="s">
        <v>357</v>
      </c>
      <c r="AD1" t="s">
        <v>369</v>
      </c>
      <c r="AE1" t="s">
        <v>373</v>
      </c>
      <c r="AF1" s="84" t="s">
        <v>359</v>
      </c>
      <c r="AG1" t="s">
        <v>370</v>
      </c>
      <c r="AH1" t="s">
        <v>372</v>
      </c>
      <c r="AI1" t="s">
        <v>361</v>
      </c>
      <c r="AJ1" t="s">
        <v>374</v>
      </c>
      <c r="AK1" t="s">
        <v>371</v>
      </c>
    </row>
    <row r="2" spans="1:37" x14ac:dyDescent="0.35">
      <c r="A2" s="60">
        <f>ROW()-1</f>
        <v>1</v>
      </c>
      <c r="B2" s="49" t="str">
        <f>_xlfn.XLOOKUP(C2,Tab_Def_Flows[Name(EN)],Tab_Def_Flows[Flow_ID],,0,)</f>
        <v>F_13_20</v>
      </c>
      <c r="C2" s="51" t="s">
        <v>450</v>
      </c>
      <c r="D2" s="49">
        <f>_xlfn.XLOOKUP(C2,Tab_Def_Flows[Name(EN)],Tab_Def_Flows[Type_Biomass],,0,)</f>
        <v>0</v>
      </c>
      <c r="E2" s="49" t="str">
        <f>_xlfn.XLOOKUP(C2,Tab_Def_Flows[Name(EN)],Tab_Def_Flows[Output_Process],,0,)</f>
        <v>Rye cultivation</v>
      </c>
      <c r="F2" s="49" t="str">
        <f>_xlfn.XLOOKUP(C2,Tab_Def_Flows[Name(EN)],Tab_Def_Flows[Process_ID_O],,0,)</f>
        <v>13_Rye_BB</v>
      </c>
      <c r="G2" s="49" t="str">
        <f>_xlfn.XLOOKUP(C2,Tab_Def_Flows[Name(EN)],Tab_Def_Flows[Input_Process],,0,)</f>
        <v>Rye cultivation and harvest</v>
      </c>
      <c r="H2" s="61" t="str">
        <f>_xlfn.XLOOKUP(C2,Tab_Def_Flows[Name(EN)],Tab_Def_Flows[Process_ID_I],,0,)</f>
        <v>20_Rye_BB</v>
      </c>
      <c r="I2" s="61" t="str">
        <f>_xlfn.XLOOKUP(C2,Tab_Def_Flows[Name(EN)],Tab_Def_Flows[Value_Source],,0,)</f>
        <v>Data_assumption</v>
      </c>
      <c r="J2" s="61" t="str">
        <f>_xlfn.XLOOKUP(C2,Tab_Def_Flows[Name(EN)],Tab_Def_Flows[WC?],,0,)</f>
        <v>Yes</v>
      </c>
      <c r="K2" s="61" t="str">
        <f>_xlfn.XLOOKUP(C2,Tab_Def_Flows[Name(EN)],Tab_Def_Flows[DM?],,0,)</f>
        <v>Yes</v>
      </c>
      <c r="L2" s="61" t="str">
        <f>_xlfn.XLOOKUP(C2,Tab_Def_Flows[Name(EN)],Tab_Def_Flows[CC?],,0,)</f>
        <v>Yes</v>
      </c>
      <c r="M2" s="51">
        <v>2022</v>
      </c>
      <c r="N2" s="51" t="s">
        <v>353</v>
      </c>
      <c r="O2" s="88">
        <v>129</v>
      </c>
      <c r="P2" s="51" t="s">
        <v>398</v>
      </c>
      <c r="Q2" s="51" t="s">
        <v>368</v>
      </c>
      <c r="R2" s="51"/>
      <c r="S2" s="51"/>
      <c r="T2" s="51"/>
      <c r="U2" s="51"/>
      <c r="V2" s="51"/>
      <c r="W2" s="51"/>
      <c r="X2" s="51" t="s">
        <v>71</v>
      </c>
      <c r="Y2" s="109">
        <v>365</v>
      </c>
      <c r="Z2" s="51"/>
      <c r="AA2" s="89">
        <f>IF(X2="no",O2,O2*Y2)</f>
        <v>129</v>
      </c>
      <c r="AB2" s="51" t="s">
        <v>63</v>
      </c>
      <c r="AC2" s="114">
        <f>INDEX(Tab_Def_Flows[[Flow_ID]:[CC_DM_source]],MATCH(Tab_Data_Flows[[#This Row],[Name(EN)]],Tab_Def_Flows[Name(EN)],0),16)</f>
        <v>0.06</v>
      </c>
      <c r="AD2" s="112">
        <f>IF(J2="Yes",AA2*Tab_Data_Flows[[#This Row],[WC_'[%']]],"N.A.")</f>
        <v>7.7399999999999993</v>
      </c>
      <c r="AE2" s="113" t="str">
        <f>Tab_Data_Flows[[#This Row],[UoM_Flow_Py]]</f>
        <v>Mg</v>
      </c>
      <c r="AF2" s="114">
        <f>INDEX(Tab_Def_Flows[[Flow_ID]:[CC_DM_source]],MATCH(Tab_Data_Flows[[#This Row],[Name(EN)]],Tab_Def_Flows[Name(EN)],0),18)</f>
        <v>0.94</v>
      </c>
      <c r="AG2" s="112">
        <f>IF(K2="Yes",AF2*Tab_Data_Flows[[#This Row],[Flow_Py]],"N.A.")</f>
        <v>121.25999999999999</v>
      </c>
      <c r="AH2" s="113" t="str">
        <f>Tab_Data_Flows[[#This Row],[UoM_Flow_Py]]</f>
        <v>Mg</v>
      </c>
      <c r="AI2" s="114">
        <f>INDEX(Tab_Def_Flows[[Flow_ID]:[CC_DM_source]],MATCH(Tab_Data_Flows[[#This Row],[Name(EN)]],Tab_Def_Flows[Name(EN)],0),20)</f>
        <v>0.49</v>
      </c>
      <c r="AJ2" s="112">
        <f>IF(L2="Yes",AI2*Tab_Data_Flows[[#This Row],[Flow_Py]],"N.A.")</f>
        <v>63.21</v>
      </c>
      <c r="AK2" s="113" t="str">
        <f>Tab_Data_Flows[[#This Row],[UoM_Flow_Py]]</f>
        <v>Mg</v>
      </c>
    </row>
    <row r="3" spans="1:37" x14ac:dyDescent="0.35">
      <c r="A3" s="60">
        <f t="shared" ref="A3:A63" si="0">ROW()-1</f>
        <v>2</v>
      </c>
      <c r="B3" s="49" t="str">
        <f>_xlfn.XLOOKUP(C3,Tab_Def_Flows[Name(EN)],Tab_Def_Flows[Flow_ID],,0,)</f>
        <v>F_04_01</v>
      </c>
      <c r="C3" s="51" t="s">
        <v>337</v>
      </c>
      <c r="D3" s="49">
        <f>_xlfn.XLOOKUP(C3,Tab_Def_Flows[Name(EN)],Tab_Def_Flows[Type_Biomass],,0,)</f>
        <v>0</v>
      </c>
      <c r="E3" s="49" t="str">
        <f>_xlfn.XLOOKUP(C3,Tab_Def_Flows[Name(EN)],Tab_Def_Flows[Output_Process],,0,)</f>
        <v>Life stock farming</v>
      </c>
      <c r="F3" s="49" t="str">
        <f>_xlfn.XLOOKUP(C3,Tab_Def_Flows[Name(EN)],Tab_Def_Flows[Process_ID_O],,0,)</f>
        <v>04_Lif_BB</v>
      </c>
      <c r="G3" s="49" t="str">
        <f>_xlfn.XLOOKUP(C3,Tab_Def_Flows[Name(EN)],Tab_Def_Flows[Input_Process],,0,)</f>
        <v>Biogas production</v>
      </c>
      <c r="H3" s="61" t="str">
        <f>_xlfn.XLOOKUP(C3,Tab_Def_Flows[Name(EN)],Tab_Def_Flows[Process_ID_I],,0,)</f>
        <v>01_Bio_BB</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2022</v>
      </c>
      <c r="N3" s="51" t="s">
        <v>353</v>
      </c>
      <c r="O3" s="88">
        <v>39</v>
      </c>
      <c r="P3" s="51" t="s">
        <v>398</v>
      </c>
      <c r="Q3" s="51"/>
      <c r="R3" s="51"/>
      <c r="S3" s="51"/>
      <c r="T3" s="51"/>
      <c r="U3" s="51"/>
      <c r="V3" s="51"/>
      <c r="W3" s="51"/>
      <c r="X3" s="51" t="s">
        <v>71</v>
      </c>
      <c r="Y3" s="109"/>
      <c r="Z3" s="51"/>
      <c r="AA3" s="89">
        <f t="shared" ref="AA3:AA63" si="1">IF(X3="no",O3,O3*Y3)</f>
        <v>39</v>
      </c>
      <c r="AB3" s="51" t="s">
        <v>63</v>
      </c>
      <c r="AC3" s="114">
        <f>INDEX(Tab_Def_Flows[[Flow_ID]:[CC_DM_source]],MATCH(Tab_Data_Flows[[#This Row],[Name(EN)]],Tab_Def_Flows[Name(EN)],0),16)</f>
        <v>0.94</v>
      </c>
      <c r="AD3" s="115">
        <f>IF(J3="Yes",AA3*Tab_Data_Flows[[#This Row],[WC_'[%']]],"N.A.")</f>
        <v>36.659999999999997</v>
      </c>
      <c r="AE3" s="61" t="str">
        <f>Tab_Data_Flows[[#This Row],[UoM_Flow_Py]]</f>
        <v>Mg</v>
      </c>
      <c r="AF3" s="114">
        <f>INDEX(Tab_Def_Flows[[Flow_ID]:[CC_DM_source]],MATCH(Tab_Data_Flows[[#This Row],[Name(EN)]],Tab_Def_Flows[Name(EN)],0),18)</f>
        <v>0.06</v>
      </c>
      <c r="AG3" s="115">
        <f>IF(K3="Yes",AF3*Tab_Data_Flows[[#This Row],[Flow_Py]],"N.A.")</f>
        <v>2.34</v>
      </c>
      <c r="AH3" s="61" t="str">
        <f>Tab_Data_Flows[[#This Row],[UoM_Flow_Py]]</f>
        <v>Mg</v>
      </c>
      <c r="AI3" s="114">
        <f>INDEX(Tab_Def_Flows[[Flow_ID]:[CC_DM_source]],MATCH(Tab_Data_Flows[[#This Row],[Name(EN)]],Tab_Def_Flows[Name(EN)],0),20)</f>
        <v>0.49</v>
      </c>
      <c r="AJ3" s="115">
        <f>IF(L3="Yes",AI3*Tab_Data_Flows[[#This Row],[Flow_Py]],"N.A.")</f>
        <v>19.11</v>
      </c>
      <c r="AK3" s="61" t="str">
        <f>Tab_Data_Flows[[#This Row],[UoM_Flow_Py]]</f>
        <v>Mg</v>
      </c>
    </row>
    <row r="4" spans="1:37" x14ac:dyDescent="0.35">
      <c r="A4" s="60">
        <f t="shared" si="0"/>
        <v>3</v>
      </c>
      <c r="B4" s="49" t="str">
        <f>_xlfn.XLOOKUP(C4,Tab_Def_Flows[Name(EN)],Tab_Def_Flows[Flow_ID],,0,)</f>
        <v>F_11_02</v>
      </c>
      <c r="C4" s="51" t="s">
        <v>341</v>
      </c>
      <c r="D4" s="49">
        <f>_xlfn.XLOOKUP(C4,Tab_Def_Flows[Name(EN)],Tab_Def_Flows[Type_Biomass],,0,)</f>
        <v>0</v>
      </c>
      <c r="E4" s="49" t="str">
        <f>_xlfn.XLOOKUP(C4,Tab_Def_Flows[Name(EN)],Tab_Def_Flows[Output_Process],,0,)</f>
        <v>Millet production</v>
      </c>
      <c r="F4" s="49" t="str">
        <f>_xlfn.XLOOKUP(C4,Tab_Def_Flows[Name(EN)],Tab_Def_Flows[Process_ID_O],,0,)</f>
        <v>11_Mil_BB</v>
      </c>
      <c r="G4" s="49" t="str">
        <f>_xlfn.XLOOKUP(C4,Tab_Def_Flows[Name(EN)],Tab_Def_Flows[Input_Process],,0,)</f>
        <v>MBC production</v>
      </c>
      <c r="H4" s="61" t="str">
        <f>_xlfn.XLOOKUP(C4,Tab_Def_Flows[Name(EN)],Tab_Def_Flows[Process_ID_I],,0,)</f>
        <v>02_MBC_BB</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2022</v>
      </c>
      <c r="N4" s="51" t="s">
        <v>353</v>
      </c>
      <c r="O4" s="88">
        <v>1</v>
      </c>
      <c r="P4" s="51" t="s">
        <v>398</v>
      </c>
      <c r="Q4" s="51"/>
      <c r="R4" s="51"/>
      <c r="S4" s="51"/>
      <c r="T4" s="51"/>
      <c r="U4" s="51"/>
      <c r="V4" s="51"/>
      <c r="W4" s="51"/>
      <c r="X4" s="51" t="s">
        <v>71</v>
      </c>
      <c r="Y4" s="109"/>
      <c r="Z4" s="51"/>
      <c r="AA4" s="89">
        <f t="shared" si="1"/>
        <v>1</v>
      </c>
      <c r="AB4" s="51" t="s">
        <v>63</v>
      </c>
      <c r="AC4" s="114">
        <f>INDEX(Tab_Def_Flows[[Flow_ID]:[CC_DM_source]],MATCH(Tab_Data_Flows[[#This Row],[Name(EN)]],Tab_Def_Flows[Name(EN)],0),16)</f>
        <v>0.66</v>
      </c>
      <c r="AD4" s="115">
        <f>IF(J4="Yes",AA4*Tab_Data_Flows[[#This Row],[WC_'[%']]],"N.A.")</f>
        <v>0.66</v>
      </c>
      <c r="AE4" s="61" t="str">
        <f>Tab_Data_Flows[[#This Row],[UoM_Flow_Py]]</f>
        <v>Mg</v>
      </c>
      <c r="AF4" s="114">
        <f>INDEX(Tab_Def_Flows[[Flow_ID]:[CC_DM_source]],MATCH(Tab_Data_Flows[[#This Row],[Name(EN)]],Tab_Def_Flows[Name(EN)],0),18)</f>
        <v>0.34</v>
      </c>
      <c r="AG4" s="115">
        <f>IF(K4="Yes",AF4*Tab_Data_Flows[[#This Row],[Flow_Py]],"N.A.")</f>
        <v>0.34</v>
      </c>
      <c r="AH4" s="61" t="str">
        <f>Tab_Data_Flows[[#This Row],[UoM_Flow_Py]]</f>
        <v>Mg</v>
      </c>
      <c r="AI4" s="114">
        <f>INDEX(Tab_Def_Flows[[Flow_ID]:[CC_DM_source]],MATCH(Tab_Data_Flows[[#This Row],[Name(EN)]],Tab_Def_Flows[Name(EN)],0),20)</f>
        <v>0.47</v>
      </c>
      <c r="AJ4" s="115">
        <f>IF(L4="Yes",AI4*Tab_Data_Flows[[#This Row],[Flow_Py]],"N.A.")</f>
        <v>0.47</v>
      </c>
      <c r="AK4" s="61" t="str">
        <f>Tab_Data_Flows[[#This Row],[UoM_Flow_Py]]</f>
        <v>Mg</v>
      </c>
    </row>
    <row r="5" spans="1:37" x14ac:dyDescent="0.35">
      <c r="A5" s="60">
        <f t="shared" si="0"/>
        <v>4</v>
      </c>
      <c r="B5" s="49" t="str">
        <f>_xlfn.XLOOKUP(C5,Tab_Def_Flows[Name(EN)],Tab_Def_Flows[Flow_ID],,0,)</f>
        <v>F_08_02</v>
      </c>
      <c r="C5" s="51" t="s">
        <v>343</v>
      </c>
      <c r="D5" s="49">
        <f>_xlfn.XLOOKUP(C5,Tab_Def_Flows[Name(EN)],Tab_Def_Flows[Type_Biomass],,0,)</f>
        <v>0</v>
      </c>
      <c r="E5" s="49" t="str">
        <f>_xlfn.XLOOKUP(C5,Tab_Def_Flows[Name(EN)],Tab_Def_Flows[Output_Process],,0,)</f>
        <v>Water System (Import)</v>
      </c>
      <c r="F5" s="49" t="str">
        <f>_xlfn.XLOOKUP(C5,Tab_Def_Flows[Name(EN)],Tab_Def_Flows[Process_ID_O],,0,)</f>
        <v>08_Wat_BB</v>
      </c>
      <c r="G5" s="49" t="str">
        <f>_xlfn.XLOOKUP(C5,Tab_Def_Flows[Name(EN)],Tab_Def_Flows[Input_Process],,0,)</f>
        <v>MBC production</v>
      </c>
      <c r="H5" s="61" t="str">
        <f>_xlfn.XLOOKUP(C5,Tab_Def_Flows[Name(EN)],Tab_Def_Flows[Process_ID_I],,0,)</f>
        <v>02_MBC_BB</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2022</v>
      </c>
      <c r="N5" s="51" t="s">
        <v>353</v>
      </c>
      <c r="O5" s="88">
        <v>74</v>
      </c>
      <c r="P5" s="51" t="s">
        <v>398</v>
      </c>
      <c r="Q5" s="51"/>
      <c r="R5" s="51"/>
      <c r="S5" s="51"/>
      <c r="T5" s="51"/>
      <c r="U5" s="51"/>
      <c r="V5" s="51"/>
      <c r="W5" s="51"/>
      <c r="X5" s="51" t="s">
        <v>71</v>
      </c>
      <c r="Y5" s="109"/>
      <c r="Z5" s="51"/>
      <c r="AA5" s="89">
        <f t="shared" si="1"/>
        <v>74</v>
      </c>
      <c r="AB5" s="51" t="s">
        <v>63</v>
      </c>
      <c r="AC5" s="114">
        <f>INDEX(Tab_Def_Flows[[Flow_ID]:[CC_DM_source]],MATCH(Tab_Data_Flows[[#This Row],[Name(EN)]],Tab_Def_Flows[Name(EN)],0),16)</f>
        <v>1</v>
      </c>
      <c r="AD5" s="115">
        <f>IF(J5="Yes",AA5*Tab_Data_Flows[[#This Row],[WC_'[%']]],"N.A.")</f>
        <v>74</v>
      </c>
      <c r="AE5" s="61" t="str">
        <f>Tab_Data_Flows[[#This Row],[UoM_Flow_Py]]</f>
        <v>Mg</v>
      </c>
      <c r="AF5" s="114">
        <f>INDEX(Tab_Def_Flows[[Flow_ID]:[CC_DM_source]],MATCH(Tab_Data_Flows[[#This Row],[Name(EN)]],Tab_Def_Flows[Name(EN)],0),18)</f>
        <v>0</v>
      </c>
      <c r="AG5" s="115">
        <f>IF(K5="Yes",AF5*Tab_Data_Flows[[#This Row],[Flow_Py]],"N.A.")</f>
        <v>0</v>
      </c>
      <c r="AH5" s="61" t="str">
        <f>Tab_Data_Flows[[#This Row],[UoM_Flow_Py]]</f>
        <v>Mg</v>
      </c>
      <c r="AI5" s="114">
        <f>INDEX(Tab_Def_Flows[[Flow_ID]:[CC_DM_source]],MATCH(Tab_Data_Flows[[#This Row],[Name(EN)]],Tab_Def_Flows[Name(EN)],0),20)</f>
        <v>0</v>
      </c>
      <c r="AJ5" s="115">
        <f>IF(L5="Yes",AI5*Tab_Data_Flows[[#This Row],[Flow_Py]],"N.A.")</f>
        <v>0</v>
      </c>
      <c r="AK5" s="61" t="str">
        <f>Tab_Data_Flows[[#This Row],[UoM_Flow_Py]]</f>
        <v>Mg</v>
      </c>
    </row>
    <row r="6" spans="1:37" x14ac:dyDescent="0.35">
      <c r="A6" s="60">
        <f t="shared" si="0"/>
        <v>5</v>
      </c>
      <c r="B6" s="49" t="str">
        <f>_xlfn.XLOOKUP(C6,Tab_Def_Flows[Name(EN)],Tab_Def_Flows[Flow_ID],,0,)</f>
        <v>F_00_13</v>
      </c>
      <c r="C6" s="51" t="s">
        <v>427</v>
      </c>
      <c r="D6" s="49">
        <f>_xlfn.XLOOKUP(C6,Tab_Def_Flows[Name(EN)],Tab_Def_Flows[Type_Biomass],,0,)</f>
        <v>0</v>
      </c>
      <c r="E6" s="49" t="str">
        <f>_xlfn.XLOOKUP(C6,Tab_Def_Flows[Name(EN)],Tab_Def_Flows[Output_Process],,0,)</f>
        <v>Environment</v>
      </c>
      <c r="F6" s="49" t="str">
        <f>_xlfn.XLOOKUP(C6,Tab_Def_Flows[Name(EN)],Tab_Def_Flows[Process_ID_O],,0,)</f>
        <v>00_Env_BB</v>
      </c>
      <c r="G6" s="49" t="str">
        <f>_xlfn.XLOOKUP(C6,Tab_Def_Flows[Name(EN)],Tab_Def_Flows[Input_Process],,0,)</f>
        <v>Rye cultivation</v>
      </c>
      <c r="H6" s="61" t="str">
        <f>_xlfn.XLOOKUP(C6,Tab_Def_Flows[Name(EN)],Tab_Def_Flows[Process_ID_I],,0,)</f>
        <v>13_Rye_BB</v>
      </c>
      <c r="I6" s="61">
        <f>_xlfn.XLOOKUP(C6,Tab_Def_Flows[Name(EN)],Tab_Def_Flows[Value_Source],,0,)</f>
        <v>0</v>
      </c>
      <c r="J6" s="61" t="s">
        <v>68</v>
      </c>
      <c r="K6" s="61" t="s">
        <v>68</v>
      </c>
      <c r="L6" s="61" t="s">
        <v>68</v>
      </c>
      <c r="M6" s="51">
        <v>2022</v>
      </c>
      <c r="N6" s="51" t="s">
        <v>353</v>
      </c>
      <c r="O6" s="88">
        <v>129</v>
      </c>
      <c r="P6" s="51" t="s">
        <v>398</v>
      </c>
      <c r="Q6" s="51" t="s">
        <v>368</v>
      </c>
      <c r="R6" s="51"/>
      <c r="S6" s="51"/>
      <c r="T6" s="51"/>
      <c r="U6" s="51"/>
      <c r="V6" s="51"/>
      <c r="W6" s="51"/>
      <c r="X6" s="51" t="s">
        <v>71</v>
      </c>
      <c r="Y6" s="109"/>
      <c r="Z6" s="51"/>
      <c r="AA6" s="89">
        <f>IF(X6="no",O6,O6*Y6)</f>
        <v>129</v>
      </c>
      <c r="AB6" s="51" t="s">
        <v>63</v>
      </c>
      <c r="AC6" s="114">
        <f>INDEX(Tab_Def_Flows[[Flow_ID]:[CC_DM_source]],MATCH(Tab_Data_Flows[[#This Row],[Name(EN)]],Tab_Def_Flows[Name(EN)],0),16)</f>
        <v>0.06</v>
      </c>
      <c r="AD6" s="115">
        <f>IF(J6="Yes",AA6*Tab_Data_Flows[[#This Row],[WC_'[%']]],"N.A.")</f>
        <v>7.7399999999999993</v>
      </c>
      <c r="AE6" s="61" t="str">
        <f>Tab_Data_Flows[[#This Row],[UoM_Flow_Py]]</f>
        <v>Mg</v>
      </c>
      <c r="AF6" s="114">
        <f>INDEX(Tab_Def_Flows[[Flow_ID]:[CC_DM_source]],MATCH(Tab_Data_Flows[[#This Row],[Name(EN)]],Tab_Def_Flows[Name(EN)],0),18)</f>
        <v>0.94</v>
      </c>
      <c r="AG6" s="115">
        <f>IF(K6="Yes",AF6*Tab_Data_Flows[[#This Row],[Flow_Py]],"N.A.")</f>
        <v>121.25999999999999</v>
      </c>
      <c r="AH6" s="61" t="str">
        <f>Tab_Data_Flows[[#This Row],[UoM_Flow_Py]]</f>
        <v>Mg</v>
      </c>
      <c r="AI6" s="114">
        <f>INDEX(Tab_Def_Flows[[Flow_ID]:[CC_DM_source]],MATCH(Tab_Data_Flows[[#This Row],[Name(EN)]],Tab_Def_Flows[Name(EN)],0),20)</f>
        <v>0.49</v>
      </c>
      <c r="AJ6" s="115">
        <f>IF(L6="Yes",AI6*Tab_Data_Flows[[#This Row],[Flow_Py]],"N.A.")</f>
        <v>63.21</v>
      </c>
      <c r="AK6" s="61" t="str">
        <f>Tab_Data_Flows[[#This Row],[UoM_Flow_Py]]</f>
        <v>Mg</v>
      </c>
    </row>
    <row r="7" spans="1:37" x14ac:dyDescent="0.35">
      <c r="A7" s="60">
        <f t="shared" si="0"/>
        <v>6</v>
      </c>
      <c r="B7" s="49" t="str">
        <f>_xlfn.XLOOKUP(C7,Tab_Def_Flows[Name(EN)],Tab_Def_Flows[Flow_ID],,0,)</f>
        <v>F_00_04</v>
      </c>
      <c r="C7" s="51" t="s">
        <v>428</v>
      </c>
      <c r="D7" s="49">
        <f>_xlfn.XLOOKUP(C7,Tab_Def_Flows[Name(EN)],Tab_Def_Flows[Type_Biomass],,0,)</f>
        <v>0</v>
      </c>
      <c r="E7" s="49" t="str">
        <f>_xlfn.XLOOKUP(C7,Tab_Def_Flows[Name(EN)],Tab_Def_Flows[Output_Process],,0,)</f>
        <v>Environment</v>
      </c>
      <c r="F7" s="49" t="str">
        <f>_xlfn.XLOOKUP(C7,Tab_Def_Flows[Name(EN)],Tab_Def_Flows[Process_ID_O],,0,)</f>
        <v>00_Env_BB</v>
      </c>
      <c r="G7" s="49" t="str">
        <f>_xlfn.XLOOKUP(C7,Tab_Def_Flows[Name(EN)],Tab_Def_Flows[Input_Process],,0,)</f>
        <v>Life stock farming</v>
      </c>
      <c r="H7" s="61" t="str">
        <f>_xlfn.XLOOKUP(C7,Tab_Def_Flows[Name(EN)],Tab_Def_Flows[Process_ID_I],,0,)</f>
        <v>04_Lif_BB</v>
      </c>
      <c r="I7" s="61">
        <f>_xlfn.XLOOKUP(C7,Tab_Def_Flows[Name(EN)],Tab_Def_Flows[Value_Source],,0,)</f>
        <v>0</v>
      </c>
      <c r="J7" s="61" t="s">
        <v>68</v>
      </c>
      <c r="K7" s="61" t="s">
        <v>68</v>
      </c>
      <c r="L7" s="61" t="s">
        <v>68</v>
      </c>
      <c r="M7" s="51">
        <v>2022</v>
      </c>
      <c r="N7" s="51" t="s">
        <v>353</v>
      </c>
      <c r="O7" s="88">
        <v>39</v>
      </c>
      <c r="P7" s="51" t="s">
        <v>398</v>
      </c>
      <c r="Q7" s="51"/>
      <c r="R7" s="51"/>
      <c r="S7" s="51"/>
      <c r="T7" s="51"/>
      <c r="U7" s="51"/>
      <c r="V7" s="51"/>
      <c r="W7" s="51"/>
      <c r="X7" s="51" t="s">
        <v>71</v>
      </c>
      <c r="Y7" s="109"/>
      <c r="Z7" s="51"/>
      <c r="AA7" s="89">
        <f t="shared" si="1"/>
        <v>39</v>
      </c>
      <c r="AB7" s="51" t="s">
        <v>63</v>
      </c>
      <c r="AC7" s="114">
        <f>INDEX(Tab_Def_Flows[[Flow_ID]:[CC_DM_source]],MATCH(Tab_Data_Flows[[#This Row],[Name(EN)]],Tab_Def_Flows[Name(EN)],0),16)</f>
        <v>0.94</v>
      </c>
      <c r="AD7" s="115">
        <f>IF(J7="Yes",AA7*Tab_Data_Flows[[#This Row],[WC_'[%']]],"N.A.")</f>
        <v>36.659999999999997</v>
      </c>
      <c r="AE7" s="61" t="str">
        <f>Tab_Data_Flows[[#This Row],[UoM_Flow_Py]]</f>
        <v>Mg</v>
      </c>
      <c r="AF7" s="114">
        <f>INDEX(Tab_Def_Flows[[Flow_ID]:[CC_DM_source]],MATCH(Tab_Data_Flows[[#This Row],[Name(EN)]],Tab_Def_Flows[Name(EN)],0),18)</f>
        <v>0.06</v>
      </c>
      <c r="AG7" s="115">
        <f>IF(K7="Yes",AF7*Tab_Data_Flows[[#This Row],[Flow_Py]],"N.A.")</f>
        <v>2.34</v>
      </c>
      <c r="AH7" s="61" t="str">
        <f>Tab_Data_Flows[[#This Row],[UoM_Flow_Py]]</f>
        <v>Mg</v>
      </c>
      <c r="AI7" s="114">
        <f>INDEX(Tab_Def_Flows[[Flow_ID]:[CC_DM_source]],MATCH(Tab_Data_Flows[[#This Row],[Name(EN)]],Tab_Def_Flows[Name(EN)],0),20)</f>
        <v>0.49</v>
      </c>
      <c r="AJ7" s="115">
        <f>IF(L7="Yes",AI7*Tab_Data_Flows[[#This Row],[Flow_Py]],"N.A.")</f>
        <v>19.11</v>
      </c>
      <c r="AK7" s="61" t="str">
        <f>Tab_Data_Flows[[#This Row],[UoM_Flow_Py]]</f>
        <v>Mg</v>
      </c>
    </row>
    <row r="8" spans="1:37" x14ac:dyDescent="0.35">
      <c r="A8" s="60">
        <f t="shared" si="0"/>
        <v>7</v>
      </c>
      <c r="B8" s="49" t="str">
        <f>_xlfn.XLOOKUP(C8,Tab_Def_Flows[Name(EN)],Tab_Def_Flows[Flow_ID],,0,)</f>
        <v>F_00_11</v>
      </c>
      <c r="C8" s="51" t="s">
        <v>429</v>
      </c>
      <c r="D8" s="49">
        <f>_xlfn.XLOOKUP(C8,Tab_Def_Flows[Name(EN)],Tab_Def_Flows[Type_Biomass],,0,)</f>
        <v>0</v>
      </c>
      <c r="E8" s="49" t="str">
        <f>_xlfn.XLOOKUP(C8,Tab_Def_Flows[Name(EN)],Tab_Def_Flows[Output_Process],,0,)</f>
        <v>Environment</v>
      </c>
      <c r="F8" s="49" t="str">
        <f>_xlfn.XLOOKUP(C8,Tab_Def_Flows[Name(EN)],Tab_Def_Flows[Process_ID_O],,0,)</f>
        <v>00_Env_BB</v>
      </c>
      <c r="G8" s="49" t="str">
        <f>_xlfn.XLOOKUP(C8,Tab_Def_Flows[Name(EN)],Tab_Def_Flows[Input_Process],,0,)</f>
        <v>Millet production</v>
      </c>
      <c r="H8" s="61" t="str">
        <f>_xlfn.XLOOKUP(C8,Tab_Def_Flows[Name(EN)],Tab_Def_Flows[Process_ID_I],,0,)</f>
        <v>11_Mil_BB</v>
      </c>
      <c r="I8" s="61">
        <f>_xlfn.XLOOKUP(C8,Tab_Def_Flows[Name(EN)],Tab_Def_Flows[Value_Source],,0,)</f>
        <v>0</v>
      </c>
      <c r="J8" s="61" t="s">
        <v>68</v>
      </c>
      <c r="K8" s="61" t="s">
        <v>68</v>
      </c>
      <c r="L8" s="61" t="s">
        <v>68</v>
      </c>
      <c r="M8" s="51">
        <v>2022</v>
      </c>
      <c r="N8" s="51" t="s">
        <v>353</v>
      </c>
      <c r="O8" s="88">
        <v>1</v>
      </c>
      <c r="P8" s="51" t="s">
        <v>398</v>
      </c>
      <c r="Q8" s="51"/>
      <c r="R8" s="51"/>
      <c r="S8" s="51"/>
      <c r="T8" s="51"/>
      <c r="U8" s="51"/>
      <c r="V8" s="51"/>
      <c r="W8" s="51"/>
      <c r="X8" s="51" t="s">
        <v>71</v>
      </c>
      <c r="Y8" s="109"/>
      <c r="Z8" s="51"/>
      <c r="AA8" s="89">
        <f t="shared" si="1"/>
        <v>1</v>
      </c>
      <c r="AB8" s="51" t="s">
        <v>63</v>
      </c>
      <c r="AC8" s="114">
        <f>INDEX(Tab_Def_Flows[[Flow_ID]:[CC_DM_source]],MATCH(Tab_Data_Flows[[#This Row],[Name(EN)]],Tab_Def_Flows[Name(EN)],0),16)</f>
        <v>0.66</v>
      </c>
      <c r="AD8" s="115">
        <f>IF(J8="Yes",AA8*Tab_Data_Flows[[#This Row],[WC_'[%']]],"N.A.")</f>
        <v>0.66</v>
      </c>
      <c r="AE8" s="61" t="str">
        <f>Tab_Data_Flows[[#This Row],[UoM_Flow_Py]]</f>
        <v>Mg</v>
      </c>
      <c r="AF8" s="114">
        <f>INDEX(Tab_Def_Flows[[Flow_ID]:[CC_DM_source]],MATCH(Tab_Data_Flows[[#This Row],[Name(EN)]],Tab_Def_Flows[Name(EN)],0),18)</f>
        <v>0.34</v>
      </c>
      <c r="AG8" s="115">
        <f>IF(K8="Yes",AF8*Tab_Data_Flows[[#This Row],[Flow_Py]],"N.A.")</f>
        <v>0.34</v>
      </c>
      <c r="AH8" s="61" t="str">
        <f>Tab_Data_Flows[[#This Row],[UoM_Flow_Py]]</f>
        <v>Mg</v>
      </c>
      <c r="AI8" s="114">
        <f>INDEX(Tab_Def_Flows[[Flow_ID]:[CC_DM_source]],MATCH(Tab_Data_Flows[[#This Row],[Name(EN)]],Tab_Def_Flows[Name(EN)],0),20)</f>
        <v>0.47</v>
      </c>
      <c r="AJ8" s="115">
        <f>IF(L8="Yes",AI8*Tab_Data_Flows[[#This Row],[Flow_Py]],"N.A.")</f>
        <v>0.47</v>
      </c>
      <c r="AK8" s="61" t="str">
        <f>Tab_Data_Flows[[#This Row],[UoM_Flow_Py]]</f>
        <v>Mg</v>
      </c>
    </row>
    <row r="9" spans="1:37" x14ac:dyDescent="0.35">
      <c r="A9" s="60">
        <f t="shared" si="0"/>
        <v>8</v>
      </c>
      <c r="B9" s="49" t="str">
        <f>_xlfn.XLOOKUP(C9,Tab_Def_Flows[Name(EN)],Tab_Def_Flows[Flow_ID],,0,)</f>
        <v>F_00_08</v>
      </c>
      <c r="C9" s="51" t="s">
        <v>430</v>
      </c>
      <c r="D9" s="49">
        <f>_xlfn.XLOOKUP(C9,Tab_Def_Flows[Name(EN)],Tab_Def_Flows[Type_Biomass],,0,)</f>
        <v>0</v>
      </c>
      <c r="E9" s="49" t="str">
        <f>_xlfn.XLOOKUP(C9,Tab_Def_Flows[Name(EN)],Tab_Def_Flows[Output_Process],,0,)</f>
        <v>Environment</v>
      </c>
      <c r="F9" s="49" t="str">
        <f>_xlfn.XLOOKUP(C9,Tab_Def_Flows[Name(EN)],Tab_Def_Flows[Process_ID_O],,0,)</f>
        <v>00_Env_BB</v>
      </c>
      <c r="G9" s="49" t="str">
        <f>_xlfn.XLOOKUP(C9,Tab_Def_Flows[Name(EN)],Tab_Def_Flows[Input_Process],,0,)</f>
        <v>Water System (Import)</v>
      </c>
      <c r="H9" s="61" t="str">
        <f>_xlfn.XLOOKUP(C9,Tab_Def_Flows[Name(EN)],Tab_Def_Flows[Process_ID_I],,0,)</f>
        <v>08_Wat_BB</v>
      </c>
      <c r="I9" s="61">
        <f>_xlfn.XLOOKUP(C9,Tab_Def_Flows[Name(EN)],Tab_Def_Flows[Value_Source],,0,)</f>
        <v>0</v>
      </c>
      <c r="J9" s="61" t="s">
        <v>68</v>
      </c>
      <c r="K9" s="61" t="s">
        <v>68</v>
      </c>
      <c r="L9" s="61" t="s">
        <v>71</v>
      </c>
      <c r="M9" s="51">
        <v>2022</v>
      </c>
      <c r="N9" s="51" t="s">
        <v>353</v>
      </c>
      <c r="O9" s="88">
        <v>74</v>
      </c>
      <c r="P9" s="51" t="s">
        <v>398</v>
      </c>
      <c r="Q9" s="51"/>
      <c r="R9" s="51"/>
      <c r="S9" s="51"/>
      <c r="T9" s="51"/>
      <c r="U9" s="51"/>
      <c r="V9" s="51"/>
      <c r="W9" s="51"/>
      <c r="X9" s="51" t="s">
        <v>71</v>
      </c>
      <c r="Y9" s="109"/>
      <c r="Z9" s="51"/>
      <c r="AA9" s="89">
        <f t="shared" si="1"/>
        <v>74</v>
      </c>
      <c r="AB9" s="51" t="s">
        <v>63</v>
      </c>
      <c r="AC9" s="114">
        <f>INDEX(Tab_Def_Flows[[Flow_ID]:[CC_DM_source]],MATCH(Tab_Data_Flows[[#This Row],[Name(EN)]],Tab_Def_Flows[Name(EN)],0),16)</f>
        <v>1</v>
      </c>
      <c r="AD9" s="115">
        <f>IF(J9="Yes",AA9*Tab_Data_Flows[[#This Row],[WC_'[%']]],"N.A.")</f>
        <v>74</v>
      </c>
      <c r="AE9" s="61" t="str">
        <f>Tab_Data_Flows[[#This Row],[UoM_Flow_Py]]</f>
        <v>Mg</v>
      </c>
      <c r="AF9" s="114">
        <f>INDEX(Tab_Def_Flows[[Flow_ID]:[CC_DM_source]],MATCH(Tab_Data_Flows[[#This Row],[Name(EN)]],Tab_Def_Flows[Name(EN)],0),18)</f>
        <v>0</v>
      </c>
      <c r="AG9" s="115">
        <f>IF(K9="Yes",AF9*Tab_Data_Flows[[#This Row],[Flow_Py]],"N.A.")</f>
        <v>0</v>
      </c>
      <c r="AH9" s="61" t="str">
        <f>Tab_Data_Flows[[#This Row],[UoM_Flow_Py]]</f>
        <v>Mg</v>
      </c>
      <c r="AI9" s="114">
        <f>INDEX(Tab_Def_Flows[[Flow_ID]:[CC_DM_source]],MATCH(Tab_Data_Flows[[#This Row],[Name(EN)]],Tab_Def_Flows[Name(EN)],0),20)</f>
        <v>0</v>
      </c>
      <c r="AJ9" s="115" t="str">
        <f>IF(L9="Yes",AI9*Tab_Data_Flows[[#This Row],[Flow_Py]],"N.A.")</f>
        <v>N.A.</v>
      </c>
      <c r="AK9" s="61" t="str">
        <f>Tab_Data_Flows[[#This Row],[UoM_Flow_Py]]</f>
        <v>Mg</v>
      </c>
    </row>
    <row r="10" spans="1:37" x14ac:dyDescent="0.35">
      <c r="A10" s="60">
        <f t="shared" si="0"/>
        <v>9</v>
      </c>
      <c r="B10" s="49" t="str">
        <f>_xlfn.XLOOKUP(C10,Tab_Def_Flows[Name(EN)],Tab_Def_Flows[Flow_ID],,0,)</f>
        <v>F_21_21</v>
      </c>
      <c r="C10" s="51"/>
      <c r="D10" s="49">
        <f>_xlfn.XLOOKUP(C10,Tab_Def_Flows[Name(EN)],Tab_Def_Flows[Type_Biomass],,0,)</f>
        <v>0</v>
      </c>
      <c r="E10" s="49">
        <f>_xlfn.XLOOKUP(C10,Tab_Def_Flows[Name(EN)],Tab_Def_Flows[Output_Process],,0,)</f>
        <v>0</v>
      </c>
      <c r="F10" s="49" t="str">
        <f>_xlfn.XLOOKUP(C10,Tab_Def_Flows[Name(EN)],Tab_Def_Flows[Process_ID_O],,0,)</f>
        <v>21__</v>
      </c>
      <c r="G10" s="49">
        <f>_xlfn.XLOOKUP(C10,Tab_Def_Flows[Name(EN)],Tab_Def_Flows[Input_Process],,0,)</f>
        <v>0</v>
      </c>
      <c r="H10" s="61" t="str">
        <f>_xlfn.XLOOKUP(C10,Tab_Def_Flows[Name(EN)],Tab_Def_Flows[Process_ID_I],,0,)</f>
        <v>21__</v>
      </c>
      <c r="I10" s="61">
        <f>_xlfn.XLOOKUP(C10,Tab_Def_Flows[Name(EN)],Tab_Def_Flows[Value_Source],,0,)</f>
        <v>0</v>
      </c>
      <c r="J10" s="61">
        <f>_xlfn.XLOOKUP(C10,Tab_Def_Flows[Name(EN)],Tab_Def_Flows[WC?],,0,)</f>
        <v>0</v>
      </c>
      <c r="K10" s="61">
        <f>_xlfn.XLOOKUP(C10,Tab_Def_Flows[Name(EN)],Tab_Def_Flows[DM?],,0,)</f>
        <v>0</v>
      </c>
      <c r="L10" s="61">
        <f>_xlfn.XLOOKUP(C10,Tab_Def_Flows[Name(EN)],Tab_Def_Flows[CC?],,0,)</f>
        <v>0</v>
      </c>
      <c r="M10" s="51"/>
      <c r="N10" s="51"/>
      <c r="O10" s="88"/>
      <c r="P10" s="51"/>
      <c r="Q10" s="51"/>
      <c r="R10" s="51"/>
      <c r="S10" s="51"/>
      <c r="T10" s="51"/>
      <c r="U10" s="51"/>
      <c r="V10" s="51"/>
      <c r="W10" s="51"/>
      <c r="X10" s="51"/>
      <c r="Y10" s="109"/>
      <c r="Z10" s="51"/>
      <c r="AA10" s="89">
        <f t="shared" si="1"/>
        <v>0</v>
      </c>
      <c r="AB10" s="51" t="s">
        <v>63</v>
      </c>
      <c r="AC10" s="114" t="e">
        <f>INDEX(Tab_Def_Flows[[Flow_ID]:[CC_DM_source]],MATCH(Tab_Data_Flows[[#This Row],[Name(EN)]],Tab_Def_Flows[Name(EN)],0),16)</f>
        <v>#N/A</v>
      </c>
      <c r="AD10" s="115" t="str">
        <f>IF(J10="Yes",AA10*Tab_Data_Flows[[#This Row],[WC_'[%']]],"N.A.")</f>
        <v>N.A.</v>
      </c>
      <c r="AE10" s="61" t="str">
        <f>Tab_Data_Flows[[#This Row],[UoM_Flow_Py]]</f>
        <v>Mg</v>
      </c>
      <c r="AF10" s="114" t="e">
        <f>INDEX(Tab_Def_Flows[[Flow_ID]:[CC_DM_source]],MATCH(Tab_Data_Flows[[#This Row],[Name(EN)]],Tab_Def_Flows[Name(EN)],0),18)</f>
        <v>#N/A</v>
      </c>
      <c r="AG10" s="115" t="str">
        <f>IF(K10="Yes",AF10*Tab_Data_Flows[[#This Row],[Flow_Py]],"N.A.")</f>
        <v>N.A.</v>
      </c>
      <c r="AH10" s="61" t="str">
        <f>Tab_Data_Flows[[#This Row],[UoM_Flow_Py]]</f>
        <v>Mg</v>
      </c>
      <c r="AI10" s="114" t="e">
        <f>INDEX(Tab_Def_Flows[[Flow_ID]:[CC_DM_source]],MATCH(Tab_Data_Flows[[#This Row],[Name(EN)]],Tab_Def_Flows[Name(EN)],0),20)</f>
        <v>#N/A</v>
      </c>
      <c r="AJ10" s="115" t="str">
        <f>IF(L10="Yes",AI10*Tab_Data_Flows[[#This Row],[Flow_Py]],"N.A.")</f>
        <v>N.A.</v>
      </c>
      <c r="AK10" s="61" t="str">
        <f>Tab_Data_Flows[[#This Row],[UoM_Flow_Py]]</f>
        <v>Mg</v>
      </c>
    </row>
    <row r="11" spans="1:37" x14ac:dyDescent="0.35">
      <c r="A11" s="60">
        <f t="shared" si="0"/>
        <v>10</v>
      </c>
      <c r="B11" s="49" t="str">
        <f>_xlfn.XLOOKUP(C11,Tab_Def_Flows[Name(EN)],Tab_Def_Flows[Flow_ID],,0,)</f>
        <v>F_21_21</v>
      </c>
      <c r="C11" s="51"/>
      <c r="D11" s="49">
        <f>_xlfn.XLOOKUP(C11,Tab_Def_Flows[Name(EN)],Tab_Def_Flows[Type_Biomass],,0,)</f>
        <v>0</v>
      </c>
      <c r="E11" s="49">
        <f>_xlfn.XLOOKUP(C11,Tab_Def_Flows[Name(EN)],Tab_Def_Flows[Output_Process],,0,)</f>
        <v>0</v>
      </c>
      <c r="F11" s="49" t="str">
        <f>_xlfn.XLOOKUP(C11,Tab_Def_Flows[Name(EN)],Tab_Def_Flows[Process_ID_O],,0,)</f>
        <v>21__</v>
      </c>
      <c r="G11" s="49">
        <f>_xlfn.XLOOKUP(C11,Tab_Def_Flows[Name(EN)],Tab_Def_Flows[Input_Process],,0,)</f>
        <v>0</v>
      </c>
      <c r="H11" s="61" t="str">
        <f>_xlfn.XLOOKUP(C11,Tab_Def_Flows[Name(EN)],Tab_Def_Flows[Process_ID_I],,0,)</f>
        <v>21__</v>
      </c>
      <c r="I11" s="61">
        <f>_xlfn.XLOOKUP(C11,Tab_Def_Flows[Name(EN)],Tab_Def_Flows[Value_Source],,0,)</f>
        <v>0</v>
      </c>
      <c r="J11" s="61">
        <f>_xlfn.XLOOKUP(C11,Tab_Def_Flows[Name(EN)],Tab_Def_Flows[WC?],,0,)</f>
        <v>0</v>
      </c>
      <c r="K11" s="61">
        <f>_xlfn.XLOOKUP(C11,Tab_Def_Flows[Name(EN)],Tab_Def_Flows[DM?],,0,)</f>
        <v>0</v>
      </c>
      <c r="L11" s="61">
        <f>_xlfn.XLOOKUP(C11,Tab_Def_Flows[Name(EN)],Tab_Def_Flows[CC?],,0,)</f>
        <v>0</v>
      </c>
      <c r="M11" s="51"/>
      <c r="N11" s="51"/>
      <c r="O11" s="88"/>
      <c r="P11" s="51"/>
      <c r="Q11" s="51"/>
      <c r="R11" s="51"/>
      <c r="S11" s="51"/>
      <c r="T11" s="51"/>
      <c r="U11" s="51"/>
      <c r="V11" s="51"/>
      <c r="W11" s="51"/>
      <c r="X11" s="51"/>
      <c r="Y11" s="109"/>
      <c r="Z11" s="51"/>
      <c r="AA11" s="89">
        <f t="shared" si="1"/>
        <v>0</v>
      </c>
      <c r="AB11" s="51" t="s">
        <v>63</v>
      </c>
      <c r="AC11" s="114" t="e">
        <f>INDEX(Tab_Def_Flows[[Flow_ID]:[CC_DM_source]],MATCH(Tab_Data_Flows[[#This Row],[Name(EN)]],Tab_Def_Flows[Name(EN)],0),16)</f>
        <v>#N/A</v>
      </c>
      <c r="AD11" s="115" t="str">
        <f>IF(J11="Yes",AA11*Tab_Data_Flows[[#This Row],[WC_'[%']]],"N.A.")</f>
        <v>N.A.</v>
      </c>
      <c r="AE11" s="61" t="str">
        <f>Tab_Data_Flows[[#This Row],[UoM_Flow_Py]]</f>
        <v>Mg</v>
      </c>
      <c r="AF11" s="114" t="e">
        <f>INDEX(Tab_Def_Flows[[Flow_ID]:[CC_DM_source]],MATCH(Tab_Data_Flows[[#This Row],[Name(EN)]],Tab_Def_Flows[Name(EN)],0),18)</f>
        <v>#N/A</v>
      </c>
      <c r="AG11" s="115" t="str">
        <f>IF(K11="Yes",AF11*Tab_Data_Flows[[#This Row],[Flow_Py]],"N.A.")</f>
        <v>N.A.</v>
      </c>
      <c r="AH11" s="61" t="str">
        <f>Tab_Data_Flows[[#This Row],[UoM_Flow_Py]]</f>
        <v>Mg</v>
      </c>
      <c r="AI11" s="114" t="e">
        <f>INDEX(Tab_Def_Flows[[Flow_ID]:[CC_DM_source]],MATCH(Tab_Data_Flows[[#This Row],[Name(EN)]],Tab_Def_Flows[Name(EN)],0),20)</f>
        <v>#N/A</v>
      </c>
      <c r="AJ11" s="115" t="str">
        <f>IF(L11="Yes",AI11*Tab_Data_Flows[[#This Row],[Flow_Py]],"N.A.")</f>
        <v>N.A.</v>
      </c>
      <c r="AK11" s="61" t="str">
        <f>Tab_Data_Flows[[#This Row],[UoM_Flow_Py]]</f>
        <v>Mg</v>
      </c>
    </row>
    <row r="12" spans="1:37" x14ac:dyDescent="0.35">
      <c r="A12" s="60">
        <f t="shared" si="0"/>
        <v>11</v>
      </c>
      <c r="B12" s="49" t="str">
        <f>_xlfn.XLOOKUP(C12,Tab_Def_Flows[Name(EN)],Tab_Def_Flows[Flow_ID],,0,)</f>
        <v>F_21_21</v>
      </c>
      <c r="C12" s="51"/>
      <c r="D12" s="49">
        <f>_xlfn.XLOOKUP(C12,Tab_Def_Flows[Name(EN)],Tab_Def_Flows[Type_Biomass],,0,)</f>
        <v>0</v>
      </c>
      <c r="E12" s="49">
        <f>_xlfn.XLOOKUP(C12,Tab_Def_Flows[Name(EN)],Tab_Def_Flows[Output_Process],,0,)</f>
        <v>0</v>
      </c>
      <c r="F12" s="49" t="str">
        <f>_xlfn.XLOOKUP(C12,Tab_Def_Flows[Name(EN)],Tab_Def_Flows[Process_ID_O],,0,)</f>
        <v>21__</v>
      </c>
      <c r="G12" s="49">
        <f>_xlfn.XLOOKUP(C12,Tab_Def_Flows[Name(EN)],Tab_Def_Flows[Input_Process],,0,)</f>
        <v>0</v>
      </c>
      <c r="H12" s="61" t="str">
        <f>_xlfn.XLOOKUP(C12,Tab_Def_Flows[Name(EN)],Tab_Def_Flows[Process_ID_I],,0,)</f>
        <v>21__</v>
      </c>
      <c r="I12" s="61">
        <f>_xlfn.XLOOKUP(C12,Tab_Def_Flows[Name(EN)],Tab_Def_Flows[Value_Source],,0,)</f>
        <v>0</v>
      </c>
      <c r="J12" s="61">
        <f>_xlfn.XLOOKUP(C12,Tab_Def_Flows[Name(EN)],Tab_Def_Flows[WC?],,0,)</f>
        <v>0</v>
      </c>
      <c r="K12" s="61">
        <f>_xlfn.XLOOKUP(C12,Tab_Def_Flows[Name(EN)],Tab_Def_Flows[DM?],,0,)</f>
        <v>0</v>
      </c>
      <c r="L12" s="61">
        <f>_xlfn.XLOOKUP(C12,Tab_Def_Flows[Name(EN)],Tab_Def_Flows[CC?],,0,)</f>
        <v>0</v>
      </c>
      <c r="M12" s="51"/>
      <c r="N12" s="51"/>
      <c r="O12" s="88"/>
      <c r="P12" s="51"/>
      <c r="Q12" s="51"/>
      <c r="R12" s="51"/>
      <c r="S12" s="51"/>
      <c r="T12" s="51"/>
      <c r="U12" s="51"/>
      <c r="V12" s="51"/>
      <c r="W12" s="51"/>
      <c r="X12" s="51"/>
      <c r="Y12" s="109"/>
      <c r="Z12" s="51"/>
      <c r="AA12" s="89">
        <f t="shared" si="1"/>
        <v>0</v>
      </c>
      <c r="AB12" s="51" t="s">
        <v>63</v>
      </c>
      <c r="AC12" s="114" t="e">
        <f>INDEX(Tab_Def_Flows[[Flow_ID]:[CC_DM_source]],MATCH(Tab_Data_Flows[[#This Row],[Name(EN)]],Tab_Def_Flows[Name(EN)],0),16)</f>
        <v>#N/A</v>
      </c>
      <c r="AD12" s="115" t="str">
        <f>IF(J12="Yes",AA12*Tab_Data_Flows[[#This Row],[WC_'[%']]],"N.A.")</f>
        <v>N.A.</v>
      </c>
      <c r="AE12" s="61" t="str">
        <f>Tab_Data_Flows[[#This Row],[UoM_Flow_Py]]</f>
        <v>Mg</v>
      </c>
      <c r="AF12" s="114" t="e">
        <f>INDEX(Tab_Def_Flows[[Flow_ID]:[CC_DM_source]],MATCH(Tab_Data_Flows[[#This Row],[Name(EN)]],Tab_Def_Flows[Name(EN)],0),18)</f>
        <v>#N/A</v>
      </c>
      <c r="AG12" s="115" t="str">
        <f>IF(K12="Yes",AF12*Tab_Data_Flows[[#This Row],[Flow_Py]],"N.A.")</f>
        <v>N.A.</v>
      </c>
      <c r="AH12" s="61" t="str">
        <f>Tab_Data_Flows[[#This Row],[UoM_Flow_Py]]</f>
        <v>Mg</v>
      </c>
      <c r="AI12" s="114" t="e">
        <f>INDEX(Tab_Def_Flows[[Flow_ID]:[CC_DM_source]],MATCH(Tab_Data_Flows[[#This Row],[Name(EN)]],Tab_Def_Flows[Name(EN)],0),20)</f>
        <v>#N/A</v>
      </c>
      <c r="AJ12" s="115" t="str">
        <f>IF(L12="Yes",AI12*Tab_Data_Flows[[#This Row],[Flow_Py]],"N.A.")</f>
        <v>N.A.</v>
      </c>
      <c r="AK12" s="61" t="str">
        <f>Tab_Data_Flows[[#This Row],[UoM_Flow_Py]]</f>
        <v>Mg</v>
      </c>
    </row>
    <row r="13" spans="1:37" x14ac:dyDescent="0.35">
      <c r="A13" s="60">
        <f t="shared" si="0"/>
        <v>12</v>
      </c>
      <c r="B13" s="49" t="str">
        <f>_xlfn.XLOOKUP(C13,Tab_Def_Flows[Name(EN)],Tab_Def_Flows[Flow_ID],,0,)</f>
        <v>F_21_21</v>
      </c>
      <c r="C13" s="51"/>
      <c r="D13" s="49">
        <f>_xlfn.XLOOKUP(C13,Tab_Def_Flows[Name(EN)],Tab_Def_Flows[Type_Biomass],,0,)</f>
        <v>0</v>
      </c>
      <c r="E13" s="49">
        <f>_xlfn.XLOOKUP(C13,Tab_Def_Flows[Name(EN)],Tab_Def_Flows[Output_Process],,0,)</f>
        <v>0</v>
      </c>
      <c r="F13" s="49" t="str">
        <f>_xlfn.XLOOKUP(C13,Tab_Def_Flows[Name(EN)],Tab_Def_Flows[Process_ID_O],,0,)</f>
        <v>21__</v>
      </c>
      <c r="G13" s="49">
        <f>_xlfn.XLOOKUP(C13,Tab_Def_Flows[Name(EN)],Tab_Def_Flows[Input_Process],,0,)</f>
        <v>0</v>
      </c>
      <c r="H13" s="61" t="str">
        <f>_xlfn.XLOOKUP(C13,Tab_Def_Flows[Name(EN)],Tab_Def_Flows[Process_ID_I],,0,)</f>
        <v>21__</v>
      </c>
      <c r="I13" s="61">
        <f>_xlfn.XLOOKUP(C13,Tab_Def_Flows[Name(EN)],Tab_Def_Flows[Value_Source],,0,)</f>
        <v>0</v>
      </c>
      <c r="J13" s="61">
        <f>_xlfn.XLOOKUP(C13,Tab_Def_Flows[Name(EN)],Tab_Def_Flows[WC?],,0,)</f>
        <v>0</v>
      </c>
      <c r="K13" s="61">
        <f>_xlfn.XLOOKUP(C13,Tab_Def_Flows[Name(EN)],Tab_Def_Flows[DM?],,0,)</f>
        <v>0</v>
      </c>
      <c r="L13" s="61">
        <f>_xlfn.XLOOKUP(C13,Tab_Def_Flows[Name(EN)],Tab_Def_Flows[CC?],,0,)</f>
        <v>0</v>
      </c>
      <c r="M13" s="51"/>
      <c r="N13" s="51"/>
      <c r="O13" s="88"/>
      <c r="P13" s="51"/>
      <c r="Q13" s="51"/>
      <c r="R13" s="51"/>
      <c r="S13" s="51"/>
      <c r="T13" s="51"/>
      <c r="U13" s="51"/>
      <c r="V13" s="51"/>
      <c r="W13" s="51"/>
      <c r="X13" s="51"/>
      <c r="Y13" s="109"/>
      <c r="Z13" s="51"/>
      <c r="AA13" s="89">
        <f t="shared" si="1"/>
        <v>0</v>
      </c>
      <c r="AB13" s="51" t="s">
        <v>63</v>
      </c>
      <c r="AC13" s="114" t="e">
        <f>INDEX(Tab_Def_Flows[[Flow_ID]:[CC_DM_source]],MATCH(Tab_Data_Flows[[#This Row],[Name(EN)]],Tab_Def_Flows[Name(EN)],0),16)</f>
        <v>#N/A</v>
      </c>
      <c r="AD13" s="115" t="str">
        <f>IF(J13="Yes",AA13*Tab_Data_Flows[[#This Row],[WC_'[%']]],"N.A.")</f>
        <v>N.A.</v>
      </c>
      <c r="AE13" s="61" t="str">
        <f>Tab_Data_Flows[[#This Row],[UoM_Flow_Py]]</f>
        <v>Mg</v>
      </c>
      <c r="AF13" s="114" t="e">
        <f>INDEX(Tab_Def_Flows[[Flow_ID]:[CC_DM_source]],MATCH(Tab_Data_Flows[[#This Row],[Name(EN)]],Tab_Def_Flows[Name(EN)],0),18)</f>
        <v>#N/A</v>
      </c>
      <c r="AG13" s="115" t="str">
        <f>IF(K13="Yes",AF13*Tab_Data_Flows[[#This Row],[Flow_Py]],"N.A.")</f>
        <v>N.A.</v>
      </c>
      <c r="AH13" s="61" t="str">
        <f>Tab_Data_Flows[[#This Row],[UoM_Flow_Py]]</f>
        <v>Mg</v>
      </c>
      <c r="AI13" s="114" t="e">
        <f>INDEX(Tab_Def_Flows[[Flow_ID]:[CC_DM_source]],MATCH(Tab_Data_Flows[[#This Row],[Name(EN)]],Tab_Def_Flows[Name(EN)],0),20)</f>
        <v>#N/A</v>
      </c>
      <c r="AJ13" s="115" t="str">
        <f>IF(L13="Yes",AI13*Tab_Data_Flows[[#This Row],[Flow_Py]],"N.A.")</f>
        <v>N.A.</v>
      </c>
      <c r="AK13" s="61" t="str">
        <f>Tab_Data_Flows[[#This Row],[UoM_Flow_Py]]</f>
        <v>Mg</v>
      </c>
    </row>
    <row r="14" spans="1:37" x14ac:dyDescent="0.35">
      <c r="A14" s="60">
        <f t="shared" si="0"/>
        <v>13</v>
      </c>
      <c r="B14" s="49" t="str">
        <f>_xlfn.XLOOKUP(C14,Tab_Def_Flows[Name(EN)],Tab_Def_Flows[Flow_ID],,0,)</f>
        <v>F_21_21</v>
      </c>
      <c r="C14" s="51"/>
      <c r="D14" s="49">
        <f>_xlfn.XLOOKUP(C14,Tab_Def_Flows[Name(EN)],Tab_Def_Flows[Type_Biomass],,0,)</f>
        <v>0</v>
      </c>
      <c r="E14" s="49">
        <f>_xlfn.XLOOKUP(C14,Tab_Def_Flows[Name(EN)],Tab_Def_Flows[Output_Process],,0,)</f>
        <v>0</v>
      </c>
      <c r="F14" s="49" t="str">
        <f>_xlfn.XLOOKUP(C14,Tab_Def_Flows[Name(EN)],Tab_Def_Flows[Process_ID_O],,0,)</f>
        <v>21__</v>
      </c>
      <c r="G14" s="49">
        <f>_xlfn.XLOOKUP(C14,Tab_Def_Flows[Name(EN)],Tab_Def_Flows[Input_Process],,0,)</f>
        <v>0</v>
      </c>
      <c r="H14" s="61" t="str">
        <f>_xlfn.XLOOKUP(C14,Tab_Def_Flows[Name(EN)],Tab_Def_Flows[Process_ID_I],,0,)</f>
        <v>21__</v>
      </c>
      <c r="I14" s="61">
        <f>_xlfn.XLOOKUP(C14,Tab_Def_Flows[Name(EN)],Tab_Def_Flows[Value_Source],,0,)</f>
        <v>0</v>
      </c>
      <c r="J14" s="61">
        <f>_xlfn.XLOOKUP(C14,Tab_Def_Flows[Name(EN)],Tab_Def_Flows[WC?],,0,)</f>
        <v>0</v>
      </c>
      <c r="K14" s="61">
        <f>_xlfn.XLOOKUP(C14,Tab_Def_Flows[Name(EN)],Tab_Def_Flows[DM?],,0,)</f>
        <v>0</v>
      </c>
      <c r="L14" s="61">
        <f>_xlfn.XLOOKUP(C14,Tab_Def_Flows[Name(EN)],Tab_Def_Flows[CC?],,0,)</f>
        <v>0</v>
      </c>
      <c r="M14" s="51"/>
      <c r="N14" s="51"/>
      <c r="O14" s="88"/>
      <c r="P14" s="51"/>
      <c r="Q14" s="51"/>
      <c r="R14" s="51"/>
      <c r="S14" s="51"/>
      <c r="T14" s="51"/>
      <c r="U14" s="51"/>
      <c r="V14" s="51"/>
      <c r="W14" s="51"/>
      <c r="X14" s="51"/>
      <c r="Y14" s="109"/>
      <c r="Z14" s="51"/>
      <c r="AA14" s="89">
        <f t="shared" si="1"/>
        <v>0</v>
      </c>
      <c r="AB14" s="51" t="s">
        <v>63</v>
      </c>
      <c r="AC14" s="114" t="e">
        <f>INDEX(Tab_Def_Flows[[Flow_ID]:[CC_DM_source]],MATCH(Tab_Data_Flows[[#This Row],[Name(EN)]],Tab_Def_Flows[Name(EN)],0),16)</f>
        <v>#N/A</v>
      </c>
      <c r="AD14" s="115" t="str">
        <f>IF(J14="Yes",AA14*Tab_Data_Flows[[#This Row],[WC_'[%']]],"N.A.")</f>
        <v>N.A.</v>
      </c>
      <c r="AE14" s="61" t="str">
        <f>Tab_Data_Flows[[#This Row],[UoM_Flow_Py]]</f>
        <v>Mg</v>
      </c>
      <c r="AF14" s="114" t="e">
        <f>INDEX(Tab_Def_Flows[[Flow_ID]:[CC_DM_source]],MATCH(Tab_Data_Flows[[#This Row],[Name(EN)]],Tab_Def_Flows[Name(EN)],0),18)</f>
        <v>#N/A</v>
      </c>
      <c r="AG14" s="115" t="str">
        <f>IF(K14="Yes",AF14*Tab_Data_Flows[[#This Row],[Flow_Py]],"N.A.")</f>
        <v>N.A.</v>
      </c>
      <c r="AH14" s="61" t="str">
        <f>Tab_Data_Flows[[#This Row],[UoM_Flow_Py]]</f>
        <v>Mg</v>
      </c>
      <c r="AI14" s="114" t="e">
        <f>INDEX(Tab_Def_Flows[[Flow_ID]:[CC_DM_source]],MATCH(Tab_Data_Flows[[#This Row],[Name(EN)]],Tab_Def_Flows[Name(EN)],0),20)</f>
        <v>#N/A</v>
      </c>
      <c r="AJ14" s="115" t="str">
        <f>IF(L14="Yes",AI14*Tab_Data_Flows[[#This Row],[Flow_Py]],"N.A.")</f>
        <v>N.A.</v>
      </c>
      <c r="AK14" s="61" t="str">
        <f>Tab_Data_Flows[[#This Row],[UoM_Flow_Py]]</f>
        <v>Mg</v>
      </c>
    </row>
    <row r="15" spans="1:37" x14ac:dyDescent="0.35">
      <c r="A15" s="60">
        <f t="shared" si="0"/>
        <v>14</v>
      </c>
      <c r="B15" s="49" t="str">
        <f>_xlfn.XLOOKUP(C15,Tab_Def_Flows[Name(EN)],Tab_Def_Flows[Flow_ID],,0,)</f>
        <v>F_21_21</v>
      </c>
      <c r="C15" s="51"/>
      <c r="D15" s="49">
        <f>_xlfn.XLOOKUP(C15,Tab_Def_Flows[Name(EN)],Tab_Def_Flows[Type_Biomass],,0,)</f>
        <v>0</v>
      </c>
      <c r="E15" s="49">
        <f>_xlfn.XLOOKUP(C15,Tab_Def_Flows[Name(EN)],Tab_Def_Flows[Output_Process],,0,)</f>
        <v>0</v>
      </c>
      <c r="F15" s="49" t="str">
        <f>_xlfn.XLOOKUP(C15,Tab_Def_Flows[Name(EN)],Tab_Def_Flows[Process_ID_O],,0,)</f>
        <v>21__</v>
      </c>
      <c r="G15" s="49">
        <f>_xlfn.XLOOKUP(C15,Tab_Def_Flows[Name(EN)],Tab_Def_Flows[Input_Process],,0,)</f>
        <v>0</v>
      </c>
      <c r="H15" s="61" t="str">
        <f>_xlfn.XLOOKUP(C15,Tab_Def_Flows[Name(EN)],Tab_Def_Flows[Process_ID_I],,0,)</f>
        <v>21__</v>
      </c>
      <c r="I15" s="61">
        <f>_xlfn.XLOOKUP(C15,Tab_Def_Flows[Name(EN)],Tab_Def_Flows[Value_Source],,0,)</f>
        <v>0</v>
      </c>
      <c r="J15" s="61">
        <f>_xlfn.XLOOKUP(C15,Tab_Def_Flows[Name(EN)],Tab_Def_Flows[WC?],,0,)</f>
        <v>0</v>
      </c>
      <c r="K15" s="61">
        <f>_xlfn.XLOOKUP(C15,Tab_Def_Flows[Name(EN)],Tab_Def_Flows[DM?],,0,)</f>
        <v>0</v>
      </c>
      <c r="L15" s="61">
        <f>_xlfn.XLOOKUP(C15,Tab_Def_Flows[Name(EN)],Tab_Def_Flows[CC?],,0,)</f>
        <v>0</v>
      </c>
      <c r="M15" s="51"/>
      <c r="N15" s="51"/>
      <c r="O15" s="88"/>
      <c r="P15" s="51"/>
      <c r="Q15" s="51"/>
      <c r="R15" s="51"/>
      <c r="S15" s="51"/>
      <c r="T15" s="51"/>
      <c r="U15" s="51"/>
      <c r="V15" s="51"/>
      <c r="W15" s="51"/>
      <c r="X15" s="51"/>
      <c r="Y15" s="109"/>
      <c r="Z15" s="51"/>
      <c r="AA15" s="89">
        <f t="shared" si="1"/>
        <v>0</v>
      </c>
      <c r="AB15" s="51" t="s">
        <v>63</v>
      </c>
      <c r="AC15" s="114" t="e">
        <f>INDEX(Tab_Def_Flows[[Flow_ID]:[CC_DM_source]],MATCH(Tab_Data_Flows[[#This Row],[Name(EN)]],Tab_Def_Flows[Name(EN)],0),16)</f>
        <v>#N/A</v>
      </c>
      <c r="AD15" s="115" t="str">
        <f>IF(J15="Yes",AA15*Tab_Data_Flows[[#This Row],[WC_'[%']]],"N.A.")</f>
        <v>N.A.</v>
      </c>
      <c r="AE15" s="61" t="str">
        <f>Tab_Data_Flows[[#This Row],[UoM_Flow_Py]]</f>
        <v>Mg</v>
      </c>
      <c r="AF15" s="114" t="e">
        <f>INDEX(Tab_Def_Flows[[Flow_ID]:[CC_DM_source]],MATCH(Tab_Data_Flows[[#This Row],[Name(EN)]],Tab_Def_Flows[Name(EN)],0),18)</f>
        <v>#N/A</v>
      </c>
      <c r="AG15" s="115" t="str">
        <f>IF(K15="Yes",AF15*Tab_Data_Flows[[#This Row],[Flow_Py]],"N.A.")</f>
        <v>N.A.</v>
      </c>
      <c r="AH15" s="61" t="str">
        <f>Tab_Data_Flows[[#This Row],[UoM_Flow_Py]]</f>
        <v>Mg</v>
      </c>
      <c r="AI15" s="114" t="e">
        <f>INDEX(Tab_Def_Flows[[Flow_ID]:[CC_DM_source]],MATCH(Tab_Data_Flows[[#This Row],[Name(EN)]],Tab_Def_Flows[Name(EN)],0),20)</f>
        <v>#N/A</v>
      </c>
      <c r="AJ15" s="115" t="str">
        <f>IF(L15="Yes",AI15*Tab_Data_Flows[[#This Row],[Flow_Py]],"N.A.")</f>
        <v>N.A.</v>
      </c>
      <c r="AK15" s="61" t="str">
        <f>Tab_Data_Flows[[#This Row],[UoM_Flow_Py]]</f>
        <v>Mg</v>
      </c>
    </row>
    <row r="16" spans="1:37" x14ac:dyDescent="0.35">
      <c r="A16" s="60">
        <f t="shared" si="0"/>
        <v>15</v>
      </c>
      <c r="B16" s="49" t="str">
        <f>_xlfn.XLOOKUP(C16,Tab_Def_Flows[Name(EN)],Tab_Def_Flows[Flow_ID],,0,)</f>
        <v>F_21_21</v>
      </c>
      <c r="C16" s="51"/>
      <c r="D16" s="49">
        <f>_xlfn.XLOOKUP(C16,Tab_Def_Flows[Name(EN)],Tab_Def_Flows[Type_Biomass],,0,)</f>
        <v>0</v>
      </c>
      <c r="E16" s="49">
        <f>_xlfn.XLOOKUP(C16,Tab_Def_Flows[Name(EN)],Tab_Def_Flows[Output_Process],,0,)</f>
        <v>0</v>
      </c>
      <c r="F16" s="49" t="str">
        <f>_xlfn.XLOOKUP(C16,Tab_Def_Flows[Name(EN)],Tab_Def_Flows[Process_ID_O],,0,)</f>
        <v>21__</v>
      </c>
      <c r="G16" s="49">
        <f>_xlfn.XLOOKUP(C16,Tab_Def_Flows[Name(EN)],Tab_Def_Flows[Input_Process],,0,)</f>
        <v>0</v>
      </c>
      <c r="H16" s="61" t="str">
        <f>_xlfn.XLOOKUP(C16,Tab_Def_Flows[Name(EN)],Tab_Def_Flows[Process_ID_I],,0,)</f>
        <v>21__</v>
      </c>
      <c r="I16" s="61">
        <f>_xlfn.XLOOKUP(C16,Tab_Def_Flows[Name(EN)],Tab_Def_Flows[Value_Source],,0,)</f>
        <v>0</v>
      </c>
      <c r="J16" s="61">
        <f>_xlfn.XLOOKUP(C16,Tab_Def_Flows[Name(EN)],Tab_Def_Flows[WC?],,0,)</f>
        <v>0</v>
      </c>
      <c r="K16" s="61">
        <f>_xlfn.XLOOKUP(C16,Tab_Def_Flows[Name(EN)],Tab_Def_Flows[DM?],,0,)</f>
        <v>0</v>
      </c>
      <c r="L16" s="61">
        <f>_xlfn.XLOOKUP(C16,Tab_Def_Flows[Name(EN)],Tab_Def_Flows[CC?],,0,)</f>
        <v>0</v>
      </c>
      <c r="M16" s="51"/>
      <c r="N16" s="51"/>
      <c r="O16" s="88"/>
      <c r="P16" s="51"/>
      <c r="Q16" s="51"/>
      <c r="R16" s="51"/>
      <c r="S16" s="51"/>
      <c r="T16" s="51"/>
      <c r="U16" s="51"/>
      <c r="V16" s="51"/>
      <c r="W16" s="51"/>
      <c r="X16" s="51"/>
      <c r="Y16" s="109"/>
      <c r="Z16" s="51"/>
      <c r="AA16" s="89">
        <f t="shared" si="1"/>
        <v>0</v>
      </c>
      <c r="AB16" s="51" t="s">
        <v>63</v>
      </c>
      <c r="AC16" s="114" t="e">
        <f>INDEX(Tab_Def_Flows[[Flow_ID]:[CC_DM_source]],MATCH(Tab_Data_Flows[[#This Row],[Name(EN)]],Tab_Def_Flows[Name(EN)],0),16)</f>
        <v>#N/A</v>
      </c>
      <c r="AD16" s="115" t="str">
        <f>IF(J16="Yes",AA16*Tab_Data_Flows[[#This Row],[WC_'[%']]],"N.A.")</f>
        <v>N.A.</v>
      </c>
      <c r="AE16" s="61" t="str">
        <f>Tab_Data_Flows[[#This Row],[UoM_Flow_Py]]</f>
        <v>Mg</v>
      </c>
      <c r="AF16" s="114" t="e">
        <f>INDEX(Tab_Def_Flows[[Flow_ID]:[CC_DM_source]],MATCH(Tab_Data_Flows[[#This Row],[Name(EN)]],Tab_Def_Flows[Name(EN)],0),18)</f>
        <v>#N/A</v>
      </c>
      <c r="AG16" s="115" t="str">
        <f>IF(K16="Yes",AF16*Tab_Data_Flows[[#This Row],[Flow_Py]],"N.A.")</f>
        <v>N.A.</v>
      </c>
      <c r="AH16" s="61" t="str">
        <f>Tab_Data_Flows[[#This Row],[UoM_Flow_Py]]</f>
        <v>Mg</v>
      </c>
      <c r="AI16" s="114" t="e">
        <f>INDEX(Tab_Def_Flows[[Flow_ID]:[CC_DM_source]],MATCH(Tab_Data_Flows[[#This Row],[Name(EN)]],Tab_Def_Flows[Name(EN)],0),20)</f>
        <v>#N/A</v>
      </c>
      <c r="AJ16" s="115" t="str">
        <f>IF(L16="Yes",AI16*Tab_Data_Flows[[#This Row],[Flow_Py]],"N.A.")</f>
        <v>N.A.</v>
      </c>
      <c r="AK16" s="61" t="str">
        <f>Tab_Data_Flows[[#This Row],[UoM_Flow_Py]]</f>
        <v>Mg</v>
      </c>
    </row>
    <row r="17" spans="1:37" x14ac:dyDescent="0.35">
      <c r="A17" s="60">
        <f t="shared" si="0"/>
        <v>16</v>
      </c>
      <c r="B17" s="49" t="str">
        <f>_xlfn.XLOOKUP(C17,Tab_Def_Flows[Name(EN)],Tab_Def_Flows[Flow_ID],,0,)</f>
        <v>F_21_21</v>
      </c>
      <c r="C17" s="51"/>
      <c r="D17" s="49">
        <f>_xlfn.XLOOKUP(C17,Tab_Def_Flows[Name(EN)],Tab_Def_Flows[Type_Biomass],,0,)</f>
        <v>0</v>
      </c>
      <c r="E17" s="49">
        <f>_xlfn.XLOOKUP(C17,Tab_Def_Flows[Name(EN)],Tab_Def_Flows[Output_Process],,0,)</f>
        <v>0</v>
      </c>
      <c r="F17" s="49" t="str">
        <f>_xlfn.XLOOKUP(C17,Tab_Def_Flows[Name(EN)],Tab_Def_Flows[Process_ID_O],,0,)</f>
        <v>21__</v>
      </c>
      <c r="G17" s="49">
        <f>_xlfn.XLOOKUP(C17,Tab_Def_Flows[Name(EN)],Tab_Def_Flows[Input_Process],,0,)</f>
        <v>0</v>
      </c>
      <c r="H17" s="61" t="str">
        <f>_xlfn.XLOOKUP(C17,Tab_Def_Flows[Name(EN)],Tab_Def_Flows[Process_ID_I],,0,)</f>
        <v>21__</v>
      </c>
      <c r="I17" s="61">
        <f>_xlfn.XLOOKUP(C17,Tab_Def_Flows[Name(EN)],Tab_Def_Flows[Value_Source],,0,)</f>
        <v>0</v>
      </c>
      <c r="J17" s="61">
        <f>_xlfn.XLOOKUP(C17,Tab_Def_Flows[Name(EN)],Tab_Def_Flows[WC?],,0,)</f>
        <v>0</v>
      </c>
      <c r="K17" s="61">
        <f>_xlfn.XLOOKUP(C17,Tab_Def_Flows[Name(EN)],Tab_Def_Flows[DM?],,0,)</f>
        <v>0</v>
      </c>
      <c r="L17" s="61">
        <f>_xlfn.XLOOKUP(C17,Tab_Def_Flows[Name(EN)],Tab_Def_Flows[CC?],,0,)</f>
        <v>0</v>
      </c>
      <c r="M17" s="51"/>
      <c r="N17" s="51"/>
      <c r="O17" s="88"/>
      <c r="P17" s="51"/>
      <c r="Q17" s="51"/>
      <c r="R17" s="51"/>
      <c r="S17" s="51"/>
      <c r="T17" s="51"/>
      <c r="U17" s="51"/>
      <c r="V17" s="51"/>
      <c r="W17" s="51"/>
      <c r="X17" s="51"/>
      <c r="Y17" s="109"/>
      <c r="Z17" s="51"/>
      <c r="AA17" s="89">
        <f t="shared" si="1"/>
        <v>0</v>
      </c>
      <c r="AB17" s="51" t="s">
        <v>63</v>
      </c>
      <c r="AC17" s="114" t="e">
        <f>INDEX(Tab_Def_Flows[[Flow_ID]:[CC_DM_source]],MATCH(Tab_Data_Flows[[#This Row],[Name(EN)]],Tab_Def_Flows[Name(EN)],0),16)</f>
        <v>#N/A</v>
      </c>
      <c r="AD17" s="115" t="str">
        <f>IF(J17="Yes",AA17*Tab_Data_Flows[[#This Row],[WC_'[%']]],"N.A.")</f>
        <v>N.A.</v>
      </c>
      <c r="AE17" s="61" t="str">
        <f>Tab_Data_Flows[[#This Row],[UoM_Flow_Py]]</f>
        <v>Mg</v>
      </c>
      <c r="AF17" s="114" t="e">
        <f>INDEX(Tab_Def_Flows[[Flow_ID]:[CC_DM_source]],MATCH(Tab_Data_Flows[[#This Row],[Name(EN)]],Tab_Def_Flows[Name(EN)],0),18)</f>
        <v>#N/A</v>
      </c>
      <c r="AG17" s="115" t="str">
        <f>IF(K17="Yes",AF17*Tab_Data_Flows[[#This Row],[Flow_Py]],"N.A.")</f>
        <v>N.A.</v>
      </c>
      <c r="AH17" s="61" t="str">
        <f>Tab_Data_Flows[[#This Row],[UoM_Flow_Py]]</f>
        <v>Mg</v>
      </c>
      <c r="AI17" s="114" t="e">
        <f>INDEX(Tab_Def_Flows[[Flow_ID]:[CC_DM_source]],MATCH(Tab_Data_Flows[[#This Row],[Name(EN)]],Tab_Def_Flows[Name(EN)],0),20)</f>
        <v>#N/A</v>
      </c>
      <c r="AJ17" s="115" t="str">
        <f>IF(L17="Yes",AI17*Tab_Data_Flows[[#This Row],[Flow_Py]],"N.A.")</f>
        <v>N.A.</v>
      </c>
      <c r="AK17" s="61" t="str">
        <f>Tab_Data_Flows[[#This Row],[UoM_Flow_Py]]</f>
        <v>Mg</v>
      </c>
    </row>
    <row r="18" spans="1:37" x14ac:dyDescent="0.35">
      <c r="A18" s="60">
        <f t="shared" si="0"/>
        <v>17</v>
      </c>
      <c r="B18" s="49" t="str">
        <f>_xlfn.XLOOKUP(C18,Tab_Def_Flows[Name(EN)],Tab_Def_Flows[Flow_ID],,0,)</f>
        <v>F_21_21</v>
      </c>
      <c r="C18" s="51"/>
      <c r="D18" s="49">
        <f>_xlfn.XLOOKUP(C18,Tab_Def_Flows[Name(EN)],Tab_Def_Flows[Type_Biomass],,0,)</f>
        <v>0</v>
      </c>
      <c r="E18" s="49">
        <f>_xlfn.XLOOKUP(C18,Tab_Def_Flows[Name(EN)],Tab_Def_Flows[Output_Process],,0,)</f>
        <v>0</v>
      </c>
      <c r="F18" s="49" t="str">
        <f>_xlfn.XLOOKUP(C18,Tab_Def_Flows[Name(EN)],Tab_Def_Flows[Process_ID_O],,0,)</f>
        <v>21__</v>
      </c>
      <c r="G18" s="49">
        <f>_xlfn.XLOOKUP(C18,Tab_Def_Flows[Name(EN)],Tab_Def_Flows[Input_Process],,0,)</f>
        <v>0</v>
      </c>
      <c r="H18" s="61" t="str">
        <f>_xlfn.XLOOKUP(C18,Tab_Def_Flows[Name(EN)],Tab_Def_Flows[Process_ID_I],,0,)</f>
        <v>21__</v>
      </c>
      <c r="I18" s="61">
        <f>_xlfn.XLOOKUP(C18,Tab_Def_Flows[Name(EN)],Tab_Def_Flows[Value_Source],,0,)</f>
        <v>0</v>
      </c>
      <c r="J18" s="61">
        <f>_xlfn.XLOOKUP(C18,Tab_Def_Flows[Name(EN)],Tab_Def_Flows[WC?],,0,)</f>
        <v>0</v>
      </c>
      <c r="K18" s="61">
        <f>_xlfn.XLOOKUP(C18,Tab_Def_Flows[Name(EN)],Tab_Def_Flows[DM?],,0,)</f>
        <v>0</v>
      </c>
      <c r="L18" s="61">
        <f>_xlfn.XLOOKUP(C18,Tab_Def_Flows[Name(EN)],Tab_Def_Flows[CC?],,0,)</f>
        <v>0</v>
      </c>
      <c r="M18" s="51"/>
      <c r="N18" s="51"/>
      <c r="O18" s="88"/>
      <c r="P18" s="51"/>
      <c r="Q18" s="51"/>
      <c r="R18" s="51"/>
      <c r="S18" s="51"/>
      <c r="T18" s="51"/>
      <c r="U18" s="51"/>
      <c r="V18" s="51"/>
      <c r="W18" s="51"/>
      <c r="X18" s="51"/>
      <c r="Y18" s="109"/>
      <c r="Z18" s="51"/>
      <c r="AA18" s="89">
        <f t="shared" si="1"/>
        <v>0</v>
      </c>
      <c r="AB18" s="51" t="s">
        <v>63</v>
      </c>
      <c r="AC18" s="114" t="e">
        <f>INDEX(Tab_Def_Flows[[Flow_ID]:[CC_DM_source]],MATCH(Tab_Data_Flows[[#This Row],[Name(EN)]],Tab_Def_Flows[Name(EN)],0),16)</f>
        <v>#N/A</v>
      </c>
      <c r="AD18" s="115" t="str">
        <f>IF(J18="Yes",AA18*Tab_Data_Flows[[#This Row],[WC_'[%']]],"N.A.")</f>
        <v>N.A.</v>
      </c>
      <c r="AE18" s="61" t="str">
        <f>Tab_Data_Flows[[#This Row],[UoM_Flow_Py]]</f>
        <v>Mg</v>
      </c>
      <c r="AF18" s="114" t="e">
        <f>INDEX(Tab_Def_Flows[[Flow_ID]:[CC_DM_source]],MATCH(Tab_Data_Flows[[#This Row],[Name(EN)]],Tab_Def_Flows[Name(EN)],0),18)</f>
        <v>#N/A</v>
      </c>
      <c r="AG18" s="115" t="str">
        <f>IF(K18="Yes",AF18*Tab_Data_Flows[[#This Row],[Flow_Py]],"N.A.")</f>
        <v>N.A.</v>
      </c>
      <c r="AH18" s="61" t="str">
        <f>Tab_Data_Flows[[#This Row],[UoM_Flow_Py]]</f>
        <v>Mg</v>
      </c>
      <c r="AI18" s="114" t="e">
        <f>INDEX(Tab_Def_Flows[[Flow_ID]:[CC_DM_source]],MATCH(Tab_Data_Flows[[#This Row],[Name(EN)]],Tab_Def_Flows[Name(EN)],0),20)</f>
        <v>#N/A</v>
      </c>
      <c r="AJ18" s="115" t="str">
        <f>IF(L18="Yes",AI18*Tab_Data_Flows[[#This Row],[Flow_Py]],"N.A.")</f>
        <v>N.A.</v>
      </c>
      <c r="AK18" s="61" t="str">
        <f>Tab_Data_Flows[[#This Row],[UoM_Flow_Py]]</f>
        <v>Mg</v>
      </c>
    </row>
    <row r="19" spans="1:37" x14ac:dyDescent="0.35">
      <c r="A19" s="60">
        <f t="shared" si="0"/>
        <v>18</v>
      </c>
      <c r="B19" s="49" t="str">
        <f>_xlfn.XLOOKUP(C19,Tab_Def_Flows[Name(EN)],Tab_Def_Flows[Flow_ID],,0,)</f>
        <v>F_21_21</v>
      </c>
      <c r="C19" s="51"/>
      <c r="D19" s="49">
        <f>_xlfn.XLOOKUP(C19,Tab_Def_Flows[Name(EN)],Tab_Def_Flows[Type_Biomass],,0,)</f>
        <v>0</v>
      </c>
      <c r="E19" s="49">
        <f>_xlfn.XLOOKUP(C19,Tab_Def_Flows[Name(EN)],Tab_Def_Flows[Output_Process],,0,)</f>
        <v>0</v>
      </c>
      <c r="F19" s="49" t="str">
        <f>_xlfn.XLOOKUP(C19,Tab_Def_Flows[Name(EN)],Tab_Def_Flows[Process_ID_O],,0,)</f>
        <v>21__</v>
      </c>
      <c r="G19" s="49">
        <f>_xlfn.XLOOKUP(C19,Tab_Def_Flows[Name(EN)],Tab_Def_Flows[Input_Process],,0,)</f>
        <v>0</v>
      </c>
      <c r="H19" s="61" t="str">
        <f>_xlfn.XLOOKUP(C19,Tab_Def_Flows[Name(EN)],Tab_Def_Flows[Process_ID_I],,0,)</f>
        <v>21__</v>
      </c>
      <c r="I19" s="61">
        <f>_xlfn.XLOOKUP(C19,Tab_Def_Flows[Name(EN)],Tab_Def_Flows[Value_Source],,0,)</f>
        <v>0</v>
      </c>
      <c r="J19" s="61">
        <f>_xlfn.XLOOKUP(C19,Tab_Def_Flows[Name(EN)],Tab_Def_Flows[WC?],,0,)</f>
        <v>0</v>
      </c>
      <c r="K19" s="61">
        <f>_xlfn.XLOOKUP(C19,Tab_Def_Flows[Name(EN)],Tab_Def_Flows[DM?],,0,)</f>
        <v>0</v>
      </c>
      <c r="L19" s="61">
        <f>_xlfn.XLOOKUP(C19,Tab_Def_Flows[Name(EN)],Tab_Def_Flows[CC?],,0,)</f>
        <v>0</v>
      </c>
      <c r="M19" s="51"/>
      <c r="N19" s="51"/>
      <c r="O19" s="88"/>
      <c r="P19" s="51"/>
      <c r="Q19" s="51"/>
      <c r="R19" s="51"/>
      <c r="S19" s="51"/>
      <c r="T19" s="51"/>
      <c r="U19" s="51"/>
      <c r="V19" s="51"/>
      <c r="W19" s="51"/>
      <c r="X19" s="51"/>
      <c r="Y19" s="109"/>
      <c r="Z19" s="51"/>
      <c r="AA19" s="89">
        <f t="shared" si="1"/>
        <v>0</v>
      </c>
      <c r="AB19" s="51" t="s">
        <v>63</v>
      </c>
      <c r="AC19" s="114" t="e">
        <f>INDEX(Tab_Def_Flows[[Flow_ID]:[CC_DM_source]],MATCH(Tab_Data_Flows[[#This Row],[Name(EN)]],Tab_Def_Flows[Name(EN)],0),16)</f>
        <v>#N/A</v>
      </c>
      <c r="AD19" s="115" t="str">
        <f>IF(J19="Yes",AA19*Tab_Data_Flows[[#This Row],[WC_'[%']]],"N.A.")</f>
        <v>N.A.</v>
      </c>
      <c r="AE19" s="61" t="str">
        <f>Tab_Data_Flows[[#This Row],[UoM_Flow_Py]]</f>
        <v>Mg</v>
      </c>
      <c r="AF19" s="114" t="e">
        <f>INDEX(Tab_Def_Flows[[Flow_ID]:[CC_DM_source]],MATCH(Tab_Data_Flows[[#This Row],[Name(EN)]],Tab_Def_Flows[Name(EN)],0),18)</f>
        <v>#N/A</v>
      </c>
      <c r="AG19" s="115" t="str">
        <f>IF(K19="Yes",AF19*Tab_Data_Flows[[#This Row],[Flow_Py]],"N.A.")</f>
        <v>N.A.</v>
      </c>
      <c r="AH19" s="61" t="str">
        <f>Tab_Data_Flows[[#This Row],[UoM_Flow_Py]]</f>
        <v>Mg</v>
      </c>
      <c r="AI19" s="114" t="e">
        <f>INDEX(Tab_Def_Flows[[Flow_ID]:[CC_DM_source]],MATCH(Tab_Data_Flows[[#This Row],[Name(EN)]],Tab_Def_Flows[Name(EN)],0),20)</f>
        <v>#N/A</v>
      </c>
      <c r="AJ19" s="115" t="str">
        <f>IF(L19="Yes",AI19*Tab_Data_Flows[[#This Row],[Flow_Py]],"N.A.")</f>
        <v>N.A.</v>
      </c>
      <c r="AK19" s="61" t="str">
        <f>Tab_Data_Flows[[#This Row],[UoM_Flow_Py]]</f>
        <v>Mg</v>
      </c>
    </row>
    <row r="20" spans="1:37" x14ac:dyDescent="0.35">
      <c r="A20" s="60">
        <f t="shared" si="0"/>
        <v>19</v>
      </c>
      <c r="B20" s="49" t="str">
        <f>_xlfn.XLOOKUP(C20,Tab_Def_Flows[Name(EN)],Tab_Def_Flows[Flow_ID],,0,)</f>
        <v>F_21_21</v>
      </c>
      <c r="C20" s="51"/>
      <c r="D20" s="49">
        <f>_xlfn.XLOOKUP(C20,Tab_Def_Flows[Name(EN)],Tab_Def_Flows[Type_Biomass],,0,)</f>
        <v>0</v>
      </c>
      <c r="E20" s="49">
        <f>_xlfn.XLOOKUP(C20,Tab_Def_Flows[Name(EN)],Tab_Def_Flows[Output_Process],,0,)</f>
        <v>0</v>
      </c>
      <c r="F20" s="49" t="str">
        <f>_xlfn.XLOOKUP(C20,Tab_Def_Flows[Name(EN)],Tab_Def_Flows[Process_ID_O],,0,)</f>
        <v>21__</v>
      </c>
      <c r="G20" s="49">
        <f>_xlfn.XLOOKUP(C20,Tab_Def_Flows[Name(EN)],Tab_Def_Flows[Input_Process],,0,)</f>
        <v>0</v>
      </c>
      <c r="H20" s="61" t="str">
        <f>_xlfn.XLOOKUP(C20,Tab_Def_Flows[Name(EN)],Tab_Def_Flows[Process_ID_I],,0,)</f>
        <v>21__</v>
      </c>
      <c r="I20" s="61">
        <f>_xlfn.XLOOKUP(C20,Tab_Def_Flows[Name(EN)],Tab_Def_Flows[Value_Source],,0,)</f>
        <v>0</v>
      </c>
      <c r="J20" s="61">
        <f>_xlfn.XLOOKUP(C20,Tab_Def_Flows[Name(EN)],Tab_Def_Flows[WC?],,0,)</f>
        <v>0</v>
      </c>
      <c r="K20" s="61">
        <f>_xlfn.XLOOKUP(C20,Tab_Def_Flows[Name(EN)],Tab_Def_Flows[DM?],,0,)</f>
        <v>0</v>
      </c>
      <c r="L20" s="61">
        <f>_xlfn.XLOOKUP(C20,Tab_Def_Flows[Name(EN)],Tab_Def_Flows[CC?],,0,)</f>
        <v>0</v>
      </c>
      <c r="M20" s="51"/>
      <c r="N20" s="51"/>
      <c r="O20" s="88"/>
      <c r="P20" s="51"/>
      <c r="Q20" s="51"/>
      <c r="R20" s="51"/>
      <c r="S20" s="51"/>
      <c r="T20" s="51"/>
      <c r="U20" s="51"/>
      <c r="V20" s="51"/>
      <c r="W20" s="51"/>
      <c r="X20" s="51"/>
      <c r="Y20" s="109"/>
      <c r="Z20" s="51"/>
      <c r="AA20" s="89">
        <f t="shared" si="1"/>
        <v>0</v>
      </c>
      <c r="AB20" s="51" t="s">
        <v>63</v>
      </c>
      <c r="AC20" s="114" t="e">
        <f>INDEX(Tab_Def_Flows[[Flow_ID]:[CC_DM_source]],MATCH(Tab_Data_Flows[[#This Row],[Name(EN)]],Tab_Def_Flows[Name(EN)],0),16)</f>
        <v>#N/A</v>
      </c>
      <c r="AD20" s="115" t="str">
        <f>IF(J20="Yes",AA20*Tab_Data_Flows[[#This Row],[WC_'[%']]],"N.A.")</f>
        <v>N.A.</v>
      </c>
      <c r="AE20" s="61" t="str">
        <f>Tab_Data_Flows[[#This Row],[UoM_Flow_Py]]</f>
        <v>Mg</v>
      </c>
      <c r="AF20" s="114" t="e">
        <f>INDEX(Tab_Def_Flows[[Flow_ID]:[CC_DM_source]],MATCH(Tab_Data_Flows[[#This Row],[Name(EN)]],Tab_Def_Flows[Name(EN)],0),18)</f>
        <v>#N/A</v>
      </c>
      <c r="AG20" s="115" t="str">
        <f>IF(K20="Yes",AF20*Tab_Data_Flows[[#This Row],[Flow_Py]],"N.A.")</f>
        <v>N.A.</v>
      </c>
      <c r="AH20" s="61" t="str">
        <f>Tab_Data_Flows[[#This Row],[UoM_Flow_Py]]</f>
        <v>Mg</v>
      </c>
      <c r="AI20" s="114" t="e">
        <f>INDEX(Tab_Def_Flows[[Flow_ID]:[CC_DM_source]],MATCH(Tab_Data_Flows[[#This Row],[Name(EN)]],Tab_Def_Flows[Name(EN)],0),20)</f>
        <v>#N/A</v>
      </c>
      <c r="AJ20" s="115" t="str">
        <f>IF(L20="Yes",AI20*Tab_Data_Flows[[#This Row],[Flow_Py]],"N.A.")</f>
        <v>N.A.</v>
      </c>
      <c r="AK20" s="61" t="str">
        <f>Tab_Data_Flows[[#This Row],[UoM_Flow_Py]]</f>
        <v>Mg</v>
      </c>
    </row>
    <row r="21" spans="1:37" x14ac:dyDescent="0.35">
      <c r="A21" s="60">
        <f t="shared" si="0"/>
        <v>20</v>
      </c>
      <c r="B21" s="49" t="str">
        <f>_xlfn.XLOOKUP(C21,Tab_Def_Flows[Name(EN)],Tab_Def_Flows[Flow_ID],,0,)</f>
        <v>F_21_21</v>
      </c>
      <c r="C21" s="51"/>
      <c r="D21" s="49">
        <f>_xlfn.XLOOKUP(C21,Tab_Def_Flows[Name(EN)],Tab_Def_Flows[Type_Biomass],,0,)</f>
        <v>0</v>
      </c>
      <c r="E21" s="49">
        <f>_xlfn.XLOOKUP(C21,Tab_Def_Flows[Name(EN)],Tab_Def_Flows[Output_Process],,0,)</f>
        <v>0</v>
      </c>
      <c r="F21" s="49" t="str">
        <f>_xlfn.XLOOKUP(C21,Tab_Def_Flows[Name(EN)],Tab_Def_Flows[Process_ID_O],,0,)</f>
        <v>21__</v>
      </c>
      <c r="G21" s="49">
        <f>_xlfn.XLOOKUP(C21,Tab_Def_Flows[Name(EN)],Tab_Def_Flows[Input_Process],,0,)</f>
        <v>0</v>
      </c>
      <c r="H21" s="61" t="str">
        <f>_xlfn.XLOOKUP(C21,Tab_Def_Flows[Name(EN)],Tab_Def_Flows[Process_ID_I],,0,)</f>
        <v>21__</v>
      </c>
      <c r="I21" s="61">
        <f>_xlfn.XLOOKUP(C21,Tab_Def_Flows[Name(EN)],Tab_Def_Flows[Value_Source],,0,)</f>
        <v>0</v>
      </c>
      <c r="J21" s="61">
        <f>_xlfn.XLOOKUP(C21,Tab_Def_Flows[Name(EN)],Tab_Def_Flows[WC?],,0,)</f>
        <v>0</v>
      </c>
      <c r="K21" s="61">
        <f>_xlfn.XLOOKUP(C21,Tab_Def_Flows[Name(EN)],Tab_Def_Flows[DM?],,0,)</f>
        <v>0</v>
      </c>
      <c r="L21" s="61">
        <f>_xlfn.XLOOKUP(C21,Tab_Def_Flows[Name(EN)],Tab_Def_Flows[CC?],,0,)</f>
        <v>0</v>
      </c>
      <c r="M21" s="51"/>
      <c r="N21" s="51"/>
      <c r="O21" s="88"/>
      <c r="P21" s="51"/>
      <c r="Q21" s="51"/>
      <c r="R21" s="51"/>
      <c r="S21" s="51"/>
      <c r="T21" s="51"/>
      <c r="U21" s="51"/>
      <c r="V21" s="51"/>
      <c r="W21" s="51"/>
      <c r="X21" s="51"/>
      <c r="Y21" s="109"/>
      <c r="Z21" s="51"/>
      <c r="AA21" s="89">
        <f t="shared" si="1"/>
        <v>0</v>
      </c>
      <c r="AB21" s="51" t="s">
        <v>63</v>
      </c>
      <c r="AC21" s="114" t="e">
        <f>INDEX(Tab_Def_Flows[[Flow_ID]:[CC_DM_source]],MATCH(Tab_Data_Flows[[#This Row],[Name(EN)]],Tab_Def_Flows[Name(EN)],0),16)</f>
        <v>#N/A</v>
      </c>
      <c r="AD21" s="115" t="str">
        <f>IF(J21="Yes",AA21*Tab_Data_Flows[[#This Row],[WC_'[%']]],"N.A.")</f>
        <v>N.A.</v>
      </c>
      <c r="AE21" s="61" t="str">
        <f>Tab_Data_Flows[[#This Row],[UoM_Flow_Py]]</f>
        <v>Mg</v>
      </c>
      <c r="AF21" s="114" t="e">
        <f>INDEX(Tab_Def_Flows[[Flow_ID]:[CC_DM_source]],MATCH(Tab_Data_Flows[[#This Row],[Name(EN)]],Tab_Def_Flows[Name(EN)],0),18)</f>
        <v>#N/A</v>
      </c>
      <c r="AG21" s="115" t="str">
        <f>IF(K21="Yes",AF21*Tab_Data_Flows[[#This Row],[Flow_Py]],"N.A.")</f>
        <v>N.A.</v>
      </c>
      <c r="AH21" s="61" t="str">
        <f>Tab_Data_Flows[[#This Row],[UoM_Flow_Py]]</f>
        <v>Mg</v>
      </c>
      <c r="AI21" s="114" t="e">
        <f>INDEX(Tab_Def_Flows[[Flow_ID]:[CC_DM_source]],MATCH(Tab_Data_Flows[[#This Row],[Name(EN)]],Tab_Def_Flows[Name(EN)],0),20)</f>
        <v>#N/A</v>
      </c>
      <c r="AJ21" s="115" t="str">
        <f>IF(L21="Yes",AI21*Tab_Data_Flows[[#This Row],[Flow_Py]],"N.A.")</f>
        <v>N.A.</v>
      </c>
      <c r="AK21" s="61" t="str">
        <f>Tab_Data_Flows[[#This Row],[UoM_Flow_Py]]</f>
        <v>Mg</v>
      </c>
    </row>
    <row r="22" spans="1:37" x14ac:dyDescent="0.35">
      <c r="A22" s="60">
        <f t="shared" si="0"/>
        <v>21</v>
      </c>
      <c r="B22" s="49" t="str">
        <f>_xlfn.XLOOKUP(C22,Tab_Def_Flows[Name(EN)],Tab_Def_Flows[Flow_ID],,0,)</f>
        <v>F_21_21</v>
      </c>
      <c r="C22" s="51"/>
      <c r="D22" s="49">
        <f>_xlfn.XLOOKUP(C22,Tab_Def_Flows[Name(EN)],Tab_Def_Flows[Type_Biomass],,0,)</f>
        <v>0</v>
      </c>
      <c r="E22" s="49">
        <f>_xlfn.XLOOKUP(C22,Tab_Def_Flows[Name(EN)],Tab_Def_Flows[Output_Process],,0,)</f>
        <v>0</v>
      </c>
      <c r="F22" s="49" t="str">
        <f>_xlfn.XLOOKUP(C22,Tab_Def_Flows[Name(EN)],Tab_Def_Flows[Process_ID_O],,0,)</f>
        <v>21__</v>
      </c>
      <c r="G22" s="49">
        <f>_xlfn.XLOOKUP(C22,Tab_Def_Flows[Name(EN)],Tab_Def_Flows[Input_Process],,0,)</f>
        <v>0</v>
      </c>
      <c r="H22" s="61" t="str">
        <f>_xlfn.XLOOKUP(C22,Tab_Def_Flows[Name(EN)],Tab_Def_Flows[Process_ID_I],,0,)</f>
        <v>21__</v>
      </c>
      <c r="I22" s="61">
        <f>_xlfn.XLOOKUP(C22,Tab_Def_Flows[Name(EN)],Tab_Def_Flows[Value_Source],,0,)</f>
        <v>0</v>
      </c>
      <c r="J22" s="61">
        <f>_xlfn.XLOOKUP(C22,Tab_Def_Flows[Name(EN)],Tab_Def_Flows[WC?],,0,)</f>
        <v>0</v>
      </c>
      <c r="K22" s="61">
        <f>_xlfn.XLOOKUP(C22,Tab_Def_Flows[Name(EN)],Tab_Def_Flows[DM?],,0,)</f>
        <v>0</v>
      </c>
      <c r="L22" s="61">
        <f>_xlfn.XLOOKUP(C22,Tab_Def_Flows[Name(EN)],Tab_Def_Flows[CC?],,0,)</f>
        <v>0</v>
      </c>
      <c r="M22" s="51"/>
      <c r="N22" s="51"/>
      <c r="O22" s="88"/>
      <c r="P22" s="51"/>
      <c r="Q22" s="51"/>
      <c r="R22" s="51"/>
      <c r="S22" s="51"/>
      <c r="T22" s="51"/>
      <c r="U22" s="51"/>
      <c r="V22" s="51"/>
      <c r="W22" s="51"/>
      <c r="X22" s="51"/>
      <c r="Y22" s="109"/>
      <c r="Z22" s="51"/>
      <c r="AA22" s="89">
        <f t="shared" si="1"/>
        <v>0</v>
      </c>
      <c r="AB22" s="51" t="s">
        <v>63</v>
      </c>
      <c r="AC22" s="114" t="e">
        <f>INDEX(Tab_Def_Flows[[Flow_ID]:[CC_DM_source]],MATCH(Tab_Data_Flows[[#This Row],[Name(EN)]],Tab_Def_Flows[Name(EN)],0),16)</f>
        <v>#N/A</v>
      </c>
      <c r="AD22" s="115" t="str">
        <f>IF(J22="Yes",AA22*Tab_Data_Flows[[#This Row],[WC_'[%']]],"N.A.")</f>
        <v>N.A.</v>
      </c>
      <c r="AE22" s="61" t="str">
        <f>Tab_Data_Flows[[#This Row],[UoM_Flow_Py]]</f>
        <v>Mg</v>
      </c>
      <c r="AF22" s="114" t="e">
        <f>INDEX(Tab_Def_Flows[[Flow_ID]:[CC_DM_source]],MATCH(Tab_Data_Flows[[#This Row],[Name(EN)]],Tab_Def_Flows[Name(EN)],0),18)</f>
        <v>#N/A</v>
      </c>
      <c r="AG22" s="115" t="str">
        <f>IF(K22="Yes",AF22*Tab_Data_Flows[[#This Row],[Flow_Py]],"N.A.")</f>
        <v>N.A.</v>
      </c>
      <c r="AH22" s="61" t="str">
        <f>Tab_Data_Flows[[#This Row],[UoM_Flow_Py]]</f>
        <v>Mg</v>
      </c>
      <c r="AI22" s="114" t="e">
        <f>INDEX(Tab_Def_Flows[[Flow_ID]:[CC_DM_source]],MATCH(Tab_Data_Flows[[#This Row],[Name(EN)]],Tab_Def_Flows[Name(EN)],0),20)</f>
        <v>#N/A</v>
      </c>
      <c r="AJ22" s="115" t="str">
        <f>IF(L22="Yes",AI22*Tab_Data_Flows[[#This Row],[Flow_Py]],"N.A.")</f>
        <v>N.A.</v>
      </c>
      <c r="AK22" s="61" t="str">
        <f>Tab_Data_Flows[[#This Row],[UoM_Flow_Py]]</f>
        <v>Mg</v>
      </c>
    </row>
    <row r="23" spans="1:37" x14ac:dyDescent="0.35">
      <c r="A23" s="60">
        <f t="shared" si="0"/>
        <v>22</v>
      </c>
      <c r="B23" s="49" t="str">
        <f>_xlfn.XLOOKUP(C23,Tab_Def_Flows[Name(EN)],Tab_Def_Flows[Flow_ID],,0,)</f>
        <v>F_21_21</v>
      </c>
      <c r="C23" s="51"/>
      <c r="D23" s="49">
        <f>_xlfn.XLOOKUP(C23,Tab_Def_Flows[Name(EN)],Tab_Def_Flows[Type_Biomass],,0,)</f>
        <v>0</v>
      </c>
      <c r="E23" s="49">
        <f>_xlfn.XLOOKUP(C23,Tab_Def_Flows[Name(EN)],Tab_Def_Flows[Output_Process],,0,)</f>
        <v>0</v>
      </c>
      <c r="F23" s="49" t="str">
        <f>_xlfn.XLOOKUP(C23,Tab_Def_Flows[Name(EN)],Tab_Def_Flows[Process_ID_O],,0,)</f>
        <v>21__</v>
      </c>
      <c r="G23" s="49">
        <f>_xlfn.XLOOKUP(C23,Tab_Def_Flows[Name(EN)],Tab_Def_Flows[Input_Process],,0,)</f>
        <v>0</v>
      </c>
      <c r="H23" s="61" t="str">
        <f>_xlfn.XLOOKUP(C23,Tab_Def_Flows[Name(EN)],Tab_Def_Flows[Process_ID_I],,0,)</f>
        <v>21__</v>
      </c>
      <c r="I23" s="61">
        <f>_xlfn.XLOOKUP(C23,Tab_Def_Flows[Name(EN)],Tab_Def_Flows[Value_Source],,0,)</f>
        <v>0</v>
      </c>
      <c r="J23" s="61">
        <f>_xlfn.XLOOKUP(C23,Tab_Def_Flows[Name(EN)],Tab_Def_Flows[WC?],,0,)</f>
        <v>0</v>
      </c>
      <c r="K23" s="61">
        <f>_xlfn.XLOOKUP(C23,Tab_Def_Flows[Name(EN)],Tab_Def_Flows[DM?],,0,)</f>
        <v>0</v>
      </c>
      <c r="L23" s="61">
        <f>_xlfn.XLOOKUP(C23,Tab_Def_Flows[Name(EN)],Tab_Def_Flows[CC?],,0,)</f>
        <v>0</v>
      </c>
      <c r="M23" s="51"/>
      <c r="N23" s="51"/>
      <c r="O23" s="88"/>
      <c r="P23" s="51"/>
      <c r="Q23" s="51"/>
      <c r="R23" s="51"/>
      <c r="S23" s="51"/>
      <c r="T23" s="51"/>
      <c r="U23" s="51"/>
      <c r="V23" s="51"/>
      <c r="W23" s="51"/>
      <c r="X23" s="51"/>
      <c r="Y23" s="109"/>
      <c r="Z23" s="51"/>
      <c r="AA23" s="89">
        <f t="shared" si="1"/>
        <v>0</v>
      </c>
      <c r="AB23" s="51" t="s">
        <v>63</v>
      </c>
      <c r="AC23" s="114" t="e">
        <f>INDEX(Tab_Def_Flows[[Flow_ID]:[CC_DM_source]],MATCH(Tab_Data_Flows[[#This Row],[Name(EN)]],Tab_Def_Flows[Name(EN)],0),16)</f>
        <v>#N/A</v>
      </c>
      <c r="AD23" s="115" t="str">
        <f>IF(J23="Yes",AA23*Tab_Data_Flows[[#This Row],[WC_'[%']]],"N.A.")</f>
        <v>N.A.</v>
      </c>
      <c r="AE23" s="61" t="str">
        <f>Tab_Data_Flows[[#This Row],[UoM_Flow_Py]]</f>
        <v>Mg</v>
      </c>
      <c r="AF23" s="114" t="e">
        <f>INDEX(Tab_Def_Flows[[Flow_ID]:[CC_DM_source]],MATCH(Tab_Data_Flows[[#This Row],[Name(EN)]],Tab_Def_Flows[Name(EN)],0),18)</f>
        <v>#N/A</v>
      </c>
      <c r="AG23" s="115" t="str">
        <f>IF(K23="Yes",AF23*Tab_Data_Flows[[#This Row],[Flow_Py]],"N.A.")</f>
        <v>N.A.</v>
      </c>
      <c r="AH23" s="61" t="str">
        <f>Tab_Data_Flows[[#This Row],[UoM_Flow_Py]]</f>
        <v>Mg</v>
      </c>
      <c r="AI23" s="114" t="e">
        <f>INDEX(Tab_Def_Flows[[Flow_ID]:[CC_DM_source]],MATCH(Tab_Data_Flows[[#This Row],[Name(EN)]],Tab_Def_Flows[Name(EN)],0),20)</f>
        <v>#N/A</v>
      </c>
      <c r="AJ23" s="115" t="str">
        <f>IF(L23="Yes",AI23*Tab_Data_Flows[[#This Row],[Flow_Py]],"N.A.")</f>
        <v>N.A.</v>
      </c>
      <c r="AK23" s="61" t="str">
        <f>Tab_Data_Flows[[#This Row],[UoM_Flow_Py]]</f>
        <v>Mg</v>
      </c>
    </row>
    <row r="24" spans="1:37" x14ac:dyDescent="0.35">
      <c r="A24" s="60">
        <f t="shared" si="0"/>
        <v>23</v>
      </c>
      <c r="B24" s="49" t="str">
        <f>_xlfn.XLOOKUP(C24,Tab_Def_Flows[Name(EN)],Tab_Def_Flows[Flow_ID],,0,)</f>
        <v>F_21_21</v>
      </c>
      <c r="C24" s="51"/>
      <c r="D24" s="49">
        <f>_xlfn.XLOOKUP(C24,Tab_Def_Flows[Name(EN)],Tab_Def_Flows[Type_Biomass],,0,)</f>
        <v>0</v>
      </c>
      <c r="E24" s="49">
        <f>_xlfn.XLOOKUP(C24,Tab_Def_Flows[Name(EN)],Tab_Def_Flows[Output_Process],,0,)</f>
        <v>0</v>
      </c>
      <c r="F24" s="49" t="str">
        <f>_xlfn.XLOOKUP(C24,Tab_Def_Flows[Name(EN)],Tab_Def_Flows[Process_ID_O],,0,)</f>
        <v>21__</v>
      </c>
      <c r="G24" s="49">
        <f>_xlfn.XLOOKUP(C24,Tab_Def_Flows[Name(EN)],Tab_Def_Flows[Input_Process],,0,)</f>
        <v>0</v>
      </c>
      <c r="H24" s="61" t="str">
        <f>_xlfn.XLOOKUP(C24,Tab_Def_Flows[Name(EN)],Tab_Def_Flows[Process_ID_I],,0,)</f>
        <v>21__</v>
      </c>
      <c r="I24" s="61">
        <f>_xlfn.XLOOKUP(C24,Tab_Def_Flows[Name(EN)],Tab_Def_Flows[Value_Source],,0,)</f>
        <v>0</v>
      </c>
      <c r="J24" s="61">
        <f>_xlfn.XLOOKUP(C24,Tab_Def_Flows[Name(EN)],Tab_Def_Flows[WC?],,0,)</f>
        <v>0</v>
      </c>
      <c r="K24" s="61">
        <f>_xlfn.XLOOKUP(C24,Tab_Def_Flows[Name(EN)],Tab_Def_Flows[DM?],,0,)</f>
        <v>0</v>
      </c>
      <c r="L24" s="61">
        <f>_xlfn.XLOOKUP(C24,Tab_Def_Flows[Name(EN)],Tab_Def_Flows[CC?],,0,)</f>
        <v>0</v>
      </c>
      <c r="M24" s="51"/>
      <c r="N24" s="51"/>
      <c r="O24" s="88"/>
      <c r="P24" s="51"/>
      <c r="Q24" s="51"/>
      <c r="R24" s="51"/>
      <c r="S24" s="51"/>
      <c r="T24" s="51"/>
      <c r="U24" s="51"/>
      <c r="V24" s="51"/>
      <c r="W24" s="51"/>
      <c r="X24" s="51"/>
      <c r="Y24" s="109"/>
      <c r="Z24" s="51"/>
      <c r="AA24" s="89">
        <f t="shared" si="1"/>
        <v>0</v>
      </c>
      <c r="AB24" s="51" t="s">
        <v>63</v>
      </c>
      <c r="AC24" s="114" t="e">
        <f>INDEX(Tab_Def_Flows[[Flow_ID]:[CC_DM_source]],MATCH(Tab_Data_Flows[[#This Row],[Name(EN)]],Tab_Def_Flows[Name(EN)],0),16)</f>
        <v>#N/A</v>
      </c>
      <c r="AD24" s="115" t="str">
        <f>IF(J24="Yes",AA24*Tab_Data_Flows[[#This Row],[WC_'[%']]],"N.A.")</f>
        <v>N.A.</v>
      </c>
      <c r="AE24" s="61" t="str">
        <f>Tab_Data_Flows[[#This Row],[UoM_Flow_Py]]</f>
        <v>Mg</v>
      </c>
      <c r="AF24" s="114" t="e">
        <f>INDEX(Tab_Def_Flows[[Flow_ID]:[CC_DM_source]],MATCH(Tab_Data_Flows[[#This Row],[Name(EN)]],Tab_Def_Flows[Name(EN)],0),18)</f>
        <v>#N/A</v>
      </c>
      <c r="AG24" s="115" t="str">
        <f>IF(K24="Yes",AF24*Tab_Data_Flows[[#This Row],[Flow_Py]],"N.A.")</f>
        <v>N.A.</v>
      </c>
      <c r="AH24" s="61" t="str">
        <f>Tab_Data_Flows[[#This Row],[UoM_Flow_Py]]</f>
        <v>Mg</v>
      </c>
      <c r="AI24" s="114" t="e">
        <f>INDEX(Tab_Def_Flows[[Flow_ID]:[CC_DM_source]],MATCH(Tab_Data_Flows[[#This Row],[Name(EN)]],Tab_Def_Flows[Name(EN)],0),20)</f>
        <v>#N/A</v>
      </c>
      <c r="AJ24" s="115" t="str">
        <f>IF(L24="Yes",AI24*Tab_Data_Flows[[#This Row],[Flow_Py]],"N.A.")</f>
        <v>N.A.</v>
      </c>
      <c r="AK24" s="61" t="str">
        <f>Tab_Data_Flows[[#This Row],[UoM_Flow_Py]]</f>
        <v>Mg</v>
      </c>
    </row>
    <row r="25" spans="1:37" x14ac:dyDescent="0.35">
      <c r="A25" s="60">
        <f t="shared" si="0"/>
        <v>24</v>
      </c>
      <c r="B25" s="49" t="str">
        <f>_xlfn.XLOOKUP(C25,Tab_Def_Flows[Name(EN)],Tab_Def_Flows[Flow_ID],,0,)</f>
        <v>F_21_21</v>
      </c>
      <c r="C25" s="51"/>
      <c r="D25" s="49">
        <f>_xlfn.XLOOKUP(C25,Tab_Def_Flows[Name(EN)],Tab_Def_Flows[Type_Biomass],,0,)</f>
        <v>0</v>
      </c>
      <c r="E25" s="49">
        <f>_xlfn.XLOOKUP(C25,Tab_Def_Flows[Name(EN)],Tab_Def_Flows[Output_Process],,0,)</f>
        <v>0</v>
      </c>
      <c r="F25" s="49" t="str">
        <f>_xlfn.XLOOKUP(C25,Tab_Def_Flows[Name(EN)],Tab_Def_Flows[Process_ID_O],,0,)</f>
        <v>21__</v>
      </c>
      <c r="G25" s="49">
        <f>_xlfn.XLOOKUP(C25,Tab_Def_Flows[Name(EN)],Tab_Def_Flows[Input_Process],,0,)</f>
        <v>0</v>
      </c>
      <c r="H25" s="61" t="str">
        <f>_xlfn.XLOOKUP(C25,Tab_Def_Flows[Name(EN)],Tab_Def_Flows[Process_ID_I],,0,)</f>
        <v>21__</v>
      </c>
      <c r="I25" s="61">
        <f>_xlfn.XLOOKUP(C25,Tab_Def_Flows[Name(EN)],Tab_Def_Flows[Value_Source],,0,)</f>
        <v>0</v>
      </c>
      <c r="J25" s="61">
        <f>_xlfn.XLOOKUP(C25,Tab_Def_Flows[Name(EN)],Tab_Def_Flows[WC?],,0,)</f>
        <v>0</v>
      </c>
      <c r="K25" s="61">
        <f>_xlfn.XLOOKUP(C25,Tab_Def_Flows[Name(EN)],Tab_Def_Flows[DM?],,0,)</f>
        <v>0</v>
      </c>
      <c r="L25" s="61">
        <f>_xlfn.XLOOKUP(C25,Tab_Def_Flows[Name(EN)],Tab_Def_Flows[CC?],,0,)</f>
        <v>0</v>
      </c>
      <c r="M25" s="51"/>
      <c r="N25" s="51"/>
      <c r="O25" s="88"/>
      <c r="P25" s="51"/>
      <c r="Q25" s="51"/>
      <c r="R25" s="51"/>
      <c r="S25" s="51"/>
      <c r="T25" s="51"/>
      <c r="U25" s="51"/>
      <c r="V25" s="51"/>
      <c r="W25" s="51"/>
      <c r="X25" s="51"/>
      <c r="Y25" s="109"/>
      <c r="Z25" s="51"/>
      <c r="AA25" s="89">
        <f t="shared" si="1"/>
        <v>0</v>
      </c>
      <c r="AB25" s="51" t="s">
        <v>63</v>
      </c>
      <c r="AC25" s="114" t="e">
        <f>INDEX(Tab_Def_Flows[[Flow_ID]:[CC_DM_source]],MATCH(Tab_Data_Flows[[#This Row],[Name(EN)]],Tab_Def_Flows[Name(EN)],0),16)</f>
        <v>#N/A</v>
      </c>
      <c r="AD25" s="115" t="str">
        <f>IF(J25="Yes",AA25*Tab_Data_Flows[[#This Row],[WC_'[%']]],"N.A.")</f>
        <v>N.A.</v>
      </c>
      <c r="AE25" s="61" t="str">
        <f>Tab_Data_Flows[[#This Row],[UoM_Flow_Py]]</f>
        <v>Mg</v>
      </c>
      <c r="AF25" s="114" t="e">
        <f>INDEX(Tab_Def_Flows[[Flow_ID]:[CC_DM_source]],MATCH(Tab_Data_Flows[[#This Row],[Name(EN)]],Tab_Def_Flows[Name(EN)],0),18)</f>
        <v>#N/A</v>
      </c>
      <c r="AG25" s="115" t="str">
        <f>IF(K25="Yes",AF25*Tab_Data_Flows[[#This Row],[Flow_Py]],"N.A.")</f>
        <v>N.A.</v>
      </c>
      <c r="AH25" s="61" t="str">
        <f>Tab_Data_Flows[[#This Row],[UoM_Flow_Py]]</f>
        <v>Mg</v>
      </c>
      <c r="AI25" s="114" t="e">
        <f>INDEX(Tab_Def_Flows[[Flow_ID]:[CC_DM_source]],MATCH(Tab_Data_Flows[[#This Row],[Name(EN)]],Tab_Def_Flows[Name(EN)],0),20)</f>
        <v>#N/A</v>
      </c>
      <c r="AJ25" s="115" t="str">
        <f>IF(L25="Yes",AI25*Tab_Data_Flows[[#This Row],[Flow_Py]],"N.A.")</f>
        <v>N.A.</v>
      </c>
      <c r="AK25" s="61" t="str">
        <f>Tab_Data_Flows[[#This Row],[UoM_Flow_Py]]</f>
        <v>Mg</v>
      </c>
    </row>
    <row r="26" spans="1:37" x14ac:dyDescent="0.35">
      <c r="A26" s="60">
        <f t="shared" si="0"/>
        <v>25</v>
      </c>
      <c r="B26" s="49" t="str">
        <f>_xlfn.XLOOKUP(C26,Tab_Def_Flows[Name(EN)],Tab_Def_Flows[Flow_ID],,0,)</f>
        <v>F_21_21</v>
      </c>
      <c r="C26" s="51"/>
      <c r="D26" s="49">
        <f>_xlfn.XLOOKUP(C26,Tab_Def_Flows[Name(EN)],Tab_Def_Flows[Type_Biomass],,0,)</f>
        <v>0</v>
      </c>
      <c r="E26" s="49">
        <f>_xlfn.XLOOKUP(C26,Tab_Def_Flows[Name(EN)],Tab_Def_Flows[Output_Process],,0,)</f>
        <v>0</v>
      </c>
      <c r="F26" s="49" t="str">
        <f>_xlfn.XLOOKUP(C26,Tab_Def_Flows[Name(EN)],Tab_Def_Flows[Process_ID_O],,0,)</f>
        <v>21__</v>
      </c>
      <c r="G26" s="49">
        <f>_xlfn.XLOOKUP(C26,Tab_Def_Flows[Name(EN)],Tab_Def_Flows[Input_Process],,0,)</f>
        <v>0</v>
      </c>
      <c r="H26" s="61" t="str">
        <f>_xlfn.XLOOKUP(C26,Tab_Def_Flows[Name(EN)],Tab_Def_Flows[Process_ID_I],,0,)</f>
        <v>21__</v>
      </c>
      <c r="I26" s="61">
        <f>_xlfn.XLOOKUP(C26,Tab_Def_Flows[Name(EN)],Tab_Def_Flows[Value_Source],,0,)</f>
        <v>0</v>
      </c>
      <c r="J26" s="61">
        <f>_xlfn.XLOOKUP(C26,Tab_Def_Flows[Name(EN)],Tab_Def_Flows[WC?],,0,)</f>
        <v>0</v>
      </c>
      <c r="K26" s="61">
        <f>_xlfn.XLOOKUP(C26,Tab_Def_Flows[Name(EN)],Tab_Def_Flows[DM?],,0,)</f>
        <v>0</v>
      </c>
      <c r="L26" s="61">
        <f>_xlfn.XLOOKUP(C26,Tab_Def_Flows[Name(EN)],Tab_Def_Flows[CC?],,0,)</f>
        <v>0</v>
      </c>
      <c r="M26" s="51"/>
      <c r="N26" s="51"/>
      <c r="O26" s="88"/>
      <c r="P26" s="51"/>
      <c r="Q26" s="51"/>
      <c r="R26" s="51"/>
      <c r="S26" s="51"/>
      <c r="T26" s="51"/>
      <c r="U26" s="51"/>
      <c r="V26" s="51"/>
      <c r="W26" s="51"/>
      <c r="X26" s="51"/>
      <c r="Y26" s="109"/>
      <c r="Z26" s="51"/>
      <c r="AA26" s="89">
        <f t="shared" si="1"/>
        <v>0</v>
      </c>
      <c r="AB26" s="51" t="s">
        <v>63</v>
      </c>
      <c r="AC26" s="114" t="e">
        <f>INDEX(Tab_Def_Flows[[Flow_ID]:[CC_DM_source]],MATCH(Tab_Data_Flows[[#This Row],[Name(EN)]],Tab_Def_Flows[Name(EN)],0),16)</f>
        <v>#N/A</v>
      </c>
      <c r="AD26" s="115" t="str">
        <f>IF(J26="Yes",AA26*Tab_Data_Flows[[#This Row],[WC_'[%']]],"N.A.")</f>
        <v>N.A.</v>
      </c>
      <c r="AE26" s="61" t="str">
        <f>Tab_Data_Flows[[#This Row],[UoM_Flow_Py]]</f>
        <v>Mg</v>
      </c>
      <c r="AF26" s="114" t="e">
        <f>INDEX(Tab_Def_Flows[[Flow_ID]:[CC_DM_source]],MATCH(Tab_Data_Flows[[#This Row],[Name(EN)]],Tab_Def_Flows[Name(EN)],0),18)</f>
        <v>#N/A</v>
      </c>
      <c r="AG26" s="115" t="str">
        <f>IF(K26="Yes",AF26*Tab_Data_Flows[[#This Row],[Flow_Py]],"N.A.")</f>
        <v>N.A.</v>
      </c>
      <c r="AH26" s="61" t="str">
        <f>Tab_Data_Flows[[#This Row],[UoM_Flow_Py]]</f>
        <v>Mg</v>
      </c>
      <c r="AI26" s="114" t="e">
        <f>INDEX(Tab_Def_Flows[[Flow_ID]:[CC_DM_source]],MATCH(Tab_Data_Flows[[#This Row],[Name(EN)]],Tab_Def_Flows[Name(EN)],0),20)</f>
        <v>#N/A</v>
      </c>
      <c r="AJ26" s="115" t="str">
        <f>IF(L26="Yes",AI26*Tab_Data_Flows[[#This Row],[Flow_Py]],"N.A.")</f>
        <v>N.A.</v>
      </c>
      <c r="AK26" s="61" t="str">
        <f>Tab_Data_Flows[[#This Row],[UoM_Flow_Py]]</f>
        <v>Mg</v>
      </c>
    </row>
    <row r="27" spans="1:37" x14ac:dyDescent="0.35">
      <c r="A27" s="60">
        <f t="shared" si="0"/>
        <v>26</v>
      </c>
      <c r="B27" s="49" t="str">
        <f>_xlfn.XLOOKUP(C27,Tab_Def_Flows[Name(EN)],Tab_Def_Flows[Flow_ID],,0,)</f>
        <v>F_21_21</v>
      </c>
      <c r="C27" s="51"/>
      <c r="D27" s="49">
        <f>_xlfn.XLOOKUP(C27,Tab_Def_Flows[Name(EN)],Tab_Def_Flows[Type_Biomass],,0,)</f>
        <v>0</v>
      </c>
      <c r="E27" s="49">
        <f>_xlfn.XLOOKUP(C27,Tab_Def_Flows[Name(EN)],Tab_Def_Flows[Output_Process],,0,)</f>
        <v>0</v>
      </c>
      <c r="F27" s="49" t="str">
        <f>_xlfn.XLOOKUP(C27,Tab_Def_Flows[Name(EN)],Tab_Def_Flows[Process_ID_O],,0,)</f>
        <v>21__</v>
      </c>
      <c r="G27" s="49">
        <f>_xlfn.XLOOKUP(C27,Tab_Def_Flows[Name(EN)],Tab_Def_Flows[Input_Process],,0,)</f>
        <v>0</v>
      </c>
      <c r="H27" s="61" t="str">
        <f>_xlfn.XLOOKUP(C27,Tab_Def_Flows[Name(EN)],Tab_Def_Flows[Process_ID_I],,0,)</f>
        <v>21__</v>
      </c>
      <c r="I27" s="61">
        <f>_xlfn.XLOOKUP(C27,Tab_Def_Flows[Name(EN)],Tab_Def_Flows[Value_Source],,0,)</f>
        <v>0</v>
      </c>
      <c r="J27" s="61">
        <f>_xlfn.XLOOKUP(C27,Tab_Def_Flows[Name(EN)],Tab_Def_Flows[WC?],,0,)</f>
        <v>0</v>
      </c>
      <c r="K27" s="61">
        <f>_xlfn.XLOOKUP(C27,Tab_Def_Flows[Name(EN)],Tab_Def_Flows[DM?],,0,)</f>
        <v>0</v>
      </c>
      <c r="L27" s="61">
        <f>_xlfn.XLOOKUP(C27,Tab_Def_Flows[Name(EN)],Tab_Def_Flows[CC?],,0,)</f>
        <v>0</v>
      </c>
      <c r="M27" s="51"/>
      <c r="N27" s="51"/>
      <c r="O27" s="88"/>
      <c r="P27" s="51"/>
      <c r="Q27" s="51"/>
      <c r="R27" s="51"/>
      <c r="S27" s="51"/>
      <c r="T27" s="51"/>
      <c r="U27" s="51"/>
      <c r="V27" s="51"/>
      <c r="W27" s="51"/>
      <c r="X27" s="51"/>
      <c r="Y27" s="109"/>
      <c r="Z27" s="51"/>
      <c r="AA27" s="89">
        <f t="shared" si="1"/>
        <v>0</v>
      </c>
      <c r="AB27" s="51" t="s">
        <v>63</v>
      </c>
      <c r="AC27" s="114" t="e">
        <f>INDEX(Tab_Def_Flows[[Flow_ID]:[CC_DM_source]],MATCH(Tab_Data_Flows[[#This Row],[Name(EN)]],Tab_Def_Flows[Name(EN)],0),16)</f>
        <v>#N/A</v>
      </c>
      <c r="AD27" s="115" t="str">
        <f>IF(J27="Yes",AA27*Tab_Data_Flows[[#This Row],[WC_'[%']]],"N.A.")</f>
        <v>N.A.</v>
      </c>
      <c r="AE27" s="61" t="str">
        <f>Tab_Data_Flows[[#This Row],[UoM_Flow_Py]]</f>
        <v>Mg</v>
      </c>
      <c r="AF27" s="114" t="e">
        <f>INDEX(Tab_Def_Flows[[Flow_ID]:[CC_DM_source]],MATCH(Tab_Data_Flows[[#This Row],[Name(EN)]],Tab_Def_Flows[Name(EN)],0),18)</f>
        <v>#N/A</v>
      </c>
      <c r="AG27" s="115" t="str">
        <f>IF(K27="Yes",AF27*Tab_Data_Flows[[#This Row],[Flow_Py]],"N.A.")</f>
        <v>N.A.</v>
      </c>
      <c r="AH27" s="61" t="str">
        <f>Tab_Data_Flows[[#This Row],[UoM_Flow_Py]]</f>
        <v>Mg</v>
      </c>
      <c r="AI27" s="114" t="e">
        <f>INDEX(Tab_Def_Flows[[Flow_ID]:[CC_DM_source]],MATCH(Tab_Data_Flows[[#This Row],[Name(EN)]],Tab_Def_Flows[Name(EN)],0),20)</f>
        <v>#N/A</v>
      </c>
      <c r="AJ27" s="115" t="str">
        <f>IF(L27="Yes",AI27*Tab_Data_Flows[[#This Row],[Flow_Py]],"N.A.")</f>
        <v>N.A.</v>
      </c>
      <c r="AK27" s="61" t="str">
        <f>Tab_Data_Flows[[#This Row],[UoM_Flow_Py]]</f>
        <v>Mg</v>
      </c>
    </row>
    <row r="28" spans="1:37" x14ac:dyDescent="0.35">
      <c r="A28" s="60">
        <f t="shared" si="0"/>
        <v>27</v>
      </c>
      <c r="B28" s="49" t="str">
        <f>_xlfn.XLOOKUP(C28,Tab_Def_Flows[Name(EN)],Tab_Def_Flows[Flow_ID],,0,)</f>
        <v>F_21_21</v>
      </c>
      <c r="C28" s="51"/>
      <c r="D28" s="49">
        <f>_xlfn.XLOOKUP(C28,Tab_Def_Flows[Name(EN)],Tab_Def_Flows[Type_Biomass],,0,)</f>
        <v>0</v>
      </c>
      <c r="E28" s="49">
        <f>_xlfn.XLOOKUP(C28,Tab_Def_Flows[Name(EN)],Tab_Def_Flows[Output_Process],,0,)</f>
        <v>0</v>
      </c>
      <c r="F28" s="49" t="str">
        <f>_xlfn.XLOOKUP(C28,Tab_Def_Flows[Name(EN)],Tab_Def_Flows[Process_ID_O],,0,)</f>
        <v>21__</v>
      </c>
      <c r="G28" s="49">
        <f>_xlfn.XLOOKUP(C28,Tab_Def_Flows[Name(EN)],Tab_Def_Flows[Input_Process],,0,)</f>
        <v>0</v>
      </c>
      <c r="H28" s="61" t="str">
        <f>_xlfn.XLOOKUP(C28,Tab_Def_Flows[Name(EN)],Tab_Def_Flows[Process_ID_I],,0,)</f>
        <v>21__</v>
      </c>
      <c r="I28" s="61">
        <f>_xlfn.XLOOKUP(C28,Tab_Def_Flows[Name(EN)],Tab_Def_Flows[Value_Source],,0,)</f>
        <v>0</v>
      </c>
      <c r="J28" s="61">
        <f>_xlfn.XLOOKUP(C28,Tab_Def_Flows[Name(EN)],Tab_Def_Flows[WC?],,0,)</f>
        <v>0</v>
      </c>
      <c r="K28" s="61">
        <f>_xlfn.XLOOKUP(C28,Tab_Def_Flows[Name(EN)],Tab_Def_Flows[DM?],,0,)</f>
        <v>0</v>
      </c>
      <c r="L28" s="61">
        <f>_xlfn.XLOOKUP(C28,Tab_Def_Flows[Name(EN)],Tab_Def_Flows[CC?],,0,)</f>
        <v>0</v>
      </c>
      <c r="M28" s="51"/>
      <c r="N28" s="51"/>
      <c r="O28" s="88"/>
      <c r="P28" s="51"/>
      <c r="Q28" s="51"/>
      <c r="R28" s="51"/>
      <c r="S28" s="51"/>
      <c r="T28" s="51"/>
      <c r="U28" s="51"/>
      <c r="V28" s="51"/>
      <c r="W28" s="51"/>
      <c r="X28" s="51"/>
      <c r="Y28" s="109"/>
      <c r="Z28" s="51"/>
      <c r="AA28" s="89">
        <f t="shared" si="1"/>
        <v>0</v>
      </c>
      <c r="AB28" s="51" t="s">
        <v>63</v>
      </c>
      <c r="AC28" s="114" t="e">
        <f>INDEX(Tab_Def_Flows[[Flow_ID]:[CC_DM_source]],MATCH(Tab_Data_Flows[[#This Row],[Name(EN)]],Tab_Def_Flows[Name(EN)],0),16)</f>
        <v>#N/A</v>
      </c>
      <c r="AD28" s="115" t="str">
        <f>IF(J28="Yes",AA28*Tab_Data_Flows[[#This Row],[WC_'[%']]],"N.A.")</f>
        <v>N.A.</v>
      </c>
      <c r="AE28" s="61" t="str">
        <f>Tab_Data_Flows[[#This Row],[UoM_Flow_Py]]</f>
        <v>Mg</v>
      </c>
      <c r="AF28" s="114" t="e">
        <f>INDEX(Tab_Def_Flows[[Flow_ID]:[CC_DM_source]],MATCH(Tab_Data_Flows[[#This Row],[Name(EN)]],Tab_Def_Flows[Name(EN)],0),18)</f>
        <v>#N/A</v>
      </c>
      <c r="AG28" s="115" t="str">
        <f>IF(K28="Yes",AF28*Tab_Data_Flows[[#This Row],[Flow_Py]],"N.A.")</f>
        <v>N.A.</v>
      </c>
      <c r="AH28" s="61" t="str">
        <f>Tab_Data_Flows[[#This Row],[UoM_Flow_Py]]</f>
        <v>Mg</v>
      </c>
      <c r="AI28" s="114" t="e">
        <f>INDEX(Tab_Def_Flows[[Flow_ID]:[CC_DM_source]],MATCH(Tab_Data_Flows[[#This Row],[Name(EN)]],Tab_Def_Flows[Name(EN)],0),20)</f>
        <v>#N/A</v>
      </c>
      <c r="AJ28" s="115" t="str">
        <f>IF(L28="Yes",AI28*Tab_Data_Flows[[#This Row],[Flow_Py]],"N.A.")</f>
        <v>N.A.</v>
      </c>
      <c r="AK28" s="61" t="str">
        <f>Tab_Data_Flows[[#This Row],[UoM_Flow_Py]]</f>
        <v>Mg</v>
      </c>
    </row>
    <row r="29" spans="1:37" x14ac:dyDescent="0.35">
      <c r="A29" s="60">
        <f t="shared" si="0"/>
        <v>28</v>
      </c>
      <c r="B29" s="49" t="str">
        <f>_xlfn.XLOOKUP(C29,Tab_Def_Flows[Name(EN)],Tab_Def_Flows[Flow_ID],,0,)</f>
        <v>F_21_21</v>
      </c>
      <c r="C29" s="51"/>
      <c r="D29" s="49">
        <f>_xlfn.XLOOKUP(C29,Tab_Def_Flows[Name(EN)],Tab_Def_Flows[Type_Biomass],,0,)</f>
        <v>0</v>
      </c>
      <c r="E29" s="49">
        <f>_xlfn.XLOOKUP(C29,Tab_Def_Flows[Name(EN)],Tab_Def_Flows[Output_Process],,0,)</f>
        <v>0</v>
      </c>
      <c r="F29" s="49" t="str">
        <f>_xlfn.XLOOKUP(C29,Tab_Def_Flows[Name(EN)],Tab_Def_Flows[Process_ID_O],,0,)</f>
        <v>21__</v>
      </c>
      <c r="G29" s="49">
        <f>_xlfn.XLOOKUP(C29,Tab_Def_Flows[Name(EN)],Tab_Def_Flows[Input_Process],,0,)</f>
        <v>0</v>
      </c>
      <c r="H29" s="61" t="str">
        <f>_xlfn.XLOOKUP(C29,Tab_Def_Flows[Name(EN)],Tab_Def_Flows[Process_ID_I],,0,)</f>
        <v>21__</v>
      </c>
      <c r="I29" s="61">
        <f>_xlfn.XLOOKUP(C29,Tab_Def_Flows[Name(EN)],Tab_Def_Flows[Value_Source],,0,)</f>
        <v>0</v>
      </c>
      <c r="J29" s="61">
        <f>_xlfn.XLOOKUP(C29,Tab_Def_Flows[Name(EN)],Tab_Def_Flows[WC?],,0,)</f>
        <v>0</v>
      </c>
      <c r="K29" s="61">
        <f>_xlfn.XLOOKUP(C29,Tab_Def_Flows[Name(EN)],Tab_Def_Flows[DM?],,0,)</f>
        <v>0</v>
      </c>
      <c r="L29" s="61">
        <f>_xlfn.XLOOKUP(C29,Tab_Def_Flows[Name(EN)],Tab_Def_Flows[CC?],,0,)</f>
        <v>0</v>
      </c>
      <c r="M29" s="51"/>
      <c r="N29" s="51"/>
      <c r="O29" s="88"/>
      <c r="P29" s="51"/>
      <c r="Q29" s="51"/>
      <c r="R29" s="51"/>
      <c r="S29" s="51"/>
      <c r="T29" s="51"/>
      <c r="U29" s="51"/>
      <c r="V29" s="51"/>
      <c r="W29" s="51"/>
      <c r="X29" s="51"/>
      <c r="Y29" s="109"/>
      <c r="Z29" s="51"/>
      <c r="AA29" s="89">
        <f t="shared" si="1"/>
        <v>0</v>
      </c>
      <c r="AB29" s="51" t="s">
        <v>63</v>
      </c>
      <c r="AC29" s="114" t="e">
        <f>INDEX(Tab_Def_Flows[[Flow_ID]:[CC_DM_source]],MATCH(Tab_Data_Flows[[#This Row],[Name(EN)]],Tab_Def_Flows[Name(EN)],0),16)</f>
        <v>#N/A</v>
      </c>
      <c r="AD29" s="115" t="str">
        <f>IF(J29="Yes",AA29*Tab_Data_Flows[[#This Row],[WC_'[%']]],"N.A.")</f>
        <v>N.A.</v>
      </c>
      <c r="AE29" s="61" t="str">
        <f>Tab_Data_Flows[[#This Row],[UoM_Flow_Py]]</f>
        <v>Mg</v>
      </c>
      <c r="AF29" s="114" t="e">
        <f>INDEX(Tab_Def_Flows[[Flow_ID]:[CC_DM_source]],MATCH(Tab_Data_Flows[[#This Row],[Name(EN)]],Tab_Def_Flows[Name(EN)],0),18)</f>
        <v>#N/A</v>
      </c>
      <c r="AG29" s="115" t="str">
        <f>IF(K29="Yes",AF29*Tab_Data_Flows[[#This Row],[Flow_Py]],"N.A.")</f>
        <v>N.A.</v>
      </c>
      <c r="AH29" s="61" t="str">
        <f>Tab_Data_Flows[[#This Row],[UoM_Flow_Py]]</f>
        <v>Mg</v>
      </c>
      <c r="AI29" s="114" t="e">
        <f>INDEX(Tab_Def_Flows[[Flow_ID]:[CC_DM_source]],MATCH(Tab_Data_Flows[[#This Row],[Name(EN)]],Tab_Def_Flows[Name(EN)],0),20)</f>
        <v>#N/A</v>
      </c>
      <c r="AJ29" s="115" t="str">
        <f>IF(L29="Yes",AI29*Tab_Data_Flows[[#This Row],[Flow_Py]],"N.A.")</f>
        <v>N.A.</v>
      </c>
      <c r="AK29" s="61" t="str">
        <f>Tab_Data_Flows[[#This Row],[UoM_Flow_Py]]</f>
        <v>Mg</v>
      </c>
    </row>
    <row r="30" spans="1:37" x14ac:dyDescent="0.35">
      <c r="A30" s="60">
        <f t="shared" si="0"/>
        <v>29</v>
      </c>
      <c r="B30" s="49" t="str">
        <f>_xlfn.XLOOKUP(C30,Tab_Def_Flows[Name(EN)],Tab_Def_Flows[Flow_ID],,0,)</f>
        <v>F_21_21</v>
      </c>
      <c r="C30" s="51"/>
      <c r="D30" s="49">
        <f>_xlfn.XLOOKUP(C30,Tab_Def_Flows[Name(EN)],Tab_Def_Flows[Type_Biomass],,0,)</f>
        <v>0</v>
      </c>
      <c r="E30" s="49">
        <f>_xlfn.XLOOKUP(C30,Tab_Def_Flows[Name(EN)],Tab_Def_Flows[Output_Process],,0,)</f>
        <v>0</v>
      </c>
      <c r="F30" s="49" t="str">
        <f>_xlfn.XLOOKUP(C30,Tab_Def_Flows[Name(EN)],Tab_Def_Flows[Process_ID_O],,0,)</f>
        <v>21__</v>
      </c>
      <c r="G30" s="49">
        <f>_xlfn.XLOOKUP(C30,Tab_Def_Flows[Name(EN)],Tab_Def_Flows[Input_Process],,0,)</f>
        <v>0</v>
      </c>
      <c r="H30" s="61" t="str">
        <f>_xlfn.XLOOKUP(C30,Tab_Def_Flows[Name(EN)],Tab_Def_Flows[Process_ID_I],,0,)</f>
        <v>21__</v>
      </c>
      <c r="I30" s="61">
        <f>_xlfn.XLOOKUP(C30,Tab_Def_Flows[Name(EN)],Tab_Def_Flows[Value_Source],,0,)</f>
        <v>0</v>
      </c>
      <c r="J30" s="61">
        <f>_xlfn.XLOOKUP(C30,Tab_Def_Flows[Name(EN)],Tab_Def_Flows[WC?],,0,)</f>
        <v>0</v>
      </c>
      <c r="K30" s="61">
        <f>_xlfn.XLOOKUP(C30,Tab_Def_Flows[Name(EN)],Tab_Def_Flows[DM?],,0,)</f>
        <v>0</v>
      </c>
      <c r="L30" s="61">
        <f>_xlfn.XLOOKUP(C30,Tab_Def_Flows[Name(EN)],Tab_Def_Flows[CC?],,0,)</f>
        <v>0</v>
      </c>
      <c r="M30" s="51"/>
      <c r="N30" s="51"/>
      <c r="O30" s="88"/>
      <c r="P30" s="51"/>
      <c r="Q30" s="51"/>
      <c r="R30" s="51"/>
      <c r="S30" s="51"/>
      <c r="T30" s="51"/>
      <c r="U30" s="51"/>
      <c r="V30" s="51"/>
      <c r="W30" s="51"/>
      <c r="X30" s="51"/>
      <c r="Y30" s="109"/>
      <c r="Z30" s="51"/>
      <c r="AA30" s="89">
        <f t="shared" si="1"/>
        <v>0</v>
      </c>
      <c r="AB30" s="51" t="s">
        <v>63</v>
      </c>
      <c r="AC30" s="114" t="e">
        <f>INDEX(Tab_Def_Flows[[Flow_ID]:[CC_DM_source]],MATCH(Tab_Data_Flows[[#This Row],[Name(EN)]],Tab_Def_Flows[Name(EN)],0),16)</f>
        <v>#N/A</v>
      </c>
      <c r="AD30" s="115" t="str">
        <f>IF(J30="Yes",AA30*Tab_Data_Flows[[#This Row],[WC_'[%']]],"N.A.")</f>
        <v>N.A.</v>
      </c>
      <c r="AE30" s="61" t="str">
        <f>Tab_Data_Flows[[#This Row],[UoM_Flow_Py]]</f>
        <v>Mg</v>
      </c>
      <c r="AF30" s="114" t="e">
        <f>INDEX(Tab_Def_Flows[[Flow_ID]:[CC_DM_source]],MATCH(Tab_Data_Flows[[#This Row],[Name(EN)]],Tab_Def_Flows[Name(EN)],0),18)</f>
        <v>#N/A</v>
      </c>
      <c r="AG30" s="115" t="str">
        <f>IF(K30="Yes",AF30*Tab_Data_Flows[[#This Row],[Flow_Py]],"N.A.")</f>
        <v>N.A.</v>
      </c>
      <c r="AH30" s="61" t="str">
        <f>Tab_Data_Flows[[#This Row],[UoM_Flow_Py]]</f>
        <v>Mg</v>
      </c>
      <c r="AI30" s="114" t="e">
        <f>INDEX(Tab_Def_Flows[[Flow_ID]:[CC_DM_source]],MATCH(Tab_Data_Flows[[#This Row],[Name(EN)]],Tab_Def_Flows[Name(EN)],0),20)</f>
        <v>#N/A</v>
      </c>
      <c r="AJ30" s="115" t="str">
        <f>IF(L30="Yes",AI30*Tab_Data_Flows[[#This Row],[Flow_Py]],"N.A.")</f>
        <v>N.A.</v>
      </c>
      <c r="AK30" s="61" t="str">
        <f>Tab_Data_Flows[[#This Row],[UoM_Flow_Py]]</f>
        <v>Mg</v>
      </c>
    </row>
    <row r="31" spans="1:37" x14ac:dyDescent="0.35">
      <c r="A31" s="60">
        <f t="shared" si="0"/>
        <v>30</v>
      </c>
      <c r="B31" s="49" t="str">
        <f>_xlfn.XLOOKUP(C31,Tab_Def_Flows[Name(EN)],Tab_Def_Flows[Flow_ID],,0,)</f>
        <v>F_21_21</v>
      </c>
      <c r="C31" s="51"/>
      <c r="D31" s="49">
        <f>_xlfn.XLOOKUP(C31,Tab_Def_Flows[Name(EN)],Tab_Def_Flows[Type_Biomass],,0,)</f>
        <v>0</v>
      </c>
      <c r="E31" s="49">
        <f>_xlfn.XLOOKUP(C31,Tab_Def_Flows[Name(EN)],Tab_Def_Flows[Output_Process],,0,)</f>
        <v>0</v>
      </c>
      <c r="F31" s="49" t="str">
        <f>_xlfn.XLOOKUP(C31,Tab_Def_Flows[Name(EN)],Tab_Def_Flows[Process_ID_O],,0,)</f>
        <v>21__</v>
      </c>
      <c r="G31" s="49">
        <f>_xlfn.XLOOKUP(C31,Tab_Def_Flows[Name(EN)],Tab_Def_Flows[Input_Process],,0,)</f>
        <v>0</v>
      </c>
      <c r="H31" s="61" t="str">
        <f>_xlfn.XLOOKUP(C31,Tab_Def_Flows[Name(EN)],Tab_Def_Flows[Process_ID_I],,0,)</f>
        <v>21__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c r="O31" s="88"/>
      <c r="P31" s="51"/>
      <c r="Q31" s="51"/>
      <c r="R31" s="51"/>
      <c r="S31" s="51"/>
      <c r="T31" s="51"/>
      <c r="U31" s="51"/>
      <c r="V31" s="51"/>
      <c r="W31" s="51"/>
      <c r="X31" s="51"/>
      <c r="Y31" s="109"/>
      <c r="Z31" s="51"/>
      <c r="AA31" s="89">
        <f t="shared" si="1"/>
        <v>0</v>
      </c>
      <c r="AB31" s="51" t="s">
        <v>63</v>
      </c>
      <c r="AC31" s="114" t="e">
        <f>INDEX(Tab_Def_Flows[[Flow_ID]:[CC_DM_source]],MATCH(Tab_Data_Flows[[#This Row],[Name(EN)]],Tab_Def_Flows[Name(EN)],0),16)</f>
        <v>#N/A</v>
      </c>
      <c r="AD31" s="115" t="str">
        <f>IF(J31="Yes",AA31*Tab_Data_Flows[[#This Row],[WC_'[%']]],"N.A.")</f>
        <v>N.A.</v>
      </c>
      <c r="AE31" s="61" t="str">
        <f>Tab_Data_Flows[[#This Row],[UoM_Flow_Py]]</f>
        <v>Mg</v>
      </c>
      <c r="AF31" s="114" t="e">
        <f>INDEX(Tab_Def_Flows[[Flow_ID]:[CC_DM_source]],MATCH(Tab_Data_Flows[[#This Row],[Name(EN)]],Tab_Def_Flows[Name(EN)],0),18)</f>
        <v>#N/A</v>
      </c>
      <c r="AG31" s="115" t="str">
        <f>IF(K31="Yes",AF31*Tab_Data_Flows[[#This Row],[Flow_Py]],"N.A.")</f>
        <v>N.A.</v>
      </c>
      <c r="AH31" s="61" t="str">
        <f>Tab_Data_Flows[[#This Row],[UoM_Flow_Py]]</f>
        <v>Mg</v>
      </c>
      <c r="AI31" s="114" t="e">
        <f>INDEX(Tab_Def_Flows[[Flow_ID]:[CC_DM_source]],MATCH(Tab_Data_Flows[[#This Row],[Name(EN)]],Tab_Def_Flows[Name(EN)],0),20)</f>
        <v>#N/A</v>
      </c>
      <c r="AJ31" s="115" t="str">
        <f>IF(L31="Yes",AI31*Tab_Data_Flows[[#This Row],[Flow_Py]],"N.A.")</f>
        <v>N.A.</v>
      </c>
      <c r="AK31" s="61" t="str">
        <f>Tab_Data_Flows[[#This Row],[UoM_Flow_Py]]</f>
        <v>Mg</v>
      </c>
    </row>
    <row r="32" spans="1:37" x14ac:dyDescent="0.35">
      <c r="A32" s="60">
        <f t="shared" si="0"/>
        <v>31</v>
      </c>
      <c r="B32" s="49" t="str">
        <f>_xlfn.XLOOKUP(C32,Tab_Def_Flows[Name(EN)],Tab_Def_Flows[Flow_ID],,0,)</f>
        <v>F_21_21</v>
      </c>
      <c r="C32" s="51"/>
      <c r="D32" s="49">
        <f>_xlfn.XLOOKUP(C32,Tab_Def_Flows[Name(EN)],Tab_Def_Flows[Type_Biomass],,0,)</f>
        <v>0</v>
      </c>
      <c r="E32" s="49">
        <f>_xlfn.XLOOKUP(C32,Tab_Def_Flows[Name(EN)],Tab_Def_Flows[Output_Process],,0,)</f>
        <v>0</v>
      </c>
      <c r="F32" s="49" t="str">
        <f>_xlfn.XLOOKUP(C32,Tab_Def_Flows[Name(EN)],Tab_Def_Flows[Process_ID_O],,0,)</f>
        <v>21__</v>
      </c>
      <c r="G32" s="49">
        <f>_xlfn.XLOOKUP(C32,Tab_Def_Flows[Name(EN)],Tab_Def_Flows[Input_Process],,0,)</f>
        <v>0</v>
      </c>
      <c r="H32" s="61" t="str">
        <f>_xlfn.XLOOKUP(C32,Tab_Def_Flows[Name(EN)],Tab_Def_Flows[Process_ID_I],,0,)</f>
        <v>21__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c r="O32" s="88"/>
      <c r="P32" s="51"/>
      <c r="Q32" s="51"/>
      <c r="R32" s="51"/>
      <c r="S32" s="51"/>
      <c r="T32" s="51"/>
      <c r="U32" s="51"/>
      <c r="V32" s="51"/>
      <c r="W32" s="51"/>
      <c r="X32" s="51"/>
      <c r="Y32" s="109"/>
      <c r="Z32" s="51"/>
      <c r="AA32" s="89">
        <f t="shared" si="1"/>
        <v>0</v>
      </c>
      <c r="AB32" s="51" t="s">
        <v>63</v>
      </c>
      <c r="AC32" s="114" t="e">
        <f>INDEX(Tab_Def_Flows[[Flow_ID]:[CC_DM_source]],MATCH(Tab_Data_Flows[[#This Row],[Name(EN)]],Tab_Def_Flows[Name(EN)],0),16)</f>
        <v>#N/A</v>
      </c>
      <c r="AD32" s="115" t="str">
        <f>IF(J32="Yes",AA32*Tab_Data_Flows[[#This Row],[WC_'[%']]],"N.A.")</f>
        <v>N.A.</v>
      </c>
      <c r="AE32" s="61" t="str">
        <f>Tab_Data_Flows[[#This Row],[UoM_Flow_Py]]</f>
        <v>Mg</v>
      </c>
      <c r="AF32" s="114" t="e">
        <f>INDEX(Tab_Def_Flows[[Flow_ID]:[CC_DM_source]],MATCH(Tab_Data_Flows[[#This Row],[Name(EN)]],Tab_Def_Flows[Name(EN)],0),18)</f>
        <v>#N/A</v>
      </c>
      <c r="AG32" s="115" t="str">
        <f>IF(K32="Yes",AF32*Tab_Data_Flows[[#This Row],[Flow_Py]],"N.A.")</f>
        <v>N.A.</v>
      </c>
      <c r="AH32" s="61" t="str">
        <f>Tab_Data_Flows[[#This Row],[UoM_Flow_Py]]</f>
        <v>Mg</v>
      </c>
      <c r="AI32" s="114" t="e">
        <f>INDEX(Tab_Def_Flows[[Flow_ID]:[CC_DM_source]],MATCH(Tab_Data_Flows[[#This Row],[Name(EN)]],Tab_Def_Flows[Name(EN)],0),20)</f>
        <v>#N/A</v>
      </c>
      <c r="AJ32" s="115" t="str">
        <f>IF(L32="Yes",AI32*Tab_Data_Flows[[#This Row],[Flow_Py]],"N.A.")</f>
        <v>N.A.</v>
      </c>
      <c r="AK32" s="61" t="str">
        <f>Tab_Data_Flows[[#This Row],[UoM_Flow_Py]]</f>
        <v>Mg</v>
      </c>
    </row>
    <row r="33" spans="1:37" x14ac:dyDescent="0.35">
      <c r="A33" s="60">
        <f t="shared" si="0"/>
        <v>32</v>
      </c>
      <c r="B33" s="49" t="str">
        <f>_xlfn.XLOOKUP(C33,Tab_Def_Flows[Name(EN)],Tab_Def_Flows[Flow_ID],,0,)</f>
        <v>F_21_21</v>
      </c>
      <c r="C33" s="51"/>
      <c r="D33" s="49">
        <f>_xlfn.XLOOKUP(C33,Tab_Def_Flows[Name(EN)],Tab_Def_Flows[Type_Biomass],,0,)</f>
        <v>0</v>
      </c>
      <c r="E33" s="49">
        <f>_xlfn.XLOOKUP(C33,Tab_Def_Flows[Name(EN)],Tab_Def_Flows[Output_Process],,0,)</f>
        <v>0</v>
      </c>
      <c r="F33" s="49" t="str">
        <f>_xlfn.XLOOKUP(C33,Tab_Def_Flows[Name(EN)],Tab_Def_Flows[Process_ID_O],,0,)</f>
        <v>21__</v>
      </c>
      <c r="G33" s="49">
        <f>_xlfn.XLOOKUP(C33,Tab_Def_Flows[Name(EN)],Tab_Def_Flows[Input_Process],,0,)</f>
        <v>0</v>
      </c>
      <c r="H33" s="61" t="str">
        <f>_xlfn.XLOOKUP(C33,Tab_Def_Flows[Name(EN)],Tab_Def_Flows[Process_ID_I],,0,)</f>
        <v>21__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c r="O33" s="88"/>
      <c r="P33" s="51"/>
      <c r="Q33" s="51"/>
      <c r="R33" s="51"/>
      <c r="S33" s="51"/>
      <c r="T33" s="51"/>
      <c r="U33" s="51"/>
      <c r="V33" s="51"/>
      <c r="W33" s="51"/>
      <c r="X33" s="51"/>
      <c r="Y33" s="109"/>
      <c r="Z33" s="51"/>
      <c r="AA33" s="89">
        <f t="shared" si="1"/>
        <v>0</v>
      </c>
      <c r="AB33" s="51" t="s">
        <v>63</v>
      </c>
      <c r="AC33" s="114" t="e">
        <f>INDEX(Tab_Def_Flows[[Flow_ID]:[CC_DM_source]],MATCH(Tab_Data_Flows[[#This Row],[Name(EN)]],Tab_Def_Flows[Name(EN)],0),16)</f>
        <v>#N/A</v>
      </c>
      <c r="AD33" s="115" t="str">
        <f>IF(J33="Yes",AA33*Tab_Data_Flows[[#This Row],[WC_'[%']]],"N.A.")</f>
        <v>N.A.</v>
      </c>
      <c r="AE33" s="61" t="str">
        <f>Tab_Data_Flows[[#This Row],[UoM_Flow_Py]]</f>
        <v>Mg</v>
      </c>
      <c r="AF33" s="114" t="e">
        <f>INDEX(Tab_Def_Flows[[Flow_ID]:[CC_DM_source]],MATCH(Tab_Data_Flows[[#This Row],[Name(EN)]],Tab_Def_Flows[Name(EN)],0),18)</f>
        <v>#N/A</v>
      </c>
      <c r="AG33" s="115" t="str">
        <f>IF(K33="Yes",AF33*Tab_Data_Flows[[#This Row],[Flow_Py]],"N.A.")</f>
        <v>N.A.</v>
      </c>
      <c r="AH33" s="61" t="str">
        <f>Tab_Data_Flows[[#This Row],[UoM_Flow_Py]]</f>
        <v>Mg</v>
      </c>
      <c r="AI33" s="114" t="e">
        <f>INDEX(Tab_Def_Flows[[Flow_ID]:[CC_DM_source]],MATCH(Tab_Data_Flows[[#This Row],[Name(EN)]],Tab_Def_Flows[Name(EN)],0),20)</f>
        <v>#N/A</v>
      </c>
      <c r="AJ33" s="115" t="str">
        <f>IF(L33="Yes",AI33*Tab_Data_Flows[[#This Row],[Flow_Py]],"N.A.")</f>
        <v>N.A.</v>
      </c>
      <c r="AK33" s="61" t="str">
        <f>Tab_Data_Flows[[#This Row],[UoM_Flow_Py]]</f>
        <v>Mg</v>
      </c>
    </row>
    <row r="34" spans="1:37" x14ac:dyDescent="0.35">
      <c r="A34" s="60">
        <f t="shared" si="0"/>
        <v>33</v>
      </c>
      <c r="B34" s="49" t="str">
        <f>_xlfn.XLOOKUP(C34,Tab_Def_Flows[Name(EN)],Tab_Def_Flows[Flow_ID],,0,)</f>
        <v>F_21_21</v>
      </c>
      <c r="C34" s="51"/>
      <c r="D34" s="49">
        <f>_xlfn.XLOOKUP(C34,Tab_Def_Flows[Name(EN)],Tab_Def_Flows[Type_Biomass],,0,)</f>
        <v>0</v>
      </c>
      <c r="E34" s="49">
        <f>_xlfn.XLOOKUP(C34,Tab_Def_Flows[Name(EN)],Tab_Def_Flows[Output_Process],,0,)</f>
        <v>0</v>
      </c>
      <c r="F34" s="49" t="str">
        <f>_xlfn.XLOOKUP(C34,Tab_Def_Flows[Name(EN)],Tab_Def_Flows[Process_ID_O],,0,)</f>
        <v>21__</v>
      </c>
      <c r="G34" s="49">
        <f>_xlfn.XLOOKUP(C34,Tab_Def_Flows[Name(EN)],Tab_Def_Flows[Input_Process],,0,)</f>
        <v>0</v>
      </c>
      <c r="H34" s="61" t="str">
        <f>_xlfn.XLOOKUP(C34,Tab_Def_Flows[Name(EN)],Tab_Def_Flows[Process_ID_I],,0,)</f>
        <v>21__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c r="O34" s="88"/>
      <c r="P34" s="51"/>
      <c r="Q34" s="51"/>
      <c r="R34" s="51"/>
      <c r="S34" s="51"/>
      <c r="T34" s="51"/>
      <c r="U34" s="51"/>
      <c r="V34" s="51"/>
      <c r="W34" s="51"/>
      <c r="X34" s="51"/>
      <c r="Y34" s="109"/>
      <c r="Z34" s="51"/>
      <c r="AA34" s="89">
        <f t="shared" si="1"/>
        <v>0</v>
      </c>
      <c r="AB34" s="51" t="s">
        <v>63</v>
      </c>
      <c r="AC34" s="114" t="e">
        <f>INDEX(Tab_Def_Flows[[Flow_ID]:[CC_DM_source]],MATCH(Tab_Data_Flows[[#This Row],[Name(EN)]],Tab_Def_Flows[Name(EN)],0),16)</f>
        <v>#N/A</v>
      </c>
      <c r="AD34" s="115" t="str">
        <f>IF(J34="Yes",AA34*Tab_Data_Flows[[#This Row],[WC_'[%']]],"N.A.")</f>
        <v>N.A.</v>
      </c>
      <c r="AE34" s="61" t="str">
        <f>Tab_Data_Flows[[#This Row],[UoM_Flow_Py]]</f>
        <v>Mg</v>
      </c>
      <c r="AF34" s="114" t="e">
        <f>INDEX(Tab_Def_Flows[[Flow_ID]:[CC_DM_source]],MATCH(Tab_Data_Flows[[#This Row],[Name(EN)]],Tab_Def_Flows[Name(EN)],0),18)</f>
        <v>#N/A</v>
      </c>
      <c r="AG34" s="115" t="str">
        <f>IF(K34="Yes",AF34*Tab_Data_Flows[[#This Row],[Flow_Py]],"N.A.")</f>
        <v>N.A.</v>
      </c>
      <c r="AH34" s="61" t="str">
        <f>Tab_Data_Flows[[#This Row],[UoM_Flow_Py]]</f>
        <v>Mg</v>
      </c>
      <c r="AI34" s="114" t="e">
        <f>INDEX(Tab_Def_Flows[[Flow_ID]:[CC_DM_source]],MATCH(Tab_Data_Flows[[#This Row],[Name(EN)]],Tab_Def_Flows[Name(EN)],0),20)</f>
        <v>#N/A</v>
      </c>
      <c r="AJ34" s="115" t="str">
        <f>IF(L34="Yes",AI34*Tab_Data_Flows[[#This Row],[Flow_Py]],"N.A.")</f>
        <v>N.A.</v>
      </c>
      <c r="AK34" s="61" t="str">
        <f>Tab_Data_Flows[[#This Row],[UoM_Flow_Py]]</f>
        <v>Mg</v>
      </c>
    </row>
    <row r="35" spans="1:37" x14ac:dyDescent="0.35">
      <c r="A35" s="60">
        <f t="shared" si="0"/>
        <v>34</v>
      </c>
      <c r="B35" s="49" t="str">
        <f>_xlfn.XLOOKUP(C35,Tab_Def_Flows[Name(EN)],Tab_Def_Flows[Flow_ID],,0,)</f>
        <v>F_21_21</v>
      </c>
      <c r="C35" s="51"/>
      <c r="D35" s="49">
        <f>_xlfn.XLOOKUP(C35,Tab_Def_Flows[Name(EN)],Tab_Def_Flows[Type_Biomass],,0,)</f>
        <v>0</v>
      </c>
      <c r="E35" s="49">
        <f>_xlfn.XLOOKUP(C35,Tab_Def_Flows[Name(EN)],Tab_Def_Flows[Output_Process],,0,)</f>
        <v>0</v>
      </c>
      <c r="F35" s="49" t="str">
        <f>_xlfn.XLOOKUP(C35,Tab_Def_Flows[Name(EN)],Tab_Def_Flows[Process_ID_O],,0,)</f>
        <v>21__</v>
      </c>
      <c r="G35" s="49">
        <f>_xlfn.XLOOKUP(C35,Tab_Def_Flows[Name(EN)],Tab_Def_Flows[Input_Process],,0,)</f>
        <v>0</v>
      </c>
      <c r="H35" s="61" t="str">
        <f>_xlfn.XLOOKUP(C35,Tab_Def_Flows[Name(EN)],Tab_Def_Flows[Process_ID_I],,0,)</f>
        <v>21__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c r="O35" s="88"/>
      <c r="P35" s="51"/>
      <c r="Q35" s="51"/>
      <c r="R35" s="51"/>
      <c r="S35" s="51"/>
      <c r="T35" s="51"/>
      <c r="U35" s="51"/>
      <c r="V35" s="51"/>
      <c r="W35" s="51"/>
      <c r="X35" s="51"/>
      <c r="Y35" s="109"/>
      <c r="Z35" s="51"/>
      <c r="AA35" s="89">
        <f t="shared" si="1"/>
        <v>0</v>
      </c>
      <c r="AB35" s="51" t="s">
        <v>63</v>
      </c>
      <c r="AC35" s="114" t="e">
        <f>INDEX(Tab_Def_Flows[[Flow_ID]:[CC_DM_source]],MATCH(Tab_Data_Flows[[#This Row],[Name(EN)]],Tab_Def_Flows[Name(EN)],0),16)</f>
        <v>#N/A</v>
      </c>
      <c r="AD35" s="115" t="str">
        <f>IF(J35="Yes",AA35*Tab_Data_Flows[[#This Row],[WC_'[%']]],"N.A.")</f>
        <v>N.A.</v>
      </c>
      <c r="AE35" s="61" t="str">
        <f>Tab_Data_Flows[[#This Row],[UoM_Flow_Py]]</f>
        <v>Mg</v>
      </c>
      <c r="AF35" s="114" t="e">
        <f>INDEX(Tab_Def_Flows[[Flow_ID]:[CC_DM_source]],MATCH(Tab_Data_Flows[[#This Row],[Name(EN)]],Tab_Def_Flows[Name(EN)],0),18)</f>
        <v>#N/A</v>
      </c>
      <c r="AG35" s="115" t="str">
        <f>IF(K35="Yes",AF35*Tab_Data_Flows[[#This Row],[Flow_Py]],"N.A.")</f>
        <v>N.A.</v>
      </c>
      <c r="AH35" s="61" t="str">
        <f>Tab_Data_Flows[[#This Row],[UoM_Flow_Py]]</f>
        <v>Mg</v>
      </c>
      <c r="AI35" s="114" t="e">
        <f>INDEX(Tab_Def_Flows[[Flow_ID]:[CC_DM_source]],MATCH(Tab_Data_Flows[[#This Row],[Name(EN)]],Tab_Def_Flows[Name(EN)],0),20)</f>
        <v>#N/A</v>
      </c>
      <c r="AJ35" s="115" t="str">
        <f>IF(L35="Yes",AI35*Tab_Data_Flows[[#This Row],[Flow_Py]],"N.A.")</f>
        <v>N.A.</v>
      </c>
      <c r="AK35" s="61" t="str">
        <f>Tab_Data_Flows[[#This Row],[UoM_Flow_Py]]</f>
        <v>Mg</v>
      </c>
    </row>
    <row r="36" spans="1:37" x14ac:dyDescent="0.35">
      <c r="A36" s="60">
        <f t="shared" si="0"/>
        <v>35</v>
      </c>
      <c r="B36" s="49" t="str">
        <f>_xlfn.XLOOKUP(C36,Tab_Def_Flows[Name(EN)],Tab_Def_Flows[Flow_ID],,0,)</f>
        <v>F_21_21</v>
      </c>
      <c r="C36" s="51"/>
      <c r="D36" s="49">
        <f>_xlfn.XLOOKUP(C36,Tab_Def_Flows[Name(EN)],Tab_Def_Flows[Type_Biomass],,0,)</f>
        <v>0</v>
      </c>
      <c r="E36" s="49">
        <f>_xlfn.XLOOKUP(C36,Tab_Def_Flows[Name(EN)],Tab_Def_Flows[Output_Process],,0,)</f>
        <v>0</v>
      </c>
      <c r="F36" s="49" t="str">
        <f>_xlfn.XLOOKUP(C36,Tab_Def_Flows[Name(EN)],Tab_Def_Flows[Process_ID_O],,0,)</f>
        <v>21__</v>
      </c>
      <c r="G36" s="49">
        <f>_xlfn.XLOOKUP(C36,Tab_Def_Flows[Name(EN)],Tab_Def_Flows[Input_Process],,0,)</f>
        <v>0</v>
      </c>
      <c r="H36" s="61" t="str">
        <f>_xlfn.XLOOKUP(C36,Tab_Def_Flows[Name(EN)],Tab_Def_Flows[Process_ID_I],,0,)</f>
        <v>21__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c r="O36" s="88"/>
      <c r="P36" s="51"/>
      <c r="Q36" s="51"/>
      <c r="R36" s="51"/>
      <c r="S36" s="51"/>
      <c r="T36" s="51"/>
      <c r="U36" s="51"/>
      <c r="V36" s="51"/>
      <c r="W36" s="51"/>
      <c r="X36" s="51"/>
      <c r="Y36" s="109"/>
      <c r="Z36" s="51"/>
      <c r="AA36" s="89">
        <f t="shared" si="1"/>
        <v>0</v>
      </c>
      <c r="AB36" s="51" t="s">
        <v>63</v>
      </c>
      <c r="AC36" s="114" t="e">
        <f>INDEX(Tab_Def_Flows[[Flow_ID]:[CC_DM_source]],MATCH(Tab_Data_Flows[[#This Row],[Name(EN)]],Tab_Def_Flows[Name(EN)],0),16)</f>
        <v>#N/A</v>
      </c>
      <c r="AD36" s="115" t="str">
        <f>IF(J36="Yes",AA36*Tab_Data_Flows[[#This Row],[WC_'[%']]],"N.A.")</f>
        <v>N.A.</v>
      </c>
      <c r="AE36" s="61" t="str">
        <f>Tab_Data_Flows[[#This Row],[UoM_Flow_Py]]</f>
        <v>Mg</v>
      </c>
      <c r="AF36" s="114" t="e">
        <f>INDEX(Tab_Def_Flows[[Flow_ID]:[CC_DM_source]],MATCH(Tab_Data_Flows[[#This Row],[Name(EN)]],Tab_Def_Flows[Name(EN)],0),18)</f>
        <v>#N/A</v>
      </c>
      <c r="AG36" s="115" t="str">
        <f>IF(K36="Yes",AF36*Tab_Data_Flows[[#This Row],[Flow_Py]],"N.A.")</f>
        <v>N.A.</v>
      </c>
      <c r="AH36" s="61" t="str">
        <f>Tab_Data_Flows[[#This Row],[UoM_Flow_Py]]</f>
        <v>Mg</v>
      </c>
      <c r="AI36" s="114" t="e">
        <f>INDEX(Tab_Def_Flows[[Flow_ID]:[CC_DM_source]],MATCH(Tab_Data_Flows[[#This Row],[Name(EN)]],Tab_Def_Flows[Name(EN)],0),20)</f>
        <v>#N/A</v>
      </c>
      <c r="AJ36" s="115" t="str">
        <f>IF(L36="Yes",AI36*Tab_Data_Flows[[#This Row],[Flow_Py]],"N.A.")</f>
        <v>N.A.</v>
      </c>
      <c r="AK36" s="61" t="str">
        <f>Tab_Data_Flows[[#This Row],[UoM_Flow_Py]]</f>
        <v>Mg</v>
      </c>
    </row>
    <row r="37" spans="1:37" x14ac:dyDescent="0.35">
      <c r="A37" s="60">
        <f t="shared" si="0"/>
        <v>36</v>
      </c>
      <c r="B37" s="49" t="str">
        <f>_xlfn.XLOOKUP(C37,Tab_Def_Flows[Name(EN)],Tab_Def_Flows[Flow_ID],,0,)</f>
        <v>F_21_21</v>
      </c>
      <c r="C37" s="51"/>
      <c r="D37" s="49">
        <f>_xlfn.XLOOKUP(C37,Tab_Def_Flows[Name(EN)],Tab_Def_Flows[Type_Biomass],,0,)</f>
        <v>0</v>
      </c>
      <c r="E37" s="49">
        <f>_xlfn.XLOOKUP(C37,Tab_Def_Flows[Name(EN)],Tab_Def_Flows[Output_Process],,0,)</f>
        <v>0</v>
      </c>
      <c r="F37" s="49" t="str">
        <f>_xlfn.XLOOKUP(C37,Tab_Def_Flows[Name(EN)],Tab_Def_Flows[Process_ID_O],,0,)</f>
        <v>21__</v>
      </c>
      <c r="G37" s="49">
        <f>_xlfn.XLOOKUP(C37,Tab_Def_Flows[Name(EN)],Tab_Def_Flows[Input_Process],,0,)</f>
        <v>0</v>
      </c>
      <c r="H37" s="61" t="str">
        <f>_xlfn.XLOOKUP(C37,Tab_Def_Flows[Name(EN)],Tab_Def_Flows[Process_ID_I],,0,)</f>
        <v>21__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c r="O37" s="88"/>
      <c r="P37" s="51"/>
      <c r="Q37" s="51"/>
      <c r="R37" s="51"/>
      <c r="S37" s="51"/>
      <c r="T37" s="51"/>
      <c r="U37" s="51"/>
      <c r="V37" s="51"/>
      <c r="W37" s="51"/>
      <c r="X37" s="51"/>
      <c r="Y37" s="109"/>
      <c r="Z37" s="51"/>
      <c r="AA37" s="89">
        <f t="shared" si="1"/>
        <v>0</v>
      </c>
      <c r="AB37" s="51" t="s">
        <v>63</v>
      </c>
      <c r="AC37" s="114" t="e">
        <f>INDEX(Tab_Def_Flows[[Flow_ID]:[CC_DM_source]],MATCH(Tab_Data_Flows[[#This Row],[Name(EN)]],Tab_Def_Flows[Name(EN)],0),16)</f>
        <v>#N/A</v>
      </c>
      <c r="AD37" s="115" t="str">
        <f>IF(J37="Yes",AA37*Tab_Data_Flows[[#This Row],[WC_'[%']]],"N.A.")</f>
        <v>N.A.</v>
      </c>
      <c r="AE37" s="61" t="str">
        <f>Tab_Data_Flows[[#This Row],[UoM_Flow_Py]]</f>
        <v>Mg</v>
      </c>
      <c r="AF37" s="114" t="e">
        <f>INDEX(Tab_Def_Flows[[Flow_ID]:[CC_DM_source]],MATCH(Tab_Data_Flows[[#This Row],[Name(EN)]],Tab_Def_Flows[Name(EN)],0),18)</f>
        <v>#N/A</v>
      </c>
      <c r="AG37" s="115" t="str">
        <f>IF(K37="Yes",AF37*Tab_Data_Flows[[#This Row],[Flow_Py]],"N.A.")</f>
        <v>N.A.</v>
      </c>
      <c r="AH37" s="61" t="str">
        <f>Tab_Data_Flows[[#This Row],[UoM_Flow_Py]]</f>
        <v>Mg</v>
      </c>
      <c r="AI37" s="114" t="e">
        <f>INDEX(Tab_Def_Flows[[Flow_ID]:[CC_DM_source]],MATCH(Tab_Data_Flows[[#This Row],[Name(EN)]],Tab_Def_Flows[Name(EN)],0),20)</f>
        <v>#N/A</v>
      </c>
      <c r="AJ37" s="115" t="str">
        <f>IF(L37="Yes",AI37*Tab_Data_Flows[[#This Row],[Flow_Py]],"N.A.")</f>
        <v>N.A.</v>
      </c>
      <c r="AK37" s="61" t="str">
        <f>Tab_Data_Flows[[#This Row],[UoM_Flow_Py]]</f>
        <v>Mg</v>
      </c>
    </row>
    <row r="38" spans="1:37" x14ac:dyDescent="0.35">
      <c r="A38" s="60">
        <f t="shared" si="0"/>
        <v>37</v>
      </c>
      <c r="B38" s="49" t="str">
        <f>_xlfn.XLOOKUP(C38,Tab_Def_Flows[Name(EN)],Tab_Def_Flows[Flow_ID],,0,)</f>
        <v>F_21_21</v>
      </c>
      <c r="C38" s="51"/>
      <c r="D38" s="49">
        <f>_xlfn.XLOOKUP(C38,Tab_Def_Flows[Name(EN)],Tab_Def_Flows[Type_Biomass],,0,)</f>
        <v>0</v>
      </c>
      <c r="E38" s="49">
        <f>_xlfn.XLOOKUP(C38,Tab_Def_Flows[Name(EN)],Tab_Def_Flows[Output_Process],,0,)</f>
        <v>0</v>
      </c>
      <c r="F38" s="49" t="str">
        <f>_xlfn.XLOOKUP(C38,Tab_Def_Flows[Name(EN)],Tab_Def_Flows[Process_ID_O],,0,)</f>
        <v>21__</v>
      </c>
      <c r="G38" s="49">
        <f>_xlfn.XLOOKUP(C38,Tab_Def_Flows[Name(EN)],Tab_Def_Flows[Input_Process],,0,)</f>
        <v>0</v>
      </c>
      <c r="H38" s="61" t="str">
        <f>_xlfn.XLOOKUP(C38,Tab_Def_Flows[Name(EN)],Tab_Def_Flows[Process_ID_I],,0,)</f>
        <v>21__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88"/>
      <c r="P38" s="51"/>
      <c r="Q38" s="51"/>
      <c r="R38" s="51"/>
      <c r="S38" s="51"/>
      <c r="T38" s="51"/>
      <c r="U38" s="51"/>
      <c r="V38" s="51"/>
      <c r="W38" s="51"/>
      <c r="X38" s="51"/>
      <c r="Y38" s="109"/>
      <c r="Z38" s="51"/>
      <c r="AA38" s="89">
        <f t="shared" si="1"/>
        <v>0</v>
      </c>
      <c r="AB38" s="51" t="s">
        <v>63</v>
      </c>
      <c r="AC38" s="114" t="e">
        <f>INDEX(Tab_Def_Flows[[Flow_ID]:[CC_DM_source]],MATCH(Tab_Data_Flows[[#This Row],[Name(EN)]],Tab_Def_Flows[Name(EN)],0),16)</f>
        <v>#N/A</v>
      </c>
      <c r="AD38" s="115" t="str">
        <f>IF(J38="Yes",AA38*Tab_Data_Flows[[#This Row],[WC_'[%']]],"N.A.")</f>
        <v>N.A.</v>
      </c>
      <c r="AE38" s="61" t="str">
        <f>Tab_Data_Flows[[#This Row],[UoM_Flow_Py]]</f>
        <v>Mg</v>
      </c>
      <c r="AF38" s="114" t="e">
        <f>INDEX(Tab_Def_Flows[[Flow_ID]:[CC_DM_source]],MATCH(Tab_Data_Flows[[#This Row],[Name(EN)]],Tab_Def_Flows[Name(EN)],0),18)</f>
        <v>#N/A</v>
      </c>
      <c r="AG38" s="115" t="str">
        <f>IF(K38="Yes",AF38*Tab_Data_Flows[[#This Row],[Flow_Py]],"N.A.")</f>
        <v>N.A.</v>
      </c>
      <c r="AH38" s="61" t="str">
        <f>Tab_Data_Flows[[#This Row],[UoM_Flow_Py]]</f>
        <v>Mg</v>
      </c>
      <c r="AI38" s="114" t="e">
        <f>INDEX(Tab_Def_Flows[[Flow_ID]:[CC_DM_source]],MATCH(Tab_Data_Flows[[#This Row],[Name(EN)]],Tab_Def_Flows[Name(EN)],0),20)</f>
        <v>#N/A</v>
      </c>
      <c r="AJ38" s="115" t="str">
        <f>IF(L38="Yes",AI38*Tab_Data_Flows[[#This Row],[Flow_Py]],"N.A.")</f>
        <v>N.A.</v>
      </c>
      <c r="AK38" s="61" t="str">
        <f>Tab_Data_Flows[[#This Row],[UoM_Flow_Py]]</f>
        <v>Mg</v>
      </c>
    </row>
    <row r="39" spans="1:37" x14ac:dyDescent="0.35">
      <c r="A39" s="60">
        <f t="shared" si="0"/>
        <v>38</v>
      </c>
      <c r="B39" s="49" t="str">
        <f>_xlfn.XLOOKUP(C39,Tab_Def_Flows[Name(EN)],Tab_Def_Flows[Flow_ID],,0,)</f>
        <v>F_21_21</v>
      </c>
      <c r="C39" s="51"/>
      <c r="D39" s="49">
        <f>_xlfn.XLOOKUP(C39,Tab_Def_Flows[Name(EN)],Tab_Def_Flows[Type_Biomass],,0,)</f>
        <v>0</v>
      </c>
      <c r="E39" s="49">
        <f>_xlfn.XLOOKUP(C39,Tab_Def_Flows[Name(EN)],Tab_Def_Flows[Output_Process],,0,)</f>
        <v>0</v>
      </c>
      <c r="F39" s="49" t="str">
        <f>_xlfn.XLOOKUP(C39,Tab_Def_Flows[Name(EN)],Tab_Def_Flows[Process_ID_O],,0,)</f>
        <v>21__</v>
      </c>
      <c r="G39" s="49">
        <f>_xlfn.XLOOKUP(C39,Tab_Def_Flows[Name(EN)],Tab_Def_Flows[Input_Process],,0,)</f>
        <v>0</v>
      </c>
      <c r="H39" s="61" t="str">
        <f>_xlfn.XLOOKUP(C39,Tab_Def_Flows[Name(EN)],Tab_Def_Flows[Process_ID_I],,0,)</f>
        <v>21__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88"/>
      <c r="P39" s="51"/>
      <c r="Q39" s="51"/>
      <c r="R39" s="51"/>
      <c r="S39" s="51"/>
      <c r="T39" s="51"/>
      <c r="U39" s="51"/>
      <c r="V39" s="51"/>
      <c r="W39" s="51"/>
      <c r="X39" s="51"/>
      <c r="Y39" s="109"/>
      <c r="Z39" s="51"/>
      <c r="AA39" s="89">
        <f t="shared" si="1"/>
        <v>0</v>
      </c>
      <c r="AB39" s="51" t="s">
        <v>63</v>
      </c>
      <c r="AC39" s="114" t="e">
        <f>INDEX(Tab_Def_Flows[[Flow_ID]:[CC_DM_source]],MATCH(Tab_Data_Flows[[#This Row],[Name(EN)]],Tab_Def_Flows[Name(EN)],0),16)</f>
        <v>#N/A</v>
      </c>
      <c r="AD39" s="115" t="str">
        <f>IF(J39="Yes",AA39*Tab_Data_Flows[[#This Row],[WC_'[%']]],"N.A.")</f>
        <v>N.A.</v>
      </c>
      <c r="AE39" s="61" t="str">
        <f>Tab_Data_Flows[[#This Row],[UoM_Flow_Py]]</f>
        <v>Mg</v>
      </c>
      <c r="AF39" s="114" t="e">
        <f>INDEX(Tab_Def_Flows[[Flow_ID]:[CC_DM_source]],MATCH(Tab_Data_Flows[[#This Row],[Name(EN)]],Tab_Def_Flows[Name(EN)],0),18)</f>
        <v>#N/A</v>
      </c>
      <c r="AG39" s="115" t="str">
        <f>IF(K39="Yes",AF39*Tab_Data_Flows[[#This Row],[Flow_Py]],"N.A.")</f>
        <v>N.A.</v>
      </c>
      <c r="AH39" s="61" t="str">
        <f>Tab_Data_Flows[[#This Row],[UoM_Flow_Py]]</f>
        <v>Mg</v>
      </c>
      <c r="AI39" s="114" t="e">
        <f>INDEX(Tab_Def_Flows[[Flow_ID]:[CC_DM_source]],MATCH(Tab_Data_Flows[[#This Row],[Name(EN)]],Tab_Def_Flows[Name(EN)],0),20)</f>
        <v>#N/A</v>
      </c>
      <c r="AJ39" s="115" t="str">
        <f>IF(L39="Yes",AI39*Tab_Data_Flows[[#This Row],[Flow_Py]],"N.A.")</f>
        <v>N.A.</v>
      </c>
      <c r="AK39" s="61" t="str">
        <f>Tab_Data_Flows[[#This Row],[UoM_Flow_Py]]</f>
        <v>Mg</v>
      </c>
    </row>
    <row r="40" spans="1:37" x14ac:dyDescent="0.35">
      <c r="A40" s="60">
        <f t="shared" si="0"/>
        <v>39</v>
      </c>
      <c r="B40" s="49" t="str">
        <f>_xlfn.XLOOKUP(C40,Tab_Def_Flows[Name(EN)],Tab_Def_Flows[Flow_ID],,0,)</f>
        <v>F_21_21</v>
      </c>
      <c r="C40" s="51"/>
      <c r="D40" s="49">
        <f>_xlfn.XLOOKUP(C40,Tab_Def_Flows[Name(EN)],Tab_Def_Flows[Type_Biomass],,0,)</f>
        <v>0</v>
      </c>
      <c r="E40" s="49">
        <f>_xlfn.XLOOKUP(C40,Tab_Def_Flows[Name(EN)],Tab_Def_Flows[Output_Process],,0,)</f>
        <v>0</v>
      </c>
      <c r="F40" s="49" t="str">
        <f>_xlfn.XLOOKUP(C40,Tab_Def_Flows[Name(EN)],Tab_Def_Flows[Process_ID_O],,0,)</f>
        <v>21__</v>
      </c>
      <c r="G40" s="49">
        <f>_xlfn.XLOOKUP(C40,Tab_Def_Flows[Name(EN)],Tab_Def_Flows[Input_Process],,0,)</f>
        <v>0</v>
      </c>
      <c r="H40" s="61" t="str">
        <f>_xlfn.XLOOKUP(C40,Tab_Def_Flows[Name(EN)],Tab_Def_Flows[Process_ID_I],,0,)</f>
        <v>21__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88"/>
      <c r="P40" s="51"/>
      <c r="Q40" s="51"/>
      <c r="R40" s="51"/>
      <c r="S40" s="51"/>
      <c r="T40" s="51"/>
      <c r="U40" s="51"/>
      <c r="V40" s="51"/>
      <c r="W40" s="51"/>
      <c r="X40" s="51"/>
      <c r="Y40" s="109"/>
      <c r="Z40" s="51"/>
      <c r="AA40" s="89">
        <f t="shared" si="1"/>
        <v>0</v>
      </c>
      <c r="AB40" s="51" t="s">
        <v>63</v>
      </c>
      <c r="AC40" s="114" t="e">
        <f>INDEX(Tab_Def_Flows[[Flow_ID]:[CC_DM_source]],MATCH(Tab_Data_Flows[[#This Row],[Name(EN)]],Tab_Def_Flows[Name(EN)],0),16)</f>
        <v>#N/A</v>
      </c>
      <c r="AD40" s="115" t="str">
        <f>IF(J40="Yes",AA40*Tab_Data_Flows[[#This Row],[WC_'[%']]],"N.A.")</f>
        <v>N.A.</v>
      </c>
      <c r="AE40" s="61" t="str">
        <f>Tab_Data_Flows[[#This Row],[UoM_Flow_Py]]</f>
        <v>Mg</v>
      </c>
      <c r="AF40" s="114" t="e">
        <f>INDEX(Tab_Def_Flows[[Flow_ID]:[CC_DM_source]],MATCH(Tab_Data_Flows[[#This Row],[Name(EN)]],Tab_Def_Flows[Name(EN)],0),18)</f>
        <v>#N/A</v>
      </c>
      <c r="AG40" s="115" t="str">
        <f>IF(K40="Yes",AF40*Tab_Data_Flows[[#This Row],[Flow_Py]],"N.A.")</f>
        <v>N.A.</v>
      </c>
      <c r="AH40" s="61" t="str">
        <f>Tab_Data_Flows[[#This Row],[UoM_Flow_Py]]</f>
        <v>Mg</v>
      </c>
      <c r="AI40" s="114" t="e">
        <f>INDEX(Tab_Def_Flows[[Flow_ID]:[CC_DM_source]],MATCH(Tab_Data_Flows[[#This Row],[Name(EN)]],Tab_Def_Flows[Name(EN)],0),20)</f>
        <v>#N/A</v>
      </c>
      <c r="AJ40" s="115" t="str">
        <f>IF(L40="Yes",AI40*Tab_Data_Flows[[#This Row],[Flow_Py]],"N.A.")</f>
        <v>N.A.</v>
      </c>
      <c r="AK40" s="61" t="str">
        <f>Tab_Data_Flows[[#This Row],[UoM_Flow_Py]]</f>
        <v>Mg</v>
      </c>
    </row>
    <row r="41" spans="1:37" x14ac:dyDescent="0.35">
      <c r="A41" s="60">
        <f t="shared" si="0"/>
        <v>40</v>
      </c>
      <c r="B41" s="49" t="str">
        <f>_xlfn.XLOOKUP(C41,Tab_Def_Flows[Name(EN)],Tab_Def_Flows[Flow_ID],,0,)</f>
        <v>F_21_21</v>
      </c>
      <c r="C41" s="51"/>
      <c r="D41" s="49">
        <f>_xlfn.XLOOKUP(C41,Tab_Def_Flows[Name(EN)],Tab_Def_Flows[Type_Biomass],,0,)</f>
        <v>0</v>
      </c>
      <c r="E41" s="49">
        <f>_xlfn.XLOOKUP(C41,Tab_Def_Flows[Name(EN)],Tab_Def_Flows[Output_Process],,0,)</f>
        <v>0</v>
      </c>
      <c r="F41" s="49" t="str">
        <f>_xlfn.XLOOKUP(C41,Tab_Def_Flows[Name(EN)],Tab_Def_Flows[Process_ID_O],,0,)</f>
        <v>21__</v>
      </c>
      <c r="G41" s="49">
        <f>_xlfn.XLOOKUP(C41,Tab_Def_Flows[Name(EN)],Tab_Def_Flows[Input_Process],,0,)</f>
        <v>0</v>
      </c>
      <c r="H41" s="61" t="str">
        <f>_xlfn.XLOOKUP(C41,Tab_Def_Flows[Name(EN)],Tab_Def_Flows[Process_ID_I],,0,)</f>
        <v>21__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88"/>
      <c r="P41" s="51"/>
      <c r="Q41" s="51"/>
      <c r="R41" s="51"/>
      <c r="S41" s="51"/>
      <c r="T41" s="51"/>
      <c r="U41" s="51"/>
      <c r="V41" s="51"/>
      <c r="W41" s="51"/>
      <c r="X41" s="51"/>
      <c r="Y41" s="109"/>
      <c r="Z41" s="51"/>
      <c r="AA41" s="89">
        <f t="shared" si="1"/>
        <v>0</v>
      </c>
      <c r="AB41" s="51" t="s">
        <v>63</v>
      </c>
      <c r="AC41" s="114" t="e">
        <f>INDEX(Tab_Def_Flows[[Flow_ID]:[CC_DM_source]],MATCH(Tab_Data_Flows[[#This Row],[Name(EN)]],Tab_Def_Flows[Name(EN)],0),16)</f>
        <v>#N/A</v>
      </c>
      <c r="AD41" s="115" t="str">
        <f>IF(J41="Yes",AA41*Tab_Data_Flows[[#This Row],[WC_'[%']]],"N.A.")</f>
        <v>N.A.</v>
      </c>
      <c r="AE41" s="61" t="str">
        <f>Tab_Data_Flows[[#This Row],[UoM_Flow_Py]]</f>
        <v>Mg</v>
      </c>
      <c r="AF41" s="114" t="e">
        <f>INDEX(Tab_Def_Flows[[Flow_ID]:[CC_DM_source]],MATCH(Tab_Data_Flows[[#This Row],[Name(EN)]],Tab_Def_Flows[Name(EN)],0),18)</f>
        <v>#N/A</v>
      </c>
      <c r="AG41" s="115" t="str">
        <f>IF(K41="Yes",AF41*Tab_Data_Flows[[#This Row],[Flow_Py]],"N.A.")</f>
        <v>N.A.</v>
      </c>
      <c r="AH41" s="61" t="str">
        <f>Tab_Data_Flows[[#This Row],[UoM_Flow_Py]]</f>
        <v>Mg</v>
      </c>
      <c r="AI41" s="114" t="e">
        <f>INDEX(Tab_Def_Flows[[Flow_ID]:[CC_DM_source]],MATCH(Tab_Data_Flows[[#This Row],[Name(EN)]],Tab_Def_Flows[Name(EN)],0),20)</f>
        <v>#N/A</v>
      </c>
      <c r="AJ41" s="115" t="str">
        <f>IF(L41="Yes",AI41*Tab_Data_Flows[[#This Row],[Flow_Py]],"N.A.")</f>
        <v>N.A.</v>
      </c>
      <c r="AK41" s="61" t="str">
        <f>Tab_Data_Flows[[#This Row],[UoM_Flow_Py]]</f>
        <v>Mg</v>
      </c>
    </row>
    <row r="42" spans="1:37" x14ac:dyDescent="0.35">
      <c r="A42" s="60">
        <f t="shared" si="0"/>
        <v>41</v>
      </c>
      <c r="B42" s="49" t="str">
        <f>_xlfn.XLOOKUP(C42,Tab_Def_Flows[Name(EN)],Tab_Def_Flows[Flow_ID],,0,)</f>
        <v>F_21_21</v>
      </c>
      <c r="C42" s="51"/>
      <c r="D42" s="49">
        <f>_xlfn.XLOOKUP(C42,Tab_Def_Flows[Name(EN)],Tab_Def_Flows[Type_Biomass],,0,)</f>
        <v>0</v>
      </c>
      <c r="E42" s="49">
        <f>_xlfn.XLOOKUP(C42,Tab_Def_Flows[Name(EN)],Tab_Def_Flows[Output_Process],,0,)</f>
        <v>0</v>
      </c>
      <c r="F42" s="49" t="str">
        <f>_xlfn.XLOOKUP(C42,Tab_Def_Flows[Name(EN)],Tab_Def_Flows[Process_ID_O],,0,)</f>
        <v>21__</v>
      </c>
      <c r="G42" s="49">
        <f>_xlfn.XLOOKUP(C42,Tab_Def_Flows[Name(EN)],Tab_Def_Flows[Input_Process],,0,)</f>
        <v>0</v>
      </c>
      <c r="H42" s="61" t="str">
        <f>_xlfn.XLOOKUP(C42,Tab_Def_Flows[Name(EN)],Tab_Def_Flows[Process_ID_I],,0,)</f>
        <v>21__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88"/>
      <c r="P42" s="51"/>
      <c r="Q42" s="51"/>
      <c r="R42" s="51"/>
      <c r="S42" s="51"/>
      <c r="T42" s="51"/>
      <c r="U42" s="51"/>
      <c r="V42" s="51"/>
      <c r="W42" s="51"/>
      <c r="X42" s="51"/>
      <c r="Y42" s="109"/>
      <c r="Z42" s="51"/>
      <c r="AA42" s="89">
        <f t="shared" si="1"/>
        <v>0</v>
      </c>
      <c r="AB42" s="51" t="s">
        <v>63</v>
      </c>
      <c r="AC42" s="114" t="e">
        <f>INDEX(Tab_Def_Flows[[Flow_ID]:[CC_DM_source]],MATCH(Tab_Data_Flows[[#This Row],[Name(EN)]],Tab_Def_Flows[Name(EN)],0),16)</f>
        <v>#N/A</v>
      </c>
      <c r="AD42" s="115" t="str">
        <f>IF(J42="Yes",AA42*Tab_Data_Flows[[#This Row],[WC_'[%']]],"N.A.")</f>
        <v>N.A.</v>
      </c>
      <c r="AE42" s="61" t="str">
        <f>Tab_Data_Flows[[#This Row],[UoM_Flow_Py]]</f>
        <v>Mg</v>
      </c>
      <c r="AF42" s="114" t="e">
        <f>INDEX(Tab_Def_Flows[[Flow_ID]:[CC_DM_source]],MATCH(Tab_Data_Flows[[#This Row],[Name(EN)]],Tab_Def_Flows[Name(EN)],0),18)</f>
        <v>#N/A</v>
      </c>
      <c r="AG42" s="115" t="str">
        <f>IF(K42="Yes",AF42*Tab_Data_Flows[[#This Row],[Flow_Py]],"N.A.")</f>
        <v>N.A.</v>
      </c>
      <c r="AH42" s="61" t="str">
        <f>Tab_Data_Flows[[#This Row],[UoM_Flow_Py]]</f>
        <v>Mg</v>
      </c>
      <c r="AI42" s="114" t="e">
        <f>INDEX(Tab_Def_Flows[[Flow_ID]:[CC_DM_source]],MATCH(Tab_Data_Flows[[#This Row],[Name(EN)]],Tab_Def_Flows[Name(EN)],0),20)</f>
        <v>#N/A</v>
      </c>
      <c r="AJ42" s="115" t="str">
        <f>IF(L42="Yes",AI42*Tab_Data_Flows[[#This Row],[Flow_Py]],"N.A.")</f>
        <v>N.A.</v>
      </c>
      <c r="AK42" s="61" t="str">
        <f>Tab_Data_Flows[[#This Row],[UoM_Flow_Py]]</f>
        <v>Mg</v>
      </c>
    </row>
    <row r="43" spans="1:37" x14ac:dyDescent="0.35">
      <c r="A43" s="60">
        <f t="shared" si="0"/>
        <v>42</v>
      </c>
      <c r="B43" s="49" t="str">
        <f>_xlfn.XLOOKUP(C43,Tab_Def_Flows[Name(EN)],Tab_Def_Flows[Flow_ID],,0,)</f>
        <v>F_21_21</v>
      </c>
      <c r="C43" s="51"/>
      <c r="D43" s="49">
        <f>_xlfn.XLOOKUP(C43,Tab_Def_Flows[Name(EN)],Tab_Def_Flows[Type_Biomass],,0,)</f>
        <v>0</v>
      </c>
      <c r="E43" s="49">
        <f>_xlfn.XLOOKUP(C43,Tab_Def_Flows[Name(EN)],Tab_Def_Flows[Output_Process],,0,)</f>
        <v>0</v>
      </c>
      <c r="F43" s="49" t="str">
        <f>_xlfn.XLOOKUP(C43,Tab_Def_Flows[Name(EN)],Tab_Def_Flows[Process_ID_O],,0,)</f>
        <v>21__</v>
      </c>
      <c r="G43" s="49">
        <f>_xlfn.XLOOKUP(C43,Tab_Def_Flows[Name(EN)],Tab_Def_Flows[Input_Process],,0,)</f>
        <v>0</v>
      </c>
      <c r="H43" s="61" t="str">
        <f>_xlfn.XLOOKUP(C43,Tab_Def_Flows[Name(EN)],Tab_Def_Flows[Process_ID_I],,0,)</f>
        <v>21__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88"/>
      <c r="P43" s="51"/>
      <c r="Q43" s="51"/>
      <c r="R43" s="51"/>
      <c r="S43" s="51"/>
      <c r="T43" s="51"/>
      <c r="U43" s="51"/>
      <c r="V43" s="51"/>
      <c r="W43" s="51"/>
      <c r="X43" s="51"/>
      <c r="Y43" s="109"/>
      <c r="Z43" s="51"/>
      <c r="AA43" s="89">
        <f t="shared" si="1"/>
        <v>0</v>
      </c>
      <c r="AB43" s="51" t="s">
        <v>63</v>
      </c>
      <c r="AC43" s="114" t="e">
        <f>INDEX(Tab_Def_Flows[[Flow_ID]:[CC_DM_source]],MATCH(Tab_Data_Flows[[#This Row],[Name(EN)]],Tab_Def_Flows[Name(EN)],0),16)</f>
        <v>#N/A</v>
      </c>
      <c r="AD43" s="115" t="str">
        <f>IF(J43="Yes",AA43*Tab_Data_Flows[[#This Row],[WC_'[%']]],"N.A.")</f>
        <v>N.A.</v>
      </c>
      <c r="AE43" s="61" t="str">
        <f>Tab_Data_Flows[[#This Row],[UoM_Flow_Py]]</f>
        <v>Mg</v>
      </c>
      <c r="AF43" s="114" t="e">
        <f>INDEX(Tab_Def_Flows[[Flow_ID]:[CC_DM_source]],MATCH(Tab_Data_Flows[[#This Row],[Name(EN)]],Tab_Def_Flows[Name(EN)],0),18)</f>
        <v>#N/A</v>
      </c>
      <c r="AG43" s="115" t="str">
        <f>IF(K43="Yes",AF43*Tab_Data_Flows[[#This Row],[Flow_Py]],"N.A.")</f>
        <v>N.A.</v>
      </c>
      <c r="AH43" s="61" t="str">
        <f>Tab_Data_Flows[[#This Row],[UoM_Flow_Py]]</f>
        <v>Mg</v>
      </c>
      <c r="AI43" s="114" t="e">
        <f>INDEX(Tab_Def_Flows[[Flow_ID]:[CC_DM_source]],MATCH(Tab_Data_Flows[[#This Row],[Name(EN)]],Tab_Def_Flows[Name(EN)],0),20)</f>
        <v>#N/A</v>
      </c>
      <c r="AJ43" s="115" t="str">
        <f>IF(L43="Yes",AI43*Tab_Data_Flows[[#This Row],[Flow_Py]],"N.A.")</f>
        <v>N.A.</v>
      </c>
      <c r="AK43" s="61" t="str">
        <f>Tab_Data_Flows[[#This Row],[UoM_Flow_Py]]</f>
        <v>Mg</v>
      </c>
    </row>
    <row r="44" spans="1:37" x14ac:dyDescent="0.35">
      <c r="A44" s="60">
        <f t="shared" si="0"/>
        <v>43</v>
      </c>
      <c r="B44" s="49" t="str">
        <f>_xlfn.XLOOKUP(C44,Tab_Def_Flows[Name(EN)],Tab_Def_Flows[Flow_ID],,0,)</f>
        <v>F_21_21</v>
      </c>
      <c r="C44" s="51"/>
      <c r="D44" s="49">
        <f>_xlfn.XLOOKUP(C44,Tab_Def_Flows[Name(EN)],Tab_Def_Flows[Type_Biomass],,0,)</f>
        <v>0</v>
      </c>
      <c r="E44" s="49">
        <f>_xlfn.XLOOKUP(C44,Tab_Def_Flows[Name(EN)],Tab_Def_Flows[Output_Process],,0,)</f>
        <v>0</v>
      </c>
      <c r="F44" s="49" t="str">
        <f>_xlfn.XLOOKUP(C44,Tab_Def_Flows[Name(EN)],Tab_Def_Flows[Process_ID_O],,0,)</f>
        <v>21__</v>
      </c>
      <c r="G44" s="49">
        <f>_xlfn.XLOOKUP(C44,Tab_Def_Flows[Name(EN)],Tab_Def_Flows[Input_Process],,0,)</f>
        <v>0</v>
      </c>
      <c r="H44" s="61" t="str">
        <f>_xlfn.XLOOKUP(C44,Tab_Def_Flows[Name(EN)],Tab_Def_Flows[Process_ID_I],,0,)</f>
        <v>21__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88"/>
      <c r="P44" s="51"/>
      <c r="Q44" s="51"/>
      <c r="R44" s="51"/>
      <c r="S44" s="51"/>
      <c r="T44" s="51"/>
      <c r="U44" s="51"/>
      <c r="V44" s="51"/>
      <c r="W44" s="51"/>
      <c r="X44" s="51"/>
      <c r="Y44" s="109"/>
      <c r="Z44" s="51"/>
      <c r="AA44" s="89">
        <f t="shared" si="1"/>
        <v>0</v>
      </c>
      <c r="AB44" s="51" t="s">
        <v>63</v>
      </c>
      <c r="AC44" s="114" t="e">
        <f>INDEX(Tab_Def_Flows[[Flow_ID]:[CC_DM_source]],MATCH(Tab_Data_Flows[[#This Row],[Name(EN)]],Tab_Def_Flows[Name(EN)],0),16)</f>
        <v>#N/A</v>
      </c>
      <c r="AD44" s="115" t="str">
        <f>IF(J44="Yes",AA44*Tab_Data_Flows[[#This Row],[WC_'[%']]],"N.A.")</f>
        <v>N.A.</v>
      </c>
      <c r="AE44" s="61" t="str">
        <f>Tab_Data_Flows[[#This Row],[UoM_Flow_Py]]</f>
        <v>Mg</v>
      </c>
      <c r="AF44" s="114" t="e">
        <f>INDEX(Tab_Def_Flows[[Flow_ID]:[CC_DM_source]],MATCH(Tab_Data_Flows[[#This Row],[Name(EN)]],Tab_Def_Flows[Name(EN)],0),18)</f>
        <v>#N/A</v>
      </c>
      <c r="AG44" s="115" t="str">
        <f>IF(K44="Yes",AF44*Tab_Data_Flows[[#This Row],[Flow_Py]],"N.A.")</f>
        <v>N.A.</v>
      </c>
      <c r="AH44" s="61" t="str">
        <f>Tab_Data_Flows[[#This Row],[UoM_Flow_Py]]</f>
        <v>Mg</v>
      </c>
      <c r="AI44" s="114" t="e">
        <f>INDEX(Tab_Def_Flows[[Flow_ID]:[CC_DM_source]],MATCH(Tab_Data_Flows[[#This Row],[Name(EN)]],Tab_Def_Flows[Name(EN)],0),20)</f>
        <v>#N/A</v>
      </c>
      <c r="AJ44" s="115" t="str">
        <f>IF(L44="Yes",AI44*Tab_Data_Flows[[#This Row],[Flow_Py]],"N.A.")</f>
        <v>N.A.</v>
      </c>
      <c r="AK44" s="61" t="str">
        <f>Tab_Data_Flows[[#This Row],[UoM_Flow_Py]]</f>
        <v>Mg</v>
      </c>
    </row>
    <row r="45" spans="1:37" x14ac:dyDescent="0.35">
      <c r="A45" s="60">
        <f t="shared" si="0"/>
        <v>44</v>
      </c>
      <c r="B45" s="49" t="str">
        <f>_xlfn.XLOOKUP(C45,Tab_Def_Flows[Name(EN)],Tab_Def_Flows[Flow_ID],,0,)</f>
        <v>F_21_21</v>
      </c>
      <c r="C45" s="51"/>
      <c r="D45" s="49">
        <f>_xlfn.XLOOKUP(C45,Tab_Def_Flows[Name(EN)],Tab_Def_Flows[Type_Biomass],,0,)</f>
        <v>0</v>
      </c>
      <c r="E45" s="49">
        <f>_xlfn.XLOOKUP(C45,Tab_Def_Flows[Name(EN)],Tab_Def_Flows[Output_Process],,0,)</f>
        <v>0</v>
      </c>
      <c r="F45" s="49" t="str">
        <f>_xlfn.XLOOKUP(C45,Tab_Def_Flows[Name(EN)],Tab_Def_Flows[Process_ID_O],,0,)</f>
        <v>21__</v>
      </c>
      <c r="G45" s="49">
        <f>_xlfn.XLOOKUP(C45,Tab_Def_Flows[Name(EN)],Tab_Def_Flows[Input_Process],,0,)</f>
        <v>0</v>
      </c>
      <c r="H45" s="61" t="str">
        <f>_xlfn.XLOOKUP(C45,Tab_Def_Flows[Name(EN)],Tab_Def_Flows[Process_ID_I],,0,)</f>
        <v>21__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88"/>
      <c r="P45" s="51"/>
      <c r="Q45" s="51"/>
      <c r="R45" s="51"/>
      <c r="S45" s="51"/>
      <c r="T45" s="51"/>
      <c r="U45" s="51"/>
      <c r="V45" s="51"/>
      <c r="W45" s="51"/>
      <c r="X45" s="51"/>
      <c r="Y45" s="109"/>
      <c r="Z45" s="51"/>
      <c r="AA45" s="89">
        <f t="shared" si="1"/>
        <v>0</v>
      </c>
      <c r="AB45" s="51" t="s">
        <v>63</v>
      </c>
      <c r="AC45" s="114" t="e">
        <f>INDEX(Tab_Def_Flows[[Flow_ID]:[CC_DM_source]],MATCH(Tab_Data_Flows[[#This Row],[Name(EN)]],Tab_Def_Flows[Name(EN)],0),16)</f>
        <v>#N/A</v>
      </c>
      <c r="AD45" s="115" t="str">
        <f>IF(J45="Yes",AA45*Tab_Data_Flows[[#This Row],[WC_'[%']]],"N.A.")</f>
        <v>N.A.</v>
      </c>
      <c r="AE45" s="61" t="str">
        <f>Tab_Data_Flows[[#This Row],[UoM_Flow_Py]]</f>
        <v>Mg</v>
      </c>
      <c r="AF45" s="114" t="e">
        <f>INDEX(Tab_Def_Flows[[Flow_ID]:[CC_DM_source]],MATCH(Tab_Data_Flows[[#This Row],[Name(EN)]],Tab_Def_Flows[Name(EN)],0),18)</f>
        <v>#N/A</v>
      </c>
      <c r="AG45" s="115" t="str">
        <f>IF(K45="Yes",AF45*Tab_Data_Flows[[#This Row],[Flow_Py]],"N.A.")</f>
        <v>N.A.</v>
      </c>
      <c r="AH45" s="61" t="str">
        <f>Tab_Data_Flows[[#This Row],[UoM_Flow_Py]]</f>
        <v>Mg</v>
      </c>
      <c r="AI45" s="114" t="e">
        <f>INDEX(Tab_Def_Flows[[Flow_ID]:[CC_DM_source]],MATCH(Tab_Data_Flows[[#This Row],[Name(EN)]],Tab_Def_Flows[Name(EN)],0),20)</f>
        <v>#N/A</v>
      </c>
      <c r="AJ45" s="115" t="str">
        <f>IF(L45="Yes",AI45*Tab_Data_Flows[[#This Row],[Flow_Py]],"N.A.")</f>
        <v>N.A.</v>
      </c>
      <c r="AK45" s="61" t="str">
        <f>Tab_Data_Flows[[#This Row],[UoM_Flow_Py]]</f>
        <v>Mg</v>
      </c>
    </row>
    <row r="46" spans="1:37" x14ac:dyDescent="0.35">
      <c r="A46" s="60">
        <f t="shared" si="0"/>
        <v>45</v>
      </c>
      <c r="B46" s="49" t="str">
        <f>_xlfn.XLOOKUP(C46,Tab_Def_Flows[Name(EN)],Tab_Def_Flows[Flow_ID],,0,)</f>
        <v>F_21_21</v>
      </c>
      <c r="C46" s="51"/>
      <c r="D46" s="49">
        <f>_xlfn.XLOOKUP(C46,Tab_Def_Flows[Name(EN)],Tab_Def_Flows[Type_Biomass],,0,)</f>
        <v>0</v>
      </c>
      <c r="E46" s="49">
        <f>_xlfn.XLOOKUP(C46,Tab_Def_Flows[Name(EN)],Tab_Def_Flows[Output_Process],,0,)</f>
        <v>0</v>
      </c>
      <c r="F46" s="49" t="str">
        <f>_xlfn.XLOOKUP(C46,Tab_Def_Flows[Name(EN)],Tab_Def_Flows[Process_ID_O],,0,)</f>
        <v>21__</v>
      </c>
      <c r="G46" s="49">
        <f>_xlfn.XLOOKUP(C46,Tab_Def_Flows[Name(EN)],Tab_Def_Flows[Input_Process],,0,)</f>
        <v>0</v>
      </c>
      <c r="H46" s="61" t="str">
        <f>_xlfn.XLOOKUP(C46,Tab_Def_Flows[Name(EN)],Tab_Def_Flows[Process_ID_I],,0,)</f>
        <v>21__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88"/>
      <c r="P46" s="51"/>
      <c r="Q46" s="51"/>
      <c r="R46" s="51"/>
      <c r="S46" s="51"/>
      <c r="T46" s="51"/>
      <c r="U46" s="51"/>
      <c r="V46" s="51"/>
      <c r="W46" s="51"/>
      <c r="X46" s="51"/>
      <c r="Y46" s="109"/>
      <c r="Z46" s="51"/>
      <c r="AA46" s="89">
        <f t="shared" si="1"/>
        <v>0</v>
      </c>
      <c r="AB46" s="51" t="s">
        <v>63</v>
      </c>
      <c r="AC46" s="114" t="e">
        <f>INDEX(Tab_Def_Flows[[Flow_ID]:[CC_DM_source]],MATCH(Tab_Data_Flows[[#This Row],[Name(EN)]],Tab_Def_Flows[Name(EN)],0),16)</f>
        <v>#N/A</v>
      </c>
      <c r="AD46" s="115" t="str">
        <f>IF(J46="Yes",AA46*Tab_Data_Flows[[#This Row],[WC_'[%']]],"N.A.")</f>
        <v>N.A.</v>
      </c>
      <c r="AE46" s="61" t="str">
        <f>Tab_Data_Flows[[#This Row],[UoM_Flow_Py]]</f>
        <v>Mg</v>
      </c>
      <c r="AF46" s="114" t="e">
        <f>INDEX(Tab_Def_Flows[[Flow_ID]:[CC_DM_source]],MATCH(Tab_Data_Flows[[#This Row],[Name(EN)]],Tab_Def_Flows[Name(EN)],0),18)</f>
        <v>#N/A</v>
      </c>
      <c r="AG46" s="115" t="str">
        <f>IF(K46="Yes",AF46*Tab_Data_Flows[[#This Row],[Flow_Py]],"N.A.")</f>
        <v>N.A.</v>
      </c>
      <c r="AH46" s="61" t="str">
        <f>Tab_Data_Flows[[#This Row],[UoM_Flow_Py]]</f>
        <v>Mg</v>
      </c>
      <c r="AI46" s="114" t="e">
        <f>INDEX(Tab_Def_Flows[[Flow_ID]:[CC_DM_source]],MATCH(Tab_Data_Flows[[#This Row],[Name(EN)]],Tab_Def_Flows[Name(EN)],0),20)</f>
        <v>#N/A</v>
      </c>
      <c r="AJ46" s="115" t="str">
        <f>IF(L46="Yes",AI46*Tab_Data_Flows[[#This Row],[Flow_Py]],"N.A.")</f>
        <v>N.A.</v>
      </c>
      <c r="AK46" s="61" t="str">
        <f>Tab_Data_Flows[[#This Row],[UoM_Flow_Py]]</f>
        <v>Mg</v>
      </c>
    </row>
    <row r="47" spans="1:37" x14ac:dyDescent="0.35">
      <c r="A47" s="60">
        <f t="shared" si="0"/>
        <v>46</v>
      </c>
      <c r="B47" s="49" t="str">
        <f>_xlfn.XLOOKUP(C47,Tab_Def_Flows[Name(EN)],Tab_Def_Flows[Flow_ID],,0,)</f>
        <v>F_21_21</v>
      </c>
      <c r="C47" s="51"/>
      <c r="D47" s="49">
        <f>_xlfn.XLOOKUP(C47,Tab_Def_Flows[Name(EN)],Tab_Def_Flows[Type_Biomass],,0,)</f>
        <v>0</v>
      </c>
      <c r="E47" s="49">
        <f>_xlfn.XLOOKUP(C47,Tab_Def_Flows[Name(EN)],Tab_Def_Flows[Output_Process],,0,)</f>
        <v>0</v>
      </c>
      <c r="F47" s="49" t="str">
        <f>_xlfn.XLOOKUP(C47,Tab_Def_Flows[Name(EN)],Tab_Def_Flows[Process_ID_O],,0,)</f>
        <v>21__</v>
      </c>
      <c r="G47" s="49">
        <f>_xlfn.XLOOKUP(C47,Tab_Def_Flows[Name(EN)],Tab_Def_Flows[Input_Process],,0,)</f>
        <v>0</v>
      </c>
      <c r="H47" s="61" t="str">
        <f>_xlfn.XLOOKUP(C47,Tab_Def_Flows[Name(EN)],Tab_Def_Flows[Process_ID_I],,0,)</f>
        <v>21__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88"/>
      <c r="P47" s="51"/>
      <c r="Q47" s="51"/>
      <c r="R47" s="51"/>
      <c r="S47" s="51"/>
      <c r="T47" s="51"/>
      <c r="U47" s="51"/>
      <c r="V47" s="51"/>
      <c r="W47" s="51"/>
      <c r="X47" s="51"/>
      <c r="Y47" s="109"/>
      <c r="Z47" s="51"/>
      <c r="AA47" s="89">
        <f t="shared" si="1"/>
        <v>0</v>
      </c>
      <c r="AB47" s="51" t="s">
        <v>63</v>
      </c>
      <c r="AC47" s="114" t="e">
        <f>INDEX(Tab_Def_Flows[[Flow_ID]:[CC_DM_source]],MATCH(Tab_Data_Flows[[#This Row],[Name(EN)]],Tab_Def_Flows[Name(EN)],0),16)</f>
        <v>#N/A</v>
      </c>
      <c r="AD47" s="115" t="str">
        <f>IF(J47="Yes",AA47*Tab_Data_Flows[[#This Row],[WC_'[%']]],"N.A.")</f>
        <v>N.A.</v>
      </c>
      <c r="AE47" s="61" t="str">
        <f>Tab_Data_Flows[[#This Row],[UoM_Flow_Py]]</f>
        <v>Mg</v>
      </c>
      <c r="AF47" s="114" t="e">
        <f>INDEX(Tab_Def_Flows[[Flow_ID]:[CC_DM_source]],MATCH(Tab_Data_Flows[[#This Row],[Name(EN)]],Tab_Def_Flows[Name(EN)],0),18)</f>
        <v>#N/A</v>
      </c>
      <c r="AG47" s="115" t="str">
        <f>IF(K47="Yes",AF47*Tab_Data_Flows[[#This Row],[Flow_Py]],"N.A.")</f>
        <v>N.A.</v>
      </c>
      <c r="AH47" s="61" t="str">
        <f>Tab_Data_Flows[[#This Row],[UoM_Flow_Py]]</f>
        <v>Mg</v>
      </c>
      <c r="AI47" s="114" t="e">
        <f>INDEX(Tab_Def_Flows[[Flow_ID]:[CC_DM_source]],MATCH(Tab_Data_Flows[[#This Row],[Name(EN)]],Tab_Def_Flows[Name(EN)],0),20)</f>
        <v>#N/A</v>
      </c>
      <c r="AJ47" s="115" t="str">
        <f>IF(L47="Yes",AI47*Tab_Data_Flows[[#This Row],[Flow_Py]],"N.A.")</f>
        <v>N.A.</v>
      </c>
      <c r="AK47" s="61" t="str">
        <f>Tab_Data_Flows[[#This Row],[UoM_Flow_Py]]</f>
        <v>Mg</v>
      </c>
    </row>
    <row r="48" spans="1:37" x14ac:dyDescent="0.35">
      <c r="A48" s="60">
        <f t="shared" si="0"/>
        <v>47</v>
      </c>
      <c r="B48" s="49" t="str">
        <f>_xlfn.XLOOKUP(C48,Tab_Def_Flows[Name(EN)],Tab_Def_Flows[Flow_ID],,0,)</f>
        <v>F_21_21</v>
      </c>
      <c r="C48" s="51"/>
      <c r="D48" s="49">
        <f>_xlfn.XLOOKUP(C48,Tab_Def_Flows[Name(EN)],Tab_Def_Flows[Type_Biomass],,0,)</f>
        <v>0</v>
      </c>
      <c r="E48" s="49">
        <f>_xlfn.XLOOKUP(C48,Tab_Def_Flows[Name(EN)],Tab_Def_Flows[Output_Process],,0,)</f>
        <v>0</v>
      </c>
      <c r="F48" s="49" t="str">
        <f>_xlfn.XLOOKUP(C48,Tab_Def_Flows[Name(EN)],Tab_Def_Flows[Process_ID_O],,0,)</f>
        <v>21__</v>
      </c>
      <c r="G48" s="49">
        <f>_xlfn.XLOOKUP(C48,Tab_Def_Flows[Name(EN)],Tab_Def_Flows[Input_Process],,0,)</f>
        <v>0</v>
      </c>
      <c r="H48" s="61" t="str">
        <f>_xlfn.XLOOKUP(C48,Tab_Def_Flows[Name(EN)],Tab_Def_Flows[Process_ID_I],,0,)</f>
        <v>21__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88"/>
      <c r="P48" s="51"/>
      <c r="Q48" s="51"/>
      <c r="R48" s="51"/>
      <c r="S48" s="51"/>
      <c r="T48" s="51"/>
      <c r="U48" s="51"/>
      <c r="V48" s="51"/>
      <c r="W48" s="51"/>
      <c r="X48" s="51"/>
      <c r="Y48" s="109"/>
      <c r="Z48" s="51"/>
      <c r="AA48" s="89">
        <f t="shared" si="1"/>
        <v>0</v>
      </c>
      <c r="AB48" s="51" t="s">
        <v>63</v>
      </c>
      <c r="AC48" s="114" t="e">
        <f>INDEX(Tab_Def_Flows[[Flow_ID]:[CC_DM_source]],MATCH(Tab_Data_Flows[[#This Row],[Name(EN)]],Tab_Def_Flows[Name(EN)],0),16)</f>
        <v>#N/A</v>
      </c>
      <c r="AD48" s="115" t="str">
        <f>IF(J48="Yes",AA48*Tab_Data_Flows[[#This Row],[WC_'[%']]],"N.A.")</f>
        <v>N.A.</v>
      </c>
      <c r="AE48" s="61" t="str">
        <f>Tab_Data_Flows[[#This Row],[UoM_Flow_Py]]</f>
        <v>Mg</v>
      </c>
      <c r="AF48" s="114" t="e">
        <f>INDEX(Tab_Def_Flows[[Flow_ID]:[CC_DM_source]],MATCH(Tab_Data_Flows[[#This Row],[Name(EN)]],Tab_Def_Flows[Name(EN)],0),18)</f>
        <v>#N/A</v>
      </c>
      <c r="AG48" s="115" t="str">
        <f>IF(K48="Yes",AF48*Tab_Data_Flows[[#This Row],[Flow_Py]],"N.A.")</f>
        <v>N.A.</v>
      </c>
      <c r="AH48" s="61" t="str">
        <f>Tab_Data_Flows[[#This Row],[UoM_Flow_Py]]</f>
        <v>Mg</v>
      </c>
      <c r="AI48" s="114" t="e">
        <f>INDEX(Tab_Def_Flows[[Flow_ID]:[CC_DM_source]],MATCH(Tab_Data_Flows[[#This Row],[Name(EN)]],Tab_Def_Flows[Name(EN)],0),20)</f>
        <v>#N/A</v>
      </c>
      <c r="AJ48" s="115" t="str">
        <f>IF(L48="Yes",AI48*Tab_Data_Flows[[#This Row],[Flow_Py]],"N.A.")</f>
        <v>N.A.</v>
      </c>
      <c r="AK48" s="61" t="str">
        <f>Tab_Data_Flows[[#This Row],[UoM_Flow_Py]]</f>
        <v>Mg</v>
      </c>
    </row>
    <row r="49" spans="1:37" x14ac:dyDescent="0.35">
      <c r="A49" s="60">
        <f t="shared" si="0"/>
        <v>48</v>
      </c>
      <c r="B49" s="49" t="str">
        <f>_xlfn.XLOOKUP(C49,Tab_Def_Flows[Name(EN)],Tab_Def_Flows[Flow_ID],,0,)</f>
        <v>F_21_21</v>
      </c>
      <c r="C49" s="51"/>
      <c r="D49" s="49">
        <f>_xlfn.XLOOKUP(C49,Tab_Def_Flows[Name(EN)],Tab_Def_Flows[Type_Biomass],,0,)</f>
        <v>0</v>
      </c>
      <c r="E49" s="49">
        <f>_xlfn.XLOOKUP(C49,Tab_Def_Flows[Name(EN)],Tab_Def_Flows[Output_Process],,0,)</f>
        <v>0</v>
      </c>
      <c r="F49" s="49" t="str">
        <f>_xlfn.XLOOKUP(C49,Tab_Def_Flows[Name(EN)],Tab_Def_Flows[Process_ID_O],,0,)</f>
        <v>21__</v>
      </c>
      <c r="G49" s="49">
        <f>_xlfn.XLOOKUP(C49,Tab_Def_Flows[Name(EN)],Tab_Def_Flows[Input_Process],,0,)</f>
        <v>0</v>
      </c>
      <c r="H49" s="61" t="str">
        <f>_xlfn.XLOOKUP(C49,Tab_Def_Flows[Name(EN)],Tab_Def_Flows[Process_ID_I],,0,)</f>
        <v>21__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88"/>
      <c r="P49" s="51"/>
      <c r="Q49" s="51"/>
      <c r="R49" s="51"/>
      <c r="S49" s="51"/>
      <c r="T49" s="51"/>
      <c r="U49" s="51"/>
      <c r="V49" s="51"/>
      <c r="W49" s="51"/>
      <c r="X49" s="51"/>
      <c r="Y49" s="109"/>
      <c r="Z49" s="51"/>
      <c r="AA49" s="89">
        <f t="shared" si="1"/>
        <v>0</v>
      </c>
      <c r="AB49" s="51" t="s">
        <v>63</v>
      </c>
      <c r="AC49" s="114" t="e">
        <f>INDEX(Tab_Def_Flows[[Flow_ID]:[CC_DM_source]],MATCH(Tab_Data_Flows[[#This Row],[Name(EN)]],Tab_Def_Flows[Name(EN)],0),16)</f>
        <v>#N/A</v>
      </c>
      <c r="AD49" s="115" t="str">
        <f>IF(J49="Yes",AA49*Tab_Data_Flows[[#This Row],[WC_'[%']]],"N.A.")</f>
        <v>N.A.</v>
      </c>
      <c r="AE49" s="61" t="str">
        <f>Tab_Data_Flows[[#This Row],[UoM_Flow_Py]]</f>
        <v>Mg</v>
      </c>
      <c r="AF49" s="114" t="e">
        <f>INDEX(Tab_Def_Flows[[Flow_ID]:[CC_DM_source]],MATCH(Tab_Data_Flows[[#This Row],[Name(EN)]],Tab_Def_Flows[Name(EN)],0),18)</f>
        <v>#N/A</v>
      </c>
      <c r="AG49" s="115" t="str">
        <f>IF(K49="Yes",AF49*Tab_Data_Flows[[#This Row],[Flow_Py]],"N.A.")</f>
        <v>N.A.</v>
      </c>
      <c r="AH49" s="61" t="str">
        <f>Tab_Data_Flows[[#This Row],[UoM_Flow_Py]]</f>
        <v>Mg</v>
      </c>
      <c r="AI49" s="114" t="e">
        <f>INDEX(Tab_Def_Flows[[Flow_ID]:[CC_DM_source]],MATCH(Tab_Data_Flows[[#This Row],[Name(EN)]],Tab_Def_Flows[Name(EN)],0),20)</f>
        <v>#N/A</v>
      </c>
      <c r="AJ49" s="115" t="str">
        <f>IF(L49="Yes",AI49*Tab_Data_Flows[[#This Row],[Flow_Py]],"N.A.")</f>
        <v>N.A.</v>
      </c>
      <c r="AK49" s="61" t="str">
        <f>Tab_Data_Flows[[#This Row],[UoM_Flow_Py]]</f>
        <v>Mg</v>
      </c>
    </row>
    <row r="50" spans="1:37" x14ac:dyDescent="0.35">
      <c r="A50" s="60">
        <f t="shared" si="0"/>
        <v>49</v>
      </c>
      <c r="B50" s="49" t="str">
        <f>_xlfn.XLOOKUP(C50,Tab_Def_Flows[Name(EN)],Tab_Def_Flows[Flow_ID],,0,)</f>
        <v>F_21_21</v>
      </c>
      <c r="C50" s="51"/>
      <c r="D50" s="49">
        <f>_xlfn.XLOOKUP(C50,Tab_Def_Flows[Name(EN)],Tab_Def_Flows[Type_Biomass],,0,)</f>
        <v>0</v>
      </c>
      <c r="E50" s="49">
        <f>_xlfn.XLOOKUP(C50,Tab_Def_Flows[Name(EN)],Tab_Def_Flows[Output_Process],,0,)</f>
        <v>0</v>
      </c>
      <c r="F50" s="49" t="str">
        <f>_xlfn.XLOOKUP(C50,Tab_Def_Flows[Name(EN)],Tab_Def_Flows[Process_ID_O],,0,)</f>
        <v>21__</v>
      </c>
      <c r="G50" s="49">
        <f>_xlfn.XLOOKUP(C50,Tab_Def_Flows[Name(EN)],Tab_Def_Flows[Input_Process],,0,)</f>
        <v>0</v>
      </c>
      <c r="H50" s="61" t="str">
        <f>_xlfn.XLOOKUP(C50,Tab_Def_Flows[Name(EN)],Tab_Def_Flows[Process_ID_I],,0,)</f>
        <v>21__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88"/>
      <c r="P50" s="51"/>
      <c r="Q50" s="51"/>
      <c r="R50" s="51"/>
      <c r="S50" s="51"/>
      <c r="T50" s="51"/>
      <c r="U50" s="51"/>
      <c r="V50" s="51"/>
      <c r="W50" s="51"/>
      <c r="X50" s="51"/>
      <c r="Y50" s="109"/>
      <c r="Z50" s="51"/>
      <c r="AA50" s="89">
        <f t="shared" si="1"/>
        <v>0</v>
      </c>
      <c r="AB50" s="51" t="s">
        <v>63</v>
      </c>
      <c r="AC50" s="114" t="e">
        <f>INDEX(Tab_Def_Flows[[Flow_ID]:[CC_DM_source]],MATCH(Tab_Data_Flows[[#This Row],[Name(EN)]],Tab_Def_Flows[Name(EN)],0),16)</f>
        <v>#N/A</v>
      </c>
      <c r="AD50" s="115" t="str">
        <f>IF(J50="Yes",AA50*Tab_Data_Flows[[#This Row],[WC_'[%']]],"N.A.")</f>
        <v>N.A.</v>
      </c>
      <c r="AE50" s="61" t="str">
        <f>Tab_Data_Flows[[#This Row],[UoM_Flow_Py]]</f>
        <v>Mg</v>
      </c>
      <c r="AF50" s="114" t="e">
        <f>INDEX(Tab_Def_Flows[[Flow_ID]:[CC_DM_source]],MATCH(Tab_Data_Flows[[#This Row],[Name(EN)]],Tab_Def_Flows[Name(EN)],0),18)</f>
        <v>#N/A</v>
      </c>
      <c r="AG50" s="115" t="str">
        <f>IF(K50="Yes",AF50*Tab_Data_Flows[[#This Row],[Flow_Py]],"N.A.")</f>
        <v>N.A.</v>
      </c>
      <c r="AH50" s="61" t="str">
        <f>Tab_Data_Flows[[#This Row],[UoM_Flow_Py]]</f>
        <v>Mg</v>
      </c>
      <c r="AI50" s="114" t="e">
        <f>INDEX(Tab_Def_Flows[[Flow_ID]:[CC_DM_source]],MATCH(Tab_Data_Flows[[#This Row],[Name(EN)]],Tab_Def_Flows[Name(EN)],0),20)</f>
        <v>#N/A</v>
      </c>
      <c r="AJ50" s="115" t="str">
        <f>IF(L50="Yes",AI50*Tab_Data_Flows[[#This Row],[Flow_Py]],"N.A.")</f>
        <v>N.A.</v>
      </c>
      <c r="AK50" s="61" t="str">
        <f>Tab_Data_Flows[[#This Row],[UoM_Flow_Py]]</f>
        <v>Mg</v>
      </c>
    </row>
    <row r="51" spans="1:37" x14ac:dyDescent="0.35">
      <c r="A51" s="60">
        <f t="shared" si="0"/>
        <v>50</v>
      </c>
      <c r="B51" s="49" t="str">
        <f>_xlfn.XLOOKUP(C51,Tab_Def_Flows[Name(EN)],Tab_Def_Flows[Flow_ID],,0,)</f>
        <v>F_21_21</v>
      </c>
      <c r="C51" s="51"/>
      <c r="D51" s="49">
        <f>_xlfn.XLOOKUP(C51,Tab_Def_Flows[Name(EN)],Tab_Def_Flows[Type_Biomass],,0,)</f>
        <v>0</v>
      </c>
      <c r="E51" s="49">
        <f>_xlfn.XLOOKUP(C51,Tab_Def_Flows[Name(EN)],Tab_Def_Flows[Output_Process],,0,)</f>
        <v>0</v>
      </c>
      <c r="F51" s="49" t="str">
        <f>_xlfn.XLOOKUP(C51,Tab_Def_Flows[Name(EN)],Tab_Def_Flows[Process_ID_O],,0,)</f>
        <v>21__</v>
      </c>
      <c r="G51" s="49">
        <f>_xlfn.XLOOKUP(C51,Tab_Def_Flows[Name(EN)],Tab_Def_Flows[Input_Process],,0,)</f>
        <v>0</v>
      </c>
      <c r="H51" s="61" t="str">
        <f>_xlfn.XLOOKUP(C51,Tab_Def_Flows[Name(EN)],Tab_Def_Flows[Process_ID_I],,0,)</f>
        <v>21__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88"/>
      <c r="P51" s="51"/>
      <c r="Q51" s="51"/>
      <c r="R51" s="51"/>
      <c r="S51" s="51"/>
      <c r="T51" s="51"/>
      <c r="U51" s="51"/>
      <c r="V51" s="51"/>
      <c r="W51" s="51"/>
      <c r="X51" s="51"/>
      <c r="Y51" s="109"/>
      <c r="Z51" s="51"/>
      <c r="AA51" s="89">
        <f t="shared" si="1"/>
        <v>0</v>
      </c>
      <c r="AB51" s="51" t="s">
        <v>63</v>
      </c>
      <c r="AC51" s="114" t="e">
        <f>INDEX(Tab_Def_Flows[[Flow_ID]:[CC_DM_source]],MATCH(Tab_Data_Flows[[#This Row],[Name(EN)]],Tab_Def_Flows[Name(EN)],0),16)</f>
        <v>#N/A</v>
      </c>
      <c r="AD51" s="115" t="str">
        <f>IF(J51="Yes",AA51*Tab_Data_Flows[[#This Row],[WC_'[%']]],"N.A.")</f>
        <v>N.A.</v>
      </c>
      <c r="AE51" s="61" t="str">
        <f>Tab_Data_Flows[[#This Row],[UoM_Flow_Py]]</f>
        <v>Mg</v>
      </c>
      <c r="AF51" s="114" t="e">
        <f>INDEX(Tab_Def_Flows[[Flow_ID]:[CC_DM_source]],MATCH(Tab_Data_Flows[[#This Row],[Name(EN)]],Tab_Def_Flows[Name(EN)],0),18)</f>
        <v>#N/A</v>
      </c>
      <c r="AG51" s="115" t="str">
        <f>IF(K51="Yes",AF51*Tab_Data_Flows[[#This Row],[Flow_Py]],"N.A.")</f>
        <v>N.A.</v>
      </c>
      <c r="AH51" s="61" t="str">
        <f>Tab_Data_Flows[[#This Row],[UoM_Flow_Py]]</f>
        <v>Mg</v>
      </c>
      <c r="AI51" s="114" t="e">
        <f>INDEX(Tab_Def_Flows[[Flow_ID]:[CC_DM_source]],MATCH(Tab_Data_Flows[[#This Row],[Name(EN)]],Tab_Def_Flows[Name(EN)],0),20)</f>
        <v>#N/A</v>
      </c>
      <c r="AJ51" s="115" t="str">
        <f>IF(L51="Yes",AI51*Tab_Data_Flows[[#This Row],[Flow_Py]],"N.A.")</f>
        <v>N.A.</v>
      </c>
      <c r="AK51" s="61" t="str">
        <f>Tab_Data_Flows[[#This Row],[UoM_Flow_Py]]</f>
        <v>Mg</v>
      </c>
    </row>
    <row r="52" spans="1:37" x14ac:dyDescent="0.35">
      <c r="A52" s="60">
        <f t="shared" si="0"/>
        <v>51</v>
      </c>
      <c r="B52" s="49" t="str">
        <f>_xlfn.XLOOKUP(C52,Tab_Def_Flows[Name(EN)],Tab_Def_Flows[Flow_ID],,0,)</f>
        <v>F_21_21</v>
      </c>
      <c r="C52" s="51"/>
      <c r="D52" s="49">
        <f>_xlfn.XLOOKUP(C52,Tab_Def_Flows[Name(EN)],Tab_Def_Flows[Type_Biomass],,0,)</f>
        <v>0</v>
      </c>
      <c r="E52" s="49">
        <f>_xlfn.XLOOKUP(C52,Tab_Def_Flows[Name(EN)],Tab_Def_Flows[Output_Process],,0,)</f>
        <v>0</v>
      </c>
      <c r="F52" s="49" t="str">
        <f>_xlfn.XLOOKUP(C52,Tab_Def_Flows[Name(EN)],Tab_Def_Flows[Process_ID_O],,0,)</f>
        <v>21__</v>
      </c>
      <c r="G52" s="49">
        <f>_xlfn.XLOOKUP(C52,Tab_Def_Flows[Name(EN)],Tab_Def_Flows[Input_Process],,0,)</f>
        <v>0</v>
      </c>
      <c r="H52" s="61" t="str">
        <f>_xlfn.XLOOKUP(C52,Tab_Def_Flows[Name(EN)],Tab_Def_Flows[Process_ID_I],,0,)</f>
        <v>21__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88"/>
      <c r="P52" s="51"/>
      <c r="Q52" s="51"/>
      <c r="R52" s="51"/>
      <c r="S52" s="51"/>
      <c r="T52" s="51"/>
      <c r="U52" s="51"/>
      <c r="V52" s="51"/>
      <c r="W52" s="51"/>
      <c r="X52" s="51"/>
      <c r="Y52" s="109"/>
      <c r="Z52" s="51"/>
      <c r="AA52" s="89">
        <f t="shared" si="1"/>
        <v>0</v>
      </c>
      <c r="AB52" s="51" t="s">
        <v>63</v>
      </c>
      <c r="AC52" s="114" t="e">
        <f>INDEX(Tab_Def_Flows[[Flow_ID]:[CC_DM_source]],MATCH(Tab_Data_Flows[[#This Row],[Name(EN)]],Tab_Def_Flows[Name(EN)],0),16)</f>
        <v>#N/A</v>
      </c>
      <c r="AD52" s="115" t="str">
        <f>IF(J52="Yes",AA52*Tab_Data_Flows[[#This Row],[WC_'[%']]],"N.A.")</f>
        <v>N.A.</v>
      </c>
      <c r="AE52" s="61" t="str">
        <f>Tab_Data_Flows[[#This Row],[UoM_Flow_Py]]</f>
        <v>Mg</v>
      </c>
      <c r="AF52" s="114" t="e">
        <f>INDEX(Tab_Def_Flows[[Flow_ID]:[CC_DM_source]],MATCH(Tab_Data_Flows[[#This Row],[Name(EN)]],Tab_Def_Flows[Name(EN)],0),18)</f>
        <v>#N/A</v>
      </c>
      <c r="AG52" s="115" t="str">
        <f>IF(K52="Yes",AF52*Tab_Data_Flows[[#This Row],[Flow_Py]],"N.A.")</f>
        <v>N.A.</v>
      </c>
      <c r="AH52" s="61" t="str">
        <f>Tab_Data_Flows[[#This Row],[UoM_Flow_Py]]</f>
        <v>Mg</v>
      </c>
      <c r="AI52" s="114" t="e">
        <f>INDEX(Tab_Def_Flows[[Flow_ID]:[CC_DM_source]],MATCH(Tab_Data_Flows[[#This Row],[Name(EN)]],Tab_Def_Flows[Name(EN)],0),20)</f>
        <v>#N/A</v>
      </c>
      <c r="AJ52" s="115" t="str">
        <f>IF(L52="Yes",AI52*Tab_Data_Flows[[#This Row],[Flow_Py]],"N.A.")</f>
        <v>N.A.</v>
      </c>
      <c r="AK52" s="61" t="str">
        <f>Tab_Data_Flows[[#This Row],[UoM_Flow_Py]]</f>
        <v>Mg</v>
      </c>
    </row>
    <row r="53" spans="1:37" x14ac:dyDescent="0.35">
      <c r="A53" s="60">
        <f t="shared" si="0"/>
        <v>52</v>
      </c>
      <c r="B53" s="49" t="str">
        <f>_xlfn.XLOOKUP(C53,Tab_Def_Flows[Name(EN)],Tab_Def_Flows[Flow_ID],,0,)</f>
        <v>F_21_21</v>
      </c>
      <c r="C53" s="51"/>
      <c r="D53" s="49">
        <f>_xlfn.XLOOKUP(C53,Tab_Def_Flows[Name(EN)],Tab_Def_Flows[Type_Biomass],,0,)</f>
        <v>0</v>
      </c>
      <c r="E53" s="49">
        <f>_xlfn.XLOOKUP(C53,Tab_Def_Flows[Name(EN)],Tab_Def_Flows[Output_Process],,0,)</f>
        <v>0</v>
      </c>
      <c r="F53" s="49" t="str">
        <f>_xlfn.XLOOKUP(C53,Tab_Def_Flows[Name(EN)],Tab_Def_Flows[Process_ID_O],,0,)</f>
        <v>21__</v>
      </c>
      <c r="G53" s="49">
        <f>_xlfn.XLOOKUP(C53,Tab_Def_Flows[Name(EN)],Tab_Def_Flows[Input_Process],,0,)</f>
        <v>0</v>
      </c>
      <c r="H53" s="61" t="str">
        <f>_xlfn.XLOOKUP(C53,Tab_Def_Flows[Name(EN)],Tab_Def_Flows[Process_ID_I],,0,)</f>
        <v>21__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88"/>
      <c r="P53" s="51"/>
      <c r="Q53" s="51"/>
      <c r="R53" s="51"/>
      <c r="S53" s="51"/>
      <c r="T53" s="51"/>
      <c r="U53" s="51"/>
      <c r="V53" s="51"/>
      <c r="W53" s="51"/>
      <c r="X53" s="51"/>
      <c r="Y53" s="109"/>
      <c r="Z53" s="51"/>
      <c r="AA53" s="89">
        <f t="shared" si="1"/>
        <v>0</v>
      </c>
      <c r="AB53" s="51" t="s">
        <v>63</v>
      </c>
      <c r="AC53" s="114" t="e">
        <f>INDEX(Tab_Def_Flows[[Flow_ID]:[CC_DM_source]],MATCH(Tab_Data_Flows[[#This Row],[Name(EN)]],Tab_Def_Flows[Name(EN)],0),16)</f>
        <v>#N/A</v>
      </c>
      <c r="AD53" s="115" t="str">
        <f>IF(J53="Yes",AA53*Tab_Data_Flows[[#This Row],[WC_'[%']]],"N.A.")</f>
        <v>N.A.</v>
      </c>
      <c r="AE53" s="61" t="str">
        <f>Tab_Data_Flows[[#This Row],[UoM_Flow_Py]]</f>
        <v>Mg</v>
      </c>
      <c r="AF53" s="114" t="e">
        <f>INDEX(Tab_Def_Flows[[Flow_ID]:[CC_DM_source]],MATCH(Tab_Data_Flows[[#This Row],[Name(EN)]],Tab_Def_Flows[Name(EN)],0),18)</f>
        <v>#N/A</v>
      </c>
      <c r="AG53" s="115" t="str">
        <f>IF(K53="Yes",AF53*Tab_Data_Flows[[#This Row],[Flow_Py]],"N.A.")</f>
        <v>N.A.</v>
      </c>
      <c r="AH53" s="61" t="str">
        <f>Tab_Data_Flows[[#This Row],[UoM_Flow_Py]]</f>
        <v>Mg</v>
      </c>
      <c r="AI53" s="114" t="e">
        <f>INDEX(Tab_Def_Flows[[Flow_ID]:[CC_DM_source]],MATCH(Tab_Data_Flows[[#This Row],[Name(EN)]],Tab_Def_Flows[Name(EN)],0),20)</f>
        <v>#N/A</v>
      </c>
      <c r="AJ53" s="115" t="str">
        <f>IF(L53="Yes",AI53*Tab_Data_Flows[[#This Row],[Flow_Py]],"N.A.")</f>
        <v>N.A.</v>
      </c>
      <c r="AK53" s="61" t="str">
        <f>Tab_Data_Flows[[#This Row],[UoM_Flow_Py]]</f>
        <v>Mg</v>
      </c>
    </row>
    <row r="54" spans="1:37" x14ac:dyDescent="0.35">
      <c r="A54" s="60">
        <f t="shared" si="0"/>
        <v>53</v>
      </c>
      <c r="B54" s="49" t="str">
        <f>_xlfn.XLOOKUP(C54,Tab_Def_Flows[Name(EN)],Tab_Def_Flows[Flow_ID],,0,)</f>
        <v>F_21_21</v>
      </c>
      <c r="C54" s="51"/>
      <c r="D54" s="49">
        <f>_xlfn.XLOOKUP(C54,Tab_Def_Flows[Name(EN)],Tab_Def_Flows[Type_Biomass],,0,)</f>
        <v>0</v>
      </c>
      <c r="E54" s="49">
        <f>_xlfn.XLOOKUP(C54,Tab_Def_Flows[Name(EN)],Tab_Def_Flows[Output_Process],,0,)</f>
        <v>0</v>
      </c>
      <c r="F54" s="49" t="str">
        <f>_xlfn.XLOOKUP(C54,Tab_Def_Flows[Name(EN)],Tab_Def_Flows[Process_ID_O],,0,)</f>
        <v>21__</v>
      </c>
      <c r="G54" s="49">
        <f>_xlfn.XLOOKUP(C54,Tab_Def_Flows[Name(EN)],Tab_Def_Flows[Input_Process],,0,)</f>
        <v>0</v>
      </c>
      <c r="H54" s="61" t="str">
        <f>_xlfn.XLOOKUP(C54,Tab_Def_Flows[Name(EN)],Tab_Def_Flows[Process_ID_I],,0,)</f>
        <v>21__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88"/>
      <c r="P54" s="51"/>
      <c r="Q54" s="51"/>
      <c r="R54" s="51"/>
      <c r="S54" s="51"/>
      <c r="T54" s="51"/>
      <c r="U54" s="51"/>
      <c r="V54" s="51"/>
      <c r="W54" s="51"/>
      <c r="X54" s="51"/>
      <c r="Y54" s="109"/>
      <c r="Z54" s="51"/>
      <c r="AA54" s="89">
        <f t="shared" si="1"/>
        <v>0</v>
      </c>
      <c r="AB54" s="51" t="s">
        <v>63</v>
      </c>
      <c r="AC54" s="114" t="e">
        <f>INDEX(Tab_Def_Flows[[Flow_ID]:[CC_DM_source]],MATCH(Tab_Data_Flows[[#This Row],[Name(EN)]],Tab_Def_Flows[Name(EN)],0),16)</f>
        <v>#N/A</v>
      </c>
      <c r="AD54" s="115" t="str">
        <f>IF(J54="Yes",AA54*Tab_Data_Flows[[#This Row],[WC_'[%']]],"N.A.")</f>
        <v>N.A.</v>
      </c>
      <c r="AE54" s="61" t="str">
        <f>Tab_Data_Flows[[#This Row],[UoM_Flow_Py]]</f>
        <v>Mg</v>
      </c>
      <c r="AF54" s="114" t="e">
        <f>INDEX(Tab_Def_Flows[[Flow_ID]:[CC_DM_source]],MATCH(Tab_Data_Flows[[#This Row],[Name(EN)]],Tab_Def_Flows[Name(EN)],0),18)</f>
        <v>#N/A</v>
      </c>
      <c r="AG54" s="115" t="str">
        <f>IF(K54="Yes",AF54*Tab_Data_Flows[[#This Row],[Flow_Py]],"N.A.")</f>
        <v>N.A.</v>
      </c>
      <c r="AH54" s="61" t="str">
        <f>Tab_Data_Flows[[#This Row],[UoM_Flow_Py]]</f>
        <v>Mg</v>
      </c>
      <c r="AI54" s="114" t="e">
        <f>INDEX(Tab_Def_Flows[[Flow_ID]:[CC_DM_source]],MATCH(Tab_Data_Flows[[#This Row],[Name(EN)]],Tab_Def_Flows[Name(EN)],0),20)</f>
        <v>#N/A</v>
      </c>
      <c r="AJ54" s="115" t="str">
        <f>IF(L54="Yes",AI54*Tab_Data_Flows[[#This Row],[Flow_Py]],"N.A.")</f>
        <v>N.A.</v>
      </c>
      <c r="AK54" s="61" t="str">
        <f>Tab_Data_Flows[[#This Row],[UoM_Flow_Py]]</f>
        <v>Mg</v>
      </c>
    </row>
    <row r="55" spans="1:37" x14ac:dyDescent="0.35">
      <c r="A55" s="60">
        <f t="shared" si="0"/>
        <v>54</v>
      </c>
      <c r="B55" s="49" t="str">
        <f>_xlfn.XLOOKUP(C55,Tab_Def_Flows[Name(EN)],Tab_Def_Flows[Flow_ID],,0,)</f>
        <v>F_21_21</v>
      </c>
      <c r="C55" s="51"/>
      <c r="D55" s="49">
        <f>_xlfn.XLOOKUP(C55,Tab_Def_Flows[Name(EN)],Tab_Def_Flows[Type_Biomass],,0,)</f>
        <v>0</v>
      </c>
      <c r="E55" s="49">
        <f>_xlfn.XLOOKUP(C55,Tab_Def_Flows[Name(EN)],Tab_Def_Flows[Output_Process],,0,)</f>
        <v>0</v>
      </c>
      <c r="F55" s="49" t="str">
        <f>_xlfn.XLOOKUP(C55,Tab_Def_Flows[Name(EN)],Tab_Def_Flows[Process_ID_O],,0,)</f>
        <v>21__</v>
      </c>
      <c r="G55" s="49">
        <f>_xlfn.XLOOKUP(C55,Tab_Def_Flows[Name(EN)],Tab_Def_Flows[Input_Process],,0,)</f>
        <v>0</v>
      </c>
      <c r="H55" s="61" t="str">
        <f>_xlfn.XLOOKUP(C55,Tab_Def_Flows[Name(EN)],Tab_Def_Flows[Process_ID_I],,0,)</f>
        <v>21__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88"/>
      <c r="P55" s="51"/>
      <c r="Q55" s="51"/>
      <c r="R55" s="51"/>
      <c r="S55" s="51"/>
      <c r="T55" s="51"/>
      <c r="U55" s="51"/>
      <c r="V55" s="51"/>
      <c r="W55" s="51"/>
      <c r="X55" s="51"/>
      <c r="Y55" s="109"/>
      <c r="Z55" s="51"/>
      <c r="AA55" s="89">
        <f t="shared" si="1"/>
        <v>0</v>
      </c>
      <c r="AB55" s="51" t="s">
        <v>63</v>
      </c>
      <c r="AC55" s="114" t="e">
        <f>INDEX(Tab_Def_Flows[[Flow_ID]:[CC_DM_source]],MATCH(Tab_Data_Flows[[#This Row],[Name(EN)]],Tab_Def_Flows[Name(EN)],0),16)</f>
        <v>#N/A</v>
      </c>
      <c r="AD55" s="115" t="str">
        <f>IF(J55="Yes",AA55*Tab_Data_Flows[[#This Row],[WC_'[%']]],"N.A.")</f>
        <v>N.A.</v>
      </c>
      <c r="AE55" s="61" t="str">
        <f>Tab_Data_Flows[[#This Row],[UoM_Flow_Py]]</f>
        <v>Mg</v>
      </c>
      <c r="AF55" s="114" t="e">
        <f>INDEX(Tab_Def_Flows[[Flow_ID]:[CC_DM_source]],MATCH(Tab_Data_Flows[[#This Row],[Name(EN)]],Tab_Def_Flows[Name(EN)],0),18)</f>
        <v>#N/A</v>
      </c>
      <c r="AG55" s="115" t="str">
        <f>IF(K55="Yes",AF55*Tab_Data_Flows[[#This Row],[Flow_Py]],"N.A.")</f>
        <v>N.A.</v>
      </c>
      <c r="AH55" s="61" t="str">
        <f>Tab_Data_Flows[[#This Row],[UoM_Flow_Py]]</f>
        <v>Mg</v>
      </c>
      <c r="AI55" s="114" t="e">
        <f>INDEX(Tab_Def_Flows[[Flow_ID]:[CC_DM_source]],MATCH(Tab_Data_Flows[[#This Row],[Name(EN)]],Tab_Def_Flows[Name(EN)],0),20)</f>
        <v>#N/A</v>
      </c>
      <c r="AJ55" s="115" t="str">
        <f>IF(L55="Yes",AI55*Tab_Data_Flows[[#This Row],[Flow_Py]],"N.A.")</f>
        <v>N.A.</v>
      </c>
      <c r="AK55" s="61" t="str">
        <f>Tab_Data_Flows[[#This Row],[UoM_Flow_Py]]</f>
        <v>Mg</v>
      </c>
    </row>
    <row r="56" spans="1:37" x14ac:dyDescent="0.35">
      <c r="A56" s="60">
        <f t="shared" si="0"/>
        <v>55</v>
      </c>
      <c r="B56" s="49" t="str">
        <f>_xlfn.XLOOKUP(C56,Tab_Def_Flows[Name(EN)],Tab_Def_Flows[Flow_ID],,0,)</f>
        <v>F_21_21</v>
      </c>
      <c r="C56" s="51"/>
      <c r="D56" s="49">
        <f>_xlfn.XLOOKUP(C56,Tab_Def_Flows[Name(EN)],Tab_Def_Flows[Type_Biomass],,0,)</f>
        <v>0</v>
      </c>
      <c r="E56" s="49">
        <f>_xlfn.XLOOKUP(C56,Tab_Def_Flows[Name(EN)],Tab_Def_Flows[Output_Process],,0,)</f>
        <v>0</v>
      </c>
      <c r="F56" s="49" t="str">
        <f>_xlfn.XLOOKUP(C56,Tab_Def_Flows[Name(EN)],Tab_Def_Flows[Process_ID_O],,0,)</f>
        <v>21__</v>
      </c>
      <c r="G56" s="49">
        <f>_xlfn.XLOOKUP(C56,Tab_Def_Flows[Name(EN)],Tab_Def_Flows[Input_Process],,0,)</f>
        <v>0</v>
      </c>
      <c r="H56" s="61" t="str">
        <f>_xlfn.XLOOKUP(C56,Tab_Def_Flows[Name(EN)],Tab_Def_Flows[Process_ID_I],,0,)</f>
        <v>21__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88"/>
      <c r="P56" s="51"/>
      <c r="Q56" s="51"/>
      <c r="R56" s="51"/>
      <c r="S56" s="51"/>
      <c r="T56" s="51"/>
      <c r="U56" s="51"/>
      <c r="V56" s="51"/>
      <c r="W56" s="51"/>
      <c r="X56" s="51"/>
      <c r="Y56" s="109"/>
      <c r="Z56" s="51"/>
      <c r="AA56" s="89">
        <f t="shared" si="1"/>
        <v>0</v>
      </c>
      <c r="AB56" s="51" t="s">
        <v>63</v>
      </c>
      <c r="AC56" s="114" t="e">
        <f>INDEX(Tab_Def_Flows[[Flow_ID]:[CC_DM_source]],MATCH(Tab_Data_Flows[[#This Row],[Name(EN)]],Tab_Def_Flows[Name(EN)],0),16)</f>
        <v>#N/A</v>
      </c>
      <c r="AD56" s="115" t="str">
        <f>IF(J56="Yes",AA56*Tab_Data_Flows[[#This Row],[WC_'[%']]],"N.A.")</f>
        <v>N.A.</v>
      </c>
      <c r="AE56" s="61" t="str">
        <f>Tab_Data_Flows[[#This Row],[UoM_Flow_Py]]</f>
        <v>Mg</v>
      </c>
      <c r="AF56" s="114" t="e">
        <f>INDEX(Tab_Def_Flows[[Flow_ID]:[CC_DM_source]],MATCH(Tab_Data_Flows[[#This Row],[Name(EN)]],Tab_Def_Flows[Name(EN)],0),18)</f>
        <v>#N/A</v>
      </c>
      <c r="AG56" s="115" t="str">
        <f>IF(K56="Yes",AF56*Tab_Data_Flows[[#This Row],[Flow_Py]],"N.A.")</f>
        <v>N.A.</v>
      </c>
      <c r="AH56" s="61" t="str">
        <f>Tab_Data_Flows[[#This Row],[UoM_Flow_Py]]</f>
        <v>Mg</v>
      </c>
      <c r="AI56" s="114" t="e">
        <f>INDEX(Tab_Def_Flows[[Flow_ID]:[CC_DM_source]],MATCH(Tab_Data_Flows[[#This Row],[Name(EN)]],Tab_Def_Flows[Name(EN)],0),20)</f>
        <v>#N/A</v>
      </c>
      <c r="AJ56" s="115" t="str">
        <f>IF(L56="Yes",AI56*Tab_Data_Flows[[#This Row],[Flow_Py]],"N.A.")</f>
        <v>N.A.</v>
      </c>
      <c r="AK56" s="61" t="str">
        <f>Tab_Data_Flows[[#This Row],[UoM_Flow_Py]]</f>
        <v>Mg</v>
      </c>
    </row>
    <row r="57" spans="1:37" x14ac:dyDescent="0.35">
      <c r="A57" s="60">
        <f t="shared" si="0"/>
        <v>56</v>
      </c>
      <c r="B57" s="49" t="str">
        <f>_xlfn.XLOOKUP(C57,Tab_Def_Flows[Name(EN)],Tab_Def_Flows[Flow_ID],,0,)</f>
        <v>F_21_21</v>
      </c>
      <c r="C57" s="51"/>
      <c r="D57" s="49">
        <f>_xlfn.XLOOKUP(C57,Tab_Def_Flows[Name(EN)],Tab_Def_Flows[Type_Biomass],,0,)</f>
        <v>0</v>
      </c>
      <c r="E57" s="49">
        <f>_xlfn.XLOOKUP(C57,Tab_Def_Flows[Name(EN)],Tab_Def_Flows[Output_Process],,0,)</f>
        <v>0</v>
      </c>
      <c r="F57" s="49" t="str">
        <f>_xlfn.XLOOKUP(C57,Tab_Def_Flows[Name(EN)],Tab_Def_Flows[Process_ID_O],,0,)</f>
        <v>21__</v>
      </c>
      <c r="G57" s="49">
        <f>_xlfn.XLOOKUP(C57,Tab_Def_Flows[Name(EN)],Tab_Def_Flows[Input_Process],,0,)</f>
        <v>0</v>
      </c>
      <c r="H57" s="61" t="str">
        <f>_xlfn.XLOOKUP(C57,Tab_Def_Flows[Name(EN)],Tab_Def_Flows[Process_ID_I],,0,)</f>
        <v>21__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88"/>
      <c r="P57" s="51"/>
      <c r="Q57" s="51"/>
      <c r="R57" s="51"/>
      <c r="S57" s="51"/>
      <c r="T57" s="51"/>
      <c r="U57" s="51"/>
      <c r="V57" s="51"/>
      <c r="W57" s="51"/>
      <c r="X57" s="51"/>
      <c r="Y57" s="109"/>
      <c r="Z57" s="51"/>
      <c r="AA57" s="89">
        <f t="shared" si="1"/>
        <v>0</v>
      </c>
      <c r="AB57" s="51" t="s">
        <v>63</v>
      </c>
      <c r="AC57" s="114" t="e">
        <f>INDEX(Tab_Def_Flows[[Flow_ID]:[CC_DM_source]],MATCH(Tab_Data_Flows[[#This Row],[Name(EN)]],Tab_Def_Flows[Name(EN)],0),16)</f>
        <v>#N/A</v>
      </c>
      <c r="AD57" s="115" t="str">
        <f>IF(J57="Yes",AA57*Tab_Data_Flows[[#This Row],[WC_'[%']]],"N.A.")</f>
        <v>N.A.</v>
      </c>
      <c r="AE57" s="61" t="str">
        <f>Tab_Data_Flows[[#This Row],[UoM_Flow_Py]]</f>
        <v>Mg</v>
      </c>
      <c r="AF57" s="114" t="e">
        <f>INDEX(Tab_Def_Flows[[Flow_ID]:[CC_DM_source]],MATCH(Tab_Data_Flows[[#This Row],[Name(EN)]],Tab_Def_Flows[Name(EN)],0),18)</f>
        <v>#N/A</v>
      </c>
      <c r="AG57" s="115" t="str">
        <f>IF(K57="Yes",AF57*Tab_Data_Flows[[#This Row],[Flow_Py]],"N.A.")</f>
        <v>N.A.</v>
      </c>
      <c r="AH57" s="61" t="str">
        <f>Tab_Data_Flows[[#This Row],[UoM_Flow_Py]]</f>
        <v>Mg</v>
      </c>
      <c r="AI57" s="114" t="e">
        <f>INDEX(Tab_Def_Flows[[Flow_ID]:[CC_DM_source]],MATCH(Tab_Data_Flows[[#This Row],[Name(EN)]],Tab_Def_Flows[Name(EN)],0),20)</f>
        <v>#N/A</v>
      </c>
      <c r="AJ57" s="115" t="str">
        <f>IF(L57="Yes",AI57*Tab_Data_Flows[[#This Row],[Flow_Py]],"N.A.")</f>
        <v>N.A.</v>
      </c>
      <c r="AK57" s="61" t="str">
        <f>Tab_Data_Flows[[#This Row],[UoM_Flow_Py]]</f>
        <v>Mg</v>
      </c>
    </row>
    <row r="58" spans="1:37" x14ac:dyDescent="0.35">
      <c r="A58" s="60">
        <f t="shared" si="0"/>
        <v>57</v>
      </c>
      <c r="B58" s="49" t="str">
        <f>_xlfn.XLOOKUP(C58,Tab_Def_Flows[Name(EN)],Tab_Def_Flows[Flow_ID],,0,)</f>
        <v>F_21_21</v>
      </c>
      <c r="C58" s="51"/>
      <c r="D58" s="49">
        <f>_xlfn.XLOOKUP(C58,Tab_Def_Flows[Name(EN)],Tab_Def_Flows[Type_Biomass],,0,)</f>
        <v>0</v>
      </c>
      <c r="E58" s="49">
        <f>_xlfn.XLOOKUP(C58,Tab_Def_Flows[Name(EN)],Tab_Def_Flows[Output_Process],,0,)</f>
        <v>0</v>
      </c>
      <c r="F58" s="49" t="str">
        <f>_xlfn.XLOOKUP(C58,Tab_Def_Flows[Name(EN)],Tab_Def_Flows[Process_ID_O],,0,)</f>
        <v>21__</v>
      </c>
      <c r="G58" s="49">
        <f>_xlfn.XLOOKUP(C58,Tab_Def_Flows[Name(EN)],Tab_Def_Flows[Input_Process],,0,)</f>
        <v>0</v>
      </c>
      <c r="H58" s="61" t="str">
        <f>_xlfn.XLOOKUP(C58,Tab_Def_Flows[Name(EN)],Tab_Def_Flows[Process_ID_I],,0,)</f>
        <v>21__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88"/>
      <c r="P58" s="51"/>
      <c r="Q58" s="51"/>
      <c r="R58" s="51"/>
      <c r="S58" s="51"/>
      <c r="T58" s="51"/>
      <c r="U58" s="51"/>
      <c r="V58" s="51"/>
      <c r="W58" s="51"/>
      <c r="X58" s="51"/>
      <c r="Y58" s="109"/>
      <c r="Z58" s="51"/>
      <c r="AA58" s="89">
        <f t="shared" si="1"/>
        <v>0</v>
      </c>
      <c r="AB58" s="51" t="s">
        <v>63</v>
      </c>
      <c r="AC58" s="114" t="e">
        <f>INDEX(Tab_Def_Flows[[Flow_ID]:[CC_DM_source]],MATCH(Tab_Data_Flows[[#This Row],[Name(EN)]],Tab_Def_Flows[Name(EN)],0),16)</f>
        <v>#N/A</v>
      </c>
      <c r="AD58" s="115" t="str">
        <f>IF(J58="Yes",AA58*Tab_Data_Flows[[#This Row],[WC_'[%']]],"N.A.")</f>
        <v>N.A.</v>
      </c>
      <c r="AE58" s="61" t="str">
        <f>Tab_Data_Flows[[#This Row],[UoM_Flow_Py]]</f>
        <v>Mg</v>
      </c>
      <c r="AF58" s="114" t="e">
        <f>INDEX(Tab_Def_Flows[[Flow_ID]:[CC_DM_source]],MATCH(Tab_Data_Flows[[#This Row],[Name(EN)]],Tab_Def_Flows[Name(EN)],0),18)</f>
        <v>#N/A</v>
      </c>
      <c r="AG58" s="115" t="str">
        <f>IF(K58="Yes",AF58*Tab_Data_Flows[[#This Row],[Flow_Py]],"N.A.")</f>
        <v>N.A.</v>
      </c>
      <c r="AH58" s="61" t="str">
        <f>Tab_Data_Flows[[#This Row],[UoM_Flow_Py]]</f>
        <v>Mg</v>
      </c>
      <c r="AI58" s="114" t="e">
        <f>INDEX(Tab_Def_Flows[[Flow_ID]:[CC_DM_source]],MATCH(Tab_Data_Flows[[#This Row],[Name(EN)]],Tab_Def_Flows[Name(EN)],0),20)</f>
        <v>#N/A</v>
      </c>
      <c r="AJ58" s="115" t="str">
        <f>IF(L58="Yes",AI58*Tab_Data_Flows[[#This Row],[Flow_Py]],"N.A.")</f>
        <v>N.A.</v>
      </c>
      <c r="AK58" s="61" t="str">
        <f>Tab_Data_Flows[[#This Row],[UoM_Flow_Py]]</f>
        <v>Mg</v>
      </c>
    </row>
    <row r="59" spans="1:37" x14ac:dyDescent="0.35">
      <c r="A59" s="60">
        <f t="shared" si="0"/>
        <v>58</v>
      </c>
      <c r="B59" s="49" t="str">
        <f>_xlfn.XLOOKUP(C59,Tab_Def_Flows[Name(EN)],Tab_Def_Flows[Flow_ID],,0,)</f>
        <v>F_21_21</v>
      </c>
      <c r="C59" s="51"/>
      <c r="D59" s="49">
        <f>_xlfn.XLOOKUP(C59,Tab_Def_Flows[Name(EN)],Tab_Def_Flows[Type_Biomass],,0,)</f>
        <v>0</v>
      </c>
      <c r="E59" s="49">
        <f>_xlfn.XLOOKUP(C59,Tab_Def_Flows[Name(EN)],Tab_Def_Flows[Output_Process],,0,)</f>
        <v>0</v>
      </c>
      <c r="F59" s="49" t="str">
        <f>_xlfn.XLOOKUP(C59,Tab_Def_Flows[Name(EN)],Tab_Def_Flows[Process_ID_O],,0,)</f>
        <v>21__</v>
      </c>
      <c r="G59" s="49">
        <f>_xlfn.XLOOKUP(C59,Tab_Def_Flows[Name(EN)],Tab_Def_Flows[Input_Process],,0,)</f>
        <v>0</v>
      </c>
      <c r="H59" s="61" t="str">
        <f>_xlfn.XLOOKUP(C59,Tab_Def_Flows[Name(EN)],Tab_Def_Flows[Process_ID_I],,0,)</f>
        <v>21__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88"/>
      <c r="P59" s="51"/>
      <c r="Q59" s="51"/>
      <c r="R59" s="51"/>
      <c r="S59" s="51"/>
      <c r="T59" s="51"/>
      <c r="U59" s="51"/>
      <c r="V59" s="51"/>
      <c r="W59" s="51"/>
      <c r="X59" s="51"/>
      <c r="Y59" s="109"/>
      <c r="Z59" s="51"/>
      <c r="AA59" s="89">
        <f t="shared" si="1"/>
        <v>0</v>
      </c>
      <c r="AB59" s="51" t="s">
        <v>63</v>
      </c>
      <c r="AC59" s="114" t="e">
        <f>INDEX(Tab_Def_Flows[[Flow_ID]:[CC_DM_source]],MATCH(Tab_Data_Flows[[#This Row],[Name(EN)]],Tab_Def_Flows[Name(EN)],0),16)</f>
        <v>#N/A</v>
      </c>
      <c r="AD59" s="115" t="str">
        <f>IF(J59="Yes",AA59*Tab_Data_Flows[[#This Row],[WC_'[%']]],"N.A.")</f>
        <v>N.A.</v>
      </c>
      <c r="AE59" s="61" t="str">
        <f>Tab_Data_Flows[[#This Row],[UoM_Flow_Py]]</f>
        <v>Mg</v>
      </c>
      <c r="AF59" s="114" t="e">
        <f>INDEX(Tab_Def_Flows[[Flow_ID]:[CC_DM_source]],MATCH(Tab_Data_Flows[[#This Row],[Name(EN)]],Tab_Def_Flows[Name(EN)],0),18)</f>
        <v>#N/A</v>
      </c>
      <c r="AG59" s="115" t="str">
        <f>IF(K59="Yes",AF59*Tab_Data_Flows[[#This Row],[Flow_Py]],"N.A.")</f>
        <v>N.A.</v>
      </c>
      <c r="AH59" s="61" t="str">
        <f>Tab_Data_Flows[[#This Row],[UoM_Flow_Py]]</f>
        <v>Mg</v>
      </c>
      <c r="AI59" s="114" t="e">
        <f>INDEX(Tab_Def_Flows[[Flow_ID]:[CC_DM_source]],MATCH(Tab_Data_Flows[[#This Row],[Name(EN)]],Tab_Def_Flows[Name(EN)],0),20)</f>
        <v>#N/A</v>
      </c>
      <c r="AJ59" s="115" t="str">
        <f>IF(L59="Yes",AI59*Tab_Data_Flows[[#This Row],[Flow_Py]],"N.A.")</f>
        <v>N.A.</v>
      </c>
      <c r="AK59" s="61" t="str">
        <f>Tab_Data_Flows[[#This Row],[UoM_Flow_Py]]</f>
        <v>Mg</v>
      </c>
    </row>
    <row r="60" spans="1:37" x14ac:dyDescent="0.35">
      <c r="A60" s="60">
        <f t="shared" si="0"/>
        <v>59</v>
      </c>
      <c r="B60" s="49" t="str">
        <f>_xlfn.XLOOKUP(C60,Tab_Def_Flows[Name(EN)],Tab_Def_Flows[Flow_ID],,0,)</f>
        <v>F_21_21</v>
      </c>
      <c r="C60" s="51"/>
      <c r="D60" s="49">
        <f>_xlfn.XLOOKUP(C60,Tab_Def_Flows[Name(EN)],Tab_Def_Flows[Type_Biomass],,0,)</f>
        <v>0</v>
      </c>
      <c r="E60" s="49">
        <f>_xlfn.XLOOKUP(C60,Tab_Def_Flows[Name(EN)],Tab_Def_Flows[Output_Process],,0,)</f>
        <v>0</v>
      </c>
      <c r="F60" s="49" t="str">
        <f>_xlfn.XLOOKUP(C60,Tab_Def_Flows[Name(EN)],Tab_Def_Flows[Process_ID_O],,0,)</f>
        <v>21__</v>
      </c>
      <c r="G60" s="49">
        <f>_xlfn.XLOOKUP(C60,Tab_Def_Flows[Name(EN)],Tab_Def_Flows[Input_Process],,0,)</f>
        <v>0</v>
      </c>
      <c r="H60" s="61" t="str">
        <f>_xlfn.XLOOKUP(C60,Tab_Def_Flows[Name(EN)],Tab_Def_Flows[Process_ID_I],,0,)</f>
        <v>21__</v>
      </c>
      <c r="I60" s="49">
        <f>_xlfn.XLOOKUP(C60,Tab_Def_Flows[Name(EN)],Tab_Def_Flows[Value_Source],,0,)</f>
        <v>0</v>
      </c>
      <c r="J60" s="49">
        <f>_xlfn.XLOOKUP(C60,Tab_Def_Flows[Name(EN)],Tab_Def_Flows[WC?],,0,)</f>
        <v>0</v>
      </c>
      <c r="K60" s="49">
        <f>_xlfn.XLOOKUP(C60,Tab_Def_Flows[Name(EN)],Tab_Def_Flows[DM?],,0,)</f>
        <v>0</v>
      </c>
      <c r="L60" s="49">
        <f>_xlfn.XLOOKUP(C60,Tab_Def_Flows[Name(EN)],Tab_Def_Flows[CC?],,0,)</f>
        <v>0</v>
      </c>
      <c r="M60" s="51"/>
      <c r="N60" s="51"/>
      <c r="O60" s="88"/>
      <c r="P60" s="51"/>
      <c r="Q60" s="51"/>
      <c r="R60" s="51"/>
      <c r="S60" s="51"/>
      <c r="T60" s="51"/>
      <c r="U60" s="51"/>
      <c r="V60" s="51"/>
      <c r="W60" s="51"/>
      <c r="X60" s="51"/>
      <c r="Y60" s="109"/>
      <c r="Z60" s="51"/>
      <c r="AA60" s="89">
        <f t="shared" si="1"/>
        <v>0</v>
      </c>
      <c r="AB60" s="51" t="s">
        <v>63</v>
      </c>
      <c r="AC60" s="114" t="e">
        <f>INDEX(Tab_Def_Flows[[Flow_ID]:[CC_DM_source]],MATCH(Tab_Data_Flows[[#This Row],[Name(EN)]],Tab_Def_Flows[Name(EN)],0),16)</f>
        <v>#N/A</v>
      </c>
      <c r="AD60" s="115" t="str">
        <f>IF(J60="Yes",AA60*Tab_Data_Flows[[#This Row],[WC_'[%']]],"N.A.")</f>
        <v>N.A.</v>
      </c>
      <c r="AE60" s="61" t="str">
        <f>Tab_Data_Flows[[#This Row],[UoM_Flow_Py]]</f>
        <v>Mg</v>
      </c>
      <c r="AF60" s="114" t="e">
        <f>INDEX(Tab_Def_Flows[[Flow_ID]:[CC_DM_source]],MATCH(Tab_Data_Flows[[#This Row],[Name(EN)]],Tab_Def_Flows[Name(EN)],0),18)</f>
        <v>#N/A</v>
      </c>
      <c r="AG60" s="115" t="str">
        <f>IF(K60="Yes",AF60*Tab_Data_Flows[[#This Row],[Flow_Py]],"N.A.")</f>
        <v>N.A.</v>
      </c>
      <c r="AH60" s="61" t="str">
        <f>Tab_Data_Flows[[#This Row],[UoM_Flow_Py]]</f>
        <v>Mg</v>
      </c>
      <c r="AI60" s="114" t="e">
        <f>INDEX(Tab_Def_Flows[[Flow_ID]:[CC_DM_source]],MATCH(Tab_Data_Flows[[#This Row],[Name(EN)]],Tab_Def_Flows[Name(EN)],0),20)</f>
        <v>#N/A</v>
      </c>
      <c r="AJ60" s="115" t="str">
        <f>IF(L60="Yes",AI60*Tab_Data_Flows[[#This Row],[Flow_Py]],"N.A.")</f>
        <v>N.A.</v>
      </c>
      <c r="AK60" s="61" t="str">
        <f>Tab_Data_Flows[[#This Row],[UoM_Flow_Py]]</f>
        <v>Mg</v>
      </c>
    </row>
    <row r="61" spans="1:37" x14ac:dyDescent="0.35">
      <c r="A61" s="60">
        <f t="shared" si="0"/>
        <v>60</v>
      </c>
      <c r="B61" s="49" t="str">
        <f>_xlfn.XLOOKUP(C61,Tab_Def_Flows[Name(EN)],Tab_Def_Flows[Flow_ID],,0,)</f>
        <v>F_21_21</v>
      </c>
      <c r="C61" s="51"/>
      <c r="D61" s="49">
        <f>_xlfn.XLOOKUP(C61,Tab_Def_Flows[Name(EN)],Tab_Def_Flows[Type_Biomass],,0,)</f>
        <v>0</v>
      </c>
      <c r="E61" s="49">
        <f>_xlfn.XLOOKUP(C61,Tab_Def_Flows[Name(EN)],Tab_Def_Flows[Output_Process],,0,)</f>
        <v>0</v>
      </c>
      <c r="F61" s="49" t="str">
        <f>_xlfn.XLOOKUP(C61,Tab_Def_Flows[Name(EN)],Tab_Def_Flows[Process_ID_O],,0,)</f>
        <v>21__</v>
      </c>
      <c r="G61" s="49">
        <f>_xlfn.XLOOKUP(C61,Tab_Def_Flows[Name(EN)],Tab_Def_Flows[Input_Process],,0,)</f>
        <v>0</v>
      </c>
      <c r="H61" s="61" t="str">
        <f>_xlfn.XLOOKUP(C61,Tab_Def_Flows[Name(EN)],Tab_Def_Flows[Process_ID_I],,0,)</f>
        <v>21__</v>
      </c>
      <c r="I61" s="49">
        <f>_xlfn.XLOOKUP(C61,Tab_Def_Flows[Name(EN)],Tab_Def_Flows[Value_Source],,0,)</f>
        <v>0</v>
      </c>
      <c r="J61" s="49">
        <f>_xlfn.XLOOKUP(C61,Tab_Def_Flows[Name(EN)],Tab_Def_Flows[WC?],,0,)</f>
        <v>0</v>
      </c>
      <c r="K61" s="49">
        <f>_xlfn.XLOOKUP(C61,Tab_Def_Flows[Name(EN)],Tab_Def_Flows[DM?],,0,)</f>
        <v>0</v>
      </c>
      <c r="L61" s="49">
        <f>_xlfn.XLOOKUP(C61,Tab_Def_Flows[Name(EN)],Tab_Def_Flows[CC?],,0,)</f>
        <v>0</v>
      </c>
      <c r="M61" s="51"/>
      <c r="N61" s="51"/>
      <c r="O61" s="88"/>
      <c r="P61" s="51"/>
      <c r="Q61" s="51"/>
      <c r="R61" s="51"/>
      <c r="S61" s="51"/>
      <c r="T61" s="51"/>
      <c r="U61" s="51"/>
      <c r="V61" s="51"/>
      <c r="W61" s="51"/>
      <c r="X61" s="51"/>
      <c r="Y61" s="109"/>
      <c r="Z61" s="51"/>
      <c r="AA61" s="89">
        <f t="shared" si="1"/>
        <v>0</v>
      </c>
      <c r="AB61" s="51" t="s">
        <v>63</v>
      </c>
      <c r="AC61" s="114" t="e">
        <f>INDEX(Tab_Def_Flows[[Flow_ID]:[CC_DM_source]],MATCH(Tab_Data_Flows[[#This Row],[Name(EN)]],Tab_Def_Flows[Name(EN)],0),16)</f>
        <v>#N/A</v>
      </c>
      <c r="AD61" s="115" t="str">
        <f>IF(J61="Yes",AA61*Tab_Data_Flows[[#This Row],[WC_'[%']]],"N.A.")</f>
        <v>N.A.</v>
      </c>
      <c r="AE61" s="61" t="str">
        <f>Tab_Data_Flows[[#This Row],[UoM_Flow_Py]]</f>
        <v>Mg</v>
      </c>
      <c r="AF61" s="114" t="e">
        <f>INDEX(Tab_Def_Flows[[Flow_ID]:[CC_DM_source]],MATCH(Tab_Data_Flows[[#This Row],[Name(EN)]],Tab_Def_Flows[Name(EN)],0),18)</f>
        <v>#N/A</v>
      </c>
      <c r="AG61" s="115" t="str">
        <f>IF(K61="Yes",AF61*Tab_Data_Flows[[#This Row],[Flow_Py]],"N.A.")</f>
        <v>N.A.</v>
      </c>
      <c r="AH61" s="61" t="str">
        <f>Tab_Data_Flows[[#This Row],[UoM_Flow_Py]]</f>
        <v>Mg</v>
      </c>
      <c r="AI61" s="114" t="e">
        <f>INDEX(Tab_Def_Flows[[Flow_ID]:[CC_DM_source]],MATCH(Tab_Data_Flows[[#This Row],[Name(EN)]],Tab_Def_Flows[Name(EN)],0),20)</f>
        <v>#N/A</v>
      </c>
      <c r="AJ61" s="115" t="str">
        <f>IF(L61="Yes",AI61*Tab_Data_Flows[[#This Row],[Flow_Py]],"N.A.")</f>
        <v>N.A.</v>
      </c>
      <c r="AK61" s="61" t="str">
        <f>Tab_Data_Flows[[#This Row],[UoM_Flow_Py]]</f>
        <v>Mg</v>
      </c>
    </row>
    <row r="62" spans="1:37" x14ac:dyDescent="0.35">
      <c r="A62" s="60">
        <f t="shared" si="0"/>
        <v>61</v>
      </c>
      <c r="B62" s="49" t="str">
        <f>_xlfn.XLOOKUP(C62,Tab_Def_Flows[Name(EN)],Tab_Def_Flows[Flow_ID],,0,)</f>
        <v>F_21_21</v>
      </c>
      <c r="C62" s="51"/>
      <c r="D62" s="49">
        <f>_xlfn.XLOOKUP(C62,Tab_Def_Flows[Name(EN)],Tab_Def_Flows[Type_Biomass],,0,)</f>
        <v>0</v>
      </c>
      <c r="E62" s="49">
        <f>_xlfn.XLOOKUP(C62,Tab_Def_Flows[Name(EN)],Tab_Def_Flows[Output_Process],,0,)</f>
        <v>0</v>
      </c>
      <c r="F62" s="49" t="str">
        <f>_xlfn.XLOOKUP(C62,Tab_Def_Flows[Name(EN)],Tab_Def_Flows[Process_ID_O],,0,)</f>
        <v>21__</v>
      </c>
      <c r="G62" s="49">
        <f>_xlfn.XLOOKUP(C62,Tab_Def_Flows[Name(EN)],Tab_Def_Flows[Input_Process],,0,)</f>
        <v>0</v>
      </c>
      <c r="H62" s="61" t="str">
        <f>_xlfn.XLOOKUP(C62,Tab_Def_Flows[Name(EN)],Tab_Def_Flows[Process_ID_I],,0,)</f>
        <v>21__</v>
      </c>
      <c r="I62" s="49">
        <f>_xlfn.XLOOKUP(C62,Tab_Def_Flows[Name(EN)],Tab_Def_Flows[Value_Source],,0,)</f>
        <v>0</v>
      </c>
      <c r="J62" s="49">
        <f>_xlfn.XLOOKUP(C62,Tab_Def_Flows[Name(EN)],Tab_Def_Flows[WC?],,0,)</f>
        <v>0</v>
      </c>
      <c r="K62" s="49">
        <f>_xlfn.XLOOKUP(C62,Tab_Def_Flows[Name(EN)],Tab_Def_Flows[DM?],,0,)</f>
        <v>0</v>
      </c>
      <c r="L62" s="49">
        <f>_xlfn.XLOOKUP(C62,Tab_Def_Flows[Name(EN)],Tab_Def_Flows[CC?],,0,)</f>
        <v>0</v>
      </c>
      <c r="M62" s="51"/>
      <c r="N62" s="51"/>
      <c r="O62" s="88"/>
      <c r="P62" s="51"/>
      <c r="Q62" s="51"/>
      <c r="R62" s="51"/>
      <c r="S62" s="51"/>
      <c r="T62" s="51"/>
      <c r="U62" s="51"/>
      <c r="V62" s="51"/>
      <c r="W62" s="51"/>
      <c r="X62" s="51"/>
      <c r="Y62" s="109"/>
      <c r="Z62" s="51"/>
      <c r="AA62" s="89">
        <f t="shared" si="1"/>
        <v>0</v>
      </c>
      <c r="AB62" s="51" t="s">
        <v>63</v>
      </c>
      <c r="AC62" s="114" t="e">
        <f>INDEX(Tab_Def_Flows[[Flow_ID]:[CC_DM_source]],MATCH(Tab_Data_Flows[[#This Row],[Name(EN)]],Tab_Def_Flows[Name(EN)],0),16)</f>
        <v>#N/A</v>
      </c>
      <c r="AD62" s="115" t="str">
        <f>IF(J62="Yes",AA62*Tab_Data_Flows[[#This Row],[WC_'[%']]],"N.A.")</f>
        <v>N.A.</v>
      </c>
      <c r="AE62" s="61" t="str">
        <f>Tab_Data_Flows[[#This Row],[UoM_Flow_Py]]</f>
        <v>Mg</v>
      </c>
      <c r="AF62" s="114" t="e">
        <f>INDEX(Tab_Def_Flows[[Flow_ID]:[CC_DM_source]],MATCH(Tab_Data_Flows[[#This Row],[Name(EN)]],Tab_Def_Flows[Name(EN)],0),18)</f>
        <v>#N/A</v>
      </c>
      <c r="AG62" s="115" t="str">
        <f>IF(K62="Yes",AF62*Tab_Data_Flows[[#This Row],[Flow_Py]],"N.A.")</f>
        <v>N.A.</v>
      </c>
      <c r="AH62" s="61" t="str">
        <f>Tab_Data_Flows[[#This Row],[UoM_Flow_Py]]</f>
        <v>Mg</v>
      </c>
      <c r="AI62" s="114" t="e">
        <f>INDEX(Tab_Def_Flows[[Flow_ID]:[CC_DM_source]],MATCH(Tab_Data_Flows[[#This Row],[Name(EN)]],Tab_Def_Flows[Name(EN)],0),20)</f>
        <v>#N/A</v>
      </c>
      <c r="AJ62" s="115" t="str">
        <f>IF(L62="Yes",AI62*Tab_Data_Flows[[#This Row],[Flow_Py]],"N.A.")</f>
        <v>N.A.</v>
      </c>
      <c r="AK62" s="61" t="str">
        <f>Tab_Data_Flows[[#This Row],[UoM_Flow_Py]]</f>
        <v>Mg</v>
      </c>
    </row>
    <row r="63" spans="1:37" x14ac:dyDescent="0.35">
      <c r="A63" s="60">
        <f t="shared" si="0"/>
        <v>62</v>
      </c>
      <c r="B63" s="49" t="str">
        <f>_xlfn.XLOOKUP(C63,Tab_Def_Flows[Name(EN)],Tab_Def_Flows[Flow_ID],,0,)</f>
        <v>F_21_21</v>
      </c>
      <c r="C63" s="51"/>
      <c r="D63" s="49">
        <f>_xlfn.XLOOKUP(C63,Tab_Def_Flows[Name(EN)],Tab_Def_Flows[Type_Biomass],,0,)</f>
        <v>0</v>
      </c>
      <c r="E63" s="49">
        <f>_xlfn.XLOOKUP(C63,Tab_Def_Flows[Name(EN)],Tab_Def_Flows[Output_Process],,0,)</f>
        <v>0</v>
      </c>
      <c r="F63" s="49" t="str">
        <f>_xlfn.XLOOKUP(C63,Tab_Def_Flows[Name(EN)],Tab_Def_Flows[Process_ID_O],,0,)</f>
        <v>21__</v>
      </c>
      <c r="G63" s="49">
        <f>_xlfn.XLOOKUP(C63,Tab_Def_Flows[Name(EN)],Tab_Def_Flows[Input_Process],,0,)</f>
        <v>0</v>
      </c>
      <c r="H63" s="61" t="str">
        <f>_xlfn.XLOOKUP(C63,Tab_Def_Flows[Name(EN)],Tab_Def_Flows[Process_ID_I],,0,)</f>
        <v>21__</v>
      </c>
      <c r="I63" s="49">
        <f>_xlfn.XLOOKUP(C63,Tab_Def_Flows[Name(EN)],Tab_Def_Flows[Value_Source],,0,)</f>
        <v>0</v>
      </c>
      <c r="J63" s="49">
        <f>_xlfn.XLOOKUP(C63,Tab_Def_Flows[Name(EN)],Tab_Def_Flows[WC?],,0,)</f>
        <v>0</v>
      </c>
      <c r="K63" s="49">
        <f>_xlfn.XLOOKUP(C63,Tab_Def_Flows[Name(EN)],Tab_Def_Flows[DM?],,0,)</f>
        <v>0</v>
      </c>
      <c r="L63" s="49">
        <f>_xlfn.XLOOKUP(C63,Tab_Def_Flows[Name(EN)],Tab_Def_Flows[CC?],,0,)</f>
        <v>0</v>
      </c>
      <c r="M63" s="51"/>
      <c r="N63" s="51"/>
      <c r="O63" s="88"/>
      <c r="P63" s="51"/>
      <c r="Q63" s="51"/>
      <c r="R63" s="51"/>
      <c r="S63" s="51"/>
      <c r="T63" s="51"/>
      <c r="U63" s="51"/>
      <c r="V63" s="51"/>
      <c r="W63" s="51"/>
      <c r="X63" s="51"/>
      <c r="Y63" s="109"/>
      <c r="Z63" s="51"/>
      <c r="AA63" s="89">
        <f t="shared" si="1"/>
        <v>0</v>
      </c>
      <c r="AB63" s="51" t="s">
        <v>63</v>
      </c>
      <c r="AC63" s="114" t="e">
        <f>INDEX(Tab_Def_Flows[[Flow_ID]:[CC_DM_source]],MATCH(Tab_Data_Flows[[#This Row],[Name(EN)]],Tab_Def_Flows[Name(EN)],0),16)</f>
        <v>#N/A</v>
      </c>
      <c r="AD63" s="115" t="str">
        <f>IF(J63="Yes",AA63*Tab_Data_Flows[[#This Row],[WC_'[%']]],"N.A.")</f>
        <v>N.A.</v>
      </c>
      <c r="AE63" s="61" t="str">
        <f>Tab_Data_Flows[[#This Row],[UoM_Flow_Py]]</f>
        <v>Mg</v>
      </c>
      <c r="AF63" s="114" t="e">
        <f>INDEX(Tab_Def_Flows[[Flow_ID]:[CC_DM_source]],MATCH(Tab_Data_Flows[[#This Row],[Name(EN)]],Tab_Def_Flows[Name(EN)],0),18)</f>
        <v>#N/A</v>
      </c>
      <c r="AG63" s="115" t="str">
        <f>IF(K63="Yes",AF63*Tab_Data_Flows[[#This Row],[Flow_Py]],"N.A.")</f>
        <v>N.A.</v>
      </c>
      <c r="AH63" s="61" t="str">
        <f>Tab_Data_Flows[[#This Row],[UoM_Flow_Py]]</f>
        <v>Mg</v>
      </c>
      <c r="AI63" s="114" t="e">
        <f>INDEX(Tab_Def_Flows[[Flow_ID]:[CC_DM_source]],MATCH(Tab_Data_Flows[[#This Row],[Name(EN)]],Tab_Def_Flows[Name(EN)],0),20)</f>
        <v>#N/A</v>
      </c>
      <c r="AJ63" s="115" t="str">
        <f>IF(L63="Yes",AI63*Tab_Data_Flows[[#This Row],[Flow_Py]],"N.A.")</f>
        <v>N.A.</v>
      </c>
      <c r="AK63" s="61" t="str">
        <f>Tab_Data_Flows[[#This Row],[UoM_Flow_Py]]</f>
        <v>Mg</v>
      </c>
    </row>
    <row r="64" spans="1:37" x14ac:dyDescent="0.35">
      <c r="A64" s="60">
        <f t="shared" ref="A64:A127" si="2">ROW()-1</f>
        <v>63</v>
      </c>
      <c r="B64" s="49" t="str">
        <f>_xlfn.XLOOKUP(C64,Tab_Def_Flows[Name(EN)],Tab_Def_Flows[Flow_ID],,0,)</f>
        <v>F_21_21</v>
      </c>
      <c r="C64" s="51"/>
      <c r="D64" s="49">
        <f>_xlfn.XLOOKUP(C64,Tab_Def_Flows[Name(EN)],Tab_Def_Flows[Type_Biomass],,0,)</f>
        <v>0</v>
      </c>
      <c r="E64" s="49">
        <f>_xlfn.XLOOKUP(C64,Tab_Def_Flows[Name(EN)],Tab_Def_Flows[Output_Process],,0,)</f>
        <v>0</v>
      </c>
      <c r="F64" s="49" t="str">
        <f>_xlfn.XLOOKUP(C64,Tab_Def_Flows[Name(EN)],Tab_Def_Flows[Process_ID_O],,0,)</f>
        <v>21__</v>
      </c>
      <c r="G64" s="49">
        <f>_xlfn.XLOOKUP(C64,Tab_Def_Flows[Name(EN)],Tab_Def_Flows[Input_Process],,0,)</f>
        <v>0</v>
      </c>
      <c r="H64" s="61" t="str">
        <f>_xlfn.XLOOKUP(C64,Tab_Def_Flows[Name(EN)],Tab_Def_Flows[Process_ID_I],,0,)</f>
        <v>21__</v>
      </c>
      <c r="I64" s="49">
        <f>_xlfn.XLOOKUP(C64,Tab_Def_Flows[Name(EN)],Tab_Def_Flows[Value_Source],,0,)</f>
        <v>0</v>
      </c>
      <c r="J64" s="49">
        <f>_xlfn.XLOOKUP(C64,Tab_Def_Flows[Name(EN)],Tab_Def_Flows[WC?],,0,)</f>
        <v>0</v>
      </c>
      <c r="K64" s="49">
        <f>_xlfn.XLOOKUP(C64,Tab_Def_Flows[Name(EN)],Tab_Def_Flows[DM?],,0,)</f>
        <v>0</v>
      </c>
      <c r="L64" s="49">
        <f>_xlfn.XLOOKUP(C64,Tab_Def_Flows[Name(EN)],Tab_Def_Flows[CC?],,0,)</f>
        <v>0</v>
      </c>
      <c r="M64" s="51"/>
      <c r="N64" s="51"/>
      <c r="O64" s="88"/>
      <c r="P64" s="51"/>
      <c r="Q64" s="51"/>
      <c r="R64" s="51"/>
      <c r="S64" s="51"/>
      <c r="T64" s="51"/>
      <c r="U64" s="51"/>
      <c r="V64" s="51"/>
      <c r="W64" s="51"/>
      <c r="X64" s="51"/>
      <c r="Y64" s="109"/>
      <c r="Z64" s="51"/>
      <c r="AA64" s="89">
        <f t="shared" ref="AA64:AA127" si="3">IF(X64="no",O64,O64*Y64)</f>
        <v>0</v>
      </c>
      <c r="AB64" s="51" t="s">
        <v>63</v>
      </c>
      <c r="AC64" s="114" t="e">
        <f>INDEX(Tab_Def_Flows[[Flow_ID]:[CC_DM_source]],MATCH(Tab_Data_Flows[[#This Row],[Name(EN)]],Tab_Def_Flows[Name(EN)],0),16)</f>
        <v>#N/A</v>
      </c>
      <c r="AD64" s="115" t="str">
        <f>IF(J64="Yes",AA64*Tab_Data_Flows[[#This Row],[WC_'[%']]],"N.A.")</f>
        <v>N.A.</v>
      </c>
      <c r="AE64" s="61" t="str">
        <f>Tab_Data_Flows[[#This Row],[UoM_Flow_Py]]</f>
        <v>Mg</v>
      </c>
      <c r="AF64" s="114" t="e">
        <f>INDEX(Tab_Def_Flows[[Flow_ID]:[CC_DM_source]],MATCH(Tab_Data_Flows[[#This Row],[Name(EN)]],Tab_Def_Flows[Name(EN)],0),18)</f>
        <v>#N/A</v>
      </c>
      <c r="AG64" s="115" t="str">
        <f>IF(K64="Yes",AF64*Tab_Data_Flows[[#This Row],[Flow_Py]],"N.A.")</f>
        <v>N.A.</v>
      </c>
      <c r="AH64" s="61" t="str">
        <f>Tab_Data_Flows[[#This Row],[UoM_Flow_Py]]</f>
        <v>Mg</v>
      </c>
      <c r="AI64" s="114" t="e">
        <f>INDEX(Tab_Def_Flows[[Flow_ID]:[CC_DM_source]],MATCH(Tab_Data_Flows[[#This Row],[Name(EN)]],Tab_Def_Flows[Name(EN)],0),20)</f>
        <v>#N/A</v>
      </c>
      <c r="AJ64" s="115" t="str">
        <f>IF(L64="Yes",AI64*Tab_Data_Flows[[#This Row],[Flow_Py]],"N.A.")</f>
        <v>N.A.</v>
      </c>
      <c r="AK64" s="61" t="str">
        <f>Tab_Data_Flows[[#This Row],[UoM_Flow_Py]]</f>
        <v>Mg</v>
      </c>
    </row>
    <row r="65" spans="1:37" x14ac:dyDescent="0.35">
      <c r="A65" s="60">
        <f t="shared" si="2"/>
        <v>64</v>
      </c>
      <c r="B65" s="49" t="str">
        <f>_xlfn.XLOOKUP(C65,Tab_Def_Flows[Name(EN)],Tab_Def_Flows[Flow_ID],,0,)</f>
        <v>F_21_21</v>
      </c>
      <c r="C65" s="51"/>
      <c r="D65" s="49">
        <f>_xlfn.XLOOKUP(C65,Tab_Def_Flows[Name(EN)],Tab_Def_Flows[Type_Biomass],,0,)</f>
        <v>0</v>
      </c>
      <c r="E65" s="49">
        <f>_xlfn.XLOOKUP(C65,Tab_Def_Flows[Name(EN)],Tab_Def_Flows[Output_Process],,0,)</f>
        <v>0</v>
      </c>
      <c r="F65" s="49" t="str">
        <f>_xlfn.XLOOKUP(C65,Tab_Def_Flows[Name(EN)],Tab_Def_Flows[Process_ID_O],,0,)</f>
        <v>21__</v>
      </c>
      <c r="G65" s="49">
        <f>_xlfn.XLOOKUP(C65,Tab_Def_Flows[Name(EN)],Tab_Def_Flows[Input_Process],,0,)</f>
        <v>0</v>
      </c>
      <c r="H65" s="61" t="str">
        <f>_xlfn.XLOOKUP(C65,Tab_Def_Flows[Name(EN)],Tab_Def_Flows[Process_ID_I],,0,)</f>
        <v>21__</v>
      </c>
      <c r="I65" s="49">
        <f>_xlfn.XLOOKUP(C65,Tab_Def_Flows[Name(EN)],Tab_Def_Flows[Value_Source],,0,)</f>
        <v>0</v>
      </c>
      <c r="J65" s="49">
        <f>_xlfn.XLOOKUP(C65,Tab_Def_Flows[Name(EN)],Tab_Def_Flows[WC?],,0,)</f>
        <v>0</v>
      </c>
      <c r="K65" s="49">
        <f>_xlfn.XLOOKUP(C65,Tab_Def_Flows[Name(EN)],Tab_Def_Flows[DM?],,0,)</f>
        <v>0</v>
      </c>
      <c r="L65" s="49">
        <f>_xlfn.XLOOKUP(C65,Tab_Def_Flows[Name(EN)],Tab_Def_Flows[CC?],,0,)</f>
        <v>0</v>
      </c>
      <c r="M65" s="51"/>
      <c r="N65" s="51"/>
      <c r="O65" s="88"/>
      <c r="P65" s="51"/>
      <c r="Q65" s="51"/>
      <c r="R65" s="51"/>
      <c r="S65" s="51"/>
      <c r="T65" s="51"/>
      <c r="U65" s="51"/>
      <c r="V65" s="51"/>
      <c r="W65" s="51"/>
      <c r="X65" s="51"/>
      <c r="Y65" s="109"/>
      <c r="Z65" s="51"/>
      <c r="AA65" s="89">
        <f t="shared" si="3"/>
        <v>0</v>
      </c>
      <c r="AB65" s="51" t="s">
        <v>63</v>
      </c>
      <c r="AC65" s="114" t="e">
        <f>INDEX(Tab_Def_Flows[[Flow_ID]:[CC_DM_source]],MATCH(Tab_Data_Flows[[#This Row],[Name(EN)]],Tab_Def_Flows[Name(EN)],0),16)</f>
        <v>#N/A</v>
      </c>
      <c r="AD65" s="115" t="str">
        <f>IF(J65="Yes",AA65*Tab_Data_Flows[[#This Row],[WC_'[%']]],"N.A.")</f>
        <v>N.A.</v>
      </c>
      <c r="AE65" s="61" t="str">
        <f>Tab_Data_Flows[[#This Row],[UoM_Flow_Py]]</f>
        <v>Mg</v>
      </c>
      <c r="AF65" s="114" t="e">
        <f>INDEX(Tab_Def_Flows[[Flow_ID]:[CC_DM_source]],MATCH(Tab_Data_Flows[[#This Row],[Name(EN)]],Tab_Def_Flows[Name(EN)],0),18)</f>
        <v>#N/A</v>
      </c>
      <c r="AG65" s="115" t="str">
        <f>IF(K65="Yes",AF65*Tab_Data_Flows[[#This Row],[Flow_Py]],"N.A.")</f>
        <v>N.A.</v>
      </c>
      <c r="AH65" s="61" t="str">
        <f>Tab_Data_Flows[[#This Row],[UoM_Flow_Py]]</f>
        <v>Mg</v>
      </c>
      <c r="AI65" s="114" t="e">
        <f>INDEX(Tab_Def_Flows[[Flow_ID]:[CC_DM_source]],MATCH(Tab_Data_Flows[[#This Row],[Name(EN)]],Tab_Def_Flows[Name(EN)],0),20)</f>
        <v>#N/A</v>
      </c>
      <c r="AJ65" s="115" t="str">
        <f>IF(L65="Yes",AI65*Tab_Data_Flows[[#This Row],[Flow_Py]],"N.A.")</f>
        <v>N.A.</v>
      </c>
      <c r="AK65" s="61" t="str">
        <f>Tab_Data_Flows[[#This Row],[UoM_Flow_Py]]</f>
        <v>Mg</v>
      </c>
    </row>
    <row r="66" spans="1:37" x14ac:dyDescent="0.35">
      <c r="A66" s="60">
        <f t="shared" si="2"/>
        <v>65</v>
      </c>
      <c r="B66" s="49" t="str">
        <f>_xlfn.XLOOKUP(C66,Tab_Def_Flows[Name(EN)],Tab_Def_Flows[Flow_ID],,0,)</f>
        <v>F_21_21</v>
      </c>
      <c r="C66" s="51"/>
      <c r="D66" s="49">
        <f>_xlfn.XLOOKUP(C66,Tab_Def_Flows[Name(EN)],Tab_Def_Flows[Type_Biomass],,0,)</f>
        <v>0</v>
      </c>
      <c r="E66" s="49">
        <f>_xlfn.XLOOKUP(C66,Tab_Def_Flows[Name(EN)],Tab_Def_Flows[Output_Process],,0,)</f>
        <v>0</v>
      </c>
      <c r="F66" s="49" t="str">
        <f>_xlfn.XLOOKUP(C66,Tab_Def_Flows[Name(EN)],Tab_Def_Flows[Process_ID_O],,0,)</f>
        <v>21__</v>
      </c>
      <c r="G66" s="49">
        <f>_xlfn.XLOOKUP(C66,Tab_Def_Flows[Name(EN)],Tab_Def_Flows[Input_Process],,0,)</f>
        <v>0</v>
      </c>
      <c r="H66" s="61" t="str">
        <f>_xlfn.XLOOKUP(C66,Tab_Def_Flows[Name(EN)],Tab_Def_Flows[Process_ID_I],,0,)</f>
        <v>21__</v>
      </c>
      <c r="I66" s="49">
        <f>_xlfn.XLOOKUP(C66,Tab_Def_Flows[Name(EN)],Tab_Def_Flows[Value_Source],,0,)</f>
        <v>0</v>
      </c>
      <c r="J66" s="49">
        <f>_xlfn.XLOOKUP(C66,Tab_Def_Flows[Name(EN)],Tab_Def_Flows[WC?],,0,)</f>
        <v>0</v>
      </c>
      <c r="K66" s="49">
        <f>_xlfn.XLOOKUP(C66,Tab_Def_Flows[Name(EN)],Tab_Def_Flows[DM?],,0,)</f>
        <v>0</v>
      </c>
      <c r="L66" s="49">
        <f>_xlfn.XLOOKUP(C66,Tab_Def_Flows[Name(EN)],Tab_Def_Flows[CC?],,0,)</f>
        <v>0</v>
      </c>
      <c r="M66" s="51"/>
      <c r="N66" s="51"/>
      <c r="O66" s="88"/>
      <c r="P66" s="51"/>
      <c r="Q66" s="51"/>
      <c r="R66" s="51"/>
      <c r="S66" s="51"/>
      <c r="T66" s="51"/>
      <c r="U66" s="51"/>
      <c r="V66" s="51"/>
      <c r="W66" s="51"/>
      <c r="X66" s="51"/>
      <c r="Y66" s="109"/>
      <c r="Z66" s="51"/>
      <c r="AA66" s="89">
        <f t="shared" si="3"/>
        <v>0</v>
      </c>
      <c r="AB66" s="51" t="s">
        <v>63</v>
      </c>
      <c r="AC66" s="114" t="e">
        <f>INDEX(Tab_Def_Flows[[Flow_ID]:[CC_DM_source]],MATCH(Tab_Data_Flows[[#This Row],[Name(EN)]],Tab_Def_Flows[Name(EN)],0),16)</f>
        <v>#N/A</v>
      </c>
      <c r="AD66" s="115" t="str">
        <f>IF(J66="Yes",AA66*Tab_Data_Flows[[#This Row],[WC_'[%']]],"N.A.")</f>
        <v>N.A.</v>
      </c>
      <c r="AE66" s="61" t="str">
        <f>Tab_Data_Flows[[#This Row],[UoM_Flow_Py]]</f>
        <v>Mg</v>
      </c>
      <c r="AF66" s="114" t="e">
        <f>INDEX(Tab_Def_Flows[[Flow_ID]:[CC_DM_source]],MATCH(Tab_Data_Flows[[#This Row],[Name(EN)]],Tab_Def_Flows[Name(EN)],0),18)</f>
        <v>#N/A</v>
      </c>
      <c r="AG66" s="115" t="str">
        <f>IF(K66="Yes",AF66*Tab_Data_Flows[[#This Row],[Flow_Py]],"N.A.")</f>
        <v>N.A.</v>
      </c>
      <c r="AH66" s="61" t="str">
        <f>Tab_Data_Flows[[#This Row],[UoM_Flow_Py]]</f>
        <v>Mg</v>
      </c>
      <c r="AI66" s="114" t="e">
        <f>INDEX(Tab_Def_Flows[[Flow_ID]:[CC_DM_source]],MATCH(Tab_Data_Flows[[#This Row],[Name(EN)]],Tab_Def_Flows[Name(EN)],0),20)</f>
        <v>#N/A</v>
      </c>
      <c r="AJ66" s="115" t="str">
        <f>IF(L66="Yes",AI66*Tab_Data_Flows[[#This Row],[Flow_Py]],"N.A.")</f>
        <v>N.A.</v>
      </c>
      <c r="AK66" s="61" t="str">
        <f>Tab_Data_Flows[[#This Row],[UoM_Flow_Py]]</f>
        <v>Mg</v>
      </c>
    </row>
    <row r="67" spans="1:37" x14ac:dyDescent="0.35">
      <c r="A67" s="60">
        <f t="shared" si="2"/>
        <v>66</v>
      </c>
      <c r="B67" s="49" t="str">
        <f>_xlfn.XLOOKUP(C67,Tab_Def_Flows[Name(EN)],Tab_Def_Flows[Flow_ID],,0,)</f>
        <v>F_21_21</v>
      </c>
      <c r="C67" s="51"/>
      <c r="D67" s="49">
        <f>_xlfn.XLOOKUP(C67,Tab_Def_Flows[Name(EN)],Tab_Def_Flows[Type_Biomass],,0,)</f>
        <v>0</v>
      </c>
      <c r="E67" s="49">
        <f>_xlfn.XLOOKUP(C67,Tab_Def_Flows[Name(EN)],Tab_Def_Flows[Output_Process],,0,)</f>
        <v>0</v>
      </c>
      <c r="F67" s="49" t="str">
        <f>_xlfn.XLOOKUP(C67,Tab_Def_Flows[Name(EN)],Tab_Def_Flows[Process_ID_O],,0,)</f>
        <v>21__</v>
      </c>
      <c r="G67" s="49">
        <f>_xlfn.XLOOKUP(C67,Tab_Def_Flows[Name(EN)],Tab_Def_Flows[Input_Process],,0,)</f>
        <v>0</v>
      </c>
      <c r="H67" s="61" t="str">
        <f>_xlfn.XLOOKUP(C67,Tab_Def_Flows[Name(EN)],Tab_Def_Flows[Process_ID_I],,0,)</f>
        <v>21__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88"/>
      <c r="P67" s="51"/>
      <c r="Q67" s="51"/>
      <c r="R67" s="51"/>
      <c r="S67" s="51"/>
      <c r="T67" s="51"/>
      <c r="U67" s="51"/>
      <c r="V67" s="51"/>
      <c r="W67" s="51"/>
      <c r="X67" s="51"/>
      <c r="Y67" s="109"/>
      <c r="Z67" s="51"/>
      <c r="AA67" s="89">
        <f t="shared" si="3"/>
        <v>0</v>
      </c>
      <c r="AB67" s="51" t="s">
        <v>63</v>
      </c>
      <c r="AC67" s="114" t="e">
        <f>INDEX(Tab_Def_Flows[[Flow_ID]:[CC_DM_source]],MATCH(Tab_Data_Flows[[#This Row],[Name(EN)]],Tab_Def_Flows[Name(EN)],0),16)</f>
        <v>#N/A</v>
      </c>
      <c r="AD67" s="115" t="str">
        <f>IF(J67="Yes",AA67*Tab_Data_Flows[[#This Row],[WC_'[%']]],"N.A.")</f>
        <v>N.A.</v>
      </c>
      <c r="AE67" s="61" t="str">
        <f>Tab_Data_Flows[[#This Row],[UoM_Flow_Py]]</f>
        <v>Mg</v>
      </c>
      <c r="AF67" s="114" t="e">
        <f>INDEX(Tab_Def_Flows[[Flow_ID]:[CC_DM_source]],MATCH(Tab_Data_Flows[[#This Row],[Name(EN)]],Tab_Def_Flows[Name(EN)],0),18)</f>
        <v>#N/A</v>
      </c>
      <c r="AG67" s="115" t="str">
        <f>IF(K67="Yes",AF67*Tab_Data_Flows[[#This Row],[Flow_Py]],"N.A.")</f>
        <v>N.A.</v>
      </c>
      <c r="AH67" s="61" t="str">
        <f>Tab_Data_Flows[[#This Row],[UoM_Flow_Py]]</f>
        <v>Mg</v>
      </c>
      <c r="AI67" s="114" t="e">
        <f>INDEX(Tab_Def_Flows[[Flow_ID]:[CC_DM_source]],MATCH(Tab_Data_Flows[[#This Row],[Name(EN)]],Tab_Def_Flows[Name(EN)],0),20)</f>
        <v>#N/A</v>
      </c>
      <c r="AJ67" s="115" t="str">
        <f>IF(L67="Yes",AI67*Tab_Data_Flows[[#This Row],[Flow_Py]],"N.A.")</f>
        <v>N.A.</v>
      </c>
      <c r="AK67" s="61" t="str">
        <f>Tab_Data_Flows[[#This Row],[UoM_Flow_Py]]</f>
        <v>Mg</v>
      </c>
    </row>
    <row r="68" spans="1:37" x14ac:dyDescent="0.35">
      <c r="A68" s="60">
        <f t="shared" si="2"/>
        <v>67</v>
      </c>
      <c r="B68" s="49" t="str">
        <f>_xlfn.XLOOKUP(C68,Tab_Def_Flows[Name(EN)],Tab_Def_Flows[Flow_ID],,0,)</f>
        <v>F_21_21</v>
      </c>
      <c r="C68" s="51"/>
      <c r="D68" s="49">
        <f>_xlfn.XLOOKUP(C68,Tab_Def_Flows[Name(EN)],Tab_Def_Flows[Type_Biomass],,0,)</f>
        <v>0</v>
      </c>
      <c r="E68" s="49">
        <f>_xlfn.XLOOKUP(C68,Tab_Def_Flows[Name(EN)],Tab_Def_Flows[Output_Process],,0,)</f>
        <v>0</v>
      </c>
      <c r="F68" s="49" t="str">
        <f>_xlfn.XLOOKUP(C68,Tab_Def_Flows[Name(EN)],Tab_Def_Flows[Process_ID_O],,0,)</f>
        <v>21__</v>
      </c>
      <c r="G68" s="49">
        <f>_xlfn.XLOOKUP(C68,Tab_Def_Flows[Name(EN)],Tab_Def_Flows[Input_Process],,0,)</f>
        <v>0</v>
      </c>
      <c r="H68" s="61" t="str">
        <f>_xlfn.XLOOKUP(C68,Tab_Def_Flows[Name(EN)],Tab_Def_Flows[Process_ID_I],,0,)</f>
        <v>21__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88"/>
      <c r="P68" s="51"/>
      <c r="Q68" s="51"/>
      <c r="R68" s="51"/>
      <c r="S68" s="51"/>
      <c r="T68" s="51"/>
      <c r="U68" s="51"/>
      <c r="V68" s="51"/>
      <c r="W68" s="51"/>
      <c r="X68" s="51"/>
      <c r="Y68" s="109"/>
      <c r="Z68" s="51"/>
      <c r="AA68" s="89">
        <f t="shared" si="3"/>
        <v>0</v>
      </c>
      <c r="AB68" s="51" t="s">
        <v>63</v>
      </c>
      <c r="AC68" s="114" t="e">
        <f>INDEX(Tab_Def_Flows[[Flow_ID]:[CC_DM_source]],MATCH(Tab_Data_Flows[[#This Row],[Name(EN)]],Tab_Def_Flows[Name(EN)],0),16)</f>
        <v>#N/A</v>
      </c>
      <c r="AD68" s="115" t="str">
        <f>IF(J68="Yes",AA68*Tab_Data_Flows[[#This Row],[WC_'[%']]],"N.A.")</f>
        <v>N.A.</v>
      </c>
      <c r="AE68" s="61" t="str">
        <f>Tab_Data_Flows[[#This Row],[UoM_Flow_Py]]</f>
        <v>Mg</v>
      </c>
      <c r="AF68" s="114" t="e">
        <f>INDEX(Tab_Def_Flows[[Flow_ID]:[CC_DM_source]],MATCH(Tab_Data_Flows[[#This Row],[Name(EN)]],Tab_Def_Flows[Name(EN)],0),18)</f>
        <v>#N/A</v>
      </c>
      <c r="AG68" s="115" t="str">
        <f>IF(K68="Yes",AF68*Tab_Data_Flows[[#This Row],[Flow_Py]],"N.A.")</f>
        <v>N.A.</v>
      </c>
      <c r="AH68" s="61" t="str">
        <f>Tab_Data_Flows[[#This Row],[UoM_Flow_Py]]</f>
        <v>Mg</v>
      </c>
      <c r="AI68" s="114" t="e">
        <f>INDEX(Tab_Def_Flows[[Flow_ID]:[CC_DM_source]],MATCH(Tab_Data_Flows[[#This Row],[Name(EN)]],Tab_Def_Flows[Name(EN)],0),20)</f>
        <v>#N/A</v>
      </c>
      <c r="AJ68" s="115" t="str">
        <f>IF(L68="Yes",AI68*Tab_Data_Flows[[#This Row],[Flow_Py]],"N.A.")</f>
        <v>N.A.</v>
      </c>
      <c r="AK68" s="61" t="str">
        <f>Tab_Data_Flows[[#This Row],[UoM_Flow_Py]]</f>
        <v>Mg</v>
      </c>
    </row>
    <row r="69" spans="1:37" x14ac:dyDescent="0.35">
      <c r="A69" s="60">
        <f t="shared" si="2"/>
        <v>68</v>
      </c>
      <c r="B69" s="49" t="str">
        <f>_xlfn.XLOOKUP(C69,Tab_Def_Flows[Name(EN)],Tab_Def_Flows[Flow_ID],,0,)</f>
        <v>F_21_21</v>
      </c>
      <c r="C69" s="51"/>
      <c r="D69" s="49">
        <f>_xlfn.XLOOKUP(C69,Tab_Def_Flows[Name(EN)],Tab_Def_Flows[Type_Biomass],,0,)</f>
        <v>0</v>
      </c>
      <c r="E69" s="49">
        <f>_xlfn.XLOOKUP(C69,Tab_Def_Flows[Name(EN)],Tab_Def_Flows[Output_Process],,0,)</f>
        <v>0</v>
      </c>
      <c r="F69" s="49" t="str">
        <f>_xlfn.XLOOKUP(C69,Tab_Def_Flows[Name(EN)],Tab_Def_Flows[Process_ID_O],,0,)</f>
        <v>21__</v>
      </c>
      <c r="G69" s="49">
        <f>_xlfn.XLOOKUP(C69,Tab_Def_Flows[Name(EN)],Tab_Def_Flows[Input_Process],,0,)</f>
        <v>0</v>
      </c>
      <c r="H69" s="61" t="str">
        <f>_xlfn.XLOOKUP(C69,Tab_Def_Flows[Name(EN)],Tab_Def_Flows[Process_ID_I],,0,)</f>
        <v>21__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88"/>
      <c r="P69" s="51"/>
      <c r="Q69" s="51"/>
      <c r="R69" s="51"/>
      <c r="S69" s="69"/>
      <c r="T69" s="51"/>
      <c r="U69" s="51"/>
      <c r="V69" s="51"/>
      <c r="W69" s="51"/>
      <c r="X69" s="51"/>
      <c r="Y69" s="109"/>
      <c r="Z69" s="51"/>
      <c r="AA69" s="89">
        <f t="shared" si="3"/>
        <v>0</v>
      </c>
      <c r="AB69" s="51" t="s">
        <v>63</v>
      </c>
      <c r="AC69" s="114" t="e">
        <f>INDEX(Tab_Def_Flows[[Flow_ID]:[CC_DM_source]],MATCH(Tab_Data_Flows[[#This Row],[Name(EN)]],Tab_Def_Flows[Name(EN)],0),16)</f>
        <v>#N/A</v>
      </c>
      <c r="AD69" s="115" t="str">
        <f>IF(J69="Yes",AA69*Tab_Data_Flows[[#This Row],[WC_'[%']]],"N.A.")</f>
        <v>N.A.</v>
      </c>
      <c r="AE69" s="61" t="str">
        <f>Tab_Data_Flows[[#This Row],[UoM_Flow_Py]]</f>
        <v>Mg</v>
      </c>
      <c r="AF69" s="114" t="e">
        <f>INDEX(Tab_Def_Flows[[Flow_ID]:[CC_DM_source]],MATCH(Tab_Data_Flows[[#This Row],[Name(EN)]],Tab_Def_Flows[Name(EN)],0),18)</f>
        <v>#N/A</v>
      </c>
      <c r="AG69" s="115" t="str">
        <f>IF(K69="Yes",AF69*Tab_Data_Flows[[#This Row],[Flow_Py]],"N.A.")</f>
        <v>N.A.</v>
      </c>
      <c r="AH69" s="61" t="str">
        <f>Tab_Data_Flows[[#This Row],[UoM_Flow_Py]]</f>
        <v>Mg</v>
      </c>
      <c r="AI69" s="114" t="e">
        <f>INDEX(Tab_Def_Flows[[Flow_ID]:[CC_DM_source]],MATCH(Tab_Data_Flows[[#This Row],[Name(EN)]],Tab_Def_Flows[Name(EN)],0),20)</f>
        <v>#N/A</v>
      </c>
      <c r="AJ69" s="115" t="str">
        <f>IF(L69="Yes",AI69*Tab_Data_Flows[[#This Row],[Flow_Py]],"N.A.")</f>
        <v>N.A.</v>
      </c>
      <c r="AK69" s="61" t="str">
        <f>Tab_Data_Flows[[#This Row],[UoM_Flow_Py]]</f>
        <v>Mg</v>
      </c>
    </row>
    <row r="70" spans="1:37" x14ac:dyDescent="0.35">
      <c r="A70" s="60">
        <f t="shared" si="2"/>
        <v>69</v>
      </c>
      <c r="B70" s="49" t="str">
        <f>_xlfn.XLOOKUP(C70,Tab_Def_Flows[Name(EN)],Tab_Def_Flows[Flow_ID],,0,)</f>
        <v>F_21_21</v>
      </c>
      <c r="C70" s="51"/>
      <c r="D70" s="49">
        <f>_xlfn.XLOOKUP(C70,Tab_Def_Flows[Name(EN)],Tab_Def_Flows[Type_Biomass],,0,)</f>
        <v>0</v>
      </c>
      <c r="E70" s="49">
        <f>_xlfn.XLOOKUP(C70,Tab_Def_Flows[Name(EN)],Tab_Def_Flows[Output_Process],,0,)</f>
        <v>0</v>
      </c>
      <c r="F70" s="49" t="str">
        <f>_xlfn.XLOOKUP(C70,Tab_Def_Flows[Name(EN)],Tab_Def_Flows[Process_ID_O],,0,)</f>
        <v>21__</v>
      </c>
      <c r="G70" s="49">
        <f>_xlfn.XLOOKUP(C70,Tab_Def_Flows[Name(EN)],Tab_Def_Flows[Input_Process],,0,)</f>
        <v>0</v>
      </c>
      <c r="H70" s="61" t="str">
        <f>_xlfn.XLOOKUP(C70,Tab_Def_Flows[Name(EN)],Tab_Def_Flows[Process_ID_I],,0,)</f>
        <v>21__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88"/>
      <c r="P70" s="51"/>
      <c r="Q70" s="51"/>
      <c r="R70" s="51"/>
      <c r="S70" s="69"/>
      <c r="T70" s="51"/>
      <c r="U70" s="51"/>
      <c r="V70" s="51"/>
      <c r="W70" s="51"/>
      <c r="X70" s="51"/>
      <c r="Y70" s="109"/>
      <c r="Z70" s="51"/>
      <c r="AA70" s="89">
        <f t="shared" si="3"/>
        <v>0</v>
      </c>
      <c r="AB70" s="51" t="s">
        <v>63</v>
      </c>
      <c r="AC70" s="114" t="e">
        <f>INDEX(Tab_Def_Flows[[Flow_ID]:[CC_DM_source]],MATCH(Tab_Data_Flows[[#This Row],[Name(EN)]],Tab_Def_Flows[Name(EN)],0),16)</f>
        <v>#N/A</v>
      </c>
      <c r="AD70" s="115" t="str">
        <f>IF(J70="Yes",AA70*Tab_Data_Flows[[#This Row],[WC_'[%']]],"N.A.")</f>
        <v>N.A.</v>
      </c>
      <c r="AE70" s="61" t="str">
        <f>Tab_Data_Flows[[#This Row],[UoM_Flow_Py]]</f>
        <v>Mg</v>
      </c>
      <c r="AF70" s="114" t="e">
        <f>INDEX(Tab_Def_Flows[[Flow_ID]:[CC_DM_source]],MATCH(Tab_Data_Flows[[#This Row],[Name(EN)]],Tab_Def_Flows[Name(EN)],0),18)</f>
        <v>#N/A</v>
      </c>
      <c r="AG70" s="115" t="str">
        <f>IF(K70="Yes",AF70*Tab_Data_Flows[[#This Row],[Flow_Py]],"N.A.")</f>
        <v>N.A.</v>
      </c>
      <c r="AH70" s="61" t="str">
        <f>Tab_Data_Flows[[#This Row],[UoM_Flow_Py]]</f>
        <v>Mg</v>
      </c>
      <c r="AI70" s="114" t="e">
        <f>INDEX(Tab_Def_Flows[[Flow_ID]:[CC_DM_source]],MATCH(Tab_Data_Flows[[#This Row],[Name(EN)]],Tab_Def_Flows[Name(EN)],0),20)</f>
        <v>#N/A</v>
      </c>
      <c r="AJ70" s="115" t="str">
        <f>IF(L70="Yes",AI70*Tab_Data_Flows[[#This Row],[Flow_Py]],"N.A.")</f>
        <v>N.A.</v>
      </c>
      <c r="AK70" s="61" t="str">
        <f>Tab_Data_Flows[[#This Row],[UoM_Flow_Py]]</f>
        <v>Mg</v>
      </c>
    </row>
    <row r="71" spans="1:37" x14ac:dyDescent="0.35">
      <c r="A71" s="60">
        <f t="shared" si="2"/>
        <v>70</v>
      </c>
      <c r="B71" s="49" t="str">
        <f>_xlfn.XLOOKUP(C71,Tab_Def_Flows[Name(EN)],Tab_Def_Flows[Flow_ID],,0,)</f>
        <v>F_21_21</v>
      </c>
      <c r="C71" s="51"/>
      <c r="D71" s="49">
        <f>_xlfn.XLOOKUP(C71,Tab_Def_Flows[Name(EN)],Tab_Def_Flows[Type_Biomass],,0,)</f>
        <v>0</v>
      </c>
      <c r="E71" s="49">
        <f>_xlfn.XLOOKUP(C71,Tab_Def_Flows[Name(EN)],Tab_Def_Flows[Output_Process],,0,)</f>
        <v>0</v>
      </c>
      <c r="F71" s="49" t="str">
        <f>_xlfn.XLOOKUP(C71,Tab_Def_Flows[Name(EN)],Tab_Def_Flows[Process_ID_O],,0,)</f>
        <v>21__</v>
      </c>
      <c r="G71" s="49">
        <f>_xlfn.XLOOKUP(C71,Tab_Def_Flows[Name(EN)],Tab_Def_Flows[Input_Process],,0,)</f>
        <v>0</v>
      </c>
      <c r="H71" s="61" t="str">
        <f>_xlfn.XLOOKUP(C71,Tab_Def_Flows[Name(EN)],Tab_Def_Flows[Process_ID_I],,0,)</f>
        <v>21__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88"/>
      <c r="P71" s="51"/>
      <c r="Q71" s="51"/>
      <c r="R71" s="51"/>
      <c r="S71" s="69"/>
      <c r="T71" s="51"/>
      <c r="U71" s="51"/>
      <c r="V71" s="51"/>
      <c r="W71" s="51"/>
      <c r="X71" s="51"/>
      <c r="Y71" s="109"/>
      <c r="Z71" s="51"/>
      <c r="AA71" s="89">
        <f t="shared" si="3"/>
        <v>0</v>
      </c>
      <c r="AB71" s="51" t="s">
        <v>63</v>
      </c>
      <c r="AC71" s="114" t="e">
        <f>INDEX(Tab_Def_Flows[[Flow_ID]:[CC_DM_source]],MATCH(Tab_Data_Flows[[#This Row],[Name(EN)]],Tab_Def_Flows[Name(EN)],0),16)</f>
        <v>#N/A</v>
      </c>
      <c r="AD71" s="115" t="str">
        <f>IF(J71="Yes",AA71*Tab_Data_Flows[[#This Row],[WC_'[%']]],"N.A.")</f>
        <v>N.A.</v>
      </c>
      <c r="AE71" s="61" t="str">
        <f>Tab_Data_Flows[[#This Row],[UoM_Flow_Py]]</f>
        <v>Mg</v>
      </c>
      <c r="AF71" s="114" t="e">
        <f>INDEX(Tab_Def_Flows[[Flow_ID]:[CC_DM_source]],MATCH(Tab_Data_Flows[[#This Row],[Name(EN)]],Tab_Def_Flows[Name(EN)],0),18)</f>
        <v>#N/A</v>
      </c>
      <c r="AG71" s="115" t="str">
        <f>IF(K71="Yes",AF71*Tab_Data_Flows[[#This Row],[Flow_Py]],"N.A.")</f>
        <v>N.A.</v>
      </c>
      <c r="AH71" s="61" t="str">
        <f>Tab_Data_Flows[[#This Row],[UoM_Flow_Py]]</f>
        <v>Mg</v>
      </c>
      <c r="AI71" s="114" t="e">
        <f>INDEX(Tab_Def_Flows[[Flow_ID]:[CC_DM_source]],MATCH(Tab_Data_Flows[[#This Row],[Name(EN)]],Tab_Def_Flows[Name(EN)],0),20)</f>
        <v>#N/A</v>
      </c>
      <c r="AJ71" s="115" t="str">
        <f>IF(L71="Yes",AI71*Tab_Data_Flows[[#This Row],[Flow_Py]],"N.A.")</f>
        <v>N.A.</v>
      </c>
      <c r="AK71" s="61" t="str">
        <f>Tab_Data_Flows[[#This Row],[UoM_Flow_Py]]</f>
        <v>Mg</v>
      </c>
    </row>
    <row r="72" spans="1:37" x14ac:dyDescent="0.35">
      <c r="A72" s="60">
        <f t="shared" si="2"/>
        <v>71</v>
      </c>
      <c r="B72" s="49" t="str">
        <f>_xlfn.XLOOKUP(C72,Tab_Def_Flows[Name(EN)],Tab_Def_Flows[Flow_ID],,0,)</f>
        <v>F_21_21</v>
      </c>
      <c r="C72" s="51"/>
      <c r="D72" s="49">
        <f>_xlfn.XLOOKUP(C72,Tab_Def_Flows[Name(EN)],Tab_Def_Flows[Type_Biomass],,0,)</f>
        <v>0</v>
      </c>
      <c r="E72" s="49">
        <f>_xlfn.XLOOKUP(C72,Tab_Def_Flows[Name(EN)],Tab_Def_Flows[Output_Process],,0,)</f>
        <v>0</v>
      </c>
      <c r="F72" s="49" t="str">
        <f>_xlfn.XLOOKUP(C72,Tab_Def_Flows[Name(EN)],Tab_Def_Flows[Process_ID_O],,0,)</f>
        <v>21__</v>
      </c>
      <c r="G72" s="49">
        <f>_xlfn.XLOOKUP(C72,Tab_Def_Flows[Name(EN)],Tab_Def_Flows[Input_Process],,0,)</f>
        <v>0</v>
      </c>
      <c r="H72" s="61" t="str">
        <f>_xlfn.XLOOKUP(C72,Tab_Def_Flows[Name(EN)],Tab_Def_Flows[Process_ID_I],,0,)</f>
        <v>21__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88"/>
      <c r="P72" s="51"/>
      <c r="Q72" s="51"/>
      <c r="R72" s="51"/>
      <c r="S72" s="69"/>
      <c r="T72" s="51"/>
      <c r="U72" s="51"/>
      <c r="V72" s="51"/>
      <c r="W72" s="51"/>
      <c r="X72" s="51"/>
      <c r="Y72" s="109"/>
      <c r="Z72" s="51"/>
      <c r="AA72" s="89">
        <f t="shared" si="3"/>
        <v>0</v>
      </c>
      <c r="AB72" s="51" t="s">
        <v>63</v>
      </c>
      <c r="AC72" s="114" t="e">
        <f>INDEX(Tab_Def_Flows[[Flow_ID]:[CC_DM_source]],MATCH(Tab_Data_Flows[[#This Row],[Name(EN)]],Tab_Def_Flows[Name(EN)],0),16)</f>
        <v>#N/A</v>
      </c>
      <c r="AD72" s="115" t="str">
        <f>IF(J72="Yes",AA72*Tab_Data_Flows[[#This Row],[WC_'[%']]],"N.A.")</f>
        <v>N.A.</v>
      </c>
      <c r="AE72" s="61" t="str">
        <f>Tab_Data_Flows[[#This Row],[UoM_Flow_Py]]</f>
        <v>Mg</v>
      </c>
      <c r="AF72" s="114" t="e">
        <f>INDEX(Tab_Def_Flows[[Flow_ID]:[CC_DM_source]],MATCH(Tab_Data_Flows[[#This Row],[Name(EN)]],Tab_Def_Flows[Name(EN)],0),18)</f>
        <v>#N/A</v>
      </c>
      <c r="AG72" s="115" t="str">
        <f>IF(K72="Yes",AF72*Tab_Data_Flows[[#This Row],[Flow_Py]],"N.A.")</f>
        <v>N.A.</v>
      </c>
      <c r="AH72" s="61" t="str">
        <f>Tab_Data_Flows[[#This Row],[UoM_Flow_Py]]</f>
        <v>Mg</v>
      </c>
      <c r="AI72" s="114" t="e">
        <f>INDEX(Tab_Def_Flows[[Flow_ID]:[CC_DM_source]],MATCH(Tab_Data_Flows[[#This Row],[Name(EN)]],Tab_Def_Flows[Name(EN)],0),20)</f>
        <v>#N/A</v>
      </c>
      <c r="AJ72" s="115" t="str">
        <f>IF(L72="Yes",AI72*Tab_Data_Flows[[#This Row],[Flow_Py]],"N.A.")</f>
        <v>N.A.</v>
      </c>
      <c r="AK72" s="61" t="str">
        <f>Tab_Data_Flows[[#This Row],[UoM_Flow_Py]]</f>
        <v>Mg</v>
      </c>
    </row>
    <row r="73" spans="1:37" x14ac:dyDescent="0.35">
      <c r="A73" s="60">
        <f t="shared" si="2"/>
        <v>72</v>
      </c>
      <c r="B73" s="49" t="str">
        <f>_xlfn.XLOOKUP(C73,Tab_Def_Flows[Name(EN)],Tab_Def_Flows[Flow_ID],,0,)</f>
        <v>F_21_21</v>
      </c>
      <c r="C73" s="51"/>
      <c r="D73" s="49">
        <f>_xlfn.XLOOKUP(C73,Tab_Def_Flows[Name(EN)],Tab_Def_Flows[Type_Biomass],,0,)</f>
        <v>0</v>
      </c>
      <c r="E73" s="49">
        <f>_xlfn.XLOOKUP(C73,Tab_Def_Flows[Name(EN)],Tab_Def_Flows[Output_Process],,0,)</f>
        <v>0</v>
      </c>
      <c r="F73" s="49" t="str">
        <f>_xlfn.XLOOKUP(C73,Tab_Def_Flows[Name(EN)],Tab_Def_Flows[Process_ID_O],,0,)</f>
        <v>21__</v>
      </c>
      <c r="G73" s="49">
        <f>_xlfn.XLOOKUP(C73,Tab_Def_Flows[Name(EN)],Tab_Def_Flows[Input_Process],,0,)</f>
        <v>0</v>
      </c>
      <c r="H73" s="61" t="str">
        <f>_xlfn.XLOOKUP(C73,Tab_Def_Flows[Name(EN)],Tab_Def_Flows[Process_ID_I],,0,)</f>
        <v>21__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88"/>
      <c r="P73" s="51"/>
      <c r="Q73" s="51"/>
      <c r="R73" s="51"/>
      <c r="S73" s="69"/>
      <c r="T73" s="51"/>
      <c r="U73" s="51"/>
      <c r="V73" s="51"/>
      <c r="W73" s="51"/>
      <c r="X73" s="51"/>
      <c r="Y73" s="109"/>
      <c r="Z73" s="51"/>
      <c r="AA73" s="89">
        <f t="shared" si="3"/>
        <v>0</v>
      </c>
      <c r="AB73" s="51" t="s">
        <v>63</v>
      </c>
      <c r="AC73" s="114" t="e">
        <f>INDEX(Tab_Def_Flows[[Flow_ID]:[CC_DM_source]],MATCH(Tab_Data_Flows[[#This Row],[Name(EN)]],Tab_Def_Flows[Name(EN)],0),16)</f>
        <v>#N/A</v>
      </c>
      <c r="AD73" s="115" t="str">
        <f>IF(J73="Yes",AA73*Tab_Data_Flows[[#This Row],[WC_'[%']]],"N.A.")</f>
        <v>N.A.</v>
      </c>
      <c r="AE73" s="61" t="str">
        <f>Tab_Data_Flows[[#This Row],[UoM_Flow_Py]]</f>
        <v>Mg</v>
      </c>
      <c r="AF73" s="114" t="e">
        <f>INDEX(Tab_Def_Flows[[Flow_ID]:[CC_DM_source]],MATCH(Tab_Data_Flows[[#This Row],[Name(EN)]],Tab_Def_Flows[Name(EN)],0),18)</f>
        <v>#N/A</v>
      </c>
      <c r="AG73" s="115" t="str">
        <f>IF(K73="Yes",AF73*Tab_Data_Flows[[#This Row],[Flow_Py]],"N.A.")</f>
        <v>N.A.</v>
      </c>
      <c r="AH73" s="61" t="str">
        <f>Tab_Data_Flows[[#This Row],[UoM_Flow_Py]]</f>
        <v>Mg</v>
      </c>
      <c r="AI73" s="114" t="e">
        <f>INDEX(Tab_Def_Flows[[Flow_ID]:[CC_DM_source]],MATCH(Tab_Data_Flows[[#This Row],[Name(EN)]],Tab_Def_Flows[Name(EN)],0),20)</f>
        <v>#N/A</v>
      </c>
      <c r="AJ73" s="115" t="str">
        <f>IF(L73="Yes",AI73*Tab_Data_Flows[[#This Row],[Flow_Py]],"N.A.")</f>
        <v>N.A.</v>
      </c>
      <c r="AK73" s="61" t="str">
        <f>Tab_Data_Flows[[#This Row],[UoM_Flow_Py]]</f>
        <v>Mg</v>
      </c>
    </row>
    <row r="74" spans="1:37" x14ac:dyDescent="0.35">
      <c r="A74" s="60">
        <f t="shared" si="2"/>
        <v>73</v>
      </c>
      <c r="B74" s="49" t="str">
        <f>_xlfn.XLOOKUP(C74,Tab_Def_Flows[Name(EN)],Tab_Def_Flows[Flow_ID],,0,)</f>
        <v>F_21_21</v>
      </c>
      <c r="C74" s="51"/>
      <c r="D74" s="49">
        <f>_xlfn.XLOOKUP(C74,Tab_Def_Flows[Name(EN)],Tab_Def_Flows[Type_Biomass],,0,)</f>
        <v>0</v>
      </c>
      <c r="E74" s="49">
        <f>_xlfn.XLOOKUP(C74,Tab_Def_Flows[Name(EN)],Tab_Def_Flows[Output_Process],,0,)</f>
        <v>0</v>
      </c>
      <c r="F74" s="49" t="str">
        <f>_xlfn.XLOOKUP(C74,Tab_Def_Flows[Name(EN)],Tab_Def_Flows[Process_ID_O],,0,)</f>
        <v>21__</v>
      </c>
      <c r="G74" s="49">
        <f>_xlfn.XLOOKUP(C74,Tab_Def_Flows[Name(EN)],Tab_Def_Flows[Input_Process],,0,)</f>
        <v>0</v>
      </c>
      <c r="H74" s="61" t="str">
        <f>_xlfn.XLOOKUP(C74,Tab_Def_Flows[Name(EN)],Tab_Def_Flows[Process_ID_I],,0,)</f>
        <v>21__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88"/>
      <c r="P74" s="51"/>
      <c r="Q74" s="51"/>
      <c r="R74" s="51"/>
      <c r="S74" s="69"/>
      <c r="T74" s="51"/>
      <c r="U74" s="51"/>
      <c r="V74" s="51"/>
      <c r="W74" s="51"/>
      <c r="X74" s="51"/>
      <c r="Y74" s="109"/>
      <c r="Z74" s="51"/>
      <c r="AA74" s="89">
        <f t="shared" si="3"/>
        <v>0</v>
      </c>
      <c r="AB74" s="51" t="s">
        <v>63</v>
      </c>
      <c r="AC74" s="114" t="e">
        <f>INDEX(Tab_Def_Flows[[Flow_ID]:[CC_DM_source]],MATCH(Tab_Data_Flows[[#This Row],[Name(EN)]],Tab_Def_Flows[Name(EN)],0),16)</f>
        <v>#N/A</v>
      </c>
      <c r="AD74" s="115" t="str">
        <f>IF(J74="Yes",AA74*Tab_Data_Flows[[#This Row],[WC_'[%']]],"N.A.")</f>
        <v>N.A.</v>
      </c>
      <c r="AE74" s="61" t="str">
        <f>Tab_Data_Flows[[#This Row],[UoM_Flow_Py]]</f>
        <v>Mg</v>
      </c>
      <c r="AF74" s="114" t="e">
        <f>INDEX(Tab_Def_Flows[[Flow_ID]:[CC_DM_source]],MATCH(Tab_Data_Flows[[#This Row],[Name(EN)]],Tab_Def_Flows[Name(EN)],0),18)</f>
        <v>#N/A</v>
      </c>
      <c r="AG74" s="115" t="str">
        <f>IF(K74="Yes",AF74*Tab_Data_Flows[[#This Row],[Flow_Py]],"N.A.")</f>
        <v>N.A.</v>
      </c>
      <c r="AH74" s="61" t="str">
        <f>Tab_Data_Flows[[#This Row],[UoM_Flow_Py]]</f>
        <v>Mg</v>
      </c>
      <c r="AI74" s="114" t="e">
        <f>INDEX(Tab_Def_Flows[[Flow_ID]:[CC_DM_source]],MATCH(Tab_Data_Flows[[#This Row],[Name(EN)]],Tab_Def_Flows[Name(EN)],0),20)</f>
        <v>#N/A</v>
      </c>
      <c r="AJ74" s="115" t="str">
        <f>IF(L74="Yes",AI74*Tab_Data_Flows[[#This Row],[Flow_Py]],"N.A.")</f>
        <v>N.A.</v>
      </c>
      <c r="AK74" s="61" t="str">
        <f>Tab_Data_Flows[[#This Row],[UoM_Flow_Py]]</f>
        <v>Mg</v>
      </c>
    </row>
    <row r="75" spans="1:37" x14ac:dyDescent="0.35">
      <c r="A75" s="60">
        <f t="shared" si="2"/>
        <v>74</v>
      </c>
      <c r="B75" s="49" t="str">
        <f>_xlfn.XLOOKUP(C75,Tab_Def_Flows[Name(EN)],Tab_Def_Flows[Flow_ID],,0,)</f>
        <v>F_21_21</v>
      </c>
      <c r="C75" s="51"/>
      <c r="D75" s="49">
        <f>_xlfn.XLOOKUP(C75,Tab_Def_Flows[Name(EN)],Tab_Def_Flows[Type_Biomass],,0,)</f>
        <v>0</v>
      </c>
      <c r="E75" s="49">
        <f>_xlfn.XLOOKUP(C75,Tab_Def_Flows[Name(EN)],Tab_Def_Flows[Output_Process],,0,)</f>
        <v>0</v>
      </c>
      <c r="F75" s="49" t="str">
        <f>_xlfn.XLOOKUP(C75,Tab_Def_Flows[Name(EN)],Tab_Def_Flows[Process_ID_O],,0,)</f>
        <v>21__</v>
      </c>
      <c r="G75" s="49">
        <f>_xlfn.XLOOKUP(C75,Tab_Def_Flows[Name(EN)],Tab_Def_Flows[Input_Process],,0,)</f>
        <v>0</v>
      </c>
      <c r="H75" s="61" t="str">
        <f>_xlfn.XLOOKUP(C75,Tab_Def_Flows[Name(EN)],Tab_Def_Flows[Process_ID_I],,0,)</f>
        <v>21__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88"/>
      <c r="P75" s="51"/>
      <c r="Q75" s="51"/>
      <c r="R75" s="51"/>
      <c r="S75" s="69"/>
      <c r="T75" s="51"/>
      <c r="U75" s="51"/>
      <c r="V75" s="51"/>
      <c r="W75" s="51"/>
      <c r="X75" s="51"/>
      <c r="Y75" s="109"/>
      <c r="Z75" s="51"/>
      <c r="AA75" s="89">
        <f t="shared" si="3"/>
        <v>0</v>
      </c>
      <c r="AB75" s="51" t="s">
        <v>63</v>
      </c>
      <c r="AC75" s="114" t="e">
        <f>INDEX(Tab_Def_Flows[[Flow_ID]:[CC_DM_source]],MATCH(Tab_Data_Flows[[#This Row],[Name(EN)]],Tab_Def_Flows[Name(EN)],0),16)</f>
        <v>#N/A</v>
      </c>
      <c r="AD75" s="115" t="str">
        <f>IF(J75="Yes",AA75*Tab_Data_Flows[[#This Row],[WC_'[%']]],"N.A.")</f>
        <v>N.A.</v>
      </c>
      <c r="AE75" s="61" t="str">
        <f>Tab_Data_Flows[[#This Row],[UoM_Flow_Py]]</f>
        <v>Mg</v>
      </c>
      <c r="AF75" s="114" t="e">
        <f>INDEX(Tab_Def_Flows[[Flow_ID]:[CC_DM_source]],MATCH(Tab_Data_Flows[[#This Row],[Name(EN)]],Tab_Def_Flows[Name(EN)],0),18)</f>
        <v>#N/A</v>
      </c>
      <c r="AG75" s="115" t="str">
        <f>IF(K75="Yes",AF75*Tab_Data_Flows[[#This Row],[Flow_Py]],"N.A.")</f>
        <v>N.A.</v>
      </c>
      <c r="AH75" s="61" t="str">
        <f>Tab_Data_Flows[[#This Row],[UoM_Flow_Py]]</f>
        <v>Mg</v>
      </c>
      <c r="AI75" s="114" t="e">
        <f>INDEX(Tab_Def_Flows[[Flow_ID]:[CC_DM_source]],MATCH(Tab_Data_Flows[[#This Row],[Name(EN)]],Tab_Def_Flows[Name(EN)],0),20)</f>
        <v>#N/A</v>
      </c>
      <c r="AJ75" s="115" t="str">
        <f>IF(L75="Yes",AI75*Tab_Data_Flows[[#This Row],[Flow_Py]],"N.A.")</f>
        <v>N.A.</v>
      </c>
      <c r="AK75" s="61" t="str">
        <f>Tab_Data_Flows[[#This Row],[UoM_Flow_Py]]</f>
        <v>Mg</v>
      </c>
    </row>
    <row r="76" spans="1:37" x14ac:dyDescent="0.35">
      <c r="A76" s="60">
        <f t="shared" si="2"/>
        <v>75</v>
      </c>
      <c r="B76" s="49" t="str">
        <f>_xlfn.XLOOKUP(C76,Tab_Def_Flows[Name(EN)],Tab_Def_Flows[Flow_ID],,0,)</f>
        <v>F_21_21</v>
      </c>
      <c r="C76" s="51"/>
      <c r="D76" s="49">
        <f>_xlfn.XLOOKUP(C76,Tab_Def_Flows[Name(EN)],Tab_Def_Flows[Type_Biomass],,0,)</f>
        <v>0</v>
      </c>
      <c r="E76" s="49">
        <f>_xlfn.XLOOKUP(C76,Tab_Def_Flows[Name(EN)],Tab_Def_Flows[Output_Process],,0,)</f>
        <v>0</v>
      </c>
      <c r="F76" s="49" t="str">
        <f>_xlfn.XLOOKUP(C76,Tab_Def_Flows[Name(EN)],Tab_Def_Flows[Process_ID_O],,0,)</f>
        <v>21__</v>
      </c>
      <c r="G76" s="49">
        <f>_xlfn.XLOOKUP(C76,Tab_Def_Flows[Name(EN)],Tab_Def_Flows[Input_Process],,0,)</f>
        <v>0</v>
      </c>
      <c r="H76" s="61" t="str">
        <f>_xlfn.XLOOKUP(C76,Tab_Def_Flows[Name(EN)],Tab_Def_Flows[Process_ID_I],,0,)</f>
        <v>21__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88"/>
      <c r="P76" s="51"/>
      <c r="Q76" s="51"/>
      <c r="R76" s="51"/>
      <c r="S76" s="69"/>
      <c r="T76" s="51"/>
      <c r="U76" s="51"/>
      <c r="V76" s="51"/>
      <c r="W76" s="51"/>
      <c r="X76" s="51"/>
      <c r="Y76" s="109"/>
      <c r="Z76" s="51"/>
      <c r="AA76" s="89">
        <f t="shared" si="3"/>
        <v>0</v>
      </c>
      <c r="AB76" s="51" t="s">
        <v>63</v>
      </c>
      <c r="AC76" s="114" t="e">
        <f>INDEX(Tab_Def_Flows[[Flow_ID]:[CC_DM_source]],MATCH(Tab_Data_Flows[[#This Row],[Name(EN)]],Tab_Def_Flows[Name(EN)],0),16)</f>
        <v>#N/A</v>
      </c>
      <c r="AD76" s="115" t="str">
        <f>IF(J76="Yes",AA76*Tab_Data_Flows[[#This Row],[WC_'[%']]],"N.A.")</f>
        <v>N.A.</v>
      </c>
      <c r="AE76" s="61" t="str">
        <f>Tab_Data_Flows[[#This Row],[UoM_Flow_Py]]</f>
        <v>Mg</v>
      </c>
      <c r="AF76" s="114" t="e">
        <f>INDEX(Tab_Def_Flows[[Flow_ID]:[CC_DM_source]],MATCH(Tab_Data_Flows[[#This Row],[Name(EN)]],Tab_Def_Flows[Name(EN)],0),18)</f>
        <v>#N/A</v>
      </c>
      <c r="AG76" s="115" t="str">
        <f>IF(K76="Yes",AF76*Tab_Data_Flows[[#This Row],[Flow_Py]],"N.A.")</f>
        <v>N.A.</v>
      </c>
      <c r="AH76" s="61" t="str">
        <f>Tab_Data_Flows[[#This Row],[UoM_Flow_Py]]</f>
        <v>Mg</v>
      </c>
      <c r="AI76" s="114" t="e">
        <f>INDEX(Tab_Def_Flows[[Flow_ID]:[CC_DM_source]],MATCH(Tab_Data_Flows[[#This Row],[Name(EN)]],Tab_Def_Flows[Name(EN)],0),20)</f>
        <v>#N/A</v>
      </c>
      <c r="AJ76" s="115" t="str">
        <f>IF(L76="Yes",AI76*Tab_Data_Flows[[#This Row],[Flow_Py]],"N.A.")</f>
        <v>N.A.</v>
      </c>
      <c r="AK76" s="61" t="str">
        <f>Tab_Data_Flows[[#This Row],[UoM_Flow_Py]]</f>
        <v>Mg</v>
      </c>
    </row>
    <row r="77" spans="1:37" x14ac:dyDescent="0.35">
      <c r="A77" s="60">
        <f t="shared" si="2"/>
        <v>76</v>
      </c>
      <c r="B77" s="49" t="str">
        <f>_xlfn.XLOOKUP(C77,Tab_Def_Flows[Name(EN)],Tab_Def_Flows[Flow_ID],,0,)</f>
        <v>F_21_21</v>
      </c>
      <c r="C77" s="51"/>
      <c r="D77" s="49">
        <f>_xlfn.XLOOKUP(C77,Tab_Def_Flows[Name(EN)],Tab_Def_Flows[Type_Biomass],,0,)</f>
        <v>0</v>
      </c>
      <c r="E77" s="49">
        <f>_xlfn.XLOOKUP(C77,Tab_Def_Flows[Name(EN)],Tab_Def_Flows[Output_Process],,0,)</f>
        <v>0</v>
      </c>
      <c r="F77" s="49" t="str">
        <f>_xlfn.XLOOKUP(C77,Tab_Def_Flows[Name(EN)],Tab_Def_Flows[Process_ID_O],,0,)</f>
        <v>21__</v>
      </c>
      <c r="G77" s="49">
        <f>_xlfn.XLOOKUP(C77,Tab_Def_Flows[Name(EN)],Tab_Def_Flows[Input_Process],,0,)</f>
        <v>0</v>
      </c>
      <c r="H77" s="61" t="str">
        <f>_xlfn.XLOOKUP(C77,Tab_Def_Flows[Name(EN)],Tab_Def_Flows[Process_ID_I],,0,)</f>
        <v>21__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88"/>
      <c r="P77" s="51"/>
      <c r="Q77" s="51"/>
      <c r="R77" s="51"/>
      <c r="S77" s="69"/>
      <c r="T77" s="51"/>
      <c r="U77" s="51"/>
      <c r="V77" s="51"/>
      <c r="W77" s="51"/>
      <c r="X77" s="51"/>
      <c r="Y77" s="109"/>
      <c r="Z77" s="51"/>
      <c r="AA77" s="89">
        <f t="shared" si="3"/>
        <v>0</v>
      </c>
      <c r="AB77" s="51" t="s">
        <v>63</v>
      </c>
      <c r="AC77" s="114" t="e">
        <f>INDEX(Tab_Def_Flows[[Flow_ID]:[CC_DM_source]],MATCH(Tab_Data_Flows[[#This Row],[Name(EN)]],Tab_Def_Flows[Name(EN)],0),16)</f>
        <v>#N/A</v>
      </c>
      <c r="AD77" s="115" t="str">
        <f>IF(J77="Yes",AA77*Tab_Data_Flows[[#This Row],[WC_'[%']]],"N.A.")</f>
        <v>N.A.</v>
      </c>
      <c r="AE77" s="61" t="str">
        <f>Tab_Data_Flows[[#This Row],[UoM_Flow_Py]]</f>
        <v>Mg</v>
      </c>
      <c r="AF77" s="114" t="e">
        <f>INDEX(Tab_Def_Flows[[Flow_ID]:[CC_DM_source]],MATCH(Tab_Data_Flows[[#This Row],[Name(EN)]],Tab_Def_Flows[Name(EN)],0),18)</f>
        <v>#N/A</v>
      </c>
      <c r="AG77" s="115" t="str">
        <f>IF(K77="Yes",AF77*Tab_Data_Flows[[#This Row],[Flow_Py]],"N.A.")</f>
        <v>N.A.</v>
      </c>
      <c r="AH77" s="61" t="str">
        <f>Tab_Data_Flows[[#This Row],[UoM_Flow_Py]]</f>
        <v>Mg</v>
      </c>
      <c r="AI77" s="114" t="e">
        <f>INDEX(Tab_Def_Flows[[Flow_ID]:[CC_DM_source]],MATCH(Tab_Data_Flows[[#This Row],[Name(EN)]],Tab_Def_Flows[Name(EN)],0),20)</f>
        <v>#N/A</v>
      </c>
      <c r="AJ77" s="115" t="str">
        <f>IF(L77="Yes",AI77*Tab_Data_Flows[[#This Row],[Flow_Py]],"N.A.")</f>
        <v>N.A.</v>
      </c>
      <c r="AK77" s="61" t="str">
        <f>Tab_Data_Flows[[#This Row],[UoM_Flow_Py]]</f>
        <v>Mg</v>
      </c>
    </row>
    <row r="78" spans="1:37" x14ac:dyDescent="0.35">
      <c r="A78" s="60">
        <f t="shared" si="2"/>
        <v>77</v>
      </c>
      <c r="B78" s="49" t="str">
        <f>_xlfn.XLOOKUP(C78,Tab_Def_Flows[Name(EN)],Tab_Def_Flows[Flow_ID],,0,)</f>
        <v>F_21_21</v>
      </c>
      <c r="C78" s="51"/>
      <c r="D78" s="49">
        <f>_xlfn.XLOOKUP(C78,Tab_Def_Flows[Name(EN)],Tab_Def_Flows[Type_Biomass],,0,)</f>
        <v>0</v>
      </c>
      <c r="E78" s="49">
        <f>_xlfn.XLOOKUP(C78,Tab_Def_Flows[Name(EN)],Tab_Def_Flows[Output_Process],,0,)</f>
        <v>0</v>
      </c>
      <c r="F78" s="49" t="str">
        <f>_xlfn.XLOOKUP(C78,Tab_Def_Flows[Name(EN)],Tab_Def_Flows[Process_ID_O],,0,)</f>
        <v>21__</v>
      </c>
      <c r="G78" s="49">
        <f>_xlfn.XLOOKUP(C78,Tab_Def_Flows[Name(EN)],Tab_Def_Flows[Input_Process],,0,)</f>
        <v>0</v>
      </c>
      <c r="H78" s="61" t="str">
        <f>_xlfn.XLOOKUP(C78,Tab_Def_Flows[Name(EN)],Tab_Def_Flows[Process_ID_I],,0,)</f>
        <v>21__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88"/>
      <c r="P78" s="51"/>
      <c r="Q78" s="51"/>
      <c r="R78" s="51"/>
      <c r="S78" s="69"/>
      <c r="T78" s="51"/>
      <c r="U78" s="51"/>
      <c r="V78" s="51"/>
      <c r="W78" s="51"/>
      <c r="X78" s="51"/>
      <c r="Y78" s="109"/>
      <c r="Z78" s="51"/>
      <c r="AA78" s="89">
        <f t="shared" si="3"/>
        <v>0</v>
      </c>
      <c r="AB78" s="51" t="s">
        <v>63</v>
      </c>
      <c r="AC78" s="114" t="e">
        <f>INDEX(Tab_Def_Flows[[Flow_ID]:[CC_DM_source]],MATCH(Tab_Data_Flows[[#This Row],[Name(EN)]],Tab_Def_Flows[Name(EN)],0),16)</f>
        <v>#N/A</v>
      </c>
      <c r="AD78" s="115" t="str">
        <f>IF(J78="Yes",AA78*Tab_Data_Flows[[#This Row],[WC_'[%']]],"N.A.")</f>
        <v>N.A.</v>
      </c>
      <c r="AE78" s="61" t="str">
        <f>Tab_Data_Flows[[#This Row],[UoM_Flow_Py]]</f>
        <v>Mg</v>
      </c>
      <c r="AF78" s="114" t="e">
        <f>INDEX(Tab_Def_Flows[[Flow_ID]:[CC_DM_source]],MATCH(Tab_Data_Flows[[#This Row],[Name(EN)]],Tab_Def_Flows[Name(EN)],0),18)</f>
        <v>#N/A</v>
      </c>
      <c r="AG78" s="115" t="str">
        <f>IF(K78="Yes",AF78*Tab_Data_Flows[[#This Row],[Flow_Py]],"N.A.")</f>
        <v>N.A.</v>
      </c>
      <c r="AH78" s="61" t="str">
        <f>Tab_Data_Flows[[#This Row],[UoM_Flow_Py]]</f>
        <v>Mg</v>
      </c>
      <c r="AI78" s="114" t="e">
        <f>INDEX(Tab_Def_Flows[[Flow_ID]:[CC_DM_source]],MATCH(Tab_Data_Flows[[#This Row],[Name(EN)]],Tab_Def_Flows[Name(EN)],0),20)</f>
        <v>#N/A</v>
      </c>
      <c r="AJ78" s="115" t="str">
        <f>IF(L78="Yes",AI78*Tab_Data_Flows[[#This Row],[Flow_Py]],"N.A.")</f>
        <v>N.A.</v>
      </c>
      <c r="AK78" s="61" t="str">
        <f>Tab_Data_Flows[[#This Row],[UoM_Flow_Py]]</f>
        <v>Mg</v>
      </c>
    </row>
    <row r="79" spans="1:37" x14ac:dyDescent="0.35">
      <c r="A79" s="60">
        <f t="shared" si="2"/>
        <v>78</v>
      </c>
      <c r="B79" s="49" t="str">
        <f>_xlfn.XLOOKUP(C79,Tab_Def_Flows[Name(EN)],Tab_Def_Flows[Flow_ID],,0,)</f>
        <v>F_21_21</v>
      </c>
      <c r="C79" s="51"/>
      <c r="D79" s="49">
        <f>_xlfn.XLOOKUP(C79,Tab_Def_Flows[Name(EN)],Tab_Def_Flows[Type_Biomass],,0,)</f>
        <v>0</v>
      </c>
      <c r="E79" s="49">
        <f>_xlfn.XLOOKUP(C79,Tab_Def_Flows[Name(EN)],Tab_Def_Flows[Output_Process],,0,)</f>
        <v>0</v>
      </c>
      <c r="F79" s="49" t="str">
        <f>_xlfn.XLOOKUP(C79,Tab_Def_Flows[Name(EN)],Tab_Def_Flows[Process_ID_O],,0,)</f>
        <v>21__</v>
      </c>
      <c r="G79" s="49">
        <f>_xlfn.XLOOKUP(C79,Tab_Def_Flows[Name(EN)],Tab_Def_Flows[Input_Process],,0,)</f>
        <v>0</v>
      </c>
      <c r="H79" s="61" t="str">
        <f>_xlfn.XLOOKUP(C79,Tab_Def_Flows[Name(EN)],Tab_Def_Flows[Process_ID_I],,0,)</f>
        <v>21__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88"/>
      <c r="P79" s="51"/>
      <c r="Q79" s="51"/>
      <c r="R79" s="51"/>
      <c r="S79" s="69"/>
      <c r="T79" s="51"/>
      <c r="U79" s="51"/>
      <c r="V79" s="51"/>
      <c r="W79" s="51"/>
      <c r="X79" s="51"/>
      <c r="Y79" s="109"/>
      <c r="Z79" s="51"/>
      <c r="AA79" s="89">
        <f t="shared" si="3"/>
        <v>0</v>
      </c>
      <c r="AB79" s="51" t="s">
        <v>63</v>
      </c>
      <c r="AC79" s="114" t="e">
        <f>INDEX(Tab_Def_Flows[[Flow_ID]:[CC_DM_source]],MATCH(Tab_Data_Flows[[#This Row],[Name(EN)]],Tab_Def_Flows[Name(EN)],0),16)</f>
        <v>#N/A</v>
      </c>
      <c r="AD79" s="115" t="str">
        <f>IF(J79="Yes",AA79*Tab_Data_Flows[[#This Row],[WC_'[%']]],"N.A.")</f>
        <v>N.A.</v>
      </c>
      <c r="AE79" s="61" t="str">
        <f>Tab_Data_Flows[[#This Row],[UoM_Flow_Py]]</f>
        <v>Mg</v>
      </c>
      <c r="AF79" s="114" t="e">
        <f>INDEX(Tab_Def_Flows[[Flow_ID]:[CC_DM_source]],MATCH(Tab_Data_Flows[[#This Row],[Name(EN)]],Tab_Def_Flows[Name(EN)],0),18)</f>
        <v>#N/A</v>
      </c>
      <c r="AG79" s="115" t="str">
        <f>IF(K79="Yes",AF79*Tab_Data_Flows[[#This Row],[Flow_Py]],"N.A.")</f>
        <v>N.A.</v>
      </c>
      <c r="AH79" s="61" t="str">
        <f>Tab_Data_Flows[[#This Row],[UoM_Flow_Py]]</f>
        <v>Mg</v>
      </c>
      <c r="AI79" s="114" t="e">
        <f>INDEX(Tab_Def_Flows[[Flow_ID]:[CC_DM_source]],MATCH(Tab_Data_Flows[[#This Row],[Name(EN)]],Tab_Def_Flows[Name(EN)],0),20)</f>
        <v>#N/A</v>
      </c>
      <c r="AJ79" s="115" t="str">
        <f>IF(L79="Yes",AI79*Tab_Data_Flows[[#This Row],[Flow_Py]],"N.A.")</f>
        <v>N.A.</v>
      </c>
      <c r="AK79" s="61" t="str">
        <f>Tab_Data_Flows[[#This Row],[UoM_Flow_Py]]</f>
        <v>Mg</v>
      </c>
    </row>
    <row r="80" spans="1:37" x14ac:dyDescent="0.35">
      <c r="A80" s="60">
        <f t="shared" si="2"/>
        <v>79</v>
      </c>
      <c r="B80" s="49" t="str">
        <f>_xlfn.XLOOKUP(C80,Tab_Def_Flows[Name(EN)],Tab_Def_Flows[Flow_ID],,0,)</f>
        <v>F_21_21</v>
      </c>
      <c r="C80" s="51"/>
      <c r="D80" s="49">
        <f>_xlfn.XLOOKUP(C80,Tab_Def_Flows[Name(EN)],Tab_Def_Flows[Type_Biomass],,0,)</f>
        <v>0</v>
      </c>
      <c r="E80" s="49">
        <f>_xlfn.XLOOKUP(C80,Tab_Def_Flows[Name(EN)],Tab_Def_Flows[Output_Process],,0,)</f>
        <v>0</v>
      </c>
      <c r="F80" s="49" t="str">
        <f>_xlfn.XLOOKUP(C80,Tab_Def_Flows[Name(EN)],Tab_Def_Flows[Process_ID_O],,0,)</f>
        <v>21__</v>
      </c>
      <c r="G80" s="49">
        <f>_xlfn.XLOOKUP(C80,Tab_Def_Flows[Name(EN)],Tab_Def_Flows[Input_Process],,0,)</f>
        <v>0</v>
      </c>
      <c r="H80" s="61" t="str">
        <f>_xlfn.XLOOKUP(C80,Tab_Def_Flows[Name(EN)],Tab_Def_Flows[Process_ID_I],,0,)</f>
        <v>21__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88"/>
      <c r="P80" s="51"/>
      <c r="Q80" s="51"/>
      <c r="R80" s="51"/>
      <c r="S80" s="69"/>
      <c r="T80" s="51"/>
      <c r="U80" s="51"/>
      <c r="V80" s="51"/>
      <c r="W80" s="51"/>
      <c r="X80" s="51"/>
      <c r="Y80" s="109"/>
      <c r="Z80" s="51"/>
      <c r="AA80" s="89">
        <f t="shared" si="3"/>
        <v>0</v>
      </c>
      <c r="AB80" s="51" t="s">
        <v>63</v>
      </c>
      <c r="AC80" s="114" t="e">
        <f>INDEX(Tab_Def_Flows[[Flow_ID]:[CC_DM_source]],MATCH(Tab_Data_Flows[[#This Row],[Name(EN)]],Tab_Def_Flows[Name(EN)],0),16)</f>
        <v>#N/A</v>
      </c>
      <c r="AD80" s="115" t="str">
        <f>IF(J80="Yes",AA80*Tab_Data_Flows[[#This Row],[WC_'[%']]],"N.A.")</f>
        <v>N.A.</v>
      </c>
      <c r="AE80" s="61" t="str">
        <f>Tab_Data_Flows[[#This Row],[UoM_Flow_Py]]</f>
        <v>Mg</v>
      </c>
      <c r="AF80" s="114" t="e">
        <f>INDEX(Tab_Def_Flows[[Flow_ID]:[CC_DM_source]],MATCH(Tab_Data_Flows[[#This Row],[Name(EN)]],Tab_Def_Flows[Name(EN)],0),18)</f>
        <v>#N/A</v>
      </c>
      <c r="AG80" s="115" t="str">
        <f>IF(K80="Yes",AF80*Tab_Data_Flows[[#This Row],[Flow_Py]],"N.A.")</f>
        <v>N.A.</v>
      </c>
      <c r="AH80" s="61" t="str">
        <f>Tab_Data_Flows[[#This Row],[UoM_Flow_Py]]</f>
        <v>Mg</v>
      </c>
      <c r="AI80" s="114" t="e">
        <f>INDEX(Tab_Def_Flows[[Flow_ID]:[CC_DM_source]],MATCH(Tab_Data_Flows[[#This Row],[Name(EN)]],Tab_Def_Flows[Name(EN)],0),20)</f>
        <v>#N/A</v>
      </c>
      <c r="AJ80" s="115" t="str">
        <f>IF(L80="Yes",AI80*Tab_Data_Flows[[#This Row],[Flow_Py]],"N.A.")</f>
        <v>N.A.</v>
      </c>
      <c r="AK80" s="61" t="str">
        <f>Tab_Data_Flows[[#This Row],[UoM_Flow_Py]]</f>
        <v>Mg</v>
      </c>
    </row>
    <row r="81" spans="1:37" x14ac:dyDescent="0.35">
      <c r="A81" s="60">
        <f t="shared" si="2"/>
        <v>80</v>
      </c>
      <c r="B81" s="49" t="str">
        <f>_xlfn.XLOOKUP(C81,Tab_Def_Flows[Name(EN)],Tab_Def_Flows[Flow_ID],,0,)</f>
        <v>F_21_21</v>
      </c>
      <c r="C81" s="51"/>
      <c r="D81" s="49">
        <f>_xlfn.XLOOKUP(C81,Tab_Def_Flows[Name(EN)],Tab_Def_Flows[Type_Biomass],,0,)</f>
        <v>0</v>
      </c>
      <c r="E81" s="49">
        <f>_xlfn.XLOOKUP(C81,Tab_Def_Flows[Name(EN)],Tab_Def_Flows[Output_Process],,0,)</f>
        <v>0</v>
      </c>
      <c r="F81" s="49" t="str">
        <f>_xlfn.XLOOKUP(C81,Tab_Def_Flows[Name(EN)],Tab_Def_Flows[Process_ID_O],,0,)</f>
        <v>21__</v>
      </c>
      <c r="G81" s="49">
        <f>_xlfn.XLOOKUP(C81,Tab_Def_Flows[Name(EN)],Tab_Def_Flows[Input_Process],,0,)</f>
        <v>0</v>
      </c>
      <c r="H81" s="61" t="str">
        <f>_xlfn.XLOOKUP(C81,Tab_Def_Flows[Name(EN)],Tab_Def_Flows[Process_ID_I],,0,)</f>
        <v>21__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88"/>
      <c r="P81" s="51"/>
      <c r="Q81" s="51"/>
      <c r="R81" s="51"/>
      <c r="S81" s="69"/>
      <c r="T81" s="51"/>
      <c r="U81" s="51"/>
      <c r="V81" s="51"/>
      <c r="W81" s="51"/>
      <c r="X81" s="51"/>
      <c r="Y81" s="109"/>
      <c r="Z81" s="51"/>
      <c r="AA81" s="89">
        <f t="shared" si="3"/>
        <v>0</v>
      </c>
      <c r="AB81" s="51" t="s">
        <v>63</v>
      </c>
      <c r="AC81" s="114" t="e">
        <f>INDEX(Tab_Def_Flows[[Flow_ID]:[CC_DM_source]],MATCH(Tab_Data_Flows[[#This Row],[Name(EN)]],Tab_Def_Flows[Name(EN)],0),16)</f>
        <v>#N/A</v>
      </c>
      <c r="AD81" s="115" t="str">
        <f>IF(J81="Yes",AA81*Tab_Data_Flows[[#This Row],[WC_'[%']]],"N.A.")</f>
        <v>N.A.</v>
      </c>
      <c r="AE81" s="61" t="str">
        <f>Tab_Data_Flows[[#This Row],[UoM_Flow_Py]]</f>
        <v>Mg</v>
      </c>
      <c r="AF81" s="114" t="e">
        <f>INDEX(Tab_Def_Flows[[Flow_ID]:[CC_DM_source]],MATCH(Tab_Data_Flows[[#This Row],[Name(EN)]],Tab_Def_Flows[Name(EN)],0),18)</f>
        <v>#N/A</v>
      </c>
      <c r="AG81" s="115" t="str">
        <f>IF(K81="Yes",AF81*Tab_Data_Flows[[#This Row],[Flow_Py]],"N.A.")</f>
        <v>N.A.</v>
      </c>
      <c r="AH81" s="61" t="str">
        <f>Tab_Data_Flows[[#This Row],[UoM_Flow_Py]]</f>
        <v>Mg</v>
      </c>
      <c r="AI81" s="114" t="e">
        <f>INDEX(Tab_Def_Flows[[Flow_ID]:[CC_DM_source]],MATCH(Tab_Data_Flows[[#This Row],[Name(EN)]],Tab_Def_Flows[Name(EN)],0),20)</f>
        <v>#N/A</v>
      </c>
      <c r="AJ81" s="115" t="str">
        <f>IF(L81="Yes",AI81*Tab_Data_Flows[[#This Row],[Flow_Py]],"N.A.")</f>
        <v>N.A.</v>
      </c>
      <c r="AK81" s="61" t="str">
        <f>Tab_Data_Flows[[#This Row],[UoM_Flow_Py]]</f>
        <v>Mg</v>
      </c>
    </row>
    <row r="82" spans="1:37" x14ac:dyDescent="0.35">
      <c r="A82" s="60">
        <f t="shared" si="2"/>
        <v>81</v>
      </c>
      <c r="B82" s="49" t="str">
        <f>_xlfn.XLOOKUP(C82,Tab_Def_Flows[Name(EN)],Tab_Def_Flows[Flow_ID],,0,)</f>
        <v>F_21_21</v>
      </c>
      <c r="C82" s="51"/>
      <c r="D82" s="49">
        <f>_xlfn.XLOOKUP(C82,Tab_Def_Flows[Name(EN)],Tab_Def_Flows[Type_Biomass],,0,)</f>
        <v>0</v>
      </c>
      <c r="E82" s="49">
        <f>_xlfn.XLOOKUP(C82,Tab_Def_Flows[Name(EN)],Tab_Def_Flows[Output_Process],,0,)</f>
        <v>0</v>
      </c>
      <c r="F82" s="49" t="str">
        <f>_xlfn.XLOOKUP(C82,Tab_Def_Flows[Name(EN)],Tab_Def_Flows[Process_ID_O],,0,)</f>
        <v>21__</v>
      </c>
      <c r="G82" s="49">
        <f>_xlfn.XLOOKUP(C82,Tab_Def_Flows[Name(EN)],Tab_Def_Flows[Input_Process],,0,)</f>
        <v>0</v>
      </c>
      <c r="H82" s="61" t="str">
        <f>_xlfn.XLOOKUP(C82,Tab_Def_Flows[Name(EN)],Tab_Def_Flows[Process_ID_I],,0,)</f>
        <v>21__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88"/>
      <c r="P82" s="51"/>
      <c r="Q82" s="51"/>
      <c r="R82" s="51"/>
      <c r="S82" s="69"/>
      <c r="T82" s="51"/>
      <c r="U82" s="51"/>
      <c r="V82" s="51"/>
      <c r="W82" s="51"/>
      <c r="X82" s="51"/>
      <c r="Y82" s="109"/>
      <c r="Z82" s="51"/>
      <c r="AA82" s="89">
        <f t="shared" si="3"/>
        <v>0</v>
      </c>
      <c r="AB82" s="51" t="s">
        <v>63</v>
      </c>
      <c r="AC82" s="114" t="e">
        <f>INDEX(Tab_Def_Flows[[Flow_ID]:[CC_DM_source]],MATCH(Tab_Data_Flows[[#This Row],[Name(EN)]],Tab_Def_Flows[Name(EN)],0),16)</f>
        <v>#N/A</v>
      </c>
      <c r="AD82" s="115" t="str">
        <f>IF(J82="Yes",AA82*Tab_Data_Flows[[#This Row],[WC_'[%']]],"N.A.")</f>
        <v>N.A.</v>
      </c>
      <c r="AE82" s="61" t="str">
        <f>Tab_Data_Flows[[#This Row],[UoM_Flow_Py]]</f>
        <v>Mg</v>
      </c>
      <c r="AF82" s="114" t="e">
        <f>INDEX(Tab_Def_Flows[[Flow_ID]:[CC_DM_source]],MATCH(Tab_Data_Flows[[#This Row],[Name(EN)]],Tab_Def_Flows[Name(EN)],0),18)</f>
        <v>#N/A</v>
      </c>
      <c r="AG82" s="115" t="str">
        <f>IF(K82="Yes",AF82*Tab_Data_Flows[[#This Row],[Flow_Py]],"N.A.")</f>
        <v>N.A.</v>
      </c>
      <c r="AH82" s="61" t="str">
        <f>Tab_Data_Flows[[#This Row],[UoM_Flow_Py]]</f>
        <v>Mg</v>
      </c>
      <c r="AI82" s="114" t="e">
        <f>INDEX(Tab_Def_Flows[[Flow_ID]:[CC_DM_source]],MATCH(Tab_Data_Flows[[#This Row],[Name(EN)]],Tab_Def_Flows[Name(EN)],0),20)</f>
        <v>#N/A</v>
      </c>
      <c r="AJ82" s="115" t="str">
        <f>IF(L82="Yes",AI82*Tab_Data_Flows[[#This Row],[Flow_Py]],"N.A.")</f>
        <v>N.A.</v>
      </c>
      <c r="AK82" s="61" t="str">
        <f>Tab_Data_Flows[[#This Row],[UoM_Flow_Py]]</f>
        <v>Mg</v>
      </c>
    </row>
    <row r="83" spans="1:37" x14ac:dyDescent="0.35">
      <c r="A83" s="60">
        <f t="shared" si="2"/>
        <v>82</v>
      </c>
      <c r="B83" s="49" t="str">
        <f>_xlfn.XLOOKUP(C83,Tab_Def_Flows[Name(EN)],Tab_Def_Flows[Flow_ID],,0,)</f>
        <v>F_21_21</v>
      </c>
      <c r="C83" s="51"/>
      <c r="D83" s="49">
        <f>_xlfn.XLOOKUP(C83,Tab_Def_Flows[Name(EN)],Tab_Def_Flows[Type_Biomass],,0,)</f>
        <v>0</v>
      </c>
      <c r="E83" s="49">
        <f>_xlfn.XLOOKUP(C83,Tab_Def_Flows[Name(EN)],Tab_Def_Flows[Output_Process],,0,)</f>
        <v>0</v>
      </c>
      <c r="F83" s="49" t="str">
        <f>_xlfn.XLOOKUP(C83,Tab_Def_Flows[Name(EN)],Tab_Def_Flows[Process_ID_O],,0,)</f>
        <v>21__</v>
      </c>
      <c r="G83" s="49">
        <f>_xlfn.XLOOKUP(C83,Tab_Def_Flows[Name(EN)],Tab_Def_Flows[Input_Process],,0,)</f>
        <v>0</v>
      </c>
      <c r="H83" s="61" t="str">
        <f>_xlfn.XLOOKUP(C83,Tab_Def_Flows[Name(EN)],Tab_Def_Flows[Process_ID_I],,0,)</f>
        <v>21__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88"/>
      <c r="P83" s="51"/>
      <c r="Q83" s="51"/>
      <c r="R83" s="51"/>
      <c r="S83" s="69"/>
      <c r="T83" s="51"/>
      <c r="U83" s="51"/>
      <c r="V83" s="51"/>
      <c r="W83" s="51"/>
      <c r="X83" s="51"/>
      <c r="Y83" s="109"/>
      <c r="Z83" s="51"/>
      <c r="AA83" s="89">
        <f t="shared" si="3"/>
        <v>0</v>
      </c>
      <c r="AB83" s="51" t="s">
        <v>63</v>
      </c>
      <c r="AC83" s="114" t="e">
        <f>INDEX(Tab_Def_Flows[[Flow_ID]:[CC_DM_source]],MATCH(Tab_Data_Flows[[#This Row],[Name(EN)]],Tab_Def_Flows[Name(EN)],0),16)</f>
        <v>#N/A</v>
      </c>
      <c r="AD83" s="115" t="str">
        <f>IF(J83="Yes",AA83*Tab_Data_Flows[[#This Row],[WC_'[%']]],"N.A.")</f>
        <v>N.A.</v>
      </c>
      <c r="AE83" s="61" t="str">
        <f>Tab_Data_Flows[[#This Row],[UoM_Flow_Py]]</f>
        <v>Mg</v>
      </c>
      <c r="AF83" s="114" t="e">
        <f>INDEX(Tab_Def_Flows[[Flow_ID]:[CC_DM_source]],MATCH(Tab_Data_Flows[[#This Row],[Name(EN)]],Tab_Def_Flows[Name(EN)],0),18)</f>
        <v>#N/A</v>
      </c>
      <c r="AG83" s="115" t="str">
        <f>IF(K83="Yes",AF83*Tab_Data_Flows[[#This Row],[Flow_Py]],"N.A.")</f>
        <v>N.A.</v>
      </c>
      <c r="AH83" s="61" t="str">
        <f>Tab_Data_Flows[[#This Row],[UoM_Flow_Py]]</f>
        <v>Mg</v>
      </c>
      <c r="AI83" s="114" t="e">
        <f>INDEX(Tab_Def_Flows[[Flow_ID]:[CC_DM_source]],MATCH(Tab_Data_Flows[[#This Row],[Name(EN)]],Tab_Def_Flows[Name(EN)],0),20)</f>
        <v>#N/A</v>
      </c>
      <c r="AJ83" s="115" t="str">
        <f>IF(L83="Yes",AI83*Tab_Data_Flows[[#This Row],[Flow_Py]],"N.A.")</f>
        <v>N.A.</v>
      </c>
      <c r="AK83" s="61" t="str">
        <f>Tab_Data_Flows[[#This Row],[UoM_Flow_Py]]</f>
        <v>Mg</v>
      </c>
    </row>
    <row r="84" spans="1:37" x14ac:dyDescent="0.35">
      <c r="A84" s="60">
        <f t="shared" si="2"/>
        <v>83</v>
      </c>
      <c r="B84" s="49" t="str">
        <f>_xlfn.XLOOKUP(C84,Tab_Def_Flows[Name(EN)],Tab_Def_Flows[Flow_ID],,0,)</f>
        <v>F_21_21</v>
      </c>
      <c r="C84" s="51"/>
      <c r="D84" s="49">
        <f>_xlfn.XLOOKUP(C84,Tab_Def_Flows[Name(EN)],Tab_Def_Flows[Type_Biomass],,0,)</f>
        <v>0</v>
      </c>
      <c r="E84" s="49">
        <f>_xlfn.XLOOKUP(C84,Tab_Def_Flows[Name(EN)],Tab_Def_Flows[Output_Process],,0,)</f>
        <v>0</v>
      </c>
      <c r="F84" s="49" t="str">
        <f>_xlfn.XLOOKUP(C84,Tab_Def_Flows[Name(EN)],Tab_Def_Flows[Process_ID_O],,0,)</f>
        <v>21__</v>
      </c>
      <c r="G84" s="49">
        <f>_xlfn.XLOOKUP(C84,Tab_Def_Flows[Name(EN)],Tab_Def_Flows[Input_Process],,0,)</f>
        <v>0</v>
      </c>
      <c r="H84" s="61" t="str">
        <f>_xlfn.XLOOKUP(C84,Tab_Def_Flows[Name(EN)],Tab_Def_Flows[Process_ID_I],,0,)</f>
        <v>21__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88"/>
      <c r="P84" s="51"/>
      <c r="Q84" s="51"/>
      <c r="R84" s="51"/>
      <c r="S84" s="69"/>
      <c r="T84" s="51"/>
      <c r="U84" s="51"/>
      <c r="V84" s="51"/>
      <c r="W84" s="51"/>
      <c r="X84" s="51"/>
      <c r="Y84" s="109"/>
      <c r="Z84" s="51"/>
      <c r="AA84" s="89">
        <f t="shared" si="3"/>
        <v>0</v>
      </c>
      <c r="AB84" s="51" t="s">
        <v>63</v>
      </c>
      <c r="AC84" s="114" t="e">
        <f>INDEX(Tab_Def_Flows[[Flow_ID]:[CC_DM_source]],MATCH(Tab_Data_Flows[[#This Row],[Name(EN)]],Tab_Def_Flows[Name(EN)],0),16)</f>
        <v>#N/A</v>
      </c>
      <c r="AD84" s="115" t="str">
        <f>IF(J84="Yes",AA84*Tab_Data_Flows[[#This Row],[WC_'[%']]],"N.A.")</f>
        <v>N.A.</v>
      </c>
      <c r="AE84" s="61" t="str">
        <f>Tab_Data_Flows[[#This Row],[UoM_Flow_Py]]</f>
        <v>Mg</v>
      </c>
      <c r="AF84" s="114" t="e">
        <f>INDEX(Tab_Def_Flows[[Flow_ID]:[CC_DM_source]],MATCH(Tab_Data_Flows[[#This Row],[Name(EN)]],Tab_Def_Flows[Name(EN)],0),18)</f>
        <v>#N/A</v>
      </c>
      <c r="AG84" s="115" t="str">
        <f>IF(K84="Yes",AF84*Tab_Data_Flows[[#This Row],[Flow_Py]],"N.A.")</f>
        <v>N.A.</v>
      </c>
      <c r="AH84" s="61" t="str">
        <f>Tab_Data_Flows[[#This Row],[UoM_Flow_Py]]</f>
        <v>Mg</v>
      </c>
      <c r="AI84" s="114" t="e">
        <f>INDEX(Tab_Def_Flows[[Flow_ID]:[CC_DM_source]],MATCH(Tab_Data_Flows[[#This Row],[Name(EN)]],Tab_Def_Flows[Name(EN)],0),20)</f>
        <v>#N/A</v>
      </c>
      <c r="AJ84" s="115" t="str">
        <f>IF(L84="Yes",AI84*Tab_Data_Flows[[#This Row],[Flow_Py]],"N.A.")</f>
        <v>N.A.</v>
      </c>
      <c r="AK84" s="61" t="str">
        <f>Tab_Data_Flows[[#This Row],[UoM_Flow_Py]]</f>
        <v>Mg</v>
      </c>
    </row>
    <row r="85" spans="1:37" x14ac:dyDescent="0.35">
      <c r="A85" s="60">
        <f t="shared" si="2"/>
        <v>84</v>
      </c>
      <c r="B85" s="49" t="str">
        <f>_xlfn.XLOOKUP(C85,Tab_Def_Flows[Name(EN)],Tab_Def_Flows[Flow_ID],,0,)</f>
        <v>F_21_21</v>
      </c>
      <c r="C85" s="51"/>
      <c r="D85" s="49">
        <f>_xlfn.XLOOKUP(C85,Tab_Def_Flows[Name(EN)],Tab_Def_Flows[Type_Biomass],,0,)</f>
        <v>0</v>
      </c>
      <c r="E85" s="49">
        <f>_xlfn.XLOOKUP(C85,Tab_Def_Flows[Name(EN)],Tab_Def_Flows[Output_Process],,0,)</f>
        <v>0</v>
      </c>
      <c r="F85" s="49" t="str">
        <f>_xlfn.XLOOKUP(C85,Tab_Def_Flows[Name(EN)],Tab_Def_Flows[Process_ID_O],,0,)</f>
        <v>21__</v>
      </c>
      <c r="G85" s="49">
        <f>_xlfn.XLOOKUP(C85,Tab_Def_Flows[Name(EN)],Tab_Def_Flows[Input_Process],,0,)</f>
        <v>0</v>
      </c>
      <c r="H85" s="61" t="str">
        <f>_xlfn.XLOOKUP(C85,Tab_Def_Flows[Name(EN)],Tab_Def_Flows[Process_ID_I],,0,)</f>
        <v>21__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88"/>
      <c r="P85" s="51"/>
      <c r="Q85" s="51"/>
      <c r="R85" s="51"/>
      <c r="S85" s="69"/>
      <c r="T85" s="51"/>
      <c r="U85" s="51"/>
      <c r="V85" s="51"/>
      <c r="W85" s="51"/>
      <c r="X85" s="51"/>
      <c r="Y85" s="109"/>
      <c r="Z85" s="51"/>
      <c r="AA85" s="89">
        <f t="shared" si="3"/>
        <v>0</v>
      </c>
      <c r="AB85" s="51" t="s">
        <v>63</v>
      </c>
      <c r="AC85" s="114" t="e">
        <f>INDEX(Tab_Def_Flows[[Flow_ID]:[CC_DM_source]],MATCH(Tab_Data_Flows[[#This Row],[Name(EN)]],Tab_Def_Flows[Name(EN)],0),16)</f>
        <v>#N/A</v>
      </c>
      <c r="AD85" s="115" t="str">
        <f>IF(J85="Yes",AA85*Tab_Data_Flows[[#This Row],[WC_'[%']]],"N.A.")</f>
        <v>N.A.</v>
      </c>
      <c r="AE85" s="61" t="str">
        <f>Tab_Data_Flows[[#This Row],[UoM_Flow_Py]]</f>
        <v>Mg</v>
      </c>
      <c r="AF85" s="114" t="e">
        <f>INDEX(Tab_Def_Flows[[Flow_ID]:[CC_DM_source]],MATCH(Tab_Data_Flows[[#This Row],[Name(EN)]],Tab_Def_Flows[Name(EN)],0),18)</f>
        <v>#N/A</v>
      </c>
      <c r="AG85" s="115" t="str">
        <f>IF(K85="Yes",AF85*Tab_Data_Flows[[#This Row],[Flow_Py]],"N.A.")</f>
        <v>N.A.</v>
      </c>
      <c r="AH85" s="61" t="str">
        <f>Tab_Data_Flows[[#This Row],[UoM_Flow_Py]]</f>
        <v>Mg</v>
      </c>
      <c r="AI85" s="114" t="e">
        <f>INDEX(Tab_Def_Flows[[Flow_ID]:[CC_DM_source]],MATCH(Tab_Data_Flows[[#This Row],[Name(EN)]],Tab_Def_Flows[Name(EN)],0),20)</f>
        <v>#N/A</v>
      </c>
      <c r="AJ85" s="115" t="str">
        <f>IF(L85="Yes",AI85*Tab_Data_Flows[[#This Row],[Flow_Py]],"N.A.")</f>
        <v>N.A.</v>
      </c>
      <c r="AK85" s="61" t="str">
        <f>Tab_Data_Flows[[#This Row],[UoM_Flow_Py]]</f>
        <v>Mg</v>
      </c>
    </row>
    <row r="86" spans="1:37" x14ac:dyDescent="0.35">
      <c r="A86" s="60">
        <f t="shared" si="2"/>
        <v>85</v>
      </c>
      <c r="B86" s="49" t="str">
        <f>_xlfn.XLOOKUP(C86,Tab_Def_Flows[Name(EN)],Tab_Def_Flows[Flow_ID],,0,)</f>
        <v>F_21_21</v>
      </c>
      <c r="C86" s="51"/>
      <c r="D86" s="49">
        <f>_xlfn.XLOOKUP(C86,Tab_Def_Flows[Name(EN)],Tab_Def_Flows[Type_Biomass],,0,)</f>
        <v>0</v>
      </c>
      <c r="E86" s="49">
        <f>_xlfn.XLOOKUP(C86,Tab_Def_Flows[Name(EN)],Tab_Def_Flows[Output_Process],,0,)</f>
        <v>0</v>
      </c>
      <c r="F86" s="49" t="str">
        <f>_xlfn.XLOOKUP(C86,Tab_Def_Flows[Name(EN)],Tab_Def_Flows[Process_ID_O],,0,)</f>
        <v>21__</v>
      </c>
      <c r="G86" s="49">
        <f>_xlfn.XLOOKUP(C86,Tab_Def_Flows[Name(EN)],Tab_Def_Flows[Input_Process],,0,)</f>
        <v>0</v>
      </c>
      <c r="H86" s="61" t="str">
        <f>_xlfn.XLOOKUP(C86,Tab_Def_Flows[Name(EN)],Tab_Def_Flows[Process_ID_I],,0,)</f>
        <v>21__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88"/>
      <c r="P86" s="51"/>
      <c r="Q86" s="51"/>
      <c r="R86" s="51"/>
      <c r="S86" s="69"/>
      <c r="T86" s="51"/>
      <c r="U86" s="51"/>
      <c r="V86" s="51"/>
      <c r="W86" s="51"/>
      <c r="X86" s="51"/>
      <c r="Y86" s="109"/>
      <c r="Z86" s="51"/>
      <c r="AA86" s="89">
        <f t="shared" si="3"/>
        <v>0</v>
      </c>
      <c r="AB86" s="51" t="s">
        <v>63</v>
      </c>
      <c r="AC86" s="114" t="e">
        <f>INDEX(Tab_Def_Flows[[Flow_ID]:[CC_DM_source]],MATCH(Tab_Data_Flows[[#This Row],[Name(EN)]],Tab_Def_Flows[Name(EN)],0),16)</f>
        <v>#N/A</v>
      </c>
      <c r="AD86" s="115" t="str">
        <f>IF(J86="Yes",AA86*Tab_Data_Flows[[#This Row],[WC_'[%']]],"N.A.")</f>
        <v>N.A.</v>
      </c>
      <c r="AE86" s="61" t="str">
        <f>Tab_Data_Flows[[#This Row],[UoM_Flow_Py]]</f>
        <v>Mg</v>
      </c>
      <c r="AF86" s="114" t="e">
        <f>INDEX(Tab_Def_Flows[[Flow_ID]:[CC_DM_source]],MATCH(Tab_Data_Flows[[#This Row],[Name(EN)]],Tab_Def_Flows[Name(EN)],0),18)</f>
        <v>#N/A</v>
      </c>
      <c r="AG86" s="115" t="str">
        <f>IF(K86="Yes",AF86*Tab_Data_Flows[[#This Row],[Flow_Py]],"N.A.")</f>
        <v>N.A.</v>
      </c>
      <c r="AH86" s="61" t="str">
        <f>Tab_Data_Flows[[#This Row],[UoM_Flow_Py]]</f>
        <v>Mg</v>
      </c>
      <c r="AI86" s="114" t="e">
        <f>INDEX(Tab_Def_Flows[[Flow_ID]:[CC_DM_source]],MATCH(Tab_Data_Flows[[#This Row],[Name(EN)]],Tab_Def_Flows[Name(EN)],0),20)</f>
        <v>#N/A</v>
      </c>
      <c r="AJ86" s="115" t="str">
        <f>IF(L86="Yes",AI86*Tab_Data_Flows[[#This Row],[Flow_Py]],"N.A.")</f>
        <v>N.A.</v>
      </c>
      <c r="AK86" s="61" t="str">
        <f>Tab_Data_Flows[[#This Row],[UoM_Flow_Py]]</f>
        <v>Mg</v>
      </c>
    </row>
    <row r="87" spans="1:37" x14ac:dyDescent="0.35">
      <c r="A87" s="60">
        <f t="shared" si="2"/>
        <v>86</v>
      </c>
      <c r="B87" s="49" t="str">
        <f>_xlfn.XLOOKUP(C87,Tab_Def_Flows[Name(EN)],Tab_Def_Flows[Flow_ID],,0,)</f>
        <v>F_21_21</v>
      </c>
      <c r="C87" s="51"/>
      <c r="D87" s="49">
        <f>_xlfn.XLOOKUP(C87,Tab_Def_Flows[Name(EN)],Tab_Def_Flows[Type_Biomass],,0,)</f>
        <v>0</v>
      </c>
      <c r="E87" s="49">
        <f>_xlfn.XLOOKUP(C87,Tab_Def_Flows[Name(EN)],Tab_Def_Flows[Output_Process],,0,)</f>
        <v>0</v>
      </c>
      <c r="F87" s="49" t="str">
        <f>_xlfn.XLOOKUP(C87,Tab_Def_Flows[Name(EN)],Tab_Def_Flows[Process_ID_O],,0,)</f>
        <v>21__</v>
      </c>
      <c r="G87" s="49">
        <f>_xlfn.XLOOKUP(C87,Tab_Def_Flows[Name(EN)],Tab_Def_Flows[Input_Process],,0,)</f>
        <v>0</v>
      </c>
      <c r="H87" s="61" t="str">
        <f>_xlfn.XLOOKUP(C87,Tab_Def_Flows[Name(EN)],Tab_Def_Flows[Process_ID_I],,0,)</f>
        <v>21__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88"/>
      <c r="P87" s="51"/>
      <c r="Q87" s="51"/>
      <c r="R87" s="51"/>
      <c r="S87" s="69"/>
      <c r="T87" s="51"/>
      <c r="U87" s="51"/>
      <c r="V87" s="51"/>
      <c r="W87" s="51"/>
      <c r="X87" s="51"/>
      <c r="Y87" s="109"/>
      <c r="Z87" s="51"/>
      <c r="AA87" s="89">
        <f t="shared" si="3"/>
        <v>0</v>
      </c>
      <c r="AB87" s="51" t="s">
        <v>63</v>
      </c>
      <c r="AC87" s="114" t="e">
        <f>INDEX(Tab_Def_Flows[[Flow_ID]:[CC_DM_source]],MATCH(Tab_Data_Flows[[#This Row],[Name(EN)]],Tab_Def_Flows[Name(EN)],0),16)</f>
        <v>#N/A</v>
      </c>
      <c r="AD87" s="115" t="str">
        <f>IF(J87="Yes",AA87*Tab_Data_Flows[[#This Row],[WC_'[%']]],"N.A.")</f>
        <v>N.A.</v>
      </c>
      <c r="AE87" s="61" t="str">
        <f>Tab_Data_Flows[[#This Row],[UoM_Flow_Py]]</f>
        <v>Mg</v>
      </c>
      <c r="AF87" s="114" t="e">
        <f>INDEX(Tab_Def_Flows[[Flow_ID]:[CC_DM_source]],MATCH(Tab_Data_Flows[[#This Row],[Name(EN)]],Tab_Def_Flows[Name(EN)],0),18)</f>
        <v>#N/A</v>
      </c>
      <c r="AG87" s="115" t="str">
        <f>IF(K87="Yes",AF87*Tab_Data_Flows[[#This Row],[Flow_Py]],"N.A.")</f>
        <v>N.A.</v>
      </c>
      <c r="AH87" s="61" t="str">
        <f>Tab_Data_Flows[[#This Row],[UoM_Flow_Py]]</f>
        <v>Mg</v>
      </c>
      <c r="AI87" s="114" t="e">
        <f>INDEX(Tab_Def_Flows[[Flow_ID]:[CC_DM_source]],MATCH(Tab_Data_Flows[[#This Row],[Name(EN)]],Tab_Def_Flows[Name(EN)],0),20)</f>
        <v>#N/A</v>
      </c>
      <c r="AJ87" s="115" t="str">
        <f>IF(L87="Yes",AI87*Tab_Data_Flows[[#This Row],[Flow_Py]],"N.A.")</f>
        <v>N.A.</v>
      </c>
      <c r="AK87" s="61" t="str">
        <f>Tab_Data_Flows[[#This Row],[UoM_Flow_Py]]</f>
        <v>Mg</v>
      </c>
    </row>
    <row r="88" spans="1:37" x14ac:dyDescent="0.35">
      <c r="A88" s="60">
        <f t="shared" si="2"/>
        <v>87</v>
      </c>
      <c r="B88" s="49" t="str">
        <f>_xlfn.XLOOKUP(C88,Tab_Def_Flows[Name(EN)],Tab_Def_Flows[Flow_ID],,0,)</f>
        <v>F_21_21</v>
      </c>
      <c r="C88" s="51"/>
      <c r="D88" s="49">
        <f>_xlfn.XLOOKUP(C88,Tab_Def_Flows[Name(EN)],Tab_Def_Flows[Type_Biomass],,0,)</f>
        <v>0</v>
      </c>
      <c r="E88" s="49">
        <f>_xlfn.XLOOKUP(C88,Tab_Def_Flows[Name(EN)],Tab_Def_Flows[Output_Process],,0,)</f>
        <v>0</v>
      </c>
      <c r="F88" s="49" t="str">
        <f>_xlfn.XLOOKUP(C88,Tab_Def_Flows[Name(EN)],Tab_Def_Flows[Process_ID_O],,0,)</f>
        <v>21__</v>
      </c>
      <c r="G88" s="49">
        <f>_xlfn.XLOOKUP(C88,Tab_Def_Flows[Name(EN)],Tab_Def_Flows[Input_Process],,0,)</f>
        <v>0</v>
      </c>
      <c r="H88" s="61" t="str">
        <f>_xlfn.XLOOKUP(C88,Tab_Def_Flows[Name(EN)],Tab_Def_Flows[Process_ID_I],,0,)</f>
        <v>21__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88"/>
      <c r="P88" s="51"/>
      <c r="Q88" s="51"/>
      <c r="R88" s="51"/>
      <c r="S88" s="69"/>
      <c r="T88" s="51"/>
      <c r="U88" s="51"/>
      <c r="V88" s="51"/>
      <c r="W88" s="51"/>
      <c r="X88" s="51"/>
      <c r="Y88" s="109"/>
      <c r="Z88" s="51"/>
      <c r="AA88" s="89">
        <f t="shared" si="3"/>
        <v>0</v>
      </c>
      <c r="AB88" s="51" t="s">
        <v>63</v>
      </c>
      <c r="AC88" s="114" t="e">
        <f>INDEX(Tab_Def_Flows[[Flow_ID]:[CC_DM_source]],MATCH(Tab_Data_Flows[[#This Row],[Name(EN)]],Tab_Def_Flows[Name(EN)],0),16)</f>
        <v>#N/A</v>
      </c>
      <c r="AD88" s="115" t="str">
        <f>IF(J88="Yes",AA88*Tab_Data_Flows[[#This Row],[WC_'[%']]],"N.A.")</f>
        <v>N.A.</v>
      </c>
      <c r="AE88" s="61" t="str">
        <f>Tab_Data_Flows[[#This Row],[UoM_Flow_Py]]</f>
        <v>Mg</v>
      </c>
      <c r="AF88" s="114" t="e">
        <f>INDEX(Tab_Def_Flows[[Flow_ID]:[CC_DM_source]],MATCH(Tab_Data_Flows[[#This Row],[Name(EN)]],Tab_Def_Flows[Name(EN)],0),18)</f>
        <v>#N/A</v>
      </c>
      <c r="AG88" s="115" t="str">
        <f>IF(K88="Yes",AF88*Tab_Data_Flows[[#This Row],[Flow_Py]],"N.A.")</f>
        <v>N.A.</v>
      </c>
      <c r="AH88" s="61" t="str">
        <f>Tab_Data_Flows[[#This Row],[UoM_Flow_Py]]</f>
        <v>Mg</v>
      </c>
      <c r="AI88" s="114" t="e">
        <f>INDEX(Tab_Def_Flows[[Flow_ID]:[CC_DM_source]],MATCH(Tab_Data_Flows[[#This Row],[Name(EN)]],Tab_Def_Flows[Name(EN)],0),20)</f>
        <v>#N/A</v>
      </c>
      <c r="AJ88" s="115" t="str">
        <f>IF(L88="Yes",AI88*Tab_Data_Flows[[#This Row],[Flow_Py]],"N.A.")</f>
        <v>N.A.</v>
      </c>
      <c r="AK88" s="61" t="str">
        <f>Tab_Data_Flows[[#This Row],[UoM_Flow_Py]]</f>
        <v>Mg</v>
      </c>
    </row>
    <row r="89" spans="1:37" x14ac:dyDescent="0.35">
      <c r="A89" s="60">
        <f t="shared" si="2"/>
        <v>88</v>
      </c>
      <c r="B89" s="49" t="str">
        <f>_xlfn.XLOOKUP(C89,Tab_Def_Flows[Name(EN)],Tab_Def_Flows[Flow_ID],,0,)</f>
        <v>F_21_21</v>
      </c>
      <c r="C89" s="51"/>
      <c r="D89" s="49">
        <f>_xlfn.XLOOKUP(C89,Tab_Def_Flows[Name(EN)],Tab_Def_Flows[Type_Biomass],,0,)</f>
        <v>0</v>
      </c>
      <c r="E89" s="49">
        <f>_xlfn.XLOOKUP(C89,Tab_Def_Flows[Name(EN)],Tab_Def_Flows[Output_Process],,0,)</f>
        <v>0</v>
      </c>
      <c r="F89" s="49" t="str">
        <f>_xlfn.XLOOKUP(C89,Tab_Def_Flows[Name(EN)],Tab_Def_Flows[Process_ID_O],,0,)</f>
        <v>21__</v>
      </c>
      <c r="G89" s="49">
        <f>_xlfn.XLOOKUP(C89,Tab_Def_Flows[Name(EN)],Tab_Def_Flows[Input_Process],,0,)</f>
        <v>0</v>
      </c>
      <c r="H89" s="61" t="str">
        <f>_xlfn.XLOOKUP(C89,Tab_Def_Flows[Name(EN)],Tab_Def_Flows[Process_ID_I],,0,)</f>
        <v>21__</v>
      </c>
      <c r="I89" s="49">
        <f>_xlfn.XLOOKUP(C89,Tab_Def_Flows[Name(EN)],Tab_Def_Flows[Value_Source],,0,)</f>
        <v>0</v>
      </c>
      <c r="J89" s="49">
        <f>_xlfn.XLOOKUP(C89,Tab_Def_Flows[Name(EN)],Tab_Def_Flows[WC?],,0,)</f>
        <v>0</v>
      </c>
      <c r="K89" s="49">
        <f>_xlfn.XLOOKUP(C89,Tab_Def_Flows[Name(EN)],Tab_Def_Flows[DM?],,0,)</f>
        <v>0</v>
      </c>
      <c r="L89" s="49">
        <f>_xlfn.XLOOKUP(C89,Tab_Def_Flows[Name(EN)],Tab_Def_Flows[CC?],,0,)</f>
        <v>0</v>
      </c>
      <c r="M89" s="51"/>
      <c r="N89" s="51"/>
      <c r="O89" s="88"/>
      <c r="P89" s="51"/>
      <c r="Q89" s="51"/>
      <c r="R89" s="51"/>
      <c r="S89" s="69"/>
      <c r="T89" s="51"/>
      <c r="U89" s="51"/>
      <c r="V89" s="51"/>
      <c r="W89" s="51"/>
      <c r="X89" s="51"/>
      <c r="Y89" s="109"/>
      <c r="Z89" s="51"/>
      <c r="AA89" s="89">
        <f t="shared" si="3"/>
        <v>0</v>
      </c>
      <c r="AB89" s="51" t="s">
        <v>63</v>
      </c>
      <c r="AC89" s="114" t="e">
        <f>INDEX(Tab_Def_Flows[[Flow_ID]:[CC_DM_source]],MATCH(Tab_Data_Flows[[#This Row],[Name(EN)]],Tab_Def_Flows[Name(EN)],0),16)</f>
        <v>#N/A</v>
      </c>
      <c r="AD89" s="115" t="str">
        <f>IF(J89="Yes",AA89*Tab_Data_Flows[[#This Row],[WC_'[%']]],"N.A.")</f>
        <v>N.A.</v>
      </c>
      <c r="AE89" s="61" t="str">
        <f>Tab_Data_Flows[[#This Row],[UoM_Flow_Py]]</f>
        <v>Mg</v>
      </c>
      <c r="AF89" s="114" t="e">
        <f>INDEX(Tab_Def_Flows[[Flow_ID]:[CC_DM_source]],MATCH(Tab_Data_Flows[[#This Row],[Name(EN)]],Tab_Def_Flows[Name(EN)],0),18)</f>
        <v>#N/A</v>
      </c>
      <c r="AG89" s="115" t="str">
        <f>IF(K89="Yes",AF89*Tab_Data_Flows[[#This Row],[Flow_Py]],"N.A.")</f>
        <v>N.A.</v>
      </c>
      <c r="AH89" s="61" t="str">
        <f>Tab_Data_Flows[[#This Row],[UoM_Flow_Py]]</f>
        <v>Mg</v>
      </c>
      <c r="AI89" s="114" t="e">
        <f>INDEX(Tab_Def_Flows[[Flow_ID]:[CC_DM_source]],MATCH(Tab_Data_Flows[[#This Row],[Name(EN)]],Tab_Def_Flows[Name(EN)],0),20)</f>
        <v>#N/A</v>
      </c>
      <c r="AJ89" s="115" t="str">
        <f>IF(L89="Yes",AI89*Tab_Data_Flows[[#This Row],[Flow_Py]],"N.A.")</f>
        <v>N.A.</v>
      </c>
      <c r="AK89" s="61" t="str">
        <f>Tab_Data_Flows[[#This Row],[UoM_Flow_Py]]</f>
        <v>Mg</v>
      </c>
    </row>
    <row r="90" spans="1:37" x14ac:dyDescent="0.35">
      <c r="A90" s="60">
        <f t="shared" si="2"/>
        <v>89</v>
      </c>
      <c r="B90" s="49" t="str">
        <f>_xlfn.XLOOKUP(C90,Tab_Def_Flows[Name(EN)],Tab_Def_Flows[Flow_ID],,0,)</f>
        <v>F_21_21</v>
      </c>
      <c r="C90" s="51"/>
      <c r="D90" s="49">
        <f>_xlfn.XLOOKUP(C90,Tab_Def_Flows[Name(EN)],Tab_Def_Flows[Type_Biomass],,0,)</f>
        <v>0</v>
      </c>
      <c r="E90" s="49">
        <f>_xlfn.XLOOKUP(C90,Tab_Def_Flows[Name(EN)],Tab_Def_Flows[Output_Process],,0,)</f>
        <v>0</v>
      </c>
      <c r="F90" s="49" t="str">
        <f>_xlfn.XLOOKUP(C90,Tab_Def_Flows[Name(EN)],Tab_Def_Flows[Process_ID_O],,0,)</f>
        <v>21__</v>
      </c>
      <c r="G90" s="49">
        <f>_xlfn.XLOOKUP(C90,Tab_Def_Flows[Name(EN)],Tab_Def_Flows[Input_Process],,0,)</f>
        <v>0</v>
      </c>
      <c r="H90" s="61" t="str">
        <f>_xlfn.XLOOKUP(C90,Tab_Def_Flows[Name(EN)],Tab_Def_Flows[Process_ID_I],,0,)</f>
        <v>21__</v>
      </c>
      <c r="I90" s="49">
        <f>_xlfn.XLOOKUP(C90,Tab_Def_Flows[Name(EN)],Tab_Def_Flows[Value_Source],,0,)</f>
        <v>0</v>
      </c>
      <c r="J90" s="49">
        <f>_xlfn.XLOOKUP(C90,Tab_Def_Flows[Name(EN)],Tab_Def_Flows[WC?],,0,)</f>
        <v>0</v>
      </c>
      <c r="K90" s="49">
        <f>_xlfn.XLOOKUP(C90,Tab_Def_Flows[Name(EN)],Tab_Def_Flows[DM?],,0,)</f>
        <v>0</v>
      </c>
      <c r="L90" s="49">
        <f>_xlfn.XLOOKUP(C90,Tab_Def_Flows[Name(EN)],Tab_Def_Flows[CC?],,0,)</f>
        <v>0</v>
      </c>
      <c r="M90" s="51"/>
      <c r="N90" s="51"/>
      <c r="O90" s="88"/>
      <c r="P90" s="51"/>
      <c r="Q90" s="51"/>
      <c r="R90" s="51"/>
      <c r="S90" s="69"/>
      <c r="T90" s="51"/>
      <c r="U90" s="51"/>
      <c r="V90" s="51"/>
      <c r="W90" s="51"/>
      <c r="X90" s="51"/>
      <c r="Y90" s="109"/>
      <c r="Z90" s="51"/>
      <c r="AA90" s="89">
        <f t="shared" si="3"/>
        <v>0</v>
      </c>
      <c r="AB90" s="51" t="s">
        <v>63</v>
      </c>
      <c r="AC90" s="114" t="e">
        <f>INDEX(Tab_Def_Flows[[Flow_ID]:[CC_DM_source]],MATCH(Tab_Data_Flows[[#This Row],[Name(EN)]],Tab_Def_Flows[Name(EN)],0),16)</f>
        <v>#N/A</v>
      </c>
      <c r="AD90" s="115" t="str">
        <f>IF(J90="Yes",AA90*Tab_Data_Flows[[#This Row],[WC_'[%']]],"N.A.")</f>
        <v>N.A.</v>
      </c>
      <c r="AE90" s="61" t="str">
        <f>Tab_Data_Flows[[#This Row],[UoM_Flow_Py]]</f>
        <v>Mg</v>
      </c>
      <c r="AF90" s="114" t="e">
        <f>INDEX(Tab_Def_Flows[[Flow_ID]:[CC_DM_source]],MATCH(Tab_Data_Flows[[#This Row],[Name(EN)]],Tab_Def_Flows[Name(EN)],0),18)</f>
        <v>#N/A</v>
      </c>
      <c r="AG90" s="115" t="str">
        <f>IF(K90="Yes",AF90*Tab_Data_Flows[[#This Row],[Flow_Py]],"N.A.")</f>
        <v>N.A.</v>
      </c>
      <c r="AH90" s="61" t="str">
        <f>Tab_Data_Flows[[#This Row],[UoM_Flow_Py]]</f>
        <v>Mg</v>
      </c>
      <c r="AI90" s="114" t="e">
        <f>INDEX(Tab_Def_Flows[[Flow_ID]:[CC_DM_source]],MATCH(Tab_Data_Flows[[#This Row],[Name(EN)]],Tab_Def_Flows[Name(EN)],0),20)</f>
        <v>#N/A</v>
      </c>
      <c r="AJ90" s="115" t="str">
        <f>IF(L90="Yes",AI90*Tab_Data_Flows[[#This Row],[Flow_Py]],"N.A.")</f>
        <v>N.A.</v>
      </c>
      <c r="AK90" s="61" t="str">
        <f>Tab_Data_Flows[[#This Row],[UoM_Flow_Py]]</f>
        <v>Mg</v>
      </c>
    </row>
    <row r="91" spans="1:37" x14ac:dyDescent="0.35">
      <c r="A91" s="60">
        <f t="shared" si="2"/>
        <v>90</v>
      </c>
      <c r="B91" s="49" t="str">
        <f>_xlfn.XLOOKUP(C91,Tab_Def_Flows[Name(EN)],Tab_Def_Flows[Flow_ID],,0,)</f>
        <v>F_21_21</v>
      </c>
      <c r="C91" s="51"/>
      <c r="D91" s="49">
        <f>_xlfn.XLOOKUP(C91,Tab_Def_Flows[Name(EN)],Tab_Def_Flows[Type_Biomass],,0,)</f>
        <v>0</v>
      </c>
      <c r="E91" s="49">
        <f>_xlfn.XLOOKUP(C91,Tab_Def_Flows[Name(EN)],Tab_Def_Flows[Output_Process],,0,)</f>
        <v>0</v>
      </c>
      <c r="F91" s="49" t="str">
        <f>_xlfn.XLOOKUP(C91,Tab_Def_Flows[Name(EN)],Tab_Def_Flows[Process_ID_O],,0,)</f>
        <v>21__</v>
      </c>
      <c r="G91" s="49">
        <f>_xlfn.XLOOKUP(C91,Tab_Def_Flows[Name(EN)],Tab_Def_Flows[Input_Process],,0,)</f>
        <v>0</v>
      </c>
      <c r="H91" s="61" t="str">
        <f>_xlfn.XLOOKUP(C91,Tab_Def_Flows[Name(EN)],Tab_Def_Flows[Process_ID_I],,0,)</f>
        <v>21__</v>
      </c>
      <c r="I91" s="49">
        <f>_xlfn.XLOOKUP(C91,Tab_Def_Flows[Name(EN)],Tab_Def_Flows[Value_Source],,0,)</f>
        <v>0</v>
      </c>
      <c r="J91" s="49">
        <f>_xlfn.XLOOKUP(C91,Tab_Def_Flows[Name(EN)],Tab_Def_Flows[WC?],,0,)</f>
        <v>0</v>
      </c>
      <c r="K91" s="49">
        <f>_xlfn.XLOOKUP(C91,Tab_Def_Flows[Name(EN)],Tab_Def_Flows[DM?],,0,)</f>
        <v>0</v>
      </c>
      <c r="L91" s="49">
        <f>_xlfn.XLOOKUP(C91,Tab_Def_Flows[Name(EN)],Tab_Def_Flows[CC?],,0,)</f>
        <v>0</v>
      </c>
      <c r="M91" s="51"/>
      <c r="N91" s="51"/>
      <c r="O91" s="88"/>
      <c r="P91" s="51"/>
      <c r="Q91" s="51"/>
      <c r="R91" s="51"/>
      <c r="S91" s="69"/>
      <c r="T91" s="51"/>
      <c r="U91" s="51"/>
      <c r="V91" s="51"/>
      <c r="W91" s="51"/>
      <c r="X91" s="51"/>
      <c r="Y91" s="109"/>
      <c r="Z91" s="51"/>
      <c r="AA91" s="89">
        <f t="shared" si="3"/>
        <v>0</v>
      </c>
      <c r="AB91" s="51" t="s">
        <v>63</v>
      </c>
      <c r="AC91" s="114" t="e">
        <f>INDEX(Tab_Def_Flows[[Flow_ID]:[CC_DM_source]],MATCH(Tab_Data_Flows[[#This Row],[Name(EN)]],Tab_Def_Flows[Name(EN)],0),16)</f>
        <v>#N/A</v>
      </c>
      <c r="AD91" s="115" t="str">
        <f>IF(J91="Yes",AA91*Tab_Data_Flows[[#This Row],[WC_'[%']]],"N.A.")</f>
        <v>N.A.</v>
      </c>
      <c r="AE91" s="61" t="str">
        <f>Tab_Data_Flows[[#This Row],[UoM_Flow_Py]]</f>
        <v>Mg</v>
      </c>
      <c r="AF91" s="114" t="e">
        <f>INDEX(Tab_Def_Flows[[Flow_ID]:[CC_DM_source]],MATCH(Tab_Data_Flows[[#This Row],[Name(EN)]],Tab_Def_Flows[Name(EN)],0),18)</f>
        <v>#N/A</v>
      </c>
      <c r="AG91" s="115" t="str">
        <f>IF(K91="Yes",AF91*Tab_Data_Flows[[#This Row],[Flow_Py]],"N.A.")</f>
        <v>N.A.</v>
      </c>
      <c r="AH91" s="61" t="str">
        <f>Tab_Data_Flows[[#This Row],[UoM_Flow_Py]]</f>
        <v>Mg</v>
      </c>
      <c r="AI91" s="114" t="e">
        <f>INDEX(Tab_Def_Flows[[Flow_ID]:[CC_DM_source]],MATCH(Tab_Data_Flows[[#This Row],[Name(EN)]],Tab_Def_Flows[Name(EN)],0),20)</f>
        <v>#N/A</v>
      </c>
      <c r="AJ91" s="115" t="str">
        <f>IF(L91="Yes",AI91*Tab_Data_Flows[[#This Row],[Flow_Py]],"N.A.")</f>
        <v>N.A.</v>
      </c>
      <c r="AK91" s="61" t="str">
        <f>Tab_Data_Flows[[#This Row],[UoM_Flow_Py]]</f>
        <v>Mg</v>
      </c>
    </row>
    <row r="92" spans="1:37" x14ac:dyDescent="0.35">
      <c r="A92" s="60">
        <f t="shared" si="2"/>
        <v>91</v>
      </c>
      <c r="B92" s="49" t="str">
        <f>_xlfn.XLOOKUP(C92,Tab_Def_Flows[Name(EN)],Tab_Def_Flows[Flow_ID],,0,)</f>
        <v>F_21_21</v>
      </c>
      <c r="C92" s="51"/>
      <c r="D92" s="49">
        <f>_xlfn.XLOOKUP(C92,Tab_Def_Flows[Name(EN)],Tab_Def_Flows[Type_Biomass],,0,)</f>
        <v>0</v>
      </c>
      <c r="E92" s="49">
        <f>_xlfn.XLOOKUP(C92,Tab_Def_Flows[Name(EN)],Tab_Def_Flows[Output_Process],,0,)</f>
        <v>0</v>
      </c>
      <c r="F92" s="49" t="str">
        <f>_xlfn.XLOOKUP(C92,Tab_Def_Flows[Name(EN)],Tab_Def_Flows[Process_ID_O],,0,)</f>
        <v>21__</v>
      </c>
      <c r="G92" s="49">
        <f>_xlfn.XLOOKUP(C92,Tab_Def_Flows[Name(EN)],Tab_Def_Flows[Input_Process],,0,)</f>
        <v>0</v>
      </c>
      <c r="H92" s="61" t="str">
        <f>_xlfn.XLOOKUP(C92,Tab_Def_Flows[Name(EN)],Tab_Def_Flows[Process_ID_I],,0,)</f>
        <v>21__</v>
      </c>
      <c r="I92" s="49">
        <f>_xlfn.XLOOKUP(C92,Tab_Def_Flows[Name(EN)],Tab_Def_Flows[Value_Source],,0,)</f>
        <v>0</v>
      </c>
      <c r="J92" s="49">
        <f>_xlfn.XLOOKUP(C92,Tab_Def_Flows[Name(EN)],Tab_Def_Flows[WC?],,0,)</f>
        <v>0</v>
      </c>
      <c r="K92" s="49">
        <f>_xlfn.XLOOKUP(C92,Tab_Def_Flows[Name(EN)],Tab_Def_Flows[DM?],,0,)</f>
        <v>0</v>
      </c>
      <c r="L92" s="49">
        <f>_xlfn.XLOOKUP(C92,Tab_Def_Flows[Name(EN)],Tab_Def_Flows[CC?],,0,)</f>
        <v>0</v>
      </c>
      <c r="M92" s="51"/>
      <c r="N92" s="51"/>
      <c r="O92" s="88"/>
      <c r="P92" s="51"/>
      <c r="Q92" s="51"/>
      <c r="R92" s="51"/>
      <c r="S92" s="69"/>
      <c r="T92" s="51"/>
      <c r="U92" s="51"/>
      <c r="V92" s="51"/>
      <c r="W92" s="51"/>
      <c r="X92" s="51"/>
      <c r="Y92" s="109"/>
      <c r="Z92" s="51"/>
      <c r="AA92" s="89">
        <f t="shared" si="3"/>
        <v>0</v>
      </c>
      <c r="AB92" s="51" t="s">
        <v>63</v>
      </c>
      <c r="AC92" s="114" t="e">
        <f>INDEX(Tab_Def_Flows[[Flow_ID]:[CC_DM_source]],MATCH(Tab_Data_Flows[[#This Row],[Name(EN)]],Tab_Def_Flows[Name(EN)],0),16)</f>
        <v>#N/A</v>
      </c>
      <c r="AD92" s="115" t="str">
        <f>IF(J92="Yes",AA92*Tab_Data_Flows[[#This Row],[WC_'[%']]],"N.A.")</f>
        <v>N.A.</v>
      </c>
      <c r="AE92" s="61" t="str">
        <f>Tab_Data_Flows[[#This Row],[UoM_Flow_Py]]</f>
        <v>Mg</v>
      </c>
      <c r="AF92" s="114" t="e">
        <f>INDEX(Tab_Def_Flows[[Flow_ID]:[CC_DM_source]],MATCH(Tab_Data_Flows[[#This Row],[Name(EN)]],Tab_Def_Flows[Name(EN)],0),18)</f>
        <v>#N/A</v>
      </c>
      <c r="AG92" s="115" t="str">
        <f>IF(K92="Yes",AF92*Tab_Data_Flows[[#This Row],[Flow_Py]],"N.A.")</f>
        <v>N.A.</v>
      </c>
      <c r="AH92" s="61" t="str">
        <f>Tab_Data_Flows[[#This Row],[UoM_Flow_Py]]</f>
        <v>Mg</v>
      </c>
      <c r="AI92" s="114" t="e">
        <f>INDEX(Tab_Def_Flows[[Flow_ID]:[CC_DM_source]],MATCH(Tab_Data_Flows[[#This Row],[Name(EN)]],Tab_Def_Flows[Name(EN)],0),20)</f>
        <v>#N/A</v>
      </c>
      <c r="AJ92" s="115" t="str">
        <f>IF(L92="Yes",AI92*Tab_Data_Flows[[#This Row],[Flow_Py]],"N.A.")</f>
        <v>N.A.</v>
      </c>
      <c r="AK92" s="61" t="str">
        <f>Tab_Data_Flows[[#This Row],[UoM_Flow_Py]]</f>
        <v>Mg</v>
      </c>
    </row>
    <row r="93" spans="1:37" x14ac:dyDescent="0.35">
      <c r="A93" s="60">
        <f t="shared" si="2"/>
        <v>92</v>
      </c>
      <c r="B93" s="49" t="str">
        <f>_xlfn.XLOOKUP(C93,Tab_Def_Flows[Name(EN)],Tab_Def_Flows[Flow_ID],,0,)</f>
        <v>F_21_21</v>
      </c>
      <c r="C93" s="51"/>
      <c r="D93" s="49">
        <f>_xlfn.XLOOKUP(C93,Tab_Def_Flows[Name(EN)],Tab_Def_Flows[Type_Biomass],,0,)</f>
        <v>0</v>
      </c>
      <c r="E93" s="49">
        <f>_xlfn.XLOOKUP(C93,Tab_Def_Flows[Name(EN)],Tab_Def_Flows[Output_Process],,0,)</f>
        <v>0</v>
      </c>
      <c r="F93" s="49" t="str">
        <f>_xlfn.XLOOKUP(C93,Tab_Def_Flows[Name(EN)],Tab_Def_Flows[Process_ID_O],,0,)</f>
        <v>21__</v>
      </c>
      <c r="G93" s="49">
        <f>_xlfn.XLOOKUP(C93,Tab_Def_Flows[Name(EN)],Tab_Def_Flows[Input_Process],,0,)</f>
        <v>0</v>
      </c>
      <c r="H93" s="61" t="str">
        <f>_xlfn.XLOOKUP(C93,Tab_Def_Flows[Name(EN)],Tab_Def_Flows[Process_ID_I],,0,)</f>
        <v>21__</v>
      </c>
      <c r="I93" s="49">
        <f>_xlfn.XLOOKUP(C93,Tab_Def_Flows[Name(EN)],Tab_Def_Flows[Value_Source],,0,)</f>
        <v>0</v>
      </c>
      <c r="J93" s="49">
        <f>_xlfn.XLOOKUP(C93,Tab_Def_Flows[Name(EN)],Tab_Def_Flows[WC?],,0,)</f>
        <v>0</v>
      </c>
      <c r="K93" s="49">
        <f>_xlfn.XLOOKUP(C93,Tab_Def_Flows[Name(EN)],Tab_Def_Flows[DM?],,0,)</f>
        <v>0</v>
      </c>
      <c r="L93" s="49">
        <f>_xlfn.XLOOKUP(C93,Tab_Def_Flows[Name(EN)],Tab_Def_Flows[CC?],,0,)</f>
        <v>0</v>
      </c>
      <c r="M93" s="51"/>
      <c r="N93" s="51"/>
      <c r="O93" s="88"/>
      <c r="P93" s="51"/>
      <c r="Q93" s="51"/>
      <c r="R93" s="51"/>
      <c r="S93" s="69"/>
      <c r="T93" s="51"/>
      <c r="U93" s="51"/>
      <c r="V93" s="51"/>
      <c r="W93" s="51"/>
      <c r="X93" s="51"/>
      <c r="Y93" s="109"/>
      <c r="Z93" s="51"/>
      <c r="AA93" s="89">
        <f t="shared" si="3"/>
        <v>0</v>
      </c>
      <c r="AB93" s="51" t="s">
        <v>63</v>
      </c>
      <c r="AC93" s="114" t="e">
        <f>INDEX(Tab_Def_Flows[[Flow_ID]:[CC_DM_source]],MATCH(Tab_Data_Flows[[#This Row],[Name(EN)]],Tab_Def_Flows[Name(EN)],0),16)</f>
        <v>#N/A</v>
      </c>
      <c r="AD93" s="115" t="str">
        <f>IF(J93="Yes",AA93*Tab_Data_Flows[[#This Row],[WC_'[%']]],"N.A.")</f>
        <v>N.A.</v>
      </c>
      <c r="AE93" s="61" t="str">
        <f>Tab_Data_Flows[[#This Row],[UoM_Flow_Py]]</f>
        <v>Mg</v>
      </c>
      <c r="AF93" s="114" t="e">
        <f>INDEX(Tab_Def_Flows[[Flow_ID]:[CC_DM_source]],MATCH(Tab_Data_Flows[[#This Row],[Name(EN)]],Tab_Def_Flows[Name(EN)],0),18)</f>
        <v>#N/A</v>
      </c>
      <c r="AG93" s="115" t="str">
        <f>IF(K93="Yes",AF93*Tab_Data_Flows[[#This Row],[Flow_Py]],"N.A.")</f>
        <v>N.A.</v>
      </c>
      <c r="AH93" s="61" t="str">
        <f>Tab_Data_Flows[[#This Row],[UoM_Flow_Py]]</f>
        <v>Mg</v>
      </c>
      <c r="AI93" s="114" t="e">
        <f>INDEX(Tab_Def_Flows[[Flow_ID]:[CC_DM_source]],MATCH(Tab_Data_Flows[[#This Row],[Name(EN)]],Tab_Def_Flows[Name(EN)],0),20)</f>
        <v>#N/A</v>
      </c>
      <c r="AJ93" s="115" t="str">
        <f>IF(L93="Yes",AI93*Tab_Data_Flows[[#This Row],[Flow_Py]],"N.A.")</f>
        <v>N.A.</v>
      </c>
      <c r="AK93" s="61" t="str">
        <f>Tab_Data_Flows[[#This Row],[UoM_Flow_Py]]</f>
        <v>Mg</v>
      </c>
    </row>
    <row r="94" spans="1:37" x14ac:dyDescent="0.35">
      <c r="A94" s="60">
        <f t="shared" si="2"/>
        <v>93</v>
      </c>
      <c r="B94" s="49" t="str">
        <f>_xlfn.XLOOKUP(C94,Tab_Def_Flows[Name(EN)],Tab_Def_Flows[Flow_ID],,0,)</f>
        <v>F_21_21</v>
      </c>
      <c r="C94" s="51"/>
      <c r="D94" s="49">
        <f>_xlfn.XLOOKUP(C94,Tab_Def_Flows[Name(EN)],Tab_Def_Flows[Type_Biomass],,0,)</f>
        <v>0</v>
      </c>
      <c r="E94" s="49">
        <f>_xlfn.XLOOKUP(C94,Tab_Def_Flows[Name(EN)],Tab_Def_Flows[Output_Process],,0,)</f>
        <v>0</v>
      </c>
      <c r="F94" s="49" t="str">
        <f>_xlfn.XLOOKUP(C94,Tab_Def_Flows[Name(EN)],Tab_Def_Flows[Process_ID_O],,0,)</f>
        <v>21__</v>
      </c>
      <c r="G94" s="49">
        <f>_xlfn.XLOOKUP(C94,Tab_Def_Flows[Name(EN)],Tab_Def_Flows[Input_Process],,0,)</f>
        <v>0</v>
      </c>
      <c r="H94" s="61" t="str">
        <f>_xlfn.XLOOKUP(C94,Tab_Def_Flows[Name(EN)],Tab_Def_Flows[Process_ID_I],,0,)</f>
        <v>21__</v>
      </c>
      <c r="I94" s="49">
        <f>_xlfn.XLOOKUP(C94,Tab_Def_Flows[Name(EN)],Tab_Def_Flows[Value_Source],,0,)</f>
        <v>0</v>
      </c>
      <c r="J94" s="49">
        <f>_xlfn.XLOOKUP(C94,Tab_Def_Flows[Name(EN)],Tab_Def_Flows[WC?],,0,)</f>
        <v>0</v>
      </c>
      <c r="K94" s="49">
        <f>_xlfn.XLOOKUP(C94,Tab_Def_Flows[Name(EN)],Tab_Def_Flows[DM?],,0,)</f>
        <v>0</v>
      </c>
      <c r="L94" s="49">
        <f>_xlfn.XLOOKUP(C94,Tab_Def_Flows[Name(EN)],Tab_Def_Flows[CC?],,0,)</f>
        <v>0</v>
      </c>
      <c r="M94" s="51"/>
      <c r="N94" s="51"/>
      <c r="O94" s="88"/>
      <c r="P94" s="51"/>
      <c r="Q94" s="51"/>
      <c r="R94" s="51"/>
      <c r="S94" s="69"/>
      <c r="T94" s="51"/>
      <c r="U94" s="51"/>
      <c r="V94" s="51"/>
      <c r="W94" s="51"/>
      <c r="X94" s="51"/>
      <c r="Y94" s="109"/>
      <c r="Z94" s="51"/>
      <c r="AA94" s="89">
        <f t="shared" si="3"/>
        <v>0</v>
      </c>
      <c r="AB94" s="51" t="s">
        <v>63</v>
      </c>
      <c r="AC94" s="114" t="e">
        <f>INDEX(Tab_Def_Flows[[Flow_ID]:[CC_DM_source]],MATCH(Tab_Data_Flows[[#This Row],[Name(EN)]],Tab_Def_Flows[Name(EN)],0),16)</f>
        <v>#N/A</v>
      </c>
      <c r="AD94" s="115" t="str">
        <f>IF(J94="Yes",AA94*Tab_Data_Flows[[#This Row],[WC_'[%']]],"N.A.")</f>
        <v>N.A.</v>
      </c>
      <c r="AE94" s="61" t="str">
        <f>Tab_Data_Flows[[#This Row],[UoM_Flow_Py]]</f>
        <v>Mg</v>
      </c>
      <c r="AF94" s="114" t="e">
        <f>INDEX(Tab_Def_Flows[[Flow_ID]:[CC_DM_source]],MATCH(Tab_Data_Flows[[#This Row],[Name(EN)]],Tab_Def_Flows[Name(EN)],0),18)</f>
        <v>#N/A</v>
      </c>
      <c r="AG94" s="115" t="str">
        <f>IF(K94="Yes",AF94*Tab_Data_Flows[[#This Row],[Flow_Py]],"N.A.")</f>
        <v>N.A.</v>
      </c>
      <c r="AH94" s="61" t="str">
        <f>Tab_Data_Flows[[#This Row],[UoM_Flow_Py]]</f>
        <v>Mg</v>
      </c>
      <c r="AI94" s="114" t="e">
        <f>INDEX(Tab_Def_Flows[[Flow_ID]:[CC_DM_source]],MATCH(Tab_Data_Flows[[#This Row],[Name(EN)]],Tab_Def_Flows[Name(EN)],0),20)</f>
        <v>#N/A</v>
      </c>
      <c r="AJ94" s="115" t="str">
        <f>IF(L94="Yes",AI94*Tab_Data_Flows[[#This Row],[Flow_Py]],"N.A.")</f>
        <v>N.A.</v>
      </c>
      <c r="AK94" s="61" t="str">
        <f>Tab_Data_Flows[[#This Row],[UoM_Flow_Py]]</f>
        <v>Mg</v>
      </c>
    </row>
    <row r="95" spans="1:37" x14ac:dyDescent="0.35">
      <c r="A95" s="60">
        <f t="shared" si="2"/>
        <v>94</v>
      </c>
      <c r="B95" s="49" t="str">
        <f>_xlfn.XLOOKUP(C95,Tab_Def_Flows[Name(EN)],Tab_Def_Flows[Flow_ID],,0,)</f>
        <v>F_21_21</v>
      </c>
      <c r="C95" s="51"/>
      <c r="D95" s="49">
        <f>_xlfn.XLOOKUP(C95,Tab_Def_Flows[Name(EN)],Tab_Def_Flows[Type_Biomass],,0,)</f>
        <v>0</v>
      </c>
      <c r="E95" s="49">
        <f>_xlfn.XLOOKUP(C95,Tab_Def_Flows[Name(EN)],Tab_Def_Flows[Output_Process],,0,)</f>
        <v>0</v>
      </c>
      <c r="F95" s="49" t="str">
        <f>_xlfn.XLOOKUP(C95,Tab_Def_Flows[Name(EN)],Tab_Def_Flows[Process_ID_O],,0,)</f>
        <v>21__</v>
      </c>
      <c r="G95" s="49">
        <f>_xlfn.XLOOKUP(C95,Tab_Def_Flows[Name(EN)],Tab_Def_Flows[Input_Process],,0,)</f>
        <v>0</v>
      </c>
      <c r="H95" s="61" t="str">
        <f>_xlfn.XLOOKUP(C95,Tab_Def_Flows[Name(EN)],Tab_Def_Flows[Process_ID_I],,0,)</f>
        <v>21__</v>
      </c>
      <c r="I95" s="49">
        <f>_xlfn.XLOOKUP(C95,Tab_Def_Flows[Name(EN)],Tab_Def_Flows[Value_Source],,0,)</f>
        <v>0</v>
      </c>
      <c r="J95" s="49">
        <f>_xlfn.XLOOKUP(C95,Tab_Def_Flows[Name(EN)],Tab_Def_Flows[WC?],,0,)</f>
        <v>0</v>
      </c>
      <c r="K95" s="49">
        <f>_xlfn.XLOOKUP(C95,Tab_Def_Flows[Name(EN)],Tab_Def_Flows[DM?],,0,)</f>
        <v>0</v>
      </c>
      <c r="L95" s="49">
        <f>_xlfn.XLOOKUP(C95,Tab_Def_Flows[Name(EN)],Tab_Def_Flows[CC?],,0,)</f>
        <v>0</v>
      </c>
      <c r="M95" s="51"/>
      <c r="N95" s="51"/>
      <c r="O95" s="88"/>
      <c r="P95" s="51"/>
      <c r="Q95" s="51"/>
      <c r="R95" s="51"/>
      <c r="S95" s="69"/>
      <c r="T95" s="51"/>
      <c r="U95" s="51"/>
      <c r="V95" s="51"/>
      <c r="W95" s="51"/>
      <c r="X95" s="51"/>
      <c r="Y95" s="109"/>
      <c r="Z95" s="51"/>
      <c r="AA95" s="89">
        <f t="shared" si="3"/>
        <v>0</v>
      </c>
      <c r="AB95" s="51" t="s">
        <v>63</v>
      </c>
      <c r="AC95" s="114" t="e">
        <f>INDEX(Tab_Def_Flows[[Flow_ID]:[CC_DM_source]],MATCH(Tab_Data_Flows[[#This Row],[Name(EN)]],Tab_Def_Flows[Name(EN)],0),16)</f>
        <v>#N/A</v>
      </c>
      <c r="AD95" s="115" t="str">
        <f>IF(J95="Yes",AA95*Tab_Data_Flows[[#This Row],[WC_'[%']]],"N.A.")</f>
        <v>N.A.</v>
      </c>
      <c r="AE95" s="61" t="str">
        <f>Tab_Data_Flows[[#This Row],[UoM_Flow_Py]]</f>
        <v>Mg</v>
      </c>
      <c r="AF95" s="114" t="e">
        <f>INDEX(Tab_Def_Flows[[Flow_ID]:[CC_DM_source]],MATCH(Tab_Data_Flows[[#This Row],[Name(EN)]],Tab_Def_Flows[Name(EN)],0),18)</f>
        <v>#N/A</v>
      </c>
      <c r="AG95" s="115" t="str">
        <f>IF(K95="Yes",AF95*Tab_Data_Flows[[#This Row],[Flow_Py]],"N.A.")</f>
        <v>N.A.</v>
      </c>
      <c r="AH95" s="61" t="str">
        <f>Tab_Data_Flows[[#This Row],[UoM_Flow_Py]]</f>
        <v>Mg</v>
      </c>
      <c r="AI95" s="114" t="e">
        <f>INDEX(Tab_Def_Flows[[Flow_ID]:[CC_DM_source]],MATCH(Tab_Data_Flows[[#This Row],[Name(EN)]],Tab_Def_Flows[Name(EN)],0),20)</f>
        <v>#N/A</v>
      </c>
      <c r="AJ95" s="115" t="str">
        <f>IF(L95="Yes",AI95*Tab_Data_Flows[[#This Row],[Flow_Py]],"N.A.")</f>
        <v>N.A.</v>
      </c>
      <c r="AK95" s="61" t="str">
        <f>Tab_Data_Flows[[#This Row],[UoM_Flow_Py]]</f>
        <v>Mg</v>
      </c>
    </row>
    <row r="96" spans="1:37" x14ac:dyDescent="0.35">
      <c r="A96" s="60">
        <f t="shared" si="2"/>
        <v>95</v>
      </c>
      <c r="B96" s="49" t="str">
        <f>_xlfn.XLOOKUP(C96,Tab_Def_Flows[Name(EN)],Tab_Def_Flows[Flow_ID],,0,)</f>
        <v>F_21_21</v>
      </c>
      <c r="C96" s="51"/>
      <c r="D96" s="49">
        <f>_xlfn.XLOOKUP(C96,Tab_Def_Flows[Name(EN)],Tab_Def_Flows[Type_Biomass],,0,)</f>
        <v>0</v>
      </c>
      <c r="E96" s="49">
        <f>_xlfn.XLOOKUP(C96,Tab_Def_Flows[Name(EN)],Tab_Def_Flows[Output_Process],,0,)</f>
        <v>0</v>
      </c>
      <c r="F96" s="49" t="str">
        <f>_xlfn.XLOOKUP(C96,Tab_Def_Flows[Name(EN)],Tab_Def_Flows[Process_ID_O],,0,)</f>
        <v>21__</v>
      </c>
      <c r="G96" s="49">
        <f>_xlfn.XLOOKUP(C96,Tab_Def_Flows[Name(EN)],Tab_Def_Flows[Input_Process],,0,)</f>
        <v>0</v>
      </c>
      <c r="H96" s="61" t="str">
        <f>_xlfn.XLOOKUP(C96,Tab_Def_Flows[Name(EN)],Tab_Def_Flows[Process_ID_I],,0,)</f>
        <v>21__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88"/>
      <c r="P96" s="51"/>
      <c r="Q96" s="51"/>
      <c r="R96" s="51"/>
      <c r="S96" s="69"/>
      <c r="T96" s="51"/>
      <c r="U96" s="51"/>
      <c r="V96" s="51"/>
      <c r="W96" s="51"/>
      <c r="X96" s="51"/>
      <c r="Y96" s="109"/>
      <c r="Z96" s="51"/>
      <c r="AA96" s="89">
        <f t="shared" si="3"/>
        <v>0</v>
      </c>
      <c r="AB96" s="51" t="s">
        <v>63</v>
      </c>
      <c r="AC96" s="114" t="e">
        <f>INDEX(Tab_Def_Flows[[Flow_ID]:[CC_DM_source]],MATCH(Tab_Data_Flows[[#This Row],[Name(EN)]],Tab_Def_Flows[Name(EN)],0),16)</f>
        <v>#N/A</v>
      </c>
      <c r="AD96" s="115" t="str">
        <f>IF(J96="Yes",AA96*Tab_Data_Flows[[#This Row],[WC_'[%']]],"N.A.")</f>
        <v>N.A.</v>
      </c>
      <c r="AE96" s="61" t="str">
        <f>Tab_Data_Flows[[#This Row],[UoM_Flow_Py]]</f>
        <v>Mg</v>
      </c>
      <c r="AF96" s="114" t="e">
        <f>INDEX(Tab_Def_Flows[[Flow_ID]:[CC_DM_source]],MATCH(Tab_Data_Flows[[#This Row],[Name(EN)]],Tab_Def_Flows[Name(EN)],0),18)</f>
        <v>#N/A</v>
      </c>
      <c r="AG96" s="115" t="str">
        <f>IF(K96="Yes",AF96*Tab_Data_Flows[[#This Row],[Flow_Py]],"N.A.")</f>
        <v>N.A.</v>
      </c>
      <c r="AH96" s="61" t="str">
        <f>Tab_Data_Flows[[#This Row],[UoM_Flow_Py]]</f>
        <v>Mg</v>
      </c>
      <c r="AI96" s="114" t="e">
        <f>INDEX(Tab_Def_Flows[[Flow_ID]:[CC_DM_source]],MATCH(Tab_Data_Flows[[#This Row],[Name(EN)]],Tab_Def_Flows[Name(EN)],0),20)</f>
        <v>#N/A</v>
      </c>
      <c r="AJ96" s="115" t="str">
        <f>IF(L96="Yes",AI96*Tab_Data_Flows[[#This Row],[Flow_Py]],"N.A.")</f>
        <v>N.A.</v>
      </c>
      <c r="AK96" s="61" t="str">
        <f>Tab_Data_Flows[[#This Row],[UoM_Flow_Py]]</f>
        <v>Mg</v>
      </c>
    </row>
    <row r="97" spans="1:37" x14ac:dyDescent="0.35">
      <c r="A97" s="60">
        <f t="shared" si="2"/>
        <v>96</v>
      </c>
      <c r="B97" s="49" t="str">
        <f>_xlfn.XLOOKUP(C97,Tab_Def_Flows[Name(EN)],Tab_Def_Flows[Flow_ID],,0,)</f>
        <v>F_21_21</v>
      </c>
      <c r="C97" s="51"/>
      <c r="D97" s="49">
        <f>_xlfn.XLOOKUP(C97,Tab_Def_Flows[Name(EN)],Tab_Def_Flows[Type_Biomass],,0,)</f>
        <v>0</v>
      </c>
      <c r="E97" s="49">
        <f>_xlfn.XLOOKUP(C97,Tab_Def_Flows[Name(EN)],Tab_Def_Flows[Output_Process],,0,)</f>
        <v>0</v>
      </c>
      <c r="F97" s="49" t="str">
        <f>_xlfn.XLOOKUP(C97,Tab_Def_Flows[Name(EN)],Tab_Def_Flows[Process_ID_O],,0,)</f>
        <v>21__</v>
      </c>
      <c r="G97" s="49">
        <f>_xlfn.XLOOKUP(C97,Tab_Def_Flows[Name(EN)],Tab_Def_Flows[Input_Process],,0,)</f>
        <v>0</v>
      </c>
      <c r="H97" s="61" t="str">
        <f>_xlfn.XLOOKUP(C97,Tab_Def_Flows[Name(EN)],Tab_Def_Flows[Process_ID_I],,0,)</f>
        <v>21__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88"/>
      <c r="P97" s="51"/>
      <c r="Q97" s="51"/>
      <c r="R97" s="51"/>
      <c r="S97" s="69"/>
      <c r="T97" s="51"/>
      <c r="U97" s="51"/>
      <c r="V97" s="51"/>
      <c r="W97" s="51"/>
      <c r="X97" s="51"/>
      <c r="Y97" s="109"/>
      <c r="Z97" s="51"/>
      <c r="AA97" s="89">
        <f t="shared" si="3"/>
        <v>0</v>
      </c>
      <c r="AB97" s="51" t="s">
        <v>63</v>
      </c>
      <c r="AC97" s="114" t="e">
        <f>INDEX(Tab_Def_Flows[[Flow_ID]:[CC_DM_source]],MATCH(Tab_Data_Flows[[#This Row],[Name(EN)]],Tab_Def_Flows[Name(EN)],0),16)</f>
        <v>#N/A</v>
      </c>
      <c r="AD97" s="115" t="str">
        <f>IF(J97="Yes",AA97*Tab_Data_Flows[[#This Row],[WC_'[%']]],"N.A.")</f>
        <v>N.A.</v>
      </c>
      <c r="AE97" s="61" t="str">
        <f>Tab_Data_Flows[[#This Row],[UoM_Flow_Py]]</f>
        <v>Mg</v>
      </c>
      <c r="AF97" s="114" t="e">
        <f>INDEX(Tab_Def_Flows[[Flow_ID]:[CC_DM_source]],MATCH(Tab_Data_Flows[[#This Row],[Name(EN)]],Tab_Def_Flows[Name(EN)],0),18)</f>
        <v>#N/A</v>
      </c>
      <c r="AG97" s="115" t="str">
        <f>IF(K97="Yes",AF97*Tab_Data_Flows[[#This Row],[Flow_Py]],"N.A.")</f>
        <v>N.A.</v>
      </c>
      <c r="AH97" s="61" t="str">
        <f>Tab_Data_Flows[[#This Row],[UoM_Flow_Py]]</f>
        <v>Mg</v>
      </c>
      <c r="AI97" s="114" t="e">
        <f>INDEX(Tab_Def_Flows[[Flow_ID]:[CC_DM_source]],MATCH(Tab_Data_Flows[[#This Row],[Name(EN)]],Tab_Def_Flows[Name(EN)],0),20)</f>
        <v>#N/A</v>
      </c>
      <c r="AJ97" s="115" t="str">
        <f>IF(L97="Yes",AI97*Tab_Data_Flows[[#This Row],[Flow_Py]],"N.A.")</f>
        <v>N.A.</v>
      </c>
      <c r="AK97" s="61" t="str">
        <f>Tab_Data_Flows[[#This Row],[UoM_Flow_Py]]</f>
        <v>Mg</v>
      </c>
    </row>
    <row r="98" spans="1:37" x14ac:dyDescent="0.35">
      <c r="A98" s="60">
        <f t="shared" si="2"/>
        <v>97</v>
      </c>
      <c r="B98" s="49" t="str">
        <f>_xlfn.XLOOKUP(C98,Tab_Def_Flows[Name(EN)],Tab_Def_Flows[Flow_ID],,0,)</f>
        <v>F_21_21</v>
      </c>
      <c r="C98" s="51"/>
      <c r="D98" s="49">
        <f>_xlfn.XLOOKUP(C98,Tab_Def_Flows[Name(EN)],Tab_Def_Flows[Type_Biomass],,0,)</f>
        <v>0</v>
      </c>
      <c r="E98" s="49">
        <f>_xlfn.XLOOKUP(C98,Tab_Def_Flows[Name(EN)],Tab_Def_Flows[Output_Process],,0,)</f>
        <v>0</v>
      </c>
      <c r="F98" s="49" t="str">
        <f>_xlfn.XLOOKUP(C98,Tab_Def_Flows[Name(EN)],Tab_Def_Flows[Process_ID_O],,0,)</f>
        <v>21__</v>
      </c>
      <c r="G98" s="49">
        <f>_xlfn.XLOOKUP(C98,Tab_Def_Flows[Name(EN)],Tab_Def_Flows[Input_Process],,0,)</f>
        <v>0</v>
      </c>
      <c r="H98" s="61" t="str">
        <f>_xlfn.XLOOKUP(C98,Tab_Def_Flows[Name(EN)],Tab_Def_Flows[Process_ID_I],,0,)</f>
        <v>21__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88"/>
      <c r="P98" s="51"/>
      <c r="Q98" s="51"/>
      <c r="R98" s="51"/>
      <c r="S98" s="69"/>
      <c r="T98" s="51"/>
      <c r="U98" s="51"/>
      <c r="V98" s="51"/>
      <c r="W98" s="51"/>
      <c r="X98" s="51"/>
      <c r="Y98" s="109"/>
      <c r="Z98" s="51"/>
      <c r="AA98" s="89">
        <f t="shared" si="3"/>
        <v>0</v>
      </c>
      <c r="AB98" s="51" t="s">
        <v>63</v>
      </c>
      <c r="AC98" s="114" t="e">
        <f>INDEX(Tab_Def_Flows[[Flow_ID]:[CC_DM_source]],MATCH(Tab_Data_Flows[[#This Row],[Name(EN)]],Tab_Def_Flows[Name(EN)],0),16)</f>
        <v>#N/A</v>
      </c>
      <c r="AD98" s="115" t="str">
        <f>IF(J98="Yes",AA98*Tab_Data_Flows[[#This Row],[WC_'[%']]],"N.A.")</f>
        <v>N.A.</v>
      </c>
      <c r="AE98" s="61" t="str">
        <f>Tab_Data_Flows[[#This Row],[UoM_Flow_Py]]</f>
        <v>Mg</v>
      </c>
      <c r="AF98" s="114" t="e">
        <f>INDEX(Tab_Def_Flows[[Flow_ID]:[CC_DM_source]],MATCH(Tab_Data_Flows[[#This Row],[Name(EN)]],Tab_Def_Flows[Name(EN)],0),18)</f>
        <v>#N/A</v>
      </c>
      <c r="AG98" s="115" t="str">
        <f>IF(K98="Yes",AF98*Tab_Data_Flows[[#This Row],[Flow_Py]],"N.A.")</f>
        <v>N.A.</v>
      </c>
      <c r="AH98" s="61" t="str">
        <f>Tab_Data_Flows[[#This Row],[UoM_Flow_Py]]</f>
        <v>Mg</v>
      </c>
      <c r="AI98" s="114" t="e">
        <f>INDEX(Tab_Def_Flows[[Flow_ID]:[CC_DM_source]],MATCH(Tab_Data_Flows[[#This Row],[Name(EN)]],Tab_Def_Flows[Name(EN)],0),20)</f>
        <v>#N/A</v>
      </c>
      <c r="AJ98" s="115" t="str">
        <f>IF(L98="Yes",AI98*Tab_Data_Flows[[#This Row],[Flow_Py]],"N.A.")</f>
        <v>N.A.</v>
      </c>
      <c r="AK98" s="61" t="str">
        <f>Tab_Data_Flows[[#This Row],[UoM_Flow_Py]]</f>
        <v>Mg</v>
      </c>
    </row>
    <row r="99" spans="1:37" x14ac:dyDescent="0.35">
      <c r="A99" s="60">
        <f t="shared" si="2"/>
        <v>98</v>
      </c>
      <c r="B99" s="49" t="str">
        <f>_xlfn.XLOOKUP(C99,Tab_Def_Flows[Name(EN)],Tab_Def_Flows[Flow_ID],,0,)</f>
        <v>F_21_21</v>
      </c>
      <c r="C99" s="51"/>
      <c r="D99" s="49">
        <f>_xlfn.XLOOKUP(C99,Tab_Def_Flows[Name(EN)],Tab_Def_Flows[Type_Biomass],,0,)</f>
        <v>0</v>
      </c>
      <c r="E99" s="49">
        <f>_xlfn.XLOOKUP(C99,Tab_Def_Flows[Name(EN)],Tab_Def_Flows[Output_Process],,0,)</f>
        <v>0</v>
      </c>
      <c r="F99" s="49" t="str">
        <f>_xlfn.XLOOKUP(C99,Tab_Def_Flows[Name(EN)],Tab_Def_Flows[Process_ID_O],,0,)</f>
        <v>21__</v>
      </c>
      <c r="G99" s="49">
        <f>_xlfn.XLOOKUP(C99,Tab_Def_Flows[Name(EN)],Tab_Def_Flows[Input_Process],,0,)</f>
        <v>0</v>
      </c>
      <c r="H99" s="61" t="str">
        <f>_xlfn.XLOOKUP(C99,Tab_Def_Flows[Name(EN)],Tab_Def_Flows[Process_ID_I],,0,)</f>
        <v>21__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88"/>
      <c r="P99" s="51"/>
      <c r="Q99" s="51"/>
      <c r="R99" s="51"/>
      <c r="S99" s="69"/>
      <c r="T99" s="51"/>
      <c r="U99" s="51"/>
      <c r="V99" s="51"/>
      <c r="W99" s="51"/>
      <c r="X99" s="51"/>
      <c r="Y99" s="109"/>
      <c r="Z99" s="51"/>
      <c r="AA99" s="89">
        <f t="shared" si="3"/>
        <v>0</v>
      </c>
      <c r="AB99" s="51" t="s">
        <v>63</v>
      </c>
      <c r="AC99" s="114" t="e">
        <f>INDEX(Tab_Def_Flows[[Flow_ID]:[CC_DM_source]],MATCH(Tab_Data_Flows[[#This Row],[Name(EN)]],Tab_Def_Flows[Name(EN)],0),16)</f>
        <v>#N/A</v>
      </c>
      <c r="AD99" s="115" t="str">
        <f>IF(J99="Yes",AA99*Tab_Data_Flows[[#This Row],[WC_'[%']]],"N.A.")</f>
        <v>N.A.</v>
      </c>
      <c r="AE99" s="61" t="str">
        <f>Tab_Data_Flows[[#This Row],[UoM_Flow_Py]]</f>
        <v>Mg</v>
      </c>
      <c r="AF99" s="114" t="e">
        <f>INDEX(Tab_Def_Flows[[Flow_ID]:[CC_DM_source]],MATCH(Tab_Data_Flows[[#This Row],[Name(EN)]],Tab_Def_Flows[Name(EN)],0),18)</f>
        <v>#N/A</v>
      </c>
      <c r="AG99" s="115" t="str">
        <f>IF(K99="Yes",AF99*Tab_Data_Flows[[#This Row],[Flow_Py]],"N.A.")</f>
        <v>N.A.</v>
      </c>
      <c r="AH99" s="61" t="str">
        <f>Tab_Data_Flows[[#This Row],[UoM_Flow_Py]]</f>
        <v>Mg</v>
      </c>
      <c r="AI99" s="114" t="e">
        <f>INDEX(Tab_Def_Flows[[Flow_ID]:[CC_DM_source]],MATCH(Tab_Data_Flows[[#This Row],[Name(EN)]],Tab_Def_Flows[Name(EN)],0),20)</f>
        <v>#N/A</v>
      </c>
      <c r="AJ99" s="115" t="str">
        <f>IF(L99="Yes",AI99*Tab_Data_Flows[[#This Row],[Flow_Py]],"N.A.")</f>
        <v>N.A.</v>
      </c>
      <c r="AK99" s="61" t="str">
        <f>Tab_Data_Flows[[#This Row],[UoM_Flow_Py]]</f>
        <v>Mg</v>
      </c>
    </row>
    <row r="100" spans="1:37" x14ac:dyDescent="0.35">
      <c r="A100" s="60">
        <f t="shared" si="2"/>
        <v>99</v>
      </c>
      <c r="B100" s="49" t="str">
        <f>_xlfn.XLOOKUP(C100,Tab_Def_Flows[Name(EN)],Tab_Def_Flows[Flow_ID],,0,)</f>
        <v>F_21_21</v>
      </c>
      <c r="C100" s="51"/>
      <c r="D100" s="49">
        <f>_xlfn.XLOOKUP(C100,Tab_Def_Flows[Name(EN)],Tab_Def_Flows[Type_Biomass],,0,)</f>
        <v>0</v>
      </c>
      <c r="E100" s="49">
        <f>_xlfn.XLOOKUP(C100,Tab_Def_Flows[Name(EN)],Tab_Def_Flows[Output_Process],,0,)</f>
        <v>0</v>
      </c>
      <c r="F100" s="49" t="str">
        <f>_xlfn.XLOOKUP(C100,Tab_Def_Flows[Name(EN)],Tab_Def_Flows[Process_ID_O],,0,)</f>
        <v>21__</v>
      </c>
      <c r="G100" s="49">
        <f>_xlfn.XLOOKUP(C100,Tab_Def_Flows[Name(EN)],Tab_Def_Flows[Input_Process],,0,)</f>
        <v>0</v>
      </c>
      <c r="H100" s="61" t="str">
        <f>_xlfn.XLOOKUP(C100,Tab_Def_Flows[Name(EN)],Tab_Def_Flows[Process_ID_I],,0,)</f>
        <v>21__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88"/>
      <c r="P100" s="51"/>
      <c r="Q100" s="51"/>
      <c r="R100" s="51"/>
      <c r="S100" s="69"/>
      <c r="T100" s="51"/>
      <c r="U100" s="51"/>
      <c r="V100" s="51"/>
      <c r="W100" s="51"/>
      <c r="X100" s="51"/>
      <c r="Y100" s="109"/>
      <c r="Z100" s="51"/>
      <c r="AA100" s="89">
        <f t="shared" si="3"/>
        <v>0</v>
      </c>
      <c r="AB100" s="51" t="s">
        <v>63</v>
      </c>
      <c r="AC100" s="114" t="e">
        <f>INDEX(Tab_Def_Flows[[Flow_ID]:[CC_DM_source]],MATCH(Tab_Data_Flows[[#This Row],[Name(EN)]],Tab_Def_Flows[Name(EN)],0),16)</f>
        <v>#N/A</v>
      </c>
      <c r="AD100" s="115" t="str">
        <f>IF(J100="Yes",AA100*Tab_Data_Flows[[#This Row],[WC_'[%']]],"N.A.")</f>
        <v>N.A.</v>
      </c>
      <c r="AE100" s="61" t="str">
        <f>Tab_Data_Flows[[#This Row],[UoM_Flow_Py]]</f>
        <v>Mg</v>
      </c>
      <c r="AF100" s="114" t="e">
        <f>INDEX(Tab_Def_Flows[[Flow_ID]:[CC_DM_source]],MATCH(Tab_Data_Flows[[#This Row],[Name(EN)]],Tab_Def_Flows[Name(EN)],0),18)</f>
        <v>#N/A</v>
      </c>
      <c r="AG100" s="115" t="str">
        <f>IF(K100="Yes",AF100*Tab_Data_Flows[[#This Row],[Flow_Py]],"N.A.")</f>
        <v>N.A.</v>
      </c>
      <c r="AH100" s="61" t="str">
        <f>Tab_Data_Flows[[#This Row],[UoM_Flow_Py]]</f>
        <v>Mg</v>
      </c>
      <c r="AI100" s="114" t="e">
        <f>INDEX(Tab_Def_Flows[[Flow_ID]:[CC_DM_source]],MATCH(Tab_Data_Flows[[#This Row],[Name(EN)]],Tab_Def_Flows[Name(EN)],0),20)</f>
        <v>#N/A</v>
      </c>
      <c r="AJ100" s="115" t="str">
        <f>IF(L100="Yes",AI100*Tab_Data_Flows[[#This Row],[Flow_Py]],"N.A.")</f>
        <v>N.A.</v>
      </c>
      <c r="AK100" s="61" t="str">
        <f>Tab_Data_Flows[[#This Row],[UoM_Flow_Py]]</f>
        <v>Mg</v>
      </c>
    </row>
    <row r="101" spans="1:37" x14ac:dyDescent="0.35">
      <c r="A101" s="60">
        <f t="shared" si="2"/>
        <v>100</v>
      </c>
      <c r="B101" s="49" t="str">
        <f>_xlfn.XLOOKUP(C101,Tab_Def_Flows[Name(EN)],Tab_Def_Flows[Flow_ID],,0,)</f>
        <v>F_21_21</v>
      </c>
      <c r="C101" s="51"/>
      <c r="D101" s="49">
        <f>_xlfn.XLOOKUP(C101,Tab_Def_Flows[Name(EN)],Tab_Def_Flows[Type_Biomass],,0,)</f>
        <v>0</v>
      </c>
      <c r="E101" s="49">
        <f>_xlfn.XLOOKUP(C101,Tab_Def_Flows[Name(EN)],Tab_Def_Flows[Output_Process],,0,)</f>
        <v>0</v>
      </c>
      <c r="F101" s="49" t="str">
        <f>_xlfn.XLOOKUP(C101,Tab_Def_Flows[Name(EN)],Tab_Def_Flows[Process_ID_O],,0,)</f>
        <v>21__</v>
      </c>
      <c r="G101" s="49">
        <f>_xlfn.XLOOKUP(C101,Tab_Def_Flows[Name(EN)],Tab_Def_Flows[Input_Process],,0,)</f>
        <v>0</v>
      </c>
      <c r="H101" s="61" t="str">
        <f>_xlfn.XLOOKUP(C101,Tab_Def_Flows[Name(EN)],Tab_Def_Flows[Process_ID_I],,0,)</f>
        <v>21__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88"/>
      <c r="P101" s="51"/>
      <c r="Q101" s="51"/>
      <c r="R101" s="51"/>
      <c r="S101" s="69"/>
      <c r="T101" s="51"/>
      <c r="U101" s="51"/>
      <c r="V101" s="51"/>
      <c r="W101" s="51"/>
      <c r="X101" s="51"/>
      <c r="Y101" s="109"/>
      <c r="Z101" s="51"/>
      <c r="AA101" s="89">
        <f t="shared" si="3"/>
        <v>0</v>
      </c>
      <c r="AB101" s="51" t="s">
        <v>63</v>
      </c>
      <c r="AC101" s="114" t="e">
        <f>INDEX(Tab_Def_Flows[[Flow_ID]:[CC_DM_source]],MATCH(Tab_Data_Flows[[#This Row],[Name(EN)]],Tab_Def_Flows[Name(EN)],0),16)</f>
        <v>#N/A</v>
      </c>
      <c r="AD101" s="115" t="str">
        <f>IF(J101="Yes",AA101*Tab_Data_Flows[[#This Row],[WC_'[%']]],"N.A.")</f>
        <v>N.A.</v>
      </c>
      <c r="AE101" s="61" t="str">
        <f>Tab_Data_Flows[[#This Row],[UoM_Flow_Py]]</f>
        <v>Mg</v>
      </c>
      <c r="AF101" s="114" t="e">
        <f>INDEX(Tab_Def_Flows[[Flow_ID]:[CC_DM_source]],MATCH(Tab_Data_Flows[[#This Row],[Name(EN)]],Tab_Def_Flows[Name(EN)],0),18)</f>
        <v>#N/A</v>
      </c>
      <c r="AG101" s="115" t="str">
        <f>IF(K101="Yes",AF101*Tab_Data_Flows[[#This Row],[Flow_Py]],"N.A.")</f>
        <v>N.A.</v>
      </c>
      <c r="AH101" s="61" t="str">
        <f>Tab_Data_Flows[[#This Row],[UoM_Flow_Py]]</f>
        <v>Mg</v>
      </c>
      <c r="AI101" s="114" t="e">
        <f>INDEX(Tab_Def_Flows[[Flow_ID]:[CC_DM_source]],MATCH(Tab_Data_Flows[[#This Row],[Name(EN)]],Tab_Def_Flows[Name(EN)],0),20)</f>
        <v>#N/A</v>
      </c>
      <c r="AJ101" s="115" t="str">
        <f>IF(L101="Yes",AI101*Tab_Data_Flows[[#This Row],[Flow_Py]],"N.A.")</f>
        <v>N.A.</v>
      </c>
      <c r="AK101" s="61" t="str">
        <f>Tab_Data_Flows[[#This Row],[UoM_Flow_Py]]</f>
        <v>Mg</v>
      </c>
    </row>
    <row r="102" spans="1:37" x14ac:dyDescent="0.35">
      <c r="A102" s="60">
        <f t="shared" si="2"/>
        <v>101</v>
      </c>
      <c r="B102" s="49" t="str">
        <f>_xlfn.XLOOKUP(C102,Tab_Def_Flows[Name(EN)],Tab_Def_Flows[Flow_ID],,0,)</f>
        <v>F_21_21</v>
      </c>
      <c r="C102" s="51"/>
      <c r="D102" s="49">
        <f>_xlfn.XLOOKUP(C102,Tab_Def_Flows[Name(EN)],Tab_Def_Flows[Type_Biomass],,0,)</f>
        <v>0</v>
      </c>
      <c r="E102" s="49">
        <f>_xlfn.XLOOKUP(C102,Tab_Def_Flows[Name(EN)],Tab_Def_Flows[Output_Process],,0,)</f>
        <v>0</v>
      </c>
      <c r="F102" s="49" t="str">
        <f>_xlfn.XLOOKUP(C102,Tab_Def_Flows[Name(EN)],Tab_Def_Flows[Process_ID_O],,0,)</f>
        <v>21__</v>
      </c>
      <c r="G102" s="49">
        <f>_xlfn.XLOOKUP(C102,Tab_Def_Flows[Name(EN)],Tab_Def_Flows[Input_Process],,0,)</f>
        <v>0</v>
      </c>
      <c r="H102" s="61" t="str">
        <f>_xlfn.XLOOKUP(C102,Tab_Def_Flows[Name(EN)],Tab_Def_Flows[Process_ID_I],,0,)</f>
        <v>21__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88"/>
      <c r="P102" s="51"/>
      <c r="Q102" s="51"/>
      <c r="R102" s="51"/>
      <c r="S102" s="69"/>
      <c r="T102" s="51"/>
      <c r="U102" s="51"/>
      <c r="V102" s="51"/>
      <c r="W102" s="51"/>
      <c r="X102" s="51"/>
      <c r="Y102" s="109"/>
      <c r="Z102" s="51"/>
      <c r="AA102" s="89">
        <f t="shared" si="3"/>
        <v>0</v>
      </c>
      <c r="AB102" s="51" t="s">
        <v>63</v>
      </c>
      <c r="AC102" s="114" t="e">
        <f>INDEX(Tab_Def_Flows[[Flow_ID]:[CC_DM_source]],MATCH(Tab_Data_Flows[[#This Row],[Name(EN)]],Tab_Def_Flows[Name(EN)],0),16)</f>
        <v>#N/A</v>
      </c>
      <c r="AD102" s="115" t="str">
        <f>IF(J102="Yes",AA102*Tab_Data_Flows[[#This Row],[WC_'[%']]],"N.A.")</f>
        <v>N.A.</v>
      </c>
      <c r="AE102" s="61" t="str">
        <f>Tab_Data_Flows[[#This Row],[UoM_Flow_Py]]</f>
        <v>Mg</v>
      </c>
      <c r="AF102" s="114" t="e">
        <f>INDEX(Tab_Def_Flows[[Flow_ID]:[CC_DM_source]],MATCH(Tab_Data_Flows[[#This Row],[Name(EN)]],Tab_Def_Flows[Name(EN)],0),18)</f>
        <v>#N/A</v>
      </c>
      <c r="AG102" s="115" t="str">
        <f>IF(K102="Yes",AF102*Tab_Data_Flows[[#This Row],[Flow_Py]],"N.A.")</f>
        <v>N.A.</v>
      </c>
      <c r="AH102" s="61" t="str">
        <f>Tab_Data_Flows[[#This Row],[UoM_Flow_Py]]</f>
        <v>Mg</v>
      </c>
      <c r="AI102" s="114" t="e">
        <f>INDEX(Tab_Def_Flows[[Flow_ID]:[CC_DM_source]],MATCH(Tab_Data_Flows[[#This Row],[Name(EN)]],Tab_Def_Flows[Name(EN)],0),20)</f>
        <v>#N/A</v>
      </c>
      <c r="AJ102" s="115" t="str">
        <f>IF(L102="Yes",AI102*Tab_Data_Flows[[#This Row],[Flow_Py]],"N.A.")</f>
        <v>N.A.</v>
      </c>
      <c r="AK102" s="61" t="str">
        <f>Tab_Data_Flows[[#This Row],[UoM_Flow_Py]]</f>
        <v>Mg</v>
      </c>
    </row>
    <row r="103" spans="1:37" x14ac:dyDescent="0.35">
      <c r="A103" s="60">
        <f t="shared" si="2"/>
        <v>102</v>
      </c>
      <c r="B103" s="49" t="str">
        <f>_xlfn.XLOOKUP(C103,Tab_Def_Flows[Name(EN)],Tab_Def_Flows[Flow_ID],,0,)</f>
        <v>F_21_21</v>
      </c>
      <c r="C103" s="51"/>
      <c r="D103" s="49">
        <f>_xlfn.XLOOKUP(C103,Tab_Def_Flows[Name(EN)],Tab_Def_Flows[Type_Biomass],,0,)</f>
        <v>0</v>
      </c>
      <c r="E103" s="49">
        <f>_xlfn.XLOOKUP(C103,Tab_Def_Flows[Name(EN)],Tab_Def_Flows[Output_Process],,0,)</f>
        <v>0</v>
      </c>
      <c r="F103" s="49" t="str">
        <f>_xlfn.XLOOKUP(C103,Tab_Def_Flows[Name(EN)],Tab_Def_Flows[Process_ID_O],,0,)</f>
        <v>21__</v>
      </c>
      <c r="G103" s="49">
        <f>_xlfn.XLOOKUP(C103,Tab_Def_Flows[Name(EN)],Tab_Def_Flows[Input_Process],,0,)</f>
        <v>0</v>
      </c>
      <c r="H103" s="61" t="str">
        <f>_xlfn.XLOOKUP(C103,Tab_Def_Flows[Name(EN)],Tab_Def_Flows[Process_ID_I],,0,)</f>
        <v>21__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88"/>
      <c r="P103" s="51"/>
      <c r="Q103" s="51"/>
      <c r="R103" s="51"/>
      <c r="S103" s="69"/>
      <c r="T103" s="51"/>
      <c r="U103" s="51"/>
      <c r="V103" s="51"/>
      <c r="W103" s="51"/>
      <c r="X103" s="51"/>
      <c r="Y103" s="109"/>
      <c r="Z103" s="51"/>
      <c r="AA103" s="89">
        <f t="shared" si="3"/>
        <v>0</v>
      </c>
      <c r="AB103" s="51" t="s">
        <v>63</v>
      </c>
      <c r="AC103" s="114" t="e">
        <f>INDEX(Tab_Def_Flows[[Flow_ID]:[CC_DM_source]],MATCH(Tab_Data_Flows[[#This Row],[Name(EN)]],Tab_Def_Flows[Name(EN)],0),16)</f>
        <v>#N/A</v>
      </c>
      <c r="AD103" s="115" t="str">
        <f>IF(J103="Yes",AA103*Tab_Data_Flows[[#This Row],[WC_'[%']]],"N.A.")</f>
        <v>N.A.</v>
      </c>
      <c r="AE103" s="61" t="str">
        <f>Tab_Data_Flows[[#This Row],[UoM_Flow_Py]]</f>
        <v>Mg</v>
      </c>
      <c r="AF103" s="114" t="e">
        <f>INDEX(Tab_Def_Flows[[Flow_ID]:[CC_DM_source]],MATCH(Tab_Data_Flows[[#This Row],[Name(EN)]],Tab_Def_Flows[Name(EN)],0),18)</f>
        <v>#N/A</v>
      </c>
      <c r="AG103" s="115" t="str">
        <f>IF(K103="Yes",AF103*Tab_Data_Flows[[#This Row],[Flow_Py]],"N.A.")</f>
        <v>N.A.</v>
      </c>
      <c r="AH103" s="61" t="str">
        <f>Tab_Data_Flows[[#This Row],[UoM_Flow_Py]]</f>
        <v>Mg</v>
      </c>
      <c r="AI103" s="114" t="e">
        <f>INDEX(Tab_Def_Flows[[Flow_ID]:[CC_DM_source]],MATCH(Tab_Data_Flows[[#This Row],[Name(EN)]],Tab_Def_Flows[Name(EN)],0),20)</f>
        <v>#N/A</v>
      </c>
      <c r="AJ103" s="115" t="str">
        <f>IF(L103="Yes",AI103*Tab_Data_Flows[[#This Row],[Flow_Py]],"N.A.")</f>
        <v>N.A.</v>
      </c>
      <c r="AK103" s="61" t="str">
        <f>Tab_Data_Flows[[#This Row],[UoM_Flow_Py]]</f>
        <v>Mg</v>
      </c>
    </row>
    <row r="104" spans="1:37" x14ac:dyDescent="0.35">
      <c r="A104" s="60">
        <f t="shared" si="2"/>
        <v>103</v>
      </c>
      <c r="B104" s="49" t="str">
        <f>_xlfn.XLOOKUP(C104,Tab_Def_Flows[Name(EN)],Tab_Def_Flows[Flow_ID],,0,)</f>
        <v>F_21_21</v>
      </c>
      <c r="C104" s="51"/>
      <c r="D104" s="49">
        <f>_xlfn.XLOOKUP(C104,Tab_Def_Flows[Name(EN)],Tab_Def_Flows[Type_Biomass],,0,)</f>
        <v>0</v>
      </c>
      <c r="E104" s="49">
        <f>_xlfn.XLOOKUP(C104,Tab_Def_Flows[Name(EN)],Tab_Def_Flows[Output_Process],,0,)</f>
        <v>0</v>
      </c>
      <c r="F104" s="49" t="str">
        <f>_xlfn.XLOOKUP(C104,Tab_Def_Flows[Name(EN)],Tab_Def_Flows[Process_ID_O],,0,)</f>
        <v>21__</v>
      </c>
      <c r="G104" s="49">
        <f>_xlfn.XLOOKUP(C104,Tab_Def_Flows[Name(EN)],Tab_Def_Flows[Input_Process],,0,)</f>
        <v>0</v>
      </c>
      <c r="H104" s="61" t="str">
        <f>_xlfn.XLOOKUP(C104,Tab_Def_Flows[Name(EN)],Tab_Def_Flows[Process_ID_I],,0,)</f>
        <v>21__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88"/>
      <c r="P104" s="51"/>
      <c r="Q104" s="51"/>
      <c r="R104" s="51"/>
      <c r="S104" s="69"/>
      <c r="T104" s="51"/>
      <c r="U104" s="51"/>
      <c r="V104" s="51"/>
      <c r="W104" s="51"/>
      <c r="X104" s="51"/>
      <c r="Y104" s="109"/>
      <c r="Z104" s="51"/>
      <c r="AA104" s="89">
        <f t="shared" si="3"/>
        <v>0</v>
      </c>
      <c r="AB104" s="51" t="s">
        <v>63</v>
      </c>
      <c r="AC104" s="114" t="e">
        <f>INDEX(Tab_Def_Flows[[Flow_ID]:[CC_DM_source]],MATCH(Tab_Data_Flows[[#This Row],[Name(EN)]],Tab_Def_Flows[Name(EN)],0),16)</f>
        <v>#N/A</v>
      </c>
      <c r="AD104" s="115" t="str">
        <f>IF(J104="Yes",AA104*Tab_Data_Flows[[#This Row],[WC_'[%']]],"N.A.")</f>
        <v>N.A.</v>
      </c>
      <c r="AE104" s="61" t="str">
        <f>Tab_Data_Flows[[#This Row],[UoM_Flow_Py]]</f>
        <v>Mg</v>
      </c>
      <c r="AF104" s="114" t="e">
        <f>INDEX(Tab_Def_Flows[[Flow_ID]:[CC_DM_source]],MATCH(Tab_Data_Flows[[#This Row],[Name(EN)]],Tab_Def_Flows[Name(EN)],0),18)</f>
        <v>#N/A</v>
      </c>
      <c r="AG104" s="115" t="str">
        <f>IF(K104="Yes",AF104*Tab_Data_Flows[[#This Row],[Flow_Py]],"N.A.")</f>
        <v>N.A.</v>
      </c>
      <c r="AH104" s="61" t="str">
        <f>Tab_Data_Flows[[#This Row],[UoM_Flow_Py]]</f>
        <v>Mg</v>
      </c>
      <c r="AI104" s="114" t="e">
        <f>INDEX(Tab_Def_Flows[[Flow_ID]:[CC_DM_source]],MATCH(Tab_Data_Flows[[#This Row],[Name(EN)]],Tab_Def_Flows[Name(EN)],0),20)</f>
        <v>#N/A</v>
      </c>
      <c r="AJ104" s="115" t="str">
        <f>IF(L104="Yes",AI104*Tab_Data_Flows[[#This Row],[Flow_Py]],"N.A.")</f>
        <v>N.A.</v>
      </c>
      <c r="AK104" s="61" t="str">
        <f>Tab_Data_Flows[[#This Row],[UoM_Flow_Py]]</f>
        <v>Mg</v>
      </c>
    </row>
    <row r="105" spans="1:37" x14ac:dyDescent="0.35">
      <c r="A105" s="60">
        <f t="shared" si="2"/>
        <v>104</v>
      </c>
      <c r="B105" s="49" t="str">
        <f>_xlfn.XLOOKUP(C105,Tab_Def_Flows[Name(EN)],Tab_Def_Flows[Flow_ID],,0,)</f>
        <v>F_21_21</v>
      </c>
      <c r="C105" s="51"/>
      <c r="D105" s="49">
        <f>_xlfn.XLOOKUP(C105,Tab_Def_Flows[Name(EN)],Tab_Def_Flows[Type_Biomass],,0,)</f>
        <v>0</v>
      </c>
      <c r="E105" s="49">
        <f>_xlfn.XLOOKUP(C105,Tab_Def_Flows[Name(EN)],Tab_Def_Flows[Output_Process],,0,)</f>
        <v>0</v>
      </c>
      <c r="F105" s="49" t="str">
        <f>_xlfn.XLOOKUP(C105,Tab_Def_Flows[Name(EN)],Tab_Def_Flows[Process_ID_O],,0,)</f>
        <v>21__</v>
      </c>
      <c r="G105" s="49">
        <f>_xlfn.XLOOKUP(C105,Tab_Def_Flows[Name(EN)],Tab_Def_Flows[Input_Process],,0,)</f>
        <v>0</v>
      </c>
      <c r="H105" s="61" t="str">
        <f>_xlfn.XLOOKUP(C105,Tab_Def_Flows[Name(EN)],Tab_Def_Flows[Process_ID_I],,0,)</f>
        <v>21__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88"/>
      <c r="P105" s="51"/>
      <c r="Q105" s="51"/>
      <c r="R105" s="51"/>
      <c r="S105" s="69"/>
      <c r="T105" s="51"/>
      <c r="U105" s="51"/>
      <c r="V105" s="51"/>
      <c r="W105" s="51"/>
      <c r="X105" s="51"/>
      <c r="Y105" s="109"/>
      <c r="Z105" s="51"/>
      <c r="AA105" s="89">
        <f t="shared" si="3"/>
        <v>0</v>
      </c>
      <c r="AB105" s="51" t="s">
        <v>63</v>
      </c>
      <c r="AC105" s="114" t="e">
        <f>INDEX(Tab_Def_Flows[[Flow_ID]:[CC_DM_source]],MATCH(Tab_Data_Flows[[#This Row],[Name(EN)]],Tab_Def_Flows[Name(EN)],0),16)</f>
        <v>#N/A</v>
      </c>
      <c r="AD105" s="115" t="str">
        <f>IF(J105="Yes",AA105*Tab_Data_Flows[[#This Row],[WC_'[%']]],"N.A.")</f>
        <v>N.A.</v>
      </c>
      <c r="AE105" s="61" t="str">
        <f>Tab_Data_Flows[[#This Row],[UoM_Flow_Py]]</f>
        <v>Mg</v>
      </c>
      <c r="AF105" s="114" t="e">
        <f>INDEX(Tab_Def_Flows[[Flow_ID]:[CC_DM_source]],MATCH(Tab_Data_Flows[[#This Row],[Name(EN)]],Tab_Def_Flows[Name(EN)],0),18)</f>
        <v>#N/A</v>
      </c>
      <c r="AG105" s="115" t="str">
        <f>IF(K105="Yes",AF105*Tab_Data_Flows[[#This Row],[Flow_Py]],"N.A.")</f>
        <v>N.A.</v>
      </c>
      <c r="AH105" s="61" t="str">
        <f>Tab_Data_Flows[[#This Row],[UoM_Flow_Py]]</f>
        <v>Mg</v>
      </c>
      <c r="AI105" s="114" t="e">
        <f>INDEX(Tab_Def_Flows[[Flow_ID]:[CC_DM_source]],MATCH(Tab_Data_Flows[[#This Row],[Name(EN)]],Tab_Def_Flows[Name(EN)],0),20)</f>
        <v>#N/A</v>
      </c>
      <c r="AJ105" s="115" t="str">
        <f>IF(L105="Yes",AI105*Tab_Data_Flows[[#This Row],[Flow_Py]],"N.A.")</f>
        <v>N.A.</v>
      </c>
      <c r="AK105" s="61" t="str">
        <f>Tab_Data_Flows[[#This Row],[UoM_Flow_Py]]</f>
        <v>Mg</v>
      </c>
    </row>
    <row r="106" spans="1:37" x14ac:dyDescent="0.35">
      <c r="A106" s="60">
        <f t="shared" si="2"/>
        <v>105</v>
      </c>
      <c r="B106" s="49" t="str">
        <f>_xlfn.XLOOKUP(C106,Tab_Def_Flows[Name(EN)],Tab_Def_Flows[Flow_ID],,0,)</f>
        <v>F_21_21</v>
      </c>
      <c r="C106" s="51"/>
      <c r="D106" s="49">
        <f>_xlfn.XLOOKUP(C106,Tab_Def_Flows[Name(EN)],Tab_Def_Flows[Type_Biomass],,0,)</f>
        <v>0</v>
      </c>
      <c r="E106" s="49">
        <f>_xlfn.XLOOKUP(C106,Tab_Def_Flows[Name(EN)],Tab_Def_Flows[Output_Process],,0,)</f>
        <v>0</v>
      </c>
      <c r="F106" s="49" t="str">
        <f>_xlfn.XLOOKUP(C106,Tab_Def_Flows[Name(EN)],Tab_Def_Flows[Process_ID_O],,0,)</f>
        <v>21__</v>
      </c>
      <c r="G106" s="49">
        <f>_xlfn.XLOOKUP(C106,Tab_Def_Flows[Name(EN)],Tab_Def_Flows[Input_Process],,0,)</f>
        <v>0</v>
      </c>
      <c r="H106" s="61" t="str">
        <f>_xlfn.XLOOKUP(C106,Tab_Def_Flows[Name(EN)],Tab_Def_Flows[Process_ID_I],,0,)</f>
        <v>21__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88"/>
      <c r="P106" s="51"/>
      <c r="Q106" s="51"/>
      <c r="R106" s="51"/>
      <c r="S106" s="69"/>
      <c r="T106" s="51"/>
      <c r="U106" s="51"/>
      <c r="V106" s="51"/>
      <c r="W106" s="51"/>
      <c r="X106" s="51"/>
      <c r="Y106" s="109"/>
      <c r="Z106" s="51"/>
      <c r="AA106" s="89">
        <f t="shared" si="3"/>
        <v>0</v>
      </c>
      <c r="AB106" s="51" t="s">
        <v>63</v>
      </c>
      <c r="AC106" s="114" t="e">
        <f>INDEX(Tab_Def_Flows[[Flow_ID]:[CC_DM_source]],MATCH(Tab_Data_Flows[[#This Row],[Name(EN)]],Tab_Def_Flows[Name(EN)],0),16)</f>
        <v>#N/A</v>
      </c>
      <c r="AD106" s="115" t="str">
        <f>IF(J106="Yes",AA106*Tab_Data_Flows[[#This Row],[WC_'[%']]],"N.A.")</f>
        <v>N.A.</v>
      </c>
      <c r="AE106" s="61" t="str">
        <f>Tab_Data_Flows[[#This Row],[UoM_Flow_Py]]</f>
        <v>Mg</v>
      </c>
      <c r="AF106" s="114" t="e">
        <f>INDEX(Tab_Def_Flows[[Flow_ID]:[CC_DM_source]],MATCH(Tab_Data_Flows[[#This Row],[Name(EN)]],Tab_Def_Flows[Name(EN)],0),18)</f>
        <v>#N/A</v>
      </c>
      <c r="AG106" s="115" t="str">
        <f>IF(K106="Yes",AF106*Tab_Data_Flows[[#This Row],[Flow_Py]],"N.A.")</f>
        <v>N.A.</v>
      </c>
      <c r="AH106" s="61" t="str">
        <f>Tab_Data_Flows[[#This Row],[UoM_Flow_Py]]</f>
        <v>Mg</v>
      </c>
      <c r="AI106" s="114" t="e">
        <f>INDEX(Tab_Def_Flows[[Flow_ID]:[CC_DM_source]],MATCH(Tab_Data_Flows[[#This Row],[Name(EN)]],Tab_Def_Flows[Name(EN)],0),20)</f>
        <v>#N/A</v>
      </c>
      <c r="AJ106" s="115" t="str">
        <f>IF(L106="Yes",AI106*Tab_Data_Flows[[#This Row],[Flow_Py]],"N.A.")</f>
        <v>N.A.</v>
      </c>
      <c r="AK106" s="61" t="str">
        <f>Tab_Data_Flows[[#This Row],[UoM_Flow_Py]]</f>
        <v>Mg</v>
      </c>
    </row>
    <row r="107" spans="1:37" x14ac:dyDescent="0.35">
      <c r="A107" s="60">
        <f t="shared" si="2"/>
        <v>106</v>
      </c>
      <c r="B107" s="49" t="str">
        <f>_xlfn.XLOOKUP(C107,Tab_Def_Flows[Name(EN)],Tab_Def_Flows[Flow_ID],,0,)</f>
        <v>F_21_21</v>
      </c>
      <c r="C107" s="51"/>
      <c r="D107" s="49">
        <f>_xlfn.XLOOKUP(C107,Tab_Def_Flows[Name(EN)],Tab_Def_Flows[Type_Biomass],,0,)</f>
        <v>0</v>
      </c>
      <c r="E107" s="49">
        <f>_xlfn.XLOOKUP(C107,Tab_Def_Flows[Name(EN)],Tab_Def_Flows[Output_Process],,0,)</f>
        <v>0</v>
      </c>
      <c r="F107" s="49" t="str">
        <f>_xlfn.XLOOKUP(C107,Tab_Def_Flows[Name(EN)],Tab_Def_Flows[Process_ID_O],,0,)</f>
        <v>21__</v>
      </c>
      <c r="G107" s="49">
        <f>_xlfn.XLOOKUP(C107,Tab_Def_Flows[Name(EN)],Tab_Def_Flows[Input_Process],,0,)</f>
        <v>0</v>
      </c>
      <c r="H107" s="61" t="str">
        <f>_xlfn.XLOOKUP(C107,Tab_Def_Flows[Name(EN)],Tab_Def_Flows[Process_ID_I],,0,)</f>
        <v>21__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88"/>
      <c r="P107" s="51"/>
      <c r="Q107" s="51"/>
      <c r="R107" s="51"/>
      <c r="S107" s="69"/>
      <c r="T107" s="51"/>
      <c r="U107" s="51"/>
      <c r="V107" s="51"/>
      <c r="W107" s="51"/>
      <c r="X107" s="51"/>
      <c r="Y107" s="109"/>
      <c r="Z107" s="51"/>
      <c r="AA107" s="89">
        <f t="shared" si="3"/>
        <v>0</v>
      </c>
      <c r="AB107" s="51" t="s">
        <v>63</v>
      </c>
      <c r="AC107" s="114" t="e">
        <f>INDEX(Tab_Def_Flows[[Flow_ID]:[CC_DM_source]],MATCH(Tab_Data_Flows[[#This Row],[Name(EN)]],Tab_Def_Flows[Name(EN)],0),16)</f>
        <v>#N/A</v>
      </c>
      <c r="AD107" s="115" t="str">
        <f>IF(J107="Yes",AA107*Tab_Data_Flows[[#This Row],[WC_'[%']]],"N.A.")</f>
        <v>N.A.</v>
      </c>
      <c r="AE107" s="61" t="str">
        <f>Tab_Data_Flows[[#This Row],[UoM_Flow_Py]]</f>
        <v>Mg</v>
      </c>
      <c r="AF107" s="114" t="e">
        <f>INDEX(Tab_Def_Flows[[Flow_ID]:[CC_DM_source]],MATCH(Tab_Data_Flows[[#This Row],[Name(EN)]],Tab_Def_Flows[Name(EN)],0),18)</f>
        <v>#N/A</v>
      </c>
      <c r="AG107" s="115" t="str">
        <f>IF(K107="Yes",AF107*Tab_Data_Flows[[#This Row],[Flow_Py]],"N.A.")</f>
        <v>N.A.</v>
      </c>
      <c r="AH107" s="61" t="str">
        <f>Tab_Data_Flows[[#This Row],[UoM_Flow_Py]]</f>
        <v>Mg</v>
      </c>
      <c r="AI107" s="114" t="e">
        <f>INDEX(Tab_Def_Flows[[Flow_ID]:[CC_DM_source]],MATCH(Tab_Data_Flows[[#This Row],[Name(EN)]],Tab_Def_Flows[Name(EN)],0),20)</f>
        <v>#N/A</v>
      </c>
      <c r="AJ107" s="115" t="str">
        <f>IF(L107="Yes",AI107*Tab_Data_Flows[[#This Row],[Flow_Py]],"N.A.")</f>
        <v>N.A.</v>
      </c>
      <c r="AK107" s="61" t="str">
        <f>Tab_Data_Flows[[#This Row],[UoM_Flow_Py]]</f>
        <v>Mg</v>
      </c>
    </row>
    <row r="108" spans="1:37" x14ac:dyDescent="0.35">
      <c r="A108" s="60">
        <f t="shared" si="2"/>
        <v>107</v>
      </c>
      <c r="B108" s="49" t="str">
        <f>_xlfn.XLOOKUP(C108,Tab_Def_Flows[Name(EN)],Tab_Def_Flows[Flow_ID],,0,)</f>
        <v>F_21_21</v>
      </c>
      <c r="C108" s="51"/>
      <c r="D108" s="49">
        <f>_xlfn.XLOOKUP(C108,Tab_Def_Flows[Name(EN)],Tab_Def_Flows[Type_Biomass],,0,)</f>
        <v>0</v>
      </c>
      <c r="E108" s="49">
        <f>_xlfn.XLOOKUP(C108,Tab_Def_Flows[Name(EN)],Tab_Def_Flows[Output_Process],,0,)</f>
        <v>0</v>
      </c>
      <c r="F108" s="49" t="str">
        <f>_xlfn.XLOOKUP(C108,Tab_Def_Flows[Name(EN)],Tab_Def_Flows[Process_ID_O],,0,)</f>
        <v>21__</v>
      </c>
      <c r="G108" s="49">
        <f>_xlfn.XLOOKUP(C108,Tab_Def_Flows[Name(EN)],Tab_Def_Flows[Input_Process],,0,)</f>
        <v>0</v>
      </c>
      <c r="H108" s="61" t="str">
        <f>_xlfn.XLOOKUP(C108,Tab_Def_Flows[Name(EN)],Tab_Def_Flows[Process_ID_I],,0,)</f>
        <v>21__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88"/>
      <c r="P108" s="51"/>
      <c r="Q108" s="51"/>
      <c r="R108" s="51"/>
      <c r="S108" s="69"/>
      <c r="T108" s="51"/>
      <c r="U108" s="51"/>
      <c r="V108" s="51"/>
      <c r="W108" s="51"/>
      <c r="X108" s="51"/>
      <c r="Y108" s="109"/>
      <c r="Z108" s="51"/>
      <c r="AA108" s="89">
        <f t="shared" si="3"/>
        <v>0</v>
      </c>
      <c r="AB108" s="51" t="s">
        <v>63</v>
      </c>
      <c r="AC108" s="114" t="e">
        <f>INDEX(Tab_Def_Flows[[Flow_ID]:[CC_DM_source]],MATCH(Tab_Data_Flows[[#This Row],[Name(EN)]],Tab_Def_Flows[Name(EN)],0),16)</f>
        <v>#N/A</v>
      </c>
      <c r="AD108" s="115" t="str">
        <f>IF(J108="Yes",AA108*Tab_Data_Flows[[#This Row],[WC_'[%']]],"N.A.")</f>
        <v>N.A.</v>
      </c>
      <c r="AE108" s="61" t="str">
        <f>Tab_Data_Flows[[#This Row],[UoM_Flow_Py]]</f>
        <v>Mg</v>
      </c>
      <c r="AF108" s="114" t="e">
        <f>INDEX(Tab_Def_Flows[[Flow_ID]:[CC_DM_source]],MATCH(Tab_Data_Flows[[#This Row],[Name(EN)]],Tab_Def_Flows[Name(EN)],0),18)</f>
        <v>#N/A</v>
      </c>
      <c r="AG108" s="115" t="str">
        <f>IF(K108="Yes",AF108*Tab_Data_Flows[[#This Row],[Flow_Py]],"N.A.")</f>
        <v>N.A.</v>
      </c>
      <c r="AH108" s="61" t="str">
        <f>Tab_Data_Flows[[#This Row],[UoM_Flow_Py]]</f>
        <v>Mg</v>
      </c>
      <c r="AI108" s="114" t="e">
        <f>INDEX(Tab_Def_Flows[[Flow_ID]:[CC_DM_source]],MATCH(Tab_Data_Flows[[#This Row],[Name(EN)]],Tab_Def_Flows[Name(EN)],0),20)</f>
        <v>#N/A</v>
      </c>
      <c r="AJ108" s="115" t="str">
        <f>IF(L108="Yes",AI108*Tab_Data_Flows[[#This Row],[Flow_Py]],"N.A.")</f>
        <v>N.A.</v>
      </c>
      <c r="AK108" s="61" t="str">
        <f>Tab_Data_Flows[[#This Row],[UoM_Flow_Py]]</f>
        <v>Mg</v>
      </c>
    </row>
    <row r="109" spans="1:37" x14ac:dyDescent="0.35">
      <c r="A109" s="60">
        <f t="shared" si="2"/>
        <v>108</v>
      </c>
      <c r="B109" s="49" t="str">
        <f>_xlfn.XLOOKUP(C109,Tab_Def_Flows[Name(EN)],Tab_Def_Flows[Flow_ID],,0,)</f>
        <v>F_21_21</v>
      </c>
      <c r="C109" s="51"/>
      <c r="D109" s="49">
        <f>_xlfn.XLOOKUP(C109,Tab_Def_Flows[Name(EN)],Tab_Def_Flows[Type_Biomass],,0,)</f>
        <v>0</v>
      </c>
      <c r="E109" s="49">
        <f>_xlfn.XLOOKUP(C109,Tab_Def_Flows[Name(EN)],Tab_Def_Flows[Output_Process],,0,)</f>
        <v>0</v>
      </c>
      <c r="F109" s="49" t="str">
        <f>_xlfn.XLOOKUP(C109,Tab_Def_Flows[Name(EN)],Tab_Def_Flows[Process_ID_O],,0,)</f>
        <v>21__</v>
      </c>
      <c r="G109" s="49">
        <f>_xlfn.XLOOKUP(C109,Tab_Def_Flows[Name(EN)],Tab_Def_Flows[Input_Process],,0,)</f>
        <v>0</v>
      </c>
      <c r="H109" s="61" t="str">
        <f>_xlfn.XLOOKUP(C109,Tab_Def_Flows[Name(EN)],Tab_Def_Flows[Process_ID_I],,0,)</f>
        <v>21__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88"/>
      <c r="P109" s="51"/>
      <c r="Q109" s="51"/>
      <c r="R109" s="51"/>
      <c r="S109" s="69"/>
      <c r="T109" s="51"/>
      <c r="U109" s="51"/>
      <c r="V109" s="51"/>
      <c r="W109" s="51"/>
      <c r="X109" s="51"/>
      <c r="Y109" s="109"/>
      <c r="Z109" s="51"/>
      <c r="AA109" s="89">
        <f t="shared" si="3"/>
        <v>0</v>
      </c>
      <c r="AB109" s="51" t="s">
        <v>63</v>
      </c>
      <c r="AC109" s="114" t="e">
        <f>INDEX(Tab_Def_Flows[[Flow_ID]:[CC_DM_source]],MATCH(Tab_Data_Flows[[#This Row],[Name(EN)]],Tab_Def_Flows[Name(EN)],0),16)</f>
        <v>#N/A</v>
      </c>
      <c r="AD109" s="115" t="str">
        <f>IF(J109="Yes",AA109*Tab_Data_Flows[[#This Row],[WC_'[%']]],"N.A.")</f>
        <v>N.A.</v>
      </c>
      <c r="AE109" s="61" t="str">
        <f>Tab_Data_Flows[[#This Row],[UoM_Flow_Py]]</f>
        <v>Mg</v>
      </c>
      <c r="AF109" s="114" t="e">
        <f>INDEX(Tab_Def_Flows[[Flow_ID]:[CC_DM_source]],MATCH(Tab_Data_Flows[[#This Row],[Name(EN)]],Tab_Def_Flows[Name(EN)],0),18)</f>
        <v>#N/A</v>
      </c>
      <c r="AG109" s="115" t="str">
        <f>IF(K109="Yes",AF109*Tab_Data_Flows[[#This Row],[Flow_Py]],"N.A.")</f>
        <v>N.A.</v>
      </c>
      <c r="AH109" s="61" t="str">
        <f>Tab_Data_Flows[[#This Row],[UoM_Flow_Py]]</f>
        <v>Mg</v>
      </c>
      <c r="AI109" s="114" t="e">
        <f>INDEX(Tab_Def_Flows[[Flow_ID]:[CC_DM_source]],MATCH(Tab_Data_Flows[[#This Row],[Name(EN)]],Tab_Def_Flows[Name(EN)],0),20)</f>
        <v>#N/A</v>
      </c>
      <c r="AJ109" s="115" t="str">
        <f>IF(L109="Yes",AI109*Tab_Data_Flows[[#This Row],[Flow_Py]],"N.A.")</f>
        <v>N.A.</v>
      </c>
      <c r="AK109" s="61" t="str">
        <f>Tab_Data_Flows[[#This Row],[UoM_Flow_Py]]</f>
        <v>Mg</v>
      </c>
    </row>
    <row r="110" spans="1:37" x14ac:dyDescent="0.35">
      <c r="A110" s="60">
        <f t="shared" si="2"/>
        <v>109</v>
      </c>
      <c r="B110" s="49" t="str">
        <f>_xlfn.XLOOKUP(C110,Tab_Def_Flows[Name(EN)],Tab_Def_Flows[Flow_ID],,0,)</f>
        <v>F_21_21</v>
      </c>
      <c r="C110" s="51"/>
      <c r="D110" s="49">
        <f>_xlfn.XLOOKUP(C110,Tab_Def_Flows[Name(EN)],Tab_Def_Flows[Type_Biomass],,0,)</f>
        <v>0</v>
      </c>
      <c r="E110" s="49">
        <f>_xlfn.XLOOKUP(C110,Tab_Def_Flows[Name(EN)],Tab_Def_Flows[Output_Process],,0,)</f>
        <v>0</v>
      </c>
      <c r="F110" s="49" t="str">
        <f>_xlfn.XLOOKUP(C110,Tab_Def_Flows[Name(EN)],Tab_Def_Flows[Process_ID_O],,0,)</f>
        <v>21__</v>
      </c>
      <c r="G110" s="49">
        <f>_xlfn.XLOOKUP(C110,Tab_Def_Flows[Name(EN)],Tab_Def_Flows[Input_Process],,0,)</f>
        <v>0</v>
      </c>
      <c r="H110" s="61" t="str">
        <f>_xlfn.XLOOKUP(C110,Tab_Def_Flows[Name(EN)],Tab_Def_Flows[Process_ID_I],,0,)</f>
        <v>21__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88"/>
      <c r="P110" s="51"/>
      <c r="Q110" s="51"/>
      <c r="R110" s="51"/>
      <c r="S110" s="69"/>
      <c r="T110" s="51"/>
      <c r="U110" s="51"/>
      <c r="V110" s="51"/>
      <c r="W110" s="51"/>
      <c r="X110" s="51"/>
      <c r="Y110" s="109"/>
      <c r="Z110" s="51"/>
      <c r="AA110" s="89">
        <f t="shared" si="3"/>
        <v>0</v>
      </c>
      <c r="AB110" s="51" t="s">
        <v>63</v>
      </c>
      <c r="AC110" s="114" t="e">
        <f>INDEX(Tab_Def_Flows[[Flow_ID]:[CC_DM_source]],MATCH(Tab_Data_Flows[[#This Row],[Name(EN)]],Tab_Def_Flows[Name(EN)],0),16)</f>
        <v>#N/A</v>
      </c>
      <c r="AD110" s="115" t="str">
        <f>IF(J110="Yes",AA110*Tab_Data_Flows[[#This Row],[WC_'[%']]],"N.A.")</f>
        <v>N.A.</v>
      </c>
      <c r="AE110" s="61" t="str">
        <f>Tab_Data_Flows[[#This Row],[UoM_Flow_Py]]</f>
        <v>Mg</v>
      </c>
      <c r="AF110" s="114" t="e">
        <f>INDEX(Tab_Def_Flows[[Flow_ID]:[CC_DM_source]],MATCH(Tab_Data_Flows[[#This Row],[Name(EN)]],Tab_Def_Flows[Name(EN)],0),18)</f>
        <v>#N/A</v>
      </c>
      <c r="AG110" s="115" t="str">
        <f>IF(K110="Yes",AF110*Tab_Data_Flows[[#This Row],[Flow_Py]],"N.A.")</f>
        <v>N.A.</v>
      </c>
      <c r="AH110" s="61" t="str">
        <f>Tab_Data_Flows[[#This Row],[UoM_Flow_Py]]</f>
        <v>Mg</v>
      </c>
      <c r="AI110" s="114" t="e">
        <f>INDEX(Tab_Def_Flows[[Flow_ID]:[CC_DM_source]],MATCH(Tab_Data_Flows[[#This Row],[Name(EN)]],Tab_Def_Flows[Name(EN)],0),20)</f>
        <v>#N/A</v>
      </c>
      <c r="AJ110" s="115" t="str">
        <f>IF(L110="Yes",AI110*Tab_Data_Flows[[#This Row],[Flow_Py]],"N.A.")</f>
        <v>N.A.</v>
      </c>
      <c r="AK110" s="61" t="str">
        <f>Tab_Data_Flows[[#This Row],[UoM_Flow_Py]]</f>
        <v>Mg</v>
      </c>
    </row>
    <row r="111" spans="1:37" x14ac:dyDescent="0.35">
      <c r="A111" s="60">
        <f t="shared" si="2"/>
        <v>110</v>
      </c>
      <c r="B111" s="49" t="str">
        <f>_xlfn.XLOOKUP(C111,Tab_Def_Flows[Name(EN)],Tab_Def_Flows[Flow_ID],,0,)</f>
        <v>F_21_21</v>
      </c>
      <c r="C111" s="51"/>
      <c r="D111" s="49">
        <f>_xlfn.XLOOKUP(C111,Tab_Def_Flows[Name(EN)],Tab_Def_Flows[Type_Biomass],,0,)</f>
        <v>0</v>
      </c>
      <c r="E111" s="49">
        <f>_xlfn.XLOOKUP(C111,Tab_Def_Flows[Name(EN)],Tab_Def_Flows[Output_Process],,0,)</f>
        <v>0</v>
      </c>
      <c r="F111" s="49" t="str">
        <f>_xlfn.XLOOKUP(C111,Tab_Def_Flows[Name(EN)],Tab_Def_Flows[Process_ID_O],,0,)</f>
        <v>21__</v>
      </c>
      <c r="G111" s="49">
        <f>_xlfn.XLOOKUP(C111,Tab_Def_Flows[Name(EN)],Tab_Def_Flows[Input_Process],,0,)</f>
        <v>0</v>
      </c>
      <c r="H111" s="61" t="str">
        <f>_xlfn.XLOOKUP(C111,Tab_Def_Flows[Name(EN)],Tab_Def_Flows[Process_ID_I],,0,)</f>
        <v>21__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88"/>
      <c r="P111" s="51"/>
      <c r="Q111" s="51"/>
      <c r="R111" s="51"/>
      <c r="S111" s="69"/>
      <c r="T111" s="51"/>
      <c r="U111" s="51"/>
      <c r="V111" s="51"/>
      <c r="W111" s="51"/>
      <c r="X111" s="51"/>
      <c r="Y111" s="109"/>
      <c r="Z111" s="51"/>
      <c r="AA111" s="89">
        <f t="shared" si="3"/>
        <v>0</v>
      </c>
      <c r="AB111" s="51" t="s">
        <v>63</v>
      </c>
      <c r="AC111" s="114" t="e">
        <f>INDEX(Tab_Def_Flows[[Flow_ID]:[CC_DM_source]],MATCH(Tab_Data_Flows[[#This Row],[Name(EN)]],Tab_Def_Flows[Name(EN)],0),16)</f>
        <v>#N/A</v>
      </c>
      <c r="AD111" s="115" t="str">
        <f>IF(J111="Yes",AA111*Tab_Data_Flows[[#This Row],[WC_'[%']]],"N.A.")</f>
        <v>N.A.</v>
      </c>
      <c r="AE111" s="61" t="str">
        <f>Tab_Data_Flows[[#This Row],[UoM_Flow_Py]]</f>
        <v>Mg</v>
      </c>
      <c r="AF111" s="114" t="e">
        <f>INDEX(Tab_Def_Flows[[Flow_ID]:[CC_DM_source]],MATCH(Tab_Data_Flows[[#This Row],[Name(EN)]],Tab_Def_Flows[Name(EN)],0),18)</f>
        <v>#N/A</v>
      </c>
      <c r="AG111" s="115" t="str">
        <f>IF(K111="Yes",AF111*Tab_Data_Flows[[#This Row],[Flow_Py]],"N.A.")</f>
        <v>N.A.</v>
      </c>
      <c r="AH111" s="61" t="str">
        <f>Tab_Data_Flows[[#This Row],[UoM_Flow_Py]]</f>
        <v>Mg</v>
      </c>
      <c r="AI111" s="114" t="e">
        <f>INDEX(Tab_Def_Flows[[Flow_ID]:[CC_DM_source]],MATCH(Tab_Data_Flows[[#This Row],[Name(EN)]],Tab_Def_Flows[Name(EN)],0),20)</f>
        <v>#N/A</v>
      </c>
      <c r="AJ111" s="115" t="str">
        <f>IF(L111="Yes",AI111*Tab_Data_Flows[[#This Row],[Flow_Py]],"N.A.")</f>
        <v>N.A.</v>
      </c>
      <c r="AK111" s="61" t="str">
        <f>Tab_Data_Flows[[#This Row],[UoM_Flow_Py]]</f>
        <v>Mg</v>
      </c>
    </row>
    <row r="112" spans="1:37" x14ac:dyDescent="0.35">
      <c r="A112" s="60">
        <f t="shared" si="2"/>
        <v>111</v>
      </c>
      <c r="B112" s="49" t="str">
        <f>_xlfn.XLOOKUP(C112,Tab_Def_Flows[Name(EN)],Tab_Def_Flows[Flow_ID],,0,)</f>
        <v>F_21_21</v>
      </c>
      <c r="C112" s="51"/>
      <c r="D112" s="49">
        <f>_xlfn.XLOOKUP(C112,Tab_Def_Flows[Name(EN)],Tab_Def_Flows[Type_Biomass],,0,)</f>
        <v>0</v>
      </c>
      <c r="E112" s="49">
        <f>_xlfn.XLOOKUP(C112,Tab_Def_Flows[Name(EN)],Tab_Def_Flows[Output_Process],,0,)</f>
        <v>0</v>
      </c>
      <c r="F112" s="49" t="str">
        <f>_xlfn.XLOOKUP(C112,Tab_Def_Flows[Name(EN)],Tab_Def_Flows[Process_ID_O],,0,)</f>
        <v>21__</v>
      </c>
      <c r="G112" s="49">
        <f>_xlfn.XLOOKUP(C112,Tab_Def_Flows[Name(EN)],Tab_Def_Flows[Input_Process],,0,)</f>
        <v>0</v>
      </c>
      <c r="H112" s="61" t="str">
        <f>_xlfn.XLOOKUP(C112,Tab_Def_Flows[Name(EN)],Tab_Def_Flows[Process_ID_I],,0,)</f>
        <v>21__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88"/>
      <c r="P112" s="51"/>
      <c r="Q112" s="51"/>
      <c r="R112" s="51"/>
      <c r="S112" s="69"/>
      <c r="T112" s="51"/>
      <c r="U112" s="51"/>
      <c r="V112" s="51"/>
      <c r="W112" s="51"/>
      <c r="X112" s="51"/>
      <c r="Y112" s="109"/>
      <c r="Z112" s="51"/>
      <c r="AA112" s="89">
        <f t="shared" si="3"/>
        <v>0</v>
      </c>
      <c r="AB112" s="51" t="s">
        <v>63</v>
      </c>
      <c r="AC112" s="114" t="e">
        <f>INDEX(Tab_Def_Flows[[Flow_ID]:[CC_DM_source]],MATCH(Tab_Data_Flows[[#This Row],[Name(EN)]],Tab_Def_Flows[Name(EN)],0),16)</f>
        <v>#N/A</v>
      </c>
      <c r="AD112" s="115" t="str">
        <f>IF(J112="Yes",AA112*Tab_Data_Flows[[#This Row],[WC_'[%']]],"N.A.")</f>
        <v>N.A.</v>
      </c>
      <c r="AE112" s="61" t="str">
        <f>Tab_Data_Flows[[#This Row],[UoM_Flow_Py]]</f>
        <v>Mg</v>
      </c>
      <c r="AF112" s="114" t="e">
        <f>INDEX(Tab_Def_Flows[[Flow_ID]:[CC_DM_source]],MATCH(Tab_Data_Flows[[#This Row],[Name(EN)]],Tab_Def_Flows[Name(EN)],0),18)</f>
        <v>#N/A</v>
      </c>
      <c r="AG112" s="115" t="str">
        <f>IF(K112="Yes",AF112*Tab_Data_Flows[[#This Row],[Flow_Py]],"N.A.")</f>
        <v>N.A.</v>
      </c>
      <c r="AH112" s="61" t="str">
        <f>Tab_Data_Flows[[#This Row],[UoM_Flow_Py]]</f>
        <v>Mg</v>
      </c>
      <c r="AI112" s="114" t="e">
        <f>INDEX(Tab_Def_Flows[[Flow_ID]:[CC_DM_source]],MATCH(Tab_Data_Flows[[#This Row],[Name(EN)]],Tab_Def_Flows[Name(EN)],0),20)</f>
        <v>#N/A</v>
      </c>
      <c r="AJ112" s="115" t="str">
        <f>IF(L112="Yes",AI112*Tab_Data_Flows[[#This Row],[Flow_Py]],"N.A.")</f>
        <v>N.A.</v>
      </c>
      <c r="AK112" s="61" t="str">
        <f>Tab_Data_Flows[[#This Row],[UoM_Flow_Py]]</f>
        <v>Mg</v>
      </c>
    </row>
    <row r="113" spans="1:37" x14ac:dyDescent="0.35">
      <c r="A113" s="60">
        <f t="shared" si="2"/>
        <v>112</v>
      </c>
      <c r="B113" s="49" t="str">
        <f>_xlfn.XLOOKUP(C113,Tab_Def_Flows[Name(EN)],Tab_Def_Flows[Flow_ID],,0,)</f>
        <v>F_21_21</v>
      </c>
      <c r="C113" s="51"/>
      <c r="D113" s="49">
        <f>_xlfn.XLOOKUP(C113,Tab_Def_Flows[Name(EN)],Tab_Def_Flows[Type_Biomass],,0,)</f>
        <v>0</v>
      </c>
      <c r="E113" s="49">
        <f>_xlfn.XLOOKUP(C113,Tab_Def_Flows[Name(EN)],Tab_Def_Flows[Output_Process],,0,)</f>
        <v>0</v>
      </c>
      <c r="F113" s="49" t="str">
        <f>_xlfn.XLOOKUP(C113,Tab_Def_Flows[Name(EN)],Tab_Def_Flows[Process_ID_O],,0,)</f>
        <v>21__</v>
      </c>
      <c r="G113" s="49">
        <f>_xlfn.XLOOKUP(C113,Tab_Def_Flows[Name(EN)],Tab_Def_Flows[Input_Process],,0,)</f>
        <v>0</v>
      </c>
      <c r="H113" s="61" t="str">
        <f>_xlfn.XLOOKUP(C113,Tab_Def_Flows[Name(EN)],Tab_Def_Flows[Process_ID_I],,0,)</f>
        <v>21__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88"/>
      <c r="P113" s="51"/>
      <c r="Q113" s="51"/>
      <c r="R113" s="51"/>
      <c r="S113" s="69"/>
      <c r="T113" s="51"/>
      <c r="U113" s="51"/>
      <c r="V113" s="51"/>
      <c r="W113" s="51"/>
      <c r="X113" s="51"/>
      <c r="Y113" s="109"/>
      <c r="Z113" s="51"/>
      <c r="AA113" s="89">
        <f t="shared" si="3"/>
        <v>0</v>
      </c>
      <c r="AB113" s="51" t="s">
        <v>63</v>
      </c>
      <c r="AC113" s="114" t="e">
        <f>INDEX(Tab_Def_Flows[[Flow_ID]:[CC_DM_source]],MATCH(Tab_Data_Flows[[#This Row],[Name(EN)]],Tab_Def_Flows[Name(EN)],0),16)</f>
        <v>#N/A</v>
      </c>
      <c r="AD113" s="115" t="str">
        <f>IF(J113="Yes",AA113*Tab_Data_Flows[[#This Row],[WC_'[%']]],"N.A.")</f>
        <v>N.A.</v>
      </c>
      <c r="AE113" s="61" t="str">
        <f>Tab_Data_Flows[[#This Row],[UoM_Flow_Py]]</f>
        <v>Mg</v>
      </c>
      <c r="AF113" s="114" t="e">
        <f>INDEX(Tab_Def_Flows[[Flow_ID]:[CC_DM_source]],MATCH(Tab_Data_Flows[[#This Row],[Name(EN)]],Tab_Def_Flows[Name(EN)],0),18)</f>
        <v>#N/A</v>
      </c>
      <c r="AG113" s="115" t="str">
        <f>IF(K113="Yes",AF113*Tab_Data_Flows[[#This Row],[Flow_Py]],"N.A.")</f>
        <v>N.A.</v>
      </c>
      <c r="AH113" s="61" t="str">
        <f>Tab_Data_Flows[[#This Row],[UoM_Flow_Py]]</f>
        <v>Mg</v>
      </c>
      <c r="AI113" s="114" t="e">
        <f>INDEX(Tab_Def_Flows[[Flow_ID]:[CC_DM_source]],MATCH(Tab_Data_Flows[[#This Row],[Name(EN)]],Tab_Def_Flows[Name(EN)],0),20)</f>
        <v>#N/A</v>
      </c>
      <c r="AJ113" s="115" t="str">
        <f>IF(L113="Yes",AI113*Tab_Data_Flows[[#This Row],[Flow_Py]],"N.A.")</f>
        <v>N.A.</v>
      </c>
      <c r="AK113" s="61" t="str">
        <f>Tab_Data_Flows[[#This Row],[UoM_Flow_Py]]</f>
        <v>Mg</v>
      </c>
    </row>
    <row r="114" spans="1:37" x14ac:dyDescent="0.35">
      <c r="A114" s="60">
        <f t="shared" si="2"/>
        <v>113</v>
      </c>
      <c r="B114" s="49" t="str">
        <f>_xlfn.XLOOKUP(C114,Tab_Def_Flows[Name(EN)],Tab_Def_Flows[Flow_ID],,0,)</f>
        <v>F_21_21</v>
      </c>
      <c r="C114" s="51"/>
      <c r="D114" s="49">
        <f>_xlfn.XLOOKUP(C114,Tab_Def_Flows[Name(EN)],Tab_Def_Flows[Type_Biomass],,0,)</f>
        <v>0</v>
      </c>
      <c r="E114" s="49">
        <f>_xlfn.XLOOKUP(C114,Tab_Def_Flows[Name(EN)],Tab_Def_Flows[Output_Process],,0,)</f>
        <v>0</v>
      </c>
      <c r="F114" s="49" t="str">
        <f>_xlfn.XLOOKUP(C114,Tab_Def_Flows[Name(EN)],Tab_Def_Flows[Process_ID_O],,0,)</f>
        <v>21__</v>
      </c>
      <c r="G114" s="49">
        <f>_xlfn.XLOOKUP(C114,Tab_Def_Flows[Name(EN)],Tab_Def_Flows[Input_Process],,0,)</f>
        <v>0</v>
      </c>
      <c r="H114" s="61" t="str">
        <f>_xlfn.XLOOKUP(C114,Tab_Def_Flows[Name(EN)],Tab_Def_Flows[Process_ID_I],,0,)</f>
        <v>21__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88"/>
      <c r="P114" s="51"/>
      <c r="Q114" s="51"/>
      <c r="R114" s="51"/>
      <c r="S114" s="69"/>
      <c r="T114" s="51"/>
      <c r="U114" s="51"/>
      <c r="V114" s="51"/>
      <c r="W114" s="51"/>
      <c r="X114" s="51"/>
      <c r="Y114" s="109"/>
      <c r="Z114" s="51"/>
      <c r="AA114" s="89">
        <f t="shared" si="3"/>
        <v>0</v>
      </c>
      <c r="AB114" s="51" t="s">
        <v>63</v>
      </c>
      <c r="AC114" s="114" t="e">
        <f>INDEX(Tab_Def_Flows[[Flow_ID]:[CC_DM_source]],MATCH(Tab_Data_Flows[[#This Row],[Name(EN)]],Tab_Def_Flows[Name(EN)],0),16)</f>
        <v>#N/A</v>
      </c>
      <c r="AD114" s="115" t="str">
        <f>IF(J114="Yes",AA114*Tab_Data_Flows[[#This Row],[WC_'[%']]],"N.A.")</f>
        <v>N.A.</v>
      </c>
      <c r="AE114" s="61" t="str">
        <f>Tab_Data_Flows[[#This Row],[UoM_Flow_Py]]</f>
        <v>Mg</v>
      </c>
      <c r="AF114" s="114" t="e">
        <f>INDEX(Tab_Def_Flows[[Flow_ID]:[CC_DM_source]],MATCH(Tab_Data_Flows[[#This Row],[Name(EN)]],Tab_Def_Flows[Name(EN)],0),18)</f>
        <v>#N/A</v>
      </c>
      <c r="AG114" s="115" t="str">
        <f>IF(K114="Yes",AF114*Tab_Data_Flows[[#This Row],[Flow_Py]],"N.A.")</f>
        <v>N.A.</v>
      </c>
      <c r="AH114" s="61" t="str">
        <f>Tab_Data_Flows[[#This Row],[UoM_Flow_Py]]</f>
        <v>Mg</v>
      </c>
      <c r="AI114" s="114" t="e">
        <f>INDEX(Tab_Def_Flows[[Flow_ID]:[CC_DM_source]],MATCH(Tab_Data_Flows[[#This Row],[Name(EN)]],Tab_Def_Flows[Name(EN)],0),20)</f>
        <v>#N/A</v>
      </c>
      <c r="AJ114" s="115" t="str">
        <f>IF(L114="Yes",AI114*Tab_Data_Flows[[#This Row],[Flow_Py]],"N.A.")</f>
        <v>N.A.</v>
      </c>
      <c r="AK114" s="61" t="str">
        <f>Tab_Data_Flows[[#This Row],[UoM_Flow_Py]]</f>
        <v>Mg</v>
      </c>
    </row>
    <row r="115" spans="1:37" x14ac:dyDescent="0.35">
      <c r="A115" s="60">
        <f t="shared" si="2"/>
        <v>114</v>
      </c>
      <c r="B115" s="49" t="str">
        <f>_xlfn.XLOOKUP(C115,Tab_Def_Flows[Name(EN)],Tab_Def_Flows[Flow_ID],,0,)</f>
        <v>F_21_21</v>
      </c>
      <c r="C115" s="51"/>
      <c r="D115" s="49">
        <f>_xlfn.XLOOKUP(C115,Tab_Def_Flows[Name(EN)],Tab_Def_Flows[Type_Biomass],,0,)</f>
        <v>0</v>
      </c>
      <c r="E115" s="49">
        <f>_xlfn.XLOOKUP(C115,Tab_Def_Flows[Name(EN)],Tab_Def_Flows[Output_Process],,0,)</f>
        <v>0</v>
      </c>
      <c r="F115" s="49" t="str">
        <f>_xlfn.XLOOKUP(C115,Tab_Def_Flows[Name(EN)],Tab_Def_Flows[Process_ID_O],,0,)</f>
        <v>21__</v>
      </c>
      <c r="G115" s="49">
        <f>_xlfn.XLOOKUP(C115,Tab_Def_Flows[Name(EN)],Tab_Def_Flows[Input_Process],,0,)</f>
        <v>0</v>
      </c>
      <c r="H115" s="61" t="str">
        <f>_xlfn.XLOOKUP(C115,Tab_Def_Flows[Name(EN)],Tab_Def_Flows[Process_ID_I],,0,)</f>
        <v>21__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88"/>
      <c r="P115" s="51"/>
      <c r="Q115" s="51"/>
      <c r="R115" s="51"/>
      <c r="S115" s="69"/>
      <c r="T115" s="51"/>
      <c r="U115" s="51"/>
      <c r="V115" s="51"/>
      <c r="W115" s="51"/>
      <c r="X115" s="51"/>
      <c r="Y115" s="109"/>
      <c r="Z115" s="51"/>
      <c r="AA115" s="89">
        <f t="shared" si="3"/>
        <v>0</v>
      </c>
      <c r="AB115" s="51" t="s">
        <v>63</v>
      </c>
      <c r="AC115" s="114" t="e">
        <f>INDEX(Tab_Def_Flows[[Flow_ID]:[CC_DM_source]],MATCH(Tab_Data_Flows[[#This Row],[Name(EN)]],Tab_Def_Flows[Name(EN)],0),16)</f>
        <v>#N/A</v>
      </c>
      <c r="AD115" s="115" t="str">
        <f>IF(J115="Yes",AA115*Tab_Data_Flows[[#This Row],[WC_'[%']]],"N.A.")</f>
        <v>N.A.</v>
      </c>
      <c r="AE115" s="61" t="str">
        <f>Tab_Data_Flows[[#This Row],[UoM_Flow_Py]]</f>
        <v>Mg</v>
      </c>
      <c r="AF115" s="114" t="e">
        <f>INDEX(Tab_Def_Flows[[Flow_ID]:[CC_DM_source]],MATCH(Tab_Data_Flows[[#This Row],[Name(EN)]],Tab_Def_Flows[Name(EN)],0),18)</f>
        <v>#N/A</v>
      </c>
      <c r="AG115" s="115" t="str">
        <f>IF(K115="Yes",AF115*Tab_Data_Flows[[#This Row],[Flow_Py]],"N.A.")</f>
        <v>N.A.</v>
      </c>
      <c r="AH115" s="61" t="str">
        <f>Tab_Data_Flows[[#This Row],[UoM_Flow_Py]]</f>
        <v>Mg</v>
      </c>
      <c r="AI115" s="114" t="e">
        <f>INDEX(Tab_Def_Flows[[Flow_ID]:[CC_DM_source]],MATCH(Tab_Data_Flows[[#This Row],[Name(EN)]],Tab_Def_Flows[Name(EN)],0),20)</f>
        <v>#N/A</v>
      </c>
      <c r="AJ115" s="115" t="str">
        <f>IF(L115="Yes",AI115*Tab_Data_Flows[[#This Row],[Flow_Py]],"N.A.")</f>
        <v>N.A.</v>
      </c>
      <c r="AK115" s="61" t="str">
        <f>Tab_Data_Flows[[#This Row],[UoM_Flow_Py]]</f>
        <v>Mg</v>
      </c>
    </row>
    <row r="116" spans="1:37" x14ac:dyDescent="0.35">
      <c r="A116" s="60">
        <f t="shared" si="2"/>
        <v>115</v>
      </c>
      <c r="B116" s="49" t="str">
        <f>_xlfn.XLOOKUP(C116,Tab_Def_Flows[Name(EN)],Tab_Def_Flows[Flow_ID],,0,)</f>
        <v>F_21_21</v>
      </c>
      <c r="C116" s="51"/>
      <c r="D116" s="49">
        <f>_xlfn.XLOOKUP(C116,Tab_Def_Flows[Name(EN)],Tab_Def_Flows[Type_Biomass],,0,)</f>
        <v>0</v>
      </c>
      <c r="E116" s="49">
        <f>_xlfn.XLOOKUP(C116,Tab_Def_Flows[Name(EN)],Tab_Def_Flows[Output_Process],,0,)</f>
        <v>0</v>
      </c>
      <c r="F116" s="49" t="str">
        <f>_xlfn.XLOOKUP(C116,Tab_Def_Flows[Name(EN)],Tab_Def_Flows[Process_ID_O],,0,)</f>
        <v>21__</v>
      </c>
      <c r="G116" s="49">
        <f>_xlfn.XLOOKUP(C116,Tab_Def_Flows[Name(EN)],Tab_Def_Flows[Input_Process],,0,)</f>
        <v>0</v>
      </c>
      <c r="H116" s="61" t="str">
        <f>_xlfn.XLOOKUP(C116,Tab_Def_Flows[Name(EN)],Tab_Def_Flows[Process_ID_I],,0,)</f>
        <v>21__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88"/>
      <c r="P116" s="51"/>
      <c r="Q116" s="51"/>
      <c r="R116" s="51"/>
      <c r="S116" s="69"/>
      <c r="T116" s="51"/>
      <c r="U116" s="51"/>
      <c r="V116" s="51"/>
      <c r="W116" s="51"/>
      <c r="X116" s="51"/>
      <c r="Y116" s="109"/>
      <c r="Z116" s="51"/>
      <c r="AA116" s="89">
        <f t="shared" si="3"/>
        <v>0</v>
      </c>
      <c r="AB116" s="51" t="s">
        <v>63</v>
      </c>
      <c r="AC116" s="114" t="e">
        <f>INDEX(Tab_Def_Flows[[Flow_ID]:[CC_DM_source]],MATCH(Tab_Data_Flows[[#This Row],[Name(EN)]],Tab_Def_Flows[Name(EN)],0),16)</f>
        <v>#N/A</v>
      </c>
      <c r="AD116" s="115" t="str">
        <f>IF(J116="Yes",AA116*Tab_Data_Flows[[#This Row],[WC_'[%']]],"N.A.")</f>
        <v>N.A.</v>
      </c>
      <c r="AE116" s="61" t="str">
        <f>Tab_Data_Flows[[#This Row],[UoM_Flow_Py]]</f>
        <v>Mg</v>
      </c>
      <c r="AF116" s="114" t="e">
        <f>INDEX(Tab_Def_Flows[[Flow_ID]:[CC_DM_source]],MATCH(Tab_Data_Flows[[#This Row],[Name(EN)]],Tab_Def_Flows[Name(EN)],0),18)</f>
        <v>#N/A</v>
      </c>
      <c r="AG116" s="115" t="str">
        <f>IF(K116="Yes",AF116*Tab_Data_Flows[[#This Row],[Flow_Py]],"N.A.")</f>
        <v>N.A.</v>
      </c>
      <c r="AH116" s="61" t="str">
        <f>Tab_Data_Flows[[#This Row],[UoM_Flow_Py]]</f>
        <v>Mg</v>
      </c>
      <c r="AI116" s="114" t="e">
        <f>INDEX(Tab_Def_Flows[[Flow_ID]:[CC_DM_source]],MATCH(Tab_Data_Flows[[#This Row],[Name(EN)]],Tab_Def_Flows[Name(EN)],0),20)</f>
        <v>#N/A</v>
      </c>
      <c r="AJ116" s="115" t="str">
        <f>IF(L116="Yes",AI116*Tab_Data_Flows[[#This Row],[Flow_Py]],"N.A.")</f>
        <v>N.A.</v>
      </c>
      <c r="AK116" s="61" t="str">
        <f>Tab_Data_Flows[[#This Row],[UoM_Flow_Py]]</f>
        <v>Mg</v>
      </c>
    </row>
    <row r="117" spans="1:37" x14ac:dyDescent="0.35">
      <c r="A117" s="60">
        <f t="shared" si="2"/>
        <v>116</v>
      </c>
      <c r="B117" s="49" t="str">
        <f>_xlfn.XLOOKUP(C117,Tab_Def_Flows[Name(EN)],Tab_Def_Flows[Flow_ID],,0,)</f>
        <v>F_21_21</v>
      </c>
      <c r="C117" s="51"/>
      <c r="D117" s="49">
        <f>_xlfn.XLOOKUP(C117,Tab_Def_Flows[Name(EN)],Tab_Def_Flows[Type_Biomass],,0,)</f>
        <v>0</v>
      </c>
      <c r="E117" s="49">
        <f>_xlfn.XLOOKUP(C117,Tab_Def_Flows[Name(EN)],Tab_Def_Flows[Output_Process],,0,)</f>
        <v>0</v>
      </c>
      <c r="F117" s="49" t="str">
        <f>_xlfn.XLOOKUP(C117,Tab_Def_Flows[Name(EN)],Tab_Def_Flows[Process_ID_O],,0,)</f>
        <v>21__</v>
      </c>
      <c r="G117" s="49">
        <f>_xlfn.XLOOKUP(C117,Tab_Def_Flows[Name(EN)],Tab_Def_Flows[Input_Process],,0,)</f>
        <v>0</v>
      </c>
      <c r="H117" s="61" t="str">
        <f>_xlfn.XLOOKUP(C117,Tab_Def_Flows[Name(EN)],Tab_Def_Flows[Process_ID_I],,0,)</f>
        <v>21__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88"/>
      <c r="P117" s="51"/>
      <c r="Q117" s="51"/>
      <c r="R117" s="51"/>
      <c r="S117" s="69"/>
      <c r="T117" s="51"/>
      <c r="U117" s="51"/>
      <c r="V117" s="51"/>
      <c r="W117" s="51"/>
      <c r="X117" s="51"/>
      <c r="Y117" s="109"/>
      <c r="Z117" s="51"/>
      <c r="AA117" s="89">
        <f t="shared" si="3"/>
        <v>0</v>
      </c>
      <c r="AB117" s="51" t="s">
        <v>63</v>
      </c>
      <c r="AC117" s="114" t="e">
        <f>INDEX(Tab_Def_Flows[[Flow_ID]:[CC_DM_source]],MATCH(Tab_Data_Flows[[#This Row],[Name(EN)]],Tab_Def_Flows[Name(EN)],0),16)</f>
        <v>#N/A</v>
      </c>
      <c r="AD117" s="115" t="str">
        <f>IF(J117="Yes",AA117*Tab_Data_Flows[[#This Row],[WC_'[%']]],"N.A.")</f>
        <v>N.A.</v>
      </c>
      <c r="AE117" s="61" t="str">
        <f>Tab_Data_Flows[[#This Row],[UoM_Flow_Py]]</f>
        <v>Mg</v>
      </c>
      <c r="AF117" s="114" t="e">
        <f>INDEX(Tab_Def_Flows[[Flow_ID]:[CC_DM_source]],MATCH(Tab_Data_Flows[[#This Row],[Name(EN)]],Tab_Def_Flows[Name(EN)],0),18)</f>
        <v>#N/A</v>
      </c>
      <c r="AG117" s="115" t="str">
        <f>IF(K117="Yes",AF117*Tab_Data_Flows[[#This Row],[Flow_Py]],"N.A.")</f>
        <v>N.A.</v>
      </c>
      <c r="AH117" s="61" t="str">
        <f>Tab_Data_Flows[[#This Row],[UoM_Flow_Py]]</f>
        <v>Mg</v>
      </c>
      <c r="AI117" s="114" t="e">
        <f>INDEX(Tab_Def_Flows[[Flow_ID]:[CC_DM_source]],MATCH(Tab_Data_Flows[[#This Row],[Name(EN)]],Tab_Def_Flows[Name(EN)],0),20)</f>
        <v>#N/A</v>
      </c>
      <c r="AJ117" s="115" t="str">
        <f>IF(L117="Yes",AI117*Tab_Data_Flows[[#This Row],[Flow_Py]],"N.A.")</f>
        <v>N.A.</v>
      </c>
      <c r="AK117" s="61" t="str">
        <f>Tab_Data_Flows[[#This Row],[UoM_Flow_Py]]</f>
        <v>Mg</v>
      </c>
    </row>
    <row r="118" spans="1:37" x14ac:dyDescent="0.35">
      <c r="A118" s="60">
        <f t="shared" si="2"/>
        <v>117</v>
      </c>
      <c r="B118" s="49" t="str">
        <f>_xlfn.XLOOKUP(C118,Tab_Def_Flows[Name(EN)],Tab_Def_Flows[Flow_ID],,0,)</f>
        <v>F_21_21</v>
      </c>
      <c r="C118" s="51"/>
      <c r="D118" s="49">
        <f>_xlfn.XLOOKUP(C118,Tab_Def_Flows[Name(EN)],Tab_Def_Flows[Type_Biomass],,0,)</f>
        <v>0</v>
      </c>
      <c r="E118" s="49">
        <f>_xlfn.XLOOKUP(C118,Tab_Def_Flows[Name(EN)],Tab_Def_Flows[Output_Process],,0,)</f>
        <v>0</v>
      </c>
      <c r="F118" s="49" t="str">
        <f>_xlfn.XLOOKUP(C118,Tab_Def_Flows[Name(EN)],Tab_Def_Flows[Process_ID_O],,0,)</f>
        <v>21__</v>
      </c>
      <c r="G118" s="49">
        <f>_xlfn.XLOOKUP(C118,Tab_Def_Flows[Name(EN)],Tab_Def_Flows[Input_Process],,0,)</f>
        <v>0</v>
      </c>
      <c r="H118" s="61" t="str">
        <f>_xlfn.XLOOKUP(C118,Tab_Def_Flows[Name(EN)],Tab_Def_Flows[Process_ID_I],,0,)</f>
        <v>21__</v>
      </c>
      <c r="I118" s="49">
        <f>_xlfn.XLOOKUP(C118,Tab_Def_Flows[Name(EN)],Tab_Def_Flows[Value_Source],,0,)</f>
        <v>0</v>
      </c>
      <c r="J118" s="49">
        <f>_xlfn.XLOOKUP(C118,Tab_Def_Flows[Name(EN)],Tab_Def_Flows[WC?],,0,)</f>
        <v>0</v>
      </c>
      <c r="K118" s="49">
        <f>_xlfn.XLOOKUP(C118,Tab_Def_Flows[Name(EN)],Tab_Def_Flows[DM?],,0,)</f>
        <v>0</v>
      </c>
      <c r="L118" s="49">
        <f>_xlfn.XLOOKUP(C118,Tab_Def_Flows[Name(EN)],Tab_Def_Flows[CC?],,0,)</f>
        <v>0</v>
      </c>
      <c r="M118" s="51"/>
      <c r="N118" s="51"/>
      <c r="O118" s="88"/>
      <c r="P118" s="51"/>
      <c r="Q118" s="51"/>
      <c r="R118" s="51"/>
      <c r="S118" s="69"/>
      <c r="T118" s="51"/>
      <c r="U118" s="51"/>
      <c r="V118" s="51"/>
      <c r="W118" s="51"/>
      <c r="X118" s="51"/>
      <c r="Y118" s="109"/>
      <c r="Z118" s="51"/>
      <c r="AA118" s="89">
        <f t="shared" si="3"/>
        <v>0</v>
      </c>
      <c r="AB118" s="51" t="s">
        <v>63</v>
      </c>
      <c r="AC118" s="114" t="e">
        <f>INDEX(Tab_Def_Flows[[Flow_ID]:[CC_DM_source]],MATCH(Tab_Data_Flows[[#This Row],[Name(EN)]],Tab_Def_Flows[Name(EN)],0),16)</f>
        <v>#N/A</v>
      </c>
      <c r="AD118" s="115" t="str">
        <f>IF(J118="Yes",AA118*Tab_Data_Flows[[#This Row],[WC_'[%']]],"N.A.")</f>
        <v>N.A.</v>
      </c>
      <c r="AE118" s="61" t="str">
        <f>Tab_Data_Flows[[#This Row],[UoM_Flow_Py]]</f>
        <v>Mg</v>
      </c>
      <c r="AF118" s="114" t="e">
        <f>INDEX(Tab_Def_Flows[[Flow_ID]:[CC_DM_source]],MATCH(Tab_Data_Flows[[#This Row],[Name(EN)]],Tab_Def_Flows[Name(EN)],0),18)</f>
        <v>#N/A</v>
      </c>
      <c r="AG118" s="115" t="str">
        <f>IF(K118="Yes",AF118*Tab_Data_Flows[[#This Row],[Flow_Py]],"N.A.")</f>
        <v>N.A.</v>
      </c>
      <c r="AH118" s="61" t="str">
        <f>Tab_Data_Flows[[#This Row],[UoM_Flow_Py]]</f>
        <v>Mg</v>
      </c>
      <c r="AI118" s="114" t="e">
        <f>INDEX(Tab_Def_Flows[[Flow_ID]:[CC_DM_source]],MATCH(Tab_Data_Flows[[#This Row],[Name(EN)]],Tab_Def_Flows[Name(EN)],0),20)</f>
        <v>#N/A</v>
      </c>
      <c r="AJ118" s="115" t="str">
        <f>IF(L118="Yes",AI118*Tab_Data_Flows[[#This Row],[Flow_Py]],"N.A.")</f>
        <v>N.A.</v>
      </c>
      <c r="AK118" s="61" t="str">
        <f>Tab_Data_Flows[[#This Row],[UoM_Flow_Py]]</f>
        <v>Mg</v>
      </c>
    </row>
    <row r="119" spans="1:37" x14ac:dyDescent="0.35">
      <c r="A119" s="60">
        <f t="shared" si="2"/>
        <v>118</v>
      </c>
      <c r="B119" s="49" t="str">
        <f>_xlfn.XLOOKUP(C119,Tab_Def_Flows[Name(EN)],Tab_Def_Flows[Flow_ID],,0,)</f>
        <v>F_21_21</v>
      </c>
      <c r="C119" s="51"/>
      <c r="D119" s="49">
        <f>_xlfn.XLOOKUP(C119,Tab_Def_Flows[Name(EN)],Tab_Def_Flows[Type_Biomass],,0,)</f>
        <v>0</v>
      </c>
      <c r="E119" s="49">
        <f>_xlfn.XLOOKUP(C119,Tab_Def_Flows[Name(EN)],Tab_Def_Flows[Output_Process],,0,)</f>
        <v>0</v>
      </c>
      <c r="F119" s="49" t="str">
        <f>_xlfn.XLOOKUP(C119,Tab_Def_Flows[Name(EN)],Tab_Def_Flows[Process_ID_O],,0,)</f>
        <v>21__</v>
      </c>
      <c r="G119" s="49">
        <f>_xlfn.XLOOKUP(C119,Tab_Def_Flows[Name(EN)],Tab_Def_Flows[Input_Process],,0,)</f>
        <v>0</v>
      </c>
      <c r="H119" s="61" t="str">
        <f>_xlfn.XLOOKUP(C119,Tab_Def_Flows[Name(EN)],Tab_Def_Flows[Process_ID_I],,0,)</f>
        <v>21__</v>
      </c>
      <c r="I119" s="49">
        <f>_xlfn.XLOOKUP(C119,Tab_Def_Flows[Name(EN)],Tab_Def_Flows[Value_Source],,0,)</f>
        <v>0</v>
      </c>
      <c r="J119" s="49">
        <f>_xlfn.XLOOKUP(C119,Tab_Def_Flows[Name(EN)],Tab_Def_Flows[WC?],,0,)</f>
        <v>0</v>
      </c>
      <c r="K119" s="49">
        <f>_xlfn.XLOOKUP(C119,Tab_Def_Flows[Name(EN)],Tab_Def_Flows[DM?],,0,)</f>
        <v>0</v>
      </c>
      <c r="L119" s="49">
        <f>_xlfn.XLOOKUP(C119,Tab_Def_Flows[Name(EN)],Tab_Def_Flows[CC?],,0,)</f>
        <v>0</v>
      </c>
      <c r="M119" s="51"/>
      <c r="N119" s="51"/>
      <c r="O119" s="88"/>
      <c r="P119" s="51"/>
      <c r="Q119" s="51"/>
      <c r="R119" s="51"/>
      <c r="S119" s="69"/>
      <c r="T119" s="51"/>
      <c r="U119" s="51"/>
      <c r="V119" s="51"/>
      <c r="W119" s="51"/>
      <c r="X119" s="51"/>
      <c r="Y119" s="109"/>
      <c r="Z119" s="51"/>
      <c r="AA119" s="89">
        <f t="shared" si="3"/>
        <v>0</v>
      </c>
      <c r="AB119" s="51" t="s">
        <v>63</v>
      </c>
      <c r="AC119" s="114" t="e">
        <f>INDEX(Tab_Def_Flows[[Flow_ID]:[CC_DM_source]],MATCH(Tab_Data_Flows[[#This Row],[Name(EN)]],Tab_Def_Flows[Name(EN)],0),16)</f>
        <v>#N/A</v>
      </c>
      <c r="AD119" s="115" t="str">
        <f>IF(J119="Yes",AA119*Tab_Data_Flows[[#This Row],[WC_'[%']]],"N.A.")</f>
        <v>N.A.</v>
      </c>
      <c r="AE119" s="61" t="str">
        <f>Tab_Data_Flows[[#This Row],[UoM_Flow_Py]]</f>
        <v>Mg</v>
      </c>
      <c r="AF119" s="114" t="e">
        <f>INDEX(Tab_Def_Flows[[Flow_ID]:[CC_DM_source]],MATCH(Tab_Data_Flows[[#This Row],[Name(EN)]],Tab_Def_Flows[Name(EN)],0),18)</f>
        <v>#N/A</v>
      </c>
      <c r="AG119" s="115" t="str">
        <f>IF(K119="Yes",AF119*Tab_Data_Flows[[#This Row],[Flow_Py]],"N.A.")</f>
        <v>N.A.</v>
      </c>
      <c r="AH119" s="61" t="str">
        <f>Tab_Data_Flows[[#This Row],[UoM_Flow_Py]]</f>
        <v>Mg</v>
      </c>
      <c r="AI119" s="114" t="e">
        <f>INDEX(Tab_Def_Flows[[Flow_ID]:[CC_DM_source]],MATCH(Tab_Data_Flows[[#This Row],[Name(EN)]],Tab_Def_Flows[Name(EN)],0),20)</f>
        <v>#N/A</v>
      </c>
      <c r="AJ119" s="115" t="str">
        <f>IF(L119="Yes",AI119*Tab_Data_Flows[[#This Row],[Flow_Py]],"N.A.")</f>
        <v>N.A.</v>
      </c>
      <c r="AK119" s="61" t="str">
        <f>Tab_Data_Flows[[#This Row],[UoM_Flow_Py]]</f>
        <v>Mg</v>
      </c>
    </row>
    <row r="120" spans="1:37" x14ac:dyDescent="0.35">
      <c r="A120" s="60">
        <f t="shared" si="2"/>
        <v>119</v>
      </c>
      <c r="B120" s="49" t="str">
        <f>_xlfn.XLOOKUP(C120,Tab_Def_Flows[Name(EN)],Tab_Def_Flows[Flow_ID],,0,)</f>
        <v>F_21_21</v>
      </c>
      <c r="C120" s="51"/>
      <c r="D120" s="49">
        <f>_xlfn.XLOOKUP(C120,Tab_Def_Flows[Name(EN)],Tab_Def_Flows[Type_Biomass],,0,)</f>
        <v>0</v>
      </c>
      <c r="E120" s="49">
        <f>_xlfn.XLOOKUP(C120,Tab_Def_Flows[Name(EN)],Tab_Def_Flows[Output_Process],,0,)</f>
        <v>0</v>
      </c>
      <c r="F120" s="49" t="str">
        <f>_xlfn.XLOOKUP(C120,Tab_Def_Flows[Name(EN)],Tab_Def_Flows[Process_ID_O],,0,)</f>
        <v>21__</v>
      </c>
      <c r="G120" s="49">
        <f>_xlfn.XLOOKUP(C120,Tab_Def_Flows[Name(EN)],Tab_Def_Flows[Input_Process],,0,)</f>
        <v>0</v>
      </c>
      <c r="H120" s="61" t="str">
        <f>_xlfn.XLOOKUP(C120,Tab_Def_Flows[Name(EN)],Tab_Def_Flows[Process_ID_I],,0,)</f>
        <v>21__</v>
      </c>
      <c r="I120" s="49">
        <f>_xlfn.XLOOKUP(C120,Tab_Def_Flows[Name(EN)],Tab_Def_Flows[Value_Source],,0,)</f>
        <v>0</v>
      </c>
      <c r="J120" s="49">
        <f>_xlfn.XLOOKUP(C120,Tab_Def_Flows[Name(EN)],Tab_Def_Flows[WC?],,0,)</f>
        <v>0</v>
      </c>
      <c r="K120" s="49">
        <f>_xlfn.XLOOKUP(C120,Tab_Def_Flows[Name(EN)],Tab_Def_Flows[DM?],,0,)</f>
        <v>0</v>
      </c>
      <c r="L120" s="49">
        <f>_xlfn.XLOOKUP(C120,Tab_Def_Flows[Name(EN)],Tab_Def_Flows[CC?],,0,)</f>
        <v>0</v>
      </c>
      <c r="M120" s="51"/>
      <c r="N120" s="51"/>
      <c r="O120" s="88"/>
      <c r="P120" s="51"/>
      <c r="Q120" s="51"/>
      <c r="R120" s="51"/>
      <c r="S120" s="69"/>
      <c r="T120" s="51"/>
      <c r="U120" s="51"/>
      <c r="V120" s="51"/>
      <c r="W120" s="51"/>
      <c r="X120" s="51"/>
      <c r="Y120" s="109"/>
      <c r="Z120" s="51"/>
      <c r="AA120" s="89">
        <f t="shared" si="3"/>
        <v>0</v>
      </c>
      <c r="AB120" s="51" t="s">
        <v>63</v>
      </c>
      <c r="AC120" s="114" t="e">
        <f>INDEX(Tab_Def_Flows[[Flow_ID]:[CC_DM_source]],MATCH(Tab_Data_Flows[[#This Row],[Name(EN)]],Tab_Def_Flows[Name(EN)],0),16)</f>
        <v>#N/A</v>
      </c>
      <c r="AD120" s="115" t="str">
        <f>IF(J120="Yes",AA120*Tab_Data_Flows[[#This Row],[WC_'[%']]],"N.A.")</f>
        <v>N.A.</v>
      </c>
      <c r="AE120" s="61" t="str">
        <f>Tab_Data_Flows[[#This Row],[UoM_Flow_Py]]</f>
        <v>Mg</v>
      </c>
      <c r="AF120" s="114" t="e">
        <f>INDEX(Tab_Def_Flows[[Flow_ID]:[CC_DM_source]],MATCH(Tab_Data_Flows[[#This Row],[Name(EN)]],Tab_Def_Flows[Name(EN)],0),18)</f>
        <v>#N/A</v>
      </c>
      <c r="AG120" s="115" t="str">
        <f>IF(K120="Yes",AF120*Tab_Data_Flows[[#This Row],[Flow_Py]],"N.A.")</f>
        <v>N.A.</v>
      </c>
      <c r="AH120" s="61" t="str">
        <f>Tab_Data_Flows[[#This Row],[UoM_Flow_Py]]</f>
        <v>Mg</v>
      </c>
      <c r="AI120" s="114" t="e">
        <f>INDEX(Tab_Def_Flows[[Flow_ID]:[CC_DM_source]],MATCH(Tab_Data_Flows[[#This Row],[Name(EN)]],Tab_Def_Flows[Name(EN)],0),20)</f>
        <v>#N/A</v>
      </c>
      <c r="AJ120" s="115" t="str">
        <f>IF(L120="Yes",AI120*Tab_Data_Flows[[#This Row],[Flow_Py]],"N.A.")</f>
        <v>N.A.</v>
      </c>
      <c r="AK120" s="61" t="str">
        <f>Tab_Data_Flows[[#This Row],[UoM_Flow_Py]]</f>
        <v>Mg</v>
      </c>
    </row>
    <row r="121" spans="1:37" x14ac:dyDescent="0.35">
      <c r="A121" s="60">
        <f t="shared" si="2"/>
        <v>120</v>
      </c>
      <c r="B121" s="49" t="str">
        <f>_xlfn.XLOOKUP(C121,Tab_Def_Flows[Name(EN)],Tab_Def_Flows[Flow_ID],,0,)</f>
        <v>F_21_21</v>
      </c>
      <c r="C121" s="51"/>
      <c r="D121" s="49">
        <f>_xlfn.XLOOKUP(C121,Tab_Def_Flows[Name(EN)],Tab_Def_Flows[Type_Biomass],,0,)</f>
        <v>0</v>
      </c>
      <c r="E121" s="49">
        <f>_xlfn.XLOOKUP(C121,Tab_Def_Flows[Name(EN)],Tab_Def_Flows[Output_Process],,0,)</f>
        <v>0</v>
      </c>
      <c r="F121" s="49" t="str">
        <f>_xlfn.XLOOKUP(C121,Tab_Def_Flows[Name(EN)],Tab_Def_Flows[Process_ID_O],,0,)</f>
        <v>21__</v>
      </c>
      <c r="G121" s="49">
        <f>_xlfn.XLOOKUP(C121,Tab_Def_Flows[Name(EN)],Tab_Def_Flows[Input_Process],,0,)</f>
        <v>0</v>
      </c>
      <c r="H121" s="61" t="str">
        <f>_xlfn.XLOOKUP(C121,Tab_Def_Flows[Name(EN)],Tab_Def_Flows[Process_ID_I],,0,)</f>
        <v>21__</v>
      </c>
      <c r="I121" s="49">
        <f>_xlfn.XLOOKUP(C121,Tab_Def_Flows[Name(EN)],Tab_Def_Flows[Value_Source],,0,)</f>
        <v>0</v>
      </c>
      <c r="J121" s="49">
        <f>_xlfn.XLOOKUP(C121,Tab_Def_Flows[Name(EN)],Tab_Def_Flows[WC?],,0,)</f>
        <v>0</v>
      </c>
      <c r="K121" s="49">
        <f>_xlfn.XLOOKUP(C121,Tab_Def_Flows[Name(EN)],Tab_Def_Flows[DM?],,0,)</f>
        <v>0</v>
      </c>
      <c r="L121" s="49">
        <f>_xlfn.XLOOKUP(C121,Tab_Def_Flows[Name(EN)],Tab_Def_Flows[CC?],,0,)</f>
        <v>0</v>
      </c>
      <c r="M121" s="51"/>
      <c r="N121" s="51"/>
      <c r="O121" s="88"/>
      <c r="P121" s="51"/>
      <c r="Q121" s="51"/>
      <c r="R121" s="51"/>
      <c r="S121" s="69"/>
      <c r="T121" s="51"/>
      <c r="U121" s="51"/>
      <c r="V121" s="51"/>
      <c r="W121" s="51"/>
      <c r="X121" s="51"/>
      <c r="Y121" s="109"/>
      <c r="Z121" s="51"/>
      <c r="AA121" s="89">
        <f t="shared" si="3"/>
        <v>0</v>
      </c>
      <c r="AB121" s="51" t="s">
        <v>63</v>
      </c>
      <c r="AC121" s="114" t="e">
        <f>INDEX(Tab_Def_Flows[[Flow_ID]:[CC_DM_source]],MATCH(Tab_Data_Flows[[#This Row],[Name(EN)]],Tab_Def_Flows[Name(EN)],0),16)</f>
        <v>#N/A</v>
      </c>
      <c r="AD121" s="115" t="str">
        <f>IF(J121="Yes",AA121*Tab_Data_Flows[[#This Row],[WC_'[%']]],"N.A.")</f>
        <v>N.A.</v>
      </c>
      <c r="AE121" s="61" t="str">
        <f>Tab_Data_Flows[[#This Row],[UoM_Flow_Py]]</f>
        <v>Mg</v>
      </c>
      <c r="AF121" s="114" t="e">
        <f>INDEX(Tab_Def_Flows[[Flow_ID]:[CC_DM_source]],MATCH(Tab_Data_Flows[[#This Row],[Name(EN)]],Tab_Def_Flows[Name(EN)],0),18)</f>
        <v>#N/A</v>
      </c>
      <c r="AG121" s="115" t="str">
        <f>IF(K121="Yes",AF121*Tab_Data_Flows[[#This Row],[Flow_Py]],"N.A.")</f>
        <v>N.A.</v>
      </c>
      <c r="AH121" s="61" t="str">
        <f>Tab_Data_Flows[[#This Row],[UoM_Flow_Py]]</f>
        <v>Mg</v>
      </c>
      <c r="AI121" s="114" t="e">
        <f>INDEX(Tab_Def_Flows[[Flow_ID]:[CC_DM_source]],MATCH(Tab_Data_Flows[[#This Row],[Name(EN)]],Tab_Def_Flows[Name(EN)],0),20)</f>
        <v>#N/A</v>
      </c>
      <c r="AJ121" s="115" t="str">
        <f>IF(L121="Yes",AI121*Tab_Data_Flows[[#This Row],[Flow_Py]],"N.A.")</f>
        <v>N.A.</v>
      </c>
      <c r="AK121" s="61" t="str">
        <f>Tab_Data_Flows[[#This Row],[UoM_Flow_Py]]</f>
        <v>Mg</v>
      </c>
    </row>
    <row r="122" spans="1:37" x14ac:dyDescent="0.35">
      <c r="A122" s="60">
        <f t="shared" si="2"/>
        <v>121</v>
      </c>
      <c r="B122" s="49" t="str">
        <f>_xlfn.XLOOKUP(C122,Tab_Def_Flows[Name(EN)],Tab_Def_Flows[Flow_ID],,0,)</f>
        <v>F_21_21</v>
      </c>
      <c r="C122" s="51"/>
      <c r="D122" s="49">
        <f>_xlfn.XLOOKUP(C122,Tab_Def_Flows[Name(EN)],Tab_Def_Flows[Type_Biomass],,0,)</f>
        <v>0</v>
      </c>
      <c r="E122" s="49">
        <f>_xlfn.XLOOKUP(C122,Tab_Def_Flows[Name(EN)],Tab_Def_Flows[Output_Process],,0,)</f>
        <v>0</v>
      </c>
      <c r="F122" s="49" t="str">
        <f>_xlfn.XLOOKUP(C122,Tab_Def_Flows[Name(EN)],Tab_Def_Flows[Process_ID_O],,0,)</f>
        <v>21__</v>
      </c>
      <c r="G122" s="49">
        <f>_xlfn.XLOOKUP(C122,Tab_Def_Flows[Name(EN)],Tab_Def_Flows[Input_Process],,0,)</f>
        <v>0</v>
      </c>
      <c r="H122" s="61" t="str">
        <f>_xlfn.XLOOKUP(C122,Tab_Def_Flows[Name(EN)],Tab_Def_Flows[Process_ID_I],,0,)</f>
        <v>21__</v>
      </c>
      <c r="I122" s="49">
        <f>_xlfn.XLOOKUP(C122,Tab_Def_Flows[Name(EN)],Tab_Def_Flows[Value_Source],,0,)</f>
        <v>0</v>
      </c>
      <c r="J122" s="49">
        <f>_xlfn.XLOOKUP(C122,Tab_Def_Flows[Name(EN)],Tab_Def_Flows[WC?],,0,)</f>
        <v>0</v>
      </c>
      <c r="K122" s="49">
        <f>_xlfn.XLOOKUP(C122,Tab_Def_Flows[Name(EN)],Tab_Def_Flows[DM?],,0,)</f>
        <v>0</v>
      </c>
      <c r="L122" s="49">
        <f>_xlfn.XLOOKUP(C122,Tab_Def_Flows[Name(EN)],Tab_Def_Flows[CC?],,0,)</f>
        <v>0</v>
      </c>
      <c r="M122" s="51"/>
      <c r="N122" s="51"/>
      <c r="O122" s="88"/>
      <c r="P122" s="51"/>
      <c r="Q122" s="51"/>
      <c r="R122" s="51"/>
      <c r="S122" s="69"/>
      <c r="T122" s="51"/>
      <c r="U122" s="51"/>
      <c r="V122" s="51"/>
      <c r="W122" s="51"/>
      <c r="X122" s="51"/>
      <c r="Y122" s="109"/>
      <c r="Z122" s="51"/>
      <c r="AA122" s="89">
        <f t="shared" si="3"/>
        <v>0</v>
      </c>
      <c r="AB122" s="51" t="s">
        <v>63</v>
      </c>
      <c r="AC122" s="114" t="e">
        <f>INDEX(Tab_Def_Flows[[Flow_ID]:[CC_DM_source]],MATCH(Tab_Data_Flows[[#This Row],[Name(EN)]],Tab_Def_Flows[Name(EN)],0),16)</f>
        <v>#N/A</v>
      </c>
      <c r="AD122" s="115" t="str">
        <f>IF(J122="Yes",AA122*Tab_Data_Flows[[#This Row],[WC_'[%']]],"N.A.")</f>
        <v>N.A.</v>
      </c>
      <c r="AE122" s="61" t="str">
        <f>Tab_Data_Flows[[#This Row],[UoM_Flow_Py]]</f>
        <v>Mg</v>
      </c>
      <c r="AF122" s="114" t="e">
        <f>INDEX(Tab_Def_Flows[[Flow_ID]:[CC_DM_source]],MATCH(Tab_Data_Flows[[#This Row],[Name(EN)]],Tab_Def_Flows[Name(EN)],0),18)</f>
        <v>#N/A</v>
      </c>
      <c r="AG122" s="115" t="str">
        <f>IF(K122="Yes",AF122*Tab_Data_Flows[[#This Row],[Flow_Py]],"N.A.")</f>
        <v>N.A.</v>
      </c>
      <c r="AH122" s="61" t="str">
        <f>Tab_Data_Flows[[#This Row],[UoM_Flow_Py]]</f>
        <v>Mg</v>
      </c>
      <c r="AI122" s="114" t="e">
        <f>INDEX(Tab_Def_Flows[[Flow_ID]:[CC_DM_source]],MATCH(Tab_Data_Flows[[#This Row],[Name(EN)]],Tab_Def_Flows[Name(EN)],0),20)</f>
        <v>#N/A</v>
      </c>
      <c r="AJ122" s="115" t="str">
        <f>IF(L122="Yes",AI122*Tab_Data_Flows[[#This Row],[Flow_Py]],"N.A.")</f>
        <v>N.A.</v>
      </c>
      <c r="AK122" s="61" t="str">
        <f>Tab_Data_Flows[[#This Row],[UoM_Flow_Py]]</f>
        <v>Mg</v>
      </c>
    </row>
    <row r="123" spans="1:37" x14ac:dyDescent="0.35">
      <c r="A123" s="60">
        <f t="shared" si="2"/>
        <v>122</v>
      </c>
      <c r="B123" s="49" t="str">
        <f>_xlfn.XLOOKUP(C123,Tab_Def_Flows[Name(EN)],Tab_Def_Flows[Flow_ID],,0,)</f>
        <v>F_21_21</v>
      </c>
      <c r="C123" s="51"/>
      <c r="D123" s="49">
        <f>_xlfn.XLOOKUP(C123,Tab_Def_Flows[Name(EN)],Tab_Def_Flows[Type_Biomass],,0,)</f>
        <v>0</v>
      </c>
      <c r="E123" s="49">
        <f>_xlfn.XLOOKUP(C123,Tab_Def_Flows[Name(EN)],Tab_Def_Flows[Output_Process],,0,)</f>
        <v>0</v>
      </c>
      <c r="F123" s="49" t="str">
        <f>_xlfn.XLOOKUP(C123,Tab_Def_Flows[Name(EN)],Tab_Def_Flows[Process_ID_O],,0,)</f>
        <v>21__</v>
      </c>
      <c r="G123" s="49">
        <f>_xlfn.XLOOKUP(C123,Tab_Def_Flows[Name(EN)],Tab_Def_Flows[Input_Process],,0,)</f>
        <v>0</v>
      </c>
      <c r="H123" s="61" t="str">
        <f>_xlfn.XLOOKUP(C123,Tab_Def_Flows[Name(EN)],Tab_Def_Flows[Process_ID_I],,0,)</f>
        <v>21__</v>
      </c>
      <c r="I123" s="49">
        <f>_xlfn.XLOOKUP(C123,Tab_Def_Flows[Name(EN)],Tab_Def_Flows[Value_Source],,0,)</f>
        <v>0</v>
      </c>
      <c r="J123" s="49">
        <f>_xlfn.XLOOKUP(C123,Tab_Def_Flows[Name(EN)],Tab_Def_Flows[WC?],,0,)</f>
        <v>0</v>
      </c>
      <c r="K123" s="49">
        <f>_xlfn.XLOOKUP(C123,Tab_Def_Flows[Name(EN)],Tab_Def_Flows[DM?],,0,)</f>
        <v>0</v>
      </c>
      <c r="L123" s="49">
        <f>_xlfn.XLOOKUP(C123,Tab_Def_Flows[Name(EN)],Tab_Def_Flows[CC?],,0,)</f>
        <v>0</v>
      </c>
      <c r="M123" s="51"/>
      <c r="N123" s="51"/>
      <c r="O123" s="88"/>
      <c r="P123" s="51"/>
      <c r="Q123" s="51"/>
      <c r="R123" s="51"/>
      <c r="S123" s="69"/>
      <c r="T123" s="51"/>
      <c r="U123" s="51"/>
      <c r="V123" s="51"/>
      <c r="W123" s="51"/>
      <c r="X123" s="51"/>
      <c r="Y123" s="109"/>
      <c r="Z123" s="51"/>
      <c r="AA123" s="89">
        <f t="shared" si="3"/>
        <v>0</v>
      </c>
      <c r="AB123" s="51" t="s">
        <v>63</v>
      </c>
      <c r="AC123" s="114" t="e">
        <f>INDEX(Tab_Def_Flows[[Flow_ID]:[CC_DM_source]],MATCH(Tab_Data_Flows[[#This Row],[Name(EN)]],Tab_Def_Flows[Name(EN)],0),16)</f>
        <v>#N/A</v>
      </c>
      <c r="AD123" s="115" t="str">
        <f>IF(J123="Yes",AA123*Tab_Data_Flows[[#This Row],[WC_'[%']]],"N.A.")</f>
        <v>N.A.</v>
      </c>
      <c r="AE123" s="61" t="str">
        <f>Tab_Data_Flows[[#This Row],[UoM_Flow_Py]]</f>
        <v>Mg</v>
      </c>
      <c r="AF123" s="114" t="e">
        <f>INDEX(Tab_Def_Flows[[Flow_ID]:[CC_DM_source]],MATCH(Tab_Data_Flows[[#This Row],[Name(EN)]],Tab_Def_Flows[Name(EN)],0),18)</f>
        <v>#N/A</v>
      </c>
      <c r="AG123" s="115" t="str">
        <f>IF(K123="Yes",AF123*Tab_Data_Flows[[#This Row],[Flow_Py]],"N.A.")</f>
        <v>N.A.</v>
      </c>
      <c r="AH123" s="61" t="str">
        <f>Tab_Data_Flows[[#This Row],[UoM_Flow_Py]]</f>
        <v>Mg</v>
      </c>
      <c r="AI123" s="114" t="e">
        <f>INDEX(Tab_Def_Flows[[Flow_ID]:[CC_DM_source]],MATCH(Tab_Data_Flows[[#This Row],[Name(EN)]],Tab_Def_Flows[Name(EN)],0),20)</f>
        <v>#N/A</v>
      </c>
      <c r="AJ123" s="115" t="str">
        <f>IF(L123="Yes",AI123*Tab_Data_Flows[[#This Row],[Flow_Py]],"N.A.")</f>
        <v>N.A.</v>
      </c>
      <c r="AK123" s="61" t="str">
        <f>Tab_Data_Flows[[#This Row],[UoM_Flow_Py]]</f>
        <v>Mg</v>
      </c>
    </row>
    <row r="124" spans="1:37" x14ac:dyDescent="0.35">
      <c r="A124" s="60">
        <f t="shared" si="2"/>
        <v>123</v>
      </c>
      <c r="B124" s="49" t="str">
        <f>_xlfn.XLOOKUP(C124,Tab_Def_Flows[Name(EN)],Tab_Def_Flows[Flow_ID],,0,)</f>
        <v>F_21_21</v>
      </c>
      <c r="C124" s="51"/>
      <c r="D124" s="49">
        <f>_xlfn.XLOOKUP(C124,Tab_Def_Flows[Name(EN)],Tab_Def_Flows[Type_Biomass],,0,)</f>
        <v>0</v>
      </c>
      <c r="E124" s="49">
        <f>_xlfn.XLOOKUP(C124,Tab_Def_Flows[Name(EN)],Tab_Def_Flows[Output_Process],,0,)</f>
        <v>0</v>
      </c>
      <c r="F124" s="49" t="str">
        <f>_xlfn.XLOOKUP(C124,Tab_Def_Flows[Name(EN)],Tab_Def_Flows[Process_ID_O],,0,)</f>
        <v>21__</v>
      </c>
      <c r="G124" s="49">
        <f>_xlfn.XLOOKUP(C124,Tab_Def_Flows[Name(EN)],Tab_Def_Flows[Input_Process],,0,)</f>
        <v>0</v>
      </c>
      <c r="H124" s="61" t="str">
        <f>_xlfn.XLOOKUP(C124,Tab_Def_Flows[Name(EN)],Tab_Def_Flows[Process_ID_I],,0,)</f>
        <v>21__</v>
      </c>
      <c r="I124" s="49">
        <f>_xlfn.XLOOKUP(C124,Tab_Def_Flows[Name(EN)],Tab_Def_Flows[Value_Source],,0,)</f>
        <v>0</v>
      </c>
      <c r="J124" s="49">
        <f>_xlfn.XLOOKUP(C124,Tab_Def_Flows[Name(EN)],Tab_Def_Flows[WC?],,0,)</f>
        <v>0</v>
      </c>
      <c r="K124" s="49">
        <f>_xlfn.XLOOKUP(C124,Tab_Def_Flows[Name(EN)],Tab_Def_Flows[DM?],,0,)</f>
        <v>0</v>
      </c>
      <c r="L124" s="49">
        <f>_xlfn.XLOOKUP(C124,Tab_Def_Flows[Name(EN)],Tab_Def_Flows[CC?],,0,)</f>
        <v>0</v>
      </c>
      <c r="M124" s="51"/>
      <c r="N124" s="51"/>
      <c r="O124" s="88"/>
      <c r="P124" s="51"/>
      <c r="Q124" s="51"/>
      <c r="R124" s="51"/>
      <c r="S124" s="69"/>
      <c r="T124" s="51"/>
      <c r="U124" s="51"/>
      <c r="V124" s="51"/>
      <c r="W124" s="51"/>
      <c r="X124" s="51"/>
      <c r="Y124" s="109"/>
      <c r="Z124" s="51"/>
      <c r="AA124" s="89">
        <f t="shared" si="3"/>
        <v>0</v>
      </c>
      <c r="AB124" s="51" t="s">
        <v>63</v>
      </c>
      <c r="AC124" s="114" t="e">
        <f>INDEX(Tab_Def_Flows[[Flow_ID]:[CC_DM_source]],MATCH(Tab_Data_Flows[[#This Row],[Name(EN)]],Tab_Def_Flows[Name(EN)],0),16)</f>
        <v>#N/A</v>
      </c>
      <c r="AD124" s="115" t="str">
        <f>IF(J124="Yes",AA124*Tab_Data_Flows[[#This Row],[WC_'[%']]],"N.A.")</f>
        <v>N.A.</v>
      </c>
      <c r="AE124" s="61" t="str">
        <f>Tab_Data_Flows[[#This Row],[UoM_Flow_Py]]</f>
        <v>Mg</v>
      </c>
      <c r="AF124" s="114" t="e">
        <f>INDEX(Tab_Def_Flows[[Flow_ID]:[CC_DM_source]],MATCH(Tab_Data_Flows[[#This Row],[Name(EN)]],Tab_Def_Flows[Name(EN)],0),18)</f>
        <v>#N/A</v>
      </c>
      <c r="AG124" s="115" t="str">
        <f>IF(K124="Yes",AF124*Tab_Data_Flows[[#This Row],[Flow_Py]],"N.A.")</f>
        <v>N.A.</v>
      </c>
      <c r="AH124" s="61" t="str">
        <f>Tab_Data_Flows[[#This Row],[UoM_Flow_Py]]</f>
        <v>Mg</v>
      </c>
      <c r="AI124" s="114" t="e">
        <f>INDEX(Tab_Def_Flows[[Flow_ID]:[CC_DM_source]],MATCH(Tab_Data_Flows[[#This Row],[Name(EN)]],Tab_Def_Flows[Name(EN)],0),20)</f>
        <v>#N/A</v>
      </c>
      <c r="AJ124" s="115" t="str">
        <f>IF(L124="Yes",AI124*Tab_Data_Flows[[#This Row],[Flow_Py]],"N.A.")</f>
        <v>N.A.</v>
      </c>
      <c r="AK124" s="61" t="str">
        <f>Tab_Data_Flows[[#This Row],[UoM_Flow_Py]]</f>
        <v>Mg</v>
      </c>
    </row>
    <row r="125" spans="1:37" x14ac:dyDescent="0.35">
      <c r="A125" s="60">
        <f t="shared" si="2"/>
        <v>124</v>
      </c>
      <c r="B125" s="49" t="str">
        <f>_xlfn.XLOOKUP(C125,Tab_Def_Flows[Name(EN)],Tab_Def_Flows[Flow_ID],,0,)</f>
        <v>F_21_21</v>
      </c>
      <c r="C125" s="51"/>
      <c r="D125" s="49">
        <f>_xlfn.XLOOKUP(C125,Tab_Def_Flows[Name(EN)],Tab_Def_Flows[Type_Biomass],,0,)</f>
        <v>0</v>
      </c>
      <c r="E125" s="49">
        <f>_xlfn.XLOOKUP(C125,Tab_Def_Flows[Name(EN)],Tab_Def_Flows[Output_Process],,0,)</f>
        <v>0</v>
      </c>
      <c r="F125" s="49" t="str">
        <f>_xlfn.XLOOKUP(C125,Tab_Def_Flows[Name(EN)],Tab_Def_Flows[Process_ID_O],,0,)</f>
        <v>21__</v>
      </c>
      <c r="G125" s="49">
        <f>_xlfn.XLOOKUP(C125,Tab_Def_Flows[Name(EN)],Tab_Def_Flows[Input_Process],,0,)</f>
        <v>0</v>
      </c>
      <c r="H125" s="61" t="str">
        <f>_xlfn.XLOOKUP(C125,Tab_Def_Flows[Name(EN)],Tab_Def_Flows[Process_ID_I],,0,)</f>
        <v>21__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88"/>
      <c r="P125" s="51"/>
      <c r="Q125" s="51"/>
      <c r="R125" s="51"/>
      <c r="S125" s="69"/>
      <c r="T125" s="51"/>
      <c r="U125" s="51"/>
      <c r="V125" s="51"/>
      <c r="W125" s="51"/>
      <c r="X125" s="51"/>
      <c r="Y125" s="109"/>
      <c r="Z125" s="51"/>
      <c r="AA125" s="89">
        <f t="shared" si="3"/>
        <v>0</v>
      </c>
      <c r="AB125" s="51" t="s">
        <v>63</v>
      </c>
      <c r="AC125" s="114" t="e">
        <f>INDEX(Tab_Def_Flows[[Flow_ID]:[CC_DM_source]],MATCH(Tab_Data_Flows[[#This Row],[Name(EN)]],Tab_Def_Flows[Name(EN)],0),16)</f>
        <v>#N/A</v>
      </c>
      <c r="AD125" s="115" t="str">
        <f>IF(J125="Yes",AA125*Tab_Data_Flows[[#This Row],[WC_'[%']]],"N.A.")</f>
        <v>N.A.</v>
      </c>
      <c r="AE125" s="61" t="str">
        <f>Tab_Data_Flows[[#This Row],[UoM_Flow_Py]]</f>
        <v>Mg</v>
      </c>
      <c r="AF125" s="114" t="e">
        <f>INDEX(Tab_Def_Flows[[Flow_ID]:[CC_DM_source]],MATCH(Tab_Data_Flows[[#This Row],[Name(EN)]],Tab_Def_Flows[Name(EN)],0),18)</f>
        <v>#N/A</v>
      </c>
      <c r="AG125" s="115" t="str">
        <f>IF(K125="Yes",AF125*Tab_Data_Flows[[#This Row],[Flow_Py]],"N.A.")</f>
        <v>N.A.</v>
      </c>
      <c r="AH125" s="61" t="str">
        <f>Tab_Data_Flows[[#This Row],[UoM_Flow_Py]]</f>
        <v>Mg</v>
      </c>
      <c r="AI125" s="114" t="e">
        <f>INDEX(Tab_Def_Flows[[Flow_ID]:[CC_DM_source]],MATCH(Tab_Data_Flows[[#This Row],[Name(EN)]],Tab_Def_Flows[Name(EN)],0),20)</f>
        <v>#N/A</v>
      </c>
      <c r="AJ125" s="115" t="str">
        <f>IF(L125="Yes",AI125*Tab_Data_Flows[[#This Row],[Flow_Py]],"N.A.")</f>
        <v>N.A.</v>
      </c>
      <c r="AK125" s="61" t="str">
        <f>Tab_Data_Flows[[#This Row],[UoM_Flow_Py]]</f>
        <v>Mg</v>
      </c>
    </row>
    <row r="126" spans="1:37" x14ac:dyDescent="0.35">
      <c r="A126" s="60">
        <f t="shared" si="2"/>
        <v>125</v>
      </c>
      <c r="B126" s="49" t="str">
        <f>_xlfn.XLOOKUP(C126,Tab_Def_Flows[Name(EN)],Tab_Def_Flows[Flow_ID],,0,)</f>
        <v>F_21_21</v>
      </c>
      <c r="C126" s="51"/>
      <c r="D126" s="49">
        <f>_xlfn.XLOOKUP(C126,Tab_Def_Flows[Name(EN)],Tab_Def_Flows[Type_Biomass],,0,)</f>
        <v>0</v>
      </c>
      <c r="E126" s="49">
        <f>_xlfn.XLOOKUP(C126,Tab_Def_Flows[Name(EN)],Tab_Def_Flows[Output_Process],,0,)</f>
        <v>0</v>
      </c>
      <c r="F126" s="49" t="str">
        <f>_xlfn.XLOOKUP(C126,Tab_Def_Flows[Name(EN)],Tab_Def_Flows[Process_ID_O],,0,)</f>
        <v>21__</v>
      </c>
      <c r="G126" s="49">
        <f>_xlfn.XLOOKUP(C126,Tab_Def_Flows[Name(EN)],Tab_Def_Flows[Input_Process],,0,)</f>
        <v>0</v>
      </c>
      <c r="H126" s="61" t="str">
        <f>_xlfn.XLOOKUP(C126,Tab_Def_Flows[Name(EN)],Tab_Def_Flows[Process_ID_I],,0,)</f>
        <v>21__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88"/>
      <c r="P126" s="51"/>
      <c r="Q126" s="51"/>
      <c r="R126" s="51"/>
      <c r="S126" s="69"/>
      <c r="T126" s="51"/>
      <c r="U126" s="51"/>
      <c r="V126" s="51"/>
      <c r="W126" s="51"/>
      <c r="X126" s="51"/>
      <c r="Y126" s="109"/>
      <c r="Z126" s="51"/>
      <c r="AA126" s="89">
        <f t="shared" si="3"/>
        <v>0</v>
      </c>
      <c r="AB126" s="51" t="s">
        <v>63</v>
      </c>
      <c r="AC126" s="114" t="e">
        <f>INDEX(Tab_Def_Flows[[Flow_ID]:[CC_DM_source]],MATCH(Tab_Data_Flows[[#This Row],[Name(EN)]],Tab_Def_Flows[Name(EN)],0),16)</f>
        <v>#N/A</v>
      </c>
      <c r="AD126" s="115" t="str">
        <f>IF(J126="Yes",AA126*Tab_Data_Flows[[#This Row],[WC_'[%']]],"N.A.")</f>
        <v>N.A.</v>
      </c>
      <c r="AE126" s="61" t="str">
        <f>Tab_Data_Flows[[#This Row],[UoM_Flow_Py]]</f>
        <v>Mg</v>
      </c>
      <c r="AF126" s="114" t="e">
        <f>INDEX(Tab_Def_Flows[[Flow_ID]:[CC_DM_source]],MATCH(Tab_Data_Flows[[#This Row],[Name(EN)]],Tab_Def_Flows[Name(EN)],0),18)</f>
        <v>#N/A</v>
      </c>
      <c r="AG126" s="115" t="str">
        <f>IF(K126="Yes",AF126*Tab_Data_Flows[[#This Row],[Flow_Py]],"N.A.")</f>
        <v>N.A.</v>
      </c>
      <c r="AH126" s="61" t="str">
        <f>Tab_Data_Flows[[#This Row],[UoM_Flow_Py]]</f>
        <v>Mg</v>
      </c>
      <c r="AI126" s="114" t="e">
        <f>INDEX(Tab_Def_Flows[[Flow_ID]:[CC_DM_source]],MATCH(Tab_Data_Flows[[#This Row],[Name(EN)]],Tab_Def_Flows[Name(EN)],0),20)</f>
        <v>#N/A</v>
      </c>
      <c r="AJ126" s="115" t="str">
        <f>IF(L126="Yes",AI126*Tab_Data_Flows[[#This Row],[Flow_Py]],"N.A.")</f>
        <v>N.A.</v>
      </c>
      <c r="AK126" s="61" t="str">
        <f>Tab_Data_Flows[[#This Row],[UoM_Flow_Py]]</f>
        <v>Mg</v>
      </c>
    </row>
    <row r="127" spans="1:37" x14ac:dyDescent="0.35">
      <c r="A127" s="60">
        <f t="shared" si="2"/>
        <v>126</v>
      </c>
      <c r="B127" s="49" t="str">
        <f>_xlfn.XLOOKUP(C127,Tab_Def_Flows[Name(EN)],Tab_Def_Flows[Flow_ID],,0,)</f>
        <v>F_21_21</v>
      </c>
      <c r="C127" s="51"/>
      <c r="D127" s="49">
        <f>_xlfn.XLOOKUP(C127,Tab_Def_Flows[Name(EN)],Tab_Def_Flows[Type_Biomass],,0,)</f>
        <v>0</v>
      </c>
      <c r="E127" s="49">
        <f>_xlfn.XLOOKUP(C127,Tab_Def_Flows[Name(EN)],Tab_Def_Flows[Output_Process],,0,)</f>
        <v>0</v>
      </c>
      <c r="F127" s="49" t="str">
        <f>_xlfn.XLOOKUP(C127,Tab_Def_Flows[Name(EN)],Tab_Def_Flows[Process_ID_O],,0,)</f>
        <v>21__</v>
      </c>
      <c r="G127" s="49">
        <f>_xlfn.XLOOKUP(C127,Tab_Def_Flows[Name(EN)],Tab_Def_Flows[Input_Process],,0,)</f>
        <v>0</v>
      </c>
      <c r="H127" s="61" t="str">
        <f>_xlfn.XLOOKUP(C127,Tab_Def_Flows[Name(EN)],Tab_Def_Flows[Process_ID_I],,0,)</f>
        <v>21__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88"/>
      <c r="P127" s="51"/>
      <c r="Q127" s="51"/>
      <c r="R127" s="51"/>
      <c r="S127" s="69"/>
      <c r="T127" s="51"/>
      <c r="U127" s="51"/>
      <c r="V127" s="51"/>
      <c r="W127" s="51"/>
      <c r="X127" s="51"/>
      <c r="Y127" s="109"/>
      <c r="Z127" s="51"/>
      <c r="AA127" s="89">
        <f t="shared" si="3"/>
        <v>0</v>
      </c>
      <c r="AB127" s="51" t="s">
        <v>63</v>
      </c>
      <c r="AC127" s="114" t="e">
        <f>INDEX(Tab_Def_Flows[[Flow_ID]:[CC_DM_source]],MATCH(Tab_Data_Flows[[#This Row],[Name(EN)]],Tab_Def_Flows[Name(EN)],0),16)</f>
        <v>#N/A</v>
      </c>
      <c r="AD127" s="115" t="str">
        <f>IF(J127="Yes",AA127*Tab_Data_Flows[[#This Row],[WC_'[%']]],"N.A.")</f>
        <v>N.A.</v>
      </c>
      <c r="AE127" s="61" t="str">
        <f>Tab_Data_Flows[[#This Row],[UoM_Flow_Py]]</f>
        <v>Mg</v>
      </c>
      <c r="AF127" s="114" t="e">
        <f>INDEX(Tab_Def_Flows[[Flow_ID]:[CC_DM_source]],MATCH(Tab_Data_Flows[[#This Row],[Name(EN)]],Tab_Def_Flows[Name(EN)],0),18)</f>
        <v>#N/A</v>
      </c>
      <c r="AG127" s="115" t="str">
        <f>IF(K127="Yes",AF127*Tab_Data_Flows[[#This Row],[Flow_Py]],"N.A.")</f>
        <v>N.A.</v>
      </c>
      <c r="AH127" s="61" t="str">
        <f>Tab_Data_Flows[[#This Row],[UoM_Flow_Py]]</f>
        <v>Mg</v>
      </c>
      <c r="AI127" s="114" t="e">
        <f>INDEX(Tab_Def_Flows[[Flow_ID]:[CC_DM_source]],MATCH(Tab_Data_Flows[[#This Row],[Name(EN)]],Tab_Def_Flows[Name(EN)],0),20)</f>
        <v>#N/A</v>
      </c>
      <c r="AJ127" s="115" t="str">
        <f>IF(L127="Yes",AI127*Tab_Data_Flows[[#This Row],[Flow_Py]],"N.A.")</f>
        <v>N.A.</v>
      </c>
      <c r="AK127" s="61" t="str">
        <f>Tab_Data_Flows[[#This Row],[UoM_Flow_Py]]</f>
        <v>Mg</v>
      </c>
    </row>
    <row r="128" spans="1:37" x14ac:dyDescent="0.35">
      <c r="A128" s="60">
        <f t="shared" ref="A128:A191" si="4">ROW()-1</f>
        <v>127</v>
      </c>
      <c r="B128" s="49" t="str">
        <f>_xlfn.XLOOKUP(C128,Tab_Def_Flows[Name(EN)],Tab_Def_Flows[Flow_ID],,0,)</f>
        <v>F_21_21</v>
      </c>
      <c r="C128" s="51"/>
      <c r="D128" s="49">
        <f>_xlfn.XLOOKUP(C128,Tab_Def_Flows[Name(EN)],Tab_Def_Flows[Type_Biomass],,0,)</f>
        <v>0</v>
      </c>
      <c r="E128" s="49">
        <f>_xlfn.XLOOKUP(C128,Tab_Def_Flows[Name(EN)],Tab_Def_Flows[Output_Process],,0,)</f>
        <v>0</v>
      </c>
      <c r="F128" s="49" t="str">
        <f>_xlfn.XLOOKUP(C128,Tab_Def_Flows[Name(EN)],Tab_Def_Flows[Process_ID_O],,0,)</f>
        <v>21__</v>
      </c>
      <c r="G128" s="49">
        <f>_xlfn.XLOOKUP(C128,Tab_Def_Flows[Name(EN)],Tab_Def_Flows[Input_Process],,0,)</f>
        <v>0</v>
      </c>
      <c r="H128" s="61" t="str">
        <f>_xlfn.XLOOKUP(C128,Tab_Def_Flows[Name(EN)],Tab_Def_Flows[Process_ID_I],,0,)</f>
        <v>21__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88"/>
      <c r="P128" s="51"/>
      <c r="Q128" s="51"/>
      <c r="R128" s="51"/>
      <c r="S128" s="69"/>
      <c r="T128" s="51"/>
      <c r="U128" s="51"/>
      <c r="V128" s="51"/>
      <c r="W128" s="51"/>
      <c r="X128" s="51"/>
      <c r="Y128" s="109"/>
      <c r="Z128" s="51"/>
      <c r="AA128" s="89">
        <f t="shared" ref="AA128:AA150" si="5">IF(X128="no",O128,O128*Y128)</f>
        <v>0</v>
      </c>
      <c r="AB128" s="51" t="s">
        <v>63</v>
      </c>
      <c r="AC128" s="114" t="e">
        <f>INDEX(Tab_Def_Flows[[Flow_ID]:[CC_DM_source]],MATCH(Tab_Data_Flows[[#This Row],[Name(EN)]],Tab_Def_Flows[Name(EN)],0),16)</f>
        <v>#N/A</v>
      </c>
      <c r="AD128" s="115" t="str">
        <f>IF(J128="Yes",AA128*Tab_Data_Flows[[#This Row],[WC_'[%']]],"N.A.")</f>
        <v>N.A.</v>
      </c>
      <c r="AE128" s="61" t="str">
        <f>Tab_Data_Flows[[#This Row],[UoM_Flow_Py]]</f>
        <v>Mg</v>
      </c>
      <c r="AF128" s="114" t="e">
        <f>INDEX(Tab_Def_Flows[[Flow_ID]:[CC_DM_source]],MATCH(Tab_Data_Flows[[#This Row],[Name(EN)]],Tab_Def_Flows[Name(EN)],0),18)</f>
        <v>#N/A</v>
      </c>
      <c r="AG128" s="115" t="str">
        <f>IF(K128="Yes",AF128*Tab_Data_Flows[[#This Row],[Flow_Py]],"N.A.")</f>
        <v>N.A.</v>
      </c>
      <c r="AH128" s="61" t="str">
        <f>Tab_Data_Flows[[#This Row],[UoM_Flow_Py]]</f>
        <v>Mg</v>
      </c>
      <c r="AI128" s="114" t="e">
        <f>INDEX(Tab_Def_Flows[[Flow_ID]:[CC_DM_source]],MATCH(Tab_Data_Flows[[#This Row],[Name(EN)]],Tab_Def_Flows[Name(EN)],0),20)</f>
        <v>#N/A</v>
      </c>
      <c r="AJ128" s="115" t="str">
        <f>IF(L128="Yes",AI128*Tab_Data_Flows[[#This Row],[Flow_Py]],"N.A.")</f>
        <v>N.A.</v>
      </c>
      <c r="AK128" s="61" t="str">
        <f>Tab_Data_Flows[[#This Row],[UoM_Flow_Py]]</f>
        <v>Mg</v>
      </c>
    </row>
    <row r="129" spans="1:37" x14ac:dyDescent="0.35">
      <c r="A129" s="60">
        <f t="shared" si="4"/>
        <v>128</v>
      </c>
      <c r="B129" s="49" t="str">
        <f>_xlfn.XLOOKUP(C129,Tab_Def_Flows[Name(EN)],Tab_Def_Flows[Flow_ID],,0,)</f>
        <v>F_21_21</v>
      </c>
      <c r="C129" s="51"/>
      <c r="D129" s="49">
        <f>_xlfn.XLOOKUP(C129,Tab_Def_Flows[Name(EN)],Tab_Def_Flows[Type_Biomass],,0,)</f>
        <v>0</v>
      </c>
      <c r="E129" s="49">
        <f>_xlfn.XLOOKUP(C129,Tab_Def_Flows[Name(EN)],Tab_Def_Flows[Output_Process],,0,)</f>
        <v>0</v>
      </c>
      <c r="F129" s="49" t="str">
        <f>_xlfn.XLOOKUP(C129,Tab_Def_Flows[Name(EN)],Tab_Def_Flows[Process_ID_O],,0,)</f>
        <v>21__</v>
      </c>
      <c r="G129" s="49">
        <f>_xlfn.XLOOKUP(C129,Tab_Def_Flows[Name(EN)],Tab_Def_Flows[Input_Process],,0,)</f>
        <v>0</v>
      </c>
      <c r="H129" s="61" t="str">
        <f>_xlfn.XLOOKUP(C129,Tab_Def_Flows[Name(EN)],Tab_Def_Flows[Process_ID_I],,0,)</f>
        <v>21__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88"/>
      <c r="P129" s="51"/>
      <c r="Q129" s="51"/>
      <c r="R129" s="51"/>
      <c r="S129" s="69"/>
      <c r="T129" s="51"/>
      <c r="U129" s="51"/>
      <c r="V129" s="51"/>
      <c r="W129" s="51"/>
      <c r="X129" s="51"/>
      <c r="Y129" s="109"/>
      <c r="Z129" s="51"/>
      <c r="AA129" s="89">
        <f t="shared" si="5"/>
        <v>0</v>
      </c>
      <c r="AB129" s="51" t="s">
        <v>63</v>
      </c>
      <c r="AC129" s="114" t="e">
        <f>INDEX(Tab_Def_Flows[[Flow_ID]:[CC_DM_source]],MATCH(Tab_Data_Flows[[#This Row],[Name(EN)]],Tab_Def_Flows[Name(EN)],0),16)</f>
        <v>#N/A</v>
      </c>
      <c r="AD129" s="115" t="str">
        <f>IF(J129="Yes",AA129*Tab_Data_Flows[[#This Row],[WC_'[%']]],"N.A.")</f>
        <v>N.A.</v>
      </c>
      <c r="AE129" s="61" t="str">
        <f>Tab_Data_Flows[[#This Row],[UoM_Flow_Py]]</f>
        <v>Mg</v>
      </c>
      <c r="AF129" s="114" t="e">
        <f>INDEX(Tab_Def_Flows[[Flow_ID]:[CC_DM_source]],MATCH(Tab_Data_Flows[[#This Row],[Name(EN)]],Tab_Def_Flows[Name(EN)],0),18)</f>
        <v>#N/A</v>
      </c>
      <c r="AG129" s="115" t="str">
        <f>IF(K129="Yes",AF129*Tab_Data_Flows[[#This Row],[Flow_Py]],"N.A.")</f>
        <v>N.A.</v>
      </c>
      <c r="AH129" s="61" t="str">
        <f>Tab_Data_Flows[[#This Row],[UoM_Flow_Py]]</f>
        <v>Mg</v>
      </c>
      <c r="AI129" s="114" t="e">
        <f>INDEX(Tab_Def_Flows[[Flow_ID]:[CC_DM_source]],MATCH(Tab_Data_Flows[[#This Row],[Name(EN)]],Tab_Def_Flows[Name(EN)],0),20)</f>
        <v>#N/A</v>
      </c>
      <c r="AJ129" s="115" t="str">
        <f>IF(L129="Yes",AI129*Tab_Data_Flows[[#This Row],[Flow_Py]],"N.A.")</f>
        <v>N.A.</v>
      </c>
      <c r="AK129" s="61" t="str">
        <f>Tab_Data_Flows[[#This Row],[UoM_Flow_Py]]</f>
        <v>Mg</v>
      </c>
    </row>
    <row r="130" spans="1:37" x14ac:dyDescent="0.35">
      <c r="A130" s="60">
        <f t="shared" si="4"/>
        <v>129</v>
      </c>
      <c r="B130" s="49" t="str">
        <f>_xlfn.XLOOKUP(C130,Tab_Def_Flows[Name(EN)],Tab_Def_Flows[Flow_ID],,0,)</f>
        <v>F_21_21</v>
      </c>
      <c r="C130" s="51"/>
      <c r="D130" s="49">
        <f>_xlfn.XLOOKUP(C130,Tab_Def_Flows[Name(EN)],Tab_Def_Flows[Type_Biomass],,0,)</f>
        <v>0</v>
      </c>
      <c r="E130" s="49">
        <f>_xlfn.XLOOKUP(C130,Tab_Def_Flows[Name(EN)],Tab_Def_Flows[Output_Process],,0,)</f>
        <v>0</v>
      </c>
      <c r="F130" s="49" t="str">
        <f>_xlfn.XLOOKUP(C130,Tab_Def_Flows[Name(EN)],Tab_Def_Flows[Process_ID_O],,0,)</f>
        <v>21__</v>
      </c>
      <c r="G130" s="49">
        <f>_xlfn.XLOOKUP(C130,Tab_Def_Flows[Name(EN)],Tab_Def_Flows[Input_Process],,0,)</f>
        <v>0</v>
      </c>
      <c r="H130" s="61" t="str">
        <f>_xlfn.XLOOKUP(C130,Tab_Def_Flows[Name(EN)],Tab_Def_Flows[Process_ID_I],,0,)</f>
        <v>21__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88"/>
      <c r="P130" s="51"/>
      <c r="Q130" s="51"/>
      <c r="R130" s="51"/>
      <c r="S130" s="69"/>
      <c r="T130" s="51"/>
      <c r="U130" s="51"/>
      <c r="V130" s="51"/>
      <c r="W130" s="51"/>
      <c r="X130" s="51"/>
      <c r="Y130" s="109"/>
      <c r="Z130" s="51"/>
      <c r="AA130" s="89">
        <f t="shared" si="5"/>
        <v>0</v>
      </c>
      <c r="AB130" s="51" t="s">
        <v>63</v>
      </c>
      <c r="AC130" s="114" t="e">
        <f>INDEX(Tab_Def_Flows[[Flow_ID]:[CC_DM_source]],MATCH(Tab_Data_Flows[[#This Row],[Name(EN)]],Tab_Def_Flows[Name(EN)],0),16)</f>
        <v>#N/A</v>
      </c>
      <c r="AD130" s="115" t="str">
        <f>IF(J130="Yes",AA130*Tab_Data_Flows[[#This Row],[WC_'[%']]],"N.A.")</f>
        <v>N.A.</v>
      </c>
      <c r="AE130" s="61" t="str">
        <f>Tab_Data_Flows[[#This Row],[UoM_Flow_Py]]</f>
        <v>Mg</v>
      </c>
      <c r="AF130" s="114" t="e">
        <f>INDEX(Tab_Def_Flows[[Flow_ID]:[CC_DM_source]],MATCH(Tab_Data_Flows[[#This Row],[Name(EN)]],Tab_Def_Flows[Name(EN)],0),18)</f>
        <v>#N/A</v>
      </c>
      <c r="AG130" s="115" t="str">
        <f>IF(K130="Yes",AF130*Tab_Data_Flows[[#This Row],[Flow_Py]],"N.A.")</f>
        <v>N.A.</v>
      </c>
      <c r="AH130" s="61" t="str">
        <f>Tab_Data_Flows[[#This Row],[UoM_Flow_Py]]</f>
        <v>Mg</v>
      </c>
      <c r="AI130" s="114" t="e">
        <f>INDEX(Tab_Def_Flows[[Flow_ID]:[CC_DM_source]],MATCH(Tab_Data_Flows[[#This Row],[Name(EN)]],Tab_Def_Flows[Name(EN)],0),20)</f>
        <v>#N/A</v>
      </c>
      <c r="AJ130" s="115" t="str">
        <f>IF(L130="Yes",AI130*Tab_Data_Flows[[#This Row],[Flow_Py]],"N.A.")</f>
        <v>N.A.</v>
      </c>
      <c r="AK130" s="61" t="str">
        <f>Tab_Data_Flows[[#This Row],[UoM_Flow_Py]]</f>
        <v>Mg</v>
      </c>
    </row>
    <row r="131" spans="1:37" x14ac:dyDescent="0.35">
      <c r="A131" s="60">
        <f t="shared" si="4"/>
        <v>130</v>
      </c>
      <c r="B131" s="49" t="str">
        <f>_xlfn.XLOOKUP(C131,Tab_Def_Flows[Name(EN)],Tab_Def_Flows[Flow_ID],,0,)</f>
        <v>F_21_21</v>
      </c>
      <c r="C131" s="51"/>
      <c r="D131" s="49">
        <f>_xlfn.XLOOKUP(C131,Tab_Def_Flows[Name(EN)],Tab_Def_Flows[Type_Biomass],,0,)</f>
        <v>0</v>
      </c>
      <c r="E131" s="49">
        <f>_xlfn.XLOOKUP(C131,Tab_Def_Flows[Name(EN)],Tab_Def_Flows[Output_Process],,0,)</f>
        <v>0</v>
      </c>
      <c r="F131" s="49" t="str">
        <f>_xlfn.XLOOKUP(C131,Tab_Def_Flows[Name(EN)],Tab_Def_Flows[Process_ID_O],,0,)</f>
        <v>21__</v>
      </c>
      <c r="G131" s="49">
        <f>_xlfn.XLOOKUP(C131,Tab_Def_Flows[Name(EN)],Tab_Def_Flows[Input_Process],,0,)</f>
        <v>0</v>
      </c>
      <c r="H131" s="61" t="str">
        <f>_xlfn.XLOOKUP(C131,Tab_Def_Flows[Name(EN)],Tab_Def_Flows[Process_ID_I],,0,)</f>
        <v>21__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88"/>
      <c r="P131" s="51"/>
      <c r="Q131" s="51"/>
      <c r="R131" s="51"/>
      <c r="S131" s="69"/>
      <c r="T131" s="51"/>
      <c r="U131" s="51"/>
      <c r="V131" s="51"/>
      <c r="W131" s="51"/>
      <c r="X131" s="51"/>
      <c r="Y131" s="109"/>
      <c r="Z131" s="51"/>
      <c r="AA131" s="89">
        <f t="shared" si="5"/>
        <v>0</v>
      </c>
      <c r="AB131" s="51" t="s">
        <v>63</v>
      </c>
      <c r="AC131" s="114" t="e">
        <f>INDEX(Tab_Def_Flows[[Flow_ID]:[CC_DM_source]],MATCH(Tab_Data_Flows[[#This Row],[Name(EN)]],Tab_Def_Flows[Name(EN)],0),16)</f>
        <v>#N/A</v>
      </c>
      <c r="AD131" s="115" t="str">
        <f>IF(J131="Yes",AA131*Tab_Data_Flows[[#This Row],[WC_'[%']]],"N.A.")</f>
        <v>N.A.</v>
      </c>
      <c r="AE131" s="61" t="str">
        <f>Tab_Data_Flows[[#This Row],[UoM_Flow_Py]]</f>
        <v>Mg</v>
      </c>
      <c r="AF131" s="114" t="e">
        <f>INDEX(Tab_Def_Flows[[Flow_ID]:[CC_DM_source]],MATCH(Tab_Data_Flows[[#This Row],[Name(EN)]],Tab_Def_Flows[Name(EN)],0),18)</f>
        <v>#N/A</v>
      </c>
      <c r="AG131" s="115" t="str">
        <f>IF(K131="Yes",AF131*Tab_Data_Flows[[#This Row],[Flow_Py]],"N.A.")</f>
        <v>N.A.</v>
      </c>
      <c r="AH131" s="61" t="str">
        <f>Tab_Data_Flows[[#This Row],[UoM_Flow_Py]]</f>
        <v>Mg</v>
      </c>
      <c r="AI131" s="114" t="e">
        <f>INDEX(Tab_Def_Flows[[Flow_ID]:[CC_DM_source]],MATCH(Tab_Data_Flows[[#This Row],[Name(EN)]],Tab_Def_Flows[Name(EN)],0),20)</f>
        <v>#N/A</v>
      </c>
      <c r="AJ131" s="115" t="str">
        <f>IF(L131="Yes",AI131*Tab_Data_Flows[[#This Row],[Flow_Py]],"N.A.")</f>
        <v>N.A.</v>
      </c>
      <c r="AK131" s="61" t="str">
        <f>Tab_Data_Flows[[#This Row],[UoM_Flow_Py]]</f>
        <v>Mg</v>
      </c>
    </row>
    <row r="132" spans="1:37" x14ac:dyDescent="0.35">
      <c r="A132" s="60">
        <f t="shared" si="4"/>
        <v>131</v>
      </c>
      <c r="B132" s="49" t="str">
        <f>_xlfn.XLOOKUP(C132,Tab_Def_Flows[Name(EN)],Tab_Def_Flows[Flow_ID],,0,)</f>
        <v>F_21_21</v>
      </c>
      <c r="C132" s="51"/>
      <c r="D132" s="49">
        <f>_xlfn.XLOOKUP(C132,Tab_Def_Flows[Name(EN)],Tab_Def_Flows[Type_Biomass],,0,)</f>
        <v>0</v>
      </c>
      <c r="E132" s="49">
        <f>_xlfn.XLOOKUP(C132,Tab_Def_Flows[Name(EN)],Tab_Def_Flows[Output_Process],,0,)</f>
        <v>0</v>
      </c>
      <c r="F132" s="49" t="str">
        <f>_xlfn.XLOOKUP(C132,Tab_Def_Flows[Name(EN)],Tab_Def_Flows[Process_ID_O],,0,)</f>
        <v>21__</v>
      </c>
      <c r="G132" s="49">
        <f>_xlfn.XLOOKUP(C132,Tab_Def_Flows[Name(EN)],Tab_Def_Flows[Input_Process],,0,)</f>
        <v>0</v>
      </c>
      <c r="H132" s="61" t="str">
        <f>_xlfn.XLOOKUP(C132,Tab_Def_Flows[Name(EN)],Tab_Def_Flows[Process_ID_I],,0,)</f>
        <v>21__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88"/>
      <c r="P132" s="51"/>
      <c r="Q132" s="51"/>
      <c r="R132" s="51"/>
      <c r="S132" s="69"/>
      <c r="T132" s="51"/>
      <c r="U132" s="51"/>
      <c r="V132" s="51"/>
      <c r="W132" s="51"/>
      <c r="X132" s="51"/>
      <c r="Y132" s="109"/>
      <c r="Z132" s="51"/>
      <c r="AA132" s="89">
        <f t="shared" si="5"/>
        <v>0</v>
      </c>
      <c r="AB132" s="51" t="s">
        <v>63</v>
      </c>
      <c r="AC132" s="114" t="e">
        <f>INDEX(Tab_Def_Flows[[Flow_ID]:[CC_DM_source]],MATCH(Tab_Data_Flows[[#This Row],[Name(EN)]],Tab_Def_Flows[Name(EN)],0),16)</f>
        <v>#N/A</v>
      </c>
      <c r="AD132" s="115" t="str">
        <f>IF(J132="Yes",AA132*Tab_Data_Flows[[#This Row],[WC_'[%']]],"N.A.")</f>
        <v>N.A.</v>
      </c>
      <c r="AE132" s="61" t="str">
        <f>Tab_Data_Flows[[#This Row],[UoM_Flow_Py]]</f>
        <v>Mg</v>
      </c>
      <c r="AF132" s="114" t="e">
        <f>INDEX(Tab_Def_Flows[[Flow_ID]:[CC_DM_source]],MATCH(Tab_Data_Flows[[#This Row],[Name(EN)]],Tab_Def_Flows[Name(EN)],0),18)</f>
        <v>#N/A</v>
      </c>
      <c r="AG132" s="115" t="str">
        <f>IF(K132="Yes",AF132*Tab_Data_Flows[[#This Row],[Flow_Py]],"N.A.")</f>
        <v>N.A.</v>
      </c>
      <c r="AH132" s="61" t="str">
        <f>Tab_Data_Flows[[#This Row],[UoM_Flow_Py]]</f>
        <v>Mg</v>
      </c>
      <c r="AI132" s="114" t="e">
        <f>INDEX(Tab_Def_Flows[[Flow_ID]:[CC_DM_source]],MATCH(Tab_Data_Flows[[#This Row],[Name(EN)]],Tab_Def_Flows[Name(EN)],0),20)</f>
        <v>#N/A</v>
      </c>
      <c r="AJ132" s="115" t="str">
        <f>IF(L132="Yes",AI132*Tab_Data_Flows[[#This Row],[Flow_Py]],"N.A.")</f>
        <v>N.A.</v>
      </c>
      <c r="AK132" s="61" t="str">
        <f>Tab_Data_Flows[[#This Row],[UoM_Flow_Py]]</f>
        <v>Mg</v>
      </c>
    </row>
    <row r="133" spans="1:37" x14ac:dyDescent="0.35">
      <c r="A133" s="60">
        <f t="shared" si="4"/>
        <v>132</v>
      </c>
      <c r="B133" s="49" t="str">
        <f>_xlfn.XLOOKUP(C133,Tab_Def_Flows[Name(EN)],Tab_Def_Flows[Flow_ID],,0,)</f>
        <v>F_21_21</v>
      </c>
      <c r="C133" s="51"/>
      <c r="D133" s="49">
        <f>_xlfn.XLOOKUP(C133,Tab_Def_Flows[Name(EN)],Tab_Def_Flows[Type_Biomass],,0,)</f>
        <v>0</v>
      </c>
      <c r="E133" s="49">
        <f>_xlfn.XLOOKUP(C133,Tab_Def_Flows[Name(EN)],Tab_Def_Flows[Output_Process],,0,)</f>
        <v>0</v>
      </c>
      <c r="F133" s="49" t="str">
        <f>_xlfn.XLOOKUP(C133,Tab_Def_Flows[Name(EN)],Tab_Def_Flows[Process_ID_O],,0,)</f>
        <v>21__</v>
      </c>
      <c r="G133" s="49">
        <f>_xlfn.XLOOKUP(C133,Tab_Def_Flows[Name(EN)],Tab_Def_Flows[Input_Process],,0,)</f>
        <v>0</v>
      </c>
      <c r="H133" s="61" t="str">
        <f>_xlfn.XLOOKUP(C133,Tab_Def_Flows[Name(EN)],Tab_Def_Flows[Process_ID_I],,0,)</f>
        <v>21__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88"/>
      <c r="P133" s="51"/>
      <c r="Q133" s="51"/>
      <c r="R133" s="51"/>
      <c r="S133" s="69"/>
      <c r="T133" s="51"/>
      <c r="U133" s="51"/>
      <c r="V133" s="51"/>
      <c r="W133" s="51"/>
      <c r="X133" s="51"/>
      <c r="Y133" s="109"/>
      <c r="Z133" s="51"/>
      <c r="AA133" s="89">
        <f t="shared" si="5"/>
        <v>0</v>
      </c>
      <c r="AB133" s="51" t="s">
        <v>63</v>
      </c>
      <c r="AC133" s="114" t="e">
        <f>INDEX(Tab_Def_Flows[[Flow_ID]:[CC_DM_source]],MATCH(Tab_Data_Flows[[#This Row],[Name(EN)]],Tab_Def_Flows[Name(EN)],0),16)</f>
        <v>#N/A</v>
      </c>
      <c r="AD133" s="115" t="str">
        <f>IF(J133="Yes",AA133*Tab_Data_Flows[[#This Row],[WC_'[%']]],"N.A.")</f>
        <v>N.A.</v>
      </c>
      <c r="AE133" s="61" t="str">
        <f>Tab_Data_Flows[[#This Row],[UoM_Flow_Py]]</f>
        <v>Mg</v>
      </c>
      <c r="AF133" s="114" t="e">
        <f>INDEX(Tab_Def_Flows[[Flow_ID]:[CC_DM_source]],MATCH(Tab_Data_Flows[[#This Row],[Name(EN)]],Tab_Def_Flows[Name(EN)],0),18)</f>
        <v>#N/A</v>
      </c>
      <c r="AG133" s="115" t="str">
        <f>IF(K133="Yes",AF133*Tab_Data_Flows[[#This Row],[Flow_Py]],"N.A.")</f>
        <v>N.A.</v>
      </c>
      <c r="AH133" s="61" t="str">
        <f>Tab_Data_Flows[[#This Row],[UoM_Flow_Py]]</f>
        <v>Mg</v>
      </c>
      <c r="AI133" s="114" t="e">
        <f>INDEX(Tab_Def_Flows[[Flow_ID]:[CC_DM_source]],MATCH(Tab_Data_Flows[[#This Row],[Name(EN)]],Tab_Def_Flows[Name(EN)],0),20)</f>
        <v>#N/A</v>
      </c>
      <c r="AJ133" s="115" t="str">
        <f>IF(L133="Yes",AI133*Tab_Data_Flows[[#This Row],[Flow_Py]],"N.A.")</f>
        <v>N.A.</v>
      </c>
      <c r="AK133" s="61" t="str">
        <f>Tab_Data_Flows[[#This Row],[UoM_Flow_Py]]</f>
        <v>Mg</v>
      </c>
    </row>
    <row r="134" spans="1:37" x14ac:dyDescent="0.35">
      <c r="A134" s="60">
        <f t="shared" si="4"/>
        <v>133</v>
      </c>
      <c r="B134" s="49" t="str">
        <f>_xlfn.XLOOKUP(C134,Tab_Def_Flows[Name(EN)],Tab_Def_Flows[Flow_ID],,0,)</f>
        <v>F_21_21</v>
      </c>
      <c r="C134" s="51"/>
      <c r="D134" s="49">
        <f>_xlfn.XLOOKUP(C134,Tab_Def_Flows[Name(EN)],Tab_Def_Flows[Type_Biomass],,0,)</f>
        <v>0</v>
      </c>
      <c r="E134" s="49">
        <f>_xlfn.XLOOKUP(C134,Tab_Def_Flows[Name(EN)],Tab_Def_Flows[Output_Process],,0,)</f>
        <v>0</v>
      </c>
      <c r="F134" s="49" t="str">
        <f>_xlfn.XLOOKUP(C134,Tab_Def_Flows[Name(EN)],Tab_Def_Flows[Process_ID_O],,0,)</f>
        <v>21__</v>
      </c>
      <c r="G134" s="49">
        <f>_xlfn.XLOOKUP(C134,Tab_Def_Flows[Name(EN)],Tab_Def_Flows[Input_Process],,0,)</f>
        <v>0</v>
      </c>
      <c r="H134" s="61" t="str">
        <f>_xlfn.XLOOKUP(C134,Tab_Def_Flows[Name(EN)],Tab_Def_Flows[Process_ID_I],,0,)</f>
        <v>21__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88"/>
      <c r="P134" s="51"/>
      <c r="Q134" s="51"/>
      <c r="R134" s="51"/>
      <c r="S134" s="69"/>
      <c r="T134" s="51"/>
      <c r="U134" s="51"/>
      <c r="V134" s="51"/>
      <c r="W134" s="51"/>
      <c r="X134" s="51"/>
      <c r="Y134" s="109"/>
      <c r="Z134" s="51"/>
      <c r="AA134" s="89">
        <f t="shared" si="5"/>
        <v>0</v>
      </c>
      <c r="AB134" s="51" t="s">
        <v>63</v>
      </c>
      <c r="AC134" s="114" t="e">
        <f>INDEX(Tab_Def_Flows[[Flow_ID]:[CC_DM_source]],MATCH(Tab_Data_Flows[[#This Row],[Name(EN)]],Tab_Def_Flows[Name(EN)],0),16)</f>
        <v>#N/A</v>
      </c>
      <c r="AD134" s="115" t="str">
        <f>IF(J134="Yes",AA134*Tab_Data_Flows[[#This Row],[WC_'[%']]],"N.A.")</f>
        <v>N.A.</v>
      </c>
      <c r="AE134" s="61" t="str">
        <f>Tab_Data_Flows[[#This Row],[UoM_Flow_Py]]</f>
        <v>Mg</v>
      </c>
      <c r="AF134" s="114" t="e">
        <f>INDEX(Tab_Def_Flows[[Flow_ID]:[CC_DM_source]],MATCH(Tab_Data_Flows[[#This Row],[Name(EN)]],Tab_Def_Flows[Name(EN)],0),18)</f>
        <v>#N/A</v>
      </c>
      <c r="AG134" s="115" t="str">
        <f>IF(K134="Yes",AF134*Tab_Data_Flows[[#This Row],[Flow_Py]],"N.A.")</f>
        <v>N.A.</v>
      </c>
      <c r="AH134" s="61" t="str">
        <f>Tab_Data_Flows[[#This Row],[UoM_Flow_Py]]</f>
        <v>Mg</v>
      </c>
      <c r="AI134" s="114" t="e">
        <f>INDEX(Tab_Def_Flows[[Flow_ID]:[CC_DM_source]],MATCH(Tab_Data_Flows[[#This Row],[Name(EN)]],Tab_Def_Flows[Name(EN)],0),20)</f>
        <v>#N/A</v>
      </c>
      <c r="AJ134" s="115" t="str">
        <f>IF(L134="Yes",AI134*Tab_Data_Flows[[#This Row],[Flow_Py]],"N.A.")</f>
        <v>N.A.</v>
      </c>
      <c r="AK134" s="61" t="str">
        <f>Tab_Data_Flows[[#This Row],[UoM_Flow_Py]]</f>
        <v>Mg</v>
      </c>
    </row>
    <row r="135" spans="1:37" x14ac:dyDescent="0.35">
      <c r="A135" s="60">
        <f t="shared" si="4"/>
        <v>134</v>
      </c>
      <c r="B135" s="49" t="str">
        <f>_xlfn.XLOOKUP(C135,Tab_Def_Flows[Name(EN)],Tab_Def_Flows[Flow_ID],,0,)</f>
        <v>F_21_21</v>
      </c>
      <c r="C135" s="51"/>
      <c r="D135" s="49">
        <f>_xlfn.XLOOKUP(C135,Tab_Def_Flows[Name(EN)],Tab_Def_Flows[Type_Biomass],,0,)</f>
        <v>0</v>
      </c>
      <c r="E135" s="49">
        <f>_xlfn.XLOOKUP(C135,Tab_Def_Flows[Name(EN)],Tab_Def_Flows[Output_Process],,0,)</f>
        <v>0</v>
      </c>
      <c r="F135" s="49" t="str">
        <f>_xlfn.XLOOKUP(C135,Tab_Def_Flows[Name(EN)],Tab_Def_Flows[Process_ID_O],,0,)</f>
        <v>21__</v>
      </c>
      <c r="G135" s="49">
        <f>_xlfn.XLOOKUP(C135,Tab_Def_Flows[Name(EN)],Tab_Def_Flows[Input_Process],,0,)</f>
        <v>0</v>
      </c>
      <c r="H135" s="61" t="str">
        <f>_xlfn.XLOOKUP(C135,Tab_Def_Flows[Name(EN)],Tab_Def_Flows[Process_ID_I],,0,)</f>
        <v>21__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88"/>
      <c r="P135" s="51"/>
      <c r="Q135" s="51"/>
      <c r="R135" s="51"/>
      <c r="S135" s="69"/>
      <c r="T135" s="51"/>
      <c r="U135" s="51"/>
      <c r="V135" s="51"/>
      <c r="W135" s="51"/>
      <c r="X135" s="51"/>
      <c r="Y135" s="109"/>
      <c r="Z135" s="51"/>
      <c r="AA135" s="89">
        <f t="shared" si="5"/>
        <v>0</v>
      </c>
      <c r="AB135" s="51" t="s">
        <v>63</v>
      </c>
      <c r="AC135" s="114" t="e">
        <f>INDEX(Tab_Def_Flows[[Flow_ID]:[CC_DM_source]],MATCH(Tab_Data_Flows[[#This Row],[Name(EN)]],Tab_Def_Flows[Name(EN)],0),16)</f>
        <v>#N/A</v>
      </c>
      <c r="AD135" s="115" t="str">
        <f>IF(J135="Yes",AA135*Tab_Data_Flows[[#This Row],[WC_'[%']]],"N.A.")</f>
        <v>N.A.</v>
      </c>
      <c r="AE135" s="61" t="str">
        <f>Tab_Data_Flows[[#This Row],[UoM_Flow_Py]]</f>
        <v>Mg</v>
      </c>
      <c r="AF135" s="114" t="e">
        <f>INDEX(Tab_Def_Flows[[Flow_ID]:[CC_DM_source]],MATCH(Tab_Data_Flows[[#This Row],[Name(EN)]],Tab_Def_Flows[Name(EN)],0),18)</f>
        <v>#N/A</v>
      </c>
      <c r="AG135" s="115" t="str">
        <f>IF(K135="Yes",AF135*Tab_Data_Flows[[#This Row],[Flow_Py]],"N.A.")</f>
        <v>N.A.</v>
      </c>
      <c r="AH135" s="61" t="str">
        <f>Tab_Data_Flows[[#This Row],[UoM_Flow_Py]]</f>
        <v>Mg</v>
      </c>
      <c r="AI135" s="114" t="e">
        <f>INDEX(Tab_Def_Flows[[Flow_ID]:[CC_DM_source]],MATCH(Tab_Data_Flows[[#This Row],[Name(EN)]],Tab_Def_Flows[Name(EN)],0),20)</f>
        <v>#N/A</v>
      </c>
      <c r="AJ135" s="115" t="str">
        <f>IF(L135="Yes",AI135*Tab_Data_Flows[[#This Row],[Flow_Py]],"N.A.")</f>
        <v>N.A.</v>
      </c>
      <c r="AK135" s="61" t="str">
        <f>Tab_Data_Flows[[#This Row],[UoM_Flow_Py]]</f>
        <v>Mg</v>
      </c>
    </row>
    <row r="136" spans="1:37" x14ac:dyDescent="0.35">
      <c r="A136" s="60">
        <f t="shared" si="4"/>
        <v>135</v>
      </c>
      <c r="B136" s="49" t="str">
        <f>_xlfn.XLOOKUP(C136,Tab_Def_Flows[Name(EN)],Tab_Def_Flows[Flow_ID],,0,)</f>
        <v>F_21_21</v>
      </c>
      <c r="C136" s="51"/>
      <c r="D136" s="49">
        <f>_xlfn.XLOOKUP(C136,Tab_Def_Flows[Name(EN)],Tab_Def_Flows[Type_Biomass],,0,)</f>
        <v>0</v>
      </c>
      <c r="E136" s="49">
        <f>_xlfn.XLOOKUP(C136,Tab_Def_Flows[Name(EN)],Tab_Def_Flows[Output_Process],,0,)</f>
        <v>0</v>
      </c>
      <c r="F136" s="49" t="str">
        <f>_xlfn.XLOOKUP(C136,Tab_Def_Flows[Name(EN)],Tab_Def_Flows[Process_ID_O],,0,)</f>
        <v>21__</v>
      </c>
      <c r="G136" s="49">
        <f>_xlfn.XLOOKUP(C136,Tab_Def_Flows[Name(EN)],Tab_Def_Flows[Input_Process],,0,)</f>
        <v>0</v>
      </c>
      <c r="H136" s="61" t="str">
        <f>_xlfn.XLOOKUP(C136,Tab_Def_Flows[Name(EN)],Tab_Def_Flows[Process_ID_I],,0,)</f>
        <v>21__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88"/>
      <c r="P136" s="51"/>
      <c r="Q136" s="51"/>
      <c r="R136" s="51"/>
      <c r="S136" s="69"/>
      <c r="T136" s="51"/>
      <c r="U136" s="51"/>
      <c r="V136" s="51"/>
      <c r="W136" s="51"/>
      <c r="X136" s="51"/>
      <c r="Y136" s="109"/>
      <c r="Z136" s="51"/>
      <c r="AA136" s="89">
        <f t="shared" si="5"/>
        <v>0</v>
      </c>
      <c r="AB136" s="51" t="s">
        <v>63</v>
      </c>
      <c r="AC136" s="114" t="e">
        <f>INDEX(Tab_Def_Flows[[Flow_ID]:[CC_DM_source]],MATCH(Tab_Data_Flows[[#This Row],[Name(EN)]],Tab_Def_Flows[Name(EN)],0),16)</f>
        <v>#N/A</v>
      </c>
      <c r="AD136" s="115" t="str">
        <f>IF(J136="Yes",AA136*Tab_Data_Flows[[#This Row],[WC_'[%']]],"N.A.")</f>
        <v>N.A.</v>
      </c>
      <c r="AE136" s="61" t="str">
        <f>Tab_Data_Flows[[#This Row],[UoM_Flow_Py]]</f>
        <v>Mg</v>
      </c>
      <c r="AF136" s="114" t="e">
        <f>INDEX(Tab_Def_Flows[[Flow_ID]:[CC_DM_source]],MATCH(Tab_Data_Flows[[#This Row],[Name(EN)]],Tab_Def_Flows[Name(EN)],0),18)</f>
        <v>#N/A</v>
      </c>
      <c r="AG136" s="115" t="str">
        <f>IF(K136="Yes",AF136*Tab_Data_Flows[[#This Row],[Flow_Py]],"N.A.")</f>
        <v>N.A.</v>
      </c>
      <c r="AH136" s="61" t="str">
        <f>Tab_Data_Flows[[#This Row],[UoM_Flow_Py]]</f>
        <v>Mg</v>
      </c>
      <c r="AI136" s="114" t="e">
        <f>INDEX(Tab_Def_Flows[[Flow_ID]:[CC_DM_source]],MATCH(Tab_Data_Flows[[#This Row],[Name(EN)]],Tab_Def_Flows[Name(EN)],0),20)</f>
        <v>#N/A</v>
      </c>
      <c r="AJ136" s="115" t="str">
        <f>IF(L136="Yes",AI136*Tab_Data_Flows[[#This Row],[Flow_Py]],"N.A.")</f>
        <v>N.A.</v>
      </c>
      <c r="AK136" s="61" t="str">
        <f>Tab_Data_Flows[[#This Row],[UoM_Flow_Py]]</f>
        <v>Mg</v>
      </c>
    </row>
    <row r="137" spans="1:37" x14ac:dyDescent="0.35">
      <c r="A137" s="60">
        <f t="shared" si="4"/>
        <v>136</v>
      </c>
      <c r="B137" s="49" t="str">
        <f>_xlfn.XLOOKUP(C137,Tab_Def_Flows[Name(EN)],Tab_Def_Flows[Flow_ID],,0,)</f>
        <v>F_21_21</v>
      </c>
      <c r="C137" s="51"/>
      <c r="D137" s="49">
        <f>_xlfn.XLOOKUP(C137,Tab_Def_Flows[Name(EN)],Tab_Def_Flows[Type_Biomass],,0,)</f>
        <v>0</v>
      </c>
      <c r="E137" s="49">
        <f>_xlfn.XLOOKUP(C137,Tab_Def_Flows[Name(EN)],Tab_Def_Flows[Output_Process],,0,)</f>
        <v>0</v>
      </c>
      <c r="F137" s="49" t="str">
        <f>_xlfn.XLOOKUP(C137,Tab_Def_Flows[Name(EN)],Tab_Def_Flows[Process_ID_O],,0,)</f>
        <v>21__</v>
      </c>
      <c r="G137" s="49">
        <f>_xlfn.XLOOKUP(C137,Tab_Def_Flows[Name(EN)],Tab_Def_Flows[Input_Process],,0,)</f>
        <v>0</v>
      </c>
      <c r="H137" s="61" t="str">
        <f>_xlfn.XLOOKUP(C137,Tab_Def_Flows[Name(EN)],Tab_Def_Flows[Process_ID_I],,0,)</f>
        <v>21__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88"/>
      <c r="P137" s="51"/>
      <c r="Q137" s="51"/>
      <c r="R137" s="51"/>
      <c r="S137" s="69"/>
      <c r="T137" s="51"/>
      <c r="U137" s="51"/>
      <c r="V137" s="51"/>
      <c r="W137" s="51"/>
      <c r="X137" s="51"/>
      <c r="Y137" s="109"/>
      <c r="Z137" s="51"/>
      <c r="AA137" s="89">
        <f t="shared" si="5"/>
        <v>0</v>
      </c>
      <c r="AB137" s="51" t="s">
        <v>63</v>
      </c>
      <c r="AC137" s="114" t="e">
        <f>INDEX(Tab_Def_Flows[[Flow_ID]:[CC_DM_source]],MATCH(Tab_Data_Flows[[#This Row],[Name(EN)]],Tab_Def_Flows[Name(EN)],0),16)</f>
        <v>#N/A</v>
      </c>
      <c r="AD137" s="115" t="str">
        <f>IF(J137="Yes",AA137*Tab_Data_Flows[[#This Row],[WC_'[%']]],"N.A.")</f>
        <v>N.A.</v>
      </c>
      <c r="AE137" s="61" t="str">
        <f>Tab_Data_Flows[[#This Row],[UoM_Flow_Py]]</f>
        <v>Mg</v>
      </c>
      <c r="AF137" s="114" t="e">
        <f>INDEX(Tab_Def_Flows[[Flow_ID]:[CC_DM_source]],MATCH(Tab_Data_Flows[[#This Row],[Name(EN)]],Tab_Def_Flows[Name(EN)],0),18)</f>
        <v>#N/A</v>
      </c>
      <c r="AG137" s="115" t="str">
        <f>IF(K137="Yes",AF137*Tab_Data_Flows[[#This Row],[Flow_Py]],"N.A.")</f>
        <v>N.A.</v>
      </c>
      <c r="AH137" s="61" t="str">
        <f>Tab_Data_Flows[[#This Row],[UoM_Flow_Py]]</f>
        <v>Mg</v>
      </c>
      <c r="AI137" s="114" t="e">
        <f>INDEX(Tab_Def_Flows[[Flow_ID]:[CC_DM_source]],MATCH(Tab_Data_Flows[[#This Row],[Name(EN)]],Tab_Def_Flows[Name(EN)],0),20)</f>
        <v>#N/A</v>
      </c>
      <c r="AJ137" s="115" t="str">
        <f>IF(L137="Yes",AI137*Tab_Data_Flows[[#This Row],[Flow_Py]],"N.A.")</f>
        <v>N.A.</v>
      </c>
      <c r="AK137" s="61" t="str">
        <f>Tab_Data_Flows[[#This Row],[UoM_Flow_Py]]</f>
        <v>Mg</v>
      </c>
    </row>
    <row r="138" spans="1:37" x14ac:dyDescent="0.35">
      <c r="A138" s="60">
        <f t="shared" si="4"/>
        <v>137</v>
      </c>
      <c r="B138" s="49" t="str">
        <f>_xlfn.XLOOKUP(C138,Tab_Def_Flows[Name(EN)],Tab_Def_Flows[Flow_ID],,0,)</f>
        <v>F_21_21</v>
      </c>
      <c r="C138" s="51"/>
      <c r="D138" s="49">
        <f>_xlfn.XLOOKUP(C138,Tab_Def_Flows[Name(EN)],Tab_Def_Flows[Type_Biomass],,0,)</f>
        <v>0</v>
      </c>
      <c r="E138" s="49">
        <f>_xlfn.XLOOKUP(C138,Tab_Def_Flows[Name(EN)],Tab_Def_Flows[Output_Process],,0,)</f>
        <v>0</v>
      </c>
      <c r="F138" s="49" t="str">
        <f>_xlfn.XLOOKUP(C138,Tab_Def_Flows[Name(EN)],Tab_Def_Flows[Process_ID_O],,0,)</f>
        <v>21__</v>
      </c>
      <c r="G138" s="49">
        <f>_xlfn.XLOOKUP(C138,Tab_Def_Flows[Name(EN)],Tab_Def_Flows[Input_Process],,0,)</f>
        <v>0</v>
      </c>
      <c r="H138" s="61" t="str">
        <f>_xlfn.XLOOKUP(C138,Tab_Def_Flows[Name(EN)],Tab_Def_Flows[Process_ID_I],,0,)</f>
        <v>21__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88"/>
      <c r="P138" s="51"/>
      <c r="Q138" s="51"/>
      <c r="R138" s="51"/>
      <c r="S138" s="69"/>
      <c r="T138" s="51"/>
      <c r="U138" s="51"/>
      <c r="V138" s="51"/>
      <c r="W138" s="51"/>
      <c r="X138" s="51"/>
      <c r="Y138" s="109"/>
      <c r="Z138" s="51"/>
      <c r="AA138" s="89">
        <f t="shared" si="5"/>
        <v>0</v>
      </c>
      <c r="AB138" s="51" t="s">
        <v>63</v>
      </c>
      <c r="AC138" s="114" t="e">
        <f>INDEX(Tab_Def_Flows[[Flow_ID]:[CC_DM_source]],MATCH(Tab_Data_Flows[[#This Row],[Name(EN)]],Tab_Def_Flows[Name(EN)],0),16)</f>
        <v>#N/A</v>
      </c>
      <c r="AD138" s="115" t="str">
        <f>IF(J138="Yes",AA138*Tab_Data_Flows[[#This Row],[WC_'[%']]],"N.A.")</f>
        <v>N.A.</v>
      </c>
      <c r="AE138" s="61" t="str">
        <f>Tab_Data_Flows[[#This Row],[UoM_Flow_Py]]</f>
        <v>Mg</v>
      </c>
      <c r="AF138" s="114" t="e">
        <f>INDEX(Tab_Def_Flows[[Flow_ID]:[CC_DM_source]],MATCH(Tab_Data_Flows[[#This Row],[Name(EN)]],Tab_Def_Flows[Name(EN)],0),18)</f>
        <v>#N/A</v>
      </c>
      <c r="AG138" s="115" t="str">
        <f>IF(K138="Yes",AF138*Tab_Data_Flows[[#This Row],[Flow_Py]],"N.A.")</f>
        <v>N.A.</v>
      </c>
      <c r="AH138" s="61" t="str">
        <f>Tab_Data_Flows[[#This Row],[UoM_Flow_Py]]</f>
        <v>Mg</v>
      </c>
      <c r="AI138" s="114" t="e">
        <f>INDEX(Tab_Def_Flows[[Flow_ID]:[CC_DM_source]],MATCH(Tab_Data_Flows[[#This Row],[Name(EN)]],Tab_Def_Flows[Name(EN)],0),20)</f>
        <v>#N/A</v>
      </c>
      <c r="AJ138" s="115" t="str">
        <f>IF(L138="Yes",AI138*Tab_Data_Flows[[#This Row],[Flow_Py]],"N.A.")</f>
        <v>N.A.</v>
      </c>
      <c r="AK138" s="61" t="str">
        <f>Tab_Data_Flows[[#This Row],[UoM_Flow_Py]]</f>
        <v>Mg</v>
      </c>
    </row>
    <row r="139" spans="1:37" x14ac:dyDescent="0.35">
      <c r="A139" s="60">
        <f t="shared" si="4"/>
        <v>138</v>
      </c>
      <c r="B139" s="49" t="str">
        <f>_xlfn.XLOOKUP(C139,Tab_Def_Flows[Name(EN)],Tab_Def_Flows[Flow_ID],,0,)</f>
        <v>F_21_21</v>
      </c>
      <c r="C139" s="51"/>
      <c r="D139" s="49">
        <f>_xlfn.XLOOKUP(C139,Tab_Def_Flows[Name(EN)],Tab_Def_Flows[Type_Biomass],,0,)</f>
        <v>0</v>
      </c>
      <c r="E139" s="49">
        <f>_xlfn.XLOOKUP(C139,Tab_Def_Flows[Name(EN)],Tab_Def_Flows[Output_Process],,0,)</f>
        <v>0</v>
      </c>
      <c r="F139" s="49" t="str">
        <f>_xlfn.XLOOKUP(C139,Tab_Def_Flows[Name(EN)],Tab_Def_Flows[Process_ID_O],,0,)</f>
        <v>21__</v>
      </c>
      <c r="G139" s="49">
        <f>_xlfn.XLOOKUP(C139,Tab_Def_Flows[Name(EN)],Tab_Def_Flows[Input_Process],,0,)</f>
        <v>0</v>
      </c>
      <c r="H139" s="61" t="str">
        <f>_xlfn.XLOOKUP(C139,Tab_Def_Flows[Name(EN)],Tab_Def_Flows[Process_ID_I],,0,)</f>
        <v>21__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88"/>
      <c r="P139" s="51"/>
      <c r="Q139" s="51"/>
      <c r="R139" s="51"/>
      <c r="S139" s="51"/>
      <c r="T139" s="51"/>
      <c r="U139" s="51"/>
      <c r="V139" s="51"/>
      <c r="W139" s="51"/>
      <c r="X139" s="51"/>
      <c r="Y139" s="51"/>
      <c r="Z139" s="51"/>
      <c r="AA139" s="89">
        <f t="shared" si="5"/>
        <v>0</v>
      </c>
      <c r="AB139" s="51" t="s">
        <v>63</v>
      </c>
      <c r="AC139" s="114" t="e">
        <f>INDEX(Tab_Def_Flows[[Flow_ID]:[CC_DM_source]],MATCH(Tab_Data_Flows[[#This Row],[Name(EN)]],Tab_Def_Flows[Name(EN)],0),16)</f>
        <v>#N/A</v>
      </c>
      <c r="AD139" s="115" t="str">
        <f>IF(J139="Yes",AA139*Tab_Data_Flows[[#This Row],[WC_'[%']]],"N.A.")</f>
        <v>N.A.</v>
      </c>
      <c r="AE139" s="61" t="str">
        <f>Tab_Data_Flows[[#This Row],[UoM_Flow_Py]]</f>
        <v>Mg</v>
      </c>
      <c r="AF139" s="114" t="e">
        <f>INDEX(Tab_Def_Flows[[Flow_ID]:[CC_DM_source]],MATCH(Tab_Data_Flows[[#This Row],[Name(EN)]],Tab_Def_Flows[Name(EN)],0),18)</f>
        <v>#N/A</v>
      </c>
      <c r="AG139" s="115" t="str">
        <f>IF(K139="Yes",AF139*Tab_Data_Flows[[#This Row],[Flow_Py]],"N.A.")</f>
        <v>N.A.</v>
      </c>
      <c r="AH139" s="61" t="str">
        <f>Tab_Data_Flows[[#This Row],[UoM_Flow_Py]]</f>
        <v>Mg</v>
      </c>
      <c r="AI139" s="114" t="e">
        <f>INDEX(Tab_Def_Flows[[Flow_ID]:[CC_DM_source]],MATCH(Tab_Data_Flows[[#This Row],[Name(EN)]],Tab_Def_Flows[Name(EN)],0),20)</f>
        <v>#N/A</v>
      </c>
      <c r="AJ139" s="115" t="str">
        <f>IF(L139="Yes",AI139*Tab_Data_Flows[[#This Row],[Flow_Py]],"N.A.")</f>
        <v>N.A.</v>
      </c>
      <c r="AK139" s="61" t="str">
        <f>Tab_Data_Flows[[#This Row],[UoM_Flow_Py]]</f>
        <v>Mg</v>
      </c>
    </row>
    <row r="140" spans="1:37" x14ac:dyDescent="0.35">
      <c r="A140" s="60">
        <f t="shared" si="4"/>
        <v>139</v>
      </c>
      <c r="B140" s="49" t="str">
        <f>_xlfn.XLOOKUP(C140,Tab_Def_Flows[Name(EN)],Tab_Def_Flows[Flow_ID],,0,)</f>
        <v>F_21_21</v>
      </c>
      <c r="C140" s="51"/>
      <c r="D140" s="49">
        <f>_xlfn.XLOOKUP(C140,Tab_Def_Flows[Name(EN)],Tab_Def_Flows[Type_Biomass],,0,)</f>
        <v>0</v>
      </c>
      <c r="E140" s="49">
        <f>_xlfn.XLOOKUP(C140,Tab_Def_Flows[Name(EN)],Tab_Def_Flows[Output_Process],,0,)</f>
        <v>0</v>
      </c>
      <c r="F140" s="49" t="str">
        <f>_xlfn.XLOOKUP(C140,Tab_Def_Flows[Name(EN)],Tab_Def_Flows[Process_ID_O],,0,)</f>
        <v>21__</v>
      </c>
      <c r="G140" s="49">
        <f>_xlfn.XLOOKUP(C140,Tab_Def_Flows[Name(EN)],Tab_Def_Flows[Input_Process],,0,)</f>
        <v>0</v>
      </c>
      <c r="H140" s="61" t="str">
        <f>_xlfn.XLOOKUP(C140,Tab_Def_Flows[Name(EN)],Tab_Def_Flows[Process_ID_I],,0,)</f>
        <v>21__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88"/>
      <c r="P140" s="51"/>
      <c r="Q140" s="51"/>
      <c r="R140" s="51"/>
      <c r="S140" s="51"/>
      <c r="T140" s="51"/>
      <c r="U140" s="51"/>
      <c r="V140" s="51"/>
      <c r="W140" s="51"/>
      <c r="X140" s="51"/>
      <c r="Y140" s="51"/>
      <c r="Z140" s="51"/>
      <c r="AA140" s="89">
        <f t="shared" si="5"/>
        <v>0</v>
      </c>
      <c r="AB140" s="51" t="s">
        <v>63</v>
      </c>
      <c r="AC140" s="114" t="e">
        <f>INDEX(Tab_Def_Flows[[Flow_ID]:[CC_DM_source]],MATCH(Tab_Data_Flows[[#This Row],[Name(EN)]],Tab_Def_Flows[Name(EN)],0),16)</f>
        <v>#N/A</v>
      </c>
      <c r="AD140" s="115" t="str">
        <f>IF(J140="Yes",AA140*Tab_Data_Flows[[#This Row],[WC_'[%']]],"N.A.")</f>
        <v>N.A.</v>
      </c>
      <c r="AE140" s="61" t="str">
        <f>Tab_Data_Flows[[#This Row],[UoM_Flow_Py]]</f>
        <v>Mg</v>
      </c>
      <c r="AF140" s="114" t="e">
        <f>INDEX(Tab_Def_Flows[[Flow_ID]:[CC_DM_source]],MATCH(Tab_Data_Flows[[#This Row],[Name(EN)]],Tab_Def_Flows[Name(EN)],0),18)</f>
        <v>#N/A</v>
      </c>
      <c r="AG140" s="115" t="str">
        <f>IF(K140="Yes",AF140*Tab_Data_Flows[[#This Row],[Flow_Py]],"N.A.")</f>
        <v>N.A.</v>
      </c>
      <c r="AH140" s="61" t="str">
        <f>Tab_Data_Flows[[#This Row],[UoM_Flow_Py]]</f>
        <v>Mg</v>
      </c>
      <c r="AI140" s="114" t="e">
        <f>INDEX(Tab_Def_Flows[[Flow_ID]:[CC_DM_source]],MATCH(Tab_Data_Flows[[#This Row],[Name(EN)]],Tab_Def_Flows[Name(EN)],0),20)</f>
        <v>#N/A</v>
      </c>
      <c r="AJ140" s="115" t="str">
        <f>IF(L140="Yes",AI140*Tab_Data_Flows[[#This Row],[Flow_Py]],"N.A.")</f>
        <v>N.A.</v>
      </c>
      <c r="AK140" s="61" t="str">
        <f>Tab_Data_Flows[[#This Row],[UoM_Flow_Py]]</f>
        <v>Mg</v>
      </c>
    </row>
    <row r="141" spans="1:37" x14ac:dyDescent="0.35">
      <c r="A141" s="60">
        <f t="shared" si="4"/>
        <v>140</v>
      </c>
      <c r="B141" s="49" t="str">
        <f>_xlfn.XLOOKUP(C141,Tab_Def_Flows[Name(EN)],Tab_Def_Flows[Flow_ID],,0,)</f>
        <v>F_21_21</v>
      </c>
      <c r="C141" s="51"/>
      <c r="D141" s="49">
        <f>_xlfn.XLOOKUP(C141,Tab_Def_Flows[Name(EN)],Tab_Def_Flows[Type_Biomass],,0,)</f>
        <v>0</v>
      </c>
      <c r="E141" s="49">
        <f>_xlfn.XLOOKUP(C141,Tab_Def_Flows[Name(EN)],Tab_Def_Flows[Output_Process],,0,)</f>
        <v>0</v>
      </c>
      <c r="F141" s="49" t="str">
        <f>_xlfn.XLOOKUP(C141,Tab_Def_Flows[Name(EN)],Tab_Def_Flows[Process_ID_O],,0,)</f>
        <v>21__</v>
      </c>
      <c r="G141" s="49">
        <f>_xlfn.XLOOKUP(C141,Tab_Def_Flows[Name(EN)],Tab_Def_Flows[Input_Process],,0,)</f>
        <v>0</v>
      </c>
      <c r="H141" s="61" t="str">
        <f>_xlfn.XLOOKUP(C141,Tab_Def_Flows[Name(EN)],Tab_Def_Flows[Process_ID_I],,0,)</f>
        <v>21__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88"/>
      <c r="P141" s="51"/>
      <c r="Q141" s="51"/>
      <c r="R141" s="51"/>
      <c r="S141" s="51"/>
      <c r="T141" s="51"/>
      <c r="U141" s="51"/>
      <c r="V141" s="51"/>
      <c r="W141" s="51"/>
      <c r="X141" s="51"/>
      <c r="Y141" s="51"/>
      <c r="Z141" s="51"/>
      <c r="AA141" s="89">
        <f t="shared" si="5"/>
        <v>0</v>
      </c>
      <c r="AB141" s="51" t="s">
        <v>63</v>
      </c>
      <c r="AC141" s="114" t="e">
        <f>INDEX(Tab_Def_Flows[[Flow_ID]:[CC_DM_source]],MATCH(Tab_Data_Flows[[#This Row],[Name(EN)]],Tab_Def_Flows[Name(EN)],0),16)</f>
        <v>#N/A</v>
      </c>
      <c r="AD141" s="115" t="str">
        <f>IF(J141="Yes",AA141*Tab_Data_Flows[[#This Row],[WC_'[%']]],"N.A.")</f>
        <v>N.A.</v>
      </c>
      <c r="AE141" s="61" t="str">
        <f>Tab_Data_Flows[[#This Row],[UoM_Flow_Py]]</f>
        <v>Mg</v>
      </c>
      <c r="AF141" s="114" t="e">
        <f>INDEX(Tab_Def_Flows[[Flow_ID]:[CC_DM_source]],MATCH(Tab_Data_Flows[[#This Row],[Name(EN)]],Tab_Def_Flows[Name(EN)],0),18)</f>
        <v>#N/A</v>
      </c>
      <c r="AG141" s="115" t="str">
        <f>IF(K141="Yes",AF141*Tab_Data_Flows[[#This Row],[Flow_Py]],"N.A.")</f>
        <v>N.A.</v>
      </c>
      <c r="AH141" s="61" t="str">
        <f>Tab_Data_Flows[[#This Row],[UoM_Flow_Py]]</f>
        <v>Mg</v>
      </c>
      <c r="AI141" s="114" t="e">
        <f>INDEX(Tab_Def_Flows[[Flow_ID]:[CC_DM_source]],MATCH(Tab_Data_Flows[[#This Row],[Name(EN)]],Tab_Def_Flows[Name(EN)],0),20)</f>
        <v>#N/A</v>
      </c>
      <c r="AJ141" s="115" t="str">
        <f>IF(L141="Yes",AI141*Tab_Data_Flows[[#This Row],[Flow_Py]],"N.A.")</f>
        <v>N.A.</v>
      </c>
      <c r="AK141" s="61" t="str">
        <f>Tab_Data_Flows[[#This Row],[UoM_Flow_Py]]</f>
        <v>Mg</v>
      </c>
    </row>
    <row r="142" spans="1:37" x14ac:dyDescent="0.35">
      <c r="A142" s="60">
        <f t="shared" si="4"/>
        <v>141</v>
      </c>
      <c r="B142" s="49" t="str">
        <f>_xlfn.XLOOKUP(C142,Tab_Def_Flows[Name(EN)],Tab_Def_Flows[Flow_ID],,0,)</f>
        <v>F_21_21</v>
      </c>
      <c r="C142" s="51"/>
      <c r="D142" s="49">
        <f>_xlfn.XLOOKUP(C142,Tab_Def_Flows[Name(EN)],Tab_Def_Flows[Type_Biomass],,0,)</f>
        <v>0</v>
      </c>
      <c r="E142" s="49">
        <f>_xlfn.XLOOKUP(C142,Tab_Def_Flows[Name(EN)],Tab_Def_Flows[Output_Process],,0,)</f>
        <v>0</v>
      </c>
      <c r="F142" s="49" t="str">
        <f>_xlfn.XLOOKUP(C142,Tab_Def_Flows[Name(EN)],Tab_Def_Flows[Process_ID_O],,0,)</f>
        <v>21__</v>
      </c>
      <c r="G142" s="49">
        <f>_xlfn.XLOOKUP(C142,Tab_Def_Flows[Name(EN)],Tab_Def_Flows[Input_Process],,0,)</f>
        <v>0</v>
      </c>
      <c r="H142" s="61" t="str">
        <f>_xlfn.XLOOKUP(C142,Tab_Def_Flows[Name(EN)],Tab_Def_Flows[Process_ID_I],,0,)</f>
        <v>21__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88"/>
      <c r="P142" s="51"/>
      <c r="Q142" s="51"/>
      <c r="R142" s="51"/>
      <c r="S142" s="51"/>
      <c r="T142" s="51"/>
      <c r="U142" s="51"/>
      <c r="V142" s="51"/>
      <c r="W142" s="51"/>
      <c r="X142" s="51"/>
      <c r="Y142" s="51"/>
      <c r="Z142" s="51"/>
      <c r="AA142" s="89">
        <f t="shared" si="5"/>
        <v>0</v>
      </c>
      <c r="AB142" s="51" t="s">
        <v>63</v>
      </c>
      <c r="AC142" s="114" t="e">
        <f>INDEX(Tab_Def_Flows[[Flow_ID]:[CC_DM_source]],MATCH(Tab_Data_Flows[[#This Row],[Name(EN)]],Tab_Def_Flows[Name(EN)],0),16)</f>
        <v>#N/A</v>
      </c>
      <c r="AD142" s="115" t="str">
        <f>IF(J142="Yes",AA142*Tab_Data_Flows[[#This Row],[WC_'[%']]],"N.A.")</f>
        <v>N.A.</v>
      </c>
      <c r="AE142" s="61" t="str">
        <f>Tab_Data_Flows[[#This Row],[UoM_Flow_Py]]</f>
        <v>Mg</v>
      </c>
      <c r="AF142" s="114" t="e">
        <f>INDEX(Tab_Def_Flows[[Flow_ID]:[CC_DM_source]],MATCH(Tab_Data_Flows[[#This Row],[Name(EN)]],Tab_Def_Flows[Name(EN)],0),18)</f>
        <v>#N/A</v>
      </c>
      <c r="AG142" s="115" t="str">
        <f>IF(K142="Yes",AF142*Tab_Data_Flows[[#This Row],[Flow_Py]],"N.A.")</f>
        <v>N.A.</v>
      </c>
      <c r="AH142" s="61" t="str">
        <f>Tab_Data_Flows[[#This Row],[UoM_Flow_Py]]</f>
        <v>Mg</v>
      </c>
      <c r="AI142" s="114" t="e">
        <f>INDEX(Tab_Def_Flows[[Flow_ID]:[CC_DM_source]],MATCH(Tab_Data_Flows[[#This Row],[Name(EN)]],Tab_Def_Flows[Name(EN)],0),20)</f>
        <v>#N/A</v>
      </c>
      <c r="AJ142" s="115" t="str">
        <f>IF(L142="Yes",AI142*Tab_Data_Flows[[#This Row],[Flow_Py]],"N.A.")</f>
        <v>N.A.</v>
      </c>
      <c r="AK142" s="61" t="str">
        <f>Tab_Data_Flows[[#This Row],[UoM_Flow_Py]]</f>
        <v>Mg</v>
      </c>
    </row>
    <row r="143" spans="1:37" x14ac:dyDescent="0.35">
      <c r="A143" s="60">
        <f t="shared" si="4"/>
        <v>142</v>
      </c>
      <c r="B143" s="49" t="str">
        <f>_xlfn.XLOOKUP(C143,Tab_Def_Flows[Name(EN)],Tab_Def_Flows[Flow_ID],,0,)</f>
        <v>F_21_21</v>
      </c>
      <c r="C143" s="51"/>
      <c r="D143" s="49">
        <f>_xlfn.XLOOKUP(C143,Tab_Def_Flows[Name(EN)],Tab_Def_Flows[Type_Biomass],,0,)</f>
        <v>0</v>
      </c>
      <c r="E143" s="49">
        <f>_xlfn.XLOOKUP(C143,Tab_Def_Flows[Name(EN)],Tab_Def_Flows[Output_Process],,0,)</f>
        <v>0</v>
      </c>
      <c r="F143" s="49" t="str">
        <f>_xlfn.XLOOKUP(C143,Tab_Def_Flows[Name(EN)],Tab_Def_Flows[Process_ID_O],,0,)</f>
        <v>21__</v>
      </c>
      <c r="G143" s="49">
        <f>_xlfn.XLOOKUP(C143,Tab_Def_Flows[Name(EN)],Tab_Def_Flows[Input_Process],,0,)</f>
        <v>0</v>
      </c>
      <c r="H143" s="61" t="str">
        <f>_xlfn.XLOOKUP(C143,Tab_Def_Flows[Name(EN)],Tab_Def_Flows[Process_ID_I],,0,)</f>
        <v>21__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88"/>
      <c r="P143" s="51"/>
      <c r="Q143" s="51"/>
      <c r="R143" s="51"/>
      <c r="S143" s="51"/>
      <c r="T143" s="51"/>
      <c r="U143" s="51"/>
      <c r="V143" s="51"/>
      <c r="W143" s="51"/>
      <c r="X143" s="51"/>
      <c r="Y143" s="51"/>
      <c r="Z143" s="51"/>
      <c r="AA143" s="89">
        <f t="shared" si="5"/>
        <v>0</v>
      </c>
      <c r="AB143" s="51"/>
      <c r="AC143" s="114" t="e">
        <f>INDEX(Tab_Def_Flows[[Flow_ID]:[CC_DM_source]],MATCH(Tab_Data_Flows[[#This Row],[Name(EN)]],Tab_Def_Flows[Name(EN)],0),16)</f>
        <v>#N/A</v>
      </c>
      <c r="AD143" s="115" t="str">
        <f>IF(J143="Yes",AA143*Tab_Data_Flows[[#This Row],[WC_'[%']]],"N.A.")</f>
        <v>N.A.</v>
      </c>
      <c r="AE143" s="61">
        <f>Tab_Data_Flows[[#This Row],[UoM_Flow_Py]]</f>
        <v>0</v>
      </c>
      <c r="AF143" s="114" t="e">
        <f>INDEX(Tab_Def_Flows[[Flow_ID]:[CC_DM_source]],MATCH(Tab_Data_Flows[[#This Row],[Name(EN)]],Tab_Def_Flows[Name(EN)],0),18)</f>
        <v>#N/A</v>
      </c>
      <c r="AG143" s="115" t="str">
        <f>IF(K143="Yes",AF143*Tab_Data_Flows[[#This Row],[Flow_Py]],"N.A.")</f>
        <v>N.A.</v>
      </c>
      <c r="AH143" s="61">
        <f>Tab_Data_Flows[[#This Row],[UoM_Flow_Py]]</f>
        <v>0</v>
      </c>
      <c r="AI143" s="114" t="e">
        <f>INDEX(Tab_Def_Flows[[Flow_ID]:[CC_DM_source]],MATCH(Tab_Data_Flows[[#This Row],[Name(EN)]],Tab_Def_Flows[Name(EN)],0),20)</f>
        <v>#N/A</v>
      </c>
      <c r="AJ143" s="115" t="str">
        <f>IF(L143="Yes",AI143*Tab_Data_Flows[[#This Row],[Flow_Py]],"N.A.")</f>
        <v>N.A.</v>
      </c>
      <c r="AK143" s="61">
        <f>Tab_Data_Flows[[#This Row],[UoM_Flow_Py]]</f>
        <v>0</v>
      </c>
    </row>
    <row r="144" spans="1:37" x14ac:dyDescent="0.35">
      <c r="A144" s="60">
        <f t="shared" si="4"/>
        <v>143</v>
      </c>
      <c r="B144" s="49" t="str">
        <f>_xlfn.XLOOKUP(C144,Tab_Def_Flows[Name(EN)],Tab_Def_Flows[Flow_ID],,0,)</f>
        <v>F_21_21</v>
      </c>
      <c r="C144" s="51"/>
      <c r="D144" s="49">
        <f>_xlfn.XLOOKUP(C144,Tab_Def_Flows[Name(EN)],Tab_Def_Flows[Type_Biomass],,0,)</f>
        <v>0</v>
      </c>
      <c r="E144" s="49">
        <f>_xlfn.XLOOKUP(C144,Tab_Def_Flows[Name(EN)],Tab_Def_Flows[Output_Process],,0,)</f>
        <v>0</v>
      </c>
      <c r="F144" s="49" t="str">
        <f>_xlfn.XLOOKUP(C144,Tab_Def_Flows[Name(EN)],Tab_Def_Flows[Process_ID_O],,0,)</f>
        <v>21__</v>
      </c>
      <c r="G144" s="49">
        <f>_xlfn.XLOOKUP(C144,Tab_Def_Flows[Name(EN)],Tab_Def_Flows[Input_Process],,0,)</f>
        <v>0</v>
      </c>
      <c r="H144" s="61" t="str">
        <f>_xlfn.XLOOKUP(C144,Tab_Def_Flows[Name(EN)],Tab_Def_Flows[Process_ID_I],,0,)</f>
        <v>21__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88"/>
      <c r="P144" s="51"/>
      <c r="Q144" s="51"/>
      <c r="R144" s="51"/>
      <c r="S144" s="51"/>
      <c r="T144" s="51"/>
      <c r="U144" s="51"/>
      <c r="V144" s="51"/>
      <c r="W144" s="51"/>
      <c r="X144" s="51"/>
      <c r="Y144" s="51"/>
      <c r="Z144" s="51"/>
      <c r="AA144" s="89">
        <f t="shared" si="5"/>
        <v>0</v>
      </c>
      <c r="AB144" s="51"/>
      <c r="AC144" s="114" t="e">
        <f>INDEX(Tab_Def_Flows[[Flow_ID]:[CC_DM_source]],MATCH(Tab_Data_Flows[[#This Row],[Name(EN)]],Tab_Def_Flows[Name(EN)],0),16)</f>
        <v>#N/A</v>
      </c>
      <c r="AD144" s="115" t="str">
        <f>IF(J144="Yes",AA144*Tab_Data_Flows[[#This Row],[WC_'[%']]],"N.A.")</f>
        <v>N.A.</v>
      </c>
      <c r="AE144" s="61">
        <f>Tab_Data_Flows[[#This Row],[UoM_Flow_Py]]</f>
        <v>0</v>
      </c>
      <c r="AF144" s="114" t="e">
        <f>INDEX(Tab_Def_Flows[[Flow_ID]:[CC_DM_source]],MATCH(Tab_Data_Flows[[#This Row],[Name(EN)]],Tab_Def_Flows[Name(EN)],0),18)</f>
        <v>#N/A</v>
      </c>
      <c r="AG144" s="115" t="str">
        <f>IF(K144="Yes",AF144*Tab_Data_Flows[[#This Row],[Flow_Py]],"N.A.")</f>
        <v>N.A.</v>
      </c>
      <c r="AH144" s="61">
        <f>Tab_Data_Flows[[#This Row],[UoM_Flow_Py]]</f>
        <v>0</v>
      </c>
      <c r="AI144" s="114" t="e">
        <f>INDEX(Tab_Def_Flows[[Flow_ID]:[CC_DM_source]],MATCH(Tab_Data_Flows[[#This Row],[Name(EN)]],Tab_Def_Flows[Name(EN)],0),20)</f>
        <v>#N/A</v>
      </c>
      <c r="AJ144" s="115" t="str">
        <f>IF(L144="Yes",AI144*Tab_Data_Flows[[#This Row],[Flow_Py]],"N.A.")</f>
        <v>N.A.</v>
      </c>
      <c r="AK144" s="61">
        <f>Tab_Data_Flows[[#This Row],[UoM_Flow_Py]]</f>
        <v>0</v>
      </c>
    </row>
    <row r="145" spans="1:37" x14ac:dyDescent="0.35">
      <c r="A145" s="60">
        <f t="shared" si="4"/>
        <v>144</v>
      </c>
      <c r="B145" s="49" t="str">
        <f>_xlfn.XLOOKUP(C145,Tab_Def_Flows[Name(EN)],Tab_Def_Flows[Flow_ID],,0,)</f>
        <v>F_21_21</v>
      </c>
      <c r="C145" s="51"/>
      <c r="D145" s="49">
        <f>_xlfn.XLOOKUP(C145,Tab_Def_Flows[Name(EN)],Tab_Def_Flows[Type_Biomass],,0,)</f>
        <v>0</v>
      </c>
      <c r="E145" s="49">
        <f>_xlfn.XLOOKUP(C145,Tab_Def_Flows[Name(EN)],Tab_Def_Flows[Output_Process],,0,)</f>
        <v>0</v>
      </c>
      <c r="F145" s="49" t="str">
        <f>_xlfn.XLOOKUP(C145,Tab_Def_Flows[Name(EN)],Tab_Def_Flows[Process_ID_O],,0,)</f>
        <v>21__</v>
      </c>
      <c r="G145" s="49">
        <f>_xlfn.XLOOKUP(C145,Tab_Def_Flows[Name(EN)],Tab_Def_Flows[Input_Process],,0,)</f>
        <v>0</v>
      </c>
      <c r="H145" s="61" t="str">
        <f>_xlfn.XLOOKUP(C145,Tab_Def_Flows[Name(EN)],Tab_Def_Flows[Process_ID_I],,0,)</f>
        <v>21__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88"/>
      <c r="P145" s="51"/>
      <c r="Q145" s="51"/>
      <c r="R145" s="51"/>
      <c r="S145" s="51"/>
      <c r="T145" s="51"/>
      <c r="U145" s="51"/>
      <c r="V145" s="51"/>
      <c r="W145" s="51"/>
      <c r="X145" s="51"/>
      <c r="Y145" s="51"/>
      <c r="Z145" s="51"/>
      <c r="AA145" s="89">
        <f t="shared" si="5"/>
        <v>0</v>
      </c>
      <c r="AB145" s="51"/>
      <c r="AC145" s="114" t="e">
        <f>INDEX(Tab_Def_Flows[[Flow_ID]:[CC_DM_source]],MATCH(Tab_Data_Flows[[#This Row],[Name(EN)]],Tab_Def_Flows[Name(EN)],0),16)</f>
        <v>#N/A</v>
      </c>
      <c r="AD145" s="115" t="str">
        <f>IF(J145="Yes",AA145*Tab_Data_Flows[[#This Row],[WC_'[%']]],"N.A.")</f>
        <v>N.A.</v>
      </c>
      <c r="AE145" s="61">
        <f>Tab_Data_Flows[[#This Row],[UoM_Flow_Py]]</f>
        <v>0</v>
      </c>
      <c r="AF145" s="114" t="e">
        <f>INDEX(Tab_Def_Flows[[Flow_ID]:[CC_DM_source]],MATCH(Tab_Data_Flows[[#This Row],[Name(EN)]],Tab_Def_Flows[Name(EN)],0),18)</f>
        <v>#N/A</v>
      </c>
      <c r="AG145" s="115" t="str">
        <f>IF(K145="Yes",AF145*Tab_Data_Flows[[#This Row],[Flow_Py]],"N.A.")</f>
        <v>N.A.</v>
      </c>
      <c r="AH145" s="61">
        <f>Tab_Data_Flows[[#This Row],[UoM_Flow_Py]]</f>
        <v>0</v>
      </c>
      <c r="AI145" s="114" t="e">
        <f>INDEX(Tab_Def_Flows[[Flow_ID]:[CC_DM_source]],MATCH(Tab_Data_Flows[[#This Row],[Name(EN)]],Tab_Def_Flows[Name(EN)],0),20)</f>
        <v>#N/A</v>
      </c>
      <c r="AJ145" s="115" t="str">
        <f>IF(L145="Yes",AI145*Tab_Data_Flows[[#This Row],[Flow_Py]],"N.A.")</f>
        <v>N.A.</v>
      </c>
      <c r="AK145" s="61">
        <f>Tab_Data_Flows[[#This Row],[UoM_Flow_Py]]</f>
        <v>0</v>
      </c>
    </row>
    <row r="146" spans="1:37" x14ac:dyDescent="0.35">
      <c r="A146" s="60">
        <f t="shared" si="4"/>
        <v>145</v>
      </c>
      <c r="B146" s="49" t="str">
        <f>_xlfn.XLOOKUP(C146,Tab_Def_Flows[Name(EN)],Tab_Def_Flows[Flow_ID],,0,)</f>
        <v>F_21_21</v>
      </c>
      <c r="C146" s="51"/>
      <c r="D146" s="49">
        <f>_xlfn.XLOOKUP(C146,Tab_Def_Flows[Name(EN)],Tab_Def_Flows[Type_Biomass],,0,)</f>
        <v>0</v>
      </c>
      <c r="E146" s="49">
        <f>_xlfn.XLOOKUP(C146,Tab_Def_Flows[Name(EN)],Tab_Def_Flows[Output_Process],,0,)</f>
        <v>0</v>
      </c>
      <c r="F146" s="49" t="str">
        <f>_xlfn.XLOOKUP(C146,Tab_Def_Flows[Name(EN)],Tab_Def_Flows[Process_ID_O],,0,)</f>
        <v>21__</v>
      </c>
      <c r="G146" s="49">
        <f>_xlfn.XLOOKUP(C146,Tab_Def_Flows[Name(EN)],Tab_Def_Flows[Input_Process],,0,)</f>
        <v>0</v>
      </c>
      <c r="H146" s="61" t="str">
        <f>_xlfn.XLOOKUP(C146,Tab_Def_Flows[Name(EN)],Tab_Def_Flows[Process_ID_I],,0,)</f>
        <v>21__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88"/>
      <c r="P146" s="51"/>
      <c r="Q146" s="51"/>
      <c r="R146" s="51"/>
      <c r="S146" s="51"/>
      <c r="T146" s="51"/>
      <c r="U146" s="51"/>
      <c r="V146" s="51"/>
      <c r="W146" s="51"/>
      <c r="X146" s="51"/>
      <c r="Y146" s="51"/>
      <c r="Z146" s="51"/>
      <c r="AA146" s="89">
        <f t="shared" si="5"/>
        <v>0</v>
      </c>
      <c r="AB146" s="51"/>
      <c r="AC146" s="114" t="e">
        <f>INDEX(Tab_Def_Flows[[Flow_ID]:[CC_DM_source]],MATCH(Tab_Data_Flows[[#This Row],[Name(EN)]],Tab_Def_Flows[Name(EN)],0),16)</f>
        <v>#N/A</v>
      </c>
      <c r="AD146" s="115" t="str">
        <f>IF(J146="Yes",AA146*Tab_Data_Flows[[#This Row],[WC_'[%']]],"N.A.")</f>
        <v>N.A.</v>
      </c>
      <c r="AE146" s="61">
        <f>Tab_Data_Flows[[#This Row],[UoM_Flow_Py]]</f>
        <v>0</v>
      </c>
      <c r="AF146" s="114" t="e">
        <f>INDEX(Tab_Def_Flows[[Flow_ID]:[CC_DM_source]],MATCH(Tab_Data_Flows[[#This Row],[Name(EN)]],Tab_Def_Flows[Name(EN)],0),18)</f>
        <v>#N/A</v>
      </c>
      <c r="AG146" s="115" t="str">
        <f>IF(K146="Yes",AF146*Tab_Data_Flows[[#This Row],[Flow_Py]],"N.A.")</f>
        <v>N.A.</v>
      </c>
      <c r="AH146" s="61">
        <f>Tab_Data_Flows[[#This Row],[UoM_Flow_Py]]</f>
        <v>0</v>
      </c>
      <c r="AI146" s="114" t="e">
        <f>INDEX(Tab_Def_Flows[[Flow_ID]:[CC_DM_source]],MATCH(Tab_Data_Flows[[#This Row],[Name(EN)]],Tab_Def_Flows[Name(EN)],0),20)</f>
        <v>#N/A</v>
      </c>
      <c r="AJ146" s="115" t="str">
        <f>IF(L146="Yes",AI146*Tab_Data_Flows[[#This Row],[Flow_Py]],"N.A.")</f>
        <v>N.A.</v>
      </c>
      <c r="AK146" s="61">
        <f>Tab_Data_Flows[[#This Row],[UoM_Flow_Py]]</f>
        <v>0</v>
      </c>
    </row>
    <row r="147" spans="1:37" x14ac:dyDescent="0.35">
      <c r="A147" s="60">
        <f t="shared" si="4"/>
        <v>146</v>
      </c>
      <c r="B147" s="49" t="str">
        <f>_xlfn.XLOOKUP(C147,Tab_Def_Flows[Name(EN)],Tab_Def_Flows[Flow_ID],,0,)</f>
        <v>F_21_21</v>
      </c>
      <c r="C147" s="51"/>
      <c r="D147" s="49">
        <f>_xlfn.XLOOKUP(C147,Tab_Def_Flows[Name(EN)],Tab_Def_Flows[Type_Biomass],,0,)</f>
        <v>0</v>
      </c>
      <c r="E147" s="49">
        <f>_xlfn.XLOOKUP(C147,Tab_Def_Flows[Name(EN)],Tab_Def_Flows[Output_Process],,0,)</f>
        <v>0</v>
      </c>
      <c r="F147" s="49" t="str">
        <f>_xlfn.XLOOKUP(C147,Tab_Def_Flows[Name(EN)],Tab_Def_Flows[Process_ID_O],,0,)</f>
        <v>21__</v>
      </c>
      <c r="G147" s="49">
        <f>_xlfn.XLOOKUP(C147,Tab_Def_Flows[Name(EN)],Tab_Def_Flows[Input_Process],,0,)</f>
        <v>0</v>
      </c>
      <c r="H147" s="61" t="str">
        <f>_xlfn.XLOOKUP(C147,Tab_Def_Flows[Name(EN)],Tab_Def_Flows[Process_ID_I],,0,)</f>
        <v>21__</v>
      </c>
      <c r="I147" s="49">
        <f>_xlfn.XLOOKUP(C147,Tab_Def_Flows[Name(EN)],Tab_Def_Flows[Value_Source],,0,)</f>
        <v>0</v>
      </c>
      <c r="J147" s="49">
        <f>_xlfn.XLOOKUP(C147,Tab_Def_Flows[Name(EN)],Tab_Def_Flows[WC?],,0,)</f>
        <v>0</v>
      </c>
      <c r="K147" s="49">
        <f>_xlfn.XLOOKUP(C147,Tab_Def_Flows[Name(EN)],Tab_Def_Flows[DM?],,0,)</f>
        <v>0</v>
      </c>
      <c r="L147" s="49">
        <f>_xlfn.XLOOKUP(C147,Tab_Def_Flows[Name(EN)],Tab_Def_Flows[CC?],,0,)</f>
        <v>0</v>
      </c>
      <c r="M147" s="51"/>
      <c r="N147" s="51"/>
      <c r="O147" s="88"/>
      <c r="P147" s="51"/>
      <c r="Q147" s="51"/>
      <c r="R147" s="51"/>
      <c r="S147" s="51"/>
      <c r="T147" s="51"/>
      <c r="U147" s="51"/>
      <c r="V147" s="51"/>
      <c r="W147" s="51"/>
      <c r="X147" s="51"/>
      <c r="Y147" s="51"/>
      <c r="Z147" s="51"/>
      <c r="AA147" s="89">
        <f t="shared" si="5"/>
        <v>0</v>
      </c>
      <c r="AB147" s="51"/>
      <c r="AC147" s="114" t="e">
        <f>INDEX(Tab_Def_Flows[[Flow_ID]:[CC_DM_source]],MATCH(Tab_Data_Flows[[#This Row],[Name(EN)]],Tab_Def_Flows[Name(EN)],0),16)</f>
        <v>#N/A</v>
      </c>
      <c r="AD147" s="115" t="str">
        <f>IF(J147="Yes",AA147*Tab_Data_Flows[[#This Row],[WC_'[%']]],"N.A.")</f>
        <v>N.A.</v>
      </c>
      <c r="AE147" s="61">
        <f>Tab_Data_Flows[[#This Row],[UoM_Flow_Py]]</f>
        <v>0</v>
      </c>
      <c r="AF147" s="114" t="e">
        <f>INDEX(Tab_Def_Flows[[Flow_ID]:[CC_DM_source]],MATCH(Tab_Data_Flows[[#This Row],[Name(EN)]],Tab_Def_Flows[Name(EN)],0),18)</f>
        <v>#N/A</v>
      </c>
      <c r="AG147" s="115" t="str">
        <f>IF(K147="Yes",AF147*Tab_Data_Flows[[#This Row],[Flow_Py]],"N.A.")</f>
        <v>N.A.</v>
      </c>
      <c r="AH147" s="61">
        <f>Tab_Data_Flows[[#This Row],[UoM_Flow_Py]]</f>
        <v>0</v>
      </c>
      <c r="AI147" s="114" t="e">
        <f>INDEX(Tab_Def_Flows[[Flow_ID]:[CC_DM_source]],MATCH(Tab_Data_Flows[[#This Row],[Name(EN)]],Tab_Def_Flows[Name(EN)],0),20)</f>
        <v>#N/A</v>
      </c>
      <c r="AJ147" s="115" t="str">
        <f>IF(L147="Yes",AI147*Tab_Data_Flows[[#This Row],[Flow_Py]],"N.A.")</f>
        <v>N.A.</v>
      </c>
      <c r="AK147" s="61">
        <f>Tab_Data_Flows[[#This Row],[UoM_Flow_Py]]</f>
        <v>0</v>
      </c>
    </row>
    <row r="148" spans="1:37" x14ac:dyDescent="0.35">
      <c r="A148" s="60">
        <f t="shared" si="4"/>
        <v>147</v>
      </c>
      <c r="B148" s="49" t="str">
        <f>_xlfn.XLOOKUP(C148,Tab_Def_Flows[Name(EN)],Tab_Def_Flows[Flow_ID],,0,)</f>
        <v>F_21_21</v>
      </c>
      <c r="C148" s="51"/>
      <c r="D148" s="49">
        <f>_xlfn.XLOOKUP(C148,Tab_Def_Flows[Name(EN)],Tab_Def_Flows[Type_Biomass],,0,)</f>
        <v>0</v>
      </c>
      <c r="E148" s="49">
        <f>_xlfn.XLOOKUP(C148,Tab_Def_Flows[Name(EN)],Tab_Def_Flows[Output_Process],,0,)</f>
        <v>0</v>
      </c>
      <c r="F148" s="49" t="str">
        <f>_xlfn.XLOOKUP(C148,Tab_Def_Flows[Name(EN)],Tab_Def_Flows[Process_ID_O],,0,)</f>
        <v>21__</v>
      </c>
      <c r="G148" s="49">
        <f>_xlfn.XLOOKUP(C148,Tab_Def_Flows[Name(EN)],Tab_Def_Flows[Input_Process],,0,)</f>
        <v>0</v>
      </c>
      <c r="H148" s="61" t="str">
        <f>_xlfn.XLOOKUP(C148,Tab_Def_Flows[Name(EN)],Tab_Def_Flows[Process_ID_I],,0,)</f>
        <v>21__</v>
      </c>
      <c r="I148" s="49">
        <f>_xlfn.XLOOKUP(C148,Tab_Def_Flows[Name(EN)],Tab_Def_Flows[Value_Source],,0,)</f>
        <v>0</v>
      </c>
      <c r="J148" s="49">
        <f>_xlfn.XLOOKUP(C148,Tab_Def_Flows[Name(EN)],Tab_Def_Flows[WC?],,0,)</f>
        <v>0</v>
      </c>
      <c r="K148" s="49">
        <f>_xlfn.XLOOKUP(C148,Tab_Def_Flows[Name(EN)],Tab_Def_Flows[DM?],,0,)</f>
        <v>0</v>
      </c>
      <c r="L148" s="49">
        <f>_xlfn.XLOOKUP(C148,Tab_Def_Flows[Name(EN)],Tab_Def_Flows[CC?],,0,)</f>
        <v>0</v>
      </c>
      <c r="M148" s="51"/>
      <c r="N148" s="51"/>
      <c r="O148" s="88"/>
      <c r="P148" s="51"/>
      <c r="Q148" s="51"/>
      <c r="R148" s="51"/>
      <c r="S148" s="51"/>
      <c r="T148" s="51"/>
      <c r="U148" s="51"/>
      <c r="V148" s="51"/>
      <c r="W148" s="51"/>
      <c r="X148" s="51"/>
      <c r="Y148" s="51"/>
      <c r="Z148" s="51"/>
      <c r="AA148" s="89">
        <f t="shared" si="5"/>
        <v>0</v>
      </c>
      <c r="AB148" s="51"/>
      <c r="AC148" s="114" t="e">
        <f>INDEX(Tab_Def_Flows[[Flow_ID]:[CC_DM_source]],MATCH(Tab_Data_Flows[[#This Row],[Name(EN)]],Tab_Def_Flows[Name(EN)],0),16)</f>
        <v>#N/A</v>
      </c>
      <c r="AD148" s="115" t="str">
        <f>IF(J148="Yes",AA148*Tab_Data_Flows[[#This Row],[WC_'[%']]],"N.A.")</f>
        <v>N.A.</v>
      </c>
      <c r="AE148" s="61">
        <f>Tab_Data_Flows[[#This Row],[UoM_Flow_Py]]</f>
        <v>0</v>
      </c>
      <c r="AF148" s="114" t="e">
        <f>INDEX(Tab_Def_Flows[[Flow_ID]:[CC_DM_source]],MATCH(Tab_Data_Flows[[#This Row],[Name(EN)]],Tab_Def_Flows[Name(EN)],0),18)</f>
        <v>#N/A</v>
      </c>
      <c r="AG148" s="115" t="str">
        <f>IF(K148="Yes",AF148*Tab_Data_Flows[[#This Row],[Flow_Py]],"N.A.")</f>
        <v>N.A.</v>
      </c>
      <c r="AH148" s="61">
        <f>Tab_Data_Flows[[#This Row],[UoM_Flow_Py]]</f>
        <v>0</v>
      </c>
      <c r="AI148" s="114" t="e">
        <f>INDEX(Tab_Def_Flows[[Flow_ID]:[CC_DM_source]],MATCH(Tab_Data_Flows[[#This Row],[Name(EN)]],Tab_Def_Flows[Name(EN)],0),20)</f>
        <v>#N/A</v>
      </c>
      <c r="AJ148" s="115" t="str">
        <f>IF(L148="Yes",AI148*Tab_Data_Flows[[#This Row],[Flow_Py]],"N.A.")</f>
        <v>N.A.</v>
      </c>
      <c r="AK148" s="61">
        <f>Tab_Data_Flows[[#This Row],[UoM_Flow_Py]]</f>
        <v>0</v>
      </c>
    </row>
    <row r="149" spans="1:37" x14ac:dyDescent="0.35">
      <c r="A149" s="60">
        <f t="shared" si="4"/>
        <v>148</v>
      </c>
      <c r="B149" s="49" t="str">
        <f>_xlfn.XLOOKUP(C149,Tab_Def_Flows[Name(EN)],Tab_Def_Flows[Flow_ID],,0,)</f>
        <v>F_21_21</v>
      </c>
      <c r="C149" s="51"/>
      <c r="D149" s="49">
        <f>_xlfn.XLOOKUP(C149,Tab_Def_Flows[Name(EN)],Tab_Def_Flows[Type_Biomass],,0,)</f>
        <v>0</v>
      </c>
      <c r="E149" s="49">
        <f>_xlfn.XLOOKUP(C149,Tab_Def_Flows[Name(EN)],Tab_Def_Flows[Output_Process],,0,)</f>
        <v>0</v>
      </c>
      <c r="F149" s="49" t="str">
        <f>_xlfn.XLOOKUP(C149,Tab_Def_Flows[Name(EN)],Tab_Def_Flows[Process_ID_O],,0,)</f>
        <v>21__</v>
      </c>
      <c r="G149" s="49">
        <f>_xlfn.XLOOKUP(C149,Tab_Def_Flows[Name(EN)],Tab_Def_Flows[Input_Process],,0,)</f>
        <v>0</v>
      </c>
      <c r="H149" s="61" t="str">
        <f>_xlfn.XLOOKUP(C149,Tab_Def_Flows[Name(EN)],Tab_Def_Flows[Process_ID_I],,0,)</f>
        <v>21__</v>
      </c>
      <c r="I149" s="49">
        <f>_xlfn.XLOOKUP(C149,Tab_Def_Flows[Name(EN)],Tab_Def_Flows[Value_Source],,0,)</f>
        <v>0</v>
      </c>
      <c r="J149" s="49">
        <f>_xlfn.XLOOKUP(C149,Tab_Def_Flows[Name(EN)],Tab_Def_Flows[WC?],,0,)</f>
        <v>0</v>
      </c>
      <c r="K149" s="49">
        <f>_xlfn.XLOOKUP(C149,Tab_Def_Flows[Name(EN)],Tab_Def_Flows[DM?],,0,)</f>
        <v>0</v>
      </c>
      <c r="L149" s="49">
        <f>_xlfn.XLOOKUP(C149,Tab_Def_Flows[Name(EN)],Tab_Def_Flows[CC?],,0,)</f>
        <v>0</v>
      </c>
      <c r="M149" s="51"/>
      <c r="N149" s="51"/>
      <c r="O149" s="88"/>
      <c r="P149" s="51"/>
      <c r="Q149" s="51"/>
      <c r="R149" s="51"/>
      <c r="S149" s="51"/>
      <c r="T149" s="51"/>
      <c r="U149" s="51"/>
      <c r="V149" s="51"/>
      <c r="W149" s="51"/>
      <c r="X149" s="51"/>
      <c r="Y149" s="51"/>
      <c r="Z149" s="51"/>
      <c r="AA149" s="89">
        <f t="shared" si="5"/>
        <v>0</v>
      </c>
      <c r="AB149" s="51"/>
      <c r="AC149" s="114" t="e">
        <f>INDEX(Tab_Def_Flows[[Flow_ID]:[CC_DM_source]],MATCH(Tab_Data_Flows[[#This Row],[Name(EN)]],Tab_Def_Flows[Name(EN)],0),16)</f>
        <v>#N/A</v>
      </c>
      <c r="AD149" s="115" t="str">
        <f>IF(J149="Yes",AA149*Tab_Data_Flows[[#This Row],[WC_'[%']]],"N.A.")</f>
        <v>N.A.</v>
      </c>
      <c r="AE149" s="61">
        <f>Tab_Data_Flows[[#This Row],[UoM_Flow_Py]]</f>
        <v>0</v>
      </c>
      <c r="AF149" s="114" t="e">
        <f>INDEX(Tab_Def_Flows[[Flow_ID]:[CC_DM_source]],MATCH(Tab_Data_Flows[[#This Row],[Name(EN)]],Tab_Def_Flows[Name(EN)],0),18)</f>
        <v>#N/A</v>
      </c>
      <c r="AG149" s="115" t="str">
        <f>IF(K149="Yes",AF149*Tab_Data_Flows[[#This Row],[Flow_Py]],"N.A.")</f>
        <v>N.A.</v>
      </c>
      <c r="AH149" s="61">
        <f>Tab_Data_Flows[[#This Row],[UoM_Flow_Py]]</f>
        <v>0</v>
      </c>
      <c r="AI149" s="114" t="e">
        <f>INDEX(Tab_Def_Flows[[Flow_ID]:[CC_DM_source]],MATCH(Tab_Data_Flows[[#This Row],[Name(EN)]],Tab_Def_Flows[Name(EN)],0),20)</f>
        <v>#N/A</v>
      </c>
      <c r="AJ149" s="115" t="str">
        <f>IF(L149="Yes",AI149*Tab_Data_Flows[[#This Row],[Flow_Py]],"N.A.")</f>
        <v>N.A.</v>
      </c>
      <c r="AK149" s="61">
        <f>Tab_Data_Flows[[#This Row],[UoM_Flow_Py]]</f>
        <v>0</v>
      </c>
    </row>
    <row r="150" spans="1:37" x14ac:dyDescent="0.35">
      <c r="A150" s="60">
        <f t="shared" si="4"/>
        <v>149</v>
      </c>
      <c r="B150" s="49" t="str">
        <f>_xlfn.XLOOKUP(C150,Tab_Def_Flows[Name(EN)],Tab_Def_Flows[Flow_ID],,0,)</f>
        <v>F_21_21</v>
      </c>
      <c r="C150" s="51"/>
      <c r="D150" s="49">
        <f>_xlfn.XLOOKUP(C150,Tab_Def_Flows[Name(EN)],Tab_Def_Flows[Type_Biomass],,0,)</f>
        <v>0</v>
      </c>
      <c r="E150" s="49">
        <f>_xlfn.XLOOKUP(C150,Tab_Def_Flows[Name(EN)],Tab_Def_Flows[Output_Process],,0,)</f>
        <v>0</v>
      </c>
      <c r="F150" s="49" t="str">
        <f>_xlfn.XLOOKUP(C150,Tab_Def_Flows[Name(EN)],Tab_Def_Flows[Process_ID_O],,0,)</f>
        <v>21__</v>
      </c>
      <c r="G150" s="49">
        <f>_xlfn.XLOOKUP(C150,Tab_Def_Flows[Name(EN)],Tab_Def_Flows[Input_Process],,0,)</f>
        <v>0</v>
      </c>
      <c r="H150" s="61" t="str">
        <f>_xlfn.XLOOKUP(C150,Tab_Def_Flows[Name(EN)],Tab_Def_Flows[Process_ID_I],,0,)</f>
        <v>21__</v>
      </c>
      <c r="I150" s="49">
        <f>_xlfn.XLOOKUP(C150,Tab_Def_Flows[Name(EN)],Tab_Def_Flows[Value_Source],,0,)</f>
        <v>0</v>
      </c>
      <c r="J150" s="49">
        <f>_xlfn.XLOOKUP(C150,Tab_Def_Flows[Name(EN)],Tab_Def_Flows[WC?],,0,)</f>
        <v>0</v>
      </c>
      <c r="K150" s="49">
        <f>_xlfn.XLOOKUP(C150,Tab_Def_Flows[Name(EN)],Tab_Def_Flows[DM?],,0,)</f>
        <v>0</v>
      </c>
      <c r="L150" s="49">
        <f>_xlfn.XLOOKUP(C150,Tab_Def_Flows[Name(EN)],Tab_Def_Flows[CC?],,0,)</f>
        <v>0</v>
      </c>
      <c r="M150" s="51"/>
      <c r="N150" s="51"/>
      <c r="O150" s="88"/>
      <c r="P150" s="51"/>
      <c r="Q150" s="51"/>
      <c r="R150" s="51"/>
      <c r="S150" s="51"/>
      <c r="T150" s="51"/>
      <c r="U150" s="51"/>
      <c r="V150" s="51"/>
      <c r="W150" s="51"/>
      <c r="X150" s="51"/>
      <c r="Y150" s="51"/>
      <c r="Z150" s="51"/>
      <c r="AA150" s="89">
        <f t="shared" si="5"/>
        <v>0</v>
      </c>
      <c r="AB150" s="51"/>
      <c r="AC150" s="114" t="e">
        <f>INDEX(Tab_Def_Flows[[Flow_ID]:[CC_DM_source]],MATCH(Tab_Data_Flows[[#This Row],[Name(EN)]],Tab_Def_Flows[Name(EN)],0),16)</f>
        <v>#N/A</v>
      </c>
      <c r="AD150" s="115" t="str">
        <f>IF(J150="Yes",AA150*Tab_Data_Flows[[#This Row],[WC_'[%']]],"N.A.")</f>
        <v>N.A.</v>
      </c>
      <c r="AE150" s="61">
        <f>Tab_Data_Flows[[#This Row],[UoM_Flow_Py]]</f>
        <v>0</v>
      </c>
      <c r="AF150" s="114" t="e">
        <f>INDEX(Tab_Def_Flows[[Flow_ID]:[CC_DM_source]],MATCH(Tab_Data_Flows[[#This Row],[Name(EN)]],Tab_Def_Flows[Name(EN)],0),18)</f>
        <v>#N/A</v>
      </c>
      <c r="AG150" s="115" t="str">
        <f>IF(K150="Yes",AF150*Tab_Data_Flows[[#This Row],[Flow_Py]],"N.A.")</f>
        <v>N.A.</v>
      </c>
      <c r="AH150" s="61">
        <f>Tab_Data_Flows[[#This Row],[UoM_Flow_Py]]</f>
        <v>0</v>
      </c>
      <c r="AI150" s="114" t="e">
        <f>INDEX(Tab_Def_Flows[[Flow_ID]:[CC_DM_source]],MATCH(Tab_Data_Flows[[#This Row],[Name(EN)]],Tab_Def_Flows[Name(EN)],0),20)</f>
        <v>#N/A</v>
      </c>
      <c r="AJ150" s="115" t="str">
        <f>IF(L150="Yes",AI150*Tab_Data_Flows[[#This Row],[Flow_Py]],"N.A.")</f>
        <v>N.A.</v>
      </c>
      <c r="AK150" s="61">
        <f>Tab_Data_Flows[[#This Row],[UoM_Flow_Py]]</f>
        <v>0</v>
      </c>
    </row>
    <row r="151" spans="1:37" x14ac:dyDescent="0.35">
      <c r="A151" s="60">
        <f t="shared" si="4"/>
        <v>150</v>
      </c>
      <c r="B151" s="49" t="str">
        <f>_xlfn.XLOOKUP(C151,Tab_Def_Flows[Name(EN)],Tab_Def_Flows[Flow_ID],,0,)</f>
        <v>F_21_21</v>
      </c>
      <c r="C151" s="51"/>
      <c r="D151" s="49">
        <f>_xlfn.XLOOKUP(C151,Tab_Def_Flows[Name(EN)],Tab_Def_Flows[Type_Biomass],,0,)</f>
        <v>0</v>
      </c>
      <c r="E151" s="49">
        <f>_xlfn.XLOOKUP(C151,Tab_Def_Flows[Name(EN)],Tab_Def_Flows[Output_Process],,0,)</f>
        <v>0</v>
      </c>
      <c r="F151" s="49" t="str">
        <f>_xlfn.XLOOKUP(C151,Tab_Def_Flows[Name(EN)],Tab_Def_Flows[Process_ID_O],,0,)</f>
        <v>21__</v>
      </c>
      <c r="G151" s="49">
        <f>_xlfn.XLOOKUP(C151,Tab_Def_Flows[Name(EN)],Tab_Def_Flows[Input_Process],,0,)</f>
        <v>0</v>
      </c>
      <c r="H151" s="61" t="str">
        <f>_xlfn.XLOOKUP(C151,Tab_Def_Flows[Name(EN)],Tab_Def_Flows[Process_ID_I],,0,)</f>
        <v>21__</v>
      </c>
      <c r="I151" s="49">
        <f>_xlfn.XLOOKUP(C151,Tab_Def_Flows[Name(EN)],Tab_Def_Flows[Value_Source],,0,)</f>
        <v>0</v>
      </c>
      <c r="J151" s="49">
        <f>_xlfn.XLOOKUP(C151,Tab_Def_Flows[Name(EN)],Tab_Def_Flows[WC?],,0,)</f>
        <v>0</v>
      </c>
      <c r="K151" s="49">
        <f>_xlfn.XLOOKUP(C151,Tab_Def_Flows[Name(EN)],Tab_Def_Flows[DM?],,0,)</f>
        <v>0</v>
      </c>
      <c r="L151" s="49">
        <f>_xlfn.XLOOKUP(C151,Tab_Def_Flows[Name(EN)],Tab_Def_Flows[CC?],,0,)</f>
        <v>0</v>
      </c>
      <c r="M151" s="51"/>
      <c r="N151" s="51"/>
      <c r="O151" s="88"/>
      <c r="P151" s="51"/>
      <c r="Q151" s="51"/>
      <c r="R151" s="51"/>
      <c r="S151" s="51"/>
      <c r="T151" s="51"/>
      <c r="U151" s="51"/>
      <c r="V151" s="51"/>
      <c r="W151" s="51"/>
      <c r="X151" s="51"/>
      <c r="Y151" s="51"/>
      <c r="Z151" s="51"/>
      <c r="AA151" s="89"/>
      <c r="AB151" s="51"/>
      <c r="AC151" s="114" t="e">
        <f>INDEX(Tab_Def_Flows[[Flow_ID]:[CC_DM_source]],MATCH(Tab_Data_Flows[[#This Row],[Name(EN)]],Tab_Def_Flows[Name(EN)],0),16)</f>
        <v>#N/A</v>
      </c>
      <c r="AD151" s="115" t="str">
        <f>IF(J151="Yes",AA151*Tab_Data_Flows[[#This Row],[WC_'[%']]],"N.A.")</f>
        <v>N.A.</v>
      </c>
      <c r="AE151" s="61">
        <f>Tab_Data_Flows[[#This Row],[UoM_Flow_Py]]</f>
        <v>0</v>
      </c>
      <c r="AF151" s="114" t="e">
        <f>INDEX(Tab_Def_Flows[[Flow_ID]:[CC_DM_source]],MATCH(Tab_Data_Flows[[#This Row],[Name(EN)]],Tab_Def_Flows[Name(EN)],0),18)</f>
        <v>#N/A</v>
      </c>
      <c r="AG151" s="115" t="str">
        <f>IF(K151="Yes",AF151*Tab_Data_Flows[[#This Row],[Flow_Py]],"N.A.")</f>
        <v>N.A.</v>
      </c>
      <c r="AH151" s="61">
        <f>Tab_Data_Flows[[#This Row],[UoM_Flow_Py]]</f>
        <v>0</v>
      </c>
      <c r="AI151" s="114" t="e">
        <f>INDEX(Tab_Def_Flows[[Flow_ID]:[CC_DM_source]],MATCH(Tab_Data_Flows[[#This Row],[Name(EN)]],Tab_Def_Flows[Name(EN)],0),20)</f>
        <v>#N/A</v>
      </c>
      <c r="AJ151" s="115" t="str">
        <f>IF(L151="Yes",AI151*Tab_Data_Flows[[#This Row],[Flow_Py]],"N.A.")</f>
        <v>N.A.</v>
      </c>
      <c r="AK151" s="61">
        <f>Tab_Data_Flows[[#This Row],[UoM_Flow_Py]]</f>
        <v>0</v>
      </c>
    </row>
    <row r="152" spans="1:37" x14ac:dyDescent="0.35">
      <c r="A152" s="60">
        <f t="shared" si="4"/>
        <v>151</v>
      </c>
      <c r="B152" s="49" t="str">
        <f>_xlfn.XLOOKUP(C152,Tab_Def_Flows[Name(EN)],Tab_Def_Flows[Flow_ID],,0,)</f>
        <v>F_21_21</v>
      </c>
      <c r="C152" s="51"/>
      <c r="D152" s="49">
        <f>_xlfn.XLOOKUP(C152,Tab_Def_Flows[Name(EN)],Tab_Def_Flows[Type_Biomass],,0,)</f>
        <v>0</v>
      </c>
      <c r="E152" s="49">
        <f>_xlfn.XLOOKUP(C152,Tab_Def_Flows[Name(EN)],Tab_Def_Flows[Output_Process],,0,)</f>
        <v>0</v>
      </c>
      <c r="F152" s="49" t="str">
        <f>_xlfn.XLOOKUP(C152,Tab_Def_Flows[Name(EN)],Tab_Def_Flows[Process_ID_O],,0,)</f>
        <v>21__</v>
      </c>
      <c r="G152" s="49">
        <f>_xlfn.XLOOKUP(C152,Tab_Def_Flows[Name(EN)],Tab_Def_Flows[Input_Process],,0,)</f>
        <v>0</v>
      </c>
      <c r="H152" s="61" t="str">
        <f>_xlfn.XLOOKUP(C152,Tab_Def_Flows[Name(EN)],Tab_Def_Flows[Process_ID_I],,0,)</f>
        <v>21__</v>
      </c>
      <c r="I152" s="49">
        <f>_xlfn.XLOOKUP(C152,Tab_Def_Flows[Name(EN)],Tab_Def_Flows[Value_Source],,0,)</f>
        <v>0</v>
      </c>
      <c r="J152" s="49">
        <f>_xlfn.XLOOKUP(C152,Tab_Def_Flows[Name(EN)],Tab_Def_Flows[WC?],,0,)</f>
        <v>0</v>
      </c>
      <c r="K152" s="49">
        <f>_xlfn.XLOOKUP(C152,Tab_Def_Flows[Name(EN)],Tab_Def_Flows[DM?],,0,)</f>
        <v>0</v>
      </c>
      <c r="L152" s="49">
        <f>_xlfn.XLOOKUP(C152,Tab_Def_Flows[Name(EN)],Tab_Def_Flows[CC?],,0,)</f>
        <v>0</v>
      </c>
      <c r="M152" s="51"/>
      <c r="N152" s="51"/>
      <c r="O152" s="88"/>
      <c r="P152" s="51"/>
      <c r="Q152" s="51"/>
      <c r="R152" s="51"/>
      <c r="S152" s="51"/>
      <c r="T152" s="51"/>
      <c r="U152" s="51"/>
      <c r="V152" s="51"/>
      <c r="W152" s="51"/>
      <c r="X152" s="51"/>
      <c r="Y152" s="51"/>
      <c r="Z152" s="51"/>
      <c r="AA152" s="89"/>
      <c r="AB152" s="51"/>
      <c r="AC152" s="114" t="e">
        <f>INDEX(Tab_Def_Flows[[Flow_ID]:[CC_DM_source]],MATCH(Tab_Data_Flows[[#This Row],[Name(EN)]],Tab_Def_Flows[Name(EN)],0),16)</f>
        <v>#N/A</v>
      </c>
      <c r="AD152" s="115" t="str">
        <f>IF(J152="Yes",AA152*Tab_Data_Flows[[#This Row],[WC_'[%']]],"N.A.")</f>
        <v>N.A.</v>
      </c>
      <c r="AE152" s="61">
        <f>Tab_Data_Flows[[#This Row],[UoM_Flow_Py]]</f>
        <v>0</v>
      </c>
      <c r="AF152" s="114" t="e">
        <f>INDEX(Tab_Def_Flows[[Flow_ID]:[CC_DM_source]],MATCH(Tab_Data_Flows[[#This Row],[Name(EN)]],Tab_Def_Flows[Name(EN)],0),18)</f>
        <v>#N/A</v>
      </c>
      <c r="AG152" s="115" t="str">
        <f>IF(K152="Yes",AF152*Tab_Data_Flows[[#This Row],[Flow_Py]],"N.A.")</f>
        <v>N.A.</v>
      </c>
      <c r="AH152" s="61">
        <f>Tab_Data_Flows[[#This Row],[UoM_Flow_Py]]</f>
        <v>0</v>
      </c>
      <c r="AI152" s="114" t="e">
        <f>INDEX(Tab_Def_Flows[[Flow_ID]:[CC_DM_source]],MATCH(Tab_Data_Flows[[#This Row],[Name(EN)]],Tab_Def_Flows[Name(EN)],0),20)</f>
        <v>#N/A</v>
      </c>
      <c r="AJ152" s="115" t="str">
        <f>IF(L152="Yes",AI152*Tab_Data_Flows[[#This Row],[Flow_Py]],"N.A.")</f>
        <v>N.A.</v>
      </c>
      <c r="AK152" s="61">
        <f>Tab_Data_Flows[[#This Row],[UoM_Flow_Py]]</f>
        <v>0</v>
      </c>
    </row>
    <row r="153" spans="1:37" x14ac:dyDescent="0.35">
      <c r="A153" s="60">
        <f t="shared" si="4"/>
        <v>152</v>
      </c>
      <c r="B153" s="49" t="str">
        <f>_xlfn.XLOOKUP(C153,Tab_Def_Flows[Name(EN)],Tab_Def_Flows[Flow_ID],,0,)</f>
        <v>F_21_21</v>
      </c>
      <c r="C153" s="51"/>
      <c r="D153" s="49">
        <f>_xlfn.XLOOKUP(C153,Tab_Def_Flows[Name(EN)],Tab_Def_Flows[Type_Biomass],,0,)</f>
        <v>0</v>
      </c>
      <c r="E153" s="49">
        <f>_xlfn.XLOOKUP(C153,Tab_Def_Flows[Name(EN)],Tab_Def_Flows[Output_Process],,0,)</f>
        <v>0</v>
      </c>
      <c r="F153" s="49" t="str">
        <f>_xlfn.XLOOKUP(C153,Tab_Def_Flows[Name(EN)],Tab_Def_Flows[Process_ID_O],,0,)</f>
        <v>21__</v>
      </c>
      <c r="G153" s="49">
        <f>_xlfn.XLOOKUP(C153,Tab_Def_Flows[Name(EN)],Tab_Def_Flows[Input_Process],,0,)</f>
        <v>0</v>
      </c>
      <c r="H153" s="61" t="str">
        <f>_xlfn.XLOOKUP(C153,Tab_Def_Flows[Name(EN)],Tab_Def_Flows[Process_ID_I],,0,)</f>
        <v>21__</v>
      </c>
      <c r="I153" s="49">
        <f>_xlfn.XLOOKUP(C153,Tab_Def_Flows[Name(EN)],Tab_Def_Flows[Value_Source],,0,)</f>
        <v>0</v>
      </c>
      <c r="J153" s="49">
        <f>_xlfn.XLOOKUP(C153,Tab_Def_Flows[Name(EN)],Tab_Def_Flows[WC?],,0,)</f>
        <v>0</v>
      </c>
      <c r="K153" s="49">
        <f>_xlfn.XLOOKUP(C153,Tab_Def_Flows[Name(EN)],Tab_Def_Flows[DM?],,0,)</f>
        <v>0</v>
      </c>
      <c r="L153" s="49">
        <f>_xlfn.XLOOKUP(C153,Tab_Def_Flows[Name(EN)],Tab_Def_Flows[CC?],,0,)</f>
        <v>0</v>
      </c>
      <c r="M153" s="51"/>
      <c r="N153" s="51"/>
      <c r="O153" s="88"/>
      <c r="P153" s="51"/>
      <c r="Q153" s="51"/>
      <c r="R153" s="51"/>
      <c r="S153" s="51"/>
      <c r="T153" s="51"/>
      <c r="U153" s="51"/>
      <c r="V153" s="51"/>
      <c r="W153" s="51"/>
      <c r="X153" s="51"/>
      <c r="Y153" s="51"/>
      <c r="Z153" s="51"/>
      <c r="AA153" s="89"/>
      <c r="AB153" s="51"/>
      <c r="AC153" s="114" t="e">
        <f>INDEX(Tab_Def_Flows[[Flow_ID]:[CC_DM_source]],MATCH(Tab_Data_Flows[[#This Row],[Name(EN)]],Tab_Def_Flows[Name(EN)],0),16)</f>
        <v>#N/A</v>
      </c>
      <c r="AD153" s="115" t="str">
        <f>IF(J153="Yes",AA153*Tab_Data_Flows[[#This Row],[WC_'[%']]],"N.A.")</f>
        <v>N.A.</v>
      </c>
      <c r="AE153" s="61">
        <f>Tab_Data_Flows[[#This Row],[UoM_Flow_Py]]</f>
        <v>0</v>
      </c>
      <c r="AF153" s="114" t="e">
        <f>INDEX(Tab_Def_Flows[[Flow_ID]:[CC_DM_source]],MATCH(Tab_Data_Flows[[#This Row],[Name(EN)]],Tab_Def_Flows[Name(EN)],0),18)</f>
        <v>#N/A</v>
      </c>
      <c r="AG153" s="115" t="str">
        <f>IF(K153="Yes",AF153*Tab_Data_Flows[[#This Row],[Flow_Py]],"N.A.")</f>
        <v>N.A.</v>
      </c>
      <c r="AH153" s="61">
        <f>Tab_Data_Flows[[#This Row],[UoM_Flow_Py]]</f>
        <v>0</v>
      </c>
      <c r="AI153" s="114" t="e">
        <f>INDEX(Tab_Def_Flows[[Flow_ID]:[CC_DM_source]],MATCH(Tab_Data_Flows[[#This Row],[Name(EN)]],Tab_Def_Flows[Name(EN)],0),20)</f>
        <v>#N/A</v>
      </c>
      <c r="AJ153" s="115" t="str">
        <f>IF(L153="Yes",AI153*Tab_Data_Flows[[#This Row],[Flow_Py]],"N.A.")</f>
        <v>N.A.</v>
      </c>
      <c r="AK153" s="61">
        <f>Tab_Data_Flows[[#This Row],[UoM_Flow_Py]]</f>
        <v>0</v>
      </c>
    </row>
    <row r="154" spans="1:37" x14ac:dyDescent="0.35">
      <c r="A154" s="60">
        <f t="shared" si="4"/>
        <v>153</v>
      </c>
      <c r="B154" s="49" t="str">
        <f>_xlfn.XLOOKUP(C154,Tab_Def_Flows[Name(EN)],Tab_Def_Flows[Flow_ID],,0,)</f>
        <v>F_21_21</v>
      </c>
      <c r="C154" s="51"/>
      <c r="D154" s="49">
        <f>_xlfn.XLOOKUP(C154,Tab_Def_Flows[Name(EN)],Tab_Def_Flows[Type_Biomass],,0,)</f>
        <v>0</v>
      </c>
      <c r="E154" s="49">
        <f>_xlfn.XLOOKUP(C154,Tab_Def_Flows[Name(EN)],Tab_Def_Flows[Output_Process],,0,)</f>
        <v>0</v>
      </c>
      <c r="F154" s="49" t="str">
        <f>_xlfn.XLOOKUP(C154,Tab_Def_Flows[Name(EN)],Tab_Def_Flows[Process_ID_O],,0,)</f>
        <v>21__</v>
      </c>
      <c r="G154" s="49">
        <f>_xlfn.XLOOKUP(C154,Tab_Def_Flows[Name(EN)],Tab_Def_Flows[Input_Process],,0,)</f>
        <v>0</v>
      </c>
      <c r="H154" s="61" t="str">
        <f>_xlfn.XLOOKUP(C154,Tab_Def_Flows[Name(EN)],Tab_Def_Flows[Process_ID_I],,0,)</f>
        <v>21__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88"/>
      <c r="P154" s="51"/>
      <c r="Q154" s="51"/>
      <c r="R154" s="51"/>
      <c r="S154" s="51"/>
      <c r="T154" s="51"/>
      <c r="U154" s="51"/>
      <c r="V154" s="51"/>
      <c r="W154" s="51"/>
      <c r="X154" s="51"/>
      <c r="Y154" s="51"/>
      <c r="Z154" s="51"/>
      <c r="AA154" s="89"/>
      <c r="AB154" s="51"/>
      <c r="AC154" s="114" t="e">
        <f>INDEX(Tab_Def_Flows[[Flow_ID]:[CC_DM_source]],MATCH(Tab_Data_Flows[[#This Row],[Name(EN)]],Tab_Def_Flows[Name(EN)],0),16)</f>
        <v>#N/A</v>
      </c>
      <c r="AD154" s="115" t="str">
        <f>IF(J154="Yes",AA154*Tab_Data_Flows[[#This Row],[WC_'[%']]],"N.A.")</f>
        <v>N.A.</v>
      </c>
      <c r="AE154" s="61">
        <f>Tab_Data_Flows[[#This Row],[UoM_Flow_Py]]</f>
        <v>0</v>
      </c>
      <c r="AF154" s="114" t="e">
        <f>INDEX(Tab_Def_Flows[[Flow_ID]:[CC_DM_source]],MATCH(Tab_Data_Flows[[#This Row],[Name(EN)]],Tab_Def_Flows[Name(EN)],0),18)</f>
        <v>#N/A</v>
      </c>
      <c r="AG154" s="115" t="str">
        <f>IF(K154="Yes",AF154*Tab_Data_Flows[[#This Row],[Flow_Py]],"N.A.")</f>
        <v>N.A.</v>
      </c>
      <c r="AH154" s="61">
        <f>Tab_Data_Flows[[#This Row],[UoM_Flow_Py]]</f>
        <v>0</v>
      </c>
      <c r="AI154" s="114" t="e">
        <f>INDEX(Tab_Def_Flows[[Flow_ID]:[CC_DM_source]],MATCH(Tab_Data_Flows[[#This Row],[Name(EN)]],Tab_Def_Flows[Name(EN)],0),20)</f>
        <v>#N/A</v>
      </c>
      <c r="AJ154" s="115" t="str">
        <f>IF(L154="Yes",AI154*Tab_Data_Flows[[#This Row],[Flow_Py]],"N.A.")</f>
        <v>N.A.</v>
      </c>
      <c r="AK154" s="61">
        <f>Tab_Data_Flows[[#This Row],[UoM_Flow_Py]]</f>
        <v>0</v>
      </c>
    </row>
    <row r="155" spans="1:37" x14ac:dyDescent="0.35">
      <c r="A155" s="60">
        <f t="shared" si="4"/>
        <v>154</v>
      </c>
      <c r="B155" s="49" t="str">
        <f>_xlfn.XLOOKUP(C155,Tab_Def_Flows[Name(EN)],Tab_Def_Flows[Flow_ID],,0,)</f>
        <v>F_21_21</v>
      </c>
      <c r="C155" s="51"/>
      <c r="D155" s="49">
        <f>_xlfn.XLOOKUP(C155,Tab_Def_Flows[Name(EN)],Tab_Def_Flows[Type_Biomass],,0,)</f>
        <v>0</v>
      </c>
      <c r="E155" s="49">
        <f>_xlfn.XLOOKUP(C155,Tab_Def_Flows[Name(EN)],Tab_Def_Flows[Output_Process],,0,)</f>
        <v>0</v>
      </c>
      <c r="F155" s="49" t="str">
        <f>_xlfn.XLOOKUP(C155,Tab_Def_Flows[Name(EN)],Tab_Def_Flows[Process_ID_O],,0,)</f>
        <v>21__</v>
      </c>
      <c r="G155" s="49">
        <f>_xlfn.XLOOKUP(C155,Tab_Def_Flows[Name(EN)],Tab_Def_Flows[Input_Process],,0,)</f>
        <v>0</v>
      </c>
      <c r="H155" s="61" t="str">
        <f>_xlfn.XLOOKUP(C155,Tab_Def_Flows[Name(EN)],Tab_Def_Flows[Process_ID_I],,0,)</f>
        <v>21__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51"/>
      <c r="P155" s="51"/>
      <c r="Q155" s="51"/>
      <c r="R155" s="51"/>
      <c r="S155" s="51"/>
      <c r="T155" s="51"/>
      <c r="U155" s="51"/>
      <c r="V155" s="51"/>
      <c r="W155" s="51"/>
      <c r="X155" s="51"/>
      <c r="Y155" s="51"/>
      <c r="Z155" s="51"/>
      <c r="AA155" s="89"/>
      <c r="AB155" s="51"/>
      <c r="AC155" s="114" t="e">
        <f>INDEX(Tab_Def_Flows[[Flow_ID]:[CC_DM_source]],MATCH(Tab_Data_Flows[[#This Row],[Name(EN)]],Tab_Def_Flows[Name(EN)],0),16)</f>
        <v>#N/A</v>
      </c>
      <c r="AD155" s="115" t="str">
        <f>IF(J155="Yes",AA155*Tab_Data_Flows[[#This Row],[WC_'[%']]],"N.A.")</f>
        <v>N.A.</v>
      </c>
      <c r="AE155" s="61">
        <f>Tab_Data_Flows[[#This Row],[UoM_Flow_Py]]</f>
        <v>0</v>
      </c>
      <c r="AF155" s="114" t="e">
        <f>INDEX(Tab_Def_Flows[[Flow_ID]:[CC_DM_source]],MATCH(Tab_Data_Flows[[#This Row],[Name(EN)]],Tab_Def_Flows[Name(EN)],0),18)</f>
        <v>#N/A</v>
      </c>
      <c r="AG155" s="115" t="str">
        <f>IF(K155="Yes",AF155*Tab_Data_Flows[[#This Row],[Flow_Py]],"N.A.")</f>
        <v>N.A.</v>
      </c>
      <c r="AH155" s="61">
        <f>Tab_Data_Flows[[#This Row],[UoM_Flow_Py]]</f>
        <v>0</v>
      </c>
      <c r="AI155" s="114" t="e">
        <f>INDEX(Tab_Def_Flows[[Flow_ID]:[CC_DM_source]],MATCH(Tab_Data_Flows[[#This Row],[Name(EN)]],Tab_Def_Flows[Name(EN)],0),20)</f>
        <v>#N/A</v>
      </c>
      <c r="AJ155" s="115" t="str">
        <f>IF(L155="Yes",AI155*Tab_Data_Flows[[#This Row],[Flow_Py]],"N.A.")</f>
        <v>N.A.</v>
      </c>
      <c r="AK155" s="61">
        <f>Tab_Data_Flows[[#This Row],[UoM_Flow_Py]]</f>
        <v>0</v>
      </c>
    </row>
    <row r="156" spans="1:37" x14ac:dyDescent="0.35">
      <c r="A156" s="60">
        <f t="shared" si="4"/>
        <v>155</v>
      </c>
      <c r="B156" s="49" t="str">
        <f>_xlfn.XLOOKUP(C156,Tab_Def_Flows[Name(EN)],Tab_Def_Flows[Flow_ID],,0,)</f>
        <v>F_21_21</v>
      </c>
      <c r="C156" s="51"/>
      <c r="D156" s="49">
        <f>_xlfn.XLOOKUP(C156,Tab_Def_Flows[Name(EN)],Tab_Def_Flows[Type_Biomass],,0,)</f>
        <v>0</v>
      </c>
      <c r="E156" s="49">
        <f>_xlfn.XLOOKUP(C156,Tab_Def_Flows[Name(EN)],Tab_Def_Flows[Output_Process],,0,)</f>
        <v>0</v>
      </c>
      <c r="F156" s="49" t="str">
        <f>_xlfn.XLOOKUP(C156,Tab_Def_Flows[Name(EN)],Tab_Def_Flows[Process_ID_O],,0,)</f>
        <v>21__</v>
      </c>
      <c r="G156" s="49">
        <f>_xlfn.XLOOKUP(C156,Tab_Def_Flows[Name(EN)],Tab_Def_Flows[Input_Process],,0,)</f>
        <v>0</v>
      </c>
      <c r="H156" s="61" t="str">
        <f>_xlfn.XLOOKUP(C156,Tab_Def_Flows[Name(EN)],Tab_Def_Flows[Process_ID_I],,0,)</f>
        <v>21__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88"/>
      <c r="P156" s="51"/>
      <c r="Q156" s="51"/>
      <c r="R156" s="51"/>
      <c r="S156" s="51"/>
      <c r="T156" s="51"/>
      <c r="U156" s="51"/>
      <c r="V156" s="51"/>
      <c r="W156" s="51"/>
      <c r="X156" s="51"/>
      <c r="Y156" s="51"/>
      <c r="Z156" s="51"/>
      <c r="AA156" s="89"/>
      <c r="AB156" s="51"/>
      <c r="AC156" s="114" t="e">
        <f>INDEX(Tab_Def_Flows[[Flow_ID]:[CC_DM_source]],MATCH(Tab_Data_Flows[[#This Row],[Name(EN)]],Tab_Def_Flows[Name(EN)],0),16)</f>
        <v>#N/A</v>
      </c>
      <c r="AD156" s="115" t="str">
        <f>IF(J156="Yes",AA156*Tab_Data_Flows[[#This Row],[WC_'[%']]],"N.A.")</f>
        <v>N.A.</v>
      </c>
      <c r="AE156" s="61">
        <f>Tab_Data_Flows[[#This Row],[UoM_Flow_Py]]</f>
        <v>0</v>
      </c>
      <c r="AF156" s="114" t="e">
        <f>INDEX(Tab_Def_Flows[[Flow_ID]:[CC_DM_source]],MATCH(Tab_Data_Flows[[#This Row],[Name(EN)]],Tab_Def_Flows[Name(EN)],0),18)</f>
        <v>#N/A</v>
      </c>
      <c r="AG156" s="115" t="str">
        <f>IF(K156="Yes",AF156*Tab_Data_Flows[[#This Row],[Flow_Py]],"N.A.")</f>
        <v>N.A.</v>
      </c>
      <c r="AH156" s="61">
        <f>Tab_Data_Flows[[#This Row],[UoM_Flow_Py]]</f>
        <v>0</v>
      </c>
      <c r="AI156" s="114" t="e">
        <f>INDEX(Tab_Def_Flows[[Flow_ID]:[CC_DM_source]],MATCH(Tab_Data_Flows[[#This Row],[Name(EN)]],Tab_Def_Flows[Name(EN)],0),20)</f>
        <v>#N/A</v>
      </c>
      <c r="AJ156" s="115" t="str">
        <f>IF(L156="Yes",AI156*Tab_Data_Flows[[#This Row],[Flow_Py]],"N.A.")</f>
        <v>N.A.</v>
      </c>
      <c r="AK156" s="61">
        <f>Tab_Data_Flows[[#This Row],[UoM_Flow_Py]]</f>
        <v>0</v>
      </c>
    </row>
    <row r="157" spans="1:37" x14ac:dyDescent="0.35">
      <c r="A157" s="60">
        <f t="shared" si="4"/>
        <v>156</v>
      </c>
      <c r="B157" s="49" t="str">
        <f>_xlfn.XLOOKUP(C157,Tab_Def_Flows[Name(EN)],Tab_Def_Flows[Flow_ID],,0,)</f>
        <v>F_21_21</v>
      </c>
      <c r="C157" s="51"/>
      <c r="D157" s="49">
        <f>_xlfn.XLOOKUP(C157,Tab_Def_Flows[Name(EN)],Tab_Def_Flows[Type_Biomass],,0,)</f>
        <v>0</v>
      </c>
      <c r="E157" s="49">
        <f>_xlfn.XLOOKUP(C157,Tab_Def_Flows[Name(EN)],Tab_Def_Flows[Output_Process],,0,)</f>
        <v>0</v>
      </c>
      <c r="F157" s="49" t="str">
        <f>_xlfn.XLOOKUP(C157,Tab_Def_Flows[Name(EN)],Tab_Def_Flows[Process_ID_O],,0,)</f>
        <v>21__</v>
      </c>
      <c r="G157" s="49">
        <f>_xlfn.XLOOKUP(C157,Tab_Def_Flows[Name(EN)],Tab_Def_Flows[Input_Process],,0,)</f>
        <v>0</v>
      </c>
      <c r="H157" s="61" t="str">
        <f>_xlfn.XLOOKUP(C157,Tab_Def_Flows[Name(EN)],Tab_Def_Flows[Process_ID_I],,0,)</f>
        <v>21__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88"/>
      <c r="P157" s="51"/>
      <c r="Q157" s="51"/>
      <c r="R157" s="51"/>
      <c r="S157" s="51"/>
      <c r="T157" s="51"/>
      <c r="U157" s="51"/>
      <c r="V157" s="51"/>
      <c r="W157" s="51"/>
      <c r="X157" s="51"/>
      <c r="Y157" s="51"/>
      <c r="Z157" s="51"/>
      <c r="AA157" s="89"/>
      <c r="AB157" s="51"/>
      <c r="AC157" s="114" t="e">
        <f>INDEX(Tab_Def_Flows[[Flow_ID]:[CC_DM_source]],MATCH(Tab_Data_Flows[[#This Row],[Name(EN)]],Tab_Def_Flows[Name(EN)],0),16)</f>
        <v>#N/A</v>
      </c>
      <c r="AD157" s="115" t="str">
        <f>IF(J157="Yes",AA157*Tab_Data_Flows[[#This Row],[WC_'[%']]],"N.A.")</f>
        <v>N.A.</v>
      </c>
      <c r="AE157" s="61">
        <f>Tab_Data_Flows[[#This Row],[UoM_Flow_Py]]</f>
        <v>0</v>
      </c>
      <c r="AF157" s="114" t="e">
        <f>INDEX(Tab_Def_Flows[[Flow_ID]:[CC_DM_source]],MATCH(Tab_Data_Flows[[#This Row],[Name(EN)]],Tab_Def_Flows[Name(EN)],0),18)</f>
        <v>#N/A</v>
      </c>
      <c r="AG157" s="115" t="str">
        <f>IF(K157="Yes",AF157*Tab_Data_Flows[[#This Row],[Flow_Py]],"N.A.")</f>
        <v>N.A.</v>
      </c>
      <c r="AH157" s="61">
        <f>Tab_Data_Flows[[#This Row],[UoM_Flow_Py]]</f>
        <v>0</v>
      </c>
      <c r="AI157" s="114" t="e">
        <f>INDEX(Tab_Def_Flows[[Flow_ID]:[CC_DM_source]],MATCH(Tab_Data_Flows[[#This Row],[Name(EN)]],Tab_Def_Flows[Name(EN)],0),20)</f>
        <v>#N/A</v>
      </c>
      <c r="AJ157" s="115" t="str">
        <f>IF(L157="Yes",AI157*Tab_Data_Flows[[#This Row],[Flow_Py]],"N.A.")</f>
        <v>N.A.</v>
      </c>
      <c r="AK157" s="61">
        <f>Tab_Data_Flows[[#This Row],[UoM_Flow_Py]]</f>
        <v>0</v>
      </c>
    </row>
    <row r="158" spans="1:37" x14ac:dyDescent="0.35">
      <c r="A158" s="60">
        <f t="shared" si="4"/>
        <v>157</v>
      </c>
      <c r="B158" s="49" t="str">
        <f>_xlfn.XLOOKUP(C158,Tab_Def_Flows[Name(EN)],Tab_Def_Flows[Flow_ID],,0,)</f>
        <v>F_21_21</v>
      </c>
      <c r="C158" s="51"/>
      <c r="D158" s="49">
        <f>_xlfn.XLOOKUP(C158,Tab_Def_Flows[Name(EN)],Tab_Def_Flows[Type_Biomass],,0,)</f>
        <v>0</v>
      </c>
      <c r="E158" s="49">
        <f>_xlfn.XLOOKUP(C158,Tab_Def_Flows[Name(EN)],Tab_Def_Flows[Output_Process],,0,)</f>
        <v>0</v>
      </c>
      <c r="F158" s="49" t="str">
        <f>_xlfn.XLOOKUP(C158,Tab_Def_Flows[Name(EN)],Tab_Def_Flows[Process_ID_O],,0,)</f>
        <v>21__</v>
      </c>
      <c r="G158" s="49">
        <f>_xlfn.XLOOKUP(C158,Tab_Def_Flows[Name(EN)],Tab_Def_Flows[Input_Process],,0,)</f>
        <v>0</v>
      </c>
      <c r="H158" s="61" t="str">
        <f>_xlfn.XLOOKUP(C158,Tab_Def_Flows[Name(EN)],Tab_Def_Flows[Process_ID_I],,0,)</f>
        <v>21__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88"/>
      <c r="P158" s="51"/>
      <c r="Q158" s="51"/>
      <c r="R158" s="51"/>
      <c r="S158" s="51"/>
      <c r="T158" s="51"/>
      <c r="U158" s="51"/>
      <c r="V158" s="51"/>
      <c r="W158" s="51"/>
      <c r="X158" s="51"/>
      <c r="Y158" s="51"/>
      <c r="Z158" s="51"/>
      <c r="AA158" s="89"/>
      <c r="AB158" s="51"/>
      <c r="AC158" s="114" t="e">
        <f>INDEX(Tab_Def_Flows[[Flow_ID]:[CC_DM_source]],MATCH(Tab_Data_Flows[[#This Row],[Name(EN)]],Tab_Def_Flows[Name(EN)],0),16)</f>
        <v>#N/A</v>
      </c>
      <c r="AD158" s="115" t="str">
        <f>IF(J158="Yes",AA158*Tab_Data_Flows[[#This Row],[WC_'[%']]],"N.A.")</f>
        <v>N.A.</v>
      </c>
      <c r="AE158" s="61">
        <f>Tab_Data_Flows[[#This Row],[UoM_Flow_Py]]</f>
        <v>0</v>
      </c>
      <c r="AF158" s="114" t="e">
        <f>INDEX(Tab_Def_Flows[[Flow_ID]:[CC_DM_source]],MATCH(Tab_Data_Flows[[#This Row],[Name(EN)]],Tab_Def_Flows[Name(EN)],0),18)</f>
        <v>#N/A</v>
      </c>
      <c r="AG158" s="115" t="str">
        <f>IF(K158="Yes",AF158*Tab_Data_Flows[[#This Row],[Flow_Py]],"N.A.")</f>
        <v>N.A.</v>
      </c>
      <c r="AH158" s="61">
        <f>Tab_Data_Flows[[#This Row],[UoM_Flow_Py]]</f>
        <v>0</v>
      </c>
      <c r="AI158" s="114" t="e">
        <f>INDEX(Tab_Def_Flows[[Flow_ID]:[CC_DM_source]],MATCH(Tab_Data_Flows[[#This Row],[Name(EN)]],Tab_Def_Flows[Name(EN)],0),20)</f>
        <v>#N/A</v>
      </c>
      <c r="AJ158" s="115" t="str">
        <f>IF(L158="Yes",AI158*Tab_Data_Flows[[#This Row],[Flow_Py]],"N.A.")</f>
        <v>N.A.</v>
      </c>
      <c r="AK158" s="61">
        <f>Tab_Data_Flows[[#This Row],[UoM_Flow_Py]]</f>
        <v>0</v>
      </c>
    </row>
    <row r="159" spans="1:37" x14ac:dyDescent="0.35">
      <c r="A159" s="60">
        <f t="shared" si="4"/>
        <v>158</v>
      </c>
      <c r="B159" s="49" t="str">
        <f>_xlfn.XLOOKUP(C159,Tab_Def_Flows[Name(EN)],Tab_Def_Flows[Flow_ID],,0,)</f>
        <v>F_21_21</v>
      </c>
      <c r="C159" s="51"/>
      <c r="D159" s="49">
        <f>_xlfn.XLOOKUP(C159,Tab_Def_Flows[Name(EN)],Tab_Def_Flows[Type_Biomass],,0,)</f>
        <v>0</v>
      </c>
      <c r="E159" s="49">
        <f>_xlfn.XLOOKUP(C159,Tab_Def_Flows[Name(EN)],Tab_Def_Flows[Output_Process],,0,)</f>
        <v>0</v>
      </c>
      <c r="F159" s="49" t="str">
        <f>_xlfn.XLOOKUP(C159,Tab_Def_Flows[Name(EN)],Tab_Def_Flows[Process_ID_O],,0,)</f>
        <v>21__</v>
      </c>
      <c r="G159" s="49">
        <f>_xlfn.XLOOKUP(C159,Tab_Def_Flows[Name(EN)],Tab_Def_Flows[Input_Process],,0,)</f>
        <v>0</v>
      </c>
      <c r="H159" s="61" t="str">
        <f>_xlfn.XLOOKUP(C159,Tab_Def_Flows[Name(EN)],Tab_Def_Flows[Process_ID_I],,0,)</f>
        <v>21__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88"/>
      <c r="P159" s="51"/>
      <c r="Q159" s="51"/>
      <c r="R159" s="51"/>
      <c r="S159" s="51"/>
      <c r="T159" s="51"/>
      <c r="U159" s="51"/>
      <c r="V159" s="51"/>
      <c r="W159" s="51"/>
      <c r="X159" s="51"/>
      <c r="Y159" s="51"/>
      <c r="Z159" s="51"/>
      <c r="AA159" s="89"/>
      <c r="AB159" s="51"/>
      <c r="AC159" s="114" t="e">
        <f>INDEX(Tab_Def_Flows[[Flow_ID]:[CC_DM_source]],MATCH(Tab_Data_Flows[[#This Row],[Name(EN)]],Tab_Def_Flows[Name(EN)],0),16)</f>
        <v>#N/A</v>
      </c>
      <c r="AD159" s="115" t="str">
        <f>IF(J159="Yes",AA159*Tab_Data_Flows[[#This Row],[WC_'[%']]],"N.A.")</f>
        <v>N.A.</v>
      </c>
      <c r="AE159" s="61">
        <f>Tab_Data_Flows[[#This Row],[UoM_Flow_Py]]</f>
        <v>0</v>
      </c>
      <c r="AF159" s="114" t="e">
        <f>INDEX(Tab_Def_Flows[[Flow_ID]:[CC_DM_source]],MATCH(Tab_Data_Flows[[#This Row],[Name(EN)]],Tab_Def_Flows[Name(EN)],0),18)</f>
        <v>#N/A</v>
      </c>
      <c r="AG159" s="115" t="str">
        <f>IF(K159="Yes",AF159*Tab_Data_Flows[[#This Row],[Flow_Py]],"N.A.")</f>
        <v>N.A.</v>
      </c>
      <c r="AH159" s="61">
        <f>Tab_Data_Flows[[#This Row],[UoM_Flow_Py]]</f>
        <v>0</v>
      </c>
      <c r="AI159" s="114" t="e">
        <f>INDEX(Tab_Def_Flows[[Flow_ID]:[CC_DM_source]],MATCH(Tab_Data_Flows[[#This Row],[Name(EN)]],Tab_Def_Flows[Name(EN)],0),20)</f>
        <v>#N/A</v>
      </c>
      <c r="AJ159" s="115" t="str">
        <f>IF(L159="Yes",AI159*Tab_Data_Flows[[#This Row],[Flow_Py]],"N.A.")</f>
        <v>N.A.</v>
      </c>
      <c r="AK159" s="61">
        <f>Tab_Data_Flows[[#This Row],[UoM_Flow_Py]]</f>
        <v>0</v>
      </c>
    </row>
    <row r="160" spans="1:37" x14ac:dyDescent="0.35">
      <c r="A160" s="60">
        <f t="shared" si="4"/>
        <v>159</v>
      </c>
      <c r="B160" s="49" t="str">
        <f>_xlfn.XLOOKUP(C160,Tab_Def_Flows[Name(EN)],Tab_Def_Flows[Flow_ID],,0,)</f>
        <v>F_21_21</v>
      </c>
      <c r="C160" s="51"/>
      <c r="D160" s="49">
        <f>_xlfn.XLOOKUP(C160,Tab_Def_Flows[Name(EN)],Tab_Def_Flows[Type_Biomass],,0,)</f>
        <v>0</v>
      </c>
      <c r="E160" s="49">
        <f>_xlfn.XLOOKUP(C160,Tab_Def_Flows[Name(EN)],Tab_Def_Flows[Output_Process],,0,)</f>
        <v>0</v>
      </c>
      <c r="F160" s="49" t="str">
        <f>_xlfn.XLOOKUP(C160,Tab_Def_Flows[Name(EN)],Tab_Def_Flows[Process_ID_O],,0,)</f>
        <v>21__</v>
      </c>
      <c r="G160" s="49">
        <f>_xlfn.XLOOKUP(C160,Tab_Def_Flows[Name(EN)],Tab_Def_Flows[Input_Process],,0,)</f>
        <v>0</v>
      </c>
      <c r="H160" s="61" t="str">
        <f>_xlfn.XLOOKUP(C160,Tab_Def_Flows[Name(EN)],Tab_Def_Flows[Process_ID_I],,0,)</f>
        <v>21__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88"/>
      <c r="P160" s="51"/>
      <c r="Q160" s="51"/>
      <c r="R160" s="51"/>
      <c r="S160" s="51"/>
      <c r="T160" s="51"/>
      <c r="U160" s="51"/>
      <c r="V160" s="51"/>
      <c r="W160" s="51"/>
      <c r="X160" s="51"/>
      <c r="Y160" s="51"/>
      <c r="Z160" s="51"/>
      <c r="AA160" s="89"/>
      <c r="AB160" s="51"/>
      <c r="AC160" s="114" t="e">
        <f>INDEX(Tab_Def_Flows[[Flow_ID]:[CC_DM_source]],MATCH(Tab_Data_Flows[[#This Row],[Name(EN)]],Tab_Def_Flows[Name(EN)],0),16)</f>
        <v>#N/A</v>
      </c>
      <c r="AD160" s="115" t="str">
        <f>IF(J160="Yes",AA160*Tab_Data_Flows[[#This Row],[WC_'[%']]],"N.A.")</f>
        <v>N.A.</v>
      </c>
      <c r="AE160" s="61">
        <f>Tab_Data_Flows[[#This Row],[UoM_Flow_Py]]</f>
        <v>0</v>
      </c>
      <c r="AF160" s="114" t="e">
        <f>INDEX(Tab_Def_Flows[[Flow_ID]:[CC_DM_source]],MATCH(Tab_Data_Flows[[#This Row],[Name(EN)]],Tab_Def_Flows[Name(EN)],0),18)</f>
        <v>#N/A</v>
      </c>
      <c r="AG160" s="115" t="str">
        <f>IF(K160="Yes",AF160*Tab_Data_Flows[[#This Row],[Flow_Py]],"N.A.")</f>
        <v>N.A.</v>
      </c>
      <c r="AH160" s="61">
        <f>Tab_Data_Flows[[#This Row],[UoM_Flow_Py]]</f>
        <v>0</v>
      </c>
      <c r="AI160" s="114" t="e">
        <f>INDEX(Tab_Def_Flows[[Flow_ID]:[CC_DM_source]],MATCH(Tab_Data_Flows[[#This Row],[Name(EN)]],Tab_Def_Flows[Name(EN)],0),20)</f>
        <v>#N/A</v>
      </c>
      <c r="AJ160" s="115" t="str">
        <f>IF(L160="Yes",AI160*Tab_Data_Flows[[#This Row],[Flow_Py]],"N.A.")</f>
        <v>N.A.</v>
      </c>
      <c r="AK160" s="61">
        <f>Tab_Data_Flows[[#This Row],[UoM_Flow_Py]]</f>
        <v>0</v>
      </c>
    </row>
    <row r="161" spans="1:37" x14ac:dyDescent="0.35">
      <c r="A161" s="60">
        <f t="shared" si="4"/>
        <v>160</v>
      </c>
      <c r="B161" s="49" t="str">
        <f>_xlfn.XLOOKUP(C161,Tab_Def_Flows[Name(EN)],Tab_Def_Flows[Flow_ID],,0,)</f>
        <v>F_21_21</v>
      </c>
      <c r="C161" s="51"/>
      <c r="D161" s="49">
        <f>_xlfn.XLOOKUP(C161,Tab_Def_Flows[Name(EN)],Tab_Def_Flows[Type_Biomass],,0,)</f>
        <v>0</v>
      </c>
      <c r="E161" s="49">
        <f>_xlfn.XLOOKUP(C161,Tab_Def_Flows[Name(EN)],Tab_Def_Flows[Output_Process],,0,)</f>
        <v>0</v>
      </c>
      <c r="F161" s="49" t="str">
        <f>_xlfn.XLOOKUP(C161,Tab_Def_Flows[Name(EN)],Tab_Def_Flows[Process_ID_O],,0,)</f>
        <v>21__</v>
      </c>
      <c r="G161" s="49">
        <f>_xlfn.XLOOKUP(C161,Tab_Def_Flows[Name(EN)],Tab_Def_Flows[Input_Process],,0,)</f>
        <v>0</v>
      </c>
      <c r="H161" s="61" t="str">
        <f>_xlfn.XLOOKUP(C161,Tab_Def_Flows[Name(EN)],Tab_Def_Flows[Process_ID_I],,0,)</f>
        <v>21__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88"/>
      <c r="P161" s="51"/>
      <c r="Q161" s="51"/>
      <c r="R161" s="51"/>
      <c r="S161" s="51"/>
      <c r="T161" s="51"/>
      <c r="U161" s="51"/>
      <c r="V161" s="51"/>
      <c r="W161" s="51"/>
      <c r="X161" s="51"/>
      <c r="Y161" s="51"/>
      <c r="Z161" s="51"/>
      <c r="AA161" s="89"/>
      <c r="AB161" s="51"/>
      <c r="AC161" s="114" t="e">
        <f>INDEX(Tab_Def_Flows[[Flow_ID]:[CC_DM_source]],MATCH(Tab_Data_Flows[[#This Row],[Name(EN)]],Tab_Def_Flows[Name(EN)],0),16)</f>
        <v>#N/A</v>
      </c>
      <c r="AD161" s="115" t="str">
        <f>IF(J161="Yes",AA161*Tab_Data_Flows[[#This Row],[WC_'[%']]],"N.A.")</f>
        <v>N.A.</v>
      </c>
      <c r="AE161" s="61">
        <f>Tab_Data_Flows[[#This Row],[UoM_Flow_Py]]</f>
        <v>0</v>
      </c>
      <c r="AF161" s="114" t="e">
        <f>INDEX(Tab_Def_Flows[[Flow_ID]:[CC_DM_source]],MATCH(Tab_Data_Flows[[#This Row],[Name(EN)]],Tab_Def_Flows[Name(EN)],0),18)</f>
        <v>#N/A</v>
      </c>
      <c r="AG161" s="115" t="str">
        <f>IF(K161="Yes",AF161*Tab_Data_Flows[[#This Row],[Flow_Py]],"N.A.")</f>
        <v>N.A.</v>
      </c>
      <c r="AH161" s="61">
        <f>Tab_Data_Flows[[#This Row],[UoM_Flow_Py]]</f>
        <v>0</v>
      </c>
      <c r="AI161" s="114" t="e">
        <f>INDEX(Tab_Def_Flows[[Flow_ID]:[CC_DM_source]],MATCH(Tab_Data_Flows[[#This Row],[Name(EN)]],Tab_Def_Flows[Name(EN)],0),20)</f>
        <v>#N/A</v>
      </c>
      <c r="AJ161" s="115" t="str">
        <f>IF(L161="Yes",AI161*Tab_Data_Flows[[#This Row],[Flow_Py]],"N.A.")</f>
        <v>N.A.</v>
      </c>
      <c r="AK161" s="61">
        <f>Tab_Data_Flows[[#This Row],[UoM_Flow_Py]]</f>
        <v>0</v>
      </c>
    </row>
    <row r="162" spans="1:37" x14ac:dyDescent="0.35">
      <c r="A162" s="60">
        <f t="shared" si="4"/>
        <v>161</v>
      </c>
      <c r="B162" s="49" t="str">
        <f>_xlfn.XLOOKUP(C162,Tab_Def_Flows[Name(EN)],Tab_Def_Flows[Flow_ID],,0,)</f>
        <v>F_21_21</v>
      </c>
      <c r="C162" s="51"/>
      <c r="D162" s="49">
        <f>_xlfn.XLOOKUP(C162,Tab_Def_Flows[Name(EN)],Tab_Def_Flows[Type_Biomass],,0,)</f>
        <v>0</v>
      </c>
      <c r="E162" s="49">
        <f>_xlfn.XLOOKUP(C162,Tab_Def_Flows[Name(EN)],Tab_Def_Flows[Output_Process],,0,)</f>
        <v>0</v>
      </c>
      <c r="F162" s="49" t="str">
        <f>_xlfn.XLOOKUP(C162,Tab_Def_Flows[Name(EN)],Tab_Def_Flows[Process_ID_O],,0,)</f>
        <v>21__</v>
      </c>
      <c r="G162" s="49">
        <f>_xlfn.XLOOKUP(C162,Tab_Def_Flows[Name(EN)],Tab_Def_Flows[Input_Process],,0,)</f>
        <v>0</v>
      </c>
      <c r="H162" s="61" t="str">
        <f>_xlfn.XLOOKUP(C162,Tab_Def_Flows[Name(EN)],Tab_Def_Flows[Process_ID_I],,0,)</f>
        <v>21__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88"/>
      <c r="P162" s="51"/>
      <c r="Q162" s="51"/>
      <c r="R162" s="51"/>
      <c r="S162" s="51"/>
      <c r="T162" s="51"/>
      <c r="U162" s="51"/>
      <c r="V162" s="51"/>
      <c r="W162" s="51"/>
      <c r="X162" s="51"/>
      <c r="Y162" s="51"/>
      <c r="Z162" s="51"/>
      <c r="AA162" s="89"/>
      <c r="AB162" s="51"/>
      <c r="AC162" s="114" t="e">
        <f>INDEX(Tab_Def_Flows[[Flow_ID]:[CC_DM_source]],MATCH(Tab_Data_Flows[[#This Row],[Name(EN)]],Tab_Def_Flows[Name(EN)],0),16)</f>
        <v>#N/A</v>
      </c>
      <c r="AD162" s="115" t="str">
        <f>IF(J162="Yes",AA162*Tab_Data_Flows[[#This Row],[WC_'[%']]],"N.A.")</f>
        <v>N.A.</v>
      </c>
      <c r="AE162" s="61">
        <f>Tab_Data_Flows[[#This Row],[UoM_Flow_Py]]</f>
        <v>0</v>
      </c>
      <c r="AF162" s="114" t="e">
        <f>INDEX(Tab_Def_Flows[[Flow_ID]:[CC_DM_source]],MATCH(Tab_Data_Flows[[#This Row],[Name(EN)]],Tab_Def_Flows[Name(EN)],0),18)</f>
        <v>#N/A</v>
      </c>
      <c r="AG162" s="115" t="str">
        <f>IF(K162="Yes",AF162*Tab_Data_Flows[[#This Row],[Flow_Py]],"N.A.")</f>
        <v>N.A.</v>
      </c>
      <c r="AH162" s="61">
        <f>Tab_Data_Flows[[#This Row],[UoM_Flow_Py]]</f>
        <v>0</v>
      </c>
      <c r="AI162" s="114" t="e">
        <f>INDEX(Tab_Def_Flows[[Flow_ID]:[CC_DM_source]],MATCH(Tab_Data_Flows[[#This Row],[Name(EN)]],Tab_Def_Flows[Name(EN)],0),20)</f>
        <v>#N/A</v>
      </c>
      <c r="AJ162" s="115" t="str">
        <f>IF(L162="Yes",AI162*Tab_Data_Flows[[#This Row],[Flow_Py]],"N.A.")</f>
        <v>N.A.</v>
      </c>
      <c r="AK162" s="61">
        <f>Tab_Data_Flows[[#This Row],[UoM_Flow_Py]]</f>
        <v>0</v>
      </c>
    </row>
    <row r="163" spans="1:37" x14ac:dyDescent="0.35">
      <c r="A163" s="60">
        <f t="shared" si="4"/>
        <v>162</v>
      </c>
      <c r="B163" s="49" t="str">
        <f>_xlfn.XLOOKUP(C163,Tab_Def_Flows[Name(EN)],Tab_Def_Flows[Flow_ID],,0,)</f>
        <v>F_21_21</v>
      </c>
      <c r="C163" s="51"/>
      <c r="D163" s="49">
        <f>_xlfn.XLOOKUP(C163,Tab_Def_Flows[Name(EN)],Tab_Def_Flows[Type_Biomass],,0,)</f>
        <v>0</v>
      </c>
      <c r="E163" s="49">
        <f>_xlfn.XLOOKUP(C163,Tab_Def_Flows[Name(EN)],Tab_Def_Flows[Output_Process],,0,)</f>
        <v>0</v>
      </c>
      <c r="F163" s="49" t="str">
        <f>_xlfn.XLOOKUP(C163,Tab_Def_Flows[Name(EN)],Tab_Def_Flows[Process_ID_O],,0,)</f>
        <v>21__</v>
      </c>
      <c r="G163" s="49">
        <f>_xlfn.XLOOKUP(C163,Tab_Def_Flows[Name(EN)],Tab_Def_Flows[Input_Process],,0,)</f>
        <v>0</v>
      </c>
      <c r="H163" s="61" t="str">
        <f>_xlfn.XLOOKUP(C163,Tab_Def_Flows[Name(EN)],Tab_Def_Flows[Process_ID_I],,0,)</f>
        <v>21__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88"/>
      <c r="P163" s="51"/>
      <c r="Q163" s="51"/>
      <c r="R163" s="51"/>
      <c r="S163" s="51"/>
      <c r="T163" s="51"/>
      <c r="U163" s="51"/>
      <c r="V163" s="51"/>
      <c r="W163" s="51"/>
      <c r="X163" s="51"/>
      <c r="Y163" s="51"/>
      <c r="Z163" s="51"/>
      <c r="AA163" s="89"/>
      <c r="AB163" s="51"/>
      <c r="AC163" s="114" t="e">
        <f>INDEX(Tab_Def_Flows[[Flow_ID]:[CC_DM_source]],MATCH(Tab_Data_Flows[[#This Row],[Name(EN)]],Tab_Def_Flows[Name(EN)],0),16)</f>
        <v>#N/A</v>
      </c>
      <c r="AD163" s="115" t="str">
        <f>IF(J163="Yes",AA163*Tab_Data_Flows[[#This Row],[WC_'[%']]],"N.A.")</f>
        <v>N.A.</v>
      </c>
      <c r="AE163" s="61">
        <f>Tab_Data_Flows[[#This Row],[UoM_Flow_Py]]</f>
        <v>0</v>
      </c>
      <c r="AF163" s="114" t="e">
        <f>INDEX(Tab_Def_Flows[[Flow_ID]:[CC_DM_source]],MATCH(Tab_Data_Flows[[#This Row],[Name(EN)]],Tab_Def_Flows[Name(EN)],0),18)</f>
        <v>#N/A</v>
      </c>
      <c r="AG163" s="115" t="str">
        <f>IF(K163="Yes",AF163*Tab_Data_Flows[[#This Row],[Flow_Py]],"N.A.")</f>
        <v>N.A.</v>
      </c>
      <c r="AH163" s="61">
        <f>Tab_Data_Flows[[#This Row],[UoM_Flow_Py]]</f>
        <v>0</v>
      </c>
      <c r="AI163" s="114" t="e">
        <f>INDEX(Tab_Def_Flows[[Flow_ID]:[CC_DM_source]],MATCH(Tab_Data_Flows[[#This Row],[Name(EN)]],Tab_Def_Flows[Name(EN)],0),20)</f>
        <v>#N/A</v>
      </c>
      <c r="AJ163" s="115" t="str">
        <f>IF(L163="Yes",AI163*Tab_Data_Flows[[#This Row],[Flow_Py]],"N.A.")</f>
        <v>N.A.</v>
      </c>
      <c r="AK163" s="61">
        <f>Tab_Data_Flows[[#This Row],[UoM_Flow_Py]]</f>
        <v>0</v>
      </c>
    </row>
    <row r="164" spans="1:37" x14ac:dyDescent="0.35">
      <c r="A164" s="60">
        <f t="shared" si="4"/>
        <v>163</v>
      </c>
      <c r="B164" s="49" t="str">
        <f>_xlfn.XLOOKUP(C164,Tab_Def_Flows[Name(EN)],Tab_Def_Flows[Flow_ID],,0,)</f>
        <v>F_21_21</v>
      </c>
      <c r="C164" s="51"/>
      <c r="D164" s="49">
        <f>_xlfn.XLOOKUP(C164,Tab_Def_Flows[Name(EN)],Tab_Def_Flows[Type_Biomass],,0,)</f>
        <v>0</v>
      </c>
      <c r="E164" s="49">
        <f>_xlfn.XLOOKUP(C164,Tab_Def_Flows[Name(EN)],Tab_Def_Flows[Output_Process],,0,)</f>
        <v>0</v>
      </c>
      <c r="F164" s="49" t="str">
        <f>_xlfn.XLOOKUP(C164,Tab_Def_Flows[Name(EN)],Tab_Def_Flows[Process_ID_O],,0,)</f>
        <v>21__</v>
      </c>
      <c r="G164" s="49">
        <f>_xlfn.XLOOKUP(C164,Tab_Def_Flows[Name(EN)],Tab_Def_Flows[Input_Process],,0,)</f>
        <v>0</v>
      </c>
      <c r="H164" s="61" t="str">
        <f>_xlfn.XLOOKUP(C164,Tab_Def_Flows[Name(EN)],Tab_Def_Flows[Process_ID_I],,0,)</f>
        <v>21__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88"/>
      <c r="P164" s="51"/>
      <c r="Q164" s="51"/>
      <c r="R164" s="51"/>
      <c r="S164" s="51"/>
      <c r="T164" s="51"/>
      <c r="U164" s="51"/>
      <c r="V164" s="51"/>
      <c r="W164" s="51"/>
      <c r="X164" s="51"/>
      <c r="Y164" s="51"/>
      <c r="Z164" s="51"/>
      <c r="AA164" s="89"/>
      <c r="AB164" s="51"/>
      <c r="AC164" s="114" t="e">
        <f>INDEX(Tab_Def_Flows[[Flow_ID]:[CC_DM_source]],MATCH(Tab_Data_Flows[[#This Row],[Name(EN)]],Tab_Def_Flows[Name(EN)],0),16)</f>
        <v>#N/A</v>
      </c>
      <c r="AD164" s="115" t="str">
        <f>IF(J164="Yes",AA164*Tab_Data_Flows[[#This Row],[WC_'[%']]],"N.A.")</f>
        <v>N.A.</v>
      </c>
      <c r="AE164" s="61">
        <f>Tab_Data_Flows[[#This Row],[UoM_Flow_Py]]</f>
        <v>0</v>
      </c>
      <c r="AF164" s="114" t="e">
        <f>INDEX(Tab_Def_Flows[[Flow_ID]:[CC_DM_source]],MATCH(Tab_Data_Flows[[#This Row],[Name(EN)]],Tab_Def_Flows[Name(EN)],0),18)</f>
        <v>#N/A</v>
      </c>
      <c r="AG164" s="115" t="str">
        <f>IF(K164="Yes",AF164*Tab_Data_Flows[[#This Row],[Flow_Py]],"N.A.")</f>
        <v>N.A.</v>
      </c>
      <c r="AH164" s="61">
        <f>Tab_Data_Flows[[#This Row],[UoM_Flow_Py]]</f>
        <v>0</v>
      </c>
      <c r="AI164" s="114" t="e">
        <f>INDEX(Tab_Def_Flows[[Flow_ID]:[CC_DM_source]],MATCH(Tab_Data_Flows[[#This Row],[Name(EN)]],Tab_Def_Flows[Name(EN)],0),20)</f>
        <v>#N/A</v>
      </c>
      <c r="AJ164" s="115" t="str">
        <f>IF(L164="Yes",AI164*Tab_Data_Flows[[#This Row],[Flow_Py]],"N.A.")</f>
        <v>N.A.</v>
      </c>
      <c r="AK164" s="61">
        <f>Tab_Data_Flows[[#This Row],[UoM_Flow_Py]]</f>
        <v>0</v>
      </c>
    </row>
    <row r="165" spans="1:37" x14ac:dyDescent="0.35">
      <c r="A165" s="60">
        <f t="shared" si="4"/>
        <v>164</v>
      </c>
      <c r="B165" s="49" t="str">
        <f>_xlfn.XLOOKUP(C165,Tab_Def_Flows[Name(EN)],Tab_Def_Flows[Flow_ID],,0,)</f>
        <v>F_21_21</v>
      </c>
      <c r="C165" s="51"/>
      <c r="D165" s="49">
        <f>_xlfn.XLOOKUP(C165,Tab_Def_Flows[Name(EN)],Tab_Def_Flows[Type_Biomass],,0,)</f>
        <v>0</v>
      </c>
      <c r="E165" s="49">
        <f>_xlfn.XLOOKUP(C165,Tab_Def_Flows[Name(EN)],Tab_Def_Flows[Output_Process],,0,)</f>
        <v>0</v>
      </c>
      <c r="F165" s="49" t="str">
        <f>_xlfn.XLOOKUP(C165,Tab_Def_Flows[Name(EN)],Tab_Def_Flows[Process_ID_O],,0,)</f>
        <v>21__</v>
      </c>
      <c r="G165" s="49">
        <f>_xlfn.XLOOKUP(C165,Tab_Def_Flows[Name(EN)],Tab_Def_Flows[Input_Process],,0,)</f>
        <v>0</v>
      </c>
      <c r="H165" s="61" t="str">
        <f>_xlfn.XLOOKUP(C165,Tab_Def_Flows[Name(EN)],Tab_Def_Flows[Process_ID_I],,0,)</f>
        <v>21__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88"/>
      <c r="P165" s="51"/>
      <c r="Q165" s="51"/>
      <c r="R165" s="51"/>
      <c r="S165" s="51"/>
      <c r="T165" s="51"/>
      <c r="U165" s="51"/>
      <c r="V165" s="51"/>
      <c r="W165" s="51"/>
      <c r="X165" s="51"/>
      <c r="Y165" s="51"/>
      <c r="Z165" s="51"/>
      <c r="AA165" s="89"/>
      <c r="AB165" s="51"/>
      <c r="AC165" s="114" t="e">
        <f>INDEX(Tab_Def_Flows[[Flow_ID]:[CC_DM_source]],MATCH(Tab_Data_Flows[[#This Row],[Name(EN)]],Tab_Def_Flows[Name(EN)],0),16)</f>
        <v>#N/A</v>
      </c>
      <c r="AD165" s="115" t="str">
        <f>IF(J165="Yes",AA165*Tab_Data_Flows[[#This Row],[WC_'[%']]],"N.A.")</f>
        <v>N.A.</v>
      </c>
      <c r="AE165" s="61">
        <f>Tab_Data_Flows[[#This Row],[UoM_Flow_Py]]</f>
        <v>0</v>
      </c>
      <c r="AF165" s="114" t="e">
        <f>INDEX(Tab_Def_Flows[[Flow_ID]:[CC_DM_source]],MATCH(Tab_Data_Flows[[#This Row],[Name(EN)]],Tab_Def_Flows[Name(EN)],0),18)</f>
        <v>#N/A</v>
      </c>
      <c r="AG165" s="115" t="str">
        <f>IF(K165="Yes",AF165*Tab_Data_Flows[[#This Row],[Flow_Py]],"N.A.")</f>
        <v>N.A.</v>
      </c>
      <c r="AH165" s="61">
        <f>Tab_Data_Flows[[#This Row],[UoM_Flow_Py]]</f>
        <v>0</v>
      </c>
      <c r="AI165" s="114" t="e">
        <f>INDEX(Tab_Def_Flows[[Flow_ID]:[CC_DM_source]],MATCH(Tab_Data_Flows[[#This Row],[Name(EN)]],Tab_Def_Flows[Name(EN)],0),20)</f>
        <v>#N/A</v>
      </c>
      <c r="AJ165" s="115" t="str">
        <f>IF(L165="Yes",AI165*Tab_Data_Flows[[#This Row],[Flow_Py]],"N.A.")</f>
        <v>N.A.</v>
      </c>
      <c r="AK165" s="61">
        <f>Tab_Data_Flows[[#This Row],[UoM_Flow_Py]]</f>
        <v>0</v>
      </c>
    </row>
    <row r="166" spans="1:37" x14ac:dyDescent="0.35">
      <c r="A166" s="60">
        <f t="shared" si="4"/>
        <v>165</v>
      </c>
      <c r="B166" s="49" t="str">
        <f>_xlfn.XLOOKUP(C166,Tab_Def_Flows[Name(EN)],Tab_Def_Flows[Flow_ID],,0,)</f>
        <v>F_21_21</v>
      </c>
      <c r="C166" s="51"/>
      <c r="D166" s="49">
        <f>_xlfn.XLOOKUP(C166,Tab_Def_Flows[Name(EN)],Tab_Def_Flows[Type_Biomass],,0,)</f>
        <v>0</v>
      </c>
      <c r="E166" s="49">
        <f>_xlfn.XLOOKUP(C166,Tab_Def_Flows[Name(EN)],Tab_Def_Flows[Output_Process],,0,)</f>
        <v>0</v>
      </c>
      <c r="F166" s="49" t="str">
        <f>_xlfn.XLOOKUP(C166,Tab_Def_Flows[Name(EN)],Tab_Def_Flows[Process_ID_O],,0,)</f>
        <v>21__</v>
      </c>
      <c r="G166" s="49">
        <f>_xlfn.XLOOKUP(C166,Tab_Def_Flows[Name(EN)],Tab_Def_Flows[Input_Process],,0,)</f>
        <v>0</v>
      </c>
      <c r="H166" s="61" t="str">
        <f>_xlfn.XLOOKUP(C166,Tab_Def_Flows[Name(EN)],Tab_Def_Flows[Process_ID_I],,0,)</f>
        <v>21__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88"/>
      <c r="P166" s="51"/>
      <c r="Q166" s="51"/>
      <c r="R166" s="51"/>
      <c r="S166" s="51"/>
      <c r="T166" s="51"/>
      <c r="U166" s="51"/>
      <c r="V166" s="51"/>
      <c r="W166" s="51"/>
      <c r="X166" s="51"/>
      <c r="Y166" s="51"/>
      <c r="Z166" s="51"/>
      <c r="AA166" s="89"/>
      <c r="AB166" s="51"/>
      <c r="AC166" s="114" t="e">
        <f>INDEX(Tab_Def_Flows[[Flow_ID]:[CC_DM_source]],MATCH(Tab_Data_Flows[[#This Row],[Name(EN)]],Tab_Def_Flows[Name(EN)],0),16)</f>
        <v>#N/A</v>
      </c>
      <c r="AD166" s="115" t="str">
        <f>IF(J166="Yes",AA166*Tab_Data_Flows[[#This Row],[WC_'[%']]],"N.A.")</f>
        <v>N.A.</v>
      </c>
      <c r="AE166" s="61">
        <f>Tab_Data_Flows[[#This Row],[UoM_Flow_Py]]</f>
        <v>0</v>
      </c>
      <c r="AF166" s="114" t="e">
        <f>INDEX(Tab_Def_Flows[[Flow_ID]:[CC_DM_source]],MATCH(Tab_Data_Flows[[#This Row],[Name(EN)]],Tab_Def_Flows[Name(EN)],0),18)</f>
        <v>#N/A</v>
      </c>
      <c r="AG166" s="115" t="str">
        <f>IF(K166="Yes",AF166*Tab_Data_Flows[[#This Row],[Flow_Py]],"N.A.")</f>
        <v>N.A.</v>
      </c>
      <c r="AH166" s="61">
        <f>Tab_Data_Flows[[#This Row],[UoM_Flow_Py]]</f>
        <v>0</v>
      </c>
      <c r="AI166" s="114" t="e">
        <f>INDEX(Tab_Def_Flows[[Flow_ID]:[CC_DM_source]],MATCH(Tab_Data_Flows[[#This Row],[Name(EN)]],Tab_Def_Flows[Name(EN)],0),20)</f>
        <v>#N/A</v>
      </c>
      <c r="AJ166" s="115" t="str">
        <f>IF(L166="Yes",AI166*Tab_Data_Flows[[#This Row],[Flow_Py]],"N.A.")</f>
        <v>N.A.</v>
      </c>
      <c r="AK166" s="61">
        <f>Tab_Data_Flows[[#This Row],[UoM_Flow_Py]]</f>
        <v>0</v>
      </c>
    </row>
    <row r="167" spans="1:37" x14ac:dyDescent="0.35">
      <c r="A167" s="60">
        <f t="shared" si="4"/>
        <v>166</v>
      </c>
      <c r="B167" s="49" t="str">
        <f>_xlfn.XLOOKUP(C167,Tab_Def_Flows[Name(EN)],Tab_Def_Flows[Flow_ID],,0,)</f>
        <v>F_21_21</v>
      </c>
      <c r="C167" s="51"/>
      <c r="D167" s="49">
        <f>_xlfn.XLOOKUP(C167,Tab_Def_Flows[Name(EN)],Tab_Def_Flows[Type_Biomass],,0,)</f>
        <v>0</v>
      </c>
      <c r="E167" s="49">
        <f>_xlfn.XLOOKUP(C167,Tab_Def_Flows[Name(EN)],Tab_Def_Flows[Output_Process],,0,)</f>
        <v>0</v>
      </c>
      <c r="F167" s="49" t="str">
        <f>_xlfn.XLOOKUP(C167,Tab_Def_Flows[Name(EN)],Tab_Def_Flows[Process_ID_O],,0,)</f>
        <v>21__</v>
      </c>
      <c r="G167" s="49">
        <f>_xlfn.XLOOKUP(C167,Tab_Def_Flows[Name(EN)],Tab_Def_Flows[Input_Process],,0,)</f>
        <v>0</v>
      </c>
      <c r="H167" s="61" t="str">
        <f>_xlfn.XLOOKUP(C167,Tab_Def_Flows[Name(EN)],Tab_Def_Flows[Process_ID_I],,0,)</f>
        <v>21__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88"/>
      <c r="P167" s="51"/>
      <c r="Q167" s="51"/>
      <c r="R167" s="51"/>
      <c r="S167" s="51"/>
      <c r="T167" s="51"/>
      <c r="U167" s="51"/>
      <c r="V167" s="51"/>
      <c r="W167" s="51"/>
      <c r="X167" s="51"/>
      <c r="Y167" s="51"/>
      <c r="Z167" s="51"/>
      <c r="AA167" s="89"/>
      <c r="AB167" s="51"/>
      <c r="AC167" s="114" t="e">
        <f>INDEX(Tab_Def_Flows[[Flow_ID]:[CC_DM_source]],MATCH(Tab_Data_Flows[[#This Row],[Name(EN)]],Tab_Def_Flows[Name(EN)],0),16)</f>
        <v>#N/A</v>
      </c>
      <c r="AD167" s="115" t="str">
        <f>IF(J167="Yes",AA167*Tab_Data_Flows[[#This Row],[WC_'[%']]],"N.A.")</f>
        <v>N.A.</v>
      </c>
      <c r="AE167" s="61">
        <f>Tab_Data_Flows[[#This Row],[UoM_Flow_Py]]</f>
        <v>0</v>
      </c>
      <c r="AF167" s="114" t="e">
        <f>INDEX(Tab_Def_Flows[[Flow_ID]:[CC_DM_source]],MATCH(Tab_Data_Flows[[#This Row],[Name(EN)]],Tab_Def_Flows[Name(EN)],0),18)</f>
        <v>#N/A</v>
      </c>
      <c r="AG167" s="115" t="str">
        <f>IF(K167="Yes",AF167*Tab_Data_Flows[[#This Row],[Flow_Py]],"N.A.")</f>
        <v>N.A.</v>
      </c>
      <c r="AH167" s="61">
        <f>Tab_Data_Flows[[#This Row],[UoM_Flow_Py]]</f>
        <v>0</v>
      </c>
      <c r="AI167" s="114" t="e">
        <f>INDEX(Tab_Def_Flows[[Flow_ID]:[CC_DM_source]],MATCH(Tab_Data_Flows[[#This Row],[Name(EN)]],Tab_Def_Flows[Name(EN)],0),20)</f>
        <v>#N/A</v>
      </c>
      <c r="AJ167" s="115" t="str">
        <f>IF(L167="Yes",AI167*Tab_Data_Flows[[#This Row],[Flow_Py]],"N.A.")</f>
        <v>N.A.</v>
      </c>
      <c r="AK167" s="61">
        <f>Tab_Data_Flows[[#This Row],[UoM_Flow_Py]]</f>
        <v>0</v>
      </c>
    </row>
    <row r="168" spans="1:37" x14ac:dyDescent="0.35">
      <c r="A168" s="60">
        <f t="shared" si="4"/>
        <v>167</v>
      </c>
      <c r="B168" s="49" t="str">
        <f>_xlfn.XLOOKUP(C168,Tab_Def_Flows[Name(EN)],Tab_Def_Flows[Flow_ID],,0,)</f>
        <v>F_21_21</v>
      </c>
      <c r="C168" s="51"/>
      <c r="D168" s="49">
        <f>_xlfn.XLOOKUP(C168,Tab_Def_Flows[Name(EN)],Tab_Def_Flows[Type_Biomass],,0,)</f>
        <v>0</v>
      </c>
      <c r="E168" s="49">
        <f>_xlfn.XLOOKUP(C168,Tab_Def_Flows[Name(EN)],Tab_Def_Flows[Output_Process],,0,)</f>
        <v>0</v>
      </c>
      <c r="F168" s="49" t="str">
        <f>_xlfn.XLOOKUP(C168,Tab_Def_Flows[Name(EN)],Tab_Def_Flows[Process_ID_O],,0,)</f>
        <v>21__</v>
      </c>
      <c r="G168" s="49">
        <f>_xlfn.XLOOKUP(C168,Tab_Def_Flows[Name(EN)],Tab_Def_Flows[Input_Process],,0,)</f>
        <v>0</v>
      </c>
      <c r="H168" s="61" t="str">
        <f>_xlfn.XLOOKUP(C168,Tab_Def_Flows[Name(EN)],Tab_Def_Flows[Process_ID_I],,0,)</f>
        <v>21__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88"/>
      <c r="P168" s="51"/>
      <c r="Q168" s="51"/>
      <c r="R168" s="51"/>
      <c r="S168" s="51"/>
      <c r="T168" s="51"/>
      <c r="U168" s="51"/>
      <c r="V168" s="51"/>
      <c r="W168" s="51"/>
      <c r="X168" s="51"/>
      <c r="Y168" s="51"/>
      <c r="Z168" s="51"/>
      <c r="AA168" s="89"/>
      <c r="AB168" s="51"/>
      <c r="AC168" s="114" t="e">
        <f>INDEX(Tab_Def_Flows[[Flow_ID]:[CC_DM_source]],MATCH(Tab_Data_Flows[[#This Row],[Name(EN)]],Tab_Def_Flows[Name(EN)],0),16)</f>
        <v>#N/A</v>
      </c>
      <c r="AD168" s="115" t="str">
        <f>IF(J168="Yes",AA168*Tab_Data_Flows[[#This Row],[WC_'[%']]],"N.A.")</f>
        <v>N.A.</v>
      </c>
      <c r="AE168" s="61">
        <f>Tab_Data_Flows[[#This Row],[UoM_Flow_Py]]</f>
        <v>0</v>
      </c>
      <c r="AF168" s="114" t="e">
        <f>INDEX(Tab_Def_Flows[[Flow_ID]:[CC_DM_source]],MATCH(Tab_Data_Flows[[#This Row],[Name(EN)]],Tab_Def_Flows[Name(EN)],0),18)</f>
        <v>#N/A</v>
      </c>
      <c r="AG168" s="115" t="str">
        <f>IF(K168="Yes",AF168*Tab_Data_Flows[[#This Row],[Flow_Py]],"N.A.")</f>
        <v>N.A.</v>
      </c>
      <c r="AH168" s="61">
        <f>Tab_Data_Flows[[#This Row],[UoM_Flow_Py]]</f>
        <v>0</v>
      </c>
      <c r="AI168" s="114" t="e">
        <f>INDEX(Tab_Def_Flows[[Flow_ID]:[CC_DM_source]],MATCH(Tab_Data_Flows[[#This Row],[Name(EN)]],Tab_Def_Flows[Name(EN)],0),20)</f>
        <v>#N/A</v>
      </c>
      <c r="AJ168" s="115" t="str">
        <f>IF(L168="Yes",AI168*Tab_Data_Flows[[#This Row],[Flow_Py]],"N.A.")</f>
        <v>N.A.</v>
      </c>
      <c r="AK168" s="61">
        <f>Tab_Data_Flows[[#This Row],[UoM_Flow_Py]]</f>
        <v>0</v>
      </c>
    </row>
    <row r="169" spans="1:37" x14ac:dyDescent="0.35">
      <c r="A169" s="60">
        <f t="shared" si="4"/>
        <v>168</v>
      </c>
      <c r="B169" s="49" t="str">
        <f>_xlfn.XLOOKUP(C169,Tab_Def_Flows[Name(EN)],Tab_Def_Flows[Flow_ID],,0,)</f>
        <v>F_21_21</v>
      </c>
      <c r="C169" s="51"/>
      <c r="D169" s="49">
        <f>_xlfn.XLOOKUP(C169,Tab_Def_Flows[Name(EN)],Tab_Def_Flows[Type_Biomass],,0,)</f>
        <v>0</v>
      </c>
      <c r="E169" s="49">
        <f>_xlfn.XLOOKUP(C169,Tab_Def_Flows[Name(EN)],Tab_Def_Flows[Output_Process],,0,)</f>
        <v>0</v>
      </c>
      <c r="F169" s="49" t="str">
        <f>_xlfn.XLOOKUP(C169,Tab_Def_Flows[Name(EN)],Tab_Def_Flows[Process_ID_O],,0,)</f>
        <v>21__</v>
      </c>
      <c r="G169" s="49">
        <f>_xlfn.XLOOKUP(C169,Tab_Def_Flows[Name(EN)],Tab_Def_Flows[Input_Process],,0,)</f>
        <v>0</v>
      </c>
      <c r="H169" s="61" t="str">
        <f>_xlfn.XLOOKUP(C169,Tab_Def_Flows[Name(EN)],Tab_Def_Flows[Process_ID_I],,0,)</f>
        <v>21__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88"/>
      <c r="P169" s="51"/>
      <c r="Q169" s="51"/>
      <c r="R169" s="51"/>
      <c r="S169" s="51"/>
      <c r="T169" s="51"/>
      <c r="U169" s="51"/>
      <c r="V169" s="51"/>
      <c r="W169" s="51"/>
      <c r="X169" s="51"/>
      <c r="Y169" s="51"/>
      <c r="Z169" s="51"/>
      <c r="AA169" s="89"/>
      <c r="AB169" s="51"/>
      <c r="AC169" s="114" t="e">
        <f>INDEX(Tab_Def_Flows[[Flow_ID]:[CC_DM_source]],MATCH(Tab_Data_Flows[[#This Row],[Name(EN)]],Tab_Def_Flows[Name(EN)],0),16)</f>
        <v>#N/A</v>
      </c>
      <c r="AD169" s="115" t="str">
        <f>IF(J169="Yes",AA169*Tab_Data_Flows[[#This Row],[WC_'[%']]],"N.A.")</f>
        <v>N.A.</v>
      </c>
      <c r="AE169" s="61">
        <f>Tab_Data_Flows[[#This Row],[UoM_Flow_Py]]</f>
        <v>0</v>
      </c>
      <c r="AF169" s="114" t="e">
        <f>INDEX(Tab_Def_Flows[[Flow_ID]:[CC_DM_source]],MATCH(Tab_Data_Flows[[#This Row],[Name(EN)]],Tab_Def_Flows[Name(EN)],0),18)</f>
        <v>#N/A</v>
      </c>
      <c r="AG169" s="115" t="str">
        <f>IF(K169="Yes",AF169*Tab_Data_Flows[[#This Row],[Flow_Py]],"N.A.")</f>
        <v>N.A.</v>
      </c>
      <c r="AH169" s="61">
        <f>Tab_Data_Flows[[#This Row],[UoM_Flow_Py]]</f>
        <v>0</v>
      </c>
      <c r="AI169" s="114" t="e">
        <f>INDEX(Tab_Def_Flows[[Flow_ID]:[CC_DM_source]],MATCH(Tab_Data_Flows[[#This Row],[Name(EN)]],Tab_Def_Flows[Name(EN)],0),20)</f>
        <v>#N/A</v>
      </c>
      <c r="AJ169" s="115" t="str">
        <f>IF(L169="Yes",AI169*Tab_Data_Flows[[#This Row],[Flow_Py]],"N.A.")</f>
        <v>N.A.</v>
      </c>
      <c r="AK169" s="61">
        <f>Tab_Data_Flows[[#This Row],[UoM_Flow_Py]]</f>
        <v>0</v>
      </c>
    </row>
    <row r="170" spans="1:37" x14ac:dyDescent="0.35">
      <c r="A170" s="60">
        <f t="shared" si="4"/>
        <v>169</v>
      </c>
      <c r="B170" s="49" t="str">
        <f>_xlfn.XLOOKUP(C170,Tab_Def_Flows[Name(EN)],Tab_Def_Flows[Flow_ID],,0,)</f>
        <v>F_21_21</v>
      </c>
      <c r="C170" s="51"/>
      <c r="D170" s="49">
        <f>_xlfn.XLOOKUP(C170,Tab_Def_Flows[Name(EN)],Tab_Def_Flows[Type_Biomass],,0,)</f>
        <v>0</v>
      </c>
      <c r="E170" s="49">
        <f>_xlfn.XLOOKUP(C170,Tab_Def_Flows[Name(EN)],Tab_Def_Flows[Output_Process],,0,)</f>
        <v>0</v>
      </c>
      <c r="F170" s="49" t="str">
        <f>_xlfn.XLOOKUP(C170,Tab_Def_Flows[Name(EN)],Tab_Def_Flows[Process_ID_O],,0,)</f>
        <v>21__</v>
      </c>
      <c r="G170" s="49">
        <f>_xlfn.XLOOKUP(C170,Tab_Def_Flows[Name(EN)],Tab_Def_Flows[Input_Process],,0,)</f>
        <v>0</v>
      </c>
      <c r="H170" s="61" t="str">
        <f>_xlfn.XLOOKUP(C170,Tab_Def_Flows[Name(EN)],Tab_Def_Flows[Process_ID_I],,0,)</f>
        <v>21__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88"/>
      <c r="P170" s="51"/>
      <c r="Q170" s="51"/>
      <c r="R170" s="51"/>
      <c r="S170" s="51"/>
      <c r="T170" s="51"/>
      <c r="U170" s="51"/>
      <c r="V170" s="51"/>
      <c r="W170" s="51"/>
      <c r="X170" s="51"/>
      <c r="Y170" s="51"/>
      <c r="Z170" s="51"/>
      <c r="AA170" s="89"/>
      <c r="AB170" s="51"/>
      <c r="AC170" s="114" t="e">
        <f>INDEX(Tab_Def_Flows[[Flow_ID]:[CC_DM_source]],MATCH(Tab_Data_Flows[[#This Row],[Name(EN)]],Tab_Def_Flows[Name(EN)],0),16)</f>
        <v>#N/A</v>
      </c>
      <c r="AD170" s="115" t="str">
        <f>IF(J170="Yes",AA170*Tab_Data_Flows[[#This Row],[WC_'[%']]],"N.A.")</f>
        <v>N.A.</v>
      </c>
      <c r="AE170" s="61">
        <f>Tab_Data_Flows[[#This Row],[UoM_Flow_Py]]</f>
        <v>0</v>
      </c>
      <c r="AF170" s="114" t="e">
        <f>INDEX(Tab_Def_Flows[[Flow_ID]:[CC_DM_source]],MATCH(Tab_Data_Flows[[#This Row],[Name(EN)]],Tab_Def_Flows[Name(EN)],0),18)</f>
        <v>#N/A</v>
      </c>
      <c r="AG170" s="115" t="str">
        <f>IF(K170="Yes",AF170*Tab_Data_Flows[[#This Row],[Flow_Py]],"N.A.")</f>
        <v>N.A.</v>
      </c>
      <c r="AH170" s="61">
        <f>Tab_Data_Flows[[#This Row],[UoM_Flow_Py]]</f>
        <v>0</v>
      </c>
      <c r="AI170" s="114" t="e">
        <f>INDEX(Tab_Def_Flows[[Flow_ID]:[CC_DM_source]],MATCH(Tab_Data_Flows[[#This Row],[Name(EN)]],Tab_Def_Flows[Name(EN)],0),20)</f>
        <v>#N/A</v>
      </c>
      <c r="AJ170" s="115" t="str">
        <f>IF(L170="Yes",AI170*Tab_Data_Flows[[#This Row],[Flow_Py]],"N.A.")</f>
        <v>N.A.</v>
      </c>
      <c r="AK170" s="61">
        <f>Tab_Data_Flows[[#This Row],[UoM_Flow_Py]]</f>
        <v>0</v>
      </c>
    </row>
    <row r="171" spans="1:37" x14ac:dyDescent="0.35">
      <c r="A171" s="60">
        <f t="shared" si="4"/>
        <v>170</v>
      </c>
      <c r="B171" s="49" t="str">
        <f>_xlfn.XLOOKUP(C171,Tab_Def_Flows[Name(EN)],Tab_Def_Flows[Flow_ID],,0,)</f>
        <v>F_21_21</v>
      </c>
      <c r="C171" s="51"/>
      <c r="D171" s="49">
        <f>_xlfn.XLOOKUP(C171,Tab_Def_Flows[Name(EN)],Tab_Def_Flows[Type_Biomass],,0,)</f>
        <v>0</v>
      </c>
      <c r="E171" s="49">
        <f>_xlfn.XLOOKUP(C171,Tab_Def_Flows[Name(EN)],Tab_Def_Flows[Output_Process],,0,)</f>
        <v>0</v>
      </c>
      <c r="F171" s="49" t="str">
        <f>_xlfn.XLOOKUP(C171,Tab_Def_Flows[Name(EN)],Tab_Def_Flows[Process_ID_O],,0,)</f>
        <v>21__</v>
      </c>
      <c r="G171" s="49">
        <f>_xlfn.XLOOKUP(C171,Tab_Def_Flows[Name(EN)],Tab_Def_Flows[Input_Process],,0,)</f>
        <v>0</v>
      </c>
      <c r="H171" s="61" t="str">
        <f>_xlfn.XLOOKUP(C171,Tab_Def_Flows[Name(EN)],Tab_Def_Flows[Process_ID_I],,0,)</f>
        <v>21__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88"/>
      <c r="P171" s="51"/>
      <c r="Q171" s="51"/>
      <c r="R171" s="51"/>
      <c r="S171" s="51"/>
      <c r="T171" s="51"/>
      <c r="U171" s="51"/>
      <c r="V171" s="51"/>
      <c r="W171" s="51"/>
      <c r="X171" s="51"/>
      <c r="Y171" s="51"/>
      <c r="Z171" s="51"/>
      <c r="AA171" s="89"/>
      <c r="AB171" s="51"/>
      <c r="AC171" s="114" t="e">
        <f>INDEX(Tab_Def_Flows[[Flow_ID]:[CC_DM_source]],MATCH(Tab_Data_Flows[[#This Row],[Name(EN)]],Tab_Def_Flows[Name(EN)],0),16)</f>
        <v>#N/A</v>
      </c>
      <c r="AD171" s="115" t="str">
        <f>IF(J171="Yes",AA171*Tab_Data_Flows[[#This Row],[WC_'[%']]],"N.A.")</f>
        <v>N.A.</v>
      </c>
      <c r="AE171" s="61">
        <f>Tab_Data_Flows[[#This Row],[UoM_Flow_Py]]</f>
        <v>0</v>
      </c>
      <c r="AF171" s="114" t="e">
        <f>INDEX(Tab_Def_Flows[[Flow_ID]:[CC_DM_source]],MATCH(Tab_Data_Flows[[#This Row],[Name(EN)]],Tab_Def_Flows[Name(EN)],0),18)</f>
        <v>#N/A</v>
      </c>
      <c r="AG171" s="115" t="str">
        <f>IF(K171="Yes",AF171*Tab_Data_Flows[[#This Row],[Flow_Py]],"N.A.")</f>
        <v>N.A.</v>
      </c>
      <c r="AH171" s="61">
        <f>Tab_Data_Flows[[#This Row],[UoM_Flow_Py]]</f>
        <v>0</v>
      </c>
      <c r="AI171" s="114" t="e">
        <f>INDEX(Tab_Def_Flows[[Flow_ID]:[CC_DM_source]],MATCH(Tab_Data_Flows[[#This Row],[Name(EN)]],Tab_Def_Flows[Name(EN)],0),20)</f>
        <v>#N/A</v>
      </c>
      <c r="AJ171" s="115" t="str">
        <f>IF(L171="Yes",AI171*Tab_Data_Flows[[#This Row],[Flow_Py]],"N.A.")</f>
        <v>N.A.</v>
      </c>
      <c r="AK171" s="61">
        <f>Tab_Data_Flows[[#This Row],[UoM_Flow_Py]]</f>
        <v>0</v>
      </c>
    </row>
    <row r="172" spans="1:37" x14ac:dyDescent="0.35">
      <c r="A172" s="60">
        <f t="shared" si="4"/>
        <v>171</v>
      </c>
      <c r="B172" s="49" t="str">
        <f>_xlfn.XLOOKUP(C172,Tab_Def_Flows[Name(EN)],Tab_Def_Flows[Flow_ID],,0,)</f>
        <v>F_21_21</v>
      </c>
      <c r="C172" s="51"/>
      <c r="D172" s="49">
        <f>_xlfn.XLOOKUP(C172,Tab_Def_Flows[Name(EN)],Tab_Def_Flows[Type_Biomass],,0,)</f>
        <v>0</v>
      </c>
      <c r="E172" s="49">
        <f>_xlfn.XLOOKUP(C172,Tab_Def_Flows[Name(EN)],Tab_Def_Flows[Output_Process],,0,)</f>
        <v>0</v>
      </c>
      <c r="F172" s="49" t="str">
        <f>_xlfn.XLOOKUP(C172,Tab_Def_Flows[Name(EN)],Tab_Def_Flows[Process_ID_O],,0,)</f>
        <v>21__</v>
      </c>
      <c r="G172" s="49">
        <f>_xlfn.XLOOKUP(C172,Tab_Def_Flows[Name(EN)],Tab_Def_Flows[Input_Process],,0,)</f>
        <v>0</v>
      </c>
      <c r="H172" s="61" t="str">
        <f>_xlfn.XLOOKUP(C172,Tab_Def_Flows[Name(EN)],Tab_Def_Flows[Process_ID_I],,0,)</f>
        <v>21__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88"/>
      <c r="P172" s="51"/>
      <c r="Q172" s="51"/>
      <c r="R172" s="51"/>
      <c r="S172" s="51"/>
      <c r="T172" s="51"/>
      <c r="U172" s="51"/>
      <c r="V172" s="51"/>
      <c r="W172" s="51"/>
      <c r="X172" s="51"/>
      <c r="Y172" s="51"/>
      <c r="Z172" s="51"/>
      <c r="AA172" s="89"/>
      <c r="AB172" s="51"/>
      <c r="AC172" s="114" t="e">
        <f>INDEX(Tab_Def_Flows[[Flow_ID]:[CC_DM_source]],MATCH(Tab_Data_Flows[[#This Row],[Name(EN)]],Tab_Def_Flows[Name(EN)],0),16)</f>
        <v>#N/A</v>
      </c>
      <c r="AD172" s="115" t="str">
        <f>IF(J172="Yes",AA172*Tab_Data_Flows[[#This Row],[WC_'[%']]],"N.A.")</f>
        <v>N.A.</v>
      </c>
      <c r="AE172" s="61">
        <f>Tab_Data_Flows[[#This Row],[UoM_Flow_Py]]</f>
        <v>0</v>
      </c>
      <c r="AF172" s="114" t="e">
        <f>INDEX(Tab_Def_Flows[[Flow_ID]:[CC_DM_source]],MATCH(Tab_Data_Flows[[#This Row],[Name(EN)]],Tab_Def_Flows[Name(EN)],0),18)</f>
        <v>#N/A</v>
      </c>
      <c r="AG172" s="115" t="str">
        <f>IF(K172="Yes",AF172*Tab_Data_Flows[[#This Row],[Flow_Py]],"N.A.")</f>
        <v>N.A.</v>
      </c>
      <c r="AH172" s="61">
        <f>Tab_Data_Flows[[#This Row],[UoM_Flow_Py]]</f>
        <v>0</v>
      </c>
      <c r="AI172" s="114" t="e">
        <f>INDEX(Tab_Def_Flows[[Flow_ID]:[CC_DM_source]],MATCH(Tab_Data_Flows[[#This Row],[Name(EN)]],Tab_Def_Flows[Name(EN)],0),20)</f>
        <v>#N/A</v>
      </c>
      <c r="AJ172" s="115" t="str">
        <f>IF(L172="Yes",AI172*Tab_Data_Flows[[#This Row],[Flow_Py]],"N.A.")</f>
        <v>N.A.</v>
      </c>
      <c r="AK172" s="61">
        <f>Tab_Data_Flows[[#This Row],[UoM_Flow_Py]]</f>
        <v>0</v>
      </c>
    </row>
    <row r="173" spans="1:37" x14ac:dyDescent="0.35">
      <c r="A173" s="60">
        <f t="shared" si="4"/>
        <v>172</v>
      </c>
      <c r="B173" s="49" t="str">
        <f>_xlfn.XLOOKUP(C173,Tab_Def_Flows[Name(EN)],Tab_Def_Flows[Flow_ID],,0,)</f>
        <v>F_21_21</v>
      </c>
      <c r="C173" s="51"/>
      <c r="D173" s="49">
        <f>_xlfn.XLOOKUP(C173,Tab_Def_Flows[Name(EN)],Tab_Def_Flows[Type_Biomass],,0,)</f>
        <v>0</v>
      </c>
      <c r="E173" s="49">
        <f>_xlfn.XLOOKUP(C173,Tab_Def_Flows[Name(EN)],Tab_Def_Flows[Output_Process],,0,)</f>
        <v>0</v>
      </c>
      <c r="F173" s="49" t="str">
        <f>_xlfn.XLOOKUP(C173,Tab_Def_Flows[Name(EN)],Tab_Def_Flows[Process_ID_O],,0,)</f>
        <v>21__</v>
      </c>
      <c r="G173" s="49">
        <f>_xlfn.XLOOKUP(C173,Tab_Def_Flows[Name(EN)],Tab_Def_Flows[Input_Process],,0,)</f>
        <v>0</v>
      </c>
      <c r="H173" s="61" t="str">
        <f>_xlfn.XLOOKUP(C173,Tab_Def_Flows[Name(EN)],Tab_Def_Flows[Process_ID_I],,0,)</f>
        <v>21__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88"/>
      <c r="P173" s="51"/>
      <c r="Q173" s="51"/>
      <c r="R173" s="51"/>
      <c r="S173" s="51"/>
      <c r="T173" s="51"/>
      <c r="U173" s="51"/>
      <c r="V173" s="51"/>
      <c r="W173" s="51"/>
      <c r="X173" s="51"/>
      <c r="Y173" s="51"/>
      <c r="Z173" s="51"/>
      <c r="AA173" s="89"/>
      <c r="AB173" s="51"/>
      <c r="AC173" s="114" t="e">
        <f>INDEX(Tab_Def_Flows[[Flow_ID]:[CC_DM_source]],MATCH(Tab_Data_Flows[[#This Row],[Name(EN)]],Tab_Def_Flows[Name(EN)],0),16)</f>
        <v>#N/A</v>
      </c>
      <c r="AD173" s="115" t="str">
        <f>IF(J173="Yes",AA173*Tab_Data_Flows[[#This Row],[WC_'[%']]],"N.A.")</f>
        <v>N.A.</v>
      </c>
      <c r="AE173" s="61">
        <f>Tab_Data_Flows[[#This Row],[UoM_Flow_Py]]</f>
        <v>0</v>
      </c>
      <c r="AF173" s="114" t="e">
        <f>INDEX(Tab_Def_Flows[[Flow_ID]:[CC_DM_source]],MATCH(Tab_Data_Flows[[#This Row],[Name(EN)]],Tab_Def_Flows[Name(EN)],0),18)</f>
        <v>#N/A</v>
      </c>
      <c r="AG173" s="115" t="str">
        <f>IF(K173="Yes",AF173*Tab_Data_Flows[[#This Row],[Flow_Py]],"N.A.")</f>
        <v>N.A.</v>
      </c>
      <c r="AH173" s="61">
        <f>Tab_Data_Flows[[#This Row],[UoM_Flow_Py]]</f>
        <v>0</v>
      </c>
      <c r="AI173" s="114" t="e">
        <f>INDEX(Tab_Def_Flows[[Flow_ID]:[CC_DM_source]],MATCH(Tab_Data_Flows[[#This Row],[Name(EN)]],Tab_Def_Flows[Name(EN)],0),20)</f>
        <v>#N/A</v>
      </c>
      <c r="AJ173" s="115" t="str">
        <f>IF(L173="Yes",AI173*Tab_Data_Flows[[#This Row],[Flow_Py]],"N.A.")</f>
        <v>N.A.</v>
      </c>
      <c r="AK173" s="61">
        <f>Tab_Data_Flows[[#This Row],[UoM_Flow_Py]]</f>
        <v>0</v>
      </c>
    </row>
    <row r="174" spans="1:37" x14ac:dyDescent="0.35">
      <c r="A174" s="60">
        <f t="shared" si="4"/>
        <v>173</v>
      </c>
      <c r="B174" s="49" t="str">
        <f>_xlfn.XLOOKUP(C174,Tab_Def_Flows[Name(EN)],Tab_Def_Flows[Flow_ID],,0,)</f>
        <v>F_21_21</v>
      </c>
      <c r="C174" s="51"/>
      <c r="D174" s="49">
        <f>_xlfn.XLOOKUP(C174,Tab_Def_Flows[Name(EN)],Tab_Def_Flows[Type_Biomass],,0,)</f>
        <v>0</v>
      </c>
      <c r="E174" s="49">
        <f>_xlfn.XLOOKUP(C174,Tab_Def_Flows[Name(EN)],Tab_Def_Flows[Output_Process],,0,)</f>
        <v>0</v>
      </c>
      <c r="F174" s="49" t="str">
        <f>_xlfn.XLOOKUP(C174,Tab_Def_Flows[Name(EN)],Tab_Def_Flows[Process_ID_O],,0,)</f>
        <v>21__</v>
      </c>
      <c r="G174" s="49">
        <f>_xlfn.XLOOKUP(C174,Tab_Def_Flows[Name(EN)],Tab_Def_Flows[Input_Process],,0,)</f>
        <v>0</v>
      </c>
      <c r="H174" s="61" t="str">
        <f>_xlfn.XLOOKUP(C174,Tab_Def_Flows[Name(EN)],Tab_Def_Flows[Process_ID_I],,0,)</f>
        <v>21__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88"/>
      <c r="P174" s="51"/>
      <c r="Q174" s="51"/>
      <c r="R174" s="51"/>
      <c r="S174" s="51"/>
      <c r="T174" s="51"/>
      <c r="U174" s="51"/>
      <c r="V174" s="51"/>
      <c r="W174" s="51"/>
      <c r="X174" s="51"/>
      <c r="Y174" s="51"/>
      <c r="Z174" s="51"/>
      <c r="AA174" s="89"/>
      <c r="AB174" s="51"/>
      <c r="AC174" s="114" t="e">
        <f>INDEX(Tab_Def_Flows[[Flow_ID]:[CC_DM_source]],MATCH(Tab_Data_Flows[[#This Row],[Name(EN)]],Tab_Def_Flows[Name(EN)],0),16)</f>
        <v>#N/A</v>
      </c>
      <c r="AD174" s="115" t="str">
        <f>IF(J174="Yes",AA174*Tab_Data_Flows[[#This Row],[WC_'[%']]],"N.A.")</f>
        <v>N.A.</v>
      </c>
      <c r="AE174" s="61">
        <f>Tab_Data_Flows[[#This Row],[UoM_Flow_Py]]</f>
        <v>0</v>
      </c>
      <c r="AF174" s="114" t="e">
        <f>INDEX(Tab_Def_Flows[[Flow_ID]:[CC_DM_source]],MATCH(Tab_Data_Flows[[#This Row],[Name(EN)]],Tab_Def_Flows[Name(EN)],0),18)</f>
        <v>#N/A</v>
      </c>
      <c r="AG174" s="115" t="str">
        <f>IF(K174="Yes",AF174*Tab_Data_Flows[[#This Row],[Flow_Py]],"N.A.")</f>
        <v>N.A.</v>
      </c>
      <c r="AH174" s="61">
        <f>Tab_Data_Flows[[#This Row],[UoM_Flow_Py]]</f>
        <v>0</v>
      </c>
      <c r="AI174" s="114" t="e">
        <f>INDEX(Tab_Def_Flows[[Flow_ID]:[CC_DM_source]],MATCH(Tab_Data_Flows[[#This Row],[Name(EN)]],Tab_Def_Flows[Name(EN)],0),20)</f>
        <v>#N/A</v>
      </c>
      <c r="AJ174" s="115" t="str">
        <f>IF(L174="Yes",AI174*Tab_Data_Flows[[#This Row],[Flow_Py]],"N.A.")</f>
        <v>N.A.</v>
      </c>
      <c r="AK174" s="61">
        <f>Tab_Data_Flows[[#This Row],[UoM_Flow_Py]]</f>
        <v>0</v>
      </c>
    </row>
    <row r="175" spans="1:37" x14ac:dyDescent="0.35">
      <c r="A175" s="60">
        <f t="shared" si="4"/>
        <v>174</v>
      </c>
      <c r="B175" s="49" t="str">
        <f>_xlfn.XLOOKUP(C175,Tab_Def_Flows[Name(EN)],Tab_Def_Flows[Flow_ID],,0,)</f>
        <v>F_21_21</v>
      </c>
      <c r="C175" s="51"/>
      <c r="D175" s="49">
        <f>_xlfn.XLOOKUP(C175,Tab_Def_Flows[Name(EN)],Tab_Def_Flows[Type_Biomass],,0,)</f>
        <v>0</v>
      </c>
      <c r="E175" s="49">
        <f>_xlfn.XLOOKUP(C175,Tab_Def_Flows[Name(EN)],Tab_Def_Flows[Output_Process],,0,)</f>
        <v>0</v>
      </c>
      <c r="F175" s="49" t="str">
        <f>_xlfn.XLOOKUP(C175,Tab_Def_Flows[Name(EN)],Tab_Def_Flows[Process_ID_O],,0,)</f>
        <v>21__</v>
      </c>
      <c r="G175" s="49">
        <f>_xlfn.XLOOKUP(C175,Tab_Def_Flows[Name(EN)],Tab_Def_Flows[Input_Process],,0,)</f>
        <v>0</v>
      </c>
      <c r="H175" s="61" t="str">
        <f>_xlfn.XLOOKUP(C175,Tab_Def_Flows[Name(EN)],Tab_Def_Flows[Process_ID_I],,0,)</f>
        <v>21__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88"/>
      <c r="P175" s="51"/>
      <c r="Q175" s="51"/>
      <c r="R175" s="51"/>
      <c r="S175" s="51"/>
      <c r="T175" s="51"/>
      <c r="U175" s="51"/>
      <c r="V175" s="51"/>
      <c r="W175" s="51"/>
      <c r="X175" s="51"/>
      <c r="Y175" s="51"/>
      <c r="Z175" s="51"/>
      <c r="AA175" s="89"/>
      <c r="AB175" s="51"/>
      <c r="AC175" s="114" t="e">
        <f>INDEX(Tab_Def_Flows[[Flow_ID]:[CC_DM_source]],MATCH(Tab_Data_Flows[[#This Row],[Name(EN)]],Tab_Def_Flows[Name(EN)],0),16)</f>
        <v>#N/A</v>
      </c>
      <c r="AD175" s="115" t="str">
        <f>IF(J175="Yes",AA175*Tab_Data_Flows[[#This Row],[WC_'[%']]],"N.A.")</f>
        <v>N.A.</v>
      </c>
      <c r="AE175" s="61">
        <f>Tab_Data_Flows[[#This Row],[UoM_Flow_Py]]</f>
        <v>0</v>
      </c>
      <c r="AF175" s="114" t="e">
        <f>INDEX(Tab_Def_Flows[[Flow_ID]:[CC_DM_source]],MATCH(Tab_Data_Flows[[#This Row],[Name(EN)]],Tab_Def_Flows[Name(EN)],0),18)</f>
        <v>#N/A</v>
      </c>
      <c r="AG175" s="115" t="str">
        <f>IF(K175="Yes",AF175*Tab_Data_Flows[[#This Row],[Flow_Py]],"N.A.")</f>
        <v>N.A.</v>
      </c>
      <c r="AH175" s="61">
        <f>Tab_Data_Flows[[#This Row],[UoM_Flow_Py]]</f>
        <v>0</v>
      </c>
      <c r="AI175" s="114" t="e">
        <f>INDEX(Tab_Def_Flows[[Flow_ID]:[CC_DM_source]],MATCH(Tab_Data_Flows[[#This Row],[Name(EN)]],Tab_Def_Flows[Name(EN)],0),20)</f>
        <v>#N/A</v>
      </c>
      <c r="AJ175" s="115" t="str">
        <f>IF(L175="Yes",AI175*Tab_Data_Flows[[#This Row],[Flow_Py]],"N.A.")</f>
        <v>N.A.</v>
      </c>
      <c r="AK175" s="61">
        <f>Tab_Data_Flows[[#This Row],[UoM_Flow_Py]]</f>
        <v>0</v>
      </c>
    </row>
    <row r="176" spans="1:37" x14ac:dyDescent="0.35">
      <c r="A176" s="60">
        <f t="shared" si="4"/>
        <v>175</v>
      </c>
      <c r="B176" s="49" t="str">
        <f>_xlfn.XLOOKUP(C176,Tab_Def_Flows[Name(EN)],Tab_Def_Flows[Flow_ID],,0,)</f>
        <v>F_21_21</v>
      </c>
      <c r="C176" s="51"/>
      <c r="D176" s="49">
        <f>_xlfn.XLOOKUP(C176,Tab_Def_Flows[Name(EN)],Tab_Def_Flows[Type_Biomass],,0,)</f>
        <v>0</v>
      </c>
      <c r="E176" s="49">
        <f>_xlfn.XLOOKUP(C176,Tab_Def_Flows[Name(EN)],Tab_Def_Flows[Output_Process],,0,)</f>
        <v>0</v>
      </c>
      <c r="F176" s="49" t="str">
        <f>_xlfn.XLOOKUP(C176,Tab_Def_Flows[Name(EN)],Tab_Def_Flows[Process_ID_O],,0,)</f>
        <v>21__</v>
      </c>
      <c r="G176" s="49">
        <f>_xlfn.XLOOKUP(C176,Tab_Def_Flows[Name(EN)],Tab_Def_Flows[Input_Process],,0,)</f>
        <v>0</v>
      </c>
      <c r="H176" s="61" t="str">
        <f>_xlfn.XLOOKUP(C176,Tab_Def_Flows[Name(EN)],Tab_Def_Flows[Process_ID_I],,0,)</f>
        <v>21__</v>
      </c>
      <c r="I176" s="49">
        <f>_xlfn.XLOOKUP(C176,Tab_Def_Flows[Name(EN)],Tab_Def_Flows[Value_Source],,0,)</f>
        <v>0</v>
      </c>
      <c r="J176" s="49">
        <f>_xlfn.XLOOKUP(C176,Tab_Def_Flows[Name(EN)],Tab_Def_Flows[WC?],,0,)</f>
        <v>0</v>
      </c>
      <c r="K176" s="49">
        <f>_xlfn.XLOOKUP(C176,Tab_Def_Flows[Name(EN)],Tab_Def_Flows[DM?],,0,)</f>
        <v>0</v>
      </c>
      <c r="L176" s="49">
        <f>_xlfn.XLOOKUP(C176,Tab_Def_Flows[Name(EN)],Tab_Def_Flows[CC?],,0,)</f>
        <v>0</v>
      </c>
      <c r="M176" s="51"/>
      <c r="N176" s="51"/>
      <c r="O176" s="88"/>
      <c r="P176" s="51"/>
      <c r="Q176" s="51"/>
      <c r="R176" s="51"/>
      <c r="S176" s="51"/>
      <c r="T176" s="51"/>
      <c r="U176" s="51"/>
      <c r="V176" s="51"/>
      <c r="W176" s="51"/>
      <c r="X176" s="51"/>
      <c r="Y176" s="51"/>
      <c r="Z176" s="51"/>
      <c r="AA176" s="89"/>
      <c r="AB176" s="51"/>
      <c r="AC176" s="114" t="e">
        <f>INDEX(Tab_Def_Flows[[Flow_ID]:[CC_DM_source]],MATCH(Tab_Data_Flows[[#This Row],[Name(EN)]],Tab_Def_Flows[Name(EN)],0),16)</f>
        <v>#N/A</v>
      </c>
      <c r="AD176" s="115" t="str">
        <f>IF(J176="Yes",AA176*Tab_Data_Flows[[#This Row],[WC_'[%']]],"N.A.")</f>
        <v>N.A.</v>
      </c>
      <c r="AE176" s="61">
        <f>Tab_Data_Flows[[#This Row],[UoM_Flow_Py]]</f>
        <v>0</v>
      </c>
      <c r="AF176" s="114" t="e">
        <f>INDEX(Tab_Def_Flows[[Flow_ID]:[CC_DM_source]],MATCH(Tab_Data_Flows[[#This Row],[Name(EN)]],Tab_Def_Flows[Name(EN)],0),18)</f>
        <v>#N/A</v>
      </c>
      <c r="AG176" s="115" t="str">
        <f>IF(K176="Yes",AF176*Tab_Data_Flows[[#This Row],[Flow_Py]],"N.A.")</f>
        <v>N.A.</v>
      </c>
      <c r="AH176" s="61">
        <f>Tab_Data_Flows[[#This Row],[UoM_Flow_Py]]</f>
        <v>0</v>
      </c>
      <c r="AI176" s="114" t="e">
        <f>INDEX(Tab_Def_Flows[[Flow_ID]:[CC_DM_source]],MATCH(Tab_Data_Flows[[#This Row],[Name(EN)]],Tab_Def_Flows[Name(EN)],0),20)</f>
        <v>#N/A</v>
      </c>
      <c r="AJ176" s="115" t="str">
        <f>IF(L176="Yes",AI176*Tab_Data_Flows[[#This Row],[Flow_Py]],"N.A.")</f>
        <v>N.A.</v>
      </c>
      <c r="AK176" s="61">
        <f>Tab_Data_Flows[[#This Row],[UoM_Flow_Py]]</f>
        <v>0</v>
      </c>
    </row>
    <row r="177" spans="1:37" x14ac:dyDescent="0.35">
      <c r="A177" s="60">
        <f t="shared" si="4"/>
        <v>176</v>
      </c>
      <c r="B177" s="49" t="str">
        <f>_xlfn.XLOOKUP(C177,Tab_Def_Flows[Name(EN)],Tab_Def_Flows[Flow_ID],,0,)</f>
        <v>F_21_21</v>
      </c>
      <c r="C177" s="51"/>
      <c r="D177" s="49">
        <f>_xlfn.XLOOKUP(C177,Tab_Def_Flows[Name(EN)],Tab_Def_Flows[Type_Biomass],,0,)</f>
        <v>0</v>
      </c>
      <c r="E177" s="49">
        <f>_xlfn.XLOOKUP(C177,Tab_Def_Flows[Name(EN)],Tab_Def_Flows[Output_Process],,0,)</f>
        <v>0</v>
      </c>
      <c r="F177" s="49" t="str">
        <f>_xlfn.XLOOKUP(C177,Tab_Def_Flows[Name(EN)],Tab_Def_Flows[Process_ID_O],,0,)</f>
        <v>21__</v>
      </c>
      <c r="G177" s="49">
        <f>_xlfn.XLOOKUP(C177,Tab_Def_Flows[Name(EN)],Tab_Def_Flows[Input_Process],,0,)</f>
        <v>0</v>
      </c>
      <c r="H177" s="61" t="str">
        <f>_xlfn.XLOOKUP(C177,Tab_Def_Flows[Name(EN)],Tab_Def_Flows[Process_ID_I],,0,)</f>
        <v>21__</v>
      </c>
      <c r="I177" s="49">
        <f>_xlfn.XLOOKUP(C177,Tab_Def_Flows[Name(EN)],Tab_Def_Flows[Value_Source],,0,)</f>
        <v>0</v>
      </c>
      <c r="J177" s="49">
        <f>_xlfn.XLOOKUP(C177,Tab_Def_Flows[Name(EN)],Tab_Def_Flows[WC?],,0,)</f>
        <v>0</v>
      </c>
      <c r="K177" s="49">
        <f>_xlfn.XLOOKUP(C177,Tab_Def_Flows[Name(EN)],Tab_Def_Flows[DM?],,0,)</f>
        <v>0</v>
      </c>
      <c r="L177" s="49">
        <f>_xlfn.XLOOKUP(C177,Tab_Def_Flows[Name(EN)],Tab_Def_Flows[CC?],,0,)</f>
        <v>0</v>
      </c>
      <c r="M177" s="51"/>
      <c r="N177" s="51"/>
      <c r="O177" s="88"/>
      <c r="P177" s="51"/>
      <c r="Q177" s="51"/>
      <c r="R177" s="51"/>
      <c r="S177" s="51"/>
      <c r="T177" s="51"/>
      <c r="U177" s="51"/>
      <c r="V177" s="51"/>
      <c r="W177" s="51"/>
      <c r="X177" s="51"/>
      <c r="Y177" s="51"/>
      <c r="Z177" s="51"/>
      <c r="AA177" s="89">
        <f t="shared" ref="AA177:AA208" si="6">IF(X177="no",O177,O177*Y177)</f>
        <v>0</v>
      </c>
      <c r="AB177" s="51"/>
      <c r="AC177" s="114" t="e">
        <f>INDEX(Tab_Def_Flows[[Flow_ID]:[CC_DM_source]],MATCH(Tab_Data_Flows[[#This Row],[Name(EN)]],Tab_Def_Flows[Name(EN)],0),16)</f>
        <v>#N/A</v>
      </c>
      <c r="AD177" s="115" t="str">
        <f>IF(J177="Yes",AA177*Tab_Data_Flows[[#This Row],[WC_'[%']]],"N.A.")</f>
        <v>N.A.</v>
      </c>
      <c r="AE177" s="61">
        <f>Tab_Data_Flows[[#This Row],[UoM_Flow_Py]]</f>
        <v>0</v>
      </c>
      <c r="AF177" s="114" t="e">
        <f>INDEX(Tab_Def_Flows[[Flow_ID]:[CC_DM_source]],MATCH(Tab_Data_Flows[[#This Row],[Name(EN)]],Tab_Def_Flows[Name(EN)],0),18)</f>
        <v>#N/A</v>
      </c>
      <c r="AG177" s="115" t="str">
        <f>IF(K177="Yes",AF177*Tab_Data_Flows[[#This Row],[Flow_Py]],"N.A.")</f>
        <v>N.A.</v>
      </c>
      <c r="AH177" s="61">
        <f>Tab_Data_Flows[[#This Row],[UoM_Flow_Py]]</f>
        <v>0</v>
      </c>
      <c r="AI177" s="114" t="e">
        <f>INDEX(Tab_Def_Flows[[Flow_ID]:[CC_DM_source]],MATCH(Tab_Data_Flows[[#This Row],[Name(EN)]],Tab_Def_Flows[Name(EN)],0),20)</f>
        <v>#N/A</v>
      </c>
      <c r="AJ177" s="115" t="str">
        <f>IF(L177="Yes",AI177*Tab_Data_Flows[[#This Row],[Flow_Py]],"N.A.")</f>
        <v>N.A.</v>
      </c>
      <c r="AK177" s="61">
        <f>Tab_Data_Flows[[#This Row],[UoM_Flow_Py]]</f>
        <v>0</v>
      </c>
    </row>
    <row r="178" spans="1:37" x14ac:dyDescent="0.35">
      <c r="A178" s="60">
        <f t="shared" si="4"/>
        <v>177</v>
      </c>
      <c r="B178" s="49" t="str">
        <f>_xlfn.XLOOKUP(C178,Tab_Def_Flows[Name(EN)],Tab_Def_Flows[Flow_ID],,0,)</f>
        <v>F_21_21</v>
      </c>
      <c r="C178" s="51"/>
      <c r="D178" s="49">
        <f>_xlfn.XLOOKUP(C178,Tab_Def_Flows[Name(EN)],Tab_Def_Flows[Type_Biomass],,0,)</f>
        <v>0</v>
      </c>
      <c r="E178" s="49">
        <f>_xlfn.XLOOKUP(C178,Tab_Def_Flows[Name(EN)],Tab_Def_Flows[Output_Process],,0,)</f>
        <v>0</v>
      </c>
      <c r="F178" s="49" t="str">
        <f>_xlfn.XLOOKUP(C178,Tab_Def_Flows[Name(EN)],Tab_Def_Flows[Process_ID_O],,0,)</f>
        <v>21__</v>
      </c>
      <c r="G178" s="49">
        <f>_xlfn.XLOOKUP(C178,Tab_Def_Flows[Name(EN)],Tab_Def_Flows[Input_Process],,0,)</f>
        <v>0</v>
      </c>
      <c r="H178" s="61" t="str">
        <f>_xlfn.XLOOKUP(C178,Tab_Def_Flows[Name(EN)],Tab_Def_Flows[Process_ID_I],,0,)</f>
        <v>21__</v>
      </c>
      <c r="I178" s="49">
        <f>_xlfn.XLOOKUP(C178,Tab_Def_Flows[Name(EN)],Tab_Def_Flows[Value_Source],,0,)</f>
        <v>0</v>
      </c>
      <c r="J178" s="49">
        <f>_xlfn.XLOOKUP(C178,Tab_Def_Flows[Name(EN)],Tab_Def_Flows[WC?],,0,)</f>
        <v>0</v>
      </c>
      <c r="K178" s="49">
        <f>_xlfn.XLOOKUP(C178,Tab_Def_Flows[Name(EN)],Tab_Def_Flows[DM?],,0,)</f>
        <v>0</v>
      </c>
      <c r="L178" s="49">
        <f>_xlfn.XLOOKUP(C178,Tab_Def_Flows[Name(EN)],Tab_Def_Flows[CC?],,0,)</f>
        <v>0</v>
      </c>
      <c r="M178" s="51"/>
      <c r="N178" s="51"/>
      <c r="O178" s="88"/>
      <c r="P178" s="51"/>
      <c r="Q178" s="51"/>
      <c r="R178" s="51"/>
      <c r="S178" s="51"/>
      <c r="T178" s="51"/>
      <c r="U178" s="51"/>
      <c r="V178" s="51"/>
      <c r="W178" s="51"/>
      <c r="X178" s="51"/>
      <c r="Y178" s="51"/>
      <c r="Z178" s="51"/>
      <c r="AA178" s="89">
        <f t="shared" si="6"/>
        <v>0</v>
      </c>
      <c r="AB178" s="51"/>
      <c r="AC178" s="114" t="e">
        <f>INDEX(Tab_Def_Flows[[Flow_ID]:[CC_DM_source]],MATCH(Tab_Data_Flows[[#This Row],[Name(EN)]],Tab_Def_Flows[Name(EN)],0),16)</f>
        <v>#N/A</v>
      </c>
      <c r="AD178" s="115" t="str">
        <f>IF(J178="Yes",AA178*Tab_Data_Flows[[#This Row],[WC_'[%']]],"N.A.")</f>
        <v>N.A.</v>
      </c>
      <c r="AE178" s="61">
        <f>Tab_Data_Flows[[#This Row],[UoM_Flow_Py]]</f>
        <v>0</v>
      </c>
      <c r="AF178" s="114" t="e">
        <f>INDEX(Tab_Def_Flows[[Flow_ID]:[CC_DM_source]],MATCH(Tab_Data_Flows[[#This Row],[Name(EN)]],Tab_Def_Flows[Name(EN)],0),18)</f>
        <v>#N/A</v>
      </c>
      <c r="AG178" s="115" t="str">
        <f>IF(K178="Yes",AF178*Tab_Data_Flows[[#This Row],[Flow_Py]],"N.A.")</f>
        <v>N.A.</v>
      </c>
      <c r="AH178" s="61">
        <f>Tab_Data_Flows[[#This Row],[UoM_Flow_Py]]</f>
        <v>0</v>
      </c>
      <c r="AI178" s="114" t="e">
        <f>INDEX(Tab_Def_Flows[[Flow_ID]:[CC_DM_source]],MATCH(Tab_Data_Flows[[#This Row],[Name(EN)]],Tab_Def_Flows[Name(EN)],0),20)</f>
        <v>#N/A</v>
      </c>
      <c r="AJ178" s="115" t="str">
        <f>IF(L178="Yes",AI178*Tab_Data_Flows[[#This Row],[Flow_Py]],"N.A.")</f>
        <v>N.A.</v>
      </c>
      <c r="AK178" s="61">
        <f>Tab_Data_Flows[[#This Row],[UoM_Flow_Py]]</f>
        <v>0</v>
      </c>
    </row>
    <row r="179" spans="1:37" x14ac:dyDescent="0.35">
      <c r="A179" s="60">
        <f t="shared" si="4"/>
        <v>178</v>
      </c>
      <c r="B179" s="49" t="str">
        <f>_xlfn.XLOOKUP(C179,Tab_Def_Flows[Name(EN)],Tab_Def_Flows[Flow_ID],,0,)</f>
        <v>F_21_21</v>
      </c>
      <c r="C179" s="51"/>
      <c r="D179" s="49">
        <f>_xlfn.XLOOKUP(C179,Tab_Def_Flows[Name(EN)],Tab_Def_Flows[Type_Biomass],,0,)</f>
        <v>0</v>
      </c>
      <c r="E179" s="49">
        <f>_xlfn.XLOOKUP(C179,Tab_Def_Flows[Name(EN)],Tab_Def_Flows[Output_Process],,0,)</f>
        <v>0</v>
      </c>
      <c r="F179" s="49" t="str">
        <f>_xlfn.XLOOKUP(C179,Tab_Def_Flows[Name(EN)],Tab_Def_Flows[Process_ID_O],,0,)</f>
        <v>21__</v>
      </c>
      <c r="G179" s="49">
        <f>_xlfn.XLOOKUP(C179,Tab_Def_Flows[Name(EN)],Tab_Def_Flows[Input_Process],,0,)</f>
        <v>0</v>
      </c>
      <c r="H179" s="61" t="str">
        <f>_xlfn.XLOOKUP(C179,Tab_Def_Flows[Name(EN)],Tab_Def_Flows[Process_ID_I],,0,)</f>
        <v>21__</v>
      </c>
      <c r="I179" s="49">
        <f>_xlfn.XLOOKUP(C179,Tab_Def_Flows[Name(EN)],Tab_Def_Flows[Value_Source],,0,)</f>
        <v>0</v>
      </c>
      <c r="J179" s="49">
        <f>_xlfn.XLOOKUP(C179,Tab_Def_Flows[Name(EN)],Tab_Def_Flows[WC?],,0,)</f>
        <v>0</v>
      </c>
      <c r="K179" s="49">
        <f>_xlfn.XLOOKUP(C179,Tab_Def_Flows[Name(EN)],Tab_Def_Flows[DM?],,0,)</f>
        <v>0</v>
      </c>
      <c r="L179" s="49">
        <f>_xlfn.XLOOKUP(C179,Tab_Def_Flows[Name(EN)],Tab_Def_Flows[CC?],,0,)</f>
        <v>0</v>
      </c>
      <c r="M179" s="51"/>
      <c r="N179" s="51"/>
      <c r="O179" s="88"/>
      <c r="P179" s="51"/>
      <c r="Q179" s="51"/>
      <c r="R179" s="51"/>
      <c r="S179" s="51"/>
      <c r="T179" s="51"/>
      <c r="U179" s="51"/>
      <c r="V179" s="51"/>
      <c r="W179" s="51"/>
      <c r="X179" s="51"/>
      <c r="Y179" s="51"/>
      <c r="Z179" s="51"/>
      <c r="AA179" s="89">
        <f t="shared" si="6"/>
        <v>0</v>
      </c>
      <c r="AB179" s="51"/>
      <c r="AC179" s="114" t="e">
        <f>INDEX(Tab_Def_Flows[[Flow_ID]:[CC_DM_source]],MATCH(Tab_Data_Flows[[#This Row],[Name(EN)]],Tab_Def_Flows[Name(EN)],0),16)</f>
        <v>#N/A</v>
      </c>
      <c r="AD179" s="115" t="str">
        <f>IF(J179="Yes",AA179*Tab_Data_Flows[[#This Row],[WC_'[%']]],"N.A.")</f>
        <v>N.A.</v>
      </c>
      <c r="AE179" s="61">
        <f>Tab_Data_Flows[[#This Row],[UoM_Flow_Py]]</f>
        <v>0</v>
      </c>
      <c r="AF179" s="114" t="e">
        <f>INDEX(Tab_Def_Flows[[Flow_ID]:[CC_DM_source]],MATCH(Tab_Data_Flows[[#This Row],[Name(EN)]],Tab_Def_Flows[Name(EN)],0),18)</f>
        <v>#N/A</v>
      </c>
      <c r="AG179" s="115" t="str">
        <f>IF(K179="Yes",AF179*Tab_Data_Flows[[#This Row],[Flow_Py]],"N.A.")</f>
        <v>N.A.</v>
      </c>
      <c r="AH179" s="61">
        <f>Tab_Data_Flows[[#This Row],[UoM_Flow_Py]]</f>
        <v>0</v>
      </c>
      <c r="AI179" s="114" t="e">
        <f>INDEX(Tab_Def_Flows[[Flow_ID]:[CC_DM_source]],MATCH(Tab_Data_Flows[[#This Row],[Name(EN)]],Tab_Def_Flows[Name(EN)],0),20)</f>
        <v>#N/A</v>
      </c>
      <c r="AJ179" s="115" t="str">
        <f>IF(L179="Yes",AI179*Tab_Data_Flows[[#This Row],[Flow_Py]],"N.A.")</f>
        <v>N.A.</v>
      </c>
      <c r="AK179" s="61">
        <f>Tab_Data_Flows[[#This Row],[UoM_Flow_Py]]</f>
        <v>0</v>
      </c>
    </row>
    <row r="180" spans="1:37" x14ac:dyDescent="0.35">
      <c r="A180" s="60">
        <f t="shared" si="4"/>
        <v>179</v>
      </c>
      <c r="B180" s="49" t="str">
        <f>_xlfn.XLOOKUP(C180,Tab_Def_Flows[Name(EN)],Tab_Def_Flows[Flow_ID],,0,)</f>
        <v>F_21_21</v>
      </c>
      <c r="C180" s="51"/>
      <c r="D180" s="49">
        <f>_xlfn.XLOOKUP(C180,Tab_Def_Flows[Name(EN)],Tab_Def_Flows[Type_Biomass],,0,)</f>
        <v>0</v>
      </c>
      <c r="E180" s="49">
        <f>_xlfn.XLOOKUP(C180,Tab_Def_Flows[Name(EN)],Tab_Def_Flows[Output_Process],,0,)</f>
        <v>0</v>
      </c>
      <c r="F180" s="49" t="str">
        <f>_xlfn.XLOOKUP(C180,Tab_Def_Flows[Name(EN)],Tab_Def_Flows[Process_ID_O],,0,)</f>
        <v>21__</v>
      </c>
      <c r="G180" s="49">
        <f>_xlfn.XLOOKUP(C180,Tab_Def_Flows[Name(EN)],Tab_Def_Flows[Input_Process],,0,)</f>
        <v>0</v>
      </c>
      <c r="H180" s="61" t="str">
        <f>_xlfn.XLOOKUP(C180,Tab_Def_Flows[Name(EN)],Tab_Def_Flows[Process_ID_I],,0,)</f>
        <v>21__</v>
      </c>
      <c r="I180" s="49">
        <f>_xlfn.XLOOKUP(C180,Tab_Def_Flows[Name(EN)],Tab_Def_Flows[Value_Source],,0,)</f>
        <v>0</v>
      </c>
      <c r="J180" s="49">
        <f>_xlfn.XLOOKUP(C180,Tab_Def_Flows[Name(EN)],Tab_Def_Flows[WC?],,0,)</f>
        <v>0</v>
      </c>
      <c r="K180" s="49">
        <f>_xlfn.XLOOKUP(C180,Tab_Def_Flows[Name(EN)],Tab_Def_Flows[DM?],,0,)</f>
        <v>0</v>
      </c>
      <c r="L180" s="49">
        <f>_xlfn.XLOOKUP(C180,Tab_Def_Flows[Name(EN)],Tab_Def_Flows[CC?],,0,)</f>
        <v>0</v>
      </c>
      <c r="M180" s="51"/>
      <c r="N180" s="51"/>
      <c r="O180" s="88"/>
      <c r="P180" s="51"/>
      <c r="Q180" s="51"/>
      <c r="R180" s="51"/>
      <c r="S180" s="51"/>
      <c r="T180" s="51"/>
      <c r="U180" s="51"/>
      <c r="V180" s="51"/>
      <c r="W180" s="51"/>
      <c r="X180" s="51"/>
      <c r="Y180" s="51"/>
      <c r="Z180" s="51"/>
      <c r="AA180" s="89">
        <f t="shared" si="6"/>
        <v>0</v>
      </c>
      <c r="AB180" s="51"/>
      <c r="AC180" s="114" t="e">
        <f>INDEX(Tab_Def_Flows[[Flow_ID]:[CC_DM_source]],MATCH(Tab_Data_Flows[[#This Row],[Name(EN)]],Tab_Def_Flows[Name(EN)],0),16)</f>
        <v>#N/A</v>
      </c>
      <c r="AD180" s="115" t="str">
        <f>IF(J180="Yes",AA180*Tab_Data_Flows[[#This Row],[WC_'[%']]],"N.A.")</f>
        <v>N.A.</v>
      </c>
      <c r="AE180" s="61">
        <f>Tab_Data_Flows[[#This Row],[UoM_Flow_Py]]</f>
        <v>0</v>
      </c>
      <c r="AF180" s="114" t="e">
        <f>INDEX(Tab_Def_Flows[[Flow_ID]:[CC_DM_source]],MATCH(Tab_Data_Flows[[#This Row],[Name(EN)]],Tab_Def_Flows[Name(EN)],0),18)</f>
        <v>#N/A</v>
      </c>
      <c r="AG180" s="115" t="str">
        <f>IF(K180="Yes",AF180*Tab_Data_Flows[[#This Row],[Flow_Py]],"N.A.")</f>
        <v>N.A.</v>
      </c>
      <c r="AH180" s="61">
        <f>Tab_Data_Flows[[#This Row],[UoM_Flow_Py]]</f>
        <v>0</v>
      </c>
      <c r="AI180" s="114" t="e">
        <f>INDEX(Tab_Def_Flows[[Flow_ID]:[CC_DM_source]],MATCH(Tab_Data_Flows[[#This Row],[Name(EN)]],Tab_Def_Flows[Name(EN)],0),20)</f>
        <v>#N/A</v>
      </c>
      <c r="AJ180" s="115" t="str">
        <f>IF(L180="Yes",AI180*Tab_Data_Flows[[#This Row],[Flow_Py]],"N.A.")</f>
        <v>N.A.</v>
      </c>
      <c r="AK180" s="61">
        <f>Tab_Data_Flows[[#This Row],[UoM_Flow_Py]]</f>
        <v>0</v>
      </c>
    </row>
    <row r="181" spans="1:37" x14ac:dyDescent="0.35">
      <c r="A181" s="60">
        <f t="shared" si="4"/>
        <v>180</v>
      </c>
      <c r="B181" s="49" t="str">
        <f>_xlfn.XLOOKUP(C181,Tab_Def_Flows[Name(EN)],Tab_Def_Flows[Flow_ID],,0,)</f>
        <v>F_21_21</v>
      </c>
      <c r="C181" s="51"/>
      <c r="D181" s="49">
        <f>_xlfn.XLOOKUP(C181,Tab_Def_Flows[Name(EN)],Tab_Def_Flows[Type_Biomass],,0,)</f>
        <v>0</v>
      </c>
      <c r="E181" s="49">
        <f>_xlfn.XLOOKUP(C181,Tab_Def_Flows[Name(EN)],Tab_Def_Flows[Output_Process],,0,)</f>
        <v>0</v>
      </c>
      <c r="F181" s="49" t="str">
        <f>_xlfn.XLOOKUP(C181,Tab_Def_Flows[Name(EN)],Tab_Def_Flows[Process_ID_O],,0,)</f>
        <v>21__</v>
      </c>
      <c r="G181" s="49">
        <f>_xlfn.XLOOKUP(C181,Tab_Def_Flows[Name(EN)],Tab_Def_Flows[Input_Process],,0,)</f>
        <v>0</v>
      </c>
      <c r="H181" s="61" t="str">
        <f>_xlfn.XLOOKUP(C181,Tab_Def_Flows[Name(EN)],Tab_Def_Flows[Process_ID_I],,0,)</f>
        <v>21__</v>
      </c>
      <c r="I181" s="49">
        <f>_xlfn.XLOOKUP(C181,Tab_Def_Flows[Name(EN)],Tab_Def_Flows[Value_Source],,0,)</f>
        <v>0</v>
      </c>
      <c r="J181" s="49">
        <f>_xlfn.XLOOKUP(C181,Tab_Def_Flows[Name(EN)],Tab_Def_Flows[WC?],,0,)</f>
        <v>0</v>
      </c>
      <c r="K181" s="49">
        <f>_xlfn.XLOOKUP(C181,Tab_Def_Flows[Name(EN)],Tab_Def_Flows[DM?],,0,)</f>
        <v>0</v>
      </c>
      <c r="L181" s="49">
        <f>_xlfn.XLOOKUP(C181,Tab_Def_Flows[Name(EN)],Tab_Def_Flows[CC?],,0,)</f>
        <v>0</v>
      </c>
      <c r="M181" s="51"/>
      <c r="N181" s="51"/>
      <c r="O181" s="88"/>
      <c r="P181" s="51"/>
      <c r="Q181" s="51"/>
      <c r="R181" s="51"/>
      <c r="S181" s="51"/>
      <c r="T181" s="51"/>
      <c r="U181" s="51"/>
      <c r="V181" s="51"/>
      <c r="W181" s="51"/>
      <c r="X181" s="51"/>
      <c r="Y181" s="51"/>
      <c r="Z181" s="51"/>
      <c r="AA181" s="89">
        <f t="shared" si="6"/>
        <v>0</v>
      </c>
      <c r="AB181" s="51"/>
      <c r="AC181" s="114" t="e">
        <f>INDEX(Tab_Def_Flows[[Flow_ID]:[CC_DM_source]],MATCH(Tab_Data_Flows[[#This Row],[Name(EN)]],Tab_Def_Flows[Name(EN)],0),16)</f>
        <v>#N/A</v>
      </c>
      <c r="AD181" s="115" t="str">
        <f>IF(J181="Yes",AA181*Tab_Data_Flows[[#This Row],[WC_'[%']]],"N.A.")</f>
        <v>N.A.</v>
      </c>
      <c r="AE181" s="61">
        <f>Tab_Data_Flows[[#This Row],[UoM_Flow_Py]]</f>
        <v>0</v>
      </c>
      <c r="AF181" s="114" t="e">
        <f>INDEX(Tab_Def_Flows[[Flow_ID]:[CC_DM_source]],MATCH(Tab_Data_Flows[[#This Row],[Name(EN)]],Tab_Def_Flows[Name(EN)],0),18)</f>
        <v>#N/A</v>
      </c>
      <c r="AG181" s="115" t="str">
        <f>IF(K181="Yes",AF181*Tab_Data_Flows[[#This Row],[Flow_Py]],"N.A.")</f>
        <v>N.A.</v>
      </c>
      <c r="AH181" s="61">
        <f>Tab_Data_Flows[[#This Row],[UoM_Flow_Py]]</f>
        <v>0</v>
      </c>
      <c r="AI181" s="114" t="e">
        <f>INDEX(Tab_Def_Flows[[Flow_ID]:[CC_DM_source]],MATCH(Tab_Data_Flows[[#This Row],[Name(EN)]],Tab_Def_Flows[Name(EN)],0),20)</f>
        <v>#N/A</v>
      </c>
      <c r="AJ181" s="115" t="str">
        <f>IF(L181="Yes",AI181*Tab_Data_Flows[[#This Row],[Flow_Py]],"N.A.")</f>
        <v>N.A.</v>
      </c>
      <c r="AK181" s="61">
        <f>Tab_Data_Flows[[#This Row],[UoM_Flow_Py]]</f>
        <v>0</v>
      </c>
    </row>
    <row r="182" spans="1:37" x14ac:dyDescent="0.35">
      <c r="A182" s="60">
        <f t="shared" si="4"/>
        <v>181</v>
      </c>
      <c r="B182" s="49" t="str">
        <f>_xlfn.XLOOKUP(C182,Tab_Def_Flows[Name(EN)],Tab_Def_Flows[Flow_ID],,0,)</f>
        <v>F_21_21</v>
      </c>
      <c r="C182" s="51"/>
      <c r="D182" s="49">
        <f>_xlfn.XLOOKUP(C182,Tab_Def_Flows[Name(EN)],Tab_Def_Flows[Type_Biomass],,0,)</f>
        <v>0</v>
      </c>
      <c r="E182" s="49">
        <f>_xlfn.XLOOKUP(C182,Tab_Def_Flows[Name(EN)],Tab_Def_Flows[Output_Process],,0,)</f>
        <v>0</v>
      </c>
      <c r="F182" s="49" t="str">
        <f>_xlfn.XLOOKUP(C182,Tab_Def_Flows[Name(EN)],Tab_Def_Flows[Process_ID_O],,0,)</f>
        <v>21__</v>
      </c>
      <c r="G182" s="49">
        <f>_xlfn.XLOOKUP(C182,Tab_Def_Flows[Name(EN)],Tab_Def_Flows[Input_Process],,0,)</f>
        <v>0</v>
      </c>
      <c r="H182" s="61" t="str">
        <f>_xlfn.XLOOKUP(C182,Tab_Def_Flows[Name(EN)],Tab_Def_Flows[Process_ID_I],,0,)</f>
        <v>21__</v>
      </c>
      <c r="I182" s="49">
        <f>_xlfn.XLOOKUP(C182,Tab_Def_Flows[Name(EN)],Tab_Def_Flows[Value_Source],,0,)</f>
        <v>0</v>
      </c>
      <c r="J182" s="49">
        <f>_xlfn.XLOOKUP(C182,Tab_Def_Flows[Name(EN)],Tab_Def_Flows[WC?],,0,)</f>
        <v>0</v>
      </c>
      <c r="K182" s="49">
        <f>_xlfn.XLOOKUP(C182,Tab_Def_Flows[Name(EN)],Tab_Def_Flows[DM?],,0,)</f>
        <v>0</v>
      </c>
      <c r="L182" s="49">
        <f>_xlfn.XLOOKUP(C182,Tab_Def_Flows[Name(EN)],Tab_Def_Flows[CC?],,0,)</f>
        <v>0</v>
      </c>
      <c r="M182" s="51"/>
      <c r="N182" s="51"/>
      <c r="O182" s="88"/>
      <c r="P182" s="51"/>
      <c r="Q182" s="51"/>
      <c r="R182" s="51"/>
      <c r="S182" s="51"/>
      <c r="T182" s="51"/>
      <c r="U182" s="51"/>
      <c r="V182" s="51"/>
      <c r="W182" s="51"/>
      <c r="X182" s="51"/>
      <c r="Y182" s="51"/>
      <c r="Z182" s="51"/>
      <c r="AA182" s="89">
        <f t="shared" si="6"/>
        <v>0</v>
      </c>
      <c r="AB182" s="51"/>
      <c r="AC182" s="114" t="e">
        <f>INDEX(Tab_Def_Flows[[Flow_ID]:[CC_DM_source]],MATCH(Tab_Data_Flows[[#This Row],[Name(EN)]],Tab_Def_Flows[Name(EN)],0),16)</f>
        <v>#N/A</v>
      </c>
      <c r="AD182" s="115" t="str">
        <f>IF(J182="Yes",AA182*Tab_Data_Flows[[#This Row],[WC_'[%']]],"N.A.")</f>
        <v>N.A.</v>
      </c>
      <c r="AE182" s="61">
        <f>Tab_Data_Flows[[#This Row],[UoM_Flow_Py]]</f>
        <v>0</v>
      </c>
      <c r="AF182" s="114" t="e">
        <f>INDEX(Tab_Def_Flows[[Flow_ID]:[CC_DM_source]],MATCH(Tab_Data_Flows[[#This Row],[Name(EN)]],Tab_Def_Flows[Name(EN)],0),18)</f>
        <v>#N/A</v>
      </c>
      <c r="AG182" s="115" t="str">
        <f>IF(K182="Yes",AF182*Tab_Data_Flows[[#This Row],[Flow_Py]],"N.A.")</f>
        <v>N.A.</v>
      </c>
      <c r="AH182" s="61">
        <f>Tab_Data_Flows[[#This Row],[UoM_Flow_Py]]</f>
        <v>0</v>
      </c>
      <c r="AI182" s="114" t="e">
        <f>INDEX(Tab_Def_Flows[[Flow_ID]:[CC_DM_source]],MATCH(Tab_Data_Flows[[#This Row],[Name(EN)]],Tab_Def_Flows[Name(EN)],0),20)</f>
        <v>#N/A</v>
      </c>
      <c r="AJ182" s="115" t="str">
        <f>IF(L182="Yes",AI182*Tab_Data_Flows[[#This Row],[Flow_Py]],"N.A.")</f>
        <v>N.A.</v>
      </c>
      <c r="AK182" s="61">
        <f>Tab_Data_Flows[[#This Row],[UoM_Flow_Py]]</f>
        <v>0</v>
      </c>
    </row>
    <row r="183" spans="1:37" x14ac:dyDescent="0.35">
      <c r="A183" s="60">
        <f t="shared" si="4"/>
        <v>182</v>
      </c>
      <c r="B183" s="49" t="str">
        <f>_xlfn.XLOOKUP(C183,Tab_Def_Flows[Name(EN)],Tab_Def_Flows[Flow_ID],,0,)</f>
        <v>F_21_21</v>
      </c>
      <c r="C183" s="51"/>
      <c r="D183" s="49">
        <f>_xlfn.XLOOKUP(C183,Tab_Def_Flows[Name(EN)],Tab_Def_Flows[Type_Biomass],,0,)</f>
        <v>0</v>
      </c>
      <c r="E183" s="49">
        <f>_xlfn.XLOOKUP(C183,Tab_Def_Flows[Name(EN)],Tab_Def_Flows[Output_Process],,0,)</f>
        <v>0</v>
      </c>
      <c r="F183" s="49" t="str">
        <f>_xlfn.XLOOKUP(C183,Tab_Def_Flows[Name(EN)],Tab_Def_Flows[Process_ID_O],,0,)</f>
        <v>21__</v>
      </c>
      <c r="G183" s="49">
        <f>_xlfn.XLOOKUP(C183,Tab_Def_Flows[Name(EN)],Tab_Def_Flows[Input_Process],,0,)</f>
        <v>0</v>
      </c>
      <c r="H183" s="61" t="str">
        <f>_xlfn.XLOOKUP(C183,Tab_Def_Flows[Name(EN)],Tab_Def_Flows[Process_ID_I],,0,)</f>
        <v>21__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88"/>
      <c r="P183" s="51"/>
      <c r="Q183" s="51"/>
      <c r="R183" s="51"/>
      <c r="S183" s="51"/>
      <c r="T183" s="51"/>
      <c r="U183" s="51"/>
      <c r="V183" s="51"/>
      <c r="W183" s="51"/>
      <c r="X183" s="51"/>
      <c r="Y183" s="51"/>
      <c r="Z183" s="51"/>
      <c r="AA183" s="89">
        <f t="shared" si="6"/>
        <v>0</v>
      </c>
      <c r="AB183" s="51"/>
      <c r="AC183" s="114" t="e">
        <f>INDEX(Tab_Def_Flows[[Flow_ID]:[CC_DM_source]],MATCH(Tab_Data_Flows[[#This Row],[Name(EN)]],Tab_Def_Flows[Name(EN)],0),16)</f>
        <v>#N/A</v>
      </c>
      <c r="AD183" s="115" t="str">
        <f>IF(J183="Yes",AA183*Tab_Data_Flows[[#This Row],[WC_'[%']]],"N.A.")</f>
        <v>N.A.</v>
      </c>
      <c r="AE183" s="61">
        <f>Tab_Data_Flows[[#This Row],[UoM_Flow_Py]]</f>
        <v>0</v>
      </c>
      <c r="AF183" s="114" t="e">
        <f>INDEX(Tab_Def_Flows[[Flow_ID]:[CC_DM_source]],MATCH(Tab_Data_Flows[[#This Row],[Name(EN)]],Tab_Def_Flows[Name(EN)],0),18)</f>
        <v>#N/A</v>
      </c>
      <c r="AG183" s="115" t="str">
        <f>IF(K183="Yes",AF183*Tab_Data_Flows[[#This Row],[Flow_Py]],"N.A.")</f>
        <v>N.A.</v>
      </c>
      <c r="AH183" s="61">
        <f>Tab_Data_Flows[[#This Row],[UoM_Flow_Py]]</f>
        <v>0</v>
      </c>
      <c r="AI183" s="114" t="e">
        <f>INDEX(Tab_Def_Flows[[Flow_ID]:[CC_DM_source]],MATCH(Tab_Data_Flows[[#This Row],[Name(EN)]],Tab_Def_Flows[Name(EN)],0),20)</f>
        <v>#N/A</v>
      </c>
      <c r="AJ183" s="115" t="str">
        <f>IF(L183="Yes",AI183*Tab_Data_Flows[[#This Row],[Flow_Py]],"N.A.")</f>
        <v>N.A.</v>
      </c>
      <c r="AK183" s="61">
        <f>Tab_Data_Flows[[#This Row],[UoM_Flow_Py]]</f>
        <v>0</v>
      </c>
    </row>
    <row r="184" spans="1:37" x14ac:dyDescent="0.35">
      <c r="A184" s="60">
        <f t="shared" si="4"/>
        <v>183</v>
      </c>
      <c r="B184" s="49" t="str">
        <f>_xlfn.XLOOKUP(C184,Tab_Def_Flows[Name(EN)],Tab_Def_Flows[Flow_ID],,0,)</f>
        <v>F_21_21</v>
      </c>
      <c r="C184" s="51"/>
      <c r="D184" s="49">
        <f>_xlfn.XLOOKUP(C184,Tab_Def_Flows[Name(EN)],Tab_Def_Flows[Type_Biomass],,0,)</f>
        <v>0</v>
      </c>
      <c r="E184" s="49">
        <f>_xlfn.XLOOKUP(C184,Tab_Def_Flows[Name(EN)],Tab_Def_Flows[Output_Process],,0,)</f>
        <v>0</v>
      </c>
      <c r="F184" s="49" t="str">
        <f>_xlfn.XLOOKUP(C184,Tab_Def_Flows[Name(EN)],Tab_Def_Flows[Process_ID_O],,0,)</f>
        <v>21__</v>
      </c>
      <c r="G184" s="49">
        <f>_xlfn.XLOOKUP(C184,Tab_Def_Flows[Name(EN)],Tab_Def_Flows[Input_Process],,0,)</f>
        <v>0</v>
      </c>
      <c r="H184" s="61" t="str">
        <f>_xlfn.XLOOKUP(C184,Tab_Def_Flows[Name(EN)],Tab_Def_Flows[Process_ID_I],,0,)</f>
        <v>21__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88"/>
      <c r="P184" s="51"/>
      <c r="Q184" s="51"/>
      <c r="R184" s="51"/>
      <c r="S184" s="51"/>
      <c r="T184" s="51"/>
      <c r="U184" s="51"/>
      <c r="V184" s="51"/>
      <c r="W184" s="51"/>
      <c r="X184" s="51"/>
      <c r="Y184" s="51"/>
      <c r="Z184" s="51"/>
      <c r="AA184" s="89">
        <f t="shared" si="6"/>
        <v>0</v>
      </c>
      <c r="AB184" s="51"/>
      <c r="AC184" s="114" t="e">
        <f>INDEX(Tab_Def_Flows[[Flow_ID]:[CC_DM_source]],MATCH(Tab_Data_Flows[[#This Row],[Name(EN)]],Tab_Def_Flows[Name(EN)],0),16)</f>
        <v>#N/A</v>
      </c>
      <c r="AD184" s="115" t="str">
        <f>IF(J184="Yes",AA184*Tab_Data_Flows[[#This Row],[WC_'[%']]],"N.A.")</f>
        <v>N.A.</v>
      </c>
      <c r="AE184" s="61">
        <f>Tab_Data_Flows[[#This Row],[UoM_Flow_Py]]</f>
        <v>0</v>
      </c>
      <c r="AF184" s="114" t="e">
        <f>INDEX(Tab_Def_Flows[[Flow_ID]:[CC_DM_source]],MATCH(Tab_Data_Flows[[#This Row],[Name(EN)]],Tab_Def_Flows[Name(EN)],0),18)</f>
        <v>#N/A</v>
      </c>
      <c r="AG184" s="115" t="str">
        <f>IF(K184="Yes",AF184*Tab_Data_Flows[[#This Row],[Flow_Py]],"N.A.")</f>
        <v>N.A.</v>
      </c>
      <c r="AH184" s="61">
        <f>Tab_Data_Flows[[#This Row],[UoM_Flow_Py]]</f>
        <v>0</v>
      </c>
      <c r="AI184" s="114" t="e">
        <f>INDEX(Tab_Def_Flows[[Flow_ID]:[CC_DM_source]],MATCH(Tab_Data_Flows[[#This Row],[Name(EN)]],Tab_Def_Flows[Name(EN)],0),20)</f>
        <v>#N/A</v>
      </c>
      <c r="AJ184" s="115" t="str">
        <f>IF(L184="Yes",AI184*Tab_Data_Flows[[#This Row],[Flow_Py]],"N.A.")</f>
        <v>N.A.</v>
      </c>
      <c r="AK184" s="61">
        <f>Tab_Data_Flows[[#This Row],[UoM_Flow_Py]]</f>
        <v>0</v>
      </c>
    </row>
    <row r="185" spans="1:37" x14ac:dyDescent="0.35">
      <c r="A185" s="60">
        <f t="shared" si="4"/>
        <v>184</v>
      </c>
      <c r="B185" s="49" t="str">
        <f>_xlfn.XLOOKUP(C185,Tab_Def_Flows[Name(EN)],Tab_Def_Flows[Flow_ID],,0,)</f>
        <v>F_21_21</v>
      </c>
      <c r="C185" s="51"/>
      <c r="D185" s="49">
        <f>_xlfn.XLOOKUP(C185,Tab_Def_Flows[Name(EN)],Tab_Def_Flows[Type_Biomass],,0,)</f>
        <v>0</v>
      </c>
      <c r="E185" s="49">
        <f>_xlfn.XLOOKUP(C185,Tab_Def_Flows[Name(EN)],Tab_Def_Flows[Output_Process],,0,)</f>
        <v>0</v>
      </c>
      <c r="F185" s="49" t="str">
        <f>_xlfn.XLOOKUP(C185,Tab_Def_Flows[Name(EN)],Tab_Def_Flows[Process_ID_O],,0,)</f>
        <v>21__</v>
      </c>
      <c r="G185" s="49">
        <f>_xlfn.XLOOKUP(C185,Tab_Def_Flows[Name(EN)],Tab_Def_Flows[Input_Process],,0,)</f>
        <v>0</v>
      </c>
      <c r="H185" s="61" t="str">
        <f>_xlfn.XLOOKUP(C185,Tab_Def_Flows[Name(EN)],Tab_Def_Flows[Process_ID_I],,0,)</f>
        <v>21__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88"/>
      <c r="P185" s="51"/>
      <c r="Q185" s="51"/>
      <c r="R185" s="51"/>
      <c r="S185" s="51"/>
      <c r="T185" s="51"/>
      <c r="U185" s="51"/>
      <c r="V185" s="51"/>
      <c r="W185" s="51"/>
      <c r="X185" s="51"/>
      <c r="Y185" s="51"/>
      <c r="Z185" s="51"/>
      <c r="AA185" s="89">
        <f t="shared" si="6"/>
        <v>0</v>
      </c>
      <c r="AB185" s="51"/>
      <c r="AC185" s="114" t="e">
        <f>INDEX(Tab_Def_Flows[[Flow_ID]:[CC_DM_source]],MATCH(Tab_Data_Flows[[#This Row],[Name(EN)]],Tab_Def_Flows[Name(EN)],0),16)</f>
        <v>#N/A</v>
      </c>
      <c r="AD185" s="115" t="str">
        <f>IF(J185="Yes",AA185*Tab_Data_Flows[[#This Row],[WC_'[%']]],"N.A.")</f>
        <v>N.A.</v>
      </c>
      <c r="AE185" s="61">
        <f>Tab_Data_Flows[[#This Row],[UoM_Flow_Py]]</f>
        <v>0</v>
      </c>
      <c r="AF185" s="114" t="e">
        <f>INDEX(Tab_Def_Flows[[Flow_ID]:[CC_DM_source]],MATCH(Tab_Data_Flows[[#This Row],[Name(EN)]],Tab_Def_Flows[Name(EN)],0),18)</f>
        <v>#N/A</v>
      </c>
      <c r="AG185" s="115" t="str">
        <f>IF(K185="Yes",AF185*Tab_Data_Flows[[#This Row],[Flow_Py]],"N.A.")</f>
        <v>N.A.</v>
      </c>
      <c r="AH185" s="61">
        <f>Tab_Data_Flows[[#This Row],[UoM_Flow_Py]]</f>
        <v>0</v>
      </c>
      <c r="AI185" s="114" t="e">
        <f>INDEX(Tab_Def_Flows[[Flow_ID]:[CC_DM_source]],MATCH(Tab_Data_Flows[[#This Row],[Name(EN)]],Tab_Def_Flows[Name(EN)],0),20)</f>
        <v>#N/A</v>
      </c>
      <c r="AJ185" s="115" t="str">
        <f>IF(L185="Yes",AI185*Tab_Data_Flows[[#This Row],[Flow_Py]],"N.A.")</f>
        <v>N.A.</v>
      </c>
      <c r="AK185" s="61">
        <f>Tab_Data_Flows[[#This Row],[UoM_Flow_Py]]</f>
        <v>0</v>
      </c>
    </row>
    <row r="186" spans="1:37" x14ac:dyDescent="0.35">
      <c r="A186" s="60">
        <f t="shared" si="4"/>
        <v>185</v>
      </c>
      <c r="B186" s="49" t="str">
        <f>_xlfn.XLOOKUP(C186,Tab_Def_Flows[Name(EN)],Tab_Def_Flows[Flow_ID],,0,)</f>
        <v>F_21_21</v>
      </c>
      <c r="C186" s="51"/>
      <c r="D186" s="49">
        <f>_xlfn.XLOOKUP(C186,Tab_Def_Flows[Name(EN)],Tab_Def_Flows[Type_Biomass],,0,)</f>
        <v>0</v>
      </c>
      <c r="E186" s="49">
        <f>_xlfn.XLOOKUP(C186,Tab_Def_Flows[Name(EN)],Tab_Def_Flows[Output_Process],,0,)</f>
        <v>0</v>
      </c>
      <c r="F186" s="49" t="str">
        <f>_xlfn.XLOOKUP(C186,Tab_Def_Flows[Name(EN)],Tab_Def_Flows[Process_ID_O],,0,)</f>
        <v>21__</v>
      </c>
      <c r="G186" s="49">
        <f>_xlfn.XLOOKUP(C186,Tab_Def_Flows[Name(EN)],Tab_Def_Flows[Input_Process],,0,)</f>
        <v>0</v>
      </c>
      <c r="H186" s="61" t="str">
        <f>_xlfn.XLOOKUP(C186,Tab_Def_Flows[Name(EN)],Tab_Def_Flows[Process_ID_I],,0,)</f>
        <v>21__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88"/>
      <c r="P186" s="51"/>
      <c r="Q186" s="51"/>
      <c r="R186" s="51"/>
      <c r="S186" s="51"/>
      <c r="T186" s="51"/>
      <c r="U186" s="51"/>
      <c r="V186" s="51"/>
      <c r="W186" s="51"/>
      <c r="X186" s="51"/>
      <c r="Y186" s="51"/>
      <c r="Z186" s="51"/>
      <c r="AA186" s="89">
        <f t="shared" si="6"/>
        <v>0</v>
      </c>
      <c r="AB186" s="51"/>
      <c r="AC186" s="114" t="e">
        <f>INDEX(Tab_Def_Flows[[Flow_ID]:[CC_DM_source]],MATCH(Tab_Data_Flows[[#This Row],[Name(EN)]],Tab_Def_Flows[Name(EN)],0),16)</f>
        <v>#N/A</v>
      </c>
      <c r="AD186" s="115" t="str">
        <f>IF(J186="Yes",AA186*Tab_Data_Flows[[#This Row],[WC_'[%']]],"N.A.")</f>
        <v>N.A.</v>
      </c>
      <c r="AE186" s="61">
        <f>Tab_Data_Flows[[#This Row],[UoM_Flow_Py]]</f>
        <v>0</v>
      </c>
      <c r="AF186" s="114" t="e">
        <f>INDEX(Tab_Def_Flows[[Flow_ID]:[CC_DM_source]],MATCH(Tab_Data_Flows[[#This Row],[Name(EN)]],Tab_Def_Flows[Name(EN)],0),18)</f>
        <v>#N/A</v>
      </c>
      <c r="AG186" s="115" t="str">
        <f>IF(K186="Yes",AF186*Tab_Data_Flows[[#This Row],[Flow_Py]],"N.A.")</f>
        <v>N.A.</v>
      </c>
      <c r="AH186" s="61">
        <f>Tab_Data_Flows[[#This Row],[UoM_Flow_Py]]</f>
        <v>0</v>
      </c>
      <c r="AI186" s="114" t="e">
        <f>INDEX(Tab_Def_Flows[[Flow_ID]:[CC_DM_source]],MATCH(Tab_Data_Flows[[#This Row],[Name(EN)]],Tab_Def_Flows[Name(EN)],0),20)</f>
        <v>#N/A</v>
      </c>
      <c r="AJ186" s="115" t="str">
        <f>IF(L186="Yes",AI186*Tab_Data_Flows[[#This Row],[Flow_Py]],"N.A.")</f>
        <v>N.A.</v>
      </c>
      <c r="AK186" s="61">
        <f>Tab_Data_Flows[[#This Row],[UoM_Flow_Py]]</f>
        <v>0</v>
      </c>
    </row>
    <row r="187" spans="1:37" x14ac:dyDescent="0.35">
      <c r="A187" s="60">
        <f t="shared" si="4"/>
        <v>186</v>
      </c>
      <c r="B187" s="49" t="str">
        <f>_xlfn.XLOOKUP(C187,Tab_Def_Flows[Name(EN)],Tab_Def_Flows[Flow_ID],,0,)</f>
        <v>F_21_21</v>
      </c>
      <c r="C187" s="51"/>
      <c r="D187" s="49">
        <f>_xlfn.XLOOKUP(C187,Tab_Def_Flows[Name(EN)],Tab_Def_Flows[Type_Biomass],,0,)</f>
        <v>0</v>
      </c>
      <c r="E187" s="49">
        <f>_xlfn.XLOOKUP(C187,Tab_Def_Flows[Name(EN)],Tab_Def_Flows[Output_Process],,0,)</f>
        <v>0</v>
      </c>
      <c r="F187" s="49" t="str">
        <f>_xlfn.XLOOKUP(C187,Tab_Def_Flows[Name(EN)],Tab_Def_Flows[Process_ID_O],,0,)</f>
        <v>21__</v>
      </c>
      <c r="G187" s="49">
        <f>_xlfn.XLOOKUP(C187,Tab_Def_Flows[Name(EN)],Tab_Def_Flows[Input_Process],,0,)</f>
        <v>0</v>
      </c>
      <c r="H187" s="61" t="str">
        <f>_xlfn.XLOOKUP(C187,Tab_Def_Flows[Name(EN)],Tab_Def_Flows[Process_ID_I],,0,)</f>
        <v>21__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88"/>
      <c r="P187" s="51"/>
      <c r="Q187" s="51"/>
      <c r="R187" s="51"/>
      <c r="S187" s="51"/>
      <c r="T187" s="51"/>
      <c r="U187" s="51"/>
      <c r="V187" s="51"/>
      <c r="W187" s="51"/>
      <c r="X187" s="51"/>
      <c r="Y187" s="51"/>
      <c r="Z187" s="51"/>
      <c r="AA187" s="89">
        <f t="shared" si="6"/>
        <v>0</v>
      </c>
      <c r="AB187" s="51"/>
      <c r="AC187" s="114" t="e">
        <f>INDEX(Tab_Def_Flows[[Flow_ID]:[CC_DM_source]],MATCH(Tab_Data_Flows[[#This Row],[Name(EN)]],Tab_Def_Flows[Name(EN)],0),16)</f>
        <v>#N/A</v>
      </c>
      <c r="AD187" s="115" t="str">
        <f>IF(J187="Yes",AA187*Tab_Data_Flows[[#This Row],[WC_'[%']]],"N.A.")</f>
        <v>N.A.</v>
      </c>
      <c r="AE187" s="61">
        <f>Tab_Data_Flows[[#This Row],[UoM_Flow_Py]]</f>
        <v>0</v>
      </c>
      <c r="AF187" s="114" t="e">
        <f>INDEX(Tab_Def_Flows[[Flow_ID]:[CC_DM_source]],MATCH(Tab_Data_Flows[[#This Row],[Name(EN)]],Tab_Def_Flows[Name(EN)],0),18)</f>
        <v>#N/A</v>
      </c>
      <c r="AG187" s="115" t="str">
        <f>IF(K187="Yes",AF187*Tab_Data_Flows[[#This Row],[Flow_Py]],"N.A.")</f>
        <v>N.A.</v>
      </c>
      <c r="AH187" s="61">
        <f>Tab_Data_Flows[[#This Row],[UoM_Flow_Py]]</f>
        <v>0</v>
      </c>
      <c r="AI187" s="114" t="e">
        <f>INDEX(Tab_Def_Flows[[Flow_ID]:[CC_DM_source]],MATCH(Tab_Data_Flows[[#This Row],[Name(EN)]],Tab_Def_Flows[Name(EN)],0),20)</f>
        <v>#N/A</v>
      </c>
      <c r="AJ187" s="115" t="str">
        <f>IF(L187="Yes",AI187*Tab_Data_Flows[[#This Row],[Flow_Py]],"N.A.")</f>
        <v>N.A.</v>
      </c>
      <c r="AK187" s="61">
        <f>Tab_Data_Flows[[#This Row],[UoM_Flow_Py]]</f>
        <v>0</v>
      </c>
    </row>
    <row r="188" spans="1:37" x14ac:dyDescent="0.35">
      <c r="A188" s="60">
        <f t="shared" si="4"/>
        <v>187</v>
      </c>
      <c r="B188" s="49" t="str">
        <f>_xlfn.XLOOKUP(C188,Tab_Def_Flows[Name(EN)],Tab_Def_Flows[Flow_ID],,0,)</f>
        <v>F_21_21</v>
      </c>
      <c r="C188" s="51"/>
      <c r="D188" s="49">
        <f>_xlfn.XLOOKUP(C188,Tab_Def_Flows[Name(EN)],Tab_Def_Flows[Type_Biomass],,0,)</f>
        <v>0</v>
      </c>
      <c r="E188" s="49">
        <f>_xlfn.XLOOKUP(C188,Tab_Def_Flows[Name(EN)],Tab_Def_Flows[Output_Process],,0,)</f>
        <v>0</v>
      </c>
      <c r="F188" s="49" t="str">
        <f>_xlfn.XLOOKUP(C188,Tab_Def_Flows[Name(EN)],Tab_Def_Flows[Process_ID_O],,0,)</f>
        <v>21__</v>
      </c>
      <c r="G188" s="49">
        <f>_xlfn.XLOOKUP(C188,Tab_Def_Flows[Name(EN)],Tab_Def_Flows[Input_Process],,0,)</f>
        <v>0</v>
      </c>
      <c r="H188" s="61" t="str">
        <f>_xlfn.XLOOKUP(C188,Tab_Def_Flows[Name(EN)],Tab_Def_Flows[Process_ID_I],,0,)</f>
        <v>21__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88"/>
      <c r="P188" s="51"/>
      <c r="Q188" s="51"/>
      <c r="R188" s="51"/>
      <c r="S188" s="51"/>
      <c r="T188" s="51"/>
      <c r="U188" s="51"/>
      <c r="V188" s="51"/>
      <c r="W188" s="51"/>
      <c r="X188" s="51"/>
      <c r="Y188" s="51"/>
      <c r="Z188" s="51"/>
      <c r="AA188" s="89">
        <f t="shared" si="6"/>
        <v>0</v>
      </c>
      <c r="AB188" s="51"/>
      <c r="AC188" s="114" t="e">
        <f>INDEX(Tab_Def_Flows[[Flow_ID]:[CC_DM_source]],MATCH(Tab_Data_Flows[[#This Row],[Name(EN)]],Tab_Def_Flows[Name(EN)],0),16)</f>
        <v>#N/A</v>
      </c>
      <c r="AD188" s="115" t="str">
        <f>IF(J188="Yes",AA188*Tab_Data_Flows[[#This Row],[WC_'[%']]],"N.A.")</f>
        <v>N.A.</v>
      </c>
      <c r="AE188" s="61">
        <f>Tab_Data_Flows[[#This Row],[UoM_Flow_Py]]</f>
        <v>0</v>
      </c>
      <c r="AF188" s="114" t="e">
        <f>INDEX(Tab_Def_Flows[[Flow_ID]:[CC_DM_source]],MATCH(Tab_Data_Flows[[#This Row],[Name(EN)]],Tab_Def_Flows[Name(EN)],0),18)</f>
        <v>#N/A</v>
      </c>
      <c r="AG188" s="115" t="str">
        <f>IF(K188="Yes",AF188*Tab_Data_Flows[[#This Row],[Flow_Py]],"N.A.")</f>
        <v>N.A.</v>
      </c>
      <c r="AH188" s="61">
        <f>Tab_Data_Flows[[#This Row],[UoM_Flow_Py]]</f>
        <v>0</v>
      </c>
      <c r="AI188" s="114" t="e">
        <f>INDEX(Tab_Def_Flows[[Flow_ID]:[CC_DM_source]],MATCH(Tab_Data_Flows[[#This Row],[Name(EN)]],Tab_Def_Flows[Name(EN)],0),20)</f>
        <v>#N/A</v>
      </c>
      <c r="AJ188" s="115" t="str">
        <f>IF(L188="Yes",AI188*Tab_Data_Flows[[#This Row],[Flow_Py]],"N.A.")</f>
        <v>N.A.</v>
      </c>
      <c r="AK188" s="61">
        <f>Tab_Data_Flows[[#This Row],[UoM_Flow_Py]]</f>
        <v>0</v>
      </c>
    </row>
    <row r="189" spans="1:37" x14ac:dyDescent="0.35">
      <c r="A189" s="60">
        <f t="shared" si="4"/>
        <v>188</v>
      </c>
      <c r="B189" s="49" t="str">
        <f>_xlfn.XLOOKUP(C189,Tab_Def_Flows[Name(EN)],Tab_Def_Flows[Flow_ID],,0,)</f>
        <v>F_21_21</v>
      </c>
      <c r="C189" s="51"/>
      <c r="D189" s="49">
        <f>_xlfn.XLOOKUP(C189,Tab_Def_Flows[Name(EN)],Tab_Def_Flows[Type_Biomass],,0,)</f>
        <v>0</v>
      </c>
      <c r="E189" s="49">
        <f>_xlfn.XLOOKUP(C189,Tab_Def_Flows[Name(EN)],Tab_Def_Flows[Output_Process],,0,)</f>
        <v>0</v>
      </c>
      <c r="F189" s="49" t="str">
        <f>_xlfn.XLOOKUP(C189,Tab_Def_Flows[Name(EN)],Tab_Def_Flows[Process_ID_O],,0,)</f>
        <v>21__</v>
      </c>
      <c r="G189" s="49">
        <f>_xlfn.XLOOKUP(C189,Tab_Def_Flows[Name(EN)],Tab_Def_Flows[Input_Process],,0,)</f>
        <v>0</v>
      </c>
      <c r="H189" s="61" t="str">
        <f>_xlfn.XLOOKUP(C189,Tab_Def_Flows[Name(EN)],Tab_Def_Flows[Process_ID_I],,0,)</f>
        <v>21__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88"/>
      <c r="P189" s="51"/>
      <c r="Q189" s="51"/>
      <c r="R189" s="51"/>
      <c r="S189" s="51"/>
      <c r="T189" s="51"/>
      <c r="U189" s="51"/>
      <c r="V189" s="51"/>
      <c r="W189" s="51"/>
      <c r="X189" s="51"/>
      <c r="Y189" s="51"/>
      <c r="Z189" s="51"/>
      <c r="AA189" s="89">
        <f t="shared" si="6"/>
        <v>0</v>
      </c>
      <c r="AB189" s="51"/>
      <c r="AC189" s="114" t="e">
        <f>INDEX(Tab_Def_Flows[[Flow_ID]:[CC_DM_source]],MATCH(Tab_Data_Flows[[#This Row],[Name(EN)]],Tab_Def_Flows[Name(EN)],0),16)</f>
        <v>#N/A</v>
      </c>
      <c r="AD189" s="115" t="str">
        <f>IF(J189="Yes",AA189*Tab_Data_Flows[[#This Row],[WC_'[%']]],"N.A.")</f>
        <v>N.A.</v>
      </c>
      <c r="AE189" s="61">
        <f>Tab_Data_Flows[[#This Row],[UoM_Flow_Py]]</f>
        <v>0</v>
      </c>
      <c r="AF189" s="114" t="e">
        <f>INDEX(Tab_Def_Flows[[Flow_ID]:[CC_DM_source]],MATCH(Tab_Data_Flows[[#This Row],[Name(EN)]],Tab_Def_Flows[Name(EN)],0),18)</f>
        <v>#N/A</v>
      </c>
      <c r="AG189" s="115" t="str">
        <f>IF(K189="Yes",AF189*Tab_Data_Flows[[#This Row],[Flow_Py]],"N.A.")</f>
        <v>N.A.</v>
      </c>
      <c r="AH189" s="61">
        <f>Tab_Data_Flows[[#This Row],[UoM_Flow_Py]]</f>
        <v>0</v>
      </c>
      <c r="AI189" s="114" t="e">
        <f>INDEX(Tab_Def_Flows[[Flow_ID]:[CC_DM_source]],MATCH(Tab_Data_Flows[[#This Row],[Name(EN)]],Tab_Def_Flows[Name(EN)],0),20)</f>
        <v>#N/A</v>
      </c>
      <c r="AJ189" s="115" t="str">
        <f>IF(L189="Yes",AI189*Tab_Data_Flows[[#This Row],[Flow_Py]],"N.A.")</f>
        <v>N.A.</v>
      </c>
      <c r="AK189" s="61">
        <f>Tab_Data_Flows[[#This Row],[UoM_Flow_Py]]</f>
        <v>0</v>
      </c>
    </row>
    <row r="190" spans="1:37" x14ac:dyDescent="0.35">
      <c r="A190" s="60">
        <f t="shared" si="4"/>
        <v>189</v>
      </c>
      <c r="B190" s="49" t="str">
        <f>_xlfn.XLOOKUP(C190,Tab_Def_Flows[Name(EN)],Tab_Def_Flows[Flow_ID],,0,)</f>
        <v>F_21_21</v>
      </c>
      <c r="C190" s="51"/>
      <c r="D190" s="49">
        <f>_xlfn.XLOOKUP(C190,Tab_Def_Flows[Name(EN)],Tab_Def_Flows[Type_Biomass],,0,)</f>
        <v>0</v>
      </c>
      <c r="E190" s="49">
        <f>_xlfn.XLOOKUP(C190,Tab_Def_Flows[Name(EN)],Tab_Def_Flows[Output_Process],,0,)</f>
        <v>0</v>
      </c>
      <c r="F190" s="49" t="str">
        <f>_xlfn.XLOOKUP(C190,Tab_Def_Flows[Name(EN)],Tab_Def_Flows[Process_ID_O],,0,)</f>
        <v>21__</v>
      </c>
      <c r="G190" s="49">
        <f>_xlfn.XLOOKUP(C190,Tab_Def_Flows[Name(EN)],Tab_Def_Flows[Input_Process],,0,)</f>
        <v>0</v>
      </c>
      <c r="H190" s="61" t="str">
        <f>_xlfn.XLOOKUP(C190,Tab_Def_Flows[Name(EN)],Tab_Def_Flows[Process_ID_I],,0,)</f>
        <v>21__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88"/>
      <c r="P190" s="51"/>
      <c r="Q190" s="51"/>
      <c r="R190" s="51"/>
      <c r="S190" s="51"/>
      <c r="T190" s="51"/>
      <c r="U190" s="51"/>
      <c r="V190" s="51"/>
      <c r="W190" s="51"/>
      <c r="X190" s="51"/>
      <c r="Y190" s="51"/>
      <c r="Z190" s="51"/>
      <c r="AA190" s="89">
        <f t="shared" si="6"/>
        <v>0</v>
      </c>
      <c r="AB190" s="51"/>
      <c r="AC190" s="114" t="e">
        <f>INDEX(Tab_Def_Flows[[Flow_ID]:[CC_DM_source]],MATCH(Tab_Data_Flows[[#This Row],[Name(EN)]],Tab_Def_Flows[Name(EN)],0),16)</f>
        <v>#N/A</v>
      </c>
      <c r="AD190" s="115" t="str">
        <f>IF(J190="Yes",AA190*Tab_Data_Flows[[#This Row],[WC_'[%']]],"N.A.")</f>
        <v>N.A.</v>
      </c>
      <c r="AE190" s="61">
        <f>Tab_Data_Flows[[#This Row],[UoM_Flow_Py]]</f>
        <v>0</v>
      </c>
      <c r="AF190" s="114" t="e">
        <f>INDEX(Tab_Def_Flows[[Flow_ID]:[CC_DM_source]],MATCH(Tab_Data_Flows[[#This Row],[Name(EN)]],Tab_Def_Flows[Name(EN)],0),18)</f>
        <v>#N/A</v>
      </c>
      <c r="AG190" s="115" t="str">
        <f>IF(K190="Yes",AF190*Tab_Data_Flows[[#This Row],[Flow_Py]],"N.A.")</f>
        <v>N.A.</v>
      </c>
      <c r="AH190" s="61">
        <f>Tab_Data_Flows[[#This Row],[UoM_Flow_Py]]</f>
        <v>0</v>
      </c>
      <c r="AI190" s="114" t="e">
        <f>INDEX(Tab_Def_Flows[[Flow_ID]:[CC_DM_source]],MATCH(Tab_Data_Flows[[#This Row],[Name(EN)]],Tab_Def_Flows[Name(EN)],0),20)</f>
        <v>#N/A</v>
      </c>
      <c r="AJ190" s="115" t="str">
        <f>IF(L190="Yes",AI190*Tab_Data_Flows[[#This Row],[Flow_Py]],"N.A.")</f>
        <v>N.A.</v>
      </c>
      <c r="AK190" s="61">
        <f>Tab_Data_Flows[[#This Row],[UoM_Flow_Py]]</f>
        <v>0</v>
      </c>
    </row>
    <row r="191" spans="1:37" x14ac:dyDescent="0.35">
      <c r="A191" s="60">
        <f t="shared" si="4"/>
        <v>190</v>
      </c>
      <c r="B191" s="49" t="str">
        <f>_xlfn.XLOOKUP(C191,Tab_Def_Flows[Name(EN)],Tab_Def_Flows[Flow_ID],,0,)</f>
        <v>F_21_21</v>
      </c>
      <c r="C191" s="51"/>
      <c r="D191" s="49">
        <f>_xlfn.XLOOKUP(C191,Tab_Def_Flows[Name(EN)],Tab_Def_Flows[Type_Biomass],,0,)</f>
        <v>0</v>
      </c>
      <c r="E191" s="49">
        <f>_xlfn.XLOOKUP(C191,Tab_Def_Flows[Name(EN)],Tab_Def_Flows[Output_Process],,0,)</f>
        <v>0</v>
      </c>
      <c r="F191" s="49" t="str">
        <f>_xlfn.XLOOKUP(C191,Tab_Def_Flows[Name(EN)],Tab_Def_Flows[Process_ID_O],,0,)</f>
        <v>21__</v>
      </c>
      <c r="G191" s="49">
        <f>_xlfn.XLOOKUP(C191,Tab_Def_Flows[Name(EN)],Tab_Def_Flows[Input_Process],,0,)</f>
        <v>0</v>
      </c>
      <c r="H191" s="61" t="str">
        <f>_xlfn.XLOOKUP(C191,Tab_Def_Flows[Name(EN)],Tab_Def_Flows[Process_ID_I],,0,)</f>
        <v>21__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88"/>
      <c r="P191" s="51"/>
      <c r="Q191" s="51"/>
      <c r="R191" s="51"/>
      <c r="S191" s="51"/>
      <c r="T191" s="51"/>
      <c r="U191" s="51"/>
      <c r="V191" s="51"/>
      <c r="W191" s="51"/>
      <c r="X191" s="51"/>
      <c r="Y191" s="51"/>
      <c r="Z191" s="51"/>
      <c r="AA191" s="89">
        <f t="shared" si="6"/>
        <v>0</v>
      </c>
      <c r="AB191" s="51"/>
      <c r="AC191" s="114" t="e">
        <f>INDEX(Tab_Def_Flows[[Flow_ID]:[CC_DM_source]],MATCH(Tab_Data_Flows[[#This Row],[Name(EN)]],Tab_Def_Flows[Name(EN)],0),16)</f>
        <v>#N/A</v>
      </c>
      <c r="AD191" s="115" t="str">
        <f>IF(J191="Yes",AA191*Tab_Data_Flows[[#This Row],[WC_'[%']]],"N.A.")</f>
        <v>N.A.</v>
      </c>
      <c r="AE191" s="61">
        <f>Tab_Data_Flows[[#This Row],[UoM_Flow_Py]]</f>
        <v>0</v>
      </c>
      <c r="AF191" s="114" t="e">
        <f>INDEX(Tab_Def_Flows[[Flow_ID]:[CC_DM_source]],MATCH(Tab_Data_Flows[[#This Row],[Name(EN)]],Tab_Def_Flows[Name(EN)],0),18)</f>
        <v>#N/A</v>
      </c>
      <c r="AG191" s="115" t="str">
        <f>IF(K191="Yes",AF191*Tab_Data_Flows[[#This Row],[Flow_Py]],"N.A.")</f>
        <v>N.A.</v>
      </c>
      <c r="AH191" s="61">
        <f>Tab_Data_Flows[[#This Row],[UoM_Flow_Py]]</f>
        <v>0</v>
      </c>
      <c r="AI191" s="114" t="e">
        <f>INDEX(Tab_Def_Flows[[Flow_ID]:[CC_DM_source]],MATCH(Tab_Data_Flows[[#This Row],[Name(EN)]],Tab_Def_Flows[Name(EN)],0),20)</f>
        <v>#N/A</v>
      </c>
      <c r="AJ191" s="115" t="str">
        <f>IF(L191="Yes",AI191*Tab_Data_Flows[[#This Row],[Flow_Py]],"N.A.")</f>
        <v>N.A.</v>
      </c>
      <c r="AK191" s="61">
        <f>Tab_Data_Flows[[#This Row],[UoM_Flow_Py]]</f>
        <v>0</v>
      </c>
    </row>
    <row r="192" spans="1:37" x14ac:dyDescent="0.35">
      <c r="A192" s="60">
        <f t="shared" ref="A192:A255" si="7">ROW()-1</f>
        <v>191</v>
      </c>
      <c r="B192" s="49" t="str">
        <f>_xlfn.XLOOKUP(C192,Tab_Def_Flows[Name(EN)],Tab_Def_Flows[Flow_ID],,0,)</f>
        <v>F_21_21</v>
      </c>
      <c r="C192" s="51"/>
      <c r="D192" s="49">
        <f>_xlfn.XLOOKUP(C192,Tab_Def_Flows[Name(EN)],Tab_Def_Flows[Type_Biomass],,0,)</f>
        <v>0</v>
      </c>
      <c r="E192" s="49">
        <f>_xlfn.XLOOKUP(C192,Tab_Def_Flows[Name(EN)],Tab_Def_Flows[Output_Process],,0,)</f>
        <v>0</v>
      </c>
      <c r="F192" s="49" t="str">
        <f>_xlfn.XLOOKUP(C192,Tab_Def_Flows[Name(EN)],Tab_Def_Flows[Process_ID_O],,0,)</f>
        <v>21__</v>
      </c>
      <c r="G192" s="49">
        <f>_xlfn.XLOOKUP(C192,Tab_Def_Flows[Name(EN)],Tab_Def_Flows[Input_Process],,0,)</f>
        <v>0</v>
      </c>
      <c r="H192" s="61" t="str">
        <f>_xlfn.XLOOKUP(C192,Tab_Def_Flows[Name(EN)],Tab_Def_Flows[Process_ID_I],,0,)</f>
        <v>21__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88"/>
      <c r="P192" s="51"/>
      <c r="Q192" s="51"/>
      <c r="R192" s="51"/>
      <c r="S192" s="51"/>
      <c r="T192" s="51"/>
      <c r="U192" s="51"/>
      <c r="V192" s="51"/>
      <c r="W192" s="51"/>
      <c r="X192" s="51"/>
      <c r="Y192" s="51"/>
      <c r="Z192" s="51"/>
      <c r="AA192" s="89">
        <f t="shared" si="6"/>
        <v>0</v>
      </c>
      <c r="AB192" s="51"/>
      <c r="AC192" s="114" t="e">
        <f>INDEX(Tab_Def_Flows[[Flow_ID]:[CC_DM_source]],MATCH(Tab_Data_Flows[[#This Row],[Name(EN)]],Tab_Def_Flows[Name(EN)],0),16)</f>
        <v>#N/A</v>
      </c>
      <c r="AD192" s="115" t="str">
        <f>IF(J192="Yes",AA192*Tab_Data_Flows[[#This Row],[WC_'[%']]],"N.A.")</f>
        <v>N.A.</v>
      </c>
      <c r="AE192" s="61">
        <f>Tab_Data_Flows[[#This Row],[UoM_Flow_Py]]</f>
        <v>0</v>
      </c>
      <c r="AF192" s="114" t="e">
        <f>INDEX(Tab_Def_Flows[[Flow_ID]:[CC_DM_source]],MATCH(Tab_Data_Flows[[#This Row],[Name(EN)]],Tab_Def_Flows[Name(EN)],0),18)</f>
        <v>#N/A</v>
      </c>
      <c r="AG192" s="115" t="str">
        <f>IF(K192="Yes",AF192*Tab_Data_Flows[[#This Row],[Flow_Py]],"N.A.")</f>
        <v>N.A.</v>
      </c>
      <c r="AH192" s="61">
        <f>Tab_Data_Flows[[#This Row],[UoM_Flow_Py]]</f>
        <v>0</v>
      </c>
      <c r="AI192" s="114" t="e">
        <f>INDEX(Tab_Def_Flows[[Flow_ID]:[CC_DM_source]],MATCH(Tab_Data_Flows[[#This Row],[Name(EN)]],Tab_Def_Flows[Name(EN)],0),20)</f>
        <v>#N/A</v>
      </c>
      <c r="AJ192" s="115" t="str">
        <f>IF(L192="Yes",AI192*Tab_Data_Flows[[#This Row],[Flow_Py]],"N.A.")</f>
        <v>N.A.</v>
      </c>
      <c r="AK192" s="61">
        <f>Tab_Data_Flows[[#This Row],[UoM_Flow_Py]]</f>
        <v>0</v>
      </c>
    </row>
    <row r="193" spans="1:37" x14ac:dyDescent="0.35">
      <c r="A193" s="60">
        <f t="shared" si="7"/>
        <v>192</v>
      </c>
      <c r="B193" s="49" t="str">
        <f>_xlfn.XLOOKUP(C193,Tab_Def_Flows[Name(EN)],Tab_Def_Flows[Flow_ID],,0,)</f>
        <v>F_21_21</v>
      </c>
      <c r="C193" s="51"/>
      <c r="D193" s="49">
        <f>_xlfn.XLOOKUP(C193,Tab_Def_Flows[Name(EN)],Tab_Def_Flows[Type_Biomass],,0,)</f>
        <v>0</v>
      </c>
      <c r="E193" s="49">
        <f>_xlfn.XLOOKUP(C193,Tab_Def_Flows[Name(EN)],Tab_Def_Flows[Output_Process],,0,)</f>
        <v>0</v>
      </c>
      <c r="F193" s="49" t="str">
        <f>_xlfn.XLOOKUP(C193,Tab_Def_Flows[Name(EN)],Tab_Def_Flows[Process_ID_O],,0,)</f>
        <v>21__</v>
      </c>
      <c r="G193" s="49">
        <f>_xlfn.XLOOKUP(C193,Tab_Def_Flows[Name(EN)],Tab_Def_Flows[Input_Process],,0,)</f>
        <v>0</v>
      </c>
      <c r="H193" s="61" t="str">
        <f>_xlfn.XLOOKUP(C193,Tab_Def_Flows[Name(EN)],Tab_Def_Flows[Process_ID_I],,0,)</f>
        <v>21__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88"/>
      <c r="P193" s="51"/>
      <c r="Q193" s="51"/>
      <c r="R193" s="51"/>
      <c r="S193" s="51"/>
      <c r="T193" s="51"/>
      <c r="U193" s="51"/>
      <c r="V193" s="51"/>
      <c r="W193" s="51"/>
      <c r="X193" s="51"/>
      <c r="Y193" s="51"/>
      <c r="Z193" s="51"/>
      <c r="AA193" s="89">
        <f t="shared" si="6"/>
        <v>0</v>
      </c>
      <c r="AB193" s="51"/>
      <c r="AC193" s="114" t="e">
        <f>INDEX(Tab_Def_Flows[[Flow_ID]:[CC_DM_source]],MATCH(Tab_Data_Flows[[#This Row],[Name(EN)]],Tab_Def_Flows[Name(EN)],0),16)</f>
        <v>#N/A</v>
      </c>
      <c r="AD193" s="115" t="str">
        <f>IF(J193="Yes",AA193*Tab_Data_Flows[[#This Row],[WC_'[%']]],"N.A.")</f>
        <v>N.A.</v>
      </c>
      <c r="AE193" s="61">
        <f>Tab_Data_Flows[[#This Row],[UoM_Flow_Py]]</f>
        <v>0</v>
      </c>
      <c r="AF193" s="114" t="e">
        <f>INDEX(Tab_Def_Flows[[Flow_ID]:[CC_DM_source]],MATCH(Tab_Data_Flows[[#This Row],[Name(EN)]],Tab_Def_Flows[Name(EN)],0),18)</f>
        <v>#N/A</v>
      </c>
      <c r="AG193" s="115" t="str">
        <f>IF(K193="Yes",AF193*Tab_Data_Flows[[#This Row],[Flow_Py]],"N.A.")</f>
        <v>N.A.</v>
      </c>
      <c r="AH193" s="61">
        <f>Tab_Data_Flows[[#This Row],[UoM_Flow_Py]]</f>
        <v>0</v>
      </c>
      <c r="AI193" s="114" t="e">
        <f>INDEX(Tab_Def_Flows[[Flow_ID]:[CC_DM_source]],MATCH(Tab_Data_Flows[[#This Row],[Name(EN)]],Tab_Def_Flows[Name(EN)],0),20)</f>
        <v>#N/A</v>
      </c>
      <c r="AJ193" s="115" t="str">
        <f>IF(L193="Yes",AI193*Tab_Data_Flows[[#This Row],[Flow_Py]],"N.A.")</f>
        <v>N.A.</v>
      </c>
      <c r="AK193" s="61">
        <f>Tab_Data_Flows[[#This Row],[UoM_Flow_Py]]</f>
        <v>0</v>
      </c>
    </row>
    <row r="194" spans="1:37" x14ac:dyDescent="0.35">
      <c r="A194" s="60">
        <f t="shared" si="7"/>
        <v>193</v>
      </c>
      <c r="B194" s="49" t="str">
        <f>_xlfn.XLOOKUP(C194,Tab_Def_Flows[Name(EN)],Tab_Def_Flows[Flow_ID],,0,)</f>
        <v>F_21_21</v>
      </c>
      <c r="C194" s="51"/>
      <c r="D194" s="49">
        <f>_xlfn.XLOOKUP(C194,Tab_Def_Flows[Name(EN)],Tab_Def_Flows[Type_Biomass],,0,)</f>
        <v>0</v>
      </c>
      <c r="E194" s="49">
        <f>_xlfn.XLOOKUP(C194,Tab_Def_Flows[Name(EN)],Tab_Def_Flows[Output_Process],,0,)</f>
        <v>0</v>
      </c>
      <c r="F194" s="49" t="str">
        <f>_xlfn.XLOOKUP(C194,Tab_Def_Flows[Name(EN)],Tab_Def_Flows[Process_ID_O],,0,)</f>
        <v>21__</v>
      </c>
      <c r="G194" s="49">
        <f>_xlfn.XLOOKUP(C194,Tab_Def_Flows[Name(EN)],Tab_Def_Flows[Input_Process],,0,)</f>
        <v>0</v>
      </c>
      <c r="H194" s="61" t="str">
        <f>_xlfn.XLOOKUP(C194,Tab_Def_Flows[Name(EN)],Tab_Def_Flows[Process_ID_I],,0,)</f>
        <v>21__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88"/>
      <c r="P194" s="51"/>
      <c r="Q194" s="51"/>
      <c r="R194" s="51"/>
      <c r="S194" s="51"/>
      <c r="T194" s="51"/>
      <c r="U194" s="51"/>
      <c r="V194" s="51"/>
      <c r="W194" s="51"/>
      <c r="X194" s="51"/>
      <c r="Y194" s="51"/>
      <c r="Z194" s="51"/>
      <c r="AA194" s="89">
        <f t="shared" si="6"/>
        <v>0</v>
      </c>
      <c r="AB194" s="51"/>
      <c r="AC194" s="114" t="e">
        <f>INDEX(Tab_Def_Flows[[Flow_ID]:[CC_DM_source]],MATCH(Tab_Data_Flows[[#This Row],[Name(EN)]],Tab_Def_Flows[Name(EN)],0),16)</f>
        <v>#N/A</v>
      </c>
      <c r="AD194" s="115" t="str">
        <f>IF(J194="Yes",AA194*Tab_Data_Flows[[#This Row],[WC_'[%']]],"N.A.")</f>
        <v>N.A.</v>
      </c>
      <c r="AE194" s="61">
        <f>Tab_Data_Flows[[#This Row],[UoM_Flow_Py]]</f>
        <v>0</v>
      </c>
      <c r="AF194" s="114" t="e">
        <f>INDEX(Tab_Def_Flows[[Flow_ID]:[CC_DM_source]],MATCH(Tab_Data_Flows[[#This Row],[Name(EN)]],Tab_Def_Flows[Name(EN)],0),18)</f>
        <v>#N/A</v>
      </c>
      <c r="AG194" s="115" t="str">
        <f>IF(K194="Yes",AF194*Tab_Data_Flows[[#This Row],[Flow_Py]],"N.A.")</f>
        <v>N.A.</v>
      </c>
      <c r="AH194" s="61">
        <f>Tab_Data_Flows[[#This Row],[UoM_Flow_Py]]</f>
        <v>0</v>
      </c>
      <c r="AI194" s="114" t="e">
        <f>INDEX(Tab_Def_Flows[[Flow_ID]:[CC_DM_source]],MATCH(Tab_Data_Flows[[#This Row],[Name(EN)]],Tab_Def_Flows[Name(EN)],0),20)</f>
        <v>#N/A</v>
      </c>
      <c r="AJ194" s="115" t="str">
        <f>IF(L194="Yes",AI194*Tab_Data_Flows[[#This Row],[Flow_Py]],"N.A.")</f>
        <v>N.A.</v>
      </c>
      <c r="AK194" s="61">
        <f>Tab_Data_Flows[[#This Row],[UoM_Flow_Py]]</f>
        <v>0</v>
      </c>
    </row>
    <row r="195" spans="1:37" x14ac:dyDescent="0.35">
      <c r="A195" s="60">
        <f t="shared" si="7"/>
        <v>194</v>
      </c>
      <c r="B195" s="49" t="str">
        <f>_xlfn.XLOOKUP(C195,Tab_Def_Flows[Name(EN)],Tab_Def_Flows[Flow_ID],,0,)</f>
        <v>F_21_21</v>
      </c>
      <c r="C195" s="51"/>
      <c r="D195" s="49">
        <f>_xlfn.XLOOKUP(C195,Tab_Def_Flows[Name(EN)],Tab_Def_Flows[Type_Biomass],,0,)</f>
        <v>0</v>
      </c>
      <c r="E195" s="49">
        <f>_xlfn.XLOOKUP(C195,Tab_Def_Flows[Name(EN)],Tab_Def_Flows[Output_Process],,0,)</f>
        <v>0</v>
      </c>
      <c r="F195" s="49" t="str">
        <f>_xlfn.XLOOKUP(C195,Tab_Def_Flows[Name(EN)],Tab_Def_Flows[Process_ID_O],,0,)</f>
        <v>21__</v>
      </c>
      <c r="G195" s="49">
        <f>_xlfn.XLOOKUP(C195,Tab_Def_Flows[Name(EN)],Tab_Def_Flows[Input_Process],,0,)</f>
        <v>0</v>
      </c>
      <c r="H195" s="61" t="str">
        <f>_xlfn.XLOOKUP(C195,Tab_Def_Flows[Name(EN)],Tab_Def_Flows[Process_ID_I],,0,)</f>
        <v>21__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88"/>
      <c r="P195" s="51"/>
      <c r="Q195" s="51"/>
      <c r="R195" s="51"/>
      <c r="S195" s="51"/>
      <c r="T195" s="51"/>
      <c r="U195" s="51"/>
      <c r="V195" s="51"/>
      <c r="W195" s="51"/>
      <c r="X195" s="51"/>
      <c r="Y195" s="51"/>
      <c r="Z195" s="51"/>
      <c r="AA195" s="89">
        <f t="shared" si="6"/>
        <v>0</v>
      </c>
      <c r="AB195" s="51"/>
      <c r="AC195" s="114" t="e">
        <f>INDEX(Tab_Def_Flows[[Flow_ID]:[CC_DM_source]],MATCH(Tab_Data_Flows[[#This Row],[Name(EN)]],Tab_Def_Flows[Name(EN)],0),16)</f>
        <v>#N/A</v>
      </c>
      <c r="AD195" s="115" t="str">
        <f>IF(J195="Yes",AA195*Tab_Data_Flows[[#This Row],[WC_'[%']]],"N.A.")</f>
        <v>N.A.</v>
      </c>
      <c r="AE195" s="61">
        <f>Tab_Data_Flows[[#This Row],[UoM_Flow_Py]]</f>
        <v>0</v>
      </c>
      <c r="AF195" s="114" t="e">
        <f>INDEX(Tab_Def_Flows[[Flow_ID]:[CC_DM_source]],MATCH(Tab_Data_Flows[[#This Row],[Name(EN)]],Tab_Def_Flows[Name(EN)],0),18)</f>
        <v>#N/A</v>
      </c>
      <c r="AG195" s="115" t="str">
        <f>IF(K195="Yes",AF195*Tab_Data_Flows[[#This Row],[Flow_Py]],"N.A.")</f>
        <v>N.A.</v>
      </c>
      <c r="AH195" s="61">
        <f>Tab_Data_Flows[[#This Row],[UoM_Flow_Py]]</f>
        <v>0</v>
      </c>
      <c r="AI195" s="114" t="e">
        <f>INDEX(Tab_Def_Flows[[Flow_ID]:[CC_DM_source]],MATCH(Tab_Data_Flows[[#This Row],[Name(EN)]],Tab_Def_Flows[Name(EN)],0),20)</f>
        <v>#N/A</v>
      </c>
      <c r="AJ195" s="115" t="str">
        <f>IF(L195="Yes",AI195*Tab_Data_Flows[[#This Row],[Flow_Py]],"N.A.")</f>
        <v>N.A.</v>
      </c>
      <c r="AK195" s="61">
        <f>Tab_Data_Flows[[#This Row],[UoM_Flow_Py]]</f>
        <v>0</v>
      </c>
    </row>
    <row r="196" spans="1:37" x14ac:dyDescent="0.35">
      <c r="A196" s="60">
        <f t="shared" si="7"/>
        <v>195</v>
      </c>
      <c r="B196" s="49" t="str">
        <f>_xlfn.XLOOKUP(C196,Tab_Def_Flows[Name(EN)],Tab_Def_Flows[Flow_ID],,0,)</f>
        <v>F_21_21</v>
      </c>
      <c r="C196" s="51"/>
      <c r="D196" s="49">
        <f>_xlfn.XLOOKUP(C196,Tab_Def_Flows[Name(EN)],Tab_Def_Flows[Type_Biomass],,0,)</f>
        <v>0</v>
      </c>
      <c r="E196" s="49">
        <f>_xlfn.XLOOKUP(C196,Tab_Def_Flows[Name(EN)],Tab_Def_Flows[Output_Process],,0,)</f>
        <v>0</v>
      </c>
      <c r="F196" s="49" t="str">
        <f>_xlfn.XLOOKUP(C196,Tab_Def_Flows[Name(EN)],Tab_Def_Flows[Process_ID_O],,0,)</f>
        <v>21__</v>
      </c>
      <c r="G196" s="49">
        <f>_xlfn.XLOOKUP(C196,Tab_Def_Flows[Name(EN)],Tab_Def_Flows[Input_Process],,0,)</f>
        <v>0</v>
      </c>
      <c r="H196" s="61" t="str">
        <f>_xlfn.XLOOKUP(C196,Tab_Def_Flows[Name(EN)],Tab_Def_Flows[Process_ID_I],,0,)</f>
        <v>21__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88"/>
      <c r="P196" s="51"/>
      <c r="Q196" s="51"/>
      <c r="R196" s="51"/>
      <c r="S196" s="51"/>
      <c r="T196" s="51"/>
      <c r="U196" s="51"/>
      <c r="V196" s="51"/>
      <c r="W196" s="51"/>
      <c r="X196" s="51"/>
      <c r="Y196" s="51"/>
      <c r="Z196" s="51"/>
      <c r="AA196" s="89">
        <f t="shared" si="6"/>
        <v>0</v>
      </c>
      <c r="AB196" s="51"/>
      <c r="AC196" s="114" t="e">
        <f>INDEX(Tab_Def_Flows[[Flow_ID]:[CC_DM_source]],MATCH(Tab_Data_Flows[[#This Row],[Name(EN)]],Tab_Def_Flows[Name(EN)],0),16)</f>
        <v>#N/A</v>
      </c>
      <c r="AD196" s="115" t="str">
        <f>IF(J196="Yes",AA196*Tab_Data_Flows[[#This Row],[WC_'[%']]],"N.A.")</f>
        <v>N.A.</v>
      </c>
      <c r="AE196" s="61">
        <f>Tab_Data_Flows[[#This Row],[UoM_Flow_Py]]</f>
        <v>0</v>
      </c>
      <c r="AF196" s="114" t="e">
        <f>INDEX(Tab_Def_Flows[[Flow_ID]:[CC_DM_source]],MATCH(Tab_Data_Flows[[#This Row],[Name(EN)]],Tab_Def_Flows[Name(EN)],0),18)</f>
        <v>#N/A</v>
      </c>
      <c r="AG196" s="115" t="str">
        <f>IF(K196="Yes",AF196*Tab_Data_Flows[[#This Row],[Flow_Py]],"N.A.")</f>
        <v>N.A.</v>
      </c>
      <c r="AH196" s="61">
        <f>Tab_Data_Flows[[#This Row],[UoM_Flow_Py]]</f>
        <v>0</v>
      </c>
      <c r="AI196" s="114" t="e">
        <f>INDEX(Tab_Def_Flows[[Flow_ID]:[CC_DM_source]],MATCH(Tab_Data_Flows[[#This Row],[Name(EN)]],Tab_Def_Flows[Name(EN)],0),20)</f>
        <v>#N/A</v>
      </c>
      <c r="AJ196" s="115" t="str">
        <f>IF(L196="Yes",AI196*Tab_Data_Flows[[#This Row],[Flow_Py]],"N.A.")</f>
        <v>N.A.</v>
      </c>
      <c r="AK196" s="61">
        <f>Tab_Data_Flows[[#This Row],[UoM_Flow_Py]]</f>
        <v>0</v>
      </c>
    </row>
    <row r="197" spans="1:37" x14ac:dyDescent="0.35">
      <c r="A197" s="60">
        <f t="shared" si="7"/>
        <v>196</v>
      </c>
      <c r="B197" s="49" t="str">
        <f>_xlfn.XLOOKUP(C197,Tab_Def_Flows[Name(EN)],Tab_Def_Flows[Flow_ID],,0,)</f>
        <v>F_21_21</v>
      </c>
      <c r="C197" s="51"/>
      <c r="D197" s="49">
        <f>_xlfn.XLOOKUP(C197,Tab_Def_Flows[Name(EN)],Tab_Def_Flows[Type_Biomass],,0,)</f>
        <v>0</v>
      </c>
      <c r="E197" s="49">
        <f>_xlfn.XLOOKUP(C197,Tab_Def_Flows[Name(EN)],Tab_Def_Flows[Output_Process],,0,)</f>
        <v>0</v>
      </c>
      <c r="F197" s="49" t="str">
        <f>_xlfn.XLOOKUP(C197,Tab_Def_Flows[Name(EN)],Tab_Def_Flows[Process_ID_O],,0,)</f>
        <v>21__</v>
      </c>
      <c r="G197" s="49">
        <f>_xlfn.XLOOKUP(C197,Tab_Def_Flows[Name(EN)],Tab_Def_Flows[Input_Process],,0,)</f>
        <v>0</v>
      </c>
      <c r="H197" s="61" t="str">
        <f>_xlfn.XLOOKUP(C197,Tab_Def_Flows[Name(EN)],Tab_Def_Flows[Process_ID_I],,0,)</f>
        <v>21__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88"/>
      <c r="P197" s="51"/>
      <c r="Q197" s="51"/>
      <c r="R197" s="51"/>
      <c r="S197" s="51"/>
      <c r="T197" s="51"/>
      <c r="U197" s="51"/>
      <c r="V197" s="51"/>
      <c r="W197" s="51"/>
      <c r="X197" s="51"/>
      <c r="Y197" s="51"/>
      <c r="Z197" s="51"/>
      <c r="AA197" s="89">
        <f t="shared" si="6"/>
        <v>0</v>
      </c>
      <c r="AB197" s="51"/>
      <c r="AC197" s="114" t="e">
        <f>INDEX(Tab_Def_Flows[[Flow_ID]:[CC_DM_source]],MATCH(Tab_Data_Flows[[#This Row],[Name(EN)]],Tab_Def_Flows[Name(EN)],0),16)</f>
        <v>#N/A</v>
      </c>
      <c r="AD197" s="115" t="str">
        <f>IF(J197="Yes",AA197*Tab_Data_Flows[[#This Row],[WC_'[%']]],"N.A.")</f>
        <v>N.A.</v>
      </c>
      <c r="AE197" s="61">
        <f>Tab_Data_Flows[[#This Row],[UoM_Flow_Py]]</f>
        <v>0</v>
      </c>
      <c r="AF197" s="114" t="e">
        <f>INDEX(Tab_Def_Flows[[Flow_ID]:[CC_DM_source]],MATCH(Tab_Data_Flows[[#This Row],[Name(EN)]],Tab_Def_Flows[Name(EN)],0),18)</f>
        <v>#N/A</v>
      </c>
      <c r="AG197" s="115" t="str">
        <f>IF(K197="Yes",AF197*Tab_Data_Flows[[#This Row],[Flow_Py]],"N.A.")</f>
        <v>N.A.</v>
      </c>
      <c r="AH197" s="61">
        <f>Tab_Data_Flows[[#This Row],[UoM_Flow_Py]]</f>
        <v>0</v>
      </c>
      <c r="AI197" s="114" t="e">
        <f>INDEX(Tab_Def_Flows[[Flow_ID]:[CC_DM_source]],MATCH(Tab_Data_Flows[[#This Row],[Name(EN)]],Tab_Def_Flows[Name(EN)],0),20)</f>
        <v>#N/A</v>
      </c>
      <c r="AJ197" s="115" t="str">
        <f>IF(L197="Yes",AI197*Tab_Data_Flows[[#This Row],[Flow_Py]],"N.A.")</f>
        <v>N.A.</v>
      </c>
      <c r="AK197" s="61">
        <f>Tab_Data_Flows[[#This Row],[UoM_Flow_Py]]</f>
        <v>0</v>
      </c>
    </row>
    <row r="198" spans="1:37" x14ac:dyDescent="0.35">
      <c r="A198" s="60">
        <f t="shared" si="7"/>
        <v>197</v>
      </c>
      <c r="B198" s="49" t="str">
        <f>_xlfn.XLOOKUP(C198,Tab_Def_Flows[Name(EN)],Tab_Def_Flows[Flow_ID],,0,)</f>
        <v>F_21_21</v>
      </c>
      <c r="C198" s="51"/>
      <c r="D198" s="49">
        <f>_xlfn.XLOOKUP(C198,Tab_Def_Flows[Name(EN)],Tab_Def_Flows[Type_Biomass],,0,)</f>
        <v>0</v>
      </c>
      <c r="E198" s="49">
        <f>_xlfn.XLOOKUP(C198,Tab_Def_Flows[Name(EN)],Tab_Def_Flows[Output_Process],,0,)</f>
        <v>0</v>
      </c>
      <c r="F198" s="49" t="str">
        <f>_xlfn.XLOOKUP(C198,Tab_Def_Flows[Name(EN)],Tab_Def_Flows[Process_ID_O],,0,)</f>
        <v>21__</v>
      </c>
      <c r="G198" s="49">
        <f>_xlfn.XLOOKUP(C198,Tab_Def_Flows[Name(EN)],Tab_Def_Flows[Input_Process],,0,)</f>
        <v>0</v>
      </c>
      <c r="H198" s="61" t="str">
        <f>_xlfn.XLOOKUP(C198,Tab_Def_Flows[Name(EN)],Tab_Def_Flows[Process_ID_I],,0,)</f>
        <v>21__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88"/>
      <c r="P198" s="51"/>
      <c r="Q198" s="51"/>
      <c r="R198" s="51"/>
      <c r="S198" s="51"/>
      <c r="T198" s="51"/>
      <c r="U198" s="51"/>
      <c r="V198" s="51"/>
      <c r="W198" s="51"/>
      <c r="X198" s="51"/>
      <c r="Y198" s="51"/>
      <c r="Z198" s="51"/>
      <c r="AA198" s="89">
        <f t="shared" si="6"/>
        <v>0</v>
      </c>
      <c r="AB198" s="51"/>
      <c r="AC198" s="114" t="e">
        <f>INDEX(Tab_Def_Flows[[Flow_ID]:[CC_DM_source]],MATCH(Tab_Data_Flows[[#This Row],[Name(EN)]],Tab_Def_Flows[Name(EN)],0),16)</f>
        <v>#N/A</v>
      </c>
      <c r="AD198" s="115" t="str">
        <f>IF(J198="Yes",AA198*Tab_Data_Flows[[#This Row],[WC_'[%']]],"N.A.")</f>
        <v>N.A.</v>
      </c>
      <c r="AE198" s="61">
        <f>Tab_Data_Flows[[#This Row],[UoM_Flow_Py]]</f>
        <v>0</v>
      </c>
      <c r="AF198" s="114" t="e">
        <f>INDEX(Tab_Def_Flows[[Flow_ID]:[CC_DM_source]],MATCH(Tab_Data_Flows[[#This Row],[Name(EN)]],Tab_Def_Flows[Name(EN)],0),18)</f>
        <v>#N/A</v>
      </c>
      <c r="AG198" s="115" t="str">
        <f>IF(K198="Yes",AF198*Tab_Data_Flows[[#This Row],[Flow_Py]],"N.A.")</f>
        <v>N.A.</v>
      </c>
      <c r="AH198" s="61">
        <f>Tab_Data_Flows[[#This Row],[UoM_Flow_Py]]</f>
        <v>0</v>
      </c>
      <c r="AI198" s="114" t="e">
        <f>INDEX(Tab_Def_Flows[[Flow_ID]:[CC_DM_source]],MATCH(Tab_Data_Flows[[#This Row],[Name(EN)]],Tab_Def_Flows[Name(EN)],0),20)</f>
        <v>#N/A</v>
      </c>
      <c r="AJ198" s="115" t="str">
        <f>IF(L198="Yes",AI198*Tab_Data_Flows[[#This Row],[Flow_Py]],"N.A.")</f>
        <v>N.A.</v>
      </c>
      <c r="AK198" s="61">
        <f>Tab_Data_Flows[[#This Row],[UoM_Flow_Py]]</f>
        <v>0</v>
      </c>
    </row>
    <row r="199" spans="1:37" x14ac:dyDescent="0.35">
      <c r="A199" s="60">
        <f t="shared" si="7"/>
        <v>198</v>
      </c>
      <c r="B199" s="49" t="str">
        <f>_xlfn.XLOOKUP(C199,Tab_Def_Flows[Name(EN)],Tab_Def_Flows[Flow_ID],,0,)</f>
        <v>F_21_21</v>
      </c>
      <c r="C199" s="51"/>
      <c r="D199" s="49">
        <f>_xlfn.XLOOKUP(C199,Tab_Def_Flows[Name(EN)],Tab_Def_Flows[Type_Biomass],,0,)</f>
        <v>0</v>
      </c>
      <c r="E199" s="49">
        <f>_xlfn.XLOOKUP(C199,Tab_Def_Flows[Name(EN)],Tab_Def_Flows[Output_Process],,0,)</f>
        <v>0</v>
      </c>
      <c r="F199" s="49" t="str">
        <f>_xlfn.XLOOKUP(C199,Tab_Def_Flows[Name(EN)],Tab_Def_Flows[Process_ID_O],,0,)</f>
        <v>21__</v>
      </c>
      <c r="G199" s="49">
        <f>_xlfn.XLOOKUP(C199,Tab_Def_Flows[Name(EN)],Tab_Def_Flows[Input_Process],,0,)</f>
        <v>0</v>
      </c>
      <c r="H199" s="61" t="str">
        <f>_xlfn.XLOOKUP(C199,Tab_Def_Flows[Name(EN)],Tab_Def_Flows[Process_ID_I],,0,)</f>
        <v>21__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88"/>
      <c r="P199" s="51"/>
      <c r="Q199" s="51"/>
      <c r="R199" s="51"/>
      <c r="S199" s="51"/>
      <c r="T199" s="51"/>
      <c r="U199" s="51"/>
      <c r="V199" s="51"/>
      <c r="W199" s="51"/>
      <c r="X199" s="51"/>
      <c r="Y199" s="51"/>
      <c r="Z199" s="51"/>
      <c r="AA199" s="89">
        <f t="shared" si="6"/>
        <v>0</v>
      </c>
      <c r="AB199" s="51"/>
      <c r="AC199" s="114" t="e">
        <f>INDEX(Tab_Def_Flows[[Flow_ID]:[CC_DM_source]],MATCH(Tab_Data_Flows[[#This Row],[Name(EN)]],Tab_Def_Flows[Name(EN)],0),16)</f>
        <v>#N/A</v>
      </c>
      <c r="AD199" s="115" t="str">
        <f>IF(J199="Yes",AA199*Tab_Data_Flows[[#This Row],[WC_'[%']]],"N.A.")</f>
        <v>N.A.</v>
      </c>
      <c r="AE199" s="61">
        <f>Tab_Data_Flows[[#This Row],[UoM_Flow_Py]]</f>
        <v>0</v>
      </c>
      <c r="AF199" s="114" t="e">
        <f>INDEX(Tab_Def_Flows[[Flow_ID]:[CC_DM_source]],MATCH(Tab_Data_Flows[[#This Row],[Name(EN)]],Tab_Def_Flows[Name(EN)],0),18)</f>
        <v>#N/A</v>
      </c>
      <c r="AG199" s="115" t="str">
        <f>IF(K199="Yes",AF199*Tab_Data_Flows[[#This Row],[Flow_Py]],"N.A.")</f>
        <v>N.A.</v>
      </c>
      <c r="AH199" s="61">
        <f>Tab_Data_Flows[[#This Row],[UoM_Flow_Py]]</f>
        <v>0</v>
      </c>
      <c r="AI199" s="114" t="e">
        <f>INDEX(Tab_Def_Flows[[Flow_ID]:[CC_DM_source]],MATCH(Tab_Data_Flows[[#This Row],[Name(EN)]],Tab_Def_Flows[Name(EN)],0),20)</f>
        <v>#N/A</v>
      </c>
      <c r="AJ199" s="115" t="str">
        <f>IF(L199="Yes",AI199*Tab_Data_Flows[[#This Row],[Flow_Py]],"N.A.")</f>
        <v>N.A.</v>
      </c>
      <c r="AK199" s="61">
        <f>Tab_Data_Flows[[#This Row],[UoM_Flow_Py]]</f>
        <v>0</v>
      </c>
    </row>
    <row r="200" spans="1:37" x14ac:dyDescent="0.35">
      <c r="A200" s="60">
        <f t="shared" si="7"/>
        <v>199</v>
      </c>
      <c r="B200" s="49" t="str">
        <f>_xlfn.XLOOKUP(C200,Tab_Def_Flows[Name(EN)],Tab_Def_Flows[Flow_ID],,0,)</f>
        <v>F_21_21</v>
      </c>
      <c r="C200" s="51"/>
      <c r="D200" s="49">
        <f>_xlfn.XLOOKUP(C200,Tab_Def_Flows[Name(EN)],Tab_Def_Flows[Type_Biomass],,0,)</f>
        <v>0</v>
      </c>
      <c r="E200" s="49">
        <f>_xlfn.XLOOKUP(C200,Tab_Def_Flows[Name(EN)],Tab_Def_Flows[Output_Process],,0,)</f>
        <v>0</v>
      </c>
      <c r="F200" s="49" t="str">
        <f>_xlfn.XLOOKUP(C200,Tab_Def_Flows[Name(EN)],Tab_Def_Flows[Process_ID_O],,0,)</f>
        <v>21__</v>
      </c>
      <c r="G200" s="49">
        <f>_xlfn.XLOOKUP(C200,Tab_Def_Flows[Name(EN)],Tab_Def_Flows[Input_Process],,0,)</f>
        <v>0</v>
      </c>
      <c r="H200" s="61" t="str">
        <f>_xlfn.XLOOKUP(C200,Tab_Def_Flows[Name(EN)],Tab_Def_Flows[Process_ID_I],,0,)</f>
        <v>21__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88"/>
      <c r="P200" s="51"/>
      <c r="Q200" s="51"/>
      <c r="R200" s="51"/>
      <c r="S200" s="51"/>
      <c r="T200" s="51"/>
      <c r="U200" s="51"/>
      <c r="V200" s="51"/>
      <c r="W200" s="51"/>
      <c r="X200" s="51"/>
      <c r="Y200" s="51"/>
      <c r="Z200" s="51"/>
      <c r="AA200" s="89">
        <f t="shared" si="6"/>
        <v>0</v>
      </c>
      <c r="AB200" s="51"/>
      <c r="AC200" s="114" t="e">
        <f>INDEX(Tab_Def_Flows[[Flow_ID]:[CC_DM_source]],MATCH(Tab_Data_Flows[[#This Row],[Name(EN)]],Tab_Def_Flows[Name(EN)],0),16)</f>
        <v>#N/A</v>
      </c>
      <c r="AD200" s="115" t="str">
        <f>IF(J200="Yes",AA200*Tab_Data_Flows[[#This Row],[WC_'[%']]],"N.A.")</f>
        <v>N.A.</v>
      </c>
      <c r="AE200" s="61">
        <f>Tab_Data_Flows[[#This Row],[UoM_Flow_Py]]</f>
        <v>0</v>
      </c>
      <c r="AF200" s="114" t="e">
        <f>INDEX(Tab_Def_Flows[[Flow_ID]:[CC_DM_source]],MATCH(Tab_Data_Flows[[#This Row],[Name(EN)]],Tab_Def_Flows[Name(EN)],0),18)</f>
        <v>#N/A</v>
      </c>
      <c r="AG200" s="115" t="str">
        <f>IF(K200="Yes",AF200*Tab_Data_Flows[[#This Row],[Flow_Py]],"N.A.")</f>
        <v>N.A.</v>
      </c>
      <c r="AH200" s="61">
        <f>Tab_Data_Flows[[#This Row],[UoM_Flow_Py]]</f>
        <v>0</v>
      </c>
      <c r="AI200" s="114" t="e">
        <f>INDEX(Tab_Def_Flows[[Flow_ID]:[CC_DM_source]],MATCH(Tab_Data_Flows[[#This Row],[Name(EN)]],Tab_Def_Flows[Name(EN)],0),20)</f>
        <v>#N/A</v>
      </c>
      <c r="AJ200" s="115" t="str">
        <f>IF(L200="Yes",AI200*Tab_Data_Flows[[#This Row],[Flow_Py]],"N.A.")</f>
        <v>N.A.</v>
      </c>
      <c r="AK200" s="61">
        <f>Tab_Data_Flows[[#This Row],[UoM_Flow_Py]]</f>
        <v>0</v>
      </c>
    </row>
    <row r="201" spans="1:37" x14ac:dyDescent="0.35">
      <c r="A201" s="60">
        <f t="shared" si="7"/>
        <v>200</v>
      </c>
      <c r="B201" s="49" t="str">
        <f>_xlfn.XLOOKUP(C201,Tab_Def_Flows[Name(EN)],Tab_Def_Flows[Flow_ID],,0,)</f>
        <v>F_21_21</v>
      </c>
      <c r="C201" s="51"/>
      <c r="D201" s="49">
        <f>_xlfn.XLOOKUP(C201,Tab_Def_Flows[Name(EN)],Tab_Def_Flows[Type_Biomass],,0,)</f>
        <v>0</v>
      </c>
      <c r="E201" s="49">
        <f>_xlfn.XLOOKUP(C201,Tab_Def_Flows[Name(EN)],Tab_Def_Flows[Output_Process],,0,)</f>
        <v>0</v>
      </c>
      <c r="F201" s="49" t="str">
        <f>_xlfn.XLOOKUP(C201,Tab_Def_Flows[Name(EN)],Tab_Def_Flows[Process_ID_O],,0,)</f>
        <v>21__</v>
      </c>
      <c r="G201" s="49">
        <f>_xlfn.XLOOKUP(C201,Tab_Def_Flows[Name(EN)],Tab_Def_Flows[Input_Process],,0,)</f>
        <v>0</v>
      </c>
      <c r="H201" s="61" t="str">
        <f>_xlfn.XLOOKUP(C201,Tab_Def_Flows[Name(EN)],Tab_Def_Flows[Process_ID_I],,0,)</f>
        <v>21__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88"/>
      <c r="P201" s="51"/>
      <c r="Q201" s="51"/>
      <c r="R201" s="51"/>
      <c r="S201" s="51"/>
      <c r="T201" s="51"/>
      <c r="U201" s="51"/>
      <c r="V201" s="51"/>
      <c r="W201" s="51"/>
      <c r="X201" s="51"/>
      <c r="Y201" s="51"/>
      <c r="Z201" s="51"/>
      <c r="AA201" s="89">
        <f t="shared" si="6"/>
        <v>0</v>
      </c>
      <c r="AB201" s="51"/>
      <c r="AC201" s="114" t="e">
        <f>INDEX(Tab_Def_Flows[[Flow_ID]:[CC_DM_source]],MATCH(Tab_Data_Flows[[#This Row],[Name(EN)]],Tab_Def_Flows[Name(EN)],0),16)</f>
        <v>#N/A</v>
      </c>
      <c r="AD201" s="115" t="str">
        <f>IF(J201="Yes",AA201*Tab_Data_Flows[[#This Row],[WC_'[%']]],"N.A.")</f>
        <v>N.A.</v>
      </c>
      <c r="AE201" s="61">
        <f>Tab_Data_Flows[[#This Row],[UoM_Flow_Py]]</f>
        <v>0</v>
      </c>
      <c r="AF201" s="114" t="e">
        <f>INDEX(Tab_Def_Flows[[Flow_ID]:[CC_DM_source]],MATCH(Tab_Data_Flows[[#This Row],[Name(EN)]],Tab_Def_Flows[Name(EN)],0),18)</f>
        <v>#N/A</v>
      </c>
      <c r="AG201" s="115" t="str">
        <f>IF(K201="Yes",AF201*Tab_Data_Flows[[#This Row],[Flow_Py]],"N.A.")</f>
        <v>N.A.</v>
      </c>
      <c r="AH201" s="61">
        <f>Tab_Data_Flows[[#This Row],[UoM_Flow_Py]]</f>
        <v>0</v>
      </c>
      <c r="AI201" s="114" t="e">
        <f>INDEX(Tab_Def_Flows[[Flow_ID]:[CC_DM_source]],MATCH(Tab_Data_Flows[[#This Row],[Name(EN)]],Tab_Def_Flows[Name(EN)],0),20)</f>
        <v>#N/A</v>
      </c>
      <c r="AJ201" s="115" t="str">
        <f>IF(L201="Yes",AI201*Tab_Data_Flows[[#This Row],[Flow_Py]],"N.A.")</f>
        <v>N.A.</v>
      </c>
      <c r="AK201" s="61">
        <f>Tab_Data_Flows[[#This Row],[UoM_Flow_Py]]</f>
        <v>0</v>
      </c>
    </row>
    <row r="202" spans="1:37" x14ac:dyDescent="0.35">
      <c r="A202" s="60">
        <f t="shared" si="7"/>
        <v>201</v>
      </c>
      <c r="B202" s="49" t="str">
        <f>_xlfn.XLOOKUP(C202,Tab_Def_Flows[Name(EN)],Tab_Def_Flows[Flow_ID],,0,)</f>
        <v>F_21_21</v>
      </c>
      <c r="C202" s="51"/>
      <c r="D202" s="49">
        <f>_xlfn.XLOOKUP(C202,Tab_Def_Flows[Name(EN)],Tab_Def_Flows[Type_Biomass],,0,)</f>
        <v>0</v>
      </c>
      <c r="E202" s="49">
        <f>_xlfn.XLOOKUP(C202,Tab_Def_Flows[Name(EN)],Tab_Def_Flows[Output_Process],,0,)</f>
        <v>0</v>
      </c>
      <c r="F202" s="49" t="str">
        <f>_xlfn.XLOOKUP(C202,Tab_Def_Flows[Name(EN)],Tab_Def_Flows[Process_ID_O],,0,)</f>
        <v>21__</v>
      </c>
      <c r="G202" s="49">
        <f>_xlfn.XLOOKUP(C202,Tab_Def_Flows[Name(EN)],Tab_Def_Flows[Input_Process],,0,)</f>
        <v>0</v>
      </c>
      <c r="H202" s="61" t="str">
        <f>_xlfn.XLOOKUP(C202,Tab_Def_Flows[Name(EN)],Tab_Def_Flows[Process_ID_I],,0,)</f>
        <v>21__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88"/>
      <c r="P202" s="51"/>
      <c r="Q202" s="51"/>
      <c r="R202" s="51"/>
      <c r="S202" s="51"/>
      <c r="T202" s="51"/>
      <c r="U202" s="51"/>
      <c r="V202" s="51"/>
      <c r="W202" s="51"/>
      <c r="X202" s="51"/>
      <c r="Y202" s="51"/>
      <c r="Z202" s="51"/>
      <c r="AA202" s="89">
        <f t="shared" si="6"/>
        <v>0</v>
      </c>
      <c r="AB202" s="51"/>
      <c r="AC202" s="114" t="e">
        <f>INDEX(Tab_Def_Flows[[Flow_ID]:[CC_DM_source]],MATCH(Tab_Data_Flows[[#This Row],[Name(EN)]],Tab_Def_Flows[Name(EN)],0),16)</f>
        <v>#N/A</v>
      </c>
      <c r="AD202" s="115" t="str">
        <f>IF(J202="Yes",AA202*Tab_Data_Flows[[#This Row],[WC_'[%']]],"N.A.")</f>
        <v>N.A.</v>
      </c>
      <c r="AE202" s="61">
        <f>Tab_Data_Flows[[#This Row],[UoM_Flow_Py]]</f>
        <v>0</v>
      </c>
      <c r="AF202" s="114" t="e">
        <f>INDEX(Tab_Def_Flows[[Flow_ID]:[CC_DM_source]],MATCH(Tab_Data_Flows[[#This Row],[Name(EN)]],Tab_Def_Flows[Name(EN)],0),18)</f>
        <v>#N/A</v>
      </c>
      <c r="AG202" s="115" t="str">
        <f>IF(K202="Yes",AF202*Tab_Data_Flows[[#This Row],[Flow_Py]],"N.A.")</f>
        <v>N.A.</v>
      </c>
      <c r="AH202" s="61">
        <f>Tab_Data_Flows[[#This Row],[UoM_Flow_Py]]</f>
        <v>0</v>
      </c>
      <c r="AI202" s="114" t="e">
        <f>INDEX(Tab_Def_Flows[[Flow_ID]:[CC_DM_source]],MATCH(Tab_Data_Flows[[#This Row],[Name(EN)]],Tab_Def_Flows[Name(EN)],0),20)</f>
        <v>#N/A</v>
      </c>
      <c r="AJ202" s="115" t="str">
        <f>IF(L202="Yes",AI202*Tab_Data_Flows[[#This Row],[Flow_Py]],"N.A.")</f>
        <v>N.A.</v>
      </c>
      <c r="AK202" s="61">
        <f>Tab_Data_Flows[[#This Row],[UoM_Flow_Py]]</f>
        <v>0</v>
      </c>
    </row>
    <row r="203" spans="1:37" x14ac:dyDescent="0.35">
      <c r="A203" s="60">
        <f t="shared" si="7"/>
        <v>202</v>
      </c>
      <c r="B203" s="49" t="str">
        <f>_xlfn.XLOOKUP(C203,Tab_Def_Flows[Name(EN)],Tab_Def_Flows[Flow_ID],,0,)</f>
        <v>F_21_21</v>
      </c>
      <c r="C203" s="51"/>
      <c r="D203" s="49">
        <f>_xlfn.XLOOKUP(C203,Tab_Def_Flows[Name(EN)],Tab_Def_Flows[Type_Biomass],,0,)</f>
        <v>0</v>
      </c>
      <c r="E203" s="49">
        <f>_xlfn.XLOOKUP(C203,Tab_Def_Flows[Name(EN)],Tab_Def_Flows[Output_Process],,0,)</f>
        <v>0</v>
      </c>
      <c r="F203" s="49" t="str">
        <f>_xlfn.XLOOKUP(C203,Tab_Def_Flows[Name(EN)],Tab_Def_Flows[Process_ID_O],,0,)</f>
        <v>21__</v>
      </c>
      <c r="G203" s="49">
        <f>_xlfn.XLOOKUP(C203,Tab_Def_Flows[Name(EN)],Tab_Def_Flows[Input_Process],,0,)</f>
        <v>0</v>
      </c>
      <c r="H203" s="61" t="str">
        <f>_xlfn.XLOOKUP(C203,Tab_Def_Flows[Name(EN)],Tab_Def_Flows[Process_ID_I],,0,)</f>
        <v>21__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88"/>
      <c r="P203" s="51"/>
      <c r="Q203" s="51"/>
      <c r="R203" s="51"/>
      <c r="S203" s="51"/>
      <c r="T203" s="51"/>
      <c r="U203" s="51"/>
      <c r="V203" s="51"/>
      <c r="W203" s="51"/>
      <c r="X203" s="51"/>
      <c r="Y203" s="51"/>
      <c r="Z203" s="51"/>
      <c r="AA203" s="89">
        <f t="shared" si="6"/>
        <v>0</v>
      </c>
      <c r="AB203" s="51"/>
      <c r="AC203" s="114" t="e">
        <f>INDEX(Tab_Def_Flows[[Flow_ID]:[CC_DM_source]],MATCH(Tab_Data_Flows[[#This Row],[Name(EN)]],Tab_Def_Flows[Name(EN)],0),16)</f>
        <v>#N/A</v>
      </c>
      <c r="AD203" s="115" t="str">
        <f>IF(J203="Yes",AA203*Tab_Data_Flows[[#This Row],[WC_'[%']]],"N.A.")</f>
        <v>N.A.</v>
      </c>
      <c r="AE203" s="61">
        <f>Tab_Data_Flows[[#This Row],[UoM_Flow_Py]]</f>
        <v>0</v>
      </c>
      <c r="AF203" s="114" t="e">
        <f>INDEX(Tab_Def_Flows[[Flow_ID]:[CC_DM_source]],MATCH(Tab_Data_Flows[[#This Row],[Name(EN)]],Tab_Def_Flows[Name(EN)],0),18)</f>
        <v>#N/A</v>
      </c>
      <c r="AG203" s="115" t="str">
        <f>IF(K203="Yes",AF203*Tab_Data_Flows[[#This Row],[Flow_Py]],"N.A.")</f>
        <v>N.A.</v>
      </c>
      <c r="AH203" s="61">
        <f>Tab_Data_Flows[[#This Row],[UoM_Flow_Py]]</f>
        <v>0</v>
      </c>
      <c r="AI203" s="114" t="e">
        <f>INDEX(Tab_Def_Flows[[Flow_ID]:[CC_DM_source]],MATCH(Tab_Data_Flows[[#This Row],[Name(EN)]],Tab_Def_Flows[Name(EN)],0),20)</f>
        <v>#N/A</v>
      </c>
      <c r="AJ203" s="115" t="str">
        <f>IF(L203="Yes",AI203*Tab_Data_Flows[[#This Row],[Flow_Py]],"N.A.")</f>
        <v>N.A.</v>
      </c>
      <c r="AK203" s="61">
        <f>Tab_Data_Flows[[#This Row],[UoM_Flow_Py]]</f>
        <v>0</v>
      </c>
    </row>
    <row r="204" spans="1:37" x14ac:dyDescent="0.35">
      <c r="A204" s="60">
        <f t="shared" si="7"/>
        <v>203</v>
      </c>
      <c r="B204" s="49" t="str">
        <f>_xlfn.XLOOKUP(C204,Tab_Def_Flows[Name(EN)],Tab_Def_Flows[Flow_ID],,0,)</f>
        <v>F_21_21</v>
      </c>
      <c r="C204" s="51"/>
      <c r="D204" s="49">
        <f>_xlfn.XLOOKUP(C204,Tab_Def_Flows[Name(EN)],Tab_Def_Flows[Type_Biomass],,0,)</f>
        <v>0</v>
      </c>
      <c r="E204" s="49">
        <f>_xlfn.XLOOKUP(C204,Tab_Def_Flows[Name(EN)],Tab_Def_Flows[Output_Process],,0,)</f>
        <v>0</v>
      </c>
      <c r="F204" s="49" t="str">
        <f>_xlfn.XLOOKUP(C204,Tab_Def_Flows[Name(EN)],Tab_Def_Flows[Process_ID_O],,0,)</f>
        <v>21__</v>
      </c>
      <c r="G204" s="49">
        <f>_xlfn.XLOOKUP(C204,Tab_Def_Flows[Name(EN)],Tab_Def_Flows[Input_Process],,0,)</f>
        <v>0</v>
      </c>
      <c r="H204" s="61" t="str">
        <f>_xlfn.XLOOKUP(C204,Tab_Def_Flows[Name(EN)],Tab_Def_Flows[Process_ID_I],,0,)</f>
        <v>21__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88"/>
      <c r="P204" s="51"/>
      <c r="Q204" s="51"/>
      <c r="R204" s="51"/>
      <c r="S204" s="51"/>
      <c r="T204" s="51"/>
      <c r="U204" s="51"/>
      <c r="V204" s="51"/>
      <c r="W204" s="51"/>
      <c r="X204" s="51"/>
      <c r="Y204" s="51"/>
      <c r="Z204" s="51"/>
      <c r="AA204" s="89">
        <f t="shared" si="6"/>
        <v>0</v>
      </c>
      <c r="AB204" s="51"/>
      <c r="AC204" s="114" t="e">
        <f>INDEX(Tab_Def_Flows[[Flow_ID]:[CC_DM_source]],MATCH(Tab_Data_Flows[[#This Row],[Name(EN)]],Tab_Def_Flows[Name(EN)],0),16)</f>
        <v>#N/A</v>
      </c>
      <c r="AD204" s="115" t="str">
        <f>IF(J204="Yes",AA204*Tab_Data_Flows[[#This Row],[WC_'[%']]],"N.A.")</f>
        <v>N.A.</v>
      </c>
      <c r="AE204" s="61">
        <f>Tab_Data_Flows[[#This Row],[UoM_Flow_Py]]</f>
        <v>0</v>
      </c>
      <c r="AF204" s="114" t="e">
        <f>INDEX(Tab_Def_Flows[[Flow_ID]:[CC_DM_source]],MATCH(Tab_Data_Flows[[#This Row],[Name(EN)]],Tab_Def_Flows[Name(EN)],0),18)</f>
        <v>#N/A</v>
      </c>
      <c r="AG204" s="115" t="str">
        <f>IF(K204="Yes",AF204*Tab_Data_Flows[[#This Row],[Flow_Py]],"N.A.")</f>
        <v>N.A.</v>
      </c>
      <c r="AH204" s="61">
        <f>Tab_Data_Flows[[#This Row],[UoM_Flow_Py]]</f>
        <v>0</v>
      </c>
      <c r="AI204" s="114" t="e">
        <f>INDEX(Tab_Def_Flows[[Flow_ID]:[CC_DM_source]],MATCH(Tab_Data_Flows[[#This Row],[Name(EN)]],Tab_Def_Flows[Name(EN)],0),20)</f>
        <v>#N/A</v>
      </c>
      <c r="AJ204" s="115" t="str">
        <f>IF(L204="Yes",AI204*Tab_Data_Flows[[#This Row],[Flow_Py]],"N.A.")</f>
        <v>N.A.</v>
      </c>
      <c r="AK204" s="61">
        <f>Tab_Data_Flows[[#This Row],[UoM_Flow_Py]]</f>
        <v>0</v>
      </c>
    </row>
    <row r="205" spans="1:37" x14ac:dyDescent="0.35">
      <c r="A205" s="60">
        <f t="shared" si="7"/>
        <v>204</v>
      </c>
      <c r="B205" s="49" t="str">
        <f>_xlfn.XLOOKUP(C205,Tab_Def_Flows[Name(EN)],Tab_Def_Flows[Flow_ID],,0,)</f>
        <v>F_21_21</v>
      </c>
      <c r="C205" s="51"/>
      <c r="D205" s="49">
        <f>_xlfn.XLOOKUP(C205,Tab_Def_Flows[Name(EN)],Tab_Def_Flows[Type_Biomass],,0,)</f>
        <v>0</v>
      </c>
      <c r="E205" s="49">
        <f>_xlfn.XLOOKUP(C205,Tab_Def_Flows[Name(EN)],Tab_Def_Flows[Output_Process],,0,)</f>
        <v>0</v>
      </c>
      <c r="F205" s="49" t="str">
        <f>_xlfn.XLOOKUP(C205,Tab_Def_Flows[Name(EN)],Tab_Def_Flows[Process_ID_O],,0,)</f>
        <v>21__</v>
      </c>
      <c r="G205" s="49">
        <f>_xlfn.XLOOKUP(C205,Tab_Def_Flows[Name(EN)],Tab_Def_Flows[Input_Process],,0,)</f>
        <v>0</v>
      </c>
      <c r="H205" s="61" t="str">
        <f>_xlfn.XLOOKUP(C205,Tab_Def_Flows[Name(EN)],Tab_Def_Flows[Process_ID_I],,0,)</f>
        <v>21__</v>
      </c>
      <c r="I205" s="49">
        <f>_xlfn.XLOOKUP(C205,Tab_Def_Flows[Name(EN)],Tab_Def_Flows[Value_Source],,0,)</f>
        <v>0</v>
      </c>
      <c r="J205" s="49">
        <f>_xlfn.XLOOKUP(C205,Tab_Def_Flows[Name(EN)],Tab_Def_Flows[WC?],,0,)</f>
        <v>0</v>
      </c>
      <c r="K205" s="49">
        <f>_xlfn.XLOOKUP(C205,Tab_Def_Flows[Name(EN)],Tab_Def_Flows[DM?],,0,)</f>
        <v>0</v>
      </c>
      <c r="L205" s="49">
        <f>_xlfn.XLOOKUP(C205,Tab_Def_Flows[Name(EN)],Tab_Def_Flows[CC?],,0,)</f>
        <v>0</v>
      </c>
      <c r="M205" s="51"/>
      <c r="N205" s="51"/>
      <c r="O205" s="88"/>
      <c r="P205" s="51"/>
      <c r="Q205" s="51"/>
      <c r="R205" s="51"/>
      <c r="S205" s="51"/>
      <c r="T205" s="51"/>
      <c r="U205" s="51"/>
      <c r="V205" s="51"/>
      <c r="W205" s="51"/>
      <c r="X205" s="51"/>
      <c r="Y205" s="51"/>
      <c r="Z205" s="51"/>
      <c r="AA205" s="89">
        <f t="shared" si="6"/>
        <v>0</v>
      </c>
      <c r="AB205" s="51"/>
      <c r="AC205" s="114" t="e">
        <f>INDEX(Tab_Def_Flows[[Flow_ID]:[CC_DM_source]],MATCH(Tab_Data_Flows[[#This Row],[Name(EN)]],Tab_Def_Flows[Name(EN)],0),16)</f>
        <v>#N/A</v>
      </c>
      <c r="AD205" s="115" t="str">
        <f>IF(J205="Yes",AA205*Tab_Data_Flows[[#This Row],[WC_'[%']]],"N.A.")</f>
        <v>N.A.</v>
      </c>
      <c r="AE205" s="61">
        <f>Tab_Data_Flows[[#This Row],[UoM_Flow_Py]]</f>
        <v>0</v>
      </c>
      <c r="AF205" s="114" t="e">
        <f>INDEX(Tab_Def_Flows[[Flow_ID]:[CC_DM_source]],MATCH(Tab_Data_Flows[[#This Row],[Name(EN)]],Tab_Def_Flows[Name(EN)],0),18)</f>
        <v>#N/A</v>
      </c>
      <c r="AG205" s="115" t="str">
        <f>IF(K205="Yes",AF205*Tab_Data_Flows[[#This Row],[Flow_Py]],"N.A.")</f>
        <v>N.A.</v>
      </c>
      <c r="AH205" s="61">
        <f>Tab_Data_Flows[[#This Row],[UoM_Flow_Py]]</f>
        <v>0</v>
      </c>
      <c r="AI205" s="114" t="e">
        <f>INDEX(Tab_Def_Flows[[Flow_ID]:[CC_DM_source]],MATCH(Tab_Data_Flows[[#This Row],[Name(EN)]],Tab_Def_Flows[Name(EN)],0),20)</f>
        <v>#N/A</v>
      </c>
      <c r="AJ205" s="115" t="str">
        <f>IF(L205="Yes",AI205*Tab_Data_Flows[[#This Row],[Flow_Py]],"N.A.")</f>
        <v>N.A.</v>
      </c>
      <c r="AK205" s="61">
        <f>Tab_Data_Flows[[#This Row],[UoM_Flow_Py]]</f>
        <v>0</v>
      </c>
    </row>
    <row r="206" spans="1:37" x14ac:dyDescent="0.35">
      <c r="A206" s="60">
        <f t="shared" si="7"/>
        <v>205</v>
      </c>
      <c r="B206" s="49" t="str">
        <f>_xlfn.XLOOKUP(C206,Tab_Def_Flows[Name(EN)],Tab_Def_Flows[Flow_ID],,0,)</f>
        <v>F_21_21</v>
      </c>
      <c r="C206" s="51"/>
      <c r="D206" s="49">
        <f>_xlfn.XLOOKUP(C206,Tab_Def_Flows[Name(EN)],Tab_Def_Flows[Type_Biomass],,0,)</f>
        <v>0</v>
      </c>
      <c r="E206" s="49">
        <f>_xlfn.XLOOKUP(C206,Tab_Def_Flows[Name(EN)],Tab_Def_Flows[Output_Process],,0,)</f>
        <v>0</v>
      </c>
      <c r="F206" s="49" t="str">
        <f>_xlfn.XLOOKUP(C206,Tab_Def_Flows[Name(EN)],Tab_Def_Flows[Process_ID_O],,0,)</f>
        <v>21__</v>
      </c>
      <c r="G206" s="49">
        <f>_xlfn.XLOOKUP(C206,Tab_Def_Flows[Name(EN)],Tab_Def_Flows[Input_Process],,0,)</f>
        <v>0</v>
      </c>
      <c r="H206" s="61" t="str">
        <f>_xlfn.XLOOKUP(C206,Tab_Def_Flows[Name(EN)],Tab_Def_Flows[Process_ID_I],,0,)</f>
        <v>21__</v>
      </c>
      <c r="I206" s="49">
        <f>_xlfn.XLOOKUP(C206,Tab_Def_Flows[Name(EN)],Tab_Def_Flows[Value_Source],,0,)</f>
        <v>0</v>
      </c>
      <c r="J206" s="49">
        <f>_xlfn.XLOOKUP(C206,Tab_Def_Flows[Name(EN)],Tab_Def_Flows[WC?],,0,)</f>
        <v>0</v>
      </c>
      <c r="K206" s="49">
        <f>_xlfn.XLOOKUP(C206,Tab_Def_Flows[Name(EN)],Tab_Def_Flows[DM?],,0,)</f>
        <v>0</v>
      </c>
      <c r="L206" s="49">
        <f>_xlfn.XLOOKUP(C206,Tab_Def_Flows[Name(EN)],Tab_Def_Flows[CC?],,0,)</f>
        <v>0</v>
      </c>
      <c r="M206" s="51"/>
      <c r="N206" s="51"/>
      <c r="O206" s="88"/>
      <c r="P206" s="51"/>
      <c r="Q206" s="51"/>
      <c r="R206" s="51"/>
      <c r="S206" s="51"/>
      <c r="T206" s="51"/>
      <c r="U206" s="51"/>
      <c r="V206" s="51"/>
      <c r="W206" s="51"/>
      <c r="X206" s="51"/>
      <c r="Y206" s="51"/>
      <c r="Z206" s="51"/>
      <c r="AA206" s="89">
        <f t="shared" si="6"/>
        <v>0</v>
      </c>
      <c r="AB206" s="51"/>
      <c r="AC206" s="114" t="e">
        <f>INDEX(Tab_Def_Flows[[Flow_ID]:[CC_DM_source]],MATCH(Tab_Data_Flows[[#This Row],[Name(EN)]],Tab_Def_Flows[Name(EN)],0),16)</f>
        <v>#N/A</v>
      </c>
      <c r="AD206" s="115" t="str">
        <f>IF(J206="Yes",AA206*Tab_Data_Flows[[#This Row],[WC_'[%']]],"N.A.")</f>
        <v>N.A.</v>
      </c>
      <c r="AE206" s="61">
        <f>Tab_Data_Flows[[#This Row],[UoM_Flow_Py]]</f>
        <v>0</v>
      </c>
      <c r="AF206" s="114" t="e">
        <f>INDEX(Tab_Def_Flows[[Flow_ID]:[CC_DM_source]],MATCH(Tab_Data_Flows[[#This Row],[Name(EN)]],Tab_Def_Flows[Name(EN)],0),18)</f>
        <v>#N/A</v>
      </c>
      <c r="AG206" s="115" t="str">
        <f>IF(K206="Yes",AF206*Tab_Data_Flows[[#This Row],[Flow_Py]],"N.A.")</f>
        <v>N.A.</v>
      </c>
      <c r="AH206" s="61">
        <f>Tab_Data_Flows[[#This Row],[UoM_Flow_Py]]</f>
        <v>0</v>
      </c>
      <c r="AI206" s="114" t="e">
        <f>INDEX(Tab_Def_Flows[[Flow_ID]:[CC_DM_source]],MATCH(Tab_Data_Flows[[#This Row],[Name(EN)]],Tab_Def_Flows[Name(EN)],0),20)</f>
        <v>#N/A</v>
      </c>
      <c r="AJ206" s="115" t="str">
        <f>IF(L206="Yes",AI206*Tab_Data_Flows[[#This Row],[Flow_Py]],"N.A.")</f>
        <v>N.A.</v>
      </c>
      <c r="AK206" s="61">
        <f>Tab_Data_Flows[[#This Row],[UoM_Flow_Py]]</f>
        <v>0</v>
      </c>
    </row>
    <row r="207" spans="1:37" x14ac:dyDescent="0.35">
      <c r="A207" s="60">
        <f t="shared" si="7"/>
        <v>206</v>
      </c>
      <c r="B207" s="49" t="str">
        <f>_xlfn.XLOOKUP(C207,Tab_Def_Flows[Name(EN)],Tab_Def_Flows[Flow_ID],,0,)</f>
        <v>F_21_21</v>
      </c>
      <c r="C207" s="51"/>
      <c r="D207" s="49">
        <f>_xlfn.XLOOKUP(C207,Tab_Def_Flows[Name(EN)],Tab_Def_Flows[Type_Biomass],,0,)</f>
        <v>0</v>
      </c>
      <c r="E207" s="49">
        <f>_xlfn.XLOOKUP(C207,Tab_Def_Flows[Name(EN)],Tab_Def_Flows[Output_Process],,0,)</f>
        <v>0</v>
      </c>
      <c r="F207" s="49" t="str">
        <f>_xlfn.XLOOKUP(C207,Tab_Def_Flows[Name(EN)],Tab_Def_Flows[Process_ID_O],,0,)</f>
        <v>21__</v>
      </c>
      <c r="G207" s="49">
        <f>_xlfn.XLOOKUP(C207,Tab_Def_Flows[Name(EN)],Tab_Def_Flows[Input_Process],,0,)</f>
        <v>0</v>
      </c>
      <c r="H207" s="61" t="str">
        <f>_xlfn.XLOOKUP(C207,Tab_Def_Flows[Name(EN)],Tab_Def_Flows[Process_ID_I],,0,)</f>
        <v>21__</v>
      </c>
      <c r="I207" s="49">
        <f>_xlfn.XLOOKUP(C207,Tab_Def_Flows[Name(EN)],Tab_Def_Flows[Value_Source],,0,)</f>
        <v>0</v>
      </c>
      <c r="J207" s="49">
        <f>_xlfn.XLOOKUP(C207,Tab_Def_Flows[Name(EN)],Tab_Def_Flows[WC?],,0,)</f>
        <v>0</v>
      </c>
      <c r="K207" s="49">
        <f>_xlfn.XLOOKUP(C207,Tab_Def_Flows[Name(EN)],Tab_Def_Flows[DM?],,0,)</f>
        <v>0</v>
      </c>
      <c r="L207" s="49">
        <f>_xlfn.XLOOKUP(C207,Tab_Def_Flows[Name(EN)],Tab_Def_Flows[CC?],,0,)</f>
        <v>0</v>
      </c>
      <c r="M207" s="51"/>
      <c r="N207" s="51"/>
      <c r="O207" s="88"/>
      <c r="P207" s="51"/>
      <c r="Q207" s="51"/>
      <c r="R207" s="51"/>
      <c r="S207" s="51"/>
      <c r="T207" s="51"/>
      <c r="U207" s="51"/>
      <c r="V207" s="51"/>
      <c r="W207" s="51"/>
      <c r="X207" s="51"/>
      <c r="Y207" s="51"/>
      <c r="Z207" s="51"/>
      <c r="AA207" s="89">
        <f t="shared" si="6"/>
        <v>0</v>
      </c>
      <c r="AB207" s="51"/>
      <c r="AC207" s="114" t="e">
        <f>INDEX(Tab_Def_Flows[[Flow_ID]:[CC_DM_source]],MATCH(Tab_Data_Flows[[#This Row],[Name(EN)]],Tab_Def_Flows[Name(EN)],0),16)</f>
        <v>#N/A</v>
      </c>
      <c r="AD207" s="115" t="str">
        <f>IF(J207="Yes",AA207*Tab_Data_Flows[[#This Row],[WC_'[%']]],"N.A.")</f>
        <v>N.A.</v>
      </c>
      <c r="AE207" s="61">
        <f>Tab_Data_Flows[[#This Row],[UoM_Flow_Py]]</f>
        <v>0</v>
      </c>
      <c r="AF207" s="114" t="e">
        <f>INDEX(Tab_Def_Flows[[Flow_ID]:[CC_DM_source]],MATCH(Tab_Data_Flows[[#This Row],[Name(EN)]],Tab_Def_Flows[Name(EN)],0),18)</f>
        <v>#N/A</v>
      </c>
      <c r="AG207" s="115" t="str">
        <f>IF(K207="Yes",AF207*Tab_Data_Flows[[#This Row],[Flow_Py]],"N.A.")</f>
        <v>N.A.</v>
      </c>
      <c r="AH207" s="61">
        <f>Tab_Data_Flows[[#This Row],[UoM_Flow_Py]]</f>
        <v>0</v>
      </c>
      <c r="AI207" s="114" t="e">
        <f>INDEX(Tab_Def_Flows[[Flow_ID]:[CC_DM_source]],MATCH(Tab_Data_Flows[[#This Row],[Name(EN)]],Tab_Def_Flows[Name(EN)],0),20)</f>
        <v>#N/A</v>
      </c>
      <c r="AJ207" s="115" t="str">
        <f>IF(L207="Yes",AI207*Tab_Data_Flows[[#This Row],[Flow_Py]],"N.A.")</f>
        <v>N.A.</v>
      </c>
      <c r="AK207" s="61">
        <f>Tab_Data_Flows[[#This Row],[UoM_Flow_Py]]</f>
        <v>0</v>
      </c>
    </row>
    <row r="208" spans="1:37" x14ac:dyDescent="0.35">
      <c r="A208" s="60">
        <f t="shared" si="7"/>
        <v>207</v>
      </c>
      <c r="B208" s="49" t="str">
        <f>_xlfn.XLOOKUP(C208,Tab_Def_Flows[Name(EN)],Tab_Def_Flows[Flow_ID],,0,)</f>
        <v>F_21_21</v>
      </c>
      <c r="C208" s="51"/>
      <c r="D208" s="49">
        <f>_xlfn.XLOOKUP(C208,Tab_Def_Flows[Name(EN)],Tab_Def_Flows[Type_Biomass],,0,)</f>
        <v>0</v>
      </c>
      <c r="E208" s="49">
        <f>_xlfn.XLOOKUP(C208,Tab_Def_Flows[Name(EN)],Tab_Def_Flows[Output_Process],,0,)</f>
        <v>0</v>
      </c>
      <c r="F208" s="49" t="str">
        <f>_xlfn.XLOOKUP(C208,Tab_Def_Flows[Name(EN)],Tab_Def_Flows[Process_ID_O],,0,)</f>
        <v>21__</v>
      </c>
      <c r="G208" s="49">
        <f>_xlfn.XLOOKUP(C208,Tab_Def_Flows[Name(EN)],Tab_Def_Flows[Input_Process],,0,)</f>
        <v>0</v>
      </c>
      <c r="H208" s="61" t="str">
        <f>_xlfn.XLOOKUP(C208,Tab_Def_Flows[Name(EN)],Tab_Def_Flows[Process_ID_I],,0,)</f>
        <v>21__</v>
      </c>
      <c r="I208" s="49">
        <f>_xlfn.XLOOKUP(C208,Tab_Def_Flows[Name(EN)],Tab_Def_Flows[Value_Source],,0,)</f>
        <v>0</v>
      </c>
      <c r="J208" s="49">
        <f>_xlfn.XLOOKUP(C208,Tab_Def_Flows[Name(EN)],Tab_Def_Flows[WC?],,0,)</f>
        <v>0</v>
      </c>
      <c r="K208" s="49">
        <f>_xlfn.XLOOKUP(C208,Tab_Def_Flows[Name(EN)],Tab_Def_Flows[DM?],,0,)</f>
        <v>0</v>
      </c>
      <c r="L208" s="49">
        <f>_xlfn.XLOOKUP(C208,Tab_Def_Flows[Name(EN)],Tab_Def_Flows[CC?],,0,)</f>
        <v>0</v>
      </c>
      <c r="M208" s="51"/>
      <c r="N208" s="51"/>
      <c r="O208" s="88"/>
      <c r="P208" s="51"/>
      <c r="Q208" s="51"/>
      <c r="R208" s="51"/>
      <c r="S208" s="51"/>
      <c r="T208" s="51"/>
      <c r="U208" s="51"/>
      <c r="V208" s="51"/>
      <c r="W208" s="51"/>
      <c r="X208" s="51"/>
      <c r="Y208" s="51"/>
      <c r="Z208" s="51"/>
      <c r="AA208" s="89">
        <f t="shared" si="6"/>
        <v>0</v>
      </c>
      <c r="AB208" s="51"/>
      <c r="AC208" s="114" t="e">
        <f>INDEX(Tab_Def_Flows[[Flow_ID]:[CC_DM_source]],MATCH(Tab_Data_Flows[[#This Row],[Name(EN)]],Tab_Def_Flows[Name(EN)],0),16)</f>
        <v>#N/A</v>
      </c>
      <c r="AD208" s="115" t="str">
        <f>IF(J208="Yes",AA208*Tab_Data_Flows[[#This Row],[WC_'[%']]],"N.A.")</f>
        <v>N.A.</v>
      </c>
      <c r="AE208" s="61">
        <f>Tab_Data_Flows[[#This Row],[UoM_Flow_Py]]</f>
        <v>0</v>
      </c>
      <c r="AF208" s="114" t="e">
        <f>INDEX(Tab_Def_Flows[[Flow_ID]:[CC_DM_source]],MATCH(Tab_Data_Flows[[#This Row],[Name(EN)]],Tab_Def_Flows[Name(EN)],0),18)</f>
        <v>#N/A</v>
      </c>
      <c r="AG208" s="115" t="str">
        <f>IF(K208="Yes",AF208*Tab_Data_Flows[[#This Row],[Flow_Py]],"N.A.")</f>
        <v>N.A.</v>
      </c>
      <c r="AH208" s="61">
        <f>Tab_Data_Flows[[#This Row],[UoM_Flow_Py]]</f>
        <v>0</v>
      </c>
      <c r="AI208" s="114" t="e">
        <f>INDEX(Tab_Def_Flows[[Flow_ID]:[CC_DM_source]],MATCH(Tab_Data_Flows[[#This Row],[Name(EN)]],Tab_Def_Flows[Name(EN)],0),20)</f>
        <v>#N/A</v>
      </c>
      <c r="AJ208" s="115" t="str">
        <f>IF(L208="Yes",AI208*Tab_Data_Flows[[#This Row],[Flow_Py]],"N.A.")</f>
        <v>N.A.</v>
      </c>
      <c r="AK208" s="61">
        <f>Tab_Data_Flows[[#This Row],[UoM_Flow_Py]]</f>
        <v>0</v>
      </c>
    </row>
    <row r="209" spans="1:37" x14ac:dyDescent="0.35">
      <c r="A209" s="60">
        <f t="shared" si="7"/>
        <v>208</v>
      </c>
      <c r="B209" s="49" t="str">
        <f>_xlfn.XLOOKUP(C209,Tab_Def_Flows[Name(EN)],Tab_Def_Flows[Flow_ID],,0,)</f>
        <v>F_21_21</v>
      </c>
      <c r="C209" s="51"/>
      <c r="D209" s="49">
        <f>_xlfn.XLOOKUP(C209,Tab_Def_Flows[Name(EN)],Tab_Def_Flows[Type_Biomass],,0,)</f>
        <v>0</v>
      </c>
      <c r="E209" s="49">
        <f>_xlfn.XLOOKUP(C209,Tab_Def_Flows[Name(EN)],Tab_Def_Flows[Output_Process],,0,)</f>
        <v>0</v>
      </c>
      <c r="F209" s="49" t="str">
        <f>_xlfn.XLOOKUP(C209,Tab_Def_Flows[Name(EN)],Tab_Def_Flows[Process_ID_O],,0,)</f>
        <v>21__</v>
      </c>
      <c r="G209" s="49">
        <f>_xlfn.XLOOKUP(C209,Tab_Def_Flows[Name(EN)],Tab_Def_Flows[Input_Process],,0,)</f>
        <v>0</v>
      </c>
      <c r="H209" s="61" t="str">
        <f>_xlfn.XLOOKUP(C209,Tab_Def_Flows[Name(EN)],Tab_Def_Flows[Process_ID_I],,0,)</f>
        <v>21__</v>
      </c>
      <c r="I209" s="49">
        <f>_xlfn.XLOOKUP(C209,Tab_Def_Flows[Name(EN)],Tab_Def_Flows[Value_Source],,0,)</f>
        <v>0</v>
      </c>
      <c r="J209" s="49">
        <f>_xlfn.XLOOKUP(C209,Tab_Def_Flows[Name(EN)],Tab_Def_Flows[WC?],,0,)</f>
        <v>0</v>
      </c>
      <c r="K209" s="49">
        <f>_xlfn.XLOOKUP(C209,Tab_Def_Flows[Name(EN)],Tab_Def_Flows[DM?],,0,)</f>
        <v>0</v>
      </c>
      <c r="L209" s="49">
        <f>_xlfn.XLOOKUP(C209,Tab_Def_Flows[Name(EN)],Tab_Def_Flows[CC?],,0,)</f>
        <v>0</v>
      </c>
      <c r="M209" s="51"/>
      <c r="N209" s="51"/>
      <c r="O209" s="88"/>
      <c r="P209" s="51"/>
      <c r="Q209" s="51"/>
      <c r="R209" s="51"/>
      <c r="S209" s="51"/>
      <c r="T209" s="51"/>
      <c r="U209" s="51"/>
      <c r="V209" s="51"/>
      <c r="W209" s="51"/>
      <c r="X209" s="51"/>
      <c r="Y209" s="51"/>
      <c r="Z209" s="51"/>
      <c r="AA209" s="89">
        <f t="shared" ref="AA209:AA240" si="8">IF(X209="no",O209,O209*Y209)</f>
        <v>0</v>
      </c>
      <c r="AB209" s="51"/>
      <c r="AC209" s="114" t="e">
        <f>INDEX(Tab_Def_Flows[[Flow_ID]:[CC_DM_source]],MATCH(Tab_Data_Flows[[#This Row],[Name(EN)]],Tab_Def_Flows[Name(EN)],0),16)</f>
        <v>#N/A</v>
      </c>
      <c r="AD209" s="115" t="str">
        <f>IF(J209="Yes",AA209*Tab_Data_Flows[[#This Row],[WC_'[%']]],"N.A.")</f>
        <v>N.A.</v>
      </c>
      <c r="AE209" s="61">
        <f>Tab_Data_Flows[[#This Row],[UoM_Flow_Py]]</f>
        <v>0</v>
      </c>
      <c r="AF209" s="114" t="e">
        <f>INDEX(Tab_Def_Flows[[Flow_ID]:[CC_DM_source]],MATCH(Tab_Data_Flows[[#This Row],[Name(EN)]],Tab_Def_Flows[Name(EN)],0),18)</f>
        <v>#N/A</v>
      </c>
      <c r="AG209" s="115" t="str">
        <f>IF(K209="Yes",AF209*Tab_Data_Flows[[#This Row],[Flow_Py]],"N.A.")</f>
        <v>N.A.</v>
      </c>
      <c r="AH209" s="61">
        <f>Tab_Data_Flows[[#This Row],[UoM_Flow_Py]]</f>
        <v>0</v>
      </c>
      <c r="AI209" s="114" t="e">
        <f>INDEX(Tab_Def_Flows[[Flow_ID]:[CC_DM_source]],MATCH(Tab_Data_Flows[[#This Row],[Name(EN)]],Tab_Def_Flows[Name(EN)],0),20)</f>
        <v>#N/A</v>
      </c>
      <c r="AJ209" s="115" t="str">
        <f>IF(L209="Yes",AI209*Tab_Data_Flows[[#This Row],[Flow_Py]],"N.A.")</f>
        <v>N.A.</v>
      </c>
      <c r="AK209" s="61">
        <f>Tab_Data_Flows[[#This Row],[UoM_Flow_Py]]</f>
        <v>0</v>
      </c>
    </row>
    <row r="210" spans="1:37" x14ac:dyDescent="0.35">
      <c r="A210" s="60">
        <f t="shared" si="7"/>
        <v>209</v>
      </c>
      <c r="B210" s="49" t="str">
        <f>_xlfn.XLOOKUP(C210,Tab_Def_Flows[Name(EN)],Tab_Def_Flows[Flow_ID],,0,)</f>
        <v>F_21_21</v>
      </c>
      <c r="C210" s="51"/>
      <c r="D210" s="49">
        <f>_xlfn.XLOOKUP(C210,Tab_Def_Flows[Name(EN)],Tab_Def_Flows[Type_Biomass],,0,)</f>
        <v>0</v>
      </c>
      <c r="E210" s="49">
        <f>_xlfn.XLOOKUP(C210,Tab_Def_Flows[Name(EN)],Tab_Def_Flows[Output_Process],,0,)</f>
        <v>0</v>
      </c>
      <c r="F210" s="49" t="str">
        <f>_xlfn.XLOOKUP(C210,Tab_Def_Flows[Name(EN)],Tab_Def_Flows[Process_ID_O],,0,)</f>
        <v>21__</v>
      </c>
      <c r="G210" s="49">
        <f>_xlfn.XLOOKUP(C210,Tab_Def_Flows[Name(EN)],Tab_Def_Flows[Input_Process],,0,)</f>
        <v>0</v>
      </c>
      <c r="H210" s="61" t="str">
        <f>_xlfn.XLOOKUP(C210,Tab_Def_Flows[Name(EN)],Tab_Def_Flows[Process_ID_I],,0,)</f>
        <v>21__</v>
      </c>
      <c r="I210" s="49">
        <f>_xlfn.XLOOKUP(C210,Tab_Def_Flows[Name(EN)],Tab_Def_Flows[Value_Source],,0,)</f>
        <v>0</v>
      </c>
      <c r="J210" s="49">
        <f>_xlfn.XLOOKUP(C210,Tab_Def_Flows[Name(EN)],Tab_Def_Flows[WC?],,0,)</f>
        <v>0</v>
      </c>
      <c r="K210" s="49">
        <f>_xlfn.XLOOKUP(C210,Tab_Def_Flows[Name(EN)],Tab_Def_Flows[DM?],,0,)</f>
        <v>0</v>
      </c>
      <c r="L210" s="49">
        <f>_xlfn.XLOOKUP(C210,Tab_Def_Flows[Name(EN)],Tab_Def_Flows[CC?],,0,)</f>
        <v>0</v>
      </c>
      <c r="M210" s="51"/>
      <c r="N210" s="51"/>
      <c r="O210" s="88"/>
      <c r="P210" s="51"/>
      <c r="Q210" s="51"/>
      <c r="R210" s="51"/>
      <c r="S210" s="51"/>
      <c r="T210" s="51"/>
      <c r="U210" s="51"/>
      <c r="V210" s="51"/>
      <c r="W210" s="51"/>
      <c r="X210" s="51"/>
      <c r="Y210" s="51"/>
      <c r="Z210" s="51"/>
      <c r="AA210" s="89">
        <f t="shared" si="8"/>
        <v>0</v>
      </c>
      <c r="AB210" s="51"/>
      <c r="AC210" s="114" t="e">
        <f>INDEX(Tab_Def_Flows[[Flow_ID]:[CC_DM_source]],MATCH(Tab_Data_Flows[[#This Row],[Name(EN)]],Tab_Def_Flows[Name(EN)],0),16)</f>
        <v>#N/A</v>
      </c>
      <c r="AD210" s="115" t="str">
        <f>IF(J210="Yes",AA210*Tab_Data_Flows[[#This Row],[WC_'[%']]],"N.A.")</f>
        <v>N.A.</v>
      </c>
      <c r="AE210" s="61">
        <f>Tab_Data_Flows[[#This Row],[UoM_Flow_Py]]</f>
        <v>0</v>
      </c>
      <c r="AF210" s="114" t="e">
        <f>INDEX(Tab_Def_Flows[[Flow_ID]:[CC_DM_source]],MATCH(Tab_Data_Flows[[#This Row],[Name(EN)]],Tab_Def_Flows[Name(EN)],0),18)</f>
        <v>#N/A</v>
      </c>
      <c r="AG210" s="115" t="str">
        <f>IF(K210="Yes",AF210*Tab_Data_Flows[[#This Row],[Flow_Py]],"N.A.")</f>
        <v>N.A.</v>
      </c>
      <c r="AH210" s="61">
        <f>Tab_Data_Flows[[#This Row],[UoM_Flow_Py]]</f>
        <v>0</v>
      </c>
      <c r="AI210" s="114" t="e">
        <f>INDEX(Tab_Def_Flows[[Flow_ID]:[CC_DM_source]],MATCH(Tab_Data_Flows[[#This Row],[Name(EN)]],Tab_Def_Flows[Name(EN)],0),20)</f>
        <v>#N/A</v>
      </c>
      <c r="AJ210" s="115" t="str">
        <f>IF(L210="Yes",AI210*Tab_Data_Flows[[#This Row],[Flow_Py]],"N.A.")</f>
        <v>N.A.</v>
      </c>
      <c r="AK210" s="61">
        <f>Tab_Data_Flows[[#This Row],[UoM_Flow_Py]]</f>
        <v>0</v>
      </c>
    </row>
    <row r="211" spans="1:37" x14ac:dyDescent="0.35">
      <c r="A211" s="60">
        <f t="shared" si="7"/>
        <v>210</v>
      </c>
      <c r="B211" s="49" t="str">
        <f>_xlfn.XLOOKUP(C211,Tab_Def_Flows[Name(EN)],Tab_Def_Flows[Flow_ID],,0,)</f>
        <v>F_21_21</v>
      </c>
      <c r="C211" s="51"/>
      <c r="D211" s="49">
        <f>_xlfn.XLOOKUP(C211,Tab_Def_Flows[Name(EN)],Tab_Def_Flows[Type_Biomass],,0,)</f>
        <v>0</v>
      </c>
      <c r="E211" s="49">
        <f>_xlfn.XLOOKUP(C211,Tab_Def_Flows[Name(EN)],Tab_Def_Flows[Output_Process],,0,)</f>
        <v>0</v>
      </c>
      <c r="F211" s="49" t="str">
        <f>_xlfn.XLOOKUP(C211,Tab_Def_Flows[Name(EN)],Tab_Def_Flows[Process_ID_O],,0,)</f>
        <v>21__</v>
      </c>
      <c r="G211" s="49">
        <f>_xlfn.XLOOKUP(C211,Tab_Def_Flows[Name(EN)],Tab_Def_Flows[Input_Process],,0,)</f>
        <v>0</v>
      </c>
      <c r="H211" s="61" t="str">
        <f>_xlfn.XLOOKUP(C211,Tab_Def_Flows[Name(EN)],Tab_Def_Flows[Process_ID_I],,0,)</f>
        <v>21__</v>
      </c>
      <c r="I211" s="49">
        <f>_xlfn.XLOOKUP(C211,Tab_Def_Flows[Name(EN)],Tab_Def_Flows[Value_Source],,0,)</f>
        <v>0</v>
      </c>
      <c r="J211" s="49">
        <f>_xlfn.XLOOKUP(C211,Tab_Def_Flows[Name(EN)],Tab_Def_Flows[WC?],,0,)</f>
        <v>0</v>
      </c>
      <c r="K211" s="49">
        <f>_xlfn.XLOOKUP(C211,Tab_Def_Flows[Name(EN)],Tab_Def_Flows[DM?],,0,)</f>
        <v>0</v>
      </c>
      <c r="L211" s="49">
        <f>_xlfn.XLOOKUP(C211,Tab_Def_Flows[Name(EN)],Tab_Def_Flows[CC?],,0,)</f>
        <v>0</v>
      </c>
      <c r="M211" s="51"/>
      <c r="N211" s="51"/>
      <c r="O211" s="88"/>
      <c r="P211" s="51"/>
      <c r="Q211" s="51"/>
      <c r="R211" s="51"/>
      <c r="S211" s="51"/>
      <c r="T211" s="51"/>
      <c r="U211" s="51"/>
      <c r="V211" s="51"/>
      <c r="W211" s="51"/>
      <c r="X211" s="51"/>
      <c r="Y211" s="51"/>
      <c r="Z211" s="51"/>
      <c r="AA211" s="89">
        <f t="shared" si="8"/>
        <v>0</v>
      </c>
      <c r="AB211" s="51"/>
      <c r="AC211" s="114" t="e">
        <f>INDEX(Tab_Def_Flows[[Flow_ID]:[CC_DM_source]],MATCH(Tab_Data_Flows[[#This Row],[Name(EN)]],Tab_Def_Flows[Name(EN)],0),16)</f>
        <v>#N/A</v>
      </c>
      <c r="AD211" s="115" t="str">
        <f>IF(J211="Yes",AA211*Tab_Data_Flows[[#This Row],[WC_'[%']]],"N.A.")</f>
        <v>N.A.</v>
      </c>
      <c r="AE211" s="61">
        <f>Tab_Data_Flows[[#This Row],[UoM_Flow_Py]]</f>
        <v>0</v>
      </c>
      <c r="AF211" s="114" t="e">
        <f>INDEX(Tab_Def_Flows[[Flow_ID]:[CC_DM_source]],MATCH(Tab_Data_Flows[[#This Row],[Name(EN)]],Tab_Def_Flows[Name(EN)],0),18)</f>
        <v>#N/A</v>
      </c>
      <c r="AG211" s="115" t="str">
        <f>IF(K211="Yes",AF211*Tab_Data_Flows[[#This Row],[Flow_Py]],"N.A.")</f>
        <v>N.A.</v>
      </c>
      <c r="AH211" s="61">
        <f>Tab_Data_Flows[[#This Row],[UoM_Flow_Py]]</f>
        <v>0</v>
      </c>
      <c r="AI211" s="114" t="e">
        <f>INDEX(Tab_Def_Flows[[Flow_ID]:[CC_DM_source]],MATCH(Tab_Data_Flows[[#This Row],[Name(EN)]],Tab_Def_Flows[Name(EN)],0),20)</f>
        <v>#N/A</v>
      </c>
      <c r="AJ211" s="115" t="str">
        <f>IF(L211="Yes",AI211*Tab_Data_Flows[[#This Row],[Flow_Py]],"N.A.")</f>
        <v>N.A.</v>
      </c>
      <c r="AK211" s="61">
        <f>Tab_Data_Flows[[#This Row],[UoM_Flow_Py]]</f>
        <v>0</v>
      </c>
    </row>
    <row r="212" spans="1:37" x14ac:dyDescent="0.35">
      <c r="A212" s="60">
        <f t="shared" si="7"/>
        <v>211</v>
      </c>
      <c r="B212" s="49" t="str">
        <f>_xlfn.XLOOKUP(C212,Tab_Def_Flows[Name(EN)],Tab_Def_Flows[Flow_ID],,0,)</f>
        <v>F_21_21</v>
      </c>
      <c r="C212" s="51"/>
      <c r="D212" s="49">
        <f>_xlfn.XLOOKUP(C212,Tab_Def_Flows[Name(EN)],Tab_Def_Flows[Type_Biomass],,0,)</f>
        <v>0</v>
      </c>
      <c r="E212" s="49">
        <f>_xlfn.XLOOKUP(C212,Tab_Def_Flows[Name(EN)],Tab_Def_Flows[Output_Process],,0,)</f>
        <v>0</v>
      </c>
      <c r="F212" s="49" t="str">
        <f>_xlfn.XLOOKUP(C212,Tab_Def_Flows[Name(EN)],Tab_Def_Flows[Process_ID_O],,0,)</f>
        <v>21__</v>
      </c>
      <c r="G212" s="49">
        <f>_xlfn.XLOOKUP(C212,Tab_Def_Flows[Name(EN)],Tab_Def_Flows[Input_Process],,0,)</f>
        <v>0</v>
      </c>
      <c r="H212" s="61" t="str">
        <f>_xlfn.XLOOKUP(C212,Tab_Def_Flows[Name(EN)],Tab_Def_Flows[Process_ID_I],,0,)</f>
        <v>21__</v>
      </c>
      <c r="I212" s="49">
        <f>_xlfn.XLOOKUP(C212,Tab_Def_Flows[Name(EN)],Tab_Def_Flows[Value_Source],,0,)</f>
        <v>0</v>
      </c>
      <c r="J212" s="49">
        <f>_xlfn.XLOOKUP(C212,Tab_Def_Flows[Name(EN)],Tab_Def_Flows[WC?],,0,)</f>
        <v>0</v>
      </c>
      <c r="K212" s="49">
        <f>_xlfn.XLOOKUP(C212,Tab_Def_Flows[Name(EN)],Tab_Def_Flows[DM?],,0,)</f>
        <v>0</v>
      </c>
      <c r="L212" s="49">
        <f>_xlfn.XLOOKUP(C212,Tab_Def_Flows[Name(EN)],Tab_Def_Flows[CC?],,0,)</f>
        <v>0</v>
      </c>
      <c r="M212" s="51"/>
      <c r="N212" s="51"/>
      <c r="O212" s="88"/>
      <c r="P212" s="51"/>
      <c r="Q212" s="51"/>
      <c r="R212" s="51"/>
      <c r="S212" s="51"/>
      <c r="T212" s="51"/>
      <c r="U212" s="51"/>
      <c r="V212" s="51"/>
      <c r="W212" s="51"/>
      <c r="X212" s="51"/>
      <c r="Y212" s="51"/>
      <c r="Z212" s="51"/>
      <c r="AA212" s="89">
        <f t="shared" si="8"/>
        <v>0</v>
      </c>
      <c r="AB212" s="51"/>
      <c r="AC212" s="114" t="e">
        <f>INDEX(Tab_Def_Flows[[Flow_ID]:[CC_DM_source]],MATCH(Tab_Data_Flows[[#This Row],[Name(EN)]],Tab_Def_Flows[Name(EN)],0),16)</f>
        <v>#N/A</v>
      </c>
      <c r="AD212" s="115" t="str">
        <f>IF(J212="Yes",AA212*Tab_Data_Flows[[#This Row],[WC_'[%']]],"N.A.")</f>
        <v>N.A.</v>
      </c>
      <c r="AE212" s="61">
        <f>Tab_Data_Flows[[#This Row],[UoM_Flow_Py]]</f>
        <v>0</v>
      </c>
      <c r="AF212" s="114" t="e">
        <f>INDEX(Tab_Def_Flows[[Flow_ID]:[CC_DM_source]],MATCH(Tab_Data_Flows[[#This Row],[Name(EN)]],Tab_Def_Flows[Name(EN)],0),18)</f>
        <v>#N/A</v>
      </c>
      <c r="AG212" s="115" t="str">
        <f>IF(K212="Yes",AF212*Tab_Data_Flows[[#This Row],[Flow_Py]],"N.A.")</f>
        <v>N.A.</v>
      </c>
      <c r="AH212" s="61">
        <f>Tab_Data_Flows[[#This Row],[UoM_Flow_Py]]</f>
        <v>0</v>
      </c>
      <c r="AI212" s="114" t="e">
        <f>INDEX(Tab_Def_Flows[[Flow_ID]:[CC_DM_source]],MATCH(Tab_Data_Flows[[#This Row],[Name(EN)]],Tab_Def_Flows[Name(EN)],0),20)</f>
        <v>#N/A</v>
      </c>
      <c r="AJ212" s="115" t="str">
        <f>IF(L212="Yes",AI212*Tab_Data_Flows[[#This Row],[Flow_Py]],"N.A.")</f>
        <v>N.A.</v>
      </c>
      <c r="AK212" s="61">
        <f>Tab_Data_Flows[[#This Row],[UoM_Flow_Py]]</f>
        <v>0</v>
      </c>
    </row>
    <row r="213" spans="1:37" x14ac:dyDescent="0.35">
      <c r="A213" s="60">
        <f t="shared" si="7"/>
        <v>212</v>
      </c>
      <c r="B213" s="49" t="str">
        <f>_xlfn.XLOOKUP(C213,Tab_Def_Flows[Name(EN)],Tab_Def_Flows[Flow_ID],,0,)</f>
        <v>F_21_21</v>
      </c>
      <c r="C213" s="51"/>
      <c r="D213" s="49">
        <f>_xlfn.XLOOKUP(C213,Tab_Def_Flows[Name(EN)],Tab_Def_Flows[Type_Biomass],,0,)</f>
        <v>0</v>
      </c>
      <c r="E213" s="49">
        <f>_xlfn.XLOOKUP(C213,Tab_Def_Flows[Name(EN)],Tab_Def_Flows[Output_Process],,0,)</f>
        <v>0</v>
      </c>
      <c r="F213" s="49" t="str">
        <f>_xlfn.XLOOKUP(C213,Tab_Def_Flows[Name(EN)],Tab_Def_Flows[Process_ID_O],,0,)</f>
        <v>21__</v>
      </c>
      <c r="G213" s="49">
        <f>_xlfn.XLOOKUP(C213,Tab_Def_Flows[Name(EN)],Tab_Def_Flows[Input_Process],,0,)</f>
        <v>0</v>
      </c>
      <c r="H213" s="61" t="str">
        <f>_xlfn.XLOOKUP(C213,Tab_Def_Flows[Name(EN)],Tab_Def_Flows[Process_ID_I],,0,)</f>
        <v>21__</v>
      </c>
      <c r="I213" s="49">
        <f>_xlfn.XLOOKUP(C213,Tab_Def_Flows[Name(EN)],Tab_Def_Flows[Value_Source],,0,)</f>
        <v>0</v>
      </c>
      <c r="J213" s="49">
        <f>_xlfn.XLOOKUP(C213,Tab_Def_Flows[Name(EN)],Tab_Def_Flows[WC?],,0,)</f>
        <v>0</v>
      </c>
      <c r="K213" s="49">
        <f>_xlfn.XLOOKUP(C213,Tab_Def_Flows[Name(EN)],Tab_Def_Flows[DM?],,0,)</f>
        <v>0</v>
      </c>
      <c r="L213" s="49">
        <f>_xlfn.XLOOKUP(C213,Tab_Def_Flows[Name(EN)],Tab_Def_Flows[CC?],,0,)</f>
        <v>0</v>
      </c>
      <c r="M213" s="51"/>
      <c r="N213" s="51"/>
      <c r="O213" s="88"/>
      <c r="P213" s="51"/>
      <c r="Q213" s="51"/>
      <c r="R213" s="51"/>
      <c r="S213" s="51"/>
      <c r="T213" s="51"/>
      <c r="U213" s="51"/>
      <c r="V213" s="51"/>
      <c r="W213" s="51"/>
      <c r="X213" s="51"/>
      <c r="Y213" s="51"/>
      <c r="Z213" s="51"/>
      <c r="AA213" s="89">
        <f t="shared" si="8"/>
        <v>0</v>
      </c>
      <c r="AB213" s="51"/>
      <c r="AC213" s="114" t="e">
        <f>INDEX(Tab_Def_Flows[[Flow_ID]:[CC_DM_source]],MATCH(Tab_Data_Flows[[#This Row],[Name(EN)]],Tab_Def_Flows[Name(EN)],0),16)</f>
        <v>#N/A</v>
      </c>
      <c r="AD213" s="115" t="str">
        <f>IF(J213="Yes",AA213*Tab_Data_Flows[[#This Row],[WC_'[%']]],"N.A.")</f>
        <v>N.A.</v>
      </c>
      <c r="AE213" s="61">
        <f>Tab_Data_Flows[[#This Row],[UoM_Flow_Py]]</f>
        <v>0</v>
      </c>
      <c r="AF213" s="114" t="e">
        <f>INDEX(Tab_Def_Flows[[Flow_ID]:[CC_DM_source]],MATCH(Tab_Data_Flows[[#This Row],[Name(EN)]],Tab_Def_Flows[Name(EN)],0),18)</f>
        <v>#N/A</v>
      </c>
      <c r="AG213" s="115" t="str">
        <f>IF(K213="Yes",AF213*Tab_Data_Flows[[#This Row],[Flow_Py]],"N.A.")</f>
        <v>N.A.</v>
      </c>
      <c r="AH213" s="61">
        <f>Tab_Data_Flows[[#This Row],[UoM_Flow_Py]]</f>
        <v>0</v>
      </c>
      <c r="AI213" s="114" t="e">
        <f>INDEX(Tab_Def_Flows[[Flow_ID]:[CC_DM_source]],MATCH(Tab_Data_Flows[[#This Row],[Name(EN)]],Tab_Def_Flows[Name(EN)],0),20)</f>
        <v>#N/A</v>
      </c>
      <c r="AJ213" s="115" t="str">
        <f>IF(L213="Yes",AI213*Tab_Data_Flows[[#This Row],[Flow_Py]],"N.A.")</f>
        <v>N.A.</v>
      </c>
      <c r="AK213" s="61">
        <f>Tab_Data_Flows[[#This Row],[UoM_Flow_Py]]</f>
        <v>0</v>
      </c>
    </row>
    <row r="214" spans="1:37" x14ac:dyDescent="0.35">
      <c r="A214" s="60">
        <f t="shared" si="7"/>
        <v>213</v>
      </c>
      <c r="B214" s="49" t="str">
        <f>_xlfn.XLOOKUP(C214,Tab_Def_Flows[Name(EN)],Tab_Def_Flows[Flow_ID],,0,)</f>
        <v>F_21_21</v>
      </c>
      <c r="C214" s="51"/>
      <c r="D214" s="49">
        <f>_xlfn.XLOOKUP(C214,Tab_Def_Flows[Name(EN)],Tab_Def_Flows[Type_Biomass],,0,)</f>
        <v>0</v>
      </c>
      <c r="E214" s="49">
        <f>_xlfn.XLOOKUP(C214,Tab_Def_Flows[Name(EN)],Tab_Def_Flows[Output_Process],,0,)</f>
        <v>0</v>
      </c>
      <c r="F214" s="49" t="str">
        <f>_xlfn.XLOOKUP(C214,Tab_Def_Flows[Name(EN)],Tab_Def_Flows[Process_ID_O],,0,)</f>
        <v>21__</v>
      </c>
      <c r="G214" s="49">
        <f>_xlfn.XLOOKUP(C214,Tab_Def_Flows[Name(EN)],Tab_Def_Flows[Input_Process],,0,)</f>
        <v>0</v>
      </c>
      <c r="H214" s="61" t="str">
        <f>_xlfn.XLOOKUP(C214,Tab_Def_Flows[Name(EN)],Tab_Def_Flows[Process_ID_I],,0,)</f>
        <v>21__</v>
      </c>
      <c r="I214" s="49">
        <f>_xlfn.XLOOKUP(C214,Tab_Def_Flows[Name(EN)],Tab_Def_Flows[Value_Source],,0,)</f>
        <v>0</v>
      </c>
      <c r="J214" s="49">
        <f>_xlfn.XLOOKUP(C214,Tab_Def_Flows[Name(EN)],Tab_Def_Flows[WC?],,0,)</f>
        <v>0</v>
      </c>
      <c r="K214" s="49">
        <f>_xlfn.XLOOKUP(C214,Tab_Def_Flows[Name(EN)],Tab_Def_Flows[DM?],,0,)</f>
        <v>0</v>
      </c>
      <c r="L214" s="49">
        <f>_xlfn.XLOOKUP(C214,Tab_Def_Flows[Name(EN)],Tab_Def_Flows[CC?],,0,)</f>
        <v>0</v>
      </c>
      <c r="M214" s="51"/>
      <c r="N214" s="51"/>
      <c r="O214" s="88"/>
      <c r="P214" s="51"/>
      <c r="Q214" s="51"/>
      <c r="R214" s="51"/>
      <c r="S214" s="51"/>
      <c r="T214" s="51"/>
      <c r="U214" s="51"/>
      <c r="V214" s="51"/>
      <c r="W214" s="51"/>
      <c r="X214" s="51"/>
      <c r="Y214" s="51"/>
      <c r="Z214" s="51"/>
      <c r="AA214" s="89">
        <f t="shared" si="8"/>
        <v>0</v>
      </c>
      <c r="AB214" s="51"/>
      <c r="AC214" s="114" t="e">
        <f>INDEX(Tab_Def_Flows[[Flow_ID]:[CC_DM_source]],MATCH(Tab_Data_Flows[[#This Row],[Name(EN)]],Tab_Def_Flows[Name(EN)],0),16)</f>
        <v>#N/A</v>
      </c>
      <c r="AD214" s="115" t="str">
        <f>IF(J214="Yes",AA214*Tab_Data_Flows[[#This Row],[WC_'[%']]],"N.A.")</f>
        <v>N.A.</v>
      </c>
      <c r="AE214" s="61">
        <f>Tab_Data_Flows[[#This Row],[UoM_Flow_Py]]</f>
        <v>0</v>
      </c>
      <c r="AF214" s="114" t="e">
        <f>INDEX(Tab_Def_Flows[[Flow_ID]:[CC_DM_source]],MATCH(Tab_Data_Flows[[#This Row],[Name(EN)]],Tab_Def_Flows[Name(EN)],0),18)</f>
        <v>#N/A</v>
      </c>
      <c r="AG214" s="115" t="str">
        <f>IF(K214="Yes",AF214*Tab_Data_Flows[[#This Row],[Flow_Py]],"N.A.")</f>
        <v>N.A.</v>
      </c>
      <c r="AH214" s="61">
        <f>Tab_Data_Flows[[#This Row],[UoM_Flow_Py]]</f>
        <v>0</v>
      </c>
      <c r="AI214" s="114" t="e">
        <f>INDEX(Tab_Def_Flows[[Flow_ID]:[CC_DM_source]],MATCH(Tab_Data_Flows[[#This Row],[Name(EN)]],Tab_Def_Flows[Name(EN)],0),20)</f>
        <v>#N/A</v>
      </c>
      <c r="AJ214" s="115" t="str">
        <f>IF(L214="Yes",AI214*Tab_Data_Flows[[#This Row],[Flow_Py]],"N.A.")</f>
        <v>N.A.</v>
      </c>
      <c r="AK214" s="61">
        <f>Tab_Data_Flows[[#This Row],[UoM_Flow_Py]]</f>
        <v>0</v>
      </c>
    </row>
    <row r="215" spans="1:37" x14ac:dyDescent="0.35">
      <c r="A215" s="60">
        <f t="shared" si="7"/>
        <v>214</v>
      </c>
      <c r="B215" s="49" t="str">
        <f>_xlfn.XLOOKUP(C215,Tab_Def_Flows[Name(EN)],Tab_Def_Flows[Flow_ID],,0,)</f>
        <v>F_21_21</v>
      </c>
      <c r="C215" s="51"/>
      <c r="D215" s="49">
        <f>_xlfn.XLOOKUP(C215,Tab_Def_Flows[Name(EN)],Tab_Def_Flows[Type_Biomass],,0,)</f>
        <v>0</v>
      </c>
      <c r="E215" s="49">
        <f>_xlfn.XLOOKUP(C215,Tab_Def_Flows[Name(EN)],Tab_Def_Flows[Output_Process],,0,)</f>
        <v>0</v>
      </c>
      <c r="F215" s="49" t="str">
        <f>_xlfn.XLOOKUP(C215,Tab_Def_Flows[Name(EN)],Tab_Def_Flows[Process_ID_O],,0,)</f>
        <v>21__</v>
      </c>
      <c r="G215" s="49">
        <f>_xlfn.XLOOKUP(C215,Tab_Def_Flows[Name(EN)],Tab_Def_Flows[Input_Process],,0,)</f>
        <v>0</v>
      </c>
      <c r="H215" s="61" t="str">
        <f>_xlfn.XLOOKUP(C215,Tab_Def_Flows[Name(EN)],Tab_Def_Flows[Process_ID_I],,0,)</f>
        <v>21__</v>
      </c>
      <c r="I215" s="49">
        <f>_xlfn.XLOOKUP(C215,Tab_Def_Flows[Name(EN)],Tab_Def_Flows[Value_Source],,0,)</f>
        <v>0</v>
      </c>
      <c r="J215" s="49">
        <f>_xlfn.XLOOKUP(C215,Tab_Def_Flows[Name(EN)],Tab_Def_Flows[WC?],,0,)</f>
        <v>0</v>
      </c>
      <c r="K215" s="49">
        <f>_xlfn.XLOOKUP(C215,Tab_Def_Flows[Name(EN)],Tab_Def_Flows[DM?],,0,)</f>
        <v>0</v>
      </c>
      <c r="L215" s="49">
        <f>_xlfn.XLOOKUP(C215,Tab_Def_Flows[Name(EN)],Tab_Def_Flows[CC?],,0,)</f>
        <v>0</v>
      </c>
      <c r="M215" s="51"/>
      <c r="N215" s="51"/>
      <c r="O215" s="88"/>
      <c r="P215" s="51"/>
      <c r="Q215" s="51"/>
      <c r="R215" s="51"/>
      <c r="S215" s="51"/>
      <c r="T215" s="51"/>
      <c r="U215" s="51"/>
      <c r="V215" s="51"/>
      <c r="W215" s="51"/>
      <c r="X215" s="51"/>
      <c r="Y215" s="51"/>
      <c r="Z215" s="51"/>
      <c r="AA215" s="89">
        <f t="shared" si="8"/>
        <v>0</v>
      </c>
      <c r="AB215" s="51"/>
      <c r="AC215" s="114" t="e">
        <f>INDEX(Tab_Def_Flows[[Flow_ID]:[CC_DM_source]],MATCH(Tab_Data_Flows[[#This Row],[Name(EN)]],Tab_Def_Flows[Name(EN)],0),16)</f>
        <v>#N/A</v>
      </c>
      <c r="AD215" s="115" t="str">
        <f>IF(J215="Yes",AA215*Tab_Data_Flows[[#This Row],[WC_'[%']]],"N.A.")</f>
        <v>N.A.</v>
      </c>
      <c r="AE215" s="61">
        <f>Tab_Data_Flows[[#This Row],[UoM_Flow_Py]]</f>
        <v>0</v>
      </c>
      <c r="AF215" s="114" t="e">
        <f>INDEX(Tab_Def_Flows[[Flow_ID]:[CC_DM_source]],MATCH(Tab_Data_Flows[[#This Row],[Name(EN)]],Tab_Def_Flows[Name(EN)],0),18)</f>
        <v>#N/A</v>
      </c>
      <c r="AG215" s="115" t="str">
        <f>IF(K215="Yes",AF215*Tab_Data_Flows[[#This Row],[Flow_Py]],"N.A.")</f>
        <v>N.A.</v>
      </c>
      <c r="AH215" s="61">
        <f>Tab_Data_Flows[[#This Row],[UoM_Flow_Py]]</f>
        <v>0</v>
      </c>
      <c r="AI215" s="114" t="e">
        <f>INDEX(Tab_Def_Flows[[Flow_ID]:[CC_DM_source]],MATCH(Tab_Data_Flows[[#This Row],[Name(EN)]],Tab_Def_Flows[Name(EN)],0),20)</f>
        <v>#N/A</v>
      </c>
      <c r="AJ215" s="115" t="str">
        <f>IF(L215="Yes",AI215*Tab_Data_Flows[[#This Row],[Flow_Py]],"N.A.")</f>
        <v>N.A.</v>
      </c>
      <c r="AK215" s="61">
        <f>Tab_Data_Flows[[#This Row],[UoM_Flow_Py]]</f>
        <v>0</v>
      </c>
    </row>
    <row r="216" spans="1:37" x14ac:dyDescent="0.35">
      <c r="A216" s="60">
        <f t="shared" si="7"/>
        <v>215</v>
      </c>
      <c r="B216" s="49" t="str">
        <f>_xlfn.XLOOKUP(C216,Tab_Def_Flows[Name(EN)],Tab_Def_Flows[Flow_ID],,0,)</f>
        <v>F_21_21</v>
      </c>
      <c r="C216" s="51"/>
      <c r="D216" s="49">
        <f>_xlfn.XLOOKUP(C216,Tab_Def_Flows[Name(EN)],Tab_Def_Flows[Type_Biomass],,0,)</f>
        <v>0</v>
      </c>
      <c r="E216" s="49">
        <f>_xlfn.XLOOKUP(C216,Tab_Def_Flows[Name(EN)],Tab_Def_Flows[Output_Process],,0,)</f>
        <v>0</v>
      </c>
      <c r="F216" s="49" t="str">
        <f>_xlfn.XLOOKUP(C216,Tab_Def_Flows[Name(EN)],Tab_Def_Flows[Process_ID_O],,0,)</f>
        <v>21__</v>
      </c>
      <c r="G216" s="49">
        <f>_xlfn.XLOOKUP(C216,Tab_Def_Flows[Name(EN)],Tab_Def_Flows[Input_Process],,0,)</f>
        <v>0</v>
      </c>
      <c r="H216" s="61" t="str">
        <f>_xlfn.XLOOKUP(C216,Tab_Def_Flows[Name(EN)],Tab_Def_Flows[Process_ID_I],,0,)</f>
        <v>21__</v>
      </c>
      <c r="I216" s="49">
        <f>_xlfn.XLOOKUP(C216,Tab_Def_Flows[Name(EN)],Tab_Def_Flows[Value_Source],,0,)</f>
        <v>0</v>
      </c>
      <c r="J216" s="49">
        <f>_xlfn.XLOOKUP(C216,Tab_Def_Flows[Name(EN)],Tab_Def_Flows[WC?],,0,)</f>
        <v>0</v>
      </c>
      <c r="K216" s="49">
        <f>_xlfn.XLOOKUP(C216,Tab_Def_Flows[Name(EN)],Tab_Def_Flows[DM?],,0,)</f>
        <v>0</v>
      </c>
      <c r="L216" s="49">
        <f>_xlfn.XLOOKUP(C216,Tab_Def_Flows[Name(EN)],Tab_Def_Flows[CC?],,0,)</f>
        <v>0</v>
      </c>
      <c r="M216" s="51"/>
      <c r="N216" s="51"/>
      <c r="O216" s="88"/>
      <c r="P216" s="51"/>
      <c r="Q216" s="51"/>
      <c r="R216" s="51"/>
      <c r="S216" s="51"/>
      <c r="T216" s="51"/>
      <c r="U216" s="51"/>
      <c r="V216" s="51"/>
      <c r="W216" s="51"/>
      <c r="X216" s="51"/>
      <c r="Y216" s="51"/>
      <c r="Z216" s="51"/>
      <c r="AA216" s="89">
        <f t="shared" si="8"/>
        <v>0</v>
      </c>
      <c r="AB216" s="51"/>
      <c r="AC216" s="114" t="e">
        <f>INDEX(Tab_Def_Flows[[Flow_ID]:[CC_DM_source]],MATCH(Tab_Data_Flows[[#This Row],[Name(EN)]],Tab_Def_Flows[Name(EN)],0),16)</f>
        <v>#N/A</v>
      </c>
      <c r="AD216" s="115" t="str">
        <f>IF(J216="Yes",AA216*Tab_Data_Flows[[#This Row],[WC_'[%']]],"N.A.")</f>
        <v>N.A.</v>
      </c>
      <c r="AE216" s="61">
        <f>Tab_Data_Flows[[#This Row],[UoM_Flow_Py]]</f>
        <v>0</v>
      </c>
      <c r="AF216" s="114" t="e">
        <f>INDEX(Tab_Def_Flows[[Flow_ID]:[CC_DM_source]],MATCH(Tab_Data_Flows[[#This Row],[Name(EN)]],Tab_Def_Flows[Name(EN)],0),18)</f>
        <v>#N/A</v>
      </c>
      <c r="AG216" s="115" t="str">
        <f>IF(K216="Yes",AF216*Tab_Data_Flows[[#This Row],[Flow_Py]],"N.A.")</f>
        <v>N.A.</v>
      </c>
      <c r="AH216" s="61">
        <f>Tab_Data_Flows[[#This Row],[UoM_Flow_Py]]</f>
        <v>0</v>
      </c>
      <c r="AI216" s="114" t="e">
        <f>INDEX(Tab_Def_Flows[[Flow_ID]:[CC_DM_source]],MATCH(Tab_Data_Flows[[#This Row],[Name(EN)]],Tab_Def_Flows[Name(EN)],0),20)</f>
        <v>#N/A</v>
      </c>
      <c r="AJ216" s="115" t="str">
        <f>IF(L216="Yes",AI216*Tab_Data_Flows[[#This Row],[Flow_Py]],"N.A.")</f>
        <v>N.A.</v>
      </c>
      <c r="AK216" s="61">
        <f>Tab_Data_Flows[[#This Row],[UoM_Flow_Py]]</f>
        <v>0</v>
      </c>
    </row>
    <row r="217" spans="1:37" x14ac:dyDescent="0.35">
      <c r="A217" s="60">
        <f t="shared" si="7"/>
        <v>216</v>
      </c>
      <c r="B217" s="49" t="str">
        <f>_xlfn.XLOOKUP(C217,Tab_Def_Flows[Name(EN)],Tab_Def_Flows[Flow_ID],,0,)</f>
        <v>F_21_21</v>
      </c>
      <c r="C217" s="51"/>
      <c r="D217" s="49">
        <f>_xlfn.XLOOKUP(C217,Tab_Def_Flows[Name(EN)],Tab_Def_Flows[Type_Biomass],,0,)</f>
        <v>0</v>
      </c>
      <c r="E217" s="49">
        <f>_xlfn.XLOOKUP(C217,Tab_Def_Flows[Name(EN)],Tab_Def_Flows[Output_Process],,0,)</f>
        <v>0</v>
      </c>
      <c r="F217" s="49" t="str">
        <f>_xlfn.XLOOKUP(C217,Tab_Def_Flows[Name(EN)],Tab_Def_Flows[Process_ID_O],,0,)</f>
        <v>21__</v>
      </c>
      <c r="G217" s="49">
        <f>_xlfn.XLOOKUP(C217,Tab_Def_Flows[Name(EN)],Tab_Def_Flows[Input_Process],,0,)</f>
        <v>0</v>
      </c>
      <c r="H217" s="61" t="str">
        <f>_xlfn.XLOOKUP(C217,Tab_Def_Flows[Name(EN)],Tab_Def_Flows[Process_ID_I],,0,)</f>
        <v>21__</v>
      </c>
      <c r="I217" s="49">
        <f>_xlfn.XLOOKUP(C217,Tab_Def_Flows[Name(EN)],Tab_Def_Flows[Value_Source],,0,)</f>
        <v>0</v>
      </c>
      <c r="J217" s="49">
        <f>_xlfn.XLOOKUP(C217,Tab_Def_Flows[Name(EN)],Tab_Def_Flows[WC?],,0,)</f>
        <v>0</v>
      </c>
      <c r="K217" s="49">
        <f>_xlfn.XLOOKUP(C217,Tab_Def_Flows[Name(EN)],Tab_Def_Flows[DM?],,0,)</f>
        <v>0</v>
      </c>
      <c r="L217" s="49">
        <f>_xlfn.XLOOKUP(C217,Tab_Def_Flows[Name(EN)],Tab_Def_Flows[CC?],,0,)</f>
        <v>0</v>
      </c>
      <c r="M217" s="51"/>
      <c r="N217" s="51"/>
      <c r="O217" s="88"/>
      <c r="P217" s="51"/>
      <c r="Q217" s="51"/>
      <c r="R217" s="51"/>
      <c r="S217" s="51"/>
      <c r="T217" s="51"/>
      <c r="U217" s="51"/>
      <c r="V217" s="51"/>
      <c r="W217" s="51"/>
      <c r="X217" s="51"/>
      <c r="Y217" s="51"/>
      <c r="Z217" s="51"/>
      <c r="AA217" s="89">
        <f t="shared" si="8"/>
        <v>0</v>
      </c>
      <c r="AB217" s="51"/>
      <c r="AC217" s="114" t="e">
        <f>INDEX(Tab_Def_Flows[[Flow_ID]:[CC_DM_source]],MATCH(Tab_Data_Flows[[#This Row],[Name(EN)]],Tab_Def_Flows[Name(EN)],0),16)</f>
        <v>#N/A</v>
      </c>
      <c r="AD217" s="115" t="str">
        <f>IF(J217="Yes",AA217*Tab_Data_Flows[[#This Row],[WC_'[%']]],"N.A.")</f>
        <v>N.A.</v>
      </c>
      <c r="AE217" s="61">
        <f>Tab_Data_Flows[[#This Row],[UoM_Flow_Py]]</f>
        <v>0</v>
      </c>
      <c r="AF217" s="114" t="e">
        <f>INDEX(Tab_Def_Flows[[Flow_ID]:[CC_DM_source]],MATCH(Tab_Data_Flows[[#This Row],[Name(EN)]],Tab_Def_Flows[Name(EN)],0),18)</f>
        <v>#N/A</v>
      </c>
      <c r="AG217" s="115" t="str">
        <f>IF(K217="Yes",AF217*Tab_Data_Flows[[#This Row],[Flow_Py]],"N.A.")</f>
        <v>N.A.</v>
      </c>
      <c r="AH217" s="61">
        <f>Tab_Data_Flows[[#This Row],[UoM_Flow_Py]]</f>
        <v>0</v>
      </c>
      <c r="AI217" s="114" t="e">
        <f>INDEX(Tab_Def_Flows[[Flow_ID]:[CC_DM_source]],MATCH(Tab_Data_Flows[[#This Row],[Name(EN)]],Tab_Def_Flows[Name(EN)],0),20)</f>
        <v>#N/A</v>
      </c>
      <c r="AJ217" s="115" t="str">
        <f>IF(L217="Yes",AI217*Tab_Data_Flows[[#This Row],[Flow_Py]],"N.A.")</f>
        <v>N.A.</v>
      </c>
      <c r="AK217" s="61">
        <f>Tab_Data_Flows[[#This Row],[UoM_Flow_Py]]</f>
        <v>0</v>
      </c>
    </row>
    <row r="218" spans="1:37" x14ac:dyDescent="0.35">
      <c r="A218" s="60">
        <f t="shared" si="7"/>
        <v>217</v>
      </c>
      <c r="B218" s="49" t="str">
        <f>_xlfn.XLOOKUP(C218,Tab_Def_Flows[Name(EN)],Tab_Def_Flows[Flow_ID],,0,)</f>
        <v>F_21_21</v>
      </c>
      <c r="C218" s="51"/>
      <c r="D218" s="49">
        <f>_xlfn.XLOOKUP(C218,Tab_Def_Flows[Name(EN)],Tab_Def_Flows[Type_Biomass],,0,)</f>
        <v>0</v>
      </c>
      <c r="E218" s="49">
        <f>_xlfn.XLOOKUP(C218,Tab_Def_Flows[Name(EN)],Tab_Def_Flows[Output_Process],,0,)</f>
        <v>0</v>
      </c>
      <c r="F218" s="49" t="str">
        <f>_xlfn.XLOOKUP(C218,Tab_Def_Flows[Name(EN)],Tab_Def_Flows[Process_ID_O],,0,)</f>
        <v>21__</v>
      </c>
      <c r="G218" s="49">
        <f>_xlfn.XLOOKUP(C218,Tab_Def_Flows[Name(EN)],Tab_Def_Flows[Input_Process],,0,)</f>
        <v>0</v>
      </c>
      <c r="H218" s="61" t="str">
        <f>_xlfn.XLOOKUP(C218,Tab_Def_Flows[Name(EN)],Tab_Def_Flows[Process_ID_I],,0,)</f>
        <v>21__</v>
      </c>
      <c r="I218" s="49">
        <f>_xlfn.XLOOKUP(C218,Tab_Def_Flows[Name(EN)],Tab_Def_Flows[Value_Source],,0,)</f>
        <v>0</v>
      </c>
      <c r="J218" s="49">
        <f>_xlfn.XLOOKUP(C218,Tab_Def_Flows[Name(EN)],Tab_Def_Flows[WC?],,0,)</f>
        <v>0</v>
      </c>
      <c r="K218" s="49">
        <f>_xlfn.XLOOKUP(C218,Tab_Def_Flows[Name(EN)],Tab_Def_Flows[DM?],,0,)</f>
        <v>0</v>
      </c>
      <c r="L218" s="49">
        <f>_xlfn.XLOOKUP(C218,Tab_Def_Flows[Name(EN)],Tab_Def_Flows[CC?],,0,)</f>
        <v>0</v>
      </c>
      <c r="M218" s="51"/>
      <c r="N218" s="51"/>
      <c r="O218" s="88"/>
      <c r="P218" s="51"/>
      <c r="Q218" s="51"/>
      <c r="R218" s="51"/>
      <c r="S218" s="51"/>
      <c r="T218" s="51"/>
      <c r="U218" s="51"/>
      <c r="V218" s="51"/>
      <c r="W218" s="51"/>
      <c r="X218" s="51"/>
      <c r="Y218" s="51"/>
      <c r="Z218" s="51"/>
      <c r="AA218" s="89">
        <f t="shared" si="8"/>
        <v>0</v>
      </c>
      <c r="AB218" s="51"/>
      <c r="AC218" s="114" t="e">
        <f>INDEX(Tab_Def_Flows[[Flow_ID]:[CC_DM_source]],MATCH(Tab_Data_Flows[[#This Row],[Name(EN)]],Tab_Def_Flows[Name(EN)],0),16)</f>
        <v>#N/A</v>
      </c>
      <c r="AD218" s="115" t="str">
        <f>IF(J218="Yes",AA218*Tab_Data_Flows[[#This Row],[WC_'[%']]],"N.A.")</f>
        <v>N.A.</v>
      </c>
      <c r="AE218" s="61">
        <f>Tab_Data_Flows[[#This Row],[UoM_Flow_Py]]</f>
        <v>0</v>
      </c>
      <c r="AF218" s="114" t="e">
        <f>INDEX(Tab_Def_Flows[[Flow_ID]:[CC_DM_source]],MATCH(Tab_Data_Flows[[#This Row],[Name(EN)]],Tab_Def_Flows[Name(EN)],0),18)</f>
        <v>#N/A</v>
      </c>
      <c r="AG218" s="115" t="str">
        <f>IF(K218="Yes",AF218*Tab_Data_Flows[[#This Row],[Flow_Py]],"N.A.")</f>
        <v>N.A.</v>
      </c>
      <c r="AH218" s="61">
        <f>Tab_Data_Flows[[#This Row],[UoM_Flow_Py]]</f>
        <v>0</v>
      </c>
      <c r="AI218" s="114" t="e">
        <f>INDEX(Tab_Def_Flows[[Flow_ID]:[CC_DM_source]],MATCH(Tab_Data_Flows[[#This Row],[Name(EN)]],Tab_Def_Flows[Name(EN)],0),20)</f>
        <v>#N/A</v>
      </c>
      <c r="AJ218" s="115" t="str">
        <f>IF(L218="Yes",AI218*Tab_Data_Flows[[#This Row],[Flow_Py]],"N.A.")</f>
        <v>N.A.</v>
      </c>
      <c r="AK218" s="61">
        <f>Tab_Data_Flows[[#This Row],[UoM_Flow_Py]]</f>
        <v>0</v>
      </c>
    </row>
    <row r="219" spans="1:37" x14ac:dyDescent="0.35">
      <c r="A219" s="60">
        <f t="shared" si="7"/>
        <v>218</v>
      </c>
      <c r="B219" s="49" t="str">
        <f>_xlfn.XLOOKUP(C219,Tab_Def_Flows[Name(EN)],Tab_Def_Flows[Flow_ID],,0,)</f>
        <v>F_21_21</v>
      </c>
      <c r="C219" s="51"/>
      <c r="D219" s="49">
        <f>_xlfn.XLOOKUP(C219,Tab_Def_Flows[Name(EN)],Tab_Def_Flows[Type_Biomass],,0,)</f>
        <v>0</v>
      </c>
      <c r="E219" s="49">
        <f>_xlfn.XLOOKUP(C219,Tab_Def_Flows[Name(EN)],Tab_Def_Flows[Output_Process],,0,)</f>
        <v>0</v>
      </c>
      <c r="F219" s="49" t="str">
        <f>_xlfn.XLOOKUP(C219,Tab_Def_Flows[Name(EN)],Tab_Def_Flows[Process_ID_O],,0,)</f>
        <v>21__</v>
      </c>
      <c r="G219" s="49">
        <f>_xlfn.XLOOKUP(C219,Tab_Def_Flows[Name(EN)],Tab_Def_Flows[Input_Process],,0,)</f>
        <v>0</v>
      </c>
      <c r="H219" s="61" t="str">
        <f>_xlfn.XLOOKUP(C219,Tab_Def_Flows[Name(EN)],Tab_Def_Flows[Process_ID_I],,0,)</f>
        <v>21__</v>
      </c>
      <c r="I219" s="49">
        <f>_xlfn.XLOOKUP(C219,Tab_Def_Flows[Name(EN)],Tab_Def_Flows[Value_Source],,0,)</f>
        <v>0</v>
      </c>
      <c r="J219" s="49">
        <f>_xlfn.XLOOKUP(C219,Tab_Def_Flows[Name(EN)],Tab_Def_Flows[WC?],,0,)</f>
        <v>0</v>
      </c>
      <c r="K219" s="49">
        <f>_xlfn.XLOOKUP(C219,Tab_Def_Flows[Name(EN)],Tab_Def_Flows[DM?],,0,)</f>
        <v>0</v>
      </c>
      <c r="L219" s="49">
        <f>_xlfn.XLOOKUP(C219,Tab_Def_Flows[Name(EN)],Tab_Def_Flows[CC?],,0,)</f>
        <v>0</v>
      </c>
      <c r="M219" s="51"/>
      <c r="N219" s="51"/>
      <c r="O219" s="88"/>
      <c r="P219" s="51"/>
      <c r="Q219" s="51"/>
      <c r="R219" s="51"/>
      <c r="S219" s="51"/>
      <c r="T219" s="51"/>
      <c r="U219" s="51"/>
      <c r="V219" s="51"/>
      <c r="W219" s="51"/>
      <c r="X219" s="51"/>
      <c r="Y219" s="51"/>
      <c r="Z219" s="51"/>
      <c r="AA219" s="89">
        <f t="shared" si="8"/>
        <v>0</v>
      </c>
      <c r="AB219" s="51"/>
      <c r="AC219" s="114" t="e">
        <f>INDEX(Tab_Def_Flows[[Flow_ID]:[CC_DM_source]],MATCH(Tab_Data_Flows[[#This Row],[Name(EN)]],Tab_Def_Flows[Name(EN)],0),16)</f>
        <v>#N/A</v>
      </c>
      <c r="AD219" s="115" t="str">
        <f>IF(J219="Yes",AA219*Tab_Data_Flows[[#This Row],[WC_'[%']]],"N.A.")</f>
        <v>N.A.</v>
      </c>
      <c r="AE219" s="61">
        <f>Tab_Data_Flows[[#This Row],[UoM_Flow_Py]]</f>
        <v>0</v>
      </c>
      <c r="AF219" s="114" t="e">
        <f>INDEX(Tab_Def_Flows[[Flow_ID]:[CC_DM_source]],MATCH(Tab_Data_Flows[[#This Row],[Name(EN)]],Tab_Def_Flows[Name(EN)],0),18)</f>
        <v>#N/A</v>
      </c>
      <c r="AG219" s="115" t="str">
        <f>IF(K219="Yes",AF219*Tab_Data_Flows[[#This Row],[Flow_Py]],"N.A.")</f>
        <v>N.A.</v>
      </c>
      <c r="AH219" s="61">
        <f>Tab_Data_Flows[[#This Row],[UoM_Flow_Py]]</f>
        <v>0</v>
      </c>
      <c r="AI219" s="114" t="e">
        <f>INDEX(Tab_Def_Flows[[Flow_ID]:[CC_DM_source]],MATCH(Tab_Data_Flows[[#This Row],[Name(EN)]],Tab_Def_Flows[Name(EN)],0),20)</f>
        <v>#N/A</v>
      </c>
      <c r="AJ219" s="115" t="str">
        <f>IF(L219="Yes",AI219*Tab_Data_Flows[[#This Row],[Flow_Py]],"N.A.")</f>
        <v>N.A.</v>
      </c>
      <c r="AK219" s="61">
        <f>Tab_Data_Flows[[#This Row],[UoM_Flow_Py]]</f>
        <v>0</v>
      </c>
    </row>
    <row r="220" spans="1:37" x14ac:dyDescent="0.35">
      <c r="A220" s="60">
        <f t="shared" si="7"/>
        <v>219</v>
      </c>
      <c r="B220" s="49" t="str">
        <f>_xlfn.XLOOKUP(C220,Tab_Def_Flows[Name(EN)],Tab_Def_Flows[Flow_ID],,0,)</f>
        <v>F_21_21</v>
      </c>
      <c r="C220" s="51"/>
      <c r="D220" s="49">
        <f>_xlfn.XLOOKUP(C220,Tab_Def_Flows[Name(EN)],Tab_Def_Flows[Type_Biomass],,0,)</f>
        <v>0</v>
      </c>
      <c r="E220" s="49">
        <f>_xlfn.XLOOKUP(C220,Tab_Def_Flows[Name(EN)],Tab_Def_Flows[Output_Process],,0,)</f>
        <v>0</v>
      </c>
      <c r="F220" s="49" t="str">
        <f>_xlfn.XLOOKUP(C220,Tab_Def_Flows[Name(EN)],Tab_Def_Flows[Process_ID_O],,0,)</f>
        <v>21__</v>
      </c>
      <c r="G220" s="49">
        <f>_xlfn.XLOOKUP(C220,Tab_Def_Flows[Name(EN)],Tab_Def_Flows[Input_Process],,0,)</f>
        <v>0</v>
      </c>
      <c r="H220" s="61" t="str">
        <f>_xlfn.XLOOKUP(C220,Tab_Def_Flows[Name(EN)],Tab_Def_Flows[Process_ID_I],,0,)</f>
        <v>21__</v>
      </c>
      <c r="I220" s="49">
        <f>_xlfn.XLOOKUP(C220,Tab_Def_Flows[Name(EN)],Tab_Def_Flows[Value_Source],,0,)</f>
        <v>0</v>
      </c>
      <c r="J220" s="49">
        <f>_xlfn.XLOOKUP(C220,Tab_Def_Flows[Name(EN)],Tab_Def_Flows[WC?],,0,)</f>
        <v>0</v>
      </c>
      <c r="K220" s="49">
        <f>_xlfn.XLOOKUP(C220,Tab_Def_Flows[Name(EN)],Tab_Def_Flows[DM?],,0,)</f>
        <v>0</v>
      </c>
      <c r="L220" s="49">
        <f>_xlfn.XLOOKUP(C220,Tab_Def_Flows[Name(EN)],Tab_Def_Flows[CC?],,0,)</f>
        <v>0</v>
      </c>
      <c r="M220" s="51"/>
      <c r="N220" s="51"/>
      <c r="O220" s="88"/>
      <c r="P220" s="51"/>
      <c r="Q220" s="51"/>
      <c r="R220" s="51"/>
      <c r="S220" s="51"/>
      <c r="T220" s="51"/>
      <c r="U220" s="51"/>
      <c r="V220" s="51"/>
      <c r="W220" s="51"/>
      <c r="X220" s="51"/>
      <c r="Y220" s="51"/>
      <c r="Z220" s="51"/>
      <c r="AA220" s="89">
        <f t="shared" si="8"/>
        <v>0</v>
      </c>
      <c r="AB220" s="51"/>
      <c r="AC220" s="114" t="e">
        <f>INDEX(Tab_Def_Flows[[Flow_ID]:[CC_DM_source]],MATCH(Tab_Data_Flows[[#This Row],[Name(EN)]],Tab_Def_Flows[Name(EN)],0),16)</f>
        <v>#N/A</v>
      </c>
      <c r="AD220" s="115" t="str">
        <f>IF(J220="Yes",AA220*Tab_Data_Flows[[#This Row],[WC_'[%']]],"N.A.")</f>
        <v>N.A.</v>
      </c>
      <c r="AE220" s="61">
        <f>Tab_Data_Flows[[#This Row],[UoM_Flow_Py]]</f>
        <v>0</v>
      </c>
      <c r="AF220" s="114" t="e">
        <f>INDEX(Tab_Def_Flows[[Flow_ID]:[CC_DM_source]],MATCH(Tab_Data_Flows[[#This Row],[Name(EN)]],Tab_Def_Flows[Name(EN)],0),18)</f>
        <v>#N/A</v>
      </c>
      <c r="AG220" s="115" t="str">
        <f>IF(K220="Yes",AF220*Tab_Data_Flows[[#This Row],[Flow_Py]],"N.A.")</f>
        <v>N.A.</v>
      </c>
      <c r="AH220" s="61">
        <f>Tab_Data_Flows[[#This Row],[UoM_Flow_Py]]</f>
        <v>0</v>
      </c>
      <c r="AI220" s="114" t="e">
        <f>INDEX(Tab_Def_Flows[[Flow_ID]:[CC_DM_source]],MATCH(Tab_Data_Flows[[#This Row],[Name(EN)]],Tab_Def_Flows[Name(EN)],0),20)</f>
        <v>#N/A</v>
      </c>
      <c r="AJ220" s="115" t="str">
        <f>IF(L220="Yes",AI220*Tab_Data_Flows[[#This Row],[Flow_Py]],"N.A.")</f>
        <v>N.A.</v>
      </c>
      <c r="AK220" s="61">
        <f>Tab_Data_Flows[[#This Row],[UoM_Flow_Py]]</f>
        <v>0</v>
      </c>
    </row>
    <row r="221" spans="1:37" x14ac:dyDescent="0.35">
      <c r="A221" s="60">
        <f t="shared" si="7"/>
        <v>220</v>
      </c>
      <c r="B221" s="49" t="str">
        <f>_xlfn.XLOOKUP(C221,Tab_Def_Flows[Name(EN)],Tab_Def_Flows[Flow_ID],,0,)</f>
        <v>F_21_21</v>
      </c>
      <c r="C221" s="51"/>
      <c r="D221" s="49">
        <f>_xlfn.XLOOKUP(C221,Tab_Def_Flows[Name(EN)],Tab_Def_Flows[Type_Biomass],,0,)</f>
        <v>0</v>
      </c>
      <c r="E221" s="49">
        <f>_xlfn.XLOOKUP(C221,Tab_Def_Flows[Name(EN)],Tab_Def_Flows[Output_Process],,0,)</f>
        <v>0</v>
      </c>
      <c r="F221" s="49" t="str">
        <f>_xlfn.XLOOKUP(C221,Tab_Def_Flows[Name(EN)],Tab_Def_Flows[Process_ID_O],,0,)</f>
        <v>21__</v>
      </c>
      <c r="G221" s="49">
        <f>_xlfn.XLOOKUP(C221,Tab_Def_Flows[Name(EN)],Tab_Def_Flows[Input_Process],,0,)</f>
        <v>0</v>
      </c>
      <c r="H221" s="61" t="str">
        <f>_xlfn.XLOOKUP(C221,Tab_Def_Flows[Name(EN)],Tab_Def_Flows[Process_ID_I],,0,)</f>
        <v>21__</v>
      </c>
      <c r="I221" s="49">
        <f>_xlfn.XLOOKUP(C221,Tab_Def_Flows[Name(EN)],Tab_Def_Flows[Value_Source],,0,)</f>
        <v>0</v>
      </c>
      <c r="J221" s="49">
        <f>_xlfn.XLOOKUP(C221,Tab_Def_Flows[Name(EN)],Tab_Def_Flows[WC?],,0,)</f>
        <v>0</v>
      </c>
      <c r="K221" s="49">
        <f>_xlfn.XLOOKUP(C221,Tab_Def_Flows[Name(EN)],Tab_Def_Flows[DM?],,0,)</f>
        <v>0</v>
      </c>
      <c r="L221" s="49">
        <f>_xlfn.XLOOKUP(C221,Tab_Def_Flows[Name(EN)],Tab_Def_Flows[CC?],,0,)</f>
        <v>0</v>
      </c>
      <c r="M221" s="51"/>
      <c r="N221" s="51"/>
      <c r="O221" s="88"/>
      <c r="P221" s="51"/>
      <c r="Q221" s="51"/>
      <c r="R221" s="51"/>
      <c r="S221" s="51"/>
      <c r="T221" s="51"/>
      <c r="U221" s="51"/>
      <c r="V221" s="51"/>
      <c r="W221" s="51"/>
      <c r="X221" s="51"/>
      <c r="Y221" s="51"/>
      <c r="Z221" s="51"/>
      <c r="AA221" s="89">
        <f t="shared" si="8"/>
        <v>0</v>
      </c>
      <c r="AB221" s="51"/>
      <c r="AC221" s="114" t="e">
        <f>INDEX(Tab_Def_Flows[[Flow_ID]:[CC_DM_source]],MATCH(Tab_Data_Flows[[#This Row],[Name(EN)]],Tab_Def_Flows[Name(EN)],0),16)</f>
        <v>#N/A</v>
      </c>
      <c r="AD221" s="115" t="str">
        <f>IF(J221="Yes",AA221*Tab_Data_Flows[[#This Row],[WC_'[%']]],"N.A.")</f>
        <v>N.A.</v>
      </c>
      <c r="AE221" s="61">
        <f>Tab_Data_Flows[[#This Row],[UoM_Flow_Py]]</f>
        <v>0</v>
      </c>
      <c r="AF221" s="114" t="e">
        <f>INDEX(Tab_Def_Flows[[Flow_ID]:[CC_DM_source]],MATCH(Tab_Data_Flows[[#This Row],[Name(EN)]],Tab_Def_Flows[Name(EN)],0),18)</f>
        <v>#N/A</v>
      </c>
      <c r="AG221" s="115" t="str">
        <f>IF(K221="Yes",AF221*Tab_Data_Flows[[#This Row],[Flow_Py]],"N.A.")</f>
        <v>N.A.</v>
      </c>
      <c r="AH221" s="61">
        <f>Tab_Data_Flows[[#This Row],[UoM_Flow_Py]]</f>
        <v>0</v>
      </c>
      <c r="AI221" s="114" t="e">
        <f>INDEX(Tab_Def_Flows[[Flow_ID]:[CC_DM_source]],MATCH(Tab_Data_Flows[[#This Row],[Name(EN)]],Tab_Def_Flows[Name(EN)],0),20)</f>
        <v>#N/A</v>
      </c>
      <c r="AJ221" s="115" t="str">
        <f>IF(L221="Yes",AI221*Tab_Data_Flows[[#This Row],[Flow_Py]],"N.A.")</f>
        <v>N.A.</v>
      </c>
      <c r="AK221" s="61">
        <f>Tab_Data_Flows[[#This Row],[UoM_Flow_Py]]</f>
        <v>0</v>
      </c>
    </row>
    <row r="222" spans="1:37" x14ac:dyDescent="0.35">
      <c r="A222" s="60">
        <f t="shared" si="7"/>
        <v>221</v>
      </c>
      <c r="B222" s="49" t="str">
        <f>_xlfn.XLOOKUP(C222,Tab_Def_Flows[Name(EN)],Tab_Def_Flows[Flow_ID],,0,)</f>
        <v>F_21_21</v>
      </c>
      <c r="C222" s="51"/>
      <c r="D222" s="49">
        <f>_xlfn.XLOOKUP(C222,Tab_Def_Flows[Name(EN)],Tab_Def_Flows[Type_Biomass],,0,)</f>
        <v>0</v>
      </c>
      <c r="E222" s="49">
        <f>_xlfn.XLOOKUP(C222,Tab_Def_Flows[Name(EN)],Tab_Def_Flows[Output_Process],,0,)</f>
        <v>0</v>
      </c>
      <c r="F222" s="49" t="str">
        <f>_xlfn.XLOOKUP(C222,Tab_Def_Flows[Name(EN)],Tab_Def_Flows[Process_ID_O],,0,)</f>
        <v>21__</v>
      </c>
      <c r="G222" s="49">
        <f>_xlfn.XLOOKUP(C222,Tab_Def_Flows[Name(EN)],Tab_Def_Flows[Input_Process],,0,)</f>
        <v>0</v>
      </c>
      <c r="H222" s="61" t="str">
        <f>_xlfn.XLOOKUP(C222,Tab_Def_Flows[Name(EN)],Tab_Def_Flows[Process_ID_I],,0,)</f>
        <v>21__</v>
      </c>
      <c r="I222" s="49">
        <f>_xlfn.XLOOKUP(C222,Tab_Def_Flows[Name(EN)],Tab_Def_Flows[Value_Source],,0,)</f>
        <v>0</v>
      </c>
      <c r="J222" s="49">
        <f>_xlfn.XLOOKUP(C222,Tab_Def_Flows[Name(EN)],Tab_Def_Flows[WC?],,0,)</f>
        <v>0</v>
      </c>
      <c r="K222" s="49">
        <f>_xlfn.XLOOKUP(C222,Tab_Def_Flows[Name(EN)],Tab_Def_Flows[DM?],,0,)</f>
        <v>0</v>
      </c>
      <c r="L222" s="49">
        <f>_xlfn.XLOOKUP(C222,Tab_Def_Flows[Name(EN)],Tab_Def_Flows[CC?],,0,)</f>
        <v>0</v>
      </c>
      <c r="M222" s="51"/>
      <c r="N222" s="51"/>
      <c r="O222" s="88"/>
      <c r="P222" s="51"/>
      <c r="Q222" s="51"/>
      <c r="R222" s="51"/>
      <c r="S222" s="51"/>
      <c r="T222" s="51"/>
      <c r="U222" s="51"/>
      <c r="V222" s="51"/>
      <c r="W222" s="51"/>
      <c r="X222" s="51"/>
      <c r="Y222" s="51"/>
      <c r="Z222" s="51"/>
      <c r="AA222" s="89">
        <f t="shared" si="8"/>
        <v>0</v>
      </c>
      <c r="AB222" s="51"/>
      <c r="AC222" s="114" t="e">
        <f>INDEX(Tab_Def_Flows[[Flow_ID]:[CC_DM_source]],MATCH(Tab_Data_Flows[[#This Row],[Name(EN)]],Tab_Def_Flows[Name(EN)],0),16)</f>
        <v>#N/A</v>
      </c>
      <c r="AD222" s="115" t="str">
        <f>IF(J222="Yes",AA222*Tab_Data_Flows[[#This Row],[WC_'[%']]],"N.A.")</f>
        <v>N.A.</v>
      </c>
      <c r="AE222" s="61">
        <f>Tab_Data_Flows[[#This Row],[UoM_Flow_Py]]</f>
        <v>0</v>
      </c>
      <c r="AF222" s="114" t="e">
        <f>INDEX(Tab_Def_Flows[[Flow_ID]:[CC_DM_source]],MATCH(Tab_Data_Flows[[#This Row],[Name(EN)]],Tab_Def_Flows[Name(EN)],0),18)</f>
        <v>#N/A</v>
      </c>
      <c r="AG222" s="115" t="str">
        <f>IF(K222="Yes",AF222*Tab_Data_Flows[[#This Row],[Flow_Py]],"N.A.")</f>
        <v>N.A.</v>
      </c>
      <c r="AH222" s="61">
        <f>Tab_Data_Flows[[#This Row],[UoM_Flow_Py]]</f>
        <v>0</v>
      </c>
      <c r="AI222" s="114" t="e">
        <f>INDEX(Tab_Def_Flows[[Flow_ID]:[CC_DM_source]],MATCH(Tab_Data_Flows[[#This Row],[Name(EN)]],Tab_Def_Flows[Name(EN)],0),20)</f>
        <v>#N/A</v>
      </c>
      <c r="AJ222" s="115" t="str">
        <f>IF(L222="Yes",AI222*Tab_Data_Flows[[#This Row],[Flow_Py]],"N.A.")</f>
        <v>N.A.</v>
      </c>
      <c r="AK222" s="61">
        <f>Tab_Data_Flows[[#This Row],[UoM_Flow_Py]]</f>
        <v>0</v>
      </c>
    </row>
    <row r="223" spans="1:37" x14ac:dyDescent="0.35">
      <c r="A223" s="60">
        <f t="shared" si="7"/>
        <v>222</v>
      </c>
      <c r="B223" s="49" t="str">
        <f>_xlfn.XLOOKUP(C223,Tab_Def_Flows[Name(EN)],Tab_Def_Flows[Flow_ID],,0,)</f>
        <v>F_21_21</v>
      </c>
      <c r="C223" s="51"/>
      <c r="D223" s="49">
        <f>_xlfn.XLOOKUP(C223,Tab_Def_Flows[Name(EN)],Tab_Def_Flows[Type_Biomass],,0,)</f>
        <v>0</v>
      </c>
      <c r="E223" s="49">
        <f>_xlfn.XLOOKUP(C223,Tab_Def_Flows[Name(EN)],Tab_Def_Flows[Output_Process],,0,)</f>
        <v>0</v>
      </c>
      <c r="F223" s="49" t="str">
        <f>_xlfn.XLOOKUP(C223,Tab_Def_Flows[Name(EN)],Tab_Def_Flows[Process_ID_O],,0,)</f>
        <v>21__</v>
      </c>
      <c r="G223" s="49">
        <f>_xlfn.XLOOKUP(C223,Tab_Def_Flows[Name(EN)],Tab_Def_Flows[Input_Process],,0,)</f>
        <v>0</v>
      </c>
      <c r="H223" s="61" t="str">
        <f>_xlfn.XLOOKUP(C223,Tab_Def_Flows[Name(EN)],Tab_Def_Flows[Process_ID_I],,0,)</f>
        <v>21__</v>
      </c>
      <c r="I223" s="49">
        <f>_xlfn.XLOOKUP(C223,Tab_Def_Flows[Name(EN)],Tab_Def_Flows[Value_Source],,0,)</f>
        <v>0</v>
      </c>
      <c r="J223" s="49">
        <f>_xlfn.XLOOKUP(C223,Tab_Def_Flows[Name(EN)],Tab_Def_Flows[WC?],,0,)</f>
        <v>0</v>
      </c>
      <c r="K223" s="49">
        <f>_xlfn.XLOOKUP(C223,Tab_Def_Flows[Name(EN)],Tab_Def_Flows[DM?],,0,)</f>
        <v>0</v>
      </c>
      <c r="L223" s="49">
        <f>_xlfn.XLOOKUP(C223,Tab_Def_Flows[Name(EN)],Tab_Def_Flows[CC?],,0,)</f>
        <v>0</v>
      </c>
      <c r="M223" s="51"/>
      <c r="N223" s="51"/>
      <c r="O223" s="88"/>
      <c r="P223" s="51"/>
      <c r="Q223" s="51"/>
      <c r="R223" s="51"/>
      <c r="S223" s="51"/>
      <c r="T223" s="51"/>
      <c r="U223" s="51"/>
      <c r="V223" s="51"/>
      <c r="W223" s="51"/>
      <c r="X223" s="51"/>
      <c r="Y223" s="51"/>
      <c r="Z223" s="51"/>
      <c r="AA223" s="89">
        <f t="shared" si="8"/>
        <v>0</v>
      </c>
      <c r="AB223" s="51"/>
      <c r="AC223" s="114" t="e">
        <f>INDEX(Tab_Def_Flows[[Flow_ID]:[CC_DM_source]],MATCH(Tab_Data_Flows[[#This Row],[Name(EN)]],Tab_Def_Flows[Name(EN)],0),16)</f>
        <v>#N/A</v>
      </c>
      <c r="AD223" s="115" t="str">
        <f>IF(J223="Yes",AA223*Tab_Data_Flows[[#This Row],[WC_'[%']]],"N.A.")</f>
        <v>N.A.</v>
      </c>
      <c r="AE223" s="61">
        <f>Tab_Data_Flows[[#This Row],[UoM_Flow_Py]]</f>
        <v>0</v>
      </c>
      <c r="AF223" s="114" t="e">
        <f>INDEX(Tab_Def_Flows[[Flow_ID]:[CC_DM_source]],MATCH(Tab_Data_Flows[[#This Row],[Name(EN)]],Tab_Def_Flows[Name(EN)],0),18)</f>
        <v>#N/A</v>
      </c>
      <c r="AG223" s="115" t="str">
        <f>IF(K223="Yes",AF223*Tab_Data_Flows[[#This Row],[Flow_Py]],"N.A.")</f>
        <v>N.A.</v>
      </c>
      <c r="AH223" s="61">
        <f>Tab_Data_Flows[[#This Row],[UoM_Flow_Py]]</f>
        <v>0</v>
      </c>
      <c r="AI223" s="114" t="e">
        <f>INDEX(Tab_Def_Flows[[Flow_ID]:[CC_DM_source]],MATCH(Tab_Data_Flows[[#This Row],[Name(EN)]],Tab_Def_Flows[Name(EN)],0),20)</f>
        <v>#N/A</v>
      </c>
      <c r="AJ223" s="115" t="str">
        <f>IF(L223="Yes",AI223*Tab_Data_Flows[[#This Row],[Flow_Py]],"N.A.")</f>
        <v>N.A.</v>
      </c>
      <c r="AK223" s="61">
        <f>Tab_Data_Flows[[#This Row],[UoM_Flow_Py]]</f>
        <v>0</v>
      </c>
    </row>
    <row r="224" spans="1:37" x14ac:dyDescent="0.35">
      <c r="A224" s="60">
        <f t="shared" si="7"/>
        <v>223</v>
      </c>
      <c r="B224" s="49" t="str">
        <f>_xlfn.XLOOKUP(C224,Tab_Def_Flows[Name(EN)],Tab_Def_Flows[Flow_ID],,0,)</f>
        <v>F_21_21</v>
      </c>
      <c r="C224" s="51"/>
      <c r="D224" s="49">
        <f>_xlfn.XLOOKUP(C224,Tab_Def_Flows[Name(EN)],Tab_Def_Flows[Type_Biomass],,0,)</f>
        <v>0</v>
      </c>
      <c r="E224" s="49">
        <f>_xlfn.XLOOKUP(C224,Tab_Def_Flows[Name(EN)],Tab_Def_Flows[Output_Process],,0,)</f>
        <v>0</v>
      </c>
      <c r="F224" s="49" t="str">
        <f>_xlfn.XLOOKUP(C224,Tab_Def_Flows[Name(EN)],Tab_Def_Flows[Process_ID_O],,0,)</f>
        <v>21__</v>
      </c>
      <c r="G224" s="49">
        <f>_xlfn.XLOOKUP(C224,Tab_Def_Flows[Name(EN)],Tab_Def_Flows[Input_Process],,0,)</f>
        <v>0</v>
      </c>
      <c r="H224" s="61" t="str">
        <f>_xlfn.XLOOKUP(C224,Tab_Def_Flows[Name(EN)],Tab_Def_Flows[Process_ID_I],,0,)</f>
        <v>21__</v>
      </c>
      <c r="I224" s="49">
        <f>_xlfn.XLOOKUP(C224,Tab_Def_Flows[Name(EN)],Tab_Def_Flows[Value_Source],,0,)</f>
        <v>0</v>
      </c>
      <c r="J224" s="49">
        <f>_xlfn.XLOOKUP(C224,Tab_Def_Flows[Name(EN)],Tab_Def_Flows[WC?],,0,)</f>
        <v>0</v>
      </c>
      <c r="K224" s="49">
        <f>_xlfn.XLOOKUP(C224,Tab_Def_Flows[Name(EN)],Tab_Def_Flows[DM?],,0,)</f>
        <v>0</v>
      </c>
      <c r="L224" s="49">
        <f>_xlfn.XLOOKUP(C224,Tab_Def_Flows[Name(EN)],Tab_Def_Flows[CC?],,0,)</f>
        <v>0</v>
      </c>
      <c r="M224" s="51"/>
      <c r="N224" s="51"/>
      <c r="O224" s="88"/>
      <c r="P224" s="51"/>
      <c r="Q224" s="51"/>
      <c r="R224" s="51"/>
      <c r="S224" s="51"/>
      <c r="T224" s="51"/>
      <c r="U224" s="51"/>
      <c r="V224" s="51"/>
      <c r="W224" s="51"/>
      <c r="X224" s="51"/>
      <c r="Y224" s="51"/>
      <c r="Z224" s="51"/>
      <c r="AA224" s="89">
        <f t="shared" si="8"/>
        <v>0</v>
      </c>
      <c r="AB224" s="51"/>
      <c r="AC224" s="114" t="e">
        <f>INDEX(Tab_Def_Flows[[Flow_ID]:[CC_DM_source]],MATCH(Tab_Data_Flows[[#This Row],[Name(EN)]],Tab_Def_Flows[Name(EN)],0),16)</f>
        <v>#N/A</v>
      </c>
      <c r="AD224" s="115" t="str">
        <f>IF(J224="Yes",AA224*Tab_Data_Flows[[#This Row],[WC_'[%']]],"N.A.")</f>
        <v>N.A.</v>
      </c>
      <c r="AE224" s="61">
        <f>Tab_Data_Flows[[#This Row],[UoM_Flow_Py]]</f>
        <v>0</v>
      </c>
      <c r="AF224" s="114" t="e">
        <f>INDEX(Tab_Def_Flows[[Flow_ID]:[CC_DM_source]],MATCH(Tab_Data_Flows[[#This Row],[Name(EN)]],Tab_Def_Flows[Name(EN)],0),18)</f>
        <v>#N/A</v>
      </c>
      <c r="AG224" s="115" t="str">
        <f>IF(K224="Yes",AF224*Tab_Data_Flows[[#This Row],[Flow_Py]],"N.A.")</f>
        <v>N.A.</v>
      </c>
      <c r="AH224" s="61">
        <f>Tab_Data_Flows[[#This Row],[UoM_Flow_Py]]</f>
        <v>0</v>
      </c>
      <c r="AI224" s="114" t="e">
        <f>INDEX(Tab_Def_Flows[[Flow_ID]:[CC_DM_source]],MATCH(Tab_Data_Flows[[#This Row],[Name(EN)]],Tab_Def_Flows[Name(EN)],0),20)</f>
        <v>#N/A</v>
      </c>
      <c r="AJ224" s="115" t="str">
        <f>IF(L224="Yes",AI224*Tab_Data_Flows[[#This Row],[Flow_Py]],"N.A.")</f>
        <v>N.A.</v>
      </c>
      <c r="AK224" s="61">
        <f>Tab_Data_Flows[[#This Row],[UoM_Flow_Py]]</f>
        <v>0</v>
      </c>
    </row>
    <row r="225" spans="1:37" x14ac:dyDescent="0.35">
      <c r="A225" s="60">
        <f t="shared" si="7"/>
        <v>224</v>
      </c>
      <c r="B225" s="49" t="str">
        <f>_xlfn.XLOOKUP(C225,Tab_Def_Flows[Name(EN)],Tab_Def_Flows[Flow_ID],,0,)</f>
        <v>F_21_21</v>
      </c>
      <c r="C225" s="51"/>
      <c r="D225" s="49">
        <f>_xlfn.XLOOKUP(C225,Tab_Def_Flows[Name(EN)],Tab_Def_Flows[Type_Biomass],,0,)</f>
        <v>0</v>
      </c>
      <c r="E225" s="49">
        <f>_xlfn.XLOOKUP(C225,Tab_Def_Flows[Name(EN)],Tab_Def_Flows[Output_Process],,0,)</f>
        <v>0</v>
      </c>
      <c r="F225" s="49" t="str">
        <f>_xlfn.XLOOKUP(C225,Tab_Def_Flows[Name(EN)],Tab_Def_Flows[Process_ID_O],,0,)</f>
        <v>21__</v>
      </c>
      <c r="G225" s="49">
        <f>_xlfn.XLOOKUP(C225,Tab_Def_Flows[Name(EN)],Tab_Def_Flows[Input_Process],,0,)</f>
        <v>0</v>
      </c>
      <c r="H225" s="61" t="str">
        <f>_xlfn.XLOOKUP(C225,Tab_Def_Flows[Name(EN)],Tab_Def_Flows[Process_ID_I],,0,)</f>
        <v>21__</v>
      </c>
      <c r="I225" s="49">
        <f>_xlfn.XLOOKUP(C225,Tab_Def_Flows[Name(EN)],Tab_Def_Flows[Value_Source],,0,)</f>
        <v>0</v>
      </c>
      <c r="J225" s="49">
        <f>_xlfn.XLOOKUP(C225,Tab_Def_Flows[Name(EN)],Tab_Def_Flows[WC?],,0,)</f>
        <v>0</v>
      </c>
      <c r="K225" s="49">
        <f>_xlfn.XLOOKUP(C225,Tab_Def_Flows[Name(EN)],Tab_Def_Flows[DM?],,0,)</f>
        <v>0</v>
      </c>
      <c r="L225" s="49">
        <f>_xlfn.XLOOKUP(C225,Tab_Def_Flows[Name(EN)],Tab_Def_Flows[CC?],,0,)</f>
        <v>0</v>
      </c>
      <c r="M225" s="51"/>
      <c r="N225" s="51"/>
      <c r="O225" s="88"/>
      <c r="P225" s="51"/>
      <c r="Q225" s="51"/>
      <c r="R225" s="51"/>
      <c r="S225" s="51"/>
      <c r="T225" s="51"/>
      <c r="U225" s="51"/>
      <c r="V225" s="51"/>
      <c r="W225" s="51"/>
      <c r="X225" s="51"/>
      <c r="Y225" s="51"/>
      <c r="Z225" s="51"/>
      <c r="AA225" s="89">
        <f t="shared" si="8"/>
        <v>0</v>
      </c>
      <c r="AB225" s="51"/>
      <c r="AC225" s="114" t="e">
        <f>INDEX(Tab_Def_Flows[[Flow_ID]:[CC_DM_source]],MATCH(Tab_Data_Flows[[#This Row],[Name(EN)]],Tab_Def_Flows[Name(EN)],0),16)</f>
        <v>#N/A</v>
      </c>
      <c r="AD225" s="115" t="str">
        <f>IF(J225="Yes",AA225*Tab_Data_Flows[[#This Row],[WC_'[%']]],"N.A.")</f>
        <v>N.A.</v>
      </c>
      <c r="AE225" s="61">
        <f>Tab_Data_Flows[[#This Row],[UoM_Flow_Py]]</f>
        <v>0</v>
      </c>
      <c r="AF225" s="114" t="e">
        <f>INDEX(Tab_Def_Flows[[Flow_ID]:[CC_DM_source]],MATCH(Tab_Data_Flows[[#This Row],[Name(EN)]],Tab_Def_Flows[Name(EN)],0),18)</f>
        <v>#N/A</v>
      </c>
      <c r="AG225" s="115" t="str">
        <f>IF(K225="Yes",AF225*Tab_Data_Flows[[#This Row],[Flow_Py]],"N.A.")</f>
        <v>N.A.</v>
      </c>
      <c r="AH225" s="61">
        <f>Tab_Data_Flows[[#This Row],[UoM_Flow_Py]]</f>
        <v>0</v>
      </c>
      <c r="AI225" s="114" t="e">
        <f>INDEX(Tab_Def_Flows[[Flow_ID]:[CC_DM_source]],MATCH(Tab_Data_Flows[[#This Row],[Name(EN)]],Tab_Def_Flows[Name(EN)],0),20)</f>
        <v>#N/A</v>
      </c>
      <c r="AJ225" s="115" t="str">
        <f>IF(L225="Yes",AI225*Tab_Data_Flows[[#This Row],[Flow_Py]],"N.A.")</f>
        <v>N.A.</v>
      </c>
      <c r="AK225" s="61">
        <f>Tab_Data_Flows[[#This Row],[UoM_Flow_Py]]</f>
        <v>0</v>
      </c>
    </row>
    <row r="226" spans="1:37" x14ac:dyDescent="0.35">
      <c r="A226" s="60">
        <f t="shared" si="7"/>
        <v>225</v>
      </c>
      <c r="B226" s="49" t="str">
        <f>_xlfn.XLOOKUP(C226,Tab_Def_Flows[Name(EN)],Tab_Def_Flows[Flow_ID],,0,)</f>
        <v>F_21_21</v>
      </c>
      <c r="C226" s="51"/>
      <c r="D226" s="49">
        <f>_xlfn.XLOOKUP(C226,Tab_Def_Flows[Name(EN)],Tab_Def_Flows[Type_Biomass],,0,)</f>
        <v>0</v>
      </c>
      <c r="E226" s="49">
        <f>_xlfn.XLOOKUP(C226,Tab_Def_Flows[Name(EN)],Tab_Def_Flows[Output_Process],,0,)</f>
        <v>0</v>
      </c>
      <c r="F226" s="49" t="str">
        <f>_xlfn.XLOOKUP(C226,Tab_Def_Flows[Name(EN)],Tab_Def_Flows[Process_ID_O],,0,)</f>
        <v>21__</v>
      </c>
      <c r="G226" s="49">
        <f>_xlfn.XLOOKUP(C226,Tab_Def_Flows[Name(EN)],Tab_Def_Flows[Input_Process],,0,)</f>
        <v>0</v>
      </c>
      <c r="H226" s="61" t="str">
        <f>_xlfn.XLOOKUP(C226,Tab_Def_Flows[Name(EN)],Tab_Def_Flows[Process_ID_I],,0,)</f>
        <v>21__</v>
      </c>
      <c r="I226" s="49">
        <f>_xlfn.XLOOKUP(C226,Tab_Def_Flows[Name(EN)],Tab_Def_Flows[Value_Source],,0,)</f>
        <v>0</v>
      </c>
      <c r="J226" s="49">
        <f>_xlfn.XLOOKUP(C226,Tab_Def_Flows[Name(EN)],Tab_Def_Flows[WC?],,0,)</f>
        <v>0</v>
      </c>
      <c r="K226" s="49">
        <f>_xlfn.XLOOKUP(C226,Tab_Def_Flows[Name(EN)],Tab_Def_Flows[DM?],,0,)</f>
        <v>0</v>
      </c>
      <c r="L226" s="49">
        <f>_xlfn.XLOOKUP(C226,Tab_Def_Flows[Name(EN)],Tab_Def_Flows[CC?],,0,)</f>
        <v>0</v>
      </c>
      <c r="M226" s="51"/>
      <c r="N226" s="51"/>
      <c r="O226" s="88"/>
      <c r="P226" s="51"/>
      <c r="Q226" s="51"/>
      <c r="R226" s="51"/>
      <c r="S226" s="51"/>
      <c r="T226" s="51"/>
      <c r="U226" s="51"/>
      <c r="V226" s="51"/>
      <c r="W226" s="51"/>
      <c r="X226" s="51"/>
      <c r="Y226" s="51"/>
      <c r="Z226" s="51"/>
      <c r="AA226" s="89">
        <f t="shared" si="8"/>
        <v>0</v>
      </c>
      <c r="AB226" s="51"/>
      <c r="AC226" s="114" t="e">
        <f>INDEX(Tab_Def_Flows[[Flow_ID]:[CC_DM_source]],MATCH(Tab_Data_Flows[[#This Row],[Name(EN)]],Tab_Def_Flows[Name(EN)],0),16)</f>
        <v>#N/A</v>
      </c>
      <c r="AD226" s="115" t="str">
        <f>IF(J226="Yes",AA226*Tab_Data_Flows[[#This Row],[WC_'[%']]],"N.A.")</f>
        <v>N.A.</v>
      </c>
      <c r="AE226" s="61">
        <f>Tab_Data_Flows[[#This Row],[UoM_Flow_Py]]</f>
        <v>0</v>
      </c>
      <c r="AF226" s="114" t="e">
        <f>INDEX(Tab_Def_Flows[[Flow_ID]:[CC_DM_source]],MATCH(Tab_Data_Flows[[#This Row],[Name(EN)]],Tab_Def_Flows[Name(EN)],0),18)</f>
        <v>#N/A</v>
      </c>
      <c r="AG226" s="115" t="str">
        <f>IF(K226="Yes",AF226*Tab_Data_Flows[[#This Row],[Flow_Py]],"N.A.")</f>
        <v>N.A.</v>
      </c>
      <c r="AH226" s="61">
        <f>Tab_Data_Flows[[#This Row],[UoM_Flow_Py]]</f>
        <v>0</v>
      </c>
      <c r="AI226" s="114" t="e">
        <f>INDEX(Tab_Def_Flows[[Flow_ID]:[CC_DM_source]],MATCH(Tab_Data_Flows[[#This Row],[Name(EN)]],Tab_Def_Flows[Name(EN)],0),20)</f>
        <v>#N/A</v>
      </c>
      <c r="AJ226" s="115" t="str">
        <f>IF(L226="Yes",AI226*Tab_Data_Flows[[#This Row],[Flow_Py]],"N.A.")</f>
        <v>N.A.</v>
      </c>
      <c r="AK226" s="61">
        <f>Tab_Data_Flows[[#This Row],[UoM_Flow_Py]]</f>
        <v>0</v>
      </c>
    </row>
    <row r="227" spans="1:37" x14ac:dyDescent="0.35">
      <c r="A227" s="60">
        <f t="shared" si="7"/>
        <v>226</v>
      </c>
      <c r="B227" s="49" t="str">
        <f>_xlfn.XLOOKUP(C227,Tab_Def_Flows[Name(EN)],Tab_Def_Flows[Flow_ID],,0,)</f>
        <v>F_21_21</v>
      </c>
      <c r="C227" s="51"/>
      <c r="D227" s="49">
        <f>_xlfn.XLOOKUP(C227,Tab_Def_Flows[Name(EN)],Tab_Def_Flows[Type_Biomass],,0,)</f>
        <v>0</v>
      </c>
      <c r="E227" s="49">
        <f>_xlfn.XLOOKUP(C227,Tab_Def_Flows[Name(EN)],Tab_Def_Flows[Output_Process],,0,)</f>
        <v>0</v>
      </c>
      <c r="F227" s="49" t="str">
        <f>_xlfn.XLOOKUP(C227,Tab_Def_Flows[Name(EN)],Tab_Def_Flows[Process_ID_O],,0,)</f>
        <v>21__</v>
      </c>
      <c r="G227" s="49">
        <f>_xlfn.XLOOKUP(C227,Tab_Def_Flows[Name(EN)],Tab_Def_Flows[Input_Process],,0,)</f>
        <v>0</v>
      </c>
      <c r="H227" s="61" t="str">
        <f>_xlfn.XLOOKUP(C227,Tab_Def_Flows[Name(EN)],Tab_Def_Flows[Process_ID_I],,0,)</f>
        <v>21__</v>
      </c>
      <c r="I227" s="49">
        <f>_xlfn.XLOOKUP(C227,Tab_Def_Flows[Name(EN)],Tab_Def_Flows[Value_Source],,0,)</f>
        <v>0</v>
      </c>
      <c r="J227" s="49">
        <f>_xlfn.XLOOKUP(C227,Tab_Def_Flows[Name(EN)],Tab_Def_Flows[WC?],,0,)</f>
        <v>0</v>
      </c>
      <c r="K227" s="49">
        <f>_xlfn.XLOOKUP(C227,Tab_Def_Flows[Name(EN)],Tab_Def_Flows[DM?],,0,)</f>
        <v>0</v>
      </c>
      <c r="L227" s="49">
        <f>_xlfn.XLOOKUP(C227,Tab_Def_Flows[Name(EN)],Tab_Def_Flows[CC?],,0,)</f>
        <v>0</v>
      </c>
      <c r="M227" s="51"/>
      <c r="N227" s="51"/>
      <c r="O227" s="88"/>
      <c r="P227" s="51"/>
      <c r="Q227" s="51"/>
      <c r="R227" s="51"/>
      <c r="S227" s="51"/>
      <c r="T227" s="51"/>
      <c r="U227" s="51"/>
      <c r="V227" s="51"/>
      <c r="W227" s="51"/>
      <c r="X227" s="51"/>
      <c r="Y227" s="51"/>
      <c r="Z227" s="51"/>
      <c r="AA227" s="89">
        <f t="shared" si="8"/>
        <v>0</v>
      </c>
      <c r="AB227" s="51"/>
      <c r="AC227" s="114" t="e">
        <f>INDEX(Tab_Def_Flows[[Flow_ID]:[CC_DM_source]],MATCH(Tab_Data_Flows[[#This Row],[Name(EN)]],Tab_Def_Flows[Name(EN)],0),16)</f>
        <v>#N/A</v>
      </c>
      <c r="AD227" s="115" t="str">
        <f>IF(J227="Yes",AA227*Tab_Data_Flows[[#This Row],[WC_'[%']]],"N.A.")</f>
        <v>N.A.</v>
      </c>
      <c r="AE227" s="61">
        <f>Tab_Data_Flows[[#This Row],[UoM_Flow_Py]]</f>
        <v>0</v>
      </c>
      <c r="AF227" s="114" t="e">
        <f>INDEX(Tab_Def_Flows[[Flow_ID]:[CC_DM_source]],MATCH(Tab_Data_Flows[[#This Row],[Name(EN)]],Tab_Def_Flows[Name(EN)],0),18)</f>
        <v>#N/A</v>
      </c>
      <c r="AG227" s="115" t="str">
        <f>IF(K227="Yes",AF227*Tab_Data_Flows[[#This Row],[Flow_Py]],"N.A.")</f>
        <v>N.A.</v>
      </c>
      <c r="AH227" s="61">
        <f>Tab_Data_Flows[[#This Row],[UoM_Flow_Py]]</f>
        <v>0</v>
      </c>
      <c r="AI227" s="114" t="e">
        <f>INDEX(Tab_Def_Flows[[Flow_ID]:[CC_DM_source]],MATCH(Tab_Data_Flows[[#This Row],[Name(EN)]],Tab_Def_Flows[Name(EN)],0),20)</f>
        <v>#N/A</v>
      </c>
      <c r="AJ227" s="115" t="str">
        <f>IF(L227="Yes",AI227*Tab_Data_Flows[[#This Row],[Flow_Py]],"N.A.")</f>
        <v>N.A.</v>
      </c>
      <c r="AK227" s="61">
        <f>Tab_Data_Flows[[#This Row],[UoM_Flow_Py]]</f>
        <v>0</v>
      </c>
    </row>
    <row r="228" spans="1:37" x14ac:dyDescent="0.35">
      <c r="A228" s="60">
        <f t="shared" si="7"/>
        <v>227</v>
      </c>
      <c r="B228" s="49" t="str">
        <f>_xlfn.XLOOKUP(C228,Tab_Def_Flows[Name(EN)],Tab_Def_Flows[Flow_ID],,0,)</f>
        <v>F_21_21</v>
      </c>
      <c r="C228" s="51"/>
      <c r="D228" s="49">
        <f>_xlfn.XLOOKUP(C228,Tab_Def_Flows[Name(EN)],Tab_Def_Flows[Type_Biomass],,0,)</f>
        <v>0</v>
      </c>
      <c r="E228" s="49">
        <f>_xlfn.XLOOKUP(C228,Tab_Def_Flows[Name(EN)],Tab_Def_Flows[Output_Process],,0,)</f>
        <v>0</v>
      </c>
      <c r="F228" s="49" t="str">
        <f>_xlfn.XLOOKUP(C228,Tab_Def_Flows[Name(EN)],Tab_Def_Flows[Process_ID_O],,0,)</f>
        <v>21__</v>
      </c>
      <c r="G228" s="49">
        <f>_xlfn.XLOOKUP(C228,Tab_Def_Flows[Name(EN)],Tab_Def_Flows[Input_Process],,0,)</f>
        <v>0</v>
      </c>
      <c r="H228" s="61" t="str">
        <f>_xlfn.XLOOKUP(C228,Tab_Def_Flows[Name(EN)],Tab_Def_Flows[Process_ID_I],,0,)</f>
        <v>21__</v>
      </c>
      <c r="I228" s="49">
        <f>_xlfn.XLOOKUP(C228,Tab_Def_Flows[Name(EN)],Tab_Def_Flows[Value_Source],,0,)</f>
        <v>0</v>
      </c>
      <c r="J228" s="49">
        <f>_xlfn.XLOOKUP(C228,Tab_Def_Flows[Name(EN)],Tab_Def_Flows[WC?],,0,)</f>
        <v>0</v>
      </c>
      <c r="K228" s="49">
        <f>_xlfn.XLOOKUP(C228,Tab_Def_Flows[Name(EN)],Tab_Def_Flows[DM?],,0,)</f>
        <v>0</v>
      </c>
      <c r="L228" s="49">
        <f>_xlfn.XLOOKUP(C228,Tab_Def_Flows[Name(EN)],Tab_Def_Flows[CC?],,0,)</f>
        <v>0</v>
      </c>
      <c r="M228" s="51"/>
      <c r="N228" s="51"/>
      <c r="O228" s="88"/>
      <c r="P228" s="51"/>
      <c r="Q228" s="51"/>
      <c r="R228" s="51"/>
      <c r="S228" s="51"/>
      <c r="T228" s="51"/>
      <c r="U228" s="51"/>
      <c r="V228" s="51"/>
      <c r="W228" s="51"/>
      <c r="X228" s="51"/>
      <c r="Y228" s="51"/>
      <c r="Z228" s="51"/>
      <c r="AA228" s="89">
        <f t="shared" si="8"/>
        <v>0</v>
      </c>
      <c r="AB228" s="51"/>
      <c r="AC228" s="114" t="e">
        <f>INDEX(Tab_Def_Flows[[Flow_ID]:[CC_DM_source]],MATCH(Tab_Data_Flows[[#This Row],[Name(EN)]],Tab_Def_Flows[Name(EN)],0),16)</f>
        <v>#N/A</v>
      </c>
      <c r="AD228" s="115" t="str">
        <f>IF(J228="Yes",AA228*Tab_Data_Flows[[#This Row],[WC_'[%']]],"N.A.")</f>
        <v>N.A.</v>
      </c>
      <c r="AE228" s="61">
        <f>Tab_Data_Flows[[#This Row],[UoM_Flow_Py]]</f>
        <v>0</v>
      </c>
      <c r="AF228" s="114" t="e">
        <f>INDEX(Tab_Def_Flows[[Flow_ID]:[CC_DM_source]],MATCH(Tab_Data_Flows[[#This Row],[Name(EN)]],Tab_Def_Flows[Name(EN)],0),18)</f>
        <v>#N/A</v>
      </c>
      <c r="AG228" s="115" t="str">
        <f>IF(K228="Yes",AF228*Tab_Data_Flows[[#This Row],[Flow_Py]],"N.A.")</f>
        <v>N.A.</v>
      </c>
      <c r="AH228" s="61">
        <f>Tab_Data_Flows[[#This Row],[UoM_Flow_Py]]</f>
        <v>0</v>
      </c>
      <c r="AI228" s="114" t="e">
        <f>INDEX(Tab_Def_Flows[[Flow_ID]:[CC_DM_source]],MATCH(Tab_Data_Flows[[#This Row],[Name(EN)]],Tab_Def_Flows[Name(EN)],0),20)</f>
        <v>#N/A</v>
      </c>
      <c r="AJ228" s="115" t="str">
        <f>IF(L228="Yes",AI228*Tab_Data_Flows[[#This Row],[Flow_Py]],"N.A.")</f>
        <v>N.A.</v>
      </c>
      <c r="AK228" s="61">
        <f>Tab_Data_Flows[[#This Row],[UoM_Flow_Py]]</f>
        <v>0</v>
      </c>
    </row>
    <row r="229" spans="1:37" x14ac:dyDescent="0.35">
      <c r="A229" s="60">
        <f t="shared" si="7"/>
        <v>228</v>
      </c>
      <c r="B229" s="49" t="str">
        <f>_xlfn.XLOOKUP(C229,Tab_Def_Flows[Name(EN)],Tab_Def_Flows[Flow_ID],,0,)</f>
        <v>F_21_21</v>
      </c>
      <c r="C229" s="51"/>
      <c r="D229" s="49">
        <f>_xlfn.XLOOKUP(C229,Tab_Def_Flows[Name(EN)],Tab_Def_Flows[Type_Biomass],,0,)</f>
        <v>0</v>
      </c>
      <c r="E229" s="49">
        <f>_xlfn.XLOOKUP(C229,Tab_Def_Flows[Name(EN)],Tab_Def_Flows[Output_Process],,0,)</f>
        <v>0</v>
      </c>
      <c r="F229" s="49" t="str">
        <f>_xlfn.XLOOKUP(C229,Tab_Def_Flows[Name(EN)],Tab_Def_Flows[Process_ID_O],,0,)</f>
        <v>21__</v>
      </c>
      <c r="G229" s="49">
        <f>_xlfn.XLOOKUP(C229,Tab_Def_Flows[Name(EN)],Tab_Def_Flows[Input_Process],,0,)</f>
        <v>0</v>
      </c>
      <c r="H229" s="61" t="str">
        <f>_xlfn.XLOOKUP(C229,Tab_Def_Flows[Name(EN)],Tab_Def_Flows[Process_ID_I],,0,)</f>
        <v>21__</v>
      </c>
      <c r="I229" s="49">
        <f>_xlfn.XLOOKUP(C229,Tab_Def_Flows[Name(EN)],Tab_Def_Flows[Value_Source],,0,)</f>
        <v>0</v>
      </c>
      <c r="J229" s="49">
        <f>_xlfn.XLOOKUP(C229,Tab_Def_Flows[Name(EN)],Tab_Def_Flows[WC?],,0,)</f>
        <v>0</v>
      </c>
      <c r="K229" s="49">
        <f>_xlfn.XLOOKUP(C229,Tab_Def_Flows[Name(EN)],Tab_Def_Flows[DM?],,0,)</f>
        <v>0</v>
      </c>
      <c r="L229" s="49">
        <f>_xlfn.XLOOKUP(C229,Tab_Def_Flows[Name(EN)],Tab_Def_Flows[CC?],,0,)</f>
        <v>0</v>
      </c>
      <c r="M229" s="51"/>
      <c r="N229" s="51"/>
      <c r="O229" s="88"/>
      <c r="P229" s="51"/>
      <c r="Q229" s="51"/>
      <c r="R229" s="51"/>
      <c r="S229" s="51"/>
      <c r="T229" s="51"/>
      <c r="U229" s="51"/>
      <c r="V229" s="51"/>
      <c r="W229" s="51"/>
      <c r="X229" s="51"/>
      <c r="Y229" s="51"/>
      <c r="Z229" s="51"/>
      <c r="AA229" s="89">
        <f t="shared" si="8"/>
        <v>0</v>
      </c>
      <c r="AB229" s="51"/>
      <c r="AC229" s="114" t="e">
        <f>INDEX(Tab_Def_Flows[[Flow_ID]:[CC_DM_source]],MATCH(Tab_Data_Flows[[#This Row],[Name(EN)]],Tab_Def_Flows[Name(EN)],0),16)</f>
        <v>#N/A</v>
      </c>
      <c r="AD229" s="115" t="str">
        <f>IF(J229="Yes",AA229*Tab_Data_Flows[[#This Row],[WC_'[%']]],"N.A.")</f>
        <v>N.A.</v>
      </c>
      <c r="AE229" s="61">
        <f>Tab_Data_Flows[[#This Row],[UoM_Flow_Py]]</f>
        <v>0</v>
      </c>
      <c r="AF229" s="114" t="e">
        <f>INDEX(Tab_Def_Flows[[Flow_ID]:[CC_DM_source]],MATCH(Tab_Data_Flows[[#This Row],[Name(EN)]],Tab_Def_Flows[Name(EN)],0),18)</f>
        <v>#N/A</v>
      </c>
      <c r="AG229" s="115" t="str">
        <f>IF(K229="Yes",AF229*Tab_Data_Flows[[#This Row],[Flow_Py]],"N.A.")</f>
        <v>N.A.</v>
      </c>
      <c r="AH229" s="61">
        <f>Tab_Data_Flows[[#This Row],[UoM_Flow_Py]]</f>
        <v>0</v>
      </c>
      <c r="AI229" s="114" t="e">
        <f>INDEX(Tab_Def_Flows[[Flow_ID]:[CC_DM_source]],MATCH(Tab_Data_Flows[[#This Row],[Name(EN)]],Tab_Def_Flows[Name(EN)],0),20)</f>
        <v>#N/A</v>
      </c>
      <c r="AJ229" s="115" t="str">
        <f>IF(L229="Yes",AI229*Tab_Data_Flows[[#This Row],[Flow_Py]],"N.A.")</f>
        <v>N.A.</v>
      </c>
      <c r="AK229" s="61">
        <f>Tab_Data_Flows[[#This Row],[UoM_Flow_Py]]</f>
        <v>0</v>
      </c>
    </row>
    <row r="230" spans="1:37" x14ac:dyDescent="0.35">
      <c r="A230" s="60">
        <f t="shared" si="7"/>
        <v>229</v>
      </c>
      <c r="B230" s="49" t="str">
        <f>_xlfn.XLOOKUP(C230,Tab_Def_Flows[Name(EN)],Tab_Def_Flows[Flow_ID],,0,)</f>
        <v>F_21_21</v>
      </c>
      <c r="C230" s="51"/>
      <c r="D230" s="49">
        <f>_xlfn.XLOOKUP(C230,Tab_Def_Flows[Name(EN)],Tab_Def_Flows[Type_Biomass],,0,)</f>
        <v>0</v>
      </c>
      <c r="E230" s="49">
        <f>_xlfn.XLOOKUP(C230,Tab_Def_Flows[Name(EN)],Tab_Def_Flows[Output_Process],,0,)</f>
        <v>0</v>
      </c>
      <c r="F230" s="49" t="str">
        <f>_xlfn.XLOOKUP(C230,Tab_Def_Flows[Name(EN)],Tab_Def_Flows[Process_ID_O],,0,)</f>
        <v>21__</v>
      </c>
      <c r="G230" s="49">
        <f>_xlfn.XLOOKUP(C230,Tab_Def_Flows[Name(EN)],Tab_Def_Flows[Input_Process],,0,)</f>
        <v>0</v>
      </c>
      <c r="H230" s="61" t="str">
        <f>_xlfn.XLOOKUP(C230,Tab_Def_Flows[Name(EN)],Tab_Def_Flows[Process_ID_I],,0,)</f>
        <v>21__</v>
      </c>
      <c r="I230" s="49">
        <f>_xlfn.XLOOKUP(C230,Tab_Def_Flows[Name(EN)],Tab_Def_Flows[Value_Source],,0,)</f>
        <v>0</v>
      </c>
      <c r="J230" s="49">
        <f>_xlfn.XLOOKUP(C230,Tab_Def_Flows[Name(EN)],Tab_Def_Flows[WC?],,0,)</f>
        <v>0</v>
      </c>
      <c r="K230" s="49">
        <f>_xlfn.XLOOKUP(C230,Tab_Def_Flows[Name(EN)],Tab_Def_Flows[DM?],,0,)</f>
        <v>0</v>
      </c>
      <c r="L230" s="49">
        <f>_xlfn.XLOOKUP(C230,Tab_Def_Flows[Name(EN)],Tab_Def_Flows[CC?],,0,)</f>
        <v>0</v>
      </c>
      <c r="M230" s="51"/>
      <c r="N230" s="51"/>
      <c r="O230" s="88"/>
      <c r="P230" s="51"/>
      <c r="Q230" s="51"/>
      <c r="R230" s="51"/>
      <c r="S230" s="51"/>
      <c r="T230" s="51"/>
      <c r="U230" s="51"/>
      <c r="V230" s="51"/>
      <c r="W230" s="51"/>
      <c r="X230" s="51"/>
      <c r="Y230" s="51"/>
      <c r="Z230" s="51"/>
      <c r="AA230" s="89">
        <f t="shared" si="8"/>
        <v>0</v>
      </c>
      <c r="AB230" s="51"/>
      <c r="AC230" s="114" t="e">
        <f>INDEX(Tab_Def_Flows[[Flow_ID]:[CC_DM_source]],MATCH(Tab_Data_Flows[[#This Row],[Name(EN)]],Tab_Def_Flows[Name(EN)],0),16)</f>
        <v>#N/A</v>
      </c>
      <c r="AD230" s="115" t="str">
        <f>IF(J230="Yes",AA230*Tab_Data_Flows[[#This Row],[WC_'[%']]],"N.A.")</f>
        <v>N.A.</v>
      </c>
      <c r="AE230" s="61">
        <f>Tab_Data_Flows[[#This Row],[UoM_Flow_Py]]</f>
        <v>0</v>
      </c>
      <c r="AF230" s="114" t="e">
        <f>INDEX(Tab_Def_Flows[[Flow_ID]:[CC_DM_source]],MATCH(Tab_Data_Flows[[#This Row],[Name(EN)]],Tab_Def_Flows[Name(EN)],0),18)</f>
        <v>#N/A</v>
      </c>
      <c r="AG230" s="115" t="str">
        <f>IF(K230="Yes",AF230*Tab_Data_Flows[[#This Row],[Flow_Py]],"N.A.")</f>
        <v>N.A.</v>
      </c>
      <c r="AH230" s="61">
        <f>Tab_Data_Flows[[#This Row],[UoM_Flow_Py]]</f>
        <v>0</v>
      </c>
      <c r="AI230" s="114" t="e">
        <f>INDEX(Tab_Def_Flows[[Flow_ID]:[CC_DM_source]],MATCH(Tab_Data_Flows[[#This Row],[Name(EN)]],Tab_Def_Flows[Name(EN)],0),20)</f>
        <v>#N/A</v>
      </c>
      <c r="AJ230" s="115" t="str">
        <f>IF(L230="Yes",AI230*Tab_Data_Flows[[#This Row],[Flow_Py]],"N.A.")</f>
        <v>N.A.</v>
      </c>
      <c r="AK230" s="61">
        <f>Tab_Data_Flows[[#This Row],[UoM_Flow_Py]]</f>
        <v>0</v>
      </c>
    </row>
    <row r="231" spans="1:37" x14ac:dyDescent="0.35">
      <c r="A231" s="60">
        <f t="shared" si="7"/>
        <v>230</v>
      </c>
      <c r="B231" s="49" t="str">
        <f>_xlfn.XLOOKUP(C231,Tab_Def_Flows[Name(EN)],Tab_Def_Flows[Flow_ID],,0,)</f>
        <v>F_21_21</v>
      </c>
      <c r="C231" s="51"/>
      <c r="D231" s="49">
        <f>_xlfn.XLOOKUP(C231,Tab_Def_Flows[Name(EN)],Tab_Def_Flows[Type_Biomass],,0,)</f>
        <v>0</v>
      </c>
      <c r="E231" s="49">
        <f>_xlfn.XLOOKUP(C231,Tab_Def_Flows[Name(EN)],Tab_Def_Flows[Output_Process],,0,)</f>
        <v>0</v>
      </c>
      <c r="F231" s="49" t="str">
        <f>_xlfn.XLOOKUP(C231,Tab_Def_Flows[Name(EN)],Tab_Def_Flows[Process_ID_O],,0,)</f>
        <v>21__</v>
      </c>
      <c r="G231" s="49">
        <f>_xlfn.XLOOKUP(C231,Tab_Def_Flows[Name(EN)],Tab_Def_Flows[Input_Process],,0,)</f>
        <v>0</v>
      </c>
      <c r="H231" s="61" t="str">
        <f>_xlfn.XLOOKUP(C231,Tab_Def_Flows[Name(EN)],Tab_Def_Flows[Process_ID_I],,0,)</f>
        <v>21__</v>
      </c>
      <c r="I231" s="49">
        <f>_xlfn.XLOOKUP(C231,Tab_Def_Flows[Name(EN)],Tab_Def_Flows[Value_Source],,0,)</f>
        <v>0</v>
      </c>
      <c r="J231" s="49">
        <f>_xlfn.XLOOKUP(C231,Tab_Def_Flows[Name(EN)],Tab_Def_Flows[WC?],,0,)</f>
        <v>0</v>
      </c>
      <c r="K231" s="49">
        <f>_xlfn.XLOOKUP(C231,Tab_Def_Flows[Name(EN)],Tab_Def_Flows[DM?],,0,)</f>
        <v>0</v>
      </c>
      <c r="L231" s="49">
        <f>_xlfn.XLOOKUP(C231,Tab_Def_Flows[Name(EN)],Tab_Def_Flows[CC?],,0,)</f>
        <v>0</v>
      </c>
      <c r="M231" s="51"/>
      <c r="N231" s="51"/>
      <c r="O231" s="88"/>
      <c r="P231" s="51"/>
      <c r="Q231" s="51"/>
      <c r="R231" s="51"/>
      <c r="S231" s="51"/>
      <c r="T231" s="51"/>
      <c r="U231" s="51"/>
      <c r="V231" s="51"/>
      <c r="W231" s="51"/>
      <c r="X231" s="51"/>
      <c r="Y231" s="51"/>
      <c r="Z231" s="51"/>
      <c r="AA231" s="89">
        <f t="shared" si="8"/>
        <v>0</v>
      </c>
      <c r="AB231" s="51"/>
      <c r="AC231" s="114" t="e">
        <f>INDEX(Tab_Def_Flows[[Flow_ID]:[CC_DM_source]],MATCH(Tab_Data_Flows[[#This Row],[Name(EN)]],Tab_Def_Flows[Name(EN)],0),16)</f>
        <v>#N/A</v>
      </c>
      <c r="AD231" s="115" t="str">
        <f>IF(J231="Yes",AA231*Tab_Data_Flows[[#This Row],[WC_'[%']]],"N.A.")</f>
        <v>N.A.</v>
      </c>
      <c r="AE231" s="61">
        <f>Tab_Data_Flows[[#This Row],[UoM_Flow_Py]]</f>
        <v>0</v>
      </c>
      <c r="AF231" s="114" t="e">
        <f>INDEX(Tab_Def_Flows[[Flow_ID]:[CC_DM_source]],MATCH(Tab_Data_Flows[[#This Row],[Name(EN)]],Tab_Def_Flows[Name(EN)],0),18)</f>
        <v>#N/A</v>
      </c>
      <c r="AG231" s="115" t="str">
        <f>IF(K231="Yes",AF231*Tab_Data_Flows[[#This Row],[Flow_Py]],"N.A.")</f>
        <v>N.A.</v>
      </c>
      <c r="AH231" s="61">
        <f>Tab_Data_Flows[[#This Row],[UoM_Flow_Py]]</f>
        <v>0</v>
      </c>
      <c r="AI231" s="114" t="e">
        <f>INDEX(Tab_Def_Flows[[Flow_ID]:[CC_DM_source]],MATCH(Tab_Data_Flows[[#This Row],[Name(EN)]],Tab_Def_Flows[Name(EN)],0),20)</f>
        <v>#N/A</v>
      </c>
      <c r="AJ231" s="115" t="str">
        <f>IF(L231="Yes",AI231*Tab_Data_Flows[[#This Row],[Flow_Py]],"N.A.")</f>
        <v>N.A.</v>
      </c>
      <c r="AK231" s="61">
        <f>Tab_Data_Flows[[#This Row],[UoM_Flow_Py]]</f>
        <v>0</v>
      </c>
    </row>
    <row r="232" spans="1:37" x14ac:dyDescent="0.35">
      <c r="A232" s="60">
        <f t="shared" si="7"/>
        <v>231</v>
      </c>
      <c r="B232" s="49" t="str">
        <f>_xlfn.XLOOKUP(C232,Tab_Def_Flows[Name(EN)],Tab_Def_Flows[Flow_ID],,0,)</f>
        <v>F_21_21</v>
      </c>
      <c r="C232" s="51"/>
      <c r="D232" s="49">
        <f>_xlfn.XLOOKUP(C232,Tab_Def_Flows[Name(EN)],Tab_Def_Flows[Type_Biomass],,0,)</f>
        <v>0</v>
      </c>
      <c r="E232" s="49">
        <f>_xlfn.XLOOKUP(C232,Tab_Def_Flows[Name(EN)],Tab_Def_Flows[Output_Process],,0,)</f>
        <v>0</v>
      </c>
      <c r="F232" s="49" t="str">
        <f>_xlfn.XLOOKUP(C232,Tab_Def_Flows[Name(EN)],Tab_Def_Flows[Process_ID_O],,0,)</f>
        <v>21__</v>
      </c>
      <c r="G232" s="49">
        <f>_xlfn.XLOOKUP(C232,Tab_Def_Flows[Name(EN)],Tab_Def_Flows[Input_Process],,0,)</f>
        <v>0</v>
      </c>
      <c r="H232" s="61" t="str">
        <f>_xlfn.XLOOKUP(C232,Tab_Def_Flows[Name(EN)],Tab_Def_Flows[Process_ID_I],,0,)</f>
        <v>21__</v>
      </c>
      <c r="I232" s="49">
        <f>_xlfn.XLOOKUP(C232,Tab_Def_Flows[Name(EN)],Tab_Def_Flows[Value_Source],,0,)</f>
        <v>0</v>
      </c>
      <c r="J232" s="49">
        <f>_xlfn.XLOOKUP(C232,Tab_Def_Flows[Name(EN)],Tab_Def_Flows[WC?],,0,)</f>
        <v>0</v>
      </c>
      <c r="K232" s="49">
        <f>_xlfn.XLOOKUP(C232,Tab_Def_Flows[Name(EN)],Tab_Def_Flows[DM?],,0,)</f>
        <v>0</v>
      </c>
      <c r="L232" s="49">
        <f>_xlfn.XLOOKUP(C232,Tab_Def_Flows[Name(EN)],Tab_Def_Flows[CC?],,0,)</f>
        <v>0</v>
      </c>
      <c r="M232" s="51"/>
      <c r="N232" s="51"/>
      <c r="O232" s="88"/>
      <c r="P232" s="51"/>
      <c r="Q232" s="51"/>
      <c r="R232" s="51"/>
      <c r="S232" s="51"/>
      <c r="T232" s="51"/>
      <c r="U232" s="51"/>
      <c r="V232" s="51"/>
      <c r="W232" s="51"/>
      <c r="X232" s="51"/>
      <c r="Y232" s="51"/>
      <c r="Z232" s="51"/>
      <c r="AA232" s="89">
        <f t="shared" si="8"/>
        <v>0</v>
      </c>
      <c r="AB232" s="51"/>
      <c r="AC232" s="114" t="e">
        <f>INDEX(Tab_Def_Flows[[Flow_ID]:[CC_DM_source]],MATCH(Tab_Data_Flows[[#This Row],[Name(EN)]],Tab_Def_Flows[Name(EN)],0),16)</f>
        <v>#N/A</v>
      </c>
      <c r="AD232" s="115" t="str">
        <f>IF(J232="Yes",AA232*Tab_Data_Flows[[#This Row],[WC_'[%']]],"N.A.")</f>
        <v>N.A.</v>
      </c>
      <c r="AE232" s="61">
        <f>Tab_Data_Flows[[#This Row],[UoM_Flow_Py]]</f>
        <v>0</v>
      </c>
      <c r="AF232" s="114" t="e">
        <f>INDEX(Tab_Def_Flows[[Flow_ID]:[CC_DM_source]],MATCH(Tab_Data_Flows[[#This Row],[Name(EN)]],Tab_Def_Flows[Name(EN)],0),18)</f>
        <v>#N/A</v>
      </c>
      <c r="AG232" s="115" t="str">
        <f>IF(K232="Yes",AF232*Tab_Data_Flows[[#This Row],[Flow_Py]],"N.A.")</f>
        <v>N.A.</v>
      </c>
      <c r="AH232" s="61">
        <f>Tab_Data_Flows[[#This Row],[UoM_Flow_Py]]</f>
        <v>0</v>
      </c>
      <c r="AI232" s="114" t="e">
        <f>INDEX(Tab_Def_Flows[[Flow_ID]:[CC_DM_source]],MATCH(Tab_Data_Flows[[#This Row],[Name(EN)]],Tab_Def_Flows[Name(EN)],0),20)</f>
        <v>#N/A</v>
      </c>
      <c r="AJ232" s="115" t="str">
        <f>IF(L232="Yes",AI232*Tab_Data_Flows[[#This Row],[Flow_Py]],"N.A.")</f>
        <v>N.A.</v>
      </c>
      <c r="AK232" s="61">
        <f>Tab_Data_Flows[[#This Row],[UoM_Flow_Py]]</f>
        <v>0</v>
      </c>
    </row>
    <row r="233" spans="1:37" x14ac:dyDescent="0.35">
      <c r="A233" s="60">
        <f t="shared" si="7"/>
        <v>232</v>
      </c>
      <c r="B233" s="49" t="str">
        <f>_xlfn.XLOOKUP(C233,Tab_Def_Flows[Name(EN)],Tab_Def_Flows[Flow_ID],,0,)</f>
        <v>F_21_21</v>
      </c>
      <c r="C233" s="51"/>
      <c r="D233" s="49">
        <f>_xlfn.XLOOKUP(C233,Tab_Def_Flows[Name(EN)],Tab_Def_Flows[Type_Biomass],,0,)</f>
        <v>0</v>
      </c>
      <c r="E233" s="49">
        <f>_xlfn.XLOOKUP(C233,Tab_Def_Flows[Name(EN)],Tab_Def_Flows[Output_Process],,0,)</f>
        <v>0</v>
      </c>
      <c r="F233" s="49" t="str">
        <f>_xlfn.XLOOKUP(C233,Tab_Def_Flows[Name(EN)],Tab_Def_Flows[Process_ID_O],,0,)</f>
        <v>21__</v>
      </c>
      <c r="G233" s="49">
        <f>_xlfn.XLOOKUP(C233,Tab_Def_Flows[Name(EN)],Tab_Def_Flows[Input_Process],,0,)</f>
        <v>0</v>
      </c>
      <c r="H233" s="61" t="str">
        <f>_xlfn.XLOOKUP(C233,Tab_Def_Flows[Name(EN)],Tab_Def_Flows[Process_ID_I],,0,)</f>
        <v>21__</v>
      </c>
      <c r="I233" s="49">
        <f>_xlfn.XLOOKUP(C233,Tab_Def_Flows[Name(EN)],Tab_Def_Flows[Value_Source],,0,)</f>
        <v>0</v>
      </c>
      <c r="J233" s="49">
        <f>_xlfn.XLOOKUP(C233,Tab_Def_Flows[Name(EN)],Tab_Def_Flows[WC?],,0,)</f>
        <v>0</v>
      </c>
      <c r="K233" s="49">
        <f>_xlfn.XLOOKUP(C233,Tab_Def_Flows[Name(EN)],Tab_Def_Flows[DM?],,0,)</f>
        <v>0</v>
      </c>
      <c r="L233" s="49">
        <f>_xlfn.XLOOKUP(C233,Tab_Def_Flows[Name(EN)],Tab_Def_Flows[CC?],,0,)</f>
        <v>0</v>
      </c>
      <c r="M233" s="51"/>
      <c r="N233" s="51"/>
      <c r="O233" s="88"/>
      <c r="P233" s="51"/>
      <c r="Q233" s="51"/>
      <c r="R233" s="51"/>
      <c r="S233" s="51"/>
      <c r="T233" s="51"/>
      <c r="U233" s="51"/>
      <c r="V233" s="51"/>
      <c r="W233" s="51"/>
      <c r="X233" s="51"/>
      <c r="Y233" s="51"/>
      <c r="Z233" s="51"/>
      <c r="AA233" s="89">
        <f t="shared" si="8"/>
        <v>0</v>
      </c>
      <c r="AB233" s="51"/>
      <c r="AC233" s="114" t="e">
        <f>INDEX(Tab_Def_Flows[[Flow_ID]:[CC_DM_source]],MATCH(Tab_Data_Flows[[#This Row],[Name(EN)]],Tab_Def_Flows[Name(EN)],0),16)</f>
        <v>#N/A</v>
      </c>
      <c r="AD233" s="115" t="str">
        <f>IF(J233="Yes",AA233*Tab_Data_Flows[[#This Row],[WC_'[%']]],"N.A.")</f>
        <v>N.A.</v>
      </c>
      <c r="AE233" s="61">
        <f>Tab_Data_Flows[[#This Row],[UoM_Flow_Py]]</f>
        <v>0</v>
      </c>
      <c r="AF233" s="114" t="e">
        <f>INDEX(Tab_Def_Flows[[Flow_ID]:[CC_DM_source]],MATCH(Tab_Data_Flows[[#This Row],[Name(EN)]],Tab_Def_Flows[Name(EN)],0),18)</f>
        <v>#N/A</v>
      </c>
      <c r="AG233" s="115" t="str">
        <f>IF(K233="Yes",AF233*Tab_Data_Flows[[#This Row],[Flow_Py]],"N.A.")</f>
        <v>N.A.</v>
      </c>
      <c r="AH233" s="61">
        <f>Tab_Data_Flows[[#This Row],[UoM_Flow_Py]]</f>
        <v>0</v>
      </c>
      <c r="AI233" s="114" t="e">
        <f>INDEX(Tab_Def_Flows[[Flow_ID]:[CC_DM_source]],MATCH(Tab_Data_Flows[[#This Row],[Name(EN)]],Tab_Def_Flows[Name(EN)],0),20)</f>
        <v>#N/A</v>
      </c>
      <c r="AJ233" s="115" t="str">
        <f>IF(L233="Yes",AI233*Tab_Data_Flows[[#This Row],[Flow_Py]],"N.A.")</f>
        <v>N.A.</v>
      </c>
      <c r="AK233" s="61">
        <f>Tab_Data_Flows[[#This Row],[UoM_Flow_Py]]</f>
        <v>0</v>
      </c>
    </row>
    <row r="234" spans="1:37" x14ac:dyDescent="0.35">
      <c r="A234" s="60">
        <f t="shared" si="7"/>
        <v>233</v>
      </c>
      <c r="B234" s="49" t="str">
        <f>_xlfn.XLOOKUP(C234,Tab_Def_Flows[Name(EN)],Tab_Def_Flows[Flow_ID],,0,)</f>
        <v>F_21_21</v>
      </c>
      <c r="C234" s="51"/>
      <c r="D234" s="49">
        <f>_xlfn.XLOOKUP(C234,Tab_Def_Flows[Name(EN)],Tab_Def_Flows[Type_Biomass],,0,)</f>
        <v>0</v>
      </c>
      <c r="E234" s="49">
        <f>_xlfn.XLOOKUP(C234,Tab_Def_Flows[Name(EN)],Tab_Def_Flows[Output_Process],,0,)</f>
        <v>0</v>
      </c>
      <c r="F234" s="49" t="str">
        <f>_xlfn.XLOOKUP(C234,Tab_Def_Flows[Name(EN)],Tab_Def_Flows[Process_ID_O],,0,)</f>
        <v>21__</v>
      </c>
      <c r="G234" s="49">
        <f>_xlfn.XLOOKUP(C234,Tab_Def_Flows[Name(EN)],Tab_Def_Flows[Input_Process],,0,)</f>
        <v>0</v>
      </c>
      <c r="H234" s="61" t="str">
        <f>_xlfn.XLOOKUP(C234,Tab_Def_Flows[Name(EN)],Tab_Def_Flows[Process_ID_I],,0,)</f>
        <v>21__</v>
      </c>
      <c r="I234" s="49">
        <f>_xlfn.XLOOKUP(C234,Tab_Def_Flows[Name(EN)],Tab_Def_Flows[Value_Source],,0,)</f>
        <v>0</v>
      </c>
      <c r="J234" s="49">
        <f>_xlfn.XLOOKUP(C234,Tab_Def_Flows[Name(EN)],Tab_Def_Flows[WC?],,0,)</f>
        <v>0</v>
      </c>
      <c r="K234" s="49">
        <f>_xlfn.XLOOKUP(C234,Tab_Def_Flows[Name(EN)],Tab_Def_Flows[DM?],,0,)</f>
        <v>0</v>
      </c>
      <c r="L234" s="49">
        <f>_xlfn.XLOOKUP(C234,Tab_Def_Flows[Name(EN)],Tab_Def_Flows[CC?],,0,)</f>
        <v>0</v>
      </c>
      <c r="M234" s="51"/>
      <c r="N234" s="51"/>
      <c r="O234" s="88"/>
      <c r="P234" s="51"/>
      <c r="Q234" s="51"/>
      <c r="R234" s="51"/>
      <c r="S234" s="51"/>
      <c r="T234" s="51"/>
      <c r="U234" s="51"/>
      <c r="V234" s="51"/>
      <c r="W234" s="51"/>
      <c r="X234" s="51"/>
      <c r="Y234" s="51"/>
      <c r="Z234" s="51"/>
      <c r="AA234" s="89">
        <f t="shared" si="8"/>
        <v>0</v>
      </c>
      <c r="AB234" s="51"/>
      <c r="AC234" s="114" t="e">
        <f>INDEX(Tab_Def_Flows[[Flow_ID]:[CC_DM_source]],MATCH(Tab_Data_Flows[[#This Row],[Name(EN)]],Tab_Def_Flows[Name(EN)],0),16)</f>
        <v>#N/A</v>
      </c>
      <c r="AD234" s="115" t="str">
        <f>IF(J234="Yes",AA234*Tab_Data_Flows[[#This Row],[WC_'[%']]],"N.A.")</f>
        <v>N.A.</v>
      </c>
      <c r="AE234" s="61">
        <f>Tab_Data_Flows[[#This Row],[UoM_Flow_Py]]</f>
        <v>0</v>
      </c>
      <c r="AF234" s="114" t="e">
        <f>INDEX(Tab_Def_Flows[[Flow_ID]:[CC_DM_source]],MATCH(Tab_Data_Flows[[#This Row],[Name(EN)]],Tab_Def_Flows[Name(EN)],0),18)</f>
        <v>#N/A</v>
      </c>
      <c r="AG234" s="115" t="str">
        <f>IF(K234="Yes",AF234*Tab_Data_Flows[[#This Row],[Flow_Py]],"N.A.")</f>
        <v>N.A.</v>
      </c>
      <c r="AH234" s="61">
        <f>Tab_Data_Flows[[#This Row],[UoM_Flow_Py]]</f>
        <v>0</v>
      </c>
      <c r="AI234" s="114" t="e">
        <f>INDEX(Tab_Def_Flows[[Flow_ID]:[CC_DM_source]],MATCH(Tab_Data_Flows[[#This Row],[Name(EN)]],Tab_Def_Flows[Name(EN)],0),20)</f>
        <v>#N/A</v>
      </c>
      <c r="AJ234" s="115" t="str">
        <f>IF(L234="Yes",AI234*Tab_Data_Flows[[#This Row],[Flow_Py]],"N.A.")</f>
        <v>N.A.</v>
      </c>
      <c r="AK234" s="61">
        <f>Tab_Data_Flows[[#This Row],[UoM_Flow_Py]]</f>
        <v>0</v>
      </c>
    </row>
    <row r="235" spans="1:37" x14ac:dyDescent="0.35">
      <c r="A235" s="60">
        <f t="shared" si="7"/>
        <v>234</v>
      </c>
      <c r="B235" s="49" t="str">
        <f>_xlfn.XLOOKUP(C235,Tab_Def_Flows[Name(EN)],Tab_Def_Flows[Flow_ID],,0,)</f>
        <v>F_21_21</v>
      </c>
      <c r="C235" s="51"/>
      <c r="D235" s="49">
        <f>_xlfn.XLOOKUP(C235,Tab_Def_Flows[Name(EN)],Tab_Def_Flows[Type_Biomass],,0,)</f>
        <v>0</v>
      </c>
      <c r="E235" s="49">
        <f>_xlfn.XLOOKUP(C235,Tab_Def_Flows[Name(EN)],Tab_Def_Flows[Output_Process],,0,)</f>
        <v>0</v>
      </c>
      <c r="F235" s="49" t="str">
        <f>_xlfn.XLOOKUP(C235,Tab_Def_Flows[Name(EN)],Tab_Def_Flows[Process_ID_O],,0,)</f>
        <v>21__</v>
      </c>
      <c r="G235" s="49">
        <f>_xlfn.XLOOKUP(C235,Tab_Def_Flows[Name(EN)],Tab_Def_Flows[Input_Process],,0,)</f>
        <v>0</v>
      </c>
      <c r="H235" s="61" t="str">
        <f>_xlfn.XLOOKUP(C235,Tab_Def_Flows[Name(EN)],Tab_Def_Flows[Process_ID_I],,0,)</f>
        <v>21__</v>
      </c>
      <c r="I235" s="49">
        <f>_xlfn.XLOOKUP(C235,Tab_Def_Flows[Name(EN)],Tab_Def_Flows[Value_Source],,0,)</f>
        <v>0</v>
      </c>
      <c r="J235" s="49">
        <f>_xlfn.XLOOKUP(C235,Tab_Def_Flows[Name(EN)],Tab_Def_Flows[WC?],,0,)</f>
        <v>0</v>
      </c>
      <c r="K235" s="49">
        <f>_xlfn.XLOOKUP(C235,Tab_Def_Flows[Name(EN)],Tab_Def_Flows[DM?],,0,)</f>
        <v>0</v>
      </c>
      <c r="L235" s="49">
        <f>_xlfn.XLOOKUP(C235,Tab_Def_Flows[Name(EN)],Tab_Def_Flows[CC?],,0,)</f>
        <v>0</v>
      </c>
      <c r="M235" s="51"/>
      <c r="N235" s="51"/>
      <c r="O235" s="88"/>
      <c r="P235" s="51"/>
      <c r="Q235" s="51"/>
      <c r="R235" s="51"/>
      <c r="S235" s="51"/>
      <c r="T235" s="51"/>
      <c r="U235" s="51"/>
      <c r="V235" s="51"/>
      <c r="W235" s="51"/>
      <c r="X235" s="51"/>
      <c r="Y235" s="51"/>
      <c r="Z235" s="51"/>
      <c r="AA235" s="89">
        <f t="shared" si="8"/>
        <v>0</v>
      </c>
      <c r="AB235" s="51"/>
      <c r="AC235" s="114" t="e">
        <f>INDEX(Tab_Def_Flows[[Flow_ID]:[CC_DM_source]],MATCH(Tab_Data_Flows[[#This Row],[Name(EN)]],Tab_Def_Flows[Name(EN)],0),16)</f>
        <v>#N/A</v>
      </c>
      <c r="AD235" s="115" t="str">
        <f>IF(J235="Yes",AA235*Tab_Data_Flows[[#This Row],[WC_'[%']]],"N.A.")</f>
        <v>N.A.</v>
      </c>
      <c r="AE235" s="61">
        <f>Tab_Data_Flows[[#This Row],[UoM_Flow_Py]]</f>
        <v>0</v>
      </c>
      <c r="AF235" s="114" t="e">
        <f>INDEX(Tab_Def_Flows[[Flow_ID]:[CC_DM_source]],MATCH(Tab_Data_Flows[[#This Row],[Name(EN)]],Tab_Def_Flows[Name(EN)],0),18)</f>
        <v>#N/A</v>
      </c>
      <c r="AG235" s="115" t="str">
        <f>IF(K235="Yes",AF235*Tab_Data_Flows[[#This Row],[Flow_Py]],"N.A.")</f>
        <v>N.A.</v>
      </c>
      <c r="AH235" s="61">
        <f>Tab_Data_Flows[[#This Row],[UoM_Flow_Py]]</f>
        <v>0</v>
      </c>
      <c r="AI235" s="114" t="e">
        <f>INDEX(Tab_Def_Flows[[Flow_ID]:[CC_DM_source]],MATCH(Tab_Data_Flows[[#This Row],[Name(EN)]],Tab_Def_Flows[Name(EN)],0),20)</f>
        <v>#N/A</v>
      </c>
      <c r="AJ235" s="115" t="str">
        <f>IF(L235="Yes",AI235*Tab_Data_Flows[[#This Row],[Flow_Py]],"N.A.")</f>
        <v>N.A.</v>
      </c>
      <c r="AK235" s="61">
        <f>Tab_Data_Flows[[#This Row],[UoM_Flow_Py]]</f>
        <v>0</v>
      </c>
    </row>
    <row r="236" spans="1:37" x14ac:dyDescent="0.35">
      <c r="A236" s="60">
        <f t="shared" si="7"/>
        <v>235</v>
      </c>
      <c r="B236" s="49" t="str">
        <f>_xlfn.XLOOKUP(C236,Tab_Def_Flows[Name(EN)],Tab_Def_Flows[Flow_ID],,0,)</f>
        <v>F_21_21</v>
      </c>
      <c r="C236" s="51"/>
      <c r="D236" s="49">
        <f>_xlfn.XLOOKUP(C236,Tab_Def_Flows[Name(EN)],Tab_Def_Flows[Type_Biomass],,0,)</f>
        <v>0</v>
      </c>
      <c r="E236" s="49">
        <f>_xlfn.XLOOKUP(C236,Tab_Def_Flows[Name(EN)],Tab_Def_Flows[Output_Process],,0,)</f>
        <v>0</v>
      </c>
      <c r="F236" s="49" t="str">
        <f>_xlfn.XLOOKUP(C236,Tab_Def_Flows[Name(EN)],Tab_Def_Flows[Process_ID_O],,0,)</f>
        <v>21__</v>
      </c>
      <c r="G236" s="49">
        <f>_xlfn.XLOOKUP(C236,Tab_Def_Flows[Name(EN)],Tab_Def_Flows[Input_Process],,0,)</f>
        <v>0</v>
      </c>
      <c r="H236" s="61" t="str">
        <f>_xlfn.XLOOKUP(C236,Tab_Def_Flows[Name(EN)],Tab_Def_Flows[Process_ID_I],,0,)</f>
        <v>21__</v>
      </c>
      <c r="I236" s="49">
        <f>_xlfn.XLOOKUP(C236,Tab_Def_Flows[Name(EN)],Tab_Def_Flows[Value_Source],,0,)</f>
        <v>0</v>
      </c>
      <c r="J236" s="49">
        <f>_xlfn.XLOOKUP(C236,Tab_Def_Flows[Name(EN)],Tab_Def_Flows[WC?],,0,)</f>
        <v>0</v>
      </c>
      <c r="K236" s="49">
        <f>_xlfn.XLOOKUP(C236,Tab_Def_Flows[Name(EN)],Tab_Def_Flows[DM?],,0,)</f>
        <v>0</v>
      </c>
      <c r="L236" s="49">
        <f>_xlfn.XLOOKUP(C236,Tab_Def_Flows[Name(EN)],Tab_Def_Flows[CC?],,0,)</f>
        <v>0</v>
      </c>
      <c r="M236" s="51"/>
      <c r="N236" s="51"/>
      <c r="O236" s="88"/>
      <c r="P236" s="51"/>
      <c r="Q236" s="51"/>
      <c r="R236" s="51"/>
      <c r="S236" s="51"/>
      <c r="T236" s="51"/>
      <c r="U236" s="51"/>
      <c r="V236" s="51"/>
      <c r="W236" s="51"/>
      <c r="X236" s="51"/>
      <c r="Y236" s="51"/>
      <c r="Z236" s="51"/>
      <c r="AA236" s="89">
        <f t="shared" si="8"/>
        <v>0</v>
      </c>
      <c r="AB236" s="51"/>
      <c r="AC236" s="114" t="e">
        <f>INDEX(Tab_Def_Flows[[Flow_ID]:[CC_DM_source]],MATCH(Tab_Data_Flows[[#This Row],[Name(EN)]],Tab_Def_Flows[Name(EN)],0),16)</f>
        <v>#N/A</v>
      </c>
      <c r="AD236" s="115" t="str">
        <f>IF(J236="Yes",AA236*Tab_Data_Flows[[#This Row],[WC_'[%']]],"N.A.")</f>
        <v>N.A.</v>
      </c>
      <c r="AE236" s="61">
        <f>Tab_Data_Flows[[#This Row],[UoM_Flow_Py]]</f>
        <v>0</v>
      </c>
      <c r="AF236" s="114" t="e">
        <f>INDEX(Tab_Def_Flows[[Flow_ID]:[CC_DM_source]],MATCH(Tab_Data_Flows[[#This Row],[Name(EN)]],Tab_Def_Flows[Name(EN)],0),18)</f>
        <v>#N/A</v>
      </c>
      <c r="AG236" s="115" t="str">
        <f>IF(K236="Yes",AF236*Tab_Data_Flows[[#This Row],[Flow_Py]],"N.A.")</f>
        <v>N.A.</v>
      </c>
      <c r="AH236" s="61">
        <f>Tab_Data_Flows[[#This Row],[UoM_Flow_Py]]</f>
        <v>0</v>
      </c>
      <c r="AI236" s="114" t="e">
        <f>INDEX(Tab_Def_Flows[[Flow_ID]:[CC_DM_source]],MATCH(Tab_Data_Flows[[#This Row],[Name(EN)]],Tab_Def_Flows[Name(EN)],0),20)</f>
        <v>#N/A</v>
      </c>
      <c r="AJ236" s="115" t="str">
        <f>IF(L236="Yes",AI236*Tab_Data_Flows[[#This Row],[Flow_Py]],"N.A.")</f>
        <v>N.A.</v>
      </c>
      <c r="AK236" s="61">
        <f>Tab_Data_Flows[[#This Row],[UoM_Flow_Py]]</f>
        <v>0</v>
      </c>
    </row>
    <row r="237" spans="1:37" x14ac:dyDescent="0.35">
      <c r="A237" s="60">
        <f t="shared" si="7"/>
        <v>236</v>
      </c>
      <c r="B237" s="49" t="str">
        <f>_xlfn.XLOOKUP(C237,Tab_Def_Flows[Name(EN)],Tab_Def_Flows[Flow_ID],,0,)</f>
        <v>F_21_21</v>
      </c>
      <c r="C237" s="51"/>
      <c r="D237" s="49">
        <f>_xlfn.XLOOKUP(C237,Tab_Def_Flows[Name(EN)],Tab_Def_Flows[Type_Biomass],,0,)</f>
        <v>0</v>
      </c>
      <c r="E237" s="49">
        <f>_xlfn.XLOOKUP(C237,Tab_Def_Flows[Name(EN)],Tab_Def_Flows[Output_Process],,0,)</f>
        <v>0</v>
      </c>
      <c r="F237" s="49" t="str">
        <f>_xlfn.XLOOKUP(C237,Tab_Def_Flows[Name(EN)],Tab_Def_Flows[Process_ID_O],,0,)</f>
        <v>21__</v>
      </c>
      <c r="G237" s="49">
        <f>_xlfn.XLOOKUP(C237,Tab_Def_Flows[Name(EN)],Tab_Def_Flows[Input_Process],,0,)</f>
        <v>0</v>
      </c>
      <c r="H237" s="61" t="str">
        <f>_xlfn.XLOOKUP(C237,Tab_Def_Flows[Name(EN)],Tab_Def_Flows[Process_ID_I],,0,)</f>
        <v>21__</v>
      </c>
      <c r="I237" s="49">
        <f>_xlfn.XLOOKUP(C237,Tab_Def_Flows[Name(EN)],Tab_Def_Flows[Value_Source],,0,)</f>
        <v>0</v>
      </c>
      <c r="J237" s="49">
        <f>_xlfn.XLOOKUP(C237,Tab_Def_Flows[Name(EN)],Tab_Def_Flows[WC?],,0,)</f>
        <v>0</v>
      </c>
      <c r="K237" s="49">
        <f>_xlfn.XLOOKUP(C237,Tab_Def_Flows[Name(EN)],Tab_Def_Flows[DM?],,0,)</f>
        <v>0</v>
      </c>
      <c r="L237" s="49">
        <f>_xlfn.XLOOKUP(C237,Tab_Def_Flows[Name(EN)],Tab_Def_Flows[CC?],,0,)</f>
        <v>0</v>
      </c>
      <c r="M237" s="51"/>
      <c r="N237" s="51"/>
      <c r="O237" s="88"/>
      <c r="P237" s="51"/>
      <c r="Q237" s="51"/>
      <c r="R237" s="51"/>
      <c r="S237" s="51"/>
      <c r="T237" s="51"/>
      <c r="U237" s="51"/>
      <c r="V237" s="51"/>
      <c r="W237" s="51"/>
      <c r="X237" s="51"/>
      <c r="Y237" s="51"/>
      <c r="Z237" s="51"/>
      <c r="AA237" s="89">
        <f t="shared" si="8"/>
        <v>0</v>
      </c>
      <c r="AB237" s="51"/>
      <c r="AC237" s="114" t="e">
        <f>INDEX(Tab_Def_Flows[[Flow_ID]:[CC_DM_source]],MATCH(Tab_Data_Flows[[#This Row],[Name(EN)]],Tab_Def_Flows[Name(EN)],0),16)</f>
        <v>#N/A</v>
      </c>
      <c r="AD237" s="115" t="str">
        <f>IF(J237="Yes",AA237*Tab_Data_Flows[[#This Row],[WC_'[%']]],"N.A.")</f>
        <v>N.A.</v>
      </c>
      <c r="AE237" s="61">
        <f>Tab_Data_Flows[[#This Row],[UoM_Flow_Py]]</f>
        <v>0</v>
      </c>
      <c r="AF237" s="114" t="e">
        <f>INDEX(Tab_Def_Flows[[Flow_ID]:[CC_DM_source]],MATCH(Tab_Data_Flows[[#This Row],[Name(EN)]],Tab_Def_Flows[Name(EN)],0),18)</f>
        <v>#N/A</v>
      </c>
      <c r="AG237" s="115" t="str">
        <f>IF(K237="Yes",AF237*Tab_Data_Flows[[#This Row],[Flow_Py]],"N.A.")</f>
        <v>N.A.</v>
      </c>
      <c r="AH237" s="61">
        <f>Tab_Data_Flows[[#This Row],[UoM_Flow_Py]]</f>
        <v>0</v>
      </c>
      <c r="AI237" s="114" t="e">
        <f>INDEX(Tab_Def_Flows[[Flow_ID]:[CC_DM_source]],MATCH(Tab_Data_Flows[[#This Row],[Name(EN)]],Tab_Def_Flows[Name(EN)],0),20)</f>
        <v>#N/A</v>
      </c>
      <c r="AJ237" s="115" t="str">
        <f>IF(L237="Yes",AI237*Tab_Data_Flows[[#This Row],[Flow_Py]],"N.A.")</f>
        <v>N.A.</v>
      </c>
      <c r="AK237" s="61">
        <f>Tab_Data_Flows[[#This Row],[UoM_Flow_Py]]</f>
        <v>0</v>
      </c>
    </row>
    <row r="238" spans="1:37" x14ac:dyDescent="0.35">
      <c r="A238" s="60">
        <f t="shared" si="7"/>
        <v>237</v>
      </c>
      <c r="B238" s="49" t="str">
        <f>_xlfn.XLOOKUP(C238,Tab_Def_Flows[Name(EN)],Tab_Def_Flows[Flow_ID],,0,)</f>
        <v>F_21_21</v>
      </c>
      <c r="C238" s="51"/>
      <c r="D238" s="49">
        <f>_xlfn.XLOOKUP(C238,Tab_Def_Flows[Name(EN)],Tab_Def_Flows[Type_Biomass],,0,)</f>
        <v>0</v>
      </c>
      <c r="E238" s="49">
        <f>_xlfn.XLOOKUP(C238,Tab_Def_Flows[Name(EN)],Tab_Def_Flows[Output_Process],,0,)</f>
        <v>0</v>
      </c>
      <c r="F238" s="49" t="str">
        <f>_xlfn.XLOOKUP(C238,Tab_Def_Flows[Name(EN)],Tab_Def_Flows[Process_ID_O],,0,)</f>
        <v>21__</v>
      </c>
      <c r="G238" s="49">
        <f>_xlfn.XLOOKUP(C238,Tab_Def_Flows[Name(EN)],Tab_Def_Flows[Input_Process],,0,)</f>
        <v>0</v>
      </c>
      <c r="H238" s="61" t="str">
        <f>_xlfn.XLOOKUP(C238,Tab_Def_Flows[Name(EN)],Tab_Def_Flows[Process_ID_I],,0,)</f>
        <v>21__</v>
      </c>
      <c r="I238" s="49">
        <f>_xlfn.XLOOKUP(C238,Tab_Def_Flows[Name(EN)],Tab_Def_Flows[Value_Source],,0,)</f>
        <v>0</v>
      </c>
      <c r="J238" s="49">
        <f>_xlfn.XLOOKUP(C238,Tab_Def_Flows[Name(EN)],Tab_Def_Flows[WC?],,0,)</f>
        <v>0</v>
      </c>
      <c r="K238" s="49">
        <f>_xlfn.XLOOKUP(C238,Tab_Def_Flows[Name(EN)],Tab_Def_Flows[DM?],,0,)</f>
        <v>0</v>
      </c>
      <c r="L238" s="49">
        <f>_xlfn.XLOOKUP(C238,Tab_Def_Flows[Name(EN)],Tab_Def_Flows[CC?],,0,)</f>
        <v>0</v>
      </c>
      <c r="M238" s="51"/>
      <c r="N238" s="51"/>
      <c r="O238" s="88"/>
      <c r="P238" s="51"/>
      <c r="Q238" s="51"/>
      <c r="R238" s="51"/>
      <c r="S238" s="51"/>
      <c r="T238" s="51"/>
      <c r="U238" s="51"/>
      <c r="V238" s="51"/>
      <c r="W238" s="51"/>
      <c r="X238" s="51"/>
      <c r="Y238" s="51"/>
      <c r="Z238" s="51"/>
      <c r="AA238" s="89">
        <f t="shared" si="8"/>
        <v>0</v>
      </c>
      <c r="AB238" s="51"/>
      <c r="AC238" s="114" t="e">
        <f>INDEX(Tab_Def_Flows[[Flow_ID]:[CC_DM_source]],MATCH(Tab_Data_Flows[[#This Row],[Name(EN)]],Tab_Def_Flows[Name(EN)],0),16)</f>
        <v>#N/A</v>
      </c>
      <c r="AD238" s="115" t="str">
        <f>IF(J238="Yes",AA238*Tab_Data_Flows[[#This Row],[WC_'[%']]],"N.A.")</f>
        <v>N.A.</v>
      </c>
      <c r="AE238" s="61">
        <f>Tab_Data_Flows[[#This Row],[UoM_Flow_Py]]</f>
        <v>0</v>
      </c>
      <c r="AF238" s="114" t="e">
        <f>INDEX(Tab_Def_Flows[[Flow_ID]:[CC_DM_source]],MATCH(Tab_Data_Flows[[#This Row],[Name(EN)]],Tab_Def_Flows[Name(EN)],0),18)</f>
        <v>#N/A</v>
      </c>
      <c r="AG238" s="115" t="str">
        <f>IF(K238="Yes",AF238*Tab_Data_Flows[[#This Row],[Flow_Py]],"N.A.")</f>
        <v>N.A.</v>
      </c>
      <c r="AH238" s="61">
        <f>Tab_Data_Flows[[#This Row],[UoM_Flow_Py]]</f>
        <v>0</v>
      </c>
      <c r="AI238" s="114" t="e">
        <f>INDEX(Tab_Def_Flows[[Flow_ID]:[CC_DM_source]],MATCH(Tab_Data_Flows[[#This Row],[Name(EN)]],Tab_Def_Flows[Name(EN)],0),20)</f>
        <v>#N/A</v>
      </c>
      <c r="AJ238" s="115" t="str">
        <f>IF(L238="Yes",AI238*Tab_Data_Flows[[#This Row],[Flow_Py]],"N.A.")</f>
        <v>N.A.</v>
      </c>
      <c r="AK238" s="61">
        <f>Tab_Data_Flows[[#This Row],[UoM_Flow_Py]]</f>
        <v>0</v>
      </c>
    </row>
    <row r="239" spans="1:37" x14ac:dyDescent="0.35">
      <c r="A239" s="60">
        <f t="shared" si="7"/>
        <v>238</v>
      </c>
      <c r="B239" s="49" t="str">
        <f>_xlfn.XLOOKUP(C239,Tab_Def_Flows[Name(EN)],Tab_Def_Flows[Flow_ID],,0,)</f>
        <v>F_21_21</v>
      </c>
      <c r="C239" s="51"/>
      <c r="D239" s="49">
        <f>_xlfn.XLOOKUP(C239,Tab_Def_Flows[Name(EN)],Tab_Def_Flows[Type_Biomass],,0,)</f>
        <v>0</v>
      </c>
      <c r="E239" s="49">
        <f>_xlfn.XLOOKUP(C239,Tab_Def_Flows[Name(EN)],Tab_Def_Flows[Output_Process],,0,)</f>
        <v>0</v>
      </c>
      <c r="F239" s="49" t="str">
        <f>_xlfn.XLOOKUP(C239,Tab_Def_Flows[Name(EN)],Tab_Def_Flows[Process_ID_O],,0,)</f>
        <v>21__</v>
      </c>
      <c r="G239" s="49">
        <f>_xlfn.XLOOKUP(C239,Tab_Def_Flows[Name(EN)],Tab_Def_Flows[Input_Process],,0,)</f>
        <v>0</v>
      </c>
      <c r="H239" s="61" t="str">
        <f>_xlfn.XLOOKUP(C239,Tab_Def_Flows[Name(EN)],Tab_Def_Flows[Process_ID_I],,0,)</f>
        <v>21__</v>
      </c>
      <c r="I239" s="49">
        <f>_xlfn.XLOOKUP(C239,Tab_Def_Flows[Name(EN)],Tab_Def_Flows[Value_Source],,0,)</f>
        <v>0</v>
      </c>
      <c r="J239" s="49">
        <f>_xlfn.XLOOKUP(C239,Tab_Def_Flows[Name(EN)],Tab_Def_Flows[WC?],,0,)</f>
        <v>0</v>
      </c>
      <c r="K239" s="49">
        <f>_xlfn.XLOOKUP(C239,Tab_Def_Flows[Name(EN)],Tab_Def_Flows[DM?],,0,)</f>
        <v>0</v>
      </c>
      <c r="L239" s="49">
        <f>_xlfn.XLOOKUP(C239,Tab_Def_Flows[Name(EN)],Tab_Def_Flows[CC?],,0,)</f>
        <v>0</v>
      </c>
      <c r="M239" s="51"/>
      <c r="N239" s="51"/>
      <c r="O239" s="88"/>
      <c r="P239" s="51"/>
      <c r="Q239" s="51"/>
      <c r="R239" s="51"/>
      <c r="S239" s="51"/>
      <c r="T239" s="51"/>
      <c r="U239" s="51"/>
      <c r="V239" s="51"/>
      <c r="W239" s="51"/>
      <c r="X239" s="51"/>
      <c r="Y239" s="51"/>
      <c r="Z239" s="51"/>
      <c r="AA239" s="89">
        <f t="shared" si="8"/>
        <v>0</v>
      </c>
      <c r="AB239" s="51"/>
      <c r="AC239" s="114" t="e">
        <f>INDEX(Tab_Def_Flows[[Flow_ID]:[CC_DM_source]],MATCH(Tab_Data_Flows[[#This Row],[Name(EN)]],Tab_Def_Flows[Name(EN)],0),16)</f>
        <v>#N/A</v>
      </c>
      <c r="AD239" s="115" t="str">
        <f>IF(J239="Yes",AA239*Tab_Data_Flows[[#This Row],[WC_'[%']]],"N.A.")</f>
        <v>N.A.</v>
      </c>
      <c r="AE239" s="61">
        <f>Tab_Data_Flows[[#This Row],[UoM_Flow_Py]]</f>
        <v>0</v>
      </c>
      <c r="AF239" s="114" t="e">
        <f>INDEX(Tab_Def_Flows[[Flow_ID]:[CC_DM_source]],MATCH(Tab_Data_Flows[[#This Row],[Name(EN)]],Tab_Def_Flows[Name(EN)],0),18)</f>
        <v>#N/A</v>
      </c>
      <c r="AG239" s="115" t="str">
        <f>IF(K239="Yes",AF239*Tab_Data_Flows[[#This Row],[Flow_Py]],"N.A.")</f>
        <v>N.A.</v>
      </c>
      <c r="AH239" s="61">
        <f>Tab_Data_Flows[[#This Row],[UoM_Flow_Py]]</f>
        <v>0</v>
      </c>
      <c r="AI239" s="114" t="e">
        <f>INDEX(Tab_Def_Flows[[Flow_ID]:[CC_DM_source]],MATCH(Tab_Data_Flows[[#This Row],[Name(EN)]],Tab_Def_Flows[Name(EN)],0),20)</f>
        <v>#N/A</v>
      </c>
      <c r="AJ239" s="115" t="str">
        <f>IF(L239="Yes",AI239*Tab_Data_Flows[[#This Row],[Flow_Py]],"N.A.")</f>
        <v>N.A.</v>
      </c>
      <c r="AK239" s="61">
        <f>Tab_Data_Flows[[#This Row],[UoM_Flow_Py]]</f>
        <v>0</v>
      </c>
    </row>
    <row r="240" spans="1:37" x14ac:dyDescent="0.35">
      <c r="A240" s="60">
        <f t="shared" si="7"/>
        <v>239</v>
      </c>
      <c r="B240" s="49" t="str">
        <f>_xlfn.XLOOKUP(C240,Tab_Def_Flows[Name(EN)],Tab_Def_Flows[Flow_ID],,0,)</f>
        <v>F_21_21</v>
      </c>
      <c r="C240" s="51"/>
      <c r="D240" s="49">
        <f>_xlfn.XLOOKUP(C240,Tab_Def_Flows[Name(EN)],Tab_Def_Flows[Type_Biomass],,0,)</f>
        <v>0</v>
      </c>
      <c r="E240" s="49">
        <f>_xlfn.XLOOKUP(C240,Tab_Def_Flows[Name(EN)],Tab_Def_Flows[Output_Process],,0,)</f>
        <v>0</v>
      </c>
      <c r="F240" s="49" t="str">
        <f>_xlfn.XLOOKUP(C240,Tab_Def_Flows[Name(EN)],Tab_Def_Flows[Process_ID_O],,0,)</f>
        <v>21__</v>
      </c>
      <c r="G240" s="49">
        <f>_xlfn.XLOOKUP(C240,Tab_Def_Flows[Name(EN)],Tab_Def_Flows[Input_Process],,0,)</f>
        <v>0</v>
      </c>
      <c r="H240" s="61" t="str">
        <f>_xlfn.XLOOKUP(C240,Tab_Def_Flows[Name(EN)],Tab_Def_Flows[Process_ID_I],,0,)</f>
        <v>21__</v>
      </c>
      <c r="I240" s="49">
        <f>_xlfn.XLOOKUP(C240,Tab_Def_Flows[Name(EN)],Tab_Def_Flows[Value_Source],,0,)</f>
        <v>0</v>
      </c>
      <c r="J240" s="49">
        <f>_xlfn.XLOOKUP(C240,Tab_Def_Flows[Name(EN)],Tab_Def_Flows[WC?],,0,)</f>
        <v>0</v>
      </c>
      <c r="K240" s="49">
        <f>_xlfn.XLOOKUP(C240,Tab_Def_Flows[Name(EN)],Tab_Def_Flows[DM?],,0,)</f>
        <v>0</v>
      </c>
      <c r="L240" s="49">
        <f>_xlfn.XLOOKUP(C240,Tab_Def_Flows[Name(EN)],Tab_Def_Flows[CC?],,0,)</f>
        <v>0</v>
      </c>
      <c r="M240" s="51"/>
      <c r="N240" s="51"/>
      <c r="O240" s="88"/>
      <c r="P240" s="51"/>
      <c r="Q240" s="51"/>
      <c r="R240" s="51"/>
      <c r="S240" s="51"/>
      <c r="T240" s="51"/>
      <c r="U240" s="51"/>
      <c r="V240" s="51"/>
      <c r="W240" s="51"/>
      <c r="X240" s="51"/>
      <c r="Y240" s="51"/>
      <c r="Z240" s="51"/>
      <c r="AA240" s="89">
        <f t="shared" si="8"/>
        <v>0</v>
      </c>
      <c r="AB240" s="51"/>
      <c r="AC240" s="114" t="e">
        <f>INDEX(Tab_Def_Flows[[Flow_ID]:[CC_DM_source]],MATCH(Tab_Data_Flows[[#This Row],[Name(EN)]],Tab_Def_Flows[Name(EN)],0),16)</f>
        <v>#N/A</v>
      </c>
      <c r="AD240" s="115" t="str">
        <f>IF(J240="Yes",AA240*Tab_Data_Flows[[#This Row],[WC_'[%']]],"N.A.")</f>
        <v>N.A.</v>
      </c>
      <c r="AE240" s="61">
        <f>Tab_Data_Flows[[#This Row],[UoM_Flow_Py]]</f>
        <v>0</v>
      </c>
      <c r="AF240" s="114" t="e">
        <f>INDEX(Tab_Def_Flows[[Flow_ID]:[CC_DM_source]],MATCH(Tab_Data_Flows[[#This Row],[Name(EN)]],Tab_Def_Flows[Name(EN)],0),18)</f>
        <v>#N/A</v>
      </c>
      <c r="AG240" s="115" t="str">
        <f>IF(K240="Yes",AF240*Tab_Data_Flows[[#This Row],[Flow_Py]],"N.A.")</f>
        <v>N.A.</v>
      </c>
      <c r="AH240" s="61">
        <f>Tab_Data_Flows[[#This Row],[UoM_Flow_Py]]</f>
        <v>0</v>
      </c>
      <c r="AI240" s="114" t="e">
        <f>INDEX(Tab_Def_Flows[[Flow_ID]:[CC_DM_source]],MATCH(Tab_Data_Flows[[#This Row],[Name(EN)]],Tab_Def_Flows[Name(EN)],0),20)</f>
        <v>#N/A</v>
      </c>
      <c r="AJ240" s="115" t="str">
        <f>IF(L240="Yes",AI240*Tab_Data_Flows[[#This Row],[Flow_Py]],"N.A.")</f>
        <v>N.A.</v>
      </c>
      <c r="AK240" s="61">
        <f>Tab_Data_Flows[[#This Row],[UoM_Flow_Py]]</f>
        <v>0</v>
      </c>
    </row>
    <row r="241" spans="1:37" x14ac:dyDescent="0.35">
      <c r="A241" s="60">
        <f t="shared" si="7"/>
        <v>240</v>
      </c>
      <c r="B241" s="49" t="str">
        <f>_xlfn.XLOOKUP(C241,Tab_Def_Flows[Name(EN)],Tab_Def_Flows[Flow_ID],,0,)</f>
        <v>F_21_21</v>
      </c>
      <c r="C241" s="51"/>
      <c r="D241" s="49">
        <f>_xlfn.XLOOKUP(C241,Tab_Def_Flows[Name(EN)],Tab_Def_Flows[Type_Biomass],,0,)</f>
        <v>0</v>
      </c>
      <c r="E241" s="49">
        <f>_xlfn.XLOOKUP(C241,Tab_Def_Flows[Name(EN)],Tab_Def_Flows[Output_Process],,0,)</f>
        <v>0</v>
      </c>
      <c r="F241" s="49" t="str">
        <f>_xlfn.XLOOKUP(C241,Tab_Def_Flows[Name(EN)],Tab_Def_Flows[Process_ID_O],,0,)</f>
        <v>21__</v>
      </c>
      <c r="G241" s="49">
        <f>_xlfn.XLOOKUP(C241,Tab_Def_Flows[Name(EN)],Tab_Def_Flows[Input_Process],,0,)</f>
        <v>0</v>
      </c>
      <c r="H241" s="61" t="str">
        <f>_xlfn.XLOOKUP(C241,Tab_Def_Flows[Name(EN)],Tab_Def_Flows[Process_ID_I],,0,)</f>
        <v>21__</v>
      </c>
      <c r="I241" s="49">
        <f>_xlfn.XLOOKUP(C241,Tab_Def_Flows[Name(EN)],Tab_Def_Flows[Value_Source],,0,)</f>
        <v>0</v>
      </c>
      <c r="J241" s="49">
        <f>_xlfn.XLOOKUP(C241,Tab_Def_Flows[Name(EN)],Tab_Def_Flows[WC?],,0,)</f>
        <v>0</v>
      </c>
      <c r="K241" s="49">
        <f>_xlfn.XLOOKUP(C241,Tab_Def_Flows[Name(EN)],Tab_Def_Flows[DM?],,0,)</f>
        <v>0</v>
      </c>
      <c r="L241" s="49">
        <f>_xlfn.XLOOKUP(C241,Tab_Def_Flows[Name(EN)],Tab_Def_Flows[CC?],,0,)</f>
        <v>0</v>
      </c>
      <c r="M241" s="51"/>
      <c r="N241" s="51"/>
      <c r="O241" s="88"/>
      <c r="P241" s="51"/>
      <c r="Q241" s="51"/>
      <c r="R241" s="51"/>
      <c r="S241" s="51"/>
      <c r="T241" s="51"/>
      <c r="U241" s="51"/>
      <c r="V241" s="51"/>
      <c r="W241" s="51"/>
      <c r="X241" s="51"/>
      <c r="Y241" s="51"/>
      <c r="Z241" s="51"/>
      <c r="AA241" s="89">
        <f t="shared" ref="AA241:AA272" si="9">IF(X241="no",O241,O241*Y241)</f>
        <v>0</v>
      </c>
      <c r="AB241" s="51"/>
      <c r="AC241" s="114" t="e">
        <f>INDEX(Tab_Def_Flows[[Flow_ID]:[CC_DM_source]],MATCH(Tab_Data_Flows[[#This Row],[Name(EN)]],Tab_Def_Flows[Name(EN)],0),16)</f>
        <v>#N/A</v>
      </c>
      <c r="AD241" s="115" t="str">
        <f>IF(J241="Yes",AA241*Tab_Data_Flows[[#This Row],[WC_'[%']]],"N.A.")</f>
        <v>N.A.</v>
      </c>
      <c r="AE241" s="61">
        <f>Tab_Data_Flows[[#This Row],[UoM_Flow_Py]]</f>
        <v>0</v>
      </c>
      <c r="AF241" s="114" t="e">
        <f>INDEX(Tab_Def_Flows[[Flow_ID]:[CC_DM_source]],MATCH(Tab_Data_Flows[[#This Row],[Name(EN)]],Tab_Def_Flows[Name(EN)],0),18)</f>
        <v>#N/A</v>
      </c>
      <c r="AG241" s="115" t="str">
        <f>IF(K241="Yes",AF241*Tab_Data_Flows[[#This Row],[Flow_Py]],"N.A.")</f>
        <v>N.A.</v>
      </c>
      <c r="AH241" s="61">
        <f>Tab_Data_Flows[[#This Row],[UoM_Flow_Py]]</f>
        <v>0</v>
      </c>
      <c r="AI241" s="114" t="e">
        <f>INDEX(Tab_Def_Flows[[Flow_ID]:[CC_DM_source]],MATCH(Tab_Data_Flows[[#This Row],[Name(EN)]],Tab_Def_Flows[Name(EN)],0),20)</f>
        <v>#N/A</v>
      </c>
      <c r="AJ241" s="115" t="str">
        <f>IF(L241="Yes",AI241*Tab_Data_Flows[[#This Row],[Flow_Py]],"N.A.")</f>
        <v>N.A.</v>
      </c>
      <c r="AK241" s="61">
        <f>Tab_Data_Flows[[#This Row],[UoM_Flow_Py]]</f>
        <v>0</v>
      </c>
    </row>
    <row r="242" spans="1:37" x14ac:dyDescent="0.35">
      <c r="A242" s="60">
        <f t="shared" si="7"/>
        <v>241</v>
      </c>
      <c r="B242" s="49" t="str">
        <f>_xlfn.XLOOKUP(C242,Tab_Def_Flows[Name(EN)],Tab_Def_Flows[Flow_ID],,0,)</f>
        <v>F_21_21</v>
      </c>
      <c r="C242" s="51"/>
      <c r="D242" s="49">
        <f>_xlfn.XLOOKUP(C242,Tab_Def_Flows[Name(EN)],Tab_Def_Flows[Type_Biomass],,0,)</f>
        <v>0</v>
      </c>
      <c r="E242" s="49">
        <f>_xlfn.XLOOKUP(C242,Tab_Def_Flows[Name(EN)],Tab_Def_Flows[Output_Process],,0,)</f>
        <v>0</v>
      </c>
      <c r="F242" s="49" t="str">
        <f>_xlfn.XLOOKUP(C242,Tab_Def_Flows[Name(EN)],Tab_Def_Flows[Process_ID_O],,0,)</f>
        <v>21__</v>
      </c>
      <c r="G242" s="49">
        <f>_xlfn.XLOOKUP(C242,Tab_Def_Flows[Name(EN)],Tab_Def_Flows[Input_Process],,0,)</f>
        <v>0</v>
      </c>
      <c r="H242" s="61" t="str">
        <f>_xlfn.XLOOKUP(C242,Tab_Def_Flows[Name(EN)],Tab_Def_Flows[Process_ID_I],,0,)</f>
        <v>21__</v>
      </c>
      <c r="I242" s="49">
        <f>_xlfn.XLOOKUP(C242,Tab_Def_Flows[Name(EN)],Tab_Def_Flows[Value_Source],,0,)</f>
        <v>0</v>
      </c>
      <c r="J242" s="49">
        <f>_xlfn.XLOOKUP(C242,Tab_Def_Flows[Name(EN)],Tab_Def_Flows[WC?],,0,)</f>
        <v>0</v>
      </c>
      <c r="K242" s="49">
        <f>_xlfn.XLOOKUP(C242,Tab_Def_Flows[Name(EN)],Tab_Def_Flows[DM?],,0,)</f>
        <v>0</v>
      </c>
      <c r="L242" s="49">
        <f>_xlfn.XLOOKUP(C242,Tab_Def_Flows[Name(EN)],Tab_Def_Flows[CC?],,0,)</f>
        <v>0</v>
      </c>
      <c r="M242" s="51"/>
      <c r="N242" s="51"/>
      <c r="O242" s="88"/>
      <c r="P242" s="51"/>
      <c r="Q242" s="51"/>
      <c r="R242" s="51"/>
      <c r="S242" s="51"/>
      <c r="T242" s="51"/>
      <c r="U242" s="51"/>
      <c r="V242" s="51"/>
      <c r="W242" s="51"/>
      <c r="X242" s="51"/>
      <c r="Y242" s="51"/>
      <c r="Z242" s="51"/>
      <c r="AA242" s="89">
        <f t="shared" si="9"/>
        <v>0</v>
      </c>
      <c r="AB242" s="51"/>
      <c r="AC242" s="114" t="e">
        <f>INDEX(Tab_Def_Flows[[Flow_ID]:[CC_DM_source]],MATCH(Tab_Data_Flows[[#This Row],[Name(EN)]],Tab_Def_Flows[Name(EN)],0),16)</f>
        <v>#N/A</v>
      </c>
      <c r="AD242" s="115" t="str">
        <f>IF(J242="Yes",AA242*Tab_Data_Flows[[#This Row],[WC_'[%']]],"N.A.")</f>
        <v>N.A.</v>
      </c>
      <c r="AE242" s="61">
        <f>Tab_Data_Flows[[#This Row],[UoM_Flow_Py]]</f>
        <v>0</v>
      </c>
      <c r="AF242" s="114" t="e">
        <f>INDEX(Tab_Def_Flows[[Flow_ID]:[CC_DM_source]],MATCH(Tab_Data_Flows[[#This Row],[Name(EN)]],Tab_Def_Flows[Name(EN)],0),18)</f>
        <v>#N/A</v>
      </c>
      <c r="AG242" s="115" t="str">
        <f>IF(K242="Yes",AF242*Tab_Data_Flows[[#This Row],[Flow_Py]],"N.A.")</f>
        <v>N.A.</v>
      </c>
      <c r="AH242" s="61">
        <f>Tab_Data_Flows[[#This Row],[UoM_Flow_Py]]</f>
        <v>0</v>
      </c>
      <c r="AI242" s="114" t="e">
        <f>INDEX(Tab_Def_Flows[[Flow_ID]:[CC_DM_source]],MATCH(Tab_Data_Flows[[#This Row],[Name(EN)]],Tab_Def_Flows[Name(EN)],0),20)</f>
        <v>#N/A</v>
      </c>
      <c r="AJ242" s="115" t="str">
        <f>IF(L242="Yes",AI242*Tab_Data_Flows[[#This Row],[Flow_Py]],"N.A.")</f>
        <v>N.A.</v>
      </c>
      <c r="AK242" s="61">
        <f>Tab_Data_Flows[[#This Row],[UoM_Flow_Py]]</f>
        <v>0</v>
      </c>
    </row>
    <row r="243" spans="1:37" x14ac:dyDescent="0.35">
      <c r="A243" s="60">
        <f t="shared" si="7"/>
        <v>242</v>
      </c>
      <c r="B243" s="49" t="str">
        <f>_xlfn.XLOOKUP(C243,Tab_Def_Flows[Name(EN)],Tab_Def_Flows[Flow_ID],,0,)</f>
        <v>F_21_21</v>
      </c>
      <c r="C243" s="51"/>
      <c r="D243" s="49">
        <f>_xlfn.XLOOKUP(C243,Tab_Def_Flows[Name(EN)],Tab_Def_Flows[Type_Biomass],,0,)</f>
        <v>0</v>
      </c>
      <c r="E243" s="49">
        <f>_xlfn.XLOOKUP(C243,Tab_Def_Flows[Name(EN)],Tab_Def_Flows[Output_Process],,0,)</f>
        <v>0</v>
      </c>
      <c r="F243" s="49" t="str">
        <f>_xlfn.XLOOKUP(C243,Tab_Def_Flows[Name(EN)],Tab_Def_Flows[Process_ID_O],,0,)</f>
        <v>21__</v>
      </c>
      <c r="G243" s="49">
        <f>_xlfn.XLOOKUP(C243,Tab_Def_Flows[Name(EN)],Tab_Def_Flows[Input_Process],,0,)</f>
        <v>0</v>
      </c>
      <c r="H243" s="61" t="str">
        <f>_xlfn.XLOOKUP(C243,Tab_Def_Flows[Name(EN)],Tab_Def_Flows[Process_ID_I],,0,)</f>
        <v>21__</v>
      </c>
      <c r="I243" s="49">
        <f>_xlfn.XLOOKUP(C243,Tab_Def_Flows[Name(EN)],Tab_Def_Flows[Value_Source],,0,)</f>
        <v>0</v>
      </c>
      <c r="J243" s="49">
        <f>_xlfn.XLOOKUP(C243,Tab_Def_Flows[Name(EN)],Tab_Def_Flows[WC?],,0,)</f>
        <v>0</v>
      </c>
      <c r="K243" s="49">
        <f>_xlfn.XLOOKUP(C243,Tab_Def_Flows[Name(EN)],Tab_Def_Flows[DM?],,0,)</f>
        <v>0</v>
      </c>
      <c r="L243" s="49">
        <f>_xlfn.XLOOKUP(C243,Tab_Def_Flows[Name(EN)],Tab_Def_Flows[CC?],,0,)</f>
        <v>0</v>
      </c>
      <c r="M243" s="51"/>
      <c r="N243" s="51"/>
      <c r="O243" s="88"/>
      <c r="P243" s="51"/>
      <c r="Q243" s="51"/>
      <c r="R243" s="51"/>
      <c r="S243" s="51"/>
      <c r="T243" s="51"/>
      <c r="U243" s="51"/>
      <c r="V243" s="51"/>
      <c r="W243" s="51"/>
      <c r="X243" s="51"/>
      <c r="Y243" s="51"/>
      <c r="Z243" s="51"/>
      <c r="AA243" s="89">
        <f t="shared" si="9"/>
        <v>0</v>
      </c>
      <c r="AB243" s="51"/>
      <c r="AC243" s="114" t="e">
        <f>INDEX(Tab_Def_Flows[[Flow_ID]:[CC_DM_source]],MATCH(Tab_Data_Flows[[#This Row],[Name(EN)]],Tab_Def_Flows[Name(EN)],0),16)</f>
        <v>#N/A</v>
      </c>
      <c r="AD243" s="115" t="str">
        <f>IF(J243="Yes",AA243*Tab_Data_Flows[[#This Row],[WC_'[%']]],"N.A.")</f>
        <v>N.A.</v>
      </c>
      <c r="AE243" s="61">
        <f>Tab_Data_Flows[[#This Row],[UoM_Flow_Py]]</f>
        <v>0</v>
      </c>
      <c r="AF243" s="114" t="e">
        <f>INDEX(Tab_Def_Flows[[Flow_ID]:[CC_DM_source]],MATCH(Tab_Data_Flows[[#This Row],[Name(EN)]],Tab_Def_Flows[Name(EN)],0),18)</f>
        <v>#N/A</v>
      </c>
      <c r="AG243" s="115" t="str">
        <f>IF(K243="Yes",AF243*Tab_Data_Flows[[#This Row],[Flow_Py]],"N.A.")</f>
        <v>N.A.</v>
      </c>
      <c r="AH243" s="61">
        <f>Tab_Data_Flows[[#This Row],[UoM_Flow_Py]]</f>
        <v>0</v>
      </c>
      <c r="AI243" s="114" t="e">
        <f>INDEX(Tab_Def_Flows[[Flow_ID]:[CC_DM_source]],MATCH(Tab_Data_Flows[[#This Row],[Name(EN)]],Tab_Def_Flows[Name(EN)],0),20)</f>
        <v>#N/A</v>
      </c>
      <c r="AJ243" s="115" t="str">
        <f>IF(L243="Yes",AI243*Tab_Data_Flows[[#This Row],[Flow_Py]],"N.A.")</f>
        <v>N.A.</v>
      </c>
      <c r="AK243" s="61">
        <f>Tab_Data_Flows[[#This Row],[UoM_Flow_Py]]</f>
        <v>0</v>
      </c>
    </row>
    <row r="244" spans="1:37" x14ac:dyDescent="0.35">
      <c r="A244" s="60">
        <f t="shared" si="7"/>
        <v>243</v>
      </c>
      <c r="B244" s="49" t="str">
        <f>_xlfn.XLOOKUP(C244,Tab_Def_Flows[Name(EN)],Tab_Def_Flows[Flow_ID],,0,)</f>
        <v>F_21_21</v>
      </c>
      <c r="C244" s="51"/>
      <c r="D244" s="49">
        <f>_xlfn.XLOOKUP(C244,Tab_Def_Flows[Name(EN)],Tab_Def_Flows[Type_Biomass],,0,)</f>
        <v>0</v>
      </c>
      <c r="E244" s="49">
        <f>_xlfn.XLOOKUP(C244,Tab_Def_Flows[Name(EN)],Tab_Def_Flows[Output_Process],,0,)</f>
        <v>0</v>
      </c>
      <c r="F244" s="49" t="str">
        <f>_xlfn.XLOOKUP(C244,Tab_Def_Flows[Name(EN)],Tab_Def_Flows[Process_ID_O],,0,)</f>
        <v>21__</v>
      </c>
      <c r="G244" s="49">
        <f>_xlfn.XLOOKUP(C244,Tab_Def_Flows[Name(EN)],Tab_Def_Flows[Input_Process],,0,)</f>
        <v>0</v>
      </c>
      <c r="H244" s="61" t="str">
        <f>_xlfn.XLOOKUP(C244,Tab_Def_Flows[Name(EN)],Tab_Def_Flows[Process_ID_I],,0,)</f>
        <v>21__</v>
      </c>
      <c r="I244" s="49">
        <f>_xlfn.XLOOKUP(C244,Tab_Def_Flows[Name(EN)],Tab_Def_Flows[Value_Source],,0,)</f>
        <v>0</v>
      </c>
      <c r="J244" s="49">
        <f>_xlfn.XLOOKUP(C244,Tab_Def_Flows[Name(EN)],Tab_Def_Flows[WC?],,0,)</f>
        <v>0</v>
      </c>
      <c r="K244" s="49">
        <f>_xlfn.XLOOKUP(C244,Tab_Def_Flows[Name(EN)],Tab_Def_Flows[DM?],,0,)</f>
        <v>0</v>
      </c>
      <c r="L244" s="49">
        <f>_xlfn.XLOOKUP(C244,Tab_Def_Flows[Name(EN)],Tab_Def_Flows[CC?],,0,)</f>
        <v>0</v>
      </c>
      <c r="M244" s="51"/>
      <c r="N244" s="51"/>
      <c r="O244" s="88"/>
      <c r="P244" s="51"/>
      <c r="Q244" s="51"/>
      <c r="R244" s="51"/>
      <c r="S244" s="51"/>
      <c r="T244" s="51"/>
      <c r="U244" s="51"/>
      <c r="V244" s="51"/>
      <c r="W244" s="51"/>
      <c r="X244" s="51"/>
      <c r="Y244" s="51"/>
      <c r="Z244" s="51"/>
      <c r="AA244" s="89">
        <f t="shared" si="9"/>
        <v>0</v>
      </c>
      <c r="AB244" s="51"/>
      <c r="AC244" s="114" t="e">
        <f>INDEX(Tab_Def_Flows[[Flow_ID]:[CC_DM_source]],MATCH(Tab_Data_Flows[[#This Row],[Name(EN)]],Tab_Def_Flows[Name(EN)],0),16)</f>
        <v>#N/A</v>
      </c>
      <c r="AD244" s="115" t="str">
        <f>IF(J244="Yes",AA244*Tab_Data_Flows[[#This Row],[WC_'[%']]],"N.A.")</f>
        <v>N.A.</v>
      </c>
      <c r="AE244" s="61">
        <f>Tab_Data_Flows[[#This Row],[UoM_Flow_Py]]</f>
        <v>0</v>
      </c>
      <c r="AF244" s="114" t="e">
        <f>INDEX(Tab_Def_Flows[[Flow_ID]:[CC_DM_source]],MATCH(Tab_Data_Flows[[#This Row],[Name(EN)]],Tab_Def_Flows[Name(EN)],0),18)</f>
        <v>#N/A</v>
      </c>
      <c r="AG244" s="115" t="str">
        <f>IF(K244="Yes",AF244*Tab_Data_Flows[[#This Row],[Flow_Py]],"N.A.")</f>
        <v>N.A.</v>
      </c>
      <c r="AH244" s="61">
        <f>Tab_Data_Flows[[#This Row],[UoM_Flow_Py]]</f>
        <v>0</v>
      </c>
      <c r="AI244" s="114" t="e">
        <f>INDEX(Tab_Def_Flows[[Flow_ID]:[CC_DM_source]],MATCH(Tab_Data_Flows[[#This Row],[Name(EN)]],Tab_Def_Flows[Name(EN)],0),20)</f>
        <v>#N/A</v>
      </c>
      <c r="AJ244" s="115" t="str">
        <f>IF(L244="Yes",AI244*Tab_Data_Flows[[#This Row],[Flow_Py]],"N.A.")</f>
        <v>N.A.</v>
      </c>
      <c r="AK244" s="61">
        <f>Tab_Data_Flows[[#This Row],[UoM_Flow_Py]]</f>
        <v>0</v>
      </c>
    </row>
    <row r="245" spans="1:37" x14ac:dyDescent="0.35">
      <c r="A245" s="60">
        <f t="shared" si="7"/>
        <v>244</v>
      </c>
      <c r="B245" s="49" t="str">
        <f>_xlfn.XLOOKUP(C245,Tab_Def_Flows[Name(EN)],Tab_Def_Flows[Flow_ID],,0,)</f>
        <v>F_21_21</v>
      </c>
      <c r="C245" s="51"/>
      <c r="D245" s="49">
        <f>_xlfn.XLOOKUP(C245,Tab_Def_Flows[Name(EN)],Tab_Def_Flows[Type_Biomass],,0,)</f>
        <v>0</v>
      </c>
      <c r="E245" s="49">
        <f>_xlfn.XLOOKUP(C245,Tab_Def_Flows[Name(EN)],Tab_Def_Flows[Output_Process],,0,)</f>
        <v>0</v>
      </c>
      <c r="F245" s="49" t="str">
        <f>_xlfn.XLOOKUP(C245,Tab_Def_Flows[Name(EN)],Tab_Def_Flows[Process_ID_O],,0,)</f>
        <v>21__</v>
      </c>
      <c r="G245" s="49">
        <f>_xlfn.XLOOKUP(C245,Tab_Def_Flows[Name(EN)],Tab_Def_Flows[Input_Process],,0,)</f>
        <v>0</v>
      </c>
      <c r="H245" s="61" t="str">
        <f>_xlfn.XLOOKUP(C245,Tab_Def_Flows[Name(EN)],Tab_Def_Flows[Process_ID_I],,0,)</f>
        <v>21__</v>
      </c>
      <c r="I245" s="49">
        <f>_xlfn.XLOOKUP(C245,Tab_Def_Flows[Name(EN)],Tab_Def_Flows[Value_Source],,0,)</f>
        <v>0</v>
      </c>
      <c r="J245" s="49">
        <f>_xlfn.XLOOKUP(C245,Tab_Def_Flows[Name(EN)],Tab_Def_Flows[WC?],,0,)</f>
        <v>0</v>
      </c>
      <c r="K245" s="49">
        <f>_xlfn.XLOOKUP(C245,Tab_Def_Flows[Name(EN)],Tab_Def_Flows[DM?],,0,)</f>
        <v>0</v>
      </c>
      <c r="L245" s="49">
        <f>_xlfn.XLOOKUP(C245,Tab_Def_Flows[Name(EN)],Tab_Def_Flows[CC?],,0,)</f>
        <v>0</v>
      </c>
      <c r="M245" s="51"/>
      <c r="N245" s="51"/>
      <c r="O245" s="88"/>
      <c r="P245" s="51"/>
      <c r="Q245" s="51"/>
      <c r="R245" s="51"/>
      <c r="S245" s="51"/>
      <c r="T245" s="51"/>
      <c r="U245" s="51"/>
      <c r="V245" s="51"/>
      <c r="W245" s="51"/>
      <c r="X245" s="51"/>
      <c r="Y245" s="51"/>
      <c r="Z245" s="51"/>
      <c r="AA245" s="89">
        <f t="shared" si="9"/>
        <v>0</v>
      </c>
      <c r="AB245" s="51"/>
      <c r="AC245" s="114" t="e">
        <f>INDEX(Tab_Def_Flows[[Flow_ID]:[CC_DM_source]],MATCH(Tab_Data_Flows[[#This Row],[Name(EN)]],Tab_Def_Flows[Name(EN)],0),16)</f>
        <v>#N/A</v>
      </c>
      <c r="AD245" s="115" t="str">
        <f>IF(J245="Yes",AA245*Tab_Data_Flows[[#This Row],[WC_'[%']]],"N.A.")</f>
        <v>N.A.</v>
      </c>
      <c r="AE245" s="61">
        <f>Tab_Data_Flows[[#This Row],[UoM_Flow_Py]]</f>
        <v>0</v>
      </c>
      <c r="AF245" s="114" t="e">
        <f>INDEX(Tab_Def_Flows[[Flow_ID]:[CC_DM_source]],MATCH(Tab_Data_Flows[[#This Row],[Name(EN)]],Tab_Def_Flows[Name(EN)],0),18)</f>
        <v>#N/A</v>
      </c>
      <c r="AG245" s="115" t="str">
        <f>IF(K245="Yes",AF245*Tab_Data_Flows[[#This Row],[Flow_Py]],"N.A.")</f>
        <v>N.A.</v>
      </c>
      <c r="AH245" s="61">
        <f>Tab_Data_Flows[[#This Row],[UoM_Flow_Py]]</f>
        <v>0</v>
      </c>
      <c r="AI245" s="114" t="e">
        <f>INDEX(Tab_Def_Flows[[Flow_ID]:[CC_DM_source]],MATCH(Tab_Data_Flows[[#This Row],[Name(EN)]],Tab_Def_Flows[Name(EN)],0),20)</f>
        <v>#N/A</v>
      </c>
      <c r="AJ245" s="115" t="str">
        <f>IF(L245="Yes",AI245*Tab_Data_Flows[[#This Row],[Flow_Py]],"N.A.")</f>
        <v>N.A.</v>
      </c>
      <c r="AK245" s="61">
        <f>Tab_Data_Flows[[#This Row],[UoM_Flow_Py]]</f>
        <v>0</v>
      </c>
    </row>
    <row r="246" spans="1:37" x14ac:dyDescent="0.35">
      <c r="A246" s="60">
        <f t="shared" si="7"/>
        <v>245</v>
      </c>
      <c r="B246" s="49" t="str">
        <f>_xlfn.XLOOKUP(C246,Tab_Def_Flows[Name(EN)],Tab_Def_Flows[Flow_ID],,0,)</f>
        <v>F_21_21</v>
      </c>
      <c r="C246" s="51"/>
      <c r="D246" s="49">
        <f>_xlfn.XLOOKUP(C246,Tab_Def_Flows[Name(EN)],Tab_Def_Flows[Type_Biomass],,0,)</f>
        <v>0</v>
      </c>
      <c r="E246" s="49">
        <f>_xlfn.XLOOKUP(C246,Tab_Def_Flows[Name(EN)],Tab_Def_Flows[Output_Process],,0,)</f>
        <v>0</v>
      </c>
      <c r="F246" s="49" t="str">
        <f>_xlfn.XLOOKUP(C246,Tab_Def_Flows[Name(EN)],Tab_Def_Flows[Process_ID_O],,0,)</f>
        <v>21__</v>
      </c>
      <c r="G246" s="49">
        <f>_xlfn.XLOOKUP(C246,Tab_Def_Flows[Name(EN)],Tab_Def_Flows[Input_Process],,0,)</f>
        <v>0</v>
      </c>
      <c r="H246" s="61" t="str">
        <f>_xlfn.XLOOKUP(C246,Tab_Def_Flows[Name(EN)],Tab_Def_Flows[Process_ID_I],,0,)</f>
        <v>21__</v>
      </c>
      <c r="I246" s="49">
        <f>_xlfn.XLOOKUP(C246,Tab_Def_Flows[Name(EN)],Tab_Def_Flows[Value_Source],,0,)</f>
        <v>0</v>
      </c>
      <c r="J246" s="49">
        <f>_xlfn.XLOOKUP(C246,Tab_Def_Flows[Name(EN)],Tab_Def_Flows[WC?],,0,)</f>
        <v>0</v>
      </c>
      <c r="K246" s="49">
        <f>_xlfn.XLOOKUP(C246,Tab_Def_Flows[Name(EN)],Tab_Def_Flows[DM?],,0,)</f>
        <v>0</v>
      </c>
      <c r="L246" s="49">
        <f>_xlfn.XLOOKUP(C246,Tab_Def_Flows[Name(EN)],Tab_Def_Flows[CC?],,0,)</f>
        <v>0</v>
      </c>
      <c r="M246" s="51"/>
      <c r="N246" s="51"/>
      <c r="O246" s="88"/>
      <c r="P246" s="51"/>
      <c r="Q246" s="51"/>
      <c r="R246" s="51"/>
      <c r="S246" s="51"/>
      <c r="T246" s="51"/>
      <c r="U246" s="51"/>
      <c r="V246" s="51"/>
      <c r="W246" s="51"/>
      <c r="X246" s="51"/>
      <c r="Y246" s="51"/>
      <c r="Z246" s="51"/>
      <c r="AA246" s="89">
        <f t="shared" si="9"/>
        <v>0</v>
      </c>
      <c r="AB246" s="51"/>
      <c r="AC246" s="114" t="e">
        <f>INDEX(Tab_Def_Flows[[Flow_ID]:[CC_DM_source]],MATCH(Tab_Data_Flows[[#This Row],[Name(EN)]],Tab_Def_Flows[Name(EN)],0),16)</f>
        <v>#N/A</v>
      </c>
      <c r="AD246" s="115" t="str">
        <f>IF(J246="Yes",AA246*Tab_Data_Flows[[#This Row],[WC_'[%']]],"N.A.")</f>
        <v>N.A.</v>
      </c>
      <c r="AE246" s="61">
        <f>Tab_Data_Flows[[#This Row],[UoM_Flow_Py]]</f>
        <v>0</v>
      </c>
      <c r="AF246" s="114" t="e">
        <f>INDEX(Tab_Def_Flows[[Flow_ID]:[CC_DM_source]],MATCH(Tab_Data_Flows[[#This Row],[Name(EN)]],Tab_Def_Flows[Name(EN)],0),18)</f>
        <v>#N/A</v>
      </c>
      <c r="AG246" s="115" t="str">
        <f>IF(K246="Yes",AF246*Tab_Data_Flows[[#This Row],[Flow_Py]],"N.A.")</f>
        <v>N.A.</v>
      </c>
      <c r="AH246" s="61">
        <f>Tab_Data_Flows[[#This Row],[UoM_Flow_Py]]</f>
        <v>0</v>
      </c>
      <c r="AI246" s="114" t="e">
        <f>INDEX(Tab_Def_Flows[[Flow_ID]:[CC_DM_source]],MATCH(Tab_Data_Flows[[#This Row],[Name(EN)]],Tab_Def_Flows[Name(EN)],0),20)</f>
        <v>#N/A</v>
      </c>
      <c r="AJ246" s="115" t="str">
        <f>IF(L246="Yes",AI246*Tab_Data_Flows[[#This Row],[Flow_Py]],"N.A.")</f>
        <v>N.A.</v>
      </c>
      <c r="AK246" s="61">
        <f>Tab_Data_Flows[[#This Row],[UoM_Flow_Py]]</f>
        <v>0</v>
      </c>
    </row>
    <row r="247" spans="1:37" x14ac:dyDescent="0.35">
      <c r="A247" s="60">
        <f t="shared" si="7"/>
        <v>246</v>
      </c>
      <c r="B247" s="49" t="str">
        <f>_xlfn.XLOOKUP(C247,Tab_Def_Flows[Name(EN)],Tab_Def_Flows[Flow_ID],,0,)</f>
        <v>F_21_21</v>
      </c>
      <c r="C247" s="51"/>
      <c r="D247" s="49">
        <f>_xlfn.XLOOKUP(C247,Tab_Def_Flows[Name(EN)],Tab_Def_Flows[Type_Biomass],,0,)</f>
        <v>0</v>
      </c>
      <c r="E247" s="49">
        <f>_xlfn.XLOOKUP(C247,Tab_Def_Flows[Name(EN)],Tab_Def_Flows[Output_Process],,0,)</f>
        <v>0</v>
      </c>
      <c r="F247" s="49" t="str">
        <f>_xlfn.XLOOKUP(C247,Tab_Def_Flows[Name(EN)],Tab_Def_Flows[Process_ID_O],,0,)</f>
        <v>21__</v>
      </c>
      <c r="G247" s="49">
        <f>_xlfn.XLOOKUP(C247,Tab_Def_Flows[Name(EN)],Tab_Def_Flows[Input_Process],,0,)</f>
        <v>0</v>
      </c>
      <c r="H247" s="61" t="str">
        <f>_xlfn.XLOOKUP(C247,Tab_Def_Flows[Name(EN)],Tab_Def_Flows[Process_ID_I],,0,)</f>
        <v>21__</v>
      </c>
      <c r="I247" s="49">
        <f>_xlfn.XLOOKUP(C247,Tab_Def_Flows[Name(EN)],Tab_Def_Flows[Value_Source],,0,)</f>
        <v>0</v>
      </c>
      <c r="J247" s="49">
        <f>_xlfn.XLOOKUP(C247,Tab_Def_Flows[Name(EN)],Tab_Def_Flows[WC?],,0,)</f>
        <v>0</v>
      </c>
      <c r="K247" s="49">
        <f>_xlfn.XLOOKUP(C247,Tab_Def_Flows[Name(EN)],Tab_Def_Flows[DM?],,0,)</f>
        <v>0</v>
      </c>
      <c r="L247" s="49">
        <f>_xlfn.XLOOKUP(C247,Tab_Def_Flows[Name(EN)],Tab_Def_Flows[CC?],,0,)</f>
        <v>0</v>
      </c>
      <c r="M247" s="51"/>
      <c r="N247" s="51"/>
      <c r="O247" s="88"/>
      <c r="P247" s="51"/>
      <c r="Q247" s="51"/>
      <c r="R247" s="51"/>
      <c r="S247" s="51"/>
      <c r="T247" s="51"/>
      <c r="U247" s="51"/>
      <c r="V247" s="51"/>
      <c r="W247" s="51"/>
      <c r="X247" s="51"/>
      <c r="Y247" s="51"/>
      <c r="Z247" s="51"/>
      <c r="AA247" s="89">
        <f t="shared" si="9"/>
        <v>0</v>
      </c>
      <c r="AB247" s="51"/>
      <c r="AC247" s="114" t="e">
        <f>INDEX(Tab_Def_Flows[[Flow_ID]:[CC_DM_source]],MATCH(Tab_Data_Flows[[#This Row],[Name(EN)]],Tab_Def_Flows[Name(EN)],0),16)</f>
        <v>#N/A</v>
      </c>
      <c r="AD247" s="115" t="str">
        <f>IF(J247="Yes",AA247*Tab_Data_Flows[[#This Row],[WC_'[%']]],"N.A.")</f>
        <v>N.A.</v>
      </c>
      <c r="AE247" s="61">
        <f>Tab_Data_Flows[[#This Row],[UoM_Flow_Py]]</f>
        <v>0</v>
      </c>
      <c r="AF247" s="114" t="e">
        <f>INDEX(Tab_Def_Flows[[Flow_ID]:[CC_DM_source]],MATCH(Tab_Data_Flows[[#This Row],[Name(EN)]],Tab_Def_Flows[Name(EN)],0),18)</f>
        <v>#N/A</v>
      </c>
      <c r="AG247" s="115" t="str">
        <f>IF(K247="Yes",AF247*Tab_Data_Flows[[#This Row],[Flow_Py]],"N.A.")</f>
        <v>N.A.</v>
      </c>
      <c r="AH247" s="61">
        <f>Tab_Data_Flows[[#This Row],[UoM_Flow_Py]]</f>
        <v>0</v>
      </c>
      <c r="AI247" s="114" t="e">
        <f>INDEX(Tab_Def_Flows[[Flow_ID]:[CC_DM_source]],MATCH(Tab_Data_Flows[[#This Row],[Name(EN)]],Tab_Def_Flows[Name(EN)],0),20)</f>
        <v>#N/A</v>
      </c>
      <c r="AJ247" s="115" t="str">
        <f>IF(L247="Yes",AI247*Tab_Data_Flows[[#This Row],[Flow_Py]],"N.A.")</f>
        <v>N.A.</v>
      </c>
      <c r="AK247" s="61">
        <f>Tab_Data_Flows[[#This Row],[UoM_Flow_Py]]</f>
        <v>0</v>
      </c>
    </row>
    <row r="248" spans="1:37" x14ac:dyDescent="0.35">
      <c r="A248" s="60">
        <f t="shared" si="7"/>
        <v>247</v>
      </c>
      <c r="B248" s="49" t="str">
        <f>_xlfn.XLOOKUP(C248,Tab_Def_Flows[Name(EN)],Tab_Def_Flows[Flow_ID],,0,)</f>
        <v>F_21_21</v>
      </c>
      <c r="C248" s="51"/>
      <c r="D248" s="49">
        <f>_xlfn.XLOOKUP(C248,Tab_Def_Flows[Name(EN)],Tab_Def_Flows[Type_Biomass],,0,)</f>
        <v>0</v>
      </c>
      <c r="E248" s="49">
        <f>_xlfn.XLOOKUP(C248,Tab_Def_Flows[Name(EN)],Tab_Def_Flows[Output_Process],,0,)</f>
        <v>0</v>
      </c>
      <c r="F248" s="49" t="str">
        <f>_xlfn.XLOOKUP(C248,Tab_Def_Flows[Name(EN)],Tab_Def_Flows[Process_ID_O],,0,)</f>
        <v>21__</v>
      </c>
      <c r="G248" s="49">
        <f>_xlfn.XLOOKUP(C248,Tab_Def_Flows[Name(EN)],Tab_Def_Flows[Input_Process],,0,)</f>
        <v>0</v>
      </c>
      <c r="H248" s="61" t="str">
        <f>_xlfn.XLOOKUP(C248,Tab_Def_Flows[Name(EN)],Tab_Def_Flows[Process_ID_I],,0,)</f>
        <v>21__</v>
      </c>
      <c r="I248" s="49">
        <f>_xlfn.XLOOKUP(C248,Tab_Def_Flows[Name(EN)],Tab_Def_Flows[Value_Source],,0,)</f>
        <v>0</v>
      </c>
      <c r="J248" s="49">
        <f>_xlfn.XLOOKUP(C248,Tab_Def_Flows[Name(EN)],Tab_Def_Flows[WC?],,0,)</f>
        <v>0</v>
      </c>
      <c r="K248" s="49">
        <f>_xlfn.XLOOKUP(C248,Tab_Def_Flows[Name(EN)],Tab_Def_Flows[DM?],,0,)</f>
        <v>0</v>
      </c>
      <c r="L248" s="49">
        <f>_xlfn.XLOOKUP(C248,Tab_Def_Flows[Name(EN)],Tab_Def_Flows[CC?],,0,)</f>
        <v>0</v>
      </c>
      <c r="M248" s="51"/>
      <c r="N248" s="51"/>
      <c r="O248" s="88"/>
      <c r="P248" s="51"/>
      <c r="Q248" s="51"/>
      <c r="R248" s="51"/>
      <c r="S248" s="51"/>
      <c r="T248" s="51"/>
      <c r="U248" s="51"/>
      <c r="V248" s="51"/>
      <c r="W248" s="51"/>
      <c r="X248" s="51"/>
      <c r="Y248" s="51"/>
      <c r="Z248" s="51"/>
      <c r="AA248" s="89">
        <f t="shared" si="9"/>
        <v>0</v>
      </c>
      <c r="AB248" s="51"/>
      <c r="AC248" s="114" t="e">
        <f>INDEX(Tab_Def_Flows[[Flow_ID]:[CC_DM_source]],MATCH(Tab_Data_Flows[[#This Row],[Name(EN)]],Tab_Def_Flows[Name(EN)],0),16)</f>
        <v>#N/A</v>
      </c>
      <c r="AD248" s="115" t="str">
        <f>IF(J248="Yes",AA248*Tab_Data_Flows[[#This Row],[WC_'[%']]],"N.A.")</f>
        <v>N.A.</v>
      </c>
      <c r="AE248" s="61">
        <f>Tab_Data_Flows[[#This Row],[UoM_Flow_Py]]</f>
        <v>0</v>
      </c>
      <c r="AF248" s="114" t="e">
        <f>INDEX(Tab_Def_Flows[[Flow_ID]:[CC_DM_source]],MATCH(Tab_Data_Flows[[#This Row],[Name(EN)]],Tab_Def_Flows[Name(EN)],0),18)</f>
        <v>#N/A</v>
      </c>
      <c r="AG248" s="115" t="str">
        <f>IF(K248="Yes",AF248*Tab_Data_Flows[[#This Row],[Flow_Py]],"N.A.")</f>
        <v>N.A.</v>
      </c>
      <c r="AH248" s="61">
        <f>Tab_Data_Flows[[#This Row],[UoM_Flow_Py]]</f>
        <v>0</v>
      </c>
      <c r="AI248" s="114" t="e">
        <f>INDEX(Tab_Def_Flows[[Flow_ID]:[CC_DM_source]],MATCH(Tab_Data_Flows[[#This Row],[Name(EN)]],Tab_Def_Flows[Name(EN)],0),20)</f>
        <v>#N/A</v>
      </c>
      <c r="AJ248" s="115" t="str">
        <f>IF(L248="Yes",AI248*Tab_Data_Flows[[#This Row],[Flow_Py]],"N.A.")</f>
        <v>N.A.</v>
      </c>
      <c r="AK248" s="61">
        <f>Tab_Data_Flows[[#This Row],[UoM_Flow_Py]]</f>
        <v>0</v>
      </c>
    </row>
    <row r="249" spans="1:37" x14ac:dyDescent="0.35">
      <c r="A249" s="60">
        <f t="shared" si="7"/>
        <v>248</v>
      </c>
      <c r="B249" s="49" t="str">
        <f>_xlfn.XLOOKUP(C249,Tab_Def_Flows[Name(EN)],Tab_Def_Flows[Flow_ID],,0,)</f>
        <v>F_21_21</v>
      </c>
      <c r="C249" s="51"/>
      <c r="D249" s="49">
        <f>_xlfn.XLOOKUP(C249,Tab_Def_Flows[Name(EN)],Tab_Def_Flows[Type_Biomass],,0,)</f>
        <v>0</v>
      </c>
      <c r="E249" s="49">
        <f>_xlfn.XLOOKUP(C249,Tab_Def_Flows[Name(EN)],Tab_Def_Flows[Output_Process],,0,)</f>
        <v>0</v>
      </c>
      <c r="F249" s="49" t="str">
        <f>_xlfn.XLOOKUP(C249,Tab_Def_Flows[Name(EN)],Tab_Def_Flows[Process_ID_O],,0,)</f>
        <v>21__</v>
      </c>
      <c r="G249" s="49">
        <f>_xlfn.XLOOKUP(C249,Tab_Def_Flows[Name(EN)],Tab_Def_Flows[Input_Process],,0,)</f>
        <v>0</v>
      </c>
      <c r="H249" s="61" t="str">
        <f>_xlfn.XLOOKUP(C249,Tab_Def_Flows[Name(EN)],Tab_Def_Flows[Process_ID_I],,0,)</f>
        <v>21__</v>
      </c>
      <c r="I249" s="49">
        <f>_xlfn.XLOOKUP(C249,Tab_Def_Flows[Name(EN)],Tab_Def_Flows[Value_Source],,0,)</f>
        <v>0</v>
      </c>
      <c r="J249" s="49">
        <f>_xlfn.XLOOKUP(C249,Tab_Def_Flows[Name(EN)],Tab_Def_Flows[WC?],,0,)</f>
        <v>0</v>
      </c>
      <c r="K249" s="49">
        <f>_xlfn.XLOOKUP(C249,Tab_Def_Flows[Name(EN)],Tab_Def_Flows[DM?],,0,)</f>
        <v>0</v>
      </c>
      <c r="L249" s="49">
        <f>_xlfn.XLOOKUP(C249,Tab_Def_Flows[Name(EN)],Tab_Def_Flows[CC?],,0,)</f>
        <v>0</v>
      </c>
      <c r="M249" s="51"/>
      <c r="N249" s="51"/>
      <c r="O249" s="88"/>
      <c r="P249" s="51"/>
      <c r="Q249" s="51"/>
      <c r="R249" s="51"/>
      <c r="S249" s="51"/>
      <c r="T249" s="51"/>
      <c r="U249" s="51"/>
      <c r="V249" s="51"/>
      <c r="W249" s="51"/>
      <c r="X249" s="51"/>
      <c r="Y249" s="51"/>
      <c r="Z249" s="51"/>
      <c r="AA249" s="89">
        <f t="shared" si="9"/>
        <v>0</v>
      </c>
      <c r="AB249" s="51"/>
      <c r="AC249" s="114" t="e">
        <f>INDEX(Tab_Def_Flows[[Flow_ID]:[CC_DM_source]],MATCH(Tab_Data_Flows[[#This Row],[Name(EN)]],Tab_Def_Flows[Name(EN)],0),16)</f>
        <v>#N/A</v>
      </c>
      <c r="AD249" s="115" t="str">
        <f>IF(J249="Yes",AA249*Tab_Data_Flows[[#This Row],[WC_'[%']]],"N.A.")</f>
        <v>N.A.</v>
      </c>
      <c r="AE249" s="61">
        <f>Tab_Data_Flows[[#This Row],[UoM_Flow_Py]]</f>
        <v>0</v>
      </c>
      <c r="AF249" s="114" t="e">
        <f>INDEX(Tab_Def_Flows[[Flow_ID]:[CC_DM_source]],MATCH(Tab_Data_Flows[[#This Row],[Name(EN)]],Tab_Def_Flows[Name(EN)],0),18)</f>
        <v>#N/A</v>
      </c>
      <c r="AG249" s="115" t="str">
        <f>IF(K249="Yes",AF249*Tab_Data_Flows[[#This Row],[Flow_Py]],"N.A.")</f>
        <v>N.A.</v>
      </c>
      <c r="AH249" s="61">
        <f>Tab_Data_Flows[[#This Row],[UoM_Flow_Py]]</f>
        <v>0</v>
      </c>
      <c r="AI249" s="114" t="e">
        <f>INDEX(Tab_Def_Flows[[Flow_ID]:[CC_DM_source]],MATCH(Tab_Data_Flows[[#This Row],[Name(EN)]],Tab_Def_Flows[Name(EN)],0),20)</f>
        <v>#N/A</v>
      </c>
      <c r="AJ249" s="115" t="str">
        <f>IF(L249="Yes",AI249*Tab_Data_Flows[[#This Row],[Flow_Py]],"N.A.")</f>
        <v>N.A.</v>
      </c>
      <c r="AK249" s="61">
        <f>Tab_Data_Flows[[#This Row],[UoM_Flow_Py]]</f>
        <v>0</v>
      </c>
    </row>
    <row r="250" spans="1:37" x14ac:dyDescent="0.35">
      <c r="A250" s="60">
        <f t="shared" si="7"/>
        <v>249</v>
      </c>
      <c r="B250" s="49" t="str">
        <f>_xlfn.XLOOKUP(C250,Tab_Def_Flows[Name(EN)],Tab_Def_Flows[Flow_ID],,0,)</f>
        <v>F_21_21</v>
      </c>
      <c r="C250" s="51"/>
      <c r="D250" s="49">
        <f>_xlfn.XLOOKUP(C250,Tab_Def_Flows[Name(EN)],Tab_Def_Flows[Type_Biomass],,0,)</f>
        <v>0</v>
      </c>
      <c r="E250" s="49">
        <f>_xlfn.XLOOKUP(C250,Tab_Def_Flows[Name(EN)],Tab_Def_Flows[Output_Process],,0,)</f>
        <v>0</v>
      </c>
      <c r="F250" s="49" t="str">
        <f>_xlfn.XLOOKUP(C250,Tab_Def_Flows[Name(EN)],Tab_Def_Flows[Process_ID_O],,0,)</f>
        <v>21__</v>
      </c>
      <c r="G250" s="49">
        <f>_xlfn.XLOOKUP(C250,Tab_Def_Flows[Name(EN)],Tab_Def_Flows[Input_Process],,0,)</f>
        <v>0</v>
      </c>
      <c r="H250" s="61" t="str">
        <f>_xlfn.XLOOKUP(C250,Tab_Def_Flows[Name(EN)],Tab_Def_Flows[Process_ID_I],,0,)</f>
        <v>21__</v>
      </c>
      <c r="I250" s="49">
        <f>_xlfn.XLOOKUP(C250,Tab_Def_Flows[Name(EN)],Tab_Def_Flows[Value_Source],,0,)</f>
        <v>0</v>
      </c>
      <c r="J250" s="49">
        <f>_xlfn.XLOOKUP(C250,Tab_Def_Flows[Name(EN)],Tab_Def_Flows[WC?],,0,)</f>
        <v>0</v>
      </c>
      <c r="K250" s="49">
        <f>_xlfn.XLOOKUP(C250,Tab_Def_Flows[Name(EN)],Tab_Def_Flows[DM?],,0,)</f>
        <v>0</v>
      </c>
      <c r="L250" s="49">
        <f>_xlfn.XLOOKUP(C250,Tab_Def_Flows[Name(EN)],Tab_Def_Flows[CC?],,0,)</f>
        <v>0</v>
      </c>
      <c r="M250" s="51"/>
      <c r="N250" s="51"/>
      <c r="O250" s="88"/>
      <c r="P250" s="51"/>
      <c r="Q250" s="51"/>
      <c r="R250" s="51"/>
      <c r="S250" s="51"/>
      <c r="T250" s="51"/>
      <c r="U250" s="51"/>
      <c r="V250" s="51"/>
      <c r="W250" s="51"/>
      <c r="X250" s="51"/>
      <c r="Y250" s="51"/>
      <c r="Z250" s="51"/>
      <c r="AA250" s="89">
        <f t="shared" si="9"/>
        <v>0</v>
      </c>
      <c r="AB250" s="51"/>
      <c r="AC250" s="114" t="e">
        <f>INDEX(Tab_Def_Flows[[Flow_ID]:[CC_DM_source]],MATCH(Tab_Data_Flows[[#This Row],[Name(EN)]],Tab_Def_Flows[Name(EN)],0),16)</f>
        <v>#N/A</v>
      </c>
      <c r="AD250" s="115" t="str">
        <f>IF(J250="Yes",AA250*Tab_Data_Flows[[#This Row],[WC_'[%']]],"N.A.")</f>
        <v>N.A.</v>
      </c>
      <c r="AE250" s="61">
        <f>Tab_Data_Flows[[#This Row],[UoM_Flow_Py]]</f>
        <v>0</v>
      </c>
      <c r="AF250" s="114" t="e">
        <f>INDEX(Tab_Def_Flows[[Flow_ID]:[CC_DM_source]],MATCH(Tab_Data_Flows[[#This Row],[Name(EN)]],Tab_Def_Flows[Name(EN)],0),18)</f>
        <v>#N/A</v>
      </c>
      <c r="AG250" s="115" t="str">
        <f>IF(K250="Yes",AF250*Tab_Data_Flows[[#This Row],[Flow_Py]],"N.A.")</f>
        <v>N.A.</v>
      </c>
      <c r="AH250" s="61">
        <f>Tab_Data_Flows[[#This Row],[UoM_Flow_Py]]</f>
        <v>0</v>
      </c>
      <c r="AI250" s="114" t="e">
        <f>INDEX(Tab_Def_Flows[[Flow_ID]:[CC_DM_source]],MATCH(Tab_Data_Flows[[#This Row],[Name(EN)]],Tab_Def_Flows[Name(EN)],0),20)</f>
        <v>#N/A</v>
      </c>
      <c r="AJ250" s="115" t="str">
        <f>IF(L250="Yes",AI250*Tab_Data_Flows[[#This Row],[Flow_Py]],"N.A.")</f>
        <v>N.A.</v>
      </c>
      <c r="AK250" s="61">
        <f>Tab_Data_Flows[[#This Row],[UoM_Flow_Py]]</f>
        <v>0</v>
      </c>
    </row>
    <row r="251" spans="1:37" x14ac:dyDescent="0.35">
      <c r="A251" s="60">
        <f t="shared" si="7"/>
        <v>250</v>
      </c>
      <c r="B251" s="49" t="str">
        <f>_xlfn.XLOOKUP(C251,Tab_Def_Flows[Name(EN)],Tab_Def_Flows[Flow_ID],,0,)</f>
        <v>F_21_21</v>
      </c>
      <c r="C251" s="51"/>
      <c r="D251" s="49">
        <f>_xlfn.XLOOKUP(C251,Tab_Def_Flows[Name(EN)],Tab_Def_Flows[Type_Biomass],,0,)</f>
        <v>0</v>
      </c>
      <c r="E251" s="49">
        <f>_xlfn.XLOOKUP(C251,Tab_Def_Flows[Name(EN)],Tab_Def_Flows[Output_Process],,0,)</f>
        <v>0</v>
      </c>
      <c r="F251" s="49" t="str">
        <f>_xlfn.XLOOKUP(C251,Tab_Def_Flows[Name(EN)],Tab_Def_Flows[Process_ID_O],,0,)</f>
        <v>21__</v>
      </c>
      <c r="G251" s="49">
        <f>_xlfn.XLOOKUP(C251,Tab_Def_Flows[Name(EN)],Tab_Def_Flows[Input_Process],,0,)</f>
        <v>0</v>
      </c>
      <c r="H251" s="61" t="str">
        <f>_xlfn.XLOOKUP(C251,Tab_Def_Flows[Name(EN)],Tab_Def_Flows[Process_ID_I],,0,)</f>
        <v>21__</v>
      </c>
      <c r="I251" s="49">
        <f>_xlfn.XLOOKUP(C251,Tab_Def_Flows[Name(EN)],Tab_Def_Flows[Value_Source],,0,)</f>
        <v>0</v>
      </c>
      <c r="J251" s="49">
        <f>_xlfn.XLOOKUP(C251,Tab_Def_Flows[Name(EN)],Tab_Def_Flows[WC?],,0,)</f>
        <v>0</v>
      </c>
      <c r="K251" s="49">
        <f>_xlfn.XLOOKUP(C251,Tab_Def_Flows[Name(EN)],Tab_Def_Flows[DM?],,0,)</f>
        <v>0</v>
      </c>
      <c r="L251" s="49">
        <f>_xlfn.XLOOKUP(C251,Tab_Def_Flows[Name(EN)],Tab_Def_Flows[CC?],,0,)</f>
        <v>0</v>
      </c>
      <c r="M251" s="51"/>
      <c r="N251" s="51"/>
      <c r="O251" s="88"/>
      <c r="P251" s="51"/>
      <c r="Q251" s="51"/>
      <c r="R251" s="51"/>
      <c r="S251" s="51"/>
      <c r="T251" s="51"/>
      <c r="U251" s="51"/>
      <c r="V251" s="51"/>
      <c r="W251" s="51"/>
      <c r="X251" s="51"/>
      <c r="Y251" s="51"/>
      <c r="Z251" s="51"/>
      <c r="AA251" s="89">
        <f t="shared" si="9"/>
        <v>0</v>
      </c>
      <c r="AB251" s="51"/>
      <c r="AC251" s="114" t="e">
        <f>INDEX(Tab_Def_Flows[[Flow_ID]:[CC_DM_source]],MATCH(Tab_Data_Flows[[#This Row],[Name(EN)]],Tab_Def_Flows[Name(EN)],0),16)</f>
        <v>#N/A</v>
      </c>
      <c r="AD251" s="115" t="str">
        <f>IF(J251="Yes",AA251*Tab_Data_Flows[[#This Row],[WC_'[%']]],"N.A.")</f>
        <v>N.A.</v>
      </c>
      <c r="AE251" s="61">
        <f>Tab_Data_Flows[[#This Row],[UoM_Flow_Py]]</f>
        <v>0</v>
      </c>
      <c r="AF251" s="114" t="e">
        <f>INDEX(Tab_Def_Flows[[Flow_ID]:[CC_DM_source]],MATCH(Tab_Data_Flows[[#This Row],[Name(EN)]],Tab_Def_Flows[Name(EN)],0),18)</f>
        <v>#N/A</v>
      </c>
      <c r="AG251" s="115" t="str">
        <f>IF(K251="Yes",AF251*Tab_Data_Flows[[#This Row],[Flow_Py]],"N.A.")</f>
        <v>N.A.</v>
      </c>
      <c r="AH251" s="61">
        <f>Tab_Data_Flows[[#This Row],[UoM_Flow_Py]]</f>
        <v>0</v>
      </c>
      <c r="AI251" s="114" t="e">
        <f>INDEX(Tab_Def_Flows[[Flow_ID]:[CC_DM_source]],MATCH(Tab_Data_Flows[[#This Row],[Name(EN)]],Tab_Def_Flows[Name(EN)],0),20)</f>
        <v>#N/A</v>
      </c>
      <c r="AJ251" s="115" t="str">
        <f>IF(L251="Yes",AI251*Tab_Data_Flows[[#This Row],[Flow_Py]],"N.A.")</f>
        <v>N.A.</v>
      </c>
      <c r="AK251" s="61">
        <f>Tab_Data_Flows[[#This Row],[UoM_Flow_Py]]</f>
        <v>0</v>
      </c>
    </row>
    <row r="252" spans="1:37" x14ac:dyDescent="0.35">
      <c r="A252" s="60">
        <f t="shared" si="7"/>
        <v>251</v>
      </c>
      <c r="B252" s="49" t="str">
        <f>_xlfn.XLOOKUP(C252,Tab_Def_Flows[Name(EN)],Tab_Def_Flows[Flow_ID],,0,)</f>
        <v>F_21_21</v>
      </c>
      <c r="C252" s="51"/>
      <c r="D252" s="49">
        <f>_xlfn.XLOOKUP(C252,Tab_Def_Flows[Name(EN)],Tab_Def_Flows[Type_Biomass],,0,)</f>
        <v>0</v>
      </c>
      <c r="E252" s="49">
        <f>_xlfn.XLOOKUP(C252,Tab_Def_Flows[Name(EN)],Tab_Def_Flows[Output_Process],,0,)</f>
        <v>0</v>
      </c>
      <c r="F252" s="49" t="str">
        <f>_xlfn.XLOOKUP(C252,Tab_Def_Flows[Name(EN)],Tab_Def_Flows[Process_ID_O],,0,)</f>
        <v>21__</v>
      </c>
      <c r="G252" s="49">
        <f>_xlfn.XLOOKUP(C252,Tab_Def_Flows[Name(EN)],Tab_Def_Flows[Input_Process],,0,)</f>
        <v>0</v>
      </c>
      <c r="H252" s="61" t="str">
        <f>_xlfn.XLOOKUP(C252,Tab_Def_Flows[Name(EN)],Tab_Def_Flows[Process_ID_I],,0,)</f>
        <v>21__</v>
      </c>
      <c r="I252" s="49">
        <f>_xlfn.XLOOKUP(C252,Tab_Def_Flows[Name(EN)],Tab_Def_Flows[Value_Source],,0,)</f>
        <v>0</v>
      </c>
      <c r="J252" s="49">
        <f>_xlfn.XLOOKUP(C252,Tab_Def_Flows[Name(EN)],Tab_Def_Flows[WC?],,0,)</f>
        <v>0</v>
      </c>
      <c r="K252" s="49">
        <f>_xlfn.XLOOKUP(C252,Tab_Def_Flows[Name(EN)],Tab_Def_Flows[DM?],,0,)</f>
        <v>0</v>
      </c>
      <c r="L252" s="49">
        <f>_xlfn.XLOOKUP(C252,Tab_Def_Flows[Name(EN)],Tab_Def_Flows[CC?],,0,)</f>
        <v>0</v>
      </c>
      <c r="M252" s="51"/>
      <c r="N252" s="51"/>
      <c r="O252" s="88"/>
      <c r="P252" s="51"/>
      <c r="Q252" s="51"/>
      <c r="R252" s="51"/>
      <c r="S252" s="51"/>
      <c r="T252" s="51"/>
      <c r="U252" s="51"/>
      <c r="V252" s="51"/>
      <c r="W252" s="51"/>
      <c r="X252" s="51"/>
      <c r="Y252" s="51"/>
      <c r="Z252" s="51"/>
      <c r="AA252" s="89">
        <f t="shared" si="9"/>
        <v>0</v>
      </c>
      <c r="AB252" s="51"/>
      <c r="AC252" s="114" t="e">
        <f>INDEX(Tab_Def_Flows[[Flow_ID]:[CC_DM_source]],MATCH(Tab_Data_Flows[[#This Row],[Name(EN)]],Tab_Def_Flows[Name(EN)],0),16)</f>
        <v>#N/A</v>
      </c>
      <c r="AD252" s="115" t="str">
        <f>IF(J252="Yes",AA252*Tab_Data_Flows[[#This Row],[WC_'[%']]],"N.A.")</f>
        <v>N.A.</v>
      </c>
      <c r="AE252" s="61">
        <f>Tab_Data_Flows[[#This Row],[UoM_Flow_Py]]</f>
        <v>0</v>
      </c>
      <c r="AF252" s="114" t="e">
        <f>INDEX(Tab_Def_Flows[[Flow_ID]:[CC_DM_source]],MATCH(Tab_Data_Flows[[#This Row],[Name(EN)]],Tab_Def_Flows[Name(EN)],0),18)</f>
        <v>#N/A</v>
      </c>
      <c r="AG252" s="115" t="str">
        <f>IF(K252="Yes",AF252*Tab_Data_Flows[[#This Row],[Flow_Py]],"N.A.")</f>
        <v>N.A.</v>
      </c>
      <c r="AH252" s="61">
        <f>Tab_Data_Flows[[#This Row],[UoM_Flow_Py]]</f>
        <v>0</v>
      </c>
      <c r="AI252" s="114" t="e">
        <f>INDEX(Tab_Def_Flows[[Flow_ID]:[CC_DM_source]],MATCH(Tab_Data_Flows[[#This Row],[Name(EN)]],Tab_Def_Flows[Name(EN)],0),20)</f>
        <v>#N/A</v>
      </c>
      <c r="AJ252" s="115" t="str">
        <f>IF(L252="Yes",AI252*Tab_Data_Flows[[#This Row],[Flow_Py]],"N.A.")</f>
        <v>N.A.</v>
      </c>
      <c r="AK252" s="61">
        <f>Tab_Data_Flows[[#This Row],[UoM_Flow_Py]]</f>
        <v>0</v>
      </c>
    </row>
    <row r="253" spans="1:37" x14ac:dyDescent="0.35">
      <c r="A253" s="60">
        <f t="shared" si="7"/>
        <v>252</v>
      </c>
      <c r="B253" s="49" t="str">
        <f>_xlfn.XLOOKUP(C253,Tab_Def_Flows[Name(EN)],Tab_Def_Flows[Flow_ID],,0,)</f>
        <v>F_21_21</v>
      </c>
      <c r="C253" s="51"/>
      <c r="D253" s="49">
        <f>_xlfn.XLOOKUP(C253,Tab_Def_Flows[Name(EN)],Tab_Def_Flows[Type_Biomass],,0,)</f>
        <v>0</v>
      </c>
      <c r="E253" s="49">
        <f>_xlfn.XLOOKUP(C253,Tab_Def_Flows[Name(EN)],Tab_Def_Flows[Output_Process],,0,)</f>
        <v>0</v>
      </c>
      <c r="F253" s="49" t="str">
        <f>_xlfn.XLOOKUP(C253,Tab_Def_Flows[Name(EN)],Tab_Def_Flows[Process_ID_O],,0,)</f>
        <v>21__</v>
      </c>
      <c r="G253" s="49">
        <f>_xlfn.XLOOKUP(C253,Tab_Def_Flows[Name(EN)],Tab_Def_Flows[Input_Process],,0,)</f>
        <v>0</v>
      </c>
      <c r="H253" s="61" t="str">
        <f>_xlfn.XLOOKUP(C253,Tab_Def_Flows[Name(EN)],Tab_Def_Flows[Process_ID_I],,0,)</f>
        <v>21__</v>
      </c>
      <c r="I253" s="49">
        <f>_xlfn.XLOOKUP(C253,Tab_Def_Flows[Name(EN)],Tab_Def_Flows[Value_Source],,0,)</f>
        <v>0</v>
      </c>
      <c r="J253" s="49">
        <f>_xlfn.XLOOKUP(C253,Tab_Def_Flows[Name(EN)],Tab_Def_Flows[WC?],,0,)</f>
        <v>0</v>
      </c>
      <c r="K253" s="49">
        <f>_xlfn.XLOOKUP(C253,Tab_Def_Flows[Name(EN)],Tab_Def_Flows[DM?],,0,)</f>
        <v>0</v>
      </c>
      <c r="L253" s="49">
        <f>_xlfn.XLOOKUP(C253,Tab_Def_Flows[Name(EN)],Tab_Def_Flows[CC?],,0,)</f>
        <v>0</v>
      </c>
      <c r="M253" s="51"/>
      <c r="N253" s="51"/>
      <c r="O253" s="88"/>
      <c r="P253" s="51"/>
      <c r="Q253" s="51"/>
      <c r="R253" s="51"/>
      <c r="S253" s="51"/>
      <c r="T253" s="51"/>
      <c r="U253" s="51"/>
      <c r="V253" s="51"/>
      <c r="W253" s="51"/>
      <c r="X253" s="51"/>
      <c r="Y253" s="51"/>
      <c r="Z253" s="51"/>
      <c r="AA253" s="89">
        <f t="shared" si="9"/>
        <v>0</v>
      </c>
      <c r="AB253" s="51"/>
      <c r="AC253" s="114" t="e">
        <f>INDEX(Tab_Def_Flows[[Flow_ID]:[CC_DM_source]],MATCH(Tab_Data_Flows[[#This Row],[Name(EN)]],Tab_Def_Flows[Name(EN)],0),16)</f>
        <v>#N/A</v>
      </c>
      <c r="AD253" s="115" t="str">
        <f>IF(J253="Yes",AA253*Tab_Data_Flows[[#This Row],[WC_'[%']]],"N.A.")</f>
        <v>N.A.</v>
      </c>
      <c r="AE253" s="61">
        <f>Tab_Data_Flows[[#This Row],[UoM_Flow_Py]]</f>
        <v>0</v>
      </c>
      <c r="AF253" s="114" t="e">
        <f>INDEX(Tab_Def_Flows[[Flow_ID]:[CC_DM_source]],MATCH(Tab_Data_Flows[[#This Row],[Name(EN)]],Tab_Def_Flows[Name(EN)],0),18)</f>
        <v>#N/A</v>
      </c>
      <c r="AG253" s="115" t="str">
        <f>IF(K253="Yes",AF253*Tab_Data_Flows[[#This Row],[Flow_Py]],"N.A.")</f>
        <v>N.A.</v>
      </c>
      <c r="AH253" s="61">
        <f>Tab_Data_Flows[[#This Row],[UoM_Flow_Py]]</f>
        <v>0</v>
      </c>
      <c r="AI253" s="114" t="e">
        <f>INDEX(Tab_Def_Flows[[Flow_ID]:[CC_DM_source]],MATCH(Tab_Data_Flows[[#This Row],[Name(EN)]],Tab_Def_Flows[Name(EN)],0),20)</f>
        <v>#N/A</v>
      </c>
      <c r="AJ253" s="115" t="str">
        <f>IF(L253="Yes",AI253*Tab_Data_Flows[[#This Row],[Flow_Py]],"N.A.")</f>
        <v>N.A.</v>
      </c>
      <c r="AK253" s="61">
        <f>Tab_Data_Flows[[#This Row],[UoM_Flow_Py]]</f>
        <v>0</v>
      </c>
    </row>
    <row r="254" spans="1:37" x14ac:dyDescent="0.35">
      <c r="A254" s="60">
        <f t="shared" si="7"/>
        <v>253</v>
      </c>
      <c r="B254" s="49" t="str">
        <f>_xlfn.XLOOKUP(C254,Tab_Def_Flows[Name(EN)],Tab_Def_Flows[Flow_ID],,0,)</f>
        <v>F_21_21</v>
      </c>
      <c r="C254" s="51"/>
      <c r="D254" s="49">
        <f>_xlfn.XLOOKUP(C254,Tab_Def_Flows[Name(EN)],Tab_Def_Flows[Type_Biomass],,0,)</f>
        <v>0</v>
      </c>
      <c r="E254" s="49">
        <f>_xlfn.XLOOKUP(C254,Tab_Def_Flows[Name(EN)],Tab_Def_Flows[Output_Process],,0,)</f>
        <v>0</v>
      </c>
      <c r="F254" s="49" t="str">
        <f>_xlfn.XLOOKUP(C254,Tab_Def_Flows[Name(EN)],Tab_Def_Flows[Process_ID_O],,0,)</f>
        <v>21__</v>
      </c>
      <c r="G254" s="49">
        <f>_xlfn.XLOOKUP(C254,Tab_Def_Flows[Name(EN)],Tab_Def_Flows[Input_Process],,0,)</f>
        <v>0</v>
      </c>
      <c r="H254" s="61" t="str">
        <f>_xlfn.XLOOKUP(C254,Tab_Def_Flows[Name(EN)],Tab_Def_Flows[Process_ID_I],,0,)</f>
        <v>21__</v>
      </c>
      <c r="I254" s="49">
        <f>_xlfn.XLOOKUP(C254,Tab_Def_Flows[Name(EN)],Tab_Def_Flows[Value_Source],,0,)</f>
        <v>0</v>
      </c>
      <c r="J254" s="49">
        <f>_xlfn.XLOOKUP(C254,Tab_Def_Flows[Name(EN)],Tab_Def_Flows[WC?],,0,)</f>
        <v>0</v>
      </c>
      <c r="K254" s="49">
        <f>_xlfn.XLOOKUP(C254,Tab_Def_Flows[Name(EN)],Tab_Def_Flows[DM?],,0,)</f>
        <v>0</v>
      </c>
      <c r="L254" s="49">
        <f>_xlfn.XLOOKUP(C254,Tab_Def_Flows[Name(EN)],Tab_Def_Flows[CC?],,0,)</f>
        <v>0</v>
      </c>
      <c r="M254" s="51"/>
      <c r="N254" s="51"/>
      <c r="O254" s="88"/>
      <c r="P254" s="51"/>
      <c r="Q254" s="51"/>
      <c r="R254" s="51"/>
      <c r="S254" s="51"/>
      <c r="T254" s="51"/>
      <c r="U254" s="51"/>
      <c r="V254" s="51"/>
      <c r="W254" s="51"/>
      <c r="X254" s="51"/>
      <c r="Y254" s="51"/>
      <c r="Z254" s="51"/>
      <c r="AA254" s="89">
        <f t="shared" si="9"/>
        <v>0</v>
      </c>
      <c r="AB254" s="51"/>
      <c r="AC254" s="114" t="e">
        <f>INDEX(Tab_Def_Flows[[Flow_ID]:[CC_DM_source]],MATCH(Tab_Data_Flows[[#This Row],[Name(EN)]],Tab_Def_Flows[Name(EN)],0),16)</f>
        <v>#N/A</v>
      </c>
      <c r="AD254" s="115" t="str">
        <f>IF(J254="Yes",AA254*Tab_Data_Flows[[#This Row],[WC_'[%']]],"N.A.")</f>
        <v>N.A.</v>
      </c>
      <c r="AE254" s="61">
        <f>Tab_Data_Flows[[#This Row],[UoM_Flow_Py]]</f>
        <v>0</v>
      </c>
      <c r="AF254" s="114" t="e">
        <f>INDEX(Tab_Def_Flows[[Flow_ID]:[CC_DM_source]],MATCH(Tab_Data_Flows[[#This Row],[Name(EN)]],Tab_Def_Flows[Name(EN)],0),18)</f>
        <v>#N/A</v>
      </c>
      <c r="AG254" s="115" t="str">
        <f>IF(K254="Yes",AF254*Tab_Data_Flows[[#This Row],[Flow_Py]],"N.A.")</f>
        <v>N.A.</v>
      </c>
      <c r="AH254" s="61">
        <f>Tab_Data_Flows[[#This Row],[UoM_Flow_Py]]</f>
        <v>0</v>
      </c>
      <c r="AI254" s="114" t="e">
        <f>INDEX(Tab_Def_Flows[[Flow_ID]:[CC_DM_source]],MATCH(Tab_Data_Flows[[#This Row],[Name(EN)]],Tab_Def_Flows[Name(EN)],0),20)</f>
        <v>#N/A</v>
      </c>
      <c r="AJ254" s="115" t="str">
        <f>IF(L254="Yes",AI254*Tab_Data_Flows[[#This Row],[Flow_Py]],"N.A.")</f>
        <v>N.A.</v>
      </c>
      <c r="AK254" s="61">
        <f>Tab_Data_Flows[[#This Row],[UoM_Flow_Py]]</f>
        <v>0</v>
      </c>
    </row>
    <row r="255" spans="1:37" x14ac:dyDescent="0.35">
      <c r="A255" s="60">
        <f t="shared" si="7"/>
        <v>254</v>
      </c>
      <c r="B255" s="49" t="str">
        <f>_xlfn.XLOOKUP(C255,Tab_Def_Flows[Name(EN)],Tab_Def_Flows[Flow_ID],,0,)</f>
        <v>F_21_21</v>
      </c>
      <c r="C255" s="51"/>
      <c r="D255" s="49">
        <f>_xlfn.XLOOKUP(C255,Tab_Def_Flows[Name(EN)],Tab_Def_Flows[Type_Biomass],,0,)</f>
        <v>0</v>
      </c>
      <c r="E255" s="49">
        <f>_xlfn.XLOOKUP(C255,Tab_Def_Flows[Name(EN)],Tab_Def_Flows[Output_Process],,0,)</f>
        <v>0</v>
      </c>
      <c r="F255" s="49" t="str">
        <f>_xlfn.XLOOKUP(C255,Tab_Def_Flows[Name(EN)],Tab_Def_Flows[Process_ID_O],,0,)</f>
        <v>21__</v>
      </c>
      <c r="G255" s="49">
        <f>_xlfn.XLOOKUP(C255,Tab_Def_Flows[Name(EN)],Tab_Def_Flows[Input_Process],,0,)</f>
        <v>0</v>
      </c>
      <c r="H255" s="61" t="str">
        <f>_xlfn.XLOOKUP(C255,Tab_Def_Flows[Name(EN)],Tab_Def_Flows[Process_ID_I],,0,)</f>
        <v>21__</v>
      </c>
      <c r="I255" s="49">
        <f>_xlfn.XLOOKUP(C255,Tab_Def_Flows[Name(EN)],Tab_Def_Flows[Value_Source],,0,)</f>
        <v>0</v>
      </c>
      <c r="J255" s="49">
        <f>_xlfn.XLOOKUP(C255,Tab_Def_Flows[Name(EN)],Tab_Def_Flows[WC?],,0,)</f>
        <v>0</v>
      </c>
      <c r="K255" s="49">
        <f>_xlfn.XLOOKUP(C255,Tab_Def_Flows[Name(EN)],Tab_Def_Flows[DM?],,0,)</f>
        <v>0</v>
      </c>
      <c r="L255" s="49">
        <f>_xlfn.XLOOKUP(C255,Tab_Def_Flows[Name(EN)],Tab_Def_Flows[CC?],,0,)</f>
        <v>0</v>
      </c>
      <c r="M255" s="51"/>
      <c r="N255" s="51"/>
      <c r="O255" s="88"/>
      <c r="P255" s="51"/>
      <c r="Q255" s="51"/>
      <c r="R255" s="51"/>
      <c r="S255" s="51"/>
      <c r="T255" s="51"/>
      <c r="U255" s="51"/>
      <c r="V255" s="51"/>
      <c r="W255" s="51"/>
      <c r="X255" s="51"/>
      <c r="Y255" s="51"/>
      <c r="Z255" s="51"/>
      <c r="AA255" s="89">
        <f t="shared" si="9"/>
        <v>0</v>
      </c>
      <c r="AB255" s="51"/>
      <c r="AC255" s="114" t="e">
        <f>INDEX(Tab_Def_Flows[[Flow_ID]:[CC_DM_source]],MATCH(Tab_Data_Flows[[#This Row],[Name(EN)]],Tab_Def_Flows[Name(EN)],0),16)</f>
        <v>#N/A</v>
      </c>
      <c r="AD255" s="115" t="str">
        <f>IF(J255="Yes",AA255*Tab_Data_Flows[[#This Row],[WC_'[%']]],"N.A.")</f>
        <v>N.A.</v>
      </c>
      <c r="AE255" s="61">
        <f>Tab_Data_Flows[[#This Row],[UoM_Flow_Py]]</f>
        <v>0</v>
      </c>
      <c r="AF255" s="114" t="e">
        <f>INDEX(Tab_Def_Flows[[Flow_ID]:[CC_DM_source]],MATCH(Tab_Data_Flows[[#This Row],[Name(EN)]],Tab_Def_Flows[Name(EN)],0),18)</f>
        <v>#N/A</v>
      </c>
      <c r="AG255" s="115" t="str">
        <f>IF(K255="Yes",AF255*Tab_Data_Flows[[#This Row],[Flow_Py]],"N.A.")</f>
        <v>N.A.</v>
      </c>
      <c r="AH255" s="61">
        <f>Tab_Data_Flows[[#This Row],[UoM_Flow_Py]]</f>
        <v>0</v>
      </c>
      <c r="AI255" s="114" t="e">
        <f>INDEX(Tab_Def_Flows[[Flow_ID]:[CC_DM_source]],MATCH(Tab_Data_Flows[[#This Row],[Name(EN)]],Tab_Def_Flows[Name(EN)],0),20)</f>
        <v>#N/A</v>
      </c>
      <c r="AJ255" s="115" t="str">
        <f>IF(L255="Yes",AI255*Tab_Data_Flows[[#This Row],[Flow_Py]],"N.A.")</f>
        <v>N.A.</v>
      </c>
      <c r="AK255" s="61">
        <f>Tab_Data_Flows[[#This Row],[UoM_Flow_Py]]</f>
        <v>0</v>
      </c>
    </row>
    <row r="256" spans="1:37" x14ac:dyDescent="0.35">
      <c r="A256" s="60">
        <f t="shared" ref="A256:A303" si="10">ROW()-1</f>
        <v>255</v>
      </c>
      <c r="B256" s="49" t="str">
        <f>_xlfn.XLOOKUP(C256,Tab_Def_Flows[Name(EN)],Tab_Def_Flows[Flow_ID],,0,)</f>
        <v>F_21_21</v>
      </c>
      <c r="C256" s="51"/>
      <c r="D256" s="49">
        <f>_xlfn.XLOOKUP(C256,Tab_Def_Flows[Name(EN)],Tab_Def_Flows[Type_Biomass],,0,)</f>
        <v>0</v>
      </c>
      <c r="E256" s="49">
        <f>_xlfn.XLOOKUP(C256,Tab_Def_Flows[Name(EN)],Tab_Def_Flows[Output_Process],,0,)</f>
        <v>0</v>
      </c>
      <c r="F256" s="49" t="str">
        <f>_xlfn.XLOOKUP(C256,Tab_Def_Flows[Name(EN)],Tab_Def_Flows[Process_ID_O],,0,)</f>
        <v>21__</v>
      </c>
      <c r="G256" s="49">
        <f>_xlfn.XLOOKUP(C256,Tab_Def_Flows[Name(EN)],Tab_Def_Flows[Input_Process],,0,)</f>
        <v>0</v>
      </c>
      <c r="H256" s="61" t="str">
        <f>_xlfn.XLOOKUP(C256,Tab_Def_Flows[Name(EN)],Tab_Def_Flows[Process_ID_I],,0,)</f>
        <v>21__</v>
      </c>
      <c r="I256" s="49">
        <f>_xlfn.XLOOKUP(C256,Tab_Def_Flows[Name(EN)],Tab_Def_Flows[Value_Source],,0,)</f>
        <v>0</v>
      </c>
      <c r="J256" s="49">
        <f>_xlfn.XLOOKUP(C256,Tab_Def_Flows[Name(EN)],Tab_Def_Flows[WC?],,0,)</f>
        <v>0</v>
      </c>
      <c r="K256" s="49">
        <f>_xlfn.XLOOKUP(C256,Tab_Def_Flows[Name(EN)],Tab_Def_Flows[DM?],,0,)</f>
        <v>0</v>
      </c>
      <c r="L256" s="49">
        <f>_xlfn.XLOOKUP(C256,Tab_Def_Flows[Name(EN)],Tab_Def_Flows[CC?],,0,)</f>
        <v>0</v>
      </c>
      <c r="M256" s="51"/>
      <c r="N256" s="51"/>
      <c r="O256" s="88"/>
      <c r="P256" s="51"/>
      <c r="Q256" s="51"/>
      <c r="R256" s="51"/>
      <c r="S256" s="51"/>
      <c r="T256" s="51"/>
      <c r="U256" s="51"/>
      <c r="V256" s="51"/>
      <c r="W256" s="51"/>
      <c r="X256" s="51"/>
      <c r="Y256" s="51"/>
      <c r="Z256" s="51"/>
      <c r="AA256" s="89">
        <f t="shared" si="9"/>
        <v>0</v>
      </c>
      <c r="AB256" s="51"/>
      <c r="AC256" s="114" t="e">
        <f>INDEX(Tab_Def_Flows[[Flow_ID]:[CC_DM_source]],MATCH(Tab_Data_Flows[[#This Row],[Name(EN)]],Tab_Def_Flows[Name(EN)],0),16)</f>
        <v>#N/A</v>
      </c>
      <c r="AD256" s="115" t="str">
        <f>IF(J256="Yes",AA256*Tab_Data_Flows[[#This Row],[WC_'[%']]],"N.A.")</f>
        <v>N.A.</v>
      </c>
      <c r="AE256" s="61">
        <f>Tab_Data_Flows[[#This Row],[UoM_Flow_Py]]</f>
        <v>0</v>
      </c>
      <c r="AF256" s="114" t="e">
        <f>INDEX(Tab_Def_Flows[[Flow_ID]:[CC_DM_source]],MATCH(Tab_Data_Flows[[#This Row],[Name(EN)]],Tab_Def_Flows[Name(EN)],0),18)</f>
        <v>#N/A</v>
      </c>
      <c r="AG256" s="115" t="str">
        <f>IF(K256="Yes",AF256*Tab_Data_Flows[[#This Row],[Flow_Py]],"N.A.")</f>
        <v>N.A.</v>
      </c>
      <c r="AH256" s="61">
        <f>Tab_Data_Flows[[#This Row],[UoM_Flow_Py]]</f>
        <v>0</v>
      </c>
      <c r="AI256" s="114" t="e">
        <f>INDEX(Tab_Def_Flows[[Flow_ID]:[CC_DM_source]],MATCH(Tab_Data_Flows[[#This Row],[Name(EN)]],Tab_Def_Flows[Name(EN)],0),20)</f>
        <v>#N/A</v>
      </c>
      <c r="AJ256" s="115" t="str">
        <f>IF(L256="Yes",AI256*Tab_Data_Flows[[#This Row],[Flow_Py]],"N.A.")</f>
        <v>N.A.</v>
      </c>
      <c r="AK256" s="61">
        <f>Tab_Data_Flows[[#This Row],[UoM_Flow_Py]]</f>
        <v>0</v>
      </c>
    </row>
    <row r="257" spans="1:37" x14ac:dyDescent="0.35">
      <c r="A257" s="60">
        <f t="shared" si="10"/>
        <v>256</v>
      </c>
      <c r="B257" s="49" t="str">
        <f>_xlfn.XLOOKUP(C257,Tab_Def_Flows[Name(EN)],Tab_Def_Flows[Flow_ID],,0,)</f>
        <v>F_21_21</v>
      </c>
      <c r="C257" s="51"/>
      <c r="D257" s="49">
        <f>_xlfn.XLOOKUP(C257,Tab_Def_Flows[Name(EN)],Tab_Def_Flows[Type_Biomass],,0,)</f>
        <v>0</v>
      </c>
      <c r="E257" s="49">
        <f>_xlfn.XLOOKUP(C257,Tab_Def_Flows[Name(EN)],Tab_Def_Flows[Output_Process],,0,)</f>
        <v>0</v>
      </c>
      <c r="F257" s="49" t="str">
        <f>_xlfn.XLOOKUP(C257,Tab_Def_Flows[Name(EN)],Tab_Def_Flows[Process_ID_O],,0,)</f>
        <v>21__</v>
      </c>
      <c r="G257" s="49">
        <f>_xlfn.XLOOKUP(C257,Tab_Def_Flows[Name(EN)],Tab_Def_Flows[Input_Process],,0,)</f>
        <v>0</v>
      </c>
      <c r="H257" s="61" t="str">
        <f>_xlfn.XLOOKUP(C257,Tab_Def_Flows[Name(EN)],Tab_Def_Flows[Process_ID_I],,0,)</f>
        <v>21__</v>
      </c>
      <c r="I257" s="49">
        <f>_xlfn.XLOOKUP(C257,Tab_Def_Flows[Name(EN)],Tab_Def_Flows[Value_Source],,0,)</f>
        <v>0</v>
      </c>
      <c r="J257" s="49">
        <f>_xlfn.XLOOKUP(C257,Tab_Def_Flows[Name(EN)],Tab_Def_Flows[WC?],,0,)</f>
        <v>0</v>
      </c>
      <c r="K257" s="49">
        <f>_xlfn.XLOOKUP(C257,Tab_Def_Flows[Name(EN)],Tab_Def_Flows[DM?],,0,)</f>
        <v>0</v>
      </c>
      <c r="L257" s="49">
        <f>_xlfn.XLOOKUP(C257,Tab_Def_Flows[Name(EN)],Tab_Def_Flows[CC?],,0,)</f>
        <v>0</v>
      </c>
      <c r="M257" s="51"/>
      <c r="N257" s="51"/>
      <c r="O257" s="88"/>
      <c r="P257" s="51"/>
      <c r="Q257" s="51"/>
      <c r="R257" s="51"/>
      <c r="S257" s="51"/>
      <c r="T257" s="51"/>
      <c r="U257" s="51"/>
      <c r="V257" s="51"/>
      <c r="W257" s="51"/>
      <c r="X257" s="51"/>
      <c r="Y257" s="51"/>
      <c r="Z257" s="51"/>
      <c r="AA257" s="89">
        <f t="shared" si="9"/>
        <v>0</v>
      </c>
      <c r="AB257" s="51"/>
      <c r="AC257" s="114" t="e">
        <f>INDEX(Tab_Def_Flows[[Flow_ID]:[CC_DM_source]],MATCH(Tab_Data_Flows[[#This Row],[Name(EN)]],Tab_Def_Flows[Name(EN)],0),16)</f>
        <v>#N/A</v>
      </c>
      <c r="AD257" s="115" t="str">
        <f>IF(J257="Yes",AA257*Tab_Data_Flows[[#This Row],[WC_'[%']]],"N.A.")</f>
        <v>N.A.</v>
      </c>
      <c r="AE257" s="61">
        <f>Tab_Data_Flows[[#This Row],[UoM_Flow_Py]]</f>
        <v>0</v>
      </c>
      <c r="AF257" s="114" t="e">
        <f>INDEX(Tab_Def_Flows[[Flow_ID]:[CC_DM_source]],MATCH(Tab_Data_Flows[[#This Row],[Name(EN)]],Tab_Def_Flows[Name(EN)],0),18)</f>
        <v>#N/A</v>
      </c>
      <c r="AG257" s="115" t="str">
        <f>IF(K257="Yes",AF257*Tab_Data_Flows[[#This Row],[Flow_Py]],"N.A.")</f>
        <v>N.A.</v>
      </c>
      <c r="AH257" s="61">
        <f>Tab_Data_Flows[[#This Row],[UoM_Flow_Py]]</f>
        <v>0</v>
      </c>
      <c r="AI257" s="114" t="e">
        <f>INDEX(Tab_Def_Flows[[Flow_ID]:[CC_DM_source]],MATCH(Tab_Data_Flows[[#This Row],[Name(EN)]],Tab_Def_Flows[Name(EN)],0),20)</f>
        <v>#N/A</v>
      </c>
      <c r="AJ257" s="115" t="str">
        <f>IF(L257="Yes",AI257*Tab_Data_Flows[[#This Row],[Flow_Py]],"N.A.")</f>
        <v>N.A.</v>
      </c>
      <c r="AK257" s="61">
        <f>Tab_Data_Flows[[#This Row],[UoM_Flow_Py]]</f>
        <v>0</v>
      </c>
    </row>
    <row r="258" spans="1:37" x14ac:dyDescent="0.35">
      <c r="A258" s="60">
        <f t="shared" si="10"/>
        <v>257</v>
      </c>
      <c r="B258" s="49" t="str">
        <f>_xlfn.XLOOKUP(C258,Tab_Def_Flows[Name(EN)],Tab_Def_Flows[Flow_ID],,0,)</f>
        <v>F_21_21</v>
      </c>
      <c r="C258" s="51"/>
      <c r="D258" s="49">
        <f>_xlfn.XLOOKUP(C258,Tab_Def_Flows[Name(EN)],Tab_Def_Flows[Type_Biomass],,0,)</f>
        <v>0</v>
      </c>
      <c r="E258" s="49">
        <f>_xlfn.XLOOKUP(C258,Tab_Def_Flows[Name(EN)],Tab_Def_Flows[Output_Process],,0,)</f>
        <v>0</v>
      </c>
      <c r="F258" s="49" t="str">
        <f>_xlfn.XLOOKUP(C258,Tab_Def_Flows[Name(EN)],Tab_Def_Flows[Process_ID_O],,0,)</f>
        <v>21__</v>
      </c>
      <c r="G258" s="49">
        <f>_xlfn.XLOOKUP(C258,Tab_Def_Flows[Name(EN)],Tab_Def_Flows[Input_Process],,0,)</f>
        <v>0</v>
      </c>
      <c r="H258" s="61" t="str">
        <f>_xlfn.XLOOKUP(C258,Tab_Def_Flows[Name(EN)],Tab_Def_Flows[Process_ID_I],,0,)</f>
        <v>21__</v>
      </c>
      <c r="I258" s="49">
        <f>_xlfn.XLOOKUP(C258,Tab_Def_Flows[Name(EN)],Tab_Def_Flows[Value_Source],,0,)</f>
        <v>0</v>
      </c>
      <c r="J258" s="49">
        <f>_xlfn.XLOOKUP(C258,Tab_Def_Flows[Name(EN)],Tab_Def_Flows[WC?],,0,)</f>
        <v>0</v>
      </c>
      <c r="K258" s="49">
        <f>_xlfn.XLOOKUP(C258,Tab_Def_Flows[Name(EN)],Tab_Def_Flows[DM?],,0,)</f>
        <v>0</v>
      </c>
      <c r="L258" s="49">
        <f>_xlfn.XLOOKUP(C258,Tab_Def_Flows[Name(EN)],Tab_Def_Flows[CC?],,0,)</f>
        <v>0</v>
      </c>
      <c r="M258" s="51"/>
      <c r="N258" s="51"/>
      <c r="O258" s="88"/>
      <c r="P258" s="51"/>
      <c r="Q258" s="51"/>
      <c r="R258" s="51"/>
      <c r="S258" s="51"/>
      <c r="T258" s="51"/>
      <c r="U258" s="51"/>
      <c r="V258" s="51"/>
      <c r="W258" s="51"/>
      <c r="X258" s="51"/>
      <c r="Y258" s="51"/>
      <c r="Z258" s="51"/>
      <c r="AA258" s="89">
        <f t="shared" si="9"/>
        <v>0</v>
      </c>
      <c r="AB258" s="51"/>
      <c r="AC258" s="114" t="e">
        <f>INDEX(Tab_Def_Flows[[Flow_ID]:[CC_DM_source]],MATCH(Tab_Data_Flows[[#This Row],[Name(EN)]],Tab_Def_Flows[Name(EN)],0),16)</f>
        <v>#N/A</v>
      </c>
      <c r="AD258" s="115" t="str">
        <f>IF(J258="Yes",AA258*Tab_Data_Flows[[#This Row],[WC_'[%']]],"N.A.")</f>
        <v>N.A.</v>
      </c>
      <c r="AE258" s="61">
        <f>Tab_Data_Flows[[#This Row],[UoM_Flow_Py]]</f>
        <v>0</v>
      </c>
      <c r="AF258" s="114" t="e">
        <f>INDEX(Tab_Def_Flows[[Flow_ID]:[CC_DM_source]],MATCH(Tab_Data_Flows[[#This Row],[Name(EN)]],Tab_Def_Flows[Name(EN)],0),18)</f>
        <v>#N/A</v>
      </c>
      <c r="AG258" s="115" t="str">
        <f>IF(K258="Yes",AF258*Tab_Data_Flows[[#This Row],[Flow_Py]],"N.A.")</f>
        <v>N.A.</v>
      </c>
      <c r="AH258" s="61">
        <f>Tab_Data_Flows[[#This Row],[UoM_Flow_Py]]</f>
        <v>0</v>
      </c>
      <c r="AI258" s="114" t="e">
        <f>INDEX(Tab_Def_Flows[[Flow_ID]:[CC_DM_source]],MATCH(Tab_Data_Flows[[#This Row],[Name(EN)]],Tab_Def_Flows[Name(EN)],0),20)</f>
        <v>#N/A</v>
      </c>
      <c r="AJ258" s="115" t="str">
        <f>IF(L258="Yes",AI258*Tab_Data_Flows[[#This Row],[Flow_Py]],"N.A.")</f>
        <v>N.A.</v>
      </c>
      <c r="AK258" s="61">
        <f>Tab_Data_Flows[[#This Row],[UoM_Flow_Py]]</f>
        <v>0</v>
      </c>
    </row>
    <row r="259" spans="1:37" x14ac:dyDescent="0.35">
      <c r="A259" s="60">
        <f t="shared" si="10"/>
        <v>258</v>
      </c>
      <c r="B259" s="49" t="str">
        <f>_xlfn.XLOOKUP(C259,Tab_Def_Flows[Name(EN)],Tab_Def_Flows[Flow_ID],,0,)</f>
        <v>F_21_21</v>
      </c>
      <c r="C259" s="51"/>
      <c r="D259" s="49">
        <f>_xlfn.XLOOKUP(C259,Tab_Def_Flows[Name(EN)],Tab_Def_Flows[Type_Biomass],,0,)</f>
        <v>0</v>
      </c>
      <c r="E259" s="49">
        <f>_xlfn.XLOOKUP(C259,Tab_Def_Flows[Name(EN)],Tab_Def_Flows[Output_Process],,0,)</f>
        <v>0</v>
      </c>
      <c r="F259" s="49" t="str">
        <f>_xlfn.XLOOKUP(C259,Tab_Def_Flows[Name(EN)],Tab_Def_Flows[Process_ID_O],,0,)</f>
        <v>21__</v>
      </c>
      <c r="G259" s="49">
        <f>_xlfn.XLOOKUP(C259,Tab_Def_Flows[Name(EN)],Tab_Def_Flows[Input_Process],,0,)</f>
        <v>0</v>
      </c>
      <c r="H259" s="61" t="str">
        <f>_xlfn.XLOOKUP(C259,Tab_Def_Flows[Name(EN)],Tab_Def_Flows[Process_ID_I],,0,)</f>
        <v>21__</v>
      </c>
      <c r="I259" s="49">
        <f>_xlfn.XLOOKUP(C259,Tab_Def_Flows[Name(EN)],Tab_Def_Flows[Value_Source],,0,)</f>
        <v>0</v>
      </c>
      <c r="J259" s="49">
        <f>_xlfn.XLOOKUP(C259,Tab_Def_Flows[Name(EN)],Tab_Def_Flows[WC?],,0,)</f>
        <v>0</v>
      </c>
      <c r="K259" s="49">
        <f>_xlfn.XLOOKUP(C259,Tab_Def_Flows[Name(EN)],Tab_Def_Flows[DM?],,0,)</f>
        <v>0</v>
      </c>
      <c r="L259" s="49">
        <f>_xlfn.XLOOKUP(C259,Tab_Def_Flows[Name(EN)],Tab_Def_Flows[CC?],,0,)</f>
        <v>0</v>
      </c>
      <c r="M259" s="51"/>
      <c r="N259" s="51"/>
      <c r="O259" s="88"/>
      <c r="P259" s="51"/>
      <c r="Q259" s="51"/>
      <c r="R259" s="51"/>
      <c r="S259" s="51"/>
      <c r="T259" s="51"/>
      <c r="U259" s="51"/>
      <c r="V259" s="51"/>
      <c r="W259" s="51"/>
      <c r="X259" s="51"/>
      <c r="Y259" s="51"/>
      <c r="Z259" s="51"/>
      <c r="AA259" s="89">
        <f t="shared" si="9"/>
        <v>0</v>
      </c>
      <c r="AB259" s="51"/>
      <c r="AC259" s="114" t="e">
        <f>INDEX(Tab_Def_Flows[[Flow_ID]:[CC_DM_source]],MATCH(Tab_Data_Flows[[#This Row],[Name(EN)]],Tab_Def_Flows[Name(EN)],0),16)</f>
        <v>#N/A</v>
      </c>
      <c r="AD259" s="115" t="str">
        <f>IF(J259="Yes",AA259*Tab_Data_Flows[[#This Row],[WC_'[%']]],"N.A.")</f>
        <v>N.A.</v>
      </c>
      <c r="AE259" s="61">
        <f>Tab_Data_Flows[[#This Row],[UoM_Flow_Py]]</f>
        <v>0</v>
      </c>
      <c r="AF259" s="114" t="e">
        <f>INDEX(Tab_Def_Flows[[Flow_ID]:[CC_DM_source]],MATCH(Tab_Data_Flows[[#This Row],[Name(EN)]],Tab_Def_Flows[Name(EN)],0),18)</f>
        <v>#N/A</v>
      </c>
      <c r="AG259" s="115" t="str">
        <f>IF(K259="Yes",AF259*Tab_Data_Flows[[#This Row],[Flow_Py]],"N.A.")</f>
        <v>N.A.</v>
      </c>
      <c r="AH259" s="61">
        <f>Tab_Data_Flows[[#This Row],[UoM_Flow_Py]]</f>
        <v>0</v>
      </c>
      <c r="AI259" s="114" t="e">
        <f>INDEX(Tab_Def_Flows[[Flow_ID]:[CC_DM_source]],MATCH(Tab_Data_Flows[[#This Row],[Name(EN)]],Tab_Def_Flows[Name(EN)],0),20)</f>
        <v>#N/A</v>
      </c>
      <c r="AJ259" s="115" t="str">
        <f>IF(L259="Yes",AI259*Tab_Data_Flows[[#This Row],[Flow_Py]],"N.A.")</f>
        <v>N.A.</v>
      </c>
      <c r="AK259" s="61">
        <f>Tab_Data_Flows[[#This Row],[UoM_Flow_Py]]</f>
        <v>0</v>
      </c>
    </row>
    <row r="260" spans="1:37" x14ac:dyDescent="0.35">
      <c r="A260" s="60">
        <f t="shared" si="10"/>
        <v>259</v>
      </c>
      <c r="B260" s="49" t="str">
        <f>_xlfn.XLOOKUP(C260,Tab_Def_Flows[Name(EN)],Tab_Def_Flows[Flow_ID],,0,)</f>
        <v>F_21_21</v>
      </c>
      <c r="C260" s="51"/>
      <c r="D260" s="49">
        <f>_xlfn.XLOOKUP(C260,Tab_Def_Flows[Name(EN)],Tab_Def_Flows[Type_Biomass],,0,)</f>
        <v>0</v>
      </c>
      <c r="E260" s="49">
        <f>_xlfn.XLOOKUP(C260,Tab_Def_Flows[Name(EN)],Tab_Def_Flows[Output_Process],,0,)</f>
        <v>0</v>
      </c>
      <c r="F260" s="49" t="str">
        <f>_xlfn.XLOOKUP(C260,Tab_Def_Flows[Name(EN)],Tab_Def_Flows[Process_ID_O],,0,)</f>
        <v>21__</v>
      </c>
      <c r="G260" s="49">
        <f>_xlfn.XLOOKUP(C260,Tab_Def_Flows[Name(EN)],Tab_Def_Flows[Input_Process],,0,)</f>
        <v>0</v>
      </c>
      <c r="H260" s="61" t="str">
        <f>_xlfn.XLOOKUP(C260,Tab_Def_Flows[Name(EN)],Tab_Def_Flows[Process_ID_I],,0,)</f>
        <v>21__</v>
      </c>
      <c r="I260" s="49">
        <f>_xlfn.XLOOKUP(C260,Tab_Def_Flows[Name(EN)],Tab_Def_Flows[Value_Source],,0,)</f>
        <v>0</v>
      </c>
      <c r="J260" s="49">
        <f>_xlfn.XLOOKUP(C260,Tab_Def_Flows[Name(EN)],Tab_Def_Flows[WC?],,0,)</f>
        <v>0</v>
      </c>
      <c r="K260" s="49">
        <f>_xlfn.XLOOKUP(C260,Tab_Def_Flows[Name(EN)],Tab_Def_Flows[DM?],,0,)</f>
        <v>0</v>
      </c>
      <c r="L260" s="49">
        <f>_xlfn.XLOOKUP(C260,Tab_Def_Flows[Name(EN)],Tab_Def_Flows[CC?],,0,)</f>
        <v>0</v>
      </c>
      <c r="M260" s="51"/>
      <c r="N260" s="51"/>
      <c r="O260" s="88"/>
      <c r="P260" s="51"/>
      <c r="Q260" s="51"/>
      <c r="R260" s="51"/>
      <c r="S260" s="51"/>
      <c r="T260" s="51"/>
      <c r="U260" s="51"/>
      <c r="V260" s="51"/>
      <c r="W260" s="51"/>
      <c r="X260" s="51"/>
      <c r="Y260" s="51"/>
      <c r="Z260" s="51"/>
      <c r="AA260" s="89">
        <f t="shared" si="9"/>
        <v>0</v>
      </c>
      <c r="AB260" s="51"/>
      <c r="AC260" s="114" t="e">
        <f>INDEX(Tab_Def_Flows[[Flow_ID]:[CC_DM_source]],MATCH(Tab_Data_Flows[[#This Row],[Name(EN)]],Tab_Def_Flows[Name(EN)],0),16)</f>
        <v>#N/A</v>
      </c>
      <c r="AD260" s="115" t="str">
        <f>IF(J260="Yes",AA260*Tab_Data_Flows[[#This Row],[WC_'[%']]],"N.A.")</f>
        <v>N.A.</v>
      </c>
      <c r="AE260" s="61">
        <f>Tab_Data_Flows[[#This Row],[UoM_Flow_Py]]</f>
        <v>0</v>
      </c>
      <c r="AF260" s="114" t="e">
        <f>INDEX(Tab_Def_Flows[[Flow_ID]:[CC_DM_source]],MATCH(Tab_Data_Flows[[#This Row],[Name(EN)]],Tab_Def_Flows[Name(EN)],0),18)</f>
        <v>#N/A</v>
      </c>
      <c r="AG260" s="115" t="str">
        <f>IF(K260="Yes",AF260*Tab_Data_Flows[[#This Row],[Flow_Py]],"N.A.")</f>
        <v>N.A.</v>
      </c>
      <c r="AH260" s="61">
        <f>Tab_Data_Flows[[#This Row],[UoM_Flow_Py]]</f>
        <v>0</v>
      </c>
      <c r="AI260" s="114" t="e">
        <f>INDEX(Tab_Def_Flows[[Flow_ID]:[CC_DM_source]],MATCH(Tab_Data_Flows[[#This Row],[Name(EN)]],Tab_Def_Flows[Name(EN)],0),20)</f>
        <v>#N/A</v>
      </c>
      <c r="AJ260" s="115" t="str">
        <f>IF(L260="Yes",AI260*Tab_Data_Flows[[#This Row],[Flow_Py]],"N.A.")</f>
        <v>N.A.</v>
      </c>
      <c r="AK260" s="61">
        <f>Tab_Data_Flows[[#This Row],[UoM_Flow_Py]]</f>
        <v>0</v>
      </c>
    </row>
    <row r="261" spans="1:37" x14ac:dyDescent="0.35">
      <c r="A261" s="60">
        <f t="shared" si="10"/>
        <v>260</v>
      </c>
      <c r="B261" s="49" t="str">
        <f>_xlfn.XLOOKUP(C261,Tab_Def_Flows[Name(EN)],Tab_Def_Flows[Flow_ID],,0,)</f>
        <v>F_21_21</v>
      </c>
      <c r="C261" s="51"/>
      <c r="D261" s="49">
        <f>_xlfn.XLOOKUP(C261,Tab_Def_Flows[Name(EN)],Tab_Def_Flows[Type_Biomass],,0,)</f>
        <v>0</v>
      </c>
      <c r="E261" s="49">
        <f>_xlfn.XLOOKUP(C261,Tab_Def_Flows[Name(EN)],Tab_Def_Flows[Output_Process],,0,)</f>
        <v>0</v>
      </c>
      <c r="F261" s="49" t="str">
        <f>_xlfn.XLOOKUP(C261,Tab_Def_Flows[Name(EN)],Tab_Def_Flows[Process_ID_O],,0,)</f>
        <v>21__</v>
      </c>
      <c r="G261" s="49">
        <f>_xlfn.XLOOKUP(C261,Tab_Def_Flows[Name(EN)],Tab_Def_Flows[Input_Process],,0,)</f>
        <v>0</v>
      </c>
      <c r="H261" s="61" t="str">
        <f>_xlfn.XLOOKUP(C261,Tab_Def_Flows[Name(EN)],Tab_Def_Flows[Process_ID_I],,0,)</f>
        <v>21__</v>
      </c>
      <c r="I261" s="49">
        <f>_xlfn.XLOOKUP(C261,Tab_Def_Flows[Name(EN)],Tab_Def_Flows[Value_Source],,0,)</f>
        <v>0</v>
      </c>
      <c r="J261" s="49">
        <f>_xlfn.XLOOKUP(C261,Tab_Def_Flows[Name(EN)],Tab_Def_Flows[WC?],,0,)</f>
        <v>0</v>
      </c>
      <c r="K261" s="49">
        <f>_xlfn.XLOOKUP(C261,Tab_Def_Flows[Name(EN)],Tab_Def_Flows[DM?],,0,)</f>
        <v>0</v>
      </c>
      <c r="L261" s="49">
        <f>_xlfn.XLOOKUP(C261,Tab_Def_Flows[Name(EN)],Tab_Def_Flows[CC?],,0,)</f>
        <v>0</v>
      </c>
      <c r="M261" s="51"/>
      <c r="N261" s="51"/>
      <c r="O261" s="88"/>
      <c r="P261" s="51"/>
      <c r="Q261" s="51"/>
      <c r="R261" s="51"/>
      <c r="S261" s="51"/>
      <c r="T261" s="51"/>
      <c r="U261" s="51"/>
      <c r="V261" s="51"/>
      <c r="W261" s="51"/>
      <c r="X261" s="51"/>
      <c r="Y261" s="51"/>
      <c r="Z261" s="51"/>
      <c r="AA261" s="89">
        <f t="shared" si="9"/>
        <v>0</v>
      </c>
      <c r="AB261" s="51"/>
      <c r="AC261" s="114" t="e">
        <f>INDEX(Tab_Def_Flows[[Flow_ID]:[CC_DM_source]],MATCH(Tab_Data_Flows[[#This Row],[Name(EN)]],Tab_Def_Flows[Name(EN)],0),16)</f>
        <v>#N/A</v>
      </c>
      <c r="AD261" s="115" t="str">
        <f>IF(J261="Yes",AA261*Tab_Data_Flows[[#This Row],[WC_'[%']]],"N.A.")</f>
        <v>N.A.</v>
      </c>
      <c r="AE261" s="61">
        <f>Tab_Data_Flows[[#This Row],[UoM_Flow_Py]]</f>
        <v>0</v>
      </c>
      <c r="AF261" s="114" t="e">
        <f>INDEX(Tab_Def_Flows[[Flow_ID]:[CC_DM_source]],MATCH(Tab_Data_Flows[[#This Row],[Name(EN)]],Tab_Def_Flows[Name(EN)],0),18)</f>
        <v>#N/A</v>
      </c>
      <c r="AG261" s="115" t="str">
        <f>IF(K261="Yes",AF261*Tab_Data_Flows[[#This Row],[Flow_Py]],"N.A.")</f>
        <v>N.A.</v>
      </c>
      <c r="AH261" s="61">
        <f>Tab_Data_Flows[[#This Row],[UoM_Flow_Py]]</f>
        <v>0</v>
      </c>
      <c r="AI261" s="114" t="e">
        <f>INDEX(Tab_Def_Flows[[Flow_ID]:[CC_DM_source]],MATCH(Tab_Data_Flows[[#This Row],[Name(EN)]],Tab_Def_Flows[Name(EN)],0),20)</f>
        <v>#N/A</v>
      </c>
      <c r="AJ261" s="115" t="str">
        <f>IF(L261="Yes",AI261*Tab_Data_Flows[[#This Row],[Flow_Py]],"N.A.")</f>
        <v>N.A.</v>
      </c>
      <c r="AK261" s="61">
        <f>Tab_Data_Flows[[#This Row],[UoM_Flow_Py]]</f>
        <v>0</v>
      </c>
    </row>
    <row r="262" spans="1:37" x14ac:dyDescent="0.35">
      <c r="A262" s="60">
        <f t="shared" si="10"/>
        <v>261</v>
      </c>
      <c r="B262" s="49" t="str">
        <f>_xlfn.XLOOKUP(C262,Tab_Def_Flows[Name(EN)],Tab_Def_Flows[Flow_ID],,0,)</f>
        <v>F_21_21</v>
      </c>
      <c r="C262" s="51"/>
      <c r="D262" s="49">
        <f>_xlfn.XLOOKUP(C262,Tab_Def_Flows[Name(EN)],Tab_Def_Flows[Type_Biomass],,0,)</f>
        <v>0</v>
      </c>
      <c r="E262" s="49">
        <f>_xlfn.XLOOKUP(C262,Tab_Def_Flows[Name(EN)],Tab_Def_Flows[Output_Process],,0,)</f>
        <v>0</v>
      </c>
      <c r="F262" s="49" t="str">
        <f>_xlfn.XLOOKUP(C262,Tab_Def_Flows[Name(EN)],Tab_Def_Flows[Process_ID_O],,0,)</f>
        <v>21__</v>
      </c>
      <c r="G262" s="49">
        <f>_xlfn.XLOOKUP(C262,Tab_Def_Flows[Name(EN)],Tab_Def_Flows[Input_Process],,0,)</f>
        <v>0</v>
      </c>
      <c r="H262" s="61" t="str">
        <f>_xlfn.XLOOKUP(C262,Tab_Def_Flows[Name(EN)],Tab_Def_Flows[Process_ID_I],,0,)</f>
        <v>21__</v>
      </c>
      <c r="I262" s="49">
        <f>_xlfn.XLOOKUP(C262,Tab_Def_Flows[Name(EN)],Tab_Def_Flows[Value_Source],,0,)</f>
        <v>0</v>
      </c>
      <c r="J262" s="49">
        <f>_xlfn.XLOOKUP(C262,Tab_Def_Flows[Name(EN)],Tab_Def_Flows[WC?],,0,)</f>
        <v>0</v>
      </c>
      <c r="K262" s="49">
        <f>_xlfn.XLOOKUP(C262,Tab_Def_Flows[Name(EN)],Tab_Def_Flows[DM?],,0,)</f>
        <v>0</v>
      </c>
      <c r="L262" s="49">
        <f>_xlfn.XLOOKUP(C262,Tab_Def_Flows[Name(EN)],Tab_Def_Flows[CC?],,0,)</f>
        <v>0</v>
      </c>
      <c r="M262" s="51"/>
      <c r="N262" s="51"/>
      <c r="O262" s="88"/>
      <c r="P262" s="51"/>
      <c r="Q262" s="51"/>
      <c r="R262" s="51"/>
      <c r="S262" s="51"/>
      <c r="T262" s="51"/>
      <c r="U262" s="51"/>
      <c r="V262" s="51"/>
      <c r="W262" s="51"/>
      <c r="X262" s="51"/>
      <c r="Y262" s="51"/>
      <c r="Z262" s="51"/>
      <c r="AA262" s="89">
        <f t="shared" si="9"/>
        <v>0</v>
      </c>
      <c r="AB262" s="51"/>
      <c r="AC262" s="114" t="e">
        <f>INDEX(Tab_Def_Flows[[Flow_ID]:[CC_DM_source]],MATCH(Tab_Data_Flows[[#This Row],[Name(EN)]],Tab_Def_Flows[Name(EN)],0),16)</f>
        <v>#N/A</v>
      </c>
      <c r="AD262" s="115" t="str">
        <f>IF(J262="Yes",AA262*Tab_Data_Flows[[#This Row],[WC_'[%']]],"N.A.")</f>
        <v>N.A.</v>
      </c>
      <c r="AE262" s="61">
        <f>Tab_Data_Flows[[#This Row],[UoM_Flow_Py]]</f>
        <v>0</v>
      </c>
      <c r="AF262" s="114" t="e">
        <f>INDEX(Tab_Def_Flows[[Flow_ID]:[CC_DM_source]],MATCH(Tab_Data_Flows[[#This Row],[Name(EN)]],Tab_Def_Flows[Name(EN)],0),18)</f>
        <v>#N/A</v>
      </c>
      <c r="AG262" s="115" t="str">
        <f>IF(K262="Yes",AF262*Tab_Data_Flows[[#This Row],[Flow_Py]],"N.A.")</f>
        <v>N.A.</v>
      </c>
      <c r="AH262" s="61">
        <f>Tab_Data_Flows[[#This Row],[UoM_Flow_Py]]</f>
        <v>0</v>
      </c>
      <c r="AI262" s="114" t="e">
        <f>INDEX(Tab_Def_Flows[[Flow_ID]:[CC_DM_source]],MATCH(Tab_Data_Flows[[#This Row],[Name(EN)]],Tab_Def_Flows[Name(EN)],0),20)</f>
        <v>#N/A</v>
      </c>
      <c r="AJ262" s="115" t="str">
        <f>IF(L262="Yes",AI262*Tab_Data_Flows[[#This Row],[Flow_Py]],"N.A.")</f>
        <v>N.A.</v>
      </c>
      <c r="AK262" s="61">
        <f>Tab_Data_Flows[[#This Row],[UoM_Flow_Py]]</f>
        <v>0</v>
      </c>
    </row>
    <row r="263" spans="1:37" x14ac:dyDescent="0.35">
      <c r="A263" s="60">
        <f t="shared" si="10"/>
        <v>262</v>
      </c>
      <c r="B263" s="49" t="str">
        <f>_xlfn.XLOOKUP(C263,Tab_Def_Flows[Name(EN)],Tab_Def_Flows[Flow_ID],,0,)</f>
        <v>F_21_21</v>
      </c>
      <c r="C263" s="51"/>
      <c r="D263" s="49">
        <f>_xlfn.XLOOKUP(C263,Tab_Def_Flows[Name(EN)],Tab_Def_Flows[Type_Biomass],,0,)</f>
        <v>0</v>
      </c>
      <c r="E263" s="49">
        <f>_xlfn.XLOOKUP(C263,Tab_Def_Flows[Name(EN)],Tab_Def_Flows[Output_Process],,0,)</f>
        <v>0</v>
      </c>
      <c r="F263" s="49" t="str">
        <f>_xlfn.XLOOKUP(C263,Tab_Def_Flows[Name(EN)],Tab_Def_Flows[Process_ID_O],,0,)</f>
        <v>21__</v>
      </c>
      <c r="G263" s="49">
        <f>_xlfn.XLOOKUP(C263,Tab_Def_Flows[Name(EN)],Tab_Def_Flows[Input_Process],,0,)</f>
        <v>0</v>
      </c>
      <c r="H263" s="61" t="str">
        <f>_xlfn.XLOOKUP(C263,Tab_Def_Flows[Name(EN)],Tab_Def_Flows[Process_ID_I],,0,)</f>
        <v>21__</v>
      </c>
      <c r="I263" s="49">
        <f>_xlfn.XLOOKUP(C263,Tab_Def_Flows[Name(EN)],Tab_Def_Flows[Value_Source],,0,)</f>
        <v>0</v>
      </c>
      <c r="J263" s="49">
        <f>_xlfn.XLOOKUP(C263,Tab_Def_Flows[Name(EN)],Tab_Def_Flows[WC?],,0,)</f>
        <v>0</v>
      </c>
      <c r="K263" s="49">
        <f>_xlfn.XLOOKUP(C263,Tab_Def_Flows[Name(EN)],Tab_Def_Flows[DM?],,0,)</f>
        <v>0</v>
      </c>
      <c r="L263" s="49">
        <f>_xlfn.XLOOKUP(C263,Tab_Def_Flows[Name(EN)],Tab_Def_Flows[CC?],,0,)</f>
        <v>0</v>
      </c>
      <c r="M263" s="51"/>
      <c r="N263" s="51"/>
      <c r="O263" s="88"/>
      <c r="P263" s="51"/>
      <c r="Q263" s="51"/>
      <c r="R263" s="51"/>
      <c r="S263" s="51"/>
      <c r="T263" s="51"/>
      <c r="U263" s="51"/>
      <c r="V263" s="51"/>
      <c r="W263" s="51"/>
      <c r="X263" s="51"/>
      <c r="Y263" s="51"/>
      <c r="Z263" s="51"/>
      <c r="AA263" s="89">
        <f t="shared" si="9"/>
        <v>0</v>
      </c>
      <c r="AB263" s="51"/>
      <c r="AC263" s="114" t="e">
        <f>INDEX(Tab_Def_Flows[[Flow_ID]:[CC_DM_source]],MATCH(Tab_Data_Flows[[#This Row],[Name(EN)]],Tab_Def_Flows[Name(EN)],0),16)</f>
        <v>#N/A</v>
      </c>
      <c r="AD263" s="115" t="str">
        <f>IF(J263="Yes",AA263*Tab_Data_Flows[[#This Row],[WC_'[%']]],"N.A.")</f>
        <v>N.A.</v>
      </c>
      <c r="AE263" s="61">
        <f>Tab_Data_Flows[[#This Row],[UoM_Flow_Py]]</f>
        <v>0</v>
      </c>
      <c r="AF263" s="114" t="e">
        <f>INDEX(Tab_Def_Flows[[Flow_ID]:[CC_DM_source]],MATCH(Tab_Data_Flows[[#This Row],[Name(EN)]],Tab_Def_Flows[Name(EN)],0),18)</f>
        <v>#N/A</v>
      </c>
      <c r="AG263" s="115" t="str">
        <f>IF(K263="Yes",AF263*Tab_Data_Flows[[#This Row],[Flow_Py]],"N.A.")</f>
        <v>N.A.</v>
      </c>
      <c r="AH263" s="61">
        <f>Tab_Data_Flows[[#This Row],[UoM_Flow_Py]]</f>
        <v>0</v>
      </c>
      <c r="AI263" s="114" t="e">
        <f>INDEX(Tab_Def_Flows[[Flow_ID]:[CC_DM_source]],MATCH(Tab_Data_Flows[[#This Row],[Name(EN)]],Tab_Def_Flows[Name(EN)],0),20)</f>
        <v>#N/A</v>
      </c>
      <c r="AJ263" s="115" t="str">
        <f>IF(L263="Yes",AI263*Tab_Data_Flows[[#This Row],[Flow_Py]],"N.A.")</f>
        <v>N.A.</v>
      </c>
      <c r="AK263" s="61">
        <f>Tab_Data_Flows[[#This Row],[UoM_Flow_Py]]</f>
        <v>0</v>
      </c>
    </row>
    <row r="264" spans="1:37" x14ac:dyDescent="0.35">
      <c r="A264" s="60">
        <f t="shared" si="10"/>
        <v>263</v>
      </c>
      <c r="B264" s="49" t="str">
        <f>_xlfn.XLOOKUP(C264,Tab_Def_Flows[Name(EN)],Tab_Def_Flows[Flow_ID],,0,)</f>
        <v>F_21_21</v>
      </c>
      <c r="C264" s="51"/>
      <c r="D264" s="49">
        <f>_xlfn.XLOOKUP(C264,Tab_Def_Flows[Name(EN)],Tab_Def_Flows[Type_Biomass],,0,)</f>
        <v>0</v>
      </c>
      <c r="E264" s="49">
        <f>_xlfn.XLOOKUP(C264,Tab_Def_Flows[Name(EN)],Tab_Def_Flows[Output_Process],,0,)</f>
        <v>0</v>
      </c>
      <c r="F264" s="49" t="str">
        <f>_xlfn.XLOOKUP(C264,Tab_Def_Flows[Name(EN)],Tab_Def_Flows[Process_ID_O],,0,)</f>
        <v>21__</v>
      </c>
      <c r="G264" s="49">
        <f>_xlfn.XLOOKUP(C264,Tab_Def_Flows[Name(EN)],Tab_Def_Flows[Input_Process],,0,)</f>
        <v>0</v>
      </c>
      <c r="H264" s="61" t="str">
        <f>_xlfn.XLOOKUP(C264,Tab_Def_Flows[Name(EN)],Tab_Def_Flows[Process_ID_I],,0,)</f>
        <v>21__</v>
      </c>
      <c r="I264" s="49">
        <f>_xlfn.XLOOKUP(C264,Tab_Def_Flows[Name(EN)],Tab_Def_Flows[Value_Source],,0,)</f>
        <v>0</v>
      </c>
      <c r="J264" s="49">
        <f>_xlfn.XLOOKUP(C264,Tab_Def_Flows[Name(EN)],Tab_Def_Flows[WC?],,0,)</f>
        <v>0</v>
      </c>
      <c r="K264" s="49">
        <f>_xlfn.XLOOKUP(C264,Tab_Def_Flows[Name(EN)],Tab_Def_Flows[DM?],,0,)</f>
        <v>0</v>
      </c>
      <c r="L264" s="49">
        <f>_xlfn.XLOOKUP(C264,Tab_Def_Flows[Name(EN)],Tab_Def_Flows[CC?],,0,)</f>
        <v>0</v>
      </c>
      <c r="M264" s="51"/>
      <c r="N264" s="51"/>
      <c r="O264" s="88"/>
      <c r="P264" s="51"/>
      <c r="Q264" s="51"/>
      <c r="R264" s="51"/>
      <c r="S264" s="51"/>
      <c r="T264" s="51"/>
      <c r="U264" s="51"/>
      <c r="V264" s="51"/>
      <c r="W264" s="51"/>
      <c r="X264" s="51"/>
      <c r="Y264" s="51"/>
      <c r="Z264" s="51"/>
      <c r="AA264" s="89">
        <f t="shared" si="9"/>
        <v>0</v>
      </c>
      <c r="AB264" s="51"/>
      <c r="AC264" s="114" t="e">
        <f>INDEX(Tab_Def_Flows[[Flow_ID]:[CC_DM_source]],MATCH(Tab_Data_Flows[[#This Row],[Name(EN)]],Tab_Def_Flows[Name(EN)],0),16)</f>
        <v>#N/A</v>
      </c>
      <c r="AD264" s="115" t="str">
        <f>IF(J264="Yes",AA264*Tab_Data_Flows[[#This Row],[WC_'[%']]],"N.A.")</f>
        <v>N.A.</v>
      </c>
      <c r="AE264" s="61">
        <f>Tab_Data_Flows[[#This Row],[UoM_Flow_Py]]</f>
        <v>0</v>
      </c>
      <c r="AF264" s="114" t="e">
        <f>INDEX(Tab_Def_Flows[[Flow_ID]:[CC_DM_source]],MATCH(Tab_Data_Flows[[#This Row],[Name(EN)]],Tab_Def_Flows[Name(EN)],0),18)</f>
        <v>#N/A</v>
      </c>
      <c r="AG264" s="115" t="str">
        <f>IF(K264="Yes",AF264*Tab_Data_Flows[[#This Row],[Flow_Py]],"N.A.")</f>
        <v>N.A.</v>
      </c>
      <c r="AH264" s="61">
        <f>Tab_Data_Flows[[#This Row],[UoM_Flow_Py]]</f>
        <v>0</v>
      </c>
      <c r="AI264" s="114" t="e">
        <f>INDEX(Tab_Def_Flows[[Flow_ID]:[CC_DM_source]],MATCH(Tab_Data_Flows[[#This Row],[Name(EN)]],Tab_Def_Flows[Name(EN)],0),20)</f>
        <v>#N/A</v>
      </c>
      <c r="AJ264" s="115" t="str">
        <f>IF(L264="Yes",AI264*Tab_Data_Flows[[#This Row],[Flow_Py]],"N.A.")</f>
        <v>N.A.</v>
      </c>
      <c r="AK264" s="61">
        <f>Tab_Data_Flows[[#This Row],[UoM_Flow_Py]]</f>
        <v>0</v>
      </c>
    </row>
    <row r="265" spans="1:37" x14ac:dyDescent="0.35">
      <c r="A265" s="60">
        <f t="shared" si="10"/>
        <v>264</v>
      </c>
      <c r="B265" s="49" t="str">
        <f>_xlfn.XLOOKUP(C265,Tab_Def_Flows[Name(EN)],Tab_Def_Flows[Flow_ID],,0,)</f>
        <v>F_21_21</v>
      </c>
      <c r="C265" s="51"/>
      <c r="D265" s="49">
        <f>_xlfn.XLOOKUP(C265,Tab_Def_Flows[Name(EN)],Tab_Def_Flows[Type_Biomass],,0,)</f>
        <v>0</v>
      </c>
      <c r="E265" s="49">
        <f>_xlfn.XLOOKUP(C265,Tab_Def_Flows[Name(EN)],Tab_Def_Flows[Output_Process],,0,)</f>
        <v>0</v>
      </c>
      <c r="F265" s="49" t="str">
        <f>_xlfn.XLOOKUP(C265,Tab_Def_Flows[Name(EN)],Tab_Def_Flows[Process_ID_O],,0,)</f>
        <v>21__</v>
      </c>
      <c r="G265" s="49">
        <f>_xlfn.XLOOKUP(C265,Tab_Def_Flows[Name(EN)],Tab_Def_Flows[Input_Process],,0,)</f>
        <v>0</v>
      </c>
      <c r="H265" s="61" t="str">
        <f>_xlfn.XLOOKUP(C265,Tab_Def_Flows[Name(EN)],Tab_Def_Flows[Process_ID_I],,0,)</f>
        <v>21__</v>
      </c>
      <c r="I265" s="49">
        <f>_xlfn.XLOOKUP(C265,Tab_Def_Flows[Name(EN)],Tab_Def_Flows[Value_Source],,0,)</f>
        <v>0</v>
      </c>
      <c r="J265" s="49">
        <f>_xlfn.XLOOKUP(C265,Tab_Def_Flows[Name(EN)],Tab_Def_Flows[WC?],,0,)</f>
        <v>0</v>
      </c>
      <c r="K265" s="49">
        <f>_xlfn.XLOOKUP(C265,Tab_Def_Flows[Name(EN)],Tab_Def_Flows[DM?],,0,)</f>
        <v>0</v>
      </c>
      <c r="L265" s="49">
        <f>_xlfn.XLOOKUP(C265,Tab_Def_Flows[Name(EN)],Tab_Def_Flows[CC?],,0,)</f>
        <v>0</v>
      </c>
      <c r="M265" s="51"/>
      <c r="N265" s="51"/>
      <c r="O265" s="88"/>
      <c r="P265" s="51"/>
      <c r="Q265" s="51"/>
      <c r="R265" s="51"/>
      <c r="S265" s="51"/>
      <c r="T265" s="51"/>
      <c r="U265" s="51"/>
      <c r="V265" s="51"/>
      <c r="W265" s="51"/>
      <c r="X265" s="51"/>
      <c r="Y265" s="51"/>
      <c r="Z265" s="51"/>
      <c r="AA265" s="89">
        <f t="shared" si="9"/>
        <v>0</v>
      </c>
      <c r="AB265" s="51"/>
      <c r="AC265" s="114" t="e">
        <f>INDEX(Tab_Def_Flows[[Flow_ID]:[CC_DM_source]],MATCH(Tab_Data_Flows[[#This Row],[Name(EN)]],Tab_Def_Flows[Name(EN)],0),16)</f>
        <v>#N/A</v>
      </c>
      <c r="AD265" s="115" t="str">
        <f>IF(J265="Yes",AA265*Tab_Data_Flows[[#This Row],[WC_'[%']]],"N.A.")</f>
        <v>N.A.</v>
      </c>
      <c r="AE265" s="61">
        <f>Tab_Data_Flows[[#This Row],[UoM_Flow_Py]]</f>
        <v>0</v>
      </c>
      <c r="AF265" s="114" t="e">
        <f>INDEX(Tab_Def_Flows[[Flow_ID]:[CC_DM_source]],MATCH(Tab_Data_Flows[[#This Row],[Name(EN)]],Tab_Def_Flows[Name(EN)],0),18)</f>
        <v>#N/A</v>
      </c>
      <c r="AG265" s="115" t="str">
        <f>IF(K265="Yes",AF265*Tab_Data_Flows[[#This Row],[Flow_Py]],"N.A.")</f>
        <v>N.A.</v>
      </c>
      <c r="AH265" s="61">
        <f>Tab_Data_Flows[[#This Row],[UoM_Flow_Py]]</f>
        <v>0</v>
      </c>
      <c r="AI265" s="114" t="e">
        <f>INDEX(Tab_Def_Flows[[Flow_ID]:[CC_DM_source]],MATCH(Tab_Data_Flows[[#This Row],[Name(EN)]],Tab_Def_Flows[Name(EN)],0),20)</f>
        <v>#N/A</v>
      </c>
      <c r="AJ265" s="115" t="str">
        <f>IF(L265="Yes",AI265*Tab_Data_Flows[[#This Row],[Flow_Py]],"N.A.")</f>
        <v>N.A.</v>
      </c>
      <c r="AK265" s="61">
        <f>Tab_Data_Flows[[#This Row],[UoM_Flow_Py]]</f>
        <v>0</v>
      </c>
    </row>
    <row r="266" spans="1:37" x14ac:dyDescent="0.35">
      <c r="A266" s="60">
        <f t="shared" si="10"/>
        <v>265</v>
      </c>
      <c r="B266" s="49" t="str">
        <f>_xlfn.XLOOKUP(C266,Tab_Def_Flows[Name(EN)],Tab_Def_Flows[Flow_ID],,0,)</f>
        <v>F_21_21</v>
      </c>
      <c r="C266" s="51"/>
      <c r="D266" s="49">
        <f>_xlfn.XLOOKUP(C266,Tab_Def_Flows[Name(EN)],Tab_Def_Flows[Type_Biomass],,0,)</f>
        <v>0</v>
      </c>
      <c r="E266" s="49">
        <f>_xlfn.XLOOKUP(C266,Tab_Def_Flows[Name(EN)],Tab_Def_Flows[Output_Process],,0,)</f>
        <v>0</v>
      </c>
      <c r="F266" s="49" t="str">
        <f>_xlfn.XLOOKUP(C266,Tab_Def_Flows[Name(EN)],Tab_Def_Flows[Process_ID_O],,0,)</f>
        <v>21__</v>
      </c>
      <c r="G266" s="49">
        <f>_xlfn.XLOOKUP(C266,Tab_Def_Flows[Name(EN)],Tab_Def_Flows[Input_Process],,0,)</f>
        <v>0</v>
      </c>
      <c r="H266" s="61" t="str">
        <f>_xlfn.XLOOKUP(C266,Tab_Def_Flows[Name(EN)],Tab_Def_Flows[Process_ID_I],,0,)</f>
        <v>21__</v>
      </c>
      <c r="I266" s="49">
        <f>_xlfn.XLOOKUP(C266,Tab_Def_Flows[Name(EN)],Tab_Def_Flows[Value_Source],,0,)</f>
        <v>0</v>
      </c>
      <c r="J266" s="49">
        <f>_xlfn.XLOOKUP(C266,Tab_Def_Flows[Name(EN)],Tab_Def_Flows[WC?],,0,)</f>
        <v>0</v>
      </c>
      <c r="K266" s="49">
        <f>_xlfn.XLOOKUP(C266,Tab_Def_Flows[Name(EN)],Tab_Def_Flows[DM?],,0,)</f>
        <v>0</v>
      </c>
      <c r="L266" s="49">
        <f>_xlfn.XLOOKUP(C266,Tab_Def_Flows[Name(EN)],Tab_Def_Flows[CC?],,0,)</f>
        <v>0</v>
      </c>
      <c r="M266" s="51"/>
      <c r="N266" s="51"/>
      <c r="O266" s="88"/>
      <c r="P266" s="51"/>
      <c r="Q266" s="51"/>
      <c r="R266" s="51"/>
      <c r="S266" s="51"/>
      <c r="T266" s="51"/>
      <c r="U266" s="51"/>
      <c r="V266" s="51"/>
      <c r="W266" s="51"/>
      <c r="X266" s="51"/>
      <c r="Y266" s="51"/>
      <c r="Z266" s="51"/>
      <c r="AA266" s="89">
        <f t="shared" si="9"/>
        <v>0</v>
      </c>
      <c r="AB266" s="51"/>
      <c r="AC266" s="114" t="e">
        <f>INDEX(Tab_Def_Flows[[Flow_ID]:[CC_DM_source]],MATCH(Tab_Data_Flows[[#This Row],[Name(EN)]],Tab_Def_Flows[Name(EN)],0),16)</f>
        <v>#N/A</v>
      </c>
      <c r="AD266" s="115" t="str">
        <f>IF(J266="Yes",AA266*Tab_Data_Flows[[#This Row],[WC_'[%']]],"N.A.")</f>
        <v>N.A.</v>
      </c>
      <c r="AE266" s="61">
        <f>Tab_Data_Flows[[#This Row],[UoM_Flow_Py]]</f>
        <v>0</v>
      </c>
      <c r="AF266" s="114" t="e">
        <f>INDEX(Tab_Def_Flows[[Flow_ID]:[CC_DM_source]],MATCH(Tab_Data_Flows[[#This Row],[Name(EN)]],Tab_Def_Flows[Name(EN)],0),18)</f>
        <v>#N/A</v>
      </c>
      <c r="AG266" s="115" t="str">
        <f>IF(K266="Yes",AF266*Tab_Data_Flows[[#This Row],[Flow_Py]],"N.A.")</f>
        <v>N.A.</v>
      </c>
      <c r="AH266" s="61">
        <f>Tab_Data_Flows[[#This Row],[UoM_Flow_Py]]</f>
        <v>0</v>
      </c>
      <c r="AI266" s="114" t="e">
        <f>INDEX(Tab_Def_Flows[[Flow_ID]:[CC_DM_source]],MATCH(Tab_Data_Flows[[#This Row],[Name(EN)]],Tab_Def_Flows[Name(EN)],0),20)</f>
        <v>#N/A</v>
      </c>
      <c r="AJ266" s="115" t="str">
        <f>IF(L266="Yes",AI266*Tab_Data_Flows[[#This Row],[Flow_Py]],"N.A.")</f>
        <v>N.A.</v>
      </c>
      <c r="AK266" s="61">
        <f>Tab_Data_Flows[[#This Row],[UoM_Flow_Py]]</f>
        <v>0</v>
      </c>
    </row>
    <row r="267" spans="1:37" x14ac:dyDescent="0.35">
      <c r="A267" s="60">
        <f t="shared" si="10"/>
        <v>266</v>
      </c>
      <c r="B267" s="49" t="str">
        <f>_xlfn.XLOOKUP(C267,Tab_Def_Flows[Name(EN)],Tab_Def_Flows[Flow_ID],,0,)</f>
        <v>F_21_21</v>
      </c>
      <c r="C267" s="51"/>
      <c r="D267" s="49">
        <f>_xlfn.XLOOKUP(C267,Tab_Def_Flows[Name(EN)],Tab_Def_Flows[Type_Biomass],,0,)</f>
        <v>0</v>
      </c>
      <c r="E267" s="49">
        <f>_xlfn.XLOOKUP(C267,Tab_Def_Flows[Name(EN)],Tab_Def_Flows[Output_Process],,0,)</f>
        <v>0</v>
      </c>
      <c r="F267" s="49" t="str">
        <f>_xlfn.XLOOKUP(C267,Tab_Def_Flows[Name(EN)],Tab_Def_Flows[Process_ID_O],,0,)</f>
        <v>21__</v>
      </c>
      <c r="G267" s="49">
        <f>_xlfn.XLOOKUP(C267,Tab_Def_Flows[Name(EN)],Tab_Def_Flows[Input_Process],,0,)</f>
        <v>0</v>
      </c>
      <c r="H267" s="61" t="str">
        <f>_xlfn.XLOOKUP(C267,Tab_Def_Flows[Name(EN)],Tab_Def_Flows[Process_ID_I],,0,)</f>
        <v>21__</v>
      </c>
      <c r="I267" s="49">
        <f>_xlfn.XLOOKUP(C267,Tab_Def_Flows[Name(EN)],Tab_Def_Flows[Value_Source],,0,)</f>
        <v>0</v>
      </c>
      <c r="J267" s="49">
        <f>_xlfn.XLOOKUP(C267,Tab_Def_Flows[Name(EN)],Tab_Def_Flows[WC?],,0,)</f>
        <v>0</v>
      </c>
      <c r="K267" s="49">
        <f>_xlfn.XLOOKUP(C267,Tab_Def_Flows[Name(EN)],Tab_Def_Flows[DM?],,0,)</f>
        <v>0</v>
      </c>
      <c r="L267" s="49">
        <f>_xlfn.XLOOKUP(C267,Tab_Def_Flows[Name(EN)],Tab_Def_Flows[CC?],,0,)</f>
        <v>0</v>
      </c>
      <c r="M267" s="51"/>
      <c r="N267" s="51"/>
      <c r="O267" s="88"/>
      <c r="P267" s="51"/>
      <c r="Q267" s="51"/>
      <c r="R267" s="51"/>
      <c r="S267" s="51"/>
      <c r="T267" s="51"/>
      <c r="U267" s="51"/>
      <c r="V267" s="51"/>
      <c r="W267" s="51"/>
      <c r="X267" s="51"/>
      <c r="Y267" s="51"/>
      <c r="Z267" s="51"/>
      <c r="AA267" s="89">
        <f t="shared" si="9"/>
        <v>0</v>
      </c>
      <c r="AB267" s="51"/>
      <c r="AC267" s="114" t="e">
        <f>INDEX(Tab_Def_Flows[[Flow_ID]:[CC_DM_source]],MATCH(Tab_Data_Flows[[#This Row],[Name(EN)]],Tab_Def_Flows[Name(EN)],0),16)</f>
        <v>#N/A</v>
      </c>
      <c r="AD267" s="115" t="str">
        <f>IF(J267="Yes",AA267*Tab_Data_Flows[[#This Row],[WC_'[%']]],"N.A.")</f>
        <v>N.A.</v>
      </c>
      <c r="AE267" s="61">
        <f>Tab_Data_Flows[[#This Row],[UoM_Flow_Py]]</f>
        <v>0</v>
      </c>
      <c r="AF267" s="114" t="e">
        <f>INDEX(Tab_Def_Flows[[Flow_ID]:[CC_DM_source]],MATCH(Tab_Data_Flows[[#This Row],[Name(EN)]],Tab_Def_Flows[Name(EN)],0),18)</f>
        <v>#N/A</v>
      </c>
      <c r="AG267" s="115" t="str">
        <f>IF(K267="Yes",AF267*Tab_Data_Flows[[#This Row],[Flow_Py]],"N.A.")</f>
        <v>N.A.</v>
      </c>
      <c r="AH267" s="61">
        <f>Tab_Data_Flows[[#This Row],[UoM_Flow_Py]]</f>
        <v>0</v>
      </c>
      <c r="AI267" s="114" t="e">
        <f>INDEX(Tab_Def_Flows[[Flow_ID]:[CC_DM_source]],MATCH(Tab_Data_Flows[[#This Row],[Name(EN)]],Tab_Def_Flows[Name(EN)],0),20)</f>
        <v>#N/A</v>
      </c>
      <c r="AJ267" s="115" t="str">
        <f>IF(L267="Yes",AI267*Tab_Data_Flows[[#This Row],[Flow_Py]],"N.A.")</f>
        <v>N.A.</v>
      </c>
      <c r="AK267" s="61">
        <f>Tab_Data_Flows[[#This Row],[UoM_Flow_Py]]</f>
        <v>0</v>
      </c>
    </row>
    <row r="268" spans="1:37" x14ac:dyDescent="0.35">
      <c r="A268" s="60">
        <f t="shared" si="10"/>
        <v>267</v>
      </c>
      <c r="B268" s="49" t="str">
        <f>_xlfn.XLOOKUP(C268,Tab_Def_Flows[Name(EN)],Tab_Def_Flows[Flow_ID],,0,)</f>
        <v>F_21_21</v>
      </c>
      <c r="C268" s="51"/>
      <c r="D268" s="49">
        <f>_xlfn.XLOOKUP(C268,Tab_Def_Flows[Name(EN)],Tab_Def_Flows[Type_Biomass],,0,)</f>
        <v>0</v>
      </c>
      <c r="E268" s="49">
        <f>_xlfn.XLOOKUP(C268,Tab_Def_Flows[Name(EN)],Tab_Def_Flows[Output_Process],,0,)</f>
        <v>0</v>
      </c>
      <c r="F268" s="49" t="str">
        <f>_xlfn.XLOOKUP(C268,Tab_Def_Flows[Name(EN)],Tab_Def_Flows[Process_ID_O],,0,)</f>
        <v>21__</v>
      </c>
      <c r="G268" s="49">
        <f>_xlfn.XLOOKUP(C268,Tab_Def_Flows[Name(EN)],Tab_Def_Flows[Input_Process],,0,)</f>
        <v>0</v>
      </c>
      <c r="H268" s="61" t="str">
        <f>_xlfn.XLOOKUP(C268,Tab_Def_Flows[Name(EN)],Tab_Def_Flows[Process_ID_I],,0,)</f>
        <v>21__</v>
      </c>
      <c r="I268" s="49">
        <f>_xlfn.XLOOKUP(C268,Tab_Def_Flows[Name(EN)],Tab_Def_Flows[Value_Source],,0,)</f>
        <v>0</v>
      </c>
      <c r="J268" s="49">
        <f>_xlfn.XLOOKUP(C268,Tab_Def_Flows[Name(EN)],Tab_Def_Flows[WC?],,0,)</f>
        <v>0</v>
      </c>
      <c r="K268" s="49">
        <f>_xlfn.XLOOKUP(C268,Tab_Def_Flows[Name(EN)],Tab_Def_Flows[DM?],,0,)</f>
        <v>0</v>
      </c>
      <c r="L268" s="49">
        <f>_xlfn.XLOOKUP(C268,Tab_Def_Flows[Name(EN)],Tab_Def_Flows[CC?],,0,)</f>
        <v>0</v>
      </c>
      <c r="M268" s="51"/>
      <c r="N268" s="51"/>
      <c r="O268" s="88"/>
      <c r="P268" s="51"/>
      <c r="Q268" s="51"/>
      <c r="R268" s="51"/>
      <c r="S268" s="51"/>
      <c r="T268" s="51"/>
      <c r="U268" s="51"/>
      <c r="V268" s="51"/>
      <c r="W268" s="51"/>
      <c r="X268" s="51"/>
      <c r="Y268" s="51"/>
      <c r="Z268" s="51"/>
      <c r="AA268" s="89">
        <f t="shared" si="9"/>
        <v>0</v>
      </c>
      <c r="AB268" s="51"/>
      <c r="AC268" s="114" t="e">
        <f>INDEX(Tab_Def_Flows[[Flow_ID]:[CC_DM_source]],MATCH(Tab_Data_Flows[[#This Row],[Name(EN)]],Tab_Def_Flows[Name(EN)],0),16)</f>
        <v>#N/A</v>
      </c>
      <c r="AD268" s="115" t="str">
        <f>IF(J268="Yes",AA268*Tab_Data_Flows[[#This Row],[WC_'[%']]],"N.A.")</f>
        <v>N.A.</v>
      </c>
      <c r="AE268" s="61">
        <f>Tab_Data_Flows[[#This Row],[UoM_Flow_Py]]</f>
        <v>0</v>
      </c>
      <c r="AF268" s="114" t="e">
        <f>INDEX(Tab_Def_Flows[[Flow_ID]:[CC_DM_source]],MATCH(Tab_Data_Flows[[#This Row],[Name(EN)]],Tab_Def_Flows[Name(EN)],0),18)</f>
        <v>#N/A</v>
      </c>
      <c r="AG268" s="115" t="str">
        <f>IF(K268="Yes",AF268*Tab_Data_Flows[[#This Row],[Flow_Py]],"N.A.")</f>
        <v>N.A.</v>
      </c>
      <c r="AH268" s="61">
        <f>Tab_Data_Flows[[#This Row],[UoM_Flow_Py]]</f>
        <v>0</v>
      </c>
      <c r="AI268" s="114" t="e">
        <f>INDEX(Tab_Def_Flows[[Flow_ID]:[CC_DM_source]],MATCH(Tab_Data_Flows[[#This Row],[Name(EN)]],Tab_Def_Flows[Name(EN)],0),20)</f>
        <v>#N/A</v>
      </c>
      <c r="AJ268" s="115" t="str">
        <f>IF(L268="Yes",AI268*Tab_Data_Flows[[#This Row],[Flow_Py]],"N.A.")</f>
        <v>N.A.</v>
      </c>
      <c r="AK268" s="61">
        <f>Tab_Data_Flows[[#This Row],[UoM_Flow_Py]]</f>
        <v>0</v>
      </c>
    </row>
    <row r="269" spans="1:37" x14ac:dyDescent="0.35">
      <c r="A269" s="60">
        <f t="shared" si="10"/>
        <v>268</v>
      </c>
      <c r="B269" s="49" t="str">
        <f>_xlfn.XLOOKUP(C269,Tab_Def_Flows[Name(EN)],Tab_Def_Flows[Flow_ID],,0,)</f>
        <v>F_21_21</v>
      </c>
      <c r="C269" s="51"/>
      <c r="D269" s="49">
        <f>_xlfn.XLOOKUP(C269,Tab_Def_Flows[Name(EN)],Tab_Def_Flows[Type_Biomass],,0,)</f>
        <v>0</v>
      </c>
      <c r="E269" s="49">
        <f>_xlfn.XLOOKUP(C269,Tab_Def_Flows[Name(EN)],Tab_Def_Flows[Output_Process],,0,)</f>
        <v>0</v>
      </c>
      <c r="F269" s="49" t="str">
        <f>_xlfn.XLOOKUP(C269,Tab_Def_Flows[Name(EN)],Tab_Def_Flows[Process_ID_O],,0,)</f>
        <v>21__</v>
      </c>
      <c r="G269" s="49">
        <f>_xlfn.XLOOKUP(C269,Tab_Def_Flows[Name(EN)],Tab_Def_Flows[Input_Process],,0,)</f>
        <v>0</v>
      </c>
      <c r="H269" s="61" t="str">
        <f>_xlfn.XLOOKUP(C269,Tab_Def_Flows[Name(EN)],Tab_Def_Flows[Process_ID_I],,0,)</f>
        <v>21__</v>
      </c>
      <c r="I269" s="49">
        <f>_xlfn.XLOOKUP(C269,Tab_Def_Flows[Name(EN)],Tab_Def_Flows[Value_Source],,0,)</f>
        <v>0</v>
      </c>
      <c r="J269" s="49">
        <f>_xlfn.XLOOKUP(C269,Tab_Def_Flows[Name(EN)],Tab_Def_Flows[WC?],,0,)</f>
        <v>0</v>
      </c>
      <c r="K269" s="49">
        <f>_xlfn.XLOOKUP(C269,Tab_Def_Flows[Name(EN)],Tab_Def_Flows[DM?],,0,)</f>
        <v>0</v>
      </c>
      <c r="L269" s="49">
        <f>_xlfn.XLOOKUP(C269,Tab_Def_Flows[Name(EN)],Tab_Def_Flows[CC?],,0,)</f>
        <v>0</v>
      </c>
      <c r="M269" s="51"/>
      <c r="N269" s="51"/>
      <c r="O269" s="88"/>
      <c r="P269" s="51"/>
      <c r="Q269" s="51"/>
      <c r="R269" s="51"/>
      <c r="S269" s="51"/>
      <c r="T269" s="51"/>
      <c r="U269" s="51"/>
      <c r="V269" s="51"/>
      <c r="W269" s="51"/>
      <c r="X269" s="51"/>
      <c r="Y269" s="51"/>
      <c r="Z269" s="51"/>
      <c r="AA269" s="89">
        <f t="shared" si="9"/>
        <v>0</v>
      </c>
      <c r="AB269" s="51"/>
      <c r="AC269" s="114" t="e">
        <f>INDEX(Tab_Def_Flows[[Flow_ID]:[CC_DM_source]],MATCH(Tab_Data_Flows[[#This Row],[Name(EN)]],Tab_Def_Flows[Name(EN)],0),16)</f>
        <v>#N/A</v>
      </c>
      <c r="AD269" s="115" t="str">
        <f>IF(J269="Yes",AA269*Tab_Data_Flows[[#This Row],[WC_'[%']]],"N.A.")</f>
        <v>N.A.</v>
      </c>
      <c r="AE269" s="61">
        <f>Tab_Data_Flows[[#This Row],[UoM_Flow_Py]]</f>
        <v>0</v>
      </c>
      <c r="AF269" s="114" t="e">
        <f>INDEX(Tab_Def_Flows[[Flow_ID]:[CC_DM_source]],MATCH(Tab_Data_Flows[[#This Row],[Name(EN)]],Tab_Def_Flows[Name(EN)],0),18)</f>
        <v>#N/A</v>
      </c>
      <c r="AG269" s="115" t="str">
        <f>IF(K269="Yes",AF269*Tab_Data_Flows[[#This Row],[Flow_Py]],"N.A.")</f>
        <v>N.A.</v>
      </c>
      <c r="AH269" s="61">
        <f>Tab_Data_Flows[[#This Row],[UoM_Flow_Py]]</f>
        <v>0</v>
      </c>
      <c r="AI269" s="114" t="e">
        <f>INDEX(Tab_Def_Flows[[Flow_ID]:[CC_DM_source]],MATCH(Tab_Data_Flows[[#This Row],[Name(EN)]],Tab_Def_Flows[Name(EN)],0),20)</f>
        <v>#N/A</v>
      </c>
      <c r="AJ269" s="115" t="str">
        <f>IF(L269="Yes",AI269*Tab_Data_Flows[[#This Row],[Flow_Py]],"N.A.")</f>
        <v>N.A.</v>
      </c>
      <c r="AK269" s="61">
        <f>Tab_Data_Flows[[#This Row],[UoM_Flow_Py]]</f>
        <v>0</v>
      </c>
    </row>
    <row r="270" spans="1:37" x14ac:dyDescent="0.35">
      <c r="A270" s="60">
        <f t="shared" si="10"/>
        <v>269</v>
      </c>
      <c r="B270" s="49" t="str">
        <f>_xlfn.XLOOKUP(C270,Tab_Def_Flows[Name(EN)],Tab_Def_Flows[Flow_ID],,0,)</f>
        <v>F_21_21</v>
      </c>
      <c r="C270" s="51"/>
      <c r="D270" s="49">
        <f>_xlfn.XLOOKUP(C270,Tab_Def_Flows[Name(EN)],Tab_Def_Flows[Type_Biomass],,0,)</f>
        <v>0</v>
      </c>
      <c r="E270" s="49">
        <f>_xlfn.XLOOKUP(C270,Tab_Def_Flows[Name(EN)],Tab_Def_Flows[Output_Process],,0,)</f>
        <v>0</v>
      </c>
      <c r="F270" s="49" t="str">
        <f>_xlfn.XLOOKUP(C270,Tab_Def_Flows[Name(EN)],Tab_Def_Flows[Process_ID_O],,0,)</f>
        <v>21__</v>
      </c>
      <c r="G270" s="49">
        <f>_xlfn.XLOOKUP(C270,Tab_Def_Flows[Name(EN)],Tab_Def_Flows[Input_Process],,0,)</f>
        <v>0</v>
      </c>
      <c r="H270" s="61" t="str">
        <f>_xlfn.XLOOKUP(C270,Tab_Def_Flows[Name(EN)],Tab_Def_Flows[Process_ID_I],,0,)</f>
        <v>21__</v>
      </c>
      <c r="I270" s="49">
        <f>_xlfn.XLOOKUP(C270,Tab_Def_Flows[Name(EN)],Tab_Def_Flows[Value_Source],,0,)</f>
        <v>0</v>
      </c>
      <c r="J270" s="49">
        <f>_xlfn.XLOOKUP(C270,Tab_Def_Flows[Name(EN)],Tab_Def_Flows[WC?],,0,)</f>
        <v>0</v>
      </c>
      <c r="K270" s="49">
        <f>_xlfn.XLOOKUP(C270,Tab_Def_Flows[Name(EN)],Tab_Def_Flows[DM?],,0,)</f>
        <v>0</v>
      </c>
      <c r="L270" s="49">
        <f>_xlfn.XLOOKUP(C270,Tab_Def_Flows[Name(EN)],Tab_Def_Flows[CC?],,0,)</f>
        <v>0</v>
      </c>
      <c r="M270" s="51"/>
      <c r="N270" s="51"/>
      <c r="O270" s="88"/>
      <c r="P270" s="51"/>
      <c r="Q270" s="51"/>
      <c r="R270" s="51"/>
      <c r="S270" s="51"/>
      <c r="T270" s="51"/>
      <c r="U270" s="51"/>
      <c r="V270" s="51"/>
      <c r="W270" s="51"/>
      <c r="X270" s="51"/>
      <c r="Y270" s="51"/>
      <c r="Z270" s="51"/>
      <c r="AA270" s="89">
        <f t="shared" si="9"/>
        <v>0</v>
      </c>
      <c r="AB270" s="51"/>
      <c r="AC270" s="114" t="e">
        <f>INDEX(Tab_Def_Flows[[Flow_ID]:[CC_DM_source]],MATCH(Tab_Data_Flows[[#This Row],[Name(EN)]],Tab_Def_Flows[Name(EN)],0),16)</f>
        <v>#N/A</v>
      </c>
      <c r="AD270" s="115" t="str">
        <f>IF(J270="Yes",AA270*Tab_Data_Flows[[#This Row],[WC_'[%']]],"N.A.")</f>
        <v>N.A.</v>
      </c>
      <c r="AE270" s="61">
        <f>Tab_Data_Flows[[#This Row],[UoM_Flow_Py]]</f>
        <v>0</v>
      </c>
      <c r="AF270" s="114" t="e">
        <f>INDEX(Tab_Def_Flows[[Flow_ID]:[CC_DM_source]],MATCH(Tab_Data_Flows[[#This Row],[Name(EN)]],Tab_Def_Flows[Name(EN)],0),18)</f>
        <v>#N/A</v>
      </c>
      <c r="AG270" s="115" t="str">
        <f>IF(K270="Yes",AF270*Tab_Data_Flows[[#This Row],[Flow_Py]],"N.A.")</f>
        <v>N.A.</v>
      </c>
      <c r="AH270" s="61">
        <f>Tab_Data_Flows[[#This Row],[UoM_Flow_Py]]</f>
        <v>0</v>
      </c>
      <c r="AI270" s="114" t="e">
        <f>INDEX(Tab_Def_Flows[[Flow_ID]:[CC_DM_source]],MATCH(Tab_Data_Flows[[#This Row],[Name(EN)]],Tab_Def_Flows[Name(EN)],0),20)</f>
        <v>#N/A</v>
      </c>
      <c r="AJ270" s="115" t="str">
        <f>IF(L270="Yes",AI270*Tab_Data_Flows[[#This Row],[Flow_Py]],"N.A.")</f>
        <v>N.A.</v>
      </c>
      <c r="AK270" s="61">
        <f>Tab_Data_Flows[[#This Row],[UoM_Flow_Py]]</f>
        <v>0</v>
      </c>
    </row>
    <row r="271" spans="1:37" x14ac:dyDescent="0.35">
      <c r="A271" s="60">
        <f t="shared" si="10"/>
        <v>270</v>
      </c>
      <c r="B271" s="49" t="str">
        <f>_xlfn.XLOOKUP(C271,Tab_Def_Flows[Name(EN)],Tab_Def_Flows[Flow_ID],,0,)</f>
        <v>F_21_21</v>
      </c>
      <c r="C271" s="51"/>
      <c r="D271" s="49">
        <f>_xlfn.XLOOKUP(C271,Tab_Def_Flows[Name(EN)],Tab_Def_Flows[Type_Biomass],,0,)</f>
        <v>0</v>
      </c>
      <c r="E271" s="49">
        <f>_xlfn.XLOOKUP(C271,Tab_Def_Flows[Name(EN)],Tab_Def_Flows[Output_Process],,0,)</f>
        <v>0</v>
      </c>
      <c r="F271" s="49" t="str">
        <f>_xlfn.XLOOKUP(C271,Tab_Def_Flows[Name(EN)],Tab_Def_Flows[Process_ID_O],,0,)</f>
        <v>21__</v>
      </c>
      <c r="G271" s="49">
        <f>_xlfn.XLOOKUP(C271,Tab_Def_Flows[Name(EN)],Tab_Def_Flows[Input_Process],,0,)</f>
        <v>0</v>
      </c>
      <c r="H271" s="61" t="str">
        <f>_xlfn.XLOOKUP(C271,Tab_Def_Flows[Name(EN)],Tab_Def_Flows[Process_ID_I],,0,)</f>
        <v>21__</v>
      </c>
      <c r="I271" s="49">
        <f>_xlfn.XLOOKUP(C271,Tab_Def_Flows[Name(EN)],Tab_Def_Flows[Value_Source],,0,)</f>
        <v>0</v>
      </c>
      <c r="J271" s="49">
        <f>_xlfn.XLOOKUP(C271,Tab_Def_Flows[Name(EN)],Tab_Def_Flows[WC?],,0,)</f>
        <v>0</v>
      </c>
      <c r="K271" s="49">
        <f>_xlfn.XLOOKUP(C271,Tab_Def_Flows[Name(EN)],Tab_Def_Flows[DM?],,0,)</f>
        <v>0</v>
      </c>
      <c r="L271" s="49">
        <f>_xlfn.XLOOKUP(C271,Tab_Def_Flows[Name(EN)],Tab_Def_Flows[CC?],,0,)</f>
        <v>0</v>
      </c>
      <c r="M271" s="51"/>
      <c r="N271" s="51"/>
      <c r="O271" s="88"/>
      <c r="P271" s="51"/>
      <c r="Q271" s="51"/>
      <c r="R271" s="51"/>
      <c r="S271" s="51"/>
      <c r="T271" s="51"/>
      <c r="U271" s="51"/>
      <c r="V271" s="51"/>
      <c r="W271" s="51"/>
      <c r="X271" s="51"/>
      <c r="Y271" s="51"/>
      <c r="Z271" s="51"/>
      <c r="AA271" s="89">
        <f t="shared" si="9"/>
        <v>0</v>
      </c>
      <c r="AB271" s="51"/>
      <c r="AC271" s="114" t="e">
        <f>INDEX(Tab_Def_Flows[[Flow_ID]:[CC_DM_source]],MATCH(Tab_Data_Flows[[#This Row],[Name(EN)]],Tab_Def_Flows[Name(EN)],0),16)</f>
        <v>#N/A</v>
      </c>
      <c r="AD271" s="115" t="str">
        <f>IF(J271="Yes",AA271*Tab_Data_Flows[[#This Row],[WC_'[%']]],"N.A.")</f>
        <v>N.A.</v>
      </c>
      <c r="AE271" s="61">
        <f>Tab_Data_Flows[[#This Row],[UoM_Flow_Py]]</f>
        <v>0</v>
      </c>
      <c r="AF271" s="114" t="e">
        <f>INDEX(Tab_Def_Flows[[Flow_ID]:[CC_DM_source]],MATCH(Tab_Data_Flows[[#This Row],[Name(EN)]],Tab_Def_Flows[Name(EN)],0),18)</f>
        <v>#N/A</v>
      </c>
      <c r="AG271" s="115" t="str">
        <f>IF(K271="Yes",AF271*Tab_Data_Flows[[#This Row],[Flow_Py]],"N.A.")</f>
        <v>N.A.</v>
      </c>
      <c r="AH271" s="61">
        <f>Tab_Data_Flows[[#This Row],[UoM_Flow_Py]]</f>
        <v>0</v>
      </c>
      <c r="AI271" s="114" t="e">
        <f>INDEX(Tab_Def_Flows[[Flow_ID]:[CC_DM_source]],MATCH(Tab_Data_Flows[[#This Row],[Name(EN)]],Tab_Def_Flows[Name(EN)],0),20)</f>
        <v>#N/A</v>
      </c>
      <c r="AJ271" s="115" t="str">
        <f>IF(L271="Yes",AI271*Tab_Data_Flows[[#This Row],[Flow_Py]],"N.A.")</f>
        <v>N.A.</v>
      </c>
      <c r="AK271" s="61">
        <f>Tab_Data_Flows[[#This Row],[UoM_Flow_Py]]</f>
        <v>0</v>
      </c>
    </row>
    <row r="272" spans="1:37" x14ac:dyDescent="0.35">
      <c r="A272" s="60">
        <f t="shared" si="10"/>
        <v>271</v>
      </c>
      <c r="B272" s="49" t="str">
        <f>_xlfn.XLOOKUP(C272,Tab_Def_Flows[Name(EN)],Tab_Def_Flows[Flow_ID],,0,)</f>
        <v>F_21_21</v>
      </c>
      <c r="C272" s="51"/>
      <c r="D272" s="49">
        <f>_xlfn.XLOOKUP(C272,Tab_Def_Flows[Name(EN)],Tab_Def_Flows[Type_Biomass],,0,)</f>
        <v>0</v>
      </c>
      <c r="E272" s="49">
        <f>_xlfn.XLOOKUP(C272,Tab_Def_Flows[Name(EN)],Tab_Def_Flows[Output_Process],,0,)</f>
        <v>0</v>
      </c>
      <c r="F272" s="49" t="str">
        <f>_xlfn.XLOOKUP(C272,Tab_Def_Flows[Name(EN)],Tab_Def_Flows[Process_ID_O],,0,)</f>
        <v>21__</v>
      </c>
      <c r="G272" s="49">
        <f>_xlfn.XLOOKUP(C272,Tab_Def_Flows[Name(EN)],Tab_Def_Flows[Input_Process],,0,)</f>
        <v>0</v>
      </c>
      <c r="H272" s="61" t="str">
        <f>_xlfn.XLOOKUP(C272,Tab_Def_Flows[Name(EN)],Tab_Def_Flows[Process_ID_I],,0,)</f>
        <v>21__</v>
      </c>
      <c r="I272" s="49">
        <f>_xlfn.XLOOKUP(C272,Tab_Def_Flows[Name(EN)],Tab_Def_Flows[Value_Source],,0,)</f>
        <v>0</v>
      </c>
      <c r="J272" s="49">
        <f>_xlfn.XLOOKUP(C272,Tab_Def_Flows[Name(EN)],Tab_Def_Flows[WC?],,0,)</f>
        <v>0</v>
      </c>
      <c r="K272" s="49">
        <f>_xlfn.XLOOKUP(C272,Tab_Def_Flows[Name(EN)],Tab_Def_Flows[DM?],,0,)</f>
        <v>0</v>
      </c>
      <c r="L272" s="49">
        <f>_xlfn.XLOOKUP(C272,Tab_Def_Flows[Name(EN)],Tab_Def_Flows[CC?],,0,)</f>
        <v>0</v>
      </c>
      <c r="M272" s="51"/>
      <c r="N272" s="51"/>
      <c r="O272" s="88"/>
      <c r="P272" s="51"/>
      <c r="Q272" s="51"/>
      <c r="R272" s="51"/>
      <c r="S272" s="51"/>
      <c r="T272" s="51"/>
      <c r="U272" s="51"/>
      <c r="V272" s="51"/>
      <c r="W272" s="51"/>
      <c r="X272" s="51"/>
      <c r="Y272" s="51"/>
      <c r="Z272" s="51"/>
      <c r="AA272" s="89">
        <f t="shared" si="9"/>
        <v>0</v>
      </c>
      <c r="AB272" s="51"/>
      <c r="AC272" s="114" t="e">
        <f>INDEX(Tab_Def_Flows[[Flow_ID]:[CC_DM_source]],MATCH(Tab_Data_Flows[[#This Row],[Name(EN)]],Tab_Def_Flows[Name(EN)],0),16)</f>
        <v>#N/A</v>
      </c>
      <c r="AD272" s="115" t="str">
        <f>IF(J272="Yes",AA272*Tab_Data_Flows[[#This Row],[WC_'[%']]],"N.A.")</f>
        <v>N.A.</v>
      </c>
      <c r="AE272" s="61">
        <f>Tab_Data_Flows[[#This Row],[UoM_Flow_Py]]</f>
        <v>0</v>
      </c>
      <c r="AF272" s="114" t="e">
        <f>INDEX(Tab_Def_Flows[[Flow_ID]:[CC_DM_source]],MATCH(Tab_Data_Flows[[#This Row],[Name(EN)]],Tab_Def_Flows[Name(EN)],0),18)</f>
        <v>#N/A</v>
      </c>
      <c r="AG272" s="115" t="str">
        <f>IF(K272="Yes",AF272*Tab_Data_Flows[[#This Row],[Flow_Py]],"N.A.")</f>
        <v>N.A.</v>
      </c>
      <c r="AH272" s="61">
        <f>Tab_Data_Flows[[#This Row],[UoM_Flow_Py]]</f>
        <v>0</v>
      </c>
      <c r="AI272" s="114" t="e">
        <f>INDEX(Tab_Def_Flows[[Flow_ID]:[CC_DM_source]],MATCH(Tab_Data_Flows[[#This Row],[Name(EN)]],Tab_Def_Flows[Name(EN)],0),20)</f>
        <v>#N/A</v>
      </c>
      <c r="AJ272" s="115" t="str">
        <f>IF(L272="Yes",AI272*Tab_Data_Flows[[#This Row],[Flow_Py]],"N.A.")</f>
        <v>N.A.</v>
      </c>
      <c r="AK272" s="61">
        <f>Tab_Data_Flows[[#This Row],[UoM_Flow_Py]]</f>
        <v>0</v>
      </c>
    </row>
    <row r="273" spans="1:37" x14ac:dyDescent="0.35">
      <c r="A273" s="60">
        <f t="shared" si="10"/>
        <v>272</v>
      </c>
      <c r="B273" s="49" t="str">
        <f>_xlfn.XLOOKUP(C273,Tab_Def_Flows[Name(EN)],Tab_Def_Flows[Flow_ID],,0,)</f>
        <v>F_21_21</v>
      </c>
      <c r="C273" s="51"/>
      <c r="D273" s="49">
        <f>_xlfn.XLOOKUP(C273,Tab_Def_Flows[Name(EN)],Tab_Def_Flows[Type_Biomass],,0,)</f>
        <v>0</v>
      </c>
      <c r="E273" s="49">
        <f>_xlfn.XLOOKUP(C273,Tab_Def_Flows[Name(EN)],Tab_Def_Flows[Output_Process],,0,)</f>
        <v>0</v>
      </c>
      <c r="F273" s="49" t="str">
        <f>_xlfn.XLOOKUP(C273,Tab_Def_Flows[Name(EN)],Tab_Def_Flows[Process_ID_O],,0,)</f>
        <v>21__</v>
      </c>
      <c r="G273" s="49">
        <f>_xlfn.XLOOKUP(C273,Tab_Def_Flows[Name(EN)],Tab_Def_Flows[Input_Process],,0,)</f>
        <v>0</v>
      </c>
      <c r="H273" s="61" t="str">
        <f>_xlfn.XLOOKUP(C273,Tab_Def_Flows[Name(EN)],Tab_Def_Flows[Process_ID_I],,0,)</f>
        <v>21__</v>
      </c>
      <c r="I273" s="49">
        <f>_xlfn.XLOOKUP(C273,Tab_Def_Flows[Name(EN)],Tab_Def_Flows[Value_Source],,0,)</f>
        <v>0</v>
      </c>
      <c r="J273" s="49">
        <f>_xlfn.XLOOKUP(C273,Tab_Def_Flows[Name(EN)],Tab_Def_Flows[WC?],,0,)</f>
        <v>0</v>
      </c>
      <c r="K273" s="49">
        <f>_xlfn.XLOOKUP(C273,Tab_Def_Flows[Name(EN)],Tab_Def_Flows[DM?],,0,)</f>
        <v>0</v>
      </c>
      <c r="L273" s="49">
        <f>_xlfn.XLOOKUP(C273,Tab_Def_Flows[Name(EN)],Tab_Def_Flows[CC?],,0,)</f>
        <v>0</v>
      </c>
      <c r="M273" s="51"/>
      <c r="N273" s="51"/>
      <c r="O273" s="88"/>
      <c r="P273" s="51"/>
      <c r="Q273" s="51"/>
      <c r="R273" s="51"/>
      <c r="S273" s="51"/>
      <c r="T273" s="51"/>
      <c r="U273" s="51"/>
      <c r="V273" s="51"/>
      <c r="W273" s="51"/>
      <c r="X273" s="51"/>
      <c r="Y273" s="51"/>
      <c r="Z273" s="51"/>
      <c r="AA273" s="89">
        <f t="shared" ref="AA273:AA304" si="11">IF(X273="no",O273,O273*Y273)</f>
        <v>0</v>
      </c>
      <c r="AB273" s="51"/>
      <c r="AC273" s="114" t="e">
        <f>INDEX(Tab_Def_Flows[[Flow_ID]:[CC_DM_source]],MATCH(Tab_Data_Flows[[#This Row],[Name(EN)]],Tab_Def_Flows[Name(EN)],0),16)</f>
        <v>#N/A</v>
      </c>
      <c r="AD273" s="115" t="str">
        <f>IF(J273="Yes",AA273*Tab_Data_Flows[[#This Row],[WC_'[%']]],"N.A.")</f>
        <v>N.A.</v>
      </c>
      <c r="AE273" s="61">
        <f>Tab_Data_Flows[[#This Row],[UoM_Flow_Py]]</f>
        <v>0</v>
      </c>
      <c r="AF273" s="114" t="e">
        <f>INDEX(Tab_Def_Flows[[Flow_ID]:[CC_DM_source]],MATCH(Tab_Data_Flows[[#This Row],[Name(EN)]],Tab_Def_Flows[Name(EN)],0),18)</f>
        <v>#N/A</v>
      </c>
      <c r="AG273" s="115" t="str">
        <f>IF(K273="Yes",AF273*Tab_Data_Flows[[#This Row],[Flow_Py]],"N.A.")</f>
        <v>N.A.</v>
      </c>
      <c r="AH273" s="61">
        <f>Tab_Data_Flows[[#This Row],[UoM_Flow_Py]]</f>
        <v>0</v>
      </c>
      <c r="AI273" s="114" t="e">
        <f>INDEX(Tab_Def_Flows[[Flow_ID]:[CC_DM_source]],MATCH(Tab_Data_Flows[[#This Row],[Name(EN)]],Tab_Def_Flows[Name(EN)],0),20)</f>
        <v>#N/A</v>
      </c>
      <c r="AJ273" s="115" t="str">
        <f>IF(L273="Yes",AI273*Tab_Data_Flows[[#This Row],[Flow_Py]],"N.A.")</f>
        <v>N.A.</v>
      </c>
      <c r="AK273" s="61">
        <f>Tab_Data_Flows[[#This Row],[UoM_Flow_Py]]</f>
        <v>0</v>
      </c>
    </row>
    <row r="274" spans="1:37" x14ac:dyDescent="0.35">
      <c r="A274" s="60">
        <f t="shared" si="10"/>
        <v>273</v>
      </c>
      <c r="B274" s="49" t="str">
        <f>_xlfn.XLOOKUP(C274,Tab_Def_Flows[Name(EN)],Tab_Def_Flows[Flow_ID],,0,)</f>
        <v>F_21_21</v>
      </c>
      <c r="C274" s="51"/>
      <c r="D274" s="49">
        <f>_xlfn.XLOOKUP(C274,Tab_Def_Flows[Name(EN)],Tab_Def_Flows[Type_Biomass],,0,)</f>
        <v>0</v>
      </c>
      <c r="E274" s="49">
        <f>_xlfn.XLOOKUP(C274,Tab_Def_Flows[Name(EN)],Tab_Def_Flows[Output_Process],,0,)</f>
        <v>0</v>
      </c>
      <c r="F274" s="49" t="str">
        <f>_xlfn.XLOOKUP(C274,Tab_Def_Flows[Name(EN)],Tab_Def_Flows[Process_ID_O],,0,)</f>
        <v>21__</v>
      </c>
      <c r="G274" s="49">
        <f>_xlfn.XLOOKUP(C274,Tab_Def_Flows[Name(EN)],Tab_Def_Flows[Input_Process],,0,)</f>
        <v>0</v>
      </c>
      <c r="H274" s="61" t="str">
        <f>_xlfn.XLOOKUP(C274,Tab_Def_Flows[Name(EN)],Tab_Def_Flows[Process_ID_I],,0,)</f>
        <v>21__</v>
      </c>
      <c r="I274" s="49">
        <f>_xlfn.XLOOKUP(C274,Tab_Def_Flows[Name(EN)],Tab_Def_Flows[Value_Source],,0,)</f>
        <v>0</v>
      </c>
      <c r="J274" s="49">
        <f>_xlfn.XLOOKUP(C274,Tab_Def_Flows[Name(EN)],Tab_Def_Flows[WC?],,0,)</f>
        <v>0</v>
      </c>
      <c r="K274" s="49">
        <f>_xlfn.XLOOKUP(C274,Tab_Def_Flows[Name(EN)],Tab_Def_Flows[DM?],,0,)</f>
        <v>0</v>
      </c>
      <c r="L274" s="49">
        <f>_xlfn.XLOOKUP(C274,Tab_Def_Flows[Name(EN)],Tab_Def_Flows[CC?],,0,)</f>
        <v>0</v>
      </c>
      <c r="M274" s="51"/>
      <c r="N274" s="51"/>
      <c r="O274" s="88"/>
      <c r="P274" s="51"/>
      <c r="Q274" s="51"/>
      <c r="R274" s="51"/>
      <c r="S274" s="51"/>
      <c r="T274" s="51"/>
      <c r="U274" s="51"/>
      <c r="V274" s="51"/>
      <c r="W274" s="51"/>
      <c r="X274" s="51"/>
      <c r="Y274" s="51"/>
      <c r="Z274" s="51"/>
      <c r="AA274" s="89">
        <f t="shared" si="11"/>
        <v>0</v>
      </c>
      <c r="AB274" s="51"/>
      <c r="AC274" s="114" t="e">
        <f>INDEX(Tab_Def_Flows[[Flow_ID]:[CC_DM_source]],MATCH(Tab_Data_Flows[[#This Row],[Name(EN)]],Tab_Def_Flows[Name(EN)],0),16)</f>
        <v>#N/A</v>
      </c>
      <c r="AD274" s="115" t="str">
        <f>IF(J274="Yes",AA274*Tab_Data_Flows[[#This Row],[WC_'[%']]],"N.A.")</f>
        <v>N.A.</v>
      </c>
      <c r="AE274" s="61">
        <f>Tab_Data_Flows[[#This Row],[UoM_Flow_Py]]</f>
        <v>0</v>
      </c>
      <c r="AF274" s="114" t="e">
        <f>INDEX(Tab_Def_Flows[[Flow_ID]:[CC_DM_source]],MATCH(Tab_Data_Flows[[#This Row],[Name(EN)]],Tab_Def_Flows[Name(EN)],0),18)</f>
        <v>#N/A</v>
      </c>
      <c r="AG274" s="115" t="str">
        <f>IF(K274="Yes",AF274*Tab_Data_Flows[[#This Row],[Flow_Py]],"N.A.")</f>
        <v>N.A.</v>
      </c>
      <c r="AH274" s="61">
        <f>Tab_Data_Flows[[#This Row],[UoM_Flow_Py]]</f>
        <v>0</v>
      </c>
      <c r="AI274" s="114" t="e">
        <f>INDEX(Tab_Def_Flows[[Flow_ID]:[CC_DM_source]],MATCH(Tab_Data_Flows[[#This Row],[Name(EN)]],Tab_Def_Flows[Name(EN)],0),20)</f>
        <v>#N/A</v>
      </c>
      <c r="AJ274" s="115" t="str">
        <f>IF(L274="Yes",AI274*Tab_Data_Flows[[#This Row],[Flow_Py]],"N.A.")</f>
        <v>N.A.</v>
      </c>
      <c r="AK274" s="61">
        <f>Tab_Data_Flows[[#This Row],[UoM_Flow_Py]]</f>
        <v>0</v>
      </c>
    </row>
    <row r="275" spans="1:37" x14ac:dyDescent="0.35">
      <c r="A275" s="60">
        <f t="shared" si="10"/>
        <v>274</v>
      </c>
      <c r="B275" s="49" t="str">
        <f>_xlfn.XLOOKUP(C275,Tab_Def_Flows[Name(EN)],Tab_Def_Flows[Flow_ID],,0,)</f>
        <v>F_21_21</v>
      </c>
      <c r="C275" s="51"/>
      <c r="D275" s="49">
        <f>_xlfn.XLOOKUP(C275,Tab_Def_Flows[Name(EN)],Tab_Def_Flows[Type_Biomass],,0,)</f>
        <v>0</v>
      </c>
      <c r="E275" s="49">
        <f>_xlfn.XLOOKUP(C275,Tab_Def_Flows[Name(EN)],Tab_Def_Flows[Output_Process],,0,)</f>
        <v>0</v>
      </c>
      <c r="F275" s="49" t="str">
        <f>_xlfn.XLOOKUP(C275,Tab_Def_Flows[Name(EN)],Tab_Def_Flows[Process_ID_O],,0,)</f>
        <v>21__</v>
      </c>
      <c r="G275" s="49">
        <f>_xlfn.XLOOKUP(C275,Tab_Def_Flows[Name(EN)],Tab_Def_Flows[Input_Process],,0,)</f>
        <v>0</v>
      </c>
      <c r="H275" s="61" t="str">
        <f>_xlfn.XLOOKUP(C275,Tab_Def_Flows[Name(EN)],Tab_Def_Flows[Process_ID_I],,0,)</f>
        <v>21__</v>
      </c>
      <c r="I275" s="49">
        <f>_xlfn.XLOOKUP(C275,Tab_Def_Flows[Name(EN)],Tab_Def_Flows[Value_Source],,0,)</f>
        <v>0</v>
      </c>
      <c r="J275" s="49">
        <f>_xlfn.XLOOKUP(C275,Tab_Def_Flows[Name(EN)],Tab_Def_Flows[WC?],,0,)</f>
        <v>0</v>
      </c>
      <c r="K275" s="49">
        <f>_xlfn.XLOOKUP(C275,Tab_Def_Flows[Name(EN)],Tab_Def_Flows[DM?],,0,)</f>
        <v>0</v>
      </c>
      <c r="L275" s="49">
        <f>_xlfn.XLOOKUP(C275,Tab_Def_Flows[Name(EN)],Tab_Def_Flows[CC?],,0,)</f>
        <v>0</v>
      </c>
      <c r="M275" s="51"/>
      <c r="N275" s="51"/>
      <c r="O275" s="88"/>
      <c r="P275" s="51"/>
      <c r="Q275" s="51"/>
      <c r="R275" s="51"/>
      <c r="S275" s="51"/>
      <c r="T275" s="51"/>
      <c r="U275" s="51"/>
      <c r="V275" s="51"/>
      <c r="W275" s="51"/>
      <c r="X275" s="51"/>
      <c r="Y275" s="51"/>
      <c r="Z275" s="51"/>
      <c r="AA275" s="89">
        <f t="shared" si="11"/>
        <v>0</v>
      </c>
      <c r="AB275" s="51"/>
      <c r="AC275" s="114" t="e">
        <f>INDEX(Tab_Def_Flows[[Flow_ID]:[CC_DM_source]],MATCH(Tab_Data_Flows[[#This Row],[Name(EN)]],Tab_Def_Flows[Name(EN)],0),16)</f>
        <v>#N/A</v>
      </c>
      <c r="AD275" s="115" t="str">
        <f>IF(J275="Yes",AA275*Tab_Data_Flows[[#This Row],[WC_'[%']]],"N.A.")</f>
        <v>N.A.</v>
      </c>
      <c r="AE275" s="61">
        <f>Tab_Data_Flows[[#This Row],[UoM_Flow_Py]]</f>
        <v>0</v>
      </c>
      <c r="AF275" s="114" t="e">
        <f>INDEX(Tab_Def_Flows[[Flow_ID]:[CC_DM_source]],MATCH(Tab_Data_Flows[[#This Row],[Name(EN)]],Tab_Def_Flows[Name(EN)],0),18)</f>
        <v>#N/A</v>
      </c>
      <c r="AG275" s="115" t="str">
        <f>IF(K275="Yes",AF275*Tab_Data_Flows[[#This Row],[Flow_Py]],"N.A.")</f>
        <v>N.A.</v>
      </c>
      <c r="AH275" s="61">
        <f>Tab_Data_Flows[[#This Row],[UoM_Flow_Py]]</f>
        <v>0</v>
      </c>
      <c r="AI275" s="114" t="e">
        <f>INDEX(Tab_Def_Flows[[Flow_ID]:[CC_DM_source]],MATCH(Tab_Data_Flows[[#This Row],[Name(EN)]],Tab_Def_Flows[Name(EN)],0),20)</f>
        <v>#N/A</v>
      </c>
      <c r="AJ275" s="115" t="str">
        <f>IF(L275="Yes",AI275*Tab_Data_Flows[[#This Row],[Flow_Py]],"N.A.")</f>
        <v>N.A.</v>
      </c>
      <c r="AK275" s="61">
        <f>Tab_Data_Flows[[#This Row],[UoM_Flow_Py]]</f>
        <v>0</v>
      </c>
    </row>
    <row r="276" spans="1:37" x14ac:dyDescent="0.35">
      <c r="A276" s="60">
        <f t="shared" si="10"/>
        <v>275</v>
      </c>
      <c r="B276" s="49" t="str">
        <f>_xlfn.XLOOKUP(C276,Tab_Def_Flows[Name(EN)],Tab_Def_Flows[Flow_ID],,0,)</f>
        <v>F_21_21</v>
      </c>
      <c r="C276" s="51"/>
      <c r="D276" s="49">
        <f>_xlfn.XLOOKUP(C276,Tab_Def_Flows[Name(EN)],Tab_Def_Flows[Type_Biomass],,0,)</f>
        <v>0</v>
      </c>
      <c r="E276" s="49">
        <f>_xlfn.XLOOKUP(C276,Tab_Def_Flows[Name(EN)],Tab_Def_Flows[Output_Process],,0,)</f>
        <v>0</v>
      </c>
      <c r="F276" s="49" t="str">
        <f>_xlfn.XLOOKUP(C276,Tab_Def_Flows[Name(EN)],Tab_Def_Flows[Process_ID_O],,0,)</f>
        <v>21__</v>
      </c>
      <c r="G276" s="49">
        <f>_xlfn.XLOOKUP(C276,Tab_Def_Flows[Name(EN)],Tab_Def_Flows[Input_Process],,0,)</f>
        <v>0</v>
      </c>
      <c r="H276" s="61" t="str">
        <f>_xlfn.XLOOKUP(C276,Tab_Def_Flows[Name(EN)],Tab_Def_Flows[Process_ID_I],,0,)</f>
        <v>21__</v>
      </c>
      <c r="I276" s="49">
        <f>_xlfn.XLOOKUP(C276,Tab_Def_Flows[Name(EN)],Tab_Def_Flows[Value_Source],,0,)</f>
        <v>0</v>
      </c>
      <c r="J276" s="49">
        <f>_xlfn.XLOOKUP(C276,Tab_Def_Flows[Name(EN)],Tab_Def_Flows[WC?],,0,)</f>
        <v>0</v>
      </c>
      <c r="K276" s="49">
        <f>_xlfn.XLOOKUP(C276,Tab_Def_Flows[Name(EN)],Tab_Def_Flows[DM?],,0,)</f>
        <v>0</v>
      </c>
      <c r="L276" s="49">
        <f>_xlfn.XLOOKUP(C276,Tab_Def_Flows[Name(EN)],Tab_Def_Flows[CC?],,0,)</f>
        <v>0</v>
      </c>
      <c r="M276" s="51"/>
      <c r="N276" s="51"/>
      <c r="O276" s="88"/>
      <c r="P276" s="51"/>
      <c r="Q276" s="51"/>
      <c r="R276" s="51"/>
      <c r="S276" s="51"/>
      <c r="T276" s="51"/>
      <c r="U276" s="51"/>
      <c r="V276" s="51"/>
      <c r="W276" s="51"/>
      <c r="X276" s="51"/>
      <c r="Y276" s="51"/>
      <c r="Z276" s="51"/>
      <c r="AA276" s="89">
        <f t="shared" si="11"/>
        <v>0</v>
      </c>
      <c r="AB276" s="51"/>
      <c r="AC276" s="114" t="e">
        <f>INDEX(Tab_Def_Flows[[Flow_ID]:[CC_DM_source]],MATCH(Tab_Data_Flows[[#This Row],[Name(EN)]],Tab_Def_Flows[Name(EN)],0),16)</f>
        <v>#N/A</v>
      </c>
      <c r="AD276" s="115" t="str">
        <f>IF(J276="Yes",AA276*Tab_Data_Flows[[#This Row],[WC_'[%']]],"N.A.")</f>
        <v>N.A.</v>
      </c>
      <c r="AE276" s="61">
        <f>Tab_Data_Flows[[#This Row],[UoM_Flow_Py]]</f>
        <v>0</v>
      </c>
      <c r="AF276" s="114" t="e">
        <f>INDEX(Tab_Def_Flows[[Flow_ID]:[CC_DM_source]],MATCH(Tab_Data_Flows[[#This Row],[Name(EN)]],Tab_Def_Flows[Name(EN)],0),18)</f>
        <v>#N/A</v>
      </c>
      <c r="AG276" s="115" t="str">
        <f>IF(K276="Yes",AF276*Tab_Data_Flows[[#This Row],[Flow_Py]],"N.A.")</f>
        <v>N.A.</v>
      </c>
      <c r="AH276" s="61">
        <f>Tab_Data_Flows[[#This Row],[UoM_Flow_Py]]</f>
        <v>0</v>
      </c>
      <c r="AI276" s="114" t="e">
        <f>INDEX(Tab_Def_Flows[[Flow_ID]:[CC_DM_source]],MATCH(Tab_Data_Flows[[#This Row],[Name(EN)]],Tab_Def_Flows[Name(EN)],0),20)</f>
        <v>#N/A</v>
      </c>
      <c r="AJ276" s="115" t="str">
        <f>IF(L276="Yes",AI276*Tab_Data_Flows[[#This Row],[Flow_Py]],"N.A.")</f>
        <v>N.A.</v>
      </c>
      <c r="AK276" s="61">
        <f>Tab_Data_Flows[[#This Row],[UoM_Flow_Py]]</f>
        <v>0</v>
      </c>
    </row>
    <row r="277" spans="1:37" x14ac:dyDescent="0.35">
      <c r="A277" s="60">
        <f t="shared" si="10"/>
        <v>276</v>
      </c>
      <c r="B277" s="49" t="str">
        <f>_xlfn.XLOOKUP(C277,Tab_Def_Flows[Name(EN)],Tab_Def_Flows[Flow_ID],,0,)</f>
        <v>F_21_21</v>
      </c>
      <c r="C277" s="51"/>
      <c r="D277" s="49">
        <f>_xlfn.XLOOKUP(C277,Tab_Def_Flows[Name(EN)],Tab_Def_Flows[Type_Biomass],,0,)</f>
        <v>0</v>
      </c>
      <c r="E277" s="49">
        <f>_xlfn.XLOOKUP(C277,Tab_Def_Flows[Name(EN)],Tab_Def_Flows[Output_Process],,0,)</f>
        <v>0</v>
      </c>
      <c r="F277" s="49" t="str">
        <f>_xlfn.XLOOKUP(C277,Tab_Def_Flows[Name(EN)],Tab_Def_Flows[Process_ID_O],,0,)</f>
        <v>21__</v>
      </c>
      <c r="G277" s="49">
        <f>_xlfn.XLOOKUP(C277,Tab_Def_Flows[Name(EN)],Tab_Def_Flows[Input_Process],,0,)</f>
        <v>0</v>
      </c>
      <c r="H277" s="61" t="str">
        <f>_xlfn.XLOOKUP(C277,Tab_Def_Flows[Name(EN)],Tab_Def_Flows[Process_ID_I],,0,)</f>
        <v>21__</v>
      </c>
      <c r="I277" s="49">
        <f>_xlfn.XLOOKUP(C277,Tab_Def_Flows[Name(EN)],Tab_Def_Flows[Value_Source],,0,)</f>
        <v>0</v>
      </c>
      <c r="J277" s="49">
        <f>_xlfn.XLOOKUP(C277,Tab_Def_Flows[Name(EN)],Tab_Def_Flows[WC?],,0,)</f>
        <v>0</v>
      </c>
      <c r="K277" s="49">
        <f>_xlfn.XLOOKUP(C277,Tab_Def_Flows[Name(EN)],Tab_Def_Flows[DM?],,0,)</f>
        <v>0</v>
      </c>
      <c r="L277" s="49">
        <f>_xlfn.XLOOKUP(C277,Tab_Def_Flows[Name(EN)],Tab_Def_Flows[CC?],,0,)</f>
        <v>0</v>
      </c>
      <c r="M277" s="51"/>
      <c r="N277" s="51"/>
      <c r="O277" s="88"/>
      <c r="P277" s="51"/>
      <c r="Q277" s="51"/>
      <c r="R277" s="51"/>
      <c r="S277" s="51"/>
      <c r="T277" s="51"/>
      <c r="U277" s="51"/>
      <c r="V277" s="51"/>
      <c r="W277" s="51"/>
      <c r="X277" s="51"/>
      <c r="Y277" s="51"/>
      <c r="Z277" s="51"/>
      <c r="AA277" s="89">
        <f t="shared" si="11"/>
        <v>0</v>
      </c>
      <c r="AB277" s="51"/>
      <c r="AC277" s="114" t="e">
        <f>INDEX(Tab_Def_Flows[[Flow_ID]:[CC_DM_source]],MATCH(Tab_Data_Flows[[#This Row],[Name(EN)]],Tab_Def_Flows[Name(EN)],0),16)</f>
        <v>#N/A</v>
      </c>
      <c r="AD277" s="115" t="str">
        <f>IF(J277="Yes",AA277*Tab_Data_Flows[[#This Row],[WC_'[%']]],"N.A.")</f>
        <v>N.A.</v>
      </c>
      <c r="AE277" s="61">
        <f>Tab_Data_Flows[[#This Row],[UoM_Flow_Py]]</f>
        <v>0</v>
      </c>
      <c r="AF277" s="114" t="e">
        <f>INDEX(Tab_Def_Flows[[Flow_ID]:[CC_DM_source]],MATCH(Tab_Data_Flows[[#This Row],[Name(EN)]],Tab_Def_Flows[Name(EN)],0),18)</f>
        <v>#N/A</v>
      </c>
      <c r="AG277" s="115" t="str">
        <f>IF(K277="Yes",AF277*Tab_Data_Flows[[#This Row],[Flow_Py]],"N.A.")</f>
        <v>N.A.</v>
      </c>
      <c r="AH277" s="61">
        <f>Tab_Data_Flows[[#This Row],[UoM_Flow_Py]]</f>
        <v>0</v>
      </c>
      <c r="AI277" s="114" t="e">
        <f>INDEX(Tab_Def_Flows[[Flow_ID]:[CC_DM_source]],MATCH(Tab_Data_Flows[[#This Row],[Name(EN)]],Tab_Def_Flows[Name(EN)],0),20)</f>
        <v>#N/A</v>
      </c>
      <c r="AJ277" s="115" t="str">
        <f>IF(L277="Yes",AI277*Tab_Data_Flows[[#This Row],[Flow_Py]],"N.A.")</f>
        <v>N.A.</v>
      </c>
      <c r="AK277" s="61">
        <f>Tab_Data_Flows[[#This Row],[UoM_Flow_Py]]</f>
        <v>0</v>
      </c>
    </row>
    <row r="278" spans="1:37" x14ac:dyDescent="0.35">
      <c r="A278" s="60">
        <f t="shared" si="10"/>
        <v>277</v>
      </c>
      <c r="B278" s="49" t="str">
        <f>_xlfn.XLOOKUP(C278,Tab_Def_Flows[Name(EN)],Tab_Def_Flows[Flow_ID],,0,)</f>
        <v>F_21_21</v>
      </c>
      <c r="C278" s="51"/>
      <c r="D278" s="49">
        <f>_xlfn.XLOOKUP(C278,Tab_Def_Flows[Name(EN)],Tab_Def_Flows[Type_Biomass],,0,)</f>
        <v>0</v>
      </c>
      <c r="E278" s="49">
        <f>_xlfn.XLOOKUP(C278,Tab_Def_Flows[Name(EN)],Tab_Def_Flows[Output_Process],,0,)</f>
        <v>0</v>
      </c>
      <c r="F278" s="49" t="str">
        <f>_xlfn.XLOOKUP(C278,Tab_Def_Flows[Name(EN)],Tab_Def_Flows[Process_ID_O],,0,)</f>
        <v>21__</v>
      </c>
      <c r="G278" s="49">
        <f>_xlfn.XLOOKUP(C278,Tab_Def_Flows[Name(EN)],Tab_Def_Flows[Input_Process],,0,)</f>
        <v>0</v>
      </c>
      <c r="H278" s="61" t="str">
        <f>_xlfn.XLOOKUP(C278,Tab_Def_Flows[Name(EN)],Tab_Def_Flows[Process_ID_I],,0,)</f>
        <v>21__</v>
      </c>
      <c r="I278" s="49">
        <f>_xlfn.XLOOKUP(C278,Tab_Def_Flows[Name(EN)],Tab_Def_Flows[Value_Source],,0,)</f>
        <v>0</v>
      </c>
      <c r="J278" s="49">
        <f>_xlfn.XLOOKUP(C278,Tab_Def_Flows[Name(EN)],Tab_Def_Flows[WC?],,0,)</f>
        <v>0</v>
      </c>
      <c r="K278" s="49">
        <f>_xlfn.XLOOKUP(C278,Tab_Def_Flows[Name(EN)],Tab_Def_Flows[DM?],,0,)</f>
        <v>0</v>
      </c>
      <c r="L278" s="49">
        <f>_xlfn.XLOOKUP(C278,Tab_Def_Flows[Name(EN)],Tab_Def_Flows[CC?],,0,)</f>
        <v>0</v>
      </c>
      <c r="M278" s="51"/>
      <c r="N278" s="51"/>
      <c r="O278" s="88"/>
      <c r="P278" s="51"/>
      <c r="Q278" s="51"/>
      <c r="R278" s="51"/>
      <c r="S278" s="51"/>
      <c r="T278" s="51"/>
      <c r="U278" s="51"/>
      <c r="V278" s="51"/>
      <c r="W278" s="51"/>
      <c r="X278" s="51"/>
      <c r="Y278" s="51"/>
      <c r="Z278" s="51"/>
      <c r="AA278" s="89">
        <f t="shared" si="11"/>
        <v>0</v>
      </c>
      <c r="AB278" s="51"/>
      <c r="AC278" s="114" t="e">
        <f>INDEX(Tab_Def_Flows[[Flow_ID]:[CC_DM_source]],MATCH(Tab_Data_Flows[[#This Row],[Name(EN)]],Tab_Def_Flows[Name(EN)],0),16)</f>
        <v>#N/A</v>
      </c>
      <c r="AD278" s="115" t="str">
        <f>IF(J278="Yes",AA278*Tab_Data_Flows[[#This Row],[WC_'[%']]],"N.A.")</f>
        <v>N.A.</v>
      </c>
      <c r="AE278" s="61">
        <f>Tab_Data_Flows[[#This Row],[UoM_Flow_Py]]</f>
        <v>0</v>
      </c>
      <c r="AF278" s="114" t="e">
        <f>INDEX(Tab_Def_Flows[[Flow_ID]:[CC_DM_source]],MATCH(Tab_Data_Flows[[#This Row],[Name(EN)]],Tab_Def_Flows[Name(EN)],0),18)</f>
        <v>#N/A</v>
      </c>
      <c r="AG278" s="115" t="str">
        <f>IF(K278="Yes",AF278*Tab_Data_Flows[[#This Row],[Flow_Py]],"N.A.")</f>
        <v>N.A.</v>
      </c>
      <c r="AH278" s="61">
        <f>Tab_Data_Flows[[#This Row],[UoM_Flow_Py]]</f>
        <v>0</v>
      </c>
      <c r="AI278" s="114" t="e">
        <f>INDEX(Tab_Def_Flows[[Flow_ID]:[CC_DM_source]],MATCH(Tab_Data_Flows[[#This Row],[Name(EN)]],Tab_Def_Flows[Name(EN)],0),20)</f>
        <v>#N/A</v>
      </c>
      <c r="AJ278" s="115" t="str">
        <f>IF(L278="Yes",AI278*Tab_Data_Flows[[#This Row],[Flow_Py]],"N.A.")</f>
        <v>N.A.</v>
      </c>
      <c r="AK278" s="61">
        <f>Tab_Data_Flows[[#This Row],[UoM_Flow_Py]]</f>
        <v>0</v>
      </c>
    </row>
    <row r="279" spans="1:37" x14ac:dyDescent="0.35">
      <c r="A279" s="60">
        <f t="shared" si="10"/>
        <v>278</v>
      </c>
      <c r="B279" s="49" t="str">
        <f>_xlfn.XLOOKUP(C279,Tab_Def_Flows[Name(EN)],Tab_Def_Flows[Flow_ID],,0,)</f>
        <v>F_21_21</v>
      </c>
      <c r="C279" s="51"/>
      <c r="D279" s="49">
        <f>_xlfn.XLOOKUP(C279,Tab_Def_Flows[Name(EN)],Tab_Def_Flows[Type_Biomass],,0,)</f>
        <v>0</v>
      </c>
      <c r="E279" s="49">
        <f>_xlfn.XLOOKUP(C279,Tab_Def_Flows[Name(EN)],Tab_Def_Flows[Output_Process],,0,)</f>
        <v>0</v>
      </c>
      <c r="F279" s="49" t="str">
        <f>_xlfn.XLOOKUP(C279,Tab_Def_Flows[Name(EN)],Tab_Def_Flows[Process_ID_O],,0,)</f>
        <v>21__</v>
      </c>
      <c r="G279" s="49">
        <f>_xlfn.XLOOKUP(C279,Tab_Def_Flows[Name(EN)],Tab_Def_Flows[Input_Process],,0,)</f>
        <v>0</v>
      </c>
      <c r="H279" s="61" t="str">
        <f>_xlfn.XLOOKUP(C279,Tab_Def_Flows[Name(EN)],Tab_Def_Flows[Process_ID_I],,0,)</f>
        <v>21__</v>
      </c>
      <c r="I279" s="49">
        <f>_xlfn.XLOOKUP(C279,Tab_Def_Flows[Name(EN)],Tab_Def_Flows[Value_Source],,0,)</f>
        <v>0</v>
      </c>
      <c r="J279" s="49">
        <f>_xlfn.XLOOKUP(C279,Tab_Def_Flows[Name(EN)],Tab_Def_Flows[WC?],,0,)</f>
        <v>0</v>
      </c>
      <c r="K279" s="49">
        <f>_xlfn.XLOOKUP(C279,Tab_Def_Flows[Name(EN)],Tab_Def_Flows[DM?],,0,)</f>
        <v>0</v>
      </c>
      <c r="L279" s="49">
        <f>_xlfn.XLOOKUP(C279,Tab_Def_Flows[Name(EN)],Tab_Def_Flows[CC?],,0,)</f>
        <v>0</v>
      </c>
      <c r="M279" s="51"/>
      <c r="N279" s="51"/>
      <c r="O279" s="88"/>
      <c r="P279" s="51"/>
      <c r="Q279" s="51"/>
      <c r="R279" s="51"/>
      <c r="S279" s="51"/>
      <c r="T279" s="51"/>
      <c r="U279" s="51"/>
      <c r="V279" s="51"/>
      <c r="W279" s="51"/>
      <c r="X279" s="51"/>
      <c r="Y279" s="51"/>
      <c r="Z279" s="51"/>
      <c r="AA279" s="89">
        <f t="shared" si="11"/>
        <v>0</v>
      </c>
      <c r="AB279" s="51"/>
      <c r="AC279" s="114" t="e">
        <f>INDEX(Tab_Def_Flows[[Flow_ID]:[CC_DM_source]],MATCH(Tab_Data_Flows[[#This Row],[Name(EN)]],Tab_Def_Flows[Name(EN)],0),16)</f>
        <v>#N/A</v>
      </c>
      <c r="AD279" s="115" t="str">
        <f>IF(J279="Yes",AA279*Tab_Data_Flows[[#This Row],[WC_'[%']]],"N.A.")</f>
        <v>N.A.</v>
      </c>
      <c r="AE279" s="61">
        <f>Tab_Data_Flows[[#This Row],[UoM_Flow_Py]]</f>
        <v>0</v>
      </c>
      <c r="AF279" s="114" t="e">
        <f>INDEX(Tab_Def_Flows[[Flow_ID]:[CC_DM_source]],MATCH(Tab_Data_Flows[[#This Row],[Name(EN)]],Tab_Def_Flows[Name(EN)],0),18)</f>
        <v>#N/A</v>
      </c>
      <c r="AG279" s="115" t="str">
        <f>IF(K279="Yes",AF279*Tab_Data_Flows[[#This Row],[Flow_Py]],"N.A.")</f>
        <v>N.A.</v>
      </c>
      <c r="AH279" s="61">
        <f>Tab_Data_Flows[[#This Row],[UoM_Flow_Py]]</f>
        <v>0</v>
      </c>
      <c r="AI279" s="114" t="e">
        <f>INDEX(Tab_Def_Flows[[Flow_ID]:[CC_DM_source]],MATCH(Tab_Data_Flows[[#This Row],[Name(EN)]],Tab_Def_Flows[Name(EN)],0),20)</f>
        <v>#N/A</v>
      </c>
      <c r="AJ279" s="115" t="str">
        <f>IF(L279="Yes",AI279*Tab_Data_Flows[[#This Row],[Flow_Py]],"N.A.")</f>
        <v>N.A.</v>
      </c>
      <c r="AK279" s="61">
        <f>Tab_Data_Flows[[#This Row],[UoM_Flow_Py]]</f>
        <v>0</v>
      </c>
    </row>
    <row r="280" spans="1:37" x14ac:dyDescent="0.35">
      <c r="A280" s="60">
        <f t="shared" si="10"/>
        <v>279</v>
      </c>
      <c r="B280" s="49" t="str">
        <f>_xlfn.XLOOKUP(C280,Tab_Def_Flows[Name(EN)],Tab_Def_Flows[Flow_ID],,0,)</f>
        <v>F_21_21</v>
      </c>
      <c r="C280" s="51"/>
      <c r="D280" s="49">
        <f>_xlfn.XLOOKUP(C280,Tab_Def_Flows[Name(EN)],Tab_Def_Flows[Type_Biomass],,0,)</f>
        <v>0</v>
      </c>
      <c r="E280" s="49">
        <f>_xlfn.XLOOKUP(C280,Tab_Def_Flows[Name(EN)],Tab_Def_Flows[Output_Process],,0,)</f>
        <v>0</v>
      </c>
      <c r="F280" s="49" t="str">
        <f>_xlfn.XLOOKUP(C280,Tab_Def_Flows[Name(EN)],Tab_Def_Flows[Process_ID_O],,0,)</f>
        <v>21__</v>
      </c>
      <c r="G280" s="49">
        <f>_xlfn.XLOOKUP(C280,Tab_Def_Flows[Name(EN)],Tab_Def_Flows[Input_Process],,0,)</f>
        <v>0</v>
      </c>
      <c r="H280" s="61" t="str">
        <f>_xlfn.XLOOKUP(C280,Tab_Def_Flows[Name(EN)],Tab_Def_Flows[Process_ID_I],,0,)</f>
        <v>21__</v>
      </c>
      <c r="I280" s="49">
        <f>_xlfn.XLOOKUP(C280,Tab_Def_Flows[Name(EN)],Tab_Def_Flows[Value_Source],,0,)</f>
        <v>0</v>
      </c>
      <c r="J280" s="49">
        <f>_xlfn.XLOOKUP(C280,Tab_Def_Flows[Name(EN)],Tab_Def_Flows[WC?],,0,)</f>
        <v>0</v>
      </c>
      <c r="K280" s="49">
        <f>_xlfn.XLOOKUP(C280,Tab_Def_Flows[Name(EN)],Tab_Def_Flows[DM?],,0,)</f>
        <v>0</v>
      </c>
      <c r="L280" s="49">
        <f>_xlfn.XLOOKUP(C280,Tab_Def_Flows[Name(EN)],Tab_Def_Flows[CC?],,0,)</f>
        <v>0</v>
      </c>
      <c r="M280" s="51"/>
      <c r="N280" s="51"/>
      <c r="O280" s="88"/>
      <c r="P280" s="51"/>
      <c r="Q280" s="51"/>
      <c r="R280" s="51"/>
      <c r="S280" s="51"/>
      <c r="T280" s="51"/>
      <c r="U280" s="51"/>
      <c r="V280" s="51"/>
      <c r="W280" s="51"/>
      <c r="X280" s="51"/>
      <c r="Y280" s="51"/>
      <c r="Z280" s="51"/>
      <c r="AA280" s="89">
        <f t="shared" si="11"/>
        <v>0</v>
      </c>
      <c r="AB280" s="51"/>
      <c r="AC280" s="114" t="e">
        <f>INDEX(Tab_Def_Flows[[Flow_ID]:[CC_DM_source]],MATCH(Tab_Data_Flows[[#This Row],[Name(EN)]],Tab_Def_Flows[Name(EN)],0),16)</f>
        <v>#N/A</v>
      </c>
      <c r="AD280" s="115" t="str">
        <f>IF(J280="Yes",AA280*Tab_Data_Flows[[#This Row],[WC_'[%']]],"N.A.")</f>
        <v>N.A.</v>
      </c>
      <c r="AE280" s="61">
        <f>Tab_Data_Flows[[#This Row],[UoM_Flow_Py]]</f>
        <v>0</v>
      </c>
      <c r="AF280" s="114" t="e">
        <f>INDEX(Tab_Def_Flows[[Flow_ID]:[CC_DM_source]],MATCH(Tab_Data_Flows[[#This Row],[Name(EN)]],Tab_Def_Flows[Name(EN)],0),18)</f>
        <v>#N/A</v>
      </c>
      <c r="AG280" s="115" t="str">
        <f>IF(K280="Yes",AF280*Tab_Data_Flows[[#This Row],[Flow_Py]],"N.A.")</f>
        <v>N.A.</v>
      </c>
      <c r="AH280" s="61">
        <f>Tab_Data_Flows[[#This Row],[UoM_Flow_Py]]</f>
        <v>0</v>
      </c>
      <c r="AI280" s="114" t="e">
        <f>INDEX(Tab_Def_Flows[[Flow_ID]:[CC_DM_source]],MATCH(Tab_Data_Flows[[#This Row],[Name(EN)]],Tab_Def_Flows[Name(EN)],0),20)</f>
        <v>#N/A</v>
      </c>
      <c r="AJ280" s="115" t="str">
        <f>IF(L280="Yes",AI280*Tab_Data_Flows[[#This Row],[Flow_Py]],"N.A.")</f>
        <v>N.A.</v>
      </c>
      <c r="AK280" s="61">
        <f>Tab_Data_Flows[[#This Row],[UoM_Flow_Py]]</f>
        <v>0</v>
      </c>
    </row>
    <row r="281" spans="1:37" x14ac:dyDescent="0.35">
      <c r="A281" s="60">
        <f t="shared" si="10"/>
        <v>280</v>
      </c>
      <c r="B281" s="49" t="str">
        <f>_xlfn.XLOOKUP(C281,Tab_Def_Flows[Name(EN)],Tab_Def_Flows[Flow_ID],,0,)</f>
        <v>F_21_21</v>
      </c>
      <c r="C281" s="51"/>
      <c r="D281" s="49">
        <f>_xlfn.XLOOKUP(C281,Tab_Def_Flows[Name(EN)],Tab_Def_Flows[Type_Biomass],,0,)</f>
        <v>0</v>
      </c>
      <c r="E281" s="49">
        <f>_xlfn.XLOOKUP(C281,Tab_Def_Flows[Name(EN)],Tab_Def_Flows[Output_Process],,0,)</f>
        <v>0</v>
      </c>
      <c r="F281" s="49" t="str">
        <f>_xlfn.XLOOKUP(C281,Tab_Def_Flows[Name(EN)],Tab_Def_Flows[Process_ID_O],,0,)</f>
        <v>21__</v>
      </c>
      <c r="G281" s="49">
        <f>_xlfn.XLOOKUP(C281,Tab_Def_Flows[Name(EN)],Tab_Def_Flows[Input_Process],,0,)</f>
        <v>0</v>
      </c>
      <c r="H281" s="61" t="str">
        <f>_xlfn.XLOOKUP(C281,Tab_Def_Flows[Name(EN)],Tab_Def_Flows[Process_ID_I],,0,)</f>
        <v>21__</v>
      </c>
      <c r="I281" s="49">
        <f>_xlfn.XLOOKUP(C281,Tab_Def_Flows[Name(EN)],Tab_Def_Flows[Value_Source],,0,)</f>
        <v>0</v>
      </c>
      <c r="J281" s="49">
        <f>_xlfn.XLOOKUP(C281,Tab_Def_Flows[Name(EN)],Tab_Def_Flows[WC?],,0,)</f>
        <v>0</v>
      </c>
      <c r="K281" s="49">
        <f>_xlfn.XLOOKUP(C281,Tab_Def_Flows[Name(EN)],Tab_Def_Flows[DM?],,0,)</f>
        <v>0</v>
      </c>
      <c r="L281" s="49">
        <f>_xlfn.XLOOKUP(C281,Tab_Def_Flows[Name(EN)],Tab_Def_Flows[CC?],,0,)</f>
        <v>0</v>
      </c>
      <c r="M281" s="51"/>
      <c r="N281" s="51"/>
      <c r="O281" s="88"/>
      <c r="P281" s="51"/>
      <c r="Q281" s="51"/>
      <c r="R281" s="51"/>
      <c r="S281" s="51"/>
      <c r="T281" s="51"/>
      <c r="U281" s="51"/>
      <c r="V281" s="51"/>
      <c r="W281" s="51"/>
      <c r="X281" s="51"/>
      <c r="Y281" s="51"/>
      <c r="Z281" s="51"/>
      <c r="AA281" s="89">
        <f t="shared" si="11"/>
        <v>0</v>
      </c>
      <c r="AB281" s="51"/>
      <c r="AC281" s="114" t="e">
        <f>INDEX(Tab_Def_Flows[[Flow_ID]:[CC_DM_source]],MATCH(Tab_Data_Flows[[#This Row],[Name(EN)]],Tab_Def_Flows[Name(EN)],0),16)</f>
        <v>#N/A</v>
      </c>
      <c r="AD281" s="115" t="str">
        <f>IF(J281="Yes",AA281*Tab_Data_Flows[[#This Row],[WC_'[%']]],"N.A.")</f>
        <v>N.A.</v>
      </c>
      <c r="AE281" s="61">
        <f>Tab_Data_Flows[[#This Row],[UoM_Flow_Py]]</f>
        <v>0</v>
      </c>
      <c r="AF281" s="114" t="e">
        <f>INDEX(Tab_Def_Flows[[Flow_ID]:[CC_DM_source]],MATCH(Tab_Data_Flows[[#This Row],[Name(EN)]],Tab_Def_Flows[Name(EN)],0),18)</f>
        <v>#N/A</v>
      </c>
      <c r="AG281" s="115" t="str">
        <f>IF(K281="Yes",AF281*Tab_Data_Flows[[#This Row],[Flow_Py]],"N.A.")</f>
        <v>N.A.</v>
      </c>
      <c r="AH281" s="61">
        <f>Tab_Data_Flows[[#This Row],[UoM_Flow_Py]]</f>
        <v>0</v>
      </c>
      <c r="AI281" s="114" t="e">
        <f>INDEX(Tab_Def_Flows[[Flow_ID]:[CC_DM_source]],MATCH(Tab_Data_Flows[[#This Row],[Name(EN)]],Tab_Def_Flows[Name(EN)],0),20)</f>
        <v>#N/A</v>
      </c>
      <c r="AJ281" s="115" t="str">
        <f>IF(L281="Yes",AI281*Tab_Data_Flows[[#This Row],[Flow_Py]],"N.A.")</f>
        <v>N.A.</v>
      </c>
      <c r="AK281" s="61">
        <f>Tab_Data_Flows[[#This Row],[UoM_Flow_Py]]</f>
        <v>0</v>
      </c>
    </row>
    <row r="282" spans="1:37" x14ac:dyDescent="0.35">
      <c r="A282" s="60">
        <f t="shared" si="10"/>
        <v>281</v>
      </c>
      <c r="B282" s="49" t="str">
        <f>_xlfn.XLOOKUP(C282,Tab_Def_Flows[Name(EN)],Tab_Def_Flows[Flow_ID],,0,)</f>
        <v>F_21_21</v>
      </c>
      <c r="C282" s="51"/>
      <c r="D282" s="49">
        <f>_xlfn.XLOOKUP(C282,Tab_Def_Flows[Name(EN)],Tab_Def_Flows[Type_Biomass],,0,)</f>
        <v>0</v>
      </c>
      <c r="E282" s="49">
        <f>_xlfn.XLOOKUP(C282,Tab_Def_Flows[Name(EN)],Tab_Def_Flows[Output_Process],,0,)</f>
        <v>0</v>
      </c>
      <c r="F282" s="49" t="str">
        <f>_xlfn.XLOOKUP(C282,Tab_Def_Flows[Name(EN)],Tab_Def_Flows[Process_ID_O],,0,)</f>
        <v>21__</v>
      </c>
      <c r="G282" s="49">
        <f>_xlfn.XLOOKUP(C282,Tab_Def_Flows[Name(EN)],Tab_Def_Flows[Input_Process],,0,)</f>
        <v>0</v>
      </c>
      <c r="H282" s="61" t="str">
        <f>_xlfn.XLOOKUP(C282,Tab_Def_Flows[Name(EN)],Tab_Def_Flows[Process_ID_I],,0,)</f>
        <v>21__</v>
      </c>
      <c r="I282" s="49">
        <f>_xlfn.XLOOKUP(C282,Tab_Def_Flows[Name(EN)],Tab_Def_Flows[Value_Source],,0,)</f>
        <v>0</v>
      </c>
      <c r="J282" s="49">
        <f>_xlfn.XLOOKUP(C282,Tab_Def_Flows[Name(EN)],Tab_Def_Flows[WC?],,0,)</f>
        <v>0</v>
      </c>
      <c r="K282" s="49">
        <f>_xlfn.XLOOKUP(C282,Tab_Def_Flows[Name(EN)],Tab_Def_Flows[DM?],,0,)</f>
        <v>0</v>
      </c>
      <c r="L282" s="49">
        <f>_xlfn.XLOOKUP(C282,Tab_Def_Flows[Name(EN)],Tab_Def_Flows[CC?],,0,)</f>
        <v>0</v>
      </c>
      <c r="M282" s="51"/>
      <c r="N282" s="51"/>
      <c r="O282" s="88"/>
      <c r="P282" s="51"/>
      <c r="Q282" s="51"/>
      <c r="R282" s="51"/>
      <c r="S282" s="51"/>
      <c r="T282" s="51"/>
      <c r="U282" s="51"/>
      <c r="V282" s="51"/>
      <c r="W282" s="51"/>
      <c r="X282" s="51"/>
      <c r="Y282" s="51"/>
      <c r="Z282" s="51"/>
      <c r="AA282" s="89">
        <f t="shared" si="11"/>
        <v>0</v>
      </c>
      <c r="AB282" s="51"/>
      <c r="AC282" s="114" t="e">
        <f>INDEX(Tab_Def_Flows[[Flow_ID]:[CC_DM_source]],MATCH(Tab_Data_Flows[[#This Row],[Name(EN)]],Tab_Def_Flows[Name(EN)],0),16)</f>
        <v>#N/A</v>
      </c>
      <c r="AD282" s="115" t="str">
        <f>IF(J282="Yes",AA282*Tab_Data_Flows[[#This Row],[WC_'[%']]],"N.A.")</f>
        <v>N.A.</v>
      </c>
      <c r="AE282" s="61">
        <f>Tab_Data_Flows[[#This Row],[UoM_Flow_Py]]</f>
        <v>0</v>
      </c>
      <c r="AF282" s="114" t="e">
        <f>INDEX(Tab_Def_Flows[[Flow_ID]:[CC_DM_source]],MATCH(Tab_Data_Flows[[#This Row],[Name(EN)]],Tab_Def_Flows[Name(EN)],0),18)</f>
        <v>#N/A</v>
      </c>
      <c r="AG282" s="115" t="str">
        <f>IF(K282="Yes",AF282*Tab_Data_Flows[[#This Row],[Flow_Py]],"N.A.")</f>
        <v>N.A.</v>
      </c>
      <c r="AH282" s="61">
        <f>Tab_Data_Flows[[#This Row],[UoM_Flow_Py]]</f>
        <v>0</v>
      </c>
      <c r="AI282" s="114" t="e">
        <f>INDEX(Tab_Def_Flows[[Flow_ID]:[CC_DM_source]],MATCH(Tab_Data_Flows[[#This Row],[Name(EN)]],Tab_Def_Flows[Name(EN)],0),20)</f>
        <v>#N/A</v>
      </c>
      <c r="AJ282" s="115" t="str">
        <f>IF(L282="Yes",AI282*Tab_Data_Flows[[#This Row],[Flow_Py]],"N.A.")</f>
        <v>N.A.</v>
      </c>
      <c r="AK282" s="61">
        <f>Tab_Data_Flows[[#This Row],[UoM_Flow_Py]]</f>
        <v>0</v>
      </c>
    </row>
    <row r="283" spans="1:37" x14ac:dyDescent="0.35">
      <c r="A283" s="60">
        <f t="shared" si="10"/>
        <v>282</v>
      </c>
      <c r="B283" s="49" t="str">
        <f>_xlfn.XLOOKUP(C283,Tab_Def_Flows[Name(EN)],Tab_Def_Flows[Flow_ID],,0,)</f>
        <v>F_21_21</v>
      </c>
      <c r="C283" s="51"/>
      <c r="D283" s="49">
        <f>_xlfn.XLOOKUP(C283,Tab_Def_Flows[Name(EN)],Tab_Def_Flows[Type_Biomass],,0,)</f>
        <v>0</v>
      </c>
      <c r="E283" s="49">
        <f>_xlfn.XLOOKUP(C283,Tab_Def_Flows[Name(EN)],Tab_Def_Flows[Output_Process],,0,)</f>
        <v>0</v>
      </c>
      <c r="F283" s="49" t="str">
        <f>_xlfn.XLOOKUP(C283,Tab_Def_Flows[Name(EN)],Tab_Def_Flows[Process_ID_O],,0,)</f>
        <v>21__</v>
      </c>
      <c r="G283" s="49">
        <f>_xlfn.XLOOKUP(C283,Tab_Def_Flows[Name(EN)],Tab_Def_Flows[Input_Process],,0,)</f>
        <v>0</v>
      </c>
      <c r="H283" s="61" t="str">
        <f>_xlfn.XLOOKUP(C283,Tab_Def_Flows[Name(EN)],Tab_Def_Flows[Process_ID_I],,0,)</f>
        <v>21__</v>
      </c>
      <c r="I283" s="49">
        <f>_xlfn.XLOOKUP(C283,Tab_Def_Flows[Name(EN)],Tab_Def_Flows[Value_Source],,0,)</f>
        <v>0</v>
      </c>
      <c r="J283" s="49">
        <f>_xlfn.XLOOKUP(C283,Tab_Def_Flows[Name(EN)],Tab_Def_Flows[WC?],,0,)</f>
        <v>0</v>
      </c>
      <c r="K283" s="49">
        <f>_xlfn.XLOOKUP(C283,Tab_Def_Flows[Name(EN)],Tab_Def_Flows[DM?],,0,)</f>
        <v>0</v>
      </c>
      <c r="L283" s="49">
        <f>_xlfn.XLOOKUP(C283,Tab_Def_Flows[Name(EN)],Tab_Def_Flows[CC?],,0,)</f>
        <v>0</v>
      </c>
      <c r="M283" s="51"/>
      <c r="N283" s="51"/>
      <c r="O283" s="88"/>
      <c r="P283" s="51"/>
      <c r="Q283" s="51"/>
      <c r="R283" s="51"/>
      <c r="S283" s="51"/>
      <c r="T283" s="51"/>
      <c r="U283" s="51"/>
      <c r="V283" s="51"/>
      <c r="W283" s="51"/>
      <c r="X283" s="51"/>
      <c r="Y283" s="51"/>
      <c r="Z283" s="51"/>
      <c r="AA283" s="89">
        <f t="shared" si="11"/>
        <v>0</v>
      </c>
      <c r="AB283" s="51"/>
      <c r="AC283" s="114" t="e">
        <f>INDEX(Tab_Def_Flows[[Flow_ID]:[CC_DM_source]],MATCH(Tab_Data_Flows[[#This Row],[Name(EN)]],Tab_Def_Flows[Name(EN)],0),16)</f>
        <v>#N/A</v>
      </c>
      <c r="AD283" s="115" t="str">
        <f>IF(J283="Yes",AA283*Tab_Data_Flows[[#This Row],[WC_'[%']]],"N.A.")</f>
        <v>N.A.</v>
      </c>
      <c r="AE283" s="61">
        <f>Tab_Data_Flows[[#This Row],[UoM_Flow_Py]]</f>
        <v>0</v>
      </c>
      <c r="AF283" s="114" t="e">
        <f>INDEX(Tab_Def_Flows[[Flow_ID]:[CC_DM_source]],MATCH(Tab_Data_Flows[[#This Row],[Name(EN)]],Tab_Def_Flows[Name(EN)],0),18)</f>
        <v>#N/A</v>
      </c>
      <c r="AG283" s="115" t="str">
        <f>IF(K283="Yes",AF283*Tab_Data_Flows[[#This Row],[Flow_Py]],"N.A.")</f>
        <v>N.A.</v>
      </c>
      <c r="AH283" s="61">
        <f>Tab_Data_Flows[[#This Row],[UoM_Flow_Py]]</f>
        <v>0</v>
      </c>
      <c r="AI283" s="114" t="e">
        <f>INDEX(Tab_Def_Flows[[Flow_ID]:[CC_DM_source]],MATCH(Tab_Data_Flows[[#This Row],[Name(EN)]],Tab_Def_Flows[Name(EN)],0),20)</f>
        <v>#N/A</v>
      </c>
      <c r="AJ283" s="115" t="str">
        <f>IF(L283="Yes",AI283*Tab_Data_Flows[[#This Row],[Flow_Py]],"N.A.")</f>
        <v>N.A.</v>
      </c>
      <c r="AK283" s="61">
        <f>Tab_Data_Flows[[#This Row],[UoM_Flow_Py]]</f>
        <v>0</v>
      </c>
    </row>
    <row r="284" spans="1:37" x14ac:dyDescent="0.35">
      <c r="A284" s="60">
        <f t="shared" si="10"/>
        <v>283</v>
      </c>
      <c r="B284" s="49" t="str">
        <f>_xlfn.XLOOKUP(C284,Tab_Def_Flows[Name(EN)],Tab_Def_Flows[Flow_ID],,0,)</f>
        <v>F_21_21</v>
      </c>
      <c r="C284" s="51"/>
      <c r="D284" s="49">
        <f>_xlfn.XLOOKUP(C284,Tab_Def_Flows[Name(EN)],Tab_Def_Flows[Type_Biomass],,0,)</f>
        <v>0</v>
      </c>
      <c r="E284" s="49">
        <f>_xlfn.XLOOKUP(C284,Tab_Def_Flows[Name(EN)],Tab_Def_Flows[Output_Process],,0,)</f>
        <v>0</v>
      </c>
      <c r="F284" s="49" t="str">
        <f>_xlfn.XLOOKUP(C284,Tab_Def_Flows[Name(EN)],Tab_Def_Flows[Process_ID_O],,0,)</f>
        <v>21__</v>
      </c>
      <c r="G284" s="49">
        <f>_xlfn.XLOOKUP(C284,Tab_Def_Flows[Name(EN)],Tab_Def_Flows[Input_Process],,0,)</f>
        <v>0</v>
      </c>
      <c r="H284" s="61" t="str">
        <f>_xlfn.XLOOKUP(C284,Tab_Def_Flows[Name(EN)],Tab_Def_Flows[Process_ID_I],,0,)</f>
        <v>21__</v>
      </c>
      <c r="I284" s="49">
        <f>_xlfn.XLOOKUP(C284,Tab_Def_Flows[Name(EN)],Tab_Def_Flows[Value_Source],,0,)</f>
        <v>0</v>
      </c>
      <c r="J284" s="49">
        <f>_xlfn.XLOOKUP(C284,Tab_Def_Flows[Name(EN)],Tab_Def_Flows[WC?],,0,)</f>
        <v>0</v>
      </c>
      <c r="K284" s="49">
        <f>_xlfn.XLOOKUP(C284,Tab_Def_Flows[Name(EN)],Tab_Def_Flows[DM?],,0,)</f>
        <v>0</v>
      </c>
      <c r="L284" s="49">
        <f>_xlfn.XLOOKUP(C284,Tab_Def_Flows[Name(EN)],Tab_Def_Flows[CC?],,0,)</f>
        <v>0</v>
      </c>
      <c r="M284" s="51"/>
      <c r="N284" s="51"/>
      <c r="O284" s="88"/>
      <c r="P284" s="51"/>
      <c r="Q284" s="51"/>
      <c r="R284" s="51"/>
      <c r="S284" s="51"/>
      <c r="T284" s="51"/>
      <c r="U284" s="51"/>
      <c r="V284" s="51"/>
      <c r="W284" s="51"/>
      <c r="X284" s="51"/>
      <c r="Y284" s="51"/>
      <c r="Z284" s="51"/>
      <c r="AA284" s="89">
        <f t="shared" si="11"/>
        <v>0</v>
      </c>
      <c r="AB284" s="51"/>
      <c r="AC284" s="114" t="e">
        <f>INDEX(Tab_Def_Flows[[Flow_ID]:[CC_DM_source]],MATCH(Tab_Data_Flows[[#This Row],[Name(EN)]],Tab_Def_Flows[Name(EN)],0),16)</f>
        <v>#N/A</v>
      </c>
      <c r="AD284" s="115" t="str">
        <f>IF(J284="Yes",AA284*Tab_Data_Flows[[#This Row],[WC_'[%']]],"N.A.")</f>
        <v>N.A.</v>
      </c>
      <c r="AE284" s="61">
        <f>Tab_Data_Flows[[#This Row],[UoM_Flow_Py]]</f>
        <v>0</v>
      </c>
      <c r="AF284" s="114" t="e">
        <f>INDEX(Tab_Def_Flows[[Flow_ID]:[CC_DM_source]],MATCH(Tab_Data_Flows[[#This Row],[Name(EN)]],Tab_Def_Flows[Name(EN)],0),18)</f>
        <v>#N/A</v>
      </c>
      <c r="AG284" s="115" t="str">
        <f>IF(K284="Yes",AF284*Tab_Data_Flows[[#This Row],[Flow_Py]],"N.A.")</f>
        <v>N.A.</v>
      </c>
      <c r="AH284" s="61">
        <f>Tab_Data_Flows[[#This Row],[UoM_Flow_Py]]</f>
        <v>0</v>
      </c>
      <c r="AI284" s="114" t="e">
        <f>INDEX(Tab_Def_Flows[[Flow_ID]:[CC_DM_source]],MATCH(Tab_Data_Flows[[#This Row],[Name(EN)]],Tab_Def_Flows[Name(EN)],0),20)</f>
        <v>#N/A</v>
      </c>
      <c r="AJ284" s="115" t="str">
        <f>IF(L284="Yes",AI284*Tab_Data_Flows[[#This Row],[Flow_Py]],"N.A.")</f>
        <v>N.A.</v>
      </c>
      <c r="AK284" s="61">
        <f>Tab_Data_Flows[[#This Row],[UoM_Flow_Py]]</f>
        <v>0</v>
      </c>
    </row>
    <row r="285" spans="1:37" x14ac:dyDescent="0.35">
      <c r="A285" s="60">
        <f t="shared" si="10"/>
        <v>284</v>
      </c>
      <c r="B285" s="49" t="str">
        <f>_xlfn.XLOOKUP(C285,Tab_Def_Flows[Name(EN)],Tab_Def_Flows[Flow_ID],,0,)</f>
        <v>F_21_21</v>
      </c>
      <c r="C285" s="51"/>
      <c r="D285" s="49">
        <f>_xlfn.XLOOKUP(C285,Tab_Def_Flows[Name(EN)],Tab_Def_Flows[Type_Biomass],,0,)</f>
        <v>0</v>
      </c>
      <c r="E285" s="49">
        <f>_xlfn.XLOOKUP(C285,Tab_Def_Flows[Name(EN)],Tab_Def_Flows[Output_Process],,0,)</f>
        <v>0</v>
      </c>
      <c r="F285" s="49" t="str">
        <f>_xlfn.XLOOKUP(C285,Tab_Def_Flows[Name(EN)],Tab_Def_Flows[Process_ID_O],,0,)</f>
        <v>21__</v>
      </c>
      <c r="G285" s="49">
        <f>_xlfn.XLOOKUP(C285,Tab_Def_Flows[Name(EN)],Tab_Def_Flows[Input_Process],,0,)</f>
        <v>0</v>
      </c>
      <c r="H285" s="61" t="str">
        <f>_xlfn.XLOOKUP(C285,Tab_Def_Flows[Name(EN)],Tab_Def_Flows[Process_ID_I],,0,)</f>
        <v>21__</v>
      </c>
      <c r="I285" s="49">
        <f>_xlfn.XLOOKUP(C285,Tab_Def_Flows[Name(EN)],Tab_Def_Flows[Value_Source],,0,)</f>
        <v>0</v>
      </c>
      <c r="J285" s="49">
        <f>_xlfn.XLOOKUP(C285,Tab_Def_Flows[Name(EN)],Tab_Def_Flows[WC?],,0,)</f>
        <v>0</v>
      </c>
      <c r="K285" s="49">
        <f>_xlfn.XLOOKUP(C285,Tab_Def_Flows[Name(EN)],Tab_Def_Flows[DM?],,0,)</f>
        <v>0</v>
      </c>
      <c r="L285" s="49">
        <f>_xlfn.XLOOKUP(C285,Tab_Def_Flows[Name(EN)],Tab_Def_Flows[CC?],,0,)</f>
        <v>0</v>
      </c>
      <c r="M285" s="51"/>
      <c r="N285" s="51"/>
      <c r="O285" s="88"/>
      <c r="P285" s="51"/>
      <c r="Q285" s="51"/>
      <c r="R285" s="51"/>
      <c r="S285" s="51"/>
      <c r="T285" s="51"/>
      <c r="U285" s="51"/>
      <c r="V285" s="51"/>
      <c r="W285" s="51"/>
      <c r="X285" s="51"/>
      <c r="Y285" s="51"/>
      <c r="Z285" s="51"/>
      <c r="AA285" s="89">
        <f t="shared" si="11"/>
        <v>0</v>
      </c>
      <c r="AB285" s="51"/>
      <c r="AC285" s="114" t="e">
        <f>INDEX(Tab_Def_Flows[[Flow_ID]:[CC_DM_source]],MATCH(Tab_Data_Flows[[#This Row],[Name(EN)]],Tab_Def_Flows[Name(EN)],0),16)</f>
        <v>#N/A</v>
      </c>
      <c r="AD285" s="115" t="str">
        <f>IF(J285="Yes",AA285*Tab_Data_Flows[[#This Row],[WC_'[%']]],"N.A.")</f>
        <v>N.A.</v>
      </c>
      <c r="AE285" s="61">
        <f>Tab_Data_Flows[[#This Row],[UoM_Flow_Py]]</f>
        <v>0</v>
      </c>
      <c r="AF285" s="114" t="e">
        <f>INDEX(Tab_Def_Flows[[Flow_ID]:[CC_DM_source]],MATCH(Tab_Data_Flows[[#This Row],[Name(EN)]],Tab_Def_Flows[Name(EN)],0),18)</f>
        <v>#N/A</v>
      </c>
      <c r="AG285" s="115" t="str">
        <f>IF(K285="Yes",AF285*Tab_Data_Flows[[#This Row],[Flow_Py]],"N.A.")</f>
        <v>N.A.</v>
      </c>
      <c r="AH285" s="61">
        <f>Tab_Data_Flows[[#This Row],[UoM_Flow_Py]]</f>
        <v>0</v>
      </c>
      <c r="AI285" s="114" t="e">
        <f>INDEX(Tab_Def_Flows[[Flow_ID]:[CC_DM_source]],MATCH(Tab_Data_Flows[[#This Row],[Name(EN)]],Tab_Def_Flows[Name(EN)],0),20)</f>
        <v>#N/A</v>
      </c>
      <c r="AJ285" s="115" t="str">
        <f>IF(L285="Yes",AI285*Tab_Data_Flows[[#This Row],[Flow_Py]],"N.A.")</f>
        <v>N.A.</v>
      </c>
      <c r="AK285" s="61">
        <f>Tab_Data_Flows[[#This Row],[UoM_Flow_Py]]</f>
        <v>0</v>
      </c>
    </row>
    <row r="286" spans="1:37" x14ac:dyDescent="0.35">
      <c r="A286" s="60">
        <f t="shared" si="10"/>
        <v>285</v>
      </c>
      <c r="B286" s="49" t="str">
        <f>_xlfn.XLOOKUP(C286,Tab_Def_Flows[Name(EN)],Tab_Def_Flows[Flow_ID],,0,)</f>
        <v>F_21_21</v>
      </c>
      <c r="C286" s="51"/>
      <c r="D286" s="49">
        <f>_xlfn.XLOOKUP(C286,Tab_Def_Flows[Name(EN)],Tab_Def_Flows[Type_Biomass],,0,)</f>
        <v>0</v>
      </c>
      <c r="E286" s="49">
        <f>_xlfn.XLOOKUP(C286,Tab_Def_Flows[Name(EN)],Tab_Def_Flows[Output_Process],,0,)</f>
        <v>0</v>
      </c>
      <c r="F286" s="49" t="str">
        <f>_xlfn.XLOOKUP(C286,Tab_Def_Flows[Name(EN)],Tab_Def_Flows[Process_ID_O],,0,)</f>
        <v>21__</v>
      </c>
      <c r="G286" s="49">
        <f>_xlfn.XLOOKUP(C286,Tab_Def_Flows[Name(EN)],Tab_Def_Flows[Input_Process],,0,)</f>
        <v>0</v>
      </c>
      <c r="H286" s="61" t="str">
        <f>_xlfn.XLOOKUP(C286,Tab_Def_Flows[Name(EN)],Tab_Def_Flows[Process_ID_I],,0,)</f>
        <v>21__</v>
      </c>
      <c r="I286" s="49">
        <f>_xlfn.XLOOKUP(C286,Tab_Def_Flows[Name(EN)],Tab_Def_Flows[Value_Source],,0,)</f>
        <v>0</v>
      </c>
      <c r="J286" s="49">
        <f>_xlfn.XLOOKUP(C286,Tab_Def_Flows[Name(EN)],Tab_Def_Flows[WC?],,0,)</f>
        <v>0</v>
      </c>
      <c r="K286" s="49">
        <f>_xlfn.XLOOKUP(C286,Tab_Def_Flows[Name(EN)],Tab_Def_Flows[DM?],,0,)</f>
        <v>0</v>
      </c>
      <c r="L286" s="49">
        <f>_xlfn.XLOOKUP(C286,Tab_Def_Flows[Name(EN)],Tab_Def_Flows[CC?],,0,)</f>
        <v>0</v>
      </c>
      <c r="M286" s="51"/>
      <c r="N286" s="51"/>
      <c r="O286" s="88"/>
      <c r="P286" s="51"/>
      <c r="Q286" s="51"/>
      <c r="R286" s="51"/>
      <c r="S286" s="51"/>
      <c r="T286" s="51"/>
      <c r="U286" s="51"/>
      <c r="V286" s="51"/>
      <c r="W286" s="51"/>
      <c r="X286" s="51"/>
      <c r="Y286" s="51"/>
      <c r="Z286" s="51"/>
      <c r="AA286" s="89">
        <f t="shared" si="11"/>
        <v>0</v>
      </c>
      <c r="AB286" s="51"/>
      <c r="AC286" s="114" t="e">
        <f>INDEX(Tab_Def_Flows[[Flow_ID]:[CC_DM_source]],MATCH(Tab_Data_Flows[[#This Row],[Name(EN)]],Tab_Def_Flows[Name(EN)],0),16)</f>
        <v>#N/A</v>
      </c>
      <c r="AD286" s="115" t="str">
        <f>IF(J286="Yes",AA286*Tab_Data_Flows[[#This Row],[WC_'[%']]],"N.A.")</f>
        <v>N.A.</v>
      </c>
      <c r="AE286" s="61">
        <f>Tab_Data_Flows[[#This Row],[UoM_Flow_Py]]</f>
        <v>0</v>
      </c>
      <c r="AF286" s="114" t="e">
        <f>INDEX(Tab_Def_Flows[[Flow_ID]:[CC_DM_source]],MATCH(Tab_Data_Flows[[#This Row],[Name(EN)]],Tab_Def_Flows[Name(EN)],0),18)</f>
        <v>#N/A</v>
      </c>
      <c r="AG286" s="115" t="str">
        <f>IF(K286="Yes",AF286*Tab_Data_Flows[[#This Row],[Flow_Py]],"N.A.")</f>
        <v>N.A.</v>
      </c>
      <c r="AH286" s="61">
        <f>Tab_Data_Flows[[#This Row],[UoM_Flow_Py]]</f>
        <v>0</v>
      </c>
      <c r="AI286" s="114" t="e">
        <f>INDEX(Tab_Def_Flows[[Flow_ID]:[CC_DM_source]],MATCH(Tab_Data_Flows[[#This Row],[Name(EN)]],Tab_Def_Flows[Name(EN)],0),20)</f>
        <v>#N/A</v>
      </c>
      <c r="AJ286" s="115" t="str">
        <f>IF(L286="Yes",AI286*Tab_Data_Flows[[#This Row],[Flow_Py]],"N.A.")</f>
        <v>N.A.</v>
      </c>
      <c r="AK286" s="61">
        <f>Tab_Data_Flows[[#This Row],[UoM_Flow_Py]]</f>
        <v>0</v>
      </c>
    </row>
    <row r="287" spans="1:37" x14ac:dyDescent="0.35">
      <c r="A287" s="60">
        <f t="shared" si="10"/>
        <v>286</v>
      </c>
      <c r="B287" s="49" t="str">
        <f>_xlfn.XLOOKUP(C287,Tab_Def_Flows[Name(EN)],Tab_Def_Flows[Flow_ID],,0,)</f>
        <v>F_21_21</v>
      </c>
      <c r="C287" s="51"/>
      <c r="D287" s="49">
        <f>_xlfn.XLOOKUP(C287,Tab_Def_Flows[Name(EN)],Tab_Def_Flows[Type_Biomass],,0,)</f>
        <v>0</v>
      </c>
      <c r="E287" s="49">
        <f>_xlfn.XLOOKUP(C287,Tab_Def_Flows[Name(EN)],Tab_Def_Flows[Output_Process],,0,)</f>
        <v>0</v>
      </c>
      <c r="F287" s="49" t="str">
        <f>_xlfn.XLOOKUP(C287,Tab_Def_Flows[Name(EN)],Tab_Def_Flows[Process_ID_O],,0,)</f>
        <v>21__</v>
      </c>
      <c r="G287" s="49">
        <f>_xlfn.XLOOKUP(C287,Tab_Def_Flows[Name(EN)],Tab_Def_Flows[Input_Process],,0,)</f>
        <v>0</v>
      </c>
      <c r="H287" s="61" t="str">
        <f>_xlfn.XLOOKUP(C287,Tab_Def_Flows[Name(EN)],Tab_Def_Flows[Process_ID_I],,0,)</f>
        <v>21__</v>
      </c>
      <c r="I287" s="49">
        <f>_xlfn.XLOOKUP(C287,Tab_Def_Flows[Name(EN)],Tab_Def_Flows[Value_Source],,0,)</f>
        <v>0</v>
      </c>
      <c r="J287" s="49">
        <f>_xlfn.XLOOKUP(C287,Tab_Def_Flows[Name(EN)],Tab_Def_Flows[WC?],,0,)</f>
        <v>0</v>
      </c>
      <c r="K287" s="49">
        <f>_xlfn.XLOOKUP(C287,Tab_Def_Flows[Name(EN)],Tab_Def_Flows[DM?],,0,)</f>
        <v>0</v>
      </c>
      <c r="L287" s="49">
        <f>_xlfn.XLOOKUP(C287,Tab_Def_Flows[Name(EN)],Tab_Def_Flows[CC?],,0,)</f>
        <v>0</v>
      </c>
      <c r="M287" s="51"/>
      <c r="N287" s="51"/>
      <c r="O287" s="88"/>
      <c r="P287" s="51"/>
      <c r="Q287" s="51"/>
      <c r="R287" s="51"/>
      <c r="S287" s="51"/>
      <c r="T287" s="51"/>
      <c r="U287" s="51"/>
      <c r="V287" s="51"/>
      <c r="W287" s="51"/>
      <c r="X287" s="51"/>
      <c r="Y287" s="51"/>
      <c r="Z287" s="51"/>
      <c r="AA287" s="89">
        <f t="shared" si="11"/>
        <v>0</v>
      </c>
      <c r="AB287" s="51"/>
      <c r="AC287" s="114" t="e">
        <f>INDEX(Tab_Def_Flows[[Flow_ID]:[CC_DM_source]],MATCH(Tab_Data_Flows[[#This Row],[Name(EN)]],Tab_Def_Flows[Name(EN)],0),16)</f>
        <v>#N/A</v>
      </c>
      <c r="AD287" s="115" t="str">
        <f>IF(J287="Yes",AA287*Tab_Data_Flows[[#This Row],[WC_'[%']]],"N.A.")</f>
        <v>N.A.</v>
      </c>
      <c r="AE287" s="61">
        <f>Tab_Data_Flows[[#This Row],[UoM_Flow_Py]]</f>
        <v>0</v>
      </c>
      <c r="AF287" s="114" t="e">
        <f>INDEX(Tab_Def_Flows[[Flow_ID]:[CC_DM_source]],MATCH(Tab_Data_Flows[[#This Row],[Name(EN)]],Tab_Def_Flows[Name(EN)],0),18)</f>
        <v>#N/A</v>
      </c>
      <c r="AG287" s="115" t="str">
        <f>IF(K287="Yes",AF287*Tab_Data_Flows[[#This Row],[Flow_Py]],"N.A.")</f>
        <v>N.A.</v>
      </c>
      <c r="AH287" s="61">
        <f>Tab_Data_Flows[[#This Row],[UoM_Flow_Py]]</f>
        <v>0</v>
      </c>
      <c r="AI287" s="114" t="e">
        <f>INDEX(Tab_Def_Flows[[Flow_ID]:[CC_DM_source]],MATCH(Tab_Data_Flows[[#This Row],[Name(EN)]],Tab_Def_Flows[Name(EN)],0),20)</f>
        <v>#N/A</v>
      </c>
      <c r="AJ287" s="115" t="str">
        <f>IF(L287="Yes",AI287*Tab_Data_Flows[[#This Row],[Flow_Py]],"N.A.")</f>
        <v>N.A.</v>
      </c>
      <c r="AK287" s="61">
        <f>Tab_Data_Flows[[#This Row],[UoM_Flow_Py]]</f>
        <v>0</v>
      </c>
    </row>
    <row r="288" spans="1:37" x14ac:dyDescent="0.35">
      <c r="A288" s="60">
        <f t="shared" si="10"/>
        <v>287</v>
      </c>
      <c r="B288" s="49" t="str">
        <f>_xlfn.XLOOKUP(C288,Tab_Def_Flows[Name(EN)],Tab_Def_Flows[Flow_ID],,0,)</f>
        <v>F_21_21</v>
      </c>
      <c r="C288" s="51"/>
      <c r="D288" s="49">
        <f>_xlfn.XLOOKUP(C288,Tab_Def_Flows[Name(EN)],Tab_Def_Flows[Type_Biomass],,0,)</f>
        <v>0</v>
      </c>
      <c r="E288" s="49">
        <f>_xlfn.XLOOKUP(C288,Tab_Def_Flows[Name(EN)],Tab_Def_Flows[Output_Process],,0,)</f>
        <v>0</v>
      </c>
      <c r="F288" s="49" t="str">
        <f>_xlfn.XLOOKUP(C288,Tab_Def_Flows[Name(EN)],Tab_Def_Flows[Process_ID_O],,0,)</f>
        <v>21__</v>
      </c>
      <c r="G288" s="49">
        <f>_xlfn.XLOOKUP(C288,Tab_Def_Flows[Name(EN)],Tab_Def_Flows[Input_Process],,0,)</f>
        <v>0</v>
      </c>
      <c r="H288" s="61" t="str">
        <f>_xlfn.XLOOKUP(C288,Tab_Def_Flows[Name(EN)],Tab_Def_Flows[Process_ID_I],,0,)</f>
        <v>21__</v>
      </c>
      <c r="I288" s="49">
        <f>_xlfn.XLOOKUP(C288,Tab_Def_Flows[Name(EN)],Tab_Def_Flows[Value_Source],,0,)</f>
        <v>0</v>
      </c>
      <c r="J288" s="49">
        <f>_xlfn.XLOOKUP(C288,Tab_Def_Flows[Name(EN)],Tab_Def_Flows[WC?],,0,)</f>
        <v>0</v>
      </c>
      <c r="K288" s="49">
        <f>_xlfn.XLOOKUP(C288,Tab_Def_Flows[Name(EN)],Tab_Def_Flows[DM?],,0,)</f>
        <v>0</v>
      </c>
      <c r="L288" s="49">
        <f>_xlfn.XLOOKUP(C288,Tab_Def_Flows[Name(EN)],Tab_Def_Flows[CC?],,0,)</f>
        <v>0</v>
      </c>
      <c r="M288" s="51"/>
      <c r="N288" s="51"/>
      <c r="O288" s="88"/>
      <c r="P288" s="51"/>
      <c r="Q288" s="51"/>
      <c r="R288" s="51"/>
      <c r="S288" s="51"/>
      <c r="T288" s="51"/>
      <c r="U288" s="51"/>
      <c r="V288" s="51"/>
      <c r="W288" s="51"/>
      <c r="X288" s="51"/>
      <c r="Y288" s="51"/>
      <c r="Z288" s="51"/>
      <c r="AA288" s="89">
        <f t="shared" si="11"/>
        <v>0</v>
      </c>
      <c r="AB288" s="51"/>
      <c r="AC288" s="114" t="e">
        <f>INDEX(Tab_Def_Flows[[Flow_ID]:[CC_DM_source]],MATCH(Tab_Data_Flows[[#This Row],[Name(EN)]],Tab_Def_Flows[Name(EN)],0),16)</f>
        <v>#N/A</v>
      </c>
      <c r="AD288" s="115" t="str">
        <f>IF(J288="Yes",AA288*Tab_Data_Flows[[#This Row],[WC_'[%']]],"N.A.")</f>
        <v>N.A.</v>
      </c>
      <c r="AE288" s="61">
        <f>Tab_Data_Flows[[#This Row],[UoM_Flow_Py]]</f>
        <v>0</v>
      </c>
      <c r="AF288" s="114" t="e">
        <f>INDEX(Tab_Def_Flows[[Flow_ID]:[CC_DM_source]],MATCH(Tab_Data_Flows[[#This Row],[Name(EN)]],Tab_Def_Flows[Name(EN)],0),18)</f>
        <v>#N/A</v>
      </c>
      <c r="AG288" s="115" t="str">
        <f>IF(K288="Yes",AF288*Tab_Data_Flows[[#This Row],[Flow_Py]],"N.A.")</f>
        <v>N.A.</v>
      </c>
      <c r="AH288" s="61">
        <f>Tab_Data_Flows[[#This Row],[UoM_Flow_Py]]</f>
        <v>0</v>
      </c>
      <c r="AI288" s="114" t="e">
        <f>INDEX(Tab_Def_Flows[[Flow_ID]:[CC_DM_source]],MATCH(Tab_Data_Flows[[#This Row],[Name(EN)]],Tab_Def_Flows[Name(EN)],0),20)</f>
        <v>#N/A</v>
      </c>
      <c r="AJ288" s="115" t="str">
        <f>IF(L288="Yes",AI288*Tab_Data_Flows[[#This Row],[Flow_Py]],"N.A.")</f>
        <v>N.A.</v>
      </c>
      <c r="AK288" s="61">
        <f>Tab_Data_Flows[[#This Row],[UoM_Flow_Py]]</f>
        <v>0</v>
      </c>
    </row>
    <row r="289" spans="1:37" x14ac:dyDescent="0.35">
      <c r="A289" s="60">
        <f t="shared" si="10"/>
        <v>288</v>
      </c>
      <c r="B289" s="49" t="str">
        <f>_xlfn.XLOOKUP(C289,Tab_Def_Flows[Name(EN)],Tab_Def_Flows[Flow_ID],,0,)</f>
        <v>F_21_21</v>
      </c>
      <c r="C289" s="51"/>
      <c r="D289" s="49">
        <f>_xlfn.XLOOKUP(C289,Tab_Def_Flows[Name(EN)],Tab_Def_Flows[Type_Biomass],,0,)</f>
        <v>0</v>
      </c>
      <c r="E289" s="49">
        <f>_xlfn.XLOOKUP(C289,Tab_Def_Flows[Name(EN)],Tab_Def_Flows[Output_Process],,0,)</f>
        <v>0</v>
      </c>
      <c r="F289" s="49" t="str">
        <f>_xlfn.XLOOKUP(C289,Tab_Def_Flows[Name(EN)],Tab_Def_Flows[Process_ID_O],,0,)</f>
        <v>21__</v>
      </c>
      <c r="G289" s="49">
        <f>_xlfn.XLOOKUP(C289,Tab_Def_Flows[Name(EN)],Tab_Def_Flows[Input_Process],,0,)</f>
        <v>0</v>
      </c>
      <c r="H289" s="61" t="str">
        <f>_xlfn.XLOOKUP(C289,Tab_Def_Flows[Name(EN)],Tab_Def_Flows[Process_ID_I],,0,)</f>
        <v>21__</v>
      </c>
      <c r="I289" s="49">
        <f>_xlfn.XLOOKUP(C289,Tab_Def_Flows[Name(EN)],Tab_Def_Flows[Value_Source],,0,)</f>
        <v>0</v>
      </c>
      <c r="J289" s="49">
        <f>_xlfn.XLOOKUP(C289,Tab_Def_Flows[Name(EN)],Tab_Def_Flows[WC?],,0,)</f>
        <v>0</v>
      </c>
      <c r="K289" s="49">
        <f>_xlfn.XLOOKUP(C289,Tab_Def_Flows[Name(EN)],Tab_Def_Flows[DM?],,0,)</f>
        <v>0</v>
      </c>
      <c r="L289" s="49">
        <f>_xlfn.XLOOKUP(C289,Tab_Def_Flows[Name(EN)],Tab_Def_Flows[CC?],,0,)</f>
        <v>0</v>
      </c>
      <c r="M289" s="51"/>
      <c r="N289" s="51"/>
      <c r="O289" s="88"/>
      <c r="P289" s="51"/>
      <c r="Q289" s="51"/>
      <c r="R289" s="51"/>
      <c r="S289" s="51"/>
      <c r="T289" s="51"/>
      <c r="U289" s="51"/>
      <c r="V289" s="51"/>
      <c r="W289" s="51"/>
      <c r="X289" s="51"/>
      <c r="Y289" s="51"/>
      <c r="Z289" s="51"/>
      <c r="AA289" s="89">
        <f t="shared" si="11"/>
        <v>0</v>
      </c>
      <c r="AB289" s="51"/>
      <c r="AC289" s="114" t="e">
        <f>INDEX(Tab_Def_Flows[[Flow_ID]:[CC_DM_source]],MATCH(Tab_Data_Flows[[#This Row],[Name(EN)]],Tab_Def_Flows[Name(EN)],0),16)</f>
        <v>#N/A</v>
      </c>
      <c r="AD289" s="115" t="str">
        <f>IF(J289="Yes",AA289*Tab_Data_Flows[[#This Row],[WC_'[%']]],"N.A.")</f>
        <v>N.A.</v>
      </c>
      <c r="AE289" s="61">
        <f>Tab_Data_Flows[[#This Row],[UoM_Flow_Py]]</f>
        <v>0</v>
      </c>
      <c r="AF289" s="114" t="e">
        <f>INDEX(Tab_Def_Flows[[Flow_ID]:[CC_DM_source]],MATCH(Tab_Data_Flows[[#This Row],[Name(EN)]],Tab_Def_Flows[Name(EN)],0),18)</f>
        <v>#N/A</v>
      </c>
      <c r="AG289" s="115" t="str">
        <f>IF(K289="Yes",AF289*Tab_Data_Flows[[#This Row],[Flow_Py]],"N.A.")</f>
        <v>N.A.</v>
      </c>
      <c r="AH289" s="61">
        <f>Tab_Data_Flows[[#This Row],[UoM_Flow_Py]]</f>
        <v>0</v>
      </c>
      <c r="AI289" s="114" t="e">
        <f>INDEX(Tab_Def_Flows[[Flow_ID]:[CC_DM_source]],MATCH(Tab_Data_Flows[[#This Row],[Name(EN)]],Tab_Def_Flows[Name(EN)],0),20)</f>
        <v>#N/A</v>
      </c>
      <c r="AJ289" s="115" t="str">
        <f>IF(L289="Yes",AI289*Tab_Data_Flows[[#This Row],[Flow_Py]],"N.A.")</f>
        <v>N.A.</v>
      </c>
      <c r="AK289" s="61">
        <f>Tab_Data_Flows[[#This Row],[UoM_Flow_Py]]</f>
        <v>0</v>
      </c>
    </row>
    <row r="290" spans="1:37" x14ac:dyDescent="0.35">
      <c r="A290" s="60">
        <f t="shared" si="10"/>
        <v>289</v>
      </c>
      <c r="B290" s="49" t="str">
        <f>_xlfn.XLOOKUP(C290,Tab_Def_Flows[Name(EN)],Tab_Def_Flows[Flow_ID],,0,)</f>
        <v>F_21_21</v>
      </c>
      <c r="C290" s="51"/>
      <c r="D290" s="49">
        <f>_xlfn.XLOOKUP(C290,Tab_Def_Flows[Name(EN)],Tab_Def_Flows[Type_Biomass],,0,)</f>
        <v>0</v>
      </c>
      <c r="E290" s="49">
        <f>_xlfn.XLOOKUP(C290,Tab_Def_Flows[Name(EN)],Tab_Def_Flows[Output_Process],,0,)</f>
        <v>0</v>
      </c>
      <c r="F290" s="49" t="str">
        <f>_xlfn.XLOOKUP(C290,Tab_Def_Flows[Name(EN)],Tab_Def_Flows[Process_ID_O],,0,)</f>
        <v>21__</v>
      </c>
      <c r="G290" s="49">
        <f>_xlfn.XLOOKUP(C290,Tab_Def_Flows[Name(EN)],Tab_Def_Flows[Input_Process],,0,)</f>
        <v>0</v>
      </c>
      <c r="H290" s="61" t="str">
        <f>_xlfn.XLOOKUP(C290,Tab_Def_Flows[Name(EN)],Tab_Def_Flows[Process_ID_I],,0,)</f>
        <v>21__</v>
      </c>
      <c r="I290" s="49">
        <f>_xlfn.XLOOKUP(C290,Tab_Def_Flows[Name(EN)],Tab_Def_Flows[Value_Source],,0,)</f>
        <v>0</v>
      </c>
      <c r="J290" s="49">
        <f>_xlfn.XLOOKUP(C290,Tab_Def_Flows[Name(EN)],Tab_Def_Flows[WC?],,0,)</f>
        <v>0</v>
      </c>
      <c r="K290" s="49">
        <f>_xlfn.XLOOKUP(C290,Tab_Def_Flows[Name(EN)],Tab_Def_Flows[DM?],,0,)</f>
        <v>0</v>
      </c>
      <c r="L290" s="49">
        <f>_xlfn.XLOOKUP(C290,Tab_Def_Flows[Name(EN)],Tab_Def_Flows[CC?],,0,)</f>
        <v>0</v>
      </c>
      <c r="M290" s="51"/>
      <c r="N290" s="51"/>
      <c r="O290" s="88"/>
      <c r="P290" s="51"/>
      <c r="Q290" s="51"/>
      <c r="R290" s="51"/>
      <c r="S290" s="51"/>
      <c r="T290" s="51"/>
      <c r="U290" s="51"/>
      <c r="V290" s="51"/>
      <c r="W290" s="51"/>
      <c r="X290" s="51"/>
      <c r="Y290" s="51"/>
      <c r="Z290" s="51"/>
      <c r="AA290" s="89">
        <f t="shared" si="11"/>
        <v>0</v>
      </c>
      <c r="AB290" s="51"/>
      <c r="AC290" s="114" t="e">
        <f>INDEX(Tab_Def_Flows[[Flow_ID]:[CC_DM_source]],MATCH(Tab_Data_Flows[[#This Row],[Name(EN)]],Tab_Def_Flows[Name(EN)],0),16)</f>
        <v>#N/A</v>
      </c>
      <c r="AD290" s="115" t="str">
        <f>IF(J290="Yes",AA290*Tab_Data_Flows[[#This Row],[WC_'[%']]],"N.A.")</f>
        <v>N.A.</v>
      </c>
      <c r="AE290" s="61">
        <f>Tab_Data_Flows[[#This Row],[UoM_Flow_Py]]</f>
        <v>0</v>
      </c>
      <c r="AF290" s="114" t="e">
        <f>INDEX(Tab_Def_Flows[[Flow_ID]:[CC_DM_source]],MATCH(Tab_Data_Flows[[#This Row],[Name(EN)]],Tab_Def_Flows[Name(EN)],0),18)</f>
        <v>#N/A</v>
      </c>
      <c r="AG290" s="115" t="str">
        <f>IF(K290="Yes",AF290*Tab_Data_Flows[[#This Row],[Flow_Py]],"N.A.")</f>
        <v>N.A.</v>
      </c>
      <c r="AH290" s="61">
        <f>Tab_Data_Flows[[#This Row],[UoM_Flow_Py]]</f>
        <v>0</v>
      </c>
      <c r="AI290" s="114" t="e">
        <f>INDEX(Tab_Def_Flows[[Flow_ID]:[CC_DM_source]],MATCH(Tab_Data_Flows[[#This Row],[Name(EN)]],Tab_Def_Flows[Name(EN)],0),20)</f>
        <v>#N/A</v>
      </c>
      <c r="AJ290" s="115" t="str">
        <f>IF(L290="Yes",AI290*Tab_Data_Flows[[#This Row],[Flow_Py]],"N.A.")</f>
        <v>N.A.</v>
      </c>
      <c r="AK290" s="61">
        <f>Tab_Data_Flows[[#This Row],[UoM_Flow_Py]]</f>
        <v>0</v>
      </c>
    </row>
    <row r="291" spans="1:37" x14ac:dyDescent="0.35">
      <c r="A291" s="60">
        <f t="shared" si="10"/>
        <v>290</v>
      </c>
      <c r="B291" s="49" t="str">
        <f>_xlfn.XLOOKUP(C291,Tab_Def_Flows[Name(EN)],Tab_Def_Flows[Flow_ID],,0,)</f>
        <v>F_21_21</v>
      </c>
      <c r="C291" s="51"/>
      <c r="D291" s="49">
        <f>_xlfn.XLOOKUP(C291,Tab_Def_Flows[Name(EN)],Tab_Def_Flows[Type_Biomass],,0,)</f>
        <v>0</v>
      </c>
      <c r="E291" s="49">
        <f>_xlfn.XLOOKUP(C291,Tab_Def_Flows[Name(EN)],Tab_Def_Flows[Output_Process],,0,)</f>
        <v>0</v>
      </c>
      <c r="F291" s="49" t="str">
        <f>_xlfn.XLOOKUP(C291,Tab_Def_Flows[Name(EN)],Tab_Def_Flows[Process_ID_O],,0,)</f>
        <v>21__</v>
      </c>
      <c r="G291" s="49">
        <f>_xlfn.XLOOKUP(C291,Tab_Def_Flows[Name(EN)],Tab_Def_Flows[Input_Process],,0,)</f>
        <v>0</v>
      </c>
      <c r="H291" s="61" t="str">
        <f>_xlfn.XLOOKUP(C291,Tab_Def_Flows[Name(EN)],Tab_Def_Flows[Process_ID_I],,0,)</f>
        <v>21__</v>
      </c>
      <c r="I291" s="49">
        <f>_xlfn.XLOOKUP(C291,Tab_Def_Flows[Name(EN)],Tab_Def_Flows[Value_Source],,0,)</f>
        <v>0</v>
      </c>
      <c r="J291" s="49">
        <f>_xlfn.XLOOKUP(C291,Tab_Def_Flows[Name(EN)],Tab_Def_Flows[WC?],,0,)</f>
        <v>0</v>
      </c>
      <c r="K291" s="49">
        <f>_xlfn.XLOOKUP(C291,Tab_Def_Flows[Name(EN)],Tab_Def_Flows[DM?],,0,)</f>
        <v>0</v>
      </c>
      <c r="L291" s="49">
        <f>_xlfn.XLOOKUP(C291,Tab_Def_Flows[Name(EN)],Tab_Def_Flows[CC?],,0,)</f>
        <v>0</v>
      </c>
      <c r="M291" s="51"/>
      <c r="N291" s="51"/>
      <c r="O291" s="88"/>
      <c r="P291" s="51"/>
      <c r="Q291" s="51"/>
      <c r="R291" s="51"/>
      <c r="S291" s="51"/>
      <c r="T291" s="51"/>
      <c r="U291" s="51"/>
      <c r="V291" s="51"/>
      <c r="W291" s="51"/>
      <c r="X291" s="51"/>
      <c r="Y291" s="51"/>
      <c r="Z291" s="51"/>
      <c r="AA291" s="89">
        <f t="shared" si="11"/>
        <v>0</v>
      </c>
      <c r="AB291" s="51"/>
      <c r="AC291" s="114" t="e">
        <f>INDEX(Tab_Def_Flows[[Flow_ID]:[CC_DM_source]],MATCH(Tab_Data_Flows[[#This Row],[Name(EN)]],Tab_Def_Flows[Name(EN)],0),16)</f>
        <v>#N/A</v>
      </c>
      <c r="AD291" s="115" t="str">
        <f>IF(J291="Yes",AA291*Tab_Data_Flows[[#This Row],[WC_'[%']]],"N.A.")</f>
        <v>N.A.</v>
      </c>
      <c r="AE291" s="61">
        <f>Tab_Data_Flows[[#This Row],[UoM_Flow_Py]]</f>
        <v>0</v>
      </c>
      <c r="AF291" s="114" t="e">
        <f>INDEX(Tab_Def_Flows[[Flow_ID]:[CC_DM_source]],MATCH(Tab_Data_Flows[[#This Row],[Name(EN)]],Tab_Def_Flows[Name(EN)],0),18)</f>
        <v>#N/A</v>
      </c>
      <c r="AG291" s="115" t="str">
        <f>IF(K291="Yes",AF291*Tab_Data_Flows[[#This Row],[Flow_Py]],"N.A.")</f>
        <v>N.A.</v>
      </c>
      <c r="AH291" s="61">
        <f>Tab_Data_Flows[[#This Row],[UoM_Flow_Py]]</f>
        <v>0</v>
      </c>
      <c r="AI291" s="114" t="e">
        <f>INDEX(Tab_Def_Flows[[Flow_ID]:[CC_DM_source]],MATCH(Tab_Data_Flows[[#This Row],[Name(EN)]],Tab_Def_Flows[Name(EN)],0),20)</f>
        <v>#N/A</v>
      </c>
      <c r="AJ291" s="115" t="str">
        <f>IF(L291="Yes",AI291*Tab_Data_Flows[[#This Row],[Flow_Py]],"N.A.")</f>
        <v>N.A.</v>
      </c>
      <c r="AK291" s="61">
        <f>Tab_Data_Flows[[#This Row],[UoM_Flow_Py]]</f>
        <v>0</v>
      </c>
    </row>
    <row r="292" spans="1:37" x14ac:dyDescent="0.35">
      <c r="A292" s="60">
        <f t="shared" si="10"/>
        <v>291</v>
      </c>
      <c r="B292" s="49" t="str">
        <f>_xlfn.XLOOKUP(C292,Tab_Def_Flows[Name(EN)],Tab_Def_Flows[Flow_ID],,0,)</f>
        <v>F_21_21</v>
      </c>
      <c r="C292" s="51"/>
      <c r="D292" s="49">
        <f>_xlfn.XLOOKUP(C292,Tab_Def_Flows[Name(EN)],Tab_Def_Flows[Type_Biomass],,0,)</f>
        <v>0</v>
      </c>
      <c r="E292" s="49">
        <f>_xlfn.XLOOKUP(C292,Tab_Def_Flows[Name(EN)],Tab_Def_Flows[Output_Process],,0,)</f>
        <v>0</v>
      </c>
      <c r="F292" s="49" t="str">
        <f>_xlfn.XLOOKUP(C292,Tab_Def_Flows[Name(EN)],Tab_Def_Flows[Process_ID_O],,0,)</f>
        <v>21__</v>
      </c>
      <c r="G292" s="49">
        <f>_xlfn.XLOOKUP(C292,Tab_Def_Flows[Name(EN)],Tab_Def_Flows[Input_Process],,0,)</f>
        <v>0</v>
      </c>
      <c r="H292" s="61" t="str">
        <f>_xlfn.XLOOKUP(C292,Tab_Def_Flows[Name(EN)],Tab_Def_Flows[Process_ID_I],,0,)</f>
        <v>21__</v>
      </c>
      <c r="I292" s="49">
        <f>_xlfn.XLOOKUP(C292,Tab_Def_Flows[Name(EN)],Tab_Def_Flows[Value_Source],,0,)</f>
        <v>0</v>
      </c>
      <c r="J292" s="49">
        <f>_xlfn.XLOOKUP(C292,Tab_Def_Flows[Name(EN)],Tab_Def_Flows[WC?],,0,)</f>
        <v>0</v>
      </c>
      <c r="K292" s="49">
        <f>_xlfn.XLOOKUP(C292,Tab_Def_Flows[Name(EN)],Tab_Def_Flows[DM?],,0,)</f>
        <v>0</v>
      </c>
      <c r="L292" s="49">
        <f>_xlfn.XLOOKUP(C292,Tab_Def_Flows[Name(EN)],Tab_Def_Flows[CC?],,0,)</f>
        <v>0</v>
      </c>
      <c r="M292" s="51"/>
      <c r="N292" s="51"/>
      <c r="O292" s="88"/>
      <c r="P292" s="51"/>
      <c r="Q292" s="51"/>
      <c r="R292" s="51"/>
      <c r="S292" s="51"/>
      <c r="T292" s="51"/>
      <c r="U292" s="51"/>
      <c r="V292" s="51"/>
      <c r="W292" s="51"/>
      <c r="X292" s="51"/>
      <c r="Y292" s="51"/>
      <c r="Z292" s="51"/>
      <c r="AA292" s="89">
        <f t="shared" si="11"/>
        <v>0</v>
      </c>
      <c r="AB292" s="51"/>
      <c r="AC292" s="114" t="e">
        <f>INDEX(Tab_Def_Flows[[Flow_ID]:[CC_DM_source]],MATCH(Tab_Data_Flows[[#This Row],[Name(EN)]],Tab_Def_Flows[Name(EN)],0),16)</f>
        <v>#N/A</v>
      </c>
      <c r="AD292" s="115" t="str">
        <f>IF(J292="Yes",AA292*Tab_Data_Flows[[#This Row],[WC_'[%']]],"N.A.")</f>
        <v>N.A.</v>
      </c>
      <c r="AE292" s="61">
        <f>Tab_Data_Flows[[#This Row],[UoM_Flow_Py]]</f>
        <v>0</v>
      </c>
      <c r="AF292" s="114" t="e">
        <f>INDEX(Tab_Def_Flows[[Flow_ID]:[CC_DM_source]],MATCH(Tab_Data_Flows[[#This Row],[Name(EN)]],Tab_Def_Flows[Name(EN)],0),18)</f>
        <v>#N/A</v>
      </c>
      <c r="AG292" s="115" t="str">
        <f>IF(K292="Yes",AF292*Tab_Data_Flows[[#This Row],[Flow_Py]],"N.A.")</f>
        <v>N.A.</v>
      </c>
      <c r="AH292" s="61">
        <f>Tab_Data_Flows[[#This Row],[UoM_Flow_Py]]</f>
        <v>0</v>
      </c>
      <c r="AI292" s="114" t="e">
        <f>INDEX(Tab_Def_Flows[[Flow_ID]:[CC_DM_source]],MATCH(Tab_Data_Flows[[#This Row],[Name(EN)]],Tab_Def_Flows[Name(EN)],0),20)</f>
        <v>#N/A</v>
      </c>
      <c r="AJ292" s="115" t="str">
        <f>IF(L292="Yes",AI292*Tab_Data_Flows[[#This Row],[Flow_Py]],"N.A.")</f>
        <v>N.A.</v>
      </c>
      <c r="AK292" s="61">
        <f>Tab_Data_Flows[[#This Row],[UoM_Flow_Py]]</f>
        <v>0</v>
      </c>
    </row>
    <row r="293" spans="1:37" x14ac:dyDescent="0.35">
      <c r="A293" s="60">
        <f t="shared" si="10"/>
        <v>292</v>
      </c>
      <c r="B293" s="49" t="str">
        <f>_xlfn.XLOOKUP(C293,Tab_Def_Flows[Name(EN)],Tab_Def_Flows[Flow_ID],,0,)</f>
        <v>F_21_21</v>
      </c>
      <c r="C293" s="51"/>
      <c r="D293" s="49">
        <f>_xlfn.XLOOKUP(C293,Tab_Def_Flows[Name(EN)],Tab_Def_Flows[Type_Biomass],,0,)</f>
        <v>0</v>
      </c>
      <c r="E293" s="49">
        <f>_xlfn.XLOOKUP(C293,Tab_Def_Flows[Name(EN)],Tab_Def_Flows[Output_Process],,0,)</f>
        <v>0</v>
      </c>
      <c r="F293" s="49" t="str">
        <f>_xlfn.XLOOKUP(C293,Tab_Def_Flows[Name(EN)],Tab_Def_Flows[Process_ID_O],,0,)</f>
        <v>21__</v>
      </c>
      <c r="G293" s="49">
        <f>_xlfn.XLOOKUP(C293,Tab_Def_Flows[Name(EN)],Tab_Def_Flows[Input_Process],,0,)</f>
        <v>0</v>
      </c>
      <c r="H293" s="61" t="str">
        <f>_xlfn.XLOOKUP(C293,Tab_Def_Flows[Name(EN)],Tab_Def_Flows[Process_ID_I],,0,)</f>
        <v>21__</v>
      </c>
      <c r="I293" s="49">
        <f>_xlfn.XLOOKUP(C293,Tab_Def_Flows[Name(EN)],Tab_Def_Flows[Value_Source],,0,)</f>
        <v>0</v>
      </c>
      <c r="J293" s="49">
        <f>_xlfn.XLOOKUP(C293,Tab_Def_Flows[Name(EN)],Tab_Def_Flows[WC?],,0,)</f>
        <v>0</v>
      </c>
      <c r="K293" s="49">
        <f>_xlfn.XLOOKUP(C293,Tab_Def_Flows[Name(EN)],Tab_Def_Flows[DM?],,0,)</f>
        <v>0</v>
      </c>
      <c r="L293" s="49">
        <f>_xlfn.XLOOKUP(C293,Tab_Def_Flows[Name(EN)],Tab_Def_Flows[CC?],,0,)</f>
        <v>0</v>
      </c>
      <c r="M293" s="51"/>
      <c r="N293" s="51"/>
      <c r="O293" s="88"/>
      <c r="P293" s="51"/>
      <c r="Q293" s="51"/>
      <c r="R293" s="51"/>
      <c r="S293" s="51"/>
      <c r="T293" s="51"/>
      <c r="U293" s="51"/>
      <c r="V293" s="51"/>
      <c r="W293" s="51"/>
      <c r="X293" s="51"/>
      <c r="Y293" s="51"/>
      <c r="Z293" s="51"/>
      <c r="AA293" s="89">
        <f t="shared" si="11"/>
        <v>0</v>
      </c>
      <c r="AB293" s="51"/>
      <c r="AC293" s="114" t="e">
        <f>INDEX(Tab_Def_Flows[[Flow_ID]:[CC_DM_source]],MATCH(Tab_Data_Flows[[#This Row],[Name(EN)]],Tab_Def_Flows[Name(EN)],0),16)</f>
        <v>#N/A</v>
      </c>
      <c r="AD293" s="115" t="str">
        <f>IF(J293="Yes",AA293*Tab_Data_Flows[[#This Row],[WC_'[%']]],"N.A.")</f>
        <v>N.A.</v>
      </c>
      <c r="AE293" s="61">
        <f>Tab_Data_Flows[[#This Row],[UoM_Flow_Py]]</f>
        <v>0</v>
      </c>
      <c r="AF293" s="114" t="e">
        <f>INDEX(Tab_Def_Flows[[Flow_ID]:[CC_DM_source]],MATCH(Tab_Data_Flows[[#This Row],[Name(EN)]],Tab_Def_Flows[Name(EN)],0),18)</f>
        <v>#N/A</v>
      </c>
      <c r="AG293" s="115" t="str">
        <f>IF(K293="Yes",AF293*Tab_Data_Flows[[#This Row],[Flow_Py]],"N.A.")</f>
        <v>N.A.</v>
      </c>
      <c r="AH293" s="61">
        <f>Tab_Data_Flows[[#This Row],[UoM_Flow_Py]]</f>
        <v>0</v>
      </c>
      <c r="AI293" s="114" t="e">
        <f>INDEX(Tab_Def_Flows[[Flow_ID]:[CC_DM_source]],MATCH(Tab_Data_Flows[[#This Row],[Name(EN)]],Tab_Def_Flows[Name(EN)],0),20)</f>
        <v>#N/A</v>
      </c>
      <c r="AJ293" s="115" t="str">
        <f>IF(L293="Yes",AI293*Tab_Data_Flows[[#This Row],[Flow_Py]],"N.A.")</f>
        <v>N.A.</v>
      </c>
      <c r="AK293" s="61">
        <f>Tab_Data_Flows[[#This Row],[UoM_Flow_Py]]</f>
        <v>0</v>
      </c>
    </row>
    <row r="294" spans="1:37" x14ac:dyDescent="0.35">
      <c r="A294" s="60">
        <f t="shared" si="10"/>
        <v>293</v>
      </c>
      <c r="B294" s="49" t="str">
        <f>_xlfn.XLOOKUP(C294,Tab_Def_Flows[Name(EN)],Tab_Def_Flows[Flow_ID],,0,)</f>
        <v>F_21_21</v>
      </c>
      <c r="C294" s="51"/>
      <c r="D294" s="49">
        <f>_xlfn.XLOOKUP(C294,Tab_Def_Flows[Name(EN)],Tab_Def_Flows[Type_Biomass],,0,)</f>
        <v>0</v>
      </c>
      <c r="E294" s="49">
        <f>_xlfn.XLOOKUP(C294,Tab_Def_Flows[Name(EN)],Tab_Def_Flows[Output_Process],,0,)</f>
        <v>0</v>
      </c>
      <c r="F294" s="49" t="str">
        <f>_xlfn.XLOOKUP(C294,Tab_Def_Flows[Name(EN)],Tab_Def_Flows[Process_ID_O],,0,)</f>
        <v>21__</v>
      </c>
      <c r="G294" s="49">
        <f>_xlfn.XLOOKUP(C294,Tab_Def_Flows[Name(EN)],Tab_Def_Flows[Input_Process],,0,)</f>
        <v>0</v>
      </c>
      <c r="H294" s="61" t="str">
        <f>_xlfn.XLOOKUP(C294,Tab_Def_Flows[Name(EN)],Tab_Def_Flows[Process_ID_I],,0,)</f>
        <v>21__</v>
      </c>
      <c r="I294" s="49">
        <f>_xlfn.XLOOKUP(C294,Tab_Def_Flows[Name(EN)],Tab_Def_Flows[Value_Source],,0,)</f>
        <v>0</v>
      </c>
      <c r="J294" s="49">
        <f>_xlfn.XLOOKUP(C294,Tab_Def_Flows[Name(EN)],Tab_Def_Flows[WC?],,0,)</f>
        <v>0</v>
      </c>
      <c r="K294" s="49">
        <f>_xlfn.XLOOKUP(C294,Tab_Def_Flows[Name(EN)],Tab_Def_Flows[DM?],,0,)</f>
        <v>0</v>
      </c>
      <c r="L294" s="49">
        <f>_xlfn.XLOOKUP(C294,Tab_Def_Flows[Name(EN)],Tab_Def_Flows[CC?],,0,)</f>
        <v>0</v>
      </c>
      <c r="M294" s="51"/>
      <c r="N294" s="51"/>
      <c r="O294" s="88"/>
      <c r="P294" s="51"/>
      <c r="Q294" s="51"/>
      <c r="R294" s="51"/>
      <c r="S294" s="51"/>
      <c r="T294" s="51"/>
      <c r="U294" s="51"/>
      <c r="V294" s="51"/>
      <c r="W294" s="51"/>
      <c r="X294" s="51"/>
      <c r="Y294" s="51"/>
      <c r="Z294" s="51"/>
      <c r="AA294" s="89">
        <f t="shared" si="11"/>
        <v>0</v>
      </c>
      <c r="AB294" s="51"/>
      <c r="AC294" s="114" t="e">
        <f>INDEX(Tab_Def_Flows[[Flow_ID]:[CC_DM_source]],MATCH(Tab_Data_Flows[[#This Row],[Name(EN)]],Tab_Def_Flows[Name(EN)],0),16)</f>
        <v>#N/A</v>
      </c>
      <c r="AD294" s="115" t="str">
        <f>IF(J294="Yes",AA294*Tab_Data_Flows[[#This Row],[WC_'[%']]],"N.A.")</f>
        <v>N.A.</v>
      </c>
      <c r="AE294" s="61">
        <f>Tab_Data_Flows[[#This Row],[UoM_Flow_Py]]</f>
        <v>0</v>
      </c>
      <c r="AF294" s="114" t="e">
        <f>INDEX(Tab_Def_Flows[[Flow_ID]:[CC_DM_source]],MATCH(Tab_Data_Flows[[#This Row],[Name(EN)]],Tab_Def_Flows[Name(EN)],0),18)</f>
        <v>#N/A</v>
      </c>
      <c r="AG294" s="115" t="str">
        <f>IF(K294="Yes",AF294*Tab_Data_Flows[[#This Row],[Flow_Py]],"N.A.")</f>
        <v>N.A.</v>
      </c>
      <c r="AH294" s="61">
        <f>Tab_Data_Flows[[#This Row],[UoM_Flow_Py]]</f>
        <v>0</v>
      </c>
      <c r="AI294" s="114" t="e">
        <f>INDEX(Tab_Def_Flows[[Flow_ID]:[CC_DM_source]],MATCH(Tab_Data_Flows[[#This Row],[Name(EN)]],Tab_Def_Flows[Name(EN)],0),20)</f>
        <v>#N/A</v>
      </c>
      <c r="AJ294" s="115" t="str">
        <f>IF(L294="Yes",AI294*Tab_Data_Flows[[#This Row],[Flow_Py]],"N.A.")</f>
        <v>N.A.</v>
      </c>
      <c r="AK294" s="61">
        <f>Tab_Data_Flows[[#This Row],[UoM_Flow_Py]]</f>
        <v>0</v>
      </c>
    </row>
    <row r="295" spans="1:37" x14ac:dyDescent="0.35">
      <c r="A295" s="60">
        <f t="shared" si="10"/>
        <v>294</v>
      </c>
      <c r="B295" s="49" t="str">
        <f>_xlfn.XLOOKUP(C295,Tab_Def_Flows[Name(EN)],Tab_Def_Flows[Flow_ID],,0,)</f>
        <v>F_21_21</v>
      </c>
      <c r="C295" s="51"/>
      <c r="D295" s="49">
        <f>_xlfn.XLOOKUP(C295,Tab_Def_Flows[Name(EN)],Tab_Def_Flows[Type_Biomass],,0,)</f>
        <v>0</v>
      </c>
      <c r="E295" s="49">
        <f>_xlfn.XLOOKUP(C295,Tab_Def_Flows[Name(EN)],Tab_Def_Flows[Output_Process],,0,)</f>
        <v>0</v>
      </c>
      <c r="F295" s="49" t="str">
        <f>_xlfn.XLOOKUP(C295,Tab_Def_Flows[Name(EN)],Tab_Def_Flows[Process_ID_O],,0,)</f>
        <v>21__</v>
      </c>
      <c r="G295" s="49">
        <f>_xlfn.XLOOKUP(C295,Tab_Def_Flows[Name(EN)],Tab_Def_Flows[Input_Process],,0,)</f>
        <v>0</v>
      </c>
      <c r="H295" s="61" t="str">
        <f>_xlfn.XLOOKUP(C295,Tab_Def_Flows[Name(EN)],Tab_Def_Flows[Process_ID_I],,0,)</f>
        <v>21__</v>
      </c>
      <c r="I295" s="49">
        <f>_xlfn.XLOOKUP(C295,Tab_Def_Flows[Name(EN)],Tab_Def_Flows[Value_Source],,0,)</f>
        <v>0</v>
      </c>
      <c r="J295" s="49">
        <f>_xlfn.XLOOKUP(C295,Tab_Def_Flows[Name(EN)],Tab_Def_Flows[WC?],,0,)</f>
        <v>0</v>
      </c>
      <c r="K295" s="49">
        <f>_xlfn.XLOOKUP(C295,Tab_Def_Flows[Name(EN)],Tab_Def_Flows[DM?],,0,)</f>
        <v>0</v>
      </c>
      <c r="L295" s="49">
        <f>_xlfn.XLOOKUP(C295,Tab_Def_Flows[Name(EN)],Tab_Def_Flows[CC?],,0,)</f>
        <v>0</v>
      </c>
      <c r="M295" s="51"/>
      <c r="N295" s="51"/>
      <c r="O295" s="88"/>
      <c r="P295" s="51"/>
      <c r="Q295" s="51"/>
      <c r="R295" s="51"/>
      <c r="S295" s="51"/>
      <c r="T295" s="51"/>
      <c r="U295" s="51"/>
      <c r="V295" s="51"/>
      <c r="W295" s="51"/>
      <c r="X295" s="51"/>
      <c r="Y295" s="51"/>
      <c r="Z295" s="51"/>
      <c r="AA295" s="89">
        <f t="shared" si="11"/>
        <v>0</v>
      </c>
      <c r="AB295" s="51"/>
      <c r="AC295" s="114" t="e">
        <f>INDEX(Tab_Def_Flows[[Flow_ID]:[CC_DM_source]],MATCH(Tab_Data_Flows[[#This Row],[Name(EN)]],Tab_Def_Flows[Name(EN)],0),16)</f>
        <v>#N/A</v>
      </c>
      <c r="AD295" s="115" t="str">
        <f>IF(J295="Yes",AA295*Tab_Data_Flows[[#This Row],[WC_'[%']]],"N.A.")</f>
        <v>N.A.</v>
      </c>
      <c r="AE295" s="61">
        <f>Tab_Data_Flows[[#This Row],[UoM_Flow_Py]]</f>
        <v>0</v>
      </c>
      <c r="AF295" s="114" t="e">
        <f>INDEX(Tab_Def_Flows[[Flow_ID]:[CC_DM_source]],MATCH(Tab_Data_Flows[[#This Row],[Name(EN)]],Tab_Def_Flows[Name(EN)],0),18)</f>
        <v>#N/A</v>
      </c>
      <c r="AG295" s="115" t="str">
        <f>IF(K295="Yes",AF295*Tab_Data_Flows[[#This Row],[Flow_Py]],"N.A.")</f>
        <v>N.A.</v>
      </c>
      <c r="AH295" s="61">
        <f>Tab_Data_Flows[[#This Row],[UoM_Flow_Py]]</f>
        <v>0</v>
      </c>
      <c r="AI295" s="114" t="e">
        <f>INDEX(Tab_Def_Flows[[Flow_ID]:[CC_DM_source]],MATCH(Tab_Data_Flows[[#This Row],[Name(EN)]],Tab_Def_Flows[Name(EN)],0),20)</f>
        <v>#N/A</v>
      </c>
      <c r="AJ295" s="115" t="str">
        <f>IF(L295="Yes",AI295*Tab_Data_Flows[[#This Row],[Flow_Py]],"N.A.")</f>
        <v>N.A.</v>
      </c>
      <c r="AK295" s="61">
        <f>Tab_Data_Flows[[#This Row],[UoM_Flow_Py]]</f>
        <v>0</v>
      </c>
    </row>
    <row r="296" spans="1:37" x14ac:dyDescent="0.35">
      <c r="A296" s="60">
        <f t="shared" si="10"/>
        <v>295</v>
      </c>
      <c r="B296" s="49" t="str">
        <f>_xlfn.XLOOKUP(C296,Tab_Def_Flows[Name(EN)],Tab_Def_Flows[Flow_ID],,0,)</f>
        <v>F_21_21</v>
      </c>
      <c r="C296" s="51"/>
      <c r="D296" s="49">
        <f>_xlfn.XLOOKUP(C296,Tab_Def_Flows[Name(EN)],Tab_Def_Flows[Type_Biomass],,0,)</f>
        <v>0</v>
      </c>
      <c r="E296" s="49">
        <f>_xlfn.XLOOKUP(C296,Tab_Def_Flows[Name(EN)],Tab_Def_Flows[Output_Process],,0,)</f>
        <v>0</v>
      </c>
      <c r="F296" s="49" t="str">
        <f>_xlfn.XLOOKUP(C296,Tab_Def_Flows[Name(EN)],Tab_Def_Flows[Process_ID_O],,0,)</f>
        <v>21__</v>
      </c>
      <c r="G296" s="49">
        <f>_xlfn.XLOOKUP(C296,Tab_Def_Flows[Name(EN)],Tab_Def_Flows[Input_Process],,0,)</f>
        <v>0</v>
      </c>
      <c r="H296" s="61" t="str">
        <f>_xlfn.XLOOKUP(C296,Tab_Def_Flows[Name(EN)],Tab_Def_Flows[Process_ID_I],,0,)</f>
        <v>21__</v>
      </c>
      <c r="I296" s="49">
        <f>_xlfn.XLOOKUP(C296,Tab_Def_Flows[Name(EN)],Tab_Def_Flows[Value_Source],,0,)</f>
        <v>0</v>
      </c>
      <c r="J296" s="49">
        <f>_xlfn.XLOOKUP(C296,Tab_Def_Flows[Name(EN)],Tab_Def_Flows[WC?],,0,)</f>
        <v>0</v>
      </c>
      <c r="K296" s="49">
        <f>_xlfn.XLOOKUP(C296,Tab_Def_Flows[Name(EN)],Tab_Def_Flows[DM?],,0,)</f>
        <v>0</v>
      </c>
      <c r="L296" s="49">
        <f>_xlfn.XLOOKUP(C296,Tab_Def_Flows[Name(EN)],Tab_Def_Flows[CC?],,0,)</f>
        <v>0</v>
      </c>
      <c r="M296" s="51"/>
      <c r="N296" s="51"/>
      <c r="O296" s="88"/>
      <c r="P296" s="51"/>
      <c r="Q296" s="51"/>
      <c r="R296" s="51"/>
      <c r="S296" s="51"/>
      <c r="T296" s="51"/>
      <c r="U296" s="51"/>
      <c r="V296" s="51"/>
      <c r="W296" s="51"/>
      <c r="X296" s="51"/>
      <c r="Y296" s="51"/>
      <c r="Z296" s="51"/>
      <c r="AA296" s="89">
        <f t="shared" si="11"/>
        <v>0</v>
      </c>
      <c r="AB296" s="51"/>
      <c r="AC296" s="114" t="e">
        <f>INDEX(Tab_Def_Flows[[Flow_ID]:[CC_DM_source]],MATCH(Tab_Data_Flows[[#This Row],[Name(EN)]],Tab_Def_Flows[Name(EN)],0),16)</f>
        <v>#N/A</v>
      </c>
      <c r="AD296" s="115" t="str">
        <f>IF(J296="Yes",AA296*Tab_Data_Flows[[#This Row],[WC_'[%']]],"N.A.")</f>
        <v>N.A.</v>
      </c>
      <c r="AE296" s="61">
        <f>Tab_Data_Flows[[#This Row],[UoM_Flow_Py]]</f>
        <v>0</v>
      </c>
      <c r="AF296" s="114" t="e">
        <f>INDEX(Tab_Def_Flows[[Flow_ID]:[CC_DM_source]],MATCH(Tab_Data_Flows[[#This Row],[Name(EN)]],Tab_Def_Flows[Name(EN)],0),18)</f>
        <v>#N/A</v>
      </c>
      <c r="AG296" s="115" t="str">
        <f>IF(K296="Yes",AF296*Tab_Data_Flows[[#This Row],[Flow_Py]],"N.A.")</f>
        <v>N.A.</v>
      </c>
      <c r="AH296" s="61">
        <f>Tab_Data_Flows[[#This Row],[UoM_Flow_Py]]</f>
        <v>0</v>
      </c>
      <c r="AI296" s="114" t="e">
        <f>INDEX(Tab_Def_Flows[[Flow_ID]:[CC_DM_source]],MATCH(Tab_Data_Flows[[#This Row],[Name(EN)]],Tab_Def_Flows[Name(EN)],0),20)</f>
        <v>#N/A</v>
      </c>
      <c r="AJ296" s="115" t="str">
        <f>IF(L296="Yes",AI296*Tab_Data_Flows[[#This Row],[Flow_Py]],"N.A.")</f>
        <v>N.A.</v>
      </c>
      <c r="AK296" s="61">
        <f>Tab_Data_Flows[[#This Row],[UoM_Flow_Py]]</f>
        <v>0</v>
      </c>
    </row>
    <row r="297" spans="1:37" x14ac:dyDescent="0.35">
      <c r="A297" s="60">
        <f t="shared" si="10"/>
        <v>296</v>
      </c>
      <c r="B297" s="49" t="str">
        <f>_xlfn.XLOOKUP(C297,Tab_Def_Flows[Name(EN)],Tab_Def_Flows[Flow_ID],,0,)</f>
        <v>F_21_21</v>
      </c>
      <c r="C297" s="51"/>
      <c r="D297" s="49">
        <f>_xlfn.XLOOKUP(C297,Tab_Def_Flows[Name(EN)],Tab_Def_Flows[Type_Biomass],,0,)</f>
        <v>0</v>
      </c>
      <c r="E297" s="49">
        <f>_xlfn.XLOOKUP(C297,Tab_Def_Flows[Name(EN)],Tab_Def_Flows[Output_Process],,0,)</f>
        <v>0</v>
      </c>
      <c r="F297" s="49" t="str">
        <f>_xlfn.XLOOKUP(C297,Tab_Def_Flows[Name(EN)],Tab_Def_Flows[Process_ID_O],,0,)</f>
        <v>21__</v>
      </c>
      <c r="G297" s="49">
        <f>_xlfn.XLOOKUP(C297,Tab_Def_Flows[Name(EN)],Tab_Def_Flows[Input_Process],,0,)</f>
        <v>0</v>
      </c>
      <c r="H297" s="61" t="str">
        <f>_xlfn.XLOOKUP(C297,Tab_Def_Flows[Name(EN)],Tab_Def_Flows[Process_ID_I],,0,)</f>
        <v>21__</v>
      </c>
      <c r="I297" s="49">
        <f>_xlfn.XLOOKUP(C297,Tab_Def_Flows[Name(EN)],Tab_Def_Flows[Value_Source],,0,)</f>
        <v>0</v>
      </c>
      <c r="J297" s="49">
        <f>_xlfn.XLOOKUP(C297,Tab_Def_Flows[Name(EN)],Tab_Def_Flows[WC?],,0,)</f>
        <v>0</v>
      </c>
      <c r="K297" s="49">
        <f>_xlfn.XLOOKUP(C297,Tab_Def_Flows[Name(EN)],Tab_Def_Flows[DM?],,0,)</f>
        <v>0</v>
      </c>
      <c r="L297" s="49">
        <f>_xlfn.XLOOKUP(C297,Tab_Def_Flows[Name(EN)],Tab_Def_Flows[CC?],,0,)</f>
        <v>0</v>
      </c>
      <c r="M297" s="51"/>
      <c r="N297" s="51"/>
      <c r="O297" s="88"/>
      <c r="P297" s="51"/>
      <c r="Q297" s="51"/>
      <c r="R297" s="51"/>
      <c r="S297" s="51"/>
      <c r="T297" s="51"/>
      <c r="U297" s="51"/>
      <c r="V297" s="51"/>
      <c r="W297" s="51"/>
      <c r="X297" s="51"/>
      <c r="Y297" s="51"/>
      <c r="Z297" s="51"/>
      <c r="AA297" s="89">
        <f t="shared" si="11"/>
        <v>0</v>
      </c>
      <c r="AB297" s="51"/>
      <c r="AC297" s="114" t="e">
        <f>INDEX(Tab_Def_Flows[[Flow_ID]:[CC_DM_source]],MATCH(Tab_Data_Flows[[#This Row],[Name(EN)]],Tab_Def_Flows[Name(EN)],0),16)</f>
        <v>#N/A</v>
      </c>
      <c r="AD297" s="115" t="str">
        <f>IF(J297="Yes",AA297*Tab_Data_Flows[[#This Row],[WC_'[%']]],"N.A.")</f>
        <v>N.A.</v>
      </c>
      <c r="AE297" s="61">
        <f>Tab_Data_Flows[[#This Row],[UoM_Flow_Py]]</f>
        <v>0</v>
      </c>
      <c r="AF297" s="114" t="e">
        <f>INDEX(Tab_Def_Flows[[Flow_ID]:[CC_DM_source]],MATCH(Tab_Data_Flows[[#This Row],[Name(EN)]],Tab_Def_Flows[Name(EN)],0),18)</f>
        <v>#N/A</v>
      </c>
      <c r="AG297" s="115" t="str">
        <f>IF(K297="Yes",AF297*Tab_Data_Flows[[#This Row],[Flow_Py]],"N.A.")</f>
        <v>N.A.</v>
      </c>
      <c r="AH297" s="61">
        <f>Tab_Data_Flows[[#This Row],[UoM_Flow_Py]]</f>
        <v>0</v>
      </c>
      <c r="AI297" s="114" t="e">
        <f>INDEX(Tab_Def_Flows[[Flow_ID]:[CC_DM_source]],MATCH(Tab_Data_Flows[[#This Row],[Name(EN)]],Tab_Def_Flows[Name(EN)],0),20)</f>
        <v>#N/A</v>
      </c>
      <c r="AJ297" s="115" t="str">
        <f>IF(L297="Yes",AI297*Tab_Data_Flows[[#This Row],[Flow_Py]],"N.A.")</f>
        <v>N.A.</v>
      </c>
      <c r="AK297" s="61">
        <f>Tab_Data_Flows[[#This Row],[UoM_Flow_Py]]</f>
        <v>0</v>
      </c>
    </row>
    <row r="298" spans="1:37" x14ac:dyDescent="0.35">
      <c r="A298" s="60">
        <f t="shared" si="10"/>
        <v>297</v>
      </c>
      <c r="B298" s="49" t="str">
        <f>_xlfn.XLOOKUP(C298,Tab_Def_Flows[Name(EN)],Tab_Def_Flows[Flow_ID],,0,)</f>
        <v>F_21_21</v>
      </c>
      <c r="C298" s="51"/>
      <c r="D298" s="49">
        <f>_xlfn.XLOOKUP(C298,Tab_Def_Flows[Name(EN)],Tab_Def_Flows[Type_Biomass],,0,)</f>
        <v>0</v>
      </c>
      <c r="E298" s="49">
        <f>_xlfn.XLOOKUP(C298,Tab_Def_Flows[Name(EN)],Tab_Def_Flows[Output_Process],,0,)</f>
        <v>0</v>
      </c>
      <c r="F298" s="49" t="str">
        <f>_xlfn.XLOOKUP(C298,Tab_Def_Flows[Name(EN)],Tab_Def_Flows[Process_ID_O],,0,)</f>
        <v>21__</v>
      </c>
      <c r="G298" s="49">
        <f>_xlfn.XLOOKUP(C298,Tab_Def_Flows[Name(EN)],Tab_Def_Flows[Input_Process],,0,)</f>
        <v>0</v>
      </c>
      <c r="H298" s="61" t="str">
        <f>_xlfn.XLOOKUP(C298,Tab_Def_Flows[Name(EN)],Tab_Def_Flows[Process_ID_I],,0,)</f>
        <v>21__</v>
      </c>
      <c r="I298" s="49">
        <f>_xlfn.XLOOKUP(C298,Tab_Def_Flows[Name(EN)],Tab_Def_Flows[Value_Source],,0,)</f>
        <v>0</v>
      </c>
      <c r="J298" s="49">
        <f>_xlfn.XLOOKUP(C298,Tab_Def_Flows[Name(EN)],Tab_Def_Flows[WC?],,0,)</f>
        <v>0</v>
      </c>
      <c r="K298" s="49">
        <f>_xlfn.XLOOKUP(C298,Tab_Def_Flows[Name(EN)],Tab_Def_Flows[DM?],,0,)</f>
        <v>0</v>
      </c>
      <c r="L298" s="49">
        <f>_xlfn.XLOOKUP(C298,Tab_Def_Flows[Name(EN)],Tab_Def_Flows[CC?],,0,)</f>
        <v>0</v>
      </c>
      <c r="M298" s="51"/>
      <c r="N298" s="51"/>
      <c r="O298" s="88"/>
      <c r="P298" s="51"/>
      <c r="Q298" s="51"/>
      <c r="R298" s="51"/>
      <c r="S298" s="51"/>
      <c r="T298" s="51"/>
      <c r="U298" s="51"/>
      <c r="V298" s="51"/>
      <c r="W298" s="51"/>
      <c r="X298" s="51"/>
      <c r="Y298" s="51"/>
      <c r="Z298" s="51"/>
      <c r="AA298" s="89">
        <f t="shared" si="11"/>
        <v>0</v>
      </c>
      <c r="AB298" s="51"/>
      <c r="AC298" s="114" t="e">
        <f>INDEX(Tab_Def_Flows[[Flow_ID]:[CC_DM_source]],MATCH(Tab_Data_Flows[[#This Row],[Name(EN)]],Tab_Def_Flows[Name(EN)],0),16)</f>
        <v>#N/A</v>
      </c>
      <c r="AD298" s="115" t="str">
        <f>IF(J298="Yes",AA298*Tab_Data_Flows[[#This Row],[WC_'[%']]],"N.A.")</f>
        <v>N.A.</v>
      </c>
      <c r="AE298" s="61">
        <f>Tab_Data_Flows[[#This Row],[UoM_Flow_Py]]</f>
        <v>0</v>
      </c>
      <c r="AF298" s="114" t="e">
        <f>INDEX(Tab_Def_Flows[[Flow_ID]:[CC_DM_source]],MATCH(Tab_Data_Flows[[#This Row],[Name(EN)]],Tab_Def_Flows[Name(EN)],0),18)</f>
        <v>#N/A</v>
      </c>
      <c r="AG298" s="115" t="str">
        <f>IF(K298="Yes",AF298*Tab_Data_Flows[[#This Row],[Flow_Py]],"N.A.")</f>
        <v>N.A.</v>
      </c>
      <c r="AH298" s="61">
        <f>Tab_Data_Flows[[#This Row],[UoM_Flow_Py]]</f>
        <v>0</v>
      </c>
      <c r="AI298" s="114" t="e">
        <f>INDEX(Tab_Def_Flows[[Flow_ID]:[CC_DM_source]],MATCH(Tab_Data_Flows[[#This Row],[Name(EN)]],Tab_Def_Flows[Name(EN)],0),20)</f>
        <v>#N/A</v>
      </c>
      <c r="AJ298" s="115" t="str">
        <f>IF(L298="Yes",AI298*Tab_Data_Flows[[#This Row],[Flow_Py]],"N.A.")</f>
        <v>N.A.</v>
      </c>
      <c r="AK298" s="61">
        <f>Tab_Data_Flows[[#This Row],[UoM_Flow_Py]]</f>
        <v>0</v>
      </c>
    </row>
    <row r="299" spans="1:37" x14ac:dyDescent="0.35">
      <c r="A299" s="60">
        <f t="shared" si="10"/>
        <v>298</v>
      </c>
      <c r="B299" s="49" t="str">
        <f>_xlfn.XLOOKUP(C299,Tab_Def_Flows[Name(EN)],Tab_Def_Flows[Flow_ID],,0,)</f>
        <v>F_21_21</v>
      </c>
      <c r="C299" s="51"/>
      <c r="D299" s="49">
        <f>_xlfn.XLOOKUP(C299,Tab_Def_Flows[Name(EN)],Tab_Def_Flows[Type_Biomass],,0,)</f>
        <v>0</v>
      </c>
      <c r="E299" s="49">
        <f>_xlfn.XLOOKUP(C299,Tab_Def_Flows[Name(EN)],Tab_Def_Flows[Output_Process],,0,)</f>
        <v>0</v>
      </c>
      <c r="F299" s="49" t="str">
        <f>_xlfn.XLOOKUP(C299,Tab_Def_Flows[Name(EN)],Tab_Def_Flows[Process_ID_O],,0,)</f>
        <v>21__</v>
      </c>
      <c r="G299" s="49">
        <f>_xlfn.XLOOKUP(C299,Tab_Def_Flows[Name(EN)],Tab_Def_Flows[Input_Process],,0,)</f>
        <v>0</v>
      </c>
      <c r="H299" s="61" t="str">
        <f>_xlfn.XLOOKUP(C299,Tab_Def_Flows[Name(EN)],Tab_Def_Flows[Process_ID_I],,0,)</f>
        <v>21__</v>
      </c>
      <c r="I299" s="49">
        <f>_xlfn.XLOOKUP(C299,Tab_Def_Flows[Name(EN)],Tab_Def_Flows[Value_Source],,0,)</f>
        <v>0</v>
      </c>
      <c r="J299" s="49">
        <f>_xlfn.XLOOKUP(C299,Tab_Def_Flows[Name(EN)],Tab_Def_Flows[WC?],,0,)</f>
        <v>0</v>
      </c>
      <c r="K299" s="49">
        <f>_xlfn.XLOOKUP(C299,Tab_Def_Flows[Name(EN)],Tab_Def_Flows[DM?],,0,)</f>
        <v>0</v>
      </c>
      <c r="L299" s="49">
        <f>_xlfn.XLOOKUP(C299,Tab_Def_Flows[Name(EN)],Tab_Def_Flows[CC?],,0,)</f>
        <v>0</v>
      </c>
      <c r="M299" s="51"/>
      <c r="N299" s="51"/>
      <c r="O299" s="88"/>
      <c r="P299" s="51"/>
      <c r="Q299" s="51"/>
      <c r="R299" s="51"/>
      <c r="S299" s="51"/>
      <c r="T299" s="51"/>
      <c r="U299" s="51"/>
      <c r="V299" s="51"/>
      <c r="W299" s="51"/>
      <c r="X299" s="51"/>
      <c r="Y299" s="51"/>
      <c r="Z299" s="51"/>
      <c r="AA299" s="89">
        <f t="shared" si="11"/>
        <v>0</v>
      </c>
      <c r="AB299" s="51"/>
      <c r="AC299" s="114" t="e">
        <f>INDEX(Tab_Def_Flows[[Flow_ID]:[CC_DM_source]],MATCH(Tab_Data_Flows[[#This Row],[Name(EN)]],Tab_Def_Flows[Name(EN)],0),16)</f>
        <v>#N/A</v>
      </c>
      <c r="AD299" s="115" t="str">
        <f>IF(J299="Yes",AA299*Tab_Data_Flows[[#This Row],[WC_'[%']]],"N.A.")</f>
        <v>N.A.</v>
      </c>
      <c r="AE299" s="61">
        <f>Tab_Data_Flows[[#This Row],[UoM_Flow_Py]]</f>
        <v>0</v>
      </c>
      <c r="AF299" s="114" t="e">
        <f>INDEX(Tab_Def_Flows[[Flow_ID]:[CC_DM_source]],MATCH(Tab_Data_Flows[[#This Row],[Name(EN)]],Tab_Def_Flows[Name(EN)],0),18)</f>
        <v>#N/A</v>
      </c>
      <c r="AG299" s="115" t="str">
        <f>IF(K299="Yes",AF299*Tab_Data_Flows[[#This Row],[Flow_Py]],"N.A.")</f>
        <v>N.A.</v>
      </c>
      <c r="AH299" s="61">
        <f>Tab_Data_Flows[[#This Row],[UoM_Flow_Py]]</f>
        <v>0</v>
      </c>
      <c r="AI299" s="114" t="e">
        <f>INDEX(Tab_Def_Flows[[Flow_ID]:[CC_DM_source]],MATCH(Tab_Data_Flows[[#This Row],[Name(EN)]],Tab_Def_Flows[Name(EN)],0),20)</f>
        <v>#N/A</v>
      </c>
      <c r="AJ299" s="115" t="str">
        <f>IF(L299="Yes",AI299*Tab_Data_Flows[[#This Row],[Flow_Py]],"N.A.")</f>
        <v>N.A.</v>
      </c>
      <c r="AK299" s="61">
        <f>Tab_Data_Flows[[#This Row],[UoM_Flow_Py]]</f>
        <v>0</v>
      </c>
    </row>
    <row r="300" spans="1:37" x14ac:dyDescent="0.35">
      <c r="A300" s="60">
        <f t="shared" si="10"/>
        <v>299</v>
      </c>
      <c r="B300" s="49" t="str">
        <f>_xlfn.XLOOKUP(C300,Tab_Def_Flows[Name(EN)],Tab_Def_Flows[Flow_ID],,0,)</f>
        <v>F_21_21</v>
      </c>
      <c r="C300" s="51"/>
      <c r="D300" s="49">
        <f>_xlfn.XLOOKUP(C300,Tab_Def_Flows[Name(EN)],Tab_Def_Flows[Type_Biomass],,0,)</f>
        <v>0</v>
      </c>
      <c r="E300" s="49">
        <f>_xlfn.XLOOKUP(C300,Tab_Def_Flows[Name(EN)],Tab_Def_Flows[Output_Process],,0,)</f>
        <v>0</v>
      </c>
      <c r="F300" s="49" t="str">
        <f>_xlfn.XLOOKUP(C300,Tab_Def_Flows[Name(EN)],Tab_Def_Flows[Process_ID_O],,0,)</f>
        <v>21__</v>
      </c>
      <c r="G300" s="49">
        <f>_xlfn.XLOOKUP(C300,Tab_Def_Flows[Name(EN)],Tab_Def_Flows[Input_Process],,0,)</f>
        <v>0</v>
      </c>
      <c r="H300" s="61" t="str">
        <f>_xlfn.XLOOKUP(C300,Tab_Def_Flows[Name(EN)],Tab_Def_Flows[Process_ID_I],,0,)</f>
        <v>21__</v>
      </c>
      <c r="I300" s="49">
        <f>_xlfn.XLOOKUP(C300,Tab_Def_Flows[Name(EN)],Tab_Def_Flows[Value_Source],,0,)</f>
        <v>0</v>
      </c>
      <c r="J300" s="49">
        <f>_xlfn.XLOOKUP(C300,Tab_Def_Flows[Name(EN)],Tab_Def_Flows[WC?],,0,)</f>
        <v>0</v>
      </c>
      <c r="K300" s="49">
        <f>_xlfn.XLOOKUP(C300,Tab_Def_Flows[Name(EN)],Tab_Def_Flows[DM?],,0,)</f>
        <v>0</v>
      </c>
      <c r="L300" s="49">
        <f>_xlfn.XLOOKUP(C300,Tab_Def_Flows[Name(EN)],Tab_Def_Flows[CC?],,0,)</f>
        <v>0</v>
      </c>
      <c r="M300" s="51"/>
      <c r="N300" s="51"/>
      <c r="O300" s="88"/>
      <c r="P300" s="51"/>
      <c r="Q300" s="51"/>
      <c r="R300" s="51"/>
      <c r="S300" s="51"/>
      <c r="T300" s="51"/>
      <c r="U300" s="51"/>
      <c r="V300" s="51"/>
      <c r="W300" s="51"/>
      <c r="X300" s="51"/>
      <c r="Y300" s="51"/>
      <c r="Z300" s="51"/>
      <c r="AA300" s="89">
        <f t="shared" si="11"/>
        <v>0</v>
      </c>
      <c r="AB300" s="51"/>
      <c r="AC300" s="114" t="e">
        <f>INDEX(Tab_Def_Flows[[Flow_ID]:[CC_DM_source]],MATCH(Tab_Data_Flows[[#This Row],[Name(EN)]],Tab_Def_Flows[Name(EN)],0),16)</f>
        <v>#N/A</v>
      </c>
      <c r="AD300" s="115" t="str">
        <f>IF(J300="Yes",AA300*Tab_Data_Flows[[#This Row],[WC_'[%']]],"N.A.")</f>
        <v>N.A.</v>
      </c>
      <c r="AE300" s="61">
        <f>Tab_Data_Flows[[#This Row],[UoM_Flow_Py]]</f>
        <v>0</v>
      </c>
      <c r="AF300" s="114" t="e">
        <f>INDEX(Tab_Def_Flows[[Flow_ID]:[CC_DM_source]],MATCH(Tab_Data_Flows[[#This Row],[Name(EN)]],Tab_Def_Flows[Name(EN)],0),18)</f>
        <v>#N/A</v>
      </c>
      <c r="AG300" s="115" t="str">
        <f>IF(K300="Yes",AF300*Tab_Data_Flows[[#This Row],[Flow_Py]],"N.A.")</f>
        <v>N.A.</v>
      </c>
      <c r="AH300" s="61">
        <f>Tab_Data_Flows[[#This Row],[UoM_Flow_Py]]</f>
        <v>0</v>
      </c>
      <c r="AI300" s="114" t="e">
        <f>INDEX(Tab_Def_Flows[[Flow_ID]:[CC_DM_source]],MATCH(Tab_Data_Flows[[#This Row],[Name(EN)]],Tab_Def_Flows[Name(EN)],0),20)</f>
        <v>#N/A</v>
      </c>
      <c r="AJ300" s="115" t="str">
        <f>IF(L300="Yes",AI300*Tab_Data_Flows[[#This Row],[Flow_Py]],"N.A.")</f>
        <v>N.A.</v>
      </c>
      <c r="AK300" s="61">
        <f>Tab_Data_Flows[[#This Row],[UoM_Flow_Py]]</f>
        <v>0</v>
      </c>
    </row>
    <row r="301" spans="1:37" x14ac:dyDescent="0.35">
      <c r="A301" s="60">
        <f t="shared" si="10"/>
        <v>300</v>
      </c>
      <c r="B301" s="49" t="str">
        <f>_xlfn.XLOOKUP(C301,Tab_Def_Flows[Name(EN)],Tab_Def_Flows[Flow_ID],,0,)</f>
        <v>F_21_21</v>
      </c>
      <c r="C301" s="51"/>
      <c r="D301" s="49">
        <f>_xlfn.XLOOKUP(C301,Tab_Def_Flows[Name(EN)],Tab_Def_Flows[Type_Biomass],,0,)</f>
        <v>0</v>
      </c>
      <c r="E301" s="49">
        <f>_xlfn.XLOOKUP(C301,Tab_Def_Flows[Name(EN)],Tab_Def_Flows[Output_Process],,0,)</f>
        <v>0</v>
      </c>
      <c r="F301" s="49" t="str">
        <f>_xlfn.XLOOKUP(C301,Tab_Def_Flows[Name(EN)],Tab_Def_Flows[Process_ID_O],,0,)</f>
        <v>21__</v>
      </c>
      <c r="G301" s="49">
        <f>_xlfn.XLOOKUP(C301,Tab_Def_Flows[Name(EN)],Tab_Def_Flows[Input_Process],,0,)</f>
        <v>0</v>
      </c>
      <c r="H301" s="61" t="str">
        <f>_xlfn.XLOOKUP(C301,Tab_Def_Flows[Name(EN)],Tab_Def_Flows[Process_ID_I],,0,)</f>
        <v>21__</v>
      </c>
      <c r="I301" s="49">
        <f>_xlfn.XLOOKUP(C301,Tab_Def_Flows[Name(EN)],Tab_Def_Flows[Value_Source],,0,)</f>
        <v>0</v>
      </c>
      <c r="J301" s="49">
        <f>_xlfn.XLOOKUP(C301,Tab_Def_Flows[Name(EN)],Tab_Def_Flows[WC?],,0,)</f>
        <v>0</v>
      </c>
      <c r="K301" s="49">
        <f>_xlfn.XLOOKUP(C301,Tab_Def_Flows[Name(EN)],Tab_Def_Flows[DM?],,0,)</f>
        <v>0</v>
      </c>
      <c r="L301" s="49">
        <f>_xlfn.XLOOKUP(C301,Tab_Def_Flows[Name(EN)],Tab_Def_Flows[CC?],,0,)</f>
        <v>0</v>
      </c>
      <c r="M301" s="51"/>
      <c r="N301" s="51"/>
      <c r="O301" s="88"/>
      <c r="P301" s="51"/>
      <c r="Q301" s="51"/>
      <c r="R301" s="51"/>
      <c r="S301" s="51"/>
      <c r="T301" s="51"/>
      <c r="U301" s="51"/>
      <c r="V301" s="51"/>
      <c r="W301" s="51"/>
      <c r="X301" s="51"/>
      <c r="Y301" s="51"/>
      <c r="Z301" s="51"/>
      <c r="AA301" s="89">
        <f t="shared" si="11"/>
        <v>0</v>
      </c>
      <c r="AB301" s="51"/>
      <c r="AC301" s="114" t="e">
        <f>INDEX(Tab_Def_Flows[[Flow_ID]:[CC_DM_source]],MATCH(Tab_Data_Flows[[#This Row],[Name(EN)]],Tab_Def_Flows[Name(EN)],0),16)</f>
        <v>#N/A</v>
      </c>
      <c r="AD301" s="115" t="str">
        <f>IF(J301="Yes",AA301*Tab_Data_Flows[[#This Row],[WC_'[%']]],"N.A.")</f>
        <v>N.A.</v>
      </c>
      <c r="AE301" s="61">
        <f>Tab_Data_Flows[[#This Row],[UoM_Flow_Py]]</f>
        <v>0</v>
      </c>
      <c r="AF301" s="114" t="e">
        <f>INDEX(Tab_Def_Flows[[Flow_ID]:[CC_DM_source]],MATCH(Tab_Data_Flows[[#This Row],[Name(EN)]],Tab_Def_Flows[Name(EN)],0),18)</f>
        <v>#N/A</v>
      </c>
      <c r="AG301" s="115" t="str">
        <f>IF(K301="Yes",AF301*Tab_Data_Flows[[#This Row],[Flow_Py]],"N.A.")</f>
        <v>N.A.</v>
      </c>
      <c r="AH301" s="61">
        <f>Tab_Data_Flows[[#This Row],[UoM_Flow_Py]]</f>
        <v>0</v>
      </c>
      <c r="AI301" s="114" t="e">
        <f>INDEX(Tab_Def_Flows[[Flow_ID]:[CC_DM_source]],MATCH(Tab_Data_Flows[[#This Row],[Name(EN)]],Tab_Def_Flows[Name(EN)],0),20)</f>
        <v>#N/A</v>
      </c>
      <c r="AJ301" s="115" t="str">
        <f>IF(L301="Yes",AI301*Tab_Data_Flows[[#This Row],[Flow_Py]],"N.A.")</f>
        <v>N.A.</v>
      </c>
      <c r="AK301" s="61">
        <f>Tab_Data_Flows[[#This Row],[UoM_Flow_Py]]</f>
        <v>0</v>
      </c>
    </row>
    <row r="302" spans="1:37" x14ac:dyDescent="0.35">
      <c r="A302" s="60">
        <f t="shared" si="10"/>
        <v>301</v>
      </c>
      <c r="B302" s="49" t="str">
        <f>_xlfn.XLOOKUP(C302,Tab_Def_Flows[Name(EN)],Tab_Def_Flows[Flow_ID],,0,)</f>
        <v>F_21_21</v>
      </c>
      <c r="C302" s="51"/>
      <c r="D302" s="49">
        <f>_xlfn.XLOOKUP(C302,Tab_Def_Flows[Name(EN)],Tab_Def_Flows[Type_Biomass],,0,)</f>
        <v>0</v>
      </c>
      <c r="E302" s="49">
        <f>_xlfn.XLOOKUP(C302,Tab_Def_Flows[Name(EN)],Tab_Def_Flows[Output_Process],,0,)</f>
        <v>0</v>
      </c>
      <c r="F302" s="49" t="str">
        <f>_xlfn.XLOOKUP(C302,Tab_Def_Flows[Name(EN)],Tab_Def_Flows[Process_ID_O],,0,)</f>
        <v>21__</v>
      </c>
      <c r="G302" s="49">
        <f>_xlfn.XLOOKUP(C302,Tab_Def_Flows[Name(EN)],Tab_Def_Flows[Input_Process],,0,)</f>
        <v>0</v>
      </c>
      <c r="H302" s="61" t="str">
        <f>_xlfn.XLOOKUP(C302,Tab_Def_Flows[Name(EN)],Tab_Def_Flows[Process_ID_I],,0,)</f>
        <v>21__</v>
      </c>
      <c r="I302" s="49">
        <f>_xlfn.XLOOKUP(C302,Tab_Def_Flows[Name(EN)],Tab_Def_Flows[Value_Source],,0,)</f>
        <v>0</v>
      </c>
      <c r="J302" s="49">
        <f>_xlfn.XLOOKUP(C302,Tab_Def_Flows[Name(EN)],Tab_Def_Flows[WC?],,0,)</f>
        <v>0</v>
      </c>
      <c r="K302" s="49">
        <f>_xlfn.XLOOKUP(C302,Tab_Def_Flows[Name(EN)],Tab_Def_Flows[DM?],,0,)</f>
        <v>0</v>
      </c>
      <c r="L302" s="49">
        <f>_xlfn.XLOOKUP(C302,Tab_Def_Flows[Name(EN)],Tab_Def_Flows[CC?],,0,)</f>
        <v>0</v>
      </c>
      <c r="M302" s="51"/>
      <c r="N302" s="51"/>
      <c r="O302" s="88"/>
      <c r="P302" s="51"/>
      <c r="Q302" s="51"/>
      <c r="R302" s="51" t="e">
        <f>INDEX(Tab_WC_DM_CC[[Flow_ID]:[CC_source]],MATCH(Tab_Data_Flows[[#This Row],[Name(EN)]],Tab_WC_DM_CC[Name(EN)],0),12)</f>
        <v>#N/A</v>
      </c>
      <c r="S302" s="51" t="e">
        <f>MATCH(Tab_Data_Flows[[#This Row],[Name(EN)]],Tab_WC_DM_CC[Name(EN)],0)</f>
        <v>#N/A</v>
      </c>
      <c r="T302" s="51"/>
      <c r="U302" s="51"/>
      <c r="V302" s="51"/>
      <c r="W302" s="51"/>
      <c r="X302" s="51"/>
      <c r="Y302" s="51"/>
      <c r="Z302" s="51"/>
      <c r="AA302" s="89">
        <f t="shared" si="11"/>
        <v>0</v>
      </c>
      <c r="AB302" s="51"/>
      <c r="AC302" s="114" t="e">
        <f>INDEX(Tab_Def_Flows[[Flow_ID]:[CC_DM_source]],MATCH(Tab_Data_Flows[[#This Row],[Name(EN)]],Tab_Def_Flows[Name(EN)],0),16)</f>
        <v>#N/A</v>
      </c>
      <c r="AD302" s="115" t="str">
        <f>IF(J302="Yes",AA302*Tab_Data_Flows[[#This Row],[WC_'[%']]],"N.A.")</f>
        <v>N.A.</v>
      </c>
      <c r="AE302" s="61">
        <f>Tab_Data_Flows[[#This Row],[UoM_Flow_Py]]</f>
        <v>0</v>
      </c>
      <c r="AF302" s="114" t="e">
        <f>INDEX(Tab_Def_Flows[[Flow_ID]:[CC_DM_source]],MATCH(Tab_Data_Flows[[#This Row],[Name(EN)]],Tab_Def_Flows[Name(EN)],0),18)</f>
        <v>#N/A</v>
      </c>
      <c r="AG302" s="115" t="str">
        <f>IF(K302="Yes",AF302*Tab_Data_Flows[[#This Row],[Flow_Py]],"N.A.")</f>
        <v>N.A.</v>
      </c>
      <c r="AH302" s="61">
        <f>Tab_Data_Flows[[#This Row],[UoM_Flow_Py]]</f>
        <v>0</v>
      </c>
      <c r="AI302" s="114" t="e">
        <f>INDEX(Tab_Def_Flows[[Flow_ID]:[CC_DM_source]],MATCH(Tab_Data_Flows[[#This Row],[Name(EN)]],Tab_Def_Flows[Name(EN)],0),20)</f>
        <v>#N/A</v>
      </c>
      <c r="AJ302" s="115" t="str">
        <f>IF(L302="Yes",AI302*Tab_Data_Flows[[#This Row],[Flow_Py]],"N.A.")</f>
        <v>N.A.</v>
      </c>
      <c r="AK302" s="61">
        <f>Tab_Data_Flows[[#This Row],[UoM_Flow_Py]]</f>
        <v>0</v>
      </c>
    </row>
    <row r="303" spans="1:37" x14ac:dyDescent="0.35">
      <c r="A303" s="60">
        <f t="shared" si="10"/>
        <v>302</v>
      </c>
      <c r="B303" s="49" t="str">
        <f>_xlfn.XLOOKUP(C303,Tab_Def_Flows[Name(EN)],Tab_Def_Flows[Flow_ID],,0,)</f>
        <v>F_21_21</v>
      </c>
      <c r="C303" s="51"/>
      <c r="D303" s="49">
        <f>_xlfn.XLOOKUP(C303,Tab_Def_Flows[Name(EN)],Tab_Def_Flows[Type_Biomass],,0,)</f>
        <v>0</v>
      </c>
      <c r="E303" s="49">
        <f>_xlfn.XLOOKUP(C303,Tab_Def_Flows[Name(EN)],Tab_Def_Flows[Output_Process],,0,)</f>
        <v>0</v>
      </c>
      <c r="F303" s="49" t="str">
        <f>_xlfn.XLOOKUP(C303,Tab_Def_Flows[Name(EN)],Tab_Def_Flows[Process_ID_O],,0,)</f>
        <v>21__</v>
      </c>
      <c r="G303" s="49">
        <f>_xlfn.XLOOKUP(C303,Tab_Def_Flows[Name(EN)],Tab_Def_Flows[Input_Process],,0,)</f>
        <v>0</v>
      </c>
      <c r="H303" s="61" t="str">
        <f>_xlfn.XLOOKUP(C303,Tab_Def_Flows[Name(EN)],Tab_Def_Flows[Process_ID_I],,0,)</f>
        <v>21__</v>
      </c>
      <c r="I303" s="49">
        <f>_xlfn.XLOOKUP(C303,Tab_Def_Flows[Name(EN)],Tab_Def_Flows[Value_Source],,0,)</f>
        <v>0</v>
      </c>
      <c r="J303" s="49">
        <f>_xlfn.XLOOKUP(C303,Tab_Def_Flows[Name(EN)],Tab_Def_Flows[WC?],,0,)</f>
        <v>0</v>
      </c>
      <c r="K303" s="49">
        <f>_xlfn.XLOOKUP(C303,Tab_Def_Flows[Name(EN)],Tab_Def_Flows[DM?],,0,)</f>
        <v>0</v>
      </c>
      <c r="L303" s="49">
        <f>_xlfn.XLOOKUP(C303,Tab_Def_Flows[Name(EN)],Tab_Def_Flows[CC?],,0,)</f>
        <v>0</v>
      </c>
      <c r="M303" s="51"/>
      <c r="N303" s="51"/>
      <c r="O303" s="88"/>
      <c r="P303" s="51"/>
      <c r="Q303" s="51"/>
      <c r="R303" s="51" t="e">
        <f>INDEX(Tab_WC_DM_CC[[Flow_ID]:[CC_source]],MATCH(Tab_Data_Flows[[#This Row],[Name(EN)]],Tab_WC_DM_CC[Name(EN)],0),12)</f>
        <v>#N/A</v>
      </c>
      <c r="S303" s="51" t="e">
        <f>MATCH(Tab_Data_Flows[[#This Row],[Name(EN)]],Tab_WC_DM_CC[Name(EN)],0)</f>
        <v>#N/A</v>
      </c>
      <c r="T303" s="51"/>
      <c r="U303" s="51"/>
      <c r="V303" s="51"/>
      <c r="W303" s="51"/>
      <c r="X303" s="51"/>
      <c r="Y303" s="51"/>
      <c r="Z303" s="51"/>
      <c r="AA303" s="89">
        <f t="shared" si="11"/>
        <v>0</v>
      </c>
      <c r="AB303" s="51"/>
      <c r="AC303" s="114" t="e">
        <f>INDEX(Tab_Def_Flows[[Flow_ID]:[CC_DM_source]],MATCH(Tab_Data_Flows[[#This Row],[Name(EN)]],Tab_Def_Flows[Name(EN)],0),16)</f>
        <v>#N/A</v>
      </c>
      <c r="AD303" s="115" t="str">
        <f>IF(J303="Yes",AA303*Tab_Data_Flows[[#This Row],[WC_'[%']]],"N.A.")</f>
        <v>N.A.</v>
      </c>
      <c r="AE303" s="61">
        <f>Tab_Data_Flows[[#This Row],[UoM_Flow_Py]]</f>
        <v>0</v>
      </c>
      <c r="AF303" s="114" t="e">
        <f>INDEX(Tab_Def_Flows[[Flow_ID]:[CC_DM_source]],MATCH(Tab_Data_Flows[[#This Row],[Name(EN)]],Tab_Def_Flows[Name(EN)],0),18)</f>
        <v>#N/A</v>
      </c>
      <c r="AG303" s="115" t="str">
        <f>IF(K303="Yes",AF303*Tab_Data_Flows[[#This Row],[Flow_Py]],"N.A.")</f>
        <v>N.A.</v>
      </c>
      <c r="AH303" s="61">
        <f>Tab_Data_Flows[[#This Row],[UoM_Flow_Py]]</f>
        <v>0</v>
      </c>
      <c r="AI303" s="114" t="e">
        <f>INDEX(Tab_Def_Flows[[Flow_ID]:[CC_DM_source]],MATCH(Tab_Data_Flows[[#This Row],[Name(EN)]],Tab_Def_Flows[Name(EN)],0),20)</f>
        <v>#N/A</v>
      </c>
      <c r="AJ303" s="115" t="str">
        <f>IF(L303="Yes",AI303*Tab_Data_Flows[[#This Row],[Flow_Py]],"N.A.")</f>
        <v>N.A.</v>
      </c>
      <c r="AK303" s="61">
        <f>Tab_Data_Flows[[#This Row],[UoM_Flow_Py]]</f>
        <v>0</v>
      </c>
    </row>
    <row r="304" spans="1:37" x14ac:dyDescent="0.35">
      <c r="A304" s="60"/>
      <c r="B304" s="49" t="str">
        <f>_xlfn.XLOOKUP(C304,Tab_Def_Flows[Name(EN)],Tab_Def_Flows[Flow_ID],,0,)</f>
        <v>F_21_21</v>
      </c>
      <c r="C304" s="51"/>
      <c r="D304" s="49">
        <f>_xlfn.XLOOKUP(C304,Tab_Def_Flows[Name(EN)],Tab_Def_Flows[Type_Biomass],,0,)</f>
        <v>0</v>
      </c>
      <c r="E304" s="49">
        <f>_xlfn.XLOOKUP(C304,Tab_Def_Flows[Name(EN)],Tab_Def_Flows[Output_Process],,0,)</f>
        <v>0</v>
      </c>
      <c r="F304" s="49" t="str">
        <f>_xlfn.XLOOKUP(C304,Tab_Def_Flows[Name(EN)],Tab_Def_Flows[Process_ID_O],,0,)</f>
        <v>21__</v>
      </c>
      <c r="G304" s="49">
        <f>_xlfn.XLOOKUP(C304,Tab_Def_Flows[Name(EN)],Tab_Def_Flows[Input_Process],,0,)</f>
        <v>0</v>
      </c>
      <c r="H304" s="61" t="str">
        <f>_xlfn.XLOOKUP(C304,Tab_Def_Flows[Name(EN)],Tab_Def_Flows[Process_ID_I],,0,)</f>
        <v>21__</v>
      </c>
      <c r="I304" s="49">
        <f>_xlfn.XLOOKUP(C304,Tab_Def_Flows[Name(EN)],Tab_Def_Flows[Value_Source],,0,)</f>
        <v>0</v>
      </c>
      <c r="J304" s="49">
        <f>_xlfn.XLOOKUP(C304,Tab_Def_Flows[Name(EN)],Tab_Def_Flows[WC?],,0,)</f>
        <v>0</v>
      </c>
      <c r="K304" s="49">
        <f>_xlfn.XLOOKUP(C304,Tab_Def_Flows[Name(EN)],Tab_Def_Flows[DM?],,0,)</f>
        <v>0</v>
      </c>
      <c r="L304" s="49">
        <f>_xlfn.XLOOKUP(C304,Tab_Def_Flows[Name(EN)],Tab_Def_Flows[CC?],,0,)</f>
        <v>0</v>
      </c>
      <c r="M304" s="51"/>
      <c r="N304" s="51"/>
      <c r="O304" s="88"/>
      <c r="P304" s="51"/>
      <c r="Q304" s="51"/>
      <c r="R304" s="51" t="e">
        <f>INDEX(Tab_WC_DM_CC[[Flow_ID]:[CC_source]],MATCH(Tab_Data_Flows[[#This Row],[Name(EN)]],Tab_WC_DM_CC[Name(EN)],0),12)</f>
        <v>#N/A</v>
      </c>
      <c r="S304" s="51" t="e">
        <f>MATCH(Tab_Data_Flows[[#This Row],[Name(EN)]],Tab_WC_DM_CC[Name(EN)],0)</f>
        <v>#N/A</v>
      </c>
      <c r="T304" s="51"/>
      <c r="U304" s="51"/>
      <c r="V304" s="51"/>
      <c r="W304" s="51"/>
      <c r="X304" s="51"/>
      <c r="Y304" s="51"/>
      <c r="Z304" s="51"/>
      <c r="AA304" s="89">
        <f t="shared" si="11"/>
        <v>0</v>
      </c>
      <c r="AB304" s="51"/>
      <c r="AC304" s="114" t="e">
        <f>INDEX(Tab_Def_Flows[[Flow_ID]:[CC_DM_source]],MATCH(Tab_Data_Flows[[#This Row],[Name(EN)]],Tab_Def_Flows[Name(EN)],0),16)</f>
        <v>#N/A</v>
      </c>
      <c r="AD304" s="115" t="str">
        <f>IF(J304="Yes",AA304*Tab_Data_Flows[[#This Row],[WC_'[%']]],"N.A.")</f>
        <v>N.A.</v>
      </c>
      <c r="AE304" s="61">
        <f>Tab_Data_Flows[[#This Row],[UoM_Flow_Py]]</f>
        <v>0</v>
      </c>
      <c r="AF304" s="114" t="e">
        <f>INDEX(Tab_Def_Flows[[Flow_ID]:[CC_DM_source]],MATCH(Tab_Data_Flows[[#This Row],[Name(EN)]],Tab_Def_Flows[Name(EN)],0),18)</f>
        <v>#N/A</v>
      </c>
      <c r="AG304" s="115" t="str">
        <f>IF(K304="Yes",AF304*Tab_Data_Flows[[#This Row],[Flow_Py]],"N.A.")</f>
        <v>N.A.</v>
      </c>
      <c r="AH304" s="61">
        <f>Tab_Data_Flows[[#This Row],[UoM_Flow_Py]]</f>
        <v>0</v>
      </c>
      <c r="AI304" s="114" t="e">
        <f>INDEX(Tab_Def_Flows[[Flow_ID]:[CC_DM_source]],MATCH(Tab_Data_Flows[[#This Row],[Name(EN)]],Tab_Def_Flows[Name(EN)],0),20)</f>
        <v>#N/A</v>
      </c>
      <c r="AJ304" s="115" t="str">
        <f>IF(L304="Yes",AI304*Tab_Data_Flows[[#This Row],[Flow_Py]],"N.A.")</f>
        <v>N.A.</v>
      </c>
      <c r="AK304" s="61">
        <f>Tab_Data_Flows[[#This Row],[UoM_Flow_Py]]</f>
        <v>0</v>
      </c>
    </row>
    <row r="305" spans="1:37" x14ac:dyDescent="0.35">
      <c r="A305" s="60"/>
      <c r="B305" s="49" t="str">
        <f>_xlfn.XLOOKUP(C305,Tab_Def_Flows[Name(EN)],Tab_Def_Flows[Flow_ID],,0,)</f>
        <v>F_21_21</v>
      </c>
      <c r="C305" s="51"/>
      <c r="D305" s="49">
        <f>_xlfn.XLOOKUP(C305,Tab_Def_Flows[Name(EN)],Tab_Def_Flows[Type_Biomass],,0,)</f>
        <v>0</v>
      </c>
      <c r="E305" s="49">
        <f>_xlfn.XLOOKUP(C305,Tab_Def_Flows[Name(EN)],Tab_Def_Flows[Output_Process],,0,)</f>
        <v>0</v>
      </c>
      <c r="F305" s="49" t="str">
        <f>_xlfn.XLOOKUP(C305,Tab_Def_Flows[Name(EN)],Tab_Def_Flows[Process_ID_O],,0,)</f>
        <v>21__</v>
      </c>
      <c r="G305" s="49">
        <f>_xlfn.XLOOKUP(C305,Tab_Def_Flows[Name(EN)],Tab_Def_Flows[Input_Process],,0,)</f>
        <v>0</v>
      </c>
      <c r="H305" s="61" t="str">
        <f>_xlfn.XLOOKUP(C305,Tab_Def_Flows[Name(EN)],Tab_Def_Flows[Process_ID_I],,0,)</f>
        <v>21__</v>
      </c>
      <c r="I305" s="49">
        <f>_xlfn.XLOOKUP(C305,Tab_Def_Flows[Name(EN)],Tab_Def_Flows[Value_Source],,0,)</f>
        <v>0</v>
      </c>
      <c r="J305" s="49">
        <f>_xlfn.XLOOKUP(C305,Tab_Def_Flows[Name(EN)],Tab_Def_Flows[WC?],,0,)</f>
        <v>0</v>
      </c>
      <c r="K305" s="49">
        <f>_xlfn.XLOOKUP(C305,Tab_Def_Flows[Name(EN)],Tab_Def_Flows[DM?],,0,)</f>
        <v>0</v>
      </c>
      <c r="L305" s="49">
        <f>_xlfn.XLOOKUP(C305,Tab_Def_Flows[Name(EN)],Tab_Def_Flows[CC?],,0,)</f>
        <v>0</v>
      </c>
      <c r="M305" s="51"/>
      <c r="N305" s="51"/>
      <c r="O305" s="88"/>
      <c r="P305" s="51"/>
      <c r="Q305" s="51"/>
      <c r="R305" s="51" t="e">
        <f>INDEX(Tab_WC_DM_CC[[Flow_ID]:[CC_source]],MATCH(Tab_Data_Flows[[#This Row],[Name(EN)]],Tab_WC_DM_CC[Name(EN)],0),12)</f>
        <v>#N/A</v>
      </c>
      <c r="S305" s="51" t="e">
        <f>MATCH(Tab_Data_Flows[[#This Row],[Name(EN)]],Tab_WC_DM_CC[Name(EN)],0)</f>
        <v>#N/A</v>
      </c>
      <c r="T305" s="51"/>
      <c r="U305" s="51"/>
      <c r="V305" s="51"/>
      <c r="W305" s="51"/>
      <c r="X305" s="51"/>
      <c r="Y305" s="51"/>
      <c r="Z305" s="51"/>
      <c r="AA305" s="89">
        <f t="shared" ref="AA305:AA312" si="12">IF(X305="no",O305,O305*Y305)</f>
        <v>0</v>
      </c>
      <c r="AB305" s="51"/>
      <c r="AC305" s="114" t="e">
        <f>INDEX(Tab_Def_Flows[[Flow_ID]:[CC_DM_source]],MATCH(Tab_Data_Flows[[#This Row],[Name(EN)]],Tab_Def_Flows[Name(EN)],0),16)</f>
        <v>#N/A</v>
      </c>
      <c r="AD305" s="115" t="str">
        <f>IF(J305="Yes",AA305*Tab_Data_Flows[[#This Row],[WC_'[%']]],"N.A.")</f>
        <v>N.A.</v>
      </c>
      <c r="AE305" s="61">
        <f>Tab_Data_Flows[[#This Row],[UoM_Flow_Py]]</f>
        <v>0</v>
      </c>
      <c r="AF305" s="114" t="e">
        <f>INDEX(Tab_Def_Flows[[Flow_ID]:[CC_DM_source]],MATCH(Tab_Data_Flows[[#This Row],[Name(EN)]],Tab_Def_Flows[Name(EN)],0),18)</f>
        <v>#N/A</v>
      </c>
      <c r="AG305" s="115" t="str">
        <f>IF(K305="Yes",AF305*Tab_Data_Flows[[#This Row],[Flow_Py]],"N.A.")</f>
        <v>N.A.</v>
      </c>
      <c r="AH305" s="61">
        <f>Tab_Data_Flows[[#This Row],[UoM_Flow_Py]]</f>
        <v>0</v>
      </c>
      <c r="AI305" s="114" t="e">
        <f>INDEX(Tab_Def_Flows[[Flow_ID]:[CC_DM_source]],MATCH(Tab_Data_Flows[[#This Row],[Name(EN)]],Tab_Def_Flows[Name(EN)],0),20)</f>
        <v>#N/A</v>
      </c>
      <c r="AJ305" s="115" t="str">
        <f>IF(L305="Yes",AI305*Tab_Data_Flows[[#This Row],[Flow_Py]],"N.A.")</f>
        <v>N.A.</v>
      </c>
      <c r="AK305" s="61">
        <f>Tab_Data_Flows[[#This Row],[UoM_Flow_Py]]</f>
        <v>0</v>
      </c>
    </row>
    <row r="306" spans="1:37" x14ac:dyDescent="0.35">
      <c r="A306" s="60"/>
      <c r="B306" s="49" t="str">
        <f>_xlfn.XLOOKUP(C306,Tab_Def_Flows[Name(EN)],Tab_Def_Flows[Flow_ID],,0,)</f>
        <v>F_21_21</v>
      </c>
      <c r="C306" s="51"/>
      <c r="D306" s="49">
        <f>_xlfn.XLOOKUP(C306,Tab_Def_Flows[Name(EN)],Tab_Def_Flows[Type_Biomass],,0,)</f>
        <v>0</v>
      </c>
      <c r="E306" s="49">
        <f>_xlfn.XLOOKUP(C306,Tab_Def_Flows[Name(EN)],Tab_Def_Flows[Output_Process],,0,)</f>
        <v>0</v>
      </c>
      <c r="F306" s="49" t="str">
        <f>_xlfn.XLOOKUP(C306,Tab_Def_Flows[Name(EN)],Tab_Def_Flows[Process_ID_O],,0,)</f>
        <v>21__</v>
      </c>
      <c r="G306" s="49">
        <f>_xlfn.XLOOKUP(C306,Tab_Def_Flows[Name(EN)],Tab_Def_Flows[Input_Process],,0,)</f>
        <v>0</v>
      </c>
      <c r="H306" s="61" t="str">
        <f>_xlfn.XLOOKUP(C306,Tab_Def_Flows[Name(EN)],Tab_Def_Flows[Process_ID_I],,0,)</f>
        <v>21__</v>
      </c>
      <c r="I306" s="49">
        <f>_xlfn.XLOOKUP(C306,Tab_Def_Flows[Name(EN)],Tab_Def_Flows[Value_Source],,0,)</f>
        <v>0</v>
      </c>
      <c r="J306" s="49">
        <f>_xlfn.XLOOKUP(C306,Tab_Def_Flows[Name(EN)],Tab_Def_Flows[WC?],,0,)</f>
        <v>0</v>
      </c>
      <c r="K306" s="49">
        <f>_xlfn.XLOOKUP(C306,Tab_Def_Flows[Name(EN)],Tab_Def_Flows[DM?],,0,)</f>
        <v>0</v>
      </c>
      <c r="L306" s="49">
        <f>_xlfn.XLOOKUP(C306,Tab_Def_Flows[Name(EN)],Tab_Def_Flows[CC?],,0,)</f>
        <v>0</v>
      </c>
      <c r="M306" s="51"/>
      <c r="N306" s="51"/>
      <c r="O306" s="88"/>
      <c r="P306" s="51"/>
      <c r="Q306" s="51"/>
      <c r="R306" s="51" t="e">
        <f>INDEX(Tab_WC_DM_CC[[Flow_ID]:[CC_source]],MATCH(Tab_Data_Flows[[#This Row],[Name(EN)]],Tab_WC_DM_CC[Name(EN)],0),12)</f>
        <v>#N/A</v>
      </c>
      <c r="S306" s="51" t="e">
        <f>MATCH(Tab_Data_Flows[[#This Row],[Name(EN)]],Tab_WC_DM_CC[Name(EN)],0)</f>
        <v>#N/A</v>
      </c>
      <c r="T306" s="51"/>
      <c r="U306" s="51"/>
      <c r="V306" s="51"/>
      <c r="W306" s="51"/>
      <c r="X306" s="51"/>
      <c r="Y306" s="51"/>
      <c r="Z306" s="51"/>
      <c r="AA306" s="89">
        <f t="shared" si="12"/>
        <v>0</v>
      </c>
      <c r="AB306" s="51"/>
      <c r="AC306" s="114" t="e">
        <f>INDEX(Tab_Def_Flows[[Flow_ID]:[CC_DM_source]],MATCH(Tab_Data_Flows[[#This Row],[Name(EN)]],Tab_Def_Flows[Name(EN)],0),16)</f>
        <v>#N/A</v>
      </c>
      <c r="AD306" s="115" t="str">
        <f>IF(J306="Yes",AA306*Tab_Data_Flows[[#This Row],[WC_'[%']]],"N.A.")</f>
        <v>N.A.</v>
      </c>
      <c r="AE306" s="61">
        <f>Tab_Data_Flows[[#This Row],[UoM_Flow_Py]]</f>
        <v>0</v>
      </c>
      <c r="AF306" s="114" t="e">
        <f>INDEX(Tab_Def_Flows[[Flow_ID]:[CC_DM_source]],MATCH(Tab_Data_Flows[[#This Row],[Name(EN)]],Tab_Def_Flows[Name(EN)],0),18)</f>
        <v>#N/A</v>
      </c>
      <c r="AG306" s="115" t="str">
        <f>IF(K306="Yes",AF306*Tab_Data_Flows[[#This Row],[Flow_Py]],"N.A.")</f>
        <v>N.A.</v>
      </c>
      <c r="AH306" s="61">
        <f>Tab_Data_Flows[[#This Row],[UoM_Flow_Py]]</f>
        <v>0</v>
      </c>
      <c r="AI306" s="114" t="e">
        <f>INDEX(Tab_Def_Flows[[Flow_ID]:[CC_DM_source]],MATCH(Tab_Data_Flows[[#This Row],[Name(EN)]],Tab_Def_Flows[Name(EN)],0),20)</f>
        <v>#N/A</v>
      </c>
      <c r="AJ306" s="115" t="str">
        <f>IF(L306="Yes",AI306*Tab_Data_Flows[[#This Row],[Flow_Py]],"N.A.")</f>
        <v>N.A.</v>
      </c>
      <c r="AK306" s="61">
        <f>Tab_Data_Flows[[#This Row],[UoM_Flow_Py]]</f>
        <v>0</v>
      </c>
    </row>
    <row r="307" spans="1:37" x14ac:dyDescent="0.35">
      <c r="A307" s="60"/>
      <c r="B307" s="49" t="str">
        <f>_xlfn.XLOOKUP(C307,Tab_Def_Flows[Name(EN)],Tab_Def_Flows[Flow_ID],,0,)</f>
        <v>F_21_21</v>
      </c>
      <c r="C307" s="51"/>
      <c r="D307" s="49">
        <f>_xlfn.XLOOKUP(C307,Tab_Def_Flows[Name(EN)],Tab_Def_Flows[Type_Biomass],,0,)</f>
        <v>0</v>
      </c>
      <c r="E307" s="49">
        <f>_xlfn.XLOOKUP(C307,Tab_Def_Flows[Name(EN)],Tab_Def_Flows[Output_Process],,0,)</f>
        <v>0</v>
      </c>
      <c r="F307" s="49" t="str">
        <f>_xlfn.XLOOKUP(C307,Tab_Def_Flows[Name(EN)],Tab_Def_Flows[Process_ID_O],,0,)</f>
        <v>21__</v>
      </c>
      <c r="G307" s="49">
        <f>_xlfn.XLOOKUP(C307,Tab_Def_Flows[Name(EN)],Tab_Def_Flows[Input_Process],,0,)</f>
        <v>0</v>
      </c>
      <c r="H307" s="61" t="str">
        <f>_xlfn.XLOOKUP(C307,Tab_Def_Flows[Name(EN)],Tab_Def_Flows[Process_ID_I],,0,)</f>
        <v>21__</v>
      </c>
      <c r="I307" s="49">
        <f>_xlfn.XLOOKUP(C307,Tab_Def_Flows[Name(EN)],Tab_Def_Flows[Value_Source],,0,)</f>
        <v>0</v>
      </c>
      <c r="J307" s="49">
        <f>_xlfn.XLOOKUP(C307,Tab_Def_Flows[Name(EN)],Tab_Def_Flows[WC?],,0,)</f>
        <v>0</v>
      </c>
      <c r="K307" s="49">
        <f>_xlfn.XLOOKUP(C307,Tab_Def_Flows[Name(EN)],Tab_Def_Flows[DM?],,0,)</f>
        <v>0</v>
      </c>
      <c r="L307" s="49">
        <f>_xlfn.XLOOKUP(C307,Tab_Def_Flows[Name(EN)],Tab_Def_Flows[CC?],,0,)</f>
        <v>0</v>
      </c>
      <c r="M307" s="51"/>
      <c r="N307" s="51"/>
      <c r="O307" s="88"/>
      <c r="P307" s="51"/>
      <c r="Q307" s="51"/>
      <c r="R307" s="51" t="e">
        <f>INDEX(Tab_WC_DM_CC[[Flow_ID]:[CC_source]],MATCH(Tab_Data_Flows[[#This Row],[Name(EN)]],Tab_WC_DM_CC[Name(EN)],0),12)</f>
        <v>#N/A</v>
      </c>
      <c r="S307" s="51" t="e">
        <f>MATCH(Tab_Data_Flows[[#This Row],[Name(EN)]],Tab_WC_DM_CC[Name(EN)],0)</f>
        <v>#N/A</v>
      </c>
      <c r="T307" s="51"/>
      <c r="U307" s="51"/>
      <c r="V307" s="51"/>
      <c r="W307" s="51"/>
      <c r="X307" s="51"/>
      <c r="Y307" s="51"/>
      <c r="Z307" s="51"/>
      <c r="AA307" s="89">
        <f t="shared" si="12"/>
        <v>0</v>
      </c>
      <c r="AB307" s="51"/>
      <c r="AC307" s="114" t="e">
        <f>INDEX(Tab_Def_Flows[[Flow_ID]:[CC_DM_source]],MATCH(Tab_Data_Flows[[#This Row],[Name(EN)]],Tab_Def_Flows[Name(EN)],0),16)</f>
        <v>#N/A</v>
      </c>
      <c r="AD307" s="115" t="str">
        <f>IF(J307="Yes",AA307*Tab_Data_Flows[[#This Row],[WC_'[%']]],"N.A.")</f>
        <v>N.A.</v>
      </c>
      <c r="AE307" s="61">
        <f>Tab_Data_Flows[[#This Row],[UoM_Flow_Py]]</f>
        <v>0</v>
      </c>
      <c r="AF307" s="114" t="e">
        <f>INDEX(Tab_Def_Flows[[Flow_ID]:[CC_DM_source]],MATCH(Tab_Data_Flows[[#This Row],[Name(EN)]],Tab_Def_Flows[Name(EN)],0),18)</f>
        <v>#N/A</v>
      </c>
      <c r="AG307" s="115" t="str">
        <f>IF(K307="Yes",AF307*Tab_Data_Flows[[#This Row],[Flow_Py]],"N.A.")</f>
        <v>N.A.</v>
      </c>
      <c r="AH307" s="61">
        <f>Tab_Data_Flows[[#This Row],[UoM_Flow_Py]]</f>
        <v>0</v>
      </c>
      <c r="AI307" s="114" t="e">
        <f>INDEX(Tab_Def_Flows[[Flow_ID]:[CC_DM_source]],MATCH(Tab_Data_Flows[[#This Row],[Name(EN)]],Tab_Def_Flows[Name(EN)],0),20)</f>
        <v>#N/A</v>
      </c>
      <c r="AJ307" s="115" t="str">
        <f>IF(L307="Yes",AI307*Tab_Data_Flows[[#This Row],[Flow_Py]],"N.A.")</f>
        <v>N.A.</v>
      </c>
      <c r="AK307" s="61">
        <f>Tab_Data_Flows[[#This Row],[UoM_Flow_Py]]</f>
        <v>0</v>
      </c>
    </row>
    <row r="308" spans="1:37" x14ac:dyDescent="0.35">
      <c r="A308" s="60"/>
      <c r="B308" s="49" t="str">
        <f>_xlfn.XLOOKUP(C308,Tab_Def_Flows[Name(EN)],Tab_Def_Flows[Flow_ID],,0,)</f>
        <v>F_21_21</v>
      </c>
      <c r="C308" s="51"/>
      <c r="D308" s="49">
        <f>_xlfn.XLOOKUP(C308,Tab_Def_Flows[Name(EN)],Tab_Def_Flows[Type_Biomass],,0,)</f>
        <v>0</v>
      </c>
      <c r="E308" s="49">
        <f>_xlfn.XLOOKUP(C308,Tab_Def_Flows[Name(EN)],Tab_Def_Flows[Output_Process],,0,)</f>
        <v>0</v>
      </c>
      <c r="F308" s="49" t="str">
        <f>_xlfn.XLOOKUP(C308,Tab_Def_Flows[Name(EN)],Tab_Def_Flows[Process_ID_O],,0,)</f>
        <v>21__</v>
      </c>
      <c r="G308" s="49">
        <f>_xlfn.XLOOKUP(C308,Tab_Def_Flows[Name(EN)],Tab_Def_Flows[Input_Process],,0,)</f>
        <v>0</v>
      </c>
      <c r="H308" s="61" t="str">
        <f>_xlfn.XLOOKUP(C308,Tab_Def_Flows[Name(EN)],Tab_Def_Flows[Process_ID_I],,0,)</f>
        <v>21__</v>
      </c>
      <c r="I308" s="49">
        <f>_xlfn.XLOOKUP(C308,Tab_Def_Flows[Name(EN)],Tab_Def_Flows[Value_Source],,0,)</f>
        <v>0</v>
      </c>
      <c r="J308" s="49">
        <f>_xlfn.XLOOKUP(C308,Tab_Def_Flows[Name(EN)],Tab_Def_Flows[WC?],,0,)</f>
        <v>0</v>
      </c>
      <c r="K308" s="49">
        <f>_xlfn.XLOOKUP(C308,Tab_Def_Flows[Name(EN)],Tab_Def_Flows[DM?],,0,)</f>
        <v>0</v>
      </c>
      <c r="L308" s="49">
        <f>_xlfn.XLOOKUP(C308,Tab_Def_Flows[Name(EN)],Tab_Def_Flows[CC?],,0,)</f>
        <v>0</v>
      </c>
      <c r="M308" s="51"/>
      <c r="N308" s="51"/>
      <c r="O308" s="88"/>
      <c r="P308" s="51"/>
      <c r="Q308" s="51"/>
      <c r="R308" s="51" t="e">
        <f>INDEX(Tab_WC_DM_CC[[Flow_ID]:[CC_source]],MATCH(Tab_Data_Flows[[#This Row],[Name(EN)]],Tab_WC_DM_CC[Name(EN)],0),12)</f>
        <v>#N/A</v>
      </c>
      <c r="S308" s="51" t="e">
        <f>MATCH(Tab_Data_Flows[[#This Row],[Name(EN)]],Tab_WC_DM_CC[Name(EN)],0)</f>
        <v>#N/A</v>
      </c>
      <c r="T308" s="51"/>
      <c r="U308" s="51"/>
      <c r="V308" s="51"/>
      <c r="W308" s="51"/>
      <c r="X308" s="51"/>
      <c r="Y308" s="51"/>
      <c r="Z308" s="51"/>
      <c r="AA308" s="89">
        <f t="shared" si="12"/>
        <v>0</v>
      </c>
      <c r="AB308" s="51"/>
      <c r="AC308" s="114" t="e">
        <f>INDEX(Tab_Def_Flows[[Flow_ID]:[CC_DM_source]],MATCH(Tab_Data_Flows[[#This Row],[Name(EN)]],Tab_Def_Flows[Name(EN)],0),16)</f>
        <v>#N/A</v>
      </c>
      <c r="AD308" s="115" t="str">
        <f>IF(J308="Yes",AA308*Tab_Data_Flows[[#This Row],[WC_'[%']]],"N.A.")</f>
        <v>N.A.</v>
      </c>
      <c r="AE308" s="61">
        <f>Tab_Data_Flows[[#This Row],[UoM_Flow_Py]]</f>
        <v>0</v>
      </c>
      <c r="AF308" s="114" t="e">
        <f>INDEX(Tab_Def_Flows[[Flow_ID]:[CC_DM_source]],MATCH(Tab_Data_Flows[[#This Row],[Name(EN)]],Tab_Def_Flows[Name(EN)],0),18)</f>
        <v>#N/A</v>
      </c>
      <c r="AG308" s="115" t="str">
        <f>IF(K308="Yes",AF308*Tab_Data_Flows[[#This Row],[Flow_Py]],"N.A.")</f>
        <v>N.A.</v>
      </c>
      <c r="AH308" s="61">
        <f>Tab_Data_Flows[[#This Row],[UoM_Flow_Py]]</f>
        <v>0</v>
      </c>
      <c r="AI308" s="114" t="e">
        <f>INDEX(Tab_Def_Flows[[Flow_ID]:[CC_DM_source]],MATCH(Tab_Data_Flows[[#This Row],[Name(EN)]],Tab_Def_Flows[Name(EN)],0),20)</f>
        <v>#N/A</v>
      </c>
      <c r="AJ308" s="115" t="str">
        <f>IF(L308="Yes",AI308*Tab_Data_Flows[[#This Row],[Flow_Py]],"N.A.")</f>
        <v>N.A.</v>
      </c>
      <c r="AK308" s="61">
        <f>Tab_Data_Flows[[#This Row],[UoM_Flow_Py]]</f>
        <v>0</v>
      </c>
    </row>
    <row r="309" spans="1:37" x14ac:dyDescent="0.35">
      <c r="A309" s="60"/>
      <c r="B309" s="49" t="str">
        <f>_xlfn.XLOOKUP(C309,Tab_Def_Flows[Name(EN)],Tab_Def_Flows[Flow_ID],,0,)</f>
        <v>F_21_21</v>
      </c>
      <c r="C309" s="51"/>
      <c r="D309" s="49">
        <f>_xlfn.XLOOKUP(C309,Tab_Def_Flows[Name(EN)],Tab_Def_Flows[Type_Biomass],,0,)</f>
        <v>0</v>
      </c>
      <c r="E309" s="49">
        <f>_xlfn.XLOOKUP(C309,Tab_Def_Flows[Name(EN)],Tab_Def_Flows[Output_Process],,0,)</f>
        <v>0</v>
      </c>
      <c r="F309" s="49" t="str">
        <f>_xlfn.XLOOKUP(C309,Tab_Def_Flows[Name(EN)],Tab_Def_Flows[Process_ID_O],,0,)</f>
        <v>21__</v>
      </c>
      <c r="G309" s="49">
        <f>_xlfn.XLOOKUP(C309,Tab_Def_Flows[Name(EN)],Tab_Def_Flows[Input_Process],,0,)</f>
        <v>0</v>
      </c>
      <c r="H309" s="61" t="str">
        <f>_xlfn.XLOOKUP(C309,Tab_Def_Flows[Name(EN)],Tab_Def_Flows[Process_ID_I],,0,)</f>
        <v>21__</v>
      </c>
      <c r="I309" s="49">
        <f>_xlfn.XLOOKUP(C309,Tab_Def_Flows[Name(EN)],Tab_Def_Flows[Value_Source],,0,)</f>
        <v>0</v>
      </c>
      <c r="J309" s="49">
        <f>_xlfn.XLOOKUP(C309,Tab_Def_Flows[Name(EN)],Tab_Def_Flows[WC?],,0,)</f>
        <v>0</v>
      </c>
      <c r="K309" s="49">
        <f>_xlfn.XLOOKUP(C309,Tab_Def_Flows[Name(EN)],Tab_Def_Flows[DM?],,0,)</f>
        <v>0</v>
      </c>
      <c r="L309" s="49">
        <f>_xlfn.XLOOKUP(C309,Tab_Def_Flows[Name(EN)],Tab_Def_Flows[CC?],,0,)</f>
        <v>0</v>
      </c>
      <c r="M309" s="51"/>
      <c r="N309" s="51"/>
      <c r="O309" s="88"/>
      <c r="P309" s="51"/>
      <c r="Q309" s="51"/>
      <c r="R309" s="51" t="e">
        <f>INDEX(Tab_WC_DM_CC[[Flow_ID]:[CC_source]],MATCH(Tab_Data_Flows[[#This Row],[Name(EN)]],Tab_WC_DM_CC[Name(EN)],0),12)</f>
        <v>#N/A</v>
      </c>
      <c r="S309" s="51" t="e">
        <f>MATCH(Tab_Data_Flows[[#This Row],[Name(EN)]],Tab_WC_DM_CC[Name(EN)],0)</f>
        <v>#N/A</v>
      </c>
      <c r="T309" s="51"/>
      <c r="U309" s="51"/>
      <c r="V309" s="51"/>
      <c r="W309" s="51"/>
      <c r="X309" s="51"/>
      <c r="Y309" s="51"/>
      <c r="Z309" s="51"/>
      <c r="AA309" s="89">
        <f t="shared" si="12"/>
        <v>0</v>
      </c>
      <c r="AB309" s="51"/>
      <c r="AC309" s="114" t="e">
        <f>INDEX(Tab_Def_Flows[[Flow_ID]:[CC_DM_source]],MATCH(Tab_Data_Flows[[#This Row],[Name(EN)]],Tab_Def_Flows[Name(EN)],0),16)</f>
        <v>#N/A</v>
      </c>
      <c r="AD309" s="115" t="str">
        <f>IF(J309="Yes",AA309*Tab_Data_Flows[[#This Row],[WC_'[%']]],"N.A.")</f>
        <v>N.A.</v>
      </c>
      <c r="AE309" s="61">
        <f>Tab_Data_Flows[[#This Row],[UoM_Flow_Py]]</f>
        <v>0</v>
      </c>
      <c r="AF309" s="114" t="e">
        <f>INDEX(Tab_Def_Flows[[Flow_ID]:[CC_DM_source]],MATCH(Tab_Data_Flows[[#This Row],[Name(EN)]],Tab_Def_Flows[Name(EN)],0),18)</f>
        <v>#N/A</v>
      </c>
      <c r="AG309" s="115" t="str">
        <f>IF(K309="Yes",AF309*Tab_Data_Flows[[#This Row],[Flow_Py]],"N.A.")</f>
        <v>N.A.</v>
      </c>
      <c r="AH309" s="61">
        <f>Tab_Data_Flows[[#This Row],[UoM_Flow_Py]]</f>
        <v>0</v>
      </c>
      <c r="AI309" s="114" t="e">
        <f>INDEX(Tab_Def_Flows[[Flow_ID]:[CC_DM_source]],MATCH(Tab_Data_Flows[[#This Row],[Name(EN)]],Tab_Def_Flows[Name(EN)],0),20)</f>
        <v>#N/A</v>
      </c>
      <c r="AJ309" s="115" t="str">
        <f>IF(L309="Yes",AI309*Tab_Data_Flows[[#This Row],[Flow_Py]],"N.A.")</f>
        <v>N.A.</v>
      </c>
      <c r="AK309" s="61">
        <f>Tab_Data_Flows[[#This Row],[UoM_Flow_Py]]</f>
        <v>0</v>
      </c>
    </row>
    <row r="310" spans="1:37" x14ac:dyDescent="0.35">
      <c r="A310" s="60"/>
      <c r="B310" s="49" t="str">
        <f>_xlfn.XLOOKUP(C310,Tab_Def_Flows[Name(EN)],Tab_Def_Flows[Flow_ID],,0,)</f>
        <v>F_21_21</v>
      </c>
      <c r="C310" s="51"/>
      <c r="D310" s="49">
        <f>_xlfn.XLOOKUP(C310,Tab_Def_Flows[Name(EN)],Tab_Def_Flows[Type_Biomass],,0,)</f>
        <v>0</v>
      </c>
      <c r="E310" s="49">
        <f>_xlfn.XLOOKUP(C310,Tab_Def_Flows[Name(EN)],Tab_Def_Flows[Output_Process],,0,)</f>
        <v>0</v>
      </c>
      <c r="F310" s="49" t="str">
        <f>_xlfn.XLOOKUP(C310,Tab_Def_Flows[Name(EN)],Tab_Def_Flows[Process_ID_O],,0,)</f>
        <v>21__</v>
      </c>
      <c r="G310" s="49">
        <f>_xlfn.XLOOKUP(C310,Tab_Def_Flows[Name(EN)],Tab_Def_Flows[Input_Process],,0,)</f>
        <v>0</v>
      </c>
      <c r="H310" s="61" t="str">
        <f>_xlfn.XLOOKUP(C310,Tab_Def_Flows[Name(EN)],Tab_Def_Flows[Process_ID_I],,0,)</f>
        <v>21__</v>
      </c>
      <c r="I310" s="49">
        <f>_xlfn.XLOOKUP(C310,Tab_Def_Flows[Name(EN)],Tab_Def_Flows[Value_Source],,0,)</f>
        <v>0</v>
      </c>
      <c r="J310" s="49">
        <f>_xlfn.XLOOKUP(C310,Tab_Def_Flows[Name(EN)],Tab_Def_Flows[WC?],,0,)</f>
        <v>0</v>
      </c>
      <c r="K310" s="49">
        <f>_xlfn.XLOOKUP(C310,Tab_Def_Flows[Name(EN)],Tab_Def_Flows[DM?],,0,)</f>
        <v>0</v>
      </c>
      <c r="L310" s="49">
        <f>_xlfn.XLOOKUP(C310,Tab_Def_Flows[Name(EN)],Tab_Def_Flows[CC?],,0,)</f>
        <v>0</v>
      </c>
      <c r="M310" s="51"/>
      <c r="N310" s="51"/>
      <c r="O310" s="88"/>
      <c r="P310" s="51"/>
      <c r="Q310" s="51"/>
      <c r="R310" s="51" t="e">
        <f>INDEX(Tab_WC_DM_CC[[Flow_ID]:[CC_source]],MATCH(Tab_Data_Flows[[#This Row],[Name(EN)]],Tab_WC_DM_CC[Name(EN)],0),12)</f>
        <v>#N/A</v>
      </c>
      <c r="S310" s="51" t="e">
        <f>MATCH(Tab_Data_Flows[[#This Row],[Name(EN)]],Tab_WC_DM_CC[Name(EN)],0)</f>
        <v>#N/A</v>
      </c>
      <c r="T310" s="51"/>
      <c r="U310" s="51"/>
      <c r="V310" s="51"/>
      <c r="W310" s="51"/>
      <c r="X310" s="51"/>
      <c r="Y310" s="51"/>
      <c r="Z310" s="51"/>
      <c r="AA310" s="89">
        <f t="shared" si="12"/>
        <v>0</v>
      </c>
      <c r="AB310" s="51"/>
      <c r="AC310" s="114" t="e">
        <f>INDEX(Tab_Def_Flows[[Flow_ID]:[CC_DM_source]],MATCH(Tab_Data_Flows[[#This Row],[Name(EN)]],Tab_Def_Flows[Name(EN)],0),16)</f>
        <v>#N/A</v>
      </c>
      <c r="AD310" s="115" t="str">
        <f>IF(J310="Yes",AA310*Tab_Data_Flows[[#This Row],[WC_'[%']]],"N.A.")</f>
        <v>N.A.</v>
      </c>
      <c r="AE310" s="61">
        <f>Tab_Data_Flows[[#This Row],[UoM_Flow_Py]]</f>
        <v>0</v>
      </c>
      <c r="AF310" s="114" t="e">
        <f>INDEX(Tab_Def_Flows[[Flow_ID]:[CC_DM_source]],MATCH(Tab_Data_Flows[[#This Row],[Name(EN)]],Tab_Def_Flows[Name(EN)],0),18)</f>
        <v>#N/A</v>
      </c>
      <c r="AG310" s="115" t="str">
        <f>IF(K310="Yes",AF310*Tab_Data_Flows[[#This Row],[Flow_Py]],"N.A.")</f>
        <v>N.A.</v>
      </c>
      <c r="AH310" s="61">
        <f>Tab_Data_Flows[[#This Row],[UoM_Flow_Py]]</f>
        <v>0</v>
      </c>
      <c r="AI310" s="114" t="e">
        <f>INDEX(Tab_Def_Flows[[Flow_ID]:[CC_DM_source]],MATCH(Tab_Data_Flows[[#This Row],[Name(EN)]],Tab_Def_Flows[Name(EN)],0),20)</f>
        <v>#N/A</v>
      </c>
      <c r="AJ310" s="115" t="str">
        <f>IF(L310="Yes",AI310*Tab_Data_Flows[[#This Row],[Flow_Py]],"N.A.")</f>
        <v>N.A.</v>
      </c>
      <c r="AK310" s="61">
        <f>Tab_Data_Flows[[#This Row],[UoM_Flow_Py]]</f>
        <v>0</v>
      </c>
    </row>
    <row r="311" spans="1:37" x14ac:dyDescent="0.35">
      <c r="A311" s="60"/>
      <c r="B311" s="49" t="str">
        <f>_xlfn.XLOOKUP(C311,Tab_Def_Flows[Name(EN)],Tab_Def_Flows[Flow_ID],,0,)</f>
        <v>F_21_21</v>
      </c>
      <c r="C311" s="51"/>
      <c r="D311" s="49">
        <f>_xlfn.XLOOKUP(C311,Tab_Def_Flows[Name(EN)],Tab_Def_Flows[Type_Biomass],,0,)</f>
        <v>0</v>
      </c>
      <c r="E311" s="49">
        <f>_xlfn.XLOOKUP(C311,Tab_Def_Flows[Name(EN)],Tab_Def_Flows[Output_Process],,0,)</f>
        <v>0</v>
      </c>
      <c r="F311" s="49" t="str">
        <f>_xlfn.XLOOKUP(C311,Tab_Def_Flows[Name(EN)],Tab_Def_Flows[Process_ID_O],,0,)</f>
        <v>21__</v>
      </c>
      <c r="G311" s="49">
        <f>_xlfn.XLOOKUP(C311,Tab_Def_Flows[Name(EN)],Tab_Def_Flows[Input_Process],,0,)</f>
        <v>0</v>
      </c>
      <c r="H311" s="61" t="str">
        <f>_xlfn.XLOOKUP(C311,Tab_Def_Flows[Name(EN)],Tab_Def_Flows[Process_ID_I],,0,)</f>
        <v>21__</v>
      </c>
      <c r="I311" s="49">
        <f>_xlfn.XLOOKUP(C311,Tab_Def_Flows[Name(EN)],Tab_Def_Flows[Value_Source],,0,)</f>
        <v>0</v>
      </c>
      <c r="J311" s="49">
        <f>_xlfn.XLOOKUP(C311,Tab_Def_Flows[Name(EN)],Tab_Def_Flows[WC?],,0,)</f>
        <v>0</v>
      </c>
      <c r="K311" s="49">
        <f>_xlfn.XLOOKUP(C311,Tab_Def_Flows[Name(EN)],Tab_Def_Flows[DM?],,0,)</f>
        <v>0</v>
      </c>
      <c r="L311" s="49">
        <f>_xlfn.XLOOKUP(C311,Tab_Def_Flows[Name(EN)],Tab_Def_Flows[CC?],,0,)</f>
        <v>0</v>
      </c>
      <c r="M311" s="51"/>
      <c r="N311" s="51"/>
      <c r="O311" s="88"/>
      <c r="P311" s="51"/>
      <c r="Q311" s="51"/>
      <c r="R311" s="51" t="e">
        <f>INDEX(Tab_WC_DM_CC[[Flow_ID]:[CC_source]],MATCH(Tab_Data_Flows[[#This Row],[Name(EN)]],Tab_WC_DM_CC[Name(EN)],0),12)</f>
        <v>#N/A</v>
      </c>
      <c r="S311" s="51" t="e">
        <f>MATCH(Tab_Data_Flows[[#This Row],[Name(EN)]],Tab_WC_DM_CC[Name(EN)],0)</f>
        <v>#N/A</v>
      </c>
      <c r="T311" s="51"/>
      <c r="U311" s="51"/>
      <c r="V311" s="51"/>
      <c r="W311" s="51"/>
      <c r="X311" s="51"/>
      <c r="Y311" s="51"/>
      <c r="Z311" s="51"/>
      <c r="AA311" s="89">
        <f t="shared" si="12"/>
        <v>0</v>
      </c>
      <c r="AB311" s="51"/>
      <c r="AC311" s="114" t="e">
        <f>INDEX(Tab_Def_Flows[[Flow_ID]:[CC_DM_source]],MATCH(Tab_Data_Flows[[#This Row],[Name(EN)]],Tab_Def_Flows[Name(EN)],0),16)</f>
        <v>#N/A</v>
      </c>
      <c r="AD311" s="115" t="str">
        <f>IF(J311="Yes",AA311*Tab_Data_Flows[[#This Row],[WC_'[%']]],"N.A.")</f>
        <v>N.A.</v>
      </c>
      <c r="AE311" s="61">
        <f>Tab_Data_Flows[[#This Row],[UoM_Flow_Py]]</f>
        <v>0</v>
      </c>
      <c r="AF311" s="114" t="e">
        <f>INDEX(Tab_Def_Flows[[Flow_ID]:[CC_DM_source]],MATCH(Tab_Data_Flows[[#This Row],[Name(EN)]],Tab_Def_Flows[Name(EN)],0),18)</f>
        <v>#N/A</v>
      </c>
      <c r="AG311" s="115" t="str">
        <f>IF(K311="Yes",AF311*Tab_Data_Flows[[#This Row],[Flow_Py]],"N.A.")</f>
        <v>N.A.</v>
      </c>
      <c r="AH311" s="61">
        <f>Tab_Data_Flows[[#This Row],[UoM_Flow_Py]]</f>
        <v>0</v>
      </c>
      <c r="AI311" s="114" t="e">
        <f>INDEX(Tab_Def_Flows[[Flow_ID]:[CC_DM_source]],MATCH(Tab_Data_Flows[[#This Row],[Name(EN)]],Tab_Def_Flows[Name(EN)],0),20)</f>
        <v>#N/A</v>
      </c>
      <c r="AJ311" s="115" t="str">
        <f>IF(L311="Yes",AI311*Tab_Data_Flows[[#This Row],[Flow_Py]],"N.A.")</f>
        <v>N.A.</v>
      </c>
      <c r="AK311" s="61">
        <f>Tab_Data_Flows[[#This Row],[UoM_Flow_Py]]</f>
        <v>0</v>
      </c>
    </row>
    <row r="312" spans="1:37" ht="15" thickBot="1" x14ac:dyDescent="0.4">
      <c r="A312" s="62"/>
      <c r="B312" s="63" t="str">
        <f>_xlfn.XLOOKUP(C312,Tab_Def_Flows[Name(EN)],Tab_Def_Flows[Flow_ID],,0,)</f>
        <v>F_21_21</v>
      </c>
      <c r="C312" s="51"/>
      <c r="D312" s="49">
        <f>_xlfn.XLOOKUP(C312,Tab_Def_Flows[Name(EN)],Tab_Def_Flows[Type_Biomass],,0,)</f>
        <v>0</v>
      </c>
      <c r="E312" s="49">
        <f>_xlfn.XLOOKUP(C312,Tab_Def_Flows[Name(EN)],Tab_Def_Flows[Output_Process],,0,)</f>
        <v>0</v>
      </c>
      <c r="F312" s="63" t="str">
        <f>_xlfn.XLOOKUP(C312,Tab_Def_Flows[Name(EN)],Tab_Def_Flows[Process_ID_O],,0,)</f>
        <v>21__</v>
      </c>
      <c r="G312" s="49">
        <f>_xlfn.XLOOKUP(C312,Tab_Def_Flows[Name(EN)],Tab_Def_Flows[Input_Process],,0,)</f>
        <v>0</v>
      </c>
      <c r="H312" s="64" t="str">
        <f>_xlfn.XLOOKUP(C312,Tab_Def_Flows[Name(EN)],Tab_Def_Flows[Process_ID_I],,0,)</f>
        <v>21__</v>
      </c>
      <c r="I312" s="108">
        <f>_xlfn.XLOOKUP(C312,Tab_Def_Flows[Name(EN)],Tab_Def_Flows[Value_Source],,0,)</f>
        <v>0</v>
      </c>
      <c r="J312" s="108">
        <f>_xlfn.XLOOKUP(C312,Tab_Def_Flows[Name(EN)],Tab_Def_Flows[WC?],,0,)</f>
        <v>0</v>
      </c>
      <c r="K312" s="108">
        <f>_xlfn.XLOOKUP(C312,Tab_Def_Flows[Name(EN)],Tab_Def_Flows[DM?],,0,)</f>
        <v>0</v>
      </c>
      <c r="L312" s="108">
        <f>_xlfn.XLOOKUP(C312,Tab_Def_Flows[Name(EN)],Tab_Def_Flows[CC?],,0,)</f>
        <v>0</v>
      </c>
      <c r="M312" s="51"/>
      <c r="N312" s="51"/>
      <c r="O312" s="88"/>
      <c r="P312" s="51"/>
      <c r="Q312" s="51"/>
      <c r="R312" s="51" t="e">
        <f>INDEX(Tab_WC_DM_CC[[Flow_ID]:[CC_source]],MATCH(Tab_Data_Flows[[#This Row],[Name(EN)]],Tab_WC_DM_CC[Name(EN)],0),12)</f>
        <v>#N/A</v>
      </c>
      <c r="S312" s="51" t="e">
        <f>MATCH(Tab_Data_Flows[[#This Row],[Name(EN)]],Tab_WC_DM_CC[Name(EN)],0)</f>
        <v>#N/A</v>
      </c>
      <c r="T312" s="51"/>
      <c r="U312" s="51"/>
      <c r="V312" s="51"/>
      <c r="W312" s="51"/>
      <c r="X312" s="51"/>
      <c r="Y312" s="51"/>
      <c r="Z312" s="51"/>
      <c r="AA312" s="89">
        <f t="shared" si="12"/>
        <v>0</v>
      </c>
      <c r="AB312" s="51"/>
      <c r="AC312" s="114" t="e">
        <f>INDEX(Tab_Def_Flows[[Flow_ID]:[CC_DM_source]],MATCH(Tab_Data_Flows[[#This Row],[Name(EN)]],Tab_Def_Flows[Name(EN)],0),16)</f>
        <v>#N/A</v>
      </c>
      <c r="AD312" s="116" t="str">
        <f>IF(J312="Yes",AA312*Tab_Data_Flows[[#This Row],[WC_'[%']]],"N.A.")</f>
        <v>N.A.</v>
      </c>
      <c r="AE312" s="64">
        <f>Tab_Data_Flows[[#This Row],[UoM_Flow_Py]]</f>
        <v>0</v>
      </c>
      <c r="AF312" s="114" t="e">
        <f>INDEX(Tab_Def_Flows[[Flow_ID]:[CC_DM_source]],MATCH(Tab_Data_Flows[[#This Row],[Name(EN)]],Tab_Def_Flows[Name(EN)],0),18)</f>
        <v>#N/A</v>
      </c>
      <c r="AG312" s="116" t="str">
        <f>IF(K312="Yes",AF312*Tab_Data_Flows[[#This Row],[Flow_Py]],"N.A.")</f>
        <v>N.A.</v>
      </c>
      <c r="AH312" s="64">
        <f>Tab_Data_Flows[[#This Row],[UoM_Flow_Py]]</f>
        <v>0</v>
      </c>
      <c r="AI312" s="114" t="e">
        <f>INDEX(Tab_Def_Flows[[Flow_ID]:[CC_DM_source]],MATCH(Tab_Data_Flows[[#This Row],[Name(EN)]],Tab_Def_Flows[Name(EN)],0),20)</f>
        <v>#N/A</v>
      </c>
      <c r="AJ312" s="116" t="str">
        <f>IF(L312="Yes",AI312*Tab_Data_Flows[[#This Row],[Flow_Py]],"N.A.")</f>
        <v>N.A.</v>
      </c>
      <c r="AK312" s="64">
        <f>Tab_Data_Flows[[#This Row],[UoM_Flow_Py]]</f>
        <v>0</v>
      </c>
    </row>
    <row r="313" spans="1:37" x14ac:dyDescent="0.35">
      <c r="AF313" s="118"/>
      <c r="AK313" s="111"/>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X2:X312</xm:sqref>
        </x14:dataValidation>
        <x14:dataValidation type="list" allowBlank="1" showInputMessage="1" showErrorMessage="1" xr:uid="{A030A264-E9C5-4840-932B-125C397F8D0A}">
          <x14:formula1>
            <xm:f>'1_1_Definition_Flows'!$D$2:$D$77</xm:f>
          </x14:formula1>
          <xm:sqref>C2:C312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tint="0.79998168889431442"/>
  </sheetPr>
  <dimension ref="A1"/>
  <sheetViews>
    <sheetView workbookViewId="0">
      <selection activeCell="J19" sqref="J19"/>
    </sheetView>
  </sheetViews>
  <sheetFormatPr defaultColWidth="10.81640625" defaultRowHeight="14.5" x14ac:dyDescent="0.35"/>
  <sheetData/>
  <pageMargins left="0.7" right="0.7" top="0.78740157499999996" bottom="0.78740157499999996"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70" zoomScaleNormal="70" workbookViewId="0">
      <pane xSplit="4" topLeftCell="L1" activePane="topRight" state="frozen"/>
      <selection pane="topRight" activeCell="M19" sqref="M19"/>
    </sheetView>
  </sheetViews>
  <sheetFormatPr defaultColWidth="10.81640625" defaultRowHeight="14.5" x14ac:dyDescent="0.35"/>
  <cols>
    <col min="2" max="2" width="6.81640625" customWidth="1"/>
    <col min="3" max="3" width="41" customWidth="1"/>
    <col min="4" max="4" width="42" customWidth="1"/>
    <col min="5" max="6" width="33.26953125" customWidth="1"/>
    <col min="7" max="7" width="32.54296875" customWidth="1"/>
    <col min="8" max="8" width="33.54296875" customWidth="1"/>
    <col min="9" max="9" width="16.453125" customWidth="1"/>
    <col min="10" max="10" width="21.26953125" customWidth="1"/>
    <col min="11" max="12" width="15.54296875" customWidth="1"/>
    <col min="13" max="13" width="26.7265625" customWidth="1"/>
    <col min="14" max="14" width="15.54296875" customWidth="1"/>
    <col min="15" max="15" width="21" customWidth="1"/>
    <col min="16" max="22" width="15.54296875" customWidth="1"/>
    <col min="23" max="23" width="17.26953125" customWidth="1"/>
    <col min="24" max="24" width="15.54296875" customWidth="1"/>
    <col min="25" max="25" width="26.54296875" customWidth="1"/>
    <col min="26" max="26" width="15.54296875" customWidth="1"/>
    <col min="27" max="27" width="24" customWidth="1"/>
    <col min="29" max="29" width="18" customWidth="1"/>
    <col min="31" max="31" width="17.1796875" customWidth="1"/>
    <col min="32" max="32" width="14" customWidth="1"/>
    <col min="33" max="33" width="17" customWidth="1"/>
  </cols>
  <sheetData>
    <row r="1" spans="1:34" ht="15" thickBot="1" x14ac:dyDescent="0.4">
      <c r="A1" s="9" t="s">
        <v>316</v>
      </c>
      <c r="B1" s="9" t="s">
        <v>225</v>
      </c>
      <c r="C1" t="s">
        <v>290</v>
      </c>
      <c r="D1" t="s">
        <v>320</v>
      </c>
      <c r="E1" t="s">
        <v>321</v>
      </c>
      <c r="F1" t="s">
        <v>234</v>
      </c>
      <c r="G1" t="s">
        <v>291</v>
      </c>
      <c r="H1" t="s">
        <v>292</v>
      </c>
      <c r="I1" s="48" t="s">
        <v>18</v>
      </c>
      <c r="J1" s="25" t="s">
        <v>386</v>
      </c>
      <c r="K1" s="26" t="s">
        <v>293</v>
      </c>
      <c r="L1" s="32" t="s">
        <v>324</v>
      </c>
      <c r="M1" s="57" t="s">
        <v>294</v>
      </c>
      <c r="N1" s="57" t="s">
        <v>295</v>
      </c>
      <c r="O1" s="57" t="s">
        <v>296</v>
      </c>
      <c r="P1" s="57" t="s">
        <v>300</v>
      </c>
      <c r="Q1" s="57" t="s">
        <v>297</v>
      </c>
      <c r="R1" s="58" t="s">
        <v>301</v>
      </c>
      <c r="S1" s="57" t="s">
        <v>298</v>
      </c>
      <c r="T1" s="57" t="s">
        <v>302</v>
      </c>
      <c r="U1" s="57" t="s">
        <v>299</v>
      </c>
      <c r="V1" s="94" t="s">
        <v>303</v>
      </c>
      <c r="W1" s="72" t="s">
        <v>304</v>
      </c>
      <c r="X1" s="72" t="s">
        <v>310</v>
      </c>
      <c r="Y1" s="54" t="s">
        <v>305</v>
      </c>
      <c r="Z1" s="54" t="s">
        <v>311</v>
      </c>
      <c r="AA1" s="54" t="s">
        <v>306</v>
      </c>
      <c r="AB1" s="54" t="s">
        <v>312</v>
      </c>
      <c r="AC1" s="55" t="s">
        <v>307</v>
      </c>
      <c r="AD1" s="55" t="s">
        <v>313</v>
      </c>
      <c r="AE1" s="55" t="s">
        <v>308</v>
      </c>
      <c r="AF1" s="55" t="s">
        <v>314</v>
      </c>
      <c r="AG1" s="55" t="s">
        <v>309</v>
      </c>
      <c r="AH1" s="56" t="s">
        <v>315</v>
      </c>
    </row>
    <row r="2" spans="1:34" x14ac:dyDescent="0.35">
      <c r="A2" s="97" t="b">
        <v>1</v>
      </c>
      <c r="B2" s="117" t="s">
        <v>455</v>
      </c>
      <c r="C2" s="49" t="str">
        <f>LEFT(B2,2)&amp;"_"&amp;LEFT(D2,3)&amp;"_"&amp;LEFT(F2,3)</f>
        <v>00_Env_BB</v>
      </c>
      <c r="D2" s="51" t="s">
        <v>426</v>
      </c>
      <c r="E2" s="92"/>
      <c r="F2" s="51" t="s">
        <v>353</v>
      </c>
      <c r="G2" s="51" t="s">
        <v>348</v>
      </c>
      <c r="H2" s="51"/>
      <c r="I2" s="92"/>
      <c r="J2" s="95" t="s">
        <v>389</v>
      </c>
      <c r="K2" s="51" t="s">
        <v>71</v>
      </c>
      <c r="L2" s="99" t="s">
        <v>71</v>
      </c>
      <c r="M2" s="51" t="s">
        <v>231</v>
      </c>
      <c r="N2" s="50" t="e">
        <f>_xlfn.XLOOKUP(M2,Tab_Def_Flows[Name(EN)],Tab_Def_Flows[Flow_ID],,0,)</f>
        <v>#N/A</v>
      </c>
      <c r="O2" s="51" t="s">
        <v>231</v>
      </c>
      <c r="P2" s="50" t="e">
        <f>_xlfn.XLOOKUP(O2,Tab_Def_Flows[Name(EN)],Tab_Def_Flows[Flow_ID],,0,)</f>
        <v>#N/A</v>
      </c>
      <c r="Q2" s="51" t="s">
        <v>231</v>
      </c>
      <c r="R2" s="50" t="e">
        <f>_xlfn.XLOOKUP(Q2,Tab_Def_Flows[Name(EN)],Tab_Def_Flows[Flow_ID],,0,)</f>
        <v>#N/A</v>
      </c>
      <c r="S2" s="51" t="s">
        <v>231</v>
      </c>
      <c r="T2" s="50" t="e">
        <f>_xlfn.XLOOKUP(S2,Tab_Def_Flows[Name(EN)],Tab_Def_Flows[Flow_ID],,0,)</f>
        <v>#N/A</v>
      </c>
      <c r="U2" s="51" t="s">
        <v>231</v>
      </c>
      <c r="V2" s="59" t="e">
        <f>_xlfn.XLOOKUP(U2,Tab_Def_Flows[Name(EN)],Tab_Def_Flows[Flow_ID],,0,)</f>
        <v>#N/A</v>
      </c>
      <c r="W2" s="51" t="s">
        <v>427</v>
      </c>
      <c r="X2" s="52" t="str">
        <f>_xlfn.XLOOKUP(W2,Tab_Def_Flows[Name(EN)],Tab_Def_Flows[Flow_ID],,0,)</f>
        <v>F_00_13</v>
      </c>
      <c r="Y2" s="51" t="s">
        <v>428</v>
      </c>
      <c r="Z2" s="52" t="str">
        <f>_xlfn.XLOOKUP(Y2,Tab_Def_Flows[Name(EN)],Tab_Def_Flows[Flow_ID],,0,)</f>
        <v>F_00_04</v>
      </c>
      <c r="AA2" s="51" t="s">
        <v>429</v>
      </c>
      <c r="AB2" s="52" t="str">
        <f>_xlfn.XLOOKUP(AA2,Tab_Def_Flows[Name(EN)],Tab_Def_Flows[Flow_ID],,0,)</f>
        <v>F_00_11</v>
      </c>
      <c r="AC2" s="51" t="s">
        <v>430</v>
      </c>
      <c r="AD2" s="52" t="str">
        <f>_xlfn.XLOOKUP(AC2,Tab_Def_Flows[Name(EN)],Tab_Def_Flows[Flow_ID],,0,)</f>
        <v>F_00_08</v>
      </c>
      <c r="AE2" s="51" t="s">
        <v>231</v>
      </c>
      <c r="AF2" s="52" t="e">
        <f>_xlfn.XLOOKUP(AE2,Tab_Def_Flows[Name(EN)],Tab_Def_Flows[Flow_ID],,0,)</f>
        <v>#N/A</v>
      </c>
      <c r="AG2" s="51" t="s">
        <v>231</v>
      </c>
      <c r="AH2" s="53" t="e">
        <f>_xlfn.XLOOKUP(AG2,Tab_Def_Flows[Name(EN)],Tab_Def_Flows[Flow_ID],,0,)</f>
        <v>#N/A</v>
      </c>
    </row>
    <row r="3" spans="1:34" x14ac:dyDescent="0.35">
      <c r="A3" s="97" t="b">
        <v>1</v>
      </c>
      <c r="B3" s="117" t="s">
        <v>431</v>
      </c>
      <c r="C3" s="49" t="str">
        <f t="shared" ref="C3:C58" si="0">LEFT(B3,2)&amp;"_"&amp;LEFT(D3,3)&amp;"_"&amp;LEFT(F3,3)</f>
        <v>01_Bio_BB</v>
      </c>
      <c r="D3" s="51" t="s">
        <v>346</v>
      </c>
      <c r="E3" s="92"/>
      <c r="F3" s="51" t="s">
        <v>353</v>
      </c>
      <c r="G3" s="51" t="s">
        <v>350</v>
      </c>
      <c r="H3" s="51" t="s">
        <v>174</v>
      </c>
      <c r="I3" s="92"/>
      <c r="J3" s="95" t="s">
        <v>387</v>
      </c>
      <c r="K3" s="51" t="s">
        <v>68</v>
      </c>
      <c r="L3" s="99" t="s">
        <v>71</v>
      </c>
      <c r="M3" s="51" t="s">
        <v>335</v>
      </c>
      <c r="N3" s="49" t="str">
        <f>_xlfn.XLOOKUP(M3,Tab_Def_Flows[Name(EN)],Tab_Def_Flows[Flow_ID],,0,)</f>
        <v>F_20_01</v>
      </c>
      <c r="O3" s="51" t="s">
        <v>337</v>
      </c>
      <c r="P3" s="49" t="str">
        <f>_xlfn.XLOOKUP(O3,Tab_Def_Flows[Name(EN)],Tab_Def_Flows[Flow_ID],,0,)</f>
        <v>F_04_01</v>
      </c>
      <c r="Q3" s="51" t="s">
        <v>231</v>
      </c>
      <c r="R3" s="49" t="e">
        <f>_xlfn.XLOOKUP(Q3,Tab_Def_Flows[Name(EN)],Tab_Def_Flows[Flow_ID],,0,)</f>
        <v>#N/A</v>
      </c>
      <c r="S3" s="51" t="s">
        <v>231</v>
      </c>
      <c r="T3" s="49" t="e">
        <f>_xlfn.XLOOKUP(S3,Tab_Def_Flows[Name(EN)],Tab_Def_Flows[Flow_ID],,0,)</f>
        <v>#N/A</v>
      </c>
      <c r="U3" s="51" t="s">
        <v>231</v>
      </c>
      <c r="V3" s="53" t="e">
        <f>_xlfn.XLOOKUP(U3,Tab_Def_Flows[Name(EN)],Tab_Def_Flows[Flow_ID],,0,)</f>
        <v>#N/A</v>
      </c>
      <c r="W3" s="51" t="s">
        <v>338</v>
      </c>
      <c r="X3" s="49" t="str">
        <f>_xlfn.XLOOKUP(W3,Tab_Def_Flows[Name(EN)],Tab_Def_Flows[Flow_ID],,0,)</f>
        <v>F_01_05</v>
      </c>
      <c r="Y3" s="51" t="s">
        <v>339</v>
      </c>
      <c r="Z3" s="49" t="str">
        <f>_xlfn.XLOOKUP(Y3,Tab_Def_Flows[Name(EN)],Tab_Def_Flows[Flow_ID],,0,)</f>
        <v>F_01_02</v>
      </c>
      <c r="AA3" s="51" t="s">
        <v>231</v>
      </c>
      <c r="AB3" s="49" t="e">
        <f>_xlfn.XLOOKUP(AA3,Tab_Def_Flows[Name(EN)],Tab_Def_Flows[Flow_ID],,0,)</f>
        <v>#N/A</v>
      </c>
      <c r="AC3" s="51" t="s">
        <v>231</v>
      </c>
      <c r="AD3" s="49" t="e">
        <f>_xlfn.XLOOKUP(AC3,Tab_Def_Flows[Name(EN)],Tab_Def_Flows[Flow_ID],,0,)</f>
        <v>#N/A</v>
      </c>
      <c r="AE3" s="51" t="s">
        <v>231</v>
      </c>
      <c r="AF3" s="49" t="e">
        <f>_xlfn.XLOOKUP(AE3,Tab_Def_Flows[Name(EN)],Tab_Def_Flows[Flow_ID],,0,)</f>
        <v>#N/A</v>
      </c>
      <c r="AG3" s="51" t="s">
        <v>231</v>
      </c>
      <c r="AH3" s="53" t="e">
        <f>_xlfn.XLOOKUP(AG3,Tab_Def_Flows[Name(EN)],Tab_Def_Flows[Flow_ID],,0,)</f>
        <v>#N/A</v>
      </c>
    </row>
    <row r="4" spans="1:34" x14ac:dyDescent="0.35">
      <c r="A4" s="97" t="b">
        <v>1</v>
      </c>
      <c r="B4" s="117" t="s">
        <v>432</v>
      </c>
      <c r="C4" s="49" t="str">
        <f t="shared" si="0"/>
        <v>02_MBC_BB</v>
      </c>
      <c r="D4" s="51" t="s">
        <v>347</v>
      </c>
      <c r="E4" s="92"/>
      <c r="F4" s="51" t="s">
        <v>353</v>
      </c>
      <c r="G4" s="51" t="s">
        <v>350</v>
      </c>
      <c r="H4" s="51" t="s">
        <v>174</v>
      </c>
      <c r="I4" s="92"/>
      <c r="J4" s="95" t="s">
        <v>387</v>
      </c>
      <c r="K4" s="51" t="s">
        <v>68</v>
      </c>
      <c r="L4" s="99" t="s">
        <v>71</v>
      </c>
      <c r="M4" s="51" t="s">
        <v>339</v>
      </c>
      <c r="N4" s="49" t="str">
        <f>_xlfn.XLOOKUP(M4,Tab_Def_Flows[Name(EN)],Tab_Def_Flows[Flow_ID],,0,)</f>
        <v>F_01_02</v>
      </c>
      <c r="O4" s="51" t="s">
        <v>341</v>
      </c>
      <c r="P4" s="49" t="str">
        <f>_xlfn.XLOOKUP(O4,Tab_Def_Flows[Name(EN)],Tab_Def_Flows[Flow_ID],,0,)</f>
        <v>F_11_02</v>
      </c>
      <c r="Q4" s="51" t="s">
        <v>343</v>
      </c>
      <c r="R4" s="49" t="str">
        <f>_xlfn.XLOOKUP(Q4,Tab_Def_Flows[Name(EN)],Tab_Def_Flows[Flow_ID],,0,)</f>
        <v>F_08_02</v>
      </c>
      <c r="S4" s="51" t="s">
        <v>231</v>
      </c>
      <c r="T4" s="49" t="e">
        <f>_xlfn.XLOOKUP(S4,Tab_Def_Flows[Name(EN)],Tab_Def_Flows[Flow_ID],,0,)</f>
        <v>#N/A</v>
      </c>
      <c r="U4" s="51" t="s">
        <v>231</v>
      </c>
      <c r="V4" s="53" t="e">
        <f>_xlfn.XLOOKUP(U4,Tab_Def_Flows[Name(EN)],Tab_Def_Flows[Flow_ID],,0,)</f>
        <v>#N/A</v>
      </c>
      <c r="W4" s="51" t="s">
        <v>393</v>
      </c>
      <c r="X4" s="49" t="str">
        <f>_xlfn.XLOOKUP(W4,Tab_Def_Flows[Name(EN)],Tab_Def_Flows[Flow_ID],,0,)</f>
        <v>F_02_03</v>
      </c>
      <c r="Y4" s="51" t="s">
        <v>340</v>
      </c>
      <c r="Z4" s="49" t="str">
        <f>_xlfn.XLOOKUP(Y4,Tab_Def_Flows[Name(EN)],Tab_Def_Flows[Flow_ID],,0,)</f>
        <v>F_02_06</v>
      </c>
      <c r="AA4" s="51" t="s">
        <v>344</v>
      </c>
      <c r="AB4" s="49" t="str">
        <f>_xlfn.XLOOKUP(AA4,Tab_Def_Flows[Name(EN)],Tab_Def_Flows[Flow_ID],,0,)</f>
        <v>F_02_14</v>
      </c>
      <c r="AC4" s="51" t="s">
        <v>367</v>
      </c>
      <c r="AD4" s="49" t="str">
        <f>_xlfn.XLOOKUP(AC4,Tab_Def_Flows[Name(EN)],Tab_Def_Flows[Flow_ID],,0,)</f>
        <v>F_02_12</v>
      </c>
      <c r="AE4" s="51" t="s">
        <v>231</v>
      </c>
      <c r="AF4" s="49" t="e">
        <f>_xlfn.XLOOKUP(AE4,Tab_Def_Flows[Name(EN)],Tab_Def_Flows[Flow_ID],,0,)</f>
        <v>#N/A</v>
      </c>
      <c r="AG4" s="51" t="s">
        <v>231</v>
      </c>
      <c r="AH4" s="53" t="e">
        <f>_xlfn.XLOOKUP(AG4,Tab_Def_Flows[Name(EN)],Tab_Def_Flows[Flow_ID],,0,)</f>
        <v>#N/A</v>
      </c>
    </row>
    <row r="5" spans="1:34" x14ac:dyDescent="0.35">
      <c r="A5" s="97" t="b">
        <v>1</v>
      </c>
      <c r="B5" s="117" t="s">
        <v>433</v>
      </c>
      <c r="C5" s="49" t="str">
        <f t="shared" si="0"/>
        <v>03_MBC_BB</v>
      </c>
      <c r="D5" s="51" t="s">
        <v>440</v>
      </c>
      <c r="E5" s="92"/>
      <c r="F5" s="51" t="s">
        <v>353</v>
      </c>
      <c r="G5" s="51" t="s">
        <v>350</v>
      </c>
      <c r="H5" s="51" t="s">
        <v>177</v>
      </c>
      <c r="I5" s="92"/>
      <c r="J5" s="95" t="s">
        <v>387</v>
      </c>
      <c r="K5" s="51" t="s">
        <v>68</v>
      </c>
      <c r="L5" s="99" t="s">
        <v>68</v>
      </c>
      <c r="M5" s="51" t="s">
        <v>393</v>
      </c>
      <c r="N5" s="52" t="str">
        <f>_xlfn.XLOOKUP(M5,Tab_Def_Flows[Name(EN)],Tab_Def_Flows[Flow_ID],,0,)</f>
        <v>F_02_03</v>
      </c>
      <c r="O5" s="51" t="s">
        <v>231</v>
      </c>
      <c r="P5" s="52" t="e">
        <f>_xlfn.XLOOKUP(O5,Tab_Def_Flows[Name(EN)],Tab_Def_Flows[Flow_ID],,0,)</f>
        <v>#N/A</v>
      </c>
      <c r="Q5" s="51" t="s">
        <v>231</v>
      </c>
      <c r="R5" s="52" t="e">
        <f>_xlfn.XLOOKUP(Q5,Tab_Def_Flows[Name(EN)],Tab_Def_Flows[Flow_ID],,0,)</f>
        <v>#N/A</v>
      </c>
      <c r="S5" s="51" t="s">
        <v>231</v>
      </c>
      <c r="T5" s="52" t="e">
        <f>_xlfn.XLOOKUP(S5,Tab_Def_Flows[Name(EN)],Tab_Def_Flows[Flow_ID],,0,)</f>
        <v>#N/A</v>
      </c>
      <c r="U5" s="51" t="s">
        <v>231</v>
      </c>
      <c r="V5" s="53" t="e">
        <f>_xlfn.XLOOKUP(U5,Tab_Def_Flows[Name(EN)],Tab_Def_Flows[Flow_ID],,0,)</f>
        <v>#N/A</v>
      </c>
      <c r="W5" s="51" t="s">
        <v>394</v>
      </c>
      <c r="X5" s="52" t="str">
        <f>_xlfn.XLOOKUP(W5,Tab_Def_Flows[Name(EN)],Tab_Def_Flows[Flow_ID],,0,)</f>
        <v>F_03_07</v>
      </c>
      <c r="Y5" s="51" t="s">
        <v>231</v>
      </c>
      <c r="Z5" s="52" t="e">
        <f>_xlfn.XLOOKUP(Y5,Tab_Def_Flows[Name(EN)],Tab_Def_Flows[Flow_ID],,0,)</f>
        <v>#N/A</v>
      </c>
      <c r="AA5" s="51" t="s">
        <v>231</v>
      </c>
      <c r="AB5" s="52" t="e">
        <f>_xlfn.XLOOKUP(AA5,Tab_Def_Flows[Name(EN)],Tab_Def_Flows[Flow_ID],,0,)</f>
        <v>#N/A</v>
      </c>
      <c r="AC5" s="51" t="s">
        <v>231</v>
      </c>
      <c r="AD5" s="52" t="e">
        <f>_xlfn.XLOOKUP(AC5,Tab_Def_Flows[Name(EN)],Tab_Def_Flows[Flow_ID],,0,)</f>
        <v>#N/A</v>
      </c>
      <c r="AE5" s="51" t="s">
        <v>231</v>
      </c>
      <c r="AF5" s="52" t="e">
        <f>_xlfn.XLOOKUP(AE5,Tab_Def_Flows[Name(EN)],Tab_Def_Flows[Flow_ID],,0,)</f>
        <v>#N/A</v>
      </c>
      <c r="AG5" s="51" t="s">
        <v>231</v>
      </c>
      <c r="AH5" s="53" t="e">
        <f>_xlfn.XLOOKUP(AG5,Tab_Def_Flows[Name(EN)],Tab_Def_Flows[Flow_ID],,0,)</f>
        <v>#N/A</v>
      </c>
    </row>
    <row r="6" spans="1:34" x14ac:dyDescent="0.35">
      <c r="A6" s="97" t="b">
        <v>1</v>
      </c>
      <c r="B6" s="117" t="s">
        <v>434</v>
      </c>
      <c r="C6" s="49" t="str">
        <f t="shared" si="0"/>
        <v>04_Lif_BB</v>
      </c>
      <c r="D6" s="51" t="s">
        <v>441</v>
      </c>
      <c r="E6" s="92"/>
      <c r="F6" s="51" t="s">
        <v>353</v>
      </c>
      <c r="G6" s="51" t="s">
        <v>350</v>
      </c>
      <c r="H6" s="51"/>
      <c r="I6" s="92"/>
      <c r="J6" s="95" t="s">
        <v>387</v>
      </c>
      <c r="K6" s="51" t="s">
        <v>71</v>
      </c>
      <c r="L6" s="99" t="s">
        <v>71</v>
      </c>
      <c r="M6" s="51" t="s">
        <v>428</v>
      </c>
      <c r="N6" s="52" t="str">
        <f>_xlfn.XLOOKUP(M6,Tab_Def_Flows[Name(EN)],Tab_Def_Flows[Flow_ID],,0,)</f>
        <v>F_00_04</v>
      </c>
      <c r="O6" s="51" t="s">
        <v>231</v>
      </c>
      <c r="P6" s="52" t="e">
        <f>_xlfn.XLOOKUP(O6,Tab_Def_Flows[Name(EN)],Tab_Def_Flows[Flow_ID],,0,)</f>
        <v>#N/A</v>
      </c>
      <c r="Q6" s="51" t="s">
        <v>231</v>
      </c>
      <c r="R6" s="52" t="e">
        <f>_xlfn.XLOOKUP(Q6,Tab_Def_Flows[Name(EN)],Tab_Def_Flows[Flow_ID],,0,)</f>
        <v>#N/A</v>
      </c>
      <c r="S6" s="51" t="s">
        <v>231</v>
      </c>
      <c r="T6" s="52" t="e">
        <f>_xlfn.XLOOKUP(S6,Tab_Def_Flows[Name(EN)],Tab_Def_Flows[Flow_ID],,0,)</f>
        <v>#N/A</v>
      </c>
      <c r="U6" s="51" t="s">
        <v>231</v>
      </c>
      <c r="V6" s="53" t="e">
        <f>_xlfn.XLOOKUP(U6,Tab_Def_Flows[Name(EN)],Tab_Def_Flows[Flow_ID],,0,)</f>
        <v>#N/A</v>
      </c>
      <c r="W6" s="51" t="s">
        <v>428</v>
      </c>
      <c r="X6" s="52" t="str">
        <f>_xlfn.XLOOKUP(W6,Tab_Def_Flows[Name(EN)],Tab_Def_Flows[Flow_ID],,0,)</f>
        <v>F_00_04</v>
      </c>
      <c r="Y6" s="51" t="s">
        <v>231</v>
      </c>
      <c r="Z6" s="52" t="e">
        <f>_xlfn.XLOOKUP(Y6,Tab_Def_Flows[Name(EN)],Tab_Def_Flows[Flow_ID],,0,)</f>
        <v>#N/A</v>
      </c>
      <c r="AA6" s="51" t="s">
        <v>231</v>
      </c>
      <c r="AB6" s="52" t="e">
        <f>_xlfn.XLOOKUP(AA6,Tab_Def_Flows[Name(EN)],Tab_Def_Flows[Flow_ID],,0,)</f>
        <v>#N/A</v>
      </c>
      <c r="AC6" s="51" t="s">
        <v>231</v>
      </c>
      <c r="AD6" s="52" t="e">
        <f>_xlfn.XLOOKUP(AC6,Tab_Def_Flows[Name(EN)],Tab_Def_Flows[Flow_ID],,0,)</f>
        <v>#N/A</v>
      </c>
      <c r="AE6" s="51" t="s">
        <v>231</v>
      </c>
      <c r="AF6" s="52" t="e">
        <f>_xlfn.XLOOKUP(AE6,Tab_Def_Flows[Name(EN)],Tab_Def_Flows[Flow_ID],,0,)</f>
        <v>#N/A</v>
      </c>
      <c r="AG6" s="51" t="s">
        <v>231</v>
      </c>
      <c r="AH6" s="53" t="e">
        <f>_xlfn.XLOOKUP(AG6,Tab_Def_Flows[Name(EN)],Tab_Def_Flows[Flow_ID],,0,)</f>
        <v>#N/A</v>
      </c>
    </row>
    <row r="7" spans="1:34" x14ac:dyDescent="0.35">
      <c r="A7" s="97" t="b">
        <v>1</v>
      </c>
      <c r="B7" s="117" t="s">
        <v>435</v>
      </c>
      <c r="C7" s="49" t="str">
        <f t="shared" si="0"/>
        <v>05_Bio_BB</v>
      </c>
      <c r="D7" s="51" t="s">
        <v>442</v>
      </c>
      <c r="E7" s="92"/>
      <c r="F7" s="51" t="s">
        <v>353</v>
      </c>
      <c r="G7" s="51" t="s">
        <v>350</v>
      </c>
      <c r="H7" s="51"/>
      <c r="I7" s="92"/>
      <c r="J7" s="95" t="s">
        <v>390</v>
      </c>
      <c r="K7" s="51" t="s">
        <v>71</v>
      </c>
      <c r="L7" s="99" t="s">
        <v>68</v>
      </c>
      <c r="M7" s="51" t="s">
        <v>338</v>
      </c>
      <c r="N7" s="49" t="str">
        <f>_xlfn.XLOOKUP(M7,Tab_Def_Flows[Name(EN)],Tab_Def_Flows[Flow_ID],,0,)</f>
        <v>F_01_05</v>
      </c>
      <c r="O7" s="51" t="s">
        <v>231</v>
      </c>
      <c r="P7" s="49" t="e">
        <f>_xlfn.XLOOKUP(O7,Tab_Def_Flows[Name(EN)],Tab_Def_Flows[Flow_ID],,0,)</f>
        <v>#N/A</v>
      </c>
      <c r="Q7" s="51" t="s">
        <v>231</v>
      </c>
      <c r="R7" s="49" t="e">
        <f>_xlfn.XLOOKUP(Q7,Tab_Def_Flows[Name(EN)],Tab_Def_Flows[Flow_ID],,0,)</f>
        <v>#N/A</v>
      </c>
      <c r="S7" s="51" t="s">
        <v>231</v>
      </c>
      <c r="T7" s="49" t="e">
        <f>_xlfn.XLOOKUP(S7,Tab_Def_Flows[Name(EN)],Tab_Def_Flows[Flow_ID],,0,)</f>
        <v>#N/A</v>
      </c>
      <c r="U7" s="51" t="s">
        <v>231</v>
      </c>
      <c r="V7" s="65" t="e">
        <f>_xlfn.XLOOKUP(U7,Tab_Def_Flows[Name(EN)],Tab_Def_Flows[Flow_ID],,0,)</f>
        <v>#N/A</v>
      </c>
      <c r="W7" s="51" t="s">
        <v>231</v>
      </c>
      <c r="X7" s="49" t="e">
        <f>_xlfn.XLOOKUP(W7,Tab_Def_Flows[Name(EN)],Tab_Def_Flows[Flow_ID],,0,)</f>
        <v>#N/A</v>
      </c>
      <c r="Y7" s="51" t="s">
        <v>231</v>
      </c>
      <c r="Z7" s="49" t="e">
        <f>_xlfn.XLOOKUP(Y7,Tab_Def_Flows[Name(EN)],Tab_Def_Flows[Flow_ID],,0,)</f>
        <v>#N/A</v>
      </c>
      <c r="AA7" s="51" t="s">
        <v>231</v>
      </c>
      <c r="AB7" s="49" t="e">
        <f>_xlfn.XLOOKUP(AA7,Tab_Def_Flows[Name(EN)],Tab_Def_Flows[Flow_ID],,0,)</f>
        <v>#N/A</v>
      </c>
      <c r="AC7" s="51" t="s">
        <v>231</v>
      </c>
      <c r="AD7" s="49" t="e">
        <f>_xlfn.XLOOKUP(AC7,Tab_Def_Flows[Name(EN)],Tab_Def_Flows[Flow_ID],,0,)</f>
        <v>#N/A</v>
      </c>
      <c r="AE7" s="51" t="s">
        <v>231</v>
      </c>
      <c r="AF7" s="49" t="e">
        <f>_xlfn.XLOOKUP(AE7,Tab_Def_Flows[Name(EN)],Tab_Def_Flows[Flow_ID],,0,)</f>
        <v>#N/A</v>
      </c>
      <c r="AG7" s="51" t="s">
        <v>231</v>
      </c>
      <c r="AH7" s="53" t="e">
        <f>_xlfn.XLOOKUP(AG7,Tab_Def_Flows[Name(EN)],Tab_Def_Flows[Flow_ID],,0,)</f>
        <v>#N/A</v>
      </c>
    </row>
    <row r="8" spans="1:34" x14ac:dyDescent="0.35">
      <c r="A8" s="97" t="b">
        <v>1</v>
      </c>
      <c r="B8" s="117" t="s">
        <v>436</v>
      </c>
      <c r="C8" s="49" t="str">
        <f t="shared" si="0"/>
        <v>06_EoL_BB</v>
      </c>
      <c r="D8" s="51" t="s">
        <v>443</v>
      </c>
      <c r="E8" s="92"/>
      <c r="F8" s="51" t="s">
        <v>353</v>
      </c>
      <c r="G8" s="51" t="s">
        <v>350</v>
      </c>
      <c r="H8" s="51"/>
      <c r="I8" s="92"/>
      <c r="J8" s="95" t="s">
        <v>390</v>
      </c>
      <c r="K8" s="51" t="s">
        <v>71</v>
      </c>
      <c r="L8" s="99" t="s">
        <v>68</v>
      </c>
      <c r="M8" s="51" t="s">
        <v>340</v>
      </c>
      <c r="N8" s="49" t="str">
        <f>_xlfn.XLOOKUP(M8,Tab_Def_Flows[Name(EN)],Tab_Def_Flows[Flow_ID],,0,)</f>
        <v>F_02_06</v>
      </c>
      <c r="O8" s="51" t="s">
        <v>231</v>
      </c>
      <c r="P8" s="49" t="e">
        <f>_xlfn.XLOOKUP(O8,Tab_Def_Flows[Name(EN)],Tab_Def_Flows[Flow_ID],,0,)</f>
        <v>#N/A</v>
      </c>
      <c r="Q8" s="51" t="s">
        <v>231</v>
      </c>
      <c r="R8" s="49" t="e">
        <f>_xlfn.XLOOKUP(Q8,Tab_Def_Flows[Name(EN)],Tab_Def_Flows[Flow_ID],,0,)</f>
        <v>#N/A</v>
      </c>
      <c r="S8" s="51" t="s">
        <v>231</v>
      </c>
      <c r="T8" s="49" t="e">
        <f>_xlfn.XLOOKUP(S8,Tab_Def_Flows[Name(EN)],Tab_Def_Flows[Flow_ID],,0,)</f>
        <v>#N/A</v>
      </c>
      <c r="U8" s="51" t="s">
        <v>231</v>
      </c>
      <c r="V8" s="61" t="e">
        <f>_xlfn.XLOOKUP(U8,Tab_Def_Flows[Name(EN)],Tab_Def_Flows[Flow_ID],,0,)</f>
        <v>#N/A</v>
      </c>
      <c r="W8" s="51" t="s">
        <v>231</v>
      </c>
      <c r="X8" s="49" t="e">
        <f>_xlfn.XLOOKUP(W8,Tab_Def_Flows[Name(EN)],Tab_Def_Flows[Flow_ID],,0,)</f>
        <v>#N/A</v>
      </c>
      <c r="Y8" s="51" t="s">
        <v>231</v>
      </c>
      <c r="Z8" s="49" t="e">
        <f>_xlfn.XLOOKUP(Y8,Tab_Def_Flows[Name(EN)],Tab_Def_Flows[Flow_ID],,0,)</f>
        <v>#N/A</v>
      </c>
      <c r="AA8" s="51" t="s">
        <v>231</v>
      </c>
      <c r="AB8" s="49" t="e">
        <f>_xlfn.XLOOKUP(AA8,Tab_Def_Flows[Name(EN)],Tab_Def_Flows[Flow_ID],,0,)</f>
        <v>#N/A</v>
      </c>
      <c r="AC8" s="51" t="s">
        <v>231</v>
      </c>
      <c r="AD8" s="49" t="e">
        <f>_xlfn.XLOOKUP(AC8,Tab_Def_Flows[Name(EN)],Tab_Def_Flows[Flow_ID],,0,)</f>
        <v>#N/A</v>
      </c>
      <c r="AE8" s="51" t="s">
        <v>231</v>
      </c>
      <c r="AF8" s="49" t="e">
        <f>_xlfn.XLOOKUP(AE8,Tab_Def_Flows[Name(EN)],Tab_Def_Flows[Flow_ID],,0,)</f>
        <v>#N/A</v>
      </c>
      <c r="AG8" s="51" t="s">
        <v>231</v>
      </c>
      <c r="AH8" s="53" t="e">
        <f>_xlfn.XLOOKUP(AG8,Tab_Def_Flows[Name(EN)],Tab_Def_Flows[Flow_ID],,0,)</f>
        <v>#N/A</v>
      </c>
    </row>
    <row r="9" spans="1:34" x14ac:dyDescent="0.35">
      <c r="A9" s="97" t="b">
        <v>1</v>
      </c>
      <c r="B9" s="117" t="s">
        <v>437</v>
      </c>
      <c r="C9" s="49" t="str">
        <f t="shared" si="0"/>
        <v>07_EoL_BB</v>
      </c>
      <c r="D9" s="51" t="s">
        <v>363</v>
      </c>
      <c r="E9" s="92"/>
      <c r="F9" s="51" t="s">
        <v>353</v>
      </c>
      <c r="G9" s="51" t="s">
        <v>350</v>
      </c>
      <c r="H9" s="51"/>
      <c r="I9" s="92"/>
      <c r="J9" s="95" t="s">
        <v>387</v>
      </c>
      <c r="K9" s="51" t="s">
        <v>68</v>
      </c>
      <c r="L9" s="99" t="s">
        <v>71</v>
      </c>
      <c r="M9" s="51" t="s">
        <v>394</v>
      </c>
      <c r="N9" s="49" t="str">
        <f>_xlfn.XLOOKUP(M9,Tab_Def_Flows[Name(EN)],Tab_Def_Flows[Flow_ID],,0,)</f>
        <v>F_03_07</v>
      </c>
      <c r="O9" s="51" t="s">
        <v>231</v>
      </c>
      <c r="P9" s="49" t="e">
        <f>_xlfn.XLOOKUP(O9,Tab_Def_Flows[Name(EN)],Tab_Def_Flows[Flow_ID],,0,)</f>
        <v>#N/A</v>
      </c>
      <c r="Q9" s="51" t="s">
        <v>231</v>
      </c>
      <c r="R9" s="49" t="e">
        <f>_xlfn.XLOOKUP(Q9,Tab_Def_Flows[Name(EN)],Tab_Def_Flows[Flow_ID],,0,)</f>
        <v>#N/A</v>
      </c>
      <c r="S9" s="51" t="s">
        <v>231</v>
      </c>
      <c r="T9" s="49" t="e">
        <f>_xlfn.XLOOKUP(S9,Tab_Def_Flows[Name(EN)],Tab_Def_Flows[Flow_ID],,0,)</f>
        <v>#N/A</v>
      </c>
      <c r="U9" s="51" t="s">
        <v>231</v>
      </c>
      <c r="V9" s="61" t="e">
        <f>_xlfn.XLOOKUP(U9,Tab_Def_Flows[Name(EN)],Tab_Def_Flows[Flow_ID],,0,)</f>
        <v>#N/A</v>
      </c>
      <c r="W9" s="51" t="s">
        <v>396</v>
      </c>
      <c r="X9" s="49" t="str">
        <f>_xlfn.XLOOKUP(W9,Tab_Def_Flows[Name(EN)],Tab_Def_Flows[Flow_ID],,0,)</f>
        <v>F_07_09</v>
      </c>
      <c r="Y9" s="51" t="s">
        <v>397</v>
      </c>
      <c r="Z9" s="49" t="str">
        <f>_xlfn.XLOOKUP(Y9,Tab_Def_Flows[Name(EN)],Tab_Def_Flows[Flow_ID],,0,)</f>
        <v>F_07_10</v>
      </c>
      <c r="AA9" s="51" t="s">
        <v>231</v>
      </c>
      <c r="AB9" s="49" t="e">
        <f>_xlfn.XLOOKUP(AA9,Tab_Def_Flows[Name(EN)],Tab_Def_Flows[Flow_ID],,0,)</f>
        <v>#N/A</v>
      </c>
      <c r="AC9" s="51" t="s">
        <v>231</v>
      </c>
      <c r="AD9" s="49" t="e">
        <f>_xlfn.XLOOKUP(AC9,Tab_Def_Flows[Name(EN)],Tab_Def_Flows[Flow_ID],,0,)</f>
        <v>#N/A</v>
      </c>
      <c r="AE9" s="51" t="s">
        <v>231</v>
      </c>
      <c r="AF9" s="49" t="e">
        <f>_xlfn.XLOOKUP(AE9,Tab_Def_Flows[Name(EN)],Tab_Def_Flows[Flow_ID],,0,)</f>
        <v>#N/A</v>
      </c>
      <c r="AG9" s="51" t="s">
        <v>231</v>
      </c>
      <c r="AH9" s="53" t="e">
        <f>_xlfn.XLOOKUP(AG9,Tab_Def_Flows[Name(EN)],Tab_Def_Flows[Flow_ID],,0,)</f>
        <v>#N/A</v>
      </c>
    </row>
    <row r="10" spans="1:34" x14ac:dyDescent="0.35">
      <c r="A10" s="97" t="b">
        <v>1</v>
      </c>
      <c r="B10" s="117" t="s">
        <v>438</v>
      </c>
      <c r="C10" s="49" t="str">
        <f t="shared" si="0"/>
        <v>08_Wat_BB</v>
      </c>
      <c r="D10" s="51" t="s">
        <v>444</v>
      </c>
      <c r="E10" s="92"/>
      <c r="F10" s="51" t="s">
        <v>353</v>
      </c>
      <c r="G10" s="51" t="s">
        <v>350</v>
      </c>
      <c r="H10" s="51"/>
      <c r="I10" s="92"/>
      <c r="J10" s="95" t="s">
        <v>387</v>
      </c>
      <c r="K10" s="51" t="s">
        <v>71</v>
      </c>
      <c r="L10" s="99" t="s">
        <v>71</v>
      </c>
      <c r="M10" s="51" t="s">
        <v>430</v>
      </c>
      <c r="N10" s="49" t="str">
        <f>_xlfn.XLOOKUP(M10,Tab_Def_Flows[Name(EN)],Tab_Def_Flows[Flow_ID],,0,)</f>
        <v>F_00_08</v>
      </c>
      <c r="O10" s="51" t="s">
        <v>231</v>
      </c>
      <c r="P10" s="49" t="e">
        <f>_xlfn.XLOOKUP(O10,Tab_Def_Flows[Name(EN)],Tab_Def_Flows[Flow_ID],,0,)</f>
        <v>#N/A</v>
      </c>
      <c r="Q10" s="51" t="s">
        <v>231</v>
      </c>
      <c r="R10" s="49" t="e">
        <f>_xlfn.XLOOKUP(Q10,Tab_Def_Flows[Name(EN)],Tab_Def_Flows[Flow_ID],,0,)</f>
        <v>#N/A</v>
      </c>
      <c r="S10" s="51" t="s">
        <v>231</v>
      </c>
      <c r="T10" s="49" t="e">
        <f>_xlfn.XLOOKUP(S10,Tab_Def_Flows[Name(EN)],Tab_Def_Flows[Flow_ID],,0,)</f>
        <v>#N/A</v>
      </c>
      <c r="U10" s="51" t="s">
        <v>231</v>
      </c>
      <c r="V10" s="61" t="e">
        <f>_xlfn.XLOOKUP(U10,Tab_Def_Flows[Name(EN)],Tab_Def_Flows[Flow_ID],,0,)</f>
        <v>#N/A</v>
      </c>
      <c r="W10" s="51" t="s">
        <v>343</v>
      </c>
      <c r="X10" s="49" t="str">
        <f>_xlfn.XLOOKUP(W10,Tab_Def_Flows[Name(EN)],Tab_Def_Flows[Flow_ID],,0,)</f>
        <v>F_08_02</v>
      </c>
      <c r="Y10" s="51" t="s">
        <v>231</v>
      </c>
      <c r="Z10" s="49" t="e">
        <f>_xlfn.XLOOKUP(Y10,Tab_Def_Flows[Name(EN)],Tab_Def_Flows[Flow_ID],,0,)</f>
        <v>#N/A</v>
      </c>
      <c r="AA10" s="51" t="s">
        <v>231</v>
      </c>
      <c r="AB10" s="49" t="e">
        <f>_xlfn.XLOOKUP(AA10,Tab_Def_Flows[Name(EN)],Tab_Def_Flows[Flow_ID],,0,)</f>
        <v>#N/A</v>
      </c>
      <c r="AC10" s="51" t="s">
        <v>231</v>
      </c>
      <c r="AD10" s="49" t="e">
        <f>_xlfn.XLOOKUP(AC10,Tab_Def_Flows[Name(EN)],Tab_Def_Flows[Flow_ID],,0,)</f>
        <v>#N/A</v>
      </c>
      <c r="AE10" s="51" t="s">
        <v>231</v>
      </c>
      <c r="AF10" s="49" t="e">
        <f>_xlfn.XLOOKUP(AE10,Tab_Def_Flows[Name(EN)],Tab_Def_Flows[Flow_ID],,0,)</f>
        <v>#N/A</v>
      </c>
      <c r="AG10" s="51" t="s">
        <v>231</v>
      </c>
      <c r="AH10" s="53" t="e">
        <f>_xlfn.XLOOKUP(AG10,Tab_Def_Flows[Name(EN)],Tab_Def_Flows[Flow_ID],,0,)</f>
        <v>#N/A</v>
      </c>
    </row>
    <row r="11" spans="1:34" x14ac:dyDescent="0.35">
      <c r="A11" s="97" t="b">
        <v>1</v>
      </c>
      <c r="B11" s="117" t="s">
        <v>439</v>
      </c>
      <c r="C11" s="49" t="str">
        <f t="shared" si="0"/>
        <v>09_Bio_BB</v>
      </c>
      <c r="D11" s="51" t="s">
        <v>364</v>
      </c>
      <c r="E11" s="92"/>
      <c r="F11" s="51" t="s">
        <v>353</v>
      </c>
      <c r="G11" s="51" t="s">
        <v>350</v>
      </c>
      <c r="H11" s="51"/>
      <c r="I11" s="92"/>
      <c r="J11" s="95" t="s">
        <v>387</v>
      </c>
      <c r="K11" s="51" t="s">
        <v>68</v>
      </c>
      <c r="L11" s="99" t="s">
        <v>71</v>
      </c>
      <c r="M11" s="51" t="s">
        <v>396</v>
      </c>
      <c r="N11" s="49" t="str">
        <f>_xlfn.XLOOKUP(M11,Tab_Def_Flows[Name(EN)],Tab_Def_Flows[Flow_ID],,0,)</f>
        <v>F_07_09</v>
      </c>
      <c r="O11" s="51" t="s">
        <v>231</v>
      </c>
      <c r="P11" s="49" t="e">
        <f>_xlfn.XLOOKUP(O11,Tab_Def_Flows[Name(EN)],Tab_Def_Flows[Flow_ID],,0,)</f>
        <v>#N/A</v>
      </c>
      <c r="Q11" s="51" t="s">
        <v>231</v>
      </c>
      <c r="R11" s="49" t="e">
        <f>_xlfn.XLOOKUP(Q11,Tab_Def_Flows[Name(EN)],Tab_Def_Flows[Flow_ID],,0,)</f>
        <v>#N/A</v>
      </c>
      <c r="S11" s="51" t="s">
        <v>231</v>
      </c>
      <c r="T11" s="49" t="e">
        <f>_xlfn.XLOOKUP(S11,Tab_Def_Flows[Name(EN)],Tab_Def_Flows[Flow_ID],,0,)</f>
        <v>#N/A</v>
      </c>
      <c r="U11" s="51" t="s">
        <v>231</v>
      </c>
      <c r="V11" s="61" t="e">
        <f>_xlfn.XLOOKUP(U11,Tab_Def_Flows[Name(EN)],Tab_Def_Flows[Flow_ID],,0,)</f>
        <v>#N/A</v>
      </c>
      <c r="W11" s="51" t="s">
        <v>399</v>
      </c>
      <c r="X11" s="49" t="str">
        <f>_xlfn.XLOOKUP(W11,Tab_Def_Flows[Name(EN)],Tab_Def_Flows[Flow_ID],,0,)</f>
        <v>F_09_17</v>
      </c>
      <c r="Y11" s="51" t="s">
        <v>503</v>
      </c>
      <c r="Z11" s="49" t="str">
        <f>_xlfn.XLOOKUP(Y11,Tab_Def_Flows[Name(EN)],Tab_Def_Flows[Flow_ID],,0,)</f>
        <v>F_09_19</v>
      </c>
      <c r="AA11" s="51" t="s">
        <v>231</v>
      </c>
      <c r="AB11" s="49" t="e">
        <f>_xlfn.XLOOKUP(AA11,Tab_Def_Flows[Name(EN)],Tab_Def_Flows[Flow_ID],,0,)</f>
        <v>#N/A</v>
      </c>
      <c r="AC11" s="51" t="s">
        <v>231</v>
      </c>
      <c r="AD11" s="49" t="e">
        <f>_xlfn.XLOOKUP(AC11,Tab_Def_Flows[Name(EN)],Tab_Def_Flows[Flow_ID],,0,)</f>
        <v>#N/A</v>
      </c>
      <c r="AE11" s="51" t="s">
        <v>231</v>
      </c>
      <c r="AF11" s="49" t="e">
        <f>_xlfn.XLOOKUP(AE11,Tab_Def_Flows[Name(EN)],Tab_Def_Flows[Flow_ID],,0,)</f>
        <v>#N/A</v>
      </c>
      <c r="AG11" s="51" t="s">
        <v>231</v>
      </c>
      <c r="AH11" s="53" t="e">
        <f>_xlfn.XLOOKUP(AG11,Tab_Def_Flows[Name(EN)],Tab_Def_Flows[Flow_ID],,0,)</f>
        <v>#N/A</v>
      </c>
    </row>
    <row r="12" spans="1:34" x14ac:dyDescent="0.35">
      <c r="A12" s="97" t="b">
        <v>1</v>
      </c>
      <c r="B12" s="117" t="s">
        <v>456</v>
      </c>
      <c r="C12" s="49" t="str">
        <f t="shared" si="0"/>
        <v>10_Bio_BB</v>
      </c>
      <c r="D12" s="51" t="s">
        <v>365</v>
      </c>
      <c r="E12" s="92"/>
      <c r="F12" s="51" t="s">
        <v>353</v>
      </c>
      <c r="G12" s="51" t="s">
        <v>350</v>
      </c>
      <c r="H12" s="51"/>
      <c r="I12" s="92"/>
      <c r="J12" s="95" t="s">
        <v>387</v>
      </c>
      <c r="K12" s="51" t="s">
        <v>68</v>
      </c>
      <c r="L12" s="99" t="s">
        <v>71</v>
      </c>
      <c r="M12" s="51" t="s">
        <v>397</v>
      </c>
      <c r="N12" s="49" t="str">
        <f>_xlfn.XLOOKUP(M12,Tab_Def_Flows[Name(EN)],Tab_Def_Flows[Flow_ID],,0,)</f>
        <v>F_07_10</v>
      </c>
      <c r="O12" s="51" t="s">
        <v>231</v>
      </c>
      <c r="P12" s="49" t="e">
        <f>_xlfn.XLOOKUP(O12,Tab_Def_Flows[Name(EN)],Tab_Def_Flows[Flow_ID],,0,)</f>
        <v>#N/A</v>
      </c>
      <c r="Q12" s="51" t="s">
        <v>231</v>
      </c>
      <c r="R12" s="49" t="e">
        <f>_xlfn.XLOOKUP(Q12,Tab_Def_Flows[Name(EN)],Tab_Def_Flows[Flow_ID],,0,)</f>
        <v>#N/A</v>
      </c>
      <c r="S12" s="51" t="s">
        <v>231</v>
      </c>
      <c r="T12" s="49" t="e">
        <f>_xlfn.XLOOKUP(S12,Tab_Def_Flows[Name(EN)],Tab_Def_Flows[Flow_ID],,0,)</f>
        <v>#N/A</v>
      </c>
      <c r="U12" s="51" t="s">
        <v>231</v>
      </c>
      <c r="V12" s="61" t="e">
        <f>_xlfn.XLOOKUP(U12,Tab_Def_Flows[Name(EN)],Tab_Def_Flows[Flow_ID],,0,)</f>
        <v>#N/A</v>
      </c>
      <c r="W12" s="51" t="s">
        <v>189</v>
      </c>
      <c r="X12" s="49" t="str">
        <f>_xlfn.XLOOKUP(W12,Tab_Def_Flows[Name(EN)],Tab_Def_Flows[Flow_ID],,0,)</f>
        <v>F_10_18</v>
      </c>
      <c r="Y12" s="51" t="s">
        <v>417</v>
      </c>
      <c r="Z12" s="49" t="str">
        <f>_xlfn.XLOOKUP(Y12,Tab_Def_Flows[Name(EN)],Tab_Def_Flows[Flow_ID],,0,)</f>
        <v>F_10_19</v>
      </c>
      <c r="AA12" s="51" t="s">
        <v>231</v>
      </c>
      <c r="AB12" s="49" t="e">
        <f>_xlfn.XLOOKUP(AA12,Tab_Def_Flows[Name(EN)],Tab_Def_Flows[Flow_ID],,0,)</f>
        <v>#N/A</v>
      </c>
      <c r="AC12" s="51" t="s">
        <v>231</v>
      </c>
      <c r="AD12" s="49" t="e">
        <f>_xlfn.XLOOKUP(AC12,Tab_Def_Flows[Name(EN)],Tab_Def_Flows[Flow_ID],,0,)</f>
        <v>#N/A</v>
      </c>
      <c r="AE12" s="51" t="s">
        <v>231</v>
      </c>
      <c r="AF12" s="49" t="e">
        <f>_xlfn.XLOOKUP(AE12,Tab_Def_Flows[Name(EN)],Tab_Def_Flows[Flow_ID],,0,)</f>
        <v>#N/A</v>
      </c>
      <c r="AG12" s="51" t="s">
        <v>231</v>
      </c>
      <c r="AH12" s="53" t="e">
        <f>_xlfn.XLOOKUP(AG12,Tab_Def_Flows[Name(EN)],Tab_Def_Flows[Flow_ID],,0,)</f>
        <v>#N/A</v>
      </c>
    </row>
    <row r="13" spans="1:34" x14ac:dyDescent="0.35">
      <c r="A13" s="97" t="b">
        <v>1</v>
      </c>
      <c r="B13" s="117" t="s">
        <v>457</v>
      </c>
      <c r="C13" s="49" t="str">
        <f t="shared" si="0"/>
        <v>11_Mil_BB</v>
      </c>
      <c r="D13" s="51" t="s">
        <v>445</v>
      </c>
      <c r="E13" s="92"/>
      <c r="F13" s="51" t="s">
        <v>353</v>
      </c>
      <c r="G13" s="51" t="s">
        <v>350</v>
      </c>
      <c r="H13" s="51"/>
      <c r="I13" s="92"/>
      <c r="J13" s="95" t="s">
        <v>387</v>
      </c>
      <c r="K13" s="51" t="s">
        <v>71</v>
      </c>
      <c r="L13" s="99" t="s">
        <v>71</v>
      </c>
      <c r="M13" s="51" t="s">
        <v>429</v>
      </c>
      <c r="N13" s="49" t="str">
        <f>_xlfn.XLOOKUP(M13,Tab_Def_Flows[Name(EN)],Tab_Def_Flows[Flow_ID],,0,)</f>
        <v>F_00_11</v>
      </c>
      <c r="O13" s="51" t="s">
        <v>231</v>
      </c>
      <c r="P13" s="49" t="e">
        <f>_xlfn.XLOOKUP(O13,Tab_Def_Flows[Name(EN)],Tab_Def_Flows[Flow_ID],,0,)</f>
        <v>#N/A</v>
      </c>
      <c r="Q13" s="51" t="s">
        <v>231</v>
      </c>
      <c r="R13" s="49" t="e">
        <f>_xlfn.XLOOKUP(Q13,Tab_Def_Flows[Name(EN)],Tab_Def_Flows[Flow_ID],,0,)</f>
        <v>#N/A</v>
      </c>
      <c r="S13" s="51" t="s">
        <v>231</v>
      </c>
      <c r="T13" s="49" t="e">
        <f>_xlfn.XLOOKUP(S13,Tab_Def_Flows[Name(EN)],Tab_Def_Flows[Flow_ID],,0,)</f>
        <v>#N/A</v>
      </c>
      <c r="U13" s="51" t="s">
        <v>231</v>
      </c>
      <c r="V13" s="61" t="e">
        <f>_xlfn.XLOOKUP(U13,Tab_Def_Flows[Name(EN)],Tab_Def_Flows[Flow_ID],,0,)</f>
        <v>#N/A</v>
      </c>
      <c r="W13" s="51" t="s">
        <v>341</v>
      </c>
      <c r="X13" s="49" t="str">
        <f>_xlfn.XLOOKUP(W13,Tab_Def_Flows[Name(EN)],Tab_Def_Flows[Flow_ID],,0,)</f>
        <v>F_11_02</v>
      </c>
      <c r="Y13" s="51" t="s">
        <v>231</v>
      </c>
      <c r="Z13" s="49" t="e">
        <f>_xlfn.XLOOKUP(Y13,Tab_Def_Flows[Name(EN)],Tab_Def_Flows[Flow_ID],,0,)</f>
        <v>#N/A</v>
      </c>
      <c r="AA13" s="51" t="s">
        <v>231</v>
      </c>
      <c r="AB13" s="49" t="e">
        <f>_xlfn.XLOOKUP(AA13,Tab_Def_Flows[Name(EN)],Tab_Def_Flows[Flow_ID],,0,)</f>
        <v>#N/A</v>
      </c>
      <c r="AC13" s="51" t="s">
        <v>231</v>
      </c>
      <c r="AD13" s="49" t="e">
        <f>_xlfn.XLOOKUP(AC13,Tab_Def_Flows[Name(EN)],Tab_Def_Flows[Flow_ID],,0,)</f>
        <v>#N/A</v>
      </c>
      <c r="AE13" s="51" t="s">
        <v>231</v>
      </c>
      <c r="AF13" s="49" t="e">
        <f>_xlfn.XLOOKUP(AE13,Tab_Def_Flows[Name(EN)],Tab_Def_Flows[Flow_ID],,0,)</f>
        <v>#N/A</v>
      </c>
      <c r="AG13" s="51" t="s">
        <v>231</v>
      </c>
      <c r="AH13" s="53" t="e">
        <f>_xlfn.XLOOKUP(AG13,Tab_Def_Flows[Name(EN)],Tab_Def_Flows[Flow_ID],,0,)</f>
        <v>#N/A</v>
      </c>
    </row>
    <row r="14" spans="1:34" x14ac:dyDescent="0.35">
      <c r="A14" s="97" t="b">
        <v>1</v>
      </c>
      <c r="B14" s="117" t="s">
        <v>458</v>
      </c>
      <c r="C14" s="49" t="str">
        <f t="shared" si="0"/>
        <v>12_Del_BB</v>
      </c>
      <c r="D14" s="51" t="s">
        <v>392</v>
      </c>
      <c r="E14" s="92"/>
      <c r="F14" s="51" t="s">
        <v>353</v>
      </c>
      <c r="G14" s="51" t="s">
        <v>350</v>
      </c>
      <c r="H14" s="51"/>
      <c r="I14" s="92"/>
      <c r="J14" s="95" t="s">
        <v>390</v>
      </c>
      <c r="K14" s="51" t="s">
        <v>71</v>
      </c>
      <c r="L14" s="99" t="s">
        <v>68</v>
      </c>
      <c r="M14" s="51" t="s">
        <v>367</v>
      </c>
      <c r="N14" s="49" t="str">
        <f>_xlfn.XLOOKUP(M14,Tab_Def_Flows[Name(EN)],Tab_Def_Flows[Flow_ID],,0,)</f>
        <v>F_02_12</v>
      </c>
      <c r="O14" s="51" t="s">
        <v>231</v>
      </c>
      <c r="P14" s="49" t="e">
        <f>_xlfn.XLOOKUP(O14,Tab_Def_Flows[Name(EN)],Tab_Def_Flows[Flow_ID],,0,)</f>
        <v>#N/A</v>
      </c>
      <c r="Q14" s="51" t="s">
        <v>231</v>
      </c>
      <c r="R14" s="49" t="e">
        <f>_xlfn.XLOOKUP(Q14,Tab_Def_Flows[Name(EN)],Tab_Def_Flows[Flow_ID],,0,)</f>
        <v>#N/A</v>
      </c>
      <c r="S14" s="51" t="s">
        <v>231</v>
      </c>
      <c r="T14" s="49" t="e">
        <f>_xlfn.XLOOKUP(S14,Tab_Def_Flows[Name(EN)],Tab_Def_Flows[Flow_ID],,0,)</f>
        <v>#N/A</v>
      </c>
      <c r="U14" s="51" t="s">
        <v>231</v>
      </c>
      <c r="V14" s="61" t="e">
        <f>_xlfn.XLOOKUP(U14,Tab_Def_Flows[Name(EN)],Tab_Def_Flows[Flow_ID],,0,)</f>
        <v>#N/A</v>
      </c>
      <c r="W14" s="51" t="s">
        <v>231</v>
      </c>
      <c r="X14" s="49" t="e">
        <f>_xlfn.XLOOKUP(W14,Tab_Def_Flows[Name(EN)],Tab_Def_Flows[Flow_ID],,0,)</f>
        <v>#N/A</v>
      </c>
      <c r="Y14" s="51" t="s">
        <v>231</v>
      </c>
      <c r="Z14" s="49" t="e">
        <f>_xlfn.XLOOKUP(Y14,Tab_Def_Flows[Name(EN)],Tab_Def_Flows[Flow_ID],,0,)</f>
        <v>#N/A</v>
      </c>
      <c r="AA14" s="51" t="s">
        <v>231</v>
      </c>
      <c r="AB14" s="49" t="e">
        <f>_xlfn.XLOOKUP(AA14,Tab_Def_Flows[Name(EN)],Tab_Def_Flows[Flow_ID],,0,)</f>
        <v>#N/A</v>
      </c>
      <c r="AC14" s="51" t="s">
        <v>231</v>
      </c>
      <c r="AD14" s="49" t="e">
        <f>_xlfn.XLOOKUP(AC14,Tab_Def_Flows[Name(EN)],Tab_Def_Flows[Flow_ID],,0,)</f>
        <v>#N/A</v>
      </c>
      <c r="AE14" s="51" t="s">
        <v>231</v>
      </c>
      <c r="AF14" s="49" t="e">
        <f>_xlfn.XLOOKUP(AE14,Tab_Def_Flows[Name(EN)],Tab_Def_Flows[Flow_ID],,0,)</f>
        <v>#N/A</v>
      </c>
      <c r="AG14" s="51" t="s">
        <v>231</v>
      </c>
      <c r="AH14" s="53" t="e">
        <f>_xlfn.XLOOKUP(AG14,Tab_Def_Flows[Name(EN)],Tab_Def_Flows[Flow_ID],,0,)</f>
        <v>#N/A</v>
      </c>
    </row>
    <row r="15" spans="1:34" x14ac:dyDescent="0.35">
      <c r="A15" s="97" t="b">
        <v>1</v>
      </c>
      <c r="B15" s="117" t="s">
        <v>459</v>
      </c>
      <c r="C15" s="49" t="str">
        <f t="shared" si="0"/>
        <v>13_Rye_BB</v>
      </c>
      <c r="D15" s="51" t="s">
        <v>391</v>
      </c>
      <c r="E15" s="92"/>
      <c r="F15" s="51" t="s">
        <v>353</v>
      </c>
      <c r="G15" s="51" t="s">
        <v>350</v>
      </c>
      <c r="H15" s="51"/>
      <c r="I15" s="92"/>
      <c r="J15" s="95" t="s">
        <v>387</v>
      </c>
      <c r="K15" s="51" t="s">
        <v>71</v>
      </c>
      <c r="L15" s="99" t="s">
        <v>71</v>
      </c>
      <c r="M15" s="51" t="s">
        <v>427</v>
      </c>
      <c r="N15" s="49" t="str">
        <f>_xlfn.XLOOKUP(M15,Tab_Def_Flows[Name(EN)],Tab_Def_Flows[Flow_ID],,0,)</f>
        <v>F_00_13</v>
      </c>
      <c r="O15" s="51" t="s">
        <v>231</v>
      </c>
      <c r="P15" s="49" t="e">
        <f>_xlfn.XLOOKUP(O15,Tab_Def_Flows[Name(EN)],Tab_Def_Flows[Flow_ID],,0,)</f>
        <v>#N/A</v>
      </c>
      <c r="Q15" s="51" t="s">
        <v>231</v>
      </c>
      <c r="R15" s="49" t="e">
        <f>_xlfn.XLOOKUP(Q15,Tab_Def_Flows[Name(EN)],Tab_Def_Flows[Flow_ID],,0,)</f>
        <v>#N/A</v>
      </c>
      <c r="S15" s="51" t="s">
        <v>231</v>
      </c>
      <c r="T15" s="49" t="e">
        <f>_xlfn.XLOOKUP(S15,Tab_Def_Flows[Name(EN)],Tab_Def_Flows[Flow_ID],,0,)</f>
        <v>#N/A</v>
      </c>
      <c r="U15" s="51" t="s">
        <v>231</v>
      </c>
      <c r="V15" s="66" t="e">
        <f>_xlfn.XLOOKUP(U15,Tab_Def_Flows[Name(EN)],Tab_Def_Flows[Flow_ID],,0,)</f>
        <v>#N/A</v>
      </c>
      <c r="W15" s="51" t="s">
        <v>450</v>
      </c>
      <c r="X15" s="49" t="str">
        <f>_xlfn.XLOOKUP(W15,Tab_Def_Flows[Name(EN)],Tab_Def_Flows[Flow_ID],,0,)</f>
        <v>F_13_20</v>
      </c>
      <c r="Y15" s="51" t="s">
        <v>231</v>
      </c>
      <c r="Z15" s="49" t="e">
        <f>_xlfn.XLOOKUP(Y15,Tab_Def_Flows[Name(EN)],Tab_Def_Flows[Flow_ID],,0,)</f>
        <v>#N/A</v>
      </c>
      <c r="AA15" s="51" t="s">
        <v>231</v>
      </c>
      <c r="AB15" s="49" t="e">
        <f>_xlfn.XLOOKUP(AA15,Tab_Def_Flows[Name(EN)],Tab_Def_Flows[Flow_ID],,0,)</f>
        <v>#N/A</v>
      </c>
      <c r="AC15" s="51" t="s">
        <v>231</v>
      </c>
      <c r="AD15" s="49" t="e">
        <f>_xlfn.XLOOKUP(AC15,Tab_Def_Flows[Name(EN)],Tab_Def_Flows[Flow_ID],,0,)</f>
        <v>#N/A</v>
      </c>
      <c r="AE15" s="51" t="s">
        <v>231</v>
      </c>
      <c r="AF15" s="49" t="e">
        <f>_xlfn.XLOOKUP(AE15,Tab_Def_Flows[Name(EN)],Tab_Def_Flows[Flow_ID],,0,)</f>
        <v>#N/A</v>
      </c>
      <c r="AG15" s="51" t="s">
        <v>231</v>
      </c>
      <c r="AH15" s="53" t="e">
        <f>_xlfn.XLOOKUP(AG15,Tab_Def_Flows[Name(EN)],Tab_Def_Flows[Flow_ID],,0,)</f>
        <v>#N/A</v>
      </c>
    </row>
    <row r="16" spans="1:34" x14ac:dyDescent="0.35">
      <c r="A16" s="97" t="b">
        <v>1</v>
      </c>
      <c r="B16" s="117" t="s">
        <v>460</v>
      </c>
      <c r="C16" s="49" t="str">
        <f t="shared" si="0"/>
        <v>14_Wat_BB</v>
      </c>
      <c r="D16" s="51" t="s">
        <v>446</v>
      </c>
      <c r="E16" s="92"/>
      <c r="F16" s="51" t="s">
        <v>353</v>
      </c>
      <c r="G16" s="51" t="s">
        <v>350</v>
      </c>
      <c r="H16" s="51"/>
      <c r="I16" s="92"/>
      <c r="J16" s="95" t="s">
        <v>390</v>
      </c>
      <c r="K16" s="51" t="s">
        <v>71</v>
      </c>
      <c r="L16" s="99" t="s">
        <v>68</v>
      </c>
      <c r="M16" s="51" t="s">
        <v>344</v>
      </c>
      <c r="N16" s="52" t="str">
        <f>_xlfn.XLOOKUP(M16,Tab_Def_Flows[Name(EN)],Tab_Def_Flows[Flow_ID],,0,)</f>
        <v>F_02_14</v>
      </c>
      <c r="O16" s="51" t="s">
        <v>231</v>
      </c>
      <c r="P16" s="52" t="e">
        <f>_xlfn.XLOOKUP(O16,Tab_Def_Flows[Name(EN)],Tab_Def_Flows[Flow_ID],,0,)</f>
        <v>#N/A</v>
      </c>
      <c r="Q16" s="51" t="s">
        <v>231</v>
      </c>
      <c r="R16" s="52" t="e">
        <f>_xlfn.XLOOKUP(Q16,Tab_Def_Flows[Name(EN)],Tab_Def_Flows[Flow_ID],,0,)</f>
        <v>#N/A</v>
      </c>
      <c r="S16" s="51" t="s">
        <v>231</v>
      </c>
      <c r="T16" s="52" t="e">
        <f>_xlfn.XLOOKUP(S16,Tab_Def_Flows[Name(EN)],Tab_Def_Flows[Flow_ID],,0,)</f>
        <v>#N/A</v>
      </c>
      <c r="U16" s="51" t="s">
        <v>231</v>
      </c>
      <c r="V16" s="53" t="e">
        <f>_xlfn.XLOOKUP(U16,Tab_Def_Flows[Name(EN)],Tab_Def_Flows[Flow_ID],,0,)</f>
        <v>#N/A</v>
      </c>
      <c r="W16" s="51" t="s">
        <v>231</v>
      </c>
      <c r="X16" s="52" t="e">
        <f>_xlfn.XLOOKUP(W16,Tab_Def_Flows[Name(EN)],Tab_Def_Flows[Flow_ID],,0,)</f>
        <v>#N/A</v>
      </c>
      <c r="Y16" s="51" t="s">
        <v>231</v>
      </c>
      <c r="Z16" s="52" t="e">
        <f>_xlfn.XLOOKUP(Y16,Tab_Def_Flows[Name(EN)],Tab_Def_Flows[Flow_ID],,0,)</f>
        <v>#N/A</v>
      </c>
      <c r="AA16" s="51" t="s">
        <v>231</v>
      </c>
      <c r="AB16" s="52" t="e">
        <f>_xlfn.XLOOKUP(AA16,Tab_Def_Flows[Name(EN)],Tab_Def_Flows[Flow_ID],,0,)</f>
        <v>#N/A</v>
      </c>
      <c r="AC16" s="51" t="s">
        <v>231</v>
      </c>
      <c r="AD16" s="52" t="e">
        <f>_xlfn.XLOOKUP(AC16,Tab_Def_Flows[Name(EN)],Tab_Def_Flows[Flow_ID],,0,)</f>
        <v>#N/A</v>
      </c>
      <c r="AE16" s="51" t="s">
        <v>231</v>
      </c>
      <c r="AF16" s="52" t="e">
        <f>_xlfn.XLOOKUP(AE16,Tab_Def_Flows[Name(EN)],Tab_Def_Flows[Flow_ID],,0,)</f>
        <v>#N/A</v>
      </c>
      <c r="AG16" s="51" t="s">
        <v>231</v>
      </c>
      <c r="AH16" s="53" t="e">
        <f>_xlfn.XLOOKUP(AG16,Tab_Def_Flows[Name(EN)],Tab_Def_Flows[Flow_ID],,0,)</f>
        <v>#N/A</v>
      </c>
    </row>
    <row r="17" spans="1:34" x14ac:dyDescent="0.35">
      <c r="A17" s="97" t="b">
        <v>1</v>
      </c>
      <c r="B17" s="117" t="s">
        <v>461</v>
      </c>
      <c r="C17" s="49" t="str">
        <f t="shared" si="0"/>
        <v>15_Rye_BB</v>
      </c>
      <c r="D17" s="51" t="s">
        <v>447</v>
      </c>
      <c r="E17" s="92"/>
      <c r="F17" s="51" t="s">
        <v>353</v>
      </c>
      <c r="G17" s="51" t="s">
        <v>350</v>
      </c>
      <c r="H17" s="51"/>
      <c r="I17" s="92"/>
      <c r="J17" s="95" t="s">
        <v>390</v>
      </c>
      <c r="K17" s="51" t="s">
        <v>71</v>
      </c>
      <c r="L17" s="99" t="s">
        <v>68</v>
      </c>
      <c r="M17" s="51" t="s">
        <v>334</v>
      </c>
      <c r="N17" s="52" t="str">
        <f>_xlfn.XLOOKUP(M17,Tab_Def_Flows[Name(EN)],Tab_Def_Flows[Flow_ID],,0,)</f>
        <v>F_20_15</v>
      </c>
      <c r="O17" s="51" t="s">
        <v>231</v>
      </c>
      <c r="P17" s="52" t="e">
        <f>_xlfn.XLOOKUP(O17,Tab_Def_Flows[Name(EN)],Tab_Def_Flows[Flow_ID],,0,)</f>
        <v>#N/A</v>
      </c>
      <c r="Q17" s="51" t="s">
        <v>231</v>
      </c>
      <c r="R17" s="52" t="e">
        <f>_xlfn.XLOOKUP(Q17,Tab_Def_Flows[Name(EN)],Tab_Def_Flows[Flow_ID],,0,)</f>
        <v>#N/A</v>
      </c>
      <c r="S17" s="51" t="s">
        <v>231</v>
      </c>
      <c r="T17" s="52" t="e">
        <f>_xlfn.XLOOKUP(S17,Tab_Def_Flows[Name(EN)],Tab_Def_Flows[Flow_ID],,0,)</f>
        <v>#N/A</v>
      </c>
      <c r="U17" s="51" t="s">
        <v>231</v>
      </c>
      <c r="V17" s="53" t="e">
        <f>_xlfn.XLOOKUP(U17,Tab_Def_Flows[Name(EN)],Tab_Def_Flows[Flow_ID],,0,)</f>
        <v>#N/A</v>
      </c>
      <c r="W17" s="51" t="s">
        <v>231</v>
      </c>
      <c r="X17" s="52" t="e">
        <f>_xlfn.XLOOKUP(W17,Tab_Def_Flows[Name(EN)],Tab_Def_Flows[Flow_ID],,0,)</f>
        <v>#N/A</v>
      </c>
      <c r="Y17" s="51" t="s">
        <v>231</v>
      </c>
      <c r="Z17" s="52" t="e">
        <f>_xlfn.XLOOKUP(Y17,Tab_Def_Flows[Name(EN)],Tab_Def_Flows[Flow_ID],,0,)</f>
        <v>#N/A</v>
      </c>
      <c r="AA17" s="51" t="s">
        <v>231</v>
      </c>
      <c r="AB17" s="52" t="e">
        <f>_xlfn.XLOOKUP(AA17,Tab_Def_Flows[Name(EN)],Tab_Def_Flows[Flow_ID],,0,)</f>
        <v>#N/A</v>
      </c>
      <c r="AC17" s="51" t="s">
        <v>231</v>
      </c>
      <c r="AD17" s="52" t="e">
        <f>_xlfn.XLOOKUP(AC17,Tab_Def_Flows[Name(EN)],Tab_Def_Flows[Flow_ID],,0,)</f>
        <v>#N/A</v>
      </c>
      <c r="AE17" s="51" t="s">
        <v>231</v>
      </c>
      <c r="AF17" s="52" t="e">
        <f>_xlfn.XLOOKUP(AE17,Tab_Def_Flows[Name(EN)],Tab_Def_Flows[Flow_ID],,0,)</f>
        <v>#N/A</v>
      </c>
      <c r="AG17" s="51" t="s">
        <v>231</v>
      </c>
      <c r="AH17" s="53" t="e">
        <f>_xlfn.XLOOKUP(AG17,Tab_Def_Flows[Name(EN)],Tab_Def_Flows[Flow_ID],,0,)</f>
        <v>#N/A</v>
      </c>
    </row>
    <row r="18" spans="1:34" x14ac:dyDescent="0.35">
      <c r="A18" s="97" t="b">
        <v>1</v>
      </c>
      <c r="B18" s="117" t="s">
        <v>462</v>
      </c>
      <c r="C18" s="49" t="str">
        <f t="shared" si="0"/>
        <v>16_Not_BB</v>
      </c>
      <c r="D18" s="51" t="s">
        <v>395</v>
      </c>
      <c r="E18" s="92"/>
      <c r="F18" s="51" t="s">
        <v>353</v>
      </c>
      <c r="G18" s="51" t="s">
        <v>350</v>
      </c>
      <c r="H18" s="51"/>
      <c r="I18" s="92"/>
      <c r="J18" s="95" t="s">
        <v>390</v>
      </c>
      <c r="K18" s="51" t="s">
        <v>71</v>
      </c>
      <c r="L18" s="99" t="s">
        <v>68</v>
      </c>
      <c r="M18" s="51" t="s">
        <v>336</v>
      </c>
      <c r="N18" s="52" t="str">
        <f>_xlfn.XLOOKUP(M18,Tab_Def_Flows[Name(EN)],Tab_Def_Flows[Flow_ID],,0,)</f>
        <v>F_20_16</v>
      </c>
      <c r="O18" s="51" t="s">
        <v>231</v>
      </c>
      <c r="P18" s="52" t="e">
        <f>_xlfn.XLOOKUP(O18,Tab_Def_Flows[Name(EN)],Tab_Def_Flows[Flow_ID],,0,)</f>
        <v>#N/A</v>
      </c>
      <c r="Q18" s="51" t="s">
        <v>231</v>
      </c>
      <c r="R18" s="52" t="e">
        <f>_xlfn.XLOOKUP(Q18,Tab_Def_Flows[Name(EN)],Tab_Def_Flows[Flow_ID],,0,)</f>
        <v>#N/A</v>
      </c>
      <c r="S18" s="51" t="s">
        <v>231</v>
      </c>
      <c r="T18" s="52" t="e">
        <f>_xlfn.XLOOKUP(S18,Tab_Def_Flows[Name(EN)],Tab_Def_Flows[Flow_ID],,0,)</f>
        <v>#N/A</v>
      </c>
      <c r="U18" s="51" t="s">
        <v>231</v>
      </c>
      <c r="V18" s="53" t="e">
        <f>_xlfn.XLOOKUP(U18,Tab_Def_Flows[Name(EN)],Tab_Def_Flows[Flow_ID],,0,)</f>
        <v>#N/A</v>
      </c>
      <c r="W18" s="51" t="s">
        <v>231</v>
      </c>
      <c r="X18" s="52" t="e">
        <f>_xlfn.XLOOKUP(W18,Tab_Def_Flows[Name(EN)],Tab_Def_Flows[Flow_ID],,0,)</f>
        <v>#N/A</v>
      </c>
      <c r="Y18" s="51" t="s">
        <v>231</v>
      </c>
      <c r="Z18" s="52" t="e">
        <f>_xlfn.XLOOKUP(Y18,Tab_Def_Flows[Name(EN)],Tab_Def_Flows[Flow_ID],,0,)</f>
        <v>#N/A</v>
      </c>
      <c r="AA18" s="51" t="s">
        <v>231</v>
      </c>
      <c r="AB18" s="52" t="e">
        <f>_xlfn.XLOOKUP(AA18,Tab_Def_Flows[Name(EN)],Tab_Def_Flows[Flow_ID],,0,)</f>
        <v>#N/A</v>
      </c>
      <c r="AC18" s="51" t="s">
        <v>231</v>
      </c>
      <c r="AD18" s="52" t="e">
        <f>_xlfn.XLOOKUP(AC18,Tab_Def_Flows[Name(EN)],Tab_Def_Flows[Flow_ID],,0,)</f>
        <v>#N/A</v>
      </c>
      <c r="AE18" s="51" t="s">
        <v>231</v>
      </c>
      <c r="AF18" s="52" t="e">
        <f>_xlfn.XLOOKUP(AE18,Tab_Def_Flows[Name(EN)],Tab_Def_Flows[Flow_ID],,0,)</f>
        <v>#N/A</v>
      </c>
      <c r="AG18" s="51" t="s">
        <v>231</v>
      </c>
      <c r="AH18" s="53" t="e">
        <f>_xlfn.XLOOKUP(AG18,Tab_Def_Flows[Name(EN)],Tab_Def_Flows[Flow_ID],,0,)</f>
        <v>#N/A</v>
      </c>
    </row>
    <row r="19" spans="1:34" x14ac:dyDescent="0.35">
      <c r="A19" s="97" t="b">
        <v>1</v>
      </c>
      <c r="B19" s="117" t="s">
        <v>463</v>
      </c>
      <c r="C19" s="49" t="str">
        <f t="shared" si="0"/>
        <v>17_Lit_BB</v>
      </c>
      <c r="D19" s="51" t="s">
        <v>349</v>
      </c>
      <c r="E19" s="92"/>
      <c r="F19" s="51" t="s">
        <v>353</v>
      </c>
      <c r="G19" s="51" t="s">
        <v>350</v>
      </c>
      <c r="H19" s="51"/>
      <c r="I19" s="92"/>
      <c r="J19" s="95" t="s">
        <v>390</v>
      </c>
      <c r="K19" s="51" t="s">
        <v>71</v>
      </c>
      <c r="L19" s="99" t="s">
        <v>68</v>
      </c>
      <c r="M19" s="51" t="s">
        <v>399</v>
      </c>
      <c r="N19" s="52" t="str">
        <f>_xlfn.XLOOKUP(M19,Tab_Def_Flows[Name(EN)],Tab_Def_Flows[Flow_ID],,0,)</f>
        <v>F_09_17</v>
      </c>
      <c r="O19" s="51" t="s">
        <v>231</v>
      </c>
      <c r="P19" s="52" t="e">
        <f>_xlfn.XLOOKUP(O19,Tab_Def_Flows[Name(EN)],Tab_Def_Flows[Flow_ID],,0,)</f>
        <v>#N/A</v>
      </c>
      <c r="Q19" s="51" t="s">
        <v>231</v>
      </c>
      <c r="R19" s="52" t="e">
        <f>_xlfn.XLOOKUP(Q19,Tab_Def_Flows[Name(EN)],Tab_Def_Flows[Flow_ID],,0,)</f>
        <v>#N/A</v>
      </c>
      <c r="S19" s="51" t="s">
        <v>231</v>
      </c>
      <c r="T19" s="52" t="e">
        <f>_xlfn.XLOOKUP(S19,Tab_Def_Flows[Name(EN)],Tab_Def_Flows[Flow_ID],,0,)</f>
        <v>#N/A</v>
      </c>
      <c r="U19" s="51" t="s">
        <v>231</v>
      </c>
      <c r="V19" s="53" t="e">
        <f>_xlfn.XLOOKUP(U19,Tab_Def_Flows[Name(EN)],Tab_Def_Flows[Flow_ID],,0,)</f>
        <v>#N/A</v>
      </c>
      <c r="W19" s="51" t="s">
        <v>231</v>
      </c>
      <c r="X19" s="52" t="e">
        <f>_xlfn.XLOOKUP(W19,Tab_Def_Flows[Name(EN)],Tab_Def_Flows[Flow_ID],,0,)</f>
        <v>#N/A</v>
      </c>
      <c r="Y19" s="51" t="s">
        <v>231</v>
      </c>
      <c r="Z19" s="52" t="e">
        <f>_xlfn.XLOOKUP(Y19,Tab_Def_Flows[Name(EN)],Tab_Def_Flows[Flow_ID],,0,)</f>
        <v>#N/A</v>
      </c>
      <c r="AA19" s="51" t="s">
        <v>231</v>
      </c>
      <c r="AB19" s="52" t="e">
        <f>_xlfn.XLOOKUP(AA19,Tab_Def_Flows[Name(EN)],Tab_Def_Flows[Flow_ID],,0,)</f>
        <v>#N/A</v>
      </c>
      <c r="AC19" s="51" t="s">
        <v>231</v>
      </c>
      <c r="AD19" s="52" t="e">
        <f>_xlfn.XLOOKUP(AC19,Tab_Def_Flows[Name(EN)],Tab_Def_Flows[Flow_ID],,0,)</f>
        <v>#N/A</v>
      </c>
      <c r="AE19" s="51" t="s">
        <v>231</v>
      </c>
      <c r="AF19" s="52" t="e">
        <f>_xlfn.XLOOKUP(AE19,Tab_Def_Flows[Name(EN)],Tab_Def_Flows[Flow_ID],,0,)</f>
        <v>#N/A</v>
      </c>
      <c r="AG19" s="51" t="s">
        <v>231</v>
      </c>
      <c r="AH19" s="53" t="e">
        <f>_xlfn.XLOOKUP(AG19,Tab_Def_Flows[Name(EN)],Tab_Def_Flows[Flow_ID],,0,)</f>
        <v>#N/A</v>
      </c>
    </row>
    <row r="20" spans="1:34" x14ac:dyDescent="0.35">
      <c r="A20" s="97" t="b">
        <v>1</v>
      </c>
      <c r="B20" s="117" t="s">
        <v>464</v>
      </c>
      <c r="C20" s="49" t="str">
        <f t="shared" si="0"/>
        <v>18_Ash_BB</v>
      </c>
      <c r="D20" s="51" t="s">
        <v>448</v>
      </c>
      <c r="E20" s="92"/>
      <c r="F20" s="51" t="s">
        <v>353</v>
      </c>
      <c r="G20" s="51" t="s">
        <v>350</v>
      </c>
      <c r="H20" s="51"/>
      <c r="I20" s="92"/>
      <c r="J20" s="95" t="s">
        <v>390</v>
      </c>
      <c r="K20" s="51" t="s">
        <v>71</v>
      </c>
      <c r="L20" s="99" t="s">
        <v>68</v>
      </c>
      <c r="M20" s="51" t="s">
        <v>189</v>
      </c>
      <c r="N20" s="52" t="str">
        <f>_xlfn.XLOOKUP(M20,Tab_Def_Flows[Name(EN)],Tab_Def_Flows[Flow_ID],,0,)</f>
        <v>F_10_18</v>
      </c>
      <c r="O20" s="51" t="s">
        <v>231</v>
      </c>
      <c r="P20" s="52" t="e">
        <f>_xlfn.XLOOKUP(O20,Tab_Def_Flows[Name(EN)],Tab_Def_Flows[Flow_ID],,0,)</f>
        <v>#N/A</v>
      </c>
      <c r="Q20" s="51" t="s">
        <v>231</v>
      </c>
      <c r="R20" s="52" t="e">
        <f>_xlfn.XLOOKUP(Q20,Tab_Def_Flows[Name(EN)],Tab_Def_Flows[Flow_ID],,0,)</f>
        <v>#N/A</v>
      </c>
      <c r="S20" s="51" t="s">
        <v>231</v>
      </c>
      <c r="T20" s="52" t="e">
        <f>_xlfn.XLOOKUP(S20,Tab_Def_Flows[Name(EN)],Tab_Def_Flows[Flow_ID],,0,)</f>
        <v>#N/A</v>
      </c>
      <c r="U20" s="51" t="s">
        <v>231</v>
      </c>
      <c r="V20" s="53" t="e">
        <f>_xlfn.XLOOKUP(U20,Tab_Def_Flows[Name(EN)],Tab_Def_Flows[Flow_ID],,0,)</f>
        <v>#N/A</v>
      </c>
      <c r="W20" s="51" t="s">
        <v>231</v>
      </c>
      <c r="X20" s="52" t="e">
        <f>_xlfn.XLOOKUP(W20,Tab_Def_Flows[Name(EN)],Tab_Def_Flows[Flow_ID],,0,)</f>
        <v>#N/A</v>
      </c>
      <c r="Y20" s="51" t="s">
        <v>231</v>
      </c>
      <c r="Z20" s="52" t="e">
        <f>_xlfn.XLOOKUP(Y20,Tab_Def_Flows[Name(EN)],Tab_Def_Flows[Flow_ID],,0,)</f>
        <v>#N/A</v>
      </c>
      <c r="AA20" s="51" t="s">
        <v>231</v>
      </c>
      <c r="AB20" s="52" t="e">
        <f>_xlfn.XLOOKUP(AA20,Tab_Def_Flows[Name(EN)],Tab_Def_Flows[Flow_ID],,0,)</f>
        <v>#N/A</v>
      </c>
      <c r="AC20" s="51" t="s">
        <v>231</v>
      </c>
      <c r="AD20" s="52" t="e">
        <f>_xlfn.XLOOKUP(AC20,Tab_Def_Flows[Name(EN)],Tab_Def_Flows[Flow_ID],,0,)</f>
        <v>#N/A</v>
      </c>
      <c r="AE20" s="51" t="s">
        <v>231</v>
      </c>
      <c r="AF20" s="52" t="e">
        <f>_xlfn.XLOOKUP(AE20,Tab_Def_Flows[Name(EN)],Tab_Def_Flows[Flow_ID],,0,)</f>
        <v>#N/A</v>
      </c>
      <c r="AG20" s="51" t="s">
        <v>231</v>
      </c>
      <c r="AH20" s="53" t="e">
        <f>_xlfn.XLOOKUP(AG20,Tab_Def_Flows[Name(EN)],Tab_Def_Flows[Flow_ID],,0,)</f>
        <v>#N/A</v>
      </c>
    </row>
    <row r="21" spans="1:34" ht="15" thickBot="1" x14ac:dyDescent="0.4">
      <c r="A21" s="97" t="b">
        <v>1</v>
      </c>
      <c r="B21" s="117" t="s">
        <v>465</v>
      </c>
      <c r="C21" s="49" t="str">
        <f t="shared" si="0"/>
        <v>19_Atm_BB</v>
      </c>
      <c r="D21" s="51" t="s">
        <v>449</v>
      </c>
      <c r="E21" s="92"/>
      <c r="F21" s="51" t="s">
        <v>353</v>
      </c>
      <c r="G21" s="51" t="s">
        <v>348</v>
      </c>
      <c r="H21" s="51"/>
      <c r="I21" s="92"/>
      <c r="J21" s="95" t="s">
        <v>390</v>
      </c>
      <c r="K21" s="51" t="s">
        <v>71</v>
      </c>
      <c r="L21" s="99" t="s">
        <v>68</v>
      </c>
      <c r="M21" s="51" t="s">
        <v>417</v>
      </c>
      <c r="N21" s="52" t="str">
        <f>_xlfn.XLOOKUP(M21,Tab_Def_Flows[Name(EN)],Tab_Def_Flows[Flow_ID],,0,)</f>
        <v>F_10_19</v>
      </c>
      <c r="O21" s="51" t="s">
        <v>503</v>
      </c>
      <c r="P21" s="52" t="str">
        <f>_xlfn.XLOOKUP(O21,Tab_Def_Flows[Name(EN)],Tab_Def_Flows[Flow_ID],,0,)</f>
        <v>F_09_19</v>
      </c>
      <c r="Q21" s="51" t="s">
        <v>231</v>
      </c>
      <c r="R21" s="52" t="e">
        <f>_xlfn.XLOOKUP(Q21,Tab_Def_Flows[Name(EN)],Tab_Def_Flows[Flow_ID],,0,)</f>
        <v>#N/A</v>
      </c>
      <c r="S21" s="51" t="s">
        <v>231</v>
      </c>
      <c r="T21" s="52" t="e">
        <f>_xlfn.XLOOKUP(S21,Tab_Def_Flows[Name(EN)],Tab_Def_Flows[Flow_ID],,0,)</f>
        <v>#N/A</v>
      </c>
      <c r="U21" s="51" t="s">
        <v>231</v>
      </c>
      <c r="V21" s="53" t="e">
        <f>_xlfn.XLOOKUP(U21,Tab_Def_Flows[Name(EN)],Tab_Def_Flows[Flow_ID],,0,)</f>
        <v>#N/A</v>
      </c>
      <c r="W21" s="51" t="s">
        <v>231</v>
      </c>
      <c r="X21" s="52" t="e">
        <f>_xlfn.XLOOKUP(W21,Tab_Def_Flows[Name(EN)],Tab_Def_Flows[Flow_ID],,0,)</f>
        <v>#N/A</v>
      </c>
      <c r="Y21" s="51" t="s">
        <v>231</v>
      </c>
      <c r="Z21" s="52" t="e">
        <f>_xlfn.XLOOKUP(Y21,Tab_Def_Flows[Name(EN)],Tab_Def_Flows[Flow_ID],,0,)</f>
        <v>#N/A</v>
      </c>
      <c r="AA21" s="51" t="s">
        <v>231</v>
      </c>
      <c r="AB21" s="52" t="e">
        <f>_xlfn.XLOOKUP(AA21,Tab_Def_Flows[Name(EN)],Tab_Def_Flows[Flow_ID],,0,)</f>
        <v>#N/A</v>
      </c>
      <c r="AC21" s="51" t="s">
        <v>231</v>
      </c>
      <c r="AD21" s="52" t="e">
        <f>_xlfn.XLOOKUP(AC21,Tab_Def_Flows[Name(EN)],Tab_Def_Flows[Flow_ID],,0,)</f>
        <v>#N/A</v>
      </c>
      <c r="AE21" s="51" t="s">
        <v>231</v>
      </c>
      <c r="AF21" s="52" t="e">
        <f>_xlfn.XLOOKUP(AE21,Tab_Def_Flows[Name(EN)],Tab_Def_Flows[Flow_ID],,0,)</f>
        <v>#N/A</v>
      </c>
      <c r="AG21" s="51" t="s">
        <v>231</v>
      </c>
      <c r="AH21" s="53" t="e">
        <f>_xlfn.XLOOKUP(AG21,Tab_Def_Flows[Name(EN)],Tab_Def_Flows[Flow_ID],,0,)</f>
        <v>#N/A</v>
      </c>
    </row>
    <row r="22" spans="1:34" x14ac:dyDescent="0.35">
      <c r="A22" s="97" t="b">
        <v>1</v>
      </c>
      <c r="B22" s="117" t="s">
        <v>466</v>
      </c>
      <c r="C22" s="49" t="str">
        <f t="shared" si="0"/>
        <v>20_Rye_BB</v>
      </c>
      <c r="D22" s="51" t="s">
        <v>345</v>
      </c>
      <c r="E22" s="92"/>
      <c r="F22" s="51" t="s">
        <v>353</v>
      </c>
      <c r="G22" s="51" t="s">
        <v>350</v>
      </c>
      <c r="H22" s="51" t="s">
        <v>229</v>
      </c>
      <c r="I22" s="92"/>
      <c r="J22" s="95" t="s">
        <v>387</v>
      </c>
      <c r="K22" s="51" t="s">
        <v>68</v>
      </c>
      <c r="L22" s="99" t="s">
        <v>71</v>
      </c>
      <c r="M22" s="51" t="s">
        <v>450</v>
      </c>
      <c r="N22" s="50" t="str">
        <f>_xlfn.XLOOKUP(M22,Tab_Def_Flows[Name(EN)],Tab_Def_Flows[Flow_ID],,0,)</f>
        <v>F_13_20</v>
      </c>
      <c r="O22" s="51" t="s">
        <v>231</v>
      </c>
      <c r="P22" s="50" t="e">
        <f>_xlfn.XLOOKUP(O22,Tab_Def_Flows[Name(EN)],Tab_Def_Flows[Flow_ID],,0,)</f>
        <v>#N/A</v>
      </c>
      <c r="Q22" s="51" t="s">
        <v>231</v>
      </c>
      <c r="R22" s="50" t="e">
        <f>_xlfn.XLOOKUP(Q22,Tab_Def_Flows[Name(EN)],Tab_Def_Flows[Flow_ID],,0,)</f>
        <v>#N/A</v>
      </c>
      <c r="S22" s="51" t="s">
        <v>231</v>
      </c>
      <c r="T22" s="50" t="e">
        <f>_xlfn.XLOOKUP(S22,Tab_Def_Flows[Name(EN)],Tab_Def_Flows[Flow_ID],,0,)</f>
        <v>#N/A</v>
      </c>
      <c r="U22" s="51" t="s">
        <v>231</v>
      </c>
      <c r="V22" s="59" t="e">
        <f>_xlfn.XLOOKUP(U22,Tab_Def_Flows[Name(EN)],Tab_Def_Flows[Flow_ID],,0,)</f>
        <v>#N/A</v>
      </c>
      <c r="W22" s="51" t="s">
        <v>334</v>
      </c>
      <c r="X22" s="52" t="str">
        <f>_xlfn.XLOOKUP(W22,Tab_Def_Flows[Name(EN)],Tab_Def_Flows[Flow_ID],,0,)</f>
        <v>F_20_15</v>
      </c>
      <c r="Y22" s="51" t="s">
        <v>335</v>
      </c>
      <c r="Z22" s="52" t="str">
        <f>_xlfn.XLOOKUP(Y22,Tab_Def_Flows[Name(EN)],Tab_Def_Flows[Flow_ID],,0,)</f>
        <v>F_20_01</v>
      </c>
      <c r="AA22" s="51" t="s">
        <v>336</v>
      </c>
      <c r="AB22" s="52" t="str">
        <f>_xlfn.XLOOKUP(AA22,Tab_Def_Flows[Name(EN)],Tab_Def_Flows[Flow_ID],,0,)</f>
        <v>F_20_16</v>
      </c>
      <c r="AC22" s="51" t="s">
        <v>231</v>
      </c>
      <c r="AD22" s="52" t="e">
        <f>_xlfn.XLOOKUP(AC22,Tab_Def_Flows[Name(EN)],Tab_Def_Flows[Flow_ID],,0,)</f>
        <v>#N/A</v>
      </c>
      <c r="AE22" s="51" t="s">
        <v>231</v>
      </c>
      <c r="AF22" s="52" t="e">
        <f>_xlfn.XLOOKUP(AE22,Tab_Def_Flows[Name(EN)],Tab_Def_Flows[Flow_ID],,0,)</f>
        <v>#N/A</v>
      </c>
      <c r="AG22" s="51" t="s">
        <v>231</v>
      </c>
      <c r="AH22" s="53" t="e">
        <f>_xlfn.XLOOKUP(AG22,Tab_Def_Flows[Name(EN)],Tab_Def_Flows[Flow_ID],,0,)</f>
        <v>#N/A</v>
      </c>
    </row>
    <row r="23" spans="1:34" x14ac:dyDescent="0.35">
      <c r="A23" s="97" t="b">
        <v>0</v>
      </c>
      <c r="B23" s="117" t="s">
        <v>467</v>
      </c>
      <c r="C23" s="49" t="str">
        <f t="shared" si="0"/>
        <v>21__</v>
      </c>
      <c r="D23" s="51"/>
      <c r="E23" s="92"/>
      <c r="F23" s="51"/>
      <c r="G23" s="51"/>
      <c r="H23" s="51"/>
      <c r="I23" s="92"/>
      <c r="J23" s="95"/>
      <c r="K23" s="51"/>
      <c r="L23" s="99"/>
      <c r="M23" s="51" t="s">
        <v>231</v>
      </c>
      <c r="N23" s="52" t="e">
        <f>_xlfn.XLOOKUP(M23,Tab_Def_Flows[Name(EN)],Tab_Def_Flows[Flow_ID],,0,)</f>
        <v>#N/A</v>
      </c>
      <c r="O23" s="51" t="s">
        <v>231</v>
      </c>
      <c r="P23" s="52" t="e">
        <f>_xlfn.XLOOKUP(O23,Tab_Def_Flows[Name(EN)],Tab_Def_Flows[Flow_ID],,0,)</f>
        <v>#N/A</v>
      </c>
      <c r="Q23" s="51" t="s">
        <v>231</v>
      </c>
      <c r="R23" s="52" t="e">
        <f>_xlfn.XLOOKUP(Q23,Tab_Def_Flows[Name(EN)],Tab_Def_Flows[Flow_ID],,0,)</f>
        <v>#N/A</v>
      </c>
      <c r="S23" s="51" t="s">
        <v>231</v>
      </c>
      <c r="T23" s="52" t="e">
        <f>_xlfn.XLOOKUP(S23,Tab_Def_Flows[Name(EN)],Tab_Def_Flows[Flow_ID],,0,)</f>
        <v>#N/A</v>
      </c>
      <c r="U23" s="51" t="s">
        <v>231</v>
      </c>
      <c r="V23" s="53" t="e">
        <f>_xlfn.XLOOKUP(U23,Tab_Def_Flows[Name(EN)],Tab_Def_Flows[Flow_ID],,0,)</f>
        <v>#N/A</v>
      </c>
      <c r="W23" s="51" t="s">
        <v>231</v>
      </c>
      <c r="X23" s="52" t="e">
        <f>_xlfn.XLOOKUP(W23,Tab_Def_Flows[Name(EN)],Tab_Def_Flows[Flow_ID],,0,)</f>
        <v>#N/A</v>
      </c>
      <c r="Y23" s="51" t="s">
        <v>231</v>
      </c>
      <c r="Z23" s="52" t="e">
        <f>_xlfn.XLOOKUP(Y23,Tab_Def_Flows[Name(EN)],Tab_Def_Flows[Flow_ID],,0,)</f>
        <v>#N/A</v>
      </c>
      <c r="AA23" s="51" t="s">
        <v>231</v>
      </c>
      <c r="AB23" s="52" t="e">
        <f>_xlfn.XLOOKUP(AA23,Tab_Def_Flows[Name(EN)],Tab_Def_Flows[Flow_ID],,0,)</f>
        <v>#N/A</v>
      </c>
      <c r="AC23" s="51" t="s">
        <v>231</v>
      </c>
      <c r="AD23" s="52" t="e">
        <f>_xlfn.XLOOKUP(AC23,Tab_Def_Flows[Name(EN)],Tab_Def_Flows[Flow_ID],,0,)</f>
        <v>#N/A</v>
      </c>
      <c r="AE23" s="51" t="s">
        <v>231</v>
      </c>
      <c r="AF23" s="52" t="e">
        <f>_xlfn.XLOOKUP(AE23,Tab_Def_Flows[Name(EN)],Tab_Def_Flows[Flow_ID],,0,)</f>
        <v>#N/A</v>
      </c>
      <c r="AG23" s="51" t="s">
        <v>231</v>
      </c>
      <c r="AH23" s="53" t="e">
        <f>_xlfn.XLOOKUP(AG23,Tab_Def_Flows[Name(EN)],Tab_Def_Flows[Flow_ID],,0,)</f>
        <v>#N/A</v>
      </c>
    </row>
    <row r="24" spans="1:34" x14ac:dyDescent="0.35">
      <c r="A24" s="97" t="b">
        <v>0</v>
      </c>
      <c r="B24" s="117" t="s">
        <v>468</v>
      </c>
      <c r="C24" s="49" t="str">
        <f t="shared" si="0"/>
        <v>22__</v>
      </c>
      <c r="D24" s="51"/>
      <c r="E24" s="92"/>
      <c r="F24" s="51"/>
      <c r="G24" s="51"/>
      <c r="H24" s="51"/>
      <c r="I24" s="92"/>
      <c r="J24" s="95"/>
      <c r="K24" s="51"/>
      <c r="L24" s="99"/>
      <c r="M24" s="51" t="s">
        <v>231</v>
      </c>
      <c r="N24" s="52" t="e">
        <f>_xlfn.XLOOKUP(M24,Tab_Def_Flows[Name(EN)],Tab_Def_Flows[Flow_ID],,0,)</f>
        <v>#N/A</v>
      </c>
      <c r="O24" s="51" t="s">
        <v>231</v>
      </c>
      <c r="P24" s="52" t="e">
        <f>_xlfn.XLOOKUP(O24,Tab_Def_Flows[Name(EN)],Tab_Def_Flows[Flow_ID],,0,)</f>
        <v>#N/A</v>
      </c>
      <c r="Q24" s="51" t="s">
        <v>231</v>
      </c>
      <c r="R24" s="52" t="e">
        <f>_xlfn.XLOOKUP(Q24,Tab_Def_Flows[Name(EN)],Tab_Def_Flows[Flow_ID],,0,)</f>
        <v>#N/A</v>
      </c>
      <c r="S24" s="51" t="s">
        <v>231</v>
      </c>
      <c r="T24" s="52" t="e">
        <f>_xlfn.XLOOKUP(S24,Tab_Def_Flows[Name(EN)],Tab_Def_Flows[Flow_ID],,0,)</f>
        <v>#N/A</v>
      </c>
      <c r="U24" s="51" t="s">
        <v>231</v>
      </c>
      <c r="V24" s="53" t="e">
        <f>_xlfn.XLOOKUP(U24,Tab_Def_Flows[Name(EN)],Tab_Def_Flows[Flow_ID],,0,)</f>
        <v>#N/A</v>
      </c>
      <c r="W24" s="51" t="s">
        <v>231</v>
      </c>
      <c r="X24" s="52" t="e">
        <f>_xlfn.XLOOKUP(W24,Tab_Def_Flows[Name(EN)],Tab_Def_Flows[Flow_ID],,0,)</f>
        <v>#N/A</v>
      </c>
      <c r="Y24" s="51" t="s">
        <v>231</v>
      </c>
      <c r="Z24" s="52" t="e">
        <f>_xlfn.XLOOKUP(Y24,Tab_Def_Flows[Name(EN)],Tab_Def_Flows[Flow_ID],,0,)</f>
        <v>#N/A</v>
      </c>
      <c r="AA24" s="51" t="s">
        <v>231</v>
      </c>
      <c r="AB24" s="52" t="e">
        <f>_xlfn.XLOOKUP(AA24,Tab_Def_Flows[Name(EN)],Tab_Def_Flows[Flow_ID],,0,)</f>
        <v>#N/A</v>
      </c>
      <c r="AC24" s="51" t="s">
        <v>231</v>
      </c>
      <c r="AD24" s="52" t="e">
        <f>_xlfn.XLOOKUP(AC24,Tab_Def_Flows[Name(EN)],Tab_Def_Flows[Flow_ID],,0,)</f>
        <v>#N/A</v>
      </c>
      <c r="AE24" s="51" t="s">
        <v>231</v>
      </c>
      <c r="AF24" s="52" t="e">
        <f>_xlfn.XLOOKUP(AE24,Tab_Def_Flows[Name(EN)],Tab_Def_Flows[Flow_ID],,0,)</f>
        <v>#N/A</v>
      </c>
      <c r="AG24" s="51" t="s">
        <v>231</v>
      </c>
      <c r="AH24" s="53" t="e">
        <f>_xlfn.XLOOKUP(AG24,Tab_Def_Flows[Name(EN)],Tab_Def_Flows[Flow_ID],,0,)</f>
        <v>#N/A</v>
      </c>
    </row>
    <row r="25" spans="1:34" x14ac:dyDescent="0.35">
      <c r="A25" s="97" t="b">
        <v>0</v>
      </c>
      <c r="B25" s="117" t="s">
        <v>469</v>
      </c>
      <c r="C25" s="49" t="str">
        <f t="shared" si="0"/>
        <v>23__</v>
      </c>
      <c r="D25" s="51"/>
      <c r="E25" s="92"/>
      <c r="F25" s="51"/>
      <c r="G25" s="51"/>
      <c r="H25" s="51"/>
      <c r="I25" s="92"/>
      <c r="J25" s="95"/>
      <c r="K25" s="51"/>
      <c r="L25" s="99"/>
      <c r="M25" s="51" t="s">
        <v>231</v>
      </c>
      <c r="N25" s="52" t="e">
        <f>_xlfn.XLOOKUP(M25,Tab_Def_Flows[Name(EN)],Tab_Def_Flows[Flow_ID],,0,)</f>
        <v>#N/A</v>
      </c>
      <c r="O25" s="51" t="s">
        <v>231</v>
      </c>
      <c r="P25" s="52" t="e">
        <f>_xlfn.XLOOKUP(O25,Tab_Def_Flows[Name(EN)],Tab_Def_Flows[Flow_ID],,0,)</f>
        <v>#N/A</v>
      </c>
      <c r="Q25" s="51" t="s">
        <v>231</v>
      </c>
      <c r="R25" s="52" t="e">
        <f>_xlfn.XLOOKUP(Q25,Tab_Def_Flows[Name(EN)],Tab_Def_Flows[Flow_ID],,0,)</f>
        <v>#N/A</v>
      </c>
      <c r="S25" s="51" t="s">
        <v>231</v>
      </c>
      <c r="T25" s="52" t="e">
        <f>_xlfn.XLOOKUP(S25,Tab_Def_Flows[Name(EN)],Tab_Def_Flows[Flow_ID],,0,)</f>
        <v>#N/A</v>
      </c>
      <c r="U25" s="51" t="s">
        <v>231</v>
      </c>
      <c r="V25" s="53" t="e">
        <f>_xlfn.XLOOKUP(U25,Tab_Def_Flows[Name(EN)],Tab_Def_Flows[Flow_ID],,0,)</f>
        <v>#N/A</v>
      </c>
      <c r="W25" s="51" t="s">
        <v>231</v>
      </c>
      <c r="X25" s="52" t="e">
        <f>_xlfn.XLOOKUP(W25,Tab_Def_Flows[Name(EN)],Tab_Def_Flows[Flow_ID],,0,)</f>
        <v>#N/A</v>
      </c>
      <c r="Y25" s="51" t="s">
        <v>231</v>
      </c>
      <c r="Z25" s="52" t="e">
        <f>_xlfn.XLOOKUP(Y25,Tab_Def_Flows[Name(EN)],Tab_Def_Flows[Flow_ID],,0,)</f>
        <v>#N/A</v>
      </c>
      <c r="AA25" s="51" t="s">
        <v>231</v>
      </c>
      <c r="AB25" s="52" t="e">
        <f>_xlfn.XLOOKUP(AA25,Tab_Def_Flows[Name(EN)],Tab_Def_Flows[Flow_ID],,0,)</f>
        <v>#N/A</v>
      </c>
      <c r="AC25" s="51" t="s">
        <v>231</v>
      </c>
      <c r="AD25" s="52" t="e">
        <f>_xlfn.XLOOKUP(AC25,Tab_Def_Flows[Name(EN)],Tab_Def_Flows[Flow_ID],,0,)</f>
        <v>#N/A</v>
      </c>
      <c r="AE25" s="51" t="s">
        <v>231</v>
      </c>
      <c r="AF25" s="52" t="e">
        <f>_xlfn.XLOOKUP(AE25,Tab_Def_Flows[Name(EN)],Tab_Def_Flows[Flow_ID],,0,)</f>
        <v>#N/A</v>
      </c>
      <c r="AG25" s="51" t="s">
        <v>231</v>
      </c>
      <c r="AH25" s="53" t="e">
        <f>_xlfn.XLOOKUP(AG25,Tab_Def_Flows[Name(EN)],Tab_Def_Flows[Flow_ID],,0,)</f>
        <v>#N/A</v>
      </c>
    </row>
    <row r="26" spans="1:34" x14ac:dyDescent="0.35">
      <c r="A26" s="97" t="b">
        <v>0</v>
      </c>
      <c r="B26" s="117" t="s">
        <v>470</v>
      </c>
      <c r="C26" s="49" t="str">
        <f t="shared" si="0"/>
        <v>24__</v>
      </c>
      <c r="D26" s="51"/>
      <c r="E26" s="92"/>
      <c r="F26" s="51"/>
      <c r="G26" s="51"/>
      <c r="H26" s="51"/>
      <c r="I26" s="92"/>
      <c r="J26" s="95"/>
      <c r="K26" s="51"/>
      <c r="L26" s="99"/>
      <c r="M26" s="51" t="s">
        <v>231</v>
      </c>
      <c r="N26" s="52" t="e">
        <f>_xlfn.XLOOKUP(M26,Tab_Def_Flows[Name(EN)],Tab_Def_Flows[Flow_ID],,0,)</f>
        <v>#N/A</v>
      </c>
      <c r="O26" s="51" t="s">
        <v>231</v>
      </c>
      <c r="P26" s="52" t="e">
        <f>_xlfn.XLOOKUP(O26,Tab_Def_Flows[Name(EN)],Tab_Def_Flows[Flow_ID],,0,)</f>
        <v>#N/A</v>
      </c>
      <c r="Q26" s="51" t="s">
        <v>231</v>
      </c>
      <c r="R26" s="52" t="e">
        <f>_xlfn.XLOOKUP(Q26,Tab_Def_Flows[Name(EN)],Tab_Def_Flows[Flow_ID],,0,)</f>
        <v>#N/A</v>
      </c>
      <c r="S26" s="51" t="s">
        <v>231</v>
      </c>
      <c r="T26" s="52" t="e">
        <f>_xlfn.XLOOKUP(S26,Tab_Def_Flows[Name(EN)],Tab_Def_Flows[Flow_ID],,0,)</f>
        <v>#N/A</v>
      </c>
      <c r="U26" s="51" t="s">
        <v>231</v>
      </c>
      <c r="V26" s="53" t="e">
        <f>_xlfn.XLOOKUP(U26,Tab_Def_Flows[Name(EN)],Tab_Def_Flows[Flow_ID],,0,)</f>
        <v>#N/A</v>
      </c>
      <c r="W26" s="51" t="s">
        <v>231</v>
      </c>
      <c r="X26" s="52" t="e">
        <f>_xlfn.XLOOKUP(W26,Tab_Def_Flows[Name(EN)],Tab_Def_Flows[Flow_ID],,0,)</f>
        <v>#N/A</v>
      </c>
      <c r="Y26" s="51" t="s">
        <v>231</v>
      </c>
      <c r="Z26" s="52" t="e">
        <f>_xlfn.XLOOKUP(Y26,Tab_Def_Flows[Name(EN)],Tab_Def_Flows[Flow_ID],,0,)</f>
        <v>#N/A</v>
      </c>
      <c r="AA26" s="51" t="s">
        <v>231</v>
      </c>
      <c r="AB26" s="52" t="e">
        <f>_xlfn.XLOOKUP(AA26,Tab_Def_Flows[Name(EN)],Tab_Def_Flows[Flow_ID],,0,)</f>
        <v>#N/A</v>
      </c>
      <c r="AC26" s="51" t="s">
        <v>231</v>
      </c>
      <c r="AD26" s="52" t="e">
        <f>_xlfn.XLOOKUP(AC26,Tab_Def_Flows[Name(EN)],Tab_Def_Flows[Flow_ID],,0,)</f>
        <v>#N/A</v>
      </c>
      <c r="AE26" s="51" t="s">
        <v>231</v>
      </c>
      <c r="AF26" s="52" t="e">
        <f>_xlfn.XLOOKUP(AE26,Tab_Def_Flows[Name(EN)],Tab_Def_Flows[Flow_ID],,0,)</f>
        <v>#N/A</v>
      </c>
      <c r="AG26" s="51" t="s">
        <v>231</v>
      </c>
      <c r="AH26" s="53" t="e">
        <f>_xlfn.XLOOKUP(AG26,Tab_Def_Flows[Name(EN)],Tab_Def_Flows[Flow_ID],,0,)</f>
        <v>#N/A</v>
      </c>
    </row>
    <row r="27" spans="1:34" x14ac:dyDescent="0.35">
      <c r="A27" s="97" t="b">
        <v>0</v>
      </c>
      <c r="B27" s="117" t="s">
        <v>471</v>
      </c>
      <c r="C27" s="49" t="str">
        <f t="shared" si="0"/>
        <v>25__</v>
      </c>
      <c r="D27" s="51"/>
      <c r="E27" s="92"/>
      <c r="F27" s="51"/>
      <c r="G27" s="51"/>
      <c r="H27" s="51"/>
      <c r="I27" s="92"/>
      <c r="J27" s="95"/>
      <c r="K27" s="51"/>
      <c r="L27" s="99"/>
      <c r="M27" s="51" t="s">
        <v>231</v>
      </c>
      <c r="N27" s="52" t="e">
        <f>_xlfn.XLOOKUP(M27,Tab_Def_Flows[Name(EN)],Tab_Def_Flows[Flow_ID],,0,)</f>
        <v>#N/A</v>
      </c>
      <c r="O27" s="51" t="s">
        <v>231</v>
      </c>
      <c r="P27" s="52" t="e">
        <f>_xlfn.XLOOKUP(O27,Tab_Def_Flows[Name(EN)],Tab_Def_Flows[Flow_ID],,0,)</f>
        <v>#N/A</v>
      </c>
      <c r="Q27" s="51" t="s">
        <v>231</v>
      </c>
      <c r="R27" s="52" t="e">
        <f>_xlfn.XLOOKUP(Q27,Tab_Def_Flows[Name(EN)],Tab_Def_Flows[Flow_ID],,0,)</f>
        <v>#N/A</v>
      </c>
      <c r="S27" s="51" t="s">
        <v>231</v>
      </c>
      <c r="T27" s="52" t="e">
        <f>_xlfn.XLOOKUP(S27,Tab_Def_Flows[Name(EN)],Tab_Def_Flows[Flow_ID],,0,)</f>
        <v>#N/A</v>
      </c>
      <c r="U27" s="51" t="s">
        <v>231</v>
      </c>
      <c r="V27" s="53" t="e">
        <f>_xlfn.XLOOKUP(U27,Tab_Def_Flows[Name(EN)],Tab_Def_Flows[Flow_ID],,0,)</f>
        <v>#N/A</v>
      </c>
      <c r="W27" s="51" t="s">
        <v>231</v>
      </c>
      <c r="X27" s="52" t="e">
        <f>_xlfn.XLOOKUP(W27,Tab_Def_Flows[Name(EN)],Tab_Def_Flows[Flow_ID],,0,)</f>
        <v>#N/A</v>
      </c>
      <c r="Y27" s="51" t="s">
        <v>231</v>
      </c>
      <c r="Z27" s="52" t="e">
        <f>_xlfn.XLOOKUP(Y27,Tab_Def_Flows[Name(EN)],Tab_Def_Flows[Flow_ID],,0,)</f>
        <v>#N/A</v>
      </c>
      <c r="AA27" s="51" t="s">
        <v>231</v>
      </c>
      <c r="AB27" s="52" t="e">
        <f>_xlfn.XLOOKUP(AA27,Tab_Def_Flows[Name(EN)],Tab_Def_Flows[Flow_ID],,0,)</f>
        <v>#N/A</v>
      </c>
      <c r="AC27" s="51" t="s">
        <v>231</v>
      </c>
      <c r="AD27" s="52" t="e">
        <f>_xlfn.XLOOKUP(AC27,Tab_Def_Flows[Name(EN)],Tab_Def_Flows[Flow_ID],,0,)</f>
        <v>#N/A</v>
      </c>
      <c r="AE27" s="51" t="s">
        <v>231</v>
      </c>
      <c r="AF27" s="52" t="e">
        <f>_xlfn.XLOOKUP(AE27,Tab_Def_Flows[Name(EN)],Tab_Def_Flows[Flow_ID],,0,)</f>
        <v>#N/A</v>
      </c>
      <c r="AG27" s="51" t="s">
        <v>231</v>
      </c>
      <c r="AH27" s="53" t="e">
        <f>_xlfn.XLOOKUP(AG27,Tab_Def_Flows[Name(EN)],Tab_Def_Flows[Flow_ID],,0,)</f>
        <v>#N/A</v>
      </c>
    </row>
    <row r="28" spans="1:34" x14ac:dyDescent="0.35">
      <c r="A28" s="97" t="b">
        <v>0</v>
      </c>
      <c r="B28" s="117" t="s">
        <v>472</v>
      </c>
      <c r="C28" s="49" t="str">
        <f t="shared" si="0"/>
        <v>26__</v>
      </c>
      <c r="D28" s="51"/>
      <c r="E28" s="92"/>
      <c r="F28" s="51"/>
      <c r="G28" s="51"/>
      <c r="H28" s="51"/>
      <c r="I28" s="92"/>
      <c r="J28" s="95"/>
      <c r="K28" s="51"/>
      <c r="L28" s="99"/>
      <c r="M28" s="51" t="s">
        <v>231</v>
      </c>
      <c r="N28" s="52" t="e">
        <f>_xlfn.XLOOKUP(M28,Tab_Def_Flows[Name(EN)],Tab_Def_Flows[Flow_ID],,0,)</f>
        <v>#N/A</v>
      </c>
      <c r="O28" s="51" t="s">
        <v>231</v>
      </c>
      <c r="P28" s="52" t="e">
        <f>_xlfn.XLOOKUP(O28,Tab_Def_Flows[Name(EN)],Tab_Def_Flows[Flow_ID],,0,)</f>
        <v>#N/A</v>
      </c>
      <c r="Q28" s="51" t="s">
        <v>231</v>
      </c>
      <c r="R28" s="52" t="e">
        <f>_xlfn.XLOOKUP(Q28,Tab_Def_Flows[Name(EN)],Tab_Def_Flows[Flow_ID],,0,)</f>
        <v>#N/A</v>
      </c>
      <c r="S28" s="51" t="s">
        <v>231</v>
      </c>
      <c r="T28" s="52" t="e">
        <f>_xlfn.XLOOKUP(S28,Tab_Def_Flows[Name(EN)],Tab_Def_Flows[Flow_ID],,0,)</f>
        <v>#N/A</v>
      </c>
      <c r="U28" s="51" t="s">
        <v>231</v>
      </c>
      <c r="V28" s="53" t="e">
        <f>_xlfn.XLOOKUP(U28,Tab_Def_Flows[Name(EN)],Tab_Def_Flows[Flow_ID],,0,)</f>
        <v>#N/A</v>
      </c>
      <c r="W28" s="51" t="s">
        <v>231</v>
      </c>
      <c r="X28" s="52" t="e">
        <f>_xlfn.XLOOKUP(W28,Tab_Def_Flows[Name(EN)],Tab_Def_Flows[Flow_ID],,0,)</f>
        <v>#N/A</v>
      </c>
      <c r="Y28" s="51" t="s">
        <v>231</v>
      </c>
      <c r="Z28" s="52" t="e">
        <f>_xlfn.XLOOKUP(Y28,Tab_Def_Flows[Name(EN)],Tab_Def_Flows[Flow_ID],,0,)</f>
        <v>#N/A</v>
      </c>
      <c r="AA28" s="51" t="s">
        <v>231</v>
      </c>
      <c r="AB28" s="52" t="e">
        <f>_xlfn.XLOOKUP(AA28,Tab_Def_Flows[Name(EN)],Tab_Def_Flows[Flow_ID],,0,)</f>
        <v>#N/A</v>
      </c>
      <c r="AC28" s="51" t="s">
        <v>231</v>
      </c>
      <c r="AD28" s="52" t="e">
        <f>_xlfn.XLOOKUP(AC28,Tab_Def_Flows[Name(EN)],Tab_Def_Flows[Flow_ID],,0,)</f>
        <v>#N/A</v>
      </c>
      <c r="AE28" s="51" t="s">
        <v>231</v>
      </c>
      <c r="AF28" s="52" t="e">
        <f>_xlfn.XLOOKUP(AE28,Tab_Def_Flows[Name(EN)],Tab_Def_Flows[Flow_ID],,0,)</f>
        <v>#N/A</v>
      </c>
      <c r="AG28" s="51" t="s">
        <v>231</v>
      </c>
      <c r="AH28" s="53" t="e">
        <f>_xlfn.XLOOKUP(AG28,Tab_Def_Flows[Name(EN)],Tab_Def_Flows[Flow_ID],,0,)</f>
        <v>#N/A</v>
      </c>
    </row>
    <row r="29" spans="1:34" x14ac:dyDescent="0.35">
      <c r="A29" s="97" t="b">
        <v>0</v>
      </c>
      <c r="B29" s="117" t="s">
        <v>473</v>
      </c>
      <c r="C29" s="49" t="str">
        <f t="shared" si="0"/>
        <v>27__</v>
      </c>
      <c r="D29" s="51"/>
      <c r="E29" s="92"/>
      <c r="F29" s="51"/>
      <c r="G29" s="51"/>
      <c r="H29" s="51"/>
      <c r="I29" s="92"/>
      <c r="J29" s="95"/>
      <c r="K29" s="51"/>
      <c r="L29" s="99"/>
      <c r="M29" s="51" t="s">
        <v>231</v>
      </c>
      <c r="N29" s="52" t="e">
        <f>_xlfn.XLOOKUP(M29,Tab_Def_Flows[Name(EN)],Tab_Def_Flows[Flow_ID],,0,)</f>
        <v>#N/A</v>
      </c>
      <c r="O29" s="51" t="s">
        <v>231</v>
      </c>
      <c r="P29" s="52" t="e">
        <f>_xlfn.XLOOKUP(O29,Tab_Def_Flows[Name(EN)],Tab_Def_Flows[Flow_ID],,0,)</f>
        <v>#N/A</v>
      </c>
      <c r="Q29" s="51" t="s">
        <v>231</v>
      </c>
      <c r="R29" s="52" t="e">
        <f>_xlfn.XLOOKUP(Q29,Tab_Def_Flows[Name(EN)],Tab_Def_Flows[Flow_ID],,0,)</f>
        <v>#N/A</v>
      </c>
      <c r="S29" s="51" t="s">
        <v>231</v>
      </c>
      <c r="T29" s="52" t="e">
        <f>_xlfn.XLOOKUP(S29,Tab_Def_Flows[Name(EN)],Tab_Def_Flows[Flow_ID],,0,)</f>
        <v>#N/A</v>
      </c>
      <c r="U29" s="51" t="s">
        <v>231</v>
      </c>
      <c r="V29" s="53" t="e">
        <f>_xlfn.XLOOKUP(U29,Tab_Def_Flows[Name(EN)],Tab_Def_Flows[Flow_ID],,0,)</f>
        <v>#N/A</v>
      </c>
      <c r="W29" s="51" t="s">
        <v>231</v>
      </c>
      <c r="X29" s="52" t="e">
        <f>_xlfn.XLOOKUP(W29,Tab_Def_Flows[Name(EN)],Tab_Def_Flows[Flow_ID],,0,)</f>
        <v>#N/A</v>
      </c>
      <c r="Y29" s="51" t="s">
        <v>231</v>
      </c>
      <c r="Z29" s="52" t="e">
        <f>_xlfn.XLOOKUP(Y29,Tab_Def_Flows[Name(EN)],Tab_Def_Flows[Flow_ID],,0,)</f>
        <v>#N/A</v>
      </c>
      <c r="AA29" s="51" t="s">
        <v>231</v>
      </c>
      <c r="AB29" s="52" t="e">
        <f>_xlfn.XLOOKUP(AA29,Tab_Def_Flows[Name(EN)],Tab_Def_Flows[Flow_ID],,0,)</f>
        <v>#N/A</v>
      </c>
      <c r="AC29" s="51" t="s">
        <v>231</v>
      </c>
      <c r="AD29" s="52" t="e">
        <f>_xlfn.XLOOKUP(AC29,Tab_Def_Flows[Name(EN)],Tab_Def_Flows[Flow_ID],,0,)</f>
        <v>#N/A</v>
      </c>
      <c r="AE29" s="51" t="s">
        <v>231</v>
      </c>
      <c r="AF29" s="52" t="e">
        <f>_xlfn.XLOOKUP(AE29,Tab_Def_Flows[Name(EN)],Tab_Def_Flows[Flow_ID],,0,)</f>
        <v>#N/A</v>
      </c>
      <c r="AG29" s="51" t="s">
        <v>231</v>
      </c>
      <c r="AH29" s="53" t="e">
        <f>_xlfn.XLOOKUP(AG29,Tab_Def_Flows[Name(EN)],Tab_Def_Flows[Flow_ID],,0,)</f>
        <v>#N/A</v>
      </c>
    </row>
    <row r="30" spans="1:34" x14ac:dyDescent="0.35">
      <c r="A30" s="97" t="b">
        <v>0</v>
      </c>
      <c r="B30" s="117" t="s">
        <v>474</v>
      </c>
      <c r="C30" s="49" t="str">
        <f t="shared" si="0"/>
        <v>28__</v>
      </c>
      <c r="D30" s="51"/>
      <c r="E30" s="92"/>
      <c r="F30" s="51"/>
      <c r="G30" s="51"/>
      <c r="H30" s="51"/>
      <c r="I30" s="92"/>
      <c r="J30" s="95"/>
      <c r="K30" s="51"/>
      <c r="L30" s="99"/>
      <c r="M30" s="51" t="s">
        <v>231</v>
      </c>
      <c r="N30" s="52" t="e">
        <f>_xlfn.XLOOKUP(M30,Tab_Def_Flows[Name(EN)],Tab_Def_Flows[Flow_ID],,0,)</f>
        <v>#N/A</v>
      </c>
      <c r="O30" s="51" t="s">
        <v>231</v>
      </c>
      <c r="P30" s="52" t="e">
        <f>_xlfn.XLOOKUP(O30,Tab_Def_Flows[Name(EN)],Tab_Def_Flows[Flow_ID],,0,)</f>
        <v>#N/A</v>
      </c>
      <c r="Q30" s="51" t="s">
        <v>231</v>
      </c>
      <c r="R30" s="52" t="e">
        <f>_xlfn.XLOOKUP(Q30,Tab_Def_Flows[Name(EN)],Tab_Def_Flows[Flow_ID],,0,)</f>
        <v>#N/A</v>
      </c>
      <c r="S30" s="51" t="s">
        <v>231</v>
      </c>
      <c r="T30" s="52" t="e">
        <f>_xlfn.XLOOKUP(S30,Tab_Def_Flows[Name(EN)],Tab_Def_Flows[Flow_ID],,0,)</f>
        <v>#N/A</v>
      </c>
      <c r="U30" s="51" t="s">
        <v>231</v>
      </c>
      <c r="V30" s="53" t="e">
        <f>_xlfn.XLOOKUP(U30,Tab_Def_Flows[Name(EN)],Tab_Def_Flows[Flow_ID],,0,)</f>
        <v>#N/A</v>
      </c>
      <c r="W30" s="51" t="s">
        <v>231</v>
      </c>
      <c r="X30" s="52" t="e">
        <f>_xlfn.XLOOKUP(W30,Tab_Def_Flows[Name(EN)],Tab_Def_Flows[Flow_ID],,0,)</f>
        <v>#N/A</v>
      </c>
      <c r="Y30" s="51" t="s">
        <v>231</v>
      </c>
      <c r="Z30" s="52" t="e">
        <f>_xlfn.XLOOKUP(Y30,Tab_Def_Flows[Name(EN)],Tab_Def_Flows[Flow_ID],,0,)</f>
        <v>#N/A</v>
      </c>
      <c r="AA30" s="51" t="s">
        <v>231</v>
      </c>
      <c r="AB30" s="52" t="e">
        <f>_xlfn.XLOOKUP(AA30,Tab_Def_Flows[Name(EN)],Tab_Def_Flows[Flow_ID],,0,)</f>
        <v>#N/A</v>
      </c>
      <c r="AC30" s="51" t="s">
        <v>231</v>
      </c>
      <c r="AD30" s="52" t="e">
        <f>_xlfn.XLOOKUP(AC30,Tab_Def_Flows[Name(EN)],Tab_Def_Flows[Flow_ID],,0,)</f>
        <v>#N/A</v>
      </c>
      <c r="AE30" s="51" t="s">
        <v>231</v>
      </c>
      <c r="AF30" s="52" t="e">
        <f>_xlfn.XLOOKUP(AE30,Tab_Def_Flows[Name(EN)],Tab_Def_Flows[Flow_ID],,0,)</f>
        <v>#N/A</v>
      </c>
      <c r="AG30" s="51" t="s">
        <v>231</v>
      </c>
      <c r="AH30" s="53" t="e">
        <f>_xlfn.XLOOKUP(AG30,Tab_Def_Flows[Name(EN)],Tab_Def_Flows[Flow_ID],,0,)</f>
        <v>#N/A</v>
      </c>
    </row>
    <row r="31" spans="1:34" x14ac:dyDescent="0.35">
      <c r="A31" s="97" t="b">
        <v>0</v>
      </c>
      <c r="B31" s="117" t="s">
        <v>475</v>
      </c>
      <c r="C31" s="49" t="str">
        <f t="shared" si="0"/>
        <v>29__</v>
      </c>
      <c r="D31" s="51"/>
      <c r="E31" s="92"/>
      <c r="F31" s="51"/>
      <c r="G31" s="51"/>
      <c r="H31" s="51"/>
      <c r="I31" s="92"/>
      <c r="J31" s="95"/>
      <c r="K31" s="51"/>
      <c r="L31" s="99"/>
      <c r="M31" s="51" t="s">
        <v>231</v>
      </c>
      <c r="N31" s="52" t="e">
        <f>_xlfn.XLOOKUP(M31,Tab_Def_Flows[Name(EN)],Tab_Def_Flows[Flow_ID],,0,)</f>
        <v>#N/A</v>
      </c>
      <c r="O31" s="51" t="s">
        <v>231</v>
      </c>
      <c r="P31" s="52" t="e">
        <f>_xlfn.XLOOKUP(O31,Tab_Def_Flows[Name(EN)],Tab_Def_Flows[Flow_ID],,0,)</f>
        <v>#N/A</v>
      </c>
      <c r="Q31" s="51" t="s">
        <v>231</v>
      </c>
      <c r="R31" s="52" t="e">
        <f>_xlfn.XLOOKUP(Q31,Tab_Def_Flows[Name(EN)],Tab_Def_Flows[Flow_ID],,0,)</f>
        <v>#N/A</v>
      </c>
      <c r="S31" s="51" t="s">
        <v>231</v>
      </c>
      <c r="T31" s="52" t="e">
        <f>_xlfn.XLOOKUP(S31,Tab_Def_Flows[Name(EN)],Tab_Def_Flows[Flow_ID],,0,)</f>
        <v>#N/A</v>
      </c>
      <c r="U31" s="51" t="s">
        <v>231</v>
      </c>
      <c r="V31" s="53" t="e">
        <f>_xlfn.XLOOKUP(U31,Tab_Def_Flows[Name(EN)],Tab_Def_Flows[Flow_ID],,0,)</f>
        <v>#N/A</v>
      </c>
      <c r="W31" s="51" t="s">
        <v>231</v>
      </c>
      <c r="X31" s="52" t="e">
        <f>_xlfn.XLOOKUP(W31,Tab_Def_Flows[Name(EN)],Tab_Def_Flows[Flow_ID],,0,)</f>
        <v>#N/A</v>
      </c>
      <c r="Y31" s="51" t="s">
        <v>231</v>
      </c>
      <c r="Z31" s="52" t="e">
        <f>_xlfn.XLOOKUP(Y31,Tab_Def_Flows[Name(EN)],Tab_Def_Flows[Flow_ID],,0,)</f>
        <v>#N/A</v>
      </c>
      <c r="AA31" s="51" t="s">
        <v>231</v>
      </c>
      <c r="AB31" s="52" t="e">
        <f>_xlfn.XLOOKUP(AA31,Tab_Def_Flows[Name(EN)],Tab_Def_Flows[Flow_ID],,0,)</f>
        <v>#N/A</v>
      </c>
      <c r="AC31" s="51" t="s">
        <v>231</v>
      </c>
      <c r="AD31" s="52" t="e">
        <f>_xlfn.XLOOKUP(AC31,Tab_Def_Flows[Name(EN)],Tab_Def_Flows[Flow_ID],,0,)</f>
        <v>#N/A</v>
      </c>
      <c r="AE31" s="51" t="s">
        <v>231</v>
      </c>
      <c r="AF31" s="52" t="e">
        <f>_xlfn.XLOOKUP(AE31,Tab_Def_Flows[Name(EN)],Tab_Def_Flows[Flow_ID],,0,)</f>
        <v>#N/A</v>
      </c>
      <c r="AG31" s="51" t="s">
        <v>231</v>
      </c>
      <c r="AH31" s="53" t="e">
        <f>_xlfn.XLOOKUP(AG31,Tab_Def_Flows[Name(EN)],Tab_Def_Flows[Flow_ID],,0,)</f>
        <v>#N/A</v>
      </c>
    </row>
    <row r="32" spans="1:34" x14ac:dyDescent="0.35">
      <c r="A32" s="97" t="b">
        <v>0</v>
      </c>
      <c r="B32" s="117" t="s">
        <v>476</v>
      </c>
      <c r="C32" s="49" t="str">
        <f t="shared" si="0"/>
        <v>30__</v>
      </c>
      <c r="D32" s="51"/>
      <c r="E32" s="92"/>
      <c r="F32" s="51"/>
      <c r="G32" s="51"/>
      <c r="H32" s="51"/>
      <c r="I32" s="92"/>
      <c r="J32" s="95"/>
      <c r="K32" s="51"/>
      <c r="L32" s="99"/>
      <c r="M32" s="51" t="s">
        <v>231</v>
      </c>
      <c r="N32" s="52" t="e">
        <f>_xlfn.XLOOKUP(M32,Tab_Def_Flows[Name(EN)],Tab_Def_Flows[Flow_ID],,0,)</f>
        <v>#N/A</v>
      </c>
      <c r="O32" s="51" t="s">
        <v>231</v>
      </c>
      <c r="P32" s="52" t="e">
        <f>_xlfn.XLOOKUP(O32,Tab_Def_Flows[Name(EN)],Tab_Def_Flows[Flow_ID],,0,)</f>
        <v>#N/A</v>
      </c>
      <c r="Q32" s="51" t="s">
        <v>231</v>
      </c>
      <c r="R32" s="52" t="e">
        <f>_xlfn.XLOOKUP(Q32,Tab_Def_Flows[Name(EN)],Tab_Def_Flows[Flow_ID],,0,)</f>
        <v>#N/A</v>
      </c>
      <c r="S32" s="51" t="s">
        <v>231</v>
      </c>
      <c r="T32" s="52" t="e">
        <f>_xlfn.XLOOKUP(S32,Tab_Def_Flows[Name(EN)],Tab_Def_Flows[Flow_ID],,0,)</f>
        <v>#N/A</v>
      </c>
      <c r="U32" s="51" t="s">
        <v>231</v>
      </c>
      <c r="V32" s="53" t="e">
        <f>_xlfn.XLOOKUP(U32,Tab_Def_Flows[Name(EN)],Tab_Def_Flows[Flow_ID],,0,)</f>
        <v>#N/A</v>
      </c>
      <c r="W32" s="51" t="s">
        <v>231</v>
      </c>
      <c r="X32" s="52" t="e">
        <f>_xlfn.XLOOKUP(W32,Tab_Def_Flows[Name(EN)],Tab_Def_Flows[Flow_ID],,0,)</f>
        <v>#N/A</v>
      </c>
      <c r="Y32" s="51" t="s">
        <v>231</v>
      </c>
      <c r="Z32" s="52" t="e">
        <f>_xlfn.XLOOKUP(Y32,Tab_Def_Flows[Name(EN)],Tab_Def_Flows[Flow_ID],,0,)</f>
        <v>#N/A</v>
      </c>
      <c r="AA32" s="51" t="s">
        <v>231</v>
      </c>
      <c r="AB32" s="52" t="e">
        <f>_xlfn.XLOOKUP(AA32,Tab_Def_Flows[Name(EN)],Tab_Def_Flows[Flow_ID],,0,)</f>
        <v>#N/A</v>
      </c>
      <c r="AC32" s="51" t="s">
        <v>231</v>
      </c>
      <c r="AD32" s="52" t="e">
        <f>_xlfn.XLOOKUP(AC32,Tab_Def_Flows[Name(EN)],Tab_Def_Flows[Flow_ID],,0,)</f>
        <v>#N/A</v>
      </c>
      <c r="AE32" s="51" t="s">
        <v>231</v>
      </c>
      <c r="AF32" s="52" t="e">
        <f>_xlfn.XLOOKUP(AE32,Tab_Def_Flows[Name(EN)],Tab_Def_Flows[Flow_ID],,0,)</f>
        <v>#N/A</v>
      </c>
      <c r="AG32" s="51" t="s">
        <v>231</v>
      </c>
      <c r="AH32" s="53" t="e">
        <f>_xlfn.XLOOKUP(AG32,Tab_Def_Flows[Name(EN)],Tab_Def_Flows[Flow_ID],,0,)</f>
        <v>#N/A</v>
      </c>
    </row>
    <row r="33" spans="1:34" x14ac:dyDescent="0.35">
      <c r="A33" s="97" t="b">
        <v>0</v>
      </c>
      <c r="B33" s="117" t="s">
        <v>477</v>
      </c>
      <c r="C33" s="49" t="str">
        <f t="shared" si="0"/>
        <v>31__</v>
      </c>
      <c r="D33" s="51"/>
      <c r="E33" s="92"/>
      <c r="F33" s="51"/>
      <c r="G33" s="51"/>
      <c r="H33" s="51"/>
      <c r="I33" s="92"/>
      <c r="J33" s="95"/>
      <c r="K33" s="51"/>
      <c r="L33" s="99"/>
      <c r="M33" s="51" t="s">
        <v>231</v>
      </c>
      <c r="N33" s="52" t="e">
        <f>_xlfn.XLOOKUP(M33,Tab_Def_Flows[Name(EN)],Tab_Def_Flows[Flow_ID],,0,)</f>
        <v>#N/A</v>
      </c>
      <c r="O33" s="51" t="s">
        <v>231</v>
      </c>
      <c r="P33" s="52" t="e">
        <f>_xlfn.XLOOKUP(O33,Tab_Def_Flows[Name(EN)],Tab_Def_Flows[Flow_ID],,0,)</f>
        <v>#N/A</v>
      </c>
      <c r="Q33" s="51" t="s">
        <v>231</v>
      </c>
      <c r="R33" s="52" t="e">
        <f>_xlfn.XLOOKUP(Q33,Tab_Def_Flows[Name(EN)],Tab_Def_Flows[Flow_ID],,0,)</f>
        <v>#N/A</v>
      </c>
      <c r="S33" s="51" t="s">
        <v>231</v>
      </c>
      <c r="T33" s="52" t="e">
        <f>_xlfn.XLOOKUP(S33,Tab_Def_Flows[Name(EN)],Tab_Def_Flows[Flow_ID],,0,)</f>
        <v>#N/A</v>
      </c>
      <c r="U33" s="51" t="s">
        <v>231</v>
      </c>
      <c r="V33" s="53" t="e">
        <f>_xlfn.XLOOKUP(U33,Tab_Def_Flows[Name(EN)],Tab_Def_Flows[Flow_ID],,0,)</f>
        <v>#N/A</v>
      </c>
      <c r="W33" s="51" t="s">
        <v>231</v>
      </c>
      <c r="X33" s="52" t="e">
        <f>_xlfn.XLOOKUP(W33,Tab_Def_Flows[Name(EN)],Tab_Def_Flows[Flow_ID],,0,)</f>
        <v>#N/A</v>
      </c>
      <c r="Y33" s="51" t="s">
        <v>231</v>
      </c>
      <c r="Z33" s="52" t="e">
        <f>_xlfn.XLOOKUP(Y33,Tab_Def_Flows[Name(EN)],Tab_Def_Flows[Flow_ID],,0,)</f>
        <v>#N/A</v>
      </c>
      <c r="AA33" s="51" t="s">
        <v>231</v>
      </c>
      <c r="AB33" s="52" t="e">
        <f>_xlfn.XLOOKUP(AA33,Tab_Def_Flows[Name(EN)],Tab_Def_Flows[Flow_ID],,0,)</f>
        <v>#N/A</v>
      </c>
      <c r="AC33" s="51" t="s">
        <v>231</v>
      </c>
      <c r="AD33" s="52" t="e">
        <f>_xlfn.XLOOKUP(AC33,Tab_Def_Flows[Name(EN)],Tab_Def_Flows[Flow_ID],,0,)</f>
        <v>#N/A</v>
      </c>
      <c r="AE33" s="51" t="s">
        <v>231</v>
      </c>
      <c r="AF33" s="52" t="e">
        <f>_xlfn.XLOOKUP(AE33,Tab_Def_Flows[Name(EN)],Tab_Def_Flows[Flow_ID],,0,)</f>
        <v>#N/A</v>
      </c>
      <c r="AG33" s="51" t="s">
        <v>231</v>
      </c>
      <c r="AH33" s="53" t="e">
        <f>_xlfn.XLOOKUP(AG33,Tab_Def_Flows[Name(EN)],Tab_Def_Flows[Flow_ID],,0,)</f>
        <v>#N/A</v>
      </c>
    </row>
    <row r="34" spans="1:34" x14ac:dyDescent="0.35">
      <c r="A34" s="97" t="b">
        <v>0</v>
      </c>
      <c r="B34" s="117" t="s">
        <v>478</v>
      </c>
      <c r="C34" s="49" t="str">
        <f t="shared" si="0"/>
        <v>32__</v>
      </c>
      <c r="D34" s="51"/>
      <c r="E34" s="92"/>
      <c r="F34" s="51"/>
      <c r="G34" s="51"/>
      <c r="H34" s="51"/>
      <c r="I34" s="92"/>
      <c r="J34" s="95"/>
      <c r="K34" s="51"/>
      <c r="L34" s="99"/>
      <c r="M34" s="51" t="s">
        <v>231</v>
      </c>
      <c r="N34" s="52" t="e">
        <f>_xlfn.XLOOKUP(M34,Tab_Def_Flows[Name(EN)],Tab_Def_Flows[Flow_ID],,0,)</f>
        <v>#N/A</v>
      </c>
      <c r="O34" s="51" t="s">
        <v>231</v>
      </c>
      <c r="P34" s="52" t="e">
        <f>_xlfn.XLOOKUP(O34,Tab_Def_Flows[Name(EN)],Tab_Def_Flows[Flow_ID],,0,)</f>
        <v>#N/A</v>
      </c>
      <c r="Q34" s="51" t="s">
        <v>231</v>
      </c>
      <c r="R34" s="52" t="e">
        <f>_xlfn.XLOOKUP(Q34,Tab_Def_Flows[Name(EN)],Tab_Def_Flows[Flow_ID],,0,)</f>
        <v>#N/A</v>
      </c>
      <c r="S34" s="51" t="s">
        <v>231</v>
      </c>
      <c r="T34" s="52" t="e">
        <f>_xlfn.XLOOKUP(S34,Tab_Def_Flows[Name(EN)],Tab_Def_Flows[Flow_ID],,0,)</f>
        <v>#N/A</v>
      </c>
      <c r="U34" s="51" t="s">
        <v>231</v>
      </c>
      <c r="V34" s="53" t="e">
        <f>_xlfn.XLOOKUP(U34,Tab_Def_Flows[Name(EN)],Tab_Def_Flows[Flow_ID],,0,)</f>
        <v>#N/A</v>
      </c>
      <c r="W34" s="51" t="s">
        <v>231</v>
      </c>
      <c r="X34" s="52" t="e">
        <f>_xlfn.XLOOKUP(W34,Tab_Def_Flows[Name(EN)],Tab_Def_Flows[Flow_ID],,0,)</f>
        <v>#N/A</v>
      </c>
      <c r="Y34" s="51" t="s">
        <v>231</v>
      </c>
      <c r="Z34" s="52" t="e">
        <f>_xlfn.XLOOKUP(Y34,Tab_Def_Flows[Name(EN)],Tab_Def_Flows[Flow_ID],,0,)</f>
        <v>#N/A</v>
      </c>
      <c r="AA34" s="51" t="s">
        <v>231</v>
      </c>
      <c r="AB34" s="52" t="e">
        <f>_xlfn.XLOOKUP(AA34,Tab_Def_Flows[Name(EN)],Tab_Def_Flows[Flow_ID],,0,)</f>
        <v>#N/A</v>
      </c>
      <c r="AC34" s="51" t="s">
        <v>231</v>
      </c>
      <c r="AD34" s="52" t="e">
        <f>_xlfn.XLOOKUP(AC34,Tab_Def_Flows[Name(EN)],Tab_Def_Flows[Flow_ID],,0,)</f>
        <v>#N/A</v>
      </c>
      <c r="AE34" s="51" t="s">
        <v>231</v>
      </c>
      <c r="AF34" s="52" t="e">
        <f>_xlfn.XLOOKUP(AE34,Tab_Def_Flows[Name(EN)],Tab_Def_Flows[Flow_ID],,0,)</f>
        <v>#N/A</v>
      </c>
      <c r="AG34" s="51" t="s">
        <v>231</v>
      </c>
      <c r="AH34" s="53" t="e">
        <f>_xlfn.XLOOKUP(AG34,Tab_Def_Flows[Name(EN)],Tab_Def_Flows[Flow_ID],,0,)</f>
        <v>#N/A</v>
      </c>
    </row>
    <row r="35" spans="1:34" x14ac:dyDescent="0.35">
      <c r="A35" s="97" t="b">
        <v>0</v>
      </c>
      <c r="B35" s="117" t="s">
        <v>479</v>
      </c>
      <c r="C35" s="49" t="str">
        <f t="shared" si="0"/>
        <v>33__</v>
      </c>
      <c r="D35" s="51"/>
      <c r="E35" s="92"/>
      <c r="F35" s="51"/>
      <c r="G35" s="51"/>
      <c r="H35" s="51"/>
      <c r="I35" s="92"/>
      <c r="J35" s="95"/>
      <c r="K35" s="51"/>
      <c r="L35" s="99"/>
      <c r="M35" s="51" t="s">
        <v>231</v>
      </c>
      <c r="N35" s="52" t="e">
        <f>_xlfn.XLOOKUP(M35,Tab_Def_Flows[Name(EN)],Tab_Def_Flows[Flow_ID],,0,)</f>
        <v>#N/A</v>
      </c>
      <c r="O35" s="51" t="s">
        <v>231</v>
      </c>
      <c r="P35" s="52" t="e">
        <f>_xlfn.XLOOKUP(O35,Tab_Def_Flows[Name(EN)],Tab_Def_Flows[Flow_ID],,0,)</f>
        <v>#N/A</v>
      </c>
      <c r="Q35" s="51" t="s">
        <v>231</v>
      </c>
      <c r="R35" s="52" t="e">
        <f>_xlfn.XLOOKUP(Q35,Tab_Def_Flows[Name(EN)],Tab_Def_Flows[Flow_ID],,0,)</f>
        <v>#N/A</v>
      </c>
      <c r="S35" s="51" t="s">
        <v>231</v>
      </c>
      <c r="T35" s="52" t="e">
        <f>_xlfn.XLOOKUP(S35,Tab_Def_Flows[Name(EN)],Tab_Def_Flows[Flow_ID],,0,)</f>
        <v>#N/A</v>
      </c>
      <c r="U35" s="51" t="s">
        <v>231</v>
      </c>
      <c r="V35" s="53" t="e">
        <f>_xlfn.XLOOKUP(U35,Tab_Def_Flows[Name(EN)],Tab_Def_Flows[Flow_ID],,0,)</f>
        <v>#N/A</v>
      </c>
      <c r="W35" s="51" t="s">
        <v>231</v>
      </c>
      <c r="X35" s="52" t="e">
        <f>_xlfn.XLOOKUP(W35,Tab_Def_Flows[Name(EN)],Tab_Def_Flows[Flow_ID],,0,)</f>
        <v>#N/A</v>
      </c>
      <c r="Y35" s="51" t="s">
        <v>231</v>
      </c>
      <c r="Z35" s="52" t="e">
        <f>_xlfn.XLOOKUP(Y35,Tab_Def_Flows[Name(EN)],Tab_Def_Flows[Flow_ID],,0,)</f>
        <v>#N/A</v>
      </c>
      <c r="AA35" s="51" t="s">
        <v>231</v>
      </c>
      <c r="AB35" s="52" t="e">
        <f>_xlfn.XLOOKUP(AA35,Tab_Def_Flows[Name(EN)],Tab_Def_Flows[Flow_ID],,0,)</f>
        <v>#N/A</v>
      </c>
      <c r="AC35" s="51" t="s">
        <v>231</v>
      </c>
      <c r="AD35" s="52" t="e">
        <f>_xlfn.XLOOKUP(AC35,Tab_Def_Flows[Name(EN)],Tab_Def_Flows[Flow_ID],,0,)</f>
        <v>#N/A</v>
      </c>
      <c r="AE35" s="51" t="s">
        <v>231</v>
      </c>
      <c r="AF35" s="52" t="e">
        <f>_xlfn.XLOOKUP(AE35,Tab_Def_Flows[Name(EN)],Tab_Def_Flows[Flow_ID],,0,)</f>
        <v>#N/A</v>
      </c>
      <c r="AG35" s="51" t="s">
        <v>231</v>
      </c>
      <c r="AH35" s="53" t="e">
        <f>_xlfn.XLOOKUP(AG35,Tab_Def_Flows[Name(EN)],Tab_Def_Flows[Flow_ID],,0,)</f>
        <v>#N/A</v>
      </c>
    </row>
    <row r="36" spans="1:34" x14ac:dyDescent="0.35">
      <c r="A36" s="97" t="b">
        <v>0</v>
      </c>
      <c r="B36" s="117" t="s">
        <v>480</v>
      </c>
      <c r="C36" s="49" t="str">
        <f t="shared" si="0"/>
        <v>34__</v>
      </c>
      <c r="D36" s="51"/>
      <c r="E36" s="92"/>
      <c r="F36" s="51"/>
      <c r="G36" s="51"/>
      <c r="H36" s="51"/>
      <c r="I36" s="92"/>
      <c r="J36" s="95"/>
      <c r="K36" s="51"/>
      <c r="L36" s="99"/>
      <c r="M36" s="51" t="s">
        <v>231</v>
      </c>
      <c r="N36" s="52" t="e">
        <f>_xlfn.XLOOKUP(M36,Tab_Def_Flows[Name(EN)],Tab_Def_Flows[Flow_ID],,0,)</f>
        <v>#N/A</v>
      </c>
      <c r="O36" s="51" t="s">
        <v>231</v>
      </c>
      <c r="P36" s="52" t="e">
        <f>_xlfn.XLOOKUP(O36,Tab_Def_Flows[Name(EN)],Tab_Def_Flows[Flow_ID],,0,)</f>
        <v>#N/A</v>
      </c>
      <c r="Q36" s="51" t="s">
        <v>231</v>
      </c>
      <c r="R36" s="52" t="e">
        <f>_xlfn.XLOOKUP(Q36,Tab_Def_Flows[Name(EN)],Tab_Def_Flows[Flow_ID],,0,)</f>
        <v>#N/A</v>
      </c>
      <c r="S36" s="51" t="s">
        <v>231</v>
      </c>
      <c r="T36" s="52" t="e">
        <f>_xlfn.XLOOKUP(S36,Tab_Def_Flows[Name(EN)],Tab_Def_Flows[Flow_ID],,0,)</f>
        <v>#N/A</v>
      </c>
      <c r="U36" s="51" t="s">
        <v>231</v>
      </c>
      <c r="V36" s="53" t="e">
        <f>_xlfn.XLOOKUP(U36,Tab_Def_Flows[Name(EN)],Tab_Def_Flows[Flow_ID],,0,)</f>
        <v>#N/A</v>
      </c>
      <c r="W36" s="51" t="s">
        <v>231</v>
      </c>
      <c r="X36" s="52" t="e">
        <f>_xlfn.XLOOKUP(W36,Tab_Def_Flows[Name(EN)],Tab_Def_Flows[Flow_ID],,0,)</f>
        <v>#N/A</v>
      </c>
      <c r="Y36" s="51" t="s">
        <v>231</v>
      </c>
      <c r="Z36" s="52" t="e">
        <f>_xlfn.XLOOKUP(Y36,Tab_Def_Flows[Name(EN)],Tab_Def_Flows[Flow_ID],,0,)</f>
        <v>#N/A</v>
      </c>
      <c r="AA36" s="51" t="s">
        <v>231</v>
      </c>
      <c r="AB36" s="52" t="e">
        <f>_xlfn.XLOOKUP(AA36,Tab_Def_Flows[Name(EN)],Tab_Def_Flows[Flow_ID],,0,)</f>
        <v>#N/A</v>
      </c>
      <c r="AC36" s="51" t="s">
        <v>231</v>
      </c>
      <c r="AD36" s="52" t="e">
        <f>_xlfn.XLOOKUP(AC36,Tab_Def_Flows[Name(EN)],Tab_Def_Flows[Flow_ID],,0,)</f>
        <v>#N/A</v>
      </c>
      <c r="AE36" s="51" t="s">
        <v>231</v>
      </c>
      <c r="AF36" s="52" t="e">
        <f>_xlfn.XLOOKUP(AE36,Tab_Def_Flows[Name(EN)],Tab_Def_Flows[Flow_ID],,0,)</f>
        <v>#N/A</v>
      </c>
      <c r="AG36" s="51" t="s">
        <v>231</v>
      </c>
      <c r="AH36" s="53" t="e">
        <f>_xlfn.XLOOKUP(AG36,Tab_Def_Flows[Name(EN)],Tab_Def_Flows[Flow_ID],,0,)</f>
        <v>#N/A</v>
      </c>
    </row>
    <row r="37" spans="1:34" x14ac:dyDescent="0.35">
      <c r="A37" s="97" t="b">
        <v>0</v>
      </c>
      <c r="B37" s="117" t="s">
        <v>481</v>
      </c>
      <c r="C37" s="49" t="str">
        <f t="shared" si="0"/>
        <v>35__</v>
      </c>
      <c r="D37" s="51"/>
      <c r="E37" s="92"/>
      <c r="F37" s="51"/>
      <c r="G37" s="51"/>
      <c r="H37" s="51"/>
      <c r="I37" s="92"/>
      <c r="J37" s="95"/>
      <c r="K37" s="51"/>
      <c r="L37" s="99"/>
      <c r="M37" s="51" t="s">
        <v>231</v>
      </c>
      <c r="N37" s="52" t="e">
        <f>_xlfn.XLOOKUP(M37,Tab_Def_Flows[Name(EN)],Tab_Def_Flows[Flow_ID],,0,)</f>
        <v>#N/A</v>
      </c>
      <c r="O37" s="51" t="s">
        <v>231</v>
      </c>
      <c r="P37" s="52" t="e">
        <f>_xlfn.XLOOKUP(O37,Tab_Def_Flows[Name(EN)],Tab_Def_Flows[Flow_ID],,0,)</f>
        <v>#N/A</v>
      </c>
      <c r="Q37" s="51" t="s">
        <v>231</v>
      </c>
      <c r="R37" s="52" t="e">
        <f>_xlfn.XLOOKUP(Q37,Tab_Def_Flows[Name(EN)],Tab_Def_Flows[Flow_ID],,0,)</f>
        <v>#N/A</v>
      </c>
      <c r="S37" s="51" t="s">
        <v>231</v>
      </c>
      <c r="T37" s="52" t="e">
        <f>_xlfn.XLOOKUP(S37,Tab_Def_Flows[Name(EN)],Tab_Def_Flows[Flow_ID],,0,)</f>
        <v>#N/A</v>
      </c>
      <c r="U37" s="51" t="s">
        <v>231</v>
      </c>
      <c r="V37" s="53" t="e">
        <f>_xlfn.XLOOKUP(U37,Tab_Def_Flows[Name(EN)],Tab_Def_Flows[Flow_ID],,0,)</f>
        <v>#N/A</v>
      </c>
      <c r="W37" s="51" t="s">
        <v>231</v>
      </c>
      <c r="X37" s="52" t="e">
        <f>_xlfn.XLOOKUP(W37,Tab_Def_Flows[Name(EN)],Tab_Def_Flows[Flow_ID],,0,)</f>
        <v>#N/A</v>
      </c>
      <c r="Y37" s="51" t="s">
        <v>231</v>
      </c>
      <c r="Z37" s="52" t="e">
        <f>_xlfn.XLOOKUP(Y37,Tab_Def_Flows[Name(EN)],Tab_Def_Flows[Flow_ID],,0,)</f>
        <v>#N/A</v>
      </c>
      <c r="AA37" s="51" t="s">
        <v>231</v>
      </c>
      <c r="AB37" s="52" t="e">
        <f>_xlfn.XLOOKUP(AA37,Tab_Def_Flows[Name(EN)],Tab_Def_Flows[Flow_ID],,0,)</f>
        <v>#N/A</v>
      </c>
      <c r="AC37" s="51" t="s">
        <v>231</v>
      </c>
      <c r="AD37" s="52" t="e">
        <f>_xlfn.XLOOKUP(AC37,Tab_Def_Flows[Name(EN)],Tab_Def_Flows[Flow_ID],,0,)</f>
        <v>#N/A</v>
      </c>
      <c r="AE37" s="51" t="s">
        <v>231</v>
      </c>
      <c r="AF37" s="52" t="e">
        <f>_xlfn.XLOOKUP(AE37,Tab_Def_Flows[Name(EN)],Tab_Def_Flows[Flow_ID],,0,)</f>
        <v>#N/A</v>
      </c>
      <c r="AG37" s="51" t="s">
        <v>231</v>
      </c>
      <c r="AH37" s="53" t="e">
        <f>_xlfn.XLOOKUP(AG37,Tab_Def_Flows[Name(EN)],Tab_Def_Flows[Flow_ID],,0,)</f>
        <v>#N/A</v>
      </c>
    </row>
    <row r="38" spans="1:34" x14ac:dyDescent="0.35">
      <c r="A38" s="97" t="b">
        <v>0</v>
      </c>
      <c r="B38" s="117" t="s">
        <v>482</v>
      </c>
      <c r="C38" s="49" t="str">
        <f t="shared" si="0"/>
        <v>36__</v>
      </c>
      <c r="D38" s="51"/>
      <c r="E38" s="92"/>
      <c r="F38" s="51"/>
      <c r="G38" s="51"/>
      <c r="H38" s="51"/>
      <c r="I38" s="92"/>
      <c r="J38" s="95"/>
      <c r="K38" s="51"/>
      <c r="L38" s="99"/>
      <c r="M38" s="51" t="s">
        <v>231</v>
      </c>
      <c r="N38" s="52" t="e">
        <f>_xlfn.XLOOKUP(M38,Tab_Def_Flows[Name(EN)],Tab_Def_Flows[Flow_ID],,0,)</f>
        <v>#N/A</v>
      </c>
      <c r="O38" s="51" t="s">
        <v>231</v>
      </c>
      <c r="P38" s="52" t="e">
        <f>_xlfn.XLOOKUP(O38,Tab_Def_Flows[Name(EN)],Tab_Def_Flows[Flow_ID],,0,)</f>
        <v>#N/A</v>
      </c>
      <c r="Q38" s="51" t="s">
        <v>231</v>
      </c>
      <c r="R38" s="52" t="e">
        <f>_xlfn.XLOOKUP(Q38,Tab_Def_Flows[Name(EN)],Tab_Def_Flows[Flow_ID],,0,)</f>
        <v>#N/A</v>
      </c>
      <c r="S38" s="51" t="s">
        <v>231</v>
      </c>
      <c r="T38" s="52" t="e">
        <f>_xlfn.XLOOKUP(S38,Tab_Def_Flows[Name(EN)],Tab_Def_Flows[Flow_ID],,0,)</f>
        <v>#N/A</v>
      </c>
      <c r="U38" s="51" t="s">
        <v>231</v>
      </c>
      <c r="V38" s="53" t="e">
        <f>_xlfn.XLOOKUP(U38,Tab_Def_Flows[Name(EN)],Tab_Def_Flows[Flow_ID],,0,)</f>
        <v>#N/A</v>
      </c>
      <c r="W38" s="51" t="s">
        <v>231</v>
      </c>
      <c r="X38" s="52" t="e">
        <f>_xlfn.XLOOKUP(W38,Tab_Def_Flows[Name(EN)],Tab_Def_Flows[Flow_ID],,0,)</f>
        <v>#N/A</v>
      </c>
      <c r="Y38" s="51" t="s">
        <v>231</v>
      </c>
      <c r="Z38" s="52" t="e">
        <f>_xlfn.XLOOKUP(Y38,Tab_Def_Flows[Name(EN)],Tab_Def_Flows[Flow_ID],,0,)</f>
        <v>#N/A</v>
      </c>
      <c r="AA38" s="51" t="s">
        <v>231</v>
      </c>
      <c r="AB38" s="52" t="e">
        <f>_xlfn.XLOOKUP(AA38,Tab_Def_Flows[Name(EN)],Tab_Def_Flows[Flow_ID],,0,)</f>
        <v>#N/A</v>
      </c>
      <c r="AC38" s="51" t="s">
        <v>231</v>
      </c>
      <c r="AD38" s="52" t="e">
        <f>_xlfn.XLOOKUP(AC38,Tab_Def_Flows[Name(EN)],Tab_Def_Flows[Flow_ID],,0,)</f>
        <v>#N/A</v>
      </c>
      <c r="AE38" s="51" t="s">
        <v>231</v>
      </c>
      <c r="AF38" s="52" t="e">
        <f>_xlfn.XLOOKUP(AE38,Tab_Def_Flows[Name(EN)],Tab_Def_Flows[Flow_ID],,0,)</f>
        <v>#N/A</v>
      </c>
      <c r="AG38" s="51" t="s">
        <v>231</v>
      </c>
      <c r="AH38" s="53" t="e">
        <f>_xlfn.XLOOKUP(AG38,Tab_Def_Flows[Name(EN)],Tab_Def_Flows[Flow_ID],,0,)</f>
        <v>#N/A</v>
      </c>
    </row>
    <row r="39" spans="1:34" x14ac:dyDescent="0.35">
      <c r="A39" s="97" t="b">
        <v>0</v>
      </c>
      <c r="B39" s="117" t="s">
        <v>483</v>
      </c>
      <c r="C39" s="49" t="str">
        <f t="shared" si="0"/>
        <v>37__</v>
      </c>
      <c r="D39" s="51"/>
      <c r="E39" s="92"/>
      <c r="F39" s="51"/>
      <c r="G39" s="51"/>
      <c r="H39" s="51"/>
      <c r="I39" s="92"/>
      <c r="J39" s="95"/>
      <c r="K39" s="51"/>
      <c r="L39" s="99"/>
      <c r="M39" s="51" t="s">
        <v>231</v>
      </c>
      <c r="N39" s="52" t="e">
        <f>_xlfn.XLOOKUP(M39,Tab_Def_Flows[Name(EN)],Tab_Def_Flows[Flow_ID],,0,)</f>
        <v>#N/A</v>
      </c>
      <c r="O39" s="51" t="s">
        <v>231</v>
      </c>
      <c r="P39" s="52" t="e">
        <f>_xlfn.XLOOKUP(O39,Tab_Def_Flows[Name(EN)],Tab_Def_Flows[Flow_ID],,0,)</f>
        <v>#N/A</v>
      </c>
      <c r="Q39" s="51" t="s">
        <v>231</v>
      </c>
      <c r="R39" s="52" t="e">
        <f>_xlfn.XLOOKUP(Q39,Tab_Def_Flows[Name(EN)],Tab_Def_Flows[Flow_ID],,0,)</f>
        <v>#N/A</v>
      </c>
      <c r="S39" s="51" t="s">
        <v>231</v>
      </c>
      <c r="T39" s="52" t="e">
        <f>_xlfn.XLOOKUP(S39,Tab_Def_Flows[Name(EN)],Tab_Def_Flows[Flow_ID],,0,)</f>
        <v>#N/A</v>
      </c>
      <c r="U39" s="51" t="s">
        <v>231</v>
      </c>
      <c r="V39" s="53" t="e">
        <f>_xlfn.XLOOKUP(U39,Tab_Def_Flows[Name(EN)],Tab_Def_Flows[Flow_ID],,0,)</f>
        <v>#N/A</v>
      </c>
      <c r="W39" s="51" t="s">
        <v>231</v>
      </c>
      <c r="X39" s="52" t="e">
        <f>_xlfn.XLOOKUP(W39,Tab_Def_Flows[Name(EN)],Tab_Def_Flows[Flow_ID],,0,)</f>
        <v>#N/A</v>
      </c>
      <c r="Y39" s="51" t="s">
        <v>231</v>
      </c>
      <c r="Z39" s="52" t="e">
        <f>_xlfn.XLOOKUP(Y39,Tab_Def_Flows[Name(EN)],Tab_Def_Flows[Flow_ID],,0,)</f>
        <v>#N/A</v>
      </c>
      <c r="AA39" s="51" t="s">
        <v>231</v>
      </c>
      <c r="AB39" s="52" t="e">
        <f>_xlfn.XLOOKUP(AA39,Tab_Def_Flows[Name(EN)],Tab_Def_Flows[Flow_ID],,0,)</f>
        <v>#N/A</v>
      </c>
      <c r="AC39" s="51" t="s">
        <v>231</v>
      </c>
      <c r="AD39" s="52" t="e">
        <f>_xlfn.XLOOKUP(AC39,Tab_Def_Flows[Name(EN)],Tab_Def_Flows[Flow_ID],,0,)</f>
        <v>#N/A</v>
      </c>
      <c r="AE39" s="51" t="s">
        <v>231</v>
      </c>
      <c r="AF39" s="52" t="e">
        <f>_xlfn.XLOOKUP(AE39,Tab_Def_Flows[Name(EN)],Tab_Def_Flows[Flow_ID],,0,)</f>
        <v>#N/A</v>
      </c>
      <c r="AG39" s="51" t="s">
        <v>231</v>
      </c>
      <c r="AH39" s="53" t="e">
        <f>_xlfn.XLOOKUP(AG39,Tab_Def_Flows[Name(EN)],Tab_Def_Flows[Flow_ID],,0,)</f>
        <v>#N/A</v>
      </c>
    </row>
    <row r="40" spans="1:34" x14ac:dyDescent="0.35">
      <c r="A40" s="97" t="b">
        <v>0</v>
      </c>
      <c r="B40" s="117" t="s">
        <v>484</v>
      </c>
      <c r="C40" s="49" t="str">
        <f t="shared" si="0"/>
        <v>38__</v>
      </c>
      <c r="D40" s="51"/>
      <c r="E40" s="92"/>
      <c r="F40" s="51"/>
      <c r="G40" s="51"/>
      <c r="H40" s="51"/>
      <c r="I40" s="92"/>
      <c r="J40" s="95"/>
      <c r="K40" s="51"/>
      <c r="L40" s="99"/>
      <c r="M40" s="51" t="s">
        <v>231</v>
      </c>
      <c r="N40" s="52" t="e">
        <f>_xlfn.XLOOKUP(M40,Tab_Def_Flows[Name(EN)],Tab_Def_Flows[Flow_ID],,0,)</f>
        <v>#N/A</v>
      </c>
      <c r="O40" s="51" t="s">
        <v>231</v>
      </c>
      <c r="P40" s="52" t="e">
        <f>_xlfn.XLOOKUP(O40,Tab_Def_Flows[Name(EN)],Tab_Def_Flows[Flow_ID],,0,)</f>
        <v>#N/A</v>
      </c>
      <c r="Q40" s="51" t="s">
        <v>231</v>
      </c>
      <c r="R40" s="52" t="e">
        <f>_xlfn.XLOOKUP(Q40,Tab_Def_Flows[Name(EN)],Tab_Def_Flows[Flow_ID],,0,)</f>
        <v>#N/A</v>
      </c>
      <c r="S40" s="51" t="s">
        <v>231</v>
      </c>
      <c r="T40" s="52" t="e">
        <f>_xlfn.XLOOKUP(S40,Tab_Def_Flows[Name(EN)],Tab_Def_Flows[Flow_ID],,0,)</f>
        <v>#N/A</v>
      </c>
      <c r="U40" s="51" t="s">
        <v>231</v>
      </c>
      <c r="V40" s="53" t="e">
        <f>_xlfn.XLOOKUP(U40,Tab_Def_Flows[Name(EN)],Tab_Def_Flows[Flow_ID],,0,)</f>
        <v>#N/A</v>
      </c>
      <c r="W40" s="51" t="s">
        <v>231</v>
      </c>
      <c r="X40" s="52" t="e">
        <f>_xlfn.XLOOKUP(W40,Tab_Def_Flows[Name(EN)],Tab_Def_Flows[Flow_ID],,0,)</f>
        <v>#N/A</v>
      </c>
      <c r="Y40" s="51" t="s">
        <v>231</v>
      </c>
      <c r="Z40" s="52" t="e">
        <f>_xlfn.XLOOKUP(Y40,Tab_Def_Flows[Name(EN)],Tab_Def_Flows[Flow_ID],,0,)</f>
        <v>#N/A</v>
      </c>
      <c r="AA40" s="51" t="s">
        <v>231</v>
      </c>
      <c r="AB40" s="52" t="e">
        <f>_xlfn.XLOOKUP(AA40,Tab_Def_Flows[Name(EN)],Tab_Def_Flows[Flow_ID],,0,)</f>
        <v>#N/A</v>
      </c>
      <c r="AC40" s="51" t="s">
        <v>231</v>
      </c>
      <c r="AD40" s="52" t="e">
        <f>_xlfn.XLOOKUP(AC40,Tab_Def_Flows[Name(EN)],Tab_Def_Flows[Flow_ID],,0,)</f>
        <v>#N/A</v>
      </c>
      <c r="AE40" s="51" t="s">
        <v>231</v>
      </c>
      <c r="AF40" s="52" t="e">
        <f>_xlfn.XLOOKUP(AE40,Tab_Def_Flows[Name(EN)],Tab_Def_Flows[Flow_ID],,0,)</f>
        <v>#N/A</v>
      </c>
      <c r="AG40" s="51" t="s">
        <v>231</v>
      </c>
      <c r="AH40" s="53" t="e">
        <f>_xlfn.XLOOKUP(AG40,Tab_Def_Flows[Name(EN)],Tab_Def_Flows[Flow_ID],,0,)</f>
        <v>#N/A</v>
      </c>
    </row>
    <row r="41" spans="1:34" x14ac:dyDescent="0.35">
      <c r="A41" s="97" t="b">
        <v>0</v>
      </c>
      <c r="B41" s="117" t="s">
        <v>485</v>
      </c>
      <c r="C41" s="49" t="str">
        <f t="shared" si="0"/>
        <v>39__</v>
      </c>
      <c r="D41" s="51"/>
      <c r="E41" s="92"/>
      <c r="F41" s="51"/>
      <c r="G41" s="51"/>
      <c r="H41" s="51"/>
      <c r="I41" s="92"/>
      <c r="J41" s="95"/>
      <c r="K41" s="51"/>
      <c r="L41" s="99"/>
      <c r="M41" s="51" t="s">
        <v>231</v>
      </c>
      <c r="N41" s="52" t="e">
        <f>_xlfn.XLOOKUP(M41,Tab_Def_Flows[Name(EN)],Tab_Def_Flows[Flow_ID],,0,)</f>
        <v>#N/A</v>
      </c>
      <c r="O41" s="51" t="s">
        <v>231</v>
      </c>
      <c r="P41" s="52" t="e">
        <f>_xlfn.XLOOKUP(O41,Tab_Def_Flows[Name(EN)],Tab_Def_Flows[Flow_ID],,0,)</f>
        <v>#N/A</v>
      </c>
      <c r="Q41" s="51" t="s">
        <v>231</v>
      </c>
      <c r="R41" s="52" t="e">
        <f>_xlfn.XLOOKUP(Q41,Tab_Def_Flows[Name(EN)],Tab_Def_Flows[Flow_ID],,0,)</f>
        <v>#N/A</v>
      </c>
      <c r="S41" s="51" t="s">
        <v>231</v>
      </c>
      <c r="T41" s="52" t="e">
        <f>_xlfn.XLOOKUP(S41,Tab_Def_Flows[Name(EN)],Tab_Def_Flows[Flow_ID],,0,)</f>
        <v>#N/A</v>
      </c>
      <c r="U41" s="51" t="s">
        <v>231</v>
      </c>
      <c r="V41" s="53" t="e">
        <f>_xlfn.XLOOKUP(U41,Tab_Def_Flows[Name(EN)],Tab_Def_Flows[Flow_ID],,0,)</f>
        <v>#N/A</v>
      </c>
      <c r="W41" s="51" t="s">
        <v>231</v>
      </c>
      <c r="X41" s="52" t="e">
        <f>_xlfn.XLOOKUP(W41,Tab_Def_Flows[Name(EN)],Tab_Def_Flows[Flow_ID],,0,)</f>
        <v>#N/A</v>
      </c>
      <c r="Y41" s="51" t="s">
        <v>231</v>
      </c>
      <c r="Z41" s="52" t="e">
        <f>_xlfn.XLOOKUP(Y41,Tab_Def_Flows[Name(EN)],Tab_Def_Flows[Flow_ID],,0,)</f>
        <v>#N/A</v>
      </c>
      <c r="AA41" s="51" t="s">
        <v>231</v>
      </c>
      <c r="AB41" s="52" t="e">
        <f>_xlfn.XLOOKUP(AA41,Tab_Def_Flows[Name(EN)],Tab_Def_Flows[Flow_ID],,0,)</f>
        <v>#N/A</v>
      </c>
      <c r="AC41" s="51" t="s">
        <v>231</v>
      </c>
      <c r="AD41" s="52" t="e">
        <f>_xlfn.XLOOKUP(AC41,Tab_Def_Flows[Name(EN)],Tab_Def_Flows[Flow_ID],,0,)</f>
        <v>#N/A</v>
      </c>
      <c r="AE41" s="51" t="s">
        <v>231</v>
      </c>
      <c r="AF41" s="52" t="e">
        <f>_xlfn.XLOOKUP(AE41,Tab_Def_Flows[Name(EN)],Tab_Def_Flows[Flow_ID],,0,)</f>
        <v>#N/A</v>
      </c>
      <c r="AG41" s="51" t="s">
        <v>231</v>
      </c>
      <c r="AH41" s="53" t="e">
        <f>_xlfn.XLOOKUP(AG41,Tab_Def_Flows[Name(EN)],Tab_Def_Flows[Flow_ID],,0,)</f>
        <v>#N/A</v>
      </c>
    </row>
    <row r="42" spans="1:34" x14ac:dyDescent="0.35">
      <c r="A42" s="97" t="b">
        <v>0</v>
      </c>
      <c r="B42" s="117" t="s">
        <v>486</v>
      </c>
      <c r="C42" s="49" t="str">
        <f t="shared" si="0"/>
        <v>40__</v>
      </c>
      <c r="D42" s="51"/>
      <c r="E42" s="92"/>
      <c r="F42" s="51"/>
      <c r="G42" s="51"/>
      <c r="H42" s="51"/>
      <c r="I42" s="92"/>
      <c r="J42" s="95"/>
      <c r="K42" s="51"/>
      <c r="L42" s="99"/>
      <c r="M42" s="51" t="s">
        <v>231</v>
      </c>
      <c r="N42" s="52" t="e">
        <f>_xlfn.XLOOKUP(M42,Tab_Def_Flows[Name(EN)],Tab_Def_Flows[Flow_ID],,0,)</f>
        <v>#N/A</v>
      </c>
      <c r="O42" s="51" t="s">
        <v>231</v>
      </c>
      <c r="P42" s="52" t="e">
        <f>_xlfn.XLOOKUP(O42,Tab_Def_Flows[Name(EN)],Tab_Def_Flows[Flow_ID],,0,)</f>
        <v>#N/A</v>
      </c>
      <c r="Q42" s="51" t="s">
        <v>231</v>
      </c>
      <c r="R42" s="52" t="e">
        <f>_xlfn.XLOOKUP(Q42,Tab_Def_Flows[Name(EN)],Tab_Def_Flows[Flow_ID],,0,)</f>
        <v>#N/A</v>
      </c>
      <c r="S42" s="51" t="s">
        <v>231</v>
      </c>
      <c r="T42" s="52" t="e">
        <f>_xlfn.XLOOKUP(S42,Tab_Def_Flows[Name(EN)],Tab_Def_Flows[Flow_ID],,0,)</f>
        <v>#N/A</v>
      </c>
      <c r="U42" s="51" t="s">
        <v>231</v>
      </c>
      <c r="V42" s="53" t="e">
        <f>_xlfn.XLOOKUP(U42,Tab_Def_Flows[Name(EN)],Tab_Def_Flows[Flow_ID],,0,)</f>
        <v>#N/A</v>
      </c>
      <c r="W42" s="51" t="s">
        <v>231</v>
      </c>
      <c r="X42" s="52" t="e">
        <f>_xlfn.XLOOKUP(W42,Tab_Def_Flows[Name(EN)],Tab_Def_Flows[Flow_ID],,0,)</f>
        <v>#N/A</v>
      </c>
      <c r="Y42" s="51" t="s">
        <v>231</v>
      </c>
      <c r="Z42" s="52" t="e">
        <f>_xlfn.XLOOKUP(Y42,Tab_Def_Flows[Name(EN)],Tab_Def_Flows[Flow_ID],,0,)</f>
        <v>#N/A</v>
      </c>
      <c r="AA42" s="51" t="s">
        <v>231</v>
      </c>
      <c r="AB42" s="52" t="e">
        <f>_xlfn.XLOOKUP(AA42,Tab_Def_Flows[Name(EN)],Tab_Def_Flows[Flow_ID],,0,)</f>
        <v>#N/A</v>
      </c>
      <c r="AC42" s="51" t="s">
        <v>231</v>
      </c>
      <c r="AD42" s="52" t="e">
        <f>_xlfn.XLOOKUP(AC42,Tab_Def_Flows[Name(EN)],Tab_Def_Flows[Flow_ID],,0,)</f>
        <v>#N/A</v>
      </c>
      <c r="AE42" s="51" t="s">
        <v>231</v>
      </c>
      <c r="AF42" s="52" t="e">
        <f>_xlfn.XLOOKUP(AE42,Tab_Def_Flows[Name(EN)],Tab_Def_Flows[Flow_ID],,0,)</f>
        <v>#N/A</v>
      </c>
      <c r="AG42" s="51" t="s">
        <v>231</v>
      </c>
      <c r="AH42" s="53" t="e">
        <f>_xlfn.XLOOKUP(AG42,Tab_Def_Flows[Name(EN)],Tab_Def_Flows[Flow_ID],,0,)</f>
        <v>#N/A</v>
      </c>
    </row>
    <row r="43" spans="1:34" x14ac:dyDescent="0.35">
      <c r="A43" s="97" t="b">
        <v>0</v>
      </c>
      <c r="B43" s="117" t="s">
        <v>487</v>
      </c>
      <c r="C43" s="49" t="str">
        <f t="shared" si="0"/>
        <v>41__</v>
      </c>
      <c r="D43" s="51"/>
      <c r="E43" s="92"/>
      <c r="F43" s="51"/>
      <c r="G43" s="51"/>
      <c r="H43" s="51"/>
      <c r="I43" s="92"/>
      <c r="J43" s="95"/>
      <c r="K43" s="51"/>
      <c r="L43" s="99"/>
      <c r="M43" s="51" t="s">
        <v>231</v>
      </c>
      <c r="N43" s="52" t="e">
        <f>_xlfn.XLOOKUP(M43,Tab_Def_Flows[Name(EN)],Tab_Def_Flows[Flow_ID],,0,)</f>
        <v>#N/A</v>
      </c>
      <c r="O43" s="51" t="s">
        <v>231</v>
      </c>
      <c r="P43" s="52" t="e">
        <f>_xlfn.XLOOKUP(O43,Tab_Def_Flows[Name(EN)],Tab_Def_Flows[Flow_ID],,0,)</f>
        <v>#N/A</v>
      </c>
      <c r="Q43" s="51" t="s">
        <v>231</v>
      </c>
      <c r="R43" s="52" t="e">
        <f>_xlfn.XLOOKUP(Q43,Tab_Def_Flows[Name(EN)],Tab_Def_Flows[Flow_ID],,0,)</f>
        <v>#N/A</v>
      </c>
      <c r="S43" s="51" t="s">
        <v>231</v>
      </c>
      <c r="T43" s="52" t="e">
        <f>_xlfn.XLOOKUP(S43,Tab_Def_Flows[Name(EN)],Tab_Def_Flows[Flow_ID],,0,)</f>
        <v>#N/A</v>
      </c>
      <c r="U43" s="51" t="s">
        <v>231</v>
      </c>
      <c r="V43" s="53" t="e">
        <f>_xlfn.XLOOKUP(U43,Tab_Def_Flows[Name(EN)],Tab_Def_Flows[Flow_ID],,0,)</f>
        <v>#N/A</v>
      </c>
      <c r="W43" s="51" t="s">
        <v>231</v>
      </c>
      <c r="X43" s="52" t="e">
        <f>_xlfn.XLOOKUP(W43,Tab_Def_Flows[Name(EN)],Tab_Def_Flows[Flow_ID],,0,)</f>
        <v>#N/A</v>
      </c>
      <c r="Y43" s="51" t="s">
        <v>231</v>
      </c>
      <c r="Z43" s="52" t="e">
        <f>_xlfn.XLOOKUP(Y43,Tab_Def_Flows[Name(EN)],Tab_Def_Flows[Flow_ID],,0,)</f>
        <v>#N/A</v>
      </c>
      <c r="AA43" s="51" t="s">
        <v>231</v>
      </c>
      <c r="AB43" s="52" t="e">
        <f>_xlfn.XLOOKUP(AA43,Tab_Def_Flows[Name(EN)],Tab_Def_Flows[Flow_ID],,0,)</f>
        <v>#N/A</v>
      </c>
      <c r="AC43" s="51" t="s">
        <v>231</v>
      </c>
      <c r="AD43" s="52" t="e">
        <f>_xlfn.XLOOKUP(AC43,Tab_Def_Flows[Name(EN)],Tab_Def_Flows[Flow_ID],,0,)</f>
        <v>#N/A</v>
      </c>
      <c r="AE43" s="51" t="s">
        <v>231</v>
      </c>
      <c r="AF43" s="52" t="e">
        <f>_xlfn.XLOOKUP(AE43,Tab_Def_Flows[Name(EN)],Tab_Def_Flows[Flow_ID],,0,)</f>
        <v>#N/A</v>
      </c>
      <c r="AG43" s="51" t="s">
        <v>231</v>
      </c>
      <c r="AH43" s="53" t="e">
        <f>_xlfn.XLOOKUP(AG43,Tab_Def_Flows[Name(EN)],Tab_Def_Flows[Flow_ID],,0,)</f>
        <v>#N/A</v>
      </c>
    </row>
    <row r="44" spans="1:34" x14ac:dyDescent="0.35">
      <c r="A44" s="97" t="b">
        <v>0</v>
      </c>
      <c r="B44" s="117" t="s">
        <v>488</v>
      </c>
      <c r="C44" s="49" t="str">
        <f t="shared" si="0"/>
        <v>42__</v>
      </c>
      <c r="D44" s="51"/>
      <c r="E44" s="92"/>
      <c r="F44" s="51"/>
      <c r="G44" s="51"/>
      <c r="H44" s="51"/>
      <c r="I44" s="92"/>
      <c r="J44" s="95"/>
      <c r="K44" s="51"/>
      <c r="L44" s="99"/>
      <c r="M44" s="51" t="s">
        <v>231</v>
      </c>
      <c r="N44" s="52" t="e">
        <f>_xlfn.XLOOKUP(M44,Tab_Def_Flows[Name(EN)],Tab_Def_Flows[Flow_ID],,0,)</f>
        <v>#N/A</v>
      </c>
      <c r="O44" s="51" t="s">
        <v>231</v>
      </c>
      <c r="P44" s="52" t="e">
        <f>_xlfn.XLOOKUP(O44,Tab_Def_Flows[Name(EN)],Tab_Def_Flows[Flow_ID],,0,)</f>
        <v>#N/A</v>
      </c>
      <c r="Q44" s="51" t="s">
        <v>231</v>
      </c>
      <c r="R44" s="52" t="e">
        <f>_xlfn.XLOOKUP(Q44,Tab_Def_Flows[Name(EN)],Tab_Def_Flows[Flow_ID],,0,)</f>
        <v>#N/A</v>
      </c>
      <c r="S44" s="51" t="s">
        <v>231</v>
      </c>
      <c r="T44" s="52" t="e">
        <f>_xlfn.XLOOKUP(S44,Tab_Def_Flows[Name(EN)],Tab_Def_Flows[Flow_ID],,0,)</f>
        <v>#N/A</v>
      </c>
      <c r="U44" s="51" t="s">
        <v>231</v>
      </c>
      <c r="V44" s="53" t="e">
        <f>_xlfn.XLOOKUP(U44,Tab_Def_Flows[Name(EN)],Tab_Def_Flows[Flow_ID],,0,)</f>
        <v>#N/A</v>
      </c>
      <c r="W44" s="51" t="s">
        <v>231</v>
      </c>
      <c r="X44" s="52" t="e">
        <f>_xlfn.XLOOKUP(W44,Tab_Def_Flows[Name(EN)],Tab_Def_Flows[Flow_ID],,0,)</f>
        <v>#N/A</v>
      </c>
      <c r="Y44" s="51" t="s">
        <v>231</v>
      </c>
      <c r="Z44" s="52" t="e">
        <f>_xlfn.XLOOKUP(Y44,Tab_Def_Flows[Name(EN)],Tab_Def_Flows[Flow_ID],,0,)</f>
        <v>#N/A</v>
      </c>
      <c r="AA44" s="51" t="s">
        <v>231</v>
      </c>
      <c r="AB44" s="52" t="e">
        <f>_xlfn.XLOOKUP(AA44,Tab_Def_Flows[Name(EN)],Tab_Def_Flows[Flow_ID],,0,)</f>
        <v>#N/A</v>
      </c>
      <c r="AC44" s="51" t="s">
        <v>231</v>
      </c>
      <c r="AD44" s="52" t="e">
        <f>_xlfn.XLOOKUP(AC44,Tab_Def_Flows[Name(EN)],Tab_Def_Flows[Flow_ID],,0,)</f>
        <v>#N/A</v>
      </c>
      <c r="AE44" s="51" t="s">
        <v>231</v>
      </c>
      <c r="AF44" s="52" t="e">
        <f>_xlfn.XLOOKUP(AE44,Tab_Def_Flows[Name(EN)],Tab_Def_Flows[Flow_ID],,0,)</f>
        <v>#N/A</v>
      </c>
      <c r="AG44" s="51" t="s">
        <v>231</v>
      </c>
      <c r="AH44" s="53" t="e">
        <f>_xlfn.XLOOKUP(AG44,Tab_Def_Flows[Name(EN)],Tab_Def_Flows[Flow_ID],,0,)</f>
        <v>#N/A</v>
      </c>
    </row>
    <row r="45" spans="1:34" x14ac:dyDescent="0.35">
      <c r="A45" s="97" t="b">
        <v>0</v>
      </c>
      <c r="B45" s="117" t="s">
        <v>489</v>
      </c>
      <c r="C45" s="49" t="str">
        <f t="shared" si="0"/>
        <v>43__</v>
      </c>
      <c r="D45" s="51"/>
      <c r="E45" s="92"/>
      <c r="F45" s="51"/>
      <c r="G45" s="51"/>
      <c r="H45" s="51"/>
      <c r="I45" s="92"/>
      <c r="J45" s="95"/>
      <c r="K45" s="51"/>
      <c r="L45" s="99"/>
      <c r="M45" s="51" t="s">
        <v>231</v>
      </c>
      <c r="N45" s="52" t="e">
        <f>_xlfn.XLOOKUP(M45,Tab_Def_Flows[Name(EN)],Tab_Def_Flows[Flow_ID],,0,)</f>
        <v>#N/A</v>
      </c>
      <c r="O45" s="51" t="s">
        <v>231</v>
      </c>
      <c r="P45" s="52" t="e">
        <f>_xlfn.XLOOKUP(O45,Tab_Def_Flows[Name(EN)],Tab_Def_Flows[Flow_ID],,0,)</f>
        <v>#N/A</v>
      </c>
      <c r="Q45" s="51" t="s">
        <v>231</v>
      </c>
      <c r="R45" s="52" t="e">
        <f>_xlfn.XLOOKUP(Q45,Tab_Def_Flows[Name(EN)],Tab_Def_Flows[Flow_ID],,0,)</f>
        <v>#N/A</v>
      </c>
      <c r="S45" s="51" t="s">
        <v>231</v>
      </c>
      <c r="T45" s="52" t="e">
        <f>_xlfn.XLOOKUP(S45,Tab_Def_Flows[Name(EN)],Tab_Def_Flows[Flow_ID],,0,)</f>
        <v>#N/A</v>
      </c>
      <c r="U45" s="51" t="s">
        <v>231</v>
      </c>
      <c r="V45" s="53" t="e">
        <f>_xlfn.XLOOKUP(U45,Tab_Def_Flows[Name(EN)],Tab_Def_Flows[Flow_ID],,0,)</f>
        <v>#N/A</v>
      </c>
      <c r="W45" s="51" t="s">
        <v>231</v>
      </c>
      <c r="X45" s="52" t="e">
        <f>_xlfn.XLOOKUP(W45,Tab_Def_Flows[Name(EN)],Tab_Def_Flows[Flow_ID],,0,)</f>
        <v>#N/A</v>
      </c>
      <c r="Y45" s="51" t="s">
        <v>231</v>
      </c>
      <c r="Z45" s="52" t="e">
        <f>_xlfn.XLOOKUP(Y45,Tab_Def_Flows[Name(EN)],Tab_Def_Flows[Flow_ID],,0,)</f>
        <v>#N/A</v>
      </c>
      <c r="AA45" s="51" t="s">
        <v>231</v>
      </c>
      <c r="AB45" s="52" t="e">
        <f>_xlfn.XLOOKUP(AA45,Tab_Def_Flows[Name(EN)],Tab_Def_Flows[Flow_ID],,0,)</f>
        <v>#N/A</v>
      </c>
      <c r="AC45" s="51" t="s">
        <v>231</v>
      </c>
      <c r="AD45" s="52" t="e">
        <f>_xlfn.XLOOKUP(AC45,Tab_Def_Flows[Name(EN)],Tab_Def_Flows[Flow_ID],,0,)</f>
        <v>#N/A</v>
      </c>
      <c r="AE45" s="51" t="s">
        <v>231</v>
      </c>
      <c r="AF45" s="52" t="e">
        <f>_xlfn.XLOOKUP(AE45,Tab_Def_Flows[Name(EN)],Tab_Def_Flows[Flow_ID],,0,)</f>
        <v>#N/A</v>
      </c>
      <c r="AG45" s="51" t="s">
        <v>231</v>
      </c>
      <c r="AH45" s="53" t="e">
        <f>_xlfn.XLOOKUP(AG45,Tab_Def_Flows[Name(EN)],Tab_Def_Flows[Flow_ID],,0,)</f>
        <v>#N/A</v>
      </c>
    </row>
    <row r="46" spans="1:34" x14ac:dyDescent="0.35">
      <c r="A46" s="97" t="b">
        <v>0</v>
      </c>
      <c r="B46" s="117" t="s">
        <v>490</v>
      </c>
      <c r="C46" s="49" t="str">
        <f t="shared" si="0"/>
        <v>44__</v>
      </c>
      <c r="D46" s="51"/>
      <c r="E46" s="92"/>
      <c r="F46" s="51"/>
      <c r="G46" s="51"/>
      <c r="H46" s="51"/>
      <c r="I46" s="92"/>
      <c r="J46" s="95"/>
      <c r="K46" s="51"/>
      <c r="L46" s="99"/>
      <c r="M46" s="51" t="s">
        <v>231</v>
      </c>
      <c r="N46" s="52" t="e">
        <f>_xlfn.XLOOKUP(M46,Tab_Def_Flows[Name(EN)],Tab_Def_Flows[Flow_ID],,0,)</f>
        <v>#N/A</v>
      </c>
      <c r="O46" s="51" t="s">
        <v>231</v>
      </c>
      <c r="P46" s="52" t="e">
        <f>_xlfn.XLOOKUP(O46,Tab_Def_Flows[Name(EN)],Tab_Def_Flows[Flow_ID],,0,)</f>
        <v>#N/A</v>
      </c>
      <c r="Q46" s="51" t="s">
        <v>231</v>
      </c>
      <c r="R46" s="52" t="e">
        <f>_xlfn.XLOOKUP(Q46,Tab_Def_Flows[Name(EN)],Tab_Def_Flows[Flow_ID],,0,)</f>
        <v>#N/A</v>
      </c>
      <c r="S46" s="51" t="s">
        <v>231</v>
      </c>
      <c r="T46" s="52" t="e">
        <f>_xlfn.XLOOKUP(S46,Tab_Def_Flows[Name(EN)],Tab_Def_Flows[Flow_ID],,0,)</f>
        <v>#N/A</v>
      </c>
      <c r="U46" s="51" t="s">
        <v>231</v>
      </c>
      <c r="V46" s="53" t="e">
        <f>_xlfn.XLOOKUP(U46,Tab_Def_Flows[Name(EN)],Tab_Def_Flows[Flow_ID],,0,)</f>
        <v>#N/A</v>
      </c>
      <c r="W46" s="51" t="s">
        <v>231</v>
      </c>
      <c r="X46" s="52" t="e">
        <f>_xlfn.XLOOKUP(W46,Tab_Def_Flows[Name(EN)],Tab_Def_Flows[Flow_ID],,0,)</f>
        <v>#N/A</v>
      </c>
      <c r="Y46" s="51" t="s">
        <v>231</v>
      </c>
      <c r="Z46" s="52" t="e">
        <f>_xlfn.XLOOKUP(Y46,Tab_Def_Flows[Name(EN)],Tab_Def_Flows[Flow_ID],,0,)</f>
        <v>#N/A</v>
      </c>
      <c r="AA46" s="51" t="s">
        <v>231</v>
      </c>
      <c r="AB46" s="52" t="e">
        <f>_xlfn.XLOOKUP(AA46,Tab_Def_Flows[Name(EN)],Tab_Def_Flows[Flow_ID],,0,)</f>
        <v>#N/A</v>
      </c>
      <c r="AC46" s="51" t="s">
        <v>231</v>
      </c>
      <c r="AD46" s="52" t="e">
        <f>_xlfn.XLOOKUP(AC46,Tab_Def_Flows[Name(EN)],Tab_Def_Flows[Flow_ID],,0,)</f>
        <v>#N/A</v>
      </c>
      <c r="AE46" s="51" t="s">
        <v>231</v>
      </c>
      <c r="AF46" s="52" t="e">
        <f>_xlfn.XLOOKUP(AE46,Tab_Def_Flows[Name(EN)],Tab_Def_Flows[Flow_ID],,0,)</f>
        <v>#N/A</v>
      </c>
      <c r="AG46" s="51" t="s">
        <v>231</v>
      </c>
      <c r="AH46" s="53" t="e">
        <f>_xlfn.XLOOKUP(AG46,Tab_Def_Flows[Name(EN)],Tab_Def_Flows[Flow_ID],,0,)</f>
        <v>#N/A</v>
      </c>
    </row>
    <row r="47" spans="1:34" x14ac:dyDescent="0.35">
      <c r="A47" s="97" t="b">
        <v>0</v>
      </c>
      <c r="B47" s="117" t="s">
        <v>491</v>
      </c>
      <c r="C47" s="49" t="str">
        <f t="shared" si="0"/>
        <v>45__</v>
      </c>
      <c r="D47" s="51"/>
      <c r="E47" s="92"/>
      <c r="F47" s="51"/>
      <c r="G47" s="51"/>
      <c r="H47" s="51"/>
      <c r="I47" s="92"/>
      <c r="J47" s="95"/>
      <c r="K47" s="51"/>
      <c r="L47" s="99"/>
      <c r="M47" s="51" t="s">
        <v>231</v>
      </c>
      <c r="N47" s="52" t="e">
        <f>_xlfn.XLOOKUP(M47,Tab_Def_Flows[Name(EN)],Tab_Def_Flows[Flow_ID],,0,)</f>
        <v>#N/A</v>
      </c>
      <c r="O47" s="51" t="s">
        <v>231</v>
      </c>
      <c r="P47" s="52" t="e">
        <f>_xlfn.XLOOKUP(O47,Tab_Def_Flows[Name(EN)],Tab_Def_Flows[Flow_ID],,0,)</f>
        <v>#N/A</v>
      </c>
      <c r="Q47" s="51" t="s">
        <v>231</v>
      </c>
      <c r="R47" s="52" t="e">
        <f>_xlfn.XLOOKUP(Q47,Tab_Def_Flows[Name(EN)],Tab_Def_Flows[Flow_ID],,0,)</f>
        <v>#N/A</v>
      </c>
      <c r="S47" s="51" t="s">
        <v>231</v>
      </c>
      <c r="T47" s="52" t="e">
        <f>_xlfn.XLOOKUP(S47,Tab_Def_Flows[Name(EN)],Tab_Def_Flows[Flow_ID],,0,)</f>
        <v>#N/A</v>
      </c>
      <c r="U47" s="51" t="s">
        <v>231</v>
      </c>
      <c r="V47" s="53" t="e">
        <f>_xlfn.XLOOKUP(U47,Tab_Def_Flows[Name(EN)],Tab_Def_Flows[Flow_ID],,0,)</f>
        <v>#N/A</v>
      </c>
      <c r="W47" s="51" t="s">
        <v>231</v>
      </c>
      <c r="X47" s="52" t="e">
        <f>_xlfn.XLOOKUP(W47,Tab_Def_Flows[Name(EN)],Tab_Def_Flows[Flow_ID],,0,)</f>
        <v>#N/A</v>
      </c>
      <c r="Y47" s="51" t="s">
        <v>231</v>
      </c>
      <c r="Z47" s="52" t="e">
        <f>_xlfn.XLOOKUP(Y47,Tab_Def_Flows[Name(EN)],Tab_Def_Flows[Flow_ID],,0,)</f>
        <v>#N/A</v>
      </c>
      <c r="AA47" s="51" t="s">
        <v>231</v>
      </c>
      <c r="AB47" s="52" t="e">
        <f>_xlfn.XLOOKUP(AA47,Tab_Def_Flows[Name(EN)],Tab_Def_Flows[Flow_ID],,0,)</f>
        <v>#N/A</v>
      </c>
      <c r="AC47" s="51" t="s">
        <v>231</v>
      </c>
      <c r="AD47" s="52" t="e">
        <f>_xlfn.XLOOKUP(AC47,Tab_Def_Flows[Name(EN)],Tab_Def_Flows[Flow_ID],,0,)</f>
        <v>#N/A</v>
      </c>
      <c r="AE47" s="51" t="s">
        <v>231</v>
      </c>
      <c r="AF47" s="52" t="e">
        <f>_xlfn.XLOOKUP(AE47,Tab_Def_Flows[Name(EN)],Tab_Def_Flows[Flow_ID],,0,)</f>
        <v>#N/A</v>
      </c>
      <c r="AG47" s="51" t="s">
        <v>231</v>
      </c>
      <c r="AH47" s="53" t="e">
        <f>_xlfn.XLOOKUP(AG47,Tab_Def_Flows[Name(EN)],Tab_Def_Flows[Flow_ID],,0,)</f>
        <v>#N/A</v>
      </c>
    </row>
    <row r="48" spans="1:34" x14ac:dyDescent="0.35">
      <c r="A48" s="97" t="b">
        <v>0</v>
      </c>
      <c r="B48" s="117" t="s">
        <v>492</v>
      </c>
      <c r="C48" s="49" t="str">
        <f t="shared" si="0"/>
        <v>46__</v>
      </c>
      <c r="D48" s="51"/>
      <c r="E48" s="92"/>
      <c r="F48" s="51"/>
      <c r="G48" s="51"/>
      <c r="H48" s="51"/>
      <c r="I48" s="92"/>
      <c r="J48" s="95"/>
      <c r="K48" s="51"/>
      <c r="L48" s="99"/>
      <c r="M48" s="51" t="s">
        <v>231</v>
      </c>
      <c r="N48" s="52" t="e">
        <f>_xlfn.XLOOKUP(M48,Tab_Def_Flows[Name(EN)],Tab_Def_Flows[Flow_ID],,0,)</f>
        <v>#N/A</v>
      </c>
      <c r="O48" s="51" t="s">
        <v>231</v>
      </c>
      <c r="P48" s="52" t="e">
        <f>_xlfn.XLOOKUP(O48,Tab_Def_Flows[Name(EN)],Tab_Def_Flows[Flow_ID],,0,)</f>
        <v>#N/A</v>
      </c>
      <c r="Q48" s="51" t="s">
        <v>231</v>
      </c>
      <c r="R48" s="52" t="e">
        <f>_xlfn.XLOOKUP(Q48,Tab_Def_Flows[Name(EN)],Tab_Def_Flows[Flow_ID],,0,)</f>
        <v>#N/A</v>
      </c>
      <c r="S48" s="51" t="s">
        <v>231</v>
      </c>
      <c r="T48" s="52" t="e">
        <f>_xlfn.XLOOKUP(S48,Tab_Def_Flows[Name(EN)],Tab_Def_Flows[Flow_ID],,0,)</f>
        <v>#N/A</v>
      </c>
      <c r="U48" s="51" t="s">
        <v>231</v>
      </c>
      <c r="V48" s="53" t="e">
        <f>_xlfn.XLOOKUP(U48,Tab_Def_Flows[Name(EN)],Tab_Def_Flows[Flow_ID],,0,)</f>
        <v>#N/A</v>
      </c>
      <c r="W48" s="51" t="s">
        <v>231</v>
      </c>
      <c r="X48" s="52" t="e">
        <f>_xlfn.XLOOKUP(W48,Tab_Def_Flows[Name(EN)],Tab_Def_Flows[Flow_ID],,0,)</f>
        <v>#N/A</v>
      </c>
      <c r="Y48" s="51" t="s">
        <v>231</v>
      </c>
      <c r="Z48" s="52" t="e">
        <f>_xlfn.XLOOKUP(Y48,Tab_Def_Flows[Name(EN)],Tab_Def_Flows[Flow_ID],,0,)</f>
        <v>#N/A</v>
      </c>
      <c r="AA48" s="51" t="s">
        <v>231</v>
      </c>
      <c r="AB48" s="52" t="e">
        <f>_xlfn.XLOOKUP(AA48,Tab_Def_Flows[Name(EN)],Tab_Def_Flows[Flow_ID],,0,)</f>
        <v>#N/A</v>
      </c>
      <c r="AC48" s="51" t="s">
        <v>231</v>
      </c>
      <c r="AD48" s="52" t="e">
        <f>_xlfn.XLOOKUP(AC48,Tab_Def_Flows[Name(EN)],Tab_Def_Flows[Flow_ID],,0,)</f>
        <v>#N/A</v>
      </c>
      <c r="AE48" s="51" t="s">
        <v>231</v>
      </c>
      <c r="AF48" s="52" t="e">
        <f>_xlfn.XLOOKUP(AE48,Tab_Def_Flows[Name(EN)],Tab_Def_Flows[Flow_ID],,0,)</f>
        <v>#N/A</v>
      </c>
      <c r="AG48" s="51" t="s">
        <v>231</v>
      </c>
      <c r="AH48" s="53" t="e">
        <f>_xlfn.XLOOKUP(AG48,Tab_Def_Flows[Name(EN)],Tab_Def_Flows[Flow_ID],,0,)</f>
        <v>#N/A</v>
      </c>
    </row>
    <row r="49" spans="1:34" x14ac:dyDescent="0.35">
      <c r="A49" s="97" t="b">
        <v>0</v>
      </c>
      <c r="B49" s="117" t="s">
        <v>493</v>
      </c>
      <c r="C49" s="49" t="str">
        <f t="shared" si="0"/>
        <v>47__</v>
      </c>
      <c r="D49" s="51"/>
      <c r="E49" s="92"/>
      <c r="F49" s="51"/>
      <c r="G49" s="51"/>
      <c r="H49" s="51"/>
      <c r="I49" s="92"/>
      <c r="J49" s="95"/>
      <c r="K49" s="51"/>
      <c r="L49" s="99"/>
      <c r="M49" s="51" t="s">
        <v>231</v>
      </c>
      <c r="N49" s="52" t="e">
        <f>_xlfn.XLOOKUP(M49,Tab_Def_Flows[Name(EN)],Tab_Def_Flows[Flow_ID],,0,)</f>
        <v>#N/A</v>
      </c>
      <c r="O49" s="51" t="s">
        <v>231</v>
      </c>
      <c r="P49" s="52" t="e">
        <f>_xlfn.XLOOKUP(O49,Tab_Def_Flows[Name(EN)],Tab_Def_Flows[Flow_ID],,0,)</f>
        <v>#N/A</v>
      </c>
      <c r="Q49" s="51" t="s">
        <v>231</v>
      </c>
      <c r="R49" s="52" t="e">
        <f>_xlfn.XLOOKUP(Q49,Tab_Def_Flows[Name(EN)],Tab_Def_Flows[Flow_ID],,0,)</f>
        <v>#N/A</v>
      </c>
      <c r="S49" s="51" t="s">
        <v>231</v>
      </c>
      <c r="T49" s="52" t="e">
        <f>_xlfn.XLOOKUP(S49,Tab_Def_Flows[Name(EN)],Tab_Def_Flows[Flow_ID],,0,)</f>
        <v>#N/A</v>
      </c>
      <c r="U49" s="51" t="s">
        <v>231</v>
      </c>
      <c r="V49" s="53" t="e">
        <f>_xlfn.XLOOKUP(U49,Tab_Def_Flows[Name(EN)],Tab_Def_Flows[Flow_ID],,0,)</f>
        <v>#N/A</v>
      </c>
      <c r="W49" s="51" t="s">
        <v>231</v>
      </c>
      <c r="X49" s="52" t="e">
        <f>_xlfn.XLOOKUP(W49,Tab_Def_Flows[Name(EN)],Tab_Def_Flows[Flow_ID],,0,)</f>
        <v>#N/A</v>
      </c>
      <c r="Y49" s="51" t="s">
        <v>231</v>
      </c>
      <c r="Z49" s="52" t="e">
        <f>_xlfn.XLOOKUP(Y49,Tab_Def_Flows[Name(EN)],Tab_Def_Flows[Flow_ID],,0,)</f>
        <v>#N/A</v>
      </c>
      <c r="AA49" s="51" t="s">
        <v>231</v>
      </c>
      <c r="AB49" s="52" t="e">
        <f>_xlfn.XLOOKUP(AA49,Tab_Def_Flows[Name(EN)],Tab_Def_Flows[Flow_ID],,0,)</f>
        <v>#N/A</v>
      </c>
      <c r="AC49" s="51" t="s">
        <v>231</v>
      </c>
      <c r="AD49" s="52" t="e">
        <f>_xlfn.XLOOKUP(AC49,Tab_Def_Flows[Name(EN)],Tab_Def_Flows[Flow_ID],,0,)</f>
        <v>#N/A</v>
      </c>
      <c r="AE49" s="51" t="s">
        <v>231</v>
      </c>
      <c r="AF49" s="52" t="e">
        <f>_xlfn.XLOOKUP(AE49,Tab_Def_Flows[Name(EN)],Tab_Def_Flows[Flow_ID],,0,)</f>
        <v>#N/A</v>
      </c>
      <c r="AG49" s="51" t="s">
        <v>231</v>
      </c>
      <c r="AH49" s="53" t="e">
        <f>_xlfn.XLOOKUP(AG49,Tab_Def_Flows[Name(EN)],Tab_Def_Flows[Flow_ID],,0,)</f>
        <v>#N/A</v>
      </c>
    </row>
    <row r="50" spans="1:34" x14ac:dyDescent="0.35">
      <c r="A50" s="97" t="b">
        <v>0</v>
      </c>
      <c r="B50" s="117" t="s">
        <v>494</v>
      </c>
      <c r="C50" s="49" t="str">
        <f t="shared" si="0"/>
        <v>48__</v>
      </c>
      <c r="D50" s="51"/>
      <c r="E50" s="92"/>
      <c r="F50" s="51"/>
      <c r="G50" s="51"/>
      <c r="H50" s="51"/>
      <c r="I50" s="92"/>
      <c r="J50" s="95"/>
      <c r="K50" s="51"/>
      <c r="L50" s="99"/>
      <c r="M50" s="51" t="s">
        <v>231</v>
      </c>
      <c r="N50" s="52" t="e">
        <f>_xlfn.XLOOKUP(M50,Tab_Def_Flows[Name(EN)],Tab_Def_Flows[Flow_ID],,0,)</f>
        <v>#N/A</v>
      </c>
      <c r="O50" s="51" t="s">
        <v>231</v>
      </c>
      <c r="P50" s="52" t="e">
        <f>_xlfn.XLOOKUP(O50,Tab_Def_Flows[Name(EN)],Tab_Def_Flows[Flow_ID],,0,)</f>
        <v>#N/A</v>
      </c>
      <c r="Q50" s="51" t="s">
        <v>231</v>
      </c>
      <c r="R50" s="52" t="e">
        <f>_xlfn.XLOOKUP(Q50,Tab_Def_Flows[Name(EN)],Tab_Def_Flows[Flow_ID],,0,)</f>
        <v>#N/A</v>
      </c>
      <c r="S50" s="51" t="s">
        <v>231</v>
      </c>
      <c r="T50" s="52" t="e">
        <f>_xlfn.XLOOKUP(S50,Tab_Def_Flows[Name(EN)],Tab_Def_Flows[Flow_ID],,0,)</f>
        <v>#N/A</v>
      </c>
      <c r="U50" s="51" t="s">
        <v>231</v>
      </c>
      <c r="V50" s="53" t="e">
        <f>_xlfn.XLOOKUP(U50,Tab_Def_Flows[Name(EN)],Tab_Def_Flows[Flow_ID],,0,)</f>
        <v>#N/A</v>
      </c>
      <c r="W50" s="51" t="s">
        <v>231</v>
      </c>
      <c r="X50" s="52" t="e">
        <f>_xlfn.XLOOKUP(W50,Tab_Def_Flows[Name(EN)],Tab_Def_Flows[Flow_ID],,0,)</f>
        <v>#N/A</v>
      </c>
      <c r="Y50" s="51" t="s">
        <v>231</v>
      </c>
      <c r="Z50" s="52" t="e">
        <f>_xlfn.XLOOKUP(Y50,Tab_Def_Flows[Name(EN)],Tab_Def_Flows[Flow_ID],,0,)</f>
        <v>#N/A</v>
      </c>
      <c r="AA50" s="51" t="s">
        <v>231</v>
      </c>
      <c r="AB50" s="52" t="e">
        <f>_xlfn.XLOOKUP(AA50,Tab_Def_Flows[Name(EN)],Tab_Def_Flows[Flow_ID],,0,)</f>
        <v>#N/A</v>
      </c>
      <c r="AC50" s="51" t="s">
        <v>231</v>
      </c>
      <c r="AD50" s="52" t="e">
        <f>_xlfn.XLOOKUP(AC50,Tab_Def_Flows[Name(EN)],Tab_Def_Flows[Flow_ID],,0,)</f>
        <v>#N/A</v>
      </c>
      <c r="AE50" s="51" t="s">
        <v>231</v>
      </c>
      <c r="AF50" s="52" t="e">
        <f>_xlfn.XLOOKUP(AE50,Tab_Def_Flows[Name(EN)],Tab_Def_Flows[Flow_ID],,0,)</f>
        <v>#N/A</v>
      </c>
      <c r="AG50" s="51" t="s">
        <v>231</v>
      </c>
      <c r="AH50" s="53" t="e">
        <f>_xlfn.XLOOKUP(AG50,Tab_Def_Flows[Name(EN)],Tab_Def_Flows[Flow_ID],,0,)</f>
        <v>#N/A</v>
      </c>
    </row>
    <row r="51" spans="1:34" x14ac:dyDescent="0.35">
      <c r="A51" s="97" t="b">
        <v>0</v>
      </c>
      <c r="B51" s="117" t="s">
        <v>495</v>
      </c>
      <c r="C51" s="49" t="str">
        <f t="shared" si="0"/>
        <v>49__</v>
      </c>
      <c r="D51" s="51"/>
      <c r="E51" s="92"/>
      <c r="F51" s="51"/>
      <c r="G51" s="51"/>
      <c r="H51" s="51"/>
      <c r="I51" s="92"/>
      <c r="J51" s="95"/>
      <c r="K51" s="51"/>
      <c r="L51" s="99"/>
      <c r="M51" s="51" t="s">
        <v>231</v>
      </c>
      <c r="N51" s="52" t="e">
        <f>_xlfn.XLOOKUP(M51,Tab_Def_Flows[Name(EN)],Tab_Def_Flows[Flow_ID],,0,)</f>
        <v>#N/A</v>
      </c>
      <c r="O51" s="51" t="s">
        <v>231</v>
      </c>
      <c r="P51" s="52" t="e">
        <f>_xlfn.XLOOKUP(O51,Tab_Def_Flows[Name(EN)],Tab_Def_Flows[Flow_ID],,0,)</f>
        <v>#N/A</v>
      </c>
      <c r="Q51" s="51" t="s">
        <v>231</v>
      </c>
      <c r="R51" s="52" t="e">
        <f>_xlfn.XLOOKUP(Q51,Tab_Def_Flows[Name(EN)],Tab_Def_Flows[Flow_ID],,0,)</f>
        <v>#N/A</v>
      </c>
      <c r="S51" s="51" t="s">
        <v>231</v>
      </c>
      <c r="T51" s="52" t="e">
        <f>_xlfn.XLOOKUP(S51,Tab_Def_Flows[Name(EN)],Tab_Def_Flows[Flow_ID],,0,)</f>
        <v>#N/A</v>
      </c>
      <c r="U51" s="51" t="s">
        <v>231</v>
      </c>
      <c r="V51" s="53" t="e">
        <f>_xlfn.XLOOKUP(U51,Tab_Def_Flows[Name(EN)],Tab_Def_Flows[Flow_ID],,0,)</f>
        <v>#N/A</v>
      </c>
      <c r="W51" s="51" t="s">
        <v>231</v>
      </c>
      <c r="X51" s="52" t="e">
        <f>_xlfn.XLOOKUP(W51,Tab_Def_Flows[Name(EN)],Tab_Def_Flows[Flow_ID],,0,)</f>
        <v>#N/A</v>
      </c>
      <c r="Y51" s="51" t="s">
        <v>231</v>
      </c>
      <c r="Z51" s="52" t="e">
        <f>_xlfn.XLOOKUP(Y51,Tab_Def_Flows[Name(EN)],Tab_Def_Flows[Flow_ID],,0,)</f>
        <v>#N/A</v>
      </c>
      <c r="AA51" s="51" t="s">
        <v>231</v>
      </c>
      <c r="AB51" s="52" t="e">
        <f>_xlfn.XLOOKUP(AA51,Tab_Def_Flows[Name(EN)],Tab_Def_Flows[Flow_ID],,0,)</f>
        <v>#N/A</v>
      </c>
      <c r="AC51" s="51" t="s">
        <v>231</v>
      </c>
      <c r="AD51" s="52" t="e">
        <f>_xlfn.XLOOKUP(AC51,Tab_Def_Flows[Name(EN)],Tab_Def_Flows[Flow_ID],,0,)</f>
        <v>#N/A</v>
      </c>
      <c r="AE51" s="51" t="s">
        <v>231</v>
      </c>
      <c r="AF51" s="52" t="e">
        <f>_xlfn.XLOOKUP(AE51,Tab_Def_Flows[Name(EN)],Tab_Def_Flows[Flow_ID],,0,)</f>
        <v>#N/A</v>
      </c>
      <c r="AG51" s="51" t="s">
        <v>231</v>
      </c>
      <c r="AH51" s="53" t="e">
        <f>_xlfn.XLOOKUP(AG51,Tab_Def_Flows[Name(EN)],Tab_Def_Flows[Flow_ID],,0,)</f>
        <v>#N/A</v>
      </c>
    </row>
    <row r="52" spans="1:34" x14ac:dyDescent="0.35">
      <c r="A52" s="97" t="b">
        <v>0</v>
      </c>
      <c r="B52" s="117" t="s">
        <v>496</v>
      </c>
      <c r="C52" s="49" t="str">
        <f t="shared" si="0"/>
        <v>50__</v>
      </c>
      <c r="D52" s="51"/>
      <c r="E52" s="92"/>
      <c r="F52" s="51"/>
      <c r="G52" s="51"/>
      <c r="H52" s="51"/>
      <c r="I52" s="92"/>
      <c r="J52" s="95"/>
      <c r="K52" s="51"/>
      <c r="L52" s="99"/>
      <c r="M52" s="51" t="s">
        <v>231</v>
      </c>
      <c r="N52" s="52" t="e">
        <f>_xlfn.XLOOKUP(M52,Tab_Def_Flows[Name(EN)],Tab_Def_Flows[Flow_ID],,0,)</f>
        <v>#N/A</v>
      </c>
      <c r="O52" s="51" t="s">
        <v>231</v>
      </c>
      <c r="P52" s="52" t="e">
        <f>_xlfn.XLOOKUP(O52,Tab_Def_Flows[Name(EN)],Tab_Def_Flows[Flow_ID],,0,)</f>
        <v>#N/A</v>
      </c>
      <c r="Q52" s="51" t="s">
        <v>231</v>
      </c>
      <c r="R52" s="52" t="e">
        <f>_xlfn.XLOOKUP(Q52,Tab_Def_Flows[Name(EN)],Tab_Def_Flows[Flow_ID],,0,)</f>
        <v>#N/A</v>
      </c>
      <c r="S52" s="51" t="s">
        <v>231</v>
      </c>
      <c r="T52" s="52" t="e">
        <f>_xlfn.XLOOKUP(S52,Tab_Def_Flows[Name(EN)],Tab_Def_Flows[Flow_ID],,0,)</f>
        <v>#N/A</v>
      </c>
      <c r="U52" s="51" t="s">
        <v>231</v>
      </c>
      <c r="V52" s="53" t="e">
        <f>_xlfn.XLOOKUP(U52,Tab_Def_Flows[Name(EN)],Tab_Def_Flows[Flow_ID],,0,)</f>
        <v>#N/A</v>
      </c>
      <c r="W52" s="51" t="s">
        <v>231</v>
      </c>
      <c r="X52" s="52" t="e">
        <f>_xlfn.XLOOKUP(W52,Tab_Def_Flows[Name(EN)],Tab_Def_Flows[Flow_ID],,0,)</f>
        <v>#N/A</v>
      </c>
      <c r="Y52" s="51" t="s">
        <v>231</v>
      </c>
      <c r="Z52" s="52" t="e">
        <f>_xlfn.XLOOKUP(Y52,Tab_Def_Flows[Name(EN)],Tab_Def_Flows[Flow_ID],,0,)</f>
        <v>#N/A</v>
      </c>
      <c r="AA52" s="51" t="s">
        <v>231</v>
      </c>
      <c r="AB52" s="52" t="e">
        <f>_xlfn.XLOOKUP(AA52,Tab_Def_Flows[Name(EN)],Tab_Def_Flows[Flow_ID],,0,)</f>
        <v>#N/A</v>
      </c>
      <c r="AC52" s="51" t="s">
        <v>231</v>
      </c>
      <c r="AD52" s="52" t="e">
        <f>_xlfn.XLOOKUP(AC52,Tab_Def_Flows[Name(EN)],Tab_Def_Flows[Flow_ID],,0,)</f>
        <v>#N/A</v>
      </c>
      <c r="AE52" s="51" t="s">
        <v>231</v>
      </c>
      <c r="AF52" s="52" t="e">
        <f>_xlfn.XLOOKUP(AE52,Tab_Def_Flows[Name(EN)],Tab_Def_Flows[Flow_ID],,0,)</f>
        <v>#N/A</v>
      </c>
      <c r="AG52" s="51" t="s">
        <v>231</v>
      </c>
      <c r="AH52" s="53" t="e">
        <f>_xlfn.XLOOKUP(AG52,Tab_Def_Flows[Name(EN)],Tab_Def_Flows[Flow_ID],,0,)</f>
        <v>#N/A</v>
      </c>
    </row>
    <row r="53" spans="1:34" x14ac:dyDescent="0.35">
      <c r="A53" s="97" t="b">
        <v>0</v>
      </c>
      <c r="B53" s="117" t="s">
        <v>497</v>
      </c>
      <c r="C53" s="49" t="str">
        <f t="shared" si="0"/>
        <v>51__</v>
      </c>
      <c r="D53" s="51"/>
      <c r="E53" s="92"/>
      <c r="F53" s="51"/>
      <c r="G53" s="51"/>
      <c r="H53" s="51"/>
      <c r="I53" s="92"/>
      <c r="J53" s="95"/>
      <c r="K53" s="51"/>
      <c r="L53" s="99"/>
      <c r="M53" s="51" t="s">
        <v>231</v>
      </c>
      <c r="N53" s="52" t="e">
        <f>_xlfn.XLOOKUP(M53,Tab_Def_Flows[Name(EN)],Tab_Def_Flows[Flow_ID],,0,)</f>
        <v>#N/A</v>
      </c>
      <c r="O53" s="51" t="s">
        <v>231</v>
      </c>
      <c r="P53" s="52" t="e">
        <f>_xlfn.XLOOKUP(O53,Tab_Def_Flows[Name(EN)],Tab_Def_Flows[Flow_ID],,0,)</f>
        <v>#N/A</v>
      </c>
      <c r="Q53" s="51" t="s">
        <v>231</v>
      </c>
      <c r="R53" s="52" t="e">
        <f>_xlfn.XLOOKUP(Q53,Tab_Def_Flows[Name(EN)],Tab_Def_Flows[Flow_ID],,0,)</f>
        <v>#N/A</v>
      </c>
      <c r="S53" s="51" t="s">
        <v>231</v>
      </c>
      <c r="T53" s="52" t="e">
        <f>_xlfn.XLOOKUP(S53,Tab_Def_Flows[Name(EN)],Tab_Def_Flows[Flow_ID],,0,)</f>
        <v>#N/A</v>
      </c>
      <c r="U53" s="51" t="s">
        <v>231</v>
      </c>
      <c r="V53" s="53" t="e">
        <f>_xlfn.XLOOKUP(U53,Tab_Def_Flows[Name(EN)],Tab_Def_Flows[Flow_ID],,0,)</f>
        <v>#N/A</v>
      </c>
      <c r="W53" s="51" t="s">
        <v>231</v>
      </c>
      <c r="X53" s="52" t="e">
        <f>_xlfn.XLOOKUP(W53,Tab_Def_Flows[Name(EN)],Tab_Def_Flows[Flow_ID],,0,)</f>
        <v>#N/A</v>
      </c>
      <c r="Y53" s="51" t="s">
        <v>231</v>
      </c>
      <c r="Z53" s="52" t="e">
        <f>_xlfn.XLOOKUP(Y53,Tab_Def_Flows[Name(EN)],Tab_Def_Flows[Flow_ID],,0,)</f>
        <v>#N/A</v>
      </c>
      <c r="AA53" s="51" t="s">
        <v>231</v>
      </c>
      <c r="AB53" s="52" t="e">
        <f>_xlfn.XLOOKUP(AA53,Tab_Def_Flows[Name(EN)],Tab_Def_Flows[Flow_ID],,0,)</f>
        <v>#N/A</v>
      </c>
      <c r="AC53" s="51" t="s">
        <v>231</v>
      </c>
      <c r="AD53" s="52" t="e">
        <f>_xlfn.XLOOKUP(AC53,Tab_Def_Flows[Name(EN)],Tab_Def_Flows[Flow_ID],,0,)</f>
        <v>#N/A</v>
      </c>
      <c r="AE53" s="51" t="s">
        <v>231</v>
      </c>
      <c r="AF53" s="52" t="e">
        <f>_xlfn.XLOOKUP(AE53,Tab_Def_Flows[Name(EN)],Tab_Def_Flows[Flow_ID],,0,)</f>
        <v>#N/A</v>
      </c>
      <c r="AG53" s="51" t="s">
        <v>231</v>
      </c>
      <c r="AH53" s="53" t="e">
        <f>_xlfn.XLOOKUP(AG53,Tab_Def_Flows[Name(EN)],Tab_Def_Flows[Flow_ID],,0,)</f>
        <v>#N/A</v>
      </c>
    </row>
    <row r="54" spans="1:34" x14ac:dyDescent="0.35">
      <c r="A54" s="97" t="b">
        <v>0</v>
      </c>
      <c r="B54" s="117" t="s">
        <v>498</v>
      </c>
      <c r="C54" s="49" t="str">
        <f t="shared" si="0"/>
        <v>52__</v>
      </c>
      <c r="D54" s="51"/>
      <c r="E54" s="92"/>
      <c r="F54" s="51"/>
      <c r="G54" s="51"/>
      <c r="H54" s="51"/>
      <c r="I54" s="92"/>
      <c r="J54" s="95"/>
      <c r="K54" s="51"/>
      <c r="L54" s="99"/>
      <c r="M54" s="51" t="s">
        <v>231</v>
      </c>
      <c r="N54" s="52" t="e">
        <f>_xlfn.XLOOKUP(M54,Tab_Def_Flows[Name(EN)],Tab_Def_Flows[Flow_ID],,0,)</f>
        <v>#N/A</v>
      </c>
      <c r="O54" s="51" t="s">
        <v>231</v>
      </c>
      <c r="P54" s="52" t="e">
        <f>_xlfn.XLOOKUP(O54,Tab_Def_Flows[Name(EN)],Tab_Def_Flows[Flow_ID],,0,)</f>
        <v>#N/A</v>
      </c>
      <c r="Q54" s="51" t="s">
        <v>231</v>
      </c>
      <c r="R54" s="52" t="e">
        <f>_xlfn.XLOOKUP(Q54,Tab_Def_Flows[Name(EN)],Tab_Def_Flows[Flow_ID],,0,)</f>
        <v>#N/A</v>
      </c>
      <c r="S54" s="51" t="s">
        <v>231</v>
      </c>
      <c r="T54" s="52" t="e">
        <f>_xlfn.XLOOKUP(S54,Tab_Def_Flows[Name(EN)],Tab_Def_Flows[Flow_ID],,0,)</f>
        <v>#N/A</v>
      </c>
      <c r="U54" s="51" t="s">
        <v>231</v>
      </c>
      <c r="V54" s="53" t="e">
        <f>_xlfn.XLOOKUP(U54,Tab_Def_Flows[Name(EN)],Tab_Def_Flows[Flow_ID],,0,)</f>
        <v>#N/A</v>
      </c>
      <c r="W54" s="51" t="s">
        <v>231</v>
      </c>
      <c r="X54" s="52" t="e">
        <f>_xlfn.XLOOKUP(W54,Tab_Def_Flows[Name(EN)],Tab_Def_Flows[Flow_ID],,0,)</f>
        <v>#N/A</v>
      </c>
      <c r="Y54" s="51" t="s">
        <v>231</v>
      </c>
      <c r="Z54" s="52" t="e">
        <f>_xlfn.XLOOKUP(Y54,Tab_Def_Flows[Name(EN)],Tab_Def_Flows[Flow_ID],,0,)</f>
        <v>#N/A</v>
      </c>
      <c r="AA54" s="51" t="s">
        <v>231</v>
      </c>
      <c r="AB54" s="52" t="e">
        <f>_xlfn.XLOOKUP(AA54,Tab_Def_Flows[Name(EN)],Tab_Def_Flows[Flow_ID],,0,)</f>
        <v>#N/A</v>
      </c>
      <c r="AC54" s="51" t="s">
        <v>231</v>
      </c>
      <c r="AD54" s="52" t="e">
        <f>_xlfn.XLOOKUP(AC54,Tab_Def_Flows[Name(EN)],Tab_Def_Flows[Flow_ID],,0,)</f>
        <v>#N/A</v>
      </c>
      <c r="AE54" s="51" t="s">
        <v>231</v>
      </c>
      <c r="AF54" s="52" t="e">
        <f>_xlfn.XLOOKUP(AE54,Tab_Def_Flows[Name(EN)],Tab_Def_Flows[Flow_ID],,0,)</f>
        <v>#N/A</v>
      </c>
      <c r="AG54" s="51" t="s">
        <v>231</v>
      </c>
      <c r="AH54" s="53" t="e">
        <f>_xlfn.XLOOKUP(AG54,Tab_Def_Flows[Name(EN)],Tab_Def_Flows[Flow_ID],,0,)</f>
        <v>#N/A</v>
      </c>
    </row>
    <row r="55" spans="1:34" x14ac:dyDescent="0.35">
      <c r="A55" s="97" t="b">
        <v>0</v>
      </c>
      <c r="B55" s="117" t="s">
        <v>499</v>
      </c>
      <c r="C55" s="49" t="str">
        <f t="shared" si="0"/>
        <v>53__</v>
      </c>
      <c r="D55" s="51"/>
      <c r="E55" s="92"/>
      <c r="F55" s="51"/>
      <c r="G55" s="51"/>
      <c r="H55" s="51"/>
      <c r="I55" s="92"/>
      <c r="J55" s="95"/>
      <c r="K55" s="51"/>
      <c r="L55" s="99"/>
      <c r="M55" s="51" t="s">
        <v>231</v>
      </c>
      <c r="N55" s="52" t="e">
        <f>_xlfn.XLOOKUP(M55,Tab_Def_Flows[Name(EN)],Tab_Def_Flows[Flow_ID],,0,)</f>
        <v>#N/A</v>
      </c>
      <c r="O55" s="51" t="s">
        <v>231</v>
      </c>
      <c r="P55" s="52" t="e">
        <f>_xlfn.XLOOKUP(O55,Tab_Def_Flows[Name(EN)],Tab_Def_Flows[Flow_ID],,0,)</f>
        <v>#N/A</v>
      </c>
      <c r="Q55" s="51" t="s">
        <v>231</v>
      </c>
      <c r="R55" s="52" t="e">
        <f>_xlfn.XLOOKUP(Q55,Tab_Def_Flows[Name(EN)],Tab_Def_Flows[Flow_ID],,0,)</f>
        <v>#N/A</v>
      </c>
      <c r="S55" s="51" t="s">
        <v>231</v>
      </c>
      <c r="T55" s="52" t="e">
        <f>_xlfn.XLOOKUP(S55,Tab_Def_Flows[Name(EN)],Tab_Def_Flows[Flow_ID],,0,)</f>
        <v>#N/A</v>
      </c>
      <c r="U55" s="51" t="s">
        <v>231</v>
      </c>
      <c r="V55" s="53" t="e">
        <f>_xlfn.XLOOKUP(U55,Tab_Def_Flows[Name(EN)],Tab_Def_Flows[Flow_ID],,0,)</f>
        <v>#N/A</v>
      </c>
      <c r="W55" s="51" t="s">
        <v>231</v>
      </c>
      <c r="X55" s="52" t="e">
        <f>_xlfn.XLOOKUP(W55,Tab_Def_Flows[Name(EN)],Tab_Def_Flows[Flow_ID],,0,)</f>
        <v>#N/A</v>
      </c>
      <c r="Y55" s="51" t="s">
        <v>231</v>
      </c>
      <c r="Z55" s="52" t="e">
        <f>_xlfn.XLOOKUP(Y55,Tab_Def_Flows[Name(EN)],Tab_Def_Flows[Flow_ID],,0,)</f>
        <v>#N/A</v>
      </c>
      <c r="AA55" s="51" t="s">
        <v>231</v>
      </c>
      <c r="AB55" s="52" t="e">
        <f>_xlfn.XLOOKUP(AA55,Tab_Def_Flows[Name(EN)],Tab_Def_Flows[Flow_ID],,0,)</f>
        <v>#N/A</v>
      </c>
      <c r="AC55" s="51" t="s">
        <v>231</v>
      </c>
      <c r="AD55" s="52" t="e">
        <f>_xlfn.XLOOKUP(AC55,Tab_Def_Flows[Name(EN)],Tab_Def_Flows[Flow_ID],,0,)</f>
        <v>#N/A</v>
      </c>
      <c r="AE55" s="51" t="s">
        <v>231</v>
      </c>
      <c r="AF55" s="52" t="e">
        <f>_xlfn.XLOOKUP(AE55,Tab_Def_Flows[Name(EN)],Tab_Def_Flows[Flow_ID],,0,)</f>
        <v>#N/A</v>
      </c>
      <c r="AG55" s="51" t="s">
        <v>231</v>
      </c>
      <c r="AH55" s="53" t="e">
        <f>_xlfn.XLOOKUP(AG55,Tab_Def_Flows[Name(EN)],Tab_Def_Flows[Flow_ID],,0,)</f>
        <v>#N/A</v>
      </c>
    </row>
    <row r="56" spans="1:34" x14ac:dyDescent="0.35">
      <c r="A56" s="97" t="b">
        <v>0</v>
      </c>
      <c r="B56" s="117" t="s">
        <v>500</v>
      </c>
      <c r="C56" s="49" t="str">
        <f t="shared" si="0"/>
        <v>54__</v>
      </c>
      <c r="D56" s="51"/>
      <c r="E56" s="92"/>
      <c r="F56" s="51"/>
      <c r="G56" s="51"/>
      <c r="H56" s="51"/>
      <c r="I56" s="92"/>
      <c r="J56" s="95"/>
      <c r="K56" s="51"/>
      <c r="L56" s="99"/>
      <c r="M56" s="51"/>
      <c r="N56" s="49" t="str">
        <f>_xlfn.XLOOKUP(M56,Tab_Def_Flows[Name(EN)],Tab_Def_Flows[Flow_ID],,0,)</f>
        <v>F_21_21</v>
      </c>
      <c r="O56" s="51"/>
      <c r="P56" s="49" t="str">
        <f>_xlfn.XLOOKUP(O56,Tab_Def_Flows[Name(EN)],Tab_Def_Flows[Flow_ID],,0,)</f>
        <v>F_21_21</v>
      </c>
      <c r="Q56" s="51"/>
      <c r="R56" s="49" t="str">
        <f>_xlfn.XLOOKUP(Q56,Tab_Def_Flows[Name(EN)],Tab_Def_Flows[Flow_ID],,0,)</f>
        <v>F_21_21</v>
      </c>
      <c r="S56" s="51"/>
      <c r="T56" s="49" t="str">
        <f>_xlfn.XLOOKUP(S56,Tab_Def_Flows[Name(EN)],Tab_Def_Flows[Flow_ID],,0,)</f>
        <v>F_21_21</v>
      </c>
      <c r="U56" s="51"/>
      <c r="V56" s="65" t="str">
        <f>_xlfn.XLOOKUP(U56,Tab_Def_Flows[Name(EN)],Tab_Def_Flows[Flow_ID],,0,)</f>
        <v>F_21_21</v>
      </c>
      <c r="W56" s="51"/>
      <c r="X56" s="49" t="str">
        <f>_xlfn.XLOOKUP(W56,Tab_Def_Flows[Name(EN)],Tab_Def_Flows[Flow_ID],,0,)</f>
        <v>F_21_21</v>
      </c>
      <c r="Y56" s="51"/>
      <c r="Z56" s="49" t="str">
        <f>_xlfn.XLOOKUP(Y56,Tab_Def_Flows[Name(EN)],Tab_Def_Flows[Flow_ID],,0,)</f>
        <v>F_21_21</v>
      </c>
      <c r="AA56" s="51"/>
      <c r="AB56" s="49" t="str">
        <f>_xlfn.XLOOKUP(AA56,Tab_Def_Flows[Name(EN)],Tab_Def_Flows[Flow_ID],,0,)</f>
        <v>F_21_21</v>
      </c>
      <c r="AC56" s="51"/>
      <c r="AD56" s="49" t="str">
        <f>_xlfn.XLOOKUP(AC56,Tab_Def_Flows[Name(EN)],Tab_Def_Flows[Flow_ID],,0,)</f>
        <v>F_21_21</v>
      </c>
      <c r="AE56" s="51"/>
      <c r="AF56" s="49" t="str">
        <f>_xlfn.XLOOKUP(AE56,Tab_Def_Flows[Name(EN)],Tab_Def_Flows[Flow_ID],,0,)</f>
        <v>F_21_21</v>
      </c>
      <c r="AG56" s="51"/>
      <c r="AH56" s="53" t="str">
        <f>_xlfn.XLOOKUP(AG56,Tab_Def_Flows[Name(EN)],Tab_Def_Flows[Flow_ID],,0,)</f>
        <v>F_21_21</v>
      </c>
    </row>
    <row r="57" spans="1:34" x14ac:dyDescent="0.35">
      <c r="A57" s="97" t="b">
        <v>0</v>
      </c>
      <c r="B57" s="117" t="s">
        <v>501</v>
      </c>
      <c r="C57" s="49" t="str">
        <f t="shared" si="0"/>
        <v>55__</v>
      </c>
      <c r="D57" s="51"/>
      <c r="E57" s="92"/>
      <c r="F57" s="51"/>
      <c r="G57" s="51"/>
      <c r="H57" s="51"/>
      <c r="I57" s="92"/>
      <c r="J57" s="95"/>
      <c r="K57" s="51"/>
      <c r="L57" s="99"/>
      <c r="M57" s="51"/>
      <c r="N57" s="49" t="str">
        <f>_xlfn.XLOOKUP(M57,Tab_Def_Flows[Name(EN)],Tab_Def_Flows[Flow_ID],,0,)</f>
        <v>F_21_21</v>
      </c>
      <c r="O57" s="51"/>
      <c r="P57" s="49" t="str">
        <f>_xlfn.XLOOKUP(O57,Tab_Def_Flows[Name(EN)],Tab_Def_Flows[Flow_ID],,0,)</f>
        <v>F_21_21</v>
      </c>
      <c r="Q57" s="51"/>
      <c r="R57" s="49" t="str">
        <f>_xlfn.XLOOKUP(Q57,Tab_Def_Flows[Name(EN)],Tab_Def_Flows[Flow_ID],,0,)</f>
        <v>F_21_21</v>
      </c>
      <c r="S57" s="51"/>
      <c r="T57" s="49" t="str">
        <f>_xlfn.XLOOKUP(S57,Tab_Def_Flows[Name(EN)],Tab_Def_Flows[Flow_ID],,0,)</f>
        <v>F_21_21</v>
      </c>
      <c r="U57" s="51"/>
      <c r="V57" s="66" t="str">
        <f>_xlfn.XLOOKUP(U57,Tab_Def_Flows[Name(EN)],Tab_Def_Flows[Flow_ID],,0,)</f>
        <v>F_21_21</v>
      </c>
      <c r="W57" s="51"/>
      <c r="X57" s="49" t="str">
        <f>_xlfn.XLOOKUP(W57,Tab_Def_Flows[Name(EN)],Tab_Def_Flows[Flow_ID],,0,)</f>
        <v>F_21_21</v>
      </c>
      <c r="Y57" s="51"/>
      <c r="Z57" s="49" t="str">
        <f>_xlfn.XLOOKUP(Y57,Tab_Def_Flows[Name(EN)],Tab_Def_Flows[Flow_ID],,0,)</f>
        <v>F_21_21</v>
      </c>
      <c r="AA57" s="51"/>
      <c r="AB57" s="49" t="str">
        <f>_xlfn.XLOOKUP(AA57,Tab_Def_Flows[Name(EN)],Tab_Def_Flows[Flow_ID],,0,)</f>
        <v>F_21_21</v>
      </c>
      <c r="AC57" s="51"/>
      <c r="AD57" s="49" t="str">
        <f>_xlfn.XLOOKUP(AC57,Tab_Def_Flows[Name(EN)],Tab_Def_Flows[Flow_ID],,0,)</f>
        <v>F_21_21</v>
      </c>
      <c r="AE57" s="51"/>
      <c r="AF57" s="49" t="str">
        <f>_xlfn.XLOOKUP(AE57,Tab_Def_Flows[Name(EN)],Tab_Def_Flows[Flow_ID],,0,)</f>
        <v>F_21_21</v>
      </c>
      <c r="AG57" s="51"/>
      <c r="AH57" s="53" t="str">
        <f>_xlfn.XLOOKUP(AG57,Tab_Def_Flows[Name(EN)],Tab_Def_Flows[Flow_ID],,0,)</f>
        <v>F_21_21</v>
      </c>
    </row>
    <row r="58" spans="1:34" x14ac:dyDescent="0.35">
      <c r="A58" s="97" t="b">
        <v>0</v>
      </c>
      <c r="B58" s="117" t="s">
        <v>502</v>
      </c>
      <c r="C58" s="49" t="str">
        <f t="shared" si="0"/>
        <v>56__</v>
      </c>
      <c r="D58" s="51"/>
      <c r="E58" s="92"/>
      <c r="F58" s="51"/>
      <c r="G58" s="51"/>
      <c r="H58" s="51"/>
      <c r="I58" s="92"/>
      <c r="J58" s="95"/>
      <c r="K58" s="51"/>
      <c r="L58" s="99"/>
      <c r="M58" s="51" t="s">
        <v>231</v>
      </c>
      <c r="N58" s="52" t="e">
        <f>_xlfn.XLOOKUP(M58,Tab_Def_Flows[Name(EN)],Tab_Def_Flows[Flow_ID],,0,)</f>
        <v>#N/A</v>
      </c>
      <c r="O58" s="51" t="s">
        <v>231</v>
      </c>
      <c r="P58" s="52" t="e">
        <f>_xlfn.XLOOKUP(O58,Tab_Def_Flows[Name(EN)],Tab_Def_Flows[Flow_ID],,0,)</f>
        <v>#N/A</v>
      </c>
      <c r="Q58" s="51" t="s">
        <v>231</v>
      </c>
      <c r="R58" s="52" t="e">
        <f>_xlfn.XLOOKUP(Q58,Tab_Def_Flows[Name(EN)],Tab_Def_Flows[Flow_ID],,0,)</f>
        <v>#N/A</v>
      </c>
      <c r="S58" s="51" t="s">
        <v>231</v>
      </c>
      <c r="T58" s="52" t="e">
        <f>_xlfn.XLOOKUP(S58,Tab_Def_Flows[Name(EN)],Tab_Def_Flows[Flow_ID],,0,)</f>
        <v>#N/A</v>
      </c>
      <c r="U58" s="51" t="s">
        <v>231</v>
      </c>
      <c r="V58" s="53" t="e">
        <f>_xlfn.XLOOKUP(U58,Tab_Def_Flows[Name(EN)],Tab_Def_Flows[Flow_ID],,0,)</f>
        <v>#N/A</v>
      </c>
      <c r="W58" s="51" t="s">
        <v>231</v>
      </c>
      <c r="X58" s="52" t="e">
        <f>_xlfn.XLOOKUP(W58,Tab_Def_Flows[Name(EN)],Tab_Def_Flows[Flow_ID],,0,)</f>
        <v>#N/A</v>
      </c>
      <c r="Y58" s="51" t="s">
        <v>231</v>
      </c>
      <c r="Z58" s="52" t="e">
        <f>_xlfn.XLOOKUP(Y58,Tab_Def_Flows[Name(EN)],Tab_Def_Flows[Flow_ID],,0,)</f>
        <v>#N/A</v>
      </c>
      <c r="AA58" s="51" t="s">
        <v>231</v>
      </c>
      <c r="AB58" s="52" t="e">
        <f>_xlfn.XLOOKUP(AA58,Tab_Def_Flows[Name(EN)],Tab_Def_Flows[Flow_ID],,0,)</f>
        <v>#N/A</v>
      </c>
      <c r="AC58" s="51" t="s">
        <v>231</v>
      </c>
      <c r="AD58" s="52" t="e">
        <f>_xlfn.XLOOKUP(AC58,Tab_Def_Flows[Name(EN)],Tab_Def_Flows[Flow_ID],,0,)</f>
        <v>#N/A</v>
      </c>
      <c r="AE58" s="51" t="s">
        <v>231</v>
      </c>
      <c r="AF58" s="52" t="e">
        <f>_xlfn.XLOOKUP(AE58,Tab_Def_Flows[Name(EN)],Tab_Def_Flows[Flow_ID],,0,)</f>
        <v>#N/A</v>
      </c>
      <c r="AG58" s="51" t="s">
        <v>231</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M2:M58 W2:W58 AE2:AE58 Q2:Q58 AA2:AA58 U2:U58 AC2:AC58 AG2:AG58 O2:O58 S2:S58 Y2:Y58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zoomScale="55" zoomScaleNormal="55" workbookViewId="0">
      <pane xSplit="5" topLeftCell="AB1" activePane="topRight" state="frozen"/>
      <selection pane="topRight" activeCell="C72" sqref="C72"/>
    </sheetView>
  </sheetViews>
  <sheetFormatPr defaultColWidth="10.81640625" defaultRowHeight="14.5" x14ac:dyDescent="0.35"/>
  <cols>
    <col min="2" max="3" width="16.54296875" customWidth="1"/>
    <col min="4" max="4" width="16.54296875" style="120" customWidth="1"/>
    <col min="5" max="5" width="26.453125" customWidth="1"/>
    <col min="6" max="6" width="32.54296875" customWidth="1"/>
    <col min="7" max="8" width="15.54296875" customWidth="1"/>
    <col min="9" max="9" width="21.453125" customWidth="1"/>
    <col min="10" max="10" width="15.54296875" customWidth="1"/>
    <col min="11" max="11" width="15.453125" customWidth="1"/>
    <col min="12" max="12" width="12.54296875" customWidth="1"/>
    <col min="13" max="13" width="17" customWidth="1"/>
    <col min="14" max="14" width="16.54296875" customWidth="1"/>
    <col min="15" max="15" width="16.1796875" customWidth="1"/>
    <col min="16" max="16" width="15.7265625" customWidth="1"/>
    <col min="18" max="18" width="13.81640625" customWidth="1"/>
    <col min="26" max="26" width="17.453125" customWidth="1"/>
    <col min="27" max="31" width="17.81640625" customWidth="1"/>
    <col min="32" max="32" width="30.54296875" customWidth="1"/>
    <col min="33" max="50" width="17.81640625" customWidth="1"/>
  </cols>
  <sheetData>
    <row r="1" spans="1:61" x14ac:dyDescent="0.35">
      <c r="A1" s="68" t="s">
        <v>223</v>
      </c>
      <c r="B1" s="9" t="s">
        <v>225</v>
      </c>
      <c r="C1" s="48" t="s">
        <v>323</v>
      </c>
      <c r="D1" s="120" t="s">
        <v>290</v>
      </c>
      <c r="E1" t="s">
        <v>320</v>
      </c>
      <c r="F1" t="s">
        <v>234</v>
      </c>
      <c r="G1" t="s">
        <v>291</v>
      </c>
      <c r="H1" t="s">
        <v>292</v>
      </c>
      <c r="I1" s="48" t="s">
        <v>18</v>
      </c>
      <c r="J1" s="25" t="s">
        <v>325</v>
      </c>
      <c r="K1" s="26" t="s">
        <v>293</v>
      </c>
      <c r="L1" s="32" t="s">
        <v>324</v>
      </c>
      <c r="M1" s="57" t="s">
        <v>294</v>
      </c>
      <c r="N1" s="57" t="s">
        <v>295</v>
      </c>
      <c r="O1" s="75" t="s">
        <v>326</v>
      </c>
      <c r="P1" s="57" t="s">
        <v>296</v>
      </c>
      <c r="Q1" s="57" t="s">
        <v>301</v>
      </c>
      <c r="R1" s="75" t="s">
        <v>330</v>
      </c>
      <c r="S1" s="76" t="s">
        <v>297</v>
      </c>
      <c r="T1" s="71" t="s">
        <v>154</v>
      </c>
      <c r="U1" s="79" t="s">
        <v>329</v>
      </c>
      <c r="V1" s="76" t="s">
        <v>298</v>
      </c>
      <c r="W1" s="70" t="s">
        <v>157</v>
      </c>
      <c r="X1" s="75" t="s">
        <v>328</v>
      </c>
      <c r="Y1" s="76" t="s">
        <v>299</v>
      </c>
      <c r="Z1" s="70" t="s">
        <v>159</v>
      </c>
      <c r="AA1" s="75" t="s">
        <v>327</v>
      </c>
      <c r="AB1" s="74" t="s">
        <v>331</v>
      </c>
      <c r="AC1" s="72" t="s">
        <v>304</v>
      </c>
      <c r="AD1" s="72" t="s">
        <v>310</v>
      </c>
      <c r="AE1" s="83" t="s">
        <v>420</v>
      </c>
      <c r="AF1" s="72" t="s">
        <v>305</v>
      </c>
      <c r="AG1" s="72" t="s">
        <v>311</v>
      </c>
      <c r="AH1" s="83" t="s">
        <v>421</v>
      </c>
      <c r="AI1" s="72" t="s">
        <v>306</v>
      </c>
      <c r="AJ1" s="72" t="s">
        <v>312</v>
      </c>
      <c r="AK1" s="72" t="s">
        <v>422</v>
      </c>
      <c r="AL1" s="72" t="s">
        <v>307</v>
      </c>
      <c r="AM1" s="72" t="s">
        <v>313</v>
      </c>
      <c r="AN1" s="72" t="s">
        <v>425</v>
      </c>
      <c r="AO1" s="72" t="s">
        <v>308</v>
      </c>
      <c r="AP1" s="72" t="s">
        <v>314</v>
      </c>
      <c r="AQ1" s="72" t="s">
        <v>423</v>
      </c>
      <c r="AR1" s="72" t="s">
        <v>309</v>
      </c>
      <c r="AS1" s="72" t="s">
        <v>315</v>
      </c>
      <c r="AT1" s="72" t="s">
        <v>424</v>
      </c>
      <c r="AU1" s="73" t="s">
        <v>332</v>
      </c>
      <c r="AV1" s="90" t="s">
        <v>263</v>
      </c>
      <c r="AW1" s="90" t="s">
        <v>265</v>
      </c>
      <c r="AX1" s="90" t="s">
        <v>9</v>
      </c>
      <c r="AY1" s="90" t="s">
        <v>8</v>
      </c>
      <c r="AZ1" s="91" t="s">
        <v>10</v>
      </c>
    </row>
    <row r="2" spans="1:61" x14ac:dyDescent="0.35">
      <c r="A2" s="97" t="b">
        <v>1</v>
      </c>
      <c r="B2" s="49">
        <f t="shared" ref="B2:B33" si="0">ROW()-1</f>
        <v>1</v>
      </c>
      <c r="C2" s="49" t="str">
        <f t="shared" ref="C2:C33" si="1">"TC"&amp;LEFT(B2,2)&amp;"_"&amp;LEFT(D2,3)&amp;"_"&amp;LEFT(E2,3)&amp;"_"&amp;LEFT(F2,3)&amp;"_"&amp;LEFT(G2,3)</f>
        <v>TC1_20_Rye__Ant</v>
      </c>
      <c r="D2" s="121" t="str">
        <f>_xlfn.XLOOKUP($E2,Tab_Def_Processes[Name(EN)],Tab_Def_Processes[ID],,0,)</f>
        <v>20</v>
      </c>
      <c r="E2" s="51" t="s">
        <v>345</v>
      </c>
      <c r="F2" s="49"/>
      <c r="G2" s="49" t="str">
        <f>_xlfn.XLOOKUP(E2,Tab_Def_Processes[Name(EN)],Tab_Def_Processes[Carbon_Stock],,0,)</f>
        <v>Anthroposphere</v>
      </c>
      <c r="H2" s="49" t="str">
        <f>_xlfn.XLOOKUP(E2,Tab_Def_Processes[Name(EN)],Tab_Def_Processes[Life_Phase],,0,)</f>
        <v>Raw material production (processing)</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Rye plant</v>
      </c>
      <c r="N2" s="60" t="str">
        <f>_xlfn.XLOOKUP($E2,Tab_Def_Processes[Name(EN)],Tab_Def_Processes[Flow_ID_I_1],,0,)</f>
        <v>F_13_20</v>
      </c>
      <c r="O2" s="82">
        <v>1</v>
      </c>
      <c r="P2" s="77" t="str">
        <f>_xlfn.XLOOKUP($E2,Tab_Def_Processes[Name(EN)],Tab_Def_Processes[Input_Flow_I_2],,0,)</f>
        <v>N.A.</v>
      </c>
      <c r="Q2" s="60" t="e">
        <f>_xlfn.XLOOKUP($E2,Tab_Def_Processes[Name(EN)],Tab_Def_Processes[Flow_ID_I_2],,0,)</f>
        <v>#N/A</v>
      </c>
      <c r="R2" s="82"/>
      <c r="S2" s="77" t="str">
        <f>_xlfn.XLOOKUP($E2,Tab_Def_Processes[Name(EN)],Tab_Def_Processes[Input_Flow_I_3],,0,)</f>
        <v>N.A.</v>
      </c>
      <c r="T2" s="60" t="e">
        <f>_xlfn.XLOOKUP($E2,Tab_Def_Processes[Name(EN)],Tab_Def_Processes[Flow_ID_I_3],,0,)</f>
        <v>#N/A</v>
      </c>
      <c r="U2" s="82"/>
      <c r="V2" s="77" t="str">
        <f>_xlfn.XLOOKUP($E2,Tab_Def_Processes[Name(EN)],Tab_Def_Processes[Input_Flow_I_4],,0,)</f>
        <v>N.A.</v>
      </c>
      <c r="W2" s="60" t="e">
        <f>_xlfn.XLOOKUP($E2,Tab_Def_Processes[Name(EN)],Tab_Def_Processes[Flow_ID_I_4],,0,)</f>
        <v>#N/A</v>
      </c>
      <c r="X2" s="82"/>
      <c r="Y2" s="77" t="str">
        <f>_xlfn.XLOOKUP($E2,Tab_Def_Processes[Name(EN)],Tab_Def_Processes[Input_Flow_I_5],,0,)</f>
        <v>N.A.</v>
      </c>
      <c r="Z2" s="60" t="e">
        <f>_xlfn.XLOOKUP($E2,Tab_Def_Processes[Name(EN)],Tab_Def_Processes[Flow_ID_I_5],,0,)</f>
        <v>#N/A</v>
      </c>
      <c r="AA2" s="82"/>
      <c r="AB2" s="80">
        <f>Tab_Process_TCs[[#This Row],[Flow_TC_I_1_'[%']]]+Tab_Process_TCs[[#This Row],[Flow_TC_I_2_'[%']]]+Tab_Process_TCs[[#This Row],[Flow_TC_I_3_'[%']]]+Tab_Process_TCs[[#This Row],[Flow_TC_I_4_'[%']]]+Tab_Process_TCs[[#This Row],[Flow_TC_I_5_'[%']]]</f>
        <v>1</v>
      </c>
      <c r="AC2" s="60" t="str">
        <f>_xlfn.XLOOKUP($E2,Tab_Def_Processes[Name(EN)],Tab_Def_Processes[Output_Flow_O_1],,0,)</f>
        <v>Rye grain</v>
      </c>
      <c r="AD2" s="60" t="str">
        <f>_xlfn.XLOOKUP($E2,Tab_Def_Processes[Name(EN)],Tab_Def_Processes[Flow_ID_O_1],,0,)</f>
        <v>F_20_15</v>
      </c>
      <c r="AE2" s="82">
        <v>0.4</v>
      </c>
      <c r="AF2" s="60" t="str">
        <f>_xlfn.XLOOKUP($E2,Tab_Def_Processes[Name(EN)],Tab_Def_Processes[Output_Flow_O_2],,0,)</f>
        <v>Technical usable rye straw</v>
      </c>
      <c r="AG2" s="60" t="str">
        <f>_xlfn.XLOOKUP($E2,Tab_Def_Processes[Name(EN)],Tab_Def_Processes[Flow_ID_O_2],,0,)</f>
        <v>F_20_01</v>
      </c>
      <c r="AH2" s="82">
        <v>0.4</v>
      </c>
      <c r="AI2" s="60" t="str">
        <f>_xlfn.XLOOKUP($E2,Tab_Def_Processes[Name(EN)],Tab_Def_Processes[Output_Flow_O_3],,0,)</f>
        <v>Non technical usable Rye straw</v>
      </c>
      <c r="AJ2" s="60" t="str">
        <f>_xlfn.XLOOKUP($E2,Tab_Def_Processes[Name(EN)],Tab_Def_Processes[Flow_ID_O_3],,0,)</f>
        <v>F_20_16</v>
      </c>
      <c r="AK2" s="82">
        <v>0.2</v>
      </c>
      <c r="AL2" s="60" t="str">
        <f>_xlfn.XLOOKUP($E2,Tab_Def_Processes[Name(EN)],Tab_Def_Processes[Output_Flow_O_4],,0,)</f>
        <v>N.A.</v>
      </c>
      <c r="AM2" s="60" t="e">
        <f>_xlfn.XLOOKUP($E2,Tab_Def_Processes[Name(EN)],Tab_Def_Processes[Flow_ID_O_4],,0,)</f>
        <v>#N/A</v>
      </c>
      <c r="AN2" s="82"/>
      <c r="AO2" s="60" t="str">
        <f>_xlfn.XLOOKUP($E2,Tab_Def_Processes[Name(EN)],Tab_Def_Processes[Output_Flow_O_5],,0,)</f>
        <v>N.A.</v>
      </c>
      <c r="AP2" s="60" t="e">
        <f>_xlfn.XLOOKUP($E2,Tab_Def_Processes[Name(EN)],Tab_Def_Processes[Flow_ID_O_5],,0,)</f>
        <v>#N/A</v>
      </c>
      <c r="AQ2" s="82"/>
      <c r="AR2" s="60" t="str">
        <f>_xlfn.XLOOKUP($E2,Tab_Def_Processes[Name(EN)],Tab_Def_Processes[Output_Flow_O_6],,0,)</f>
        <v>N.A.</v>
      </c>
      <c r="AS2" s="60" t="e">
        <f>_xlfn.XLOOKUP($E2,Tab_Def_Processes[Name(EN)],Tab_Def_Processes[Flow_ID_O_6],,0,)</f>
        <v>#N/A</v>
      </c>
      <c r="AT2" s="82"/>
      <c r="AU2" s="80">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35">
      <c r="A3" s="97" t="b">
        <v>1</v>
      </c>
      <c r="B3" s="49">
        <f t="shared" si="0"/>
        <v>2</v>
      </c>
      <c r="C3" s="49" t="str">
        <f t="shared" si="1"/>
        <v>TC2_01_Bio__Ant</v>
      </c>
      <c r="D3" s="121" t="str">
        <f>_xlfn.XLOOKUP($E3,Tab_Def_Processes[Name(EN)],Tab_Def_Processes[ID],,0,)</f>
        <v>01</v>
      </c>
      <c r="E3" s="51" t="s">
        <v>346</v>
      </c>
      <c r="F3" s="49"/>
      <c r="G3" s="49" t="str">
        <f>_xlfn.XLOOKUP(E3,Tab_Def_Processes[Name(EN)],Tab_Def_Processes[Carbon_Stock],,0,)</f>
        <v>Anthroposphere</v>
      </c>
      <c r="H3" s="49" t="str">
        <f>_xlfn.XLOOKUP(E3,Tab_Def_Processes[Name(EN)],Tab_Def_Processes[Life_Phase],,0,)</f>
        <v>Product manufacturing</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Technical usable rye straw</v>
      </c>
      <c r="N3" s="49" t="str">
        <f>_xlfn.XLOOKUP($E3,Tab_Def_Processes[Name(EN)],Tab_Def_Processes[Flow_ID_I_1],,0,)</f>
        <v>F_20_01</v>
      </c>
      <c r="O3" s="82">
        <v>0.67</v>
      </c>
      <c r="P3" s="77" t="str">
        <f>_xlfn.XLOOKUP($E3,Tab_Def_Processes[Name(EN)],Tab_Def_Processes[Input_Flow_I_2],,0,)</f>
        <v>Cow Manure</v>
      </c>
      <c r="Q3" s="49" t="str">
        <f>_xlfn.XLOOKUP($E3,Tab_Def_Processes[Name(EN)],Tab_Def_Processes[Flow_ID_I_2],,0,)</f>
        <v>F_04_01</v>
      </c>
      <c r="R3" s="82">
        <v>0.33</v>
      </c>
      <c r="S3" s="77" t="str">
        <f>_xlfn.XLOOKUP($E3,Tab_Def_Processes[Name(EN)],Tab_Def_Processes[Input_Flow_I_3],,0,)</f>
        <v>N.A.</v>
      </c>
      <c r="T3" s="49" t="e">
        <f>_xlfn.XLOOKUP($E3,Tab_Def_Processes[Name(EN)],Tab_Def_Processes[Flow_ID_I_3],,0,)</f>
        <v>#N/A</v>
      </c>
      <c r="U3" s="82"/>
      <c r="V3" s="77" t="str">
        <f>_xlfn.XLOOKUP($E3,Tab_Def_Processes[Name(EN)],Tab_Def_Processes[Input_Flow_I_4],,0,)</f>
        <v>N.A.</v>
      </c>
      <c r="W3" s="49" t="e">
        <f>_xlfn.XLOOKUP($E3,Tab_Def_Processes[Name(EN)],Tab_Def_Processes[Flow_ID_I_4],,0,)</f>
        <v>#N/A</v>
      </c>
      <c r="X3" s="82"/>
      <c r="Y3" s="77" t="str">
        <f>_xlfn.XLOOKUP($E3,Tab_Def_Processes[Name(EN)],Tab_Def_Processes[Input_Flow_I_5],,0,)</f>
        <v>N.A.</v>
      </c>
      <c r="Z3" s="49" t="e">
        <f>_xlfn.XLOOKUP($E3,Tab_Def_Processes[Name(EN)],Tab_Def_Processes[Flow_ID_I_5],,0,)</f>
        <v>#N/A</v>
      </c>
      <c r="AA3" s="82"/>
      <c r="AB3" s="80">
        <f>Tab_Process_TCs[[#This Row],[Flow_TC_I_1_'[%']]]+Tab_Process_TCs[[#This Row],[Flow_TC_I_2_'[%']]]+Tab_Process_TCs[[#This Row],[Flow_TC_I_3_'[%']]]+Tab_Process_TCs[[#This Row],[Flow_TC_I_4_'[%']]]+Tab_Process_TCs[[#This Row],[Flow_TC_I_5_'[%']]]</f>
        <v>1</v>
      </c>
      <c r="AC3" s="49" t="str">
        <f>_xlfn.XLOOKUP($E3,Tab_Def_Processes[Name(EN)],Tab_Def_Processes[Output_Flow_O_1],,0,)</f>
        <v>Biogas</v>
      </c>
      <c r="AD3" s="49" t="str">
        <f>_xlfn.XLOOKUP($E3,Tab_Def_Processes[Name(EN)],Tab_Def_Processes[Flow_ID_O_1],,0,)</f>
        <v>F_01_05</v>
      </c>
      <c r="AE3" s="82">
        <v>0.253</v>
      </c>
      <c r="AF3" s="49" t="str">
        <f>_xlfn.XLOOKUP($E3,Tab_Def_Processes[Name(EN)],Tab_Def_Processes[Output_Flow_O_2],,0,)</f>
        <v>Rye straw digestate</v>
      </c>
      <c r="AG3" s="49" t="str">
        <f>_xlfn.XLOOKUP($E3,Tab_Def_Processes[Name(EN)],Tab_Def_Processes[Flow_ID_O_2],,0,)</f>
        <v>F_01_02</v>
      </c>
      <c r="AH3" s="82">
        <v>0.747</v>
      </c>
      <c r="AI3" s="49" t="str">
        <f>_xlfn.XLOOKUP($E3,Tab_Def_Processes[Name(EN)],Tab_Def_Processes[Output_Flow_O_3],,0,)</f>
        <v>N.A.</v>
      </c>
      <c r="AJ3" s="49" t="e">
        <f>_xlfn.XLOOKUP($E3,Tab_Def_Processes[Name(EN)],Tab_Def_Processes[Flow_ID_O_3],,0,)</f>
        <v>#N/A</v>
      </c>
      <c r="AK3" s="82"/>
      <c r="AL3" s="49" t="str">
        <f>_xlfn.XLOOKUP($E3,Tab_Def_Processes[Name(EN)],Tab_Def_Processes[Output_Flow_O_4],,0,)</f>
        <v>N.A.</v>
      </c>
      <c r="AM3" s="49" t="e">
        <f>_xlfn.XLOOKUP($E3,Tab_Def_Processes[Name(EN)],Tab_Def_Processes[Flow_ID_O_4],,0,)</f>
        <v>#N/A</v>
      </c>
      <c r="AN3" s="82"/>
      <c r="AO3" s="49" t="str">
        <f>_xlfn.XLOOKUP($E3,Tab_Def_Processes[Name(EN)],Tab_Def_Processes[Output_Flow_O_5],,0,)</f>
        <v>N.A.</v>
      </c>
      <c r="AP3" s="49" t="e">
        <f>_xlfn.XLOOKUP($E3,Tab_Def_Processes[Name(EN)],Tab_Def_Processes[Flow_ID_O_5],,0,)</f>
        <v>#N/A</v>
      </c>
      <c r="AQ3" s="82"/>
      <c r="AR3" s="49" t="str">
        <f>_xlfn.XLOOKUP($E3,Tab_Def_Processes[Name(EN)],Tab_Def_Processes[Output_Flow_O_6],,0,)</f>
        <v>N.A.</v>
      </c>
      <c r="AS3" s="49" t="e">
        <f>_xlfn.XLOOKUP($E3,Tab_Def_Processes[Name(EN)],Tab_Def_Processes[Flow_ID_O_6],,0,)</f>
        <v>#N/A</v>
      </c>
      <c r="AT3" s="82"/>
      <c r="AU3" s="80">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35">
      <c r="A4" s="97" t="b">
        <v>1</v>
      </c>
      <c r="B4" s="49">
        <f t="shared" si="0"/>
        <v>3</v>
      </c>
      <c r="C4" s="49" t="str">
        <f t="shared" si="1"/>
        <v>TC3_02_MBC__Ant</v>
      </c>
      <c r="D4" s="121" t="str">
        <f>_xlfn.XLOOKUP($E4,Tab_Def_Processes[Name(EN)],Tab_Def_Processes[ID],,0,)</f>
        <v>02</v>
      </c>
      <c r="E4" s="51" t="s">
        <v>347</v>
      </c>
      <c r="F4" s="49"/>
      <c r="G4" s="49" t="str">
        <f>_xlfn.XLOOKUP(E4,Tab_Def_Processes[Name(EN)],Tab_Def_Processes[Carbon_Stock],,0,)</f>
        <v>Anthroposphere</v>
      </c>
      <c r="H4" s="49" t="str">
        <f>_xlfn.XLOOKUP(E4,Tab_Def_Processes[Name(EN)],Tab_Def_Processes[Life_Phase],,0,)</f>
        <v>Product manufacturing</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Rye straw digestate</v>
      </c>
      <c r="N4" s="49" t="str">
        <f>_xlfn.XLOOKUP($E4,Tab_Def_Processes[Name(EN)],Tab_Def_Processes[Flow_ID_I_1],,0,)</f>
        <v>F_01_02</v>
      </c>
      <c r="O4" s="82">
        <v>0.73</v>
      </c>
      <c r="P4" s="77" t="str">
        <f>_xlfn.XLOOKUP($E4,Tab_Def_Processes[Name(EN)],Tab_Def_Processes[Input_Flow_I_2],,0,)</f>
        <v>Millet grain</v>
      </c>
      <c r="Q4" s="49" t="str">
        <f>_xlfn.XLOOKUP($E4,Tab_Def_Processes[Name(EN)],Tab_Def_Processes[Flow_ID_I_2],,0,)</f>
        <v>F_11_02</v>
      </c>
      <c r="R4" s="82">
        <v>0.02</v>
      </c>
      <c r="S4" s="77" t="str">
        <f>_xlfn.XLOOKUP($E4,Tab_Def_Processes[Name(EN)],Tab_Def_Processes[Input_Flow_I_3],,0,)</f>
        <v>Water Input MBC Production</v>
      </c>
      <c r="T4" s="49" t="str">
        <f>_xlfn.XLOOKUP($E4,Tab_Def_Processes[Name(EN)],Tab_Def_Processes[Flow_ID_I_3],,0,)</f>
        <v>F_08_02</v>
      </c>
      <c r="U4" s="82">
        <v>0.25</v>
      </c>
      <c r="V4" s="77" t="str">
        <f>_xlfn.XLOOKUP($E4,Tab_Def_Processes[Name(EN)],Tab_Def_Processes[Input_Flow_I_4],,0,)</f>
        <v>N.A.</v>
      </c>
      <c r="W4" s="49" t="e">
        <f>_xlfn.XLOOKUP($E4,Tab_Def_Processes[Name(EN)],Tab_Def_Processes[Flow_ID_I_4],,0,)</f>
        <v>#N/A</v>
      </c>
      <c r="X4" s="82"/>
      <c r="Y4" s="77" t="str">
        <f>_xlfn.XLOOKUP($E4,Tab_Def_Processes[Name(EN)],Tab_Def_Processes[Input_Flow_I_5],,0,)</f>
        <v>N.A.</v>
      </c>
      <c r="Z4" s="49" t="e">
        <f>_xlfn.XLOOKUP($E4,Tab_Def_Processes[Name(EN)],Tab_Def_Processes[Flow_ID_I_5],,0,)</f>
        <v>#N/A</v>
      </c>
      <c r="AA4" s="82"/>
      <c r="AB4" s="80">
        <f>Tab_Process_TCs[[#This Row],[Flow_TC_I_1_'[%']]]+Tab_Process_TCs[[#This Row],[Flow_TC_I_2_'[%']]]+Tab_Process_TCs[[#This Row],[Flow_TC_I_3_'[%']]]+Tab_Process_TCs[[#This Row],[Flow_TC_I_4_'[%']]]+Tab_Process_TCs[[#This Row],[Flow_TC_I_5_'[%']]]</f>
        <v>1</v>
      </c>
      <c r="AC4" s="49" t="str">
        <f>_xlfn.XLOOKUP($E4,Tab_Def_Processes[Name(EN)],Tab_Def_Processes[Output_Flow_O_1],,0,)</f>
        <v>MBC (new)</v>
      </c>
      <c r="AD4" s="49" t="str">
        <f>_xlfn.XLOOKUP($E4,Tab_Def_Processes[Name(EN)],Tab_Def_Processes[Flow_ID_O_1],,0,)</f>
        <v>F_02_03</v>
      </c>
      <c r="AE4" s="82">
        <v>0.38</v>
      </c>
      <c r="AF4" s="49" t="str">
        <f>_xlfn.XLOOKUP($E4,Tab_Def_Processes[Name(EN)],Tab_Def_Processes[Output_Flow_O_2],,0,)</f>
        <v>MBC production waste</v>
      </c>
      <c r="AG4" s="49" t="str">
        <f>_xlfn.XLOOKUP($E4,Tab_Def_Processes[Name(EN)],Tab_Def_Processes[Flow_ID_O_2],,0,)</f>
        <v>F_02_06</v>
      </c>
      <c r="AH4" s="82">
        <v>0.09</v>
      </c>
      <c r="AI4" s="49" t="str">
        <f>_xlfn.XLOOKUP($E4,Tab_Def_Processes[Name(EN)],Tab_Def_Processes[Output_Flow_O_3],,0,)</f>
        <v>Water Output MBC Production</v>
      </c>
      <c r="AJ4" s="49" t="str">
        <f>_xlfn.XLOOKUP($E4,Tab_Def_Processes[Name(EN)],Tab_Def_Processes[Flow_ID_O_3],,0,)</f>
        <v>F_02_14</v>
      </c>
      <c r="AK4" s="82">
        <v>0.47</v>
      </c>
      <c r="AL4" s="49" t="str">
        <f>_xlfn.XLOOKUP($E4,Tab_Def_Processes[Name(EN)],Tab_Def_Processes[Output_Flow_O_4],,0,)</f>
        <v>Mass Delta MBC production</v>
      </c>
      <c r="AM4" s="49" t="str">
        <f>_xlfn.XLOOKUP($E4,Tab_Def_Processes[Name(EN)],Tab_Def_Processes[Flow_ID_O_4],,0,)</f>
        <v>F_02_12</v>
      </c>
      <c r="AN4" s="82">
        <v>0.06</v>
      </c>
      <c r="AO4" s="49" t="str">
        <f>_xlfn.XLOOKUP($E4,Tab_Def_Processes[Name(EN)],Tab_Def_Processes[Output_Flow_O_5],,0,)</f>
        <v>N.A.</v>
      </c>
      <c r="AP4" s="49" t="e">
        <f>_xlfn.XLOOKUP($E4,Tab_Def_Processes[Name(EN)],Tab_Def_Processes[Flow_ID_O_5],,0,)</f>
        <v>#N/A</v>
      </c>
      <c r="AQ4" s="82"/>
      <c r="AR4" s="49" t="str">
        <f>_xlfn.XLOOKUP($E4,Tab_Def_Processes[Name(EN)],Tab_Def_Processes[Output_Flow_O_6],,0,)</f>
        <v>N.A.</v>
      </c>
      <c r="AS4" s="49" t="e">
        <f>_xlfn.XLOOKUP($E4,Tab_Def_Processes[Name(EN)],Tab_Def_Processes[Flow_ID_O_6],,0,)</f>
        <v>#N/A</v>
      </c>
      <c r="AT4" s="82"/>
      <c r="AU4" s="80">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35">
      <c r="A5" s="97" t="b">
        <v>1</v>
      </c>
      <c r="B5" s="49">
        <f t="shared" si="0"/>
        <v>4</v>
      </c>
      <c r="C5" s="49" t="str">
        <f t="shared" si="1"/>
        <v>TC4_07_EoL__Ant</v>
      </c>
      <c r="D5" s="121" t="str">
        <f>_xlfn.XLOOKUP($E5,Tab_Def_Processes[Name(EN)],Tab_Def_Processes[ID],,0,)</f>
        <v>07</v>
      </c>
      <c r="E5" s="51" t="s">
        <v>363</v>
      </c>
      <c r="F5" s="49"/>
      <c r="G5" s="49" t="str">
        <f>_xlfn.XLOOKUP(E5,Tab_Def_Processes[Name(EN)],Tab_Def_Processes[Carbon_Stock],,0,)</f>
        <v>Anthroposphere</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MBC (used)</v>
      </c>
      <c r="N5" s="49" t="str">
        <f>_xlfn.XLOOKUP($E5,Tab_Def_Processes[Name(EN)],Tab_Def_Processes[Flow_ID_I_1],,0,)</f>
        <v>F_03_07</v>
      </c>
      <c r="O5" s="82">
        <v>1</v>
      </c>
      <c r="P5" s="77" t="str">
        <f>_xlfn.XLOOKUP($E5,Tab_Def_Processes[Name(EN)],Tab_Def_Processes[Input_Flow_I_2],,0,)</f>
        <v>N.A.</v>
      </c>
      <c r="Q5" s="49" t="e">
        <f>_xlfn.XLOOKUP($E5,Tab_Def_Processes[Name(EN)],Tab_Def_Processes[Flow_ID_I_2],,0,)</f>
        <v>#N/A</v>
      </c>
      <c r="R5" s="82"/>
      <c r="S5" s="77" t="str">
        <f>_xlfn.XLOOKUP($E5,Tab_Def_Processes[Name(EN)],Tab_Def_Processes[Input_Flow_I_3],,0,)</f>
        <v>N.A.</v>
      </c>
      <c r="T5" s="49" t="e">
        <f>_xlfn.XLOOKUP($E5,Tab_Def_Processes[Name(EN)],Tab_Def_Processes[Flow_ID_I_3],,0,)</f>
        <v>#N/A</v>
      </c>
      <c r="U5" s="82"/>
      <c r="V5" s="77" t="str">
        <f>_xlfn.XLOOKUP($E5,Tab_Def_Processes[Name(EN)],Tab_Def_Processes[Input_Flow_I_4],,0,)</f>
        <v>N.A.</v>
      </c>
      <c r="W5" s="49" t="e">
        <f>_xlfn.XLOOKUP($E5,Tab_Def_Processes[Name(EN)],Tab_Def_Processes[Flow_ID_I_4],,0,)</f>
        <v>#N/A</v>
      </c>
      <c r="X5" s="82"/>
      <c r="Y5" s="77" t="str">
        <f>_xlfn.XLOOKUP($E5,Tab_Def_Processes[Name(EN)],Tab_Def_Processes[Input_Flow_I_5],,0,)</f>
        <v>N.A.</v>
      </c>
      <c r="Z5" s="49" t="e">
        <f>_xlfn.XLOOKUP($E5,Tab_Def_Processes[Name(EN)],Tab_Def_Processes[Flow_ID_I_5],,0,)</f>
        <v>#N/A</v>
      </c>
      <c r="AA5" s="82"/>
      <c r="AB5" s="80">
        <f>Tab_Process_TCs[[#This Row],[Flow_TC_I_1_'[%']]]+Tab_Process_TCs[[#This Row],[Flow_TC_I_2_'[%']]]+Tab_Process_TCs[[#This Row],[Flow_TC_I_3_'[%']]]+Tab_Process_TCs[[#This Row],[Flow_TC_I_4_'[%']]]+Tab_Process_TCs[[#This Row],[Flow_TC_I_5_'[%']]]</f>
        <v>1</v>
      </c>
      <c r="AC5" s="49" t="str">
        <f>_xlfn.XLOOKUP($E5,Tab_Def_Processes[Name(EN)],Tab_Def_Processes[Output_Flow_O_1],,0,)</f>
        <v>EoL-MBC (Pyro)</v>
      </c>
      <c r="AD5" s="49" t="str">
        <f>_xlfn.XLOOKUP($E5,Tab_Def_Processes[Name(EN)],Tab_Def_Processes[Flow_ID_O_1],,0,)</f>
        <v>F_07_09</v>
      </c>
      <c r="AE5" s="82">
        <v>0.2</v>
      </c>
      <c r="AF5" s="49" t="str">
        <f>_xlfn.XLOOKUP($E5,Tab_Def_Processes[Name(EN)],Tab_Def_Processes[Output_Flow_O_2],,0,)</f>
        <v>EoL-MBC (Inci)</v>
      </c>
      <c r="AG5" s="49" t="str">
        <f>_xlfn.XLOOKUP($E5,Tab_Def_Processes[Name(EN)],Tab_Def_Processes[Flow_ID_O_2],,0,)</f>
        <v>F_07_10</v>
      </c>
      <c r="AH5" s="82">
        <v>0.8</v>
      </c>
      <c r="AI5" s="49" t="str">
        <f>_xlfn.XLOOKUP($E5,Tab_Def_Processes[Name(EN)],Tab_Def_Processes[Output_Flow_O_3],,0,)</f>
        <v>N.A.</v>
      </c>
      <c r="AJ5" s="49" t="e">
        <f>_xlfn.XLOOKUP($E5,Tab_Def_Processes[Name(EN)],Tab_Def_Processes[Flow_ID_O_3],,0,)</f>
        <v>#N/A</v>
      </c>
      <c r="AK5" s="82"/>
      <c r="AL5" s="49" t="str">
        <f>_xlfn.XLOOKUP($E5,Tab_Def_Processes[Name(EN)],Tab_Def_Processes[Output_Flow_O_4],,0,)</f>
        <v>N.A.</v>
      </c>
      <c r="AM5" s="49" t="e">
        <f>_xlfn.XLOOKUP($E5,Tab_Def_Processes[Name(EN)],Tab_Def_Processes[Flow_ID_O_4],,0,)</f>
        <v>#N/A</v>
      </c>
      <c r="AN5" s="82"/>
      <c r="AO5" s="49" t="str">
        <f>_xlfn.XLOOKUP($E5,Tab_Def_Processes[Name(EN)],Tab_Def_Processes[Output_Flow_O_5],,0,)</f>
        <v>N.A.</v>
      </c>
      <c r="AP5" s="49" t="e">
        <f>_xlfn.XLOOKUP($E5,Tab_Def_Processes[Name(EN)],Tab_Def_Processes[Flow_ID_O_5],,0,)</f>
        <v>#N/A</v>
      </c>
      <c r="AQ5" s="82"/>
      <c r="AR5" s="49" t="str">
        <f>_xlfn.XLOOKUP($E5,Tab_Def_Processes[Name(EN)],Tab_Def_Processes[Output_Flow_O_6],,0,)</f>
        <v>N.A.</v>
      </c>
      <c r="AS5" s="49" t="e">
        <f>_xlfn.XLOOKUP($E5,Tab_Def_Processes[Name(EN)],Tab_Def_Processes[Flow_ID_O_6],,0,)</f>
        <v>#N/A</v>
      </c>
      <c r="AT5" s="82"/>
      <c r="AU5" s="80">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35">
      <c r="A6" s="97" t="b">
        <v>1</v>
      </c>
      <c r="B6" s="49">
        <f t="shared" si="0"/>
        <v>5</v>
      </c>
      <c r="C6" s="49" t="str">
        <f t="shared" si="1"/>
        <v>TC5_03_MBC__Ant</v>
      </c>
      <c r="D6" s="121" t="str">
        <f>_xlfn.XLOOKUP($E6,Tab_Def_Processes[Name(EN)],Tab_Def_Processes[ID],,0,)</f>
        <v>03</v>
      </c>
      <c r="E6" s="51" t="s">
        <v>440</v>
      </c>
      <c r="F6" s="49"/>
      <c r="G6" s="49" t="str">
        <f>_xlfn.XLOOKUP(E6,Tab_Def_Processes[Name(EN)],Tab_Def_Processes[Carbon_Stock],,0,)</f>
        <v>Anthroposphere</v>
      </c>
      <c r="H6" s="49" t="str">
        <f>_xlfn.XLOOKUP(E6,Tab_Def_Processes[Name(EN)],Tab_Def_Processes[Life_Phase],,0,)</f>
        <v>Use (Re-use)</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Yes</v>
      </c>
      <c r="M6" s="60" t="str">
        <f>_xlfn.XLOOKUP($E6,Tab_Def_Processes[Name(EN)],Tab_Def_Processes[Input_Flow_I_1],,0,)</f>
        <v>MBC (new)</v>
      </c>
      <c r="N6" s="49" t="str">
        <f>_xlfn.XLOOKUP($E6,Tab_Def_Processes[Name(EN)],Tab_Def_Processes[Flow_ID_I_1],,0,)</f>
        <v>F_02_03</v>
      </c>
      <c r="O6" s="82">
        <v>1</v>
      </c>
      <c r="P6" s="77" t="str">
        <f>_xlfn.XLOOKUP($E6,Tab_Def_Processes[Name(EN)],Tab_Def_Processes[Input_Flow_I_2],,0,)</f>
        <v>N.A.</v>
      </c>
      <c r="Q6" s="49" t="e">
        <f>_xlfn.XLOOKUP($E6,Tab_Def_Processes[Name(EN)],Tab_Def_Processes[Flow_ID_I_2],,0,)</f>
        <v>#N/A</v>
      </c>
      <c r="R6" s="82"/>
      <c r="S6" s="77" t="str">
        <f>_xlfn.XLOOKUP($E6,Tab_Def_Processes[Name(EN)],Tab_Def_Processes[Input_Flow_I_3],,0,)</f>
        <v>N.A.</v>
      </c>
      <c r="T6" s="49" t="e">
        <f>_xlfn.XLOOKUP($E6,Tab_Def_Processes[Name(EN)],Tab_Def_Processes[Flow_ID_I_3],,0,)</f>
        <v>#N/A</v>
      </c>
      <c r="U6" s="82"/>
      <c r="V6" s="77" t="str">
        <f>_xlfn.XLOOKUP($E6,Tab_Def_Processes[Name(EN)],Tab_Def_Processes[Input_Flow_I_4],,0,)</f>
        <v>N.A.</v>
      </c>
      <c r="W6" s="49" t="e">
        <f>_xlfn.XLOOKUP($E6,Tab_Def_Processes[Name(EN)],Tab_Def_Processes[Flow_ID_I_4],,0,)</f>
        <v>#N/A</v>
      </c>
      <c r="X6" s="82"/>
      <c r="Y6" s="77" t="str">
        <f>_xlfn.XLOOKUP($E6,Tab_Def_Processes[Name(EN)],Tab_Def_Processes[Input_Flow_I_5],,0,)</f>
        <v>N.A.</v>
      </c>
      <c r="Z6" s="49" t="e">
        <f>_xlfn.XLOOKUP($E6,Tab_Def_Processes[Name(EN)],Tab_Def_Processes[Flow_ID_I_5],,0,)</f>
        <v>#N/A</v>
      </c>
      <c r="AA6" s="82"/>
      <c r="AB6" s="80">
        <f>Tab_Process_TCs[[#This Row],[Flow_TC_I_1_'[%']]]+Tab_Process_TCs[[#This Row],[Flow_TC_I_2_'[%']]]+Tab_Process_TCs[[#This Row],[Flow_TC_I_3_'[%']]]+Tab_Process_TCs[[#This Row],[Flow_TC_I_4_'[%']]]+Tab_Process_TCs[[#This Row],[Flow_TC_I_5_'[%']]]</f>
        <v>1</v>
      </c>
      <c r="AC6" s="49" t="str">
        <f>_xlfn.XLOOKUP($E6,Tab_Def_Processes[Name(EN)],Tab_Def_Processes[Output_Flow_O_1],,0,)</f>
        <v>MBC (used)</v>
      </c>
      <c r="AD6" s="49" t="str">
        <f>_xlfn.XLOOKUP($E6,Tab_Def_Processes[Name(EN)],Tab_Def_Processes[Flow_ID_O_1],,0,)</f>
        <v>F_03_07</v>
      </c>
      <c r="AE6" s="82">
        <v>1</v>
      </c>
      <c r="AF6" s="49" t="str">
        <f>_xlfn.XLOOKUP($E6,Tab_Def_Processes[Name(EN)],Tab_Def_Processes[Output_Flow_O_2],,0,)</f>
        <v>N.A.</v>
      </c>
      <c r="AG6" s="49" t="e">
        <f>_xlfn.XLOOKUP($E6,Tab_Def_Processes[Name(EN)],Tab_Def_Processes[Flow_ID_O_2],,0,)</f>
        <v>#N/A</v>
      </c>
      <c r="AH6" s="82"/>
      <c r="AI6" s="49" t="str">
        <f>_xlfn.XLOOKUP($E6,Tab_Def_Processes[Name(EN)],Tab_Def_Processes[Output_Flow_O_3],,0,)</f>
        <v>N.A.</v>
      </c>
      <c r="AJ6" s="49" t="e">
        <f>_xlfn.XLOOKUP($E6,Tab_Def_Processes[Name(EN)],Tab_Def_Processes[Flow_ID_O_3],,0,)</f>
        <v>#N/A</v>
      </c>
      <c r="AK6" s="82"/>
      <c r="AL6" s="49" t="str">
        <f>_xlfn.XLOOKUP($E6,Tab_Def_Processes[Name(EN)],Tab_Def_Processes[Output_Flow_O_4],,0,)</f>
        <v>N.A.</v>
      </c>
      <c r="AM6" s="49" t="e">
        <f>_xlfn.XLOOKUP($E6,Tab_Def_Processes[Name(EN)],Tab_Def_Processes[Flow_ID_O_4],,0,)</f>
        <v>#N/A</v>
      </c>
      <c r="AN6" s="82"/>
      <c r="AO6" s="49" t="str">
        <f>_xlfn.XLOOKUP($E6,Tab_Def_Processes[Name(EN)],Tab_Def_Processes[Output_Flow_O_5],,0,)</f>
        <v>N.A.</v>
      </c>
      <c r="AP6" s="49" t="e">
        <f>_xlfn.XLOOKUP($E6,Tab_Def_Processes[Name(EN)],Tab_Def_Processes[Flow_ID_O_5],,0,)</f>
        <v>#N/A</v>
      </c>
      <c r="AQ6" s="82"/>
      <c r="AR6" s="49" t="str">
        <f>_xlfn.XLOOKUP($E6,Tab_Def_Processes[Name(EN)],Tab_Def_Processes[Output_Flow_O_6],,0,)</f>
        <v>N.A.</v>
      </c>
      <c r="AS6" s="49" t="e">
        <f>_xlfn.XLOOKUP($E6,Tab_Def_Processes[Name(EN)],Tab_Def_Processes[Flow_ID_O_6],,0,)</f>
        <v>#N/A</v>
      </c>
      <c r="AT6" s="82"/>
      <c r="AU6" s="80">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35">
      <c r="A7" s="97" t="b">
        <v>1</v>
      </c>
      <c r="B7" s="49">
        <f t="shared" si="0"/>
        <v>6</v>
      </c>
      <c r="C7" s="49" t="str">
        <f t="shared" si="1"/>
        <v>TC6_09_Bio__Ant</v>
      </c>
      <c r="D7" s="121" t="str">
        <f>_xlfn.XLOOKUP($E7,Tab_Def_Processes[Name(EN)],Tab_Def_Processes[ID],,0,)</f>
        <v>09</v>
      </c>
      <c r="E7" s="51" t="s">
        <v>364</v>
      </c>
      <c r="F7" s="49"/>
      <c r="G7" s="49" t="str">
        <f>_xlfn.XLOOKUP(E7,Tab_Def_Processes[Name(EN)],Tab_Def_Processes[Carbon_Stock],,0,)</f>
        <v>Anthroposphere</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EoL-MBC (Pyro)</v>
      </c>
      <c r="N7" s="49" t="str">
        <f>_xlfn.XLOOKUP($E7,Tab_Def_Processes[Name(EN)],Tab_Def_Processes[Flow_ID_I_1],,0,)</f>
        <v>F_07_09</v>
      </c>
      <c r="O7" s="82">
        <v>1</v>
      </c>
      <c r="P7" s="77" t="str">
        <f>_xlfn.XLOOKUP($E7,Tab_Def_Processes[Name(EN)],Tab_Def_Processes[Input_Flow_I_2],,0,)</f>
        <v>N.A.</v>
      </c>
      <c r="Q7" s="49" t="e">
        <f>_xlfn.XLOOKUP($E7,Tab_Def_Processes[Name(EN)],Tab_Def_Processes[Flow_ID_I_2],,0,)</f>
        <v>#N/A</v>
      </c>
      <c r="R7" s="82"/>
      <c r="S7" s="77" t="str">
        <f>_xlfn.XLOOKUP($E7,Tab_Def_Processes[Name(EN)],Tab_Def_Processes[Input_Flow_I_3],,0,)</f>
        <v>N.A.</v>
      </c>
      <c r="T7" s="49" t="e">
        <f>_xlfn.XLOOKUP($E7,Tab_Def_Processes[Name(EN)],Tab_Def_Processes[Flow_ID_I_3],,0,)</f>
        <v>#N/A</v>
      </c>
      <c r="U7" s="82"/>
      <c r="V7" s="77" t="str">
        <f>_xlfn.XLOOKUP($E7,Tab_Def_Processes[Name(EN)],Tab_Def_Processes[Input_Flow_I_4],,0,)</f>
        <v>N.A.</v>
      </c>
      <c r="W7" s="49" t="e">
        <f>_xlfn.XLOOKUP($E7,Tab_Def_Processes[Name(EN)],Tab_Def_Processes[Flow_ID_I_4],,0,)</f>
        <v>#N/A</v>
      </c>
      <c r="X7" s="82"/>
      <c r="Y7" s="77" t="str">
        <f>_xlfn.XLOOKUP($E7,Tab_Def_Processes[Name(EN)],Tab_Def_Processes[Input_Flow_I_5],,0,)</f>
        <v>N.A.</v>
      </c>
      <c r="Z7" s="49" t="e">
        <f>_xlfn.XLOOKUP($E7,Tab_Def_Processes[Name(EN)],Tab_Def_Processes[Flow_ID_I_5],,0,)</f>
        <v>#N/A</v>
      </c>
      <c r="AA7" s="82"/>
      <c r="AB7" s="80">
        <f>Tab_Process_TCs[[#This Row],[Flow_TC_I_1_'[%']]]+Tab_Process_TCs[[#This Row],[Flow_TC_I_2_'[%']]]+Tab_Process_TCs[[#This Row],[Flow_TC_I_3_'[%']]]+Tab_Process_TCs[[#This Row],[Flow_TC_I_4_'[%']]]+Tab_Process_TCs[[#This Row],[Flow_TC_I_5_'[%']]]</f>
        <v>1</v>
      </c>
      <c r="AC7" s="49" t="str">
        <f>_xlfn.XLOOKUP($E7,Tab_Def_Processes[Name(EN)],Tab_Def_Processes[Output_Flow_O_1],,0,)</f>
        <v>Pyrolisis Char</v>
      </c>
      <c r="AD7" s="49" t="str">
        <f>_xlfn.XLOOKUP($E7,Tab_Def_Processes[Name(EN)],Tab_Def_Processes[Flow_ID_O_1],,0,)</f>
        <v>F_09_17</v>
      </c>
      <c r="AE7" s="82">
        <v>0.3</v>
      </c>
      <c r="AF7" s="49" t="str">
        <f>_xlfn.XLOOKUP($E7,Tab_Def_Processes[Name(EN)],Tab_Def_Processes[Output_Flow_O_2],,0,)</f>
        <v>Flue Gas from Biomass Pyrolysis</v>
      </c>
      <c r="AG7" s="49" t="str">
        <f>_xlfn.XLOOKUP($E7,Tab_Def_Processes[Name(EN)],Tab_Def_Processes[Flow_ID_O_2],,0,)</f>
        <v>F_09_19</v>
      </c>
      <c r="AH7" s="82">
        <v>0.7</v>
      </c>
      <c r="AI7" s="49" t="str">
        <f>_xlfn.XLOOKUP($E7,Tab_Def_Processes[Name(EN)],Tab_Def_Processes[Output_Flow_O_3],,0,)</f>
        <v>N.A.</v>
      </c>
      <c r="AJ7" s="49" t="e">
        <f>_xlfn.XLOOKUP($E7,Tab_Def_Processes[Name(EN)],Tab_Def_Processes[Flow_ID_O_3],,0,)</f>
        <v>#N/A</v>
      </c>
      <c r="AK7" s="82"/>
      <c r="AL7" s="49" t="str">
        <f>_xlfn.XLOOKUP($E7,Tab_Def_Processes[Name(EN)],Tab_Def_Processes[Output_Flow_O_4],,0,)</f>
        <v>N.A.</v>
      </c>
      <c r="AM7" s="49" t="e">
        <f>_xlfn.XLOOKUP($E7,Tab_Def_Processes[Name(EN)],Tab_Def_Processes[Flow_ID_O_4],,0,)</f>
        <v>#N/A</v>
      </c>
      <c r="AN7" s="82"/>
      <c r="AO7" s="49" t="str">
        <f>_xlfn.XLOOKUP($E7,Tab_Def_Processes[Name(EN)],Tab_Def_Processes[Output_Flow_O_5],,0,)</f>
        <v>N.A.</v>
      </c>
      <c r="AP7" s="49" t="e">
        <f>_xlfn.XLOOKUP($E7,Tab_Def_Processes[Name(EN)],Tab_Def_Processes[Flow_ID_O_5],,0,)</f>
        <v>#N/A</v>
      </c>
      <c r="AQ7" s="82"/>
      <c r="AR7" s="49" t="str">
        <f>_xlfn.XLOOKUP($E7,Tab_Def_Processes[Name(EN)],Tab_Def_Processes[Output_Flow_O_6],,0,)</f>
        <v>N.A.</v>
      </c>
      <c r="AS7" s="49" t="e">
        <f>_xlfn.XLOOKUP($E7,Tab_Def_Processes[Name(EN)],Tab_Def_Processes[Flow_ID_O_6],,0,)</f>
        <v>#N/A</v>
      </c>
      <c r="AT7" s="82"/>
      <c r="AU7" s="80">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35">
      <c r="A8" s="97" t="b">
        <v>1</v>
      </c>
      <c r="B8" s="49">
        <f t="shared" si="0"/>
        <v>7</v>
      </c>
      <c r="C8" s="49" t="str">
        <f t="shared" si="1"/>
        <v>TC7_10_Bio__Ant</v>
      </c>
      <c r="D8" s="121" t="str">
        <f>_xlfn.XLOOKUP($E8,Tab_Def_Processes[Name(EN)],Tab_Def_Processes[ID],,0,)</f>
        <v>10</v>
      </c>
      <c r="E8" s="51" t="s">
        <v>365</v>
      </c>
      <c r="F8" s="49"/>
      <c r="G8" s="49" t="str">
        <f>_xlfn.XLOOKUP(E8,Tab_Def_Processes[Name(EN)],Tab_Def_Processes[Carbon_Stock],,0,)</f>
        <v>Anthroposphere</v>
      </c>
      <c r="H8" s="49">
        <f>_xlfn.XLOOKUP(E8,Tab_Def_Processes[Name(EN)],Tab_Def_Processes[Life_Phase],,0,)</f>
        <v>0</v>
      </c>
      <c r="I8" s="49">
        <f>_xlfn.XLOOKUP(E8,Tab_Def_Processes[Name(EN)],Tab_Def_Processes[Description],,0,)</f>
        <v>0</v>
      </c>
      <c r="J8" s="49" t="str">
        <f>_xlfn.XLOOKUP($E8,Tab_Def_Processes[Name(EN)],Tab_Def_Processes[Process_Type],,0,)</f>
        <v>Process</v>
      </c>
      <c r="K8" s="49" t="str">
        <f>_xlfn.XLOOKUP($E8,Tab_Def_Processes[Name(EN)],Tab_Def_Processes[TC?],,0,)</f>
        <v>Yes</v>
      </c>
      <c r="L8" s="49" t="str">
        <f>_xlfn.XLOOKUP($E8,Tab_Def_Processes[Name(EN)],Tab_Def_Processes[Stock?],,0,)</f>
        <v>No</v>
      </c>
      <c r="M8" s="60" t="str">
        <f>_xlfn.XLOOKUP($E8,Tab_Def_Processes[Name(EN)],Tab_Def_Processes[Input_Flow_I_1],,0,)</f>
        <v>EoL-MBC (Inci)</v>
      </c>
      <c r="N8" s="49" t="str">
        <f>_xlfn.XLOOKUP($E8,Tab_Def_Processes[Name(EN)],Tab_Def_Processes[Flow_ID_I_1],,0,)</f>
        <v>F_07_10</v>
      </c>
      <c r="O8" s="82">
        <v>1</v>
      </c>
      <c r="P8" s="77" t="str">
        <f>_xlfn.XLOOKUP($E8,Tab_Def_Processes[Name(EN)],Tab_Def_Processes[Input_Flow_I_2],,0,)</f>
        <v>N.A.</v>
      </c>
      <c r="Q8" s="49" t="e">
        <f>_xlfn.XLOOKUP($E8,Tab_Def_Processes[Name(EN)],Tab_Def_Processes[Flow_ID_I_2],,0,)</f>
        <v>#N/A</v>
      </c>
      <c r="R8" s="82"/>
      <c r="S8" s="77" t="str">
        <f>_xlfn.XLOOKUP($E8,Tab_Def_Processes[Name(EN)],Tab_Def_Processes[Input_Flow_I_3],,0,)</f>
        <v>N.A.</v>
      </c>
      <c r="T8" s="49" t="e">
        <f>_xlfn.XLOOKUP($E8,Tab_Def_Processes[Name(EN)],Tab_Def_Processes[Flow_ID_I_3],,0,)</f>
        <v>#N/A</v>
      </c>
      <c r="U8" s="82"/>
      <c r="V8" s="77" t="str">
        <f>_xlfn.XLOOKUP($E8,Tab_Def_Processes[Name(EN)],Tab_Def_Processes[Input_Flow_I_4],,0,)</f>
        <v>N.A.</v>
      </c>
      <c r="W8" s="49" t="e">
        <f>_xlfn.XLOOKUP($E8,Tab_Def_Processes[Name(EN)],Tab_Def_Processes[Flow_ID_I_4],,0,)</f>
        <v>#N/A</v>
      </c>
      <c r="X8" s="82"/>
      <c r="Y8" s="77" t="str">
        <f>_xlfn.XLOOKUP($E8,Tab_Def_Processes[Name(EN)],Tab_Def_Processes[Input_Flow_I_5],,0,)</f>
        <v>N.A.</v>
      </c>
      <c r="Z8" s="49" t="e">
        <f>_xlfn.XLOOKUP($E8,Tab_Def_Processes[Name(EN)],Tab_Def_Processes[Flow_ID_I_5],,0,)</f>
        <v>#N/A</v>
      </c>
      <c r="AA8" s="82"/>
      <c r="AB8" s="80">
        <f>Tab_Process_TCs[[#This Row],[Flow_TC_I_1_'[%']]]+Tab_Process_TCs[[#This Row],[Flow_TC_I_2_'[%']]]+Tab_Process_TCs[[#This Row],[Flow_TC_I_3_'[%']]]+Tab_Process_TCs[[#This Row],[Flow_TC_I_4_'[%']]]+Tab_Process_TCs[[#This Row],[Flow_TC_I_5_'[%']]]</f>
        <v>1</v>
      </c>
      <c r="AC8" s="49" t="str">
        <f>_xlfn.XLOOKUP($E8,Tab_Def_Processes[Name(EN)],Tab_Def_Processes[Output_Flow_O_1],,0,)</f>
        <v>Ash</v>
      </c>
      <c r="AD8" s="49" t="str">
        <f>_xlfn.XLOOKUP($E8,Tab_Def_Processes[Name(EN)],Tab_Def_Processes[Flow_ID_O_1],,0,)</f>
        <v>F_10_18</v>
      </c>
      <c r="AE8" s="82">
        <v>0.1</v>
      </c>
      <c r="AF8" s="49" t="str">
        <f>_xlfn.XLOOKUP($E8,Tab_Def_Processes[Name(EN)],Tab_Def_Processes[Output_Flow_O_2],,0,)</f>
        <v>Flue Gas</v>
      </c>
      <c r="AG8" s="49" t="str">
        <f>_xlfn.XLOOKUP($E8,Tab_Def_Processes[Name(EN)],Tab_Def_Processes[Flow_ID_O_2],,0,)</f>
        <v>F_10_19</v>
      </c>
      <c r="AH8" s="82">
        <v>0.9</v>
      </c>
      <c r="AI8" s="49" t="str">
        <f>_xlfn.XLOOKUP($E8,Tab_Def_Processes[Name(EN)],Tab_Def_Processes[Output_Flow_O_3],,0,)</f>
        <v>N.A.</v>
      </c>
      <c r="AJ8" s="49" t="e">
        <f>_xlfn.XLOOKUP($E8,Tab_Def_Processes[Name(EN)],Tab_Def_Processes[Flow_ID_O_3],,0,)</f>
        <v>#N/A</v>
      </c>
      <c r="AK8" s="82"/>
      <c r="AL8" s="49" t="str">
        <f>_xlfn.XLOOKUP($E8,Tab_Def_Processes[Name(EN)],Tab_Def_Processes[Output_Flow_O_4],,0,)</f>
        <v>N.A.</v>
      </c>
      <c r="AM8" s="49" t="e">
        <f>_xlfn.XLOOKUP($E8,Tab_Def_Processes[Name(EN)],Tab_Def_Processes[Flow_ID_O_4],,0,)</f>
        <v>#N/A</v>
      </c>
      <c r="AN8" s="82"/>
      <c r="AO8" s="49" t="str">
        <f>_xlfn.XLOOKUP($E8,Tab_Def_Processes[Name(EN)],Tab_Def_Processes[Output_Flow_O_5],,0,)</f>
        <v>N.A.</v>
      </c>
      <c r="AP8" s="49" t="e">
        <f>_xlfn.XLOOKUP($E8,Tab_Def_Processes[Name(EN)],Tab_Def_Processes[Flow_ID_O_5],,0,)</f>
        <v>#N/A</v>
      </c>
      <c r="AQ8" s="82"/>
      <c r="AR8" s="49" t="str">
        <f>_xlfn.XLOOKUP($E8,Tab_Def_Processes[Name(EN)],Tab_Def_Processes[Output_Flow_O_6],,0,)</f>
        <v>N.A.</v>
      </c>
      <c r="AS8" s="49" t="e">
        <f>_xlfn.XLOOKUP($E8,Tab_Def_Processes[Name(EN)],Tab_Def_Processes[Flow_ID_O_6],,0,)</f>
        <v>#N/A</v>
      </c>
      <c r="AT8" s="82"/>
      <c r="AU8" s="80">
        <f>SUM(Tab_Process_TCs[[#This Row],[Flow_TC O_6_'[%']]],Tab_Process_TCs[[#This Row],[Flow_TC O_5_'[%']]],Tab_Process_TCs[[#This Row],[Flow_TC_O_4_'[%']]],Tab_Process_TCs[[#This Row],[Flow_TC_O_3_'[%']]],,Tab_Process_TCs[[#This Row],[Flow_TC_O_2_'[%']]],Tab_Process_TCs[[#This Row],[Flow_TC_O_1_'[%']]])</f>
        <v>1</v>
      </c>
      <c r="AV8" s="51"/>
      <c r="AW8" s="51"/>
      <c r="AX8" s="51"/>
      <c r="AY8" s="51"/>
      <c r="AZ8" s="51"/>
    </row>
    <row r="9" spans="1:61" x14ac:dyDescent="0.35">
      <c r="A9" s="97" t="b">
        <v>0</v>
      </c>
      <c r="B9" s="49">
        <f t="shared" si="0"/>
        <v>8</v>
      </c>
      <c r="C9" s="49" t="e">
        <f t="shared" si="1"/>
        <v>#N/A</v>
      </c>
      <c r="D9" s="121" t="e">
        <f>_xlfn.XLOOKUP($E9,Tab_Def_Processes[Name(EN)],Tab_Def_Processes[ID],,0,)</f>
        <v>#N/A</v>
      </c>
      <c r="E9" s="51" t="s">
        <v>231</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2"/>
      <c r="P9" s="77" t="e">
        <f>_xlfn.XLOOKUP($E9,Tab_Def_Processes[Name(EN)],Tab_Def_Processes[Input_Flow_I_2],,0,)</f>
        <v>#N/A</v>
      </c>
      <c r="Q9" s="49" t="e">
        <f>_xlfn.XLOOKUP($E9,Tab_Def_Processes[Name(EN)],Tab_Def_Processes[Flow_ID_I_2],,0,)</f>
        <v>#N/A</v>
      </c>
      <c r="R9" s="82"/>
      <c r="S9" s="77" t="e">
        <f>_xlfn.XLOOKUP($E9,Tab_Def_Processes[Name(EN)],Tab_Def_Processes[Input_Flow_I_3],,0,)</f>
        <v>#N/A</v>
      </c>
      <c r="T9" s="49" t="e">
        <f>_xlfn.XLOOKUP($E9,Tab_Def_Processes[Name(EN)],Tab_Def_Processes[Flow_ID_I_3],,0,)</f>
        <v>#N/A</v>
      </c>
      <c r="U9" s="82"/>
      <c r="V9" s="77" t="e">
        <f>_xlfn.XLOOKUP($E9,Tab_Def_Processes[Name(EN)],Tab_Def_Processes[Input_Flow_I_4],,0,)</f>
        <v>#N/A</v>
      </c>
      <c r="W9" s="49" t="e">
        <f>_xlfn.XLOOKUP($E9,Tab_Def_Processes[Name(EN)],Tab_Def_Processes[Flow_ID_I_4],,0,)</f>
        <v>#N/A</v>
      </c>
      <c r="X9" s="82"/>
      <c r="Y9" s="77" t="e">
        <f>_xlfn.XLOOKUP($E9,Tab_Def_Processes[Name(EN)],Tab_Def_Processes[Input_Flow_I_5],,0,)</f>
        <v>#N/A</v>
      </c>
      <c r="Z9" s="49" t="e">
        <f>_xlfn.XLOOKUP($E9,Tab_Def_Processes[Name(EN)],Tab_Def_Processes[Flow_ID_I_5],,0,)</f>
        <v>#N/A</v>
      </c>
      <c r="AA9" s="82"/>
      <c r="AB9" s="80">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82"/>
      <c r="AF9" s="49" t="e">
        <f>_xlfn.XLOOKUP($E9,Tab_Def_Processes[Name(EN)],Tab_Def_Processes[Output_Flow_O_2],,0,)</f>
        <v>#N/A</v>
      </c>
      <c r="AG9" s="49" t="e">
        <f>_xlfn.XLOOKUP($E9,Tab_Def_Processes[Name(EN)],Tab_Def_Processes[Flow_ID_O_2],,0,)</f>
        <v>#N/A</v>
      </c>
      <c r="AH9" s="82"/>
      <c r="AI9" s="49" t="e">
        <f>_xlfn.XLOOKUP($E9,Tab_Def_Processes[Name(EN)],Tab_Def_Processes[Output_Flow_O_3],,0,)</f>
        <v>#N/A</v>
      </c>
      <c r="AJ9" s="49" t="e">
        <f>_xlfn.XLOOKUP($E9,Tab_Def_Processes[Name(EN)],Tab_Def_Processes[Flow_ID_O_3],,0,)</f>
        <v>#N/A</v>
      </c>
      <c r="AK9" s="82"/>
      <c r="AL9" s="49" t="e">
        <f>_xlfn.XLOOKUP($E9,Tab_Def_Processes[Name(EN)],Tab_Def_Processes[Output_Flow_O_4],,0,)</f>
        <v>#N/A</v>
      </c>
      <c r="AM9" s="49" t="e">
        <f>_xlfn.XLOOKUP($E9,Tab_Def_Processes[Name(EN)],Tab_Def_Processes[Flow_ID_O_4],,0,)</f>
        <v>#N/A</v>
      </c>
      <c r="AN9" s="82"/>
      <c r="AO9" s="49" t="e">
        <f>_xlfn.XLOOKUP($E9,Tab_Def_Processes[Name(EN)],Tab_Def_Processes[Output_Flow_O_5],,0,)</f>
        <v>#N/A</v>
      </c>
      <c r="AP9" s="49" t="e">
        <f>_xlfn.XLOOKUP($E9,Tab_Def_Processes[Name(EN)],Tab_Def_Processes[Flow_ID_O_5],,0,)</f>
        <v>#N/A</v>
      </c>
      <c r="AQ9" s="82"/>
      <c r="AR9" s="49" t="e">
        <f>_xlfn.XLOOKUP($E9,Tab_Def_Processes[Name(EN)],Tab_Def_Processes[Output_Flow_O_6],,0,)</f>
        <v>#N/A</v>
      </c>
      <c r="AS9" s="49" t="e">
        <f>_xlfn.XLOOKUP($E9,Tab_Def_Processes[Name(EN)],Tab_Def_Processes[Flow_ID_O_6],,0,)</f>
        <v>#N/A</v>
      </c>
      <c r="AT9" s="82"/>
      <c r="AU9" s="80">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35">
      <c r="A10" s="97" t="b">
        <v>0</v>
      </c>
      <c r="B10" s="49">
        <f t="shared" si="0"/>
        <v>9</v>
      </c>
      <c r="C10" s="49" t="e">
        <f t="shared" si="1"/>
        <v>#N/A</v>
      </c>
      <c r="D10" s="121" t="e">
        <f>_xlfn.XLOOKUP($E10,Tab_Def_Processes[Name(EN)],Tab_Def_Processes[ID],,0,)</f>
        <v>#N/A</v>
      </c>
      <c r="E10" s="51" t="s">
        <v>231</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2"/>
      <c r="P10" s="77" t="e">
        <f>_xlfn.XLOOKUP($E10,Tab_Def_Processes[Name(EN)],Tab_Def_Processes[Input_Flow_I_2],,0,)</f>
        <v>#N/A</v>
      </c>
      <c r="Q10" s="49" t="e">
        <f>_xlfn.XLOOKUP($E10,Tab_Def_Processes[Name(EN)],Tab_Def_Processes[Flow_ID_I_2],,0,)</f>
        <v>#N/A</v>
      </c>
      <c r="R10" s="82"/>
      <c r="S10" s="77" t="e">
        <f>_xlfn.XLOOKUP($E10,Tab_Def_Processes[Name(EN)],Tab_Def_Processes[Input_Flow_I_3],,0,)</f>
        <v>#N/A</v>
      </c>
      <c r="T10" s="49" t="e">
        <f>_xlfn.XLOOKUP($E10,Tab_Def_Processes[Name(EN)],Tab_Def_Processes[Flow_ID_I_3],,0,)</f>
        <v>#N/A</v>
      </c>
      <c r="U10" s="82"/>
      <c r="V10" s="77" t="e">
        <f>_xlfn.XLOOKUP($E10,Tab_Def_Processes[Name(EN)],Tab_Def_Processes[Input_Flow_I_4],,0,)</f>
        <v>#N/A</v>
      </c>
      <c r="W10" s="49" t="e">
        <f>_xlfn.XLOOKUP($E10,Tab_Def_Processes[Name(EN)],Tab_Def_Processes[Flow_ID_I_4],,0,)</f>
        <v>#N/A</v>
      </c>
      <c r="X10" s="82"/>
      <c r="Y10" s="77" t="e">
        <f>_xlfn.XLOOKUP($E10,Tab_Def_Processes[Name(EN)],Tab_Def_Processes[Input_Flow_I_5],,0,)</f>
        <v>#N/A</v>
      </c>
      <c r="Z10" s="49" t="e">
        <f>_xlfn.XLOOKUP($E10,Tab_Def_Processes[Name(EN)],Tab_Def_Processes[Flow_ID_I_5],,0,)</f>
        <v>#N/A</v>
      </c>
      <c r="AA10" s="82"/>
      <c r="AB10" s="80">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82"/>
      <c r="AF10" s="49" t="e">
        <f>_xlfn.XLOOKUP($E10,Tab_Def_Processes[Name(EN)],Tab_Def_Processes[Output_Flow_O_2],,0,)</f>
        <v>#N/A</v>
      </c>
      <c r="AG10" s="49" t="e">
        <f>_xlfn.XLOOKUP($E10,Tab_Def_Processes[Name(EN)],Tab_Def_Processes[Flow_ID_O_2],,0,)</f>
        <v>#N/A</v>
      </c>
      <c r="AH10" s="82"/>
      <c r="AI10" s="49" t="e">
        <f>_xlfn.XLOOKUP($E10,Tab_Def_Processes[Name(EN)],Tab_Def_Processes[Output_Flow_O_3],,0,)</f>
        <v>#N/A</v>
      </c>
      <c r="AJ10" s="49" t="e">
        <f>_xlfn.XLOOKUP($E10,Tab_Def_Processes[Name(EN)],Tab_Def_Processes[Flow_ID_O_3],,0,)</f>
        <v>#N/A</v>
      </c>
      <c r="AK10" s="82"/>
      <c r="AL10" s="49" t="e">
        <f>_xlfn.XLOOKUP($E10,Tab_Def_Processes[Name(EN)],Tab_Def_Processes[Output_Flow_O_4],,0,)</f>
        <v>#N/A</v>
      </c>
      <c r="AM10" s="49" t="e">
        <f>_xlfn.XLOOKUP($E10,Tab_Def_Processes[Name(EN)],Tab_Def_Processes[Flow_ID_O_4],,0,)</f>
        <v>#N/A</v>
      </c>
      <c r="AN10" s="82"/>
      <c r="AO10" s="49" t="e">
        <f>_xlfn.XLOOKUP($E10,Tab_Def_Processes[Name(EN)],Tab_Def_Processes[Output_Flow_O_5],,0,)</f>
        <v>#N/A</v>
      </c>
      <c r="AP10" s="49" t="e">
        <f>_xlfn.XLOOKUP($E10,Tab_Def_Processes[Name(EN)],Tab_Def_Processes[Flow_ID_O_5],,0,)</f>
        <v>#N/A</v>
      </c>
      <c r="AQ10" s="82"/>
      <c r="AR10" s="49" t="e">
        <f>_xlfn.XLOOKUP($E10,Tab_Def_Processes[Name(EN)],Tab_Def_Processes[Output_Flow_O_6],,0,)</f>
        <v>#N/A</v>
      </c>
      <c r="AS10" s="49" t="e">
        <f>_xlfn.XLOOKUP($E10,Tab_Def_Processes[Name(EN)],Tab_Def_Processes[Flow_ID_O_6],,0,)</f>
        <v>#N/A</v>
      </c>
      <c r="AT10" s="82"/>
      <c r="AU10" s="80">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35">
      <c r="A11" s="97" t="b">
        <v>0</v>
      </c>
      <c r="B11" s="49">
        <f t="shared" si="0"/>
        <v>10</v>
      </c>
      <c r="C11" s="49" t="e">
        <f t="shared" si="1"/>
        <v>#N/A</v>
      </c>
      <c r="D11" s="121" t="e">
        <f>_xlfn.XLOOKUP($E11,Tab_Def_Processes[Name(EN)],Tab_Def_Processes[ID],,0,)</f>
        <v>#N/A</v>
      </c>
      <c r="E11" s="51" t="s">
        <v>231</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2"/>
      <c r="P11" s="77" t="e">
        <f>_xlfn.XLOOKUP($E11,Tab_Def_Processes[Name(EN)],Tab_Def_Processes[Input_Flow_I_2],,0,)</f>
        <v>#N/A</v>
      </c>
      <c r="Q11" s="49" t="e">
        <f>_xlfn.XLOOKUP($E11,Tab_Def_Processes[Name(EN)],Tab_Def_Processes[Flow_ID_I_2],,0,)</f>
        <v>#N/A</v>
      </c>
      <c r="R11" s="82"/>
      <c r="S11" s="77" t="e">
        <f>_xlfn.XLOOKUP($E11,Tab_Def_Processes[Name(EN)],Tab_Def_Processes[Input_Flow_I_3],,0,)</f>
        <v>#N/A</v>
      </c>
      <c r="T11" s="49" t="e">
        <f>_xlfn.XLOOKUP($E11,Tab_Def_Processes[Name(EN)],Tab_Def_Processes[Flow_ID_I_3],,0,)</f>
        <v>#N/A</v>
      </c>
      <c r="U11" s="82"/>
      <c r="V11" s="77" t="e">
        <f>_xlfn.XLOOKUP($E11,Tab_Def_Processes[Name(EN)],Tab_Def_Processes[Input_Flow_I_4],,0,)</f>
        <v>#N/A</v>
      </c>
      <c r="W11" s="49" t="e">
        <f>_xlfn.XLOOKUP($E11,Tab_Def_Processes[Name(EN)],Tab_Def_Processes[Flow_ID_I_4],,0,)</f>
        <v>#N/A</v>
      </c>
      <c r="X11" s="82"/>
      <c r="Y11" s="77" t="e">
        <f>_xlfn.XLOOKUP($E11,Tab_Def_Processes[Name(EN)],Tab_Def_Processes[Input_Flow_I_5],,0,)</f>
        <v>#N/A</v>
      </c>
      <c r="Z11" s="49" t="e">
        <f>_xlfn.XLOOKUP($E11,Tab_Def_Processes[Name(EN)],Tab_Def_Processes[Flow_ID_I_5],,0,)</f>
        <v>#N/A</v>
      </c>
      <c r="AA11" s="82"/>
      <c r="AB11" s="80">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82"/>
      <c r="AF11" s="49" t="e">
        <f>_xlfn.XLOOKUP($E11,Tab_Def_Processes[Name(EN)],Tab_Def_Processes[Output_Flow_O_2],,0,)</f>
        <v>#N/A</v>
      </c>
      <c r="AG11" s="49" t="e">
        <f>_xlfn.XLOOKUP($E11,Tab_Def_Processes[Name(EN)],Tab_Def_Processes[Flow_ID_O_2],,0,)</f>
        <v>#N/A</v>
      </c>
      <c r="AH11" s="82"/>
      <c r="AI11" s="49" t="e">
        <f>_xlfn.XLOOKUP($E11,Tab_Def_Processes[Name(EN)],Tab_Def_Processes[Output_Flow_O_3],,0,)</f>
        <v>#N/A</v>
      </c>
      <c r="AJ11" s="49" t="e">
        <f>_xlfn.XLOOKUP($E11,Tab_Def_Processes[Name(EN)],Tab_Def_Processes[Flow_ID_O_3],,0,)</f>
        <v>#N/A</v>
      </c>
      <c r="AK11" s="82"/>
      <c r="AL11" s="49" t="e">
        <f>_xlfn.XLOOKUP($E11,Tab_Def_Processes[Name(EN)],Tab_Def_Processes[Output_Flow_O_4],,0,)</f>
        <v>#N/A</v>
      </c>
      <c r="AM11" s="49" t="e">
        <f>_xlfn.XLOOKUP($E11,Tab_Def_Processes[Name(EN)],Tab_Def_Processes[Flow_ID_O_4],,0,)</f>
        <v>#N/A</v>
      </c>
      <c r="AN11" s="82"/>
      <c r="AO11" s="49" t="e">
        <f>_xlfn.XLOOKUP($E11,Tab_Def_Processes[Name(EN)],Tab_Def_Processes[Output_Flow_O_5],,0,)</f>
        <v>#N/A</v>
      </c>
      <c r="AP11" s="49" t="e">
        <f>_xlfn.XLOOKUP($E11,Tab_Def_Processes[Name(EN)],Tab_Def_Processes[Flow_ID_O_5],,0,)</f>
        <v>#N/A</v>
      </c>
      <c r="AQ11" s="82"/>
      <c r="AR11" s="49" t="e">
        <f>_xlfn.XLOOKUP($E11,Tab_Def_Processes[Name(EN)],Tab_Def_Processes[Output_Flow_O_6],,0,)</f>
        <v>#N/A</v>
      </c>
      <c r="AS11" s="49" t="e">
        <f>_xlfn.XLOOKUP($E11,Tab_Def_Processes[Name(EN)],Tab_Def_Processes[Flow_ID_O_6],,0,)</f>
        <v>#N/A</v>
      </c>
      <c r="AT11" s="82"/>
      <c r="AU11" s="80">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35">
      <c r="A12" s="97" t="b">
        <v>0</v>
      </c>
      <c r="B12" s="49">
        <f t="shared" si="0"/>
        <v>11</v>
      </c>
      <c r="C12" s="49" t="e">
        <f t="shared" si="1"/>
        <v>#N/A</v>
      </c>
      <c r="D12" s="121" t="e">
        <f>_xlfn.XLOOKUP($E12,Tab_Def_Processes[Name(EN)],Tab_Def_Processes[ID],,0,)</f>
        <v>#N/A</v>
      </c>
      <c r="E12" s="51" t="s">
        <v>231</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2"/>
      <c r="P12" s="77" t="e">
        <f>_xlfn.XLOOKUP($E12,Tab_Def_Processes[Name(EN)],Tab_Def_Processes[Input_Flow_I_2],,0,)</f>
        <v>#N/A</v>
      </c>
      <c r="Q12" s="49" t="e">
        <f>_xlfn.XLOOKUP($E12,Tab_Def_Processes[Name(EN)],Tab_Def_Processes[Flow_ID_I_2],,0,)</f>
        <v>#N/A</v>
      </c>
      <c r="R12" s="82"/>
      <c r="S12" s="77" t="e">
        <f>_xlfn.XLOOKUP($E12,Tab_Def_Processes[Name(EN)],Tab_Def_Processes[Input_Flow_I_3],,0,)</f>
        <v>#N/A</v>
      </c>
      <c r="T12" s="49" t="e">
        <f>_xlfn.XLOOKUP($E12,Tab_Def_Processes[Name(EN)],Tab_Def_Processes[Flow_ID_I_3],,0,)</f>
        <v>#N/A</v>
      </c>
      <c r="U12" s="82"/>
      <c r="V12" s="77" t="e">
        <f>_xlfn.XLOOKUP($E12,Tab_Def_Processes[Name(EN)],Tab_Def_Processes[Input_Flow_I_4],,0,)</f>
        <v>#N/A</v>
      </c>
      <c r="W12" s="49" t="e">
        <f>_xlfn.XLOOKUP($E12,Tab_Def_Processes[Name(EN)],Tab_Def_Processes[Flow_ID_I_4],,0,)</f>
        <v>#N/A</v>
      </c>
      <c r="X12" s="82"/>
      <c r="Y12" s="77" t="e">
        <f>_xlfn.XLOOKUP($E12,Tab_Def_Processes[Name(EN)],Tab_Def_Processes[Input_Flow_I_5],,0,)</f>
        <v>#N/A</v>
      </c>
      <c r="Z12" s="49" t="e">
        <f>_xlfn.XLOOKUP($E12,Tab_Def_Processes[Name(EN)],Tab_Def_Processes[Flow_ID_I_5],,0,)</f>
        <v>#N/A</v>
      </c>
      <c r="AA12" s="82"/>
      <c r="AB12" s="80">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82"/>
      <c r="AF12" s="49" t="e">
        <f>_xlfn.XLOOKUP($E12,Tab_Def_Processes[Name(EN)],Tab_Def_Processes[Output_Flow_O_2],,0,)</f>
        <v>#N/A</v>
      </c>
      <c r="AG12" s="49" t="e">
        <f>_xlfn.XLOOKUP($E12,Tab_Def_Processes[Name(EN)],Tab_Def_Processes[Flow_ID_O_2],,0,)</f>
        <v>#N/A</v>
      </c>
      <c r="AH12" s="82"/>
      <c r="AI12" s="49" t="e">
        <f>_xlfn.XLOOKUP($E12,Tab_Def_Processes[Name(EN)],Tab_Def_Processes[Output_Flow_O_3],,0,)</f>
        <v>#N/A</v>
      </c>
      <c r="AJ12" s="49" t="e">
        <f>_xlfn.XLOOKUP($E12,Tab_Def_Processes[Name(EN)],Tab_Def_Processes[Flow_ID_O_3],,0,)</f>
        <v>#N/A</v>
      </c>
      <c r="AK12" s="82"/>
      <c r="AL12" s="49" t="e">
        <f>_xlfn.XLOOKUP($E12,Tab_Def_Processes[Name(EN)],Tab_Def_Processes[Output_Flow_O_4],,0,)</f>
        <v>#N/A</v>
      </c>
      <c r="AM12" s="49" t="e">
        <f>_xlfn.XLOOKUP($E12,Tab_Def_Processes[Name(EN)],Tab_Def_Processes[Flow_ID_O_4],,0,)</f>
        <v>#N/A</v>
      </c>
      <c r="AN12" s="82"/>
      <c r="AO12" s="49" t="e">
        <f>_xlfn.XLOOKUP($E12,Tab_Def_Processes[Name(EN)],Tab_Def_Processes[Output_Flow_O_5],,0,)</f>
        <v>#N/A</v>
      </c>
      <c r="AP12" s="49" t="e">
        <f>_xlfn.XLOOKUP($E12,Tab_Def_Processes[Name(EN)],Tab_Def_Processes[Flow_ID_O_5],,0,)</f>
        <v>#N/A</v>
      </c>
      <c r="AQ12" s="82"/>
      <c r="AR12" s="49" t="e">
        <f>_xlfn.XLOOKUP($E12,Tab_Def_Processes[Name(EN)],Tab_Def_Processes[Output_Flow_O_6],,0,)</f>
        <v>#N/A</v>
      </c>
      <c r="AS12" s="49" t="e">
        <f>_xlfn.XLOOKUP($E12,Tab_Def_Processes[Name(EN)],Tab_Def_Processes[Flow_ID_O_6],,0,)</f>
        <v>#N/A</v>
      </c>
      <c r="AT12" s="82"/>
      <c r="AU12" s="80">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35">
      <c r="A13" s="97" t="b">
        <v>0</v>
      </c>
      <c r="B13" s="49">
        <f t="shared" si="0"/>
        <v>12</v>
      </c>
      <c r="C13" s="49" t="e">
        <f t="shared" si="1"/>
        <v>#N/A</v>
      </c>
      <c r="D13" s="121" t="e">
        <f>_xlfn.XLOOKUP($E13,Tab_Def_Processes[Name(EN)],Tab_Def_Processes[ID],,0,)</f>
        <v>#N/A</v>
      </c>
      <c r="E13" s="51" t="s">
        <v>231</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2"/>
      <c r="P13" s="77" t="e">
        <f>_xlfn.XLOOKUP($E13,Tab_Def_Processes[Name(EN)],Tab_Def_Processes[Input_Flow_I_2],,0,)</f>
        <v>#N/A</v>
      </c>
      <c r="Q13" s="49" t="e">
        <f>_xlfn.XLOOKUP($E13,Tab_Def_Processes[Name(EN)],Tab_Def_Processes[Flow_ID_I_2],,0,)</f>
        <v>#N/A</v>
      </c>
      <c r="R13" s="82"/>
      <c r="S13" s="77" t="e">
        <f>_xlfn.XLOOKUP($E13,Tab_Def_Processes[Name(EN)],Tab_Def_Processes[Input_Flow_I_3],,0,)</f>
        <v>#N/A</v>
      </c>
      <c r="T13" s="49" t="e">
        <f>_xlfn.XLOOKUP($E13,Tab_Def_Processes[Name(EN)],Tab_Def_Processes[Flow_ID_I_3],,0,)</f>
        <v>#N/A</v>
      </c>
      <c r="U13" s="82"/>
      <c r="V13" s="77" t="e">
        <f>_xlfn.XLOOKUP($E13,Tab_Def_Processes[Name(EN)],Tab_Def_Processes[Input_Flow_I_4],,0,)</f>
        <v>#N/A</v>
      </c>
      <c r="W13" s="49" t="e">
        <f>_xlfn.XLOOKUP($E13,Tab_Def_Processes[Name(EN)],Tab_Def_Processes[Flow_ID_I_4],,0,)</f>
        <v>#N/A</v>
      </c>
      <c r="X13" s="82"/>
      <c r="Y13" s="77" t="e">
        <f>_xlfn.XLOOKUP($E13,Tab_Def_Processes[Name(EN)],Tab_Def_Processes[Input_Flow_I_5],,0,)</f>
        <v>#N/A</v>
      </c>
      <c r="Z13" s="49" t="e">
        <f>_xlfn.XLOOKUP($E13,Tab_Def_Processes[Name(EN)],Tab_Def_Processes[Flow_ID_I_5],,0,)</f>
        <v>#N/A</v>
      </c>
      <c r="AA13" s="82"/>
      <c r="AB13" s="80">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82"/>
      <c r="AF13" s="49" t="e">
        <f>_xlfn.XLOOKUP($E13,Tab_Def_Processes[Name(EN)],Tab_Def_Processes[Output_Flow_O_2],,0,)</f>
        <v>#N/A</v>
      </c>
      <c r="AG13" s="49" t="e">
        <f>_xlfn.XLOOKUP($E13,Tab_Def_Processes[Name(EN)],Tab_Def_Processes[Flow_ID_O_2],,0,)</f>
        <v>#N/A</v>
      </c>
      <c r="AH13" s="82"/>
      <c r="AI13" s="49" t="e">
        <f>_xlfn.XLOOKUP($E13,Tab_Def_Processes[Name(EN)],Tab_Def_Processes[Output_Flow_O_3],,0,)</f>
        <v>#N/A</v>
      </c>
      <c r="AJ13" s="49" t="e">
        <f>_xlfn.XLOOKUP($E13,Tab_Def_Processes[Name(EN)],Tab_Def_Processes[Flow_ID_O_3],,0,)</f>
        <v>#N/A</v>
      </c>
      <c r="AK13" s="82"/>
      <c r="AL13" s="49" t="e">
        <f>_xlfn.XLOOKUP($E13,Tab_Def_Processes[Name(EN)],Tab_Def_Processes[Output_Flow_O_4],,0,)</f>
        <v>#N/A</v>
      </c>
      <c r="AM13" s="49" t="e">
        <f>_xlfn.XLOOKUP($E13,Tab_Def_Processes[Name(EN)],Tab_Def_Processes[Flow_ID_O_4],,0,)</f>
        <v>#N/A</v>
      </c>
      <c r="AN13" s="82"/>
      <c r="AO13" s="49" t="e">
        <f>_xlfn.XLOOKUP($E13,Tab_Def_Processes[Name(EN)],Tab_Def_Processes[Output_Flow_O_5],,0,)</f>
        <v>#N/A</v>
      </c>
      <c r="AP13" s="49" t="e">
        <f>_xlfn.XLOOKUP($E13,Tab_Def_Processes[Name(EN)],Tab_Def_Processes[Flow_ID_O_5],,0,)</f>
        <v>#N/A</v>
      </c>
      <c r="AQ13" s="82"/>
      <c r="AR13" s="49" t="e">
        <f>_xlfn.XLOOKUP($E13,Tab_Def_Processes[Name(EN)],Tab_Def_Processes[Output_Flow_O_6],,0,)</f>
        <v>#N/A</v>
      </c>
      <c r="AS13" s="49" t="e">
        <f>_xlfn.XLOOKUP($E13,Tab_Def_Processes[Name(EN)],Tab_Def_Processes[Flow_ID_O_6],,0,)</f>
        <v>#N/A</v>
      </c>
      <c r="AT13" s="82"/>
      <c r="AU13" s="80">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35">
      <c r="A14" s="97" t="b">
        <v>0</v>
      </c>
      <c r="B14" s="49">
        <f t="shared" si="0"/>
        <v>13</v>
      </c>
      <c r="C14" s="49" t="e">
        <f t="shared" si="1"/>
        <v>#N/A</v>
      </c>
      <c r="D14" s="121" t="e">
        <f>_xlfn.XLOOKUP($E14,Tab_Def_Processes[Name(EN)],Tab_Def_Processes[ID],,0,)</f>
        <v>#N/A</v>
      </c>
      <c r="E14" s="51" t="s">
        <v>231</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2"/>
      <c r="P14" s="77" t="e">
        <f>_xlfn.XLOOKUP($E14,Tab_Def_Processes[Name(EN)],Tab_Def_Processes[Input_Flow_I_2],,0,)</f>
        <v>#N/A</v>
      </c>
      <c r="Q14" s="49" t="e">
        <f>_xlfn.XLOOKUP($E14,Tab_Def_Processes[Name(EN)],Tab_Def_Processes[Flow_ID_I_2],,0,)</f>
        <v>#N/A</v>
      </c>
      <c r="R14" s="82"/>
      <c r="S14" s="77" t="e">
        <f>_xlfn.XLOOKUP($E14,Tab_Def_Processes[Name(EN)],Tab_Def_Processes[Input_Flow_I_3],,0,)</f>
        <v>#N/A</v>
      </c>
      <c r="T14" s="49" t="e">
        <f>_xlfn.XLOOKUP($E14,Tab_Def_Processes[Name(EN)],Tab_Def_Processes[Flow_ID_I_3],,0,)</f>
        <v>#N/A</v>
      </c>
      <c r="U14" s="82"/>
      <c r="V14" s="77" t="e">
        <f>_xlfn.XLOOKUP($E14,Tab_Def_Processes[Name(EN)],Tab_Def_Processes[Input_Flow_I_4],,0,)</f>
        <v>#N/A</v>
      </c>
      <c r="W14" s="49" t="e">
        <f>_xlfn.XLOOKUP($E14,Tab_Def_Processes[Name(EN)],Tab_Def_Processes[Flow_ID_I_4],,0,)</f>
        <v>#N/A</v>
      </c>
      <c r="X14" s="82"/>
      <c r="Y14" s="77" t="e">
        <f>_xlfn.XLOOKUP($E14,Tab_Def_Processes[Name(EN)],Tab_Def_Processes[Input_Flow_I_5],,0,)</f>
        <v>#N/A</v>
      </c>
      <c r="Z14" s="49" t="e">
        <f>_xlfn.XLOOKUP($E14,Tab_Def_Processes[Name(EN)],Tab_Def_Processes[Flow_ID_I_5],,0,)</f>
        <v>#N/A</v>
      </c>
      <c r="AA14" s="82"/>
      <c r="AB14" s="80">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82"/>
      <c r="AF14" s="49" t="e">
        <f>_xlfn.XLOOKUP($E14,Tab_Def_Processes[Name(EN)],Tab_Def_Processes[Output_Flow_O_2],,0,)</f>
        <v>#N/A</v>
      </c>
      <c r="AG14" s="49" t="e">
        <f>_xlfn.XLOOKUP($E14,Tab_Def_Processes[Name(EN)],Tab_Def_Processes[Flow_ID_O_2],,0,)</f>
        <v>#N/A</v>
      </c>
      <c r="AH14" s="82"/>
      <c r="AI14" s="49" t="e">
        <f>_xlfn.XLOOKUP($E14,Tab_Def_Processes[Name(EN)],Tab_Def_Processes[Output_Flow_O_3],,0,)</f>
        <v>#N/A</v>
      </c>
      <c r="AJ14" s="49" t="e">
        <f>_xlfn.XLOOKUP($E14,Tab_Def_Processes[Name(EN)],Tab_Def_Processes[Flow_ID_O_3],,0,)</f>
        <v>#N/A</v>
      </c>
      <c r="AK14" s="82"/>
      <c r="AL14" s="49" t="e">
        <f>_xlfn.XLOOKUP($E14,Tab_Def_Processes[Name(EN)],Tab_Def_Processes[Output_Flow_O_4],,0,)</f>
        <v>#N/A</v>
      </c>
      <c r="AM14" s="49" t="e">
        <f>_xlfn.XLOOKUP($E14,Tab_Def_Processes[Name(EN)],Tab_Def_Processes[Flow_ID_O_4],,0,)</f>
        <v>#N/A</v>
      </c>
      <c r="AN14" s="82"/>
      <c r="AO14" s="49" t="e">
        <f>_xlfn.XLOOKUP($E14,Tab_Def_Processes[Name(EN)],Tab_Def_Processes[Output_Flow_O_5],,0,)</f>
        <v>#N/A</v>
      </c>
      <c r="AP14" s="49" t="e">
        <f>_xlfn.XLOOKUP($E14,Tab_Def_Processes[Name(EN)],Tab_Def_Processes[Flow_ID_O_5],,0,)</f>
        <v>#N/A</v>
      </c>
      <c r="AQ14" s="82"/>
      <c r="AR14" s="49" t="e">
        <f>_xlfn.XLOOKUP($E14,Tab_Def_Processes[Name(EN)],Tab_Def_Processes[Output_Flow_O_6],,0,)</f>
        <v>#N/A</v>
      </c>
      <c r="AS14" s="49" t="e">
        <f>_xlfn.XLOOKUP($E14,Tab_Def_Processes[Name(EN)],Tab_Def_Processes[Flow_ID_O_6],,0,)</f>
        <v>#N/A</v>
      </c>
      <c r="AT14" s="82"/>
      <c r="AU14" s="80">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35">
      <c r="A15" s="97" t="b">
        <v>0</v>
      </c>
      <c r="B15" s="49">
        <f t="shared" si="0"/>
        <v>14</v>
      </c>
      <c r="C15" s="49" t="e">
        <f t="shared" si="1"/>
        <v>#N/A</v>
      </c>
      <c r="D15" s="121" t="e">
        <f>_xlfn.XLOOKUP($E15,Tab_Def_Processes[Name(EN)],Tab_Def_Processes[ID],,0,)</f>
        <v>#N/A</v>
      </c>
      <c r="E15" s="51" t="s">
        <v>231</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2"/>
      <c r="P15" s="77" t="e">
        <f>_xlfn.XLOOKUP($E15,Tab_Def_Processes[Name(EN)],Tab_Def_Processes[Input_Flow_I_2],,0,)</f>
        <v>#N/A</v>
      </c>
      <c r="Q15" s="49" t="e">
        <f>_xlfn.XLOOKUP($E15,Tab_Def_Processes[Name(EN)],Tab_Def_Processes[Flow_ID_I_2],,0,)</f>
        <v>#N/A</v>
      </c>
      <c r="R15" s="82"/>
      <c r="S15" s="77" t="e">
        <f>_xlfn.XLOOKUP($E15,Tab_Def_Processes[Name(EN)],Tab_Def_Processes[Input_Flow_I_3],,0,)</f>
        <v>#N/A</v>
      </c>
      <c r="T15" s="49" t="e">
        <f>_xlfn.XLOOKUP($E15,Tab_Def_Processes[Name(EN)],Tab_Def_Processes[Flow_ID_I_3],,0,)</f>
        <v>#N/A</v>
      </c>
      <c r="U15" s="82"/>
      <c r="V15" s="77" t="e">
        <f>_xlfn.XLOOKUP($E15,Tab_Def_Processes[Name(EN)],Tab_Def_Processes[Input_Flow_I_4],,0,)</f>
        <v>#N/A</v>
      </c>
      <c r="W15" s="49" t="e">
        <f>_xlfn.XLOOKUP($E15,Tab_Def_Processes[Name(EN)],Tab_Def_Processes[Flow_ID_I_4],,0,)</f>
        <v>#N/A</v>
      </c>
      <c r="X15" s="82"/>
      <c r="Y15" s="77" t="e">
        <f>_xlfn.XLOOKUP($E15,Tab_Def_Processes[Name(EN)],Tab_Def_Processes[Input_Flow_I_5],,0,)</f>
        <v>#N/A</v>
      </c>
      <c r="Z15" s="49" t="e">
        <f>_xlfn.XLOOKUP($E15,Tab_Def_Processes[Name(EN)],Tab_Def_Processes[Flow_ID_I_5],,0,)</f>
        <v>#N/A</v>
      </c>
      <c r="AA15" s="82"/>
      <c r="AB15" s="80">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82"/>
      <c r="AF15" s="49" t="e">
        <f>_xlfn.XLOOKUP($E15,Tab_Def_Processes[Name(EN)],Tab_Def_Processes[Output_Flow_O_2],,0,)</f>
        <v>#N/A</v>
      </c>
      <c r="AG15" s="49" t="e">
        <f>_xlfn.XLOOKUP($E15,Tab_Def_Processes[Name(EN)],Tab_Def_Processes[Flow_ID_O_2],,0,)</f>
        <v>#N/A</v>
      </c>
      <c r="AH15" s="82"/>
      <c r="AI15" s="49" t="e">
        <f>_xlfn.XLOOKUP($E15,Tab_Def_Processes[Name(EN)],Tab_Def_Processes[Output_Flow_O_3],,0,)</f>
        <v>#N/A</v>
      </c>
      <c r="AJ15" s="49" t="e">
        <f>_xlfn.XLOOKUP($E15,Tab_Def_Processes[Name(EN)],Tab_Def_Processes[Flow_ID_O_3],,0,)</f>
        <v>#N/A</v>
      </c>
      <c r="AK15" s="82"/>
      <c r="AL15" s="49" t="e">
        <f>_xlfn.XLOOKUP($E15,Tab_Def_Processes[Name(EN)],Tab_Def_Processes[Output_Flow_O_4],,0,)</f>
        <v>#N/A</v>
      </c>
      <c r="AM15" s="49" t="e">
        <f>_xlfn.XLOOKUP($E15,Tab_Def_Processes[Name(EN)],Tab_Def_Processes[Flow_ID_O_4],,0,)</f>
        <v>#N/A</v>
      </c>
      <c r="AN15" s="82"/>
      <c r="AO15" s="49" t="e">
        <f>_xlfn.XLOOKUP($E15,Tab_Def_Processes[Name(EN)],Tab_Def_Processes[Output_Flow_O_5],,0,)</f>
        <v>#N/A</v>
      </c>
      <c r="AP15" s="49" t="e">
        <f>_xlfn.XLOOKUP($E15,Tab_Def_Processes[Name(EN)],Tab_Def_Processes[Flow_ID_O_5],,0,)</f>
        <v>#N/A</v>
      </c>
      <c r="AQ15" s="82"/>
      <c r="AR15" s="49" t="e">
        <f>_xlfn.XLOOKUP($E15,Tab_Def_Processes[Name(EN)],Tab_Def_Processes[Output_Flow_O_6],,0,)</f>
        <v>#N/A</v>
      </c>
      <c r="AS15" s="49" t="e">
        <f>_xlfn.XLOOKUP($E15,Tab_Def_Processes[Name(EN)],Tab_Def_Processes[Flow_ID_O_6],,0,)</f>
        <v>#N/A</v>
      </c>
      <c r="AT15" s="82"/>
      <c r="AU15" s="80">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35">
      <c r="A16" s="97" t="b">
        <v>0</v>
      </c>
      <c r="B16" s="49">
        <f t="shared" si="0"/>
        <v>15</v>
      </c>
      <c r="C16" s="49" t="e">
        <f t="shared" si="1"/>
        <v>#N/A</v>
      </c>
      <c r="D16" s="121" t="e">
        <f>_xlfn.XLOOKUP($E16,Tab_Def_Processes[Name(EN)],Tab_Def_Processes[ID],,0,)</f>
        <v>#N/A</v>
      </c>
      <c r="E16" s="51" t="s">
        <v>231</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2"/>
      <c r="P16" s="77" t="e">
        <f>_xlfn.XLOOKUP($E16,Tab_Def_Processes[Name(EN)],Tab_Def_Processes[Input_Flow_I_2],,0,)</f>
        <v>#N/A</v>
      </c>
      <c r="Q16" s="49" t="e">
        <f>_xlfn.XLOOKUP($E16,Tab_Def_Processes[Name(EN)],Tab_Def_Processes[Flow_ID_I_2],,0,)</f>
        <v>#N/A</v>
      </c>
      <c r="R16" s="82"/>
      <c r="S16" s="77" t="e">
        <f>_xlfn.XLOOKUP($E16,Tab_Def_Processes[Name(EN)],Tab_Def_Processes[Input_Flow_I_3],,0,)</f>
        <v>#N/A</v>
      </c>
      <c r="T16" s="49" t="e">
        <f>_xlfn.XLOOKUP($E16,Tab_Def_Processes[Name(EN)],Tab_Def_Processes[Flow_ID_I_3],,0,)</f>
        <v>#N/A</v>
      </c>
      <c r="U16" s="82"/>
      <c r="V16" s="77" t="e">
        <f>_xlfn.XLOOKUP($E16,Tab_Def_Processes[Name(EN)],Tab_Def_Processes[Input_Flow_I_4],,0,)</f>
        <v>#N/A</v>
      </c>
      <c r="W16" s="49" t="e">
        <f>_xlfn.XLOOKUP($E16,Tab_Def_Processes[Name(EN)],Tab_Def_Processes[Flow_ID_I_4],,0,)</f>
        <v>#N/A</v>
      </c>
      <c r="X16" s="82"/>
      <c r="Y16" s="77" t="e">
        <f>_xlfn.XLOOKUP($E16,Tab_Def_Processes[Name(EN)],Tab_Def_Processes[Input_Flow_I_5],,0,)</f>
        <v>#N/A</v>
      </c>
      <c r="Z16" s="49" t="e">
        <f>_xlfn.XLOOKUP($E16,Tab_Def_Processes[Name(EN)],Tab_Def_Processes[Flow_ID_I_5],,0,)</f>
        <v>#N/A</v>
      </c>
      <c r="AA16" s="82"/>
      <c r="AB16" s="80">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82"/>
      <c r="AF16" s="49" t="e">
        <f>_xlfn.XLOOKUP($E16,Tab_Def_Processes[Name(EN)],Tab_Def_Processes[Output_Flow_O_2],,0,)</f>
        <v>#N/A</v>
      </c>
      <c r="AG16" s="49" t="e">
        <f>_xlfn.XLOOKUP($E16,Tab_Def_Processes[Name(EN)],Tab_Def_Processes[Flow_ID_O_2],,0,)</f>
        <v>#N/A</v>
      </c>
      <c r="AH16" s="82"/>
      <c r="AI16" s="49" t="e">
        <f>_xlfn.XLOOKUP($E16,Tab_Def_Processes[Name(EN)],Tab_Def_Processes[Output_Flow_O_3],,0,)</f>
        <v>#N/A</v>
      </c>
      <c r="AJ16" s="49" t="e">
        <f>_xlfn.XLOOKUP($E16,Tab_Def_Processes[Name(EN)],Tab_Def_Processes[Flow_ID_O_3],,0,)</f>
        <v>#N/A</v>
      </c>
      <c r="AK16" s="82"/>
      <c r="AL16" s="49" t="e">
        <f>_xlfn.XLOOKUP($E16,Tab_Def_Processes[Name(EN)],Tab_Def_Processes[Output_Flow_O_4],,0,)</f>
        <v>#N/A</v>
      </c>
      <c r="AM16" s="49" t="e">
        <f>_xlfn.XLOOKUP($E16,Tab_Def_Processes[Name(EN)],Tab_Def_Processes[Flow_ID_O_4],,0,)</f>
        <v>#N/A</v>
      </c>
      <c r="AN16" s="82"/>
      <c r="AO16" s="49" t="e">
        <f>_xlfn.XLOOKUP($E16,Tab_Def_Processes[Name(EN)],Tab_Def_Processes[Output_Flow_O_5],,0,)</f>
        <v>#N/A</v>
      </c>
      <c r="AP16" s="49" t="e">
        <f>_xlfn.XLOOKUP($E16,Tab_Def_Processes[Name(EN)],Tab_Def_Processes[Flow_ID_O_5],,0,)</f>
        <v>#N/A</v>
      </c>
      <c r="AQ16" s="82"/>
      <c r="AR16" s="49" t="e">
        <f>_xlfn.XLOOKUP($E16,Tab_Def_Processes[Name(EN)],Tab_Def_Processes[Output_Flow_O_6],,0,)</f>
        <v>#N/A</v>
      </c>
      <c r="AS16" s="49" t="e">
        <f>_xlfn.XLOOKUP($E16,Tab_Def_Processes[Name(EN)],Tab_Def_Processes[Flow_ID_O_6],,0,)</f>
        <v>#N/A</v>
      </c>
      <c r="AT16" s="82"/>
      <c r="AU16" s="80">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35">
      <c r="A17" s="97" t="b">
        <v>0</v>
      </c>
      <c r="B17" s="49">
        <f t="shared" si="0"/>
        <v>16</v>
      </c>
      <c r="C17" s="49" t="e">
        <f t="shared" si="1"/>
        <v>#N/A</v>
      </c>
      <c r="D17" s="121" t="e">
        <f>_xlfn.XLOOKUP($E17,Tab_Def_Processes[Name(EN)],Tab_Def_Processes[ID],,0,)</f>
        <v>#N/A</v>
      </c>
      <c r="E17" s="51" t="s">
        <v>231</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2"/>
      <c r="P17" s="77" t="e">
        <f>_xlfn.XLOOKUP($E17,Tab_Def_Processes[Name(EN)],Tab_Def_Processes[Input_Flow_I_2],,0,)</f>
        <v>#N/A</v>
      </c>
      <c r="Q17" s="49" t="e">
        <f>_xlfn.XLOOKUP($E17,Tab_Def_Processes[Name(EN)],Tab_Def_Processes[Flow_ID_I_2],,0,)</f>
        <v>#N/A</v>
      </c>
      <c r="R17" s="82"/>
      <c r="S17" s="77" t="e">
        <f>_xlfn.XLOOKUP($E17,Tab_Def_Processes[Name(EN)],Tab_Def_Processes[Input_Flow_I_3],,0,)</f>
        <v>#N/A</v>
      </c>
      <c r="T17" s="49" t="e">
        <f>_xlfn.XLOOKUP($E17,Tab_Def_Processes[Name(EN)],Tab_Def_Processes[Flow_ID_I_3],,0,)</f>
        <v>#N/A</v>
      </c>
      <c r="U17" s="82"/>
      <c r="V17" s="77" t="e">
        <f>_xlfn.XLOOKUP($E17,Tab_Def_Processes[Name(EN)],Tab_Def_Processes[Input_Flow_I_4],,0,)</f>
        <v>#N/A</v>
      </c>
      <c r="W17" s="49" t="e">
        <f>_xlfn.XLOOKUP($E17,Tab_Def_Processes[Name(EN)],Tab_Def_Processes[Flow_ID_I_4],,0,)</f>
        <v>#N/A</v>
      </c>
      <c r="X17" s="82"/>
      <c r="Y17" s="77" t="e">
        <f>_xlfn.XLOOKUP($E17,Tab_Def_Processes[Name(EN)],Tab_Def_Processes[Input_Flow_I_5],,0,)</f>
        <v>#N/A</v>
      </c>
      <c r="Z17" s="49" t="e">
        <f>_xlfn.XLOOKUP($E17,Tab_Def_Processes[Name(EN)],Tab_Def_Processes[Flow_ID_I_5],,0,)</f>
        <v>#N/A</v>
      </c>
      <c r="AA17" s="82"/>
      <c r="AB17" s="80">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82"/>
      <c r="AF17" s="49" t="e">
        <f>_xlfn.XLOOKUP($E17,Tab_Def_Processes[Name(EN)],Tab_Def_Processes[Output_Flow_O_2],,0,)</f>
        <v>#N/A</v>
      </c>
      <c r="AG17" s="49" t="e">
        <f>_xlfn.XLOOKUP($E17,Tab_Def_Processes[Name(EN)],Tab_Def_Processes[Flow_ID_O_2],,0,)</f>
        <v>#N/A</v>
      </c>
      <c r="AH17" s="82"/>
      <c r="AI17" s="49" t="e">
        <f>_xlfn.XLOOKUP($E17,Tab_Def_Processes[Name(EN)],Tab_Def_Processes[Output_Flow_O_3],,0,)</f>
        <v>#N/A</v>
      </c>
      <c r="AJ17" s="49" t="e">
        <f>_xlfn.XLOOKUP($E17,Tab_Def_Processes[Name(EN)],Tab_Def_Processes[Flow_ID_O_3],,0,)</f>
        <v>#N/A</v>
      </c>
      <c r="AK17" s="82"/>
      <c r="AL17" s="49" t="e">
        <f>_xlfn.XLOOKUP($E17,Tab_Def_Processes[Name(EN)],Tab_Def_Processes[Output_Flow_O_4],,0,)</f>
        <v>#N/A</v>
      </c>
      <c r="AM17" s="49" t="e">
        <f>_xlfn.XLOOKUP($E17,Tab_Def_Processes[Name(EN)],Tab_Def_Processes[Flow_ID_O_4],,0,)</f>
        <v>#N/A</v>
      </c>
      <c r="AN17" s="82"/>
      <c r="AO17" s="49" t="e">
        <f>_xlfn.XLOOKUP($E17,Tab_Def_Processes[Name(EN)],Tab_Def_Processes[Output_Flow_O_5],,0,)</f>
        <v>#N/A</v>
      </c>
      <c r="AP17" s="49" t="e">
        <f>_xlfn.XLOOKUP($E17,Tab_Def_Processes[Name(EN)],Tab_Def_Processes[Flow_ID_O_5],,0,)</f>
        <v>#N/A</v>
      </c>
      <c r="AQ17" s="82"/>
      <c r="AR17" s="49" t="e">
        <f>_xlfn.XLOOKUP($E17,Tab_Def_Processes[Name(EN)],Tab_Def_Processes[Output_Flow_O_6],,0,)</f>
        <v>#N/A</v>
      </c>
      <c r="AS17" s="49" t="e">
        <f>_xlfn.XLOOKUP($E17,Tab_Def_Processes[Name(EN)],Tab_Def_Processes[Flow_ID_O_6],,0,)</f>
        <v>#N/A</v>
      </c>
      <c r="AT17" s="82"/>
      <c r="AU17" s="80">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35">
      <c r="A18" s="97" t="b">
        <v>0</v>
      </c>
      <c r="B18" s="49">
        <f t="shared" si="0"/>
        <v>17</v>
      </c>
      <c r="C18" s="49" t="e">
        <f t="shared" si="1"/>
        <v>#N/A</v>
      </c>
      <c r="D18" s="121" t="e">
        <f>_xlfn.XLOOKUP($E18,Tab_Def_Processes[Name(EN)],Tab_Def_Processes[ID],,0,)</f>
        <v>#N/A</v>
      </c>
      <c r="E18" s="51" t="s">
        <v>231</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2"/>
      <c r="P18" s="77" t="e">
        <f>_xlfn.XLOOKUP($E18,Tab_Def_Processes[Name(EN)],Tab_Def_Processes[Input_Flow_I_2],,0,)</f>
        <v>#N/A</v>
      </c>
      <c r="Q18" s="49" t="e">
        <f>_xlfn.XLOOKUP($E18,Tab_Def_Processes[Name(EN)],Tab_Def_Processes[Flow_ID_I_2],,0,)</f>
        <v>#N/A</v>
      </c>
      <c r="R18" s="82"/>
      <c r="S18" s="77" t="e">
        <f>_xlfn.XLOOKUP($E18,Tab_Def_Processes[Name(EN)],Tab_Def_Processes[Input_Flow_I_3],,0,)</f>
        <v>#N/A</v>
      </c>
      <c r="T18" s="49" t="e">
        <f>_xlfn.XLOOKUP($E18,Tab_Def_Processes[Name(EN)],Tab_Def_Processes[Flow_ID_I_3],,0,)</f>
        <v>#N/A</v>
      </c>
      <c r="U18" s="82"/>
      <c r="V18" s="77" t="e">
        <f>_xlfn.XLOOKUP($E18,Tab_Def_Processes[Name(EN)],Tab_Def_Processes[Input_Flow_I_4],,0,)</f>
        <v>#N/A</v>
      </c>
      <c r="W18" s="49" t="e">
        <f>_xlfn.XLOOKUP($E18,Tab_Def_Processes[Name(EN)],Tab_Def_Processes[Flow_ID_I_4],,0,)</f>
        <v>#N/A</v>
      </c>
      <c r="X18" s="82"/>
      <c r="Y18" s="77" t="e">
        <f>_xlfn.XLOOKUP($E18,Tab_Def_Processes[Name(EN)],Tab_Def_Processes[Input_Flow_I_5],,0,)</f>
        <v>#N/A</v>
      </c>
      <c r="Z18" s="49" t="e">
        <f>_xlfn.XLOOKUP($E18,Tab_Def_Processes[Name(EN)],Tab_Def_Processes[Flow_ID_I_5],,0,)</f>
        <v>#N/A</v>
      </c>
      <c r="AA18" s="82"/>
      <c r="AB18" s="80">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82"/>
      <c r="AF18" s="49" t="e">
        <f>_xlfn.XLOOKUP($E18,Tab_Def_Processes[Name(EN)],Tab_Def_Processes[Output_Flow_O_2],,0,)</f>
        <v>#N/A</v>
      </c>
      <c r="AG18" s="49" t="e">
        <f>_xlfn.XLOOKUP($E18,Tab_Def_Processes[Name(EN)],Tab_Def_Processes[Flow_ID_O_2],,0,)</f>
        <v>#N/A</v>
      </c>
      <c r="AH18" s="82"/>
      <c r="AI18" s="49" t="e">
        <f>_xlfn.XLOOKUP($E18,Tab_Def_Processes[Name(EN)],Tab_Def_Processes[Output_Flow_O_3],,0,)</f>
        <v>#N/A</v>
      </c>
      <c r="AJ18" s="49" t="e">
        <f>_xlfn.XLOOKUP($E18,Tab_Def_Processes[Name(EN)],Tab_Def_Processes[Flow_ID_O_3],,0,)</f>
        <v>#N/A</v>
      </c>
      <c r="AK18" s="82"/>
      <c r="AL18" s="49" t="e">
        <f>_xlfn.XLOOKUP($E18,Tab_Def_Processes[Name(EN)],Tab_Def_Processes[Output_Flow_O_4],,0,)</f>
        <v>#N/A</v>
      </c>
      <c r="AM18" s="49" t="e">
        <f>_xlfn.XLOOKUP($E18,Tab_Def_Processes[Name(EN)],Tab_Def_Processes[Flow_ID_O_4],,0,)</f>
        <v>#N/A</v>
      </c>
      <c r="AN18" s="82"/>
      <c r="AO18" s="49" t="e">
        <f>_xlfn.XLOOKUP($E18,Tab_Def_Processes[Name(EN)],Tab_Def_Processes[Output_Flow_O_5],,0,)</f>
        <v>#N/A</v>
      </c>
      <c r="AP18" s="49" t="e">
        <f>_xlfn.XLOOKUP($E18,Tab_Def_Processes[Name(EN)],Tab_Def_Processes[Flow_ID_O_5],,0,)</f>
        <v>#N/A</v>
      </c>
      <c r="AQ18" s="82"/>
      <c r="AR18" s="49" t="e">
        <f>_xlfn.XLOOKUP($E18,Tab_Def_Processes[Name(EN)],Tab_Def_Processes[Output_Flow_O_6],,0,)</f>
        <v>#N/A</v>
      </c>
      <c r="AS18" s="49" t="e">
        <f>_xlfn.XLOOKUP($E18,Tab_Def_Processes[Name(EN)],Tab_Def_Processes[Flow_ID_O_6],,0,)</f>
        <v>#N/A</v>
      </c>
      <c r="AT18" s="82"/>
      <c r="AU18" s="80">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35">
      <c r="A19" s="97" t="b">
        <v>0</v>
      </c>
      <c r="B19" s="49">
        <f t="shared" si="0"/>
        <v>18</v>
      </c>
      <c r="C19" s="49" t="e">
        <f t="shared" si="1"/>
        <v>#N/A</v>
      </c>
      <c r="D19" s="121" t="e">
        <f>_xlfn.XLOOKUP($E19,Tab_Def_Processes[Name(EN)],Tab_Def_Processes[ID],,0,)</f>
        <v>#N/A</v>
      </c>
      <c r="E19" s="51" t="s">
        <v>231</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2"/>
      <c r="P19" s="77" t="e">
        <f>_xlfn.XLOOKUP($E19,Tab_Def_Processes[Name(EN)],Tab_Def_Processes[Input_Flow_I_2],,0,)</f>
        <v>#N/A</v>
      </c>
      <c r="Q19" s="49" t="e">
        <f>_xlfn.XLOOKUP($E19,Tab_Def_Processes[Name(EN)],Tab_Def_Processes[Flow_ID_I_2],,0,)</f>
        <v>#N/A</v>
      </c>
      <c r="R19" s="82"/>
      <c r="S19" s="77" t="e">
        <f>_xlfn.XLOOKUP($E19,Tab_Def_Processes[Name(EN)],Tab_Def_Processes[Input_Flow_I_3],,0,)</f>
        <v>#N/A</v>
      </c>
      <c r="T19" s="49" t="e">
        <f>_xlfn.XLOOKUP($E19,Tab_Def_Processes[Name(EN)],Tab_Def_Processes[Flow_ID_I_3],,0,)</f>
        <v>#N/A</v>
      </c>
      <c r="U19" s="82"/>
      <c r="V19" s="77" t="e">
        <f>_xlfn.XLOOKUP($E19,Tab_Def_Processes[Name(EN)],Tab_Def_Processes[Input_Flow_I_4],,0,)</f>
        <v>#N/A</v>
      </c>
      <c r="W19" s="49" t="e">
        <f>_xlfn.XLOOKUP($E19,Tab_Def_Processes[Name(EN)],Tab_Def_Processes[Flow_ID_I_4],,0,)</f>
        <v>#N/A</v>
      </c>
      <c r="X19" s="82"/>
      <c r="Y19" s="77" t="e">
        <f>_xlfn.XLOOKUP($E19,Tab_Def_Processes[Name(EN)],Tab_Def_Processes[Input_Flow_I_5],,0,)</f>
        <v>#N/A</v>
      </c>
      <c r="Z19" s="49" t="e">
        <f>_xlfn.XLOOKUP($E19,Tab_Def_Processes[Name(EN)],Tab_Def_Processes[Flow_ID_I_5],,0,)</f>
        <v>#N/A</v>
      </c>
      <c r="AA19" s="82"/>
      <c r="AB19" s="80">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82"/>
      <c r="AF19" s="49" t="e">
        <f>_xlfn.XLOOKUP($E19,Tab_Def_Processes[Name(EN)],Tab_Def_Processes[Output_Flow_O_2],,0,)</f>
        <v>#N/A</v>
      </c>
      <c r="AG19" s="49" t="e">
        <f>_xlfn.XLOOKUP($E19,Tab_Def_Processes[Name(EN)],Tab_Def_Processes[Flow_ID_O_2],,0,)</f>
        <v>#N/A</v>
      </c>
      <c r="AH19" s="82"/>
      <c r="AI19" s="49" t="e">
        <f>_xlfn.XLOOKUP($E19,Tab_Def_Processes[Name(EN)],Tab_Def_Processes[Output_Flow_O_3],,0,)</f>
        <v>#N/A</v>
      </c>
      <c r="AJ19" s="49" t="e">
        <f>_xlfn.XLOOKUP($E19,Tab_Def_Processes[Name(EN)],Tab_Def_Processes[Flow_ID_O_3],,0,)</f>
        <v>#N/A</v>
      </c>
      <c r="AK19" s="82"/>
      <c r="AL19" s="49" t="e">
        <f>_xlfn.XLOOKUP($E19,Tab_Def_Processes[Name(EN)],Tab_Def_Processes[Output_Flow_O_4],,0,)</f>
        <v>#N/A</v>
      </c>
      <c r="AM19" s="49" t="e">
        <f>_xlfn.XLOOKUP($E19,Tab_Def_Processes[Name(EN)],Tab_Def_Processes[Flow_ID_O_4],,0,)</f>
        <v>#N/A</v>
      </c>
      <c r="AN19" s="82"/>
      <c r="AO19" s="49" t="e">
        <f>_xlfn.XLOOKUP($E19,Tab_Def_Processes[Name(EN)],Tab_Def_Processes[Output_Flow_O_5],,0,)</f>
        <v>#N/A</v>
      </c>
      <c r="AP19" s="49" t="e">
        <f>_xlfn.XLOOKUP($E19,Tab_Def_Processes[Name(EN)],Tab_Def_Processes[Flow_ID_O_5],,0,)</f>
        <v>#N/A</v>
      </c>
      <c r="AQ19" s="82"/>
      <c r="AR19" s="49" t="e">
        <f>_xlfn.XLOOKUP($E19,Tab_Def_Processes[Name(EN)],Tab_Def_Processes[Output_Flow_O_6],,0,)</f>
        <v>#N/A</v>
      </c>
      <c r="AS19" s="49" t="e">
        <f>_xlfn.XLOOKUP($E19,Tab_Def_Processes[Name(EN)],Tab_Def_Processes[Flow_ID_O_6],,0,)</f>
        <v>#N/A</v>
      </c>
      <c r="AT19" s="82"/>
      <c r="AU19" s="80">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35">
      <c r="A20" s="97" t="b">
        <v>0</v>
      </c>
      <c r="B20" s="49">
        <f t="shared" si="0"/>
        <v>19</v>
      </c>
      <c r="C20" s="49" t="e">
        <f t="shared" si="1"/>
        <v>#N/A</v>
      </c>
      <c r="D20" s="121" t="e">
        <f>_xlfn.XLOOKUP($E20,Tab_Def_Processes[Name(EN)],Tab_Def_Processes[ID],,0,)</f>
        <v>#N/A</v>
      </c>
      <c r="E20" s="51" t="s">
        <v>231</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2"/>
      <c r="P20" s="77" t="e">
        <f>_xlfn.XLOOKUP($E20,Tab_Def_Processes[Name(EN)],Tab_Def_Processes[Input_Flow_I_2],,0,)</f>
        <v>#N/A</v>
      </c>
      <c r="Q20" s="49" t="e">
        <f>_xlfn.XLOOKUP($E20,Tab_Def_Processes[Name(EN)],Tab_Def_Processes[Flow_ID_I_2],,0,)</f>
        <v>#N/A</v>
      </c>
      <c r="R20" s="82"/>
      <c r="S20" s="77" t="e">
        <f>_xlfn.XLOOKUP($E20,Tab_Def_Processes[Name(EN)],Tab_Def_Processes[Input_Flow_I_3],,0,)</f>
        <v>#N/A</v>
      </c>
      <c r="T20" s="49" t="e">
        <f>_xlfn.XLOOKUP($E20,Tab_Def_Processes[Name(EN)],Tab_Def_Processes[Flow_ID_I_3],,0,)</f>
        <v>#N/A</v>
      </c>
      <c r="U20" s="82"/>
      <c r="V20" s="77" t="e">
        <f>_xlfn.XLOOKUP($E20,Tab_Def_Processes[Name(EN)],Tab_Def_Processes[Input_Flow_I_4],,0,)</f>
        <v>#N/A</v>
      </c>
      <c r="W20" s="49" t="e">
        <f>_xlfn.XLOOKUP($E20,Tab_Def_Processes[Name(EN)],Tab_Def_Processes[Flow_ID_I_4],,0,)</f>
        <v>#N/A</v>
      </c>
      <c r="X20" s="82"/>
      <c r="Y20" s="77" t="e">
        <f>_xlfn.XLOOKUP($E20,Tab_Def_Processes[Name(EN)],Tab_Def_Processes[Input_Flow_I_5],,0,)</f>
        <v>#N/A</v>
      </c>
      <c r="Z20" s="49" t="e">
        <f>_xlfn.XLOOKUP($E20,Tab_Def_Processes[Name(EN)],Tab_Def_Processes[Flow_ID_I_5],,0,)</f>
        <v>#N/A</v>
      </c>
      <c r="AA20" s="82"/>
      <c r="AB20" s="80">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82"/>
      <c r="AF20" s="49" t="e">
        <f>_xlfn.XLOOKUP($E20,Tab_Def_Processes[Name(EN)],Tab_Def_Processes[Output_Flow_O_2],,0,)</f>
        <v>#N/A</v>
      </c>
      <c r="AG20" s="49" t="e">
        <f>_xlfn.XLOOKUP($E20,Tab_Def_Processes[Name(EN)],Tab_Def_Processes[Flow_ID_O_2],,0,)</f>
        <v>#N/A</v>
      </c>
      <c r="AH20" s="82"/>
      <c r="AI20" s="49" t="e">
        <f>_xlfn.XLOOKUP($E20,Tab_Def_Processes[Name(EN)],Tab_Def_Processes[Output_Flow_O_3],,0,)</f>
        <v>#N/A</v>
      </c>
      <c r="AJ20" s="49" t="e">
        <f>_xlfn.XLOOKUP($E20,Tab_Def_Processes[Name(EN)],Tab_Def_Processes[Flow_ID_O_3],,0,)</f>
        <v>#N/A</v>
      </c>
      <c r="AK20" s="82"/>
      <c r="AL20" s="49" t="e">
        <f>_xlfn.XLOOKUP($E20,Tab_Def_Processes[Name(EN)],Tab_Def_Processes[Output_Flow_O_4],,0,)</f>
        <v>#N/A</v>
      </c>
      <c r="AM20" s="49" t="e">
        <f>_xlfn.XLOOKUP($E20,Tab_Def_Processes[Name(EN)],Tab_Def_Processes[Flow_ID_O_4],,0,)</f>
        <v>#N/A</v>
      </c>
      <c r="AN20" s="82"/>
      <c r="AO20" s="49" t="e">
        <f>_xlfn.XLOOKUP($E20,Tab_Def_Processes[Name(EN)],Tab_Def_Processes[Output_Flow_O_5],,0,)</f>
        <v>#N/A</v>
      </c>
      <c r="AP20" s="49" t="e">
        <f>_xlfn.XLOOKUP($E20,Tab_Def_Processes[Name(EN)],Tab_Def_Processes[Flow_ID_O_5],,0,)</f>
        <v>#N/A</v>
      </c>
      <c r="AQ20" s="82"/>
      <c r="AR20" s="49" t="e">
        <f>_xlfn.XLOOKUP($E20,Tab_Def_Processes[Name(EN)],Tab_Def_Processes[Output_Flow_O_6],,0,)</f>
        <v>#N/A</v>
      </c>
      <c r="AS20" s="49" t="e">
        <f>_xlfn.XLOOKUP($E20,Tab_Def_Processes[Name(EN)],Tab_Def_Processes[Flow_ID_O_6],,0,)</f>
        <v>#N/A</v>
      </c>
      <c r="AT20" s="82"/>
      <c r="AU20" s="80">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35">
      <c r="A21" s="97" t="b">
        <v>0</v>
      </c>
      <c r="B21" s="49">
        <f t="shared" si="0"/>
        <v>20</v>
      </c>
      <c r="C21" s="49" t="e">
        <f t="shared" si="1"/>
        <v>#N/A</v>
      </c>
      <c r="D21" s="121" t="e">
        <f>_xlfn.XLOOKUP($E21,Tab_Def_Processes[Name(EN)],Tab_Def_Processes[ID],,0,)</f>
        <v>#N/A</v>
      </c>
      <c r="E21" s="51" t="s">
        <v>231</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2"/>
      <c r="P21" s="77" t="e">
        <f>_xlfn.XLOOKUP($E21,Tab_Def_Processes[Name(EN)],Tab_Def_Processes[Input_Flow_I_2],,0,)</f>
        <v>#N/A</v>
      </c>
      <c r="Q21" s="49" t="e">
        <f>_xlfn.XLOOKUP($E21,Tab_Def_Processes[Name(EN)],Tab_Def_Processes[Flow_ID_I_2],,0,)</f>
        <v>#N/A</v>
      </c>
      <c r="R21" s="82"/>
      <c r="S21" s="77" t="e">
        <f>_xlfn.XLOOKUP($E21,Tab_Def_Processes[Name(EN)],Tab_Def_Processes[Input_Flow_I_3],,0,)</f>
        <v>#N/A</v>
      </c>
      <c r="T21" s="49" t="e">
        <f>_xlfn.XLOOKUP($E21,Tab_Def_Processes[Name(EN)],Tab_Def_Processes[Flow_ID_I_3],,0,)</f>
        <v>#N/A</v>
      </c>
      <c r="U21" s="82"/>
      <c r="V21" s="77" t="e">
        <f>_xlfn.XLOOKUP($E21,Tab_Def_Processes[Name(EN)],Tab_Def_Processes[Input_Flow_I_4],,0,)</f>
        <v>#N/A</v>
      </c>
      <c r="W21" s="49" t="e">
        <f>_xlfn.XLOOKUP($E21,Tab_Def_Processes[Name(EN)],Tab_Def_Processes[Flow_ID_I_4],,0,)</f>
        <v>#N/A</v>
      </c>
      <c r="X21" s="82"/>
      <c r="Y21" s="77" t="e">
        <f>_xlfn.XLOOKUP($E21,Tab_Def_Processes[Name(EN)],Tab_Def_Processes[Input_Flow_I_5],,0,)</f>
        <v>#N/A</v>
      </c>
      <c r="Z21" s="49" t="e">
        <f>_xlfn.XLOOKUP($E21,Tab_Def_Processes[Name(EN)],Tab_Def_Processes[Flow_ID_I_5],,0,)</f>
        <v>#N/A</v>
      </c>
      <c r="AA21" s="82"/>
      <c r="AB21" s="80">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82"/>
      <c r="AF21" s="49" t="e">
        <f>_xlfn.XLOOKUP($E21,Tab_Def_Processes[Name(EN)],Tab_Def_Processes[Output_Flow_O_2],,0,)</f>
        <v>#N/A</v>
      </c>
      <c r="AG21" s="49" t="e">
        <f>_xlfn.XLOOKUP($E21,Tab_Def_Processes[Name(EN)],Tab_Def_Processes[Flow_ID_O_2],,0,)</f>
        <v>#N/A</v>
      </c>
      <c r="AH21" s="82"/>
      <c r="AI21" s="49" t="e">
        <f>_xlfn.XLOOKUP($E21,Tab_Def_Processes[Name(EN)],Tab_Def_Processes[Output_Flow_O_3],,0,)</f>
        <v>#N/A</v>
      </c>
      <c r="AJ21" s="49" t="e">
        <f>_xlfn.XLOOKUP($E21,Tab_Def_Processes[Name(EN)],Tab_Def_Processes[Flow_ID_O_3],,0,)</f>
        <v>#N/A</v>
      </c>
      <c r="AK21" s="82"/>
      <c r="AL21" s="49" t="e">
        <f>_xlfn.XLOOKUP($E21,Tab_Def_Processes[Name(EN)],Tab_Def_Processes[Output_Flow_O_4],,0,)</f>
        <v>#N/A</v>
      </c>
      <c r="AM21" s="49" t="e">
        <f>_xlfn.XLOOKUP($E21,Tab_Def_Processes[Name(EN)],Tab_Def_Processes[Flow_ID_O_4],,0,)</f>
        <v>#N/A</v>
      </c>
      <c r="AN21" s="82"/>
      <c r="AO21" s="49" t="e">
        <f>_xlfn.XLOOKUP($E21,Tab_Def_Processes[Name(EN)],Tab_Def_Processes[Output_Flow_O_5],,0,)</f>
        <v>#N/A</v>
      </c>
      <c r="AP21" s="49" t="e">
        <f>_xlfn.XLOOKUP($E21,Tab_Def_Processes[Name(EN)],Tab_Def_Processes[Flow_ID_O_5],,0,)</f>
        <v>#N/A</v>
      </c>
      <c r="AQ21" s="82"/>
      <c r="AR21" s="49" t="e">
        <f>_xlfn.XLOOKUP($E21,Tab_Def_Processes[Name(EN)],Tab_Def_Processes[Output_Flow_O_6],,0,)</f>
        <v>#N/A</v>
      </c>
      <c r="AS21" s="49" t="e">
        <f>_xlfn.XLOOKUP($E21,Tab_Def_Processes[Name(EN)],Tab_Def_Processes[Flow_ID_O_6],,0,)</f>
        <v>#N/A</v>
      </c>
      <c r="AT21" s="82"/>
      <c r="AU21" s="80">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35">
      <c r="A22" s="97" t="b">
        <v>0</v>
      </c>
      <c r="B22" s="49">
        <f t="shared" si="0"/>
        <v>21</v>
      </c>
      <c r="C22" s="49" t="e">
        <f t="shared" si="1"/>
        <v>#N/A</v>
      </c>
      <c r="D22" s="121" t="e">
        <f>_xlfn.XLOOKUP($E22,Tab_Def_Processes[Name(EN)],Tab_Def_Processes[ID],,0,)</f>
        <v>#N/A</v>
      </c>
      <c r="E22" s="51" t="s">
        <v>231</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2"/>
      <c r="P22" s="77" t="e">
        <f>_xlfn.XLOOKUP($E22,Tab_Def_Processes[Name(EN)],Tab_Def_Processes[Input_Flow_I_2],,0,)</f>
        <v>#N/A</v>
      </c>
      <c r="Q22" s="49" t="e">
        <f>_xlfn.XLOOKUP($E22,Tab_Def_Processes[Name(EN)],Tab_Def_Processes[Flow_ID_I_2],,0,)</f>
        <v>#N/A</v>
      </c>
      <c r="R22" s="82"/>
      <c r="S22" s="77" t="e">
        <f>_xlfn.XLOOKUP($E22,Tab_Def_Processes[Name(EN)],Tab_Def_Processes[Input_Flow_I_3],,0,)</f>
        <v>#N/A</v>
      </c>
      <c r="T22" s="49" t="e">
        <f>_xlfn.XLOOKUP($E22,Tab_Def_Processes[Name(EN)],Tab_Def_Processes[Flow_ID_I_3],,0,)</f>
        <v>#N/A</v>
      </c>
      <c r="U22" s="82"/>
      <c r="V22" s="77" t="e">
        <f>_xlfn.XLOOKUP($E22,Tab_Def_Processes[Name(EN)],Tab_Def_Processes[Input_Flow_I_4],,0,)</f>
        <v>#N/A</v>
      </c>
      <c r="W22" s="49" t="e">
        <f>_xlfn.XLOOKUP($E22,Tab_Def_Processes[Name(EN)],Tab_Def_Processes[Flow_ID_I_4],,0,)</f>
        <v>#N/A</v>
      </c>
      <c r="X22" s="82"/>
      <c r="Y22" s="77" t="e">
        <f>_xlfn.XLOOKUP($E22,Tab_Def_Processes[Name(EN)],Tab_Def_Processes[Input_Flow_I_5],,0,)</f>
        <v>#N/A</v>
      </c>
      <c r="Z22" s="49" t="e">
        <f>_xlfn.XLOOKUP($E22,Tab_Def_Processes[Name(EN)],Tab_Def_Processes[Flow_ID_I_5],,0,)</f>
        <v>#N/A</v>
      </c>
      <c r="AA22" s="82"/>
      <c r="AB22" s="80">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82"/>
      <c r="AF22" s="49" t="e">
        <f>_xlfn.XLOOKUP($E22,Tab_Def_Processes[Name(EN)],Tab_Def_Processes[Output_Flow_O_2],,0,)</f>
        <v>#N/A</v>
      </c>
      <c r="AG22" s="49" t="e">
        <f>_xlfn.XLOOKUP($E22,Tab_Def_Processes[Name(EN)],Tab_Def_Processes[Flow_ID_O_2],,0,)</f>
        <v>#N/A</v>
      </c>
      <c r="AH22" s="82"/>
      <c r="AI22" s="49" t="e">
        <f>_xlfn.XLOOKUP($E22,Tab_Def_Processes[Name(EN)],Tab_Def_Processes[Output_Flow_O_3],,0,)</f>
        <v>#N/A</v>
      </c>
      <c r="AJ22" s="49" t="e">
        <f>_xlfn.XLOOKUP($E22,Tab_Def_Processes[Name(EN)],Tab_Def_Processes[Flow_ID_O_3],,0,)</f>
        <v>#N/A</v>
      </c>
      <c r="AK22" s="82"/>
      <c r="AL22" s="49" t="e">
        <f>_xlfn.XLOOKUP($E22,Tab_Def_Processes[Name(EN)],Tab_Def_Processes[Output_Flow_O_4],,0,)</f>
        <v>#N/A</v>
      </c>
      <c r="AM22" s="49" t="e">
        <f>_xlfn.XLOOKUP($E22,Tab_Def_Processes[Name(EN)],Tab_Def_Processes[Flow_ID_O_4],,0,)</f>
        <v>#N/A</v>
      </c>
      <c r="AN22" s="82"/>
      <c r="AO22" s="49" t="e">
        <f>_xlfn.XLOOKUP($E22,Tab_Def_Processes[Name(EN)],Tab_Def_Processes[Output_Flow_O_5],,0,)</f>
        <v>#N/A</v>
      </c>
      <c r="AP22" s="49" t="e">
        <f>_xlfn.XLOOKUP($E22,Tab_Def_Processes[Name(EN)],Tab_Def_Processes[Flow_ID_O_5],,0,)</f>
        <v>#N/A</v>
      </c>
      <c r="AQ22" s="82"/>
      <c r="AR22" s="49" t="e">
        <f>_xlfn.XLOOKUP($E22,Tab_Def_Processes[Name(EN)],Tab_Def_Processes[Output_Flow_O_6],,0,)</f>
        <v>#N/A</v>
      </c>
      <c r="AS22" s="49" t="e">
        <f>_xlfn.XLOOKUP($E22,Tab_Def_Processes[Name(EN)],Tab_Def_Processes[Flow_ID_O_6],,0,)</f>
        <v>#N/A</v>
      </c>
      <c r="AT22" s="82"/>
      <c r="AU22" s="80">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35">
      <c r="A23" s="97" t="b">
        <v>0</v>
      </c>
      <c r="B23" s="49">
        <f t="shared" si="0"/>
        <v>22</v>
      </c>
      <c r="C23" s="49" t="e">
        <f t="shared" si="1"/>
        <v>#N/A</v>
      </c>
      <c r="D23" s="121" t="e">
        <f>_xlfn.XLOOKUP($E23,Tab_Def_Processes[Name(EN)],Tab_Def_Processes[ID],,0,)</f>
        <v>#N/A</v>
      </c>
      <c r="E23" s="51" t="s">
        <v>231</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2"/>
      <c r="P23" s="77" t="e">
        <f>_xlfn.XLOOKUP($E23,Tab_Def_Processes[Name(EN)],Tab_Def_Processes[Input_Flow_I_2],,0,)</f>
        <v>#N/A</v>
      </c>
      <c r="Q23" s="49" t="e">
        <f>_xlfn.XLOOKUP($E23,Tab_Def_Processes[Name(EN)],Tab_Def_Processes[Flow_ID_I_2],,0,)</f>
        <v>#N/A</v>
      </c>
      <c r="R23" s="82"/>
      <c r="S23" s="77" t="e">
        <f>_xlfn.XLOOKUP($E23,Tab_Def_Processes[Name(EN)],Tab_Def_Processes[Input_Flow_I_3],,0,)</f>
        <v>#N/A</v>
      </c>
      <c r="T23" s="49" t="e">
        <f>_xlfn.XLOOKUP($E23,Tab_Def_Processes[Name(EN)],Tab_Def_Processes[Flow_ID_I_3],,0,)</f>
        <v>#N/A</v>
      </c>
      <c r="U23" s="82"/>
      <c r="V23" s="77" t="e">
        <f>_xlfn.XLOOKUP($E23,Tab_Def_Processes[Name(EN)],Tab_Def_Processes[Input_Flow_I_4],,0,)</f>
        <v>#N/A</v>
      </c>
      <c r="W23" s="49" t="e">
        <f>_xlfn.XLOOKUP($E23,Tab_Def_Processes[Name(EN)],Tab_Def_Processes[Flow_ID_I_4],,0,)</f>
        <v>#N/A</v>
      </c>
      <c r="X23" s="82"/>
      <c r="Y23" s="77" t="e">
        <f>_xlfn.XLOOKUP($E23,Tab_Def_Processes[Name(EN)],Tab_Def_Processes[Input_Flow_I_5],,0,)</f>
        <v>#N/A</v>
      </c>
      <c r="Z23" s="49" t="e">
        <f>_xlfn.XLOOKUP($E23,Tab_Def_Processes[Name(EN)],Tab_Def_Processes[Flow_ID_I_5],,0,)</f>
        <v>#N/A</v>
      </c>
      <c r="AA23" s="82"/>
      <c r="AB23" s="80">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82"/>
      <c r="AF23" s="49" t="e">
        <f>_xlfn.XLOOKUP($E23,Tab_Def_Processes[Name(EN)],Tab_Def_Processes[Output_Flow_O_2],,0,)</f>
        <v>#N/A</v>
      </c>
      <c r="AG23" s="49" t="e">
        <f>_xlfn.XLOOKUP($E23,Tab_Def_Processes[Name(EN)],Tab_Def_Processes[Flow_ID_O_2],,0,)</f>
        <v>#N/A</v>
      </c>
      <c r="AH23" s="82"/>
      <c r="AI23" s="49" t="e">
        <f>_xlfn.XLOOKUP($E23,Tab_Def_Processes[Name(EN)],Tab_Def_Processes[Output_Flow_O_3],,0,)</f>
        <v>#N/A</v>
      </c>
      <c r="AJ23" s="49" t="e">
        <f>_xlfn.XLOOKUP($E23,Tab_Def_Processes[Name(EN)],Tab_Def_Processes[Flow_ID_O_3],,0,)</f>
        <v>#N/A</v>
      </c>
      <c r="AK23" s="82"/>
      <c r="AL23" s="49" t="e">
        <f>_xlfn.XLOOKUP($E23,Tab_Def_Processes[Name(EN)],Tab_Def_Processes[Output_Flow_O_4],,0,)</f>
        <v>#N/A</v>
      </c>
      <c r="AM23" s="49" t="e">
        <f>_xlfn.XLOOKUP($E23,Tab_Def_Processes[Name(EN)],Tab_Def_Processes[Flow_ID_O_4],,0,)</f>
        <v>#N/A</v>
      </c>
      <c r="AN23" s="82"/>
      <c r="AO23" s="49" t="e">
        <f>_xlfn.XLOOKUP($E23,Tab_Def_Processes[Name(EN)],Tab_Def_Processes[Output_Flow_O_5],,0,)</f>
        <v>#N/A</v>
      </c>
      <c r="AP23" s="49" t="e">
        <f>_xlfn.XLOOKUP($E23,Tab_Def_Processes[Name(EN)],Tab_Def_Processes[Flow_ID_O_5],,0,)</f>
        <v>#N/A</v>
      </c>
      <c r="AQ23" s="82"/>
      <c r="AR23" s="49" t="e">
        <f>_xlfn.XLOOKUP($E23,Tab_Def_Processes[Name(EN)],Tab_Def_Processes[Output_Flow_O_6],,0,)</f>
        <v>#N/A</v>
      </c>
      <c r="AS23" s="49" t="e">
        <f>_xlfn.XLOOKUP($E23,Tab_Def_Processes[Name(EN)],Tab_Def_Processes[Flow_ID_O_6],,0,)</f>
        <v>#N/A</v>
      </c>
      <c r="AT23" s="82"/>
      <c r="AU23" s="80">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35">
      <c r="A24" s="97" t="b">
        <v>0</v>
      </c>
      <c r="B24" s="49">
        <f t="shared" si="0"/>
        <v>23</v>
      </c>
      <c r="C24" s="49" t="e">
        <f t="shared" si="1"/>
        <v>#N/A</v>
      </c>
      <c r="D24" s="121" t="e">
        <f>_xlfn.XLOOKUP($E24,Tab_Def_Processes[Name(EN)],Tab_Def_Processes[ID],,0,)</f>
        <v>#N/A</v>
      </c>
      <c r="E24" s="51" t="s">
        <v>231</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2"/>
      <c r="P24" s="77" t="e">
        <f>_xlfn.XLOOKUP($E24,Tab_Def_Processes[Name(EN)],Tab_Def_Processes[Input_Flow_I_2],,0,)</f>
        <v>#N/A</v>
      </c>
      <c r="Q24" s="49" t="e">
        <f>_xlfn.XLOOKUP($E24,Tab_Def_Processes[Name(EN)],Tab_Def_Processes[Flow_ID_I_2],,0,)</f>
        <v>#N/A</v>
      </c>
      <c r="R24" s="82"/>
      <c r="S24" s="77" t="e">
        <f>_xlfn.XLOOKUP($E24,Tab_Def_Processes[Name(EN)],Tab_Def_Processes[Input_Flow_I_3],,0,)</f>
        <v>#N/A</v>
      </c>
      <c r="T24" s="49" t="e">
        <f>_xlfn.XLOOKUP($E24,Tab_Def_Processes[Name(EN)],Tab_Def_Processes[Flow_ID_I_3],,0,)</f>
        <v>#N/A</v>
      </c>
      <c r="U24" s="82"/>
      <c r="V24" s="77" t="e">
        <f>_xlfn.XLOOKUP($E24,Tab_Def_Processes[Name(EN)],Tab_Def_Processes[Input_Flow_I_4],,0,)</f>
        <v>#N/A</v>
      </c>
      <c r="W24" s="49" t="e">
        <f>_xlfn.XLOOKUP($E24,Tab_Def_Processes[Name(EN)],Tab_Def_Processes[Flow_ID_I_4],,0,)</f>
        <v>#N/A</v>
      </c>
      <c r="X24" s="82"/>
      <c r="Y24" s="77" t="e">
        <f>_xlfn.XLOOKUP($E24,Tab_Def_Processes[Name(EN)],Tab_Def_Processes[Input_Flow_I_5],,0,)</f>
        <v>#N/A</v>
      </c>
      <c r="Z24" s="49" t="e">
        <f>_xlfn.XLOOKUP($E24,Tab_Def_Processes[Name(EN)],Tab_Def_Processes[Flow_ID_I_5],,0,)</f>
        <v>#N/A</v>
      </c>
      <c r="AA24" s="82"/>
      <c r="AB24" s="80">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82"/>
      <c r="AF24" s="49" t="e">
        <f>_xlfn.XLOOKUP($E24,Tab_Def_Processes[Name(EN)],Tab_Def_Processes[Output_Flow_O_2],,0,)</f>
        <v>#N/A</v>
      </c>
      <c r="AG24" s="49" t="e">
        <f>_xlfn.XLOOKUP($E24,Tab_Def_Processes[Name(EN)],Tab_Def_Processes[Flow_ID_O_2],,0,)</f>
        <v>#N/A</v>
      </c>
      <c r="AH24" s="82"/>
      <c r="AI24" s="49" t="e">
        <f>_xlfn.XLOOKUP($E24,Tab_Def_Processes[Name(EN)],Tab_Def_Processes[Output_Flow_O_3],,0,)</f>
        <v>#N/A</v>
      </c>
      <c r="AJ24" s="49" t="e">
        <f>_xlfn.XLOOKUP($E24,Tab_Def_Processes[Name(EN)],Tab_Def_Processes[Flow_ID_O_3],,0,)</f>
        <v>#N/A</v>
      </c>
      <c r="AK24" s="82"/>
      <c r="AL24" s="49" t="e">
        <f>_xlfn.XLOOKUP($E24,Tab_Def_Processes[Name(EN)],Tab_Def_Processes[Output_Flow_O_4],,0,)</f>
        <v>#N/A</v>
      </c>
      <c r="AM24" s="49" t="e">
        <f>_xlfn.XLOOKUP($E24,Tab_Def_Processes[Name(EN)],Tab_Def_Processes[Flow_ID_O_4],,0,)</f>
        <v>#N/A</v>
      </c>
      <c r="AN24" s="82"/>
      <c r="AO24" s="49" t="e">
        <f>_xlfn.XLOOKUP($E24,Tab_Def_Processes[Name(EN)],Tab_Def_Processes[Output_Flow_O_5],,0,)</f>
        <v>#N/A</v>
      </c>
      <c r="AP24" s="49" t="e">
        <f>_xlfn.XLOOKUP($E24,Tab_Def_Processes[Name(EN)],Tab_Def_Processes[Flow_ID_O_5],,0,)</f>
        <v>#N/A</v>
      </c>
      <c r="AQ24" s="82"/>
      <c r="AR24" s="49" t="e">
        <f>_xlfn.XLOOKUP($E24,Tab_Def_Processes[Name(EN)],Tab_Def_Processes[Output_Flow_O_6],,0,)</f>
        <v>#N/A</v>
      </c>
      <c r="AS24" s="49" t="e">
        <f>_xlfn.XLOOKUP($E24,Tab_Def_Processes[Name(EN)],Tab_Def_Processes[Flow_ID_O_6],,0,)</f>
        <v>#N/A</v>
      </c>
      <c r="AT24" s="82"/>
      <c r="AU24" s="80">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35">
      <c r="A25" s="97" t="b">
        <v>0</v>
      </c>
      <c r="B25" s="49">
        <f t="shared" si="0"/>
        <v>24</v>
      </c>
      <c r="C25" s="49" t="e">
        <f t="shared" si="1"/>
        <v>#N/A</v>
      </c>
      <c r="D25" s="121" t="e">
        <f>_xlfn.XLOOKUP($E25,Tab_Def_Processes[Name(EN)],Tab_Def_Processes[ID],,0,)</f>
        <v>#N/A</v>
      </c>
      <c r="E25" s="51" t="s">
        <v>231</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2"/>
      <c r="P25" s="77" t="e">
        <f>_xlfn.XLOOKUP($E25,Tab_Def_Processes[Name(EN)],Tab_Def_Processes[Input_Flow_I_2],,0,)</f>
        <v>#N/A</v>
      </c>
      <c r="Q25" s="49" t="e">
        <f>_xlfn.XLOOKUP($E25,Tab_Def_Processes[Name(EN)],Tab_Def_Processes[Flow_ID_I_2],,0,)</f>
        <v>#N/A</v>
      </c>
      <c r="R25" s="82"/>
      <c r="S25" s="77" t="e">
        <f>_xlfn.XLOOKUP($E25,Tab_Def_Processes[Name(EN)],Tab_Def_Processes[Input_Flow_I_3],,0,)</f>
        <v>#N/A</v>
      </c>
      <c r="T25" s="49" t="e">
        <f>_xlfn.XLOOKUP($E25,Tab_Def_Processes[Name(EN)],Tab_Def_Processes[Flow_ID_I_3],,0,)</f>
        <v>#N/A</v>
      </c>
      <c r="U25" s="82"/>
      <c r="V25" s="77" t="e">
        <f>_xlfn.XLOOKUP($E25,Tab_Def_Processes[Name(EN)],Tab_Def_Processes[Input_Flow_I_4],,0,)</f>
        <v>#N/A</v>
      </c>
      <c r="W25" s="49" t="e">
        <f>_xlfn.XLOOKUP($E25,Tab_Def_Processes[Name(EN)],Tab_Def_Processes[Flow_ID_I_4],,0,)</f>
        <v>#N/A</v>
      </c>
      <c r="X25" s="82"/>
      <c r="Y25" s="77" t="e">
        <f>_xlfn.XLOOKUP($E25,Tab_Def_Processes[Name(EN)],Tab_Def_Processes[Input_Flow_I_5],,0,)</f>
        <v>#N/A</v>
      </c>
      <c r="Z25" s="49" t="e">
        <f>_xlfn.XLOOKUP($E25,Tab_Def_Processes[Name(EN)],Tab_Def_Processes[Flow_ID_I_5],,0,)</f>
        <v>#N/A</v>
      </c>
      <c r="AA25" s="82"/>
      <c r="AB25" s="80">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82"/>
      <c r="AF25" s="49" t="e">
        <f>_xlfn.XLOOKUP($E25,Tab_Def_Processes[Name(EN)],Tab_Def_Processes[Output_Flow_O_2],,0,)</f>
        <v>#N/A</v>
      </c>
      <c r="AG25" s="49" t="e">
        <f>_xlfn.XLOOKUP($E25,Tab_Def_Processes[Name(EN)],Tab_Def_Processes[Flow_ID_O_2],,0,)</f>
        <v>#N/A</v>
      </c>
      <c r="AH25" s="82"/>
      <c r="AI25" s="49" t="e">
        <f>_xlfn.XLOOKUP($E25,Tab_Def_Processes[Name(EN)],Tab_Def_Processes[Output_Flow_O_3],,0,)</f>
        <v>#N/A</v>
      </c>
      <c r="AJ25" s="49" t="e">
        <f>_xlfn.XLOOKUP($E25,Tab_Def_Processes[Name(EN)],Tab_Def_Processes[Flow_ID_O_3],,0,)</f>
        <v>#N/A</v>
      </c>
      <c r="AK25" s="82"/>
      <c r="AL25" s="49" t="e">
        <f>_xlfn.XLOOKUP($E25,Tab_Def_Processes[Name(EN)],Tab_Def_Processes[Output_Flow_O_4],,0,)</f>
        <v>#N/A</v>
      </c>
      <c r="AM25" s="49" t="e">
        <f>_xlfn.XLOOKUP($E25,Tab_Def_Processes[Name(EN)],Tab_Def_Processes[Flow_ID_O_4],,0,)</f>
        <v>#N/A</v>
      </c>
      <c r="AN25" s="82"/>
      <c r="AO25" s="49" t="e">
        <f>_xlfn.XLOOKUP($E25,Tab_Def_Processes[Name(EN)],Tab_Def_Processes[Output_Flow_O_5],,0,)</f>
        <v>#N/A</v>
      </c>
      <c r="AP25" s="49" t="e">
        <f>_xlfn.XLOOKUP($E25,Tab_Def_Processes[Name(EN)],Tab_Def_Processes[Flow_ID_O_5],,0,)</f>
        <v>#N/A</v>
      </c>
      <c r="AQ25" s="82"/>
      <c r="AR25" s="49" t="e">
        <f>_xlfn.XLOOKUP($E25,Tab_Def_Processes[Name(EN)],Tab_Def_Processes[Output_Flow_O_6],,0,)</f>
        <v>#N/A</v>
      </c>
      <c r="AS25" s="49" t="e">
        <f>_xlfn.XLOOKUP($E25,Tab_Def_Processes[Name(EN)],Tab_Def_Processes[Flow_ID_O_6],,0,)</f>
        <v>#N/A</v>
      </c>
      <c r="AT25" s="82"/>
      <c r="AU25" s="80">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35">
      <c r="A26" s="97" t="b">
        <v>0</v>
      </c>
      <c r="B26" s="49">
        <f t="shared" si="0"/>
        <v>25</v>
      </c>
      <c r="C26" s="49" t="e">
        <f t="shared" si="1"/>
        <v>#N/A</v>
      </c>
      <c r="D26" s="121" t="e">
        <f>_xlfn.XLOOKUP($E26,Tab_Def_Processes[Name(EN)],Tab_Def_Processes[ID],,0,)</f>
        <v>#N/A</v>
      </c>
      <c r="E26" s="51" t="s">
        <v>231</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2"/>
      <c r="P26" s="77" t="e">
        <f>_xlfn.XLOOKUP($E26,Tab_Def_Processes[Name(EN)],Tab_Def_Processes[Input_Flow_I_2],,0,)</f>
        <v>#N/A</v>
      </c>
      <c r="Q26" s="49" t="e">
        <f>_xlfn.XLOOKUP($E26,Tab_Def_Processes[Name(EN)],Tab_Def_Processes[Flow_ID_I_2],,0,)</f>
        <v>#N/A</v>
      </c>
      <c r="R26" s="82"/>
      <c r="S26" s="77" t="e">
        <f>_xlfn.XLOOKUP($E26,Tab_Def_Processes[Name(EN)],Tab_Def_Processes[Input_Flow_I_3],,0,)</f>
        <v>#N/A</v>
      </c>
      <c r="T26" s="49" t="e">
        <f>_xlfn.XLOOKUP($E26,Tab_Def_Processes[Name(EN)],Tab_Def_Processes[Flow_ID_I_3],,0,)</f>
        <v>#N/A</v>
      </c>
      <c r="U26" s="82"/>
      <c r="V26" s="77" t="e">
        <f>_xlfn.XLOOKUP($E26,Tab_Def_Processes[Name(EN)],Tab_Def_Processes[Input_Flow_I_4],,0,)</f>
        <v>#N/A</v>
      </c>
      <c r="W26" s="49" t="e">
        <f>_xlfn.XLOOKUP($E26,Tab_Def_Processes[Name(EN)],Tab_Def_Processes[Flow_ID_I_4],,0,)</f>
        <v>#N/A</v>
      </c>
      <c r="X26" s="82"/>
      <c r="Y26" s="77" t="e">
        <f>_xlfn.XLOOKUP($E26,Tab_Def_Processes[Name(EN)],Tab_Def_Processes[Input_Flow_I_5],,0,)</f>
        <v>#N/A</v>
      </c>
      <c r="Z26" s="49" t="e">
        <f>_xlfn.XLOOKUP($E26,Tab_Def_Processes[Name(EN)],Tab_Def_Processes[Flow_ID_I_5],,0,)</f>
        <v>#N/A</v>
      </c>
      <c r="AA26" s="82"/>
      <c r="AB26" s="80">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82"/>
      <c r="AF26" s="49" t="e">
        <f>_xlfn.XLOOKUP($E26,Tab_Def_Processes[Name(EN)],Tab_Def_Processes[Output_Flow_O_2],,0,)</f>
        <v>#N/A</v>
      </c>
      <c r="AG26" s="49" t="e">
        <f>_xlfn.XLOOKUP($E26,Tab_Def_Processes[Name(EN)],Tab_Def_Processes[Flow_ID_O_2],,0,)</f>
        <v>#N/A</v>
      </c>
      <c r="AH26" s="82"/>
      <c r="AI26" s="49" t="e">
        <f>_xlfn.XLOOKUP($E26,Tab_Def_Processes[Name(EN)],Tab_Def_Processes[Output_Flow_O_3],,0,)</f>
        <v>#N/A</v>
      </c>
      <c r="AJ26" s="49" t="e">
        <f>_xlfn.XLOOKUP($E26,Tab_Def_Processes[Name(EN)],Tab_Def_Processes[Flow_ID_O_3],,0,)</f>
        <v>#N/A</v>
      </c>
      <c r="AK26" s="82"/>
      <c r="AL26" s="49" t="e">
        <f>_xlfn.XLOOKUP($E26,Tab_Def_Processes[Name(EN)],Tab_Def_Processes[Output_Flow_O_4],,0,)</f>
        <v>#N/A</v>
      </c>
      <c r="AM26" s="49" t="e">
        <f>_xlfn.XLOOKUP($E26,Tab_Def_Processes[Name(EN)],Tab_Def_Processes[Flow_ID_O_4],,0,)</f>
        <v>#N/A</v>
      </c>
      <c r="AN26" s="82"/>
      <c r="AO26" s="49" t="e">
        <f>_xlfn.XLOOKUP($E26,Tab_Def_Processes[Name(EN)],Tab_Def_Processes[Output_Flow_O_5],,0,)</f>
        <v>#N/A</v>
      </c>
      <c r="AP26" s="49" t="e">
        <f>_xlfn.XLOOKUP($E26,Tab_Def_Processes[Name(EN)],Tab_Def_Processes[Flow_ID_O_5],,0,)</f>
        <v>#N/A</v>
      </c>
      <c r="AQ26" s="82"/>
      <c r="AR26" s="49" t="e">
        <f>_xlfn.XLOOKUP($E26,Tab_Def_Processes[Name(EN)],Tab_Def_Processes[Output_Flow_O_6],,0,)</f>
        <v>#N/A</v>
      </c>
      <c r="AS26" s="49" t="e">
        <f>_xlfn.XLOOKUP($E26,Tab_Def_Processes[Name(EN)],Tab_Def_Processes[Flow_ID_O_6],,0,)</f>
        <v>#N/A</v>
      </c>
      <c r="AT26" s="82"/>
      <c r="AU26" s="80">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35">
      <c r="A27" s="97" t="b">
        <v>0</v>
      </c>
      <c r="B27" s="49">
        <f t="shared" si="0"/>
        <v>26</v>
      </c>
      <c r="C27" s="49" t="e">
        <f t="shared" si="1"/>
        <v>#N/A</v>
      </c>
      <c r="D27" s="121" t="e">
        <f>_xlfn.XLOOKUP($E27,Tab_Def_Processes[Name(EN)],Tab_Def_Processes[ID],,0,)</f>
        <v>#N/A</v>
      </c>
      <c r="E27" s="51" t="s">
        <v>231</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2"/>
      <c r="P27" s="77" t="e">
        <f>_xlfn.XLOOKUP($E27,Tab_Def_Processes[Name(EN)],Tab_Def_Processes[Input_Flow_I_2],,0,)</f>
        <v>#N/A</v>
      </c>
      <c r="Q27" s="49" t="e">
        <f>_xlfn.XLOOKUP($E27,Tab_Def_Processes[Name(EN)],Tab_Def_Processes[Flow_ID_I_2],,0,)</f>
        <v>#N/A</v>
      </c>
      <c r="R27" s="82"/>
      <c r="S27" s="77" t="e">
        <f>_xlfn.XLOOKUP($E27,Tab_Def_Processes[Name(EN)],Tab_Def_Processes[Input_Flow_I_3],,0,)</f>
        <v>#N/A</v>
      </c>
      <c r="T27" s="49" t="e">
        <f>_xlfn.XLOOKUP($E27,Tab_Def_Processes[Name(EN)],Tab_Def_Processes[Flow_ID_I_3],,0,)</f>
        <v>#N/A</v>
      </c>
      <c r="U27" s="82"/>
      <c r="V27" s="77" t="e">
        <f>_xlfn.XLOOKUP($E27,Tab_Def_Processes[Name(EN)],Tab_Def_Processes[Input_Flow_I_4],,0,)</f>
        <v>#N/A</v>
      </c>
      <c r="W27" s="49" t="e">
        <f>_xlfn.XLOOKUP($E27,Tab_Def_Processes[Name(EN)],Tab_Def_Processes[Flow_ID_I_4],,0,)</f>
        <v>#N/A</v>
      </c>
      <c r="X27" s="82"/>
      <c r="Y27" s="77" t="e">
        <f>_xlfn.XLOOKUP($E27,Tab_Def_Processes[Name(EN)],Tab_Def_Processes[Input_Flow_I_5],,0,)</f>
        <v>#N/A</v>
      </c>
      <c r="Z27" s="49" t="e">
        <f>_xlfn.XLOOKUP($E27,Tab_Def_Processes[Name(EN)],Tab_Def_Processes[Flow_ID_I_5],,0,)</f>
        <v>#N/A</v>
      </c>
      <c r="AA27" s="82"/>
      <c r="AB27" s="80">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82"/>
      <c r="AF27" s="49" t="e">
        <f>_xlfn.XLOOKUP($E27,Tab_Def_Processes[Name(EN)],Tab_Def_Processes[Output_Flow_O_2],,0,)</f>
        <v>#N/A</v>
      </c>
      <c r="AG27" s="49" t="e">
        <f>_xlfn.XLOOKUP($E27,Tab_Def_Processes[Name(EN)],Tab_Def_Processes[Flow_ID_O_2],,0,)</f>
        <v>#N/A</v>
      </c>
      <c r="AH27" s="82"/>
      <c r="AI27" s="49" t="e">
        <f>_xlfn.XLOOKUP($E27,Tab_Def_Processes[Name(EN)],Tab_Def_Processes[Output_Flow_O_3],,0,)</f>
        <v>#N/A</v>
      </c>
      <c r="AJ27" s="49" t="e">
        <f>_xlfn.XLOOKUP($E27,Tab_Def_Processes[Name(EN)],Tab_Def_Processes[Flow_ID_O_3],,0,)</f>
        <v>#N/A</v>
      </c>
      <c r="AK27" s="82"/>
      <c r="AL27" s="49" t="e">
        <f>_xlfn.XLOOKUP($E27,Tab_Def_Processes[Name(EN)],Tab_Def_Processes[Output_Flow_O_4],,0,)</f>
        <v>#N/A</v>
      </c>
      <c r="AM27" s="49" t="e">
        <f>_xlfn.XLOOKUP($E27,Tab_Def_Processes[Name(EN)],Tab_Def_Processes[Flow_ID_O_4],,0,)</f>
        <v>#N/A</v>
      </c>
      <c r="AN27" s="82"/>
      <c r="AO27" s="49" t="e">
        <f>_xlfn.XLOOKUP($E27,Tab_Def_Processes[Name(EN)],Tab_Def_Processes[Output_Flow_O_5],,0,)</f>
        <v>#N/A</v>
      </c>
      <c r="AP27" s="49" t="e">
        <f>_xlfn.XLOOKUP($E27,Tab_Def_Processes[Name(EN)],Tab_Def_Processes[Flow_ID_O_5],,0,)</f>
        <v>#N/A</v>
      </c>
      <c r="AQ27" s="82"/>
      <c r="AR27" s="49" t="e">
        <f>_xlfn.XLOOKUP($E27,Tab_Def_Processes[Name(EN)],Tab_Def_Processes[Output_Flow_O_6],,0,)</f>
        <v>#N/A</v>
      </c>
      <c r="AS27" s="49" t="e">
        <f>_xlfn.XLOOKUP($E27,Tab_Def_Processes[Name(EN)],Tab_Def_Processes[Flow_ID_O_6],,0,)</f>
        <v>#N/A</v>
      </c>
      <c r="AT27" s="82"/>
      <c r="AU27" s="80">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35">
      <c r="A28" s="97" t="b">
        <v>0</v>
      </c>
      <c r="B28" s="49">
        <f t="shared" si="0"/>
        <v>27</v>
      </c>
      <c r="C28" s="49" t="e">
        <f t="shared" si="1"/>
        <v>#N/A</v>
      </c>
      <c r="D28" s="121" t="e">
        <f>_xlfn.XLOOKUP($E28,Tab_Def_Processes[Name(EN)],Tab_Def_Processes[ID],,0,)</f>
        <v>#N/A</v>
      </c>
      <c r="E28" s="51" t="s">
        <v>231</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2"/>
      <c r="P28" s="77" t="e">
        <f>_xlfn.XLOOKUP($E28,Tab_Def_Processes[Name(EN)],Tab_Def_Processes[Input_Flow_I_2],,0,)</f>
        <v>#N/A</v>
      </c>
      <c r="Q28" s="49" t="e">
        <f>_xlfn.XLOOKUP($E28,Tab_Def_Processes[Name(EN)],Tab_Def_Processes[Flow_ID_I_2],,0,)</f>
        <v>#N/A</v>
      </c>
      <c r="R28" s="82"/>
      <c r="S28" s="77" t="e">
        <f>_xlfn.XLOOKUP($E28,Tab_Def_Processes[Name(EN)],Tab_Def_Processes[Input_Flow_I_3],,0,)</f>
        <v>#N/A</v>
      </c>
      <c r="T28" s="49" t="e">
        <f>_xlfn.XLOOKUP($E28,Tab_Def_Processes[Name(EN)],Tab_Def_Processes[Flow_ID_I_3],,0,)</f>
        <v>#N/A</v>
      </c>
      <c r="U28" s="82"/>
      <c r="V28" s="77" t="e">
        <f>_xlfn.XLOOKUP($E28,Tab_Def_Processes[Name(EN)],Tab_Def_Processes[Input_Flow_I_4],,0,)</f>
        <v>#N/A</v>
      </c>
      <c r="W28" s="49" t="e">
        <f>_xlfn.XLOOKUP($E28,Tab_Def_Processes[Name(EN)],Tab_Def_Processes[Flow_ID_I_4],,0,)</f>
        <v>#N/A</v>
      </c>
      <c r="X28" s="82"/>
      <c r="Y28" s="77" t="e">
        <f>_xlfn.XLOOKUP($E28,Tab_Def_Processes[Name(EN)],Tab_Def_Processes[Input_Flow_I_5],,0,)</f>
        <v>#N/A</v>
      </c>
      <c r="Z28" s="49" t="e">
        <f>_xlfn.XLOOKUP($E28,Tab_Def_Processes[Name(EN)],Tab_Def_Processes[Flow_ID_I_5],,0,)</f>
        <v>#N/A</v>
      </c>
      <c r="AA28" s="82"/>
      <c r="AB28" s="80">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82"/>
      <c r="AF28" s="49" t="e">
        <f>_xlfn.XLOOKUP($E28,Tab_Def_Processes[Name(EN)],Tab_Def_Processes[Output_Flow_O_2],,0,)</f>
        <v>#N/A</v>
      </c>
      <c r="AG28" s="49" t="e">
        <f>_xlfn.XLOOKUP($E28,Tab_Def_Processes[Name(EN)],Tab_Def_Processes[Flow_ID_O_2],,0,)</f>
        <v>#N/A</v>
      </c>
      <c r="AH28" s="82"/>
      <c r="AI28" s="49" t="e">
        <f>_xlfn.XLOOKUP($E28,Tab_Def_Processes[Name(EN)],Tab_Def_Processes[Output_Flow_O_3],,0,)</f>
        <v>#N/A</v>
      </c>
      <c r="AJ28" s="49" t="e">
        <f>_xlfn.XLOOKUP($E28,Tab_Def_Processes[Name(EN)],Tab_Def_Processes[Flow_ID_O_3],,0,)</f>
        <v>#N/A</v>
      </c>
      <c r="AK28" s="82"/>
      <c r="AL28" s="49" t="e">
        <f>_xlfn.XLOOKUP($E28,Tab_Def_Processes[Name(EN)],Tab_Def_Processes[Output_Flow_O_4],,0,)</f>
        <v>#N/A</v>
      </c>
      <c r="AM28" s="49" t="e">
        <f>_xlfn.XLOOKUP($E28,Tab_Def_Processes[Name(EN)],Tab_Def_Processes[Flow_ID_O_4],,0,)</f>
        <v>#N/A</v>
      </c>
      <c r="AN28" s="82"/>
      <c r="AO28" s="49" t="e">
        <f>_xlfn.XLOOKUP($E28,Tab_Def_Processes[Name(EN)],Tab_Def_Processes[Output_Flow_O_5],,0,)</f>
        <v>#N/A</v>
      </c>
      <c r="AP28" s="49" t="e">
        <f>_xlfn.XLOOKUP($E28,Tab_Def_Processes[Name(EN)],Tab_Def_Processes[Flow_ID_O_5],,0,)</f>
        <v>#N/A</v>
      </c>
      <c r="AQ28" s="82"/>
      <c r="AR28" s="49" t="e">
        <f>_xlfn.XLOOKUP($E28,Tab_Def_Processes[Name(EN)],Tab_Def_Processes[Output_Flow_O_6],,0,)</f>
        <v>#N/A</v>
      </c>
      <c r="AS28" s="49" t="e">
        <f>_xlfn.XLOOKUP($E28,Tab_Def_Processes[Name(EN)],Tab_Def_Processes[Flow_ID_O_6],,0,)</f>
        <v>#N/A</v>
      </c>
      <c r="AT28" s="82"/>
      <c r="AU28" s="80">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35">
      <c r="A29" s="97" t="b">
        <v>0</v>
      </c>
      <c r="B29" s="49">
        <f t="shared" si="0"/>
        <v>28</v>
      </c>
      <c r="C29" s="49" t="e">
        <f t="shared" si="1"/>
        <v>#N/A</v>
      </c>
      <c r="D29" s="121" t="e">
        <f>_xlfn.XLOOKUP($E29,Tab_Def_Processes[Name(EN)],Tab_Def_Processes[ID],,0,)</f>
        <v>#N/A</v>
      </c>
      <c r="E29" s="51" t="s">
        <v>231</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2"/>
      <c r="P29" s="77" t="e">
        <f>_xlfn.XLOOKUP($E29,Tab_Def_Processes[Name(EN)],Tab_Def_Processes[Input_Flow_I_2],,0,)</f>
        <v>#N/A</v>
      </c>
      <c r="Q29" s="49" t="e">
        <f>_xlfn.XLOOKUP($E29,Tab_Def_Processes[Name(EN)],Tab_Def_Processes[Flow_ID_I_2],,0,)</f>
        <v>#N/A</v>
      </c>
      <c r="R29" s="82"/>
      <c r="S29" s="77" t="e">
        <f>_xlfn.XLOOKUP($E29,Tab_Def_Processes[Name(EN)],Tab_Def_Processes[Input_Flow_I_3],,0,)</f>
        <v>#N/A</v>
      </c>
      <c r="T29" s="49" t="e">
        <f>_xlfn.XLOOKUP($E29,Tab_Def_Processes[Name(EN)],Tab_Def_Processes[Flow_ID_I_3],,0,)</f>
        <v>#N/A</v>
      </c>
      <c r="U29" s="82"/>
      <c r="V29" s="77" t="e">
        <f>_xlfn.XLOOKUP($E29,Tab_Def_Processes[Name(EN)],Tab_Def_Processes[Input_Flow_I_4],,0,)</f>
        <v>#N/A</v>
      </c>
      <c r="W29" s="49" t="e">
        <f>_xlfn.XLOOKUP($E29,Tab_Def_Processes[Name(EN)],Tab_Def_Processes[Flow_ID_I_4],,0,)</f>
        <v>#N/A</v>
      </c>
      <c r="X29" s="82"/>
      <c r="Y29" s="77" t="e">
        <f>_xlfn.XLOOKUP($E29,Tab_Def_Processes[Name(EN)],Tab_Def_Processes[Input_Flow_I_5],,0,)</f>
        <v>#N/A</v>
      </c>
      <c r="Z29" s="49" t="e">
        <f>_xlfn.XLOOKUP($E29,Tab_Def_Processes[Name(EN)],Tab_Def_Processes[Flow_ID_I_5],,0,)</f>
        <v>#N/A</v>
      </c>
      <c r="AA29" s="82"/>
      <c r="AB29" s="80">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82"/>
      <c r="AF29" s="49" t="e">
        <f>_xlfn.XLOOKUP($E29,Tab_Def_Processes[Name(EN)],Tab_Def_Processes[Output_Flow_O_2],,0,)</f>
        <v>#N/A</v>
      </c>
      <c r="AG29" s="49" t="e">
        <f>_xlfn.XLOOKUP($E29,Tab_Def_Processes[Name(EN)],Tab_Def_Processes[Flow_ID_O_2],,0,)</f>
        <v>#N/A</v>
      </c>
      <c r="AH29" s="82"/>
      <c r="AI29" s="49" t="e">
        <f>_xlfn.XLOOKUP($E29,Tab_Def_Processes[Name(EN)],Tab_Def_Processes[Output_Flow_O_3],,0,)</f>
        <v>#N/A</v>
      </c>
      <c r="AJ29" s="49" t="e">
        <f>_xlfn.XLOOKUP($E29,Tab_Def_Processes[Name(EN)],Tab_Def_Processes[Flow_ID_O_3],,0,)</f>
        <v>#N/A</v>
      </c>
      <c r="AK29" s="82"/>
      <c r="AL29" s="49" t="e">
        <f>_xlfn.XLOOKUP($E29,Tab_Def_Processes[Name(EN)],Tab_Def_Processes[Output_Flow_O_4],,0,)</f>
        <v>#N/A</v>
      </c>
      <c r="AM29" s="49" t="e">
        <f>_xlfn.XLOOKUP($E29,Tab_Def_Processes[Name(EN)],Tab_Def_Processes[Flow_ID_O_4],,0,)</f>
        <v>#N/A</v>
      </c>
      <c r="AN29" s="82"/>
      <c r="AO29" s="49" t="e">
        <f>_xlfn.XLOOKUP($E29,Tab_Def_Processes[Name(EN)],Tab_Def_Processes[Output_Flow_O_5],,0,)</f>
        <v>#N/A</v>
      </c>
      <c r="AP29" s="49" t="e">
        <f>_xlfn.XLOOKUP($E29,Tab_Def_Processes[Name(EN)],Tab_Def_Processes[Flow_ID_O_5],,0,)</f>
        <v>#N/A</v>
      </c>
      <c r="AQ29" s="82"/>
      <c r="AR29" s="49" t="e">
        <f>_xlfn.XLOOKUP($E29,Tab_Def_Processes[Name(EN)],Tab_Def_Processes[Output_Flow_O_6],,0,)</f>
        <v>#N/A</v>
      </c>
      <c r="AS29" s="49" t="e">
        <f>_xlfn.XLOOKUP($E29,Tab_Def_Processes[Name(EN)],Tab_Def_Processes[Flow_ID_O_6],,0,)</f>
        <v>#N/A</v>
      </c>
      <c r="AT29" s="82"/>
      <c r="AU29" s="80">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35">
      <c r="A30" s="97" t="b">
        <v>0</v>
      </c>
      <c r="B30" s="49">
        <f t="shared" si="0"/>
        <v>29</v>
      </c>
      <c r="C30" s="49" t="e">
        <f t="shared" si="1"/>
        <v>#N/A</v>
      </c>
      <c r="D30" s="121" t="e">
        <f>_xlfn.XLOOKUP($E30,Tab_Def_Processes[Name(EN)],Tab_Def_Processes[ID],,0,)</f>
        <v>#N/A</v>
      </c>
      <c r="E30" s="51" t="s">
        <v>231</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2"/>
      <c r="P30" s="77" t="e">
        <f>_xlfn.XLOOKUP($E30,Tab_Def_Processes[Name(EN)],Tab_Def_Processes[Input_Flow_I_2],,0,)</f>
        <v>#N/A</v>
      </c>
      <c r="Q30" s="49" t="e">
        <f>_xlfn.XLOOKUP($E30,Tab_Def_Processes[Name(EN)],Tab_Def_Processes[Flow_ID_I_2],,0,)</f>
        <v>#N/A</v>
      </c>
      <c r="R30" s="82"/>
      <c r="S30" s="77" t="e">
        <f>_xlfn.XLOOKUP($E30,Tab_Def_Processes[Name(EN)],Tab_Def_Processes[Input_Flow_I_3],,0,)</f>
        <v>#N/A</v>
      </c>
      <c r="T30" s="49" t="e">
        <f>_xlfn.XLOOKUP($E30,Tab_Def_Processes[Name(EN)],Tab_Def_Processes[Flow_ID_I_3],,0,)</f>
        <v>#N/A</v>
      </c>
      <c r="U30" s="82"/>
      <c r="V30" s="77" t="e">
        <f>_xlfn.XLOOKUP($E30,Tab_Def_Processes[Name(EN)],Tab_Def_Processes[Input_Flow_I_4],,0,)</f>
        <v>#N/A</v>
      </c>
      <c r="W30" s="49" t="e">
        <f>_xlfn.XLOOKUP($E30,Tab_Def_Processes[Name(EN)],Tab_Def_Processes[Flow_ID_I_4],,0,)</f>
        <v>#N/A</v>
      </c>
      <c r="X30" s="82"/>
      <c r="Y30" s="77" t="e">
        <f>_xlfn.XLOOKUP($E30,Tab_Def_Processes[Name(EN)],Tab_Def_Processes[Input_Flow_I_5],,0,)</f>
        <v>#N/A</v>
      </c>
      <c r="Z30" s="49" t="e">
        <f>_xlfn.XLOOKUP($E30,Tab_Def_Processes[Name(EN)],Tab_Def_Processes[Flow_ID_I_5],,0,)</f>
        <v>#N/A</v>
      </c>
      <c r="AA30" s="82"/>
      <c r="AB30" s="80">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82"/>
      <c r="AF30" s="49" t="e">
        <f>_xlfn.XLOOKUP($E30,Tab_Def_Processes[Name(EN)],Tab_Def_Processes[Output_Flow_O_2],,0,)</f>
        <v>#N/A</v>
      </c>
      <c r="AG30" s="49" t="e">
        <f>_xlfn.XLOOKUP($E30,Tab_Def_Processes[Name(EN)],Tab_Def_Processes[Flow_ID_O_2],,0,)</f>
        <v>#N/A</v>
      </c>
      <c r="AH30" s="82"/>
      <c r="AI30" s="49" t="e">
        <f>_xlfn.XLOOKUP($E30,Tab_Def_Processes[Name(EN)],Tab_Def_Processes[Output_Flow_O_3],,0,)</f>
        <v>#N/A</v>
      </c>
      <c r="AJ30" s="49" t="e">
        <f>_xlfn.XLOOKUP($E30,Tab_Def_Processes[Name(EN)],Tab_Def_Processes[Flow_ID_O_3],,0,)</f>
        <v>#N/A</v>
      </c>
      <c r="AK30" s="82"/>
      <c r="AL30" s="49" t="e">
        <f>_xlfn.XLOOKUP($E30,Tab_Def_Processes[Name(EN)],Tab_Def_Processes[Output_Flow_O_4],,0,)</f>
        <v>#N/A</v>
      </c>
      <c r="AM30" s="49" t="e">
        <f>_xlfn.XLOOKUP($E30,Tab_Def_Processes[Name(EN)],Tab_Def_Processes[Flow_ID_O_4],,0,)</f>
        <v>#N/A</v>
      </c>
      <c r="AN30" s="82"/>
      <c r="AO30" s="49" t="e">
        <f>_xlfn.XLOOKUP($E30,Tab_Def_Processes[Name(EN)],Tab_Def_Processes[Output_Flow_O_5],,0,)</f>
        <v>#N/A</v>
      </c>
      <c r="AP30" s="49" t="e">
        <f>_xlfn.XLOOKUP($E30,Tab_Def_Processes[Name(EN)],Tab_Def_Processes[Flow_ID_O_5],,0,)</f>
        <v>#N/A</v>
      </c>
      <c r="AQ30" s="82"/>
      <c r="AR30" s="49" t="e">
        <f>_xlfn.XLOOKUP($E30,Tab_Def_Processes[Name(EN)],Tab_Def_Processes[Output_Flow_O_6],,0,)</f>
        <v>#N/A</v>
      </c>
      <c r="AS30" s="49" t="e">
        <f>_xlfn.XLOOKUP($E30,Tab_Def_Processes[Name(EN)],Tab_Def_Processes[Flow_ID_O_6],,0,)</f>
        <v>#N/A</v>
      </c>
      <c r="AT30" s="82"/>
      <c r="AU30" s="80">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35">
      <c r="A31" s="97" t="b">
        <v>0</v>
      </c>
      <c r="B31" s="49">
        <f t="shared" si="0"/>
        <v>30</v>
      </c>
      <c r="C31" s="49" t="e">
        <f t="shared" si="1"/>
        <v>#N/A</v>
      </c>
      <c r="D31" s="121" t="e">
        <f>_xlfn.XLOOKUP($E31,Tab_Def_Processes[Name(EN)],Tab_Def_Processes[ID],,0,)</f>
        <v>#N/A</v>
      </c>
      <c r="E31" s="51" t="s">
        <v>231</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2"/>
      <c r="P31" s="77" t="e">
        <f>_xlfn.XLOOKUP($E31,Tab_Def_Processes[Name(EN)],Tab_Def_Processes[Input_Flow_I_2],,0,)</f>
        <v>#N/A</v>
      </c>
      <c r="Q31" s="49" t="e">
        <f>_xlfn.XLOOKUP($E31,Tab_Def_Processes[Name(EN)],Tab_Def_Processes[Flow_ID_I_2],,0,)</f>
        <v>#N/A</v>
      </c>
      <c r="R31" s="82"/>
      <c r="S31" s="77" t="e">
        <f>_xlfn.XLOOKUP($E31,Tab_Def_Processes[Name(EN)],Tab_Def_Processes[Input_Flow_I_3],,0,)</f>
        <v>#N/A</v>
      </c>
      <c r="T31" s="49" t="e">
        <f>_xlfn.XLOOKUP($E31,Tab_Def_Processes[Name(EN)],Tab_Def_Processes[Flow_ID_I_3],,0,)</f>
        <v>#N/A</v>
      </c>
      <c r="U31" s="82"/>
      <c r="V31" s="77" t="e">
        <f>_xlfn.XLOOKUP($E31,Tab_Def_Processes[Name(EN)],Tab_Def_Processes[Input_Flow_I_4],,0,)</f>
        <v>#N/A</v>
      </c>
      <c r="W31" s="49" t="e">
        <f>_xlfn.XLOOKUP($E31,Tab_Def_Processes[Name(EN)],Tab_Def_Processes[Flow_ID_I_4],,0,)</f>
        <v>#N/A</v>
      </c>
      <c r="X31" s="82"/>
      <c r="Y31" s="77" t="e">
        <f>_xlfn.XLOOKUP($E31,Tab_Def_Processes[Name(EN)],Tab_Def_Processes[Input_Flow_I_5],,0,)</f>
        <v>#N/A</v>
      </c>
      <c r="Z31" s="49" t="e">
        <f>_xlfn.XLOOKUP($E31,Tab_Def_Processes[Name(EN)],Tab_Def_Processes[Flow_ID_I_5],,0,)</f>
        <v>#N/A</v>
      </c>
      <c r="AA31" s="82"/>
      <c r="AB31" s="80">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82"/>
      <c r="AF31" s="49" t="e">
        <f>_xlfn.XLOOKUP($E31,Tab_Def_Processes[Name(EN)],Tab_Def_Processes[Output_Flow_O_2],,0,)</f>
        <v>#N/A</v>
      </c>
      <c r="AG31" s="49" t="e">
        <f>_xlfn.XLOOKUP($E31,Tab_Def_Processes[Name(EN)],Tab_Def_Processes[Flow_ID_O_2],,0,)</f>
        <v>#N/A</v>
      </c>
      <c r="AH31" s="82"/>
      <c r="AI31" s="49" t="e">
        <f>_xlfn.XLOOKUP($E31,Tab_Def_Processes[Name(EN)],Tab_Def_Processes[Output_Flow_O_3],,0,)</f>
        <v>#N/A</v>
      </c>
      <c r="AJ31" s="49" t="e">
        <f>_xlfn.XLOOKUP($E31,Tab_Def_Processes[Name(EN)],Tab_Def_Processes[Flow_ID_O_3],,0,)</f>
        <v>#N/A</v>
      </c>
      <c r="AK31" s="82"/>
      <c r="AL31" s="49" t="e">
        <f>_xlfn.XLOOKUP($E31,Tab_Def_Processes[Name(EN)],Tab_Def_Processes[Output_Flow_O_4],,0,)</f>
        <v>#N/A</v>
      </c>
      <c r="AM31" s="49" t="e">
        <f>_xlfn.XLOOKUP($E31,Tab_Def_Processes[Name(EN)],Tab_Def_Processes[Flow_ID_O_4],,0,)</f>
        <v>#N/A</v>
      </c>
      <c r="AN31" s="82"/>
      <c r="AO31" s="49" t="e">
        <f>_xlfn.XLOOKUP($E31,Tab_Def_Processes[Name(EN)],Tab_Def_Processes[Output_Flow_O_5],,0,)</f>
        <v>#N/A</v>
      </c>
      <c r="AP31" s="49" t="e">
        <f>_xlfn.XLOOKUP($E31,Tab_Def_Processes[Name(EN)],Tab_Def_Processes[Flow_ID_O_5],,0,)</f>
        <v>#N/A</v>
      </c>
      <c r="AQ31" s="82"/>
      <c r="AR31" s="49" t="e">
        <f>_xlfn.XLOOKUP($E31,Tab_Def_Processes[Name(EN)],Tab_Def_Processes[Output_Flow_O_6],,0,)</f>
        <v>#N/A</v>
      </c>
      <c r="AS31" s="49" t="e">
        <f>_xlfn.XLOOKUP($E31,Tab_Def_Processes[Name(EN)],Tab_Def_Processes[Flow_ID_O_6],,0,)</f>
        <v>#N/A</v>
      </c>
      <c r="AT31" s="82"/>
      <c r="AU31" s="80">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35">
      <c r="A32" s="97" t="b">
        <v>0</v>
      </c>
      <c r="B32" s="49">
        <f t="shared" si="0"/>
        <v>31</v>
      </c>
      <c r="C32" s="49" t="e">
        <f t="shared" si="1"/>
        <v>#N/A</v>
      </c>
      <c r="D32" s="121" t="e">
        <f>_xlfn.XLOOKUP($E32,Tab_Def_Processes[Name(EN)],Tab_Def_Processes[ID],,0,)</f>
        <v>#N/A</v>
      </c>
      <c r="E32" s="51" t="s">
        <v>231</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2"/>
      <c r="P32" s="77" t="e">
        <f>_xlfn.XLOOKUP($E32,Tab_Def_Processes[Name(EN)],Tab_Def_Processes[Input_Flow_I_2],,0,)</f>
        <v>#N/A</v>
      </c>
      <c r="Q32" s="49" t="e">
        <f>_xlfn.XLOOKUP($E32,Tab_Def_Processes[Name(EN)],Tab_Def_Processes[Flow_ID_I_2],,0,)</f>
        <v>#N/A</v>
      </c>
      <c r="R32" s="82"/>
      <c r="S32" s="77" t="e">
        <f>_xlfn.XLOOKUP($E32,Tab_Def_Processes[Name(EN)],Tab_Def_Processes[Input_Flow_I_3],,0,)</f>
        <v>#N/A</v>
      </c>
      <c r="T32" s="49" t="e">
        <f>_xlfn.XLOOKUP($E32,Tab_Def_Processes[Name(EN)],Tab_Def_Processes[Flow_ID_I_3],,0,)</f>
        <v>#N/A</v>
      </c>
      <c r="U32" s="82"/>
      <c r="V32" s="77" t="e">
        <f>_xlfn.XLOOKUP($E32,Tab_Def_Processes[Name(EN)],Tab_Def_Processes[Input_Flow_I_4],,0,)</f>
        <v>#N/A</v>
      </c>
      <c r="W32" s="49" t="e">
        <f>_xlfn.XLOOKUP($E32,Tab_Def_Processes[Name(EN)],Tab_Def_Processes[Flow_ID_I_4],,0,)</f>
        <v>#N/A</v>
      </c>
      <c r="X32" s="82"/>
      <c r="Y32" s="77" t="e">
        <f>_xlfn.XLOOKUP($E32,Tab_Def_Processes[Name(EN)],Tab_Def_Processes[Input_Flow_I_5],,0,)</f>
        <v>#N/A</v>
      </c>
      <c r="Z32" s="49" t="e">
        <f>_xlfn.XLOOKUP($E32,Tab_Def_Processes[Name(EN)],Tab_Def_Processes[Flow_ID_I_5],,0,)</f>
        <v>#N/A</v>
      </c>
      <c r="AA32" s="82"/>
      <c r="AB32" s="80">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82"/>
      <c r="AF32" s="49" t="e">
        <f>_xlfn.XLOOKUP($E32,Tab_Def_Processes[Name(EN)],Tab_Def_Processes[Output_Flow_O_2],,0,)</f>
        <v>#N/A</v>
      </c>
      <c r="AG32" s="49" t="e">
        <f>_xlfn.XLOOKUP($E32,Tab_Def_Processes[Name(EN)],Tab_Def_Processes[Flow_ID_O_2],,0,)</f>
        <v>#N/A</v>
      </c>
      <c r="AH32" s="82"/>
      <c r="AI32" s="49" t="e">
        <f>_xlfn.XLOOKUP($E32,Tab_Def_Processes[Name(EN)],Tab_Def_Processes[Output_Flow_O_3],,0,)</f>
        <v>#N/A</v>
      </c>
      <c r="AJ32" s="49" t="e">
        <f>_xlfn.XLOOKUP($E32,Tab_Def_Processes[Name(EN)],Tab_Def_Processes[Flow_ID_O_3],,0,)</f>
        <v>#N/A</v>
      </c>
      <c r="AK32" s="82"/>
      <c r="AL32" s="49" t="e">
        <f>_xlfn.XLOOKUP($E32,Tab_Def_Processes[Name(EN)],Tab_Def_Processes[Output_Flow_O_4],,0,)</f>
        <v>#N/A</v>
      </c>
      <c r="AM32" s="49" t="e">
        <f>_xlfn.XLOOKUP($E32,Tab_Def_Processes[Name(EN)],Tab_Def_Processes[Flow_ID_O_4],,0,)</f>
        <v>#N/A</v>
      </c>
      <c r="AN32" s="82"/>
      <c r="AO32" s="49" t="e">
        <f>_xlfn.XLOOKUP($E32,Tab_Def_Processes[Name(EN)],Tab_Def_Processes[Output_Flow_O_5],,0,)</f>
        <v>#N/A</v>
      </c>
      <c r="AP32" s="49" t="e">
        <f>_xlfn.XLOOKUP($E32,Tab_Def_Processes[Name(EN)],Tab_Def_Processes[Flow_ID_O_5],,0,)</f>
        <v>#N/A</v>
      </c>
      <c r="AQ32" s="82"/>
      <c r="AR32" s="49" t="e">
        <f>_xlfn.XLOOKUP($E32,Tab_Def_Processes[Name(EN)],Tab_Def_Processes[Output_Flow_O_6],,0,)</f>
        <v>#N/A</v>
      </c>
      <c r="AS32" s="49" t="e">
        <f>_xlfn.XLOOKUP($E32,Tab_Def_Processes[Name(EN)],Tab_Def_Processes[Flow_ID_O_6],,0,)</f>
        <v>#N/A</v>
      </c>
      <c r="AT32" s="82"/>
      <c r="AU32" s="80">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35">
      <c r="A33" s="97" t="b">
        <v>0</v>
      </c>
      <c r="B33" s="49">
        <f t="shared" si="0"/>
        <v>32</v>
      </c>
      <c r="C33" s="49" t="e">
        <f t="shared" si="1"/>
        <v>#N/A</v>
      </c>
      <c r="D33" s="121" t="e">
        <f>_xlfn.XLOOKUP($E33,Tab_Def_Processes[Name(EN)],Tab_Def_Processes[ID],,0,)</f>
        <v>#N/A</v>
      </c>
      <c r="E33" s="51" t="s">
        <v>231</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2"/>
      <c r="P33" s="77" t="e">
        <f>_xlfn.XLOOKUP($E33,Tab_Def_Processes[Name(EN)],Tab_Def_Processes[Input_Flow_I_2],,0,)</f>
        <v>#N/A</v>
      </c>
      <c r="Q33" s="49" t="e">
        <f>_xlfn.XLOOKUP($E33,Tab_Def_Processes[Name(EN)],Tab_Def_Processes[Flow_ID_I_2],,0,)</f>
        <v>#N/A</v>
      </c>
      <c r="R33" s="82"/>
      <c r="S33" s="77" t="e">
        <f>_xlfn.XLOOKUP($E33,Tab_Def_Processes[Name(EN)],Tab_Def_Processes[Input_Flow_I_3],,0,)</f>
        <v>#N/A</v>
      </c>
      <c r="T33" s="49" t="e">
        <f>_xlfn.XLOOKUP($E33,Tab_Def_Processes[Name(EN)],Tab_Def_Processes[Flow_ID_I_3],,0,)</f>
        <v>#N/A</v>
      </c>
      <c r="U33" s="82"/>
      <c r="V33" s="77" t="e">
        <f>_xlfn.XLOOKUP($E33,Tab_Def_Processes[Name(EN)],Tab_Def_Processes[Input_Flow_I_4],,0,)</f>
        <v>#N/A</v>
      </c>
      <c r="W33" s="49" t="e">
        <f>_xlfn.XLOOKUP($E33,Tab_Def_Processes[Name(EN)],Tab_Def_Processes[Flow_ID_I_4],,0,)</f>
        <v>#N/A</v>
      </c>
      <c r="X33" s="82"/>
      <c r="Y33" s="77" t="e">
        <f>_xlfn.XLOOKUP($E33,Tab_Def_Processes[Name(EN)],Tab_Def_Processes[Input_Flow_I_5],,0,)</f>
        <v>#N/A</v>
      </c>
      <c r="Z33" s="49" t="e">
        <f>_xlfn.XLOOKUP($E33,Tab_Def_Processes[Name(EN)],Tab_Def_Processes[Flow_ID_I_5],,0,)</f>
        <v>#N/A</v>
      </c>
      <c r="AA33" s="82"/>
      <c r="AB33" s="80">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82"/>
      <c r="AF33" s="49" t="e">
        <f>_xlfn.XLOOKUP($E33,Tab_Def_Processes[Name(EN)],Tab_Def_Processes[Output_Flow_O_2],,0,)</f>
        <v>#N/A</v>
      </c>
      <c r="AG33" s="49" t="e">
        <f>_xlfn.XLOOKUP($E33,Tab_Def_Processes[Name(EN)],Tab_Def_Processes[Flow_ID_O_2],,0,)</f>
        <v>#N/A</v>
      </c>
      <c r="AH33" s="82"/>
      <c r="AI33" s="49" t="e">
        <f>_xlfn.XLOOKUP($E33,Tab_Def_Processes[Name(EN)],Tab_Def_Processes[Output_Flow_O_3],,0,)</f>
        <v>#N/A</v>
      </c>
      <c r="AJ33" s="49" t="e">
        <f>_xlfn.XLOOKUP($E33,Tab_Def_Processes[Name(EN)],Tab_Def_Processes[Flow_ID_O_3],,0,)</f>
        <v>#N/A</v>
      </c>
      <c r="AK33" s="82"/>
      <c r="AL33" s="49" t="e">
        <f>_xlfn.XLOOKUP($E33,Tab_Def_Processes[Name(EN)],Tab_Def_Processes[Output_Flow_O_4],,0,)</f>
        <v>#N/A</v>
      </c>
      <c r="AM33" s="49" t="e">
        <f>_xlfn.XLOOKUP($E33,Tab_Def_Processes[Name(EN)],Tab_Def_Processes[Flow_ID_O_4],,0,)</f>
        <v>#N/A</v>
      </c>
      <c r="AN33" s="82"/>
      <c r="AO33" s="49" t="e">
        <f>_xlfn.XLOOKUP($E33,Tab_Def_Processes[Name(EN)],Tab_Def_Processes[Output_Flow_O_5],,0,)</f>
        <v>#N/A</v>
      </c>
      <c r="AP33" s="49" t="e">
        <f>_xlfn.XLOOKUP($E33,Tab_Def_Processes[Name(EN)],Tab_Def_Processes[Flow_ID_O_5],,0,)</f>
        <v>#N/A</v>
      </c>
      <c r="AQ33" s="82"/>
      <c r="AR33" s="49" t="e">
        <f>_xlfn.XLOOKUP($E33,Tab_Def_Processes[Name(EN)],Tab_Def_Processes[Output_Flow_O_6],,0,)</f>
        <v>#N/A</v>
      </c>
      <c r="AS33" s="49" t="e">
        <f>_xlfn.XLOOKUP($E33,Tab_Def_Processes[Name(EN)],Tab_Def_Processes[Flow_ID_O_6],,0,)</f>
        <v>#N/A</v>
      </c>
      <c r="AT33" s="82"/>
      <c r="AU33" s="80">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35">
      <c r="A34" s="97" t="b">
        <v>0</v>
      </c>
      <c r="B34" s="49">
        <f t="shared" ref="B34:B51" si="2">ROW()-1</f>
        <v>33</v>
      </c>
      <c r="C34" s="49" t="e">
        <f t="shared" ref="C34:C63" si="3">"TC"&amp;LEFT(B34,2)&amp;"_"&amp;LEFT(D34,3)&amp;"_"&amp;LEFT(E34,3)&amp;"_"&amp;LEFT(F34,3)&amp;"_"&amp;LEFT(G34,3)</f>
        <v>#N/A</v>
      </c>
      <c r="D34" s="121" t="e">
        <f>_xlfn.XLOOKUP($E34,Tab_Def_Processes[Name(EN)],Tab_Def_Processes[ID],,0,)</f>
        <v>#N/A</v>
      </c>
      <c r="E34" s="51" t="s">
        <v>231</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2"/>
      <c r="P34" s="77" t="e">
        <f>_xlfn.XLOOKUP($E34,Tab_Def_Processes[Name(EN)],Tab_Def_Processes[Input_Flow_I_2],,0,)</f>
        <v>#N/A</v>
      </c>
      <c r="Q34" s="49" t="e">
        <f>_xlfn.XLOOKUP($E34,Tab_Def_Processes[Name(EN)],Tab_Def_Processes[Flow_ID_I_2],,0,)</f>
        <v>#N/A</v>
      </c>
      <c r="R34" s="82"/>
      <c r="S34" s="77" t="e">
        <f>_xlfn.XLOOKUP($E34,Tab_Def_Processes[Name(EN)],Tab_Def_Processes[Input_Flow_I_3],,0,)</f>
        <v>#N/A</v>
      </c>
      <c r="T34" s="49" t="e">
        <f>_xlfn.XLOOKUP($E34,Tab_Def_Processes[Name(EN)],Tab_Def_Processes[Flow_ID_I_3],,0,)</f>
        <v>#N/A</v>
      </c>
      <c r="U34" s="82"/>
      <c r="V34" s="77" t="e">
        <f>_xlfn.XLOOKUP($E34,Tab_Def_Processes[Name(EN)],Tab_Def_Processes[Input_Flow_I_4],,0,)</f>
        <v>#N/A</v>
      </c>
      <c r="W34" s="49" t="e">
        <f>_xlfn.XLOOKUP($E34,Tab_Def_Processes[Name(EN)],Tab_Def_Processes[Flow_ID_I_4],,0,)</f>
        <v>#N/A</v>
      </c>
      <c r="X34" s="82"/>
      <c r="Y34" s="77" t="e">
        <f>_xlfn.XLOOKUP($E34,Tab_Def_Processes[Name(EN)],Tab_Def_Processes[Input_Flow_I_5],,0,)</f>
        <v>#N/A</v>
      </c>
      <c r="Z34" s="49" t="e">
        <f>_xlfn.XLOOKUP($E34,Tab_Def_Processes[Name(EN)],Tab_Def_Processes[Flow_ID_I_5],,0,)</f>
        <v>#N/A</v>
      </c>
      <c r="AA34" s="82"/>
      <c r="AB34" s="80">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82"/>
      <c r="AF34" s="49" t="e">
        <f>_xlfn.XLOOKUP($E34,Tab_Def_Processes[Name(EN)],Tab_Def_Processes[Output_Flow_O_2],,0,)</f>
        <v>#N/A</v>
      </c>
      <c r="AG34" s="49" t="e">
        <f>_xlfn.XLOOKUP($E34,Tab_Def_Processes[Name(EN)],Tab_Def_Processes[Flow_ID_O_2],,0,)</f>
        <v>#N/A</v>
      </c>
      <c r="AH34" s="82"/>
      <c r="AI34" s="49" t="e">
        <f>_xlfn.XLOOKUP($E34,Tab_Def_Processes[Name(EN)],Tab_Def_Processes[Output_Flow_O_3],,0,)</f>
        <v>#N/A</v>
      </c>
      <c r="AJ34" s="49" t="e">
        <f>_xlfn.XLOOKUP($E34,Tab_Def_Processes[Name(EN)],Tab_Def_Processes[Flow_ID_O_3],,0,)</f>
        <v>#N/A</v>
      </c>
      <c r="AK34" s="82"/>
      <c r="AL34" s="49" t="e">
        <f>_xlfn.XLOOKUP($E34,Tab_Def_Processes[Name(EN)],Tab_Def_Processes[Output_Flow_O_4],,0,)</f>
        <v>#N/A</v>
      </c>
      <c r="AM34" s="49" t="e">
        <f>_xlfn.XLOOKUP($E34,Tab_Def_Processes[Name(EN)],Tab_Def_Processes[Flow_ID_O_4],,0,)</f>
        <v>#N/A</v>
      </c>
      <c r="AN34" s="82"/>
      <c r="AO34" s="49" t="e">
        <f>_xlfn.XLOOKUP($E34,Tab_Def_Processes[Name(EN)],Tab_Def_Processes[Output_Flow_O_5],,0,)</f>
        <v>#N/A</v>
      </c>
      <c r="AP34" s="49" t="e">
        <f>_xlfn.XLOOKUP($E34,Tab_Def_Processes[Name(EN)],Tab_Def_Processes[Flow_ID_O_5],,0,)</f>
        <v>#N/A</v>
      </c>
      <c r="AQ34" s="82"/>
      <c r="AR34" s="49" t="e">
        <f>_xlfn.XLOOKUP($E34,Tab_Def_Processes[Name(EN)],Tab_Def_Processes[Output_Flow_O_6],,0,)</f>
        <v>#N/A</v>
      </c>
      <c r="AS34" s="49" t="e">
        <f>_xlfn.XLOOKUP($E34,Tab_Def_Processes[Name(EN)],Tab_Def_Processes[Flow_ID_O_6],,0,)</f>
        <v>#N/A</v>
      </c>
      <c r="AT34" s="82"/>
      <c r="AU34" s="80">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35">
      <c r="A35" s="97" t="b">
        <v>0</v>
      </c>
      <c r="B35" s="49">
        <f t="shared" si="2"/>
        <v>34</v>
      </c>
      <c r="C35" s="49" t="e">
        <f t="shared" si="3"/>
        <v>#N/A</v>
      </c>
      <c r="D35" s="121" t="e">
        <f>_xlfn.XLOOKUP($E35,Tab_Def_Processes[Name(EN)],Tab_Def_Processes[ID],,0,)</f>
        <v>#N/A</v>
      </c>
      <c r="E35" s="51" t="s">
        <v>231</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2"/>
      <c r="P35" s="77" t="e">
        <f>_xlfn.XLOOKUP($E35,Tab_Def_Processes[Name(EN)],Tab_Def_Processes[Input_Flow_I_2],,0,)</f>
        <v>#N/A</v>
      </c>
      <c r="Q35" s="49" t="e">
        <f>_xlfn.XLOOKUP($E35,Tab_Def_Processes[Name(EN)],Tab_Def_Processes[Flow_ID_I_2],,0,)</f>
        <v>#N/A</v>
      </c>
      <c r="R35" s="82"/>
      <c r="S35" s="77" t="e">
        <f>_xlfn.XLOOKUP($E35,Tab_Def_Processes[Name(EN)],Tab_Def_Processes[Input_Flow_I_3],,0,)</f>
        <v>#N/A</v>
      </c>
      <c r="T35" s="49" t="e">
        <f>_xlfn.XLOOKUP($E35,Tab_Def_Processes[Name(EN)],Tab_Def_Processes[Flow_ID_I_3],,0,)</f>
        <v>#N/A</v>
      </c>
      <c r="U35" s="82"/>
      <c r="V35" s="77" t="e">
        <f>_xlfn.XLOOKUP($E35,Tab_Def_Processes[Name(EN)],Tab_Def_Processes[Input_Flow_I_4],,0,)</f>
        <v>#N/A</v>
      </c>
      <c r="W35" s="49" t="e">
        <f>_xlfn.XLOOKUP($E35,Tab_Def_Processes[Name(EN)],Tab_Def_Processes[Flow_ID_I_4],,0,)</f>
        <v>#N/A</v>
      </c>
      <c r="X35" s="82"/>
      <c r="Y35" s="77" t="e">
        <f>_xlfn.XLOOKUP($E35,Tab_Def_Processes[Name(EN)],Tab_Def_Processes[Input_Flow_I_5],,0,)</f>
        <v>#N/A</v>
      </c>
      <c r="Z35" s="49" t="e">
        <f>_xlfn.XLOOKUP($E35,Tab_Def_Processes[Name(EN)],Tab_Def_Processes[Flow_ID_I_5],,0,)</f>
        <v>#N/A</v>
      </c>
      <c r="AA35" s="82"/>
      <c r="AB35" s="80">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82"/>
      <c r="AF35" s="49" t="e">
        <f>_xlfn.XLOOKUP($E35,Tab_Def_Processes[Name(EN)],Tab_Def_Processes[Output_Flow_O_2],,0,)</f>
        <v>#N/A</v>
      </c>
      <c r="AG35" s="49" t="e">
        <f>_xlfn.XLOOKUP($E35,Tab_Def_Processes[Name(EN)],Tab_Def_Processes[Flow_ID_O_2],,0,)</f>
        <v>#N/A</v>
      </c>
      <c r="AH35" s="82"/>
      <c r="AI35" s="49" t="e">
        <f>_xlfn.XLOOKUP($E35,Tab_Def_Processes[Name(EN)],Tab_Def_Processes[Output_Flow_O_3],,0,)</f>
        <v>#N/A</v>
      </c>
      <c r="AJ35" s="49" t="e">
        <f>_xlfn.XLOOKUP($E35,Tab_Def_Processes[Name(EN)],Tab_Def_Processes[Flow_ID_O_3],,0,)</f>
        <v>#N/A</v>
      </c>
      <c r="AK35" s="82"/>
      <c r="AL35" s="49" t="e">
        <f>_xlfn.XLOOKUP($E35,Tab_Def_Processes[Name(EN)],Tab_Def_Processes[Output_Flow_O_4],,0,)</f>
        <v>#N/A</v>
      </c>
      <c r="AM35" s="49" t="e">
        <f>_xlfn.XLOOKUP($E35,Tab_Def_Processes[Name(EN)],Tab_Def_Processes[Flow_ID_O_4],,0,)</f>
        <v>#N/A</v>
      </c>
      <c r="AN35" s="82"/>
      <c r="AO35" s="49" t="e">
        <f>_xlfn.XLOOKUP($E35,Tab_Def_Processes[Name(EN)],Tab_Def_Processes[Output_Flow_O_5],,0,)</f>
        <v>#N/A</v>
      </c>
      <c r="AP35" s="49" t="e">
        <f>_xlfn.XLOOKUP($E35,Tab_Def_Processes[Name(EN)],Tab_Def_Processes[Flow_ID_O_5],,0,)</f>
        <v>#N/A</v>
      </c>
      <c r="AQ35" s="82"/>
      <c r="AR35" s="49" t="e">
        <f>_xlfn.XLOOKUP($E35,Tab_Def_Processes[Name(EN)],Tab_Def_Processes[Output_Flow_O_6],,0,)</f>
        <v>#N/A</v>
      </c>
      <c r="AS35" s="49" t="e">
        <f>_xlfn.XLOOKUP($E35,Tab_Def_Processes[Name(EN)],Tab_Def_Processes[Flow_ID_O_6],,0,)</f>
        <v>#N/A</v>
      </c>
      <c r="AT35" s="82"/>
      <c r="AU35" s="80">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35">
      <c r="A36" s="97" t="b">
        <v>0</v>
      </c>
      <c r="B36" s="49">
        <f t="shared" si="2"/>
        <v>35</v>
      </c>
      <c r="C36" s="49" t="e">
        <f t="shared" si="3"/>
        <v>#N/A</v>
      </c>
      <c r="D36" s="121" t="e">
        <f>_xlfn.XLOOKUP($E36,Tab_Def_Processes[Name(EN)],Tab_Def_Processes[ID],,0,)</f>
        <v>#N/A</v>
      </c>
      <c r="E36" s="51" t="s">
        <v>231</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2"/>
      <c r="P36" s="77" t="e">
        <f>_xlfn.XLOOKUP($E36,Tab_Def_Processes[Name(EN)],Tab_Def_Processes[Input_Flow_I_2],,0,)</f>
        <v>#N/A</v>
      </c>
      <c r="Q36" s="49" t="e">
        <f>_xlfn.XLOOKUP($E36,Tab_Def_Processes[Name(EN)],Tab_Def_Processes[Flow_ID_I_2],,0,)</f>
        <v>#N/A</v>
      </c>
      <c r="R36" s="82"/>
      <c r="S36" s="77" t="e">
        <f>_xlfn.XLOOKUP($E36,Tab_Def_Processes[Name(EN)],Tab_Def_Processes[Input_Flow_I_3],,0,)</f>
        <v>#N/A</v>
      </c>
      <c r="T36" s="49" t="e">
        <f>_xlfn.XLOOKUP($E36,Tab_Def_Processes[Name(EN)],Tab_Def_Processes[Flow_ID_I_3],,0,)</f>
        <v>#N/A</v>
      </c>
      <c r="U36" s="82"/>
      <c r="V36" s="77" t="e">
        <f>_xlfn.XLOOKUP($E36,Tab_Def_Processes[Name(EN)],Tab_Def_Processes[Input_Flow_I_4],,0,)</f>
        <v>#N/A</v>
      </c>
      <c r="W36" s="49" t="e">
        <f>_xlfn.XLOOKUP($E36,Tab_Def_Processes[Name(EN)],Tab_Def_Processes[Flow_ID_I_4],,0,)</f>
        <v>#N/A</v>
      </c>
      <c r="X36" s="82"/>
      <c r="Y36" s="77" t="e">
        <f>_xlfn.XLOOKUP($E36,Tab_Def_Processes[Name(EN)],Tab_Def_Processes[Input_Flow_I_5],,0,)</f>
        <v>#N/A</v>
      </c>
      <c r="Z36" s="49" t="e">
        <f>_xlfn.XLOOKUP($E36,Tab_Def_Processes[Name(EN)],Tab_Def_Processes[Flow_ID_I_5],,0,)</f>
        <v>#N/A</v>
      </c>
      <c r="AA36" s="82"/>
      <c r="AB36" s="80">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82"/>
      <c r="AF36" s="49" t="e">
        <f>_xlfn.XLOOKUP($E36,Tab_Def_Processes[Name(EN)],Tab_Def_Processes[Output_Flow_O_2],,0,)</f>
        <v>#N/A</v>
      </c>
      <c r="AG36" s="49" t="e">
        <f>_xlfn.XLOOKUP($E36,Tab_Def_Processes[Name(EN)],Tab_Def_Processes[Flow_ID_O_2],,0,)</f>
        <v>#N/A</v>
      </c>
      <c r="AH36" s="82"/>
      <c r="AI36" s="49" t="e">
        <f>_xlfn.XLOOKUP($E36,Tab_Def_Processes[Name(EN)],Tab_Def_Processes[Output_Flow_O_3],,0,)</f>
        <v>#N/A</v>
      </c>
      <c r="AJ36" s="49" t="e">
        <f>_xlfn.XLOOKUP($E36,Tab_Def_Processes[Name(EN)],Tab_Def_Processes[Flow_ID_O_3],,0,)</f>
        <v>#N/A</v>
      </c>
      <c r="AK36" s="82"/>
      <c r="AL36" s="49" t="e">
        <f>_xlfn.XLOOKUP($E36,Tab_Def_Processes[Name(EN)],Tab_Def_Processes[Output_Flow_O_4],,0,)</f>
        <v>#N/A</v>
      </c>
      <c r="AM36" s="49" t="e">
        <f>_xlfn.XLOOKUP($E36,Tab_Def_Processes[Name(EN)],Tab_Def_Processes[Flow_ID_O_4],,0,)</f>
        <v>#N/A</v>
      </c>
      <c r="AN36" s="82"/>
      <c r="AO36" s="49" t="e">
        <f>_xlfn.XLOOKUP($E36,Tab_Def_Processes[Name(EN)],Tab_Def_Processes[Output_Flow_O_5],,0,)</f>
        <v>#N/A</v>
      </c>
      <c r="AP36" s="49" t="e">
        <f>_xlfn.XLOOKUP($E36,Tab_Def_Processes[Name(EN)],Tab_Def_Processes[Flow_ID_O_5],,0,)</f>
        <v>#N/A</v>
      </c>
      <c r="AQ36" s="82"/>
      <c r="AR36" s="49" t="e">
        <f>_xlfn.XLOOKUP($E36,Tab_Def_Processes[Name(EN)],Tab_Def_Processes[Output_Flow_O_6],,0,)</f>
        <v>#N/A</v>
      </c>
      <c r="AS36" s="49" t="e">
        <f>_xlfn.XLOOKUP($E36,Tab_Def_Processes[Name(EN)],Tab_Def_Processes[Flow_ID_O_6],,0,)</f>
        <v>#N/A</v>
      </c>
      <c r="AT36" s="82"/>
      <c r="AU36" s="80">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35">
      <c r="A37" s="97" t="b">
        <v>0</v>
      </c>
      <c r="B37" s="49">
        <f t="shared" si="2"/>
        <v>36</v>
      </c>
      <c r="C37" s="49" t="e">
        <f t="shared" si="3"/>
        <v>#N/A</v>
      </c>
      <c r="D37" s="121" t="e">
        <f>_xlfn.XLOOKUP($E37,Tab_Def_Processes[Name(EN)],Tab_Def_Processes[ID],,0,)</f>
        <v>#N/A</v>
      </c>
      <c r="E37" s="51" t="s">
        <v>231</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2"/>
      <c r="P37" s="77" t="e">
        <f>_xlfn.XLOOKUP($E37,Tab_Def_Processes[Name(EN)],Tab_Def_Processes[Input_Flow_I_2],,0,)</f>
        <v>#N/A</v>
      </c>
      <c r="Q37" s="49" t="e">
        <f>_xlfn.XLOOKUP($E37,Tab_Def_Processes[Name(EN)],Tab_Def_Processes[Flow_ID_I_2],,0,)</f>
        <v>#N/A</v>
      </c>
      <c r="R37" s="82"/>
      <c r="S37" s="77" t="e">
        <f>_xlfn.XLOOKUP($E37,Tab_Def_Processes[Name(EN)],Tab_Def_Processes[Input_Flow_I_3],,0,)</f>
        <v>#N/A</v>
      </c>
      <c r="T37" s="49" t="e">
        <f>_xlfn.XLOOKUP($E37,Tab_Def_Processes[Name(EN)],Tab_Def_Processes[Flow_ID_I_3],,0,)</f>
        <v>#N/A</v>
      </c>
      <c r="U37" s="82"/>
      <c r="V37" s="77" t="e">
        <f>_xlfn.XLOOKUP($E37,Tab_Def_Processes[Name(EN)],Tab_Def_Processes[Input_Flow_I_4],,0,)</f>
        <v>#N/A</v>
      </c>
      <c r="W37" s="49" t="e">
        <f>_xlfn.XLOOKUP($E37,Tab_Def_Processes[Name(EN)],Tab_Def_Processes[Flow_ID_I_4],,0,)</f>
        <v>#N/A</v>
      </c>
      <c r="X37" s="82"/>
      <c r="Y37" s="77" t="e">
        <f>_xlfn.XLOOKUP($E37,Tab_Def_Processes[Name(EN)],Tab_Def_Processes[Input_Flow_I_5],,0,)</f>
        <v>#N/A</v>
      </c>
      <c r="Z37" s="49" t="e">
        <f>_xlfn.XLOOKUP($E37,Tab_Def_Processes[Name(EN)],Tab_Def_Processes[Flow_ID_I_5],,0,)</f>
        <v>#N/A</v>
      </c>
      <c r="AA37" s="82"/>
      <c r="AB37" s="80">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82"/>
      <c r="AF37" s="49" t="e">
        <f>_xlfn.XLOOKUP($E37,Tab_Def_Processes[Name(EN)],Tab_Def_Processes[Output_Flow_O_2],,0,)</f>
        <v>#N/A</v>
      </c>
      <c r="AG37" s="49" t="e">
        <f>_xlfn.XLOOKUP($E37,Tab_Def_Processes[Name(EN)],Tab_Def_Processes[Flow_ID_O_2],,0,)</f>
        <v>#N/A</v>
      </c>
      <c r="AH37" s="82"/>
      <c r="AI37" s="49" t="e">
        <f>_xlfn.XLOOKUP($E37,Tab_Def_Processes[Name(EN)],Tab_Def_Processes[Output_Flow_O_3],,0,)</f>
        <v>#N/A</v>
      </c>
      <c r="AJ37" s="49" t="e">
        <f>_xlfn.XLOOKUP($E37,Tab_Def_Processes[Name(EN)],Tab_Def_Processes[Flow_ID_O_3],,0,)</f>
        <v>#N/A</v>
      </c>
      <c r="AK37" s="82"/>
      <c r="AL37" s="49" t="e">
        <f>_xlfn.XLOOKUP($E37,Tab_Def_Processes[Name(EN)],Tab_Def_Processes[Output_Flow_O_4],,0,)</f>
        <v>#N/A</v>
      </c>
      <c r="AM37" s="49" t="e">
        <f>_xlfn.XLOOKUP($E37,Tab_Def_Processes[Name(EN)],Tab_Def_Processes[Flow_ID_O_4],,0,)</f>
        <v>#N/A</v>
      </c>
      <c r="AN37" s="82"/>
      <c r="AO37" s="49" t="e">
        <f>_xlfn.XLOOKUP($E37,Tab_Def_Processes[Name(EN)],Tab_Def_Processes[Output_Flow_O_5],,0,)</f>
        <v>#N/A</v>
      </c>
      <c r="AP37" s="49" t="e">
        <f>_xlfn.XLOOKUP($E37,Tab_Def_Processes[Name(EN)],Tab_Def_Processes[Flow_ID_O_5],,0,)</f>
        <v>#N/A</v>
      </c>
      <c r="AQ37" s="82"/>
      <c r="AR37" s="49" t="e">
        <f>_xlfn.XLOOKUP($E37,Tab_Def_Processes[Name(EN)],Tab_Def_Processes[Output_Flow_O_6],,0,)</f>
        <v>#N/A</v>
      </c>
      <c r="AS37" s="49" t="e">
        <f>_xlfn.XLOOKUP($E37,Tab_Def_Processes[Name(EN)],Tab_Def_Processes[Flow_ID_O_6],,0,)</f>
        <v>#N/A</v>
      </c>
      <c r="AT37" s="82"/>
      <c r="AU37" s="80">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35">
      <c r="A38" s="97" t="b">
        <v>0</v>
      </c>
      <c r="B38" s="49">
        <f t="shared" si="2"/>
        <v>37</v>
      </c>
      <c r="C38" s="49" t="e">
        <f t="shared" si="3"/>
        <v>#N/A</v>
      </c>
      <c r="D38" s="121" t="e">
        <f>_xlfn.XLOOKUP($E38,Tab_Def_Processes[Name(EN)],Tab_Def_Processes[ID],,0,)</f>
        <v>#N/A</v>
      </c>
      <c r="E38" s="51" t="s">
        <v>231</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2"/>
      <c r="P38" s="77" t="e">
        <f>_xlfn.XLOOKUP($E38,Tab_Def_Processes[Name(EN)],Tab_Def_Processes[Input_Flow_I_2],,0,)</f>
        <v>#N/A</v>
      </c>
      <c r="Q38" s="49" t="e">
        <f>_xlfn.XLOOKUP($E38,Tab_Def_Processes[Name(EN)],Tab_Def_Processes[Flow_ID_I_2],,0,)</f>
        <v>#N/A</v>
      </c>
      <c r="R38" s="82"/>
      <c r="S38" s="77" t="e">
        <f>_xlfn.XLOOKUP($E38,Tab_Def_Processes[Name(EN)],Tab_Def_Processes[Input_Flow_I_3],,0,)</f>
        <v>#N/A</v>
      </c>
      <c r="T38" s="49" t="e">
        <f>_xlfn.XLOOKUP($E38,Tab_Def_Processes[Name(EN)],Tab_Def_Processes[Flow_ID_I_3],,0,)</f>
        <v>#N/A</v>
      </c>
      <c r="U38" s="82"/>
      <c r="V38" s="77" t="e">
        <f>_xlfn.XLOOKUP($E38,Tab_Def_Processes[Name(EN)],Tab_Def_Processes[Input_Flow_I_4],,0,)</f>
        <v>#N/A</v>
      </c>
      <c r="W38" s="49" t="e">
        <f>_xlfn.XLOOKUP($E38,Tab_Def_Processes[Name(EN)],Tab_Def_Processes[Flow_ID_I_4],,0,)</f>
        <v>#N/A</v>
      </c>
      <c r="X38" s="82"/>
      <c r="Y38" s="77" t="e">
        <f>_xlfn.XLOOKUP($E38,Tab_Def_Processes[Name(EN)],Tab_Def_Processes[Input_Flow_I_5],,0,)</f>
        <v>#N/A</v>
      </c>
      <c r="Z38" s="49" t="e">
        <f>_xlfn.XLOOKUP($E38,Tab_Def_Processes[Name(EN)],Tab_Def_Processes[Flow_ID_I_5],,0,)</f>
        <v>#N/A</v>
      </c>
      <c r="AA38" s="82"/>
      <c r="AB38" s="80">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82"/>
      <c r="AF38" s="49" t="e">
        <f>_xlfn.XLOOKUP($E38,Tab_Def_Processes[Name(EN)],Tab_Def_Processes[Output_Flow_O_2],,0,)</f>
        <v>#N/A</v>
      </c>
      <c r="AG38" s="49" t="e">
        <f>_xlfn.XLOOKUP($E38,Tab_Def_Processes[Name(EN)],Tab_Def_Processes[Flow_ID_O_2],,0,)</f>
        <v>#N/A</v>
      </c>
      <c r="AH38" s="82"/>
      <c r="AI38" s="49" t="e">
        <f>_xlfn.XLOOKUP($E38,Tab_Def_Processes[Name(EN)],Tab_Def_Processes[Output_Flow_O_3],,0,)</f>
        <v>#N/A</v>
      </c>
      <c r="AJ38" s="49" t="e">
        <f>_xlfn.XLOOKUP($E38,Tab_Def_Processes[Name(EN)],Tab_Def_Processes[Flow_ID_O_3],,0,)</f>
        <v>#N/A</v>
      </c>
      <c r="AK38" s="82"/>
      <c r="AL38" s="49" t="e">
        <f>_xlfn.XLOOKUP($E38,Tab_Def_Processes[Name(EN)],Tab_Def_Processes[Output_Flow_O_4],,0,)</f>
        <v>#N/A</v>
      </c>
      <c r="AM38" s="49" t="e">
        <f>_xlfn.XLOOKUP($E38,Tab_Def_Processes[Name(EN)],Tab_Def_Processes[Flow_ID_O_4],,0,)</f>
        <v>#N/A</v>
      </c>
      <c r="AN38" s="82"/>
      <c r="AO38" s="49" t="e">
        <f>_xlfn.XLOOKUP($E38,Tab_Def_Processes[Name(EN)],Tab_Def_Processes[Output_Flow_O_5],,0,)</f>
        <v>#N/A</v>
      </c>
      <c r="AP38" s="49" t="e">
        <f>_xlfn.XLOOKUP($E38,Tab_Def_Processes[Name(EN)],Tab_Def_Processes[Flow_ID_O_5],,0,)</f>
        <v>#N/A</v>
      </c>
      <c r="AQ38" s="82"/>
      <c r="AR38" s="49" t="e">
        <f>_xlfn.XLOOKUP($E38,Tab_Def_Processes[Name(EN)],Tab_Def_Processes[Output_Flow_O_6],,0,)</f>
        <v>#N/A</v>
      </c>
      <c r="AS38" s="49" t="e">
        <f>_xlfn.XLOOKUP($E38,Tab_Def_Processes[Name(EN)],Tab_Def_Processes[Flow_ID_O_6],,0,)</f>
        <v>#N/A</v>
      </c>
      <c r="AT38" s="82"/>
      <c r="AU38" s="80">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35">
      <c r="A39" s="97" t="b">
        <v>0</v>
      </c>
      <c r="B39" s="49">
        <f t="shared" si="2"/>
        <v>38</v>
      </c>
      <c r="C39" s="49" t="e">
        <f t="shared" si="3"/>
        <v>#N/A</v>
      </c>
      <c r="D39" s="121" t="e">
        <f>_xlfn.XLOOKUP($E39,Tab_Def_Processes[Name(EN)],Tab_Def_Processes[ID],,0,)</f>
        <v>#N/A</v>
      </c>
      <c r="E39" s="51" t="s">
        <v>231</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2"/>
      <c r="P39" s="77" t="e">
        <f>_xlfn.XLOOKUP($E39,Tab_Def_Processes[Name(EN)],Tab_Def_Processes[Input_Flow_I_2],,0,)</f>
        <v>#N/A</v>
      </c>
      <c r="Q39" s="49" t="e">
        <f>_xlfn.XLOOKUP($E39,Tab_Def_Processes[Name(EN)],Tab_Def_Processes[Flow_ID_I_2],,0,)</f>
        <v>#N/A</v>
      </c>
      <c r="R39" s="82"/>
      <c r="S39" s="77" t="e">
        <f>_xlfn.XLOOKUP($E39,Tab_Def_Processes[Name(EN)],Tab_Def_Processes[Input_Flow_I_3],,0,)</f>
        <v>#N/A</v>
      </c>
      <c r="T39" s="49" t="e">
        <f>_xlfn.XLOOKUP($E39,Tab_Def_Processes[Name(EN)],Tab_Def_Processes[Flow_ID_I_3],,0,)</f>
        <v>#N/A</v>
      </c>
      <c r="U39" s="82"/>
      <c r="V39" s="77" t="e">
        <f>_xlfn.XLOOKUP($E39,Tab_Def_Processes[Name(EN)],Tab_Def_Processes[Input_Flow_I_4],,0,)</f>
        <v>#N/A</v>
      </c>
      <c r="W39" s="49" t="e">
        <f>_xlfn.XLOOKUP($E39,Tab_Def_Processes[Name(EN)],Tab_Def_Processes[Flow_ID_I_4],,0,)</f>
        <v>#N/A</v>
      </c>
      <c r="X39" s="82"/>
      <c r="Y39" s="77" t="e">
        <f>_xlfn.XLOOKUP($E39,Tab_Def_Processes[Name(EN)],Tab_Def_Processes[Input_Flow_I_5],,0,)</f>
        <v>#N/A</v>
      </c>
      <c r="Z39" s="49" t="e">
        <f>_xlfn.XLOOKUP($E39,Tab_Def_Processes[Name(EN)],Tab_Def_Processes[Flow_ID_I_5],,0,)</f>
        <v>#N/A</v>
      </c>
      <c r="AA39" s="82"/>
      <c r="AB39" s="80">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82"/>
      <c r="AF39" s="49" t="e">
        <f>_xlfn.XLOOKUP($E39,Tab_Def_Processes[Name(EN)],Tab_Def_Processes[Output_Flow_O_2],,0,)</f>
        <v>#N/A</v>
      </c>
      <c r="AG39" s="49" t="e">
        <f>_xlfn.XLOOKUP($E39,Tab_Def_Processes[Name(EN)],Tab_Def_Processes[Flow_ID_O_2],,0,)</f>
        <v>#N/A</v>
      </c>
      <c r="AH39" s="82"/>
      <c r="AI39" s="49" t="e">
        <f>_xlfn.XLOOKUP($E39,Tab_Def_Processes[Name(EN)],Tab_Def_Processes[Output_Flow_O_3],,0,)</f>
        <v>#N/A</v>
      </c>
      <c r="AJ39" s="49" t="e">
        <f>_xlfn.XLOOKUP($E39,Tab_Def_Processes[Name(EN)],Tab_Def_Processes[Flow_ID_O_3],,0,)</f>
        <v>#N/A</v>
      </c>
      <c r="AK39" s="82"/>
      <c r="AL39" s="49" t="e">
        <f>_xlfn.XLOOKUP($E39,Tab_Def_Processes[Name(EN)],Tab_Def_Processes[Output_Flow_O_4],,0,)</f>
        <v>#N/A</v>
      </c>
      <c r="AM39" s="49" t="e">
        <f>_xlfn.XLOOKUP($E39,Tab_Def_Processes[Name(EN)],Tab_Def_Processes[Flow_ID_O_4],,0,)</f>
        <v>#N/A</v>
      </c>
      <c r="AN39" s="82"/>
      <c r="AO39" s="49" t="e">
        <f>_xlfn.XLOOKUP($E39,Tab_Def_Processes[Name(EN)],Tab_Def_Processes[Output_Flow_O_5],,0,)</f>
        <v>#N/A</v>
      </c>
      <c r="AP39" s="49" t="e">
        <f>_xlfn.XLOOKUP($E39,Tab_Def_Processes[Name(EN)],Tab_Def_Processes[Flow_ID_O_5],,0,)</f>
        <v>#N/A</v>
      </c>
      <c r="AQ39" s="82"/>
      <c r="AR39" s="49" t="e">
        <f>_xlfn.XLOOKUP($E39,Tab_Def_Processes[Name(EN)],Tab_Def_Processes[Output_Flow_O_6],,0,)</f>
        <v>#N/A</v>
      </c>
      <c r="AS39" s="49" t="e">
        <f>_xlfn.XLOOKUP($E39,Tab_Def_Processes[Name(EN)],Tab_Def_Processes[Flow_ID_O_6],,0,)</f>
        <v>#N/A</v>
      </c>
      <c r="AT39" s="82"/>
      <c r="AU39" s="80">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35">
      <c r="A40" s="97" t="b">
        <v>0</v>
      </c>
      <c r="B40" s="49">
        <f t="shared" si="2"/>
        <v>39</v>
      </c>
      <c r="C40" s="49" t="e">
        <f t="shared" si="3"/>
        <v>#N/A</v>
      </c>
      <c r="D40" s="121" t="e">
        <f>_xlfn.XLOOKUP($E40,Tab_Def_Processes[Name(EN)],Tab_Def_Processes[ID],,0,)</f>
        <v>#N/A</v>
      </c>
      <c r="E40" s="51" t="s">
        <v>231</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2"/>
      <c r="P40" s="77" t="e">
        <f>_xlfn.XLOOKUP($E40,Tab_Def_Processes[Name(EN)],Tab_Def_Processes[Input_Flow_I_2],,0,)</f>
        <v>#N/A</v>
      </c>
      <c r="Q40" s="49" t="e">
        <f>_xlfn.XLOOKUP($E40,Tab_Def_Processes[Name(EN)],Tab_Def_Processes[Flow_ID_I_2],,0,)</f>
        <v>#N/A</v>
      </c>
      <c r="R40" s="82"/>
      <c r="S40" s="77" t="e">
        <f>_xlfn.XLOOKUP($E40,Tab_Def_Processes[Name(EN)],Tab_Def_Processes[Input_Flow_I_3],,0,)</f>
        <v>#N/A</v>
      </c>
      <c r="T40" s="49" t="e">
        <f>_xlfn.XLOOKUP($E40,Tab_Def_Processes[Name(EN)],Tab_Def_Processes[Flow_ID_I_3],,0,)</f>
        <v>#N/A</v>
      </c>
      <c r="U40" s="82"/>
      <c r="V40" s="77" t="e">
        <f>_xlfn.XLOOKUP($E40,Tab_Def_Processes[Name(EN)],Tab_Def_Processes[Input_Flow_I_4],,0,)</f>
        <v>#N/A</v>
      </c>
      <c r="W40" s="49" t="e">
        <f>_xlfn.XLOOKUP($E40,Tab_Def_Processes[Name(EN)],Tab_Def_Processes[Flow_ID_I_4],,0,)</f>
        <v>#N/A</v>
      </c>
      <c r="X40" s="82"/>
      <c r="Y40" s="77" t="e">
        <f>_xlfn.XLOOKUP($E40,Tab_Def_Processes[Name(EN)],Tab_Def_Processes[Input_Flow_I_5],,0,)</f>
        <v>#N/A</v>
      </c>
      <c r="Z40" s="49" t="e">
        <f>_xlfn.XLOOKUP($E40,Tab_Def_Processes[Name(EN)],Tab_Def_Processes[Flow_ID_I_5],,0,)</f>
        <v>#N/A</v>
      </c>
      <c r="AA40" s="82"/>
      <c r="AB40" s="80">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82"/>
      <c r="AF40" s="49" t="e">
        <f>_xlfn.XLOOKUP($E40,Tab_Def_Processes[Name(EN)],Tab_Def_Processes[Output_Flow_O_2],,0,)</f>
        <v>#N/A</v>
      </c>
      <c r="AG40" s="49" t="e">
        <f>_xlfn.XLOOKUP($E40,Tab_Def_Processes[Name(EN)],Tab_Def_Processes[Flow_ID_O_2],,0,)</f>
        <v>#N/A</v>
      </c>
      <c r="AH40" s="82"/>
      <c r="AI40" s="49" t="e">
        <f>_xlfn.XLOOKUP($E40,Tab_Def_Processes[Name(EN)],Tab_Def_Processes[Output_Flow_O_3],,0,)</f>
        <v>#N/A</v>
      </c>
      <c r="AJ40" s="49" t="e">
        <f>_xlfn.XLOOKUP($E40,Tab_Def_Processes[Name(EN)],Tab_Def_Processes[Flow_ID_O_3],,0,)</f>
        <v>#N/A</v>
      </c>
      <c r="AK40" s="82"/>
      <c r="AL40" s="49" t="e">
        <f>_xlfn.XLOOKUP($E40,Tab_Def_Processes[Name(EN)],Tab_Def_Processes[Output_Flow_O_4],,0,)</f>
        <v>#N/A</v>
      </c>
      <c r="AM40" s="49" t="e">
        <f>_xlfn.XLOOKUP($E40,Tab_Def_Processes[Name(EN)],Tab_Def_Processes[Flow_ID_O_4],,0,)</f>
        <v>#N/A</v>
      </c>
      <c r="AN40" s="82"/>
      <c r="AO40" s="49" t="e">
        <f>_xlfn.XLOOKUP($E40,Tab_Def_Processes[Name(EN)],Tab_Def_Processes[Output_Flow_O_5],,0,)</f>
        <v>#N/A</v>
      </c>
      <c r="AP40" s="49" t="e">
        <f>_xlfn.XLOOKUP($E40,Tab_Def_Processes[Name(EN)],Tab_Def_Processes[Flow_ID_O_5],,0,)</f>
        <v>#N/A</v>
      </c>
      <c r="AQ40" s="82"/>
      <c r="AR40" s="49" t="e">
        <f>_xlfn.XLOOKUP($E40,Tab_Def_Processes[Name(EN)],Tab_Def_Processes[Output_Flow_O_6],,0,)</f>
        <v>#N/A</v>
      </c>
      <c r="AS40" s="49" t="e">
        <f>_xlfn.XLOOKUP($E40,Tab_Def_Processes[Name(EN)],Tab_Def_Processes[Flow_ID_O_6],,0,)</f>
        <v>#N/A</v>
      </c>
      <c r="AT40" s="82"/>
      <c r="AU40" s="80">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35">
      <c r="A41" s="97" t="b">
        <v>0</v>
      </c>
      <c r="B41" s="49">
        <f t="shared" si="2"/>
        <v>40</v>
      </c>
      <c r="C41" s="49" t="e">
        <f t="shared" si="3"/>
        <v>#N/A</v>
      </c>
      <c r="D41" s="121" t="e">
        <f>_xlfn.XLOOKUP($E41,Tab_Def_Processes[Name(EN)],Tab_Def_Processes[ID],,0,)</f>
        <v>#N/A</v>
      </c>
      <c r="E41" s="51" t="s">
        <v>231</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2"/>
      <c r="P41" s="77" t="e">
        <f>_xlfn.XLOOKUP($E41,Tab_Def_Processes[Name(EN)],Tab_Def_Processes[Input_Flow_I_2],,0,)</f>
        <v>#N/A</v>
      </c>
      <c r="Q41" s="49" t="e">
        <f>_xlfn.XLOOKUP($E41,Tab_Def_Processes[Name(EN)],Tab_Def_Processes[Flow_ID_I_2],,0,)</f>
        <v>#N/A</v>
      </c>
      <c r="R41" s="82"/>
      <c r="S41" s="77" t="e">
        <f>_xlfn.XLOOKUP($E41,Tab_Def_Processes[Name(EN)],Tab_Def_Processes[Input_Flow_I_3],,0,)</f>
        <v>#N/A</v>
      </c>
      <c r="T41" s="49" t="e">
        <f>_xlfn.XLOOKUP($E41,Tab_Def_Processes[Name(EN)],Tab_Def_Processes[Flow_ID_I_3],,0,)</f>
        <v>#N/A</v>
      </c>
      <c r="U41" s="82"/>
      <c r="V41" s="77" t="e">
        <f>_xlfn.XLOOKUP($E41,Tab_Def_Processes[Name(EN)],Tab_Def_Processes[Input_Flow_I_4],,0,)</f>
        <v>#N/A</v>
      </c>
      <c r="W41" s="49" t="e">
        <f>_xlfn.XLOOKUP($E41,Tab_Def_Processes[Name(EN)],Tab_Def_Processes[Flow_ID_I_4],,0,)</f>
        <v>#N/A</v>
      </c>
      <c r="X41" s="82"/>
      <c r="Y41" s="77" t="e">
        <f>_xlfn.XLOOKUP($E41,Tab_Def_Processes[Name(EN)],Tab_Def_Processes[Input_Flow_I_5],,0,)</f>
        <v>#N/A</v>
      </c>
      <c r="Z41" s="49" t="e">
        <f>_xlfn.XLOOKUP($E41,Tab_Def_Processes[Name(EN)],Tab_Def_Processes[Flow_ID_I_5],,0,)</f>
        <v>#N/A</v>
      </c>
      <c r="AA41" s="82"/>
      <c r="AB41" s="80">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82"/>
      <c r="AF41" s="49" t="e">
        <f>_xlfn.XLOOKUP($E41,Tab_Def_Processes[Name(EN)],Tab_Def_Processes[Output_Flow_O_2],,0,)</f>
        <v>#N/A</v>
      </c>
      <c r="AG41" s="49" t="e">
        <f>_xlfn.XLOOKUP($E41,Tab_Def_Processes[Name(EN)],Tab_Def_Processes[Flow_ID_O_2],,0,)</f>
        <v>#N/A</v>
      </c>
      <c r="AH41" s="82"/>
      <c r="AI41" s="49" t="e">
        <f>_xlfn.XLOOKUP($E41,Tab_Def_Processes[Name(EN)],Tab_Def_Processes[Output_Flow_O_3],,0,)</f>
        <v>#N/A</v>
      </c>
      <c r="AJ41" s="49" t="e">
        <f>_xlfn.XLOOKUP($E41,Tab_Def_Processes[Name(EN)],Tab_Def_Processes[Flow_ID_O_3],,0,)</f>
        <v>#N/A</v>
      </c>
      <c r="AK41" s="82"/>
      <c r="AL41" s="49" t="e">
        <f>_xlfn.XLOOKUP($E41,Tab_Def_Processes[Name(EN)],Tab_Def_Processes[Output_Flow_O_4],,0,)</f>
        <v>#N/A</v>
      </c>
      <c r="AM41" s="49" t="e">
        <f>_xlfn.XLOOKUP($E41,Tab_Def_Processes[Name(EN)],Tab_Def_Processes[Flow_ID_O_4],,0,)</f>
        <v>#N/A</v>
      </c>
      <c r="AN41" s="82"/>
      <c r="AO41" s="49" t="e">
        <f>_xlfn.XLOOKUP($E41,Tab_Def_Processes[Name(EN)],Tab_Def_Processes[Output_Flow_O_5],,0,)</f>
        <v>#N/A</v>
      </c>
      <c r="AP41" s="49" t="e">
        <f>_xlfn.XLOOKUP($E41,Tab_Def_Processes[Name(EN)],Tab_Def_Processes[Flow_ID_O_5],,0,)</f>
        <v>#N/A</v>
      </c>
      <c r="AQ41" s="82"/>
      <c r="AR41" s="49" t="e">
        <f>_xlfn.XLOOKUP($E41,Tab_Def_Processes[Name(EN)],Tab_Def_Processes[Output_Flow_O_6],,0,)</f>
        <v>#N/A</v>
      </c>
      <c r="AS41" s="49" t="e">
        <f>_xlfn.XLOOKUP($E41,Tab_Def_Processes[Name(EN)],Tab_Def_Processes[Flow_ID_O_6],,0,)</f>
        <v>#N/A</v>
      </c>
      <c r="AT41" s="82"/>
      <c r="AU41" s="80">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35">
      <c r="A42" s="97" t="b">
        <v>0</v>
      </c>
      <c r="B42" s="49">
        <f t="shared" si="2"/>
        <v>41</v>
      </c>
      <c r="C42" s="49" t="e">
        <f t="shared" si="3"/>
        <v>#N/A</v>
      </c>
      <c r="D42" s="121" t="e">
        <f>_xlfn.XLOOKUP($E42,Tab_Def_Processes[Name(EN)],Tab_Def_Processes[ID],,0,)</f>
        <v>#N/A</v>
      </c>
      <c r="E42" s="51" t="s">
        <v>231</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2"/>
      <c r="P42" s="77" t="e">
        <f>_xlfn.XLOOKUP($E42,Tab_Def_Processes[Name(EN)],Tab_Def_Processes[Input_Flow_I_2],,0,)</f>
        <v>#N/A</v>
      </c>
      <c r="Q42" s="49" t="e">
        <f>_xlfn.XLOOKUP($E42,Tab_Def_Processes[Name(EN)],Tab_Def_Processes[Flow_ID_I_2],,0,)</f>
        <v>#N/A</v>
      </c>
      <c r="R42" s="82"/>
      <c r="S42" s="77" t="e">
        <f>_xlfn.XLOOKUP($E42,Tab_Def_Processes[Name(EN)],Tab_Def_Processes[Input_Flow_I_3],,0,)</f>
        <v>#N/A</v>
      </c>
      <c r="T42" s="49" t="e">
        <f>_xlfn.XLOOKUP($E42,Tab_Def_Processes[Name(EN)],Tab_Def_Processes[Flow_ID_I_3],,0,)</f>
        <v>#N/A</v>
      </c>
      <c r="U42" s="82"/>
      <c r="V42" s="77" t="e">
        <f>_xlfn.XLOOKUP($E42,Tab_Def_Processes[Name(EN)],Tab_Def_Processes[Input_Flow_I_4],,0,)</f>
        <v>#N/A</v>
      </c>
      <c r="W42" s="49" t="e">
        <f>_xlfn.XLOOKUP($E42,Tab_Def_Processes[Name(EN)],Tab_Def_Processes[Flow_ID_I_4],,0,)</f>
        <v>#N/A</v>
      </c>
      <c r="X42" s="82"/>
      <c r="Y42" s="77" t="e">
        <f>_xlfn.XLOOKUP($E42,Tab_Def_Processes[Name(EN)],Tab_Def_Processes[Input_Flow_I_5],,0,)</f>
        <v>#N/A</v>
      </c>
      <c r="Z42" s="49" t="e">
        <f>_xlfn.XLOOKUP($E42,Tab_Def_Processes[Name(EN)],Tab_Def_Processes[Flow_ID_I_5],,0,)</f>
        <v>#N/A</v>
      </c>
      <c r="AA42" s="82"/>
      <c r="AB42" s="80">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82"/>
      <c r="AF42" s="49" t="e">
        <f>_xlfn.XLOOKUP($E42,Tab_Def_Processes[Name(EN)],Tab_Def_Processes[Output_Flow_O_2],,0,)</f>
        <v>#N/A</v>
      </c>
      <c r="AG42" s="49" t="e">
        <f>_xlfn.XLOOKUP($E42,Tab_Def_Processes[Name(EN)],Tab_Def_Processes[Flow_ID_O_2],,0,)</f>
        <v>#N/A</v>
      </c>
      <c r="AH42" s="82"/>
      <c r="AI42" s="49" t="e">
        <f>_xlfn.XLOOKUP($E42,Tab_Def_Processes[Name(EN)],Tab_Def_Processes[Output_Flow_O_3],,0,)</f>
        <v>#N/A</v>
      </c>
      <c r="AJ42" s="49" t="e">
        <f>_xlfn.XLOOKUP($E42,Tab_Def_Processes[Name(EN)],Tab_Def_Processes[Flow_ID_O_3],,0,)</f>
        <v>#N/A</v>
      </c>
      <c r="AK42" s="82"/>
      <c r="AL42" s="49" t="e">
        <f>_xlfn.XLOOKUP($E42,Tab_Def_Processes[Name(EN)],Tab_Def_Processes[Output_Flow_O_4],,0,)</f>
        <v>#N/A</v>
      </c>
      <c r="AM42" s="49" t="e">
        <f>_xlfn.XLOOKUP($E42,Tab_Def_Processes[Name(EN)],Tab_Def_Processes[Flow_ID_O_4],,0,)</f>
        <v>#N/A</v>
      </c>
      <c r="AN42" s="82"/>
      <c r="AO42" s="49" t="e">
        <f>_xlfn.XLOOKUP($E42,Tab_Def_Processes[Name(EN)],Tab_Def_Processes[Output_Flow_O_5],,0,)</f>
        <v>#N/A</v>
      </c>
      <c r="AP42" s="49" t="e">
        <f>_xlfn.XLOOKUP($E42,Tab_Def_Processes[Name(EN)],Tab_Def_Processes[Flow_ID_O_5],,0,)</f>
        <v>#N/A</v>
      </c>
      <c r="AQ42" s="82"/>
      <c r="AR42" s="49" t="e">
        <f>_xlfn.XLOOKUP($E42,Tab_Def_Processes[Name(EN)],Tab_Def_Processes[Output_Flow_O_6],,0,)</f>
        <v>#N/A</v>
      </c>
      <c r="AS42" s="49" t="e">
        <f>_xlfn.XLOOKUP($E42,Tab_Def_Processes[Name(EN)],Tab_Def_Processes[Flow_ID_O_6],,0,)</f>
        <v>#N/A</v>
      </c>
      <c r="AT42" s="82"/>
      <c r="AU42" s="80">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35">
      <c r="A43" s="97" t="b">
        <v>0</v>
      </c>
      <c r="B43" s="49">
        <f t="shared" si="2"/>
        <v>42</v>
      </c>
      <c r="C43" s="49" t="e">
        <f t="shared" si="3"/>
        <v>#N/A</v>
      </c>
      <c r="D43" s="121" t="e">
        <f>_xlfn.XLOOKUP($E43,Tab_Def_Processes[Name(EN)],Tab_Def_Processes[ID],,0,)</f>
        <v>#N/A</v>
      </c>
      <c r="E43" s="51" t="s">
        <v>231</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2"/>
      <c r="P43" s="77" t="e">
        <f>_xlfn.XLOOKUP($E43,Tab_Def_Processes[Name(EN)],Tab_Def_Processes[Input_Flow_I_2],,0,)</f>
        <v>#N/A</v>
      </c>
      <c r="Q43" s="49" t="e">
        <f>_xlfn.XLOOKUP($E43,Tab_Def_Processes[Name(EN)],Tab_Def_Processes[Flow_ID_I_2],,0,)</f>
        <v>#N/A</v>
      </c>
      <c r="R43" s="82"/>
      <c r="S43" s="77" t="e">
        <f>_xlfn.XLOOKUP($E43,Tab_Def_Processes[Name(EN)],Tab_Def_Processes[Input_Flow_I_3],,0,)</f>
        <v>#N/A</v>
      </c>
      <c r="T43" s="49" t="e">
        <f>_xlfn.XLOOKUP($E43,Tab_Def_Processes[Name(EN)],Tab_Def_Processes[Flow_ID_I_3],,0,)</f>
        <v>#N/A</v>
      </c>
      <c r="U43" s="82"/>
      <c r="V43" s="77" t="e">
        <f>_xlfn.XLOOKUP($E43,Tab_Def_Processes[Name(EN)],Tab_Def_Processes[Input_Flow_I_4],,0,)</f>
        <v>#N/A</v>
      </c>
      <c r="W43" s="49" t="e">
        <f>_xlfn.XLOOKUP($E43,Tab_Def_Processes[Name(EN)],Tab_Def_Processes[Flow_ID_I_4],,0,)</f>
        <v>#N/A</v>
      </c>
      <c r="X43" s="82"/>
      <c r="Y43" s="77" t="e">
        <f>_xlfn.XLOOKUP($E43,Tab_Def_Processes[Name(EN)],Tab_Def_Processes[Input_Flow_I_5],,0,)</f>
        <v>#N/A</v>
      </c>
      <c r="Z43" s="49" t="e">
        <f>_xlfn.XLOOKUP($E43,Tab_Def_Processes[Name(EN)],Tab_Def_Processes[Flow_ID_I_5],,0,)</f>
        <v>#N/A</v>
      </c>
      <c r="AA43" s="82"/>
      <c r="AB43" s="80">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82"/>
      <c r="AF43" s="49" t="e">
        <f>_xlfn.XLOOKUP($E43,Tab_Def_Processes[Name(EN)],Tab_Def_Processes[Output_Flow_O_2],,0,)</f>
        <v>#N/A</v>
      </c>
      <c r="AG43" s="49" t="e">
        <f>_xlfn.XLOOKUP($E43,Tab_Def_Processes[Name(EN)],Tab_Def_Processes[Flow_ID_O_2],,0,)</f>
        <v>#N/A</v>
      </c>
      <c r="AH43" s="82"/>
      <c r="AI43" s="49" t="e">
        <f>_xlfn.XLOOKUP($E43,Tab_Def_Processes[Name(EN)],Tab_Def_Processes[Output_Flow_O_3],,0,)</f>
        <v>#N/A</v>
      </c>
      <c r="AJ43" s="49" t="e">
        <f>_xlfn.XLOOKUP($E43,Tab_Def_Processes[Name(EN)],Tab_Def_Processes[Flow_ID_O_3],,0,)</f>
        <v>#N/A</v>
      </c>
      <c r="AK43" s="82"/>
      <c r="AL43" s="49" t="e">
        <f>_xlfn.XLOOKUP($E43,Tab_Def_Processes[Name(EN)],Tab_Def_Processes[Output_Flow_O_4],,0,)</f>
        <v>#N/A</v>
      </c>
      <c r="AM43" s="49" t="e">
        <f>_xlfn.XLOOKUP($E43,Tab_Def_Processes[Name(EN)],Tab_Def_Processes[Flow_ID_O_4],,0,)</f>
        <v>#N/A</v>
      </c>
      <c r="AN43" s="82"/>
      <c r="AO43" s="49" t="e">
        <f>_xlfn.XLOOKUP($E43,Tab_Def_Processes[Name(EN)],Tab_Def_Processes[Output_Flow_O_5],,0,)</f>
        <v>#N/A</v>
      </c>
      <c r="AP43" s="49" t="e">
        <f>_xlfn.XLOOKUP($E43,Tab_Def_Processes[Name(EN)],Tab_Def_Processes[Flow_ID_O_5],,0,)</f>
        <v>#N/A</v>
      </c>
      <c r="AQ43" s="82"/>
      <c r="AR43" s="49" t="e">
        <f>_xlfn.XLOOKUP($E43,Tab_Def_Processes[Name(EN)],Tab_Def_Processes[Output_Flow_O_6],,0,)</f>
        <v>#N/A</v>
      </c>
      <c r="AS43" s="49" t="e">
        <f>_xlfn.XLOOKUP($E43,Tab_Def_Processes[Name(EN)],Tab_Def_Processes[Flow_ID_O_6],,0,)</f>
        <v>#N/A</v>
      </c>
      <c r="AT43" s="82"/>
      <c r="AU43" s="80">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35">
      <c r="A44" s="97" t="b">
        <v>0</v>
      </c>
      <c r="B44" s="49">
        <f t="shared" si="2"/>
        <v>43</v>
      </c>
      <c r="C44" s="49" t="e">
        <f t="shared" si="3"/>
        <v>#N/A</v>
      </c>
      <c r="D44" s="121" t="e">
        <f>_xlfn.XLOOKUP($E44,Tab_Def_Processes[Name(EN)],Tab_Def_Processes[ID],,0,)</f>
        <v>#N/A</v>
      </c>
      <c r="E44" s="51" t="s">
        <v>231</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2"/>
      <c r="P44" s="77" t="e">
        <f>_xlfn.XLOOKUP($E44,Tab_Def_Processes[Name(EN)],Tab_Def_Processes[Input_Flow_I_2],,0,)</f>
        <v>#N/A</v>
      </c>
      <c r="Q44" s="49" t="e">
        <f>_xlfn.XLOOKUP($E44,Tab_Def_Processes[Name(EN)],Tab_Def_Processes[Flow_ID_I_2],,0,)</f>
        <v>#N/A</v>
      </c>
      <c r="R44" s="82"/>
      <c r="S44" s="77" t="e">
        <f>_xlfn.XLOOKUP($E44,Tab_Def_Processes[Name(EN)],Tab_Def_Processes[Input_Flow_I_3],,0,)</f>
        <v>#N/A</v>
      </c>
      <c r="T44" s="49" t="e">
        <f>_xlfn.XLOOKUP($E44,Tab_Def_Processes[Name(EN)],Tab_Def_Processes[Flow_ID_I_3],,0,)</f>
        <v>#N/A</v>
      </c>
      <c r="U44" s="82"/>
      <c r="V44" s="77" t="e">
        <f>_xlfn.XLOOKUP($E44,Tab_Def_Processes[Name(EN)],Tab_Def_Processes[Input_Flow_I_4],,0,)</f>
        <v>#N/A</v>
      </c>
      <c r="W44" s="49" t="e">
        <f>_xlfn.XLOOKUP($E44,Tab_Def_Processes[Name(EN)],Tab_Def_Processes[Flow_ID_I_4],,0,)</f>
        <v>#N/A</v>
      </c>
      <c r="X44" s="82"/>
      <c r="Y44" s="77" t="e">
        <f>_xlfn.XLOOKUP($E44,Tab_Def_Processes[Name(EN)],Tab_Def_Processes[Input_Flow_I_5],,0,)</f>
        <v>#N/A</v>
      </c>
      <c r="Z44" s="49" t="e">
        <f>_xlfn.XLOOKUP($E44,Tab_Def_Processes[Name(EN)],Tab_Def_Processes[Flow_ID_I_5],,0,)</f>
        <v>#N/A</v>
      </c>
      <c r="AA44" s="82"/>
      <c r="AB44" s="80">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82"/>
      <c r="AF44" s="49" t="e">
        <f>_xlfn.XLOOKUP($E44,Tab_Def_Processes[Name(EN)],Tab_Def_Processes[Output_Flow_O_2],,0,)</f>
        <v>#N/A</v>
      </c>
      <c r="AG44" s="49" t="e">
        <f>_xlfn.XLOOKUP($E44,Tab_Def_Processes[Name(EN)],Tab_Def_Processes[Flow_ID_O_2],,0,)</f>
        <v>#N/A</v>
      </c>
      <c r="AH44" s="82"/>
      <c r="AI44" s="49" t="e">
        <f>_xlfn.XLOOKUP($E44,Tab_Def_Processes[Name(EN)],Tab_Def_Processes[Output_Flow_O_3],,0,)</f>
        <v>#N/A</v>
      </c>
      <c r="AJ44" s="49" t="e">
        <f>_xlfn.XLOOKUP($E44,Tab_Def_Processes[Name(EN)],Tab_Def_Processes[Flow_ID_O_3],,0,)</f>
        <v>#N/A</v>
      </c>
      <c r="AK44" s="82"/>
      <c r="AL44" s="49" t="e">
        <f>_xlfn.XLOOKUP($E44,Tab_Def_Processes[Name(EN)],Tab_Def_Processes[Output_Flow_O_4],,0,)</f>
        <v>#N/A</v>
      </c>
      <c r="AM44" s="49" t="e">
        <f>_xlfn.XLOOKUP($E44,Tab_Def_Processes[Name(EN)],Tab_Def_Processes[Flow_ID_O_4],,0,)</f>
        <v>#N/A</v>
      </c>
      <c r="AN44" s="82"/>
      <c r="AO44" s="49" t="e">
        <f>_xlfn.XLOOKUP($E44,Tab_Def_Processes[Name(EN)],Tab_Def_Processes[Output_Flow_O_5],,0,)</f>
        <v>#N/A</v>
      </c>
      <c r="AP44" s="49" t="e">
        <f>_xlfn.XLOOKUP($E44,Tab_Def_Processes[Name(EN)],Tab_Def_Processes[Flow_ID_O_5],,0,)</f>
        <v>#N/A</v>
      </c>
      <c r="AQ44" s="82"/>
      <c r="AR44" s="49" t="e">
        <f>_xlfn.XLOOKUP($E44,Tab_Def_Processes[Name(EN)],Tab_Def_Processes[Output_Flow_O_6],,0,)</f>
        <v>#N/A</v>
      </c>
      <c r="AS44" s="49" t="e">
        <f>_xlfn.XLOOKUP($E44,Tab_Def_Processes[Name(EN)],Tab_Def_Processes[Flow_ID_O_6],,0,)</f>
        <v>#N/A</v>
      </c>
      <c r="AT44" s="82"/>
      <c r="AU44" s="80">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35">
      <c r="A45" s="97" t="b">
        <v>0</v>
      </c>
      <c r="B45" s="49">
        <f t="shared" si="2"/>
        <v>44</v>
      </c>
      <c r="C45" s="49" t="e">
        <f t="shared" si="3"/>
        <v>#N/A</v>
      </c>
      <c r="D45" s="121" t="e">
        <f>_xlfn.XLOOKUP($E45,Tab_Def_Processes[Name(EN)],Tab_Def_Processes[ID],,0,)</f>
        <v>#N/A</v>
      </c>
      <c r="E45" s="51" t="s">
        <v>231</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2"/>
      <c r="P45" s="77" t="e">
        <f>_xlfn.XLOOKUP($E45,Tab_Def_Processes[Name(EN)],Tab_Def_Processes[Input_Flow_I_2],,0,)</f>
        <v>#N/A</v>
      </c>
      <c r="Q45" s="49" t="e">
        <f>_xlfn.XLOOKUP($E45,Tab_Def_Processes[Name(EN)],Tab_Def_Processes[Flow_ID_I_2],,0,)</f>
        <v>#N/A</v>
      </c>
      <c r="R45" s="82"/>
      <c r="S45" s="77" t="e">
        <f>_xlfn.XLOOKUP($E45,Tab_Def_Processes[Name(EN)],Tab_Def_Processes[Input_Flow_I_3],,0,)</f>
        <v>#N/A</v>
      </c>
      <c r="T45" s="49" t="e">
        <f>_xlfn.XLOOKUP($E45,Tab_Def_Processes[Name(EN)],Tab_Def_Processes[Flow_ID_I_3],,0,)</f>
        <v>#N/A</v>
      </c>
      <c r="U45" s="82"/>
      <c r="V45" s="77" t="e">
        <f>_xlfn.XLOOKUP($E45,Tab_Def_Processes[Name(EN)],Tab_Def_Processes[Input_Flow_I_4],,0,)</f>
        <v>#N/A</v>
      </c>
      <c r="W45" s="49" t="e">
        <f>_xlfn.XLOOKUP($E45,Tab_Def_Processes[Name(EN)],Tab_Def_Processes[Flow_ID_I_4],,0,)</f>
        <v>#N/A</v>
      </c>
      <c r="X45" s="82"/>
      <c r="Y45" s="77" t="e">
        <f>_xlfn.XLOOKUP($E45,Tab_Def_Processes[Name(EN)],Tab_Def_Processes[Input_Flow_I_5],,0,)</f>
        <v>#N/A</v>
      </c>
      <c r="Z45" s="49" t="e">
        <f>_xlfn.XLOOKUP($E45,Tab_Def_Processes[Name(EN)],Tab_Def_Processes[Flow_ID_I_5],,0,)</f>
        <v>#N/A</v>
      </c>
      <c r="AA45" s="82"/>
      <c r="AB45" s="80">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82"/>
      <c r="AF45" s="49" t="e">
        <f>_xlfn.XLOOKUP($E45,Tab_Def_Processes[Name(EN)],Tab_Def_Processes[Output_Flow_O_2],,0,)</f>
        <v>#N/A</v>
      </c>
      <c r="AG45" s="49" t="e">
        <f>_xlfn.XLOOKUP($E45,Tab_Def_Processes[Name(EN)],Tab_Def_Processes[Flow_ID_O_2],,0,)</f>
        <v>#N/A</v>
      </c>
      <c r="AH45" s="82"/>
      <c r="AI45" s="49" t="e">
        <f>_xlfn.XLOOKUP($E45,Tab_Def_Processes[Name(EN)],Tab_Def_Processes[Output_Flow_O_3],,0,)</f>
        <v>#N/A</v>
      </c>
      <c r="AJ45" s="49" t="e">
        <f>_xlfn.XLOOKUP($E45,Tab_Def_Processes[Name(EN)],Tab_Def_Processes[Flow_ID_O_3],,0,)</f>
        <v>#N/A</v>
      </c>
      <c r="AK45" s="82"/>
      <c r="AL45" s="49" t="e">
        <f>_xlfn.XLOOKUP($E45,Tab_Def_Processes[Name(EN)],Tab_Def_Processes[Output_Flow_O_4],,0,)</f>
        <v>#N/A</v>
      </c>
      <c r="AM45" s="49" t="e">
        <f>_xlfn.XLOOKUP($E45,Tab_Def_Processes[Name(EN)],Tab_Def_Processes[Flow_ID_O_4],,0,)</f>
        <v>#N/A</v>
      </c>
      <c r="AN45" s="82"/>
      <c r="AO45" s="49" t="e">
        <f>_xlfn.XLOOKUP($E45,Tab_Def_Processes[Name(EN)],Tab_Def_Processes[Output_Flow_O_5],,0,)</f>
        <v>#N/A</v>
      </c>
      <c r="AP45" s="49" t="e">
        <f>_xlfn.XLOOKUP($E45,Tab_Def_Processes[Name(EN)],Tab_Def_Processes[Flow_ID_O_5],,0,)</f>
        <v>#N/A</v>
      </c>
      <c r="AQ45" s="82"/>
      <c r="AR45" s="49" t="e">
        <f>_xlfn.XLOOKUP($E45,Tab_Def_Processes[Name(EN)],Tab_Def_Processes[Output_Flow_O_6],,0,)</f>
        <v>#N/A</v>
      </c>
      <c r="AS45" s="49" t="e">
        <f>_xlfn.XLOOKUP($E45,Tab_Def_Processes[Name(EN)],Tab_Def_Processes[Flow_ID_O_6],,0,)</f>
        <v>#N/A</v>
      </c>
      <c r="AT45" s="82"/>
      <c r="AU45" s="80">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35">
      <c r="A46" s="97" t="b">
        <v>0</v>
      </c>
      <c r="B46" s="49">
        <f t="shared" si="2"/>
        <v>45</v>
      </c>
      <c r="C46" s="49" t="e">
        <f t="shared" si="3"/>
        <v>#N/A</v>
      </c>
      <c r="D46" s="121" t="e">
        <f>_xlfn.XLOOKUP($E46,Tab_Def_Processes[Name(EN)],Tab_Def_Processes[ID],,0,)</f>
        <v>#N/A</v>
      </c>
      <c r="E46" s="51" t="s">
        <v>231</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2"/>
      <c r="P46" s="77" t="e">
        <f>_xlfn.XLOOKUP($E46,Tab_Def_Processes[Name(EN)],Tab_Def_Processes[Input_Flow_I_2],,0,)</f>
        <v>#N/A</v>
      </c>
      <c r="Q46" s="49" t="e">
        <f>_xlfn.XLOOKUP($E46,Tab_Def_Processes[Name(EN)],Tab_Def_Processes[Flow_ID_I_2],,0,)</f>
        <v>#N/A</v>
      </c>
      <c r="R46" s="82"/>
      <c r="S46" s="77" t="e">
        <f>_xlfn.XLOOKUP($E46,Tab_Def_Processes[Name(EN)],Tab_Def_Processes[Input_Flow_I_3],,0,)</f>
        <v>#N/A</v>
      </c>
      <c r="T46" s="49" t="e">
        <f>_xlfn.XLOOKUP($E46,Tab_Def_Processes[Name(EN)],Tab_Def_Processes[Flow_ID_I_3],,0,)</f>
        <v>#N/A</v>
      </c>
      <c r="U46" s="82"/>
      <c r="V46" s="77" t="e">
        <f>_xlfn.XLOOKUP($E46,Tab_Def_Processes[Name(EN)],Tab_Def_Processes[Input_Flow_I_4],,0,)</f>
        <v>#N/A</v>
      </c>
      <c r="W46" s="49" t="e">
        <f>_xlfn.XLOOKUP($E46,Tab_Def_Processes[Name(EN)],Tab_Def_Processes[Flow_ID_I_4],,0,)</f>
        <v>#N/A</v>
      </c>
      <c r="X46" s="82"/>
      <c r="Y46" s="77" t="e">
        <f>_xlfn.XLOOKUP($E46,Tab_Def_Processes[Name(EN)],Tab_Def_Processes[Input_Flow_I_5],,0,)</f>
        <v>#N/A</v>
      </c>
      <c r="Z46" s="49" t="e">
        <f>_xlfn.XLOOKUP($E46,Tab_Def_Processes[Name(EN)],Tab_Def_Processes[Flow_ID_I_5],,0,)</f>
        <v>#N/A</v>
      </c>
      <c r="AA46" s="82"/>
      <c r="AB46" s="80">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82"/>
      <c r="AF46" s="49" t="e">
        <f>_xlfn.XLOOKUP($E46,Tab_Def_Processes[Name(EN)],Tab_Def_Processes[Output_Flow_O_2],,0,)</f>
        <v>#N/A</v>
      </c>
      <c r="AG46" s="49" t="e">
        <f>_xlfn.XLOOKUP($E46,Tab_Def_Processes[Name(EN)],Tab_Def_Processes[Flow_ID_O_2],,0,)</f>
        <v>#N/A</v>
      </c>
      <c r="AH46" s="82"/>
      <c r="AI46" s="49" t="e">
        <f>_xlfn.XLOOKUP($E46,Tab_Def_Processes[Name(EN)],Tab_Def_Processes[Output_Flow_O_3],,0,)</f>
        <v>#N/A</v>
      </c>
      <c r="AJ46" s="49" t="e">
        <f>_xlfn.XLOOKUP($E46,Tab_Def_Processes[Name(EN)],Tab_Def_Processes[Flow_ID_O_3],,0,)</f>
        <v>#N/A</v>
      </c>
      <c r="AK46" s="82"/>
      <c r="AL46" s="49" t="e">
        <f>_xlfn.XLOOKUP($E46,Tab_Def_Processes[Name(EN)],Tab_Def_Processes[Output_Flow_O_4],,0,)</f>
        <v>#N/A</v>
      </c>
      <c r="AM46" s="49" t="e">
        <f>_xlfn.XLOOKUP($E46,Tab_Def_Processes[Name(EN)],Tab_Def_Processes[Flow_ID_O_4],,0,)</f>
        <v>#N/A</v>
      </c>
      <c r="AN46" s="82"/>
      <c r="AO46" s="49" t="e">
        <f>_xlfn.XLOOKUP($E46,Tab_Def_Processes[Name(EN)],Tab_Def_Processes[Output_Flow_O_5],,0,)</f>
        <v>#N/A</v>
      </c>
      <c r="AP46" s="49" t="e">
        <f>_xlfn.XLOOKUP($E46,Tab_Def_Processes[Name(EN)],Tab_Def_Processes[Flow_ID_O_5],,0,)</f>
        <v>#N/A</v>
      </c>
      <c r="AQ46" s="82"/>
      <c r="AR46" s="49" t="e">
        <f>_xlfn.XLOOKUP($E46,Tab_Def_Processes[Name(EN)],Tab_Def_Processes[Output_Flow_O_6],,0,)</f>
        <v>#N/A</v>
      </c>
      <c r="AS46" s="49" t="e">
        <f>_xlfn.XLOOKUP($E46,Tab_Def_Processes[Name(EN)],Tab_Def_Processes[Flow_ID_O_6],,0,)</f>
        <v>#N/A</v>
      </c>
      <c r="AT46" s="82"/>
      <c r="AU46" s="80">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35">
      <c r="A47" s="97" t="b">
        <v>0</v>
      </c>
      <c r="B47" s="49">
        <f t="shared" si="2"/>
        <v>46</v>
      </c>
      <c r="C47" s="49" t="e">
        <f t="shared" si="3"/>
        <v>#N/A</v>
      </c>
      <c r="D47" s="121" t="e">
        <f>_xlfn.XLOOKUP($E47,Tab_Def_Processes[Name(EN)],Tab_Def_Processes[ID],,0,)</f>
        <v>#N/A</v>
      </c>
      <c r="E47" s="51" t="s">
        <v>231</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2"/>
      <c r="P47" s="77" t="e">
        <f>_xlfn.XLOOKUP($E47,Tab_Def_Processes[Name(EN)],Tab_Def_Processes[Input_Flow_I_2],,0,)</f>
        <v>#N/A</v>
      </c>
      <c r="Q47" s="49" t="e">
        <f>_xlfn.XLOOKUP($E47,Tab_Def_Processes[Name(EN)],Tab_Def_Processes[Flow_ID_I_2],,0,)</f>
        <v>#N/A</v>
      </c>
      <c r="R47" s="82"/>
      <c r="S47" s="77" t="e">
        <f>_xlfn.XLOOKUP($E47,Tab_Def_Processes[Name(EN)],Tab_Def_Processes[Input_Flow_I_3],,0,)</f>
        <v>#N/A</v>
      </c>
      <c r="T47" s="49" t="e">
        <f>_xlfn.XLOOKUP($E47,Tab_Def_Processes[Name(EN)],Tab_Def_Processes[Flow_ID_I_3],,0,)</f>
        <v>#N/A</v>
      </c>
      <c r="U47" s="82"/>
      <c r="V47" s="77" t="e">
        <f>_xlfn.XLOOKUP($E47,Tab_Def_Processes[Name(EN)],Tab_Def_Processes[Input_Flow_I_4],,0,)</f>
        <v>#N/A</v>
      </c>
      <c r="W47" s="49" t="e">
        <f>_xlfn.XLOOKUP($E47,Tab_Def_Processes[Name(EN)],Tab_Def_Processes[Flow_ID_I_4],,0,)</f>
        <v>#N/A</v>
      </c>
      <c r="X47" s="82"/>
      <c r="Y47" s="77" t="e">
        <f>_xlfn.XLOOKUP($E47,Tab_Def_Processes[Name(EN)],Tab_Def_Processes[Input_Flow_I_5],,0,)</f>
        <v>#N/A</v>
      </c>
      <c r="Z47" s="49" t="e">
        <f>_xlfn.XLOOKUP($E47,Tab_Def_Processes[Name(EN)],Tab_Def_Processes[Flow_ID_I_5],,0,)</f>
        <v>#N/A</v>
      </c>
      <c r="AA47" s="82"/>
      <c r="AB47" s="80">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82"/>
      <c r="AF47" s="49" t="e">
        <f>_xlfn.XLOOKUP($E47,Tab_Def_Processes[Name(EN)],Tab_Def_Processes[Output_Flow_O_2],,0,)</f>
        <v>#N/A</v>
      </c>
      <c r="AG47" s="49" t="e">
        <f>_xlfn.XLOOKUP($E47,Tab_Def_Processes[Name(EN)],Tab_Def_Processes[Flow_ID_O_2],,0,)</f>
        <v>#N/A</v>
      </c>
      <c r="AH47" s="82"/>
      <c r="AI47" s="49" t="e">
        <f>_xlfn.XLOOKUP($E47,Tab_Def_Processes[Name(EN)],Tab_Def_Processes[Output_Flow_O_3],,0,)</f>
        <v>#N/A</v>
      </c>
      <c r="AJ47" s="49" t="e">
        <f>_xlfn.XLOOKUP($E47,Tab_Def_Processes[Name(EN)],Tab_Def_Processes[Flow_ID_O_3],,0,)</f>
        <v>#N/A</v>
      </c>
      <c r="AK47" s="82"/>
      <c r="AL47" s="49" t="e">
        <f>_xlfn.XLOOKUP($E47,Tab_Def_Processes[Name(EN)],Tab_Def_Processes[Output_Flow_O_4],,0,)</f>
        <v>#N/A</v>
      </c>
      <c r="AM47" s="49" t="e">
        <f>_xlfn.XLOOKUP($E47,Tab_Def_Processes[Name(EN)],Tab_Def_Processes[Flow_ID_O_4],,0,)</f>
        <v>#N/A</v>
      </c>
      <c r="AN47" s="82"/>
      <c r="AO47" s="49" t="e">
        <f>_xlfn.XLOOKUP($E47,Tab_Def_Processes[Name(EN)],Tab_Def_Processes[Output_Flow_O_5],,0,)</f>
        <v>#N/A</v>
      </c>
      <c r="AP47" s="49" t="e">
        <f>_xlfn.XLOOKUP($E47,Tab_Def_Processes[Name(EN)],Tab_Def_Processes[Flow_ID_O_5],,0,)</f>
        <v>#N/A</v>
      </c>
      <c r="AQ47" s="82"/>
      <c r="AR47" s="49" t="e">
        <f>_xlfn.XLOOKUP($E47,Tab_Def_Processes[Name(EN)],Tab_Def_Processes[Output_Flow_O_6],,0,)</f>
        <v>#N/A</v>
      </c>
      <c r="AS47" s="49" t="e">
        <f>_xlfn.XLOOKUP($E47,Tab_Def_Processes[Name(EN)],Tab_Def_Processes[Flow_ID_O_6],,0,)</f>
        <v>#N/A</v>
      </c>
      <c r="AT47" s="82"/>
      <c r="AU47" s="80">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35">
      <c r="A48" s="97" t="b">
        <v>0</v>
      </c>
      <c r="B48" s="49">
        <f t="shared" si="2"/>
        <v>47</v>
      </c>
      <c r="C48" s="49" t="e">
        <f t="shared" si="3"/>
        <v>#N/A</v>
      </c>
      <c r="D48" s="121" t="e">
        <f>_xlfn.XLOOKUP($E48,Tab_Def_Processes[Name(EN)],Tab_Def_Processes[ID],,0,)</f>
        <v>#N/A</v>
      </c>
      <c r="E48" s="51" t="s">
        <v>231</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2"/>
      <c r="P48" s="77" t="e">
        <f>_xlfn.XLOOKUP($E48,Tab_Def_Processes[Name(EN)],Tab_Def_Processes[Input_Flow_I_2],,0,)</f>
        <v>#N/A</v>
      </c>
      <c r="Q48" s="49" t="e">
        <f>_xlfn.XLOOKUP($E48,Tab_Def_Processes[Name(EN)],Tab_Def_Processes[Flow_ID_I_2],,0,)</f>
        <v>#N/A</v>
      </c>
      <c r="R48" s="82"/>
      <c r="S48" s="77" t="e">
        <f>_xlfn.XLOOKUP($E48,Tab_Def_Processes[Name(EN)],Tab_Def_Processes[Input_Flow_I_3],,0,)</f>
        <v>#N/A</v>
      </c>
      <c r="T48" s="49" t="e">
        <f>_xlfn.XLOOKUP($E48,Tab_Def_Processes[Name(EN)],Tab_Def_Processes[Flow_ID_I_3],,0,)</f>
        <v>#N/A</v>
      </c>
      <c r="U48" s="82"/>
      <c r="V48" s="77" t="e">
        <f>_xlfn.XLOOKUP($E48,Tab_Def_Processes[Name(EN)],Tab_Def_Processes[Input_Flow_I_4],,0,)</f>
        <v>#N/A</v>
      </c>
      <c r="W48" s="49" t="e">
        <f>_xlfn.XLOOKUP($E48,Tab_Def_Processes[Name(EN)],Tab_Def_Processes[Flow_ID_I_4],,0,)</f>
        <v>#N/A</v>
      </c>
      <c r="X48" s="82"/>
      <c r="Y48" s="77" t="e">
        <f>_xlfn.XLOOKUP($E48,Tab_Def_Processes[Name(EN)],Tab_Def_Processes[Input_Flow_I_5],,0,)</f>
        <v>#N/A</v>
      </c>
      <c r="Z48" s="49" t="e">
        <f>_xlfn.XLOOKUP($E48,Tab_Def_Processes[Name(EN)],Tab_Def_Processes[Flow_ID_I_5],,0,)</f>
        <v>#N/A</v>
      </c>
      <c r="AA48" s="82"/>
      <c r="AB48" s="80">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82"/>
      <c r="AF48" s="49" t="e">
        <f>_xlfn.XLOOKUP($E48,Tab_Def_Processes[Name(EN)],Tab_Def_Processes[Output_Flow_O_2],,0,)</f>
        <v>#N/A</v>
      </c>
      <c r="AG48" s="49" t="e">
        <f>_xlfn.XLOOKUP($E48,Tab_Def_Processes[Name(EN)],Tab_Def_Processes[Flow_ID_O_2],,0,)</f>
        <v>#N/A</v>
      </c>
      <c r="AH48" s="82"/>
      <c r="AI48" s="49" t="e">
        <f>_xlfn.XLOOKUP($E48,Tab_Def_Processes[Name(EN)],Tab_Def_Processes[Output_Flow_O_3],,0,)</f>
        <v>#N/A</v>
      </c>
      <c r="AJ48" s="49" t="e">
        <f>_xlfn.XLOOKUP($E48,Tab_Def_Processes[Name(EN)],Tab_Def_Processes[Flow_ID_O_3],,0,)</f>
        <v>#N/A</v>
      </c>
      <c r="AK48" s="82"/>
      <c r="AL48" s="49" t="e">
        <f>_xlfn.XLOOKUP($E48,Tab_Def_Processes[Name(EN)],Tab_Def_Processes[Output_Flow_O_4],,0,)</f>
        <v>#N/A</v>
      </c>
      <c r="AM48" s="49" t="e">
        <f>_xlfn.XLOOKUP($E48,Tab_Def_Processes[Name(EN)],Tab_Def_Processes[Flow_ID_O_4],,0,)</f>
        <v>#N/A</v>
      </c>
      <c r="AN48" s="82"/>
      <c r="AO48" s="49" t="e">
        <f>_xlfn.XLOOKUP($E48,Tab_Def_Processes[Name(EN)],Tab_Def_Processes[Output_Flow_O_5],,0,)</f>
        <v>#N/A</v>
      </c>
      <c r="AP48" s="49" t="e">
        <f>_xlfn.XLOOKUP($E48,Tab_Def_Processes[Name(EN)],Tab_Def_Processes[Flow_ID_O_5],,0,)</f>
        <v>#N/A</v>
      </c>
      <c r="AQ48" s="82"/>
      <c r="AR48" s="49" t="e">
        <f>_xlfn.XLOOKUP($E48,Tab_Def_Processes[Name(EN)],Tab_Def_Processes[Output_Flow_O_6],,0,)</f>
        <v>#N/A</v>
      </c>
      <c r="AS48" s="49" t="e">
        <f>_xlfn.XLOOKUP($E48,Tab_Def_Processes[Name(EN)],Tab_Def_Processes[Flow_ID_O_6],,0,)</f>
        <v>#N/A</v>
      </c>
      <c r="AT48" s="82"/>
      <c r="AU48" s="80">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35">
      <c r="A49" s="97" t="b">
        <v>0</v>
      </c>
      <c r="B49" s="49">
        <f t="shared" si="2"/>
        <v>48</v>
      </c>
      <c r="C49" s="49" t="e">
        <f t="shared" si="3"/>
        <v>#N/A</v>
      </c>
      <c r="D49" s="121" t="e">
        <f>_xlfn.XLOOKUP($E49,Tab_Def_Processes[Name(EN)],Tab_Def_Processes[ID],,0,)</f>
        <v>#N/A</v>
      </c>
      <c r="E49" s="51" t="s">
        <v>231</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2"/>
      <c r="P49" s="77" t="e">
        <f>_xlfn.XLOOKUP($E49,Tab_Def_Processes[Name(EN)],Tab_Def_Processes[Input_Flow_I_2],,0,)</f>
        <v>#N/A</v>
      </c>
      <c r="Q49" s="49" t="e">
        <f>_xlfn.XLOOKUP($E49,Tab_Def_Processes[Name(EN)],Tab_Def_Processes[Flow_ID_I_2],,0,)</f>
        <v>#N/A</v>
      </c>
      <c r="R49" s="82"/>
      <c r="S49" s="77" t="e">
        <f>_xlfn.XLOOKUP($E49,Tab_Def_Processes[Name(EN)],Tab_Def_Processes[Input_Flow_I_3],,0,)</f>
        <v>#N/A</v>
      </c>
      <c r="T49" s="49" t="e">
        <f>_xlfn.XLOOKUP($E49,Tab_Def_Processes[Name(EN)],Tab_Def_Processes[Flow_ID_I_3],,0,)</f>
        <v>#N/A</v>
      </c>
      <c r="U49" s="82"/>
      <c r="V49" s="77" t="e">
        <f>_xlfn.XLOOKUP($E49,Tab_Def_Processes[Name(EN)],Tab_Def_Processes[Input_Flow_I_4],,0,)</f>
        <v>#N/A</v>
      </c>
      <c r="W49" s="49" t="e">
        <f>_xlfn.XLOOKUP($E49,Tab_Def_Processes[Name(EN)],Tab_Def_Processes[Flow_ID_I_4],,0,)</f>
        <v>#N/A</v>
      </c>
      <c r="X49" s="82"/>
      <c r="Y49" s="77" t="e">
        <f>_xlfn.XLOOKUP($E49,Tab_Def_Processes[Name(EN)],Tab_Def_Processes[Input_Flow_I_5],,0,)</f>
        <v>#N/A</v>
      </c>
      <c r="Z49" s="49" t="e">
        <f>_xlfn.XLOOKUP($E49,Tab_Def_Processes[Name(EN)],Tab_Def_Processes[Flow_ID_I_5],,0,)</f>
        <v>#N/A</v>
      </c>
      <c r="AA49" s="82"/>
      <c r="AB49" s="80">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82"/>
      <c r="AF49" s="49" t="e">
        <f>_xlfn.XLOOKUP($E49,Tab_Def_Processes[Name(EN)],Tab_Def_Processes[Output_Flow_O_2],,0,)</f>
        <v>#N/A</v>
      </c>
      <c r="AG49" s="49" t="e">
        <f>_xlfn.XLOOKUP($E49,Tab_Def_Processes[Name(EN)],Tab_Def_Processes[Flow_ID_O_2],,0,)</f>
        <v>#N/A</v>
      </c>
      <c r="AH49" s="82"/>
      <c r="AI49" s="49" t="e">
        <f>_xlfn.XLOOKUP($E49,Tab_Def_Processes[Name(EN)],Tab_Def_Processes[Output_Flow_O_3],,0,)</f>
        <v>#N/A</v>
      </c>
      <c r="AJ49" s="49" t="e">
        <f>_xlfn.XLOOKUP($E49,Tab_Def_Processes[Name(EN)],Tab_Def_Processes[Flow_ID_O_3],,0,)</f>
        <v>#N/A</v>
      </c>
      <c r="AK49" s="82"/>
      <c r="AL49" s="49" t="e">
        <f>_xlfn.XLOOKUP($E49,Tab_Def_Processes[Name(EN)],Tab_Def_Processes[Output_Flow_O_4],,0,)</f>
        <v>#N/A</v>
      </c>
      <c r="AM49" s="49" t="e">
        <f>_xlfn.XLOOKUP($E49,Tab_Def_Processes[Name(EN)],Tab_Def_Processes[Flow_ID_O_4],,0,)</f>
        <v>#N/A</v>
      </c>
      <c r="AN49" s="82"/>
      <c r="AO49" s="49" t="e">
        <f>_xlfn.XLOOKUP($E49,Tab_Def_Processes[Name(EN)],Tab_Def_Processes[Output_Flow_O_5],,0,)</f>
        <v>#N/A</v>
      </c>
      <c r="AP49" s="49" t="e">
        <f>_xlfn.XLOOKUP($E49,Tab_Def_Processes[Name(EN)],Tab_Def_Processes[Flow_ID_O_5],,0,)</f>
        <v>#N/A</v>
      </c>
      <c r="AQ49" s="82"/>
      <c r="AR49" s="49" t="e">
        <f>_xlfn.XLOOKUP($E49,Tab_Def_Processes[Name(EN)],Tab_Def_Processes[Output_Flow_O_6],,0,)</f>
        <v>#N/A</v>
      </c>
      <c r="AS49" s="49" t="e">
        <f>_xlfn.XLOOKUP($E49,Tab_Def_Processes[Name(EN)],Tab_Def_Processes[Flow_ID_O_6],,0,)</f>
        <v>#N/A</v>
      </c>
      <c r="AT49" s="82"/>
      <c r="AU49" s="80">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35">
      <c r="A50" s="97" t="b">
        <v>0</v>
      </c>
      <c r="B50" s="49">
        <f t="shared" si="2"/>
        <v>49</v>
      </c>
      <c r="C50" s="49" t="e">
        <f t="shared" si="3"/>
        <v>#N/A</v>
      </c>
      <c r="D50" s="121" t="e">
        <f>_xlfn.XLOOKUP($E50,Tab_Def_Processes[Name(EN)],Tab_Def_Processes[ID],,0,)</f>
        <v>#N/A</v>
      </c>
      <c r="E50" s="51" t="s">
        <v>231</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2"/>
      <c r="P50" s="77" t="e">
        <f>_xlfn.XLOOKUP($E50,Tab_Def_Processes[Name(EN)],Tab_Def_Processes[Input_Flow_I_2],,0,)</f>
        <v>#N/A</v>
      </c>
      <c r="Q50" s="49" t="e">
        <f>_xlfn.XLOOKUP($E50,Tab_Def_Processes[Name(EN)],Tab_Def_Processes[Flow_ID_I_2],,0,)</f>
        <v>#N/A</v>
      </c>
      <c r="R50" s="82"/>
      <c r="S50" s="77" t="e">
        <f>_xlfn.XLOOKUP($E50,Tab_Def_Processes[Name(EN)],Tab_Def_Processes[Input_Flow_I_3],,0,)</f>
        <v>#N/A</v>
      </c>
      <c r="T50" s="49" t="e">
        <f>_xlfn.XLOOKUP($E50,Tab_Def_Processes[Name(EN)],Tab_Def_Processes[Flow_ID_I_3],,0,)</f>
        <v>#N/A</v>
      </c>
      <c r="U50" s="82"/>
      <c r="V50" s="77" t="e">
        <f>_xlfn.XLOOKUP($E50,Tab_Def_Processes[Name(EN)],Tab_Def_Processes[Input_Flow_I_4],,0,)</f>
        <v>#N/A</v>
      </c>
      <c r="W50" s="49" t="e">
        <f>_xlfn.XLOOKUP($E50,Tab_Def_Processes[Name(EN)],Tab_Def_Processes[Flow_ID_I_4],,0,)</f>
        <v>#N/A</v>
      </c>
      <c r="X50" s="82"/>
      <c r="Y50" s="77" t="e">
        <f>_xlfn.XLOOKUP($E50,Tab_Def_Processes[Name(EN)],Tab_Def_Processes[Input_Flow_I_5],,0,)</f>
        <v>#N/A</v>
      </c>
      <c r="Z50" s="49" t="e">
        <f>_xlfn.XLOOKUP($E50,Tab_Def_Processes[Name(EN)],Tab_Def_Processes[Flow_ID_I_5],,0,)</f>
        <v>#N/A</v>
      </c>
      <c r="AA50" s="82"/>
      <c r="AB50" s="80">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82"/>
      <c r="AF50" s="49" t="e">
        <f>_xlfn.XLOOKUP($E50,Tab_Def_Processes[Name(EN)],Tab_Def_Processes[Output_Flow_O_2],,0,)</f>
        <v>#N/A</v>
      </c>
      <c r="AG50" s="49" t="e">
        <f>_xlfn.XLOOKUP($E50,Tab_Def_Processes[Name(EN)],Tab_Def_Processes[Flow_ID_O_2],,0,)</f>
        <v>#N/A</v>
      </c>
      <c r="AH50" s="82"/>
      <c r="AI50" s="49" t="e">
        <f>_xlfn.XLOOKUP($E50,Tab_Def_Processes[Name(EN)],Tab_Def_Processes[Output_Flow_O_3],,0,)</f>
        <v>#N/A</v>
      </c>
      <c r="AJ50" s="49" t="e">
        <f>_xlfn.XLOOKUP($E50,Tab_Def_Processes[Name(EN)],Tab_Def_Processes[Flow_ID_O_3],,0,)</f>
        <v>#N/A</v>
      </c>
      <c r="AK50" s="82"/>
      <c r="AL50" s="49" t="e">
        <f>_xlfn.XLOOKUP($E50,Tab_Def_Processes[Name(EN)],Tab_Def_Processes[Output_Flow_O_4],,0,)</f>
        <v>#N/A</v>
      </c>
      <c r="AM50" s="49" t="e">
        <f>_xlfn.XLOOKUP($E50,Tab_Def_Processes[Name(EN)],Tab_Def_Processes[Flow_ID_O_4],,0,)</f>
        <v>#N/A</v>
      </c>
      <c r="AN50" s="82"/>
      <c r="AO50" s="49" t="e">
        <f>_xlfn.XLOOKUP($E50,Tab_Def_Processes[Name(EN)],Tab_Def_Processes[Output_Flow_O_5],,0,)</f>
        <v>#N/A</v>
      </c>
      <c r="AP50" s="49" t="e">
        <f>_xlfn.XLOOKUP($E50,Tab_Def_Processes[Name(EN)],Tab_Def_Processes[Flow_ID_O_5],,0,)</f>
        <v>#N/A</v>
      </c>
      <c r="AQ50" s="82"/>
      <c r="AR50" s="49" t="e">
        <f>_xlfn.XLOOKUP($E50,Tab_Def_Processes[Name(EN)],Tab_Def_Processes[Output_Flow_O_6],,0,)</f>
        <v>#N/A</v>
      </c>
      <c r="AS50" s="49" t="e">
        <f>_xlfn.XLOOKUP($E50,Tab_Def_Processes[Name(EN)],Tab_Def_Processes[Flow_ID_O_6],,0,)</f>
        <v>#N/A</v>
      </c>
      <c r="AT50" s="82"/>
      <c r="AU50" s="80">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 thickBot="1" x14ac:dyDescent="0.4">
      <c r="A51" s="97" t="b">
        <v>0</v>
      </c>
      <c r="B51" s="49">
        <f t="shared" si="2"/>
        <v>50</v>
      </c>
      <c r="C51" s="49" t="e">
        <f t="shared" si="3"/>
        <v>#N/A</v>
      </c>
      <c r="D51" s="121" t="e">
        <f>_xlfn.XLOOKUP($E51,Tab_Def_Processes[Name(EN)],Tab_Def_Processes[ID],,0,)</f>
        <v>#N/A</v>
      </c>
      <c r="E51" s="51" t="s">
        <v>231</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2"/>
      <c r="P51" s="78" t="e">
        <f>_xlfn.XLOOKUP($E51,Tab_Def_Processes[Name(EN)],Tab_Def_Processes[Input_Flow_I_2],,0,)</f>
        <v>#N/A</v>
      </c>
      <c r="Q51" s="63" t="e">
        <f>_xlfn.XLOOKUP($E51,Tab_Def_Processes[Name(EN)],Tab_Def_Processes[Flow_ID_I_2],,0,)</f>
        <v>#N/A</v>
      </c>
      <c r="R51" s="82"/>
      <c r="S51" s="78" t="e">
        <f>_xlfn.XLOOKUP($E51,Tab_Def_Processes[Name(EN)],Tab_Def_Processes[Input_Flow_I_3],,0,)</f>
        <v>#N/A</v>
      </c>
      <c r="T51" s="63" t="e">
        <f>_xlfn.XLOOKUP($E51,Tab_Def_Processes[Name(EN)],Tab_Def_Processes[Flow_ID_I_3],,0,)</f>
        <v>#N/A</v>
      </c>
      <c r="U51" s="82"/>
      <c r="V51" s="78" t="e">
        <f>_xlfn.XLOOKUP($E51,Tab_Def_Processes[Name(EN)],Tab_Def_Processes[Input_Flow_I_4],,0,)</f>
        <v>#N/A</v>
      </c>
      <c r="W51" s="63" t="e">
        <f>_xlfn.XLOOKUP($E51,Tab_Def_Processes[Name(EN)],Tab_Def_Processes[Flow_ID_I_4],,0,)</f>
        <v>#N/A</v>
      </c>
      <c r="X51" s="82"/>
      <c r="Y51" s="78" t="e">
        <f>_xlfn.XLOOKUP($E51,Tab_Def_Processes[Name(EN)],Tab_Def_Processes[Input_Flow_I_5],,0,)</f>
        <v>#N/A</v>
      </c>
      <c r="Z51" s="63" t="e">
        <f>_xlfn.XLOOKUP($E51,Tab_Def_Processes[Name(EN)],Tab_Def_Processes[Flow_ID_I_5],,0,)</f>
        <v>#N/A</v>
      </c>
      <c r="AA51" s="82"/>
      <c r="AB51" s="81">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82"/>
      <c r="AF51" s="63" t="e">
        <f>_xlfn.XLOOKUP($E51,Tab_Def_Processes[Name(EN)],Tab_Def_Processes[Output_Flow_O_2],,0,)</f>
        <v>#N/A</v>
      </c>
      <c r="AG51" s="63" t="e">
        <f>_xlfn.XLOOKUP($E51,Tab_Def_Processes[Name(EN)],Tab_Def_Processes[Flow_ID_O_2],,0,)</f>
        <v>#N/A</v>
      </c>
      <c r="AH51" s="82"/>
      <c r="AI51" s="63" t="e">
        <f>_xlfn.XLOOKUP($E51,Tab_Def_Processes[Name(EN)],Tab_Def_Processes[Output_Flow_O_3],,0,)</f>
        <v>#N/A</v>
      </c>
      <c r="AJ51" s="63" t="e">
        <f>_xlfn.XLOOKUP($E51,Tab_Def_Processes[Name(EN)],Tab_Def_Processes[Flow_ID_O_3],,0,)</f>
        <v>#N/A</v>
      </c>
      <c r="AK51" s="82"/>
      <c r="AL51" s="63" t="e">
        <f>_xlfn.XLOOKUP($E51,Tab_Def_Processes[Name(EN)],Tab_Def_Processes[Output_Flow_O_4],,0,)</f>
        <v>#N/A</v>
      </c>
      <c r="AM51" s="63" t="e">
        <f>_xlfn.XLOOKUP($E51,Tab_Def_Processes[Name(EN)],Tab_Def_Processes[Flow_ID_O_4],,0,)</f>
        <v>#N/A</v>
      </c>
      <c r="AN51" s="82"/>
      <c r="AO51" s="63" t="e">
        <f>_xlfn.XLOOKUP($E51,Tab_Def_Processes[Name(EN)],Tab_Def_Processes[Output_Flow_O_5],,0,)</f>
        <v>#N/A</v>
      </c>
      <c r="AP51" s="63" t="e">
        <f>_xlfn.XLOOKUP($E51,Tab_Def_Processes[Name(EN)],Tab_Def_Processes[Flow_ID_O_5],,0,)</f>
        <v>#N/A</v>
      </c>
      <c r="AQ51" s="82"/>
      <c r="AR51" s="63" t="e">
        <f>_xlfn.XLOOKUP($E51,Tab_Def_Processes[Name(EN)],Tab_Def_Processes[Output_Flow_O_6],,0,)</f>
        <v>#N/A</v>
      </c>
      <c r="AS51" s="63" t="e">
        <f>_xlfn.XLOOKUP($E51,Tab_Def_Processes[Name(EN)],Tab_Def_Processes[Flow_ID_O_6],,0,)</f>
        <v>#N/A</v>
      </c>
      <c r="AT51" s="82"/>
      <c r="AU51" s="81">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35">
      <c r="A52" s="97" t="b">
        <v>0</v>
      </c>
      <c r="B52" s="49">
        <f t="shared" ref="B52:B63" si="4">ROW()-1</f>
        <v>51</v>
      </c>
      <c r="C52" s="49" t="str">
        <f t="shared" si="3"/>
        <v>TC51_21___0</v>
      </c>
      <c r="D52" s="121" t="str">
        <f>_xlfn.XLOOKUP($E52,Tab_Def_Processes[Name(EN)],Tab_Def_Processes[ID],,0,)</f>
        <v>21</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4"/>
      <c r="P52" s="77" t="str">
        <f>_xlfn.XLOOKUP($E52,Tab_Def_Processes[Name(EN)],Tab_Def_Processes[Input_Flow_I_2],,0,)</f>
        <v>N.A.</v>
      </c>
      <c r="Q52" s="49" t="e">
        <f>_xlfn.XLOOKUP($E52,Tab_Def_Processes[Name(EN)],Tab_Def_Processes[Flow_ID_I_2],,0,)</f>
        <v>#N/A</v>
      </c>
      <c r="R52" s="84"/>
      <c r="S52" s="77" t="str">
        <f>_xlfn.XLOOKUP($E52,Tab_Def_Processes[Name(EN)],Tab_Def_Processes[Input_Flow_I_3],,0,)</f>
        <v>N.A.</v>
      </c>
      <c r="T52" s="49" t="e">
        <f>_xlfn.XLOOKUP($E52,Tab_Def_Processes[Name(EN)],Tab_Def_Processes[Flow_ID_I_3],,0,)</f>
        <v>#N/A</v>
      </c>
      <c r="U52" s="84"/>
      <c r="V52" s="77" t="str">
        <f>_xlfn.XLOOKUP($E52,Tab_Def_Processes[Name(EN)],Tab_Def_Processes[Input_Flow_I_4],,0,)</f>
        <v>N.A.</v>
      </c>
      <c r="W52" s="49" t="e">
        <f>_xlfn.XLOOKUP($E52,Tab_Def_Processes[Name(EN)],Tab_Def_Processes[Flow_ID_I_4],,0,)</f>
        <v>#N/A</v>
      </c>
      <c r="X52" s="84"/>
      <c r="Y52" s="77" t="str">
        <f>_xlfn.XLOOKUP($E52,Tab_Def_Processes[Name(EN)],Tab_Def_Processes[Input_Flow_I_5],,0,)</f>
        <v>N.A.</v>
      </c>
      <c r="Z52" s="49" t="e">
        <f>_xlfn.XLOOKUP($E52,Tab_Def_Processes[Name(EN)],Tab_Def_Processes[Flow_ID_I_5],,0,)</f>
        <v>#N/A</v>
      </c>
      <c r="AA52" s="84"/>
      <c r="AB52" s="98">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84"/>
      <c r="AF52" s="49" t="str">
        <f>_xlfn.XLOOKUP($E52,Tab_Def_Processes[Name(EN)],Tab_Def_Processes[Output_Flow_O_2],,0,)</f>
        <v>N.A.</v>
      </c>
      <c r="AG52" s="49" t="e">
        <f>_xlfn.XLOOKUP($E52,Tab_Def_Processes[Name(EN)],Tab_Def_Processes[Flow_ID_O_2],,0,)</f>
        <v>#N/A</v>
      </c>
      <c r="AH52" s="84"/>
      <c r="AI52" s="49" t="str">
        <f>_xlfn.XLOOKUP($E52,Tab_Def_Processes[Name(EN)],Tab_Def_Processes[Output_Flow_O_3],,0,)</f>
        <v>N.A.</v>
      </c>
      <c r="AJ52" s="49" t="e">
        <f>_xlfn.XLOOKUP($E52,Tab_Def_Processes[Name(EN)],Tab_Def_Processes[Flow_ID_O_3],,0,)</f>
        <v>#N/A</v>
      </c>
      <c r="AK52" s="84"/>
      <c r="AL52" s="49" t="str">
        <f>_xlfn.XLOOKUP($E52,Tab_Def_Processes[Name(EN)],Tab_Def_Processes[Output_Flow_O_4],,0,)</f>
        <v>N.A.</v>
      </c>
      <c r="AM52" s="49" t="e">
        <f>_xlfn.XLOOKUP($E52,Tab_Def_Processes[Name(EN)],Tab_Def_Processes[Flow_ID_O_4],,0,)</f>
        <v>#N/A</v>
      </c>
      <c r="AN52" s="84"/>
      <c r="AO52" s="49" t="str">
        <f>_xlfn.XLOOKUP($E52,Tab_Def_Processes[Name(EN)],Tab_Def_Processes[Output_Flow_O_5],,0,)</f>
        <v>N.A.</v>
      </c>
      <c r="AP52" s="49" t="e">
        <f>_xlfn.XLOOKUP($E52,Tab_Def_Processes[Name(EN)],Tab_Def_Processes[Flow_ID_O_5],,0,)</f>
        <v>#N/A</v>
      </c>
      <c r="AQ52" s="84"/>
      <c r="AR52" s="49" t="str">
        <f>_xlfn.XLOOKUP($E52,Tab_Def_Processes[Name(EN)],Tab_Def_Processes[Output_Flow_O_6],,0,)</f>
        <v>N.A.</v>
      </c>
      <c r="AS52" s="49" t="e">
        <f>_xlfn.XLOOKUP($E52,Tab_Def_Processes[Name(EN)],Tab_Def_Processes[Flow_ID_O_6],,0,)</f>
        <v>#N/A</v>
      </c>
      <c r="AT52" s="84"/>
      <c r="AU52" s="85">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35">
      <c r="A53" s="97" t="b">
        <v>0</v>
      </c>
      <c r="B53" s="49">
        <f t="shared" si="4"/>
        <v>52</v>
      </c>
      <c r="C53" s="49" t="str">
        <f t="shared" si="3"/>
        <v>TC52_21___0</v>
      </c>
      <c r="D53" s="121" t="str">
        <f>_xlfn.XLOOKUP($E53,Tab_Def_Processes[Name(EN)],Tab_Def_Processes[ID],,0,)</f>
        <v>21</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4"/>
      <c r="P53" s="77" t="str">
        <f>_xlfn.XLOOKUP($E53,Tab_Def_Processes[Name(EN)],Tab_Def_Processes[Input_Flow_I_2],,0,)</f>
        <v>N.A.</v>
      </c>
      <c r="Q53" s="49" t="e">
        <f>_xlfn.XLOOKUP($E53,Tab_Def_Processes[Name(EN)],Tab_Def_Processes[Flow_ID_I_2],,0,)</f>
        <v>#N/A</v>
      </c>
      <c r="R53" s="84"/>
      <c r="S53" s="77" t="str">
        <f>_xlfn.XLOOKUP($E53,Tab_Def_Processes[Name(EN)],Tab_Def_Processes[Input_Flow_I_3],,0,)</f>
        <v>N.A.</v>
      </c>
      <c r="T53" s="49" t="e">
        <f>_xlfn.XLOOKUP($E53,Tab_Def_Processes[Name(EN)],Tab_Def_Processes[Flow_ID_I_3],,0,)</f>
        <v>#N/A</v>
      </c>
      <c r="U53" s="84"/>
      <c r="V53" s="77" t="str">
        <f>_xlfn.XLOOKUP($E53,Tab_Def_Processes[Name(EN)],Tab_Def_Processes[Input_Flow_I_4],,0,)</f>
        <v>N.A.</v>
      </c>
      <c r="W53" s="49" t="e">
        <f>_xlfn.XLOOKUP($E53,Tab_Def_Processes[Name(EN)],Tab_Def_Processes[Flow_ID_I_4],,0,)</f>
        <v>#N/A</v>
      </c>
      <c r="X53" s="84"/>
      <c r="Y53" s="77" t="str">
        <f>_xlfn.XLOOKUP($E53,Tab_Def_Processes[Name(EN)],Tab_Def_Processes[Input_Flow_I_5],,0,)</f>
        <v>N.A.</v>
      </c>
      <c r="Z53" s="49" t="e">
        <f>_xlfn.XLOOKUP($E53,Tab_Def_Processes[Name(EN)],Tab_Def_Processes[Flow_ID_I_5],,0,)</f>
        <v>#N/A</v>
      </c>
      <c r="AA53" s="84"/>
      <c r="AB53" s="98">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84"/>
      <c r="AF53" s="49" t="str">
        <f>_xlfn.XLOOKUP($E53,Tab_Def_Processes[Name(EN)],Tab_Def_Processes[Output_Flow_O_2],,0,)</f>
        <v>N.A.</v>
      </c>
      <c r="AG53" s="49" t="e">
        <f>_xlfn.XLOOKUP($E53,Tab_Def_Processes[Name(EN)],Tab_Def_Processes[Flow_ID_O_2],,0,)</f>
        <v>#N/A</v>
      </c>
      <c r="AH53" s="84"/>
      <c r="AI53" s="49" t="str">
        <f>_xlfn.XLOOKUP($E53,Tab_Def_Processes[Name(EN)],Tab_Def_Processes[Output_Flow_O_3],,0,)</f>
        <v>N.A.</v>
      </c>
      <c r="AJ53" s="49" t="e">
        <f>_xlfn.XLOOKUP($E53,Tab_Def_Processes[Name(EN)],Tab_Def_Processes[Flow_ID_O_3],,0,)</f>
        <v>#N/A</v>
      </c>
      <c r="AK53" s="84"/>
      <c r="AL53" s="49" t="str">
        <f>_xlfn.XLOOKUP($E53,Tab_Def_Processes[Name(EN)],Tab_Def_Processes[Output_Flow_O_4],,0,)</f>
        <v>N.A.</v>
      </c>
      <c r="AM53" s="49" t="e">
        <f>_xlfn.XLOOKUP($E53,Tab_Def_Processes[Name(EN)],Tab_Def_Processes[Flow_ID_O_4],,0,)</f>
        <v>#N/A</v>
      </c>
      <c r="AN53" s="84"/>
      <c r="AO53" s="49" t="str">
        <f>_xlfn.XLOOKUP($E53,Tab_Def_Processes[Name(EN)],Tab_Def_Processes[Output_Flow_O_5],,0,)</f>
        <v>N.A.</v>
      </c>
      <c r="AP53" s="49" t="e">
        <f>_xlfn.XLOOKUP($E53,Tab_Def_Processes[Name(EN)],Tab_Def_Processes[Flow_ID_O_5],,0,)</f>
        <v>#N/A</v>
      </c>
      <c r="AQ53" s="84"/>
      <c r="AR53" s="49" t="str">
        <f>_xlfn.XLOOKUP($E53,Tab_Def_Processes[Name(EN)],Tab_Def_Processes[Output_Flow_O_6],,0,)</f>
        <v>N.A.</v>
      </c>
      <c r="AS53" s="49" t="e">
        <f>_xlfn.XLOOKUP($E53,Tab_Def_Processes[Name(EN)],Tab_Def_Processes[Flow_ID_O_6],,0,)</f>
        <v>#N/A</v>
      </c>
      <c r="AT53" s="84"/>
      <c r="AU53" s="85">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35">
      <c r="A54" s="97" t="b">
        <v>0</v>
      </c>
      <c r="B54" s="49">
        <f t="shared" si="4"/>
        <v>53</v>
      </c>
      <c r="C54" s="49" t="str">
        <f t="shared" si="3"/>
        <v>TC53_21___0</v>
      </c>
      <c r="D54" s="121" t="str">
        <f>_xlfn.XLOOKUP($E54,Tab_Def_Processes[Name(EN)],Tab_Def_Processes[ID],,0,)</f>
        <v>21</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4"/>
      <c r="P54" s="77" t="str">
        <f>_xlfn.XLOOKUP($E54,Tab_Def_Processes[Name(EN)],Tab_Def_Processes[Input_Flow_I_2],,0,)</f>
        <v>N.A.</v>
      </c>
      <c r="Q54" s="49" t="e">
        <f>_xlfn.XLOOKUP($E54,Tab_Def_Processes[Name(EN)],Tab_Def_Processes[Flow_ID_I_2],,0,)</f>
        <v>#N/A</v>
      </c>
      <c r="R54" s="84"/>
      <c r="S54" s="77" t="str">
        <f>_xlfn.XLOOKUP($E54,Tab_Def_Processes[Name(EN)],Tab_Def_Processes[Input_Flow_I_3],,0,)</f>
        <v>N.A.</v>
      </c>
      <c r="T54" s="49" t="e">
        <f>_xlfn.XLOOKUP($E54,Tab_Def_Processes[Name(EN)],Tab_Def_Processes[Flow_ID_I_3],,0,)</f>
        <v>#N/A</v>
      </c>
      <c r="U54" s="84"/>
      <c r="V54" s="77" t="str">
        <f>_xlfn.XLOOKUP($E54,Tab_Def_Processes[Name(EN)],Tab_Def_Processes[Input_Flow_I_4],,0,)</f>
        <v>N.A.</v>
      </c>
      <c r="W54" s="49" t="e">
        <f>_xlfn.XLOOKUP($E54,Tab_Def_Processes[Name(EN)],Tab_Def_Processes[Flow_ID_I_4],,0,)</f>
        <v>#N/A</v>
      </c>
      <c r="X54" s="84"/>
      <c r="Y54" s="77" t="str">
        <f>_xlfn.XLOOKUP($E54,Tab_Def_Processes[Name(EN)],Tab_Def_Processes[Input_Flow_I_5],,0,)</f>
        <v>N.A.</v>
      </c>
      <c r="Z54" s="49" t="e">
        <f>_xlfn.XLOOKUP($E54,Tab_Def_Processes[Name(EN)],Tab_Def_Processes[Flow_ID_I_5],,0,)</f>
        <v>#N/A</v>
      </c>
      <c r="AA54" s="84"/>
      <c r="AB54" s="98">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84"/>
      <c r="AF54" s="49" t="str">
        <f>_xlfn.XLOOKUP($E54,Tab_Def_Processes[Name(EN)],Tab_Def_Processes[Output_Flow_O_2],,0,)</f>
        <v>N.A.</v>
      </c>
      <c r="AG54" s="49" t="e">
        <f>_xlfn.XLOOKUP($E54,Tab_Def_Processes[Name(EN)],Tab_Def_Processes[Flow_ID_O_2],,0,)</f>
        <v>#N/A</v>
      </c>
      <c r="AH54" s="84"/>
      <c r="AI54" s="49" t="str">
        <f>_xlfn.XLOOKUP($E54,Tab_Def_Processes[Name(EN)],Tab_Def_Processes[Output_Flow_O_3],,0,)</f>
        <v>N.A.</v>
      </c>
      <c r="AJ54" s="49" t="e">
        <f>_xlfn.XLOOKUP($E54,Tab_Def_Processes[Name(EN)],Tab_Def_Processes[Flow_ID_O_3],,0,)</f>
        <v>#N/A</v>
      </c>
      <c r="AK54" s="84"/>
      <c r="AL54" s="49" t="str">
        <f>_xlfn.XLOOKUP($E54,Tab_Def_Processes[Name(EN)],Tab_Def_Processes[Output_Flow_O_4],,0,)</f>
        <v>N.A.</v>
      </c>
      <c r="AM54" s="49" t="e">
        <f>_xlfn.XLOOKUP($E54,Tab_Def_Processes[Name(EN)],Tab_Def_Processes[Flow_ID_O_4],,0,)</f>
        <v>#N/A</v>
      </c>
      <c r="AN54" s="84"/>
      <c r="AO54" s="49" t="str">
        <f>_xlfn.XLOOKUP($E54,Tab_Def_Processes[Name(EN)],Tab_Def_Processes[Output_Flow_O_5],,0,)</f>
        <v>N.A.</v>
      </c>
      <c r="AP54" s="49" t="e">
        <f>_xlfn.XLOOKUP($E54,Tab_Def_Processes[Name(EN)],Tab_Def_Processes[Flow_ID_O_5],,0,)</f>
        <v>#N/A</v>
      </c>
      <c r="AQ54" s="84"/>
      <c r="AR54" s="49" t="str">
        <f>_xlfn.XLOOKUP($E54,Tab_Def_Processes[Name(EN)],Tab_Def_Processes[Output_Flow_O_6],,0,)</f>
        <v>N.A.</v>
      </c>
      <c r="AS54" s="49" t="e">
        <f>_xlfn.XLOOKUP($E54,Tab_Def_Processes[Name(EN)],Tab_Def_Processes[Flow_ID_O_6],,0,)</f>
        <v>#N/A</v>
      </c>
      <c r="AT54" s="84"/>
      <c r="AU54" s="85">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35">
      <c r="A55" s="97" t="b">
        <v>0</v>
      </c>
      <c r="B55" s="49">
        <f t="shared" si="4"/>
        <v>54</v>
      </c>
      <c r="C55" s="49" t="str">
        <f t="shared" si="3"/>
        <v>TC54_21___0</v>
      </c>
      <c r="D55" s="121" t="str">
        <f>_xlfn.XLOOKUP($E55,Tab_Def_Processes[Name(EN)],Tab_Def_Processes[ID],,0,)</f>
        <v>21</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4"/>
      <c r="P55" s="77" t="str">
        <f>_xlfn.XLOOKUP($E55,Tab_Def_Processes[Name(EN)],Tab_Def_Processes[Input_Flow_I_2],,0,)</f>
        <v>N.A.</v>
      </c>
      <c r="Q55" s="49" t="e">
        <f>_xlfn.XLOOKUP($E55,Tab_Def_Processes[Name(EN)],Tab_Def_Processes[Flow_ID_I_2],,0,)</f>
        <v>#N/A</v>
      </c>
      <c r="R55" s="84"/>
      <c r="S55" s="77" t="str">
        <f>_xlfn.XLOOKUP($E55,Tab_Def_Processes[Name(EN)],Tab_Def_Processes[Input_Flow_I_3],,0,)</f>
        <v>N.A.</v>
      </c>
      <c r="T55" s="49" t="e">
        <f>_xlfn.XLOOKUP($E55,Tab_Def_Processes[Name(EN)],Tab_Def_Processes[Flow_ID_I_3],,0,)</f>
        <v>#N/A</v>
      </c>
      <c r="U55" s="84"/>
      <c r="V55" s="77" t="str">
        <f>_xlfn.XLOOKUP($E55,Tab_Def_Processes[Name(EN)],Tab_Def_Processes[Input_Flow_I_4],,0,)</f>
        <v>N.A.</v>
      </c>
      <c r="W55" s="49" t="e">
        <f>_xlfn.XLOOKUP($E55,Tab_Def_Processes[Name(EN)],Tab_Def_Processes[Flow_ID_I_4],,0,)</f>
        <v>#N/A</v>
      </c>
      <c r="X55" s="84"/>
      <c r="Y55" s="77" t="str">
        <f>_xlfn.XLOOKUP($E55,Tab_Def_Processes[Name(EN)],Tab_Def_Processes[Input_Flow_I_5],,0,)</f>
        <v>N.A.</v>
      </c>
      <c r="Z55" s="49" t="e">
        <f>_xlfn.XLOOKUP($E55,Tab_Def_Processes[Name(EN)],Tab_Def_Processes[Flow_ID_I_5],,0,)</f>
        <v>#N/A</v>
      </c>
      <c r="AA55" s="84"/>
      <c r="AB55" s="98">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84"/>
      <c r="AF55" s="49" t="str">
        <f>_xlfn.XLOOKUP($E55,Tab_Def_Processes[Name(EN)],Tab_Def_Processes[Output_Flow_O_2],,0,)</f>
        <v>N.A.</v>
      </c>
      <c r="AG55" s="49" t="e">
        <f>_xlfn.XLOOKUP($E55,Tab_Def_Processes[Name(EN)],Tab_Def_Processes[Flow_ID_O_2],,0,)</f>
        <v>#N/A</v>
      </c>
      <c r="AH55" s="84"/>
      <c r="AI55" s="49" t="str">
        <f>_xlfn.XLOOKUP($E55,Tab_Def_Processes[Name(EN)],Tab_Def_Processes[Output_Flow_O_3],,0,)</f>
        <v>N.A.</v>
      </c>
      <c r="AJ55" s="49" t="e">
        <f>_xlfn.XLOOKUP($E55,Tab_Def_Processes[Name(EN)],Tab_Def_Processes[Flow_ID_O_3],,0,)</f>
        <v>#N/A</v>
      </c>
      <c r="AK55" s="84"/>
      <c r="AL55" s="49" t="str">
        <f>_xlfn.XLOOKUP($E55,Tab_Def_Processes[Name(EN)],Tab_Def_Processes[Output_Flow_O_4],,0,)</f>
        <v>N.A.</v>
      </c>
      <c r="AM55" s="49" t="e">
        <f>_xlfn.XLOOKUP($E55,Tab_Def_Processes[Name(EN)],Tab_Def_Processes[Flow_ID_O_4],,0,)</f>
        <v>#N/A</v>
      </c>
      <c r="AN55" s="84"/>
      <c r="AO55" s="49" t="str">
        <f>_xlfn.XLOOKUP($E55,Tab_Def_Processes[Name(EN)],Tab_Def_Processes[Output_Flow_O_5],,0,)</f>
        <v>N.A.</v>
      </c>
      <c r="AP55" s="49" t="e">
        <f>_xlfn.XLOOKUP($E55,Tab_Def_Processes[Name(EN)],Tab_Def_Processes[Flow_ID_O_5],,0,)</f>
        <v>#N/A</v>
      </c>
      <c r="AQ55" s="84"/>
      <c r="AR55" s="49" t="str">
        <f>_xlfn.XLOOKUP($E55,Tab_Def_Processes[Name(EN)],Tab_Def_Processes[Output_Flow_O_6],,0,)</f>
        <v>N.A.</v>
      </c>
      <c r="AS55" s="49" t="e">
        <f>_xlfn.XLOOKUP($E55,Tab_Def_Processes[Name(EN)],Tab_Def_Processes[Flow_ID_O_6],,0,)</f>
        <v>#N/A</v>
      </c>
      <c r="AT55" s="84"/>
      <c r="AU55" s="85">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35">
      <c r="A56" s="97" t="b">
        <v>0</v>
      </c>
      <c r="B56" s="49">
        <f t="shared" si="4"/>
        <v>55</v>
      </c>
      <c r="C56" s="49" t="str">
        <f t="shared" si="3"/>
        <v>TC55_21___0</v>
      </c>
      <c r="D56" s="121" t="str">
        <f>_xlfn.XLOOKUP($E56,Tab_Def_Processes[Name(EN)],Tab_Def_Processes[ID],,0,)</f>
        <v>21</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4"/>
      <c r="P56" s="77" t="str">
        <f>_xlfn.XLOOKUP($E56,Tab_Def_Processes[Name(EN)],Tab_Def_Processes[Input_Flow_I_2],,0,)</f>
        <v>N.A.</v>
      </c>
      <c r="Q56" s="49" t="e">
        <f>_xlfn.XLOOKUP($E56,Tab_Def_Processes[Name(EN)],Tab_Def_Processes[Flow_ID_I_2],,0,)</f>
        <v>#N/A</v>
      </c>
      <c r="R56" s="84"/>
      <c r="S56" s="77" t="str">
        <f>_xlfn.XLOOKUP($E56,Tab_Def_Processes[Name(EN)],Tab_Def_Processes[Input_Flow_I_3],,0,)</f>
        <v>N.A.</v>
      </c>
      <c r="T56" s="49" t="e">
        <f>_xlfn.XLOOKUP($E56,Tab_Def_Processes[Name(EN)],Tab_Def_Processes[Flow_ID_I_3],,0,)</f>
        <v>#N/A</v>
      </c>
      <c r="U56" s="84"/>
      <c r="V56" s="77" t="str">
        <f>_xlfn.XLOOKUP($E56,Tab_Def_Processes[Name(EN)],Tab_Def_Processes[Input_Flow_I_4],,0,)</f>
        <v>N.A.</v>
      </c>
      <c r="W56" s="49" t="e">
        <f>_xlfn.XLOOKUP($E56,Tab_Def_Processes[Name(EN)],Tab_Def_Processes[Flow_ID_I_4],,0,)</f>
        <v>#N/A</v>
      </c>
      <c r="X56" s="84"/>
      <c r="Y56" s="77" t="str">
        <f>_xlfn.XLOOKUP($E56,Tab_Def_Processes[Name(EN)],Tab_Def_Processes[Input_Flow_I_5],,0,)</f>
        <v>N.A.</v>
      </c>
      <c r="Z56" s="49" t="e">
        <f>_xlfn.XLOOKUP($E56,Tab_Def_Processes[Name(EN)],Tab_Def_Processes[Flow_ID_I_5],,0,)</f>
        <v>#N/A</v>
      </c>
      <c r="AA56" s="84"/>
      <c r="AB56" s="98">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84"/>
      <c r="AF56" s="49" t="str">
        <f>_xlfn.XLOOKUP($E56,Tab_Def_Processes[Name(EN)],Tab_Def_Processes[Output_Flow_O_2],,0,)</f>
        <v>N.A.</v>
      </c>
      <c r="AG56" s="49" t="e">
        <f>_xlfn.XLOOKUP($E56,Tab_Def_Processes[Name(EN)],Tab_Def_Processes[Flow_ID_O_2],,0,)</f>
        <v>#N/A</v>
      </c>
      <c r="AH56" s="84"/>
      <c r="AI56" s="49" t="str">
        <f>_xlfn.XLOOKUP($E56,Tab_Def_Processes[Name(EN)],Tab_Def_Processes[Output_Flow_O_3],,0,)</f>
        <v>N.A.</v>
      </c>
      <c r="AJ56" s="49" t="e">
        <f>_xlfn.XLOOKUP($E56,Tab_Def_Processes[Name(EN)],Tab_Def_Processes[Flow_ID_O_3],,0,)</f>
        <v>#N/A</v>
      </c>
      <c r="AK56" s="84"/>
      <c r="AL56" s="49" t="str">
        <f>_xlfn.XLOOKUP($E56,Tab_Def_Processes[Name(EN)],Tab_Def_Processes[Output_Flow_O_4],,0,)</f>
        <v>N.A.</v>
      </c>
      <c r="AM56" s="49" t="e">
        <f>_xlfn.XLOOKUP($E56,Tab_Def_Processes[Name(EN)],Tab_Def_Processes[Flow_ID_O_4],,0,)</f>
        <v>#N/A</v>
      </c>
      <c r="AN56" s="84"/>
      <c r="AO56" s="49" t="str">
        <f>_xlfn.XLOOKUP($E56,Tab_Def_Processes[Name(EN)],Tab_Def_Processes[Output_Flow_O_5],,0,)</f>
        <v>N.A.</v>
      </c>
      <c r="AP56" s="49" t="e">
        <f>_xlfn.XLOOKUP($E56,Tab_Def_Processes[Name(EN)],Tab_Def_Processes[Flow_ID_O_5],,0,)</f>
        <v>#N/A</v>
      </c>
      <c r="AQ56" s="84"/>
      <c r="AR56" s="49" t="str">
        <f>_xlfn.XLOOKUP($E56,Tab_Def_Processes[Name(EN)],Tab_Def_Processes[Output_Flow_O_6],,0,)</f>
        <v>N.A.</v>
      </c>
      <c r="AS56" s="49" t="e">
        <f>_xlfn.XLOOKUP($E56,Tab_Def_Processes[Name(EN)],Tab_Def_Processes[Flow_ID_O_6],,0,)</f>
        <v>#N/A</v>
      </c>
      <c r="AT56" s="84"/>
      <c r="AU56" s="85">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35">
      <c r="A57" s="97" t="b">
        <v>0</v>
      </c>
      <c r="B57" s="49">
        <f t="shared" si="4"/>
        <v>56</v>
      </c>
      <c r="C57" s="49" t="str">
        <f t="shared" si="3"/>
        <v>TC56_21___0</v>
      </c>
      <c r="D57" s="121" t="str">
        <f>_xlfn.XLOOKUP($E57,Tab_Def_Processes[Name(EN)],Tab_Def_Processes[ID],,0,)</f>
        <v>21</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4"/>
      <c r="P57" s="77" t="str">
        <f>_xlfn.XLOOKUP($E57,Tab_Def_Processes[Name(EN)],Tab_Def_Processes[Input_Flow_I_2],,0,)</f>
        <v>N.A.</v>
      </c>
      <c r="Q57" s="49" t="e">
        <f>_xlfn.XLOOKUP($E57,Tab_Def_Processes[Name(EN)],Tab_Def_Processes[Flow_ID_I_2],,0,)</f>
        <v>#N/A</v>
      </c>
      <c r="R57" s="84"/>
      <c r="S57" s="77" t="str">
        <f>_xlfn.XLOOKUP($E57,Tab_Def_Processes[Name(EN)],Tab_Def_Processes[Input_Flow_I_3],,0,)</f>
        <v>N.A.</v>
      </c>
      <c r="T57" s="49" t="e">
        <f>_xlfn.XLOOKUP($E57,Tab_Def_Processes[Name(EN)],Tab_Def_Processes[Flow_ID_I_3],,0,)</f>
        <v>#N/A</v>
      </c>
      <c r="U57" s="84"/>
      <c r="V57" s="77" t="str">
        <f>_xlfn.XLOOKUP($E57,Tab_Def_Processes[Name(EN)],Tab_Def_Processes[Input_Flow_I_4],,0,)</f>
        <v>N.A.</v>
      </c>
      <c r="W57" s="49" t="e">
        <f>_xlfn.XLOOKUP($E57,Tab_Def_Processes[Name(EN)],Tab_Def_Processes[Flow_ID_I_4],,0,)</f>
        <v>#N/A</v>
      </c>
      <c r="X57" s="84"/>
      <c r="Y57" s="77" t="str">
        <f>_xlfn.XLOOKUP($E57,Tab_Def_Processes[Name(EN)],Tab_Def_Processes[Input_Flow_I_5],,0,)</f>
        <v>N.A.</v>
      </c>
      <c r="Z57" s="49" t="e">
        <f>_xlfn.XLOOKUP($E57,Tab_Def_Processes[Name(EN)],Tab_Def_Processes[Flow_ID_I_5],,0,)</f>
        <v>#N/A</v>
      </c>
      <c r="AA57" s="84"/>
      <c r="AB57" s="98">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84"/>
      <c r="AF57" s="49" t="str">
        <f>_xlfn.XLOOKUP($E57,Tab_Def_Processes[Name(EN)],Tab_Def_Processes[Output_Flow_O_2],,0,)</f>
        <v>N.A.</v>
      </c>
      <c r="AG57" s="49" t="e">
        <f>_xlfn.XLOOKUP($E57,Tab_Def_Processes[Name(EN)],Tab_Def_Processes[Flow_ID_O_2],,0,)</f>
        <v>#N/A</v>
      </c>
      <c r="AH57" s="84"/>
      <c r="AI57" s="49" t="str">
        <f>_xlfn.XLOOKUP($E57,Tab_Def_Processes[Name(EN)],Tab_Def_Processes[Output_Flow_O_3],,0,)</f>
        <v>N.A.</v>
      </c>
      <c r="AJ57" s="49" t="e">
        <f>_xlfn.XLOOKUP($E57,Tab_Def_Processes[Name(EN)],Tab_Def_Processes[Flow_ID_O_3],,0,)</f>
        <v>#N/A</v>
      </c>
      <c r="AK57" s="84"/>
      <c r="AL57" s="49" t="str">
        <f>_xlfn.XLOOKUP($E57,Tab_Def_Processes[Name(EN)],Tab_Def_Processes[Output_Flow_O_4],,0,)</f>
        <v>N.A.</v>
      </c>
      <c r="AM57" s="49" t="e">
        <f>_xlfn.XLOOKUP($E57,Tab_Def_Processes[Name(EN)],Tab_Def_Processes[Flow_ID_O_4],,0,)</f>
        <v>#N/A</v>
      </c>
      <c r="AN57" s="84"/>
      <c r="AO57" s="49" t="str">
        <f>_xlfn.XLOOKUP($E57,Tab_Def_Processes[Name(EN)],Tab_Def_Processes[Output_Flow_O_5],,0,)</f>
        <v>N.A.</v>
      </c>
      <c r="AP57" s="49" t="e">
        <f>_xlfn.XLOOKUP($E57,Tab_Def_Processes[Name(EN)],Tab_Def_Processes[Flow_ID_O_5],,0,)</f>
        <v>#N/A</v>
      </c>
      <c r="AQ57" s="84"/>
      <c r="AR57" s="49" t="str">
        <f>_xlfn.XLOOKUP($E57,Tab_Def_Processes[Name(EN)],Tab_Def_Processes[Output_Flow_O_6],,0,)</f>
        <v>N.A.</v>
      </c>
      <c r="AS57" s="49" t="e">
        <f>_xlfn.XLOOKUP($E57,Tab_Def_Processes[Name(EN)],Tab_Def_Processes[Flow_ID_O_6],,0,)</f>
        <v>#N/A</v>
      </c>
      <c r="AT57" s="84"/>
      <c r="AU57" s="85">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35">
      <c r="A58" s="97" t="b">
        <v>0</v>
      </c>
      <c r="B58" s="49">
        <f t="shared" si="4"/>
        <v>57</v>
      </c>
      <c r="C58" s="49" t="str">
        <f t="shared" si="3"/>
        <v>TC57_21___0</v>
      </c>
      <c r="D58" s="121" t="str">
        <f>_xlfn.XLOOKUP($E58,Tab_Def_Processes[Name(EN)],Tab_Def_Processes[ID],,0,)</f>
        <v>21</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4"/>
      <c r="P58" s="77" t="str">
        <f>_xlfn.XLOOKUP($E58,Tab_Def_Processes[Name(EN)],Tab_Def_Processes[Input_Flow_I_2],,0,)</f>
        <v>N.A.</v>
      </c>
      <c r="Q58" s="49" t="e">
        <f>_xlfn.XLOOKUP($E58,Tab_Def_Processes[Name(EN)],Tab_Def_Processes[Flow_ID_I_2],,0,)</f>
        <v>#N/A</v>
      </c>
      <c r="R58" s="84"/>
      <c r="S58" s="77" t="str">
        <f>_xlfn.XLOOKUP($E58,Tab_Def_Processes[Name(EN)],Tab_Def_Processes[Input_Flow_I_3],,0,)</f>
        <v>N.A.</v>
      </c>
      <c r="T58" s="49" t="e">
        <f>_xlfn.XLOOKUP($E58,Tab_Def_Processes[Name(EN)],Tab_Def_Processes[Flow_ID_I_3],,0,)</f>
        <v>#N/A</v>
      </c>
      <c r="U58" s="84"/>
      <c r="V58" s="77" t="str">
        <f>_xlfn.XLOOKUP($E58,Tab_Def_Processes[Name(EN)],Tab_Def_Processes[Input_Flow_I_4],,0,)</f>
        <v>N.A.</v>
      </c>
      <c r="W58" s="49" t="e">
        <f>_xlfn.XLOOKUP($E58,Tab_Def_Processes[Name(EN)],Tab_Def_Processes[Flow_ID_I_4],,0,)</f>
        <v>#N/A</v>
      </c>
      <c r="X58" s="84"/>
      <c r="Y58" s="77" t="str">
        <f>_xlfn.XLOOKUP($E58,Tab_Def_Processes[Name(EN)],Tab_Def_Processes[Input_Flow_I_5],,0,)</f>
        <v>N.A.</v>
      </c>
      <c r="Z58" s="49" t="e">
        <f>_xlfn.XLOOKUP($E58,Tab_Def_Processes[Name(EN)],Tab_Def_Processes[Flow_ID_I_5],,0,)</f>
        <v>#N/A</v>
      </c>
      <c r="AA58" s="84"/>
      <c r="AB58" s="98">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84"/>
      <c r="AF58" s="49" t="str">
        <f>_xlfn.XLOOKUP($E58,Tab_Def_Processes[Name(EN)],Tab_Def_Processes[Output_Flow_O_2],,0,)</f>
        <v>N.A.</v>
      </c>
      <c r="AG58" s="49" t="e">
        <f>_xlfn.XLOOKUP($E58,Tab_Def_Processes[Name(EN)],Tab_Def_Processes[Flow_ID_O_2],,0,)</f>
        <v>#N/A</v>
      </c>
      <c r="AH58" s="84"/>
      <c r="AI58" s="49" t="str">
        <f>_xlfn.XLOOKUP($E58,Tab_Def_Processes[Name(EN)],Tab_Def_Processes[Output_Flow_O_3],,0,)</f>
        <v>N.A.</v>
      </c>
      <c r="AJ58" s="49" t="e">
        <f>_xlfn.XLOOKUP($E58,Tab_Def_Processes[Name(EN)],Tab_Def_Processes[Flow_ID_O_3],,0,)</f>
        <v>#N/A</v>
      </c>
      <c r="AK58" s="84"/>
      <c r="AL58" s="49" t="str">
        <f>_xlfn.XLOOKUP($E58,Tab_Def_Processes[Name(EN)],Tab_Def_Processes[Output_Flow_O_4],,0,)</f>
        <v>N.A.</v>
      </c>
      <c r="AM58" s="49" t="e">
        <f>_xlfn.XLOOKUP($E58,Tab_Def_Processes[Name(EN)],Tab_Def_Processes[Flow_ID_O_4],,0,)</f>
        <v>#N/A</v>
      </c>
      <c r="AN58" s="84"/>
      <c r="AO58" s="49" t="str">
        <f>_xlfn.XLOOKUP($E58,Tab_Def_Processes[Name(EN)],Tab_Def_Processes[Output_Flow_O_5],,0,)</f>
        <v>N.A.</v>
      </c>
      <c r="AP58" s="49" t="e">
        <f>_xlfn.XLOOKUP($E58,Tab_Def_Processes[Name(EN)],Tab_Def_Processes[Flow_ID_O_5],,0,)</f>
        <v>#N/A</v>
      </c>
      <c r="AQ58" s="84"/>
      <c r="AR58" s="49" t="str">
        <f>_xlfn.XLOOKUP($E58,Tab_Def_Processes[Name(EN)],Tab_Def_Processes[Output_Flow_O_6],,0,)</f>
        <v>N.A.</v>
      </c>
      <c r="AS58" s="49" t="e">
        <f>_xlfn.XLOOKUP($E58,Tab_Def_Processes[Name(EN)],Tab_Def_Processes[Flow_ID_O_6],,0,)</f>
        <v>#N/A</v>
      </c>
      <c r="AT58" s="84"/>
      <c r="AU58" s="85">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35">
      <c r="A59" s="97" t="b">
        <v>0</v>
      </c>
      <c r="B59" s="49">
        <f t="shared" si="4"/>
        <v>58</v>
      </c>
      <c r="C59" s="49" t="str">
        <f t="shared" si="3"/>
        <v>TC58_21___0</v>
      </c>
      <c r="D59" s="121" t="str">
        <f>_xlfn.XLOOKUP($E59,Tab_Def_Processes[Name(EN)],Tab_Def_Processes[ID],,0,)</f>
        <v>21</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4"/>
      <c r="P59" s="77" t="str">
        <f>_xlfn.XLOOKUP($E59,Tab_Def_Processes[Name(EN)],Tab_Def_Processes[Input_Flow_I_2],,0,)</f>
        <v>N.A.</v>
      </c>
      <c r="Q59" s="49" t="e">
        <f>_xlfn.XLOOKUP($E59,Tab_Def_Processes[Name(EN)],Tab_Def_Processes[Flow_ID_I_2],,0,)</f>
        <v>#N/A</v>
      </c>
      <c r="R59" s="84"/>
      <c r="S59" s="77" t="str">
        <f>_xlfn.XLOOKUP($E59,Tab_Def_Processes[Name(EN)],Tab_Def_Processes[Input_Flow_I_3],,0,)</f>
        <v>N.A.</v>
      </c>
      <c r="T59" s="49" t="e">
        <f>_xlfn.XLOOKUP($E59,Tab_Def_Processes[Name(EN)],Tab_Def_Processes[Flow_ID_I_3],,0,)</f>
        <v>#N/A</v>
      </c>
      <c r="U59" s="84"/>
      <c r="V59" s="77" t="str">
        <f>_xlfn.XLOOKUP($E59,Tab_Def_Processes[Name(EN)],Tab_Def_Processes[Input_Flow_I_4],,0,)</f>
        <v>N.A.</v>
      </c>
      <c r="W59" s="49" t="e">
        <f>_xlfn.XLOOKUP($E59,Tab_Def_Processes[Name(EN)],Tab_Def_Processes[Flow_ID_I_4],,0,)</f>
        <v>#N/A</v>
      </c>
      <c r="X59" s="84"/>
      <c r="Y59" s="77" t="str">
        <f>_xlfn.XLOOKUP($E59,Tab_Def_Processes[Name(EN)],Tab_Def_Processes[Input_Flow_I_5],,0,)</f>
        <v>N.A.</v>
      </c>
      <c r="Z59" s="49" t="e">
        <f>_xlfn.XLOOKUP($E59,Tab_Def_Processes[Name(EN)],Tab_Def_Processes[Flow_ID_I_5],,0,)</f>
        <v>#N/A</v>
      </c>
      <c r="AA59" s="84"/>
      <c r="AB59" s="98">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84"/>
      <c r="AF59" s="49" t="str">
        <f>_xlfn.XLOOKUP($E59,Tab_Def_Processes[Name(EN)],Tab_Def_Processes[Output_Flow_O_2],,0,)</f>
        <v>N.A.</v>
      </c>
      <c r="AG59" s="49" t="e">
        <f>_xlfn.XLOOKUP($E59,Tab_Def_Processes[Name(EN)],Tab_Def_Processes[Flow_ID_O_2],,0,)</f>
        <v>#N/A</v>
      </c>
      <c r="AH59" s="84"/>
      <c r="AI59" s="49" t="str">
        <f>_xlfn.XLOOKUP($E59,Tab_Def_Processes[Name(EN)],Tab_Def_Processes[Output_Flow_O_3],,0,)</f>
        <v>N.A.</v>
      </c>
      <c r="AJ59" s="49" t="e">
        <f>_xlfn.XLOOKUP($E59,Tab_Def_Processes[Name(EN)],Tab_Def_Processes[Flow_ID_O_3],,0,)</f>
        <v>#N/A</v>
      </c>
      <c r="AK59" s="84"/>
      <c r="AL59" s="49" t="str">
        <f>_xlfn.XLOOKUP($E59,Tab_Def_Processes[Name(EN)],Tab_Def_Processes[Output_Flow_O_4],,0,)</f>
        <v>N.A.</v>
      </c>
      <c r="AM59" s="49" t="e">
        <f>_xlfn.XLOOKUP($E59,Tab_Def_Processes[Name(EN)],Tab_Def_Processes[Flow_ID_O_4],,0,)</f>
        <v>#N/A</v>
      </c>
      <c r="AN59" s="84"/>
      <c r="AO59" s="49" t="str">
        <f>_xlfn.XLOOKUP($E59,Tab_Def_Processes[Name(EN)],Tab_Def_Processes[Output_Flow_O_5],,0,)</f>
        <v>N.A.</v>
      </c>
      <c r="AP59" s="49" t="e">
        <f>_xlfn.XLOOKUP($E59,Tab_Def_Processes[Name(EN)],Tab_Def_Processes[Flow_ID_O_5],,0,)</f>
        <v>#N/A</v>
      </c>
      <c r="AQ59" s="84"/>
      <c r="AR59" s="49" t="str">
        <f>_xlfn.XLOOKUP($E59,Tab_Def_Processes[Name(EN)],Tab_Def_Processes[Output_Flow_O_6],,0,)</f>
        <v>N.A.</v>
      </c>
      <c r="AS59" s="49" t="e">
        <f>_xlfn.XLOOKUP($E59,Tab_Def_Processes[Name(EN)],Tab_Def_Processes[Flow_ID_O_6],,0,)</f>
        <v>#N/A</v>
      </c>
      <c r="AT59" s="84"/>
      <c r="AU59" s="85">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35">
      <c r="A60" s="97" t="b">
        <v>0</v>
      </c>
      <c r="B60" s="49">
        <f t="shared" si="4"/>
        <v>59</v>
      </c>
      <c r="C60" s="49" t="str">
        <f t="shared" si="3"/>
        <v>TC59_21___0</v>
      </c>
      <c r="D60" s="121" t="str">
        <f>_xlfn.XLOOKUP($E60,Tab_Def_Processes[Name(EN)],Tab_Def_Processes[ID],,0,)</f>
        <v>21</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4"/>
      <c r="P60" s="77" t="str">
        <f>_xlfn.XLOOKUP($E60,Tab_Def_Processes[Name(EN)],Tab_Def_Processes[Input_Flow_I_2],,0,)</f>
        <v>N.A.</v>
      </c>
      <c r="Q60" s="49" t="e">
        <f>_xlfn.XLOOKUP($E60,Tab_Def_Processes[Name(EN)],Tab_Def_Processes[Flow_ID_I_2],,0,)</f>
        <v>#N/A</v>
      </c>
      <c r="R60" s="84"/>
      <c r="S60" s="77" t="str">
        <f>_xlfn.XLOOKUP($E60,Tab_Def_Processes[Name(EN)],Tab_Def_Processes[Input_Flow_I_3],,0,)</f>
        <v>N.A.</v>
      </c>
      <c r="T60" s="49" t="e">
        <f>_xlfn.XLOOKUP($E60,Tab_Def_Processes[Name(EN)],Tab_Def_Processes[Flow_ID_I_3],,0,)</f>
        <v>#N/A</v>
      </c>
      <c r="U60" s="84"/>
      <c r="V60" s="77" t="str">
        <f>_xlfn.XLOOKUP($E60,Tab_Def_Processes[Name(EN)],Tab_Def_Processes[Input_Flow_I_4],,0,)</f>
        <v>N.A.</v>
      </c>
      <c r="W60" s="49" t="e">
        <f>_xlfn.XLOOKUP($E60,Tab_Def_Processes[Name(EN)],Tab_Def_Processes[Flow_ID_I_4],,0,)</f>
        <v>#N/A</v>
      </c>
      <c r="X60" s="84"/>
      <c r="Y60" s="77" t="str">
        <f>_xlfn.XLOOKUP($E60,Tab_Def_Processes[Name(EN)],Tab_Def_Processes[Input_Flow_I_5],,0,)</f>
        <v>N.A.</v>
      </c>
      <c r="Z60" s="49" t="e">
        <f>_xlfn.XLOOKUP($E60,Tab_Def_Processes[Name(EN)],Tab_Def_Processes[Flow_ID_I_5],,0,)</f>
        <v>#N/A</v>
      </c>
      <c r="AA60" s="84"/>
      <c r="AB60" s="98">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84"/>
      <c r="AF60" s="49" t="str">
        <f>_xlfn.XLOOKUP($E60,Tab_Def_Processes[Name(EN)],Tab_Def_Processes[Output_Flow_O_2],,0,)</f>
        <v>N.A.</v>
      </c>
      <c r="AG60" s="49" t="e">
        <f>_xlfn.XLOOKUP($E60,Tab_Def_Processes[Name(EN)],Tab_Def_Processes[Flow_ID_O_2],,0,)</f>
        <v>#N/A</v>
      </c>
      <c r="AH60" s="84"/>
      <c r="AI60" s="49" t="str">
        <f>_xlfn.XLOOKUP($E60,Tab_Def_Processes[Name(EN)],Tab_Def_Processes[Output_Flow_O_3],,0,)</f>
        <v>N.A.</v>
      </c>
      <c r="AJ60" s="49" t="e">
        <f>_xlfn.XLOOKUP($E60,Tab_Def_Processes[Name(EN)],Tab_Def_Processes[Flow_ID_O_3],,0,)</f>
        <v>#N/A</v>
      </c>
      <c r="AK60" s="84"/>
      <c r="AL60" s="49" t="str">
        <f>_xlfn.XLOOKUP($E60,Tab_Def_Processes[Name(EN)],Tab_Def_Processes[Output_Flow_O_4],,0,)</f>
        <v>N.A.</v>
      </c>
      <c r="AM60" s="49" t="e">
        <f>_xlfn.XLOOKUP($E60,Tab_Def_Processes[Name(EN)],Tab_Def_Processes[Flow_ID_O_4],,0,)</f>
        <v>#N/A</v>
      </c>
      <c r="AN60" s="84"/>
      <c r="AO60" s="49" t="str">
        <f>_xlfn.XLOOKUP($E60,Tab_Def_Processes[Name(EN)],Tab_Def_Processes[Output_Flow_O_5],,0,)</f>
        <v>N.A.</v>
      </c>
      <c r="AP60" s="49" t="e">
        <f>_xlfn.XLOOKUP($E60,Tab_Def_Processes[Name(EN)],Tab_Def_Processes[Flow_ID_O_5],,0,)</f>
        <v>#N/A</v>
      </c>
      <c r="AQ60" s="84"/>
      <c r="AR60" s="49" t="str">
        <f>_xlfn.XLOOKUP($E60,Tab_Def_Processes[Name(EN)],Tab_Def_Processes[Output_Flow_O_6],,0,)</f>
        <v>N.A.</v>
      </c>
      <c r="AS60" s="49" t="e">
        <f>_xlfn.XLOOKUP($E60,Tab_Def_Processes[Name(EN)],Tab_Def_Processes[Flow_ID_O_6],,0,)</f>
        <v>#N/A</v>
      </c>
      <c r="AT60" s="84"/>
      <c r="AU60" s="85">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35">
      <c r="A61" s="97" t="b">
        <v>0</v>
      </c>
      <c r="B61" s="49">
        <f t="shared" si="4"/>
        <v>60</v>
      </c>
      <c r="C61" s="49" t="str">
        <f t="shared" si="3"/>
        <v>TC60_21___0</v>
      </c>
      <c r="D61" s="121" t="str">
        <f>_xlfn.XLOOKUP($E61,Tab_Def_Processes[Name(EN)],Tab_Def_Processes[ID],,0,)</f>
        <v>21</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4"/>
      <c r="P61" s="77" t="str">
        <f>_xlfn.XLOOKUP($E61,Tab_Def_Processes[Name(EN)],Tab_Def_Processes[Input_Flow_I_2],,0,)</f>
        <v>N.A.</v>
      </c>
      <c r="Q61" s="49" t="e">
        <f>_xlfn.XLOOKUP($E61,Tab_Def_Processes[Name(EN)],Tab_Def_Processes[Flow_ID_I_2],,0,)</f>
        <v>#N/A</v>
      </c>
      <c r="R61" s="84"/>
      <c r="S61" s="77" t="str">
        <f>_xlfn.XLOOKUP($E61,Tab_Def_Processes[Name(EN)],Tab_Def_Processes[Input_Flow_I_3],,0,)</f>
        <v>N.A.</v>
      </c>
      <c r="T61" s="49" t="e">
        <f>_xlfn.XLOOKUP($E61,Tab_Def_Processes[Name(EN)],Tab_Def_Processes[Flow_ID_I_3],,0,)</f>
        <v>#N/A</v>
      </c>
      <c r="U61" s="84"/>
      <c r="V61" s="77" t="str">
        <f>_xlfn.XLOOKUP($E61,Tab_Def_Processes[Name(EN)],Tab_Def_Processes[Input_Flow_I_4],,0,)</f>
        <v>N.A.</v>
      </c>
      <c r="W61" s="49" t="e">
        <f>_xlfn.XLOOKUP($E61,Tab_Def_Processes[Name(EN)],Tab_Def_Processes[Flow_ID_I_4],,0,)</f>
        <v>#N/A</v>
      </c>
      <c r="X61" s="84"/>
      <c r="Y61" s="77" t="str">
        <f>_xlfn.XLOOKUP($E61,Tab_Def_Processes[Name(EN)],Tab_Def_Processes[Input_Flow_I_5],,0,)</f>
        <v>N.A.</v>
      </c>
      <c r="Z61" s="49" t="e">
        <f>_xlfn.XLOOKUP($E61,Tab_Def_Processes[Name(EN)],Tab_Def_Processes[Flow_ID_I_5],,0,)</f>
        <v>#N/A</v>
      </c>
      <c r="AA61" s="84"/>
      <c r="AB61" s="98">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84"/>
      <c r="AF61" s="49" t="str">
        <f>_xlfn.XLOOKUP($E61,Tab_Def_Processes[Name(EN)],Tab_Def_Processes[Output_Flow_O_2],,0,)</f>
        <v>N.A.</v>
      </c>
      <c r="AG61" s="49" t="e">
        <f>_xlfn.XLOOKUP($E61,Tab_Def_Processes[Name(EN)],Tab_Def_Processes[Flow_ID_O_2],,0,)</f>
        <v>#N/A</v>
      </c>
      <c r="AH61" s="84"/>
      <c r="AI61" s="49" t="str">
        <f>_xlfn.XLOOKUP($E61,Tab_Def_Processes[Name(EN)],Tab_Def_Processes[Output_Flow_O_3],,0,)</f>
        <v>N.A.</v>
      </c>
      <c r="AJ61" s="49" t="e">
        <f>_xlfn.XLOOKUP($E61,Tab_Def_Processes[Name(EN)],Tab_Def_Processes[Flow_ID_O_3],,0,)</f>
        <v>#N/A</v>
      </c>
      <c r="AK61" s="84"/>
      <c r="AL61" s="49" t="str">
        <f>_xlfn.XLOOKUP($E61,Tab_Def_Processes[Name(EN)],Tab_Def_Processes[Output_Flow_O_4],,0,)</f>
        <v>N.A.</v>
      </c>
      <c r="AM61" s="49" t="e">
        <f>_xlfn.XLOOKUP($E61,Tab_Def_Processes[Name(EN)],Tab_Def_Processes[Flow_ID_O_4],,0,)</f>
        <v>#N/A</v>
      </c>
      <c r="AN61" s="84"/>
      <c r="AO61" s="49" t="str">
        <f>_xlfn.XLOOKUP($E61,Tab_Def_Processes[Name(EN)],Tab_Def_Processes[Output_Flow_O_5],,0,)</f>
        <v>N.A.</v>
      </c>
      <c r="AP61" s="49" t="e">
        <f>_xlfn.XLOOKUP($E61,Tab_Def_Processes[Name(EN)],Tab_Def_Processes[Flow_ID_O_5],,0,)</f>
        <v>#N/A</v>
      </c>
      <c r="AQ61" s="84"/>
      <c r="AR61" s="49" t="str">
        <f>_xlfn.XLOOKUP($E61,Tab_Def_Processes[Name(EN)],Tab_Def_Processes[Output_Flow_O_6],,0,)</f>
        <v>N.A.</v>
      </c>
      <c r="AS61" s="49" t="e">
        <f>_xlfn.XLOOKUP($E61,Tab_Def_Processes[Name(EN)],Tab_Def_Processes[Flow_ID_O_6],,0,)</f>
        <v>#N/A</v>
      </c>
      <c r="AT61" s="84"/>
      <c r="AU61" s="85">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35">
      <c r="A62" s="97" t="b">
        <v>0</v>
      </c>
      <c r="B62" s="49">
        <f t="shared" si="4"/>
        <v>61</v>
      </c>
      <c r="C62" s="49" t="str">
        <f t="shared" si="3"/>
        <v>TC61_21___0</v>
      </c>
      <c r="D62" s="121" t="str">
        <f>_xlfn.XLOOKUP($E62,Tab_Def_Processes[Name(EN)],Tab_Def_Processes[ID],,0,)</f>
        <v>21</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4"/>
      <c r="P62" s="77" t="str">
        <f>_xlfn.XLOOKUP($E62,Tab_Def_Processes[Name(EN)],Tab_Def_Processes[Input_Flow_I_2],,0,)</f>
        <v>N.A.</v>
      </c>
      <c r="Q62" s="49" t="e">
        <f>_xlfn.XLOOKUP($E62,Tab_Def_Processes[Name(EN)],Tab_Def_Processes[Flow_ID_I_2],,0,)</f>
        <v>#N/A</v>
      </c>
      <c r="R62" s="84"/>
      <c r="S62" s="77" t="str">
        <f>_xlfn.XLOOKUP($E62,Tab_Def_Processes[Name(EN)],Tab_Def_Processes[Input_Flow_I_3],,0,)</f>
        <v>N.A.</v>
      </c>
      <c r="T62" s="49" t="e">
        <f>_xlfn.XLOOKUP($E62,Tab_Def_Processes[Name(EN)],Tab_Def_Processes[Flow_ID_I_3],,0,)</f>
        <v>#N/A</v>
      </c>
      <c r="U62" s="84"/>
      <c r="V62" s="77" t="str">
        <f>_xlfn.XLOOKUP($E62,Tab_Def_Processes[Name(EN)],Tab_Def_Processes[Input_Flow_I_4],,0,)</f>
        <v>N.A.</v>
      </c>
      <c r="W62" s="49" t="e">
        <f>_xlfn.XLOOKUP($E62,Tab_Def_Processes[Name(EN)],Tab_Def_Processes[Flow_ID_I_4],,0,)</f>
        <v>#N/A</v>
      </c>
      <c r="X62" s="84"/>
      <c r="Y62" s="77" t="str">
        <f>_xlfn.XLOOKUP($E62,Tab_Def_Processes[Name(EN)],Tab_Def_Processes[Input_Flow_I_5],,0,)</f>
        <v>N.A.</v>
      </c>
      <c r="Z62" s="49" t="e">
        <f>_xlfn.XLOOKUP($E62,Tab_Def_Processes[Name(EN)],Tab_Def_Processes[Flow_ID_I_5],,0,)</f>
        <v>#N/A</v>
      </c>
      <c r="AA62" s="84"/>
      <c r="AB62" s="98">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84"/>
      <c r="AF62" s="49" t="str">
        <f>_xlfn.XLOOKUP($E62,Tab_Def_Processes[Name(EN)],Tab_Def_Processes[Output_Flow_O_2],,0,)</f>
        <v>N.A.</v>
      </c>
      <c r="AG62" s="49" t="e">
        <f>_xlfn.XLOOKUP($E62,Tab_Def_Processes[Name(EN)],Tab_Def_Processes[Flow_ID_O_2],,0,)</f>
        <v>#N/A</v>
      </c>
      <c r="AH62" s="84"/>
      <c r="AI62" s="49" t="str">
        <f>_xlfn.XLOOKUP($E62,Tab_Def_Processes[Name(EN)],Tab_Def_Processes[Output_Flow_O_3],,0,)</f>
        <v>N.A.</v>
      </c>
      <c r="AJ62" s="49" t="e">
        <f>_xlfn.XLOOKUP($E62,Tab_Def_Processes[Name(EN)],Tab_Def_Processes[Flow_ID_O_3],,0,)</f>
        <v>#N/A</v>
      </c>
      <c r="AK62" s="84"/>
      <c r="AL62" s="49" t="str">
        <f>_xlfn.XLOOKUP($E62,Tab_Def_Processes[Name(EN)],Tab_Def_Processes[Output_Flow_O_4],,0,)</f>
        <v>N.A.</v>
      </c>
      <c r="AM62" s="49" t="e">
        <f>_xlfn.XLOOKUP($E62,Tab_Def_Processes[Name(EN)],Tab_Def_Processes[Flow_ID_O_4],,0,)</f>
        <v>#N/A</v>
      </c>
      <c r="AN62" s="84"/>
      <c r="AO62" s="49" t="str">
        <f>_xlfn.XLOOKUP($E62,Tab_Def_Processes[Name(EN)],Tab_Def_Processes[Output_Flow_O_5],,0,)</f>
        <v>N.A.</v>
      </c>
      <c r="AP62" s="49" t="e">
        <f>_xlfn.XLOOKUP($E62,Tab_Def_Processes[Name(EN)],Tab_Def_Processes[Flow_ID_O_5],,0,)</f>
        <v>#N/A</v>
      </c>
      <c r="AQ62" s="84"/>
      <c r="AR62" s="49" t="str">
        <f>_xlfn.XLOOKUP($E62,Tab_Def_Processes[Name(EN)],Tab_Def_Processes[Output_Flow_O_6],,0,)</f>
        <v>N.A.</v>
      </c>
      <c r="AS62" s="49" t="e">
        <f>_xlfn.XLOOKUP($E62,Tab_Def_Processes[Name(EN)],Tab_Def_Processes[Flow_ID_O_6],,0,)</f>
        <v>#N/A</v>
      </c>
      <c r="AT62" s="84"/>
      <c r="AU62" s="85">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35">
      <c r="A63" s="97" t="b">
        <v>0</v>
      </c>
      <c r="B63" s="49">
        <f t="shared" si="4"/>
        <v>62</v>
      </c>
      <c r="C63" s="49" t="str">
        <f t="shared" si="3"/>
        <v>TC62_21___0</v>
      </c>
      <c r="D63" s="121" t="str">
        <f>_xlfn.XLOOKUP($E63,Tab_Def_Processes[Name(EN)],Tab_Def_Processes[ID],,0,)</f>
        <v>21</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4"/>
      <c r="P63" s="77" t="str">
        <f>_xlfn.XLOOKUP($E63,Tab_Def_Processes[Name(EN)],Tab_Def_Processes[Input_Flow_I_2],,0,)</f>
        <v>N.A.</v>
      </c>
      <c r="Q63" s="49" t="e">
        <f>_xlfn.XLOOKUP($E63,Tab_Def_Processes[Name(EN)],Tab_Def_Processes[Flow_ID_I_2],,0,)</f>
        <v>#N/A</v>
      </c>
      <c r="R63" s="84"/>
      <c r="S63" s="77" t="str">
        <f>_xlfn.XLOOKUP($E63,Tab_Def_Processes[Name(EN)],Tab_Def_Processes[Input_Flow_I_3],,0,)</f>
        <v>N.A.</v>
      </c>
      <c r="T63" s="49" t="e">
        <f>_xlfn.XLOOKUP($E63,Tab_Def_Processes[Name(EN)],Tab_Def_Processes[Flow_ID_I_3],,0,)</f>
        <v>#N/A</v>
      </c>
      <c r="U63" s="84"/>
      <c r="V63" s="77" t="str">
        <f>_xlfn.XLOOKUP($E63,Tab_Def_Processes[Name(EN)],Tab_Def_Processes[Input_Flow_I_4],,0,)</f>
        <v>N.A.</v>
      </c>
      <c r="W63" s="49" t="e">
        <f>_xlfn.XLOOKUP($E63,Tab_Def_Processes[Name(EN)],Tab_Def_Processes[Flow_ID_I_4],,0,)</f>
        <v>#N/A</v>
      </c>
      <c r="X63" s="84"/>
      <c r="Y63" s="77" t="str">
        <f>_xlfn.XLOOKUP($E63,Tab_Def_Processes[Name(EN)],Tab_Def_Processes[Input_Flow_I_5],,0,)</f>
        <v>N.A.</v>
      </c>
      <c r="Z63" s="49" t="e">
        <f>_xlfn.XLOOKUP($E63,Tab_Def_Processes[Name(EN)],Tab_Def_Processes[Flow_ID_I_5],,0,)</f>
        <v>#N/A</v>
      </c>
      <c r="AA63" s="84"/>
      <c r="AB63" s="98">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84"/>
      <c r="AF63" s="49" t="str">
        <f>_xlfn.XLOOKUP($E63,Tab_Def_Processes[Name(EN)],Tab_Def_Processes[Output_Flow_O_2],,0,)</f>
        <v>N.A.</v>
      </c>
      <c r="AG63" s="49" t="e">
        <f>_xlfn.XLOOKUP($E63,Tab_Def_Processes[Name(EN)],Tab_Def_Processes[Flow_ID_O_2],,0,)</f>
        <v>#N/A</v>
      </c>
      <c r="AH63" s="84"/>
      <c r="AI63" s="49" t="str">
        <f>_xlfn.XLOOKUP($E63,Tab_Def_Processes[Name(EN)],Tab_Def_Processes[Output_Flow_O_3],,0,)</f>
        <v>N.A.</v>
      </c>
      <c r="AJ63" s="49" t="e">
        <f>_xlfn.XLOOKUP($E63,Tab_Def_Processes[Name(EN)],Tab_Def_Processes[Flow_ID_O_3],,0,)</f>
        <v>#N/A</v>
      </c>
      <c r="AK63" s="84"/>
      <c r="AL63" s="49" t="str">
        <f>_xlfn.XLOOKUP($E63,Tab_Def_Processes[Name(EN)],Tab_Def_Processes[Output_Flow_O_4],,0,)</f>
        <v>N.A.</v>
      </c>
      <c r="AM63" s="49" t="e">
        <f>_xlfn.XLOOKUP($E63,Tab_Def_Processes[Name(EN)],Tab_Def_Processes[Flow_ID_O_4],,0,)</f>
        <v>#N/A</v>
      </c>
      <c r="AN63" s="84"/>
      <c r="AO63" s="49" t="str">
        <f>_xlfn.XLOOKUP($E63,Tab_Def_Processes[Name(EN)],Tab_Def_Processes[Output_Flow_O_5],,0,)</f>
        <v>N.A.</v>
      </c>
      <c r="AP63" s="49" t="e">
        <f>_xlfn.XLOOKUP($E63,Tab_Def_Processes[Name(EN)],Tab_Def_Processes[Flow_ID_O_5],,0,)</f>
        <v>#N/A</v>
      </c>
      <c r="AQ63" s="84"/>
      <c r="AR63" s="49" t="str">
        <f>_xlfn.XLOOKUP($E63,Tab_Def_Processes[Name(EN)],Tab_Def_Processes[Output_Flow_O_6],,0,)</f>
        <v>N.A.</v>
      </c>
      <c r="AS63" s="49" t="e">
        <f>_xlfn.XLOOKUP($E63,Tab_Def_Processes[Name(EN)],Tab_Def_Processes[Flow_ID_O_6],,0,)</f>
        <v>#N/A</v>
      </c>
      <c r="AT63" s="84"/>
      <c r="AU63" s="85">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E2:F63</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5" sqref="J15"/>
    </sheetView>
  </sheetViews>
  <sheetFormatPr defaultColWidth="10.81640625" defaultRowHeight="14.5" x14ac:dyDescent="0.35"/>
  <cols>
    <col min="2" max="2" width="23.7265625" customWidth="1"/>
    <col min="3" max="3" width="20.453125" customWidth="1"/>
    <col min="4" max="4" width="20.7265625" customWidth="1"/>
    <col min="5" max="6" width="14.7265625" customWidth="1"/>
    <col min="7" max="7" width="32.54296875" customWidth="1"/>
    <col min="8" max="9" width="15.54296875" customWidth="1"/>
    <col min="10" max="10" width="21.453125" customWidth="1"/>
    <col min="11" max="11" width="15.54296875" customWidth="1"/>
    <col min="13" max="13" width="25.81640625" customWidth="1"/>
    <col min="14" max="14" width="22.7265625" customWidth="1"/>
    <col min="17" max="17" width="21.26953125" customWidth="1"/>
    <col min="18" max="18" width="20" customWidth="1"/>
    <col min="19" max="19" width="32.81640625" customWidth="1"/>
    <col min="23" max="23" width="17.7265625" customWidth="1"/>
  </cols>
  <sheetData>
    <row r="1" spans="1:24" x14ac:dyDescent="0.35">
      <c r="A1" s="68" t="s">
        <v>317</v>
      </c>
      <c r="B1" s="9" t="s">
        <v>225</v>
      </c>
      <c r="C1" t="s">
        <v>318</v>
      </c>
      <c r="D1" s="67" t="s">
        <v>290</v>
      </c>
      <c r="E1" s="67" t="s">
        <v>320</v>
      </c>
      <c r="F1" t="s">
        <v>234</v>
      </c>
      <c r="G1" t="s">
        <v>291</v>
      </c>
      <c r="H1" t="s">
        <v>292</v>
      </c>
      <c r="I1" s="48" t="s">
        <v>18</v>
      </c>
      <c r="J1" s="25" t="s">
        <v>325</v>
      </c>
      <c r="K1" s="26" t="s">
        <v>293</v>
      </c>
      <c r="L1" s="32" t="s">
        <v>324</v>
      </c>
      <c r="M1" s="68" t="s">
        <v>6</v>
      </c>
      <c r="N1" s="68" t="s">
        <v>322</v>
      </c>
      <c r="O1" s="68" t="s">
        <v>233</v>
      </c>
      <c r="P1" s="68" t="s">
        <v>7</v>
      </c>
      <c r="Q1" s="68" t="s">
        <v>82</v>
      </c>
      <c r="R1" s="68" t="s">
        <v>73</v>
      </c>
      <c r="S1" s="68" t="s">
        <v>138</v>
      </c>
      <c r="T1" s="68" t="s">
        <v>139</v>
      </c>
      <c r="U1" s="68" t="s">
        <v>140</v>
      </c>
      <c r="V1" s="68" t="s">
        <v>9</v>
      </c>
      <c r="W1" s="68" t="s">
        <v>8</v>
      </c>
      <c r="X1" s="68" t="s">
        <v>10</v>
      </c>
    </row>
    <row r="2" spans="1:24" x14ac:dyDescent="0.35">
      <c r="A2" s="97" t="b">
        <v>1</v>
      </c>
      <c r="B2" s="49">
        <f t="shared" ref="B2:B33" si="0">ROW()-1</f>
        <v>1</v>
      </c>
      <c r="C2" s="49" t="str">
        <f t="shared" ref="C2:C33" si="1">LEFT(B2,2)&amp;"_"&amp;LEFT(M2,4)&amp;"_"&amp;LEFT(D2,12)</f>
        <v>1__03_MBC_BB</v>
      </c>
      <c r="D2" s="49" t="str">
        <f>_xlfn.XLOOKUP($E2,Tab_Def_Processes[Name(EN)],Tab_Def_Processes[Process_ID],,0,)</f>
        <v>03_MBC_BB</v>
      </c>
      <c r="E2" s="51" t="s">
        <v>440</v>
      </c>
      <c r="F2" s="49" t="str">
        <f>_xlfn.XLOOKUP(E2,Tab_Def_Processes[Name(EN)],Tab_Def_Processes[Region],,0,)</f>
        <v>BB</v>
      </c>
      <c r="G2" s="49" t="str">
        <f>_xlfn.XLOOKUP(E2,Tab_Def_Processes[Name(EN)],Tab_Def_Processes[Carbon_Stock],,0,)</f>
        <v>Anthroposphere</v>
      </c>
      <c r="H2" s="49" t="str">
        <f>_xlfn.XLOOKUP(E2,Tab_Def_Processes[Name(EN)],Tab_Def_Processes[Life_Phase],,0,)</f>
        <v>Use (Re-use)</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Yes</v>
      </c>
      <c r="M2" s="51"/>
      <c r="N2" s="51"/>
      <c r="O2" s="51"/>
      <c r="P2" s="51"/>
      <c r="Q2" s="51"/>
      <c r="R2" s="51"/>
      <c r="S2" s="51"/>
      <c r="T2" s="51"/>
      <c r="U2" s="51"/>
      <c r="V2" s="51"/>
      <c r="W2" s="51"/>
      <c r="X2" s="51"/>
    </row>
    <row r="3" spans="1:24" x14ac:dyDescent="0.35">
      <c r="A3" s="97" t="b">
        <v>0</v>
      </c>
      <c r="B3" s="49">
        <f t="shared" si="0"/>
        <v>2</v>
      </c>
      <c r="C3" s="49" t="e">
        <f t="shared" si="1"/>
        <v>#N/A</v>
      </c>
      <c r="D3" s="49" t="e">
        <f>_xlfn.XLOOKUP($E3,Tab_Def_Processes[Name(EN)],Tab_Def_Processes[Process_ID],,0,)</f>
        <v>#N/A</v>
      </c>
      <c r="E3" s="51" t="s">
        <v>231</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35">
      <c r="A4" s="97" t="b">
        <v>0</v>
      </c>
      <c r="B4" s="49">
        <f t="shared" si="0"/>
        <v>3</v>
      </c>
      <c r="C4" s="49" t="e">
        <f t="shared" si="1"/>
        <v>#N/A</v>
      </c>
      <c r="D4" s="49" t="e">
        <f>_xlfn.XLOOKUP($E4,Tab_Def_Processes[Name(EN)],Tab_Def_Processes[Process_ID],,0,)</f>
        <v>#N/A</v>
      </c>
      <c r="E4" s="51" t="s">
        <v>231</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35">
      <c r="A5" s="97" t="b">
        <v>0</v>
      </c>
      <c r="B5" s="49">
        <f t="shared" si="0"/>
        <v>4</v>
      </c>
      <c r="C5" s="49" t="e">
        <f t="shared" si="1"/>
        <v>#N/A</v>
      </c>
      <c r="D5" s="49" t="e">
        <f>_xlfn.XLOOKUP($E5,Tab_Def_Processes[Name(EN)],Tab_Def_Processes[Process_ID],,0,)</f>
        <v>#N/A</v>
      </c>
      <c r="E5" s="51" t="s">
        <v>231</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9"/>
      <c r="P5" s="51"/>
      <c r="Q5" s="51"/>
      <c r="R5" s="51"/>
      <c r="S5" s="51"/>
      <c r="T5" s="51"/>
      <c r="U5" s="51"/>
      <c r="V5" s="51"/>
      <c r="W5" s="51"/>
      <c r="X5" s="51"/>
    </row>
    <row r="6" spans="1:24" x14ac:dyDescent="0.35">
      <c r="A6" s="97" t="b">
        <v>0</v>
      </c>
      <c r="B6" s="49">
        <f t="shared" si="0"/>
        <v>5</v>
      </c>
      <c r="C6" s="49" t="e">
        <f t="shared" si="1"/>
        <v>#N/A</v>
      </c>
      <c r="D6" s="49" t="e">
        <f>_xlfn.XLOOKUP($E6,Tab_Def_Processes[Name(EN)],Tab_Def_Processes[Process_ID],,0,)</f>
        <v>#N/A</v>
      </c>
      <c r="E6" s="51" t="s">
        <v>231</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35">
      <c r="A7" s="97" t="b">
        <v>0</v>
      </c>
      <c r="B7" s="49">
        <f t="shared" si="0"/>
        <v>6</v>
      </c>
      <c r="C7" s="49" t="e">
        <f t="shared" si="1"/>
        <v>#N/A</v>
      </c>
      <c r="D7" s="49" t="e">
        <f>_xlfn.XLOOKUP($E7,Tab_Def_Processes[Name(EN)],Tab_Def_Processes[Process_ID],,0,)</f>
        <v>#N/A</v>
      </c>
      <c r="E7" s="51" t="s">
        <v>231</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35">
      <c r="A8" s="97" t="b">
        <v>0</v>
      </c>
      <c r="B8" s="49">
        <f t="shared" si="0"/>
        <v>7</v>
      </c>
      <c r="C8" s="49" t="e">
        <f t="shared" si="1"/>
        <v>#N/A</v>
      </c>
      <c r="D8" s="49" t="e">
        <f>_xlfn.XLOOKUP($E8,Tab_Def_Processes[Name(EN)],Tab_Def_Processes[Process_ID],,0,)</f>
        <v>#N/A</v>
      </c>
      <c r="E8" s="51" t="s">
        <v>231</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35">
      <c r="A9" s="97" t="b">
        <v>0</v>
      </c>
      <c r="B9" s="49">
        <f t="shared" si="0"/>
        <v>8</v>
      </c>
      <c r="C9" s="49" t="e">
        <f t="shared" si="1"/>
        <v>#N/A</v>
      </c>
      <c r="D9" s="49" t="e">
        <f>_xlfn.XLOOKUP($E9,Tab_Def_Processes[Name(EN)],Tab_Def_Processes[Process_ID],,0,)</f>
        <v>#N/A</v>
      </c>
      <c r="E9" s="51" t="s">
        <v>231</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35">
      <c r="A10" s="97" t="b">
        <v>0</v>
      </c>
      <c r="B10" s="49">
        <f t="shared" si="0"/>
        <v>9</v>
      </c>
      <c r="C10" s="49" t="e">
        <f t="shared" si="1"/>
        <v>#N/A</v>
      </c>
      <c r="D10" s="49" t="e">
        <f>_xlfn.XLOOKUP($E10,Tab_Def_Processes[Name(EN)],Tab_Def_Processes[Process_ID],,0,)</f>
        <v>#N/A</v>
      </c>
      <c r="E10" s="51" t="s">
        <v>231</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35">
      <c r="A11" s="97" t="b">
        <v>0</v>
      </c>
      <c r="B11" s="49">
        <f t="shared" si="0"/>
        <v>10</v>
      </c>
      <c r="C11" s="49" t="e">
        <f t="shared" si="1"/>
        <v>#N/A</v>
      </c>
      <c r="D11" s="49" t="e">
        <f>_xlfn.XLOOKUP($E11,Tab_Def_Processes[Name(EN)],Tab_Def_Processes[Process_ID],,0,)</f>
        <v>#N/A</v>
      </c>
      <c r="E11" s="51" t="s">
        <v>231</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35">
      <c r="A12" s="97" t="b">
        <v>0</v>
      </c>
      <c r="B12" s="49">
        <f t="shared" si="0"/>
        <v>11</v>
      </c>
      <c r="C12" s="49" t="e">
        <f t="shared" si="1"/>
        <v>#N/A</v>
      </c>
      <c r="D12" s="49" t="e">
        <f>_xlfn.XLOOKUP($E12,Tab_Def_Processes[Name(EN)],Tab_Def_Processes[Process_ID],,0,)</f>
        <v>#N/A</v>
      </c>
      <c r="E12" s="51" t="s">
        <v>231</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35">
      <c r="A13" s="97" t="b">
        <v>0</v>
      </c>
      <c r="B13" s="49">
        <f t="shared" si="0"/>
        <v>12</v>
      </c>
      <c r="C13" s="49" t="e">
        <f t="shared" si="1"/>
        <v>#N/A</v>
      </c>
      <c r="D13" s="49" t="e">
        <f>_xlfn.XLOOKUP($E13,Tab_Def_Processes[Name(EN)],Tab_Def_Processes[Process_ID],,0,)</f>
        <v>#N/A</v>
      </c>
      <c r="E13" s="51" t="s">
        <v>231</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35">
      <c r="A14" s="97" t="b">
        <v>0</v>
      </c>
      <c r="B14" s="49">
        <f t="shared" si="0"/>
        <v>13</v>
      </c>
      <c r="C14" s="49" t="e">
        <f t="shared" si="1"/>
        <v>#N/A</v>
      </c>
      <c r="D14" s="49" t="e">
        <f>_xlfn.XLOOKUP($E14,Tab_Def_Processes[Name(EN)],Tab_Def_Processes[Process_ID],,0,)</f>
        <v>#N/A</v>
      </c>
      <c r="E14" s="51" t="s">
        <v>231</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35">
      <c r="A15" s="97" t="b">
        <v>0</v>
      </c>
      <c r="B15" s="49">
        <f t="shared" si="0"/>
        <v>14</v>
      </c>
      <c r="C15" s="49" t="e">
        <f t="shared" si="1"/>
        <v>#N/A</v>
      </c>
      <c r="D15" s="49" t="e">
        <f>_xlfn.XLOOKUP($E15,Tab_Def_Processes[Name(EN)],Tab_Def_Processes[Process_ID],,0,)</f>
        <v>#N/A</v>
      </c>
      <c r="E15" s="51" t="s">
        <v>231</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35">
      <c r="A16" s="97" t="b">
        <v>0</v>
      </c>
      <c r="B16" s="49">
        <f t="shared" si="0"/>
        <v>15</v>
      </c>
      <c r="C16" s="49" t="e">
        <f t="shared" si="1"/>
        <v>#N/A</v>
      </c>
      <c r="D16" s="49" t="e">
        <f>_xlfn.XLOOKUP($E16,Tab_Def_Processes[Name(EN)],Tab_Def_Processes[Process_ID],,0,)</f>
        <v>#N/A</v>
      </c>
      <c r="E16" s="51" t="s">
        <v>231</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35">
      <c r="A17" s="97" t="b">
        <v>0</v>
      </c>
      <c r="B17" s="49">
        <f t="shared" si="0"/>
        <v>16</v>
      </c>
      <c r="C17" s="49" t="e">
        <f t="shared" si="1"/>
        <v>#N/A</v>
      </c>
      <c r="D17" s="49" t="e">
        <f>_xlfn.XLOOKUP($E17,Tab_Def_Processes[Name(EN)],Tab_Def_Processes[Process_ID],,0,)</f>
        <v>#N/A</v>
      </c>
      <c r="E17" s="51" t="s">
        <v>231</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35">
      <c r="A18" s="97" t="b">
        <v>0</v>
      </c>
      <c r="B18" s="49">
        <f t="shared" si="0"/>
        <v>17</v>
      </c>
      <c r="C18" s="49" t="e">
        <f t="shared" si="1"/>
        <v>#N/A</v>
      </c>
      <c r="D18" s="49" t="e">
        <f>_xlfn.XLOOKUP($E18,Tab_Def_Processes[Name(EN)],Tab_Def_Processes[Process_ID],,0,)</f>
        <v>#N/A</v>
      </c>
      <c r="E18" s="51" t="s">
        <v>231</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35">
      <c r="A19" s="97" t="b">
        <v>0</v>
      </c>
      <c r="B19" s="49">
        <f t="shared" si="0"/>
        <v>18</v>
      </c>
      <c r="C19" s="49" t="e">
        <f t="shared" si="1"/>
        <v>#N/A</v>
      </c>
      <c r="D19" s="49" t="e">
        <f>_xlfn.XLOOKUP($E19,Tab_Def_Processes[Name(EN)],Tab_Def_Processes[Process_ID],,0,)</f>
        <v>#N/A</v>
      </c>
      <c r="E19" s="51" t="s">
        <v>231</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35">
      <c r="A20" s="97" t="b">
        <v>0</v>
      </c>
      <c r="B20" s="49">
        <f t="shared" si="0"/>
        <v>19</v>
      </c>
      <c r="C20" s="49" t="e">
        <f t="shared" si="1"/>
        <v>#N/A</v>
      </c>
      <c r="D20" s="49" t="e">
        <f>_xlfn.XLOOKUP($E20,Tab_Def_Processes[Name(EN)],Tab_Def_Processes[Process_ID],,0,)</f>
        <v>#N/A</v>
      </c>
      <c r="E20" s="51" t="s">
        <v>231</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35">
      <c r="A21" s="97" t="b">
        <v>0</v>
      </c>
      <c r="B21" s="49">
        <f t="shared" si="0"/>
        <v>20</v>
      </c>
      <c r="C21" s="49" t="e">
        <f t="shared" si="1"/>
        <v>#N/A</v>
      </c>
      <c r="D21" s="49" t="e">
        <f>_xlfn.XLOOKUP($E21,Tab_Def_Processes[Name(EN)],Tab_Def_Processes[Process_ID],,0,)</f>
        <v>#N/A</v>
      </c>
      <c r="E21" s="51" t="s">
        <v>231</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35">
      <c r="A22" s="97" t="b">
        <v>0</v>
      </c>
      <c r="B22" s="49">
        <f t="shared" si="0"/>
        <v>21</v>
      </c>
      <c r="C22" s="49" t="e">
        <f t="shared" si="1"/>
        <v>#N/A</v>
      </c>
      <c r="D22" s="49" t="e">
        <f>_xlfn.XLOOKUP($E22,Tab_Def_Processes[Name(EN)],Tab_Def_Processes[Process_ID],,0,)</f>
        <v>#N/A</v>
      </c>
      <c r="E22" s="51" t="s">
        <v>231</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35">
      <c r="A23" s="97" t="b">
        <v>0</v>
      </c>
      <c r="B23" s="49">
        <f t="shared" si="0"/>
        <v>22</v>
      </c>
      <c r="C23" s="49" t="e">
        <f t="shared" si="1"/>
        <v>#N/A</v>
      </c>
      <c r="D23" s="49" t="e">
        <f>_xlfn.XLOOKUP($E23,Tab_Def_Processes[Name(EN)],Tab_Def_Processes[Process_ID],,0,)</f>
        <v>#N/A</v>
      </c>
      <c r="E23" s="51" t="s">
        <v>231</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35">
      <c r="A24" s="97" t="b">
        <v>0</v>
      </c>
      <c r="B24" s="49">
        <f t="shared" si="0"/>
        <v>23</v>
      </c>
      <c r="C24" s="49" t="e">
        <f t="shared" si="1"/>
        <v>#N/A</v>
      </c>
      <c r="D24" s="49" t="e">
        <f>_xlfn.XLOOKUP($E24,Tab_Def_Processes[Name(EN)],Tab_Def_Processes[Process_ID],,0,)</f>
        <v>#N/A</v>
      </c>
      <c r="E24" s="51" t="s">
        <v>231</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35">
      <c r="A25" s="97" t="b">
        <v>0</v>
      </c>
      <c r="B25" s="49">
        <f t="shared" si="0"/>
        <v>24</v>
      </c>
      <c r="C25" s="49" t="e">
        <f t="shared" si="1"/>
        <v>#N/A</v>
      </c>
      <c r="D25" s="49" t="e">
        <f>_xlfn.XLOOKUP($E25,Tab_Def_Processes[Name(EN)],Tab_Def_Processes[Process_ID],,0,)</f>
        <v>#N/A</v>
      </c>
      <c r="E25" s="51" t="s">
        <v>231</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35">
      <c r="A26" s="97" t="b">
        <v>0</v>
      </c>
      <c r="B26" s="49">
        <f t="shared" si="0"/>
        <v>25</v>
      </c>
      <c r="C26" s="49" t="e">
        <f t="shared" si="1"/>
        <v>#N/A</v>
      </c>
      <c r="D26" s="49" t="e">
        <f>_xlfn.XLOOKUP($E26,Tab_Def_Processes[Name(EN)],Tab_Def_Processes[Process_ID],,0,)</f>
        <v>#N/A</v>
      </c>
      <c r="E26" s="51" t="s">
        <v>231</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35">
      <c r="A27" s="97" t="b">
        <v>0</v>
      </c>
      <c r="B27" s="49">
        <f t="shared" si="0"/>
        <v>26</v>
      </c>
      <c r="C27" s="49" t="e">
        <f t="shared" si="1"/>
        <v>#N/A</v>
      </c>
      <c r="D27" s="49" t="e">
        <f>_xlfn.XLOOKUP($E27,Tab_Def_Processes[Name(EN)],Tab_Def_Processes[Process_ID],,0,)</f>
        <v>#N/A</v>
      </c>
      <c r="E27" s="51" t="s">
        <v>231</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35">
      <c r="A28" s="97" t="b">
        <v>0</v>
      </c>
      <c r="B28" s="49">
        <f t="shared" si="0"/>
        <v>27</v>
      </c>
      <c r="C28" s="49" t="e">
        <f t="shared" si="1"/>
        <v>#N/A</v>
      </c>
      <c r="D28" s="49" t="e">
        <f>_xlfn.XLOOKUP($E28,Tab_Def_Processes[Name(EN)],Tab_Def_Processes[Process_ID],,0,)</f>
        <v>#N/A</v>
      </c>
      <c r="E28" s="51" t="s">
        <v>231</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35">
      <c r="A29" s="97" t="b">
        <v>0</v>
      </c>
      <c r="B29" s="49">
        <f t="shared" si="0"/>
        <v>28</v>
      </c>
      <c r="C29" s="49" t="e">
        <f t="shared" si="1"/>
        <v>#N/A</v>
      </c>
      <c r="D29" s="49" t="e">
        <f>_xlfn.XLOOKUP($E29,Tab_Def_Processes[Name(EN)],Tab_Def_Processes[Process_ID],,0,)</f>
        <v>#N/A</v>
      </c>
      <c r="E29" s="51" t="s">
        <v>231</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35">
      <c r="A30" s="97" t="b">
        <v>0</v>
      </c>
      <c r="B30" s="49">
        <f t="shared" si="0"/>
        <v>29</v>
      </c>
      <c r="C30" s="49" t="e">
        <f t="shared" si="1"/>
        <v>#N/A</v>
      </c>
      <c r="D30" s="49" t="e">
        <f>_xlfn.XLOOKUP($E30,Tab_Def_Processes[Name(EN)],Tab_Def_Processes[Process_ID],,0,)</f>
        <v>#N/A</v>
      </c>
      <c r="E30" s="51" t="s">
        <v>231</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35">
      <c r="A31" s="97" t="b">
        <v>0</v>
      </c>
      <c r="B31" s="49">
        <f t="shared" si="0"/>
        <v>30</v>
      </c>
      <c r="C31" s="49" t="e">
        <f t="shared" si="1"/>
        <v>#N/A</v>
      </c>
      <c r="D31" s="49" t="e">
        <f>_xlfn.XLOOKUP($E31,Tab_Def_Processes[Name(EN)],Tab_Def_Processes[Process_ID],,0,)</f>
        <v>#N/A</v>
      </c>
      <c r="E31" s="51" t="s">
        <v>231</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35">
      <c r="A32" s="97" t="b">
        <v>0</v>
      </c>
      <c r="B32" s="49">
        <f t="shared" si="0"/>
        <v>31</v>
      </c>
      <c r="C32" s="49" t="e">
        <f t="shared" si="1"/>
        <v>#N/A</v>
      </c>
      <c r="D32" s="49" t="e">
        <f>_xlfn.XLOOKUP($E32,Tab_Def_Processes[Name(EN)],Tab_Def_Processes[Process_ID],,0,)</f>
        <v>#N/A</v>
      </c>
      <c r="E32" s="51" t="s">
        <v>231</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35">
      <c r="A33" s="97" t="b">
        <v>0</v>
      </c>
      <c r="B33" s="49">
        <f t="shared" si="0"/>
        <v>32</v>
      </c>
      <c r="C33" s="49" t="e">
        <f t="shared" si="1"/>
        <v>#N/A</v>
      </c>
      <c r="D33" s="49" t="e">
        <f>_xlfn.XLOOKUP($E33,Tab_Def_Processes[Name(EN)],Tab_Def_Processes[Process_ID],,0,)</f>
        <v>#N/A</v>
      </c>
      <c r="E33" s="51" t="s">
        <v>231</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35">
      <c r="A34" s="97" t="b">
        <v>0</v>
      </c>
      <c r="B34" s="49">
        <f t="shared" ref="B34:B51" si="2">ROW()-1</f>
        <v>33</v>
      </c>
      <c r="C34" s="49" t="e">
        <f t="shared" ref="C34:C63" si="3">LEFT(B34,2)&amp;"_"&amp;LEFT(M34,4)&amp;"_"&amp;LEFT(D34,12)</f>
        <v>#N/A</v>
      </c>
      <c r="D34" s="49" t="e">
        <f>_xlfn.XLOOKUP($E34,Tab_Def_Processes[Name(EN)],Tab_Def_Processes[Process_ID],,0,)</f>
        <v>#N/A</v>
      </c>
      <c r="E34" s="51" t="s">
        <v>231</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35">
      <c r="A35" s="97" t="b">
        <v>0</v>
      </c>
      <c r="B35" s="49">
        <f t="shared" si="2"/>
        <v>34</v>
      </c>
      <c r="C35" s="49" t="e">
        <f t="shared" si="3"/>
        <v>#N/A</v>
      </c>
      <c r="D35" s="49" t="e">
        <f>_xlfn.XLOOKUP($E35,Tab_Def_Processes[Name(EN)],Tab_Def_Processes[Process_ID],,0,)</f>
        <v>#N/A</v>
      </c>
      <c r="E35" s="51" t="s">
        <v>231</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35">
      <c r="A36" s="97" t="b">
        <v>0</v>
      </c>
      <c r="B36" s="49">
        <f t="shared" si="2"/>
        <v>35</v>
      </c>
      <c r="C36" s="49" t="e">
        <f t="shared" si="3"/>
        <v>#N/A</v>
      </c>
      <c r="D36" s="49" t="e">
        <f>_xlfn.XLOOKUP($E36,Tab_Def_Processes[Name(EN)],Tab_Def_Processes[Process_ID],,0,)</f>
        <v>#N/A</v>
      </c>
      <c r="E36" s="51" t="s">
        <v>231</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35">
      <c r="A37" s="97" t="b">
        <v>0</v>
      </c>
      <c r="B37" s="49">
        <f t="shared" si="2"/>
        <v>36</v>
      </c>
      <c r="C37" s="49" t="e">
        <f t="shared" si="3"/>
        <v>#N/A</v>
      </c>
      <c r="D37" s="49" t="e">
        <f>_xlfn.XLOOKUP($E37,Tab_Def_Processes[Name(EN)],Tab_Def_Processes[Process_ID],,0,)</f>
        <v>#N/A</v>
      </c>
      <c r="E37" s="51" t="s">
        <v>231</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35">
      <c r="A38" s="97" t="b">
        <v>0</v>
      </c>
      <c r="B38" s="49">
        <f t="shared" si="2"/>
        <v>37</v>
      </c>
      <c r="C38" s="49" t="e">
        <f t="shared" si="3"/>
        <v>#N/A</v>
      </c>
      <c r="D38" s="49" t="e">
        <f>_xlfn.XLOOKUP($E38,Tab_Def_Processes[Name(EN)],Tab_Def_Processes[Process_ID],,0,)</f>
        <v>#N/A</v>
      </c>
      <c r="E38" s="51" t="s">
        <v>231</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35">
      <c r="A39" s="97" t="b">
        <v>0</v>
      </c>
      <c r="B39" s="49">
        <f t="shared" si="2"/>
        <v>38</v>
      </c>
      <c r="C39" s="49" t="e">
        <f t="shared" si="3"/>
        <v>#N/A</v>
      </c>
      <c r="D39" s="49" t="e">
        <f>_xlfn.XLOOKUP($E39,Tab_Def_Processes[Name(EN)],Tab_Def_Processes[Process_ID],,0,)</f>
        <v>#N/A</v>
      </c>
      <c r="E39" s="51" t="s">
        <v>231</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35">
      <c r="A40" s="97" t="b">
        <v>0</v>
      </c>
      <c r="B40" s="49">
        <f t="shared" si="2"/>
        <v>39</v>
      </c>
      <c r="C40" s="49" t="e">
        <f t="shared" si="3"/>
        <v>#N/A</v>
      </c>
      <c r="D40" s="49" t="e">
        <f>_xlfn.XLOOKUP($E40,Tab_Def_Processes[Name(EN)],Tab_Def_Processes[Process_ID],,0,)</f>
        <v>#N/A</v>
      </c>
      <c r="E40" s="51" t="s">
        <v>231</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35">
      <c r="A41" s="97" t="b">
        <v>0</v>
      </c>
      <c r="B41" s="49">
        <f t="shared" si="2"/>
        <v>40</v>
      </c>
      <c r="C41" s="49" t="e">
        <f t="shared" si="3"/>
        <v>#N/A</v>
      </c>
      <c r="D41" s="49" t="e">
        <f>_xlfn.XLOOKUP($E41,Tab_Def_Processes[Name(EN)],Tab_Def_Processes[Process_ID],,0,)</f>
        <v>#N/A</v>
      </c>
      <c r="E41" s="51" t="s">
        <v>231</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35">
      <c r="A42" s="97" t="b">
        <v>0</v>
      </c>
      <c r="B42" s="49">
        <f t="shared" si="2"/>
        <v>41</v>
      </c>
      <c r="C42" s="49" t="e">
        <f t="shared" si="3"/>
        <v>#N/A</v>
      </c>
      <c r="D42" s="49" t="e">
        <f>_xlfn.XLOOKUP($E42,Tab_Def_Processes[Name(EN)],Tab_Def_Processes[Process_ID],,0,)</f>
        <v>#N/A</v>
      </c>
      <c r="E42" s="51" t="s">
        <v>231</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35">
      <c r="A43" s="97" t="b">
        <v>0</v>
      </c>
      <c r="B43" s="49">
        <f t="shared" si="2"/>
        <v>42</v>
      </c>
      <c r="C43" s="49" t="e">
        <f t="shared" si="3"/>
        <v>#N/A</v>
      </c>
      <c r="D43" s="49" t="e">
        <f>_xlfn.XLOOKUP($E43,Tab_Def_Processes[Name(EN)],Tab_Def_Processes[Process_ID],,0,)</f>
        <v>#N/A</v>
      </c>
      <c r="E43" s="51" t="s">
        <v>231</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35">
      <c r="A44" s="97" t="b">
        <v>0</v>
      </c>
      <c r="B44" s="49">
        <f t="shared" si="2"/>
        <v>43</v>
      </c>
      <c r="C44" s="49" t="e">
        <f t="shared" si="3"/>
        <v>#N/A</v>
      </c>
      <c r="D44" s="49" t="e">
        <f>_xlfn.XLOOKUP($E44,Tab_Def_Processes[Name(EN)],Tab_Def_Processes[Process_ID],,0,)</f>
        <v>#N/A</v>
      </c>
      <c r="E44" s="51" t="s">
        <v>231</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35">
      <c r="A45" s="97" t="b">
        <v>0</v>
      </c>
      <c r="B45" s="49">
        <f t="shared" si="2"/>
        <v>44</v>
      </c>
      <c r="C45" s="49" t="e">
        <f t="shared" si="3"/>
        <v>#N/A</v>
      </c>
      <c r="D45" s="49" t="e">
        <f>_xlfn.XLOOKUP($E45,Tab_Def_Processes[Name(EN)],Tab_Def_Processes[Process_ID],,0,)</f>
        <v>#N/A</v>
      </c>
      <c r="E45" s="51" t="s">
        <v>231</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35">
      <c r="A46" s="97" t="b">
        <v>0</v>
      </c>
      <c r="B46" s="49">
        <f t="shared" si="2"/>
        <v>45</v>
      </c>
      <c r="C46" s="49" t="e">
        <f t="shared" si="3"/>
        <v>#N/A</v>
      </c>
      <c r="D46" s="49" t="e">
        <f>_xlfn.XLOOKUP($E46,Tab_Def_Processes[Name(EN)],Tab_Def_Processes[Process_ID],,0,)</f>
        <v>#N/A</v>
      </c>
      <c r="E46" s="51" t="s">
        <v>231</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35">
      <c r="A47" s="97" t="b">
        <v>0</v>
      </c>
      <c r="B47" s="49">
        <f t="shared" si="2"/>
        <v>46</v>
      </c>
      <c r="C47" s="49" t="e">
        <f t="shared" si="3"/>
        <v>#N/A</v>
      </c>
      <c r="D47" s="49" t="e">
        <f>_xlfn.XLOOKUP($E47,Tab_Def_Processes[Name(EN)],Tab_Def_Processes[Process_ID],,0,)</f>
        <v>#N/A</v>
      </c>
      <c r="E47" s="51" t="s">
        <v>231</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35">
      <c r="A48" s="97" t="b">
        <v>0</v>
      </c>
      <c r="B48" s="49">
        <f t="shared" si="2"/>
        <v>47</v>
      </c>
      <c r="C48" s="49" t="e">
        <f t="shared" si="3"/>
        <v>#N/A</v>
      </c>
      <c r="D48" s="49" t="e">
        <f>_xlfn.XLOOKUP($E48,Tab_Def_Processes[Name(EN)],Tab_Def_Processes[Process_ID],,0,)</f>
        <v>#N/A</v>
      </c>
      <c r="E48" s="51" t="s">
        <v>231</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35">
      <c r="A49" s="97" t="b">
        <v>0</v>
      </c>
      <c r="B49" s="49">
        <f t="shared" si="2"/>
        <v>48</v>
      </c>
      <c r="C49" s="49" t="e">
        <f t="shared" si="3"/>
        <v>#N/A</v>
      </c>
      <c r="D49" s="49" t="e">
        <f>_xlfn.XLOOKUP($E49,Tab_Def_Processes[Name(EN)],Tab_Def_Processes[Process_ID],,0,)</f>
        <v>#N/A</v>
      </c>
      <c r="E49" s="51" t="s">
        <v>231</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35">
      <c r="A50" s="97" t="b">
        <v>0</v>
      </c>
      <c r="B50" s="49">
        <f t="shared" si="2"/>
        <v>49</v>
      </c>
      <c r="C50" s="49" t="e">
        <f t="shared" si="3"/>
        <v>#N/A</v>
      </c>
      <c r="D50" s="49" t="e">
        <f>_xlfn.XLOOKUP($E50,Tab_Def_Processes[Name(EN)],Tab_Def_Processes[Process_ID],,0,)</f>
        <v>#N/A</v>
      </c>
      <c r="E50" s="51" t="s">
        <v>231</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35">
      <c r="A51" s="97" t="b">
        <v>0</v>
      </c>
      <c r="B51" s="49">
        <f t="shared" si="2"/>
        <v>50</v>
      </c>
      <c r="C51" s="49" t="e">
        <f t="shared" si="3"/>
        <v>#N/A</v>
      </c>
      <c r="D51" s="49" t="e">
        <f>_xlfn.XLOOKUP($E51,Tab_Def_Processes[Name(EN)],Tab_Def_Processes[Process_ID],,0,)</f>
        <v>#N/A</v>
      </c>
      <c r="E51" s="51" t="s">
        <v>231</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35">
      <c r="A52" s="97" t="b">
        <v>0</v>
      </c>
      <c r="B52" s="49">
        <f t="shared" ref="B52:B63" si="4">ROW()-1</f>
        <v>51</v>
      </c>
      <c r="C52" s="49" t="str">
        <f t="shared" si="3"/>
        <v>51__21__</v>
      </c>
      <c r="D52" s="49" t="str">
        <f>_xlfn.XLOOKUP($E52,Tab_Def_Processes[Name(EN)],Tab_Def_Processes[Process_ID],,0,)</f>
        <v>21__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35">
      <c r="A53" s="97" t="b">
        <v>0</v>
      </c>
      <c r="B53" s="49">
        <f t="shared" si="4"/>
        <v>52</v>
      </c>
      <c r="C53" s="49" t="str">
        <f t="shared" si="3"/>
        <v>52__21__</v>
      </c>
      <c r="D53" s="49" t="str">
        <f>_xlfn.XLOOKUP($E53,Tab_Def_Processes[Name(EN)],Tab_Def_Processes[Process_ID],,0,)</f>
        <v>21__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35">
      <c r="A54" s="97" t="b">
        <v>0</v>
      </c>
      <c r="B54" s="49">
        <f t="shared" si="4"/>
        <v>53</v>
      </c>
      <c r="C54" s="49" t="str">
        <f t="shared" si="3"/>
        <v>53__21__</v>
      </c>
      <c r="D54" s="49" t="str">
        <f>_xlfn.XLOOKUP($E54,Tab_Def_Processes[Name(EN)],Tab_Def_Processes[Process_ID],,0,)</f>
        <v>21__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35">
      <c r="A55" s="97" t="b">
        <v>0</v>
      </c>
      <c r="B55" s="49">
        <f t="shared" si="4"/>
        <v>54</v>
      </c>
      <c r="C55" s="49" t="str">
        <f t="shared" si="3"/>
        <v>54__21__</v>
      </c>
      <c r="D55" s="49" t="str">
        <f>_xlfn.XLOOKUP($E55,Tab_Def_Processes[Name(EN)],Tab_Def_Processes[Process_ID],,0,)</f>
        <v>21__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35">
      <c r="A56" s="97" t="b">
        <v>0</v>
      </c>
      <c r="B56" s="49">
        <f t="shared" si="4"/>
        <v>55</v>
      </c>
      <c r="C56" s="49" t="str">
        <f t="shared" si="3"/>
        <v>55__21__</v>
      </c>
      <c r="D56" s="49" t="str">
        <f>_xlfn.XLOOKUP($E56,Tab_Def_Processes[Name(EN)],Tab_Def_Processes[Process_ID],,0,)</f>
        <v>21__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35">
      <c r="A57" s="97" t="b">
        <v>0</v>
      </c>
      <c r="B57" s="49">
        <f t="shared" si="4"/>
        <v>56</v>
      </c>
      <c r="C57" s="49" t="str">
        <f t="shared" si="3"/>
        <v>56__21__</v>
      </c>
      <c r="D57" s="49" t="str">
        <f>_xlfn.XLOOKUP($E57,Tab_Def_Processes[Name(EN)],Tab_Def_Processes[Process_ID],,0,)</f>
        <v>21__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35">
      <c r="A58" s="97" t="b">
        <v>0</v>
      </c>
      <c r="B58" s="49">
        <f t="shared" si="4"/>
        <v>57</v>
      </c>
      <c r="C58" s="49" t="str">
        <f t="shared" si="3"/>
        <v>57__21__</v>
      </c>
      <c r="D58" s="49" t="str">
        <f>_xlfn.XLOOKUP($E58,Tab_Def_Processes[Name(EN)],Tab_Def_Processes[Process_ID],,0,)</f>
        <v>21__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35">
      <c r="A59" s="97" t="b">
        <v>0</v>
      </c>
      <c r="B59" s="49">
        <f t="shared" si="4"/>
        <v>58</v>
      </c>
      <c r="C59" s="49" t="str">
        <f t="shared" si="3"/>
        <v>58__21__</v>
      </c>
      <c r="D59" s="49" t="str">
        <f>_xlfn.XLOOKUP($E59,Tab_Def_Processes[Name(EN)],Tab_Def_Processes[Process_ID],,0,)</f>
        <v>21__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35">
      <c r="A60" s="97" t="b">
        <v>0</v>
      </c>
      <c r="B60" s="49">
        <f t="shared" si="4"/>
        <v>59</v>
      </c>
      <c r="C60" s="49" t="str">
        <f t="shared" si="3"/>
        <v>59__21__</v>
      </c>
      <c r="D60" s="49" t="str">
        <f>_xlfn.XLOOKUP($E60,Tab_Def_Processes[Name(EN)],Tab_Def_Processes[Process_ID],,0,)</f>
        <v>21__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35">
      <c r="A61" s="97" t="b">
        <v>0</v>
      </c>
      <c r="B61" s="49">
        <f t="shared" si="4"/>
        <v>60</v>
      </c>
      <c r="C61" s="49" t="str">
        <f t="shared" si="3"/>
        <v>60__21__</v>
      </c>
      <c r="D61" s="49" t="str">
        <f>_xlfn.XLOOKUP($E61,Tab_Def_Processes[Name(EN)],Tab_Def_Processes[Process_ID],,0,)</f>
        <v>21__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35">
      <c r="A62" s="97" t="b">
        <v>0</v>
      </c>
      <c r="B62" s="49">
        <f t="shared" si="4"/>
        <v>61</v>
      </c>
      <c r="C62" s="49" t="str">
        <f t="shared" si="3"/>
        <v>61__21__</v>
      </c>
      <c r="D62" s="49" t="str">
        <f>_xlfn.XLOOKUP($E62,Tab_Def_Processes[Name(EN)],Tab_Def_Processes[Process_ID],,0,)</f>
        <v>21__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35">
      <c r="A63" s="97" t="b">
        <v>0</v>
      </c>
      <c r="B63" s="49">
        <f t="shared" si="4"/>
        <v>62</v>
      </c>
      <c r="C63" s="49" t="str">
        <f t="shared" si="3"/>
        <v>62__21__</v>
      </c>
      <c r="D63" s="49" t="str">
        <f>_xlfn.XLOOKUP($E63,Tab_Def_Processes[Name(EN)],Tab_Def_Processes[Process_ID],,0,)</f>
        <v>21__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4" tint="0.79998168889431442"/>
  </sheetPr>
  <dimension ref="A1"/>
  <sheetViews>
    <sheetView workbookViewId="0">
      <selection activeCell="F55" sqref="F55"/>
    </sheetView>
  </sheetViews>
  <sheetFormatPr defaultColWidth="10.81640625" defaultRowHeight="14.5" x14ac:dyDescent="0.3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4" tint="0.79998168889431442"/>
  </sheetPr>
  <dimension ref="B3:H55"/>
  <sheetViews>
    <sheetView topLeftCell="A24" zoomScale="205" zoomScaleNormal="205" workbookViewId="0">
      <selection activeCell="F44" sqref="F44"/>
    </sheetView>
  </sheetViews>
  <sheetFormatPr defaultColWidth="10.81640625" defaultRowHeight="14.5" x14ac:dyDescent="0.35"/>
  <cols>
    <col min="2" max="2" width="28.54296875" customWidth="1"/>
    <col min="3" max="3" width="25" customWidth="1"/>
    <col min="4" max="4" width="13" customWidth="1"/>
    <col min="6" max="6" width="31.453125" customWidth="1"/>
  </cols>
  <sheetData>
    <row r="3" spans="2:8" ht="15" thickBot="1" x14ac:dyDescent="0.4"/>
    <row r="4" spans="2:8" x14ac:dyDescent="0.35">
      <c r="B4" s="12" t="s">
        <v>256</v>
      </c>
      <c r="C4" s="13"/>
      <c r="D4" s="14" t="s">
        <v>255</v>
      </c>
      <c r="F4" s="12" t="s">
        <v>260</v>
      </c>
      <c r="G4" s="14" t="s">
        <v>255</v>
      </c>
    </row>
    <row r="5" spans="2:8" x14ac:dyDescent="0.35">
      <c r="B5" s="15" t="s">
        <v>239</v>
      </c>
      <c r="C5" t="s">
        <v>238</v>
      </c>
      <c r="D5" s="16" t="s">
        <v>240</v>
      </c>
      <c r="F5" t="s">
        <v>6</v>
      </c>
      <c r="G5" t="s">
        <v>259</v>
      </c>
      <c r="H5" t="s">
        <v>223</v>
      </c>
    </row>
    <row r="6" spans="2:8" x14ac:dyDescent="0.35">
      <c r="B6" s="15" t="s">
        <v>236</v>
      </c>
      <c r="C6" t="e" vm="1">
        <f ca="1">_xlfn.TRANSLATE(B6,"DE","EN")</f>
        <v>#NAME?</v>
      </c>
      <c r="D6" s="85">
        <v>0.09</v>
      </c>
      <c r="F6">
        <v>2022</v>
      </c>
      <c r="G6" s="84">
        <v>0.04</v>
      </c>
    </row>
    <row r="7" spans="2:8" x14ac:dyDescent="0.35">
      <c r="B7" s="15" t="s">
        <v>237</v>
      </c>
      <c r="C7" t="e" vm="1">
        <f t="shared" ref="C7:C18" ca="1" si="0">_xlfn.TRANSLATE(B7,"DE","EN")</f>
        <v>#NAME?</v>
      </c>
      <c r="D7" s="85">
        <v>0.06</v>
      </c>
      <c r="F7">
        <v>2021</v>
      </c>
      <c r="G7" s="84">
        <v>0.04</v>
      </c>
    </row>
    <row r="8" spans="2:8" x14ac:dyDescent="0.35">
      <c r="B8" s="15" t="s">
        <v>241</v>
      </c>
      <c r="C8" t="e" vm="1">
        <f t="shared" ca="1" si="0"/>
        <v>#NAME?</v>
      </c>
      <c r="D8" s="85">
        <v>7.0000000000000007E-2</v>
      </c>
      <c r="F8">
        <v>2020</v>
      </c>
      <c r="G8" s="84">
        <v>0.04</v>
      </c>
    </row>
    <row r="9" spans="2:8" x14ac:dyDescent="0.35">
      <c r="B9" s="15" t="s">
        <v>242</v>
      </c>
      <c r="C9" t="e" vm="1">
        <f t="shared" ca="1" si="0"/>
        <v>#NAME?</v>
      </c>
      <c r="D9" s="85">
        <v>0.02</v>
      </c>
      <c r="F9">
        <v>2019</v>
      </c>
      <c r="G9" s="84">
        <v>0.04</v>
      </c>
    </row>
    <row r="10" spans="2:8" x14ac:dyDescent="0.35">
      <c r="B10" s="15" t="s">
        <v>243</v>
      </c>
      <c r="C10" t="e" vm="1">
        <f t="shared" ca="1" si="0"/>
        <v>#NAME?</v>
      </c>
      <c r="D10" s="85">
        <v>0.38</v>
      </c>
      <c r="F10">
        <v>2018</v>
      </c>
      <c r="G10" s="84">
        <v>0.04</v>
      </c>
    </row>
    <row r="11" spans="2:8" x14ac:dyDescent="0.35">
      <c r="B11" s="15" t="s">
        <v>244</v>
      </c>
      <c r="C11" t="e" vm="1">
        <f t="shared" ca="1" si="0"/>
        <v>#NAME?</v>
      </c>
      <c r="D11" s="85">
        <v>0.1</v>
      </c>
      <c r="F11">
        <v>2017</v>
      </c>
      <c r="G11" s="84">
        <v>0.04</v>
      </c>
    </row>
    <row r="12" spans="2:8" x14ac:dyDescent="0.35">
      <c r="B12" s="15" t="s">
        <v>245</v>
      </c>
      <c r="C12" t="e" vm="1">
        <f t="shared" ca="1" si="0"/>
        <v>#NAME?</v>
      </c>
      <c r="D12" s="85">
        <v>0.01</v>
      </c>
      <c r="F12">
        <v>2016</v>
      </c>
      <c r="G12" s="84">
        <v>0.04</v>
      </c>
    </row>
    <row r="13" spans="2:8" x14ac:dyDescent="0.35">
      <c r="B13" s="15" t="s">
        <v>246</v>
      </c>
      <c r="C13" t="e" vm="1">
        <f t="shared" ca="1" si="0"/>
        <v>#NAME?</v>
      </c>
      <c r="D13" s="85">
        <v>0.04</v>
      </c>
      <c r="F13">
        <v>2015</v>
      </c>
      <c r="G13" s="84">
        <v>6.6000000000000003E-2</v>
      </c>
    </row>
    <row r="14" spans="2:8" x14ac:dyDescent="0.35">
      <c r="B14" s="15" t="s">
        <v>247</v>
      </c>
      <c r="C14" t="e" vm="1">
        <f t="shared" ca="1" si="0"/>
        <v>#NAME?</v>
      </c>
      <c r="D14" s="85">
        <v>0.02</v>
      </c>
      <c r="F14">
        <v>2014</v>
      </c>
      <c r="G14" s="84">
        <v>6.6000000000000003E-2</v>
      </c>
    </row>
    <row r="15" spans="2:8" x14ac:dyDescent="0.35">
      <c r="B15" s="15" t="s">
        <v>248</v>
      </c>
      <c r="C15" t="e" vm="1">
        <f t="shared" ca="1" si="0"/>
        <v>#NAME?</v>
      </c>
      <c r="D15" s="85">
        <v>0.06</v>
      </c>
      <c r="F15">
        <v>2013</v>
      </c>
      <c r="G15" s="84">
        <v>8.2000000000000003E-2</v>
      </c>
    </row>
    <row r="16" spans="2:8" x14ac:dyDescent="0.35">
      <c r="B16" s="15" t="s">
        <v>249</v>
      </c>
      <c r="C16" t="e" vm="1">
        <f t="shared" ca="1" si="0"/>
        <v>#NAME?</v>
      </c>
      <c r="D16" s="85">
        <v>0.01</v>
      </c>
      <c r="F16">
        <v>2012</v>
      </c>
      <c r="G16" s="84">
        <v>8.2000000000000003E-2</v>
      </c>
    </row>
    <row r="17" spans="2:8" x14ac:dyDescent="0.35">
      <c r="B17" s="15" t="s">
        <v>250</v>
      </c>
      <c r="C17" t="e" vm="1">
        <f t="shared" ca="1" si="0"/>
        <v>#NAME?</v>
      </c>
      <c r="D17" s="85">
        <v>0.09</v>
      </c>
      <c r="F17">
        <v>2011</v>
      </c>
      <c r="G17" s="84">
        <v>0.11</v>
      </c>
    </row>
    <row r="18" spans="2:8" x14ac:dyDescent="0.35">
      <c r="B18" s="15" t="s">
        <v>251</v>
      </c>
      <c r="C18" t="e" vm="1">
        <f t="shared" ca="1" si="0"/>
        <v>#NAME?</v>
      </c>
      <c r="D18" s="85">
        <v>0.05</v>
      </c>
      <c r="F18">
        <v>2010</v>
      </c>
      <c r="G18" s="84">
        <v>0.11</v>
      </c>
    </row>
    <row r="19" spans="2:8" ht="15" thickBot="1" x14ac:dyDescent="0.4">
      <c r="B19" s="17" t="s">
        <v>252</v>
      </c>
      <c r="C19" s="18"/>
      <c r="D19" s="86">
        <f>SUBTOTAL(109,MSW_comp_2021[Massenanteil])</f>
        <v>1</v>
      </c>
      <c r="F19" t="s">
        <v>261</v>
      </c>
      <c r="G19" s="84" t="s">
        <v>262</v>
      </c>
      <c r="H19" s="2" t="s">
        <v>235</v>
      </c>
    </row>
    <row r="20" spans="2:8" ht="15" thickBot="1" x14ac:dyDescent="0.4">
      <c r="B20" s="17" t="s">
        <v>253</v>
      </c>
      <c r="C20" s="18" t="s">
        <v>254</v>
      </c>
      <c r="D20" s="87" t="s">
        <v>235</v>
      </c>
      <c r="E20" t="s">
        <v>21</v>
      </c>
    </row>
    <row r="21" spans="2:8" ht="15" thickBot="1" x14ac:dyDescent="0.4"/>
    <row r="22" spans="2:8" x14ac:dyDescent="0.35">
      <c r="B22" s="12" t="s">
        <v>256</v>
      </c>
      <c r="C22" s="13"/>
      <c r="D22" s="14" t="s">
        <v>255</v>
      </c>
    </row>
    <row r="23" spans="2:8" x14ac:dyDescent="0.35">
      <c r="B23" s="15" t="s">
        <v>239</v>
      </c>
      <c r="C23" t="s">
        <v>238</v>
      </c>
      <c r="D23" s="16" t="s">
        <v>240</v>
      </c>
    </row>
    <row r="24" spans="2:8" x14ac:dyDescent="0.35">
      <c r="B24" s="15" t="s">
        <v>236</v>
      </c>
      <c r="C24" t="e" vm="1">
        <f ca="1">_xlfn.TRANSLATE(B24,"DE","EN")</f>
        <v>#NAME?</v>
      </c>
      <c r="D24" s="85">
        <v>0.09</v>
      </c>
    </row>
    <row r="25" spans="2:8" x14ac:dyDescent="0.35">
      <c r="B25" s="15" t="s">
        <v>237</v>
      </c>
      <c r="C25" t="e" vm="1">
        <f t="shared" ref="C25:C36" ca="1" si="1">_xlfn.TRANSLATE(B25,"DE","EN")</f>
        <v>#NAME?</v>
      </c>
      <c r="D25" s="85">
        <v>0.06</v>
      </c>
    </row>
    <row r="26" spans="2:8" x14ac:dyDescent="0.35">
      <c r="B26" s="15" t="s">
        <v>241</v>
      </c>
      <c r="C26" t="e" vm="1">
        <f t="shared" ca="1" si="1"/>
        <v>#NAME?</v>
      </c>
      <c r="D26" s="85">
        <v>7.0000000000000007E-2</v>
      </c>
    </row>
    <row r="27" spans="2:8" x14ac:dyDescent="0.35">
      <c r="B27" s="15" t="s">
        <v>242</v>
      </c>
      <c r="C27" t="e" vm="1">
        <f t="shared" ca="1" si="1"/>
        <v>#NAME?</v>
      </c>
      <c r="D27" s="85">
        <v>0.02</v>
      </c>
    </row>
    <row r="28" spans="2:8" x14ac:dyDescent="0.35">
      <c r="B28" s="15" t="s">
        <v>243</v>
      </c>
      <c r="C28" t="e" vm="1">
        <f t="shared" ca="1" si="1"/>
        <v>#NAME?</v>
      </c>
      <c r="D28" s="85">
        <v>0.38</v>
      </c>
    </row>
    <row r="29" spans="2:8" x14ac:dyDescent="0.35">
      <c r="B29" s="15" t="s">
        <v>244</v>
      </c>
      <c r="C29" t="e" vm="1">
        <f t="shared" ca="1" si="1"/>
        <v>#NAME?</v>
      </c>
      <c r="D29" s="85">
        <v>0.1</v>
      </c>
    </row>
    <row r="30" spans="2:8" x14ac:dyDescent="0.35">
      <c r="B30" s="15" t="s">
        <v>245</v>
      </c>
      <c r="C30" t="e" vm="1">
        <f t="shared" ca="1" si="1"/>
        <v>#NAME?</v>
      </c>
      <c r="D30" s="85">
        <v>0.01</v>
      </c>
    </row>
    <row r="31" spans="2:8" x14ac:dyDescent="0.35">
      <c r="B31" s="15" t="s">
        <v>246</v>
      </c>
      <c r="C31" t="e" vm="1">
        <f t="shared" ca="1" si="1"/>
        <v>#NAME?</v>
      </c>
      <c r="D31" s="85">
        <v>0.04</v>
      </c>
    </row>
    <row r="32" spans="2:8" x14ac:dyDescent="0.35">
      <c r="B32" s="15" t="s">
        <v>247</v>
      </c>
      <c r="C32" t="e" vm="1">
        <f t="shared" ca="1" si="1"/>
        <v>#NAME?</v>
      </c>
      <c r="D32" s="85">
        <v>0.02</v>
      </c>
    </row>
    <row r="33" spans="2:4" x14ac:dyDescent="0.35">
      <c r="B33" s="15" t="s">
        <v>248</v>
      </c>
      <c r="C33" t="e" vm="1">
        <f t="shared" ca="1" si="1"/>
        <v>#NAME?</v>
      </c>
      <c r="D33" s="85">
        <v>0.06</v>
      </c>
    </row>
    <row r="34" spans="2:4" x14ac:dyDescent="0.35">
      <c r="B34" s="15" t="s">
        <v>249</v>
      </c>
      <c r="C34" t="e" vm="1">
        <f t="shared" ca="1" si="1"/>
        <v>#NAME?</v>
      </c>
      <c r="D34" s="85">
        <v>0.01</v>
      </c>
    </row>
    <row r="35" spans="2:4" x14ac:dyDescent="0.35">
      <c r="B35" s="15" t="s">
        <v>250</v>
      </c>
      <c r="C35" t="e" vm="1">
        <f t="shared" ca="1" si="1"/>
        <v>#NAME?</v>
      </c>
      <c r="D35" s="85">
        <v>0.09</v>
      </c>
    </row>
    <row r="36" spans="2:4" x14ac:dyDescent="0.35">
      <c r="B36" s="15" t="s">
        <v>251</v>
      </c>
      <c r="C36" t="e" vm="1">
        <f t="shared" ca="1" si="1"/>
        <v>#NAME?</v>
      </c>
      <c r="D36" s="85">
        <v>0.05</v>
      </c>
    </row>
    <row r="37" spans="2:4" ht="15" thickBot="1" x14ac:dyDescent="0.4">
      <c r="B37" s="17" t="s">
        <v>252</v>
      </c>
      <c r="C37" s="18"/>
      <c r="D37" s="86">
        <f>SUBTOTAL(109,MSW_comp_202121[Massenanteil])</f>
        <v>1</v>
      </c>
    </row>
    <row r="38" spans="2:4" ht="15" thickBot="1" x14ac:dyDescent="0.4">
      <c r="B38" s="17" t="s">
        <v>253</v>
      </c>
      <c r="C38" s="18" t="s">
        <v>257</v>
      </c>
      <c r="D38" s="87" t="s">
        <v>235</v>
      </c>
    </row>
    <row r="39" spans="2:4" ht="15" thickBot="1" x14ac:dyDescent="0.4"/>
    <row r="40" spans="2:4" x14ac:dyDescent="0.35">
      <c r="B40" s="12" t="s">
        <v>256</v>
      </c>
      <c r="C40" s="13"/>
      <c r="D40" s="14" t="s">
        <v>266</v>
      </c>
    </row>
    <row r="41" spans="2:4" x14ac:dyDescent="0.35">
      <c r="B41" s="15" t="s">
        <v>239</v>
      </c>
      <c r="C41" t="s">
        <v>238</v>
      </c>
      <c r="D41" s="16" t="s">
        <v>240</v>
      </c>
    </row>
    <row r="42" spans="2:4" x14ac:dyDescent="0.35">
      <c r="B42" s="15" t="s">
        <v>236</v>
      </c>
      <c r="C42" t="e" vm="1">
        <f ca="1">_xlfn.TRANSLATE(B42,"DE","EN")</f>
        <v>#NAME?</v>
      </c>
      <c r="D42" s="85">
        <v>0.1</v>
      </c>
    </row>
    <row r="43" spans="2:4" x14ac:dyDescent="0.35">
      <c r="B43" s="15" t="s">
        <v>237</v>
      </c>
      <c r="C43" t="e" vm="1">
        <f t="shared" ref="C43:C53" ca="1" si="2">_xlfn.TRANSLATE(B43,"DE","EN")</f>
        <v>#NAME?</v>
      </c>
      <c r="D43" s="85">
        <v>0.06</v>
      </c>
    </row>
    <row r="44" spans="2:4" x14ac:dyDescent="0.35">
      <c r="B44" s="15" t="s">
        <v>241</v>
      </c>
      <c r="C44" t="e" vm="1">
        <f t="shared" ca="1" si="2"/>
        <v>#NAME?</v>
      </c>
      <c r="D44" s="85">
        <v>0.08</v>
      </c>
    </row>
    <row r="45" spans="2:4" x14ac:dyDescent="0.35">
      <c r="B45" s="15" t="s">
        <v>242</v>
      </c>
      <c r="C45" t="e" vm="1">
        <f t="shared" ca="1" si="2"/>
        <v>#NAME?</v>
      </c>
      <c r="D45" s="85">
        <v>0.02</v>
      </c>
    </row>
    <row r="46" spans="2:4" x14ac:dyDescent="0.35">
      <c r="B46" s="15" t="s">
        <v>243</v>
      </c>
      <c r="C46" t="e" vm="1">
        <f t="shared" ca="1" si="2"/>
        <v>#NAME?</v>
      </c>
      <c r="D46" s="85">
        <v>0.44</v>
      </c>
    </row>
    <row r="47" spans="2:4" x14ac:dyDescent="0.35">
      <c r="B47" s="15" t="s">
        <v>245</v>
      </c>
      <c r="C47" t="e" vm="1">
        <f t="shared" ca="1" si="2"/>
        <v>#NAME?</v>
      </c>
      <c r="D47" s="85">
        <v>0.02</v>
      </c>
    </row>
    <row r="48" spans="2:4" x14ac:dyDescent="0.35">
      <c r="B48" s="15" t="s">
        <v>246</v>
      </c>
      <c r="C48" t="e" vm="1">
        <f t="shared" ca="1" si="2"/>
        <v>#NAME?</v>
      </c>
      <c r="D48" s="85">
        <v>0.03</v>
      </c>
    </row>
    <row r="49" spans="2:4" x14ac:dyDescent="0.35">
      <c r="B49" s="15" t="s">
        <v>247</v>
      </c>
      <c r="C49" t="e" vm="1">
        <f t="shared" ca="1" si="2"/>
        <v>#NAME?</v>
      </c>
      <c r="D49" s="85">
        <v>0.03</v>
      </c>
    </row>
    <row r="50" spans="2:4" x14ac:dyDescent="0.35">
      <c r="B50" s="15" t="s">
        <v>248</v>
      </c>
      <c r="C50" t="e" vm="1">
        <f t="shared" ca="1" si="2"/>
        <v>#NAME?</v>
      </c>
      <c r="D50" s="85">
        <v>0.05</v>
      </c>
    </row>
    <row r="51" spans="2:4" x14ac:dyDescent="0.35">
      <c r="B51" s="15" t="s">
        <v>249</v>
      </c>
      <c r="C51" t="e" vm="1">
        <f t="shared" ca="1" si="2"/>
        <v>#NAME?</v>
      </c>
      <c r="D51" s="85">
        <v>0</v>
      </c>
    </row>
    <row r="52" spans="2:4" x14ac:dyDescent="0.35">
      <c r="B52" s="15" t="s">
        <v>250</v>
      </c>
      <c r="C52" t="e" vm="1">
        <f t="shared" ca="1" si="2"/>
        <v>#NAME?</v>
      </c>
      <c r="D52" s="85">
        <v>0.1</v>
      </c>
    </row>
    <row r="53" spans="2:4" x14ac:dyDescent="0.35">
      <c r="B53" s="15" t="s">
        <v>251</v>
      </c>
      <c r="C53" t="e" vm="1">
        <f t="shared" ca="1" si="2"/>
        <v>#NAME?</v>
      </c>
      <c r="D53" s="85">
        <v>7.0000000000000007E-2</v>
      </c>
    </row>
    <row r="54" spans="2:4" ht="15" thickBot="1" x14ac:dyDescent="0.4">
      <c r="B54" s="17" t="s">
        <v>252</v>
      </c>
      <c r="C54" s="18"/>
      <c r="D54" s="86">
        <f>SUBTOTAL(109,MSW_comp_20212123[Massenanteil])</f>
        <v>1</v>
      </c>
    </row>
    <row r="55" spans="2:4" ht="15" thickBot="1" x14ac:dyDescent="0.4">
      <c r="B55" s="17" t="s">
        <v>253</v>
      </c>
      <c r="C55" s="18" t="s">
        <v>267</v>
      </c>
      <c r="D55" s="87" t="s">
        <v>235</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4" tint="0.79998168889431442"/>
  </sheetPr>
  <dimension ref="A1:M41"/>
  <sheetViews>
    <sheetView zoomScale="115" zoomScaleNormal="115" workbookViewId="0">
      <selection activeCell="H30" sqref="H30"/>
    </sheetView>
  </sheetViews>
  <sheetFormatPr defaultColWidth="10.81640625" defaultRowHeight="14.5" x14ac:dyDescent="0.35"/>
  <cols>
    <col min="1" max="1" width="23.7265625" customWidth="1"/>
    <col min="2" max="2" width="32.26953125" customWidth="1"/>
    <col min="3" max="3" width="11.26953125" customWidth="1"/>
    <col min="5" max="5" width="15.26953125" customWidth="1"/>
    <col min="6" max="6" width="11.1796875" customWidth="1"/>
    <col min="10" max="10" width="12.26953125" bestFit="1" customWidth="1"/>
    <col min="11" max="11" width="14.26953125" bestFit="1" customWidth="1"/>
    <col min="13" max="13" width="10.81640625" bestFit="1" customWidth="1"/>
  </cols>
  <sheetData>
    <row r="1" spans="1:13" x14ac:dyDescent="0.35">
      <c r="A1" t="s">
        <v>19</v>
      </c>
    </row>
    <row r="2" spans="1:13" x14ac:dyDescent="0.35">
      <c r="A2" t="s">
        <v>20</v>
      </c>
    </row>
    <row r="4" spans="1:13" x14ac:dyDescent="0.35">
      <c r="A4" t="s">
        <v>21</v>
      </c>
      <c r="B4" t="s">
        <v>22</v>
      </c>
      <c r="C4" t="s">
        <v>58</v>
      </c>
      <c r="D4" t="s">
        <v>59</v>
      </c>
      <c r="E4" t="s">
        <v>60</v>
      </c>
      <c r="F4" t="s">
        <v>61</v>
      </c>
    </row>
    <row r="5" spans="1:13" x14ac:dyDescent="0.35">
      <c r="A5" t="s">
        <v>13</v>
      </c>
      <c r="B5" t="s">
        <v>23</v>
      </c>
      <c r="C5">
        <v>0.48</v>
      </c>
      <c r="D5">
        <v>1</v>
      </c>
      <c r="E5">
        <v>2.0830000000000002</v>
      </c>
      <c r="F5">
        <v>0.48</v>
      </c>
    </row>
    <row r="6" spans="1:13" x14ac:dyDescent="0.35">
      <c r="A6" t="s">
        <v>24</v>
      </c>
      <c r="B6" t="s">
        <v>23</v>
      </c>
      <c r="C6">
        <v>0.52</v>
      </c>
      <c r="D6">
        <v>1</v>
      </c>
      <c r="E6">
        <v>1.923</v>
      </c>
      <c r="F6">
        <v>0.52</v>
      </c>
    </row>
    <row r="7" spans="1:13" x14ac:dyDescent="0.35">
      <c r="A7" t="s">
        <v>25</v>
      </c>
      <c r="B7" t="s">
        <v>23</v>
      </c>
      <c r="C7">
        <v>0.52</v>
      </c>
      <c r="D7">
        <v>1</v>
      </c>
      <c r="E7">
        <v>1.923</v>
      </c>
      <c r="F7">
        <v>0.52</v>
      </c>
    </row>
    <row r="8" spans="1:13" x14ac:dyDescent="0.35">
      <c r="A8" t="s">
        <v>26</v>
      </c>
      <c r="B8" t="s">
        <v>23</v>
      </c>
      <c r="C8">
        <v>0.47</v>
      </c>
      <c r="D8">
        <v>1</v>
      </c>
      <c r="E8">
        <v>2.1280000000000001</v>
      </c>
      <c r="F8">
        <v>0.47</v>
      </c>
      <c r="J8" s="4"/>
    </row>
    <row r="9" spans="1:13" x14ac:dyDescent="0.35">
      <c r="A9" t="s">
        <v>27</v>
      </c>
      <c r="B9" t="s">
        <v>28</v>
      </c>
      <c r="C9">
        <v>0.18</v>
      </c>
      <c r="D9">
        <v>0.33</v>
      </c>
      <c r="E9">
        <v>1.833</v>
      </c>
      <c r="F9">
        <v>0.54500000000000004</v>
      </c>
    </row>
    <row r="10" spans="1:13" x14ac:dyDescent="0.35">
      <c r="A10" t="s">
        <v>29</v>
      </c>
      <c r="B10" t="s">
        <v>30</v>
      </c>
      <c r="C10">
        <v>0.47</v>
      </c>
      <c r="D10">
        <v>1</v>
      </c>
      <c r="E10">
        <v>2.1280000000000001</v>
      </c>
      <c r="F10">
        <v>0.47</v>
      </c>
    </row>
    <row r="11" spans="1:13" x14ac:dyDescent="0.35">
      <c r="A11" t="s">
        <v>31</v>
      </c>
      <c r="B11" t="s">
        <v>32</v>
      </c>
      <c r="C11">
        <v>0.8</v>
      </c>
      <c r="D11">
        <v>1.73</v>
      </c>
      <c r="E11">
        <v>2.1629999999999998</v>
      </c>
      <c r="F11">
        <v>0.46200000000000002</v>
      </c>
      <c r="K11" s="4"/>
      <c r="M11" s="4"/>
    </row>
    <row r="12" spans="1:13" x14ac:dyDescent="0.35">
      <c r="A12" t="s">
        <v>33</v>
      </c>
      <c r="B12" t="s">
        <v>34</v>
      </c>
      <c r="C12">
        <v>1</v>
      </c>
      <c r="D12">
        <v>1.98</v>
      </c>
      <c r="E12">
        <v>1.98</v>
      </c>
      <c r="F12">
        <v>0.505</v>
      </c>
    </row>
    <row r="13" spans="1:13" x14ac:dyDescent="0.35">
      <c r="A13" t="s">
        <v>35</v>
      </c>
      <c r="B13" t="s">
        <v>32</v>
      </c>
      <c r="C13">
        <v>0.9</v>
      </c>
      <c r="D13">
        <v>1.91</v>
      </c>
      <c r="E13">
        <v>2.1280000000000001</v>
      </c>
      <c r="F13">
        <v>0.47</v>
      </c>
    </row>
    <row r="14" spans="1:13" x14ac:dyDescent="0.35">
      <c r="A14" t="s">
        <v>36</v>
      </c>
      <c r="E14">
        <v>2.0369999999999999</v>
      </c>
      <c r="F14">
        <v>0.49199999999999999</v>
      </c>
    </row>
    <row r="17" spans="1:3" x14ac:dyDescent="0.35">
      <c r="A17" t="s">
        <v>37</v>
      </c>
    </row>
    <row r="18" spans="1:3" x14ac:dyDescent="0.35">
      <c r="A18" t="s">
        <v>38</v>
      </c>
    </row>
    <row r="20" spans="1:3" x14ac:dyDescent="0.35">
      <c r="A20" t="s">
        <v>39</v>
      </c>
      <c r="B20" t="s">
        <v>40</v>
      </c>
      <c r="C20" t="s">
        <v>62</v>
      </c>
    </row>
    <row r="21" spans="1:3" x14ac:dyDescent="0.35">
      <c r="A21" t="s">
        <v>41</v>
      </c>
      <c r="B21">
        <v>1.244</v>
      </c>
      <c r="C21">
        <v>2.1629999999999998</v>
      </c>
    </row>
    <row r="22" spans="1:3" x14ac:dyDescent="0.35">
      <c r="A22" t="s">
        <v>26</v>
      </c>
      <c r="B22">
        <v>1.6259999999999999</v>
      </c>
      <c r="C22">
        <v>2.1280000000000001</v>
      </c>
    </row>
    <row r="23" spans="1:3" x14ac:dyDescent="0.35">
      <c r="A23" t="s">
        <v>42</v>
      </c>
      <c r="B23">
        <v>1.208</v>
      </c>
      <c r="C23">
        <v>2.1280000000000001</v>
      </c>
    </row>
    <row r="24" spans="1:3" x14ac:dyDescent="0.35">
      <c r="A24" t="s">
        <v>43</v>
      </c>
      <c r="B24">
        <v>1.5720000000000001</v>
      </c>
      <c r="C24">
        <v>1.923</v>
      </c>
    </row>
    <row r="25" spans="1:3" x14ac:dyDescent="0.35">
      <c r="A25" t="s">
        <v>44</v>
      </c>
      <c r="B25">
        <v>1.7729999999999999</v>
      </c>
      <c r="C25">
        <v>1.923</v>
      </c>
    </row>
    <row r="26" spans="1:3" x14ac:dyDescent="0.35">
      <c r="A26" t="s">
        <v>45</v>
      </c>
      <c r="B26">
        <v>1.927</v>
      </c>
      <c r="C26">
        <v>2.0830000000000002</v>
      </c>
    </row>
    <row r="27" spans="1:3" x14ac:dyDescent="0.35">
      <c r="A27" t="s">
        <v>46</v>
      </c>
      <c r="B27">
        <v>1.111</v>
      </c>
      <c r="C27">
        <v>2.1280000000000001</v>
      </c>
    </row>
    <row r="28" spans="1:3" x14ac:dyDescent="0.35">
      <c r="A28" t="s">
        <v>47</v>
      </c>
      <c r="B28">
        <v>1.8480000000000001</v>
      </c>
      <c r="C28">
        <v>1.98</v>
      </c>
    </row>
    <row r="29" spans="1:3" x14ac:dyDescent="0.35">
      <c r="A29" t="s">
        <v>48</v>
      </c>
      <c r="B29">
        <v>1.1359999999999999</v>
      </c>
      <c r="C29">
        <v>1.923</v>
      </c>
    </row>
    <row r="30" spans="1:3" x14ac:dyDescent="0.35">
      <c r="A30" t="s">
        <v>49</v>
      </c>
      <c r="B30">
        <v>1.099</v>
      </c>
      <c r="C30">
        <v>1.25</v>
      </c>
    </row>
    <row r="31" spans="1:3" x14ac:dyDescent="0.35">
      <c r="A31" t="s">
        <v>50</v>
      </c>
      <c r="B31">
        <v>1.7569999999999999</v>
      </c>
      <c r="C31">
        <v>1.923</v>
      </c>
    </row>
    <row r="34" spans="1:2" x14ac:dyDescent="0.35">
      <c r="A34" t="s">
        <v>51</v>
      </c>
    </row>
    <row r="37" spans="1:2" ht="29" x14ac:dyDescent="0.35">
      <c r="A37" t="s">
        <v>52</v>
      </c>
      <c r="B37" s="3" t="s">
        <v>53</v>
      </c>
    </row>
    <row r="38" spans="1:2" x14ac:dyDescent="0.35">
      <c r="A38" t="s">
        <v>54</v>
      </c>
      <c r="B38">
        <v>1.3</v>
      </c>
    </row>
    <row r="39" spans="1:2" x14ac:dyDescent="0.35">
      <c r="A39" t="s">
        <v>55</v>
      </c>
      <c r="B39">
        <v>1.3</v>
      </c>
    </row>
    <row r="40" spans="1:2" x14ac:dyDescent="0.35">
      <c r="A40" t="s">
        <v>56</v>
      </c>
      <c r="B40">
        <v>1.7</v>
      </c>
    </row>
    <row r="41" spans="1:2" x14ac:dyDescent="0.35">
      <c r="A41" t="s">
        <v>57</v>
      </c>
      <c r="B41">
        <v>0.6</v>
      </c>
    </row>
  </sheetData>
  <pageMargins left="0.7" right="0.7" top="0.78740157499999996" bottom="0.78740157499999996" header="0.3" footer="0.3"/>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N34" sqref="N34"/>
    </sheetView>
  </sheetViews>
  <sheetFormatPr defaultColWidth="10.81640625" defaultRowHeight="14.5" x14ac:dyDescent="0.35"/>
  <sheetData>
    <row r="1" spans="1:1" x14ac:dyDescent="0.35">
      <c r="A1" t="s">
        <v>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H19" sqref="H19"/>
    </sheetView>
  </sheetViews>
  <sheetFormatPr defaultColWidth="10.81640625" defaultRowHeight="14.5" x14ac:dyDescent="0.35"/>
  <cols>
    <col min="4" max="4" width="13.26953125" customWidth="1"/>
    <col min="7" max="7" width="16.7265625" customWidth="1"/>
    <col min="8" max="8" width="34.1796875" customWidth="1"/>
    <col min="12" max="12" width="33.453125" customWidth="1"/>
  </cols>
  <sheetData>
    <row r="2" spans="2:19" x14ac:dyDescent="0.35">
      <c r="B2" s="130" t="s">
        <v>224</v>
      </c>
      <c r="C2" s="130"/>
      <c r="D2" s="130"/>
      <c r="F2" s="130" t="s">
        <v>292</v>
      </c>
      <c r="G2" s="130"/>
      <c r="H2" s="130"/>
      <c r="J2" s="131" t="s">
        <v>291</v>
      </c>
      <c r="K2" s="131"/>
      <c r="L2" s="131"/>
      <c r="Q2" s="131" t="s">
        <v>291</v>
      </c>
      <c r="R2" s="131"/>
      <c r="S2" s="131"/>
    </row>
    <row r="3" spans="2:19" x14ac:dyDescent="0.35">
      <c r="B3" t="s">
        <v>225</v>
      </c>
      <c r="C3" t="s">
        <v>226</v>
      </c>
      <c r="D3" t="s">
        <v>18</v>
      </c>
      <c r="F3" t="s">
        <v>225</v>
      </c>
      <c r="G3" t="s">
        <v>226</v>
      </c>
      <c r="H3" t="s">
        <v>18</v>
      </c>
      <c r="J3" s="9" t="s">
        <v>225</v>
      </c>
      <c r="K3" s="9" t="s">
        <v>226</v>
      </c>
      <c r="L3" s="9" t="s">
        <v>18</v>
      </c>
      <c r="N3" t="s">
        <v>225</v>
      </c>
      <c r="O3" t="s">
        <v>232</v>
      </c>
      <c r="Q3" s="9" t="s">
        <v>225</v>
      </c>
      <c r="R3" s="9" t="s">
        <v>226</v>
      </c>
      <c r="S3" s="9" t="s">
        <v>18</v>
      </c>
    </row>
    <row r="4" spans="2:19" x14ac:dyDescent="0.35">
      <c r="B4">
        <v>1</v>
      </c>
      <c r="C4" t="s">
        <v>227</v>
      </c>
      <c r="F4">
        <v>1</v>
      </c>
      <c r="G4" t="s">
        <v>229</v>
      </c>
      <c r="H4" t="s">
        <v>229</v>
      </c>
      <c r="J4" s="10">
        <v>1</v>
      </c>
      <c r="K4" s="10" t="s">
        <v>348</v>
      </c>
      <c r="L4" s="10" t="s">
        <v>348</v>
      </c>
      <c r="N4">
        <v>1</v>
      </c>
      <c r="O4" t="s">
        <v>68</v>
      </c>
      <c r="Q4" s="10">
        <v>1</v>
      </c>
      <c r="R4" s="10" t="s">
        <v>348</v>
      </c>
      <c r="S4" s="10" t="s">
        <v>348</v>
      </c>
    </row>
    <row r="5" spans="2:19" x14ac:dyDescent="0.35">
      <c r="B5">
        <v>2</v>
      </c>
      <c r="C5" t="s">
        <v>102</v>
      </c>
      <c r="F5">
        <v>2</v>
      </c>
      <c r="G5" t="s">
        <v>174</v>
      </c>
      <c r="H5" t="s">
        <v>174</v>
      </c>
      <c r="J5">
        <v>2</v>
      </c>
      <c r="K5" t="s">
        <v>191</v>
      </c>
      <c r="L5" t="s">
        <v>191</v>
      </c>
      <c r="N5">
        <v>2</v>
      </c>
      <c r="O5" t="s">
        <v>71</v>
      </c>
      <c r="Q5">
        <v>2</v>
      </c>
      <c r="R5" t="s">
        <v>191</v>
      </c>
      <c r="S5" t="s">
        <v>191</v>
      </c>
    </row>
    <row r="6" spans="2:19" x14ac:dyDescent="0.35">
      <c r="B6">
        <v>3</v>
      </c>
      <c r="F6">
        <v>3</v>
      </c>
      <c r="G6" t="s">
        <v>177</v>
      </c>
      <c r="H6" t="s">
        <v>177</v>
      </c>
      <c r="J6" s="10">
        <v>3</v>
      </c>
      <c r="K6" s="10" t="s">
        <v>349</v>
      </c>
      <c r="L6" s="10" t="s">
        <v>349</v>
      </c>
      <c r="Q6" s="10">
        <v>3</v>
      </c>
      <c r="R6" s="10" t="s">
        <v>349</v>
      </c>
      <c r="S6" s="10" t="s">
        <v>349</v>
      </c>
    </row>
    <row r="7" spans="2:19" x14ac:dyDescent="0.35">
      <c r="B7">
        <v>4</v>
      </c>
      <c r="F7">
        <v>4</v>
      </c>
      <c r="G7" t="s">
        <v>352</v>
      </c>
      <c r="H7" t="s">
        <v>352</v>
      </c>
      <c r="J7">
        <v>4</v>
      </c>
      <c r="K7" t="s">
        <v>350</v>
      </c>
      <c r="L7" t="s">
        <v>350</v>
      </c>
      <c r="Q7">
        <v>4</v>
      </c>
      <c r="R7" t="s">
        <v>350</v>
      </c>
      <c r="S7" t="s">
        <v>350</v>
      </c>
    </row>
    <row r="8" spans="2:19" x14ac:dyDescent="0.35">
      <c r="B8">
        <v>5</v>
      </c>
      <c r="F8">
        <v>5</v>
      </c>
      <c r="J8" s="10">
        <v>5</v>
      </c>
      <c r="K8" s="10" t="s">
        <v>351</v>
      </c>
      <c r="L8" s="10" t="s">
        <v>351</v>
      </c>
      <c r="Q8" s="10">
        <v>5</v>
      </c>
      <c r="R8" s="10" t="s">
        <v>351</v>
      </c>
      <c r="S8" s="10" t="s">
        <v>351</v>
      </c>
    </row>
    <row r="9" spans="2:19" x14ac:dyDescent="0.35">
      <c r="B9">
        <v>6</v>
      </c>
      <c r="C9" t="s">
        <v>228</v>
      </c>
      <c r="F9">
        <v>6</v>
      </c>
      <c r="J9">
        <v>6</v>
      </c>
    </row>
    <row r="10" spans="2:19" x14ac:dyDescent="0.35">
      <c r="B10">
        <v>7</v>
      </c>
      <c r="F10">
        <v>7</v>
      </c>
    </row>
    <row r="11" spans="2:19" x14ac:dyDescent="0.35">
      <c r="B11">
        <v>8</v>
      </c>
      <c r="F11">
        <v>8</v>
      </c>
    </row>
    <row r="14" spans="2:19" x14ac:dyDescent="0.35">
      <c r="B14" s="130" t="s">
        <v>388</v>
      </c>
      <c r="C14" s="130"/>
      <c r="D14" s="130"/>
      <c r="F14" s="130" t="s">
        <v>408</v>
      </c>
      <c r="G14" s="130"/>
      <c r="H14" s="130"/>
    </row>
    <row r="15" spans="2:19" x14ac:dyDescent="0.35">
      <c r="B15" s="67" t="s">
        <v>225</v>
      </c>
      <c r="C15" s="67" t="s">
        <v>226</v>
      </c>
      <c r="D15" s="67" t="s">
        <v>18</v>
      </c>
      <c r="F15" s="67" t="s">
        <v>225</v>
      </c>
      <c r="G15" s="67" t="s">
        <v>226</v>
      </c>
      <c r="H15" s="67" t="s">
        <v>18</v>
      </c>
    </row>
    <row r="16" spans="2:19" x14ac:dyDescent="0.35">
      <c r="B16" s="10">
        <v>1</v>
      </c>
      <c r="C16" s="10" t="s">
        <v>389</v>
      </c>
      <c r="D16" s="10"/>
      <c r="F16" s="10">
        <v>1</v>
      </c>
      <c r="G16" s="10" t="s">
        <v>410</v>
      </c>
      <c r="H16" s="10" t="s">
        <v>412</v>
      </c>
    </row>
    <row r="17" spans="2:8" x14ac:dyDescent="0.35">
      <c r="B17" s="10">
        <v>2</v>
      </c>
      <c r="C17" s="10" t="s">
        <v>390</v>
      </c>
      <c r="D17" s="10"/>
      <c r="F17" s="10">
        <v>2</v>
      </c>
      <c r="G17" s="10" t="s">
        <v>411</v>
      </c>
      <c r="H17" s="10" t="s">
        <v>413</v>
      </c>
    </row>
    <row r="18" spans="2:8" x14ac:dyDescent="0.35">
      <c r="B18">
        <v>3</v>
      </c>
      <c r="C18" t="s">
        <v>387</v>
      </c>
      <c r="F18" s="10">
        <v>3</v>
      </c>
      <c r="G18" s="10" t="s">
        <v>415</v>
      </c>
      <c r="H18" s="10" t="s">
        <v>416</v>
      </c>
    </row>
    <row r="19" spans="2:8" x14ac:dyDescent="0.35">
      <c r="F19" s="10">
        <v>4</v>
      </c>
      <c r="G19" s="10" t="s">
        <v>409</v>
      </c>
      <c r="H19" s="10" t="s">
        <v>414</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1640625" defaultRowHeight="14.5" x14ac:dyDescent="0.35"/>
  <sheetData>
    <row r="1" spans="1:1" x14ac:dyDescent="0.35">
      <c r="A1" t="s">
        <v>222</v>
      </c>
    </row>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1640625" defaultRowHeight="14.5" x14ac:dyDescent="0.35"/>
  <cols>
    <col min="2" max="4" width="16.54296875" customWidth="1"/>
    <col min="5" max="5" width="35" customWidth="1"/>
    <col min="6" max="6" width="14.7265625" customWidth="1"/>
    <col min="7" max="7" width="32.54296875" customWidth="1"/>
    <col min="8" max="9" width="15.54296875" customWidth="1"/>
    <col min="10" max="10" width="21.453125" customWidth="1"/>
    <col min="11" max="11" width="15.54296875" customWidth="1"/>
  </cols>
  <sheetData>
    <row r="1" spans="1:13" x14ac:dyDescent="0.35">
      <c r="A1" s="67" t="s">
        <v>223</v>
      </c>
      <c r="B1" s="9" t="s">
        <v>225</v>
      </c>
      <c r="C1" s="48" t="s">
        <v>319</v>
      </c>
      <c r="D1" t="s">
        <v>290</v>
      </c>
      <c r="E1" s="67" t="s">
        <v>230</v>
      </c>
      <c r="F1" t="s">
        <v>320</v>
      </c>
      <c r="G1" t="s">
        <v>234</v>
      </c>
      <c r="H1" t="s">
        <v>291</v>
      </c>
      <c r="I1" t="s">
        <v>292</v>
      </c>
      <c r="J1" s="48" t="s">
        <v>18</v>
      </c>
      <c r="K1" s="25" t="s">
        <v>325</v>
      </c>
      <c r="L1" s="26" t="s">
        <v>293</v>
      </c>
      <c r="M1" s="32" t="s">
        <v>324</v>
      </c>
    </row>
    <row r="2" spans="1:13" x14ac:dyDescent="0.35">
      <c r="A2" s="97"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231</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35">
      <c r="A3" s="97" t="b">
        <v>0</v>
      </c>
      <c r="B3" s="49">
        <f t="shared" si="0"/>
        <v>2</v>
      </c>
      <c r="C3" s="49" t="e">
        <f t="shared" si="1"/>
        <v>#N/A</v>
      </c>
      <c r="D3" s="49" t="e">
        <f>_xlfn.XLOOKUP($F3,Tab_Def_Processes[Name(EN)],Tab_Def_Processes[Process_ID],,0,)</f>
        <v>#N/A</v>
      </c>
      <c r="E3" s="49" t="e">
        <f>_xlfn.XLOOKUP(F3,Tab_Def_Processes[Name(EN)],#REF!,,0,)</f>
        <v>#REF!</v>
      </c>
      <c r="F3" s="51" t="s">
        <v>231</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35">
      <c r="A4" s="97" t="b">
        <v>0</v>
      </c>
      <c r="B4" s="49">
        <f t="shared" si="0"/>
        <v>3</v>
      </c>
      <c r="C4" s="49" t="e">
        <f t="shared" si="1"/>
        <v>#N/A</v>
      </c>
      <c r="D4" s="49" t="e">
        <f>_xlfn.XLOOKUP($F4,Tab_Def_Processes[Name(EN)],Tab_Def_Processes[Process_ID],,0,)</f>
        <v>#N/A</v>
      </c>
      <c r="E4" s="49" t="e">
        <f>_xlfn.XLOOKUP(F4,Tab_Def_Processes[Name(EN)],#REF!,,0,)</f>
        <v>#REF!</v>
      </c>
      <c r="F4" s="51" t="s">
        <v>231</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35">
      <c r="A5" s="97" t="b">
        <v>0</v>
      </c>
      <c r="B5" s="49">
        <f t="shared" si="0"/>
        <v>4</v>
      </c>
      <c r="C5" s="49" t="e">
        <f t="shared" si="1"/>
        <v>#N/A</v>
      </c>
      <c r="D5" s="49" t="e">
        <f>_xlfn.XLOOKUP($F5,Tab_Def_Processes[Name(EN)],Tab_Def_Processes[Process_ID],,0,)</f>
        <v>#N/A</v>
      </c>
      <c r="E5" s="49" t="e">
        <f>_xlfn.XLOOKUP(F5,Tab_Def_Processes[Name(EN)],#REF!,,0,)</f>
        <v>#REF!</v>
      </c>
      <c r="F5" s="51" t="s">
        <v>231</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35">
      <c r="A6" s="97" t="b">
        <v>0</v>
      </c>
      <c r="B6" s="49">
        <f t="shared" si="0"/>
        <v>5</v>
      </c>
      <c r="C6" s="49" t="e">
        <f t="shared" si="1"/>
        <v>#N/A</v>
      </c>
      <c r="D6" s="49" t="e">
        <f>_xlfn.XLOOKUP($F6,Tab_Def_Processes[Name(EN)],Tab_Def_Processes[Process_ID],,0,)</f>
        <v>#N/A</v>
      </c>
      <c r="E6" s="49" t="e">
        <f>_xlfn.XLOOKUP(F6,Tab_Def_Processes[Name(EN)],#REF!,,0,)</f>
        <v>#REF!</v>
      </c>
      <c r="F6" s="51" t="s">
        <v>231</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35">
      <c r="A7" s="97" t="b">
        <v>0</v>
      </c>
      <c r="B7" s="49">
        <f t="shared" si="0"/>
        <v>6</v>
      </c>
      <c r="C7" s="49" t="e">
        <f t="shared" si="1"/>
        <v>#N/A</v>
      </c>
      <c r="D7" s="49" t="e">
        <f>_xlfn.XLOOKUP($F7,Tab_Def_Processes[Name(EN)],Tab_Def_Processes[Process_ID],,0,)</f>
        <v>#N/A</v>
      </c>
      <c r="E7" s="49" t="e">
        <f>_xlfn.XLOOKUP(F7,Tab_Def_Processes[Name(EN)],#REF!,,0,)</f>
        <v>#REF!</v>
      </c>
      <c r="F7" s="51" t="s">
        <v>231</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35">
      <c r="A8" s="97" t="b">
        <v>0</v>
      </c>
      <c r="B8" s="49">
        <f t="shared" si="0"/>
        <v>7</v>
      </c>
      <c r="C8" s="49" t="e">
        <f t="shared" si="1"/>
        <v>#N/A</v>
      </c>
      <c r="D8" s="49" t="e">
        <f>_xlfn.XLOOKUP($F8,Tab_Def_Processes[Name(EN)],Tab_Def_Processes[Process_ID],,0,)</f>
        <v>#N/A</v>
      </c>
      <c r="E8" s="49" t="e">
        <f>_xlfn.XLOOKUP(F8,Tab_Def_Processes[Name(EN)],#REF!,,0,)</f>
        <v>#REF!</v>
      </c>
      <c r="F8" s="51" t="s">
        <v>231</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35">
      <c r="A9" s="97" t="b">
        <v>0</v>
      </c>
      <c r="B9" s="49">
        <f t="shared" si="0"/>
        <v>8</v>
      </c>
      <c r="C9" s="49" t="e">
        <f t="shared" si="1"/>
        <v>#N/A</v>
      </c>
      <c r="D9" s="49" t="e">
        <f>_xlfn.XLOOKUP($F9,Tab_Def_Processes[Name(EN)],Tab_Def_Processes[Process_ID],,0,)</f>
        <v>#N/A</v>
      </c>
      <c r="E9" s="49" t="e">
        <f>_xlfn.XLOOKUP(F9,Tab_Def_Processes[Name(EN)],#REF!,,0,)</f>
        <v>#REF!</v>
      </c>
      <c r="F9" s="51" t="s">
        <v>231</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35">
      <c r="A10" s="97" t="b">
        <v>0</v>
      </c>
      <c r="B10" s="49">
        <f t="shared" si="0"/>
        <v>9</v>
      </c>
      <c r="C10" s="49" t="e">
        <f t="shared" si="1"/>
        <v>#N/A</v>
      </c>
      <c r="D10" s="49" t="e">
        <f>_xlfn.XLOOKUP($F10,Tab_Def_Processes[Name(EN)],Tab_Def_Processes[Process_ID],,0,)</f>
        <v>#N/A</v>
      </c>
      <c r="E10" s="49" t="e">
        <f>_xlfn.XLOOKUP(F10,Tab_Def_Processes[Name(EN)],#REF!,,0,)</f>
        <v>#REF!</v>
      </c>
      <c r="F10" s="51" t="s">
        <v>231</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35">
      <c r="A11" s="97" t="b">
        <v>0</v>
      </c>
      <c r="B11" s="49">
        <f t="shared" si="0"/>
        <v>10</v>
      </c>
      <c r="C11" s="49" t="e">
        <f t="shared" si="1"/>
        <v>#N/A</v>
      </c>
      <c r="D11" s="49" t="e">
        <f>_xlfn.XLOOKUP($F11,Tab_Def_Processes[Name(EN)],Tab_Def_Processes[Process_ID],,0,)</f>
        <v>#N/A</v>
      </c>
      <c r="E11" s="49" t="e">
        <f>_xlfn.XLOOKUP(F11,Tab_Def_Processes[Name(EN)],#REF!,,0,)</f>
        <v>#REF!</v>
      </c>
      <c r="F11" s="51" t="s">
        <v>231</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35">
      <c r="A12" s="97" t="b">
        <v>0</v>
      </c>
      <c r="B12" s="49">
        <f t="shared" si="0"/>
        <v>11</v>
      </c>
      <c r="C12" s="49" t="e">
        <f t="shared" si="1"/>
        <v>#N/A</v>
      </c>
      <c r="D12" s="49" t="e">
        <f>_xlfn.XLOOKUP($F12,Tab_Def_Processes[Name(EN)],Tab_Def_Processes[Process_ID],,0,)</f>
        <v>#N/A</v>
      </c>
      <c r="E12" s="49" t="e">
        <f>_xlfn.XLOOKUP(F12,Tab_Def_Processes[Name(EN)],#REF!,,0,)</f>
        <v>#REF!</v>
      </c>
      <c r="F12" s="51" t="s">
        <v>231</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35">
      <c r="A13" s="97" t="b">
        <v>0</v>
      </c>
      <c r="B13" s="49">
        <f t="shared" si="0"/>
        <v>12</v>
      </c>
      <c r="C13" s="49" t="e">
        <f t="shared" si="1"/>
        <v>#N/A</v>
      </c>
      <c r="D13" s="49" t="e">
        <f>_xlfn.XLOOKUP($F13,Tab_Def_Processes[Name(EN)],Tab_Def_Processes[Process_ID],,0,)</f>
        <v>#N/A</v>
      </c>
      <c r="E13" s="49" t="e">
        <f>_xlfn.XLOOKUP(F13,Tab_Def_Processes[Name(EN)],#REF!,,0,)</f>
        <v>#REF!</v>
      </c>
      <c r="F13" s="51" t="s">
        <v>231</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35">
      <c r="A14" s="97" t="b">
        <v>0</v>
      </c>
      <c r="B14" s="49">
        <f t="shared" si="0"/>
        <v>13</v>
      </c>
      <c r="C14" s="49" t="e">
        <f t="shared" si="1"/>
        <v>#N/A</v>
      </c>
      <c r="D14" s="49" t="e">
        <f>_xlfn.XLOOKUP($F14,Tab_Def_Processes[Name(EN)],Tab_Def_Processes[Process_ID],,0,)</f>
        <v>#N/A</v>
      </c>
      <c r="E14" s="49" t="e">
        <f>_xlfn.XLOOKUP(F14,Tab_Def_Processes[Name(EN)],#REF!,,0,)</f>
        <v>#REF!</v>
      </c>
      <c r="F14" s="51" t="s">
        <v>231</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35">
      <c r="A15" s="97" t="b">
        <v>0</v>
      </c>
      <c r="B15" s="49">
        <f t="shared" si="0"/>
        <v>14</v>
      </c>
      <c r="C15" s="49" t="e">
        <f t="shared" si="1"/>
        <v>#N/A</v>
      </c>
      <c r="D15" s="49" t="e">
        <f>_xlfn.XLOOKUP($F15,Tab_Def_Processes[Name(EN)],Tab_Def_Processes[Process_ID],,0,)</f>
        <v>#N/A</v>
      </c>
      <c r="E15" s="49" t="e">
        <f>_xlfn.XLOOKUP(F15,Tab_Def_Processes[Name(EN)],#REF!,,0,)</f>
        <v>#REF!</v>
      </c>
      <c r="F15" s="51" t="s">
        <v>231</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35">
      <c r="A16" s="97" t="b">
        <v>0</v>
      </c>
      <c r="B16" s="49">
        <f t="shared" si="0"/>
        <v>15</v>
      </c>
      <c r="C16" s="49" t="e">
        <f t="shared" si="1"/>
        <v>#N/A</v>
      </c>
      <c r="D16" s="49" t="e">
        <f>_xlfn.XLOOKUP($F16,Tab_Def_Processes[Name(EN)],Tab_Def_Processes[Process_ID],,0,)</f>
        <v>#N/A</v>
      </c>
      <c r="E16" s="49" t="e">
        <f>_xlfn.XLOOKUP(F16,Tab_Def_Processes[Name(EN)],#REF!,,0,)</f>
        <v>#REF!</v>
      </c>
      <c r="F16" s="51" t="s">
        <v>231</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35">
      <c r="A17" s="97" t="b">
        <v>0</v>
      </c>
      <c r="B17" s="49">
        <f t="shared" si="0"/>
        <v>16</v>
      </c>
      <c r="C17" s="49" t="e">
        <f t="shared" si="1"/>
        <v>#N/A</v>
      </c>
      <c r="D17" s="49" t="e">
        <f>_xlfn.XLOOKUP($F17,Tab_Def_Processes[Name(EN)],Tab_Def_Processes[Process_ID],,0,)</f>
        <v>#N/A</v>
      </c>
      <c r="E17" s="49" t="e">
        <f>_xlfn.XLOOKUP(F17,Tab_Def_Processes[Name(EN)],#REF!,,0,)</f>
        <v>#REF!</v>
      </c>
      <c r="F17" s="51" t="s">
        <v>231</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35">
      <c r="A18" s="97" t="b">
        <v>0</v>
      </c>
      <c r="B18" s="49">
        <f t="shared" si="0"/>
        <v>17</v>
      </c>
      <c r="C18" s="49" t="e">
        <f t="shared" si="1"/>
        <v>#N/A</v>
      </c>
      <c r="D18" s="49" t="e">
        <f>_xlfn.XLOOKUP($F18,Tab_Def_Processes[Name(EN)],Tab_Def_Processes[Process_ID],,0,)</f>
        <v>#N/A</v>
      </c>
      <c r="E18" s="49" t="e">
        <f>_xlfn.XLOOKUP(F18,Tab_Def_Processes[Name(EN)],#REF!,,0,)</f>
        <v>#REF!</v>
      </c>
      <c r="F18" s="51" t="s">
        <v>231</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35">
      <c r="A19" s="97" t="b">
        <v>0</v>
      </c>
      <c r="B19" s="49">
        <f t="shared" si="0"/>
        <v>18</v>
      </c>
      <c r="C19" s="49" t="e">
        <f t="shared" si="1"/>
        <v>#N/A</v>
      </c>
      <c r="D19" s="49" t="e">
        <f>_xlfn.XLOOKUP($F19,Tab_Def_Processes[Name(EN)],Tab_Def_Processes[Process_ID],,0,)</f>
        <v>#N/A</v>
      </c>
      <c r="E19" s="49" t="e">
        <f>_xlfn.XLOOKUP(F19,Tab_Def_Processes[Name(EN)],#REF!,,0,)</f>
        <v>#REF!</v>
      </c>
      <c r="F19" s="51" t="s">
        <v>231</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35">
      <c r="A20" s="97" t="b">
        <v>0</v>
      </c>
      <c r="B20" s="49">
        <f t="shared" si="0"/>
        <v>19</v>
      </c>
      <c r="C20" s="49" t="e">
        <f t="shared" si="1"/>
        <v>#N/A</v>
      </c>
      <c r="D20" s="49" t="e">
        <f>_xlfn.XLOOKUP($F20,Tab_Def_Processes[Name(EN)],Tab_Def_Processes[Process_ID],,0,)</f>
        <v>#N/A</v>
      </c>
      <c r="E20" s="49" t="e">
        <f>_xlfn.XLOOKUP(F20,Tab_Def_Processes[Name(EN)],#REF!,,0,)</f>
        <v>#REF!</v>
      </c>
      <c r="F20" s="51" t="s">
        <v>231</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35">
      <c r="A21" s="97" t="b">
        <v>0</v>
      </c>
      <c r="B21" s="49">
        <f t="shared" si="0"/>
        <v>20</v>
      </c>
      <c r="C21" s="49" t="e">
        <f t="shared" si="1"/>
        <v>#N/A</v>
      </c>
      <c r="D21" s="49" t="e">
        <f>_xlfn.XLOOKUP($F21,Tab_Def_Processes[Name(EN)],Tab_Def_Processes[Process_ID],,0,)</f>
        <v>#N/A</v>
      </c>
      <c r="E21" s="49" t="e">
        <f>_xlfn.XLOOKUP(F21,Tab_Def_Processes[Name(EN)],#REF!,,0,)</f>
        <v>#REF!</v>
      </c>
      <c r="F21" s="51" t="s">
        <v>231</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35">
      <c r="A22" s="97" t="b">
        <v>0</v>
      </c>
      <c r="B22" s="49">
        <f t="shared" si="0"/>
        <v>21</v>
      </c>
      <c r="C22" s="49" t="e">
        <f t="shared" si="1"/>
        <v>#N/A</v>
      </c>
      <c r="D22" s="49" t="e">
        <f>_xlfn.XLOOKUP($F22,Tab_Def_Processes[Name(EN)],Tab_Def_Processes[Process_ID],,0,)</f>
        <v>#N/A</v>
      </c>
      <c r="E22" s="49" t="e">
        <f>_xlfn.XLOOKUP(F22,Tab_Def_Processes[Name(EN)],#REF!,,0,)</f>
        <v>#REF!</v>
      </c>
      <c r="F22" s="51" t="s">
        <v>231</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35">
      <c r="A23" s="97" t="b">
        <v>0</v>
      </c>
      <c r="B23" s="49">
        <f t="shared" si="0"/>
        <v>22</v>
      </c>
      <c r="C23" s="49" t="e">
        <f t="shared" si="1"/>
        <v>#N/A</v>
      </c>
      <c r="D23" s="49" t="e">
        <f>_xlfn.XLOOKUP($F23,Tab_Def_Processes[Name(EN)],Tab_Def_Processes[Process_ID],,0,)</f>
        <v>#N/A</v>
      </c>
      <c r="E23" s="49" t="e">
        <f>_xlfn.XLOOKUP(F23,Tab_Def_Processes[Name(EN)],#REF!,,0,)</f>
        <v>#REF!</v>
      </c>
      <c r="F23" s="51" t="s">
        <v>231</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35">
      <c r="A24" s="97" t="b">
        <v>0</v>
      </c>
      <c r="B24" s="49">
        <f t="shared" si="0"/>
        <v>23</v>
      </c>
      <c r="C24" s="49" t="e">
        <f t="shared" si="1"/>
        <v>#N/A</v>
      </c>
      <c r="D24" s="49" t="e">
        <f>_xlfn.XLOOKUP($F24,Tab_Def_Processes[Name(EN)],Tab_Def_Processes[Process_ID],,0,)</f>
        <v>#N/A</v>
      </c>
      <c r="E24" s="49" t="e">
        <f>_xlfn.XLOOKUP(F24,Tab_Def_Processes[Name(EN)],#REF!,,0,)</f>
        <v>#REF!</v>
      </c>
      <c r="F24" s="51" t="s">
        <v>231</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35">
      <c r="A25" s="97" t="b">
        <v>0</v>
      </c>
      <c r="B25" s="49">
        <f t="shared" si="0"/>
        <v>24</v>
      </c>
      <c r="C25" s="49" t="e">
        <f t="shared" si="1"/>
        <v>#N/A</v>
      </c>
      <c r="D25" s="49" t="e">
        <f>_xlfn.XLOOKUP($F25,Tab_Def_Processes[Name(EN)],Tab_Def_Processes[Process_ID],,0,)</f>
        <v>#N/A</v>
      </c>
      <c r="E25" s="49" t="e">
        <f>_xlfn.XLOOKUP(F25,Tab_Def_Processes[Name(EN)],#REF!,,0,)</f>
        <v>#REF!</v>
      </c>
      <c r="F25" s="51" t="s">
        <v>231</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35">
      <c r="A26" s="97" t="b">
        <v>0</v>
      </c>
      <c r="B26" s="49">
        <f t="shared" si="0"/>
        <v>25</v>
      </c>
      <c r="C26" s="49" t="e">
        <f t="shared" si="1"/>
        <v>#N/A</v>
      </c>
      <c r="D26" s="49" t="e">
        <f>_xlfn.XLOOKUP($F26,Tab_Def_Processes[Name(EN)],Tab_Def_Processes[Process_ID],,0,)</f>
        <v>#N/A</v>
      </c>
      <c r="E26" s="49" t="e">
        <f>_xlfn.XLOOKUP(F26,Tab_Def_Processes[Name(EN)],#REF!,,0,)</f>
        <v>#REF!</v>
      </c>
      <c r="F26" s="51" t="s">
        <v>231</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35">
      <c r="A27" s="97" t="b">
        <v>0</v>
      </c>
      <c r="B27" s="49">
        <f t="shared" si="0"/>
        <v>26</v>
      </c>
      <c r="C27" s="49" t="e">
        <f t="shared" si="1"/>
        <v>#N/A</v>
      </c>
      <c r="D27" s="49" t="e">
        <f>_xlfn.XLOOKUP($F27,Tab_Def_Processes[Name(EN)],Tab_Def_Processes[Process_ID],,0,)</f>
        <v>#N/A</v>
      </c>
      <c r="E27" s="49" t="e">
        <f>_xlfn.XLOOKUP(F27,Tab_Def_Processes[Name(EN)],#REF!,,0,)</f>
        <v>#REF!</v>
      </c>
      <c r="F27" s="51" t="s">
        <v>231</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35">
      <c r="A28" s="97" t="b">
        <v>0</v>
      </c>
      <c r="B28" s="49">
        <f t="shared" si="0"/>
        <v>27</v>
      </c>
      <c r="C28" s="49" t="e">
        <f t="shared" si="1"/>
        <v>#N/A</v>
      </c>
      <c r="D28" s="49" t="e">
        <f>_xlfn.XLOOKUP($F28,Tab_Def_Processes[Name(EN)],Tab_Def_Processes[Process_ID],,0,)</f>
        <v>#N/A</v>
      </c>
      <c r="E28" s="49" t="e">
        <f>_xlfn.XLOOKUP(F28,Tab_Def_Processes[Name(EN)],#REF!,,0,)</f>
        <v>#REF!</v>
      </c>
      <c r="F28" s="51" t="s">
        <v>231</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35">
      <c r="A29" s="97" t="b">
        <v>0</v>
      </c>
      <c r="B29" s="49">
        <f t="shared" si="0"/>
        <v>28</v>
      </c>
      <c r="C29" s="49" t="e">
        <f t="shared" si="1"/>
        <v>#N/A</v>
      </c>
      <c r="D29" s="49" t="e">
        <f>_xlfn.XLOOKUP($F29,Tab_Def_Processes[Name(EN)],Tab_Def_Processes[Process_ID],,0,)</f>
        <v>#N/A</v>
      </c>
      <c r="E29" s="49" t="e">
        <f>_xlfn.XLOOKUP(F29,Tab_Def_Processes[Name(EN)],#REF!,,0,)</f>
        <v>#REF!</v>
      </c>
      <c r="F29" s="51" t="s">
        <v>231</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35">
      <c r="A30" s="97" t="b">
        <v>0</v>
      </c>
      <c r="B30" s="49">
        <f t="shared" si="0"/>
        <v>29</v>
      </c>
      <c r="C30" s="49" t="e">
        <f t="shared" si="1"/>
        <v>#N/A</v>
      </c>
      <c r="D30" s="49" t="e">
        <f>_xlfn.XLOOKUP($F30,Tab_Def_Processes[Name(EN)],Tab_Def_Processes[Process_ID],,0,)</f>
        <v>#N/A</v>
      </c>
      <c r="E30" s="49" t="e">
        <f>_xlfn.XLOOKUP(F30,Tab_Def_Processes[Name(EN)],#REF!,,0,)</f>
        <v>#REF!</v>
      </c>
      <c r="F30" s="51" t="s">
        <v>231</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35">
      <c r="A31" s="97" t="b">
        <v>0</v>
      </c>
      <c r="B31" s="49">
        <f t="shared" si="0"/>
        <v>30</v>
      </c>
      <c r="C31" s="49" t="e">
        <f t="shared" si="1"/>
        <v>#N/A</v>
      </c>
      <c r="D31" s="49" t="e">
        <f>_xlfn.XLOOKUP($F31,Tab_Def_Processes[Name(EN)],Tab_Def_Processes[Process_ID],,0,)</f>
        <v>#N/A</v>
      </c>
      <c r="E31" s="49" t="e">
        <f>_xlfn.XLOOKUP(F31,Tab_Def_Processes[Name(EN)],#REF!,,0,)</f>
        <v>#REF!</v>
      </c>
      <c r="F31" s="51" t="s">
        <v>231</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35">
      <c r="A32" s="97" t="b">
        <v>0</v>
      </c>
      <c r="B32" s="49">
        <f t="shared" si="0"/>
        <v>31</v>
      </c>
      <c r="C32" s="49" t="e">
        <f t="shared" si="1"/>
        <v>#N/A</v>
      </c>
      <c r="D32" s="49" t="e">
        <f>_xlfn.XLOOKUP($F32,Tab_Def_Processes[Name(EN)],Tab_Def_Processes[Process_ID],,0,)</f>
        <v>#N/A</v>
      </c>
      <c r="E32" s="49" t="e">
        <f>_xlfn.XLOOKUP(F32,Tab_Def_Processes[Name(EN)],#REF!,,0,)</f>
        <v>#REF!</v>
      </c>
      <c r="F32" s="51" t="s">
        <v>231</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35">
      <c r="A33" s="97" t="b">
        <v>0</v>
      </c>
      <c r="B33" s="49">
        <f t="shared" si="0"/>
        <v>32</v>
      </c>
      <c r="C33" s="49" t="e">
        <f t="shared" si="1"/>
        <v>#N/A</v>
      </c>
      <c r="D33" s="49" t="e">
        <f>_xlfn.XLOOKUP($F33,Tab_Def_Processes[Name(EN)],Tab_Def_Processes[Process_ID],,0,)</f>
        <v>#N/A</v>
      </c>
      <c r="E33" s="49" t="e">
        <f>_xlfn.XLOOKUP(F33,Tab_Def_Processes[Name(EN)],#REF!,,0,)</f>
        <v>#REF!</v>
      </c>
      <c r="F33" s="51" t="s">
        <v>231</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35">
      <c r="A34" s="97"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231</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35">
      <c r="A35" s="97" t="b">
        <v>0</v>
      </c>
      <c r="B35" s="49">
        <f t="shared" si="2"/>
        <v>34</v>
      </c>
      <c r="C35" s="49" t="e">
        <f t="shared" si="3"/>
        <v>#N/A</v>
      </c>
      <c r="D35" s="49" t="e">
        <f>_xlfn.XLOOKUP($F35,Tab_Def_Processes[Name(EN)],Tab_Def_Processes[Process_ID],,0,)</f>
        <v>#N/A</v>
      </c>
      <c r="E35" s="49" t="e">
        <f>_xlfn.XLOOKUP(F35,Tab_Def_Processes[Name(EN)],#REF!,,0,)</f>
        <v>#REF!</v>
      </c>
      <c r="F35" s="51" t="s">
        <v>231</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35">
      <c r="A36" s="97" t="b">
        <v>0</v>
      </c>
      <c r="B36" s="49">
        <f t="shared" si="2"/>
        <v>35</v>
      </c>
      <c r="C36" s="49" t="e">
        <f t="shared" si="3"/>
        <v>#N/A</v>
      </c>
      <c r="D36" s="49" t="e">
        <f>_xlfn.XLOOKUP($F36,Tab_Def_Processes[Name(EN)],Tab_Def_Processes[Process_ID],,0,)</f>
        <v>#N/A</v>
      </c>
      <c r="E36" s="49" t="e">
        <f>_xlfn.XLOOKUP(F36,Tab_Def_Processes[Name(EN)],#REF!,,0,)</f>
        <v>#REF!</v>
      </c>
      <c r="F36" s="51" t="s">
        <v>231</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35">
      <c r="A37" s="97" t="b">
        <v>0</v>
      </c>
      <c r="B37" s="49">
        <f t="shared" si="2"/>
        <v>36</v>
      </c>
      <c r="C37" s="49" t="e">
        <f t="shared" si="3"/>
        <v>#N/A</v>
      </c>
      <c r="D37" s="49" t="e">
        <f>_xlfn.XLOOKUP($F37,Tab_Def_Processes[Name(EN)],Tab_Def_Processes[Process_ID],,0,)</f>
        <v>#N/A</v>
      </c>
      <c r="E37" s="49" t="e">
        <f>_xlfn.XLOOKUP(F37,Tab_Def_Processes[Name(EN)],#REF!,,0,)</f>
        <v>#REF!</v>
      </c>
      <c r="F37" s="51" t="s">
        <v>231</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35">
      <c r="A38" s="97" t="b">
        <v>0</v>
      </c>
      <c r="B38" s="49">
        <f t="shared" si="2"/>
        <v>37</v>
      </c>
      <c r="C38" s="49" t="e">
        <f t="shared" si="3"/>
        <v>#N/A</v>
      </c>
      <c r="D38" s="49" t="e">
        <f>_xlfn.XLOOKUP($F38,Tab_Def_Processes[Name(EN)],Tab_Def_Processes[Process_ID],,0,)</f>
        <v>#N/A</v>
      </c>
      <c r="E38" s="49" t="e">
        <f>_xlfn.XLOOKUP(F38,Tab_Def_Processes[Name(EN)],#REF!,,0,)</f>
        <v>#REF!</v>
      </c>
      <c r="F38" s="51" t="s">
        <v>231</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35">
      <c r="A39" s="97" t="b">
        <v>0</v>
      </c>
      <c r="B39" s="49">
        <f t="shared" si="2"/>
        <v>38</v>
      </c>
      <c r="C39" s="49" t="e">
        <f t="shared" si="3"/>
        <v>#N/A</v>
      </c>
      <c r="D39" s="49" t="e">
        <f>_xlfn.XLOOKUP($F39,Tab_Def_Processes[Name(EN)],Tab_Def_Processes[Process_ID],,0,)</f>
        <v>#N/A</v>
      </c>
      <c r="E39" s="49" t="e">
        <f>_xlfn.XLOOKUP(F39,Tab_Def_Processes[Name(EN)],#REF!,,0,)</f>
        <v>#REF!</v>
      </c>
      <c r="F39" s="51" t="s">
        <v>231</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35">
      <c r="A40" s="97" t="b">
        <v>0</v>
      </c>
      <c r="B40" s="49">
        <f t="shared" si="2"/>
        <v>39</v>
      </c>
      <c r="C40" s="49" t="e">
        <f t="shared" si="3"/>
        <v>#N/A</v>
      </c>
      <c r="D40" s="49" t="e">
        <f>_xlfn.XLOOKUP($F40,Tab_Def_Processes[Name(EN)],Tab_Def_Processes[Process_ID],,0,)</f>
        <v>#N/A</v>
      </c>
      <c r="E40" s="49" t="e">
        <f>_xlfn.XLOOKUP(F40,Tab_Def_Processes[Name(EN)],#REF!,,0,)</f>
        <v>#REF!</v>
      </c>
      <c r="F40" s="51" t="s">
        <v>231</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35">
      <c r="A41" s="97" t="b">
        <v>0</v>
      </c>
      <c r="B41" s="49">
        <f t="shared" si="2"/>
        <v>40</v>
      </c>
      <c r="C41" s="49" t="e">
        <f t="shared" si="3"/>
        <v>#N/A</v>
      </c>
      <c r="D41" s="49" t="e">
        <f>_xlfn.XLOOKUP($F41,Tab_Def_Processes[Name(EN)],Tab_Def_Processes[Process_ID],,0,)</f>
        <v>#N/A</v>
      </c>
      <c r="E41" s="49" t="e">
        <f>_xlfn.XLOOKUP(F41,Tab_Def_Processes[Name(EN)],#REF!,,0,)</f>
        <v>#REF!</v>
      </c>
      <c r="F41" s="51" t="s">
        <v>231</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35">
      <c r="A42" s="97" t="b">
        <v>0</v>
      </c>
      <c r="B42" s="49">
        <f t="shared" si="2"/>
        <v>41</v>
      </c>
      <c r="C42" s="49" t="e">
        <f t="shared" si="3"/>
        <v>#N/A</v>
      </c>
      <c r="D42" s="49" t="e">
        <f>_xlfn.XLOOKUP($F42,Tab_Def_Processes[Name(EN)],Tab_Def_Processes[Process_ID],,0,)</f>
        <v>#N/A</v>
      </c>
      <c r="E42" s="49" t="e">
        <f>_xlfn.XLOOKUP(F42,Tab_Def_Processes[Name(EN)],#REF!,,0,)</f>
        <v>#REF!</v>
      </c>
      <c r="F42" s="51" t="s">
        <v>231</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35">
      <c r="A43" s="97" t="b">
        <v>0</v>
      </c>
      <c r="B43" s="49">
        <f t="shared" si="2"/>
        <v>42</v>
      </c>
      <c r="C43" s="49" t="e">
        <f t="shared" si="3"/>
        <v>#N/A</v>
      </c>
      <c r="D43" s="49" t="e">
        <f>_xlfn.XLOOKUP($F43,Tab_Def_Processes[Name(EN)],Tab_Def_Processes[Process_ID],,0,)</f>
        <v>#N/A</v>
      </c>
      <c r="E43" s="49" t="e">
        <f>_xlfn.XLOOKUP(F43,Tab_Def_Processes[Name(EN)],#REF!,,0,)</f>
        <v>#REF!</v>
      </c>
      <c r="F43" s="51" t="s">
        <v>231</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35">
      <c r="A44" s="97" t="b">
        <v>0</v>
      </c>
      <c r="B44" s="49">
        <f t="shared" si="2"/>
        <v>43</v>
      </c>
      <c r="C44" s="49" t="e">
        <f t="shared" si="3"/>
        <v>#N/A</v>
      </c>
      <c r="D44" s="49" t="e">
        <f>_xlfn.XLOOKUP($F44,Tab_Def_Processes[Name(EN)],Tab_Def_Processes[Process_ID],,0,)</f>
        <v>#N/A</v>
      </c>
      <c r="E44" s="49" t="e">
        <f>_xlfn.XLOOKUP(F44,Tab_Def_Processes[Name(EN)],#REF!,,0,)</f>
        <v>#REF!</v>
      </c>
      <c r="F44" s="51" t="s">
        <v>231</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35">
      <c r="A45" s="97" t="b">
        <v>0</v>
      </c>
      <c r="B45" s="49">
        <f t="shared" si="2"/>
        <v>44</v>
      </c>
      <c r="C45" s="49" t="e">
        <f t="shared" si="3"/>
        <v>#N/A</v>
      </c>
      <c r="D45" s="49" t="e">
        <f>_xlfn.XLOOKUP($F45,Tab_Def_Processes[Name(EN)],Tab_Def_Processes[Process_ID],,0,)</f>
        <v>#N/A</v>
      </c>
      <c r="E45" s="49" t="e">
        <f>_xlfn.XLOOKUP(F45,Tab_Def_Processes[Name(EN)],#REF!,,0,)</f>
        <v>#REF!</v>
      </c>
      <c r="F45" s="51" t="s">
        <v>231</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35">
      <c r="A46" s="97" t="b">
        <v>0</v>
      </c>
      <c r="B46" s="49">
        <f t="shared" si="2"/>
        <v>45</v>
      </c>
      <c r="C46" s="49" t="e">
        <f t="shared" si="3"/>
        <v>#N/A</v>
      </c>
      <c r="D46" s="49" t="e">
        <f>_xlfn.XLOOKUP($F46,Tab_Def_Processes[Name(EN)],Tab_Def_Processes[Process_ID],,0,)</f>
        <v>#N/A</v>
      </c>
      <c r="E46" s="49" t="e">
        <f>_xlfn.XLOOKUP(F46,Tab_Def_Processes[Name(EN)],#REF!,,0,)</f>
        <v>#REF!</v>
      </c>
      <c r="F46" s="51" t="s">
        <v>231</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35">
      <c r="A47" s="97" t="b">
        <v>0</v>
      </c>
      <c r="B47" s="49">
        <f t="shared" si="2"/>
        <v>46</v>
      </c>
      <c r="C47" s="49" t="e">
        <f t="shared" si="3"/>
        <v>#N/A</v>
      </c>
      <c r="D47" s="49" t="e">
        <f>_xlfn.XLOOKUP($F47,Tab_Def_Processes[Name(EN)],Tab_Def_Processes[Process_ID],,0,)</f>
        <v>#N/A</v>
      </c>
      <c r="E47" s="49" t="e">
        <f>_xlfn.XLOOKUP(F47,Tab_Def_Processes[Name(EN)],#REF!,,0,)</f>
        <v>#REF!</v>
      </c>
      <c r="F47" s="51" t="s">
        <v>231</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35">
      <c r="A48" s="97" t="b">
        <v>0</v>
      </c>
      <c r="B48" s="49">
        <f t="shared" si="2"/>
        <v>47</v>
      </c>
      <c r="C48" s="49" t="e">
        <f t="shared" si="3"/>
        <v>#N/A</v>
      </c>
      <c r="D48" s="49" t="e">
        <f>_xlfn.XLOOKUP($F48,Tab_Def_Processes[Name(EN)],Tab_Def_Processes[Process_ID],,0,)</f>
        <v>#N/A</v>
      </c>
      <c r="E48" s="49" t="e">
        <f>_xlfn.XLOOKUP(F48,Tab_Def_Processes[Name(EN)],#REF!,,0,)</f>
        <v>#REF!</v>
      </c>
      <c r="F48" s="51" t="s">
        <v>231</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35">
      <c r="A49" s="97" t="b">
        <v>0</v>
      </c>
      <c r="B49" s="49">
        <f t="shared" si="2"/>
        <v>48</v>
      </c>
      <c r="C49" s="49" t="e">
        <f t="shared" si="3"/>
        <v>#N/A</v>
      </c>
      <c r="D49" s="49" t="e">
        <f>_xlfn.XLOOKUP($F49,Tab_Def_Processes[Name(EN)],Tab_Def_Processes[Process_ID],,0,)</f>
        <v>#N/A</v>
      </c>
      <c r="E49" s="49" t="e">
        <f>_xlfn.XLOOKUP(F49,Tab_Def_Processes[Name(EN)],#REF!,,0,)</f>
        <v>#REF!</v>
      </c>
      <c r="F49" s="51" t="s">
        <v>231</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35">
      <c r="A50" s="97" t="b">
        <v>0</v>
      </c>
      <c r="B50" s="49">
        <f t="shared" si="2"/>
        <v>49</v>
      </c>
      <c r="C50" s="49" t="e">
        <f t="shared" si="3"/>
        <v>#N/A</v>
      </c>
      <c r="D50" s="49" t="e">
        <f>_xlfn.XLOOKUP($F50,Tab_Def_Processes[Name(EN)],Tab_Def_Processes[Process_ID],,0,)</f>
        <v>#N/A</v>
      </c>
      <c r="E50" s="49" t="e">
        <f>_xlfn.XLOOKUP(F50,Tab_Def_Processes[Name(EN)],#REF!,,0,)</f>
        <v>#REF!</v>
      </c>
      <c r="F50" s="51" t="s">
        <v>231</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35">
      <c r="A51" s="97" t="b">
        <v>0</v>
      </c>
      <c r="B51" s="49">
        <f t="shared" si="2"/>
        <v>50</v>
      </c>
      <c r="C51" s="49" t="e">
        <f t="shared" si="3"/>
        <v>#N/A</v>
      </c>
      <c r="D51" s="49" t="e">
        <f>_xlfn.XLOOKUP($F51,Tab_Def_Processes[Name(EN)],Tab_Def_Processes[Process_ID],,0,)</f>
        <v>#N/A</v>
      </c>
      <c r="E51" s="49" t="e">
        <f>_xlfn.XLOOKUP(F51,Tab_Def_Processes[Name(EN)],#REF!,,0,)</f>
        <v>#REF!</v>
      </c>
      <c r="F51" s="51" t="s">
        <v>231</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35">
      <c r="A52" s="97" t="b">
        <v>0</v>
      </c>
      <c r="B52" s="49">
        <f t="shared" si="2"/>
        <v>51</v>
      </c>
      <c r="C52" s="49" t="str">
        <f t="shared" si="3"/>
        <v>D51_21____0</v>
      </c>
      <c r="D52" s="49" t="str">
        <f>_xlfn.XLOOKUP($F52,Tab_Def_Processes[Name(EN)],Tab_Def_Processes[Process_ID],,0,)</f>
        <v>21__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35">
      <c r="A53" s="97" t="b">
        <v>0</v>
      </c>
      <c r="B53" s="49">
        <f t="shared" si="2"/>
        <v>52</v>
      </c>
      <c r="C53" s="49" t="str">
        <f t="shared" si="3"/>
        <v>D52_21____0</v>
      </c>
      <c r="D53" s="49" t="str">
        <f>_xlfn.XLOOKUP($F53,Tab_Def_Processes[Name(EN)],Tab_Def_Processes[Process_ID],,0,)</f>
        <v>21__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35">
      <c r="A54" s="97" t="b">
        <v>0</v>
      </c>
      <c r="B54" s="49">
        <f t="shared" si="2"/>
        <v>53</v>
      </c>
      <c r="C54" s="49" t="str">
        <f t="shared" si="3"/>
        <v>D53_21____0</v>
      </c>
      <c r="D54" s="49" t="str">
        <f>_xlfn.XLOOKUP($F54,Tab_Def_Processes[Name(EN)],Tab_Def_Processes[Process_ID],,0,)</f>
        <v>21__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35">
      <c r="A55" s="97" t="b">
        <v>0</v>
      </c>
      <c r="B55" s="49">
        <f t="shared" si="2"/>
        <v>54</v>
      </c>
      <c r="C55" s="49" t="str">
        <f t="shared" si="3"/>
        <v>D54_21____0</v>
      </c>
      <c r="D55" s="49" t="str">
        <f>_xlfn.XLOOKUP($F55,Tab_Def_Processes[Name(EN)],Tab_Def_Processes[Process_ID],,0,)</f>
        <v>21__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35">
      <c r="A56" s="97" t="b">
        <v>0</v>
      </c>
      <c r="B56" s="49">
        <f t="shared" si="2"/>
        <v>55</v>
      </c>
      <c r="C56" s="49" t="str">
        <f t="shared" si="3"/>
        <v>D55_21____0</v>
      </c>
      <c r="D56" s="49" t="str">
        <f>_xlfn.XLOOKUP($F56,Tab_Def_Processes[Name(EN)],Tab_Def_Processes[Process_ID],,0,)</f>
        <v>21__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35">
      <c r="A57" s="97" t="b">
        <v>0</v>
      </c>
      <c r="B57" s="49">
        <f t="shared" si="2"/>
        <v>56</v>
      </c>
      <c r="C57" s="49" t="str">
        <f t="shared" si="3"/>
        <v>D56_21____0</v>
      </c>
      <c r="D57" s="49" t="str">
        <f>_xlfn.XLOOKUP($F57,Tab_Def_Processes[Name(EN)],Tab_Def_Processes[Process_ID],,0,)</f>
        <v>21__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35">
      <c r="A58" s="97" t="b">
        <v>0</v>
      </c>
      <c r="B58" s="49">
        <f t="shared" si="2"/>
        <v>57</v>
      </c>
      <c r="C58" s="49" t="str">
        <f t="shared" si="3"/>
        <v>D57_21____0</v>
      </c>
      <c r="D58" s="49" t="str">
        <f>_xlfn.XLOOKUP($F58,Tab_Def_Processes[Name(EN)],Tab_Def_Processes[Process_ID],,0,)</f>
        <v>21__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35">
      <c r="A59" s="97" t="b">
        <v>0</v>
      </c>
      <c r="B59" s="49">
        <f t="shared" si="2"/>
        <v>58</v>
      </c>
      <c r="C59" s="49" t="str">
        <f t="shared" si="3"/>
        <v>D58_21____0</v>
      </c>
      <c r="D59" s="49" t="str">
        <f>_xlfn.XLOOKUP($F59,Tab_Def_Processes[Name(EN)],Tab_Def_Processes[Process_ID],,0,)</f>
        <v>21__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35">
      <c r="A60" s="97" t="b">
        <v>0</v>
      </c>
      <c r="B60" s="49">
        <f t="shared" si="2"/>
        <v>59</v>
      </c>
      <c r="C60" s="49" t="str">
        <f t="shared" si="3"/>
        <v>D59_21____0</v>
      </c>
      <c r="D60" s="49" t="str">
        <f>_xlfn.XLOOKUP($F60,Tab_Def_Processes[Name(EN)],Tab_Def_Processes[Process_ID],,0,)</f>
        <v>21__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35">
      <c r="A61" s="97" t="b">
        <v>0</v>
      </c>
      <c r="B61" s="49">
        <f t="shared" si="2"/>
        <v>60</v>
      </c>
      <c r="C61" s="49" t="str">
        <f t="shared" si="3"/>
        <v>D60_21____0</v>
      </c>
      <c r="D61" s="49" t="str">
        <f>_xlfn.XLOOKUP($F61,Tab_Def_Processes[Name(EN)],Tab_Def_Processes[Process_ID],,0,)</f>
        <v>21__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35">
      <c r="A62" s="97" t="b">
        <v>0</v>
      </c>
      <c r="B62" s="49">
        <f t="shared" si="2"/>
        <v>61</v>
      </c>
      <c r="C62" s="49" t="str">
        <f t="shared" si="3"/>
        <v>D61_21____0</v>
      </c>
      <c r="D62" s="49" t="str">
        <f>_xlfn.XLOOKUP($F62,Tab_Def_Processes[Name(EN)],Tab_Def_Processes[Process_ID],,0,)</f>
        <v>21__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35">
      <c r="A63" s="97" t="b">
        <v>0</v>
      </c>
      <c r="B63" s="49">
        <f t="shared" si="2"/>
        <v>62</v>
      </c>
      <c r="C63" s="49" t="str">
        <f t="shared" si="3"/>
        <v>D62_21____0</v>
      </c>
      <c r="D63" s="49" t="str">
        <f>_xlfn.XLOOKUP($F63,Tab_Def_Processes[Name(EN)],Tab_Def_Processes[Process_ID],,0,)</f>
        <v>21__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1640625" defaultRowHeight="14.5" x14ac:dyDescent="0.35"/>
  <cols>
    <col min="4" max="4" width="27.54296875" customWidth="1"/>
    <col min="5" max="5" width="19.453125" customWidth="1"/>
    <col min="6" max="6" width="14.453125" customWidth="1"/>
    <col min="7" max="7" width="23.1796875" customWidth="1"/>
    <col min="8" max="8" width="17.54296875" customWidth="1"/>
    <col min="10" max="10" width="13.26953125" customWidth="1"/>
    <col min="12" max="12" width="13.26953125" customWidth="1"/>
    <col min="14" max="14" width="13.26953125" customWidth="1"/>
    <col min="16" max="16" width="13.26953125" customWidth="1"/>
    <col min="18" max="18" width="22.81640625" customWidth="1"/>
    <col min="19" max="19" width="11.453125" customWidth="1"/>
    <col min="20" max="20" width="14.7265625" customWidth="1"/>
    <col min="21" max="21" width="11.453125" customWidth="1"/>
    <col min="22" max="22" width="19.81640625" customWidth="1"/>
    <col min="23" max="23" width="11.453125" customWidth="1"/>
    <col min="24" max="24" width="14.7265625" customWidth="1"/>
    <col min="25" max="25" width="11.453125" customWidth="1"/>
    <col min="26" max="26" width="14.7265625" customWidth="1"/>
    <col min="27" max="27" width="11.453125" customWidth="1"/>
    <col min="28" max="28" width="14.7265625" customWidth="1"/>
    <col min="30" max="30" width="15.26953125" customWidth="1"/>
    <col min="31" max="31" width="24.81640625" customWidth="1"/>
  </cols>
  <sheetData>
    <row r="2" spans="2:32" ht="15" thickBot="1" x14ac:dyDescent="0.4">
      <c r="B2" s="130" t="s">
        <v>2</v>
      </c>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row>
    <row r="3" spans="2:32" x14ac:dyDescent="0.35">
      <c r="B3" t="s">
        <v>1</v>
      </c>
      <c r="C3" t="s">
        <v>148</v>
      </c>
      <c r="D3" t="s">
        <v>3</v>
      </c>
      <c r="E3" t="s">
        <v>78</v>
      </c>
      <c r="F3" t="s">
        <v>12</v>
      </c>
      <c r="G3" t="s">
        <v>172</v>
      </c>
      <c r="H3" s="12" t="s">
        <v>150</v>
      </c>
      <c r="I3" s="13" t="s">
        <v>151</v>
      </c>
      <c r="J3" s="13" t="s">
        <v>153</v>
      </c>
      <c r="K3" s="13" t="s">
        <v>152</v>
      </c>
      <c r="L3" s="13" t="s">
        <v>155</v>
      </c>
      <c r="M3" s="13" t="s">
        <v>154</v>
      </c>
      <c r="N3" s="13" t="s">
        <v>156</v>
      </c>
      <c r="O3" s="13" t="s">
        <v>157</v>
      </c>
      <c r="P3" s="13" t="s">
        <v>158</v>
      </c>
      <c r="Q3" s="14" t="s">
        <v>159</v>
      </c>
      <c r="R3" s="13" t="s">
        <v>160</v>
      </c>
      <c r="S3" s="13" t="s">
        <v>161</v>
      </c>
      <c r="T3" s="13" t="s">
        <v>162</v>
      </c>
      <c r="U3" s="13" t="s">
        <v>163</v>
      </c>
      <c r="V3" s="13" t="s">
        <v>164</v>
      </c>
      <c r="W3" s="13" t="s">
        <v>165</v>
      </c>
      <c r="X3" s="13" t="s">
        <v>166</v>
      </c>
      <c r="Y3" s="13" t="s">
        <v>167</v>
      </c>
      <c r="Z3" s="13" t="s">
        <v>168</v>
      </c>
      <c r="AA3" s="13" t="s">
        <v>169</v>
      </c>
      <c r="AB3" s="13" t="s">
        <v>170</v>
      </c>
      <c r="AC3" s="14" t="s">
        <v>171</v>
      </c>
      <c r="AD3" t="s">
        <v>67</v>
      </c>
      <c r="AE3" t="s">
        <v>70</v>
      </c>
      <c r="AF3" t="s">
        <v>6</v>
      </c>
    </row>
    <row r="4" spans="2:32" x14ac:dyDescent="0.35">
      <c r="B4">
        <v>1</v>
      </c>
      <c r="D4" t="s">
        <v>15</v>
      </c>
      <c r="E4" t="s">
        <v>79</v>
      </c>
      <c r="F4" t="s">
        <v>14</v>
      </c>
      <c r="G4" t="s">
        <v>191</v>
      </c>
      <c r="H4" s="15" t="s">
        <v>69</v>
      </c>
      <c r="J4" t="s">
        <v>120</v>
      </c>
      <c r="L4" t="s">
        <v>86</v>
      </c>
      <c r="M4" t="s">
        <v>86</v>
      </c>
      <c r="N4" t="s">
        <v>86</v>
      </c>
      <c r="O4" t="s">
        <v>86</v>
      </c>
      <c r="P4" t="s">
        <v>86</v>
      </c>
      <c r="Q4" s="16" t="s">
        <v>86</v>
      </c>
      <c r="R4" t="s">
        <v>14</v>
      </c>
      <c r="T4" t="s">
        <v>86</v>
      </c>
      <c r="U4" t="s">
        <v>86</v>
      </c>
      <c r="V4" t="s">
        <v>86</v>
      </c>
      <c r="W4" t="s">
        <v>86</v>
      </c>
      <c r="X4" t="s">
        <v>86</v>
      </c>
      <c r="Y4" t="s">
        <v>86</v>
      </c>
      <c r="Z4" t="s">
        <v>86</v>
      </c>
      <c r="AA4" t="s">
        <v>86</v>
      </c>
      <c r="AB4" t="s">
        <v>86</v>
      </c>
      <c r="AC4" s="16" t="s">
        <v>86</v>
      </c>
      <c r="AD4" t="s">
        <v>68</v>
      </c>
      <c r="AE4" t="s">
        <v>71</v>
      </c>
      <c r="AF4">
        <v>2022</v>
      </c>
    </row>
    <row r="5" spans="2:32" x14ac:dyDescent="0.35">
      <c r="B5">
        <v>2</v>
      </c>
      <c r="D5" t="s">
        <v>15</v>
      </c>
      <c r="E5" t="s">
        <v>81</v>
      </c>
      <c r="F5" t="s">
        <v>14</v>
      </c>
      <c r="G5" t="s">
        <v>191</v>
      </c>
      <c r="H5" s="15" t="s">
        <v>69</v>
      </c>
      <c r="J5" t="s">
        <v>120</v>
      </c>
      <c r="L5" t="s">
        <v>86</v>
      </c>
      <c r="M5" t="s">
        <v>86</v>
      </c>
      <c r="N5" t="s">
        <v>86</v>
      </c>
      <c r="O5" t="s">
        <v>86</v>
      </c>
      <c r="P5" t="s">
        <v>86</v>
      </c>
      <c r="Q5" s="16" t="s">
        <v>86</v>
      </c>
      <c r="R5" t="s">
        <v>14</v>
      </c>
      <c r="T5" t="s">
        <v>86</v>
      </c>
      <c r="U5" t="s">
        <v>86</v>
      </c>
      <c r="V5" t="s">
        <v>86</v>
      </c>
      <c r="W5" t="s">
        <v>86</v>
      </c>
      <c r="X5" t="s">
        <v>86</v>
      </c>
      <c r="Y5" t="s">
        <v>86</v>
      </c>
      <c r="Z5" t="s">
        <v>86</v>
      </c>
      <c r="AA5" t="s">
        <v>86</v>
      </c>
      <c r="AB5" t="s">
        <v>86</v>
      </c>
      <c r="AC5" s="16" t="s">
        <v>86</v>
      </c>
      <c r="AD5" t="s">
        <v>68</v>
      </c>
      <c r="AE5" t="s">
        <v>71</v>
      </c>
      <c r="AF5">
        <v>2022</v>
      </c>
    </row>
    <row r="6" spans="2:32" x14ac:dyDescent="0.35">
      <c r="B6">
        <v>3</v>
      </c>
      <c r="D6" t="s">
        <v>15</v>
      </c>
      <c r="E6" t="s">
        <v>79</v>
      </c>
      <c r="F6" t="s">
        <v>14</v>
      </c>
      <c r="G6" t="s">
        <v>191</v>
      </c>
      <c r="H6" s="15" t="s">
        <v>69</v>
      </c>
      <c r="J6" t="s">
        <v>120</v>
      </c>
      <c r="L6" t="s">
        <v>86</v>
      </c>
      <c r="M6" t="s">
        <v>86</v>
      </c>
      <c r="N6" t="s">
        <v>86</v>
      </c>
      <c r="O6" t="s">
        <v>86</v>
      </c>
      <c r="P6" t="s">
        <v>86</v>
      </c>
      <c r="Q6" s="16" t="s">
        <v>86</v>
      </c>
      <c r="R6" t="s">
        <v>14</v>
      </c>
      <c r="T6" t="s">
        <v>86</v>
      </c>
      <c r="U6" t="s">
        <v>86</v>
      </c>
      <c r="V6" t="s">
        <v>86</v>
      </c>
      <c r="W6" t="s">
        <v>86</v>
      </c>
      <c r="X6" t="s">
        <v>86</v>
      </c>
      <c r="Y6" t="s">
        <v>86</v>
      </c>
      <c r="Z6" t="s">
        <v>86</v>
      </c>
      <c r="AA6" t="s">
        <v>86</v>
      </c>
      <c r="AB6" t="s">
        <v>86</v>
      </c>
      <c r="AC6" s="16" t="s">
        <v>86</v>
      </c>
      <c r="AD6" t="s">
        <v>68</v>
      </c>
      <c r="AE6" t="s">
        <v>71</v>
      </c>
      <c r="AF6">
        <v>2012</v>
      </c>
    </row>
    <row r="7" spans="2:32" x14ac:dyDescent="0.35">
      <c r="B7">
        <v>4</v>
      </c>
      <c r="D7" t="s">
        <v>15</v>
      </c>
      <c r="E7" t="s">
        <v>85</v>
      </c>
      <c r="F7" t="s">
        <v>14</v>
      </c>
      <c r="G7" t="s">
        <v>191</v>
      </c>
      <c r="H7" s="15" t="s">
        <v>69</v>
      </c>
      <c r="J7" t="s">
        <v>120</v>
      </c>
      <c r="L7" t="s">
        <v>86</v>
      </c>
      <c r="M7" t="s">
        <v>86</v>
      </c>
      <c r="N7" t="s">
        <v>86</v>
      </c>
      <c r="O7" t="s">
        <v>86</v>
      </c>
      <c r="P7" t="s">
        <v>86</v>
      </c>
      <c r="Q7" s="16" t="s">
        <v>86</v>
      </c>
      <c r="R7" t="s">
        <v>14</v>
      </c>
      <c r="T7" t="s">
        <v>86</v>
      </c>
      <c r="U7" t="s">
        <v>86</v>
      </c>
      <c r="V7" t="s">
        <v>86</v>
      </c>
      <c r="W7" t="s">
        <v>86</v>
      </c>
      <c r="X7" t="s">
        <v>86</v>
      </c>
      <c r="Y7" t="s">
        <v>86</v>
      </c>
      <c r="Z7" t="s">
        <v>86</v>
      </c>
      <c r="AA7" t="s">
        <v>86</v>
      </c>
      <c r="AB7" t="s">
        <v>86</v>
      </c>
      <c r="AC7" s="16" t="s">
        <v>86</v>
      </c>
      <c r="AD7" t="s">
        <v>68</v>
      </c>
      <c r="AE7" t="s">
        <v>71</v>
      </c>
      <c r="AF7">
        <v>2012</v>
      </c>
    </row>
    <row r="8" spans="2:32" x14ac:dyDescent="0.35">
      <c r="B8">
        <v>5</v>
      </c>
      <c r="D8" t="s">
        <v>102</v>
      </c>
      <c r="E8" t="s">
        <v>79</v>
      </c>
      <c r="F8" t="s">
        <v>14</v>
      </c>
      <c r="G8" s="20" t="s">
        <v>173</v>
      </c>
      <c r="H8" s="15" t="s">
        <v>14</v>
      </c>
      <c r="J8" t="s">
        <v>86</v>
      </c>
      <c r="K8" t="s">
        <v>86</v>
      </c>
      <c r="L8" t="s">
        <v>86</v>
      </c>
      <c r="M8" t="s">
        <v>86</v>
      </c>
      <c r="N8" t="s">
        <v>86</v>
      </c>
      <c r="O8" t="s">
        <v>86</v>
      </c>
      <c r="P8" t="s">
        <v>86</v>
      </c>
      <c r="Q8" s="16" t="s">
        <v>86</v>
      </c>
      <c r="R8" t="s">
        <v>117</v>
      </c>
      <c r="T8" t="s">
        <v>118</v>
      </c>
      <c r="V8" t="s">
        <v>119</v>
      </c>
      <c r="X8" t="s">
        <v>120</v>
      </c>
      <c r="Z8" t="s">
        <v>86</v>
      </c>
      <c r="AA8" t="s">
        <v>86</v>
      </c>
      <c r="AB8" t="s">
        <v>86</v>
      </c>
      <c r="AC8" s="16" t="s">
        <v>86</v>
      </c>
      <c r="AD8" t="s">
        <v>71</v>
      </c>
      <c r="AE8" t="s">
        <v>71</v>
      </c>
    </row>
    <row r="9" spans="2:32" x14ac:dyDescent="0.35">
      <c r="B9">
        <v>6</v>
      </c>
      <c r="D9" t="s">
        <v>16</v>
      </c>
      <c r="E9" t="s">
        <v>79</v>
      </c>
      <c r="F9" t="s">
        <v>14</v>
      </c>
      <c r="G9" t="s">
        <v>174</v>
      </c>
      <c r="H9" s="15" t="s">
        <v>121</v>
      </c>
      <c r="J9" t="s">
        <v>86</v>
      </c>
      <c r="K9" t="s">
        <v>86</v>
      </c>
      <c r="L9" t="s">
        <v>86</v>
      </c>
      <c r="M9" t="s">
        <v>86</v>
      </c>
      <c r="N9" t="s">
        <v>86</v>
      </c>
      <c r="O9" t="s">
        <v>86</v>
      </c>
      <c r="P9" t="s">
        <v>86</v>
      </c>
      <c r="Q9" s="16" t="s">
        <v>86</v>
      </c>
      <c r="R9" t="s">
        <v>122</v>
      </c>
      <c r="T9" t="s">
        <v>123</v>
      </c>
      <c r="V9" t="s">
        <v>124</v>
      </c>
      <c r="X9" t="s">
        <v>125</v>
      </c>
      <c r="Z9" t="s">
        <v>126</v>
      </c>
      <c r="AB9" t="s">
        <v>130</v>
      </c>
      <c r="AC9" s="16"/>
      <c r="AD9" t="s">
        <v>71</v>
      </c>
      <c r="AE9" t="s">
        <v>68</v>
      </c>
      <c r="AF9">
        <v>2023</v>
      </c>
    </row>
    <row r="10" spans="2:32" x14ac:dyDescent="0.35">
      <c r="B10">
        <v>7</v>
      </c>
      <c r="D10" t="s">
        <v>17</v>
      </c>
      <c r="E10" t="s">
        <v>79</v>
      </c>
      <c r="F10" t="s">
        <v>14</v>
      </c>
      <c r="G10" t="s">
        <v>174</v>
      </c>
      <c r="H10" s="15" t="s">
        <v>149</v>
      </c>
      <c r="J10" t="s">
        <v>202</v>
      </c>
      <c r="L10" t="s">
        <v>203</v>
      </c>
      <c r="N10" t="s">
        <v>204</v>
      </c>
      <c r="P10" t="s">
        <v>86</v>
      </c>
      <c r="Q10" s="16" t="s">
        <v>86</v>
      </c>
      <c r="R10" t="s">
        <v>205</v>
      </c>
      <c r="T10" t="s">
        <v>206</v>
      </c>
      <c r="V10" t="s">
        <v>130</v>
      </c>
      <c r="X10" t="s">
        <v>86</v>
      </c>
      <c r="Y10" t="s">
        <v>86</v>
      </c>
      <c r="Z10" t="s">
        <v>86</v>
      </c>
      <c r="AA10" t="s">
        <v>86</v>
      </c>
      <c r="AB10" t="s">
        <v>86</v>
      </c>
      <c r="AC10" s="16" t="s">
        <v>86</v>
      </c>
      <c r="AE10" t="s">
        <v>68</v>
      </c>
    </row>
    <row r="11" spans="2:32" x14ac:dyDescent="0.35">
      <c r="D11" t="s">
        <v>201</v>
      </c>
      <c r="E11" t="s">
        <v>79</v>
      </c>
      <c r="F11" t="s">
        <v>14</v>
      </c>
      <c r="G11" t="s">
        <v>174</v>
      </c>
      <c r="H11" s="15" t="s">
        <v>149</v>
      </c>
      <c r="J11" t="s">
        <v>202</v>
      </c>
      <c r="L11" t="s">
        <v>203</v>
      </c>
      <c r="N11" t="s">
        <v>204</v>
      </c>
      <c r="P11" t="s">
        <v>86</v>
      </c>
      <c r="Q11" s="16" t="s">
        <v>86</v>
      </c>
      <c r="R11" s="15"/>
      <c r="AC11" s="16"/>
    </row>
    <row r="12" spans="2:32" x14ac:dyDescent="0.35">
      <c r="B12">
        <v>8</v>
      </c>
      <c r="D12" t="s">
        <v>175</v>
      </c>
      <c r="E12" t="s">
        <v>85</v>
      </c>
      <c r="F12" t="s">
        <v>14</v>
      </c>
      <c r="G12" t="s">
        <v>177</v>
      </c>
      <c r="H12" t="s">
        <v>190</v>
      </c>
      <c r="J12" t="s">
        <v>86</v>
      </c>
      <c r="K12" t="s">
        <v>86</v>
      </c>
      <c r="L12" t="s">
        <v>86</v>
      </c>
      <c r="M12" t="s">
        <v>86</v>
      </c>
      <c r="N12" t="s">
        <v>86</v>
      </c>
      <c r="O12" t="s">
        <v>86</v>
      </c>
      <c r="P12" t="s">
        <v>86</v>
      </c>
      <c r="Q12" s="16" t="s">
        <v>86</v>
      </c>
      <c r="R12" t="s">
        <v>181</v>
      </c>
      <c r="T12" t="s">
        <v>86</v>
      </c>
      <c r="U12" t="s">
        <v>86</v>
      </c>
      <c r="V12" t="s">
        <v>86</v>
      </c>
      <c r="W12" t="s">
        <v>86</v>
      </c>
      <c r="X12" t="s">
        <v>86</v>
      </c>
      <c r="Y12" t="s">
        <v>86</v>
      </c>
      <c r="Z12" t="s">
        <v>86</v>
      </c>
      <c r="AA12" t="s">
        <v>86</v>
      </c>
      <c r="AB12" t="s">
        <v>86</v>
      </c>
      <c r="AC12" t="s">
        <v>86</v>
      </c>
      <c r="AD12" t="s">
        <v>68</v>
      </c>
    </row>
    <row r="13" spans="2:32" x14ac:dyDescent="0.35">
      <c r="B13">
        <v>9</v>
      </c>
      <c r="D13" t="s">
        <v>176</v>
      </c>
      <c r="E13" t="s">
        <v>85</v>
      </c>
      <c r="F13" t="s">
        <v>14</v>
      </c>
      <c r="G13" t="s">
        <v>177</v>
      </c>
      <c r="H13" s="15" t="s">
        <v>178</v>
      </c>
      <c r="J13" t="s">
        <v>86</v>
      </c>
      <c r="K13" t="s">
        <v>86</v>
      </c>
      <c r="L13" t="s">
        <v>86</v>
      </c>
      <c r="M13" t="s">
        <v>86</v>
      </c>
      <c r="N13" t="s">
        <v>86</v>
      </c>
      <c r="O13" t="s">
        <v>86</v>
      </c>
      <c r="P13" t="s">
        <v>86</v>
      </c>
      <c r="Q13" s="16" t="s">
        <v>86</v>
      </c>
      <c r="R13" t="s">
        <v>181</v>
      </c>
      <c r="T13" t="s">
        <v>86</v>
      </c>
      <c r="U13" t="s">
        <v>86</v>
      </c>
      <c r="V13" t="s">
        <v>86</v>
      </c>
      <c r="W13" t="s">
        <v>86</v>
      </c>
      <c r="X13" t="s">
        <v>86</v>
      </c>
      <c r="Y13" t="s">
        <v>86</v>
      </c>
      <c r="Z13" t="s">
        <v>86</v>
      </c>
      <c r="AA13" t="s">
        <v>86</v>
      </c>
      <c r="AB13" t="s">
        <v>86</v>
      </c>
      <c r="AC13" t="s">
        <v>86</v>
      </c>
      <c r="AD13" t="s">
        <v>68</v>
      </c>
    </row>
    <row r="14" spans="2:32" x14ac:dyDescent="0.35">
      <c r="B14">
        <v>10</v>
      </c>
      <c r="D14" t="s">
        <v>179</v>
      </c>
      <c r="E14" t="s">
        <v>81</v>
      </c>
      <c r="F14" t="s">
        <v>14</v>
      </c>
      <c r="G14" s="20" t="s">
        <v>180</v>
      </c>
      <c r="H14" s="15" t="s">
        <v>181</v>
      </c>
      <c r="J14" t="s">
        <v>182</v>
      </c>
      <c r="L14" t="s">
        <v>86</v>
      </c>
      <c r="M14" t="s">
        <v>86</v>
      </c>
      <c r="N14" t="s">
        <v>86</v>
      </c>
      <c r="O14" t="s">
        <v>86</v>
      </c>
      <c r="P14" t="s">
        <v>86</v>
      </c>
      <c r="Q14" s="16" t="s">
        <v>86</v>
      </c>
      <c r="R14" t="s">
        <v>194</v>
      </c>
      <c r="T14" t="s">
        <v>195</v>
      </c>
      <c r="V14" t="s">
        <v>196</v>
      </c>
      <c r="X14" t="s">
        <v>197</v>
      </c>
      <c r="Z14" t="s">
        <v>86</v>
      </c>
      <c r="AA14" t="s">
        <v>86</v>
      </c>
      <c r="AB14" t="s">
        <v>86</v>
      </c>
      <c r="AC14" s="16" t="s">
        <v>86</v>
      </c>
    </row>
    <row r="15" spans="2:32" x14ac:dyDescent="0.35">
      <c r="B15">
        <v>11</v>
      </c>
      <c r="D15" t="s">
        <v>179</v>
      </c>
      <c r="E15" t="s">
        <v>79</v>
      </c>
      <c r="F15" t="s">
        <v>14</v>
      </c>
      <c r="G15" s="20" t="s">
        <v>180</v>
      </c>
      <c r="H15" s="15" t="s">
        <v>181</v>
      </c>
      <c r="J15" t="s">
        <v>182</v>
      </c>
      <c r="L15" t="s">
        <v>86</v>
      </c>
      <c r="M15" t="s">
        <v>86</v>
      </c>
      <c r="N15" t="s">
        <v>86</v>
      </c>
      <c r="O15" t="s">
        <v>86</v>
      </c>
      <c r="P15" t="s">
        <v>86</v>
      </c>
      <c r="Q15" s="16" t="s">
        <v>86</v>
      </c>
      <c r="R15" t="s">
        <v>194</v>
      </c>
      <c r="T15" t="s">
        <v>195</v>
      </c>
      <c r="V15" t="s">
        <v>196</v>
      </c>
      <c r="X15" t="s">
        <v>197</v>
      </c>
      <c r="Z15" t="s">
        <v>86</v>
      </c>
      <c r="AA15" t="s">
        <v>86</v>
      </c>
      <c r="AB15" t="s">
        <v>86</v>
      </c>
      <c r="AC15" s="16" t="s">
        <v>86</v>
      </c>
      <c r="AD15" t="s">
        <v>71</v>
      </c>
      <c r="AE15" t="s">
        <v>68</v>
      </c>
    </row>
    <row r="16" spans="2:32" x14ac:dyDescent="0.35">
      <c r="B16">
        <v>12</v>
      </c>
      <c r="D16" t="s">
        <v>183</v>
      </c>
      <c r="E16" t="s">
        <v>81</v>
      </c>
      <c r="F16" t="s">
        <v>14</v>
      </c>
      <c r="G16" s="20" t="s">
        <v>180</v>
      </c>
      <c r="H16" t="s">
        <v>184</v>
      </c>
      <c r="J16" t="s">
        <v>185</v>
      </c>
      <c r="L16" t="s">
        <v>186</v>
      </c>
      <c r="N16" t="s">
        <v>187</v>
      </c>
      <c r="P16" t="s">
        <v>86</v>
      </c>
      <c r="Q16" s="16" t="s">
        <v>86</v>
      </c>
      <c r="R16" t="s">
        <v>188</v>
      </c>
      <c r="T16" t="s">
        <v>189</v>
      </c>
      <c r="V16" t="s">
        <v>86</v>
      </c>
      <c r="W16" t="s">
        <v>86</v>
      </c>
      <c r="X16" t="s">
        <v>86</v>
      </c>
      <c r="Y16" t="s">
        <v>86</v>
      </c>
      <c r="Z16" t="s">
        <v>86</v>
      </c>
      <c r="AA16" t="s">
        <v>86</v>
      </c>
      <c r="AB16" t="s">
        <v>86</v>
      </c>
      <c r="AC16" s="16" t="s">
        <v>86</v>
      </c>
      <c r="AD16" t="s">
        <v>71</v>
      </c>
      <c r="AE16" t="s">
        <v>68</v>
      </c>
    </row>
    <row r="17" spans="2:31" x14ac:dyDescent="0.35">
      <c r="B17">
        <v>13</v>
      </c>
      <c r="D17" t="s">
        <v>183</v>
      </c>
      <c r="E17" t="s">
        <v>79</v>
      </c>
      <c r="F17" t="s">
        <v>14</v>
      </c>
      <c r="G17" s="20" t="s">
        <v>180</v>
      </c>
      <c r="H17" t="s">
        <v>184</v>
      </c>
      <c r="J17" t="s">
        <v>185</v>
      </c>
      <c r="L17" t="s">
        <v>186</v>
      </c>
      <c r="N17" t="s">
        <v>187</v>
      </c>
      <c r="P17" t="s">
        <v>86</v>
      </c>
      <c r="Q17" s="16" t="s">
        <v>86</v>
      </c>
      <c r="R17" t="s">
        <v>188</v>
      </c>
      <c r="T17" t="s">
        <v>189</v>
      </c>
      <c r="V17" t="s">
        <v>86</v>
      </c>
      <c r="W17" t="s">
        <v>86</v>
      </c>
      <c r="X17" t="s">
        <v>86</v>
      </c>
      <c r="Y17" t="s">
        <v>86</v>
      </c>
      <c r="Z17" t="s">
        <v>86</v>
      </c>
      <c r="AA17" t="s">
        <v>86</v>
      </c>
      <c r="AB17" t="s">
        <v>86</v>
      </c>
      <c r="AC17" s="16" t="s">
        <v>86</v>
      </c>
      <c r="AD17" t="s">
        <v>71</v>
      </c>
      <c r="AE17" t="s">
        <v>68</v>
      </c>
    </row>
    <row r="18" spans="2:31" x14ac:dyDescent="0.35">
      <c r="B18">
        <v>14</v>
      </c>
      <c r="H18" s="15"/>
      <c r="Q18" s="16"/>
      <c r="AC18" s="16"/>
    </row>
    <row r="19" spans="2:31" x14ac:dyDescent="0.35">
      <c r="B19">
        <v>15</v>
      </c>
      <c r="H19" s="15"/>
      <c r="Q19" s="16"/>
      <c r="AC19" s="16"/>
    </row>
    <row r="20" spans="2:31" x14ac:dyDescent="0.35">
      <c r="B20">
        <v>16</v>
      </c>
      <c r="H20" s="15"/>
      <c r="Q20" s="16"/>
      <c r="AC20" s="16"/>
    </row>
    <row r="21" spans="2:31" x14ac:dyDescent="0.35">
      <c r="B21">
        <v>17</v>
      </c>
      <c r="H21" s="15"/>
      <c r="Q21" s="16"/>
      <c r="AC21" s="16"/>
    </row>
    <row r="22" spans="2:31" x14ac:dyDescent="0.35">
      <c r="B22">
        <v>18</v>
      </c>
      <c r="H22" s="15"/>
      <c r="Q22" s="16"/>
      <c r="AC22" s="16"/>
    </row>
    <row r="23" spans="2:31" x14ac:dyDescent="0.35">
      <c r="B23">
        <v>19</v>
      </c>
      <c r="H23" s="15"/>
      <c r="Q23" s="16"/>
      <c r="AC23" s="16"/>
    </row>
    <row r="24" spans="2:31" x14ac:dyDescent="0.35">
      <c r="B24">
        <v>20</v>
      </c>
      <c r="H24" s="15"/>
      <c r="Q24" s="16"/>
      <c r="AC24" s="16"/>
    </row>
    <row r="25" spans="2:31" x14ac:dyDescent="0.35">
      <c r="B25">
        <v>21</v>
      </c>
      <c r="H25" s="15"/>
      <c r="Q25" s="16"/>
      <c r="AC25" s="16"/>
    </row>
    <row r="26" spans="2:31" x14ac:dyDescent="0.35">
      <c r="B26">
        <v>22</v>
      </c>
      <c r="H26" s="15"/>
      <c r="Q26" s="16"/>
      <c r="AC26" s="16"/>
    </row>
    <row r="27" spans="2:31" x14ac:dyDescent="0.35">
      <c r="B27">
        <v>23</v>
      </c>
      <c r="H27" s="15"/>
      <c r="Q27" s="16"/>
      <c r="AC27" s="16"/>
    </row>
    <row r="28" spans="2:31" x14ac:dyDescent="0.35">
      <c r="B28">
        <v>24</v>
      </c>
      <c r="H28" s="15"/>
      <c r="Q28" s="16"/>
      <c r="AC28" s="16"/>
    </row>
    <row r="29" spans="2:31" x14ac:dyDescent="0.35">
      <c r="B29">
        <v>25</v>
      </c>
      <c r="H29" s="15"/>
      <c r="Q29" s="16"/>
      <c r="AC29" s="16"/>
    </row>
    <row r="30" spans="2:31" x14ac:dyDescent="0.35">
      <c r="B30">
        <v>26</v>
      </c>
      <c r="H30" s="15"/>
      <c r="Q30" s="16"/>
      <c r="AC30" s="16"/>
    </row>
    <row r="31" spans="2:31" x14ac:dyDescent="0.35">
      <c r="B31">
        <v>27</v>
      </c>
      <c r="H31" s="15"/>
      <c r="Q31" s="16"/>
      <c r="AC31" s="16"/>
    </row>
    <row r="32" spans="2:31" x14ac:dyDescent="0.35">
      <c r="B32">
        <v>28</v>
      </c>
      <c r="H32" s="15"/>
      <c r="Q32" s="16"/>
      <c r="AC32" s="16"/>
    </row>
    <row r="33" spans="2:29" x14ac:dyDescent="0.35">
      <c r="B33">
        <v>29</v>
      </c>
      <c r="H33" s="15"/>
      <c r="Q33" s="16"/>
      <c r="AC33" s="16"/>
    </row>
    <row r="34" spans="2:29" x14ac:dyDescent="0.35">
      <c r="B34">
        <v>30</v>
      </c>
      <c r="H34" s="15"/>
      <c r="Q34" s="16"/>
      <c r="AC34" s="16"/>
    </row>
    <row r="35" spans="2:29" x14ac:dyDescent="0.35">
      <c r="H35" s="15"/>
      <c r="Q35" s="16"/>
      <c r="AC35" s="16"/>
    </row>
    <row r="36" spans="2:29" x14ac:dyDescent="0.35">
      <c r="H36" s="15"/>
      <c r="Q36" s="16"/>
      <c r="AC36" s="16"/>
    </row>
    <row r="37" spans="2:29" x14ac:dyDescent="0.35">
      <c r="H37" s="15"/>
      <c r="Q37" s="16"/>
      <c r="AC37" s="16"/>
    </row>
    <row r="38" spans="2:29" x14ac:dyDescent="0.35">
      <c r="H38" s="15"/>
      <c r="Q38" s="16"/>
      <c r="AC38" s="16"/>
    </row>
    <row r="39" spans="2:29" x14ac:dyDescent="0.35">
      <c r="H39" s="15"/>
      <c r="Q39" s="16"/>
      <c r="AC39" s="16"/>
    </row>
    <row r="40" spans="2:29" x14ac:dyDescent="0.35">
      <c r="H40" s="15"/>
      <c r="Q40" s="16"/>
      <c r="AC40" s="16"/>
    </row>
    <row r="41" spans="2:29" x14ac:dyDescent="0.35">
      <c r="H41" s="15"/>
      <c r="Q41" s="16"/>
      <c r="AC41" s="16"/>
    </row>
    <row r="42" spans="2:29" x14ac:dyDescent="0.35">
      <c r="H42" s="15"/>
      <c r="Q42" s="16"/>
      <c r="AC42" s="16"/>
    </row>
    <row r="43" spans="2:29" x14ac:dyDescent="0.35">
      <c r="H43" s="15"/>
      <c r="Q43" s="16"/>
      <c r="AC43" s="16"/>
    </row>
    <row r="44" spans="2:29" x14ac:dyDescent="0.35">
      <c r="H44" s="15"/>
      <c r="Q44" s="16"/>
      <c r="AC44" s="16"/>
    </row>
    <row r="45" spans="2:29" x14ac:dyDescent="0.35">
      <c r="H45" s="15"/>
      <c r="Q45" s="16"/>
      <c r="AC45" s="16"/>
    </row>
    <row r="46" spans="2:29" x14ac:dyDescent="0.35">
      <c r="H46" s="15"/>
      <c r="Q46" s="16"/>
      <c r="AC46" s="16"/>
    </row>
    <row r="47" spans="2:29" ht="15" thickBot="1" x14ac:dyDescent="0.4">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1640625" defaultRowHeight="14.5" x14ac:dyDescent="0.35"/>
  <cols>
    <col min="3" max="3" width="19.81640625" customWidth="1"/>
    <col min="4" max="4" width="35" customWidth="1"/>
    <col min="5" max="5" width="17.1796875" customWidth="1"/>
    <col min="6" max="6" width="15.1796875" customWidth="1"/>
    <col min="7" max="7" width="15.54296875" customWidth="1"/>
    <col min="8" max="8" width="14.26953125" customWidth="1"/>
    <col min="10" max="10" width="15.54296875" customWidth="1"/>
    <col min="13" max="13" width="15.26953125" customWidth="1"/>
    <col min="14" max="14" width="16.1796875" customWidth="1"/>
    <col min="15" max="15" width="15.81640625" customWidth="1"/>
    <col min="16" max="16" width="15.1796875" customWidth="1"/>
    <col min="17" max="17" width="15.453125" customWidth="1"/>
    <col min="19" max="19" width="14.1796875" customWidth="1"/>
  </cols>
  <sheetData>
    <row r="1" spans="1:19" x14ac:dyDescent="0.35">
      <c r="A1" s="48" t="s">
        <v>316</v>
      </c>
      <c r="B1" s="22" t="s">
        <v>1</v>
      </c>
      <c r="C1" s="22" t="s">
        <v>268</v>
      </c>
      <c r="D1" s="101" t="s">
        <v>320</v>
      </c>
      <c r="E1" s="22" t="s">
        <v>269</v>
      </c>
      <c r="F1" s="9" t="s">
        <v>272</v>
      </c>
      <c r="G1" s="9" t="s">
        <v>273</v>
      </c>
      <c r="H1" s="9" t="s">
        <v>274</v>
      </c>
      <c r="I1" s="9" t="s">
        <v>275</v>
      </c>
      <c r="J1" s="67" t="s">
        <v>407</v>
      </c>
      <c r="K1" s="21" t="s">
        <v>354</v>
      </c>
      <c r="L1" s="22" t="s">
        <v>356</v>
      </c>
      <c r="M1" s="23" t="s">
        <v>355</v>
      </c>
      <c r="N1" s="21" t="s">
        <v>357</v>
      </c>
      <c r="O1" s="23" t="s">
        <v>358</v>
      </c>
      <c r="P1" s="21" t="s">
        <v>359</v>
      </c>
      <c r="Q1" s="23" t="s">
        <v>360</v>
      </c>
      <c r="R1" s="21" t="s">
        <v>361</v>
      </c>
      <c r="S1" s="23" t="s">
        <v>362</v>
      </c>
    </row>
    <row r="2" spans="1:19" x14ac:dyDescent="0.35">
      <c r="A2" s="93" t="b">
        <v>0</v>
      </c>
      <c r="B2" s="49">
        <f>ROW()-1</f>
        <v>1</v>
      </c>
      <c r="C2" s="49" t="e">
        <f>_xlfn.XLOOKUP(D2,Tab_Def_Flows[Name(EN)],Tab_Def_Flows[Flow_ID],,0,)</f>
        <v>#N/A</v>
      </c>
      <c r="D2" s="51" t="s">
        <v>333</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6">
        <v>0.06</v>
      </c>
      <c r="O2" s="99"/>
      <c r="P2" s="103">
        <v>0.94</v>
      </c>
      <c r="Q2" s="99"/>
      <c r="R2" s="105">
        <v>0.5</v>
      </c>
      <c r="S2" s="102"/>
    </row>
    <row r="3" spans="1:19" x14ac:dyDescent="0.35">
      <c r="A3" s="93" t="b">
        <v>0</v>
      </c>
      <c r="B3" s="49">
        <f t="shared" ref="B3:B41" si="0">ROW()-1</f>
        <v>2</v>
      </c>
      <c r="C3" s="49" t="str">
        <f>_xlfn.XLOOKUP(D3,Tab_Def_Flows[Name(EN)],Tab_Def_Flows[Flow_ID],,0,)</f>
        <v>F_20_15</v>
      </c>
      <c r="D3" s="51" t="s">
        <v>334</v>
      </c>
      <c r="E3" s="49">
        <f>_xlfn.XLOOKUP(D3,Tab_Def_Flows[Name(EN)],Tab_Def_Flows[Type_Biomass],,0,)</f>
        <v>0</v>
      </c>
      <c r="F3" s="49" t="str">
        <f>_xlfn.XLOOKUP(D3,Tab_Def_Flows[Name(EN)],Tab_Def_Flows[Output_Process],,0,)</f>
        <v>Rye cultivation and harvest</v>
      </c>
      <c r="G3" s="49" t="str">
        <f>_xlfn.XLOOKUP(D3,Tab_Def_Flows[Name(EN)],Tab_Def_Flows[Process_ID_O],,0,)</f>
        <v>20_Rye_BB</v>
      </c>
      <c r="H3" s="49" t="str">
        <f>_xlfn.XLOOKUP(D3,Tab_Def_Flows[Name(EN)],Tab_Def_Flows[Input_Process],,0,)</f>
        <v>Rye processing and consumption</v>
      </c>
      <c r="I3" s="61" t="str">
        <f>_xlfn.XLOOKUP(D3,Tab_Def_Flows[Name(EN)],Tab_Def_Flows[Process_ID_I],,0,)</f>
        <v>15_Rye_BB</v>
      </c>
      <c r="J3" s="61" t="str">
        <f>_xlfn.XLOOKUP(D3,Tab_Def_Flows[Name(EN)],Tab_Def_Flows[Value_Source],,0,)</f>
        <v>Data_Literature</v>
      </c>
      <c r="K3" s="61" t="str">
        <f>_xlfn.XLOOKUP(D3,Tab_Def_Flows[Name(EN)],Tab_Def_Flows[WC?],,0,)</f>
        <v>Yes</v>
      </c>
      <c r="L3" s="61" t="str">
        <f>_xlfn.XLOOKUP(D3,Tab_Def_Flows[Name(EN)],Tab_Def_Flows[DM?],,0,)</f>
        <v>Yes</v>
      </c>
      <c r="M3" s="61" t="str">
        <f>_xlfn.XLOOKUP(D3,Tab_Def_Flows[Name(EN)],Tab_Def_Flows[CC?],,0,)</f>
        <v>Yes</v>
      </c>
      <c r="N3" s="106">
        <v>0.06</v>
      </c>
      <c r="O3" s="99"/>
      <c r="P3" s="103">
        <v>0.94</v>
      </c>
      <c r="Q3" s="99"/>
      <c r="R3" s="106">
        <v>0.5</v>
      </c>
      <c r="S3" s="99"/>
    </row>
    <row r="4" spans="1:19" x14ac:dyDescent="0.35">
      <c r="A4" s="93" t="b">
        <v>0</v>
      </c>
      <c r="B4" s="49">
        <f t="shared" si="0"/>
        <v>3</v>
      </c>
      <c r="C4" s="49" t="str">
        <f>_xlfn.XLOOKUP(D4,Tab_Def_Flows[Name(EN)],Tab_Def_Flows[Flow_ID],,0,)</f>
        <v>F_20_01</v>
      </c>
      <c r="D4" s="51" t="s">
        <v>335</v>
      </c>
      <c r="E4" s="49">
        <f>_xlfn.XLOOKUP(D4,Tab_Def_Flows[Name(EN)],Tab_Def_Flows[Type_Biomass],,0,)</f>
        <v>0</v>
      </c>
      <c r="F4" s="49" t="str">
        <f>_xlfn.XLOOKUP(D4,Tab_Def_Flows[Name(EN)],Tab_Def_Flows[Output_Process],,0,)</f>
        <v>Rye cultivation and harvest</v>
      </c>
      <c r="G4" s="49" t="str">
        <f>_xlfn.XLOOKUP(D4,Tab_Def_Flows[Name(EN)],Tab_Def_Flows[Process_ID_O],,0,)</f>
        <v>20_Rye_BB</v>
      </c>
      <c r="H4" s="49" t="str">
        <f>_xlfn.XLOOKUP(D4,Tab_Def_Flows[Name(EN)],Tab_Def_Flows[Input_Process],,0,)</f>
        <v>Biogas production</v>
      </c>
      <c r="I4" s="61" t="str">
        <f>_xlfn.XLOOKUP(D4,Tab_Def_Flows[Name(EN)],Tab_Def_Flows[Process_ID_I],,0,)</f>
        <v>01_Bio_BB</v>
      </c>
      <c r="J4" s="61" t="str">
        <f>_xlfn.XLOOKUP(D4,Tab_Def_Flows[Name(EN)],Tab_Def_Flows[Value_Source],,0,)</f>
        <v>Data_Literature</v>
      </c>
      <c r="K4" s="61" t="str">
        <f>_xlfn.XLOOKUP(D4,Tab_Def_Flows[Name(EN)],Tab_Def_Flows[WC?],,0,)</f>
        <v>Yes</v>
      </c>
      <c r="L4" s="61" t="str">
        <f>_xlfn.XLOOKUP(D4,Tab_Def_Flows[Name(EN)],Tab_Def_Flows[DM?],,0,)</f>
        <v>Yes</v>
      </c>
      <c r="M4" s="61" t="str">
        <f>_xlfn.XLOOKUP(D4,Tab_Def_Flows[Name(EN)],Tab_Def_Flows[CC?],,0,)</f>
        <v>Yes</v>
      </c>
      <c r="N4" s="106">
        <v>0.06</v>
      </c>
      <c r="O4" s="99"/>
      <c r="P4" s="103">
        <v>0.94</v>
      </c>
      <c r="Q4" s="99"/>
      <c r="R4" s="106">
        <v>0.5</v>
      </c>
      <c r="S4" s="99"/>
    </row>
    <row r="5" spans="1:19" x14ac:dyDescent="0.35">
      <c r="A5" s="93" t="b">
        <v>0</v>
      </c>
      <c r="B5" s="49">
        <f t="shared" si="0"/>
        <v>4</v>
      </c>
      <c r="C5" s="49" t="str">
        <f>_xlfn.XLOOKUP(D5,Tab_Def_Flows[Name(EN)],Tab_Def_Flows[Flow_ID],,0,)</f>
        <v>F_20_16</v>
      </c>
      <c r="D5" s="51" t="s">
        <v>336</v>
      </c>
      <c r="E5" s="49">
        <f>_xlfn.XLOOKUP(D5,Tab_Def_Flows[Name(EN)],Tab_Def_Flows[Type_Biomass],,0,)</f>
        <v>0</v>
      </c>
      <c r="F5" s="49" t="str">
        <f>_xlfn.XLOOKUP(D5,Tab_Def_Flows[Name(EN)],Tab_Def_Flows[Output_Process],,0,)</f>
        <v>Rye cultivation and harvest</v>
      </c>
      <c r="G5" s="49" t="str">
        <f>_xlfn.XLOOKUP(D5,Tab_Def_Flows[Name(EN)],Tab_Def_Flows[Process_ID_O],,0,)</f>
        <v>20_Rye_BB</v>
      </c>
      <c r="H5" s="49" t="str">
        <f>_xlfn.XLOOKUP(D5,Tab_Def_Flows[Name(EN)],Tab_Def_Flows[Input_Process],,0,)</f>
        <v>Not mobilizable Rye Straw</v>
      </c>
      <c r="I5" s="61" t="str">
        <f>_xlfn.XLOOKUP(D5,Tab_Def_Flows[Name(EN)],Tab_Def_Flows[Process_ID_I],,0,)</f>
        <v>16_Not_BB</v>
      </c>
      <c r="J5" s="61" t="str">
        <f>_xlfn.XLOOKUP(D5,Tab_Def_Flows[Name(EN)],Tab_Def_Flows[Value_Source],,0,)</f>
        <v>Data_Literature</v>
      </c>
      <c r="K5" s="61" t="str">
        <f>_xlfn.XLOOKUP(D5,Tab_Def_Flows[Name(EN)],Tab_Def_Flows[WC?],,0,)</f>
        <v>Yes</v>
      </c>
      <c r="L5" s="61" t="str">
        <f>_xlfn.XLOOKUP(D5,Tab_Def_Flows[Name(EN)],Tab_Def_Flows[DM?],,0,)</f>
        <v>Yes</v>
      </c>
      <c r="M5" s="61" t="str">
        <f>_xlfn.XLOOKUP(D5,Tab_Def_Flows[Name(EN)],Tab_Def_Flows[CC?],,0,)</f>
        <v>Yes</v>
      </c>
      <c r="N5" s="106">
        <v>0.06</v>
      </c>
      <c r="O5" s="99"/>
      <c r="P5" s="103">
        <v>0.94</v>
      </c>
      <c r="Q5" s="99"/>
      <c r="R5" s="106">
        <v>0.5</v>
      </c>
      <c r="S5" s="99"/>
    </row>
    <row r="6" spans="1:19" x14ac:dyDescent="0.35">
      <c r="A6" s="93" t="b">
        <v>0</v>
      </c>
      <c r="B6" s="49">
        <f t="shared" si="0"/>
        <v>5</v>
      </c>
      <c r="C6" s="49" t="str">
        <f>_xlfn.XLOOKUP(D6,Tab_Def_Flows[Name(EN)],Tab_Def_Flows[Flow_ID],,0,)</f>
        <v>F_04_01</v>
      </c>
      <c r="D6" s="51" t="s">
        <v>337</v>
      </c>
      <c r="E6" s="49">
        <f>_xlfn.XLOOKUP(D6,Tab_Def_Flows[Name(EN)],Tab_Def_Flows[Type_Biomass],,0,)</f>
        <v>0</v>
      </c>
      <c r="F6" s="49" t="str">
        <f>_xlfn.XLOOKUP(D6,Tab_Def_Flows[Name(EN)],Tab_Def_Flows[Output_Process],,0,)</f>
        <v>Life stock farming</v>
      </c>
      <c r="G6" s="49" t="str">
        <f>_xlfn.XLOOKUP(D6,Tab_Def_Flows[Name(EN)],Tab_Def_Flows[Process_ID_O],,0,)</f>
        <v>04_Lif_BB</v>
      </c>
      <c r="H6" s="49" t="str">
        <f>_xlfn.XLOOKUP(D6,Tab_Def_Flows[Name(EN)],Tab_Def_Flows[Input_Process],,0,)</f>
        <v>Biogas production</v>
      </c>
      <c r="I6" s="61" t="str">
        <f>_xlfn.XLOOKUP(D6,Tab_Def_Flows[Name(EN)],Tab_Def_Flows[Process_ID_I],,0,)</f>
        <v>01_Bio_BB</v>
      </c>
      <c r="J6" s="61">
        <f>_xlfn.XLOOKUP(D6,Tab_Def_Flows[Name(EN)],Tab_Def_Flows[Value_Source],,0,)</f>
        <v>0</v>
      </c>
      <c r="K6" s="61" t="str">
        <f>_xlfn.XLOOKUP(D6,Tab_Def_Flows[Name(EN)],Tab_Def_Flows[WC?],,0,)</f>
        <v>Yes</v>
      </c>
      <c r="L6" s="61" t="str">
        <f>_xlfn.XLOOKUP(D6,Tab_Def_Flows[Name(EN)],Tab_Def_Flows[DM?],,0,)</f>
        <v>Yes</v>
      </c>
      <c r="M6" s="61" t="str">
        <f>_xlfn.XLOOKUP(D6,Tab_Def_Flows[Name(EN)],Tab_Def_Flows[CC?],,0,)</f>
        <v>Yes</v>
      </c>
      <c r="N6" s="106">
        <v>0.94</v>
      </c>
      <c r="O6" s="99"/>
      <c r="P6" s="103">
        <v>0.06</v>
      </c>
      <c r="Q6" s="99"/>
      <c r="R6" s="106">
        <v>0.49</v>
      </c>
      <c r="S6" s="99"/>
    </row>
    <row r="7" spans="1:19" x14ac:dyDescent="0.35">
      <c r="A7" s="93" t="b">
        <v>0</v>
      </c>
      <c r="B7" s="49">
        <f t="shared" si="0"/>
        <v>6</v>
      </c>
      <c r="C7" s="49" t="str">
        <f>_xlfn.XLOOKUP(D7,Tab_Def_Flows[Name(EN)],Tab_Def_Flows[Flow_ID],,0,)</f>
        <v>F_01_05</v>
      </c>
      <c r="D7" s="51" t="s">
        <v>338</v>
      </c>
      <c r="E7" s="49">
        <f>_xlfn.XLOOKUP(D7,Tab_Def_Flows[Name(EN)],Tab_Def_Flows[Type_Biomass],,0,)</f>
        <v>0</v>
      </c>
      <c r="F7" s="49" t="str">
        <f>_xlfn.XLOOKUP(D7,Tab_Def_Flows[Name(EN)],Tab_Def_Flows[Output_Process],,0,)</f>
        <v>Biogas production</v>
      </c>
      <c r="G7" s="49" t="str">
        <f>_xlfn.XLOOKUP(D7,Tab_Def_Flows[Name(EN)],Tab_Def_Flows[Process_ID_O],,0,)</f>
        <v>01_Bio_BB</v>
      </c>
      <c r="H7" s="49" t="str">
        <f>_xlfn.XLOOKUP(D7,Tab_Def_Flows[Name(EN)],Tab_Def_Flows[Input_Process],,0,)</f>
        <v>Biogas Incineration</v>
      </c>
      <c r="I7" s="61" t="str">
        <f>_xlfn.XLOOKUP(D7,Tab_Def_Flows[Name(EN)],Tab_Def_Flows[Process_ID_I],,0,)</f>
        <v>05_Bio_BB</v>
      </c>
      <c r="J7" s="61" t="str">
        <f>_xlfn.XLOOKUP(D7,Tab_Def_Flows[Name(EN)],Tab_Def_Flows[Value_Source],,0,)</f>
        <v>Calculation_TC</v>
      </c>
      <c r="K7" s="61" t="str">
        <f>_xlfn.XLOOKUP(D7,Tab_Def_Flows[Name(EN)],Tab_Def_Flows[WC?],,0,)</f>
        <v>Yes</v>
      </c>
      <c r="L7" s="61" t="str">
        <f>_xlfn.XLOOKUP(D7,Tab_Def_Flows[Name(EN)],Tab_Def_Flows[DM?],,0,)</f>
        <v>Yes</v>
      </c>
      <c r="M7" s="61" t="str">
        <f>_xlfn.XLOOKUP(D7,Tab_Def_Flows[Name(EN)],Tab_Def_Flows[CC?],,0,)</f>
        <v>Yes</v>
      </c>
      <c r="N7" s="106">
        <v>0</v>
      </c>
      <c r="O7" s="99"/>
      <c r="P7" s="103">
        <v>1</v>
      </c>
      <c r="Q7" s="99"/>
      <c r="R7" s="106"/>
      <c r="S7" s="99"/>
    </row>
    <row r="8" spans="1:19" x14ac:dyDescent="0.35">
      <c r="A8" s="93" t="b">
        <v>0</v>
      </c>
      <c r="B8" s="49">
        <f t="shared" si="0"/>
        <v>7</v>
      </c>
      <c r="C8" s="49" t="str">
        <f>_xlfn.XLOOKUP(D8,Tab_Def_Flows[Name(EN)],Tab_Def_Flows[Flow_ID],,0,)</f>
        <v>F_01_02</v>
      </c>
      <c r="D8" s="51" t="s">
        <v>339</v>
      </c>
      <c r="E8" s="49">
        <f>_xlfn.XLOOKUP(D8,Tab_Def_Flows[Name(EN)],Tab_Def_Flows[Type_Biomass],,0,)</f>
        <v>0</v>
      </c>
      <c r="F8" s="49" t="str">
        <f>_xlfn.XLOOKUP(D8,Tab_Def_Flows[Name(EN)],Tab_Def_Flows[Output_Process],,0,)</f>
        <v>Biogas production</v>
      </c>
      <c r="G8" s="49" t="str">
        <f>_xlfn.XLOOKUP(D8,Tab_Def_Flows[Name(EN)],Tab_Def_Flows[Process_ID_O],,0,)</f>
        <v>01_Bio_BB</v>
      </c>
      <c r="H8" s="49" t="str">
        <f>_xlfn.XLOOKUP(D8,Tab_Def_Flows[Name(EN)],Tab_Def_Flows[Input_Process],,0,)</f>
        <v>MBC production</v>
      </c>
      <c r="I8" s="61" t="str">
        <f>_xlfn.XLOOKUP(D8,Tab_Def_Flows[Name(EN)],Tab_Def_Flows[Process_ID_I],,0,)</f>
        <v>02_MBC_BB</v>
      </c>
      <c r="J8" s="61" t="str">
        <f>_xlfn.XLOOKUP(D8,Tab_Def_Flows[Name(EN)],Tab_Def_Flows[Value_Source],,0,)</f>
        <v>Data_experiment</v>
      </c>
      <c r="K8" s="61" t="str">
        <f>_xlfn.XLOOKUP(D8,Tab_Def_Flows[Name(EN)],Tab_Def_Flows[WC?],,0,)</f>
        <v>Yes</v>
      </c>
      <c r="L8" s="61" t="str">
        <f>_xlfn.XLOOKUP(D8,Tab_Def_Flows[Name(EN)],Tab_Def_Flows[DM?],,0,)</f>
        <v>Yes</v>
      </c>
      <c r="M8" s="61" t="str">
        <f>_xlfn.XLOOKUP(D8,Tab_Def_Flows[Name(EN)],Tab_Def_Flows[CC?],,0,)</f>
        <v>Yes</v>
      </c>
      <c r="N8" s="106">
        <v>0.64</v>
      </c>
      <c r="O8" s="99"/>
      <c r="P8" s="103">
        <v>0.36</v>
      </c>
      <c r="Q8" s="99"/>
      <c r="R8" s="106">
        <v>0.38</v>
      </c>
      <c r="S8" s="99" t="s">
        <v>368</v>
      </c>
    </row>
    <row r="9" spans="1:19" x14ac:dyDescent="0.35">
      <c r="A9" s="93" t="b">
        <v>0</v>
      </c>
      <c r="B9" s="49">
        <f t="shared" si="0"/>
        <v>8</v>
      </c>
      <c r="C9" s="49" t="str">
        <f>_xlfn.XLOOKUP(D9,Tab_Def_Flows[Name(EN)],Tab_Def_Flows[Flow_ID],,0,)</f>
        <v>F_02_03</v>
      </c>
      <c r="D9" s="51" t="s">
        <v>393</v>
      </c>
      <c r="E9" s="49">
        <f>_xlfn.XLOOKUP(D9,Tab_Def_Flows[Name(EN)],Tab_Def_Flows[Type_Biomass],,0,)</f>
        <v>0</v>
      </c>
      <c r="F9" s="49" t="str">
        <f>_xlfn.XLOOKUP(D9,Tab_Def_Flows[Name(EN)],Tab_Def_Flows[Output_Process],,0,)</f>
        <v>MBC production</v>
      </c>
      <c r="G9" s="49" t="str">
        <f>_xlfn.XLOOKUP(D9,Tab_Def_Flows[Name(EN)],Tab_Def_Flows[Process_ID_O],,0,)</f>
        <v>02_MBC_BB</v>
      </c>
      <c r="H9" s="49" t="str">
        <f>_xlfn.XLOOKUP(D9,Tab_Def_Flows[Name(EN)],Tab_Def_Flows[Input_Process],,0,)</f>
        <v>MBC Use phase</v>
      </c>
      <c r="I9" s="61" t="str">
        <f>_xlfn.XLOOKUP(D9,Tab_Def_Flows[Name(EN)],Tab_Def_Flows[Process_ID_I],,0,)</f>
        <v>03_MBC_BB</v>
      </c>
      <c r="J9" s="61">
        <f>_xlfn.XLOOKUP(D9,Tab_Def_Flows[Name(EN)],Tab_Def_Flows[Value_Source],,0,)</f>
        <v>0</v>
      </c>
      <c r="K9" s="61" t="str">
        <f>_xlfn.XLOOKUP(D9,Tab_Def_Flows[Name(EN)],Tab_Def_Flows[WC?],,0,)</f>
        <v>Yes</v>
      </c>
      <c r="L9" s="61" t="str">
        <f>_xlfn.XLOOKUP(D9,Tab_Def_Flows[Name(EN)],Tab_Def_Flows[DM?],,0,)</f>
        <v>Yes</v>
      </c>
      <c r="M9" s="61" t="str">
        <f>_xlfn.XLOOKUP(D9,Tab_Def_Flows[Name(EN)],Tab_Def_Flows[CC?],,0,)</f>
        <v>Yes</v>
      </c>
      <c r="N9" s="106">
        <v>0.22</v>
      </c>
      <c r="O9" s="99"/>
      <c r="P9" s="103">
        <v>0.39</v>
      </c>
      <c r="Q9" s="99"/>
      <c r="R9" s="106">
        <v>0.39800000000000002</v>
      </c>
      <c r="S9" s="99"/>
    </row>
    <row r="10" spans="1:19" x14ac:dyDescent="0.35">
      <c r="A10" s="110" t="b">
        <v>1</v>
      </c>
      <c r="B10" s="49">
        <f>ROW()-1</f>
        <v>9</v>
      </c>
      <c r="C10" s="49" t="str">
        <f>_xlfn.XLOOKUP(D10,Tab_Def_Flows[Name(EN)],Tab_Def_Flows[Flow_ID],,0,)</f>
        <v>F_03_07</v>
      </c>
      <c r="D10" s="51" t="s">
        <v>394</v>
      </c>
      <c r="E10" s="49">
        <f>_xlfn.XLOOKUP(D10,Tab_Def_Flows[Name(EN)],Tab_Def_Flows[Type_Biomass],,0,)</f>
        <v>0</v>
      </c>
      <c r="F10" s="49" t="str">
        <f>_xlfn.XLOOKUP(D10,Tab_Def_Flows[Name(EN)],Tab_Def_Flows[Output_Process],,0,)</f>
        <v>MBC Use phase</v>
      </c>
      <c r="G10" s="49" t="str">
        <f>_xlfn.XLOOKUP(D10,Tab_Def_Flows[Name(EN)],Tab_Def_Flows[Process_ID_O],,0,)</f>
        <v>03_MBC_BB</v>
      </c>
      <c r="H10" s="49" t="str">
        <f>_xlfn.XLOOKUP(D10,Tab_Def_Flows[Name(EN)],Tab_Def_Flows[Input_Process],,0,)</f>
        <v>EoL-Treatment (MBC)</v>
      </c>
      <c r="I10" s="61" t="str">
        <f>_xlfn.XLOOKUP(D10,Tab_Def_Flows[Name(EN)],Tab_Def_Flows[Process_ID_I],,0,)</f>
        <v>07_EoL_BB</v>
      </c>
      <c r="J10" s="61">
        <f>_xlfn.XLOOKUP(D10,Tab_Def_Flows[Name(EN)],Tab_Def_Flows[Value_Source],,0,)</f>
        <v>0</v>
      </c>
      <c r="K10" s="61" t="str">
        <f>_xlfn.XLOOKUP(D10,Tab_Def_Flows[Name(EN)],Tab_Def_Flows[WC?],,0,)</f>
        <v>Yes</v>
      </c>
      <c r="L10" s="61" t="str">
        <f>_xlfn.XLOOKUP(D10,Tab_Def_Flows[Name(EN)],Tab_Def_Flows[DM?],,0,)</f>
        <v>Yes</v>
      </c>
      <c r="M10" s="61" t="str">
        <f>_xlfn.XLOOKUP(D10,Tab_Def_Flows[Name(EN)],Tab_Def_Flows[CC?],,0,)</f>
        <v>Yes</v>
      </c>
      <c r="N10" s="106"/>
      <c r="O10" s="99"/>
      <c r="P10" s="103"/>
      <c r="Q10" s="99"/>
      <c r="R10" s="106"/>
      <c r="S10" s="99"/>
    </row>
    <row r="11" spans="1:19" x14ac:dyDescent="0.35">
      <c r="A11" s="93" t="b">
        <v>1</v>
      </c>
      <c r="B11" s="49">
        <f t="shared" si="0"/>
        <v>10</v>
      </c>
      <c r="C11" s="49" t="str">
        <f>_xlfn.XLOOKUP(D11,Tab_Def_Flows[Name(EN)],Tab_Def_Flows[Flow_ID],,0,)</f>
        <v>F_02_06</v>
      </c>
      <c r="D11" s="51" t="s">
        <v>340</v>
      </c>
      <c r="E11" s="49">
        <f>_xlfn.XLOOKUP(D11,Tab_Def_Flows[Name(EN)],Tab_Def_Flows[Type_Biomass],,0,)</f>
        <v>0</v>
      </c>
      <c r="F11" s="49" t="str">
        <f>_xlfn.XLOOKUP(D11,Tab_Def_Flows[Name(EN)],Tab_Def_Flows[Output_Process],,0,)</f>
        <v>MBC production</v>
      </c>
      <c r="G11" s="49" t="str">
        <f>_xlfn.XLOOKUP(D11,Tab_Def_Flows[Name(EN)],Tab_Def_Flows[Process_ID_O],,0,)</f>
        <v>02_MBC_BB</v>
      </c>
      <c r="H11" s="49" t="str">
        <f>_xlfn.XLOOKUP(D11,Tab_Def_Flows[Name(EN)],Tab_Def_Flows[Input_Process],,0,)</f>
        <v>EoL-Treatment</v>
      </c>
      <c r="I11" s="61" t="str">
        <f>_xlfn.XLOOKUP(D11,Tab_Def_Flows[Name(EN)],Tab_Def_Flows[Process_ID_I],,0,)</f>
        <v>06_EoL_BB</v>
      </c>
      <c r="J11" s="61">
        <f>_xlfn.XLOOKUP(D11,Tab_Def_Flows[Name(EN)],Tab_Def_Flows[Value_Source],,0,)</f>
        <v>0</v>
      </c>
      <c r="K11" s="61" t="str">
        <f>_xlfn.XLOOKUP(D11,Tab_Def_Flows[Name(EN)],Tab_Def_Flows[WC?],,0,)</f>
        <v>Yes</v>
      </c>
      <c r="L11" s="61" t="str">
        <f>_xlfn.XLOOKUP(D11,Tab_Def_Flows[Name(EN)],Tab_Def_Flows[DM?],,0,)</f>
        <v>Yes</v>
      </c>
      <c r="M11" s="61" t="str">
        <f>_xlfn.XLOOKUP(D11,Tab_Def_Flows[Name(EN)],Tab_Def_Flows[CC?],,0,)</f>
        <v>Yes</v>
      </c>
      <c r="N11" s="106">
        <v>0</v>
      </c>
      <c r="O11" s="99"/>
      <c r="P11" s="103">
        <v>1</v>
      </c>
      <c r="Q11" s="99"/>
      <c r="R11" s="106">
        <v>0.38</v>
      </c>
      <c r="S11" s="99"/>
    </row>
    <row r="12" spans="1:19" x14ac:dyDescent="0.35">
      <c r="A12" s="93" t="b">
        <v>0</v>
      </c>
      <c r="B12" s="49">
        <f t="shared" si="0"/>
        <v>11</v>
      </c>
      <c r="C12" s="49" t="str">
        <f>_xlfn.XLOOKUP(D12,Tab_Def_Flows[Name(EN)],Tab_Def_Flows[Flow_ID],,0,)</f>
        <v>F_11_02</v>
      </c>
      <c r="D12" s="51" t="s">
        <v>341</v>
      </c>
      <c r="E12" s="49">
        <f>_xlfn.XLOOKUP(D12,Tab_Def_Flows[Name(EN)],Tab_Def_Flows[Type_Biomass],,0,)</f>
        <v>0</v>
      </c>
      <c r="F12" s="49" t="str">
        <f>_xlfn.XLOOKUP(D12,Tab_Def_Flows[Name(EN)],Tab_Def_Flows[Output_Process],,0,)</f>
        <v>Millet production</v>
      </c>
      <c r="G12" s="49" t="str">
        <f>_xlfn.XLOOKUP(D12,Tab_Def_Flows[Name(EN)],Tab_Def_Flows[Process_ID_O],,0,)</f>
        <v>11_Mil_BB</v>
      </c>
      <c r="H12" s="49" t="str">
        <f>_xlfn.XLOOKUP(D12,Tab_Def_Flows[Name(EN)],Tab_Def_Flows[Input_Process],,0,)</f>
        <v>MBC production</v>
      </c>
      <c r="I12" s="61" t="str">
        <f>_xlfn.XLOOKUP(D12,Tab_Def_Flows[Name(EN)],Tab_Def_Flows[Process_ID_I],,0,)</f>
        <v>02_MBC_BB</v>
      </c>
      <c r="J12" s="61">
        <f>_xlfn.XLOOKUP(D12,Tab_Def_Flows[Name(EN)],Tab_Def_Flows[Value_Source],,0,)</f>
        <v>0</v>
      </c>
      <c r="K12" s="61" t="str">
        <f>_xlfn.XLOOKUP(D12,Tab_Def_Flows[Name(EN)],Tab_Def_Flows[WC?],,0,)</f>
        <v>Yes</v>
      </c>
      <c r="L12" s="61" t="str">
        <f>_xlfn.XLOOKUP(D12,Tab_Def_Flows[Name(EN)],Tab_Def_Flows[DM?],,0,)</f>
        <v>Yes</v>
      </c>
      <c r="M12" s="61" t="str">
        <f>_xlfn.XLOOKUP(D12,Tab_Def_Flows[Name(EN)],Tab_Def_Flows[CC?],,0,)</f>
        <v>Yes</v>
      </c>
      <c r="N12" s="106">
        <v>0.66</v>
      </c>
      <c r="O12" s="99"/>
      <c r="P12" s="103">
        <v>0.34</v>
      </c>
      <c r="Q12" s="99"/>
      <c r="R12" s="106">
        <v>0.47</v>
      </c>
      <c r="S12" s="99"/>
    </row>
    <row r="13" spans="1:19" x14ac:dyDescent="0.35">
      <c r="A13" s="93" t="b">
        <v>0</v>
      </c>
      <c r="B13" s="49">
        <f t="shared" si="0"/>
        <v>12</v>
      </c>
      <c r="C13" s="49" t="e">
        <f>_xlfn.XLOOKUP(D13,Tab_Def_Flows[Name(EN)],Tab_Def_Flows[Flow_ID],,0,)</f>
        <v>#N/A</v>
      </c>
      <c r="D13" s="51" t="s">
        <v>342</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6">
        <v>0.61</v>
      </c>
      <c r="O13" s="99"/>
      <c r="P13" s="103">
        <v>0.39</v>
      </c>
      <c r="Q13" s="99"/>
      <c r="R13" s="106">
        <v>0.4</v>
      </c>
      <c r="S13" s="99"/>
    </row>
    <row r="14" spans="1:19" x14ac:dyDescent="0.35">
      <c r="A14" s="93" t="b">
        <v>0</v>
      </c>
      <c r="B14" s="49">
        <f t="shared" si="0"/>
        <v>13</v>
      </c>
      <c r="C14" s="49" t="str">
        <f>_xlfn.XLOOKUP(D14,Tab_Def_Flows[Name(EN)],Tab_Def_Flows[Flow_ID],,0,)</f>
        <v>F_08_02</v>
      </c>
      <c r="D14" s="51" t="s">
        <v>343</v>
      </c>
      <c r="E14" s="49">
        <f>_xlfn.XLOOKUP(D14,Tab_Def_Flows[Name(EN)],Tab_Def_Flows[Type_Biomass],,0,)</f>
        <v>0</v>
      </c>
      <c r="F14" s="49" t="str">
        <f>_xlfn.XLOOKUP(D14,Tab_Def_Flows[Name(EN)],Tab_Def_Flows[Output_Process],,0,)</f>
        <v>Water System (Import)</v>
      </c>
      <c r="G14" s="49" t="str">
        <f>_xlfn.XLOOKUP(D14,Tab_Def_Flows[Name(EN)],Tab_Def_Flows[Process_ID_O],,0,)</f>
        <v>08_Wat_BB</v>
      </c>
      <c r="H14" s="49" t="str">
        <f>_xlfn.XLOOKUP(D14,Tab_Def_Flows[Name(EN)],Tab_Def_Flows[Input_Process],,0,)</f>
        <v>MBC production</v>
      </c>
      <c r="I14" s="61" t="str">
        <f>_xlfn.XLOOKUP(D14,Tab_Def_Flows[Name(EN)],Tab_Def_Flows[Process_ID_I],,0,)</f>
        <v>02_MBC_BB</v>
      </c>
      <c r="J14" s="61">
        <f>_xlfn.XLOOKUP(D14,Tab_Def_Flows[Name(EN)],Tab_Def_Flows[Value_Source],,0,)</f>
        <v>0</v>
      </c>
      <c r="K14" s="61" t="str">
        <f>_xlfn.XLOOKUP(D14,Tab_Def_Flows[Name(EN)],Tab_Def_Flows[WC?],,0,)</f>
        <v>Yes</v>
      </c>
      <c r="L14" s="61" t="str">
        <f>_xlfn.XLOOKUP(D14,Tab_Def_Flows[Name(EN)],Tab_Def_Flows[DM?],,0,)</f>
        <v>Yes</v>
      </c>
      <c r="M14" s="61" t="str">
        <f>_xlfn.XLOOKUP(D14,Tab_Def_Flows[Name(EN)],Tab_Def_Flows[CC?],,0,)</f>
        <v>Yes</v>
      </c>
      <c r="N14" s="106">
        <v>1</v>
      </c>
      <c r="O14" s="99"/>
      <c r="P14" s="103">
        <v>0</v>
      </c>
      <c r="Q14" s="99"/>
      <c r="R14" s="106">
        <v>0</v>
      </c>
      <c r="S14" s="99"/>
    </row>
    <row r="15" spans="1:19" x14ac:dyDescent="0.35">
      <c r="A15" s="93" t="b">
        <v>0</v>
      </c>
      <c r="B15" s="49">
        <f t="shared" si="0"/>
        <v>14</v>
      </c>
      <c r="C15" s="49" t="str">
        <f>_xlfn.XLOOKUP(D15,Tab_Def_Flows[Name(EN)],Tab_Def_Flows[Flow_ID],,0,)</f>
        <v>F_02_14</v>
      </c>
      <c r="D15" s="51" t="s">
        <v>344</v>
      </c>
      <c r="E15" s="49">
        <f>_xlfn.XLOOKUP(D15,Tab_Def_Flows[Name(EN)],Tab_Def_Flows[Type_Biomass],,0,)</f>
        <v>0</v>
      </c>
      <c r="F15" s="49" t="str">
        <f>_xlfn.XLOOKUP(D15,Tab_Def_Flows[Name(EN)],Tab_Def_Flows[Output_Process],,0,)</f>
        <v>MBC production</v>
      </c>
      <c r="G15" s="49" t="str">
        <f>_xlfn.XLOOKUP(D15,Tab_Def_Flows[Name(EN)],Tab_Def_Flows[Process_ID_O],,0,)</f>
        <v>02_MBC_BB</v>
      </c>
      <c r="H15" s="49" t="str">
        <f>_xlfn.XLOOKUP(D15,Tab_Def_Flows[Name(EN)],Tab_Def_Flows[Input_Process],,0,)</f>
        <v>Water System (Export)</v>
      </c>
      <c r="I15" s="61" t="str">
        <f>_xlfn.XLOOKUP(D15,Tab_Def_Flows[Name(EN)],Tab_Def_Flows[Process_ID_I],,0,)</f>
        <v>14_Wat_BB</v>
      </c>
      <c r="J15" s="61">
        <f>_xlfn.XLOOKUP(D15,Tab_Def_Flows[Name(EN)],Tab_Def_Flows[Value_Source],,0,)</f>
        <v>0</v>
      </c>
      <c r="K15" s="61" t="str">
        <f>_xlfn.XLOOKUP(D15,Tab_Def_Flows[Name(EN)],Tab_Def_Flows[WC?],,0,)</f>
        <v>Yes</v>
      </c>
      <c r="L15" s="61" t="str">
        <f>_xlfn.XLOOKUP(D15,Tab_Def_Flows[Name(EN)],Tab_Def_Flows[DM?],,0,)</f>
        <v>Yes</v>
      </c>
      <c r="M15" s="61" t="str">
        <f>_xlfn.XLOOKUP(D15,Tab_Def_Flows[Name(EN)],Tab_Def_Flows[CC?],,0,)</f>
        <v>Yes</v>
      </c>
      <c r="N15" s="106">
        <v>1</v>
      </c>
      <c r="O15" s="99"/>
      <c r="P15" s="103">
        <v>0</v>
      </c>
      <c r="Q15" s="99"/>
      <c r="R15" s="106">
        <v>0</v>
      </c>
      <c r="S15" s="99"/>
    </row>
    <row r="16" spans="1:19" x14ac:dyDescent="0.35">
      <c r="A16" s="93" t="b">
        <v>0</v>
      </c>
      <c r="B16" s="49">
        <f t="shared" si="0"/>
        <v>15</v>
      </c>
      <c r="C16" s="49" t="str">
        <f>_xlfn.XLOOKUP(D16,Tab_Def_Flows[Name(EN)],Tab_Def_Flows[Flow_ID],,0,)</f>
        <v>F_02_12</v>
      </c>
      <c r="D16" s="51" t="s">
        <v>367</v>
      </c>
      <c r="E16" s="49">
        <f>_xlfn.XLOOKUP(D16,Tab_Def_Flows[Name(EN)],Tab_Def_Flows[Type_Biomass],,0,)</f>
        <v>0</v>
      </c>
      <c r="F16" s="49" t="str">
        <f>_xlfn.XLOOKUP(D16,Tab_Def_Flows[Name(EN)],Tab_Def_Flows[Output_Process],,0,)</f>
        <v>MBC production</v>
      </c>
      <c r="G16" s="49" t="str">
        <f>_xlfn.XLOOKUP(D16,Tab_Def_Flows[Name(EN)],Tab_Def_Flows[Process_ID_O],,0,)</f>
        <v>02_MBC_BB</v>
      </c>
      <c r="H16" s="49" t="str">
        <f>_xlfn.XLOOKUP(D16,Tab_Def_Flows[Name(EN)],Tab_Def_Flows[Input_Process],,0,)</f>
        <v>Delta (MBC)</v>
      </c>
      <c r="I16" s="61" t="str">
        <f>_xlfn.XLOOKUP(D16,Tab_Def_Flows[Name(EN)],Tab_Def_Flows[Process_ID_I],,0,)</f>
        <v>12_Del_BB</v>
      </c>
      <c r="J16" s="61">
        <f>_xlfn.XLOOKUP(D16,Tab_Def_Flows[Name(EN)],Tab_Def_Flows[Value_Source],,0,)</f>
        <v>0</v>
      </c>
      <c r="K16" s="61" t="str">
        <f>_xlfn.XLOOKUP(D16,Tab_Def_Flows[Name(EN)],Tab_Def_Flows[WC?],,0,)</f>
        <v>Yes</v>
      </c>
      <c r="L16" s="61" t="str">
        <f>_xlfn.XLOOKUP(D16,Tab_Def_Flows[Name(EN)],Tab_Def_Flows[DM?],,0,)</f>
        <v>Yes</v>
      </c>
      <c r="M16" s="61" t="str">
        <f>_xlfn.XLOOKUP(D16,Tab_Def_Flows[Name(EN)],Tab_Def_Flows[CC?],,0,)</f>
        <v>Yes</v>
      </c>
      <c r="N16" s="106"/>
      <c r="O16" s="99"/>
      <c r="P16" s="103"/>
      <c r="Q16" s="99"/>
      <c r="R16" s="106"/>
      <c r="S16" s="99"/>
    </row>
    <row r="17" spans="1:23" x14ac:dyDescent="0.35">
      <c r="A17" s="93" t="b">
        <v>0</v>
      </c>
      <c r="B17" s="49">
        <f t="shared" si="0"/>
        <v>16</v>
      </c>
      <c r="C17" s="49" t="str">
        <f>_xlfn.XLOOKUP(D17,Tab_Def_Flows[Name(EN)],Tab_Def_Flows[Flow_ID],,0,)</f>
        <v>F_07_09</v>
      </c>
      <c r="D17" s="51" t="s">
        <v>396</v>
      </c>
      <c r="E17" s="49">
        <f>_xlfn.XLOOKUP(D17,Tab_Def_Flows[Name(EN)],Tab_Def_Flows[Type_Biomass],,0,)</f>
        <v>0</v>
      </c>
      <c r="F17" s="49" t="str">
        <f>_xlfn.XLOOKUP(D17,Tab_Def_Flows[Name(EN)],Tab_Def_Flows[Output_Process],,0,)</f>
        <v>EoL-Treatment (MBC)</v>
      </c>
      <c r="G17" s="49" t="str">
        <f>_xlfn.XLOOKUP(D17,Tab_Def_Flows[Name(EN)],Tab_Def_Flows[Process_ID_O],,0,)</f>
        <v>07_EoL_BB</v>
      </c>
      <c r="H17" s="49" t="str">
        <f>_xlfn.XLOOKUP(D17,Tab_Def_Flows[Name(EN)],Tab_Def_Flows[Input_Process],,0,)</f>
        <v>Biomass Pyrolysis</v>
      </c>
      <c r="I17" s="61" t="str">
        <f>_xlfn.XLOOKUP(D17,Tab_Def_Flows[Name(EN)],Tab_Def_Flows[Process_ID_I],,0,)</f>
        <v>09_Bio_BB</v>
      </c>
      <c r="J17" s="61">
        <f>_xlfn.XLOOKUP(D17,Tab_Def_Flows[Name(EN)],Tab_Def_Flows[Value_Source],,0,)</f>
        <v>0</v>
      </c>
      <c r="K17" s="61" t="str">
        <f>_xlfn.XLOOKUP(D17,Tab_Def_Flows[Name(EN)],Tab_Def_Flows[WC?],,0,)</f>
        <v>Yes</v>
      </c>
      <c r="L17" s="61" t="str">
        <f>_xlfn.XLOOKUP(D17,Tab_Def_Flows[Name(EN)],Tab_Def_Flows[DM?],,0,)</f>
        <v>Yes</v>
      </c>
      <c r="M17" s="61" t="str">
        <f>_xlfn.XLOOKUP(D17,Tab_Def_Flows[Name(EN)],Tab_Def_Flows[CC?],,0,)</f>
        <v>Yes</v>
      </c>
      <c r="N17" s="106"/>
      <c r="O17" s="99"/>
      <c r="P17" s="103">
        <v>0.39</v>
      </c>
      <c r="Q17" s="99"/>
      <c r="R17" s="106">
        <v>0.4</v>
      </c>
      <c r="S17" s="99"/>
    </row>
    <row r="18" spans="1:23" x14ac:dyDescent="0.35">
      <c r="A18" s="93" t="b">
        <v>0</v>
      </c>
      <c r="B18" s="49">
        <f t="shared" si="0"/>
        <v>17</v>
      </c>
      <c r="C18" s="49" t="str">
        <f>_xlfn.XLOOKUP(D18,Tab_Def_Flows[Name(EN)],Tab_Def_Flows[Flow_ID],,0,)</f>
        <v>F_07_10</v>
      </c>
      <c r="D18" s="51" t="s">
        <v>397</v>
      </c>
      <c r="E18" s="49">
        <f>_xlfn.XLOOKUP(D18,Tab_Def_Flows[Name(EN)],Tab_Def_Flows[Type_Biomass],,0,)</f>
        <v>0</v>
      </c>
      <c r="F18" s="49" t="str">
        <f>_xlfn.XLOOKUP(D18,Tab_Def_Flows[Name(EN)],Tab_Def_Flows[Output_Process],,0,)</f>
        <v>EoL-Treatment (MBC)</v>
      </c>
      <c r="G18" s="49" t="str">
        <f>_xlfn.XLOOKUP(D18,Tab_Def_Flows[Name(EN)],Tab_Def_Flows[Process_ID_O],,0,)</f>
        <v>07_EoL_BB</v>
      </c>
      <c r="H18" s="49" t="str">
        <f>_xlfn.XLOOKUP(D18,Tab_Def_Flows[Name(EN)],Tab_Def_Flows[Input_Process],,0,)</f>
        <v>Biomass Incineration</v>
      </c>
      <c r="I18" s="61" t="str">
        <f>_xlfn.XLOOKUP(D18,Tab_Def_Flows[Name(EN)],Tab_Def_Flows[Process_ID_I],,0,)</f>
        <v>10_Bio_BB</v>
      </c>
      <c r="J18" s="61">
        <f>_xlfn.XLOOKUP(D18,Tab_Def_Flows[Name(EN)],Tab_Def_Flows[Value_Source],,0,)</f>
        <v>0</v>
      </c>
      <c r="K18" s="61" t="str">
        <f>_xlfn.XLOOKUP(D18,Tab_Def_Flows[Name(EN)],Tab_Def_Flows[WC?],,0,)</f>
        <v>Yes</v>
      </c>
      <c r="L18" s="61" t="str">
        <f>_xlfn.XLOOKUP(D18,Tab_Def_Flows[Name(EN)],Tab_Def_Flows[DM?],,0,)</f>
        <v>Yes</v>
      </c>
      <c r="M18" s="61" t="str">
        <f>_xlfn.XLOOKUP(D18,Tab_Def_Flows[Name(EN)],Tab_Def_Flows[CC?],,0,)</f>
        <v>Yes</v>
      </c>
      <c r="N18" s="106"/>
      <c r="O18" s="99"/>
      <c r="P18" s="103">
        <v>0.39</v>
      </c>
      <c r="Q18" s="99"/>
      <c r="R18" s="106">
        <v>0.4</v>
      </c>
      <c r="S18" s="99"/>
    </row>
    <row r="19" spans="1:23" x14ac:dyDescent="0.35">
      <c r="A19" s="93" t="b">
        <v>0</v>
      </c>
      <c r="B19" s="49">
        <f t="shared" si="0"/>
        <v>18</v>
      </c>
      <c r="C19" s="49" t="str">
        <f>_xlfn.XLOOKUP(D19,Tab_Def_Flows[Name(EN)],Tab_Def_Flows[Flow_ID],,0,)</f>
        <v>F_09_17</v>
      </c>
      <c r="D19" s="51" t="s">
        <v>399</v>
      </c>
      <c r="E19" s="49">
        <f>_xlfn.XLOOKUP(D19,Tab_Def_Flows[Name(EN)],Tab_Def_Flows[Type_Biomass],,0,)</f>
        <v>0</v>
      </c>
      <c r="F19" s="49" t="str">
        <f>_xlfn.XLOOKUP(D19,Tab_Def_Flows[Name(EN)],Tab_Def_Flows[Output_Process],,0,)</f>
        <v>Biomass Pyrolysis</v>
      </c>
      <c r="G19" s="49" t="str">
        <f>_xlfn.XLOOKUP(D19,Tab_Def_Flows[Name(EN)],Tab_Def_Flows[Process_ID_O],,0,)</f>
        <v>09_Bio_BB</v>
      </c>
      <c r="H19" s="49" t="str">
        <f>_xlfn.XLOOKUP(D19,Tab_Def_Flows[Name(EN)],Tab_Def_Flows[Input_Process],,0,)</f>
        <v>Lithosphere</v>
      </c>
      <c r="I19" s="61" t="str">
        <f>_xlfn.XLOOKUP(D19,Tab_Def_Flows[Name(EN)],Tab_Def_Flows[Process_ID_I],,0,)</f>
        <v>17_Lit_BB</v>
      </c>
      <c r="J19" s="61">
        <f>_xlfn.XLOOKUP(D19,Tab_Def_Flows[Name(EN)],Tab_Def_Flows[Value_Source],,0,)</f>
        <v>0</v>
      </c>
      <c r="K19" s="61" t="str">
        <f>_xlfn.XLOOKUP(D19,Tab_Def_Flows[Name(EN)],Tab_Def_Flows[WC?],,0,)</f>
        <v>Yes</v>
      </c>
      <c r="L19" s="61" t="str">
        <f>_xlfn.XLOOKUP(D19,Tab_Def_Flows[Name(EN)],Tab_Def_Flows[DM?],,0,)</f>
        <v>Yes</v>
      </c>
      <c r="M19" s="61" t="str">
        <f>_xlfn.XLOOKUP(D19,Tab_Def_Flows[Name(EN)],Tab_Def_Flows[CC?],,0,)</f>
        <v>Yes</v>
      </c>
      <c r="N19" s="106"/>
      <c r="O19" s="99"/>
      <c r="P19" s="103">
        <v>1</v>
      </c>
      <c r="Q19" s="99"/>
      <c r="R19" s="106">
        <v>0.95</v>
      </c>
      <c r="S19" s="99" t="s">
        <v>419</v>
      </c>
      <c r="W19">
        <v>3.67</v>
      </c>
    </row>
    <row r="20" spans="1:23" x14ac:dyDescent="0.35">
      <c r="A20" s="93" t="b">
        <v>0</v>
      </c>
      <c r="B20" s="49">
        <f t="shared" si="0"/>
        <v>19</v>
      </c>
      <c r="C20" s="49" t="str">
        <f>_xlfn.XLOOKUP(D20,Tab_Def_Flows[Name(EN)],Tab_Def_Flows[Flow_ID],,0,)</f>
        <v>F_10_18</v>
      </c>
      <c r="D20" s="51" t="s">
        <v>189</v>
      </c>
      <c r="E20" s="49">
        <f>_xlfn.XLOOKUP(D20,Tab_Def_Flows[Name(EN)],Tab_Def_Flows[Type_Biomass],,0,)</f>
        <v>0</v>
      </c>
      <c r="F20" s="49" t="str">
        <f>_xlfn.XLOOKUP(D20,Tab_Def_Flows[Name(EN)],Tab_Def_Flows[Output_Process],,0,)</f>
        <v>Biomass Incineration</v>
      </c>
      <c r="G20" s="49" t="str">
        <f>_xlfn.XLOOKUP(D20,Tab_Def_Flows[Name(EN)],Tab_Def_Flows[Process_ID_O],,0,)</f>
        <v>10_Bio_BB</v>
      </c>
      <c r="H20" s="49" t="str">
        <f>_xlfn.XLOOKUP(D20,Tab_Def_Flows[Name(EN)],Tab_Def_Flows[Input_Process],,0,)</f>
        <v>Ash Treatment</v>
      </c>
      <c r="I20" s="61" t="str">
        <f>_xlfn.XLOOKUP(D20,Tab_Def_Flows[Name(EN)],Tab_Def_Flows[Process_ID_I],,0,)</f>
        <v>18_Ash_BB</v>
      </c>
      <c r="J20" s="61">
        <f>_xlfn.XLOOKUP(D20,Tab_Def_Flows[Name(EN)],Tab_Def_Flows[Value_Source],,0,)</f>
        <v>0</v>
      </c>
      <c r="K20" s="61" t="str">
        <f>_xlfn.XLOOKUP(D20,Tab_Def_Flows[Name(EN)],Tab_Def_Flows[WC?],,0,)</f>
        <v>Yes</v>
      </c>
      <c r="L20" s="61" t="str">
        <f>_xlfn.XLOOKUP(D20,Tab_Def_Flows[Name(EN)],Tab_Def_Flows[DM?],,0,)</f>
        <v>Yes</v>
      </c>
      <c r="M20" s="61" t="str">
        <f>_xlfn.XLOOKUP(D20,Tab_Def_Flows[Name(EN)],Tab_Def_Flows[CC?],,0,)</f>
        <v>Yes</v>
      </c>
      <c r="N20" s="106"/>
      <c r="O20" s="99"/>
      <c r="P20" s="103"/>
      <c r="Q20" s="99"/>
      <c r="R20" s="106"/>
      <c r="S20" s="99"/>
    </row>
    <row r="21" spans="1:23" x14ac:dyDescent="0.35">
      <c r="A21" s="93" t="b">
        <v>1</v>
      </c>
      <c r="B21" s="49">
        <f t="shared" si="0"/>
        <v>20</v>
      </c>
      <c r="C21" s="49" t="str">
        <f>_xlfn.XLOOKUP(D21,Tab_Def_Flows[Name(EN)],Tab_Def_Flows[Flow_ID],,0,)</f>
        <v>F_10_19</v>
      </c>
      <c r="D21" s="51" t="s">
        <v>417</v>
      </c>
      <c r="E21" s="49">
        <f>_xlfn.XLOOKUP(D21,Tab_Def_Flows[Name(EN)],Tab_Def_Flows[Type_Biomass],,0,)</f>
        <v>0</v>
      </c>
      <c r="F21" s="49" t="str">
        <f>_xlfn.XLOOKUP(D21,Tab_Def_Flows[Name(EN)],Tab_Def_Flows[Output_Process],,0,)</f>
        <v>Biomass Incineration</v>
      </c>
      <c r="G21" s="49" t="str">
        <f>_xlfn.XLOOKUP(D21,Tab_Def_Flows[Name(EN)],Tab_Def_Flows[Process_ID_O],,0,)</f>
        <v>10_Bio_BB</v>
      </c>
      <c r="H21" s="49" t="str">
        <f>_xlfn.XLOOKUP(D21,Tab_Def_Flows[Name(EN)],Tab_Def_Flows[Input_Process],,0,)</f>
        <v>Atmosphere</v>
      </c>
      <c r="I21" s="61" t="str">
        <f>_xlfn.XLOOKUP(D21,Tab_Def_Flows[Name(EN)],Tab_Def_Flows[Process_ID_I],,0,)</f>
        <v>19_Atm_BB</v>
      </c>
      <c r="J21" s="61" t="str">
        <f>_xlfn.XLOOKUP(D21,Tab_Def_Flows[Name(EN)],Tab_Def_Flows[Value_Source],,0,)</f>
        <v>Calculation_TC</v>
      </c>
      <c r="K21" s="61" t="str">
        <f>_xlfn.XLOOKUP(D21,Tab_Def_Flows[Name(EN)],Tab_Def_Flows[WC?],,0,)</f>
        <v>Yes</v>
      </c>
      <c r="L21" s="61" t="str">
        <f>_xlfn.XLOOKUP(D21,Tab_Def_Flows[Name(EN)],Tab_Def_Flows[DM?],,0,)</f>
        <v>Yes</v>
      </c>
      <c r="M21" s="61" t="str">
        <f>_xlfn.XLOOKUP(D21,Tab_Def_Flows[Name(EN)],Tab_Def_Flows[CC?],,0,)</f>
        <v>Yes</v>
      </c>
      <c r="N21" s="106"/>
      <c r="O21" s="99"/>
      <c r="P21" s="103"/>
      <c r="Q21" s="99"/>
      <c r="R21" s="106"/>
      <c r="S21" s="99"/>
    </row>
    <row r="22" spans="1:23" x14ac:dyDescent="0.35">
      <c r="A22" s="93" t="b">
        <v>0</v>
      </c>
      <c r="B22" s="49">
        <f t="shared" si="0"/>
        <v>21</v>
      </c>
      <c r="C22" s="49" t="str">
        <f>_xlfn.XLOOKUP(D22,Tab_Def_Flows[Name(EN)],Tab_Def_Flows[Flow_ID],,0,)</f>
        <v>F_21_21</v>
      </c>
      <c r="D22" s="51"/>
      <c r="E22" s="49">
        <f>_xlfn.XLOOKUP(D22,Tab_Def_Flows[Name(EN)],Tab_Def_Flows[Type_Biomass],,0,)</f>
        <v>0</v>
      </c>
      <c r="F22" s="49">
        <f>_xlfn.XLOOKUP(D22,Tab_Def_Flows[Name(EN)],Tab_Def_Flows[Output_Process],,0,)</f>
        <v>0</v>
      </c>
      <c r="G22" s="49" t="str">
        <f>_xlfn.XLOOKUP(D22,Tab_Def_Flows[Name(EN)],Tab_Def_Flows[Process_ID_O],,0,)</f>
        <v>21__</v>
      </c>
      <c r="H22" s="49">
        <f>_xlfn.XLOOKUP(D22,Tab_Def_Flows[Name(EN)],Tab_Def_Flows[Input_Process],,0,)</f>
        <v>0</v>
      </c>
      <c r="I22" s="61" t="str">
        <f>_xlfn.XLOOKUP(D22,Tab_Def_Flows[Name(EN)],Tab_Def_Flows[Process_ID_I],,0,)</f>
        <v>21__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6"/>
      <c r="O22" s="99"/>
      <c r="P22" s="103"/>
      <c r="Q22" s="99"/>
      <c r="R22" s="106"/>
      <c r="S22" s="99"/>
    </row>
    <row r="23" spans="1:23" x14ac:dyDescent="0.35">
      <c r="A23" s="93" t="b">
        <v>0</v>
      </c>
      <c r="B23" s="49">
        <f t="shared" si="0"/>
        <v>22</v>
      </c>
      <c r="C23" s="49" t="str">
        <f>_xlfn.XLOOKUP(D23,Tab_Def_Flows[Name(EN)],Tab_Def_Flows[Flow_ID],,0,)</f>
        <v>F_21_21</v>
      </c>
      <c r="D23" s="51"/>
      <c r="E23" s="49">
        <f>_xlfn.XLOOKUP(D23,Tab_Def_Flows[Name(EN)],Tab_Def_Flows[Type_Biomass],,0,)</f>
        <v>0</v>
      </c>
      <c r="F23" s="49">
        <f>_xlfn.XLOOKUP(D23,Tab_Def_Flows[Name(EN)],Tab_Def_Flows[Output_Process],,0,)</f>
        <v>0</v>
      </c>
      <c r="G23" s="49" t="str">
        <f>_xlfn.XLOOKUP(D23,Tab_Def_Flows[Name(EN)],Tab_Def_Flows[Process_ID_O],,0,)</f>
        <v>21__</v>
      </c>
      <c r="H23" s="49">
        <f>_xlfn.XLOOKUP(D23,Tab_Def_Flows[Name(EN)],Tab_Def_Flows[Input_Process],,0,)</f>
        <v>0</v>
      </c>
      <c r="I23" s="61" t="str">
        <f>_xlfn.XLOOKUP(D23,Tab_Def_Flows[Name(EN)],Tab_Def_Flows[Process_ID_I],,0,)</f>
        <v>21__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6"/>
      <c r="O23" s="99"/>
      <c r="P23" s="103"/>
      <c r="Q23" s="99"/>
      <c r="R23" s="106"/>
      <c r="S23" s="99"/>
    </row>
    <row r="24" spans="1:23" x14ac:dyDescent="0.35">
      <c r="A24" s="93" t="b">
        <v>0</v>
      </c>
      <c r="B24" s="49">
        <f t="shared" si="0"/>
        <v>23</v>
      </c>
      <c r="C24" s="49" t="str">
        <f>_xlfn.XLOOKUP(D24,Tab_Def_Flows[Name(EN)],Tab_Def_Flows[Flow_ID],,0,)</f>
        <v>F_21_21</v>
      </c>
      <c r="D24" s="51"/>
      <c r="E24" s="49">
        <f>_xlfn.XLOOKUP(D24,Tab_Def_Flows[Name(EN)],Tab_Def_Flows[Type_Biomass],,0,)</f>
        <v>0</v>
      </c>
      <c r="F24" s="49">
        <f>_xlfn.XLOOKUP(D24,Tab_Def_Flows[Name(EN)],Tab_Def_Flows[Output_Process],,0,)</f>
        <v>0</v>
      </c>
      <c r="G24" s="49" t="str">
        <f>_xlfn.XLOOKUP(D24,Tab_Def_Flows[Name(EN)],Tab_Def_Flows[Process_ID_O],,0,)</f>
        <v>21__</v>
      </c>
      <c r="H24" s="49">
        <f>_xlfn.XLOOKUP(D24,Tab_Def_Flows[Name(EN)],Tab_Def_Flows[Input_Process],,0,)</f>
        <v>0</v>
      </c>
      <c r="I24" s="61" t="str">
        <f>_xlfn.XLOOKUP(D24,Tab_Def_Flows[Name(EN)],Tab_Def_Flows[Process_ID_I],,0,)</f>
        <v>21__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6"/>
      <c r="O24" s="99"/>
      <c r="P24" s="103"/>
      <c r="Q24" s="99"/>
      <c r="R24" s="106"/>
      <c r="S24" s="99"/>
    </row>
    <row r="25" spans="1:23" x14ac:dyDescent="0.35">
      <c r="A25" s="93" t="b">
        <v>0</v>
      </c>
      <c r="B25" s="49">
        <f t="shared" si="0"/>
        <v>24</v>
      </c>
      <c r="C25" s="49" t="str">
        <f>_xlfn.XLOOKUP(D25,Tab_Def_Flows[Name(EN)],Tab_Def_Flows[Flow_ID],,0,)</f>
        <v>F_21_21</v>
      </c>
      <c r="D25" s="51"/>
      <c r="E25" s="49">
        <f>_xlfn.XLOOKUP(D25,Tab_Def_Flows[Name(EN)],Tab_Def_Flows[Type_Biomass],,0,)</f>
        <v>0</v>
      </c>
      <c r="F25" s="49">
        <f>_xlfn.XLOOKUP(D25,Tab_Def_Flows[Name(EN)],Tab_Def_Flows[Output_Process],,0,)</f>
        <v>0</v>
      </c>
      <c r="G25" s="49" t="str">
        <f>_xlfn.XLOOKUP(D25,Tab_Def_Flows[Name(EN)],Tab_Def_Flows[Process_ID_O],,0,)</f>
        <v>21__</v>
      </c>
      <c r="H25" s="49">
        <f>_xlfn.XLOOKUP(D25,Tab_Def_Flows[Name(EN)],Tab_Def_Flows[Input_Process],,0,)</f>
        <v>0</v>
      </c>
      <c r="I25" s="61" t="str">
        <f>_xlfn.XLOOKUP(D25,Tab_Def_Flows[Name(EN)],Tab_Def_Flows[Process_ID_I],,0,)</f>
        <v>21__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6"/>
      <c r="O25" s="99"/>
      <c r="P25" s="103"/>
      <c r="Q25" s="99"/>
      <c r="R25" s="106"/>
      <c r="S25" s="99"/>
    </row>
    <row r="26" spans="1:23" x14ac:dyDescent="0.35">
      <c r="A26" s="93" t="b">
        <v>0</v>
      </c>
      <c r="B26" s="49">
        <f t="shared" si="0"/>
        <v>25</v>
      </c>
      <c r="C26" s="49" t="str">
        <f>_xlfn.XLOOKUP(D26,Tab_Def_Flows[Name(EN)],Tab_Def_Flows[Flow_ID],,0,)</f>
        <v>F_21_21</v>
      </c>
      <c r="D26" s="51"/>
      <c r="E26" s="49">
        <f>_xlfn.XLOOKUP(D26,Tab_Def_Flows[Name(EN)],Tab_Def_Flows[Type_Biomass],,0,)</f>
        <v>0</v>
      </c>
      <c r="F26" s="49">
        <f>_xlfn.XLOOKUP(D26,Tab_Def_Flows[Name(EN)],Tab_Def_Flows[Output_Process],,0,)</f>
        <v>0</v>
      </c>
      <c r="G26" s="49" t="str">
        <f>_xlfn.XLOOKUP(D26,Tab_Def_Flows[Name(EN)],Tab_Def_Flows[Process_ID_O],,0,)</f>
        <v>21__</v>
      </c>
      <c r="H26" s="49">
        <f>_xlfn.XLOOKUP(D26,Tab_Def_Flows[Name(EN)],Tab_Def_Flows[Input_Process],,0,)</f>
        <v>0</v>
      </c>
      <c r="I26" s="61" t="str">
        <f>_xlfn.XLOOKUP(D26,Tab_Def_Flows[Name(EN)],Tab_Def_Flows[Process_ID_I],,0,)</f>
        <v>21__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6"/>
      <c r="O26" s="99"/>
      <c r="P26" s="103"/>
      <c r="Q26" s="99"/>
      <c r="R26" s="106"/>
      <c r="S26" s="99"/>
    </row>
    <row r="27" spans="1:23" x14ac:dyDescent="0.35">
      <c r="A27" s="93" t="b">
        <v>0</v>
      </c>
      <c r="B27" s="49">
        <f t="shared" si="0"/>
        <v>26</v>
      </c>
      <c r="C27" s="49" t="str">
        <f>_xlfn.XLOOKUP(D27,Tab_Def_Flows[Name(EN)],Tab_Def_Flows[Flow_ID],,0,)</f>
        <v>F_21_21</v>
      </c>
      <c r="D27" s="51"/>
      <c r="E27" s="49">
        <f>_xlfn.XLOOKUP(D27,Tab_Def_Flows[Name(EN)],Tab_Def_Flows[Type_Biomass],,0,)</f>
        <v>0</v>
      </c>
      <c r="F27" s="49">
        <f>_xlfn.XLOOKUP(D27,Tab_Def_Flows[Name(EN)],Tab_Def_Flows[Output_Process],,0,)</f>
        <v>0</v>
      </c>
      <c r="G27" s="49" t="str">
        <f>_xlfn.XLOOKUP(D27,Tab_Def_Flows[Name(EN)],Tab_Def_Flows[Process_ID_O],,0,)</f>
        <v>21__</v>
      </c>
      <c r="H27" s="49">
        <f>_xlfn.XLOOKUP(D27,Tab_Def_Flows[Name(EN)],Tab_Def_Flows[Input_Process],,0,)</f>
        <v>0</v>
      </c>
      <c r="I27" s="61" t="str">
        <f>_xlfn.XLOOKUP(D27,Tab_Def_Flows[Name(EN)],Tab_Def_Flows[Process_ID_I],,0,)</f>
        <v>21__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6"/>
      <c r="O27" s="99"/>
      <c r="P27" s="103"/>
      <c r="Q27" s="99"/>
      <c r="R27" s="106"/>
      <c r="S27" s="99"/>
    </row>
    <row r="28" spans="1:23" x14ac:dyDescent="0.35">
      <c r="A28" s="93" t="b">
        <v>0</v>
      </c>
      <c r="B28" s="49">
        <f t="shared" si="0"/>
        <v>27</v>
      </c>
      <c r="C28" s="49" t="str">
        <f>_xlfn.XLOOKUP(D28,Tab_Def_Flows[Name(EN)],Tab_Def_Flows[Flow_ID],,0,)</f>
        <v>F_21_21</v>
      </c>
      <c r="D28" s="51"/>
      <c r="E28" s="49">
        <f>_xlfn.XLOOKUP(D28,Tab_Def_Flows[Name(EN)],Tab_Def_Flows[Type_Biomass],,0,)</f>
        <v>0</v>
      </c>
      <c r="F28" s="49">
        <f>_xlfn.XLOOKUP(D28,Tab_Def_Flows[Name(EN)],Tab_Def_Flows[Output_Process],,0,)</f>
        <v>0</v>
      </c>
      <c r="G28" s="49" t="str">
        <f>_xlfn.XLOOKUP(D28,Tab_Def_Flows[Name(EN)],Tab_Def_Flows[Process_ID_O],,0,)</f>
        <v>21__</v>
      </c>
      <c r="H28" s="49">
        <f>_xlfn.XLOOKUP(D28,Tab_Def_Flows[Name(EN)],Tab_Def_Flows[Input_Process],,0,)</f>
        <v>0</v>
      </c>
      <c r="I28" s="61" t="str">
        <f>_xlfn.XLOOKUP(D28,Tab_Def_Flows[Name(EN)],Tab_Def_Flows[Process_ID_I],,0,)</f>
        <v>21__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6"/>
      <c r="O28" s="99"/>
      <c r="P28" s="103"/>
      <c r="Q28" s="99"/>
      <c r="R28" s="106"/>
      <c r="S28" s="99"/>
    </row>
    <row r="29" spans="1:23" x14ac:dyDescent="0.35">
      <c r="A29" s="93" t="b">
        <v>0</v>
      </c>
      <c r="B29" s="49">
        <f t="shared" si="0"/>
        <v>28</v>
      </c>
      <c r="C29" s="49" t="str">
        <f>_xlfn.XLOOKUP(D29,Tab_Def_Flows[Name(EN)],Tab_Def_Flows[Flow_ID],,0,)</f>
        <v>F_21_21</v>
      </c>
      <c r="D29" s="51"/>
      <c r="E29" s="49">
        <f>_xlfn.XLOOKUP(D29,Tab_Def_Flows[Name(EN)],Tab_Def_Flows[Type_Biomass],,0,)</f>
        <v>0</v>
      </c>
      <c r="F29" s="49">
        <f>_xlfn.XLOOKUP(D29,Tab_Def_Flows[Name(EN)],Tab_Def_Flows[Output_Process],,0,)</f>
        <v>0</v>
      </c>
      <c r="G29" s="49" t="str">
        <f>_xlfn.XLOOKUP(D29,Tab_Def_Flows[Name(EN)],Tab_Def_Flows[Process_ID_O],,0,)</f>
        <v>21__</v>
      </c>
      <c r="H29" s="49">
        <f>_xlfn.XLOOKUP(D29,Tab_Def_Flows[Name(EN)],Tab_Def_Flows[Input_Process],,0,)</f>
        <v>0</v>
      </c>
      <c r="I29" s="61" t="str">
        <f>_xlfn.XLOOKUP(D29,Tab_Def_Flows[Name(EN)],Tab_Def_Flows[Process_ID_I],,0,)</f>
        <v>21__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6"/>
      <c r="O29" s="99"/>
      <c r="P29" s="103"/>
      <c r="Q29" s="99"/>
      <c r="R29" s="106"/>
      <c r="S29" s="99"/>
    </row>
    <row r="30" spans="1:23" x14ac:dyDescent="0.35">
      <c r="A30" s="93" t="b">
        <v>0</v>
      </c>
      <c r="B30" s="49">
        <f t="shared" si="0"/>
        <v>29</v>
      </c>
      <c r="C30" s="49" t="str">
        <f>_xlfn.XLOOKUP(D30,Tab_Def_Flows[Name(EN)],Tab_Def_Flows[Flow_ID],,0,)</f>
        <v>F_21_21</v>
      </c>
      <c r="D30" s="51"/>
      <c r="E30" s="49">
        <f>_xlfn.XLOOKUP(D30,Tab_Def_Flows[Name(EN)],Tab_Def_Flows[Type_Biomass],,0,)</f>
        <v>0</v>
      </c>
      <c r="F30" s="49">
        <f>_xlfn.XLOOKUP(D30,Tab_Def_Flows[Name(EN)],Tab_Def_Flows[Output_Process],,0,)</f>
        <v>0</v>
      </c>
      <c r="G30" s="49" t="str">
        <f>_xlfn.XLOOKUP(D30,Tab_Def_Flows[Name(EN)],Tab_Def_Flows[Process_ID_O],,0,)</f>
        <v>21__</v>
      </c>
      <c r="H30" s="49">
        <f>_xlfn.XLOOKUP(D30,Tab_Def_Flows[Name(EN)],Tab_Def_Flows[Input_Process],,0,)</f>
        <v>0</v>
      </c>
      <c r="I30" s="61" t="str">
        <f>_xlfn.XLOOKUP(D30,Tab_Def_Flows[Name(EN)],Tab_Def_Flows[Process_ID_I],,0,)</f>
        <v>21__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6"/>
      <c r="O30" s="99"/>
      <c r="P30" s="103"/>
      <c r="Q30" s="99"/>
      <c r="R30" s="106"/>
      <c r="S30" s="99"/>
    </row>
    <row r="31" spans="1:23" x14ac:dyDescent="0.35">
      <c r="A31" s="93" t="b">
        <v>0</v>
      </c>
      <c r="B31" s="49">
        <f t="shared" si="0"/>
        <v>30</v>
      </c>
      <c r="C31" s="49" t="str">
        <f>_xlfn.XLOOKUP(D31,Tab_Def_Flows[Name(EN)],Tab_Def_Flows[Flow_ID],,0,)</f>
        <v>F_21_21</v>
      </c>
      <c r="D31" s="51"/>
      <c r="E31" s="49">
        <f>_xlfn.XLOOKUP(D31,Tab_Def_Flows[Name(EN)],Tab_Def_Flows[Type_Biomass],,0,)</f>
        <v>0</v>
      </c>
      <c r="F31" s="49">
        <f>_xlfn.XLOOKUP(D31,Tab_Def_Flows[Name(EN)],Tab_Def_Flows[Output_Process],,0,)</f>
        <v>0</v>
      </c>
      <c r="G31" s="49" t="str">
        <f>_xlfn.XLOOKUP(D31,Tab_Def_Flows[Name(EN)],Tab_Def_Flows[Process_ID_O],,0,)</f>
        <v>21__</v>
      </c>
      <c r="H31" s="49">
        <f>_xlfn.XLOOKUP(D31,Tab_Def_Flows[Name(EN)],Tab_Def_Flows[Input_Process],,0,)</f>
        <v>0</v>
      </c>
      <c r="I31" s="61" t="str">
        <f>_xlfn.XLOOKUP(D31,Tab_Def_Flows[Name(EN)],Tab_Def_Flows[Process_ID_I],,0,)</f>
        <v>21__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6"/>
      <c r="O31" s="99"/>
      <c r="P31" s="103"/>
      <c r="Q31" s="99"/>
      <c r="R31" s="106"/>
      <c r="S31" s="99"/>
    </row>
    <row r="32" spans="1:23" x14ac:dyDescent="0.35">
      <c r="A32" s="93" t="b">
        <v>0</v>
      </c>
      <c r="B32" s="49">
        <f t="shared" si="0"/>
        <v>31</v>
      </c>
      <c r="C32" s="49" t="str">
        <f>_xlfn.XLOOKUP(D32,Tab_Def_Flows[Name(EN)],Tab_Def_Flows[Flow_ID],,0,)</f>
        <v>F_21_21</v>
      </c>
      <c r="D32" s="51"/>
      <c r="E32" s="49">
        <f>_xlfn.XLOOKUP(D32,Tab_Def_Flows[Name(EN)],Tab_Def_Flows[Type_Biomass],,0,)</f>
        <v>0</v>
      </c>
      <c r="F32" s="49">
        <f>_xlfn.XLOOKUP(D32,Tab_Def_Flows[Name(EN)],Tab_Def_Flows[Output_Process],,0,)</f>
        <v>0</v>
      </c>
      <c r="G32" s="49" t="str">
        <f>_xlfn.XLOOKUP(D32,Tab_Def_Flows[Name(EN)],Tab_Def_Flows[Process_ID_O],,0,)</f>
        <v>21__</v>
      </c>
      <c r="H32" s="49">
        <f>_xlfn.XLOOKUP(D32,Tab_Def_Flows[Name(EN)],Tab_Def_Flows[Input_Process],,0,)</f>
        <v>0</v>
      </c>
      <c r="I32" s="61" t="str">
        <f>_xlfn.XLOOKUP(D32,Tab_Def_Flows[Name(EN)],Tab_Def_Flows[Process_ID_I],,0,)</f>
        <v>21__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6"/>
      <c r="O32" s="99"/>
      <c r="P32" s="103"/>
      <c r="Q32" s="99"/>
      <c r="R32" s="106"/>
      <c r="S32" s="99"/>
    </row>
    <row r="33" spans="1:19" x14ac:dyDescent="0.35">
      <c r="A33" s="93" t="b">
        <v>0</v>
      </c>
      <c r="B33" s="49">
        <f t="shared" si="0"/>
        <v>32</v>
      </c>
      <c r="C33" s="49" t="str">
        <f>_xlfn.XLOOKUP(D33,Tab_Def_Flows[Name(EN)],Tab_Def_Flows[Flow_ID],,0,)</f>
        <v>F_21_21</v>
      </c>
      <c r="D33" s="51"/>
      <c r="E33" s="49">
        <f>_xlfn.XLOOKUP(D33,Tab_Def_Flows[Name(EN)],Tab_Def_Flows[Type_Biomass],,0,)</f>
        <v>0</v>
      </c>
      <c r="F33" s="49">
        <f>_xlfn.XLOOKUP(D33,Tab_Def_Flows[Name(EN)],Tab_Def_Flows[Output_Process],,0,)</f>
        <v>0</v>
      </c>
      <c r="G33" s="49" t="str">
        <f>_xlfn.XLOOKUP(D33,Tab_Def_Flows[Name(EN)],Tab_Def_Flows[Process_ID_O],,0,)</f>
        <v>21__</v>
      </c>
      <c r="H33" s="49">
        <f>_xlfn.XLOOKUP(D33,Tab_Def_Flows[Name(EN)],Tab_Def_Flows[Input_Process],,0,)</f>
        <v>0</v>
      </c>
      <c r="I33" s="61" t="str">
        <f>_xlfn.XLOOKUP(D33,Tab_Def_Flows[Name(EN)],Tab_Def_Flows[Process_ID_I],,0,)</f>
        <v>21__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6"/>
      <c r="O33" s="99"/>
      <c r="P33" s="103"/>
      <c r="Q33" s="99"/>
      <c r="R33" s="106"/>
      <c r="S33" s="99"/>
    </row>
    <row r="34" spans="1:19" x14ac:dyDescent="0.35">
      <c r="A34" s="93" t="b">
        <v>0</v>
      </c>
      <c r="B34" s="49">
        <f t="shared" si="0"/>
        <v>33</v>
      </c>
      <c r="C34" s="49" t="str">
        <f>_xlfn.XLOOKUP(D34,Tab_Def_Flows[Name(EN)],Tab_Def_Flows[Flow_ID],,0,)</f>
        <v>F_21_21</v>
      </c>
      <c r="D34" s="51"/>
      <c r="E34" s="49">
        <f>_xlfn.XLOOKUP(D34,Tab_Def_Flows[Name(EN)],Tab_Def_Flows[Type_Biomass],,0,)</f>
        <v>0</v>
      </c>
      <c r="F34" s="49">
        <f>_xlfn.XLOOKUP(D34,Tab_Def_Flows[Name(EN)],Tab_Def_Flows[Output_Process],,0,)</f>
        <v>0</v>
      </c>
      <c r="G34" s="49" t="str">
        <f>_xlfn.XLOOKUP(D34,Tab_Def_Flows[Name(EN)],Tab_Def_Flows[Process_ID_O],,0,)</f>
        <v>21__</v>
      </c>
      <c r="H34" s="49">
        <f>_xlfn.XLOOKUP(D34,Tab_Def_Flows[Name(EN)],Tab_Def_Flows[Input_Process],,0,)</f>
        <v>0</v>
      </c>
      <c r="I34" s="61" t="str">
        <f>_xlfn.XLOOKUP(D34,Tab_Def_Flows[Name(EN)],Tab_Def_Flows[Process_ID_I],,0,)</f>
        <v>21__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6"/>
      <c r="O34" s="99"/>
      <c r="P34" s="103"/>
      <c r="Q34" s="99"/>
      <c r="R34" s="106"/>
      <c r="S34" s="99"/>
    </row>
    <row r="35" spans="1:19" x14ac:dyDescent="0.35">
      <c r="A35" s="93" t="b">
        <v>0</v>
      </c>
      <c r="B35" s="49">
        <f t="shared" si="0"/>
        <v>34</v>
      </c>
      <c r="C35" s="49" t="str">
        <f>_xlfn.XLOOKUP(D35,Tab_Def_Flows[Name(EN)],Tab_Def_Flows[Flow_ID],,0,)</f>
        <v>F_21_21</v>
      </c>
      <c r="D35" s="51"/>
      <c r="E35" s="49">
        <f>_xlfn.XLOOKUP(D35,Tab_Def_Flows[Name(EN)],Tab_Def_Flows[Type_Biomass],,0,)</f>
        <v>0</v>
      </c>
      <c r="F35" s="49">
        <f>_xlfn.XLOOKUP(D35,Tab_Def_Flows[Name(EN)],Tab_Def_Flows[Output_Process],,0,)</f>
        <v>0</v>
      </c>
      <c r="G35" s="49" t="str">
        <f>_xlfn.XLOOKUP(D35,Tab_Def_Flows[Name(EN)],Tab_Def_Flows[Process_ID_O],,0,)</f>
        <v>21__</v>
      </c>
      <c r="H35" s="49">
        <f>_xlfn.XLOOKUP(D35,Tab_Def_Flows[Name(EN)],Tab_Def_Flows[Input_Process],,0,)</f>
        <v>0</v>
      </c>
      <c r="I35" s="61" t="str">
        <f>_xlfn.XLOOKUP(D35,Tab_Def_Flows[Name(EN)],Tab_Def_Flows[Process_ID_I],,0,)</f>
        <v>21__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6"/>
      <c r="O35" s="99"/>
      <c r="P35" s="103"/>
      <c r="Q35" s="99"/>
      <c r="R35" s="106"/>
      <c r="S35" s="99"/>
    </row>
    <row r="36" spans="1:19" x14ac:dyDescent="0.35">
      <c r="A36" s="93" t="b">
        <v>0</v>
      </c>
      <c r="B36" s="49">
        <f t="shared" si="0"/>
        <v>35</v>
      </c>
      <c r="C36" s="49" t="str">
        <f>_xlfn.XLOOKUP(D36,Tab_Def_Flows[Name(EN)],Tab_Def_Flows[Flow_ID],,0,)</f>
        <v>F_21_21</v>
      </c>
      <c r="D36" s="51"/>
      <c r="E36" s="49">
        <f>_xlfn.XLOOKUP(D36,Tab_Def_Flows[Name(EN)],Tab_Def_Flows[Type_Biomass],,0,)</f>
        <v>0</v>
      </c>
      <c r="F36" s="49">
        <f>_xlfn.XLOOKUP(D36,Tab_Def_Flows[Name(EN)],Tab_Def_Flows[Output_Process],,0,)</f>
        <v>0</v>
      </c>
      <c r="G36" s="49" t="str">
        <f>_xlfn.XLOOKUP(D36,Tab_Def_Flows[Name(EN)],Tab_Def_Flows[Process_ID_O],,0,)</f>
        <v>21__</v>
      </c>
      <c r="H36" s="49">
        <f>_xlfn.XLOOKUP(D36,Tab_Def_Flows[Name(EN)],Tab_Def_Flows[Input_Process],,0,)</f>
        <v>0</v>
      </c>
      <c r="I36" s="61" t="str">
        <f>_xlfn.XLOOKUP(D36,Tab_Def_Flows[Name(EN)],Tab_Def_Flows[Process_ID_I],,0,)</f>
        <v>21__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6"/>
      <c r="O36" s="99"/>
      <c r="P36" s="103"/>
      <c r="Q36" s="99"/>
      <c r="R36" s="106"/>
      <c r="S36" s="99"/>
    </row>
    <row r="37" spans="1:19" x14ac:dyDescent="0.35">
      <c r="A37" s="93" t="b">
        <v>0</v>
      </c>
      <c r="B37" s="49">
        <f t="shared" si="0"/>
        <v>36</v>
      </c>
      <c r="C37" s="49" t="str">
        <f>_xlfn.XLOOKUP(D37,Tab_Def_Flows[Name(EN)],Tab_Def_Flows[Flow_ID],,0,)</f>
        <v>F_21_21</v>
      </c>
      <c r="D37" s="51"/>
      <c r="E37" s="49">
        <f>_xlfn.XLOOKUP(D37,Tab_Def_Flows[Name(EN)],Tab_Def_Flows[Type_Biomass],,0,)</f>
        <v>0</v>
      </c>
      <c r="F37" s="49">
        <f>_xlfn.XLOOKUP(D37,Tab_Def_Flows[Name(EN)],Tab_Def_Flows[Output_Process],,0,)</f>
        <v>0</v>
      </c>
      <c r="G37" s="49" t="str">
        <f>_xlfn.XLOOKUP(D37,Tab_Def_Flows[Name(EN)],Tab_Def_Flows[Process_ID_O],,0,)</f>
        <v>21__</v>
      </c>
      <c r="H37" s="49">
        <f>_xlfn.XLOOKUP(D37,Tab_Def_Flows[Name(EN)],Tab_Def_Flows[Input_Process],,0,)</f>
        <v>0</v>
      </c>
      <c r="I37" s="61" t="str">
        <f>_xlfn.XLOOKUP(D37,Tab_Def_Flows[Name(EN)],Tab_Def_Flows[Process_ID_I],,0,)</f>
        <v>21__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6"/>
      <c r="O37" s="99"/>
      <c r="P37" s="103"/>
      <c r="Q37" s="99"/>
      <c r="R37" s="106"/>
      <c r="S37" s="99"/>
    </row>
    <row r="38" spans="1:19" x14ac:dyDescent="0.35">
      <c r="A38" s="93" t="b">
        <v>0</v>
      </c>
      <c r="B38" s="49">
        <f t="shared" si="0"/>
        <v>37</v>
      </c>
      <c r="C38" s="49" t="str">
        <f>_xlfn.XLOOKUP(D38,Tab_Def_Flows[Name(EN)],Tab_Def_Flows[Flow_ID],,0,)</f>
        <v>F_21_21</v>
      </c>
      <c r="D38" s="51"/>
      <c r="E38" s="49">
        <f>_xlfn.XLOOKUP(D38,Tab_Def_Flows[Name(EN)],Tab_Def_Flows[Type_Biomass],,0,)</f>
        <v>0</v>
      </c>
      <c r="F38" s="49">
        <f>_xlfn.XLOOKUP(D38,Tab_Def_Flows[Name(EN)],Tab_Def_Flows[Output_Process],,0,)</f>
        <v>0</v>
      </c>
      <c r="G38" s="49" t="str">
        <f>_xlfn.XLOOKUP(D38,Tab_Def_Flows[Name(EN)],Tab_Def_Flows[Process_ID_O],,0,)</f>
        <v>21__</v>
      </c>
      <c r="H38" s="49">
        <f>_xlfn.XLOOKUP(D38,Tab_Def_Flows[Name(EN)],Tab_Def_Flows[Input_Process],,0,)</f>
        <v>0</v>
      </c>
      <c r="I38" s="61" t="str">
        <f>_xlfn.XLOOKUP(D38,Tab_Def_Flows[Name(EN)],Tab_Def_Flows[Process_ID_I],,0,)</f>
        <v>21__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6"/>
      <c r="O38" s="99"/>
      <c r="P38" s="103"/>
      <c r="Q38" s="99"/>
      <c r="R38" s="106"/>
      <c r="S38" s="99"/>
    </row>
    <row r="39" spans="1:19" x14ac:dyDescent="0.35">
      <c r="A39" s="93" t="b">
        <v>0</v>
      </c>
      <c r="B39" s="49">
        <f t="shared" si="0"/>
        <v>38</v>
      </c>
      <c r="C39" s="49" t="str">
        <f>_xlfn.XLOOKUP(D39,Tab_Def_Flows[Name(EN)],Tab_Def_Flows[Flow_ID],,0,)</f>
        <v>F_21_21</v>
      </c>
      <c r="D39" s="51"/>
      <c r="E39" s="49">
        <f>_xlfn.XLOOKUP(D39,Tab_Def_Flows[Name(EN)],Tab_Def_Flows[Type_Biomass],,0,)</f>
        <v>0</v>
      </c>
      <c r="F39" s="49">
        <f>_xlfn.XLOOKUP(D39,Tab_Def_Flows[Name(EN)],Tab_Def_Flows[Output_Process],,0,)</f>
        <v>0</v>
      </c>
      <c r="G39" s="49" t="str">
        <f>_xlfn.XLOOKUP(D39,Tab_Def_Flows[Name(EN)],Tab_Def_Flows[Process_ID_O],,0,)</f>
        <v>21__</v>
      </c>
      <c r="H39" s="49">
        <f>_xlfn.XLOOKUP(D39,Tab_Def_Flows[Name(EN)],Tab_Def_Flows[Input_Process],,0,)</f>
        <v>0</v>
      </c>
      <c r="I39" s="61" t="str">
        <f>_xlfn.XLOOKUP(D39,Tab_Def_Flows[Name(EN)],Tab_Def_Flows[Process_ID_I],,0,)</f>
        <v>21__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6"/>
      <c r="O39" s="99"/>
      <c r="P39" s="103"/>
      <c r="Q39" s="99"/>
      <c r="R39" s="106"/>
      <c r="S39" s="99"/>
    </row>
    <row r="40" spans="1:19" x14ac:dyDescent="0.35">
      <c r="A40" s="93" t="b">
        <v>0</v>
      </c>
      <c r="B40" s="49">
        <f t="shared" si="0"/>
        <v>39</v>
      </c>
      <c r="C40" s="49" t="str">
        <f>_xlfn.XLOOKUP(D40,Tab_Def_Flows[Name(EN)],Tab_Def_Flows[Flow_ID],,0,)</f>
        <v>F_21_21</v>
      </c>
      <c r="D40" s="51"/>
      <c r="E40" s="49">
        <f>_xlfn.XLOOKUP(D40,Tab_Def_Flows[Name(EN)],Tab_Def_Flows[Type_Biomass],,0,)</f>
        <v>0</v>
      </c>
      <c r="F40" s="49">
        <f>_xlfn.XLOOKUP(D40,Tab_Def_Flows[Name(EN)],Tab_Def_Flows[Output_Process],,0,)</f>
        <v>0</v>
      </c>
      <c r="G40" s="49" t="str">
        <f>_xlfn.XLOOKUP(D40,Tab_Def_Flows[Name(EN)],Tab_Def_Flows[Process_ID_O],,0,)</f>
        <v>21__</v>
      </c>
      <c r="H40" s="49">
        <f>_xlfn.XLOOKUP(D40,Tab_Def_Flows[Name(EN)],Tab_Def_Flows[Input_Process],,0,)</f>
        <v>0</v>
      </c>
      <c r="I40" s="61" t="str">
        <f>_xlfn.XLOOKUP(D40,Tab_Def_Flows[Name(EN)],Tab_Def_Flows[Process_ID_I],,0,)</f>
        <v>21__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6"/>
      <c r="O40" s="99"/>
      <c r="P40" s="103"/>
      <c r="Q40" s="99"/>
      <c r="R40" s="106"/>
      <c r="S40" s="99"/>
    </row>
    <row r="41" spans="1:19" ht="15" thickBot="1" x14ac:dyDescent="0.4">
      <c r="A41" s="93" t="b">
        <v>0</v>
      </c>
      <c r="B41" s="49">
        <f t="shared" si="0"/>
        <v>40</v>
      </c>
      <c r="C41" s="49" t="str">
        <f>_xlfn.XLOOKUP(D41,Tab_Def_Flows[Name(EN)],Tab_Def_Flows[Flow_ID],,0,)</f>
        <v>F_21_21</v>
      </c>
      <c r="D41" s="51"/>
      <c r="E41" s="49">
        <f>_xlfn.XLOOKUP(D41,Tab_Def_Flows[Name(EN)],Tab_Def_Flows[Type_Biomass],,0,)</f>
        <v>0</v>
      </c>
      <c r="F41" s="49">
        <f>_xlfn.XLOOKUP(D41,Tab_Def_Flows[Name(EN)],Tab_Def_Flows[Output_Process],,0,)</f>
        <v>0</v>
      </c>
      <c r="G41" s="49" t="str">
        <f>_xlfn.XLOOKUP(D41,Tab_Def_Flows[Name(EN)],Tab_Def_Flows[Process_ID_O],,0,)</f>
        <v>21__</v>
      </c>
      <c r="H41" s="49">
        <f>_xlfn.XLOOKUP(D41,Tab_Def_Flows[Name(EN)],Tab_Def_Flows[Input_Process],,0,)</f>
        <v>0</v>
      </c>
      <c r="I41" s="61" t="str">
        <f>_xlfn.XLOOKUP(D41,Tab_Def_Flows[Name(EN)],Tab_Def_Flows[Process_ID_I],,0,)</f>
        <v>21__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7"/>
      <c r="O41" s="100"/>
      <c r="P41" s="104"/>
      <c r="Q41" s="100"/>
      <c r="R41" s="107"/>
      <c r="S41" s="100"/>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1640625" defaultRowHeight="14.5" x14ac:dyDescent="0.35"/>
  <cols>
    <col min="3" max="3" width="16.26953125" customWidth="1"/>
    <col min="4" max="4" width="22" customWidth="1"/>
    <col min="5" max="5" width="13.26953125" customWidth="1"/>
    <col min="6" max="6" width="12.453125" customWidth="1"/>
    <col min="8" max="8" width="12.453125" customWidth="1"/>
    <col min="10" max="10" width="12.453125" customWidth="1"/>
    <col min="12" max="12" width="12.453125" customWidth="1"/>
    <col min="14" max="14" width="12.453125" customWidth="1"/>
    <col min="16" max="16" width="13.81640625" customWidth="1"/>
    <col min="18" max="18" width="14.54296875" customWidth="1"/>
    <col min="20" max="20" width="13.81640625" customWidth="1"/>
    <col min="22" max="22" width="13.81640625" customWidth="1"/>
    <col min="24" max="24" width="16.453125" customWidth="1"/>
    <col min="26" max="26" width="15" customWidth="1"/>
    <col min="28" max="28" width="14.1796875" customWidth="1"/>
    <col min="29" max="29" width="24.81640625" customWidth="1"/>
    <col min="32" max="32" width="11.453125" style="7"/>
    <col min="34" max="34" width="11.453125" style="7"/>
    <col min="36" max="36" width="11.453125" style="7"/>
    <col min="38" max="38" width="11.453125" style="7"/>
    <col min="40" max="40" width="11.453125" style="7"/>
    <col min="42" max="43" width="11.453125" style="7"/>
    <col min="47" max="47" width="16.26953125" customWidth="1"/>
  </cols>
  <sheetData>
    <row r="4" spans="2:48" x14ac:dyDescent="0.35">
      <c r="B4" s="130" t="s">
        <v>2</v>
      </c>
      <c r="C4" s="130"/>
      <c r="D4" s="130"/>
      <c r="E4" s="130"/>
      <c r="F4" s="130"/>
      <c r="G4" s="130"/>
      <c r="H4" s="130"/>
      <c r="I4" s="130"/>
      <c r="J4" s="130"/>
      <c r="K4" s="130"/>
      <c r="L4" s="130"/>
      <c r="M4" s="130"/>
      <c r="N4" s="130"/>
      <c r="O4" s="130"/>
      <c r="P4" s="130"/>
      <c r="Q4" s="130"/>
      <c r="R4" s="130"/>
      <c r="S4" s="130"/>
      <c r="T4" s="130"/>
      <c r="U4" s="130"/>
      <c r="V4" s="130"/>
      <c r="W4" s="130"/>
      <c r="X4" s="130"/>
      <c r="Y4" s="130"/>
      <c r="Z4" s="130"/>
      <c r="AA4" s="130"/>
      <c r="AB4" s="130"/>
      <c r="AC4" s="130"/>
      <c r="AD4" s="130"/>
      <c r="AE4" s="130" t="s">
        <v>91</v>
      </c>
      <c r="AF4" s="130"/>
      <c r="AG4" s="130"/>
      <c r="AH4" s="130"/>
      <c r="AI4" s="130"/>
      <c r="AJ4" s="130"/>
      <c r="AK4" s="130"/>
      <c r="AL4" s="130"/>
      <c r="AM4" s="130"/>
      <c r="AN4" s="130"/>
      <c r="AO4" s="1"/>
      <c r="AP4" s="8"/>
      <c r="AQ4" s="8"/>
      <c r="AR4" s="130" t="s">
        <v>18</v>
      </c>
      <c r="AS4" s="130"/>
      <c r="AT4" s="130"/>
      <c r="AU4" s="130"/>
      <c r="AV4" s="130"/>
    </row>
    <row r="5" spans="2:48" x14ac:dyDescent="0.35">
      <c r="B5" t="s">
        <v>1</v>
      </c>
      <c r="C5" t="s">
        <v>3</v>
      </c>
      <c r="D5" t="s">
        <v>78</v>
      </c>
      <c r="E5" t="s">
        <v>12</v>
      </c>
      <c r="F5" t="s">
        <v>103</v>
      </c>
      <c r="G5" t="s">
        <v>108</v>
      </c>
      <c r="H5" t="s">
        <v>104</v>
      </c>
      <c r="I5" t="s">
        <v>109</v>
      </c>
      <c r="J5" t="s">
        <v>105</v>
      </c>
      <c r="K5" t="s">
        <v>110</v>
      </c>
      <c r="L5" t="s">
        <v>106</v>
      </c>
      <c r="M5" t="s">
        <v>111</v>
      </c>
      <c r="N5" t="s">
        <v>107</v>
      </c>
      <c r="O5" t="s">
        <v>112</v>
      </c>
      <c r="P5" t="s">
        <v>113</v>
      </c>
      <c r="Q5" t="s">
        <v>141</v>
      </c>
      <c r="R5" t="s">
        <v>114</v>
      </c>
      <c r="S5" t="s">
        <v>142</v>
      </c>
      <c r="T5" t="s">
        <v>115</v>
      </c>
      <c r="U5" t="s">
        <v>143</v>
      </c>
      <c r="V5" t="s">
        <v>116</v>
      </c>
      <c r="W5" t="s">
        <v>144</v>
      </c>
      <c r="X5" t="s">
        <v>127</v>
      </c>
      <c r="Y5" t="s">
        <v>145</v>
      </c>
      <c r="Z5" t="s">
        <v>128</v>
      </c>
      <c r="AA5" t="s">
        <v>129</v>
      </c>
      <c r="AB5" t="s">
        <v>67</v>
      </c>
      <c r="AC5" t="s">
        <v>70</v>
      </c>
      <c r="AD5" t="s">
        <v>6</v>
      </c>
      <c r="AE5" t="s">
        <v>92</v>
      </c>
      <c r="AF5" s="7" t="s">
        <v>93</v>
      </c>
      <c r="AG5" t="s">
        <v>94</v>
      </c>
      <c r="AH5" s="7" t="s">
        <v>95</v>
      </c>
      <c r="AI5" t="s">
        <v>96</v>
      </c>
      <c r="AJ5" s="7" t="s">
        <v>97</v>
      </c>
      <c r="AK5" t="s">
        <v>98</v>
      </c>
      <c r="AL5" s="7" t="s">
        <v>99</v>
      </c>
      <c r="AM5" t="s">
        <v>100</v>
      </c>
      <c r="AN5" s="7" t="s">
        <v>101</v>
      </c>
      <c r="AO5" t="s">
        <v>131</v>
      </c>
      <c r="AP5" s="7" t="s">
        <v>132</v>
      </c>
      <c r="AQ5" s="7" t="s">
        <v>133</v>
      </c>
      <c r="AR5" t="s">
        <v>146</v>
      </c>
      <c r="AS5" t="s">
        <v>147</v>
      </c>
      <c r="AT5" t="s">
        <v>9</v>
      </c>
      <c r="AU5" t="s">
        <v>8</v>
      </c>
      <c r="AV5" t="s">
        <v>10</v>
      </c>
    </row>
    <row r="6" spans="2:48" x14ac:dyDescent="0.35">
      <c r="B6">
        <v>1</v>
      </c>
      <c r="C6" t="s">
        <v>15</v>
      </c>
      <c r="D6" t="s">
        <v>79</v>
      </c>
      <c r="E6" t="s">
        <v>14</v>
      </c>
      <c r="F6" t="s">
        <v>69</v>
      </c>
      <c r="H6" t="s">
        <v>86</v>
      </c>
      <c r="I6" t="s">
        <v>86</v>
      </c>
      <c r="J6" t="s">
        <v>86</v>
      </c>
      <c r="K6" t="s">
        <v>86</v>
      </c>
      <c r="L6" t="s">
        <v>86</v>
      </c>
      <c r="M6" t="s">
        <v>86</v>
      </c>
      <c r="N6" t="s">
        <v>86</v>
      </c>
      <c r="O6" t="s">
        <v>86</v>
      </c>
      <c r="P6" t="s">
        <v>14</v>
      </c>
      <c r="R6" t="s">
        <v>86</v>
      </c>
      <c r="S6" t="s">
        <v>86</v>
      </c>
      <c r="T6" t="s">
        <v>86</v>
      </c>
      <c r="U6" t="s">
        <v>86</v>
      </c>
      <c r="V6" t="s">
        <v>86</v>
      </c>
      <c r="W6" t="s">
        <v>86</v>
      </c>
      <c r="X6" t="s">
        <v>86</v>
      </c>
      <c r="Y6" t="s">
        <v>86</v>
      </c>
      <c r="Z6" t="s">
        <v>86</v>
      </c>
      <c r="AA6" t="s">
        <v>86</v>
      </c>
      <c r="AB6" t="s">
        <v>68</v>
      </c>
      <c r="AC6" t="s">
        <v>71</v>
      </c>
      <c r="AD6">
        <v>2022</v>
      </c>
      <c r="AE6" t="s">
        <v>86</v>
      </c>
    </row>
    <row r="7" spans="2:48" x14ac:dyDescent="0.35">
      <c r="B7">
        <v>2</v>
      </c>
      <c r="C7" t="s">
        <v>15</v>
      </c>
      <c r="D7" t="s">
        <v>81</v>
      </c>
      <c r="E7" t="s">
        <v>14</v>
      </c>
      <c r="F7" t="s">
        <v>69</v>
      </c>
      <c r="H7" t="s">
        <v>86</v>
      </c>
      <c r="I7" t="s">
        <v>86</v>
      </c>
      <c r="J7" t="s">
        <v>86</v>
      </c>
      <c r="K7" t="s">
        <v>86</v>
      </c>
      <c r="L7" t="s">
        <v>86</v>
      </c>
      <c r="M7" t="s">
        <v>86</v>
      </c>
      <c r="N7" t="s">
        <v>86</v>
      </c>
      <c r="O7" t="s">
        <v>86</v>
      </c>
      <c r="P7" t="s">
        <v>14</v>
      </c>
      <c r="R7" t="s">
        <v>86</v>
      </c>
      <c r="S7" t="s">
        <v>86</v>
      </c>
      <c r="T7" t="s">
        <v>86</v>
      </c>
      <c r="U7" t="s">
        <v>86</v>
      </c>
      <c r="V7" t="s">
        <v>86</v>
      </c>
      <c r="W7" t="s">
        <v>86</v>
      </c>
      <c r="X7" t="s">
        <v>86</v>
      </c>
      <c r="Y7" t="s">
        <v>86</v>
      </c>
      <c r="Z7" t="s">
        <v>86</v>
      </c>
      <c r="AA7" t="s">
        <v>86</v>
      </c>
      <c r="AB7" t="s">
        <v>68</v>
      </c>
      <c r="AC7" t="s">
        <v>71</v>
      </c>
      <c r="AD7">
        <v>2022</v>
      </c>
      <c r="AE7" t="s">
        <v>86</v>
      </c>
    </row>
    <row r="8" spans="2:48" x14ac:dyDescent="0.35">
      <c r="B8">
        <v>3</v>
      </c>
      <c r="C8" t="s">
        <v>15</v>
      </c>
      <c r="D8" t="s">
        <v>79</v>
      </c>
      <c r="E8" t="s">
        <v>14</v>
      </c>
      <c r="F8" t="s">
        <v>69</v>
      </c>
      <c r="H8" t="s">
        <v>86</v>
      </c>
      <c r="I8" t="s">
        <v>86</v>
      </c>
      <c r="J8" t="s">
        <v>86</v>
      </c>
      <c r="K8" t="s">
        <v>86</v>
      </c>
      <c r="L8" t="s">
        <v>86</v>
      </c>
      <c r="M8" t="s">
        <v>86</v>
      </c>
      <c r="N8" t="s">
        <v>86</v>
      </c>
      <c r="O8" t="s">
        <v>86</v>
      </c>
      <c r="P8" t="s">
        <v>14</v>
      </c>
      <c r="R8" t="s">
        <v>86</v>
      </c>
      <c r="S8" t="s">
        <v>86</v>
      </c>
      <c r="T8" t="s">
        <v>86</v>
      </c>
      <c r="U8" t="s">
        <v>86</v>
      </c>
      <c r="V8" t="s">
        <v>86</v>
      </c>
      <c r="W8" t="s">
        <v>86</v>
      </c>
      <c r="X8" t="s">
        <v>86</v>
      </c>
      <c r="Y8" t="s">
        <v>86</v>
      </c>
      <c r="Z8" t="s">
        <v>86</v>
      </c>
      <c r="AA8" t="s">
        <v>86</v>
      </c>
      <c r="AB8" t="s">
        <v>68</v>
      </c>
      <c r="AC8" t="s">
        <v>71</v>
      </c>
      <c r="AD8">
        <v>2012</v>
      </c>
      <c r="AE8" t="s">
        <v>86</v>
      </c>
    </row>
    <row r="9" spans="2:48" x14ac:dyDescent="0.35">
      <c r="B9">
        <v>4</v>
      </c>
      <c r="C9" t="s">
        <v>15</v>
      </c>
      <c r="D9" t="s">
        <v>85</v>
      </c>
      <c r="E9" t="s">
        <v>14</v>
      </c>
      <c r="F9" t="s">
        <v>69</v>
      </c>
      <c r="H9" t="s">
        <v>86</v>
      </c>
      <c r="I9" t="s">
        <v>86</v>
      </c>
      <c r="J9" t="s">
        <v>86</v>
      </c>
      <c r="K9" t="s">
        <v>86</v>
      </c>
      <c r="L9" t="s">
        <v>86</v>
      </c>
      <c r="M9" t="s">
        <v>86</v>
      </c>
      <c r="N9" t="s">
        <v>86</v>
      </c>
      <c r="O9" t="s">
        <v>86</v>
      </c>
      <c r="P9" t="s">
        <v>14</v>
      </c>
      <c r="R9" t="s">
        <v>86</v>
      </c>
      <c r="S9" t="s">
        <v>86</v>
      </c>
      <c r="T9" t="s">
        <v>86</v>
      </c>
      <c r="U9" t="s">
        <v>86</v>
      </c>
      <c r="V9" t="s">
        <v>86</v>
      </c>
      <c r="W9" t="s">
        <v>86</v>
      </c>
      <c r="X9" t="s">
        <v>86</v>
      </c>
      <c r="Y9" t="s">
        <v>86</v>
      </c>
      <c r="Z9" t="s">
        <v>86</v>
      </c>
      <c r="AA9" t="s">
        <v>86</v>
      </c>
      <c r="AB9" t="s">
        <v>68</v>
      </c>
      <c r="AC9" t="s">
        <v>71</v>
      </c>
      <c r="AD9">
        <v>2012</v>
      </c>
      <c r="AE9" t="s">
        <v>86</v>
      </c>
    </row>
    <row r="10" spans="2:48" x14ac:dyDescent="0.35">
      <c r="B10">
        <v>5</v>
      </c>
      <c r="C10" t="s">
        <v>102</v>
      </c>
      <c r="D10" t="s">
        <v>79</v>
      </c>
      <c r="E10" t="s">
        <v>14</v>
      </c>
      <c r="F10" t="s">
        <v>14</v>
      </c>
      <c r="H10" t="s">
        <v>86</v>
      </c>
      <c r="I10" t="s">
        <v>86</v>
      </c>
      <c r="J10" t="s">
        <v>86</v>
      </c>
      <c r="K10" t="s">
        <v>86</v>
      </c>
      <c r="L10" t="s">
        <v>86</v>
      </c>
      <c r="M10" t="s">
        <v>86</v>
      </c>
      <c r="N10" t="s">
        <v>86</v>
      </c>
      <c r="O10" t="s">
        <v>86</v>
      </c>
      <c r="P10" t="s">
        <v>117</v>
      </c>
      <c r="R10" t="s">
        <v>118</v>
      </c>
      <c r="T10" t="s">
        <v>119</v>
      </c>
      <c r="V10" t="s">
        <v>120</v>
      </c>
      <c r="X10" t="s">
        <v>86</v>
      </c>
      <c r="Y10" t="s">
        <v>86</v>
      </c>
      <c r="Z10" t="s">
        <v>86</v>
      </c>
      <c r="AA10" t="s">
        <v>86</v>
      </c>
      <c r="AB10" t="s">
        <v>71</v>
      </c>
      <c r="AC10" t="s">
        <v>71</v>
      </c>
      <c r="AE10" t="s">
        <v>86</v>
      </c>
    </row>
    <row r="11" spans="2:48" x14ac:dyDescent="0.35">
      <c r="B11">
        <v>6</v>
      </c>
      <c r="C11" t="s">
        <v>16</v>
      </c>
      <c r="D11" t="s">
        <v>79</v>
      </c>
      <c r="E11" t="s">
        <v>14</v>
      </c>
      <c r="F11" t="s">
        <v>121</v>
      </c>
      <c r="H11" t="s">
        <v>86</v>
      </c>
      <c r="I11" t="s">
        <v>86</v>
      </c>
      <c r="J11" t="s">
        <v>86</v>
      </c>
      <c r="K11" t="s">
        <v>86</v>
      </c>
      <c r="L11" t="s">
        <v>86</v>
      </c>
      <c r="M11" t="s">
        <v>86</v>
      </c>
      <c r="N11" t="s">
        <v>86</v>
      </c>
      <c r="O11" t="s">
        <v>86</v>
      </c>
      <c r="P11" t="s">
        <v>122</v>
      </c>
      <c r="R11" t="s">
        <v>123</v>
      </c>
      <c r="T11" t="s">
        <v>124</v>
      </c>
      <c r="V11" t="s">
        <v>125</v>
      </c>
      <c r="X11" t="s">
        <v>126</v>
      </c>
      <c r="Z11" t="s">
        <v>130</v>
      </c>
      <c r="AB11" t="s">
        <v>71</v>
      </c>
      <c r="AC11" t="s">
        <v>68</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136</v>
      </c>
      <c r="AS11">
        <v>2024</v>
      </c>
      <c r="AT11" t="s">
        <v>134</v>
      </c>
      <c r="AU11" t="s">
        <v>135</v>
      </c>
      <c r="AV11" t="s">
        <v>86</v>
      </c>
    </row>
    <row r="12" spans="2:48" x14ac:dyDescent="0.35">
      <c r="B12">
        <v>7</v>
      </c>
    </row>
    <row r="13" spans="2:48" x14ac:dyDescent="0.3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1640625" defaultRowHeight="14.5" x14ac:dyDescent="0.35"/>
  <sheetData/>
  <pageMargins left="0.7" right="0.7" top="0.78740157499999996" bottom="0.78740157499999996"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1640625" defaultRowHeight="14.5" x14ac:dyDescent="0.35"/>
  <cols>
    <col min="3" max="3" width="11.453125" customWidth="1"/>
    <col min="4" max="4" width="28.1796875" customWidth="1"/>
    <col min="5" max="5" width="20.1796875" customWidth="1"/>
    <col min="6" max="6" width="14.453125" customWidth="1"/>
    <col min="7" max="7" width="22.1796875" customWidth="1"/>
    <col min="8" max="8" width="19.54296875" customWidth="1"/>
    <col min="9" max="9" width="12" customWidth="1"/>
    <col min="10" max="10" width="14.7265625" customWidth="1"/>
    <col min="11" max="11" width="12" customWidth="1"/>
    <col min="12" max="12" width="14.7265625" customWidth="1"/>
    <col min="13" max="13" width="12" customWidth="1"/>
    <col min="14" max="14" width="14.7265625" customWidth="1"/>
    <col min="15" max="15" width="12" customWidth="1"/>
    <col min="16" max="16" width="14.7265625" customWidth="1"/>
    <col min="17" max="17" width="12" customWidth="1"/>
    <col min="18" max="18" width="17.1796875" customWidth="1"/>
    <col min="19" max="19" width="12.81640625" customWidth="1"/>
    <col min="20" max="20" width="17.1796875" customWidth="1"/>
    <col min="21" max="21" width="12.81640625" customWidth="1"/>
    <col min="22" max="22" width="17.1796875" customWidth="1"/>
    <col min="23" max="23" width="12.81640625" customWidth="1"/>
    <col min="24" max="24" width="17.1796875" customWidth="1"/>
    <col min="25" max="25" width="12.81640625" customWidth="1"/>
    <col min="26" max="26" width="17.1796875" customWidth="1"/>
    <col min="27" max="27" width="12.81640625" customWidth="1"/>
    <col min="28" max="28" width="17.1796875" customWidth="1"/>
    <col min="29" max="29" width="13.81640625" customWidth="1"/>
    <col min="30" max="30" width="15.453125" customWidth="1"/>
    <col min="31" max="31" width="27" customWidth="1"/>
    <col min="35" max="35" width="24" customWidth="1"/>
    <col min="36" max="36" width="16.54296875" customWidth="1"/>
    <col min="41" max="41" width="17.54296875" customWidth="1"/>
    <col min="42" max="42" width="18.54296875" customWidth="1"/>
  </cols>
  <sheetData>
    <row r="1" spans="2:42" ht="15" thickBot="1" x14ac:dyDescent="0.4"/>
    <row r="2" spans="2:42" ht="15" thickBot="1" x14ac:dyDescent="0.4">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32" t="s">
        <v>90</v>
      </c>
      <c r="AH2" s="133"/>
      <c r="AI2" s="133"/>
      <c r="AJ2" s="133"/>
      <c r="AK2" s="134"/>
      <c r="AL2" s="132" t="s">
        <v>192</v>
      </c>
      <c r="AM2" s="133"/>
      <c r="AN2" s="133"/>
      <c r="AO2" s="133"/>
      <c r="AP2" s="134"/>
    </row>
    <row r="3" spans="2:42" x14ac:dyDescent="0.35">
      <c r="B3" s="27" t="s">
        <v>1</v>
      </c>
      <c r="C3" s="24" t="s">
        <v>148</v>
      </c>
      <c r="D3" s="24" t="s">
        <v>3</v>
      </c>
      <c r="E3" s="24" t="s">
        <v>78</v>
      </c>
      <c r="F3" s="24" t="s">
        <v>12</v>
      </c>
      <c r="G3" s="37" t="s">
        <v>172</v>
      </c>
      <c r="H3" s="25" t="s">
        <v>150</v>
      </c>
      <c r="I3" s="26" t="s">
        <v>151</v>
      </c>
      <c r="J3" s="26" t="s">
        <v>153</v>
      </c>
      <c r="K3" s="26" t="s">
        <v>152</v>
      </c>
      <c r="L3" s="26" t="s">
        <v>155</v>
      </c>
      <c r="M3" s="26" t="s">
        <v>154</v>
      </c>
      <c r="N3" s="26" t="s">
        <v>156</v>
      </c>
      <c r="O3" s="26" t="s">
        <v>157</v>
      </c>
      <c r="P3" s="26" t="s">
        <v>158</v>
      </c>
      <c r="Q3" s="32" t="s">
        <v>159</v>
      </c>
      <c r="R3" s="25" t="s">
        <v>160</v>
      </c>
      <c r="S3" s="26" t="s">
        <v>161</v>
      </c>
      <c r="T3" s="26" t="s">
        <v>162</v>
      </c>
      <c r="U3" s="26" t="s">
        <v>163</v>
      </c>
      <c r="V3" s="26" t="s">
        <v>164</v>
      </c>
      <c r="W3" s="26" t="s">
        <v>165</v>
      </c>
      <c r="X3" s="26" t="s">
        <v>166</v>
      </c>
      <c r="Y3" s="26" t="s">
        <v>167</v>
      </c>
      <c r="Z3" s="26" t="s">
        <v>168</v>
      </c>
      <c r="AA3" s="26" t="s">
        <v>169</v>
      </c>
      <c r="AB3" s="26" t="s">
        <v>170</v>
      </c>
      <c r="AC3" s="32" t="s">
        <v>171</v>
      </c>
      <c r="AD3" s="24" t="s">
        <v>67</v>
      </c>
      <c r="AE3" s="24" t="s">
        <v>70</v>
      </c>
      <c r="AF3" s="29" t="s">
        <v>6</v>
      </c>
      <c r="AG3" s="15" t="s">
        <v>72</v>
      </c>
      <c r="AH3" t="s">
        <v>7</v>
      </c>
      <c r="AI3" t="s">
        <v>82</v>
      </c>
      <c r="AJ3" t="s">
        <v>73</v>
      </c>
      <c r="AK3" s="16" t="s">
        <v>138</v>
      </c>
      <c r="AL3" s="15" t="s">
        <v>139</v>
      </c>
      <c r="AM3" t="s">
        <v>140</v>
      </c>
      <c r="AN3" t="s">
        <v>9</v>
      </c>
      <c r="AO3" t="s">
        <v>8</v>
      </c>
      <c r="AP3" s="16" t="s">
        <v>10</v>
      </c>
    </row>
    <row r="4" spans="2:42" x14ac:dyDescent="0.3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80</v>
      </c>
      <c r="AI4" t="s">
        <v>83</v>
      </c>
      <c r="AJ4">
        <v>19579</v>
      </c>
      <c r="AK4" s="16" t="s">
        <v>80</v>
      </c>
      <c r="AL4" s="15" t="s">
        <v>74</v>
      </c>
      <c r="AM4">
        <v>2024</v>
      </c>
      <c r="AN4" t="s">
        <v>75</v>
      </c>
      <c r="AO4" t="s">
        <v>76</v>
      </c>
      <c r="AP4" s="16" t="s">
        <v>77</v>
      </c>
    </row>
    <row r="5" spans="2:42" x14ac:dyDescent="0.3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80</v>
      </c>
      <c r="AI5" t="s">
        <v>83</v>
      </c>
      <c r="AJ5">
        <v>-174</v>
      </c>
      <c r="AK5" s="16" t="s">
        <v>80</v>
      </c>
      <c r="AL5" s="15" t="s">
        <v>74</v>
      </c>
      <c r="AM5">
        <v>2024</v>
      </c>
      <c r="AN5" t="s">
        <v>75</v>
      </c>
      <c r="AO5" t="s">
        <v>76</v>
      </c>
      <c r="AP5" s="16" t="s">
        <v>77</v>
      </c>
    </row>
    <row r="6" spans="2:42" x14ac:dyDescent="0.3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80</v>
      </c>
      <c r="AI6" t="s">
        <v>86</v>
      </c>
      <c r="AJ6" t="s">
        <v>86</v>
      </c>
      <c r="AK6" s="16" t="s">
        <v>86</v>
      </c>
      <c r="AL6" s="15"/>
      <c r="AM6">
        <v>2013</v>
      </c>
      <c r="AN6" t="s">
        <v>75</v>
      </c>
      <c r="AO6" t="s">
        <v>76</v>
      </c>
      <c r="AP6" s="16" t="s">
        <v>84</v>
      </c>
    </row>
    <row r="7" spans="2:42" x14ac:dyDescent="0.3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80</v>
      </c>
      <c r="AI7" t="s">
        <v>89</v>
      </c>
      <c r="AJ7">
        <v>53684</v>
      </c>
      <c r="AK7" s="16" t="s">
        <v>80</v>
      </c>
      <c r="AL7" s="15" t="s">
        <v>87</v>
      </c>
      <c r="AM7">
        <v>2012</v>
      </c>
      <c r="AN7" t="s">
        <v>75</v>
      </c>
      <c r="AO7" t="s">
        <v>76</v>
      </c>
      <c r="AP7" s="16" t="s">
        <v>88</v>
      </c>
    </row>
    <row r="8" spans="2:42" x14ac:dyDescent="0.3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3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3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3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3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3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3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3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3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3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3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3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3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3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3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3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3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3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3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3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3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3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3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3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3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3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3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3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3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3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3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3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3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3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3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3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3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3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3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3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3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 thickBot="1" x14ac:dyDescent="0.4">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1640625" defaultRowHeight="14.5" x14ac:dyDescent="0.35"/>
  <cols>
    <col min="3" max="3" width="11.453125" customWidth="1"/>
    <col min="4" max="4" width="27.54296875" customWidth="1"/>
    <col min="5" max="5" width="19.1796875" customWidth="1"/>
    <col min="6" max="6" width="14.453125" customWidth="1"/>
    <col min="7" max="7" width="23.26953125" customWidth="1"/>
    <col min="8" max="8" width="17.54296875" customWidth="1"/>
    <col min="9" max="9" width="12" customWidth="1"/>
    <col min="10" max="10" width="19.26953125" customWidth="1"/>
    <col min="11" max="11" width="12" customWidth="1"/>
    <col min="12" max="12" width="14.7265625" customWidth="1"/>
    <col min="13" max="13" width="12" customWidth="1"/>
    <col min="14" max="14" width="14.7265625" customWidth="1"/>
    <col min="15" max="15" width="12" customWidth="1"/>
    <col min="16" max="16" width="14.7265625" customWidth="1"/>
    <col min="17" max="17" width="12" customWidth="1"/>
    <col min="18" max="18" width="17.1796875" customWidth="1"/>
    <col min="19" max="19" width="12.81640625" customWidth="1"/>
    <col min="20" max="20" width="17.1796875" customWidth="1"/>
    <col min="21" max="21" width="12.81640625" customWidth="1"/>
    <col min="22" max="22" width="17.1796875" customWidth="1"/>
    <col min="23" max="23" width="12.81640625" customWidth="1"/>
    <col min="24" max="24" width="17.1796875" customWidth="1"/>
    <col min="25" max="25" width="12.81640625" customWidth="1"/>
    <col min="26" max="26" width="17.1796875" customWidth="1"/>
    <col min="27" max="27" width="12.81640625" customWidth="1"/>
    <col min="28" max="28" width="17.1796875" customWidth="1"/>
    <col min="29" max="29" width="13.81640625" customWidth="1"/>
    <col min="30" max="30" width="15.453125" customWidth="1"/>
    <col min="31" max="31" width="27" customWidth="1"/>
    <col min="33" max="33" width="22.81640625" customWidth="1"/>
    <col min="35" max="35" width="15.54296875" customWidth="1"/>
    <col min="37" max="37" width="19.81640625" customWidth="1"/>
    <col min="46" max="46" width="36.1796875" customWidth="1"/>
    <col min="48" max="48" width="15" customWidth="1"/>
    <col min="49" max="49" width="17.54296875" customWidth="1"/>
  </cols>
  <sheetData>
    <row r="2" spans="2:50" ht="15" thickBot="1" x14ac:dyDescent="0.4">
      <c r="AG2" s="135" t="s">
        <v>91</v>
      </c>
      <c r="AH2" s="135"/>
      <c r="AI2" s="135"/>
      <c r="AJ2" s="135"/>
      <c r="AK2" s="135"/>
      <c r="AL2" s="135"/>
      <c r="AM2" s="135"/>
      <c r="AN2" s="135"/>
      <c r="AO2" s="135"/>
      <c r="AP2" s="135"/>
      <c r="AQ2" s="135"/>
      <c r="AR2" s="135"/>
      <c r="AS2" s="135"/>
      <c r="AT2" s="130" t="s">
        <v>18</v>
      </c>
      <c r="AU2" s="130"/>
      <c r="AV2" s="130"/>
      <c r="AW2" s="130"/>
      <c r="AX2" s="130"/>
    </row>
    <row r="3" spans="2:50" x14ac:dyDescent="0.35">
      <c r="B3" s="29" t="s">
        <v>1</v>
      </c>
      <c r="C3" s="9" t="s">
        <v>148</v>
      </c>
      <c r="D3" s="9" t="s">
        <v>3</v>
      </c>
      <c r="E3" s="9" t="s">
        <v>78</v>
      </c>
      <c r="F3" s="9" t="s">
        <v>12</v>
      </c>
      <c r="G3" s="38" t="s">
        <v>172</v>
      </c>
      <c r="H3" s="21" t="s">
        <v>150</v>
      </c>
      <c r="I3" s="22" t="s">
        <v>151</v>
      </c>
      <c r="J3" s="22" t="s">
        <v>153</v>
      </c>
      <c r="K3" s="22" t="s">
        <v>152</v>
      </c>
      <c r="L3" s="22" t="s">
        <v>155</v>
      </c>
      <c r="M3" s="22" t="s">
        <v>154</v>
      </c>
      <c r="N3" s="22" t="s">
        <v>156</v>
      </c>
      <c r="O3" s="22" t="s">
        <v>157</v>
      </c>
      <c r="P3" s="22" t="s">
        <v>158</v>
      </c>
      <c r="Q3" s="23" t="s">
        <v>159</v>
      </c>
      <c r="R3" s="21" t="s">
        <v>160</v>
      </c>
      <c r="S3" s="22" t="s">
        <v>161</v>
      </c>
      <c r="T3" s="22" t="s">
        <v>162</v>
      </c>
      <c r="U3" s="22" t="s">
        <v>163</v>
      </c>
      <c r="V3" s="22" t="s">
        <v>164</v>
      </c>
      <c r="W3" s="22" t="s">
        <v>165</v>
      </c>
      <c r="X3" s="22" t="s">
        <v>166</v>
      </c>
      <c r="Y3" s="22" t="s">
        <v>167</v>
      </c>
      <c r="Z3" s="22" t="s">
        <v>168</v>
      </c>
      <c r="AA3" s="22" t="s">
        <v>169</v>
      </c>
      <c r="AB3" s="22" t="s">
        <v>170</v>
      </c>
      <c r="AC3" s="23" t="s">
        <v>171</v>
      </c>
      <c r="AD3" s="9" t="s">
        <v>67</v>
      </c>
      <c r="AE3" s="9" t="s">
        <v>70</v>
      </c>
      <c r="AF3" s="29" t="s">
        <v>6</v>
      </c>
      <c r="AG3" s="21" t="s">
        <v>92</v>
      </c>
      <c r="AH3" s="40" t="s">
        <v>93</v>
      </c>
      <c r="AI3" s="22" t="s">
        <v>94</v>
      </c>
      <c r="AJ3" s="40" t="s">
        <v>95</v>
      </c>
      <c r="AK3" s="22" t="s">
        <v>96</v>
      </c>
      <c r="AL3" s="40" t="s">
        <v>97</v>
      </c>
      <c r="AM3" s="22" t="s">
        <v>98</v>
      </c>
      <c r="AN3" s="40" t="s">
        <v>99</v>
      </c>
      <c r="AO3" s="22" t="s">
        <v>100</v>
      </c>
      <c r="AP3" s="40" t="s">
        <v>101</v>
      </c>
      <c r="AQ3" s="22" t="s">
        <v>131</v>
      </c>
      <c r="AR3" s="40" t="s">
        <v>132</v>
      </c>
      <c r="AS3" s="40" t="s">
        <v>133</v>
      </c>
      <c r="AT3" s="22" t="s">
        <v>263</v>
      </c>
      <c r="AU3" s="22" t="s">
        <v>264</v>
      </c>
      <c r="AV3" s="22" t="s">
        <v>9</v>
      </c>
      <c r="AW3" s="22" t="s">
        <v>8</v>
      </c>
      <c r="AX3" s="23" t="s">
        <v>10</v>
      </c>
    </row>
    <row r="4" spans="2:50" x14ac:dyDescent="0.3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86</v>
      </c>
      <c r="AH4" s="44"/>
      <c r="AI4" s="10"/>
      <c r="AJ4" s="44"/>
      <c r="AK4" s="10"/>
      <c r="AL4" s="44"/>
      <c r="AM4" s="10"/>
      <c r="AN4" s="44"/>
      <c r="AO4" s="10"/>
      <c r="AP4" s="41"/>
      <c r="AQ4" s="10"/>
      <c r="AR4" s="41"/>
      <c r="AS4" s="41"/>
      <c r="AT4" s="10"/>
      <c r="AU4" s="10"/>
      <c r="AV4" s="10"/>
      <c r="AW4" s="10"/>
      <c r="AX4" s="36"/>
    </row>
    <row r="5" spans="2:50" x14ac:dyDescent="0.3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86</v>
      </c>
      <c r="AH5" s="45"/>
      <c r="AJ5" s="45"/>
      <c r="AL5" s="45"/>
      <c r="AN5" s="45"/>
      <c r="AP5" s="7"/>
      <c r="AR5" s="7"/>
      <c r="AS5" s="7"/>
      <c r="AX5" s="16"/>
    </row>
    <row r="6" spans="2:50" x14ac:dyDescent="0.3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86</v>
      </c>
      <c r="AH6" s="44"/>
      <c r="AI6" s="10"/>
      <c r="AJ6" s="44"/>
      <c r="AK6" s="10"/>
      <c r="AL6" s="44"/>
      <c r="AM6" s="10"/>
      <c r="AN6" s="44"/>
      <c r="AO6" s="10"/>
      <c r="AP6" s="41"/>
      <c r="AQ6" s="10"/>
      <c r="AR6" s="41"/>
      <c r="AS6" s="41"/>
      <c r="AT6" s="10"/>
      <c r="AU6" s="10"/>
      <c r="AV6" s="10"/>
      <c r="AW6" s="10"/>
      <c r="AX6" s="36"/>
    </row>
    <row r="7" spans="2:50" x14ac:dyDescent="0.3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86</v>
      </c>
      <c r="AH7" s="45"/>
      <c r="AJ7" s="45"/>
      <c r="AL7" s="45"/>
      <c r="AN7" s="45"/>
      <c r="AP7" s="7"/>
      <c r="AR7" s="7"/>
      <c r="AS7" s="7"/>
      <c r="AX7" s="16"/>
    </row>
    <row r="8" spans="2:50" x14ac:dyDescent="0.3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86</v>
      </c>
      <c r="AH8" s="44"/>
      <c r="AI8" s="10"/>
      <c r="AJ8" s="44"/>
      <c r="AK8" s="10"/>
      <c r="AL8" s="44"/>
      <c r="AM8" s="10"/>
      <c r="AN8" s="44"/>
      <c r="AO8" s="10"/>
      <c r="AP8" s="41"/>
      <c r="AQ8" s="10"/>
      <c r="AR8" s="41"/>
      <c r="AS8" s="41"/>
      <c r="AT8" s="10"/>
      <c r="AU8" s="10"/>
      <c r="AV8" s="10"/>
      <c r="AW8" s="10"/>
      <c r="AX8" s="36"/>
    </row>
    <row r="9" spans="2:50" x14ac:dyDescent="0.3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136</v>
      </c>
      <c r="AU9" s="11">
        <v>2024</v>
      </c>
      <c r="AV9" s="11" t="s">
        <v>134</v>
      </c>
      <c r="AW9" s="11" t="s">
        <v>135</v>
      </c>
      <c r="AX9" s="43" t="s">
        <v>86</v>
      </c>
    </row>
    <row r="10" spans="2:50" x14ac:dyDescent="0.3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3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3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3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195</v>
      </c>
      <c r="AJ13" s="45">
        <v>0.04</v>
      </c>
      <c r="AK13" t="str">
        <f>Tabelle11[[#This Row],[Output Flow O_3]]</f>
        <v>stoffliche Verwertung</v>
      </c>
      <c r="AL13" s="45">
        <v>0.02</v>
      </c>
      <c r="AM13" t="str">
        <f>Tabelle11[[#This Row],[Output Flow O_4]]</f>
        <v>n.b.</v>
      </c>
      <c r="AN13" s="45">
        <v>0.01</v>
      </c>
      <c r="AS13" s="39">
        <f>AH13+AJ13+AL13+AN13+AP13+AR13</f>
        <v>1</v>
      </c>
      <c r="AT13" t="s">
        <v>200</v>
      </c>
      <c r="AU13">
        <v>2024</v>
      </c>
      <c r="AV13" t="s">
        <v>198</v>
      </c>
      <c r="AW13" t="s">
        <v>199</v>
      </c>
      <c r="AX13" s="16" t="s">
        <v>193</v>
      </c>
    </row>
    <row r="14" spans="2:50" x14ac:dyDescent="0.3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3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3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3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3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3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3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3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3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3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3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3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3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3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3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3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3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3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3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3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3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3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3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3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3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3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3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3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3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3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3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3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3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3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3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3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3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 thickBot="1" x14ac:dyDescent="0.4">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1640625" defaultRowHeight="14.5" x14ac:dyDescent="0.35"/>
  <cols>
    <col min="3" max="3" width="20" customWidth="1"/>
    <col min="4" max="4" width="13.81640625" customWidth="1"/>
    <col min="5" max="5" width="11.453125" customWidth="1"/>
    <col min="7" max="7" width="12.81640625" customWidth="1"/>
    <col min="9" max="9" width="14.54296875" customWidth="1"/>
    <col min="10" max="10" width="25.453125" customWidth="1"/>
    <col min="14" max="14" width="23.1796875" customWidth="1"/>
    <col min="15" max="15" width="16" customWidth="1"/>
    <col min="17" max="17" width="23.7265625" customWidth="1"/>
    <col min="20" max="20" width="16.81640625" customWidth="1"/>
  </cols>
  <sheetData>
    <row r="3" spans="1:28" x14ac:dyDescent="0.35">
      <c r="A3" s="130" t="s">
        <v>2</v>
      </c>
      <c r="B3" s="130"/>
      <c r="C3" s="130"/>
      <c r="D3" s="130"/>
      <c r="E3" s="130"/>
      <c r="F3" s="130"/>
      <c r="G3" s="130"/>
      <c r="H3" s="130"/>
      <c r="I3" s="130"/>
      <c r="J3" s="130"/>
      <c r="K3" s="130"/>
      <c r="L3" s="130" t="s">
        <v>90</v>
      </c>
      <c r="M3" s="130"/>
      <c r="N3" s="130"/>
      <c r="O3" s="130"/>
      <c r="P3" s="130"/>
      <c r="Q3" s="130" t="s">
        <v>192</v>
      </c>
      <c r="R3" s="130"/>
      <c r="S3" s="130"/>
      <c r="T3" s="130"/>
      <c r="U3" s="130"/>
      <c r="Y3" s="130" t="s">
        <v>4</v>
      </c>
      <c r="Z3" s="130"/>
      <c r="AA3" s="130"/>
      <c r="AB3" s="130"/>
    </row>
    <row r="4" spans="1:28" x14ac:dyDescent="0.35">
      <c r="A4" t="s">
        <v>1</v>
      </c>
      <c r="B4" t="s">
        <v>3</v>
      </c>
      <c r="C4" t="s">
        <v>78</v>
      </c>
      <c r="D4" t="s">
        <v>12</v>
      </c>
      <c r="E4" t="s">
        <v>64</v>
      </c>
      <c r="F4" t="s">
        <v>65</v>
      </c>
      <c r="G4" t="s">
        <v>66</v>
      </c>
      <c r="H4" t="s">
        <v>137</v>
      </c>
      <c r="I4" t="s">
        <v>67</v>
      </c>
      <c r="J4" t="s">
        <v>70</v>
      </c>
      <c r="K4" t="s">
        <v>6</v>
      </c>
      <c r="L4" t="s">
        <v>72</v>
      </c>
      <c r="M4" t="s">
        <v>7</v>
      </c>
      <c r="N4" t="s">
        <v>82</v>
      </c>
      <c r="O4" t="s">
        <v>73</v>
      </c>
      <c r="P4" t="s">
        <v>138</v>
      </c>
      <c r="Q4" t="s">
        <v>139</v>
      </c>
      <c r="R4" t="s">
        <v>140</v>
      </c>
      <c r="S4" t="s">
        <v>9</v>
      </c>
      <c r="T4" t="s">
        <v>8</v>
      </c>
      <c r="U4" t="s">
        <v>10</v>
      </c>
      <c r="Y4" t="s">
        <v>11</v>
      </c>
      <c r="AB4" t="s">
        <v>5</v>
      </c>
    </row>
    <row r="5" spans="1:28" x14ac:dyDescent="0.35">
      <c r="A5">
        <v>1</v>
      </c>
      <c r="B5" t="s">
        <v>15</v>
      </c>
      <c r="C5" t="s">
        <v>79</v>
      </c>
      <c r="D5" t="s">
        <v>14</v>
      </c>
      <c r="E5" t="s">
        <v>69</v>
      </c>
      <c r="G5" t="s">
        <v>14</v>
      </c>
      <c r="I5" t="s">
        <v>68</v>
      </c>
      <c r="J5" t="s">
        <v>71</v>
      </c>
      <c r="K5">
        <v>2022</v>
      </c>
      <c r="L5">
        <v>325681</v>
      </c>
      <c r="M5" t="s">
        <v>80</v>
      </c>
      <c r="N5" t="s">
        <v>83</v>
      </c>
      <c r="O5">
        <v>19579</v>
      </c>
      <c r="P5" t="s">
        <v>80</v>
      </c>
      <c r="Q5" t="s">
        <v>74</v>
      </c>
      <c r="R5">
        <v>2024</v>
      </c>
      <c r="S5" t="s">
        <v>75</v>
      </c>
      <c r="T5" t="s">
        <v>76</v>
      </c>
      <c r="U5" t="s">
        <v>77</v>
      </c>
    </row>
    <row r="6" spans="1:28" x14ac:dyDescent="0.35">
      <c r="A6">
        <v>2</v>
      </c>
      <c r="B6" t="s">
        <v>15</v>
      </c>
      <c r="C6" t="s">
        <v>81</v>
      </c>
      <c r="D6" t="s">
        <v>14</v>
      </c>
      <c r="E6" t="s">
        <v>69</v>
      </c>
      <c r="G6" t="s">
        <v>14</v>
      </c>
      <c r="I6" t="s">
        <v>68</v>
      </c>
      <c r="J6" t="s">
        <v>71</v>
      </c>
      <c r="K6">
        <v>2022</v>
      </c>
      <c r="L6">
        <v>4977</v>
      </c>
      <c r="M6" t="s">
        <v>80</v>
      </c>
      <c r="N6" t="s">
        <v>83</v>
      </c>
      <c r="O6">
        <v>-174</v>
      </c>
      <c r="P6" t="s">
        <v>80</v>
      </c>
      <c r="Q6" t="s">
        <v>74</v>
      </c>
      <c r="R6">
        <v>2024</v>
      </c>
      <c r="S6" t="s">
        <v>75</v>
      </c>
      <c r="T6" t="s">
        <v>76</v>
      </c>
      <c r="U6" t="s">
        <v>77</v>
      </c>
    </row>
    <row r="7" spans="1:28" x14ac:dyDescent="0.35">
      <c r="A7">
        <v>3</v>
      </c>
      <c r="B7" t="s">
        <v>15</v>
      </c>
      <c r="C7" t="s">
        <v>79</v>
      </c>
      <c r="D7" t="s">
        <v>14</v>
      </c>
      <c r="E7" t="s">
        <v>69</v>
      </c>
      <c r="G7" t="s">
        <v>14</v>
      </c>
      <c r="I7" t="s">
        <v>68</v>
      </c>
      <c r="J7" t="s">
        <v>71</v>
      </c>
      <c r="K7">
        <v>2012</v>
      </c>
      <c r="L7" s="5">
        <v>222889</v>
      </c>
      <c r="M7" t="s">
        <v>80</v>
      </c>
      <c r="N7" t="s">
        <v>86</v>
      </c>
      <c r="O7" t="s">
        <v>86</v>
      </c>
      <c r="P7" t="s">
        <v>86</v>
      </c>
      <c r="R7">
        <v>2013</v>
      </c>
      <c r="S7" t="s">
        <v>75</v>
      </c>
      <c r="T7" t="s">
        <v>76</v>
      </c>
      <c r="U7" t="s">
        <v>84</v>
      </c>
    </row>
    <row r="8" spans="1:28" x14ac:dyDescent="0.35">
      <c r="A8">
        <v>4</v>
      </c>
      <c r="B8" t="s">
        <v>15</v>
      </c>
      <c r="C8" t="s">
        <v>85</v>
      </c>
      <c r="D8" t="s">
        <v>14</v>
      </c>
      <c r="E8" t="s">
        <v>69</v>
      </c>
      <c r="G8" t="s">
        <v>14</v>
      </c>
      <c r="I8" t="s">
        <v>68</v>
      </c>
      <c r="K8">
        <v>2012</v>
      </c>
      <c r="L8" s="6">
        <v>233943</v>
      </c>
      <c r="M8" t="s">
        <v>80</v>
      </c>
      <c r="N8" t="s">
        <v>89</v>
      </c>
      <c r="O8">
        <v>53684</v>
      </c>
      <c r="P8" t="s">
        <v>80</v>
      </c>
      <c r="Q8" t="s">
        <v>87</v>
      </c>
      <c r="R8">
        <v>2012</v>
      </c>
      <c r="S8" t="s">
        <v>75</v>
      </c>
      <c r="T8" t="s">
        <v>76</v>
      </c>
      <c r="U8" t="s">
        <v>88</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Intro</vt:lpstr>
      <vt:lpstr>dynamic stock model</vt:lpstr>
      <vt:lpstr>survival functions</vt:lpstr>
      <vt:lpstr>Solution_material</vt:lpstr>
      <vt:lpstr>Solution_WC</vt:lpstr>
      <vt:lpstr>Solution_DM</vt:lpstr>
      <vt:lpstr>Solution_CC</vt:lpstr>
      <vt:lpstr>mineralization</vt:lpstr>
      <vt:lpstr>Version_20.02.</vt:lpstr>
      <vt:lpstr>1_Flows&gt;&gt;&gt;&gt;</vt:lpstr>
      <vt:lpstr>1_1_Definition_Flows</vt:lpstr>
      <vt:lpstr>1_2_Data_Flows</vt:lpstr>
      <vt:lpstr>2. Processes&gt;&gt;&gt;&gt;</vt:lpstr>
      <vt:lpstr>2_1_Definition_Processes</vt:lpstr>
      <vt:lpstr>2_3_Process_TCs</vt:lpstr>
      <vt:lpstr>2_4_Process_Stock_</vt:lpstr>
      <vt:lpstr>3.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TU-Pseudonym 9055540188463204</cp:lastModifiedBy>
  <dcterms:created xsi:type="dcterms:W3CDTF">2015-06-05T18:19:34Z</dcterms:created>
  <dcterms:modified xsi:type="dcterms:W3CDTF">2025-03-11T15:58:47Z</dcterms:modified>
</cp:coreProperties>
</file>